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127733cb3f40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81612944d8c64580"/>
    <x:sheet xmlns:r="http://schemas.openxmlformats.org/officeDocument/2006/relationships" name="赛事明细" sheetId="2" r:id="R9a2fa168f02046b6"/>
    <x:sheet xmlns:r="http://schemas.openxmlformats.org/officeDocument/2006/relationships" name="更新日志" sheetId="3" r:id="R52a4e52e30ce479d"/>
    <x:sheet xmlns:r="http://schemas.openxmlformats.org/officeDocument/2006/relationships" name="分类统计" sheetId="4" r:id="R92dbe42d76c34230"/>
    <x:sheet xmlns:r="http://schemas.openxmlformats.org/officeDocument/2006/relationships" name="V4等级统计" sheetId="5" r:id="Rfcf7fa53341740e9"/>
    <x:sheet xmlns:r="http://schemas.openxmlformats.org/officeDocument/2006/relationships" name="V4模型统计" sheetId="6" r:id="Rc87e1be642f14d92"/>
    <x:sheet xmlns:r="http://schemas.openxmlformats.org/officeDocument/2006/relationships" name="周中周末盘口" sheetId="7" r:id="R8bfcca8500524305"/>
    <x:sheet xmlns:r="http://schemas.openxmlformats.org/officeDocument/2006/relationships" name="V4说明" sheetId="8" r:id="R570df0ffc6fc44c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0.0%"/>
    <x:numFmt numFmtId="165" formatCode="0.000;-0.000;0.000"/>
    <x:numFmt numFmtId="166" formatCode="0.0000"/>
    <x:numFmt numFmtId="167" formatCode="0.000"/>
  </x:numFmts>
  <x:fonts count="22">
    <x:font>
      <x:sz val="11"/>
      <x:name val="Carlito"/>
    </x:font>
    <x:font>
      <x:b/>
      <x:sz val="14"/>
      <x:color rgb="FFFFFFFF"/>
      <x:name val="Arial"/>
    </x:font>
    <x:font>
      <x:b/>
      <x:sz val="11"/>
      <x:color rgb="FFFFFFFF"/>
      <x:name val="Arial"/>
    </x:font>
    <x:font>
      <x:b/>
      <x:sz val="10"/>
      <x:color rgb="FFFFFFFF"/>
      <x:name val="Arial"/>
    </x:font>
    <x:font>
      <x:i/>
      <x:sz val="11"/>
      <x:color rgb="FF7F6000"/>
      <x:name val="Arial"/>
    </x:font>
    <x:font>
      <x:sz val="10"/>
      <x:color rgb="FF1F1F1F"/>
      <x:name val="Arial"/>
    </x:font>
    <x:font>
      <x:b/>
      <x:sz val="10"/>
      <x:color rgb="FF1F1F1F"/>
      <x:name val="Arial"/>
    </x:font>
    <x:font>
      <x:i/>
      <x:sz val="11"/>
      <x:color rgb="FF404040"/>
      <x:name val="Arial"/>
    </x:font>
    <x:font>
      <x:b/>
      <x:sz val="10"/>
      <x:color rgb="FF008000"/>
      <x:name val="Arial"/>
    </x:font>
    <x:font>
      <x:b/>
      <x:sz val="10"/>
      <x:color rgb="FFC00000"/>
      <x:name val="Arial"/>
    </x:font>
    <x:font>
      <x:b/>
      <x:sz val="10"/>
      <x:color rgb="FF7F6000"/>
      <x:name val="Arial"/>
    </x:font>
    <x:font>
      <x:b/>
      <x:sz val="12"/>
      <x:color rgb="FFFFFFFF"/>
      <x:name val="Arial"/>
    </x:font>
    <x:font>
      <x:sz val="10"/>
      <x:name val="Arial"/>
    </x:font>
    <x:font>
      <x:b/>
      <x:i/>
      <x:sz val="12"/>
      <x:color rgb="FFFFFFFF"/>
      <x:name val="Arial"/>
    </x:font>
    <x:font>
      <x:b/>
      <x:sz val="10"/>
      <x:color rgb="FF000000"/>
      <x:name val="Arial"/>
    </x:font>
    <x:font>
      <x:b/>
      <x:sz val="10"/>
      <x:color rgb="FFC65911"/>
      <x:name val="Arial"/>
    </x:font>
    <x:font>
      <x:b/>
      <x:sz val="10"/>
      <x:color rgb="FF666666"/>
      <x:name val="Arial"/>
    </x:font>
    <x:font>
      <x:b/>
      <x:sz val="11"/>
      <x:color rgb="FFC00000"/>
      <x:name val="Arial"/>
    </x:font>
    <x:font>
      <x:b/>
      <x:sz val="11"/>
      <x:color rgb="FF000000"/>
      <x:name val="Arial"/>
    </x:font>
    <x:font>
      <x:b/>
      <x:sz val="11"/>
      <x:color rgb="FF7F6000"/>
      <x:name val="Arial"/>
    </x:font>
    <x:font>
      <x:b/>
      <x:sz val="11"/>
      <x:color rgb="FF666666"/>
      <x:name val="Arial"/>
    </x:font>
    <x:font>
      <x:b/>
      <x:sz val="11"/>
      <x:color rgb="FFC65911"/>
      <x:name val="Arial"/>
    </x:font>
  </x:fonts>
  <x:fills count="90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F4CCCC"/>
      </x:patternFill>
    </x:fill>
    <x:fill>
      <x:patternFill patternType="solid">
        <x:fgColor rgb="FFA6A6A6"/>
      </x:patternFill>
    </x:fill>
    <x:fill>
      <x:patternFill patternType="solid">
        <x:fgColor rgb="FFFCE4D6"/>
      </x:patternFill>
    </x:fill>
    <x:fill>
      <x:patternFill patternType="solid">
        <x:fgColor rgb="FFD9E1F2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A6A6A6"/>
      </x:patternFill>
    </x:fill>
    <x:fill>
      <x:patternFill patternType="solid">
        <x:fgColor rgb="FFFCE4D6"/>
      </x:patternFill>
    </x:fill>
    <x:fill>
      <x:patternFill patternType="solid">
        <x:fgColor rgb="FFD9E1F2"/>
      </x:patternFill>
    </x:fill>
    <x:fill>
      <x:patternFill patternType="solid">
        <x:fgColor rgb="FFFFF2CC"/>
      </x:patternFill>
    </x:fill>
  </x:fills>
  <x:borders count="3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B8CCE4"/>
      </x:left>
      <x:right style="thin">
        <x:color rgb="FFB8CCE4"/>
      </x:right>
      <x:top style="thin">
        <x:color rgb="FFB8CCE4"/>
      </x:top>
      <x:bottom style="thin">
        <x:color rgb="FFB8CCE4"/>
      </x:bottom>
    </x:border>
  </x:borders>
  <x:cellStyleXfs count="1">
    <x:xf numFmtId="0" fontId="0" fillId="0" borderId="0"/>
  </x:cellStyleXfs>
  <x:cellXfs count="659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2" fillId="2" borderId="0" xfId="0"/>
    <x:xf numFmtId="0" fontId="2" fillId="2" borderId="0" xfId="0" applyAlignment="1">
      <x:alignment horizontal="left"/>
    </x:xf>
    <x:xf numFmtId="0" fontId="2" fillId="2" borderId="0" xfId="0" applyAlignment="1">
      <x:alignment horizontal="left" vertical="center"/>
    </x:xf>
    <x:xf numFmtId="0" fontId="0" fillId="3" borderId="0" xfId="0"/>
    <x:xf numFmtId="0" fontId="3" fillId="3" borderId="0" xfId="0"/>
    <x:xf numFmtId="0" fontId="3" fillId="3" borderId="1" xfId="0"/>
    <x:xf numFmtId="0" fontId="3" fillId="3" borderId="1" xfId="0" applyAlignment="1">
      <x:alignment wrapText="1"/>
    </x:xf>
    <x:xf numFmtId="0" fontId="3" fillId="3" borderId="1" xfId="0" applyAlignment="1">
      <x:alignment horizontal="left" wrapText="1"/>
    </x:xf>
    <x:xf numFmtId="0" fontId="3" fillId="3" borderId="1" xfId="0" applyAlignment="1">
      <x:alignment horizontal="left" vertical="center" wrapText="1"/>
    </x:xf>
    <x:xf numFmtId="0" fontId="0" fillId="4" borderId="0" xfId="0"/>
    <x:xf numFmtId="0" fontId="4" fillId="4" borderId="0" xfId="0"/>
    <x:xf numFmtId="0" fontId="4" fillId="4" borderId="0" xfId="0" applyAlignment="1">
      <x:alignment wrapText="1"/>
    </x:xf>
    <x:xf numFmtId="0" fontId="4" fillId="4" borderId="0" xfId="0" applyAlignment="1">
      <x:alignment horizontal="left" wrapText="1"/>
    </x:xf>
    <x:xf numFmtId="0" fontId="4" fillId="4" borderId="0" xfId="0" applyAlignment="1">
      <x:alignment horizontal="left" vertical="center" wrapText="1"/>
    </x:xf>
    <x:xf numFmtId="0" fontId="5" fillId="0" borderId="0" xfId="0"/>
    <x:xf numFmtId="0" fontId="5" fillId="0" borderId="2" xfId="0"/>
    <x:xf numFmtId="0" fontId="5" fillId="0" borderId="2" xfId="0" applyAlignment="1">
      <x:alignment horizontal="left"/>
    </x:xf>
    <x:xf numFmtId="0" fontId="5" fillId="0" borderId="2" xfId="0" applyAlignment="1">
      <x:alignment horizontal="left" vertical="center"/>
    </x:xf>
    <x:xf numFmtId="0" fontId="5" fillId="5" borderId="2" xfId="0" applyAlignment="1">
      <x:alignment horizontal="left" vertical="center"/>
    </x:xf>
    <x:xf numFmtId="0" fontId="6" fillId="5" borderId="2" xfId="0" applyAlignment="1">
      <x:alignment horizontal="left" vertical="center"/>
    </x:xf>
    <x:xf numFmtId="0" fontId="5" fillId="0" borderId="0" xfId="0" applyAlignment="1">
      <x:alignment horizontal="left"/>
    </x:xf>
    <x:xf numFmtId="0" fontId="5" fillId="0" borderId="0" xfId="0" applyAlignment="1">
      <x:alignment horizontal="left" vertical="center"/>
    </x:xf>
    <x:xf numFmtId="164" fontId="5" fillId="0" borderId="2" xfId="0" applyAlignment="1">
      <x:alignment horizontal="left" vertical="center"/>
    </x:xf>
    <x:xf numFmtId="165" fontId="5" fillId="0" borderId="2" xfId="0" applyAlignment="1">
      <x:alignment horizontal="left" vertical="center"/>
    </x:xf>
    <x:xf numFmtId="0" fontId="0" fillId="5" borderId="0" xfId="0"/>
    <x:xf numFmtId="0" fontId="7" fillId="5" borderId="0" xfId="0"/>
    <x:xf numFmtId="0" fontId="7" fillId="5" borderId="0" xfId="0" applyAlignment="1">
      <x:alignment wrapText="1"/>
    </x:xf>
    <x:xf numFmtId="0" fontId="7" fillId="5" borderId="0" xfId="0" applyAlignment="1">
      <x:alignment horizontal="left" wrapText="1"/>
    </x:xf>
    <x:xf numFmtId="0" fontId="7" fillId="5" borderId="0" xfId="0" applyAlignment="1">
      <x:alignment horizontal="left" vertical="center" wrapText="1"/>
    </x:xf>
    <x:xf numFmtId="0" fontId="5" fillId="0" borderId="0" xfId="0" applyAlignment="1">
      <x:alignment wrapText="1"/>
    </x:xf>
    <x:xf numFmtId="0" fontId="5" fillId="0" borderId="0" xfId="0" applyAlignment="1">
      <x:alignment horizontal="left" wrapText="1"/>
    </x:xf>
    <x:xf numFmtId="0" fontId="5" fillId="0" borderId="0" xfId="0" applyAlignment="1">
      <x:alignment horizontal="left" vertical="center" wrapText="1"/>
    </x:xf>
    <x:xf numFmtId="2" fontId="5" fillId="0" borderId="0" xfId="0" applyAlignment="1">
      <x:alignment horizontal="left" vertical="center" wrapText="1"/>
    </x:xf>
    <x:xf numFmtId="164" fontId="5" fillId="0" borderId="0" xfId="0" applyAlignment="1">
      <x:alignment horizontal="left" vertical="center" wrapText="1"/>
    </x:xf>
    <x:xf numFmtId="165" fontId="5" fillId="0" borderId="0" xfId="0" applyAlignment="1">
      <x:alignment horizontal="left" vertical="center" wrapText="1"/>
    </x:xf>
    <x:xf numFmtId="166" fontId="5" fillId="0" borderId="0" xfId="0" applyAlignment="1">
      <x:alignment horizontal="left" vertical="center" wrapText="1"/>
    </x:xf>
    <x:xf numFmtId="0" fontId="5" fillId="6" borderId="0" xfId="0" applyAlignment="1">
      <x:alignment horizontal="left" vertical="center" wrapText="1"/>
    </x:xf>
    <x:xf numFmtId="0" fontId="8" fillId="6" borderId="0" xfId="0" applyAlignment="1">
      <x:alignment horizontal="left" vertical="center" wrapText="1"/>
    </x:xf>
    <x:xf numFmtId="0" fontId="5" fillId="7" borderId="0" xfId="0" applyAlignment="1">
      <x:alignment horizontal="left" vertical="center" wrapText="1"/>
    </x:xf>
    <x:xf numFmtId="0" fontId="9" fillId="7" borderId="0" xfId="0" applyAlignment="1">
      <x:alignment horizontal="left" vertical="center" wrapText="1"/>
    </x:xf>
    <x:xf numFmtId="0" fontId="5" fillId="4" borderId="0" xfId="0" applyAlignment="1">
      <x:alignment horizontal="left" vertical="center" wrapText="1"/>
    </x:xf>
    <x:xf numFmtId="0" fontId="10" fillId="4" borderId="0" xfId="0" applyAlignment="1">
      <x:alignment horizontal="left" vertical="center" wrapText="1"/>
    </x:xf>
    <x:xf numFmtId="164" fontId="5" fillId="0" borderId="0" xfId="0" applyAlignment="1">
      <x:alignment horizontal="left" vertical="center"/>
    </x:xf>
    <x:xf numFmtId="165" fontId="5" fillId="0" borderId="0" xfId="0" applyAlignment="1">
      <x:alignment horizontal="left" vertical="center"/>
    </x:xf>
    <x:xf numFmtId="166" fontId="5" fillId="0" borderId="0" xfId="0" applyAlignment="1">
      <x:alignment horizontal="left" vertical="center"/>
    </x:xf>
    <x:xf numFmtId="0" fontId="5" fillId="0" borderId="2" xfId="0" applyAlignment="1">
      <x:alignment wrapText="1"/>
    </x:xf>
    <x:xf numFmtId="0" fontId="5" fillId="0" borderId="2" xfId="0" applyAlignment="1">
      <x:alignment horizontal="left" wrapText="1"/>
    </x:xf>
    <x:xf numFmtId="0" fontId="5" fillId="0" borderId="2" xfId="0" applyAlignment="1">
      <x:alignment horizontal="left" vertical="center" wrapText="1"/>
    </x:xf>
    <x:xf numFmtId="0" fontId="0" fillId="0" borderId="0" xfId="0" applyAlignment="1">
      <x:alignment vertical="center"/>
    </x:xf>
    <x:xf numFmtId="0" fontId="1" fillId="8" borderId="0" xfId="0" applyAlignment="1">
      <x:alignment horizontal="left" vertical="center"/>
    </x:xf>
    <x:xf numFmtId="0" fontId="2" fillId="8" borderId="0" xfId="0" applyAlignment="1">
      <x:alignment horizontal="left" vertical="center"/>
    </x:xf>
    <x:xf numFmtId="0" fontId="3" fillId="9" borderId="1" xfId="0" applyAlignment="1">
      <x:alignment horizontal="left" vertical="center" wrapText="1"/>
    </x:xf>
    <x:xf numFmtId="0" fontId="4" fillId="10" borderId="0" xfId="0" applyAlignment="1">
      <x:alignment horizontal="left" vertical="center" wrapText="1"/>
    </x:xf>
    <x:xf numFmtId="0" fontId="6" fillId="11" borderId="2" xfId="0" applyAlignment="1">
      <x:alignment horizontal="left" vertical="center"/>
    </x:xf>
    <x:xf numFmtId="0" fontId="5" fillId="0" borderId="0" xfId="0" applyAlignment="1">
      <x:alignment vertical="center"/>
    </x:xf>
    <x:xf numFmtId="0" fontId="7" fillId="11" borderId="0" xfId="0" applyAlignment="1">
      <x:alignment horizontal="left" vertical="center" wrapText="1"/>
    </x:xf>
    <x:xf numFmtId="0" fontId="6" fillId="6" borderId="0" xfId="0" applyAlignment="1">
      <x:alignment horizontal="left" vertical="center" wrapText="1"/>
    </x:xf>
    <x:xf numFmtId="0" fontId="6" fillId="7" borderId="0" xfId="0" applyAlignment="1">
      <x:alignment horizontal="left" vertical="center" wrapText="1"/>
    </x:xf>
    <x:xf numFmtId="0" fontId="6" fillId="4" borderId="0" xfId="0" applyAlignment="1">
      <x:alignment horizontal="left" vertical="center" wrapText="1"/>
    </x:xf>
    <x:xf numFmtId="0" fontId="6" fillId="12" borderId="0" xfId="0" applyAlignment="1">
      <x:alignment horizontal="left" vertical="center" wrapText="1"/>
    </x:xf>
    <x:xf numFmtId="0" fontId="8" fillId="12" borderId="0" xfId="0" applyAlignment="1">
      <x:alignment horizontal="left" vertical="center" wrapText="1"/>
    </x:xf>
    <x:xf numFmtId="0" fontId="6" fillId="13" borderId="0" xfId="0" applyAlignment="1">
      <x:alignment horizontal="left" vertical="center" wrapText="1"/>
    </x:xf>
    <x:xf numFmtId="0" fontId="9" fillId="13" borderId="0" xfId="0" applyAlignment="1">
      <x:alignment horizontal="left" vertical="center" wrapText="1"/>
    </x:xf>
    <x:xf numFmtId="0" fontId="6" fillId="10" borderId="0" xfId="0" applyAlignment="1">
      <x:alignment horizontal="left" vertical="center" wrapText="1"/>
    </x:xf>
    <x:xf numFmtId="0" fontId="10" fillId="10" borderId="0" xfId="0" applyAlignment="1">
      <x:alignment horizontal="left" vertical="center" wrapText="1"/>
    </x:xf>
    <x:xf numFmtId="0" fontId="5" fillId="12" borderId="0" xfId="0" applyAlignment="1">
      <x:alignment horizontal="left" vertical="center" wrapText="1"/>
    </x:xf>
    <x:xf numFmtId="0" fontId="5" fillId="13" borderId="0" xfId="0" applyAlignment="1">
      <x:alignment horizontal="left" vertical="center" wrapText="1"/>
    </x:xf>
    <x:xf numFmtId="0" fontId="5" fillId="10" borderId="0" xfId="0" applyAlignment="1">
      <x:alignment horizontal="left" vertical="center" wrapText="1"/>
    </x:xf>
    <x:xf numFmtId="0" fontId="3" fillId="8" borderId="1" xfId="0" applyAlignment="1">
      <x:alignment horizontal="left" vertical="center" wrapText="1"/>
    </x:xf>
    <x:xf numFmtId="0" fontId="2" fillId="8" borderId="1" xfId="0" applyAlignment="1">
      <x:alignment horizontal="left" vertical="center" wrapText="1"/>
    </x:xf>
    <x:xf numFmtId="0" fontId="5" fillId="9" borderId="0" xfId="0" applyAlignment="1">
      <x:alignment horizontal="left" vertical="center"/>
    </x:xf>
    <x:xf numFmtId="164" fontId="5" fillId="9" borderId="0" xfId="0" applyAlignment="1">
      <x:alignment horizontal="left" vertical="center"/>
    </x:xf>
    <x:xf numFmtId="165" fontId="5" fillId="9" borderId="0" xfId="0" applyAlignment="1">
      <x:alignment horizontal="left" vertical="center"/>
    </x:xf>
    <x:xf numFmtId="0" fontId="3" fillId="9" borderId="0" xfId="0" applyAlignment="1">
      <x:alignment horizontal="left" vertical="center"/>
    </x:xf>
    <x:xf numFmtId="164" fontId="3" fillId="9" borderId="0" xfId="0" applyAlignment="1">
      <x:alignment horizontal="left" vertical="center"/>
    </x:xf>
    <x:xf numFmtId="165" fontId="3" fillId="9" borderId="0" xfId="0" applyAlignment="1">
      <x:alignment horizontal="left" vertical="center"/>
    </x:xf>
    <x:xf numFmtId="0" fontId="3" fillId="9" borderId="1" xfId="0" applyAlignment="1">
      <x:alignment horizontal="left" vertical="center"/>
    </x:xf>
    <x:xf numFmtId="164" fontId="3" fillId="9" borderId="1" xfId="0" applyAlignment="1">
      <x:alignment horizontal="left" vertical="center"/>
    </x:xf>
    <x:xf numFmtId="165" fontId="3" fillId="9" borderId="1" xfId="0" applyAlignment="1">
      <x:alignment horizontal="left" vertical="center"/>
    </x:xf>
    <x:xf numFmtId="164" fontId="3" fillId="9" borderId="1" xfId="0" applyAlignment="1">
      <x:alignment horizontal="left" vertical="center" wrapText="1"/>
    </x:xf>
    <x:xf numFmtId="165" fontId="3" fillId="9" borderId="1" xfId="0" applyAlignment="1">
      <x:alignment horizontal="left" vertical="center" wrapText="1"/>
    </x:xf>
    <x:xf numFmtId="0" fontId="6" fillId="2" borderId="0" xfId="0" applyAlignment="1">
      <x:alignment horizontal="left" vertical="center"/>
    </x:xf>
    <x:xf numFmtId="164" fontId="6" fillId="2" borderId="0" xfId="0" applyAlignment="1">
      <x:alignment horizontal="left" vertical="center"/>
    </x:xf>
    <x:xf numFmtId="165" fontId="6" fillId="2" borderId="0" xfId="0" applyAlignment="1">
      <x:alignment horizontal="left" vertical="center"/>
    </x:xf>
    <x:xf numFmtId="0" fontId="5" fillId="8" borderId="0" xfId="0" applyAlignment="1">
      <x:alignment horizontal="left" vertical="center"/>
    </x:xf>
    <x:xf numFmtId="164" fontId="5" fillId="8" borderId="0" xfId="0" applyAlignment="1">
      <x:alignment horizontal="left" vertical="center"/>
    </x:xf>
    <x:xf numFmtId="165" fontId="5" fillId="8" borderId="0" xfId="0" applyAlignment="1">
      <x:alignment horizontal="left" vertical="center"/>
    </x:xf>
    <x:xf numFmtId="164" fontId="2" fillId="8" borderId="0" xfId="0" applyAlignment="1">
      <x:alignment horizontal="left" vertical="center"/>
    </x:xf>
    <x:xf numFmtId="165" fontId="2" fillId="8" borderId="0" xfId="0" applyAlignment="1">
      <x:alignment horizontal="left" vertical="center"/>
    </x:xf>
    <x:xf numFmtId="0" fontId="0" fillId="8" borderId="0" xfId="0"/>
    <x:xf numFmtId="0" fontId="11" fillId="8" borderId="0" xfId="0"/>
    <x:xf numFmtId="0" fontId="11" fillId="8" borderId="0" xfId="0" applyAlignment="1">
      <x:alignment horizontal="left"/>
    </x:xf>
    <x:xf numFmtId="0" fontId="11" fillId="8" borderId="0" xfId="0" applyAlignment="1">
      <x:alignment horizontal="left" vertical="center"/>
    </x:xf>
    <x:xf numFmtId="0" fontId="0" fillId="9" borderId="0" xfId="0"/>
    <x:xf numFmtId="0" fontId="3" fillId="9" borderId="0" xfId="0"/>
    <x:xf numFmtId="0" fontId="3" fillId="9" borderId="0" xfId="0" applyAlignment="1">
      <x:alignment wrapText="1"/>
    </x:xf>
    <x:xf numFmtId="0" fontId="3" fillId="9" borderId="0" xfId="0" applyAlignment="1">
      <x:alignment horizontal="left" wrapText="1"/>
    </x:xf>
    <x:xf numFmtId="0" fontId="3" fillId="9" borderId="0" xfId="0" applyAlignment="1">
      <x:alignment horizontal="left" vertical="center" wrapText="1"/>
    </x:xf>
    <x:xf numFmtId="0" fontId="12" fillId="0" borderId="0" xfId="0"/>
    <x:xf numFmtId="0" fontId="12" fillId="0" borderId="0" xfId="0" applyAlignment="1">
      <x:alignment horizontal="left"/>
    </x:xf>
    <x:xf numFmtId="0" fontId="12" fillId="0" borderId="0" xfId="0" applyAlignment="1">
      <x:alignment horizontal="left" vertical="center"/>
    </x:xf>
    <x:xf numFmtId="10" fontId="12" fillId="0" borderId="0" xfId="0" applyAlignment="1">
      <x:alignment horizontal="left" vertical="center"/>
    </x:xf>
    <x:xf numFmtId="165" fontId="12" fillId="0" borderId="0" xfId="0" applyAlignment="1">
      <x:alignment horizontal="left" vertical="center"/>
    </x:xf>
    <x:xf numFmtId="0" fontId="0" fillId="11" borderId="0" xfId="0"/>
    <x:xf numFmtId="0" fontId="12" fillId="11" borderId="0" xfId="0"/>
    <x:xf numFmtId="0" fontId="12" fillId="11" borderId="0" xfId="0" applyAlignment="1">
      <x:alignment wrapText="1"/>
    </x:xf>
    <x:xf numFmtId="0" fontId="12" fillId="11" borderId="0" xfId="0" applyAlignment="1">
      <x:alignment horizontal="left" wrapText="1"/>
    </x:xf>
    <x:xf numFmtId="0" fontId="12" fillId="11" borderId="0" xfId="0" applyAlignment="1">
      <x:alignment horizontal="left" vertical="center" wrapText="1"/>
    </x:xf>
    <x:xf numFmtId="0" fontId="0" fillId="14" borderId="0" xfId="0"/>
    <x:xf numFmtId="0" fontId="1" fillId="14" borderId="0" xfId="0"/>
    <x:xf numFmtId="0" fontId="1" fillId="14" borderId="0" xfId="0" applyAlignment="1">
      <x:alignment horizontal="left"/>
    </x:xf>
    <x:xf numFmtId="0" fontId="1" fillId="14" borderId="0" xfId="0" applyAlignment="1">
      <x:alignment horizontal="left" vertical="center"/>
    </x:xf>
    <x:xf numFmtId="0" fontId="2" fillId="14" borderId="0" xfId="0"/>
    <x:xf numFmtId="0" fontId="2" fillId="14" borderId="0" xfId="0" applyAlignment="1">
      <x:alignment horizontal="left"/>
    </x:xf>
    <x:xf numFmtId="0" fontId="2" fillId="14" borderId="0" xfId="0" applyAlignment="1">
      <x:alignment horizontal="left" vertical="center"/>
    </x:xf>
    <x:xf numFmtId="0" fontId="0" fillId="15" borderId="0" xfId="0"/>
    <x:xf numFmtId="0" fontId="3" fillId="15" borderId="0" xfId="0"/>
    <x:xf numFmtId="0" fontId="3" fillId="15" borderId="1" xfId="0"/>
    <x:xf numFmtId="0" fontId="3" fillId="15" borderId="1" xfId="0" applyAlignment="1">
      <x:alignment wrapText="1"/>
    </x:xf>
    <x:xf numFmtId="0" fontId="3" fillId="15" borderId="1" xfId="0" applyAlignment="1">
      <x:alignment horizontal="left" wrapText="1"/>
    </x:xf>
    <x:xf numFmtId="0" fontId="3" fillId="15" borderId="1" xfId="0" applyAlignment="1">
      <x:alignment horizontal="left" vertical="center" wrapText="1"/>
    </x:xf>
    <x:xf numFmtId="0" fontId="0" fillId="16" borderId="0" xfId="0"/>
    <x:xf numFmtId="0" fontId="4" fillId="16" borderId="0" xfId="0"/>
    <x:xf numFmtId="0" fontId="4" fillId="16" borderId="0" xfId="0" applyAlignment="1">
      <x:alignment wrapText="1"/>
    </x:xf>
    <x:xf numFmtId="0" fontId="4" fillId="16" borderId="0" xfId="0" applyAlignment="1">
      <x:alignment horizontal="left" wrapText="1"/>
    </x:xf>
    <x:xf numFmtId="0" fontId="4" fillId="16" borderId="0" xfId="0" applyAlignment="1">
      <x:alignment horizontal="left" vertical="center" wrapText="1"/>
    </x:xf>
    <x:xf numFmtId="0" fontId="5" fillId="17" borderId="2" xfId="0" applyAlignment="1">
      <x:alignment horizontal="left" vertical="center"/>
    </x:xf>
    <x:xf numFmtId="0" fontId="6" fillId="17" borderId="2" xfId="0" applyAlignment="1">
      <x:alignment horizontal="left" vertical="center"/>
    </x:xf>
    <x:xf numFmtId="0" fontId="7" fillId="17" borderId="0" xfId="0" applyAlignment="1">
      <x:alignment horizontal="left" vertical="center" wrapText="1"/>
    </x:xf>
    <x:xf numFmtId="0" fontId="6" fillId="18" borderId="0" xfId="0" applyAlignment="1">
      <x:alignment horizontal="left" vertical="center" wrapText="1"/>
    </x:xf>
    <x:xf numFmtId="0" fontId="8" fillId="18" borderId="0" xfId="0" applyAlignment="1">
      <x:alignment horizontal="left" vertical="center" wrapText="1"/>
    </x:xf>
    <x:xf numFmtId="0" fontId="6" fillId="19" borderId="0" xfId="0" applyAlignment="1">
      <x:alignment horizontal="left" vertical="center" wrapText="1"/>
    </x:xf>
    <x:xf numFmtId="0" fontId="9" fillId="19" borderId="0" xfId="0" applyAlignment="1">
      <x:alignment horizontal="left" vertical="center" wrapText="1"/>
    </x:xf>
    <x:xf numFmtId="0" fontId="6" fillId="16" borderId="0" xfId="0" applyAlignment="1">
      <x:alignment horizontal="left" vertical="center" wrapText="1"/>
    </x:xf>
    <x:xf numFmtId="0" fontId="10" fillId="16" borderId="0" xfId="0" applyAlignment="1">
      <x:alignment horizontal="left" vertical="center" wrapText="1"/>
    </x:xf>
    <x:xf numFmtId="0" fontId="0" fillId="14" borderId="0" xfId="0" applyAlignment="1">
      <x:alignment vertical="center"/>
    </x:xf>
    <x:xf numFmtId="0" fontId="11" fillId="14" borderId="0" xfId="0" applyAlignment="1">
      <x:alignment vertical="center"/>
    </x:xf>
    <x:xf numFmtId="0" fontId="11" fillId="14" borderId="0" xfId="0" applyAlignment="1">
      <x:alignment horizontal="left" vertical="center"/>
    </x:xf>
    <x:xf numFmtId="0" fontId="0" fillId="15" borderId="0" xfId="0" applyAlignment="1">
      <x:alignment vertical="center"/>
    </x:xf>
    <x:xf numFmtId="0" fontId="3" fillId="15" borderId="0" xfId="0" applyAlignment="1">
      <x:alignment vertical="center"/>
    </x:xf>
    <x:xf numFmtId="0" fontId="3" fillId="15" borderId="0" xfId="0" applyAlignment="1">
      <x:alignment vertical="center" wrapText="1"/>
    </x:xf>
    <x:xf numFmtId="0" fontId="3" fillId="15" borderId="0" xfId="0" applyAlignment="1">
      <x:alignment horizontal="left" vertical="center" wrapText="1"/>
    </x:xf>
    <x:xf numFmtId="0" fontId="12" fillId="0" borderId="0" xfId="0" applyAlignment="1">
      <x:alignment vertical="center"/>
    </x:xf>
    <x:xf numFmtId="0" fontId="0" fillId="17" borderId="0" xfId="0" applyAlignment="1">
      <x:alignment vertical="center"/>
    </x:xf>
    <x:xf numFmtId="0" fontId="12" fillId="17" borderId="0" xfId="0" applyAlignment="1">
      <x:alignment vertical="center"/>
    </x:xf>
    <x:xf numFmtId="0" fontId="12" fillId="17" borderId="0" xfId="0" applyAlignment="1">
      <x:alignment vertical="center" wrapText="1"/>
    </x:xf>
    <x:xf numFmtId="0" fontId="12" fillId="17" borderId="0" xfId="0" applyAlignment="1">
      <x:alignment horizontal="left" vertical="center" wrapText="1"/>
    </x:xf>
    <x:xf numFmtId="0" fontId="0" fillId="20" borderId="0" xfId="0"/>
    <x:xf numFmtId="0" fontId="1" fillId="20" borderId="0" xfId="0"/>
    <x:xf numFmtId="0" fontId="1" fillId="20" borderId="0" xfId="0" applyAlignment="1">
      <x:alignment horizontal="left"/>
    </x:xf>
    <x:xf numFmtId="0" fontId="1" fillId="20" borderId="0" xfId="0" applyAlignment="1">
      <x:alignment horizontal="left" vertical="center"/>
    </x:xf>
    <x:xf numFmtId="0" fontId="2" fillId="20" borderId="0" xfId="0"/>
    <x:xf numFmtId="0" fontId="2" fillId="20" borderId="0" xfId="0" applyAlignment="1">
      <x:alignment horizontal="left"/>
    </x:xf>
    <x:xf numFmtId="0" fontId="2" fillId="20" borderId="0" xfId="0" applyAlignment="1">
      <x:alignment horizontal="left" vertical="center"/>
    </x:xf>
    <x:xf numFmtId="0" fontId="0" fillId="21" borderId="0" xfId="0"/>
    <x:xf numFmtId="0" fontId="3" fillId="21" borderId="0" xfId="0"/>
    <x:xf numFmtId="0" fontId="3" fillId="21" borderId="1" xfId="0"/>
    <x:xf numFmtId="0" fontId="3" fillId="21" borderId="1" xfId="0" applyAlignment="1">
      <x:alignment wrapText="1"/>
    </x:xf>
    <x:xf numFmtId="0" fontId="3" fillId="21" borderId="1" xfId="0" applyAlignment="1">
      <x:alignment horizontal="left" wrapText="1"/>
    </x:xf>
    <x:xf numFmtId="0" fontId="3" fillId="21" borderId="1" xfId="0" applyAlignment="1">
      <x:alignment horizontal="left" vertical="center" wrapText="1"/>
    </x:xf>
    <x:xf numFmtId="0" fontId="0" fillId="22" borderId="0" xfId="0"/>
    <x:xf numFmtId="0" fontId="4" fillId="22" borderId="0" xfId="0"/>
    <x:xf numFmtId="0" fontId="4" fillId="22" borderId="0" xfId="0" applyAlignment="1">
      <x:alignment wrapText="1"/>
    </x:xf>
    <x:xf numFmtId="0" fontId="4" fillId="22" borderId="0" xfId="0" applyAlignment="1">
      <x:alignment horizontal="left" wrapText="1"/>
    </x:xf>
    <x:xf numFmtId="0" fontId="4" fillId="22" borderId="0" xfId="0" applyAlignment="1">
      <x:alignment horizontal="left" vertical="center" wrapText="1"/>
    </x:xf>
    <x:xf numFmtId="0" fontId="5" fillId="23" borderId="2" xfId="0" applyAlignment="1">
      <x:alignment horizontal="left" vertical="center"/>
    </x:xf>
    <x:xf numFmtId="0" fontId="6" fillId="23" borderId="2" xfId="0" applyAlignment="1">
      <x:alignment horizontal="left" vertical="center"/>
    </x:xf>
    <x:xf numFmtId="0" fontId="7" fillId="23" borderId="0" xfId="0" applyAlignment="1">
      <x:alignment horizontal="left" vertical="center" wrapText="1"/>
    </x:xf>
    <x:xf numFmtId="0" fontId="6" fillId="24" borderId="0" xfId="0" applyAlignment="1">
      <x:alignment horizontal="left" vertical="center" wrapText="1"/>
    </x:xf>
    <x:xf numFmtId="0" fontId="8" fillId="24" borderId="0" xfId="0" applyAlignment="1">
      <x:alignment horizontal="left" vertical="center" wrapText="1"/>
    </x:xf>
    <x:xf numFmtId="0" fontId="6" fillId="25" borderId="0" xfId="0" applyAlignment="1">
      <x:alignment horizontal="left" vertical="center" wrapText="1"/>
    </x:xf>
    <x:xf numFmtId="0" fontId="9" fillId="25" borderId="0" xfId="0" applyAlignment="1">
      <x:alignment horizontal="left" vertical="center" wrapText="1"/>
    </x:xf>
    <x:xf numFmtId="0" fontId="6" fillId="22" borderId="0" xfId="0" applyAlignment="1">
      <x:alignment horizontal="left" vertical="center" wrapText="1"/>
    </x:xf>
    <x:xf numFmtId="0" fontId="10" fillId="22" borderId="0" xfId="0" applyAlignment="1">
      <x:alignment horizontal="left" vertical="center" wrapText="1"/>
    </x:xf>
    <x:xf numFmtId="0" fontId="5" fillId="24" borderId="0" xfId="0" applyAlignment="1">
      <x:alignment horizontal="left" vertical="center" wrapText="1"/>
    </x:xf>
    <x:xf numFmtId="0" fontId="5" fillId="25" borderId="0" xfId="0" applyAlignment="1">
      <x:alignment horizontal="left" vertical="center" wrapText="1"/>
    </x:xf>
    <x:xf numFmtId="0" fontId="0" fillId="20" borderId="0" xfId="0" applyAlignment="1">
      <x:alignment vertical="center"/>
    </x:xf>
    <x:xf numFmtId="0" fontId="11" fillId="20" borderId="0" xfId="0" applyAlignment="1">
      <x:alignment vertical="center"/>
    </x:xf>
    <x:xf numFmtId="0" fontId="11" fillId="20" borderId="0" xfId="0" applyAlignment="1">
      <x:alignment horizontal="left" vertical="center"/>
    </x:xf>
    <x:xf numFmtId="0" fontId="0" fillId="21" borderId="0" xfId="0" applyAlignment="1">
      <x:alignment vertical="center"/>
    </x:xf>
    <x:xf numFmtId="0" fontId="3" fillId="21" borderId="0" xfId="0" applyAlignment="1">
      <x:alignment vertical="center"/>
    </x:xf>
    <x:xf numFmtId="0" fontId="3" fillId="21" borderId="0" xfId="0" applyAlignment="1">
      <x:alignment vertical="center" wrapText="1"/>
    </x:xf>
    <x:xf numFmtId="0" fontId="3" fillId="21" borderId="0" xfId="0" applyAlignment="1">
      <x:alignment horizontal="left" vertical="center" wrapText="1"/>
    </x:xf>
    <x:xf numFmtId="0" fontId="0" fillId="23" borderId="0" xfId="0" applyAlignment="1">
      <x:alignment vertical="center"/>
    </x:xf>
    <x:xf numFmtId="0" fontId="12" fillId="23" borderId="0" xfId="0" applyAlignment="1">
      <x:alignment vertical="center"/>
    </x:xf>
    <x:xf numFmtId="0" fontId="12" fillId="23" borderId="0" xfId="0" applyAlignment="1">
      <x:alignment vertical="center" wrapText="1"/>
    </x:xf>
    <x:xf numFmtId="0" fontId="12" fillId="23" borderId="0" xfId="0" applyAlignment="1">
      <x:alignment horizontal="left" vertical="center" wrapText="1"/>
    </x:xf>
    <x:xf numFmtId="0" fontId="0" fillId="26" borderId="0" xfId="0"/>
    <x:xf numFmtId="0" fontId="1" fillId="26" borderId="0" xfId="0"/>
    <x:xf numFmtId="0" fontId="1" fillId="26" borderId="0" xfId="0" applyAlignment="1">
      <x:alignment horizontal="left"/>
    </x:xf>
    <x:xf numFmtId="0" fontId="1" fillId="26" borderId="0" xfId="0" applyAlignment="1">
      <x:alignment horizontal="left" vertical="center"/>
    </x:xf>
    <x:xf numFmtId="0" fontId="2" fillId="26" borderId="0" xfId="0"/>
    <x:xf numFmtId="0" fontId="2" fillId="26" borderId="0" xfId="0" applyAlignment="1">
      <x:alignment horizontal="left"/>
    </x:xf>
    <x:xf numFmtId="0" fontId="2" fillId="26" borderId="0" xfId="0" applyAlignment="1">
      <x:alignment horizontal="left" vertical="center"/>
    </x:xf>
    <x:xf numFmtId="0" fontId="0" fillId="27" borderId="0" xfId="0"/>
    <x:xf numFmtId="0" fontId="3" fillId="27" borderId="0" xfId="0"/>
    <x:xf numFmtId="0" fontId="3" fillId="27" borderId="1" xfId="0"/>
    <x:xf numFmtId="0" fontId="3" fillId="27" borderId="1" xfId="0" applyAlignment="1">
      <x:alignment wrapText="1"/>
    </x:xf>
    <x:xf numFmtId="0" fontId="3" fillId="27" borderId="1" xfId="0" applyAlignment="1">
      <x:alignment horizontal="left" wrapText="1"/>
    </x:xf>
    <x:xf numFmtId="0" fontId="3" fillId="27" borderId="1" xfId="0" applyAlignment="1">
      <x:alignment horizontal="left" vertical="center" wrapText="1"/>
    </x:xf>
    <x:xf numFmtId="0" fontId="0" fillId="28" borderId="0" xfId="0"/>
    <x:xf numFmtId="0" fontId="4" fillId="28" borderId="0" xfId="0"/>
    <x:xf numFmtId="0" fontId="4" fillId="28" borderId="0" xfId="0" applyAlignment="1">
      <x:alignment wrapText="1"/>
    </x:xf>
    <x:xf numFmtId="0" fontId="4" fillId="28" borderId="0" xfId="0" applyAlignment="1">
      <x:alignment horizontal="left" wrapText="1"/>
    </x:xf>
    <x:xf numFmtId="0" fontId="4" fillId="28" borderId="0" xfId="0" applyAlignment="1">
      <x:alignment horizontal="left" vertical="center" wrapText="1"/>
    </x:xf>
    <x:xf numFmtId="0" fontId="5" fillId="29" borderId="2" xfId="0" applyAlignment="1">
      <x:alignment horizontal="left" vertical="center"/>
    </x:xf>
    <x:xf numFmtId="0" fontId="6" fillId="29" borderId="2" xfId="0" applyAlignment="1">
      <x:alignment horizontal="left" vertical="center"/>
    </x:xf>
    <x:xf numFmtId="0" fontId="7" fillId="29" borderId="0" xfId="0" applyAlignment="1">
      <x:alignment horizontal="left" vertical="center" wrapText="1"/>
    </x:xf>
    <x:xf numFmtId="0" fontId="6" fillId="30" borderId="0" xfId="0" applyAlignment="1">
      <x:alignment horizontal="left" vertical="center" wrapText="1"/>
    </x:xf>
    <x:xf numFmtId="0" fontId="8" fillId="30" borderId="0" xfId="0" applyAlignment="1">
      <x:alignment horizontal="left" vertical="center" wrapText="1"/>
    </x:xf>
    <x:xf numFmtId="0" fontId="6" fillId="31" borderId="0" xfId="0" applyAlignment="1">
      <x:alignment horizontal="left" vertical="center" wrapText="1"/>
    </x:xf>
    <x:xf numFmtId="0" fontId="9" fillId="31" borderId="0" xfId="0" applyAlignment="1">
      <x:alignment horizontal="left" vertical="center" wrapText="1"/>
    </x:xf>
    <x:xf numFmtId="0" fontId="6" fillId="28" borderId="0" xfId="0" applyAlignment="1">
      <x:alignment horizontal="left" vertical="center" wrapText="1"/>
    </x:xf>
    <x:xf numFmtId="0" fontId="10" fillId="28" borderId="0" xfId="0" applyAlignment="1">
      <x:alignment horizontal="left" vertical="center" wrapText="1"/>
    </x:xf>
    <x:xf numFmtId="0" fontId="5" fillId="30" borderId="0" xfId="0" applyAlignment="1">
      <x:alignment horizontal="left" vertical="center" wrapText="1"/>
    </x:xf>
    <x:xf numFmtId="0" fontId="0" fillId="26" borderId="0" xfId="0" applyAlignment="1">
      <x:alignment vertical="center"/>
    </x:xf>
    <x:xf numFmtId="0" fontId="11" fillId="26" borderId="0" xfId="0" applyAlignment="1">
      <x:alignment vertical="center"/>
    </x:xf>
    <x:xf numFmtId="0" fontId="11" fillId="26" borderId="0" xfId="0" applyAlignment="1">
      <x:alignment horizontal="left" vertical="center"/>
    </x:xf>
    <x:xf numFmtId="0" fontId="0" fillId="27" borderId="0" xfId="0" applyAlignment="1">
      <x:alignment vertical="center"/>
    </x:xf>
    <x:xf numFmtId="0" fontId="3" fillId="27" borderId="0" xfId="0" applyAlignment="1">
      <x:alignment vertical="center"/>
    </x:xf>
    <x:xf numFmtId="0" fontId="3" fillId="27" borderId="0" xfId="0" applyAlignment="1">
      <x:alignment vertical="center" wrapText="1"/>
    </x:xf>
    <x:xf numFmtId="0" fontId="3" fillId="27" borderId="0" xfId="0" applyAlignment="1">
      <x:alignment horizontal="left" vertical="center" wrapText="1"/>
    </x:xf>
    <x:xf numFmtId="0" fontId="0" fillId="29" borderId="0" xfId="0" applyAlignment="1">
      <x:alignment vertical="center"/>
    </x:xf>
    <x:xf numFmtId="0" fontId="12" fillId="29" borderId="0" xfId="0" applyAlignment="1">
      <x:alignment vertical="center"/>
    </x:xf>
    <x:xf numFmtId="0" fontId="12" fillId="29" borderId="0" xfId="0" applyAlignment="1">
      <x:alignment vertical="center" wrapText="1"/>
    </x:xf>
    <x:xf numFmtId="0" fontId="12" fillId="29" borderId="0" xfId="0" applyAlignment="1">
      <x:alignment horizontal="left" vertical="center" wrapText="1"/>
    </x:xf>
    <x:xf numFmtId="0" fontId="0" fillId="32" borderId="0" xfId="0"/>
    <x:xf numFmtId="0" fontId="1" fillId="32" borderId="0" xfId="0"/>
    <x:xf numFmtId="0" fontId="1" fillId="32" borderId="0" xfId="0" applyAlignment="1">
      <x:alignment horizontal="left"/>
    </x:xf>
    <x:xf numFmtId="0" fontId="1" fillId="32" borderId="0" xfId="0" applyAlignment="1">
      <x:alignment horizontal="left" vertical="center"/>
    </x:xf>
    <x:xf numFmtId="0" fontId="2" fillId="32" borderId="0" xfId="0"/>
    <x:xf numFmtId="0" fontId="2" fillId="32" borderId="0" xfId="0" applyAlignment="1">
      <x:alignment horizontal="left"/>
    </x:xf>
    <x:xf numFmtId="0" fontId="2" fillId="32" borderId="0" xfId="0" applyAlignment="1">
      <x:alignment horizontal="left" vertical="center"/>
    </x:xf>
    <x:xf numFmtId="0" fontId="0" fillId="33" borderId="0" xfId="0"/>
    <x:xf numFmtId="0" fontId="3" fillId="33" borderId="0" xfId="0"/>
    <x:xf numFmtId="0" fontId="3" fillId="33" borderId="1" xfId="0"/>
    <x:xf numFmtId="0" fontId="3" fillId="33" borderId="1" xfId="0" applyAlignment="1">
      <x:alignment wrapText="1"/>
    </x:xf>
    <x:xf numFmtId="0" fontId="3" fillId="33" borderId="1" xfId="0" applyAlignment="1">
      <x:alignment horizontal="left" wrapText="1"/>
    </x:xf>
    <x:xf numFmtId="0" fontId="3" fillId="33" borderId="1" xfId="0" applyAlignment="1">
      <x:alignment horizontal="left" vertical="center" wrapText="1"/>
    </x:xf>
    <x:xf numFmtId="0" fontId="0" fillId="34" borderId="0" xfId="0"/>
    <x:xf numFmtId="0" fontId="4" fillId="34" borderId="0" xfId="0"/>
    <x:xf numFmtId="0" fontId="4" fillId="34" borderId="0" xfId="0" applyAlignment="1">
      <x:alignment wrapText="1"/>
    </x:xf>
    <x:xf numFmtId="0" fontId="4" fillId="34" borderId="0" xfId="0" applyAlignment="1">
      <x:alignment horizontal="left" wrapText="1"/>
    </x:xf>
    <x:xf numFmtId="0" fontId="4" fillId="34" borderId="0" xfId="0" applyAlignment="1">
      <x:alignment horizontal="left" vertical="center" wrapText="1"/>
    </x:xf>
    <x:xf numFmtId="0" fontId="5" fillId="35" borderId="2" xfId="0" applyAlignment="1">
      <x:alignment horizontal="left" vertical="center"/>
    </x:xf>
    <x:xf numFmtId="0" fontId="6" fillId="35" borderId="2" xfId="0" applyAlignment="1">
      <x:alignment horizontal="left" vertical="center"/>
    </x:xf>
    <x:xf numFmtId="0" fontId="7" fillId="35" borderId="0" xfId="0" applyAlignment="1">
      <x:alignment horizontal="left" vertical="center" wrapText="1"/>
    </x:xf>
    <x:xf numFmtId="0" fontId="6" fillId="36" borderId="0" xfId="0" applyAlignment="1">
      <x:alignment horizontal="left" vertical="center" wrapText="1"/>
    </x:xf>
    <x:xf numFmtId="0" fontId="8" fillId="36" borderId="0" xfId="0" applyAlignment="1">
      <x:alignment horizontal="left" vertical="center" wrapText="1"/>
    </x:xf>
    <x:xf numFmtId="0" fontId="6" fillId="37" borderId="0" xfId="0" applyAlignment="1">
      <x:alignment horizontal="left" vertical="center" wrapText="1"/>
    </x:xf>
    <x:xf numFmtId="0" fontId="9" fillId="37" borderId="0" xfId="0" applyAlignment="1">
      <x:alignment horizontal="left" vertical="center" wrapText="1"/>
    </x:xf>
    <x:xf numFmtId="0" fontId="6" fillId="34" borderId="0" xfId="0" applyAlignment="1">
      <x:alignment horizontal="left" vertical="center" wrapText="1"/>
    </x:xf>
    <x:xf numFmtId="0" fontId="10" fillId="34" borderId="0" xfId="0" applyAlignment="1">
      <x:alignment horizontal="left" vertical="center" wrapText="1"/>
    </x:xf>
    <x:xf numFmtId="0" fontId="5" fillId="37" borderId="0" xfId="0" applyAlignment="1">
      <x:alignment horizontal="left" vertical="center" wrapText="1"/>
    </x:xf>
    <x:xf numFmtId="0" fontId="5" fillId="36" borderId="0" xfId="0" applyAlignment="1">
      <x:alignment horizontal="left" vertical="center" wrapText="1"/>
    </x:xf>
    <x:xf numFmtId="0" fontId="5" fillId="32" borderId="0" xfId="0" applyAlignment="1">
      <x:alignment horizontal="left" vertical="center"/>
    </x:xf>
    <x:xf numFmtId="0" fontId="4" fillId="32" borderId="0" xfId="0" applyAlignment="1">
      <x:alignment horizontal="left" vertical="center" wrapText="1"/>
    </x:xf>
    <x:xf numFmtId="0" fontId="13" fillId="32" borderId="0" xfId="0" applyAlignment="1">
      <x:alignment horizontal="left" vertical="center" wrapText="1"/>
    </x:xf>
    <x:xf numFmtId="0" fontId="0" fillId="33" borderId="0" xfId="0" applyAlignment="1">
      <x:alignment vertical="center"/>
    </x:xf>
    <x:xf numFmtId="0" fontId="3" fillId="33" borderId="0" xfId="0" applyAlignment="1">
      <x:alignment vertical="center"/>
    </x:xf>
    <x:xf numFmtId="0" fontId="3" fillId="33" borderId="0" xfId="0" applyAlignment="1">
      <x:alignment vertical="center" wrapText="1"/>
    </x:xf>
    <x:xf numFmtId="0" fontId="3" fillId="33" borderId="0" xfId="0" applyAlignment="1">
      <x:alignment horizontal="left" vertical="center" wrapText="1"/>
    </x:xf>
    <x:xf numFmtId="0" fontId="0" fillId="35" borderId="0" xfId="0" applyAlignment="1">
      <x:alignment vertical="center"/>
    </x:xf>
    <x:xf numFmtId="0" fontId="12" fillId="35" borderId="0" xfId="0" applyAlignment="1">
      <x:alignment vertical="center"/>
    </x:xf>
    <x:xf numFmtId="0" fontId="12" fillId="35" borderId="0" xfId="0" applyAlignment="1">
      <x:alignment vertical="center" wrapText="1"/>
    </x:xf>
    <x:xf numFmtId="0" fontId="12" fillId="35" borderId="0" xfId="0" applyAlignment="1">
      <x:alignment horizontal="left" vertical="center" wrapText="1"/>
    </x:xf>
    <x:xf numFmtId="0" fontId="0" fillId="38" borderId="0" xfId="0"/>
    <x:xf numFmtId="0" fontId="1" fillId="38" borderId="0" xfId="0"/>
    <x:xf numFmtId="0" fontId="1" fillId="38" borderId="0" xfId="0" applyAlignment="1">
      <x:alignment horizontal="left"/>
    </x:xf>
    <x:xf numFmtId="0" fontId="1" fillId="38" borderId="0" xfId="0" applyAlignment="1">
      <x:alignment horizontal="left" vertical="center"/>
    </x:xf>
    <x:xf numFmtId="0" fontId="2" fillId="38" borderId="0" xfId="0"/>
    <x:xf numFmtId="0" fontId="2" fillId="38" borderId="0" xfId="0" applyAlignment="1">
      <x:alignment horizontal="left"/>
    </x:xf>
    <x:xf numFmtId="0" fontId="2" fillId="38" borderId="0" xfId="0" applyAlignment="1">
      <x:alignment horizontal="left" vertical="center"/>
    </x:xf>
    <x:xf numFmtId="0" fontId="0" fillId="39" borderId="0" xfId="0"/>
    <x:xf numFmtId="0" fontId="3" fillId="39" borderId="0" xfId="0"/>
    <x:xf numFmtId="0" fontId="3" fillId="39" borderId="1" xfId="0"/>
    <x:xf numFmtId="0" fontId="3" fillId="39" borderId="1" xfId="0" applyAlignment="1">
      <x:alignment wrapText="1"/>
    </x:xf>
    <x:xf numFmtId="0" fontId="3" fillId="39" borderId="1" xfId="0" applyAlignment="1">
      <x:alignment horizontal="left" wrapText="1"/>
    </x:xf>
    <x:xf numFmtId="0" fontId="3" fillId="39" borderId="1" xfId="0" applyAlignment="1">
      <x:alignment horizontal="left" vertical="center" wrapText="1"/>
    </x:xf>
    <x:xf numFmtId="0" fontId="0" fillId="40" borderId="0" xfId="0"/>
    <x:xf numFmtId="0" fontId="4" fillId="40" borderId="0" xfId="0"/>
    <x:xf numFmtId="0" fontId="4" fillId="40" borderId="0" xfId="0" applyAlignment="1">
      <x:alignment wrapText="1"/>
    </x:xf>
    <x:xf numFmtId="0" fontId="4" fillId="40" borderId="0" xfId="0" applyAlignment="1">
      <x:alignment horizontal="left" wrapText="1"/>
    </x:xf>
    <x:xf numFmtId="0" fontId="4" fillId="40" borderId="0" xfId="0" applyAlignment="1">
      <x:alignment horizontal="left" vertical="center" wrapText="1"/>
    </x:xf>
    <x:xf numFmtId="0" fontId="5" fillId="41" borderId="2" xfId="0" applyAlignment="1">
      <x:alignment horizontal="left" vertical="center"/>
    </x:xf>
    <x:xf numFmtId="0" fontId="6" fillId="41" borderId="2" xfId="0" applyAlignment="1">
      <x:alignment horizontal="left" vertical="center"/>
    </x:xf>
    <x:xf numFmtId="0" fontId="7" fillId="41" borderId="0" xfId="0" applyAlignment="1">
      <x:alignment horizontal="left" vertical="center" wrapText="1"/>
    </x:xf>
    <x:xf numFmtId="0" fontId="6" fillId="42" borderId="0" xfId="0" applyAlignment="1">
      <x:alignment horizontal="left" vertical="center" wrapText="1"/>
    </x:xf>
    <x:xf numFmtId="0" fontId="8" fillId="42" borderId="0" xfId="0" applyAlignment="1">
      <x:alignment horizontal="left" vertical="center" wrapText="1"/>
    </x:xf>
    <x:xf numFmtId="0" fontId="6" fillId="43" borderId="0" xfId="0" applyAlignment="1">
      <x:alignment horizontal="left" vertical="center" wrapText="1"/>
    </x:xf>
    <x:xf numFmtId="0" fontId="9" fillId="43" borderId="0" xfId="0" applyAlignment="1">
      <x:alignment horizontal="left" vertical="center" wrapText="1"/>
    </x:xf>
    <x:xf numFmtId="0" fontId="6" fillId="40" borderId="0" xfId="0" applyAlignment="1">
      <x:alignment horizontal="left" vertical="center" wrapText="1"/>
    </x:xf>
    <x:xf numFmtId="0" fontId="10" fillId="40" borderId="0" xfId="0" applyAlignment="1">
      <x:alignment horizontal="left" vertical="center" wrapText="1"/>
    </x:xf>
    <x:xf numFmtId="0" fontId="5" fillId="38" borderId="0" xfId="0" applyAlignment="1">
      <x:alignment horizontal="left" vertical="center"/>
    </x:xf>
    <x:xf numFmtId="0" fontId="11" fillId="38" borderId="0" xfId="0"/>
    <x:xf numFmtId="0" fontId="11" fillId="38" borderId="0" xfId="0" applyAlignment="1">
      <x:alignment horizontal="left"/>
    </x:xf>
    <x:xf numFmtId="0" fontId="11" fillId="38" borderId="0" xfId="0" applyAlignment="1">
      <x:alignment horizontal="left" vertical="center"/>
    </x:xf>
    <x:xf numFmtId="0" fontId="3" fillId="39" borderId="0" xfId="0" applyAlignment="1">
      <x:alignment wrapText="1"/>
    </x:xf>
    <x:xf numFmtId="0" fontId="3" fillId="39" borderId="0" xfId="0" applyAlignment="1">
      <x:alignment horizontal="left" wrapText="1"/>
    </x:xf>
    <x:xf numFmtId="0" fontId="3" fillId="39" borderId="0" xfId="0" applyAlignment="1">
      <x:alignment horizontal="left" vertical="center" wrapText="1"/>
    </x:xf>
    <x:xf numFmtId="0" fontId="0" fillId="41" borderId="0" xfId="0"/>
    <x:xf numFmtId="0" fontId="12" fillId="41" borderId="0" xfId="0"/>
    <x:xf numFmtId="0" fontId="12" fillId="41" borderId="0" xfId="0" applyAlignment="1">
      <x:alignment wrapText="1"/>
    </x:xf>
    <x:xf numFmtId="0" fontId="12" fillId="41" borderId="0" xfId="0" applyAlignment="1">
      <x:alignment horizontal="left" wrapText="1"/>
    </x:xf>
    <x:xf numFmtId="0" fontId="12" fillId="41" borderId="0" xfId="0" applyAlignment="1">
      <x:alignment horizontal="left" vertical="center" wrapText="1"/>
    </x:xf>
    <x:xf numFmtId="0" fontId="0" fillId="44" borderId="0" xfId="0"/>
    <x:xf numFmtId="0" fontId="1" fillId="44" borderId="0" xfId="0"/>
    <x:xf numFmtId="0" fontId="1" fillId="44" borderId="0" xfId="0" applyAlignment="1">
      <x:alignment horizontal="left"/>
    </x:xf>
    <x:xf numFmtId="0" fontId="1" fillId="44" borderId="0" xfId="0" applyAlignment="1">
      <x:alignment horizontal="left" vertical="center"/>
    </x:xf>
    <x:xf numFmtId="0" fontId="2" fillId="44" borderId="0" xfId="0"/>
    <x:xf numFmtId="0" fontId="2" fillId="44" borderId="0" xfId="0" applyAlignment="1">
      <x:alignment horizontal="left"/>
    </x:xf>
    <x:xf numFmtId="0" fontId="2" fillId="44" borderId="0" xfId="0" applyAlignment="1">
      <x:alignment horizontal="left" vertical="center"/>
    </x:xf>
    <x:xf numFmtId="0" fontId="0" fillId="45" borderId="0" xfId="0"/>
    <x:xf numFmtId="0" fontId="3" fillId="45" borderId="0" xfId="0"/>
    <x:xf numFmtId="0" fontId="3" fillId="45" borderId="1" xfId="0"/>
    <x:xf numFmtId="0" fontId="3" fillId="45" borderId="1" xfId="0" applyAlignment="1">
      <x:alignment wrapText="1"/>
    </x:xf>
    <x:xf numFmtId="0" fontId="3" fillId="45" borderId="1" xfId="0" applyAlignment="1">
      <x:alignment horizontal="left" wrapText="1"/>
    </x:xf>
    <x:xf numFmtId="0" fontId="3" fillId="45" borderId="1" xfId="0" applyAlignment="1">
      <x:alignment horizontal="left" vertical="center" wrapText="1"/>
    </x:xf>
    <x:xf numFmtId="0" fontId="0" fillId="46" borderId="0" xfId="0"/>
    <x:xf numFmtId="0" fontId="4" fillId="46" borderId="0" xfId="0"/>
    <x:xf numFmtId="0" fontId="4" fillId="46" borderId="0" xfId="0" applyAlignment="1">
      <x:alignment wrapText="1"/>
    </x:xf>
    <x:xf numFmtId="0" fontId="4" fillId="46" borderId="0" xfId="0" applyAlignment="1">
      <x:alignment horizontal="left" wrapText="1"/>
    </x:xf>
    <x:xf numFmtId="0" fontId="4" fillId="46" borderId="0" xfId="0" applyAlignment="1">
      <x:alignment horizontal="left" vertical="center" wrapText="1"/>
    </x:xf>
    <x:xf numFmtId="0" fontId="5" fillId="47" borderId="2" xfId="0" applyAlignment="1">
      <x:alignment horizontal="left" vertical="center"/>
    </x:xf>
    <x:xf numFmtId="0" fontId="6" fillId="47" borderId="2" xfId="0" applyAlignment="1">
      <x:alignment horizontal="left" vertical="center"/>
    </x:xf>
    <x:xf numFmtId="0" fontId="7" fillId="47" borderId="0" xfId="0" applyAlignment="1">
      <x:alignment horizontal="left" vertical="center" wrapText="1"/>
    </x:xf>
    <x:xf numFmtId="0" fontId="6" fillId="48" borderId="0" xfId="0" applyAlignment="1">
      <x:alignment horizontal="left" vertical="center" wrapText="1"/>
    </x:xf>
    <x:xf numFmtId="0" fontId="8" fillId="48" borderId="0" xfId="0" applyAlignment="1">
      <x:alignment horizontal="left" vertical="center" wrapText="1"/>
    </x:xf>
    <x:xf numFmtId="0" fontId="6" fillId="49" borderId="0" xfId="0" applyAlignment="1">
      <x:alignment horizontal="left" vertical="center" wrapText="1"/>
    </x:xf>
    <x:xf numFmtId="0" fontId="9" fillId="49" borderId="0" xfId="0" applyAlignment="1">
      <x:alignment horizontal="left" vertical="center" wrapText="1"/>
    </x:xf>
    <x:xf numFmtId="0" fontId="6" fillId="46" borderId="0" xfId="0" applyAlignment="1">
      <x:alignment horizontal="left" vertical="center" wrapText="1"/>
    </x:xf>
    <x:xf numFmtId="0" fontId="10" fillId="46" borderId="0" xfId="0" applyAlignment="1">
      <x:alignment horizontal="left" vertical="center" wrapText="1"/>
    </x:xf>
    <x:xf numFmtId="0" fontId="5" fillId="49" borderId="0" xfId="0" applyAlignment="1">
      <x:alignment horizontal="left" vertical="center" wrapText="1"/>
    </x:xf>
    <x:xf numFmtId="0" fontId="5" fillId="48" borderId="0" xfId="0" applyAlignment="1">
      <x:alignment horizontal="left" vertical="center" wrapText="1"/>
    </x:xf>
    <x:xf numFmtId="0" fontId="5" fillId="46" borderId="0" xfId="0" applyAlignment="1">
      <x:alignment horizontal="left" vertical="center" wrapText="1"/>
    </x:xf>
    <x:xf numFmtId="0" fontId="5" fillId="44" borderId="0" xfId="0" applyAlignment="1">
      <x:alignment horizontal="left" vertical="center"/>
    </x:xf>
    <x:xf numFmtId="0" fontId="5" fillId="45" borderId="0" xfId="0" applyAlignment="1">
      <x:alignment horizontal="left" vertical="center"/>
    </x:xf>
    <x:xf numFmtId="0" fontId="3" fillId="45" borderId="0" xfId="0" applyAlignment="1">
      <x:alignment horizontal="left" vertical="center"/>
    </x:xf>
    <x:xf numFmtId="0" fontId="3" fillId="45" borderId="1" xfId="0" applyAlignment="1">
      <x:alignment horizontal="left" vertical="center"/>
    </x:xf>
    <x:xf numFmtId="0" fontId="11" fillId="44" borderId="0" xfId="0"/>
    <x:xf numFmtId="0" fontId="11" fillId="44" borderId="0" xfId="0" applyAlignment="1">
      <x:alignment horizontal="left"/>
    </x:xf>
    <x:xf numFmtId="0" fontId="11" fillId="44" borderId="0" xfId="0" applyAlignment="1">
      <x:alignment horizontal="left" vertical="center"/>
    </x:xf>
    <x:xf numFmtId="0" fontId="3" fillId="45" borderId="0" xfId="0" applyAlignment="1">
      <x:alignment wrapText="1"/>
    </x:xf>
    <x:xf numFmtId="0" fontId="3" fillId="45" borderId="0" xfId="0" applyAlignment="1">
      <x:alignment horizontal="left" wrapText="1"/>
    </x:xf>
    <x:xf numFmtId="0" fontId="3" fillId="45" borderId="0" xfId="0" applyAlignment="1">
      <x:alignment horizontal="left" vertical="center" wrapText="1"/>
    </x:xf>
    <x:xf numFmtId="0" fontId="0" fillId="47" borderId="0" xfId="0"/>
    <x:xf numFmtId="0" fontId="12" fillId="47" borderId="0" xfId="0"/>
    <x:xf numFmtId="0" fontId="12" fillId="47" borderId="0" xfId="0" applyAlignment="1">
      <x:alignment wrapText="1"/>
    </x:xf>
    <x:xf numFmtId="0" fontId="12" fillId="47" borderId="0" xfId="0" applyAlignment="1">
      <x:alignment horizontal="left" wrapText="1"/>
    </x:xf>
    <x:xf numFmtId="0" fontId="12" fillId="47" borderId="0" xfId="0" applyAlignment="1">
      <x:alignment horizontal="left" vertical="center" wrapText="1"/>
    </x:xf>
    <x:xf numFmtId="0" fontId="0" fillId="50" borderId="0" xfId="0"/>
    <x:xf numFmtId="0" fontId="1" fillId="50" borderId="0" xfId="0"/>
    <x:xf numFmtId="0" fontId="1" fillId="50" borderId="0" xfId="0" applyAlignment="1">
      <x:alignment horizontal="left"/>
    </x:xf>
    <x:xf numFmtId="0" fontId="1" fillId="50" borderId="0" xfId="0" applyAlignment="1">
      <x:alignment horizontal="left" vertical="center"/>
    </x:xf>
    <x:xf numFmtId="0" fontId="2" fillId="50" borderId="0" xfId="0"/>
    <x:xf numFmtId="0" fontId="2" fillId="50" borderId="0" xfId="0" applyAlignment="1">
      <x:alignment horizontal="left"/>
    </x:xf>
    <x:xf numFmtId="0" fontId="2" fillId="50" borderId="0" xfId="0" applyAlignment="1">
      <x:alignment horizontal="left" vertical="center"/>
    </x:xf>
    <x:xf numFmtId="0" fontId="0" fillId="51" borderId="0" xfId="0"/>
    <x:xf numFmtId="0" fontId="3" fillId="51" borderId="0" xfId="0"/>
    <x:xf numFmtId="0" fontId="3" fillId="51" borderId="1" xfId="0"/>
    <x:xf numFmtId="0" fontId="3" fillId="51" borderId="1" xfId="0" applyAlignment="1">
      <x:alignment wrapText="1"/>
    </x:xf>
    <x:xf numFmtId="0" fontId="3" fillId="51" borderId="1" xfId="0" applyAlignment="1">
      <x:alignment horizontal="left" wrapText="1"/>
    </x:xf>
    <x:xf numFmtId="0" fontId="3" fillId="51" borderId="1" xfId="0" applyAlignment="1">
      <x:alignment horizontal="left" vertical="center" wrapText="1"/>
    </x:xf>
    <x:xf numFmtId="0" fontId="0" fillId="52" borderId="0" xfId="0"/>
    <x:xf numFmtId="0" fontId="4" fillId="52" borderId="0" xfId="0"/>
    <x:xf numFmtId="0" fontId="4" fillId="52" borderId="0" xfId="0" applyAlignment="1">
      <x:alignment wrapText="1"/>
    </x:xf>
    <x:xf numFmtId="0" fontId="4" fillId="52" borderId="0" xfId="0" applyAlignment="1">
      <x:alignment horizontal="left" wrapText="1"/>
    </x:xf>
    <x:xf numFmtId="0" fontId="4" fillId="52" borderId="0" xfId="0" applyAlignment="1">
      <x:alignment horizontal="left" vertical="center" wrapText="1"/>
    </x:xf>
    <x:xf numFmtId="0" fontId="5" fillId="53" borderId="2" xfId="0" applyAlignment="1">
      <x:alignment horizontal="left" vertical="center"/>
    </x:xf>
    <x:xf numFmtId="0" fontId="6" fillId="53" borderId="2" xfId="0" applyAlignment="1">
      <x:alignment horizontal="left" vertical="center"/>
    </x:xf>
    <x:xf numFmtId="0" fontId="7" fillId="53" borderId="0" xfId="0" applyAlignment="1">
      <x:alignment horizontal="left" vertical="center" wrapText="1"/>
    </x:xf>
    <x:xf numFmtId="0" fontId="6" fillId="54" borderId="0" xfId="0" applyAlignment="1">
      <x:alignment horizontal="left" vertical="center" wrapText="1"/>
    </x:xf>
    <x:xf numFmtId="0" fontId="8" fillId="54" borderId="0" xfId="0" applyAlignment="1">
      <x:alignment horizontal="left" vertical="center" wrapText="1"/>
    </x:xf>
    <x:xf numFmtId="0" fontId="6" fillId="55" borderId="0" xfId="0" applyAlignment="1">
      <x:alignment horizontal="left" vertical="center" wrapText="1"/>
    </x:xf>
    <x:xf numFmtId="0" fontId="9" fillId="55" borderId="0" xfId="0" applyAlignment="1">
      <x:alignment horizontal="left" vertical="center" wrapText="1"/>
    </x:xf>
    <x:xf numFmtId="0" fontId="6" fillId="52" borderId="0" xfId="0" applyAlignment="1">
      <x:alignment horizontal="left" vertical="center" wrapText="1"/>
    </x:xf>
    <x:xf numFmtId="0" fontId="10" fillId="52" borderId="0" xfId="0" applyAlignment="1">
      <x:alignment horizontal="left" vertical="center" wrapText="1"/>
    </x:xf>
    <x:xf numFmtId="0" fontId="5" fillId="54" borderId="0" xfId="0" applyAlignment="1">
      <x:alignment horizontal="left" vertical="center" wrapText="1"/>
    </x:xf>
    <x:xf numFmtId="0" fontId="5" fillId="50" borderId="0" xfId="0" applyAlignment="1">
      <x:alignment horizontal="left" vertical="center"/>
    </x:xf>
    <x:xf numFmtId="0" fontId="5" fillId="51" borderId="0" xfId="0" applyAlignment="1">
      <x:alignment horizontal="left" vertical="center"/>
    </x:xf>
    <x:xf numFmtId="0" fontId="3" fillId="51" borderId="0" xfId="0" applyAlignment="1">
      <x:alignment horizontal="left" vertical="center"/>
    </x:xf>
    <x:xf numFmtId="0" fontId="3" fillId="51" borderId="1" xfId="0" applyAlignment="1">
      <x:alignment horizontal="left" vertical="center"/>
    </x:xf>
    <x:xf numFmtId="0" fontId="11" fillId="50" borderId="0" xfId="0"/>
    <x:xf numFmtId="0" fontId="11" fillId="50" borderId="0" xfId="0" applyAlignment="1">
      <x:alignment horizontal="left"/>
    </x:xf>
    <x:xf numFmtId="0" fontId="11" fillId="50" borderId="0" xfId="0" applyAlignment="1">
      <x:alignment horizontal="left" vertical="center"/>
    </x:xf>
    <x:xf numFmtId="0" fontId="3" fillId="51" borderId="0" xfId="0" applyAlignment="1">
      <x:alignment wrapText="1"/>
    </x:xf>
    <x:xf numFmtId="0" fontId="3" fillId="51" borderId="0" xfId="0" applyAlignment="1">
      <x:alignment horizontal="left" wrapText="1"/>
    </x:xf>
    <x:xf numFmtId="0" fontId="3" fillId="51" borderId="0" xfId="0" applyAlignment="1">
      <x:alignment horizontal="left" vertical="center" wrapText="1"/>
    </x:xf>
    <x:xf numFmtId="0" fontId="0" fillId="53" borderId="0" xfId="0"/>
    <x:xf numFmtId="0" fontId="12" fillId="53" borderId="0" xfId="0"/>
    <x:xf numFmtId="0" fontId="12" fillId="53" borderId="0" xfId="0" applyAlignment="1">
      <x:alignment wrapText="1"/>
    </x:xf>
    <x:xf numFmtId="0" fontId="12" fillId="53" borderId="0" xfId="0" applyAlignment="1">
      <x:alignment horizontal="left" wrapText="1"/>
    </x:xf>
    <x:xf numFmtId="0" fontId="12" fillId="53" borderId="0" xfId="0" applyAlignment="1">
      <x:alignment horizontal="left" vertical="center" wrapText="1"/>
    </x:xf>
    <x:xf numFmtId="0" fontId="0" fillId="56" borderId="0" xfId="0"/>
    <x:xf numFmtId="0" fontId="1" fillId="56" borderId="0" xfId="0"/>
    <x:xf numFmtId="0" fontId="1" fillId="56" borderId="0" xfId="0" applyAlignment="1">
      <x:alignment horizontal="left"/>
    </x:xf>
    <x:xf numFmtId="0" fontId="1" fillId="56" borderId="0" xfId="0" applyAlignment="1">
      <x:alignment horizontal="left" vertical="center"/>
    </x:xf>
    <x:xf numFmtId="0" fontId="2" fillId="56" borderId="0" xfId="0"/>
    <x:xf numFmtId="0" fontId="2" fillId="56" borderId="0" xfId="0" applyAlignment="1">
      <x:alignment horizontal="left"/>
    </x:xf>
    <x:xf numFmtId="0" fontId="2" fillId="56" borderId="0" xfId="0" applyAlignment="1">
      <x:alignment horizontal="left" vertical="center"/>
    </x:xf>
    <x:xf numFmtId="0" fontId="0" fillId="57" borderId="0" xfId="0"/>
    <x:xf numFmtId="0" fontId="3" fillId="57" borderId="0" xfId="0"/>
    <x:xf numFmtId="0" fontId="3" fillId="57" borderId="1" xfId="0"/>
    <x:xf numFmtId="0" fontId="3" fillId="57" borderId="1" xfId="0" applyAlignment="1">
      <x:alignment wrapText="1"/>
    </x:xf>
    <x:xf numFmtId="0" fontId="3" fillId="57" borderId="1" xfId="0" applyAlignment="1">
      <x:alignment horizontal="left" wrapText="1"/>
    </x:xf>
    <x:xf numFmtId="0" fontId="3" fillId="57" borderId="1" xfId="0" applyAlignment="1">
      <x:alignment horizontal="left" vertical="center" wrapText="1"/>
    </x:xf>
    <x:xf numFmtId="0" fontId="0" fillId="58" borderId="0" xfId="0"/>
    <x:xf numFmtId="0" fontId="4" fillId="58" borderId="0" xfId="0"/>
    <x:xf numFmtId="0" fontId="4" fillId="58" borderId="0" xfId="0" applyAlignment="1">
      <x:alignment wrapText="1"/>
    </x:xf>
    <x:xf numFmtId="0" fontId="4" fillId="58" borderId="0" xfId="0" applyAlignment="1">
      <x:alignment horizontal="left" wrapText="1"/>
    </x:xf>
    <x:xf numFmtId="0" fontId="4" fillId="58" borderId="0" xfId="0" applyAlignment="1">
      <x:alignment horizontal="left" vertical="center" wrapText="1"/>
    </x:xf>
    <x:xf numFmtId="0" fontId="5" fillId="59" borderId="2" xfId="0" applyAlignment="1">
      <x:alignment horizontal="left" vertical="center"/>
    </x:xf>
    <x:xf numFmtId="0" fontId="6" fillId="59" borderId="2" xfId="0" applyAlignment="1">
      <x:alignment horizontal="left" vertical="center"/>
    </x:xf>
    <x:xf numFmtId="0" fontId="7" fillId="59" borderId="0" xfId="0" applyAlignment="1">
      <x:alignment horizontal="left" vertical="center" wrapText="1"/>
    </x:xf>
    <x:xf numFmtId="0" fontId="6" fillId="60" borderId="0" xfId="0" applyAlignment="1">
      <x:alignment horizontal="left" vertical="center" wrapText="1"/>
    </x:xf>
    <x:xf numFmtId="0" fontId="8" fillId="60" borderId="0" xfId="0" applyAlignment="1">
      <x:alignment horizontal="left" vertical="center" wrapText="1"/>
    </x:xf>
    <x:xf numFmtId="0" fontId="6" fillId="61" borderId="0" xfId="0" applyAlignment="1">
      <x:alignment horizontal="left" vertical="center" wrapText="1"/>
    </x:xf>
    <x:xf numFmtId="0" fontId="9" fillId="61" borderId="0" xfId="0" applyAlignment="1">
      <x:alignment horizontal="left" vertical="center" wrapText="1"/>
    </x:xf>
    <x:xf numFmtId="0" fontId="6" fillId="58" borderId="0" xfId="0" applyAlignment="1">
      <x:alignment horizontal="left" vertical="center" wrapText="1"/>
    </x:xf>
    <x:xf numFmtId="0" fontId="10" fillId="58" borderId="0" xfId="0" applyAlignment="1">
      <x:alignment horizontal="left" vertical="center" wrapText="1"/>
    </x:xf>
    <x:xf numFmtId="0" fontId="5" fillId="56" borderId="0" xfId="0" applyAlignment="1">
      <x:alignment horizontal="left" vertical="center"/>
    </x:xf>
    <x:xf numFmtId="0" fontId="5" fillId="57" borderId="0" xfId="0" applyAlignment="1">
      <x:alignment horizontal="left" vertical="center"/>
    </x:xf>
    <x:xf numFmtId="0" fontId="3" fillId="57" borderId="0" xfId="0" applyAlignment="1">
      <x:alignment horizontal="left" vertical="center"/>
    </x:xf>
    <x:xf numFmtId="0" fontId="3" fillId="57" borderId="1" xfId="0" applyAlignment="1">
      <x:alignment horizontal="left" vertical="center"/>
    </x:xf>
    <x:xf numFmtId="0" fontId="11" fillId="56" borderId="0" xfId="0"/>
    <x:xf numFmtId="0" fontId="11" fillId="56" borderId="0" xfId="0" applyAlignment="1">
      <x:alignment horizontal="left"/>
    </x:xf>
    <x:xf numFmtId="0" fontId="11" fillId="56" borderId="0" xfId="0" applyAlignment="1">
      <x:alignment horizontal="left" vertical="center"/>
    </x:xf>
    <x:xf numFmtId="0" fontId="3" fillId="57" borderId="0" xfId="0" applyAlignment="1">
      <x:alignment wrapText="1"/>
    </x:xf>
    <x:xf numFmtId="0" fontId="3" fillId="57" borderId="0" xfId="0" applyAlignment="1">
      <x:alignment horizontal="left" wrapText="1"/>
    </x:xf>
    <x:xf numFmtId="0" fontId="3" fillId="57" borderId="0" xfId="0" applyAlignment="1">
      <x:alignment horizontal="left" vertical="center" wrapText="1"/>
    </x:xf>
    <x:xf numFmtId="0" fontId="0" fillId="59" borderId="0" xfId="0"/>
    <x:xf numFmtId="0" fontId="12" fillId="59" borderId="0" xfId="0"/>
    <x:xf numFmtId="0" fontId="12" fillId="59" borderId="0" xfId="0" applyAlignment="1">
      <x:alignment wrapText="1"/>
    </x:xf>
    <x:xf numFmtId="0" fontId="12" fillId="59" borderId="0" xfId="0" applyAlignment="1">
      <x:alignment horizontal="left" wrapText="1"/>
    </x:xf>
    <x:xf numFmtId="0" fontId="12" fillId="59" borderId="0" xfId="0" applyAlignment="1">
      <x:alignment horizontal="left" vertical="center" wrapText="1"/>
    </x:xf>
    <x:xf numFmtId="0" fontId="0" fillId="62" borderId="0" xfId="0"/>
    <x:xf numFmtId="0" fontId="1" fillId="62" borderId="0" xfId="0"/>
    <x:xf numFmtId="0" fontId="1" fillId="62" borderId="0" xfId="0" applyAlignment="1">
      <x:alignment horizontal="left"/>
    </x:xf>
    <x:xf numFmtId="0" fontId="1" fillId="62" borderId="0" xfId="0" applyAlignment="1">
      <x:alignment horizontal="left" vertical="center"/>
    </x:xf>
    <x:xf numFmtId="0" fontId="2" fillId="62" borderId="0" xfId="0"/>
    <x:xf numFmtId="0" fontId="2" fillId="62" borderId="0" xfId="0" applyAlignment="1">
      <x:alignment horizontal="left"/>
    </x:xf>
    <x:xf numFmtId="0" fontId="2" fillId="62" borderId="0" xfId="0" applyAlignment="1">
      <x:alignment horizontal="left" vertical="center"/>
    </x:xf>
    <x:xf numFmtId="0" fontId="0" fillId="63" borderId="0" xfId="0"/>
    <x:xf numFmtId="0" fontId="3" fillId="63" borderId="0" xfId="0"/>
    <x:xf numFmtId="0" fontId="3" fillId="63" borderId="1" xfId="0"/>
    <x:xf numFmtId="0" fontId="3" fillId="63" borderId="1" xfId="0" applyAlignment="1">
      <x:alignment wrapText="1"/>
    </x:xf>
    <x:xf numFmtId="0" fontId="3" fillId="63" borderId="1" xfId="0" applyAlignment="1">
      <x:alignment horizontal="left" wrapText="1"/>
    </x:xf>
    <x:xf numFmtId="0" fontId="3" fillId="63" borderId="1" xfId="0" applyAlignment="1">
      <x:alignment horizontal="left" vertical="center" wrapText="1"/>
    </x:xf>
    <x:xf numFmtId="0" fontId="0" fillId="64" borderId="0" xfId="0"/>
    <x:xf numFmtId="0" fontId="4" fillId="64" borderId="0" xfId="0"/>
    <x:xf numFmtId="0" fontId="4" fillId="64" borderId="0" xfId="0" applyAlignment="1">
      <x:alignment wrapText="1"/>
    </x:xf>
    <x:xf numFmtId="0" fontId="4" fillId="64" borderId="0" xfId="0" applyAlignment="1">
      <x:alignment horizontal="left" wrapText="1"/>
    </x:xf>
    <x:xf numFmtId="0" fontId="4" fillId="64" borderId="0" xfId="0" applyAlignment="1">
      <x:alignment horizontal="left" vertical="center" wrapText="1"/>
    </x:xf>
    <x:xf numFmtId="0" fontId="5" fillId="65" borderId="2" xfId="0" applyAlignment="1">
      <x:alignment horizontal="left" vertical="center"/>
    </x:xf>
    <x:xf numFmtId="0" fontId="6" fillId="65" borderId="2" xfId="0" applyAlignment="1">
      <x:alignment horizontal="left" vertical="center"/>
    </x:xf>
    <x:xf numFmtId="0" fontId="7" fillId="65" borderId="0" xfId="0" applyAlignment="1">
      <x:alignment horizontal="left" vertical="center" wrapText="1"/>
    </x:xf>
    <x:xf numFmtId="0" fontId="6" fillId="66" borderId="0" xfId="0" applyAlignment="1">
      <x:alignment horizontal="left" vertical="center" wrapText="1"/>
    </x:xf>
    <x:xf numFmtId="0" fontId="8" fillId="66" borderId="0" xfId="0" applyAlignment="1">
      <x:alignment horizontal="left" vertical="center" wrapText="1"/>
    </x:xf>
    <x:xf numFmtId="0" fontId="6" fillId="67" borderId="0" xfId="0" applyAlignment="1">
      <x:alignment horizontal="left" vertical="center" wrapText="1"/>
    </x:xf>
    <x:xf numFmtId="0" fontId="9" fillId="67" borderId="0" xfId="0" applyAlignment="1">
      <x:alignment horizontal="left" vertical="center" wrapText="1"/>
    </x:xf>
    <x:xf numFmtId="0" fontId="6" fillId="64" borderId="0" xfId="0" applyAlignment="1">
      <x:alignment horizontal="left" vertical="center" wrapText="1"/>
    </x:xf>
    <x:xf numFmtId="0" fontId="10" fillId="64" borderId="0" xfId="0" applyAlignment="1">
      <x:alignment horizontal="left" vertical="center" wrapText="1"/>
    </x:xf>
    <x:xf numFmtId="0" fontId="5" fillId="67" borderId="0" xfId="0" applyAlignment="1">
      <x:alignment horizontal="left" vertical="center" wrapText="1"/>
    </x:xf>
    <x:xf numFmtId="0" fontId="5" fillId="66" borderId="0" xfId="0" applyAlignment="1">
      <x:alignment horizontal="left" vertical="center" wrapText="1"/>
    </x:xf>
    <x:xf numFmtId="0" fontId="5" fillId="62" borderId="0" xfId="0" applyAlignment="1">
      <x:alignment horizontal="left" vertical="center"/>
    </x:xf>
    <x:xf numFmtId="0" fontId="5" fillId="63" borderId="0" xfId="0" applyAlignment="1">
      <x:alignment horizontal="left" vertical="center"/>
    </x:xf>
    <x:xf numFmtId="0" fontId="3" fillId="63" borderId="0" xfId="0" applyAlignment="1">
      <x:alignment horizontal="left" vertical="center"/>
    </x:xf>
    <x:xf numFmtId="0" fontId="3" fillId="63" borderId="1" xfId="0" applyAlignment="1">
      <x:alignment horizontal="left" vertical="center"/>
    </x:xf>
    <x:xf numFmtId="0" fontId="11" fillId="62" borderId="0" xfId="0"/>
    <x:xf numFmtId="0" fontId="11" fillId="62" borderId="0" xfId="0" applyAlignment="1">
      <x:alignment horizontal="left"/>
    </x:xf>
    <x:xf numFmtId="0" fontId="11" fillId="62" borderId="0" xfId="0" applyAlignment="1">
      <x:alignment horizontal="left" vertical="center"/>
    </x:xf>
    <x:xf numFmtId="0" fontId="3" fillId="63" borderId="0" xfId="0" applyAlignment="1">
      <x:alignment wrapText="1"/>
    </x:xf>
    <x:xf numFmtId="0" fontId="3" fillId="63" borderId="0" xfId="0" applyAlignment="1">
      <x:alignment horizontal="left" wrapText="1"/>
    </x:xf>
    <x:xf numFmtId="0" fontId="3" fillId="63" borderId="0" xfId="0" applyAlignment="1">
      <x:alignment horizontal="left" vertical="center" wrapText="1"/>
    </x:xf>
    <x:xf numFmtId="0" fontId="0" fillId="65" borderId="0" xfId="0"/>
    <x:xf numFmtId="0" fontId="12" fillId="65" borderId="0" xfId="0"/>
    <x:xf numFmtId="0" fontId="12" fillId="65" borderId="0" xfId="0" applyAlignment="1">
      <x:alignment wrapText="1"/>
    </x:xf>
    <x:xf numFmtId="0" fontId="12" fillId="65" borderId="0" xfId="0" applyAlignment="1">
      <x:alignment horizontal="left" wrapText="1"/>
    </x:xf>
    <x:xf numFmtId="0" fontId="12" fillId="65" borderId="0" xfId="0" applyAlignment="1">
      <x:alignment horizontal="left" vertical="center" wrapText="1"/>
    </x:xf>
    <x:xf numFmtId="0" fontId="0" fillId="68" borderId="0" xfId="0"/>
    <x:xf numFmtId="0" fontId="1" fillId="68" borderId="0" xfId="0"/>
    <x:xf numFmtId="0" fontId="1" fillId="68" borderId="0" xfId="0" applyAlignment="1">
      <x:alignment horizontal="left"/>
    </x:xf>
    <x:xf numFmtId="0" fontId="1" fillId="68" borderId="0" xfId="0" applyAlignment="1">
      <x:alignment horizontal="left" vertical="center"/>
    </x:xf>
    <x:xf numFmtId="0" fontId="2" fillId="68" borderId="0" xfId="0"/>
    <x:xf numFmtId="0" fontId="2" fillId="68" borderId="0" xfId="0" applyAlignment="1">
      <x:alignment horizontal="left"/>
    </x:xf>
    <x:xf numFmtId="0" fontId="2" fillId="68" borderId="0" xfId="0" applyAlignment="1">
      <x:alignment horizontal="left" vertical="center"/>
    </x:xf>
    <x:xf numFmtId="0" fontId="0" fillId="69" borderId="0" xfId="0"/>
    <x:xf numFmtId="0" fontId="3" fillId="69" borderId="0" xfId="0"/>
    <x:xf numFmtId="0" fontId="3" fillId="69" borderId="1" xfId="0"/>
    <x:xf numFmtId="0" fontId="3" fillId="69" borderId="1" xfId="0" applyAlignment="1">
      <x:alignment wrapText="1"/>
    </x:xf>
    <x:xf numFmtId="0" fontId="3" fillId="69" borderId="1" xfId="0" applyAlignment="1">
      <x:alignment horizontal="left" wrapText="1"/>
    </x:xf>
    <x:xf numFmtId="0" fontId="3" fillId="69" borderId="1" xfId="0" applyAlignment="1">
      <x:alignment horizontal="left" vertical="center" wrapText="1"/>
    </x:xf>
    <x:xf numFmtId="0" fontId="0" fillId="70" borderId="0" xfId="0"/>
    <x:xf numFmtId="0" fontId="4" fillId="70" borderId="0" xfId="0"/>
    <x:xf numFmtId="0" fontId="4" fillId="70" borderId="0" xfId="0" applyAlignment="1">
      <x:alignment wrapText="1"/>
    </x:xf>
    <x:xf numFmtId="0" fontId="4" fillId="70" borderId="0" xfId="0" applyAlignment="1">
      <x:alignment horizontal="left" wrapText="1"/>
    </x:xf>
    <x:xf numFmtId="0" fontId="4" fillId="70" borderId="0" xfId="0" applyAlignment="1">
      <x:alignment horizontal="left" vertical="center" wrapText="1"/>
    </x:xf>
    <x:xf numFmtId="0" fontId="5" fillId="71" borderId="2" xfId="0" applyAlignment="1">
      <x:alignment horizontal="left" vertical="center"/>
    </x:xf>
    <x:xf numFmtId="0" fontId="6" fillId="71" borderId="2" xfId="0" applyAlignment="1">
      <x:alignment horizontal="left" vertical="center"/>
    </x:xf>
    <x:xf numFmtId="0" fontId="7" fillId="71" borderId="0" xfId="0" applyAlignment="1">
      <x:alignment horizontal="left" vertical="center" wrapText="1"/>
    </x:xf>
    <x:xf numFmtId="0" fontId="6" fillId="72" borderId="0" xfId="0" applyAlignment="1">
      <x:alignment horizontal="left" vertical="center" wrapText="1"/>
    </x:xf>
    <x:xf numFmtId="0" fontId="8" fillId="72" borderId="0" xfId="0" applyAlignment="1">
      <x:alignment horizontal="left" vertical="center" wrapText="1"/>
    </x:xf>
    <x:xf numFmtId="0" fontId="6" fillId="73" borderId="0" xfId="0" applyAlignment="1">
      <x:alignment horizontal="left" vertical="center" wrapText="1"/>
    </x:xf>
    <x:xf numFmtId="0" fontId="9" fillId="73" borderId="0" xfId="0" applyAlignment="1">
      <x:alignment horizontal="left" vertical="center" wrapText="1"/>
    </x:xf>
    <x:xf numFmtId="0" fontId="6" fillId="70" borderId="0" xfId="0" applyAlignment="1">
      <x:alignment horizontal="left" vertical="center" wrapText="1"/>
    </x:xf>
    <x:xf numFmtId="0" fontId="10" fillId="70" borderId="0" xfId="0" applyAlignment="1">
      <x:alignment horizontal="left" vertical="center" wrapText="1"/>
    </x:xf>
    <x:xf numFmtId="0" fontId="5" fillId="68" borderId="0" xfId="0" applyAlignment="1">
      <x:alignment horizontal="left" vertical="center"/>
    </x:xf>
    <x:xf numFmtId="0" fontId="5" fillId="69" borderId="0" xfId="0" applyAlignment="1">
      <x:alignment horizontal="left" vertical="center"/>
    </x:xf>
    <x:xf numFmtId="0" fontId="3" fillId="69" borderId="0" xfId="0" applyAlignment="1">
      <x:alignment horizontal="left" vertical="center"/>
    </x:xf>
    <x:xf numFmtId="0" fontId="3" fillId="69" borderId="1" xfId="0" applyAlignment="1">
      <x:alignment horizontal="left" vertical="center"/>
    </x:xf>
    <x:xf numFmtId="0" fontId="11" fillId="68" borderId="0" xfId="0"/>
    <x:xf numFmtId="0" fontId="11" fillId="68" borderId="0" xfId="0" applyAlignment="1">
      <x:alignment horizontal="left"/>
    </x:xf>
    <x:xf numFmtId="0" fontId="11" fillId="68" borderId="0" xfId="0" applyAlignment="1">
      <x:alignment horizontal="left" vertical="center"/>
    </x:xf>
    <x:xf numFmtId="0" fontId="3" fillId="69" borderId="0" xfId="0" applyAlignment="1">
      <x:alignment wrapText="1"/>
    </x:xf>
    <x:xf numFmtId="0" fontId="3" fillId="69" borderId="0" xfId="0" applyAlignment="1">
      <x:alignment horizontal="left" wrapText="1"/>
    </x:xf>
    <x:xf numFmtId="0" fontId="3" fillId="69" borderId="0" xfId="0" applyAlignment="1">
      <x:alignment horizontal="left" vertical="center" wrapText="1"/>
    </x:xf>
    <x:xf numFmtId="0" fontId="0" fillId="71" borderId="0" xfId="0"/>
    <x:xf numFmtId="0" fontId="12" fillId="71" borderId="0" xfId="0"/>
    <x:xf numFmtId="0" fontId="12" fillId="71" borderId="0" xfId="0" applyAlignment="1">
      <x:alignment wrapText="1"/>
    </x:xf>
    <x:xf numFmtId="0" fontId="12" fillId="71" borderId="0" xfId="0" applyAlignment="1">
      <x:alignment horizontal="left" wrapText="1"/>
    </x:xf>
    <x:xf numFmtId="0" fontId="12" fillId="71" borderId="0" xfId="0" applyAlignment="1">
      <x:alignment horizontal="left" vertical="center" wrapText="1"/>
    </x:xf>
    <x:xf numFmtId="0" fontId="0" fillId="74" borderId="0" xfId="0"/>
    <x:xf numFmtId="0" fontId="1" fillId="74" borderId="0" xfId="0"/>
    <x:xf numFmtId="0" fontId="1" fillId="74" borderId="0" xfId="0" applyAlignment="1">
      <x:alignment horizontal="left"/>
    </x:xf>
    <x:xf numFmtId="0" fontId="1" fillId="74" borderId="0" xfId="0" applyAlignment="1">
      <x:alignment horizontal="left" vertical="center"/>
    </x:xf>
    <x:xf numFmtId="0" fontId="2" fillId="74" borderId="0" xfId="0"/>
    <x:xf numFmtId="0" fontId="2" fillId="74" borderId="0" xfId="0" applyAlignment="1">
      <x:alignment horizontal="left"/>
    </x:xf>
    <x:xf numFmtId="0" fontId="2" fillId="74" borderId="0" xfId="0" applyAlignment="1">
      <x:alignment horizontal="left" vertical="center"/>
    </x:xf>
    <x:xf numFmtId="0" fontId="0" fillId="75" borderId="0" xfId="0"/>
    <x:xf numFmtId="0" fontId="3" fillId="75" borderId="0" xfId="0"/>
    <x:xf numFmtId="0" fontId="3" fillId="75" borderId="1" xfId="0"/>
    <x:xf numFmtId="0" fontId="3" fillId="75" borderId="1" xfId="0" applyAlignment="1">
      <x:alignment wrapText="1"/>
    </x:xf>
    <x:xf numFmtId="0" fontId="3" fillId="75" borderId="1" xfId="0" applyAlignment="1">
      <x:alignment horizontal="left" wrapText="1"/>
    </x:xf>
    <x:xf numFmtId="0" fontId="3" fillId="75" borderId="1" xfId="0" applyAlignment="1">
      <x:alignment horizontal="left" vertical="center" wrapText="1"/>
    </x:xf>
    <x:xf numFmtId="0" fontId="0" fillId="76" borderId="0" xfId="0"/>
    <x:xf numFmtId="0" fontId="4" fillId="76" borderId="0" xfId="0"/>
    <x:xf numFmtId="0" fontId="4" fillId="76" borderId="0" xfId="0" applyAlignment="1">
      <x:alignment wrapText="1"/>
    </x:xf>
    <x:xf numFmtId="0" fontId="4" fillId="76" borderId="0" xfId="0" applyAlignment="1">
      <x:alignment horizontal="left" wrapText="1"/>
    </x:xf>
    <x:xf numFmtId="0" fontId="4" fillId="76" borderId="0" xfId="0" applyAlignment="1">
      <x:alignment horizontal="left" vertical="center" wrapText="1"/>
    </x:xf>
    <x:xf numFmtId="0" fontId="5" fillId="77" borderId="2" xfId="0" applyAlignment="1">
      <x:alignment horizontal="left" vertical="center"/>
    </x:xf>
    <x:xf numFmtId="0" fontId="6" fillId="77" borderId="2" xfId="0" applyAlignment="1">
      <x:alignment horizontal="left" vertical="center"/>
    </x:xf>
    <x:xf numFmtId="0" fontId="7" fillId="77" borderId="0" xfId="0" applyAlignment="1">
      <x:alignment horizontal="left" vertical="center" wrapText="1"/>
    </x:xf>
    <x:xf numFmtId="0" fontId="6" fillId="78" borderId="0" xfId="0" applyAlignment="1">
      <x:alignment horizontal="left" vertical="center" wrapText="1"/>
    </x:xf>
    <x:xf numFmtId="0" fontId="8" fillId="78" borderId="0" xfId="0" applyAlignment="1">
      <x:alignment horizontal="left" vertical="center" wrapText="1"/>
    </x:xf>
    <x:xf numFmtId="0" fontId="6" fillId="79" borderId="0" xfId="0" applyAlignment="1">
      <x:alignment horizontal="left" vertical="center" wrapText="1"/>
    </x:xf>
    <x:xf numFmtId="0" fontId="9" fillId="79" borderId="0" xfId="0" applyAlignment="1">
      <x:alignment horizontal="left" vertical="center" wrapText="1"/>
    </x:xf>
    <x:xf numFmtId="0" fontId="6" fillId="76" borderId="0" xfId="0" applyAlignment="1">
      <x:alignment horizontal="left" vertical="center" wrapText="1"/>
    </x:xf>
    <x:xf numFmtId="0" fontId="10" fillId="76" borderId="0" xfId="0" applyAlignment="1">
      <x:alignment horizontal="left" vertical="center" wrapText="1"/>
    </x:xf>
    <x:xf numFmtId="0" fontId="5" fillId="74" borderId="0" xfId="0" applyAlignment="1">
      <x:alignment horizontal="left" vertical="center"/>
    </x:xf>
    <x:xf numFmtId="0" fontId="5" fillId="75" borderId="0" xfId="0" applyAlignment="1">
      <x:alignment horizontal="left" vertical="center"/>
    </x:xf>
    <x:xf numFmtId="0" fontId="3" fillId="75" borderId="0" xfId="0" applyAlignment="1">
      <x:alignment horizontal="left" vertical="center"/>
    </x:xf>
    <x:xf numFmtId="0" fontId="3" fillId="75" borderId="1" xfId="0" applyAlignment="1">
      <x:alignment horizontal="left" vertical="center"/>
    </x:xf>
    <x:xf numFmtId="0" fontId="11" fillId="74" borderId="0" xfId="0"/>
    <x:xf numFmtId="0" fontId="11" fillId="74" borderId="0" xfId="0" applyAlignment="1">
      <x:alignment horizontal="left"/>
    </x:xf>
    <x:xf numFmtId="0" fontId="11" fillId="74" borderId="0" xfId="0" applyAlignment="1">
      <x:alignment horizontal="left" vertical="center"/>
    </x:xf>
    <x:xf numFmtId="0" fontId="3" fillId="75" borderId="0" xfId="0" applyAlignment="1">
      <x:alignment wrapText="1"/>
    </x:xf>
    <x:xf numFmtId="0" fontId="3" fillId="75" borderId="0" xfId="0" applyAlignment="1">
      <x:alignment horizontal="left" wrapText="1"/>
    </x:xf>
    <x:xf numFmtId="0" fontId="3" fillId="75" borderId="0" xfId="0" applyAlignment="1">
      <x:alignment horizontal="left" vertical="center" wrapText="1"/>
    </x:xf>
    <x:xf numFmtId="0" fontId="0" fillId="77" borderId="0" xfId="0"/>
    <x:xf numFmtId="0" fontId="12" fillId="77" borderId="0" xfId="0"/>
    <x:xf numFmtId="0" fontId="12" fillId="77" borderId="0" xfId="0" applyAlignment="1">
      <x:alignment wrapText="1"/>
    </x:xf>
    <x:xf numFmtId="0" fontId="12" fillId="77" borderId="0" xfId="0" applyAlignment="1">
      <x:alignment horizontal="left" wrapText="1"/>
    </x:xf>
    <x:xf numFmtId="0" fontId="12" fillId="77" borderId="0" xfId="0" applyAlignment="1">
      <x:alignment horizontal="left" vertical="center" wrapText="1"/>
    </x:xf>
    <x:xf numFmtId="0" fontId="0" fillId="0" borderId="0" xfId="0" applyAlignment="1">
      <x:alignment wrapText="1"/>
    </x:xf>
    <x:xf numFmtId="0" fontId="0" fillId="0" borderId="0" xfId="0" applyAlignment="1">
      <x:alignment horizontal="left" wrapText="1"/>
    </x:xf>
    <x:xf numFmtId="0" fontId="0" fillId="0" borderId="0" xfId="0" applyAlignment="1">
      <x:alignment horizontal="left" vertical="center" wrapText="1"/>
    </x:xf>
    <x:xf numFmtId="2" fontId="0" fillId="0" borderId="0" xfId="0" applyAlignment="1">
      <x:alignment horizontal="left" vertical="center" wrapText="1"/>
    </x:xf>
    <x:xf numFmtId="164" fontId="0" fillId="0" borderId="0" xfId="0" applyAlignment="1">
      <x:alignment horizontal="left" vertical="center" wrapText="1"/>
    </x:xf>
    <x:xf numFmtId="165" fontId="0" fillId="0" borderId="0" xfId="0" applyAlignment="1">
      <x:alignment horizontal="left" vertical="center" wrapText="1"/>
    </x:xf>
    <x:xf numFmtId="167" fontId="5" fillId="0" borderId="0" xfId="0" applyAlignment="1">
      <x:alignment horizontal="left" vertical="center" wrapText="1"/>
    </x:xf>
    <x:xf numFmtId="167" fontId="0" fillId="0" borderId="0" xfId="0" applyAlignment="1">
      <x:alignment horizontal="left" vertical="center" wrapText="1"/>
    </x:xf>
    <x:xf numFmtId="165" fontId="5" fillId="0" borderId="2" xfId="0" applyAlignment="1">
      <x:alignment horizontal="left" vertical="center"/>
    </x:xf>
    <x:xf numFmtId="164" fontId="5" fillId="0" borderId="2" xfId="0" applyAlignment="1">
      <x:alignment horizontal="left" vertical="center"/>
    </x:xf>
    <x:xf numFmtId="10" fontId="12" fillId="0" borderId="0" xfId="0" applyAlignment="1">
      <x:alignment horizontal="left" vertical="center"/>
    </x:xf>
    <x:xf numFmtId="165" fontId="12" fillId="0" borderId="0" xfId="0" applyAlignment="1">
      <x:alignment horizontal="left" vertical="center"/>
    </x:xf>
    <x:xf numFmtId="2" fontId="5" fillId="0" borderId="0" xfId="0" applyAlignment="1">
      <x:alignment horizontal="left" vertical="center" wrapText="1"/>
    </x:xf>
    <x:xf numFmtId="164" fontId="5" fillId="0" borderId="0" xfId="0" applyAlignment="1">
      <x:alignment horizontal="left" vertical="center" wrapText="1"/>
    </x:xf>
    <x:xf numFmtId="165" fontId="5" fillId="0" borderId="0" xfId="0" applyAlignment="1">
      <x:alignment horizontal="left" vertical="center" wrapText="1"/>
    </x:xf>
    <x:xf numFmtId="166" fontId="5" fillId="0" borderId="0" xfId="0" applyAlignment="1">
      <x:alignment horizontal="left" vertical="center" wrapText="1"/>
    </x:xf>
    <x:xf numFmtId="167" fontId="5" fillId="0" borderId="0" xfId="0" applyAlignment="1">
      <x:alignment horizontal="left" vertical="center" wrapText="1"/>
    </x:xf>
    <x:xf numFmtId="2" fontId="0" fillId="0" borderId="0" xfId="0" applyAlignment="1">
      <x:alignment horizontal="left" vertical="center" wrapText="1"/>
    </x:xf>
    <x:xf numFmtId="164" fontId="0" fillId="0" borderId="0" xfId="0" applyAlignment="1">
      <x:alignment horizontal="left" vertical="center" wrapText="1"/>
    </x:xf>
    <x:xf numFmtId="165" fontId="0" fillId="0" borderId="0" xfId="0" applyAlignment="1">
      <x:alignment horizontal="left" vertical="center" wrapText="1"/>
    </x:xf>
    <x:xf numFmtId="167" fontId="0" fillId="0" borderId="0" xfId="0" applyAlignment="1">
      <x:alignment horizontal="left" vertical="center" wrapText="1"/>
    </x:xf>
    <x:xf numFmtId="164" fontId="5" fillId="0" borderId="0" xfId="0" applyAlignment="1">
      <x:alignment horizontal="left" vertical="center"/>
    </x:xf>
    <x:xf numFmtId="165" fontId="5" fillId="0" borderId="0" xfId="0" applyAlignment="1">
      <x:alignment horizontal="left" vertical="center"/>
    </x:xf>
    <x:xf numFmtId="166" fontId="5" fillId="0" borderId="0" xfId="0" applyAlignment="1">
      <x:alignment horizontal="left" vertical="center"/>
    </x:xf>
    <x:xf numFmtId="0" fontId="0" fillId="0" borderId="0" xfId="0" applyAlignment="1">
      <x:alignment wrapText="1"/>
    </x:xf>
    <x:xf numFmtId="0" fontId="0" fillId="0" borderId="0" xfId="0" applyAlignment="1">
      <x:alignment horizontal="left" wrapText="1"/>
    </x:xf>
    <x:xf numFmtId="0" fontId="0" fillId="0" borderId="0" xfId="0" applyAlignment="1">
      <x:alignment horizontal="left" vertical="center" wrapText="1"/>
    </x:xf>
    <x:xf numFmtId="0" fontId="5" fillId="0" borderId="0" xfId="0" applyAlignment="1">
      <x:alignment horizontal="left" vertical="center" wrapText="1"/>
    </x:xf>
    <x:xf numFmtId="2" fontId="5" fillId="0" borderId="0" xfId="0" applyAlignment="1">
      <x:alignment horizontal="left" vertical="center" wrapText="1"/>
    </x:xf>
    <x:xf numFmtId="164" fontId="5" fillId="0" borderId="0" xfId="0" applyAlignment="1">
      <x:alignment horizontal="left" vertical="center" wrapText="1"/>
    </x:xf>
    <x:xf numFmtId="0" fontId="8" fillId="6" borderId="0" xfId="0" applyAlignment="1">
      <x:alignment horizontal="left" vertical="center" wrapText="1"/>
    </x:xf>
    <x:xf numFmtId="165" fontId="5" fillId="0" borderId="0" xfId="0" applyAlignment="1">
      <x:alignment horizontal="left" vertical="center" wrapText="1"/>
    </x:xf>
    <x:xf numFmtId="166" fontId="5" fillId="0" borderId="0" xfId="0" applyAlignment="1">
      <x:alignment horizontal="left" vertical="center" wrapText="1"/>
    </x:xf>
    <x:xf numFmtId="0" fontId="9" fillId="7" borderId="0" xfId="0" applyAlignment="1">
      <x:alignment horizontal="left" vertical="center" wrapText="1"/>
    </x:xf>
    <x:xf numFmtId="0" fontId="10" fillId="4" borderId="0" xfId="0" applyAlignment="1">
      <x:alignment horizontal="left" vertical="center" wrapText="1"/>
    </x:xf>
    <x:xf numFmtId="167" fontId="5" fillId="0" borderId="0" xfId="0" applyAlignment="1">
      <x:alignment horizontal="left" vertical="center" wrapText="1"/>
    </x:xf>
    <x:xf numFmtId="0" fontId="0" fillId="0" borderId="0" xfId="0" applyAlignment="1">
      <x:alignment horizontal="left" vertical="center" wrapText="1"/>
    </x:xf>
    <x:xf numFmtId="2" fontId="0" fillId="0" borderId="0" xfId="0" applyAlignment="1">
      <x:alignment horizontal="left" vertical="center" wrapText="1"/>
    </x:xf>
    <x:xf numFmtId="164" fontId="0" fillId="0" borderId="0" xfId="0" applyAlignment="1">
      <x:alignment horizontal="left" vertical="center" wrapText="1"/>
    </x:xf>
    <x:xf numFmtId="165" fontId="0" fillId="0" borderId="0" xfId="0" applyAlignment="1">
      <x:alignment horizontal="left" vertical="center" wrapText="1"/>
    </x:xf>
    <x:xf numFmtId="167" fontId="0" fillId="0" borderId="0" xfId="0" applyAlignment="1">
      <x:alignment horizontal="left" vertical="center" wrapText="1"/>
    </x:xf>
    <x:xf numFmtId="0" fontId="0" fillId="0" borderId="0" xfId="0" applyAlignment="1">
      <x:alignment wrapText="1"/>
    </x:xf>
    <x:xf numFmtId="0" fontId="0" fillId="0" borderId="0" xfId="0" applyAlignment="1">
      <x:alignment horizontal="left" wrapText="1"/>
    </x:xf>
    <x:xf numFmtId="2" fontId="0" fillId="0" borderId="0" xfId="0" applyAlignment="1">
      <x:alignment horizontal="left" vertical="center" wrapText="1"/>
    </x:xf>
    <x:xf numFmtId="164" fontId="5" fillId="0" borderId="2" xfId="0" applyAlignment="1">
      <x:alignment horizontal="left" vertical="center"/>
    </x:xf>
    <x:xf numFmtId="0" fontId="8" fillId="80" borderId="0" xfId="0" applyAlignment="1">
      <x:alignment horizontal="left" vertical="center" wrapText="1"/>
    </x:xf>
    <x:xf numFmtId="0" fontId="9" fillId="80" borderId="0" xfId="0" applyAlignment="1">
      <x:alignment horizontal="left" vertical="center" wrapText="1"/>
    </x:xf>
    <x:xf numFmtId="0" fontId="5" fillId="81" borderId="0" xfId="0" applyAlignment="1">
      <x:alignment horizontal="left" vertical="center" wrapText="1"/>
    </x:xf>
    <x:xf numFmtId="0" fontId="14" fillId="81" borderId="0" xfId="0" applyAlignment="1">
      <x:alignment horizontal="left" vertical="center" wrapText="1"/>
    </x:xf>
    <x:xf numFmtId="0" fontId="9" fillId="81" borderId="0" xfId="0" applyAlignment="1">
      <x:alignment horizontal="left" vertical="center" wrapText="1"/>
    </x:xf>
    <x:xf numFmtId="0" fontId="5" fillId="80" borderId="0" xfId="0" applyAlignment="1">
      <x:alignment horizontal="left" vertical="center" wrapText="1"/>
    </x:xf>
    <x:xf numFmtId="0" fontId="8" fillId="82" borderId="0" xfId="0" applyAlignment="1">
      <x:alignment horizontal="left" vertical="center" wrapText="1"/>
    </x:xf>
    <x:xf numFmtId="0" fontId="15" fillId="82" borderId="0" xfId="0" applyAlignment="1">
      <x:alignment horizontal="left" vertical="center" wrapText="1"/>
    </x:xf>
    <x:xf numFmtId="0" fontId="5" fillId="83" borderId="0" xfId="0" applyAlignment="1">
      <x:alignment horizontal="left" vertical="center" wrapText="1"/>
    </x:xf>
    <x:xf numFmtId="0" fontId="16" fillId="83" borderId="0" xfId="0" applyAlignment="1">
      <x:alignment horizontal="left" vertical="center" wrapText="1"/>
    </x:xf>
    <x:xf numFmtId="0" fontId="10" fillId="84" borderId="0" xfId="0" applyAlignment="1">
      <x:alignment horizontal="left" vertical="center" wrapText="1"/>
    </x:xf>
    <x:xf numFmtId="0" fontId="5" fillId="84" borderId="0" xfId="0" applyAlignment="1">
      <x:alignment horizontal="left" vertical="center" wrapText="1"/>
    </x:xf>
    <x:xf numFmtId="0" fontId="9" fillId="83" borderId="0" xfId="0" applyAlignment="1">
      <x:alignment horizontal="left" vertical="center" wrapText="1"/>
    </x:xf>
    <x:xf numFmtId="0" fontId="5" fillId="82" borderId="0" xfId="0" applyAlignment="1">
      <x:alignment horizontal="left" vertical="center" wrapText="1"/>
    </x:xf>
    <x:xf numFmtId="0" fontId="0" fillId="80" borderId="0" xfId="0" applyAlignment="1">
      <x:alignment horizontal="left" vertical="center" wrapText="1"/>
    </x:xf>
    <x:xf numFmtId="0" fontId="17" fillId="80" borderId="0" xfId="0" applyAlignment="1">
      <x:alignment horizontal="left" vertical="center" wrapText="1"/>
    </x:xf>
    <x:xf numFmtId="0" fontId="0" fillId="81" borderId="0" xfId="0" applyAlignment="1">
      <x:alignment horizontal="left" vertical="center" wrapText="1"/>
    </x:xf>
    <x:xf numFmtId="0" fontId="18" fillId="81" borderId="0" xfId="0" applyAlignment="1">
      <x:alignment horizontal="left" vertical="center" wrapText="1"/>
    </x:xf>
    <x:xf numFmtId="0" fontId="0" fillId="84" borderId="0" xfId="0" applyAlignment="1">
      <x:alignment horizontal="left" vertical="center" wrapText="1"/>
    </x:xf>
    <x:xf numFmtId="0" fontId="19" fillId="84" borderId="0" xfId="0" applyAlignment="1">
      <x:alignment horizontal="left" vertical="center" wrapText="1"/>
    </x:xf>
    <x:xf numFmtId="0" fontId="0" fillId="83" borderId="0" xfId="0" applyAlignment="1">
      <x:alignment horizontal="left" vertical="center" wrapText="1"/>
    </x:xf>
    <x:xf numFmtId="0" fontId="20" fillId="83" borderId="0" xfId="0" applyAlignment="1">
      <x:alignment horizontal="left" vertical="center" wrapText="1"/>
    </x:xf>
    <x:xf numFmtId="0" fontId="0" fillId="82" borderId="0" xfId="0" applyAlignment="1">
      <x:alignment horizontal="left" vertical="center" wrapText="1"/>
    </x:xf>
    <x:xf numFmtId="0" fontId="21" fillId="82" borderId="0" xfId="0" applyAlignment="1">
      <x:alignment horizontal="left" vertical="center" wrapText="1"/>
    </x:xf>
    <x:xf numFmtId="0" fontId="15" fillId="7" borderId="0" xfId="0" applyAlignment="1">
      <x:alignment horizontal="left" vertical="center" wrapText="1"/>
    </x:xf>
    <x:xf numFmtId="0" fontId="19" fillId="4" borderId="0" xfId="0" applyAlignment="1">
      <x:alignment horizontal="left" vertical="center" wrapText="1"/>
    </x:xf>
    <x:xf numFmtId="0" fontId="21" fillId="7" borderId="0" xfId="0" applyAlignment="1">
      <x:alignment horizontal="left" vertical="center" wrapText="1"/>
    </x:xf>
    <x:xf numFmtId="0" fontId="9" fillId="85" borderId="0" xfId="0" applyAlignment="1">
      <x:alignment horizontal="left" vertical="center" wrapText="1"/>
    </x:xf>
    <x:xf numFmtId="0" fontId="14" fillId="86" borderId="0" xfId="0" applyAlignment="1">
      <x:alignment horizontal="left" vertical="center" wrapText="1"/>
    </x:xf>
    <x:xf numFmtId="0" fontId="15" fillId="87" borderId="0" xfId="0" applyAlignment="1">
      <x:alignment horizontal="left" vertical="center" wrapText="1"/>
    </x:xf>
    <x:xf numFmtId="0" fontId="16" fillId="88" borderId="0" xfId="0" applyAlignment="1">
      <x:alignment horizontal="left" vertical="center" wrapText="1"/>
    </x:xf>
    <x:xf numFmtId="0" fontId="10" fillId="89" borderId="0" xfId="0" applyAlignment="1">
      <x:alignment horizontal="left" vertical="center" wrapText="1"/>
    </x:xf>
    <x:xf numFmtId="0" fontId="17" fillId="85" borderId="0" xfId="0" applyAlignment="1">
      <x:alignment horizontal="left" vertical="center" wrapText="1"/>
    </x:xf>
    <x:xf numFmtId="0" fontId="18" fillId="86" borderId="0" xfId="0" applyAlignment="1">
      <x:alignment horizontal="left" vertical="center" wrapText="1"/>
    </x:xf>
    <x:xf numFmtId="0" fontId="19" fillId="89" borderId="0" xfId="0" applyAlignment="1">
      <x:alignment horizontal="left" vertical="center" wrapText="1"/>
    </x:xf>
    <x:xf numFmtId="0" fontId="20" fillId="88" borderId="0" xfId="0" applyAlignment="1">
      <x:alignment horizontal="left" vertical="center" wrapText="1"/>
    </x:xf>
    <x:xf numFmtId="0" fontId="21" fillId="87" borderId="0" xfId="0" applyAlignment="1">
      <x:alignment horizontal="left" vertical="center" wrapText="1"/>
    </x:xf>
    <x:xf numFmtId="0" fontId="0" fillId="88" borderId="0" xfId="0" applyAlignment="1">
      <x:alignment horizontal="left" vertical="center" wrapText="1"/>
    </x:xf>
    <x:xf numFmtId="0" fontId="0" fillId="87" borderId="0" xfId="0" applyAlignment="1">
      <x:alignment horizontal="left" vertical="center" wrapText="1"/>
    </x:xf>
    <x:xf numFmtId="0" fontId="0" fillId="86" borderId="0" xfId="0" applyAlignment="1">
      <x:alignment horizontal="left" vertical="center" wrapText="1"/>
    </x:xf>
    <x:xf numFmtId="0" fontId="0" fillId="85" borderId="0" xfId="0" applyAlignment="1">
      <x:alignment horizontal="left" vertical="center" wrapText="1"/>
    </x:xf>
    <x:xf numFmtId="0" fontId="0" fillId="89" borderId="0" xfId="0" applyAlignment="1">
      <x:alignment horizontal="left" vertical="center" wrapText="1"/>
    </x:xf>
    <x:xf numFmtId="164" fontId="5" fillId="0" borderId="0" xfId="0" applyAlignment="1">
      <x:alignment horizontal="left" vertical="center"/>
    </x:xf>
    <x:xf numFmtId="164" fontId="0" fillId="0" borderId="0" xfId="0" applyAlignment="1">
      <x:alignment vertical="center"/>
    </x:xf>
    <x:xf numFmtId="165" fontId="5" fillId="0" borderId="0" xfId="0" applyAlignment="1">
      <x:alignment horizontal="left" vertical="center"/>
    </x:xf>
    <x:xf numFmtId="165" fontId="0" fillId="0" borderId="0" xfId="0" applyAlignment="1">
      <x:alignment vertical="center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4196ff4cb440a9" /><Relationship Type="http://schemas.openxmlformats.org/officeDocument/2006/relationships/theme" Target="/xl/theme/theme1.xml" Id="Rc6c764a87d744e96" /><Relationship Type="http://schemas.openxmlformats.org/officeDocument/2006/relationships/sharedStrings" Target="/xl/sharedStrings.xml" Id="R14e6484823864474" /><Relationship Type="http://schemas.openxmlformats.org/officeDocument/2006/relationships/worksheet" Target="/xl/worksheets/sheet1.xml" Id="R81612944d8c64580" /><Relationship Type="http://schemas.openxmlformats.org/officeDocument/2006/relationships/worksheet" Target="/xl/worksheets/sheet2.xml" Id="R9a2fa168f02046b6" /><Relationship Type="http://schemas.openxmlformats.org/officeDocument/2006/relationships/worksheet" Target="/xl/worksheets/sheet3.xml" Id="R52a4e52e30ce479d" /><Relationship Type="http://schemas.openxmlformats.org/officeDocument/2006/relationships/worksheet" Target="/xl/worksheets/sheet4.xml" Id="R92dbe42d76c34230" /><Relationship Type="http://schemas.openxmlformats.org/officeDocument/2006/relationships/worksheet" Target="/xl/worksheets/sheet5.xml" Id="Rfcf7fa53341740e9" /><Relationship Type="http://schemas.openxmlformats.org/officeDocument/2006/relationships/worksheet" Target="/xl/worksheets/sheet6.xml" Id="Rc87e1be642f14d92" /><Relationship Type="http://schemas.openxmlformats.org/officeDocument/2006/relationships/worksheet" Target="/xl/worksheets/sheet7.xml" Id="R8bfcca8500524305" /><Relationship Type="http://schemas.openxmlformats.org/officeDocument/2006/relationships/worksheet" Target="/xl/worksheets/sheet8.xml" Id="R570df0ffc6fc44cd" /></Relationships>
</file>

<file path=xl/tables/table1.xml><?xml version="1.0" encoding="utf-8"?>
<x:table xmlns:x="http://schemas.openxmlformats.org/spreadsheetml/2006/main" id="1" name="V4MatchLedger" displayName="V4MatchLedger" ref="A3:W1875" headerRowCount="1" totalsRowCount="0" totalsRowShown="0">
  <x:tableColumns count="23">
    <x:tableColumn id="1" name="日期筛选"/>
    <x:tableColumn id="2" name="比赛时间"/>
    <x:tableColumn id="3" name="赛事分布"/>
    <x:tableColumn id="4" name="赛事类型"/>
    <x:tableColumn id="5" name="联赛/杯赛"/>
    <x:tableColumn id="6" name="具体比赛"/>
    <x:tableColumn id="7" name="即时主水"/>
    <x:tableColumn id="8" name="即时盘口"/>
    <x:tableColumn id="9" name="即时客水"/>
    <x:tableColumn id="10" name="即时赔率文本"/>
    <x:tableColumn id="11" name="V4等级/信号"/>
    <x:tableColumn id="12" name="投注方"/>
    <x:tableColumn id="13" name="模型有效胜率"/>
    <x:tableColumn id="14" name="投注说明"/>
    <x:tableColumn id="15" name="赛果"/>
    <x:tableColumn id="16" name="结算状态"/>
    <x:tableColumn id="17" name="红黑"/>
    <x:tableColumn id="18" name="投注水位"/>
    <x:tableColumn id="19" name="盈亏(u)"/>
    <x:tableColumn id="20" name="比分来源"/>
    <x:tableColumn id="21" name="反向红黑"/>
    <x:tableColumn id="22" name="反向水位"/>
    <x:tableColumn id="23" name="反向盈亏(u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4UpdateLog" displayName="V4UpdateLog" ref="A3:J37" headerRowCount="1" totalsRowCount="0" totalsRowShown="0">
  <x:tableColumns count="10">
    <x:tableColumn id="1" name="序号"/>
    <x:tableColumn id="2" name="更新时间"/>
    <x:tableColumn id="3" name="覆盖日期"/>
    <x:tableColumn id="4" name="模型"/>
    <x:tableColumn id="5" name="数据源"/>
    <x:tableColumn id="6" name="候选场次"/>
    <x:tableColumn id="7" name="已结算"/>
    <x:tableColumn id="8" name="未结算"/>
    <x:tableColumn id="9" name="盈亏(u)"/>
    <x:tableColumn id="10" name="说明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V4RegionStats" displayName="V4RegionStats" ref="A4:L15" headerRowCount="1" totalsRowCount="0" totalsRowShown="0">
  <x:tableColumns count="12">
    <x:tableColumn id="1" name="分类"/>
    <x:tableColumn id="2" name="候选"/>
    <x:tableColumn id="3" name="已结算"/>
    <x:tableColumn id="4" name="未结算"/>
    <x:tableColumn id="5" name="红"/>
    <x:tableColumn id="6" name="半红"/>
    <x:tableColumn id="7" name="走"/>
    <x:tableColumn id="8" name="半黑"/>
    <x:tableColumn id="9" name="黑"/>
    <x:tableColumn id="10" name="有效胜率"/>
    <x:tableColumn id="11" name="盈亏(u)"/>
    <x:tableColumn id="12" name="ROI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V4KindStats" displayName="V4KindStats" ref="A18:L20" headerRowCount="1" totalsRowCount="0" totalsRowShown="0">
  <x:tableColumns count="12">
    <x:tableColumn id="1" name="分类"/>
    <x:tableColumn id="2" name="候选"/>
    <x:tableColumn id="3" name="已结算"/>
    <x:tableColumn id="4" name="未结算"/>
    <x:tableColumn id="5" name="红"/>
    <x:tableColumn id="6" name="半红"/>
    <x:tableColumn id="7" name="走"/>
    <x:tableColumn id="8" name="半黑"/>
    <x:tableColumn id="9" name="黑"/>
    <x:tableColumn id="10" name="有效胜率"/>
    <x:tableColumn id="11" name="盈亏(u)"/>
    <x:tableColumn id="12" name="ROI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4LeagueStats" displayName="V4LeagueStats" ref="A23:L170" headerRowCount="1" totalsRowCount="0" totalsRowShown="0">
  <x:tableColumns count="12">
    <x:tableColumn id="1" name="分类"/>
    <x:tableColumn id="2" name="候选"/>
    <x:tableColumn id="3" name="已结算"/>
    <x:tableColumn id="4" name="未结算"/>
    <x:tableColumn id="5" name="红"/>
    <x:tableColumn id="6" name="半红"/>
    <x:tableColumn id="7" name="走"/>
    <x:tableColumn id="8" name="半黑"/>
    <x:tableColumn id="9" name="黑"/>
    <x:tableColumn id="10" name="有效胜率"/>
    <x:tableColumn id="11" name="盈亏(u)"/>
    <x:tableColumn id="12" name="ROI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V4GradeStats" displayName="V4GradeStats" ref="A4:L7" headerRowCount="1" totalsRowCount="0" totalsRowShown="0">
  <x:tableColumns count="12">
    <x:tableColumn id="1" name="分类"/>
    <x:tableColumn id="2" name="候选"/>
    <x:tableColumn id="3" name="已结算"/>
    <x:tableColumn id="4" name="未结算"/>
    <x:tableColumn id="5" name="红"/>
    <x:tableColumn id="6" name="半红"/>
    <x:tableColumn id="7" name="走"/>
    <x:tableColumn id="8" name="半黑"/>
    <x:tableColumn id="9" name="黑"/>
    <x:tableColumn id="10" name="有效胜率"/>
    <x:tableColumn id="11" name="盈亏(u)"/>
    <x:tableColumn id="12" name="ROI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V4DateStats" displayName="V4DateStats" ref="A10:L19" headerRowCount="1" totalsRowCount="0" totalsRowShown="0">
  <x:tableColumns count="12">
    <x:tableColumn id="1" name="分类"/>
    <x:tableColumn id="2" name="候选"/>
    <x:tableColumn id="3" name="已结算"/>
    <x:tableColumn id="4" name="未结算"/>
    <x:tableColumn id="5" name="红"/>
    <x:tableColumn id="6" name="半红"/>
    <x:tableColumn id="7" name="走"/>
    <x:tableColumn id="8" name="半黑"/>
    <x:tableColumn id="9" name="黑"/>
    <x:tableColumn id="10" name="有效胜率"/>
    <x:tableColumn id="11" name="盈亏(u)"/>
    <x:tableColumn id="12" name="ROI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V4LineStats" displayName="V4LineStats" ref="A4:L38" headerRowCount="1" totalsRowCount="0" totalsRowShown="0">
  <x:tableColumns count="12">
    <x:tableColumn id="1" name="分类"/>
    <x:tableColumn id="2" name="候选"/>
    <x:tableColumn id="3" name="已结算"/>
    <x:tableColumn id="4" name="未结算"/>
    <x:tableColumn id="5" name="红"/>
    <x:tableColumn id="6" name="半红"/>
    <x:tableColumn id="7" name="走"/>
    <x:tableColumn id="8" name="半黑"/>
    <x:tableColumn id="9" name="黑"/>
    <x:tableColumn id="10" name="有效胜率"/>
    <x:tableColumn id="11" name="盈亏(u)"/>
    <x:tableColumn id="12" name="ROI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9febacd306944d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bdcffa2442d449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f6ec255b7a4c8b" /><Relationship Type="http://schemas.openxmlformats.org/officeDocument/2006/relationships/table" Target="/xl/tables/table4.xml" Id="Rf5aa906c39d348f1" /><Relationship Type="http://schemas.openxmlformats.org/officeDocument/2006/relationships/table" Target="/xl/tables/table5.xml" Id="R2d66461ca4184eb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6.xml" Id="R521cac00e4a140b8" /><Relationship Type="http://schemas.openxmlformats.org/officeDocument/2006/relationships/table" Target="/xl/tables/table7.xml" Id="R7bdd5f0f2d4f48d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8.xml" Id="R8dd77b18632f457f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56" customWidth="1"/>
    <x:col min="3" max="3" width="14" customWidth="1"/>
    <x:col min="4" max="4" width="16" customWidth="1"/>
    <x:col min="5" max="5" width="12" customWidth="1"/>
    <x:col min="6" max="6" width="10" customWidth="1"/>
    <x:col min="7" max="7" width="10" customWidth="1"/>
    <x:col min="8" max="8" width="10" customWidth="1"/>
    <x:col min="9" max="9" width="12" customWidth="1"/>
    <x:col min="10" max="10" width="12" customWidth="1"/>
    <x:col min="11" max="11" width="30" customWidth="1"/>
  </x:cols>
  <x:sheetData>
    <x:row r="1" ht="28" customHeight="1">
      <x:c r="A1" s="529" t="inlineStr">
        <x:is>
          <x:t xml:space="preserve">足球亚盘 V4 纸面统计账本</x:t>
        </x:is>
      </x:c>
      <x:c r="F1" s="53" t="n"/>
      <x:c r="G1" s="53" t="n"/>
      <x:c r="H1" s="53" t="n"/>
      <x:c r="I1" s="53" t="n"/>
      <x:c r="J1" s="53" t="n"/>
      <x:c r="K1" s="53" t="n"/>
    </x:row>
    <x:row r="2">
      <x:c r="A2" s="53" t="n"/>
      <x:c r="B2" s="53" t="n"/>
      <x:c r="C2" s="53" t="n"/>
      <x:c r="D2" s="53" t="n"/>
      <x:c r="E2" s="53" t="n"/>
      <x:c r="F2" s="53" t="n"/>
      <x:c r="G2" s="53" t="n"/>
      <x:c r="H2" s="53" t="n"/>
      <x:c r="I2" s="53" t="n"/>
      <x:c r="J2" s="53" t="n"/>
      <x:c r="K2" s="53" t="n"/>
    </x:row>
    <x:row r="3" ht="22" customHeight="1">
      <x:c r="A3" s="545" t="inlineStr">
        <x:is>
          <x:t xml:space="preserve">数据源</x:t>
        </x:is>
      </x:c>
      <x:c r="B3" s="22" t="inlineStr">
        <x:is>
          <x:t xml:space="preserve">https://simondongxiao.github.io/odds/v4/</x:t>
        </x:is>
      </x:c>
      <x:c r="C3" s="53" t="n"/>
      <x:c r="D3" s="532" t="inlineStr">
        <x:is>
          <x:t xml:space="preserve">结算分布（已结算）</x:t>
        </x:is>
      </x:c>
      <x:c r="F3" s="53" t="n"/>
      <x:c r="G3" s="53" t="n"/>
      <x:c r="H3" s="53" t="n"/>
      <x:c r="I3" s="53" t="n"/>
      <x:c r="J3" s="53" t="n"/>
      <x:c r="K3" s="53" t="n"/>
    </x:row>
    <x:row r="4" ht="22" customHeight="1">
      <x:c r="A4" s="545" t="inlineStr">
        <x:is>
          <x:t xml:space="preserve">页面模型</x:t>
        </x:is>
      </x:c>
      <x:c r="B4" s="22" t="inlineStr">
        <x:is>
          <x:t xml:space="preserve">2026-10-08 01:46（北京时间）</x:t>
        </x:is>
      </x:c>
      <x:c r="C4" s="53" t="n"/>
      <x:c r="D4" s="538" t="inlineStr">
        <x:is>
          <x:t xml:space="preserve">结果</x:t>
        </x:is>
      </x:c>
      <x:c r="E4" s="538" t="inlineStr">
        <x:is>
          <x:t xml:space="preserve">场次</x:t>
        </x:is>
      </x:c>
      <x:c r="F4" s="53" t="n"/>
      <x:c r="G4" s="53" t="n"/>
      <x:c r="H4" s="53" t="n"/>
      <x:c r="I4" s="53" t="n"/>
      <x:c r="J4" s="53" t="n"/>
      <x:c r="K4" s="53" t="n"/>
    </x:row>
    <x:row r="5" ht="22" customHeight="1">
      <x:c r="A5" s="545" t="inlineStr">
        <x:is>
          <x:t xml:space="preserve">覆盖列表日</x:t>
        </x:is>
      </x:c>
      <x:c r="B5" s="22" t="inlineStr">
        <x:is>
          <x:t xml:space="preserve">覆盖记账日：2026-09-01至2026-10-08；新增2026-09-30至2026-10-08当前GitHub页面数据</x:t>
        </x:is>
      </x:c>
      <x:c r="C5" s="53" t="n"/>
      <x:c r="D5" s="22" t="inlineStr">
        <x:is>
          <x:t xml:space="preserve">红</x:t>
        </x:is>
      </x:c>
      <x:c r="E5" s="22" t="n">
        <x:f>COUNTIFS('赛事明细'!$P$4:$P$1000,"已结算",'赛事明细'!$Q$4:$Q$1000,"红")</x:f>
        <x:v>412</x:v>
      </x:c>
      <x:c r="F5" s="53" t="n"/>
      <x:c r="G5" s="53" t="n"/>
      <x:c r="H5" s="53" t="n"/>
      <x:c r="I5" s="53" t="n"/>
      <x:c r="J5" s="53" t="n"/>
      <x:c r="K5" s="53" t="n"/>
    </x:row>
    <x:row r="6" ht="22" customHeight="1">
      <x:c r="A6" s="545" t="inlineStr">
        <x:is>
          <x:t xml:space="preserve">V4候选场次</x:t>
        </x:is>
      </x:c>
      <x:c r="B6" s="22" t="n">
        <x:f>COUNTA(赛事明细!E4:E2000)</x:f>
        <x:v>1872</x:v>
      </x:c>
      <x:c r="C6" s="53" t="n"/>
      <x:c r="D6" s="22" t="inlineStr">
        <x:is>
          <x:t xml:space="preserve">半红</x:t>
        </x:is>
      </x:c>
      <x:c r="E6" s="22" t="n">
        <x:f>COUNTIFS('赛事明细'!$P$4:$P$1000,"已结算",'赛事明细'!$Q$4:$Q$1000,"半红")</x:f>
        <x:v>54</x:v>
      </x:c>
      <x:c r="F6" s="53" t="n"/>
      <x:c r="G6" s="53" t="n"/>
      <x:c r="H6" s="53" t="n"/>
      <x:c r="I6" s="53" t="n"/>
      <x:c r="J6" s="53" t="n"/>
      <x:c r="K6" s="53" t="n"/>
    </x:row>
    <x:row r="7" ht="22" customHeight="1">
      <x:c r="A7" s="545" t="inlineStr">
        <x:is>
          <x:t xml:space="preserve">已结算场次</x:t>
        </x:is>
      </x:c>
      <x:c r="B7" s="22" t="n">
        <x:f>COUNTIF(赛事明细!P4:P2000,"已结算")</x:f>
        <x:v>1349</x:v>
      </x:c>
      <x:c r="C7" s="53" t="n"/>
      <x:c r="D7" s="22" t="inlineStr">
        <x:is>
          <x:t xml:space="preserve">走</x:t>
        </x:is>
      </x:c>
      <x:c r="E7" s="22" t="n">
        <x:f>COUNTIFS('赛事明细'!$P$4:$P$1000,"已结算",'赛事明细'!$Q$4:$Q$1000,"走")</x:f>
        <x:v>89</x:v>
      </x:c>
      <x:c r="F7" s="53" t="n"/>
      <x:c r="G7" s="53" t="n"/>
      <x:c r="H7" s="53" t="n"/>
      <x:c r="I7" s="53" t="n"/>
      <x:c r="J7" s="53" t="n"/>
      <x:c r="K7" s="53" t="n"/>
    </x:row>
    <x:row r="8" ht="22" customHeight="1">
      <x:c r="A8" s="545" t="inlineStr">
        <x:is>
          <x:t xml:space="preserve">待结算场次</x:t>
        </x:is>
      </x:c>
      <x:c r="B8" s="22" t="n">
        <x:f>B6-B7</x:f>
        <x:v>523</x:v>
      </x:c>
      <x:c r="C8" s="53" t="n"/>
      <x:c r="D8" s="22" t="inlineStr">
        <x:is>
          <x:t xml:space="preserve">半黑</x:t>
        </x:is>
      </x:c>
      <x:c r="E8" s="22" t="n">
        <x:f>COUNTIFS('赛事明细'!$P$4:$P$1000,"已结算",'赛事明细'!$Q$4:$Q$1000,"半黑")</x:f>
        <x:v>55</x:v>
      </x:c>
      <x:c r="F8" s="53" t="n"/>
      <x:c r="G8" s="53" t="n"/>
      <x:c r="H8" s="53" t="n"/>
      <x:c r="I8" s="53" t="n"/>
      <x:c r="J8" s="53" t="n"/>
      <x:c r="K8" s="53" t="n"/>
    </x:row>
    <x:row r="9" ht="22" customHeight="1">
      <x:c r="A9" s="545" t="inlineStr">
        <x:is>
          <x:t xml:space="preserve">总盈亏（u）</x:t>
        </x:is>
      </x:c>
      <x:c r="B9" s="576" t="n">
        <x:f>SUM(赛事明细!S4:S2000)</x:f>
        <x:v>41.385</x:v>
      </x:c>
      <x:c r="C9" s="53" t="n"/>
      <x:c r="D9" s="22" t="inlineStr">
        <x:is>
          <x:t xml:space="preserve">黑</x:t>
        </x:is>
      </x:c>
      <x:c r="E9" s="22" t="n">
        <x:f>COUNTIFS('赛事明细'!$P$4:$P$1000,"已结算",'赛事明细'!$Q$4:$Q$1000,"黑")</x:f>
        <x:v>386</x:v>
      </x:c>
      <x:c r="F9" s="53" t="n"/>
      <x:c r="G9" s="53" t="n"/>
      <x:c r="H9" s="53" t="n"/>
      <x:c r="I9" s="53" t="n"/>
      <x:c r="J9" s="53" t="n"/>
      <x:c r="K9" s="53" t="n"/>
    </x:row>
    <x:row r="10" ht="22" customHeight="1">
      <x:c r="A10" s="545" t="inlineStr">
        <x:is>
          <x:t xml:space="preserve">ROI</x:t>
        </x:is>
      </x:c>
      <x:c r="B10" s="612" t="n">
        <x:f>IFERROR(B9/B7,0)</x:f>
        <x:v>0.030678280207561155</x:v>
      </x:c>
      <x:c r="C10" s="53" t="n"/>
      <x:c r="D10" s="53" t="n"/>
      <x:c r="E10" s="53" t="n"/>
      <x:c r="F10" s="53" t="n"/>
      <x:c r="G10" s="53" t="n"/>
      <x:c r="H10" s="53" t="n"/>
      <x:c r="I10" s="53" t="n"/>
      <x:c r="J10" s="53" t="n"/>
      <x:c r="K10" s="53" t="n"/>
    </x:row>
    <x:row r="11">
      <x:c r="A11" s="53" t="n"/>
      <x:c r="B11" s="53" t="n"/>
      <x:c r="C11" s="53" t="n"/>
      <x:c r="D11" s="53" t="n"/>
      <x:c r="E11" s="53" t="n"/>
      <x:c r="F11" s="53" t="n"/>
      <x:c r="G11" s="53" t="n"/>
      <x:c r="H11" s="53" t="n"/>
      <x:c r="I11" s="53" t="n"/>
      <x:c r="J11" s="53" t="n"/>
      <x:c r="K11" s="53" t="n"/>
    </x:row>
    <x:row r="12" ht="23" customHeight="1">
      <x:c r="A12" s="532" t="inlineStr">
        <x:is>
          <x:t xml:space="preserve">V4页面原始覆盖</x:t>
        </x:is>
      </x:c>
    </x:row>
    <x:row r="13" ht="26" customHeight="1">
      <x:c r="A13" s="538" t="inlineStr">
        <x:is>
          <x:t xml:space="preserve">列表日</x:t>
        </x:is>
      </x:c>
      <x:c r="B13" s="538" t="inlineStr">
        <x:is>
          <x:t xml:space="preserve">总赛事</x:t>
        </x:is>
      </x:c>
      <x:c r="C13" s="538" t="inlineStr">
        <x:is>
          <x:t xml:space="preserve">真实计算</x:t>
        </x:is>
      </x:c>
      <x:c r="D13" s="538" t="inlineStr">
        <x:is>
          <x:t xml:space="preserve">A</x:t>
        </x:is>
      </x:c>
      <x:c r="E13" s="538" t="inlineStr">
        <x:is>
          <x:t xml:space="preserve">B</x:t>
        </x:is>
      </x:c>
      <x:c r="F13" s="538" t="inlineStr">
        <x:is>
          <x:t xml:space="preserve">C</x:t>
        </x:is>
      </x:c>
      <x:c r="G13" s="538" t="inlineStr">
        <x:is>
          <x:t xml:space="preserve">N</x:t>
        </x:is>
      </x:c>
      <x:c r="H13" s="538" t="inlineStr">
        <x:is>
          <x:t xml:space="preserve">中性</x:t>
        </x:is>
      </x:c>
      <x:c r="I13" s="538" t="inlineStr">
        <x:is>
          <x:t xml:space="preserve">数据缺失</x:t>
        </x:is>
      </x:c>
      <x:c r="J13" s="538" t="inlineStr">
        <x:is>
          <x:t xml:space="preserve">非赛前</x:t>
        </x:is>
      </x:c>
      <x:c r="K13" s="538" t="inlineStr">
        <x:is>
          <x:t xml:space="preserve">生成时间</x:t>
        </x:is>
      </x:c>
    </x:row>
    <x:row r="14" ht="22" customHeight="1">
      <x:c r="A14" s="26" t="inlineStr">
        <x:is>
          <x:t xml:space="preserve">2026-09-13</x:t>
        </x:is>
      </x:c>
      <x:c r="B14" s="26" t="n">
        <x:v>192</x:v>
      </x:c>
      <x:c r="C14" s="26" t="n">
        <x:v>160</x:v>
      </x:c>
      <x:c r="D14" s="26" t="n">
        <x:v>0</x:v>
      </x:c>
      <x:c r="E14" s="26" t="n">
        <x:v>3</x:v>
      </x:c>
      <x:c r="F14" s="26" t="n">
        <x:v>30</x:v>
      </x:c>
      <x:c r="G14" s="26" t="n">
        <x:v>127</x:v>
      </x:c>
      <x:c r="H14" s="26" t="n">
        <x:v>29</x:v>
      </x:c>
      <x:c r="I14" s="26" t="n">
        <x:v>0</x:v>
      </x:c>
      <x:c r="J14" s="26" t="n">
        <x:v>3</x:v>
      </x:c>
      <x:c r="K14" s="26" t="inlineStr">
        <x:is>
          <x:t xml:space="preserve">2026-09-13 13:36:05.043202 北京时间</x:t>
        </x:is>
      </x:c>
    </x:row>
    <x:row r="15" ht="22" customHeight="1">
      <x:c r="A15" s="26" t="inlineStr">
        <x:is>
          <x:t xml:space="preserve">2026-09-14</x:t>
        </x:is>
      </x:c>
      <x:c r="B15" s="26" t="n">
        <x:v>208</x:v>
      </x:c>
      <x:c r="C15" s="26" t="n">
        <x:v>72</x:v>
      </x:c>
      <x:c r="D15" s="26" t="n">
        <x:v>0</x:v>
      </x:c>
      <x:c r="E15" s="26" t="n">
        <x:v>1</x:v>
      </x:c>
      <x:c r="F15" s="26" t="n">
        <x:v>18</x:v>
      </x:c>
      <x:c r="G15" s="26" t="n">
        <x:v>53</x:v>
      </x:c>
      <x:c r="H15" s="26" t="n">
        <x:v>30</x:v>
      </x:c>
      <x:c r="I15" s="26" t="n">
        <x:v>52</x:v>
      </x:c>
      <x:c r="J15" s="26" t="n">
        <x:v>54</x:v>
      </x:c>
      <x:c r="K15" s="26" t="inlineStr">
        <x:is>
          <x:t xml:space="preserve">2026-09-14 22:16:27.477271 北京时间</x:t>
        </x:is>
      </x:c>
    </x:row>
    <x:row r="16" ht="22" customHeight="1">
      <x:c r="A16" s="26" t="inlineStr">
        <x:is>
          <x:t xml:space="preserve">2026-09-15</x:t>
        </x:is>
      </x:c>
      <x:c r="B16" s="26" t="n">
        <x:v>327</x:v>
      </x:c>
      <x:c r="C16" s="26" t="n">
        <x:v>116</x:v>
      </x:c>
      <x:c r="D16" s="26" t="n">
        <x:v>1</x:v>
      </x:c>
      <x:c r="E16" s="26" t="n">
        <x:v>3</x:v>
      </x:c>
      <x:c r="F16" s="26" t="n">
        <x:v>28</x:v>
      </x:c>
      <x:c r="G16" s="26" t="n">
        <x:v>84</x:v>
      </x:c>
      <x:c r="H16" s="26" t="n">
        <x:v>41</x:v>
      </x:c>
      <x:c r="I16" s="26" t="n">
        <x:v>140</x:v>
      </x:c>
      <x:c r="J16" s="26" t="n">
        <x:v>30</x:v>
      </x:c>
      <x:c r="K16" s="26" t="inlineStr">
        <x:is>
          <x:t xml:space="preserve">2026-09-15 18:10:05.341285 北京时间</x:t>
        </x:is>
      </x:c>
    </x:row>
    <x:row r="17" ht="22" customHeight="1">
      <x:c r="A17" s="26" t="inlineStr">
        <x:is>
          <x:t xml:space="preserve">2026-09-16</x:t>
        </x:is>
      </x:c>
      <x:c r="B17" s="26" t="n">
        <x:v>510</x:v>
      </x:c>
      <x:c r="C17" s="26" t="n">
        <x:v>161</x:v>
      </x:c>
      <x:c r="D17" s="26" t="n">
        <x:v>1</x:v>
      </x:c>
      <x:c r="E17" s="26" t="n">
        <x:v>1</x:v>
      </x:c>
      <x:c r="F17" s="26" t="n">
        <x:v>29</x:v>
      </x:c>
      <x:c r="G17" s="26" t="n">
        <x:v>130</x:v>
      </x:c>
      <x:c r="H17" s="26" t="n">
        <x:v>28</x:v>
      </x:c>
      <x:c r="I17" s="26" t="n">
        <x:v>128</x:v>
      </x:c>
      <x:c r="J17" s="26" t="n">
        <x:v>193</x:v>
      </x:c>
      <x:c r="K17" s="26" t="inlineStr">
        <x:is>
          <x:t xml:space="preserve">2026-09-16 23:55:21.710510 北京时间</x:t>
        </x:is>
      </x:c>
    </x:row>
    <x:row r="18" ht="22" customHeight="1">
      <x:c r="A18" s="26" t="inlineStr">
        <x:is>
          <x:t xml:space="preserve">2026-09-17</x:t>
        </x:is>
      </x:c>
      <x:c r="B18" s="26" t="n">
        <x:v>269</x:v>
      </x:c>
      <x:c r="C18" s="26" t="n">
        <x:v>83</x:v>
      </x:c>
      <x:c r="D18" s="26" t="n">
        <x:v>0</x:v>
      </x:c>
      <x:c r="E18" s="26" t="n">
        <x:v>2</x:v>
      </x:c>
      <x:c r="F18" s="26" t="n">
        <x:v>17</x:v>
      </x:c>
      <x:c r="G18" s="26" t="n">
        <x:v>64</x:v>
      </x:c>
      <x:c r="H18" s="26" t="n">
        <x:v>22</x:v>
      </x:c>
      <x:c r="I18" s="26" t="n">
        <x:v>70</x:v>
      </x:c>
      <x:c r="J18" s="26" t="n">
        <x:v>94</x:v>
      </x:c>
      <x:c r="K18" s="26" t="inlineStr">
        <x:is>
          <x:t xml:space="preserve">2026-09-17 22:29:30.141242 北京时间</x:t>
        </x:is>
      </x:c>
    </x:row>
    <x:row r="19" ht="22" customHeight="1">
      <x:c r="A19" s="26" t="inlineStr">
        <x:is>
          <x:t xml:space="preserve">2026-09-18</x:t>
        </x:is>
      </x:c>
      <x:c r="B19" s="26" t="n">
        <x:v>508</x:v>
      </x:c>
      <x:c r="C19" s="26" t="n">
        <x:v>161</x:v>
      </x:c>
      <x:c r="D19" s="26" t="n">
        <x:v>1</x:v>
      </x:c>
      <x:c r="E19" s="26" t="n">
        <x:v>4</x:v>
      </x:c>
      <x:c r="F19" s="26" t="n">
        <x:v>49</x:v>
      </x:c>
      <x:c r="G19" s="26" t="n">
        <x:v>107</x:v>
      </x:c>
      <x:c r="H19" s="26" t="n">
        <x:v>49</x:v>
      </x:c>
      <x:c r="I19" s="26" t="n">
        <x:v>285</x:v>
      </x:c>
      <x:c r="J19" s="26" t="n">
        <x:v>13</x:v>
      </x:c>
      <x:c r="K19" s="26" t="inlineStr">
        <x:is>
          <x:t xml:space="preserve">2026-09-18 16:00:27.683383 北京时间</x:t>
        </x:is>
      </x:c>
    </x:row>
    <x:row r="20" ht="22" customHeight="1">
      <x:c r="A20" s="26" t="inlineStr">
        <x:is>
          <x:t xml:space="preserve">2026-09-19</x:t>
        </x:is>
      </x:c>
      <x:c r="B20" s="26" t="n">
        <x:v>1825</x:v>
      </x:c>
      <x:c r="C20" s="26" t="n">
        <x:v>380</x:v>
      </x:c>
      <x:c r="D20" s="26" t="n">
        <x:v>1</x:v>
      </x:c>
      <x:c r="E20" s="26" t="n">
        <x:v>4</x:v>
      </x:c>
      <x:c r="F20" s="26" t="n">
        <x:v>88</x:v>
      </x:c>
      <x:c r="G20" s="26" t="n">
        <x:v>287</x:v>
      </x:c>
      <x:c r="H20" s="26" t="n">
        <x:v>119</x:v>
      </x:c>
      <x:c r="I20" s="26" t="n">
        <x:v>212</x:v>
      </x:c>
      <x:c r="J20" s="26" t="n">
        <x:v>1114</x:v>
      </x:c>
      <x:c r="K20" s="26" t="inlineStr">
        <x:is>
          <x:t xml:space="preserve">2026-09-19 14:12:46.996540 北京时间</x:t>
        </x:is>
      </x:c>
    </x:row>
    <x:row r="21" ht="22" customHeight="1">
      <x:c r="A21" s="26" t="inlineStr">
        <x:is>
          <x:t xml:space="preserve">2026-09-20</x:t>
        </x:is>
      </x:c>
      <x:c r="B21" s="26" t="n">
        <x:v>1348</x:v>
      </x:c>
      <x:c r="C21" s="26" t="n">
        <x:v>231</x:v>
      </x:c>
      <x:c r="D21" s="26" t="n">
        <x:v>1</x:v>
      </x:c>
      <x:c r="E21" s="26" t="n">
        <x:v>4</x:v>
      </x:c>
      <x:c r="F21" s="26" t="n">
        <x:v>62</x:v>
      </x:c>
      <x:c r="G21" s="26" t="n">
        <x:v>164</x:v>
      </x:c>
      <x:c r="H21" s="26" t="n">
        <x:v>68</x:v>
      </x:c>
      <x:c r="I21" s="26" t="n">
        <x:v>2</x:v>
      </x:c>
      <x:c r="J21" s="26" t="n">
        <x:v>1047</x:v>
      </x:c>
      <x:c r="K21" s="26" t="inlineStr">
        <x:is>
          <x:t xml:space="preserve">2026-09-20 21:55:39.015063 北京时间</x:t>
        </x:is>
      </x:c>
    </x:row>
    <x:row r="22" ht="22" customHeight="1">
      <x:c r="A22" s="26" t="inlineStr">
        <x:is>
          <x:t xml:space="preserve">2026-09-21</x:t>
        </x:is>
      </x:c>
      <x:c r="B22" s="26" t="n">
        <x:v>169</x:v>
      </x:c>
      <x:c r="C22" s="26" t="n">
        <x:v>12</x:v>
      </x:c>
      <x:c r="D22" s="26" t="n">
        <x:v>0</x:v>
      </x:c>
      <x:c r="E22" s="26" t="n">
        <x:v>0</x:v>
      </x:c>
      <x:c r="F22" s="26" t="n">
        <x:v>3</x:v>
      </x:c>
      <x:c r="G22" s="26" t="n">
        <x:v>9</x:v>
      </x:c>
      <x:c r="H22" s="26" t="n">
        <x:v>39</x:v>
      </x:c>
      <x:c r="I22" s="26" t="n">
        <x:v>118</x:v>
      </x:c>
      <x:c r="J22" s="26" t="n">
        <x:v>0</x:v>
      </x:c>
      <x:c r="K22" s="26" t="inlineStr">
        <x:is>
          <x:t xml:space="preserve">2026-09-21 08:20:31.444281 北京时间</x:t>
        </x:is>
      </x:c>
    </x:row>
    <x:row r="23" ht="34" customHeight="1">
      <x:c r="A23" s="543" t="inlineStr">
        <x:is>
          <x:t xml:space="preserve">说明：仅将 A/B/C（EV均值&gt;0）纳入纸面候选；N、Neutral、数据缺失及非赛前均不计入投注统计。P(EV&gt;0)表示模型对“期望收益为正”的概率，不是比赛胜率。V4页面标注 real_money=false。未完场场次保留在明细但不计入盈亏。</x:t>
        </x:is>
      </x:c>
    </x:row>
    <x:row r="24" ht="34" customHeight="1"/>
    <x:row r="25" ht="24" customHeight="1">
      <x:c r="A25" s="53" t="n"/>
      <x:c r="B25" s="53" t="n"/>
      <x:c r="C25" s="53" t="n"/>
      <x:c r="D25" s="53" t="n"/>
      <x:c r="E25" s="53" t="n"/>
      <x:c r="F25" s="53" t="n"/>
      <x:c r="G25" s="53" t="n"/>
      <x:c r="H25" s="53" t="n"/>
      <x:c r="I25" s="53" t="n"/>
      <x:c r="J25" s="53" t="n"/>
      <x:c r="K25" s="53" t="n"/>
    </x:row>
    <x:row r="26" ht="24" customHeight="1">
      <x:c r="A26" s="53" t="n"/>
      <x:c r="B26" s="53" t="n"/>
      <x:c r="C26" s="53" t="n"/>
      <x:c r="D26" s="53" t="n"/>
      <x:c r="E26" s="53" t="n"/>
      <x:c r="F26" s="53" t="n"/>
      <x:c r="G26" s="53" t="n"/>
      <x:c r="H26" s="53" t="n"/>
      <x:c r="I26" s="53" t="n"/>
      <x:c r="J26" s="53" t="n"/>
      <x:c r="K26" s="53" t="n"/>
    </x:row>
    <x:row r="27" ht="42" customHeight="1">
      <x:c r="A27" s="53" t="n"/>
      <x:c r="B27" s="53" t="n"/>
      <x:c r="C27" s="53" t="n"/>
      <x:c r="D27" s="53" t="n"/>
      <x:c r="E27" s="53" t="n"/>
      <x:c r="F27" s="53" t="n"/>
      <x:c r="G27" s="53" t="n"/>
      <x:c r="H27" s="53" t="n"/>
      <x:c r="I27" s="53" t="n"/>
      <x:c r="J27" s="53" t="n"/>
      <x:c r="K27" s="53" t="n"/>
    </x:row>
    <x:row r="28" ht="27" customHeight="1">
      <x:c r="A28" s="559" t="inlineStr">
        <x:is>
          <x:t xml:space="preserve">09/13–09/21 每日更新（北京时间12:00至次日12:00）</x:t>
        </x:is>
      </x:c>
      <x:c r="G28" s="53" t="n"/>
      <x:c r="H28" s="53" t="n"/>
      <x:c r="I28" s="53" t="n"/>
      <x:c r="J28" s="53" t="n"/>
      <x:c r="K28" s="53" t="n"/>
    </x:row>
    <x:row r="29" ht="26" customHeight="1">
      <x:c r="A29" s="562" t="inlineStr">
        <x:is>
          <x:t xml:space="preserve">统计日</x:t>
        </x:is>
      </x:c>
      <x:c r="B29" s="562" t="inlineStr">
        <x:is>
          <x:t xml:space="preserve">入选场次</x:t>
        </x:is>
      </x:c>
      <x:c r="C29" s="562" t="inlineStr">
        <x:is>
          <x:t xml:space="preserve">已结算</x:t>
        </x:is>
      </x:c>
      <x:c r="D29" s="562" t="inlineStr">
        <x:is>
          <x:t xml:space="preserve">有效胜率</x:t>
        </x:is>
      </x:c>
      <x:c r="E29" s="562" t="inlineStr">
        <x:is>
          <x:t xml:space="preserve">盈亏(u)</x:t>
        </x:is>
      </x:c>
      <x:c r="F29" s="562" t="inlineStr">
        <x:is>
          <x:t xml:space="preserve">ROI</x:t>
        </x:is>
      </x:c>
    </x:row>
    <x:row r="30" ht="24" customHeight="1">
      <x:c r="A30" s="105" t="inlineStr">
        <x:is>
          <x:t xml:space="preserve">2026-09-13</x:t>
        </x:is>
      </x:c>
      <x:c r="B30" s="105" t="n">
        <x:f>COUNTIF('赛事明细'!$A$4:$A$1000,A30)</x:f>
        <x:v>33</x:v>
      </x:c>
      <x:c r="C30" s="105" t="n">
        <x:f>COUNTIFS('赛事明细'!$A$4:$A$1000,A30,'赛事明细'!$P$4:$P$1000,"已结算")</x:f>
        <x:v>33</x:v>
      </x:c>
      <x:c r="D30" s="578" t="n">
        <x:f>IF(C30=0,"",IFERROR((COUNTIFS('赛事明细'!$A$4:$A$1000,A30,'赛事明细'!$P$4:$P$1000,"已结算",'赛事明细'!$Q$4:$Q$1000,"红")+0.5*COUNTIFS('赛事明细'!$A$4:$A$1000,A30,'赛事明细'!$P$4:$P$1000,"已结算",'赛事明细'!$Q$4:$Q$1000,"半红"))/(COUNTIFS('赛事明细'!$A$4:$A$1000,A30,'赛事明细'!$P$4:$P$1000,"已结算",'赛事明细'!$Q$4:$Q$1000,"红")+0.5*COUNTIFS('赛事明细'!$A$4:$A$1000,A30,'赛事明细'!$P$4:$P$1000,"已结算",'赛事明细'!$Q$4:$Q$1000,"半红")+COUNTIFS('赛事明细'!$A$4:$A$1000,A30,'赛事明细'!$P$4:$P$1000,"已结算",'赛事明细'!$Q$4:$Q$1000,"黑")+0.5*COUNTIFS('赛事明细'!$A$4:$A$1000,A30,'赛事明细'!$P$4:$P$1000,"已结算",'赛事明细'!$Q$4:$Q$1000,"半黑")),""))</x:f>
        <x:v>0.4915254237288136</x:v>
      </x:c>
      <x:c r="E30" s="579" t="n">
        <x:f>SUMIFS('赛事明细'!$S$4:$S$1000,'赛事明细'!$A$4:$A$1000,A30,'赛事明细'!$P$4:$P$1000,"已结算")</x:f>
        <x:v>-0.6849999999999992</x:v>
      </x:c>
      <x:c r="F30" s="578" t="n">
        <x:f>IF(C30=0,"",IFERROR(E30/C30,""))</x:f>
        <x:v>-0.02075757575757573</x:v>
      </x:c>
    </x:row>
    <x:row r="31" ht="24" customHeight="1">
      <x:c r="A31" s="105" t="inlineStr">
        <x:is>
          <x:t xml:space="preserve">2026-09-14</x:t>
        </x:is>
      </x:c>
      <x:c r="B31" s="105" t="n">
        <x:f>COUNTIF('赛事明细'!$A$4:$A$1000,A31)</x:f>
        <x:v>19</x:v>
      </x:c>
      <x:c r="C31" s="105" t="n">
        <x:f>COUNTIFS('赛事明细'!$A$4:$A$1000,A31,'赛事明细'!$P$4:$P$1000,"已结算")</x:f>
        <x:v>19</x:v>
      </x:c>
      <x:c r="D31" s="578" t="n">
        <x:f>IF(C31=0,"",IFERROR((COUNTIFS('赛事明细'!$A$4:$A$1000,A31,'赛事明细'!$P$4:$P$1000,"已结算",'赛事明细'!$Q$4:$Q$1000,"红")+0.5*COUNTIFS('赛事明细'!$A$4:$A$1000,A31,'赛事明细'!$P$4:$P$1000,"已结算",'赛事明细'!$Q$4:$Q$1000,"半红"))/(COUNTIFS('赛事明细'!$A$4:$A$1000,A31,'赛事明细'!$P$4:$P$1000,"已结算",'赛事明细'!$Q$4:$Q$1000,"红")+0.5*COUNTIFS('赛事明细'!$A$4:$A$1000,A31,'赛事明细'!$P$4:$P$1000,"已结算",'赛事明细'!$Q$4:$Q$1000,"半红")+COUNTIFS('赛事明细'!$A$4:$A$1000,A31,'赛事明细'!$P$4:$P$1000,"已结算",'赛事明细'!$Q$4:$Q$1000,"黑")+0.5*COUNTIFS('赛事明细'!$A$4:$A$1000,A31,'赛事明细'!$P$4:$P$1000,"已结算",'赛事明细'!$Q$4:$Q$1000,"半黑")),""))</x:f>
        <x:v>0.6470588235294118</x:v>
      </x:c>
      <x:c r="E31" s="579" t="n">
        <x:f>SUMIFS('赛事明细'!$S$4:$S$1000,'赛事明细'!$A$4:$A$1000,A31,'赛事明细'!$P$4:$P$1000,"已结算")</x:f>
        <x:v>5.005000000000001</x:v>
      </x:c>
      <x:c r="F31" s="578" t="n">
        <x:f>IF(C31=0,"",IFERROR(E31/C31,""))</x:f>
        <x:v>0.263421052631579</x:v>
      </x:c>
    </x:row>
    <x:row r="32" ht="24" customHeight="1">
      <x:c r="A32" s="105" t="inlineStr">
        <x:is>
          <x:t xml:space="preserve">2026-09-15</x:t>
        </x:is>
      </x:c>
      <x:c r="B32" s="105" t="n">
        <x:f>COUNTIF('赛事明细'!$A$4:$A$1000,A32)</x:f>
        <x:v>32</x:v>
      </x:c>
      <x:c r="C32" s="105" t="n">
        <x:f>COUNTIFS('赛事明细'!$A$4:$A$1000,A32,'赛事明细'!$P$4:$P$1000,"已结算")</x:f>
        <x:v>32</x:v>
      </x:c>
      <x:c r="D32" s="578" t="n">
        <x:f>IF(C32=0,"",IFERROR((COUNTIFS('赛事明细'!$A$4:$A$1000,A32,'赛事明细'!$P$4:$P$1000,"已结算",'赛事明细'!$Q$4:$Q$1000,"红")+0.5*COUNTIFS('赛事明细'!$A$4:$A$1000,A32,'赛事明细'!$P$4:$P$1000,"已结算",'赛事明细'!$Q$4:$Q$1000,"半红"))/(COUNTIFS('赛事明细'!$A$4:$A$1000,A32,'赛事明细'!$P$4:$P$1000,"已结算",'赛事明细'!$Q$4:$Q$1000,"红")+0.5*COUNTIFS('赛事明细'!$A$4:$A$1000,A32,'赛事明细'!$P$4:$P$1000,"已结算",'赛事明细'!$Q$4:$Q$1000,"半红")+COUNTIFS('赛事明细'!$A$4:$A$1000,A32,'赛事明细'!$P$4:$P$1000,"已结算",'赛事明细'!$Q$4:$Q$1000,"黑")+0.5*COUNTIFS('赛事明细'!$A$4:$A$1000,A32,'赛事明细'!$P$4:$P$1000,"已结算",'赛事明细'!$Q$4:$Q$1000,"半黑")),""))</x:f>
        <x:v>0.5084745762711864</x:v>
      </x:c>
      <x:c r="E32" s="579" t="n">
        <x:f>SUMIFS('赛事明细'!$S$4:$S$1000,'赛事明细'!$A$4:$A$1000,A32,'赛事明细'!$P$4:$P$1000,"已结算")</x:f>
        <x:v>0.41000000000000014</x:v>
      </x:c>
      <x:c r="F32" s="578" t="n">
        <x:f>IF(C32=0,"",IFERROR(E32/C32,""))</x:f>
        <x:v>0.012812500000000004</x:v>
      </x:c>
    </x:row>
    <x:row r="33" ht="24" customHeight="1">
      <x:c r="A33" s="105" t="inlineStr">
        <x:is>
          <x:t xml:space="preserve">2026-09-16</x:t>
        </x:is>
      </x:c>
      <x:c r="B33" s="105" t="n">
        <x:f>COUNTIF('赛事明细'!$A$4:$A$1000,A33)</x:f>
        <x:v>31</x:v>
      </x:c>
      <x:c r="C33" s="105" t="n">
        <x:f>COUNTIFS('赛事明细'!$A$4:$A$1000,A33,'赛事明细'!$P$4:$P$1000,"已结算")</x:f>
        <x:v>31</x:v>
      </x:c>
      <x:c r="D33" s="578" t="n">
        <x:f>IF(C33=0,"",IFERROR((COUNTIFS('赛事明细'!$A$4:$A$1000,A33,'赛事明细'!$P$4:$P$1000,"已结算",'赛事明细'!$Q$4:$Q$1000,"红")+0.5*COUNTIFS('赛事明细'!$A$4:$A$1000,A33,'赛事明细'!$P$4:$P$1000,"已结算",'赛事明细'!$Q$4:$Q$1000,"半红"))/(COUNTIFS('赛事明细'!$A$4:$A$1000,A33,'赛事明细'!$P$4:$P$1000,"已结算",'赛事明细'!$Q$4:$Q$1000,"红")+0.5*COUNTIFS('赛事明细'!$A$4:$A$1000,A33,'赛事明细'!$P$4:$P$1000,"已结算",'赛事明细'!$Q$4:$Q$1000,"半红")+COUNTIFS('赛事明细'!$A$4:$A$1000,A33,'赛事明细'!$P$4:$P$1000,"已结算",'赛事明细'!$Q$4:$Q$1000,"黑")+0.5*COUNTIFS('赛事明细'!$A$4:$A$1000,A33,'赛事明细'!$P$4:$P$1000,"已结算",'赛事明细'!$Q$4:$Q$1000,"半黑")),""))</x:f>
        <x:v>0.4716981132075472</x:v>
      </x:c>
      <x:c r="E33" s="579" t="n">
        <x:f>SUMIFS('赛事明细'!$S$4:$S$1000,'赛事明细'!$A$4:$A$1000,A33,'赛事明细'!$P$4:$P$1000,"已结算")</x:f>
        <x:v>-1.770000000000001</x:v>
      </x:c>
      <x:c r="F33" s="578" t="n">
        <x:f>IF(C33=0,"",IFERROR(E33/C33,""))</x:f>
        <x:v>-0.057096774193548416</x:v>
      </x:c>
    </x:row>
    <x:row r="34" ht="24" customHeight="1">
      <x:c r="A34" s="105" t="inlineStr">
        <x:is>
          <x:t xml:space="preserve">2026-09-17</x:t>
        </x:is>
      </x:c>
      <x:c r="B34" s="105" t="n">
        <x:f>COUNTIF('赛事明细'!$A$4:$A$1000,A34)</x:f>
        <x:v>19</x:v>
      </x:c>
      <x:c r="C34" s="105" t="n">
        <x:f>COUNTIFS('赛事明细'!$A$4:$A$1000,A34,'赛事明细'!$P$4:$P$1000,"已结算")</x:f>
        <x:v>19</x:v>
      </x:c>
      <x:c r="D34" s="578" t="n">
        <x:f>IF(C34=0,"",IFERROR((COUNTIFS('赛事明细'!$A$4:$A$1000,A34,'赛事明细'!$P$4:$P$1000,"已结算",'赛事明细'!$Q$4:$Q$1000,"红")+0.5*COUNTIFS('赛事明细'!$A$4:$A$1000,A34,'赛事明细'!$P$4:$P$1000,"已结算",'赛事明细'!$Q$4:$Q$1000,"半红"))/(COUNTIFS('赛事明细'!$A$4:$A$1000,A34,'赛事明细'!$P$4:$P$1000,"已结算",'赛事明细'!$Q$4:$Q$1000,"红")+0.5*COUNTIFS('赛事明细'!$A$4:$A$1000,A34,'赛事明细'!$P$4:$P$1000,"已结算",'赛事明细'!$Q$4:$Q$1000,"半红")+COUNTIFS('赛事明细'!$A$4:$A$1000,A34,'赛事明细'!$P$4:$P$1000,"已结算",'赛事明细'!$Q$4:$Q$1000,"黑")+0.5*COUNTIFS('赛事明细'!$A$4:$A$1000,A34,'赛事明细'!$P$4:$P$1000,"已结算",'赛事明细'!$Q$4:$Q$1000,"半黑")),""))</x:f>
        <x:v>0.4594594594594595</x:v>
      </x:c>
      <x:c r="E34" s="579" t="n">
        <x:f>SUMIFS('赛事明细'!$S$4:$S$1000,'赛事明细'!$A$4:$A$1000,A34,'赛事明细'!$P$4:$P$1000,"已结算")</x:f>
        <x:v>-1.3799999999999997</x:v>
      </x:c>
      <x:c r="F34" s="578" t="n">
        <x:f>IF(C34=0,"",IFERROR(E34/C34,""))</x:f>
        <x:v>-0.07263157894736841</x:v>
      </x:c>
    </x:row>
    <x:row r="35" ht="24" customHeight="1">
      <x:c r="A35" s="105" t="inlineStr">
        <x:is>
          <x:t xml:space="preserve">2026-09-18</x:t>
        </x:is>
      </x:c>
      <x:c r="B35" s="105" t="n">
        <x:f>COUNTIF('赛事明细'!$A$4:$A$1000,A35)</x:f>
        <x:v>55</x:v>
      </x:c>
      <x:c r="C35" s="105" t="n">
        <x:f>COUNTIFS('赛事明细'!$A$4:$A$1000,A35,'赛事明细'!$P$4:$P$1000,"已结算")</x:f>
        <x:v>55</x:v>
      </x:c>
      <x:c r="D35" s="578" t="n">
        <x:f>IF(C35=0,"",IFERROR((COUNTIFS('赛事明细'!$A$4:$A$1000,A35,'赛事明细'!$P$4:$P$1000,"已结算",'赛事明细'!$Q$4:$Q$1000,"红")+0.5*COUNTIFS('赛事明细'!$A$4:$A$1000,A35,'赛事明细'!$P$4:$P$1000,"已结算",'赛事明细'!$Q$4:$Q$1000,"半红"))/(COUNTIFS('赛事明细'!$A$4:$A$1000,A35,'赛事明细'!$P$4:$P$1000,"已结算",'赛事明细'!$Q$4:$Q$1000,"红")+0.5*COUNTIFS('赛事明细'!$A$4:$A$1000,A35,'赛事明细'!$P$4:$P$1000,"已结算",'赛事明细'!$Q$4:$Q$1000,"半红")+COUNTIFS('赛事明细'!$A$4:$A$1000,A35,'赛事明细'!$P$4:$P$1000,"已结算",'赛事明细'!$Q$4:$Q$1000,"黑")+0.5*COUNTIFS('赛事明细'!$A$4:$A$1000,A35,'赛事明细'!$P$4:$P$1000,"已结算",'赛事明细'!$Q$4:$Q$1000,"半黑")),""))</x:f>
        <x:v>0.3695652173913043</x:v>
      </x:c>
      <x:c r="E35" s="579" t="n">
        <x:f>SUMIFS('赛事明细'!$S$4:$S$1000,'赛事明细'!$A$4:$A$1000,A35,'赛事明细'!$P$4:$P$1000,"已结算")</x:f>
        <x:v>-11.704999999999998</x:v>
      </x:c>
      <x:c r="F35" s="578" t="n">
        <x:f>IF(C35=0,"",IFERROR(E35/C35,""))</x:f>
        <x:v>-0.2128181818181818</x:v>
      </x:c>
    </x:row>
    <x:row r="36" ht="24" customHeight="1">
      <x:c r="A36" s="105" t="inlineStr">
        <x:is>
          <x:t xml:space="preserve">2026-09-19</x:t>
        </x:is>
      </x:c>
      <x:c r="B36" s="105" t="n">
        <x:f>COUNTIF('赛事明细'!$A$4:$A$1000,A36)</x:f>
        <x:v>92</x:v>
      </x:c>
      <x:c r="C36" s="105" t="n">
        <x:f>COUNTIFS('赛事明细'!$A$4:$A$1000,A36,'赛事明细'!$P$4:$P$1000,"已结算")</x:f>
        <x:v>92</x:v>
      </x:c>
      <x:c r="D36" s="578" t="n">
        <x:f>IF(C36=0,"",IFERROR((COUNTIFS('赛事明细'!$A$4:$A$1000,A36,'赛事明细'!$P$4:$P$1000,"已结算",'赛事明细'!$Q$4:$Q$1000,"红")+0.5*COUNTIFS('赛事明细'!$A$4:$A$1000,A36,'赛事明细'!$P$4:$P$1000,"已结算",'赛事明细'!$Q$4:$Q$1000,"半红"))/(COUNTIFS('赛事明细'!$A$4:$A$1000,A36,'赛事明细'!$P$4:$P$1000,"已结算",'赛事明细'!$Q$4:$Q$1000,"红")+0.5*COUNTIFS('赛事明细'!$A$4:$A$1000,A36,'赛事明细'!$P$4:$P$1000,"已结算",'赛事明细'!$Q$4:$Q$1000,"半红")+COUNTIFS('赛事明细'!$A$4:$A$1000,A36,'赛事明细'!$P$4:$P$1000,"已结算",'赛事明细'!$Q$4:$Q$1000,"黑")+0.5*COUNTIFS('赛事明细'!$A$4:$A$1000,A36,'赛事明细'!$P$4:$P$1000,"已结算",'赛事明细'!$Q$4:$Q$1000,"半黑")),""))</x:f>
        <x:v>0.4779874213836478</x:v>
      </x:c>
      <x:c r="E36" s="579" t="n">
        <x:f>SUMIFS('赛事明细'!$S$4:$S$1000,'赛事明细'!$A$4:$A$1000,A36,'赛事明细'!$P$4:$P$1000,"已结算")</x:f>
        <x:v>-2.2799999999999967</x:v>
      </x:c>
      <x:c r="F36" s="578" t="n">
        <x:f>IF(C36=0,"",IFERROR(E36/C36,""))</x:f>
        <x:v>-0.024782608695652138</x:v>
      </x:c>
    </x:row>
    <x:row r="37" ht="24" customHeight="1">
      <x:c r="A37" s="105" t="inlineStr">
        <x:is>
          <x:t xml:space="preserve">2026-09-20</x:t>
        </x:is>
      </x:c>
      <x:c r="B37" s="105" t="n">
        <x:f>COUNTIF('赛事明细'!$A$4:$A$1000,A37)</x:f>
        <x:v>67</x:v>
      </x:c>
      <x:c r="C37" s="105" t="n">
        <x:f>COUNTIFS('赛事明细'!$A$4:$A$1000,A37,'赛事明细'!$P$4:$P$1000,"已结算")</x:f>
        <x:v>67</x:v>
      </x:c>
      <x:c r="D37" s="578" t="n">
        <x:f>IF(C37=0,"",IFERROR((COUNTIFS('赛事明细'!$A$4:$A$1000,A37,'赛事明细'!$P$4:$P$1000,"已结算",'赛事明细'!$Q$4:$Q$1000,"红")+0.5*COUNTIFS('赛事明细'!$A$4:$A$1000,A37,'赛事明细'!$P$4:$P$1000,"已结算",'赛事明细'!$Q$4:$Q$1000,"半红"))/(COUNTIFS('赛事明细'!$A$4:$A$1000,A37,'赛事明细'!$P$4:$P$1000,"已结算",'赛事明细'!$Q$4:$Q$1000,"红")+0.5*COUNTIFS('赛事明细'!$A$4:$A$1000,A37,'赛事明细'!$P$4:$P$1000,"已结算",'赛事明细'!$Q$4:$Q$1000,"半红")+COUNTIFS('赛事明细'!$A$4:$A$1000,A37,'赛事明细'!$P$4:$P$1000,"已结算",'赛事明细'!$Q$4:$Q$1000,"黑")+0.5*COUNTIFS('赛事明细'!$A$4:$A$1000,A37,'赛事明细'!$P$4:$P$1000,"已结算",'赛事明细'!$Q$4:$Q$1000,"半黑")),""))</x:f>
        <x:v>0.6218487394957983</x:v>
      </x:c>
      <x:c r="E37" s="579" t="n">
        <x:f>SUMIFS('赛事明细'!$S$4:$S$1000,'赛事明细'!$A$4:$A$1000,A37,'赛事明细'!$P$4:$P$1000,"已结算")</x:f>
        <x:v>15.534999999999993</x:v>
      </x:c>
      <x:c r="F37" s="578" t="n">
        <x:f>IF(C37=0,"",IFERROR(E37/C37,""))</x:f>
        <x:v>0.23186567164179095</x:v>
      </x:c>
    </x:row>
    <x:row r="38" ht="24" customHeight="1">
      <x:c r="A38" s="105" t="inlineStr">
        <x:is>
          <x:t xml:space="preserve">2026-09-21</x:t>
        </x:is>
      </x:c>
      <x:c r="B38" s="105" t="n">
        <x:f>COUNTIF('赛事明细'!$A$4:$A$1000,A38)</x:f>
        <x:v>12</x:v>
      </x:c>
      <x:c r="C38" s="105" t="n">
        <x:f>COUNTIFS('赛事明细'!$A$4:$A$1000,A38,'赛事明细'!$P$4:$P$1000,"已结算")</x:f>
        <x:v>12</x:v>
      </x:c>
      <x:c r="D38" s="578" t="n">
        <x:f>IF(C38=0,"",IFERROR((COUNTIFS('赛事明细'!$A$4:$A$1000,A38,'赛事明细'!$P$4:$P$1000,"已结算",'赛事明细'!$Q$4:$Q$1000,"红")+0.5*COUNTIFS('赛事明细'!$A$4:$A$1000,A38,'赛事明细'!$P$4:$P$1000,"已结算",'赛事明细'!$Q$4:$Q$1000,"半红"))/(COUNTIFS('赛事明细'!$A$4:$A$1000,A38,'赛事明细'!$P$4:$P$1000,"已结算",'赛事明细'!$Q$4:$Q$1000,"红")+0.5*COUNTIFS('赛事明细'!$A$4:$A$1000,A38,'赛事明细'!$P$4:$P$1000,"已结算",'赛事明细'!$Q$4:$Q$1000,"半红")+COUNTIFS('赛事明细'!$A$4:$A$1000,A38,'赛事明细'!$P$4:$P$1000,"已结算",'赛事明细'!$Q$4:$Q$1000,"黑")+0.5*COUNTIFS('赛事明细'!$A$4:$A$1000,A38,'赛事明细'!$P$4:$P$1000,"已结算",'赛事明细'!$Q$4:$Q$1000,"半黑")),""))</x:f>
        <x:v>0.2857142857142857</x:v>
      </x:c>
      <x:c r="E38" s="579" t="n">
        <x:f>SUMIFS('赛事明细'!$S$4:$S$1000,'赛事明细'!$A$4:$A$1000,A38,'赛事明细'!$P$4:$P$1000,"已结算")</x:f>
        <x:v>-4.680000000000001</x:v>
      </x:c>
      <x:c r="F38" s="578" t="n">
        <x:f>IF(C38=0,"",IFERROR(E38/C38,""))</x:f>
        <x:v>-0.39000000000000007</x:v>
      </x:c>
    </x:row>
    <x:row r="40" ht="42" customHeight="1">
      <x:c r="A40" s="567" t="inlineStr">
        <x:is>
          <x:t xml:space="preserve">均注1u；有效胜率=(红+0.5×半红)/(红+0.5×半红+黑+0.5×半黑)，走盘不进胜率分母。ROI=盈亏÷已结算场次；待核实与未完赛不计入盈亏。</x:t>
        </x:is>
      </x:c>
    </x:row>
  </x:sheetData>
  <x:mergeCells>
    <x:mergeCell ref="A12:K12"/>
    <x:mergeCell ref="A28:F28"/>
    <x:mergeCell ref="A23:K24"/>
    <x:mergeCell ref="A1:E1"/>
    <x:mergeCell ref="A40:F40"/>
    <x:mergeCell ref="D3:E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6" ySplit="3" topLeftCell="G4" activePane="bottomRight" state="frozen"/>
    </x:sheetView>
  </x:sheetViews>
  <x:sheetFormatPr baseColWidth="8" defaultRowHeight="15"/>
  <x:cols>
    <x:col min="1" max="1" width="13" customWidth="1"/>
    <x:col min="2" max="2" width="19" customWidth="1"/>
    <x:col min="3" max="3" width="20" customWidth="1"/>
    <x:col min="4" max="4" width="10" customWidth="1"/>
    <x:col min="5" max="5" width="15" customWidth="1"/>
    <x:col min="6" max="6" width="34" customWidth="1"/>
    <x:col min="7" max="7" width="11" customWidth="1"/>
    <x:col min="8" max="8" width="11" customWidth="1"/>
    <x:col min="9" max="9" width="11" customWidth="1"/>
    <x:col min="10" max="10" width="19" customWidth="1"/>
    <x:col min="11" max="11" width="19" customWidth="1"/>
    <x:col min="12" max="12" width="22" customWidth="1"/>
    <x:col min="13" max="13" width="14" customWidth="1"/>
    <x:col min="14" max="14" width="18" customWidth="1"/>
    <x:col min="15" max="15" width="10" customWidth="1"/>
    <x:col min="16" max="16" width="12" customWidth="1"/>
    <x:col min="17" max="17" width="10" customWidth="1"/>
    <x:col min="18" max="18" width="12" customWidth="1"/>
    <x:col min="19" max="19" width="12" customWidth="1"/>
    <x:col min="20" max="20" width="44" customWidth="1"/>
    <x:col min="21" max="21" width="12" customWidth="1"/>
    <x:col min="22" max="22" width="12" customWidth="1"/>
    <x:col min="23" max="23" width="14" customWidth="1"/>
    <x:col min="24" max="24" width="13" customWidth="1"/>
    <x:col min="25" max="25" width="29" customWidth="1"/>
    <x:col min="26" max="26" width="23" customWidth="1"/>
    <x:col min="27" max="27" width="10" customWidth="1"/>
    <x:col min="28" max="28" width="11" customWidth="1"/>
    <x:col min="29" max="29" width="11" customWidth="1"/>
    <x:col min="30" max="30" width="11" customWidth="1"/>
    <x:col min="31" max="31" width="11" customWidth="1"/>
    <x:col min="32" max="32" width="11" customWidth="1"/>
    <x:col min="33" max="33" width="12" customWidth="1"/>
    <x:col min="34" max="34" width="12" customWidth="1"/>
    <x:col min="35" max="35" width="12" customWidth="1"/>
    <x:col min="36" max="36" width="12" customWidth="1"/>
    <x:col min="37" max="37" width="12" customWidth="1"/>
    <x:col min="38" max="38" width="12" customWidth="1"/>
    <x:col min="39" max="39" width="12" customWidth="1"/>
    <x:col min="40" max="40" width="15" customWidth="1"/>
    <x:col min="41" max="41" width="24" customWidth="1"/>
    <x:col min="42" max="42" width="14" customWidth="1"/>
    <x:col min="43" max="43" width="12" customWidth="1"/>
    <x:col min="44" max="44" width="12" customWidth="1"/>
    <x:col min="45" max="45" width="15" customWidth="1"/>
    <x:col min="46" max="46" width="15" customWidth="1"/>
    <x:col min="47" max="47" width="15" customWidth="1"/>
    <x:col min="48" max="48" width="12" customWidth="1"/>
    <x:col min="49" max="49" width="24" customWidth="1"/>
    <x:col min="50" max="50" width="42" customWidth="1"/>
    <x:col min="51" max="51" width="48" customWidth="1"/>
  </x:cols>
  <x:sheetData>
    <x:row r="1" ht="28" customHeight="1">
      <x:c r="A1" s="529" t="inlineStr">
        <x:is>
          <x:t xml:space="preserve">V4纸面候选赛事明细</x:t>
        </x:is>
      </x:c>
    </x:row>
    <x:row r="2" ht="30" customHeight="1">
      <x:c r="A2" s="546" t="inlineStr">
        <x:is>
          <x:t xml:space="preserve">口径：A/B/C为V4正期望纸面候选；结算按即时亚洲盘、真实投注水位、均注1u。红=+水位，半红=+0.5×水位，走=0，半黑=-0.5，黑=-1。</x:t>
        </x:is>
      </x:c>
    </x:row>
    <x:row r="3" ht="26" customHeight="1">
      <x:c r="A3" s="538" t="inlineStr">
        <x:is>
          <x:t xml:space="preserve">日期筛选</x:t>
        </x:is>
      </x:c>
      <x:c r="B3" s="538" t="inlineStr">
        <x:is>
          <x:t xml:space="preserve">比赛时间</x:t>
        </x:is>
      </x:c>
      <x:c r="C3" s="538" t="inlineStr">
        <x:is>
          <x:t xml:space="preserve">赛事分布</x:t>
        </x:is>
      </x:c>
      <x:c r="D3" s="538" t="inlineStr">
        <x:is>
          <x:t xml:space="preserve">赛事类型</x:t>
        </x:is>
      </x:c>
      <x:c r="E3" s="538" t="inlineStr">
        <x:is>
          <x:t xml:space="preserve">联赛/杯赛</x:t>
        </x:is>
      </x:c>
      <x:c r="F3" s="538" t="inlineStr">
        <x:is>
          <x:t xml:space="preserve">具体比赛</x:t>
        </x:is>
      </x:c>
      <x:c r="G3" s="538" t="inlineStr">
        <x:is>
          <x:t xml:space="preserve">即时主水</x:t>
        </x:is>
      </x:c>
      <x:c r="H3" s="538" t="inlineStr">
        <x:is>
          <x:t xml:space="preserve">即时盘口</x:t>
        </x:is>
      </x:c>
      <x:c r="I3" s="538" t="inlineStr">
        <x:is>
          <x:t xml:space="preserve">即时客水</x:t>
        </x:is>
      </x:c>
      <x:c r="J3" s="538" t="inlineStr">
        <x:is>
          <x:t xml:space="preserve">即时赔率文本</x:t>
        </x:is>
      </x:c>
      <x:c r="K3" s="538" t="inlineStr">
        <x:is>
          <x:t xml:space="preserve">V4等级/信号</x:t>
        </x:is>
      </x:c>
      <x:c r="L3" s="538" t="inlineStr">
        <x:is>
          <x:t xml:space="preserve">投注方</x:t>
        </x:is>
      </x:c>
      <x:c r="M3" s="538" t="inlineStr">
        <x:is>
          <x:t xml:space="preserve">模型有效胜率</x:t>
        </x:is>
      </x:c>
      <x:c r="N3" s="538" t="inlineStr">
        <x:is>
          <x:t xml:space="preserve">投注说明</x:t>
        </x:is>
      </x:c>
      <x:c r="O3" s="538" t="inlineStr">
        <x:is>
          <x:t xml:space="preserve">赛果</x:t>
        </x:is>
      </x:c>
      <x:c r="P3" s="538" t="inlineStr">
        <x:is>
          <x:t xml:space="preserve">结算状态</x:t>
        </x:is>
      </x:c>
      <x:c r="Q3" s="538" t="inlineStr">
        <x:is>
          <x:t xml:space="preserve">红黑</x:t>
        </x:is>
      </x:c>
      <x:c r="R3" s="538" t="inlineStr">
        <x:is>
          <x:t xml:space="preserve">投注水位</x:t>
        </x:is>
      </x:c>
      <x:c r="S3" s="538" t="inlineStr">
        <x:is>
          <x:t xml:space="preserve">盈亏(u)</x:t>
        </x:is>
      </x:c>
      <x:c r="T3" s="538" t="inlineStr">
        <x:is>
          <x:t xml:space="preserve">比分来源</x:t>
        </x:is>
      </x:c>
      <x:c r="U3" s="538" t="inlineStr">
        <x:is>
          <x:t xml:space="preserve">反向红黑</x:t>
        </x:is>
      </x:c>
      <x:c r="V3" s="538" t="inlineStr">
        <x:is>
          <x:t xml:space="preserve">反向水位</x:t>
        </x:is>
      </x:c>
      <x:c r="W3" s="538" t="inlineStr">
        <x:is>
          <x:t xml:space="preserve">反向盈亏(u)</x:t>
        </x:is>
      </x:c>
      <x:c r="X3" s="538" t="inlineStr">
        <x:is>
          <x:t xml:space="preserve">Match_ID</x:t>
        </x:is>
      </x:c>
      <x:c r="Y3" s="538" t="inlineStr">
        <x:is>
          <x:t xml:space="preserve">Model_ID</x:t>
        </x:is>
      </x:c>
      <x:c r="Z3" s="538" t="inlineStr">
        <x:is>
          <x:t xml:space="preserve">Prior_Snapshot_ID</x:t>
        </x:is>
      </x:c>
      <x:c r="AA3" s="538" t="inlineStr">
        <x:is>
          <x:t xml:space="preserve">V4等级</x:t>
        </x:is>
      </x:c>
      <x:c r="AB3" s="538" t="inlineStr">
        <x:is>
          <x:t xml:space="preserve">全赢概率</x:t>
        </x:is>
      </x:c>
      <x:c r="AC3" s="538" t="inlineStr">
        <x:is>
          <x:t xml:space="preserve">赢半概率</x:t>
        </x:is>
      </x:c>
      <x:c r="AD3" s="538" t="inlineStr">
        <x:is>
          <x:t xml:space="preserve">走盘概率</x:t>
        </x:is>
      </x:c>
      <x:c r="AE3" s="538" t="inlineStr">
        <x:is>
          <x:t xml:space="preserve">输半概率</x:t>
        </x:is>
      </x:c>
      <x:c r="AF3" s="538" t="inlineStr">
        <x:is>
          <x:t xml:space="preserve">全输概率</x:t>
        </x:is>
      </x:c>
      <x:c r="AG3" s="538" t="inlineStr">
        <x:is>
          <x:t xml:space="preserve">EV均值</x:t>
        </x:is>
      </x:c>
      <x:c r="AH3" s="538" t="inlineStr">
        <x:is>
          <x:t xml:space="preserve">EV P05</x:t>
        </x:is>
      </x:c>
      <x:c r="AI3" s="538" t="inlineStr">
        <x:is>
          <x:t xml:space="preserve">EV P10</x:t>
        </x:is>
      </x:c>
      <x:c r="AJ3" s="538" t="inlineStr">
        <x:is>
          <x:t xml:space="preserve">EV P50</x:t>
        </x:is>
      </x:c>
      <x:c r="AK3" s="538" t="inlineStr">
        <x:is>
          <x:t xml:space="preserve">EV P90</x:t>
        </x:is>
      </x:c>
      <x:c r="AL3" s="538" t="inlineStr">
        <x:is>
          <x:t xml:space="preserve">EV P95</x:t>
        </x:is>
      </x:c>
      <x:c r="AM3" s="538" t="inlineStr">
        <x:is>
          <x:t xml:space="preserve">P(EV&gt;0)</x:t>
        </x:is>
      </x:c>
      <x:c r="AN3" s="538" t="inlineStr">
        <x:is>
          <x:t xml:space="preserve">分析状态</x:t>
        </x:is>
      </x:c>
      <x:c r="AO3" s="538" t="inlineStr">
        <x:is>
          <x:t xml:space="preserve">原因代码</x:t>
        </x:is>
      </x:c>
      <x:c r="AP3" s="538" t="inlineStr">
        <x:is>
          <x:t xml:space="preserve">Decision_ID</x:t>
        </x:is>
      </x:c>
      <x:c r="AQ3" s="538" t="inlineStr">
        <x:is>
          <x:t xml:space="preserve">选中盘口</x:t>
        </x:is>
      </x:c>
      <x:c r="AR3" s="538" t="inlineStr">
        <x:is>
          <x:t xml:space="preserve">选中水位</x:t>
        </x:is>
      </x:c>
      <x:c r="AS3" s="538" t="inlineStr">
        <x:is>
          <x:t xml:space="preserve">主队盘口(结算符号)</x:t>
        </x:is>
      </x:c>
      <x:c r="AT3" s="538" t="inlineStr">
        <x:is>
          <x:t xml:space="preserve">客队盘口(结算符号)</x:t>
        </x:is>
      </x:c>
      <x:c r="AU3" s="538" t="inlineStr">
        <x:is>
          <x:t xml:space="preserve">主队水位</x:t>
        </x:is>
      </x:c>
      <x:c r="AV3" s="538" t="inlineStr">
        <x:is>
          <x:t xml:space="preserve">客队水位</x:t>
        </x:is>
      </x:c>
      <x:c r="AW3" s="538" t="inlineStr">
        <x:is>
          <x:t xml:space="preserve">生成时间</x:t>
        </x:is>
      </x:c>
      <x:c r="AX3" s="538" t="inlineStr">
        <x:is>
          <x:t xml:space="preserve">V4来源</x:t>
        </x:is>
      </x:c>
      <x:c r="AY3" s="538" t="inlineStr">
        <x:is>
          <x:t xml:space="preserve">备注</x:t>
        </x:is>
      </x:c>
    </x:row>
    <x:row r="4" ht="22" customHeight="1">
      <x:c r="A4" s="595" t="inlineStr">
        <x:is>
          <x:t xml:space="preserve">2026-09-13</x:t>
        </x:is>
      </x:c>
      <x:c r="B4" s="595" t="inlineStr">
        <x:is>
          <x:t xml:space="preserve">2026-09-13 16:00</x:t>
        </x:is>
      </x:c>
      <x:c r="C4" s="595" t="str">
        <x:v>日韩系列</x:v>
      </x:c>
      <x:c r="D4" s="595" t="inlineStr">
        <x:is>
          <x:t xml:space="preserve">联赛</x:t>
        </x:is>
      </x:c>
      <x:c r="E4" s="595" t="inlineStr">
        <x:is>
          <x:t xml:space="preserve">韩K3联</x:t>
        </x:is>
      </x:c>
      <x:c r="F4" s="595" t="inlineStr">
        <x:is>
          <x:t xml:space="preserve">唐津市民 vs 釜山运输</x:t>
        </x:is>
      </x:c>
      <x:c r="G4" s="596" t="n">
        <x:v>1.01</x:v>
      </x:c>
      <x:c r="H4" s="596" t="n">
        <x:v>0.25</x:v>
      </x:c>
      <x:c r="I4" s="596" t="n">
        <x:v>0.75</x:v>
      </x:c>
      <x:c r="J4" s="596" t="inlineStr">
        <x:is>
          <x:t xml:space="preserve">1.01/0.25/0.75</x:t>
        </x:is>
      </x:c>
      <x:c r="K4" s="595" t="inlineStr">
        <x:is>
          <x:t xml:space="preserve">V4-C｜EV +0.0025</x:t>
        </x:is>
      </x:c>
      <x:c r="L4" s="595" t="inlineStr">
        <x:is>
          <x:t xml:space="preserve">唐津市民</x:t>
        </x:is>
      </x:c>
      <x:c r="M4" s="597" t="n">
        <x:v>0.4989775051124744</x:v>
      </x:c>
      <x:c r="N4" s="595" t="inlineStr">
        <x:is>
          <x:t xml:space="preserve">V4纸面入选-C</x:t>
        </x:is>
      </x:c>
      <x:c r="O4" s="595" t="inlineStr">
        <x:is>
          <x:t xml:space="preserve">5-3</x:t>
        </x:is>
      </x:c>
      <x:c r="P4" s="595" t="inlineStr">
        <x:is>
          <x:t xml:space="preserve">已结算</x:t>
        </x:is>
      </x:c>
      <x:c r="Q4" s="640" t="inlineStr">
        <x:is>
          <x:t xml:space="preserve">红</x:t>
        </x:is>
      </x:c>
      <x:c r="R4" s="599" t="n">
        <x:v>1.01</x:v>
      </x:c>
      <x:c r="S4" s="599" t="n">
        <x:f>IF(OR(Q4="",Q4="待结算"),"",IF(Q4="红",R4,IF(Q4="半红",R4*0.5,IF(Q4="走",0,IF(Q4="半黑",-0.5,-1)))))</x:f>
        <x:v>1.01</x:v>
      </x:c>
      <x:c r="T4" s="595" t="inlineStr">
        <x:is>
          <x:t xml:space="preserve">https://m.titan007.com/analy/Analysis/2940438.htm</x:t>
        </x:is>
      </x:c>
      <x:c r="U4" s="641" t="str">
        <x:f>IF(Q4="","",IF(Q4="待结算","待结算",IF(Q4="红","黑",IF(Q4="半红","半黑",IF(Q4="走","走",IF(Q4="半黑","半红","红"))))))</x:f>
        <x:v>黑</x:v>
      </x:c>
      <x:c r="V4" s="599" t="n">
        <x:f>IF(OR(Q4="",Q4="待结算"),"",IF(L4=LEFT(F4,FIND(" vs ",F4)-1),I4,G4))</x:f>
        <x:v>0.75</x:v>
      </x:c>
      <x:c r="W4" s="599" t="n">
        <x:f>IF(OR(U4="",U4="待结算"),"",IF(U4="红",V4,IF(U4="半红",V4*0.5,IF(U4="走",0,IF(U4="半黑",-0.5,-1)))))</x:f>
        <x:v>-1</x:v>
      </x:c>
      <x:c r="X4" s="595" t="inlineStr">
        <x:is>
          <x:t xml:space="preserve">2940438</x:t>
        </x:is>
      </x:c>
      <x:c r="Y4" s="595" t="inlineStr">
        <x:is>
          <x:t xml:space="preserve">v4-market-dirichlet-20260913</x:t>
        </x:is>
      </x:c>
      <x:c r="Z4" s="595" t="inlineStr">
        <x:is>
          <x:t xml:space="preserve">prior-2026-09-13-v1</x:t>
        </x:is>
      </x:c>
      <x:c r="AA4" s="595" t="inlineStr">
        <x:is>
          <x:t xml:space="preserve">C</x:t>
        </x:is>
      </x:c>
      <x:c r="AB4" s="600" t="n">
        <x:v>0.4236111111111111</x:v>
      </x:c>
      <x:c r="AC4" s="600" t="n">
        <x:v>0</x:v>
      </x:c>
      <x:c r="AD4" s="600" t="n">
        <x:v>0</x:v>
      </x:c>
      <x:c r="AE4" s="600" t="n">
        <x:v>0.3020833333333333</x:v>
      </x:c>
      <x:c r="AF4" s="600" t="n">
        <x:v>0.2743055555555556</x:v>
      </x:c>
      <x:c r="AG4" s="600" t="n">
        <x:v>0.002499999999999947</x:v>
      </x:c>
      <x:c r="AH4" s="600" t="n">
        <x:v>-0.08268962742055996</x:v>
      </x:c>
      <x:c r="AI4" s="600" t="n">
        <x:v>-0.06362595028201359</x:v>
      </x:c>
      <x:c r="AJ4" s="600" t="n">
        <x:v>0.002019996534195739</x:v>
      </x:c>
      <x:c r="AK4" s="600" t="n">
        <x:v>0.07044903871572492</x:v>
      </x:c>
      <x:c r="AL4" s="600" t="n">
        <x:v>0.08769300881067971</x:v>
      </x:c>
      <x:c r="AM4" s="600" t="n">
        <x:v>0.5122</x:v>
      </x:c>
      <x:c r="AN4" s="595" t="inlineStr">
        <x:is>
          <x:t xml:space="preserve">EVALUATED</x:t>
        </x:is>
      </x:c>
      <x:c r="AO4" s="600" t="inlineStr">
        <x:is>
          <x:t xml:space="preserve">BUCKET_0.25</x:t>
        </x:is>
      </x:c>
      <x:c r="AP4" s="600" t="inlineStr">
        <x:is>
          <x:t xml:space="preserve">eb267cf3026d1758283a</x:t>
        </x:is>
      </x:c>
      <x:c r="AQ4" s="600" t="n">
        <x:v>-0.25</x:v>
      </x:c>
      <x:c r="AR4" s="600" t="n">
        <x:v>1.01</x:v>
      </x:c>
      <x:c r="AS4" s="600" t="n">
        <x:v>-0.25</x:v>
      </x:c>
      <x:c r="AT4" s="600" t="n">
        <x:v>0.25</x:v>
      </x:c>
      <x:c r="AU4" s="600" t="n">
        <x:v>1.01</x:v>
      </x:c>
      <x:c r="AV4" s="600" t="n">
        <x:v>0.75</x:v>
      </x:c>
      <x:c r="AW4" s="595" t="n">
        <x:v>46278.23339170139</x:v>
      </x:c>
      <x:c r="AX4" s="595" t="inlineStr">
        <x:is>
          <x:t xml:space="preserve">https://simondongxiao.github.io/odds/v4/</x:t>
        </x:is>
      </x:c>
      <x:c r="AY4" s="595" t="inlineStr">
        <x:is>
          <x:t xml:space="preserve">V4 Shadow Only；real_money=false；P(EV&gt;0)不是比赛胜率</x:t>
        </x:is>
      </x:c>
    </x:row>
    <x:row r="5" ht="22" customHeight="1">
      <x:c r="A5" s="595" t="inlineStr">
        <x:is>
          <x:t xml:space="preserve">2026-09-13</x:t>
        </x:is>
      </x:c>
      <x:c r="B5" s="595" t="inlineStr">
        <x:is>
          <x:t xml:space="preserve">2026-09-13 16:15</x:t>
        </x:is>
      </x:c>
      <x:c r="C5" s="595" t="str">
        <x:v>欧洲非五大系列</x:v>
      </x:c>
      <x:c r="D5" s="595" t="inlineStr">
        <x:is>
          <x:t xml:space="preserve">联赛</x:t>
        </x:is>
      </x:c>
      <x:c r="E5" s="595" t="inlineStr">
        <x:is>
          <x:t xml:space="preserve">捷丙</x:t>
        </x:is>
      </x:c>
      <x:c r="F5" s="595" t="inlineStr">
        <x:is>
          <x:t xml:space="preserve">布拉格斯巴达B队 vs 布咸美恩斯1905B队</x:t>
        </x:is>
      </x:c>
      <x:c r="G5" s="596" t="n">
        <x:v>0.83</x:v>
      </x:c>
      <x:c r="H5" s="596" t="n">
        <x:v>1.5</x:v>
      </x:c>
      <x:c r="I5" s="596" t="n">
        <x:v>0.87</x:v>
      </x:c>
      <x:c r="J5" s="596" t="inlineStr">
        <x:is>
          <x:t xml:space="preserve">0.83/1.5/0.87</x:t>
        </x:is>
      </x:c>
      <x:c r="K5" s="595" t="inlineStr">
        <x:is>
          <x:t xml:space="preserve">V4-C｜EV +0.0866</x:t>
        </x:is>
      </x:c>
      <x:c r="L5" s="595" t="inlineStr">
        <x:is>
          <x:t xml:space="preserve">布拉格斯巴达B队</x:t>
        </x:is>
      </x:c>
      <x:c r="M5" s="597" t="n">
        <x:v>0.59375</x:v>
      </x:c>
      <x:c r="N5" s="595" t="inlineStr">
        <x:is>
          <x:t xml:space="preserve">V4纸面入选-C</x:t>
        </x:is>
      </x:c>
      <x:c r="O5" s="595" t="inlineStr">
        <x:is>
          <x:t xml:space="preserve">4-1</x:t>
        </x:is>
      </x:c>
      <x:c r="P5" s="595" t="inlineStr">
        <x:is>
          <x:t xml:space="preserve">已结算</x:t>
        </x:is>
      </x:c>
      <x:c r="Q5" s="640" t="inlineStr">
        <x:is>
          <x:t xml:space="preserve">红</x:t>
        </x:is>
      </x:c>
      <x:c r="R5" s="599" t="n">
        <x:v>0.83</x:v>
      </x:c>
      <x:c r="S5" s="599" t="n">
        <x:f>IF(OR(Q5="",Q5="待结算"),"",IF(Q5="红",R5,IF(Q5="半红",R5*0.5,IF(Q5="走",0,IF(Q5="半黑",-0.5,-1)))))</x:f>
        <x:v>0.83</x:v>
      </x:c>
      <x:c r="T5" s="595" t="inlineStr">
        <x:is>
          <x:t xml:space="preserve">https://m.titan007.com/analy/Analysis/3009372.htm</x:t>
        </x:is>
      </x:c>
      <x:c r="U5" s="641" t="str">
        <x:f>IF(Q5="","",IF(Q5="待结算","待结算",IF(Q5="红","黑",IF(Q5="半红","半黑",IF(Q5="走","走",IF(Q5="半黑","半红","红"))))))</x:f>
        <x:v>黑</x:v>
      </x:c>
      <x:c r="V5" s="599" t="n">
        <x:f>IF(OR(Q5="",Q5="待结算"),"",IF(L5=LEFT(F5,FIND(" vs ",F5)-1),I5,G5))</x:f>
        <x:v>0.87</x:v>
      </x:c>
      <x:c r="W5" s="599" t="n">
        <x:f>IF(OR(U5="",U5="待结算"),"",IF(U5="红",V5,IF(U5="半红",V5*0.5,IF(U5="走",0,IF(U5="半黑",-0.5,-1)))))</x:f>
        <x:v>-1</x:v>
      </x:c>
      <x:c r="X5" s="595" t="inlineStr">
        <x:is>
          <x:t xml:space="preserve">3009372</x:t>
        </x:is>
      </x:c>
      <x:c r="Y5" s="595" t="inlineStr">
        <x:is>
          <x:t xml:space="preserve">v4-market-dirichlet-20260913</x:t>
        </x:is>
      </x:c>
      <x:c r="Z5" s="595" t="inlineStr">
        <x:is>
          <x:t xml:space="preserve">prior-2026-09-13-v1</x:t>
        </x:is>
      </x:c>
      <x:c r="AA5" s="595" t="inlineStr">
        <x:is>
          <x:t xml:space="preserve">C</x:t>
        </x:is>
      </x:c>
      <x:c r="AB5" s="600" t="n">
        <x:v>0.59375</x:v>
      </x:c>
      <x:c r="AC5" s="600" t="n">
        <x:v>0</x:v>
      </x:c>
      <x:c r="AD5" s="600" t="n">
        <x:v>0</x:v>
      </x:c>
      <x:c r="AE5" s="600" t="n">
        <x:v>0</x:v>
      </x:c>
      <x:c r="AF5" s="600" t="n">
        <x:v>0.40625</x:v>
      </x:c>
      <x:c r="AG5" s="600" t="n">
        <x:v>0.08656249999999999</x:v>
      </x:c>
      <x:c r="AH5" s="600" t="n">
        <x:v>-0.1814875875936357</x:v>
      </x:c>
      <x:c r="AI5" s="600" t="n">
        <x:v>-0.1250491099204428</x:v>
      </x:c>
      <x:c r="AJ5" s="600" t="n">
        <x:v>0.09244279686366641</x:v>
      </x:c>
      <x:c r="AK5" s="600" t="n">
        <x:v>0.2902715809332059</x:v>
      </x:c>
      <x:c r="AL5" s="600" t="n">
        <x:v>0.34131846708637</x:v>
      </x:c>
      <x:c r="AM5" s="600" t="n">
        <x:v>0.6994</x:v>
      </x:c>
      <x:c r="AN5" s="595" t="inlineStr">
        <x:is>
          <x:t xml:space="preserve">EVALUATED</x:t>
        </x:is>
      </x:c>
      <x:c r="AO5" s="600" t="inlineStr">
        <x:is>
          <x:t xml:space="preserve">BUCKET_1.50</x:t>
        </x:is>
      </x:c>
      <x:c r="AP5" s="600" t="inlineStr">
        <x:is>
          <x:t xml:space="preserve">2c350a8e388b6489a634</x:t>
        </x:is>
      </x:c>
      <x:c r="AQ5" s="600" t="n">
        <x:v>-1.5</x:v>
      </x:c>
      <x:c r="AR5" s="600" t="n">
        <x:v>0.83</x:v>
      </x:c>
      <x:c r="AS5" s="600" t="n">
        <x:v>-1.5</x:v>
      </x:c>
      <x:c r="AT5" s="600" t="n">
        <x:v>1.5</x:v>
      </x:c>
      <x:c r="AU5" s="600" t="n">
        <x:v>0.83</x:v>
      </x:c>
      <x:c r="AV5" s="600" t="n">
        <x:v>0.87</x:v>
      </x:c>
      <x:c r="AW5" s="595" t="n">
        <x:v>46278.23339170139</x:v>
      </x:c>
      <x:c r="AX5" s="595" t="inlineStr">
        <x:is>
          <x:t xml:space="preserve">https://simondongxiao.github.io/odds/v4/</x:t>
        </x:is>
      </x:c>
      <x:c r="AY5" s="595" t="inlineStr">
        <x:is>
          <x:t xml:space="preserve">V4 Shadow Only；real_money=false；P(EV&gt;0)不是比赛胜率</x:t>
        </x:is>
      </x:c>
    </x:row>
    <x:row r="6" ht="22" customHeight="1">
      <x:c r="A6" s="595" t="inlineStr">
        <x:is>
          <x:t xml:space="preserve">2026-09-13</x:t>
        </x:is>
      </x:c>
      <x:c r="B6" s="595" t="inlineStr">
        <x:is>
          <x:t xml:space="preserve">2026-09-13 17:00</x:t>
        </x:is>
      </x:c>
      <x:c r="C6" s="595" t="str">
        <x:v>日韩系列</x:v>
      </x:c>
      <x:c r="D6" s="595" t="inlineStr">
        <x:is>
          <x:t xml:space="preserve">联赛</x:t>
        </x:is>
      </x:c>
      <x:c r="E6" s="595" t="inlineStr">
        <x:is>
          <x:t xml:space="preserve">日职乙</x:t>
        </x:is>
      </x:c>
      <x:c r="F6" s="595" t="inlineStr">
        <x:is>
          <x:t xml:space="preserve">新泻天鹅 vs 山形山神</x:t>
        </x:is>
      </x:c>
      <x:c r="G6" s="596" t="n">
        <x:v>1.02</x:v>
      </x:c>
      <x:c r="H6" s="596" t="n">
        <x:v>0.25</x:v>
      </x:c>
      <x:c r="I6" s="596" t="n">
        <x:v>0.86</x:v>
      </x:c>
      <x:c r="J6" s="596" t="inlineStr">
        <x:is>
          <x:t xml:space="preserve">1.02/0.25/0.86</x:t>
        </x:is>
      </x:c>
      <x:c r="K6" s="595" t="inlineStr">
        <x:is>
          <x:t xml:space="preserve">V4-C｜EV +0.0067</x:t>
        </x:is>
      </x:c>
      <x:c r="L6" s="595" t="inlineStr">
        <x:is>
          <x:t xml:space="preserve">新泻天鹅</x:t>
        </x:is>
      </x:c>
      <x:c r="M6" s="597" t="n">
        <x:v>0.4989775051124744</x:v>
      </x:c>
      <x:c r="N6" s="595" t="inlineStr">
        <x:is>
          <x:t xml:space="preserve">V4纸面入选-C</x:t>
        </x:is>
      </x:c>
      <x:c r="O6" s="595" t="inlineStr">
        <x:is>
          <x:t xml:space="preserve">1-0</x:t>
        </x:is>
      </x:c>
      <x:c r="P6" s="595" t="inlineStr">
        <x:is>
          <x:t xml:space="preserve">已结算</x:t>
        </x:is>
      </x:c>
      <x:c r="Q6" s="640" t="inlineStr">
        <x:is>
          <x:t xml:space="preserve">红</x:t>
        </x:is>
      </x:c>
      <x:c r="R6" s="599" t="n">
        <x:v>1.02</x:v>
      </x:c>
      <x:c r="S6" s="599" t="n">
        <x:f>IF(OR(Q6="",Q6="待结算"),"",IF(Q6="红",R6,IF(Q6="半红",R6*0.5,IF(Q6="走",0,IF(Q6="半黑",-0.5,-1)))))</x:f>
        <x:v>1.02</x:v>
      </x:c>
      <x:c r="T6" s="595" t="inlineStr">
        <x:is>
          <x:t xml:space="preserve">https://m.titan007.com/analy/Analysis/3000063.htm</x:t>
        </x:is>
      </x:c>
      <x:c r="U6" s="641" t="str">
        <x:f>IF(Q6="","",IF(Q6="待结算","待结算",IF(Q6="红","黑",IF(Q6="半红","半黑",IF(Q6="走","走",IF(Q6="半黑","半红","红"))))))</x:f>
        <x:v>黑</x:v>
      </x:c>
      <x:c r="V6" s="599" t="n">
        <x:f>IF(OR(Q6="",Q6="待结算"),"",IF(L6=LEFT(F6,FIND(" vs ",F6)-1),I6,G6))</x:f>
        <x:v>0.86</x:v>
      </x:c>
      <x:c r="W6" s="599" t="n">
        <x:f>IF(OR(U6="",U6="待结算"),"",IF(U6="红",V6,IF(U6="半红",V6*0.5,IF(U6="走",0,IF(U6="半黑",-0.5,-1)))))</x:f>
        <x:v>-1</x:v>
      </x:c>
      <x:c r="X6" s="595" t="inlineStr">
        <x:is>
          <x:t xml:space="preserve">3000063</x:t>
        </x:is>
      </x:c>
      <x:c r="Y6" s="595" t="inlineStr">
        <x:is>
          <x:t xml:space="preserve">v4-market-dirichlet-20260913</x:t>
        </x:is>
      </x:c>
      <x:c r="Z6" s="595" t="inlineStr">
        <x:is>
          <x:t xml:space="preserve">prior-2026-09-13-v1</x:t>
        </x:is>
      </x:c>
      <x:c r="AA6" s="595" t="inlineStr">
        <x:is>
          <x:t xml:space="preserve">C</x:t>
        </x:is>
      </x:c>
      <x:c r="AB6" s="600" t="n">
        <x:v>0.4236111111111111</x:v>
      </x:c>
      <x:c r="AC6" s="600" t="n">
        <x:v>0</x:v>
      </x:c>
      <x:c r="AD6" s="600" t="n">
        <x:v>0</x:v>
      </x:c>
      <x:c r="AE6" s="600" t="n">
        <x:v>0.3020833333333333</x:v>
      </x:c>
      <x:c r="AF6" s="600" t="n">
        <x:v>0.2743055555555556</x:v>
      </x:c>
      <x:c r="AG6" s="600" t="n">
        <x:v>0.006736111111111054</x:v>
      </x:c>
      <x:c r="AH6" s="600" t="n">
        <x:v>-0.08072812378825361</x:v>
      </x:c>
      <x:c r="AI6" s="600" t="n">
        <x:v>-0.05951414579486619</x:v>
      </x:c>
      <x:c r="AJ6" s="600" t="n">
        <x:v>0.007121242933955996</x:v>
      </x:c>
      <x:c r="AK6" s="600" t="n">
        <x:v>0.07262526703947442</x:v>
      </x:c>
      <x:c r="AL6" s="600" t="n">
        <x:v>0.09195455378440381</x:v>
      </x:c>
      <x:c r="AM6" s="600" t="n">
        <x:v>0.5552</x:v>
      </x:c>
      <x:c r="AN6" s="595" t="inlineStr">
        <x:is>
          <x:t xml:space="preserve">EVALUATED</x:t>
        </x:is>
      </x:c>
      <x:c r="AO6" s="600" t="inlineStr">
        <x:is>
          <x:t xml:space="preserve">BUCKET_0.25</x:t>
        </x:is>
      </x:c>
      <x:c r="AP6" s="600" t="inlineStr">
        <x:is>
          <x:t xml:space="preserve">77ccb8e1aedfb521c8c1</x:t>
        </x:is>
      </x:c>
      <x:c r="AQ6" s="600" t="n">
        <x:v>-0.25</x:v>
      </x:c>
      <x:c r="AR6" s="600" t="n">
        <x:v>1.02</x:v>
      </x:c>
      <x:c r="AS6" s="600" t="n">
        <x:v>-0.25</x:v>
      </x:c>
      <x:c r="AT6" s="600" t="n">
        <x:v>0.25</x:v>
      </x:c>
      <x:c r="AU6" s="600" t="n">
        <x:v>1.02</x:v>
      </x:c>
      <x:c r="AV6" s="600" t="n">
        <x:v>0.86</x:v>
      </x:c>
      <x:c r="AW6" s="595" t="n">
        <x:v>46278.23339170139</x:v>
      </x:c>
      <x:c r="AX6" s="595" t="inlineStr">
        <x:is>
          <x:t xml:space="preserve">https://simondongxiao.github.io/odds/v4/</x:t>
        </x:is>
      </x:c>
      <x:c r="AY6" s="595" t="inlineStr">
        <x:is>
          <x:t xml:space="preserve">V4 Shadow Only；real_money=false；P(EV&gt;0)不是比赛胜率</x:t>
        </x:is>
      </x:c>
    </x:row>
    <x:row r="7" ht="22" customHeight="1">
      <x:c r="A7" s="595" t="inlineStr">
        <x:is>
          <x:t xml:space="preserve">2026-09-13</x:t>
        </x:is>
      </x:c>
      <x:c r="B7" s="595" t="inlineStr">
        <x:is>
          <x:t xml:space="preserve">2026-09-13 17:30</x:t>
        </x:is>
      </x:c>
      <x:c r="C7" s="595" t="str">
        <x:v>日韩系列</x:v>
      </x:c>
      <x:c r="D7" s="595" t="inlineStr">
        <x:is>
          <x:t xml:space="preserve">联赛</x:t>
        </x:is>
      </x:c>
      <x:c r="E7" s="595" t="inlineStr">
        <x:is>
          <x:t xml:space="preserve">日职联</x:t>
        </x:is>
      </x:c>
      <x:c r="F7" s="595" t="inlineStr">
        <x:is>
          <x:t xml:space="preserve">浦和红钻 vs 冈山绿雉</x:t>
        </x:is>
      </x:c>
      <x:c r="G7" s="596" t="n">
        <x:v>1.03</x:v>
      </x:c>
      <x:c r="H7" s="596" t="n">
        <x:v>0.25</x:v>
      </x:c>
      <x:c r="I7" s="596" t="n">
        <x:v>0.85</x:v>
      </x:c>
      <x:c r="J7" s="596" t="inlineStr">
        <x:is>
          <x:t xml:space="preserve">1.03/0.25/0.85</x:t>
        </x:is>
      </x:c>
      <x:c r="K7" s="595" t="inlineStr">
        <x:is>
          <x:t xml:space="preserve">V4-C｜EV +0.0110</x:t>
        </x:is>
      </x:c>
      <x:c r="L7" s="595" t="inlineStr">
        <x:is>
          <x:t xml:space="preserve">浦和红钻</x:t>
        </x:is>
      </x:c>
      <x:c r="M7" s="597" t="n">
        <x:v>0.4989775051124744</x:v>
      </x:c>
      <x:c r="N7" s="595" t="inlineStr">
        <x:is>
          <x:t xml:space="preserve">V4纸面入选-C</x:t>
        </x:is>
      </x:c>
      <x:c r="O7" s="595" t="inlineStr">
        <x:is>
          <x:t xml:space="preserve">1-2</x:t>
        </x:is>
      </x:c>
      <x:c r="P7" s="595" t="inlineStr">
        <x:is>
          <x:t xml:space="preserve">已结算</x:t>
        </x:is>
      </x:c>
      <x:c r="Q7" s="641" t="inlineStr">
        <x:is>
          <x:t xml:space="preserve">黑</x:t>
        </x:is>
      </x:c>
      <x:c r="R7" s="599" t="n">
        <x:v>1.03</x:v>
      </x:c>
      <x:c r="S7" s="599" t="n">
        <x:f>IF(OR(Q7="",Q7="待结算"),"",IF(Q7="红",R7,IF(Q7="半红",R7*0.5,IF(Q7="走",0,IF(Q7="半黑",-0.5,-1)))))</x:f>
        <x:v>-1</x:v>
      </x:c>
      <x:c r="T7" s="595" t="inlineStr">
        <x:is>
          <x:t xml:space="preserve">https://m.titan007.com/analy/Analysis/3000459.htm</x:t>
        </x:is>
      </x:c>
      <x:c r="U7" s="640" t="str">
        <x:f>IF(Q7="","",IF(Q7="待结算","待结算",IF(Q7="红","黑",IF(Q7="半红","半黑",IF(Q7="走","走",IF(Q7="半黑","半红","红"))))))</x:f>
        <x:v>红</x:v>
      </x:c>
      <x:c r="V7" s="599" t="n">
        <x:f>IF(OR(Q7="",Q7="待结算"),"",IF(L7=LEFT(F7,FIND(" vs ",F7)-1),I7,G7))</x:f>
        <x:v>0.85</x:v>
      </x:c>
      <x:c r="W7" s="599" t="n">
        <x:f>IF(OR(U7="",U7="待结算"),"",IF(U7="红",V7,IF(U7="半红",V7*0.5,IF(U7="走",0,IF(U7="半黑",-0.5,-1)))))</x:f>
        <x:v>0.85</x:v>
      </x:c>
      <x:c r="X7" s="595" t="inlineStr">
        <x:is>
          <x:t xml:space="preserve">3000459</x:t>
        </x:is>
      </x:c>
      <x:c r="Y7" s="595" t="inlineStr">
        <x:is>
          <x:t xml:space="preserve">v4-market-dirichlet-20260913</x:t>
        </x:is>
      </x:c>
      <x:c r="Z7" s="595" t="inlineStr">
        <x:is>
          <x:t xml:space="preserve">prior-2026-09-13-v1</x:t>
        </x:is>
      </x:c>
      <x:c r="AA7" s="595" t="inlineStr">
        <x:is>
          <x:t xml:space="preserve">C</x:t>
        </x:is>
      </x:c>
      <x:c r="AB7" s="600" t="n">
        <x:v>0.4236111111111111</x:v>
      </x:c>
      <x:c r="AC7" s="600" t="n">
        <x:v>0</x:v>
      </x:c>
      <x:c r="AD7" s="600" t="n">
        <x:v>0</x:v>
      </x:c>
      <x:c r="AE7" s="600" t="n">
        <x:v>0.3020833333333333</x:v>
      </x:c>
      <x:c r="AF7" s="600" t="n">
        <x:v>0.2743055555555556</x:v>
      </x:c>
      <x:c r="AG7" s="600" t="n">
        <x:v>0.01097222222222216</x:v>
      </x:c>
      <x:c r="AH7" s="600" t="n">
        <x:v>-0.07685649253349391</x:v>
      </x:c>
      <x:c r="AI7" s="600" t="n">
        <x:v>-0.05863718752297595</x:v>
      </x:c>
      <x:c r="AJ7" s="600" t="n">
        <x:v>0.008668841393617732</x:v>
      </x:c>
      <x:c r="AK7" s="600" t="n">
        <x:v>0.07976171158807602</x:v>
      </x:c>
      <x:c r="AL7" s="600" t="n">
        <x:v>0.09978909052882556</x:v>
      </x:c>
      <x:c r="AM7" s="600" t="n">
        <x:v>0.5686</x:v>
      </x:c>
      <x:c r="AN7" s="595" t="inlineStr">
        <x:is>
          <x:t xml:space="preserve">EVALUATED</x:t>
        </x:is>
      </x:c>
      <x:c r="AO7" s="600" t="inlineStr">
        <x:is>
          <x:t xml:space="preserve">BUCKET_0.25</x:t>
        </x:is>
      </x:c>
      <x:c r="AP7" s="600" t="inlineStr">
        <x:is>
          <x:t xml:space="preserve">8ed3bbfd73cdf13d782f</x:t>
        </x:is>
      </x:c>
      <x:c r="AQ7" s="600" t="n">
        <x:v>-0.25</x:v>
      </x:c>
      <x:c r="AR7" s="600" t="n">
        <x:v>1.03</x:v>
      </x:c>
      <x:c r="AS7" s="600" t="n">
        <x:v>-0.25</x:v>
      </x:c>
      <x:c r="AT7" s="600" t="n">
        <x:v>0.25</x:v>
      </x:c>
      <x:c r="AU7" s="600" t="n">
        <x:v>1.03</x:v>
      </x:c>
      <x:c r="AV7" s="600" t="n">
        <x:v>0.85</x:v>
      </x:c>
      <x:c r="AW7" s="595" t="n">
        <x:v>46278.23339170139</x:v>
      </x:c>
      <x:c r="AX7" s="595" t="inlineStr">
        <x:is>
          <x:t xml:space="preserve">https://simondongxiao.github.io/odds/v4/</x:t>
        </x:is>
      </x:c>
      <x:c r="AY7" s="595" t="inlineStr">
        <x:is>
          <x:t xml:space="preserve">V4 Shadow Only；real_money=false；P(EV&gt;0)不是比赛胜率</x:t>
        </x:is>
      </x:c>
    </x:row>
    <x:row r="8" ht="22" customHeight="1">
      <x:c r="A8" s="595" t="inlineStr">
        <x:is>
          <x:t xml:space="preserve">2026-09-13</x:t>
        </x:is>
      </x:c>
      <x:c r="B8" s="595" t="inlineStr">
        <x:is>
          <x:t xml:space="preserve">2026-09-13 19:30</x:t>
        </x:is>
      </x:c>
      <x:c r="C8" s="595" t="str">
        <x:v>欧洲非五大系列</x:v>
      </x:c>
      <x:c r="D8" s="595" t="inlineStr">
        <x:is>
          <x:t xml:space="preserve">联赛</x:t>
        </x:is>
      </x:c>
      <x:c r="E8" s="595" t="inlineStr">
        <x:is>
          <x:t xml:space="preserve">比甲</x:t>
        </x:is>
      </x:c>
      <x:c r="F8" s="595" t="inlineStr">
        <x:is>
          <x:t xml:space="preserve">布鲁日 vs 安特卫普</x:t>
        </x:is>
      </x:c>
      <x:c r="G8" s="596" t="n">
        <x:v>0.97</x:v>
      </x:c>
      <x:c r="H8" s="596" t="n">
        <x:v>1.75</x:v>
      </x:c>
      <x:c r="I8" s="596" t="n">
        <x:v>0.91</x:v>
      </x:c>
      <x:c r="J8" s="596" t="inlineStr">
        <x:is>
          <x:t xml:space="preserve">0.97/1.75/0.91</x:t>
        </x:is>
      </x:c>
      <x:c r="K8" s="595" t="inlineStr">
        <x:is>
          <x:t xml:space="preserve">V4-C｜EV +0.0434</x:t>
        </x:is>
      </x:c>
      <x:c r="L8" s="595" t="inlineStr">
        <x:is>
          <x:t xml:space="preserve">布鲁日</x:t>
        </x:is>
      </x:c>
      <x:c r="M8" s="597" t="n">
        <x:v>0.5333333333333333</x:v>
      </x:c>
      <x:c r="N8" s="595" t="inlineStr">
        <x:is>
          <x:t xml:space="preserve">V4纸面入选-C</x:t>
        </x:is>
      </x:c>
      <x:c r="O8" s="595" t="inlineStr">
        <x:is>
          <x:t xml:space="preserve">3-1</x:t>
        </x:is>
      </x:c>
      <x:c r="P8" s="595" t="inlineStr">
        <x:is>
          <x:t xml:space="preserve">已结算</x:t>
        </x:is>
      </x:c>
      <x:c r="Q8" s="642" t="inlineStr">
        <x:is>
          <x:t xml:space="preserve">半红</x:t>
        </x:is>
      </x:c>
      <x:c r="R8" s="599" t="n">
        <x:v>0.97</x:v>
      </x:c>
      <x:c r="S8" s="599" t="n">
        <x:f>IF(OR(Q8="",Q8="待结算"),"",IF(Q8="红",R8,IF(Q8="半红",R8*0.5,IF(Q8="走",0,IF(Q8="半黑",-0.5,-1)))))</x:f>
        <x:v>0.485</x:v>
      </x:c>
      <x:c r="T8" s="595" t="inlineStr">
        <x:is>
          <x:t xml:space="preserve">https://m.titan007.com/analy/Analysis/3003571.htm</x:t>
        </x:is>
      </x:c>
      <x:c r="U8" s="643" t="str">
        <x:f>IF(Q8="","",IF(Q8="待结算","待结算",IF(Q8="红","黑",IF(Q8="半红","半黑",IF(Q8="走","走",IF(Q8="半黑","半红","红"))))))</x:f>
        <x:v>半黑</x:v>
      </x:c>
      <x:c r="V8" s="599" t="n">
        <x:f>IF(OR(Q8="",Q8="待结算"),"",IF(L8=LEFT(F8,FIND(" vs ",F8)-1),I8,G8))</x:f>
        <x:v>0.91</x:v>
      </x:c>
      <x:c r="W8" s="599" t="n">
        <x:f>IF(OR(U8="",U8="待结算"),"",IF(U8="红",V8,IF(U8="半红",V8*0.5,IF(U8="走",0,IF(U8="半黑",-0.5,-1)))))</x:f>
        <x:v>-0.5</x:v>
      </x:c>
      <x:c r="X8" s="595" t="inlineStr">
        <x:is>
          <x:t xml:space="preserve">3003571</x:t>
        </x:is>
      </x:c>
      <x:c r="Y8" s="595" t="inlineStr">
        <x:is>
          <x:t xml:space="preserve">v4-market-dirichlet-20260913</x:t>
        </x:is>
      </x:c>
      <x:c r="Z8" s="595" t="inlineStr">
        <x:is>
          <x:t xml:space="preserve">prior-2026-09-13-v1</x:t>
        </x:is>
      </x:c>
      <x:c r="AA8" s="595" t="inlineStr">
        <x:is>
          <x:t xml:space="preserve">C</x:t>
        </x:is>
      </x:c>
      <x:c r="AB8" s="600" t="n">
        <x:v>0.3142857142857143</x:v>
      </x:c>
      <x:c r="AC8" s="600" t="n">
        <x:v>0.2857142857142857</x:v>
      </x:c>
      <x:c r="AD8" s="600" t="n">
        <x:v>0</x:v>
      </x:c>
      <x:c r="AE8" s="600" t="n">
        <x:v>0</x:v>
      </x:c>
      <x:c r="AF8" s="600" t="n">
        <x:v>0.4</x:v>
      </x:c>
      <x:c r="AG8" s="600" t="n">
        <x:v>0.04342857142857137</x:v>
      </x:c>
      <x:c r="AH8" s="600" t="n">
        <x:v>-0.1997610347682546</x:v>
      </x:c>
      <x:c r="AI8" s="600" t="n">
        <x:v>-0.1490321294948042</x:v>
      </x:c>
      <x:c r="AJ8" s="600" t="n">
        <x:v>0.04565877415814751</x:v>
      </x:c>
      <x:c r="AK8" s="600" t="n">
        <x:v>0.2341724659923512</x:v>
      </x:c>
      <x:c r="AL8" s="600" t="n">
        <x:v>0.2792098721394441</x:v>
      </x:c>
      <x:c r="AM8" s="600" t="n">
        <x:v>0.6202</x:v>
      </x:c>
      <x:c r="AN8" s="595" t="inlineStr">
        <x:is>
          <x:t xml:space="preserve">EVALUATED</x:t>
        </x:is>
      </x:c>
      <x:c r="AO8" s="600" t="inlineStr">
        <x:is>
          <x:t xml:space="preserve">BUCKET_1.75</x:t>
        </x:is>
      </x:c>
      <x:c r="AP8" s="600" t="inlineStr">
        <x:is>
          <x:t xml:space="preserve">e373b3e7b19aa181debf</x:t>
        </x:is>
      </x:c>
      <x:c r="AQ8" s="600" t="n">
        <x:v>-1.75</x:v>
      </x:c>
      <x:c r="AR8" s="600" t="n">
        <x:v>0.97</x:v>
      </x:c>
      <x:c r="AS8" s="600" t="n">
        <x:v>-1.75</x:v>
      </x:c>
      <x:c r="AT8" s="600" t="n">
        <x:v>1.75</x:v>
      </x:c>
      <x:c r="AU8" s="600" t="n">
        <x:v>0.97</x:v>
      </x:c>
      <x:c r="AV8" s="600" t="n">
        <x:v>0.91</x:v>
      </x:c>
      <x:c r="AW8" s="595" t="n">
        <x:v>46278.23339170139</x:v>
      </x:c>
      <x:c r="AX8" s="595" t="inlineStr">
        <x:is>
          <x:t xml:space="preserve">https://simondongxiao.github.io/odds/v4/</x:t>
        </x:is>
      </x:c>
      <x:c r="AY8" s="595" t="inlineStr">
        <x:is>
          <x:t xml:space="preserve">V4 Shadow Only；real_money=false；P(EV&gt;0)不是比赛胜率</x:t>
        </x:is>
      </x:c>
    </x:row>
    <x:row r="9" ht="22" customHeight="1">
      <x:c r="A9" s="595" t="inlineStr">
        <x:is>
          <x:t xml:space="preserve">2026-09-13</x:t>
        </x:is>
      </x:c>
      <x:c r="B9" s="595" t="inlineStr">
        <x:is>
          <x:t xml:space="preserve">2026-09-13 20:00</x:t>
        </x:is>
      </x:c>
      <x:c r="C9" s="595" t="str">
        <x:v>欧洲非五大系列</x:v>
      </x:c>
      <x:c r="D9" s="595" t="inlineStr">
        <x:is>
          <x:t xml:space="preserve">联赛</x:t>
        </x:is>
      </x:c>
      <x:c r="E9" s="595" t="inlineStr">
        <x:is>
          <x:t xml:space="preserve">瑞典超</x:t>
        </x:is>
      </x:c>
      <x:c r="F9" s="595" t="inlineStr">
        <x:is>
          <x:t xml:space="preserve">哈马比 vs 布洛马波卡纳</x:t>
        </x:is>
      </x:c>
      <x:c r="G9" s="596" t="n">
        <x:v>0.99</x:v>
      </x:c>
      <x:c r="H9" s="596" t="n">
        <x:v>2</x:v>
      </x:c>
      <x:c r="I9" s="596" t="n">
        <x:v>0.89</x:v>
      </x:c>
      <x:c r="J9" s="596" t="inlineStr">
        <x:is>
          <x:t xml:space="preserve">0.99/2/0.89</x:t>
        </x:is>
      </x:c>
      <x:c r="K9" s="595" t="inlineStr">
        <x:is>
          <x:t xml:space="preserve">V4-B｜EV +0.2444</x:t>
        </x:is>
      </x:c>
      <x:c r="L9" s="595" t="inlineStr">
        <x:is>
          <x:t xml:space="preserve">哈马比</x:t>
        </x:is>
      </x:c>
      <x:c r="M9" s="597" t="n">
        <x:v>0.6428571428571429</x:v>
      </x:c>
      <x:c r="N9" s="595" t="inlineStr">
        <x:is>
          <x:t xml:space="preserve">V4纸面入选-B</x:t>
        </x:is>
      </x:c>
      <x:c r="O9" s="595" t="inlineStr">
        <x:is>
          <x:t xml:space="preserve">3-1</x:t>
        </x:is>
      </x:c>
      <x:c r="P9" s="595" t="inlineStr">
        <x:is>
          <x:t xml:space="preserve">已结算</x:t>
        </x:is>
      </x:c>
      <x:c r="Q9" s="644" t="inlineStr">
        <x:is>
          <x:t xml:space="preserve">走</x:t>
        </x:is>
      </x:c>
      <x:c r="R9" s="599" t="n">
        <x:v>0.99</x:v>
      </x:c>
      <x:c r="S9" s="599" t="n">
        <x:f>IF(OR(Q9="",Q9="待结算"),"",IF(Q9="红",R9,IF(Q9="半红",R9*0.5,IF(Q9="走",0,IF(Q9="半黑",-0.5,-1)))))</x:f>
        <x:v>0</x:v>
      </x:c>
      <x:c r="T9" s="595" t="inlineStr">
        <x:is>
          <x:t xml:space="preserve">https://m.titan007.com/analy/Analysis/2912272.htm</x:t>
        </x:is>
      </x:c>
      <x:c r="U9" s="644" t="str">
        <x:f>IF(Q9="","",IF(Q9="待结算","待结算",IF(Q9="红","黑",IF(Q9="半红","半黑",IF(Q9="走","走",IF(Q9="半黑","半红","红"))))))</x:f>
        <x:v>走</x:v>
      </x:c>
      <x:c r="V9" s="599" t="n">
        <x:f>IF(OR(Q9="",Q9="待结算"),"",IF(L9=LEFT(F9,FIND(" vs ",F9)-1),I9,G9))</x:f>
        <x:v>0.89</x:v>
      </x:c>
      <x:c r="W9" s="599" t="n">
        <x:f>IF(OR(U9="",U9="待结算"),"",IF(U9="红",V9,IF(U9="半红",V9*0.5,IF(U9="走",0,IF(U9="半黑",-0.5,-1)))))</x:f>
        <x:v>0</x:v>
      </x:c>
      <x:c r="X9" s="595" t="inlineStr">
        <x:is>
          <x:t xml:space="preserve">2912272</x:t>
        </x:is>
      </x:c>
      <x:c r="Y9" s="595" t="inlineStr">
        <x:is>
          <x:t xml:space="preserve">v4-market-dirichlet-20260913</x:t>
        </x:is>
      </x:c>
      <x:c r="Z9" s="595" t="inlineStr">
        <x:is>
          <x:t xml:space="preserve">prior-2026-09-13-v1</x:t>
        </x:is>
      </x:c>
      <x:c r="AA9" s="595" t="inlineStr">
        <x:is>
          <x:t xml:space="preserve">B</x:t>
        </x:is>
      </x:c>
      <x:c r="AB9" s="600" t="n">
        <x:v>0.5625</x:v>
      </x:c>
      <x:c r="AC9" s="600" t="n">
        <x:v>0</x:v>
      </x:c>
      <x:c r="AD9" s="600" t="n">
        <x:v>0.125</x:v>
      </x:c>
      <x:c r="AE9" s="600" t="n">
        <x:v>0</x:v>
      </x:c>
      <x:c r="AF9" s="600" t="n">
        <x:v>0.3125</x:v>
      </x:c>
      <x:c r="AG9" s="600" t="n">
        <x:v>0.244375</x:v>
      </x:c>
      <x:c r="AH9" s="600" t="n">
        <x:v>-0.135820646263188</x:v>
      </x:c>
      <x:c r="AI9" s="600" t="n">
        <x:v>-0.04682138588045492</x:v>
      </x:c>
      <x:c r="AJ9" s="600" t="n">
        <x:v>0.2489819926470666</x:v>
      </x:c>
      <x:c r="AK9" s="600" t="n">
        <x:v>0.5197672126282903</x:v>
      </x:c>
      <x:c r="AL9" s="600" t="n">
        <x:v>0.5928897369540901</x:v>
      </x:c>
      <x:c r="AM9" s="600" t="n">
        <x:v>0.8648</x:v>
      </x:c>
      <x:c r="AN9" s="595" t="inlineStr">
        <x:is>
          <x:t xml:space="preserve">EVALUATED</x:t>
        </x:is>
      </x:c>
      <x:c r="AO9" s="600" t="inlineStr">
        <x:is>
          <x:t xml:space="preserve">BUCKET_2.00</x:t>
        </x:is>
      </x:c>
      <x:c r="AP9" s="600" t="inlineStr">
        <x:is>
          <x:t xml:space="preserve">9dc2fa8630e418cba1aa</x:t>
        </x:is>
      </x:c>
      <x:c r="AQ9" s="600" t="n">
        <x:v>-2</x:v>
      </x:c>
      <x:c r="AR9" s="600" t="n">
        <x:v>0.99</x:v>
      </x:c>
      <x:c r="AS9" s="600" t="n">
        <x:v>-2</x:v>
      </x:c>
      <x:c r="AT9" s="600" t="n">
        <x:v>2</x:v>
      </x:c>
      <x:c r="AU9" s="600" t="n">
        <x:v>0.99</x:v>
      </x:c>
      <x:c r="AV9" s="600" t="n">
        <x:v>0.89</x:v>
      </x:c>
      <x:c r="AW9" s="595" t="n">
        <x:v>46278.23339170139</x:v>
      </x:c>
      <x:c r="AX9" s="595" t="inlineStr">
        <x:is>
          <x:t xml:space="preserve">https://simondongxiao.github.io/odds/v4/</x:t>
        </x:is>
      </x:c>
      <x:c r="AY9" s="595" t="inlineStr">
        <x:is>
          <x:t xml:space="preserve">V4 Shadow Only；real_money=false；P(EV&gt;0)不是比赛胜率</x:t>
        </x:is>
      </x:c>
    </x:row>
    <x:row r="10" ht="22" customHeight="1">
      <x:c r="A10" s="595" t="inlineStr">
        <x:is>
          <x:t xml:space="preserve">2026-09-13</x:t>
        </x:is>
      </x:c>
      <x:c r="B10" s="595" t="inlineStr">
        <x:is>
          <x:t xml:space="preserve">2026-09-13 20:00</x:t>
        </x:is>
      </x:c>
      <x:c r="C10" s="595" t="str">
        <x:v>欧洲非五大系列</x:v>
      </x:c>
      <x:c r="D10" s="595" t="inlineStr">
        <x:is>
          <x:t xml:space="preserve">联赛</x:t>
        </x:is>
      </x:c>
      <x:c r="E10" s="595" t="inlineStr">
        <x:is>
          <x:t xml:space="preserve">瑞士超</x:t>
        </x:is>
      </x:c>
      <x:c r="F10" s="595" t="inlineStr">
        <x:is>
          <x:t xml:space="preserve">苏黎世 vs 瓦杜兹</x:t>
        </x:is>
      </x:c>
      <x:c r="G10" s="596" t="n">
        <x:v>1.06</x:v>
      </x:c>
      <x:c r="H10" s="596" t="n">
        <x:v>0.25</x:v>
      </x:c>
      <x:c r="I10" s="596" t="n">
        <x:v>0.82</x:v>
      </x:c>
      <x:c r="J10" s="596" t="inlineStr">
        <x:is>
          <x:t xml:space="preserve">1.06/0.25/0.82</x:t>
        </x:is>
      </x:c>
      <x:c r="K10" s="595" t="inlineStr">
        <x:is>
          <x:t xml:space="preserve">V4-C｜EV +0.0237</x:t>
        </x:is>
      </x:c>
      <x:c r="L10" s="595" t="inlineStr">
        <x:is>
          <x:t xml:space="preserve">苏黎世</x:t>
        </x:is>
      </x:c>
      <x:c r="M10" s="597" t="n">
        <x:v>0.4989775051124744</x:v>
      </x:c>
      <x:c r="N10" s="595" t="inlineStr">
        <x:is>
          <x:t xml:space="preserve">V4纸面入选-C</x:t>
        </x:is>
      </x:c>
      <x:c r="O10" s="595" t="inlineStr">
        <x:is>
          <x:t xml:space="preserve">2-1</x:t>
        </x:is>
      </x:c>
      <x:c r="P10" s="595" t="inlineStr">
        <x:is>
          <x:t xml:space="preserve">已结算</x:t>
        </x:is>
      </x:c>
      <x:c r="Q10" s="640" t="inlineStr">
        <x:is>
          <x:t xml:space="preserve">红</x:t>
        </x:is>
      </x:c>
      <x:c r="R10" s="599" t="n">
        <x:v>1.06</x:v>
      </x:c>
      <x:c r="S10" s="599" t="n">
        <x:f>IF(OR(Q10="",Q10="待结算"),"",IF(Q10="红",R10,IF(Q10="半红",R10*0.5,IF(Q10="走",0,IF(Q10="半黑",-0.5,-1)))))</x:f>
        <x:v>1.06</x:v>
      </x:c>
      <x:c r="T10" s="595" t="inlineStr">
        <x:is>
          <x:t xml:space="preserve">https://m.titan007.com/analy/Analysis/3000818.htm</x:t>
        </x:is>
      </x:c>
      <x:c r="U10" s="641" t="str">
        <x:f>IF(Q10="","",IF(Q10="待结算","待结算",IF(Q10="红","黑",IF(Q10="半红","半黑",IF(Q10="走","走",IF(Q10="半黑","半红","红"))))))</x:f>
        <x:v>黑</x:v>
      </x:c>
      <x:c r="V10" s="599" t="n">
        <x:f>IF(OR(Q10="",Q10="待结算"),"",IF(L10=LEFT(F10,FIND(" vs ",F10)-1),I10,G10))</x:f>
        <x:v>0.82</x:v>
      </x:c>
      <x:c r="W10" s="599" t="n">
        <x:f>IF(OR(U10="",U10="待结算"),"",IF(U10="红",V10,IF(U10="半红",V10*0.5,IF(U10="走",0,IF(U10="半黑",-0.5,-1)))))</x:f>
        <x:v>-1</x:v>
      </x:c>
      <x:c r="X10" s="595" t="inlineStr">
        <x:is>
          <x:t xml:space="preserve">3000818</x:t>
        </x:is>
      </x:c>
      <x:c r="Y10" s="595" t="inlineStr">
        <x:is>
          <x:t xml:space="preserve">v4-market-dirichlet-20260913</x:t>
        </x:is>
      </x:c>
      <x:c r="Z10" s="595" t="inlineStr">
        <x:is>
          <x:t xml:space="preserve">prior-2026-09-13-v1</x:t>
        </x:is>
      </x:c>
      <x:c r="AA10" s="595" t="inlineStr">
        <x:is>
          <x:t xml:space="preserve">C</x:t>
        </x:is>
      </x:c>
      <x:c r="AB10" s="600" t="n">
        <x:v>0.4236111111111111</x:v>
      </x:c>
      <x:c r="AC10" s="600" t="n">
        <x:v>0</x:v>
      </x:c>
      <x:c r="AD10" s="600" t="n">
        <x:v>0</x:v>
      </x:c>
      <x:c r="AE10" s="600" t="n">
        <x:v>0.3020833333333333</x:v>
      </x:c>
      <x:c r="AF10" s="600" t="n">
        <x:v>0.2743055555555556</x:v>
      </x:c>
      <x:c r="AG10" s="600" t="n">
        <x:v>0.02368055555555559</x:v>
      </x:c>
      <x:c r="AH10" s="600" t="n">
        <x:v>-0.06454278853192699</x:v>
      </x:c>
      <x:c r="AI10" s="600" t="n">
        <x:v>-0.04589368487832257</x:v>
      </x:c>
      <x:c r="AJ10" s="600" t="n">
        <x:v>0.0244691061133383</x:v>
      </x:c>
      <x:c r="AK10" s="600" t="n">
        <x:v>0.09019560477601668</x:v>
      </x:c>
      <x:c r="AL10" s="600" t="n">
        <x:v>0.1091369562601989</x:v>
      </x:c>
      <x:c r="AM10" s="600" t="n">
        <x:v>0.676</x:v>
      </x:c>
      <x:c r="AN10" s="595" t="inlineStr">
        <x:is>
          <x:t xml:space="preserve">EVALUATED</x:t>
        </x:is>
      </x:c>
      <x:c r="AO10" s="600" t="inlineStr">
        <x:is>
          <x:t xml:space="preserve">BUCKET_0.25</x:t>
        </x:is>
      </x:c>
      <x:c r="AP10" s="600" t="inlineStr">
        <x:is>
          <x:t xml:space="preserve">de24e5e681d183256612</x:t>
        </x:is>
      </x:c>
      <x:c r="AQ10" s="600" t="n">
        <x:v>-0.25</x:v>
      </x:c>
      <x:c r="AR10" s="600" t="n">
        <x:v>1.06</x:v>
      </x:c>
      <x:c r="AS10" s="600" t="n">
        <x:v>-0.25</x:v>
      </x:c>
      <x:c r="AT10" s="600" t="n">
        <x:v>0.25</x:v>
      </x:c>
      <x:c r="AU10" s="600" t="n">
        <x:v>1.06</x:v>
      </x:c>
      <x:c r="AV10" s="600" t="n">
        <x:v>0.82</x:v>
      </x:c>
      <x:c r="AW10" s="595" t="n">
        <x:v>46278.23339170139</x:v>
      </x:c>
      <x:c r="AX10" s="595" t="inlineStr">
        <x:is>
          <x:t xml:space="preserve">https://simondongxiao.github.io/odds/v4/</x:t>
        </x:is>
      </x:c>
      <x:c r="AY10" s="595" t="inlineStr">
        <x:is>
          <x:t xml:space="preserve">V4 Shadow Only；real_money=false；P(EV&gt;0)不是比赛胜率</x:t>
        </x:is>
      </x:c>
    </x:row>
    <x:row r="11" ht="22" customHeight="1">
      <x:c r="A11" s="595" t="inlineStr">
        <x:is>
          <x:t xml:space="preserve">2026-09-13</x:t>
        </x:is>
      </x:c>
      <x:c r="B11" s="595" t="inlineStr">
        <x:is>
          <x:t xml:space="preserve">2026-09-13 20:30</x:t>
        </x:is>
      </x:c>
      <x:c r="C11" s="595" t="str">
        <x:v>欧洲非五大系列</x:v>
      </x:c>
      <x:c r="D11" s="595" t="inlineStr">
        <x:is>
          <x:t xml:space="preserve">联赛</x:t>
        </x:is>
      </x:c>
      <x:c r="E11" s="595" t="inlineStr">
        <x:is>
          <x:t xml:space="preserve">挪超</x:t>
        </x:is>
      </x:c>
      <x:c r="F11" s="595" t="inlineStr">
        <x:is>
          <x:t xml:space="preserve">维京 vs 克里斯蒂安松</x:t>
        </x:is>
      </x:c>
      <x:c r="G11" s="596" t="n">
        <x:v>1.01</x:v>
      </x:c>
      <x:c r="H11" s="596" t="n">
        <x:v>1.75</x:v>
      </x:c>
      <x:c r="I11" s="596" t="n">
        <x:v>0.87</x:v>
      </x:c>
      <x:c r="J11" s="596" t="inlineStr">
        <x:is>
          <x:t xml:space="preserve">1.01/1.75/0.87</x:t>
        </x:is>
      </x:c>
      <x:c r="K11" s="595" t="inlineStr">
        <x:is>
          <x:t xml:space="preserve">V4-C｜EV +0.0617</x:t>
        </x:is>
      </x:c>
      <x:c r="L11" s="595" t="inlineStr">
        <x:is>
          <x:t xml:space="preserve">维京</x:t>
        </x:is>
      </x:c>
      <x:c r="M11" s="597" t="n">
        <x:v>0.5333333333333333</x:v>
      </x:c>
      <x:c r="N11" s="595" t="inlineStr">
        <x:is>
          <x:t xml:space="preserve">V4纸面入选-C</x:t>
        </x:is>
      </x:c>
      <x:c r="O11" s="595" t="inlineStr">
        <x:is>
          <x:t xml:space="preserve">8-1</x:t>
        </x:is>
      </x:c>
      <x:c r="P11" s="595" t="inlineStr">
        <x:is>
          <x:t xml:space="preserve">已结算</x:t>
        </x:is>
      </x:c>
      <x:c r="Q11" s="640" t="inlineStr">
        <x:is>
          <x:t xml:space="preserve">红</x:t>
        </x:is>
      </x:c>
      <x:c r="R11" s="599" t="n">
        <x:v>1.01</x:v>
      </x:c>
      <x:c r="S11" s="599" t="n">
        <x:f>IF(OR(Q11="",Q11="待结算"),"",IF(Q11="红",R11,IF(Q11="半红",R11*0.5,IF(Q11="走",0,IF(Q11="半黑",-0.5,-1)))))</x:f>
        <x:v>1.01</x:v>
      </x:c>
      <x:c r="T11" s="595" t="inlineStr">
        <x:is>
          <x:t xml:space="preserve">https://m.titan007.com/analy/Analysis/2912897.htm</x:t>
        </x:is>
      </x:c>
      <x:c r="U11" s="641" t="str">
        <x:f>IF(Q11="","",IF(Q11="待结算","待结算",IF(Q11="红","黑",IF(Q11="半红","半黑",IF(Q11="走","走",IF(Q11="半黑","半红","红"))))))</x:f>
        <x:v>黑</x:v>
      </x:c>
      <x:c r="V11" s="599" t="n">
        <x:f>IF(OR(Q11="",Q11="待结算"),"",IF(L11=LEFT(F11,FIND(" vs ",F11)-1),I11,G11))</x:f>
        <x:v>0.87</x:v>
      </x:c>
      <x:c r="W11" s="599" t="n">
        <x:f>IF(OR(U11="",U11="待结算"),"",IF(U11="红",V11,IF(U11="半红",V11*0.5,IF(U11="走",0,IF(U11="半黑",-0.5,-1)))))</x:f>
        <x:v>-1</x:v>
      </x:c>
      <x:c r="X11" s="595" t="inlineStr">
        <x:is>
          <x:t xml:space="preserve">2912897</x:t>
        </x:is>
      </x:c>
      <x:c r="Y11" s="595" t="inlineStr">
        <x:is>
          <x:t xml:space="preserve">v4-market-dirichlet-20260913</x:t>
        </x:is>
      </x:c>
      <x:c r="Z11" s="595" t="inlineStr">
        <x:is>
          <x:t xml:space="preserve">prior-2026-09-13-v1</x:t>
        </x:is>
      </x:c>
      <x:c r="AA11" s="595" t="inlineStr">
        <x:is>
          <x:t xml:space="preserve">C</x:t>
        </x:is>
      </x:c>
      <x:c r="AB11" s="600" t="n">
        <x:v>0.3142857142857143</x:v>
      </x:c>
      <x:c r="AC11" s="600" t="n">
        <x:v>0.2857142857142857</x:v>
      </x:c>
      <x:c r="AD11" s="600" t="n">
        <x:v>0</x:v>
      </x:c>
      <x:c r="AE11" s="600" t="n">
        <x:v>0</x:v>
      </x:c>
      <x:c r="AF11" s="600" t="n">
        <x:v>0.4</x:v>
      </x:c>
      <x:c r="AG11" s="600" t="n">
        <x:v>0.06171428571428572</x:v>
      </x:c>
      <x:c r="AH11" s="600" t="n">
        <x:v>-0.180155198572602</x:v>
      </x:c>
      <x:c r="AI11" s="600" t="n">
        <x:v>-0.1298468663057057</x:v>
      </x:c>
      <x:c r="AJ11" s="600" t="n">
        <x:v>0.06416357494317743</x:v>
      </x:c>
      <x:c r="AK11" s="600" t="n">
        <x:v>0.2529891780227349</x:v>
      </x:c>
      <x:c r="AL11" s="600" t="n">
        <x:v>0.3066761122600686</x:v>
      </x:c>
      <x:c r="AM11" s="600" t="n">
        <x:v>0.6694</x:v>
      </x:c>
      <x:c r="AN11" s="595" t="inlineStr">
        <x:is>
          <x:t xml:space="preserve">EVALUATED</x:t>
        </x:is>
      </x:c>
      <x:c r="AO11" s="600" t="inlineStr">
        <x:is>
          <x:t xml:space="preserve">BUCKET_1.75</x:t>
        </x:is>
      </x:c>
      <x:c r="AP11" s="600" t="inlineStr">
        <x:is>
          <x:t xml:space="preserve">bdb9e2e01cd9f68ca71c</x:t>
        </x:is>
      </x:c>
      <x:c r="AQ11" s="600" t="n">
        <x:v>-1.75</x:v>
      </x:c>
      <x:c r="AR11" s="600" t="n">
        <x:v>1.01</x:v>
      </x:c>
      <x:c r="AS11" s="600" t="n">
        <x:v>-1.75</x:v>
      </x:c>
      <x:c r="AT11" s="600" t="n">
        <x:v>1.75</x:v>
      </x:c>
      <x:c r="AU11" s="600" t="n">
        <x:v>1.01</x:v>
      </x:c>
      <x:c r="AV11" s="600" t="n">
        <x:v>0.87</x:v>
      </x:c>
      <x:c r="AW11" s="595" t="n">
        <x:v>46278.23339170139</x:v>
      </x:c>
      <x:c r="AX11" s="595" t="inlineStr">
        <x:is>
          <x:t xml:space="preserve">https://simondongxiao.github.io/odds/v4/</x:t>
        </x:is>
      </x:c>
      <x:c r="AY11" s="595" t="inlineStr">
        <x:is>
          <x:t xml:space="preserve">V4 Shadow Only；real_money=false；P(EV&gt;0)不是比赛胜率</x:t>
        </x:is>
      </x:c>
    </x:row>
    <x:row r="12" ht="22" customHeight="1">
      <x:c r="A12" s="595" t="inlineStr">
        <x:is>
          <x:t xml:space="preserve">2026-09-13</x:t>
        </x:is>
      </x:c>
      <x:c r="B12" s="595" t="inlineStr">
        <x:is>
          <x:t xml:space="preserve">2026-09-13 21:00</x:t>
        </x:is>
      </x:c>
      <x:c r="C12" s="595" t="str">
        <x:v>欧洲五大系列</x:v>
      </x:c>
      <x:c r="D12" s="595" t="inlineStr">
        <x:is>
          <x:t xml:space="preserve">联赛</x:t>
        </x:is>
      </x:c>
      <x:c r="E12" s="595" t="inlineStr">
        <x:is>
          <x:t xml:space="preserve">法甲</x:t>
        </x:is>
      </x:c>
      <x:c r="F12" s="595" t="inlineStr">
        <x:is>
          <x:t xml:space="preserve">里尔 vs 特鲁瓦</x:t>
        </x:is>
      </x:c>
      <x:c r="G12" s="596" t="n">
        <x:v>0.99</x:v>
      </x:c>
      <x:c r="H12" s="596" t="n">
        <x:v>1.25</x:v>
      </x:c>
      <x:c r="I12" s="596" t="n">
        <x:v>0.89</x:v>
      </x:c>
      <x:c r="J12" s="596" t="inlineStr">
        <x:is>
          <x:t xml:space="preserve">0.99/1.25/0.89</x:t>
        </x:is>
      </x:c>
      <x:c r="K12" s="595" t="inlineStr">
        <x:is>
          <x:t xml:space="preserve">V4-C｜EV +0.0051</x:t>
        </x:is>
      </x:c>
      <x:c r="L12" s="595" t="inlineStr">
        <x:is>
          <x:t xml:space="preserve">里尔</x:t>
        </x:is>
      </x:c>
      <x:c r="M12" s="597" t="n">
        <x:v>0.5054945054945055</x:v>
      </x:c>
      <x:c r="N12" s="595" t="inlineStr">
        <x:is>
          <x:t xml:space="preserve">V4纸面入选-C</x:t>
        </x:is>
      </x:c>
      <x:c r="O12" s="595" t="inlineStr">
        <x:is>
          <x:t xml:space="preserve">2-0</x:t>
        </x:is>
      </x:c>
      <x:c r="P12" s="595" t="inlineStr">
        <x:is>
          <x:t xml:space="preserve">已结算</x:t>
        </x:is>
      </x:c>
      <x:c r="Q12" s="640" t="inlineStr">
        <x:is>
          <x:t xml:space="preserve">红</x:t>
        </x:is>
      </x:c>
      <x:c r="R12" s="599" t="n">
        <x:v>0.99</x:v>
      </x:c>
      <x:c r="S12" s="599" t="n">
        <x:f>IF(OR(Q12="",Q12="待结算"),"",IF(Q12="红",R12,IF(Q12="半红",R12*0.5,IF(Q12="走",0,IF(Q12="半黑",-0.5,-1)))))</x:f>
        <x:v>0.99</x:v>
      </x:c>
      <x:c r="T12" s="595" t="inlineStr">
        <x:is>
          <x:t xml:space="preserve">https://m.titan007.com/analy/Analysis/2995339.htm</x:t>
        </x:is>
      </x:c>
      <x:c r="U12" s="641" t="str">
        <x:f>IF(Q12="","",IF(Q12="待结算","待结算",IF(Q12="红","黑",IF(Q12="半红","半黑",IF(Q12="走","走",IF(Q12="半黑","半红","红"))))))</x:f>
        <x:v>黑</x:v>
      </x:c>
      <x:c r="V12" s="599" t="n">
        <x:f>IF(OR(Q12="",Q12="待结算"),"",IF(L12=LEFT(F12,FIND(" vs ",F12)-1),I12,G12))</x:f>
        <x:v>0.89</x:v>
      </x:c>
      <x:c r="W12" s="599" t="n">
        <x:f>IF(OR(U12="",U12="待结算"),"",IF(U12="红",V12,IF(U12="半红",V12*0.5,IF(U12="走",0,IF(U12="半黑",-0.5,-1)))))</x:f>
        <x:v>-1</x:v>
      </x:c>
      <x:c r="X12" s="595" t="inlineStr">
        <x:is>
          <x:t xml:space="preserve">2995339</x:t>
        </x:is>
      </x:c>
      <x:c r="Y12" s="595" t="inlineStr">
        <x:is>
          <x:t xml:space="preserve">v4-market-dirichlet-20260913</x:t>
        </x:is>
      </x:c>
      <x:c r="Z12" s="595" t="inlineStr">
        <x:is>
          <x:t xml:space="preserve">prior-2026-09-13-v1</x:t>
        </x:is>
      </x:c>
      <x:c r="AA12" s="595" t="inlineStr">
        <x:is>
          <x:t xml:space="preserve">C</x:t>
        </x:is>
      </x:c>
      <x:c r="AB12" s="600" t="n">
        <x:v>0.4339622641509434</x:v>
      </x:c>
      <x:c r="AC12" s="600" t="n">
        <x:v>0</x:v>
      </x:c>
      <x:c r="AD12" s="600" t="n">
        <x:v>0</x:v>
      </x:c>
      <x:c r="AE12" s="600" t="n">
        <x:v>0.2830188679245283</x:v>
      </x:c>
      <x:c r="AF12" s="600" t="n">
        <x:v>0.2830188679245283</x:v>
      </x:c>
      <x:c r="AG12" s="600" t="n">
        <x:v>0.005094339622641553</x:v>
      </x:c>
      <x:c r="AH12" s="600" t="n">
        <x:v>-0.1878920486016248</x:v>
      </x:c>
      <x:c r="AI12" s="600" t="n">
        <x:v>-0.1498133519729439</x:v>
      </x:c>
      <x:c r="AJ12" s="600" t="n">
        <x:v>0.004462873650187826</x:v>
      </x:c>
      <x:c r="AK12" s="600" t="n">
        <x:v>0.1591015370344013</x:v>
      </x:c>
      <x:c r="AL12" s="600" t="n">
        <x:v>0.2004513552397046</x:v>
      </x:c>
      <x:c r="AM12" s="600" t="n">
        <x:v>0.5165999999999999</x:v>
      </x:c>
      <x:c r="AN12" s="595" t="inlineStr">
        <x:is>
          <x:t xml:space="preserve">EVALUATED</x:t>
        </x:is>
      </x:c>
      <x:c r="AO12" s="600" t="inlineStr">
        <x:is>
          <x:t xml:space="preserve">BUCKET_1.25</x:t>
        </x:is>
      </x:c>
      <x:c r="AP12" s="600" t="inlineStr">
        <x:is>
          <x:t xml:space="preserve">cfd6a5ae0cf82d61a018</x:t>
        </x:is>
      </x:c>
      <x:c r="AQ12" s="600" t="n">
        <x:v>-1.25</x:v>
      </x:c>
      <x:c r="AR12" s="600" t="n">
        <x:v>0.99</x:v>
      </x:c>
      <x:c r="AS12" s="600" t="n">
        <x:v>-1.25</x:v>
      </x:c>
      <x:c r="AT12" s="600" t="n">
        <x:v>1.25</x:v>
      </x:c>
      <x:c r="AU12" s="600" t="n">
        <x:v>0.99</x:v>
      </x:c>
      <x:c r="AV12" s="600" t="n">
        <x:v>0.89</x:v>
      </x:c>
      <x:c r="AW12" s="595" t="n">
        <x:v>46278.23339170139</x:v>
      </x:c>
      <x:c r="AX12" s="595" t="inlineStr">
        <x:is>
          <x:t xml:space="preserve">https://simondongxiao.github.io/odds/v4/</x:t>
        </x:is>
      </x:c>
      <x:c r="AY12" s="595" t="inlineStr">
        <x:is>
          <x:t xml:space="preserve">V4 Shadow Only；real_money=false；P(EV&gt;0)不是比赛胜率</x:t>
        </x:is>
      </x:c>
    </x:row>
    <x:row r="13" ht="22" customHeight="1">
      <x:c r="A13" s="595" t="inlineStr">
        <x:is>
          <x:t xml:space="preserve">2026-09-13</x:t>
        </x:is>
      </x:c>
      <x:c r="B13" s="595" t="inlineStr">
        <x:is>
          <x:t xml:space="preserve">2026-09-13 21:00</x:t>
        </x:is>
      </x:c>
      <x:c r="C13" s="595" t="str">
        <x:v>欧洲非五大系列</x:v>
      </x:c>
      <x:c r="D13" s="595" t="inlineStr">
        <x:is>
          <x:t xml:space="preserve">联赛</x:t>
        </x:is>
      </x:c>
      <x:c r="E13" s="595" t="inlineStr">
        <x:is>
          <x:t xml:space="preserve">瑞典甲</x:t>
        </x:is>
      </x:c>
      <x:c r="F13" s="595" t="inlineStr">
        <x:is>
          <x:t xml:space="preserve">北雪平 vs 奥迪沃特</x:t>
        </x:is>
      </x:c>
      <x:c r="G13" s="596" t="n">
        <x:v>1.02</x:v>
      </x:c>
      <x:c r="H13" s="596" t="n">
        <x:v>1.25</x:v>
      </x:c>
      <x:c r="I13" s="596" t="n">
        <x:v>0.86</x:v>
      </x:c>
      <x:c r="J13" s="596" t="inlineStr">
        <x:is>
          <x:t xml:space="preserve">1.02/1.25/0.86</x:t>
        </x:is>
      </x:c>
      <x:c r="K13" s="595" t="inlineStr">
        <x:is>
          <x:t xml:space="preserve">V4-C｜EV +0.0181</x:t>
        </x:is>
      </x:c>
      <x:c r="L13" s="595" t="inlineStr">
        <x:is>
          <x:t xml:space="preserve">北雪平</x:t>
        </x:is>
      </x:c>
      <x:c r="M13" s="597" t="n">
        <x:v>0.5054945054945055</x:v>
      </x:c>
      <x:c r="N13" s="595" t="inlineStr">
        <x:is>
          <x:t xml:space="preserve">V4纸面入选-C</x:t>
        </x:is>
      </x:c>
      <x:c r="O13" s="595" t="inlineStr">
        <x:is>
          <x:t xml:space="preserve">0-0</x:t>
        </x:is>
      </x:c>
      <x:c r="P13" s="595" t="inlineStr">
        <x:is>
          <x:t xml:space="preserve">已结算</x:t>
        </x:is>
      </x:c>
      <x:c r="Q13" s="641" t="inlineStr">
        <x:is>
          <x:t xml:space="preserve">黑</x:t>
        </x:is>
      </x:c>
      <x:c r="R13" s="599" t="n">
        <x:v>1.02</x:v>
      </x:c>
      <x:c r="S13" s="599" t="n">
        <x:f>IF(OR(Q13="",Q13="待结算"),"",IF(Q13="红",R13,IF(Q13="半红",R13*0.5,IF(Q13="走",0,IF(Q13="半黑",-0.5,-1)))))</x:f>
        <x:v>-1</x:v>
      </x:c>
      <x:c r="T13" s="595" t="inlineStr">
        <x:is>
          <x:t xml:space="preserve">https://m.titan007.com/analy/Analysis/2914699.htm</x:t>
        </x:is>
      </x:c>
      <x:c r="U13" s="640" t="str">
        <x:f>IF(Q13="","",IF(Q13="待结算","待结算",IF(Q13="红","黑",IF(Q13="半红","半黑",IF(Q13="走","走",IF(Q13="半黑","半红","红"))))))</x:f>
        <x:v>红</x:v>
      </x:c>
      <x:c r="V13" s="599" t="n">
        <x:f>IF(OR(Q13="",Q13="待结算"),"",IF(L13=LEFT(F13,FIND(" vs ",F13)-1),I13,G13))</x:f>
        <x:v>0.86</x:v>
      </x:c>
      <x:c r="W13" s="599" t="n">
        <x:f>IF(OR(U13="",U13="待结算"),"",IF(U13="红",V13,IF(U13="半红",V13*0.5,IF(U13="走",0,IF(U13="半黑",-0.5,-1)))))</x:f>
        <x:v>0.86</x:v>
      </x:c>
      <x:c r="X13" s="595" t="inlineStr">
        <x:is>
          <x:t xml:space="preserve">2914699</x:t>
        </x:is>
      </x:c>
      <x:c r="Y13" s="595" t="inlineStr">
        <x:is>
          <x:t xml:space="preserve">v4-market-dirichlet-20260913</x:t>
        </x:is>
      </x:c>
      <x:c r="Z13" s="595" t="inlineStr">
        <x:is>
          <x:t xml:space="preserve">prior-2026-09-13-v1</x:t>
        </x:is>
      </x:c>
      <x:c r="AA13" s="595" t="inlineStr">
        <x:is>
          <x:t xml:space="preserve">C</x:t>
        </x:is>
      </x:c>
      <x:c r="AB13" s="600" t="n">
        <x:v>0.4339622641509434</x:v>
      </x:c>
      <x:c r="AC13" s="600" t="n">
        <x:v>0</x:v>
      </x:c>
      <x:c r="AD13" s="600" t="n">
        <x:v>0</x:v>
      </x:c>
      <x:c r="AE13" s="600" t="n">
        <x:v>0.2830188679245283</x:v>
      </x:c>
      <x:c r="AF13" s="600" t="n">
        <x:v>0.2830188679245283</x:v>
      </x:c>
      <x:c r="AG13" s="600" t="n">
        <x:v>0.01811320754716989</x:v>
      </x:c>
      <x:c r="AH13" s="600" t="n">
        <x:v>-0.1844496273341341</x:v>
      </x:c>
      <x:c r="AI13" s="600" t="n">
        <x:v>-0.1415012673821041</x:v>
      </x:c>
      <x:c r="AJ13" s="600" t="n">
        <x:v>0.01983464851988906</x:v>
      </x:c>
      <x:c r="AK13" s="600" t="n">
        <x:v>0.1743430627419015</x:v>
      </x:c>
      <x:c r="AL13" s="600" t="n">
        <x:v>0.2191723295099018</x:v>
      </x:c>
      <x:c r="AM13" s="600" t="n">
        <x:v>0.5602</x:v>
      </x:c>
      <x:c r="AN13" s="595" t="inlineStr">
        <x:is>
          <x:t xml:space="preserve">EVALUATED</x:t>
        </x:is>
      </x:c>
      <x:c r="AO13" s="600" t="inlineStr">
        <x:is>
          <x:t xml:space="preserve">BUCKET_1.25</x:t>
        </x:is>
      </x:c>
      <x:c r="AP13" s="600" t="inlineStr">
        <x:is>
          <x:t xml:space="preserve">5ed627d24d9094cf8928</x:t>
        </x:is>
      </x:c>
      <x:c r="AQ13" s="600" t="n">
        <x:v>-1.25</x:v>
      </x:c>
      <x:c r="AR13" s="600" t="n">
        <x:v>1.02</x:v>
      </x:c>
      <x:c r="AS13" s="600" t="n">
        <x:v>-1.25</x:v>
      </x:c>
      <x:c r="AT13" s="600" t="n">
        <x:v>1.25</x:v>
      </x:c>
      <x:c r="AU13" s="600" t="n">
        <x:v>1.02</x:v>
      </x:c>
      <x:c r="AV13" s="600" t="n">
        <x:v>0.86</x:v>
      </x:c>
      <x:c r="AW13" s="595" t="n">
        <x:v>46278.23339170139</x:v>
      </x:c>
      <x:c r="AX13" s="595" t="inlineStr">
        <x:is>
          <x:t xml:space="preserve">https://simondongxiao.github.io/odds/v4/</x:t>
        </x:is>
      </x:c>
      <x:c r="AY13" s="595" t="inlineStr">
        <x:is>
          <x:t xml:space="preserve">V4 Shadow Only；real_money=false；P(EV&gt;0)不是比赛胜率</x:t>
        </x:is>
      </x:c>
    </x:row>
    <x:row r="14" ht="22" customHeight="1">
      <x:c r="A14" s="595" t="inlineStr">
        <x:is>
          <x:t xml:space="preserve">2026-09-13</x:t>
        </x:is>
      </x:c>
      <x:c r="B14" s="595" t="inlineStr">
        <x:is>
          <x:t xml:space="preserve">2026-09-13 21:30</x:t>
        </x:is>
      </x:c>
      <x:c r="C14" s="595" t="str">
        <x:v>欧洲五大系列</x:v>
      </x:c>
      <x:c r="D14" s="595" t="inlineStr">
        <x:is>
          <x:t xml:space="preserve">联赛</x:t>
        </x:is>
      </x:c>
      <x:c r="E14" s="595" t="inlineStr">
        <x:is>
          <x:t xml:space="preserve">德甲</x:t>
        </x:is>
      </x:c>
      <x:c r="F14" s="595" t="inlineStr">
        <x:is>
          <x:t xml:space="preserve">RB莱比锡 vs 汉堡</x:t>
        </x:is>
      </x:c>
      <x:c r="G14" s="596" t="n">
        <x:v>0.97</x:v>
      </x:c>
      <x:c r="H14" s="596" t="n">
        <x:v>1.5</x:v>
      </x:c>
      <x:c r="I14" s="596" t="n">
        <x:v>0.91</x:v>
      </x:c>
      <x:c r="J14" s="596" t="inlineStr">
        <x:is>
          <x:t xml:space="preserve">0.97/1.5/0.91</x:t>
        </x:is>
      </x:c>
      <x:c r="K14" s="595" t="inlineStr">
        <x:is>
          <x:t xml:space="preserve">V4-C｜EV +0.1697</x:t>
        </x:is>
      </x:c>
      <x:c r="L14" s="595" t="inlineStr">
        <x:is>
          <x:t xml:space="preserve">RB莱比锡</x:t>
        </x:is>
      </x:c>
      <x:c r="M14" s="597" t="n">
        <x:v>0.59375</x:v>
      </x:c>
      <x:c r="N14" s="595" t="inlineStr">
        <x:is>
          <x:t xml:space="preserve">V4纸面入选-C</x:t>
        </x:is>
      </x:c>
      <x:c r="O14" s="595" t="inlineStr">
        <x:is>
          <x:t xml:space="preserve">5-0</x:t>
        </x:is>
      </x:c>
      <x:c r="P14" s="595" t="inlineStr">
        <x:is>
          <x:t xml:space="preserve">已结算</x:t>
        </x:is>
      </x:c>
      <x:c r="Q14" s="640" t="inlineStr">
        <x:is>
          <x:t xml:space="preserve">红</x:t>
        </x:is>
      </x:c>
      <x:c r="R14" s="599" t="n">
        <x:v>0.97</x:v>
      </x:c>
      <x:c r="S14" s="599" t="n">
        <x:f>IF(OR(Q14="",Q14="待结算"),"",IF(Q14="红",R14,IF(Q14="半红",R14*0.5,IF(Q14="走",0,IF(Q14="半黑",-0.5,-1)))))</x:f>
        <x:v>0.97</x:v>
      </x:c>
      <x:c r="T14" s="595" t="inlineStr">
        <x:is>
          <x:t xml:space="preserve">https://m.titan007.com/analy/Analysis/3018811.htm</x:t>
        </x:is>
      </x:c>
      <x:c r="U14" s="641" t="str">
        <x:f>IF(Q14="","",IF(Q14="待结算","待结算",IF(Q14="红","黑",IF(Q14="半红","半黑",IF(Q14="走","走",IF(Q14="半黑","半红","红"))))))</x:f>
        <x:v>黑</x:v>
      </x:c>
      <x:c r="V14" s="599" t="n">
        <x:f>IF(OR(Q14="",Q14="待结算"),"",IF(L14=LEFT(F14,FIND(" vs ",F14)-1),I14,G14))</x:f>
        <x:v>0.91</x:v>
      </x:c>
      <x:c r="W14" s="599" t="n">
        <x:f>IF(OR(U14="",U14="待结算"),"",IF(U14="红",V14,IF(U14="半红",V14*0.5,IF(U14="走",0,IF(U14="半黑",-0.5,-1)))))</x:f>
        <x:v>-1</x:v>
      </x:c>
      <x:c r="X14" s="595" t="inlineStr">
        <x:is>
          <x:t xml:space="preserve">3018811</x:t>
        </x:is>
      </x:c>
      <x:c r="Y14" s="595" t="inlineStr">
        <x:is>
          <x:t xml:space="preserve">v4-market-dirichlet-20260913</x:t>
        </x:is>
      </x:c>
      <x:c r="Z14" s="595" t="inlineStr">
        <x:is>
          <x:t xml:space="preserve">prior-2026-09-13-v1</x:t>
        </x:is>
      </x:c>
      <x:c r="AA14" s="595" t="inlineStr">
        <x:is>
          <x:t xml:space="preserve">C</x:t>
        </x:is>
      </x:c>
      <x:c r="AB14" s="600" t="n">
        <x:v>0.59375</x:v>
      </x:c>
      <x:c r="AC14" s="600" t="n">
        <x:v>0</x:v>
      </x:c>
      <x:c r="AD14" s="600" t="n">
        <x:v>0</x:v>
      </x:c>
      <x:c r="AE14" s="600" t="n">
        <x:v>0</x:v>
      </x:c>
      <x:c r="AF14" s="600" t="n">
        <x:v>0.40625</x:v>
      </x:c>
      <x:c r="AG14" s="600" t="n">
        <x:v>0.1696875</x:v>
      </x:c>
      <x:c r="AH14" s="600" t="n">
        <x:v>-0.1136013238947245</x:v>
      </x:c>
      <x:c r="AI14" s="600" t="n">
        <x:v>-0.05007801738245021</x:v>
      </x:c>
      <x:c r="AJ14" s="600" t="n">
        <x:v>0.1769017095316109</x:v>
      </x:c>
      <x:c r="AK14" s="600" t="n">
        <x:v>0.3855165195623547</x:v>
      </x:c>
      <x:c r="AL14" s="600" t="n">
        <x:v>0.4412097798616824</x:v>
      </x:c>
      <x:c r="AM14" s="600" t="n">
        <x:v>0.8398</x:v>
      </x:c>
      <x:c r="AN14" s="595" t="inlineStr">
        <x:is>
          <x:t xml:space="preserve">EVALUATED</x:t>
        </x:is>
      </x:c>
      <x:c r="AO14" s="600" t="inlineStr">
        <x:is>
          <x:t xml:space="preserve">BUCKET_1.50</x:t>
        </x:is>
      </x:c>
      <x:c r="AP14" s="600" t="inlineStr">
        <x:is>
          <x:t xml:space="preserve">7cf0cd5f526a6be44948</x:t>
        </x:is>
      </x:c>
      <x:c r="AQ14" s="600" t="n">
        <x:v>-1.5</x:v>
      </x:c>
      <x:c r="AR14" s="600" t="n">
        <x:v>0.97</x:v>
      </x:c>
      <x:c r="AS14" s="600" t="n">
        <x:v>-1.5</x:v>
      </x:c>
      <x:c r="AT14" s="600" t="n">
        <x:v>1.5</x:v>
      </x:c>
      <x:c r="AU14" s="600" t="n">
        <x:v>0.97</x:v>
      </x:c>
      <x:c r="AV14" s="600" t="n">
        <x:v>0.91</x:v>
      </x:c>
      <x:c r="AW14" s="595" t="n">
        <x:v>46278.23339170139</x:v>
      </x:c>
      <x:c r="AX14" s="595" t="inlineStr">
        <x:is>
          <x:t xml:space="preserve">https://simondongxiao.github.io/odds/v4/</x:t>
        </x:is>
      </x:c>
      <x:c r="AY14" s="595" t="inlineStr">
        <x:is>
          <x:t xml:space="preserve">V4 Shadow Only；real_money=false；P(EV&gt;0)不是比赛胜率</x:t>
        </x:is>
      </x:c>
    </x:row>
    <x:row r="15" ht="22" customHeight="1">
      <x:c r="A15" s="595" t="inlineStr">
        <x:is>
          <x:t xml:space="preserve">2026-09-13</x:t>
        </x:is>
      </x:c>
      <x:c r="B15" s="595" t="inlineStr">
        <x:is>
          <x:t xml:space="preserve">2026-09-13 22:15</x:t>
        </x:is>
      </x:c>
      <x:c r="C15" s="595" t="str">
        <x:v>五大联赛非顶级联赛</x:v>
      </x:c>
      <x:c r="D15" s="595" t="inlineStr">
        <x:is>
          <x:t xml:space="preserve">联赛</x:t>
        </x:is>
      </x:c>
      <x:c r="E15" s="595" t="inlineStr">
        <x:is>
          <x:t xml:space="preserve">西乙</x:t>
        </x:is>
      </x:c>
      <x:c r="F15" s="595" t="inlineStr">
        <x:is>
          <x:t xml:space="preserve">巴拉多利德 vs 皇家奥维耶多</x:t>
        </x:is>
      </x:c>
      <x:c r="G15" s="596" t="n">
        <x:v>1.09</x:v>
      </x:c>
      <x:c r="H15" s="596" t="n">
        <x:v>0.25</x:v>
      </x:c>
      <x:c r="I15" s="596" t="n">
        <x:v>0.79</x:v>
      </x:c>
      <x:c r="J15" s="596" t="inlineStr">
        <x:is>
          <x:t xml:space="preserve">1.09/0.25/0.79</x:t>
        </x:is>
      </x:c>
      <x:c r="K15" s="595" t="inlineStr">
        <x:is>
          <x:t xml:space="preserve">V4-C｜EV +0.0364</x:t>
        </x:is>
      </x:c>
      <x:c r="L15" s="595" t="inlineStr">
        <x:is>
          <x:t xml:space="preserve">巴拉多利德</x:t>
        </x:is>
      </x:c>
      <x:c r="M15" s="597" t="n">
        <x:v>0.4989775051124744</x:v>
      </x:c>
      <x:c r="N15" s="595" t="inlineStr">
        <x:is>
          <x:t xml:space="preserve">V4纸面入选-C</x:t>
        </x:is>
      </x:c>
      <x:c r="O15" s="595" t="inlineStr">
        <x:is>
          <x:t xml:space="preserve">0-3</x:t>
        </x:is>
      </x:c>
      <x:c r="P15" s="595" t="inlineStr">
        <x:is>
          <x:t xml:space="preserve">已结算</x:t>
        </x:is>
      </x:c>
      <x:c r="Q15" s="641" t="inlineStr">
        <x:is>
          <x:t xml:space="preserve">黑</x:t>
        </x:is>
      </x:c>
      <x:c r="R15" s="599" t="n">
        <x:v>1.09</x:v>
      </x:c>
      <x:c r="S15" s="599" t="n">
        <x:f>IF(OR(Q15="",Q15="待结算"),"",IF(Q15="红",R15,IF(Q15="半红",R15*0.5,IF(Q15="走",0,IF(Q15="半黑",-0.5,-1)))))</x:f>
        <x:v>-1</x:v>
      </x:c>
      <x:c r="T15" s="595" t="inlineStr">
        <x:is>
          <x:t xml:space="preserve">https://m.titan007.com/analy/Analysis/3014075.htm</x:t>
        </x:is>
      </x:c>
      <x:c r="U15" s="640" t="str">
        <x:f>IF(Q15="","",IF(Q15="待结算","待结算",IF(Q15="红","黑",IF(Q15="半红","半黑",IF(Q15="走","走",IF(Q15="半黑","半红","红"))))))</x:f>
        <x:v>红</x:v>
      </x:c>
      <x:c r="V15" s="599" t="n">
        <x:f>IF(OR(Q15="",Q15="待结算"),"",IF(L15=LEFT(F15,FIND(" vs ",F15)-1),I15,G15))</x:f>
        <x:v>0.79</x:v>
      </x:c>
      <x:c r="W15" s="599" t="n">
        <x:f>IF(OR(U15="",U15="待结算"),"",IF(U15="红",V15,IF(U15="半红",V15*0.5,IF(U15="走",0,IF(U15="半黑",-0.5,-1)))))</x:f>
        <x:v>0.79</x:v>
      </x:c>
      <x:c r="X15" s="595" t="inlineStr">
        <x:is>
          <x:t xml:space="preserve">3014075</x:t>
        </x:is>
      </x:c>
      <x:c r="Y15" s="595" t="inlineStr">
        <x:is>
          <x:t xml:space="preserve">v4-market-dirichlet-20260913</x:t>
        </x:is>
      </x:c>
      <x:c r="Z15" s="595" t="inlineStr">
        <x:is>
          <x:t xml:space="preserve">prior-2026-09-13-v1</x:t>
        </x:is>
      </x:c>
      <x:c r="AA15" s="595" t="inlineStr">
        <x:is>
          <x:t xml:space="preserve">C</x:t>
        </x:is>
      </x:c>
      <x:c r="AB15" s="600" t="n">
        <x:v>0.4236111111111111</x:v>
      </x:c>
      <x:c r="AC15" s="600" t="n">
        <x:v>0</x:v>
      </x:c>
      <x:c r="AD15" s="600" t="n">
        <x:v>0</x:v>
      </x:c>
      <x:c r="AE15" s="600" t="n">
        <x:v>0.3020833333333333</x:v>
      </x:c>
      <x:c r="AF15" s="600" t="n">
        <x:v>0.2743055555555556</x:v>
      </x:c>
      <x:c r="AG15" s="600" t="n">
        <x:v>0.03638888888888892</x:v>
      </x:c>
      <x:c r="AH15" s="600" t="n">
        <x:v>-0.05489276834591966</x:v>
      </x:c>
      <x:c r="AI15" s="600" t="n">
        <x:v>-0.03600107700019653</x:v>
      </x:c>
      <x:c r="AJ15" s="600" t="n">
        <x:v>0.03742885479299041</x:v>
      </x:c>
      <x:c r="AK15" s="600" t="n">
        <x:v>0.1065264679776417</x:v>
      </x:c>
      <x:c r="AL15" s="600" t="n">
        <x:v>0.1265927861884086</x:v>
      </x:c>
      <x:c r="AM15" s="600" t="n">
        <x:v>0.748</x:v>
      </x:c>
      <x:c r="AN15" s="595" t="inlineStr">
        <x:is>
          <x:t xml:space="preserve">EVALUATED</x:t>
        </x:is>
      </x:c>
      <x:c r="AO15" s="600" t="inlineStr">
        <x:is>
          <x:t xml:space="preserve">BUCKET_0.25</x:t>
        </x:is>
      </x:c>
      <x:c r="AP15" s="600" t="inlineStr">
        <x:is>
          <x:t xml:space="preserve">ef5562d41f9ab5cbea05</x:t>
        </x:is>
      </x:c>
      <x:c r="AQ15" s="600" t="n">
        <x:v>-0.25</x:v>
      </x:c>
      <x:c r="AR15" s="600" t="n">
        <x:v>1.09</x:v>
      </x:c>
      <x:c r="AS15" s="600" t="n">
        <x:v>-0.25</x:v>
      </x:c>
      <x:c r="AT15" s="600" t="n">
        <x:v>0.25</x:v>
      </x:c>
      <x:c r="AU15" s="600" t="n">
        <x:v>1.09</x:v>
      </x:c>
      <x:c r="AV15" s="600" t="n">
        <x:v>0.79</x:v>
      </x:c>
      <x:c r="AW15" s="595" t="n">
        <x:v>46278.23339170139</x:v>
      </x:c>
      <x:c r="AX15" s="595" t="inlineStr">
        <x:is>
          <x:t xml:space="preserve">https://simondongxiao.github.io/odds/v4/</x:t>
        </x:is>
      </x:c>
      <x:c r="AY15" s="595" t="inlineStr">
        <x:is>
          <x:t xml:space="preserve">V4 Shadow Only；real_money=false；P(EV&gt;0)不是比赛胜率</x:t>
        </x:is>
      </x:c>
    </x:row>
    <x:row r="16" ht="22" customHeight="1">
      <x:c r="A16" s="595" t="inlineStr">
        <x:is>
          <x:t xml:space="preserve">2026-09-13</x:t>
        </x:is>
      </x:c>
      <x:c r="B16" s="595" t="inlineStr">
        <x:is>
          <x:t xml:space="preserve">2026-09-13 22:15</x:t>
        </x:is>
      </x:c>
      <x:c r="C16" s="595" t="str">
        <x:v>欧洲五大系列</x:v>
      </x:c>
      <x:c r="D16" s="595" t="inlineStr">
        <x:is>
          <x:t xml:space="preserve">联赛</x:t>
        </x:is>
      </x:c>
      <x:c r="E16" s="595" t="inlineStr">
        <x:is>
          <x:t xml:space="preserve">西甲</x:t>
        </x:is>
      </x:c>
      <x:c r="F16" s="595" t="inlineStr">
        <x:is>
          <x:t xml:space="preserve">莱万特 vs 巴塞罗那</x:t>
        </x:is>
      </x:c>
      <x:c r="G16" s="596" t="n">
        <x:v>1.03</x:v>
      </x:c>
      <x:c r="H16" s="596" t="n">
        <x:v>-2.25</x:v>
      </x:c>
      <x:c r="I16" s="596" t="n">
        <x:v>0.85</x:v>
      </x:c>
      <x:c r="J16" s="596" t="inlineStr">
        <x:is>
          <x:t xml:space="preserve">1.03/-2.25/0.85</x:t>
        </x:is>
      </x:c>
      <x:c r="K16" s="595" t="inlineStr">
        <x:is>
          <x:t xml:space="preserve">V4-C｜EV +0.0361</x:t>
        </x:is>
      </x:c>
      <x:c r="L16" s="595" t="inlineStr">
        <x:is>
          <x:t xml:space="preserve">巴塞罗那</x:t>
        </x:is>
      </x:c>
      <x:c r="M16" s="597" t="n">
        <x:v>0.5625</x:v>
      </x:c>
      <x:c r="N16" s="595" t="inlineStr">
        <x:is>
          <x:t xml:space="preserve">V4纸面入选-C</x:t>
        </x:is>
      </x:c>
      <x:c r="O16" s="595" t="inlineStr">
        <x:is>
          <x:t xml:space="preserve">2-4</x:t>
        </x:is>
      </x:c>
      <x:c r="P16" s="595" t="inlineStr">
        <x:is>
          <x:t xml:space="preserve">已结算</x:t>
        </x:is>
      </x:c>
      <x:c r="Q16" s="643" t="inlineStr">
        <x:is>
          <x:t xml:space="preserve">半黑</x:t>
        </x:is>
      </x:c>
      <x:c r="R16" s="599" t="n">
        <x:v>0.85</x:v>
      </x:c>
      <x:c r="S16" s="599" t="n">
        <x:f>IF(OR(Q16="",Q16="待结算"),"",IF(Q16="红",R16,IF(Q16="半红",R16*0.5,IF(Q16="走",0,IF(Q16="半黑",-0.5,-1)))))</x:f>
        <x:v>-0.5</x:v>
      </x:c>
      <x:c r="T16" s="595" t="inlineStr">
        <x:is>
          <x:t xml:space="preserve">https://m.titan007.com/analy/Analysis/3013685.htm</x:t>
        </x:is>
      </x:c>
      <x:c r="U16" s="642" t="str">
        <x:f>IF(Q16="","",IF(Q16="待结算","待结算",IF(Q16="红","黑",IF(Q16="半红","半黑",IF(Q16="走","走",IF(Q16="半黑","半红","红"))))))</x:f>
        <x:v>半红</x:v>
      </x:c>
      <x:c r="V16" s="599" t="n">
        <x:f>IF(OR(Q16="",Q16="待结算"),"",IF(L16=LEFT(F16,FIND(" vs ",F16)-1),I16,G16))</x:f>
        <x:v>1.03</x:v>
      </x:c>
      <x:c r="W16" s="599" t="n">
        <x:f>IF(OR(U16="",U16="待结算"),"",IF(U16="红",V16,IF(U16="半红",V16*0.5,IF(U16="走",0,IF(U16="半黑",-0.5,-1)))))</x:f>
        <x:v>0.515</x:v>
      </x:c>
      <x:c r="X16" s="595" t="inlineStr">
        <x:is>
          <x:t xml:space="preserve">3013685</x:t>
        </x:is>
      </x:c>
      <x:c r="Y16" s="595" t="inlineStr">
        <x:is>
          <x:t xml:space="preserve">v4-market-dirichlet-20260913</x:t>
        </x:is>
      </x:c>
      <x:c r="Z16" s="595" t="inlineStr">
        <x:is>
          <x:t xml:space="preserve">prior-2026-09-13-v1</x:t>
        </x:is>
      </x:c>
      <x:c r="AA16" s="595" t="inlineStr">
        <x:is>
          <x:t xml:space="preserve">C</x:t>
        </x:is>
      </x:c>
      <x:c r="AB16" s="600" t="n">
        <x:v>0.5</x:v>
      </x:c>
      <x:c r="AC16" s="600" t="n">
        <x:v>0</x:v>
      </x:c>
      <x:c r="AD16" s="600" t="n">
        <x:v>0</x:v>
      </x:c>
      <x:c r="AE16" s="600" t="n">
        <x:v>0.2222222222222222</x:v>
      </x:c>
      <x:c r="AF16" s="600" t="n">
        <x:v>0.2777777777777778</x:v>
      </x:c>
      <x:c r="AG16" s="600" t="n">
        <x:v>0.03611111111111109</x:v>
      </x:c>
      <x:c r="AH16" s="600" t="n">
        <x:v>-0.2896185484289195</x:v>
      </x:c>
      <x:c r="AI16" s="600" t="n">
        <x:v>-0.2212707500703027</x:v>
      </x:c>
      <x:c r="AJ16" s="600" t="n">
        <x:v>0.02617052165780243</x:v>
      </x:c>
      <x:c r="AK16" s="600" t="n">
        <x:v>0.285253177892853</x:v>
      </x:c>
      <x:c r="AL16" s="600" t="n">
        <x:v>0.3464358142854521</x:v>
      </x:c>
      <x:c r="AM16" s="600" t="n">
        <x:v>0.5582</x:v>
      </x:c>
      <x:c r="AN16" s="595" t="inlineStr">
        <x:is>
          <x:t xml:space="preserve">EVALUATED</x:t>
        </x:is>
      </x:c>
      <x:c r="AO16" s="600" t="inlineStr">
        <x:is>
          <x:t xml:space="preserve">BUCKET_2.25</x:t>
        </x:is>
      </x:c>
      <x:c r="AP16" s="600" t="inlineStr">
        <x:is>
          <x:t xml:space="preserve">ba9482c017f0e2e01576</x:t>
        </x:is>
      </x:c>
      <x:c r="AQ16" s="600" t="n">
        <x:v>-2.25</x:v>
      </x:c>
      <x:c r="AR16" s="600" t="n">
        <x:v>0.85</x:v>
      </x:c>
      <x:c r="AS16" s="600" t="n">
        <x:v>2.25</x:v>
      </x:c>
      <x:c r="AT16" s="600" t="n">
        <x:v>-2.25</x:v>
      </x:c>
      <x:c r="AU16" s="600" t="n">
        <x:v>1.03</x:v>
      </x:c>
      <x:c r="AV16" s="600" t="n">
        <x:v>0.85</x:v>
      </x:c>
      <x:c r="AW16" s="595" t="n">
        <x:v>46278.23339170139</x:v>
      </x:c>
      <x:c r="AX16" s="595" t="inlineStr">
        <x:is>
          <x:t xml:space="preserve">https://simondongxiao.github.io/odds/v4/</x:t>
        </x:is>
      </x:c>
      <x:c r="AY16" s="595" t="inlineStr">
        <x:is>
          <x:t xml:space="preserve">V4 Shadow Only；real_money=false；P(EV&gt;0)不是比赛胜率</x:t>
        </x:is>
      </x:c>
    </x:row>
    <x:row r="17" ht="22" customHeight="1">
      <x:c r="A17" s="595" t="inlineStr">
        <x:is>
          <x:t xml:space="preserve">2026-09-13</x:t>
        </x:is>
      </x:c>
      <x:c r="B17" s="595" t="inlineStr">
        <x:is>
          <x:t xml:space="preserve">2026-09-13 22:30</x:t>
        </x:is>
      </x:c>
      <x:c r="C17" s="595" t="str">
        <x:v>欧洲非五大系列</x:v>
      </x:c>
      <x:c r="D17" s="595" t="inlineStr">
        <x:is>
          <x:t xml:space="preserve">联赛</x:t>
        </x:is>
      </x:c>
      <x:c r="E17" s="595" t="inlineStr">
        <x:is>
          <x:t xml:space="preserve">瑞典超</x:t>
        </x:is>
      </x:c>
      <x:c r="F17" s="595" t="inlineStr">
        <x:is>
          <x:t xml:space="preserve">马尔默 vs 奥尔格里特</x:t>
        </x:is>
      </x:c>
      <x:c r="G17" s="596" t="n">
        <x:v>1.03</x:v>
      </x:c>
      <x:c r="H17" s="596" t="n">
        <x:v>1.5</x:v>
      </x:c>
      <x:c r="I17" s="596" t="n">
        <x:v>0.85</x:v>
      </x:c>
      <x:c r="J17" s="596" t="inlineStr">
        <x:is>
          <x:t xml:space="preserve">1.03/1.5/0.85</x:t>
        </x:is>
      </x:c>
      <x:c r="K17" s="595" t="inlineStr">
        <x:is>
          <x:t xml:space="preserve">V4-B｜EV +0.2053</x:t>
        </x:is>
      </x:c>
      <x:c r="L17" s="595" t="inlineStr">
        <x:is>
          <x:t xml:space="preserve">马尔默</x:t>
        </x:is>
      </x:c>
      <x:c r="M17" s="597" t="n">
        <x:v>0.59375</x:v>
      </x:c>
      <x:c r="N17" s="595" t="inlineStr">
        <x:is>
          <x:t xml:space="preserve">V4纸面入选-B</x:t>
        </x:is>
      </x:c>
      <x:c r="O17" s="595" t="inlineStr">
        <x:is>
          <x:t xml:space="preserve">4-1</x:t>
        </x:is>
      </x:c>
      <x:c r="P17" s="595" t="inlineStr">
        <x:is>
          <x:t xml:space="preserve">已结算</x:t>
        </x:is>
      </x:c>
      <x:c r="Q17" s="640" t="inlineStr">
        <x:is>
          <x:t xml:space="preserve">红</x:t>
        </x:is>
      </x:c>
      <x:c r="R17" s="599" t="n">
        <x:v>1.03</x:v>
      </x:c>
      <x:c r="S17" s="599" t="n">
        <x:f>IF(OR(Q17="",Q17="待结算"),"",IF(Q17="红",R17,IF(Q17="半红",R17*0.5,IF(Q17="走",0,IF(Q17="半黑",-0.5,-1)))))</x:f>
        <x:v>1.03</x:v>
      </x:c>
      <x:c r="T17" s="595" t="inlineStr">
        <x:is>
          <x:t xml:space="preserve">https://m.titan007.com/analy/Analysis/2912273.htm</x:t>
        </x:is>
      </x:c>
      <x:c r="U17" s="641" t="str">
        <x:f>IF(Q17="","",IF(Q17="待结算","待结算",IF(Q17="红","黑",IF(Q17="半红","半黑",IF(Q17="走","走",IF(Q17="半黑","半红","红"))))))</x:f>
        <x:v>黑</x:v>
      </x:c>
      <x:c r="V17" s="599" t="n">
        <x:f>IF(OR(Q17="",Q17="待结算"),"",IF(L17=LEFT(F17,FIND(" vs ",F17)-1),I17,G17))</x:f>
        <x:v>0.85</x:v>
      </x:c>
      <x:c r="W17" s="599" t="n">
        <x:f>IF(OR(U17="",U17="待结算"),"",IF(U17="红",V17,IF(U17="半红",V17*0.5,IF(U17="走",0,IF(U17="半黑",-0.5,-1)))))</x:f>
        <x:v>-1</x:v>
      </x:c>
      <x:c r="X17" s="595" t="inlineStr">
        <x:is>
          <x:t xml:space="preserve">2912273</x:t>
        </x:is>
      </x:c>
      <x:c r="Y17" s="595" t="inlineStr">
        <x:is>
          <x:t xml:space="preserve">v4-market-dirichlet-20260913</x:t>
        </x:is>
      </x:c>
      <x:c r="Z17" s="595" t="inlineStr">
        <x:is>
          <x:t xml:space="preserve">prior-2026-09-13-v1</x:t>
        </x:is>
      </x:c>
      <x:c r="AA17" s="595" t="inlineStr">
        <x:is>
          <x:t xml:space="preserve">B</x:t>
        </x:is>
      </x:c>
      <x:c r="AB17" s="600" t="n">
        <x:v>0.59375</x:v>
      </x:c>
      <x:c r="AC17" s="600" t="n">
        <x:v>0</x:v>
      </x:c>
      <x:c r="AD17" s="600" t="n">
        <x:v>0</x:v>
      </x:c>
      <x:c r="AE17" s="600" t="n">
        <x:v>0</x:v>
      </x:c>
      <x:c r="AF17" s="600" t="n">
        <x:v>0.40625</x:v>
      </x:c>
      <x:c r="AG17" s="600" t="n">
        <x:v>0.2053125</x:v>
      </x:c>
      <x:c r="AH17" s="600" t="n">
        <x:v>-0.08577599893124715</x:v>
      </x:c>
      <x:c r="AI17" s="600" t="n">
        <x:v>-0.0168191543419402</x:v>
      </x:c>
      <x:c r="AJ17" s="600" t="n">
        <x:v>0.2005806564687342</x:v>
      </x:c>
      <x:c r="AK17" s="600" t="n">
        <x:v>0.4184022281265084</x:v>
      </x:c>
      <x:c r="AL17" s="600" t="n">
        <x:v>0.4774845560072552</x:v>
      </x:c>
      <x:c r="AM17" s="600" t="n">
        <x:v>0.88</x:v>
      </x:c>
      <x:c r="AN17" s="595" t="inlineStr">
        <x:is>
          <x:t xml:space="preserve">EVALUATED</x:t>
        </x:is>
      </x:c>
      <x:c r="AO17" s="600" t="inlineStr">
        <x:is>
          <x:t xml:space="preserve">BUCKET_1.50</x:t>
        </x:is>
      </x:c>
      <x:c r="AP17" s="600" t="inlineStr">
        <x:is>
          <x:t xml:space="preserve">5cfd7da0e620fc1ff0bd</x:t>
        </x:is>
      </x:c>
      <x:c r="AQ17" s="600" t="n">
        <x:v>-1.5</x:v>
      </x:c>
      <x:c r="AR17" s="600" t="n">
        <x:v>1.03</x:v>
      </x:c>
      <x:c r="AS17" s="600" t="n">
        <x:v>-1.5</x:v>
      </x:c>
      <x:c r="AT17" s="600" t="n">
        <x:v>1.5</x:v>
      </x:c>
      <x:c r="AU17" s="600" t="n">
        <x:v>1.03</x:v>
      </x:c>
      <x:c r="AV17" s="600" t="n">
        <x:v>0.85</x:v>
      </x:c>
      <x:c r="AW17" s="595" t="n">
        <x:v>46278.23339170139</x:v>
      </x:c>
      <x:c r="AX17" s="595" t="inlineStr">
        <x:is>
          <x:t xml:space="preserve">https://simondongxiao.github.io/odds/v4/</x:t>
        </x:is>
      </x:c>
      <x:c r="AY17" s="595" t="inlineStr">
        <x:is>
          <x:t xml:space="preserve">V4 Shadow Only；real_money=false；P(EV&gt;0)不是比赛胜率</x:t>
        </x:is>
      </x:c>
    </x:row>
    <x:row r="18" ht="22" customHeight="1">
      <x:c r="A18" s="595" t="inlineStr">
        <x:is>
          <x:t xml:space="preserve">2026-09-13</x:t>
        </x:is>
      </x:c>
      <x:c r="B18" s="595" t="inlineStr">
        <x:is>
          <x:t xml:space="preserve">2026-09-13 23:00</x:t>
        </x:is>
      </x:c>
      <x:c r="C18" s="595" t="str">
        <x:v>欧洲非五大系列</x:v>
      </x:c>
      <x:c r="D18" s="595" t="inlineStr">
        <x:is>
          <x:t xml:space="preserve">联赛</x:t>
        </x:is>
      </x:c>
      <x:c r="E18" s="595" t="inlineStr">
        <x:is>
          <x:t xml:space="preserve">挪甲</x:t>
        </x:is>
      </x:c>
      <x:c r="F18" s="595" t="inlineStr">
        <x:is>
          <x:t xml:space="preserve">斯托姆加斯特 vs 桑德尼斯</x:t>
        </x:is>
      </x:c>
      <x:c r="G18" s="596" t="n">
        <x:v>0.78</x:v>
      </x:c>
      <x:c r="H18" s="596" t="n">
        <x:v>1.5</x:v>
      </x:c>
      <x:c r="I18" s="596" t="n">
        <x:v>0.98</x:v>
      </x:c>
      <x:c r="J18" s="596" t="inlineStr">
        <x:is>
          <x:t xml:space="preserve">0.78/1.5/0.98</x:t>
        </x:is>
      </x:c>
      <x:c r="K18" s="595" t="inlineStr">
        <x:is>
          <x:t xml:space="preserve">V4-C｜EV +0.0569</x:t>
        </x:is>
      </x:c>
      <x:c r="L18" s="595" t="inlineStr">
        <x:is>
          <x:t xml:space="preserve">斯托姆加斯特</x:t>
        </x:is>
      </x:c>
      <x:c r="M18" s="597" t="n">
        <x:v>0.59375</x:v>
      </x:c>
      <x:c r="N18" s="595" t="inlineStr">
        <x:is>
          <x:t xml:space="preserve">V4纸面入选-C</x:t>
        </x:is>
      </x:c>
      <x:c r="O18" s="595" t="inlineStr">
        <x:is>
          <x:t xml:space="preserve">4-1</x:t>
        </x:is>
      </x:c>
      <x:c r="P18" s="595" t="inlineStr">
        <x:is>
          <x:t xml:space="preserve">已结算</x:t>
        </x:is>
      </x:c>
      <x:c r="Q18" s="640" t="inlineStr">
        <x:is>
          <x:t xml:space="preserve">红</x:t>
        </x:is>
      </x:c>
      <x:c r="R18" s="599" t="n">
        <x:v>0.78</x:v>
      </x:c>
      <x:c r="S18" s="599" t="n">
        <x:f>IF(OR(Q18="",Q18="待结算"),"",IF(Q18="红",R18,IF(Q18="半红",R18*0.5,IF(Q18="走",0,IF(Q18="半黑",-0.5,-1)))))</x:f>
        <x:v>0.78</x:v>
      </x:c>
      <x:c r="T18" s="595" t="inlineStr">
        <x:is>
          <x:t xml:space="preserve">https://m.titan007.com/analy/Analysis/2913145.htm</x:t>
        </x:is>
      </x:c>
      <x:c r="U18" s="641" t="str">
        <x:f>IF(Q18="","",IF(Q18="待结算","待结算",IF(Q18="红","黑",IF(Q18="半红","半黑",IF(Q18="走","走",IF(Q18="半黑","半红","红"))))))</x:f>
        <x:v>黑</x:v>
      </x:c>
      <x:c r="V18" s="599" t="n">
        <x:f>IF(OR(Q18="",Q18="待结算"),"",IF(L18=LEFT(F18,FIND(" vs ",F18)-1),I18,G18))</x:f>
        <x:v>0.98</x:v>
      </x:c>
      <x:c r="W18" s="599" t="n">
        <x:f>IF(OR(U18="",U18="待结算"),"",IF(U18="红",V18,IF(U18="半红",V18*0.5,IF(U18="走",0,IF(U18="半黑",-0.5,-1)))))</x:f>
        <x:v>-1</x:v>
      </x:c>
      <x:c r="X18" s="595" t="inlineStr">
        <x:is>
          <x:t xml:space="preserve">2913145</x:t>
        </x:is>
      </x:c>
      <x:c r="Y18" s="595" t="inlineStr">
        <x:is>
          <x:t xml:space="preserve">v4-market-dirichlet-20260913</x:t>
        </x:is>
      </x:c>
      <x:c r="Z18" s="595" t="inlineStr">
        <x:is>
          <x:t xml:space="preserve">prior-2026-09-13-v1</x:t>
        </x:is>
      </x:c>
      <x:c r="AA18" s="595" t="inlineStr">
        <x:is>
          <x:t xml:space="preserve">C</x:t>
        </x:is>
      </x:c>
      <x:c r="AB18" s="600" t="n">
        <x:v>0.59375</x:v>
      </x:c>
      <x:c r="AC18" s="600" t="n">
        <x:v>0</x:v>
      </x:c>
      <x:c r="AD18" s="600" t="n">
        <x:v>0</x:v>
      </x:c>
      <x:c r="AE18" s="600" t="n">
        <x:v>0</x:v>
      </x:c>
      <x:c r="AF18" s="600" t="n">
        <x:v>0.40625</x:v>
      </x:c>
      <x:c r="AG18" s="600" t="n">
        <x:v>0.05687500000000001</x:v>
      </x:c>
      <x:c r="AH18" s="600" t="n">
        <x:v>-0.1977441559386845</x:v>
      </x:c>
      <x:c r="AI18" s="600" t="n">
        <x:v>-0.1369349455336168</x:v>
      </x:c>
      <x:c r="AJ18" s="600" t="n">
        <x:v>0.06147595787868582</x:v>
      </x:c>
      <x:c r="AK18" s="600" t="n">
        <x:v>0.2486705058135389</x:v>
      </x:c>
      <x:c r="AL18" s="600" t="n">
        <x:v>0.2999784693394525</x:v>
      </x:c>
      <x:c r="AM18" s="600" t="n">
        <x:v>0.647</x:v>
      </x:c>
      <x:c r="AN18" s="595" t="inlineStr">
        <x:is>
          <x:t xml:space="preserve">EVALUATED</x:t>
        </x:is>
      </x:c>
      <x:c r="AO18" s="600" t="inlineStr">
        <x:is>
          <x:t xml:space="preserve">BUCKET_1.50</x:t>
        </x:is>
      </x:c>
      <x:c r="AP18" s="600" t="inlineStr">
        <x:is>
          <x:t xml:space="preserve">09dc9edca13b25f65830</x:t>
        </x:is>
      </x:c>
      <x:c r="AQ18" s="600" t="n">
        <x:v>-1.5</x:v>
      </x:c>
      <x:c r="AR18" s="600" t="n">
        <x:v>0.78</x:v>
      </x:c>
      <x:c r="AS18" s="600" t="n">
        <x:v>-1.5</x:v>
      </x:c>
      <x:c r="AT18" s="600" t="n">
        <x:v>1.5</x:v>
      </x:c>
      <x:c r="AU18" s="600" t="n">
        <x:v>0.78</x:v>
      </x:c>
      <x:c r="AV18" s="600" t="n">
        <x:v>0.98</x:v>
      </x:c>
      <x:c r="AW18" s="595" t="n">
        <x:v>46278.23339170139</x:v>
      </x:c>
      <x:c r="AX18" s="595" t="inlineStr">
        <x:is>
          <x:t xml:space="preserve">https://simondongxiao.github.io/odds/v4/</x:t>
        </x:is>
      </x:c>
      <x:c r="AY18" s="595" t="inlineStr">
        <x:is>
          <x:t xml:space="preserve">V4 Shadow Only；real_money=false；P(EV&gt;0)不是比赛胜率</x:t>
        </x:is>
      </x:c>
    </x:row>
    <x:row r="19" ht="22" customHeight="1">
      <x:c r="A19" s="595" t="inlineStr">
        <x:is>
          <x:t xml:space="preserve">2026-09-13</x:t>
        </x:is>
      </x:c>
      <x:c r="B19" s="595" t="inlineStr">
        <x:is>
          <x:t xml:space="preserve">2026-09-13 23:00</x:t>
        </x:is>
      </x:c>
      <x:c r="C19" s="595" t="str">
        <x:v>欧洲非五大系列</x:v>
      </x:c>
      <x:c r="D19" s="595" t="inlineStr">
        <x:is>
          <x:t xml:space="preserve">联赛</x:t>
        </x:is>
      </x:c>
      <x:c r="E19" s="595" t="inlineStr">
        <x:is>
          <x:t xml:space="preserve">挪超</x:t>
        </x:is>
      </x:c>
      <x:c r="F19" s="595" t="inlineStr">
        <x:is>
          <x:t xml:space="preserve">斯达 vs 布兰</x:t>
        </x:is>
      </x:c>
      <x:c r="G19" s="596" t="n">
        <x:v>0.84</x:v>
      </x:c>
      <x:c r="H19" s="596" t="n">
        <x:v>-0.5</x:v>
      </x:c>
      <x:c r="I19" s="596" t="n">
        <x:v>1.04</x:v>
      </x:c>
      <x:c r="J19" s="596" t="inlineStr">
        <x:is>
          <x:t xml:space="preserve">0.84/-0.5/1.04</x:t>
        </x:is>
      </x:c>
      <x:c r="K19" s="595" t="inlineStr">
        <x:is>
          <x:t xml:space="preserve">V4-C｜EV +0.0142</x:t>
        </x:is>
      </x:c>
      <x:c r="L19" s="595" t="inlineStr">
        <x:is>
          <x:t xml:space="preserve">布兰</x:t>
        </x:is>
      </x:c>
      <x:c r="M19" s="597" t="n">
        <x:v>0.4971428571428572</x:v>
      </x:c>
      <x:c r="N19" s="595" t="inlineStr">
        <x:is>
          <x:t xml:space="preserve">V4纸面入选-C</x:t>
        </x:is>
      </x:c>
      <x:c r="O19" s="595" t="inlineStr">
        <x:is>
          <x:t xml:space="preserve">2-0</x:t>
        </x:is>
      </x:c>
      <x:c r="P19" s="595" t="inlineStr">
        <x:is>
          <x:t xml:space="preserve">已结算</x:t>
        </x:is>
      </x:c>
      <x:c r="Q19" s="641" t="inlineStr">
        <x:is>
          <x:t xml:space="preserve">黑</x:t>
        </x:is>
      </x:c>
      <x:c r="R19" s="599" t="n">
        <x:v>1.04</x:v>
      </x:c>
      <x:c r="S19" s="599" t="n">
        <x:f>IF(OR(Q19="",Q19="待结算"),"",IF(Q19="红",R19,IF(Q19="半红",R19*0.5,IF(Q19="走",0,IF(Q19="半黑",-0.5,-1)))))</x:f>
        <x:v>-1</x:v>
      </x:c>
      <x:c r="T19" s="595" t="inlineStr">
        <x:is>
          <x:t xml:space="preserve">https://m.titan007.com/analy/Analysis/2912896.htm</x:t>
        </x:is>
      </x:c>
      <x:c r="U19" s="640" t="str">
        <x:f>IF(Q19="","",IF(Q19="待结算","待结算",IF(Q19="红","黑",IF(Q19="半红","半黑",IF(Q19="走","走",IF(Q19="半黑","半红","红"))))))</x:f>
        <x:v>红</x:v>
      </x:c>
      <x:c r="V19" s="599" t="n">
        <x:f>IF(OR(Q19="",Q19="待结算"),"",IF(L19=LEFT(F19,FIND(" vs ",F19)-1),I19,G19))</x:f>
        <x:v>0.84</x:v>
      </x:c>
      <x:c r="W19" s="599" t="n">
        <x:f>IF(OR(U19="",U19="待结算"),"",IF(U19="红",V19,IF(U19="半红",V19*0.5,IF(U19="走",0,IF(U19="半黑",-0.5,-1)))))</x:f>
        <x:v>0.84</x:v>
      </x:c>
      <x:c r="X19" s="595" t="inlineStr">
        <x:is>
          <x:t xml:space="preserve">2912896</x:t>
        </x:is>
      </x:c>
      <x:c r="Y19" s="595" t="inlineStr">
        <x:is>
          <x:t xml:space="preserve">v4-market-dirichlet-20260913</x:t>
        </x:is>
      </x:c>
      <x:c r="Z19" s="595" t="inlineStr">
        <x:is>
          <x:t xml:space="preserve">prior-2026-09-13-v1</x:t>
        </x:is>
      </x:c>
      <x:c r="AA19" s="595" t="inlineStr">
        <x:is>
          <x:t xml:space="preserve">C</x:t>
        </x:is>
      </x:c>
      <x:c r="AB19" s="600" t="n">
        <x:v>0.4971428571428572</x:v>
      </x:c>
      <x:c r="AC19" s="600" t="n">
        <x:v>0</x:v>
      </x:c>
      <x:c r="AD19" s="600" t="n">
        <x:v>0</x:v>
      </x:c>
      <x:c r="AE19" s="600" t="n">
        <x:v>0</x:v>
      </x:c>
      <x:c r="AF19" s="600" t="n">
        <x:v>0.5028571428571429</x:v>
      </x:c>
      <x:c r="AG19" s="600" t="n">
        <x:v>0.01417142857142861</x:v>
      </x:c>
      <x:c r="AH19" s="600" t="n">
        <x:v>-0.1120193952770081</x:v>
      </x:c>
      <x:c r="AI19" s="600" t="n">
        <x:v>-0.08338137463831097</x:v>
      </x:c>
      <x:c r="AJ19" s="600" t="n">
        <x:v>0.013982127960673</x:v>
      </x:c>
      <x:c r="AK19" s="600" t="n">
        <x:v>0.1132271202857077</x:v>
      </x:c>
      <x:c r="AL19" s="600" t="n">
        <x:v>0.143279481823191</x:v>
      </x:c>
      <x:c r="AM19" s="600" t="n">
        <x:v>0.5736</x:v>
      </x:c>
      <x:c r="AN19" s="595" t="inlineStr">
        <x:is>
          <x:t xml:space="preserve">EVALUATED</x:t>
        </x:is>
      </x:c>
      <x:c r="AO19" s="600" t="inlineStr">
        <x:is>
          <x:t xml:space="preserve">BUCKET_0.50</x:t>
        </x:is>
      </x:c>
      <x:c r="AP19" s="600" t="inlineStr">
        <x:is>
          <x:t xml:space="preserve">6162cc21c12200371af6</x:t>
        </x:is>
      </x:c>
      <x:c r="AQ19" s="600" t="n">
        <x:v>-0.5</x:v>
      </x:c>
      <x:c r="AR19" s="600" t="n">
        <x:v>1.04</x:v>
      </x:c>
      <x:c r="AS19" s="600" t="n">
        <x:v>0.5</x:v>
      </x:c>
      <x:c r="AT19" s="600" t="n">
        <x:v>-0.5</x:v>
      </x:c>
      <x:c r="AU19" s="600" t="n">
        <x:v>0.84</x:v>
      </x:c>
      <x:c r="AV19" s="600" t="n">
        <x:v>1.04</x:v>
      </x:c>
      <x:c r="AW19" s="595" t="n">
        <x:v>46278.23339170139</x:v>
      </x:c>
      <x:c r="AX19" s="595" t="inlineStr">
        <x:is>
          <x:t xml:space="preserve">https://simondongxiao.github.io/odds/v4/</x:t>
        </x:is>
      </x:c>
      <x:c r="AY19" s="595" t="inlineStr">
        <x:is>
          <x:t xml:space="preserve">V4 Shadow Only；real_money=false；P(EV&gt;0)不是比赛胜率</x:t>
        </x:is>
      </x:c>
    </x:row>
    <x:row r="20" ht="22" customHeight="1">
      <x:c r="A20" s="595" t="inlineStr">
        <x:is>
          <x:t xml:space="preserve">2026-09-13</x:t>
        </x:is>
      </x:c>
      <x:c r="B20" s="595" t="inlineStr">
        <x:is>
          <x:t xml:space="preserve">2026-09-14 00:30</x:t>
        </x:is>
      </x:c>
      <x:c r="C20" s="595" t="str">
        <x:v>欧洲非五大系列</x:v>
      </x:c>
      <x:c r="D20" s="595" t="inlineStr">
        <x:is>
          <x:t xml:space="preserve">联赛</x:t>
        </x:is>
      </x:c>
      <x:c r="E20" s="595" t="inlineStr">
        <x:is>
          <x:t xml:space="preserve">俄超</x:t>
        </x:is>
      </x:c>
      <x:c r="F20" s="595" t="inlineStr">
        <x:is>
          <x:t xml:space="preserve">克拉斯诺达尔 vs 阿克伦陶里亚蒂</x:t>
        </x:is>
      </x:c>
      <x:c r="G20" s="596" t="n">
        <x:v>0.98</x:v>
      </x:c>
      <x:c r="H20" s="596" t="n">
        <x:v>1.75</x:v>
      </x:c>
      <x:c r="I20" s="596" t="n">
        <x:v>0.9</x:v>
      </x:c>
      <x:c r="J20" s="596" t="inlineStr">
        <x:is>
          <x:t xml:space="preserve">0.98/1.75/0.90</x:t>
        </x:is>
      </x:c>
      <x:c r="K20" s="595" t="inlineStr">
        <x:is>
          <x:t xml:space="preserve">V4-C｜EV +0.0480</x:t>
        </x:is>
      </x:c>
      <x:c r="L20" s="595" t="inlineStr">
        <x:is>
          <x:t xml:space="preserve">克拉斯诺达尔</x:t>
        </x:is>
      </x:c>
      <x:c r="M20" s="597" t="n">
        <x:v>0.5333333333333333</x:v>
      </x:c>
      <x:c r="N20" s="595" t="inlineStr">
        <x:is>
          <x:t xml:space="preserve">V4纸面入选-C</x:t>
        </x:is>
      </x:c>
      <x:c r="O20" s="595" t="inlineStr">
        <x:is>
          <x:t xml:space="preserve">1-1</x:t>
        </x:is>
      </x:c>
      <x:c r="P20" s="595" t="inlineStr">
        <x:is>
          <x:t xml:space="preserve">已结算</x:t>
        </x:is>
      </x:c>
      <x:c r="Q20" s="641" t="inlineStr">
        <x:is>
          <x:t xml:space="preserve">黑</x:t>
        </x:is>
      </x:c>
      <x:c r="R20" s="599" t="n">
        <x:v>0.98</x:v>
      </x:c>
      <x:c r="S20" s="599" t="n">
        <x:f>IF(OR(Q20="",Q20="待结算"),"",IF(Q20="红",R20,IF(Q20="半红",R20*0.5,IF(Q20="走",0,IF(Q20="半黑",-0.5,-1)))))</x:f>
        <x:v>-1</x:v>
      </x:c>
      <x:c r="T20" s="595" t="inlineStr">
        <x:is>
          <x:t xml:space="preserve">https://m.titan007.com/analy/Analysis/3012295.htm</x:t>
        </x:is>
      </x:c>
      <x:c r="U20" s="640" t="str">
        <x:f>IF(Q20="","",IF(Q20="待结算","待结算",IF(Q20="红","黑",IF(Q20="半红","半黑",IF(Q20="走","走",IF(Q20="半黑","半红","红"))))))</x:f>
        <x:v>红</x:v>
      </x:c>
      <x:c r="V20" s="599" t="n">
        <x:f>IF(OR(Q20="",Q20="待结算"),"",IF(L20=LEFT(F20,FIND(" vs ",F20)-1),I20,G20))</x:f>
        <x:v>0.9</x:v>
      </x:c>
      <x:c r="W20" s="599" t="n">
        <x:f>IF(OR(U20="",U20="待结算"),"",IF(U20="红",V20,IF(U20="半红",V20*0.5,IF(U20="走",0,IF(U20="半黑",-0.5,-1)))))</x:f>
        <x:v>0.9</x:v>
      </x:c>
      <x:c r="X20" s="595" t="inlineStr">
        <x:is>
          <x:t xml:space="preserve">3012295</x:t>
        </x:is>
      </x:c>
      <x:c r="Y20" s="595" t="inlineStr">
        <x:is>
          <x:t xml:space="preserve">v4-market-dirichlet-20260913</x:t>
        </x:is>
      </x:c>
      <x:c r="Z20" s="595" t="inlineStr">
        <x:is>
          <x:t xml:space="preserve">prior-2026-09-13-v1</x:t>
        </x:is>
      </x:c>
      <x:c r="AA20" s="595" t="inlineStr">
        <x:is>
          <x:t xml:space="preserve">C</x:t>
        </x:is>
      </x:c>
      <x:c r="AB20" s="600" t="n">
        <x:v>0.3142857142857143</x:v>
      </x:c>
      <x:c r="AC20" s="600" t="n">
        <x:v>0.2857142857142857</x:v>
      </x:c>
      <x:c r="AD20" s="600" t="n">
        <x:v>0</x:v>
      </x:c>
      <x:c r="AE20" s="600" t="n">
        <x:v>0</x:v>
      </x:c>
      <x:c r="AF20" s="600" t="n">
        <x:v>0.4</x:v>
      </x:c>
      <x:c r="AG20" s="600" t="n">
        <x:v>0.04799999999999993</x:v>
      </x:c>
      <x:c r="AH20" s="600" t="n">
        <x:v>-0.206028384836661</x:v>
      </x:c>
      <x:c r="AI20" s="600" t="n">
        <x:v>-0.149657954327668</x:v>
      </x:c>
      <x:c r="AJ20" s="600" t="n">
        <x:v>0.04731360164771242</x:v>
      </x:c>
      <x:c r="AK20" s="600" t="n">
        <x:v>0.2350038732794576</x:v>
      </x:c>
      <x:c r="AL20" s="600" t="n">
        <x:v>0.2844426495928709</x:v>
      </x:c>
      <x:c r="AM20" s="600" t="n">
        <x:v>0.6264</x:v>
      </x:c>
      <x:c r="AN20" s="595" t="inlineStr">
        <x:is>
          <x:t xml:space="preserve">EVALUATED</x:t>
        </x:is>
      </x:c>
      <x:c r="AO20" s="600" t="inlineStr">
        <x:is>
          <x:t xml:space="preserve">BUCKET_1.75</x:t>
        </x:is>
      </x:c>
      <x:c r="AP20" s="600" t="inlineStr">
        <x:is>
          <x:t xml:space="preserve">1853de08e08d6e43c7a5</x:t>
        </x:is>
      </x:c>
      <x:c r="AQ20" s="600" t="n">
        <x:v>-1.75</x:v>
      </x:c>
      <x:c r="AR20" s="600" t="n">
        <x:v>0.98</x:v>
      </x:c>
      <x:c r="AS20" s="600" t="n">
        <x:v>-1.75</x:v>
      </x:c>
      <x:c r="AT20" s="600" t="n">
        <x:v>1.75</x:v>
      </x:c>
      <x:c r="AU20" s="600" t="n">
        <x:v>0.98</x:v>
      </x:c>
      <x:c r="AV20" s="600" t="n">
        <x:v>0.9</x:v>
      </x:c>
      <x:c r="AW20" s="595" t="n">
        <x:v>46278.23339170139</x:v>
      </x:c>
      <x:c r="AX20" s="595" t="inlineStr">
        <x:is>
          <x:t xml:space="preserve">https://simondongxiao.github.io/odds/v4/</x:t>
        </x:is>
      </x:c>
      <x:c r="AY20" s="595" t="inlineStr">
        <x:is>
          <x:t xml:space="preserve">V4 Shadow Only；real_money=false；P(EV&gt;0)不是比赛胜率</x:t>
        </x:is>
      </x:c>
    </x:row>
    <x:row r="21" ht="22" customHeight="1">
      <x:c r="A21" s="595" t="inlineStr">
        <x:is>
          <x:t xml:space="preserve">2026-09-13</x:t>
        </x:is>
      </x:c>
      <x:c r="B21" s="595" t="inlineStr">
        <x:is>
          <x:t xml:space="preserve">2026-09-14 00:30</x:t>
        </x:is>
      </x:c>
      <x:c r="C21" s="595" t="str">
        <x:v>欧洲五大系列</x:v>
      </x:c>
      <x:c r="D21" s="595" t="inlineStr">
        <x:is>
          <x:t xml:space="preserve">联赛</x:t>
        </x:is>
      </x:c>
      <x:c r="E21" s="595" t="inlineStr">
        <x:is>
          <x:t xml:space="preserve">西甲</x:t>
        </x:is>
      </x:c>
      <x:c r="F21" s="595" t="inlineStr">
        <x:is>
          <x:t xml:space="preserve">赫塔菲 vs 拉科鲁尼亚</x:t>
        </x:is>
      </x:c>
      <x:c r="G21" s="596" t="n">
        <x:v>1.03</x:v>
      </x:c>
      <x:c r="H21" s="596" t="n">
        <x:v>0.25</x:v>
      </x:c>
      <x:c r="I21" s="596" t="n">
        <x:v>0.85</x:v>
      </x:c>
      <x:c r="J21" s="596" t="inlineStr">
        <x:is>
          <x:t xml:space="preserve">1.03/0.25/0.85</x:t>
        </x:is>
      </x:c>
      <x:c r="K21" s="595" t="inlineStr">
        <x:is>
          <x:t xml:space="preserve">V4-C｜EV +0.0110</x:t>
        </x:is>
      </x:c>
      <x:c r="L21" s="595" t="inlineStr">
        <x:is>
          <x:t xml:space="preserve">赫塔菲</x:t>
        </x:is>
      </x:c>
      <x:c r="M21" s="597" t="n">
        <x:v>0.4989775051124744</x:v>
      </x:c>
      <x:c r="N21" s="595" t="inlineStr">
        <x:is>
          <x:t xml:space="preserve">V4纸面入选-C</x:t>
        </x:is>
      </x:c>
      <x:c r="O21" s="595" t="inlineStr">
        <x:is>
          <x:t xml:space="preserve">1-1</x:t>
        </x:is>
      </x:c>
      <x:c r="P21" s="595" t="inlineStr">
        <x:is>
          <x:t xml:space="preserve">已结算</x:t>
        </x:is>
      </x:c>
      <x:c r="Q21" s="643" t="inlineStr">
        <x:is>
          <x:t xml:space="preserve">半黑</x:t>
        </x:is>
      </x:c>
      <x:c r="R21" s="599" t="n">
        <x:v>1.03</x:v>
      </x:c>
      <x:c r="S21" s="599" t="n">
        <x:f>IF(OR(Q21="",Q21="待结算"),"",IF(Q21="红",R21,IF(Q21="半红",R21*0.5,IF(Q21="走",0,IF(Q21="半黑",-0.5,-1)))))</x:f>
        <x:v>-0.5</x:v>
      </x:c>
      <x:c r="T21" s="595" t="inlineStr">
        <x:is>
          <x:t xml:space="preserve">https://m.titan007.com/analy/Analysis/3013684.htm</x:t>
        </x:is>
      </x:c>
      <x:c r="U21" s="642" t="str">
        <x:f>IF(Q21="","",IF(Q21="待结算","待结算",IF(Q21="红","黑",IF(Q21="半红","半黑",IF(Q21="走","走",IF(Q21="半黑","半红","红"))))))</x:f>
        <x:v>半红</x:v>
      </x:c>
      <x:c r="V21" s="599" t="n">
        <x:f>IF(OR(Q21="",Q21="待结算"),"",IF(L21=LEFT(F21,FIND(" vs ",F21)-1),I21,G21))</x:f>
        <x:v>0.85</x:v>
      </x:c>
      <x:c r="W21" s="599" t="n">
        <x:f>IF(OR(U21="",U21="待结算"),"",IF(U21="红",V21,IF(U21="半红",V21*0.5,IF(U21="走",0,IF(U21="半黑",-0.5,-1)))))</x:f>
        <x:v>0.425</x:v>
      </x:c>
      <x:c r="X21" s="595" t="inlineStr">
        <x:is>
          <x:t xml:space="preserve">3013684</x:t>
        </x:is>
      </x:c>
      <x:c r="Y21" s="595" t="inlineStr">
        <x:is>
          <x:t xml:space="preserve">v4-market-dirichlet-20260913</x:t>
        </x:is>
      </x:c>
      <x:c r="Z21" s="595" t="inlineStr">
        <x:is>
          <x:t xml:space="preserve">prior-2026-09-13-v1</x:t>
        </x:is>
      </x:c>
      <x:c r="AA21" s="595" t="inlineStr">
        <x:is>
          <x:t xml:space="preserve">C</x:t>
        </x:is>
      </x:c>
      <x:c r="AB21" s="600" t="n">
        <x:v>0.4236111111111111</x:v>
      </x:c>
      <x:c r="AC21" s="600" t="n">
        <x:v>0</x:v>
      </x:c>
      <x:c r="AD21" s="600" t="n">
        <x:v>0</x:v>
      </x:c>
      <x:c r="AE21" s="600" t="n">
        <x:v>0.3020833333333333</x:v>
      </x:c>
      <x:c r="AF21" s="600" t="n">
        <x:v>0.2743055555555556</x:v>
      </x:c>
      <x:c r="AG21" s="600" t="n">
        <x:v>0.01097222222222216</x:v>
      </x:c>
      <x:c r="AH21" s="600" t="n">
        <x:v>-0.07629483741165388</x:v>
      </x:c>
      <x:c r="AI21" s="600" t="n">
        <x:v>-0.05604372048096629</x:v>
      </x:c>
      <x:c r="AJ21" s="600" t="n">
        <x:v>0.01078951078172147</x:v>
      </x:c>
      <x:c r="AK21" s="600" t="n">
        <x:v>0.07656206481034319</x:v>
      </x:c>
      <x:c r="AL21" s="600" t="n">
        <x:v>0.09692591724963243</x:v>
      </x:c>
      <x:c r="AM21" s="600" t="n">
        <x:v>0.5834</x:v>
      </x:c>
      <x:c r="AN21" s="595" t="inlineStr">
        <x:is>
          <x:t xml:space="preserve">EVALUATED</x:t>
        </x:is>
      </x:c>
      <x:c r="AO21" s="600" t="inlineStr">
        <x:is>
          <x:t xml:space="preserve">BUCKET_0.25</x:t>
        </x:is>
      </x:c>
      <x:c r="AP21" s="600" t="inlineStr">
        <x:is>
          <x:t xml:space="preserve">03b3db08cb0e09a9a838</x:t>
        </x:is>
      </x:c>
      <x:c r="AQ21" s="600" t="n">
        <x:v>-0.25</x:v>
      </x:c>
      <x:c r="AR21" s="600" t="n">
        <x:v>1.03</x:v>
      </x:c>
      <x:c r="AS21" s="600" t="n">
        <x:v>-0.25</x:v>
      </x:c>
      <x:c r="AT21" s="600" t="n">
        <x:v>0.25</x:v>
      </x:c>
      <x:c r="AU21" s="600" t="n">
        <x:v>1.03</x:v>
      </x:c>
      <x:c r="AV21" s="600" t="n">
        <x:v>0.85</x:v>
      </x:c>
      <x:c r="AW21" s="595" t="n">
        <x:v>46278.23339170139</x:v>
      </x:c>
      <x:c r="AX21" s="595" t="inlineStr">
        <x:is>
          <x:t xml:space="preserve">https://simondongxiao.github.io/odds/v4/</x:t>
        </x:is>
      </x:c>
      <x:c r="AY21" s="595" t="inlineStr">
        <x:is>
          <x:t xml:space="preserve">V4 Shadow Only；real_money=false；P(EV&gt;0)不是比赛胜率</x:t>
        </x:is>
      </x:c>
    </x:row>
    <x:row r="22" ht="22" customHeight="1">
      <x:c r="A22" s="595" t="inlineStr">
        <x:is>
          <x:t xml:space="preserve">2026-09-13</x:t>
        </x:is>
      </x:c>
      <x:c r="B22" s="595" t="inlineStr">
        <x:is>
          <x:t xml:space="preserve">2026-09-14 01:00</x:t>
        </x:is>
      </x:c>
      <x:c r="C22" s="595" t="str">
        <x:v>欧洲非五大系列</x:v>
      </x:c>
      <x:c r="D22" s="595" t="inlineStr">
        <x:is>
          <x:t xml:space="preserve">联赛</x:t>
        </x:is>
      </x:c>
      <x:c r="E22" s="595" t="inlineStr">
        <x:is>
          <x:t xml:space="preserve">土超</x:t>
        </x:is>
      </x:c>
      <x:c r="F22" s="595" t="inlineStr">
        <x:is>
          <x:t xml:space="preserve">加拉塔萨雷 vs 科贾埃利体育</x:t>
        </x:is>
      </x:c>
      <x:c r="G22" s="596" t="n">
        <x:v>0.93</x:v>
      </x:c>
      <x:c r="H22" s="596" t="n">
        <x:v>1.5</x:v>
      </x:c>
      <x:c r="I22" s="596" t="n">
        <x:v>0.95</x:v>
      </x:c>
      <x:c r="J22" s="596" t="inlineStr">
        <x:is>
          <x:t xml:space="preserve">0.93/1.5/0.95</x:t>
        </x:is>
      </x:c>
      <x:c r="K22" s="595" t="inlineStr">
        <x:is>
          <x:t xml:space="preserve">V4-C｜EV +0.1459</x:t>
        </x:is>
      </x:c>
      <x:c r="L22" s="595" t="inlineStr">
        <x:is>
          <x:t xml:space="preserve">加拉塔萨雷</x:t>
        </x:is>
      </x:c>
      <x:c r="M22" s="597" t="n">
        <x:v>0.59375</x:v>
      </x:c>
      <x:c r="N22" s="595" t="inlineStr">
        <x:is>
          <x:t xml:space="preserve">V4纸面入选-C</x:t>
        </x:is>
      </x:c>
      <x:c r="O22" s="595" t="inlineStr">
        <x:is>
          <x:t xml:space="preserve">1-0</x:t>
        </x:is>
      </x:c>
      <x:c r="P22" s="595" t="inlineStr">
        <x:is>
          <x:t xml:space="preserve">已结算</x:t>
        </x:is>
      </x:c>
      <x:c r="Q22" s="641" t="inlineStr">
        <x:is>
          <x:t xml:space="preserve">黑</x:t>
        </x:is>
      </x:c>
      <x:c r="R22" s="599" t="n">
        <x:v>0.93</x:v>
      </x:c>
      <x:c r="S22" s="599" t="n">
        <x:f>IF(OR(Q22="",Q22="待结算"),"",IF(Q22="红",R22,IF(Q22="半红",R22*0.5,IF(Q22="走",0,IF(Q22="半黑",-0.5,-1)))))</x:f>
        <x:v>-1</x:v>
      </x:c>
      <x:c r="T22" s="595" t="inlineStr">
        <x:is>
          <x:t xml:space="preserve">https://m.titan007.com/analy/Analysis/3026728.htm</x:t>
        </x:is>
      </x:c>
      <x:c r="U22" s="640" t="str">
        <x:f>IF(Q22="","",IF(Q22="待结算","待结算",IF(Q22="红","黑",IF(Q22="半红","半黑",IF(Q22="走","走",IF(Q22="半黑","半红","红"))))))</x:f>
        <x:v>红</x:v>
      </x:c>
      <x:c r="V22" s="599" t="n">
        <x:f>IF(OR(Q22="",Q22="待结算"),"",IF(L22=LEFT(F22,FIND(" vs ",F22)-1),I22,G22))</x:f>
        <x:v>0.95</x:v>
      </x:c>
      <x:c r="W22" s="599" t="n">
        <x:f>IF(OR(U22="",U22="待结算"),"",IF(U22="红",V22,IF(U22="半红",V22*0.5,IF(U22="走",0,IF(U22="半黑",-0.5,-1)))))</x:f>
        <x:v>0.95</x:v>
      </x:c>
      <x:c r="X22" s="595" t="inlineStr">
        <x:is>
          <x:t xml:space="preserve">3026728</x:t>
        </x:is>
      </x:c>
      <x:c r="Y22" s="595" t="inlineStr">
        <x:is>
          <x:t xml:space="preserve">v4-market-dirichlet-20260913</x:t>
        </x:is>
      </x:c>
      <x:c r="Z22" s="595" t="inlineStr">
        <x:is>
          <x:t xml:space="preserve">prior-2026-09-13-v1</x:t>
        </x:is>
      </x:c>
      <x:c r="AA22" s="595" t="inlineStr">
        <x:is>
          <x:t xml:space="preserve">C</x:t>
        </x:is>
      </x:c>
      <x:c r="AB22" s="600" t="n">
        <x:v>0.59375</x:v>
      </x:c>
      <x:c r="AC22" s="600" t="n">
        <x:v>0</x:v>
      </x:c>
      <x:c r="AD22" s="600" t="n">
        <x:v>0</x:v>
      </x:c>
      <x:c r="AE22" s="600" t="n">
        <x:v>0</x:v>
      </x:c>
      <x:c r="AF22" s="600" t="n">
        <x:v>0.40625</x:v>
      </x:c>
      <x:c r="AG22" s="600" t="n">
        <x:v>0.1459375000000001</x:v>
      </x:c>
      <x:c r="AH22" s="600" t="n">
        <x:v>-0.1364794037886655</x:v>
      </x:c>
      <x:c r="AI22" s="600" t="n">
        <x:v>-0.0693916184837528</x:v>
      </x:c>
      <x:c r="AJ22" s="600" t="n">
        <x:v>0.1526043095732109</x:v>
      </x:c>
      <x:c r="AK22" s="600" t="n">
        <x:v>0.3556881555668114</x:v>
      </x:c>
      <x:c r="AL22" s="600" t="n">
        <x:v>0.4188095295265642</x:v>
      </x:c>
      <x:c r="AM22" s="600" t="n">
        <x:v>0.8104</x:v>
      </x:c>
      <x:c r="AN22" s="595" t="inlineStr">
        <x:is>
          <x:t xml:space="preserve">EVALUATED</x:t>
        </x:is>
      </x:c>
      <x:c r="AO22" s="600" t="inlineStr">
        <x:is>
          <x:t xml:space="preserve">BUCKET_1.50</x:t>
        </x:is>
      </x:c>
      <x:c r="AP22" s="600" t="inlineStr">
        <x:is>
          <x:t xml:space="preserve">23fc9114d8b3e95643e7</x:t>
        </x:is>
      </x:c>
      <x:c r="AQ22" s="600" t="n">
        <x:v>-1.5</x:v>
      </x:c>
      <x:c r="AR22" s="600" t="n">
        <x:v>0.93</x:v>
      </x:c>
      <x:c r="AS22" s="600" t="n">
        <x:v>-1.5</x:v>
      </x:c>
      <x:c r="AT22" s="600" t="n">
        <x:v>1.5</x:v>
      </x:c>
      <x:c r="AU22" s="600" t="n">
        <x:v>0.93</x:v>
      </x:c>
      <x:c r="AV22" s="600" t="n">
        <x:v>0.95</x:v>
      </x:c>
      <x:c r="AW22" s="595" t="n">
        <x:v>46278.23339170139</x:v>
      </x:c>
      <x:c r="AX22" s="595" t="inlineStr">
        <x:is>
          <x:t xml:space="preserve">https://simondongxiao.github.io/odds/v4/</x:t>
        </x:is>
      </x:c>
      <x:c r="AY22" s="595" t="inlineStr">
        <x:is>
          <x:t xml:space="preserve">V4 Shadow Only；real_money=false；P(EV&gt;0)不是比赛胜率</x:t>
        </x:is>
      </x:c>
    </x:row>
    <x:row r="23" ht="22" customHeight="1">
      <x:c r="A23" s="595" t="inlineStr">
        <x:is>
          <x:t xml:space="preserve">2026-09-13</x:t>
        </x:is>
      </x:c>
      <x:c r="B23" s="595" t="inlineStr">
        <x:is>
          <x:t xml:space="preserve">2026-09-14 01:00</x:t>
        </x:is>
      </x:c>
      <x:c r="C23" s="595" t="str">
        <x:v>欧洲非五大系列</x:v>
      </x:c>
      <x:c r="D23" s="595" t="inlineStr">
        <x:is>
          <x:t xml:space="preserve">联赛</x:t>
        </x:is>
      </x:c>
      <x:c r="E23" s="595" t="inlineStr">
        <x:is>
          <x:t xml:space="preserve">葡超</x:t>
        </x:is>
      </x:c>
      <x:c r="F23" s="595" t="inlineStr">
        <x:is>
          <x:t xml:space="preserve">本菲卡 vs 吉维森特</x:t>
        </x:is>
      </x:c>
      <x:c r="G23" s="596" t="n">
        <x:v>1.02</x:v>
      </x:c>
      <x:c r="H23" s="596" t="n">
        <x:v>2.25</x:v>
      </x:c>
      <x:c r="I23" s="596" t="n">
        <x:v>0.86</x:v>
      </x:c>
      <x:c r="J23" s="596" t="inlineStr">
        <x:is>
          <x:t xml:space="preserve">1.02/2.25/0.86</x:t>
        </x:is>
      </x:c>
      <x:c r="K23" s="595" t="inlineStr">
        <x:is>
          <x:t xml:space="preserve">V4-C｜EV +0.1211</x:t>
        </x:is>
      </x:c>
      <x:c r="L23" s="595" t="inlineStr">
        <x:is>
          <x:t xml:space="preserve">本菲卡</x:t>
        </x:is>
      </x:c>
      <x:c r="M23" s="597" t="n">
        <x:v>0.5625</x:v>
      </x:c>
      <x:c r="N23" s="595" t="inlineStr">
        <x:is>
          <x:t xml:space="preserve">V4纸面入选-C</x:t>
        </x:is>
      </x:c>
      <x:c r="O23" s="595" t="inlineStr">
        <x:is>
          <x:t xml:space="preserve">3-1</x:t>
        </x:is>
      </x:c>
      <x:c r="P23" s="595" t="inlineStr">
        <x:is>
          <x:t xml:space="preserve">已结算</x:t>
        </x:is>
      </x:c>
      <x:c r="Q23" s="643" t="inlineStr">
        <x:is>
          <x:t xml:space="preserve">半黑</x:t>
        </x:is>
      </x:c>
      <x:c r="R23" s="599" t="n">
        <x:v>1.02</x:v>
      </x:c>
      <x:c r="S23" s="599" t="n">
        <x:f>IF(OR(Q23="",Q23="待结算"),"",IF(Q23="红",R23,IF(Q23="半红",R23*0.5,IF(Q23="走",0,IF(Q23="半黑",-0.5,-1)))))</x:f>
        <x:v>-0.5</x:v>
      </x:c>
      <x:c r="T23" s="595" t="inlineStr">
        <x:is>
          <x:t xml:space="preserve">https://m.titan007.com/analy/Analysis/3023478.htm</x:t>
        </x:is>
      </x:c>
      <x:c r="U23" s="642" t="str">
        <x:f>IF(Q23="","",IF(Q23="待结算","待结算",IF(Q23="红","黑",IF(Q23="半红","半黑",IF(Q23="走","走",IF(Q23="半黑","半红","红"))))))</x:f>
        <x:v>半红</x:v>
      </x:c>
      <x:c r="V23" s="599" t="n">
        <x:f>IF(OR(Q23="",Q23="待结算"),"",IF(L23=LEFT(F23,FIND(" vs ",F23)-1),I23,G23))</x:f>
        <x:v>0.86</x:v>
      </x:c>
      <x:c r="W23" s="599" t="n">
        <x:f>IF(OR(U23="",U23="待结算"),"",IF(U23="红",V23,IF(U23="半红",V23*0.5,IF(U23="走",0,IF(U23="半黑",-0.5,-1)))))</x:f>
        <x:v>0.43</x:v>
      </x:c>
      <x:c r="X23" s="595" t="inlineStr">
        <x:is>
          <x:t xml:space="preserve">3023478</x:t>
        </x:is>
      </x:c>
      <x:c r="Y23" s="595" t="inlineStr">
        <x:is>
          <x:t xml:space="preserve">v4-market-dirichlet-20260913</x:t>
        </x:is>
      </x:c>
      <x:c r="Z23" s="595" t="inlineStr">
        <x:is>
          <x:t xml:space="preserve">prior-2026-09-13-v1</x:t>
        </x:is>
      </x:c>
      <x:c r="AA23" s="595" t="inlineStr">
        <x:is>
          <x:t xml:space="preserve">C</x:t>
        </x:is>
      </x:c>
      <x:c r="AB23" s="600" t="n">
        <x:v>0.5</x:v>
      </x:c>
      <x:c r="AC23" s="600" t="n">
        <x:v>0</x:v>
      </x:c>
      <x:c r="AD23" s="600" t="n">
        <x:v>0</x:v>
      </x:c>
      <x:c r="AE23" s="600" t="n">
        <x:v>0.2222222222222222</x:v>
      </x:c>
      <x:c r="AF23" s="600" t="n">
        <x:v>0.2777777777777778</x:v>
      </x:c>
      <x:c r="AG23" s="600" t="n">
        <x:v>0.1211111111111111</x:v>
      </x:c>
      <x:c r="AH23" s="600" t="n">
        <x:v>-0.2268106495385133</x:v>
      </x:c>
      <x:c r="AI23" s="600" t="n">
        <x:v>-0.1513210673778221</x:v>
      </x:c>
      <x:c r="AJ23" s="600" t="n">
        <x:v>0.1301407819173886</x:v>
      </x:c>
      <x:c r="AK23" s="600" t="n">
        <x:v>0.4005089995620656</x:v>
      </x:c>
      <x:c r="AL23" s="600" t="n">
        <x:v>0.4608954194999011</x:v>
      </x:c>
      <x:c r="AM23" s="600" t="n">
        <x:v>0.719</x:v>
      </x:c>
      <x:c r="AN23" s="595" t="inlineStr">
        <x:is>
          <x:t xml:space="preserve">EVALUATED</x:t>
        </x:is>
      </x:c>
      <x:c r="AO23" s="600" t="inlineStr">
        <x:is>
          <x:t xml:space="preserve">BUCKET_2.25</x:t>
        </x:is>
      </x:c>
      <x:c r="AP23" s="600" t="inlineStr">
        <x:is>
          <x:t xml:space="preserve">0b0e4b586ae67005e85e</x:t>
        </x:is>
      </x:c>
      <x:c r="AQ23" s="600" t="n">
        <x:v>-2.25</x:v>
      </x:c>
      <x:c r="AR23" s="600" t="n">
        <x:v>1.02</x:v>
      </x:c>
      <x:c r="AS23" s="600" t="n">
        <x:v>-2.25</x:v>
      </x:c>
      <x:c r="AT23" s="600" t="n">
        <x:v>2.25</x:v>
      </x:c>
      <x:c r="AU23" s="600" t="n">
        <x:v>1.02</x:v>
      </x:c>
      <x:c r="AV23" s="600" t="n">
        <x:v>0.86</x:v>
      </x:c>
      <x:c r="AW23" s="595" t="n">
        <x:v>46278.23339170139</x:v>
      </x:c>
      <x:c r="AX23" s="595" t="inlineStr">
        <x:is>
          <x:t xml:space="preserve">https://simondongxiao.github.io/odds/v4/</x:t>
        </x:is>
      </x:c>
      <x:c r="AY23" s="595" t="inlineStr">
        <x:is>
          <x:t xml:space="preserve">V4 Shadow Only；real_money=false；P(EV&gt;0)不是比赛胜率</x:t>
        </x:is>
      </x:c>
    </x:row>
    <x:row r="24" ht="22" customHeight="1">
      <x:c r="A24" s="595" t="inlineStr">
        <x:is>
          <x:t xml:space="preserve">2026-09-13</x:t>
        </x:is>
      </x:c>
      <x:c r="B24" s="595" t="inlineStr">
        <x:is>
          <x:t xml:space="preserve">2026-09-14 01:15</x:t>
        </x:is>
      </x:c>
      <x:c r="C24" s="595" t="str">
        <x:v>欧洲非五大系列</x:v>
      </x:c>
      <x:c r="D24" s="595" t="inlineStr">
        <x:is>
          <x:t xml:space="preserve">联赛</x:t>
        </x:is>
      </x:c>
      <x:c r="E24" s="595" t="inlineStr">
        <x:is>
          <x:t xml:space="preserve">比乙</x:t>
        </x:is>
      </x:c>
      <x:c r="F24" s="595" t="inlineStr">
        <x:is>
          <x:t xml:space="preserve">艾斯登 vs 欧本</x:t>
        </x:is>
      </x:c>
      <x:c r="G24" s="596" t="n">
        <x:v>1.01</x:v>
      </x:c>
      <x:c r="H24" s="596" t="n">
        <x:v>0.25</x:v>
      </x:c>
      <x:c r="I24" s="596" t="n">
        <x:v>0.75</x:v>
      </x:c>
      <x:c r="J24" s="596" t="inlineStr">
        <x:is>
          <x:t xml:space="preserve">1.01/0.25/0.75</x:t>
        </x:is>
      </x:c>
      <x:c r="K24" s="595" t="inlineStr">
        <x:is>
          <x:t xml:space="preserve">V4-C｜EV +0.0025</x:t>
        </x:is>
      </x:c>
      <x:c r="L24" s="595" t="inlineStr">
        <x:is>
          <x:t xml:space="preserve">艾斯登</x:t>
        </x:is>
      </x:c>
      <x:c r="M24" s="597" t="n">
        <x:v>0.4989775051124744</x:v>
      </x:c>
      <x:c r="N24" s="595" t="inlineStr">
        <x:is>
          <x:t xml:space="preserve">V4纸面入选-C</x:t>
        </x:is>
      </x:c>
      <x:c r="O24" s="595" t="inlineStr">
        <x:is>
          <x:t xml:space="preserve">1-2</x:t>
        </x:is>
      </x:c>
      <x:c r="P24" s="595" t="inlineStr">
        <x:is>
          <x:t xml:space="preserve">已结算</x:t>
        </x:is>
      </x:c>
      <x:c r="Q24" s="641" t="inlineStr">
        <x:is>
          <x:t xml:space="preserve">黑</x:t>
        </x:is>
      </x:c>
      <x:c r="R24" s="599" t="n">
        <x:v>1.01</x:v>
      </x:c>
      <x:c r="S24" s="599" t="n">
        <x:f>IF(OR(Q24="",Q24="待结算"),"",IF(Q24="红",R24,IF(Q24="半红",R24*0.5,IF(Q24="走",0,IF(Q24="半黑",-0.5,-1)))))</x:f>
        <x:v>-1</x:v>
      </x:c>
      <x:c r="T24" s="595" t="inlineStr">
        <x:is>
          <x:t xml:space="preserve">https://m.titan007.com/analy/Analysis/3005391.htm</x:t>
        </x:is>
      </x:c>
      <x:c r="U24" s="640" t="str">
        <x:f>IF(Q24="","",IF(Q24="待结算","待结算",IF(Q24="红","黑",IF(Q24="半红","半黑",IF(Q24="走","走",IF(Q24="半黑","半红","红"))))))</x:f>
        <x:v>红</x:v>
      </x:c>
      <x:c r="V24" s="599" t="n">
        <x:f>IF(OR(Q24="",Q24="待结算"),"",IF(L24=LEFT(F24,FIND(" vs ",F24)-1),I24,G24))</x:f>
        <x:v>0.75</x:v>
      </x:c>
      <x:c r="W24" s="599" t="n">
        <x:f>IF(OR(U24="",U24="待结算"),"",IF(U24="红",V24,IF(U24="半红",V24*0.5,IF(U24="走",0,IF(U24="半黑",-0.5,-1)))))</x:f>
        <x:v>0.75</x:v>
      </x:c>
      <x:c r="X24" s="595" t="inlineStr">
        <x:is>
          <x:t xml:space="preserve">3005391</x:t>
        </x:is>
      </x:c>
      <x:c r="Y24" s="595" t="inlineStr">
        <x:is>
          <x:t xml:space="preserve">v4-market-dirichlet-20260913</x:t>
        </x:is>
      </x:c>
      <x:c r="Z24" s="595" t="inlineStr">
        <x:is>
          <x:t xml:space="preserve">prior-2026-09-13-v1</x:t>
        </x:is>
      </x:c>
      <x:c r="AA24" s="595" t="inlineStr">
        <x:is>
          <x:t xml:space="preserve">C</x:t>
        </x:is>
      </x:c>
      <x:c r="AB24" s="600" t="n">
        <x:v>0.4236111111111111</x:v>
      </x:c>
      <x:c r="AC24" s="600" t="n">
        <x:v>0</x:v>
      </x:c>
      <x:c r="AD24" s="600" t="n">
        <x:v>0</x:v>
      </x:c>
      <x:c r="AE24" s="600" t="n">
        <x:v>0.3020833333333333</x:v>
      </x:c>
      <x:c r="AF24" s="600" t="n">
        <x:v>0.2743055555555556</x:v>
      </x:c>
      <x:c r="AG24" s="600" t="n">
        <x:v>0.002499999999999947</x:v>
      </x:c>
      <x:c r="AH24" s="600" t="n">
        <x:v>-0.0858546834191235</x:v>
      </x:c>
      <x:c r="AI24" s="600" t="n">
        <x:v>-0.06705105852430007</x:v>
      </x:c>
      <x:c r="AJ24" s="600" t="n">
        <x:v>0.001476500347844412</x:v>
      </x:c>
      <x:c r="AK24" s="600" t="n">
        <x:v>0.06882653559030219</x:v>
      </x:c>
      <x:c r="AL24" s="600" t="n">
        <x:v>0.08950558755674787</x:v>
      </x:c>
      <x:c r="AM24" s="600" t="n">
        <x:v>0.5092</x:v>
      </x:c>
      <x:c r="AN24" s="595" t="inlineStr">
        <x:is>
          <x:t xml:space="preserve">EVALUATED</x:t>
        </x:is>
      </x:c>
      <x:c r="AO24" s="600" t="inlineStr">
        <x:is>
          <x:t xml:space="preserve">BUCKET_0.25</x:t>
        </x:is>
      </x:c>
      <x:c r="AP24" s="600" t="inlineStr">
        <x:is>
          <x:t xml:space="preserve">def534662d413dbf129e</x:t>
        </x:is>
      </x:c>
      <x:c r="AQ24" s="600" t="n">
        <x:v>-0.25</x:v>
      </x:c>
      <x:c r="AR24" s="600" t="n">
        <x:v>1.01</x:v>
      </x:c>
      <x:c r="AS24" s="600" t="n">
        <x:v>-0.25</x:v>
      </x:c>
      <x:c r="AT24" s="600" t="n">
        <x:v>0.25</x:v>
      </x:c>
      <x:c r="AU24" s="600" t="n">
        <x:v>1.01</x:v>
      </x:c>
      <x:c r="AV24" s="600" t="n">
        <x:v>0.75</x:v>
      </x:c>
      <x:c r="AW24" s="595" t="n">
        <x:v>46278.23339170139</x:v>
      </x:c>
      <x:c r="AX24" s="595" t="inlineStr">
        <x:is>
          <x:t xml:space="preserve">https://simondongxiao.github.io/odds/v4/</x:t>
        </x:is>
      </x:c>
      <x:c r="AY24" s="595" t="inlineStr">
        <x:is>
          <x:t xml:space="preserve">V4 Shadow Only；real_money=false；P(EV&gt;0)不是比赛胜率</x:t>
        </x:is>
      </x:c>
    </x:row>
    <x:row r="25" ht="22" customHeight="1">
      <x:c r="A25" s="595" t="inlineStr">
        <x:is>
          <x:t xml:space="preserve">2026-09-13</x:t>
        </x:is>
      </x:c>
      <x:c r="B25" s="595" t="inlineStr">
        <x:is>
          <x:t xml:space="preserve">2026-09-14 01:15</x:t>
        </x:is>
      </x:c>
      <x:c r="C25" s="595" t="str">
        <x:v>欧洲非五大系列</x:v>
      </x:c>
      <x:c r="D25" s="595" t="inlineStr">
        <x:is>
          <x:t xml:space="preserve">联赛</x:t>
        </x:is>
      </x:c>
      <x:c r="E25" s="595" t="inlineStr">
        <x:is>
          <x:t xml:space="preserve">比甲</x:t>
        </x:is>
      </x:c>
      <x:c r="F25" s="595" t="inlineStr">
        <x:is>
          <x:t xml:space="preserve">拉路维尔 vs 科特赖克</x:t>
        </x:is>
      </x:c>
      <x:c r="G25" s="596" t="n">
        <x:v>1.09</x:v>
      </x:c>
      <x:c r="H25" s="596" t="n">
        <x:v>0.25</x:v>
      </x:c>
      <x:c r="I25" s="596" t="n">
        <x:v>0.79</x:v>
      </x:c>
      <x:c r="J25" s="596" t="inlineStr">
        <x:is>
          <x:t xml:space="preserve">1.09/0.25/0.79</x:t>
        </x:is>
      </x:c>
      <x:c r="K25" s="595" t="inlineStr">
        <x:is>
          <x:t xml:space="preserve">V4-C｜EV +0.0364</x:t>
        </x:is>
      </x:c>
      <x:c r="L25" s="595" t="inlineStr">
        <x:is>
          <x:t xml:space="preserve">拉路维尔</x:t>
        </x:is>
      </x:c>
      <x:c r="M25" s="597" t="n">
        <x:v>0.4989775051124744</x:v>
      </x:c>
      <x:c r="N25" s="595" t="inlineStr">
        <x:is>
          <x:t xml:space="preserve">V4纸面入选-C</x:t>
        </x:is>
      </x:c>
      <x:c r="O25" s="595" t="inlineStr">
        <x:is>
          <x:t xml:space="preserve">3-0</x:t>
        </x:is>
      </x:c>
      <x:c r="P25" s="595" t="inlineStr">
        <x:is>
          <x:t xml:space="preserve">已结算</x:t>
        </x:is>
      </x:c>
      <x:c r="Q25" s="640" t="inlineStr">
        <x:is>
          <x:t xml:space="preserve">红</x:t>
        </x:is>
      </x:c>
      <x:c r="R25" s="599" t="n">
        <x:v>1.09</x:v>
      </x:c>
      <x:c r="S25" s="599" t="n">
        <x:f>IF(OR(Q25="",Q25="待结算"),"",IF(Q25="红",R25,IF(Q25="半红",R25*0.5,IF(Q25="走",0,IF(Q25="半黑",-0.5,-1)))))</x:f>
        <x:v>1.09</x:v>
      </x:c>
      <x:c r="T25" s="595" t="inlineStr">
        <x:is>
          <x:t xml:space="preserve">https://m.titan007.com/analy/Analysis/3003574.htm</x:t>
        </x:is>
      </x:c>
      <x:c r="U25" s="641" t="str">
        <x:f>IF(Q25="","",IF(Q25="待结算","待结算",IF(Q25="红","黑",IF(Q25="半红","半黑",IF(Q25="走","走",IF(Q25="半黑","半红","红"))))))</x:f>
        <x:v>黑</x:v>
      </x:c>
      <x:c r="V25" s="599" t="n">
        <x:f>IF(OR(Q25="",Q25="待结算"),"",IF(L25=LEFT(F25,FIND(" vs ",F25)-1),I25,G25))</x:f>
        <x:v>0.79</x:v>
      </x:c>
      <x:c r="W25" s="599" t="n">
        <x:f>IF(OR(U25="",U25="待结算"),"",IF(U25="红",V25,IF(U25="半红",V25*0.5,IF(U25="走",0,IF(U25="半黑",-0.5,-1)))))</x:f>
        <x:v>-1</x:v>
      </x:c>
      <x:c r="X25" s="595" t="inlineStr">
        <x:is>
          <x:t xml:space="preserve">3003574</x:t>
        </x:is>
      </x:c>
      <x:c r="Y25" s="595" t="inlineStr">
        <x:is>
          <x:t xml:space="preserve">v4-market-dirichlet-20260913</x:t>
        </x:is>
      </x:c>
      <x:c r="Z25" s="595" t="inlineStr">
        <x:is>
          <x:t xml:space="preserve">prior-2026-09-13-v1</x:t>
        </x:is>
      </x:c>
      <x:c r="AA25" s="595" t="inlineStr">
        <x:is>
          <x:t xml:space="preserve">C</x:t>
        </x:is>
      </x:c>
      <x:c r="AB25" s="600" t="n">
        <x:v>0.4236111111111111</x:v>
      </x:c>
      <x:c r="AC25" s="600" t="n">
        <x:v>0</x:v>
      </x:c>
      <x:c r="AD25" s="600" t="n">
        <x:v>0</x:v>
      </x:c>
      <x:c r="AE25" s="600" t="n">
        <x:v>0.3020833333333333</x:v>
      </x:c>
      <x:c r="AF25" s="600" t="n">
        <x:v>0.2743055555555556</x:v>
      </x:c>
      <x:c r="AG25" s="600" t="n">
        <x:v>0.03638888888888892</x:v>
      </x:c>
      <x:c r="AH25" s="600" t="n">
        <x:v>-0.05135033934347238</x:v>
      </x:c>
      <x:c r="AI25" s="600" t="n">
        <x:v>-0.03206816146125724</x:v>
      </x:c>
      <x:c r="AJ25" s="600" t="n">
        <x:v>0.03540316423613682</x:v>
      </x:c>
      <x:c r="AK25" s="600" t="n">
        <x:v>0.1041446252132432</x:v>
      </x:c>
      <x:c r="AL25" s="600" t="n">
        <x:v>0.122276917286369</x:v>
      </x:c>
      <x:c r="AM25" s="600" t="n">
        <x:v>0.7554</x:v>
      </x:c>
      <x:c r="AN25" s="595" t="inlineStr">
        <x:is>
          <x:t xml:space="preserve">EVALUATED</x:t>
        </x:is>
      </x:c>
      <x:c r="AO25" s="600" t="inlineStr">
        <x:is>
          <x:t xml:space="preserve">BUCKET_0.25</x:t>
        </x:is>
      </x:c>
      <x:c r="AP25" s="600" t="inlineStr">
        <x:is>
          <x:t xml:space="preserve">bcbe0140804f1f673419</x:t>
        </x:is>
      </x:c>
      <x:c r="AQ25" s="600" t="n">
        <x:v>-0.25</x:v>
      </x:c>
      <x:c r="AR25" s="600" t="n">
        <x:v>1.09</x:v>
      </x:c>
      <x:c r="AS25" s="600" t="n">
        <x:v>-0.25</x:v>
      </x:c>
      <x:c r="AT25" s="600" t="n">
        <x:v>0.25</x:v>
      </x:c>
      <x:c r="AU25" s="600" t="n">
        <x:v>1.09</x:v>
      </x:c>
      <x:c r="AV25" s="600" t="n">
        <x:v>0.79</x:v>
      </x:c>
      <x:c r="AW25" s="595" t="n">
        <x:v>46278.23339170139</x:v>
      </x:c>
      <x:c r="AX25" s="595" t="inlineStr">
        <x:is>
          <x:t xml:space="preserve">https://simondongxiao.github.io/odds/v4/</x:t>
        </x:is>
      </x:c>
      <x:c r="AY25" s="595" t="inlineStr">
        <x:is>
          <x:t xml:space="preserve">V4 Shadow Only；real_money=false；P(EV&gt;0)不是比赛胜率</x:t>
        </x:is>
      </x:c>
    </x:row>
    <x:row r="26" ht="22" customHeight="1">
      <x:c r="A26" s="595" t="inlineStr">
        <x:is>
          <x:t xml:space="preserve">2026-09-13</x:t>
        </x:is>
      </x:c>
      <x:c r="B26" s="595" t="inlineStr">
        <x:is>
          <x:t xml:space="preserve">2026-09-14 01:45</x:t>
        </x:is>
      </x:c>
      <x:c r="C26" s="595" t="str">
        <x:v>南美系列</x:v>
      </x:c>
      <x:c r="D26" s="595" t="inlineStr">
        <x:is>
          <x:t xml:space="preserve">联赛</x:t>
        </x:is>
      </x:c>
      <x:c r="E26" s="595" t="inlineStr">
        <x:is>
          <x:t xml:space="preserve">阿甲</x:t>
        </x:is>
      </x:c>
      <x:c r="F26" s="595" t="inlineStr">
        <x:is>
          <x:t xml:space="preserve">萨尔米安杜 vs 贝尔格拉诺</x:t>
        </x:is>
      </x:c>
      <x:c r="G26" s="596" t="n">
        <x:v>0.84</x:v>
      </x:c>
      <x:c r="H26" s="596" t="n">
        <x:v>-0.25</x:v>
      </x:c>
      <x:c r="I26" s="596" t="n">
        <x:v>1.04</x:v>
      </x:c>
      <x:c r="J26" s="596" t="inlineStr">
        <x:is>
          <x:t xml:space="preserve">0.84/-0.25/1.04</x:t>
        </x:is>
      </x:c>
      <x:c r="K26" s="595" t="inlineStr">
        <x:is>
          <x:t xml:space="preserve">V4-C｜EV +0.0152</x:t>
        </x:is>
      </x:c>
      <x:c r="L26" s="595" t="inlineStr">
        <x:is>
          <x:t xml:space="preserve">贝尔格拉诺</x:t>
        </x:is>
      </x:c>
      <x:c r="M26" s="597" t="n">
        <x:v>0.4989775051124744</x:v>
      </x:c>
      <x:c r="N26" s="595" t="inlineStr">
        <x:is>
          <x:t xml:space="preserve">V4纸面入选-C</x:t>
        </x:is>
      </x:c>
      <x:c r="O26" s="595" t="inlineStr">
        <x:is>
          <x:t xml:space="preserve">1-1</x:t>
        </x:is>
      </x:c>
      <x:c r="P26" s="595" t="inlineStr">
        <x:is>
          <x:t xml:space="preserve">已结算</x:t>
        </x:is>
      </x:c>
      <x:c r="Q26" s="643" t="inlineStr">
        <x:is>
          <x:t xml:space="preserve">半黑</x:t>
        </x:is>
      </x:c>
      <x:c r="R26" s="599" t="n">
        <x:v>1.04</x:v>
      </x:c>
      <x:c r="S26" s="599" t="n">
        <x:f>IF(OR(Q26="",Q26="待结算"),"",IF(Q26="红",R26,IF(Q26="半红",R26*0.5,IF(Q26="走",0,IF(Q26="半黑",-0.5,-1)))))</x:f>
        <x:v>-0.5</x:v>
      </x:c>
      <x:c r="T26" s="595" t="inlineStr">
        <x:is>
          <x:t xml:space="preserve">https://m.titan007.com/analy/Analysis/2962635.htm</x:t>
        </x:is>
      </x:c>
      <x:c r="U26" s="642" t="str">
        <x:f>IF(Q26="","",IF(Q26="待结算","待结算",IF(Q26="红","黑",IF(Q26="半红","半黑",IF(Q26="走","走",IF(Q26="半黑","半红","红"))))))</x:f>
        <x:v>半红</x:v>
      </x:c>
      <x:c r="V26" s="599" t="n">
        <x:f>IF(OR(Q26="",Q26="待结算"),"",IF(L26=LEFT(F26,FIND(" vs ",F26)-1),I26,G26))</x:f>
        <x:v>0.84</x:v>
      </x:c>
      <x:c r="W26" s="599" t="n">
        <x:f>IF(OR(U26="",U26="待结算"),"",IF(U26="红",V26,IF(U26="半红",V26*0.5,IF(U26="走",0,IF(U26="半黑",-0.5,-1)))))</x:f>
        <x:v>0.42</x:v>
      </x:c>
      <x:c r="X26" s="595" t="inlineStr">
        <x:is>
          <x:t xml:space="preserve">2962635</x:t>
        </x:is>
      </x:c>
      <x:c r="Y26" s="595" t="inlineStr">
        <x:is>
          <x:t xml:space="preserve">v4-market-dirichlet-20260913</x:t>
        </x:is>
      </x:c>
      <x:c r="Z26" s="595" t="inlineStr">
        <x:is>
          <x:t xml:space="preserve">prior-2026-09-13-v1</x:t>
        </x:is>
      </x:c>
      <x:c r="AA26" s="595" t="inlineStr">
        <x:is>
          <x:t xml:space="preserve">C</x:t>
        </x:is>
      </x:c>
      <x:c r="AB26" s="600" t="n">
        <x:v>0.4236111111111111</x:v>
      </x:c>
      <x:c r="AC26" s="600" t="n">
        <x:v>0</x:v>
      </x:c>
      <x:c r="AD26" s="600" t="n">
        <x:v>0</x:v>
      </x:c>
      <x:c r="AE26" s="600" t="n">
        <x:v>0.3020833333333333</x:v>
      </x:c>
      <x:c r="AF26" s="600" t="n">
        <x:v>0.2743055555555556</x:v>
      </x:c>
      <x:c r="AG26" s="600" t="n">
        <x:v>0.01520833333333338</x:v>
      </x:c>
      <x:c r="AH26" s="600" t="n">
        <x:v>-0.07262450496552439</x:v>
      </x:c>
      <x:c r="AI26" s="600" t="n">
        <x:v>-0.05392351409062363</x:v>
      </x:c>
      <x:c r="AJ26" s="600" t="n">
        <x:v>0.01497137344522531</x:v>
      </x:c>
      <x:c r="AK26" s="600" t="n">
        <x:v>0.08265476530487287</x:v>
      </x:c>
      <x:c r="AL26" s="600" t="n">
        <x:v>0.1028614915068354</x:v>
      </x:c>
      <x:c r="AM26" s="600" t="n">
        <x:v>0.6136</x:v>
      </x:c>
      <x:c r="AN26" s="595" t="inlineStr">
        <x:is>
          <x:t xml:space="preserve">EVALUATED</x:t>
        </x:is>
      </x:c>
      <x:c r="AO26" s="600" t="inlineStr">
        <x:is>
          <x:t xml:space="preserve">BUCKET_0.25</x:t>
        </x:is>
      </x:c>
      <x:c r="AP26" s="600" t="inlineStr">
        <x:is>
          <x:t xml:space="preserve">a9718bd2c34b8a0819db</x:t>
        </x:is>
      </x:c>
      <x:c r="AQ26" s="600" t="n">
        <x:v>-0.25</x:v>
      </x:c>
      <x:c r="AR26" s="600" t="n">
        <x:v>1.04</x:v>
      </x:c>
      <x:c r="AS26" s="600" t="n">
        <x:v>0.25</x:v>
      </x:c>
      <x:c r="AT26" s="600" t="n">
        <x:v>-0.25</x:v>
      </x:c>
      <x:c r="AU26" s="600" t="n">
        <x:v>0.84</x:v>
      </x:c>
      <x:c r="AV26" s="600" t="n">
        <x:v>1.04</x:v>
      </x:c>
      <x:c r="AW26" s="595" t="n">
        <x:v>46278.23339170139</x:v>
      </x:c>
      <x:c r="AX26" s="595" t="inlineStr">
        <x:is>
          <x:t xml:space="preserve">https://simondongxiao.github.io/odds/v4/</x:t>
        </x:is>
      </x:c>
      <x:c r="AY26" s="595" t="inlineStr">
        <x:is>
          <x:t xml:space="preserve">V4 Shadow Only；real_money=false；P(EV&gt;0)不是比赛胜率</x:t>
        </x:is>
      </x:c>
    </x:row>
    <x:row r="27" ht="22" customHeight="1">
      <x:c r="A27" s="595" t="inlineStr">
        <x:is>
          <x:t xml:space="preserve">2026-09-13</x:t>
        </x:is>
      </x:c>
      <x:c r="B27" s="595" t="inlineStr">
        <x:is>
          <x:t xml:space="preserve">2026-09-14 02:00</x:t>
        </x:is>
      </x:c>
      <x:c r="C27" s="595" t="str">
        <x:v>欧洲非五大系列</x:v>
      </x:c>
      <x:c r="D27" s="595" t="inlineStr">
        <x:is>
          <x:t xml:space="preserve">联赛</x:t>
        </x:is>
      </x:c>
      <x:c r="E27" s="595" t="inlineStr">
        <x:is>
          <x:t xml:space="preserve">克亚甲</x:t>
        </x:is>
      </x:c>
      <x:c r="F27" s="595" t="inlineStr">
        <x:is>
          <x:t xml:space="preserve">斯普利特海杜克 vs 比路朴</x:t>
        </x:is>
      </x:c>
      <x:c r="G27" s="596" t="n">
        <x:v>0.87</x:v>
      </x:c>
      <x:c r="H27" s="596" t="n">
        <x:v>1.5</x:v>
      </x:c>
      <x:c r="I27" s="596" t="n">
        <x:v>0.83</x:v>
      </x:c>
      <x:c r="J27" s="596" t="inlineStr">
        <x:is>
          <x:t xml:space="preserve">0.87/1.5/0.83</x:t>
        </x:is>
      </x:c>
      <x:c r="K27" s="595" t="inlineStr">
        <x:is>
          <x:t xml:space="preserve">V4-C｜EV +0.1103</x:t>
        </x:is>
      </x:c>
      <x:c r="L27" s="595" t="inlineStr">
        <x:is>
          <x:t xml:space="preserve">斯普利特海杜克</x:t>
        </x:is>
      </x:c>
      <x:c r="M27" s="597" t="n">
        <x:v>0.59375</x:v>
      </x:c>
      <x:c r="N27" s="595" t="inlineStr">
        <x:is>
          <x:t xml:space="preserve">V4纸面入选-C</x:t>
        </x:is>
      </x:c>
      <x:c r="O27" s="595" t="inlineStr">
        <x:is>
          <x:t xml:space="preserve">1-0</x:t>
        </x:is>
      </x:c>
      <x:c r="P27" s="595" t="inlineStr">
        <x:is>
          <x:t xml:space="preserve">已结算</x:t>
        </x:is>
      </x:c>
      <x:c r="Q27" s="641" t="inlineStr">
        <x:is>
          <x:t xml:space="preserve">黑</x:t>
        </x:is>
      </x:c>
      <x:c r="R27" s="599" t="n">
        <x:v>0.87</x:v>
      </x:c>
      <x:c r="S27" s="599" t="n">
        <x:f>IF(OR(Q27="",Q27="待结算"),"",IF(Q27="红",R27,IF(Q27="半红",R27*0.5,IF(Q27="走",0,IF(Q27="半黑",-0.5,-1)))))</x:f>
        <x:v>-1</x:v>
      </x:c>
      <x:c r="T27" s="595" t="inlineStr">
        <x:is>
          <x:t xml:space="preserve">https://m.titan007.com/analy/Analysis/2997523.htm</x:t>
        </x:is>
      </x:c>
      <x:c r="U27" s="640" t="str">
        <x:f>IF(Q27="","",IF(Q27="待结算","待结算",IF(Q27="红","黑",IF(Q27="半红","半黑",IF(Q27="走","走",IF(Q27="半黑","半红","红"))))))</x:f>
        <x:v>红</x:v>
      </x:c>
      <x:c r="V27" s="599" t="n">
        <x:f>IF(OR(Q27="",Q27="待结算"),"",IF(L27=LEFT(F27,FIND(" vs ",F27)-1),I27,G27))</x:f>
        <x:v>0.83</x:v>
      </x:c>
      <x:c r="W27" s="599" t="n">
        <x:f>IF(OR(U27="",U27="待结算"),"",IF(U27="红",V27,IF(U27="半红",V27*0.5,IF(U27="走",0,IF(U27="半黑",-0.5,-1)))))</x:f>
        <x:v>0.83</x:v>
      </x:c>
      <x:c r="X27" s="595" t="inlineStr">
        <x:is>
          <x:t xml:space="preserve">2997523</x:t>
        </x:is>
      </x:c>
      <x:c r="Y27" s="595" t="inlineStr">
        <x:is>
          <x:t xml:space="preserve">v4-market-dirichlet-20260913</x:t>
        </x:is>
      </x:c>
      <x:c r="Z27" s="595" t="inlineStr">
        <x:is>
          <x:t xml:space="preserve">prior-2026-09-13-v1</x:t>
        </x:is>
      </x:c>
      <x:c r="AA27" s="595" t="inlineStr">
        <x:is>
          <x:t xml:space="preserve">C</x:t>
        </x:is>
      </x:c>
      <x:c r="AB27" s="600" t="n">
        <x:v>0.59375</x:v>
      </x:c>
      <x:c r="AC27" s="600" t="n">
        <x:v>0</x:v>
      </x:c>
      <x:c r="AD27" s="600" t="n">
        <x:v>0</x:v>
      </x:c>
      <x:c r="AE27" s="600" t="n">
        <x:v>0</x:v>
      </x:c>
      <x:c r="AF27" s="600" t="n">
        <x:v>0.40625</x:v>
      </x:c>
      <x:c r="AG27" s="600" t="n">
        <x:v>0.1103125</x:v>
      </x:c>
      <x:c r="AH27" s="600" t="n">
        <x:v>-0.1612747934900848</x:v>
      </x:c>
      <x:c r="AI27" s="600" t="n">
        <x:v>-0.1021307976597453</x:v>
      </x:c>
      <x:c r="AJ27" s="600" t="n">
        <x:v>0.1188129621349642</x:v>
      </x:c>
      <x:c r="AK27" s="600" t="n">
        <x:v>0.3202030820143454</x:v>
      </x:c>
      <x:c r="AL27" s="600" t="n">
        <x:v>0.3724725635172407</x:v>
      </x:c>
      <x:c r="AM27" s="600" t="n">
        <x:v>0.7638</x:v>
      </x:c>
      <x:c r="AN27" s="595" t="inlineStr">
        <x:is>
          <x:t xml:space="preserve">EVALUATED</x:t>
        </x:is>
      </x:c>
      <x:c r="AO27" s="600" t="inlineStr">
        <x:is>
          <x:t xml:space="preserve">BUCKET_1.50</x:t>
        </x:is>
      </x:c>
      <x:c r="AP27" s="600" t="inlineStr">
        <x:is>
          <x:t xml:space="preserve">b1b93cc30996a628f992</x:t>
        </x:is>
      </x:c>
      <x:c r="AQ27" s="600" t="n">
        <x:v>-1.5</x:v>
      </x:c>
      <x:c r="AR27" s="600" t="n">
        <x:v>0.87</x:v>
      </x:c>
      <x:c r="AS27" s="600" t="n">
        <x:v>-1.5</x:v>
      </x:c>
      <x:c r="AT27" s="600" t="n">
        <x:v>1.5</x:v>
      </x:c>
      <x:c r="AU27" s="600" t="n">
        <x:v>0.87</x:v>
      </x:c>
      <x:c r="AV27" s="600" t="n">
        <x:v>0.83</x:v>
      </x:c>
      <x:c r="AW27" s="595" t="n">
        <x:v>46278.23339170139</x:v>
      </x:c>
      <x:c r="AX27" s="595" t="inlineStr">
        <x:is>
          <x:t xml:space="preserve">https://simondongxiao.github.io/odds/v4/</x:t>
        </x:is>
      </x:c>
      <x:c r="AY27" s="595" t="inlineStr">
        <x:is>
          <x:t xml:space="preserve">V4 Shadow Only；real_money=false；P(EV&gt;0)不是比赛胜率</x:t>
        </x:is>
      </x:c>
    </x:row>
    <x:row r="28" ht="22" customHeight="1">
      <x:c r="A28" s="595" t="inlineStr">
        <x:is>
          <x:t xml:space="preserve">2026-09-13</x:t>
        </x:is>
      </x:c>
      <x:c r="B28" s="595" t="inlineStr">
        <x:is>
          <x:t xml:space="preserve">2026-09-14 02:00</x:t>
        </x:is>
      </x:c>
      <x:c r="C28" s="595" t="str">
        <x:v>欧洲非五大系列</x:v>
      </x:c>
      <x:c r="D28" s="595" t="inlineStr">
        <x:is>
          <x:t xml:space="preserve">联赛</x:t>
        </x:is>
      </x:c>
      <x:c r="E28" s="595" t="inlineStr">
        <x:is>
          <x:t xml:space="preserve">荷甲</x:t>
        </x:is>
      </x:c>
      <x:c r="F28" s="595" t="inlineStr">
        <x:is>
          <x:t xml:space="preserve">埃因霍温 vs 鹿特丹斯巴达</x:t>
        </x:is>
      </x:c>
      <x:c r="G28" s="596" t="n">
        <x:v>0.95</x:v>
      </x:c>
      <x:c r="H28" s="596" t="n">
        <x:v>2.25</x:v>
      </x:c>
      <x:c r="I28" s="596" t="n">
        <x:v>0.93</x:v>
      </x:c>
      <x:c r="J28" s="596" t="inlineStr">
        <x:is>
          <x:t xml:space="preserve">0.95/2.25/0.93</x:t>
        </x:is>
      </x:c>
      <x:c r="K28" s="595" t="inlineStr">
        <x:is>
          <x:t xml:space="preserve">V4-C｜EV +0.0861</x:t>
        </x:is>
      </x:c>
      <x:c r="L28" s="595" t="inlineStr">
        <x:is>
          <x:t xml:space="preserve">埃因霍温</x:t>
        </x:is>
      </x:c>
      <x:c r="M28" s="597" t="n">
        <x:v>0.5625</x:v>
      </x:c>
      <x:c r="N28" s="595" t="inlineStr">
        <x:is>
          <x:t xml:space="preserve">V4纸面入选-C</x:t>
        </x:is>
      </x:c>
      <x:c r="O28" s="595" t="inlineStr">
        <x:is>
          <x:t xml:space="preserve">4-1</x:t>
        </x:is>
      </x:c>
      <x:c r="P28" s="595" t="inlineStr">
        <x:is>
          <x:t xml:space="preserve">已结算</x:t>
        </x:is>
      </x:c>
      <x:c r="Q28" s="640" t="inlineStr">
        <x:is>
          <x:t xml:space="preserve">红</x:t>
        </x:is>
      </x:c>
      <x:c r="R28" s="599" t="n">
        <x:v>0.95</x:v>
      </x:c>
      <x:c r="S28" s="599" t="n">
        <x:f>IF(OR(Q28="",Q28="待结算"),"",IF(Q28="红",R28,IF(Q28="半红",R28*0.5,IF(Q28="走",0,IF(Q28="半黑",-0.5,-1)))))</x:f>
        <x:v>0.95</x:v>
      </x:c>
      <x:c r="T28" s="595" t="inlineStr">
        <x:is>
          <x:t xml:space="preserve">https://m.titan007.com/analy/Analysis/2996150.htm</x:t>
        </x:is>
      </x:c>
      <x:c r="U28" s="641" t="str">
        <x:f>IF(Q28="","",IF(Q28="待结算","待结算",IF(Q28="红","黑",IF(Q28="半红","半黑",IF(Q28="走","走",IF(Q28="半黑","半红","红"))))))</x:f>
        <x:v>黑</x:v>
      </x:c>
      <x:c r="V28" s="599" t="n">
        <x:f>IF(OR(Q28="",Q28="待结算"),"",IF(L28=LEFT(F28,FIND(" vs ",F28)-1),I28,G28))</x:f>
        <x:v>0.93</x:v>
      </x:c>
      <x:c r="W28" s="599" t="n">
        <x:f>IF(OR(U28="",U28="待结算"),"",IF(U28="红",V28,IF(U28="半红",V28*0.5,IF(U28="走",0,IF(U28="半黑",-0.5,-1)))))</x:f>
        <x:v>-1</x:v>
      </x:c>
      <x:c r="X28" s="595" t="inlineStr">
        <x:is>
          <x:t xml:space="preserve">2996150</x:t>
        </x:is>
      </x:c>
      <x:c r="Y28" s="595" t="inlineStr">
        <x:is>
          <x:t xml:space="preserve">v4-market-dirichlet-20260913</x:t>
        </x:is>
      </x:c>
      <x:c r="Z28" s="595" t="inlineStr">
        <x:is>
          <x:t xml:space="preserve">prior-2026-09-13-v1</x:t>
        </x:is>
      </x:c>
      <x:c r="AA28" s="595" t="inlineStr">
        <x:is>
          <x:t xml:space="preserve">C</x:t>
        </x:is>
      </x:c>
      <x:c r="AB28" s="600" t="n">
        <x:v>0.5</x:v>
      </x:c>
      <x:c r="AC28" s="600" t="n">
        <x:v>0</x:v>
      </x:c>
      <x:c r="AD28" s="600" t="n">
        <x:v>0</x:v>
      </x:c>
      <x:c r="AE28" s="600" t="n">
        <x:v>0.2222222222222222</x:v>
      </x:c>
      <x:c r="AF28" s="600" t="n">
        <x:v>0.2777777777777778</x:v>
      </x:c>
      <x:c r="AG28" s="600" t="n">
        <x:v>0.08611111111111108</x:v>
      </x:c>
      <x:c r="AH28" s="600" t="n">
        <x:v>-0.2577577792051637</x:v>
      </x:c>
      <x:c r="AI28" s="600" t="n">
        <x:v>-0.1867486875766943</x:v>
      </x:c>
      <x:c r="AJ28" s="600" t="n">
        <x:v>0.08677541582714576</x:v>
      </x:c>
      <x:c r="AK28" s="600" t="n">
        <x:v>0.3496609465804684</x:v>
      </x:c>
      <x:c r="AL28" s="600" t="n">
        <x:v>0.4169783279419063</x:v>
      </x:c>
      <x:c r="AM28" s="600" t="n">
        <x:v>0.6622</x:v>
      </x:c>
      <x:c r="AN28" s="595" t="inlineStr">
        <x:is>
          <x:t xml:space="preserve">EVALUATED</x:t>
        </x:is>
      </x:c>
      <x:c r="AO28" s="600" t="inlineStr">
        <x:is>
          <x:t xml:space="preserve">BUCKET_2.25</x:t>
        </x:is>
      </x:c>
      <x:c r="AP28" s="600" t="inlineStr">
        <x:is>
          <x:t xml:space="preserve">d914080ecca9dd786f1d</x:t>
        </x:is>
      </x:c>
      <x:c r="AQ28" s="600" t="n">
        <x:v>-2.25</x:v>
      </x:c>
      <x:c r="AR28" s="600" t="n">
        <x:v>0.95</x:v>
      </x:c>
      <x:c r="AS28" s="600" t="n">
        <x:v>-2.25</x:v>
      </x:c>
      <x:c r="AT28" s="600" t="n">
        <x:v>2.25</x:v>
      </x:c>
      <x:c r="AU28" s="600" t="n">
        <x:v>0.95</x:v>
      </x:c>
      <x:c r="AV28" s="600" t="n">
        <x:v>0.93</x:v>
      </x:c>
      <x:c r="AW28" s="595" t="n">
        <x:v>46278.23339170139</x:v>
      </x:c>
      <x:c r="AX28" s="595" t="inlineStr">
        <x:is>
          <x:t xml:space="preserve">https://simondongxiao.github.io/odds/v4/</x:t>
        </x:is>
      </x:c>
      <x:c r="AY28" s="595" t="inlineStr">
        <x:is>
          <x:t xml:space="preserve">V4 Shadow Only；real_money=false；P(EV&gt;0)不是比赛胜率</x:t>
        </x:is>
      </x:c>
    </x:row>
    <x:row r="29" ht="22" customHeight="1">
      <x:c r="A29" s="595" t="inlineStr">
        <x:is>
          <x:t xml:space="preserve">2026-09-13</x:t>
        </x:is>
      </x:c>
      <x:c r="B29" s="595" t="inlineStr">
        <x:is>
          <x:t xml:space="preserve">2026-09-14 02:45</x:t>
        </x:is>
      </x:c>
      <x:c r="C29" s="595" t="str">
        <x:v>欧洲五大系列</x:v>
      </x:c>
      <x:c r="D29" s="595" t="inlineStr">
        <x:is>
          <x:t xml:space="preserve">联赛</x:t>
        </x:is>
      </x:c>
      <x:c r="E29" s="595" t="inlineStr">
        <x:is>
          <x:t xml:space="preserve">法甲</x:t>
        </x:is>
      </x:c>
      <x:c r="F29" s="595" t="inlineStr">
        <x:is>
          <x:t xml:space="preserve">布雷斯特 vs 巴黎圣日耳曼</x:t>
        </x:is>
      </x:c>
      <x:c r="G29" s="596" t="n">
        <x:v>0.98</x:v>
      </x:c>
      <x:c r="H29" s="596" t="n">
        <x:v>-1.75</x:v>
      </x:c>
      <x:c r="I29" s="596" t="n">
        <x:v>0.9</x:v>
      </x:c>
      <x:c r="J29" s="596" t="inlineStr">
        <x:is>
          <x:t xml:space="preserve">0.98/-1.75/0.90</x:t>
        </x:is>
      </x:c>
      <x:c r="K29" s="595" t="inlineStr">
        <x:is>
          <x:t xml:space="preserve">V4-C｜EV +0.0114</x:t>
        </x:is>
      </x:c>
      <x:c r="L29" s="595" t="inlineStr">
        <x:is>
          <x:t xml:space="preserve">巴黎圣日耳曼</x:t>
        </x:is>
      </x:c>
      <x:c r="M29" s="597" t="n">
        <x:v>0.5333333333333333</x:v>
      </x:c>
      <x:c r="N29" s="595" t="inlineStr">
        <x:is>
          <x:t xml:space="preserve">V4纸面入选-C</x:t>
        </x:is>
      </x:c>
      <x:c r="O29" s="595" t="inlineStr">
        <x:is>
          <x:t xml:space="preserve">0-1</x:t>
        </x:is>
      </x:c>
      <x:c r="P29" s="595" t="inlineStr">
        <x:is>
          <x:t xml:space="preserve">已结算</x:t>
        </x:is>
      </x:c>
      <x:c r="Q29" s="641" t="inlineStr">
        <x:is>
          <x:t xml:space="preserve">黑</x:t>
        </x:is>
      </x:c>
      <x:c r="R29" s="599" t="n">
        <x:v>0.9</x:v>
      </x:c>
      <x:c r="S29" s="599" t="n">
        <x:f>IF(OR(Q29="",Q29="待结算"),"",IF(Q29="红",R29,IF(Q29="半红",R29*0.5,IF(Q29="走",0,IF(Q29="半黑",-0.5,-1)))))</x:f>
        <x:v>-1</x:v>
      </x:c>
      <x:c r="T29" s="595" t="inlineStr">
        <x:is>
          <x:t xml:space="preserve">https://m.titan007.com/analy/Analysis/2995336.htm</x:t>
        </x:is>
      </x:c>
      <x:c r="U29" s="640" t="str">
        <x:f>IF(Q29="","",IF(Q29="待结算","待结算",IF(Q29="红","黑",IF(Q29="半红","半黑",IF(Q29="走","走",IF(Q29="半黑","半红","红"))))))</x:f>
        <x:v>红</x:v>
      </x:c>
      <x:c r="V29" s="599" t="n">
        <x:f>IF(OR(Q29="",Q29="待结算"),"",IF(L29=LEFT(F29,FIND(" vs ",F29)-1),I29,G29))</x:f>
        <x:v>0.98</x:v>
      </x:c>
      <x:c r="W29" s="599" t="n">
        <x:f>IF(OR(U29="",U29="待结算"),"",IF(U29="红",V29,IF(U29="半红",V29*0.5,IF(U29="走",0,IF(U29="半黑",-0.5,-1)))))</x:f>
        <x:v>0.98</x:v>
      </x:c>
      <x:c r="X29" s="595" t="inlineStr">
        <x:is>
          <x:t xml:space="preserve">2995336</x:t>
        </x:is>
      </x:c>
      <x:c r="Y29" s="595" t="inlineStr">
        <x:is>
          <x:t xml:space="preserve">v4-market-dirichlet-20260913</x:t>
        </x:is>
      </x:c>
      <x:c r="Z29" s="595" t="inlineStr">
        <x:is>
          <x:t xml:space="preserve">prior-2026-09-13-v1</x:t>
        </x:is>
      </x:c>
      <x:c r="AA29" s="595" t="inlineStr">
        <x:is>
          <x:t xml:space="preserve">C</x:t>
        </x:is>
      </x:c>
      <x:c r="AB29" s="600" t="n">
        <x:v>0.3142857142857143</x:v>
      </x:c>
      <x:c r="AC29" s="600" t="n">
        <x:v>0.2857142857142857</x:v>
      </x:c>
      <x:c r="AD29" s="600" t="n">
        <x:v>0</x:v>
      </x:c>
      <x:c r="AE29" s="600" t="n">
        <x:v>0</x:v>
      </x:c>
      <x:c r="AF29" s="600" t="n">
        <x:v>0.4</x:v>
      </x:c>
      <x:c r="AG29" s="600" t="n">
        <x:v>0.0114285714285714</x:v>
      </x:c>
      <x:c r="AH29" s="600" t="n">
        <x:v>-0.2283459550903188</x:v>
      </x:c>
      <x:c r="AI29" s="600" t="n">
        <x:v>-0.1764393365656302</x:v>
      </x:c>
      <x:c r="AJ29" s="600" t="n">
        <x:v>0.01133345874224501</x:v>
      </x:c>
      <x:c r="AK29" s="600" t="n">
        <x:v>0.186479387697376</x:v>
      </x:c>
      <x:c r="AL29" s="600" t="n">
        <x:v>0.2352101660042661</x:v>
      </x:c>
      <x:c r="AM29" s="600" t="n">
        <x:v>0.5342</x:v>
      </x:c>
      <x:c r="AN29" s="595" t="inlineStr">
        <x:is>
          <x:t xml:space="preserve">EVALUATED</x:t>
        </x:is>
      </x:c>
      <x:c r="AO29" s="600" t="inlineStr">
        <x:is>
          <x:t xml:space="preserve">BUCKET_1.75</x:t>
        </x:is>
      </x:c>
      <x:c r="AP29" s="600" t="inlineStr">
        <x:is>
          <x:t xml:space="preserve">7b092e0d603690e00aac</x:t>
        </x:is>
      </x:c>
      <x:c r="AQ29" s="600" t="n">
        <x:v>-1.75</x:v>
      </x:c>
      <x:c r="AR29" s="600" t="n">
        <x:v>0.9</x:v>
      </x:c>
      <x:c r="AS29" s="600" t="n">
        <x:v>1.75</x:v>
      </x:c>
      <x:c r="AT29" s="600" t="n">
        <x:v>-1.75</x:v>
      </x:c>
      <x:c r="AU29" s="600" t="n">
        <x:v>0.98</x:v>
      </x:c>
      <x:c r="AV29" s="600" t="n">
        <x:v>0.9</x:v>
      </x:c>
      <x:c r="AW29" s="595" t="n">
        <x:v>46278.23339170139</x:v>
      </x:c>
      <x:c r="AX29" s="595" t="inlineStr">
        <x:is>
          <x:t xml:space="preserve">https://simondongxiao.github.io/odds/v4/</x:t>
        </x:is>
      </x:c>
      <x:c r="AY29" s="595" t="inlineStr">
        <x:is>
          <x:t xml:space="preserve">V4 Shadow Only；real_money=false；P(EV&gt;0)不是比赛胜率</x:t>
        </x:is>
      </x:c>
    </x:row>
    <x:row r="30" ht="22" customHeight="1">
      <x:c r="A30" s="595" t="inlineStr">
        <x:is>
          <x:t xml:space="preserve">2026-09-13</x:t>
        </x:is>
      </x:c>
      <x:c r="B30" s="595" t="inlineStr">
        <x:is>
          <x:t xml:space="preserve">2026-09-14 03:00</x:t>
        </x:is>
      </x:c>
      <x:c r="C30" s="595" t="str">
        <x:v>南美系列</x:v>
      </x:c>
      <x:c r="D30" s="595" t="inlineStr">
        <x:is>
          <x:t xml:space="preserve">联赛</x:t>
        </x:is>
      </x:c>
      <x:c r="E30" s="595" t="inlineStr">
        <x:is>
          <x:t xml:space="preserve">哥伦甲秋</x:t>
        </x:is>
      </x:c>
      <x:c r="F30" s="595" t="inlineStr">
        <x:is>
          <x:t xml:space="preserve">佩雷拉 vs 布卡拉曼加竞技</x:t>
        </x:is>
      </x:c>
      <x:c r="G30" s="596" t="n">
        <x:v>0.85</x:v>
      </x:c>
      <x:c r="H30" s="596" t="n">
        <x:v>-0.75</x:v>
      </x:c>
      <x:c r="I30" s="596" t="n">
        <x:v>1.03</x:v>
      </x:c>
      <x:c r="J30" s="596" t="inlineStr">
        <x:is>
          <x:t xml:space="preserve">0.85/-0.75/1.03</x:t>
        </x:is>
      </x:c>
      <x:c r="K30" s="595" t="inlineStr">
        <x:is>
          <x:t xml:space="preserve">V4-C｜EV +0.0004</x:t>
        </x:is>
      </x:c>
      <x:c r="L30" s="595" t="inlineStr">
        <x:is>
          <x:t xml:space="preserve">布卡拉曼加竞技</x:t>
        </x:is>
      </x:c>
      <x:c r="M30" s="597" t="n">
        <x:v>0.4928229665071771</x:v>
      </x:c>
      <x:c r="N30" s="595" t="inlineStr">
        <x:is>
          <x:t xml:space="preserve">V4纸面入选-C</x:t>
        </x:is>
      </x:c>
      <x:c r="O30" s="595" t="inlineStr">
        <x:is>
          <x:t xml:space="preserve">1-3</x:t>
        </x:is>
      </x:c>
      <x:c r="P30" s="595" t="inlineStr">
        <x:is>
          <x:t xml:space="preserve">已结算</x:t>
        </x:is>
      </x:c>
      <x:c r="Q30" s="640" t="inlineStr">
        <x:is>
          <x:t xml:space="preserve">红</x:t>
        </x:is>
      </x:c>
      <x:c r="R30" s="599" t="n">
        <x:v>1.03</x:v>
      </x:c>
      <x:c r="S30" s="599" t="n">
        <x:f>IF(OR(Q30="",Q30="待结算"),"",IF(Q30="红",R30,IF(Q30="半红",R30*0.5,IF(Q30="走",0,IF(Q30="半黑",-0.5,-1)))))</x:f>
        <x:v>1.03</x:v>
      </x:c>
      <x:c r="T30" s="595" t="inlineStr">
        <x:is>
          <x:t xml:space="preserve">https://m.titan007.com/analy/Analysis/3011855.htm</x:t>
        </x:is>
      </x:c>
      <x:c r="U30" s="641" t="str">
        <x:f>IF(Q30="","",IF(Q30="待结算","待结算",IF(Q30="红","黑",IF(Q30="半红","半黑",IF(Q30="走","走",IF(Q30="半黑","半红","红"))))))</x:f>
        <x:v>黑</x:v>
      </x:c>
      <x:c r="V30" s="599" t="n">
        <x:f>IF(OR(Q30="",Q30="待结算"),"",IF(L30=LEFT(F30,FIND(" vs ",F30)-1),I30,G30))</x:f>
        <x:v>0.85</x:v>
      </x:c>
      <x:c r="W30" s="599" t="n">
        <x:f>IF(OR(U30="",U30="待结算"),"",IF(U30="红",V30,IF(U30="半红",V30*0.5,IF(U30="走",0,IF(U30="半黑",-0.5,-1)))))</x:f>
        <x:v>-1</x:v>
      </x:c>
      <x:c r="X30" s="595" t="inlineStr">
        <x:is>
          <x:t xml:space="preserve">3011855</x:t>
        </x:is>
      </x:c>
      <x:c r="Y30" s="595" t="inlineStr">
        <x:is>
          <x:t xml:space="preserve">v4-market-dirichlet-20260913</x:t>
        </x:is>
      </x:c>
      <x:c r="Z30" s="595" t="inlineStr">
        <x:is>
          <x:t xml:space="preserve">prior-2026-09-13-v1</x:t>
        </x:is>
      </x:c>
      <x:c r="AA30" s="595" t="inlineStr">
        <x:is>
          <x:t xml:space="preserve">C</x:t>
        </x:is>
      </x:c>
      <x:c r="AB30" s="600" t="n">
        <x:v>0.3</x:v>
      </x:c>
      <x:c r="AC30" s="600" t="n">
        <x:v>0.2583333333333334</x:v>
      </x:c>
      <x:c r="AD30" s="600" t="n">
        <x:v>0</x:v>
      </x:c>
      <x:c r="AE30" s="600" t="n">
        <x:v>0</x:v>
      </x:c>
      <x:c r="AF30" s="600" t="n">
        <x:v>0.4416666666666667</x:v>
      </x:c>
      <x:c r="AG30" s="600" t="n">
        <x:v>0.0003750000000000142</x:v>
      </x:c>
      <x:c r="AH30" s="600" t="n">
        <x:v>-0.1401358514008159</x:v>
      </x:c>
      <x:c r="AI30" s="600" t="n">
        <x:v>-0.1064788107104827</x:v>
      </x:c>
      <x:c r="AJ30" s="600" t="n">
        <x:v>0.001428942358844276</x:v>
      </x:c>
      <x:c r="AK30" s="600" t="n">
        <x:v>0.1124021034404562</x:v>
      </x:c>
      <x:c r="AL30" s="600" t="n">
        <x:v>0.1402172639997943</x:v>
      </x:c>
      <x:c r="AM30" s="600" t="n">
        <x:v>0.5054</x:v>
      </x:c>
      <x:c r="AN30" s="595" t="inlineStr">
        <x:is>
          <x:t xml:space="preserve">EVALUATED</x:t>
        </x:is>
      </x:c>
      <x:c r="AO30" s="600" t="inlineStr">
        <x:is>
          <x:t xml:space="preserve">BUCKET_0.75</x:t>
        </x:is>
      </x:c>
      <x:c r="AP30" s="600" t="inlineStr">
        <x:is>
          <x:t xml:space="preserve">1653e5c9f068b867b133</x:t>
        </x:is>
      </x:c>
      <x:c r="AQ30" s="600" t="n">
        <x:v>-0.75</x:v>
      </x:c>
      <x:c r="AR30" s="600" t="n">
        <x:v>1.03</x:v>
      </x:c>
      <x:c r="AS30" s="600" t="n">
        <x:v>0.75</x:v>
      </x:c>
      <x:c r="AT30" s="600" t="n">
        <x:v>-0.75</x:v>
      </x:c>
      <x:c r="AU30" s="600" t="n">
        <x:v>0.85</x:v>
      </x:c>
      <x:c r="AV30" s="600" t="n">
        <x:v>1.03</x:v>
      </x:c>
      <x:c r="AW30" s="595" t="n">
        <x:v>46278.23339170139</x:v>
      </x:c>
      <x:c r="AX30" s="595" t="inlineStr">
        <x:is>
          <x:t xml:space="preserve">https://simondongxiao.github.io/odds/v4/</x:t>
        </x:is>
      </x:c>
      <x:c r="AY30" s="595" t="inlineStr">
        <x:is>
          <x:t xml:space="preserve">V4 Shadow Only；real_money=false；P(EV&gt;0)不是比赛胜率</x:t>
        </x:is>
      </x:c>
    </x:row>
    <x:row r="31" ht="22" customHeight="1">
      <x:c r="A31" s="595" t="inlineStr">
        <x:is>
          <x:t xml:space="preserve">2026-09-13</x:t>
        </x:is>
      </x:c>
      <x:c r="B31" s="595" t="inlineStr">
        <x:is>
          <x:t xml:space="preserve">2026-09-14 03:00</x:t>
        </x:is>
      </x:c>
      <x:c r="C31" s="595" t="str">
        <x:v>欧洲五大系列</x:v>
      </x:c>
      <x:c r="D31" s="595" t="inlineStr">
        <x:is>
          <x:t xml:space="preserve">联赛</x:t>
        </x:is>
      </x:c>
      <x:c r="E31" s="595" t="inlineStr">
        <x:is>
          <x:t xml:space="preserve">西甲</x:t>
        </x:is>
      </x:c>
      <x:c r="F31" s="595" t="inlineStr">
        <x:is>
          <x:t xml:space="preserve">皇家社会 vs 马德里竞技</x:t>
        </x:is>
      </x:c>
      <x:c r="G31" s="596" t="n">
        <x:v>0.84</x:v>
      </x:c>
      <x:c r="H31" s="596" t="n">
        <x:v>-0.25</x:v>
      </x:c>
      <x:c r="I31" s="596" t="n">
        <x:v>1.04</x:v>
      </x:c>
      <x:c r="J31" s="596" t="inlineStr">
        <x:is>
          <x:t xml:space="preserve">0.84/-0.25/1.04</x:t>
        </x:is>
      </x:c>
      <x:c r="K31" s="595" t="inlineStr">
        <x:is>
          <x:t xml:space="preserve">V4-C｜EV +0.0152</x:t>
        </x:is>
      </x:c>
      <x:c r="L31" s="595" t="inlineStr">
        <x:is>
          <x:t xml:space="preserve">马德里竞技</x:t>
        </x:is>
      </x:c>
      <x:c r="M31" s="597" t="n">
        <x:v>0.4989775051124744</x:v>
      </x:c>
      <x:c r="N31" s="595" t="inlineStr">
        <x:is>
          <x:t xml:space="preserve">V4纸面入选-C</x:t>
        </x:is>
      </x:c>
      <x:c r="O31" s="595" t="inlineStr">
        <x:is>
          <x:t xml:space="preserve">0-3</x:t>
        </x:is>
      </x:c>
      <x:c r="P31" s="595" t="inlineStr">
        <x:is>
          <x:t xml:space="preserve">已结算</x:t>
        </x:is>
      </x:c>
      <x:c r="Q31" s="640" t="inlineStr">
        <x:is>
          <x:t xml:space="preserve">红</x:t>
        </x:is>
      </x:c>
      <x:c r="R31" s="599" t="n">
        <x:v>1.04</x:v>
      </x:c>
      <x:c r="S31" s="599" t="n">
        <x:f>IF(OR(Q31="",Q31="待结算"),"",IF(Q31="红",R31,IF(Q31="半红",R31*0.5,IF(Q31="走",0,IF(Q31="半黑",-0.5,-1)))))</x:f>
        <x:v>1.04</x:v>
      </x:c>
      <x:c r="T31" s="595" t="inlineStr">
        <x:is>
          <x:t xml:space="preserve">https://m.titan007.com/analy/Analysis/3013689.htm</x:t>
        </x:is>
      </x:c>
      <x:c r="U31" s="641" t="str">
        <x:f>IF(Q31="","",IF(Q31="待结算","待结算",IF(Q31="红","黑",IF(Q31="半红","半黑",IF(Q31="走","走",IF(Q31="半黑","半红","红"))))))</x:f>
        <x:v>黑</x:v>
      </x:c>
      <x:c r="V31" s="599" t="n">
        <x:f>IF(OR(Q31="",Q31="待结算"),"",IF(L31=LEFT(F31,FIND(" vs ",F31)-1),I31,G31))</x:f>
        <x:v>0.84</x:v>
      </x:c>
      <x:c r="W31" s="599" t="n">
        <x:f>IF(OR(U31="",U31="待结算"),"",IF(U31="红",V31,IF(U31="半红",V31*0.5,IF(U31="走",0,IF(U31="半黑",-0.5,-1)))))</x:f>
        <x:v>-1</x:v>
      </x:c>
      <x:c r="X31" s="595" t="inlineStr">
        <x:is>
          <x:t xml:space="preserve">3013689</x:t>
        </x:is>
      </x:c>
      <x:c r="Y31" s="595" t="inlineStr">
        <x:is>
          <x:t xml:space="preserve">v4-market-dirichlet-20260913</x:t>
        </x:is>
      </x:c>
      <x:c r="Z31" s="595" t="inlineStr">
        <x:is>
          <x:t xml:space="preserve">prior-2026-09-13-v1</x:t>
        </x:is>
      </x:c>
      <x:c r="AA31" s="595" t="inlineStr">
        <x:is>
          <x:t xml:space="preserve">C</x:t>
        </x:is>
      </x:c>
      <x:c r="AB31" s="600" t="n">
        <x:v>0.4236111111111111</x:v>
      </x:c>
      <x:c r="AC31" s="600" t="n">
        <x:v>0</x:v>
      </x:c>
      <x:c r="AD31" s="600" t="n">
        <x:v>0</x:v>
      </x:c>
      <x:c r="AE31" s="600" t="n">
        <x:v>0.3020833333333333</x:v>
      </x:c>
      <x:c r="AF31" s="600" t="n">
        <x:v>0.2743055555555556</x:v>
      </x:c>
      <x:c r="AG31" s="600" t="n">
        <x:v>0.01520833333333338</x:v>
      </x:c>
      <x:c r="AH31" s="600" t="n">
        <x:v>-0.07327798032887281</x:v>
      </x:c>
      <x:c r="AI31" s="600" t="n">
        <x:v>-0.05412641606553886</x:v>
      </x:c>
      <x:c r="AJ31" s="600" t="n">
        <x:v>0.01344943786081421</x:v>
      </x:c>
      <x:c r="AK31" s="600" t="n">
        <x:v>0.08192938002018224</x:v>
      </x:c>
      <x:c r="AL31" s="600" t="n">
        <x:v>0.1021439438015945</x:v>
      </x:c>
      <x:c r="AM31" s="600" t="n">
        <x:v>0.5936</x:v>
      </x:c>
      <x:c r="AN31" s="595" t="inlineStr">
        <x:is>
          <x:t xml:space="preserve">EVALUATED</x:t>
        </x:is>
      </x:c>
      <x:c r="AO31" s="600" t="inlineStr">
        <x:is>
          <x:t xml:space="preserve">BUCKET_0.25</x:t>
        </x:is>
      </x:c>
      <x:c r="AP31" s="600" t="inlineStr">
        <x:is>
          <x:t xml:space="preserve">b724f75417d3e41296a8</x:t>
        </x:is>
      </x:c>
      <x:c r="AQ31" s="600" t="n">
        <x:v>-0.25</x:v>
      </x:c>
      <x:c r="AR31" s="600" t="n">
        <x:v>1.04</x:v>
      </x:c>
      <x:c r="AS31" s="600" t="n">
        <x:v>0.25</x:v>
      </x:c>
      <x:c r="AT31" s="600" t="n">
        <x:v>-0.25</x:v>
      </x:c>
      <x:c r="AU31" s="600" t="n">
        <x:v>0.84</x:v>
      </x:c>
      <x:c r="AV31" s="600" t="n">
        <x:v>1.04</x:v>
      </x:c>
      <x:c r="AW31" s="595" t="n">
        <x:v>46278.23339170139</x:v>
      </x:c>
      <x:c r="AX31" s="595" t="inlineStr">
        <x:is>
          <x:t xml:space="preserve">https://simondongxiao.github.io/odds/v4/</x:t>
        </x:is>
      </x:c>
      <x:c r="AY31" s="595" t="inlineStr">
        <x:is>
          <x:t xml:space="preserve">V4 Shadow Only；real_money=false；P(EV&gt;0)不是比赛胜率</x:t>
        </x:is>
      </x:c>
    </x:row>
    <x:row r="32" ht="22" customHeight="1">
      <x:c r="A32" s="595" t="inlineStr">
        <x:is>
          <x:t xml:space="preserve">2026-09-13</x:t>
        </x:is>
      </x:c>
      <x:c r="B32" s="595" t="inlineStr">
        <x:is>
          <x:t xml:space="preserve">2026-09-14 04:30</x:t>
        </x:is>
      </x:c>
      <x:c r="C32" s="595" t="str">
        <x:v>南美系列</x:v>
      </x:c>
      <x:c r="D32" s="595" t="inlineStr">
        <x:is>
          <x:t xml:space="preserve">联赛</x:t>
        </x:is>
      </x:c>
      <x:c r="E32" s="595" t="inlineStr">
        <x:is>
          <x:t xml:space="preserve">巴西甲</x:t>
        </x:is>
      </x:c>
      <x:c r="F32" s="595" t="inlineStr">
        <x:is>
          <x:t xml:space="preserve">弗拉门戈 vs 科林蒂安</x:t>
        </x:is>
      </x:c>
      <x:c r="G32" s="596" t="n">
        <x:v>1.06</x:v>
      </x:c>
      <x:c r="H32" s="596" t="n">
        <x:v>1.5</x:v>
      </x:c>
      <x:c r="I32" s="596" t="n">
        <x:v>0.82</x:v>
      </x:c>
      <x:c r="J32" s="596" t="inlineStr">
        <x:is>
          <x:t xml:space="preserve">1.06/1.5/0.82</x:t>
        </x:is>
      </x:c>
      <x:c r="K32" s="595" t="inlineStr">
        <x:is>
          <x:t xml:space="preserve">V4-B｜EV +0.2231</x:t>
        </x:is>
      </x:c>
      <x:c r="L32" s="595" t="inlineStr">
        <x:is>
          <x:t xml:space="preserve">弗拉门戈</x:t>
        </x:is>
      </x:c>
      <x:c r="M32" s="597" t="n">
        <x:v>0.59375</x:v>
      </x:c>
      <x:c r="N32" s="595" t="inlineStr">
        <x:is>
          <x:t xml:space="preserve">V4纸面入选-B</x:t>
        </x:is>
      </x:c>
      <x:c r="O32" s="595" t="inlineStr">
        <x:is>
          <x:t xml:space="preserve">2-1</x:t>
        </x:is>
      </x:c>
      <x:c r="P32" s="595" t="inlineStr">
        <x:is>
          <x:t xml:space="preserve">已结算</x:t>
        </x:is>
      </x:c>
      <x:c r="Q32" s="641" t="inlineStr">
        <x:is>
          <x:t xml:space="preserve">黑</x:t>
        </x:is>
      </x:c>
      <x:c r="R32" s="599" t="n">
        <x:v>1.06</x:v>
      </x:c>
      <x:c r="S32" s="599" t="n">
        <x:f>IF(OR(Q32="",Q32="待结算"),"",IF(Q32="红",R32,IF(Q32="半红",R32*0.5,IF(Q32="走",0,IF(Q32="半黑",-0.5,-1)))))</x:f>
        <x:v>-1</x:v>
      </x:c>
      <x:c r="T32" s="595" t="inlineStr">
        <x:is>
          <x:t xml:space="preserve">https://m.titan007.com/analy/Analysis/2910892.htm</x:t>
        </x:is>
      </x:c>
      <x:c r="U32" s="640" t="str">
        <x:f>IF(Q32="","",IF(Q32="待结算","待结算",IF(Q32="红","黑",IF(Q32="半红","半黑",IF(Q32="走","走",IF(Q32="半黑","半红","红"))))))</x:f>
        <x:v>红</x:v>
      </x:c>
      <x:c r="V32" s="599" t="n">
        <x:f>IF(OR(Q32="",Q32="待结算"),"",IF(L32=LEFT(F32,FIND(" vs ",F32)-1),I32,G32))</x:f>
        <x:v>0.82</x:v>
      </x:c>
      <x:c r="W32" s="599" t="n">
        <x:f>IF(OR(U32="",U32="待结算"),"",IF(U32="红",V32,IF(U32="半红",V32*0.5,IF(U32="走",0,IF(U32="半黑",-0.5,-1)))))</x:f>
        <x:v>0.82</x:v>
      </x:c>
      <x:c r="X32" s="595" t="inlineStr">
        <x:is>
          <x:t xml:space="preserve">2910892</x:t>
        </x:is>
      </x:c>
      <x:c r="Y32" s="595" t="inlineStr">
        <x:is>
          <x:t xml:space="preserve">v4-market-dirichlet-20260913</x:t>
        </x:is>
      </x:c>
      <x:c r="Z32" s="595" t="inlineStr">
        <x:is>
          <x:t xml:space="preserve">prior-2026-09-13-v1</x:t>
        </x:is>
      </x:c>
      <x:c r="AA32" s="595" t="inlineStr">
        <x:is>
          <x:t xml:space="preserve">B</x:t>
        </x:is>
      </x:c>
      <x:c r="AB32" s="600" t="n">
        <x:v>0.59375</x:v>
      </x:c>
      <x:c r="AC32" s="600" t="n">
        <x:v>0</x:v>
      </x:c>
      <x:c r="AD32" s="600" t="n">
        <x:v>0</x:v>
      </x:c>
      <x:c r="AE32" s="600" t="n">
        <x:v>0</x:v>
      </x:c>
      <x:c r="AF32" s="600" t="n">
        <x:v>0.40625</x:v>
      </x:c>
      <x:c r="AG32" s="600" t="n">
        <x:v>0.223125</x:v>
      </x:c>
      <x:c r="AH32" s="600" t="n">
        <x:v>-0.0705318740810269</x:v>
      </x:c>
      <x:c r="AI32" s="600" t="n">
        <x:v>-0.005188129861484425</x:v>
      </x:c>
      <x:c r="AJ32" s="600" t="n">
        <x:v>0.2287888190833077</x:v>
      </x:c>
      <x:c r="AK32" s="600" t="n">
        <x:v>0.455931092340902</x:v>
      </x:c>
      <x:c r="AL32" s="600" t="n">
        <x:v>0.5171884528617255</x:v>
      </x:c>
      <x:c r="AM32" s="600" t="n">
        <x:v>0.8956</x:v>
      </x:c>
      <x:c r="AN32" s="595" t="inlineStr">
        <x:is>
          <x:t xml:space="preserve">EVALUATED</x:t>
        </x:is>
      </x:c>
      <x:c r="AO32" s="600" t="inlineStr">
        <x:is>
          <x:t xml:space="preserve">BUCKET_1.50</x:t>
        </x:is>
      </x:c>
      <x:c r="AP32" s="600" t="inlineStr">
        <x:is>
          <x:t xml:space="preserve">a1cdf5e4954830b402d8</x:t>
        </x:is>
      </x:c>
      <x:c r="AQ32" s="600" t="n">
        <x:v>-1.5</x:v>
      </x:c>
      <x:c r="AR32" s="600" t="n">
        <x:v>1.06</x:v>
      </x:c>
      <x:c r="AS32" s="600" t="n">
        <x:v>-1.5</x:v>
      </x:c>
      <x:c r="AT32" s="600" t="n">
        <x:v>1.5</x:v>
      </x:c>
      <x:c r="AU32" s="600" t="n">
        <x:v>1.06</x:v>
      </x:c>
      <x:c r="AV32" s="600" t="n">
        <x:v>0.82</x:v>
      </x:c>
      <x:c r="AW32" s="595" t="n">
        <x:v>46278.23339170139</x:v>
      </x:c>
      <x:c r="AX32" s="595" t="inlineStr">
        <x:is>
          <x:t xml:space="preserve">https://simondongxiao.github.io/odds/v4/</x:t>
        </x:is>
      </x:c>
      <x:c r="AY32" s="595" t="inlineStr">
        <x:is>
          <x:t xml:space="preserve">V4 Shadow Only；real_money=false；P(EV&gt;0)不是比赛胜率</x:t>
        </x:is>
      </x:c>
    </x:row>
    <x:row r="33" ht="22" customHeight="1">
      <x:c r="A33" s="595" t="inlineStr">
        <x:is>
          <x:t xml:space="preserve">2026-09-13</x:t>
        </x:is>
      </x:c>
      <x:c r="B33" s="595" t="inlineStr">
        <x:is>
          <x:t xml:space="preserve">2026-09-14 06:15</x:t>
        </x:is>
      </x:c>
      <x:c r="C33" s="595" t="str">
        <x:v>南美系列</x:v>
      </x:c>
      <x:c r="D33" s="595" t="inlineStr">
        <x:is>
          <x:t xml:space="preserve">联赛</x:t>
        </x:is>
      </x:c>
      <x:c r="E33" s="595" t="inlineStr">
        <x:is>
          <x:t xml:space="preserve">阿甲</x:t>
        </x:is>
      </x:c>
      <x:c r="F33" s="595" t="inlineStr">
        <x:is>
          <x:t xml:space="preserve">阿根廷独立 vs 圣洛伦索</x:t>
        </x:is>
      </x:c>
      <x:c r="G33" s="596" t="n">
        <x:v>1.06</x:v>
      </x:c>
      <x:c r="H33" s="596" t="n">
        <x:v>0.5</x:v>
      </x:c>
      <x:c r="I33" s="596" t="n">
        <x:v>0.82</x:v>
      </x:c>
      <x:c r="J33" s="596" t="inlineStr">
        <x:is>
          <x:t xml:space="preserve">1.06/0.5/0.82</x:t>
        </x:is>
      </x:c>
      <x:c r="K33" s="595" t="inlineStr">
        <x:is>
          <x:t xml:space="preserve">V4-C｜EV +0.0241</x:t>
        </x:is>
      </x:c>
      <x:c r="L33" s="595" t="inlineStr">
        <x:is>
          <x:t xml:space="preserve">阿根廷独立</x:t>
        </x:is>
      </x:c>
      <x:c r="M33" s="597" t="n">
        <x:v>0.4971428571428572</x:v>
      </x:c>
      <x:c r="N33" s="595" t="inlineStr">
        <x:is>
          <x:t xml:space="preserve">V4纸面入选-C</x:t>
        </x:is>
      </x:c>
      <x:c r="O33" s="595" t="inlineStr">
        <x:is>
          <x:t xml:space="preserve">1-1</x:t>
        </x:is>
      </x:c>
      <x:c r="P33" s="595" t="inlineStr">
        <x:is>
          <x:t xml:space="preserve">已结算</x:t>
        </x:is>
      </x:c>
      <x:c r="Q33" s="641" t="inlineStr">
        <x:is>
          <x:t xml:space="preserve">黑</x:t>
        </x:is>
      </x:c>
      <x:c r="R33" s="599" t="n">
        <x:v>1.06</x:v>
      </x:c>
      <x:c r="S33" s="599" t="n">
        <x:f>IF(OR(Q33="",Q33="待结算"),"",IF(Q33="红",R33,IF(Q33="半红",R33*0.5,IF(Q33="走",0,IF(Q33="半黑",-0.5,-1)))))</x:f>
        <x:v>-1</x:v>
      </x:c>
      <x:c r="T33" s="595" t="inlineStr">
        <x:is>
          <x:t xml:space="preserve">https://m.titan007.com/analy/Analysis/2962631.htm</x:t>
        </x:is>
      </x:c>
      <x:c r="U33" s="640" t="str">
        <x:f>IF(Q33="","",IF(Q33="待结算","待结算",IF(Q33="红","黑",IF(Q33="半红","半黑",IF(Q33="走","走",IF(Q33="半黑","半红","红"))))))</x:f>
        <x:v>红</x:v>
      </x:c>
      <x:c r="V33" s="599" t="n">
        <x:f>IF(OR(Q33="",Q33="待结算"),"",IF(L33=LEFT(F33,FIND(" vs ",F33)-1),I33,G33))</x:f>
        <x:v>0.82</x:v>
      </x:c>
      <x:c r="W33" s="599" t="n">
        <x:f>IF(OR(U33="",U33="待结算"),"",IF(U33="红",V33,IF(U33="半红",V33*0.5,IF(U33="走",0,IF(U33="半黑",-0.5,-1)))))</x:f>
        <x:v>0.82</x:v>
      </x:c>
      <x:c r="X33" s="595" t="inlineStr">
        <x:is>
          <x:t xml:space="preserve">2962631</x:t>
        </x:is>
      </x:c>
      <x:c r="Y33" s="595" t="inlineStr">
        <x:is>
          <x:t xml:space="preserve">v4-market-dirichlet-20260913</x:t>
        </x:is>
      </x:c>
      <x:c r="Z33" s="595" t="inlineStr">
        <x:is>
          <x:t xml:space="preserve">prior-2026-09-13-v1</x:t>
        </x:is>
      </x:c>
      <x:c r="AA33" s="595" t="inlineStr">
        <x:is>
          <x:t xml:space="preserve">C</x:t>
        </x:is>
      </x:c>
      <x:c r="AB33" s="600" t="n">
        <x:v>0.4971428571428572</x:v>
      </x:c>
      <x:c r="AC33" s="600" t="n">
        <x:v>0</x:v>
      </x:c>
      <x:c r="AD33" s="600" t="n">
        <x:v>0</x:v>
      </x:c>
      <x:c r="AE33" s="600" t="n">
        <x:v>0</x:v>
      </x:c>
      <x:c r="AF33" s="600" t="n">
        <x:v>0.5028571428571429</x:v>
      </x:c>
      <x:c r="AG33" s="600" t="n">
        <x:v>0.02411428571428575</x:v>
      </x:c>
      <x:c r="AH33" s="600" t="n">
        <x:v>-0.1003774951395111</x:v>
      </x:c>
      <x:c r="AI33" s="600" t="n">
        <x:v>-0.07329364839903874</x:v>
      </x:c>
      <x:c r="AJ33" s="600" t="n">
        <x:v>0.02467370931016677</x:v>
      </x:c>
      <x:c r="AK33" s="600" t="n">
        <x:v>0.1238727174187302</x:v>
      </x:c>
      <x:c r="AL33" s="600" t="n">
        <x:v>0.1526127755125253</x:v>
      </x:c>
      <x:c r="AM33" s="600" t="n">
        <x:v>0.62</x:v>
      </x:c>
      <x:c r="AN33" s="595" t="inlineStr">
        <x:is>
          <x:t xml:space="preserve">EVALUATED</x:t>
        </x:is>
      </x:c>
      <x:c r="AO33" s="600" t="inlineStr">
        <x:is>
          <x:t xml:space="preserve">BUCKET_0.50</x:t>
        </x:is>
      </x:c>
      <x:c r="AP33" s="600" t="inlineStr">
        <x:is>
          <x:t xml:space="preserve">483c5f7761417a3eda6d</x:t>
        </x:is>
      </x:c>
      <x:c r="AQ33" s="600" t="n">
        <x:v>-0.5</x:v>
      </x:c>
      <x:c r="AR33" s="600" t="n">
        <x:v>1.06</x:v>
      </x:c>
      <x:c r="AS33" s="600" t="n">
        <x:v>-0.5</x:v>
      </x:c>
      <x:c r="AT33" s="600" t="n">
        <x:v>0.5</x:v>
      </x:c>
      <x:c r="AU33" s="600" t="n">
        <x:v>1.06</x:v>
      </x:c>
      <x:c r="AV33" s="600" t="n">
        <x:v>0.82</x:v>
      </x:c>
      <x:c r="AW33" s="595" t="n">
        <x:v>46278.23339170139</x:v>
      </x:c>
      <x:c r="AX33" s="595" t="inlineStr">
        <x:is>
          <x:t xml:space="preserve">https://simondongxiao.github.io/odds/v4/</x:t>
        </x:is>
      </x:c>
      <x:c r="AY33" s="595" t="inlineStr">
        <x:is>
          <x:t xml:space="preserve">V4 Shadow Only；real_money=false；P(EV&gt;0)不是比赛胜率</x:t>
        </x:is>
      </x:c>
    </x:row>
    <x:row r="34" ht="22" customHeight="1">
      <x:c r="A34" s="595" t="inlineStr">
        <x:is>
          <x:t xml:space="preserve">2026-09-13</x:t>
        </x:is>
      </x:c>
      <x:c r="B34" s="595" t="inlineStr">
        <x:is>
          <x:t xml:space="preserve">2026-09-14 06:30</x:t>
        </x:is>
      </x:c>
      <x:c r="C34" s="595" t="str">
        <x:v>北美系列</x:v>
      </x:c>
      <x:c r="D34" s="595" t="inlineStr">
        <x:is>
          <x:t xml:space="preserve">联赛</x:t>
        </x:is>
      </x:c>
      <x:c r="E34" s="595" t="inlineStr">
        <x:is>
          <x:t xml:space="preserve">美职业</x:t>
        </x:is>
      </x:c>
      <x:c r="F34" s="595" t="inlineStr">
        <x:is>
          <x:t xml:space="preserve">温哥华白浪 vs 奥斯汀FC</x:t>
        </x:is>
      </x:c>
      <x:c r="G34" s="596" t="n">
        <x:v>0.98</x:v>
      </x:c>
      <x:c r="H34" s="596" t="n">
        <x:v>1.75</x:v>
      </x:c>
      <x:c r="I34" s="596" t="n">
        <x:v>0.9</x:v>
      </x:c>
      <x:c r="J34" s="596" t="inlineStr">
        <x:is>
          <x:t xml:space="preserve">0.98/1.75/0.90</x:t>
        </x:is>
      </x:c>
      <x:c r="K34" s="595" t="inlineStr">
        <x:is>
          <x:t xml:space="preserve">V4-C｜EV +0.0480</x:t>
        </x:is>
      </x:c>
      <x:c r="L34" s="595" t="inlineStr">
        <x:is>
          <x:t xml:space="preserve">温哥华白浪</x:t>
        </x:is>
      </x:c>
      <x:c r="M34" s="597" t="n">
        <x:v>0.5333333333333333</x:v>
      </x:c>
      <x:c r="N34" s="595" t="inlineStr">
        <x:is>
          <x:t xml:space="preserve">V4纸面入选-C</x:t>
        </x:is>
      </x:c>
      <x:c r="O34" s="595" t="inlineStr">
        <x:is>
          <x:t xml:space="preserve">1-2</x:t>
        </x:is>
      </x:c>
      <x:c r="P34" s="595" t="inlineStr">
        <x:is>
          <x:t xml:space="preserve">已结算</x:t>
        </x:is>
      </x:c>
      <x:c r="Q34" s="641" t="inlineStr">
        <x:is>
          <x:t xml:space="preserve">黑</x:t>
        </x:is>
      </x:c>
      <x:c r="R34" s="599" t="n">
        <x:v>0.98</x:v>
      </x:c>
      <x:c r="S34" s="599" t="n">
        <x:f>IF(OR(Q34="",Q34="待结算"),"",IF(Q34="红",R34,IF(Q34="半红",R34*0.5,IF(Q34="走",0,IF(Q34="半黑",-0.5,-1)))))</x:f>
        <x:v>-1</x:v>
      </x:c>
      <x:c r="T34" s="595" t="inlineStr">
        <x:is>
          <x:t xml:space="preserve">https://m.titan007.com/analy/Analysis/2908786.htm</x:t>
        </x:is>
      </x:c>
      <x:c r="U34" s="640" t="str">
        <x:f>IF(Q34="","",IF(Q34="待结算","待结算",IF(Q34="红","黑",IF(Q34="半红","半黑",IF(Q34="走","走",IF(Q34="半黑","半红","红"))))))</x:f>
        <x:v>红</x:v>
      </x:c>
      <x:c r="V34" s="599" t="n">
        <x:f>IF(OR(Q34="",Q34="待结算"),"",IF(L34=LEFT(F34,FIND(" vs ",F34)-1),I34,G34))</x:f>
        <x:v>0.9</x:v>
      </x:c>
      <x:c r="W34" s="599" t="n">
        <x:f>IF(OR(U34="",U34="待结算"),"",IF(U34="红",V34,IF(U34="半红",V34*0.5,IF(U34="走",0,IF(U34="半黑",-0.5,-1)))))</x:f>
        <x:v>0.9</x:v>
      </x:c>
      <x:c r="X34" s="595" t="inlineStr">
        <x:is>
          <x:t xml:space="preserve">2908786</x:t>
        </x:is>
      </x:c>
      <x:c r="Y34" s="595" t="inlineStr">
        <x:is>
          <x:t xml:space="preserve">v4-market-dirichlet-20260913</x:t>
        </x:is>
      </x:c>
      <x:c r="Z34" s="595" t="inlineStr">
        <x:is>
          <x:t xml:space="preserve">prior-2026-09-13-v1</x:t>
        </x:is>
      </x:c>
      <x:c r="AA34" s="595" t="inlineStr">
        <x:is>
          <x:t xml:space="preserve">C</x:t>
        </x:is>
      </x:c>
      <x:c r="AB34" s="600" t="n">
        <x:v>0.3142857142857143</x:v>
      </x:c>
      <x:c r="AC34" s="600" t="n">
        <x:v>0.2857142857142857</x:v>
      </x:c>
      <x:c r="AD34" s="600" t="n">
        <x:v>0</x:v>
      </x:c>
      <x:c r="AE34" s="600" t="n">
        <x:v>0</x:v>
      </x:c>
      <x:c r="AF34" s="600" t="n">
        <x:v>0.4</x:v>
      </x:c>
      <x:c r="AG34" s="600" t="n">
        <x:v>0.04799999999999993</x:v>
      </x:c>
      <x:c r="AH34" s="600" t="n">
        <x:v>-0.195775397228327</x:v>
      </x:c>
      <x:c r="AI34" s="600" t="n">
        <x:v>-0.1416493838735082</x:v>
      </x:c>
      <x:c r="AJ34" s="600" t="n">
        <x:v>0.04571146728407283</x:v>
      </x:c>
      <x:c r="AK34" s="600" t="n">
        <x:v>0.2289441344364583</x:v>
      </x:c>
      <x:c r="AL34" s="600" t="n">
        <x:v>0.2833207935898164</x:v>
      </x:c>
      <x:c r="AM34" s="600" t="n">
        <x:v>0.621</x:v>
      </x:c>
      <x:c r="AN34" s="595" t="inlineStr">
        <x:is>
          <x:t xml:space="preserve">EVALUATED</x:t>
        </x:is>
      </x:c>
      <x:c r="AO34" s="600" t="inlineStr">
        <x:is>
          <x:t xml:space="preserve">BUCKET_1.75</x:t>
        </x:is>
      </x:c>
      <x:c r="AP34" s="600" t="inlineStr">
        <x:is>
          <x:t xml:space="preserve">c9f326f5d39dc842d8ea</x:t>
        </x:is>
      </x:c>
      <x:c r="AQ34" s="600" t="n">
        <x:v>-1.75</x:v>
      </x:c>
      <x:c r="AR34" s="600" t="n">
        <x:v>0.98</x:v>
      </x:c>
      <x:c r="AS34" s="600" t="n">
        <x:v>-1.75</x:v>
      </x:c>
      <x:c r="AT34" s="600" t="n">
        <x:v>1.75</x:v>
      </x:c>
      <x:c r="AU34" s="600" t="n">
        <x:v>0.98</x:v>
      </x:c>
      <x:c r="AV34" s="600" t="n">
        <x:v>0.9</x:v>
      </x:c>
      <x:c r="AW34" s="595" t="n">
        <x:v>46278.23339170139</x:v>
      </x:c>
      <x:c r="AX34" s="595" t="inlineStr">
        <x:is>
          <x:t xml:space="preserve">https://simondongxiao.github.io/odds/v4/</x:t>
        </x:is>
      </x:c>
      <x:c r="AY34" s="595" t="inlineStr">
        <x:is>
          <x:t xml:space="preserve">V4 Shadow Only；real_money=false；P(EV&gt;0)不是比赛胜率</x:t>
        </x:is>
      </x:c>
    </x:row>
    <x:row r="35" ht="22" customHeight="1">
      <x:c r="A35" s="595" t="inlineStr">
        <x:is>
          <x:t xml:space="preserve">2026-09-13</x:t>
        </x:is>
      </x:c>
      <x:c r="B35" s="595" t="inlineStr">
        <x:is>
          <x:t xml:space="preserve">2026-09-14 07:00</x:t>
        </x:is>
      </x:c>
      <x:c r="C35" s="595" t="str">
        <x:v>南美系列</x:v>
      </x:c>
      <x:c r="D35" s="595" t="inlineStr">
        <x:is>
          <x:t xml:space="preserve">联赛</x:t>
        </x:is>
      </x:c>
      <x:c r="E35" s="595" t="inlineStr">
        <x:is>
          <x:t xml:space="preserve">厄瓜甲</x:t>
        </x:is>
      </x:c>
      <x:c r="F35" s="595" t="inlineStr">
        <x:is>
          <x:t xml:space="preserve">利伯塔德洛哈 vs 山谷独立</x:t>
        </x:is>
      </x:c>
      <x:c r="G35" s="596" t="n">
        <x:v>0.74</x:v>
      </x:c>
      <x:c r="H35" s="596" t="n">
        <x:v>-0.5</x:v>
      </x:c>
      <x:c r="I35" s="596" t="n">
        <x:v>1.02</x:v>
      </x:c>
      <x:c r="J35" s="596" t="inlineStr">
        <x:is>
          <x:t xml:space="preserve">0.74/-0.5/1.02</x:t>
        </x:is>
      </x:c>
      <x:c r="K35" s="595" t="inlineStr">
        <x:is>
          <x:t xml:space="preserve">V4-C｜EV +0.0042</x:t>
        </x:is>
      </x:c>
      <x:c r="L35" s="595" t="inlineStr">
        <x:is>
          <x:t xml:space="preserve">山谷独立</x:t>
        </x:is>
      </x:c>
      <x:c r="M35" s="597" t="n">
        <x:v>0.4971428571428572</x:v>
      </x:c>
      <x:c r="N35" s="595" t="inlineStr">
        <x:is>
          <x:t xml:space="preserve">V4纸面入选-C</x:t>
        </x:is>
      </x:c>
      <x:c r="O35" s="595" t="inlineStr">
        <x:is>
          <x:t xml:space="preserve">2-3</x:t>
        </x:is>
      </x:c>
      <x:c r="P35" s="595" t="inlineStr">
        <x:is>
          <x:t xml:space="preserve">已结算</x:t>
        </x:is>
      </x:c>
      <x:c r="Q35" s="640" t="inlineStr">
        <x:is>
          <x:t xml:space="preserve">红</x:t>
        </x:is>
      </x:c>
      <x:c r="R35" s="599" t="n">
        <x:v>1.02</x:v>
      </x:c>
      <x:c r="S35" s="599" t="n">
        <x:f>IF(OR(Q35="",Q35="待结算"),"",IF(Q35="红",R35,IF(Q35="半红",R35*0.5,IF(Q35="走",0,IF(Q35="半黑",-0.5,-1)))))</x:f>
        <x:v>1.02</x:v>
      </x:c>
      <x:c r="T35" s="595" t="inlineStr">
        <x:is>
          <x:t xml:space="preserve">https://m.titan007.com/analy/Analysis/2937929.htm</x:t>
        </x:is>
      </x:c>
      <x:c r="U35" s="641" t="str">
        <x:f>IF(Q35="","",IF(Q35="待结算","待结算",IF(Q35="红","黑",IF(Q35="半红","半黑",IF(Q35="走","走",IF(Q35="半黑","半红","红"))))))</x:f>
        <x:v>黑</x:v>
      </x:c>
      <x:c r="V35" s="599" t="n">
        <x:f>IF(OR(Q35="",Q35="待结算"),"",IF(L35=LEFT(F35,FIND(" vs ",F35)-1),I35,G35))</x:f>
        <x:v>0.74</x:v>
      </x:c>
      <x:c r="W35" s="599" t="n">
        <x:f>IF(OR(U35="",U35="待结算"),"",IF(U35="红",V35,IF(U35="半红",V35*0.5,IF(U35="走",0,IF(U35="半黑",-0.5,-1)))))</x:f>
        <x:v>-1</x:v>
      </x:c>
      <x:c r="X35" s="595" t="inlineStr">
        <x:is>
          <x:t xml:space="preserve">2937929</x:t>
        </x:is>
      </x:c>
      <x:c r="Y35" s="595" t="inlineStr">
        <x:is>
          <x:t xml:space="preserve">v4-market-dirichlet-20260913</x:t>
        </x:is>
      </x:c>
      <x:c r="Z35" s="595" t="inlineStr">
        <x:is>
          <x:t xml:space="preserve">prior-2026-09-13-v1</x:t>
        </x:is>
      </x:c>
      <x:c r="AA35" s="595" t="inlineStr">
        <x:is>
          <x:t xml:space="preserve">C</x:t>
        </x:is>
      </x:c>
      <x:c r="AB35" s="600" t="n">
        <x:v>0.4971428571428572</x:v>
      </x:c>
      <x:c r="AC35" s="600" t="n">
        <x:v>0</x:v>
      </x:c>
      <x:c r="AD35" s="600" t="n">
        <x:v>0</x:v>
      </x:c>
      <x:c r="AE35" s="600" t="n">
        <x:v>0</x:v>
      </x:c>
      <x:c r="AF35" s="600" t="n">
        <x:v>0.5028571428571429</x:v>
      </x:c>
      <x:c r="AG35" s="600" t="n">
        <x:v>0.00422857142857147</x:v>
      </x:c>
      <x:c r="AH35" s="600" t="n">
        <x:v>-0.1244417871009633</x:v>
      </x:c>
      <x:c r="AI35" s="600" t="n">
        <x:v>-0.09550731626935027</x:v>
      </x:c>
      <x:c r="AJ35" s="600" t="n">
        <x:v>0.00605364019060628</x:v>
      </x:c>
      <x:c r="AK35" s="600" t="n">
        <x:v>0.1050331815995122</x:v>
      </x:c>
      <x:c r="AL35" s="600" t="n">
        <x:v>0.1314569180958987</x:v>
      </x:c>
      <x:c r="AM35" s="600" t="n">
        <x:v>0.528</x:v>
      </x:c>
      <x:c r="AN35" s="595" t="inlineStr">
        <x:is>
          <x:t xml:space="preserve">EVALUATED</x:t>
        </x:is>
      </x:c>
      <x:c r="AO35" s="600" t="inlineStr">
        <x:is>
          <x:t xml:space="preserve">BUCKET_0.50</x:t>
        </x:is>
      </x:c>
      <x:c r="AP35" s="600" t="inlineStr">
        <x:is>
          <x:t xml:space="preserve">011901e8425140c98674</x:t>
        </x:is>
      </x:c>
      <x:c r="AQ35" s="600" t="n">
        <x:v>-0.5</x:v>
      </x:c>
      <x:c r="AR35" s="600" t="n">
        <x:v>1.02</x:v>
      </x:c>
      <x:c r="AS35" s="600" t="n">
        <x:v>0.5</x:v>
      </x:c>
      <x:c r="AT35" s="600" t="n">
        <x:v>-0.5</x:v>
      </x:c>
      <x:c r="AU35" s="600" t="n">
        <x:v>0.74</x:v>
      </x:c>
      <x:c r="AV35" s="600" t="n">
        <x:v>1.02</x:v>
      </x:c>
      <x:c r="AW35" s="595" t="n">
        <x:v>46278.23339170139</x:v>
      </x:c>
      <x:c r="AX35" s="595" t="inlineStr">
        <x:is>
          <x:t xml:space="preserve">https://simondongxiao.github.io/odds/v4/</x:t>
        </x:is>
      </x:c>
      <x:c r="AY35" s="595" t="inlineStr">
        <x:is>
          <x:t xml:space="preserve">V4 Shadow Only；real_money=false；P(EV&gt;0)不是比赛胜率</x:t>
        </x:is>
      </x:c>
    </x:row>
    <x:row r="36" ht="22" customHeight="1">
      <x:c r="A36" s="595" t="inlineStr">
        <x:is>
          <x:t xml:space="preserve">2026-09-13</x:t>
        </x:is>
      </x:c>
      <x:c r="B36" s="595" t="inlineStr">
        <x:is>
          <x:t xml:space="preserve">2026-09-14 07:10</x:t>
        </x:is>
      </x:c>
      <x:c r="C36" s="595" t="str">
        <x:v>南美系列</x:v>
      </x:c>
      <x:c r="D36" s="595" t="inlineStr">
        <x:is>
          <x:t xml:space="preserve">联赛</x:t>
        </x:is>
      </x:c>
      <x:c r="E36" s="595" t="inlineStr">
        <x:is>
          <x:t xml:space="preserve">哥伦甲秋</x:t>
        </x:is>
      </x:c>
      <x:c r="F36" s="595" t="inlineStr">
        <x:is>
          <x:t xml:space="preserve">云斯卡尔达斯 vs 卡利体育会</x:t>
        </x:is>
      </x:c>
      <x:c r="G36" s="596" t="n">
        <x:v>1.06</x:v>
      </x:c>
      <x:c r="H36" s="596" t="n">
        <x:v>0.5</x:v>
      </x:c>
      <x:c r="I36" s="596" t="n">
        <x:v>0.82</x:v>
      </x:c>
      <x:c r="J36" s="596" t="inlineStr">
        <x:is>
          <x:t xml:space="preserve">1.06/0.5/0.82</x:t>
        </x:is>
      </x:c>
      <x:c r="K36" s="595" t="inlineStr">
        <x:is>
          <x:t xml:space="preserve">V4-C｜EV +0.0241</x:t>
        </x:is>
      </x:c>
      <x:c r="L36" s="595" t="inlineStr">
        <x:is>
          <x:t xml:space="preserve">云斯卡尔达斯</x:t>
        </x:is>
      </x:c>
      <x:c r="M36" s="597" t="n">
        <x:v>0.4971428571428572</x:v>
      </x:c>
      <x:c r="N36" s="595" t="inlineStr">
        <x:is>
          <x:t xml:space="preserve">V4纸面入选-C</x:t>
        </x:is>
      </x:c>
      <x:c r="O36" s="595" t="inlineStr">
        <x:is>
          <x:t xml:space="preserve">1-2</x:t>
        </x:is>
      </x:c>
      <x:c r="P36" s="595" t="inlineStr">
        <x:is>
          <x:t xml:space="preserve">已结算</x:t>
        </x:is>
      </x:c>
      <x:c r="Q36" s="641" t="inlineStr">
        <x:is>
          <x:t xml:space="preserve">黑</x:t>
        </x:is>
      </x:c>
      <x:c r="R36" s="599" t="n">
        <x:v>1.06</x:v>
      </x:c>
      <x:c r="S36" s="599" t="n">
        <x:f>IF(OR(Q36="",Q36="待结算"),"",IF(Q36="红",R36,IF(Q36="半红",R36*0.5,IF(Q36="走",0,IF(Q36="半黑",-0.5,-1)))))</x:f>
        <x:v>-1</x:v>
      </x:c>
      <x:c r="T36" s="595" t="inlineStr">
        <x:is>
          <x:t xml:space="preserve">https://m.titan007.com/analy/Analysis/3011854.htm</x:t>
        </x:is>
      </x:c>
      <x:c r="U36" s="640" t="str">
        <x:f>IF(Q36="","",IF(Q36="待结算","待结算",IF(Q36="红","黑",IF(Q36="半红","半黑",IF(Q36="走","走",IF(Q36="半黑","半红","红"))))))</x:f>
        <x:v>红</x:v>
      </x:c>
      <x:c r="V36" s="599" t="n">
        <x:f>IF(OR(Q36="",Q36="待结算"),"",IF(L36=LEFT(F36,FIND(" vs ",F36)-1),I36,G36))</x:f>
        <x:v>0.82</x:v>
      </x:c>
      <x:c r="W36" s="599" t="n">
        <x:f>IF(OR(U36="",U36="待结算"),"",IF(U36="红",V36,IF(U36="半红",V36*0.5,IF(U36="走",0,IF(U36="半黑",-0.5,-1)))))</x:f>
        <x:v>0.82</x:v>
      </x:c>
      <x:c r="X36" s="595" t="inlineStr">
        <x:is>
          <x:t xml:space="preserve">3011854</x:t>
        </x:is>
      </x:c>
      <x:c r="Y36" s="595" t="inlineStr">
        <x:is>
          <x:t xml:space="preserve">v4-market-dirichlet-20260913</x:t>
        </x:is>
      </x:c>
      <x:c r="Z36" s="595" t="inlineStr">
        <x:is>
          <x:t xml:space="preserve">prior-2026-09-13-v1</x:t>
        </x:is>
      </x:c>
      <x:c r="AA36" s="595" t="inlineStr">
        <x:is>
          <x:t xml:space="preserve">C</x:t>
        </x:is>
      </x:c>
      <x:c r="AB36" s="600" t="n">
        <x:v>0.4971428571428572</x:v>
      </x:c>
      <x:c r="AC36" s="600" t="n">
        <x:v>0</x:v>
      </x:c>
      <x:c r="AD36" s="600" t="n">
        <x:v>0</x:v>
      </x:c>
      <x:c r="AE36" s="600" t="n">
        <x:v>0</x:v>
      </x:c>
      <x:c r="AF36" s="600" t="n">
        <x:v>0.5028571428571429</x:v>
      </x:c>
      <x:c r="AG36" s="600" t="n">
        <x:v>0.02411428571428575</x:v>
      </x:c>
      <x:c r="AH36" s="600" t="n">
        <x:v>-0.1058169894762378</x:v>
      </x:c>
      <x:c r="AI36" s="600" t="n">
        <x:v>-0.07719318737277719</x:v>
      </x:c>
      <x:c r="AJ36" s="600" t="n">
        <x:v>0.02480134953122637</x:v>
      </x:c>
      <x:c r="AK36" s="600" t="n">
        <x:v>0.1251009841887184</x:v>
      </x:c>
      <x:c r="AL36" s="600" t="n">
        <x:v>0.1527186986612299</x:v>
      </x:c>
      <x:c r="AM36" s="600" t="n">
        <x:v>0.6172</x:v>
      </x:c>
      <x:c r="AN36" s="595" t="inlineStr">
        <x:is>
          <x:t xml:space="preserve">EVALUATED</x:t>
        </x:is>
      </x:c>
      <x:c r="AO36" s="600" t="inlineStr">
        <x:is>
          <x:t xml:space="preserve">BUCKET_0.50</x:t>
        </x:is>
      </x:c>
      <x:c r="AP36" s="600" t="inlineStr">
        <x:is>
          <x:t xml:space="preserve">a491c61e630e28c0ba87</x:t>
        </x:is>
      </x:c>
      <x:c r="AQ36" s="600" t="n">
        <x:v>-0.5</x:v>
      </x:c>
      <x:c r="AR36" s="600" t="n">
        <x:v>1.06</x:v>
      </x:c>
      <x:c r="AS36" s="600" t="n">
        <x:v>-0.5</x:v>
      </x:c>
      <x:c r="AT36" s="600" t="n">
        <x:v>0.5</x:v>
      </x:c>
      <x:c r="AU36" s="600" t="n">
        <x:v>1.06</x:v>
      </x:c>
      <x:c r="AV36" s="600" t="n">
        <x:v>0.82</x:v>
      </x:c>
      <x:c r="AW36" s="595" t="n">
        <x:v>46278.23339170139</x:v>
      </x:c>
      <x:c r="AX36" s="595" t="inlineStr">
        <x:is>
          <x:t xml:space="preserve">https://simondongxiao.github.io/odds/v4/</x:t>
        </x:is>
      </x:c>
      <x:c r="AY36" s="595" t="inlineStr">
        <x:is>
          <x:t xml:space="preserve">V4 Shadow Only；real_money=false；P(EV&gt;0)不是比赛胜率</x:t>
        </x:is>
      </x:c>
    </x:row>
    <x:row r="37" ht="22" customHeight="1">
      <x:c r="A37" s="595" t="inlineStr">
        <x:is>
          <x:t xml:space="preserve">2026-09-14</x:t>
        </x:is>
      </x:c>
      <x:c r="B37" s="595" t="inlineStr">
        <x:is>
          <x:t xml:space="preserve">2026-09-14 22:45</x:t>
        </x:is>
      </x:c>
      <x:c r="C37" s="595" t="str">
        <x:v>欧洲非五大系列</x:v>
      </x:c>
      <x:c r="D37" s="595" t="inlineStr">
        <x:is>
          <x:t xml:space="preserve">联赛</x:t>
        </x:is>
      </x:c>
      <x:c r="E37" s="595" t="inlineStr">
        <x:is>
          <x:t xml:space="preserve">保乙</x:t>
        </x:is>
      </x:c>
      <x:c r="F37" s="595" t="inlineStr">
        <x:is>
          <x:t xml:space="preserve">赫巴 vs 伊塔尔</x:t>
        </x:is>
      </x:c>
      <x:c r="G37" s="596" t="n">
        <x:v>1.02</x:v>
      </x:c>
      <x:c r="H37" s="596" t="n">
        <x:v>0.5</x:v>
      </x:c>
      <x:c r="I37" s="596" t="n">
        <x:v>0.8</x:v>
      </x:c>
      <x:c r="J37" s="596" t="inlineStr">
        <x:is>
          <x:t xml:space="preserve">1.02/0.5/0.80</x:t>
        </x:is>
      </x:c>
      <x:c r="K37" s="595" t="inlineStr">
        <x:is>
          <x:t xml:space="preserve">V4-C｜EV +0.0042</x:t>
        </x:is>
      </x:c>
      <x:c r="L37" s="595" t="inlineStr">
        <x:is>
          <x:t xml:space="preserve">赫巴</x:t>
        </x:is>
      </x:c>
      <x:c r="M37" s="597" t="n">
        <x:v>0.4971428571428572</x:v>
      </x:c>
      <x:c r="N37" s="595" t="inlineStr">
        <x:is>
          <x:t xml:space="preserve">V4纸面入选-C</x:t>
        </x:is>
      </x:c>
      <x:c r="O37" s="595" t="inlineStr">
        <x:is>
          <x:t xml:space="preserve">4-1</x:t>
        </x:is>
      </x:c>
      <x:c r="P37" s="595" t="inlineStr">
        <x:is>
          <x:t xml:space="preserve">已结算</x:t>
        </x:is>
      </x:c>
      <x:c r="Q37" s="640" t="inlineStr">
        <x:is>
          <x:t xml:space="preserve">红</x:t>
        </x:is>
      </x:c>
      <x:c r="R37" s="599" t="n">
        <x:v>1.02</x:v>
      </x:c>
      <x:c r="S37" s="599" t="n">
        <x:f>IF(OR(Q37="",Q37="待结算"),"",IF(Q37="红",R37,IF(Q37="半红",R37*0.5,IF(Q37="走",0,IF(Q37="半黑",-0.5,-1)))))</x:f>
        <x:v>1.02</x:v>
      </x:c>
      <x:c r="T37" s="595" t="inlineStr">
        <x:is>
          <x:t xml:space="preserve">https://m.titan007.com/analy/Analysis/3017156.htm</x:t>
        </x:is>
      </x:c>
      <x:c r="U37" s="641" t="str">
        <x:f>IF(Q37="","",IF(Q37="待结算","待结算",IF(Q37="红","黑",IF(Q37="半红","半黑",IF(Q37="走","走",IF(Q37="半黑","半红","红"))))))</x:f>
        <x:v>黑</x:v>
      </x:c>
      <x:c r="V37" s="599" t="n">
        <x:f>IF(OR(Q37="",Q37="待结算"),"",IF(L37=LEFT(F37,FIND(" vs ",F37)-1),I37,G37))</x:f>
        <x:v>0.8</x:v>
      </x:c>
      <x:c r="W37" s="599" t="n">
        <x:f>IF(OR(U37="",U37="待结算"),"",IF(U37="红",V37,IF(U37="半红",V37*0.5,IF(U37="走",0,IF(U37="半黑",-0.5,-1)))))</x:f>
        <x:v>-1</x:v>
      </x:c>
      <x:c r="X37" s="595" t="inlineStr">
        <x:is>
          <x:t xml:space="preserve">3017156</x:t>
        </x:is>
      </x:c>
      <x:c r="Y37" s="595" t="inlineStr">
        <x:is>
          <x:t xml:space="preserve">v4-market-dirichlet-20260913</x:t>
        </x:is>
      </x:c>
      <x:c r="Z37" s="595" t="inlineStr">
        <x:is>
          <x:t xml:space="preserve">prior-2026-09-14-v1</x:t>
        </x:is>
      </x:c>
      <x:c r="AA37" s="595" t="inlineStr">
        <x:is>
          <x:t xml:space="preserve">C</x:t>
        </x:is>
      </x:c>
      <x:c r="AB37" s="600" t="n">
        <x:v>0.4971428571428572</x:v>
      </x:c>
      <x:c r="AC37" s="600" t="n">
        <x:v>0</x:v>
      </x:c>
      <x:c r="AD37" s="600" t="n">
        <x:v>0</x:v>
      </x:c>
      <x:c r="AE37" s="600" t="n">
        <x:v>0</x:v>
      </x:c>
      <x:c r="AF37" s="600" t="n">
        <x:v>0.5028571428571429</x:v>
      </x:c>
      <x:c r="AG37" s="600" t="n">
        <x:v>0.00422857142857147</x:v>
      </x:c>
      <x:c r="AH37" s="600" t="n">
        <x:v>-0.1216847554167648</x:v>
      </x:c>
      <x:c r="AI37" s="600" t="n">
        <x:v>-0.09244830002021431</x:v>
      </x:c>
      <x:c r="AJ37" s="600" t="n">
        <x:v>0.004331450118395641</x:v>
      </x:c>
      <x:c r="AK37" s="600" t="n">
        <x:v>0.1001262295563876</x:v>
      </x:c>
      <x:c r="AL37" s="600" t="n">
        <x:v>0.1296395810164939</x:v>
      </x:c>
      <x:c r="AM37" s="600" t="n">
        <x:v>0.5244</x:v>
      </x:c>
      <x:c r="AN37" s="595" t="inlineStr">
        <x:is>
          <x:t xml:space="preserve">EVALUATED</x:t>
        </x:is>
      </x:c>
      <x:c r="AO37" s="600" t="inlineStr">
        <x:is>
          <x:t xml:space="preserve">BUCKET_0.50、SIDE_IDENTITY_VALID、MARKET_MOVE_DEEPER_WITH_GIVING_WATER_RISE</x:t>
        </x:is>
      </x:c>
      <x:c r="AP37" s="600" t="inlineStr">
        <x:is>
          <x:t xml:space="preserve">ad47904efcf44a522e7d</x:t>
        </x:is>
      </x:c>
      <x:c r="AQ37" s="600" t="n">
        <x:v>-0.5</x:v>
      </x:c>
      <x:c r="AR37" s="600" t="n">
        <x:v>1.02</x:v>
      </x:c>
      <x:c r="AS37" s="600" t="n">
        <x:v>-0.5</x:v>
      </x:c>
      <x:c r="AT37" s="600" t="n">
        <x:v>0.5</x:v>
      </x:c>
      <x:c r="AU37" s="600" t="n">
        <x:v>1.02</x:v>
      </x:c>
      <x:c r="AV37" s="600" t="n">
        <x:v>0.8</x:v>
      </x:c>
      <x:c r="AW37" s="595" t="n">
        <x:v>46279.59476246528</x:v>
      </x:c>
      <x:c r="AX37" s="595" t="inlineStr">
        <x:is>
          <x:t xml:space="preserve">https://simondongxiao.github.io/odds/v4/</x:t>
        </x:is>
      </x:c>
      <x:c r="AY37" s="595" t="inlineStr">
        <x:is>
          <x:t xml:space="preserve">V4 Shadow Only；real_money=false；P(EV&gt;0)不是比赛胜率</x:t>
        </x:is>
      </x:c>
    </x:row>
    <x:row r="38" ht="22" customHeight="1">
      <x:c r="A38" s="595" t="inlineStr">
        <x:is>
          <x:t xml:space="preserve">2026-09-14</x:t>
        </x:is>
      </x:c>
      <x:c r="B38" s="595" t="inlineStr">
        <x:is>
          <x:t xml:space="preserve">2026-09-15 00:00</x:t>
        </x:is>
      </x:c>
      <x:c r="C38" s="595" t="str">
        <x:v>欧洲非五大系列</x:v>
      </x:c>
      <x:c r="D38" s="595" t="inlineStr">
        <x:is>
          <x:t xml:space="preserve">联赛</x:t>
        </x:is>
      </x:c>
      <x:c r="E38" s="595" t="inlineStr">
        <x:is>
          <x:t xml:space="preserve">克亚甲</x:t>
        </x:is>
      </x:c>
      <x:c r="F38" s="595" t="inlineStr">
        <x:is>
          <x:t xml:space="preserve">HNK哥里卡 vs 瓦拉日丁</x:t>
        </x:is>
      </x:c>
      <x:c r="G38" s="596" t="n">
        <x:v>1</x:v>
      </x:c>
      <x:c r="H38" s="596" t="n">
        <x:v>-0.25</x:v>
      </x:c>
      <x:c r="I38" s="596" t="n">
        <x:v>0.82</x:v>
      </x:c>
      <x:c r="J38" s="596" t="inlineStr">
        <x:is>
          <x:t xml:space="preserve">1.00/-0.25/0.82</x:t>
        </x:is>
      </x:c>
      <x:c r="K38" s="595" t="inlineStr">
        <x:is>
          <x:t xml:space="preserve">V4-C｜EV +0.0017</x:t>
        </x:is>
      </x:c>
      <x:c r="L38" s="595" t="inlineStr">
        <x:is>
          <x:t xml:space="preserve">HNK哥里卡</x:t>
        </x:is>
      </x:c>
      <x:c r="M38" s="597" t="n">
        <x:v>0.5010224948875256</x:v>
      </x:c>
      <x:c r="N38" s="595" t="inlineStr">
        <x:is>
          <x:t xml:space="preserve">V4纸面入选-C</x:t>
        </x:is>
      </x:c>
      <x:c r="O38" s="595" t="inlineStr">
        <x:is>
          <x:t xml:space="preserve">2-2</x:t>
        </x:is>
      </x:c>
      <x:c r="P38" s="595" t="inlineStr">
        <x:is>
          <x:t xml:space="preserve">已结算</x:t>
        </x:is>
      </x:c>
      <x:c r="Q38" s="642" t="inlineStr">
        <x:is>
          <x:t xml:space="preserve">半红</x:t>
        </x:is>
      </x:c>
      <x:c r="R38" s="599" t="n">
        <x:v>1</x:v>
      </x:c>
      <x:c r="S38" s="599" t="n">
        <x:f>IF(OR(Q38="",Q38="待结算"),"",IF(Q38="红",R38,IF(Q38="半红",R38*0.5,IF(Q38="走",0,IF(Q38="半黑",-0.5,-1)))))</x:f>
        <x:v>0.5</x:v>
      </x:c>
      <x:c r="T38" s="595" t="inlineStr">
        <x:is>
          <x:t xml:space="preserve">https://m.titan007.com/analy/Analysis/2997522.htm</x:t>
        </x:is>
      </x:c>
      <x:c r="U38" s="643" t="str">
        <x:f>IF(Q38="","",IF(Q38="待结算","待结算",IF(Q38="红","黑",IF(Q38="半红","半黑",IF(Q38="走","走",IF(Q38="半黑","半红","红"))))))</x:f>
        <x:v>半黑</x:v>
      </x:c>
      <x:c r="V38" s="599" t="n">
        <x:f>IF(OR(Q38="",Q38="待结算"),"",IF(L38=LEFT(F38,FIND(" vs ",F38)-1),I38,G38))</x:f>
        <x:v>0.82</x:v>
      </x:c>
      <x:c r="W38" s="599" t="n">
        <x:f>IF(OR(U38="",U38="待结算"),"",IF(U38="红",V38,IF(U38="半红",V38*0.5,IF(U38="走",0,IF(U38="半黑",-0.5,-1)))))</x:f>
        <x:v>-0.5</x:v>
      </x:c>
      <x:c r="X38" s="595" t="inlineStr">
        <x:is>
          <x:t xml:space="preserve">2997522</x:t>
        </x:is>
      </x:c>
      <x:c r="Y38" s="595" t="inlineStr">
        <x:is>
          <x:t xml:space="preserve">v4-market-dirichlet-20260913</x:t>
        </x:is>
      </x:c>
      <x:c r="Z38" s="595" t="inlineStr">
        <x:is>
          <x:t xml:space="preserve">prior-2026-09-14-v1</x:t>
        </x:is>
      </x:c>
      <x:c r="AA38" s="595" t="inlineStr">
        <x:is>
          <x:t xml:space="preserve">C</x:t>
        </x:is>
      </x:c>
      <x:c r="AB38" s="600" t="n">
        <x:v>0.2743055555555556</x:v>
      </x:c>
      <x:c r="AC38" s="600" t="n">
        <x:v>0.3020833333333333</x:v>
      </x:c>
      <x:c r="AD38" s="600" t="n">
        <x:v>0</x:v>
      </x:c>
      <x:c r="AE38" s="600" t="n">
        <x:v>0</x:v>
      </x:c>
      <x:c r="AF38" s="600" t="n">
        <x:v>0.4236111111111111</x:v>
      </x:c>
      <x:c r="AG38" s="600" t="n">
        <x:v>0.001736111111111105</x:v>
      </x:c>
      <x:c r="AH38" s="600" t="n">
        <x:v>-0.08159639721007161</x:v>
      </x:c>
      <x:c r="AI38" s="600" t="n">
        <x:v>-0.06237343911233173</x:v>
      </x:c>
      <x:c r="AJ38" s="600" t="n">
        <x:v>0.001593845754379541</x:v>
      </x:c>
      <x:c r="AK38" s="600" t="n">
        <x:v>0.0670490240341588</x:v>
      </x:c>
      <x:c r="AL38" s="600" t="n">
        <x:v>0.08433795105920761</x:v>
      </x:c>
      <x:c r="AM38" s="600" t="n">
        <x:v>0.5124</x:v>
      </x:c>
      <x:c r="AN38" s="595" t="inlineStr">
        <x:is>
          <x:t xml:space="preserve">EVALUATED</x:t>
        </x:is>
      </x:c>
      <x:c r="AO38" s="600" t="inlineStr">
        <x:is>
          <x:t xml:space="preserve">BUCKET_0.25、SIDE_IDENTITY_VALID、FLAT_LINE_GIVING_WATER_DROP</x:t>
        </x:is>
      </x:c>
      <x:c r="AP38" s="600" t="inlineStr">
        <x:is>
          <x:t xml:space="preserve">e12192fa8d3db0070449</x:t>
        </x:is>
      </x:c>
      <x:c r="AQ38" s="600" t="n">
        <x:v>0.25</x:v>
      </x:c>
      <x:c r="AR38" s="600" t="n">
        <x:v>1</x:v>
      </x:c>
      <x:c r="AS38" s="600" t="n">
        <x:v>0.25</x:v>
      </x:c>
      <x:c r="AT38" s="600" t="n">
        <x:v>-0.25</x:v>
      </x:c>
      <x:c r="AU38" s="600" t="n">
        <x:v>1</x:v>
      </x:c>
      <x:c r="AV38" s="600" t="n">
        <x:v>0.82</x:v>
      </x:c>
      <x:c r="AW38" s="595" t="n">
        <x:v>46279.59476246528</x:v>
      </x:c>
      <x:c r="AX38" s="595" t="inlineStr">
        <x:is>
          <x:t xml:space="preserve">https://simondongxiao.github.io/odds/v4/</x:t>
        </x:is>
      </x:c>
      <x:c r="AY38" s="595" t="inlineStr">
        <x:is>
          <x:t xml:space="preserve">V4 Shadow Only；real_money=false；P(EV&gt;0)不是比赛胜率</x:t>
        </x:is>
      </x:c>
    </x:row>
    <x:row r="39" ht="22" customHeight="1">
      <x:c r="A39" s="595" t="inlineStr">
        <x:is>
          <x:t xml:space="preserve">2026-09-14</x:t>
        </x:is>
      </x:c>
      <x:c r="B39" s="595" t="inlineStr">
        <x:is>
          <x:t xml:space="preserve">2026-09-15 00:00</x:t>
        </x:is>
      </x:c>
      <x:c r="C39" s="595" t="str">
        <x:v>五大联赛非顶级联赛</x:v>
      </x:c>
      <x:c r="D39" s="595" t="inlineStr">
        <x:is>
          <x:t xml:space="preserve">联赛</x:t>
        </x:is>
      </x:c>
      <x:c r="E39" s="595" t="inlineStr">
        <x:is>
          <x:t xml:space="preserve">德女联</x:t>
        </x:is>
      </x:c>
      <x:c r="F39" s="595" t="inlineStr">
        <x:is>
          <x:t xml:space="preserve">勒沃库森女足 vs 拜仁慕尼黑女足</x:t>
        </x:is>
      </x:c>
      <x:c r="G39" s="596" t="n">
        <x:v>1.01</x:v>
      </x:c>
      <x:c r="H39" s="596" t="n">
        <x:v>-1.5</x:v>
      </x:c>
      <x:c r="I39" s="596" t="n">
        <x:v>0.6899999999999999</x:v>
      </x:c>
      <x:c r="J39" s="596" t="inlineStr">
        <x:is>
          <x:t xml:space="preserve">1.01/-1.5/0.69</x:t>
        </x:is>
      </x:c>
      <x:c r="K39" s="595" t="inlineStr">
        <x:is>
          <x:t xml:space="preserve">V4-C｜EV +0.0034</x:t>
        </x:is>
      </x:c>
      <x:c r="L39" s="595" t="inlineStr">
        <x:is>
          <x:t xml:space="preserve">拜仁慕尼黑女足</x:t>
        </x:is>
      </x:c>
      <x:c r="M39" s="597" t="n">
        <x:v>0.59375</x:v>
      </x:c>
      <x:c r="N39" s="595" t="inlineStr">
        <x:is>
          <x:t xml:space="preserve">V4纸面入选-C</x:t>
        </x:is>
      </x:c>
      <x:c r="O39" s="595" t="inlineStr">
        <x:is>
          <x:t xml:space="preserve">2-3</x:t>
        </x:is>
      </x:c>
      <x:c r="P39" s="595" t="inlineStr">
        <x:is>
          <x:t xml:space="preserve">已结算</x:t>
        </x:is>
      </x:c>
      <x:c r="Q39" s="641" t="inlineStr">
        <x:is>
          <x:t xml:space="preserve">黑</x:t>
        </x:is>
      </x:c>
      <x:c r="R39" s="599" t="n">
        <x:v>0.6899999999999999</x:v>
      </x:c>
      <x:c r="S39" s="599" t="n">
        <x:f>IF(OR(Q39="",Q39="待结算"),"",IF(Q39="红",R39,IF(Q39="半红",R39*0.5,IF(Q39="走",0,IF(Q39="半黑",-0.5,-1)))))</x:f>
        <x:v>-1</x:v>
      </x:c>
      <x:c r="T39" s="595" t="inlineStr">
        <x:is>
          <x:t xml:space="preserve">https://m.titan007.com/analy/Analysis/3034779.htm</x:t>
        </x:is>
      </x:c>
      <x:c r="U39" s="640" t="str">
        <x:f>IF(Q39="","",IF(Q39="待结算","待结算",IF(Q39="红","黑",IF(Q39="半红","半黑",IF(Q39="走","走",IF(Q39="半黑","半红","红"))))))</x:f>
        <x:v>红</x:v>
      </x:c>
      <x:c r="V39" s="599" t="n">
        <x:f>IF(OR(Q39="",Q39="待结算"),"",IF(L39=LEFT(F39,FIND(" vs ",F39)-1),I39,G39))</x:f>
        <x:v>1.01</x:v>
      </x:c>
      <x:c r="W39" s="599" t="n">
        <x:f>IF(OR(U39="",U39="待结算"),"",IF(U39="红",V39,IF(U39="半红",V39*0.5,IF(U39="走",0,IF(U39="半黑",-0.5,-1)))))</x:f>
        <x:v>1.01</x:v>
      </x:c>
      <x:c r="X39" s="595" t="inlineStr">
        <x:is>
          <x:t xml:space="preserve">3034779</x:t>
        </x:is>
      </x:c>
      <x:c r="Y39" s="595" t="inlineStr">
        <x:is>
          <x:t xml:space="preserve">v4-market-dirichlet-20260913</x:t>
        </x:is>
      </x:c>
      <x:c r="Z39" s="595" t="inlineStr">
        <x:is>
          <x:t xml:space="preserve">prior-2026-09-14-v1</x:t>
        </x:is>
      </x:c>
      <x:c r="AA39" s="595" t="inlineStr">
        <x:is>
          <x:t xml:space="preserve">C</x:t>
        </x:is>
      </x:c>
      <x:c r="AB39" s="600" t="n">
        <x:v>0.59375</x:v>
      </x:c>
      <x:c r="AC39" s="600" t="n">
        <x:v>0</x:v>
      </x:c>
      <x:c r="AD39" s="600" t="n">
        <x:v>0</x:v>
      </x:c>
      <x:c r="AE39" s="600" t="n">
        <x:v>0</x:v>
      </x:c>
      <x:c r="AF39" s="600" t="n">
        <x:v>0.40625</x:v>
      </x:c>
      <x:c r="AG39" s="600" t="n">
        <x:v>0.003437499999999982</x:v>
      </x:c>
      <x:c r="AH39" s="600" t="n">
        <x:v>-0.2395630759580347</x:v>
      </x:c>
      <x:c r="AI39" s="600" t="n">
        <x:v>-0.1886112941349781</x:v>
      </x:c>
      <x:c r="AJ39" s="600" t="n">
        <x:v>0.01110302725641726</x:v>
      </x:c>
      <x:c r="AK39" s="600" t="n">
        <x:v>0.1908628624505878</x:v>
      </x:c>
      <x:c r="AL39" s="600" t="n">
        <x:v>0.2383786742036118</x:v>
      </x:c>
      <x:c r="AM39" s="600" t="n">
        <x:v>0.5314</x:v>
      </x:c>
      <x:c r="AN39" s="595" t="inlineStr">
        <x:is>
          <x:t xml:space="preserve">EVALUATED</x:t>
        </x:is>
      </x:c>
      <x:c r="AO39" s="600" t="inlineStr">
        <x:is>
          <x:t xml:space="preserve">BUCKET_1.50、SIDE_IDENTITY_VALID、MARKET_MOVE_LINE_STRENGTH_WITH_GIVING_RESISTANCE</x:t>
        </x:is>
      </x:c>
      <x:c r="AP39" s="600" t="inlineStr">
        <x:is>
          <x:t xml:space="preserve">3823db9f88f0439530b0</x:t>
        </x:is>
      </x:c>
      <x:c r="AQ39" s="600" t="n">
        <x:v>-1.5</x:v>
      </x:c>
      <x:c r="AR39" s="600" t="n">
        <x:v>0.6899999999999999</x:v>
      </x:c>
      <x:c r="AS39" s="600" t="n">
        <x:v>1.5</x:v>
      </x:c>
      <x:c r="AT39" s="600" t="n">
        <x:v>-1.5</x:v>
      </x:c>
      <x:c r="AU39" s="600" t="n">
        <x:v>1.01</x:v>
      </x:c>
      <x:c r="AV39" s="600" t="n">
        <x:v>0.6899999999999999</x:v>
      </x:c>
      <x:c r="AW39" s="595" t="n">
        <x:v>46279.59476246528</x:v>
      </x:c>
      <x:c r="AX39" s="595" t="inlineStr">
        <x:is>
          <x:t xml:space="preserve">https://simondongxiao.github.io/odds/v4/</x:t>
        </x:is>
      </x:c>
      <x:c r="AY39" s="595" t="inlineStr">
        <x:is>
          <x:t xml:space="preserve">V4 Shadow Only；real_money=false；P(EV&gt;0)不是比赛胜率</x:t>
        </x:is>
      </x:c>
    </x:row>
    <x:row r="40" ht="22" customHeight="1">
      <x:c r="A40" s="595" t="inlineStr">
        <x:is>
          <x:t xml:space="preserve">2026-09-14</x:t>
        </x:is>
      </x:c>
      <x:c r="B40" s="595" t="inlineStr">
        <x:is>
          <x:t xml:space="preserve">2026-09-15 00:00</x:t>
        </x:is>
      </x:c>
      <x:c r="C40" s="595" t="str">
        <x:v>欧洲非五大系列</x:v>
      </x:c>
      <x:c r="D40" s="595" t="inlineStr">
        <x:is>
          <x:t xml:space="preserve">联赛</x:t>
        </x:is>
      </x:c>
      <x:c r="E40" s="595" t="inlineStr">
        <x:is>
          <x:t xml:space="preserve">挪丙</x:t>
        </x:is>
      </x:c>
      <x:c r="F40" s="595" t="inlineStr">
        <x:is>
          <x:t xml:space="preserve">艾科拉 vs 奥特格宁兰B队</x:t>
        </x:is>
      </x:c>
      <x:c r="G40" s="596" t="n">
        <x:v>1.08</x:v>
      </x:c>
      <x:c r="H40" s="596" t="n">
        <x:v>-1</x:v>
      </x:c>
      <x:c r="I40" s="596" t="n">
        <x:v>0.62</x:v>
      </x:c>
      <x:c r="J40" s="596" t="inlineStr">
        <x:is>
          <x:t xml:space="preserve">1.08/-1/0.62</x:t>
        </x:is>
      </x:c>
      <x:c r="K40" s="595" t="inlineStr">
        <x:is>
          <x:t xml:space="preserve">V4-C｜EV +0.0995</x:t>
        </x:is>
      </x:c>
      <x:c r="L40" s="595" t="inlineStr">
        <x:is>
          <x:t xml:space="preserve">艾科拉</x:t>
        </x:is>
      </x:c>
      <x:c r="M40" s="597" t="n">
        <x:v>0.5423728813559322</x:v>
      </x:c>
      <x:c r="N40" s="595" t="inlineStr">
        <x:is>
          <x:t xml:space="preserve">V4纸面入选-C</x:t>
        </x:is>
      </x:c>
      <x:c r="O40" s="595" t="inlineStr">
        <x:is>
          <x:t xml:space="preserve">1-0</x:t>
        </x:is>
      </x:c>
      <x:c r="P40" s="595" t="inlineStr">
        <x:is>
          <x:t xml:space="preserve">已结算</x:t>
        </x:is>
      </x:c>
      <x:c r="Q40" s="640" t="inlineStr">
        <x:is>
          <x:t xml:space="preserve">红</x:t>
        </x:is>
      </x:c>
      <x:c r="R40" s="599" t="n">
        <x:v>1.08</x:v>
      </x:c>
      <x:c r="S40" s="599" t="n">
        <x:f>IF(OR(Q40="",Q40="待结算"),"",IF(Q40="红",R40,IF(Q40="半红",R40*0.5,IF(Q40="走",0,IF(Q40="半黑",-0.5,-1)))))</x:f>
        <x:v>1.08</x:v>
      </x:c>
      <x:c r="T40" s="595" t="inlineStr">
        <x:is>
          <x:t xml:space="preserve">https://m.titan007.com/analy/Analysis/2968061.htm</x:t>
        </x:is>
      </x:c>
      <x:c r="U40" s="641" t="str">
        <x:f>IF(Q40="","",IF(Q40="待结算","待结算",IF(Q40="红","黑",IF(Q40="半红","半黑",IF(Q40="走","走",IF(Q40="半黑","半红","红"))))))</x:f>
        <x:v>黑</x:v>
      </x:c>
      <x:c r="V40" s="599" t="n">
        <x:f>IF(OR(Q40="",Q40="待结算"),"",IF(L40=LEFT(F40,FIND(" vs ",F40)-1),I40,G40))</x:f>
        <x:v>0.62</x:v>
      </x:c>
      <x:c r="W40" s="599" t="n">
        <x:f>IF(OR(U40="",U40="待结算"),"",IF(U40="红",V40,IF(U40="半红",V40*0.5,IF(U40="走",0,IF(U40="半黑",-0.5,-1)))))</x:f>
        <x:v>-1</x:v>
      </x:c>
      <x:c r="X40" s="595" t="inlineStr">
        <x:is>
          <x:t xml:space="preserve">2968061</x:t>
        </x:is>
      </x:c>
      <x:c r="Y40" s="595" t="inlineStr">
        <x:is>
          <x:t xml:space="preserve">v4-market-dirichlet-20260913</x:t>
        </x:is>
      </x:c>
      <x:c r="Z40" s="595" t="inlineStr">
        <x:is>
          <x:t xml:space="preserve">prior-2026-09-14-v1</x:t>
        </x:is>
      </x:c>
      <x:c r="AA40" s="595" t="inlineStr">
        <x:is>
          <x:t xml:space="preserve">C</x:t>
        </x:is>
      </x:c>
      <x:c r="AB40" s="600" t="n">
        <x:v>0.4210526315789473</x:v>
      </x:c>
      <x:c r="AC40" s="600" t="n">
        <x:v>0</x:v>
      </x:c>
      <x:c r="AD40" s="600" t="n">
        <x:v>0.2236842105263158</x:v>
      </x:c>
      <x:c r="AE40" s="600" t="n">
        <x:v>0</x:v>
      </x:c>
      <x:c r="AF40" s="600" t="n">
        <x:v>0.3552631578947368</x:v>
      </x:c>
      <x:c r="AG40" s="600" t="n">
        <x:v>0.09947368421052633</x:v>
      </x:c>
      <x:c r="AH40" s="600" t="n">
        <x:v>-0.07557483605086801</x:v>
      </x:c>
      <x:c r="AI40" s="600" t="n">
        <x:v>-0.03535465514006919</x:v>
      </x:c>
      <x:c r="AJ40" s="600" t="n">
        <x:v>0.09709323438124812</x:v>
      </x:c>
      <x:c r="AK40" s="600" t="n">
        <x:v>0.2312793389048626</x:v>
      </x:c>
      <x:c r="AL40" s="600" t="n">
        <x:v>0.2665919973210762</x:v>
      </x:c>
      <x:c r="AM40" s="600" t="n">
        <x:v>0.8288</x:v>
      </x:c>
      <x:c r="AN40" s="595" t="inlineStr">
        <x:is>
          <x:t xml:space="preserve">EVALUATED</x:t>
        </x:is>
      </x:c>
      <x:c r="AO40" s="600" t="inlineStr">
        <x:is>
          <x:t xml:space="preserve">BUCKET_1.00、SIDE_IDENTITY_VALID、FLAT_LINE_GIVING_WATER_DROP</x:t>
        </x:is>
      </x:c>
      <x:c r="AP40" s="600" t="inlineStr">
        <x:is>
          <x:t xml:space="preserve">3761319e9eb0b92f589d</x:t>
        </x:is>
      </x:c>
      <x:c r="AQ40" s="600" t="n">
        <x:v>1</x:v>
      </x:c>
      <x:c r="AR40" s="600" t="n">
        <x:v>1.08</x:v>
      </x:c>
      <x:c r="AS40" s="600" t="n">
        <x:v>1</x:v>
      </x:c>
      <x:c r="AT40" s="600" t="n">
        <x:v>-1</x:v>
      </x:c>
      <x:c r="AU40" s="600" t="n">
        <x:v>1.08</x:v>
      </x:c>
      <x:c r="AV40" s="600" t="n">
        <x:v>0.62</x:v>
      </x:c>
      <x:c r="AW40" s="595" t="n">
        <x:v>46279.59476246528</x:v>
      </x:c>
      <x:c r="AX40" s="595" t="inlineStr">
        <x:is>
          <x:t xml:space="preserve">https://simondongxiao.github.io/odds/v4/</x:t>
        </x:is>
      </x:c>
      <x:c r="AY40" s="595" t="inlineStr">
        <x:is>
          <x:t xml:space="preserve">V4 Shadow Only；real_money=false；P(EV&gt;0)不是比赛胜率</x:t>
        </x:is>
      </x:c>
    </x:row>
    <x:row r="41" ht="22" customHeight="1">
      <x:c r="A41" s="595" t="inlineStr">
        <x:is>
          <x:t xml:space="preserve">2026-09-14</x:t>
        </x:is>
      </x:c>
      <x:c r="B41" s="595" t="inlineStr">
        <x:is>
          <x:t xml:space="preserve">2026-09-15 00:05</x:t>
        </x:is>
      </x:c>
      <x:c r="C41" s="595" t="str">
        <x:v>西亚/中亚系列</x:v>
      </x:c>
      <x:c r="D41" s="595" t="inlineStr">
        <x:is>
          <x:t xml:space="preserve">联赛</x:t>
        </x:is>
      </x:c>
      <x:c r="E41" s="595" t="inlineStr">
        <x:is>
          <x:t xml:space="preserve">沙地甲</x:t>
        </x:is>
      </x:c>
      <x:c r="F41" s="595" t="inlineStr">
        <x:is>
          <x:t xml:space="preserve">阿尔乌拉 vs 吉达里比亚</x:t>
        </x:is>
      </x:c>
      <x:c r="G41" s="596" t="n">
        <x:v>0.76</x:v>
      </x:c>
      <x:c r="H41" s="596" t="n">
        <x:v>2</x:v>
      </x:c>
      <x:c r="I41" s="596" t="n">
        <x:v>1.06</x:v>
      </x:c>
      <x:c r="J41" s="596" t="inlineStr">
        <x:is>
          <x:t xml:space="preserve">0.76/2/1.06</x:t>
        </x:is>
      </x:c>
      <x:c r="K41" s="595" t="inlineStr">
        <x:is>
          <x:t xml:space="preserve">V4-C｜EV +0.1150</x:t>
        </x:is>
      </x:c>
      <x:c r="L41" s="595" t="inlineStr">
        <x:is>
          <x:t xml:space="preserve">阿尔乌拉</x:t>
        </x:is>
      </x:c>
      <x:c r="M41" s="597" t="n">
        <x:v>0.6428571428571429</x:v>
      </x:c>
      <x:c r="N41" s="595" t="inlineStr">
        <x:is>
          <x:t xml:space="preserve">V4纸面入选-C</x:t>
        </x:is>
      </x:c>
      <x:c r="O41" s="595" t="inlineStr">
        <x:is>
          <x:t xml:space="preserve">3-0</x:t>
        </x:is>
      </x:c>
      <x:c r="P41" s="595" t="inlineStr">
        <x:is>
          <x:t xml:space="preserve">已结算</x:t>
        </x:is>
      </x:c>
      <x:c r="Q41" s="640" t="inlineStr">
        <x:is>
          <x:t xml:space="preserve">红</x:t>
        </x:is>
      </x:c>
      <x:c r="R41" s="599" t="n">
        <x:v>0.76</x:v>
      </x:c>
      <x:c r="S41" s="599" t="n">
        <x:f>IF(OR(Q41="",Q41="待结算"),"",IF(Q41="红",R41,IF(Q41="半红",R41*0.5,IF(Q41="走",0,IF(Q41="半黑",-0.5,-1)))))</x:f>
        <x:v>0.76</x:v>
      </x:c>
      <x:c r="T41" s="595" t="inlineStr">
        <x:is>
          <x:t xml:space="preserve">https://m.titan007.com/analy/Analysis/3048489.htm</x:t>
        </x:is>
      </x:c>
      <x:c r="U41" s="641" t="str">
        <x:f>IF(Q41="","",IF(Q41="待结算","待结算",IF(Q41="红","黑",IF(Q41="半红","半黑",IF(Q41="走","走",IF(Q41="半黑","半红","红"))))))</x:f>
        <x:v>黑</x:v>
      </x:c>
      <x:c r="V41" s="599" t="n">
        <x:f>IF(OR(Q41="",Q41="待结算"),"",IF(L41=LEFT(F41,FIND(" vs ",F41)-1),I41,G41))</x:f>
        <x:v>1.06</x:v>
      </x:c>
      <x:c r="W41" s="599" t="n">
        <x:f>IF(OR(U41="",U41="待结算"),"",IF(U41="红",V41,IF(U41="半红",V41*0.5,IF(U41="走",0,IF(U41="半黑",-0.5,-1)))))</x:f>
        <x:v>-1</x:v>
      </x:c>
      <x:c r="X41" s="595" t="inlineStr">
        <x:is>
          <x:t xml:space="preserve">3048489</x:t>
        </x:is>
      </x:c>
      <x:c r="Y41" s="595" t="inlineStr">
        <x:is>
          <x:t xml:space="preserve">v4-market-dirichlet-20260913</x:t>
        </x:is>
      </x:c>
      <x:c r="Z41" s="595" t="inlineStr">
        <x:is>
          <x:t xml:space="preserve">prior-2026-09-14-v1</x:t>
        </x:is>
      </x:c>
      <x:c r="AA41" s="595" t="inlineStr">
        <x:is>
          <x:t xml:space="preserve">C</x:t>
        </x:is>
      </x:c>
      <x:c r="AB41" s="600" t="n">
        <x:v>0.5625</x:v>
      </x:c>
      <x:c r="AC41" s="600" t="n">
        <x:v>0</x:v>
      </x:c>
      <x:c r="AD41" s="600" t="n">
        <x:v>0.125</x:v>
      </x:c>
      <x:c r="AE41" s="600" t="n">
        <x:v>0</x:v>
      </x:c>
      <x:c r="AF41" s="600" t="n">
        <x:v>0.3125</x:v>
      </x:c>
      <x:c r="AG41" s="600" t="n">
        <x:v>0.115</x:v>
      </x:c>
      <x:c r="AH41" s="600" t="n">
        <x:v>-0.214892928195555</x:v>
      </x:c>
      <x:c r="AI41" s="600" t="n">
        <x:v>-0.1339859685764078</x:v>
      </x:c>
      <x:c r="AJ41" s="600" t="n">
        <x:v>0.1298803516029427</x:v>
      </x:c>
      <x:c r="AK41" s="600" t="n">
        <x:v>0.3579776936684679</x:v>
      </x:c>
      <x:c r="AL41" s="600" t="n">
        <x:v>0.4177890542875414</x:v>
      </x:c>
      <x:c r="AM41" s="600" t="n">
        <x:v>0.7422</x:v>
      </x:c>
      <x:c r="AN41" s="595" t="inlineStr">
        <x:is>
          <x:t xml:space="preserve">EVALUATED</x:t>
        </x:is>
      </x:c>
      <x:c r="AO41" s="600" t="inlineStr">
        <x:is>
          <x:t xml:space="preserve">BUCKET_2.00、SIDE_IDENTITY_VALID、MARKET_MOVE_LINE_STRENGTH_WITH_GIVING_RESISTANCE</x:t>
        </x:is>
      </x:c>
      <x:c r="AP41" s="600" t="inlineStr">
        <x:is>
          <x:t xml:space="preserve">578c621354069c7cac97</x:t>
        </x:is>
      </x:c>
      <x:c r="AQ41" s="600" t="n">
        <x:v>-2</x:v>
      </x:c>
      <x:c r="AR41" s="600" t="n">
        <x:v>0.76</x:v>
      </x:c>
      <x:c r="AS41" s="600" t="n">
        <x:v>-2</x:v>
      </x:c>
      <x:c r="AT41" s="600" t="n">
        <x:v>2</x:v>
      </x:c>
      <x:c r="AU41" s="600" t="n">
        <x:v>0.76</x:v>
      </x:c>
      <x:c r="AV41" s="600" t="n">
        <x:v>1.06</x:v>
      </x:c>
      <x:c r="AW41" s="595" t="n">
        <x:v>46279.59476246528</x:v>
      </x:c>
      <x:c r="AX41" s="595" t="inlineStr">
        <x:is>
          <x:t xml:space="preserve">https://simondongxiao.github.io/odds/v4/</x:t>
        </x:is>
      </x:c>
      <x:c r="AY41" s="595" t="inlineStr">
        <x:is>
          <x:t xml:space="preserve">V4 Shadow Only；real_money=false；P(EV&gt;0)不是比赛胜率</x:t>
        </x:is>
      </x:c>
    </x:row>
    <x:row r="42" ht="22" customHeight="1">
      <x:c r="A42" s="595" t="inlineStr">
        <x:is>
          <x:t xml:space="preserve">2026-09-14</x:t>
        </x:is>
      </x:c>
      <x:c r="B42" s="595" t="inlineStr">
        <x:is>
          <x:t xml:space="preserve">2026-09-15 00:05</x:t>
        </x:is>
      </x:c>
      <x:c r="C42" s="595" t="str">
        <x:v>西亚/中亚系列</x:v>
      </x:c>
      <x:c r="D42" s="595" t="inlineStr">
        <x:is>
          <x:t xml:space="preserve">联赛</x:t>
        </x:is>
      </x:c>
      <x:c r="E42" s="595" t="inlineStr">
        <x:is>
          <x:t xml:space="preserve">沙地甲</x:t>
        </x:is>
      </x:c>
      <x:c r="F42" s="595" t="inlineStr">
        <x:is>
          <x:t xml:space="preserve">麦加统一 vs 阿科多</x:t>
        </x:is>
      </x:c>
      <x:c r="G42" s="596" t="n">
        <x:v>0.6899999999999999</x:v>
      </x:c>
      <x:c r="H42" s="596" t="n">
        <x:v>0.25</x:v>
      </x:c>
      <x:c r="I42" s="596" t="n">
        <x:v>1.14</x:v>
      </x:c>
      <x:c r="J42" s="596" t="inlineStr">
        <x:is>
          <x:t xml:space="preserve">0.69/0.25/1.14</x:t>
        </x:is>
      </x:c>
      <x:c r="K42" s="595" t="inlineStr">
        <x:is>
          <x:t xml:space="preserve">V4-B｜EV +0.0613</x:t>
        </x:is>
      </x:c>
      <x:c r="L42" s="595" t="inlineStr">
        <x:is>
          <x:t xml:space="preserve">阿科多</x:t>
        </x:is>
      </x:c>
      <x:c r="M42" s="597" t="n">
        <x:v>0.5010224948875256</x:v>
      </x:c>
      <x:c r="N42" s="595" t="inlineStr">
        <x:is>
          <x:t xml:space="preserve">V4纸面入选-B</x:t>
        </x:is>
      </x:c>
      <x:c r="O42" s="595" t="inlineStr">
        <x:is>
          <x:t xml:space="preserve">4-2</x:t>
        </x:is>
      </x:c>
      <x:c r="P42" s="595" t="inlineStr">
        <x:is>
          <x:t xml:space="preserve">已结算</x:t>
        </x:is>
      </x:c>
      <x:c r="Q42" s="641" t="inlineStr">
        <x:is>
          <x:t xml:space="preserve">黑</x:t>
        </x:is>
      </x:c>
      <x:c r="R42" s="599" t="n">
        <x:v>1.14</x:v>
      </x:c>
      <x:c r="S42" s="599" t="n">
        <x:f>IF(OR(Q42="",Q42="待结算"),"",IF(Q42="红",R42,IF(Q42="半红",R42*0.5,IF(Q42="走",0,IF(Q42="半黑",-0.5,-1)))))</x:f>
        <x:v>-1</x:v>
      </x:c>
      <x:c r="T42" s="595" t="inlineStr">
        <x:is>
          <x:t xml:space="preserve">https://m.titan007.com/analy/Analysis/3048490.htm</x:t>
        </x:is>
      </x:c>
      <x:c r="U42" s="640" t="str">
        <x:f>IF(Q42="","",IF(Q42="待结算","待结算",IF(Q42="红","黑",IF(Q42="半红","半黑",IF(Q42="走","走",IF(Q42="半黑","半红","红"))))))</x:f>
        <x:v>红</x:v>
      </x:c>
      <x:c r="V42" s="599" t="n">
        <x:f>IF(OR(Q42="",Q42="待结算"),"",IF(L42=LEFT(F42,FIND(" vs ",F42)-1),I42,G42))</x:f>
        <x:v>0.69</x:v>
      </x:c>
      <x:c r="W42" s="599" t="n">
        <x:f>IF(OR(U42="",U42="待结算"),"",IF(U42="红",V42,IF(U42="半红",V42*0.5,IF(U42="走",0,IF(U42="半黑",-0.5,-1)))))</x:f>
        <x:v>0.69</x:v>
      </x:c>
      <x:c r="X42" s="595" t="inlineStr">
        <x:is>
          <x:t xml:space="preserve">3048490</x:t>
        </x:is>
      </x:c>
      <x:c r="Y42" s="595" t="inlineStr">
        <x:is>
          <x:t xml:space="preserve">v4-market-dirichlet-20260913</x:t>
        </x:is>
      </x:c>
      <x:c r="Z42" s="595" t="inlineStr">
        <x:is>
          <x:t xml:space="preserve">prior-2026-09-14-v1</x:t>
        </x:is>
      </x:c>
      <x:c r="AA42" s="595" t="inlineStr">
        <x:is>
          <x:t xml:space="preserve">B</x:t>
        </x:is>
      </x:c>
      <x:c r="AB42" s="600" t="n">
        <x:v>0.2743055555555556</x:v>
      </x:c>
      <x:c r="AC42" s="600" t="n">
        <x:v>0.3020833333333333</x:v>
      </x:c>
      <x:c r="AD42" s="600" t="n">
        <x:v>0</x:v>
      </x:c>
      <x:c r="AE42" s="600" t="n">
        <x:v>0</x:v>
      </x:c>
      <x:c r="AF42" s="600" t="n">
        <x:v>0.4236111111111111</x:v>
      </x:c>
      <x:c r="AG42" s="600" t="n">
        <x:v>0.0612847222222222</x:v>
      </x:c>
      <x:c r="AH42" s="600" t="n">
        <x:v>-0.02753532883850179</x:v>
      </x:c>
      <x:c r="AI42" s="600" t="n">
        <x:v>-0.0086548141848663</x:v>
      </x:c>
      <x:c r="AJ42" s="600" t="n">
        <x:v>0.06076911252704009</x:v>
      </x:c>
      <x:c r="AK42" s="600" t="n">
        <x:v>0.1305071806079351</x:v>
      </x:c>
      <x:c r="AL42" s="600" t="n">
        <x:v>0.1506803354480172</x:v>
      </x:c>
      <x:c r="AM42" s="600" t="n">
        <x:v>0.8698</x:v>
      </x:c>
      <x:c r="AN42" s="595" t="inlineStr">
        <x:is>
          <x:t xml:space="preserve">EVALUATED</x:t>
        </x:is>
      </x:c>
      <x:c r="AO42" s="600" t="inlineStr">
        <x:is>
          <x:t xml:space="preserve">BUCKET_0.25、SIDE_IDENTITY_VALID、FLAT_LINE_GIVING_WATER_DROP</x:t>
        </x:is>
      </x:c>
      <x:c r="AP42" s="600" t="inlineStr">
        <x:is>
          <x:t xml:space="preserve">70f85c7c7bd11a9f0a8e</x:t>
        </x:is>
      </x:c>
      <x:c r="AQ42" s="600" t="n">
        <x:v>0.25</x:v>
      </x:c>
      <x:c r="AR42" s="600" t="n">
        <x:v>1.14</x:v>
      </x:c>
      <x:c r="AS42" s="600" t="n">
        <x:v>-0.25</x:v>
      </x:c>
      <x:c r="AT42" s="600" t="n">
        <x:v>0.25</x:v>
      </x:c>
      <x:c r="AU42" s="600" t="n">
        <x:v>0.6899999999999999</x:v>
      </x:c>
      <x:c r="AV42" s="600" t="n">
        <x:v>1.14</x:v>
      </x:c>
      <x:c r="AW42" s="595" t="n">
        <x:v>46279.59476246528</x:v>
      </x:c>
      <x:c r="AX42" s="595" t="inlineStr">
        <x:is>
          <x:t xml:space="preserve">https://simondongxiao.github.io/odds/v4/</x:t>
        </x:is>
      </x:c>
      <x:c r="AY42" s="595" t="inlineStr">
        <x:is>
          <x:t xml:space="preserve">V4 Shadow Only；real_money=false；P(EV&gt;0)不是比赛胜率</x:t>
        </x:is>
      </x:c>
    </x:row>
    <x:row r="43" ht="22" customHeight="1">
      <x:c r="A43" s="595" t="inlineStr">
        <x:is>
          <x:t xml:space="preserve">2026-09-14</x:t>
        </x:is>
      </x:c>
      <x:c r="B43" s="595" t="inlineStr">
        <x:is>
          <x:t xml:space="preserve">2026-09-15 00:30</x:t>
        </x:is>
      </x:c>
      <x:c r="C43" s="595" t="str">
        <x:v>欧洲非五大系列</x:v>
      </x:c>
      <x:c r="D43" s="595" t="inlineStr">
        <x:is>
          <x:t xml:space="preserve">联赛</x:t>
        </x:is>
      </x:c>
      <x:c r="E43" s="595" t="inlineStr">
        <x:is>
          <x:t xml:space="preserve">俄甲</x:t>
        </x:is>
      </x:c>
      <x:c r="F43" s="595" t="inlineStr">
        <x:is>
          <x:t xml:space="preserve">韦莱斯 vs 索契</x:t>
        </x:is>
      </x:c>
      <x:c r="G43" s="596" t="n">
        <x:v>1.02</x:v>
      </x:c>
      <x:c r="H43" s="596" t="n">
        <x:v>-0.25</x:v>
      </x:c>
      <x:c r="I43" s="596" t="n">
        <x:v>0.8</x:v>
      </x:c>
      <x:c r="J43" s="596" t="inlineStr">
        <x:is>
          <x:t xml:space="preserve">1.02/-0.25/0.80</x:t>
        </x:is>
      </x:c>
      <x:c r="K43" s="595" t="inlineStr">
        <x:is>
          <x:t xml:space="preserve">V4-C｜EV +0.0102</x:t>
        </x:is>
      </x:c>
      <x:c r="L43" s="595" t="inlineStr">
        <x:is>
          <x:t xml:space="preserve">韦莱斯</x:t>
        </x:is>
      </x:c>
      <x:c r="M43" s="597" t="n">
        <x:v>0.5010224948875256</x:v>
      </x:c>
      <x:c r="N43" s="595" t="inlineStr">
        <x:is>
          <x:t xml:space="preserve">V4纸面入选-C</x:t>
        </x:is>
      </x:c>
      <x:c r="O43" s="595" t="inlineStr">
        <x:is>
          <x:t xml:space="preserve">1-2</x:t>
        </x:is>
      </x:c>
      <x:c r="P43" s="595" t="inlineStr">
        <x:is>
          <x:t xml:space="preserve">已结算</x:t>
        </x:is>
      </x:c>
      <x:c r="Q43" s="641" t="inlineStr">
        <x:is>
          <x:t xml:space="preserve">黑</x:t>
        </x:is>
      </x:c>
      <x:c r="R43" s="599" t="n">
        <x:v>1.02</x:v>
      </x:c>
      <x:c r="S43" s="599" t="n">
        <x:f>IF(OR(Q43="",Q43="待结算"),"",IF(Q43="红",R43,IF(Q43="半红",R43*0.5,IF(Q43="走",0,IF(Q43="半黑",-0.5,-1)))))</x:f>
        <x:v>-1</x:v>
      </x:c>
      <x:c r="T43" s="595" t="inlineStr">
        <x:is>
          <x:t xml:space="preserve">https://m.titan007.com/analy/Analysis/3021987.htm</x:t>
        </x:is>
      </x:c>
      <x:c r="U43" s="640" t="str">
        <x:f>IF(Q43="","",IF(Q43="待结算","待结算",IF(Q43="红","黑",IF(Q43="半红","半黑",IF(Q43="走","走",IF(Q43="半黑","半红","红"))))))</x:f>
        <x:v>红</x:v>
      </x:c>
      <x:c r="V43" s="599" t="n">
        <x:f>IF(OR(Q43="",Q43="待结算"),"",IF(L43=LEFT(F43,FIND(" vs ",F43)-1),I43,G43))</x:f>
        <x:v>0.8</x:v>
      </x:c>
      <x:c r="W43" s="599" t="n">
        <x:f>IF(OR(U43="",U43="待结算"),"",IF(U43="红",V43,IF(U43="半红",V43*0.5,IF(U43="走",0,IF(U43="半黑",-0.5,-1)))))</x:f>
        <x:v>0.8</x:v>
      </x:c>
      <x:c r="X43" s="595" t="inlineStr">
        <x:is>
          <x:t xml:space="preserve">3021987</x:t>
        </x:is>
      </x:c>
      <x:c r="Y43" s="595" t="inlineStr">
        <x:is>
          <x:t xml:space="preserve">v4-market-dirichlet-20260913</x:t>
        </x:is>
      </x:c>
      <x:c r="Z43" s="595" t="inlineStr">
        <x:is>
          <x:t xml:space="preserve">prior-2026-09-14-v1</x:t>
        </x:is>
      </x:c>
      <x:c r="AA43" s="595" t="inlineStr">
        <x:is>
          <x:t xml:space="preserve">C</x:t>
        </x:is>
      </x:c>
      <x:c r="AB43" s="600" t="n">
        <x:v>0.2743055555555556</x:v>
      </x:c>
      <x:c r="AC43" s="600" t="n">
        <x:v>0.3020833333333333</x:v>
      </x:c>
      <x:c r="AD43" s="600" t="n">
        <x:v>0</x:v>
      </x:c>
      <x:c r="AE43" s="600" t="n">
        <x:v>0</x:v>
      </x:c>
      <x:c r="AF43" s="600" t="n">
        <x:v>0.4236111111111111</x:v>
      </x:c>
      <x:c r="AG43" s="600" t="n">
        <x:v>0.0102430555555556</x:v>
      </x:c>
      <x:c r="AH43" s="600" t="n">
        <x:v>-0.07603819152294833</x:v>
      </x:c>
      <x:c r="AI43" s="600" t="n">
        <x:v>-0.05857026861197112</x:v>
      </x:c>
      <x:c r="AJ43" s="600" t="n">
        <x:v>0.009990007546755275</x:v>
      </x:c>
      <x:c r="AK43" s="600" t="n">
        <x:v>0.07488331766536072</x:v>
      </x:c>
      <x:c r="AL43" s="600" t="n">
        <x:v>0.09263421298612423</x:v>
      </x:c>
      <x:c r="AM43" s="600" t="n">
        <x:v>0.5728</x:v>
      </x:c>
      <x:c r="AN43" s="595" t="inlineStr">
        <x:is>
          <x:t xml:space="preserve">EVALUATED</x:t>
        </x:is>
      </x:c>
      <x:c r="AO43" s="600" t="inlineStr">
        <x:is>
          <x:t xml:space="preserve">BUCKET_0.25、SIDE_IDENTITY_VALID、MARKET_MOVE_SHALLOWER_WITH_GIVING_WATER_RESISTANCE</x:t>
        </x:is>
      </x:c>
      <x:c r="AP43" s="600" t="inlineStr">
        <x:is>
          <x:t xml:space="preserve">d832550198e8acacb15c</x:t>
        </x:is>
      </x:c>
      <x:c r="AQ43" s="600" t="n">
        <x:v>0.25</x:v>
      </x:c>
      <x:c r="AR43" s="600" t="n">
        <x:v>1.02</x:v>
      </x:c>
      <x:c r="AS43" s="600" t="n">
        <x:v>0.25</x:v>
      </x:c>
      <x:c r="AT43" s="600" t="n">
        <x:v>-0.25</x:v>
      </x:c>
      <x:c r="AU43" s="600" t="n">
        <x:v>1.02</x:v>
      </x:c>
      <x:c r="AV43" s="600" t="n">
        <x:v>0.8</x:v>
      </x:c>
      <x:c r="AW43" s="595" t="n">
        <x:v>46279.59476246528</x:v>
      </x:c>
      <x:c r="AX43" s="595" t="inlineStr">
        <x:is>
          <x:t xml:space="preserve">https://simondongxiao.github.io/odds/v4/</x:t>
        </x:is>
      </x:c>
      <x:c r="AY43" s="595" t="inlineStr">
        <x:is>
          <x:t xml:space="preserve">V4 Shadow Only；real_money=false；P(EV&gt;0)不是比赛胜率</x:t>
        </x:is>
      </x:c>
    </x:row>
    <x:row r="44" ht="22" customHeight="1">
      <x:c r="A44" s="595" t="inlineStr">
        <x:is>
          <x:t xml:space="preserve">2026-09-14</x:t>
        </x:is>
      </x:c>
      <x:c r="B44" s="595" t="inlineStr">
        <x:is>
          <x:t xml:space="preserve">2026-09-15 01:00</x:t>
        </x:is>
      </x:c>
      <x:c r="C44" s="595" t="str">
        <x:v>欧洲非五大系列</x:v>
      </x:c>
      <x:c r="D44" s="595" t="inlineStr">
        <x:is>
          <x:t xml:space="preserve">联赛</x:t>
        </x:is>
      </x:c>
      <x:c r="E44" s="595" t="inlineStr">
        <x:is>
          <x:t xml:space="preserve">瑞典超</x:t>
        </x:is>
      </x:c>
      <x:c r="F44" s="595" t="inlineStr">
        <x:is>
          <x:t xml:space="preserve">尤尔加登 vs 哥德堡盖斯</x:t>
        </x:is>
      </x:c>
      <x:c r="G44" s="596" t="n">
        <x:v>1.09</x:v>
      </x:c>
      <x:c r="H44" s="596" t="n">
        <x:v>1.25</x:v>
      </x:c>
      <x:c r="I44" s="596" t="n">
        <x:v>0.8</x:v>
      </x:c>
      <x:c r="J44" s="596" t="inlineStr">
        <x:is>
          <x:t xml:space="preserve">1.09/1.25/0.80</x:t>
        </x:is>
      </x:c>
      <x:c r="K44" s="595" t="inlineStr">
        <x:is>
          <x:t xml:space="preserve">V4-C｜EV +0.0485</x:t>
        </x:is>
      </x:c>
      <x:c r="L44" s="595" t="inlineStr">
        <x:is>
          <x:t xml:space="preserve">尤尔加登</x:t>
        </x:is>
      </x:c>
      <x:c r="M44" s="597" t="n">
        <x:v>0.5054945054945055</x:v>
      </x:c>
      <x:c r="N44" s="595" t="inlineStr">
        <x:is>
          <x:t xml:space="preserve">V4纸面入选-C</x:t>
        </x:is>
      </x:c>
      <x:c r="O44" s="595" t="inlineStr">
        <x:is>
          <x:t xml:space="preserve">2-0</x:t>
        </x:is>
      </x:c>
      <x:c r="P44" s="595" t="inlineStr">
        <x:is>
          <x:t xml:space="preserve">已结算</x:t>
        </x:is>
      </x:c>
      <x:c r="Q44" s="640" t="inlineStr">
        <x:is>
          <x:t xml:space="preserve">红</x:t>
        </x:is>
      </x:c>
      <x:c r="R44" s="599" t="n">
        <x:v>1.09</x:v>
      </x:c>
      <x:c r="S44" s="599" t="n">
        <x:f>IF(OR(Q44="",Q44="待结算"),"",IF(Q44="红",R44,IF(Q44="半红",R44*0.5,IF(Q44="走",0,IF(Q44="半黑",-0.5,-1)))))</x:f>
        <x:v>1.09</x:v>
      </x:c>
      <x:c r="T44" s="595" t="inlineStr">
        <x:is>
          <x:t xml:space="preserve">https://m.titan007.com/analy/Analysis/2912268.htm</x:t>
        </x:is>
      </x:c>
      <x:c r="U44" s="641" t="str">
        <x:f>IF(Q44="","",IF(Q44="待结算","待结算",IF(Q44="红","黑",IF(Q44="半红","半黑",IF(Q44="走","走",IF(Q44="半黑","半红","红"))))))</x:f>
        <x:v>黑</x:v>
      </x:c>
      <x:c r="V44" s="599" t="n">
        <x:f>IF(OR(Q44="",Q44="待结算"),"",IF(L44=LEFT(F44,FIND(" vs ",F44)-1),I44,G44))</x:f>
        <x:v>0.8</x:v>
      </x:c>
      <x:c r="W44" s="599" t="n">
        <x:f>IF(OR(U44="",U44="待结算"),"",IF(U44="红",V44,IF(U44="半红",V44*0.5,IF(U44="走",0,IF(U44="半黑",-0.5,-1)))))</x:f>
        <x:v>-1</x:v>
      </x:c>
      <x:c r="X44" s="595" t="inlineStr">
        <x:is>
          <x:t xml:space="preserve">2912268</x:t>
        </x:is>
      </x:c>
      <x:c r="Y44" s="595" t="inlineStr">
        <x:is>
          <x:t xml:space="preserve">v4-market-dirichlet-20260913</x:t>
        </x:is>
      </x:c>
      <x:c r="Z44" s="595" t="inlineStr">
        <x:is>
          <x:t xml:space="preserve">prior-2026-09-14-v1</x:t>
        </x:is>
      </x:c>
      <x:c r="AA44" s="595" t="inlineStr">
        <x:is>
          <x:t xml:space="preserve">C</x:t>
        </x:is>
      </x:c>
      <x:c r="AB44" s="600" t="n">
        <x:v>0.4339622641509434</x:v>
      </x:c>
      <x:c r="AC44" s="600" t="n">
        <x:v>0</x:v>
      </x:c>
      <x:c r="AD44" s="600" t="n">
        <x:v>0</x:v>
      </x:c>
      <x:c r="AE44" s="600" t="n">
        <x:v>0.2830188679245283</x:v>
      </x:c>
      <x:c r="AF44" s="600" t="n">
        <x:v>0.2830188679245283</x:v>
      </x:c>
      <x:c r="AG44" s="600" t="n">
        <x:v>0.04849056603773588</x:v>
      </x:c>
      <x:c r="AH44" s="600" t="n">
        <x:v>-0.1581831901745225</x:v>
      </x:c>
      <x:c r="AI44" s="600" t="n">
        <x:v>-0.1133131781250919</x:v>
      </x:c>
      <x:c r="AJ44" s="600" t="n">
        <x:v>0.04869125376288863</x:v>
      </x:c>
      <x:c r="AK44" s="600" t="n">
        <x:v>0.2122165876724839</x:v>
      </x:c>
      <x:c r="AL44" s="600" t="n">
        <x:v>0.2613196796452981</x:v>
      </x:c>
      <x:c r="AM44" s="600" t="n">
        <x:v>0.652</x:v>
      </x:c>
      <x:c r="AN44" s="595" t="inlineStr">
        <x:is>
          <x:t xml:space="preserve">EVALUATED</x:t>
        </x:is>
      </x:c>
      <x:c r="AO44" s="600" t="inlineStr">
        <x:is>
          <x:t xml:space="preserve">BUCKET_1.25、SIDE_IDENTITY_VALID、MARKET_MOVE_DEEPER_WITH_GIVING_WATER_RISE</x:t>
        </x:is>
      </x:c>
      <x:c r="AP44" s="600" t="inlineStr">
        <x:is>
          <x:t xml:space="preserve">b9e4c44508eb825b642a</x:t>
        </x:is>
      </x:c>
      <x:c r="AQ44" s="600" t="n">
        <x:v>-1.25</x:v>
      </x:c>
      <x:c r="AR44" s="600" t="n">
        <x:v>1.09</x:v>
      </x:c>
      <x:c r="AS44" s="600" t="n">
        <x:v>-1.25</x:v>
      </x:c>
      <x:c r="AT44" s="600" t="n">
        <x:v>1.25</x:v>
      </x:c>
      <x:c r="AU44" s="600" t="n">
        <x:v>1.09</x:v>
      </x:c>
      <x:c r="AV44" s="600" t="n">
        <x:v>0.8</x:v>
      </x:c>
      <x:c r="AW44" s="595" t="n">
        <x:v>46279.59476246528</x:v>
      </x:c>
      <x:c r="AX44" s="595" t="inlineStr">
        <x:is>
          <x:t xml:space="preserve">https://simondongxiao.github.io/odds/v4/</x:t>
        </x:is>
      </x:c>
      <x:c r="AY44" s="595" t="inlineStr">
        <x:is>
          <x:t xml:space="preserve">V4 Shadow Only；real_money=false；P(EV&gt;0)不是比赛胜率</x:t>
        </x:is>
      </x:c>
    </x:row>
    <x:row r="45" ht="22" customHeight="1">
      <x:c r="A45" s="595" t="inlineStr">
        <x:is>
          <x:t xml:space="preserve">2026-09-14</x:t>
        </x:is>
      </x:c>
      <x:c r="B45" s="595" t="inlineStr">
        <x:is>
          <x:t xml:space="preserve">2026-09-15 01:00</x:t>
        </x:is>
      </x:c>
      <x:c r="C45" s="595" t="str">
        <x:v>欧洲非五大系列</x:v>
      </x:c>
      <x:c r="D45" s="595" t="inlineStr">
        <x:is>
          <x:t xml:space="preserve">联赛</x:t>
        </x:is>
      </x:c>
      <x:c r="E45" s="595" t="inlineStr">
        <x:is>
          <x:t xml:space="preserve">土超</x:t>
        </x:is>
      </x:c>
      <x:c r="F45" s="595" t="inlineStr">
        <x:is>
          <x:t xml:space="preserve">加济安泰普大都会 vs 费内巴切</x:t>
        </x:is>
      </x:c>
      <x:c r="G45" s="596" t="n">
        <x:v>1.04</x:v>
      </x:c>
      <x:c r="H45" s="596" t="n">
        <x:v>-1</x:v>
      </x:c>
      <x:c r="I45" s="596" t="n">
        <x:v>0.85</x:v>
      </x:c>
      <x:c r="J45" s="596" t="inlineStr">
        <x:is>
          <x:t xml:space="preserve">1.04/-1/0.85</x:t>
        </x:is>
      </x:c>
      <x:c r="K45" s="595" t="inlineStr">
        <x:is>
          <x:t xml:space="preserve">V4-C｜EV +0.0826</x:t>
        </x:is>
      </x:c>
      <x:c r="L45" s="595" t="inlineStr">
        <x:is>
          <x:t xml:space="preserve">加济安泰普大都会</x:t>
        </x:is>
      </x:c>
      <x:c r="M45" s="597" t="n">
        <x:v>0.5423728813559322</x:v>
      </x:c>
      <x:c r="N45" s="595" t="inlineStr">
        <x:is>
          <x:t xml:space="preserve">V4纸面入选-C</x:t>
        </x:is>
      </x:c>
      <x:c r="O45" s="595" t="inlineStr">
        <x:is>
          <x:t xml:space="preserve">0-0</x:t>
        </x:is>
      </x:c>
      <x:c r="P45" s="595" t="inlineStr">
        <x:is>
          <x:t xml:space="preserve">已结算</x:t>
        </x:is>
      </x:c>
      <x:c r="Q45" s="640" t="inlineStr">
        <x:is>
          <x:t xml:space="preserve">红</x:t>
        </x:is>
      </x:c>
      <x:c r="R45" s="599" t="n">
        <x:v>1.04</x:v>
      </x:c>
      <x:c r="S45" s="599" t="n">
        <x:f>IF(OR(Q45="",Q45="待结算"),"",IF(Q45="红",R45,IF(Q45="半红",R45*0.5,IF(Q45="走",0,IF(Q45="半黑",-0.5,-1)))))</x:f>
        <x:v>1.04</x:v>
      </x:c>
      <x:c r="T45" s="595" t="inlineStr">
        <x:is>
          <x:t xml:space="preserve">https://m.titan007.com/analy/Analysis/3026729.htm</x:t>
        </x:is>
      </x:c>
      <x:c r="U45" s="641" t="str">
        <x:f>IF(Q45="","",IF(Q45="待结算","待结算",IF(Q45="红","黑",IF(Q45="半红","半黑",IF(Q45="走","走",IF(Q45="半黑","半红","红"))))))</x:f>
        <x:v>黑</x:v>
      </x:c>
      <x:c r="V45" s="599" t="n">
        <x:f>IF(OR(Q45="",Q45="待结算"),"",IF(L45=LEFT(F45,FIND(" vs ",F45)-1),I45,G45))</x:f>
        <x:v>0.85</x:v>
      </x:c>
      <x:c r="W45" s="599" t="n">
        <x:f>IF(OR(U45="",U45="待结算"),"",IF(U45="红",V45,IF(U45="半红",V45*0.5,IF(U45="走",0,IF(U45="半黑",-0.5,-1)))))</x:f>
        <x:v>-1</x:v>
      </x:c>
      <x:c r="X45" s="595" t="inlineStr">
        <x:is>
          <x:t xml:space="preserve">3026729</x:t>
        </x:is>
      </x:c>
      <x:c r="Y45" s="595" t="inlineStr">
        <x:is>
          <x:t xml:space="preserve">v4-market-dirichlet-20260913</x:t>
        </x:is>
      </x:c>
      <x:c r="Z45" s="595" t="inlineStr">
        <x:is>
          <x:t xml:space="preserve">prior-2026-09-14-v1</x:t>
        </x:is>
      </x:c>
      <x:c r="AA45" s="595" t="inlineStr">
        <x:is>
          <x:t xml:space="preserve">C</x:t>
        </x:is>
      </x:c>
      <x:c r="AB45" s="600" t="n">
        <x:v>0.4210526315789473</x:v>
      </x:c>
      <x:c r="AC45" s="600" t="n">
        <x:v>0</x:v>
      </x:c>
      <x:c r="AD45" s="600" t="n">
        <x:v>0.2236842105263158</x:v>
      </x:c>
      <x:c r="AE45" s="600" t="n">
        <x:v>0</x:v>
      </x:c>
      <x:c r="AF45" s="600" t="n">
        <x:v>0.3552631578947368</x:v>
      </x:c>
      <x:c r="AG45" s="600" t="n">
        <x:v>0.08263157894736844</x:v>
      </x:c>
      <x:c r="AH45" s="600" t="n">
        <x:v>-0.08773142033517051</x:v>
      </x:c>
      <x:c r="AI45" s="600" t="n">
        <x:v>-0.05550792752203959</x:v>
      </x:c>
      <x:c r="AJ45" s="600" t="n">
        <x:v>0.08030986181208416</x:v>
      </x:c>
      <x:c r="AK45" s="600" t="n">
        <x:v>0.2135324005390879</x:v>
      </x:c>
      <x:c r="AL45" s="600" t="n">
        <x:v>0.2454491433222898</x:v>
      </x:c>
      <x:c r="AM45" s="600" t="n">
        <x:v>0.7864</x:v>
      </x:c>
      <x:c r="AN45" s="595" t="inlineStr">
        <x:is>
          <x:t xml:space="preserve">EVALUATED</x:t>
        </x:is>
      </x:c>
      <x:c r="AO45" s="600" t="inlineStr">
        <x:is>
          <x:t xml:space="preserve">BUCKET_1.00、SIDE_IDENTITY_VALID、FLAT_LINE_GIVING_WATER_DROP</x:t>
        </x:is>
      </x:c>
      <x:c r="AP45" s="600" t="inlineStr">
        <x:is>
          <x:t xml:space="preserve">c6fdeab2f80b4af64ada</x:t>
        </x:is>
      </x:c>
      <x:c r="AQ45" s="600" t="n">
        <x:v>1</x:v>
      </x:c>
      <x:c r="AR45" s="600" t="n">
        <x:v>1.04</x:v>
      </x:c>
      <x:c r="AS45" s="600" t="n">
        <x:v>1</x:v>
      </x:c>
      <x:c r="AT45" s="600" t="n">
        <x:v>-1</x:v>
      </x:c>
      <x:c r="AU45" s="600" t="n">
        <x:v>1.04</x:v>
      </x:c>
      <x:c r="AV45" s="600" t="n">
        <x:v>0.85</x:v>
      </x:c>
      <x:c r="AW45" s="595" t="n">
        <x:v>46279.59476246528</x:v>
      </x:c>
      <x:c r="AX45" s="595" t="inlineStr">
        <x:is>
          <x:t xml:space="preserve">https://simondongxiao.github.io/odds/v4/</x:t>
        </x:is>
      </x:c>
      <x:c r="AY45" s="595" t="inlineStr">
        <x:is>
          <x:t xml:space="preserve">V4 Shadow Only；real_money=false；P(EV&gt;0)不是比赛胜率</x:t>
        </x:is>
      </x:c>
    </x:row>
    <x:row r="46" ht="22" customHeight="1">
      <x:c r="A46" s="595" t="inlineStr">
        <x:is>
          <x:t xml:space="preserve">2026-09-14</x:t>
        </x:is>
      </x:c>
      <x:c r="B46" s="595" t="inlineStr">
        <x:is>
          <x:t xml:space="preserve">2026-09-15 01:00</x:t>
        </x:is>
      </x:c>
      <x:c r="C46" s="595" t="str">
        <x:v>欧洲非五大系列</x:v>
      </x:c>
      <x:c r="D46" s="595" t="inlineStr">
        <x:is>
          <x:t xml:space="preserve">联赛</x:t>
        </x:is>
      </x:c>
      <x:c r="E46" s="595" t="inlineStr">
        <x:is>
          <x:t xml:space="preserve">丹麦超</x:t>
        </x:is>
      </x:c>
      <x:c r="F46" s="595" t="inlineStr">
        <x:is>
          <x:t xml:space="preserve">中日德兰 vs 布隆德比</x:t>
        </x:is>
      </x:c>
      <x:c r="G46" s="596" t="n">
        <x:v>1.03</x:v>
      </x:c>
      <x:c r="H46" s="596" t="n">
        <x:v>0.75</x:v>
      </x:c>
      <x:c r="I46" s="596" t="n">
        <x:v>0.86</x:v>
      </x:c>
      <x:c r="J46" s="596" t="inlineStr">
        <x:is>
          <x:t xml:space="preserve">1.03/0.75/0.86</x:t>
        </x:is>
      </x:c>
      <x:c r="K46" s="595" t="inlineStr">
        <x:is>
          <x:t xml:space="preserve">V4-C｜EV +0.0004</x:t>
        </x:is>
      </x:c>
      <x:c r="L46" s="595" t="inlineStr">
        <x:is>
          <x:t xml:space="preserve">中日德兰</x:t>
        </x:is>
      </x:c>
      <x:c r="M46" s="597" t="n">
        <x:v>0.4928229665071771</x:v>
      </x:c>
      <x:c r="N46" s="595" t="inlineStr">
        <x:is>
          <x:t xml:space="preserve">V4纸面入选-C</x:t>
        </x:is>
      </x:c>
      <x:c r="O46" s="595" t="inlineStr">
        <x:is>
          <x:t xml:space="preserve">4-1</x:t>
        </x:is>
      </x:c>
      <x:c r="P46" s="595" t="inlineStr">
        <x:is>
          <x:t xml:space="preserve">已结算</x:t>
        </x:is>
      </x:c>
      <x:c r="Q46" s="640" t="inlineStr">
        <x:is>
          <x:t xml:space="preserve">红</x:t>
        </x:is>
      </x:c>
      <x:c r="R46" s="599" t="n">
        <x:v>1.03</x:v>
      </x:c>
      <x:c r="S46" s="599" t="n">
        <x:f>IF(OR(Q46="",Q46="待结算"),"",IF(Q46="红",R46,IF(Q46="半红",R46*0.5,IF(Q46="走",0,IF(Q46="半黑",-0.5,-1)))))</x:f>
        <x:v>1.03</x:v>
      </x:c>
      <x:c r="T46" s="595" t="inlineStr">
        <x:is>
          <x:t xml:space="preserve">https://m.titan007.com/analy/Analysis/2998244.htm</x:t>
        </x:is>
      </x:c>
      <x:c r="U46" s="641" t="str">
        <x:f>IF(Q46="","",IF(Q46="待结算","待结算",IF(Q46="红","黑",IF(Q46="半红","半黑",IF(Q46="走","走",IF(Q46="半黑","半红","红"))))))</x:f>
        <x:v>黑</x:v>
      </x:c>
      <x:c r="V46" s="599" t="n">
        <x:f>IF(OR(Q46="",Q46="待结算"),"",IF(L46=LEFT(F46,FIND(" vs ",F46)-1),I46,G46))</x:f>
        <x:v>0.86</x:v>
      </x:c>
      <x:c r="W46" s="599" t="n">
        <x:f>IF(OR(U46="",U46="待结算"),"",IF(U46="红",V46,IF(U46="半红",V46*0.5,IF(U46="走",0,IF(U46="半黑",-0.5,-1)))))</x:f>
        <x:v>-1</x:v>
      </x:c>
      <x:c r="X46" s="595" t="inlineStr">
        <x:is>
          <x:t xml:space="preserve">2998244</x:t>
        </x:is>
      </x:c>
      <x:c r="Y46" s="595" t="inlineStr">
        <x:is>
          <x:t xml:space="preserve">v4-market-dirichlet-20260913</x:t>
        </x:is>
      </x:c>
      <x:c r="Z46" s="595" t="inlineStr">
        <x:is>
          <x:t xml:space="preserve">prior-2026-09-14-v1</x:t>
        </x:is>
      </x:c>
      <x:c r="AA46" s="595" t="inlineStr">
        <x:is>
          <x:t xml:space="preserve">C</x:t>
        </x:is>
      </x:c>
      <x:c r="AB46" s="600" t="n">
        <x:v>0.3</x:v>
      </x:c>
      <x:c r="AC46" s="600" t="n">
        <x:v>0.2583333333333334</x:v>
      </x:c>
      <x:c r="AD46" s="600" t="n">
        <x:v>0</x:v>
      </x:c>
      <x:c r="AE46" s="600" t="n">
        <x:v>0</x:v>
      </x:c>
      <x:c r="AF46" s="600" t="n">
        <x:v>0.4416666666666667</x:v>
      </x:c>
      <x:c r="AG46" s="600" t="n">
        <x:v>0.0003750000000000142</x:v>
      </x:c>
      <x:c r="AH46" s="600" t="n">
        <x:v>-0.1378946157881137</x:v>
      </x:c>
      <x:c r="AI46" s="600" t="n">
        <x:v>-0.1084570572836958</x:v>
      </x:c>
      <x:c r="AJ46" s="600" t="n">
        <x:v>-0.0004310486846265116</x:v>
      </x:c>
      <x:c r="AK46" s="600" t="n">
        <x:v>0.1058022343119943</x:v>
      </x:c>
      <x:c r="AL46" s="600" t="n">
        <x:v>0.1344609166316227</x:v>
      </x:c>
      <x:c r="AM46" s="600" t="n">
        <x:v>0.498</x:v>
      </x:c>
      <x:c r="AN46" s="595" t="inlineStr">
        <x:is>
          <x:t xml:space="preserve">EVALUATED</x:t>
        </x:is>
      </x:c>
      <x:c r="AO46" s="600" t="inlineStr">
        <x:is>
          <x:t xml:space="preserve">BUCKET_0.75、SIDE_IDENTITY_VALID、MARKET_MOVE_DEEPER_WITH_GIVING_WATER_RISE</x:t>
        </x:is>
      </x:c>
      <x:c r="AP46" s="600" t="inlineStr">
        <x:is>
          <x:t xml:space="preserve">12018a36f8c19b406cfa</x:t>
        </x:is>
      </x:c>
      <x:c r="AQ46" s="600" t="n">
        <x:v>-0.75</x:v>
      </x:c>
      <x:c r="AR46" s="600" t="n">
        <x:v>1.03</x:v>
      </x:c>
      <x:c r="AS46" s="600" t="n">
        <x:v>-0.75</x:v>
      </x:c>
      <x:c r="AT46" s="600" t="n">
        <x:v>0.75</x:v>
      </x:c>
      <x:c r="AU46" s="600" t="n">
        <x:v>1.03</x:v>
      </x:c>
      <x:c r="AV46" s="600" t="n">
        <x:v>0.86</x:v>
      </x:c>
      <x:c r="AW46" s="595" t="n">
        <x:v>46279.59476246528</x:v>
      </x:c>
      <x:c r="AX46" s="595" t="inlineStr">
        <x:is>
          <x:t xml:space="preserve">https://simondongxiao.github.io/odds/v4/</x:t>
        </x:is>
      </x:c>
      <x:c r="AY46" s="595" t="inlineStr">
        <x:is>
          <x:t xml:space="preserve">V4 Shadow Only；real_money=false；P(EV&gt;0)不是比赛胜率</x:t>
        </x:is>
      </x:c>
    </x:row>
    <x:row r="47" ht="22" customHeight="1">
      <x:c r="A47" s="595" t="inlineStr">
        <x:is>
          <x:t xml:space="preserve">2026-09-14</x:t>
        </x:is>
      </x:c>
      <x:c r="B47" s="595" t="inlineStr">
        <x:is>
          <x:t xml:space="preserve">2026-09-15 01:00</x:t>
        </x:is>
      </x:c>
      <x:c r="C47" s="595" t="str">
        <x:v>西亚/中亚系列</x:v>
      </x:c>
      <x:c r="D47" s="595" t="inlineStr">
        <x:is>
          <x:t xml:space="preserve">联赛</x:t>
        </x:is>
      </x:c>
      <x:c r="E47" s="595" t="inlineStr">
        <x:is>
          <x:t xml:space="preserve">以超</x:t>
        </x:is>
      </x:c>
      <x:c r="F47" s="595" t="inlineStr">
        <x:is>
          <x:t xml:space="preserve">基尔史莫纳夏普尔 vs 海法马卡比</x:t>
        </x:is>
      </x:c>
      <x:c r="G47" s="596" t="n">
        <x:v>1.05</x:v>
      </x:c>
      <x:c r="H47" s="596" t="n">
        <x:v>-0.5</x:v>
      </x:c>
      <x:c r="I47" s="596" t="n">
        <x:v>0.65</x:v>
      </x:c>
      <x:c r="J47" s="596" t="inlineStr">
        <x:is>
          <x:t xml:space="preserve">1.05/-0.5/0.65</x:t>
        </x:is>
      </x:c>
      <x:c r="K47" s="595" t="inlineStr">
        <x:is>
          <x:t xml:space="preserve">V4-C｜EV +0.0309</x:t>
        </x:is>
      </x:c>
      <x:c r="L47" s="595" t="inlineStr">
        <x:is>
          <x:t xml:space="preserve">基尔史莫纳夏普尔</x:t>
        </x:is>
      </x:c>
      <x:c r="M47" s="597" t="n">
        <x:v>0.5028571428571429</x:v>
      </x:c>
      <x:c r="N47" s="595" t="inlineStr">
        <x:is>
          <x:t xml:space="preserve">V4纸面入选-C</x:t>
        </x:is>
      </x:c>
      <x:c r="O47" s="595" t="inlineStr">
        <x:is>
          <x:t xml:space="preserve">0-4</x:t>
        </x:is>
      </x:c>
      <x:c r="P47" s="595" t="inlineStr">
        <x:is>
          <x:t xml:space="preserve">已结算</x:t>
        </x:is>
      </x:c>
      <x:c r="Q47" s="641" t="inlineStr">
        <x:is>
          <x:t xml:space="preserve">黑</x:t>
        </x:is>
      </x:c>
      <x:c r="R47" s="599" t="n">
        <x:v>1.05</x:v>
      </x:c>
      <x:c r="S47" s="599" t="n">
        <x:f>IF(OR(Q47="",Q47="待结算"),"",IF(Q47="红",R47,IF(Q47="半红",R47*0.5,IF(Q47="走",0,IF(Q47="半黑",-0.5,-1)))))</x:f>
        <x:v>-1</x:v>
      </x:c>
      <x:c r="T47" s="595" t="inlineStr">
        <x:is>
          <x:t xml:space="preserve">https://m.titan007.com/analy/Analysis/3001608.htm</x:t>
        </x:is>
      </x:c>
      <x:c r="U47" s="640" t="str">
        <x:f>IF(Q47="","",IF(Q47="待结算","待结算",IF(Q47="红","黑",IF(Q47="半红","半黑",IF(Q47="走","走",IF(Q47="半黑","半红","红"))))))</x:f>
        <x:v>红</x:v>
      </x:c>
      <x:c r="V47" s="599" t="n">
        <x:f>IF(OR(Q47="",Q47="待结算"),"",IF(L47=LEFT(F47,FIND(" vs ",F47)-1),I47,G47))</x:f>
        <x:v>0.65</x:v>
      </x:c>
      <x:c r="W47" s="599" t="n">
        <x:f>IF(OR(U47="",U47="待结算"),"",IF(U47="红",V47,IF(U47="半红",V47*0.5,IF(U47="走",0,IF(U47="半黑",-0.5,-1)))))</x:f>
        <x:v>0.65</x:v>
      </x:c>
      <x:c r="X47" s="595" t="inlineStr">
        <x:is>
          <x:t xml:space="preserve">3001608</x:t>
        </x:is>
      </x:c>
      <x:c r="Y47" s="595" t="inlineStr">
        <x:is>
          <x:t xml:space="preserve">v4-market-dirichlet-20260913</x:t>
        </x:is>
      </x:c>
      <x:c r="Z47" s="595" t="inlineStr">
        <x:is>
          <x:t xml:space="preserve">prior-2026-09-14-v1</x:t>
        </x:is>
      </x:c>
      <x:c r="AA47" s="595" t="inlineStr">
        <x:is>
          <x:t xml:space="preserve">C</x:t>
        </x:is>
      </x:c>
      <x:c r="AB47" s="600" t="n">
        <x:v>0.5028571428571429</x:v>
      </x:c>
      <x:c r="AC47" s="600" t="n">
        <x:v>0</x:v>
      </x:c>
      <x:c r="AD47" s="600" t="n">
        <x:v>0</x:v>
      </x:c>
      <x:c r="AE47" s="600" t="n">
        <x:v>0</x:v>
      </x:c>
      <x:c r="AF47" s="600" t="n">
        <x:v>0.4971428571428572</x:v>
      </x:c>
      <x:c r="AG47" s="600" t="n">
        <x:v>0.03085714285714286</x:v>
      </x:c>
      <x:c r="AH47" s="600" t="n">
        <x:v>-0.0994889021227417</x:v>
      </x:c>
      <x:c r="AI47" s="600" t="n">
        <x:v>-0.06965471367836806</x:v>
      </x:c>
      <x:c r="AJ47" s="600" t="n">
        <x:v>0.03195998152745716</x:v>
      </x:c>
      <x:c r="AK47" s="600" t="n">
        <x:v>0.1294098444852928</x:v>
      </x:c>
      <x:c r="AL47" s="600" t="n">
        <x:v>0.1568889598512132</x:v>
      </x:c>
      <x:c r="AM47" s="600" t="n">
        <x:v>0.66</x:v>
      </x:c>
      <x:c r="AN47" s="595" t="inlineStr">
        <x:is>
          <x:t xml:space="preserve">EVALUATED</x:t>
        </x:is>
      </x:c>
      <x:c r="AO47" s="600" t="inlineStr">
        <x:is>
          <x:t xml:space="preserve">BUCKET_0.50、SIDE_IDENTITY_VALID、FLAT_LINE_GIVING_WATER_DROP</x:t>
        </x:is>
      </x:c>
      <x:c r="AP47" s="600" t="inlineStr">
        <x:is>
          <x:t xml:space="preserve">658cbba22a26528d770e</x:t>
        </x:is>
      </x:c>
      <x:c r="AQ47" s="600" t="n">
        <x:v>0.5</x:v>
      </x:c>
      <x:c r="AR47" s="600" t="n">
        <x:v>1.05</x:v>
      </x:c>
      <x:c r="AS47" s="600" t="n">
        <x:v>0.5</x:v>
      </x:c>
      <x:c r="AT47" s="600" t="n">
        <x:v>-0.5</x:v>
      </x:c>
      <x:c r="AU47" s="600" t="n">
        <x:v>1.05</x:v>
      </x:c>
      <x:c r="AV47" s="600" t="n">
        <x:v>0.65</x:v>
      </x:c>
      <x:c r="AW47" s="595" t="n">
        <x:v>46279.59476246528</x:v>
      </x:c>
      <x:c r="AX47" s="595" t="inlineStr">
        <x:is>
          <x:t xml:space="preserve">https://simondongxiao.github.io/odds/v4/</x:t>
        </x:is>
      </x:c>
      <x:c r="AY47" s="595" t="inlineStr">
        <x:is>
          <x:t xml:space="preserve">V4 Shadow Only；real_money=false；P(EV&gt;0)不是比赛胜率</x:t>
        </x:is>
      </x:c>
    </x:row>
    <x:row r="48" ht="22" customHeight="1">
      <x:c r="A48" s="595" t="inlineStr">
        <x:is>
          <x:t xml:space="preserve">2026-09-14</x:t>
        </x:is>
      </x:c>
      <x:c r="B48" s="595" t="inlineStr">
        <x:is>
          <x:t xml:space="preserve">2026-09-15 01:00</x:t>
        </x:is>
      </x:c>
      <x:c r="C48" s="595" t="str">
        <x:v>欧洲非五大系列</x:v>
      </x:c>
      <x:c r="D48" s="595" t="inlineStr">
        <x:is>
          <x:t xml:space="preserve">联赛</x:t>
        </x:is>
      </x:c>
      <x:c r="E48" s="595" t="inlineStr">
        <x:is>
          <x:t xml:space="preserve">土甲</x:t>
        </x:is>
      </x:c>
      <x:c r="F48" s="595" t="inlineStr">
        <x:is>
          <x:t xml:space="preserve">开塞利体育 vs 伊斯坦堡士邦</x:t>
        </x:is>
      </x:c>
      <x:c r="G48" s="596" t="n">
        <x:v>0.99</x:v>
      </x:c>
      <x:c r="H48" s="596" t="n">
        <x:v>1.25</x:v>
      </x:c>
      <x:c r="I48" s="596" t="n">
        <x:v>0.87</x:v>
      </x:c>
      <x:c r="J48" s="596" t="inlineStr">
        <x:is>
          <x:t xml:space="preserve">0.99/1.25/0.87</x:t>
        </x:is>
      </x:c>
      <x:c r="K48" s="595" t="inlineStr">
        <x:is>
          <x:t xml:space="preserve">V4-C｜EV +0.0051</x:t>
        </x:is>
      </x:c>
      <x:c r="L48" s="595" t="inlineStr">
        <x:is>
          <x:t xml:space="preserve">开塞利体育</x:t>
        </x:is>
      </x:c>
      <x:c r="M48" s="597" t="n">
        <x:v>0.5054945054945055</x:v>
      </x:c>
      <x:c r="N48" s="595" t="inlineStr">
        <x:is>
          <x:t xml:space="preserve">V4纸面入选-C</x:t>
        </x:is>
      </x:c>
      <x:c r="O48" s="595" t="inlineStr">
        <x:is>
          <x:t xml:space="preserve">4-0</x:t>
        </x:is>
      </x:c>
      <x:c r="P48" s="595" t="inlineStr">
        <x:is>
          <x:t xml:space="preserve">已结算</x:t>
        </x:is>
      </x:c>
      <x:c r="Q48" s="640" t="inlineStr">
        <x:is>
          <x:t xml:space="preserve">红</x:t>
        </x:is>
      </x:c>
      <x:c r="R48" s="599" t="n">
        <x:v>0.99</x:v>
      </x:c>
      <x:c r="S48" s="599" t="n">
        <x:f>IF(OR(Q48="",Q48="待结算"),"",IF(Q48="红",R48,IF(Q48="半红",R48*0.5,IF(Q48="走",0,IF(Q48="半黑",-0.5,-1)))))</x:f>
        <x:v>0.99</x:v>
      </x:c>
      <x:c r="T48" s="595" t="inlineStr">
        <x:is>
          <x:t xml:space="preserve">https://m.titan007.com/analy/Analysis/3030150.htm</x:t>
        </x:is>
      </x:c>
      <x:c r="U48" s="641" t="str">
        <x:f>IF(Q48="","",IF(Q48="待结算","待结算",IF(Q48="红","黑",IF(Q48="半红","半黑",IF(Q48="走","走",IF(Q48="半黑","半红","红"))))))</x:f>
        <x:v>黑</x:v>
      </x:c>
      <x:c r="V48" s="599" t="n">
        <x:f>IF(OR(Q48="",Q48="待结算"),"",IF(L48=LEFT(F48,FIND(" vs ",F48)-1),I48,G48))</x:f>
        <x:v>0.87</x:v>
      </x:c>
      <x:c r="W48" s="599" t="n">
        <x:f>IF(OR(U48="",U48="待结算"),"",IF(U48="红",V48,IF(U48="半红",V48*0.5,IF(U48="走",0,IF(U48="半黑",-0.5,-1)))))</x:f>
        <x:v>-1</x:v>
      </x:c>
      <x:c r="X48" s="595" t="inlineStr">
        <x:is>
          <x:t xml:space="preserve">3030150</x:t>
        </x:is>
      </x:c>
      <x:c r="Y48" s="595" t="inlineStr">
        <x:is>
          <x:t xml:space="preserve">v4-market-dirichlet-20260913</x:t>
        </x:is>
      </x:c>
      <x:c r="Z48" s="595" t="inlineStr">
        <x:is>
          <x:t xml:space="preserve">prior-2026-09-14-v1</x:t>
        </x:is>
      </x:c>
      <x:c r="AA48" s="595" t="inlineStr">
        <x:is>
          <x:t xml:space="preserve">C</x:t>
        </x:is>
      </x:c>
      <x:c r="AB48" s="600" t="n">
        <x:v>0.4339622641509434</x:v>
      </x:c>
      <x:c r="AC48" s="600" t="n">
        <x:v>0</x:v>
      </x:c>
      <x:c r="AD48" s="600" t="n">
        <x:v>0</x:v>
      </x:c>
      <x:c r="AE48" s="600" t="n">
        <x:v>0.2830188679245283</x:v>
      </x:c>
      <x:c r="AF48" s="600" t="n">
        <x:v>0.2830188679245283</x:v>
      </x:c>
      <x:c r="AG48" s="600" t="n">
        <x:v>0.005094339622641553</x:v>
      </x:c>
      <x:c r="AH48" s="600" t="n">
        <x:v>-0.1913533936786028</x:v>
      </x:c>
      <x:c r="AI48" s="600" t="n">
        <x:v>-0.1475651358520047</x:v>
      </x:c>
      <x:c r="AJ48" s="600" t="n">
        <x:v>0.001145551598118022</x:v>
      </x:c>
      <x:c r="AK48" s="600" t="n">
        <x:v>0.1659153357517364</x:v>
      </x:c>
      <x:c r="AL48" s="600" t="n">
        <x:v>0.209433360014743</x:v>
      </x:c>
      <x:c r="AM48" s="600" t="n">
        <x:v>0.5036</x:v>
      </x:c>
      <x:c r="AN48" s="595" t="inlineStr">
        <x:is>
          <x:t xml:space="preserve">EVALUATED</x:t>
        </x:is>
      </x:c>
      <x:c r="AO48" s="600" t="inlineStr">
        <x:is>
          <x:t xml:space="preserve">BUCKET_1.25、SIDE_IDENTITY_VALID、MARKET_MOVE_DEEPER_WITH_GIVING_WATER_RISE</x:t>
        </x:is>
      </x:c>
      <x:c r="AP48" s="600" t="inlineStr">
        <x:is>
          <x:t xml:space="preserve">7e1a54b18a12f6770548</x:t>
        </x:is>
      </x:c>
      <x:c r="AQ48" s="600" t="n">
        <x:v>-1.25</x:v>
      </x:c>
      <x:c r="AR48" s="600" t="n">
        <x:v>0.99</x:v>
      </x:c>
      <x:c r="AS48" s="600" t="n">
        <x:v>-1.25</x:v>
      </x:c>
      <x:c r="AT48" s="600" t="n">
        <x:v>1.25</x:v>
      </x:c>
      <x:c r="AU48" s="600" t="n">
        <x:v>0.99</x:v>
      </x:c>
      <x:c r="AV48" s="600" t="n">
        <x:v>0.87</x:v>
      </x:c>
      <x:c r="AW48" s="595" t="n">
        <x:v>46279.59476246528</x:v>
      </x:c>
      <x:c r="AX48" s="595" t="inlineStr">
        <x:is>
          <x:t xml:space="preserve">https://simondongxiao.github.io/odds/v4/</x:t>
        </x:is>
      </x:c>
      <x:c r="AY48" s="595" t="inlineStr">
        <x:is>
          <x:t xml:space="preserve">V4 Shadow Only；real_money=false；P(EV&gt;0)不是比赛胜率</x:t>
        </x:is>
      </x:c>
    </x:row>
    <x:row r="49" ht="22" customHeight="1">
      <x:c r="A49" s="595" t="inlineStr">
        <x:is>
          <x:t xml:space="preserve">2026-09-14</x:t>
        </x:is>
      </x:c>
      <x:c r="B49" s="595" t="inlineStr">
        <x:is>
          <x:t xml:space="preserve">2026-09-15 01:05</x:t>
        </x:is>
      </x:c>
      <x:c r="C49" s="595" t="str">
        <x:v>欧洲非五大系列</x:v>
      </x:c>
      <x:c r="D49" s="595" t="inlineStr">
        <x:is>
          <x:t xml:space="preserve">联赛</x:t>
        </x:is>
      </x:c>
      <x:c r="E49" s="595" t="inlineStr">
        <x:is>
          <x:t xml:space="preserve">瑞典甲</x:t>
        </x:is>
      </x:c>
      <x:c r="F49" s="595" t="inlineStr">
        <x:is>
          <x:t xml:space="preserve">奥斯特桑斯 vs 赫尔辛堡</x:t>
        </x:is>
      </x:c>
      <x:c r="G49" s="596" t="n">
        <x:v>0.84</x:v>
      </x:c>
      <x:c r="H49" s="596" t="n">
        <x:v>0.5</x:v>
      </x:c>
      <x:c r="I49" s="596" t="n">
        <x:v>1.05</x:v>
      </x:c>
      <x:c r="J49" s="596" t="inlineStr">
        <x:is>
          <x:t xml:space="preserve">0.84/0.5/1.05</x:t>
        </x:is>
      </x:c>
      <x:c r="K49" s="595" t="inlineStr">
        <x:is>
          <x:t xml:space="preserve">V4-C｜EV +0.0309</x:t>
        </x:is>
      </x:c>
      <x:c r="L49" s="595" t="inlineStr">
        <x:is>
          <x:t xml:space="preserve">赫尔辛堡</x:t>
        </x:is>
      </x:c>
      <x:c r="M49" s="597" t="n">
        <x:v>0.5028571428571429</x:v>
      </x:c>
      <x:c r="N49" s="595" t="inlineStr">
        <x:is>
          <x:t xml:space="preserve">V4纸面入选-C</x:t>
        </x:is>
      </x:c>
      <x:c r="O49" s="595" t="inlineStr">
        <x:is>
          <x:t xml:space="preserve">1-0</x:t>
        </x:is>
      </x:c>
      <x:c r="P49" s="595" t="inlineStr">
        <x:is>
          <x:t xml:space="preserve">已结算</x:t>
        </x:is>
      </x:c>
      <x:c r="Q49" s="641" t="inlineStr">
        <x:is>
          <x:t xml:space="preserve">黑</x:t>
        </x:is>
      </x:c>
      <x:c r="R49" s="599" t="n">
        <x:v>1.05</x:v>
      </x:c>
      <x:c r="S49" s="599" t="n">
        <x:f>IF(OR(Q49="",Q49="待结算"),"",IF(Q49="红",R49,IF(Q49="半红",R49*0.5,IF(Q49="走",0,IF(Q49="半黑",-0.5,-1)))))</x:f>
        <x:v>-1</x:v>
      </x:c>
      <x:c r="T49" s="595" t="inlineStr">
        <x:is>
          <x:t xml:space="preserve">https://m.titan007.com/analy/Analysis/2914701.htm</x:t>
        </x:is>
      </x:c>
      <x:c r="U49" s="640" t="str">
        <x:f>IF(Q49="","",IF(Q49="待结算","待结算",IF(Q49="红","黑",IF(Q49="半红","半黑",IF(Q49="走","走",IF(Q49="半黑","半红","红"))))))</x:f>
        <x:v>红</x:v>
      </x:c>
      <x:c r="V49" s="599" t="n">
        <x:f>IF(OR(Q49="",Q49="待结算"),"",IF(L49=LEFT(F49,FIND(" vs ",F49)-1),I49,G49))</x:f>
        <x:v>0.84</x:v>
      </x:c>
      <x:c r="W49" s="599" t="n">
        <x:f>IF(OR(U49="",U49="待结算"),"",IF(U49="红",V49,IF(U49="半红",V49*0.5,IF(U49="走",0,IF(U49="半黑",-0.5,-1)))))</x:f>
        <x:v>0.84</x:v>
      </x:c>
      <x:c r="X49" s="595" t="inlineStr">
        <x:is>
          <x:t xml:space="preserve">2914701</x:t>
        </x:is>
      </x:c>
      <x:c r="Y49" s="595" t="inlineStr">
        <x:is>
          <x:t xml:space="preserve">v4-market-dirichlet-20260913</x:t>
        </x:is>
      </x:c>
      <x:c r="Z49" s="595" t="inlineStr">
        <x:is>
          <x:t xml:space="preserve">prior-2026-09-14-v1</x:t>
        </x:is>
      </x:c>
      <x:c r="AA49" s="595" t="inlineStr">
        <x:is>
          <x:t xml:space="preserve">C</x:t>
        </x:is>
      </x:c>
      <x:c r="AB49" s="600" t="n">
        <x:v>0.5028571428571429</x:v>
      </x:c>
      <x:c r="AC49" s="600" t="n">
        <x:v>0</x:v>
      </x:c>
      <x:c r="AD49" s="600" t="n">
        <x:v>0</x:v>
      </x:c>
      <x:c r="AE49" s="600" t="n">
        <x:v>0</x:v>
      </x:c>
      <x:c r="AF49" s="600" t="n">
        <x:v>0.4971428571428572</x:v>
      </x:c>
      <x:c r="AG49" s="600" t="n">
        <x:v>0.03085714285714286</x:v>
      </x:c>
      <x:c r="AH49" s="600" t="n">
        <x:v>-0.09395484931903131</x:v>
      </x:c>
      <x:c r="AI49" s="600" t="n">
        <x:v>-0.0684589050787402</x:v>
      </x:c>
      <x:c r="AJ49" s="600" t="n">
        <x:v>0.03196347032022884</x:v>
      </x:c>
      <x:c r="AK49" s="600" t="n">
        <x:v>0.1290216817700333</x:v>
      </x:c>
      <x:c r="AL49" s="600" t="n">
        <x:v>0.1571024098052147</x:v>
      </x:c>
      <x:c r="AM49" s="600" t="n">
        <x:v>0.6538</x:v>
      </x:c>
      <x:c r="AN49" s="595" t="inlineStr">
        <x:is>
          <x:t xml:space="preserve">EVALUATED</x:t>
        </x:is>
      </x:c>
      <x:c r="AO49" s="600" t="inlineStr">
        <x:is>
          <x:t xml:space="preserve">BUCKET_0.50、SIDE_IDENTITY_VALID、FLAT_LINE_GIVING_WATER_DROP</x:t>
        </x:is>
      </x:c>
      <x:c r="AP49" s="600" t="inlineStr">
        <x:is>
          <x:t xml:space="preserve">90c6994e29e9f3e360e8</x:t>
        </x:is>
      </x:c>
      <x:c r="AQ49" s="600" t="n">
        <x:v>0.5</x:v>
      </x:c>
      <x:c r="AR49" s="600" t="n">
        <x:v>1.05</x:v>
      </x:c>
      <x:c r="AS49" s="600" t="n">
        <x:v>-0.5</x:v>
      </x:c>
      <x:c r="AT49" s="600" t="n">
        <x:v>0.5</x:v>
      </x:c>
      <x:c r="AU49" s="600" t="n">
        <x:v>0.84</x:v>
      </x:c>
      <x:c r="AV49" s="600" t="n">
        <x:v>1.05</x:v>
      </x:c>
      <x:c r="AW49" s="595" t="n">
        <x:v>46279.59476246528</x:v>
      </x:c>
      <x:c r="AX49" s="595" t="inlineStr">
        <x:is>
          <x:t xml:space="preserve">https://simondongxiao.github.io/odds/v4/</x:t>
        </x:is>
      </x:c>
      <x:c r="AY49" s="595" t="inlineStr">
        <x:is>
          <x:t xml:space="preserve">V4 Shadow Only；real_money=false；P(EV&gt;0)不是比赛胜率</x:t>
        </x:is>
      </x:c>
    </x:row>
    <x:row r="50" ht="22" customHeight="1">
      <x:c r="A50" s="595" t="inlineStr">
        <x:is>
          <x:t xml:space="preserve">2026-09-14</x:t>
        </x:is>
      </x:c>
      <x:c r="B50" s="595" t="inlineStr">
        <x:is>
          <x:t xml:space="preserve">2026-09-15 02:15</x:t>
        </x:is>
      </x:c>
      <x:c r="C50" s="595" t="str">
        <x:v>五大联赛非顶级联赛</x:v>
      </x:c>
      <x:c r="D50" s="595" t="inlineStr">
        <x:is>
          <x:t xml:space="preserve">联赛</x:t>
        </x:is>
      </x:c>
      <x:c r="E50" s="595" t="inlineStr">
        <x:is>
          <x:t xml:space="preserve">亚冠精英</x:t>
        </x:is>
      </x:c>
      <x:c r="F50" s="595" t="inlineStr">
        <x:is>
          <x:t xml:space="preserve">吉达国民 vs 塔什干棉农</x:t>
        </x:is>
      </x:c>
      <x:c r="G50" s="596" t="n">
        <x:v>0.9399999999999999</x:v>
      </x:c>
      <x:c r="H50" s="596" t="n">
        <x:v>2</x:v>
      </x:c>
      <x:c r="I50" s="596" t="n">
        <x:v>0.88</x:v>
      </x:c>
      <x:c r="J50" s="596" t="inlineStr">
        <x:is>
          <x:t xml:space="preserve">0.94/2/0.88</x:t>
        </x:is>
      </x:c>
      <x:c r="K50" s="595" t="inlineStr">
        <x:is>
          <x:t xml:space="preserve">V4-C｜EV +0.2162</x:t>
        </x:is>
      </x:c>
      <x:c r="L50" s="595" t="inlineStr">
        <x:is>
          <x:t xml:space="preserve">吉达国民</x:t>
        </x:is>
      </x:c>
      <x:c r="M50" s="597" t="n">
        <x:v>0.6428571428571429</x:v>
      </x:c>
      <x:c r="N50" s="595" t="inlineStr">
        <x:is>
          <x:t xml:space="preserve">V4纸面入选-C</x:t>
        </x:is>
      </x:c>
      <x:c r="O50" s="595" t="inlineStr">
        <x:is>
          <x:t xml:space="preserve">1-1</x:t>
        </x:is>
      </x:c>
      <x:c r="P50" s="595" t="inlineStr">
        <x:is>
          <x:t xml:space="preserve">已结算</x:t>
        </x:is>
      </x:c>
      <x:c r="Q50" s="641" t="inlineStr">
        <x:is>
          <x:t xml:space="preserve">黑</x:t>
        </x:is>
      </x:c>
      <x:c r="R50" s="599" t="n">
        <x:v>0.9399999999999999</x:v>
      </x:c>
      <x:c r="S50" s="599" t="n">
        <x:f>IF(OR(Q50="",Q50="待结算"),"",IF(Q50="红",R50,IF(Q50="半红",R50*0.5,IF(Q50="走",0,IF(Q50="半黑",-0.5,-1)))))</x:f>
        <x:v>-1</x:v>
      </x:c>
      <x:c r="T50" s="595" t="inlineStr">
        <x:is>
          <x:t xml:space="preserve">https://m.titan007.com/analy/Analysis/3068929.htm</x:t>
        </x:is>
      </x:c>
      <x:c r="U50" s="640" t="str">
        <x:f>IF(Q50="","",IF(Q50="待结算","待结算",IF(Q50="红","黑",IF(Q50="半红","半黑",IF(Q50="走","走",IF(Q50="半黑","半红","红"))))))</x:f>
        <x:v>红</x:v>
      </x:c>
      <x:c r="V50" s="599" t="n">
        <x:f>IF(OR(Q50="",Q50="待结算"),"",IF(L50=LEFT(F50,FIND(" vs ",F50)-1),I50,G50))</x:f>
        <x:v>0.88</x:v>
      </x:c>
      <x:c r="W50" s="599" t="n">
        <x:f>IF(OR(U50="",U50="待结算"),"",IF(U50="红",V50,IF(U50="半红",V50*0.5,IF(U50="走",0,IF(U50="半黑",-0.5,-1)))))</x:f>
        <x:v>0.88</x:v>
      </x:c>
      <x:c r="X50" s="595" t="inlineStr">
        <x:is>
          <x:t xml:space="preserve">3068929</x:t>
        </x:is>
      </x:c>
      <x:c r="Y50" s="595" t="inlineStr">
        <x:is>
          <x:t xml:space="preserve">v4-market-dirichlet-20260913</x:t>
        </x:is>
      </x:c>
      <x:c r="Z50" s="595" t="inlineStr">
        <x:is>
          <x:t xml:space="preserve">prior-2026-09-14-v1</x:t>
        </x:is>
      </x:c>
      <x:c r="AA50" s="595" t="inlineStr">
        <x:is>
          <x:t xml:space="preserve">C</x:t>
        </x:is>
      </x:c>
      <x:c r="AB50" s="600" t="n">
        <x:v>0.5625</x:v>
      </x:c>
      <x:c r="AC50" s="600" t="n">
        <x:v>0</x:v>
      </x:c>
      <x:c r="AD50" s="600" t="n">
        <x:v>0.125</x:v>
      </x:c>
      <x:c r="AE50" s="600" t="n">
        <x:v>0</x:v>
      </x:c>
      <x:c r="AF50" s="600" t="n">
        <x:v>0.3125</x:v>
      </x:c>
      <x:c r="AG50" s="600" t="n">
        <x:v>0.2162499999999999</x:v>
      </x:c>
      <x:c r="AH50" s="600" t="n">
        <x:v>-0.1458195786748319</x:v>
      </x:c>
      <x:c r="AI50" s="600" t="n">
        <x:v>-0.06694618496408755</x:v>
      </x:c>
      <x:c r="AJ50" s="600" t="n">
        <x:v>0.2244137982537125</x:v>
      </x:c>
      <x:c r="AK50" s="600" t="n">
        <x:v>0.4810058702277601</x:v>
      </x:c>
      <x:c r="AL50" s="600" t="n">
        <x:v>0.5369925788280692</x:v>
      </x:c>
      <x:c r="AM50" s="600" t="n">
        <x:v>0.8398</x:v>
      </x:c>
      <x:c r="AN50" s="595" t="inlineStr">
        <x:is>
          <x:t xml:space="preserve">EVALUATED</x:t>
        </x:is>
      </x:c>
      <x:c r="AO50" s="600" t="inlineStr">
        <x:is>
          <x:t xml:space="preserve">BUCKET_2.00、SIDE_IDENTITY_VALID、MARKET_MOVE_DEEPER_WITH_GIVING_WATER_RISE</x:t>
        </x:is>
      </x:c>
      <x:c r="AP50" s="600" t="inlineStr">
        <x:is>
          <x:t xml:space="preserve">755e38e66e97b9a4fb46</x:t>
        </x:is>
      </x:c>
      <x:c r="AQ50" s="600" t="n">
        <x:v>-2</x:v>
      </x:c>
      <x:c r="AR50" s="600" t="n">
        <x:v>0.9399999999999999</x:v>
      </x:c>
      <x:c r="AS50" s="600" t="n">
        <x:v>-2</x:v>
      </x:c>
      <x:c r="AT50" s="600" t="n">
        <x:v>2</x:v>
      </x:c>
      <x:c r="AU50" s="600" t="n">
        <x:v>0.9399999999999999</x:v>
      </x:c>
      <x:c r="AV50" s="600" t="n">
        <x:v>0.88</x:v>
      </x:c>
      <x:c r="AW50" s="595" t="n">
        <x:v>46279.59476246528</x:v>
      </x:c>
      <x:c r="AX50" s="595" t="inlineStr">
        <x:is>
          <x:t xml:space="preserve">https://simondongxiao.github.io/odds/v4/</x:t>
        </x:is>
      </x:c>
      <x:c r="AY50" s="595" t="inlineStr">
        <x:is>
          <x:t xml:space="preserve">V4 Shadow Only；real_money=false；P(EV&gt;0)不是比赛胜率</x:t>
        </x:is>
      </x:c>
    </x:row>
    <x:row r="51" ht="22" customHeight="1">
      <x:c r="A51" s="595" t="inlineStr">
        <x:is>
          <x:t xml:space="preserve">2026-09-14</x:t>
        </x:is>
      </x:c>
      <x:c r="B51" s="595" t="inlineStr">
        <x:is>
          <x:t xml:space="preserve">2026-09-15 02:45</x:t>
        </x:is>
      </x:c>
      <x:c r="C51" s="595" t="str">
        <x:v>欧洲五大系列</x:v>
      </x:c>
      <x:c r="D51" s="595" t="inlineStr">
        <x:is>
          <x:t xml:space="preserve">联赛</x:t>
        </x:is>
      </x:c>
      <x:c r="E51" s="595" t="inlineStr">
        <x:is>
          <x:t xml:space="preserve">意甲</x:t>
        </x:is>
      </x:c>
      <x:c r="F51" s="595" t="inlineStr">
        <x:is>
          <x:t xml:space="preserve">国际米兰 vs 乌迪内斯</x:t>
        </x:is>
      </x:c>
      <x:c r="G51" s="596" t="n">
        <x:v>0.93</x:v>
      </x:c>
      <x:c r="H51" s="596" t="n">
        <x:v>2</x:v>
      </x:c>
      <x:c r="I51" s="596" t="n">
        <x:v>0.96</x:v>
      </x:c>
      <x:c r="J51" s="596" t="inlineStr">
        <x:is>
          <x:t xml:space="preserve">0.93/2/0.96</x:t>
        </x:is>
      </x:c>
      <x:c r="K51" s="595" t="inlineStr">
        <x:is>
          <x:t xml:space="preserve">V4-C｜EV +0.2106</x:t>
        </x:is>
      </x:c>
      <x:c r="L51" s="595" t="inlineStr">
        <x:is>
          <x:t xml:space="preserve">国际米兰</x:t>
        </x:is>
      </x:c>
      <x:c r="M51" s="597" t="n">
        <x:v>0.6428571428571429</x:v>
      </x:c>
      <x:c r="N51" s="595" t="inlineStr">
        <x:is>
          <x:t xml:space="preserve">V4纸面入选-C</x:t>
        </x:is>
      </x:c>
      <x:c r="O51" s="595" t="inlineStr">
        <x:is>
          <x:t xml:space="preserve">5-3</x:t>
        </x:is>
      </x:c>
      <x:c r="P51" s="595" t="inlineStr">
        <x:is>
          <x:t xml:space="preserve">已结算</x:t>
        </x:is>
      </x:c>
      <x:c r="Q51" s="644" t="inlineStr">
        <x:is>
          <x:t xml:space="preserve">走</x:t>
        </x:is>
      </x:c>
      <x:c r="R51" s="599" t="n">
        <x:v>0.93</x:v>
      </x:c>
      <x:c r="S51" s="599" t="n">
        <x:f>IF(OR(Q51="",Q51="待结算"),"",IF(Q51="红",R51,IF(Q51="半红",R51*0.5,IF(Q51="走",0,IF(Q51="半黑",-0.5,-1)))))</x:f>
        <x:v>0</x:v>
      </x:c>
      <x:c r="T51" s="595" t="inlineStr">
        <x:is>
          <x:t xml:space="preserve">https://m.titan007.com/analy/Analysis/2993788.htm</x:t>
        </x:is>
      </x:c>
      <x:c r="U51" s="644" t="str">
        <x:f>IF(Q51="","",IF(Q51="待结算","待结算",IF(Q51="红","黑",IF(Q51="半红","半黑",IF(Q51="走","走",IF(Q51="半黑","半红","红"))))))</x:f>
        <x:v>走</x:v>
      </x:c>
      <x:c r="V51" s="599" t="n">
        <x:f>IF(OR(Q51="",Q51="待结算"),"",IF(L51=LEFT(F51,FIND(" vs ",F51)-1),I51,G51))</x:f>
        <x:v>0.96</x:v>
      </x:c>
      <x:c r="W51" s="599" t="n">
        <x:f>IF(OR(U51="",U51="待结算"),"",IF(U51="红",V51,IF(U51="半红",V51*0.5,IF(U51="走",0,IF(U51="半黑",-0.5,-1)))))</x:f>
        <x:v>0</x:v>
      </x:c>
      <x:c r="X51" s="595" t="inlineStr">
        <x:is>
          <x:t xml:space="preserve">2993788</x:t>
        </x:is>
      </x:c>
      <x:c r="Y51" s="595" t="inlineStr">
        <x:is>
          <x:t xml:space="preserve">v4-market-dirichlet-20260913</x:t>
        </x:is>
      </x:c>
      <x:c r="Z51" s="595" t="inlineStr">
        <x:is>
          <x:t xml:space="preserve">prior-2026-09-14-v1</x:t>
        </x:is>
      </x:c>
      <x:c r="AA51" s="595" t="inlineStr">
        <x:is>
          <x:t xml:space="preserve">C</x:t>
        </x:is>
      </x:c>
      <x:c r="AB51" s="600" t="n">
        <x:v>0.5625</x:v>
      </x:c>
      <x:c r="AC51" s="600" t="n">
        <x:v>0</x:v>
      </x:c>
      <x:c r="AD51" s="600" t="n">
        <x:v>0.125</x:v>
      </x:c>
      <x:c r="AE51" s="600" t="n">
        <x:v>0</x:v>
      </x:c>
      <x:c r="AF51" s="600" t="n">
        <x:v>0.3125</x:v>
      </x:c>
      <x:c r="AG51" s="600" t="n">
        <x:v>0.2106250000000001</x:v>
      </x:c>
      <x:c r="AH51" s="600" t="n">
        <x:v>-0.1505745835566621</x:v>
      </x:c>
      <x:c r="AI51" s="600" t="n">
        <x:v>-0.06662611874350988</x:v>
      </x:c>
      <x:c r="AJ51" s="600" t="n">
        <x:v>0.2155010789015172</x:v>
      </x:c>
      <x:c r="AK51" s="600" t="n">
        <x:v>0.4786333450578748</x:v>
      </x:c>
      <x:c r="AL51" s="600" t="n">
        <x:v>0.5430702396681233</x:v>
      </x:c>
      <x:c r="AM51" s="600" t="n">
        <x:v>0.842</x:v>
      </x:c>
      <x:c r="AN51" s="595" t="inlineStr">
        <x:is>
          <x:t xml:space="preserve">EVALUATED</x:t>
        </x:is>
      </x:c>
      <x:c r="AO51" s="600" t="inlineStr">
        <x:is>
          <x:t xml:space="preserve">BUCKET_2.00、SIDE_IDENTITY_VALID、MARKET_MOVE_DEEPER_WITH_GIVING_WATER_RISE</x:t>
        </x:is>
      </x:c>
      <x:c r="AP51" s="600" t="inlineStr">
        <x:is>
          <x:t xml:space="preserve">d6d24f7d9a3529812aa6</x:t>
        </x:is>
      </x:c>
      <x:c r="AQ51" s="600" t="n">
        <x:v>-2</x:v>
      </x:c>
      <x:c r="AR51" s="600" t="n">
        <x:v>0.93</x:v>
      </x:c>
      <x:c r="AS51" s="600" t="n">
        <x:v>-2</x:v>
      </x:c>
      <x:c r="AT51" s="600" t="n">
        <x:v>2</x:v>
      </x:c>
      <x:c r="AU51" s="600" t="n">
        <x:v>0.93</x:v>
      </x:c>
      <x:c r="AV51" s="600" t="n">
        <x:v>0.96</x:v>
      </x:c>
      <x:c r="AW51" s="595" t="n">
        <x:v>46279.59476246528</x:v>
      </x:c>
      <x:c r="AX51" s="595" t="inlineStr">
        <x:is>
          <x:t xml:space="preserve">https://simondongxiao.github.io/odds/v4/</x:t>
        </x:is>
      </x:c>
      <x:c r="AY51" s="595" t="inlineStr">
        <x:is>
          <x:t xml:space="preserve">V4 Shadow Only；real_money=false；P(EV&gt;0)不是比赛胜率</x:t>
        </x:is>
      </x:c>
    </x:row>
    <x:row r="52" ht="22" customHeight="1">
      <x:c r="A52" s="595" t="inlineStr">
        <x:is>
          <x:t xml:space="preserve">2026-09-14</x:t>
        </x:is>
      </x:c>
      <x:c r="B52" s="595" t="inlineStr">
        <x:is>
          <x:t xml:space="preserve">2026-09-15 02:45</x:t>
        </x:is>
      </x:c>
      <x:c r="C52" s="595" t="str">
        <x:v>欧洲非五大系列</x:v>
      </x:c>
      <x:c r="D52" s="595" t="inlineStr">
        <x:is>
          <x:t xml:space="preserve">联赛</x:t>
        </x:is>
      </x:c>
      <x:c r="E52" s="595" t="inlineStr">
        <x:is>
          <x:t xml:space="preserve">爱超</x:t>
        </x:is>
      </x:c>
      <x:c r="F52" s="595" t="inlineStr">
        <x:is>
          <x:t xml:space="preserve">邓多克 vs 圣帕特里克</x:t>
        </x:is>
      </x:c>
      <x:c r="G52" s="596" t="n">
        <x:v>0.87</x:v>
      </x:c>
      <x:c r="H52" s="596" t="n">
        <x:v>-0.5</x:v>
      </x:c>
      <x:c r="I52" s="596" t="n">
        <x:v>1.02</x:v>
      </x:c>
      <x:c r="J52" s="596" t="inlineStr">
        <x:is>
          <x:t xml:space="preserve">0.87/-0.5/1.02</x:t>
        </x:is>
      </x:c>
      <x:c r="K52" s="595" t="inlineStr">
        <x:is>
          <x:t xml:space="preserve">V4-C｜EV +0.0042</x:t>
        </x:is>
      </x:c>
      <x:c r="L52" s="595" t="inlineStr">
        <x:is>
          <x:t xml:space="preserve">圣帕特里克</x:t>
        </x:is>
      </x:c>
      <x:c r="M52" s="597" t="n">
        <x:v>0.4971428571428572</x:v>
      </x:c>
      <x:c r="N52" s="595" t="inlineStr">
        <x:is>
          <x:t xml:space="preserve">V4纸面入选-C</x:t>
        </x:is>
      </x:c>
      <x:c r="O52" s="595" t="inlineStr">
        <x:is>
          <x:t xml:space="preserve">0-4</x:t>
        </x:is>
      </x:c>
      <x:c r="P52" s="595" t="inlineStr">
        <x:is>
          <x:t xml:space="preserve">已结算</x:t>
        </x:is>
      </x:c>
      <x:c r="Q52" s="640" t="inlineStr">
        <x:is>
          <x:t xml:space="preserve">红</x:t>
        </x:is>
      </x:c>
      <x:c r="R52" s="599" t="n">
        <x:v>1.02</x:v>
      </x:c>
      <x:c r="S52" s="599" t="n">
        <x:f>IF(OR(Q52="",Q52="待结算"),"",IF(Q52="红",R52,IF(Q52="半红",R52*0.5,IF(Q52="走",0,IF(Q52="半黑",-0.5,-1)))))</x:f>
        <x:v>1.02</x:v>
      </x:c>
      <x:c r="T52" s="595" t="inlineStr">
        <x:is>
          <x:t xml:space="preserve">https://m.titan007.com/analy/Analysis/2914396.htm</x:t>
        </x:is>
      </x:c>
      <x:c r="U52" s="641" t="str">
        <x:f>IF(Q52="","",IF(Q52="待结算","待结算",IF(Q52="红","黑",IF(Q52="半红","半黑",IF(Q52="走","走",IF(Q52="半黑","半红","红"))))))</x:f>
        <x:v>黑</x:v>
      </x:c>
      <x:c r="V52" s="599" t="n">
        <x:f>IF(OR(Q52="",Q52="待结算"),"",IF(L52=LEFT(F52,FIND(" vs ",F52)-1),I52,G52))</x:f>
        <x:v>0.87</x:v>
      </x:c>
      <x:c r="W52" s="599" t="n">
        <x:f>IF(OR(U52="",U52="待结算"),"",IF(U52="红",V52,IF(U52="半红",V52*0.5,IF(U52="走",0,IF(U52="半黑",-0.5,-1)))))</x:f>
        <x:v>-1</x:v>
      </x:c>
      <x:c r="X52" s="595" t="inlineStr">
        <x:is>
          <x:t xml:space="preserve">2914396</x:t>
        </x:is>
      </x:c>
      <x:c r="Y52" s="595" t="inlineStr">
        <x:is>
          <x:t xml:space="preserve">v4-market-dirichlet-20260913</x:t>
        </x:is>
      </x:c>
      <x:c r="Z52" s="595" t="inlineStr">
        <x:is>
          <x:t xml:space="preserve">prior-2026-09-14-v1</x:t>
        </x:is>
      </x:c>
      <x:c r="AA52" s="595" t="inlineStr">
        <x:is>
          <x:t xml:space="preserve">C</x:t>
        </x:is>
      </x:c>
      <x:c r="AB52" s="600" t="n">
        <x:v>0.4971428571428572</x:v>
      </x:c>
      <x:c r="AC52" s="600" t="n">
        <x:v>0</x:v>
      </x:c>
      <x:c r="AD52" s="600" t="n">
        <x:v>0</x:v>
      </x:c>
      <x:c r="AE52" s="600" t="n">
        <x:v>0</x:v>
      </x:c>
      <x:c r="AF52" s="600" t="n">
        <x:v>0.5028571428571429</x:v>
      </x:c>
      <x:c r="AG52" s="600" t="n">
        <x:v>0.00422857142857147</x:v>
      </x:c>
      <x:c r="AH52" s="600" t="n">
        <x:v>-0.1193911885999592</x:v>
      </x:c>
      <x:c r="AI52" s="600" t="n">
        <x:v>-0.09418621667137428</x:v>
      </x:c>
      <x:c r="AJ52" s="600" t="n">
        <x:v>0.003721745858061953</x:v>
      </x:c>
      <x:c r="AK52" s="600" t="n">
        <x:v>0.1010660489948222</x:v>
      </x:c>
      <x:c r="AL52" s="600" t="n">
        <x:v>0.1276073879937604</x:v>
      </x:c>
      <x:c r="AM52" s="600" t="n">
        <x:v>0.516</x:v>
      </x:c>
      <x:c r="AN52" s="595" t="inlineStr">
        <x:is>
          <x:t xml:space="preserve">EVALUATED</x:t>
        </x:is>
      </x:c>
      <x:c r="AO52" s="600" t="inlineStr">
        <x:is>
          <x:t xml:space="preserve">BUCKET_0.50、SIDE_IDENTITY_VALID、MARKET_MOVE_LINE_STRENGTH_WITH_GIVING_RESISTANCE</x:t>
        </x:is>
      </x:c>
      <x:c r="AP52" s="600" t="inlineStr">
        <x:is>
          <x:t xml:space="preserve">1273b926699db8d1b11e</x:t>
        </x:is>
      </x:c>
      <x:c r="AQ52" s="600" t="n">
        <x:v>-0.5</x:v>
      </x:c>
      <x:c r="AR52" s="600" t="n">
        <x:v>1.02</x:v>
      </x:c>
      <x:c r="AS52" s="600" t="n">
        <x:v>0.5</x:v>
      </x:c>
      <x:c r="AT52" s="600" t="n">
        <x:v>-0.5</x:v>
      </x:c>
      <x:c r="AU52" s="600" t="n">
        <x:v>0.87</x:v>
      </x:c>
      <x:c r="AV52" s="600" t="n">
        <x:v>1.02</x:v>
      </x:c>
      <x:c r="AW52" s="595" t="n">
        <x:v>46279.59476246528</x:v>
      </x:c>
      <x:c r="AX52" s="595" t="inlineStr">
        <x:is>
          <x:t xml:space="preserve">https://simondongxiao.github.io/odds/v4/</x:t>
        </x:is>
      </x:c>
      <x:c r="AY52" s="595" t="inlineStr">
        <x:is>
          <x:t xml:space="preserve">V4 Shadow Only；real_money=false；P(EV&gt;0)不是比赛胜率</x:t>
        </x:is>
      </x:c>
    </x:row>
    <x:row r="53" ht="22" customHeight="1">
      <x:c r="A53" s="595" t="inlineStr">
        <x:is>
          <x:t xml:space="preserve">2026-09-14</x:t>
        </x:is>
      </x:c>
      <x:c r="B53" s="595" t="inlineStr">
        <x:is>
          <x:t xml:space="preserve">2026-09-15 03:15</x:t>
        </x:is>
      </x:c>
      <x:c r="C53" s="595" t="str">
        <x:v>欧洲非五大系列</x:v>
      </x:c>
      <x:c r="D53" s="595" t="inlineStr">
        <x:is>
          <x:t xml:space="preserve">联赛</x:t>
        </x:is>
      </x:c>
      <x:c r="E53" s="595" t="inlineStr">
        <x:is>
          <x:t xml:space="preserve">冰岛超冠</x:t>
        </x:is>
      </x:c>
      <x:c r="F53" s="595" t="inlineStr">
        <x:is>
          <x:t xml:space="preserve">维京古尔 vs 凯夫拉维克</x:t>
        </x:is>
      </x:c>
      <x:c r="G53" s="596" t="n">
        <x:v>0.88</x:v>
      </x:c>
      <x:c r="H53" s="596" t="n">
        <x:v>2</x:v>
      </x:c>
      <x:c r="I53" s="596" t="n">
        <x:v>1</x:v>
      </x:c>
      <x:c r="J53" s="596" t="inlineStr">
        <x:is>
          <x:t xml:space="preserve">0.88/2/1.00</x:t>
        </x:is>
      </x:c>
      <x:c r="K53" s="595" t="inlineStr">
        <x:is>
          <x:t xml:space="preserve">V4-C｜EV +0.1825</x:t>
        </x:is>
      </x:c>
      <x:c r="L53" s="595" t="inlineStr">
        <x:is>
          <x:t xml:space="preserve">维京古尔</x:t>
        </x:is>
      </x:c>
      <x:c r="M53" s="597" t="n">
        <x:v>0.6428571428571429</x:v>
      </x:c>
      <x:c r="N53" s="595" t="inlineStr">
        <x:is>
          <x:t xml:space="preserve">V4纸面入选-C</x:t>
        </x:is>
      </x:c>
      <x:c r="O53" s="595" t="inlineStr">
        <x:is>
          <x:t xml:space="preserve">4-1</x:t>
        </x:is>
      </x:c>
      <x:c r="P53" s="595" t="inlineStr">
        <x:is>
          <x:t xml:space="preserve">已结算</x:t>
        </x:is>
      </x:c>
      <x:c r="Q53" s="640" t="inlineStr">
        <x:is>
          <x:t xml:space="preserve">红</x:t>
        </x:is>
      </x:c>
      <x:c r="R53" s="599" t="n">
        <x:v>0.88</x:v>
      </x:c>
      <x:c r="S53" s="599" t="n">
        <x:f>IF(OR(Q53="",Q53="待结算"),"",IF(Q53="红",R53,IF(Q53="半红",R53*0.5,IF(Q53="走",0,IF(Q53="半黑",-0.5,-1)))))</x:f>
        <x:v>0.88</x:v>
      </x:c>
      <x:c r="T53" s="595" t="inlineStr">
        <x:is>
          <x:t xml:space="preserve">https://m.titan007.com/analy/Analysis/3087971.htm</x:t>
        </x:is>
      </x:c>
      <x:c r="U53" s="641" t="str">
        <x:f>IF(Q53="","",IF(Q53="待结算","待结算",IF(Q53="红","黑",IF(Q53="半红","半黑",IF(Q53="走","走",IF(Q53="半黑","半红","红"))))))</x:f>
        <x:v>黑</x:v>
      </x:c>
      <x:c r="V53" s="599" t="n">
        <x:f>IF(OR(Q53="",Q53="待结算"),"",IF(L53=LEFT(F53,FIND(" vs ",F53)-1),I53,G53))</x:f>
        <x:v>1</x:v>
      </x:c>
      <x:c r="W53" s="599" t="n">
        <x:f>IF(OR(U53="",U53="待结算"),"",IF(U53="红",V53,IF(U53="半红",V53*0.5,IF(U53="走",0,IF(U53="半黑",-0.5,-1)))))</x:f>
        <x:v>-1</x:v>
      </x:c>
      <x:c r="X53" s="595" t="inlineStr">
        <x:is>
          <x:t xml:space="preserve">3087971</x:t>
        </x:is>
      </x:c>
      <x:c r="Y53" s="595" t="inlineStr">
        <x:is>
          <x:t xml:space="preserve">v4-market-dirichlet-20260913</x:t>
        </x:is>
      </x:c>
      <x:c r="Z53" s="595" t="inlineStr">
        <x:is>
          <x:t xml:space="preserve">prior-2026-09-14-v1</x:t>
        </x:is>
      </x:c>
      <x:c r="AA53" s="595" t="inlineStr">
        <x:is>
          <x:t xml:space="preserve">C</x:t>
        </x:is>
      </x:c>
      <x:c r="AB53" s="600" t="n">
        <x:v>0.5625</x:v>
      </x:c>
      <x:c r="AC53" s="600" t="n">
        <x:v>0</x:v>
      </x:c>
      <x:c r="AD53" s="600" t="n">
        <x:v>0.125</x:v>
      </x:c>
      <x:c r="AE53" s="600" t="n">
        <x:v>0</x:v>
      </x:c>
      <x:c r="AF53" s="600" t="n">
        <x:v>0.3125</x:v>
      </x:c>
      <x:c r="AG53" s="600" t="n">
        <x:v>0.1825</x:v>
      </x:c>
      <x:c r="AH53" s="600" t="n">
        <x:v>-0.1543375348246762</x:v>
      </x:c>
      <x:c r="AI53" s="600" t="n">
        <x:v>-0.08399286136675937</x:v>
      </x:c>
      <x:c r="AJ53" s="600" t="n">
        <x:v>0.1968541931651093</x:v>
      </x:c>
      <x:c r="AK53" s="600" t="n">
        <x:v>0.4528818717533192</x:v>
      </x:c>
      <x:c r="AL53" s="600" t="n">
        <x:v>0.5073103940683993</x:v>
      </x:c>
      <x:c r="AM53" s="600" t="n">
        <x:v>0.8122</x:v>
      </x:c>
      <x:c r="AN53" s="595" t="inlineStr">
        <x:is>
          <x:t xml:space="preserve">EVALUATED</x:t>
        </x:is>
      </x:c>
      <x:c r="AO53" s="600" t="inlineStr">
        <x:is>
          <x:t xml:space="preserve">BUCKET_2.00、SIDE_IDENTITY_VALID、MARKET_MOVE_DEEPER_WITH_GIVING_WATER_RISE</x:t>
        </x:is>
      </x:c>
      <x:c r="AP53" s="600" t="inlineStr">
        <x:is>
          <x:t xml:space="preserve">cd17b445a04a3bca3271</x:t>
        </x:is>
      </x:c>
      <x:c r="AQ53" s="600" t="n">
        <x:v>-2</x:v>
      </x:c>
      <x:c r="AR53" s="600" t="n">
        <x:v>0.88</x:v>
      </x:c>
      <x:c r="AS53" s="600" t="n">
        <x:v>-2</x:v>
      </x:c>
      <x:c r="AT53" s="600" t="n">
        <x:v>2</x:v>
      </x:c>
      <x:c r="AU53" s="600" t="n">
        <x:v>0.88</x:v>
      </x:c>
      <x:c r="AV53" s="600" t="n">
        <x:v>1</x:v>
      </x:c>
      <x:c r="AW53" s="595" t="n">
        <x:v>46279.59476246528</x:v>
      </x:c>
      <x:c r="AX53" s="595" t="inlineStr">
        <x:is>
          <x:t xml:space="preserve">https://simondongxiao.github.io/odds/v4/</x:t>
        </x:is>
      </x:c>
      <x:c r="AY53" s="595" t="inlineStr">
        <x:is>
          <x:t xml:space="preserve">V4 Shadow Only；real_money=false；P(EV&gt;0)不是比赛胜率</x:t>
        </x:is>
      </x:c>
    </x:row>
    <x:row r="54" ht="22" customHeight="1">
      <x:c r="A54" s="595" t="inlineStr">
        <x:is>
          <x:t xml:space="preserve">2026-09-14</x:t>
        </x:is>
      </x:c>
      <x:c r="B54" s="595" t="inlineStr">
        <x:is>
          <x:t xml:space="preserve">2026-09-15 03:45</x:t>
        </x:is>
      </x:c>
      <x:c r="C54" s="595" t="str">
        <x:v>欧洲非五大系列</x:v>
      </x:c>
      <x:c r="D54" s="595" t="inlineStr">
        <x:is>
          <x:t xml:space="preserve">联赛</x:t>
        </x:is>
      </x:c>
      <x:c r="E54" s="595" t="inlineStr">
        <x:is>
          <x:t xml:space="preserve">葡超</x:t>
        </x:is>
      </x:c>
      <x:c r="F54" s="595" t="inlineStr">
        <x:is>
          <x:t xml:space="preserve">布拉加 vs 埃斯托里尔</x:t>
        </x:is>
      </x:c>
      <x:c r="G54" s="596" t="n">
        <x:v>0.86</x:v>
      </x:c>
      <x:c r="H54" s="596" t="n">
        <x:v>1.25</x:v>
      </x:c>
      <x:c r="I54" s="596" t="n">
        <x:v>1.03</x:v>
      </x:c>
      <x:c r="J54" s="596" t="inlineStr">
        <x:is>
          <x:t xml:space="preserve">0.86/1.25/1.03</x:t>
        </x:is>
      </x:c>
      <x:c r="K54" s="595" t="inlineStr">
        <x:is>
          <x:t xml:space="preserve">V4-C｜EV +0.0033</x:t>
        </x:is>
      </x:c>
      <x:c r="L54" s="595" t="inlineStr">
        <x:is>
          <x:t xml:space="preserve">埃斯托里尔</x:t>
        </x:is>
      </x:c>
      <x:c r="M54" s="597" t="n">
        <x:v>0.4945054945054945</x:v>
      </x:c>
      <x:c r="N54" s="595" t="inlineStr">
        <x:is>
          <x:t xml:space="preserve">V4纸面入选-C</x:t>
        </x:is>
      </x:c>
      <x:c r="O54" s="595" t="inlineStr">
        <x:is>
          <x:t xml:space="preserve">1-0</x:t>
        </x:is>
      </x:c>
      <x:c r="P54" s="595" t="inlineStr">
        <x:is>
          <x:t xml:space="preserve">已结算</x:t>
        </x:is>
      </x:c>
      <x:c r="Q54" s="642" t="inlineStr">
        <x:is>
          <x:t xml:space="preserve">半红</x:t>
        </x:is>
      </x:c>
      <x:c r="R54" s="599" t="n">
        <x:v>1.03</x:v>
      </x:c>
      <x:c r="S54" s="599" t="n">
        <x:f>IF(OR(Q54="",Q54="待结算"),"",IF(Q54="红",R54,IF(Q54="半红",R54*0.5,IF(Q54="走",0,IF(Q54="半黑",-0.5,-1)))))</x:f>
        <x:v>0.515</x:v>
      </x:c>
      <x:c r="T54" s="595" t="inlineStr">
        <x:is>
          <x:t xml:space="preserve">https://m.titan007.com/analy/Analysis/3023479.htm</x:t>
        </x:is>
      </x:c>
      <x:c r="U54" s="643" t="str">
        <x:f>IF(Q54="","",IF(Q54="待结算","待结算",IF(Q54="红","黑",IF(Q54="半红","半黑",IF(Q54="走","走",IF(Q54="半黑","半红","红"))))))</x:f>
        <x:v>半黑</x:v>
      </x:c>
      <x:c r="V54" s="599" t="n">
        <x:f>IF(OR(Q54="",Q54="待结算"),"",IF(L54=LEFT(F54,FIND(" vs ",F54)-1),I54,G54))</x:f>
        <x:v>0.86</x:v>
      </x:c>
      <x:c r="W54" s="599" t="n">
        <x:f>IF(OR(U54="",U54="待结算"),"",IF(U54="红",V54,IF(U54="半红",V54*0.5,IF(U54="走",0,IF(U54="半黑",-0.5,-1)))))</x:f>
        <x:v>-0.5</x:v>
      </x:c>
      <x:c r="X54" s="595" t="inlineStr">
        <x:is>
          <x:t xml:space="preserve">3023479</x:t>
        </x:is>
      </x:c>
      <x:c r="Y54" s="595" t="inlineStr">
        <x:is>
          <x:t xml:space="preserve">v4-market-dirichlet-20260913</x:t>
        </x:is>
      </x:c>
      <x:c r="Z54" s="595" t="inlineStr">
        <x:is>
          <x:t xml:space="preserve">prior-2026-09-14-v1</x:t>
        </x:is>
      </x:c>
      <x:c r="AA54" s="595" t="inlineStr">
        <x:is>
          <x:t xml:space="preserve">C</x:t>
        </x:is>
      </x:c>
      <x:c r="AB54" s="600" t="n">
        <x:v>0.2830188679245283</x:v>
      </x:c>
      <x:c r="AC54" s="600" t="n">
        <x:v>0.2830188679245283</x:v>
      </x:c>
      <x:c r="AD54" s="600" t="n">
        <x:v>0</x:v>
      </x:c>
      <x:c r="AE54" s="600" t="n">
        <x:v>0</x:v>
      </x:c>
      <x:c r="AF54" s="600" t="n">
        <x:v>0.4339622641509434</x:v>
      </x:c>
      <x:c r="AG54" s="600" t="n">
        <x:v>0.003301886792452802</x:v>
      </x:c>
      <x:c r="AH54" s="600" t="n">
        <x:v>-0.2025730379522762</x:v>
      </x:c>
      <x:c r="AI54" s="600" t="n">
        <x:v>-0.1595523687950096</x:v>
      </x:c>
      <x:c r="AJ54" s="600" t="n">
        <x:v>0.005061194095780597</x:v>
      </x:c>
      <x:c r="AK54" s="600" t="n">
        <x:v>0.1665613857490136</x:v>
      </x:c>
      <x:c r="AL54" s="600" t="n">
        <x:v>0.2034654515575818</x:v>
      </x:c>
      <x:c r="AM54" s="600" t="n">
        <x:v>0.5152</x:v>
      </x:c>
      <x:c r="AN54" s="595" t="inlineStr">
        <x:is>
          <x:t xml:space="preserve">EVALUATED</x:t>
        </x:is>
      </x:c>
      <x:c r="AO54" s="600" t="inlineStr">
        <x:is>
          <x:t xml:space="preserve">BUCKET_1.25、SIDE_IDENTITY_VALID、FLAT_LINE_GIVING_WATER_DROP</x:t>
        </x:is>
      </x:c>
      <x:c r="AP54" s="600" t="inlineStr">
        <x:is>
          <x:t xml:space="preserve">46fc5d3fd966bc1342ca</x:t>
        </x:is>
      </x:c>
      <x:c r="AQ54" s="600" t="n">
        <x:v>1.25</x:v>
      </x:c>
      <x:c r="AR54" s="600" t="n">
        <x:v>1.03</x:v>
      </x:c>
      <x:c r="AS54" s="600" t="n">
        <x:v>-1.25</x:v>
      </x:c>
      <x:c r="AT54" s="600" t="n">
        <x:v>1.25</x:v>
      </x:c>
      <x:c r="AU54" s="600" t="n">
        <x:v>0.86</x:v>
      </x:c>
      <x:c r="AV54" s="600" t="n">
        <x:v>1.03</x:v>
      </x:c>
      <x:c r="AW54" s="595" t="n">
        <x:v>46279.59476246528</x:v>
      </x:c>
      <x:c r="AX54" s="595" t="inlineStr">
        <x:is>
          <x:t xml:space="preserve">https://simondongxiao.github.io/odds/v4/</x:t>
        </x:is>
      </x:c>
      <x:c r="AY54" s="595" t="inlineStr">
        <x:is>
          <x:t xml:space="preserve">V4 Shadow Only；real_money=false；P(EV&gt;0)不是比赛胜率</x:t>
        </x:is>
      </x:c>
    </x:row>
    <x:row r="55" ht="22" customHeight="1">
      <x:c r="A55" s="595" t="inlineStr">
        <x:is>
          <x:t xml:space="preserve">2026-09-14</x:t>
        </x:is>
      </x:c>
      <x:c r="B55" s="595" t="inlineStr">
        <x:is>
          <x:t xml:space="preserve">2026-09-15 06:45</x:t>
        </x:is>
      </x:c>
      <x:c r="C55" s="595" t="str">
        <x:v>南美系列</x:v>
      </x:c>
      <x:c r="D55" s="595" t="inlineStr">
        <x:is>
          <x:t xml:space="preserve">联赛</x:t>
        </x:is>
      </x:c>
      <x:c r="E55" s="595" t="inlineStr">
        <x:is>
          <x:t xml:space="preserve">哥伦乙秋</x:t>
        </x:is>
      </x:c>
      <x:c r="F55" s="595" t="inlineStr">
        <x:is>
          <x:t xml:space="preserve">奥尔索马尔索 vs 卡利竞技</x:t>
        </x:is>
      </x:c>
      <x:c r="G55" s="596" t="n">
        <x:v>0.62</x:v>
      </x:c>
      <x:c r="H55" s="596" t="n">
        <x:v>0.75</x:v>
      </x:c>
      <x:c r="I55" s="596" t="n">
        <x:v>1.08</x:v>
      </x:c>
      <x:c r="J55" s="596" t="inlineStr">
        <x:is>
          <x:t xml:space="preserve">0.62/0.75/1.08</x:t>
        </x:is>
      </x:c>
      <x:c r="K55" s="595" t="inlineStr">
        <x:is>
          <x:t xml:space="preserve">V4-C｜EV +0.0478</x:t>
        </x:is>
      </x:c>
      <x:c r="L55" s="595" t="inlineStr">
        <x:is>
          <x:t xml:space="preserve">卡利竞技</x:t>
        </x:is>
      </x:c>
      <x:c r="M55" s="597" t="n">
        <x:v>0.5071770334928229</x:v>
      </x:c>
      <x:c r="N55" s="595" t="inlineStr">
        <x:is>
          <x:t xml:space="preserve">V4纸面入选-C</x:t>
        </x:is>
      </x:c>
      <x:c r="O55" s="595" t="inlineStr">
        <x:is>
          <x:t xml:space="preserve">0-2</x:t>
        </x:is>
      </x:c>
      <x:c r="P55" s="595" t="inlineStr">
        <x:is>
          <x:t xml:space="preserve">已结算</x:t>
        </x:is>
      </x:c>
      <x:c r="Q55" s="640" t="inlineStr">
        <x:is>
          <x:t xml:space="preserve">红</x:t>
        </x:is>
      </x:c>
      <x:c r="R55" s="599" t="n">
        <x:v>1.08</x:v>
      </x:c>
      <x:c r="S55" s="599" t="n">
        <x:f>IF(OR(Q55="",Q55="待结算"),"",IF(Q55="红",R55,IF(Q55="半红",R55*0.5,IF(Q55="走",0,IF(Q55="半黑",-0.5,-1)))))</x:f>
        <x:v>1.08</x:v>
      </x:c>
      <x:c r="T55" s="595" t="inlineStr">
        <x:is>
          <x:t xml:space="preserve">https://m.titan007.com/analy/Analysis/3012185.htm</x:t>
        </x:is>
      </x:c>
      <x:c r="U55" s="641" t="str">
        <x:f>IF(Q55="","",IF(Q55="待结算","待结算",IF(Q55="红","黑",IF(Q55="半红","半黑",IF(Q55="走","走",IF(Q55="半黑","半红","红"))))))</x:f>
        <x:v>黑</x:v>
      </x:c>
      <x:c r="V55" s="599" t="n">
        <x:f>IF(OR(Q55="",Q55="待结算"),"",IF(L55=LEFT(F55,FIND(" vs ",F55)-1),I55,G55))</x:f>
        <x:v>0.62</x:v>
      </x:c>
      <x:c r="W55" s="599" t="n">
        <x:f>IF(OR(U55="",U55="待结算"),"",IF(U55="红",V55,IF(U55="半红",V55*0.5,IF(U55="走",0,IF(U55="半黑",-0.5,-1)))))</x:f>
        <x:v>-1</x:v>
      </x:c>
      <x:c r="X55" s="595" t="inlineStr">
        <x:is>
          <x:t xml:space="preserve">3012185</x:t>
        </x:is>
      </x:c>
      <x:c r="Y55" s="595" t="inlineStr">
        <x:is>
          <x:t xml:space="preserve">v4-market-dirichlet-20260913</x:t>
        </x:is>
      </x:c>
      <x:c r="Z55" s="595" t="inlineStr">
        <x:is>
          <x:t xml:space="preserve">prior-2026-09-14-v1</x:t>
        </x:is>
      </x:c>
      <x:c r="AA55" s="595" t="inlineStr">
        <x:is>
          <x:t xml:space="preserve">C</x:t>
        </x:is>
      </x:c>
      <x:c r="AB55" s="600" t="n">
        <x:v>0.4416666666666667</x:v>
      </x:c>
      <x:c r="AC55" s="600" t="n">
        <x:v>0</x:v>
      </x:c>
      <x:c r="AD55" s="600" t="n">
        <x:v>0</x:v>
      </x:c>
      <x:c r="AE55" s="600" t="n">
        <x:v>0.2583333333333334</x:v>
      </x:c>
      <x:c r="AF55" s="600" t="n">
        <x:v>0.3</x:v>
      </x:c>
      <x:c r="AG55" s="600" t="n">
        <x:v>0.04783333333333334</x:v>
      </x:c>
      <x:c r="AH55" s="600" t="n">
        <x:v>-0.09501633119711872</x:v>
      </x:c>
      <x:c r="AI55" s="600" t="n">
        <x:v>-0.06144131424748261</x:v>
      </x:c>
      <x:c r="AJ55" s="600" t="n">
        <x:v>0.04980137468203941</x:v>
      </x:c>
      <x:c r="AK55" s="600" t="n">
        <x:v>0.1570249646975471</x:v>
      </x:c>
      <x:c r="AL55" s="600" t="n">
        <x:v>0.185170580077879</x:v>
      </x:c>
      <x:c r="AM55" s="600" t="n">
        <x:v>0.7094</x:v>
      </x:c>
      <x:c r="AN55" s="595" t="inlineStr">
        <x:is>
          <x:t xml:space="preserve">EVALUATED</x:t>
        </x:is>
      </x:c>
      <x:c r="AO55" s="600" t="inlineStr">
        <x:is>
          <x:t xml:space="preserve">BUCKET_0.75、SIDE_IDENTITY_VALID、FLAT_LINE_GIVING_WATER_DROP</x:t>
        </x:is>
      </x:c>
      <x:c r="AP55" s="600" t="inlineStr">
        <x:is>
          <x:t xml:space="preserve">95028cf7af1669114876</x:t>
        </x:is>
      </x:c>
      <x:c r="AQ55" s="600" t="n">
        <x:v>0.75</x:v>
      </x:c>
      <x:c r="AR55" s="600" t="n">
        <x:v>1.08</x:v>
      </x:c>
      <x:c r="AS55" s="600" t="n">
        <x:v>-0.75</x:v>
      </x:c>
      <x:c r="AT55" s="600" t="n">
        <x:v>0.75</x:v>
      </x:c>
      <x:c r="AU55" s="600" t="n">
        <x:v>0.62</x:v>
      </x:c>
      <x:c r="AV55" s="600" t="n">
        <x:v>1.08</x:v>
      </x:c>
      <x:c r="AW55" s="595" t="n">
        <x:v>46279.59476246528</x:v>
      </x:c>
      <x:c r="AX55" s="595" t="inlineStr">
        <x:is>
          <x:t xml:space="preserve">https://simondongxiao.github.io/odds/v4/</x:t>
        </x:is>
      </x:c>
      <x:c r="AY55" s="595" t="inlineStr">
        <x:is>
          <x:t xml:space="preserve">V4 Shadow Only；real_money=false；P(EV&gt;0)不是比赛胜率</x:t>
        </x:is>
      </x:c>
    </x:row>
    <x:row r="56" ht="22" customHeight="1">
      <x:c r="A56" s="595" t="inlineStr">
        <x:is>
          <x:t xml:space="preserve">2026-09-15</x:t>
        </x:is>
      </x:c>
      <x:c r="B56" s="595" t="inlineStr">
        <x:is>
          <x:t xml:space="preserve">2026-09-15 18:00</x:t>
        </x:is>
      </x:c>
      <x:c r="C56" s="595" t="str">
        <x:v>五大联赛非顶级联赛</x:v>
      </x:c>
      <x:c r="D56" s="595" t="inlineStr">
        <x:is>
          <x:t xml:space="preserve">联赛</x:t>
        </x:is>
      </x:c>
      <x:c r="E56" s="595" t="inlineStr">
        <x:is>
          <x:t xml:space="preserve">亚冠精英</x:t>
        </x:is>
      </x:c>
      <x:c r="F56" s="595" t="inlineStr">
        <x:is>
          <x:t xml:space="preserve">鹿岛鹿角 vs 纽卡斯尔喷气机</x:t>
        </x:is>
      </x:c>
      <x:c r="G56" s="596" t="n">
        <x:v>0.99</x:v>
      </x:c>
      <x:c r="H56" s="596" t="n">
        <x:v>1.75</x:v>
      </x:c>
      <x:c r="I56" s="596" t="n">
        <x:v>0.83</x:v>
      </x:c>
      <x:c r="J56" s="596" t="inlineStr">
        <x:is>
          <x:t xml:space="preserve">0.99/1.75/0.83</x:t>
        </x:is>
      </x:c>
      <x:c r="K56" s="595" t="inlineStr">
        <x:is>
          <x:t xml:space="preserve">V4-C｜EV +0.0526</x:t>
        </x:is>
      </x:c>
      <x:c r="L56" s="595" t="inlineStr">
        <x:is>
          <x:t xml:space="preserve">鹿岛鹿角</x:t>
        </x:is>
      </x:c>
      <x:c r="M56" s="597" t="n">
        <x:v>0.5333333333333333</x:v>
      </x:c>
      <x:c r="N56" s="595" t="inlineStr">
        <x:is>
          <x:t xml:space="preserve">V4纸面入选-C</x:t>
        </x:is>
      </x:c>
      <x:c r="O56" s="595" t="inlineStr">
        <x:is>
          <x:t xml:space="preserve">7-1</x:t>
        </x:is>
      </x:c>
      <x:c r="P56" s="595" t="inlineStr">
        <x:is>
          <x:t xml:space="preserve">已结算</x:t>
        </x:is>
      </x:c>
      <x:c r="Q56" s="640" t="inlineStr">
        <x:is>
          <x:t xml:space="preserve">红</x:t>
        </x:is>
      </x:c>
      <x:c r="R56" s="599" t="n">
        <x:v>0.99</x:v>
      </x:c>
      <x:c r="S56" s="599" t="n">
        <x:f>IF(OR(Q56="",Q56="待结算"),"",IF(Q56="红",R56,IF(Q56="半红",R56*0.5,IF(Q56="走",0,IF(Q56="半黑",-0.5,-1)))))</x:f>
        <x:v>0.99</x:v>
      </x:c>
      <x:c r="T56" s="595" t="inlineStr">
        <x:is>
          <x:t xml:space="preserve">https://www.the-afc.com/en/club/afc_champions_league_elite.html/news/md1-kashima-antlers-fc-jpn-7-1-newcastle-jets-fc-aus</x:t>
        </x:is>
      </x:c>
      <x:c r="U56" s="641" t="str">
        <x:f>IF(Q56="","",IF(Q56="待结算","待结算",IF(Q56="红","黑",IF(Q56="半红","半黑",IF(Q56="走","走",IF(Q56="半黑","半红","红"))))))</x:f>
        <x:v>黑</x:v>
      </x:c>
      <x:c r="V56" s="599" t="n">
        <x:f>IF(OR(Q56="",Q56="待结算"),"",IF(L56=LEFT(F56,FIND(" vs ",F56)-1),I56,G56))</x:f>
        <x:v>0.83</x:v>
      </x:c>
      <x:c r="W56" s="599" t="n">
        <x:f>IF(OR(U56="",U56="待结算"),"",IF(U56="红",V56,IF(U56="半红",V56*0.5,IF(U56="走",0,IF(U56="半黑",-0.5,-1)))))</x:f>
        <x:v>-1</x:v>
      </x:c>
      <x:c r="X56" s="595" t="inlineStr">
        <x:is>
          <x:t xml:space="preserve">3068858</x:t>
        </x:is>
      </x:c>
      <x:c r="Y56" s="595" t="inlineStr">
        <x:is>
          <x:t xml:space="preserve">v4-market-dirichlet-20260913</x:t>
        </x:is>
      </x:c>
      <x:c r="Z56" s="595" t="inlineStr">
        <x:is>
          <x:t xml:space="preserve">prior-2026-09-15-v1</x:t>
        </x:is>
      </x:c>
      <x:c r="AA56" s="595" t="inlineStr">
        <x:is>
          <x:t xml:space="preserve">C</x:t>
        </x:is>
      </x:c>
      <x:c r="AB56" s="600" t="n">
        <x:v>0.3142857142857143</x:v>
      </x:c>
      <x:c r="AC56" s="600" t="n">
        <x:v>0.2857142857142857</x:v>
      </x:c>
      <x:c r="AD56" s="600" t="n">
        <x:v>0</x:v>
      </x:c>
      <x:c r="AE56" s="600" t="n">
        <x:v>0</x:v>
      </x:c>
      <x:c r="AF56" s="600" t="n">
        <x:v>0.4</x:v>
      </x:c>
      <x:c r="AG56" s="600" t="n">
        <x:v>0.05257142857142849</x:v>
      </x:c>
      <x:c r="AH56" s="600" t="n">
        <x:v>-0.1966157517028735</x:v>
      </x:c>
      <x:c r="AI56" s="600" t="n">
        <x:v>-0.1383992188302317</x:v>
      </x:c>
      <x:c r="AJ56" s="600" t="n">
        <x:v>0.05777750550527</x:v>
      </x:c>
      <x:c r="AK56" s="600" t="n">
        <x:v>0.2379984355357589</x:v>
      </x:c>
      <x:c r="AL56" s="600" t="n">
        <x:v>0.2888981668991608</x:v>
      </x:c>
      <x:c r="AM56" s="600" t="n">
        <x:v>0.6466</x:v>
      </x:c>
      <x:c r="AN56" s="595" t="inlineStr">
        <x:is>
          <x:t xml:space="preserve">FROZEN_PREMATCH_DECISION</x:t>
        </x:is>
      </x:c>
      <x:c r="AO56" s="600" t="inlineStr">
        <x:is>
          <x:t xml:space="preserve">STARTED_DECISION_LOCKED</x:t>
        </x:is>
      </x:c>
      <x:c r="AP56" s="600" t="inlineStr">
        <x:is>
          <x:t xml:space="preserve">07207892084cf5739294</x:t>
        </x:is>
      </x:c>
      <x:c r="AQ56" s="600" t="n">
        <x:v>-1.75</x:v>
      </x:c>
      <x:c r="AR56" s="600" t="n">
        <x:v>0.99</x:v>
      </x:c>
      <x:c r="AS56" s="600" t="n">
        <x:v>-1.75</x:v>
      </x:c>
      <x:c r="AT56" s="600" t="n">
        <x:v>1.75</x:v>
      </x:c>
      <x:c r="AU56" s="600" t="n">
        <x:v>0.99</x:v>
      </x:c>
      <x:c r="AV56" s="600" t="n">
        <x:v>0.83</x:v>
      </x:c>
      <x:c r="AW56" s="595" t="n">
        <x:v>46279.97527274305</x:v>
      </x:c>
      <x:c r="AX56" s="595" t="inlineStr">
        <x:is>
          <x:t xml:space="preserve">https://simondongxiao.github.io/odds/v4/</x:t>
        </x:is>
      </x:c>
      <x:c r="AY56" s="595" t="inlineStr">
        <x:is>
          <x:t xml:space="preserve">V4 Shadow Only；real_money=false；P(EV&gt;0)不是比赛胜率</x:t>
        </x:is>
      </x:c>
    </x:row>
    <x:row r="57" ht="22" customHeight="1">
      <x:c r="A57" s="595" t="inlineStr">
        <x:is>
          <x:t xml:space="preserve">2026-09-15</x:t>
        </x:is>
      </x:c>
      <x:c r="B57" s="595" t="inlineStr">
        <x:is>
          <x:t xml:space="preserve">2026-09-15 18:00</x:t>
        </x:is>
      </x:c>
      <x:c r="C57" s="595" t="str">
        <x:v>欧洲非五大系列</x:v>
      </x:c>
      <x:c r="D57" s="595" t="inlineStr">
        <x:is>
          <x:t xml:space="preserve">联赛</x:t>
        </x:is>
      </x:c>
      <x:c r="E57" s="595" t="inlineStr">
        <x:is>
          <x:t xml:space="preserve">葡U23</x:t>
        </x:is>
      </x:c>
      <x:c r="F57" s="595" t="inlineStr">
        <x:is>
          <x:t xml:space="preserve">吉维森特U23 vs 波蒂蒙尼斯U23</x:t>
        </x:is>
      </x:c>
      <x:c r="G57" s="596" t="n">
        <x:v>0.77</x:v>
      </x:c>
      <x:c r="H57" s="596" t="n">
        <x:v>0.5</x:v>
      </x:c>
      <x:c r="I57" s="596" t="n">
        <x:v>0.99</x:v>
      </x:c>
      <x:c r="J57" s="596" t="inlineStr">
        <x:is>
          <x:t xml:space="preserve">0.77/0.5/0.99</x:t>
        </x:is>
      </x:c>
      <x:c r="K57" s="595" t="inlineStr">
        <x:is>
          <x:t xml:space="preserve">V4-C｜EV +0.0007</x:t>
        </x:is>
      </x:c>
      <x:c r="L57" s="595" t="inlineStr">
        <x:is>
          <x:t xml:space="preserve">波蒂蒙尼斯U23</x:t>
        </x:is>
      </x:c>
      <x:c r="M57" s="597" t="n">
        <x:v>0.5028571428571429</x:v>
      </x:c>
      <x:c r="N57" s="595" t="inlineStr">
        <x:is>
          <x:t xml:space="preserve">V4纸面入选-C</x:t>
        </x:is>
      </x:c>
      <x:c r="O57" s="595" t="inlineStr">
        <x:is>
          <x:t xml:space="preserve">2-0</x:t>
        </x:is>
      </x:c>
      <x:c r="P57" s="595" t="inlineStr">
        <x:is>
          <x:t xml:space="preserve">已结算</x:t>
        </x:is>
      </x:c>
      <x:c r="Q57" s="641" t="inlineStr">
        <x:is>
          <x:t xml:space="preserve">黑</x:t>
        </x:is>
      </x:c>
      <x:c r="R57" s="599" t="n">
        <x:v>0.99</x:v>
      </x:c>
      <x:c r="S57" s="599" t="n">
        <x:f>IF(OR(Q57="",Q57="待结算"),"",IF(Q57="红",R57,IF(Q57="半红",R57*0.5,IF(Q57="走",0,IF(Q57="半黑",-0.5,-1)))))</x:f>
        <x:v>-1</x:v>
      </x:c>
      <x:c r="T57" s="595" t="inlineStr">
        <x:is>
          <x:t xml:space="preserve">https://portimonense.pt/index.php?Itemid=307&amp;id=1801&amp;option=com_content&amp;task=view</x:t>
        </x:is>
      </x:c>
      <x:c r="U57" s="640" t="str">
        <x:f>IF(Q57="","",IF(Q57="待结算","待结算",IF(Q57="红","黑",IF(Q57="半红","半黑",IF(Q57="走","走",IF(Q57="半黑","半红","红"))))))</x:f>
        <x:v>红</x:v>
      </x:c>
      <x:c r="V57" s="599" t="n">
        <x:f>IF(OR(Q57="",Q57="待结算"),"",IF(L57=LEFT(F57,FIND(" vs ",F57)-1),I57,G57))</x:f>
        <x:v>0.77</x:v>
      </x:c>
      <x:c r="W57" s="599" t="n">
        <x:f>IF(OR(U57="",U57="待结算"),"",IF(U57="红",V57,IF(U57="半红",V57*0.5,IF(U57="走",0,IF(U57="半黑",-0.5,-1)))))</x:f>
        <x:v>0.77</x:v>
      </x:c>
      <x:c r="X57" s="595" t="inlineStr">
        <x:is>
          <x:t xml:space="preserve">3056284</x:t>
        </x:is>
      </x:c>
      <x:c r="Y57" s="595" t="inlineStr">
        <x:is>
          <x:t xml:space="preserve">v4-market-dirichlet-20260913</x:t>
        </x:is>
      </x:c>
      <x:c r="Z57" s="595" t="inlineStr">
        <x:is>
          <x:t xml:space="preserve">prior-2026-09-15-v1</x:t>
        </x:is>
      </x:c>
      <x:c r="AA57" s="595" t="inlineStr">
        <x:is>
          <x:t xml:space="preserve">C</x:t>
        </x:is>
      </x:c>
      <x:c r="AB57" s="600" t="n">
        <x:v>0.5028571428571429</x:v>
      </x:c>
      <x:c r="AC57" s="600" t="n">
        <x:v>0</x:v>
      </x:c>
      <x:c r="AD57" s="600" t="n">
        <x:v>0</x:v>
      </x:c>
      <x:c r="AE57" s="600" t="n">
        <x:v>0</x:v>
      </x:c>
      <x:c r="AF57" s="600" t="n">
        <x:v>0.4971428571428572</x:v>
      </x:c>
      <x:c r="AG57" s="600" t="n">
        <x:v>0.0006857142857142895</x:v>
      </x:c>
      <x:c r="AH57" s="600" t="n">
        <x:v>-0.1226172163074178</x:v>
      </x:c>
      <x:c r="AI57" s="600" t="n">
        <x:v>-0.09566633621684173</x:v>
      </x:c>
      <x:c r="AJ57" s="600" t="n">
        <x:v>0.001161051917777822</x:v>
      </x:c>
      <x:c r="AK57" s="600" t="n">
        <x:v>0.0966616399863135</x:v>
      </x:c>
      <x:c r="AL57" s="600" t="n">
        <x:v>0.1254015283034908</x:v>
      </x:c>
      <x:c r="AM57" s="600" t="n">
        <x:v>0.5052</x:v>
      </x:c>
      <x:c r="AN57" s="595" t="inlineStr">
        <x:is>
          <x:t xml:space="preserve">FROZEN_PREMATCH_DECISION</x:t>
        </x:is>
      </x:c>
      <x:c r="AO57" s="600" t="inlineStr">
        <x:is>
          <x:t xml:space="preserve">STARTED_DECISION_LOCKED</x:t>
        </x:is>
      </x:c>
      <x:c r="AP57" s="600" t="inlineStr">
        <x:is>
          <x:t xml:space="preserve">c0377826b282dac8d8b0</x:t>
        </x:is>
      </x:c>
      <x:c r="AQ57" s="600" t="n">
        <x:v>0.5</x:v>
      </x:c>
      <x:c r="AR57" s="600" t="n">
        <x:v>0.99</x:v>
      </x:c>
      <x:c r="AS57" s="600" t="n">
        <x:v>-0.5</x:v>
      </x:c>
      <x:c r="AT57" s="600" t="n">
        <x:v>0.5</x:v>
      </x:c>
      <x:c r="AU57" s="600" t="n">
        <x:v>0.77</x:v>
      </x:c>
      <x:c r="AV57" s="600" t="n">
        <x:v>0.99</x:v>
      </x:c>
      <x:c r="AW57" s="595" t="n">
        <x:v>46279.97527274305</x:v>
      </x:c>
      <x:c r="AX57" s="595" t="inlineStr">
        <x:is>
          <x:t xml:space="preserve">https://simondongxiao.github.io/odds/v4/</x:t>
        </x:is>
      </x:c>
      <x:c r="AY57" s="595" t="inlineStr">
        <x:is>
          <x:t xml:space="preserve">V4 Shadow Only；real_money=false；P(EV&gt;0)不是比赛胜率</x:t>
        </x:is>
      </x:c>
    </x:row>
    <x:row r="58" ht="22" customHeight="1">
      <x:c r="A58" s="595" t="inlineStr">
        <x:is>
          <x:t xml:space="preserve">2026-09-15</x:t>
        </x:is>
      </x:c>
      <x:c r="B58" s="595" t="inlineStr">
        <x:is>
          <x:t xml:space="preserve">2026-09-15 18:30</x:t>
        </x:is>
      </x:c>
      <x:c r="C58" s="595" t="str">
        <x:v>其他系列</x:v>
      </x:c>
      <x:c r="D58" s="595" t="inlineStr">
        <x:is>
          <x:t xml:space="preserve">联赛</x:t>
        </x:is>
      </x:c>
      <x:c r="E58" s="595" t="inlineStr">
        <x:is>
          <x:t xml:space="preserve">亚运男足</x:t>
        </x:is>
      </x:c>
      <x:c r="F58" s="595" t="inlineStr">
        <x:is>
          <x:t xml:space="preserve">卡塔尔U23(中) vs 韩国U23</x:t>
        </x:is>
      </x:c>
      <x:c r="G58" s="596" t="n">
        <x:v>0.96</x:v>
      </x:c>
      <x:c r="H58" s="596" t="n">
        <x:v>-2.25</x:v>
      </x:c>
      <x:c r="I58" s="596" t="n">
        <x:v>0.86</x:v>
      </x:c>
      <x:c r="J58" s="596" t="inlineStr">
        <x:is>
          <x:t xml:space="preserve">0.96/-2.25/0.86</x:t>
        </x:is>
      </x:c>
      <x:c r="K58" s="595" t="inlineStr">
        <x:is>
          <x:t xml:space="preserve">V4-C｜EV +0.0411</x:t>
        </x:is>
      </x:c>
      <x:c r="L58" s="595" t="inlineStr">
        <x:is>
          <x:t xml:space="preserve">韩国U23</x:t>
        </x:is>
      </x:c>
      <x:c r="M58" s="597" t="n">
        <x:v>0.5625</x:v>
      </x:c>
      <x:c r="N58" s="595" t="inlineStr">
        <x:is>
          <x:t xml:space="preserve">V4纸面入选-C</x:t>
        </x:is>
      </x:c>
      <x:c r="O58" s="595" t="inlineStr">
        <x:is>
          <x:t xml:space="preserve">1-4</x:t>
        </x:is>
      </x:c>
      <x:c r="P58" s="595" t="inlineStr">
        <x:is>
          <x:t xml:space="preserve">已结算</x:t>
        </x:is>
      </x:c>
      <x:c r="Q58" s="640" t="inlineStr">
        <x:is>
          <x:t xml:space="preserve">红</x:t>
        </x:is>
      </x:c>
      <x:c r="R58" s="599" t="n">
        <x:v>0.86</x:v>
      </x:c>
      <x:c r="S58" s="599" t="n">
        <x:f>IF(OR(Q58="",Q58="待结算"),"",IF(Q58="红",R58,IF(Q58="半红",R58*0.5,IF(Q58="走",0,IF(Q58="半黑",-0.5,-1)))))</x:f>
        <x:v>0.86</x:v>
      </x:c>
      <x:c r="T58" s="595" t="inlineStr">
        <x:is>
          <x:t xml:space="preserve">https://en.yna.co.kr/view/AEN20260915010800315</x:t>
        </x:is>
      </x:c>
      <x:c r="U58" s="641" t="str">
        <x:f>IF(Q58="","",IF(Q58="待结算","待结算",IF(Q58="红","黑",IF(Q58="半红","半黑",IF(Q58="走","走",IF(Q58="半黑","半红","红"))))))</x:f>
        <x:v>黑</x:v>
      </x:c>
      <x:c r="V58" s="599" t="n">
        <x:f>IF(OR(Q58="",Q58="待结算"),"",IF(L58=LEFT(F58,FIND(" vs ",F58)-1),I58,G58))</x:f>
        <x:v>0.96</x:v>
      </x:c>
      <x:c r="W58" s="599" t="n">
        <x:f>IF(OR(U58="",U58="待结算"),"",IF(U58="红",V58,IF(U58="半红",V58*0.5,IF(U58="走",0,IF(U58="半黑",-0.5,-1)))))</x:f>
        <x:v>-1</x:v>
      </x:c>
      <x:c r="X58" s="595" t="inlineStr">
        <x:is>
          <x:t xml:space="preserve">3049667</x:t>
        </x:is>
      </x:c>
      <x:c r="Y58" s="595" t="inlineStr">
        <x:is>
          <x:t xml:space="preserve">v4-market-dirichlet-20260913</x:t>
        </x:is>
      </x:c>
      <x:c r="Z58" s="595" t="inlineStr">
        <x:is>
          <x:t xml:space="preserve">prior-2026-09-15-v1</x:t>
        </x:is>
      </x:c>
      <x:c r="AA58" s="595" t="inlineStr">
        <x:is>
          <x:t xml:space="preserve">C</x:t>
        </x:is>
      </x:c>
      <x:c r="AB58" s="600" t="n">
        <x:v>0.5</x:v>
      </x:c>
      <x:c r="AC58" s="600" t="n">
        <x:v>0</x:v>
      </x:c>
      <x:c r="AD58" s="600" t="n">
        <x:v>0</x:v>
      </x:c>
      <x:c r="AE58" s="600" t="n">
        <x:v>0.2222222222222222</x:v>
      </x:c>
      <x:c r="AF58" s="600" t="n">
        <x:v>0.2777777777777778</x:v>
      </x:c>
      <x:c r="AG58" s="600" t="n">
        <x:v>0.0411111111111111</x:v>
      </x:c>
      <x:c r="AH58" s="600" t="n">
        <x:v>-0.2731553739785826</x:v>
      </x:c>
      <x:c r="AI58" s="600" t="n">
        <x:v>-0.2035279810327457</x:v>
      </x:c>
      <x:c r="AJ58" s="600" t="n">
        <x:v>0.0461134826167387</x:v>
      </x:c>
      <x:c r="AK58" s="600" t="n">
        <x:v>0.2918081965704447</x:v>
      </x:c>
      <x:c r="AL58" s="600" t="n">
        <x:v>0.3558990605591715</x:v>
      </x:c>
      <x:c r="AM58" s="600" t="n">
        <x:v>0.5884</x:v>
      </x:c>
      <x:c r="AN58" s="595" t="inlineStr">
        <x:is>
          <x:t xml:space="preserve">EVALUATED</x:t>
        </x:is>
      </x:c>
      <x:c r="AO58" s="600" t="inlineStr">
        <x:is>
          <x:t xml:space="preserve">BUCKET_2.25、SIDE_IDENTITY_VALID、MARKET_MOVE_LINE_STRENGTH_WITH_GIVING_RESISTANCE</x:t>
        </x:is>
      </x:c>
      <x:c r="AP58" s="600" t="inlineStr">
        <x:is>
          <x:t xml:space="preserve">63a2f801f77f5b1a51b4</x:t>
        </x:is>
      </x:c>
      <x:c r="AQ58" s="600" t="n">
        <x:v>-2.25</x:v>
      </x:c>
      <x:c r="AR58" s="600" t="n">
        <x:v>0.86</x:v>
      </x:c>
      <x:c r="AS58" s="600" t="n">
        <x:v>2.25</x:v>
      </x:c>
      <x:c r="AT58" s="600" t="n">
        <x:v>-2.25</x:v>
      </x:c>
      <x:c r="AU58" s="600" t="n">
        <x:v>0.96</x:v>
      </x:c>
      <x:c r="AV58" s="600" t="n">
        <x:v>0.86</x:v>
      </x:c>
      <x:c r="AW58" s="595" t="n">
        <x:v>46280.42367292824</x:v>
      </x:c>
      <x:c r="AX58" s="595" t="inlineStr">
        <x:is>
          <x:t xml:space="preserve">https://simondongxiao.github.io/odds/v4/</x:t>
        </x:is>
      </x:c>
      <x:c r="AY58" s="595" t="inlineStr">
        <x:is>
          <x:t xml:space="preserve">V4 Shadow Only；real_money=false；P(EV&gt;0)不是比赛胜率</x:t>
        </x:is>
      </x:c>
    </x:row>
    <x:row r="59" ht="22" customHeight="1">
      <x:c r="A59" s="595" t="inlineStr">
        <x:is>
          <x:t xml:space="preserve">2026-09-15</x:t>
        </x:is>
      </x:c>
      <x:c r="B59" s="595" t="inlineStr">
        <x:is>
          <x:t xml:space="preserve">2026-09-15 20:00</x:t>
        </x:is>
      </x:c>
      <x:c r="C59" s="595" t="str">
        <x:v>五大联赛非顶级联赛</x:v>
      </x:c>
      <x:c r="D59" s="595" t="inlineStr">
        <x:is>
          <x:t xml:space="preserve">联赛</x:t>
        </x:is>
      </x:c>
      <x:c r="E59" s="595" t="inlineStr">
        <x:is>
          <x:t xml:space="preserve">英后备</x:t>
        </x:is>
      </x:c>
      <x:c r="F59" s="595" t="inlineStr">
        <x:is>
          <x:t xml:space="preserve">诺士郡后备队 vs 曼斯菲特后备队</x:t>
        </x:is>
      </x:c>
      <x:c r="G59" s="596" t="n">
        <x:v>1.06</x:v>
      </x:c>
      <x:c r="H59" s="596" t="n">
        <x:v>-0.5</x:v>
      </x:c>
      <x:c r="I59" s="596" t="n">
        <x:v>0.76</x:v>
      </x:c>
      <x:c r="J59" s="596" t="inlineStr">
        <x:is>
          <x:t xml:space="preserve">1.06/-0.5/0.76</x:t>
        </x:is>
      </x:c>
      <x:c r="K59" s="595" t="inlineStr">
        <x:is>
          <x:t xml:space="preserve">V4-C｜EV +0.0359</x:t>
        </x:is>
      </x:c>
      <x:c r="L59" s="595" t="inlineStr">
        <x:is>
          <x:t xml:space="preserve">诺士郡后备队</x:t>
        </x:is>
      </x:c>
      <x:c r="M59" s="597" t="n">
        <x:v>0.5028571428571429</x:v>
      </x:c>
      <x:c r="N59" s="595" t="inlineStr">
        <x:is>
          <x:t xml:space="preserve">V4纸面入选-C</x:t>
        </x:is>
      </x:c>
      <x:c r="O59" s="595" t="inlineStr">
        <x:is>
          <x:t xml:space="preserve">4-1</x:t>
        </x:is>
      </x:c>
      <x:c r="P59" s="595" t="inlineStr">
        <x:is>
          <x:t xml:space="preserve">已结算</x:t>
        </x:is>
      </x:c>
      <x:c r="Q59" s="640" t="inlineStr">
        <x:is>
          <x:t xml:space="preserve">红</x:t>
        </x:is>
      </x:c>
      <x:c r="R59" s="599" t="n">
        <x:v>1.06</x:v>
      </x:c>
      <x:c r="S59" s="599" t="n">
        <x:f>IF(OR(Q59="",Q59="待结算"),"",IF(Q59="红",R59,IF(Q59="半红",R59*0.5,IF(Q59="走",0,IF(Q59="半黑",-0.5,-1)))))</x:f>
        <x:v>1.06</x:v>
      </x:c>
      <x:c r="T59" s="595" t="inlineStr">
        <x:is>
          <x:t xml:space="preserve">https://www.totalcorner.com/league/view/597</x:t>
        </x:is>
      </x:c>
      <x:c r="U59" s="641" t="str">
        <x:f>IF(Q59="","",IF(Q59="待结算","待结算",IF(Q59="红","黑",IF(Q59="半红","半黑",IF(Q59="走","走",IF(Q59="半黑","半红","红"))))))</x:f>
        <x:v>黑</x:v>
      </x:c>
      <x:c r="V59" s="599" t="n">
        <x:f>IF(OR(Q59="",Q59="待结算"),"",IF(L59=LEFT(F59,FIND(" vs ",F59)-1),I59,G59))</x:f>
        <x:v>0.76</x:v>
      </x:c>
      <x:c r="W59" s="599" t="n">
        <x:f>IF(OR(U59="",U59="待结算"),"",IF(U59="红",V59,IF(U59="半红",V59*0.5,IF(U59="走",0,IF(U59="半黑",-0.5,-1)))))</x:f>
        <x:v>-1</x:v>
      </x:c>
      <x:c r="X59" s="595" t="inlineStr">
        <x:is>
          <x:t xml:space="preserve">3091352</x:t>
        </x:is>
      </x:c>
      <x:c r="Y59" s="595" t="inlineStr">
        <x:is>
          <x:t xml:space="preserve">v4-market-dirichlet-20260913</x:t>
        </x:is>
      </x:c>
      <x:c r="Z59" s="595" t="inlineStr">
        <x:is>
          <x:t xml:space="preserve">prior-2026-09-15-v1</x:t>
        </x:is>
      </x:c>
      <x:c r="AA59" s="595" t="inlineStr">
        <x:is>
          <x:t xml:space="preserve">C</x:t>
        </x:is>
      </x:c>
      <x:c r="AB59" s="600" t="n">
        <x:v>0.5028571428571429</x:v>
      </x:c>
      <x:c r="AC59" s="600" t="n">
        <x:v>0</x:v>
      </x:c>
      <x:c r="AD59" s="600" t="n">
        <x:v>0</x:v>
      </x:c>
      <x:c r="AE59" s="600" t="n">
        <x:v>0</x:v>
      </x:c>
      <x:c r="AF59" s="600" t="n">
        <x:v>0.4971428571428572</x:v>
      </x:c>
      <x:c r="AG59" s="600" t="n">
        <x:v>0.03588571428571435</x:v>
      </x:c>
      <x:c r="AH59" s="600" t="n">
        <x:v>-0.08565275296208785</x:v>
      </x:c>
      <x:c r="AI59" s="600" t="n">
        <x:v>-0.06087641648720538</x:v>
      </x:c>
      <x:c r="AJ59" s="600" t="n">
        <x:v>0.03554871527039233</x:v>
      </x:c>
      <x:c r="AK59" s="600" t="n">
        <x:v>0.1346382551422453</x:v>
      </x:c>
      <x:c r="AL59" s="600" t="n">
        <x:v>0.1616276582640869</x:v>
      </x:c>
      <x:c r="AM59" s="600" t="n">
        <x:v>0.6772</x:v>
      </x:c>
      <x:c r="AN59" s="595" t="inlineStr">
        <x:is>
          <x:t xml:space="preserve">EVALUATED</x:t>
        </x:is>
      </x:c>
      <x:c r="AO59" s="600" t="inlineStr">
        <x:is>
          <x:t xml:space="preserve">BUCKET_0.50、SIDE_IDENTITY_VALID、FLAT_LINE_GIVING_WATER_DROP</x:t>
        </x:is>
      </x:c>
      <x:c r="AP59" s="600" t="inlineStr">
        <x:is>
          <x:t xml:space="preserve">ac72bc3ccf04f87c47c8</x:t>
        </x:is>
      </x:c>
      <x:c r="AQ59" s="600" t="n">
        <x:v>0.5</x:v>
      </x:c>
      <x:c r="AR59" s="600" t="n">
        <x:v>1.06</x:v>
      </x:c>
      <x:c r="AS59" s="600" t="n">
        <x:v>0.5</x:v>
      </x:c>
      <x:c r="AT59" s="600" t="n">
        <x:v>-0.5</x:v>
      </x:c>
      <x:c r="AU59" s="600" t="n">
        <x:v>1.06</x:v>
      </x:c>
      <x:c r="AV59" s="600" t="n">
        <x:v>0.76</x:v>
      </x:c>
      <x:c r="AW59" s="595" t="n">
        <x:v>46280.42367292824</x:v>
      </x:c>
      <x:c r="AX59" s="595" t="inlineStr">
        <x:is>
          <x:t xml:space="preserve">https://simondongxiao.github.io/odds/v4/</x:t>
        </x:is>
      </x:c>
      <x:c r="AY59" s="595" t="inlineStr">
        <x:is>
          <x:t xml:space="preserve">V4 Shadow Only；real_money=false；P(EV&gt;0)不是比赛胜率</x:t>
        </x:is>
      </x:c>
    </x:row>
    <x:row r="60" ht="22" customHeight="1">
      <x:c r="A60" s="595" t="inlineStr">
        <x:is>
          <x:t xml:space="preserve">2026-09-15</x:t>
        </x:is>
      </x:c>
      <x:c r="B60" s="595" t="inlineStr">
        <x:is>
          <x:t xml:space="preserve">2026-09-15 20:00</x:t>
        </x:is>
      </x:c>
      <x:c r="C60" s="595" t="str">
        <x:v>五大联赛非顶级联赛</x:v>
      </x:c>
      <x:c r="D60" s="595" t="inlineStr">
        <x:is>
          <x:t xml:space="preserve">联赛</x:t>
        </x:is>
      </x:c>
      <x:c r="E60" s="595" t="inlineStr">
        <x:is>
          <x:t xml:space="preserve">英后备</x:t>
        </x:is>
      </x:c>
      <x:c r="F60" s="595" t="inlineStr">
        <x:is>
          <x:t xml:space="preserve">打比郡后备队 vs 索尔福德市后备队</x:t>
        </x:is>
      </x:c>
      <x:c r="G60" s="596" t="n">
        <x:v>0.8</x:v>
      </x:c>
      <x:c r="H60" s="596" t="n">
        <x:v>0.75</x:v>
      </x:c>
      <x:c r="I60" s="596" t="n">
        <x:v>1.02</x:v>
      </x:c>
      <x:c r="J60" s="596" t="inlineStr">
        <x:is>
          <x:t xml:space="preserve">0.80/0.75/1.02</x:t>
        </x:is>
      </x:c>
      <x:c r="K60" s="595" t="inlineStr">
        <x:is>
          <x:t xml:space="preserve">V4-C｜EV +0.0213</x:t>
        </x:is>
      </x:c>
      <x:c r="L60" s="595" t="inlineStr">
        <x:is>
          <x:t xml:space="preserve">索尔福德市后备队</x:t>
        </x:is>
      </x:c>
      <x:c r="M60" s="597" t="n">
        <x:v>0.5071770334928229</x:v>
      </x:c>
      <x:c r="N60" s="595" t="inlineStr">
        <x:is>
          <x:t xml:space="preserve">V4纸面入选-C</x:t>
        </x:is>
      </x:c>
      <x:c r="O60" s="595" t="inlineStr">
        <x:is>
          <x:t xml:space="preserve">0-2</x:t>
        </x:is>
      </x:c>
      <x:c r="P60" s="595" t="inlineStr">
        <x:is>
          <x:t xml:space="preserve">已结算</x:t>
        </x:is>
      </x:c>
      <x:c r="Q60" s="640" t="inlineStr">
        <x:is>
          <x:t xml:space="preserve">红</x:t>
        </x:is>
      </x:c>
      <x:c r="R60" s="599" t="n">
        <x:v>1.02</x:v>
      </x:c>
      <x:c r="S60" s="599" t="n">
        <x:f>IF(OR(Q60="",Q60="待结算"),"",IF(Q60="红",R60,IF(Q60="半红",R60*0.5,IF(Q60="走",0,IF(Q60="半黑",-0.5,-1)))))</x:f>
        <x:v>1.02</x:v>
      </x:c>
      <x:c r="T60" s="595" t="inlineStr">
        <x:is>
          <x:t xml:space="preserve">https://www.totalcorner.com/league/view/597</x:t>
        </x:is>
      </x:c>
      <x:c r="U60" s="641" t="str">
        <x:f>IF(Q60="","",IF(Q60="待结算","待结算",IF(Q60="红","黑",IF(Q60="半红","半黑",IF(Q60="走","走",IF(Q60="半黑","半红","红"))))))</x:f>
        <x:v>黑</x:v>
      </x:c>
      <x:c r="V60" s="599" t="n">
        <x:f>IF(OR(Q60="",Q60="待结算"),"",IF(L60=LEFT(F60,FIND(" vs ",F60)-1),I60,G60))</x:f>
        <x:v>0.8</x:v>
      </x:c>
      <x:c r="W60" s="599" t="n">
        <x:f>IF(OR(U60="",U60="待结算"),"",IF(U60="红",V60,IF(U60="半红",V60*0.5,IF(U60="走",0,IF(U60="半黑",-0.5,-1)))))</x:f>
        <x:v>-1</x:v>
      </x:c>
      <x:c r="X60" s="595" t="inlineStr">
        <x:is>
          <x:t xml:space="preserve">3091353</x:t>
        </x:is>
      </x:c>
      <x:c r="Y60" s="595" t="inlineStr">
        <x:is>
          <x:t xml:space="preserve">v4-market-dirichlet-20260913</x:t>
        </x:is>
      </x:c>
      <x:c r="Z60" s="595" t="inlineStr">
        <x:is>
          <x:t xml:space="preserve">prior-2026-09-15-v1</x:t>
        </x:is>
      </x:c>
      <x:c r="AA60" s="595" t="inlineStr">
        <x:is>
          <x:t xml:space="preserve">C</x:t>
        </x:is>
      </x:c>
      <x:c r="AB60" s="600" t="n">
        <x:v>0.4416666666666667</x:v>
      </x:c>
      <x:c r="AC60" s="600" t="n">
        <x:v>0</x:v>
      </x:c>
      <x:c r="AD60" s="600" t="n">
        <x:v>0</x:v>
      </x:c>
      <x:c r="AE60" s="600" t="n">
        <x:v>0.2583333333333334</x:v>
      </x:c>
      <x:c r="AF60" s="600" t="n">
        <x:v>0.3</x:v>
      </x:c>
      <x:c r="AG60" s="600" t="n">
        <x:v>0.02133333333333337</x:v>
      </x:c>
      <x:c r="AH60" s="600" t="n">
        <x:v>-0.1140036053831344</x:v>
      </x:c>
      <x:c r="AI60" s="600" t="n">
        <x:v>-0.08559446711108201</x:v>
      </x:c>
      <x:c r="AJ60" s="600" t="n">
        <x:v>0.0194415341288901</x:v>
      </x:c>
      <x:c r="AK60" s="600" t="n">
        <x:v>0.1265066299757749</x:v>
      </x:c>
      <x:c r="AL60" s="600" t="n">
        <x:v>0.1572098365434484</x:v>
      </x:c>
      <x:c r="AM60" s="600" t="n">
        <x:v>0.5928</x:v>
      </x:c>
      <x:c r="AN60" s="595" t="inlineStr">
        <x:is>
          <x:t xml:space="preserve">EVALUATED</x:t>
        </x:is>
      </x:c>
      <x:c r="AO60" s="600" t="inlineStr">
        <x:is>
          <x:t xml:space="preserve">BUCKET_0.75、SIDE_IDENTITY_VALID、FLAT_LINE_GIVING_WATER_DROP</x:t>
        </x:is>
      </x:c>
      <x:c r="AP60" s="600" t="inlineStr">
        <x:is>
          <x:t xml:space="preserve">328e16cac830bf442bf4</x:t>
        </x:is>
      </x:c>
      <x:c r="AQ60" s="600" t="n">
        <x:v>0.75</x:v>
      </x:c>
      <x:c r="AR60" s="600" t="n">
        <x:v>1.02</x:v>
      </x:c>
      <x:c r="AS60" s="600" t="n">
        <x:v>-0.75</x:v>
      </x:c>
      <x:c r="AT60" s="600" t="n">
        <x:v>0.75</x:v>
      </x:c>
      <x:c r="AU60" s="600" t="n">
        <x:v>0.8</x:v>
      </x:c>
      <x:c r="AV60" s="600" t="n">
        <x:v>1.02</x:v>
      </x:c>
      <x:c r="AW60" s="595" t="n">
        <x:v>46280.42367292824</x:v>
      </x:c>
      <x:c r="AX60" s="595" t="inlineStr">
        <x:is>
          <x:t xml:space="preserve">https://simondongxiao.github.io/odds/v4/</x:t>
        </x:is>
      </x:c>
      <x:c r="AY60" s="595" t="inlineStr">
        <x:is>
          <x:t xml:space="preserve">V4 Shadow Only；real_money=false；P(EV&gt;0)不是比赛胜率</x:t>
        </x:is>
      </x:c>
    </x:row>
    <x:row r="61" ht="22" customHeight="1">
      <x:c r="A61" s="595" t="inlineStr">
        <x:is>
          <x:t xml:space="preserve">2026-09-15</x:t>
        </x:is>
      </x:c>
      <x:c r="B61" s="595" t="inlineStr">
        <x:is>
          <x:t xml:space="preserve">2026-09-15 20:15</x:t>
        </x:is>
      </x:c>
      <x:c r="C61" s="595" t="str">
        <x:v>五大联赛非顶级联赛</x:v>
      </x:c>
      <x:c r="D61" s="595" t="inlineStr">
        <x:is>
          <x:t xml:space="preserve">联赛</x:t>
        </x:is>
      </x:c>
      <x:c r="E61" s="595" t="inlineStr">
        <x:is>
          <x:t xml:space="preserve">亚冠精英</x:t>
        </x:is>
      </x:c>
      <x:c r="F61" s="595" t="inlineStr">
        <x:is>
          <x:t xml:space="preserve">柔佛 vs 武里南联</x:t>
        </x:is>
      </x:c>
      <x:c r="G61" s="596" t="n">
        <x:v>0.98</x:v>
      </x:c>
      <x:c r="H61" s="596" t="n">
        <x:v>1.25</x:v>
      </x:c>
      <x:c r="I61" s="596" t="n">
        <x:v>0.84</x:v>
      </x:c>
      <x:c r="J61" s="596" t="inlineStr">
        <x:is>
          <x:t xml:space="preserve">0.98/1.25/0.84</x:t>
        </x:is>
      </x:c>
      <x:c r="K61" s="595" t="inlineStr">
        <x:is>
          <x:t xml:space="preserve">V4-C｜EV +0.0008</x:t>
        </x:is>
      </x:c>
      <x:c r="L61" s="595" t="inlineStr">
        <x:is>
          <x:t xml:space="preserve">柔佛</x:t>
        </x:is>
      </x:c>
      <x:c r="M61" s="597" t="n">
        <x:v>0.5054945054945055</x:v>
      </x:c>
      <x:c r="N61" s="595" t="inlineStr">
        <x:is>
          <x:t xml:space="preserve">V4纸面入选-C</x:t>
        </x:is>
      </x:c>
      <x:c r="O61" s="595" t="inlineStr">
        <x:is>
          <x:t xml:space="preserve">1-1</x:t>
        </x:is>
      </x:c>
      <x:c r="P61" s="595" t="inlineStr">
        <x:is>
          <x:t xml:space="preserve">已结算</x:t>
        </x:is>
      </x:c>
      <x:c r="Q61" s="641" t="inlineStr">
        <x:is>
          <x:t xml:space="preserve">黑</x:t>
        </x:is>
      </x:c>
      <x:c r="R61" s="599" t="n">
        <x:v>0.98</x:v>
      </x:c>
      <x:c r="S61" s="599" t="n">
        <x:f>IF(OR(Q61="",Q61="待结算"),"",IF(Q61="红",R61,IF(Q61="半红",R61*0.5,IF(Q61="走",0,IF(Q61="半黑",-0.5,-1)))))</x:f>
        <x:v>-1</x:v>
      </x:c>
      <x:c r="T61" s="595" t="inlineStr">
        <x:is>
          <x:t xml:space="preserve">https://www.utusan.com.my/terkini/2026/09/1430439/</x:t>
        </x:is>
      </x:c>
      <x:c r="U61" s="640" t="str">
        <x:f>IF(Q61="","",IF(Q61="待结算","待结算",IF(Q61="红","黑",IF(Q61="半红","半黑",IF(Q61="走","走",IF(Q61="半黑","半红","红"))))))</x:f>
        <x:v>红</x:v>
      </x:c>
      <x:c r="V61" s="599" t="n">
        <x:f>IF(OR(Q61="",Q61="待结算"),"",IF(L61=LEFT(F61,FIND(" vs ",F61)-1),I61,G61))</x:f>
        <x:v>0.84</x:v>
      </x:c>
      <x:c r="W61" s="599" t="n">
        <x:f>IF(OR(U61="",U61="待结算"),"",IF(U61="红",V61,IF(U61="半红",V61*0.5,IF(U61="走",0,IF(U61="半黑",-0.5,-1)))))</x:f>
        <x:v>0.84</x:v>
      </x:c>
      <x:c r="X61" s="595" t="inlineStr">
        <x:is>
          <x:t xml:space="preserve">3068861</x:t>
        </x:is>
      </x:c>
      <x:c r="Y61" s="595" t="inlineStr">
        <x:is>
          <x:t xml:space="preserve">v4-market-dirichlet-20260913</x:t>
        </x:is>
      </x:c>
      <x:c r="Z61" s="595" t="inlineStr">
        <x:is>
          <x:t xml:space="preserve">prior-2026-09-15-v1</x:t>
        </x:is>
      </x:c>
      <x:c r="AA61" s="595" t="inlineStr">
        <x:is>
          <x:t xml:space="preserve">C</x:t>
        </x:is>
      </x:c>
      <x:c r="AB61" s="600" t="n">
        <x:v>0.4339622641509434</x:v>
      </x:c>
      <x:c r="AC61" s="600" t="n">
        <x:v>0</x:v>
      </x:c>
      <x:c r="AD61" s="600" t="n">
        <x:v>0</x:v>
      </x:c>
      <x:c r="AE61" s="600" t="n">
        <x:v>0.2830188679245283</x:v>
      </x:c>
      <x:c r="AF61" s="600" t="n">
        <x:v>0.2830188679245283</x:v>
      </x:c>
      <x:c r="AG61" s="600" t="n">
        <x:v>0.0007547169811321086</x:v>
      </x:c>
      <x:c r="AH61" s="600" t="n">
        <x:v>-0.1945681600222194</x:v>
      </x:c>
      <x:c r="AI61" s="600" t="n">
        <x:v>-0.1521268868185742</x:v>
      </x:c>
      <x:c r="AJ61" s="600" t="n">
        <x:v>0.005462688211966382</x:v>
      </x:c>
      <x:c r="AK61" s="600" t="n">
        <x:v>0.1504462622772696</x:v>
      </x:c>
      <x:c r="AL61" s="600" t="n">
        <x:v>0.1924506329070645</x:v>
      </x:c>
      <x:c r="AM61" s="600" t="n">
        <x:v>0.5182</x:v>
      </x:c>
      <x:c r="AN61" s="595" t="inlineStr">
        <x:is>
          <x:t xml:space="preserve">EVALUATED</x:t>
        </x:is>
      </x:c>
      <x:c r="AO61" s="600" t="inlineStr">
        <x:is>
          <x:t xml:space="preserve">BUCKET_1.25、SIDE_IDENTITY_VALID、MARKET_MOVE_DEEPER_WITH_GIVING_WATER_RISE</x:t>
        </x:is>
      </x:c>
      <x:c r="AP61" s="600" t="inlineStr">
        <x:is>
          <x:t xml:space="preserve">545258304e2baa576945</x:t>
        </x:is>
      </x:c>
      <x:c r="AQ61" s="600" t="n">
        <x:v>-1.25</x:v>
      </x:c>
      <x:c r="AR61" s="600" t="n">
        <x:v>0.98</x:v>
      </x:c>
      <x:c r="AS61" s="600" t="n">
        <x:v>-1.25</x:v>
      </x:c>
      <x:c r="AT61" s="600" t="n">
        <x:v>1.25</x:v>
      </x:c>
      <x:c r="AU61" s="600" t="n">
        <x:v>0.98</x:v>
      </x:c>
      <x:c r="AV61" s="600" t="n">
        <x:v>0.84</x:v>
      </x:c>
      <x:c r="AW61" s="595" t="n">
        <x:v>46280.42367292824</x:v>
      </x:c>
      <x:c r="AX61" s="595" t="inlineStr">
        <x:is>
          <x:t xml:space="preserve">https://simondongxiao.github.io/odds/v4/</x:t>
        </x:is>
      </x:c>
      <x:c r="AY61" s="595" t="inlineStr">
        <x:is>
          <x:t xml:space="preserve">V4 Shadow Only；real_money=false；P(EV&gt;0)不是比赛胜率</x:t>
        </x:is>
      </x:c>
    </x:row>
    <x:row r="62" ht="22" customHeight="1">
      <x:c r="A62" s="595" t="inlineStr">
        <x:is>
          <x:t xml:space="preserve">2026-09-15</x:t>
        </x:is>
      </x:c>
      <x:c r="B62" s="595" t="inlineStr">
        <x:is>
          <x:t xml:space="preserve">2026-09-15 23:30</x:t>
        </x:is>
      </x:c>
      <x:c r="C62" s="595" t="str">
        <x:v>欧洲非五大系列</x:v>
      </x:c>
      <x:c r="D62" s="595" t="inlineStr">
        <x:is>
          <x:t xml:space="preserve">联赛</x:t>
        </x:is>
      </x:c>
      <x:c r="E62" s="595" t="inlineStr">
        <x:is>
          <x:t xml:space="preserve">保乙</x:t>
        </x:is>
      </x:c>
      <x:c r="F62" s="595" t="inlineStr">
        <x:is>
          <x:t xml:space="preserve">格纳火车头 vs 内塞伯尔</x:t>
        </x:is>
      </x:c>
      <x:c r="G62" s="596" t="n">
        <x:v>0.7</x:v>
      </x:c>
      <x:c r="H62" s="596" t="n">
        <x:v>0.5</x:v>
      </x:c>
      <x:c r="I62" s="596" t="n">
        <x:v>1.06</x:v>
      </x:c>
      <x:c r="J62" s="596" t="inlineStr">
        <x:is>
          <x:t xml:space="preserve">0.70/0.5/1.06</x:t>
        </x:is>
      </x:c>
      <x:c r="K62" s="595" t="inlineStr">
        <x:is>
          <x:t xml:space="preserve">V4-C｜EV +0.0359</x:t>
        </x:is>
      </x:c>
      <x:c r="L62" s="595" t="inlineStr">
        <x:is>
          <x:t xml:space="preserve">内塞伯尔</x:t>
        </x:is>
      </x:c>
      <x:c r="M62" s="597" t="n">
        <x:v>0.5028571428571429</x:v>
      </x:c>
      <x:c r="N62" s="595" t="inlineStr">
        <x:is>
          <x:t xml:space="preserve">V4纸面入选-C</x:t>
        </x:is>
      </x:c>
      <x:c r="O62" s="595" t="inlineStr">
        <x:is>
          <x:t xml:space="preserve">1-1</x:t>
        </x:is>
      </x:c>
      <x:c r="P62" s="595" t="inlineStr">
        <x:is>
          <x:t xml:space="preserve">已结算</x:t>
        </x:is>
      </x:c>
      <x:c r="Q62" s="640" t="inlineStr">
        <x:is>
          <x:t xml:space="preserve">红</x:t>
        </x:is>
      </x:c>
      <x:c r="R62" s="599" t="n">
        <x:v>1.06</x:v>
      </x:c>
      <x:c r="S62" s="599" t="n">
        <x:f>IF(OR(Q62="",Q62="待结算"),"",IF(Q62="红",R62,IF(Q62="半红",R62*0.5,IF(Q62="走",0,IF(Q62="半黑",-0.5,-1)))))</x:f>
        <x:v>1.06</x:v>
      </x:c>
      <x:c r="T62" s="595" t="inlineStr">
        <x:is>
          <x:t xml:space="preserve">https://www.fotmob.com/nb/matches/nesebar-vs-lokomotiv-gorna-oryahovitsa/211zgu0u</x:t>
        </x:is>
      </x:c>
      <x:c r="U62" s="641" t="str">
        <x:f>IF(Q62="","",IF(Q62="待结算","待结算",IF(Q62="红","黑",IF(Q62="半红","半黑",IF(Q62="走","走",IF(Q62="半黑","半红","红"))))))</x:f>
        <x:v>黑</x:v>
      </x:c>
      <x:c r="V62" s="599" t="n">
        <x:f>IF(OR(Q62="",Q62="待结算"),"",IF(L62=LEFT(F62,FIND(" vs ",F62)-1),I62,G62))</x:f>
        <x:v>0.7</x:v>
      </x:c>
      <x:c r="W62" s="599" t="n">
        <x:f>IF(OR(U62="",U62="待结算"),"",IF(U62="红",V62,IF(U62="半红",V62*0.5,IF(U62="走",0,IF(U62="半黑",-0.5,-1)))))</x:f>
        <x:v>-1</x:v>
      </x:c>
      <x:c r="X62" s="595" t="inlineStr">
        <x:is>
          <x:t xml:space="preserve">3017157</x:t>
        </x:is>
      </x:c>
      <x:c r="Y62" s="595" t="inlineStr">
        <x:is>
          <x:t xml:space="preserve">v4-market-dirichlet-20260913</x:t>
        </x:is>
      </x:c>
      <x:c r="Z62" s="595" t="inlineStr">
        <x:is>
          <x:t xml:space="preserve">prior-2026-09-15-v1</x:t>
        </x:is>
      </x:c>
      <x:c r="AA62" s="595" t="inlineStr">
        <x:is>
          <x:t xml:space="preserve">C</x:t>
        </x:is>
      </x:c>
      <x:c r="AB62" s="600" t="n">
        <x:v>0.5028571428571429</x:v>
      </x:c>
      <x:c r="AC62" s="600" t="n">
        <x:v>0</x:v>
      </x:c>
      <x:c r="AD62" s="600" t="n">
        <x:v>0</x:v>
      </x:c>
      <x:c r="AE62" s="600" t="n">
        <x:v>0</x:v>
      </x:c>
      <x:c r="AF62" s="600" t="n">
        <x:v>0.4971428571428572</x:v>
      </x:c>
      <x:c r="AG62" s="600" t="n">
        <x:v>0.03588571428571435</x:v>
      </x:c>
      <x:c r="AH62" s="600" t="n">
        <x:v>-0.09224815000462672</x:v>
      </x:c>
      <x:c r="AI62" s="600" t="n">
        <x:v>-0.06486842491156836</x:v>
      </x:c>
      <x:c r="AJ62" s="600" t="n">
        <x:v>0.03727323116242665</x:v>
      </x:c>
      <x:c r="AK62" s="600" t="n">
        <x:v>0.1376150674177974</x:v>
      </x:c>
      <x:c r="AL62" s="600" t="n">
        <x:v>0.166522250989123</x:v>
      </x:c>
      <x:c r="AM62" s="600" t="n">
        <x:v>0.6804</x:v>
      </x:c>
      <x:c r="AN62" s="595" t="inlineStr">
        <x:is>
          <x:t xml:space="preserve">EVALUATED</x:t>
        </x:is>
      </x:c>
      <x:c r="AO62" s="600" t="inlineStr">
        <x:is>
          <x:t xml:space="preserve">BUCKET_0.50、SIDE_IDENTITY_VALID、FLAT_LINE_GIVING_WATER_DROP</x:t>
        </x:is>
      </x:c>
      <x:c r="AP62" s="600" t="inlineStr">
        <x:is>
          <x:t xml:space="preserve">ff108d46f203b5abfa8e</x:t>
        </x:is>
      </x:c>
      <x:c r="AQ62" s="600" t="n">
        <x:v>0.5</x:v>
      </x:c>
      <x:c r="AR62" s="600" t="n">
        <x:v>1.06</x:v>
      </x:c>
      <x:c r="AS62" s="600" t="n">
        <x:v>-0.5</x:v>
      </x:c>
      <x:c r="AT62" s="600" t="n">
        <x:v>0.5</x:v>
      </x:c>
      <x:c r="AU62" s="600" t="n">
        <x:v>0.7</x:v>
      </x:c>
      <x:c r="AV62" s="600" t="n">
        <x:v>1.06</x:v>
      </x:c>
      <x:c r="AW62" s="595" t="n">
        <x:v>46280.42367292824</x:v>
      </x:c>
      <x:c r="AX62" s="595" t="inlineStr">
        <x:is>
          <x:t xml:space="preserve">https://simondongxiao.github.io/odds/v4/</x:t>
        </x:is>
      </x:c>
      <x:c r="AY62" s="595" t="inlineStr">
        <x:is>
          <x:t xml:space="preserve">V4 Shadow Only；real_money=false；P(EV&gt;0)不是比赛胜率</x:t>
        </x:is>
      </x:c>
    </x:row>
    <x:row r="63" ht="22" customHeight="1">
      <x:c r="A63" s="595" t="inlineStr">
        <x:is>
          <x:t xml:space="preserve">2026-09-15</x:t>
        </x:is>
      </x:c>
      <x:c r="B63" s="595" t="inlineStr">
        <x:is>
          <x:t xml:space="preserve">2026-09-16 00:00</x:t>
        </x:is>
      </x:c>
      <x:c r="C63" s="595" t="str">
        <x:v>欧洲非五大系列</x:v>
      </x:c>
      <x:c r="D63" s="595" t="inlineStr">
        <x:is>
          <x:t xml:space="preserve">联赛</x:t>
        </x:is>
      </x:c>
      <x:c r="E63" s="595" t="inlineStr">
        <x:is>
          <x:t xml:space="preserve">波兰超</x:t>
        </x:is>
      </x:c>
      <x:c r="F63" s="595" t="inlineStr">
        <x:is>
          <x:t xml:space="preserve">琴斯托霍瓦 vs 卢宾扎格勒比</x:t>
        </x:is>
      </x:c>
      <x:c r="G63" s="596" t="n">
        <x:v>0.84</x:v>
      </x:c>
      <x:c r="H63" s="596" t="n">
        <x:v>0.5</x:v>
      </x:c>
      <x:c r="I63" s="596" t="n">
        <x:v>1.04</x:v>
      </x:c>
      <x:c r="J63" s="596" t="inlineStr">
        <x:is>
          <x:t xml:space="preserve">0.84/0.5/1.04</x:t>
        </x:is>
      </x:c>
      <x:c r="K63" s="595" t="inlineStr">
        <x:is>
          <x:t xml:space="preserve">V4-C｜EV +0.0258</x:t>
        </x:is>
      </x:c>
      <x:c r="L63" s="595" t="inlineStr">
        <x:is>
          <x:t xml:space="preserve">卢宾扎格勒比</x:t>
        </x:is>
      </x:c>
      <x:c r="M63" s="597" t="n">
        <x:v>0.5028571428571429</x:v>
      </x:c>
      <x:c r="N63" s="595" t="inlineStr">
        <x:is>
          <x:t xml:space="preserve">V4纸面入选-C</x:t>
        </x:is>
      </x:c>
      <x:c r="O63" s="595" t="inlineStr">
        <x:is>
          <x:t xml:space="preserve">2-3</x:t>
        </x:is>
      </x:c>
      <x:c r="P63" s="595" t="inlineStr">
        <x:is>
          <x:t xml:space="preserve">已结算</x:t>
        </x:is>
      </x:c>
      <x:c r="Q63" s="640" t="inlineStr">
        <x:is>
          <x:t xml:space="preserve">红</x:t>
        </x:is>
      </x:c>
      <x:c r="R63" s="599" t="n">
        <x:v>1.04</x:v>
      </x:c>
      <x:c r="S63" s="599" t="n">
        <x:f>IF(OR(Q63="",Q63="待结算"),"",IF(Q63="红",R63,IF(Q63="半红",R63*0.5,IF(Q63="走",0,IF(Q63="半黑",-0.5,-1)))))</x:f>
        <x:v>1.04</x:v>
      </x:c>
      <x:c r="T63" s="595" t="inlineStr">
        <x:is>
          <x:t xml:space="preserve">https://footballnation.eu/match/ekstraklasa/2026/792906/</x:t>
        </x:is>
      </x:c>
      <x:c r="U63" s="641" t="str">
        <x:f>IF(Q63="","",IF(Q63="待结算","待结算",IF(Q63="红","黑",IF(Q63="半红","半黑",IF(Q63="走","走",IF(Q63="半黑","半红","红"))))))</x:f>
        <x:v>黑</x:v>
      </x:c>
      <x:c r="V63" s="599" t="n">
        <x:f>IF(OR(Q63="",Q63="待结算"),"",IF(L63=LEFT(F63,FIND(" vs ",F63)-1),I63,G63))</x:f>
        <x:v>0.84</x:v>
      </x:c>
      <x:c r="W63" s="599" t="n">
        <x:f>IF(OR(U63="",U63="待结算"),"",IF(U63="红",V63,IF(U63="半红",V63*0.5,IF(U63="走",0,IF(U63="半黑",-0.5,-1)))))</x:f>
        <x:v>-1</x:v>
      </x:c>
      <x:c r="X63" s="595" t="inlineStr">
        <x:is>
          <x:t xml:space="preserve">3003104</x:t>
        </x:is>
      </x:c>
      <x:c r="Y63" s="595" t="inlineStr">
        <x:is>
          <x:t xml:space="preserve">v4-market-dirichlet-20260913</x:t>
        </x:is>
      </x:c>
      <x:c r="Z63" s="595" t="inlineStr">
        <x:is>
          <x:t xml:space="preserve">prior-2026-09-15-v1</x:t>
        </x:is>
      </x:c>
      <x:c r="AA63" s="595" t="inlineStr">
        <x:is>
          <x:t xml:space="preserve">C</x:t>
        </x:is>
      </x:c>
      <x:c r="AB63" s="600" t="n">
        <x:v>0.5028571428571429</x:v>
      </x:c>
      <x:c r="AC63" s="600" t="n">
        <x:v>0</x:v>
      </x:c>
      <x:c r="AD63" s="600" t="n">
        <x:v>0</x:v>
      </x:c>
      <x:c r="AE63" s="600" t="n">
        <x:v>0</x:v>
      </x:c>
      <x:c r="AF63" s="600" t="n">
        <x:v>0.4971428571428572</x:v>
      </x:c>
      <x:c r="AG63" s="600" t="n">
        <x:v>0.02582857142857148</x:v>
      </x:c>
      <x:c r="AH63" s="600" t="n">
        <x:v>-0.09788375998188026</x:v>
      </x:c>
      <x:c r="AI63" s="600" t="n">
        <x:v>-0.07049111856392115</x:v>
      </x:c>
      <x:c r="AJ63" s="600" t="n">
        <x:v>0.02797538969786278</x:v>
      </x:c>
      <x:c r="AK63" s="600" t="n">
        <x:v>0.1278291053450739</x:v>
      </x:c>
      <x:c r="AL63" s="600" t="n">
        <x:v>0.1561553896192855</x:v>
      </x:c>
      <x:c r="AM63" s="600" t="n">
        <x:v>0.6362</x:v>
      </x:c>
      <x:c r="AN63" s="595" t="inlineStr">
        <x:is>
          <x:t xml:space="preserve">EVALUATED</x:t>
        </x:is>
      </x:c>
      <x:c r="AO63" s="600" t="inlineStr">
        <x:is>
          <x:t xml:space="preserve">BUCKET_0.50、SIDE_IDENTITY_VALID、FLAT_LINE_GIVING_WATER_RISE</x:t>
        </x:is>
      </x:c>
      <x:c r="AP63" s="600" t="inlineStr">
        <x:is>
          <x:t xml:space="preserve">574c1181021d4484f598</x:t>
        </x:is>
      </x:c>
      <x:c r="AQ63" s="600" t="n">
        <x:v>0.5</x:v>
      </x:c>
      <x:c r="AR63" s="600" t="n">
        <x:v>1.04</x:v>
      </x:c>
      <x:c r="AS63" s="600" t="n">
        <x:v>-0.5</x:v>
      </x:c>
      <x:c r="AT63" s="600" t="n">
        <x:v>0.5</x:v>
      </x:c>
      <x:c r="AU63" s="600" t="n">
        <x:v>0.84</x:v>
      </x:c>
      <x:c r="AV63" s="600" t="n">
        <x:v>1.04</x:v>
      </x:c>
      <x:c r="AW63" s="595" t="n">
        <x:v>46280.42367292824</x:v>
      </x:c>
      <x:c r="AX63" s="595" t="inlineStr">
        <x:is>
          <x:t xml:space="preserve">https://simondongxiao.github.io/odds/v4/</x:t>
        </x:is>
      </x:c>
      <x:c r="AY63" s="595" t="inlineStr">
        <x:is>
          <x:t xml:space="preserve">V4 Shadow Only；real_money=false；P(EV&gt;0)不是比赛胜率</x:t>
        </x:is>
      </x:c>
    </x:row>
    <x:row r="64" ht="22" customHeight="1">
      <x:c r="A64" s="595" t="inlineStr">
        <x:is>
          <x:t xml:space="preserve">2026-09-15</x:t>
        </x:is>
      </x:c>
      <x:c r="B64" s="595" t="inlineStr">
        <x:is>
          <x:t xml:space="preserve">2026-09-16 00:30</x:t>
        </x:is>
      </x:c>
      <x:c r="C64" s="595" t="str">
        <x:v>五大联赛非顶级联赛</x:v>
      </x:c>
      <x:c r="D64" s="595" t="inlineStr">
        <x:is>
          <x:t xml:space="preserve">联赛</x:t>
        </x:is>
      </x:c>
      <x:c r="E64" s="595" t="inlineStr">
        <x:is>
          <x:t xml:space="preserve">意丙</x:t>
        </x:is>
      </x:c>
      <x:c r="F64" s="595" t="inlineStr">
        <x:is>
          <x:t xml:space="preserve">久加连奴 vs 科森扎</x:t>
        </x:is>
      </x:c>
      <x:c r="G64" s="596" t="n">
        <x:v>0.74</x:v>
      </x:c>
      <x:c r="H64" s="596" t="n">
        <x:v>0.25</x:v>
      </x:c>
      <x:c r="I64" s="596" t="n">
        <x:v>1.02</x:v>
      </x:c>
      <x:c r="J64" s="596" t="inlineStr">
        <x:is>
          <x:t xml:space="preserve">0.74/0.25/1.02</x:t>
        </x:is>
      </x:c>
      <x:c r="K64" s="595" t="inlineStr">
        <x:is>
          <x:t xml:space="preserve">V4-C｜EV +0.0102</x:t>
        </x:is>
      </x:c>
      <x:c r="L64" s="595" t="inlineStr">
        <x:is>
          <x:t xml:space="preserve">科森扎</x:t>
        </x:is>
      </x:c>
      <x:c r="M64" s="597" t="n">
        <x:v>0.5010224948875256</x:v>
      </x:c>
      <x:c r="N64" s="595" t="inlineStr">
        <x:is>
          <x:t xml:space="preserve">V4纸面入选-C</x:t>
        </x:is>
      </x:c>
      <x:c r="O64" s="595" t="inlineStr">
        <x:is>
          <x:t xml:space="preserve">5-2</x:t>
        </x:is>
      </x:c>
      <x:c r="P64" s="595" t="inlineStr">
        <x:is>
          <x:t xml:space="preserve">已结算</x:t>
        </x:is>
      </x:c>
      <x:c r="Q64" s="641" t="inlineStr">
        <x:is>
          <x:t xml:space="preserve">黑</x:t>
        </x:is>
      </x:c>
      <x:c r="R64" s="599" t="n">
        <x:v>1.02</x:v>
      </x:c>
      <x:c r="S64" s="599" t="n">
        <x:f>IF(OR(Q64="",Q64="待结算"),"",IF(Q64="红",R64,IF(Q64="半红",R64*0.5,IF(Q64="走",0,IF(Q64="半黑",-0.5,-1)))))</x:f>
        <x:v>-1</x:v>
      </x:c>
      <x:c r="T64" s="595" t="inlineStr">
        <x:is>
          <x:t xml:space="preserve">https://www.corrieredellacalabria.it/2026/09/15/notte-fonda-cosenza-travolto-a-giugliano-quattro-sconfitte-in-cinque-gare/</x:t>
        </x:is>
      </x:c>
      <x:c r="U64" s="640" t="str">
        <x:f>IF(Q64="","",IF(Q64="待结算","待结算",IF(Q64="红","黑",IF(Q64="半红","半黑",IF(Q64="走","走",IF(Q64="半黑","半红","红"))))))</x:f>
        <x:v>红</x:v>
      </x:c>
      <x:c r="V64" s="599" t="n">
        <x:f>IF(OR(Q64="",Q64="待结算"),"",IF(L64=LEFT(F64,FIND(" vs ",F64)-1),I64,G64))</x:f>
        <x:v>0.74</x:v>
      </x:c>
      <x:c r="W64" s="599" t="n">
        <x:f>IF(OR(U64="",U64="待结算"),"",IF(U64="红",V64,IF(U64="半红",V64*0.5,IF(U64="走",0,IF(U64="半黑",-0.5,-1)))))</x:f>
        <x:v>0.74</x:v>
      </x:c>
      <x:c r="X64" s="595" t="inlineStr">
        <x:is>
          <x:t xml:space="preserve">3051308</x:t>
        </x:is>
      </x:c>
      <x:c r="Y64" s="595" t="inlineStr">
        <x:is>
          <x:t xml:space="preserve">v4-market-dirichlet-20260913</x:t>
        </x:is>
      </x:c>
      <x:c r="Z64" s="595" t="inlineStr">
        <x:is>
          <x:t xml:space="preserve">prior-2026-09-15-v1</x:t>
        </x:is>
      </x:c>
      <x:c r="AA64" s="595" t="inlineStr">
        <x:is>
          <x:t xml:space="preserve">C</x:t>
        </x:is>
      </x:c>
      <x:c r="AB64" s="600" t="n">
        <x:v>0.2743055555555556</x:v>
      </x:c>
      <x:c r="AC64" s="600" t="n">
        <x:v>0.3020833333333333</x:v>
      </x:c>
      <x:c r="AD64" s="600" t="n">
        <x:v>0</x:v>
      </x:c>
      <x:c r="AE64" s="600" t="n">
        <x:v>0</x:v>
      </x:c>
      <x:c r="AF64" s="600" t="n">
        <x:v>0.4236111111111111</x:v>
      </x:c>
      <x:c r="AG64" s="600" t="n">
        <x:v>0.0102430555555556</x:v>
      </x:c>
      <x:c r="AH64" s="600" t="n">
        <x:v>-0.07339495540014657</x:v>
      </x:c>
      <x:c r="AI64" s="600" t="n">
        <x:v>-0.05570419498321399</x:v>
      </x:c>
      <x:c r="AJ64" s="600" t="n">
        <x:v>0.01034451609501241</x:v>
      </x:c>
      <x:c r="AK64" s="600" t="n">
        <x:v>0.0779200604088171</x:v>
      </x:c>
      <x:c r="AL64" s="600" t="n">
        <x:v>0.09718541838107481</x:v>
      </x:c>
      <x:c r="AM64" s="600" t="n">
        <x:v>0.5782</x:v>
      </x:c>
      <x:c r="AN64" s="595" t="inlineStr">
        <x:is>
          <x:t xml:space="preserve">EVALUATED</x:t>
        </x:is>
      </x:c>
      <x:c r="AO64" s="600" t="inlineStr">
        <x:is>
          <x:t xml:space="preserve">BUCKET_0.25、SIDE_IDENTITY_VALID、FLAT_LINE_GIVING_WATER_DROP</x:t>
        </x:is>
      </x:c>
      <x:c r="AP64" s="600" t="inlineStr">
        <x:is>
          <x:t xml:space="preserve">6519ed67615c7114fa57</x:t>
        </x:is>
      </x:c>
      <x:c r="AQ64" s="600" t="n">
        <x:v>0.25</x:v>
      </x:c>
      <x:c r="AR64" s="600" t="n">
        <x:v>1.02</x:v>
      </x:c>
      <x:c r="AS64" s="600" t="n">
        <x:v>-0.25</x:v>
      </x:c>
      <x:c r="AT64" s="600" t="n">
        <x:v>0.25</x:v>
      </x:c>
      <x:c r="AU64" s="600" t="n">
        <x:v>0.74</x:v>
      </x:c>
      <x:c r="AV64" s="600" t="n">
        <x:v>1.02</x:v>
      </x:c>
      <x:c r="AW64" s="595" t="n">
        <x:v>46280.42367292824</x:v>
      </x:c>
      <x:c r="AX64" s="595" t="inlineStr">
        <x:is>
          <x:t xml:space="preserve">https://simondongxiao.github.io/odds/v4/</x:t>
        </x:is>
      </x:c>
      <x:c r="AY64" s="595" t="inlineStr">
        <x:is>
          <x:t xml:space="preserve">V4 Shadow Only；real_money=false；P(EV&gt;0)不是比赛胜率</x:t>
        </x:is>
      </x:c>
    </x:row>
    <x:row r="65" ht="22" customHeight="1">
      <x:c r="A65" s="595" t="inlineStr">
        <x:is>
          <x:t xml:space="preserve">2026-09-15</x:t>
        </x:is>
      </x:c>
      <x:c r="B65" s="595" t="inlineStr">
        <x:is>
          <x:t xml:space="preserve">2026-09-16 01:00</x:t>
        </x:is>
      </x:c>
      <x:c r="C65" s="595" t="str">
        <x:v>欧洲五大系列</x:v>
      </x:c>
      <x:c r="D65" s="595" t="inlineStr">
        <x:is>
          <x:t xml:space="preserve">联赛</x:t>
        </x:is>
      </x:c>
      <x:c r="E65" s="595" t="inlineStr">
        <x:is>
          <x:t xml:space="preserve">西甲</x:t>
        </x:is>
      </x:c>
      <x:c r="F65" s="595" t="inlineStr">
        <x:is>
          <x:t xml:space="preserve">巴列卡诺 vs 西班牙人</x:t>
        </x:is>
      </x:c>
      <x:c r="G65" s="596" t="n">
        <x:v>1.05</x:v>
      </x:c>
      <x:c r="H65" s="596" t="n">
        <x:v>0.25</x:v>
      </x:c>
      <x:c r="I65" s="596" t="n">
        <x:v>0.84</x:v>
      </x:c>
      <x:c r="J65" s="596" t="inlineStr">
        <x:is>
          <x:t xml:space="preserve">1.05/0.25/0.84</x:t>
        </x:is>
      </x:c>
      <x:c r="K65" s="595" t="inlineStr">
        <x:is>
          <x:t xml:space="preserve">V4-C｜EV +0.0194</x:t>
        </x:is>
      </x:c>
      <x:c r="L65" s="595" t="inlineStr">
        <x:is>
          <x:t xml:space="preserve">巴列卡诺</x:t>
        </x:is>
      </x:c>
      <x:c r="M65" s="597" t="n">
        <x:v>0.4989775051124744</x:v>
      </x:c>
      <x:c r="N65" s="595" t="inlineStr">
        <x:is>
          <x:t xml:space="preserve">V4纸面入选-C</x:t>
        </x:is>
      </x:c>
      <x:c r="O65" s="595" t="inlineStr">
        <x:is>
          <x:t xml:space="preserve">2-1</x:t>
        </x:is>
      </x:c>
      <x:c r="P65" s="595" t="inlineStr">
        <x:is>
          <x:t xml:space="preserve">已结算</x:t>
        </x:is>
      </x:c>
      <x:c r="Q65" s="640" t="inlineStr">
        <x:is>
          <x:t xml:space="preserve">红</x:t>
        </x:is>
      </x:c>
      <x:c r="R65" s="599" t="n">
        <x:v>1.05</x:v>
      </x:c>
      <x:c r="S65" s="599" t="n">
        <x:f>IF(OR(Q65="",Q65="待结算"),"",IF(Q65="红",R65,IF(Q65="半红",R65*0.5,IF(Q65="走",0,IF(Q65="半黑",-0.5,-1)))))</x:f>
        <x:v>1.05</x:v>
      </x:c>
      <x:c r="T65" s="595" t="inlineStr">
        <x:is>
          <x:t xml:space="preserve">https://mexico.as.com/resultados/</x:t>
        </x:is>
      </x:c>
      <x:c r="U65" s="641" t="str">
        <x:f>IF(Q65="","",IF(Q65="待结算","待结算",IF(Q65="红","黑",IF(Q65="半红","半黑",IF(Q65="走","走",IF(Q65="半黑","半红","红"))))))</x:f>
        <x:v>黑</x:v>
      </x:c>
      <x:c r="V65" s="599" t="n">
        <x:f>IF(OR(Q65="",Q65="待结算"),"",IF(L65=LEFT(F65,FIND(" vs ",F65)-1),I65,G65))</x:f>
        <x:v>0.84</x:v>
      </x:c>
      <x:c r="W65" s="599" t="n">
        <x:f>IF(OR(U65="",U65="待结算"),"",IF(U65="红",V65,IF(U65="半红",V65*0.5,IF(U65="走",0,IF(U65="半黑",-0.5,-1)))))</x:f>
        <x:v>-1</x:v>
      </x:c>
      <x:c r="X65" s="595" t="inlineStr">
        <x:is>
          <x:t xml:space="preserve">3013700</x:t>
        </x:is>
      </x:c>
      <x:c r="Y65" s="595" t="inlineStr">
        <x:is>
          <x:t xml:space="preserve">v4-market-dirichlet-20260913</x:t>
        </x:is>
      </x:c>
      <x:c r="Z65" s="595" t="inlineStr">
        <x:is>
          <x:t xml:space="preserve">prior-2026-09-15-v1</x:t>
        </x:is>
      </x:c>
      <x:c r="AA65" s="595" t="inlineStr">
        <x:is>
          <x:t xml:space="preserve">C</x:t>
        </x:is>
      </x:c>
      <x:c r="AB65" s="600" t="n">
        <x:v>0.4236111111111111</x:v>
      </x:c>
      <x:c r="AC65" s="600" t="n">
        <x:v>0</x:v>
      </x:c>
      <x:c r="AD65" s="600" t="n">
        <x:v>0</x:v>
      </x:c>
      <x:c r="AE65" s="600" t="n">
        <x:v>0.3020833333333333</x:v>
      </x:c>
      <x:c r="AF65" s="600" t="n">
        <x:v>0.2743055555555556</x:v>
      </x:c>
      <x:c r="AG65" s="600" t="n">
        <x:v>0.01944444444444449</x:v>
      </x:c>
      <x:c r="AH65" s="600" t="n">
        <x:v>-0.06732693958062094</x:v>
      </x:c>
      <x:c r="AI65" s="600" t="n">
        <x:v>-0.04847030746438485</x:v>
      </x:c>
      <x:c r="AJ65" s="600" t="n">
        <x:v>0.01828994994860272</x:v>
      </x:c>
      <x:c r="AK65" s="600" t="n">
        <x:v>0.08973405567418391</x:v>
      </x:c>
      <x:c r="AL65" s="600" t="n">
        <x:v>0.1099688203787482</x:v>
      </x:c>
      <x:c r="AM65" s="600" t="n">
        <x:v>0.6334</x:v>
      </x:c>
      <x:c r="AN65" s="595" t="inlineStr">
        <x:is>
          <x:t xml:space="preserve">EVALUATED</x:t>
        </x:is>
      </x:c>
      <x:c r="AO65" s="600" t="inlineStr">
        <x:is>
          <x:t xml:space="preserve">BUCKET_0.25、SIDE_IDENTITY_VALID、MARKET_MOVE_SHALLOWER_WITH_GIVING_WATER_DROP</x:t>
        </x:is>
      </x:c>
      <x:c r="AP65" s="600" t="inlineStr">
        <x:is>
          <x:t xml:space="preserve">56de7db9ecef1b1b255e</x:t>
        </x:is>
      </x:c>
      <x:c r="AQ65" s="600" t="n">
        <x:v>-0.25</x:v>
      </x:c>
      <x:c r="AR65" s="600" t="n">
        <x:v>1.05</x:v>
      </x:c>
      <x:c r="AS65" s="600" t="n">
        <x:v>-0.25</x:v>
      </x:c>
      <x:c r="AT65" s="600" t="n">
        <x:v>0.25</x:v>
      </x:c>
      <x:c r="AU65" s="600" t="n">
        <x:v>1.05</x:v>
      </x:c>
      <x:c r="AV65" s="600" t="n">
        <x:v>0.84</x:v>
      </x:c>
      <x:c r="AW65" s="595" t="n">
        <x:v>46280.42367292824</x:v>
      </x:c>
      <x:c r="AX65" s="595" t="inlineStr">
        <x:is>
          <x:t xml:space="preserve">https://simondongxiao.github.io/odds/v4/</x:t>
        </x:is>
      </x:c>
      <x:c r="AY65" s="595" t="inlineStr">
        <x:is>
          <x:t xml:space="preserve">V4 Shadow Only；real_money=false；P(EV&gt;0)不是比赛胜率</x:t>
        </x:is>
      </x:c>
    </x:row>
    <x:row r="66" ht="22" customHeight="1">
      <x:c r="A66" s="595" t="inlineStr">
        <x:is>
          <x:t xml:space="preserve">2026-09-15</x:t>
        </x:is>
      </x:c>
      <x:c r="B66" s="595" t="inlineStr">
        <x:is>
          <x:t xml:space="preserve">2026-09-16 01:00</x:t>
        </x:is>
      </x:c>
      <x:c r="C66" s="595" t="str">
        <x:v>欧洲非五大系列</x:v>
      </x:c>
      <x:c r="D66" s="595" t="inlineStr">
        <x:is>
          <x:t xml:space="preserve">联赛</x:t>
        </x:is>
      </x:c>
      <x:c r="E66" s="595" t="inlineStr">
        <x:is>
          <x:t xml:space="preserve">瑞士超</x:t>
        </x:is>
      </x:c>
      <x:c r="F66" s="595" t="inlineStr">
        <x:is>
          <x:t xml:space="preserve">草蜢 vs 锡永</x:t>
        </x:is>
      </x:c>
      <x:c r="G66" s="596" t="n">
        <x:v>1.02</x:v>
      </x:c>
      <x:c r="H66" s="596" t="n">
        <x:v>-0.5</x:v>
      </x:c>
      <x:c r="I66" s="596" t="n">
        <x:v>0.87</x:v>
      </x:c>
      <x:c r="J66" s="596" t="inlineStr">
        <x:is>
          <x:t xml:space="preserve">1.02/-0.5/0.87</x:t>
        </x:is>
      </x:c>
      <x:c r="K66" s="595" t="inlineStr">
        <x:is>
          <x:t xml:space="preserve">V4-C｜EV +0.0158</x:t>
        </x:is>
      </x:c>
      <x:c r="L66" s="595" t="inlineStr">
        <x:is>
          <x:t xml:space="preserve">草蜢</x:t>
        </x:is>
      </x:c>
      <x:c r="M66" s="597" t="n">
        <x:v>0.5028571428571429</x:v>
      </x:c>
      <x:c r="N66" s="595" t="inlineStr">
        <x:is>
          <x:t xml:space="preserve">V4纸面入选-C</x:t>
        </x:is>
      </x:c>
      <x:c r="O66" s="595" t="inlineStr">
        <x:is>
          <x:t xml:space="preserve">2-5</x:t>
        </x:is>
      </x:c>
      <x:c r="P66" s="595" t="inlineStr">
        <x:is>
          <x:t xml:space="preserve">已结算</x:t>
        </x:is>
      </x:c>
      <x:c r="Q66" s="641" t="inlineStr">
        <x:is>
          <x:t xml:space="preserve">黑</x:t>
        </x:is>
      </x:c>
      <x:c r="R66" s="599" t="n">
        <x:v>1.02</x:v>
      </x:c>
      <x:c r="S66" s="599" t="n">
        <x:f>IF(OR(Q66="",Q66="待结算"),"",IF(Q66="红",R66,IF(Q66="半红",R66*0.5,IF(Q66="走",0,IF(Q66="半黑",-0.5,-1)))))</x:f>
        <x:v>-1</x:v>
      </x:c>
      <x:c r="T66" s="595" t="inlineStr">
        <x:is>
          <x:t xml:space="preserve">https://matchcenter.fvbj-afbj.ch/Default.aspx?ln=&amp;lng=1&amp;oid=6&amp;tg=4308976&amp;v=777842</x:t>
        </x:is>
      </x:c>
      <x:c r="U66" s="640" t="str">
        <x:f>IF(Q66="","",IF(Q66="待结算","待结算",IF(Q66="红","黑",IF(Q66="半红","半黑",IF(Q66="走","走",IF(Q66="半黑","半红","红"))))))</x:f>
        <x:v>红</x:v>
      </x:c>
      <x:c r="V66" s="599" t="n">
        <x:f>IF(OR(Q66="",Q66="待结算"),"",IF(L66=LEFT(F66,FIND(" vs ",F66)-1),I66,G66))</x:f>
        <x:v>0.87</x:v>
      </x:c>
      <x:c r="W66" s="599" t="n">
        <x:f>IF(OR(U66="",U66="待结算"),"",IF(U66="红",V66,IF(U66="半红",V66*0.5,IF(U66="走",0,IF(U66="半黑",-0.5,-1)))))</x:f>
        <x:v>0.87</x:v>
      </x:c>
      <x:c r="X66" s="595" t="inlineStr">
        <x:is>
          <x:t xml:space="preserve">3000794</x:t>
        </x:is>
      </x:c>
      <x:c r="Y66" s="595" t="inlineStr">
        <x:is>
          <x:t xml:space="preserve">v4-market-dirichlet-20260913</x:t>
        </x:is>
      </x:c>
      <x:c r="Z66" s="595" t="inlineStr">
        <x:is>
          <x:t xml:space="preserve">prior-2026-09-15-v1</x:t>
        </x:is>
      </x:c>
      <x:c r="AA66" s="595" t="inlineStr">
        <x:is>
          <x:t xml:space="preserve">C</x:t>
        </x:is>
      </x:c>
      <x:c r="AB66" s="600" t="n">
        <x:v>0.5028571428571429</x:v>
      </x:c>
      <x:c r="AC66" s="600" t="n">
        <x:v>0</x:v>
      </x:c>
      <x:c r="AD66" s="600" t="n">
        <x:v>0</x:v>
      </x:c>
      <x:c r="AE66" s="600" t="n">
        <x:v>0</x:v>
      </x:c>
      <x:c r="AF66" s="600" t="n">
        <x:v>0.4971428571428572</x:v>
      </x:c>
      <x:c r="AG66" s="600" t="n">
        <x:v>0.0157714285714286</x:v>
      </x:c>
      <x:c r="AH66" s="600" t="n">
        <x:v>-0.1111803016632926</x:v>
      </x:c>
      <x:c r="AI66" s="600" t="n">
        <x:v>-0.08365440559218723</x:v>
      </x:c>
      <x:c r="AJ66" s="600" t="n">
        <x:v>0.01458277100455313</x:v>
      </x:c>
      <x:c r="AK66" s="600" t="n">
        <x:v>0.1125367439846252</x:v>
      </x:c>
      <x:c r="AL66" s="600" t="n">
        <x:v>0.1377479731797365</x:v>
      </x:c>
      <x:c r="AM66" s="600" t="n">
        <x:v>0.5762</x:v>
      </x:c>
      <x:c r="AN66" s="595" t="inlineStr">
        <x:is>
          <x:t xml:space="preserve">EVALUATED</x:t>
        </x:is>
      </x:c>
      <x:c r="AO66" s="600" t="inlineStr">
        <x:is>
          <x:t xml:space="preserve">BUCKET_0.50、SIDE_IDENTITY_VALID、FLAT_LINE_GIVING_WATER_RISE</x:t>
        </x:is>
      </x:c>
      <x:c r="AP66" s="600" t="inlineStr">
        <x:is>
          <x:t xml:space="preserve">c70f97b641b2eee2dd54</x:t>
        </x:is>
      </x:c>
      <x:c r="AQ66" s="600" t="n">
        <x:v>0.5</x:v>
      </x:c>
      <x:c r="AR66" s="600" t="n">
        <x:v>1.02</x:v>
      </x:c>
      <x:c r="AS66" s="600" t="n">
        <x:v>0.5</x:v>
      </x:c>
      <x:c r="AT66" s="600" t="n">
        <x:v>-0.5</x:v>
      </x:c>
      <x:c r="AU66" s="600" t="n">
        <x:v>1.02</x:v>
      </x:c>
      <x:c r="AV66" s="600" t="n">
        <x:v>0.87</x:v>
      </x:c>
      <x:c r="AW66" s="595" t="n">
        <x:v>46280.42367292824</x:v>
      </x:c>
      <x:c r="AX66" s="595" t="inlineStr">
        <x:is>
          <x:t xml:space="preserve">https://simondongxiao.github.io/odds/v4/</x:t>
        </x:is>
      </x:c>
      <x:c r="AY66" s="595" t="inlineStr">
        <x:is>
          <x:t xml:space="preserve">V4 Shadow Only；real_money=false；P(EV&gt;0)不是比赛胜率</x:t>
        </x:is>
      </x:c>
    </x:row>
    <x:row r="67" ht="22" customHeight="1">
      <x:c r="A67" s="595" t="inlineStr">
        <x:is>
          <x:t xml:space="preserve">2026-09-15</x:t>
        </x:is>
      </x:c>
      <x:c r="B67" s="595" t="inlineStr">
        <x:is>
          <x:t xml:space="preserve">2026-09-16 01:00</x:t>
        </x:is>
      </x:c>
      <x:c r="C67" s="595" t="str">
        <x:v>欧洲非五大系列</x:v>
      </x:c>
      <x:c r="D67" s="595" t="inlineStr">
        <x:is>
          <x:t xml:space="preserve">联赛</x:t>
        </x:is>
      </x:c>
      <x:c r="E67" s="595" t="inlineStr">
        <x:is>
          <x:t xml:space="preserve">瑞典甲</x:t>
        </x:is>
      </x:c>
      <x:c r="F67" s="595" t="inlineStr">
        <x:is>
          <x:t xml:space="preserve">兰斯科罗纳 vs 松兹瓦尔</x:t>
        </x:is>
      </x:c>
      <x:c r="G67" s="596" t="n">
        <x:v>1.05</x:v>
      </x:c>
      <x:c r="H67" s="596" t="n">
        <x:v>1.5</x:v>
      </x:c>
      <x:c r="I67" s="596" t="n">
        <x:v>0.83</x:v>
      </x:c>
      <x:c r="J67" s="596" t="inlineStr">
        <x:is>
          <x:t xml:space="preserve">1.05/1.5/0.83</x:t>
        </x:is>
      </x:c>
      <x:c r="K67" s="595" t="inlineStr">
        <x:is>
          <x:t xml:space="preserve">V4-B｜EV +0.2172</x:t>
        </x:is>
      </x:c>
      <x:c r="L67" s="595" t="inlineStr">
        <x:is>
          <x:t xml:space="preserve">兰斯科罗纳</x:t>
        </x:is>
      </x:c>
      <x:c r="M67" s="597" t="n">
        <x:v>0.59375</x:v>
      </x:c>
      <x:c r="N67" s="595" t="inlineStr">
        <x:is>
          <x:t xml:space="preserve">V4纸面入选-B</x:t>
        </x:is>
      </x:c>
      <x:c r="O67" s="595" t="inlineStr">
        <x:is>
          <x:t xml:space="preserve">4-0</x:t>
        </x:is>
      </x:c>
      <x:c r="P67" s="595" t="inlineStr">
        <x:is>
          <x:t xml:space="preserve">已结算</x:t>
        </x:is>
      </x:c>
      <x:c r="Q67" s="640" t="inlineStr">
        <x:is>
          <x:t xml:space="preserve">红</x:t>
        </x:is>
      </x:c>
      <x:c r="R67" s="599" t="n">
        <x:v>1.05</x:v>
      </x:c>
      <x:c r="S67" s="599" t="n">
        <x:f>IF(OR(Q67="",Q67="待结算"),"",IF(Q67="红",R67,IF(Q67="半红",R67*0.5,IF(Q67="走",0,IF(Q67="半黑",-0.5,-1)))))</x:f>
        <x:v>1.05</x:v>
      </x:c>
      <x:c r="T67" s="595" t="inlineStr">
        <x:is>
          <x:t xml:space="preserve">https://www.svt.se/sport/fotboll/landskrona-slog-sundsvall-efter-lacker-soloprestation-inte-neymar</x:t>
        </x:is>
      </x:c>
      <x:c r="U67" s="641" t="str">
        <x:f>IF(Q67="","",IF(Q67="待结算","待结算",IF(Q67="红","黑",IF(Q67="半红","半黑",IF(Q67="走","走",IF(Q67="半黑","半红","红"))))))</x:f>
        <x:v>黑</x:v>
      </x:c>
      <x:c r="V67" s="599" t="n">
        <x:f>IF(OR(Q67="",Q67="待结算"),"",IF(L67=LEFT(F67,FIND(" vs ",F67)-1),I67,G67))</x:f>
        <x:v>0.83</x:v>
      </x:c>
      <x:c r="W67" s="599" t="n">
        <x:f>IF(OR(U67="",U67="待结算"),"",IF(U67="红",V67,IF(U67="半红",V67*0.5,IF(U67="走",0,IF(U67="半黑",-0.5,-1)))))</x:f>
        <x:v>-1</x:v>
      </x:c>
      <x:c r="X67" s="595" t="inlineStr">
        <x:is>
          <x:t xml:space="preserve">2914696</x:t>
        </x:is>
      </x:c>
      <x:c r="Y67" s="595" t="inlineStr">
        <x:is>
          <x:t xml:space="preserve">v4-market-dirichlet-20260913</x:t>
        </x:is>
      </x:c>
      <x:c r="Z67" s="595" t="inlineStr">
        <x:is>
          <x:t xml:space="preserve">prior-2026-09-15-v1</x:t>
        </x:is>
      </x:c>
      <x:c r="AA67" s="595" t="inlineStr">
        <x:is>
          <x:t xml:space="preserve">B</x:t>
        </x:is>
      </x:c>
      <x:c r="AB67" s="600" t="n">
        <x:v>0.59375</x:v>
      </x:c>
      <x:c r="AC67" s="600" t="n">
        <x:v>0</x:v>
      </x:c>
      <x:c r="AD67" s="600" t="n">
        <x:v>0</x:v>
      </x:c>
      <x:c r="AE67" s="600" t="n">
        <x:v>0</x:v>
      </x:c>
      <x:c r="AF67" s="600" t="n">
        <x:v>0.40625</x:v>
      </x:c>
      <x:c r="AG67" s="600" t="n">
        <x:v>0.2171875</x:v>
      </x:c>
      <x:c r="AH67" s="600" t="n">
        <x:v>-0.07439997078001992</x:v>
      </x:c>
      <x:c r="AI67" s="600" t="n">
        <x:v>-0.007142336717822162</x:v>
      </x:c>
      <x:c r="AJ67" s="600" t="n">
        <x:v>0.2205866318044298</x:v>
      </x:c>
      <x:c r="AK67" s="600" t="n">
        <x:v>0.4384027065122012</x:v>
      </x:c>
      <x:c r="AL67" s="600" t="n">
        <x:v>0.4997600702852028</x:v>
      </x:c>
      <x:c r="AM67" s="600" t="n">
        <x:v>0.8922</x:v>
      </x:c>
      <x:c r="AN67" s="595" t="inlineStr">
        <x:is>
          <x:t xml:space="preserve">EVALUATED</x:t>
        </x:is>
      </x:c>
      <x:c r="AO67" s="600" t="inlineStr">
        <x:is>
          <x:t xml:space="preserve">BUCKET_1.50、SIDE_IDENTITY_VALID、MARKET_MOVE_DEEPER_WITH_GIVING_WATER_RISE</x:t>
        </x:is>
      </x:c>
      <x:c r="AP67" s="600" t="inlineStr">
        <x:is>
          <x:t xml:space="preserve">027dffe27e8a850fd78d</x:t>
        </x:is>
      </x:c>
      <x:c r="AQ67" s="600" t="n">
        <x:v>-1.5</x:v>
      </x:c>
      <x:c r="AR67" s="600" t="n">
        <x:v>1.05</x:v>
      </x:c>
      <x:c r="AS67" s="600" t="n">
        <x:v>-1.5</x:v>
      </x:c>
      <x:c r="AT67" s="600" t="n">
        <x:v>1.5</x:v>
      </x:c>
      <x:c r="AU67" s="600" t="n">
        <x:v>1.05</x:v>
      </x:c>
      <x:c r="AV67" s="600" t="n">
        <x:v>0.83</x:v>
      </x:c>
      <x:c r="AW67" s="595" t="n">
        <x:v>46280.42367292824</x:v>
      </x:c>
      <x:c r="AX67" s="595" t="inlineStr">
        <x:is>
          <x:t xml:space="preserve">https://simondongxiao.github.io/odds/v4/</x:t>
        </x:is>
      </x:c>
      <x:c r="AY67" s="595" t="inlineStr">
        <x:is>
          <x:t xml:space="preserve">V4 Shadow Only；real_money=false；P(EV&gt;0)不是比赛胜率</x:t>
        </x:is>
      </x:c>
    </x:row>
    <x:row r="68" ht="22" customHeight="1">
      <x:c r="A68" s="595" t="inlineStr">
        <x:is>
          <x:t xml:space="preserve">2026-09-15</x:t>
        </x:is>
      </x:c>
      <x:c r="B68" s="595" t="inlineStr">
        <x:is>
          <x:t xml:space="preserve">2026-09-16 01:00</x:t>
        </x:is>
      </x:c>
      <x:c r="C68" s="595" t="str">
        <x:v>欧洲非五大系列</x:v>
      </x:c>
      <x:c r="D68" s="595" t="inlineStr">
        <x:is>
          <x:t xml:space="preserve">杯赛</x:t>
        </x:is>
      </x:c>
      <x:c r="E68" s="595" t="inlineStr">
        <x:is>
          <x:t xml:space="preserve">丹麦杯</x:t>
        </x:is>
      </x:c>
      <x:c r="F68" s="595" t="inlineStr">
        <x:is>
          <x:t xml:space="preserve">海勒鲁普 vs 埃斯比约</x:t>
        </x:is>
      </x:c>
      <x:c r="G68" s="596" t="n">
        <x:v>0.96</x:v>
      </x:c>
      <x:c r="H68" s="596" t="n">
        <x:v>-1</x:v>
      </x:c>
      <x:c r="I68" s="596" t="n">
        <x:v>0.8</x:v>
      </x:c>
      <x:c r="J68" s="596" t="inlineStr">
        <x:is>
          <x:t xml:space="preserve">0.96/-1/0.80</x:t>
        </x:is>
      </x:c>
      <x:c r="K68" s="595" t="inlineStr">
        <x:is>
          <x:t xml:space="preserve">V4-C｜EV +0.0489</x:t>
        </x:is>
      </x:c>
      <x:c r="L68" s="595" t="inlineStr">
        <x:is>
          <x:t xml:space="preserve">海勒鲁普</x:t>
        </x:is>
      </x:c>
      <x:c r="M68" s="597" t="n">
        <x:v>0.5423728813559322</x:v>
      </x:c>
      <x:c r="N68" s="595" t="inlineStr">
        <x:is>
          <x:t xml:space="preserve">V4纸面入选-C</x:t>
        </x:is>
      </x:c>
      <x:c r="O68" s="595" t="inlineStr">
        <x:is>
          <x:t xml:space="preserve">0-5</x:t>
        </x:is>
      </x:c>
      <x:c r="P68" s="595" t="inlineStr">
        <x:is>
          <x:t xml:space="preserve">已结算</x:t>
        </x:is>
      </x:c>
      <x:c r="Q68" s="641" t="inlineStr">
        <x:is>
          <x:t xml:space="preserve">黑</x:t>
        </x:is>
      </x:c>
      <x:c r="R68" s="599" t="n">
        <x:v>0.96</x:v>
      </x:c>
      <x:c r="S68" s="599" t="n">
        <x:f>IF(OR(Q68="",Q68="待结算"),"",IF(Q68="红",R68,IF(Q68="半红",R68*0.5,IF(Q68="走",0,IF(Q68="半黑",-0.5,-1)))))</x:f>
        <x:v>-1</x:v>
      </x:c>
      <x:c r="T68" s="595" t="inlineStr">
        <x:is>
          <x:t xml:space="preserve">https://arsiv.mackolik.com/Takim/309/Esbjerg</x:t>
        </x:is>
      </x:c>
      <x:c r="U68" s="640" t="str">
        <x:f>IF(Q68="","",IF(Q68="待结算","待结算",IF(Q68="红","黑",IF(Q68="半红","半黑",IF(Q68="走","走",IF(Q68="半黑","半红","红"))))))</x:f>
        <x:v>红</x:v>
      </x:c>
      <x:c r="V68" s="599" t="n">
        <x:f>IF(OR(Q68="",Q68="待结算"),"",IF(L68=LEFT(F68,FIND(" vs ",F68)-1),I68,G68))</x:f>
        <x:v>0.8</x:v>
      </x:c>
      <x:c r="W68" s="599" t="n">
        <x:f>IF(OR(U68="",U68="待结算"),"",IF(U68="红",V68,IF(U68="半红",V68*0.5,IF(U68="走",0,IF(U68="半黑",-0.5,-1)))))</x:f>
        <x:v>0.8</x:v>
      </x:c>
      <x:c r="X68" s="595" t="inlineStr">
        <x:is>
          <x:t xml:space="preserve">3084425</x:t>
        </x:is>
      </x:c>
      <x:c r="Y68" s="595" t="inlineStr">
        <x:is>
          <x:t xml:space="preserve">v4-market-dirichlet-20260913</x:t>
        </x:is>
      </x:c>
      <x:c r="Z68" s="595" t="inlineStr">
        <x:is>
          <x:t xml:space="preserve">prior-2026-09-15-v1</x:t>
        </x:is>
      </x:c>
      <x:c r="AA68" s="595" t="inlineStr">
        <x:is>
          <x:t xml:space="preserve">C</x:t>
        </x:is>
      </x:c>
      <x:c r="AB68" s="600" t="n">
        <x:v>0.4210526315789473</x:v>
      </x:c>
      <x:c r="AC68" s="600" t="n">
        <x:v>0</x:v>
      </x:c>
      <x:c r="AD68" s="600" t="n">
        <x:v>0.2236842105263158</x:v>
      </x:c>
      <x:c r="AE68" s="600" t="n">
        <x:v>0</x:v>
      </x:c>
      <x:c r="AF68" s="600" t="n">
        <x:v>0.3552631578947368</x:v>
      </x:c>
      <x:c r="AG68" s="600" t="n">
        <x:v>0.04894736842105257</x:v>
      </x:c>
      <x:c r="AH68" s="600" t="n">
        <x:v>-0.1103903658988632</x:v>
      </x:c>
      <x:c r="AI68" s="600" t="n">
        <x:v>-0.07809925192143441</x:v>
      </x:c>
      <x:c r="AJ68" s="600" t="n">
        <x:v>0.05189725288918456</x:v>
      </x:c>
      <x:c r="AK68" s="600" t="n">
        <x:v>0.173335999512683</x:v>
      </x:c>
      <x:c r="AL68" s="600" t="n">
        <x:v>0.2111360511546328</x:v>
      </x:c>
      <x:c r="AM68" s="600" t="n">
        <x:v>0.6896</x:v>
      </x:c>
      <x:c r="AN68" s="595" t="inlineStr">
        <x:is>
          <x:t xml:space="preserve">EVALUATED</x:t>
        </x:is>
      </x:c>
      <x:c r="AO68" s="600" t="inlineStr">
        <x:is>
          <x:t xml:space="preserve">BUCKET_1.00、SIDE_IDENTITY_VALID、FLAT_LINE_GIVING_WATER_DROP</x:t>
        </x:is>
      </x:c>
      <x:c r="AP68" s="600" t="inlineStr">
        <x:is>
          <x:t xml:space="preserve">1901499559ff85f1a08d</x:t>
        </x:is>
      </x:c>
      <x:c r="AQ68" s="600" t="n">
        <x:v>1</x:v>
      </x:c>
      <x:c r="AR68" s="600" t="n">
        <x:v>0.96</x:v>
      </x:c>
      <x:c r="AS68" s="600" t="n">
        <x:v>1</x:v>
      </x:c>
      <x:c r="AT68" s="600" t="n">
        <x:v>-1</x:v>
      </x:c>
      <x:c r="AU68" s="600" t="n">
        <x:v>0.96</x:v>
      </x:c>
      <x:c r="AV68" s="600" t="n">
        <x:v>0.8</x:v>
      </x:c>
      <x:c r="AW68" s="595" t="n">
        <x:v>46280.42367292824</x:v>
      </x:c>
      <x:c r="AX68" s="595" t="inlineStr">
        <x:is>
          <x:t xml:space="preserve">https://simondongxiao.github.io/odds/v4/</x:t>
        </x:is>
      </x:c>
      <x:c r="AY68" s="595" t="inlineStr">
        <x:is>
          <x:t xml:space="preserve">V4 Shadow Only；real_money=false；P(EV&gt;0)不是比赛胜率</x:t>
        </x:is>
      </x:c>
    </x:row>
    <x:row r="69" ht="22" customHeight="1">
      <x:c r="A69" s="595" t="inlineStr">
        <x:is>
          <x:t xml:space="preserve">2026-09-15</x:t>
        </x:is>
      </x:c>
      <x:c r="B69" s="595" t="inlineStr">
        <x:is>
          <x:t xml:space="preserve">2026-09-16 01:00</x:t>
        </x:is>
      </x:c>
      <x:c r="C69" s="595" t="str">
        <x:v>欧洲非五大系列</x:v>
      </x:c>
      <x:c r="D69" s="595" t="inlineStr">
        <x:is>
          <x:t xml:space="preserve">联赛</x:t>
        </x:is>
      </x:c>
      <x:c r="E69" s="595" t="inlineStr">
        <x:is>
          <x:t xml:space="preserve">奥丁</x:t>
        </x:is>
      </x:c>
      <x:c r="F69" s="595" t="inlineStr">
        <x:is>
          <x:t xml:space="preserve">SV威尔登 vs SV谢尔曼</x:t>
        </x:is>
      </x:c>
      <x:c r="G69" s="596" t="n">
        <x:v>0.74</x:v>
      </x:c>
      <x:c r="H69" s="596" t="n">
        <x:v>0.5</x:v>
      </x:c>
      <x:c r="I69" s="596" t="n">
        <x:v>1.02</x:v>
      </x:c>
      <x:c r="J69" s="596" t="inlineStr">
        <x:is>
          <x:t xml:space="preserve">0.74/0.5/1.02</x:t>
        </x:is>
      </x:c>
      <x:c r="K69" s="595" t="inlineStr">
        <x:is>
          <x:t xml:space="preserve">V4-C｜EV +0.0158</x:t>
        </x:is>
      </x:c>
      <x:c r="L69" s="595" t="inlineStr">
        <x:is>
          <x:t xml:space="preserve">SV谢尔曼</x:t>
        </x:is>
      </x:c>
      <x:c r="M69" s="597" t="n">
        <x:v>0.5028571428571429</x:v>
      </x:c>
      <x:c r="N69" s="595" t="inlineStr">
        <x:is>
          <x:t xml:space="preserve">V4纸面入选-C</x:t>
        </x:is>
      </x:c>
      <x:c r="O69" s="595" t="inlineStr">
        <x:is>
          <x:t xml:space="preserve">0-2</x:t>
        </x:is>
      </x:c>
      <x:c r="P69" s="595" t="inlineStr">
        <x:is>
          <x:t xml:space="preserve">已结算</x:t>
        </x:is>
      </x:c>
      <x:c r="Q69" s="640" t="inlineStr">
        <x:is>
          <x:t xml:space="preserve">红</x:t>
        </x:is>
      </x:c>
      <x:c r="R69" s="599" t="n">
        <x:v>1.02</x:v>
      </x:c>
      <x:c r="S69" s="599" t="n">
        <x:f>IF(OR(Q69="",Q69="待结算"),"",IF(Q69="红",R69,IF(Q69="半红",R69*0.5,IF(Q69="走",0,IF(Q69="半黑",-0.5,-1)))))</x:f>
        <x:v>1.02</x:v>
      </x:c>
      <x:c r="T69" s="595" t="inlineStr">
        <x:is>
          <x:t xml:space="preserve">https://www.footballant.com/zh-CN/football-data/team/33605</x:t>
        </x:is>
      </x:c>
      <x:c r="U69" s="641" t="str">
        <x:f>IF(Q69="","",IF(Q69="待结算","待结算",IF(Q69="红","黑",IF(Q69="半红","半黑",IF(Q69="走","走",IF(Q69="半黑","半红","红"))))))</x:f>
        <x:v>黑</x:v>
      </x:c>
      <x:c r="V69" s="599" t="n">
        <x:f>IF(OR(Q69="",Q69="待结算"),"",IF(L69=LEFT(F69,FIND(" vs ",F69)-1),I69,G69))</x:f>
        <x:v>0.74</x:v>
      </x:c>
      <x:c r="W69" s="599" t="n">
        <x:f>IF(OR(U69="",U69="待结算"),"",IF(U69="红",V69,IF(U69="半红",V69*0.5,IF(U69="走",0,IF(U69="半黑",-0.5,-1)))))</x:f>
        <x:v>-1</x:v>
      </x:c>
      <x:c r="X69" s="595" t="inlineStr">
        <x:is>
          <x:t xml:space="preserve">3091441</x:t>
        </x:is>
      </x:c>
      <x:c r="Y69" s="595" t="inlineStr">
        <x:is>
          <x:t xml:space="preserve">v4-market-dirichlet-20260913</x:t>
        </x:is>
      </x:c>
      <x:c r="Z69" s="595" t="inlineStr">
        <x:is>
          <x:t xml:space="preserve">prior-2026-09-15-v1</x:t>
        </x:is>
      </x:c>
      <x:c r="AA69" s="595" t="inlineStr">
        <x:is>
          <x:t xml:space="preserve">C</x:t>
        </x:is>
      </x:c>
      <x:c r="AB69" s="600" t="n">
        <x:v>0.5028571428571429</x:v>
      </x:c>
      <x:c r="AC69" s="600" t="n">
        <x:v>0</x:v>
      </x:c>
      <x:c r="AD69" s="600" t="n">
        <x:v>0</x:v>
      </x:c>
      <x:c r="AE69" s="600" t="n">
        <x:v>0</x:v>
      </x:c>
      <x:c r="AF69" s="600" t="n">
        <x:v>0.4971428571428572</x:v>
      </x:c>
      <x:c r="AG69" s="600" t="n">
        <x:v>0.0157714285714286</x:v>
      </x:c>
      <x:c r="AH69" s="600" t="n">
        <x:v>-0.1068054445684942</x:v>
      </x:c>
      <x:c r="AI69" s="600" t="n">
        <x:v>-0.08143378111380511</x:v>
      </x:c>
      <x:c r="AJ69" s="600" t="n">
        <x:v>0.01573928129386937</x:v>
      </x:c>
      <x:c r="AK69" s="600" t="n">
        <x:v>0.1128113834688021</x:v>
      </x:c>
      <x:c r="AL69" s="600" t="n">
        <x:v>0.138204500551119</x:v>
      </x:c>
      <x:c r="AM69" s="600" t="n">
        <x:v>0.5826</x:v>
      </x:c>
      <x:c r="AN69" s="595" t="inlineStr">
        <x:is>
          <x:t xml:space="preserve">EVALUATED</x:t>
        </x:is>
      </x:c>
      <x:c r="AO69" s="600" t="inlineStr">
        <x:is>
          <x:t xml:space="preserve">BUCKET_0.50、SIDE_IDENTITY_VALID、FLAT_LINE_GIVING_WATER_DROP</x:t>
        </x:is>
      </x:c>
      <x:c r="AP69" s="600" t="inlineStr">
        <x:is>
          <x:t xml:space="preserve">62ff490f5bb5a7528c63</x:t>
        </x:is>
      </x:c>
      <x:c r="AQ69" s="600" t="n">
        <x:v>0.5</x:v>
      </x:c>
      <x:c r="AR69" s="600" t="n">
        <x:v>1.02</x:v>
      </x:c>
      <x:c r="AS69" s="600" t="n">
        <x:v>-0.5</x:v>
      </x:c>
      <x:c r="AT69" s="600" t="n">
        <x:v>0.5</x:v>
      </x:c>
      <x:c r="AU69" s="600" t="n">
        <x:v>0.74</x:v>
      </x:c>
      <x:c r="AV69" s="600" t="n">
        <x:v>1.02</x:v>
      </x:c>
      <x:c r="AW69" s="595" t="n">
        <x:v>46280.42367292824</x:v>
      </x:c>
      <x:c r="AX69" s="595" t="inlineStr">
        <x:is>
          <x:t xml:space="preserve">https://simondongxiao.github.io/odds/v4/</x:t>
        </x:is>
      </x:c>
      <x:c r="AY69" s="595" t="inlineStr">
        <x:is>
          <x:t xml:space="preserve">V4 Shadow Only；real_money=false；P(EV&gt;0)不是比赛胜率</x:t>
        </x:is>
      </x:c>
    </x:row>
    <x:row r="70" ht="22" customHeight="1">
      <x:c r="A70" s="595" t="inlineStr">
        <x:is>
          <x:t xml:space="preserve">2026-09-15</x:t>
        </x:is>
      </x:c>
      <x:c r="B70" s="595" t="inlineStr">
        <x:is>
          <x:t xml:space="preserve">2026-09-16 02:00</x:t>
        </x:is>
      </x:c>
      <x:c r="C70" s="595" t="str">
        <x:v>五大联赛杯赛</x:v>
      </x:c>
      <x:c r="D70" s="595" t="inlineStr">
        <x:is>
          <x:t xml:space="preserve">联赛</x:t>
        </x:is>
      </x:c>
      <x:c r="E70" s="595" t="inlineStr">
        <x:is>
          <x:t xml:space="preserve">英锦赛</x:t>
        </x:is>
      </x:c>
      <x:c r="F70" s="595" t="inlineStr">
        <x:is>
          <x:t xml:space="preserve">约克城 vs 纽卡斯尔联U21</x:t>
        </x:is>
      </x:c>
      <x:c r="G70" s="596" t="n">
        <x:v>0.96</x:v>
      </x:c>
      <x:c r="H70" s="596" t="n">
        <x:v>1.5</x:v>
      </x:c>
      <x:c r="I70" s="596" t="n">
        <x:v>0.86</x:v>
      </x:c>
      <x:c r="J70" s="596" t="inlineStr">
        <x:is>
          <x:t xml:space="preserve">0.96/1.5/0.86</x:t>
        </x:is>
      </x:c>
      <x:c r="K70" s="595" t="inlineStr">
        <x:is>
          <x:t xml:space="preserve">V4-C｜EV +0.1637</x:t>
        </x:is>
      </x:c>
      <x:c r="L70" s="595" t="inlineStr">
        <x:is>
          <x:t xml:space="preserve">约克城</x:t>
        </x:is>
      </x:c>
      <x:c r="M70" s="597" t="n">
        <x:v>0.59375</x:v>
      </x:c>
      <x:c r="N70" s="595" t="inlineStr">
        <x:is>
          <x:t xml:space="preserve">V4纸面入选-C</x:t>
        </x:is>
      </x:c>
      <x:c r="O70" s="595" t="inlineStr">
        <x:is>
          <x:t xml:space="preserve">1-3</x:t>
        </x:is>
      </x:c>
      <x:c r="P70" s="595" t="inlineStr">
        <x:is>
          <x:t xml:space="preserve">已结算</x:t>
        </x:is>
      </x:c>
      <x:c r="Q70" s="641" t="inlineStr">
        <x:is>
          <x:t xml:space="preserve">黑</x:t>
        </x:is>
      </x:c>
      <x:c r="R70" s="599" t="n">
        <x:v>0.96</x:v>
      </x:c>
      <x:c r="S70" s="599" t="n">
        <x:f>IF(OR(Q70="",Q70="待结算"),"",IF(Q70="红",R70,IF(Q70="半红",R70*0.5,IF(Q70="走",0,IF(Q70="半黑",-0.5,-1)))))</x:f>
        <x:v>-1</x:v>
      </x:c>
      <x:c r="T70" s="595" t="inlineStr">
        <x:is>
          <x:t xml:space="preserve">https://www.footballwebpages.co.uk/20260915</x:t>
        </x:is>
      </x:c>
      <x:c r="U70" s="640" t="str">
        <x:f>IF(Q70="","",IF(Q70="待结算","待结算",IF(Q70="红","黑",IF(Q70="半红","半黑",IF(Q70="走","走",IF(Q70="半黑","半红","红"))))))</x:f>
        <x:v>红</x:v>
      </x:c>
      <x:c r="V70" s="599" t="n">
        <x:f>IF(OR(Q70="",Q70="待结算"),"",IF(L70=LEFT(F70,FIND(" vs ",F70)-1),I70,G70))</x:f>
        <x:v>0.86</x:v>
      </x:c>
      <x:c r="W70" s="599" t="n">
        <x:f>IF(OR(U70="",U70="待结算"),"",IF(U70="红",V70,IF(U70="半红",V70*0.5,IF(U70="走",0,IF(U70="半黑",-0.5,-1)))))</x:f>
        <x:v>0.86</x:v>
      </x:c>
      <x:c r="X70" s="595" t="inlineStr">
        <x:is>
          <x:t xml:space="preserve">3012829</x:t>
        </x:is>
      </x:c>
      <x:c r="Y70" s="595" t="inlineStr">
        <x:is>
          <x:t xml:space="preserve">v4-market-dirichlet-20260913</x:t>
        </x:is>
      </x:c>
      <x:c r="Z70" s="595" t="inlineStr">
        <x:is>
          <x:t xml:space="preserve">prior-2026-09-15-v1</x:t>
        </x:is>
      </x:c>
      <x:c r="AA70" s="595" t="inlineStr">
        <x:is>
          <x:t xml:space="preserve">C</x:t>
        </x:is>
      </x:c>
      <x:c r="AB70" s="600" t="n">
        <x:v>0.59375</x:v>
      </x:c>
      <x:c r="AC70" s="600" t="n">
        <x:v>0</x:v>
      </x:c>
      <x:c r="AD70" s="600" t="n">
        <x:v>0</x:v>
      </x:c>
      <x:c r="AE70" s="600" t="n">
        <x:v>0</x:v>
      </x:c>
      <x:c r="AF70" s="600" t="n">
        <x:v>0.40625</x:v>
      </x:c>
      <x:c r="AG70" s="600" t="n">
        <x:v>0.16375</x:v>
      </x:c>
      <x:c r="AH70" s="600" t="n">
        <x:v>-0.1151905252523838</x:v>
      </x:c>
      <x:c r="AI70" s="600" t="n">
        <x:v>-0.05675542397695216</x:v>
      </x:c>
      <x:c r="AJ70" s="600" t="n">
        <x:v>0.1623259068496374</x:v>
      </x:c>
      <x:c r="AK70" s="600" t="n">
        <x:v>0.3750420357882863</x:v>
      </x:c>
      <x:c r="AL70" s="600" t="n">
        <x:v>0.4342471796520789</x:v>
      </x:c>
      <x:c r="AM70" s="600" t="n">
        <x:v>0.8292</x:v>
      </x:c>
      <x:c r="AN70" s="595" t="inlineStr">
        <x:is>
          <x:t xml:space="preserve">EVALUATED</x:t>
        </x:is>
      </x:c>
      <x:c r="AO70" s="600" t="inlineStr">
        <x:is>
          <x:t xml:space="preserve">BUCKET_1.50、SIDE_IDENTITY_VALID、MARKET_MOVE_LINE_STRENGTH_WITH_GIVING_RESISTANCE</x:t>
        </x:is>
      </x:c>
      <x:c r="AP70" s="600" t="inlineStr">
        <x:is>
          <x:t xml:space="preserve">eb92271a8abb75c4f4bb</x:t>
        </x:is>
      </x:c>
      <x:c r="AQ70" s="600" t="n">
        <x:v>-1.5</x:v>
      </x:c>
      <x:c r="AR70" s="600" t="n">
        <x:v>0.96</x:v>
      </x:c>
      <x:c r="AS70" s="600" t="n">
        <x:v>-1.5</x:v>
      </x:c>
      <x:c r="AT70" s="600" t="n">
        <x:v>1.5</x:v>
      </x:c>
      <x:c r="AU70" s="600" t="n">
        <x:v>0.96</x:v>
      </x:c>
      <x:c r="AV70" s="600" t="n">
        <x:v>0.86</x:v>
      </x:c>
      <x:c r="AW70" s="595" t="n">
        <x:v>46280.42367292824</x:v>
      </x:c>
      <x:c r="AX70" s="595" t="inlineStr">
        <x:is>
          <x:t xml:space="preserve">https://simondongxiao.github.io/odds/v4/</x:t>
        </x:is>
      </x:c>
      <x:c r="AY70" s="595" t="inlineStr">
        <x:is>
          <x:t xml:space="preserve">V4 Shadow Only；real_money=false；P(EV&gt;0)不是比赛胜率</x:t>
        </x:is>
      </x:c>
    </x:row>
    <x:row r="71" ht="22" customHeight="1">
      <x:c r="A71" s="595" t="inlineStr">
        <x:is>
          <x:t xml:space="preserve">2026-09-15</x:t>
        </x:is>
      </x:c>
      <x:c r="B71" s="595" t="inlineStr">
        <x:is>
          <x:t xml:space="preserve">2026-09-16 02:00</x:t>
        </x:is>
      </x:c>
      <x:c r="C71" s="595" t="str">
        <x:v>五大联赛杯赛</x:v>
      </x:c>
      <x:c r="D71" s="595" t="inlineStr">
        <x:is>
          <x:t xml:space="preserve">联赛</x:t>
        </x:is>
      </x:c>
      <x:c r="E71" s="595" t="inlineStr">
        <x:is>
          <x:t xml:space="preserve">英锦赛</x:t>
        </x:is>
      </x:c>
      <x:c r="F71" s="595" t="inlineStr">
        <x:is>
          <x:t xml:space="preserve">斯文登 vs 水晶宫U21</x:t>
        </x:is>
      </x:c>
      <x:c r="G71" s="596" t="n">
        <x:v>0.8</x:v>
      </x:c>
      <x:c r="H71" s="596" t="n">
        <x:v>0.75</x:v>
      </x:c>
      <x:c r="I71" s="596" t="n">
        <x:v>1.02</x:v>
      </x:c>
      <x:c r="J71" s="596" t="inlineStr">
        <x:is>
          <x:t xml:space="preserve">0.80/0.75/1.02</x:t>
        </x:is>
      </x:c>
      <x:c r="K71" s="595" t="inlineStr">
        <x:is>
          <x:t xml:space="preserve">V4-C｜EV +0.0213</x:t>
        </x:is>
      </x:c>
      <x:c r="L71" s="595" t="inlineStr">
        <x:is>
          <x:t xml:space="preserve">水晶宫U21</x:t>
        </x:is>
      </x:c>
      <x:c r="M71" s="597" t="n">
        <x:v>0.5071770334928229</x:v>
      </x:c>
      <x:c r="N71" s="595" t="inlineStr">
        <x:is>
          <x:t xml:space="preserve">V4纸面入选-C</x:t>
        </x:is>
      </x:c>
      <x:c r="O71" s="595" t="inlineStr">
        <x:is>
          <x:t xml:space="preserve">1-2</x:t>
        </x:is>
      </x:c>
      <x:c r="P71" s="595" t="inlineStr">
        <x:is>
          <x:t xml:space="preserve">已结算</x:t>
        </x:is>
      </x:c>
      <x:c r="Q71" s="640" t="inlineStr">
        <x:is>
          <x:t xml:space="preserve">红</x:t>
        </x:is>
      </x:c>
      <x:c r="R71" s="599" t="n">
        <x:v>1.02</x:v>
      </x:c>
      <x:c r="S71" s="599" t="n">
        <x:f>IF(OR(Q71="",Q71="待结算"),"",IF(Q71="红",R71,IF(Q71="半红",R71*0.5,IF(Q71="走",0,IF(Q71="半黑",-0.5,-1)))))</x:f>
        <x:v>1.02</x:v>
      </x:c>
      <x:c r="T71" s="595" t="inlineStr">
        <x:is>
          <x:t xml:space="preserve">https://www.cpfc.co.uk/match/2678215/under-21/efl-trophy/2026-27/swindon-town-vs-crystal-palace-u21-2026-09-15/</x:t>
        </x:is>
      </x:c>
      <x:c r="U71" s="641" t="str">
        <x:f>IF(Q71="","",IF(Q71="待结算","待结算",IF(Q71="红","黑",IF(Q71="半红","半黑",IF(Q71="走","走",IF(Q71="半黑","半红","红"))))))</x:f>
        <x:v>黑</x:v>
      </x:c>
      <x:c r="V71" s="599" t="n">
        <x:f>IF(OR(Q71="",Q71="待结算"),"",IF(L71=LEFT(F71,FIND(" vs ",F71)-1),I71,G71))</x:f>
        <x:v>0.8</x:v>
      </x:c>
      <x:c r="W71" s="599" t="n">
        <x:f>IF(OR(U71="",U71="待结算"),"",IF(U71="红",V71,IF(U71="半红",V71*0.5,IF(U71="走",0,IF(U71="半黑",-0.5,-1)))))</x:f>
        <x:v>-1</x:v>
      </x:c>
      <x:c r="X71" s="595" t="inlineStr">
        <x:is>
          <x:t xml:space="preserve">3012980</x:t>
        </x:is>
      </x:c>
      <x:c r="Y71" s="595" t="inlineStr">
        <x:is>
          <x:t xml:space="preserve">v4-market-dirichlet-20260913</x:t>
        </x:is>
      </x:c>
      <x:c r="Z71" s="595" t="inlineStr">
        <x:is>
          <x:t xml:space="preserve">prior-2026-09-15-v1</x:t>
        </x:is>
      </x:c>
      <x:c r="AA71" s="595" t="inlineStr">
        <x:is>
          <x:t xml:space="preserve">C</x:t>
        </x:is>
      </x:c>
      <x:c r="AB71" s="600" t="n">
        <x:v>0.4416666666666667</x:v>
      </x:c>
      <x:c r="AC71" s="600" t="n">
        <x:v>0</x:v>
      </x:c>
      <x:c r="AD71" s="600" t="n">
        <x:v>0</x:v>
      </x:c>
      <x:c r="AE71" s="600" t="n">
        <x:v>0.2583333333333334</x:v>
      </x:c>
      <x:c r="AF71" s="600" t="n">
        <x:v>0.3</x:v>
      </x:c>
      <x:c r="AG71" s="600" t="n">
        <x:v>0.02133333333333337</x:v>
      </x:c>
      <x:c r="AH71" s="600" t="n">
        <x:v>-0.11243297649533</x:v>
      </x:c>
      <x:c r="AI71" s="600" t="n">
        <x:v>-0.08385958970127366</x:v>
      </x:c>
      <x:c r="AJ71" s="600" t="n">
        <x:v>0.02170974432264905</x:v>
      </x:c>
      <x:c r="AK71" s="600" t="n">
        <x:v>0.1259457202508609</x:v>
      </x:c>
      <x:c r="AL71" s="600" t="n">
        <x:v>0.158707860186918</x:v>
      </x:c>
      <x:c r="AM71" s="600" t="n">
        <x:v>0.6086</x:v>
      </x:c>
      <x:c r="AN71" s="595" t="inlineStr">
        <x:is>
          <x:t xml:space="preserve">EVALUATED</x:t>
        </x:is>
      </x:c>
      <x:c r="AO71" s="600" t="inlineStr">
        <x:is>
          <x:t xml:space="preserve">BUCKET_0.75、SIDE_IDENTITY_VALID、FLAT_LINE_GIVING_WATER_DROP</x:t>
        </x:is>
      </x:c>
      <x:c r="AP71" s="600" t="inlineStr">
        <x:is>
          <x:t xml:space="preserve">1ba572ecf5fa5c117202</x:t>
        </x:is>
      </x:c>
      <x:c r="AQ71" s="600" t="n">
        <x:v>0.75</x:v>
      </x:c>
      <x:c r="AR71" s="600" t="n">
        <x:v>1.02</x:v>
      </x:c>
      <x:c r="AS71" s="600" t="n">
        <x:v>-0.75</x:v>
      </x:c>
      <x:c r="AT71" s="600" t="n">
        <x:v>0.75</x:v>
      </x:c>
      <x:c r="AU71" s="600" t="n">
        <x:v>0.8</x:v>
      </x:c>
      <x:c r="AV71" s="600" t="n">
        <x:v>1.02</x:v>
      </x:c>
      <x:c r="AW71" s="595" t="n">
        <x:v>46280.42367292824</x:v>
      </x:c>
      <x:c r="AX71" s="595" t="inlineStr">
        <x:is>
          <x:t xml:space="preserve">https://simondongxiao.github.io/odds/v4/</x:t>
        </x:is>
      </x:c>
      <x:c r="AY71" s="595" t="inlineStr">
        <x:is>
          <x:t xml:space="preserve">V4 Shadow Only；real_money=false；P(EV&gt;0)不是比赛胜率</x:t>
        </x:is>
      </x:c>
    </x:row>
    <x:row r="72" ht="22" customHeight="1">
      <x:c r="A72" s="595" t="inlineStr">
        <x:is>
          <x:t xml:space="preserve">2026-09-15</x:t>
        </x:is>
      </x:c>
      <x:c r="B72" s="595" t="inlineStr">
        <x:is>
          <x:t xml:space="preserve">2026-09-16 02:00</x:t>
        </x:is>
      </x:c>
      <x:c r="C72" s="595" t="str">
        <x:v>五大联赛杯赛</x:v>
      </x:c>
      <x:c r="D72" s="595" t="inlineStr">
        <x:is>
          <x:t xml:space="preserve">联赛</x:t>
        </x:is>
      </x:c>
      <x:c r="E72" s="595" t="inlineStr">
        <x:is>
          <x:t xml:space="preserve">英锦赛</x:t>
        </x:is>
      </x:c>
      <x:c r="F72" s="595" t="inlineStr">
        <x:is>
          <x:t xml:space="preserve">莱顿东方 vs 阿森纳U21</x:t>
        </x:is>
      </x:c>
      <x:c r="G72" s="596" t="n">
        <x:v>0.93</x:v>
      </x:c>
      <x:c r="H72" s="596" t="n">
        <x:v>1</x:v>
      </x:c>
      <x:c r="I72" s="596" t="n">
        <x:v>0.89</x:v>
      </x:c>
      <x:c r="J72" s="596" t="inlineStr">
        <x:is>
          <x:t xml:space="preserve">0.93/1/0.89</x:t>
        </x:is>
      </x:c>
      <x:c r="K72" s="595" t="inlineStr">
        <x:is>
          <x:t xml:space="preserve">V4-C｜EV +0.0195</x:t>
        </x:is>
      </x:c>
      <x:c r="L72" s="595" t="inlineStr">
        <x:is>
          <x:t xml:space="preserve">阿森纳U21</x:t>
        </x:is>
      </x:c>
      <x:c r="M72" s="597" t="n">
        <x:v>0.5423728813559322</x:v>
      </x:c>
      <x:c r="N72" s="595" t="inlineStr">
        <x:is>
          <x:t xml:space="preserve">V4纸面入选-C</x:t>
        </x:is>
      </x:c>
      <x:c r="O72" s="595" t="inlineStr">
        <x:is>
          <x:t xml:space="preserve">1-2</x:t>
        </x:is>
      </x:c>
      <x:c r="P72" s="595" t="inlineStr">
        <x:is>
          <x:t xml:space="preserve">已结算</x:t>
        </x:is>
      </x:c>
      <x:c r="Q72" s="640" t="inlineStr">
        <x:is>
          <x:t xml:space="preserve">红</x:t>
        </x:is>
      </x:c>
      <x:c r="R72" s="599" t="n">
        <x:v>0.89</x:v>
      </x:c>
      <x:c r="S72" s="599" t="n">
        <x:f>IF(OR(Q72="",Q72="待结算"),"",IF(Q72="红",R72,IF(Q72="半红",R72*0.5,IF(Q72="走",0,IF(Q72="半黑",-0.5,-1)))))</x:f>
        <x:v>0.89</x:v>
      </x:c>
      <x:c r="T72" s="595" t="inlineStr">
        <x:is>
          <x:t xml:space="preserve">https://www.footballwebpages.co.uk/20260915</x:t>
        </x:is>
      </x:c>
      <x:c r="U72" s="641" t="str">
        <x:f>IF(Q72="","",IF(Q72="待结算","待结算",IF(Q72="红","黑",IF(Q72="半红","半黑",IF(Q72="走","走",IF(Q72="半黑","半红","红"))))))</x:f>
        <x:v>黑</x:v>
      </x:c>
      <x:c r="V72" s="599" t="n">
        <x:f>IF(OR(Q72="",Q72="待结算"),"",IF(L72=LEFT(F72,FIND(" vs ",F72)-1),I72,G72))</x:f>
        <x:v>0.93</x:v>
      </x:c>
      <x:c r="W72" s="599" t="n">
        <x:f>IF(OR(U72="",U72="待结算"),"",IF(U72="红",V72,IF(U72="半红",V72*0.5,IF(U72="走",0,IF(U72="半黑",-0.5,-1)))))</x:f>
        <x:v>-1</x:v>
      </x:c>
      <x:c r="X72" s="595" t="inlineStr">
        <x:is>
          <x:t xml:space="preserve">3012989</x:t>
        </x:is>
      </x:c>
      <x:c r="Y72" s="595" t="inlineStr">
        <x:is>
          <x:t xml:space="preserve">v4-market-dirichlet-20260913</x:t>
        </x:is>
      </x:c>
      <x:c r="Z72" s="595" t="inlineStr">
        <x:is>
          <x:t xml:space="preserve">prior-2026-09-15-v1</x:t>
        </x:is>
      </x:c>
      <x:c r="AA72" s="595" t="inlineStr">
        <x:is>
          <x:t xml:space="preserve">C</x:t>
        </x:is>
      </x:c>
      <x:c r="AB72" s="600" t="n">
        <x:v>0.4210526315789473</x:v>
      </x:c>
      <x:c r="AC72" s="600" t="n">
        <x:v>0</x:v>
      </x:c>
      <x:c r="AD72" s="600" t="n">
        <x:v>0.2236842105263158</x:v>
      </x:c>
      <x:c r="AE72" s="600" t="n">
        <x:v>0</x:v>
      </x:c>
      <x:c r="AF72" s="600" t="n">
        <x:v>0.3552631578947368</x:v>
      </x:c>
      <x:c r="AG72" s="600" t="n">
        <x:v>0.01947368421052631</x:v>
      </x:c>
      <x:c r="AH72" s="600" t="n">
        <x:v>-0.1321196669033212</x:v>
      </x:c>
      <x:c r="AI72" s="600" t="n">
        <x:v>-0.09869006956637477</x:v>
      </x:c>
      <x:c r="AJ72" s="600" t="n">
        <x:v>0.02260205901963114</x:v>
      </x:c>
      <x:c r="AK72" s="600" t="n">
        <x:v>0.1397713587839782</x:v>
      </x:c>
      <x:c r="AL72" s="600" t="n">
        <x:v>0.1730481963095832</x:v>
      </x:c>
      <x:c r="AM72" s="600" t="n">
        <x:v>0.592</x:v>
      </x:c>
      <x:c r="AN72" s="595" t="inlineStr">
        <x:is>
          <x:t xml:space="preserve">EVALUATED</x:t>
        </x:is>
      </x:c>
      <x:c r="AO72" s="600" t="inlineStr">
        <x:is>
          <x:t xml:space="preserve">BUCKET_1.00、SIDE_IDENTITY_VALID、FLAT_LINE_GIVING_WATER_DROP</x:t>
        </x:is>
      </x:c>
      <x:c r="AP72" s="600" t="inlineStr">
        <x:is>
          <x:t xml:space="preserve">3eba0b6aba045299fe30</x:t>
        </x:is>
      </x:c>
      <x:c r="AQ72" s="600" t="n">
        <x:v>1</x:v>
      </x:c>
      <x:c r="AR72" s="600" t="n">
        <x:v>0.89</x:v>
      </x:c>
      <x:c r="AS72" s="600" t="n">
        <x:v>-1</x:v>
      </x:c>
      <x:c r="AT72" s="600" t="n">
        <x:v>1</x:v>
      </x:c>
      <x:c r="AU72" s="600" t="n">
        <x:v>0.93</x:v>
      </x:c>
      <x:c r="AV72" s="600" t="n">
        <x:v>0.89</x:v>
      </x:c>
      <x:c r="AW72" s="595" t="n">
        <x:v>46280.42367292824</x:v>
      </x:c>
      <x:c r="AX72" s="595" t="inlineStr">
        <x:is>
          <x:t xml:space="preserve">https://simondongxiao.github.io/odds/v4/</x:t>
        </x:is>
      </x:c>
      <x:c r="AY72" s="595" t="inlineStr">
        <x:is>
          <x:t xml:space="preserve">V4 Shadow Only；real_money=false；P(EV&gt;0)不是比赛胜率</x:t>
        </x:is>
      </x:c>
    </x:row>
    <x:row r="73" ht="22" customHeight="1">
      <x:c r="A73" s="595" t="inlineStr">
        <x:is>
          <x:t xml:space="preserve">2026-09-15</x:t>
        </x:is>
      </x:c>
      <x:c r="B73" s="595" t="inlineStr">
        <x:is>
          <x:t xml:space="preserve">2026-09-16 02:00</x:t>
        </x:is>
      </x:c>
      <x:c r="C73" s="595" t="str">
        <x:v>其他系列</x:v>
      </x:c>
      <x:c r="D73" s="595" t="inlineStr">
        <x:is>
          <x:t xml:space="preserve">联赛</x:t>
        </x:is>
      </x:c>
      <x:c r="E73" s="595" t="inlineStr">
        <x:is>
          <x:t xml:space="preserve">阿后备</x:t>
        </x:is>
      </x:c>
      <x:c r="F73" s="595" t="inlineStr">
        <x:is>
          <x:t xml:space="preserve">CA独立队后备队 vs 科隆竞技后备队</x:t>
        </x:is>
      </x:c>
      <x:c r="G73" s="596" t="n">
        <x:v>0.85</x:v>
      </x:c>
      <x:c r="H73" s="596" t="n">
        <x:v>1</x:v>
      </x:c>
      <x:c r="I73" s="596" t="n">
        <x:v>0.91</x:v>
      </x:c>
      <x:c r="J73" s="596" t="inlineStr">
        <x:is>
          <x:t xml:space="preserve">0.85/1/0.91</x:t>
        </x:is>
      </x:c>
      <x:c r="K73" s="595" t="inlineStr">
        <x:is>
          <x:t xml:space="preserve">V4-C｜EV +0.0279</x:t>
        </x:is>
      </x:c>
      <x:c r="L73" s="595" t="inlineStr">
        <x:is>
          <x:t xml:space="preserve">科隆竞技后备队</x:t>
        </x:is>
      </x:c>
      <x:c r="M73" s="597" t="n">
        <x:v>0.5423728813559322</x:v>
      </x:c>
      <x:c r="N73" s="595" t="inlineStr">
        <x:is>
          <x:t xml:space="preserve">V4纸面入选-C</x:t>
        </x:is>
      </x:c>
      <x:c r="O73" s="595" t="inlineStr">
        <x:is>
          <x:t xml:space="preserve">1-0</x:t>
        </x:is>
      </x:c>
      <x:c r="P73" s="595" t="inlineStr">
        <x:is>
          <x:t xml:space="preserve">已结算</x:t>
        </x:is>
      </x:c>
      <x:c r="Q73" s="644" t="inlineStr">
        <x:is>
          <x:t xml:space="preserve">走</x:t>
        </x:is>
      </x:c>
      <x:c r="R73" s="599" t="n">
        <x:v>0.91</x:v>
      </x:c>
      <x:c r="S73" s="599" t="n">
        <x:f>IF(OR(Q73="",Q73="待结算"),"",IF(Q73="红",R73,IF(Q73="半红",R73*0.5,IF(Q73="走",0,IF(Q73="半黑",-0.5,-1)))))</x:f>
        <x:v>0</x:v>
      </x:c>
      <x:c r="T73" s="595" t="inlineStr">
        <x:is>
          <x:t xml:space="preserve">https://www.aiscore.com/nl/match-independiente-reserves-colon-reserves/xvkjoi86epoc879</x:t>
        </x:is>
      </x:c>
      <x:c r="U73" s="644" t="str">
        <x:f>IF(Q73="","",IF(Q73="待结算","待结算",IF(Q73="红","黑",IF(Q73="半红","半黑",IF(Q73="走","走",IF(Q73="半黑","半红","红"))))))</x:f>
        <x:v>走</x:v>
      </x:c>
      <x:c r="V73" s="599" t="n">
        <x:f>IF(OR(Q73="",Q73="待结算"),"",IF(L73=LEFT(F73,FIND(" vs ",F73)-1),I73,G73))</x:f>
        <x:v>0.85</x:v>
      </x:c>
      <x:c r="W73" s="599" t="n">
        <x:f>IF(OR(U73="",U73="待结算"),"",IF(U73="红",V73,IF(U73="半红",V73*0.5,IF(U73="走",0,IF(U73="半黑",-0.5,-1)))))</x:f>
        <x:v>0</x:v>
      </x:c>
      <x:c r="X73" s="595" t="inlineStr">
        <x:is>
          <x:t xml:space="preserve">3089088</x:t>
        </x:is>
      </x:c>
      <x:c r="Y73" s="595" t="inlineStr">
        <x:is>
          <x:t xml:space="preserve">v4-market-dirichlet-20260913</x:t>
        </x:is>
      </x:c>
      <x:c r="Z73" s="595" t="inlineStr">
        <x:is>
          <x:t xml:space="preserve">prior-2026-09-15-v1</x:t>
        </x:is>
      </x:c>
      <x:c r="AA73" s="595" t="inlineStr">
        <x:is>
          <x:t xml:space="preserve">C</x:t>
        </x:is>
      </x:c>
      <x:c r="AB73" s="600" t="n">
        <x:v>0.4210526315789473</x:v>
      </x:c>
      <x:c r="AC73" s="600" t="n">
        <x:v>0</x:v>
      </x:c>
      <x:c r="AD73" s="600" t="n">
        <x:v>0.2236842105263158</x:v>
      </x:c>
      <x:c r="AE73" s="600" t="n">
        <x:v>0</x:v>
      </x:c>
      <x:c r="AF73" s="600" t="n">
        <x:v>0.3552631578947368</x:v>
      </x:c>
      <x:c r="AG73" s="600" t="n">
        <x:v>0.02789473684210525</x:v>
      </x:c>
      <x:c r="AH73" s="600" t="n">
        <x:v>-0.1273755095966453</x:v>
      </x:c>
      <x:c r="AI73" s="600" t="n">
        <x:v>-0.09030839951322445</x:v>
      </x:c>
      <x:c r="AJ73" s="600" t="n">
        <x:v>0.03059427202160286</x:v>
      </x:c>
      <x:c r="AK73" s="600" t="n">
        <x:v>0.1521623500286199</x:v>
      </x:c>
      <x:c r="AL73" s="600" t="n">
        <x:v>0.1873587894975373</x:v>
      </x:c>
      <x:c r="AM73" s="600" t="n">
        <x:v>0.6292</x:v>
      </x:c>
      <x:c r="AN73" s="595" t="inlineStr">
        <x:is>
          <x:t xml:space="preserve">EVALUATED</x:t>
        </x:is>
      </x:c>
      <x:c r="AO73" s="600" t="inlineStr">
        <x:is>
          <x:t xml:space="preserve">BUCKET_1.00、SIDE_IDENTITY_VALID、FLAT_LINE_GIVING_WATER_RISE</x:t>
        </x:is>
      </x:c>
      <x:c r="AP73" s="600" t="inlineStr">
        <x:is>
          <x:t xml:space="preserve">2d6889199829105b6784</x:t>
        </x:is>
      </x:c>
      <x:c r="AQ73" s="600" t="n">
        <x:v>1</x:v>
      </x:c>
      <x:c r="AR73" s="600" t="n">
        <x:v>0.91</x:v>
      </x:c>
      <x:c r="AS73" s="600" t="n">
        <x:v>-1</x:v>
      </x:c>
      <x:c r="AT73" s="600" t="n">
        <x:v>1</x:v>
      </x:c>
      <x:c r="AU73" s="600" t="n">
        <x:v>0.85</x:v>
      </x:c>
      <x:c r="AV73" s="600" t="n">
        <x:v>0.91</x:v>
      </x:c>
      <x:c r="AW73" s="595" t="n">
        <x:v>46280.42367292824</x:v>
      </x:c>
      <x:c r="AX73" s="595" t="inlineStr">
        <x:is>
          <x:t xml:space="preserve">https://simondongxiao.github.io/odds/v4/</x:t>
        </x:is>
      </x:c>
      <x:c r="AY73" s="595" t="inlineStr">
        <x:is>
          <x:t xml:space="preserve">V4 Shadow Only；real_money=false；P(EV&gt;0)不是比赛胜率</x:t>
        </x:is>
      </x:c>
    </x:row>
    <x:row r="74" ht="22" customHeight="1">
      <x:c r="A74" s="595" t="inlineStr">
        <x:is>
          <x:t xml:space="preserve">2026-09-15</x:t>
        </x:is>
      </x:c>
      <x:c r="B74" s="595" t="inlineStr">
        <x:is>
          <x:t xml:space="preserve">2026-09-16 02:45</x:t>
        </x:is>
      </x:c>
      <x:c r="C74" s="595" t="str">
        <x:v>五大联赛非顶级联赛</x:v>
      </x:c>
      <x:c r="D74" s="595" t="inlineStr">
        <x:is>
          <x:t xml:space="preserve">联赛</x:t>
        </x:is>
      </x:c>
      <x:c r="E74" s="595" t="inlineStr">
        <x:is>
          <x:t xml:space="preserve">英冠</x:t>
        </x:is>
      </x:c>
      <x:c r="F74" s="595" t="inlineStr">
        <x:is>
          <x:t xml:space="preserve">布里斯托城 vs 林肯城</x:t>
        </x:is>
      </x:c>
      <x:c r="G74" s="596" t="n">
        <x:v>0.83</x:v>
      </x:c>
      <x:c r="H74" s="596" t="n">
        <x:v>0.5</x:v>
      </x:c>
      <x:c r="I74" s="596" t="n">
        <x:v>1.03</x:v>
      </x:c>
      <x:c r="J74" s="596" t="inlineStr">
        <x:is>
          <x:t xml:space="preserve">0.83/0.5/1.03</x:t>
        </x:is>
      </x:c>
      <x:c r="K74" s="595" t="inlineStr">
        <x:is>
          <x:t xml:space="preserve">V4-C｜EV +0.0208</x:t>
        </x:is>
      </x:c>
      <x:c r="L74" s="595" t="inlineStr">
        <x:is>
          <x:t xml:space="preserve">林肯城</x:t>
        </x:is>
      </x:c>
      <x:c r="M74" s="597" t="n">
        <x:v>0.5028571428571429</x:v>
      </x:c>
      <x:c r="N74" s="595" t="inlineStr">
        <x:is>
          <x:t xml:space="preserve">V4纸面入选-C</x:t>
        </x:is>
      </x:c>
      <x:c r="O74" s="595" t="inlineStr">
        <x:is>
          <x:t xml:space="preserve">0-1</x:t>
        </x:is>
      </x:c>
      <x:c r="P74" s="595" t="inlineStr">
        <x:is>
          <x:t xml:space="preserve">已结算</x:t>
        </x:is>
      </x:c>
      <x:c r="Q74" s="640" t="inlineStr">
        <x:is>
          <x:t xml:space="preserve">红</x:t>
        </x:is>
      </x:c>
      <x:c r="R74" s="599" t="n">
        <x:v>1.03</x:v>
      </x:c>
      <x:c r="S74" s="599" t="n">
        <x:f>IF(OR(Q74="",Q74="待结算"),"",IF(Q74="红",R74,IF(Q74="半红",R74*0.5,IF(Q74="走",0,IF(Q74="半黑",-0.5,-1)))))</x:f>
        <x:v>1.03</x:v>
      </x:c>
      <x:c r="T74" s="595" t="inlineStr">
        <x:is>
          <x:t xml:space="preserve">https://www.footballwebpages.co.uk/20260915</x:t>
        </x:is>
      </x:c>
      <x:c r="U74" s="641" t="str">
        <x:f>IF(Q74="","",IF(Q74="待结算","待结算",IF(Q74="红","黑",IF(Q74="半红","半黑",IF(Q74="走","走",IF(Q74="半黑","半红","红"))))))</x:f>
        <x:v>黑</x:v>
      </x:c>
      <x:c r="V74" s="599" t="n">
        <x:f>IF(OR(Q74="",Q74="待结算"),"",IF(L74=LEFT(F74,FIND(" vs ",F74)-1),I74,G74))</x:f>
        <x:v>0.83</x:v>
      </x:c>
      <x:c r="W74" s="599" t="n">
        <x:f>IF(OR(U74="",U74="待结算"),"",IF(U74="红",V74,IF(U74="半红",V74*0.5,IF(U74="走",0,IF(U74="半黑",-0.5,-1)))))</x:f>
        <x:v>-1</x:v>
      </x:c>
      <x:c r="X74" s="595" t="inlineStr">
        <x:is>
          <x:t xml:space="preserve">3008214</x:t>
        </x:is>
      </x:c>
      <x:c r="Y74" s="595" t="inlineStr">
        <x:is>
          <x:t xml:space="preserve">v4-market-dirichlet-20260913</x:t>
        </x:is>
      </x:c>
      <x:c r="Z74" s="595" t="inlineStr">
        <x:is>
          <x:t xml:space="preserve">prior-2026-09-15-v1</x:t>
        </x:is>
      </x:c>
      <x:c r="AA74" s="595" t="inlineStr">
        <x:is>
          <x:t xml:space="preserve">C</x:t>
        </x:is>
      </x:c>
      <x:c r="AB74" s="600" t="n">
        <x:v>0.5028571428571429</x:v>
      </x:c>
      <x:c r="AC74" s="600" t="n">
        <x:v>0</x:v>
      </x:c>
      <x:c r="AD74" s="600" t="n">
        <x:v>0</x:v>
      </x:c>
      <x:c r="AE74" s="600" t="n">
        <x:v>0</x:v>
      </x:c>
      <x:c r="AF74" s="600" t="n">
        <x:v>0.4971428571428572</x:v>
      </x:c>
      <x:c r="AG74" s="600" t="n">
        <x:v>0.02079999999999999</x:v>
      </x:c>
      <x:c r="AH74" s="600" t="n">
        <x:v>-0.1079217963015661</x:v>
      </x:c>
      <x:c r="AI74" s="600" t="n">
        <x:v>-0.07858808583463112</x:v>
      </x:c>
      <x:c r="AJ74" s="600" t="n">
        <x:v>0.01878698016998337</x:v>
      </x:c>
      <x:c r="AK74" s="600" t="n">
        <x:v>0.1182060165193911</x:v>
      </x:c>
      <x:c r="AL74" s="600" t="n">
        <x:v>0.1480782155238102</x:v>
      </x:c>
      <x:c r="AM74" s="600" t="n">
        <x:v>0.5964</x:v>
      </x:c>
      <x:c r="AN74" s="595" t="inlineStr">
        <x:is>
          <x:t xml:space="preserve">EVALUATED</x:t>
        </x:is>
      </x:c>
      <x:c r="AO74" s="600" t="inlineStr">
        <x:is>
          <x:t xml:space="preserve">BUCKET_0.50、SIDE_IDENTITY_VALID、FLAT_LINE_GIVING_WATER_DROP</x:t>
        </x:is>
      </x:c>
      <x:c r="AP74" s="600" t="inlineStr">
        <x:is>
          <x:t xml:space="preserve">0ecffe68959376b4e965</x:t>
        </x:is>
      </x:c>
      <x:c r="AQ74" s="600" t="n">
        <x:v>0.5</x:v>
      </x:c>
      <x:c r="AR74" s="600" t="n">
        <x:v>1.03</x:v>
      </x:c>
      <x:c r="AS74" s="600" t="n">
        <x:v>-0.5</x:v>
      </x:c>
      <x:c r="AT74" s="600" t="n">
        <x:v>0.5</x:v>
      </x:c>
      <x:c r="AU74" s="600" t="n">
        <x:v>0.83</x:v>
      </x:c>
      <x:c r="AV74" s="600" t="n">
        <x:v>1.03</x:v>
      </x:c>
      <x:c r="AW74" s="595" t="n">
        <x:v>46280.42367292824</x:v>
      </x:c>
      <x:c r="AX74" s="595" t="inlineStr">
        <x:is>
          <x:t xml:space="preserve">https://simondongxiao.github.io/odds/v4/</x:t>
        </x:is>
      </x:c>
      <x:c r="AY74" s="595" t="inlineStr">
        <x:is>
          <x:t xml:space="preserve">V4 Shadow Only；real_money=false；P(EV&gt;0)不是比赛胜率</x:t>
        </x:is>
      </x:c>
    </x:row>
    <x:row r="75" ht="22" customHeight="1">
      <x:c r="A75" s="595" t="inlineStr">
        <x:is>
          <x:t xml:space="preserve">2026-09-15</x:t>
        </x:is>
      </x:c>
      <x:c r="B75" s="595" t="inlineStr">
        <x:is>
          <x:t xml:space="preserve">2026-09-16 02:45</x:t>
        </x:is>
      </x:c>
      <x:c r="C75" s="595" t="str">
        <x:v>五大联赛非顶级联赛</x:v>
      </x:c>
      <x:c r="D75" s="595" t="inlineStr">
        <x:is>
          <x:t xml:space="preserve">联赛</x:t>
        </x:is>
      </x:c>
      <x:c r="E75" s="595" t="inlineStr">
        <x:is>
          <x:t xml:space="preserve">英冠</x:t>
        </x:is>
      </x:c>
      <x:c r="F75" s="595" t="inlineStr">
        <x:is>
          <x:t xml:space="preserve">米德尔斯堡 vs 米尔沃尔</x:t>
        </x:is>
      </x:c>
      <x:c r="G75" s="596" t="n">
        <x:v>1.01</x:v>
      </x:c>
      <x:c r="H75" s="596" t="n">
        <x:v>1.25</x:v>
      </x:c>
      <x:c r="I75" s="596" t="n">
        <x:v>0.85</x:v>
      </x:c>
      <x:c r="J75" s="596" t="inlineStr">
        <x:is>
          <x:t xml:space="preserve">1.01/1.25/0.85</x:t>
        </x:is>
      </x:c>
      <x:c r="K75" s="595" t="inlineStr">
        <x:is>
          <x:t xml:space="preserve">V4-C｜EV +0.0138</x:t>
        </x:is>
      </x:c>
      <x:c r="L75" s="595" t="inlineStr">
        <x:is>
          <x:t xml:space="preserve">米德尔斯堡</x:t>
        </x:is>
      </x:c>
      <x:c r="M75" s="597" t="n">
        <x:v>0.5054945054945055</x:v>
      </x:c>
      <x:c r="N75" s="595" t="inlineStr">
        <x:is>
          <x:t xml:space="preserve">V4纸面入选-C</x:t>
        </x:is>
      </x:c>
      <x:c r="O75" s="595" t="inlineStr">
        <x:is>
          <x:t xml:space="preserve">2-2</x:t>
        </x:is>
      </x:c>
      <x:c r="P75" s="595" t="inlineStr">
        <x:is>
          <x:t xml:space="preserve">已结算</x:t>
        </x:is>
      </x:c>
      <x:c r="Q75" s="641" t="inlineStr">
        <x:is>
          <x:t xml:space="preserve">黑</x:t>
        </x:is>
      </x:c>
      <x:c r="R75" s="599" t="n">
        <x:v>1.01</x:v>
      </x:c>
      <x:c r="S75" s="599" t="n">
        <x:f>IF(OR(Q75="",Q75="待结算"),"",IF(Q75="红",R75,IF(Q75="半红",R75*0.5,IF(Q75="走",0,IF(Q75="半黑",-0.5,-1)))))</x:f>
        <x:v>-1</x:v>
      </x:c>
      <x:c r="T75" s="595" t="inlineStr">
        <x:is>
          <x:t xml:space="preserve">https://www.footballwebpages.co.uk/20260915</x:t>
        </x:is>
      </x:c>
      <x:c r="U75" s="640" t="str">
        <x:f>IF(Q75="","",IF(Q75="待结算","待结算",IF(Q75="红","黑",IF(Q75="半红","半黑",IF(Q75="走","走",IF(Q75="半黑","半红","红"))))))</x:f>
        <x:v>红</x:v>
      </x:c>
      <x:c r="V75" s="599" t="n">
        <x:f>IF(OR(Q75="",Q75="待结算"),"",IF(L75=LEFT(F75,FIND(" vs ",F75)-1),I75,G75))</x:f>
        <x:v>0.85</x:v>
      </x:c>
      <x:c r="W75" s="599" t="n">
        <x:f>IF(OR(U75="",U75="待结算"),"",IF(U75="红",V75,IF(U75="半红",V75*0.5,IF(U75="走",0,IF(U75="半黑",-0.5,-1)))))</x:f>
        <x:v>0.85</x:v>
      </x:c>
      <x:c r="X75" s="595" t="inlineStr">
        <x:is>
          <x:t xml:space="preserve">3008215</x:t>
        </x:is>
      </x:c>
      <x:c r="Y75" s="595" t="inlineStr">
        <x:is>
          <x:t xml:space="preserve">v4-market-dirichlet-20260913</x:t>
        </x:is>
      </x:c>
      <x:c r="Z75" s="595" t="inlineStr">
        <x:is>
          <x:t xml:space="preserve">prior-2026-09-15-v1</x:t>
        </x:is>
      </x:c>
      <x:c r="AA75" s="595" t="inlineStr">
        <x:is>
          <x:t xml:space="preserve">C</x:t>
        </x:is>
      </x:c>
      <x:c r="AB75" s="600" t="n">
        <x:v>0.4339622641509434</x:v>
      </x:c>
      <x:c r="AC75" s="600" t="n">
        <x:v>0</x:v>
      </x:c>
      <x:c r="AD75" s="600" t="n">
        <x:v>0</x:v>
      </x:c>
      <x:c r="AE75" s="600" t="n">
        <x:v>0.2830188679245283</x:v>
      </x:c>
      <x:c r="AF75" s="600" t="n">
        <x:v>0.2830188679245283</x:v>
      </x:c>
      <x:c r="AG75" s="600" t="n">
        <x:v>0.01377358490566044</x:v>
      </x:c>
      <x:c r="AH75" s="600" t="n">
        <x:v>-0.1816929360751087</x:v>
      </x:c>
      <x:c r="AI75" s="600" t="n">
        <x:v>-0.1364917200672246</x:v>
      </x:c>
      <x:c r="AJ75" s="600" t="n">
        <x:v>0.01005355993005397</x:v>
      </x:c>
      <x:c r="AK75" s="600" t="n">
        <x:v>0.1697210597957044</x:v>
      </x:c>
      <x:c r="AL75" s="600" t="n">
        <x:v>0.2163336759878091</x:v>
      </x:c>
      <x:c r="AM75" s="600" t="n">
        <x:v>0.5376</x:v>
      </x:c>
      <x:c r="AN75" s="595" t="inlineStr">
        <x:is>
          <x:t xml:space="preserve">EVALUATED</x:t>
        </x:is>
      </x:c>
      <x:c r="AO75" s="600" t="inlineStr">
        <x:is>
          <x:t xml:space="preserve">BUCKET_1.25、SIDE_IDENTITY_VALID、MARKET_MOVE_LINE_STRENGTH_WITH_GIVING_RESISTANCE</x:t>
        </x:is>
      </x:c>
      <x:c r="AP75" s="600" t="inlineStr">
        <x:is>
          <x:t xml:space="preserve">69e243d01e6f4d8b0676</x:t>
        </x:is>
      </x:c>
      <x:c r="AQ75" s="600" t="n">
        <x:v>-1.25</x:v>
      </x:c>
      <x:c r="AR75" s="600" t="n">
        <x:v>1.01</x:v>
      </x:c>
      <x:c r="AS75" s="600" t="n">
        <x:v>-1.25</x:v>
      </x:c>
      <x:c r="AT75" s="600" t="n">
        <x:v>1.25</x:v>
      </x:c>
      <x:c r="AU75" s="600" t="n">
        <x:v>1.01</x:v>
      </x:c>
      <x:c r="AV75" s="600" t="n">
        <x:v>0.85</x:v>
      </x:c>
      <x:c r="AW75" s="595" t="n">
        <x:v>46280.42367292824</x:v>
      </x:c>
      <x:c r="AX75" s="595" t="inlineStr">
        <x:is>
          <x:t xml:space="preserve">https://simondongxiao.github.io/odds/v4/</x:t>
        </x:is>
      </x:c>
      <x:c r="AY75" s="595" t="inlineStr">
        <x:is>
          <x:t xml:space="preserve">V4 Shadow Only；real_money=false；P(EV&gt;0)不是比赛胜率</x:t>
        </x:is>
      </x:c>
    </x:row>
    <x:row r="76" ht="22" customHeight="1">
      <x:c r="A76" s="595" t="inlineStr">
        <x:is>
          <x:t xml:space="preserve">2026-09-15</x:t>
        </x:is>
      </x:c>
      <x:c r="B76" s="595" t="inlineStr">
        <x:is>
          <x:t xml:space="preserve">2026-09-16 02:45</x:t>
        </x:is>
      </x:c>
      <x:c r="C76" s="595" t="str">
        <x:v>欧洲非五大系列</x:v>
      </x:c>
      <x:c r="D76" s="595" t="inlineStr">
        <x:is>
          <x:t xml:space="preserve">联赛</x:t>
        </x:is>
      </x:c>
      <x:c r="E76" s="595" t="inlineStr">
        <x:is>
          <x:t xml:space="preserve">苏超</x:t>
        </x:is>
      </x:c>
      <x:c r="F76" s="595" t="inlineStr">
        <x:is>
          <x:t xml:space="preserve">马瑟韦尔 vs 阿伯丁</x:t>
        </x:is>
      </x:c>
      <x:c r="G76" s="596" t="n">
        <x:v>0.85</x:v>
      </x:c>
      <x:c r="H76" s="596" t="n">
        <x:v>0.5</x:v>
      </x:c>
      <x:c r="I76" s="596" t="n">
        <x:v>1.03</x:v>
      </x:c>
      <x:c r="J76" s="596" t="inlineStr">
        <x:is>
          <x:t xml:space="preserve">0.85/0.5/1.03</x:t>
        </x:is>
      </x:c>
      <x:c r="K76" s="595" t="inlineStr">
        <x:is>
          <x:t xml:space="preserve">V4-C｜EV +0.0208</x:t>
        </x:is>
      </x:c>
      <x:c r="L76" s="595" t="inlineStr">
        <x:is>
          <x:t xml:space="preserve">阿伯丁</x:t>
        </x:is>
      </x:c>
      <x:c r="M76" s="597" t="n">
        <x:v>0.5028571428571429</x:v>
      </x:c>
      <x:c r="N76" s="595" t="inlineStr">
        <x:is>
          <x:t xml:space="preserve">V4纸面入选-C</x:t>
        </x:is>
      </x:c>
      <x:c r="O76" s="595" t="inlineStr">
        <x:is>
          <x:t xml:space="preserve">0-4</x:t>
        </x:is>
      </x:c>
      <x:c r="P76" s="595" t="inlineStr">
        <x:is>
          <x:t xml:space="preserve">已结算</x:t>
        </x:is>
      </x:c>
      <x:c r="Q76" s="640" t="inlineStr">
        <x:is>
          <x:t xml:space="preserve">红</x:t>
        </x:is>
      </x:c>
      <x:c r="R76" s="599" t="n">
        <x:v>1.03</x:v>
      </x:c>
      <x:c r="S76" s="599" t="n">
        <x:f>IF(OR(Q76="",Q76="待结算"),"",IF(Q76="红",R76,IF(Q76="半红",R76*0.5,IF(Q76="走",0,IF(Q76="半黑",-0.5,-1)))))</x:f>
        <x:v>1.03</x:v>
      </x:c>
      <x:c r="T76" s="595" t="inlineStr">
        <x:is>
          <x:t xml:space="preserve">https://www.footballwebpages.co.uk/20260915</x:t>
        </x:is>
      </x:c>
      <x:c r="U76" s="641" t="str">
        <x:f>IF(Q76="","",IF(Q76="待结算","待结算",IF(Q76="红","黑",IF(Q76="半红","半黑",IF(Q76="走","走",IF(Q76="半黑","半红","红"))))))</x:f>
        <x:v>黑</x:v>
      </x:c>
      <x:c r="V76" s="599" t="n">
        <x:f>IF(OR(Q76="",Q76="待结算"),"",IF(L76=LEFT(F76,FIND(" vs ",F76)-1),I76,G76))</x:f>
        <x:v>0.85</x:v>
      </x:c>
      <x:c r="W76" s="599" t="n">
        <x:f>IF(OR(U76="",U76="待结算"),"",IF(U76="红",V76,IF(U76="半红",V76*0.5,IF(U76="走",0,IF(U76="半黑",-0.5,-1)))))</x:f>
        <x:v>-1</x:v>
      </x:c>
      <x:c r="X76" s="595" t="inlineStr">
        <x:is>
          <x:t xml:space="preserve">3002049</x:t>
        </x:is>
      </x:c>
      <x:c r="Y76" s="595" t="inlineStr">
        <x:is>
          <x:t xml:space="preserve">v4-market-dirichlet-20260913</x:t>
        </x:is>
      </x:c>
      <x:c r="Z76" s="595" t="inlineStr">
        <x:is>
          <x:t xml:space="preserve">prior-2026-09-15-v1</x:t>
        </x:is>
      </x:c>
      <x:c r="AA76" s="595" t="inlineStr">
        <x:is>
          <x:t xml:space="preserve">C</x:t>
        </x:is>
      </x:c>
      <x:c r="AB76" s="600" t="n">
        <x:v>0.5028571428571429</x:v>
      </x:c>
      <x:c r="AC76" s="600" t="n">
        <x:v>0</x:v>
      </x:c>
      <x:c r="AD76" s="600" t="n">
        <x:v>0</x:v>
      </x:c>
      <x:c r="AE76" s="600" t="n">
        <x:v>0</x:v>
      </x:c>
      <x:c r="AF76" s="600" t="n">
        <x:v>0.4971428571428572</x:v>
      </x:c>
      <x:c r="AG76" s="600" t="n">
        <x:v>0.02079999999999999</x:v>
      </x:c>
      <x:c r="AH76" s="600" t="n">
        <x:v>-0.1052041677998629</x:v>
      </x:c>
      <x:c r="AI76" s="600" t="n">
        <x:v>-0.07804112569836441</x:v>
      </x:c>
      <x:c r="AJ76" s="600" t="n">
        <x:v>0.02317461824187556</x:v>
      </x:c>
      <x:c r="AK76" s="600" t="n">
        <x:v>0.1200125852817512</x:v>
      </x:c>
      <x:c r="AL76" s="600" t="n">
        <x:v>0.1447733344264504</x:v>
      </x:c>
      <x:c r="AM76" s="600" t="n">
        <x:v>0.6098</x:v>
      </x:c>
      <x:c r="AN76" s="595" t="inlineStr">
        <x:is>
          <x:t xml:space="preserve">EVALUATED</x:t>
        </x:is>
      </x:c>
      <x:c r="AO76" s="600" t="inlineStr">
        <x:is>
          <x:t xml:space="preserve">BUCKET_0.50、SIDE_IDENTITY_VALID、FLAT_LINE_GIVING_WATER_RISE</x:t>
        </x:is>
      </x:c>
      <x:c r="AP76" s="600" t="inlineStr">
        <x:is>
          <x:t xml:space="preserve">37c53b4f990b44b7076b</x:t>
        </x:is>
      </x:c>
      <x:c r="AQ76" s="600" t="n">
        <x:v>0.5</x:v>
      </x:c>
      <x:c r="AR76" s="600" t="n">
        <x:v>1.03</x:v>
      </x:c>
      <x:c r="AS76" s="600" t="n">
        <x:v>-0.5</x:v>
      </x:c>
      <x:c r="AT76" s="600" t="n">
        <x:v>0.5</x:v>
      </x:c>
      <x:c r="AU76" s="600" t="n">
        <x:v>0.85</x:v>
      </x:c>
      <x:c r="AV76" s="600" t="n">
        <x:v>1.03</x:v>
      </x:c>
      <x:c r="AW76" s="595" t="n">
        <x:v>46280.42367292824</x:v>
      </x:c>
      <x:c r="AX76" s="595" t="inlineStr">
        <x:is>
          <x:t xml:space="preserve">https://simondongxiao.github.io/odds/v4/</x:t>
        </x:is>
      </x:c>
      <x:c r="AY76" s="595" t="inlineStr">
        <x:is>
          <x:t xml:space="preserve">V4 Shadow Only；real_money=false；P(EV&gt;0)不是比赛胜率</x:t>
        </x:is>
      </x:c>
    </x:row>
    <x:row r="77" ht="22" customHeight="1">
      <x:c r="A77" s="595" t="inlineStr">
        <x:is>
          <x:t xml:space="preserve">2026-09-15</x:t>
        </x:is>
      </x:c>
      <x:c r="B77" s="595" t="inlineStr">
        <x:is>
          <x:t xml:space="preserve">2026-09-16 02:45</x:t>
        </x:is>
      </x:c>
      <x:c r="C77" s="595" t="str">
        <x:v>欧洲非五大系列</x:v>
      </x:c>
      <x:c r="D77" s="595" t="inlineStr">
        <x:is>
          <x:t xml:space="preserve">联赛</x:t>
        </x:is>
      </x:c>
      <x:c r="E77" s="595" t="inlineStr">
        <x:is>
          <x:t xml:space="preserve">威超</x:t>
        </x:is>
      </x:c>
      <x:c r="F77" s="595" t="inlineStr">
        <x:is>
          <x:t xml:space="preserve">新圣徒 vs 弗林特镇</x:t>
        </x:is>
      </x:c>
      <x:c r="G77" s="596" t="n">
        <x:v>0.87</x:v>
      </x:c>
      <x:c r="H77" s="596" t="n">
        <x:v>2.5</x:v>
      </x:c>
      <x:c r="I77" s="596" t="n">
        <x:v>0.97</x:v>
      </x:c>
      <x:c r="J77" s="596" t="inlineStr">
        <x:is>
          <x:t xml:space="preserve">0.87/2.5/0.97</x:t>
        </x:is>
      </x:c>
      <x:c r="K77" s="595" t="inlineStr">
        <x:is>
          <x:t xml:space="preserve">V4-A｜EV +0.6118</x:t>
        </x:is>
      </x:c>
      <x:c r="L77" s="595" t="inlineStr">
        <x:is>
          <x:t xml:space="preserve">弗林特镇</x:t>
        </x:is>
      </x:c>
      <x:c r="M77" s="597" t="n">
        <x:v>0.8181818181818182</x:v>
      </x:c>
      <x:c r="N77" s="595" t="inlineStr">
        <x:is>
          <x:t xml:space="preserve">V4纸面入选-A</x:t>
        </x:is>
      </x:c>
      <x:c r="O77" s="595" t="inlineStr">
        <x:is>
          <x:t xml:space="preserve">5-0</x:t>
        </x:is>
      </x:c>
      <x:c r="P77" s="595" t="inlineStr">
        <x:is>
          <x:t xml:space="preserve">已结算</x:t>
        </x:is>
      </x:c>
      <x:c r="Q77" s="641" t="inlineStr">
        <x:is>
          <x:t xml:space="preserve">黑</x:t>
        </x:is>
      </x:c>
      <x:c r="R77" s="599" t="n">
        <x:v>0.97</x:v>
      </x:c>
      <x:c r="S77" s="599" t="n">
        <x:f>IF(OR(Q77="",Q77="待结算"),"",IF(Q77="红",R77,IF(Q77="半红",R77*0.5,IF(Q77="走",0,IF(Q77="半黑",-0.5,-1)))))</x:f>
        <x:v>-1</x:v>
      </x:c>
      <x:c r="T77" s="595" t="inlineStr">
        <x:is>
          <x:t xml:space="preserve">https://www.footballwebpages.co.uk/20260915</x:t>
        </x:is>
      </x:c>
      <x:c r="U77" s="640" t="str">
        <x:f>IF(Q77="","",IF(Q77="待结算","待结算",IF(Q77="红","黑",IF(Q77="半红","半黑",IF(Q77="走","走",IF(Q77="半黑","半红","红"))))))</x:f>
        <x:v>红</x:v>
      </x:c>
      <x:c r="V77" s="599" t="n">
        <x:f>IF(OR(Q77="",Q77="待结算"),"",IF(L77=LEFT(F77,FIND(" vs ",F77)-1),I77,G77))</x:f>
        <x:v>0.87</x:v>
      </x:c>
      <x:c r="W77" s="599" t="n">
        <x:f>IF(OR(U77="",U77="待结算"),"",IF(U77="红",V77,IF(U77="半红",V77*0.5,IF(U77="走",0,IF(U77="半黑",-0.5,-1)))))</x:f>
        <x:v>0.87</x:v>
      </x:c>
      <x:c r="X77" s="595" t="inlineStr">
        <x:is>
          <x:t xml:space="preserve">3019526</x:t>
        </x:is>
      </x:c>
      <x:c r="Y77" s="595" t="inlineStr">
        <x:is>
          <x:t xml:space="preserve">v4-market-dirichlet-20260913</x:t>
        </x:is>
      </x:c>
      <x:c r="Z77" s="595" t="inlineStr">
        <x:is>
          <x:t xml:space="preserve">prior-2026-09-15-v1</x:t>
        </x:is>
      </x:c>
      <x:c r="AA77" s="595" t="inlineStr">
        <x:is>
          <x:t xml:space="preserve">A</x:t>
        </x:is>
      </x:c>
      <x:c r="AB77" s="600" t="n">
        <x:v>0.8181818181818182</x:v>
      </x:c>
      <x:c r="AC77" s="600" t="n">
        <x:v>0</x:v>
      </x:c>
      <x:c r="AD77" s="600" t="n">
        <x:v>0</x:v>
      </x:c>
      <x:c r="AE77" s="600" t="n">
        <x:v>0</x:v>
      </x:c>
      <x:c r="AF77" s="600" t="n">
        <x:v>0.1818181818181818</x:v>
      </x:c>
      <x:c r="AG77" s="600" t="n">
        <x:v>0.6118181818181818</x:v>
      </x:c>
      <x:c r="AH77" s="600" t="n">
        <x:v>0.1986291443044035</x:v>
      </x:c>
      <x:c r="AI77" s="600" t="n">
        <x:v>0.3073848190685115</x:v>
      </x:c>
      <x:c r="AJ77" s="600" t="n">
        <x:v>0.6546343830486319</x:v>
      </x:c>
      <x:c r="AK77" s="600" t="n">
        <x:v>0.8623735817511023</x:v>
      </x:c>
      <x:c r="AL77" s="600" t="n">
        <x:v>0.8978690334753262</x:v>
      </x:c>
      <x:c r="AM77" s="600" t="n">
        <x:v>0.9882</x:v>
      </x:c>
      <x:c r="AN77" s="595" t="inlineStr">
        <x:is>
          <x:t xml:space="preserve">EVALUATED</x:t>
        </x:is>
      </x:c>
      <x:c r="AO77" s="600" t="inlineStr">
        <x:is>
          <x:t xml:space="preserve">BUCKET_2.50、SIDE_IDENTITY_VALID、FLAT_LINE_GIVING_WATER_DROP</x:t>
        </x:is>
      </x:c>
      <x:c r="AP77" s="600" t="inlineStr">
        <x:is>
          <x:t xml:space="preserve">f18324e1e3b6a025f0cb</x:t>
        </x:is>
      </x:c>
      <x:c r="AQ77" s="600" t="n">
        <x:v>2.5</x:v>
      </x:c>
      <x:c r="AR77" s="600" t="n">
        <x:v>0.97</x:v>
      </x:c>
      <x:c r="AS77" s="600" t="n">
        <x:v>-2.5</x:v>
      </x:c>
      <x:c r="AT77" s="600" t="n">
        <x:v>2.5</x:v>
      </x:c>
      <x:c r="AU77" s="600" t="n">
        <x:v>0.87</x:v>
      </x:c>
      <x:c r="AV77" s="600" t="n">
        <x:v>0.97</x:v>
      </x:c>
      <x:c r="AW77" s="595" t="n">
        <x:v>46280.42367292824</x:v>
      </x:c>
      <x:c r="AX77" s="595" t="inlineStr">
        <x:is>
          <x:t xml:space="preserve">https://simondongxiao.github.io/odds/v4/</x:t>
        </x:is>
      </x:c>
      <x:c r="AY77" s="595" t="inlineStr">
        <x:is>
          <x:t xml:space="preserve">V4 Shadow Only；real_money=false；P(EV&gt;0)不是比赛胜率</x:t>
        </x:is>
      </x:c>
    </x:row>
    <x:row r="78" ht="22" customHeight="1">
      <x:c r="A78" s="595" t="inlineStr">
        <x:is>
          <x:t xml:space="preserve">2026-09-15</x:t>
        </x:is>
      </x:c>
      <x:c r="B78" s="595" t="inlineStr">
        <x:is>
          <x:t xml:space="preserve">2026-09-16 02:45</x:t>
        </x:is>
      </x:c>
      <x:c r="C78" s="595" t="str">
        <x:v>欧洲非五大系列</x:v>
      </x:c>
      <x:c r="D78" s="595" t="inlineStr">
        <x:is>
          <x:t xml:space="preserve">联赛</x:t>
        </x:is>
      </x:c>
      <x:c r="E78" s="595" t="inlineStr">
        <x:is>
          <x:t xml:space="preserve">威超</x:t>
        </x:is>
      </x:c>
      <x:c r="F78" s="595" t="inlineStr">
        <x:is>
          <x:t xml:space="preserve">特芬琳 vs 卡姆比利安</x:t>
        </x:is>
      </x:c>
      <x:c r="G78" s="596" t="n">
        <x:v>1.01</x:v>
      </x:c>
      <x:c r="H78" s="596" t="n">
        <x:v>-0.5</x:v>
      </x:c>
      <x:c r="I78" s="596" t="n">
        <x:v>0.83</x:v>
      </x:c>
      <x:c r="J78" s="596" t="inlineStr">
        <x:is>
          <x:t xml:space="preserve">1.01/-0.5/0.83</x:t>
        </x:is>
      </x:c>
      <x:c r="K78" s="595" t="inlineStr">
        <x:is>
          <x:t xml:space="preserve">V4-C｜EV +0.0107</x:t>
        </x:is>
      </x:c>
      <x:c r="L78" s="595" t="inlineStr">
        <x:is>
          <x:t xml:space="preserve">特芬琳</x:t>
        </x:is>
      </x:c>
      <x:c r="M78" s="597" t="n">
        <x:v>0.5028571428571429</x:v>
      </x:c>
      <x:c r="N78" s="595" t="inlineStr">
        <x:is>
          <x:t xml:space="preserve">V4纸面入选-C</x:t>
        </x:is>
      </x:c>
      <x:c r="O78" s="595" t="inlineStr">
        <x:is>
          <x:t xml:space="preserve">0-4</x:t>
        </x:is>
      </x:c>
      <x:c r="P78" s="595" t="inlineStr">
        <x:is>
          <x:t xml:space="preserve">已结算</x:t>
        </x:is>
      </x:c>
      <x:c r="Q78" s="641" t="inlineStr">
        <x:is>
          <x:t xml:space="preserve">黑</x:t>
        </x:is>
      </x:c>
      <x:c r="R78" s="599" t="n">
        <x:v>1.01</x:v>
      </x:c>
      <x:c r="S78" s="599" t="n">
        <x:f>IF(OR(Q78="",Q78="待结算"),"",IF(Q78="红",R78,IF(Q78="半红",R78*0.5,IF(Q78="走",0,IF(Q78="半黑",-0.5,-1)))))</x:f>
        <x:v>-1</x:v>
      </x:c>
      <x:c r="T78" s="595" t="inlineStr">
        <x:is>
          <x:t xml:space="preserve">https://www.footballwebpages.co.uk/20260915</x:t>
        </x:is>
      </x:c>
      <x:c r="U78" s="640" t="str">
        <x:f>IF(Q78="","",IF(Q78="待结算","待结算",IF(Q78="红","黑",IF(Q78="半红","半黑",IF(Q78="走","走",IF(Q78="半黑","半红","红"))))))</x:f>
        <x:v>红</x:v>
      </x:c>
      <x:c r="V78" s="599" t="n">
        <x:f>IF(OR(Q78="",Q78="待结算"),"",IF(L78=LEFT(F78,FIND(" vs ",F78)-1),I78,G78))</x:f>
        <x:v>0.83</x:v>
      </x:c>
      <x:c r="W78" s="599" t="n">
        <x:f>IF(OR(U78="",U78="待结算"),"",IF(U78="红",V78,IF(U78="半红",V78*0.5,IF(U78="走",0,IF(U78="半黑",-0.5,-1)))))</x:f>
        <x:v>0.83</x:v>
      </x:c>
      <x:c r="X78" s="595" t="inlineStr">
        <x:is>
          <x:t xml:space="preserve">3019527</x:t>
        </x:is>
      </x:c>
      <x:c r="Y78" s="595" t="inlineStr">
        <x:is>
          <x:t xml:space="preserve">v4-market-dirichlet-20260913</x:t>
        </x:is>
      </x:c>
      <x:c r="Z78" s="595" t="inlineStr">
        <x:is>
          <x:t xml:space="preserve">prior-2026-09-15-v1</x:t>
        </x:is>
      </x:c>
      <x:c r="AA78" s="595" t="inlineStr">
        <x:is>
          <x:t xml:space="preserve">C</x:t>
        </x:is>
      </x:c>
      <x:c r="AB78" s="600" t="n">
        <x:v>0.5028571428571429</x:v>
      </x:c>
      <x:c r="AC78" s="600" t="n">
        <x:v>0</x:v>
      </x:c>
      <x:c r="AD78" s="600" t="n">
        <x:v>0</x:v>
      </x:c>
      <x:c r="AE78" s="600" t="n">
        <x:v>0</x:v>
      </x:c>
      <x:c r="AF78" s="600" t="n">
        <x:v>0.4971428571428572</x:v>
      </x:c>
      <x:c r="AG78" s="600" t="n">
        <x:v>0.01074285714285711</x:v>
      </x:c>
      <x:c r="AH78" s="600" t="n">
        <x:v>-0.1120509884603658</x:v>
      </x:c>
      <x:c r="AI78" s="600" t="n">
        <x:v>-0.08466394103537739</x:v>
      </x:c>
      <x:c r="AJ78" s="600" t="n">
        <x:v>0.01164742451953926</x:v>
      </x:c>
      <x:c r="AK78" s="600" t="n">
        <x:v>0.1088052616299337</x:v>
      </x:c>
      <x:c r="AL78" s="600" t="n">
        <x:v>0.1369142149630618</x:v>
      </x:c>
      <x:c r="AM78" s="600" t="n">
        <x:v>0.5658</x:v>
      </x:c>
      <x:c r="AN78" s="595" t="inlineStr">
        <x:is>
          <x:t xml:space="preserve">EVALUATED</x:t>
        </x:is>
      </x:c>
      <x:c r="AO78" s="600" t="inlineStr">
        <x:is>
          <x:t xml:space="preserve">BUCKET_0.50、SIDE_IDENTITY_VALID、FLAT_LINE_GIVING_WATER_RISE</x:t>
        </x:is>
      </x:c>
      <x:c r="AP78" s="600" t="inlineStr">
        <x:is>
          <x:t xml:space="preserve">3bb401c991dd7622ad3e</x:t>
        </x:is>
      </x:c>
      <x:c r="AQ78" s="600" t="n">
        <x:v>0.5</x:v>
      </x:c>
      <x:c r="AR78" s="600" t="n">
        <x:v>1.01</x:v>
      </x:c>
      <x:c r="AS78" s="600" t="n">
        <x:v>0.5</x:v>
      </x:c>
      <x:c r="AT78" s="600" t="n">
        <x:v>-0.5</x:v>
      </x:c>
      <x:c r="AU78" s="600" t="n">
        <x:v>1.01</x:v>
      </x:c>
      <x:c r="AV78" s="600" t="n">
        <x:v>0.83</x:v>
      </x:c>
      <x:c r="AW78" s="595" t="n">
        <x:v>46280.42367292824</x:v>
      </x:c>
      <x:c r="AX78" s="595" t="inlineStr">
        <x:is>
          <x:t xml:space="preserve">https://simondongxiao.github.io/odds/v4/</x:t>
        </x:is>
      </x:c>
      <x:c r="AY78" s="595" t="inlineStr">
        <x:is>
          <x:t xml:space="preserve">V4 Shadow Only；real_money=false；P(EV&gt;0)不是比赛胜率</x:t>
        </x:is>
      </x:c>
    </x:row>
    <x:row r="79" ht="22" customHeight="1">
      <x:c r="A79" s="595" t="inlineStr">
        <x:is>
          <x:t xml:space="preserve">2026-09-15</x:t>
        </x:is>
      </x:c>
      <x:c r="B79" s="595" t="inlineStr">
        <x:is>
          <x:t xml:space="preserve">2026-09-16 02:45</x:t>
        </x:is>
      </x:c>
      <x:c r="C79" s="595" t="str">
        <x:v>五大联赛非顶级联赛</x:v>
      </x:c>
      <x:c r="D79" s="595" t="inlineStr">
        <x:is>
          <x:t xml:space="preserve">联赛</x:t>
        </x:is>
      </x:c>
      <x:c r="E79" s="595" t="inlineStr">
        <x:is>
          <x:t xml:space="preserve">英议南</x:t>
        </x:is>
      </x:c>
      <x:c r="F79" s="595" t="inlineStr">
        <x:is>
          <x:t xml:space="preserve">特鲁罗城 vs 索尔兹伯里FC</x:t>
        </x:is>
      </x:c>
      <x:c r="G79" s="596" t="n">
        <x:v>0.7</x:v>
      </x:c>
      <x:c r="H79" s="596" t="n">
        <x:v>0.5</x:v>
      </x:c>
      <x:c r="I79" s="596" t="n">
        <x:v>1</x:v>
      </x:c>
      <x:c r="J79" s="596" t="inlineStr">
        <x:is>
          <x:t xml:space="preserve">0.70/0.5/1.00</x:t>
        </x:is>
      </x:c>
      <x:c r="K79" s="595" t="inlineStr">
        <x:is>
          <x:t xml:space="preserve">V4-C｜EV +0.0057</x:t>
        </x:is>
      </x:c>
      <x:c r="L79" s="595" t="inlineStr">
        <x:is>
          <x:t xml:space="preserve">索尔兹伯里FC</x:t>
        </x:is>
      </x:c>
      <x:c r="M79" s="597" t="n">
        <x:v>0.5028571428571429</x:v>
      </x:c>
      <x:c r="N79" s="595" t="inlineStr">
        <x:is>
          <x:t xml:space="preserve">V4纸面入选-C</x:t>
        </x:is>
      </x:c>
      <x:c r="O79" s="595" t="inlineStr">
        <x:is>
          <x:t xml:space="preserve">0-1</x:t>
        </x:is>
      </x:c>
      <x:c r="P79" s="595" t="inlineStr">
        <x:is>
          <x:t xml:space="preserve">已结算</x:t>
        </x:is>
      </x:c>
      <x:c r="Q79" s="640" t="inlineStr">
        <x:is>
          <x:t xml:space="preserve">红</x:t>
        </x:is>
      </x:c>
      <x:c r="R79" s="599" t="n">
        <x:v>1</x:v>
      </x:c>
      <x:c r="S79" s="599" t="n">
        <x:f>IF(OR(Q79="",Q79="待结算"),"",IF(Q79="红",R79,IF(Q79="半红",R79*0.5,IF(Q79="走",0,IF(Q79="半黑",-0.5,-1)))))</x:f>
        <x:v>1</x:v>
      </x:c>
      <x:c r="T79" s="595" t="inlineStr">
        <x:is>
          <x:t xml:space="preserve">https://www.footballwebpages.co.uk/20260915</x:t>
        </x:is>
      </x:c>
      <x:c r="U79" s="641" t="str">
        <x:f>IF(Q79="","",IF(Q79="待结算","待结算",IF(Q79="红","黑",IF(Q79="半红","半黑",IF(Q79="走","走",IF(Q79="半黑","半红","红"))))))</x:f>
        <x:v>黑</x:v>
      </x:c>
      <x:c r="V79" s="599" t="n">
        <x:f>IF(OR(Q79="",Q79="待结算"),"",IF(L79=LEFT(F79,FIND(" vs ",F79)-1),I79,G79))</x:f>
        <x:v>0.7</x:v>
      </x:c>
      <x:c r="W79" s="599" t="n">
        <x:f>IF(OR(U79="",U79="待结算"),"",IF(U79="红",V79,IF(U79="半红",V79*0.5,IF(U79="走",0,IF(U79="半黑",-0.5,-1)))))</x:f>
        <x:v>-1</x:v>
      </x:c>
      <x:c r="X79" s="595" t="inlineStr">
        <x:is>
          <x:t xml:space="preserve">3028880</x:t>
        </x:is>
      </x:c>
      <x:c r="Y79" s="595" t="inlineStr">
        <x:is>
          <x:t xml:space="preserve">v4-market-dirichlet-20260913</x:t>
        </x:is>
      </x:c>
      <x:c r="Z79" s="595" t="inlineStr">
        <x:is>
          <x:t xml:space="preserve">prior-2026-09-15-v1</x:t>
        </x:is>
      </x:c>
      <x:c r="AA79" s="595" t="inlineStr">
        <x:is>
          <x:t xml:space="preserve">C</x:t>
        </x:is>
      </x:c>
      <x:c r="AB79" s="600" t="n">
        <x:v>0.5028571428571429</x:v>
      </x:c>
      <x:c r="AC79" s="600" t="n">
        <x:v>0</x:v>
      </x:c>
      <x:c r="AD79" s="600" t="n">
        <x:v>0</x:v>
      </x:c>
      <x:c r="AE79" s="600" t="n">
        <x:v>0</x:v>
      </x:c>
      <x:c r="AF79" s="600" t="n">
        <x:v>0.4971428571428572</x:v>
      </x:c>
      <x:c r="AG79" s="600" t="n">
        <x:v>0.005714285714285727</x:v>
      </x:c>
      <x:c r="AH79" s="600" t="n">
        <x:v>-0.123065264239003</x:v>
      </x:c>
      <x:c r="AI79" s="600" t="n">
        <x:v>-0.09242183697298295</x:v>
      </x:c>
      <x:c r="AJ79" s="600" t="n">
        <x:v>0.005174725371931588</x:v>
      </x:c>
      <x:c r="AK79" s="600" t="n">
        <x:v>0.1022434055008108</x:v>
      </x:c>
      <x:c r="AL79" s="600" t="n">
        <x:v>0.1314743802309744</x:v>
      </x:c>
      <x:c r="AM79" s="600" t="n">
        <x:v>0.5272</x:v>
      </x:c>
      <x:c r="AN79" s="595" t="inlineStr">
        <x:is>
          <x:t xml:space="preserve">EVALUATED</x:t>
        </x:is>
      </x:c>
      <x:c r="AO79" s="600" t="inlineStr">
        <x:is>
          <x:t xml:space="preserve">BUCKET_0.50、SIDE_IDENTITY_VALID、FLAT_LINE_GIVING_WATER_DROP</x:t>
        </x:is>
      </x:c>
      <x:c r="AP79" s="600" t="inlineStr">
        <x:is>
          <x:t xml:space="preserve">50ecdd357170734d305d</x:t>
        </x:is>
      </x:c>
      <x:c r="AQ79" s="600" t="n">
        <x:v>0.5</x:v>
      </x:c>
      <x:c r="AR79" s="600" t="n">
        <x:v>1</x:v>
      </x:c>
      <x:c r="AS79" s="600" t="n">
        <x:v>-0.5</x:v>
      </x:c>
      <x:c r="AT79" s="600" t="n">
        <x:v>0.5</x:v>
      </x:c>
      <x:c r="AU79" s="600" t="n">
        <x:v>0.7</x:v>
      </x:c>
      <x:c r="AV79" s="600" t="n">
        <x:v>1</x:v>
      </x:c>
      <x:c r="AW79" s="595" t="n">
        <x:v>46280.42367292824</x:v>
      </x:c>
      <x:c r="AX79" s="595" t="inlineStr">
        <x:is>
          <x:t xml:space="preserve">https://simondongxiao.github.io/odds/v4/</x:t>
        </x:is>
      </x:c>
      <x:c r="AY79" s="595" t="inlineStr">
        <x:is>
          <x:t xml:space="preserve">V4 Shadow Only；real_money=false；P(EV&gt;0)不是比赛胜率</x:t>
        </x:is>
      </x:c>
    </x:row>
    <x:row r="80" ht="22" customHeight="1">
      <x:c r="A80" s="595" t="inlineStr">
        <x:is>
          <x:t xml:space="preserve">2026-09-15</x:t>
        </x:is>
      </x:c>
      <x:c r="B80" s="595" t="inlineStr">
        <x:is>
          <x:t xml:space="preserve">2026-09-16 03:00</x:t>
        </x:is>
      </x:c>
      <x:c r="C80" s="595" t="str">
        <x:v>五大联赛杯赛</x:v>
      </x:c>
      <x:c r="D80" s="595" t="inlineStr">
        <x:is>
          <x:t xml:space="preserve">杯赛</x:t>
        </x:is>
      </x:c>
      <x:c r="E80" s="595" t="inlineStr">
        <x:is>
          <x:t xml:space="preserve">英联杯</x:t>
        </x:is>
      </x:c>
      <x:c r="F80" s="595" t="inlineStr">
        <x:is>
          <x:t xml:space="preserve">伊普斯维奇 vs 阿森纳</x:t>
        </x:is>
      </x:c>
      <x:c r="G80" s="596" t="n">
        <x:v>1.09</x:v>
      </x:c>
      <x:c r="H80" s="596" t="n">
        <x:v>-1.5</x:v>
      </x:c>
      <x:c r="I80" s="596" t="n">
        <x:v>0.79</x:v>
      </x:c>
      <x:c r="J80" s="596" t="inlineStr">
        <x:is>
          <x:t xml:space="preserve">1.09/-1.5/0.79</x:t>
        </x:is>
      </x:c>
      <x:c r="K80" s="595" t="inlineStr">
        <x:is>
          <x:t xml:space="preserve">V4-C｜EV +0.0628</x:t>
        </x:is>
      </x:c>
      <x:c r="L80" s="595" t="inlineStr">
        <x:is>
          <x:t xml:space="preserve">阿森纳</x:t>
        </x:is>
      </x:c>
      <x:c r="M80" s="597" t="n">
        <x:v>0.59375</x:v>
      </x:c>
      <x:c r="N80" s="595" t="inlineStr">
        <x:is>
          <x:t xml:space="preserve">V4纸面入选-C</x:t>
        </x:is>
      </x:c>
      <x:c r="O80" s="595" t="inlineStr">
        <x:is>
          <x:t xml:space="preserve">2-4</x:t>
        </x:is>
      </x:c>
      <x:c r="P80" s="595" t="inlineStr">
        <x:is>
          <x:t xml:space="preserve">已结算</x:t>
        </x:is>
      </x:c>
      <x:c r="Q80" s="640" t="inlineStr">
        <x:is>
          <x:t xml:space="preserve">红</x:t>
        </x:is>
      </x:c>
      <x:c r="R80" s="599" t="n">
        <x:v>0.79</x:v>
      </x:c>
      <x:c r="S80" s="599" t="n">
        <x:f>IF(OR(Q80="",Q80="待结算"),"",IF(Q80="红",R80,IF(Q80="半红",R80*0.5,IF(Q80="走",0,IF(Q80="半黑",-0.5,-1)))))</x:f>
        <x:v>0.79</x:v>
      </x:c>
      <x:c r="T80" s="595" t="inlineStr">
        <x:is>
          <x:t xml:space="preserve">https://www.footballwebpages.co.uk/20260915</x:t>
        </x:is>
      </x:c>
      <x:c r="U80" s="641" t="str">
        <x:f>IF(Q80="","",IF(Q80="待结算","待结算",IF(Q80="红","黑",IF(Q80="半红","半黑",IF(Q80="走","走",IF(Q80="半黑","半红","红"))))))</x:f>
        <x:v>黑</x:v>
      </x:c>
      <x:c r="V80" s="599" t="n">
        <x:f>IF(OR(Q80="",Q80="待结算"),"",IF(L80=LEFT(F80,FIND(" vs ",F80)-1),I80,G80))</x:f>
        <x:v>1.09</x:v>
      </x:c>
      <x:c r="W80" s="599" t="n">
        <x:f>IF(OR(U80="",U80="待结算"),"",IF(U80="红",V80,IF(U80="半红",V80*0.5,IF(U80="走",0,IF(U80="半黑",-0.5,-1)))))</x:f>
        <x:v>-1</x:v>
      </x:c>
      <x:c r="X80" s="595" t="inlineStr">
        <x:is>
          <x:t xml:space="preserve">3072969</x:t>
        </x:is>
      </x:c>
      <x:c r="Y80" s="595" t="inlineStr">
        <x:is>
          <x:t xml:space="preserve">v4-market-dirichlet-20260913</x:t>
        </x:is>
      </x:c>
      <x:c r="Z80" s="595" t="inlineStr">
        <x:is>
          <x:t xml:space="preserve">prior-2026-09-15-v1</x:t>
        </x:is>
      </x:c>
      <x:c r="AA80" s="595" t="inlineStr">
        <x:is>
          <x:t xml:space="preserve">C</x:t>
        </x:is>
      </x:c>
      <x:c r="AB80" s="600" t="n">
        <x:v>0.59375</x:v>
      </x:c>
      <x:c r="AC80" s="600" t="n">
        <x:v>0</x:v>
      </x:c>
      <x:c r="AD80" s="600" t="n">
        <x:v>0</x:v>
      </x:c>
      <x:c r="AE80" s="600" t="n">
        <x:v>0</x:v>
      </x:c>
      <x:c r="AF80" s="600" t="n">
        <x:v>0.40625</x:v>
      </x:c>
      <x:c r="AG80" s="600" t="n">
        <x:v>0.06281250000000005</x:v>
      </x:c>
      <x:c r="AH80" s="600" t="n">
        <x:v>-0.1935614140614075</x:v>
      </x:c>
      <x:c r="AI80" s="600" t="n">
        <x:v>-0.1362651129182306</x:v>
      </x:c>
      <x:c r="AJ80" s="600" t="n">
        <x:v>0.0636165556207029</x:v>
      </x:c>
      <x:c r="AK80" s="600" t="n">
        <x:v>0.2525279578874011</x:v>
      </x:c>
      <x:c r="AL80" s="600" t="n">
        <x:v>0.3035053827234541</x:v>
      </x:c>
      <x:c r="AM80" s="600" t="n">
        <x:v>0.6586</x:v>
      </x:c>
      <x:c r="AN80" s="595" t="inlineStr">
        <x:is>
          <x:t xml:space="preserve">EVALUATED</x:t>
        </x:is>
      </x:c>
      <x:c r="AO80" s="600" t="inlineStr">
        <x:is>
          <x:t xml:space="preserve">BUCKET_1.50、SIDE_IDENTITY_VALID、MARKET_MOVE_LINE_STRENGTH_WITH_GIVING_RESISTANCE</x:t>
        </x:is>
      </x:c>
      <x:c r="AP80" s="600" t="inlineStr">
        <x:is>
          <x:t xml:space="preserve">27aec5eea39ac2bf450a</x:t>
        </x:is>
      </x:c>
      <x:c r="AQ80" s="600" t="n">
        <x:v>-1.5</x:v>
      </x:c>
      <x:c r="AR80" s="600" t="n">
        <x:v>0.79</x:v>
      </x:c>
      <x:c r="AS80" s="600" t="n">
        <x:v>1.5</x:v>
      </x:c>
      <x:c r="AT80" s="600" t="n">
        <x:v>-1.5</x:v>
      </x:c>
      <x:c r="AU80" s="600" t="n">
        <x:v>1.09</x:v>
      </x:c>
      <x:c r="AV80" s="600" t="n">
        <x:v>0.79</x:v>
      </x:c>
      <x:c r="AW80" s="595" t="n">
        <x:v>46280.42367292824</x:v>
      </x:c>
      <x:c r="AX80" s="595" t="inlineStr">
        <x:is>
          <x:t xml:space="preserve">https://simondongxiao.github.io/odds/v4/</x:t>
        </x:is>
      </x:c>
      <x:c r="AY80" s="595" t="inlineStr">
        <x:is>
          <x:t xml:space="preserve">V4 Shadow Only；real_money=false；P(EV&gt;0)不是比赛胜率</x:t>
        </x:is>
      </x:c>
    </x:row>
    <x:row r="81" ht="22" customHeight="1">
      <x:c r="A81" s="595" t="inlineStr">
        <x:is>
          <x:t xml:space="preserve">2026-09-15</x:t>
        </x:is>
      </x:c>
      <x:c r="B81" s="595" t="inlineStr">
        <x:is>
          <x:t xml:space="preserve">2026-09-16 03:00</x:t>
        </x:is>
      </x:c>
      <x:c r="C81" s="595" t="str">
        <x:v>五大联赛非顶级联赛</x:v>
      </x:c>
      <x:c r="D81" s="595" t="inlineStr">
        <x:is>
          <x:t xml:space="preserve">联赛</x:t>
        </x:is>
      </x:c>
      <x:c r="E81" s="595" t="inlineStr">
        <x:is>
          <x:t xml:space="preserve">意丙</x:t>
        </x:is>
      </x:c>
      <x:c r="F81" s="595" t="inlineStr">
        <x:is>
          <x:t xml:space="preserve">巴勒塔 vs 萨勒尼塔纳</x:t>
        </x:is>
      </x:c>
      <x:c r="G81" s="596" t="n">
        <x:v>0.63</x:v>
      </x:c>
      <x:c r="H81" s="596" t="n">
        <x:v>-0.25</x:v>
      </x:c>
      <x:c r="I81" s="596" t="n">
        <x:v>1.14</x:v>
      </x:c>
      <x:c r="J81" s="596" t="inlineStr">
        <x:is>
          <x:t xml:space="preserve">0.63/-0.25/1.14</x:t>
        </x:is>
      </x:c>
      <x:c r="K81" s="595" t="inlineStr">
        <x:is>
          <x:t xml:space="preserve">V4-B｜EV +0.0576</x:t>
        </x:is>
      </x:c>
      <x:c r="L81" s="595" t="inlineStr">
        <x:is>
          <x:t xml:space="preserve">萨勒尼塔纳</x:t>
        </x:is>
      </x:c>
      <x:c r="M81" s="597" t="n">
        <x:v>0.4989775051124744</x:v>
      </x:c>
      <x:c r="N81" s="595" t="inlineStr">
        <x:is>
          <x:t xml:space="preserve">V4纸面入选-B</x:t>
        </x:is>
      </x:c>
      <x:c r="O81" s="595" t="inlineStr">
        <x:is>
          <x:t xml:space="preserve">1-1</x:t>
        </x:is>
      </x:c>
      <x:c r="P81" s="595" t="inlineStr">
        <x:is>
          <x:t xml:space="preserve">已结算</x:t>
        </x:is>
      </x:c>
      <x:c r="Q81" s="643" t="inlineStr">
        <x:is>
          <x:t xml:space="preserve">半黑</x:t>
        </x:is>
      </x:c>
      <x:c r="R81" s="599" t="n">
        <x:v>1.14</x:v>
      </x:c>
      <x:c r="S81" s="599" t="n">
        <x:f>IF(OR(Q81="",Q81="待结算"),"",IF(Q81="红",R81,IF(Q81="半红",R81*0.5,IF(Q81="走",0,IF(Q81="半黑",-0.5,-1)))))</x:f>
        <x:v>-0.5</x:v>
      </x:c>
      <x:c r="T81" s="595" t="inlineStr">
        <x:is>
          <x:t xml:space="preserve">https://www.calciosalernitana.it/2026/09/15/barletta-salernitana-1-1-pari-e-rimpianti-celiento-riacciuffa-i-pugliesi/</x:t>
        </x:is>
      </x:c>
      <x:c r="U81" s="642" t="str">
        <x:f>IF(Q81="","",IF(Q81="待结算","待结算",IF(Q81="红","黑",IF(Q81="半红","半黑",IF(Q81="走","走",IF(Q81="半黑","半红","红"))))))</x:f>
        <x:v>半红</x:v>
      </x:c>
      <x:c r="V81" s="599" t="n">
        <x:f>IF(OR(Q81="",Q81="待结算"),"",IF(L81=LEFT(F81,FIND(" vs ",F81)-1),I81,G81))</x:f>
        <x:v>0.63</x:v>
      </x:c>
      <x:c r="W81" s="599" t="n">
        <x:f>IF(OR(U81="",U81="待结算"),"",IF(U81="红",V81,IF(U81="半红",V81*0.5,IF(U81="走",0,IF(U81="半黑",-0.5,-1)))))</x:f>
        <x:v>0.315</x:v>
      </x:c>
      <x:c r="X81" s="595" t="inlineStr">
        <x:is>
          <x:t xml:space="preserve">3051302</x:t>
        </x:is>
      </x:c>
      <x:c r="Y81" s="595" t="inlineStr">
        <x:is>
          <x:t xml:space="preserve">v4-market-dirichlet-20260913</x:t>
        </x:is>
      </x:c>
      <x:c r="Z81" s="595" t="inlineStr">
        <x:is>
          <x:t xml:space="preserve">prior-2026-09-15-v1</x:t>
        </x:is>
      </x:c>
      <x:c r="AA81" s="595" t="inlineStr">
        <x:is>
          <x:t xml:space="preserve">B</x:t>
        </x:is>
      </x:c>
      <x:c r="AB81" s="600" t="n">
        <x:v>0.4236111111111111</x:v>
      </x:c>
      <x:c r="AC81" s="600" t="n">
        <x:v>0</x:v>
      </x:c>
      <x:c r="AD81" s="600" t="n">
        <x:v>0</x:v>
      </x:c>
      <x:c r="AE81" s="600" t="n">
        <x:v>0.3020833333333333</x:v>
      </x:c>
      <x:c r="AF81" s="600" t="n">
        <x:v>0.2743055555555556</x:v>
      </x:c>
      <x:c r="AG81" s="600" t="n">
        <x:v>0.05756944444444434</x:v>
      </x:c>
      <x:c r="AH81" s="600" t="n">
        <x:v>-0.02981739810931727</x:v>
      </x:c>
      <x:c r="AI81" s="600" t="n">
        <x:v>-0.01217599665461438</x:v>
      </x:c>
      <x:c r="AJ81" s="600" t="n">
        <x:v>0.05779687989476845</x:v>
      </x:c>
      <x:c r="AK81" s="600" t="n">
        <x:v>0.1296388611760031</x:v>
      </x:c>
      <x:c r="AL81" s="600" t="n">
        <x:v>0.1521765957695884</x:v>
      </x:c>
      <x:c r="AM81" s="600" t="n">
        <x:v>0.8544</x:v>
      </x:c>
      <x:c r="AN81" s="595" t="inlineStr">
        <x:is>
          <x:t xml:space="preserve">EVALUATED</x:t>
        </x:is>
      </x:c>
      <x:c r="AO81" s="600" t="inlineStr">
        <x:is>
          <x:t xml:space="preserve">BUCKET_0.25、SIDE_IDENTITY_VALID、MARKET_MOVE_DEEPER_WITH_GIVING_WATER_RISE</x:t>
        </x:is>
      </x:c>
      <x:c r="AP81" s="600" t="inlineStr">
        <x:is>
          <x:t xml:space="preserve">db619eb02dad414fab87</x:t>
        </x:is>
      </x:c>
      <x:c r="AQ81" s="600" t="n">
        <x:v>-0.25</x:v>
      </x:c>
      <x:c r="AR81" s="600" t="n">
        <x:v>1.14</x:v>
      </x:c>
      <x:c r="AS81" s="600" t="n">
        <x:v>0.25</x:v>
      </x:c>
      <x:c r="AT81" s="600" t="n">
        <x:v>-0.25</x:v>
      </x:c>
      <x:c r="AU81" s="600" t="n">
        <x:v>0.63</x:v>
      </x:c>
      <x:c r="AV81" s="600" t="n">
        <x:v>1.14</x:v>
      </x:c>
      <x:c r="AW81" s="595" t="n">
        <x:v>46280.42367292824</x:v>
      </x:c>
      <x:c r="AX81" s="595" t="inlineStr">
        <x:is>
          <x:t xml:space="preserve">https://simondongxiao.github.io/odds/v4/</x:t>
        </x:is>
      </x:c>
      <x:c r="AY81" s="595" t="inlineStr">
        <x:is>
          <x:t xml:space="preserve">V4 Shadow Only；real_money=false；P(EV&gt;0)不是比赛胜率</x:t>
        </x:is>
      </x:c>
    </x:row>
    <x:row r="82" ht="22" customHeight="1">
      <x:c r="A82" s="595" t="inlineStr">
        <x:is>
          <x:t xml:space="preserve">2026-09-15</x:t>
        </x:is>
      </x:c>
      <x:c r="B82" s="595" t="inlineStr">
        <x:is>
          <x:t xml:space="preserve">2026-09-16 03:00</x:t>
        </x:is>
      </x:c>
      <x:c r="C82" s="595" t="str">
        <x:v>五大联赛杯赛</x:v>
      </x:c>
      <x:c r="D82" s="595" t="inlineStr">
        <x:is>
          <x:t xml:space="preserve">杯赛</x:t>
        </x:is>
      </x:c>
      <x:c r="E82" s="595" t="inlineStr">
        <x:is>
          <x:t xml:space="preserve">意杯</x:t>
        </x:is>
      </x:c>
      <x:c r="F82" s="595" t="inlineStr">
        <x:is>
          <x:t xml:space="preserve">佛罗伦萨 vs 比萨</x:t>
        </x:is>
      </x:c>
      <x:c r="G82" s="596" t="n">
        <x:v>0.82</x:v>
      </x:c>
      <x:c r="H82" s="596" t="n">
        <x:v>1.25</x:v>
      </x:c>
      <x:c r="I82" s="596" t="n">
        <x:v>1.07</x:v>
      </x:c>
      <x:c r="J82" s="596" t="inlineStr">
        <x:is>
          <x:t xml:space="preserve">0.82/1.25/1.07</x:t>
        </x:is>
      </x:c>
      <x:c r="K82" s="595" t="inlineStr">
        <x:is>
          <x:t xml:space="preserve">V4-C｜EV +0.0203</x:t>
        </x:is>
      </x:c>
      <x:c r="L82" s="595" t="inlineStr">
        <x:is>
          <x:t xml:space="preserve">比萨</x:t>
        </x:is>
      </x:c>
      <x:c r="M82" s="597" t="n">
        <x:v>0.4945054945054945</x:v>
      </x:c>
      <x:c r="N82" s="595" t="inlineStr">
        <x:is>
          <x:t xml:space="preserve">V4纸面入选-C</x:t>
        </x:is>
      </x:c>
      <x:c r="O82" s="595" t="inlineStr">
        <x:is>
          <x:t xml:space="preserve">3-0</x:t>
        </x:is>
      </x:c>
      <x:c r="P82" s="595" t="inlineStr">
        <x:is>
          <x:t xml:space="preserve">已结算</x:t>
        </x:is>
      </x:c>
      <x:c r="Q82" s="641" t="inlineStr">
        <x:is>
          <x:t xml:space="preserve">黑</x:t>
        </x:is>
      </x:c>
      <x:c r="R82" s="599" t="n">
        <x:v>1.07</x:v>
      </x:c>
      <x:c r="S82" s="599" t="n">
        <x:f>IF(OR(Q82="",Q82="待结算"),"",IF(Q82="红",R82,IF(Q82="半红",R82*0.5,IF(Q82="走",0,IF(Q82="半黑",-0.5,-1)))))</x:f>
        <x:v>-1</x:v>
      </x:c>
      <x:c r="T82" s="595" t="inlineStr">
        <x:is>
          <x:t xml:space="preserve">https://www.rainews.it/tgr/toscana/articoli/2026/09/la-fiorentina-batte-il-pisa-e-conquista-gli-ottavi-efba44a8-29ac-4071-9859-219218265282.html</x:t>
        </x:is>
      </x:c>
      <x:c r="U82" s="640" t="str">
        <x:f>IF(Q82="","",IF(Q82="待结算","待结算",IF(Q82="红","黑",IF(Q82="半红","半黑",IF(Q82="走","走",IF(Q82="半黑","半红","红"))))))</x:f>
        <x:v>红</x:v>
      </x:c>
      <x:c r="V82" s="599" t="n">
        <x:f>IF(OR(Q82="",Q82="待结算"),"",IF(L82=LEFT(F82,FIND(" vs ",F82)-1),I82,G82))</x:f>
        <x:v>0.82</x:v>
      </x:c>
      <x:c r="W82" s="599" t="n">
        <x:f>IF(OR(U82="",U82="待结算"),"",IF(U82="红",V82,IF(U82="半红",V82*0.5,IF(U82="走",0,IF(U82="半黑",-0.5,-1)))))</x:f>
        <x:v>0.82</x:v>
      </x:c>
      <x:c r="X82" s="595" t="inlineStr">
        <x:is>
          <x:t xml:space="preserve">3072753</x:t>
        </x:is>
      </x:c>
      <x:c r="Y82" s="595" t="inlineStr">
        <x:is>
          <x:t xml:space="preserve">v4-market-dirichlet-20260913</x:t>
        </x:is>
      </x:c>
      <x:c r="Z82" s="595" t="inlineStr">
        <x:is>
          <x:t xml:space="preserve">prior-2026-09-15-v1</x:t>
        </x:is>
      </x:c>
      <x:c r="AA82" s="595" t="inlineStr">
        <x:is>
          <x:t xml:space="preserve">C</x:t>
        </x:is>
      </x:c>
      <x:c r="AB82" s="600" t="n">
        <x:v>0.2830188679245283</x:v>
      </x:c>
      <x:c r="AC82" s="600" t="n">
        <x:v>0.2830188679245283</x:v>
      </x:c>
      <x:c r="AD82" s="600" t="n">
        <x:v>0</x:v>
      </x:c>
      <x:c r="AE82" s="600" t="n">
        <x:v>0</x:v>
      </x:c>
      <x:c r="AF82" s="600" t="n">
        <x:v>0.4339622641509434</x:v>
      </x:c>
      <x:c r="AG82" s="600" t="n">
        <x:v>0.0202830188679245</x:v>
      </x:c>
      <x:c r="AH82" s="600" t="n">
        <x:v>-0.1846543587294524</x:v>
      </x:c>
      <x:c r="AI82" s="600" t="n">
        <x:v>-0.1363632853972377</x:v>
      </x:c>
      <x:c r="AJ82" s="600" t="n">
        <x:v>0.01961939344521063</x:v>
      </x:c>
      <x:c r="AK82" s="600" t="n">
        <x:v>0.1815063739844251</x:v>
      </x:c>
      <x:c r="AL82" s="600" t="n">
        <x:v>0.226203867239182</x:v>
      </x:c>
      <x:c r="AM82" s="600" t="n">
        <x:v>0.5672</x:v>
      </x:c>
      <x:c r="AN82" s="595" t="inlineStr">
        <x:is>
          <x:t xml:space="preserve">EVALUATED</x:t>
        </x:is>
      </x:c>
      <x:c r="AO82" s="600" t="inlineStr">
        <x:is>
          <x:t xml:space="preserve">BUCKET_1.25、SIDE_IDENTITY_VALID、FLAT_LINE_GIVING_WATER_DROP</x:t>
        </x:is>
      </x:c>
      <x:c r="AP82" s="600" t="inlineStr">
        <x:is>
          <x:t xml:space="preserve">207d916d27ee0e04e93b</x:t>
        </x:is>
      </x:c>
      <x:c r="AQ82" s="600" t="n">
        <x:v>1.25</x:v>
      </x:c>
      <x:c r="AR82" s="600" t="n">
        <x:v>1.07</x:v>
      </x:c>
      <x:c r="AS82" s="600" t="n">
        <x:v>-1.25</x:v>
      </x:c>
      <x:c r="AT82" s="600" t="n">
        <x:v>1.25</x:v>
      </x:c>
      <x:c r="AU82" s="600" t="n">
        <x:v>0.82</x:v>
      </x:c>
      <x:c r="AV82" s="600" t="n">
        <x:v>1.07</x:v>
      </x:c>
      <x:c r="AW82" s="595" t="n">
        <x:v>46280.42367292824</x:v>
      </x:c>
      <x:c r="AX82" s="595" t="inlineStr">
        <x:is>
          <x:t xml:space="preserve">https://simondongxiao.github.io/odds/v4/</x:t>
        </x:is>
      </x:c>
      <x:c r="AY82" s="595" t="inlineStr">
        <x:is>
          <x:t xml:space="preserve">V4 Shadow Only；real_money=false；P(EV&gt;0)不是比赛胜率</x:t>
        </x:is>
      </x:c>
    </x:row>
    <x:row r="83" ht="22" customHeight="1">
      <x:c r="A83" s="595" t="inlineStr">
        <x:is>
          <x:t xml:space="preserve">2026-09-15</x:t>
        </x:is>
      </x:c>
      <x:c r="B83" s="595" t="inlineStr">
        <x:is>
          <x:t xml:space="preserve">2026-09-16 03:30</x:t>
        </x:is>
      </x:c>
      <x:c r="C83" s="595" t="str">
        <x:v>欧洲五大系列</x:v>
      </x:c>
      <x:c r="D83" s="595" t="inlineStr">
        <x:is>
          <x:t xml:space="preserve">联赛</x:t>
        </x:is>
      </x:c>
      <x:c r="E83" s="595" t="inlineStr">
        <x:is>
          <x:t xml:space="preserve">西甲</x:t>
        </x:is>
      </x:c>
      <x:c r="F83" s="595" t="inlineStr">
        <x:is>
          <x:t xml:space="preserve">埃尔切 vs 皇家马德里</x:t>
        </x:is>
      </x:c>
      <x:c r="G83" s="596" t="n">
        <x:v>1.04</x:v>
      </x:c>
      <x:c r="H83" s="596" t="n">
        <x:v>-2</x:v>
      </x:c>
      <x:c r="I83" s="596" t="n">
        <x:v>0.85</x:v>
      </x:c>
      <x:c r="J83" s="596" t="inlineStr">
        <x:is>
          <x:t xml:space="preserve">1.04/-2/0.85</x:t>
        </x:is>
      </x:c>
      <x:c r="K83" s="595" t="inlineStr">
        <x:is>
          <x:t xml:space="preserve">V4-C｜EV +0.1656</x:t>
        </x:is>
      </x:c>
      <x:c r="L83" s="595" t="inlineStr">
        <x:is>
          <x:t xml:space="preserve">皇家马德里</x:t>
        </x:is>
      </x:c>
      <x:c r="M83" s="597" t="n">
        <x:v>0.6428571428571429</x:v>
      </x:c>
      <x:c r="N83" s="595" t="inlineStr">
        <x:is>
          <x:t xml:space="preserve">V4纸面入选-C</x:t>
        </x:is>
      </x:c>
      <x:c r="O83" s="595" t="inlineStr">
        <x:is>
          <x:t xml:space="preserve">2-3</x:t>
        </x:is>
      </x:c>
      <x:c r="P83" s="595" t="inlineStr">
        <x:is>
          <x:t xml:space="preserve">已结算</x:t>
        </x:is>
      </x:c>
      <x:c r="Q83" s="641" t="inlineStr">
        <x:is>
          <x:t xml:space="preserve">黑</x:t>
        </x:is>
      </x:c>
      <x:c r="R83" s="599" t="n">
        <x:v>0.85</x:v>
      </x:c>
      <x:c r="S83" s="599" t="n">
        <x:f>IF(OR(Q83="",Q83="待结算"),"",IF(Q83="红",R83,IF(Q83="半红",R83*0.5,IF(Q83="走",0,IF(Q83="半黑",-0.5,-1)))))</x:f>
        <x:v>-1</x:v>
      </x:c>
      <x:c r="T83" s="595" t="inlineStr">
        <x:is>
          <x:t xml:space="preserve">https://mexico.as.com/resultados/</x:t>
        </x:is>
      </x:c>
      <x:c r="U83" s="640" t="str">
        <x:f>IF(Q83="","",IF(Q83="待结算","待结算",IF(Q83="红","黑",IF(Q83="半红","半黑",IF(Q83="走","走",IF(Q83="半黑","半红","红"))))))</x:f>
        <x:v>红</x:v>
      </x:c>
      <x:c r="V83" s="599" t="n">
        <x:f>IF(OR(Q83="",Q83="待结算"),"",IF(L83=LEFT(F83,FIND(" vs ",F83)-1),I83,G83))</x:f>
        <x:v>1.04</x:v>
      </x:c>
      <x:c r="W83" s="599" t="n">
        <x:f>IF(OR(U83="",U83="待结算"),"",IF(U83="红",V83,IF(U83="半红",V83*0.5,IF(U83="走",0,IF(U83="半黑",-0.5,-1)))))</x:f>
        <x:v>1.04</x:v>
      </x:c>
      <x:c r="X83" s="595" t="inlineStr">
        <x:is>
          <x:t xml:space="preserve">3013696</x:t>
        </x:is>
      </x:c>
      <x:c r="Y83" s="595" t="inlineStr">
        <x:is>
          <x:t xml:space="preserve">v4-market-dirichlet-20260913</x:t>
        </x:is>
      </x:c>
      <x:c r="Z83" s="595" t="inlineStr">
        <x:is>
          <x:t xml:space="preserve">prior-2026-09-15-v1</x:t>
        </x:is>
      </x:c>
      <x:c r="AA83" s="595" t="inlineStr">
        <x:is>
          <x:t xml:space="preserve">C</x:t>
        </x:is>
      </x:c>
      <x:c r="AB83" s="600" t="n">
        <x:v>0.5625</x:v>
      </x:c>
      <x:c r="AC83" s="600" t="n">
        <x:v>0</x:v>
      </x:c>
      <x:c r="AD83" s="600" t="n">
        <x:v>0.125</x:v>
      </x:c>
      <x:c r="AE83" s="600" t="n">
        <x:v>0</x:v>
      </x:c>
      <x:c r="AF83" s="600" t="n">
        <x:v>0.3125</x:v>
      </x:c>
      <x:c r="AG83" s="600" t="n">
        <x:v>0.165625</x:v>
      </x:c>
      <x:c r="AH83" s="600" t="n">
        <x:v>-0.1906892652113943</x:v>
      </x:c>
      <x:c r="AI83" s="600" t="n">
        <x:v>-0.101686406435551</x:v>
      </x:c>
      <x:c r="AJ83" s="600" t="n">
        <x:v>0.1775923723662542</x:v>
      </x:c>
      <x:c r="AK83" s="600" t="n">
        <x:v>0.425012540514859</x:v>
      </x:c>
      <x:c r="AL83" s="600" t="n">
        <x:v>0.4938457036454647</x:v>
      </x:c>
      <x:c r="AM83" s="600" t="n">
        <x:v>0.791</x:v>
      </x:c>
      <x:c r="AN83" s="595" t="inlineStr">
        <x:is>
          <x:t xml:space="preserve">EVALUATED</x:t>
        </x:is>
      </x:c>
      <x:c r="AO83" s="600" t="inlineStr">
        <x:is>
          <x:t xml:space="preserve">BUCKET_2.00、SIDE_IDENTITY_VALID、MARKET_MOVE_LINE_STRENGTH_WITH_GIVING_RESISTANCE</x:t>
        </x:is>
      </x:c>
      <x:c r="AP83" s="600" t="inlineStr">
        <x:is>
          <x:t xml:space="preserve">5025d0944884ddacde8a</x:t>
        </x:is>
      </x:c>
      <x:c r="AQ83" s="600" t="n">
        <x:v>-2</x:v>
      </x:c>
      <x:c r="AR83" s="600" t="n">
        <x:v>0.85</x:v>
      </x:c>
      <x:c r="AS83" s="600" t="n">
        <x:v>2</x:v>
      </x:c>
      <x:c r="AT83" s="600" t="n">
        <x:v>-2</x:v>
      </x:c>
      <x:c r="AU83" s="600" t="n">
        <x:v>1.04</x:v>
      </x:c>
      <x:c r="AV83" s="600" t="n">
        <x:v>0.85</x:v>
      </x:c>
      <x:c r="AW83" s="595" t="n">
        <x:v>46280.42367292824</x:v>
      </x:c>
      <x:c r="AX83" s="595" t="inlineStr">
        <x:is>
          <x:t xml:space="preserve">https://simondongxiao.github.io/odds/v4/</x:t>
        </x:is>
      </x:c>
      <x:c r="AY83" s="595" t="inlineStr">
        <x:is>
          <x:t xml:space="preserve">V4 Shadow Only；real_money=false；P(EV&gt;0)不是比赛胜率</x:t>
        </x:is>
      </x:c>
    </x:row>
    <x:row r="84" ht="22" customHeight="1">
      <x:c r="A84" s="595" t="inlineStr">
        <x:is>
          <x:t xml:space="preserve">2026-09-15</x:t>
        </x:is>
      </x:c>
      <x:c r="B84" s="595" t="inlineStr">
        <x:is>
          <x:t xml:space="preserve">2026-09-16 06:00</x:t>
        </x:is>
      </x:c>
      <x:c r="C84" s="595" t="str">
        <x:v>南美系列</x:v>
      </x:c>
      <x:c r="D84" s="595" t="inlineStr">
        <x:is>
          <x:t xml:space="preserve">杯赛</x:t>
        </x:is>
      </x:c>
      <x:c r="E84" s="595" t="inlineStr">
        <x:is>
          <x:t xml:space="preserve">南美杯</x:t>
        </x:is>
      </x:c>
      <x:c r="F84" s="595" t="inlineStr">
        <x:is>
          <x:t xml:space="preserve">瓦斯科达伽马 vs 圣塔菲</x:t>
        </x:is>
      </x:c>
      <x:c r="G84" s="596" t="n">
        <x:v>0.75</x:v>
      </x:c>
      <x:c r="H84" s="596" t="n">
        <x:v>1</x:v>
      </x:c>
      <x:c r="I84" s="596" t="n">
        <x:v>1.16</x:v>
      </x:c>
      <x:c r="J84" s="596" t="inlineStr">
        <x:is>
          <x:t xml:space="preserve">0.75/1/1.16</x:t>
        </x:is>
      </x:c>
      <x:c r="K84" s="595" t="inlineStr">
        <x:is>
          <x:t xml:space="preserve">V4-B｜EV +0.1332</x:t>
        </x:is>
      </x:c>
      <x:c r="L84" s="595" t="inlineStr">
        <x:is>
          <x:t xml:space="preserve">圣塔菲</x:t>
        </x:is>
      </x:c>
      <x:c r="M84" s="597" t="n">
        <x:v>0.5423728813559322</x:v>
      </x:c>
      <x:c r="N84" s="595" t="inlineStr">
        <x:is>
          <x:t xml:space="preserve">V4纸面入选-B</x:t>
        </x:is>
      </x:c>
      <x:c r="O84" s="595" t="inlineStr">
        <x:is>
          <x:t xml:space="preserve">2-0</x:t>
        </x:is>
      </x:c>
      <x:c r="P84" s="595" t="inlineStr">
        <x:is>
          <x:t xml:space="preserve">已结算</x:t>
        </x:is>
      </x:c>
      <x:c r="Q84" s="641" t="inlineStr">
        <x:is>
          <x:t xml:space="preserve">黑</x:t>
        </x:is>
      </x:c>
      <x:c r="R84" s="599" t="n">
        <x:v>1.16</x:v>
      </x:c>
      <x:c r="S84" s="599" t="n">
        <x:f>IF(OR(Q84="",Q84="待结算"),"",IF(Q84="红",R84,IF(Q84="半红",R84*0.5,IF(Q84="走",0,IF(Q84="半黑",-0.5,-1)))))</x:f>
        <x:v>-1</x:v>
      </x:c>
      <x:c r="T84" s="595" t="inlineStr">
        <x:is>
          <x:t xml:space="preserve">https://netvasco.com.br/interativo/trofeunetvasco/res_jogo.php?jogo=1497</x:t>
        </x:is>
      </x:c>
      <x:c r="U84" s="640" t="str">
        <x:f>IF(Q84="","",IF(Q84="待结算","待结算",IF(Q84="红","黑",IF(Q84="半红","半黑",IF(Q84="走","走",IF(Q84="半黑","半红","红"))))))</x:f>
        <x:v>红</x:v>
      </x:c>
      <x:c r="V84" s="599" t="n">
        <x:f>IF(OR(Q84="",Q84="待结算"),"",IF(L84=LEFT(F84,FIND(" vs ",F84)-1),I84,G84))</x:f>
        <x:v>0.75</x:v>
      </x:c>
      <x:c r="W84" s="599" t="n">
        <x:f>IF(OR(U84="",U84="待结算"),"",IF(U84="红",V84,IF(U84="半红",V84*0.5,IF(U84="走",0,IF(U84="半黑",-0.5,-1)))))</x:f>
        <x:v>0.75</x:v>
      </x:c>
      <x:c r="X84" s="595" t="inlineStr">
        <x:is>
          <x:t xml:space="preserve">3072986</x:t>
        </x:is>
      </x:c>
      <x:c r="Y84" s="595" t="inlineStr">
        <x:is>
          <x:t xml:space="preserve">v4-market-dirichlet-20260913</x:t>
        </x:is>
      </x:c>
      <x:c r="Z84" s="595" t="inlineStr">
        <x:is>
          <x:t xml:space="preserve">prior-2026-09-15-v1</x:t>
        </x:is>
      </x:c>
      <x:c r="AA84" s="595" t="inlineStr">
        <x:is>
          <x:t xml:space="preserve">B</x:t>
        </x:is>
      </x:c>
      <x:c r="AB84" s="600" t="n">
        <x:v>0.4210526315789473</x:v>
      </x:c>
      <x:c r="AC84" s="600" t="n">
        <x:v>0</x:v>
      </x:c>
      <x:c r="AD84" s="600" t="n">
        <x:v>0.2236842105263158</x:v>
      </x:c>
      <x:c r="AE84" s="600" t="n">
        <x:v>0</x:v>
      </x:c>
      <x:c r="AF84" s="600" t="n">
        <x:v>0.3552631578947368</x:v>
      </x:c>
      <x:c r="AG84" s="600" t="n">
        <x:v>0.133157894736842</x:v>
      </x:c>
      <x:c r="AH84" s="600" t="n">
        <x:v>-0.04375378264768298</x:v>
      </x:c>
      <x:c r="AI84" s="600" t="n">
        <x:v>-0.006458088041961518</x:v>
      </x:c>
      <x:c r="AJ84" s="600" t="n">
        <x:v>0.1328744214882345</x:v>
      </x:c>
      <x:c r="AK84" s="600" t="n">
        <x:v>0.2735958607610752</x:v>
      </x:c>
      <x:c r="AL84" s="600" t="n">
        <x:v>0.3138420959517297</x:v>
      </x:c>
      <x:c r="AM84" s="600" t="n">
        <x:v>0.8874</x:v>
      </x:c>
      <x:c r="AN84" s="595" t="inlineStr">
        <x:is>
          <x:t xml:space="preserve">EVALUATED</x:t>
        </x:is>
      </x:c>
      <x:c r="AO84" s="600" t="inlineStr">
        <x:is>
          <x:t xml:space="preserve">BUCKET_1.00、SIDE_IDENTITY_VALID、FLAT_LINE_GIVING_WATER_DROP</x:t>
        </x:is>
      </x:c>
      <x:c r="AP84" s="600" t="inlineStr">
        <x:is>
          <x:t xml:space="preserve">1115784292f5ca5392db</x:t>
        </x:is>
      </x:c>
      <x:c r="AQ84" s="600" t="n">
        <x:v>1</x:v>
      </x:c>
      <x:c r="AR84" s="600" t="n">
        <x:v>1.16</x:v>
      </x:c>
      <x:c r="AS84" s="600" t="n">
        <x:v>-1</x:v>
      </x:c>
      <x:c r="AT84" s="600" t="n">
        <x:v>1</x:v>
      </x:c>
      <x:c r="AU84" s="600" t="n">
        <x:v>0.75</x:v>
      </x:c>
      <x:c r="AV84" s="600" t="n">
        <x:v>1.16</x:v>
      </x:c>
      <x:c r="AW84" s="595" t="n">
        <x:v>46280.42367292824</x:v>
      </x:c>
      <x:c r="AX84" s="595" t="inlineStr">
        <x:is>
          <x:t xml:space="preserve">https://simondongxiao.github.io/odds/v4/</x:t>
        </x:is>
      </x:c>
      <x:c r="AY84" s="595" t="inlineStr">
        <x:is>
          <x:t xml:space="preserve">V4 Shadow Only；real_money=false；P(EV&gt;0)不是比赛胜率</x:t>
        </x:is>
      </x:c>
    </x:row>
    <x:row r="85" ht="22" customHeight="1">
      <x:c r="A85" s="595" t="inlineStr">
        <x:is>
          <x:t xml:space="preserve">2026-09-15</x:t>
        </x:is>
      </x:c>
      <x:c r="B85" s="595" t="inlineStr">
        <x:is>
          <x:t xml:space="preserve">2026-09-16 07:30</x:t>
        </x:is>
      </x:c>
      <x:c r="C85" s="595" t="str">
        <x:v>南美系列</x:v>
      </x:c>
      <x:c r="D85" s="595" t="inlineStr">
        <x:is>
          <x:t xml:space="preserve">联赛</x:t>
        </x:is>
      </x:c>
      <x:c r="E85" s="595" t="inlineStr">
        <x:is>
          <x:t xml:space="preserve">委内超秋</x:t>
        </x:is>
      </x:c>
      <x:c r="F85" s="595" t="inlineStr">
        <x:is>
          <x:t xml:space="preserve">委内瑞拉中央大学 vs 安索阿特吉</x:t>
        </x:is>
      </x:c>
      <x:c r="G85" s="596" t="n">
        <x:v>0.7</x:v>
      </x:c>
      <x:c r="H85" s="596" t="n">
        <x:v>0.75</x:v>
      </x:c>
      <x:c r="I85" s="596" t="n">
        <x:v>1</x:v>
      </x:c>
      <x:c r="J85" s="596" t="inlineStr">
        <x:is>
          <x:t xml:space="preserve">0.70/0.75/1.00</x:t>
        </x:is>
      </x:c>
      <x:c r="K85" s="595" t="inlineStr">
        <x:is>
          <x:t xml:space="preserve">V4-C｜EV +0.0125</x:t>
        </x:is>
      </x:c>
      <x:c r="L85" s="595" t="inlineStr">
        <x:is>
          <x:t xml:space="preserve">安索阿特吉</x:t>
        </x:is>
      </x:c>
      <x:c r="M85" s="597" t="n">
        <x:v>0.5071770334928229</x:v>
      </x:c>
      <x:c r="N85" s="595" t="inlineStr">
        <x:is>
          <x:t xml:space="preserve">V4纸面入选-C</x:t>
        </x:is>
      </x:c>
      <x:c r="O85" s="595" t="inlineStr">
        <x:is>
          <x:t xml:space="preserve">1-0</x:t>
        </x:is>
      </x:c>
      <x:c r="P85" s="595" t="inlineStr">
        <x:is>
          <x:t xml:space="preserve">已结算</x:t>
        </x:is>
      </x:c>
      <x:c r="Q85" s="643" t="inlineStr">
        <x:is>
          <x:t xml:space="preserve">半黑</x:t>
        </x:is>
      </x:c>
      <x:c r="R85" s="599" t="n">
        <x:v>1</x:v>
      </x:c>
      <x:c r="S85" s="599" t="n">
        <x:f>IF(OR(Q85="",Q85="待结算"),"",IF(Q85="红",R85,IF(Q85="半红",R85*0.5,IF(Q85="走",0,IF(Q85="半黑",-0.5,-1)))))</x:f>
        <x:v>-0.5</x:v>
      </x:c>
      <x:c r="T85" s="595" t="inlineStr">
        <x:is>
          <x:t xml:space="preserve">https://www.soccerpunter.com/match/19786366/UCV-vs-Academia-Anzoategui</x:t>
        </x:is>
      </x:c>
      <x:c r="U85" s="642" t="str">
        <x:f>IF(Q85="","",IF(Q85="待结算","待结算",IF(Q85="红","黑",IF(Q85="半红","半黑",IF(Q85="走","走",IF(Q85="半黑","半红","红"))))))</x:f>
        <x:v>半红</x:v>
      </x:c>
      <x:c r="V85" s="599" t="n">
        <x:f>IF(OR(Q85="",Q85="待结算"),"",IF(L85=LEFT(F85,FIND(" vs ",F85)-1),I85,G85))</x:f>
        <x:v>0.7</x:v>
      </x:c>
      <x:c r="W85" s="599" t="n">
        <x:f>IF(OR(U85="",U85="待结算"),"",IF(U85="红",V85,IF(U85="半红",V85*0.5,IF(U85="走",0,IF(U85="半黑",-0.5,-1)))))</x:f>
        <x:v>0.35</x:v>
      </x:c>
      <x:c r="X85" s="595" t="inlineStr">
        <x:is>
          <x:t xml:space="preserve">3090248</x:t>
        </x:is>
      </x:c>
      <x:c r="Y85" s="595" t="inlineStr">
        <x:is>
          <x:t xml:space="preserve">v4-market-dirichlet-20260913</x:t>
        </x:is>
      </x:c>
      <x:c r="Z85" s="595" t="inlineStr">
        <x:is>
          <x:t xml:space="preserve">prior-2026-09-15-v1</x:t>
        </x:is>
      </x:c>
      <x:c r="AA85" s="595" t="inlineStr">
        <x:is>
          <x:t xml:space="preserve">C</x:t>
        </x:is>
      </x:c>
      <x:c r="AB85" s="600" t="n">
        <x:v>0.4416666666666667</x:v>
      </x:c>
      <x:c r="AC85" s="600" t="n">
        <x:v>0</x:v>
      </x:c>
      <x:c r="AD85" s="600" t="n">
        <x:v>0</x:v>
      </x:c>
      <x:c r="AE85" s="600" t="n">
        <x:v>0.2583333333333334</x:v>
      </x:c>
      <x:c r="AF85" s="600" t="n">
        <x:v>0.3</x:v>
      </x:c>
      <x:c r="AG85" s="600" t="n">
        <x:v>0.01250000000000001</x:v>
      </x:c>
      <x:c r="AH85" s="600" t="n">
        <x:v>-0.1228249189377785</x:v>
      </x:c>
      <x:c r="AI85" s="600" t="n">
        <x:v>-0.09141703622886221</x:v>
      </x:c>
      <x:c r="AJ85" s="600" t="n">
        <x:v>0.01247795719420941</x:v>
      </x:c>
      <x:c r="AK85" s="600" t="n">
        <x:v>0.1174300327021529</x:v>
      </x:c>
      <x:c r="AL85" s="600" t="n">
        <x:v>0.1478958730774056</x:v>
      </x:c>
      <x:c r="AM85" s="600" t="n">
        <x:v>0.5592</x:v>
      </x:c>
      <x:c r="AN85" s="595" t="inlineStr">
        <x:is>
          <x:t xml:space="preserve">EVALUATED</x:t>
        </x:is>
      </x:c>
      <x:c r="AO85" s="600" t="inlineStr">
        <x:is>
          <x:t xml:space="preserve">BUCKET_0.75、SIDE_IDENTITY_VALID、FLAT_LINE_GIVING_WATER_DROP</x:t>
        </x:is>
      </x:c>
      <x:c r="AP85" s="600" t="inlineStr">
        <x:is>
          <x:t xml:space="preserve">d7137d8d64b668672817</x:t>
        </x:is>
      </x:c>
      <x:c r="AQ85" s="600" t="n">
        <x:v>0.75</x:v>
      </x:c>
      <x:c r="AR85" s="600" t="n">
        <x:v>1</x:v>
      </x:c>
      <x:c r="AS85" s="600" t="n">
        <x:v>-0.75</x:v>
      </x:c>
      <x:c r="AT85" s="600" t="n">
        <x:v>0.75</x:v>
      </x:c>
      <x:c r="AU85" s="600" t="n">
        <x:v>0.7</x:v>
      </x:c>
      <x:c r="AV85" s="600" t="n">
        <x:v>1</x:v>
      </x:c>
      <x:c r="AW85" s="595" t="n">
        <x:v>46280.42367292824</x:v>
      </x:c>
      <x:c r="AX85" s="595" t="inlineStr">
        <x:is>
          <x:t xml:space="preserve">https://simondongxiao.github.io/odds/v4/</x:t>
        </x:is>
      </x:c>
      <x:c r="AY85" s="595" t="inlineStr">
        <x:is>
          <x:t xml:space="preserve">V4 Shadow Only；real_money=false；P(EV&gt;0)不是比赛胜率</x:t>
        </x:is>
      </x:c>
    </x:row>
    <x:row r="86" ht="22" customHeight="1">
      <x:c r="A86" s="595" t="inlineStr">
        <x:is>
          <x:t xml:space="preserve">2026-09-15</x:t>
        </x:is>
      </x:c>
      <x:c r="B86" s="595" t="inlineStr">
        <x:is>
          <x:t xml:space="preserve">2026-09-16 08:00</x:t>
        </x:is>
      </x:c>
      <x:c r="C86" s="595" t="str">
        <x:v>南美系列</x:v>
      </x:c>
      <x:c r="D86" s="595" t="inlineStr">
        <x:is>
          <x:t xml:space="preserve">联赛</x:t>
        </x:is>
      </x:c>
      <x:c r="E86" s="595" t="inlineStr">
        <x:is>
          <x:t xml:space="preserve">巴西乙</x:t>
        </x:is>
      </x:c>
      <x:c r="F86" s="595" t="inlineStr">
        <x:is>
          <x:t xml:space="preserve">雷加塔斯巴西 vs 累西腓体育</x:t>
        </x:is>
      </x:c>
      <x:c r="G86" s="596" t="n">
        <x:v>0.89</x:v>
      </x:c>
      <x:c r="H86" s="596" t="n">
        <x:v>0.5</x:v>
      </x:c>
      <x:c r="I86" s="596" t="n">
        <x:v>0.99</x:v>
      </x:c>
      <x:c r="J86" s="596" t="inlineStr">
        <x:is>
          <x:t xml:space="preserve">0.89/0.5/0.99</x:t>
        </x:is>
      </x:c>
      <x:c r="K86" s="595" t="inlineStr">
        <x:is>
          <x:t xml:space="preserve">V4-C｜EV +0.0007</x:t>
        </x:is>
      </x:c>
      <x:c r="L86" s="595" t="inlineStr">
        <x:is>
          <x:t xml:space="preserve">累西腓体育</x:t>
        </x:is>
      </x:c>
      <x:c r="M86" s="597" t="n">
        <x:v>0.5028571428571429</x:v>
      </x:c>
      <x:c r="N86" s="595" t="inlineStr">
        <x:is>
          <x:t xml:space="preserve">V4纸面入选-C</x:t>
        </x:is>
      </x:c>
      <x:c r="O86" s="595" t="inlineStr">
        <x:is>
          <x:t xml:space="preserve">2-1</x:t>
        </x:is>
      </x:c>
      <x:c r="P86" s="595" t="inlineStr">
        <x:is>
          <x:t xml:space="preserve">已结算</x:t>
        </x:is>
      </x:c>
      <x:c r="Q86" s="641" t="inlineStr">
        <x:is>
          <x:t xml:space="preserve">黑</x:t>
        </x:is>
      </x:c>
      <x:c r="R86" s="599" t="n">
        <x:v>0.99</x:v>
      </x:c>
      <x:c r="S86" s="599" t="n">
        <x:f>IF(OR(Q86="",Q86="待结算"),"",IF(Q86="红",R86,IF(Q86="半红",R86*0.5,IF(Q86="走",0,IF(Q86="半黑",-0.5,-1)))))</x:f>
        <x:v>-1</x:v>
      </x:c>
      <x:c r="T86" s="595" t="inlineStr">
        <x:is>
          <x:t xml:space="preserve">https://www.uol.com.br/esporte/ultimas-noticias/agencia/2026/09/15/crb-vence-o-sport-e-ambas-as-equipes-mantem-o-sonho-do-acesso-na-serie-b.amp.htm</x:t>
        </x:is>
      </x:c>
      <x:c r="U86" s="640" t="str">
        <x:f>IF(Q86="","",IF(Q86="待结算","待结算",IF(Q86="红","黑",IF(Q86="半红","半黑",IF(Q86="走","走",IF(Q86="半黑","半红","红"))))))</x:f>
        <x:v>红</x:v>
      </x:c>
      <x:c r="V86" s="599" t="n">
        <x:f>IF(OR(Q86="",Q86="待结算"),"",IF(L86=LEFT(F86,FIND(" vs ",F86)-1),I86,G86))</x:f>
        <x:v>0.89</x:v>
      </x:c>
      <x:c r="W86" s="599" t="n">
        <x:f>IF(OR(U86="",U86="待结算"),"",IF(U86="红",V86,IF(U86="半红",V86*0.5,IF(U86="走",0,IF(U86="半黑",-0.5,-1)))))</x:f>
        <x:v>0.89</x:v>
      </x:c>
      <x:c r="X86" s="595" t="inlineStr">
        <x:is>
          <x:t xml:space="preserve">2940179</x:t>
        </x:is>
      </x:c>
      <x:c r="Y86" s="595" t="inlineStr">
        <x:is>
          <x:t xml:space="preserve">v4-market-dirichlet-20260913</x:t>
        </x:is>
      </x:c>
      <x:c r="Z86" s="595" t="inlineStr">
        <x:is>
          <x:t xml:space="preserve">prior-2026-09-15-v1</x:t>
        </x:is>
      </x:c>
      <x:c r="AA86" s="595" t="inlineStr">
        <x:is>
          <x:t xml:space="preserve">C</x:t>
        </x:is>
      </x:c>
      <x:c r="AB86" s="600" t="n">
        <x:v>0.5028571428571429</x:v>
      </x:c>
      <x:c r="AC86" s="600" t="n">
        <x:v>0</x:v>
      </x:c>
      <x:c r="AD86" s="600" t="n">
        <x:v>0</x:v>
      </x:c>
      <x:c r="AE86" s="600" t="n">
        <x:v>0</x:v>
      </x:c>
      <x:c r="AF86" s="600" t="n">
        <x:v>0.4971428571428572</x:v>
      </x:c>
      <x:c r="AG86" s="600" t="n">
        <x:v>0.0006857142857142895</x:v>
      </x:c>
      <x:c r="AH86" s="600" t="n">
        <x:v>-0.1215457056970177</x:v>
      </x:c>
      <x:c r="AI86" s="600" t="n">
        <x:v>-0.09358809783594607</x:v>
      </x:c>
      <x:c r="AJ86" s="600" t="n">
        <x:v>0.0006485849192057191</x:v>
      </x:c>
      <x:c r="AK86" s="600" t="n">
        <x:v>0.09679028100094639</x:v>
      </x:c>
      <x:c r="AL86" s="600" t="n">
        <x:v>0.122367050987354</x:v>
      </x:c>
      <x:c r="AM86" s="600" t="n">
        <x:v>0.506</x:v>
      </x:c>
      <x:c r="AN86" s="595" t="inlineStr">
        <x:is>
          <x:t xml:space="preserve">EVALUATED</x:t>
        </x:is>
      </x:c>
      <x:c r="AO86" s="600" t="inlineStr">
        <x:is>
          <x:t xml:space="preserve">BUCKET_0.50、SIDE_IDENTITY_VALID、FLAT_LINE_GIVING_WATER_DROP</x:t>
        </x:is>
      </x:c>
      <x:c r="AP86" s="600" t="inlineStr">
        <x:is>
          <x:t xml:space="preserve">3566b78f53eed30601cc</x:t>
        </x:is>
      </x:c>
      <x:c r="AQ86" s="600" t="n">
        <x:v>0.5</x:v>
      </x:c>
      <x:c r="AR86" s="600" t="n">
        <x:v>0.99</x:v>
      </x:c>
      <x:c r="AS86" s="600" t="n">
        <x:v>-0.5</x:v>
      </x:c>
      <x:c r="AT86" s="600" t="n">
        <x:v>0.5</x:v>
      </x:c>
      <x:c r="AU86" s="600" t="n">
        <x:v>0.89</x:v>
      </x:c>
      <x:c r="AV86" s="600" t="n">
        <x:v>0.99</x:v>
      </x:c>
      <x:c r="AW86" s="595" t="n">
        <x:v>46280.42367292824</x:v>
      </x:c>
      <x:c r="AX86" s="595" t="inlineStr">
        <x:is>
          <x:t xml:space="preserve">https://simondongxiao.github.io/odds/v4/</x:t>
        </x:is>
      </x:c>
      <x:c r="AY86" s="595" t="inlineStr">
        <x:is>
          <x:t xml:space="preserve">V4 Shadow Only；real_money=false；P(EV&gt;0)不是比赛胜率</x:t>
        </x:is>
      </x:c>
    </x:row>
    <x:row r="87" ht="22" customHeight="1">
      <x:c r="A87" s="595" t="inlineStr">
        <x:is>
          <x:t xml:space="preserve">2026-09-15</x:t>
        </x:is>
      </x:c>
      <x:c r="B87" s="595" t="inlineStr">
        <x:is>
          <x:t xml:space="preserve">2026-09-16 09:00</x:t>
        </x:is>
      </x:c>
      <x:c r="C87" s="595" t="str">
        <x:v>北美系列</x:v>
      </x:c>
      <x:c r="D87" s="595" t="inlineStr">
        <x:is>
          <x:t xml:space="preserve">联赛</x:t>
        </x:is>
      </x:c>
      <x:c r="E87" s="595" t="inlineStr">
        <x:is>
          <x:t xml:space="preserve">墨西甲春</x:t>
        </x:is>
      </x:c>
      <x:c r="F87" s="595" t="inlineStr">
        <x:is>
          <x:t xml:space="preserve">多拉多斯 vs 坎昆</x:t>
        </x:is>
      </x:c>
      <x:c r="G87" s="596" t="n">
        <x:v>1.02</x:v>
      </x:c>
      <x:c r="H87" s="596" t="n">
        <x:v>0.25</x:v>
      </x:c>
      <x:c r="I87" s="596" t="n">
        <x:v>0.8</x:v>
      </x:c>
      <x:c r="J87" s="596" t="inlineStr">
        <x:is>
          <x:t xml:space="preserve">1.02/0.25/0.80</x:t>
        </x:is>
      </x:c>
      <x:c r="K87" s="595" t="inlineStr">
        <x:is>
          <x:t xml:space="preserve">V4-C｜EV +0.0067</x:t>
        </x:is>
      </x:c>
      <x:c r="L87" s="595" t="inlineStr">
        <x:is>
          <x:t xml:space="preserve">多拉多斯</x:t>
        </x:is>
      </x:c>
      <x:c r="M87" s="597" t="n">
        <x:v>0.4989775051124744</x:v>
      </x:c>
      <x:c r="N87" s="595" t="inlineStr">
        <x:is>
          <x:t xml:space="preserve">V4纸面入选-C</x:t>
        </x:is>
      </x:c>
      <x:c r="O87" s="595" t="inlineStr">
        <x:is>
          <x:t xml:space="preserve">1-1</x:t>
        </x:is>
      </x:c>
      <x:c r="P87" s="595" t="inlineStr">
        <x:is>
          <x:t xml:space="preserve">已结算</x:t>
        </x:is>
      </x:c>
      <x:c r="Q87" s="643" t="inlineStr">
        <x:is>
          <x:t xml:space="preserve">半黑</x:t>
        </x:is>
      </x:c>
      <x:c r="R87" s="599" t="n">
        <x:v>1.02</x:v>
      </x:c>
      <x:c r="S87" s="599" t="n">
        <x:f>IF(OR(Q87="",Q87="待结算"),"",IF(Q87="红",R87,IF(Q87="半红",R87*0.5,IF(Q87="走",0,IF(Q87="半黑",-0.5,-1)))))</x:f>
        <x:v>-0.5</x:v>
      </x:c>
      <x:c r="T87" s="595" t="inlineStr">
        <x:is>
          <x:t xml:space="preserve">https://www.noroeste.com.mx/deportes/futbol/dorados-no-puede-mantener-la-ventaja-y-termina-por-empatar-con-cancun-en-el-encanto-BC25727402</x:t>
        </x:is>
      </x:c>
      <x:c r="U87" s="642" t="str">
        <x:f>IF(Q87="","",IF(Q87="待结算","待结算",IF(Q87="红","黑",IF(Q87="半红","半黑",IF(Q87="走","走",IF(Q87="半黑","半红","红"))))))</x:f>
        <x:v>半红</x:v>
      </x:c>
      <x:c r="V87" s="599" t="n">
        <x:f>IF(OR(Q87="",Q87="待结算"),"",IF(L87=LEFT(F87,FIND(" vs ",F87)-1),I87,G87))</x:f>
        <x:v>0.8</x:v>
      </x:c>
      <x:c r="W87" s="599" t="n">
        <x:f>IF(OR(U87="",U87="待结算"),"",IF(U87="红",V87,IF(U87="半红",V87*0.5,IF(U87="走",0,IF(U87="半黑",-0.5,-1)))))</x:f>
        <x:v>0.4</x:v>
      </x:c>
      <x:c r="X87" s="595" t="inlineStr">
        <x:is>
          <x:t xml:space="preserve">3024390</x:t>
        </x:is>
      </x:c>
      <x:c r="Y87" s="595" t="inlineStr">
        <x:is>
          <x:t xml:space="preserve">v4-market-dirichlet-20260913</x:t>
        </x:is>
      </x:c>
      <x:c r="Z87" s="595" t="inlineStr">
        <x:is>
          <x:t xml:space="preserve">prior-2026-09-15-v1</x:t>
        </x:is>
      </x:c>
      <x:c r="AA87" s="595" t="inlineStr">
        <x:is>
          <x:t xml:space="preserve">C</x:t>
        </x:is>
      </x:c>
      <x:c r="AB87" s="600" t="n">
        <x:v>0.4236111111111111</x:v>
      </x:c>
      <x:c r="AC87" s="600" t="n">
        <x:v>0</x:v>
      </x:c>
      <x:c r="AD87" s="600" t="n">
        <x:v>0</x:v>
      </x:c>
      <x:c r="AE87" s="600" t="n">
        <x:v>0.3020833333333333</x:v>
      </x:c>
      <x:c r="AF87" s="600" t="n">
        <x:v>0.2743055555555556</x:v>
      </x:c>
      <x:c r="AG87" s="600" t="n">
        <x:v>0.006736111111111054</x:v>
      </x:c>
      <x:c r="AH87" s="600" t="n">
        <x:v>-0.07876881279319678</x:v>
      </x:c>
      <x:c r="AI87" s="600" t="n">
        <x:v>-0.06168781530897907</x:v>
      </x:c>
      <x:c r="AJ87" s="600" t="n">
        <x:v>0.005785466612610979</x:v>
      </x:c>
      <x:c r="AK87" s="600" t="n">
        <x:v>0.07501671504623025</x:v>
      </x:c>
      <x:c r="AL87" s="600" t="n">
        <x:v>0.09311478723265532</x:v>
      </x:c>
      <x:c r="AM87" s="600" t="n">
        <x:v>0.5426</x:v>
      </x:c>
      <x:c r="AN87" s="595" t="inlineStr">
        <x:is>
          <x:t xml:space="preserve">EVALUATED</x:t>
        </x:is>
      </x:c>
      <x:c r="AO87" s="600" t="inlineStr">
        <x:is>
          <x:t xml:space="preserve">BUCKET_0.25、SIDE_IDENTITY_VALID、MARKET_MOVE_DEEPER_WITH_GIVING_WATER_RISE</x:t>
        </x:is>
      </x:c>
      <x:c r="AP87" s="600" t="inlineStr">
        <x:is>
          <x:t xml:space="preserve">c044dea60203bbd05402</x:t>
        </x:is>
      </x:c>
      <x:c r="AQ87" s="600" t="n">
        <x:v>-0.25</x:v>
      </x:c>
      <x:c r="AR87" s="600" t="n">
        <x:v>1.02</x:v>
      </x:c>
      <x:c r="AS87" s="600" t="n">
        <x:v>-0.25</x:v>
      </x:c>
      <x:c r="AT87" s="600" t="n">
        <x:v>0.25</x:v>
      </x:c>
      <x:c r="AU87" s="600" t="n">
        <x:v>1.02</x:v>
      </x:c>
      <x:c r="AV87" s="600" t="n">
        <x:v>0.8</x:v>
      </x:c>
      <x:c r="AW87" s="595" t="n">
        <x:v>46280.42367292824</x:v>
      </x:c>
      <x:c r="AX87" s="595" t="inlineStr">
        <x:is>
          <x:t xml:space="preserve">https://simondongxiao.github.io/odds/v4/</x:t>
        </x:is>
      </x:c>
      <x:c r="AY87" s="595" t="inlineStr">
        <x:is>
          <x:t xml:space="preserve">V4 Shadow Only；real_money=false；P(EV&gt;0)不是比赛胜率</x:t>
        </x:is>
      </x:c>
    </x:row>
    <x:row r="88" ht="22" customHeight="1">
      <x:c r="A88" s="595" t="inlineStr">
        <x:is>
          <x:t xml:space="preserve">2026-09-16</x:t>
        </x:is>
      </x:c>
      <x:c r="B88" s="595" t="inlineStr">
        <x:is>
          <x:t xml:space="preserve">2026-09-16 18:00</x:t>
        </x:is>
      </x:c>
      <x:c r="C88" s="595" t="str">
        <x:v>五大联赛非顶级联赛</x:v>
      </x:c>
      <x:c r="D88" s="595" t="inlineStr">
        <x:is>
          <x:t xml:space="preserve">联赛</x:t>
        </x:is>
      </x:c>
      <x:c r="E88" s="595" t="inlineStr">
        <x:is>
          <x:t xml:space="preserve">亚冠精英</x:t>
        </x:is>
      </x:c>
      <x:c r="F88" s="595" t="inlineStr">
        <x:is>
          <x:t xml:space="preserve">全北现代 vs 柏太阳神</x:t>
        </x:is>
      </x:c>
      <x:c r="G88" s="596" t="n">
        <x:v>1.01</x:v>
      </x:c>
      <x:c r="H88" s="596" t="n">
        <x:v>-0.25</x:v>
      </x:c>
      <x:c r="I88" s="596" t="n">
        <x:v>0.8100000000000001</x:v>
      </x:c>
      <x:c r="J88" s="596" t="inlineStr">
        <x:is>
          <x:t xml:space="preserve">1.01/-0.25/0.81</x:t>
        </x:is>
      </x:c>
      <x:c r="K88" s="595" t="inlineStr">
        <x:is>
          <x:t xml:space="preserve">V4-C｜EV +0.0060</x:t>
        </x:is>
      </x:c>
      <x:c r="L88" s="595" t="inlineStr">
        <x:is>
          <x:t xml:space="preserve">全北现代</x:t>
        </x:is>
      </x:c>
      <x:c r="M88" s="597" t="n">
        <x:v>0.5010224948875256</x:v>
      </x:c>
      <x:c r="N88" s="595" t="inlineStr">
        <x:is>
          <x:t xml:space="preserve">V4纸面入选-C</x:t>
        </x:is>
      </x:c>
      <x:c r="O88" s="595" t="inlineStr">
        <x:is>
          <x:t xml:space="preserve">2-1</x:t>
        </x:is>
      </x:c>
      <x:c r="P88" s="595" t="inlineStr">
        <x:is>
          <x:t xml:space="preserve">已结算</x:t>
        </x:is>
      </x:c>
      <x:c r="Q88" s="640" t="inlineStr">
        <x:is>
          <x:t xml:space="preserve">红</x:t>
        </x:is>
      </x:c>
      <x:c r="R88" s="599" t="n">
        <x:v>1.01</x:v>
      </x:c>
      <x:c r="S88" s="599" t="n">
        <x:f>IF(OR(Q88="",Q88="待结算"),"",IF(Q88="红",R88,IF(Q88="半红",R88*0.5,IF(Q88="走",0,IF(Q88="半黑",-0.5,-1)))))</x:f>
        <x:v>1.01</x:v>
      </x:c>
      <x:c r="T88" s="595" t="inlineStr">
        <x:is>
          <x:t xml:space="preserve">https://simondongxiao.github.io/odds/v4/</x:t>
        </x:is>
      </x:c>
      <x:c r="U88" s="641" t="str">
        <x:f>IF(Q88="","",IF(Q88="待结算","待结算",IF(Q88="红","黑",IF(Q88="半红","半黑",IF(Q88="走","走",IF(Q88="半黑","半红","红"))))))</x:f>
        <x:v>黑</x:v>
      </x:c>
      <x:c r="V88" s="599" t="n">
        <x:f>IF(OR(Q88="",Q88="待结算"),"",IF(L88=LEFT(F88,FIND(" vs ",F88)-1),I88,G88))</x:f>
        <x:v>0.81</x:v>
      </x:c>
      <x:c r="W88" s="599" t="n">
        <x:f>IF(OR(U88="",U88="待结算"),"",IF(U88="红",V88,IF(U88="半红",V88*0.5,IF(U88="走",0,IF(U88="半黑",-0.5,-1)))))</x:f>
        <x:v>-1</x:v>
      </x:c>
      <x:c r="X88" s="595" t="inlineStr">
        <x:is>
          <x:t xml:space="preserve">3068863</x:t>
        </x:is>
      </x:c>
      <x:c r="Y88" s="595" t="inlineStr">
        <x:is>
          <x:t xml:space="preserve">v4-market-dirichlet-20260913</x:t>
        </x:is>
      </x:c>
      <x:c r="Z88" s="595" t="inlineStr">
        <x:is>
          <x:t xml:space="preserve">prior-2026-09-16-v1</x:t>
        </x:is>
      </x:c>
      <x:c r="AA88" s="595" t="inlineStr">
        <x:is>
          <x:t xml:space="preserve">C</x:t>
        </x:is>
      </x:c>
      <x:c r="AB88" s="600" t="n">
        <x:v>0.2743055555555556</x:v>
      </x:c>
      <x:c r="AC88" s="600" t="n">
        <x:v>0.3020833333333333</x:v>
      </x:c>
      <x:c r="AD88" s="600" t="n">
        <x:v>0</x:v>
      </x:c>
      <x:c r="AE88" s="600" t="n">
        <x:v>0</x:v>
      </x:c>
      <x:c r="AF88" s="600" t="n">
        <x:v>0.4236111111111111</x:v>
      </x:c>
      <x:c r="AG88" s="600" t="n">
        <x:v>0.005989583333333381</x:v>
      </x:c>
      <x:c r="AH88" s="600" t="n">
        <x:v>-0.08020485675785793</x:v>
      </x:c>
      <x:c r="AI88" s="600" t="n">
        <x:v>-0.06114315637727463</x:v>
      </x:c>
      <x:c r="AJ88" s="600" t="n">
        <x:v>0.006220627141138468</x:v>
      </x:c>
      <x:c r="AK88" s="600" t="n">
        <x:v>0.07472684141824182</x:v>
      </x:c>
      <x:c r="AL88" s="600" t="n">
        <x:v>0.09256173255506167</x:v>
      </x:c>
      <x:c r="AM88" s="600" t="n">
        <x:v>0.5468</x:v>
      </x:c>
      <x:c r="AN88" s="595" t="inlineStr">
        <x:is>
          <x:t xml:space="preserve">FROZEN_PREMATCH_DECISION</x:t>
        </x:is>
      </x:c>
      <x:c r="AO88" s="600" t="inlineStr">
        <x:is>
          <x:t xml:space="preserve">STARTED_DECISION_LOCKED</x:t>
        </x:is>
      </x:c>
      <x:c r="AP88" s="600" t="inlineStr">
        <x:is>
          <x:t xml:space="preserve">b566e48fac66a0cdc8b4</x:t>
        </x:is>
      </x:c>
      <x:c r="AQ88" s="600" t="n">
        <x:v>0.25</x:v>
      </x:c>
      <x:c r="AR88" s="600" t="n">
        <x:v>1.01</x:v>
      </x:c>
      <x:c r="AS88" s="600" t="n">
        <x:v>0.25</x:v>
      </x:c>
      <x:c r="AT88" s="600" t="n">
        <x:v>-0.25</x:v>
      </x:c>
      <x:c r="AU88" s="600" t="n">
        <x:v>1.01</x:v>
      </x:c>
      <x:c r="AV88" s="600" t="n">
        <x:v>0.8100000000000001</x:v>
      </x:c>
      <x:c r="AW88" s="595" t="n">
        <x:v>46281.02115400463</x:v>
      </x:c>
      <x:c r="AX88" s="595" t="inlineStr">
        <x:is>
          <x:t xml:space="preserve">https://simondongxiao.github.io/odds/v4/</x:t>
        </x:is>
      </x:c>
      <x:c r="AY88" s="595" t="inlineStr">
        <x:is>
          <x:t xml:space="preserve">V4 Shadow Only；real_money=false；P(EV&gt;0)不是比赛胜率</x:t>
        </x:is>
      </x:c>
    </x:row>
    <x:row r="89" ht="22" customHeight="1">
      <x:c r="A89" s="595" t="inlineStr">
        <x:is>
          <x:t xml:space="preserve">2026-09-16</x:t>
        </x:is>
      </x:c>
      <x:c r="B89" s="595" t="inlineStr">
        <x:is>
          <x:t xml:space="preserve">2026-09-16 21:00</x:t>
        </x:is>
      </x:c>
      <x:c r="C89" s="595" t="str">
        <x:v>五大联赛非顶级联赛</x:v>
      </x:c>
      <x:c r="D89" s="595" t="inlineStr">
        <x:is>
          <x:t xml:space="preserve">联赛</x:t>
        </x:is>
      </x:c>
      <x:c r="E89" s="595" t="inlineStr">
        <x:is>
          <x:t xml:space="preserve">意丁</x:t>
        </x:is>
      </x:c>
      <x:c r="F89" s="595" t="inlineStr">
        <x:is>
          <x:t xml:space="preserve">热带科里亚诺 vs 伦蒂吉奥</x:t>
        </x:is>
      </x:c>
      <x:c r="G89" s="596" t="n">
        <x:v>1</x:v>
      </x:c>
      <x:c r="H89" s="596" t="n">
        <x:v>-0.75</x:v>
      </x:c>
      <x:c r="I89" s="596" t="n">
        <x:v>0.7</x:v>
      </x:c>
      <x:c r="J89" s="596" t="inlineStr">
        <x:is>
          <x:t xml:space="preserve">1.00/-0.75/0.70</x:t>
        </x:is>
      </x:c>
      <x:c r="K89" s="595" t="inlineStr">
        <x:is>
          <x:t xml:space="preserve">V4-C｜EV +0.0125</x:t>
        </x:is>
      </x:c>
      <x:c r="L89" s="595" t="inlineStr">
        <x:is>
          <x:t xml:space="preserve">热带科里亚诺</x:t>
        </x:is>
      </x:c>
      <x:c r="M89" s="597" t="n">
        <x:v>0.5071770334928229</x:v>
      </x:c>
      <x:c r="N89" s="595" t="inlineStr">
        <x:is>
          <x:t xml:space="preserve">V4纸面入选-C</x:t>
        </x:is>
      </x:c>
      <x:c r="O89" s="595" t="inlineStr">
        <x:is>
          <x:t xml:space="preserve">1-2</x:t>
        </x:is>
      </x:c>
      <x:c r="P89" s="595" t="inlineStr">
        <x:is>
          <x:t xml:space="preserve">已结算</x:t>
        </x:is>
      </x:c>
      <x:c r="Q89" s="643" t="inlineStr">
        <x:is>
          <x:t xml:space="preserve">半黑</x:t>
        </x:is>
      </x:c>
      <x:c r="R89" s="599" t="n">
        <x:v>1</x:v>
      </x:c>
      <x:c r="S89" s="599" t="n">
        <x:f>IF(OR(Q89="",Q89="待结算"),"",IF(Q89="红",R89,IF(Q89="半红",R89*0.5,IF(Q89="走",0,IF(Q89="半黑",-0.5,-1)))))</x:f>
        <x:v>-0.5</x:v>
      </x:c>
      <x:c r="T89" s="595" t="inlineStr">
        <x:is>
          <x:t xml:space="preserve">https://simondongxiao.github.io/odds/v4/</x:t>
        </x:is>
      </x:c>
      <x:c r="U89" s="642" t="str">
        <x:f>IF(Q89="","",IF(Q89="待结算","待结算",IF(Q89="红","黑",IF(Q89="半红","半黑",IF(Q89="走","走",IF(Q89="半黑","半红","红"))))))</x:f>
        <x:v>半红</x:v>
      </x:c>
      <x:c r="V89" s="599" t="n">
        <x:f>IF(OR(Q89="",Q89="待结算"),"",IF(L89=LEFT(F89,FIND(" vs ",F89)-1),I89,G89))</x:f>
        <x:v>0.7</x:v>
      </x:c>
      <x:c r="W89" s="599" t="n">
        <x:f>IF(OR(U89="",U89="待结算"),"",IF(U89="红",V89,IF(U89="半红",V89*0.5,IF(U89="走",0,IF(U89="半黑",-0.5,-1)))))</x:f>
        <x:v>0.35</x:v>
      </x:c>
      <x:c r="X89" s="595" t="inlineStr">
        <x:is>
          <x:t xml:space="preserve">3089178</x:t>
        </x:is>
      </x:c>
      <x:c r="Y89" s="595" t="inlineStr">
        <x:is>
          <x:t xml:space="preserve">v4-market-dirichlet-20260913</x:t>
        </x:is>
      </x:c>
      <x:c r="Z89" s="595" t="inlineStr">
        <x:is>
          <x:t xml:space="preserve">prior-2026-09-16-v1</x:t>
        </x:is>
      </x:c>
      <x:c r="AA89" s="595" t="inlineStr">
        <x:is>
          <x:t xml:space="preserve">C</x:t>
        </x:is>
      </x:c>
      <x:c r="AB89" s="600" t="n">
        <x:v>0.4416666666666667</x:v>
      </x:c>
      <x:c r="AC89" s="600" t="n">
        <x:v>0</x:v>
      </x:c>
      <x:c r="AD89" s="600" t="n">
        <x:v>0</x:v>
      </x:c>
      <x:c r="AE89" s="600" t="n">
        <x:v>0.2583333333333334</x:v>
      </x:c>
      <x:c r="AF89" s="600" t="n">
        <x:v>0.3</x:v>
      </x:c>
      <x:c r="AG89" s="600" t="n">
        <x:v>0.01250000000000001</x:v>
      </x:c>
      <x:c r="AH89" s="600" t="n">
        <x:v>-0.1150749533467559</x:v>
      </x:c>
      <x:c r="AI89" s="600" t="n">
        <x:v>-0.08946295972003593</x:v>
      </x:c>
      <x:c r="AJ89" s="600" t="n">
        <x:v>0.01456148773936761</x:v>
      </x:c>
      <x:c r="AK89" s="600" t="n">
        <x:v>0.1174049375957721</x:v>
      </x:c>
      <x:c r="AL89" s="600" t="n">
        <x:v>0.1452687484922818</x:v>
      </x:c>
      <x:c r="AM89" s="600" t="n">
        <x:v>0.5746</x:v>
      </x:c>
      <x:c r="AN89" s="595" t="inlineStr">
        <x:is>
          <x:t xml:space="preserve">FROZEN_PREMATCH_DECISION</x:t>
        </x:is>
      </x:c>
      <x:c r="AO89" s="600" t="inlineStr">
        <x:is>
          <x:t xml:space="preserve">STARTED_DECISION_LOCKED</x:t>
        </x:is>
      </x:c>
      <x:c r="AP89" s="600" t="inlineStr">
        <x:is>
          <x:t xml:space="preserve">fba7524f7435a137ab13</x:t>
        </x:is>
      </x:c>
      <x:c r="AQ89" s="600" t="n">
        <x:v>0.75</x:v>
      </x:c>
      <x:c r="AR89" s="600" t="n">
        <x:v>1</x:v>
      </x:c>
      <x:c r="AS89" s="600" t="n">
        <x:v>0.75</x:v>
      </x:c>
      <x:c r="AT89" s="600" t="n">
        <x:v>-0.75</x:v>
      </x:c>
      <x:c r="AU89" s="600" t="n">
        <x:v>1</x:v>
      </x:c>
      <x:c r="AV89" s="600" t="n">
        <x:v>0.7</x:v>
      </x:c>
      <x:c r="AW89" s="595" t="n">
        <x:v>46281.53750829861</x:v>
      </x:c>
      <x:c r="AX89" s="595" t="inlineStr">
        <x:is>
          <x:t xml:space="preserve">https://simondongxiao.github.io/odds/v4/</x:t>
        </x:is>
      </x:c>
      <x:c r="AY89" s="595" t="inlineStr">
        <x:is>
          <x:t xml:space="preserve">V4 Shadow Only；real_money=false；P(EV&gt;0)不是比赛胜率</x:t>
        </x:is>
      </x:c>
    </x:row>
    <x:row r="90" ht="22" customHeight="1">
      <x:c r="A90" s="595" t="inlineStr">
        <x:is>
          <x:t xml:space="preserve">2026-09-16</x:t>
        </x:is>
      </x:c>
      <x:c r="B90" s="595" t="inlineStr">
        <x:is>
          <x:t xml:space="preserve">2026-09-16 21:00</x:t>
        </x:is>
      </x:c>
      <x:c r="C90" s="595" t="str">
        <x:v>五大联赛非顶级联赛</x:v>
      </x:c>
      <x:c r="D90" s="595" t="inlineStr">
        <x:is>
          <x:t xml:space="preserve">联赛</x:t>
        </x:is>
      </x:c>
      <x:c r="E90" s="595" t="inlineStr">
        <x:is>
          <x:t xml:space="preserve">意丁</x:t>
        </x:is>
      </x:c>
      <x:c r="F90" s="595" t="inlineStr">
        <x:is>
          <x:t xml:space="preserve">瓜沃兰纳 vs 基维扎诺</x:t>
        </x:is>
      </x:c>
      <x:c r="G90" s="596" t="n">
        <x:v>0.66</x:v>
      </x:c>
      <x:c r="H90" s="596" t="n">
        <x:v>0.25</x:v>
      </x:c>
      <x:c r="I90" s="596" t="n">
        <x:v>1.04</x:v>
      </x:c>
      <x:c r="J90" s="596" t="inlineStr">
        <x:is>
          <x:t xml:space="preserve">0.66/0.25/1.04</x:t>
        </x:is>
      </x:c>
      <x:c r="K90" s="595" t="inlineStr">
        <x:is>
          <x:t xml:space="preserve">V4-C｜EV +0.0187</x:t>
        </x:is>
      </x:c>
      <x:c r="L90" s="595" t="inlineStr">
        <x:is>
          <x:t xml:space="preserve">基维扎诺</x:t>
        </x:is>
      </x:c>
      <x:c r="M90" s="597" t="n">
        <x:v>0.5010224948875256</x:v>
      </x:c>
      <x:c r="N90" s="595" t="inlineStr">
        <x:is>
          <x:t xml:space="preserve">V4纸面入选-C</x:t>
        </x:is>
      </x:c>
      <x:c r="O90" s="595" t="inlineStr">
        <x:is>
          <x:t xml:space="preserve">1-0</x:t>
        </x:is>
      </x:c>
      <x:c r="P90" s="595" t="inlineStr">
        <x:is>
          <x:t xml:space="preserve">已结算</x:t>
        </x:is>
      </x:c>
      <x:c r="Q90" s="641" t="inlineStr">
        <x:is>
          <x:t xml:space="preserve">黑</x:t>
        </x:is>
      </x:c>
      <x:c r="R90" s="599" t="n">
        <x:v>1.04</x:v>
      </x:c>
      <x:c r="S90" s="599" t="n">
        <x:f>IF(OR(Q90="",Q90="待结算"),"",IF(Q90="红",R90,IF(Q90="半红",R90*0.5,IF(Q90="走",0,IF(Q90="半黑",-0.5,-1)))))</x:f>
        <x:v>-1</x:v>
      </x:c>
      <x:c r="T90" s="595" t="inlineStr">
        <x:is>
          <x:t xml:space="preserve">https://simondongxiao.github.io/odds/v4/</x:t>
        </x:is>
      </x:c>
      <x:c r="U90" s="640" t="str">
        <x:f>IF(Q90="","",IF(Q90="待结算","待结算",IF(Q90="红","黑",IF(Q90="半红","半黑",IF(Q90="走","走",IF(Q90="半黑","半红","红"))))))</x:f>
        <x:v>红</x:v>
      </x:c>
      <x:c r="V90" s="599" t="n">
        <x:f>IF(OR(Q90="",Q90="待结算"),"",IF(L90=LEFT(F90,FIND(" vs ",F90)-1),I90,G90))</x:f>
        <x:v>0.66</x:v>
      </x:c>
      <x:c r="W90" s="599" t="n">
        <x:f>IF(OR(U90="",U90="待结算"),"",IF(U90="红",V90,IF(U90="半红",V90*0.5,IF(U90="走",0,IF(U90="半黑",-0.5,-1)))))</x:f>
        <x:v>0.66</x:v>
      </x:c>
      <x:c r="X90" s="595" t="inlineStr">
        <x:is>
          <x:t xml:space="preserve">3089181</x:t>
        </x:is>
      </x:c>
      <x:c r="Y90" s="595" t="inlineStr">
        <x:is>
          <x:t xml:space="preserve">v4-market-dirichlet-20260913</x:t>
        </x:is>
      </x:c>
      <x:c r="Z90" s="595" t="inlineStr">
        <x:is>
          <x:t xml:space="preserve">prior-2026-09-16-v1</x:t>
        </x:is>
      </x:c>
      <x:c r="AA90" s="595" t="inlineStr">
        <x:is>
          <x:t xml:space="preserve">C</x:t>
        </x:is>
      </x:c>
      <x:c r="AB90" s="600" t="n">
        <x:v>0.2743055555555556</x:v>
      </x:c>
      <x:c r="AC90" s="600" t="n">
        <x:v>0.3020833333333333</x:v>
      </x:c>
      <x:c r="AD90" s="600" t="n">
        <x:v>0</x:v>
      </x:c>
      <x:c r="AE90" s="600" t="n">
        <x:v>0</x:v>
      </x:c>
      <x:c r="AF90" s="600" t="n">
        <x:v>0.4236111111111111</x:v>
      </x:c>
      <x:c r="AG90" s="600" t="n">
        <x:v>0.01874999999999999</x:v>
      </x:c>
      <x:c r="AH90" s="600" t="n">
        <x:v>-0.07028208753248627</x:v>
      </x:c>
      <x:c r="AI90" s="600" t="n">
        <x:v>-0.05096627854710872</x:v>
      </x:c>
      <x:c r="AJ90" s="600" t="n">
        <x:v>0.01915430849886007</x:v>
      </x:c>
      <x:c r="AK90" s="600" t="n">
        <x:v>0.08620360942389227</x:v>
      </x:c>
      <x:c r="AL90" s="600" t="n">
        <x:v>0.1052873607994004</x:v>
      </x:c>
      <x:c r="AM90" s="600" t="n">
        <x:v>0.6294</x:v>
      </x:c>
      <x:c r="AN90" s="595" t="inlineStr">
        <x:is>
          <x:t xml:space="preserve">FROZEN_PREMATCH_DECISION</x:t>
        </x:is>
      </x:c>
      <x:c r="AO90" s="600" t="inlineStr">
        <x:is>
          <x:t xml:space="preserve">STARTED_DECISION_LOCKED</x:t>
        </x:is>
      </x:c>
      <x:c r="AP90" s="600" t="inlineStr">
        <x:is>
          <x:t xml:space="preserve">863a069252ebe8cfc36a</x:t>
        </x:is>
      </x:c>
      <x:c r="AQ90" s="600" t="n">
        <x:v>0.25</x:v>
      </x:c>
      <x:c r="AR90" s="600" t="n">
        <x:v>1.04</x:v>
      </x:c>
      <x:c r="AS90" s="600" t="n">
        <x:v>-0.25</x:v>
      </x:c>
      <x:c r="AT90" s="600" t="n">
        <x:v>0.25</x:v>
      </x:c>
      <x:c r="AU90" s="600" t="n">
        <x:v>0.66</x:v>
      </x:c>
      <x:c r="AV90" s="600" t="n">
        <x:v>1.04</x:v>
      </x:c>
      <x:c r="AW90" s="595" t="n">
        <x:v>46281.53750829861</x:v>
      </x:c>
      <x:c r="AX90" s="595" t="inlineStr">
        <x:is>
          <x:t xml:space="preserve">https://simondongxiao.github.io/odds/v4/</x:t>
        </x:is>
      </x:c>
      <x:c r="AY90" s="595" t="inlineStr">
        <x:is>
          <x:t xml:space="preserve">V4 Shadow Only；real_money=false；P(EV&gt;0)不是比赛胜率</x:t>
        </x:is>
      </x:c>
    </x:row>
    <x:row r="91" ht="22" customHeight="1">
      <x:c r="A91" s="595" t="inlineStr">
        <x:is>
          <x:t xml:space="preserve">2026-09-16</x:t>
        </x:is>
      </x:c>
      <x:c r="B91" s="595" t="inlineStr">
        <x:is>
          <x:t xml:space="preserve">2026-09-16 22:00</x:t>
        </x:is>
      </x:c>
      <x:c r="C91" s="595" t="str">
        <x:v>其他系列</x:v>
      </x:c>
      <x:c r="D91" s="595" t="inlineStr">
        <x:is>
          <x:t xml:space="preserve">联赛</x:t>
        </x:is>
      </x:c>
      <x:c r="E91" s="595" t="inlineStr">
        <x:is>
          <x:t xml:space="preserve">埃及超</x:t>
        </x:is>
      </x:c>
      <x:c r="F91" s="595" t="inlineStr">
        <x:is>
          <x:t xml:space="preserve">艾尔格纳 vs 佩特捷德</x:t>
        </x:is>
      </x:c>
      <x:c r="G91" s="596" t="n">
        <x:v>0.84</x:v>
      </x:c>
      <x:c r="H91" s="596" t="n">
        <x:v>-0.25</x:v>
      </x:c>
      <x:c r="I91" s="596" t="n">
        <x:v>1.05</x:v>
      </x:c>
      <x:c r="J91" s="596" t="inlineStr">
        <x:is>
          <x:t xml:space="preserve">0.84/-0.25/1.05</x:t>
        </x:is>
      </x:c>
      <x:c r="K91" s="595" t="inlineStr">
        <x:is>
          <x:t xml:space="preserve">V4-C｜EV +0.0194</x:t>
        </x:is>
      </x:c>
      <x:c r="L91" s="595" t="inlineStr">
        <x:is>
          <x:t xml:space="preserve">佩特捷德</x:t>
        </x:is>
      </x:c>
      <x:c r="M91" s="597" t="n">
        <x:v>0.4989775051124744</x:v>
      </x:c>
      <x:c r="N91" s="595" t="inlineStr">
        <x:is>
          <x:t xml:space="preserve">V4纸面入选-C</x:t>
        </x:is>
      </x:c>
      <x:c r="O91" s="595" t="inlineStr">
        <x:is>
          <x:t xml:space="preserve">1-2</x:t>
        </x:is>
      </x:c>
      <x:c r="P91" s="595" t="inlineStr">
        <x:is>
          <x:t xml:space="preserve">已结算</x:t>
        </x:is>
      </x:c>
      <x:c r="Q91" s="640" t="inlineStr">
        <x:is>
          <x:t xml:space="preserve">红</x:t>
        </x:is>
      </x:c>
      <x:c r="R91" s="599" t="n">
        <x:v>1.05</x:v>
      </x:c>
      <x:c r="S91" s="599" t="n">
        <x:f>IF(OR(Q91="",Q91="待结算"),"",IF(Q91="红",R91,IF(Q91="半红",R91*0.5,IF(Q91="走",0,IF(Q91="半黑",-0.5,-1)))))</x:f>
        <x:v>1.05</x:v>
      </x:c>
      <x:c r="T91" s="595" t="inlineStr">
        <x:is>
          <x:t xml:space="preserve">https://simondongxiao.github.io/odds/v4/</x:t>
        </x:is>
      </x:c>
      <x:c r="U91" s="641" t="str">
        <x:f>IF(Q91="","",IF(Q91="待结算","待结算",IF(Q91="红","黑",IF(Q91="半红","半黑",IF(Q91="走","走",IF(Q91="半黑","半红","红"))))))</x:f>
        <x:v>黑</x:v>
      </x:c>
      <x:c r="V91" s="599" t="n">
        <x:f>IF(OR(Q91="",Q91="待结算"),"",IF(L91=LEFT(F91,FIND(" vs ",F91)-1),I91,G91))</x:f>
        <x:v>0.84</x:v>
      </x:c>
      <x:c r="W91" s="599" t="n">
        <x:f>IF(OR(U91="",U91="待结算"),"",IF(U91="红",V91,IF(U91="半红",V91*0.5,IF(U91="走",0,IF(U91="半黑",-0.5,-1)))))</x:f>
        <x:v>-1</x:v>
      </x:c>
      <x:c r="X91" s="595" t="inlineStr">
        <x:is>
          <x:t xml:space="preserve">3059459</x:t>
        </x:is>
      </x:c>
      <x:c r="Y91" s="595" t="inlineStr">
        <x:is>
          <x:t xml:space="preserve">v4-market-dirichlet-20260913</x:t>
        </x:is>
      </x:c>
      <x:c r="Z91" s="595" t="inlineStr">
        <x:is>
          <x:t xml:space="preserve">prior-2026-09-16-v1</x:t>
        </x:is>
      </x:c>
      <x:c r="AA91" s="595" t="inlineStr">
        <x:is>
          <x:t xml:space="preserve">C</x:t>
        </x:is>
      </x:c>
      <x:c r="AB91" s="600" t="n">
        <x:v>0.4236111111111111</x:v>
      </x:c>
      <x:c r="AC91" s="600" t="n">
        <x:v>0</x:v>
      </x:c>
      <x:c r="AD91" s="600" t="n">
        <x:v>0</x:v>
      </x:c>
      <x:c r="AE91" s="600" t="n">
        <x:v>0.3020833333333333</x:v>
      </x:c>
      <x:c r="AF91" s="600" t="n">
        <x:v>0.2743055555555556</x:v>
      </x:c>
      <x:c r="AG91" s="600" t="n">
        <x:v>0.01944444444444449</x:v>
      </x:c>
      <x:c r="AH91" s="600" t="n">
        <x:v>-0.06832108796499264</x:v>
      </x:c>
      <x:c r="AI91" s="600" t="n">
        <x:v>-0.04686416696061491</x:v>
      </x:c>
      <x:c r="AJ91" s="600" t="n">
        <x:v>0.02120938953649176</x:v>
      </x:c>
      <x:c r="AK91" s="600" t="n">
        <x:v>0.08814659714057593</x:v>
      </x:c>
      <x:c r="AL91" s="600" t="n">
        <x:v>0.1084828143096184</x:v>
      </x:c>
      <x:c r="AM91" s="600" t="n">
        <x:v>0.6474</x:v>
      </x:c>
      <x:c r="AN91" s="595" t="inlineStr">
        <x:is>
          <x:t xml:space="preserve">FROZEN_PREMATCH_DECISION</x:t>
        </x:is>
      </x:c>
      <x:c r="AO91" s="600" t="inlineStr">
        <x:is>
          <x:t xml:space="preserve">STARTED_DECISION_LOCKED</x:t>
        </x:is>
      </x:c>
      <x:c r="AP91" s="600" t="inlineStr">
        <x:is>
          <x:t xml:space="preserve">84df3ec77b1fa86299c0</x:t>
        </x:is>
      </x:c>
      <x:c r="AQ91" s="600" t="n">
        <x:v>-0.25</x:v>
      </x:c>
      <x:c r="AR91" s="600" t="n">
        <x:v>1.05</x:v>
      </x:c>
      <x:c r="AS91" s="600" t="n">
        <x:v>0.25</x:v>
      </x:c>
      <x:c r="AT91" s="600" t="n">
        <x:v>-0.25</x:v>
      </x:c>
      <x:c r="AU91" s="600" t="n">
        <x:v>0.84</x:v>
      </x:c>
      <x:c r="AV91" s="600" t="n">
        <x:v>1.05</x:v>
      </x:c>
      <x:c r="AW91" s="595" t="n">
        <x:v>46281.53750829861</x:v>
      </x:c>
      <x:c r="AX91" s="595" t="inlineStr">
        <x:is>
          <x:t xml:space="preserve">https://simondongxiao.github.io/odds/v4/</x:t>
        </x:is>
      </x:c>
      <x:c r="AY91" s="595" t="inlineStr">
        <x:is>
          <x:t xml:space="preserve">V4 Shadow Only；real_money=false；P(EV&gt;0)不是比赛胜率</x:t>
        </x:is>
      </x:c>
    </x:row>
    <x:row r="92" ht="22" customHeight="1">
      <x:c r="A92" s="595" t="inlineStr">
        <x:is>
          <x:t xml:space="preserve">2026-09-16</x:t>
        </x:is>
      </x:c>
      <x:c r="B92" s="595" t="inlineStr">
        <x:is>
          <x:t xml:space="preserve">2026-09-16 22:00</x:t>
        </x:is>
      </x:c>
      <x:c r="C92" s="595" t="str">
        <x:v>欧洲非五大系列</x:v>
      </x:c>
      <x:c r="D92" s="595" t="inlineStr">
        <x:is>
          <x:t xml:space="preserve">杯赛</x:t>
        </x:is>
      </x:c>
      <x:c r="E92" s="595" t="inlineStr">
        <x:is>
          <x:t xml:space="preserve">捷克杯</x:t>
        </x:is>
      </x:c>
      <x:c r="F92" s="595" t="inlineStr">
        <x:is>
          <x:t xml:space="preserve">卡拉路夫 vs 布尔诺</x:t>
        </x:is>
      </x:c>
      <x:c r="G92" s="596" t="n">
        <x:v>0.86</x:v>
      </x:c>
      <x:c r="H92" s="596" t="n">
        <x:v>-2</x:v>
      </x:c>
      <x:c r="I92" s="596" t="n">
        <x:v>0.84</x:v>
      </x:c>
      <x:c r="J92" s="596" t="inlineStr">
        <x:is>
          <x:t xml:space="preserve">0.86/-2/0.84</x:t>
        </x:is>
      </x:c>
      <x:c r="K92" s="595" t="inlineStr">
        <x:is>
          <x:t xml:space="preserve">V4-C｜EV +0.1600</x:t>
        </x:is>
      </x:c>
      <x:c r="L92" s="595" t="inlineStr">
        <x:is>
          <x:t xml:space="preserve">布尔诺</x:t>
        </x:is>
      </x:c>
      <x:c r="M92" s="597" t="n">
        <x:v>0.6428571428571429</x:v>
      </x:c>
      <x:c r="N92" s="595" t="inlineStr">
        <x:is>
          <x:t xml:space="preserve">V4纸面入选-C</x:t>
        </x:is>
      </x:c>
      <x:c r="O92" s="595" t="inlineStr">
        <x:is>
          <x:t xml:space="preserve">0-3</x:t>
        </x:is>
      </x:c>
      <x:c r="P92" s="595" t="inlineStr">
        <x:is>
          <x:t xml:space="preserve">已结算</x:t>
        </x:is>
      </x:c>
      <x:c r="Q92" s="640" t="inlineStr">
        <x:is>
          <x:t xml:space="preserve">红</x:t>
        </x:is>
      </x:c>
      <x:c r="R92" s="599" t="n">
        <x:v>0.84</x:v>
      </x:c>
      <x:c r="S92" s="599" t="n">
        <x:f>IF(OR(Q92="",Q92="待结算"),"",IF(Q92="红",R92,IF(Q92="半红",R92*0.5,IF(Q92="走",0,IF(Q92="半黑",-0.5,-1)))))</x:f>
        <x:v>0.84</x:v>
      </x:c>
      <x:c r="T92" s="595" t="inlineStr">
        <x:is>
          <x:t xml:space="preserve">https://simondongxiao.github.io/odds/v4/</x:t>
        </x:is>
      </x:c>
      <x:c r="U92" s="641" t="str">
        <x:f>IF(Q92="","",IF(Q92="待结算","待结算",IF(Q92="红","黑",IF(Q92="半红","半黑",IF(Q92="走","走",IF(Q92="半黑","半红","红"))))))</x:f>
        <x:v>黑</x:v>
      </x:c>
      <x:c r="V92" s="599" t="n">
        <x:f>IF(OR(Q92="",Q92="待结算"),"",IF(L92=LEFT(F92,FIND(" vs ",F92)-1),I92,G92))</x:f>
        <x:v>0.86</x:v>
      </x:c>
      <x:c r="W92" s="599" t="n">
        <x:f>IF(OR(U92="",U92="待结算"),"",IF(U92="红",V92,IF(U92="半红",V92*0.5,IF(U92="走",0,IF(U92="半黑",-0.5,-1)))))</x:f>
        <x:v>-1</x:v>
      </x:c>
      <x:c r="X92" s="595" t="inlineStr">
        <x:is>
          <x:t xml:space="preserve">3075226</x:t>
        </x:is>
      </x:c>
      <x:c r="Y92" s="595" t="inlineStr">
        <x:is>
          <x:t xml:space="preserve">v4-market-dirichlet-20260913</x:t>
        </x:is>
      </x:c>
      <x:c r="Z92" s="595" t="inlineStr">
        <x:is>
          <x:t xml:space="preserve">prior-2026-09-16-v1</x:t>
        </x:is>
      </x:c>
      <x:c r="AA92" s="595" t="inlineStr">
        <x:is>
          <x:t xml:space="preserve">C</x:t>
        </x:is>
      </x:c>
      <x:c r="AB92" s="600" t="n">
        <x:v>0.5625</x:v>
      </x:c>
      <x:c r="AC92" s="600" t="n">
        <x:v>0</x:v>
      </x:c>
      <x:c r="AD92" s="600" t="n">
        <x:v>0.125</x:v>
      </x:c>
      <x:c r="AE92" s="600" t="n">
        <x:v>0</x:v>
      </x:c>
      <x:c r="AF92" s="600" t="n">
        <x:v>0.3125</x:v>
      </x:c>
      <x:c r="AG92" s="600" t="n">
        <x:v>0.16</x:v>
      </x:c>
      <x:c r="AH92" s="600" t="n">
        <x:v>-0.1897024851927153</x:v>
      </x:c>
      <x:c r="AI92" s="600" t="n">
        <x:v>-0.1069641597377341</x:v>
      </x:c>
      <x:c r="AJ92" s="600" t="n">
        <x:v>0.1654720308626272</x:v>
      </x:c>
      <x:c r="AK92" s="600" t="n">
        <x:v>0.4166114881770797</x:v>
      </x:c>
      <x:c r="AL92" s="600" t="n">
        <x:v>0.475177653994161</x:v>
      </x:c>
      <x:c r="AM92" s="600" t="n">
        <x:v>0.787</x:v>
      </x:c>
      <x:c r="AN92" s="595" t="inlineStr">
        <x:is>
          <x:t xml:space="preserve">FROZEN_PREMATCH_DECISION</x:t>
        </x:is>
      </x:c>
      <x:c r="AO92" s="600" t="inlineStr">
        <x:is>
          <x:t xml:space="preserve">STARTED_DECISION_LOCKED</x:t>
        </x:is>
      </x:c>
      <x:c r="AP92" s="600" t="inlineStr">
        <x:is>
          <x:t xml:space="preserve">95f5037daecc028d5443</x:t>
        </x:is>
      </x:c>
      <x:c r="AQ92" s="600" t="n">
        <x:v>-2</x:v>
      </x:c>
      <x:c r="AR92" s="600" t="n">
        <x:v>0.84</x:v>
      </x:c>
      <x:c r="AS92" s="600" t="n">
        <x:v>2</x:v>
      </x:c>
      <x:c r="AT92" s="600" t="n">
        <x:v>-2</x:v>
      </x:c>
      <x:c r="AU92" s="600" t="n">
        <x:v>0.86</x:v>
      </x:c>
      <x:c r="AV92" s="600" t="n">
        <x:v>0.84</x:v>
      </x:c>
      <x:c r="AW92" s="595" t="n">
        <x:v>46281.53750829861</x:v>
      </x:c>
      <x:c r="AX92" s="595" t="inlineStr">
        <x:is>
          <x:t xml:space="preserve">https://simondongxiao.github.io/odds/v4/</x:t>
        </x:is>
      </x:c>
      <x:c r="AY92" s="595" t="inlineStr">
        <x:is>
          <x:t xml:space="preserve">V4 Shadow Only；real_money=false；P(EV&gt;0)不是比赛胜率</x:t>
        </x:is>
      </x:c>
    </x:row>
    <x:row r="93" ht="22" customHeight="1">
      <x:c r="A93" s="595" t="inlineStr">
        <x:is>
          <x:t xml:space="preserve">2026-09-16</x:t>
        </x:is>
      </x:c>
      <x:c r="B93" s="595" t="inlineStr">
        <x:is>
          <x:t xml:space="preserve">2026-09-16 22:00</x:t>
        </x:is>
      </x:c>
      <x:c r="C93" s="595" t="str">
        <x:v>五大联赛非顶级联赛</x:v>
      </x:c>
      <x:c r="D93" s="595" t="inlineStr">
        <x:is>
          <x:t xml:space="preserve">联赛</x:t>
        </x:is>
      </x:c>
      <x:c r="E93" s="595" t="inlineStr">
        <x:is>
          <x:t xml:space="preserve">意丁</x:t>
        </x:is>
      </x:c>
      <x:c r="F93" s="595" t="inlineStr">
        <x:is>
          <x:t xml:space="preserve">卢捷斯 vs 普罗格雷索足球</x:t>
        </x:is>
      </x:c>
      <x:c r="G93" s="596" t="n">
        <x:v>0.8100000000000001</x:v>
      </x:c>
      <x:c r="H93" s="596" t="n">
        <x:v>1</x:v>
      </x:c>
      <x:c r="I93" s="596" t="n">
        <x:v>0.89</x:v>
      </x:c>
      <x:c r="J93" s="596" t="inlineStr">
        <x:is>
          <x:t xml:space="preserve">0.81/1/0.89</x:t>
        </x:is>
      </x:c>
      <x:c r="K93" s="595" t="inlineStr">
        <x:is>
          <x:t xml:space="preserve">V4-C｜EV +0.0195</x:t>
        </x:is>
      </x:c>
      <x:c r="L93" s="595" t="inlineStr">
        <x:is>
          <x:t xml:space="preserve">普罗格雷索足球</x:t>
        </x:is>
      </x:c>
      <x:c r="M93" s="597" t="n">
        <x:v>0.5423728813559322</x:v>
      </x:c>
      <x:c r="N93" s="595" t="inlineStr">
        <x:is>
          <x:t xml:space="preserve">V4纸面入选-C</x:t>
        </x:is>
      </x:c>
      <x:c r="O93" s="595" t="inlineStr">
        <x:is>
          <x:t xml:space="preserve">5-0</x:t>
        </x:is>
      </x:c>
      <x:c r="P93" s="595" t="inlineStr">
        <x:is>
          <x:t xml:space="preserve">已结算</x:t>
        </x:is>
      </x:c>
      <x:c r="Q93" s="641" t="inlineStr">
        <x:is>
          <x:t xml:space="preserve">黑</x:t>
        </x:is>
      </x:c>
      <x:c r="R93" s="599" t="n">
        <x:v>0.89</x:v>
      </x:c>
      <x:c r="S93" s="599" t="n">
        <x:f>IF(OR(Q93="",Q93="待结算"),"",IF(Q93="红",R93,IF(Q93="半红",R93*0.5,IF(Q93="走",0,IF(Q93="半黑",-0.5,-1)))))</x:f>
        <x:v>-1</x:v>
      </x:c>
      <x:c r="T93" s="595" t="inlineStr">
        <x:is>
          <x:t xml:space="preserve">https://simondongxiao.github.io/odds/v4/</x:t>
        </x:is>
      </x:c>
      <x:c r="U93" s="640" t="str">
        <x:f>IF(Q93="","",IF(Q93="待结算","待结算",IF(Q93="红","黑",IF(Q93="半红","半黑",IF(Q93="走","走",IF(Q93="半黑","半红","红"))))))</x:f>
        <x:v>红</x:v>
      </x:c>
      <x:c r="V93" s="599" t="n">
        <x:f>IF(OR(Q93="",Q93="待结算"),"",IF(L93=LEFT(F93,FIND(" vs ",F93)-1),I93,G93))</x:f>
        <x:v>0.81</x:v>
      </x:c>
      <x:c r="W93" s="599" t="n">
        <x:f>IF(OR(U93="",U93="待结算"),"",IF(U93="红",V93,IF(U93="半红",V93*0.5,IF(U93="走",0,IF(U93="半黑",-0.5,-1)))))</x:f>
        <x:v>0.81</x:v>
      </x:c>
      <x:c r="X93" s="595" t="inlineStr">
        <x:is>
          <x:t xml:space="preserve">3089182</x:t>
        </x:is>
      </x:c>
      <x:c r="Y93" s="595" t="inlineStr">
        <x:is>
          <x:t xml:space="preserve">v4-market-dirichlet-20260913</x:t>
        </x:is>
      </x:c>
      <x:c r="Z93" s="595" t="inlineStr">
        <x:is>
          <x:t xml:space="preserve">prior-2026-09-16-v1</x:t>
        </x:is>
      </x:c>
      <x:c r="AA93" s="595" t="inlineStr">
        <x:is>
          <x:t xml:space="preserve">C</x:t>
        </x:is>
      </x:c>
      <x:c r="AB93" s="600" t="n">
        <x:v>0.4210526315789473</x:v>
      </x:c>
      <x:c r="AC93" s="600" t="n">
        <x:v>0</x:v>
      </x:c>
      <x:c r="AD93" s="600" t="n">
        <x:v>0.2236842105263158</x:v>
      </x:c>
      <x:c r="AE93" s="600" t="n">
        <x:v>0</x:v>
      </x:c>
      <x:c r="AF93" s="600" t="n">
        <x:v>0.3552631578947368</x:v>
      </x:c>
      <x:c r="AG93" s="600" t="n">
        <x:v>0.01947368421052631</x:v>
      </x:c>
      <x:c r="AH93" s="600" t="n">
        <x:v>-0.1395158251518965</x:v>
      </x:c>
      <x:c r="AI93" s="600" t="n">
        <x:v>-0.1039243776057173</x:v>
      </x:c>
      <x:c r="AJ93" s="600" t="n">
        <x:v>0.02066442400498675</x:v>
      </x:c>
      <x:c r="AK93" s="600" t="n">
        <x:v>0.1389134713810509</x:v>
      </x:c>
      <x:c r="AL93" s="600" t="n">
        <x:v>0.1741221083914759</x:v>
      </x:c>
      <x:c r="AM93" s="600" t="n">
        <x:v>0.5822000000000001</x:v>
      </x:c>
      <x:c r="AN93" s="595" t="inlineStr">
        <x:is>
          <x:t xml:space="preserve">FROZEN_PREMATCH_DECISION</x:t>
        </x:is>
      </x:c>
      <x:c r="AO93" s="600" t="inlineStr">
        <x:is>
          <x:t xml:space="preserve">STARTED_DECISION_LOCKED</x:t>
        </x:is>
      </x:c>
      <x:c r="AP93" s="600" t="inlineStr">
        <x:is>
          <x:t xml:space="preserve">e15f7faeec17d3285421</x:t>
        </x:is>
      </x:c>
      <x:c r="AQ93" s="600" t="n">
        <x:v>1</x:v>
      </x:c>
      <x:c r="AR93" s="600" t="n">
        <x:v>0.89</x:v>
      </x:c>
      <x:c r="AS93" s="600" t="n">
        <x:v>-1</x:v>
      </x:c>
      <x:c r="AT93" s="600" t="n">
        <x:v>1</x:v>
      </x:c>
      <x:c r="AU93" s="600" t="n">
        <x:v>0.8100000000000001</x:v>
      </x:c>
      <x:c r="AV93" s="600" t="n">
        <x:v>0.89</x:v>
      </x:c>
      <x:c r="AW93" s="595" t="n">
        <x:v>46281.53750829861</x:v>
      </x:c>
      <x:c r="AX93" s="595" t="inlineStr">
        <x:is>
          <x:t xml:space="preserve">https://simondongxiao.github.io/odds/v4/</x:t>
        </x:is>
      </x:c>
      <x:c r="AY93" s="595" t="inlineStr">
        <x:is>
          <x:t xml:space="preserve">V4 Shadow Only；real_money=false；P(EV&gt;0)不是比赛胜率</x:t>
        </x:is>
      </x:c>
    </x:row>
    <x:row r="94" ht="22" customHeight="1">
      <x:c r="A94" s="595" t="inlineStr">
        <x:is>
          <x:t xml:space="preserve">2026-09-16</x:t>
        </x:is>
      </x:c>
      <x:c r="B94" s="595" t="inlineStr">
        <x:is>
          <x:t xml:space="preserve">2026-09-16 22:30</x:t>
        </x:is>
      </x:c>
      <x:c r="C94" s="595" t="str">
        <x:v>五大联赛非顶级联赛</x:v>
      </x:c>
      <x:c r="D94" s="595" t="inlineStr">
        <x:is>
          <x:t xml:space="preserve">联赛</x:t>
        </x:is>
      </x:c>
      <x:c r="E94" s="595" t="inlineStr">
        <x:is>
          <x:t xml:space="preserve">意丁</x:t>
        </x:is>
      </x:c>
      <x:c r="F94" s="595" t="inlineStr">
        <x:is>
          <x:t xml:space="preserve">尼萨FC vs 特腊帕尼</x:t>
        </x:is>
      </x:c>
      <x:c r="G94" s="596" t="n">
        <x:v>0.71</x:v>
      </x:c>
      <x:c r="H94" s="596" t="n">
        <x:v>0.75</x:v>
      </x:c>
      <x:c r="I94" s="596" t="n">
        <x:v>0.99</x:v>
      </x:c>
      <x:c r="J94" s="596" t="inlineStr">
        <x:is>
          <x:t xml:space="preserve">0.71/0.75/0.99</x:t>
        </x:is>
      </x:c>
      <x:c r="K94" s="595" t="inlineStr">
        <x:is>
          <x:t xml:space="preserve">V4-C｜EV +0.0081</x:t>
        </x:is>
      </x:c>
      <x:c r="L94" s="595" t="inlineStr">
        <x:is>
          <x:t xml:space="preserve">特腊帕尼</x:t>
        </x:is>
      </x:c>
      <x:c r="M94" s="597" t="n">
        <x:v>0.5071770334928229</x:v>
      </x:c>
      <x:c r="N94" s="595" t="inlineStr">
        <x:is>
          <x:t xml:space="preserve">V4纸面入选-C</x:t>
        </x:is>
      </x:c>
      <x:c r="O94" s="595" t="inlineStr">
        <x:is>
          <x:t xml:space="preserve">2-0</x:t>
        </x:is>
      </x:c>
      <x:c r="P94" s="595" t="inlineStr">
        <x:is>
          <x:t xml:space="preserve">已结算</x:t>
        </x:is>
      </x:c>
      <x:c r="Q94" s="641" t="inlineStr">
        <x:is>
          <x:t xml:space="preserve">黑</x:t>
        </x:is>
      </x:c>
      <x:c r="R94" s="599" t="n">
        <x:v>0.99</x:v>
      </x:c>
      <x:c r="S94" s="599" t="n">
        <x:f>IF(OR(Q94="",Q94="待结算"),"",IF(Q94="红",R94,IF(Q94="半红",R94*0.5,IF(Q94="走",0,IF(Q94="半黑",-0.5,-1)))))</x:f>
        <x:v>-1</x:v>
      </x:c>
      <x:c r="T94" s="595" t="inlineStr">
        <x:is>
          <x:t xml:space="preserve">https://simondongxiao.github.io/odds/v4/</x:t>
        </x:is>
      </x:c>
      <x:c r="U94" s="640" t="str">
        <x:f>IF(Q94="","",IF(Q94="待结算","待结算",IF(Q94="红","黑",IF(Q94="半红","半黑",IF(Q94="走","走",IF(Q94="半黑","半红","红"))))))</x:f>
        <x:v>红</x:v>
      </x:c>
      <x:c r="V94" s="599" t="n">
        <x:f>IF(OR(Q94="",Q94="待结算"),"",IF(L94=LEFT(F94,FIND(" vs ",F94)-1),I94,G94))</x:f>
        <x:v>0.71</x:v>
      </x:c>
      <x:c r="W94" s="599" t="n">
        <x:f>IF(OR(U94="",U94="待结算"),"",IF(U94="红",V94,IF(U94="半红",V94*0.5,IF(U94="走",0,IF(U94="半黑",-0.5,-1)))))</x:f>
        <x:v>0.71</x:v>
      </x:c>
      <x:c r="X94" s="595" t="inlineStr">
        <x:is>
          <x:t xml:space="preserve">3089131</x:t>
        </x:is>
      </x:c>
      <x:c r="Y94" s="595" t="inlineStr">
        <x:is>
          <x:t xml:space="preserve">v4-market-dirichlet-20260913</x:t>
        </x:is>
      </x:c>
      <x:c r="Z94" s="595" t="inlineStr">
        <x:is>
          <x:t xml:space="preserve">prior-2026-09-16-v1</x:t>
        </x:is>
      </x:c>
      <x:c r="AA94" s="595" t="inlineStr">
        <x:is>
          <x:t xml:space="preserve">C</x:t>
        </x:is>
      </x:c>
      <x:c r="AB94" s="600" t="n">
        <x:v>0.4416666666666667</x:v>
      </x:c>
      <x:c r="AC94" s="600" t="n">
        <x:v>0</x:v>
      </x:c>
      <x:c r="AD94" s="600" t="n">
        <x:v>0</x:v>
      </x:c>
      <x:c r="AE94" s="600" t="n">
        <x:v>0.2583333333333334</x:v>
      </x:c>
      <x:c r="AF94" s="600" t="n">
        <x:v>0.3</x:v>
      </x:c>
      <x:c r="AG94" s="600" t="n">
        <x:v>0.008083333333333276</x:v>
      </x:c>
      <x:c r="AH94" s="600" t="n">
        <x:v>-0.126783912513724</x:v>
      </x:c>
      <x:c r="AI94" s="600" t="n">
        <x:v>-0.09707620561274621</x:v>
      </x:c>
      <x:c r="AJ94" s="600" t="n">
        <x:v>0.008488572086520152</x:v>
      </x:c>
      <x:c r="AK94" s="600" t="n">
        <x:v>0.1139181843666227</x:v>
      </x:c>
      <x:c r="AL94" s="600" t="n">
        <x:v>0.1435095642609239</x:v>
      </x:c>
      <x:c r="AM94" s="600" t="n">
        <x:v>0.5397999999999999</x:v>
      </x:c>
      <x:c r="AN94" s="595" t="inlineStr">
        <x:is>
          <x:t xml:space="preserve">FROZEN_PREMATCH_DECISION</x:t>
        </x:is>
      </x:c>
      <x:c r="AO94" s="600" t="inlineStr">
        <x:is>
          <x:t xml:space="preserve">STARTED_DECISION_LOCKED</x:t>
        </x:is>
      </x:c>
      <x:c r="AP94" s="600" t="inlineStr">
        <x:is>
          <x:t xml:space="preserve">8ffa8006dfa82233208c</x:t>
        </x:is>
      </x:c>
      <x:c r="AQ94" s="600" t="n">
        <x:v>0.75</x:v>
      </x:c>
      <x:c r="AR94" s="600" t="n">
        <x:v>0.99</x:v>
      </x:c>
      <x:c r="AS94" s="600" t="n">
        <x:v>-0.75</x:v>
      </x:c>
      <x:c r="AT94" s="600" t="n">
        <x:v>0.75</x:v>
      </x:c>
      <x:c r="AU94" s="600" t="n">
        <x:v>0.71</x:v>
      </x:c>
      <x:c r="AV94" s="600" t="n">
        <x:v>0.99</x:v>
      </x:c>
      <x:c r="AW94" s="595" t="n">
        <x:v>46281.53750829861</x:v>
      </x:c>
      <x:c r="AX94" s="595" t="inlineStr">
        <x:is>
          <x:t xml:space="preserve">https://simondongxiao.github.io/odds/v4/</x:t>
        </x:is>
      </x:c>
      <x:c r="AY94" s="595" t="inlineStr">
        <x:is>
          <x:t xml:space="preserve">V4 Shadow Only；real_money=false；P(EV&gt;0)不是比赛胜率</x:t>
        </x:is>
      </x:c>
    </x:row>
    <x:row r="95" ht="22" customHeight="1">
      <x:c r="A95" s="595" t="inlineStr">
        <x:is>
          <x:t xml:space="preserve">2026-09-16</x:t>
        </x:is>
      </x:c>
      <x:c r="B95" s="595" t="inlineStr">
        <x:is>
          <x:t xml:space="preserve">2026-09-16 22:45</x:t>
        </x:is>
      </x:c>
      <x:c r="C95" s="595" t="str">
        <x:v>欧洲非五大系列</x:v>
      </x:c>
      <x:c r="D95" s="595" t="inlineStr">
        <x:is>
          <x:t xml:space="preserve">杯赛</x:t>
        </x:is>
      </x:c>
      <x:c r="E95" s="595" t="inlineStr">
        <x:is>
          <x:t xml:space="preserve">希腊杯</x:t>
        </x:is>
      </x:c>
      <x:c r="F95" s="595" t="inlineStr">
        <x:is>
          <x:t xml:space="preserve">基菲萨 vs 帕纳辛纳科斯</x:t>
        </x:is>
      </x:c>
      <x:c r="G95" s="596" t="n">
        <x:v>0.79</x:v>
      </x:c>
      <x:c r="H95" s="596" t="n">
        <x:v>-1.25</x:v>
      </x:c>
      <x:c r="I95" s="596" t="n">
        <x:v>1.03</x:v>
      </x:c>
      <x:c r="J95" s="596" t="inlineStr">
        <x:is>
          <x:t xml:space="preserve">0.79/-1.25/1.03</x:t>
        </x:is>
      </x:c>
      <x:c r="K95" s="595" t="inlineStr">
        <x:is>
          <x:t xml:space="preserve">V4-C｜EV +0.0225</x:t>
        </x:is>
      </x:c>
      <x:c r="L95" s="595" t="inlineStr">
        <x:is>
          <x:t xml:space="preserve">帕纳辛纳科斯</x:t>
        </x:is>
      </x:c>
      <x:c r="M95" s="597" t="n">
        <x:v>0.5054945054945055</x:v>
      </x:c>
      <x:c r="N95" s="595" t="inlineStr">
        <x:is>
          <x:t xml:space="preserve">V4纸面入选-C</x:t>
        </x:is>
      </x:c>
      <x:c r="O95" s="595" t="inlineStr">
        <x:is>
          <x:t xml:space="preserve">0-2</x:t>
        </x:is>
      </x:c>
      <x:c r="P95" s="595" t="inlineStr">
        <x:is>
          <x:t xml:space="preserve">已结算</x:t>
        </x:is>
      </x:c>
      <x:c r="Q95" s="640" t="inlineStr">
        <x:is>
          <x:t xml:space="preserve">红</x:t>
        </x:is>
      </x:c>
      <x:c r="R95" s="599" t="n">
        <x:v>1.03</x:v>
      </x:c>
      <x:c r="S95" s="599" t="n">
        <x:f>IF(OR(Q95="",Q95="待结算"),"",IF(Q95="红",R95,IF(Q95="半红",R95*0.5,IF(Q95="走",0,IF(Q95="半黑",-0.5,-1)))))</x:f>
        <x:v>1.03</x:v>
      </x:c>
      <x:c r="T95" s="595" t="inlineStr">
        <x:is>
          <x:t xml:space="preserve">https://simondongxiao.github.io/odds/v4/</x:t>
        </x:is>
      </x:c>
      <x:c r="U95" s="641" t="str">
        <x:f>IF(Q95="","",IF(Q95="待结算","待结算",IF(Q95="红","黑",IF(Q95="半红","半黑",IF(Q95="走","走",IF(Q95="半黑","半红","红"))))))</x:f>
        <x:v>黑</x:v>
      </x:c>
      <x:c r="V95" s="599" t="n">
        <x:f>IF(OR(Q95="",Q95="待结算"),"",IF(L95=LEFT(F95,FIND(" vs ",F95)-1),I95,G95))</x:f>
        <x:v>0.79</x:v>
      </x:c>
      <x:c r="W95" s="599" t="n">
        <x:f>IF(OR(U95="",U95="待结算"),"",IF(U95="红",V95,IF(U95="半红",V95*0.5,IF(U95="走",0,IF(U95="半黑",-0.5,-1)))))</x:f>
        <x:v>-1</x:v>
      </x:c>
      <x:c r="X95" s="595" t="inlineStr">
        <x:is>
          <x:t xml:space="preserve">3074093</x:t>
        </x:is>
      </x:c>
      <x:c r="Y95" s="595" t="inlineStr">
        <x:is>
          <x:t xml:space="preserve">v4-market-dirichlet-20260913</x:t>
        </x:is>
      </x:c>
      <x:c r="Z95" s="595" t="inlineStr">
        <x:is>
          <x:t xml:space="preserve">prior-2026-09-16-v1</x:t>
        </x:is>
      </x:c>
      <x:c r="AA95" s="595" t="inlineStr">
        <x:is>
          <x:t xml:space="preserve">C</x:t>
        </x:is>
      </x:c>
      <x:c r="AB95" s="600" t="n">
        <x:v>0.4339622641509434</x:v>
      </x:c>
      <x:c r="AC95" s="600" t="n">
        <x:v>0</x:v>
      </x:c>
      <x:c r="AD95" s="600" t="n">
        <x:v>0</x:v>
      </x:c>
      <x:c r="AE95" s="600" t="n">
        <x:v>0.2830188679245283</x:v>
      </x:c>
      <x:c r="AF95" s="600" t="n">
        <x:v>0.2830188679245283</x:v>
      </x:c>
      <x:c r="AG95" s="600" t="n">
        <x:v>0.02245283018867933</x:v>
      </x:c>
      <x:c r="AH95" s="600" t="n">
        <x:v>-0.1691917048259843</x:v>
      </x:c>
      <x:c r="AI95" s="600" t="n">
        <x:v>-0.1292931635764661</x:v>
      </x:c>
      <x:c r="AJ95" s="600" t="n">
        <x:v>0.02445927405835985</x:v>
      </x:c>
      <x:c r="AK95" s="600" t="n">
        <x:v>0.180913895565663</x:v>
      </x:c>
      <x:c r="AL95" s="600" t="n">
        <x:v>0.2257900465900527</x:v>
      </x:c>
      <x:c r="AM95" s="600" t="n">
        <x:v>0.582</x:v>
      </x:c>
      <x:c r="AN95" s="595" t="inlineStr">
        <x:is>
          <x:t xml:space="preserve">FROZEN_PREMATCH_DECISION</x:t>
        </x:is>
      </x:c>
      <x:c r="AO95" s="600" t="inlineStr">
        <x:is>
          <x:t xml:space="preserve">STARTED_DECISION_LOCKED</x:t>
        </x:is>
      </x:c>
      <x:c r="AP95" s="600" t="inlineStr">
        <x:is>
          <x:t xml:space="preserve">a28ab906b99ba632ade4</x:t>
        </x:is>
      </x:c>
      <x:c r="AQ95" s="600" t="n">
        <x:v>-1.25</x:v>
      </x:c>
      <x:c r="AR95" s="600" t="n">
        <x:v>1.03</x:v>
      </x:c>
      <x:c r="AS95" s="600" t="n">
        <x:v>1.25</x:v>
      </x:c>
      <x:c r="AT95" s="600" t="n">
        <x:v>-1.25</x:v>
      </x:c>
      <x:c r="AU95" s="600" t="n">
        <x:v>0.79</x:v>
      </x:c>
      <x:c r="AV95" s="600" t="n">
        <x:v>1.03</x:v>
      </x:c>
      <x:c r="AW95" s="595" t="n">
        <x:v>46281.53750829861</x:v>
      </x:c>
      <x:c r="AX95" s="595" t="inlineStr">
        <x:is>
          <x:t xml:space="preserve">https://simondongxiao.github.io/odds/v4/</x:t>
        </x:is>
      </x:c>
      <x:c r="AY95" s="595" t="inlineStr">
        <x:is>
          <x:t xml:space="preserve">V4 Shadow Only；real_money=false；P(EV&gt;0)不是比赛胜率</x:t>
        </x:is>
      </x:c>
    </x:row>
    <x:row r="96" ht="22" customHeight="1">
      <x:c r="A96" s="595" t="inlineStr">
        <x:is>
          <x:t xml:space="preserve">2026-09-16</x:t>
        </x:is>
      </x:c>
      <x:c r="B96" s="595" t="inlineStr">
        <x:is>
          <x:t xml:space="preserve">2026-09-16 23:30</x:t>
        </x:is>
      </x:c>
      <x:c r="C96" s="595" t="str">
        <x:v>欧洲非五大系列</x:v>
      </x:c>
      <x:c r="D96" s="595" t="inlineStr">
        <x:is>
          <x:t xml:space="preserve">联赛</x:t>
        </x:is>
      </x:c>
      <x:c r="E96" s="595" t="inlineStr">
        <x:is>
          <x:t xml:space="preserve">俄超</x:t>
        </x:is>
      </x:c>
      <x:c r="F96" s="595" t="inlineStr">
        <x:is>
          <x:t xml:space="preserve">罗迪纳莫斯科 vs 喀山红宝石</x:t>
        </x:is>
      </x:c>
      <x:c r="G96" s="596" t="n">
        <x:v>1.06</x:v>
      </x:c>
      <x:c r="H96" s="596" t="n">
        <x:v>-0.25</x:v>
      </x:c>
      <x:c r="I96" s="596" t="n">
        <x:v>0.83</x:v>
      </x:c>
      <x:c r="J96" s="596" t="inlineStr">
        <x:is>
          <x:t xml:space="preserve">1.06/-0.25/0.83</x:t>
        </x:is>
      </x:c>
      <x:c r="K96" s="595" t="inlineStr">
        <x:is>
          <x:t xml:space="preserve">V4-C｜EV +0.0273</x:t>
        </x:is>
      </x:c>
      <x:c r="L96" s="595" t="inlineStr">
        <x:is>
          <x:t xml:space="preserve">罗迪纳莫斯科</x:t>
        </x:is>
      </x:c>
      <x:c r="M96" s="597" t="n">
        <x:v>0.5010224948875256</x:v>
      </x:c>
      <x:c r="N96" s="595" t="inlineStr">
        <x:is>
          <x:t xml:space="preserve">V4纸面入选-C</x:t>
        </x:is>
      </x:c>
      <x:c r="O96" s="595" t="inlineStr">
        <x:is>
          <x:t xml:space="preserve">1-1</x:t>
        </x:is>
      </x:c>
      <x:c r="P96" s="595" t="inlineStr">
        <x:is>
          <x:t xml:space="preserve">已结算</x:t>
        </x:is>
      </x:c>
      <x:c r="Q96" s="642" t="inlineStr">
        <x:is>
          <x:t xml:space="preserve">半红</x:t>
        </x:is>
      </x:c>
      <x:c r="R96" s="599" t="n">
        <x:v>1.06</x:v>
      </x:c>
      <x:c r="S96" s="599" t="n">
        <x:f>IF(OR(Q96="",Q96="待结算"),"",IF(Q96="红",R96,IF(Q96="半红",R96*0.5,IF(Q96="走",0,IF(Q96="半黑",-0.5,-1)))))</x:f>
        <x:v>0.53</x:v>
      </x:c>
      <x:c r="T96" s="595" t="inlineStr">
        <x:is>
          <x:t xml:space="preserve">https://simondongxiao.github.io/odds/v4/</x:t>
        </x:is>
      </x:c>
      <x:c r="U96" s="643" t="str">
        <x:f>IF(Q96="","",IF(Q96="待结算","待结算",IF(Q96="红","黑",IF(Q96="半红","半黑",IF(Q96="走","走",IF(Q96="半黑","半红","红"))))))</x:f>
        <x:v>半黑</x:v>
      </x:c>
      <x:c r="V96" s="599" t="n">
        <x:f>IF(OR(Q96="",Q96="待结算"),"",IF(L96=LEFT(F96,FIND(" vs ",F96)-1),I96,G96))</x:f>
        <x:v>0.83</x:v>
      </x:c>
      <x:c r="W96" s="599" t="n">
        <x:f>IF(OR(U96="",U96="待结算"),"",IF(U96="红",V96,IF(U96="半红",V96*0.5,IF(U96="走",0,IF(U96="半黑",-0.5,-1)))))</x:f>
        <x:v>-0.5</x:v>
      </x:c>
      <x:c r="X96" s="595" t="inlineStr">
        <x:is>
          <x:t xml:space="preserve">3012305</x:t>
        </x:is>
      </x:c>
      <x:c r="Y96" s="595" t="inlineStr">
        <x:is>
          <x:t xml:space="preserve">v4-market-dirichlet-20260913</x:t>
        </x:is>
      </x:c>
      <x:c r="Z96" s="595" t="inlineStr">
        <x:is>
          <x:t xml:space="preserve">prior-2026-09-16-v1</x:t>
        </x:is>
      </x:c>
      <x:c r="AA96" s="595" t="inlineStr">
        <x:is>
          <x:t xml:space="preserve">C</x:t>
        </x:is>
      </x:c>
      <x:c r="AB96" s="600" t="n">
        <x:v>0.2743055555555556</x:v>
      </x:c>
      <x:c r="AC96" s="600" t="n">
        <x:v>0.3020833333333333</x:v>
      </x:c>
      <x:c r="AD96" s="600" t="n">
        <x:v>0</x:v>
      </x:c>
      <x:c r="AE96" s="600" t="n">
        <x:v>0</x:v>
      </x:c>
      <x:c r="AF96" s="600" t="n">
        <x:v>0.4236111111111111</x:v>
      </x:c>
      <x:c r="AG96" s="600" t="n">
        <x:v>0.02725694444444449</x:v>
      </x:c>
      <x:c r="AH96" s="600" t="n">
        <x:v>-0.06013199526132496</x:v>
      </x:c>
      <x:c r="AI96" s="600" t="n">
        <x:v>-0.04133346964870754</x:v>
      </x:c>
      <x:c r="AJ96" s="600" t="n">
        <x:v>0.02859427673122722</x:v>
      </x:c>
      <x:c r="AK96" s="600" t="n">
        <x:v>0.09463768561871211</x:v>
      </x:c>
      <x:c r="AL96" s="600" t="n">
        <x:v>0.1129986196868838</x:v>
      </x:c>
      <x:c r="AM96" s="600" t="n">
        <x:v>0.7068</x:v>
      </x:c>
      <x:c r="AN96" s="595" t="inlineStr">
        <x:is>
          <x:t xml:space="preserve">FROZEN_PREMATCH_DECISION</x:t>
        </x:is>
      </x:c>
      <x:c r="AO96" s="600" t="inlineStr">
        <x:is>
          <x:t xml:space="preserve">STARTED_DECISION_LOCKED</x:t>
        </x:is>
      </x:c>
      <x:c r="AP96" s="600" t="inlineStr">
        <x:is>
          <x:t xml:space="preserve">42f511e4316f065dc483</x:t>
        </x:is>
      </x:c>
      <x:c r="AQ96" s="600" t="n">
        <x:v>0.25</x:v>
      </x:c>
      <x:c r="AR96" s="600" t="n">
        <x:v>1.06</x:v>
      </x:c>
      <x:c r="AS96" s="600" t="n">
        <x:v>0.25</x:v>
      </x:c>
      <x:c r="AT96" s="600" t="n">
        <x:v>-0.25</x:v>
      </x:c>
      <x:c r="AU96" s="600" t="n">
        <x:v>1.06</x:v>
      </x:c>
      <x:c r="AV96" s="600" t="n">
        <x:v>0.83</x:v>
      </x:c>
      <x:c r="AW96" s="595" t="n">
        <x:v>46281.53750829861</x:v>
      </x:c>
      <x:c r="AX96" s="595" t="inlineStr">
        <x:is>
          <x:t xml:space="preserve">https://simondongxiao.github.io/odds/v4/</x:t>
        </x:is>
      </x:c>
      <x:c r="AY96" s="595" t="inlineStr">
        <x:is>
          <x:t xml:space="preserve">V4 Shadow Only；real_money=false；P(EV&gt;0)不是比赛胜率</x:t>
        </x:is>
      </x:c>
    </x:row>
    <x:row r="97" ht="22" customHeight="1">
      <x:c r="A97" s="595" t="inlineStr">
        <x:is>
          <x:t xml:space="preserve">2026-09-16</x:t>
        </x:is>
      </x:c>
      <x:c r="B97" s="595" t="inlineStr">
        <x:is>
          <x:t xml:space="preserve">2026-09-17 00:00</x:t>
        </x:is>
      </x:c>
      <x:c r="C97" s="595" t="str">
        <x:v>其他系列</x:v>
      </x:c>
      <x:c r="D97" s="595" t="inlineStr">
        <x:is>
          <x:t xml:space="preserve">联赛</x:t>
        </x:is>
      </x:c>
      <x:c r="E97" s="595" t="inlineStr">
        <x:is>
          <x:t xml:space="preserve">亚冠联2</x:t>
        </x:is>
      </x:c>
      <x:c r="F97" s="595" t="inlineStr">
        <x:is>
          <x:t xml:space="preserve">阿布扎比统一 vs 科威特竞技</x:t>
        </x:is>
      </x:c>
      <x:c r="G97" s="596" t="n">
        <x:v>0.91</x:v>
      </x:c>
      <x:c r="H97" s="596" t="n">
        <x:v>1.5</x:v>
      </x:c>
      <x:c r="I97" s="596" t="n">
        <x:v>0.91</x:v>
      </x:c>
      <x:c r="J97" s="596" t="inlineStr">
        <x:is>
          <x:t xml:space="preserve">0.91/1.5/0.91</x:t>
        </x:is>
      </x:c>
      <x:c r="K97" s="595" t="inlineStr">
        <x:is>
          <x:t xml:space="preserve">V4-C｜EV +0.1341</x:t>
        </x:is>
      </x:c>
      <x:c r="L97" s="595" t="inlineStr">
        <x:is>
          <x:t xml:space="preserve">阿布扎比统一</x:t>
        </x:is>
      </x:c>
      <x:c r="M97" s="597" t="n">
        <x:v>0.59375</x:v>
      </x:c>
      <x:c r="N97" s="595" t="inlineStr">
        <x:is>
          <x:t xml:space="preserve">V4纸面入选-C</x:t>
        </x:is>
      </x:c>
      <x:c r="O97" s="595" t="inlineStr">
        <x:is>
          <x:t xml:space="preserve">3-2</x:t>
        </x:is>
      </x:c>
      <x:c r="P97" s="595" t="inlineStr">
        <x:is>
          <x:t xml:space="preserve">已结算</x:t>
        </x:is>
      </x:c>
      <x:c r="Q97" s="641" t="inlineStr">
        <x:is>
          <x:t xml:space="preserve">黑</x:t>
        </x:is>
      </x:c>
      <x:c r="R97" s="599" t="n">
        <x:v>0.91</x:v>
      </x:c>
      <x:c r="S97" s="599" t="n">
        <x:f>IF(OR(Q97="",Q97="待结算"),"",IF(Q97="红",R97,IF(Q97="半红",R97*0.5,IF(Q97="走",0,IF(Q97="半黑",-0.5,-1)))))</x:f>
        <x:v>-1</x:v>
      </x:c>
      <x:c r="T97" s="595" t="inlineStr">
        <x:is>
          <x:t xml:space="preserve">https://simondongxiao.github.io/odds/v4/</x:t>
        </x:is>
      </x:c>
      <x:c r="U97" s="640" t="str">
        <x:f>IF(Q97="","",IF(Q97="待结算","待结算",IF(Q97="红","黑",IF(Q97="半红","半黑",IF(Q97="走","走",IF(Q97="半黑","半红","红"))))))</x:f>
        <x:v>红</x:v>
      </x:c>
      <x:c r="V97" s="599" t="n">
        <x:f>IF(OR(Q97="",Q97="待结算"),"",IF(L97=LEFT(F97,FIND(" vs ",F97)-1),I97,G97))</x:f>
        <x:v>0.91</x:v>
      </x:c>
      <x:c r="W97" s="599" t="n">
        <x:f>IF(OR(U97="",U97="待结算"),"",IF(U97="红",V97,IF(U97="半红",V97*0.5,IF(U97="走",0,IF(U97="半黑",-0.5,-1)))))</x:f>
        <x:v>0.91</x:v>
      </x:c>
      <x:c r="X97" s="595" t="inlineStr">
        <x:is>
          <x:t xml:space="preserve">3068992</x:t>
        </x:is>
      </x:c>
      <x:c r="Y97" s="595" t="inlineStr">
        <x:is>
          <x:t xml:space="preserve">v4-market-dirichlet-20260913</x:t>
        </x:is>
      </x:c>
      <x:c r="Z97" s="595" t="inlineStr">
        <x:is>
          <x:t xml:space="preserve">prior-2026-09-16-v1</x:t>
        </x:is>
      </x:c>
      <x:c r="AA97" s="595" t="inlineStr">
        <x:is>
          <x:t xml:space="preserve">C</x:t>
        </x:is>
      </x:c>
      <x:c r="AB97" s="600" t="n">
        <x:v>0.59375</x:v>
      </x:c>
      <x:c r="AC97" s="600" t="n">
        <x:v>0</x:v>
      </x:c>
      <x:c r="AD97" s="600" t="n">
        <x:v>0</x:v>
      </x:c>
      <x:c r="AE97" s="600" t="n">
        <x:v>0</x:v>
      </x:c>
      <x:c r="AF97" s="600" t="n">
        <x:v>0.40625</x:v>
      </x:c>
      <x:c r="AG97" s="600" t="n">
        <x:v>0.1340625</x:v>
      </x:c>
      <x:c r="AH97" s="600" t="n">
        <x:v>-0.135711305492166</x:v>
      </x:c>
      <x:c r="AI97" s="600" t="n">
        <x:v>-0.07699130785172975</x:v>
      </x:c>
      <x:c r="AJ97" s="600" t="n">
        <x:v>0.1446487838474441</x:v>
      </x:c>
      <x:c r="AK97" s="600" t="n">
        <x:v>0.3461624944684702</x:v>
      </x:c>
      <x:c r="AL97" s="600" t="n">
        <x:v>0.3990418009889097</x:v>
      </x:c>
      <x:c r="AM97" s="600" t="n">
        <x:v>0.805</x:v>
      </x:c>
      <x:c r="AN97" s="595" t="inlineStr">
        <x:is>
          <x:t xml:space="preserve">EVALUATED</x:t>
        </x:is>
      </x:c>
      <x:c r="AO97" s="600" t="inlineStr">
        <x:is>
          <x:t xml:space="preserve">BUCKET_1.50、SIDE_IDENTITY_VALID、MARKET_MOVE_LINE_STRENGTH_WITH_GIVING_RESISTANCE</x:t>
        </x:is>
      </x:c>
      <x:c r="AP97" s="600" t="inlineStr">
        <x:is>
          <x:t xml:space="preserve">8f014754e2ca191c48d0</x:t>
        </x:is>
      </x:c>
      <x:c r="AQ97" s="600" t="n">
        <x:v>-1.5</x:v>
      </x:c>
      <x:c r="AR97" s="600" t="n">
        <x:v>0.91</x:v>
      </x:c>
      <x:c r="AS97" s="600" t="n">
        <x:v>-1.5</x:v>
      </x:c>
      <x:c r="AT97" s="600" t="n">
        <x:v>1.5</x:v>
      </x:c>
      <x:c r="AU97" s="600" t="n">
        <x:v>0.91</x:v>
      </x:c>
      <x:c r="AV97" s="600" t="n">
        <x:v>0.91</x:v>
      </x:c>
      <x:c r="AW97" s="595" t="n">
        <x:v>46281.66344571759</x:v>
      </x:c>
      <x:c r="AX97" s="595" t="inlineStr">
        <x:is>
          <x:t xml:space="preserve">https://simondongxiao.github.io/odds/v4/</x:t>
        </x:is>
      </x:c>
      <x:c r="AY97" s="595" t="inlineStr">
        <x:is>
          <x:t xml:space="preserve">V4 Shadow Only；real_money=false；P(EV&gt;0)不是比赛胜率</x:t>
        </x:is>
      </x:c>
    </x:row>
    <x:row r="98" ht="22" customHeight="1">
      <x:c r="A98" s="595" t="inlineStr">
        <x:is>
          <x:t xml:space="preserve">2026-09-16</x:t>
        </x:is>
      </x:c>
      <x:c r="B98" s="595" t="inlineStr">
        <x:is>
          <x:t xml:space="preserve">2026-09-17 00:00</x:t>
        </x:is>
      </x:c>
      <x:c r="C98" s="595" t="str">
        <x:v>欧洲非五大系列</x:v>
      </x:c>
      <x:c r="D98" s="595" t="inlineStr">
        <x:is>
          <x:t xml:space="preserve">杯赛</x:t>
        </x:is>
      </x:c>
      <x:c r="E98" s="595" t="inlineStr">
        <x:is>
          <x:t xml:space="preserve">挪威杯</x:t>
        </x:is>
      </x:c>
      <x:c r="F98" s="595" t="inlineStr">
        <x:is>
          <x:t xml:space="preserve">诺托登 vs 奥德</x:t>
        </x:is>
      </x:c>
      <x:c r="G98" s="596" t="n">
        <x:v>1</x:v>
      </x:c>
      <x:c r="H98" s="596" t="n">
        <x:v>-0.5</x:v>
      </x:c>
      <x:c r="I98" s="596" t="n">
        <x:v>0.7</x:v>
      </x:c>
      <x:c r="J98" s="596" t="inlineStr">
        <x:is>
          <x:t xml:space="preserve">1.00/-0.5/0.70</x:t>
        </x:is>
      </x:c>
      <x:c r="K98" s="595" t="inlineStr">
        <x:is>
          <x:t xml:space="preserve">V4-C｜EV +0.0057</x:t>
        </x:is>
      </x:c>
      <x:c r="L98" s="595" t="inlineStr">
        <x:is>
          <x:t xml:space="preserve">诺托登</x:t>
        </x:is>
      </x:c>
      <x:c r="M98" s="597" t="n">
        <x:v>0.5028571428571429</x:v>
      </x:c>
      <x:c r="N98" s="595" t="inlineStr">
        <x:is>
          <x:t xml:space="preserve">V4纸面入选-C</x:t>
        </x:is>
      </x:c>
      <x:c r="O98" s="595" t="inlineStr">
        <x:is>
          <x:t xml:space="preserve">2-3</x:t>
        </x:is>
      </x:c>
      <x:c r="P98" s="595" t="inlineStr">
        <x:is>
          <x:t xml:space="preserve">已结算</x:t>
        </x:is>
      </x:c>
      <x:c r="Q98" s="641" t="inlineStr">
        <x:is>
          <x:t xml:space="preserve">黑</x:t>
        </x:is>
      </x:c>
      <x:c r="R98" s="599" t="n">
        <x:v>1</x:v>
      </x:c>
      <x:c r="S98" s="599" t="n">
        <x:f>IF(OR(Q98="",Q98="待结算"),"",IF(Q98="红",R98,IF(Q98="半红",R98*0.5,IF(Q98="走",0,IF(Q98="半黑",-0.5,-1)))))</x:f>
        <x:v>-1</x:v>
      </x:c>
      <x:c r="T98" s="595" t="inlineStr">
        <x:is>
          <x:t xml:space="preserve">https://simondongxiao.github.io/odds/v4/</x:t>
        </x:is>
      </x:c>
      <x:c r="U98" s="640" t="str">
        <x:f>IF(Q98="","",IF(Q98="待结算","待结算",IF(Q98="红","黑",IF(Q98="半红","半黑",IF(Q98="走","走",IF(Q98="半黑","半红","红"))))))</x:f>
        <x:v>红</x:v>
      </x:c>
      <x:c r="V98" s="599" t="n">
        <x:f>IF(OR(Q98="",Q98="待结算"),"",IF(L98=LEFT(F98,FIND(" vs ",F98)-1),I98,G98))</x:f>
        <x:v>0.7</x:v>
      </x:c>
      <x:c r="W98" s="599" t="n">
        <x:f>IF(OR(U98="",U98="待结算"),"",IF(U98="红",V98,IF(U98="半红",V98*0.5,IF(U98="走",0,IF(U98="半黑",-0.5,-1)))))</x:f>
        <x:v>0.7</x:v>
      </x:c>
      <x:c r="X98" s="595" t="inlineStr">
        <x:is>
          <x:t xml:space="preserve">3084239</x:t>
        </x:is>
      </x:c>
      <x:c r="Y98" s="595" t="inlineStr">
        <x:is>
          <x:t xml:space="preserve">v4-market-dirichlet-20260913</x:t>
        </x:is>
      </x:c>
      <x:c r="Z98" s="595" t="inlineStr">
        <x:is>
          <x:t xml:space="preserve">prior-2026-09-16-v1</x:t>
        </x:is>
      </x:c>
      <x:c r="AA98" s="595" t="inlineStr">
        <x:is>
          <x:t xml:space="preserve">C</x:t>
        </x:is>
      </x:c>
      <x:c r="AB98" s="600" t="n">
        <x:v>0.5028571428571429</x:v>
      </x:c>
      <x:c r="AC98" s="600" t="n">
        <x:v>0</x:v>
      </x:c>
      <x:c r="AD98" s="600" t="n">
        <x:v>0</x:v>
      </x:c>
      <x:c r="AE98" s="600" t="n">
        <x:v>0</x:v>
      </x:c>
      <x:c r="AF98" s="600" t="n">
        <x:v>0.4971428571428572</x:v>
      </x:c>
      <x:c r="AG98" s="600" t="n">
        <x:v>0.005714285714285727</x:v>
      </x:c>
      <x:c r="AH98" s="600" t="n">
        <x:v>-0.1187927602078377</x:v>
      </x:c>
      <x:c r="AI98" s="600" t="n">
        <x:v>-0.09096443128978982</x:v>
      </x:c>
      <x:c r="AJ98" s="600" t="n">
        <x:v>0.004435707955923407</x:v>
      </x:c>
      <x:c r="AK98" s="600" t="n">
        <x:v>0.1031231863452052</x:v>
      </x:c>
      <x:c r="AL98" s="600" t="n">
        <x:v>0.1315580484866083</x:v>
      </x:c>
      <x:c r="AM98" s="600" t="n">
        <x:v>0.5258</x:v>
      </x:c>
      <x:c r="AN98" s="595" t="inlineStr">
        <x:is>
          <x:t xml:space="preserve">EVALUATED</x:t>
        </x:is>
      </x:c>
      <x:c r="AO98" s="600" t="inlineStr">
        <x:is>
          <x:t xml:space="preserve">BUCKET_0.50、SIDE_IDENTITY_VALID、FLAT_LINE_GIVING_WATER_DROP</x:t>
        </x:is>
      </x:c>
      <x:c r="AP98" s="600" t="inlineStr">
        <x:is>
          <x:t xml:space="preserve">8eb99a8b2e19349ee200</x:t>
        </x:is>
      </x:c>
      <x:c r="AQ98" s="600" t="n">
        <x:v>0.5</x:v>
      </x:c>
      <x:c r="AR98" s="600" t="n">
        <x:v>1</x:v>
      </x:c>
      <x:c r="AS98" s="600" t="n">
        <x:v>0.5</x:v>
      </x:c>
      <x:c r="AT98" s="600" t="n">
        <x:v>-0.5</x:v>
      </x:c>
      <x:c r="AU98" s="600" t="n">
        <x:v>1</x:v>
      </x:c>
      <x:c r="AV98" s="600" t="n">
        <x:v>0.7</x:v>
      </x:c>
      <x:c r="AW98" s="595" t="n">
        <x:v>46281.66344571759</x:v>
      </x:c>
      <x:c r="AX98" s="595" t="inlineStr">
        <x:is>
          <x:t xml:space="preserve">https://simondongxiao.github.io/odds/v4/</x:t>
        </x:is>
      </x:c>
      <x:c r="AY98" s="595" t="inlineStr">
        <x:is>
          <x:t xml:space="preserve">V4 Shadow Only；real_money=false；P(EV&gt;0)不是比赛胜率</x:t>
        </x:is>
      </x:c>
    </x:row>
    <x:row r="99" ht="22" customHeight="1">
      <x:c r="A99" s="595" t="inlineStr">
        <x:is>
          <x:t xml:space="preserve">2026-09-16</x:t>
        </x:is>
      </x:c>
      <x:c r="B99" s="595" t="inlineStr">
        <x:is>
          <x:t xml:space="preserve">2026-09-17 00:00</x:t>
        </x:is>
      </x:c>
      <x:c r="C99" s="595" t="str">
        <x:v>欧洲非五大系列</x:v>
      </x:c>
      <x:c r="D99" s="595" t="inlineStr">
        <x:is>
          <x:t xml:space="preserve">杯赛</x:t>
        </x:is>
      </x:c>
      <x:c r="E99" s="595" t="inlineStr">
        <x:is>
          <x:t xml:space="preserve">挪威杯</x:t>
        </x:is>
      </x:c>
      <x:c r="F99" s="595" t="inlineStr">
        <x:is>
          <x:t xml:space="preserve">奥斯图恩 vs 布兰</x:t>
        </x:is>
      </x:c>
      <x:c r="G99" s="596" t="n">
        <x:v>0.99</x:v>
      </x:c>
      <x:c r="H99" s="596" t="n">
        <x:v>-3.25</x:v>
      </x:c>
      <x:c r="I99" s="596" t="n">
        <x:v>0.71</x:v>
      </x:c>
      <x:c r="J99" s="596" t="inlineStr">
        <x:is>
          <x:t xml:space="preserve">0.99/-3.25/0.71</x:t>
        </x:is>
      </x:c>
      <x:c r="K99" s="595" t="inlineStr">
        <x:is>
          <x:t xml:space="preserve">V4-C｜EV +0.0206</x:t>
        </x:is>
      </x:c>
      <x:c r="L99" s="595" t="inlineStr">
        <x:is>
          <x:t xml:space="preserve">奥斯图恩</x:t>
        </x:is>
      </x:c>
      <x:c r="M99" s="597" t="n">
        <x:v>0.5136298421807748</x:v>
      </x:c>
      <x:c r="N99" s="595" t="inlineStr">
        <x:is>
          <x:t xml:space="preserve">V4纸面入选-C</x:t>
        </x:is>
      </x:c>
      <x:c r="O99" s="595" t="inlineStr">
        <x:is>
          <x:t xml:space="preserve">1-2</x:t>
        </x:is>
      </x:c>
      <x:c r="P99" s="595" t="inlineStr">
        <x:is>
          <x:t xml:space="preserve">已结算</x:t>
        </x:is>
      </x:c>
      <x:c r="Q99" s="640" t="inlineStr">
        <x:is>
          <x:t xml:space="preserve">红</x:t>
        </x:is>
      </x:c>
      <x:c r="R99" s="599" t="n">
        <x:v>0.99</x:v>
      </x:c>
      <x:c r="S99" s="599" t="n">
        <x:f>IF(OR(Q99="",Q99="待结算"),"",IF(Q99="红",R99,IF(Q99="半红",R99*0.5,IF(Q99="走",0,IF(Q99="半黑",-0.5,-1)))))</x:f>
        <x:v>0.99</x:v>
      </x:c>
      <x:c r="T99" s="595" t="inlineStr">
        <x:is>
          <x:t xml:space="preserve">https://simondongxiao.github.io/odds/v4/</x:t>
        </x:is>
      </x:c>
      <x:c r="U99" s="641" t="str">
        <x:f>IF(Q99="","",IF(Q99="待结算","待结算",IF(Q99="红","黑",IF(Q99="半红","半黑",IF(Q99="走","走",IF(Q99="半黑","半红","红"))))))</x:f>
        <x:v>黑</x:v>
      </x:c>
      <x:c r="V99" s="599" t="n">
        <x:f>IF(OR(Q99="",Q99="待结算"),"",IF(L99=LEFT(F99,FIND(" vs ",F99)-1),I99,G99))</x:f>
        <x:v>0.71</x:v>
      </x:c>
      <x:c r="W99" s="599" t="n">
        <x:f>IF(OR(U99="",U99="待结算"),"",IF(U99="红",V99,IF(U99="半红",V99*0.5,IF(U99="走",0,IF(U99="半黑",-0.5,-1)))))</x:f>
        <x:v>-1</x:v>
      </x:c>
      <x:c r="X99" s="595" t="inlineStr">
        <x:is>
          <x:t xml:space="preserve">3084240</x:t>
        </x:is>
      </x:c>
      <x:c r="Y99" s="595" t="inlineStr">
        <x:is>
          <x:t xml:space="preserve">v4-market-dirichlet-20260913</x:t>
        </x:is>
      </x:c>
      <x:c r="Z99" s="595" t="inlineStr">
        <x:is>
          <x:t xml:space="preserve">prior-2026-09-16-v1</x:t>
        </x:is>
      </x:c>
      <x:c r="AA99" s="595" t="inlineStr">
        <x:is>
          <x:t xml:space="preserve">C</x:t>
        </x:is>
      </x:c>
      <x:c r="AB99" s="600" t="n">
        <x:v>0.4085447263017357</x:v>
      </x:c>
      <x:c r="AC99" s="600" t="n">
        <x:v>0.1388518024032043</x:v>
      </x:c>
      <x:c r="AD99" s="600" t="n">
        <x:v>0</x:v>
      </x:c>
      <x:c r="AE99" s="600" t="n">
        <x:v>0</x:v>
      </x:c>
      <x:c r="AF99" s="600" t="n">
        <x:v>0.4526034712950601</x:v>
      </x:c>
      <x:c r="AG99" s="600" t="n">
        <x:v>0.02058744993324435</x:v>
      </x:c>
      <x:c r="AH99" s="600" t="n">
        <x:v>-0.03548957260074959</x:v>
      </x:c>
      <x:c r="AI99" s="600" t="n">
        <x:v>-0.02337790608674556</x:v>
      </x:c>
      <x:c r="AJ99" s="600" t="n">
        <x:v>0.02101299744675178</x:v>
      </x:c>
      <x:c r="AK99" s="600" t="n">
        <x:v>0.06528240569829369</x:v>
      </x:c>
      <x:c r="AL99" s="600" t="n">
        <x:v>0.07685156360009343</x:v>
      </x:c>
      <x:c r="AM99" s="600" t="n">
        <x:v>0.7312</x:v>
      </x:c>
      <x:c r="AN99" s="595" t="inlineStr">
        <x:is>
          <x:t xml:space="preserve">EVALUATED</x:t>
        </x:is>
      </x:c>
      <x:c r="AO99" s="600" t="inlineStr">
        <x:is>
          <x:t xml:space="preserve">BUCKET_GLOBAL、SIDE_IDENTITY_VALID、FLAT_LINE_GIVING_WATER_DROP</x:t>
        </x:is>
      </x:c>
      <x:c r="AP99" s="600" t="inlineStr">
        <x:is>
          <x:t xml:space="preserve">a75bd2fcd361cf66ac5d</x:t>
        </x:is>
      </x:c>
      <x:c r="AQ99" s="600" t="n">
        <x:v>3.25</x:v>
      </x:c>
      <x:c r="AR99" s="600" t="n">
        <x:v>0.99</x:v>
      </x:c>
      <x:c r="AS99" s="600" t="n">
        <x:v>3.25</x:v>
      </x:c>
      <x:c r="AT99" s="600" t="n">
        <x:v>-3.25</x:v>
      </x:c>
      <x:c r="AU99" s="600" t="n">
        <x:v>0.99</x:v>
      </x:c>
      <x:c r="AV99" s="600" t="n">
        <x:v>0.71</x:v>
      </x:c>
      <x:c r="AW99" s="595" t="n">
        <x:v>46281.66344571759</x:v>
      </x:c>
      <x:c r="AX99" s="595" t="inlineStr">
        <x:is>
          <x:t xml:space="preserve">https://simondongxiao.github.io/odds/v4/</x:t>
        </x:is>
      </x:c>
      <x:c r="AY99" s="595" t="inlineStr">
        <x:is>
          <x:t xml:space="preserve">V4 Shadow Only；real_money=false；P(EV&gt;0)不是比赛胜率</x:t>
        </x:is>
      </x:c>
    </x:row>
    <x:row r="100" ht="22" customHeight="1">
      <x:c r="A100" s="595" t="inlineStr">
        <x:is>
          <x:t xml:space="preserve">2026-09-16</x:t>
        </x:is>
      </x:c>
      <x:c r="B100" s="595" t="inlineStr">
        <x:is>
          <x:t xml:space="preserve">2026-09-17 00:00</x:t>
        </x:is>
      </x:c>
      <x:c r="C100" s="595" t="str">
        <x:v>欧洲非五大系列</x:v>
      </x:c>
      <x:c r="D100" s="595" t="inlineStr">
        <x:is>
          <x:t xml:space="preserve">杯赛</x:t>
        </x:is>
      </x:c>
      <x:c r="E100" s="595" t="inlineStr">
        <x:is>
          <x:t xml:space="preserve">挪威杯</x:t>
        </x:is>
      </x:c>
      <x:c r="F100" s="595" t="inlineStr">
        <x:is>
          <x:t xml:space="preserve">维得比查 vs 斯达</x:t>
        </x:is>
      </x:c>
      <x:c r="G100" s="596" t="n">
        <x:v>0.8</x:v>
      </x:c>
      <x:c r="H100" s="596" t="n">
        <x:v>-2.25</x:v>
      </x:c>
      <x:c r="I100" s="596" t="n">
        <x:v>0.9</x:v>
      </x:c>
      <x:c r="J100" s="596" t="inlineStr">
        <x:is>
          <x:t xml:space="preserve">0.80/-2.25/0.90</x:t>
        </x:is>
      </x:c>
      <x:c r="K100" s="595" t="inlineStr">
        <x:is>
          <x:t xml:space="preserve">V4-C｜EV +0.0611</x:t>
        </x:is>
      </x:c>
      <x:c r="L100" s="595" t="inlineStr">
        <x:is>
          <x:t xml:space="preserve">斯达</x:t>
        </x:is>
      </x:c>
      <x:c r="M100" s="597" t="n">
        <x:v>0.5625</x:v>
      </x:c>
      <x:c r="N100" s="595" t="inlineStr">
        <x:is>
          <x:t xml:space="preserve">V4纸面入选-C</x:t>
        </x:is>
      </x:c>
      <x:c r="O100" s="595" t="inlineStr">
        <x:is>
          <x:t xml:space="preserve">2-3</x:t>
        </x:is>
      </x:c>
      <x:c r="P100" s="595" t="inlineStr">
        <x:is>
          <x:t xml:space="preserve">已结算</x:t>
        </x:is>
      </x:c>
      <x:c r="Q100" s="641" t="inlineStr">
        <x:is>
          <x:t xml:space="preserve">黑</x:t>
        </x:is>
      </x:c>
      <x:c r="R100" s="599" t="n">
        <x:v>0.9</x:v>
      </x:c>
      <x:c r="S100" s="599" t="n">
        <x:f>IF(OR(Q100="",Q100="待结算"),"",IF(Q100="红",R100,IF(Q100="半红",R100*0.5,IF(Q100="走",0,IF(Q100="半黑",-0.5,-1)))))</x:f>
        <x:v>-1</x:v>
      </x:c>
      <x:c r="T100" s="595" t="inlineStr">
        <x:is>
          <x:t xml:space="preserve">https://simondongxiao.github.io/odds/v4/</x:t>
        </x:is>
      </x:c>
      <x:c r="U100" s="640" t="str">
        <x:f>IF(Q100="","",IF(Q100="待结算","待结算",IF(Q100="红","黑",IF(Q100="半红","半黑",IF(Q100="走","走",IF(Q100="半黑","半红","红"))))))</x:f>
        <x:v>红</x:v>
      </x:c>
      <x:c r="V100" s="599" t="n">
        <x:f>IF(OR(Q100="",Q100="待结算"),"",IF(L100=LEFT(F100,FIND(" vs ",F100)-1),I100,G100))</x:f>
        <x:v>0.8</x:v>
      </x:c>
      <x:c r="W100" s="599" t="n">
        <x:f>IF(OR(U100="",U100="待结算"),"",IF(U100="红",V100,IF(U100="半红",V100*0.5,IF(U100="走",0,IF(U100="半黑",-0.5,-1)))))</x:f>
        <x:v>0.8</x:v>
      </x:c>
      <x:c r="X100" s="595" t="inlineStr">
        <x:is>
          <x:t xml:space="preserve">3084242</x:t>
        </x:is>
      </x:c>
      <x:c r="Y100" s="595" t="inlineStr">
        <x:is>
          <x:t xml:space="preserve">v4-market-dirichlet-20260913</x:t>
        </x:is>
      </x:c>
      <x:c r="Z100" s="595" t="inlineStr">
        <x:is>
          <x:t xml:space="preserve">prior-2026-09-16-v1</x:t>
        </x:is>
      </x:c>
      <x:c r="AA100" s="595" t="inlineStr">
        <x:is>
          <x:t xml:space="preserve">C</x:t>
        </x:is>
      </x:c>
      <x:c r="AB100" s="600" t="n">
        <x:v>0.5</x:v>
      </x:c>
      <x:c r="AC100" s="600" t="n">
        <x:v>0</x:v>
      </x:c>
      <x:c r="AD100" s="600" t="n">
        <x:v>0</x:v>
      </x:c>
      <x:c r="AE100" s="600" t="n">
        <x:v>0.2222222222222222</x:v>
      </x:c>
      <x:c r="AF100" s="600" t="n">
        <x:v>0.2777777777777778</x:v>
      </x:c>
      <x:c r="AG100" s="600" t="n">
        <x:v>0.06111111111111112</x:v>
      </x:c>
      <x:c r="AH100" s="600" t="n">
        <x:v>-0.2617718077457782</x:v>
      </x:c>
      <x:c r="AI100" s="600" t="n">
        <x:v>-0.1904639732537865</x:v>
      </x:c>
      <x:c r="AJ100" s="600" t="n">
        <x:v>0.06565841923804527</x:v>
      </x:c>
      <x:c r="AK100" s="600" t="n">
        <x:v>0.3143286716163207</x:v>
      </x:c>
      <x:c r="AL100" s="600" t="n">
        <x:v>0.378155747849917</x:v>
      </x:c>
      <x:c r="AM100" s="600" t="n">
        <x:v>0.6276</x:v>
      </x:c>
      <x:c r="AN100" s="595" t="inlineStr">
        <x:is>
          <x:t xml:space="preserve">EVALUATED</x:t>
        </x:is>
      </x:c>
      <x:c r="AO100" s="600" t="inlineStr">
        <x:is>
          <x:t xml:space="preserve">BUCKET_2.25、SIDE_IDENTITY_VALID、MARKET_MOVE_DEEPER_WITH_GIVING_WATER_RISE</x:t>
        </x:is>
      </x:c>
      <x:c r="AP100" s="600" t="inlineStr">
        <x:is>
          <x:t xml:space="preserve">5424c70c9ecaf3f99615</x:t>
        </x:is>
      </x:c>
      <x:c r="AQ100" s="600" t="n">
        <x:v>-2.25</x:v>
      </x:c>
      <x:c r="AR100" s="600" t="n">
        <x:v>0.9</x:v>
      </x:c>
      <x:c r="AS100" s="600" t="n">
        <x:v>2.25</x:v>
      </x:c>
      <x:c r="AT100" s="600" t="n">
        <x:v>-2.25</x:v>
      </x:c>
      <x:c r="AU100" s="600" t="n">
        <x:v>0.8</x:v>
      </x:c>
      <x:c r="AV100" s="600" t="n">
        <x:v>0.9</x:v>
      </x:c>
      <x:c r="AW100" s="595" t="n">
        <x:v>46281.66344571759</x:v>
      </x:c>
      <x:c r="AX100" s="595" t="inlineStr">
        <x:is>
          <x:t xml:space="preserve">https://simondongxiao.github.io/odds/v4/</x:t>
        </x:is>
      </x:c>
      <x:c r="AY100" s="595" t="inlineStr">
        <x:is>
          <x:t xml:space="preserve">V4 Shadow Only；real_money=false；P(EV&gt;0)不是比赛胜率</x:t>
        </x:is>
      </x:c>
    </x:row>
    <x:row r="101" ht="22" customHeight="1">
      <x:c r="A101" s="595" t="inlineStr">
        <x:is>
          <x:t xml:space="preserve">2026-09-16</x:t>
        </x:is>
      </x:c>
      <x:c r="B101" s="595" t="inlineStr">
        <x:is>
          <x:t xml:space="preserve">2026-09-17 00:30</x:t>
        </x:is>
      </x:c>
      <x:c r="C101" s="595" t="str">
        <x:v>欧洲非五大系列</x:v>
      </x:c>
      <x:c r="D101" s="595" t="inlineStr">
        <x:is>
          <x:t xml:space="preserve">杯赛</x:t>
        </x:is>
      </x:c>
      <x:c r="E101" s="595" t="inlineStr">
        <x:is>
          <x:t xml:space="preserve">斯伐杯</x:t>
        </x:is>
      </x:c>
      <x:c r="F101" s="595" t="inlineStr">
        <x:is>
          <x:t xml:space="preserve">尼特拉 vs 布拉迪斯拉发</x:t>
        </x:is>
      </x:c>
      <x:c r="G101" s="596" t="n">
        <x:v>0.76</x:v>
      </x:c>
      <x:c r="H101" s="596" t="n">
        <x:v>-2.5</x:v>
      </x:c>
      <x:c r="I101" s="596" t="n">
        <x:v>1.06</x:v>
      </x:c>
      <x:c r="J101" s="596" t="inlineStr">
        <x:is>
          <x:t xml:space="preserve">0.76/-2.5/1.06</x:t>
        </x:is>
      </x:c>
      <x:c r="K101" s="595" t="inlineStr">
        <x:is>
          <x:t xml:space="preserve">V4-A｜EV +0.4400</x:t>
        </x:is>
      </x:c>
      <x:c r="L101" s="595" t="inlineStr">
        <x:is>
          <x:t xml:space="preserve">尼特拉</x:t>
        </x:is>
      </x:c>
      <x:c r="M101" s="597" t="n">
        <x:v>0.8181818181818182</x:v>
      </x:c>
      <x:c r="N101" s="595" t="inlineStr">
        <x:is>
          <x:t xml:space="preserve">V4纸面入选-A</x:t>
        </x:is>
      </x:c>
      <x:c r="O101" s="595" t="inlineStr">
        <x:is>
          <x:t xml:space="preserve">1-3</x:t>
        </x:is>
      </x:c>
      <x:c r="P101" s="595" t="inlineStr">
        <x:is>
          <x:t xml:space="preserve">已结算</x:t>
        </x:is>
      </x:c>
      <x:c r="Q101" s="640" t="inlineStr">
        <x:is>
          <x:t xml:space="preserve">红</x:t>
        </x:is>
      </x:c>
      <x:c r="R101" s="599" t="n">
        <x:v>0.76</x:v>
      </x:c>
      <x:c r="S101" s="599" t="n">
        <x:f>IF(OR(Q101="",Q101="待结算"),"",IF(Q101="红",R101,IF(Q101="半红",R101*0.5,IF(Q101="走",0,IF(Q101="半黑",-0.5,-1)))))</x:f>
        <x:v>0.76</x:v>
      </x:c>
      <x:c r="T101" s="595" t="inlineStr">
        <x:is>
          <x:t xml:space="preserve">https://simondongxiao.github.io/odds/v4/</x:t>
        </x:is>
      </x:c>
      <x:c r="U101" s="641" t="str">
        <x:f>IF(Q101="","",IF(Q101="待结算","待结算",IF(Q101="红","黑",IF(Q101="半红","半黑",IF(Q101="走","走",IF(Q101="半黑","半红","红"))))))</x:f>
        <x:v>黑</x:v>
      </x:c>
      <x:c r="V101" s="599" t="n">
        <x:f>IF(OR(Q101="",Q101="待结算"),"",IF(L101=LEFT(F101,FIND(" vs ",F101)-1),I101,G101))</x:f>
        <x:v>1.06</x:v>
      </x:c>
      <x:c r="W101" s="599" t="n">
        <x:f>IF(OR(U101="",U101="待结算"),"",IF(U101="红",V101,IF(U101="半红",V101*0.5,IF(U101="走",0,IF(U101="半黑",-0.5,-1)))))</x:f>
        <x:v>-1</x:v>
      </x:c>
      <x:c r="X101" s="595" t="inlineStr">
        <x:is>
          <x:t xml:space="preserve">3089763</x:t>
        </x:is>
      </x:c>
      <x:c r="Y101" s="595" t="inlineStr">
        <x:is>
          <x:t xml:space="preserve">v4-market-dirichlet-20260913</x:t>
        </x:is>
      </x:c>
      <x:c r="Z101" s="595" t="inlineStr">
        <x:is>
          <x:t xml:space="preserve">prior-2026-09-16-v1</x:t>
        </x:is>
      </x:c>
      <x:c r="AA101" s="595" t="inlineStr">
        <x:is>
          <x:t xml:space="preserve">A</x:t>
        </x:is>
      </x:c>
      <x:c r="AB101" s="600" t="n">
        <x:v>0.8181818181818182</x:v>
      </x:c>
      <x:c r="AC101" s="600" t="n">
        <x:v>0</x:v>
      </x:c>
      <x:c r="AD101" s="600" t="n">
        <x:v>0</x:v>
      </x:c>
      <x:c r="AE101" s="600" t="n">
        <x:v>0</x:v>
      </x:c>
      <x:c r="AF101" s="600" t="n">
        <x:v>0.1818181818181818</x:v>
      </x:c>
      <x:c r="AG101" s="600" t="n">
        <x:v>0.44</x:v>
      </x:c>
      <x:c r="AH101" s="600" t="n">
        <x:v>0.06199549726992415</x:v>
      </x:c>
      <x:c r="AI101" s="600" t="n">
        <x:v>0.1651688386588517</x:v>
      </x:c>
      <x:c r="AJ101" s="600" t="n">
        <x:v>0.4690072230412485</x:v>
      </x:c>
      <x:c r="AK101" s="600" t="n">
        <x:v>0.6618668478537812</x:v>
      </x:c>
      <x:c r="AL101" s="600" t="n">
        <x:v>0.6935500380692786</x:v>
      </x:c>
      <x:c r="AM101" s="600" t="n">
        <x:v>0.9688</x:v>
      </x:c>
      <x:c r="AN101" s="595" t="inlineStr">
        <x:is>
          <x:t xml:space="preserve">EVALUATED</x:t>
        </x:is>
      </x:c>
      <x:c r="AO101" s="600" t="inlineStr">
        <x:is>
          <x:t xml:space="preserve">BUCKET_2.50、SIDE_IDENTITY_VALID、FLAT_LINE_GIVING_WATER_RISE</x:t>
        </x:is>
      </x:c>
      <x:c r="AP101" s="600" t="inlineStr">
        <x:is>
          <x:t xml:space="preserve">198dee592b017c63f201</x:t>
        </x:is>
      </x:c>
      <x:c r="AQ101" s="600" t="n">
        <x:v>2.5</x:v>
      </x:c>
      <x:c r="AR101" s="600" t="n">
        <x:v>0.76</x:v>
      </x:c>
      <x:c r="AS101" s="600" t="n">
        <x:v>2.5</x:v>
      </x:c>
      <x:c r="AT101" s="600" t="n">
        <x:v>-2.5</x:v>
      </x:c>
      <x:c r="AU101" s="600" t="n">
        <x:v>0.76</x:v>
      </x:c>
      <x:c r="AV101" s="600" t="n">
        <x:v>1.06</x:v>
      </x:c>
      <x:c r="AW101" s="595" t="n">
        <x:v>46281.66344571759</x:v>
      </x:c>
      <x:c r="AX101" s="595" t="inlineStr">
        <x:is>
          <x:t xml:space="preserve">https://simondongxiao.github.io/odds/v4/</x:t>
        </x:is>
      </x:c>
      <x:c r="AY101" s="595" t="inlineStr">
        <x:is>
          <x:t xml:space="preserve">V4 Shadow Only；real_money=false；P(EV&gt;0)不是比赛胜率</x:t>
        </x:is>
      </x:c>
    </x:row>
    <x:row r="102" ht="22" customHeight="1">
      <x:c r="A102" s="595" t="inlineStr">
        <x:is>
          <x:t xml:space="preserve">2026-09-16</x:t>
        </x:is>
      </x:c>
      <x:c r="B102" s="595" t="inlineStr">
        <x:is>
          <x:t xml:space="preserve">2026-09-17 00:45</x:t>
        </x:is>
      </x:c>
      <x:c r="C102" s="595" t="str">
        <x:v>欧洲非五大系列</x:v>
      </x:c>
      <x:c r="D102" s="595" t="inlineStr">
        <x:is>
          <x:t xml:space="preserve">杯赛</x:t>
        </x:is>
      </x:c>
      <x:c r="E102" s="595" t="inlineStr">
        <x:is>
          <x:t xml:space="preserve">欧罗巴杯</x:t>
        </x:is>
      </x:c>
      <x:c r="F102" s="595" t="inlineStr">
        <x:is>
          <x:t xml:space="preserve">奥莫尼亚 vs 塞尔塔</x:t>
        </x:is>
      </x:c>
      <x:c r="G102" s="596" t="n">
        <x:v>1.02</x:v>
      </x:c>
      <x:c r="H102" s="596" t="n">
        <x:v>-0.5</x:v>
      </x:c>
      <x:c r="I102" s="596" t="n">
        <x:v>0.87</x:v>
      </x:c>
      <x:c r="J102" s="596" t="inlineStr">
        <x:is>
          <x:t xml:space="preserve">1.02/-0.5/0.87</x:t>
        </x:is>
      </x:c>
      <x:c r="K102" s="595" t="inlineStr">
        <x:is>
          <x:t xml:space="preserve">V4-C｜EV +0.0158</x:t>
        </x:is>
      </x:c>
      <x:c r="L102" s="595" t="inlineStr">
        <x:is>
          <x:t xml:space="preserve">奥莫尼亚</x:t>
        </x:is>
      </x:c>
      <x:c r="M102" s="597" t="n">
        <x:v>0.5028571428571429</x:v>
      </x:c>
      <x:c r="N102" s="595" t="inlineStr">
        <x:is>
          <x:t xml:space="preserve">V4纸面入选-C</x:t>
        </x:is>
      </x:c>
      <x:c r="O102" s="595" t="inlineStr">
        <x:is>
          <x:t xml:space="preserve">1-0</x:t>
        </x:is>
      </x:c>
      <x:c r="P102" s="595" t="inlineStr">
        <x:is>
          <x:t xml:space="preserve">已结算</x:t>
        </x:is>
      </x:c>
      <x:c r="Q102" s="640" t="inlineStr">
        <x:is>
          <x:t xml:space="preserve">红</x:t>
        </x:is>
      </x:c>
      <x:c r="R102" s="599" t="n">
        <x:v>1.02</x:v>
      </x:c>
      <x:c r="S102" s="599" t="n">
        <x:f>IF(OR(Q102="",Q102="待结算"),"",IF(Q102="红",R102,IF(Q102="半红",R102*0.5,IF(Q102="走",0,IF(Q102="半黑",-0.5,-1)))))</x:f>
        <x:v>1.02</x:v>
      </x:c>
      <x:c r="T102" s="595" t="inlineStr">
        <x:is>
          <x:t xml:space="preserve">https://simondongxiao.github.io/odds/v4/</x:t>
        </x:is>
      </x:c>
      <x:c r="U102" s="641" t="str">
        <x:f>IF(Q102="","",IF(Q102="待结算","待结算",IF(Q102="红","黑",IF(Q102="半红","半黑",IF(Q102="走","走",IF(Q102="半黑","半红","红"))))))</x:f>
        <x:v>黑</x:v>
      </x:c>
      <x:c r="V102" s="599" t="n">
        <x:f>IF(OR(Q102="",Q102="待结算"),"",IF(L102=LEFT(F102,FIND(" vs ",F102)-1),I102,G102))</x:f>
        <x:v>0.87</x:v>
      </x:c>
      <x:c r="W102" s="599" t="n">
        <x:f>IF(OR(U102="",U102="待结算"),"",IF(U102="红",V102,IF(U102="半红",V102*0.5,IF(U102="走",0,IF(U102="半黑",-0.5,-1)))))</x:f>
        <x:v>-1</x:v>
      </x:c>
      <x:c r="X102" s="595" t="inlineStr">
        <x:is>
          <x:t xml:space="preserve">3073770</x:t>
        </x:is>
      </x:c>
      <x:c r="Y102" s="595" t="inlineStr">
        <x:is>
          <x:t xml:space="preserve">v4-market-dirichlet-20260913</x:t>
        </x:is>
      </x:c>
      <x:c r="Z102" s="595" t="inlineStr">
        <x:is>
          <x:t xml:space="preserve">prior-2026-09-16-v1</x:t>
        </x:is>
      </x:c>
      <x:c r="AA102" s="595" t="inlineStr">
        <x:is>
          <x:t xml:space="preserve">C</x:t>
        </x:is>
      </x:c>
      <x:c r="AB102" s="600" t="n">
        <x:v>0.5028571428571429</x:v>
      </x:c>
      <x:c r="AC102" s="600" t="n">
        <x:v>0</x:v>
      </x:c>
      <x:c r="AD102" s="600" t="n">
        <x:v>0</x:v>
      </x:c>
      <x:c r="AE102" s="600" t="n">
        <x:v>0</x:v>
      </x:c>
      <x:c r="AF102" s="600" t="n">
        <x:v>0.4971428571428572</x:v>
      </x:c>
      <x:c r="AG102" s="600" t="n">
        <x:v>0.0157714285714286</x:v>
      </x:c>
      <x:c r="AH102" s="600" t="n">
        <x:v>-0.1123804380766474</x:v>
      </x:c>
      <x:c r="AI102" s="600" t="n">
        <x:v>-0.0834169585200179</x:v>
      </x:c>
      <x:c r="AJ102" s="600" t="n">
        <x:v>0.01451788975871326</x:v>
      </x:c>
      <x:c r="AK102" s="600" t="n">
        <x:v>0.1143542636147561</x:v>
      </x:c>
      <x:c r="AL102" s="600" t="n">
        <x:v>0.1389609551991884</x:v>
      </x:c>
      <x:c r="AM102" s="600" t="n">
        <x:v>0.5758</x:v>
      </x:c>
      <x:c r="AN102" s="595" t="inlineStr">
        <x:is>
          <x:t xml:space="preserve">EVALUATED</x:t>
        </x:is>
      </x:c>
      <x:c r="AO102" s="600" t="inlineStr">
        <x:is>
          <x:t xml:space="preserve">BUCKET_0.50、SIDE_IDENTITY_VALID、FLAT_LINE_GIVING_WATER_RISE</x:t>
        </x:is>
      </x:c>
      <x:c r="AP102" s="600" t="inlineStr">
        <x:is>
          <x:t xml:space="preserve">7b21df2cdeb77ef9bcb4</x:t>
        </x:is>
      </x:c>
      <x:c r="AQ102" s="600" t="n">
        <x:v>0.5</x:v>
      </x:c>
      <x:c r="AR102" s="600" t="n">
        <x:v>1.02</x:v>
      </x:c>
      <x:c r="AS102" s="600" t="n">
        <x:v>0.5</x:v>
      </x:c>
      <x:c r="AT102" s="600" t="n">
        <x:v>-0.5</x:v>
      </x:c>
      <x:c r="AU102" s="600" t="n">
        <x:v>1.02</x:v>
      </x:c>
      <x:c r="AV102" s="600" t="n">
        <x:v>0.87</x:v>
      </x:c>
      <x:c r="AW102" s="595" t="n">
        <x:v>46281.66344571759</x:v>
      </x:c>
      <x:c r="AX102" s="595" t="inlineStr">
        <x:is>
          <x:t xml:space="preserve">https://simondongxiao.github.io/odds/v4/</x:t>
        </x:is>
      </x:c>
      <x:c r="AY102" s="595" t="inlineStr">
        <x:is>
          <x:t xml:space="preserve">V4 Shadow Only；real_money=false；P(EV&gt;0)不是比赛胜率</x:t>
        </x:is>
      </x:c>
    </x:row>
    <x:row r="103" ht="22" customHeight="1">
      <x:c r="A103" s="595" t="inlineStr">
        <x:is>
          <x:t xml:space="preserve">2026-09-16</x:t>
        </x:is>
      </x:c>
      <x:c r="B103" s="595" t="inlineStr">
        <x:is>
          <x:t xml:space="preserve">2026-09-17 01:00</x:t>
        </x:is>
      </x:c>
      <x:c r="C103" s="595" t="str">
        <x:v>欧洲五大系列</x:v>
      </x:c>
      <x:c r="D103" s="595" t="inlineStr">
        <x:is>
          <x:t xml:space="preserve">联赛</x:t>
        </x:is>
      </x:c>
      <x:c r="E103" s="595" t="inlineStr">
        <x:is>
          <x:t xml:space="preserve">西甲</x:t>
        </x:is>
      </x:c>
      <x:c r="F103" s="595" t="inlineStr">
        <x:is>
          <x:t xml:space="preserve">马德里竞技 vs 奥萨苏纳</x:t>
        </x:is>
      </x:c>
      <x:c r="G103" s="596" t="n">
        <x:v>1.06</x:v>
      </x:c>
      <x:c r="H103" s="596" t="n">
        <x:v>1.5</x:v>
      </x:c>
      <x:c r="I103" s="596" t="n">
        <x:v>0.83</x:v>
      </x:c>
      <x:c r="J103" s="596" t="inlineStr">
        <x:is>
          <x:t xml:space="preserve">1.06/1.5/0.83</x:t>
        </x:is>
      </x:c>
      <x:c r="K103" s="595" t="inlineStr">
        <x:is>
          <x:t xml:space="preserve">V4-B｜EV +0.2231</x:t>
        </x:is>
      </x:c>
      <x:c r="L103" s="595" t="inlineStr">
        <x:is>
          <x:t xml:space="preserve">马德里竞技</x:t>
        </x:is>
      </x:c>
      <x:c r="M103" s="597" t="n">
        <x:v>0.59375</x:v>
      </x:c>
      <x:c r="N103" s="595" t="inlineStr">
        <x:is>
          <x:t xml:space="preserve">V4纸面入选-B</x:t>
        </x:is>
      </x:c>
      <x:c r="O103" s="595" t="inlineStr">
        <x:is>
          <x:t xml:space="preserve">4-0</x:t>
        </x:is>
      </x:c>
      <x:c r="P103" s="595" t="inlineStr">
        <x:is>
          <x:t xml:space="preserve">已结算</x:t>
        </x:is>
      </x:c>
      <x:c r="Q103" s="640" t="inlineStr">
        <x:is>
          <x:t xml:space="preserve">红</x:t>
        </x:is>
      </x:c>
      <x:c r="R103" s="599" t="n">
        <x:v>1.06</x:v>
      </x:c>
      <x:c r="S103" s="599" t="n">
        <x:f>IF(OR(Q103="",Q103="待结算"),"",IF(Q103="红",R103,IF(Q103="半红",R103*0.5,IF(Q103="走",0,IF(Q103="半黑",-0.5,-1)))))</x:f>
        <x:v>1.06</x:v>
      </x:c>
      <x:c r="T103" s="595" t="inlineStr">
        <x:is>
          <x:t xml:space="preserve">https://simondongxiao.github.io/odds/v4/</x:t>
        </x:is>
      </x:c>
      <x:c r="U103" s="641" t="str">
        <x:f>IF(Q103="","",IF(Q103="待结算","待结算",IF(Q103="红","黑",IF(Q103="半红","半黑",IF(Q103="走","走",IF(Q103="半黑","半红","红"))))))</x:f>
        <x:v>黑</x:v>
      </x:c>
      <x:c r="V103" s="599" t="n">
        <x:f>IF(OR(Q103="",Q103="待结算"),"",IF(L103=LEFT(F103,FIND(" vs ",F103)-1),I103,G103))</x:f>
        <x:v>0.83</x:v>
      </x:c>
      <x:c r="W103" s="599" t="n">
        <x:f>IF(OR(U103="",U103="待结算"),"",IF(U103="红",V103,IF(U103="半红",V103*0.5,IF(U103="走",0,IF(U103="半黑",-0.5,-1)))))</x:f>
        <x:v>-1</x:v>
      </x:c>
      <x:c r="X103" s="595" t="inlineStr">
        <x:is>
          <x:t xml:space="preserve">3013693</x:t>
        </x:is>
      </x:c>
      <x:c r="Y103" s="595" t="inlineStr">
        <x:is>
          <x:t xml:space="preserve">v4-market-dirichlet-20260913</x:t>
        </x:is>
      </x:c>
      <x:c r="Z103" s="595" t="inlineStr">
        <x:is>
          <x:t xml:space="preserve">prior-2026-09-16-v1</x:t>
        </x:is>
      </x:c>
      <x:c r="AA103" s="595" t="inlineStr">
        <x:is>
          <x:t xml:space="preserve">B</x:t>
        </x:is>
      </x:c>
      <x:c r="AB103" s="600" t="n">
        <x:v>0.59375</x:v>
      </x:c>
      <x:c r="AC103" s="600" t="n">
        <x:v>0</x:v>
      </x:c>
      <x:c r="AD103" s="600" t="n">
        <x:v>0</x:v>
      </x:c>
      <x:c r="AE103" s="600" t="n">
        <x:v>0</x:v>
      </x:c>
      <x:c r="AF103" s="600" t="n">
        <x:v>0.40625</x:v>
      </x:c>
      <x:c r="AG103" s="600" t="n">
        <x:v>0.223125</x:v>
      </x:c>
      <x:c r="AH103" s="600" t="n">
        <x:v>-0.06809830924306215</x:v>
      </x:c>
      <x:c r="AI103" s="600" t="n">
        <x:v>-0.007104183725678226</x:v>
      </x:c>
      <x:c r="AJ103" s="600" t="n">
        <x:v>0.2246382276888216</x:v>
      </x:c>
      <x:c r="AK103" s="600" t="n">
        <x:v>0.4450027277227118</x:v>
      </x:c>
      <x:c r="AL103" s="600" t="n">
        <x:v>0.5099734090390391</x:v>
      </x:c>
      <x:c r="AM103" s="600" t="n">
        <x:v>0.8946</x:v>
      </x:c>
      <x:c r="AN103" s="595" t="inlineStr">
        <x:is>
          <x:t xml:space="preserve">EVALUATED</x:t>
        </x:is>
      </x:c>
      <x:c r="AO103" s="600" t="inlineStr">
        <x:is>
          <x:t xml:space="preserve">BUCKET_1.50、SIDE_IDENTITY_VALID、MARKET_MOVE_DEEPER_WITH_GIVING_WATER_RISE</x:t>
        </x:is>
      </x:c>
      <x:c r="AP103" s="600" t="inlineStr">
        <x:is>
          <x:t xml:space="preserve">d3db6d776fe0f7f30160</x:t>
        </x:is>
      </x:c>
      <x:c r="AQ103" s="600" t="n">
        <x:v>-1.5</x:v>
      </x:c>
      <x:c r="AR103" s="600" t="n">
        <x:v>1.06</x:v>
      </x:c>
      <x:c r="AS103" s="600" t="n">
        <x:v>-1.5</x:v>
      </x:c>
      <x:c r="AT103" s="600" t="n">
        <x:v>1.5</x:v>
      </x:c>
      <x:c r="AU103" s="600" t="n">
        <x:v>1.06</x:v>
      </x:c>
      <x:c r="AV103" s="600" t="n">
        <x:v>0.83</x:v>
      </x:c>
      <x:c r="AW103" s="595" t="n">
        <x:v>46281.66344571759</x:v>
      </x:c>
      <x:c r="AX103" s="595" t="inlineStr">
        <x:is>
          <x:t xml:space="preserve">https://simondongxiao.github.io/odds/v4/</x:t>
        </x:is>
      </x:c>
      <x:c r="AY103" s="595" t="inlineStr">
        <x:is>
          <x:t xml:space="preserve">V4 Shadow Only；real_money=false；P(EV&gt;0)不是比赛胜率</x:t>
        </x:is>
      </x:c>
    </x:row>
    <x:row r="104" ht="22" customHeight="1">
      <x:c r="A104" s="595" t="inlineStr">
        <x:is>
          <x:t xml:space="preserve">2026-09-16</x:t>
        </x:is>
      </x:c>
      <x:c r="B104" s="595" t="inlineStr">
        <x:is>
          <x:t xml:space="preserve">2026-09-17 01:00</x:t>
        </x:is>
      </x:c>
      <x:c r="C104" s="595" t="str">
        <x:v>五大联赛非顶级联赛</x:v>
      </x:c>
      <x:c r="D104" s="595" t="inlineStr">
        <x:is>
          <x:t xml:space="preserve">联赛</x:t>
        </x:is>
      </x:c>
      <x:c r="E104" s="595" t="inlineStr">
        <x:is>
          <x:t xml:space="preserve">德丙</x:t>
        </x:is>
      </x:c>
      <x:c r="F104" s="595" t="inlineStr">
        <x:is>
          <x:t xml:space="preserve">罗斯托克 vs 史特加青年队</x:t>
        </x:is>
      </x:c>
      <x:c r="G104" s="596" t="n">
        <x:v>1.05</x:v>
      </x:c>
      <x:c r="H104" s="596" t="n">
        <x:v>1.25</x:v>
      </x:c>
      <x:c r="I104" s="596" t="n">
        <x:v>0.8100000000000001</x:v>
      </x:c>
      <x:c r="J104" s="596" t="inlineStr">
        <x:is>
          <x:t xml:space="preserve">1.05/1.25/0.81</x:t>
        </x:is>
      </x:c>
      <x:c r="K104" s="595" t="inlineStr">
        <x:is>
          <x:t xml:space="preserve">V4-C｜EV +0.0311</x:t>
        </x:is>
      </x:c>
      <x:c r="L104" s="595" t="inlineStr">
        <x:is>
          <x:t xml:space="preserve">罗斯托克</x:t>
        </x:is>
      </x:c>
      <x:c r="M104" s="597" t="n">
        <x:v>0.5054945054945055</x:v>
      </x:c>
      <x:c r="N104" s="595" t="inlineStr">
        <x:is>
          <x:t xml:space="preserve">V4纸面入选-C</x:t>
        </x:is>
      </x:c>
      <x:c r="O104" s="595" t="inlineStr">
        <x:is>
          <x:t xml:space="preserve">3-2</x:t>
        </x:is>
      </x:c>
      <x:c r="P104" s="595" t="inlineStr">
        <x:is>
          <x:t xml:space="preserve">已结算</x:t>
        </x:is>
      </x:c>
      <x:c r="Q104" s="643" t="inlineStr">
        <x:is>
          <x:t xml:space="preserve">半黑</x:t>
        </x:is>
      </x:c>
      <x:c r="R104" s="599" t="n">
        <x:v>1.05</x:v>
      </x:c>
      <x:c r="S104" s="599" t="n">
        <x:f>IF(OR(Q104="",Q104="待结算"),"",IF(Q104="红",R104,IF(Q104="半红",R104*0.5,IF(Q104="走",0,IF(Q104="半黑",-0.5,-1)))))</x:f>
        <x:v>-0.5</x:v>
      </x:c>
      <x:c r="T104" s="595" t="inlineStr">
        <x:is>
          <x:t xml:space="preserve">https://simondongxiao.github.io/odds/v4/</x:t>
        </x:is>
      </x:c>
      <x:c r="U104" s="642" t="str">
        <x:f>IF(Q104="","",IF(Q104="待结算","待结算",IF(Q104="红","黑",IF(Q104="半红","半黑",IF(Q104="走","走",IF(Q104="半黑","半红","红"))))))</x:f>
        <x:v>半红</x:v>
      </x:c>
      <x:c r="V104" s="599" t="n">
        <x:f>IF(OR(Q104="",Q104="待结算"),"",IF(L104=LEFT(F104,FIND(" vs ",F104)-1),I104,G104))</x:f>
        <x:v>0.81</x:v>
      </x:c>
      <x:c r="W104" s="599" t="n">
        <x:f>IF(OR(U104="",U104="待结算"),"",IF(U104="红",V104,IF(U104="半红",V104*0.5,IF(U104="走",0,IF(U104="半黑",-0.5,-1)))))</x:f>
        <x:v>0.405</x:v>
      </x:c>
      <x:c r="X104" s="595" t="inlineStr">
        <x:is>
          <x:t xml:space="preserve">3026048</x:t>
        </x:is>
      </x:c>
      <x:c r="Y104" s="595" t="inlineStr">
        <x:is>
          <x:t xml:space="preserve">v4-market-dirichlet-20260913</x:t>
        </x:is>
      </x:c>
      <x:c r="Z104" s="595" t="inlineStr">
        <x:is>
          <x:t xml:space="preserve">prior-2026-09-16-v1</x:t>
        </x:is>
      </x:c>
      <x:c r="AA104" s="595" t="inlineStr">
        <x:is>
          <x:t xml:space="preserve">C</x:t>
        </x:is>
      </x:c>
      <x:c r="AB104" s="600" t="n">
        <x:v>0.4339622641509434</x:v>
      </x:c>
      <x:c r="AC104" s="600" t="n">
        <x:v>0</x:v>
      </x:c>
      <x:c r="AD104" s="600" t="n">
        <x:v>0</x:v>
      </x:c>
      <x:c r="AE104" s="600" t="n">
        <x:v>0.2830188679245283</x:v>
      </x:c>
      <x:c r="AF104" s="600" t="n">
        <x:v>0.2830188679245283</x:v>
      </x:c>
      <x:c r="AG104" s="600" t="n">
        <x:v>0.03113207547169811</x:v>
      </x:c>
      <x:c r="AH104" s="600" t="n">
        <x:v>-0.1742288210336532</x:v>
      </x:c>
      <x:c r="AI104" s="600" t="n">
        <x:v>-0.1288495289494445</x:v>
      </x:c>
      <x:c r="AJ104" s="600" t="n">
        <x:v>0.03140896777917945</x:v>
      </x:c>
      <x:c r="AK104" s="600" t="n">
        <x:v>0.1923272130717978</x:v>
      </x:c>
      <x:c r="AL104" s="600" t="n">
        <x:v>0.2371596529149605</x:v>
      </x:c>
      <x:c r="AM104" s="600" t="n">
        <x:v>0.6004</x:v>
      </x:c>
      <x:c r="AN104" s="595" t="inlineStr">
        <x:is>
          <x:t xml:space="preserve">EVALUATED</x:t>
        </x:is>
      </x:c>
      <x:c r="AO104" s="600" t="inlineStr">
        <x:is>
          <x:t xml:space="preserve">BUCKET_1.25、SIDE_IDENTITY_VALID、MARKET_MOVE_DEEPER_WITH_GIVING_WATER_RISE</x:t>
        </x:is>
      </x:c>
      <x:c r="AP104" s="600" t="inlineStr">
        <x:is>
          <x:t xml:space="preserve">67af5e06ce6bf75a90e9</x:t>
        </x:is>
      </x:c>
      <x:c r="AQ104" s="600" t="n">
        <x:v>-1.25</x:v>
      </x:c>
      <x:c r="AR104" s="600" t="n">
        <x:v>1.05</x:v>
      </x:c>
      <x:c r="AS104" s="600" t="n">
        <x:v>-1.25</x:v>
      </x:c>
      <x:c r="AT104" s="600" t="n">
        <x:v>1.25</x:v>
      </x:c>
      <x:c r="AU104" s="600" t="n">
        <x:v>1.05</x:v>
      </x:c>
      <x:c r="AV104" s="600" t="n">
        <x:v>0.8100000000000001</x:v>
      </x:c>
      <x:c r="AW104" s="595" t="n">
        <x:v>46281.66344571759</x:v>
      </x:c>
      <x:c r="AX104" s="595" t="inlineStr">
        <x:is>
          <x:t xml:space="preserve">https://simondongxiao.github.io/odds/v4/</x:t>
        </x:is>
      </x:c>
      <x:c r="AY104" s="595" t="inlineStr">
        <x:is>
          <x:t xml:space="preserve">V4 Shadow Only；real_money=false；P(EV&gt;0)不是比赛胜率</x:t>
        </x:is>
      </x:c>
    </x:row>
    <x:row r="105" ht="22" customHeight="1">
      <x:c r="A105" s="595" t="inlineStr">
        <x:is>
          <x:t xml:space="preserve">2026-09-16</x:t>
        </x:is>
      </x:c>
      <x:c r="B105" s="595" t="inlineStr">
        <x:is>
          <x:t xml:space="preserve">2026-09-17 01:00</x:t>
        </x:is>
      </x:c>
      <x:c r="C105" s="595" t="str">
        <x:v>五大联赛非顶级联赛</x:v>
      </x:c>
      <x:c r="D105" s="595" t="inlineStr">
        <x:is>
          <x:t xml:space="preserve">联赛</x:t>
        </x:is>
      </x:c>
      <x:c r="E105" s="595" t="inlineStr">
        <x:is>
          <x:t xml:space="preserve">德丙</x:t>
        </x:is>
      </x:c>
      <x:c r="F105" s="595" t="inlineStr">
        <x:is>
          <x:t xml:space="preserve">曼海姆 vs 埃森</x:t>
        </x:is>
      </x:c>
      <x:c r="G105" s="596" t="n">
        <x:v>1</x:v>
      </x:c>
      <x:c r="H105" s="596" t="n">
        <x:v>-0.25</x:v>
      </x:c>
      <x:c r="I105" s="596" t="n">
        <x:v>0.86</x:v>
      </x:c>
      <x:c r="J105" s="596" t="inlineStr">
        <x:is>
          <x:t xml:space="preserve">1.00/-0.25/0.86</x:t>
        </x:is>
      </x:c>
      <x:c r="K105" s="595" t="inlineStr">
        <x:is>
          <x:t xml:space="preserve">V4-C｜EV +0.0017</x:t>
        </x:is>
      </x:c>
      <x:c r="L105" s="595" t="inlineStr">
        <x:is>
          <x:t xml:space="preserve">曼海姆</x:t>
        </x:is>
      </x:c>
      <x:c r="M105" s="597" t="n">
        <x:v>0.5010224948875256</x:v>
      </x:c>
      <x:c r="N105" s="595" t="inlineStr">
        <x:is>
          <x:t xml:space="preserve">V4纸面入选-C</x:t>
        </x:is>
      </x:c>
      <x:c r="O105" s="595" t="inlineStr">
        <x:is>
          <x:t xml:space="preserve">1-2</x:t>
        </x:is>
      </x:c>
      <x:c r="P105" s="595" t="inlineStr">
        <x:is>
          <x:t xml:space="preserve">已结算</x:t>
        </x:is>
      </x:c>
      <x:c r="Q105" s="641" t="inlineStr">
        <x:is>
          <x:t xml:space="preserve">黑</x:t>
        </x:is>
      </x:c>
      <x:c r="R105" s="599" t="n">
        <x:v>1</x:v>
      </x:c>
      <x:c r="S105" s="599" t="n">
        <x:f>IF(OR(Q105="",Q105="待结算"),"",IF(Q105="红",R105,IF(Q105="半红",R105*0.5,IF(Q105="走",0,IF(Q105="半黑",-0.5,-1)))))</x:f>
        <x:v>-1</x:v>
      </x:c>
      <x:c r="T105" s="595" t="inlineStr">
        <x:is>
          <x:t xml:space="preserve">https://simondongxiao.github.io/odds/v4/</x:t>
        </x:is>
      </x:c>
      <x:c r="U105" s="640" t="str">
        <x:f>IF(Q105="","",IF(Q105="待结算","待结算",IF(Q105="红","黑",IF(Q105="半红","半黑",IF(Q105="走","走",IF(Q105="半黑","半红","红"))))))</x:f>
        <x:v>红</x:v>
      </x:c>
      <x:c r="V105" s="599" t="n">
        <x:f>IF(OR(Q105="",Q105="待结算"),"",IF(L105=LEFT(F105,FIND(" vs ",F105)-1),I105,G105))</x:f>
        <x:v>0.86</x:v>
      </x:c>
      <x:c r="W105" s="599" t="n">
        <x:f>IF(OR(U105="",U105="待结算"),"",IF(U105="红",V105,IF(U105="半红",V105*0.5,IF(U105="走",0,IF(U105="半黑",-0.5,-1)))))</x:f>
        <x:v>0.86</x:v>
      </x:c>
      <x:c r="X105" s="595" t="inlineStr">
        <x:is>
          <x:t xml:space="preserve">3026050</x:t>
        </x:is>
      </x:c>
      <x:c r="Y105" s="595" t="inlineStr">
        <x:is>
          <x:t xml:space="preserve">v4-market-dirichlet-20260913</x:t>
        </x:is>
      </x:c>
      <x:c r="Z105" s="595" t="inlineStr">
        <x:is>
          <x:t xml:space="preserve">prior-2026-09-16-v1</x:t>
        </x:is>
      </x:c>
      <x:c r="AA105" s="595" t="inlineStr">
        <x:is>
          <x:t xml:space="preserve">C</x:t>
        </x:is>
      </x:c>
      <x:c r="AB105" s="600" t="n">
        <x:v>0.2743055555555556</x:v>
      </x:c>
      <x:c r="AC105" s="600" t="n">
        <x:v>0.3020833333333333</x:v>
      </x:c>
      <x:c r="AD105" s="600" t="n">
        <x:v>0</x:v>
      </x:c>
      <x:c r="AE105" s="600" t="n">
        <x:v>0</x:v>
      </x:c>
      <x:c r="AF105" s="600" t="n">
        <x:v>0.4236111111111111</x:v>
      </x:c>
      <x:c r="AG105" s="600" t="n">
        <x:v>0.001736111111111105</x:v>
      </x:c>
      <x:c r="AH105" s="600" t="n">
        <x:v>-0.08326726300396925</x:v>
      </x:c>
      <x:c r="AI105" s="600" t="n">
        <x:v>-0.06466098002827547</x:v>
      </x:c>
      <x:c r="AJ105" s="600" t="n">
        <x:v>0.0008052313116063137</x:v>
      </x:c>
      <x:c r="AK105" s="600" t="n">
        <x:v>0.06574951997536432</x:v>
      </x:c>
      <x:c r="AL105" s="600" t="n">
        <x:v>0.08383732906557423</x:v>
      </x:c>
      <x:c r="AM105" s="600" t="n">
        <x:v>0.5078</x:v>
      </x:c>
      <x:c r="AN105" s="595" t="inlineStr">
        <x:is>
          <x:t xml:space="preserve">EVALUATED</x:t>
        </x:is>
      </x:c>
      <x:c r="AO105" s="600" t="inlineStr">
        <x:is>
          <x:t xml:space="preserve">BUCKET_0.25、SIDE_IDENTITY_VALID、FLAT_LINE_GIVING_WATER_DROP</x:t>
        </x:is>
      </x:c>
      <x:c r="AP105" s="600" t="inlineStr">
        <x:is>
          <x:t xml:space="preserve">b3f1ec98ec52e672961e</x:t>
        </x:is>
      </x:c>
      <x:c r="AQ105" s="600" t="n">
        <x:v>0.25</x:v>
      </x:c>
      <x:c r="AR105" s="600" t="n">
        <x:v>1</x:v>
      </x:c>
      <x:c r="AS105" s="600" t="n">
        <x:v>0.25</x:v>
      </x:c>
      <x:c r="AT105" s="600" t="n">
        <x:v>-0.25</x:v>
      </x:c>
      <x:c r="AU105" s="600" t="n">
        <x:v>1</x:v>
      </x:c>
      <x:c r="AV105" s="600" t="n">
        <x:v>0.86</x:v>
      </x:c>
      <x:c r="AW105" s="595" t="n">
        <x:v>46281.66344571759</x:v>
      </x:c>
      <x:c r="AX105" s="595" t="inlineStr">
        <x:is>
          <x:t xml:space="preserve">https://simondongxiao.github.io/odds/v4/</x:t>
        </x:is>
      </x:c>
      <x:c r="AY105" s="595" t="inlineStr">
        <x:is>
          <x:t xml:space="preserve">V4 Shadow Only；real_money=false；P(EV&gt;0)不是比赛胜率</x:t>
        </x:is>
      </x:c>
    </x:row>
    <x:row r="106" ht="22" customHeight="1">
      <x:c r="A106" s="595" t="inlineStr">
        <x:is>
          <x:t xml:space="preserve">2026-09-16</x:t>
        </x:is>
      </x:c>
      <x:c r="B106" s="595" t="inlineStr">
        <x:is>
          <x:t xml:space="preserve">2026-09-17 01:00</x:t>
        </x:is>
      </x:c>
      <x:c r="C106" s="595" t="str">
        <x:v>其他系列</x:v>
      </x:c>
      <x:c r="D106" s="595" t="inlineStr">
        <x:is>
          <x:t xml:space="preserve">联赛</x:t>
        </x:is>
      </x:c>
      <x:c r="E106" s="595" t="inlineStr">
        <x:is>
          <x:t xml:space="preserve">埃及超</x:t>
        </x:is>
      </x:c>
      <x:c r="F106" s="595" t="inlineStr">
        <x:is>
          <x:t xml:space="preserve">恩比(中) vs 金字塔</x:t>
        </x:is>
      </x:c>
      <x:c r="G106" s="596" t="n">
        <x:v>0.9399999999999999</x:v>
      </x:c>
      <x:c r="H106" s="596" t="n">
        <x:v>-1</x:v>
      </x:c>
      <x:c r="I106" s="596" t="n">
        <x:v>0.9399999999999999</x:v>
      </x:c>
      <x:c r="J106" s="596" t="inlineStr">
        <x:is>
          <x:t xml:space="preserve">0.94/-1/0.94</x:t>
        </x:is>
      </x:c>
      <x:c r="K106" s="595" t="inlineStr">
        <x:is>
          <x:t xml:space="preserve">V4-C｜EV +0.0405</x:t>
        </x:is>
      </x:c>
      <x:c r="L106" s="595" t="inlineStr">
        <x:is>
          <x:t xml:space="preserve">恩比(中)</x:t>
        </x:is>
      </x:c>
      <x:c r="M106" s="597" t="n">
        <x:v>0.5423728813559322</x:v>
      </x:c>
      <x:c r="N106" s="595" t="inlineStr">
        <x:is>
          <x:t xml:space="preserve">V4纸面入选-C</x:t>
        </x:is>
      </x:c>
      <x:c r="O106" s="595" t="inlineStr">
        <x:is>
          <x:t xml:space="preserve">1-2</x:t>
        </x:is>
      </x:c>
      <x:c r="P106" s="595" t="inlineStr">
        <x:is>
          <x:t xml:space="preserve">已结算</x:t>
        </x:is>
      </x:c>
      <x:c r="Q106" s="644" t="inlineStr">
        <x:is>
          <x:t xml:space="preserve">走</x:t>
        </x:is>
      </x:c>
      <x:c r="R106" s="599" t="n">
        <x:v>0.9399999999999999</x:v>
      </x:c>
      <x:c r="S106" s="599" t="n">
        <x:f>IF(OR(Q106="",Q106="待结算"),"",IF(Q106="红",R106,IF(Q106="半红",R106*0.5,IF(Q106="走",0,IF(Q106="半黑",-0.5,-1)))))</x:f>
        <x:v>0</x:v>
      </x:c>
      <x:c r="T106" s="595" t="inlineStr">
        <x:is>
          <x:t xml:space="preserve">https://www.flashscore.com/match/football/enppi-2wpo7PBj/pyramids-zyHMiDZ6/</x:t>
        </x:is>
      </x:c>
      <x:c r="U106" s="644" t="str">
        <x:f>IF(Q106="","",IF(Q106="待结算","待结算",IF(Q106="红","黑",IF(Q106="半红","半黑",IF(Q106="走","走",IF(Q106="半黑","半红","红"))))))</x:f>
        <x:v>走</x:v>
      </x:c>
      <x:c r="V106" s="599" t="n">
        <x:f>IF(OR(Q106="",Q106="待结算"),"",IF(L106=LEFT(F106,FIND(" vs ",F106)-1),I106,G106))</x:f>
        <x:v>0.94</x:v>
      </x:c>
      <x:c r="W106" s="599" t="n">
        <x:f>IF(OR(U106="",U106="待结算"),"",IF(U106="红",V106,IF(U106="半红",V106*0.5,IF(U106="走",0,IF(U106="半黑",-0.5,-1)))))</x:f>
        <x:v>0</x:v>
      </x:c>
      <x:c r="X106" s="595" t="inlineStr">
        <x:is>
          <x:t xml:space="preserve">3059460</x:t>
        </x:is>
      </x:c>
      <x:c r="Y106" s="595" t="inlineStr">
        <x:is>
          <x:t xml:space="preserve">v4-market-dirichlet-20260913</x:t>
        </x:is>
      </x:c>
      <x:c r="Z106" s="595" t="inlineStr">
        <x:is>
          <x:t xml:space="preserve">prior-2026-09-16-v1</x:t>
        </x:is>
      </x:c>
      <x:c r="AA106" s="595" t="inlineStr">
        <x:is>
          <x:t xml:space="preserve">C</x:t>
        </x:is>
      </x:c>
      <x:c r="AB106" s="600" t="n">
        <x:v>0.4210526315789473</x:v>
      </x:c>
      <x:c r="AC106" s="600" t="n">
        <x:v>0</x:v>
      </x:c>
      <x:c r="AD106" s="600" t="n">
        <x:v>0.2236842105263158</x:v>
      </x:c>
      <x:c r="AE106" s="600" t="n">
        <x:v>0</x:v>
      </x:c>
      <x:c r="AF106" s="600" t="n">
        <x:v>0.3552631578947368</x:v>
      </x:c>
      <x:c r="AG106" s="600" t="n">
        <x:v>0.04052631578947363</x:v>
      </x:c>
      <x:c r="AH106" s="600" t="n">
        <x:v>-0.1256969970862814</x:v>
      </x:c>
      <x:c r="AI106" s="600" t="n">
        <x:v>-0.08478937383041796</x:v>
      </x:c>
      <x:c r="AJ106" s="600" t="n">
        <x:v>0.04171271842906593</x:v>
      </x:c>
      <x:c r="AK106" s="600" t="n">
        <x:v>0.1636906238268622</x:v>
      </x:c>
      <x:c r="AL106" s="600" t="n">
        <x:v>0.2009478093394375</x:v>
      </x:c>
      <x:c r="AM106" s="600" t="n">
        <x:v>0.6646</x:v>
      </x:c>
      <x:c r="AN106" s="595" t="inlineStr">
        <x:is>
          <x:t xml:space="preserve">EVALUATED</x:t>
        </x:is>
      </x:c>
      <x:c r="AO106" s="600" t="inlineStr">
        <x:is>
          <x:t xml:space="preserve">BUCKET_1.00、SIDE_IDENTITY_VALID、FLAT_LINE_GIVING_WATER_RISE</x:t>
        </x:is>
      </x:c>
      <x:c r="AP106" s="600" t="inlineStr">
        <x:is>
          <x:t xml:space="preserve">bf5c1c57b023a85a2058</x:t>
        </x:is>
      </x:c>
      <x:c r="AQ106" s="600" t="n">
        <x:v>1</x:v>
      </x:c>
      <x:c r="AR106" s="600" t="n">
        <x:v>0.9399999999999999</x:v>
      </x:c>
      <x:c r="AS106" s="600" t="n">
        <x:v>1</x:v>
      </x:c>
      <x:c r="AT106" s="600" t="n">
        <x:v>-1</x:v>
      </x:c>
      <x:c r="AU106" s="600" t="n">
        <x:v>0.9399999999999999</x:v>
      </x:c>
      <x:c r="AV106" s="600" t="n">
        <x:v>0.9399999999999999</x:v>
      </x:c>
      <x:c r="AW106" s="595" t="n">
        <x:v>46281.66344571759</x:v>
      </x:c>
      <x:c r="AX106" s="595" t="inlineStr">
        <x:is>
          <x:t xml:space="preserve">https://simondongxiao.github.io/odds/v4/</x:t>
        </x:is>
      </x:c>
      <x:c r="AY106" s="595" t="inlineStr">
        <x:is>
          <x:t xml:space="preserve">V4 Shadow Only；real_money=false；P(EV&gt;0)不是比赛胜率</x:t>
        </x:is>
      </x:c>
    </x:row>
    <x:row r="107" ht="22" customHeight="1">
      <x:c r="A107" s="595" t="inlineStr">
        <x:is>
          <x:t xml:space="preserve">2026-09-16</x:t>
        </x:is>
      </x:c>
      <x:c r="B107" s="595" t="inlineStr">
        <x:is>
          <x:t xml:space="preserve">2026-09-17 01:45</x:t>
        </x:is>
      </x:c>
      <x:c r="C107" s="595" t="str">
        <x:v>欧洲非五大系列</x:v>
      </x:c>
      <x:c r="D107" s="595" t="inlineStr">
        <x:is>
          <x:t xml:space="preserve">联赛</x:t>
        </x:is>
      </x:c>
      <x:c r="E107" s="595" t="inlineStr">
        <x:is>
          <x:t xml:space="preserve">俄超</x:t>
        </x:is>
      </x:c>
      <x:c r="F107" s="595" t="inlineStr">
        <x:is>
          <x:t xml:space="preserve">加里宁格勒波罗的海 vs 圣彼得堡泽尼特</x:t>
        </x:is>
      </x:c>
      <x:c r="G107" s="596" t="n">
        <x:v>1</x:v>
      </x:c>
      <x:c r="H107" s="596" t="n">
        <x:v>-0.5</x:v>
      </x:c>
      <x:c r="I107" s="596" t="n">
        <x:v>0.89</x:v>
      </x:c>
      <x:c r="J107" s="596" t="inlineStr">
        <x:is>
          <x:t xml:space="preserve">1.00/-0.5/0.89</x:t>
        </x:is>
      </x:c>
      <x:c r="K107" s="595" t="inlineStr">
        <x:is>
          <x:t xml:space="preserve">V4-C｜EV +0.0057</x:t>
        </x:is>
      </x:c>
      <x:c r="L107" s="595" t="inlineStr">
        <x:is>
          <x:t xml:space="preserve">加里宁格勒波罗的海</x:t>
        </x:is>
      </x:c>
      <x:c r="M107" s="597" t="n">
        <x:v>0.5028571428571429</x:v>
      </x:c>
      <x:c r="N107" s="595" t="inlineStr">
        <x:is>
          <x:t xml:space="preserve">V4纸面入选-C</x:t>
        </x:is>
      </x:c>
      <x:c r="O107" s="595" t="inlineStr">
        <x:is>
          <x:t xml:space="preserve">2-3</x:t>
        </x:is>
      </x:c>
      <x:c r="P107" s="595" t="inlineStr">
        <x:is>
          <x:t xml:space="preserve">已结算</x:t>
        </x:is>
      </x:c>
      <x:c r="Q107" s="641" t="inlineStr">
        <x:is>
          <x:t xml:space="preserve">黑</x:t>
        </x:is>
      </x:c>
      <x:c r="R107" s="599" t="n">
        <x:v>1</x:v>
      </x:c>
      <x:c r="S107" s="599" t="n">
        <x:f>IF(OR(Q107="",Q107="待结算"),"",IF(Q107="红",R107,IF(Q107="半红",R107*0.5,IF(Q107="走",0,IF(Q107="半黑",-0.5,-1)))))</x:f>
        <x:v>-1</x:v>
      </x:c>
      <x:c r="T107" s="595" t="inlineStr">
        <x:is>
          <x:t xml:space="preserve">https://simondongxiao.github.io/odds/v4/</x:t>
        </x:is>
      </x:c>
      <x:c r="U107" s="640" t="str">
        <x:f>IF(Q107="","",IF(Q107="待结算","待结算",IF(Q107="红","黑",IF(Q107="半红","半黑",IF(Q107="走","走",IF(Q107="半黑","半红","红"))))))</x:f>
        <x:v>红</x:v>
      </x:c>
      <x:c r="V107" s="599" t="n">
        <x:f>IF(OR(Q107="",Q107="待结算"),"",IF(L107=LEFT(F107,FIND(" vs ",F107)-1),I107,G107))</x:f>
        <x:v>0.89</x:v>
      </x:c>
      <x:c r="W107" s="599" t="n">
        <x:f>IF(OR(U107="",U107="待结算"),"",IF(U107="红",V107,IF(U107="半红",V107*0.5,IF(U107="走",0,IF(U107="半黑",-0.5,-1)))))</x:f>
        <x:v>0.89</x:v>
      </x:c>
      <x:c r="X107" s="595" t="inlineStr">
        <x:is>
          <x:t xml:space="preserve">3012300</x:t>
        </x:is>
      </x:c>
      <x:c r="Y107" s="595" t="inlineStr">
        <x:is>
          <x:t xml:space="preserve">v4-market-dirichlet-20260913</x:t>
        </x:is>
      </x:c>
      <x:c r="Z107" s="595" t="inlineStr">
        <x:is>
          <x:t xml:space="preserve">prior-2026-09-16-v1</x:t>
        </x:is>
      </x:c>
      <x:c r="AA107" s="595" t="inlineStr">
        <x:is>
          <x:t xml:space="preserve">C</x:t>
        </x:is>
      </x:c>
      <x:c r="AB107" s="600" t="n">
        <x:v>0.5028571428571429</x:v>
      </x:c>
      <x:c r="AC107" s="600" t="n">
        <x:v>0</x:v>
      </x:c>
      <x:c r="AD107" s="600" t="n">
        <x:v>0</x:v>
      </x:c>
      <x:c r="AE107" s="600" t="n">
        <x:v>0</x:v>
      </x:c>
      <x:c r="AF107" s="600" t="n">
        <x:v>0.4971428571428572</x:v>
      </x:c>
      <x:c r="AG107" s="600" t="n">
        <x:v>0.005714285714285727</x:v>
      </x:c>
      <x:c r="AH107" s="600" t="n">
        <x:v>-0.114200805131225</x:v>
      </x:c>
      <x:c r="AI107" s="600" t="n">
        <x:v>-0.08762283745773347</x:v>
      </x:c>
      <x:c r="AJ107" s="600" t="n">
        <x:v>0.005183308055903391</x:v>
      </x:c>
      <x:c r="AK107" s="600" t="n">
        <x:v>0.1004260279398824</x:v>
      </x:c>
      <x:c r="AL107" s="600" t="n">
        <x:v>0.1279024597657741</x:v>
      </x:c>
      <x:c r="AM107" s="600" t="n">
        <x:v>0.5276</x:v>
      </x:c>
      <x:c r="AN107" s="595" t="inlineStr">
        <x:is>
          <x:t xml:space="preserve">EVALUATED</x:t>
        </x:is>
      </x:c>
      <x:c r="AO107" s="600" t="inlineStr">
        <x:is>
          <x:t xml:space="preserve">BUCKET_0.50、SIDE_IDENTITY_VALID、FLAT_LINE_GIVING_WATER_DROP</x:t>
        </x:is>
      </x:c>
      <x:c r="AP107" s="600" t="inlineStr">
        <x:is>
          <x:t xml:space="preserve">2725f9af34065481f44d</x:t>
        </x:is>
      </x:c>
      <x:c r="AQ107" s="600" t="n">
        <x:v>0.5</x:v>
      </x:c>
      <x:c r="AR107" s="600" t="n">
        <x:v>1</x:v>
      </x:c>
      <x:c r="AS107" s="600" t="n">
        <x:v>0.5</x:v>
      </x:c>
      <x:c r="AT107" s="600" t="n">
        <x:v>-0.5</x:v>
      </x:c>
      <x:c r="AU107" s="600" t="n">
        <x:v>1</x:v>
      </x:c>
      <x:c r="AV107" s="600" t="n">
        <x:v>0.89</x:v>
      </x:c>
      <x:c r="AW107" s="595" t="n">
        <x:v>46281.66344571759</x:v>
      </x:c>
      <x:c r="AX107" s="595" t="inlineStr">
        <x:is>
          <x:t xml:space="preserve">https://simondongxiao.github.io/odds/v4/</x:t>
        </x:is>
      </x:c>
      <x:c r="AY107" s="595" t="inlineStr">
        <x:is>
          <x:t xml:space="preserve">V4 Shadow Only；real_money=false；P(EV&gt;0)不是比赛胜率</x:t>
        </x:is>
      </x:c>
    </x:row>
    <x:row r="108" ht="22" customHeight="1">
      <x:c r="A108" s="595" t="inlineStr">
        <x:is>
          <x:t xml:space="preserve">2026-09-16</x:t>
        </x:is>
      </x:c>
      <x:c r="B108" s="595" t="inlineStr">
        <x:is>
          <x:t xml:space="preserve">2026-09-17 02:00</x:t>
        </x:is>
      </x:c>
      <x:c r="C108" s="595" t="str">
        <x:v>其他系列</x:v>
      </x:c>
      <x:c r="D108" s="595" t="inlineStr">
        <x:is>
          <x:t xml:space="preserve">联赛</x:t>
        </x:is>
      </x:c>
      <x:c r="E108" s="595" t="inlineStr">
        <x:is>
          <x:t xml:space="preserve">阿后备</x:t>
        </x:is>
      </x:c>
      <x:c r="F108" s="595" t="inlineStr">
        <x:is>
          <x:t xml:space="preserve">飓风后备队 vs 基尔梅斯后备队</x:t>
        </x:is>
      </x:c>
      <x:c r="G108" s="596" t="n">
        <x:v>0.6</x:v>
      </x:c>
      <x:c r="H108" s="596" t="n">
        <x:v>-0.25</x:v>
      </x:c>
      <x:c r="I108" s="596" t="n">
        <x:v>1.11</x:v>
      </x:c>
      <x:c r="J108" s="596" t="inlineStr">
        <x:is>
          <x:t xml:space="preserve">0.60/-0.25/1.11</x:t>
        </x:is>
      </x:c>
      <x:c r="K108" s="595" t="inlineStr">
        <x:is>
          <x:t xml:space="preserve">V4-C｜EV +0.0449</x:t>
        </x:is>
      </x:c>
      <x:c r="L108" s="595" t="inlineStr">
        <x:is>
          <x:t xml:space="preserve">基尔梅斯后备队</x:t>
        </x:is>
      </x:c>
      <x:c r="M108" s="597" t="n">
        <x:v>0.4989775051124744</x:v>
      </x:c>
      <x:c r="N108" s="595" t="inlineStr">
        <x:is>
          <x:t xml:space="preserve">V4纸面入选-C</x:t>
        </x:is>
      </x:c>
      <x:c r="O108" s="595" t="inlineStr">
        <x:is>
          <x:t xml:space="preserve">1-0</x:t>
        </x:is>
      </x:c>
      <x:c r="P108" s="595" t="inlineStr">
        <x:is>
          <x:t xml:space="preserve">已结算</x:t>
        </x:is>
      </x:c>
      <x:c r="Q108" s="641" t="inlineStr">
        <x:is>
          <x:t xml:space="preserve">黑</x:t>
        </x:is>
      </x:c>
      <x:c r="R108" s="599" t="n">
        <x:v>1.11</x:v>
      </x:c>
      <x:c r="S108" s="599" t="n">
        <x:f>IF(OR(Q108="",Q108="待结算"),"",IF(Q108="红",R108,IF(Q108="半红",R108*0.5,IF(Q108="走",0,IF(Q108="半黑",-0.5,-1)))))</x:f>
        <x:v>-1</x:v>
      </x:c>
      <x:c r="T108" s="595" t="inlineStr">
        <x:is>
          <x:t xml:space="preserve">https://simondongxiao.github.io/odds/v4/</x:t>
        </x:is>
      </x:c>
      <x:c r="U108" s="640" t="str">
        <x:f>IF(Q108="","",IF(Q108="待结算","待结算",IF(Q108="红","黑",IF(Q108="半红","半黑",IF(Q108="走","走",IF(Q108="半黑","半红","红"))))))</x:f>
        <x:v>红</x:v>
      </x:c>
      <x:c r="V108" s="599" t="n">
        <x:f>IF(OR(Q108="",Q108="待结算"),"",IF(L108=LEFT(F108,FIND(" vs ",F108)-1),I108,G108))</x:f>
        <x:v>0.6</x:v>
      </x:c>
      <x:c r="W108" s="599" t="n">
        <x:f>IF(OR(U108="",U108="待结算"),"",IF(U108="红",V108,IF(U108="半红",V108*0.5,IF(U108="走",0,IF(U108="半黑",-0.5,-1)))))</x:f>
        <x:v>0.6</x:v>
      </x:c>
      <x:c r="X108" s="595" t="inlineStr">
        <x:is>
          <x:t xml:space="preserve">3089124</x:t>
        </x:is>
      </x:c>
      <x:c r="Y108" s="595" t="inlineStr">
        <x:is>
          <x:t xml:space="preserve">v4-market-dirichlet-20260913</x:t>
        </x:is>
      </x:c>
      <x:c r="Z108" s="595" t="inlineStr">
        <x:is>
          <x:t xml:space="preserve">prior-2026-09-16-v1</x:t>
        </x:is>
      </x:c>
      <x:c r="AA108" s="595" t="inlineStr">
        <x:is>
          <x:t xml:space="preserve">C</x:t>
        </x:is>
      </x:c>
      <x:c r="AB108" s="600" t="n">
        <x:v>0.4236111111111111</x:v>
      </x:c>
      <x:c r="AC108" s="600" t="n">
        <x:v>0</x:v>
      </x:c>
      <x:c r="AD108" s="600" t="n">
        <x:v>0</x:v>
      </x:c>
      <x:c r="AE108" s="600" t="n">
        <x:v>0.3020833333333333</x:v>
      </x:c>
      <x:c r="AF108" s="600" t="n">
        <x:v>0.2743055555555556</x:v>
      </x:c>
      <x:c r="AG108" s="600" t="n">
        <x:v>0.04486111111111113</x:v>
      </x:c>
      <x:c r="AH108" s="600" t="n">
        <x:v>-0.04395675734675455</x:v>
      </x:c>
      <x:c r="AI108" s="600" t="n">
        <x:v>-0.02564855739841398</x:v>
      </x:c>
      <x:c r="AJ108" s="600" t="n">
        <x:v>0.04311846678005571</x:v>
      </x:c>
      <x:c r="AK108" s="600" t="n">
        <x:v>0.1155019264794569</x:v>
      </x:c>
      <x:c r="AL108" s="600" t="n">
        <x:v>0.1341538752874998</x:v>
      </x:c>
      <x:c r="AM108" s="600" t="n">
        <x:v>0.795</x:v>
      </x:c>
      <x:c r="AN108" s="595" t="inlineStr">
        <x:is>
          <x:t xml:space="preserve">EVALUATED</x:t>
        </x:is>
      </x:c>
      <x:c r="AO108" s="600" t="inlineStr">
        <x:is>
          <x:t xml:space="preserve">BUCKET_0.25、SIDE_IDENTITY_VALID、MARKET_MOVE_DEEPER_WITH_GIVING_WATER_RISE</x:t>
        </x:is>
      </x:c>
      <x:c r="AP108" s="600" t="inlineStr">
        <x:is>
          <x:t xml:space="preserve">74b10f7b81bce66e16b2</x:t>
        </x:is>
      </x:c>
      <x:c r="AQ108" s="600" t="n">
        <x:v>-0.25</x:v>
      </x:c>
      <x:c r="AR108" s="600" t="n">
        <x:v>1.11</x:v>
      </x:c>
      <x:c r="AS108" s="600" t="n">
        <x:v>0.25</x:v>
      </x:c>
      <x:c r="AT108" s="600" t="n">
        <x:v>-0.25</x:v>
      </x:c>
      <x:c r="AU108" s="600" t="n">
        <x:v>0.6</x:v>
      </x:c>
      <x:c r="AV108" s="600" t="n">
        <x:v>1.11</x:v>
      </x:c>
      <x:c r="AW108" s="595" t="n">
        <x:v>46281.66344571759</x:v>
      </x:c>
      <x:c r="AX108" s="595" t="inlineStr">
        <x:is>
          <x:t xml:space="preserve">https://simondongxiao.github.io/odds/v4/</x:t>
        </x:is>
      </x:c>
      <x:c r="AY108" s="595" t="inlineStr">
        <x:is>
          <x:t xml:space="preserve">V4 Shadow Only；real_money=false；P(EV&gt;0)不是比赛胜率</x:t>
        </x:is>
      </x:c>
    </x:row>
    <x:row r="109" ht="22" customHeight="1">
      <x:c r="A109" s="595" t="inlineStr">
        <x:is>
          <x:t xml:space="preserve">2026-09-16</x:t>
        </x:is>
      </x:c>
      <x:c r="B109" s="595" t="inlineStr">
        <x:is>
          <x:t xml:space="preserve">2026-09-17 02:15</x:t>
        </x:is>
      </x:c>
      <x:c r="C109" s="595" t="str">
        <x:v>其他系列</x:v>
      </x:c>
      <x:c r="D109" s="595" t="inlineStr">
        <x:is>
          <x:t xml:space="preserve">联赛</x:t>
        </x:is>
      </x:c>
      <x:c r="E109" s="595" t="inlineStr">
        <x:is>
          <x:t xml:space="preserve">亚冠联2</x:t>
        </x:is>
      </x:c>
      <x:c r="F109" s="595" t="inlineStr">
        <x:is>
          <x:t xml:space="preserve">赖扬 vs 阿尔费萨里安曼</x:t>
        </x:is>
      </x:c>
      <x:c r="G109" s="596" t="n">
        <x:v>0.9</x:v>
      </x:c>
      <x:c r="H109" s="596" t="n">
        <x:v>1.5</x:v>
      </x:c>
      <x:c r="I109" s="596" t="n">
        <x:v>0.92</x:v>
      </x:c>
      <x:c r="J109" s="596" t="inlineStr">
        <x:is>
          <x:t xml:space="preserve">0.90/1.5/0.92</x:t>
        </x:is>
      </x:c>
      <x:c r="K109" s="595" t="inlineStr">
        <x:is>
          <x:t xml:space="preserve">V4-C｜EV +0.1281</x:t>
        </x:is>
      </x:c>
      <x:c r="L109" s="595" t="inlineStr">
        <x:is>
          <x:t xml:space="preserve">赖扬</x:t>
        </x:is>
      </x:c>
      <x:c r="M109" s="597" t="n">
        <x:v>0.59375</x:v>
      </x:c>
      <x:c r="N109" s="595" t="inlineStr">
        <x:is>
          <x:t xml:space="preserve">V4纸面入选-C</x:t>
        </x:is>
      </x:c>
      <x:c r="O109" s="595" t="inlineStr">
        <x:is>
          <x:t xml:space="preserve">4-3</x:t>
        </x:is>
      </x:c>
      <x:c r="P109" s="595" t="inlineStr">
        <x:is>
          <x:t xml:space="preserve">已结算</x:t>
        </x:is>
      </x:c>
      <x:c r="Q109" s="641" t="inlineStr">
        <x:is>
          <x:t xml:space="preserve">黑</x:t>
        </x:is>
      </x:c>
      <x:c r="R109" s="599" t="n">
        <x:v>0.9</x:v>
      </x:c>
      <x:c r="S109" s="599" t="n">
        <x:f>IF(OR(Q109="",Q109="待结算"),"",IF(Q109="红",R109,IF(Q109="半红",R109*0.5,IF(Q109="走",0,IF(Q109="半黑",-0.5,-1)))))</x:f>
        <x:v>-1</x:v>
      </x:c>
      <x:c r="T109" s="595" t="inlineStr">
        <x:is>
          <x:t xml:space="preserve">https://simondongxiao.github.io/odds/v4/</x:t>
        </x:is>
      </x:c>
      <x:c r="U109" s="640" t="str">
        <x:f>IF(Q109="","",IF(Q109="待结算","待结算",IF(Q109="红","黑",IF(Q109="半红","半黑",IF(Q109="走","走",IF(Q109="半黑","半红","红"))))))</x:f>
        <x:v>红</x:v>
      </x:c>
      <x:c r="V109" s="599" t="n">
        <x:f>IF(OR(Q109="",Q109="待结算"),"",IF(L109=LEFT(F109,FIND(" vs ",F109)-1),I109,G109))</x:f>
        <x:v>0.92</x:v>
      </x:c>
      <x:c r="W109" s="599" t="n">
        <x:f>IF(OR(U109="",U109="待结算"),"",IF(U109="红",V109,IF(U109="半红",V109*0.5,IF(U109="走",0,IF(U109="半黑",-0.5,-1)))))</x:f>
        <x:v>0.92</x:v>
      </x:c>
      <x:c r="X109" s="595" t="inlineStr">
        <x:is>
          <x:t xml:space="preserve">3069017</x:t>
        </x:is>
      </x:c>
      <x:c r="Y109" s="595" t="inlineStr">
        <x:is>
          <x:t xml:space="preserve">v4-market-dirichlet-20260913</x:t>
        </x:is>
      </x:c>
      <x:c r="Z109" s="595" t="inlineStr">
        <x:is>
          <x:t xml:space="preserve">prior-2026-09-16-v1</x:t>
        </x:is>
      </x:c>
      <x:c r="AA109" s="595" t="inlineStr">
        <x:is>
          <x:t xml:space="preserve">C</x:t>
        </x:is>
      </x:c>
      <x:c r="AB109" s="600" t="n">
        <x:v>0.59375</x:v>
      </x:c>
      <x:c r="AC109" s="600" t="n">
        <x:v>0</x:v>
      </x:c>
      <x:c r="AD109" s="600" t="n">
        <x:v>0</x:v>
      </x:c>
      <x:c r="AE109" s="600" t="n">
        <x:v>0</x:v>
      </x:c>
      <x:c r="AF109" s="600" t="n">
        <x:v>0.40625</x:v>
      </x:c>
      <x:c r="AG109" s="600" t="n">
        <x:v>0.128125</x:v>
      </x:c>
      <x:c r="AH109" s="600" t="n">
        <x:v>-0.1436867074201253</x:v>
      </x:c>
      <x:c r="AI109" s="600" t="n">
        <x:v>-0.08678016744666223</x:v>
      </x:c>
      <x:c r="AJ109" s="600" t="n">
        <x:v>0.1281328042707869</x:v>
      </x:c>
      <x:c r="AK109" s="600" t="n">
        <x:v>0.3405416566460113</x:v>
      </x:c>
      <x:c r="AL109" s="600" t="n">
        <x:v>0.3894369634551349</x:v>
      </x:c>
      <x:c r="AM109" s="600" t="n">
        <x:v>0.7778</x:v>
      </x:c>
      <x:c r="AN109" s="595" t="inlineStr">
        <x:is>
          <x:t xml:space="preserve">EVALUATED</x:t>
        </x:is>
      </x:c>
      <x:c r="AO109" s="600" t="inlineStr">
        <x:is>
          <x:t xml:space="preserve">BUCKET_1.50、SIDE_IDENTITY_VALID、MARKET_MOVE_DEEPER_WITH_GIVING_WATER_RISE</x:t>
        </x:is>
      </x:c>
      <x:c r="AP109" s="600" t="inlineStr">
        <x:is>
          <x:t xml:space="preserve">8e91eaff13c15f909dd5</x:t>
        </x:is>
      </x:c>
      <x:c r="AQ109" s="600" t="n">
        <x:v>-1.5</x:v>
      </x:c>
      <x:c r="AR109" s="600" t="n">
        <x:v>0.9</x:v>
      </x:c>
      <x:c r="AS109" s="600" t="n">
        <x:v>-1.5</x:v>
      </x:c>
      <x:c r="AT109" s="600" t="n">
        <x:v>1.5</x:v>
      </x:c>
      <x:c r="AU109" s="600" t="n">
        <x:v>0.9</x:v>
      </x:c>
      <x:c r="AV109" s="600" t="n">
        <x:v>0.92</x:v>
      </x:c>
      <x:c r="AW109" s="595" t="n">
        <x:v>46281.66344571759</x:v>
      </x:c>
      <x:c r="AX109" s="595" t="inlineStr">
        <x:is>
          <x:t xml:space="preserve">https://simondongxiao.github.io/odds/v4/</x:t>
        </x:is>
      </x:c>
      <x:c r="AY109" s="595" t="inlineStr">
        <x:is>
          <x:t xml:space="preserve">V4 Shadow Only；real_money=false；P(EV&gt;0)不是比赛胜率</x:t>
        </x:is>
      </x:c>
    </x:row>
    <x:row r="110" ht="22" customHeight="1">
      <x:c r="A110" s="595" t="inlineStr">
        <x:is>
          <x:t xml:space="preserve">2026-09-16</x:t>
        </x:is>
      </x:c>
      <x:c r="B110" s="595" t="inlineStr">
        <x:is>
          <x:t xml:space="preserve">2026-09-17 02:45</x:t>
        </x:is>
      </x:c>
      <x:c r="C110" s="595" t="str">
        <x:v>五大联赛杯赛</x:v>
      </x:c>
      <x:c r="D110" s="595" t="inlineStr">
        <x:is>
          <x:t xml:space="preserve">杯赛</x:t>
        </x:is>
      </x:c>
      <x:c r="E110" s="595" t="inlineStr">
        <x:is>
          <x:t xml:space="preserve">英联杯</x:t>
        </x:is>
      </x:c>
      <x:c r="F110" s="595" t="inlineStr">
        <x:is>
          <x:t xml:space="preserve">埃弗顿 vs 狼队</x:t>
        </x:is>
      </x:c>
      <x:c r="G110" s="596" t="n">
        <x:v>1.01</x:v>
      </x:c>
      <x:c r="H110" s="596" t="n">
        <x:v>1.25</x:v>
      </x:c>
      <x:c r="I110" s="596" t="n">
        <x:v>0.87</x:v>
      </x:c>
      <x:c r="J110" s="596" t="inlineStr">
        <x:is>
          <x:t xml:space="preserve">1.01/1.25/0.87</x:t>
        </x:is>
      </x:c>
      <x:c r="K110" s="595" t="inlineStr">
        <x:is>
          <x:t xml:space="preserve">V4-C｜EV +0.0138</x:t>
        </x:is>
      </x:c>
      <x:c r="L110" s="595" t="inlineStr">
        <x:is>
          <x:t xml:space="preserve">埃弗顿</x:t>
        </x:is>
      </x:c>
      <x:c r="M110" s="597" t="n">
        <x:v>0.5054945054945055</x:v>
      </x:c>
      <x:c r="N110" s="595" t="inlineStr">
        <x:is>
          <x:t xml:space="preserve">V4纸面入选-C</x:t>
        </x:is>
      </x:c>
      <x:c r="O110" s="595" t="inlineStr">
        <x:is>
          <x:t xml:space="preserve">1-0</x:t>
        </x:is>
      </x:c>
      <x:c r="P110" s="595" t="inlineStr">
        <x:is>
          <x:t xml:space="preserve">已结算</x:t>
        </x:is>
      </x:c>
      <x:c r="Q110" s="643" t="inlineStr">
        <x:is>
          <x:t xml:space="preserve">半黑</x:t>
        </x:is>
      </x:c>
      <x:c r="R110" s="599" t="n">
        <x:v>1.01</x:v>
      </x:c>
      <x:c r="S110" s="599" t="n">
        <x:f>IF(OR(Q110="",Q110="待结算"),"",IF(Q110="红",R110,IF(Q110="半红",R110*0.5,IF(Q110="走",0,IF(Q110="半黑",-0.5,-1)))))</x:f>
        <x:v>-0.5</x:v>
      </x:c>
      <x:c r="T110" s="595" t="inlineStr">
        <x:is>
          <x:t xml:space="preserve">https://simondongxiao.github.io/odds/v4/</x:t>
        </x:is>
      </x:c>
      <x:c r="U110" s="642" t="str">
        <x:f>IF(Q110="","",IF(Q110="待结算","待结算",IF(Q110="红","黑",IF(Q110="半红","半黑",IF(Q110="走","走",IF(Q110="半黑","半红","红"))))))</x:f>
        <x:v>半红</x:v>
      </x:c>
      <x:c r="V110" s="599" t="n">
        <x:f>IF(OR(Q110="",Q110="待结算"),"",IF(L110=LEFT(F110,FIND(" vs ",F110)-1),I110,G110))</x:f>
        <x:v>0.87</x:v>
      </x:c>
      <x:c r="W110" s="599" t="n">
        <x:f>IF(OR(U110="",U110="待结算"),"",IF(U110="红",V110,IF(U110="半红",V110*0.5,IF(U110="走",0,IF(U110="半黑",-0.5,-1)))))</x:f>
        <x:v>0.435</x:v>
      </x:c>
      <x:c r="X110" s="595" t="inlineStr">
        <x:is>
          <x:t xml:space="preserve">3072967</x:t>
        </x:is>
      </x:c>
      <x:c r="Y110" s="595" t="inlineStr">
        <x:is>
          <x:t xml:space="preserve">v4-market-dirichlet-20260913</x:t>
        </x:is>
      </x:c>
      <x:c r="Z110" s="595" t="inlineStr">
        <x:is>
          <x:t xml:space="preserve">prior-2026-09-16-v1</x:t>
        </x:is>
      </x:c>
      <x:c r="AA110" s="595" t="inlineStr">
        <x:is>
          <x:t xml:space="preserve">C</x:t>
        </x:is>
      </x:c>
      <x:c r="AB110" s="600" t="n">
        <x:v>0.4339622641509434</x:v>
      </x:c>
      <x:c r="AC110" s="600" t="n">
        <x:v>0</x:v>
      </x:c>
      <x:c r="AD110" s="600" t="n">
        <x:v>0</x:v>
      </x:c>
      <x:c r="AE110" s="600" t="n">
        <x:v>0.2830188679245283</x:v>
      </x:c>
      <x:c r="AF110" s="600" t="n">
        <x:v>0.2830188679245283</x:v>
      </x:c>
      <x:c r="AG110" s="600" t="n">
        <x:v>0.01377358490566044</x:v>
      </x:c>
      <x:c r="AH110" s="600" t="n">
        <x:v>-0.1837775241531338</x:v>
      </x:c>
      <x:c r="AI110" s="600" t="n">
        <x:v>-0.1440003453384049</x:v>
      </x:c>
      <x:c r="AJ110" s="600" t="n">
        <x:v>0.01415394373067019</x:v>
      </x:c>
      <x:c r="AK110" s="600" t="n">
        <x:v>0.1693282714208226</x:v>
      </x:c>
      <x:c r="AL110" s="600" t="n">
        <x:v>0.2113453132790592</x:v>
      </x:c>
      <x:c r="AM110" s="600" t="n">
        <x:v>0.5417999999999999</x:v>
      </x:c>
      <x:c r="AN110" s="595" t="inlineStr">
        <x:is>
          <x:t xml:space="preserve">EVALUATED</x:t>
        </x:is>
      </x:c>
      <x:c r="AO110" s="600" t="inlineStr">
        <x:is>
          <x:t xml:space="preserve">BUCKET_1.25、SIDE_IDENTITY_VALID、MARKET_MOVE_DEEPER_WITH_GIVING_WATER_RISE</x:t>
        </x:is>
      </x:c>
      <x:c r="AP110" s="600" t="inlineStr">
        <x:is>
          <x:t xml:space="preserve">554fd69d25cadef5fa03</x:t>
        </x:is>
      </x:c>
      <x:c r="AQ110" s="600" t="n">
        <x:v>-1.25</x:v>
      </x:c>
      <x:c r="AR110" s="600" t="n">
        <x:v>1.01</x:v>
      </x:c>
      <x:c r="AS110" s="600" t="n">
        <x:v>-1.25</x:v>
      </x:c>
      <x:c r="AT110" s="600" t="n">
        <x:v>1.25</x:v>
      </x:c>
      <x:c r="AU110" s="600" t="n">
        <x:v>1.01</x:v>
      </x:c>
      <x:c r="AV110" s="600" t="n">
        <x:v>0.87</x:v>
      </x:c>
      <x:c r="AW110" s="595" t="n">
        <x:v>46281.66344571759</x:v>
      </x:c>
      <x:c r="AX110" s="595" t="inlineStr">
        <x:is>
          <x:t xml:space="preserve">https://simondongxiao.github.io/odds/v4/</x:t>
        </x:is>
      </x:c>
      <x:c r="AY110" s="595" t="inlineStr">
        <x:is>
          <x:t xml:space="preserve">V4 Shadow Only；real_money=false；P(EV&gt;0)不是比赛胜率</x:t>
        </x:is>
      </x:c>
    </x:row>
    <x:row r="111" ht="22" customHeight="1">
      <x:c r="A111" s="595" t="inlineStr">
        <x:is>
          <x:t xml:space="preserve">2026-09-16</x:t>
        </x:is>
      </x:c>
      <x:c r="B111" s="595" t="inlineStr">
        <x:is>
          <x:t xml:space="preserve">2026-09-17 02:45</x:t>
        </x:is>
      </x:c>
      <x:c r="C111" s="595" t="str">
        <x:v>五大联赛杯赛</x:v>
      </x:c>
      <x:c r="D111" s="595" t="inlineStr">
        <x:is>
          <x:t xml:space="preserve">杯赛</x:t>
        </x:is>
      </x:c>
      <x:c r="E111" s="595" t="inlineStr">
        <x:is>
          <x:t xml:space="preserve">英联杯</x:t>
        </x:is>
      </x:c>
      <x:c r="F111" s="595" t="inlineStr">
        <x:is>
          <x:t xml:space="preserve">弗利特伍德 vs 谢菲尔德联队</x:t>
        </x:is>
      </x:c>
      <x:c r="G111" s="596" t="n">
        <x:v>1.06</x:v>
      </x:c>
      <x:c r="H111" s="596" t="n">
        <x:v>-0.75</x:v>
      </x:c>
      <x:c r="I111" s="596" t="n">
        <x:v>0.82</x:v>
      </x:c>
      <x:c r="J111" s="596" t="inlineStr">
        <x:is>
          <x:t xml:space="preserve">1.06/-0.75/0.82</x:t>
        </x:is>
      </x:c>
      <x:c r="K111" s="595" t="inlineStr">
        <x:is>
          <x:t xml:space="preserve">V4-C｜EV +0.0390</x:t>
        </x:is>
      </x:c>
      <x:c r="L111" s="595" t="inlineStr">
        <x:is>
          <x:t xml:space="preserve">弗利特伍德</x:t>
        </x:is>
      </x:c>
      <x:c r="M111" s="597" t="n">
        <x:v>0.5071770334928229</x:v>
      </x:c>
      <x:c r="N111" s="595" t="inlineStr">
        <x:is>
          <x:t xml:space="preserve">V4纸面入选-C</x:t>
        </x:is>
      </x:c>
      <x:c r="O111" s="595" t="inlineStr">
        <x:is>
          <x:t xml:space="preserve">1-0</x:t>
        </x:is>
      </x:c>
      <x:c r="P111" s="595" t="inlineStr">
        <x:is>
          <x:t xml:space="preserve">已结算</x:t>
        </x:is>
      </x:c>
      <x:c r="Q111" s="640" t="inlineStr">
        <x:is>
          <x:t xml:space="preserve">红</x:t>
        </x:is>
      </x:c>
      <x:c r="R111" s="599" t="n">
        <x:v>1.06</x:v>
      </x:c>
      <x:c r="S111" s="599" t="n">
        <x:f>IF(OR(Q111="",Q111="待结算"),"",IF(Q111="红",R111,IF(Q111="半红",R111*0.5,IF(Q111="走",0,IF(Q111="半黑",-0.5,-1)))))</x:f>
        <x:v>1.06</x:v>
      </x:c>
      <x:c r="T111" s="595" t="inlineStr">
        <x:is>
          <x:t xml:space="preserve">https://simondongxiao.github.io/odds/v4/</x:t>
        </x:is>
      </x:c>
      <x:c r="U111" s="641" t="str">
        <x:f>IF(Q111="","",IF(Q111="待结算","待结算",IF(Q111="红","黑",IF(Q111="半红","半黑",IF(Q111="走","走",IF(Q111="半黑","半红","红"))))))</x:f>
        <x:v>黑</x:v>
      </x:c>
      <x:c r="V111" s="599" t="n">
        <x:f>IF(OR(Q111="",Q111="待结算"),"",IF(L111=LEFT(F111,FIND(" vs ",F111)-1),I111,G111))</x:f>
        <x:v>0.82</x:v>
      </x:c>
      <x:c r="W111" s="599" t="n">
        <x:f>IF(OR(U111="",U111="待结算"),"",IF(U111="红",V111,IF(U111="半红",V111*0.5,IF(U111="走",0,IF(U111="半黑",-0.5,-1)))))</x:f>
        <x:v>-1</x:v>
      </x:c>
      <x:c r="X111" s="595" t="inlineStr">
        <x:is>
          <x:t xml:space="preserve">3072968</x:t>
        </x:is>
      </x:c>
      <x:c r="Y111" s="595" t="inlineStr">
        <x:is>
          <x:t xml:space="preserve">v4-market-dirichlet-20260913</x:t>
        </x:is>
      </x:c>
      <x:c r="Z111" s="595" t="inlineStr">
        <x:is>
          <x:t xml:space="preserve">prior-2026-09-16-v1</x:t>
        </x:is>
      </x:c>
      <x:c r="AA111" s="595" t="inlineStr">
        <x:is>
          <x:t xml:space="preserve">C</x:t>
        </x:is>
      </x:c>
      <x:c r="AB111" s="600" t="n">
        <x:v>0.4416666666666667</x:v>
      </x:c>
      <x:c r="AC111" s="600" t="n">
        <x:v>0</x:v>
      </x:c>
      <x:c r="AD111" s="600" t="n">
        <x:v>0</x:v>
      </x:c>
      <x:c r="AE111" s="600" t="n">
        <x:v>0.2583333333333334</x:v>
      </x:c>
      <x:c r="AF111" s="600" t="n">
        <x:v>0.3</x:v>
      </x:c>
      <x:c r="AG111" s="600" t="n">
        <x:v>0.03899999999999998</x:v>
      </x:c>
      <x:c r="AH111" s="600" t="n">
        <x:v>-0.09422882816887929</x:v>
      </x:c>
      <x:c r="AI111" s="600" t="n">
        <x:v>-0.06273216105848606</x:v>
      </x:c>
      <x:c r="AJ111" s="600" t="n">
        <x:v>0.03877584563022213</x:v>
      </x:c>
      <x:c r="AK111" s="600" t="n">
        <x:v>0.146653911313905</x:v>
      </x:c>
      <x:c r="AL111" s="600" t="n">
        <x:v>0.1800833764923446</x:v>
      </x:c>
      <x:c r="AM111" s="600" t="n">
        <x:v>0.6804</x:v>
      </x:c>
      <x:c r="AN111" s="595" t="inlineStr">
        <x:is>
          <x:t xml:space="preserve">EVALUATED</x:t>
        </x:is>
      </x:c>
      <x:c r="AO111" s="600" t="inlineStr">
        <x:is>
          <x:t xml:space="preserve">BUCKET_0.75、SIDE_IDENTITY_VALID、FLAT_LINE_GIVING_WATER_RISE</x:t>
        </x:is>
      </x:c>
      <x:c r="AP111" s="600" t="inlineStr">
        <x:is>
          <x:t xml:space="preserve">caec1848cd87169876fc</x:t>
        </x:is>
      </x:c>
      <x:c r="AQ111" s="600" t="n">
        <x:v>0.75</x:v>
      </x:c>
      <x:c r="AR111" s="600" t="n">
        <x:v>1.06</x:v>
      </x:c>
      <x:c r="AS111" s="600" t="n">
        <x:v>0.75</x:v>
      </x:c>
      <x:c r="AT111" s="600" t="n">
        <x:v>-0.75</x:v>
      </x:c>
      <x:c r="AU111" s="600" t="n">
        <x:v>1.06</x:v>
      </x:c>
      <x:c r="AV111" s="600" t="n">
        <x:v>0.82</x:v>
      </x:c>
      <x:c r="AW111" s="595" t="n">
        <x:v>46281.66344571759</x:v>
      </x:c>
      <x:c r="AX111" s="595" t="inlineStr">
        <x:is>
          <x:t xml:space="preserve">https://simondongxiao.github.io/odds/v4/</x:t>
        </x:is>
      </x:c>
      <x:c r="AY111" s="595" t="inlineStr">
        <x:is>
          <x:t xml:space="preserve">V4 Shadow Only；real_money=false；P(EV&gt;0)不是比赛胜率</x:t>
        </x:is>
      </x:c>
    </x:row>
    <x:row r="112" ht="22" customHeight="1">
      <x:c r="A112" s="595" t="inlineStr">
        <x:is>
          <x:t xml:space="preserve">2026-09-16</x:t>
        </x:is>
      </x:c>
      <x:c r="B112" s="595" t="inlineStr">
        <x:is>
          <x:t xml:space="preserve">2026-09-17 03:00</x:t>
        </x:is>
      </x:c>
      <x:c r="C112" s="595" t="str">
        <x:v>欧洲非五大系列</x:v>
      </x:c>
      <x:c r="D112" s="595" t="inlineStr">
        <x:is>
          <x:t xml:space="preserve">杯赛</x:t>
        </x:is>
      </x:c>
      <x:c r="E112" s="595" t="inlineStr">
        <x:is>
          <x:t xml:space="preserve">欧罗巴杯</x:t>
        </x:is>
      </x:c>
      <x:c r="F112" s="595" t="inlineStr">
        <x:is>
          <x:t xml:space="preserve">桑德兰 vs 阿尔克马尔</x:t>
        </x:is>
      </x:c>
      <x:c r="G112" s="596" t="n">
        <x:v>1.09</x:v>
      </x:c>
      <x:c r="H112" s="596" t="n">
        <x:v>1.25</x:v>
      </x:c>
      <x:c r="I112" s="596" t="n">
        <x:v>0.8</x:v>
      </x:c>
      <x:c r="J112" s="596" t="inlineStr">
        <x:is>
          <x:t xml:space="preserve">1.09/1.25/0.80</x:t>
        </x:is>
      </x:c>
      <x:c r="K112" s="595" t="inlineStr">
        <x:is>
          <x:t xml:space="preserve">V4-C｜EV +0.0485</x:t>
        </x:is>
      </x:c>
      <x:c r="L112" s="595" t="inlineStr">
        <x:is>
          <x:t xml:space="preserve">桑德兰</x:t>
        </x:is>
      </x:c>
      <x:c r="M112" s="597" t="n">
        <x:v>0.5054945054945055</x:v>
      </x:c>
      <x:c r="N112" s="595" t="inlineStr">
        <x:is>
          <x:t xml:space="preserve">V4纸面入选-C</x:t>
        </x:is>
      </x:c>
      <x:c r="O112" s="595" t="inlineStr">
        <x:is>
          <x:t xml:space="preserve">1-0</x:t>
        </x:is>
      </x:c>
      <x:c r="P112" s="595" t="inlineStr">
        <x:is>
          <x:t xml:space="preserve">已结算</x:t>
        </x:is>
      </x:c>
      <x:c r="Q112" s="643" t="inlineStr">
        <x:is>
          <x:t xml:space="preserve">半黑</x:t>
        </x:is>
      </x:c>
      <x:c r="R112" s="599" t="n">
        <x:v>1.09</x:v>
      </x:c>
      <x:c r="S112" s="599" t="n">
        <x:f>IF(OR(Q112="",Q112="待结算"),"",IF(Q112="红",R112,IF(Q112="半红",R112*0.5,IF(Q112="走",0,IF(Q112="半黑",-0.5,-1)))))</x:f>
        <x:v>-0.5</x:v>
      </x:c>
      <x:c r="T112" s="595" t="inlineStr">
        <x:is>
          <x:t xml:space="preserve">https://simondongxiao.github.io/odds/v4/</x:t>
        </x:is>
      </x:c>
      <x:c r="U112" s="642" t="str">
        <x:f>IF(Q112="","",IF(Q112="待结算","待结算",IF(Q112="红","黑",IF(Q112="半红","半黑",IF(Q112="走","走",IF(Q112="半黑","半红","红"))))))</x:f>
        <x:v>半红</x:v>
      </x:c>
      <x:c r="V112" s="599" t="n">
        <x:f>IF(OR(Q112="",Q112="待结算"),"",IF(L112=LEFT(F112,FIND(" vs ",F112)-1),I112,G112))</x:f>
        <x:v>0.8</x:v>
      </x:c>
      <x:c r="W112" s="599" t="n">
        <x:f>IF(OR(U112="",U112="待结算"),"",IF(U112="红",V112,IF(U112="半红",V112*0.5,IF(U112="走",0,IF(U112="半黑",-0.5,-1)))))</x:f>
        <x:v>0.4</x:v>
      </x:c>
      <x:c r="X112" s="595" t="inlineStr">
        <x:is>
          <x:t xml:space="preserve">3073776</x:t>
        </x:is>
      </x:c>
      <x:c r="Y112" s="595" t="inlineStr">
        <x:is>
          <x:t xml:space="preserve">v4-market-dirichlet-20260913</x:t>
        </x:is>
      </x:c>
      <x:c r="Z112" s="595" t="inlineStr">
        <x:is>
          <x:t xml:space="preserve">prior-2026-09-16-v1</x:t>
        </x:is>
      </x:c>
      <x:c r="AA112" s="595" t="inlineStr">
        <x:is>
          <x:t xml:space="preserve">C</x:t>
        </x:is>
      </x:c>
      <x:c r="AB112" s="600" t="n">
        <x:v>0.4339622641509434</x:v>
      </x:c>
      <x:c r="AC112" s="600" t="n">
        <x:v>0</x:v>
      </x:c>
      <x:c r="AD112" s="600" t="n">
        <x:v>0</x:v>
      </x:c>
      <x:c r="AE112" s="600" t="n">
        <x:v>0.2830188679245283</x:v>
      </x:c>
      <x:c r="AF112" s="600" t="n">
        <x:v>0.2830188679245283</x:v>
      </x:c>
      <x:c r="AG112" s="600" t="n">
        <x:v>0.04849056603773588</x:v>
      </x:c>
      <x:c r="AH112" s="600" t="n">
        <x:v>-0.1582254885278309</x:v>
      </x:c>
      <x:c r="AI112" s="600" t="n">
        <x:v>-0.114853698751611</x:v>
      </x:c>
      <x:c r="AJ112" s="600" t="n">
        <x:v>0.04470418084517719</x:v>
      </x:c>
      <x:c r="AK112" s="600" t="n">
        <x:v>0.2104928315993351</x:v>
      </x:c>
      <x:c r="AL112" s="600" t="n">
        <x:v>0.2551571470351864</x:v>
      </x:c>
      <x:c r="AM112" s="600" t="n">
        <x:v>0.6456</x:v>
      </x:c>
      <x:c r="AN112" s="595" t="inlineStr">
        <x:is>
          <x:t xml:space="preserve">EVALUATED</x:t>
        </x:is>
      </x:c>
      <x:c r="AO112" s="600" t="inlineStr">
        <x:is>
          <x:t xml:space="preserve">BUCKET_1.25、SIDE_IDENTITY_VALID、MARKET_MOVE_DEEPER_WITH_GIVING_WATER_RISE</x:t>
        </x:is>
      </x:c>
      <x:c r="AP112" s="600" t="inlineStr">
        <x:is>
          <x:t xml:space="preserve">6fa2c8325a383f7f028d</x:t>
        </x:is>
      </x:c>
      <x:c r="AQ112" s="600" t="n">
        <x:v>-1.25</x:v>
      </x:c>
      <x:c r="AR112" s="600" t="n">
        <x:v>1.09</x:v>
      </x:c>
      <x:c r="AS112" s="600" t="n">
        <x:v>-1.25</x:v>
      </x:c>
      <x:c r="AT112" s="600" t="n">
        <x:v>1.25</x:v>
      </x:c>
      <x:c r="AU112" s="600" t="n">
        <x:v>1.09</x:v>
      </x:c>
      <x:c r="AV112" s="600" t="n">
        <x:v>0.8</x:v>
      </x:c>
      <x:c r="AW112" s="595" t="n">
        <x:v>46281.66344571759</x:v>
      </x:c>
      <x:c r="AX112" s="595" t="inlineStr">
        <x:is>
          <x:t xml:space="preserve">https://simondongxiao.github.io/odds/v4/</x:t>
        </x:is>
      </x:c>
      <x:c r="AY112" s="595" t="inlineStr">
        <x:is>
          <x:t xml:space="preserve">V4 Shadow Only；real_money=false；P(EV&gt;0)不是比赛胜率</x:t>
        </x:is>
      </x:c>
    </x:row>
    <x:row r="113" ht="22" customHeight="1">
      <x:c r="A113" s="595" t="inlineStr">
        <x:is>
          <x:t xml:space="preserve">2026-09-16</x:t>
        </x:is>
      </x:c>
      <x:c r="B113" s="595" t="inlineStr">
        <x:is>
          <x:t xml:space="preserve">2026-09-17 03:00</x:t>
        </x:is>
      </x:c>
      <x:c r="C113" s="595" t="str">
        <x:v>欧洲非五大系列</x:v>
      </x:c>
      <x:c r="D113" s="595" t="inlineStr">
        <x:is>
          <x:t xml:space="preserve">杯赛</x:t>
        </x:is>
      </x:c>
      <x:c r="E113" s="595" t="inlineStr">
        <x:is>
          <x:t xml:space="preserve">欧罗巴杯</x:t>
        </x:is>
      </x:c>
      <x:c r="F113" s="595" t="inlineStr">
        <x:is>
          <x:t xml:space="preserve">奥林匹亚科斯 vs 比亚韦斯托克雅盖隆</x:t>
        </x:is>
      </x:c>
      <x:c r="G113" s="596" t="n">
        <x:v>0.8</x:v>
      </x:c>
      <x:c r="H113" s="596" t="n">
        <x:v>1.5</x:v>
      </x:c>
      <x:c r="I113" s="596" t="n">
        <x:v>1.09</x:v>
      </x:c>
      <x:c r="J113" s="596" t="inlineStr">
        <x:is>
          <x:t xml:space="preserve">0.80/1.5/1.09</x:t>
        </x:is>
      </x:c>
      <x:c r="K113" s="595" t="inlineStr">
        <x:is>
          <x:t xml:space="preserve">V4-C｜EV +0.0688</x:t>
        </x:is>
      </x:c>
      <x:c r="L113" s="595" t="inlineStr">
        <x:is>
          <x:t xml:space="preserve">奥林匹亚科斯</x:t>
        </x:is>
      </x:c>
      <x:c r="M113" s="597" t="n">
        <x:v>0.59375</x:v>
      </x:c>
      <x:c r="N113" s="595" t="inlineStr">
        <x:is>
          <x:t xml:space="preserve">V4纸面入选-C</x:t>
        </x:is>
      </x:c>
      <x:c r="O113" s="595" t="inlineStr">
        <x:is>
          <x:t xml:space="preserve">2-1</x:t>
        </x:is>
      </x:c>
      <x:c r="P113" s="595" t="inlineStr">
        <x:is>
          <x:t xml:space="preserve">已结算</x:t>
        </x:is>
      </x:c>
      <x:c r="Q113" s="641" t="inlineStr">
        <x:is>
          <x:t xml:space="preserve">黑</x:t>
        </x:is>
      </x:c>
      <x:c r="R113" s="599" t="n">
        <x:v>0.8</x:v>
      </x:c>
      <x:c r="S113" s="599" t="n">
        <x:f>IF(OR(Q113="",Q113="待结算"),"",IF(Q113="红",R113,IF(Q113="半红",R113*0.5,IF(Q113="走",0,IF(Q113="半黑",-0.5,-1)))))</x:f>
        <x:v>-1</x:v>
      </x:c>
      <x:c r="T113" s="595" t="inlineStr">
        <x:is>
          <x:t xml:space="preserve">https://simondongxiao.github.io/odds/v4/</x:t>
        </x:is>
      </x:c>
      <x:c r="U113" s="640" t="str">
        <x:f>IF(Q113="","",IF(Q113="待结算","待结算",IF(Q113="红","黑",IF(Q113="半红","半黑",IF(Q113="走","走",IF(Q113="半黑","半红","红"))))))</x:f>
        <x:v>红</x:v>
      </x:c>
      <x:c r="V113" s="599" t="n">
        <x:f>IF(OR(Q113="",Q113="待结算"),"",IF(L113=LEFT(F113,FIND(" vs ",F113)-1),I113,G113))</x:f>
        <x:v>1.09</x:v>
      </x:c>
      <x:c r="W113" s="599" t="n">
        <x:f>IF(OR(U113="",U113="待结算"),"",IF(U113="红",V113,IF(U113="半红",V113*0.5,IF(U113="走",0,IF(U113="半黑",-0.5,-1)))))</x:f>
        <x:v>1.09</x:v>
      </x:c>
      <x:c r="X113" s="595" t="inlineStr">
        <x:is>
          <x:t xml:space="preserve">3073784</x:t>
        </x:is>
      </x:c>
      <x:c r="Y113" s="595" t="inlineStr">
        <x:is>
          <x:t xml:space="preserve">v4-market-dirichlet-20260913</x:t>
        </x:is>
      </x:c>
      <x:c r="Z113" s="595" t="inlineStr">
        <x:is>
          <x:t xml:space="preserve">prior-2026-09-16-v1</x:t>
        </x:is>
      </x:c>
      <x:c r="AA113" s="595" t="inlineStr">
        <x:is>
          <x:t xml:space="preserve">C</x:t>
        </x:is>
      </x:c>
      <x:c r="AB113" s="600" t="n">
        <x:v>0.59375</x:v>
      </x:c>
      <x:c r="AC113" s="600" t="n">
        <x:v>0</x:v>
      </x:c>
      <x:c r="AD113" s="600" t="n">
        <x:v>0</x:v>
      </x:c>
      <x:c r="AE113" s="600" t="n">
        <x:v>0</x:v>
      </x:c>
      <x:c r="AF113" s="600" t="n">
        <x:v>0.40625</x:v>
      </x:c>
      <x:c r="AG113" s="600" t="n">
        <x:v>0.06875000000000003</x:v>
      </x:c>
      <x:c r="AH113" s="600" t="n">
        <x:v>-0.1972750039722074</x:v>
      </x:c>
      <x:c r="AI113" s="600" t="n">
        <x:v>-0.1342197051357515</x:v>
      </x:c>
      <x:c r="AJ113" s="600" t="n">
        <x:v>0.06679340519072902</x:v>
      </x:c>
      <x:c r="AK113" s="600" t="n">
        <x:v>0.2658512375875895</x:v>
      </x:c>
      <x:c r="AL113" s="600" t="n">
        <x:v>0.3169894167297362</x:v>
      </x:c>
      <x:c r="AM113" s="600" t="n">
        <x:v>0.6584</x:v>
      </x:c>
      <x:c r="AN113" s="595" t="inlineStr">
        <x:is>
          <x:t xml:space="preserve">EVALUATED</x:t>
        </x:is>
      </x:c>
      <x:c r="AO113" s="600" t="inlineStr">
        <x:is>
          <x:t xml:space="preserve">BUCKET_1.50、SIDE_IDENTITY_VALID、MARKET_MOVE_LINE_STRENGTH_WITH_GIVING_RESISTANCE</x:t>
        </x:is>
      </x:c>
      <x:c r="AP113" s="600" t="inlineStr">
        <x:is>
          <x:t xml:space="preserve">6c4f668ac7d248ca9474</x:t>
        </x:is>
      </x:c>
      <x:c r="AQ113" s="600" t="n">
        <x:v>-1.5</x:v>
      </x:c>
      <x:c r="AR113" s="600" t="n">
        <x:v>0.8</x:v>
      </x:c>
      <x:c r="AS113" s="600" t="n">
        <x:v>-1.5</x:v>
      </x:c>
      <x:c r="AT113" s="600" t="n">
        <x:v>1.5</x:v>
      </x:c>
      <x:c r="AU113" s="600" t="n">
        <x:v>0.8</x:v>
      </x:c>
      <x:c r="AV113" s="600" t="n">
        <x:v>1.09</x:v>
      </x:c>
      <x:c r="AW113" s="595" t="n">
        <x:v>46281.66344571759</x:v>
      </x:c>
      <x:c r="AX113" s="595" t="inlineStr">
        <x:is>
          <x:t xml:space="preserve">https://simondongxiao.github.io/odds/v4/</x:t>
        </x:is>
      </x:c>
      <x:c r="AY113" s="595" t="inlineStr">
        <x:is>
          <x:t xml:space="preserve">V4 Shadow Only；real_money=false；P(EV&gt;0)不是比赛胜率</x:t>
        </x:is>
      </x:c>
    </x:row>
    <x:row r="114" ht="22" customHeight="1">
      <x:c r="A114" s="595" t="inlineStr">
        <x:is>
          <x:t xml:space="preserve">2026-09-16</x:t>
        </x:is>
      </x:c>
      <x:c r="B114" s="595" t="inlineStr">
        <x:is>
          <x:t xml:space="preserve">2026-09-17 03:00</x:t>
        </x:is>
      </x:c>
      <x:c r="C114" s="595" t="str">
        <x:v>欧洲非五大系列</x:v>
      </x:c>
      <x:c r="D114" s="595" t="inlineStr">
        <x:is>
          <x:t xml:space="preserve">杯赛</x:t>
        </x:is>
      </x:c>
      <x:c r="E114" s="595" t="inlineStr">
        <x:is>
          <x:t xml:space="preserve">欧罗巴杯</x:t>
        </x:is>
      </x:c>
      <x:c r="F114" s="595" t="inlineStr">
        <x:is>
          <x:t xml:space="preserve">贝尔谢巴夏普尔 vs 萨格勒布迪纳摩</x:t>
        </x:is>
      </x:c>
      <x:c r="G114" s="596" t="n">
        <x:v>0.85</x:v>
      </x:c>
      <x:c r="H114" s="596" t="n">
        <x:v>-0.75</x:v>
      </x:c>
      <x:c r="I114" s="596" t="n">
        <x:v>1.04</x:v>
      </x:c>
      <x:c r="J114" s="596" t="inlineStr">
        <x:is>
          <x:t xml:space="preserve">0.85/-0.75/1.04</x:t>
        </x:is>
      </x:c>
      <x:c r="K114" s="595" t="inlineStr">
        <x:is>
          <x:t xml:space="preserve">V4-C｜EV +0.0047</x:t>
        </x:is>
      </x:c>
      <x:c r="L114" s="595" t="inlineStr">
        <x:is>
          <x:t xml:space="preserve">萨格勒布迪纳摩</x:t>
        </x:is>
      </x:c>
      <x:c r="M114" s="597" t="n">
        <x:v>0.4928229665071771</x:v>
      </x:c>
      <x:c r="N114" s="595" t="inlineStr">
        <x:is>
          <x:t xml:space="preserve">V4纸面入选-C</x:t>
        </x:is>
      </x:c>
      <x:c r="O114" s="595" t="inlineStr">
        <x:is>
          <x:t xml:space="preserve">0-0</x:t>
        </x:is>
      </x:c>
      <x:c r="P114" s="595" t="inlineStr">
        <x:is>
          <x:t xml:space="preserve">已结算</x:t>
        </x:is>
      </x:c>
      <x:c r="Q114" s="641" t="inlineStr">
        <x:is>
          <x:t xml:space="preserve">黑</x:t>
        </x:is>
      </x:c>
      <x:c r="R114" s="599" t="n">
        <x:v>1.04</x:v>
      </x:c>
      <x:c r="S114" s="599" t="n">
        <x:f>IF(OR(Q114="",Q114="待结算"),"",IF(Q114="红",R114,IF(Q114="半红",R114*0.5,IF(Q114="走",0,IF(Q114="半黑",-0.5,-1)))))</x:f>
        <x:v>-1</x:v>
      </x:c>
      <x:c r="T114" s="595" t="inlineStr">
        <x:is>
          <x:t xml:space="preserve">https://simondongxiao.github.io/odds/v4/</x:t>
        </x:is>
      </x:c>
      <x:c r="U114" s="640" t="str">
        <x:f>IF(Q114="","",IF(Q114="待结算","待结算",IF(Q114="红","黑",IF(Q114="半红","半黑",IF(Q114="走","走",IF(Q114="半黑","半红","红"))))))</x:f>
        <x:v>红</x:v>
      </x:c>
      <x:c r="V114" s="599" t="n">
        <x:f>IF(OR(Q114="",Q114="待结算"),"",IF(L114=LEFT(F114,FIND(" vs ",F114)-1),I114,G114))</x:f>
        <x:v>0.85</x:v>
      </x:c>
      <x:c r="W114" s="599" t="n">
        <x:f>IF(OR(U114="",U114="待结算"),"",IF(U114="红",V114,IF(U114="半红",V114*0.5,IF(U114="走",0,IF(U114="半黑",-0.5,-1)))))</x:f>
        <x:v>0.85</x:v>
      </x:c>
      <x:c r="X114" s="595" t="inlineStr">
        <x:is>
          <x:t xml:space="preserve">3075280</x:t>
        </x:is>
      </x:c>
      <x:c r="Y114" s="595" t="inlineStr">
        <x:is>
          <x:t xml:space="preserve">v4-market-dirichlet-20260913</x:t>
        </x:is>
      </x:c>
      <x:c r="Z114" s="595" t="inlineStr">
        <x:is>
          <x:t xml:space="preserve">prior-2026-09-16-v1</x:t>
        </x:is>
      </x:c>
      <x:c r="AA114" s="595" t="inlineStr">
        <x:is>
          <x:t xml:space="preserve">C</x:t>
        </x:is>
      </x:c>
      <x:c r="AB114" s="600" t="n">
        <x:v>0.3</x:v>
      </x:c>
      <x:c r="AC114" s="600" t="n">
        <x:v>0.2583333333333334</x:v>
      </x:c>
      <x:c r="AD114" s="600" t="n">
        <x:v>0</x:v>
      </x:c>
      <x:c r="AE114" s="600" t="n">
        <x:v>0</x:v>
      </x:c>
      <x:c r="AF114" s="600" t="n">
        <x:v>0.4416666666666667</x:v>
      </x:c>
      <x:c r="AG114" s="600" t="n">
        <x:v>0.004666666666666708</x:v>
      </x:c>
      <x:c r="AH114" s="600" t="n">
        <x:v>-0.1341162496958704</x:v>
      </x:c>
      <x:c r="AI114" s="600" t="n">
        <x:v>-0.09968844208842764</x:v>
      </x:c>
      <x:c r="AJ114" s="600" t="n">
        <x:v>0.005279506478507279</x:v>
      </x:c>
      <x:c r="AK114" s="600" t="n">
        <x:v>0.1133448248181402</x:v>
      </x:c>
      <x:c r="AL114" s="600" t="n">
        <x:v>0.1434416693561777</x:v>
      </x:c>
      <x:c r="AM114" s="600" t="n">
        <x:v>0.529</x:v>
      </x:c>
      <x:c r="AN114" s="595" t="inlineStr">
        <x:is>
          <x:t xml:space="preserve">EVALUATED</x:t>
        </x:is>
      </x:c>
      <x:c r="AO114" s="600" t="inlineStr">
        <x:is>
          <x:t xml:space="preserve">BUCKET_0.75、SIDE_IDENTITY_VALID、MARKET_MOVE_DEEPER_WITH_GIVING_WATER_RISE</x:t>
        </x:is>
      </x:c>
      <x:c r="AP114" s="600" t="inlineStr">
        <x:is>
          <x:t xml:space="preserve">73f1166e6c0ec7b625db</x:t>
        </x:is>
      </x:c>
      <x:c r="AQ114" s="600" t="n">
        <x:v>-0.75</x:v>
      </x:c>
      <x:c r="AR114" s="600" t="n">
        <x:v>1.04</x:v>
      </x:c>
      <x:c r="AS114" s="600" t="n">
        <x:v>0.75</x:v>
      </x:c>
      <x:c r="AT114" s="600" t="n">
        <x:v>-0.75</x:v>
      </x:c>
      <x:c r="AU114" s="600" t="n">
        <x:v>0.85</x:v>
      </x:c>
      <x:c r="AV114" s="600" t="n">
        <x:v>1.04</x:v>
      </x:c>
      <x:c r="AW114" s="595" t="n">
        <x:v>46281.66344571759</x:v>
      </x:c>
      <x:c r="AX114" s="595" t="inlineStr">
        <x:is>
          <x:t xml:space="preserve">https://simondongxiao.github.io/odds/v4/</x:t>
        </x:is>
      </x:c>
      <x:c r="AY114" s="595" t="inlineStr">
        <x:is>
          <x:t xml:space="preserve">V4 Shadow Only；real_money=false；P(EV&gt;0)不是比赛胜率</x:t>
        </x:is>
      </x:c>
    </x:row>
    <x:row r="115" ht="22" customHeight="1">
      <x:c r="A115" s="595" t="inlineStr">
        <x:is>
          <x:t xml:space="preserve">2026-09-16</x:t>
        </x:is>
      </x:c>
      <x:c r="B115" s="595" t="inlineStr">
        <x:is>
          <x:t xml:space="preserve">2026-09-17 03:30</x:t>
        </x:is>
      </x:c>
      <x:c r="C115" s="595" t="str">
        <x:v>欧洲五大系列</x:v>
      </x:c>
      <x:c r="D115" s="595" t="inlineStr">
        <x:is>
          <x:t xml:space="preserve">联赛</x:t>
        </x:is>
      </x:c>
      <x:c r="E115" s="595" t="inlineStr">
        <x:is>
          <x:t xml:space="preserve">西甲</x:t>
        </x:is>
      </x:c>
      <x:c r="F115" s="595" t="inlineStr">
        <x:is>
          <x:t xml:space="preserve">莱万特 vs 毕尔巴鄂竞技</x:t>
        </x:is>
      </x:c>
      <x:c r="G115" s="596" t="n">
        <x:v>1.03</x:v>
      </x:c>
      <x:c r="H115" s="596" t="n">
        <x:v>-0.25</x:v>
      </x:c>
      <x:c r="I115" s="596" t="n">
        <x:v>0.86</x:v>
      </x:c>
      <x:c r="J115" s="596" t="inlineStr">
        <x:is>
          <x:t xml:space="preserve">1.03/-0.25/0.86</x:t>
        </x:is>
      </x:c>
      <x:c r="K115" s="595" t="inlineStr">
        <x:is>
          <x:t xml:space="preserve">V4-C｜EV +0.0145</x:t>
        </x:is>
      </x:c>
      <x:c r="L115" s="595" t="inlineStr">
        <x:is>
          <x:t xml:space="preserve">莱万特</x:t>
        </x:is>
      </x:c>
      <x:c r="M115" s="597" t="n">
        <x:v>0.5010224948875256</x:v>
      </x:c>
      <x:c r="N115" s="595" t="inlineStr">
        <x:is>
          <x:t xml:space="preserve">V4纸面入选-C</x:t>
        </x:is>
      </x:c>
      <x:c r="O115" s="595" t="inlineStr">
        <x:is>
          <x:t xml:space="preserve">0-0</x:t>
        </x:is>
      </x:c>
      <x:c r="P115" s="595" t="inlineStr">
        <x:is>
          <x:t xml:space="preserve">已结算</x:t>
        </x:is>
      </x:c>
      <x:c r="Q115" s="642" t="inlineStr">
        <x:is>
          <x:t xml:space="preserve">半红</x:t>
        </x:is>
      </x:c>
      <x:c r="R115" s="599" t="n">
        <x:v>1.03</x:v>
      </x:c>
      <x:c r="S115" s="599" t="n">
        <x:f>IF(OR(Q115="",Q115="待结算"),"",IF(Q115="红",R115,IF(Q115="半红",R115*0.5,IF(Q115="走",0,IF(Q115="半黑",-0.5,-1)))))</x:f>
        <x:v>0.515</x:v>
      </x:c>
      <x:c r="T115" s="595" t="inlineStr">
        <x:is>
          <x:t xml:space="preserve">https://simondongxiao.github.io/odds/v3-legacy/</x:t>
        </x:is>
      </x:c>
      <x:c r="U115" s="643" t="str">
        <x:f>IF(Q115="","",IF(Q115="待结算","待结算",IF(Q115="红","黑",IF(Q115="半红","半黑",IF(Q115="走","走",IF(Q115="半黑","半红","红"))))))</x:f>
        <x:v>半黑</x:v>
      </x:c>
      <x:c r="V115" s="599" t="n">
        <x:f>IF(OR(Q115="",Q115="待结算"),"",IF(L115=LEFT(F115,FIND(" vs ",F115)-1),I115,G115))</x:f>
        <x:v>0.86</x:v>
      </x:c>
      <x:c r="W115" s="599" t="n">
        <x:f>IF(OR(U115="",U115="待结算"),"",IF(U115="红",V115,IF(U115="半红",V115*0.5,IF(U115="走",0,IF(U115="半黑",-0.5,-1)))))</x:f>
        <x:v>-0.5</x:v>
      </x:c>
      <x:c r="X115" s="595" t="inlineStr">
        <x:is>
          <x:t xml:space="preserve">3013698</x:t>
        </x:is>
      </x:c>
      <x:c r="Y115" s="595" t="inlineStr">
        <x:is>
          <x:t xml:space="preserve">v4-market-dirichlet-20260913</x:t>
        </x:is>
      </x:c>
      <x:c r="Z115" s="595" t="inlineStr">
        <x:is>
          <x:t xml:space="preserve">prior-2026-09-16-v1</x:t>
        </x:is>
      </x:c>
      <x:c r="AA115" s="595" t="inlineStr">
        <x:is>
          <x:t xml:space="preserve">C</x:t>
        </x:is>
      </x:c>
      <x:c r="AB115" s="600" t="n">
        <x:v>0.2743055555555556</x:v>
      </x:c>
      <x:c r="AC115" s="600" t="n">
        <x:v>0.3020833333333333</x:v>
      </x:c>
      <x:c r="AD115" s="600" t="n">
        <x:v>0</x:v>
      </x:c>
      <x:c r="AE115" s="600" t="n">
        <x:v>0</x:v>
      </x:c>
      <x:c r="AF115" s="600" t="n">
        <x:v>0.4236111111111111</x:v>
      </x:c>
      <x:c r="AG115" s="600" t="n">
        <x:v>0.01449652777777782</x:v>
      </x:c>
      <x:c r="AH115" s="600" t="n">
        <x:v>-0.07317155571078754</x:v>
      </x:c>
      <x:c r="AI115" s="600" t="n">
        <x:v>-0.05174153201538662</x:v>
      </x:c>
      <x:c r="AJ115" s="600" t="n">
        <x:v>0.01575248317080347</x:v>
      </x:c>
      <x:c r="AK115" s="600" t="n">
        <x:v>0.08086712531603291</x:v>
      </x:c>
      <x:c r="AL115" s="600" t="n">
        <x:v>0.09994582816776276</x:v>
      </x:c>
      <x:c r="AM115" s="600" t="n">
        <x:v>0.6192</x:v>
      </x:c>
      <x:c r="AN115" s="595" t="inlineStr">
        <x:is>
          <x:t xml:space="preserve">EVALUATED</x:t>
        </x:is>
      </x:c>
      <x:c r="AO115" s="600" t="inlineStr">
        <x:is>
          <x:t xml:space="preserve">BUCKET_0.25、SIDE_IDENTITY_VALID、FLAT_LINE_GIVING_WATER_DROP</x:t>
        </x:is>
      </x:c>
      <x:c r="AP115" s="600" t="inlineStr">
        <x:is>
          <x:t xml:space="preserve">ece86d25e23e3ef85d3e</x:t>
        </x:is>
      </x:c>
      <x:c r="AQ115" s="600" t="n">
        <x:v>0.25</x:v>
      </x:c>
      <x:c r="AR115" s="600" t="n">
        <x:v>1.03</x:v>
      </x:c>
      <x:c r="AS115" s="600" t="n">
        <x:v>0.25</x:v>
      </x:c>
      <x:c r="AT115" s="600" t="n">
        <x:v>-0.25</x:v>
      </x:c>
      <x:c r="AU115" s="600" t="n">
        <x:v>1.03</x:v>
      </x:c>
      <x:c r="AV115" s="600" t="n">
        <x:v>0.86</x:v>
      </x:c>
      <x:c r="AW115" s="595" t="n">
        <x:v>46281.66344571759</x:v>
      </x:c>
      <x:c r="AX115" s="595" t="inlineStr">
        <x:is>
          <x:t xml:space="preserve">https://simondongxiao.github.io/odds/v4/</x:t>
        </x:is>
      </x:c>
      <x:c r="AY115" s="595" t="inlineStr">
        <x:is>
          <x:t xml:space="preserve">V4 Shadow Only；real_money=false；P(EV&gt;0)不是比赛胜率</x:t>
        </x:is>
      </x:c>
    </x:row>
    <x:row r="116" ht="22" customHeight="1">
      <x:c r="A116" s="595" t="inlineStr">
        <x:is>
          <x:t xml:space="preserve">2026-09-16</x:t>
        </x:is>
      </x:c>
      <x:c r="B116" s="595" t="inlineStr">
        <x:is>
          <x:t xml:space="preserve">2026-09-17 04:30</x:t>
        </x:is>
      </x:c>
      <x:c r="C116" s="595" t="str">
        <x:v>南美系列</x:v>
      </x:c>
      <x:c r="D116" s="595" t="inlineStr">
        <x:is>
          <x:t xml:space="preserve">联赛</x:t>
        </x:is>
      </x:c>
      <x:c r="E116" s="595" t="inlineStr">
        <x:is>
          <x:t xml:space="preserve">厄瓜乙</x:t>
        </x:is>
      </x:c>
      <x:c r="F116" s="595" t="inlineStr">
        <x:is>
          <x:t xml:space="preserve">库恩卡青年 vs 圣安东尼奥(ECU)</x:t>
        </x:is>
      </x:c>
      <x:c r="G116" s="596" t="n">
        <x:v>1.03</x:v>
      </x:c>
      <x:c r="H116" s="596" t="n">
        <x:v>0.75</x:v>
      </x:c>
      <x:c r="I116" s="596" t="n">
        <x:v>0.79</x:v>
      </x:c>
      <x:c r="J116" s="596" t="inlineStr">
        <x:is>
          <x:t xml:space="preserve">1.03/0.75/0.79</x:t>
        </x:is>
      </x:c>
      <x:c r="K116" s="595" t="inlineStr">
        <x:is>
          <x:t xml:space="preserve">V4-C｜EV +0.0004</x:t>
        </x:is>
      </x:c>
      <x:c r="L116" s="595" t="inlineStr">
        <x:is>
          <x:t xml:space="preserve">库恩卡青年</x:t>
        </x:is>
      </x:c>
      <x:c r="M116" s="597" t="n">
        <x:v>0.4928229665071771</x:v>
      </x:c>
      <x:c r="N116" s="595" t="inlineStr">
        <x:is>
          <x:t xml:space="preserve">V4纸面入选-C</x:t>
        </x:is>
      </x:c>
      <x:c r="O116" s="595" t="inlineStr">
        <x:is>
          <x:t xml:space="preserve">1-0</x:t>
        </x:is>
      </x:c>
      <x:c r="P116" s="595" t="inlineStr">
        <x:is>
          <x:t xml:space="preserve">已结算</x:t>
        </x:is>
      </x:c>
      <x:c r="Q116" s="642" t="inlineStr">
        <x:is>
          <x:t xml:space="preserve">半红</x:t>
        </x:is>
      </x:c>
      <x:c r="R116" s="599" t="n">
        <x:v>1.03</x:v>
      </x:c>
      <x:c r="S116" s="599" t="n">
        <x:f>IF(OR(Q116="",Q116="待结算"),"",IF(Q116="红",R116,IF(Q116="半红",R116*0.5,IF(Q116="走",0,IF(Q116="半黑",-0.5,-1)))))</x:f>
        <x:v>0.515</x:v>
      </x:c>
      <x:c r="T116" s="595" t="inlineStr">
        <x:is>
          <x:t xml:space="preserve">https://simondongxiao.github.io/odds/v4/</x:t>
        </x:is>
      </x:c>
      <x:c r="U116" s="643" t="str">
        <x:f>IF(Q116="","",IF(Q116="待结算","待结算",IF(Q116="红","黑",IF(Q116="半红","半黑",IF(Q116="走","走",IF(Q116="半黑","半红","红"))))))</x:f>
        <x:v>半黑</x:v>
      </x:c>
      <x:c r="V116" s="599" t="n">
        <x:f>IF(OR(Q116="",Q116="待结算"),"",IF(L116=LEFT(F116,FIND(" vs ",F116)-1),I116,G116))</x:f>
        <x:v>0.79</x:v>
      </x:c>
      <x:c r="W116" s="599" t="n">
        <x:f>IF(OR(U116="",U116="待结算"),"",IF(U116="红",V116,IF(U116="半红",V116*0.5,IF(U116="走",0,IF(U116="半黑",-0.5,-1)))))</x:f>
        <x:v>-0.5</x:v>
      </x:c>
      <x:c r="X116" s="595" t="inlineStr">
        <x:is>
          <x:t xml:space="preserve">3071676</x:t>
        </x:is>
      </x:c>
      <x:c r="Y116" s="595" t="inlineStr">
        <x:is>
          <x:t xml:space="preserve">v4-market-dirichlet-20260913</x:t>
        </x:is>
      </x:c>
      <x:c r="Z116" s="595" t="inlineStr">
        <x:is>
          <x:t xml:space="preserve">prior-2026-09-16-v1</x:t>
        </x:is>
      </x:c>
      <x:c r="AA116" s="595" t="inlineStr">
        <x:is>
          <x:t xml:space="preserve">C</x:t>
        </x:is>
      </x:c>
      <x:c r="AB116" s="600" t="n">
        <x:v>0.3</x:v>
      </x:c>
      <x:c r="AC116" s="600" t="n">
        <x:v>0.2583333333333334</x:v>
      </x:c>
      <x:c r="AD116" s="600" t="n">
        <x:v>0</x:v>
      </x:c>
      <x:c r="AE116" s="600" t="n">
        <x:v>0</x:v>
      </x:c>
      <x:c r="AF116" s="600" t="n">
        <x:v>0.4416666666666667</x:v>
      </x:c>
      <x:c r="AG116" s="600" t="n">
        <x:v>0.0003750000000000142</x:v>
      </x:c>
      <x:c r="AH116" s="600" t="n">
        <x:v>-0.1338005061663919</x:v>
      </x:c>
      <x:c r="AI116" s="600" t="n">
        <x:v>-0.1062190709358197</x:v>
      </x:c>
      <x:c r="AJ116" s="600" t="n">
        <x:v>0.002032511158614581</x:v>
      </x:c>
      <x:c r="AK116" s="600" t="n">
        <x:v>0.1080584187656498</x:v>
      </x:c>
      <x:c r="AL116" s="600" t="n">
        <x:v>0.1436088450065788</x:v>
      </x:c>
      <x:c r="AM116" s="600" t="n">
        <x:v>0.5114</x:v>
      </x:c>
      <x:c r="AN116" s="595" t="inlineStr">
        <x:is>
          <x:t xml:space="preserve">EVALUATED</x:t>
        </x:is>
      </x:c>
      <x:c r="AO116" s="600" t="inlineStr">
        <x:is>
          <x:t xml:space="preserve">BUCKET_0.75、SIDE_IDENTITY_VALID、MARKET_MOVE_DEEPER_WITH_GIVING_WATER_RISE</x:t>
        </x:is>
      </x:c>
      <x:c r="AP116" s="600" t="inlineStr">
        <x:is>
          <x:t xml:space="preserve">704ddf13439f4c09b261</x:t>
        </x:is>
      </x:c>
      <x:c r="AQ116" s="600" t="n">
        <x:v>-0.75</x:v>
      </x:c>
      <x:c r="AR116" s="600" t="n">
        <x:v>1.03</x:v>
      </x:c>
      <x:c r="AS116" s="600" t="n">
        <x:v>-0.75</x:v>
      </x:c>
      <x:c r="AT116" s="600" t="n">
        <x:v>0.75</x:v>
      </x:c>
      <x:c r="AU116" s="600" t="n">
        <x:v>1.03</x:v>
      </x:c>
      <x:c r="AV116" s="600" t="n">
        <x:v>0.79</x:v>
      </x:c>
      <x:c r="AW116" s="595" t="n">
        <x:v>46281.66344571759</x:v>
      </x:c>
      <x:c r="AX116" s="595" t="inlineStr">
        <x:is>
          <x:t xml:space="preserve">https://simondongxiao.github.io/odds/v4/</x:t>
        </x:is>
      </x:c>
      <x:c r="AY116" s="595" t="inlineStr">
        <x:is>
          <x:t xml:space="preserve">V4 Shadow Only；real_money=false；P(EV&gt;0)不是比赛胜率</x:t>
        </x:is>
      </x:c>
    </x:row>
    <x:row r="117" ht="22" customHeight="1">
      <x:c r="A117" s="595" t="inlineStr">
        <x:is>
          <x:t xml:space="preserve">2026-09-16</x:t>
        </x:is>
      </x:c>
      <x:c r="B117" s="595" t="inlineStr">
        <x:is>
          <x:t xml:space="preserve">2026-09-17 06:00</x:t>
        </x:is>
      </x:c>
      <x:c r="C117" s="595" t="str">
        <x:v>北美系列</x:v>
      </x:c>
      <x:c r="D117" s="595" t="inlineStr">
        <x:is>
          <x:t xml:space="preserve">联赛</x:t>
        </x:is>
      </x:c>
      <x:c r="E117" s="595" t="inlineStr">
        <x:is>
          <x:t xml:space="preserve">美冠联</x:t>
        </x:is>
      </x:c>
      <x:c r="F117" s="595" t="inlineStr">
        <x:is>
          <x:t xml:space="preserve">哈特福德竞技 vs 运动Jax</x:t>
        </x:is>
      </x:c>
      <x:c r="G117" s="596" t="n">
        <x:v>0.99</x:v>
      </x:c>
      <x:c r="H117" s="596" t="n">
        <x:v>1.25</x:v>
      </x:c>
      <x:c r="I117" s="596" t="n">
        <x:v>0.89</x:v>
      </x:c>
      <x:c r="J117" s="596" t="inlineStr">
        <x:is>
          <x:t xml:space="preserve">0.99/1.25/0.89</x:t>
        </x:is>
      </x:c>
      <x:c r="K117" s="595" t="inlineStr">
        <x:is>
          <x:t xml:space="preserve">V4-C｜EV +0.0051</x:t>
        </x:is>
      </x:c>
      <x:c r="L117" s="595" t="inlineStr">
        <x:is>
          <x:t xml:space="preserve">哈特福德竞技</x:t>
        </x:is>
      </x:c>
      <x:c r="M117" s="597" t="n">
        <x:v>0.5054945054945055</x:v>
      </x:c>
      <x:c r="N117" s="595" t="inlineStr">
        <x:is>
          <x:t xml:space="preserve">V4纸面入选-C</x:t>
        </x:is>
      </x:c>
      <x:c r="O117" s="595" t="inlineStr">
        <x:is>
          <x:t xml:space="preserve">2-0</x:t>
        </x:is>
      </x:c>
      <x:c r="P117" s="595" t="inlineStr">
        <x:is>
          <x:t xml:space="preserve">已结算</x:t>
        </x:is>
      </x:c>
      <x:c r="Q117" s="640" t="inlineStr">
        <x:is>
          <x:t xml:space="preserve">红</x:t>
        </x:is>
      </x:c>
      <x:c r="R117" s="599" t="n">
        <x:v>0.99</x:v>
      </x:c>
      <x:c r="S117" s="599" t="n">
        <x:f>IF(OR(Q117="",Q117="待结算"),"",IF(Q117="红",R117,IF(Q117="半红",R117*0.5,IF(Q117="走",0,IF(Q117="半黑",-0.5,-1)))))</x:f>
        <x:v>0.99</x:v>
      </x:c>
      <x:c r="T117" s="595" t="inlineStr">
        <x:is>
          <x:t xml:space="preserve">https://beyondthe90.substack.com/p/hartford-athletic-in-cruise-control</x:t>
        </x:is>
      </x:c>
      <x:c r="U117" s="641" t="str">
        <x:f>IF(Q117="","",IF(Q117="待结算","待结算",IF(Q117="红","黑",IF(Q117="半红","半黑",IF(Q117="走","走",IF(Q117="半黑","半红","红"))))))</x:f>
        <x:v>黑</x:v>
      </x:c>
      <x:c r="V117" s="599" t="n">
        <x:f>IF(OR(Q117="",Q117="待结算"),"",IF(L117=LEFT(F117,FIND(" vs ",F117)-1),I117,G117))</x:f>
        <x:v>0.89</x:v>
      </x:c>
      <x:c r="W117" s="599" t="n">
        <x:f>IF(OR(U117="",U117="待结算"),"",IF(U117="红",V117,IF(U117="半红",V117*0.5,IF(U117="走",0,IF(U117="半黑",-0.5,-1)))))</x:f>
        <x:v>-1</x:v>
      </x:c>
      <x:c r="X117" s="595" t="inlineStr">
        <x:is>
          <x:t xml:space="preserve">2942617</x:t>
        </x:is>
      </x:c>
      <x:c r="Y117" s="595" t="inlineStr">
        <x:is>
          <x:t xml:space="preserve">v4-market-dirichlet-20260913</x:t>
        </x:is>
      </x:c>
      <x:c r="Z117" s="595" t="inlineStr">
        <x:is>
          <x:t xml:space="preserve">prior-2026-09-16-v1</x:t>
        </x:is>
      </x:c>
      <x:c r="AA117" s="595" t="inlineStr">
        <x:is>
          <x:t xml:space="preserve">C</x:t>
        </x:is>
      </x:c>
      <x:c r="AB117" s="600" t="n">
        <x:v>0.4339622641509434</x:v>
      </x:c>
      <x:c r="AC117" s="600" t="n">
        <x:v>0</x:v>
      </x:c>
      <x:c r="AD117" s="600" t="n">
        <x:v>0</x:v>
      </x:c>
      <x:c r="AE117" s="600" t="n">
        <x:v>0.2830188679245283</x:v>
      </x:c>
      <x:c r="AF117" s="600" t="n">
        <x:v>0.2830188679245283</x:v>
      </x:c>
      <x:c r="AG117" s="600" t="n">
        <x:v>0.005094339622641553</x:v>
      </x:c>
      <x:c r="AH117" s="600" t="n">
        <x:v>-0.1958648081501631</x:v>
      </x:c>
      <x:c r="AI117" s="600" t="n">
        <x:v>-0.1487137100618115</x:v>
      </x:c>
      <x:c r="AJ117" s="600" t="n">
        <x:v>0.005896501110679381</x:v>
      </x:c>
      <x:c r="AK117" s="600" t="n">
        <x:v>0.1615884427134809</x:v>
      </x:c>
      <x:c r="AL117" s="600" t="n">
        <x:v>0.2059680371838045</x:v>
      </x:c>
      <x:c r="AM117" s="600" t="n">
        <x:v>0.5216</x:v>
      </x:c>
      <x:c r="AN117" s="595" t="inlineStr">
        <x:is>
          <x:t xml:space="preserve">EVALUATED</x:t>
        </x:is>
      </x:c>
      <x:c r="AO117" s="600" t="inlineStr">
        <x:is>
          <x:t xml:space="preserve">BUCKET_1.25、SIDE_IDENTITY_VALID、MARKET_MOVE_DEEPER_WITH_GIVING_WATER_RISE</x:t>
        </x:is>
      </x:c>
      <x:c r="AP117" s="600" t="inlineStr">
        <x:is>
          <x:t xml:space="preserve">e924f6927ad2c07fa77f</x:t>
        </x:is>
      </x:c>
      <x:c r="AQ117" s="600" t="n">
        <x:v>-1.25</x:v>
      </x:c>
      <x:c r="AR117" s="600" t="n">
        <x:v>0.99</x:v>
      </x:c>
      <x:c r="AS117" s="600" t="n">
        <x:v>-1.25</x:v>
      </x:c>
      <x:c r="AT117" s="600" t="n">
        <x:v>1.25</x:v>
      </x:c>
      <x:c r="AU117" s="600" t="n">
        <x:v>0.99</x:v>
      </x:c>
      <x:c r="AV117" s="600" t="n">
        <x:v>0.89</x:v>
      </x:c>
      <x:c r="AW117" s="595" t="n">
        <x:v>46281.66344571759</x:v>
      </x:c>
      <x:c r="AX117" s="595" t="inlineStr">
        <x:is>
          <x:t xml:space="preserve">https://simondongxiao.github.io/odds/v4/</x:t>
        </x:is>
      </x:c>
      <x:c r="AY117" s="595" t="inlineStr">
        <x:is>
          <x:t xml:space="preserve">V4 Shadow Only；real_money=false；P(EV&gt;0)不是比赛胜率</x:t>
        </x:is>
      </x:c>
    </x:row>
    <x:row r="118" ht="22" customHeight="1">
      <x:c r="A118" s="595" t="inlineStr">
        <x:is>
          <x:t xml:space="preserve">2026-09-16</x:t>
        </x:is>
      </x:c>
      <x:c r="B118" s="595" t="inlineStr">
        <x:is>
          <x:t xml:space="preserve">2026-09-17 09:30</x:t>
        </x:is>
      </x:c>
      <x:c r="C118" s="595" t="str">
        <x:v>北美系列</x:v>
      </x:c>
      <x:c r="D118" s="595" t="inlineStr">
        <x:is>
          <x:t xml:space="preserve">联赛</x:t>
        </x:is>
      </x:c>
      <x:c r="E118" s="595" t="inlineStr">
        <x:is>
          <x:t xml:space="preserve">美女职</x:t>
        </x:is>
      </x:c>
      <x:c r="F118" s="595" t="inlineStr">
        <x:is>
          <x:t xml:space="preserve">丹佛峰会女足 vs 海湾FC女足</x:t>
        </x:is>
      </x:c>
      <x:c r="G118" s="596" t="n">
        <x:v>0.96</x:v>
      </x:c>
      <x:c r="H118" s="596" t="n">
        <x:v>1</x:v>
      </x:c>
      <x:c r="I118" s="596" t="n">
        <x:v>0.86</x:v>
      </x:c>
      <x:c r="J118" s="596" t="inlineStr">
        <x:is>
          <x:t xml:space="preserve">0.96/1/0.86</x:t>
        </x:is>
      </x:c>
      <x:c r="K118" s="595" t="inlineStr">
        <x:is>
          <x:t xml:space="preserve">V4-C｜EV +0.0068</x:t>
        </x:is>
      </x:c>
      <x:c r="L118" s="595" t="inlineStr">
        <x:is>
          <x:t xml:space="preserve">海湾FC女足</x:t>
        </x:is>
      </x:c>
      <x:c r="M118" s="597" t="n">
        <x:v>0.5423728813559322</x:v>
      </x:c>
      <x:c r="N118" s="595" t="inlineStr">
        <x:is>
          <x:t xml:space="preserve">V4纸面入选-C</x:t>
        </x:is>
      </x:c>
      <x:c r="O118" s="595" t="inlineStr">
        <x:is>
          <x:t xml:space="preserve">2-2</x:t>
        </x:is>
      </x:c>
      <x:c r="P118" s="595" t="inlineStr">
        <x:is>
          <x:t xml:space="preserve">已结算</x:t>
        </x:is>
      </x:c>
      <x:c r="Q118" s="640" t="inlineStr">
        <x:is>
          <x:t xml:space="preserve">红</x:t>
        </x:is>
      </x:c>
      <x:c r="R118" s="599" t="n">
        <x:v>0.86</x:v>
      </x:c>
      <x:c r="S118" s="599" t="n">
        <x:f>IF(OR(Q118="",Q118="待结算"),"",IF(Q118="红",R118,IF(Q118="半红",R118*0.5,IF(Q118="走",0,IF(Q118="半黑",-0.5,-1)))))</x:f>
        <x:v>0.86</x:v>
      </x:c>
      <x:c r="T118" s="595" t="inlineStr">
        <x:is>
          <x:t xml:space="preserve">https://www.reddit.com/r/NWSL/comments/1wihit1/denver_summit_2_2_bay_fc_905_taylor_huff_beats/</x:t>
        </x:is>
      </x:c>
      <x:c r="U118" s="641" t="str">
        <x:f>IF(Q118="","",IF(Q118="待结算","待结算",IF(Q118="红","黑",IF(Q118="半红","半黑",IF(Q118="走","走",IF(Q118="半黑","半红","红"))))))</x:f>
        <x:v>黑</x:v>
      </x:c>
      <x:c r="V118" s="599" t="n">
        <x:f>IF(OR(Q118="",Q118="待结算"),"",IF(L118=LEFT(F118,FIND(" vs ",F118)-1),I118,G118))</x:f>
        <x:v>0.96</x:v>
      </x:c>
      <x:c r="W118" s="599" t="n">
        <x:f>IF(OR(U118="",U118="待结算"),"",IF(U118="红",V118,IF(U118="半红",V118*0.5,IF(U118="走",0,IF(U118="半黑",-0.5,-1)))))</x:f>
        <x:v>-1</x:v>
      </x:c>
      <x:c r="X118" s="595" t="inlineStr">
        <x:is>
          <x:t xml:space="preserve">2957047</x:t>
        </x:is>
      </x:c>
      <x:c r="Y118" s="595" t="inlineStr">
        <x:is>
          <x:t xml:space="preserve">v4-market-dirichlet-20260913</x:t>
        </x:is>
      </x:c>
      <x:c r="Z118" s="595" t="inlineStr">
        <x:is>
          <x:t xml:space="preserve">prior-2026-09-16-v1</x:t>
        </x:is>
      </x:c>
      <x:c r="AA118" s="595" t="inlineStr">
        <x:is>
          <x:t xml:space="preserve">C</x:t>
        </x:is>
      </x:c>
      <x:c r="AB118" s="600" t="n">
        <x:v>0.4210526315789473</x:v>
      </x:c>
      <x:c r="AC118" s="600" t="n">
        <x:v>0</x:v>
      </x:c>
      <x:c r="AD118" s="600" t="n">
        <x:v>0.2236842105263158</x:v>
      </x:c>
      <x:c r="AE118" s="600" t="n">
        <x:v>0</x:v>
      </x:c>
      <x:c r="AF118" s="600" t="n">
        <x:v>0.3552631578947368</x:v>
      </x:c>
      <x:c r="AG118" s="600" t="n">
        <x:v>0.006842105263157872</x:v>
      </x:c>
      <x:c r="AH118" s="600" t="n">
        <x:v>-0.1447248132693418</x:v>
      </x:c>
      <x:c r="AI118" s="600" t="n">
        <x:v>-0.1109995180320518</x:v>
      </x:c>
      <x:c r="AJ118" s="600" t="n">
        <x:v>0.009304457689665369</x:v>
      </x:c>
      <x:c r="AK118" s="600" t="n">
        <x:v>0.1304385921403572</x:v>
      </x:c>
      <x:c r="AL118" s="600" t="n">
        <x:v>0.1619181852812933</x:v>
      </x:c>
      <x:c r="AM118" s="600" t="n">
        <x:v>0.5446</x:v>
      </x:c>
      <x:c r="AN118" s="595" t="inlineStr">
        <x:is>
          <x:t xml:space="preserve">EVALUATED</x:t>
        </x:is>
      </x:c>
      <x:c r="AO118" s="600" t="inlineStr">
        <x:is>
          <x:t xml:space="preserve">BUCKET_1.00、SIDE_IDENTITY_VALID、FLAT_LINE_GIVING_WATER_RISE</x:t>
        </x:is>
      </x:c>
      <x:c r="AP118" s="600" t="inlineStr">
        <x:is>
          <x:t xml:space="preserve">497becf15fa198ded1b5</x:t>
        </x:is>
      </x:c>
      <x:c r="AQ118" s="600" t="n">
        <x:v>1</x:v>
      </x:c>
      <x:c r="AR118" s="600" t="n">
        <x:v>0.86</x:v>
      </x:c>
      <x:c r="AS118" s="600" t="n">
        <x:v>-1</x:v>
      </x:c>
      <x:c r="AT118" s="600" t="n">
        <x:v>1</x:v>
      </x:c>
      <x:c r="AU118" s="600" t="n">
        <x:v>0.96</x:v>
      </x:c>
      <x:c r="AV118" s="600" t="n">
        <x:v>0.86</x:v>
      </x:c>
      <x:c r="AW118" s="595" t="n">
        <x:v>46281.66344571759</x:v>
      </x:c>
      <x:c r="AX118" s="595" t="inlineStr">
        <x:is>
          <x:t xml:space="preserve">https://simondongxiao.github.io/odds/v4/</x:t>
        </x:is>
      </x:c>
      <x:c r="AY118" s="595" t="inlineStr">
        <x:is>
          <x:t xml:space="preserve">V4 Shadow Only；real_money=false；P(EV&gt;0)不是比赛胜率</x:t>
        </x:is>
      </x:c>
    </x:row>
    <x:row r="119" ht="22" customHeight="1">
      <x:c r="A119" s="595" t="inlineStr">
        <x:is>
          <x:t xml:space="preserve">2026-09-17</x:t>
        </x:is>
      </x:c>
      <x:c r="B119" s="595" t="inlineStr">
        <x:is>
          <x:t xml:space="preserve">2026-09-17 18:00</x:t>
        </x:is>
      </x:c>
      <x:c r="C119" s="595" t="str">
        <x:v>其他系列</x:v>
      </x:c>
      <x:c r="D119" s="595" t="inlineStr">
        <x:is>
          <x:t xml:space="preserve">联赛</x:t>
        </x:is>
      </x:c>
      <x:c r="E119" s="595" t="inlineStr">
        <x:is>
          <x:t xml:space="preserve">亚冠联2</x:t>
        </x:is>
      </x:c>
      <x:c r="F119" s="595" t="inlineStr">
        <x:is>
          <x:t xml:space="preserve">町田泽维亚 vs 柴桢</x:t>
        </x:is>
      </x:c>
      <x:c r="G119" s="596" t="n">
        <x:v>0.93</x:v>
      </x:c>
      <x:c r="H119" s="596" t="n">
        <x:v>3</x:v>
      </x:c>
      <x:c r="I119" s="596" t="n">
        <x:v>0.83</x:v>
      </x:c>
      <x:c r="J119" s="596" t="inlineStr">
        <x:is>
          <x:t xml:space="preserve">0.93/3/0.83</x:t>
        </x:is>
      </x:c>
      <x:c r="K119" s="595" t="inlineStr">
        <x:is>
          <x:t xml:space="preserve">V4-C｜EV +0.1129</x:t>
        </x:is>
      </x:c>
      <x:c r="L119" s="595" t="inlineStr">
        <x:is>
          <x:t xml:space="preserve">町田泽维亚</x:t>
        </x:is>
      </x:c>
      <x:c r="M119" s="597" t="n">
        <x:v>0.6000000000000001</x:v>
      </x:c>
      <x:c r="N119" s="595" t="inlineStr">
        <x:is>
          <x:t xml:space="preserve">V4纸面入选-C</x:t>
        </x:is>
      </x:c>
      <x:c r="O119" s="595" t="inlineStr">
        <x:is>
          <x:t xml:space="preserve">2-0</x:t>
        </x:is>
      </x:c>
      <x:c r="P119" s="595" t="inlineStr">
        <x:is>
          <x:t xml:space="preserve">已结算</x:t>
        </x:is>
      </x:c>
      <x:c r="Q119" s="641" t="inlineStr">
        <x:is>
          <x:t xml:space="preserve">黑</x:t>
        </x:is>
      </x:c>
      <x:c r="R119" s="599" t="n">
        <x:v>0.93</x:v>
      </x:c>
      <x:c r="S119" s="599" t="n">
        <x:f>IF(OR(Q119="",Q119="待结算"),"",IF(Q119="红",R119,IF(Q119="半红",R119*0.5,IF(Q119="走",0,IF(Q119="半黑",-0.5,-1)))))</x:f>
        <x:v>-1</x:v>
      </x:c>
      <x:c r="T119" s="595" t="inlineStr">
        <x:is>
          <x:t xml:space="preserve">https://www.livesoccertv.com/match/machida-zelvia-vs-svay-rieng/1xso66</x:t>
        </x:is>
      </x:c>
      <x:c r="U119" s="640" t="str">
        <x:f>IF(Q119="","",IF(Q119="待结算","待结算",IF(Q119="红","黑",IF(Q119="半红","半黑",IF(Q119="走","走",IF(Q119="半黑","半红","红"))))))</x:f>
        <x:v>红</x:v>
      </x:c>
      <x:c r="V119" s="599" t="n">
        <x:f>IF(OR(Q119="",Q119="待结算"),"",IF(L119=LEFT(F119,FIND(" vs ",F119)-1),I119,G119))</x:f>
        <x:v>0.83</x:v>
      </x:c>
      <x:c r="W119" s="599" t="n">
        <x:f>IF(OR(U119="",U119="待结算"),"",IF(U119="红",V119,IF(U119="半红",V119*0.5,IF(U119="走",0,IF(U119="半黑",-0.5,-1)))))</x:f>
        <x:v>0.83</x:v>
      </x:c>
      <x:c r="X119" s="595" t="inlineStr">
        <x:is>
          <x:t xml:space="preserve">3069058</x:t>
        </x:is>
      </x:c>
      <x:c r="Y119" s="595" t="inlineStr">
        <x:is>
          <x:t xml:space="preserve">v4-market-dirichlet-20260913</x:t>
        </x:is>
      </x:c>
      <x:c r="Z119" s="595" t="inlineStr">
        <x:is>
          <x:t xml:space="preserve">prior-2026-09-17-v1</x:t>
        </x:is>
      </x:c>
      <x:c r="AA119" s="595" t="inlineStr">
        <x:is>
          <x:t xml:space="preserve">C</x:t>
        </x:is>
      </x:c>
      <x:c r="AB119" s="600" t="n">
        <x:v>0.4285714285714285</x:v>
      </x:c>
      <x:c r="AC119" s="600" t="n">
        <x:v>0</x:v>
      </x:c>
      <x:c r="AD119" s="600" t="n">
        <x:v>0.2857142857142857</x:v>
      </x:c>
      <x:c r="AE119" s="600" t="n">
        <x:v>0</x:v>
      </x:c>
      <x:c r="AF119" s="600" t="n">
        <x:v>0.2857142857142857</x:v>
      </x:c>
      <x:c r="AG119" s="600" t="n">
        <x:v>0.1128571428571429</x:v>
      </x:c>
      <x:c r="AH119" s="600" t="n">
        <x:v>-0.3660177165019666</x:v>
      </x:c>
      <x:c r="AI119" s="600" t="n">
        <x:v>-0.267304483008334</x:v>
      </x:c>
      <x:c r="AJ119" s="600" t="n">
        <x:v>0.1258053897240852</x:v>
      </x:c>
      <x:c r="AK119" s="600" t="n">
        <x:v>0.4901155231231124</x:v>
      </x:c>
      <x:c r="AL119" s="600" t="n">
        <x:v>0.5686153108614482</x:v>
      </x:c>
      <x:c r="AM119" s="600" t="n">
        <x:v>0.662</x:v>
      </x:c>
      <x:c r="AN119" s="595" t="inlineStr">
        <x:is>
          <x:t xml:space="preserve">FROZEN_PREMATCH_DECISION</x:t>
        </x:is>
      </x:c>
      <x:c r="AO119" s="600" t="inlineStr">
        <x:is>
          <x:t xml:space="preserve">STARTED_DECISION_LOCKED</x:t>
        </x:is>
      </x:c>
      <x:c r="AP119" s="600" t="inlineStr">
        <x:is>
          <x:t xml:space="preserve">27a096fb4438ac1d2c50</x:t>
        </x:is>
      </x:c>
      <x:c r="AQ119" s="600" t="n">
        <x:v>-3</x:v>
      </x:c>
      <x:c r="AR119" s="600" t="n">
        <x:v>0.93</x:v>
      </x:c>
      <x:c r="AS119" s="600" t="n">
        <x:v>-3</x:v>
      </x:c>
      <x:c r="AT119" s="600" t="n">
        <x:v>3</x:v>
      </x:c>
      <x:c r="AU119" s="600" t="n">
        <x:v>0.93</x:v>
      </x:c>
      <x:c r="AV119" s="600" t="n">
        <x:v>0.83</x:v>
      </x:c>
      <x:c r="AW119" s="595" t="n">
        <x:v>46282.38334524306</x:v>
      </x:c>
      <x:c r="AX119" s="595" t="inlineStr">
        <x:is>
          <x:t xml:space="preserve">https://simondongxiao.github.io/odds/v4/</x:t>
        </x:is>
      </x:c>
      <x:c r="AY119" s="595" t="inlineStr">
        <x:is>
          <x:t xml:space="preserve">V4 Shadow Only；real_money=false；P(EV&gt;0)不是比赛胜率</x:t>
        </x:is>
      </x:c>
    </x:row>
    <x:row r="120" ht="22" customHeight="1">
      <x:c r="A120" s="595" t="inlineStr">
        <x:is>
          <x:t xml:space="preserve">2026-09-17</x:t>
        </x:is>
      </x:c>
      <x:c r="B120" s="595" t="inlineStr">
        <x:is>
          <x:t xml:space="preserve">2026-09-17 21:15</x:t>
        </x:is>
      </x:c>
      <x:c r="C120" s="595" t="str">
        <x:v>欧洲非五大系列</x:v>
      </x:c>
      <x:c r="D120" s="595" t="inlineStr">
        <x:is>
          <x:t xml:space="preserve">联赛</x:t>
        </x:is>
      </x:c>
      <x:c r="E120" s="595" t="inlineStr">
        <x:is>
          <x:t xml:space="preserve">俄超</x:t>
        </x:is>
      </x:c>
      <x:c r="F120" s="595" t="inlineStr">
        <x:is>
          <x:t xml:space="preserve">奥伦堡加索维克 vs 克拉斯诺达尔</x:t>
        </x:is>
      </x:c>
      <x:c r="G120" s="596" t="n">
        <x:v>1.06</x:v>
      </x:c>
      <x:c r="H120" s="596" t="n">
        <x:v>-0.75</x:v>
      </x:c>
      <x:c r="I120" s="596" t="n">
        <x:v>0.83</x:v>
      </x:c>
      <x:c r="J120" s="596" t="inlineStr">
        <x:is>
          <x:t xml:space="preserve">1.06/-0.75/0.83</x:t>
        </x:is>
      </x:c>
      <x:c r="K120" s="595" t="inlineStr">
        <x:is>
          <x:t xml:space="preserve">V4-C｜EV +0.0390</x:t>
        </x:is>
      </x:c>
      <x:c r="L120" s="595" t="inlineStr">
        <x:is>
          <x:t xml:space="preserve">奥伦堡加索维克</x:t>
        </x:is>
      </x:c>
      <x:c r="M120" s="597" t="n">
        <x:v>0.5071770334928229</x:v>
      </x:c>
      <x:c r="N120" s="595" t="inlineStr">
        <x:is>
          <x:t xml:space="preserve">V4纸面入选-C</x:t>
        </x:is>
      </x:c>
      <x:c r="O120" s="595" t="inlineStr">
        <x:is>
          <x:t xml:space="preserve">0-0</x:t>
        </x:is>
      </x:c>
      <x:c r="P120" s="595" t="inlineStr">
        <x:is>
          <x:t xml:space="preserve">已结算</x:t>
        </x:is>
      </x:c>
      <x:c r="Q120" s="640" t="inlineStr">
        <x:is>
          <x:t xml:space="preserve">红</x:t>
        </x:is>
      </x:c>
      <x:c r="R120" s="599" t="n">
        <x:v>1.06</x:v>
      </x:c>
      <x:c r="S120" s="599" t="n">
        <x:f>IF(OR(Q120="",Q120="待结算"),"",IF(Q120="红",R120,IF(Q120="半红",R120*0.5,IF(Q120="走",0,IF(Q120="半黑",-0.5,-1)))))</x:f>
        <x:v>1.06</x:v>
      </x:c>
      <x:c r="T120" s="595" t="inlineStr">
        <x:is>
          <x:t xml:space="preserve">https://ofstats.com/matches/view/orenburg-krasnodar-2026-09-17</x:t>
        </x:is>
      </x:c>
      <x:c r="U120" s="641" t="str">
        <x:f>IF(Q120="","",IF(Q120="待结算","待结算",IF(Q120="红","黑",IF(Q120="半红","半黑",IF(Q120="走","走",IF(Q120="半黑","半红","红"))))))</x:f>
        <x:v>黑</x:v>
      </x:c>
      <x:c r="V120" s="599" t="n">
        <x:f>IF(OR(Q120="",Q120="待结算"),"",IF(L120=LEFT(F120,FIND(" vs ",F120)-1),I120,G120))</x:f>
        <x:v>0.83</x:v>
      </x:c>
      <x:c r="W120" s="599" t="n">
        <x:f>IF(OR(U120="",U120="待结算"),"",IF(U120="红",V120,IF(U120="半红",V120*0.5,IF(U120="走",0,IF(U120="半黑",-0.5,-1)))))</x:f>
        <x:v>-1</x:v>
      </x:c>
      <x:c r="X120" s="595" t="inlineStr">
        <x:is>
          <x:t xml:space="preserve">3012304</x:t>
        </x:is>
      </x:c>
      <x:c r="Y120" s="595" t="inlineStr">
        <x:is>
          <x:t xml:space="preserve">v4-market-dirichlet-20260913</x:t>
        </x:is>
      </x:c>
      <x:c r="Z120" s="595" t="inlineStr">
        <x:is>
          <x:t xml:space="preserve">prior-2026-09-17-v1</x:t>
        </x:is>
      </x:c>
      <x:c r="AA120" s="595" t="inlineStr">
        <x:is>
          <x:t xml:space="preserve">C</x:t>
        </x:is>
      </x:c>
      <x:c r="AB120" s="600" t="n">
        <x:v>0.4416666666666667</x:v>
      </x:c>
      <x:c r="AC120" s="600" t="n">
        <x:v>0</x:v>
      </x:c>
      <x:c r="AD120" s="600" t="n">
        <x:v>0</x:v>
      </x:c>
      <x:c r="AE120" s="600" t="n">
        <x:v>0.2583333333333334</x:v>
      </x:c>
      <x:c r="AF120" s="600" t="n">
        <x:v>0.3</x:v>
      </x:c>
      <x:c r="AG120" s="600" t="n">
        <x:v>0.03899999999999998</x:v>
      </x:c>
      <x:c r="AH120" s="600" t="n">
        <x:v>-0.0971082869540898</x:v>
      </x:c>
      <x:c r="AI120" s="600" t="n">
        <x:v>-0.06749933968054161</x:v>
      </x:c>
      <x:c r="AJ120" s="600" t="n">
        <x:v>0.039309740994798</x:v>
      </x:c>
      <x:c r="AK120" s="600" t="n">
        <x:v>0.148250911845126</x:v>
      </x:c>
      <x:c r="AL120" s="600" t="n">
        <x:v>0.1775325090942873</x:v>
      </x:c>
      <x:c r="AM120" s="600" t="n">
        <x:v>0.6762</x:v>
      </x:c>
      <x:c r="AN120" s="595" t="inlineStr">
        <x:is>
          <x:t xml:space="preserve">FROZEN_PREMATCH_DECISION</x:t>
        </x:is>
      </x:c>
      <x:c r="AO120" s="600" t="inlineStr">
        <x:is>
          <x:t xml:space="preserve">STARTED_DECISION_LOCKED</x:t>
        </x:is>
      </x:c>
      <x:c r="AP120" s="600" t="inlineStr">
        <x:is>
          <x:t xml:space="preserve">38d220d6001180d65c84</x:t>
        </x:is>
      </x:c>
      <x:c r="AQ120" s="600" t="n">
        <x:v>0.75</x:v>
      </x:c>
      <x:c r="AR120" s="600" t="n">
        <x:v>1.06</x:v>
      </x:c>
      <x:c r="AS120" s="600" t="n">
        <x:v>0.75</x:v>
      </x:c>
      <x:c r="AT120" s="600" t="n">
        <x:v>-0.75</x:v>
      </x:c>
      <x:c r="AU120" s="600" t="n">
        <x:v>1.06</x:v>
      </x:c>
      <x:c r="AV120" s="600" t="n">
        <x:v>0.83</x:v>
      </x:c>
      <x:c r="AW120" s="595" t="n">
        <x:v>46282.52250677083</x:v>
      </x:c>
      <x:c r="AX120" s="595" t="inlineStr">
        <x:is>
          <x:t xml:space="preserve">https://simondongxiao.github.io/odds/v4/</x:t>
        </x:is>
      </x:c>
      <x:c r="AY120" s="595" t="inlineStr">
        <x:is>
          <x:t xml:space="preserve">V4 Shadow Only；real_money=false；P(EV&gt;0)不是比赛胜率</x:t>
        </x:is>
      </x:c>
    </x:row>
    <x:row r="121" ht="22" customHeight="1">
      <x:c r="A121" s="595" t="inlineStr">
        <x:is>
          <x:t xml:space="preserve">2026-09-17</x:t>
        </x:is>
      </x:c>
      <x:c r="B121" s="595" t="inlineStr">
        <x:is>
          <x:t xml:space="preserve">2026-09-17 22:45</x:t>
        </x:is>
      </x:c>
      <x:c r="C121" s="595" t="str">
        <x:v>欧洲非五大系列</x:v>
      </x:c>
      <x:c r="D121" s="595" t="inlineStr">
        <x:is>
          <x:t xml:space="preserve">杯赛</x:t>
        </x:is>
      </x:c>
      <x:c r="E121" s="595" t="inlineStr">
        <x:is>
          <x:t xml:space="preserve">希腊杯</x:t>
        </x:is>
      </x:c>
      <x:c r="F121" s="595" t="inlineStr">
        <x:is>
          <x:t xml:space="preserve">AEK雅典 vs 潘塞莱科斯</x:t>
        </x:is>
      </x:c>
      <x:c r="G121" s="596" t="n">
        <x:v>0.89</x:v>
      </x:c>
      <x:c r="H121" s="596" t="n">
        <x:v>2.75</x:v>
      </x:c>
      <x:c r="I121" s="596" t="n">
        <x:v>0.93</x:v>
      </x:c>
      <x:c r="J121" s="596" t="inlineStr">
        <x:is>
          <x:t xml:space="preserve">0.89/2.75/0.93</x:t>
        </x:is>
      </x:c>
      <x:c r="K121" s="595" t="inlineStr">
        <x:is>
          <x:t xml:space="preserve">V4-B｜EV +0.3340</x:t>
        </x:is>
      </x:c>
      <x:c r="L121" s="595" t="inlineStr">
        <x:is>
          <x:t xml:space="preserve">AEK雅典</x:t>
        </x:is>
      </x:c>
      <x:c r="M121" s="597" t="n">
        <x:v>0.7500000000000001</x:v>
      </x:c>
      <x:c r="N121" s="595" t="inlineStr">
        <x:is>
          <x:t xml:space="preserve">V4纸面入选-B</x:t>
        </x:is>
      </x:c>
      <x:c r="O121" s="595" t="inlineStr">
        <x:is>
          <x:t xml:space="preserve">8-1</x:t>
        </x:is>
      </x:c>
      <x:c r="P121" s="595" t="inlineStr">
        <x:is>
          <x:t xml:space="preserve">已结算</x:t>
        </x:is>
      </x:c>
      <x:c r="Q121" s="640" t="inlineStr">
        <x:is>
          <x:t xml:space="preserve">红</x:t>
        </x:is>
      </x:c>
      <x:c r="R121" s="599" t="n">
        <x:v>0.89</x:v>
      </x:c>
      <x:c r="S121" s="599" t="n">
        <x:f>IF(OR(Q121="",Q121="待结算"),"",IF(Q121="红",R121,IF(Q121="半红",R121*0.5,IF(Q121="走",0,IF(Q121="半黑",-0.5,-1)))))</x:f>
        <x:v>0.89</x:v>
      </x:c>
      <x:c r="T121" s="595" t="inlineStr">
        <x:is>
          <x:t xml:space="preserve">https://www.betexplorer.com/football/team/panserraikos/YqtVj85g/results/</x:t>
        </x:is>
      </x:c>
      <x:c r="U121" s="641" t="str">
        <x:f>IF(Q121="","",IF(Q121="待结算","待结算",IF(Q121="红","黑",IF(Q121="半红","半黑",IF(Q121="走","走",IF(Q121="半黑","半红","红"))))))</x:f>
        <x:v>黑</x:v>
      </x:c>
      <x:c r="V121" s="599" t="n">
        <x:f>IF(OR(Q121="",Q121="待结算"),"",IF(L121=LEFT(F121,FIND(" vs ",F121)-1),I121,G121))</x:f>
        <x:v>0.93</x:v>
      </x:c>
      <x:c r="W121" s="599" t="n">
        <x:f>IF(OR(U121="",U121="待结算"),"",IF(U121="红",V121,IF(U121="半红",V121*0.5,IF(U121="走",0,IF(U121="半黑",-0.5,-1)))))</x:f>
        <x:v>-1</x:v>
      </x:c>
      <x:c r="X121" s="595" t="inlineStr">
        <x:is>
          <x:t xml:space="preserve">3074089</x:t>
        </x:is>
      </x:c>
      <x:c r="Y121" s="595" t="inlineStr">
        <x:is>
          <x:t xml:space="preserve">v4-market-dirichlet-20260913</x:t>
        </x:is>
      </x:c>
      <x:c r="Z121" s="595" t="inlineStr">
        <x:is>
          <x:t xml:space="preserve">prior-2026-09-17-v1</x:t>
        </x:is>
      </x:c>
      <x:c r="AA121" s="595" t="inlineStr">
        <x:is>
          <x:t xml:space="preserve">B</x:t>
        </x:is>
      </x:c>
      <x:c r="AB121" s="600" t="n">
        <x:v>0.4</x:v>
      </x:c>
      <x:c r="AC121" s="600" t="n">
        <x:v>0.4</x:v>
      </x:c>
      <x:c r="AD121" s="600" t="n">
        <x:v>0</x:v>
      </x:c>
      <x:c r="AE121" s="600" t="n">
        <x:v>0</x:v>
      </x:c>
      <x:c r="AF121" s="600" t="n">
        <x:v>0.2</x:v>
      </x:c>
      <x:c r="AG121" s="600" t="n">
        <x:v>0.334</x:v>
      </x:c>
      <x:c r="AH121" s="600" t="n">
        <x:v>-0.2085980321209122</x:v>
      </x:c>
      <x:c r="AI121" s="600" t="n">
        <x:v>-0.06046935343261345</x:v>
      </x:c>
      <x:c r="AJ121" s="600" t="n">
        <x:v>0.3850985346997363</x:v>
      </x:c>
      <x:c r="AK121" s="600" t="n">
        <x:v>0.6533336200802425</x:v>
      </x:c>
      <x:c r="AL121" s="600" t="n">
        <x:v>0.7106848946537418</x:v>
      </x:c>
      <x:c r="AM121" s="600" t="n">
        <x:v>0.8678</x:v>
      </x:c>
      <x:c r="AN121" s="595" t="inlineStr">
        <x:is>
          <x:t xml:space="preserve">EVALUATED</x:t>
        </x:is>
      </x:c>
      <x:c r="AO121" s="600" t="inlineStr">
        <x:is>
          <x:t xml:space="preserve">BUCKET_2.75、SIDE_IDENTITY_VALID、MARKET_MOVE_DEEPER_WITH_GIVING_WATER_RISE</x:t>
        </x:is>
      </x:c>
      <x:c r="AP121" s="600" t="inlineStr">
        <x:is>
          <x:t xml:space="preserve">22127640bb8bb1603c30</x:t>
        </x:is>
      </x:c>
      <x:c r="AQ121" s="600" t="n">
        <x:v>-2.75</x:v>
      </x:c>
      <x:c r="AR121" s="600" t="n">
        <x:v>0.89</x:v>
      </x:c>
      <x:c r="AS121" s="600" t="n">
        <x:v>-2.75</x:v>
      </x:c>
      <x:c r="AT121" s="600" t="n">
        <x:v>2.75</x:v>
      </x:c>
      <x:c r="AU121" s="600" t="n">
        <x:v>0.89</x:v>
      </x:c>
      <x:c r="AV121" s="600" t="n">
        <x:v>0.93</x:v>
      </x:c>
      <x:c r="AW121" s="595" t="n">
        <x:v>46282.60382107639</x:v>
      </x:c>
      <x:c r="AX121" s="595" t="inlineStr">
        <x:is>
          <x:t xml:space="preserve">https://simondongxiao.github.io/odds/v4/</x:t>
        </x:is>
      </x:c>
      <x:c r="AY121" s="595" t="inlineStr">
        <x:is>
          <x:t xml:space="preserve">V4 Shadow Only；real_money=false；P(EV&gt;0)不是比赛胜率</x:t>
        </x:is>
      </x:c>
    </x:row>
    <x:row r="122" ht="22" customHeight="1">
      <x:c r="A122" s="595" t="inlineStr">
        <x:is>
          <x:t xml:space="preserve">2026-09-17</x:t>
        </x:is>
      </x:c>
      <x:c r="B122" s="595" t="inlineStr">
        <x:is>
          <x:t xml:space="preserve">2026-09-17 23:00</x:t>
        </x:is>
      </x:c>
      <x:c r="C122" s="595" t="str">
        <x:v>西亚/中亚系列</x:v>
      </x:c>
      <x:c r="D122" s="595" t="inlineStr">
        <x:is>
          <x:t xml:space="preserve">联赛</x:t>
        </x:is>
      </x:c>
      <x:c r="E122" s="595" t="inlineStr">
        <x:is>
          <x:t xml:space="preserve">哈萨克超</x:t>
        </x:is>
      </x:c>
      <x:c r="F122" s="595" t="inlineStr">
        <x:is>
          <x:t xml:space="preserve">阿迪拿奥 vs 奥达巴斯</x:t>
        </x:is>
      </x:c>
      <x:c r="G122" s="596" t="n">
        <x:v>1.05</x:v>
      </x:c>
      <x:c r="H122" s="596" t="n">
        <x:v>-1</x:v>
      </x:c>
      <x:c r="I122" s="596" t="n">
        <x:v>0.77</x:v>
      </x:c>
      <x:c r="J122" s="596" t="inlineStr">
        <x:is>
          <x:t xml:space="preserve">1.05/-1/0.77</x:t>
        </x:is>
      </x:c>
      <x:c r="K122" s="595" t="inlineStr">
        <x:is>
          <x:t xml:space="preserve">V4-C｜EV +0.0868</x:t>
        </x:is>
      </x:c>
      <x:c r="L122" s="595" t="inlineStr">
        <x:is>
          <x:t xml:space="preserve">阿迪拿奥</x:t>
        </x:is>
      </x:c>
      <x:c r="M122" s="597" t="n">
        <x:v>0.5423728813559322</x:v>
      </x:c>
      <x:c r="N122" s="595" t="inlineStr">
        <x:is>
          <x:t xml:space="preserve">V4纸面入选-C</x:t>
        </x:is>
      </x:c>
      <x:c r="O122" s="595" t="inlineStr">
        <x:is>
          <x:t xml:space="preserve">0-3</x:t>
        </x:is>
      </x:c>
      <x:c r="P122" s="595" t="inlineStr">
        <x:is>
          <x:t xml:space="preserve">已结算</x:t>
        </x:is>
      </x:c>
      <x:c r="Q122" s="641" t="inlineStr">
        <x:is>
          <x:t xml:space="preserve">黑</x:t>
        </x:is>
      </x:c>
      <x:c r="R122" s="599" t="n">
        <x:v>1.05</x:v>
      </x:c>
      <x:c r="S122" s="599" t="n">
        <x:f>IF(OR(Q122="",Q122="待结算"),"",IF(Q122="红",R122,IF(Q122="半红",R122*0.5,IF(Q122="走",0,IF(Q122="半黑",-0.5,-1)))))</x:f>
        <x:v>-1</x:v>
      </x:c>
      <x:c r="T122" s="595" t="inlineStr">
        <x:is>
          <x:t xml:space="preserve">https://www.livesoccertv.com/match/ordabasy-vs-atyrau/1ebooj</x:t>
        </x:is>
      </x:c>
      <x:c r="U122" s="640" t="str">
        <x:f>IF(Q122="","",IF(Q122="待结算","待结算",IF(Q122="红","黑",IF(Q122="半红","半黑",IF(Q122="走","走",IF(Q122="半黑","半红","红"))))))</x:f>
        <x:v>红</x:v>
      </x:c>
      <x:c r="V122" s="599" t="n">
        <x:f>IF(OR(Q122="",Q122="待结算"),"",IF(L122=LEFT(F122,FIND(" vs ",F122)-1),I122,G122))</x:f>
        <x:v>0.77</x:v>
      </x:c>
      <x:c r="W122" s="599" t="n">
        <x:f>IF(OR(U122="",U122="待结算"),"",IF(U122="红",V122,IF(U122="半红",V122*0.5,IF(U122="走",0,IF(U122="半黑",-0.5,-1)))))</x:f>
        <x:v>0.77</x:v>
      </x:c>
      <x:c r="X122" s="595" t="inlineStr">
        <x:is>
          <x:t xml:space="preserve">2953376</x:t>
        </x:is>
      </x:c>
      <x:c r="Y122" s="595" t="inlineStr">
        <x:is>
          <x:t xml:space="preserve">v4-market-dirichlet-20260913</x:t>
        </x:is>
      </x:c>
      <x:c r="Z122" s="595" t="inlineStr">
        <x:is>
          <x:t xml:space="preserve">prior-2026-09-17-v1</x:t>
        </x:is>
      </x:c>
      <x:c r="AA122" s="595" t="inlineStr">
        <x:is>
          <x:t xml:space="preserve">C</x:t>
        </x:is>
      </x:c>
      <x:c r="AB122" s="600" t="n">
        <x:v>0.4210526315789473</x:v>
      </x:c>
      <x:c r="AC122" s="600" t="n">
        <x:v>0</x:v>
      </x:c>
      <x:c r="AD122" s="600" t="n">
        <x:v>0.2236842105263158</x:v>
      </x:c>
      <x:c r="AE122" s="600" t="n">
        <x:v>0</x:v>
      </x:c>
      <x:c r="AF122" s="600" t="n">
        <x:v>0.3552631578947368</x:v>
      </x:c>
      <x:c r="AG122" s="600" t="n">
        <x:v>0.08684210526315789</x:v>
      </x:c>
      <x:c r="AH122" s="600" t="n">
        <x:v>-0.08243889522535169</x:v>
      </x:c>
      <x:c r="AI122" s="600" t="n">
        <x:v>-0.04580439097670719</x:v>
      </x:c>
      <x:c r="AJ122" s="600" t="n">
        <x:v>0.08688663076993353</x:v>
      </x:c>
      <x:c r="AK122" s="600" t="n">
        <x:v>0.2220511217568515</x:v>
      </x:c>
      <x:c r="AL122" s="600" t="n">
        <x:v>0.2597727275895656</x:v>
      </x:c>
      <x:c r="AM122" s="600" t="n">
        <x:v>0.8004</x:v>
      </x:c>
      <x:c r="AN122" s="595" t="inlineStr">
        <x:is>
          <x:t xml:space="preserve">EVALUATED</x:t>
        </x:is>
      </x:c>
      <x:c r="AO122" s="600" t="inlineStr">
        <x:is>
          <x:t xml:space="preserve">BUCKET_1.00、SIDE_IDENTITY_VALID、FLAT_LINE_GIVING_WATER_DROP</x:t>
        </x:is>
      </x:c>
      <x:c r="AP122" s="600" t="inlineStr">
        <x:is>
          <x:t xml:space="preserve">7a0508d5f9bf35956957</x:t>
        </x:is>
      </x:c>
      <x:c r="AQ122" s="600" t="n">
        <x:v>1</x:v>
      </x:c>
      <x:c r="AR122" s="600" t="n">
        <x:v>1.05</x:v>
      </x:c>
      <x:c r="AS122" s="600" t="n">
        <x:v>1</x:v>
      </x:c>
      <x:c r="AT122" s="600" t="n">
        <x:v>-1</x:v>
      </x:c>
      <x:c r="AU122" s="600" t="n">
        <x:v>1.05</x:v>
      </x:c>
      <x:c r="AV122" s="600" t="n">
        <x:v>0.77</x:v>
      </x:c>
      <x:c r="AW122" s="595" t="n">
        <x:v>46282.60382107639</x:v>
      </x:c>
      <x:c r="AX122" s="595" t="inlineStr">
        <x:is>
          <x:t xml:space="preserve">https://simondongxiao.github.io/odds/v4/</x:t>
        </x:is>
      </x:c>
      <x:c r="AY122" s="595" t="inlineStr">
        <x:is>
          <x:t xml:space="preserve">V4 Shadow Only；real_money=false；P(EV&gt;0)不是比赛胜率</x:t>
        </x:is>
      </x:c>
    </x:row>
    <x:row r="123" ht="22" customHeight="1">
      <x:c r="A123" s="595" t="inlineStr">
        <x:is>
          <x:t xml:space="preserve">2026-09-17</x:t>
        </x:is>
      </x:c>
      <x:c r="B123" s="595" t="inlineStr">
        <x:is>
          <x:t xml:space="preserve">2026-09-17 23:30</x:t>
        </x:is>
      </x:c>
      <x:c r="C123" s="595" t="str">
        <x:v>欧洲非五大系列</x:v>
      </x:c>
      <x:c r="D123" s="595" t="inlineStr">
        <x:is>
          <x:t xml:space="preserve">联赛</x:t>
        </x:is>
      </x:c>
      <x:c r="E123" s="595" t="inlineStr">
        <x:is>
          <x:t xml:space="preserve">俄超</x:t>
        </x:is>
      </x:c>
      <x:c r="F123" s="595" t="inlineStr">
        <x:is>
          <x:t xml:space="preserve">罗斯托夫 vs 莫斯科迪纳摩</x:t>
        </x:is>
      </x:c>
      <x:c r="G123" s="596" t="n">
        <x:v>1.06</x:v>
      </x:c>
      <x:c r="H123" s="596" t="n">
        <x:v>-0.25</x:v>
      </x:c>
      <x:c r="I123" s="596" t="n">
        <x:v>0.83</x:v>
      </x:c>
      <x:c r="J123" s="596" t="inlineStr">
        <x:is>
          <x:t xml:space="preserve">1.06/-0.25/0.83</x:t>
        </x:is>
      </x:c>
      <x:c r="K123" s="595" t="inlineStr">
        <x:is>
          <x:t xml:space="preserve">V4-C｜EV +0.0273</x:t>
        </x:is>
      </x:c>
      <x:c r="L123" s="595" t="inlineStr">
        <x:is>
          <x:t xml:space="preserve">罗斯托夫</x:t>
        </x:is>
      </x:c>
      <x:c r="M123" s="597" t="n">
        <x:v>0.5010224948875256</x:v>
      </x:c>
      <x:c r="N123" s="595" t="inlineStr">
        <x:is>
          <x:t xml:space="preserve">V4纸面入选-C</x:t>
        </x:is>
      </x:c>
      <x:c r="O123" s="595" t="inlineStr">
        <x:is>
          <x:t xml:space="preserve">0-3</x:t>
        </x:is>
      </x:c>
      <x:c r="P123" s="595" t="inlineStr">
        <x:is>
          <x:t xml:space="preserve">已结算</x:t>
        </x:is>
      </x:c>
      <x:c r="Q123" s="641" t="inlineStr">
        <x:is>
          <x:t xml:space="preserve">黑</x:t>
        </x:is>
      </x:c>
      <x:c r="R123" s="599" t="n">
        <x:v>1.06</x:v>
      </x:c>
      <x:c r="S123" s="599" t="n">
        <x:f>IF(OR(Q123="",Q123="待结算"),"",IF(Q123="红",R123,IF(Q123="半红",R123*0.5,IF(Q123="走",0,IF(Q123="半黑",-0.5,-1)))))</x:f>
        <x:v>-1</x:v>
      </x:c>
      <x:c r="T123" s="595" t="inlineStr">
        <x:is>
          <x:t xml:space="preserve">https://es.fcdynamo.ru/fixtures/detail/2026-2027-rossiiskaia-premer-liga-6750/</x:t>
        </x:is>
      </x:c>
      <x:c r="U123" s="640" t="str">
        <x:f>IF(Q123="","",IF(Q123="待结算","待结算",IF(Q123="红","黑",IF(Q123="半红","半黑",IF(Q123="走","走",IF(Q123="半黑","半红","红"))))))</x:f>
        <x:v>红</x:v>
      </x:c>
      <x:c r="V123" s="599" t="n">
        <x:f>IF(OR(Q123="",Q123="待结算"),"",IF(L123=LEFT(F123,FIND(" vs ",F123)-1),I123,G123))</x:f>
        <x:v>0.83</x:v>
      </x:c>
      <x:c r="W123" s="599" t="n">
        <x:f>IF(OR(U123="",U123="待结算"),"",IF(U123="红",V123,IF(U123="半红",V123*0.5,IF(U123="走",0,IF(U123="半黑",-0.5,-1)))))</x:f>
        <x:v>0.83</x:v>
      </x:c>
      <x:c r="X123" s="595" t="inlineStr">
        <x:is>
          <x:t xml:space="preserve">3012302</x:t>
        </x:is>
      </x:c>
      <x:c r="Y123" s="595" t="inlineStr">
        <x:is>
          <x:t xml:space="preserve">v4-market-dirichlet-20260913</x:t>
        </x:is>
      </x:c>
      <x:c r="Z123" s="595" t="inlineStr">
        <x:is>
          <x:t xml:space="preserve">prior-2026-09-17-v1</x:t>
        </x:is>
      </x:c>
      <x:c r="AA123" s="595" t="inlineStr">
        <x:is>
          <x:t xml:space="preserve">C</x:t>
        </x:is>
      </x:c>
      <x:c r="AB123" s="600" t="n">
        <x:v>0.2743055555555556</x:v>
      </x:c>
      <x:c r="AC123" s="600" t="n">
        <x:v>0.3020833333333333</x:v>
      </x:c>
      <x:c r="AD123" s="600" t="n">
        <x:v>0</x:v>
      </x:c>
      <x:c r="AE123" s="600" t="n">
        <x:v>0</x:v>
      </x:c>
      <x:c r="AF123" s="600" t="n">
        <x:v>0.4236111111111111</x:v>
      </x:c>
      <x:c r="AG123" s="600" t="n">
        <x:v>0.02725694444444449</x:v>
      </x:c>
      <x:c r="AH123" s="600" t="n">
        <x:v>-0.06202392576520954</x:v>
      </x:c>
      <x:c r="AI123" s="600" t="n">
        <x:v>-0.04199734037890618</x:v>
      </x:c>
      <x:c r="AJ123" s="600" t="n">
        <x:v>0.02687654217730984</x:v>
      </x:c>
      <x:c r="AK123" s="600" t="n">
        <x:v>0.09608532343605253</x:v>
      </x:c>
      <x:c r="AL123" s="600" t="n">
        <x:v>0.1148507208592373</x:v>
      </x:c>
      <x:c r="AM123" s="600" t="n">
        <x:v>0.6968</x:v>
      </x:c>
      <x:c r="AN123" s="595" t="inlineStr">
        <x:is>
          <x:t xml:space="preserve">EVALUATED</x:t>
        </x:is>
      </x:c>
      <x:c r="AO123" s="600" t="inlineStr">
        <x:is>
          <x:t xml:space="preserve">BUCKET_0.25、SIDE_IDENTITY_VALID、FLAT_LINE_GIVING_WATER_DROP</x:t>
        </x:is>
      </x:c>
      <x:c r="AP123" s="600" t="inlineStr">
        <x:is>
          <x:t xml:space="preserve">09ad90d3d226d1fdd109</x:t>
        </x:is>
      </x:c>
      <x:c r="AQ123" s="600" t="n">
        <x:v>0.25</x:v>
      </x:c>
      <x:c r="AR123" s="600" t="n">
        <x:v>1.06</x:v>
      </x:c>
      <x:c r="AS123" s="600" t="n">
        <x:v>0.25</x:v>
      </x:c>
      <x:c r="AT123" s="600" t="n">
        <x:v>-0.25</x:v>
      </x:c>
      <x:c r="AU123" s="600" t="n">
        <x:v>1.06</x:v>
      </x:c>
      <x:c r="AV123" s="600" t="n">
        <x:v>0.83</x:v>
      </x:c>
      <x:c r="AW123" s="595" t="n">
        <x:v>46282.60382107639</x:v>
      </x:c>
      <x:c r="AX123" s="595" t="inlineStr">
        <x:is>
          <x:t xml:space="preserve">https://simondongxiao.github.io/odds/v4/</x:t>
        </x:is>
      </x:c>
      <x:c r="AY123" s="595" t="inlineStr">
        <x:is>
          <x:t xml:space="preserve">V4 Shadow Only；real_money=false；P(EV&gt;0)不是比赛胜率</x:t>
        </x:is>
      </x:c>
    </x:row>
    <x:row r="124" ht="22" customHeight="1">
      <x:c r="A124" s="595" t="inlineStr">
        <x:is>
          <x:t xml:space="preserve">2026-09-17</x:t>
        </x:is>
      </x:c>
      <x:c r="B124" s="595" t="inlineStr">
        <x:is>
          <x:t xml:space="preserve">2026-09-18 00:00</x:t>
        </x:is>
      </x:c>
      <x:c r="C124" s="595" t="str">
        <x:v>西亚/中亚系列</x:v>
      </x:c>
      <x:c r="D124" s="595" t="inlineStr">
        <x:is>
          <x:t xml:space="preserve">联赛</x:t>
        </x:is>
      </x:c>
      <x:c r="E124" s="595" t="inlineStr">
        <x:is>
          <x:t xml:space="preserve">约超联</x:t>
        </x:is>
      </x:c>
      <x:c r="F124" s="595" t="inlineStr">
        <x:is>
          <x:t xml:space="preserve">多格拉(中) vs 艾沙尔特</x:t>
        </x:is>
      </x:c>
      <x:c r="G124" s="596" t="n">
        <x:v>1.05</x:v>
      </x:c>
      <x:c r="H124" s="596" t="n">
        <x:v>-0.25</x:v>
      </x:c>
      <x:c r="I124" s="596" t="n">
        <x:v>0.65</x:v>
      </x:c>
      <x:c r="J124" s="596" t="inlineStr">
        <x:is>
          <x:t xml:space="preserve">1.05/-0.25/0.65</x:t>
        </x:is>
      </x:c>
      <x:c r="K124" s="595" t="inlineStr">
        <x:is>
          <x:t xml:space="preserve">V4-C｜EV +0.0230</x:t>
        </x:is>
      </x:c>
      <x:c r="L124" s="595" t="inlineStr">
        <x:is>
          <x:t xml:space="preserve">多格拉(中)</x:t>
        </x:is>
      </x:c>
      <x:c r="M124" s="597" t="n">
        <x:v>0.5010224948875256</x:v>
      </x:c>
      <x:c r="N124" s="595" t="inlineStr">
        <x:is>
          <x:t xml:space="preserve">V4纸面入选-C</x:t>
        </x:is>
      </x:c>
      <x:c r="O124" s="595" t="inlineStr">
        <x:is>
          <x:t xml:space="preserve">2-0</x:t>
        </x:is>
      </x:c>
      <x:c r="P124" s="595" t="inlineStr">
        <x:is>
          <x:t xml:space="preserve">已结算</x:t>
        </x:is>
      </x:c>
      <x:c r="Q124" s="640" t="inlineStr">
        <x:is>
          <x:t xml:space="preserve">红</x:t>
        </x:is>
      </x:c>
      <x:c r="R124" s="599" t="n">
        <x:v>1.05</x:v>
      </x:c>
      <x:c r="S124" s="599" t="n">
        <x:f>IF(OR(Q124="",Q124="待结算"),"",IF(Q124="红",R124,IF(Q124="半红",R124*0.5,IF(Q124="走",0,IF(Q124="半黑",-0.5,-1)))))</x:f>
        <x:v>1.05</x:v>
      </x:c>
      <x:c r="T124" s="595" t="inlineStr">
        <x:is>
          <x:t xml:space="preserve">https://www.tntsports.co.uk/football/jordanian-league/calendar-results.shtml</x:t>
        </x:is>
      </x:c>
      <x:c r="U124" s="641" t="str">
        <x:f>IF(Q124="","",IF(Q124="待结算","待结算",IF(Q124="红","黑",IF(Q124="半红","半黑",IF(Q124="走","走",IF(Q124="半黑","半红","红"))))))</x:f>
        <x:v>黑</x:v>
      </x:c>
      <x:c r="V124" s="599" t="n">
        <x:f>IF(OR(Q124="",Q124="待结算"),"",IF(L124=LEFT(F124,FIND(" vs ",F124)-1),I124,G124))</x:f>
        <x:v>0.65</x:v>
      </x:c>
      <x:c r="W124" s="599" t="n">
        <x:f>IF(OR(U124="",U124="待结算"),"",IF(U124="红",V124,IF(U124="半红",V124*0.5,IF(U124="走",0,IF(U124="半黑",-0.5,-1)))))</x:f>
        <x:v>-1</x:v>
      </x:c>
      <x:c r="X124" s="595" t="inlineStr">
        <x:is>
          <x:t xml:space="preserve">3085757</x:t>
        </x:is>
      </x:c>
      <x:c r="Y124" s="595" t="inlineStr">
        <x:is>
          <x:t xml:space="preserve">v4-market-dirichlet-20260913</x:t>
        </x:is>
      </x:c>
      <x:c r="Z124" s="595" t="inlineStr">
        <x:is>
          <x:t xml:space="preserve">prior-2026-09-17-v1</x:t>
        </x:is>
      </x:c>
      <x:c r="AA124" s="595" t="inlineStr">
        <x:is>
          <x:t xml:space="preserve">C</x:t>
        </x:is>
      </x:c>
      <x:c r="AB124" s="600" t="n">
        <x:v>0.2743055555555556</x:v>
      </x:c>
      <x:c r="AC124" s="600" t="n">
        <x:v>0.3020833333333333</x:v>
      </x:c>
      <x:c r="AD124" s="600" t="n">
        <x:v>0</x:v>
      </x:c>
      <x:c r="AE124" s="600" t="n">
        <x:v>0</x:v>
      </x:c>
      <x:c r="AF124" s="600" t="n">
        <x:v>0.4236111111111111</x:v>
      </x:c>
      <x:c r="AG124" s="600" t="n">
        <x:v>0.02300347222222227</x:v>
      </x:c>
      <x:c r="AH124" s="600" t="n">
        <x:v>-0.06595576513933482</x:v>
      </x:c>
      <x:c r="AI124" s="600" t="n">
        <x:v>-0.04494964451079692</x:v>
      </x:c>
      <x:c r="AJ124" s="600" t="n">
        <x:v>0.02171175860682512</x:v>
      </x:c>
      <x:c r="AK124" s="600" t="n">
        <x:v>0.0897731949815232</x:v>
      </x:c>
      <x:c r="AL124" s="600" t="n">
        <x:v>0.1085216229724489</x:v>
      </x:c>
      <x:c r="AM124" s="600" t="n">
        <x:v>0.6688</x:v>
      </x:c>
      <x:c r="AN124" s="595" t="inlineStr">
        <x:is>
          <x:t xml:space="preserve">EVALUATED</x:t>
        </x:is>
      </x:c>
      <x:c r="AO124" s="600" t="inlineStr">
        <x:is>
          <x:t xml:space="preserve">BUCKET_0.25、SIDE_IDENTITY_VALID、FLAT_LINE_GIVING_WATER_DROP</x:t>
        </x:is>
      </x:c>
      <x:c r="AP124" s="600" t="inlineStr">
        <x:is>
          <x:t xml:space="preserve">45a567dd22451128891b</x:t>
        </x:is>
      </x:c>
      <x:c r="AQ124" s="600" t="n">
        <x:v>0.25</x:v>
      </x:c>
      <x:c r="AR124" s="600" t="n">
        <x:v>1.05</x:v>
      </x:c>
      <x:c r="AS124" s="600" t="n">
        <x:v>0.25</x:v>
      </x:c>
      <x:c r="AT124" s="600" t="n">
        <x:v>-0.25</x:v>
      </x:c>
      <x:c r="AU124" s="600" t="n">
        <x:v>1.05</x:v>
      </x:c>
      <x:c r="AV124" s="600" t="n">
        <x:v>0.65</x:v>
      </x:c>
      <x:c r="AW124" s="595" t="n">
        <x:v>46282.60382107639</x:v>
      </x:c>
      <x:c r="AX124" s="595" t="inlineStr">
        <x:is>
          <x:t xml:space="preserve">https://simondongxiao.github.io/odds/v4/</x:t>
        </x:is>
      </x:c>
      <x:c r="AY124" s="595" t="inlineStr">
        <x:is>
          <x:t xml:space="preserve">V4 Shadow Only；real_money=false；P(EV&gt;0)不是比赛胜率</x:t>
        </x:is>
      </x:c>
    </x:row>
    <x:row r="125" ht="22" customHeight="1">
      <x:c r="A125" s="595" t="inlineStr">
        <x:is>
          <x:t xml:space="preserve">2026-09-17</x:t>
        </x:is>
      </x:c>
      <x:c r="B125" s="595" t="inlineStr">
        <x:is>
          <x:t xml:space="preserve">2026-09-18 00:00</x:t>
        </x:is>
      </x:c>
      <x:c r="C125" s="595" t="str">
        <x:v>西亚/中亚系列</x:v>
      </x:c>
      <x:c r="D125" s="595" t="inlineStr">
        <x:is>
          <x:t xml:space="preserve">联赛</x:t>
        </x:is>
      </x:c>
      <x:c r="E125" s="595" t="inlineStr">
        <x:is>
          <x:t xml:space="preserve">以甲</x:t>
        </x:is>
      </x:c>
      <x:c r="F125" s="595" t="inlineStr">
        <x:is>
          <x:t xml:space="preserve">特拉维夫叶胡达 vs 赫兹立亚马卡比</x:t>
        </x:is>
      </x:c>
      <x:c r="G125" s="596" t="n">
        <x:v>0.65</x:v>
      </x:c>
      <x:c r="H125" s="596" t="n">
        <x:v>1</x:v>
      </x:c>
      <x:c r="I125" s="596" t="n">
        <x:v>1.05</x:v>
      </x:c>
      <x:c r="J125" s="596" t="inlineStr">
        <x:is>
          <x:t xml:space="preserve">0.65/1/1.05</x:t>
        </x:is>
      </x:c>
      <x:c r="K125" s="595" t="inlineStr">
        <x:is>
          <x:t xml:space="preserve">V4-C｜EV +0.0868</x:t>
        </x:is>
      </x:c>
      <x:c r="L125" s="595" t="inlineStr">
        <x:is>
          <x:t xml:space="preserve">赫兹立亚马卡比</x:t>
        </x:is>
      </x:c>
      <x:c r="M125" s="597" t="n">
        <x:v>0.5423728813559322</x:v>
      </x:c>
      <x:c r="N125" s="595" t="inlineStr">
        <x:is>
          <x:t xml:space="preserve">V4纸面入选-C</x:t>
        </x:is>
      </x:c>
      <x:c r="O125" s="595" t="inlineStr">
        <x:is>
          <x:t xml:space="preserve">1-1</x:t>
        </x:is>
      </x:c>
      <x:c r="P125" s="595" t="inlineStr">
        <x:is>
          <x:t xml:space="preserve">已结算</x:t>
        </x:is>
      </x:c>
      <x:c r="Q125" s="640" t="inlineStr">
        <x:is>
          <x:t xml:space="preserve">红</x:t>
        </x:is>
      </x:c>
      <x:c r="R125" s="599" t="n">
        <x:v>1.05</x:v>
      </x:c>
      <x:c r="S125" s="599" t="n">
        <x:f>IF(OR(Q125="",Q125="待结算"),"",IF(Q125="红",R125,IF(Q125="半红",R125*0.5,IF(Q125="走",0,IF(Q125="半黑",-0.5,-1)))))</x:f>
        <x:v>1.05</x:v>
      </x:c>
      <x:c r="T125" s="595" t="inlineStr">
        <x:is>
          <x:t xml:space="preserve">https://www.aiscore.com/tournament-hapoel-iksal-beitar-tel-aviv-ramla/8vmqy9iylhek9r3</x:t>
        </x:is>
      </x:c>
      <x:c r="U125" s="641" t="str">
        <x:f>IF(Q125="","",IF(Q125="待结算","待结算",IF(Q125="红","黑",IF(Q125="半红","半黑",IF(Q125="走","走",IF(Q125="半黑","半红","红"))))))</x:f>
        <x:v>黑</x:v>
      </x:c>
      <x:c r="V125" s="599" t="n">
        <x:f>IF(OR(Q125="",Q125="待结算"),"",IF(L125=LEFT(F125,FIND(" vs ",F125)-1),I125,G125))</x:f>
        <x:v>0.65</x:v>
      </x:c>
      <x:c r="W125" s="599" t="n">
        <x:f>IF(OR(U125="",U125="待结算"),"",IF(U125="红",V125,IF(U125="半红",V125*0.5,IF(U125="走",0,IF(U125="半黑",-0.5,-1)))))</x:f>
        <x:v>-1</x:v>
      </x:c>
      <x:c r="X125" s="595" t="inlineStr">
        <x:is>
          <x:t xml:space="preserve">3001827</x:t>
        </x:is>
      </x:c>
      <x:c r="Y125" s="595" t="inlineStr">
        <x:is>
          <x:t xml:space="preserve">v4-market-dirichlet-20260913</x:t>
        </x:is>
      </x:c>
      <x:c r="Z125" s="595" t="inlineStr">
        <x:is>
          <x:t xml:space="preserve">prior-2026-09-17-v1</x:t>
        </x:is>
      </x:c>
      <x:c r="AA125" s="595" t="inlineStr">
        <x:is>
          <x:t xml:space="preserve">C</x:t>
        </x:is>
      </x:c>
      <x:c r="AB125" s="600" t="n">
        <x:v>0.4210526315789473</x:v>
      </x:c>
      <x:c r="AC125" s="600" t="n">
        <x:v>0</x:v>
      </x:c>
      <x:c r="AD125" s="600" t="n">
        <x:v>0.2236842105263158</x:v>
      </x:c>
      <x:c r="AE125" s="600" t="n">
        <x:v>0</x:v>
      </x:c>
      <x:c r="AF125" s="600" t="n">
        <x:v>0.3552631578947368</x:v>
      </x:c>
      <x:c r="AG125" s="600" t="n">
        <x:v>0.08684210526315789</x:v>
      </x:c>
      <x:c r="AH125" s="600" t="n">
        <x:v>-0.08313816377458433</x:v>
      </x:c>
      <x:c r="AI125" s="600" t="n">
        <x:v>-0.04405123348367773</x:v>
      </x:c>
      <x:c r="AJ125" s="600" t="n">
        <x:v>0.0867502858764187</x:v>
      </x:c>
      <x:c r="AK125" s="600" t="n">
        <x:v>0.2206995598332268</x:v>
      </x:c>
      <x:c r="AL125" s="600" t="n">
        <x:v>0.2558747025727796</x:v>
      </x:c>
      <x:c r="AM125" s="600" t="n">
        <x:v>0.7996</x:v>
      </x:c>
      <x:c r="AN125" s="595" t="inlineStr">
        <x:is>
          <x:t xml:space="preserve">EVALUATED</x:t>
        </x:is>
      </x:c>
      <x:c r="AO125" s="600" t="inlineStr">
        <x:is>
          <x:t xml:space="preserve">BUCKET_1.00、SIDE_IDENTITY_VALID、FLAT_LINE_GIVING_WATER_DROP</x:t>
        </x:is>
      </x:c>
      <x:c r="AP125" s="600" t="inlineStr">
        <x:is>
          <x:t xml:space="preserve">fb8756170d48f9941e30</x:t>
        </x:is>
      </x:c>
      <x:c r="AQ125" s="600" t="n">
        <x:v>1</x:v>
      </x:c>
      <x:c r="AR125" s="600" t="n">
        <x:v>1.05</x:v>
      </x:c>
      <x:c r="AS125" s="600" t="n">
        <x:v>-1</x:v>
      </x:c>
      <x:c r="AT125" s="600" t="n">
        <x:v>1</x:v>
      </x:c>
      <x:c r="AU125" s="600" t="n">
        <x:v>0.65</x:v>
      </x:c>
      <x:c r="AV125" s="600" t="n">
        <x:v>1.05</x:v>
      </x:c>
      <x:c r="AW125" s="595" t="n">
        <x:v>46282.60382107639</x:v>
      </x:c>
      <x:c r="AX125" s="595" t="inlineStr">
        <x:is>
          <x:t xml:space="preserve">https://simondongxiao.github.io/odds/v4/</x:t>
        </x:is>
      </x:c>
      <x:c r="AY125" s="595" t="inlineStr">
        <x:is>
          <x:t xml:space="preserve">V4 Shadow Only；real_money=false；P(EV&gt;0)不是比赛胜率</x:t>
        </x:is>
      </x:c>
    </x:row>
    <x:row r="126" ht="22" customHeight="1">
      <x:c r="A126" s="595" t="inlineStr">
        <x:is>
          <x:t xml:space="preserve">2026-09-17</x:t>
        </x:is>
      </x:c>
      <x:c r="B126" s="595" t="inlineStr">
        <x:is>
          <x:t xml:space="preserve">2026-09-18 00:30</x:t>
        </x:is>
      </x:c>
      <x:c r="C126" s="595" t="str">
        <x:v>其他系列</x:v>
      </x:c>
      <x:c r="D126" s="595" t="inlineStr">
        <x:is>
          <x:t xml:space="preserve">杯赛</x:t>
        </x:is>
      </x:c>
      <x:c r="E126" s="595" t="inlineStr">
        <x:is>
          <x:t xml:space="preserve">世女杯U20</x:t>
        </x:is>
      </x:c>
      <x:c r="F126" s="595" t="inlineStr">
        <x:is>
          <x:t xml:space="preserve">朝鲜女足U20(中) vs 日本女足U20</x:t>
        </x:is>
      </x:c>
      <x:c r="G126" s="596" t="n">
        <x:v>0.8</x:v>
      </x:c>
      <x:c r="H126" s="596" t="n">
        <x:v>0.75</x:v>
      </x:c>
      <x:c r="I126" s="596" t="n">
        <x:v>1.02</x:v>
      </x:c>
      <x:c r="J126" s="596" t="inlineStr">
        <x:is>
          <x:t xml:space="preserve">0.80/0.75/1.02</x:t>
        </x:is>
      </x:c>
      <x:c r="K126" s="595" t="inlineStr">
        <x:is>
          <x:t xml:space="preserve">V4-C｜EV +0.0213</x:t>
        </x:is>
      </x:c>
      <x:c r="L126" s="595" t="inlineStr">
        <x:is>
          <x:t xml:space="preserve">日本女足U20</x:t>
        </x:is>
      </x:c>
      <x:c r="M126" s="597" t="n">
        <x:v>0.5071770334928229</x:v>
      </x:c>
      <x:c r="N126" s="595" t="inlineStr">
        <x:is>
          <x:t xml:space="preserve">V4纸面入选-C</x:t>
        </x:is>
      </x:c>
      <x:c r="O126" s="595" t="inlineStr">
        <x:is>
          <x:t xml:space="preserve">2-0</x:t>
        </x:is>
      </x:c>
      <x:c r="P126" s="595" t="inlineStr">
        <x:is>
          <x:t xml:space="preserve">已结算</x:t>
        </x:is>
      </x:c>
      <x:c r="Q126" s="641" t="inlineStr">
        <x:is>
          <x:t xml:space="preserve">黑</x:t>
        </x:is>
      </x:c>
      <x:c r="R126" s="599" t="n">
        <x:v>1.02</x:v>
      </x:c>
      <x:c r="S126" s="599" t="n">
        <x:f>IF(OR(Q126="",Q126="待结算"),"",IF(Q126="红",R126,IF(Q126="半红",R126*0.5,IF(Q126="走",0,IF(Q126="半黑",-0.5,-1)))))</x:f>
        <x:v>-1</x:v>
      </x:c>
      <x:c r="T126" s="595" t="inlineStr">
        <x:is>
          <x:t xml:space="preserve">https://gh.soccerway.com/match/japan-bL3PO3Z2/north-korea-KU4LPqKd/?mid=6m5cI8af</x:t>
        </x:is>
      </x:c>
      <x:c r="U126" s="640" t="str">
        <x:f>IF(Q126="","",IF(Q126="待结算","待结算",IF(Q126="红","黑",IF(Q126="半红","半黑",IF(Q126="走","走",IF(Q126="半黑","半红","红"))))))</x:f>
        <x:v>红</x:v>
      </x:c>
      <x:c r="V126" s="599" t="n">
        <x:f>IF(OR(Q126="",Q126="待结算"),"",IF(L126=LEFT(F126,FIND(" vs ",F126)-1),I126,G126))</x:f>
        <x:v>0.8</x:v>
      </x:c>
      <x:c r="W126" s="599" t="n">
        <x:f>IF(OR(U126="",U126="待结算"),"",IF(U126="红",V126,IF(U126="半红",V126*0.5,IF(U126="走",0,IF(U126="半黑",-0.5,-1)))))</x:f>
        <x:v>0.8</x:v>
      </x:c>
      <x:c r="X126" s="595" t="inlineStr">
        <x:is>
          <x:t xml:space="preserve">3091063</x:t>
        </x:is>
      </x:c>
      <x:c r="Y126" s="595" t="inlineStr">
        <x:is>
          <x:t xml:space="preserve">v4-market-dirichlet-20260913</x:t>
        </x:is>
      </x:c>
      <x:c r="Z126" s="595" t="inlineStr">
        <x:is>
          <x:t xml:space="preserve">prior-2026-09-17-v1</x:t>
        </x:is>
      </x:c>
      <x:c r="AA126" s="595" t="inlineStr">
        <x:is>
          <x:t xml:space="preserve">C</x:t>
        </x:is>
      </x:c>
      <x:c r="AB126" s="600" t="n">
        <x:v>0.4416666666666667</x:v>
      </x:c>
      <x:c r="AC126" s="600" t="n">
        <x:v>0</x:v>
      </x:c>
      <x:c r="AD126" s="600" t="n">
        <x:v>0</x:v>
      </x:c>
      <x:c r="AE126" s="600" t="n">
        <x:v>0.2583333333333334</x:v>
      </x:c>
      <x:c r="AF126" s="600" t="n">
        <x:v>0.3</x:v>
      </x:c>
      <x:c r="AG126" s="600" t="n">
        <x:v>0.02133333333333337</x:v>
      </x:c>
      <x:c r="AH126" s="600" t="n">
        <x:v>-0.1136379991784107</x:v>
      </x:c>
      <x:c r="AI126" s="600" t="n">
        <x:v>-0.08638301344015686</x:v>
      </x:c>
      <x:c r="AJ126" s="600" t="n">
        <x:v>0.0184093426212571</x:v>
      </x:c>
      <x:c r="AK126" s="600" t="n">
        <x:v>0.124702648685537</x:v>
      </x:c>
      <x:c r="AL126" s="600" t="n">
        <x:v>0.1570463253253448</x:v>
      </x:c>
      <x:c r="AM126" s="600" t="n">
        <x:v>0.5864</x:v>
      </x:c>
      <x:c r="AN126" s="595" t="inlineStr">
        <x:is>
          <x:t xml:space="preserve">EVALUATED</x:t>
        </x:is>
      </x:c>
      <x:c r="AO126" s="600" t="inlineStr">
        <x:is>
          <x:t xml:space="preserve">BUCKET_0.75、SIDE_IDENTITY_VALID、FLAT_LINE_GIVING_WATER_DROP</x:t>
        </x:is>
      </x:c>
      <x:c r="AP126" s="600" t="inlineStr">
        <x:is>
          <x:t xml:space="preserve">26978c1e0c78c060c600</x:t>
        </x:is>
      </x:c>
      <x:c r="AQ126" s="600" t="n">
        <x:v>0.75</x:v>
      </x:c>
      <x:c r="AR126" s="600" t="n">
        <x:v>1.02</x:v>
      </x:c>
      <x:c r="AS126" s="600" t="n">
        <x:v>-0.75</x:v>
      </x:c>
      <x:c r="AT126" s="600" t="n">
        <x:v>0.75</x:v>
      </x:c>
      <x:c r="AU126" s="600" t="n">
        <x:v>0.8</x:v>
      </x:c>
      <x:c r="AV126" s="600" t="n">
        <x:v>1.02</x:v>
      </x:c>
      <x:c r="AW126" s="595" t="n">
        <x:v>46282.60382107639</x:v>
      </x:c>
      <x:c r="AX126" s="595" t="inlineStr">
        <x:is>
          <x:t xml:space="preserve">https://simondongxiao.github.io/odds/v4/</x:t>
        </x:is>
      </x:c>
      <x:c r="AY126" s="595" t="inlineStr">
        <x:is>
          <x:t xml:space="preserve">V4 Shadow Only；real_money=false；P(EV&gt;0)不是比赛胜率</x:t>
        </x:is>
      </x:c>
    </x:row>
    <x:row r="127" ht="22" customHeight="1">
      <x:c r="A127" s="595" t="inlineStr">
        <x:is>
          <x:t xml:space="preserve">2026-09-17</x:t>
        </x:is>
      </x:c>
      <x:c r="B127" s="595" t="inlineStr">
        <x:is>
          <x:t xml:space="preserve">2026-09-18 00:45</x:t>
        </x:is>
      </x:c>
      <x:c r="C127" s="595" t="str">
        <x:v>欧洲非五大系列</x:v>
      </x:c>
      <x:c r="D127" s="595" t="inlineStr">
        <x:is>
          <x:t xml:space="preserve">杯赛</x:t>
        </x:is>
      </x:c>
      <x:c r="E127" s="595" t="inlineStr">
        <x:is>
          <x:t xml:space="preserve">欧罗巴杯</x:t>
        </x:is>
      </x:c>
      <x:c r="F127" s="595" t="inlineStr">
        <x:is>
          <x:t xml:space="preserve">OFI克里特 vs 霍芬海姆</x:t>
        </x:is>
      </x:c>
      <x:c r="G127" s="596" t="n">
        <x:v>1.03</x:v>
      </x:c>
      <x:c r="H127" s="596" t="n">
        <x:v>-1.5</x:v>
      </x:c>
      <x:c r="I127" s="596" t="n">
        <x:v>0.86</x:v>
      </x:c>
      <x:c r="J127" s="596" t="inlineStr">
        <x:is>
          <x:t xml:space="preserve">1.03/-1.5/0.86</x:t>
        </x:is>
      </x:c>
      <x:c r="K127" s="595" t="inlineStr">
        <x:is>
          <x:t xml:space="preserve">V4-C｜EV +0.1044</x:t>
        </x:is>
      </x:c>
      <x:c r="L127" s="595" t="inlineStr">
        <x:is>
          <x:t xml:space="preserve">霍芬海姆</x:t>
        </x:is>
      </x:c>
      <x:c r="M127" s="597" t="n">
        <x:v>0.59375</x:v>
      </x:c>
      <x:c r="N127" s="595" t="inlineStr">
        <x:is>
          <x:t xml:space="preserve">V4纸面入选-C</x:t>
        </x:is>
      </x:c>
      <x:c r="O127" s="595" t="inlineStr">
        <x:is>
          <x:t xml:space="preserve">2-0</x:t>
        </x:is>
      </x:c>
      <x:c r="P127" s="595" t="inlineStr">
        <x:is>
          <x:t xml:space="preserve">已结算</x:t>
        </x:is>
      </x:c>
      <x:c r="Q127" s="641" t="inlineStr">
        <x:is>
          <x:t xml:space="preserve">黑</x:t>
        </x:is>
      </x:c>
      <x:c r="R127" s="599" t="n">
        <x:v>0.86</x:v>
      </x:c>
      <x:c r="S127" s="599" t="n">
        <x:f>IF(OR(Q127="",Q127="待结算"),"",IF(Q127="红",R127,IF(Q127="半红",R127*0.5,IF(Q127="走",0,IF(Q127="半黑",-0.5,-1)))))</x:f>
        <x:v>-1</x:v>
      </x:c>
      <x:c r="T127" s="595" t="inlineStr">
        <x:is>
          <x:t xml:space="preserve">https://www.bundesliga.com/en/bundesliga/news/ofi-crete-hoffenheim-live-europa-league-blog-preview-report-asllani-kramaric-39120</x:t>
        </x:is>
      </x:c>
      <x:c r="U127" s="640" t="str">
        <x:f>IF(Q127="","",IF(Q127="待结算","待结算",IF(Q127="红","黑",IF(Q127="半红","半黑",IF(Q127="走","走",IF(Q127="半黑","半红","红"))))))</x:f>
        <x:v>红</x:v>
      </x:c>
      <x:c r="V127" s="599" t="n">
        <x:f>IF(OR(Q127="",Q127="待结算"),"",IF(L127=LEFT(F127,FIND(" vs ",F127)-1),I127,G127))</x:f>
        <x:v>1.03</x:v>
      </x:c>
      <x:c r="W127" s="599" t="n">
        <x:f>IF(OR(U127="",U127="待结算"),"",IF(U127="红",V127,IF(U127="半红",V127*0.5,IF(U127="走",0,IF(U127="半黑",-0.5,-1)))))</x:f>
        <x:v>1.03</x:v>
      </x:c>
      <x:c r="X127" s="595" t="inlineStr">
        <x:is>
          <x:t xml:space="preserve">3073772</x:t>
        </x:is>
      </x:c>
      <x:c r="Y127" s="595" t="inlineStr">
        <x:is>
          <x:t xml:space="preserve">v4-market-dirichlet-20260913</x:t>
        </x:is>
      </x:c>
      <x:c r="Z127" s="595" t="inlineStr">
        <x:is>
          <x:t xml:space="preserve">prior-2026-09-17-v1</x:t>
        </x:is>
      </x:c>
      <x:c r="AA127" s="595" t="inlineStr">
        <x:is>
          <x:t xml:space="preserve">C</x:t>
        </x:is>
      </x:c>
      <x:c r="AB127" s="600" t="n">
        <x:v>0.59375</x:v>
      </x:c>
      <x:c r="AC127" s="600" t="n">
        <x:v>0</x:v>
      </x:c>
      <x:c r="AD127" s="600" t="n">
        <x:v>0</x:v>
      </x:c>
      <x:c r="AE127" s="600" t="n">
        <x:v>0</x:v>
      </x:c>
      <x:c r="AF127" s="600" t="n">
        <x:v>0.40625</x:v>
      </x:c>
      <x:c r="AG127" s="600" t="n">
        <x:v>0.104375</x:v>
      </x:c>
      <x:c r="AH127" s="600" t="n">
        <x:v>-0.1605124017854883</x:v>
      </x:c>
      <x:c r="AI127" s="600" t="n">
        <x:v>-0.1047944661269883</x:v>
      </x:c>
      <x:c r="AJ127" s="600" t="n">
        <x:v>0.1073274952114197</x:v>
      </x:c>
      <x:c r="AK127" s="600" t="n">
        <x:v>0.3088222563197058</x:v>
      </x:c>
      <x:c r="AL127" s="600" t="n">
        <x:v>0.3577838228952271</x:v>
      </x:c>
      <x:c r="AM127" s="600" t="n">
        <x:v>0.7446</x:v>
      </x:c>
      <x:c r="AN127" s="595" t="inlineStr">
        <x:is>
          <x:t xml:space="preserve">EVALUATED</x:t>
        </x:is>
      </x:c>
      <x:c r="AO127" s="600" t="inlineStr">
        <x:is>
          <x:t xml:space="preserve">BUCKET_1.50、SIDE_IDENTITY_VALID、MARKET_MOVE_DEEPER_WITH_GIVING_WATER_RISE</x:t>
        </x:is>
      </x:c>
      <x:c r="AP127" s="600" t="inlineStr">
        <x:is>
          <x:t xml:space="preserve">b42295bbad33d39e3446</x:t>
        </x:is>
      </x:c>
      <x:c r="AQ127" s="600" t="n">
        <x:v>-1.5</x:v>
      </x:c>
      <x:c r="AR127" s="600" t="n">
        <x:v>0.86</x:v>
      </x:c>
      <x:c r="AS127" s="600" t="n">
        <x:v>1.5</x:v>
      </x:c>
      <x:c r="AT127" s="600" t="n">
        <x:v>-1.5</x:v>
      </x:c>
      <x:c r="AU127" s="600" t="n">
        <x:v>1.03</x:v>
      </x:c>
      <x:c r="AV127" s="600" t="n">
        <x:v>0.86</x:v>
      </x:c>
      <x:c r="AW127" s="595" t="n">
        <x:v>46282.60382107639</x:v>
      </x:c>
      <x:c r="AX127" s="595" t="inlineStr">
        <x:is>
          <x:t xml:space="preserve">https://simondongxiao.github.io/odds/v4/</x:t>
        </x:is>
      </x:c>
      <x:c r="AY127" s="595" t="inlineStr">
        <x:is>
          <x:t xml:space="preserve">V4 Shadow Only；real_money=false；P(EV&gt;0)不是比赛胜率</x:t>
        </x:is>
      </x:c>
    </x:row>
    <x:row r="128" ht="22" customHeight="1">
      <x:c r="A128" s="595" t="inlineStr">
        <x:is>
          <x:t xml:space="preserve">2026-09-17</x:t>
        </x:is>
      </x:c>
      <x:c r="B128" s="595" t="inlineStr">
        <x:is>
          <x:t xml:space="preserve">2026-09-18 00:45</x:t>
        </x:is>
      </x:c>
      <x:c r="C128" s="595" t="str">
        <x:v>欧洲非五大系列</x:v>
      </x:c>
      <x:c r="D128" s="595" t="inlineStr">
        <x:is>
          <x:t xml:space="preserve">杯赛</x:t>
        </x:is>
      </x:c>
      <x:c r="E128" s="595" t="inlineStr">
        <x:is>
          <x:t xml:space="preserve">欧罗巴杯</x:t>
        </x:is>
      </x:c>
      <x:c r="F128" s="595" t="inlineStr">
        <x:is>
          <x:t xml:space="preserve">索非亚列夫斯基 vs 萨尔茨堡</x:t>
        </x:is>
      </x:c>
      <x:c r="G128" s="596" t="n">
        <x:v>1.07</x:v>
      </x:c>
      <x:c r="H128" s="596" t="n">
        <x:v>-0.25</x:v>
      </x:c>
      <x:c r="I128" s="596" t="n">
        <x:v>0.82</x:v>
      </x:c>
      <x:c r="J128" s="596" t="inlineStr">
        <x:is>
          <x:t xml:space="preserve">1.07/-0.25/0.82</x:t>
        </x:is>
      </x:c>
      <x:c r="K128" s="595" t="inlineStr">
        <x:is>
          <x:t xml:space="preserve">V4-C｜EV +0.0315</x:t>
        </x:is>
      </x:c>
      <x:c r="L128" s="595" t="inlineStr">
        <x:is>
          <x:t xml:space="preserve">索非亚列夫斯基</x:t>
        </x:is>
      </x:c>
      <x:c r="M128" s="597" t="n">
        <x:v>0.5010224948875256</x:v>
      </x:c>
      <x:c r="N128" s="595" t="inlineStr">
        <x:is>
          <x:t xml:space="preserve">V4纸面入选-C</x:t>
        </x:is>
      </x:c>
      <x:c r="O128" s="595" t="inlineStr">
        <x:is>
          <x:t xml:space="preserve">0-1</x:t>
        </x:is>
      </x:c>
      <x:c r="P128" s="595" t="inlineStr">
        <x:is>
          <x:t xml:space="preserve">已结算</x:t>
        </x:is>
      </x:c>
      <x:c r="Q128" s="641" t="inlineStr">
        <x:is>
          <x:t xml:space="preserve">黑</x:t>
        </x:is>
      </x:c>
      <x:c r="R128" s="599" t="n">
        <x:v>1.07</x:v>
      </x:c>
      <x:c r="S128" s="599" t="n">
        <x:f>IF(OR(Q128="",Q128="待结算"),"",IF(Q128="红",R128,IF(Q128="半红",R128*0.5,IF(Q128="走",0,IF(Q128="半黑",-0.5,-1)))))</x:f>
        <x:v>-1</x:v>
      </x:c>
      <x:c r="T128" s="595" t="inlineStr">
        <x:is>
          <x:t xml:space="preserve">https://www.sofascore.com/news/rb-salzburg-beat-levski-sofia-1-0-in-europa-league</x:t>
        </x:is>
      </x:c>
      <x:c r="U128" s="640" t="str">
        <x:f>IF(Q128="","",IF(Q128="待结算","待结算",IF(Q128="红","黑",IF(Q128="半红","半黑",IF(Q128="走","走",IF(Q128="半黑","半红","红"))))))</x:f>
        <x:v>红</x:v>
      </x:c>
      <x:c r="V128" s="599" t="n">
        <x:f>IF(OR(Q128="",Q128="待结算"),"",IF(L128=LEFT(F128,FIND(" vs ",F128)-1),I128,G128))</x:f>
        <x:v>0.82</x:v>
      </x:c>
      <x:c r="W128" s="599" t="n">
        <x:f>IF(OR(U128="",U128="待结算"),"",IF(U128="红",V128,IF(U128="半红",V128*0.5,IF(U128="走",0,IF(U128="半黑",-0.5,-1)))))</x:f>
        <x:v>0.82</x:v>
      </x:c>
      <x:c r="X128" s="595" t="inlineStr">
        <x:is>
          <x:t xml:space="preserve">3075284</x:t>
        </x:is>
      </x:c>
      <x:c r="Y128" s="595" t="inlineStr">
        <x:is>
          <x:t xml:space="preserve">v4-market-dirichlet-20260913</x:t>
        </x:is>
      </x:c>
      <x:c r="Z128" s="595" t="inlineStr">
        <x:is>
          <x:t xml:space="preserve">prior-2026-09-17-v1</x:t>
        </x:is>
      </x:c>
      <x:c r="AA128" s="595" t="inlineStr">
        <x:is>
          <x:t xml:space="preserve">C</x:t>
        </x:is>
      </x:c>
      <x:c r="AB128" s="600" t="n">
        <x:v>0.2743055555555556</x:v>
      </x:c>
      <x:c r="AC128" s="600" t="n">
        <x:v>0.3020833333333333</x:v>
      </x:c>
      <x:c r="AD128" s="600" t="n">
        <x:v>0</x:v>
      </x:c>
      <x:c r="AE128" s="600" t="n">
        <x:v>0</x:v>
      </x:c>
      <x:c r="AF128" s="600" t="n">
        <x:v>0.4236111111111111</x:v>
      </x:c>
      <x:c r="AG128" s="600" t="n">
        <x:v>0.03151041666666671</x:v>
      </x:c>
      <x:c r="AH128" s="600" t="n">
        <x:v>-0.05745122574221695</x:v>
      </x:c>
      <x:c r="AI128" s="600" t="n">
        <x:v>-0.03630294308859755</x:v>
      </x:c>
      <x:c r="AJ128" s="600" t="n">
        <x:v>0.03208296781879433</x:v>
      </x:c>
      <x:c r="AK128" s="600" t="n">
        <x:v>0.1010995993454396</x:v>
      </x:c>
      <x:c r="AL128" s="600" t="n">
        <x:v>0.1202415693895328</x:v>
      </x:c>
      <x:c r="AM128" s="600" t="n">
        <x:v>0.7334000000000001</x:v>
      </x:c>
      <x:c r="AN128" s="595" t="inlineStr">
        <x:is>
          <x:t xml:space="preserve">EVALUATED</x:t>
        </x:is>
      </x:c>
      <x:c r="AO128" s="600" t="inlineStr">
        <x:is>
          <x:t xml:space="preserve">BUCKET_0.25、SIDE_IDENTITY_VALID、FLAT_LINE_GIVING_WATER_DROP</x:t>
        </x:is>
      </x:c>
      <x:c r="AP128" s="600" t="inlineStr">
        <x:is>
          <x:t xml:space="preserve">e8975c933fdb478eebbf</x:t>
        </x:is>
      </x:c>
      <x:c r="AQ128" s="600" t="n">
        <x:v>0.25</x:v>
      </x:c>
      <x:c r="AR128" s="600" t="n">
        <x:v>1.07</x:v>
      </x:c>
      <x:c r="AS128" s="600" t="n">
        <x:v>0.25</x:v>
      </x:c>
      <x:c r="AT128" s="600" t="n">
        <x:v>-0.25</x:v>
      </x:c>
      <x:c r="AU128" s="600" t="n">
        <x:v>1.07</x:v>
      </x:c>
      <x:c r="AV128" s="600" t="n">
        <x:v>0.82</x:v>
      </x:c>
      <x:c r="AW128" s="595" t="n">
        <x:v>46282.60382107639</x:v>
      </x:c>
      <x:c r="AX128" s="595" t="inlineStr">
        <x:is>
          <x:t xml:space="preserve">https://simondongxiao.github.io/odds/v4/</x:t>
        </x:is>
      </x:c>
      <x:c r="AY128" s="595" t="inlineStr">
        <x:is>
          <x:t xml:space="preserve">V4 Shadow Only；real_money=false；P(EV&gt;0)不是比赛胜率</x:t>
        </x:is>
      </x:c>
    </x:row>
    <x:row r="129" ht="22" customHeight="1">
      <x:c r="A129" s="595" t="inlineStr">
        <x:is>
          <x:t xml:space="preserve">2026-09-17</x:t>
        </x:is>
      </x:c>
      <x:c r="B129" s="595" t="inlineStr">
        <x:is>
          <x:t xml:space="preserve">2026-09-18 01:00</x:t>
        </x:is>
      </x:c>
      <x:c r="C129" s="595" t="str">
        <x:v>其他系列</x:v>
      </x:c>
      <x:c r="D129" s="595" t="inlineStr">
        <x:is>
          <x:t xml:space="preserve">联赛</x:t>
        </x:is>
      </x:c>
      <x:c r="E129" s="595" t="inlineStr">
        <x:is>
          <x:t xml:space="preserve">阿尔甲</x:t>
        </x:is>
      </x:c>
      <x:c r="F129" s="595" t="inlineStr">
        <x:is>
          <x:t xml:space="preserve">比斯克拉 vs 贝鲁扎达</x:t>
        </x:is>
      </x:c>
      <x:c r="G129" s="596" t="n">
        <x:v>1.04</x:v>
      </x:c>
      <x:c r="H129" s="596" t="n">
        <x:v>-0.5</x:v>
      </x:c>
      <x:c r="I129" s="596" t="n">
        <x:v>0.78</x:v>
      </x:c>
      <x:c r="J129" s="596" t="inlineStr">
        <x:is>
          <x:t xml:space="preserve">1.04/-0.5/0.78</x:t>
        </x:is>
      </x:c>
      <x:c r="K129" s="595" t="inlineStr">
        <x:is>
          <x:t xml:space="preserve">V4-C｜EV +0.0258</x:t>
        </x:is>
      </x:c>
      <x:c r="L129" s="595" t="inlineStr">
        <x:is>
          <x:t xml:space="preserve">比斯克拉</x:t>
        </x:is>
      </x:c>
      <x:c r="M129" s="597" t="n">
        <x:v>0.5028571428571429</x:v>
      </x:c>
      <x:c r="N129" s="595" t="inlineStr">
        <x:is>
          <x:t xml:space="preserve">V4纸面入选-C</x:t>
        </x:is>
      </x:c>
      <x:c r="O129" s="595" t="inlineStr">
        <x:is>
          <x:t xml:space="preserve">0-1</x:t>
        </x:is>
      </x:c>
      <x:c r="P129" s="595" t="inlineStr">
        <x:is>
          <x:t xml:space="preserve">已结算</x:t>
        </x:is>
      </x:c>
      <x:c r="Q129" s="641" t="inlineStr">
        <x:is>
          <x:t xml:space="preserve">黑</x:t>
        </x:is>
      </x:c>
      <x:c r="R129" s="599" t="n">
        <x:v>1.04</x:v>
      </x:c>
      <x:c r="S129" s="599" t="n">
        <x:f>IF(OR(Q129="",Q129="待结算"),"",IF(Q129="红",R129,IF(Q129="半红",R129*0.5,IF(Q129="走",0,IF(Q129="半黑",-0.5,-1)))))</x:f>
        <x:v>-1</x:v>
      </x:c>
      <x:c r="T129" s="595" t="inlineStr">
        <x:is>
          <x:t xml:space="preserve">https://competition.dz/actualites/ligue-1/ligue-1-3e-journee-le-crb-s-impose-a-biskra-et-prend-provisoirement-les-commandes-du-classement.html</x:t>
        </x:is>
      </x:c>
      <x:c r="U129" s="640" t="str">
        <x:f>IF(Q129="","",IF(Q129="待结算","待结算",IF(Q129="红","黑",IF(Q129="半红","半黑",IF(Q129="走","走",IF(Q129="半黑","半红","红"))))))</x:f>
        <x:v>红</x:v>
      </x:c>
      <x:c r="V129" s="599" t="n">
        <x:f>IF(OR(Q129="",Q129="待结算"),"",IF(L129=LEFT(F129,FIND(" vs ",F129)-1),I129,G129))</x:f>
        <x:v>0.78</x:v>
      </x:c>
      <x:c r="W129" s="599" t="n">
        <x:f>IF(OR(U129="",U129="待结算"),"",IF(U129="红",V129,IF(U129="半红",V129*0.5,IF(U129="走",0,IF(U129="半黑",-0.5,-1)))))</x:f>
        <x:v>0.78</x:v>
      </x:c>
      <x:c r="X129" s="595" t="inlineStr">
        <x:is>
          <x:t xml:space="preserve">3056751</x:t>
        </x:is>
      </x:c>
      <x:c r="Y129" s="595" t="inlineStr">
        <x:is>
          <x:t xml:space="preserve">v4-market-dirichlet-20260913</x:t>
        </x:is>
      </x:c>
      <x:c r="Z129" s="595" t="inlineStr">
        <x:is>
          <x:t xml:space="preserve">prior-2026-09-17-v1</x:t>
        </x:is>
      </x:c>
      <x:c r="AA129" s="595" t="inlineStr">
        <x:is>
          <x:t xml:space="preserve">C</x:t>
        </x:is>
      </x:c>
      <x:c r="AB129" s="600" t="n">
        <x:v>0.5028571428571429</x:v>
      </x:c>
      <x:c r="AC129" s="600" t="n">
        <x:v>0</x:v>
      </x:c>
      <x:c r="AD129" s="600" t="n">
        <x:v>0</x:v>
      </x:c>
      <x:c r="AE129" s="600" t="n">
        <x:v>0</x:v>
      </x:c>
      <x:c r="AF129" s="600" t="n">
        <x:v>0.4971428571428572</x:v>
      </x:c>
      <x:c r="AG129" s="600" t="n">
        <x:v>0.02582857142857148</x:v>
      </x:c>
      <x:c r="AH129" s="600" t="n">
        <x:v>-0.1029185819693786</x:v>
      </x:c>
      <x:c r="AI129" s="600" t="n">
        <x:v>-0.07716821525964179</x:v>
      </x:c>
      <x:c r="AJ129" s="600" t="n">
        <x:v>0.02471814680596324</x:v>
      </x:c>
      <x:c r="AK129" s="600" t="n">
        <x:v>0.1278910673410697</x:v>
      </x:c>
      <x:c r="AL129" s="600" t="n">
        <x:v>0.1554409635442177</x:v>
      </x:c>
      <x:c r="AM129" s="600" t="n">
        <x:v>0.6266</x:v>
      </x:c>
      <x:c r="AN129" s="595" t="inlineStr">
        <x:is>
          <x:t xml:space="preserve">EVALUATED</x:t>
        </x:is>
      </x:c>
      <x:c r="AO129" s="600" t="inlineStr">
        <x:is>
          <x:t xml:space="preserve">BUCKET_0.50、SIDE_IDENTITY_VALID、FLAT_LINE_GIVING_WATER_DROP</x:t>
        </x:is>
      </x:c>
      <x:c r="AP129" s="600" t="inlineStr">
        <x:is>
          <x:t xml:space="preserve">e740872b4f5c4fd4fda3</x:t>
        </x:is>
      </x:c>
      <x:c r="AQ129" s="600" t="n">
        <x:v>0.5</x:v>
      </x:c>
      <x:c r="AR129" s="600" t="n">
        <x:v>1.04</x:v>
      </x:c>
      <x:c r="AS129" s="600" t="n">
        <x:v>0.5</x:v>
      </x:c>
      <x:c r="AT129" s="600" t="n">
        <x:v>-0.5</x:v>
      </x:c>
      <x:c r="AU129" s="600" t="n">
        <x:v>1.04</x:v>
      </x:c>
      <x:c r="AV129" s="600" t="n">
        <x:v>0.78</x:v>
      </x:c>
      <x:c r="AW129" s="595" t="n">
        <x:v>46282.60382107639</x:v>
      </x:c>
      <x:c r="AX129" s="595" t="inlineStr">
        <x:is>
          <x:t xml:space="preserve">https://simondongxiao.github.io/odds/v4/</x:t>
        </x:is>
      </x:c>
      <x:c r="AY129" s="595" t="inlineStr">
        <x:is>
          <x:t xml:space="preserve">V4 Shadow Only；real_money=false；P(EV&gt;0)不是比赛胜率</x:t>
        </x:is>
      </x:c>
    </x:row>
    <x:row r="130" ht="22" customHeight="1">
      <x:c r="A130" s="595" t="inlineStr">
        <x:is>
          <x:t xml:space="preserve">2026-09-17</x:t>
        </x:is>
      </x:c>
      <x:c r="B130" s="595" t="inlineStr">
        <x:is>
          <x:t xml:space="preserve">2026-09-18 02:30</x:t>
        </x:is>
      </x:c>
      <x:c r="C130" s="595" t="str">
        <x:v>五大联赛杯赛</x:v>
      </x:c>
      <x:c r="D130" s="595" t="inlineStr">
        <x:is>
          <x:t xml:space="preserve">杯赛</x:t>
        </x:is>
      </x:c>
      <x:c r="E130" s="595" t="inlineStr">
        <x:is>
          <x:t xml:space="preserve">英联杯</x:t>
        </x:is>
      </x:c>
      <x:c r="F130" s="595" t="inlineStr">
        <x:is>
          <x:t xml:space="preserve">曼彻斯特城 vs 诺维奇</x:t>
        </x:is>
      </x:c>
      <x:c r="G130" s="596" t="n">
        <x:v>1.02</x:v>
      </x:c>
      <x:c r="H130" s="596" t="n">
        <x:v>2.75</x:v>
      </x:c>
      <x:c r="I130" s="596" t="n">
        <x:v>0.86</x:v>
      </x:c>
      <x:c r="J130" s="596" t="inlineStr">
        <x:is>
          <x:t xml:space="preserve">1.02/2.75/0.86</x:t>
        </x:is>
      </x:c>
      <x:c r="K130" s="595" t="inlineStr">
        <x:is>
          <x:t xml:space="preserve">V4-B｜EV +0.4120</x:t>
        </x:is>
      </x:c>
      <x:c r="L130" s="595" t="inlineStr">
        <x:is>
          <x:t xml:space="preserve">曼彻斯特城</x:t>
        </x:is>
      </x:c>
      <x:c r="M130" s="597" t="n">
        <x:v>0.7500000000000001</x:v>
      </x:c>
      <x:c r="N130" s="595" t="inlineStr">
        <x:is>
          <x:t xml:space="preserve">V4纸面入选-B</x:t>
        </x:is>
      </x:c>
      <x:c r="O130" s="595" t="inlineStr">
        <x:is>
          <x:t xml:space="preserve">5-0</x:t>
        </x:is>
      </x:c>
      <x:c r="P130" s="595" t="inlineStr">
        <x:is>
          <x:t xml:space="preserve">已结算</x:t>
        </x:is>
      </x:c>
      <x:c r="Q130" s="640" t="inlineStr">
        <x:is>
          <x:t xml:space="preserve">红</x:t>
        </x:is>
      </x:c>
      <x:c r="R130" s="599" t="n">
        <x:v>1.02</x:v>
      </x:c>
      <x:c r="S130" s="599" t="n">
        <x:f>IF(OR(Q130="",Q130="待结算"),"",IF(Q130="红",R130,IF(Q130="半红",R130*0.5,IF(Q130="走",0,IF(Q130="半黑",-0.5,-1)))))</x:f>
        <x:v>1.02</x:v>
      </x:c>
      <x:c r="T130" s="595" t="inlineStr">
        <x:is>
          <x:t xml:space="preserve">https://www.skysports.com/football/manchester-city-vs-norwich-city/report/577580</x:t>
        </x:is>
      </x:c>
      <x:c r="U130" s="641" t="str">
        <x:f>IF(Q130="","",IF(Q130="待结算","待结算",IF(Q130="红","黑",IF(Q130="半红","半黑",IF(Q130="走","走",IF(Q130="半黑","半红","红"))))))</x:f>
        <x:v>黑</x:v>
      </x:c>
      <x:c r="V130" s="599" t="n">
        <x:f>IF(OR(Q130="",Q130="待结算"),"",IF(L130=LEFT(F130,FIND(" vs ",F130)-1),I130,G130))</x:f>
        <x:v>0.86</x:v>
      </x:c>
      <x:c r="W130" s="599" t="n">
        <x:f>IF(OR(U130="",U130="待结算"),"",IF(U130="红",V130,IF(U130="半红",V130*0.5,IF(U130="走",0,IF(U130="半黑",-0.5,-1)))))</x:f>
        <x:v>-1</x:v>
      </x:c>
      <x:c r="X130" s="595" t="inlineStr">
        <x:is>
          <x:t xml:space="preserve">3072972</x:t>
        </x:is>
      </x:c>
      <x:c r="Y130" s="595" t="inlineStr">
        <x:is>
          <x:t xml:space="preserve">v4-market-dirichlet-20260913</x:t>
        </x:is>
      </x:c>
      <x:c r="Z130" s="595" t="inlineStr">
        <x:is>
          <x:t xml:space="preserve">prior-2026-09-17-v1</x:t>
        </x:is>
      </x:c>
      <x:c r="AA130" s="595" t="inlineStr">
        <x:is>
          <x:t xml:space="preserve">B</x:t>
        </x:is>
      </x:c>
      <x:c r="AB130" s="600" t="n">
        <x:v>0.4</x:v>
      </x:c>
      <x:c r="AC130" s="600" t="n">
        <x:v>0.4</x:v>
      </x:c>
      <x:c r="AD130" s="600" t="n">
        <x:v>0</x:v>
      </x:c>
      <x:c r="AE130" s="600" t="n">
        <x:v>0</x:v>
      </x:c>
      <x:c r="AF130" s="600" t="n">
        <x:v>0.2</x:v>
      </x:c>
      <x:c r="AG130" s="600" t="n">
        <x:v>0.4120000000000001</x:v>
      </x:c>
      <x:c r="AH130" s="600" t="n">
        <x:v>-0.1702111836181631</x:v>
      </x:c>
      <x:c r="AI130" s="600" t="n">
        <x:v>-0.007723865827436116</x:v>
      </x:c>
      <x:c r="AJ130" s="600" t="n">
        <x:v>0.4692437799145093</x:v>
      </x:c>
      <x:c r="AK130" s="600" t="n">
        <x:v>0.7587724031024521</x:v>
      </x:c>
      <x:c r="AL130" s="600" t="n">
        <x:v>0.8151390658468067</x:v>
      </x:c>
      <x:c r="AM130" s="600" t="n">
        <x:v>0.8968</x:v>
      </x:c>
      <x:c r="AN130" s="595" t="inlineStr">
        <x:is>
          <x:t xml:space="preserve">EVALUATED</x:t>
        </x:is>
      </x:c>
      <x:c r="AO130" s="600" t="inlineStr">
        <x:is>
          <x:t xml:space="preserve">BUCKET_2.75、SIDE_IDENTITY_VALID、MARKET_MOVE_DEEPER_WITH_GIVING_WATER_RISE</x:t>
        </x:is>
      </x:c>
      <x:c r="AP130" s="600" t="inlineStr">
        <x:is>
          <x:t xml:space="preserve">85209f75bd23a1876fd0</x:t>
        </x:is>
      </x:c>
      <x:c r="AQ130" s="600" t="n">
        <x:v>-2.75</x:v>
      </x:c>
      <x:c r="AR130" s="600" t="n">
        <x:v>1.02</x:v>
      </x:c>
      <x:c r="AS130" s="600" t="n">
        <x:v>-2.75</x:v>
      </x:c>
      <x:c r="AT130" s="600" t="n">
        <x:v>2.75</x:v>
      </x:c>
      <x:c r="AU130" s="600" t="n">
        <x:v>1.02</x:v>
      </x:c>
      <x:c r="AV130" s="600" t="n">
        <x:v>0.86</x:v>
      </x:c>
      <x:c r="AW130" s="595" t="n">
        <x:v>46282.60382107639</x:v>
      </x:c>
      <x:c r="AX130" s="595" t="inlineStr">
        <x:is>
          <x:t xml:space="preserve">https://simondongxiao.github.io/odds/v4/</x:t>
        </x:is>
      </x:c>
      <x:c r="AY130" s="595" t="inlineStr">
        <x:is>
          <x:t xml:space="preserve">V4 Shadow Only；real_money=false；P(EV&gt;0)不是比赛胜率</x:t>
        </x:is>
      </x:c>
    </x:row>
    <x:row r="131" ht="22" customHeight="1">
      <x:c r="A131" s="595" t="inlineStr">
        <x:is>
          <x:t xml:space="preserve">2026-09-17</x:t>
        </x:is>
      </x:c>
      <x:c r="B131" s="595" t="inlineStr">
        <x:is>
          <x:t xml:space="preserve">2026-09-18 03:00</x:t>
        </x:is>
      </x:c>
      <x:c r="C131" s="595" t="str">
        <x:v>欧洲非五大系列</x:v>
      </x:c>
      <x:c r="D131" s="595" t="inlineStr">
        <x:is>
          <x:t xml:space="preserve">杯赛</x:t>
        </x:is>
      </x:c>
      <x:c r="E131" s="595" t="inlineStr">
        <x:is>
          <x:t xml:space="preserve">欧罗巴杯</x:t>
        </x:is>
      </x:c>
      <x:c r="F131" s="595" t="inlineStr">
        <x:is>
          <x:t xml:space="preserve">尤文图斯 vs 奈梅亨</x:t>
        </x:is>
      </x:c>
      <x:c r="G131" s="596" t="n">
        <x:v>1.04</x:v>
      </x:c>
      <x:c r="H131" s="596" t="n">
        <x:v>2.25</x:v>
      </x:c>
      <x:c r="I131" s="596" t="n">
        <x:v>0.85</x:v>
      </x:c>
      <x:c r="J131" s="596" t="inlineStr">
        <x:is>
          <x:t xml:space="preserve">1.04/2.25/0.85</x:t>
        </x:is>
      </x:c>
      <x:c r="K131" s="595" t="inlineStr">
        <x:is>
          <x:t xml:space="preserve">V4-C｜EV +0.1311</x:t>
        </x:is>
      </x:c>
      <x:c r="L131" s="595" t="inlineStr">
        <x:is>
          <x:t xml:space="preserve">尤文图斯</x:t>
        </x:is>
      </x:c>
      <x:c r="M131" s="597" t="n">
        <x:v>0.5625</x:v>
      </x:c>
      <x:c r="N131" s="595" t="inlineStr">
        <x:is>
          <x:t xml:space="preserve">V4纸面入选-C</x:t>
        </x:is>
      </x:c>
      <x:c r="O131" s="595" t="inlineStr">
        <x:is>
          <x:t xml:space="preserve">5-0</x:t>
        </x:is>
      </x:c>
      <x:c r="P131" s="595" t="inlineStr">
        <x:is>
          <x:t xml:space="preserve">已结算</x:t>
        </x:is>
      </x:c>
      <x:c r="Q131" s="640" t="inlineStr">
        <x:is>
          <x:t xml:space="preserve">红</x:t>
        </x:is>
      </x:c>
      <x:c r="R131" s="599" t="n">
        <x:v>1.04</x:v>
      </x:c>
      <x:c r="S131" s="599" t="n">
        <x:f>IF(OR(Q131="",Q131="待结算"),"",IF(Q131="红",R131,IF(Q131="半红",R131*0.5,IF(Q131="走",0,IF(Q131="半黑",-0.5,-1)))))</x:f>
        <x:v>1.04</x:v>
      </x:c>
      <x:c r="T131" s="595" t="inlineStr">
        <x:is>
          <x:t xml:space="preserve">https://www.juventus.com/en/news/articles/bianconeri-put-five-past-nec-in-the-europa-league</x:t>
        </x:is>
      </x:c>
      <x:c r="U131" s="641" t="str">
        <x:f>IF(Q131="","",IF(Q131="待结算","待结算",IF(Q131="红","黑",IF(Q131="半红","半黑",IF(Q131="走","走",IF(Q131="半黑","半红","红"))))))</x:f>
        <x:v>黑</x:v>
      </x:c>
      <x:c r="V131" s="599" t="n">
        <x:f>IF(OR(Q131="",Q131="待结算"),"",IF(L131=LEFT(F131,FIND(" vs ",F131)-1),I131,G131))</x:f>
        <x:v>0.85</x:v>
      </x:c>
      <x:c r="W131" s="599" t="n">
        <x:f>IF(OR(U131="",U131="待结算"),"",IF(U131="红",V131,IF(U131="半红",V131*0.5,IF(U131="走",0,IF(U131="半黑",-0.5,-1)))))</x:f>
        <x:v>-1</x:v>
      </x:c>
      <x:c r="X131" s="595" t="inlineStr">
        <x:is>
          <x:t xml:space="preserve">3073732</x:t>
        </x:is>
      </x:c>
      <x:c r="Y131" s="595" t="inlineStr">
        <x:is>
          <x:t xml:space="preserve">v4-market-dirichlet-20260913</x:t>
        </x:is>
      </x:c>
      <x:c r="Z131" s="595" t="inlineStr">
        <x:is>
          <x:t xml:space="preserve">prior-2026-09-17-v1</x:t>
        </x:is>
      </x:c>
      <x:c r="AA131" s="595" t="inlineStr">
        <x:is>
          <x:t xml:space="preserve">C</x:t>
        </x:is>
      </x:c>
      <x:c r="AB131" s="600" t="n">
        <x:v>0.5</x:v>
      </x:c>
      <x:c r="AC131" s="600" t="n">
        <x:v>0</x:v>
      </x:c>
      <x:c r="AD131" s="600" t="n">
        <x:v>0</x:v>
      </x:c>
      <x:c r="AE131" s="600" t="n">
        <x:v>0.2222222222222222</x:v>
      </x:c>
      <x:c r="AF131" s="600" t="n">
        <x:v>0.2777777777777778</x:v>
      </x:c>
      <x:c r="AG131" s="600" t="n">
        <x:v>0.1311111111111111</x:v>
      </x:c>
      <x:c r="AH131" s="600" t="n">
        <x:v>-0.2112255417706864</x:v>
      </x:c>
      <x:c r="AI131" s="600" t="n">
        <x:v>-0.1389909888885319</x:v>
      </x:c>
      <x:c r="AJ131" s="600" t="n">
        <x:v>0.1327942626128151</x:v>
      </x:c>
      <x:c r="AK131" s="600" t="n">
        <x:v>0.4095592776235294</x:v>
      </x:c>
      <x:c r="AL131" s="600" t="n">
        <x:v>0.478362200678154</x:v>
      </x:c>
      <x:c r="AM131" s="600" t="n">
        <x:v>0.7366</x:v>
      </x:c>
      <x:c r="AN131" s="595" t="inlineStr">
        <x:is>
          <x:t xml:space="preserve">EVALUATED</x:t>
        </x:is>
      </x:c>
      <x:c r="AO131" s="600" t="inlineStr">
        <x:is>
          <x:t xml:space="preserve">BUCKET_2.25、SIDE_IDENTITY_VALID、MARKET_MOVE_DEEPER_WITH_GIVING_WATER_RISE</x:t>
        </x:is>
      </x:c>
      <x:c r="AP131" s="600" t="inlineStr">
        <x:is>
          <x:t xml:space="preserve">cc6af86942aacb4b64b5</x:t>
        </x:is>
      </x:c>
      <x:c r="AQ131" s="600" t="n">
        <x:v>-2.25</x:v>
      </x:c>
      <x:c r="AR131" s="600" t="n">
        <x:v>1.04</x:v>
      </x:c>
      <x:c r="AS131" s="600" t="n">
        <x:v>-2.25</x:v>
      </x:c>
      <x:c r="AT131" s="600" t="n">
        <x:v>2.25</x:v>
      </x:c>
      <x:c r="AU131" s="600" t="n">
        <x:v>1.04</x:v>
      </x:c>
      <x:c r="AV131" s="600" t="n">
        <x:v>0.85</x:v>
      </x:c>
      <x:c r="AW131" s="595" t="n">
        <x:v>46282.60382107639</x:v>
      </x:c>
      <x:c r="AX131" s="595" t="inlineStr">
        <x:is>
          <x:t xml:space="preserve">https://simondongxiao.github.io/odds/v4/</x:t>
        </x:is>
      </x:c>
      <x:c r="AY131" s="595" t="inlineStr">
        <x:is>
          <x:t xml:space="preserve">V4 Shadow Only；real_money=false；P(EV&gt;0)不是比赛胜率</x:t>
        </x:is>
      </x:c>
    </x:row>
    <x:row r="132" ht="22" customHeight="1">
      <x:c r="A132" s="595" t="inlineStr">
        <x:is>
          <x:t xml:space="preserve">2026-09-17</x:t>
        </x:is>
      </x:c>
      <x:c r="B132" s="595" t="inlineStr">
        <x:is>
          <x:t xml:space="preserve">2026-09-18 03:00</x:t>
        </x:is>
      </x:c>
      <x:c r="C132" s="595" t="str">
        <x:v>欧洲非五大系列</x:v>
      </x:c>
      <x:c r="D132" s="595" t="inlineStr">
        <x:is>
          <x:t xml:space="preserve">杯赛</x:t>
        </x:is>
      </x:c>
      <x:c r="E132" s="595" t="inlineStr">
        <x:is>
          <x:t xml:space="preserve">欧罗巴杯</x:t>
        </x:is>
      </x:c>
      <x:c r="F132" s="595" t="inlineStr">
        <x:is>
          <x:t xml:space="preserve">水晶宫 vs 波兹南莱赫</x:t>
        </x:is>
      </x:c>
      <x:c r="G132" s="596" t="n">
        <x:v>0.95</x:v>
      </x:c>
      <x:c r="H132" s="596" t="n">
        <x:v>1.5</x:v>
      </x:c>
      <x:c r="I132" s="596" t="n">
        <x:v>0.9399999999999999</x:v>
      </x:c>
      <x:c r="J132" s="596" t="inlineStr">
        <x:is>
          <x:t xml:space="preserve">0.95/1.5/0.94</x:t>
        </x:is>
      </x:c>
      <x:c r="K132" s="595" t="inlineStr">
        <x:is>
          <x:t xml:space="preserve">V4-C｜EV +0.1578</x:t>
        </x:is>
      </x:c>
      <x:c r="L132" s="595" t="inlineStr">
        <x:is>
          <x:t xml:space="preserve">水晶宫</x:t>
        </x:is>
      </x:c>
      <x:c r="M132" s="597" t="n">
        <x:v>0.59375</x:v>
      </x:c>
      <x:c r="N132" s="595" t="inlineStr">
        <x:is>
          <x:t xml:space="preserve">V4纸面入选-C</x:t>
        </x:is>
      </x:c>
      <x:c r="O132" s="595" t="inlineStr">
        <x:is>
          <x:t xml:space="preserve">4-0</x:t>
        </x:is>
      </x:c>
      <x:c r="P132" s="595" t="inlineStr">
        <x:is>
          <x:t xml:space="preserve">已结算</x:t>
        </x:is>
      </x:c>
      <x:c r="Q132" s="640" t="inlineStr">
        <x:is>
          <x:t xml:space="preserve">红</x:t>
        </x:is>
      </x:c>
      <x:c r="R132" s="599" t="n">
        <x:v>0.95</x:v>
      </x:c>
      <x:c r="S132" s="599" t="n">
        <x:f>IF(OR(Q132="",Q132="待结算"),"",IF(Q132="红",R132,IF(Q132="半红",R132*0.5,IF(Q132="走",0,IF(Q132="半黑",-0.5,-1)))))</x:f>
        <x:v>0.95</x:v>
      </x:c>
      <x:c r="T132" s="595" t="inlineStr">
        <x:is>
          <x:t xml:space="preserve">https://www.skysports.com/football/crystal-palace-vs-lech-poznan/report/577752</x:t>
        </x:is>
      </x:c>
      <x:c r="U132" s="641" t="str">
        <x:f>IF(Q132="","",IF(Q132="待结算","待结算",IF(Q132="红","黑",IF(Q132="半红","半黑",IF(Q132="走","走",IF(Q132="半黑","半红","红"))))))</x:f>
        <x:v>黑</x:v>
      </x:c>
      <x:c r="V132" s="599" t="n">
        <x:f>IF(OR(Q132="",Q132="待结算"),"",IF(L132=LEFT(F132,FIND(" vs ",F132)-1),I132,G132))</x:f>
        <x:v>0.94</x:v>
      </x:c>
      <x:c r="W132" s="599" t="n">
        <x:f>IF(OR(U132="",U132="待结算"),"",IF(U132="红",V132,IF(U132="半红",V132*0.5,IF(U132="走",0,IF(U132="半黑",-0.5,-1)))))</x:f>
        <x:v>-1</x:v>
      </x:c>
      <x:c r="X132" s="595" t="inlineStr">
        <x:is>
          <x:t xml:space="preserve">3073759</x:t>
        </x:is>
      </x:c>
      <x:c r="Y132" s="595" t="inlineStr">
        <x:is>
          <x:t xml:space="preserve">v4-market-dirichlet-20260913</x:t>
        </x:is>
      </x:c>
      <x:c r="Z132" s="595" t="inlineStr">
        <x:is>
          <x:t xml:space="preserve">prior-2026-09-17-v1</x:t>
        </x:is>
      </x:c>
      <x:c r="AA132" s="595" t="inlineStr">
        <x:is>
          <x:t xml:space="preserve">C</x:t>
        </x:is>
      </x:c>
      <x:c r="AB132" s="600" t="n">
        <x:v>0.59375</x:v>
      </x:c>
      <x:c r="AC132" s="600" t="n">
        <x:v>0</x:v>
      </x:c>
      <x:c r="AD132" s="600" t="n">
        <x:v>0</x:v>
      </x:c>
      <x:c r="AE132" s="600" t="n">
        <x:v>0</x:v>
      </x:c>
      <x:c r="AF132" s="600" t="n">
        <x:v>0.40625</x:v>
      </x:c>
      <x:c r="AG132" s="600" t="n">
        <x:v>0.1578125</x:v>
      </x:c>
      <x:c r="AH132" s="600" t="n">
        <x:v>-0.1206519221526058</x:v>
      </x:c>
      <x:c r="AI132" s="600" t="n">
        <x:v>-0.05823933267957138</x:v>
      </x:c>
      <x:c r="AJ132" s="600" t="n">
        <x:v>0.1629309444741781</x:v>
      </x:c>
      <x:c r="AK132" s="600" t="n">
        <x:v>0.3703761160769183</x:v>
      </x:c>
      <x:c r="AL132" s="600" t="n">
        <x:v>0.4293856848252529</x:v>
      </x:c>
      <x:c r="AM132" s="600" t="n">
        <x:v>0.8284</x:v>
      </x:c>
      <x:c r="AN132" s="595" t="inlineStr">
        <x:is>
          <x:t xml:space="preserve">EVALUATED</x:t>
        </x:is>
      </x:c>
      <x:c r="AO132" s="600" t="inlineStr">
        <x:is>
          <x:t xml:space="preserve">BUCKET_1.50、SIDE_IDENTITY_VALID、MARKET_MOVE_DEEPER_WITH_GIVING_WATER_RISE</x:t>
        </x:is>
      </x:c>
      <x:c r="AP132" s="600" t="inlineStr">
        <x:is>
          <x:t xml:space="preserve">79f9b9da05ed498dc226</x:t>
        </x:is>
      </x:c>
      <x:c r="AQ132" s="600" t="n">
        <x:v>-1.5</x:v>
      </x:c>
      <x:c r="AR132" s="600" t="n">
        <x:v>0.95</x:v>
      </x:c>
      <x:c r="AS132" s="600" t="n">
        <x:v>-1.5</x:v>
      </x:c>
      <x:c r="AT132" s="600" t="n">
        <x:v>1.5</x:v>
      </x:c>
      <x:c r="AU132" s="600" t="n">
        <x:v>0.95</x:v>
      </x:c>
      <x:c r="AV132" s="600" t="n">
        <x:v>0.9399999999999999</x:v>
      </x:c>
      <x:c r="AW132" s="595" t="n">
        <x:v>46282.60382107639</x:v>
      </x:c>
      <x:c r="AX132" s="595" t="inlineStr">
        <x:is>
          <x:t xml:space="preserve">https://simondongxiao.github.io/odds/v4/</x:t>
        </x:is>
      </x:c>
      <x:c r="AY132" s="595" t="inlineStr">
        <x:is>
          <x:t xml:space="preserve">V4 Shadow Only；real_money=false；P(EV&gt;0)不是比赛胜率</x:t>
        </x:is>
      </x:c>
    </x:row>
    <x:row r="133" ht="22" customHeight="1">
      <x:c r="A133" s="595" t="inlineStr">
        <x:is>
          <x:t xml:space="preserve">2026-09-17</x:t>
        </x:is>
      </x:c>
      <x:c r="B133" s="595" t="inlineStr">
        <x:is>
          <x:t xml:space="preserve">2026-09-18 03:00</x:t>
        </x:is>
      </x:c>
      <x:c r="C133" s="595" t="str">
        <x:v>五大联赛非顶级联赛</x:v>
      </x:c>
      <x:c r="D133" s="595" t="inlineStr">
        <x:is>
          <x:t xml:space="preserve">联赛</x:t>
        </x:is>
      </x:c>
      <x:c r="E133" s="595" t="inlineStr">
        <x:is>
          <x:t xml:space="preserve">意丙</x:t>
        </x:is>
      </x:c>
      <x:c r="F133" s="595" t="inlineStr">
        <x:is>
          <x:t xml:space="preserve">吉安纳 vs 特伦托</x:t>
        </x:is>
      </x:c>
      <x:c r="G133" s="596" t="n">
        <x:v>1</x:v>
      </x:c>
      <x:c r="H133" s="596" t="n">
        <x:v>-0.25</x:v>
      </x:c>
      <x:c r="I133" s="596" t="n">
        <x:v>0.76</x:v>
      </x:c>
      <x:c r="J133" s="596" t="inlineStr">
        <x:is>
          <x:t xml:space="preserve">1.00/-0.25/0.76</x:t>
        </x:is>
      </x:c>
      <x:c r="K133" s="595" t="inlineStr">
        <x:is>
          <x:t xml:space="preserve">V4-C｜EV +0.0017</x:t>
        </x:is>
      </x:c>
      <x:c r="L133" s="595" t="inlineStr">
        <x:is>
          <x:t xml:space="preserve">吉安纳</x:t>
        </x:is>
      </x:c>
      <x:c r="M133" s="597" t="n">
        <x:v>0.5010224948875256</x:v>
      </x:c>
      <x:c r="N133" s="595" t="inlineStr">
        <x:is>
          <x:t xml:space="preserve">V4纸面入选-C</x:t>
        </x:is>
      </x:c>
      <x:c r="O133" s="595" t="inlineStr">
        <x:is>
          <x:t xml:space="preserve">2-2</x:t>
        </x:is>
      </x:c>
      <x:c r="P133" s="595" t="inlineStr">
        <x:is>
          <x:t xml:space="preserve">已结算</x:t>
        </x:is>
      </x:c>
      <x:c r="Q133" s="642" t="inlineStr">
        <x:is>
          <x:t xml:space="preserve">半红</x:t>
        </x:is>
      </x:c>
      <x:c r="R133" s="599" t="n">
        <x:v>1</x:v>
      </x:c>
      <x:c r="S133" s="599" t="n">
        <x:f>IF(OR(Q133="",Q133="待结算"),"",IF(Q133="红",R133,IF(Q133="半红",R133*0.5,IF(Q133="走",0,IF(Q133="半黑",-0.5,-1)))))</x:f>
        <x:v>0.5</x:v>
      </x:c>
      <x:c r="T133" s="595" t="inlineStr">
        <x:is>
          <x:t xml:space="preserve">https://www.actrento.com/pari-2-2-con-la-giana-erminio-per-il-trento-segnano-sodero-e-garetto/</x:t>
        </x:is>
      </x:c>
      <x:c r="U133" s="643" t="str">
        <x:f>IF(Q133="","",IF(Q133="待结算","待结算",IF(Q133="红","黑",IF(Q133="半红","半黑",IF(Q133="走","走",IF(Q133="半黑","半红","红"))))))</x:f>
        <x:v>半黑</x:v>
      </x:c>
      <x:c r="V133" s="599" t="n">
        <x:f>IF(OR(Q133="",Q133="待结算"),"",IF(L133=LEFT(F133,FIND(" vs ",F133)-1),I133,G133))</x:f>
        <x:v>0.76</x:v>
      </x:c>
      <x:c r="W133" s="599" t="n">
        <x:f>IF(OR(U133="",U133="待结算"),"",IF(U133="红",V133,IF(U133="半红",V133*0.5,IF(U133="走",0,IF(U133="半黑",-0.5,-1)))))</x:f>
        <x:v>-0.5</x:v>
      </x:c>
      <x:c r="X133" s="595" t="inlineStr">
        <x:is>
          <x:t xml:space="preserve">3050546</x:t>
        </x:is>
      </x:c>
      <x:c r="Y133" s="595" t="inlineStr">
        <x:is>
          <x:t xml:space="preserve">v4-market-dirichlet-20260913</x:t>
        </x:is>
      </x:c>
      <x:c r="Z133" s="595" t="inlineStr">
        <x:is>
          <x:t xml:space="preserve">prior-2026-09-17-v1</x:t>
        </x:is>
      </x:c>
      <x:c r="AA133" s="595" t="inlineStr">
        <x:is>
          <x:t xml:space="preserve">C</x:t>
        </x:is>
      </x:c>
      <x:c r="AB133" s="600" t="n">
        <x:v>0.2743055555555556</x:v>
      </x:c>
      <x:c r="AC133" s="600" t="n">
        <x:v>0.3020833333333333</x:v>
      </x:c>
      <x:c r="AD133" s="600" t="n">
        <x:v>0</x:v>
      </x:c>
      <x:c r="AE133" s="600" t="n">
        <x:v>0</x:v>
      </x:c>
      <x:c r="AF133" s="600" t="n">
        <x:v>0.4236111111111111</x:v>
      </x:c>
      <x:c r="AG133" s="600" t="n">
        <x:v>0.001736111111111105</x:v>
      </x:c>
      <x:c r="AH133" s="600" t="n">
        <x:v>-0.08205375214906524</x:v>
      </x:c>
      <x:c r="AI133" s="600" t="n">
        <x:v>-0.06300679947957305</x:v>
      </x:c>
      <x:c r="AJ133" s="600" t="n">
        <x:v>0.002038967273983172</x:v>
      </x:c>
      <x:c r="AK133" s="600" t="n">
        <x:v>0.06783874265877993</x:v>
      </x:c>
      <x:c r="AL133" s="600" t="n">
        <x:v>0.08692877362279017</x:v>
      </x:c>
      <x:c r="AM133" s="600" t="n">
        <x:v>0.5162</x:v>
      </x:c>
      <x:c r="AN133" s="595" t="inlineStr">
        <x:is>
          <x:t xml:space="preserve">EVALUATED</x:t>
        </x:is>
      </x:c>
      <x:c r="AO133" s="600" t="inlineStr">
        <x:is>
          <x:t xml:space="preserve">BUCKET_0.25、SIDE_IDENTITY_VALID、FLAT_LINE_GIVING_WATER_DROP</x:t>
        </x:is>
      </x:c>
      <x:c r="AP133" s="600" t="inlineStr">
        <x:is>
          <x:t xml:space="preserve">2f6c1bdf53121b741725</x:t>
        </x:is>
      </x:c>
      <x:c r="AQ133" s="600" t="n">
        <x:v>0.25</x:v>
      </x:c>
      <x:c r="AR133" s="600" t="n">
        <x:v>1</x:v>
      </x:c>
      <x:c r="AS133" s="600" t="n">
        <x:v>0.25</x:v>
      </x:c>
      <x:c r="AT133" s="600" t="n">
        <x:v>-0.25</x:v>
      </x:c>
      <x:c r="AU133" s="600" t="n">
        <x:v>1</x:v>
      </x:c>
      <x:c r="AV133" s="600" t="n">
        <x:v>0.76</x:v>
      </x:c>
      <x:c r="AW133" s="595" t="n">
        <x:v>46282.60382107639</x:v>
      </x:c>
      <x:c r="AX133" s="595" t="inlineStr">
        <x:is>
          <x:t xml:space="preserve">https://simondongxiao.github.io/odds/v4/</x:t>
        </x:is>
      </x:c>
      <x:c r="AY133" s="595" t="inlineStr">
        <x:is>
          <x:t xml:space="preserve">V4 Shadow Only；real_money=false；P(EV&gt;0)不是比赛胜率</x:t>
        </x:is>
      </x:c>
    </x:row>
    <x:row r="134" ht="22" customHeight="1">
      <x:c r="A134" s="595" t="inlineStr">
        <x:is>
          <x:t xml:space="preserve">2026-09-17</x:t>
        </x:is>
      </x:c>
      <x:c r="B134" s="595" t="inlineStr">
        <x:is>
          <x:t xml:space="preserve">2026-09-18 03:00</x:t>
        </x:is>
      </x:c>
      <x:c r="C134" s="595" t="str">
        <x:v>其他系列</x:v>
      </x:c>
      <x:c r="D134" s="595" t="inlineStr">
        <x:is>
          <x:t xml:space="preserve">联赛</x:t>
        </x:is>
      </x:c>
      <x:c r="E134" s="595" t="inlineStr">
        <x:is>
          <x:t xml:space="preserve">阿尔甲</x:t>
        </x:is>
      </x:c>
      <x:c r="F134" s="595" t="inlineStr">
        <x:is>
          <x:t xml:space="preserve">谭茅芩特 vs 卡比利亚</x:t>
        </x:is>
      </x:c>
      <x:c r="G134" s="596" t="n">
        <x:v>1.06</x:v>
      </x:c>
      <x:c r="H134" s="596" t="n">
        <x:v>-0.25</x:v>
      </x:c>
      <x:c r="I134" s="596" t="n">
        <x:v>0.76</x:v>
      </x:c>
      <x:c r="J134" s="596" t="inlineStr">
        <x:is>
          <x:t xml:space="preserve">1.06/-0.25/0.76</x:t>
        </x:is>
      </x:c>
      <x:c r="K134" s="595" t="inlineStr">
        <x:is>
          <x:t xml:space="preserve">V4-C｜EV +0.0273</x:t>
        </x:is>
      </x:c>
      <x:c r="L134" s="595" t="inlineStr">
        <x:is>
          <x:t xml:space="preserve">谭茅芩特</x:t>
        </x:is>
      </x:c>
      <x:c r="M134" s="597" t="n">
        <x:v>0.5010224948875256</x:v>
      </x:c>
      <x:c r="N134" s="595" t="inlineStr">
        <x:is>
          <x:t xml:space="preserve">V4纸面入选-C</x:t>
        </x:is>
      </x:c>
      <x:c r="O134" s="595" t="inlineStr">
        <x:is>
          <x:t xml:space="preserve">1-0</x:t>
        </x:is>
      </x:c>
      <x:c r="P134" s="595" t="inlineStr">
        <x:is>
          <x:t xml:space="preserve">已结算</x:t>
        </x:is>
      </x:c>
      <x:c r="Q134" s="640" t="inlineStr">
        <x:is>
          <x:t xml:space="preserve">红</x:t>
        </x:is>
      </x:c>
      <x:c r="R134" s="599" t="n">
        <x:v>1.06</x:v>
      </x:c>
      <x:c r="S134" s="599" t="n">
        <x:f>IF(OR(Q134="",Q134="待结算"),"",IF(Q134="红",R134,IF(Q134="半红",R134*0.5,IF(Q134="走",0,IF(Q134="半黑",-0.5,-1)))))</x:f>
        <x:v>1.06</x:v>
      </x:c>
      <x:c r="T134" s="595" t="inlineStr">
        <x:is>
          <x:t xml:space="preserve">https://www.betstudy.com/soccer-stats/result/temouchent-js-kabylie-19789099/</x:t>
        </x:is>
      </x:c>
      <x:c r="U134" s="641" t="str">
        <x:f>IF(Q134="","",IF(Q134="待结算","待结算",IF(Q134="红","黑",IF(Q134="半红","半黑",IF(Q134="走","走",IF(Q134="半黑","半红","红"))))))</x:f>
        <x:v>黑</x:v>
      </x:c>
      <x:c r="V134" s="599" t="n">
        <x:f>IF(OR(Q134="",Q134="待结算"),"",IF(L134=LEFT(F134,FIND(" vs ",F134)-1),I134,G134))</x:f>
        <x:v>0.76</x:v>
      </x:c>
      <x:c r="W134" s="599" t="n">
        <x:f>IF(OR(U134="",U134="待结算"),"",IF(U134="红",V134,IF(U134="半红",V134*0.5,IF(U134="走",0,IF(U134="半黑",-0.5,-1)))))</x:f>
        <x:v>-1</x:v>
      </x:c>
      <x:c r="X134" s="595" t="inlineStr">
        <x:is>
          <x:t xml:space="preserve">3056757</x:t>
        </x:is>
      </x:c>
      <x:c r="Y134" s="595" t="inlineStr">
        <x:is>
          <x:t xml:space="preserve">v4-market-dirichlet-20260913</x:t>
        </x:is>
      </x:c>
      <x:c r="Z134" s="595" t="inlineStr">
        <x:is>
          <x:t xml:space="preserve">prior-2026-09-17-v1</x:t>
        </x:is>
      </x:c>
      <x:c r="AA134" s="595" t="inlineStr">
        <x:is>
          <x:t xml:space="preserve">C</x:t>
        </x:is>
      </x:c>
      <x:c r="AB134" s="600" t="n">
        <x:v>0.2743055555555556</x:v>
      </x:c>
      <x:c r="AC134" s="600" t="n">
        <x:v>0.3020833333333333</x:v>
      </x:c>
      <x:c r="AD134" s="600" t="n">
        <x:v>0</x:v>
      </x:c>
      <x:c r="AE134" s="600" t="n">
        <x:v>0</x:v>
      </x:c>
      <x:c r="AF134" s="600" t="n">
        <x:v>0.4236111111111111</x:v>
      </x:c>
      <x:c r="AG134" s="600" t="n">
        <x:v>0.02725694444444449</x:v>
      </x:c>
      <x:c r="AH134" s="600" t="n">
        <x:v>-0.06227840060704681</x:v>
      </x:c>
      <x:c r="AI134" s="600" t="n">
        <x:v>-0.04274389025596798</x:v>
      </x:c>
      <x:c r="AJ134" s="600" t="n">
        <x:v>0.02579628052441812</x:v>
      </x:c>
      <x:c r="AK134" s="600" t="n">
        <x:v>0.09456488175659034</x:v>
      </x:c>
      <x:c r="AL134" s="600" t="n">
        <x:v>0.1141612128220722</x:v>
      </x:c>
      <x:c r="AM134" s="600" t="n">
        <x:v>0.6862</x:v>
      </x:c>
      <x:c r="AN134" s="595" t="inlineStr">
        <x:is>
          <x:t xml:space="preserve">EVALUATED</x:t>
        </x:is>
      </x:c>
      <x:c r="AO134" s="600" t="inlineStr">
        <x:is>
          <x:t xml:space="preserve">BUCKET_0.25、SIDE_IDENTITY_VALID、FLAT_LINE_GIVING_WATER_DROP</x:t>
        </x:is>
      </x:c>
      <x:c r="AP134" s="600" t="inlineStr">
        <x:is>
          <x:t xml:space="preserve">8d826c1d59abb1d28aae</x:t>
        </x:is>
      </x:c>
      <x:c r="AQ134" s="600" t="n">
        <x:v>0.25</x:v>
      </x:c>
      <x:c r="AR134" s="600" t="n">
        <x:v>1.06</x:v>
      </x:c>
      <x:c r="AS134" s="600" t="n">
        <x:v>0.25</x:v>
      </x:c>
      <x:c r="AT134" s="600" t="n">
        <x:v>-0.25</x:v>
      </x:c>
      <x:c r="AU134" s="600" t="n">
        <x:v>1.06</x:v>
      </x:c>
      <x:c r="AV134" s="600" t="n">
        <x:v>0.76</x:v>
      </x:c>
      <x:c r="AW134" s="595" t="n">
        <x:v>46282.60382107639</x:v>
      </x:c>
      <x:c r="AX134" s="595" t="inlineStr">
        <x:is>
          <x:t xml:space="preserve">https://simondongxiao.github.io/odds/v4/</x:t>
        </x:is>
      </x:c>
      <x:c r="AY134" s="595" t="inlineStr">
        <x:is>
          <x:t xml:space="preserve">V4 Shadow Only；real_money=false；P(EV&gt;0)不是比赛胜率</x:t>
        </x:is>
      </x:c>
    </x:row>
    <x:row r="135" ht="22" customHeight="1">
      <x:c r="A135" s="595" t="inlineStr">
        <x:is>
          <x:t xml:space="preserve">2026-09-17</x:t>
        </x:is>
      </x:c>
      <x:c r="B135" s="595" t="inlineStr">
        <x:is>
          <x:t xml:space="preserve">2026-09-18 08:30</x:t>
        </x:is>
      </x:c>
      <x:c r="C135" s="595" t="str">
        <x:v>南美系列</x:v>
      </x:c>
      <x:c r="D135" s="595" t="inlineStr">
        <x:is>
          <x:t xml:space="preserve">杯赛</x:t>
        </x:is>
      </x:c>
      <x:c r="E135" s="595" t="inlineStr">
        <x:is>
          <x:t xml:space="preserve">解放者杯</x:t>
        </x:is>
      </x:c>
      <x:c r="F135" s="595" t="inlineStr">
        <x:is>
          <x:t xml:space="preserve">弗拉门戈 vs 山谷独立</x:t>
        </x:is>
      </x:c>
      <x:c r="G135" s="596" t="n">
        <x:v>0.9399999999999999</x:v>
      </x:c>
      <x:c r="H135" s="596" t="n">
        <x:v>1.5</x:v>
      </x:c>
      <x:c r="I135" s="596" t="n">
        <x:v>0.95</x:v>
      </x:c>
      <x:c r="J135" s="596" t="inlineStr">
        <x:is>
          <x:t xml:space="preserve">0.94/1.5/0.95</x:t>
        </x:is>
      </x:c>
      <x:c r="K135" s="595" t="inlineStr">
        <x:is>
          <x:t xml:space="preserve">V4-C｜EV +0.1519</x:t>
        </x:is>
      </x:c>
      <x:c r="L135" s="595" t="inlineStr">
        <x:is>
          <x:t xml:space="preserve">弗拉门戈</x:t>
        </x:is>
      </x:c>
      <x:c r="M135" s="597" t="n">
        <x:v>0.59375</x:v>
      </x:c>
      <x:c r="N135" s="595" t="inlineStr">
        <x:is>
          <x:t xml:space="preserve">V4纸面入选-C</x:t>
        </x:is>
      </x:c>
      <x:c r="O135" s="595" t="inlineStr">
        <x:is>
          <x:t xml:space="preserve">1-1</x:t>
        </x:is>
      </x:c>
      <x:c r="P135" s="595" t="inlineStr">
        <x:is>
          <x:t xml:space="preserve">已结算</x:t>
        </x:is>
      </x:c>
      <x:c r="Q135" s="641" t="inlineStr">
        <x:is>
          <x:t xml:space="preserve">黑</x:t>
        </x:is>
      </x:c>
      <x:c r="R135" s="599" t="n">
        <x:v>0.9399999999999999</x:v>
      </x:c>
      <x:c r="S135" s="599" t="n">
        <x:f>IF(OR(Q135="",Q135="待结算"),"",IF(Q135="红",R135,IF(Q135="半红",R135*0.5,IF(Q135="走",0,IF(Q135="半黑",-0.5,-1)))))</x:f>
        <x:v>-1</x:v>
      </x:c>
      <x:c r="T135" s="595" t="inlineStr">
        <x:is>
          <x:t xml:space="preserve">https://www.reddit.com/r/CRFla/comments/1wjc4d6/encerrado_flamengo_1x1_independiente_del_valle/</x:t>
        </x:is>
      </x:c>
      <x:c r="U135" s="640" t="str">
        <x:f>IF(Q135="","",IF(Q135="待结算","待结算",IF(Q135="红","黑",IF(Q135="半红","半黑",IF(Q135="走","走",IF(Q135="半黑","半红","红"))))))</x:f>
        <x:v>红</x:v>
      </x:c>
      <x:c r="V135" s="599" t="n">
        <x:f>IF(OR(Q135="",Q135="待结算"),"",IF(L135=LEFT(F135,FIND(" vs ",F135)-1),I135,G135))</x:f>
        <x:v>0.95</x:v>
      </x:c>
      <x:c r="W135" s="599" t="n">
        <x:f>IF(OR(U135="",U135="待结算"),"",IF(U135="红",V135,IF(U135="半红",V135*0.5,IF(U135="走",0,IF(U135="半黑",-0.5,-1)))))</x:f>
        <x:v>0.95</x:v>
      </x:c>
      <x:c r="X135" s="595" t="inlineStr">
        <x:is>
          <x:t xml:space="preserve">3073018</x:t>
        </x:is>
      </x:c>
      <x:c r="Y135" s="595" t="inlineStr">
        <x:is>
          <x:t xml:space="preserve">v4-market-dirichlet-20260913</x:t>
        </x:is>
      </x:c>
      <x:c r="Z135" s="595" t="inlineStr">
        <x:is>
          <x:t xml:space="preserve">prior-2026-09-17-v1</x:t>
        </x:is>
      </x:c>
      <x:c r="AA135" s="595" t="inlineStr">
        <x:is>
          <x:t xml:space="preserve">C</x:t>
        </x:is>
      </x:c>
      <x:c r="AB135" s="600" t="n">
        <x:v>0.59375</x:v>
      </x:c>
      <x:c r="AC135" s="600" t="n">
        <x:v>0</x:v>
      </x:c>
      <x:c r="AD135" s="600" t="n">
        <x:v>0</x:v>
      </x:c>
      <x:c r="AE135" s="600" t="n">
        <x:v>0</x:v>
      </x:c>
      <x:c r="AF135" s="600" t="n">
        <x:v>0.40625</x:v>
      </x:c>
      <x:c r="AG135" s="600" t="n">
        <x:v>0.151875</x:v>
      </x:c>
      <x:c r="AH135" s="600" t="n">
        <x:v>-0.1320185340354047</x:v>
      </x:c>
      <x:c r="AI135" s="600" t="n">
        <x:v>-0.06300932776055551</x:v>
      </x:c>
      <x:c r="AJ135" s="600" t="n">
        <x:v>0.1581311998527483</x:v>
      </x:c>
      <x:c r="AK135" s="600" t="n">
        <x:v>0.3623900326274253</x:v>
      </x:c>
      <x:c r="AL135" s="600" t="n">
        <x:v>0.4208069819701307</x:v>
      </x:c>
      <x:c r="AM135" s="600" t="n">
        <x:v>0.8176</x:v>
      </x:c>
      <x:c r="AN135" s="595" t="inlineStr">
        <x:is>
          <x:t xml:space="preserve">EVALUATED</x:t>
        </x:is>
      </x:c>
      <x:c r="AO135" s="600" t="inlineStr">
        <x:is>
          <x:t xml:space="preserve">BUCKET_1.50、SIDE_IDENTITY_VALID、MARKET_MOVE_DEEPER_WITH_GIVING_WATER_RISE</x:t>
        </x:is>
      </x:c>
      <x:c r="AP135" s="600" t="inlineStr">
        <x:is>
          <x:t xml:space="preserve">98e190a1e54e3fa91aee</x:t>
        </x:is>
      </x:c>
      <x:c r="AQ135" s="600" t="n">
        <x:v>-1.5</x:v>
      </x:c>
      <x:c r="AR135" s="600" t="n">
        <x:v>0.9399999999999999</x:v>
      </x:c>
      <x:c r="AS135" s="600" t="n">
        <x:v>-1.5</x:v>
      </x:c>
      <x:c r="AT135" s="600" t="n">
        <x:v>1.5</x:v>
      </x:c>
      <x:c r="AU135" s="600" t="n">
        <x:v>0.9399999999999999</x:v>
      </x:c>
      <x:c r="AV135" s="600" t="n">
        <x:v>0.95</x:v>
      </x:c>
      <x:c r="AW135" s="595" t="n">
        <x:v>46282.60382107639</x:v>
      </x:c>
      <x:c r="AX135" s="595" t="inlineStr">
        <x:is>
          <x:t xml:space="preserve">https://simondongxiao.github.io/odds/v4/</x:t>
        </x:is>
      </x:c>
      <x:c r="AY135" s="595" t="inlineStr">
        <x:is>
          <x:t xml:space="preserve">V4 Shadow Only；real_money=false；P(EV&gt;0)不是比赛胜率</x:t>
        </x:is>
      </x:c>
    </x:row>
    <x:row r="136" ht="22" customHeight="1">
      <x:c r="A136" s="595" t="inlineStr">
        <x:is>
          <x:t xml:space="preserve">2026-09-17</x:t>
        </x:is>
      </x:c>
      <x:c r="B136" s="595" t="inlineStr">
        <x:is>
          <x:t xml:space="preserve">2026-09-18 08:30</x:t>
        </x:is>
      </x:c>
      <x:c r="C136" s="595" t="str">
        <x:v>南美系列</x:v>
      </x:c>
      <x:c r="D136" s="595" t="inlineStr">
        <x:is>
          <x:t xml:space="preserve">杯赛</x:t>
        </x:is>
      </x:c>
      <x:c r="E136" s="595" t="inlineStr">
        <x:is>
          <x:t xml:space="preserve">南美杯</x:t>
        </x:is>
      </x:c>
      <x:c r="F136" s="595" t="inlineStr">
        <x:is>
          <x:t xml:space="preserve">图尔克 vs 西恩夏诺</x:t>
        </x:is>
      </x:c>
      <x:c r="G136" s="596" t="n">
        <x:v>0.91</x:v>
      </x:c>
      <x:c r="H136" s="596" t="n">
        <x:v>1</x:v>
      </x:c>
      <x:c r="I136" s="596" t="n">
        <x:v>0.98</x:v>
      </x:c>
      <x:c r="J136" s="596" t="inlineStr">
        <x:is>
          <x:t xml:space="preserve">0.91/1/0.98</x:t>
        </x:is>
      </x:c>
      <x:c r="K136" s="595" t="inlineStr">
        <x:is>
          <x:t xml:space="preserve">V4-C｜EV +0.0574</x:t>
        </x:is>
      </x:c>
      <x:c r="L136" s="595" t="inlineStr">
        <x:is>
          <x:t xml:space="preserve">西恩夏诺</x:t>
        </x:is>
      </x:c>
      <x:c r="M136" s="597" t="n">
        <x:v>0.5423728813559322</x:v>
      </x:c>
      <x:c r="N136" s="595" t="inlineStr">
        <x:is>
          <x:t xml:space="preserve">V4纸面入选-C</x:t>
        </x:is>
      </x:c>
      <x:c r="O136" s="595" t="inlineStr">
        <x:is>
          <x:t xml:space="preserve">3-0</x:t>
        </x:is>
      </x:c>
      <x:c r="P136" s="595" t="inlineStr">
        <x:is>
          <x:t xml:space="preserve">已结算</x:t>
        </x:is>
      </x:c>
      <x:c r="Q136" s="641" t="inlineStr">
        <x:is>
          <x:t xml:space="preserve">黑</x:t>
        </x:is>
      </x:c>
      <x:c r="R136" s="599" t="n">
        <x:v>0.98</x:v>
      </x:c>
      <x:c r="S136" s="599" t="n">
        <x:f>IF(OR(Q136="",Q136="待结算"),"",IF(Q136="红",R136,IF(Q136="半红",R136*0.5,IF(Q136="走",0,IF(Q136="半黑",-0.5,-1)))))</x:f>
        <x:v>-1</x:v>
      </x:c>
      <x:c r="T136" s="595" t="inlineStr">
        <x:is>
          <x:t xml:space="preserve">https://www.montevideo.com.uy/Deportes/Sudamericana-City-Torque-remonto-agonicamente-a-Cienciano-gano-3-0-y-paso-a-semis-uc975661</x:t>
        </x:is>
      </x:c>
      <x:c r="U136" s="640" t="str">
        <x:f>IF(Q136="","",IF(Q136="待结算","待结算",IF(Q136="红","黑",IF(Q136="半红","半黑",IF(Q136="走","走",IF(Q136="半黑","半红","红"))))))</x:f>
        <x:v>红</x:v>
      </x:c>
      <x:c r="V136" s="599" t="n">
        <x:f>IF(OR(Q136="",Q136="待结算"),"",IF(L136=LEFT(F136,FIND(" vs ",F136)-1),I136,G136))</x:f>
        <x:v>0.91</x:v>
      </x:c>
      <x:c r="W136" s="599" t="n">
        <x:f>IF(OR(U136="",U136="待结算"),"",IF(U136="红",V136,IF(U136="半红",V136*0.5,IF(U136="走",0,IF(U136="半黑",-0.5,-1)))))</x:f>
        <x:v>0.91</x:v>
      </x:c>
      <x:c r="X136" s="595" t="inlineStr">
        <x:is>
          <x:t xml:space="preserve">3072985</x:t>
        </x:is>
      </x:c>
      <x:c r="Y136" s="595" t="inlineStr">
        <x:is>
          <x:t xml:space="preserve">v4-market-dirichlet-20260913</x:t>
        </x:is>
      </x:c>
      <x:c r="Z136" s="595" t="inlineStr">
        <x:is>
          <x:t xml:space="preserve">prior-2026-09-17-v1</x:t>
        </x:is>
      </x:c>
      <x:c r="AA136" s="595" t="inlineStr">
        <x:is>
          <x:t xml:space="preserve">C</x:t>
        </x:is>
      </x:c>
      <x:c r="AB136" s="600" t="n">
        <x:v>0.4210526315789473</x:v>
      </x:c>
      <x:c r="AC136" s="600" t="n">
        <x:v>0</x:v>
      </x:c>
      <x:c r="AD136" s="600" t="n">
        <x:v>0.2236842105263158</x:v>
      </x:c>
      <x:c r="AE136" s="600" t="n">
        <x:v>0</x:v>
      </x:c>
      <x:c r="AF136" s="600" t="n">
        <x:v>0.3552631578947368</x:v>
      </x:c>
      <x:c r="AG136" s="600" t="n">
        <x:v>0.05736842105263157</x:v>
      </x:c>
      <x:c r="AH136" s="600" t="n">
        <x:v>-0.1086362114134182</x:v>
      </x:c>
      <x:c r="AI136" s="600" t="n">
        <x:v>-0.07229457453128679</x:v>
      </x:c>
      <x:c r="AJ136" s="600" t="n">
        <x:v>0.05686876915799427</x:v>
      </x:c>
      <x:c r="AK136" s="600" t="n">
        <x:v>0.18540141870787</x:v>
      </x:c>
      <x:c r="AL136" s="600" t="n">
        <x:v>0.2183375006975603</x:v>
      </x:c>
      <x:c r="AM136" s="600" t="n">
        <x:v>0.7174</x:v>
      </x:c>
      <x:c r="AN136" s="595" t="inlineStr">
        <x:is>
          <x:t xml:space="preserve">EVALUATED</x:t>
        </x:is>
      </x:c>
      <x:c r="AO136" s="600" t="inlineStr">
        <x:is>
          <x:t xml:space="preserve">BUCKET_1.00、SIDE_IDENTITY_VALID、FLAT_LINE_GIVING_WATER_DROP</x:t>
        </x:is>
      </x:c>
      <x:c r="AP136" s="600" t="inlineStr">
        <x:is>
          <x:t xml:space="preserve">9debab76942c516c5b18</x:t>
        </x:is>
      </x:c>
      <x:c r="AQ136" s="600" t="n">
        <x:v>1</x:v>
      </x:c>
      <x:c r="AR136" s="600" t="n">
        <x:v>0.98</x:v>
      </x:c>
      <x:c r="AS136" s="600" t="n">
        <x:v>-1</x:v>
      </x:c>
      <x:c r="AT136" s="600" t="n">
        <x:v>1</x:v>
      </x:c>
      <x:c r="AU136" s="600" t="n">
        <x:v>0.91</x:v>
      </x:c>
      <x:c r="AV136" s="600" t="n">
        <x:v>0.98</x:v>
      </x:c>
      <x:c r="AW136" s="595" t="n">
        <x:v>46282.60382107639</x:v>
      </x:c>
      <x:c r="AX136" s="595" t="inlineStr">
        <x:is>
          <x:t xml:space="preserve">https://simondongxiao.github.io/odds/v4/</x:t>
        </x:is>
      </x:c>
      <x:c r="AY136" s="595" t="inlineStr">
        <x:is>
          <x:t xml:space="preserve">V4 Shadow Only；real_money=false；P(EV&gt;0)不是比赛胜率</x:t>
        </x:is>
      </x:c>
    </x:row>
    <x:row r="137" ht="22" customHeight="1">
      <x:c r="A137" s="595" t="inlineStr">
        <x:is>
          <x:t xml:space="preserve">2026-09-17</x:t>
        </x:is>
      </x:c>
      <x:c r="B137" s="595" t="inlineStr">
        <x:is>
          <x:t xml:space="preserve">2026-09-18 10:00</x:t>
        </x:is>
      </x:c>
      <x:c r="C137" s="595" t="str">
        <x:v>其他系列</x:v>
      </x:c>
      <x:c r="D137" s="595" t="inlineStr">
        <x:is>
          <x:t xml:space="preserve">杯赛</x:t>
        </x:is>
      </x:c>
      <x:c r="E137" s="595" t="inlineStr">
        <x:is>
          <x:t xml:space="preserve">首相杯</x:t>
        </x:is>
      </x:c>
      <x:c r="F137" s="595" t="inlineStr">
        <x:is>
          <x:t xml:space="preserve">巴布亚新几内亚 vs 瓦努阿图</x:t>
        </x:is>
      </x:c>
      <x:c r="G137" s="596" t="n">
        <x:v>0.8100000000000001</x:v>
      </x:c>
      <x:c r="H137" s="596" t="n">
        <x:v>0.25</x:v>
      </x:c>
      <x:c r="I137" s="596" t="n">
        <x:v>1.01</x:v>
      </x:c>
      <x:c r="J137" s="596" t="inlineStr">
        <x:is>
          <x:t xml:space="preserve">0.81/0.25/1.01</x:t>
        </x:is>
      </x:c>
      <x:c r="K137" s="595" t="inlineStr">
        <x:is>
          <x:t xml:space="preserve">V4-C｜EV +0.0060</x:t>
        </x:is>
      </x:c>
      <x:c r="L137" s="595" t="inlineStr">
        <x:is>
          <x:t xml:space="preserve">瓦努阿图</x:t>
        </x:is>
      </x:c>
      <x:c r="M137" s="597" t="n">
        <x:v>0.5010224948875256</x:v>
      </x:c>
      <x:c r="N137" s="595" t="inlineStr">
        <x:is>
          <x:t xml:space="preserve">V4纸面入选-C</x:t>
        </x:is>
      </x:c>
      <x:c r="O137" s="595" t="inlineStr">
        <x:is>
          <x:t xml:space="preserve">2-1</x:t>
        </x:is>
      </x:c>
      <x:c r="P137" s="595" t="inlineStr">
        <x:is>
          <x:t xml:space="preserve">已结算</x:t>
        </x:is>
      </x:c>
      <x:c r="Q137" s="641" t="inlineStr">
        <x:is>
          <x:t xml:space="preserve">黑</x:t>
        </x:is>
      </x:c>
      <x:c r="R137" s="599" t="n">
        <x:v>1.01</x:v>
      </x:c>
      <x:c r="S137" s="599" t="n">
        <x:f>IF(OR(Q137="",Q137="待结算"),"",IF(Q137="红",R137,IF(Q137="半红",R137*0.5,IF(Q137="走",0,IF(Q137="半黑",-0.5,-1)))))</x:f>
        <x:v>-1</x:v>
      </x:c>
      <x:c r="T137" s="595" t="inlineStr">
        <x:is>
          <x:t xml:space="preserve">https://www.sportschau.de/live-und-ergebnisse/fussball/fifa-freundschaft/ma12572896/papua-neuguinea_vanuatu/info</x:t>
        </x:is>
      </x:c>
      <x:c r="U137" s="640" t="str">
        <x:f>IF(Q137="","",IF(Q137="待结算","待结算",IF(Q137="红","黑",IF(Q137="半红","半黑",IF(Q137="走","走",IF(Q137="半黑","半红","红"))))))</x:f>
        <x:v>红</x:v>
      </x:c>
      <x:c r="V137" s="599" t="n">
        <x:f>IF(OR(Q137="",Q137="待结算"),"",IF(L137=LEFT(F137,FIND(" vs ",F137)-1),I137,G137))</x:f>
        <x:v>0.81</x:v>
      </x:c>
      <x:c r="W137" s="599" t="n">
        <x:f>IF(OR(U137="",U137="待结算"),"",IF(U137="红",V137,IF(U137="半红",V137*0.5,IF(U137="走",0,IF(U137="半黑",-0.5,-1)))))</x:f>
        <x:v>0.81</x:v>
      </x:c>
      <x:c r="X137" s="595" t="inlineStr">
        <x:is>
          <x:t xml:space="preserve">3089765</x:t>
        </x:is>
      </x:c>
      <x:c r="Y137" s="595" t="inlineStr">
        <x:is>
          <x:t xml:space="preserve">v4-market-dirichlet-20260913</x:t>
        </x:is>
      </x:c>
      <x:c r="Z137" s="595" t="inlineStr">
        <x:is>
          <x:t xml:space="preserve">prior-2026-09-17-v1</x:t>
        </x:is>
      </x:c>
      <x:c r="AA137" s="595" t="inlineStr">
        <x:is>
          <x:t xml:space="preserve">C</x:t>
        </x:is>
      </x:c>
      <x:c r="AB137" s="600" t="n">
        <x:v>0.2743055555555556</x:v>
      </x:c>
      <x:c r="AC137" s="600" t="n">
        <x:v>0.3020833333333333</x:v>
      </x:c>
      <x:c r="AD137" s="600" t="n">
        <x:v>0</x:v>
      </x:c>
      <x:c r="AE137" s="600" t="n">
        <x:v>0</x:v>
      </x:c>
      <x:c r="AF137" s="600" t="n">
        <x:v>0.4236111111111111</x:v>
      </x:c>
      <x:c r="AG137" s="600" t="n">
        <x:v>0.005989583333333381</x:v>
      </x:c>
      <x:c r="AH137" s="600" t="n">
        <x:v>-0.08018122285666368</x:v>
      </x:c>
      <x:c r="AI137" s="600" t="n">
        <x:v>-0.06104350327448071</x:v>
      </x:c>
      <x:c r="AJ137" s="600" t="n">
        <x:v>0.005361537021940921</x:v>
      </x:c>
      <x:c r="AK137" s="600" t="n">
        <x:v>0.07087283776586678</x:v>
      </x:c>
      <x:c r="AL137" s="600" t="n">
        <x:v>0.0877143483865736</x:v>
      </x:c>
      <x:c r="AM137" s="600" t="n">
        <x:v>0.545</x:v>
      </x:c>
      <x:c r="AN137" s="595" t="inlineStr">
        <x:is>
          <x:t xml:space="preserve">EVALUATED</x:t>
        </x:is>
      </x:c>
      <x:c r="AO137" s="600" t="inlineStr">
        <x:is>
          <x:t xml:space="preserve">BUCKET_0.25、SIDE_IDENTITY_VALID、FLAT_LINE_GIVING_WATER_DROP</x:t>
        </x:is>
      </x:c>
      <x:c r="AP137" s="600" t="inlineStr">
        <x:is>
          <x:t xml:space="preserve">f9d98cf16961b5dcece7</x:t>
        </x:is>
      </x:c>
      <x:c r="AQ137" s="600" t="n">
        <x:v>0.25</x:v>
      </x:c>
      <x:c r="AR137" s="600" t="n">
        <x:v>1.01</x:v>
      </x:c>
      <x:c r="AS137" s="600" t="n">
        <x:v>-0.25</x:v>
      </x:c>
      <x:c r="AT137" s="600" t="n">
        <x:v>0.25</x:v>
      </x:c>
      <x:c r="AU137" s="600" t="n">
        <x:v>0.8100000000000001</x:v>
      </x:c>
      <x:c r="AV137" s="600" t="n">
        <x:v>1.01</x:v>
      </x:c>
      <x:c r="AW137" s="595" t="n">
        <x:v>46282.60382107639</x:v>
      </x:c>
      <x:c r="AX137" s="595" t="inlineStr">
        <x:is>
          <x:t xml:space="preserve">https://simondongxiao.github.io/odds/v4/</x:t>
        </x:is>
      </x:c>
      <x:c r="AY137" s="595" t="inlineStr">
        <x:is>
          <x:t xml:space="preserve">V4 Shadow Only；real_money=false；P(EV&gt;0)不是比赛胜率</x:t>
        </x:is>
      </x:c>
    </x:row>
    <x:row r="138" ht="22" customHeight="1">
      <x:c r="A138" s="595" t="inlineStr">
        <x:is>
          <x:t xml:space="preserve">2026-09-18</x:t>
        </x:is>
      </x:c>
      <x:c r="B138" s="595" t="inlineStr">
        <x:is>
          <x:t xml:space="preserve">2026-09-18 12:00</x:t>
        </x:is>
      </x:c>
      <x:c r="C138" s="595" t="str">
        <x:v>日韩系列</x:v>
      </x:c>
      <x:c r="D138" s="595" t="inlineStr">
        <x:is>
          <x:t xml:space="preserve">联赛</x:t>
        </x:is>
      </x:c>
      <x:c r="E138" s="595" t="inlineStr">
        <x:is>
          <x:t xml:space="preserve">日职乙</x:t>
        </x:is>
      </x:c>
      <x:c r="F138" s="595" t="inlineStr">
        <x:is>
          <x:t xml:space="preserve">八户云罗里 vs 宫崎棒牛鸟</x:t>
        </x:is>
      </x:c>
      <x:c r="G138" s="596" t="n">
        <x:v>1.11</x:v>
      </x:c>
      <x:c r="H138" s="596" t="n">
        <x:v>-0.25</x:v>
      </x:c>
      <x:c r="I138" s="596" t="n">
        <x:v>0.78</x:v>
      </x:c>
      <x:c r="J138" s="596" t="inlineStr">
        <x:is>
          <x:t xml:space="preserve">1.11/-0.25/0.78</x:t>
        </x:is>
      </x:c>
      <x:c r="K138" s="595" t="inlineStr">
        <x:is>
          <x:t xml:space="preserve">V4-C｜EV +0.0485</x:t>
        </x:is>
      </x:c>
      <x:c r="L138" s="595" t="inlineStr">
        <x:is>
          <x:t xml:space="preserve">八户云罗里</x:t>
        </x:is>
      </x:c>
      <x:c r="M138" s="597" t="n">
        <x:v>0.5010224948875256</x:v>
      </x:c>
      <x:c r="N138" s="595" t="inlineStr">
        <x:is>
          <x:t xml:space="preserve">V4纸面入选-C</x:t>
        </x:is>
      </x:c>
      <x:c r="O138" s="595" t="inlineStr">
        <x:is>
          <x:t xml:space="preserve">0-3</x:t>
        </x:is>
      </x:c>
      <x:c r="P138" s="595" t="inlineStr">
        <x:is>
          <x:t xml:space="preserve">已结算</x:t>
        </x:is>
      </x:c>
      <x:c r="Q138" s="641" t="inlineStr">
        <x:is>
          <x:t xml:space="preserve">黑</x:t>
        </x:is>
      </x:c>
      <x:c r="R138" s="599" t="n">
        <x:v>1.11</x:v>
      </x:c>
      <x:c r="S138" s="599" t="n">
        <x:f>IF(OR(Q138="",Q138="待结算"),"",IF(Q138="红",R138,IF(Q138="半红",R138*0.5,IF(Q138="走",0,IF(Q138="半黑",-0.5,-1)))))</x:f>
        <x:v>-1</x:v>
      </x:c>
      <x:c r="T138" s="595" t="inlineStr">
        <x:is>
          <x:t xml:space="preserve">https://zq.titan007.com/analysis/3000081cn.htm</x:t>
        </x:is>
      </x:c>
      <x:c r="U138" s="640" t="str">
        <x:f>IF(Q138="","",IF(Q138="待结算","待结算",IF(Q138="红","黑",IF(Q138="半红","半黑",IF(Q138="走","走",IF(Q138="半黑","半红","红"))))))</x:f>
        <x:v>红</x:v>
      </x:c>
      <x:c r="V138" s="599" t="n">
        <x:f>IF(OR(Q138="",Q138="待结算"),"",IF(L138=LEFT(F138,FIND(" vs ",F138)-1),I138,G138))</x:f>
        <x:v>0.78</x:v>
      </x:c>
      <x:c r="W138" s="599" t="n">
        <x:f>IF(OR(U138="",U138="待结算"),"",IF(U138="红",V138,IF(U138="半红",V138*0.5,IF(U138="走",0,IF(U138="半黑",-0.5,-1)))))</x:f>
        <x:v>0.78</x:v>
      </x:c>
      <x:c r="X138" s="595" t="inlineStr">
        <x:is>
          <x:t xml:space="preserve">3000081</x:t>
        </x:is>
      </x:c>
      <x:c r="Y138" s="595" t="inlineStr">
        <x:is>
          <x:t xml:space="preserve">v4-market-dirichlet-20260913</x:t>
        </x:is>
      </x:c>
      <x:c r="Z138" s="595" t="inlineStr">
        <x:is>
          <x:t xml:space="preserve">prior-2026-09-18-v1</x:t>
        </x:is>
      </x:c>
      <x:c r="AA138" s="595" t="inlineStr">
        <x:is>
          <x:t xml:space="preserve">C</x:t>
        </x:is>
      </x:c>
      <x:c r="AB138" s="600" t="n">
        <x:v>0.2743055555555556</x:v>
      </x:c>
      <x:c r="AC138" s="600" t="n">
        <x:v>0.3020833333333333</x:v>
      </x:c>
      <x:c r="AD138" s="600" t="n">
        <x:v>0</x:v>
      </x:c>
      <x:c r="AE138" s="600" t="n">
        <x:v>0</x:v>
      </x:c>
      <x:c r="AF138" s="600" t="n">
        <x:v>0.4236111111111111</x:v>
      </x:c>
      <x:c r="AG138" s="600" t="n">
        <x:v>0.04852430555555565</x:v>
      </x:c>
      <x:c r="AH138" s="600" t="n">
        <x:v>-0.04162742237063738</x:v>
      </x:c>
      <x:c r="AI138" s="600" t="n">
        <x:v>-0.02136391672334087</x:v>
      </x:c>
      <x:c r="AJ138" s="600" t="n">
        <x:v>0.04710756572375563</x:v>
      </x:c>
      <x:c r="AK138" s="600" t="n">
        <x:v>0.1176206830051307</x:v>
      </x:c>
      <x:c r="AL138" s="600" t="n">
        <x:v>0.1380440878145274</x:v>
      </x:c>
      <x:c r="AM138" s="600" t="n">
        <x:v>0.8129999999999999</x:v>
      </x:c>
      <x:c r="AN138" s="595" t="inlineStr">
        <x:is>
          <x:t xml:space="preserve">FROZEN_PREMATCH_DECISION</x:t>
        </x:is>
      </x:c>
      <x:c r="AO138" s="600" t="inlineStr">
        <x:is>
          <x:t xml:space="preserve">STARTED_DECISION_LOCKED</x:t>
        </x:is>
      </x:c>
      <x:c r="AP138" s="600" t="inlineStr">
        <x:is>
          <x:t xml:space="preserve">b0d0c794b60a9a3009ad</x:t>
        </x:is>
      </x:c>
      <x:c r="AQ138" s="600" t="n">
        <x:v>0.25</x:v>
      </x:c>
      <x:c r="AR138" s="600" t="n">
        <x:v>1.11</x:v>
      </x:c>
      <x:c r="AS138" s="600" t="n">
        <x:v>0.25</x:v>
      </x:c>
      <x:c r="AT138" s="600" t="n">
        <x:v>-0.25</x:v>
      </x:c>
      <x:c r="AU138" s="600" t="n">
        <x:v>1.11</x:v>
      </x:c>
      <x:c r="AV138" s="600" t="n">
        <x:v>0.78</x:v>
      </x:c>
      <x:c r="AW138" s="595" t="n">
        <x:v>46282.99431159722</x:v>
      </x:c>
      <x:c r="AX138" s="595" t="inlineStr">
        <x:is>
          <x:t xml:space="preserve">https://simondongxiao.github.io/odds/v4/</x:t>
        </x:is>
      </x:c>
      <x:c r="AY138" s="595" t="inlineStr">
        <x:is>
          <x:t xml:space="preserve">V4 Shadow Only；real_money=false；比分差异详见记录审计</x:t>
        </x:is>
      </x:c>
    </x:row>
    <x:row r="139" ht="22" customHeight="1">
      <x:c r="A139" s="595" t="inlineStr">
        <x:is>
          <x:t xml:space="preserve">2026-09-18</x:t>
        </x:is>
      </x:c>
      <x:c r="B139" s="595" t="inlineStr">
        <x:is>
          <x:t xml:space="preserve">2026-09-18 18:00</x:t>
        </x:is>
      </x:c>
      <x:c r="C139" s="595" t="str">
        <x:v>其他系列</x:v>
      </x:c>
      <x:c r="D139" s="595" t="inlineStr">
        <x:is>
          <x:t xml:space="preserve">杯赛</x:t>
        </x:is>
      </x:c>
      <x:c r="E139" s="595" t="inlineStr">
        <x:is>
          <x:t xml:space="preserve">非青杯外</x:t>
        </x:is>
      </x:c>
      <x:c r="F139" s="595" t="inlineStr">
        <x:is>
          <x:t xml:space="preserve">毛里求斯U20 vs 纳米比亚U20</x:t>
        </x:is>
      </x:c>
      <x:c r="G139" s="596" t="n">
        <x:v>0.92</x:v>
      </x:c>
      <x:c r="H139" s="596" t="n">
        <x:v>-1</x:v>
      </x:c>
      <x:c r="I139" s="596" t="n">
        <x:v>0.78</x:v>
      </x:c>
      <x:c r="J139" s="596" t="inlineStr">
        <x:is>
          <x:t xml:space="preserve">0.92/-1/0.78</x:t>
        </x:is>
      </x:c>
      <x:c r="K139" s="595" t="inlineStr">
        <x:is>
          <x:t xml:space="preserve">V4-C｜EV +0.0321</x:t>
        </x:is>
      </x:c>
      <x:c r="L139" s="595" t="inlineStr">
        <x:is>
          <x:t xml:space="preserve">毛里求斯U20</x:t>
        </x:is>
      </x:c>
      <x:c r="M139" s="597" t="n">
        <x:v>0.5423728813559322</x:v>
      </x:c>
      <x:c r="N139" s="595" t="inlineStr">
        <x:is>
          <x:t xml:space="preserve">V4纸面入选-C</x:t>
        </x:is>
      </x:c>
      <x:c r="O139" s="595" t="inlineStr">
        <x:is>
          <x:t xml:space="preserve">0-1</x:t>
        </x:is>
      </x:c>
      <x:c r="P139" s="595" t="inlineStr">
        <x:is>
          <x:t xml:space="preserve">已结算</x:t>
        </x:is>
      </x:c>
      <x:c r="Q139" s="644" t="inlineStr">
        <x:is>
          <x:t xml:space="preserve">走</x:t>
        </x:is>
      </x:c>
      <x:c r="R139" s="599" t="n">
        <x:v>0.92</x:v>
      </x:c>
      <x:c r="S139" s="599" t="n">
        <x:f>IF(OR(Q139="",Q139="待结算"),"",IF(Q139="红",R139,IF(Q139="半红",R139*0.5,IF(Q139="走",0,IF(Q139="半黑",-0.5,-1)))))</x:f>
        <x:v>0</x:v>
      </x:c>
      <x:c r="T139" s="595" t="inlineStr">
        <x:is>
          <x:t xml:space="preserve">https://zq.titan007.com/analysis/3089637cn.htm</x:t>
        </x:is>
      </x:c>
      <x:c r="U139" s="644" t="str">
        <x:f>IF(Q139="","",IF(Q139="待结算","待结算",IF(Q139="红","黑",IF(Q139="半红","半黑",IF(Q139="走","走",IF(Q139="半黑","半红","红"))))))</x:f>
        <x:v>走</x:v>
      </x:c>
      <x:c r="V139" s="599" t="n">
        <x:f>IF(OR(Q139="",Q139="待结算"),"",IF(L139=LEFT(F139,FIND(" vs ",F139)-1),I139,G139))</x:f>
        <x:v>0.78</x:v>
      </x:c>
      <x:c r="W139" s="599" t="n">
        <x:f>IF(OR(U139="",U139="待结算"),"",IF(U139="红",V139,IF(U139="半红",V139*0.5,IF(U139="走",0,IF(U139="半黑",-0.5,-1)))))</x:f>
        <x:v>0</x:v>
      </x:c>
      <x:c r="X139" s="595" t="inlineStr">
        <x:is>
          <x:t xml:space="preserve">3089637</x:t>
        </x:is>
      </x:c>
      <x:c r="Y139" s="595" t="inlineStr">
        <x:is>
          <x:t xml:space="preserve">v4-market-dirichlet-20260913</x:t>
        </x:is>
      </x:c>
      <x:c r="Z139" s="595" t="inlineStr">
        <x:is>
          <x:t xml:space="preserve">prior-2026-09-18-v1</x:t>
        </x:is>
      </x:c>
      <x:c r="AA139" s="595" t="inlineStr">
        <x:is>
          <x:t xml:space="preserve">C</x:t>
        </x:is>
      </x:c>
      <x:c r="AB139" s="600" t="n">
        <x:v>0.4210526315789473</x:v>
      </x:c>
      <x:c r="AC139" s="600" t="n">
        <x:v>0</x:v>
      </x:c>
      <x:c r="AD139" s="600" t="n">
        <x:v>0.2236842105263158</x:v>
      </x:c>
      <x:c r="AE139" s="600" t="n">
        <x:v>0</x:v>
      </x:c>
      <x:c r="AF139" s="600" t="n">
        <x:v>0.3552631578947368</x:v>
      </x:c>
      <x:c r="AG139" s="600" t="n">
        <x:v>0.03210526315789475</x:v>
      </x:c>
      <x:c r="AH139" s="600" t="n">
        <x:v>-0.12820966164164</x:v>
      </x:c>
      <x:c r="AI139" s="600" t="n">
        <x:v>-0.0916212157897543</x:v>
      </x:c>
      <x:c r="AJ139" s="600" t="n">
        <x:v>0.0322331598345913</x:v>
      </x:c>
      <x:c r="AK139" s="600" t="n">
        <x:v>0.1593235979707519</x:v>
      </x:c>
      <x:c r="AL139" s="600" t="n">
        <x:v>0.1926181446134301</x:v>
      </x:c>
      <x:c r="AM139" s="600" t="n">
        <x:v>0.6352</x:v>
      </x:c>
      <x:c r="AN139" s="595" t="inlineStr">
        <x:is>
          <x:t xml:space="preserve">EVALUATED</x:t>
        </x:is>
      </x:c>
      <x:c r="AO139" s="600" t="inlineStr">
        <x:is>
          <x:t xml:space="preserve">BUCKET_1.00、SIDE_IDENTITY_VALID、FLAT_LINE_GIVING_WATER_DROP</x:t>
        </x:is>
      </x:c>
      <x:c r="AP139" s="600" t="inlineStr">
        <x:is>
          <x:t xml:space="preserve">aacbff917c79a17dbcc2</x:t>
        </x:is>
      </x:c>
      <x:c r="AQ139" s="600" t="n">
        <x:v>1</x:v>
      </x:c>
      <x:c r="AR139" s="600" t="n">
        <x:v>0.92</x:v>
      </x:c>
      <x:c r="AS139" s="600" t="n">
        <x:v>1</x:v>
      </x:c>
      <x:c r="AT139" s="600" t="n">
        <x:v>-1</x:v>
      </x:c>
      <x:c r="AU139" s="600" t="n">
        <x:v>0.92</x:v>
      </x:c>
      <x:c r="AV139" s="600" t="n">
        <x:v>0.78</x:v>
      </x:c>
      <x:c r="AW139" s="595" t="n">
        <x:v>46283.33365373842</x:v>
      </x:c>
      <x:c r="AX139" s="595" t="inlineStr">
        <x:is>
          <x:t xml:space="preserve">https://simondongxiao.github.io/odds/v4/</x:t>
        </x:is>
      </x:c>
      <x:c r="AY139" s="595" t="inlineStr">
        <x:is>
          <x:t xml:space="preserve">V4 Shadow Only；real_money=false；比分差异详见记录审计</x:t>
        </x:is>
      </x:c>
    </x:row>
    <x:row r="140" ht="22" customHeight="1">
      <x:c r="A140" s="595" t="inlineStr">
        <x:is>
          <x:t xml:space="preserve">2026-09-18</x:t>
        </x:is>
      </x:c>
      <x:c r="B140" s="595" t="inlineStr">
        <x:is>
          <x:t xml:space="preserve">2026-09-18 18:30</x:t>
        </x:is>
      </x:c>
      <x:c r="C140" s="595" t="str">
        <x:v>其他系列</x:v>
      </x:c>
      <x:c r="D140" s="595" t="inlineStr">
        <x:is>
          <x:t xml:space="preserve">联赛</x:t>
        </x:is>
      </x:c>
      <x:c r="E140" s="595" t="inlineStr">
        <x:is>
          <x:t xml:space="preserve">亚运男足</x:t>
        </x:is>
      </x:c>
      <x:c r="F140" s="595" t="inlineStr">
        <x:is>
          <x:t xml:space="preserve">沙特阿拉伯U23(中) vs 卡塔尔U23</x:t>
        </x:is>
      </x:c>
      <x:c r="G140" s="596" t="n">
        <x:v>0.95</x:v>
      </x:c>
      <x:c r="H140" s="596" t="n">
        <x:v>1</x:v>
      </x:c>
      <x:c r="I140" s="596" t="n">
        <x:v>0.87</x:v>
      </x:c>
      <x:c r="J140" s="596" t="inlineStr">
        <x:is>
          <x:t xml:space="preserve">0.95/1/0.87</x:t>
        </x:is>
      </x:c>
      <x:c r="K140" s="595" t="inlineStr">
        <x:is>
          <x:t xml:space="preserve">V4-C｜EV +0.0111</x:t>
        </x:is>
      </x:c>
      <x:c r="L140" s="595" t="inlineStr">
        <x:is>
          <x:t xml:space="preserve">卡塔尔U23</x:t>
        </x:is>
      </x:c>
      <x:c r="M140" s="597" t="n">
        <x:v>0.5423728813559322</x:v>
      </x:c>
      <x:c r="N140" s="595" t="inlineStr">
        <x:is>
          <x:t xml:space="preserve">V4纸面入选-C</x:t>
        </x:is>
      </x:c>
      <x:c r="O140" s="595" t="inlineStr">
        <x:is>
          <x:t xml:space="preserve">2-0</x:t>
        </x:is>
      </x:c>
      <x:c r="P140" s="595" t="inlineStr">
        <x:is>
          <x:t xml:space="preserve">已结算</x:t>
        </x:is>
      </x:c>
      <x:c r="Q140" s="641" t="inlineStr">
        <x:is>
          <x:t xml:space="preserve">黑</x:t>
        </x:is>
      </x:c>
      <x:c r="R140" s="599" t="n">
        <x:v>0.87</x:v>
      </x:c>
      <x:c r="S140" s="599" t="n">
        <x:f>IF(OR(Q140="",Q140="待结算"),"",IF(Q140="红",R140,IF(Q140="半红",R140*0.5,IF(Q140="走",0,IF(Q140="半黑",-0.5,-1)))))</x:f>
        <x:v>-1</x:v>
      </x:c>
      <x:c r="T140" s="595" t="inlineStr">
        <x:is>
          <x:t xml:space="preserve">https://zq.titan007.com/analysis/3049668cn.htm</x:t>
        </x:is>
      </x:c>
      <x:c r="U140" s="640" t="str">
        <x:f>IF(Q140="","",IF(Q140="待结算","待结算",IF(Q140="红","黑",IF(Q140="半红","半黑",IF(Q140="走","走",IF(Q140="半黑","半红","红"))))))</x:f>
        <x:v>红</x:v>
      </x:c>
      <x:c r="V140" s="599" t="n">
        <x:f>IF(OR(Q140="",Q140="待结算"),"",IF(L140=LEFT(F140,FIND(" vs ",F140)-1),I140,G140))</x:f>
        <x:v>0.95</x:v>
      </x:c>
      <x:c r="W140" s="599" t="n">
        <x:f>IF(OR(U140="",U140="待结算"),"",IF(U140="红",V140,IF(U140="半红",V140*0.5,IF(U140="走",0,IF(U140="半黑",-0.5,-1)))))</x:f>
        <x:v>0.95</x:v>
      </x:c>
      <x:c r="X140" s="595" t="inlineStr">
        <x:is>
          <x:t xml:space="preserve">3049668</x:t>
        </x:is>
      </x:c>
      <x:c r="Y140" s="595" t="inlineStr">
        <x:is>
          <x:t xml:space="preserve">v4-market-dirichlet-20260913</x:t>
        </x:is>
      </x:c>
      <x:c r="Z140" s="595" t="inlineStr">
        <x:is>
          <x:t xml:space="preserve">prior-2026-09-18-v1</x:t>
        </x:is>
      </x:c>
      <x:c r="AA140" s="595" t="inlineStr">
        <x:is>
          <x:t xml:space="preserve">C</x:t>
        </x:is>
      </x:c>
      <x:c r="AB140" s="600" t="n">
        <x:v>0.4210526315789473</x:v>
      </x:c>
      <x:c r="AC140" s="600" t="n">
        <x:v>0</x:v>
      </x:c>
      <x:c r="AD140" s="600" t="n">
        <x:v>0.2236842105263158</x:v>
      </x:c>
      <x:c r="AE140" s="600" t="n">
        <x:v>0</x:v>
      </x:c>
      <x:c r="AF140" s="600" t="n">
        <x:v>0.3552631578947368</x:v>
      </x:c>
      <x:c r="AG140" s="600" t="n">
        <x:v>0.01105263157894737</x:v>
      </x:c>
      <x:c r="AH140" s="600" t="n">
        <x:v>-0.1455947960487499</x:v>
      </x:c>
      <x:c r="AI140" s="600" t="n">
        <x:v>-0.1099180086370454</x:v>
      </x:c>
      <x:c r="AJ140" s="600" t="n">
        <x:v>0.008053104451250515</x:v>
      </x:c>
      <x:c r="AK140" s="600" t="n">
        <x:v>0.1310568928816326</x:v>
      </x:c>
      <x:c r="AL140" s="600" t="n">
        <x:v>0.1608179428884857</x:v>
      </x:c>
      <x:c r="AM140" s="600" t="n">
        <x:v>0.5342</x:v>
      </x:c>
      <x:c r="AN140" s="595" t="inlineStr">
        <x:is>
          <x:t xml:space="preserve">EVALUATED</x:t>
        </x:is>
      </x:c>
      <x:c r="AO140" s="600" t="inlineStr">
        <x:is>
          <x:t xml:space="preserve">BUCKET_1.00、SIDE_IDENTITY_VALID、FLAT_LINE_GIVING_WATER_RISE</x:t>
        </x:is>
      </x:c>
      <x:c r="AP140" s="600" t="inlineStr">
        <x:is>
          <x:t xml:space="preserve">e8ee97507d185dc0c82b</x:t>
        </x:is>
      </x:c>
      <x:c r="AQ140" s="600" t="n">
        <x:v>1</x:v>
      </x:c>
      <x:c r="AR140" s="600" t="n">
        <x:v>0.87</x:v>
      </x:c>
      <x:c r="AS140" s="600" t="n">
        <x:v>-1</x:v>
      </x:c>
      <x:c r="AT140" s="600" t="n">
        <x:v>1</x:v>
      </x:c>
      <x:c r="AU140" s="600" t="n">
        <x:v>0.95</x:v>
      </x:c>
      <x:c r="AV140" s="600" t="n">
        <x:v>0.87</x:v>
      </x:c>
      <x:c r="AW140" s="595" t="n">
        <x:v>46283.33365373842</x:v>
      </x:c>
      <x:c r="AX140" s="595" t="inlineStr">
        <x:is>
          <x:t xml:space="preserve">https://simondongxiao.github.io/odds/v4/</x:t>
        </x:is>
      </x:c>
      <x:c r="AY140" s="595" t="inlineStr">
        <x:is>
          <x:t xml:space="preserve">V4 Shadow Only；real_money=false；比分差异详见记录审计</x:t>
        </x:is>
      </x:c>
    </x:row>
    <x:row r="141" ht="22" customHeight="1">
      <x:c r="A141" s="595" t="inlineStr">
        <x:is>
          <x:t xml:space="preserve">2026-09-18</x:t>
        </x:is>
      </x:c>
      <x:c r="B141" s="595" t="inlineStr">
        <x:is>
          <x:t xml:space="preserve">2026-09-18 19:30</x:t>
        </x:is>
      </x:c>
      <x:c r="C141" s="595" t="str">
        <x:v>日韩系列</x:v>
      </x:c>
      <x:c r="D141" s="595" t="inlineStr">
        <x:is>
          <x:t xml:space="preserve">联赛</x:t>
        </x:is>
      </x:c>
      <x:c r="E141" s="595" t="inlineStr">
        <x:is>
          <x:t xml:space="preserve">中甲</x:t>
        </x:is>
      </x:c>
      <x:c r="F141" s="595" t="inlineStr">
        <x:is>
          <x:t xml:space="preserve">南通支云 vs 广西恒宸</x:t>
        </x:is>
      </x:c>
      <x:c r="G141" s="596" t="n">
        <x:v>0.8100000000000001</x:v>
      </x:c>
      <x:c r="H141" s="596" t="n">
        <x:v>0.5</x:v>
      </x:c>
      <x:c r="I141" s="596" t="n">
        <x:v>1.01</x:v>
      </x:c>
      <x:c r="J141" s="596" t="inlineStr">
        <x:is>
          <x:t xml:space="preserve">0.81/0.5/1.01</x:t>
        </x:is>
      </x:c>
      <x:c r="K141" s="595" t="inlineStr">
        <x:is>
          <x:t xml:space="preserve">V4-C｜EV +0.0107</x:t>
        </x:is>
      </x:c>
      <x:c r="L141" s="595" t="inlineStr">
        <x:is>
          <x:t xml:space="preserve">广西恒宸</x:t>
        </x:is>
      </x:c>
      <x:c r="M141" s="597" t="n">
        <x:v>0.5028571428571429</x:v>
      </x:c>
      <x:c r="N141" s="595" t="inlineStr">
        <x:is>
          <x:t xml:space="preserve">V4纸面入选-C</x:t>
        </x:is>
      </x:c>
      <x:c r="O141" s="595" t="inlineStr">
        <x:is>
          <x:t xml:space="preserve">0-1</x:t>
        </x:is>
      </x:c>
      <x:c r="P141" s="595" t="inlineStr">
        <x:is>
          <x:t xml:space="preserve">已结算</x:t>
        </x:is>
      </x:c>
      <x:c r="Q141" s="640" t="inlineStr">
        <x:is>
          <x:t xml:space="preserve">红</x:t>
        </x:is>
      </x:c>
      <x:c r="R141" s="599" t="n">
        <x:v>1.01</x:v>
      </x:c>
      <x:c r="S141" s="599" t="n">
        <x:f>IF(OR(Q141="",Q141="待结算"),"",IF(Q141="红",R141,IF(Q141="半红",R141*0.5,IF(Q141="走",0,IF(Q141="半黑",-0.5,-1)))))</x:f>
        <x:v>1.01</x:v>
      </x:c>
      <x:c r="T141" s="595" t="inlineStr">
        <x:is>
          <x:t xml:space="preserve">https://zq.titan007.com/analysis/2951655cn.htm</x:t>
        </x:is>
      </x:c>
      <x:c r="U141" s="641" t="str">
        <x:f>IF(Q141="","",IF(Q141="待结算","待结算",IF(Q141="红","黑",IF(Q141="半红","半黑",IF(Q141="走","走",IF(Q141="半黑","半红","红"))))))</x:f>
        <x:v>黑</x:v>
      </x:c>
      <x:c r="V141" s="599" t="n">
        <x:f>IF(OR(Q141="",Q141="待结算"),"",IF(L141=LEFT(F141,FIND(" vs ",F141)-1),I141,G141))</x:f>
        <x:v>0.81</x:v>
      </x:c>
      <x:c r="W141" s="599" t="n">
        <x:f>IF(OR(U141="",U141="待结算"),"",IF(U141="红",V141,IF(U141="半红",V141*0.5,IF(U141="走",0,IF(U141="半黑",-0.5,-1)))))</x:f>
        <x:v>-1</x:v>
      </x:c>
      <x:c r="X141" s="595" t="inlineStr">
        <x:is>
          <x:t xml:space="preserve">2951655</x:t>
        </x:is>
      </x:c>
      <x:c r="Y141" s="595" t="inlineStr">
        <x:is>
          <x:t xml:space="preserve">v4-market-dirichlet-20260913</x:t>
        </x:is>
      </x:c>
      <x:c r="Z141" s="595" t="inlineStr">
        <x:is>
          <x:t xml:space="preserve">prior-2026-09-18-v1</x:t>
        </x:is>
      </x:c>
      <x:c r="AA141" s="595" t="inlineStr">
        <x:is>
          <x:t xml:space="preserve">C</x:t>
        </x:is>
      </x:c>
      <x:c r="AB141" s="600" t="n">
        <x:v>0.5028571428571429</x:v>
      </x:c>
      <x:c r="AC141" s="600" t="n">
        <x:v>0</x:v>
      </x:c>
      <x:c r="AD141" s="600" t="n">
        <x:v>0</x:v>
      </x:c>
      <x:c r="AE141" s="600" t="n">
        <x:v>0</x:v>
      </x:c>
      <x:c r="AF141" s="600" t="n">
        <x:v>0.4971428571428572</x:v>
      </x:c>
      <x:c r="AG141" s="600" t="n">
        <x:v>0.01074285714285711</x:v>
      </x:c>
      <x:c r="AH141" s="600" t="n">
        <x:v>-0.1185944531360622</x:v>
      </x:c>
      <x:c r="AI141" s="600" t="n">
        <x:v>-0.08928996134970468</x:v>
      </x:c>
      <x:c r="AJ141" s="600" t="n">
        <x:v>0.01051566884590083</x:v>
      </x:c>
      <x:c r="AK141" s="600" t="n">
        <x:v>0.1076137093895351</x:v>
      </x:c>
      <x:c r="AL141" s="600" t="n">
        <x:v>0.1373128956046076</x:v>
      </x:c>
      <x:c r="AM141" s="600" t="n">
        <x:v>0.5588</x:v>
      </x:c>
      <x:c r="AN141" s="595" t="inlineStr">
        <x:is>
          <x:t xml:space="preserve">EVALUATED</x:t>
        </x:is>
      </x:c>
      <x:c r="AO141" s="600" t="inlineStr">
        <x:is>
          <x:t xml:space="preserve">BUCKET_0.50、SIDE_IDENTITY_VALID、FLAT_LINE_GIVING_WATER_DROP</x:t>
        </x:is>
      </x:c>
      <x:c r="AP141" s="600" t="inlineStr">
        <x:is>
          <x:t xml:space="preserve">969787d538d3a20e0558</x:t>
        </x:is>
      </x:c>
      <x:c r="AQ141" s="600" t="n">
        <x:v>0.5</x:v>
      </x:c>
      <x:c r="AR141" s="600" t="n">
        <x:v>1.01</x:v>
      </x:c>
      <x:c r="AS141" s="600" t="n">
        <x:v>-0.5</x:v>
      </x:c>
      <x:c r="AT141" s="600" t="n">
        <x:v>0.5</x:v>
      </x:c>
      <x:c r="AU141" s="600" t="n">
        <x:v>0.8100000000000001</x:v>
      </x:c>
      <x:c r="AV141" s="600" t="n">
        <x:v>1.01</x:v>
      </x:c>
      <x:c r="AW141" s="595" t="n">
        <x:v>46283.33365373842</x:v>
      </x:c>
      <x:c r="AX141" s="595" t="inlineStr">
        <x:is>
          <x:t xml:space="preserve">https://simondongxiao.github.io/odds/v4/</x:t>
        </x:is>
      </x:c>
      <x:c r="AY141" s="595" t="inlineStr">
        <x:is>
          <x:t xml:space="preserve">V4 Shadow Only；real_money=false；比分差异详见记录审计</x:t>
        </x:is>
      </x:c>
    </x:row>
    <x:row r="142" ht="22" customHeight="1">
      <x:c r="A142" s="595" t="inlineStr">
        <x:is>
          <x:t xml:space="preserve">2026-09-18</x:t>
        </x:is>
      </x:c>
      <x:c r="B142" s="595" t="inlineStr">
        <x:is>
          <x:t xml:space="preserve">2026-09-18 20:00</x:t>
        </x:is>
      </x:c>
      <x:c r="C142" s="595" t="str">
        <x:v>其他系列</x:v>
      </x:c>
      <x:c r="D142" s="595" t="inlineStr">
        <x:is>
          <x:t xml:space="preserve">联赛</x:t>
        </x:is>
      </x:c>
      <x:c r="E142" s="595" t="inlineStr">
        <x:is>
          <x:t xml:space="preserve">泰超</x:t>
        </x:is>
      </x:c>
      <x:c r="F142" s="595" t="inlineStr">
        <x:is>
          <x:t xml:space="preserve">阿尤塔亚联 vs 乌泰他尼</x:t>
        </x:is>
      </x:c>
      <x:c r="G142" s="596" t="n">
        <x:v>1.02</x:v>
      </x:c>
      <x:c r="H142" s="596" t="n">
        <x:v>0.25</x:v>
      </x:c>
      <x:c r="I142" s="596" t="n">
        <x:v>0.68</x:v>
      </x:c>
      <x:c r="J142" s="596" t="inlineStr">
        <x:is>
          <x:t xml:space="preserve">1.02/0.25/0.68</x:t>
        </x:is>
      </x:c>
      <x:c r="K142" s="595" t="inlineStr">
        <x:is>
          <x:t xml:space="preserve">V4-C｜EV +0.0067</x:t>
        </x:is>
      </x:c>
      <x:c r="L142" s="595" t="inlineStr">
        <x:is>
          <x:t xml:space="preserve">阿尤塔亚联</x:t>
        </x:is>
      </x:c>
      <x:c r="M142" s="597" t="n">
        <x:v>0.4989775051124744</x:v>
      </x:c>
      <x:c r="N142" s="595" t="inlineStr">
        <x:is>
          <x:t xml:space="preserve">V4纸面入选-C</x:t>
        </x:is>
      </x:c>
      <x:c r="O142" s="595" t="inlineStr">
        <x:is>
          <x:t xml:space="preserve">1-2</x:t>
        </x:is>
      </x:c>
      <x:c r="P142" s="595" t="inlineStr">
        <x:is>
          <x:t xml:space="preserve">已结算</x:t>
        </x:is>
      </x:c>
      <x:c r="Q142" s="641" t="inlineStr">
        <x:is>
          <x:t xml:space="preserve">黑</x:t>
        </x:is>
      </x:c>
      <x:c r="R142" s="599" t="n">
        <x:v>1.02</x:v>
      </x:c>
      <x:c r="S142" s="599" t="n">
        <x:f>IF(OR(Q142="",Q142="待结算"),"",IF(Q142="红",R142,IF(Q142="半红",R142*0.5,IF(Q142="走",0,IF(Q142="半黑",-0.5,-1)))))</x:f>
        <x:v>-1</x:v>
      </x:c>
      <x:c r="T142" s="595" t="inlineStr">
        <x:is>
          <x:t xml:space="preserve">https://zq.titan007.com/analysis/3037117cn.htm</x:t>
        </x:is>
      </x:c>
      <x:c r="U142" s="640" t="str">
        <x:f>IF(Q142="","",IF(Q142="待结算","待结算",IF(Q142="红","黑",IF(Q142="半红","半黑",IF(Q142="走","走",IF(Q142="半黑","半红","红"))))))</x:f>
        <x:v>红</x:v>
      </x:c>
      <x:c r="V142" s="599" t="n">
        <x:f>IF(OR(Q142="",Q142="待结算"),"",IF(L142=LEFT(F142,FIND(" vs ",F142)-1),I142,G142))</x:f>
        <x:v>0.68</x:v>
      </x:c>
      <x:c r="W142" s="599" t="n">
        <x:f>IF(OR(U142="",U142="待结算"),"",IF(U142="红",V142,IF(U142="半红",V142*0.5,IF(U142="走",0,IF(U142="半黑",-0.5,-1)))))</x:f>
        <x:v>0.68</x:v>
      </x:c>
      <x:c r="X142" s="595" t="inlineStr">
        <x:is>
          <x:t xml:space="preserve">3037117</x:t>
        </x:is>
      </x:c>
      <x:c r="Y142" s="595" t="inlineStr">
        <x:is>
          <x:t xml:space="preserve">v4-market-dirichlet-20260913</x:t>
        </x:is>
      </x:c>
      <x:c r="Z142" s="595" t="inlineStr">
        <x:is>
          <x:t xml:space="preserve">prior-2026-09-18-v1</x:t>
        </x:is>
      </x:c>
      <x:c r="AA142" s="595" t="inlineStr">
        <x:is>
          <x:t xml:space="preserve">C</x:t>
        </x:is>
      </x:c>
      <x:c r="AB142" s="600" t="n">
        <x:v>0.4236111111111111</x:v>
      </x:c>
      <x:c r="AC142" s="600" t="n">
        <x:v>0</x:v>
      </x:c>
      <x:c r="AD142" s="600" t="n">
        <x:v>0</x:v>
      </x:c>
      <x:c r="AE142" s="600" t="n">
        <x:v>0.3020833333333333</x:v>
      </x:c>
      <x:c r="AF142" s="600" t="n">
        <x:v>0.2743055555555556</x:v>
      </x:c>
      <x:c r="AG142" s="600" t="n">
        <x:v>0.006736111111111054</x:v>
      </x:c>
      <x:c r="AH142" s="600" t="n">
        <x:v>-0.08113561163152835</x:v>
      </x:c>
      <x:c r="AI142" s="600" t="n">
        <x:v>-0.062063235773238</x:v>
      </x:c>
      <x:c r="AJ142" s="600" t="n">
        <x:v>0.007034576183670593</x:v>
      </x:c>
      <x:c r="AK142" s="600" t="n">
        <x:v>0.07413647855528699</x:v>
      </x:c>
      <x:c r="AL142" s="600" t="n">
        <x:v>0.0903842462588425</x:v>
      </x:c>
      <x:c r="AM142" s="600" t="n">
        <x:v>0.5498</x:v>
      </x:c>
      <x:c r="AN142" s="595" t="inlineStr">
        <x:is>
          <x:t xml:space="preserve">EVALUATED</x:t>
        </x:is>
      </x:c>
      <x:c r="AO142" s="600" t="inlineStr">
        <x:is>
          <x:t xml:space="preserve">BUCKET_0.25、SIDE_IDENTITY_VALID、MARKET_MOVE_DEEPER_WITH_GIVING_WATER_RISE</x:t>
        </x:is>
      </x:c>
      <x:c r="AP142" s="600" t="inlineStr">
        <x:is>
          <x:t xml:space="preserve">f96432f1412358f12f42</x:t>
        </x:is>
      </x:c>
      <x:c r="AQ142" s="600" t="n">
        <x:v>-0.25</x:v>
      </x:c>
      <x:c r="AR142" s="600" t="n">
        <x:v>1.02</x:v>
      </x:c>
      <x:c r="AS142" s="600" t="n">
        <x:v>-0.25</x:v>
      </x:c>
      <x:c r="AT142" s="600" t="n">
        <x:v>0.25</x:v>
      </x:c>
      <x:c r="AU142" s="600" t="n">
        <x:v>1.02</x:v>
      </x:c>
      <x:c r="AV142" s="600" t="n">
        <x:v>0.68</x:v>
      </x:c>
      <x:c r="AW142" s="595" t="n">
        <x:v>46283.33365373842</x:v>
      </x:c>
      <x:c r="AX142" s="595" t="inlineStr">
        <x:is>
          <x:t xml:space="preserve">https://simondongxiao.github.io/odds/v4/</x:t>
        </x:is>
      </x:c>
      <x:c r="AY142" s="595" t="inlineStr">
        <x:is>
          <x:t xml:space="preserve">V4 Shadow Only；real_money=false；比分差异详见记录审计</x:t>
        </x:is>
      </x:c>
    </x:row>
    <x:row r="143" ht="22" customHeight="1">
      <x:c r="A143" s="595" t="inlineStr">
        <x:is>
          <x:t xml:space="preserve">2026-09-18</x:t>
        </x:is>
      </x:c>
      <x:c r="B143" s="595" t="inlineStr">
        <x:is>
          <x:t xml:space="preserve">2026-09-18 21:00</x:t>
        </x:is>
      </x:c>
      <x:c r="C143" s="595" t="str">
        <x:v>欧洲非五大系列</x:v>
      </x:c>
      <x:c r="D143" s="595" t="inlineStr">
        <x:is>
          <x:t xml:space="preserve">联赛</x:t>
        </x:is>
      </x:c>
      <x:c r="E143" s="595" t="inlineStr">
        <x:is>
          <x:t xml:space="preserve">土甲</x:t>
        </x:is>
      </x:c>
      <x:c r="F143" s="595" t="inlineStr">
        <x:is>
          <x:t xml:space="preserve">班迪马士邦 vs 尤姆尼耶士邦</x:t>
        </x:is>
      </x:c>
      <x:c r="G143" s="596" t="n">
        <x:v>0.7</x:v>
      </x:c>
      <x:c r="H143" s="596" t="n">
        <x:v>0.5</x:v>
      </x:c>
      <x:c r="I143" s="596" t="n">
        <x:v>1.13</x:v>
      </x:c>
      <x:c r="J143" s="596" t="inlineStr">
        <x:is>
          <x:t xml:space="preserve">0.70/0.5/1.13</x:t>
        </x:is>
      </x:c>
      <x:c r="K143" s="595" t="inlineStr">
        <x:is>
          <x:t xml:space="preserve">V4-C｜EV +0.0711</x:t>
        </x:is>
      </x:c>
      <x:c r="L143" s="595" t="inlineStr">
        <x:is>
          <x:t xml:space="preserve">尤姆尼耶士邦</x:t>
        </x:is>
      </x:c>
      <x:c r="M143" s="597" t="n">
        <x:v>0.5028571428571429</x:v>
      </x:c>
      <x:c r="N143" s="595" t="inlineStr">
        <x:is>
          <x:t xml:space="preserve">V4纸面入选-C</x:t>
        </x:is>
      </x:c>
      <x:c r="O143" s="595" t="inlineStr">
        <x:is>
          <x:t xml:space="preserve">0-1</x:t>
        </x:is>
      </x:c>
      <x:c r="P143" s="595" t="inlineStr">
        <x:is>
          <x:t xml:space="preserve">已结算</x:t>
        </x:is>
      </x:c>
      <x:c r="Q143" s="640" t="inlineStr">
        <x:is>
          <x:t xml:space="preserve">红</x:t>
        </x:is>
      </x:c>
      <x:c r="R143" s="599" t="n">
        <x:v>1.13</x:v>
      </x:c>
      <x:c r="S143" s="599" t="n">
        <x:f>IF(OR(Q143="",Q143="待结算"),"",IF(Q143="红",R143,IF(Q143="半红",R143*0.5,IF(Q143="走",0,IF(Q143="半黑",-0.5,-1)))))</x:f>
        <x:v>1.13</x:v>
      </x:c>
      <x:c r="T143" s="595" t="inlineStr">
        <x:is>
          <x:t xml:space="preserve">https://zq.titan007.com/analysis/3030156cn.htm</x:t>
        </x:is>
      </x:c>
      <x:c r="U143" s="641" t="str">
        <x:f>IF(Q143="","",IF(Q143="待结算","待结算",IF(Q143="红","黑",IF(Q143="半红","半黑",IF(Q143="走","走",IF(Q143="半黑","半红","红"))))))</x:f>
        <x:v>黑</x:v>
      </x:c>
      <x:c r="V143" s="599" t="n">
        <x:f>IF(OR(Q143="",Q143="待结算"),"",IF(L143=LEFT(F143,FIND(" vs ",F143)-1),I143,G143))</x:f>
        <x:v>0.7</x:v>
      </x:c>
      <x:c r="W143" s="599" t="n">
        <x:f>IF(OR(U143="",U143="待结算"),"",IF(U143="红",V143,IF(U143="半红",V143*0.5,IF(U143="走",0,IF(U143="半黑",-0.5,-1)))))</x:f>
        <x:v>-1</x:v>
      </x:c>
      <x:c r="X143" s="595" t="inlineStr">
        <x:is>
          <x:t xml:space="preserve">3030156</x:t>
        </x:is>
      </x:c>
      <x:c r="Y143" s="595" t="inlineStr">
        <x:is>
          <x:t xml:space="preserve">v4-market-dirichlet-20260913</x:t>
        </x:is>
      </x:c>
      <x:c r="Z143" s="595" t="inlineStr">
        <x:is>
          <x:t xml:space="preserve">prior-2026-09-18-v1</x:t>
        </x:is>
      </x:c>
      <x:c r="AA143" s="595" t="inlineStr">
        <x:is>
          <x:t xml:space="preserve">C</x:t>
        </x:is>
      </x:c>
      <x:c r="AB143" s="600" t="n">
        <x:v>0.5028571428571429</x:v>
      </x:c>
      <x:c r="AC143" s="600" t="n">
        <x:v>0</x:v>
      </x:c>
      <x:c r="AD143" s="600" t="n">
        <x:v>0</x:v>
      </x:c>
      <x:c r="AE143" s="600" t="n">
        <x:v>0</x:v>
      </x:c>
      <x:c r="AF143" s="600" t="n">
        <x:v>0.4971428571428572</x:v>
      </x:c>
      <x:c r="AG143" s="600" t="n">
        <x:v>0.07108571428571425</x:v>
      </x:c>
      <x:c r="AH143" s="600" t="n">
        <x:v>-0.05726598267641092</x:v>
      </x:c>
      <x:c r="AI143" s="600" t="n">
        <x:v>-0.03127983052198191</x:v>
      </x:c>
      <x:c r="AJ143" s="600" t="n">
        <x:v>0.07220276922046315</x:v>
      </x:c>
      <x:c r="AK143" s="600" t="n">
        <x:v>0.1729830003793693</x:v>
      </x:c>
      <x:c r="AL143" s="600" t="n">
        <x:v>0.2036255434012486</x:v>
      </x:c>
      <x:c r="AM143" s="600" t="n">
        <x:v>0.8108</x:v>
      </x:c>
      <x:c r="AN143" s="595" t="inlineStr">
        <x:is>
          <x:t xml:space="preserve">EVALUATED</x:t>
        </x:is>
      </x:c>
      <x:c r="AO143" s="600" t="inlineStr">
        <x:is>
          <x:t xml:space="preserve">BUCKET_0.50、SIDE_IDENTITY_VALID、FLAT_LINE_GIVING_WATER_DROP</x:t>
        </x:is>
      </x:c>
      <x:c r="AP143" s="600" t="inlineStr">
        <x:is>
          <x:t xml:space="preserve">0b3f9918fb116c6d0293</x:t>
        </x:is>
      </x:c>
      <x:c r="AQ143" s="600" t="n">
        <x:v>0.5</x:v>
      </x:c>
      <x:c r="AR143" s="600" t="n">
        <x:v>1.13</x:v>
      </x:c>
      <x:c r="AS143" s="600" t="n">
        <x:v>-0.5</x:v>
      </x:c>
      <x:c r="AT143" s="600" t="n">
        <x:v>0.5</x:v>
      </x:c>
      <x:c r="AU143" s="600" t="n">
        <x:v>0.7</x:v>
      </x:c>
      <x:c r="AV143" s="600" t="n">
        <x:v>1.13</x:v>
      </x:c>
      <x:c r="AW143" s="595" t="n">
        <x:v>46283.33365373842</x:v>
      </x:c>
      <x:c r="AX143" s="595" t="inlineStr">
        <x:is>
          <x:t xml:space="preserve">https://simondongxiao.github.io/odds/v4/</x:t>
        </x:is>
      </x:c>
      <x:c r="AY143" s="595" t="inlineStr">
        <x:is>
          <x:t xml:space="preserve">V4 Shadow Only；real_money=false；比分差异详见记录审计</x:t>
        </x:is>
      </x:c>
    </x:row>
    <x:row r="144" ht="22" customHeight="1">
      <x:c r="A144" s="595" t="inlineStr">
        <x:is>
          <x:t xml:space="preserve">2026-09-18</x:t>
        </x:is>
      </x:c>
      <x:c r="B144" s="595" t="inlineStr">
        <x:is>
          <x:t xml:space="preserve">2026-09-18 21:30</x:t>
        </x:is>
      </x:c>
      <x:c r="C144" s="595" t="str">
        <x:v>西亚/中亚系列</x:v>
      </x:c>
      <x:c r="D144" s="595" t="inlineStr">
        <x:is>
          <x:t xml:space="preserve">联赛</x:t>
        </x:is>
      </x:c>
      <x:c r="E144" s="595" t="inlineStr">
        <x:is>
          <x:t xml:space="preserve">阿塞超</x:t>
        </x:is>
      </x:c>
      <x:c r="F144" s="595" t="inlineStr">
        <x:is>
          <x:t xml:space="preserve">卡巴拉 vs 内弗特奇</x:t>
        </x:is>
      </x:c>
      <x:c r="G144" s="596" t="n">
        <x:v>0.98</x:v>
      </x:c>
      <x:c r="H144" s="596" t="n">
        <x:v>-1</x:v>
      </x:c>
      <x:c r="I144" s="596" t="n">
        <x:v>0.78</x:v>
      </x:c>
      <x:c r="J144" s="596" t="inlineStr">
        <x:is>
          <x:t xml:space="preserve">0.98/-1/0.78</x:t>
        </x:is>
      </x:c>
      <x:c r="K144" s="595" t="inlineStr">
        <x:is>
          <x:t xml:space="preserve">V4-C｜EV +0.0574</x:t>
        </x:is>
      </x:c>
      <x:c r="L144" s="595" t="inlineStr">
        <x:is>
          <x:t xml:space="preserve">卡巴拉</x:t>
        </x:is>
      </x:c>
      <x:c r="M144" s="597" t="n">
        <x:v>0.5423728813559322</x:v>
      </x:c>
      <x:c r="N144" s="595" t="inlineStr">
        <x:is>
          <x:t xml:space="preserve">V4纸面入选-C</x:t>
        </x:is>
      </x:c>
      <x:c r="O144" s="595" t="inlineStr">
        <x:is>
          <x:t xml:space="preserve">0-3</x:t>
        </x:is>
      </x:c>
      <x:c r="P144" s="595" t="inlineStr">
        <x:is>
          <x:t xml:space="preserve">已结算</x:t>
        </x:is>
      </x:c>
      <x:c r="Q144" s="641" t="inlineStr">
        <x:is>
          <x:t xml:space="preserve">黑</x:t>
        </x:is>
      </x:c>
      <x:c r="R144" s="599" t="n">
        <x:v>0.98</x:v>
      </x:c>
      <x:c r="S144" s="599" t="n">
        <x:f>IF(OR(Q144="",Q144="待结算"),"",IF(Q144="红",R144,IF(Q144="半红",R144*0.5,IF(Q144="走",0,IF(Q144="半黑",-0.5,-1)))))</x:f>
        <x:v>-1</x:v>
      </x:c>
      <x:c r="T144" s="595" t="inlineStr">
        <x:is>
          <x:t xml:space="preserve">https://zq.titan007.com/analysis/3041559cn.htm</x:t>
        </x:is>
      </x:c>
      <x:c r="U144" s="640" t="str">
        <x:f>IF(Q144="","",IF(Q144="待结算","待结算",IF(Q144="红","黑",IF(Q144="半红","半黑",IF(Q144="走","走",IF(Q144="半黑","半红","红"))))))</x:f>
        <x:v>红</x:v>
      </x:c>
      <x:c r="V144" s="599" t="n">
        <x:f>IF(OR(Q144="",Q144="待结算"),"",IF(L144=LEFT(F144,FIND(" vs ",F144)-1),I144,G144))</x:f>
        <x:v>0.78</x:v>
      </x:c>
      <x:c r="W144" s="599" t="n">
        <x:f>IF(OR(U144="",U144="待结算"),"",IF(U144="红",V144,IF(U144="半红",V144*0.5,IF(U144="走",0,IF(U144="半黑",-0.5,-1)))))</x:f>
        <x:v>0.78</x:v>
      </x:c>
      <x:c r="X144" s="595" t="inlineStr">
        <x:is>
          <x:t xml:space="preserve">3041559</x:t>
        </x:is>
      </x:c>
      <x:c r="Y144" s="595" t="inlineStr">
        <x:is>
          <x:t xml:space="preserve">v4-market-dirichlet-20260913</x:t>
        </x:is>
      </x:c>
      <x:c r="Z144" s="595" t="inlineStr">
        <x:is>
          <x:t xml:space="preserve">prior-2026-09-18-v1</x:t>
        </x:is>
      </x:c>
      <x:c r="AA144" s="595" t="inlineStr">
        <x:is>
          <x:t xml:space="preserve">C</x:t>
        </x:is>
      </x:c>
      <x:c r="AB144" s="600" t="n">
        <x:v>0.4210526315789473</x:v>
      </x:c>
      <x:c r="AC144" s="600" t="n">
        <x:v>0</x:v>
      </x:c>
      <x:c r="AD144" s="600" t="n">
        <x:v>0.2236842105263158</x:v>
      </x:c>
      <x:c r="AE144" s="600" t="n">
        <x:v>0</x:v>
      </x:c>
      <x:c r="AF144" s="600" t="n">
        <x:v>0.3552631578947368</x:v>
      </x:c>
      <x:c r="AG144" s="600" t="n">
        <x:v>0.05736842105263157</x:v>
      </x:c>
      <x:c r="AH144" s="600" t="n">
        <x:v>-0.1046466101962597</x:v>
      </x:c>
      <x:c r="AI144" s="600" t="n">
        <x:v>-0.07239722927591219</x:v>
      </x:c>
      <x:c r="AJ144" s="600" t="n">
        <x:v>0.0566188046801393</x:v>
      </x:c>
      <x:c r="AK144" s="600" t="n">
        <x:v>0.1818147877983196</x:v>
      </x:c>
      <x:c r="AL144" s="600" t="n">
        <x:v>0.2152584113714913</x:v>
      </x:c>
      <x:c r="AM144" s="600" t="n">
        <x:v>0.7126</x:v>
      </x:c>
      <x:c r="AN144" s="595" t="inlineStr">
        <x:is>
          <x:t xml:space="preserve">EVALUATED</x:t>
        </x:is>
      </x:c>
      <x:c r="AO144" s="600" t="inlineStr">
        <x:is>
          <x:t xml:space="preserve">BUCKET_1.00、SIDE_IDENTITY_VALID、FLAT_LINE_GIVING_WATER_DROP</x:t>
        </x:is>
      </x:c>
      <x:c r="AP144" s="600" t="inlineStr">
        <x:is>
          <x:t xml:space="preserve">89f62e2c8cbedbd01c5b</x:t>
        </x:is>
      </x:c>
      <x:c r="AQ144" s="600" t="n">
        <x:v>1</x:v>
      </x:c>
      <x:c r="AR144" s="600" t="n">
        <x:v>0.98</x:v>
      </x:c>
      <x:c r="AS144" s="600" t="n">
        <x:v>1</x:v>
      </x:c>
      <x:c r="AT144" s="600" t="n">
        <x:v>-1</x:v>
      </x:c>
      <x:c r="AU144" s="600" t="n">
        <x:v>0.98</x:v>
      </x:c>
      <x:c r="AV144" s="600" t="n">
        <x:v>0.78</x:v>
      </x:c>
      <x:c r="AW144" s="595" t="n">
        <x:v>46283.33365373842</x:v>
      </x:c>
      <x:c r="AX144" s="595" t="inlineStr">
        <x:is>
          <x:t xml:space="preserve">https://simondongxiao.github.io/odds/v4/</x:t>
        </x:is>
      </x:c>
      <x:c r="AY144" s="595" t="inlineStr">
        <x:is>
          <x:t xml:space="preserve">V4 Shadow Only；real_money=false；比分差异详见记录审计</x:t>
        </x:is>
      </x:c>
    </x:row>
    <x:row r="145" ht="22" customHeight="1">
      <x:c r="A145" s="595" t="inlineStr">
        <x:is>
          <x:t xml:space="preserve">2026-09-18</x:t>
        </x:is>
      </x:c>
      <x:c r="B145" s="595" t="inlineStr">
        <x:is>
          <x:t xml:space="preserve">2026-09-18 21:30</x:t>
        </x:is>
      </x:c>
      <x:c r="C145" s="595" t="str">
        <x:v>其他系列</x:v>
      </x:c>
      <x:c r="D145" s="595" t="inlineStr">
        <x:is>
          <x:t xml:space="preserve">联赛</x:t>
        </x:is>
      </x:c>
      <x:c r="E145" s="595" t="inlineStr">
        <x:is>
          <x:t xml:space="preserve">埃及甲</x:t>
        </x:is>
      </x:c>
      <x:c r="F145" s="595" t="inlineStr">
        <x:is>
          <x:t xml:space="preserve">拉维耶纳 vs 马萨尔FC</x:t>
        </x:is>
      </x:c>
      <x:c r="G145" s="596" t="n">
        <x:v>1.19</x:v>
      </x:c>
      <x:c r="H145" s="596" t="n">
        <x:v>-0.25</x:v>
      </x:c>
      <x:c r="I145" s="596" t="n">
        <x:v>0.6</x:v>
      </x:c>
      <x:c r="J145" s="596" t="inlineStr">
        <x:is>
          <x:t xml:space="preserve">1.19/-0.25/0.60</x:t>
        </x:is>
      </x:c>
      <x:c r="K145" s="595" t="inlineStr">
        <x:is>
          <x:t xml:space="preserve">V4-B｜EV +0.0826</x:t>
        </x:is>
      </x:c>
      <x:c r="L145" s="595" t="inlineStr">
        <x:is>
          <x:t xml:space="preserve">拉维耶纳</x:t>
        </x:is>
      </x:c>
      <x:c r="M145" s="597" t="n">
        <x:v>0.5010224948875256</x:v>
      </x:c>
      <x:c r="N145" s="595" t="inlineStr">
        <x:is>
          <x:t xml:space="preserve">V4纸面入选-B</x:t>
        </x:is>
      </x:c>
      <x:c r="O145" s="595" t="inlineStr">
        <x:is>
          <x:t xml:space="preserve">1-1</x:t>
        </x:is>
      </x:c>
      <x:c r="P145" s="595" t="inlineStr">
        <x:is>
          <x:t xml:space="preserve">已结算</x:t>
        </x:is>
      </x:c>
      <x:c r="Q145" s="642" t="inlineStr">
        <x:is>
          <x:t xml:space="preserve">半红</x:t>
        </x:is>
      </x:c>
      <x:c r="R145" s="599" t="n">
        <x:v>1.19</x:v>
      </x:c>
      <x:c r="S145" s="599" t="n">
        <x:f>IF(OR(Q145="",Q145="待结算"),"",IF(Q145="红",R145,IF(Q145="半红",R145*0.5,IF(Q145="走",0,IF(Q145="半黑",-0.5,-1)))))</x:f>
        <x:v>0.595</x:v>
      </x:c>
      <x:c r="T145" s="595" t="inlineStr">
        <x:is>
          <x:t xml:space="preserve">https://zq.titan007.com/analysis/3089829cn.htm</x:t>
        </x:is>
      </x:c>
      <x:c r="U145" s="643" t="str">
        <x:f>IF(Q145="","",IF(Q145="待结算","待结算",IF(Q145="红","黑",IF(Q145="半红","半黑",IF(Q145="走","走",IF(Q145="半黑","半红","红"))))))</x:f>
        <x:v>半黑</x:v>
      </x:c>
      <x:c r="V145" s="599" t="n">
        <x:f>IF(OR(Q145="",Q145="待结算"),"",IF(L145=LEFT(F145,FIND(" vs ",F145)-1),I145,G145))</x:f>
        <x:v>0.6</x:v>
      </x:c>
      <x:c r="W145" s="599" t="n">
        <x:f>IF(OR(U145="",U145="待结算"),"",IF(U145="红",V145,IF(U145="半红",V145*0.5,IF(U145="走",0,IF(U145="半黑",-0.5,-1)))))</x:f>
        <x:v>-0.5</x:v>
      </x:c>
      <x:c r="X145" s="595" t="inlineStr">
        <x:is>
          <x:t xml:space="preserve">3089829</x:t>
        </x:is>
      </x:c>
      <x:c r="Y145" s="595" t="inlineStr">
        <x:is>
          <x:t xml:space="preserve">v4-market-dirichlet-20260913</x:t>
        </x:is>
      </x:c>
      <x:c r="Z145" s="595" t="inlineStr">
        <x:is>
          <x:t xml:space="preserve">prior-2026-09-18-v1</x:t>
        </x:is>
      </x:c>
      <x:c r="AA145" s="595" t="inlineStr">
        <x:is>
          <x:t xml:space="preserve">B</x:t>
        </x:is>
      </x:c>
      <x:c r="AB145" s="600" t="n">
        <x:v>0.2743055555555556</x:v>
      </x:c>
      <x:c r="AC145" s="600" t="n">
        <x:v>0.3020833333333333</x:v>
      </x:c>
      <x:c r="AD145" s="600" t="n">
        <x:v>0</x:v>
      </x:c>
      <x:c r="AE145" s="600" t="n">
        <x:v>0</x:v>
      </x:c>
      <x:c r="AF145" s="600" t="n">
        <x:v>0.4236111111111111</x:v>
      </x:c>
      <x:c r="AG145" s="600" t="n">
        <x:v>0.08255208333333336</x:v>
      </x:c>
      <x:c r="AH145" s="600" t="n">
        <x:v>-0.01017762559208607</x:v>
      </x:c>
      <x:c r="AI145" s="600" t="n">
        <x:v>0.008875442531353528</x:v>
      </x:c>
      <x:c r="AJ145" s="600" t="n">
        <x:v>0.08080307604656861</x:v>
      </x:c>
      <x:c r="AK145" s="600" t="n">
        <x:v>0.1557057897404327</x:v>
      </x:c>
      <x:c r="AL145" s="600" t="n">
        <x:v>0.1784778261324069</x:v>
      </x:c>
      <x:c r="AM145" s="600" t="n">
        <x:v>0.9274</x:v>
      </x:c>
      <x:c r="AN145" s="595" t="inlineStr">
        <x:is>
          <x:t xml:space="preserve">EVALUATED</x:t>
        </x:is>
      </x:c>
      <x:c r="AO145" s="600" t="inlineStr">
        <x:is>
          <x:t xml:space="preserve">BUCKET_0.25、SIDE_IDENTITY_VALID、FLAT_LINE_GIVING_WATER_DROP</x:t>
        </x:is>
      </x:c>
      <x:c r="AP145" s="600" t="inlineStr">
        <x:is>
          <x:t xml:space="preserve">1d9740796ab8d8cd271e</x:t>
        </x:is>
      </x:c>
      <x:c r="AQ145" s="600" t="n">
        <x:v>0.25</x:v>
      </x:c>
      <x:c r="AR145" s="600" t="n">
        <x:v>1.19</x:v>
      </x:c>
      <x:c r="AS145" s="600" t="n">
        <x:v>0.25</x:v>
      </x:c>
      <x:c r="AT145" s="600" t="n">
        <x:v>-0.25</x:v>
      </x:c>
      <x:c r="AU145" s="600" t="n">
        <x:v>1.19</x:v>
      </x:c>
      <x:c r="AV145" s="600" t="n">
        <x:v>0.6</x:v>
      </x:c>
      <x:c r="AW145" s="595" t="n">
        <x:v>46283.33365373842</x:v>
      </x:c>
      <x:c r="AX145" s="595" t="inlineStr">
        <x:is>
          <x:t xml:space="preserve">https://simondongxiao.github.io/odds/v4/</x:t>
        </x:is>
      </x:c>
      <x:c r="AY145" s="595" t="inlineStr">
        <x:is>
          <x:t xml:space="preserve">V4 Shadow Only；real_money=false；比分差异详见记录审计</x:t>
        </x:is>
      </x:c>
    </x:row>
    <x:row r="146" ht="22" customHeight="1">
      <x:c r="A146" s="595" t="inlineStr">
        <x:is>
          <x:t xml:space="preserve">2026-09-18</x:t>
        </x:is>
      </x:c>
      <x:c r="B146" s="595" t="inlineStr">
        <x:is>
          <x:t xml:space="preserve">2026-09-18 21:30</x:t>
        </x:is>
      </x:c>
      <x:c r="C146" s="595" t="str">
        <x:v>其他系列</x:v>
      </x:c>
      <x:c r="D146" s="595" t="inlineStr">
        <x:is>
          <x:t xml:space="preserve">联赛</x:t>
        </x:is>
      </x:c>
      <x:c r="E146" s="595" t="inlineStr">
        <x:is>
          <x:t xml:space="preserve">埃及甲</x:t>
        </x:is>
      </x:c>
      <x:c r="F146" s="595" t="inlineStr">
        <x:is>
          <x:t xml:space="preserve">佩哈亚克 vs 三角洲联</x:t>
        </x:is>
      </x:c>
      <x:c r="G146" s="596" t="n">
        <x:v>0.71</x:v>
      </x:c>
      <x:c r="H146" s="596" t="n">
        <x:v>0.75</x:v>
      </x:c>
      <x:c r="I146" s="596" t="n">
        <x:v>1.05</x:v>
      </x:c>
      <x:c r="J146" s="596" t="inlineStr">
        <x:is>
          <x:t xml:space="preserve">0.71/0.75/1.05</x:t>
        </x:is>
      </x:c>
      <x:c r="K146" s="595" t="inlineStr">
        <x:is>
          <x:t xml:space="preserve">V4-C｜EV +0.0346</x:t>
        </x:is>
      </x:c>
      <x:c r="L146" s="595" t="inlineStr">
        <x:is>
          <x:t xml:space="preserve">三角洲联</x:t>
        </x:is>
      </x:c>
      <x:c r="M146" s="597" t="n">
        <x:v>0.5071770334928229</x:v>
      </x:c>
      <x:c r="N146" s="595" t="inlineStr">
        <x:is>
          <x:t xml:space="preserve">V4纸面入选-C</x:t>
        </x:is>
      </x:c>
      <x:c r="O146" s="595" t="inlineStr">
        <x:is>
          <x:t xml:space="preserve">2-1</x:t>
        </x:is>
      </x:c>
      <x:c r="P146" s="595" t="inlineStr">
        <x:is>
          <x:t xml:space="preserve">已结算</x:t>
        </x:is>
      </x:c>
      <x:c r="Q146" s="643" t="inlineStr">
        <x:is>
          <x:t xml:space="preserve">半黑</x:t>
        </x:is>
      </x:c>
      <x:c r="R146" s="599" t="n">
        <x:v>1.05</x:v>
      </x:c>
      <x:c r="S146" s="599" t="n">
        <x:f>IF(OR(Q146="",Q146="待结算"),"",IF(Q146="红",R146,IF(Q146="半红",R146*0.5,IF(Q146="走",0,IF(Q146="半黑",-0.5,-1)))))</x:f>
        <x:v>-0.5</x:v>
      </x:c>
      <x:c r="T146" s="595" t="inlineStr">
        <x:is>
          <x:t xml:space="preserve">https://zq.titan007.com/analysis/3089846cn.htm</x:t>
        </x:is>
      </x:c>
      <x:c r="U146" s="642" t="str">
        <x:f>IF(Q146="","",IF(Q146="待结算","待结算",IF(Q146="红","黑",IF(Q146="半红","半黑",IF(Q146="走","走",IF(Q146="半黑","半红","红"))))))</x:f>
        <x:v>半红</x:v>
      </x:c>
      <x:c r="V146" s="599" t="n">
        <x:f>IF(OR(Q146="",Q146="待结算"),"",IF(L146=LEFT(F146,FIND(" vs ",F146)-1),I146,G146))</x:f>
        <x:v>0.71</x:v>
      </x:c>
      <x:c r="W146" s="599" t="n">
        <x:f>IF(OR(U146="",U146="待结算"),"",IF(U146="红",V146,IF(U146="半红",V146*0.5,IF(U146="走",0,IF(U146="半黑",-0.5,-1)))))</x:f>
        <x:v>0.355</x:v>
      </x:c>
      <x:c r="X146" s="595" t="inlineStr">
        <x:is>
          <x:t xml:space="preserve">3089846</x:t>
        </x:is>
      </x:c>
      <x:c r="Y146" s="595" t="inlineStr">
        <x:is>
          <x:t xml:space="preserve">v4-market-dirichlet-20260913</x:t>
        </x:is>
      </x:c>
      <x:c r="Z146" s="595" t="inlineStr">
        <x:is>
          <x:t xml:space="preserve">prior-2026-09-18-v1</x:t>
        </x:is>
      </x:c>
      <x:c r="AA146" s="595" t="inlineStr">
        <x:is>
          <x:t xml:space="preserve">C</x:t>
        </x:is>
      </x:c>
      <x:c r="AB146" s="600" t="n">
        <x:v>0.4416666666666667</x:v>
      </x:c>
      <x:c r="AC146" s="600" t="n">
        <x:v>0</x:v>
      </x:c>
      <x:c r="AD146" s="600" t="n">
        <x:v>0</x:v>
      </x:c>
      <x:c r="AE146" s="600" t="n">
        <x:v>0.2583333333333334</x:v>
      </x:c>
      <x:c r="AF146" s="600" t="n">
        <x:v>0.3</x:v>
      </x:c>
      <x:c r="AG146" s="600" t="n">
        <x:v>0.03458333333333335</x:v>
      </x:c>
      <x:c r="AH146" s="600" t="n">
        <x:v>-0.1018791904795923</x:v>
      </x:c>
      <x:c r="AI146" s="600" t="n">
        <x:v>-0.07257171717871425</x:v>
      </x:c>
      <x:c r="AJ146" s="600" t="n">
        <x:v>0.03275088598979242</x:v>
      </x:c>
      <x:c r="AK146" s="600" t="n">
        <x:v>0.1422480779334115</x:v>
      </x:c>
      <x:c r="AL146" s="600" t="n">
        <x:v>0.1727103425864285</x:v>
      </x:c>
      <x:c r="AM146" s="600" t="n">
        <x:v>0.6566</x:v>
      </x:c>
      <x:c r="AN146" s="595" t="inlineStr">
        <x:is>
          <x:t xml:space="preserve">EVALUATED</x:t>
        </x:is>
      </x:c>
      <x:c r="AO146" s="600" t="inlineStr">
        <x:is>
          <x:t xml:space="preserve">BUCKET_0.75、SIDE_IDENTITY_VALID、FLAT_LINE_GIVING_WATER_DROP</x:t>
        </x:is>
      </x:c>
      <x:c r="AP146" s="600" t="inlineStr">
        <x:is>
          <x:t xml:space="preserve">560e6fd8b9a10ef2de69</x:t>
        </x:is>
      </x:c>
      <x:c r="AQ146" s="600" t="n">
        <x:v>0.75</x:v>
      </x:c>
      <x:c r="AR146" s="600" t="n">
        <x:v>1.05</x:v>
      </x:c>
      <x:c r="AS146" s="600" t="n">
        <x:v>-0.75</x:v>
      </x:c>
      <x:c r="AT146" s="600" t="n">
        <x:v>0.75</x:v>
      </x:c>
      <x:c r="AU146" s="600" t="n">
        <x:v>0.71</x:v>
      </x:c>
      <x:c r="AV146" s="600" t="n">
        <x:v>1.05</x:v>
      </x:c>
      <x:c r="AW146" s="595" t="n">
        <x:v>46283.33365373842</x:v>
      </x:c>
      <x:c r="AX146" s="595" t="inlineStr">
        <x:is>
          <x:t xml:space="preserve">https://simondongxiao.github.io/odds/v4/</x:t>
        </x:is>
      </x:c>
      <x:c r="AY146" s="595" t="inlineStr">
        <x:is>
          <x:t xml:space="preserve">V4 Shadow Only；real_money=false；比分差异详见记录审计</x:t>
        </x:is>
      </x:c>
    </x:row>
    <x:row r="147" ht="22" customHeight="1">
      <x:c r="A147" s="595" t="inlineStr">
        <x:is>
          <x:t xml:space="preserve">2026-09-18</x:t>
        </x:is>
      </x:c>
      <x:c r="B147" s="595" t="inlineStr">
        <x:is>
          <x:t xml:space="preserve">2026-09-18 22:00</x:t>
        </x:is>
      </x:c>
      <x:c r="C147" s="595" t="str">
        <x:v>欧洲非五大系列</x:v>
      </x:c>
      <x:c r="D147" s="595" t="inlineStr">
        <x:is>
          <x:t xml:space="preserve">联赛</x:t>
        </x:is>
      </x:c>
      <x:c r="E147" s="595" t="inlineStr">
        <x:is>
          <x:t xml:space="preserve">俄甲</x:t>
        </x:is>
      </x:c>
      <x:c r="F147" s="595" t="inlineStr">
        <x:is>
          <x:t xml:space="preserve">切里宾斯克 vs 乌法</x:t>
        </x:is>
      </x:c>
      <x:c r="G147" s="596" t="n">
        <x:v>0.8100000000000001</x:v>
      </x:c>
      <x:c r="H147" s="596" t="n">
        <x:v>0.25</x:v>
      </x:c>
      <x:c r="I147" s="596" t="n">
        <x:v>1.05</x:v>
      </x:c>
      <x:c r="J147" s="596" t="inlineStr">
        <x:is>
          <x:t xml:space="preserve">0.81/0.25/1.05</x:t>
        </x:is>
      </x:c>
      <x:c r="K147" s="595" t="inlineStr">
        <x:is>
          <x:t xml:space="preserve">V4-C｜EV +0.0230</x:t>
        </x:is>
      </x:c>
      <x:c r="L147" s="595" t="inlineStr">
        <x:is>
          <x:t xml:space="preserve">乌法</x:t>
        </x:is>
      </x:c>
      <x:c r="M147" s="597" t="n">
        <x:v>0.5010224948875256</x:v>
      </x:c>
      <x:c r="N147" s="595" t="inlineStr">
        <x:is>
          <x:t xml:space="preserve">V4纸面入选-C</x:t>
        </x:is>
      </x:c>
      <x:c r="O147" s="595" t="inlineStr">
        <x:is>
          <x:t xml:space="preserve">2-1</x:t>
        </x:is>
      </x:c>
      <x:c r="P147" s="595" t="inlineStr">
        <x:is>
          <x:t xml:space="preserve">已结算</x:t>
        </x:is>
      </x:c>
      <x:c r="Q147" s="641" t="inlineStr">
        <x:is>
          <x:t xml:space="preserve">黑</x:t>
        </x:is>
      </x:c>
      <x:c r="R147" s="599" t="n">
        <x:v>1.05</x:v>
      </x:c>
      <x:c r="S147" s="599" t="n">
        <x:f>IF(OR(Q147="",Q147="待结算"),"",IF(Q147="红",R147,IF(Q147="半红",R147*0.5,IF(Q147="走",0,IF(Q147="半黑",-0.5,-1)))))</x:f>
        <x:v>-1</x:v>
      </x:c>
      <x:c r="T147" s="595" t="inlineStr">
        <x:is>
          <x:t xml:space="preserve">https://zq.titan007.com/analysis/3021988cn.htm</x:t>
        </x:is>
      </x:c>
      <x:c r="U147" s="640" t="str">
        <x:f>IF(Q147="","",IF(Q147="待结算","待结算",IF(Q147="红","黑",IF(Q147="半红","半黑",IF(Q147="走","走",IF(Q147="半黑","半红","红"))))))</x:f>
        <x:v>红</x:v>
      </x:c>
      <x:c r="V147" s="599" t="n">
        <x:f>IF(OR(Q147="",Q147="待结算"),"",IF(L147=LEFT(F147,FIND(" vs ",F147)-1),I147,G147))</x:f>
        <x:v>0.81</x:v>
      </x:c>
      <x:c r="W147" s="599" t="n">
        <x:f>IF(OR(U147="",U147="待结算"),"",IF(U147="红",V147,IF(U147="半红",V147*0.5,IF(U147="走",0,IF(U147="半黑",-0.5,-1)))))</x:f>
        <x:v>0.81</x:v>
      </x:c>
      <x:c r="X147" s="595" t="inlineStr">
        <x:is>
          <x:t xml:space="preserve">3021988</x:t>
        </x:is>
      </x:c>
      <x:c r="Y147" s="595" t="inlineStr">
        <x:is>
          <x:t xml:space="preserve">v4-market-dirichlet-20260913</x:t>
        </x:is>
      </x:c>
      <x:c r="Z147" s="595" t="inlineStr">
        <x:is>
          <x:t xml:space="preserve">prior-2026-09-18-v1</x:t>
        </x:is>
      </x:c>
      <x:c r="AA147" s="595" t="inlineStr">
        <x:is>
          <x:t xml:space="preserve">C</x:t>
        </x:is>
      </x:c>
      <x:c r="AB147" s="600" t="n">
        <x:v>0.2743055555555556</x:v>
      </x:c>
      <x:c r="AC147" s="600" t="n">
        <x:v>0.3020833333333333</x:v>
      </x:c>
      <x:c r="AD147" s="600" t="n">
        <x:v>0</x:v>
      </x:c>
      <x:c r="AE147" s="600" t="n">
        <x:v>0</x:v>
      </x:c>
      <x:c r="AF147" s="600" t="n">
        <x:v>0.4236111111111111</x:v>
      </x:c>
      <x:c r="AG147" s="600" t="n">
        <x:v>0.02300347222222227</x:v>
      </x:c>
      <x:c r="AH147" s="600" t="n">
        <x:v>-0.06280463930050378</x:v>
      </x:c>
      <x:c r="AI147" s="600" t="n">
        <x:v>-0.04370069192848719</x:v>
      </x:c>
      <x:c r="AJ147" s="600" t="n">
        <x:v>0.02331497704764129</x:v>
      </x:c>
      <x:c r="AK147" s="600" t="n">
        <x:v>0.09146813232676104</x:v>
      </x:c>
      <x:c r="AL147" s="600" t="n">
        <x:v>0.1108893851818973</x:v>
      </x:c>
      <x:c r="AM147" s="600" t="n">
        <x:v>0.6708</x:v>
      </x:c>
      <x:c r="AN147" s="595" t="inlineStr">
        <x:is>
          <x:t xml:space="preserve">EVALUATED</x:t>
        </x:is>
      </x:c>
      <x:c r="AO147" s="600" t="inlineStr">
        <x:is>
          <x:t xml:space="preserve">BUCKET_0.25、SIDE_IDENTITY_VALID、FLAT_LINE_GIVING_WATER_DROP</x:t>
        </x:is>
      </x:c>
      <x:c r="AP147" s="600" t="inlineStr">
        <x:is>
          <x:t xml:space="preserve">93f6acb29769a788de58</x:t>
        </x:is>
      </x:c>
      <x:c r="AQ147" s="600" t="n">
        <x:v>0.25</x:v>
      </x:c>
      <x:c r="AR147" s="600" t="n">
        <x:v>1.05</x:v>
      </x:c>
      <x:c r="AS147" s="600" t="n">
        <x:v>-0.25</x:v>
      </x:c>
      <x:c r="AT147" s="600" t="n">
        <x:v>0.25</x:v>
      </x:c>
      <x:c r="AU147" s="600" t="n">
        <x:v>0.8100000000000001</x:v>
      </x:c>
      <x:c r="AV147" s="600" t="n">
        <x:v>1.05</x:v>
      </x:c>
      <x:c r="AW147" s="595" t="n">
        <x:v>46283.33365373842</x:v>
      </x:c>
      <x:c r="AX147" s="595" t="inlineStr">
        <x:is>
          <x:t xml:space="preserve">https://simondongxiao.github.io/odds/v4/</x:t>
        </x:is>
      </x:c>
      <x:c r="AY147" s="595" t="inlineStr">
        <x:is>
          <x:t xml:space="preserve">V4 Shadow Only；real_money=false；比分差异详见记录审计</x:t>
        </x:is>
      </x:c>
    </x:row>
    <x:row r="148" ht="22" customHeight="1">
      <x:c r="A148" s="595" t="inlineStr">
        <x:is>
          <x:t xml:space="preserve">2026-09-18</x:t>
        </x:is>
      </x:c>
      <x:c r="B148" s="595" t="inlineStr">
        <x:is>
          <x:t xml:space="preserve">2026-09-18 22:00</x:t>
        </x:is>
      </x:c>
      <x:c r="C148" s="595" t="str">
        <x:v>西亚/中亚系列</x:v>
      </x:c>
      <x:c r="D148" s="595" t="inlineStr">
        <x:is>
          <x:t xml:space="preserve">联赛</x:t>
        </x:is>
      </x:c>
      <x:c r="E148" s="595" t="inlineStr">
        <x:is>
          <x:t xml:space="preserve">哈萨克超</x:t>
        </x:is>
      </x:c>
      <x:c r="F148" s="595" t="inlineStr">
        <x:is>
          <x:t xml:space="preserve">克孜勒扎尔 vs 卡萨尔</x:t>
        </x:is>
      </x:c>
      <x:c r="G148" s="596" t="n">
        <x:v>0.76</x:v>
      </x:c>
      <x:c r="H148" s="596" t="n">
        <x:v>0.25</x:v>
      </x:c>
      <x:c r="I148" s="596" t="n">
        <x:v>1</x:v>
      </x:c>
      <x:c r="J148" s="596" t="inlineStr">
        <x:is>
          <x:t xml:space="preserve">0.76/0.25/1.00</x:t>
        </x:is>
      </x:c>
      <x:c r="K148" s="595" t="inlineStr">
        <x:is>
          <x:t xml:space="preserve">V4-C｜EV +0.0017</x:t>
        </x:is>
      </x:c>
      <x:c r="L148" s="595" t="inlineStr">
        <x:is>
          <x:t xml:space="preserve">卡萨尔</x:t>
        </x:is>
      </x:c>
      <x:c r="M148" s="597" t="n">
        <x:v>0.5010224948875256</x:v>
      </x:c>
      <x:c r="N148" s="595" t="inlineStr">
        <x:is>
          <x:t xml:space="preserve">V4纸面入选-C</x:t>
        </x:is>
      </x:c>
      <x:c r="O148" s="595" t="inlineStr">
        <x:is>
          <x:t xml:space="preserve">1-1</x:t>
        </x:is>
      </x:c>
      <x:c r="P148" s="595" t="inlineStr">
        <x:is>
          <x:t xml:space="preserve">已结算</x:t>
        </x:is>
      </x:c>
      <x:c r="Q148" s="642" t="inlineStr">
        <x:is>
          <x:t xml:space="preserve">半红</x:t>
        </x:is>
      </x:c>
      <x:c r="R148" s="599" t="n">
        <x:v>1</x:v>
      </x:c>
      <x:c r="S148" s="599" t="n">
        <x:f>IF(OR(Q148="",Q148="待结算"),"",IF(Q148="红",R148,IF(Q148="半红",R148*0.5,IF(Q148="走",0,IF(Q148="半黑",-0.5,-1)))))</x:f>
        <x:v>0.5</x:v>
      </x:c>
      <x:c r="T148" s="595" t="inlineStr">
        <x:is>
          <x:t xml:space="preserve">https://zq.titan007.com/analysis/2953378cn.htm</x:t>
        </x:is>
      </x:c>
      <x:c r="U148" s="643" t="str">
        <x:f>IF(Q148="","",IF(Q148="待结算","待结算",IF(Q148="红","黑",IF(Q148="半红","半黑",IF(Q148="走","走",IF(Q148="半黑","半红","红"))))))</x:f>
        <x:v>半黑</x:v>
      </x:c>
      <x:c r="V148" s="599" t="n">
        <x:f>IF(OR(Q148="",Q148="待结算"),"",IF(L148=LEFT(F148,FIND(" vs ",F148)-1),I148,G148))</x:f>
        <x:v>0.76</x:v>
      </x:c>
      <x:c r="W148" s="599" t="n">
        <x:f>IF(OR(U148="",U148="待结算"),"",IF(U148="红",V148,IF(U148="半红",V148*0.5,IF(U148="走",0,IF(U148="半黑",-0.5,-1)))))</x:f>
        <x:v>-0.5</x:v>
      </x:c>
      <x:c r="X148" s="595" t="inlineStr">
        <x:is>
          <x:t xml:space="preserve">2953378</x:t>
        </x:is>
      </x:c>
      <x:c r="Y148" s="595" t="inlineStr">
        <x:is>
          <x:t xml:space="preserve">v4-market-dirichlet-20260913</x:t>
        </x:is>
      </x:c>
      <x:c r="Z148" s="595" t="inlineStr">
        <x:is>
          <x:t xml:space="preserve">prior-2026-09-18-v1</x:t>
        </x:is>
      </x:c>
      <x:c r="AA148" s="595" t="inlineStr">
        <x:is>
          <x:t xml:space="preserve">C</x:t>
        </x:is>
      </x:c>
      <x:c r="AB148" s="600" t="n">
        <x:v>0.2743055555555556</x:v>
      </x:c>
      <x:c r="AC148" s="600" t="n">
        <x:v>0.3020833333333333</x:v>
      </x:c>
      <x:c r="AD148" s="600" t="n">
        <x:v>0</x:v>
      </x:c>
      <x:c r="AE148" s="600" t="n">
        <x:v>0</x:v>
      </x:c>
      <x:c r="AF148" s="600" t="n">
        <x:v>0.4236111111111111</x:v>
      </x:c>
      <x:c r="AG148" s="600" t="n">
        <x:v>0.001736111111111105</x:v>
      </x:c>
      <x:c r="AH148" s="600" t="n">
        <x:v>-0.08525791882339728</x:v>
      </x:c>
      <x:c r="AI148" s="600" t="n">
        <x:v>-0.06493717023230894</x:v>
      </x:c>
      <x:c r="AJ148" s="600" t="n">
        <x:v>0.0006441803719232087</x:v>
      </x:c>
      <x:c r="AK148" s="600" t="n">
        <x:v>0.06777506123049321</x:v>
      </x:c>
      <x:c r="AL148" s="600" t="n">
        <x:v>0.08652842432511831</x:v>
      </x:c>
      <x:c r="AM148" s="600" t="n">
        <x:v>0.5034</x:v>
      </x:c>
      <x:c r="AN148" s="595" t="inlineStr">
        <x:is>
          <x:t xml:space="preserve">EVALUATED</x:t>
        </x:is>
      </x:c>
      <x:c r="AO148" s="600" t="inlineStr">
        <x:is>
          <x:t xml:space="preserve">BUCKET_0.25、SIDE_IDENTITY_VALID、FLAT_LINE_GIVING_WATER_DROP</x:t>
        </x:is>
      </x:c>
      <x:c r="AP148" s="600" t="inlineStr">
        <x:is>
          <x:t xml:space="preserve">1eb82dc226132c2f86cb</x:t>
        </x:is>
      </x:c>
      <x:c r="AQ148" s="600" t="n">
        <x:v>0.25</x:v>
      </x:c>
      <x:c r="AR148" s="600" t="n">
        <x:v>1</x:v>
      </x:c>
      <x:c r="AS148" s="600" t="n">
        <x:v>-0.25</x:v>
      </x:c>
      <x:c r="AT148" s="600" t="n">
        <x:v>0.25</x:v>
      </x:c>
      <x:c r="AU148" s="600" t="n">
        <x:v>0.76</x:v>
      </x:c>
      <x:c r="AV148" s="600" t="n">
        <x:v>1</x:v>
      </x:c>
      <x:c r="AW148" s="595" t="n">
        <x:v>46283.33365373842</x:v>
      </x:c>
      <x:c r="AX148" s="595" t="inlineStr">
        <x:is>
          <x:t xml:space="preserve">https://simondongxiao.github.io/odds/v4/</x:t>
        </x:is>
      </x:c>
      <x:c r="AY148" s="595" t="inlineStr">
        <x:is>
          <x:t xml:space="preserve">V4 Shadow Only；real_money=false；比分差异详见记录审计</x:t>
        </x:is>
      </x:c>
    </x:row>
    <x:row r="149" ht="22" customHeight="1">
      <x:c r="A149" s="595" t="inlineStr">
        <x:is>
          <x:t xml:space="preserve">2026-09-18</x:t>
        </x:is>
      </x:c>
      <x:c r="B149" s="595" t="inlineStr">
        <x:is>
          <x:t xml:space="preserve">2026-09-18 22:00</x:t>
        </x:is>
      </x:c>
      <x:c r="C149" s="595" t="str">
        <x:v>欧洲非五大系列</x:v>
      </x:c>
      <x:c r="D149" s="595" t="inlineStr">
        <x:is>
          <x:t xml:space="preserve">联赛</x:t>
        </x:is>
      </x:c>
      <x:c r="E149" s="595" t="inlineStr">
        <x:is>
          <x:t xml:space="preserve">俄青联</x:t>
        </x:is>
      </x:c>
      <x:c r="F149" s="595" t="inlineStr">
        <x:is>
          <x:t xml:space="preserve">圣彼德斯堡青年队 vs 莫斯科斯巴达青年队</x:t>
        </x:is>
      </x:c>
      <x:c r="G149" s="596" t="n">
        <x:v>0.6</x:v>
      </x:c>
      <x:c r="H149" s="596" t="n">
        <x:v>1.25</x:v>
      </x:c>
      <x:c r="I149" s="596" t="n">
        <x:v>1.11</x:v>
      </x:c>
      <x:c r="J149" s="596" t="inlineStr">
        <x:is>
          <x:t xml:space="preserve">0.60/1.25/1.11</x:t>
        </x:is>
      </x:c>
      <x:c r="K149" s="595" t="inlineStr">
        <x:is>
          <x:t xml:space="preserve">V4-C｜EV +0.0373</x:t>
        </x:is>
      </x:c>
      <x:c r="L149" s="595" t="inlineStr">
        <x:is>
          <x:t xml:space="preserve">莫斯科斯巴达青年队</x:t>
        </x:is>
      </x:c>
      <x:c r="M149" s="597" t="n">
        <x:v>0.4945054945054945</x:v>
      </x:c>
      <x:c r="N149" s="595" t="inlineStr">
        <x:is>
          <x:t xml:space="preserve">V4纸面入选-C</x:t>
        </x:is>
      </x:c>
      <x:c r="O149" s="595" t="inlineStr">
        <x:is>
          <x:t xml:space="preserve">3-2</x:t>
        </x:is>
      </x:c>
      <x:c r="P149" s="595" t="inlineStr">
        <x:is>
          <x:t xml:space="preserve">已结算</x:t>
        </x:is>
      </x:c>
      <x:c r="Q149" s="642" t="inlineStr">
        <x:is>
          <x:t xml:space="preserve">半红</x:t>
        </x:is>
      </x:c>
      <x:c r="R149" s="599" t="n">
        <x:v>1.11</x:v>
      </x:c>
      <x:c r="S149" s="599" t="n">
        <x:f>IF(OR(Q149="",Q149="待结算"),"",IF(Q149="红",R149,IF(Q149="半红",R149*0.5,IF(Q149="走",0,IF(Q149="半黑",-0.5,-1)))))</x:f>
        <x:v>0.555</x:v>
      </x:c>
      <x:c r="T149" s="595" t="inlineStr">
        <x:is>
          <x:t xml:space="preserve">https://zq.titan007.com/analysis/2952587cn.htm</x:t>
        </x:is>
      </x:c>
      <x:c r="U149" s="643" t="str">
        <x:f>IF(Q149="","",IF(Q149="待结算","待结算",IF(Q149="红","黑",IF(Q149="半红","半黑",IF(Q149="走","走",IF(Q149="半黑","半红","红"))))))</x:f>
        <x:v>半黑</x:v>
      </x:c>
      <x:c r="V149" s="599" t="n">
        <x:f>IF(OR(Q149="",Q149="待结算"),"",IF(L149=LEFT(F149,FIND(" vs ",F149)-1),I149,G149))</x:f>
        <x:v>0.6</x:v>
      </x:c>
      <x:c r="W149" s="599" t="n">
        <x:f>IF(OR(U149="",U149="待结算"),"",IF(U149="红",V149,IF(U149="半红",V149*0.5,IF(U149="走",0,IF(U149="半黑",-0.5,-1)))))</x:f>
        <x:v>-0.5</x:v>
      </x:c>
      <x:c r="X149" s="595" t="inlineStr">
        <x:is>
          <x:t xml:space="preserve">2952587</x:t>
        </x:is>
      </x:c>
      <x:c r="Y149" s="595" t="inlineStr">
        <x:is>
          <x:t xml:space="preserve">v4-market-dirichlet-20260913</x:t>
        </x:is>
      </x:c>
      <x:c r="Z149" s="595" t="inlineStr">
        <x:is>
          <x:t xml:space="preserve">prior-2026-09-18-v1</x:t>
        </x:is>
      </x:c>
      <x:c r="AA149" s="595" t="inlineStr">
        <x:is>
          <x:t xml:space="preserve">C</x:t>
        </x:is>
      </x:c>
      <x:c r="AB149" s="600" t="n">
        <x:v>0.2830188679245283</x:v>
      </x:c>
      <x:c r="AC149" s="600" t="n">
        <x:v>0.2830188679245283</x:v>
      </x:c>
      <x:c r="AD149" s="600" t="n">
        <x:v>0</x:v>
      </x:c>
      <x:c r="AE149" s="600" t="n">
        <x:v>0</x:v>
      </x:c>
      <x:c r="AF149" s="600" t="n">
        <x:v>0.4339622641509434</x:v>
      </x:c>
      <x:c r="AG149" s="600" t="n">
        <x:v>0.0372641509433963</x:v>
      </x:c>
      <x:c r="AH149" s="600" t="n">
        <x:v>-0.177496421772154</x:v>
      </x:c>
      <x:c r="AI149" s="600" t="n">
        <x:v>-0.130526905293167</x:v>
      </x:c>
      <x:c r="AJ149" s="600" t="n">
        <x:v>0.03316050186010489</x:v>
      </x:c>
      <x:c r="AK149" s="600" t="n">
        <x:v>0.1975864003855299</x:v>
      </x:c>
      <x:c r="AL149" s="600" t="n">
        <x:v>0.2398242198794859</x:v>
      </x:c>
      <x:c r="AM149" s="600" t="n">
        <x:v>0.5994</x:v>
      </x:c>
      <x:c r="AN149" s="595" t="inlineStr">
        <x:is>
          <x:t xml:space="preserve">EVALUATED</x:t>
        </x:is>
      </x:c>
      <x:c r="AO149" s="600" t="inlineStr">
        <x:is>
          <x:t xml:space="preserve">BUCKET_1.25、SIDE_IDENTITY_VALID、FLAT_LINE_GIVING_WATER_DROP</x:t>
        </x:is>
      </x:c>
      <x:c r="AP149" s="600" t="inlineStr">
        <x:is>
          <x:t xml:space="preserve">6684a3b6ba9075c51431</x:t>
        </x:is>
      </x:c>
      <x:c r="AQ149" s="600" t="n">
        <x:v>1.25</x:v>
      </x:c>
      <x:c r="AR149" s="600" t="n">
        <x:v>1.11</x:v>
      </x:c>
      <x:c r="AS149" s="600" t="n">
        <x:v>-1.25</x:v>
      </x:c>
      <x:c r="AT149" s="600" t="n">
        <x:v>1.25</x:v>
      </x:c>
      <x:c r="AU149" s="600" t="n">
        <x:v>0.6</x:v>
      </x:c>
      <x:c r="AV149" s="600" t="n">
        <x:v>1.11</x:v>
      </x:c>
      <x:c r="AW149" s="595" t="n">
        <x:v>46283.33365373842</x:v>
      </x:c>
      <x:c r="AX149" s="595" t="inlineStr">
        <x:is>
          <x:t xml:space="preserve">https://simondongxiao.github.io/odds/v4/</x:t>
        </x:is>
      </x:c>
      <x:c r="AY149" s="595" t="inlineStr">
        <x:is>
          <x:t xml:space="preserve">V4 Shadow Only；real_money=false；比分差异详见记录审计</x:t>
        </x:is>
      </x:c>
    </x:row>
    <x:row r="150" ht="22" customHeight="1">
      <x:c r="A150" s="595" t="inlineStr">
        <x:is>
          <x:t xml:space="preserve">2026-09-18</x:t>
        </x:is>
      </x:c>
      <x:c r="B150" s="595" t="inlineStr">
        <x:is>
          <x:t xml:space="preserve">2026-09-18 22:30</x:t>
        </x:is>
      </x:c>
      <x:c r="C150" s="595" t="str">
        <x:v>欧洲非五大系列</x:v>
      </x:c>
      <x:c r="D150" s="595" t="inlineStr">
        <x:is>
          <x:t xml:space="preserve">联赛</x:t>
        </x:is>
      </x:c>
      <x:c r="E150" s="595" t="inlineStr">
        <x:is>
          <x:t xml:space="preserve">立陶乙</x:t>
        </x:is>
      </x:c>
      <x:c r="F150" s="595" t="inlineStr">
        <x:is>
          <x:t xml:space="preserve">考纳斯 vs FK特兰西B队</x:t>
        </x:is>
      </x:c>
      <x:c r="G150" s="596" t="n">
        <x:v>0.65</x:v>
      </x:c>
      <x:c r="H150" s="596" t="n">
        <x:v>1.25</x:v>
      </x:c>
      <x:c r="I150" s="596" t="n">
        <x:v>1.05</x:v>
      </x:c>
      <x:c r="J150" s="596" t="inlineStr">
        <x:is>
          <x:t xml:space="preserve">0.65/1.25/1.05</x:t>
        </x:is>
      </x:c>
      <x:c r="K150" s="595" t="inlineStr">
        <x:is>
          <x:t xml:space="preserve">V4-C｜EV +0.0118</x:t>
        </x:is>
      </x:c>
      <x:c r="L150" s="595" t="inlineStr">
        <x:is>
          <x:t xml:space="preserve">FK特兰西B队</x:t>
        </x:is>
      </x:c>
      <x:c r="M150" s="597" t="n">
        <x:v>0.4945054945054945</x:v>
      </x:c>
      <x:c r="N150" s="595" t="inlineStr">
        <x:is>
          <x:t xml:space="preserve">V4纸面入选-C</x:t>
        </x:is>
      </x:c>
      <x:c r="O150" s="595" t="inlineStr">
        <x:is>
          <x:t xml:space="preserve">2-1</x:t>
        </x:is>
      </x:c>
      <x:c r="P150" s="595" t="inlineStr">
        <x:is>
          <x:t xml:space="preserve">已结算</x:t>
        </x:is>
      </x:c>
      <x:c r="Q150" s="642" t="inlineStr">
        <x:is>
          <x:t xml:space="preserve">半红</x:t>
        </x:is>
      </x:c>
      <x:c r="R150" s="599" t="n">
        <x:v>1.05</x:v>
      </x:c>
      <x:c r="S150" s="599" t="n">
        <x:f>IF(OR(Q150="",Q150="待结算"),"",IF(Q150="红",R150,IF(Q150="半红",R150*0.5,IF(Q150="走",0,IF(Q150="半黑",-0.5,-1)))))</x:f>
        <x:v>0.525</x:v>
      </x:c>
      <x:c r="T150" s="595" t="inlineStr">
        <x:is>
          <x:t xml:space="preserve">https://zq.titan007.com/analysis/3031202cn.htm</x:t>
        </x:is>
      </x:c>
      <x:c r="U150" s="643" t="str">
        <x:f>IF(Q150="","",IF(Q150="待结算","待结算",IF(Q150="红","黑",IF(Q150="半红","半黑",IF(Q150="走","走",IF(Q150="半黑","半红","红"))))))</x:f>
        <x:v>半黑</x:v>
      </x:c>
      <x:c r="V150" s="599" t="n">
        <x:f>IF(OR(Q150="",Q150="待结算"),"",IF(L150=LEFT(F150,FIND(" vs ",F150)-1),I150,G150))</x:f>
        <x:v>0.65</x:v>
      </x:c>
      <x:c r="W150" s="599" t="n">
        <x:f>IF(OR(U150="",U150="待结算"),"",IF(U150="红",V150,IF(U150="半红",V150*0.5,IF(U150="走",0,IF(U150="半黑",-0.5,-1)))))</x:f>
        <x:v>-0.5</x:v>
      </x:c>
      <x:c r="X150" s="595" t="inlineStr">
        <x:is>
          <x:t xml:space="preserve">3031202</x:t>
        </x:is>
      </x:c>
      <x:c r="Y150" s="595" t="inlineStr">
        <x:is>
          <x:t xml:space="preserve">v4-market-dirichlet-20260913</x:t>
        </x:is>
      </x:c>
      <x:c r="Z150" s="595" t="inlineStr">
        <x:is>
          <x:t xml:space="preserve">prior-2026-09-18-v1</x:t>
        </x:is>
      </x:c>
      <x:c r="AA150" s="595" t="inlineStr">
        <x:is>
          <x:t xml:space="preserve">C</x:t>
        </x:is>
      </x:c>
      <x:c r="AB150" s="600" t="n">
        <x:v>0.2830188679245283</x:v>
      </x:c>
      <x:c r="AC150" s="600" t="n">
        <x:v>0.2830188679245283</x:v>
      </x:c>
      <x:c r="AD150" s="600" t="n">
        <x:v>0</x:v>
      </x:c>
      <x:c r="AE150" s="600" t="n">
        <x:v>0</x:v>
      </x:c>
      <x:c r="AF150" s="600" t="n">
        <x:v>0.4339622641509434</x:v>
      </x:c>
      <x:c r="AG150" s="600" t="n">
        <x:v>0.01179245283018865</x:v>
      </x:c>
      <x:c r="AH150" s="600" t="n">
        <x:v>-0.1897689061382019</x:v>
      </x:c>
      <x:c r="AI150" s="600" t="n">
        <x:v>-0.1434385882710105</x:v>
      </x:c>
      <x:c r="AJ150" s="600" t="n">
        <x:v>0.0179545480598734</x:v>
      </x:c>
      <x:c r="AK150" s="600" t="n">
        <x:v>0.1707282858132982</x:v>
      </x:c>
      <x:c r="AL150" s="600" t="n">
        <x:v>0.2160823773464813</x:v>
      </x:c>
      <x:c r="AM150" s="600" t="n">
        <x:v>0.5512</x:v>
      </x:c>
      <x:c r="AN150" s="595" t="inlineStr">
        <x:is>
          <x:t xml:space="preserve">EVALUATED</x:t>
        </x:is>
      </x:c>
      <x:c r="AO150" s="600" t="inlineStr">
        <x:is>
          <x:t xml:space="preserve">BUCKET_1.25、SIDE_IDENTITY_VALID、FLAT_LINE_GIVING_WATER_DROP</x:t>
        </x:is>
      </x:c>
      <x:c r="AP150" s="600" t="inlineStr">
        <x:is>
          <x:t xml:space="preserve">590a4b9677787dc727b0</x:t>
        </x:is>
      </x:c>
      <x:c r="AQ150" s="600" t="n">
        <x:v>1.25</x:v>
      </x:c>
      <x:c r="AR150" s="600" t="n">
        <x:v>1.05</x:v>
      </x:c>
      <x:c r="AS150" s="600" t="n">
        <x:v>-1.25</x:v>
      </x:c>
      <x:c r="AT150" s="600" t="n">
        <x:v>1.25</x:v>
      </x:c>
      <x:c r="AU150" s="600" t="n">
        <x:v>0.65</x:v>
      </x:c>
      <x:c r="AV150" s="600" t="n">
        <x:v>1.05</x:v>
      </x:c>
      <x:c r="AW150" s="595" t="n">
        <x:v>46283.33365373842</x:v>
      </x:c>
      <x:c r="AX150" s="595" t="inlineStr">
        <x:is>
          <x:t xml:space="preserve">https://simondongxiao.github.io/odds/v4/</x:t>
        </x:is>
      </x:c>
      <x:c r="AY150" s="595" t="inlineStr">
        <x:is>
          <x:t xml:space="preserve">V4 Shadow Only；real_money=false；比分差异详见记录审计</x:t>
        </x:is>
      </x:c>
    </x:row>
    <x:row r="151" ht="22" customHeight="1">
      <x:c r="A151" s="595" t="inlineStr">
        <x:is>
          <x:t xml:space="preserve">2026-09-18</x:t>
        </x:is>
      </x:c>
      <x:c r="B151" s="595" t="inlineStr">
        <x:is>
          <x:t xml:space="preserve">2026-09-18 22:40</x:t>
        </x:is>
      </x:c>
      <x:c r="C151" s="595" t="str">
        <x:v>西亚/中亚系列</x:v>
      </x:c>
      <x:c r="D151" s="595" t="inlineStr">
        <x:is>
          <x:t xml:space="preserve">联赛</x:t>
        </x:is>
      </x:c>
      <x:c r="E151" s="595" t="inlineStr">
        <x:is>
          <x:t xml:space="preserve">阿联酋甲</x:t>
        </x:is>
      </x:c>
      <x:c r="F151" s="595" t="inlineStr">
        <x:is>
          <x:t xml:space="preserve">阿尔富伊拉 vs 迪巴</x:t>
        </x:is>
      </x:c>
      <x:c r="G151" s="596" t="n">
        <x:v>1.06</x:v>
      </x:c>
      <x:c r="H151" s="596" t="n">
        <x:v>-0.25</x:v>
      </x:c>
      <x:c r="I151" s="596" t="n">
        <x:v>0.7</x:v>
      </x:c>
      <x:c r="J151" s="596" t="inlineStr">
        <x:is>
          <x:t xml:space="preserve">1.06/-0.25/0.70</x:t>
        </x:is>
      </x:c>
      <x:c r="K151" s="595" t="inlineStr">
        <x:is>
          <x:t xml:space="preserve">V4-C｜EV +0.0273</x:t>
        </x:is>
      </x:c>
      <x:c r="L151" s="595" t="inlineStr">
        <x:is>
          <x:t xml:space="preserve">阿尔富伊拉</x:t>
        </x:is>
      </x:c>
      <x:c r="M151" s="597" t="n">
        <x:v>0.5010224948875256</x:v>
      </x:c>
      <x:c r="N151" s="595" t="inlineStr">
        <x:is>
          <x:t xml:space="preserve">V4纸面入选-C</x:t>
        </x:is>
      </x:c>
      <x:c r="O151" s="595" t="inlineStr">
        <x:is>
          <x:t xml:space="preserve">1-2</x:t>
        </x:is>
      </x:c>
      <x:c r="P151" s="595" t="inlineStr">
        <x:is>
          <x:t xml:space="preserve">已结算</x:t>
        </x:is>
      </x:c>
      <x:c r="Q151" s="641" t="inlineStr">
        <x:is>
          <x:t xml:space="preserve">黑</x:t>
        </x:is>
      </x:c>
      <x:c r="R151" s="599" t="n">
        <x:v>1.06</x:v>
      </x:c>
      <x:c r="S151" s="599" t="n">
        <x:f>IF(OR(Q151="",Q151="待结算"),"",IF(Q151="红",R151,IF(Q151="半红",R151*0.5,IF(Q151="走",0,IF(Q151="半黑",-0.5,-1)))))</x:f>
        <x:v>-1</x:v>
      </x:c>
      <x:c r="T151" s="595" t="inlineStr">
        <x:is>
          <x:t xml:space="preserve">https://zq.titan007.com/analysis/3032921cn.htm</x:t>
        </x:is>
      </x:c>
      <x:c r="U151" s="640" t="str">
        <x:f>IF(Q151="","",IF(Q151="待结算","待结算",IF(Q151="红","黑",IF(Q151="半红","半黑",IF(Q151="走","走",IF(Q151="半黑","半红","红"))))))</x:f>
        <x:v>红</x:v>
      </x:c>
      <x:c r="V151" s="599" t="n">
        <x:f>IF(OR(Q151="",Q151="待结算"),"",IF(L151=LEFT(F151,FIND(" vs ",F151)-1),I151,G151))</x:f>
        <x:v>0.7</x:v>
      </x:c>
      <x:c r="W151" s="599" t="n">
        <x:f>IF(OR(U151="",U151="待结算"),"",IF(U151="红",V151,IF(U151="半红",V151*0.5,IF(U151="走",0,IF(U151="半黑",-0.5,-1)))))</x:f>
        <x:v>0.7</x:v>
      </x:c>
      <x:c r="X151" s="595" t="inlineStr">
        <x:is>
          <x:t xml:space="preserve">3032921</x:t>
        </x:is>
      </x:c>
      <x:c r="Y151" s="595" t="inlineStr">
        <x:is>
          <x:t xml:space="preserve">v4-market-dirichlet-20260913</x:t>
        </x:is>
      </x:c>
      <x:c r="Z151" s="595" t="inlineStr">
        <x:is>
          <x:t xml:space="preserve">prior-2026-09-18-v1</x:t>
        </x:is>
      </x:c>
      <x:c r="AA151" s="595" t="inlineStr">
        <x:is>
          <x:t xml:space="preserve">C</x:t>
        </x:is>
      </x:c>
      <x:c r="AB151" s="600" t="n">
        <x:v>0.2743055555555556</x:v>
      </x:c>
      <x:c r="AC151" s="600" t="n">
        <x:v>0.3020833333333333</x:v>
      </x:c>
      <x:c r="AD151" s="600" t="n">
        <x:v>0</x:v>
      </x:c>
      <x:c r="AE151" s="600" t="n">
        <x:v>0</x:v>
      </x:c>
      <x:c r="AF151" s="600" t="n">
        <x:v>0.4236111111111111</x:v>
      </x:c>
      <x:c r="AG151" s="600" t="n">
        <x:v>0.02725694444444449</x:v>
      </x:c>
      <x:c r="AH151" s="600" t="n">
        <x:v>-0.06126366405837552</x:v>
      </x:c>
      <x:c r="AI151" s="600" t="n">
        <x:v>-0.04030317286131241</x:v>
      </x:c>
      <x:c r="AJ151" s="600" t="n">
        <x:v>0.02891278130191155</x:v>
      </x:c>
      <x:c r="AK151" s="600" t="n">
        <x:v>0.09606195519513028</x:v>
      </x:c>
      <x:c r="AL151" s="600" t="n">
        <x:v>0.1137731396342981</x:v>
      </x:c>
      <x:c r="AM151" s="600" t="n">
        <x:v>0.6998</x:v>
      </x:c>
      <x:c r="AN151" s="595" t="inlineStr">
        <x:is>
          <x:t xml:space="preserve">EVALUATED</x:t>
        </x:is>
      </x:c>
      <x:c r="AO151" s="600" t="inlineStr">
        <x:is>
          <x:t xml:space="preserve">BUCKET_0.25、SIDE_IDENTITY_VALID、FLAT_LINE_GIVING_WATER_DROP</x:t>
        </x:is>
      </x:c>
      <x:c r="AP151" s="600" t="inlineStr">
        <x:is>
          <x:t xml:space="preserve">f4135b09f67a181d2ec4</x:t>
        </x:is>
      </x:c>
      <x:c r="AQ151" s="600" t="n">
        <x:v>0.25</x:v>
      </x:c>
      <x:c r="AR151" s="600" t="n">
        <x:v>1.06</x:v>
      </x:c>
      <x:c r="AS151" s="600" t="n">
        <x:v>0.25</x:v>
      </x:c>
      <x:c r="AT151" s="600" t="n">
        <x:v>-0.25</x:v>
      </x:c>
      <x:c r="AU151" s="600" t="n">
        <x:v>1.06</x:v>
      </x:c>
      <x:c r="AV151" s="600" t="n">
        <x:v>0.7</x:v>
      </x:c>
      <x:c r="AW151" s="595" t="n">
        <x:v>46283.33365373842</x:v>
      </x:c>
      <x:c r="AX151" s="595" t="inlineStr">
        <x:is>
          <x:t xml:space="preserve">https://simondongxiao.github.io/odds/v4/</x:t>
        </x:is>
      </x:c>
      <x:c r="AY151" s="595" t="inlineStr">
        <x:is>
          <x:t xml:space="preserve">V4 Shadow Only；real_money=false；比分差异详见记录审计</x:t>
        </x:is>
      </x:c>
    </x:row>
    <x:row r="152" ht="22" customHeight="1">
      <x:c r="A152" s="595" t="inlineStr">
        <x:is>
          <x:t xml:space="preserve">2026-09-18</x:t>
        </x:is>
      </x:c>
      <x:c r="B152" s="595" t="inlineStr">
        <x:is>
          <x:t xml:space="preserve">2026-09-18 22:40</x:t>
        </x:is>
      </x:c>
      <x:c r="C152" s="595" t="str">
        <x:v>西亚/中亚系列</x:v>
      </x:c>
      <x:c r="D152" s="595" t="inlineStr">
        <x:is>
          <x:t xml:space="preserve">联赛</x:t>
        </x:is>
      </x:c>
      <x:c r="E152" s="595" t="inlineStr">
        <x:is>
          <x:t xml:space="preserve">阿联酋甲</x:t>
        </x:is>
      </x:c>
      <x:c r="F152" s="595" t="inlineStr">
        <x:is>
          <x:t xml:space="preserve">富查伊拉 vs 阿联酋伊蒂法格</x:t>
        </x:is>
      </x:c>
      <x:c r="G152" s="596" t="n">
        <x:v>0.82</x:v>
      </x:c>
      <x:c r="H152" s="596" t="n">
        <x:v>1</x:v>
      </x:c>
      <x:c r="I152" s="596" t="n">
        <x:v>0.9399999999999999</x:v>
      </x:c>
      <x:c r="J152" s="596" t="inlineStr">
        <x:is>
          <x:t xml:space="preserve">0.82/1/0.94</x:t>
        </x:is>
      </x:c>
      <x:c r="K152" s="595" t="inlineStr">
        <x:is>
          <x:t xml:space="preserve">V4-C｜EV +0.0405</x:t>
        </x:is>
      </x:c>
      <x:c r="L152" s="595" t="inlineStr">
        <x:is>
          <x:t xml:space="preserve">阿联酋伊蒂法格</x:t>
        </x:is>
      </x:c>
      <x:c r="M152" s="597" t="n">
        <x:v>0.5423728813559322</x:v>
      </x:c>
      <x:c r="N152" s="595" t="inlineStr">
        <x:is>
          <x:t xml:space="preserve">V4纸面入选-C</x:t>
        </x:is>
      </x:c>
      <x:c r="O152" s="595" t="inlineStr">
        <x:is>
          <x:t xml:space="preserve">4-1</x:t>
        </x:is>
      </x:c>
      <x:c r="P152" s="595" t="inlineStr">
        <x:is>
          <x:t xml:space="preserve">已结算</x:t>
        </x:is>
      </x:c>
      <x:c r="Q152" s="641" t="inlineStr">
        <x:is>
          <x:t xml:space="preserve">黑</x:t>
        </x:is>
      </x:c>
      <x:c r="R152" s="599" t="n">
        <x:v>0.9399999999999999</x:v>
      </x:c>
      <x:c r="S152" s="599" t="n">
        <x:f>IF(OR(Q152="",Q152="待结算"),"",IF(Q152="红",R152,IF(Q152="半红",R152*0.5,IF(Q152="走",0,IF(Q152="半黑",-0.5,-1)))))</x:f>
        <x:v>-1</x:v>
      </x:c>
      <x:c r="T152" s="595" t="inlineStr">
        <x:is>
          <x:t xml:space="preserve">https://zq.titan007.com/analysis/3032923cn.htm</x:t>
        </x:is>
      </x:c>
      <x:c r="U152" s="640" t="str">
        <x:f>IF(Q152="","",IF(Q152="待结算","待结算",IF(Q152="红","黑",IF(Q152="半红","半黑",IF(Q152="走","走",IF(Q152="半黑","半红","红"))))))</x:f>
        <x:v>红</x:v>
      </x:c>
      <x:c r="V152" s="599" t="n">
        <x:f>IF(OR(Q152="",Q152="待结算"),"",IF(L152=LEFT(F152,FIND(" vs ",F152)-1),I152,G152))</x:f>
        <x:v>0.82</x:v>
      </x:c>
      <x:c r="W152" s="599" t="n">
        <x:f>IF(OR(U152="",U152="待结算"),"",IF(U152="红",V152,IF(U152="半红",V152*0.5,IF(U152="走",0,IF(U152="半黑",-0.5,-1)))))</x:f>
        <x:v>0.82</x:v>
      </x:c>
      <x:c r="X152" s="595" t="inlineStr">
        <x:is>
          <x:t xml:space="preserve">3032923</x:t>
        </x:is>
      </x:c>
      <x:c r="Y152" s="595" t="inlineStr">
        <x:is>
          <x:t xml:space="preserve">v4-market-dirichlet-20260913</x:t>
        </x:is>
      </x:c>
      <x:c r="Z152" s="595" t="inlineStr">
        <x:is>
          <x:t xml:space="preserve">prior-2026-09-18-v1</x:t>
        </x:is>
      </x:c>
      <x:c r="AA152" s="595" t="inlineStr">
        <x:is>
          <x:t xml:space="preserve">C</x:t>
        </x:is>
      </x:c>
      <x:c r="AB152" s="600" t="n">
        <x:v>0.4210526315789473</x:v>
      </x:c>
      <x:c r="AC152" s="600" t="n">
        <x:v>0</x:v>
      </x:c>
      <x:c r="AD152" s="600" t="n">
        <x:v>0.2236842105263158</x:v>
      </x:c>
      <x:c r="AE152" s="600" t="n">
        <x:v>0</x:v>
      </x:c>
      <x:c r="AF152" s="600" t="n">
        <x:v>0.3552631578947368</x:v>
      </x:c>
      <x:c r="AG152" s="600" t="n">
        <x:v>0.04052631578947363</x:v>
      </x:c>
      <x:c r="AH152" s="600" t="n">
        <x:v>-0.1175705482718701</x:v>
      </x:c>
      <x:c r="AI152" s="600" t="n">
        <x:v>-0.08660159408106372</x:v>
      </x:c>
      <x:c r="AJ152" s="600" t="n">
        <x:v>0.04439062388974424</x:v>
      </x:c>
      <x:c r="AK152" s="600" t="n">
        <x:v>0.1693657503977931</x:v>
      </x:c>
      <x:c r="AL152" s="600" t="n">
        <x:v>0.2031016187323242</x:v>
      </x:c>
      <x:c r="AM152" s="600" t="n">
        <x:v>0.6756</x:v>
      </x:c>
      <x:c r="AN152" s="595" t="inlineStr">
        <x:is>
          <x:t xml:space="preserve">EVALUATED</x:t>
        </x:is>
      </x:c>
      <x:c r="AO152" s="600" t="inlineStr">
        <x:is>
          <x:t xml:space="preserve">BUCKET_1.00、SIDE_IDENTITY_VALID、FLAT_LINE_GIVING_WATER_RISE</x:t>
        </x:is>
      </x:c>
      <x:c r="AP152" s="600" t="inlineStr">
        <x:is>
          <x:t xml:space="preserve">93d7c9f7a13b5a1afbd7</x:t>
        </x:is>
      </x:c>
      <x:c r="AQ152" s="600" t="n">
        <x:v>1</x:v>
      </x:c>
      <x:c r="AR152" s="600" t="n">
        <x:v>0.9399999999999999</x:v>
      </x:c>
      <x:c r="AS152" s="600" t="n">
        <x:v>-1</x:v>
      </x:c>
      <x:c r="AT152" s="600" t="n">
        <x:v>1</x:v>
      </x:c>
      <x:c r="AU152" s="600" t="n">
        <x:v>0.82</x:v>
      </x:c>
      <x:c r="AV152" s="600" t="n">
        <x:v>0.9399999999999999</x:v>
      </x:c>
      <x:c r="AW152" s="595" t="n">
        <x:v>46283.33365373842</x:v>
      </x:c>
      <x:c r="AX152" s="595" t="inlineStr">
        <x:is>
          <x:t xml:space="preserve">https://simondongxiao.github.io/odds/v4/</x:t>
        </x:is>
      </x:c>
      <x:c r="AY152" s="595" t="inlineStr">
        <x:is>
          <x:t xml:space="preserve">V4 Shadow Only；real_money=false；比分差异详见记录审计</x:t>
        </x:is>
      </x:c>
    </x:row>
    <x:row r="153" ht="22" customHeight="1">
      <x:c r="A153" s="595" t="inlineStr">
        <x:is>
          <x:t xml:space="preserve">2026-09-18</x:t>
        </x:is>
      </x:c>
      <x:c r="B153" s="595" t="inlineStr">
        <x:is>
          <x:t xml:space="preserve">2026-09-18 22:40</x:t>
        </x:is>
      </x:c>
      <x:c r="C153" s="595" t="str">
        <x:v>西亚/中亚系列</x:v>
      </x:c>
      <x:c r="D153" s="595" t="inlineStr">
        <x:is>
          <x:t xml:space="preserve">联赛</x:t>
        </x:is>
      </x:c>
      <x:c r="E153" s="595" t="inlineStr">
        <x:is>
          <x:t xml:space="preserve">阿联酋甲</x:t>
        </x:is>
      </x:c>
      <x:c r="F153" s="595" t="inlineStr">
        <x:is>
          <x:t xml:space="preserve">城市俱乐部 vs 阿拉比欧姆古温</x:t>
        </x:is>
      </x:c>
      <x:c r="G153" s="596" t="n">
        <x:v>1.01</x:v>
      </x:c>
      <x:c r="H153" s="596" t="n">
        <x:v>-1</x:v>
      </x:c>
      <x:c r="I153" s="596" t="n">
        <x:v>0.75</x:v>
      </x:c>
      <x:c r="J153" s="596" t="inlineStr">
        <x:is>
          <x:t xml:space="preserve">1.01/-1/0.75</x:t>
        </x:is>
      </x:c>
      <x:c r="K153" s="595" t="inlineStr">
        <x:is>
          <x:t xml:space="preserve">V4-C｜EV +0.0700</x:t>
        </x:is>
      </x:c>
      <x:c r="L153" s="595" t="inlineStr">
        <x:is>
          <x:t xml:space="preserve">城市俱乐部</x:t>
        </x:is>
      </x:c>
      <x:c r="M153" s="597" t="n">
        <x:v>0.5423728813559322</x:v>
      </x:c>
      <x:c r="N153" s="595" t="inlineStr">
        <x:is>
          <x:t xml:space="preserve">V4纸面入选-C</x:t>
        </x:is>
      </x:c>
      <x:c r="O153" s="595" t="inlineStr">
        <x:is>
          <x:t xml:space="preserve">2-3</x:t>
        </x:is>
      </x:c>
      <x:c r="P153" s="595" t="inlineStr">
        <x:is>
          <x:t xml:space="preserve">已结算</x:t>
        </x:is>
      </x:c>
      <x:c r="Q153" s="644" t="inlineStr">
        <x:is>
          <x:t xml:space="preserve">走</x:t>
        </x:is>
      </x:c>
      <x:c r="R153" s="599" t="n">
        <x:v>1.01</x:v>
      </x:c>
      <x:c r="S153" s="599" t="n">
        <x:f>IF(OR(Q153="",Q153="待结算"),"",IF(Q153="红",R153,IF(Q153="半红",R153*0.5,IF(Q153="走",0,IF(Q153="半黑",-0.5,-1)))))</x:f>
        <x:v>0</x:v>
      </x:c>
      <x:c r="T153" s="595" t="inlineStr">
        <x:is>
          <x:t xml:space="preserve">https://zq.titan007.com/analysis/3032924cn.htm</x:t>
        </x:is>
      </x:c>
      <x:c r="U153" s="644" t="str">
        <x:f>IF(Q153="","",IF(Q153="待结算","待结算",IF(Q153="红","黑",IF(Q153="半红","半黑",IF(Q153="走","走",IF(Q153="半黑","半红","红"))))))</x:f>
        <x:v>走</x:v>
      </x:c>
      <x:c r="V153" s="599" t="n">
        <x:f>IF(OR(Q153="",Q153="待结算"),"",IF(L153=LEFT(F153,FIND(" vs ",F153)-1),I153,G153))</x:f>
        <x:v>0.75</x:v>
      </x:c>
      <x:c r="W153" s="599" t="n">
        <x:f>IF(OR(U153="",U153="待结算"),"",IF(U153="红",V153,IF(U153="半红",V153*0.5,IF(U153="走",0,IF(U153="半黑",-0.5,-1)))))</x:f>
        <x:v>0</x:v>
      </x:c>
      <x:c r="X153" s="595" t="inlineStr">
        <x:is>
          <x:t xml:space="preserve">3032924</x:t>
        </x:is>
      </x:c>
      <x:c r="Y153" s="595" t="inlineStr">
        <x:is>
          <x:t xml:space="preserve">v4-market-dirichlet-20260913</x:t>
        </x:is>
      </x:c>
      <x:c r="Z153" s="595" t="inlineStr">
        <x:is>
          <x:t xml:space="preserve">prior-2026-09-18-v1</x:t>
        </x:is>
      </x:c>
      <x:c r="AA153" s="595" t="inlineStr">
        <x:is>
          <x:t xml:space="preserve">C</x:t>
        </x:is>
      </x:c>
      <x:c r="AB153" s="600" t="n">
        <x:v>0.4210526315789473</x:v>
      </x:c>
      <x:c r="AC153" s="600" t="n">
        <x:v>0</x:v>
      </x:c>
      <x:c r="AD153" s="600" t="n">
        <x:v>0.2236842105263158</x:v>
      </x:c>
      <x:c r="AE153" s="600" t="n">
        <x:v>0</x:v>
      </x:c>
      <x:c r="AF153" s="600" t="n">
        <x:v>0.3552631578947368</x:v>
      </x:c>
      <x:c r="AG153" s="600" t="n">
        <x:v>0.07000000000000001</x:v>
      </x:c>
      <x:c r="AH153" s="600" t="n">
        <x:v>-0.1009160172019689</x:v>
      </x:c>
      <x:c r="AI153" s="600" t="n">
        <x:v>-0.06223924458986319</x:v>
      </x:c>
      <x:c r="AJ153" s="600" t="n">
        <x:v>0.06858915151693495</x:v>
      </x:c>
      <x:c r="AK153" s="600" t="n">
        <x:v>0.1961728704093529</x:v>
      </x:c>
      <x:c r="AL153" s="600" t="n">
        <x:v>0.2303581836181482</x:v>
      </x:c>
      <x:c r="AM153" s="600" t="n">
        <x:v>0.7598</x:v>
      </x:c>
      <x:c r="AN153" s="595" t="inlineStr">
        <x:is>
          <x:t xml:space="preserve">EVALUATED</x:t>
        </x:is>
      </x:c>
      <x:c r="AO153" s="600" t="inlineStr">
        <x:is>
          <x:t xml:space="preserve">BUCKET_1.00、SIDE_IDENTITY_VALID、FLAT_LINE_GIVING_WATER_DROP</x:t>
        </x:is>
      </x:c>
      <x:c r="AP153" s="600" t="inlineStr">
        <x:is>
          <x:t xml:space="preserve">dbc9bfb912008c779bb4</x:t>
        </x:is>
      </x:c>
      <x:c r="AQ153" s="600" t="n">
        <x:v>1</x:v>
      </x:c>
      <x:c r="AR153" s="600" t="n">
        <x:v>1.01</x:v>
      </x:c>
      <x:c r="AS153" s="600" t="n">
        <x:v>1</x:v>
      </x:c>
      <x:c r="AT153" s="600" t="n">
        <x:v>-1</x:v>
      </x:c>
      <x:c r="AU153" s="600" t="n">
        <x:v>1.01</x:v>
      </x:c>
      <x:c r="AV153" s="600" t="n">
        <x:v>0.75</x:v>
      </x:c>
      <x:c r="AW153" s="595" t="n">
        <x:v>46283.33365373842</x:v>
      </x:c>
      <x:c r="AX153" s="595" t="inlineStr">
        <x:is>
          <x:t xml:space="preserve">https://simondongxiao.github.io/odds/v4/</x:t>
        </x:is>
      </x:c>
      <x:c r="AY153" s="595" t="inlineStr">
        <x:is>
          <x:t xml:space="preserve">V4 Shadow Only；real_money=false；比分差异详见记录审计</x:t>
        </x:is>
      </x:c>
    </x:row>
    <x:row r="154" ht="22" customHeight="1">
      <x:c r="A154" s="595" t="inlineStr">
        <x:is>
          <x:t xml:space="preserve">2026-09-18</x:t>
        </x:is>
      </x:c>
      <x:c r="B154" s="595" t="inlineStr">
        <x:is>
          <x:t xml:space="preserve">2026-09-18 23:00</x:t>
        </x:is>
      </x:c>
      <x:c r="C154" s="595" t="str">
        <x:v>欧洲非五大系列</x:v>
      </x:c>
      <x:c r="D154" s="595" t="inlineStr">
        <x:is>
          <x:t xml:space="preserve">联赛</x:t>
        </x:is>
      </x:c>
      <x:c r="E154" s="595" t="inlineStr">
        <x:is>
          <x:t xml:space="preserve">芬超降</x:t>
        </x:is>
      </x:c>
      <x:c r="F154" s="595" t="inlineStr">
        <x:is>
          <x:t xml:space="preserve">拉赫蒂 vs 雅罗</x:t>
        </x:is>
      </x:c>
      <x:c r="G154" s="596" t="n">
        <x:v>1.04</x:v>
      </x:c>
      <x:c r="H154" s="596" t="n">
        <x:v>1</x:v>
      </x:c>
      <x:c r="I154" s="596" t="n">
        <x:v>0.85</x:v>
      </x:c>
      <x:c r="J154" s="596" t="inlineStr">
        <x:is>
          <x:t xml:space="preserve">1.04/1/0.85</x:t>
        </x:is>
      </x:c>
      <x:c r="K154" s="595" t="inlineStr">
        <x:is>
          <x:t xml:space="preserve">V4-C｜EV +0.0026</x:t>
        </x:is>
      </x:c>
      <x:c r="L154" s="595" t="inlineStr">
        <x:is>
          <x:t xml:space="preserve">雅罗</x:t>
        </x:is>
      </x:c>
      <x:c r="M154" s="597" t="n">
        <x:v>0.5423728813559322</x:v>
      </x:c>
      <x:c r="N154" s="595" t="inlineStr">
        <x:is>
          <x:t xml:space="preserve">V4纸面入选-C</x:t>
        </x:is>
      </x:c>
      <x:c r="O154" s="595" t="inlineStr">
        <x:is>
          <x:t xml:space="preserve">1-1</x:t>
        </x:is>
      </x:c>
      <x:c r="P154" s="595" t="inlineStr">
        <x:is>
          <x:t xml:space="preserve">已结算</x:t>
        </x:is>
      </x:c>
      <x:c r="Q154" s="640" t="inlineStr">
        <x:is>
          <x:t xml:space="preserve">红</x:t>
        </x:is>
      </x:c>
      <x:c r="R154" s="599" t="n">
        <x:v>0.85</x:v>
      </x:c>
      <x:c r="S154" s="599" t="n">
        <x:f>IF(OR(Q154="",Q154="待结算"),"",IF(Q154="红",R154,IF(Q154="半红",R154*0.5,IF(Q154="走",0,IF(Q154="半黑",-0.5,-1)))))</x:f>
        <x:v>0.85</x:v>
      </x:c>
      <x:c r="T154" s="595" t="inlineStr">
        <x:is>
          <x:t xml:space="preserve">https://zq.titan007.com/analysis/3085234cn.htm</x:t>
        </x:is>
      </x:c>
      <x:c r="U154" s="641" t="str">
        <x:f>IF(Q154="","",IF(Q154="待结算","待结算",IF(Q154="红","黑",IF(Q154="半红","半黑",IF(Q154="走","走",IF(Q154="半黑","半红","红"))))))</x:f>
        <x:v>黑</x:v>
      </x:c>
      <x:c r="V154" s="599" t="n">
        <x:f>IF(OR(Q154="",Q154="待结算"),"",IF(L154=LEFT(F154,FIND(" vs ",F154)-1),I154,G154))</x:f>
        <x:v>1.04</x:v>
      </x:c>
      <x:c r="W154" s="599" t="n">
        <x:f>IF(OR(U154="",U154="待结算"),"",IF(U154="红",V154,IF(U154="半红",V154*0.5,IF(U154="走",0,IF(U154="半黑",-0.5,-1)))))</x:f>
        <x:v>-1</x:v>
      </x:c>
      <x:c r="X154" s="595" t="inlineStr">
        <x:is>
          <x:t xml:space="preserve">3085234</x:t>
        </x:is>
      </x:c>
      <x:c r="Y154" s="595" t="inlineStr">
        <x:is>
          <x:t xml:space="preserve">v4-market-dirichlet-20260913</x:t>
        </x:is>
      </x:c>
      <x:c r="Z154" s="595" t="inlineStr">
        <x:is>
          <x:t xml:space="preserve">prior-2026-09-18-v1</x:t>
        </x:is>
      </x:c>
      <x:c r="AA154" s="595" t="inlineStr">
        <x:is>
          <x:t xml:space="preserve">C</x:t>
        </x:is>
      </x:c>
      <x:c r="AB154" s="600" t="n">
        <x:v>0.4210526315789473</x:v>
      </x:c>
      <x:c r="AC154" s="600" t="n">
        <x:v>0</x:v>
      </x:c>
      <x:c r="AD154" s="600" t="n">
        <x:v>0.2236842105263158</x:v>
      </x:c>
      <x:c r="AE154" s="600" t="n">
        <x:v>0</x:v>
      </x:c>
      <x:c r="AF154" s="600" t="n">
        <x:v>0.3552631578947368</x:v>
      </x:c>
      <x:c r="AG154" s="600" t="n">
        <x:v>0.002631578947368374</x:v>
      </x:c>
      <x:c r="AH154" s="600" t="n">
        <x:v>-0.1512393943073572</x:v>
      </x:c>
      <x:c r="AI154" s="600" t="n">
        <x:v>-0.1179386633944976</x:v>
      </x:c>
      <x:c r="AJ154" s="600" t="n">
        <x:v>0.003906907035869656</x:v>
      </x:c>
      <x:c r="AK154" s="600" t="n">
        <x:v>0.1214551161732709</x:v>
      </x:c>
      <x:c r="AL154" s="600" t="n">
        <x:v>0.1533126267514249</x:v>
      </x:c>
      <x:c r="AM154" s="600" t="n">
        <x:v>0.5174</x:v>
      </x:c>
      <x:c r="AN154" s="595" t="inlineStr">
        <x:is>
          <x:t xml:space="preserve">EVALUATED</x:t>
        </x:is>
      </x:c>
      <x:c r="AO154" s="600" t="inlineStr">
        <x:is>
          <x:t xml:space="preserve">BUCKET_1.00、SIDE_IDENTITY_VALID、FLAT_LINE_GIVING_WATER_RISE</x:t>
        </x:is>
      </x:c>
      <x:c r="AP154" s="600" t="inlineStr">
        <x:is>
          <x:t xml:space="preserve">1ce3cc05770407131bf0</x:t>
        </x:is>
      </x:c>
      <x:c r="AQ154" s="600" t="n">
        <x:v>1</x:v>
      </x:c>
      <x:c r="AR154" s="600" t="n">
        <x:v>0.85</x:v>
      </x:c>
      <x:c r="AS154" s="600" t="n">
        <x:v>-1</x:v>
      </x:c>
      <x:c r="AT154" s="600" t="n">
        <x:v>1</x:v>
      </x:c>
      <x:c r="AU154" s="600" t="n">
        <x:v>1.04</x:v>
      </x:c>
      <x:c r="AV154" s="600" t="n">
        <x:v>0.85</x:v>
      </x:c>
      <x:c r="AW154" s="595" t="n">
        <x:v>46283.33365373842</x:v>
      </x:c>
      <x:c r="AX154" s="595" t="inlineStr">
        <x:is>
          <x:t xml:space="preserve">https://simondongxiao.github.io/odds/v4/</x:t>
        </x:is>
      </x:c>
      <x:c r="AY154" s="595" t="inlineStr">
        <x:is>
          <x:t xml:space="preserve">V4 Shadow Only；real_money=false；比分差异详见记录审计</x:t>
        </x:is>
      </x:c>
    </x:row>
    <x:row r="155" ht="22" customHeight="1">
      <x:c r="A155" s="595" t="inlineStr">
        <x:is>
          <x:t xml:space="preserve">2026-09-18</x:t>
        </x:is>
      </x:c>
      <x:c r="B155" s="595" t="inlineStr">
        <x:is>
          <x:t xml:space="preserve">2026-09-18 23:00</x:t>
        </x:is>
      </x:c>
      <x:c r="C155" s="595" t="str">
        <x:v>其他系列</x:v>
      </x:c>
      <x:c r="D155" s="595" t="inlineStr">
        <x:is>
          <x:t xml:space="preserve">联赛</x:t>
        </x:is>
      </x:c>
      <x:c r="E155" s="595" t="inlineStr">
        <x:is>
          <x:t xml:space="preserve">阿尔甲</x:t>
        </x:is>
      </x:c>
      <x:c r="F155" s="595" t="inlineStr">
        <x:is>
          <x:t xml:space="preserve">汉舍莱 vs 阿科诺</x:t>
        </x:is>
      </x:c>
      <x:c r="G155" s="596" t="n">
        <x:v>0.74</x:v>
      </x:c>
      <x:c r="H155" s="596" t="n">
        <x:v>0.25</x:v>
      </x:c>
      <x:c r="I155" s="596" t="n">
        <x:v>1.02</x:v>
      </x:c>
      <x:c r="J155" s="596" t="inlineStr">
        <x:is>
          <x:t xml:space="preserve">0.74/0.25/1.02</x:t>
        </x:is>
      </x:c>
      <x:c r="K155" s="595" t="inlineStr">
        <x:is>
          <x:t xml:space="preserve">V4-C｜EV +0.0102</x:t>
        </x:is>
      </x:c>
      <x:c r="L155" s="595" t="inlineStr">
        <x:is>
          <x:t xml:space="preserve">阿科诺</x:t>
        </x:is>
      </x:c>
      <x:c r="M155" s="597" t="n">
        <x:v>0.5010224948875256</x:v>
      </x:c>
      <x:c r="N155" s="595" t="inlineStr">
        <x:is>
          <x:t xml:space="preserve">V4纸面入选-C</x:t>
        </x:is>
      </x:c>
      <x:c r="O155" s="595" t="inlineStr">
        <x:is>
          <x:t xml:space="preserve">1-1</x:t>
        </x:is>
      </x:c>
      <x:c r="P155" s="595" t="inlineStr">
        <x:is>
          <x:t xml:space="preserve">已结算</x:t>
        </x:is>
      </x:c>
      <x:c r="Q155" s="642" t="inlineStr">
        <x:is>
          <x:t xml:space="preserve">半红</x:t>
        </x:is>
      </x:c>
      <x:c r="R155" s="599" t="n">
        <x:v>1.02</x:v>
      </x:c>
      <x:c r="S155" s="599" t="n">
        <x:f>IF(OR(Q155="",Q155="待结算"),"",IF(Q155="红",R155,IF(Q155="半红",R155*0.5,IF(Q155="走",0,IF(Q155="半黑",-0.5,-1)))))</x:f>
        <x:v>0.51</x:v>
      </x:c>
      <x:c r="T155" s="595" t="inlineStr">
        <x:is>
          <x:t xml:space="preserve">https://zq.titan007.com/analysis/3056754cn.htm</x:t>
        </x:is>
      </x:c>
      <x:c r="U155" s="643" t="str">
        <x:f>IF(Q155="","",IF(Q155="待结算","待结算",IF(Q155="红","黑",IF(Q155="半红","半黑",IF(Q155="走","走",IF(Q155="半黑","半红","红"))))))</x:f>
        <x:v>半黑</x:v>
      </x:c>
      <x:c r="V155" s="599" t="n">
        <x:f>IF(OR(Q155="",Q155="待结算"),"",IF(L155=LEFT(F155,FIND(" vs ",F155)-1),I155,G155))</x:f>
        <x:v>0.74</x:v>
      </x:c>
      <x:c r="W155" s="599" t="n">
        <x:f>IF(OR(U155="",U155="待结算"),"",IF(U155="红",V155,IF(U155="半红",V155*0.5,IF(U155="走",0,IF(U155="半黑",-0.5,-1)))))</x:f>
        <x:v>-0.5</x:v>
      </x:c>
      <x:c r="X155" s="595" t="inlineStr">
        <x:is>
          <x:t xml:space="preserve">3056754</x:t>
        </x:is>
      </x:c>
      <x:c r="Y155" s="595" t="inlineStr">
        <x:is>
          <x:t xml:space="preserve">v4-market-dirichlet-20260913</x:t>
        </x:is>
      </x:c>
      <x:c r="Z155" s="595" t="inlineStr">
        <x:is>
          <x:t xml:space="preserve">prior-2026-09-18-v1</x:t>
        </x:is>
      </x:c>
      <x:c r="AA155" s="595" t="inlineStr">
        <x:is>
          <x:t xml:space="preserve">C</x:t>
        </x:is>
      </x:c>
      <x:c r="AB155" s="600" t="n">
        <x:v>0.2743055555555556</x:v>
      </x:c>
      <x:c r="AC155" s="600" t="n">
        <x:v>0.3020833333333333</x:v>
      </x:c>
      <x:c r="AD155" s="600" t="n">
        <x:v>0</x:v>
      </x:c>
      <x:c r="AE155" s="600" t="n">
        <x:v>0</x:v>
      </x:c>
      <x:c r="AF155" s="600" t="n">
        <x:v>0.4236111111111111</x:v>
      </x:c>
      <x:c r="AG155" s="600" t="n">
        <x:v>0.0102430555555556</x:v>
      </x:c>
      <x:c r="AH155" s="600" t="n">
        <x:v>-0.07787765456353163</x:v>
      </x:c>
      <x:c r="AI155" s="600" t="n">
        <x:v>-0.05905041390067994</x:v>
      </x:c>
      <x:c r="AJ155" s="600" t="n">
        <x:v>0.01062754526625981</x:v>
      </x:c>
      <x:c r="AK155" s="600" t="n">
        <x:v>0.07731055206419152</x:v>
      </x:c>
      <x:c r="AL155" s="600" t="n">
        <x:v>0.09548870707506346</x:v>
      </x:c>
      <x:c r="AM155" s="600" t="n">
        <x:v>0.5772</x:v>
      </x:c>
      <x:c r="AN155" s="595" t="inlineStr">
        <x:is>
          <x:t xml:space="preserve">EVALUATED</x:t>
        </x:is>
      </x:c>
      <x:c r="AO155" s="600" t="inlineStr">
        <x:is>
          <x:t xml:space="preserve">BUCKET_0.25、SIDE_IDENTITY_VALID、FLAT_LINE_GIVING_WATER_DROP</x:t>
        </x:is>
      </x:c>
      <x:c r="AP155" s="600" t="inlineStr">
        <x:is>
          <x:t xml:space="preserve">6afa82301ff52feb5782</x:t>
        </x:is>
      </x:c>
      <x:c r="AQ155" s="600" t="n">
        <x:v>0.25</x:v>
      </x:c>
      <x:c r="AR155" s="600" t="n">
        <x:v>1.02</x:v>
      </x:c>
      <x:c r="AS155" s="600" t="n">
        <x:v>-0.25</x:v>
      </x:c>
      <x:c r="AT155" s="600" t="n">
        <x:v>0.25</x:v>
      </x:c>
      <x:c r="AU155" s="600" t="n">
        <x:v>0.74</x:v>
      </x:c>
      <x:c r="AV155" s="600" t="n">
        <x:v>1.02</x:v>
      </x:c>
      <x:c r="AW155" s="595" t="n">
        <x:v>46283.33365373842</x:v>
      </x:c>
      <x:c r="AX155" s="595" t="inlineStr">
        <x:is>
          <x:t xml:space="preserve">https://simondongxiao.github.io/odds/v4/</x:t>
        </x:is>
      </x:c>
      <x:c r="AY155" s="595" t="inlineStr">
        <x:is>
          <x:t xml:space="preserve">V4 Shadow Only；real_money=false；比分差异详见记录审计</x:t>
        </x:is>
      </x:c>
    </x:row>
    <x:row r="156" ht="22" customHeight="1">
      <x:c r="A156" s="595" t="inlineStr">
        <x:is>
          <x:t xml:space="preserve">2026-09-18</x:t>
        </x:is>
      </x:c>
      <x:c r="B156" s="595" t="inlineStr">
        <x:is>
          <x:t xml:space="preserve">2026-09-18 23:00</x:t>
        </x:is>
      </x:c>
      <x:c r="C156" s="595" t="str">
        <x:v>西亚/中亚系列</x:v>
      </x:c>
      <x:c r="D156" s="595" t="inlineStr">
        <x:is>
          <x:t xml:space="preserve">联赛</x:t>
        </x:is>
      </x:c>
      <x:c r="E156" s="595" t="inlineStr">
        <x:is>
          <x:t xml:space="preserve">哈萨克超</x:t>
        </x:is>
      </x:c>
      <x:c r="F156" s="595" t="inlineStr">
        <x:is>
          <x:t xml:space="preserve">阿克托比 vs 乌利塔哲兹卡兹甘</x:t>
        </x:is>
      </x:c>
      <x:c r="G156" s="596" t="n">
        <x:v>0.65</x:v>
      </x:c>
      <x:c r="H156" s="596" t="n">
        <x:v>0.75</x:v>
      </x:c>
      <x:c r="I156" s="596" t="n">
        <x:v>1.12</x:v>
      </x:c>
      <x:c r="J156" s="596" t="inlineStr">
        <x:is>
          <x:t xml:space="preserve">0.65/0.75/1.12</x:t>
        </x:is>
      </x:c>
      <x:c r="K156" s="595" t="inlineStr">
        <x:is>
          <x:t xml:space="preserve">V4-C｜EV +0.0655</x:t>
        </x:is>
      </x:c>
      <x:c r="L156" s="595" t="inlineStr">
        <x:is>
          <x:t xml:space="preserve">乌利塔哲兹卡兹甘</x:t>
        </x:is>
      </x:c>
      <x:c r="M156" s="597" t="n">
        <x:v>0.5071770334928229</x:v>
      </x:c>
      <x:c r="N156" s="595" t="inlineStr">
        <x:is>
          <x:t xml:space="preserve">V4纸面入选-C</x:t>
        </x:is>
      </x:c>
      <x:c r="O156" s="595" t="inlineStr">
        <x:is>
          <x:t xml:space="preserve">2-2</x:t>
        </x:is>
      </x:c>
      <x:c r="P156" s="595" t="inlineStr">
        <x:is>
          <x:t xml:space="preserve">已结算</x:t>
        </x:is>
      </x:c>
      <x:c r="Q156" s="640" t="inlineStr">
        <x:is>
          <x:t xml:space="preserve">红</x:t>
        </x:is>
      </x:c>
      <x:c r="R156" s="599" t="n">
        <x:v>1.12</x:v>
      </x:c>
      <x:c r="S156" s="599" t="n">
        <x:f>IF(OR(Q156="",Q156="待结算"),"",IF(Q156="红",R156,IF(Q156="半红",R156*0.5,IF(Q156="走",0,IF(Q156="半黑",-0.5,-1)))))</x:f>
        <x:v>1.12</x:v>
      </x:c>
      <x:c r="T156" s="595" t="inlineStr">
        <x:is>
          <x:t xml:space="preserve">https://zq.titan007.com/analysis/2953374cn.htm</x:t>
        </x:is>
      </x:c>
      <x:c r="U156" s="641" t="str">
        <x:f>IF(Q156="","",IF(Q156="待结算","待结算",IF(Q156="红","黑",IF(Q156="半红","半黑",IF(Q156="走","走",IF(Q156="半黑","半红","红"))))))</x:f>
        <x:v>黑</x:v>
      </x:c>
      <x:c r="V156" s="599" t="n">
        <x:f>IF(OR(Q156="",Q156="待结算"),"",IF(L156=LEFT(F156,FIND(" vs ",F156)-1),I156,G156))</x:f>
        <x:v>0.65</x:v>
      </x:c>
      <x:c r="W156" s="599" t="n">
        <x:f>IF(OR(U156="",U156="待结算"),"",IF(U156="红",V156,IF(U156="半红",V156*0.5,IF(U156="走",0,IF(U156="半黑",-0.5,-1)))))</x:f>
        <x:v>-1</x:v>
      </x:c>
      <x:c r="X156" s="595" t="inlineStr">
        <x:is>
          <x:t xml:space="preserve">2953374</x:t>
        </x:is>
      </x:c>
      <x:c r="Y156" s="595" t="inlineStr">
        <x:is>
          <x:t xml:space="preserve">v4-market-dirichlet-20260913</x:t>
        </x:is>
      </x:c>
      <x:c r="Z156" s="595" t="inlineStr">
        <x:is>
          <x:t xml:space="preserve">prior-2026-09-18-v1</x:t>
        </x:is>
      </x:c>
      <x:c r="AA156" s="595" t="inlineStr">
        <x:is>
          <x:t xml:space="preserve">C</x:t>
        </x:is>
      </x:c>
      <x:c r="AB156" s="600" t="n">
        <x:v>0.4416666666666667</x:v>
      </x:c>
      <x:c r="AC156" s="600" t="n">
        <x:v>0</x:v>
      </x:c>
      <x:c r="AD156" s="600" t="n">
        <x:v>0</x:v>
      </x:c>
      <x:c r="AE156" s="600" t="n">
        <x:v>0.2583333333333334</x:v>
      </x:c>
      <x:c r="AF156" s="600" t="n">
        <x:v>0.3</x:v>
      </x:c>
      <x:c r="AG156" s="600" t="n">
        <x:v>0.06550000000000006</x:v>
      </x:c>
      <x:c r="AH156" s="600" t="n">
        <x:v>-0.0753416843810048</x:v>
      </x:c>
      <x:c r="AI156" s="600" t="n">
        <x:v>-0.04246741196591772</x:v>
      </x:c>
      <x:c r="AJ156" s="600" t="n">
        <x:v>0.06783074285501101</x:v>
      </x:c>
      <x:c r="AK156" s="600" t="n">
        <x:v>0.1789699711261538</x:v>
      </x:c>
      <x:c r="AL156" s="600" t="n">
        <x:v>0.2107577281508813</x:v>
      </x:c>
      <x:c r="AM156" s="600" t="n">
        <x:v>0.7866</x:v>
      </x:c>
      <x:c r="AN156" s="595" t="inlineStr">
        <x:is>
          <x:t xml:space="preserve">EVALUATED</x:t>
        </x:is>
      </x:c>
      <x:c r="AO156" s="600" t="inlineStr">
        <x:is>
          <x:t xml:space="preserve">BUCKET_0.75、SIDE_IDENTITY_VALID、FLAT_LINE_GIVING_WATER_DROP</x:t>
        </x:is>
      </x:c>
      <x:c r="AP156" s="600" t="inlineStr">
        <x:is>
          <x:t xml:space="preserve">47abf66dcc79555d32d3</x:t>
        </x:is>
      </x:c>
      <x:c r="AQ156" s="600" t="n">
        <x:v>0.75</x:v>
      </x:c>
      <x:c r="AR156" s="600" t="n">
        <x:v>1.12</x:v>
      </x:c>
      <x:c r="AS156" s="600" t="n">
        <x:v>-0.75</x:v>
      </x:c>
      <x:c r="AT156" s="600" t="n">
        <x:v>0.75</x:v>
      </x:c>
      <x:c r="AU156" s="600" t="n">
        <x:v>0.65</x:v>
      </x:c>
      <x:c r="AV156" s="600" t="n">
        <x:v>1.12</x:v>
      </x:c>
      <x:c r="AW156" s="595" t="n">
        <x:v>46283.33365373842</x:v>
      </x:c>
      <x:c r="AX156" s="595" t="inlineStr">
        <x:is>
          <x:t xml:space="preserve">https://simondongxiao.github.io/odds/v4/</x:t>
        </x:is>
      </x:c>
      <x:c r="AY156" s="595" t="inlineStr">
        <x:is>
          <x:t xml:space="preserve">V4 Shadow Only；real_money=false；比分差异详见记录审计</x:t>
        </x:is>
      </x:c>
    </x:row>
    <x:row r="157" ht="22" customHeight="1">
      <x:c r="A157" s="595" t="inlineStr">
        <x:is>
          <x:t xml:space="preserve">2026-09-18</x:t>
        </x:is>
      </x:c>
      <x:c r="B157" s="595" t="inlineStr">
        <x:is>
          <x:t xml:space="preserve">2026-09-18 23:30</x:t>
        </x:is>
      </x:c>
      <x:c r="C157" s="595" t="str">
        <x:v>欧洲非五大系列</x:v>
      </x:c>
      <x:c r="D157" s="595" t="inlineStr">
        <x:is>
          <x:t xml:space="preserve">联赛</x:t>
        </x:is>
      </x:c>
      <x:c r="E157" s="595" t="inlineStr">
        <x:is>
          <x:t xml:space="preserve">芬甲</x:t>
        </x:is>
      </x:c>
      <x:c r="F157" s="595" t="inlineStr">
        <x:is>
          <x:t xml:space="preserve">哈卡 vs 克鲁比04</x:t>
        </x:is>
      </x:c>
      <x:c r="G157" s="596" t="n">
        <x:v>0.79</x:v>
      </x:c>
      <x:c r="H157" s="596" t="n">
        <x:v>1</x:v>
      </x:c>
      <x:c r="I157" s="596" t="n">
        <x:v>1.09</x:v>
      </x:c>
      <x:c r="J157" s="596" t="inlineStr">
        <x:is>
          <x:t xml:space="preserve">0.79/1/1.09</x:t>
        </x:is>
      </x:c>
      <x:c r="K157" s="595" t="inlineStr">
        <x:is>
          <x:t xml:space="preserve">V4-C｜EV +0.1037</x:t>
        </x:is>
      </x:c>
      <x:c r="L157" s="595" t="inlineStr">
        <x:is>
          <x:t xml:space="preserve">克鲁比04</x:t>
        </x:is>
      </x:c>
      <x:c r="M157" s="597" t="n">
        <x:v>0.5423728813559322</x:v>
      </x:c>
      <x:c r="N157" s="595" t="inlineStr">
        <x:is>
          <x:t xml:space="preserve">V4纸面入选-C</x:t>
        </x:is>
      </x:c>
      <x:c r="O157" s="595" t="inlineStr">
        <x:is>
          <x:t xml:space="preserve">2-0</x:t>
        </x:is>
      </x:c>
      <x:c r="P157" s="595" t="inlineStr">
        <x:is>
          <x:t xml:space="preserve">已结算</x:t>
        </x:is>
      </x:c>
      <x:c r="Q157" s="641" t="inlineStr">
        <x:is>
          <x:t xml:space="preserve">黑</x:t>
        </x:is>
      </x:c>
      <x:c r="R157" s="599" t="n">
        <x:v>1.09</x:v>
      </x:c>
      <x:c r="S157" s="599" t="n">
        <x:f>IF(OR(Q157="",Q157="待结算"),"",IF(Q157="红",R157,IF(Q157="半红",R157*0.5,IF(Q157="走",0,IF(Q157="半黑",-0.5,-1)))))</x:f>
        <x:v>-1</x:v>
      </x:c>
      <x:c r="T157" s="595" t="inlineStr">
        <x:is>
          <x:t xml:space="preserve">https://zq.titan007.com/analysis/2921937cn.htm</x:t>
        </x:is>
      </x:c>
      <x:c r="U157" s="640" t="str">
        <x:f>IF(Q157="","",IF(Q157="待结算","待结算",IF(Q157="红","黑",IF(Q157="半红","半黑",IF(Q157="走","走",IF(Q157="半黑","半红","红"))))))</x:f>
        <x:v>红</x:v>
      </x:c>
      <x:c r="V157" s="599" t="n">
        <x:f>IF(OR(Q157="",Q157="待结算"),"",IF(L157=LEFT(F157,FIND(" vs ",F157)-1),I157,G157))</x:f>
        <x:v>0.79</x:v>
      </x:c>
      <x:c r="W157" s="599" t="n">
        <x:f>IF(OR(U157="",U157="待结算"),"",IF(U157="红",V157,IF(U157="半红",V157*0.5,IF(U157="走",0,IF(U157="半黑",-0.5,-1)))))</x:f>
        <x:v>0.79</x:v>
      </x:c>
      <x:c r="X157" s="595" t="inlineStr">
        <x:is>
          <x:t xml:space="preserve">2921937</x:t>
        </x:is>
      </x:c>
      <x:c r="Y157" s="595" t="inlineStr">
        <x:is>
          <x:t xml:space="preserve">v4-market-dirichlet-20260913</x:t>
        </x:is>
      </x:c>
      <x:c r="Z157" s="595" t="inlineStr">
        <x:is>
          <x:t xml:space="preserve">prior-2026-09-18-v1</x:t>
        </x:is>
      </x:c>
      <x:c r="AA157" s="595" t="inlineStr">
        <x:is>
          <x:t xml:space="preserve">C</x:t>
        </x:is>
      </x:c>
      <x:c r="AB157" s="600" t="n">
        <x:v>0.4210526315789473</x:v>
      </x:c>
      <x:c r="AC157" s="600" t="n">
        <x:v>0</x:v>
      </x:c>
      <x:c r="AD157" s="600" t="n">
        <x:v>0.2236842105263158</x:v>
      </x:c>
      <x:c r="AE157" s="600" t="n">
        <x:v>0</x:v>
      </x:c>
      <x:c r="AF157" s="600" t="n">
        <x:v>0.3552631578947368</x:v>
      </x:c>
      <x:c r="AG157" s="600" t="n">
        <x:v>0.1036842105263158</x:v>
      </x:c>
      <x:c r="AH157" s="600" t="n">
        <x:v>-0.07261862811929853</x:v>
      </x:c>
      <x:c r="AI157" s="600" t="n">
        <x:v>-0.03309929182498084</x:v>
      </x:c>
      <x:c r="AJ157" s="600" t="n">
        <x:v>0.1005194668152009</x:v>
      </x:c>
      <x:c r="AK157" s="600" t="n">
        <x:v>0.2380295060418286</x:v>
      </x:c>
      <x:c r="AL157" s="600" t="n">
        <x:v>0.2742406416485992</x:v>
      </x:c>
      <x:c r="AM157" s="600" t="n">
        <x:v>0.8372000000000001</x:v>
      </x:c>
      <x:c r="AN157" s="595" t="inlineStr">
        <x:is>
          <x:t xml:space="preserve">EVALUATED</x:t>
        </x:is>
      </x:c>
      <x:c r="AO157" s="600" t="inlineStr">
        <x:is>
          <x:t xml:space="preserve">BUCKET_1.00、SIDE_IDENTITY_VALID、FLAT_LINE_GIVING_WATER_DROP</x:t>
        </x:is>
      </x:c>
      <x:c r="AP157" s="600" t="inlineStr">
        <x:is>
          <x:t xml:space="preserve">e576a4020ae1fac75570</x:t>
        </x:is>
      </x:c>
      <x:c r="AQ157" s="600" t="n">
        <x:v>1</x:v>
      </x:c>
      <x:c r="AR157" s="600" t="n">
        <x:v>1.09</x:v>
      </x:c>
      <x:c r="AS157" s="600" t="n">
        <x:v>-1</x:v>
      </x:c>
      <x:c r="AT157" s="600" t="n">
        <x:v>1</x:v>
      </x:c>
      <x:c r="AU157" s="600" t="n">
        <x:v>0.79</x:v>
      </x:c>
      <x:c r="AV157" s="600" t="n">
        <x:v>1.09</x:v>
      </x:c>
      <x:c r="AW157" s="595" t="n">
        <x:v>46283.33365373842</x:v>
      </x:c>
      <x:c r="AX157" s="595" t="inlineStr">
        <x:is>
          <x:t xml:space="preserve">https://simondongxiao.github.io/odds/v4/</x:t>
        </x:is>
      </x:c>
      <x:c r="AY157" s="595" t="inlineStr">
        <x:is>
          <x:t xml:space="preserve">V4 Shadow Only；real_money=false；比分差异详见记录审计</x:t>
        </x:is>
      </x:c>
    </x:row>
    <x:row r="158" ht="22" customHeight="1">
      <x:c r="A158" s="595" t="inlineStr">
        <x:is>
          <x:t xml:space="preserve">2026-09-18</x:t>
        </x:is>
      </x:c>
      <x:c r="B158" s="595" t="inlineStr">
        <x:is>
          <x:t xml:space="preserve">2026-09-18 23:30</x:t>
        </x:is>
      </x:c>
      <x:c r="C158" s="595" t="str">
        <x:v>欧洲非五大系列</x:v>
      </x:c>
      <x:c r="D158" s="595" t="inlineStr">
        <x:is>
          <x:t xml:space="preserve">联赛</x:t>
        </x:is>
      </x:c>
      <x:c r="E158" s="595" t="inlineStr">
        <x:is>
          <x:t xml:space="preserve">芬甲</x:t>
        </x:is>
      </x:c>
      <x:c r="F158" s="595" t="inlineStr">
        <x:is>
          <x:t xml:space="preserve">查普斯 vs EIF埃克纳斯</x:t>
        </x:is>
      </x:c>
      <x:c r="G158" s="596" t="n">
        <x:v>0.8100000000000001</x:v>
      </x:c>
      <x:c r="H158" s="596" t="n">
        <x:v>-0.25</x:v>
      </x:c>
      <x:c r="I158" s="596" t="n">
        <x:v>1.07</x:v>
      </x:c>
      <x:c r="J158" s="596" t="inlineStr">
        <x:is>
          <x:t xml:space="preserve">0.81/-0.25/1.07</x:t>
        </x:is>
      </x:c>
      <x:c r="K158" s="595" t="inlineStr">
        <x:is>
          <x:t xml:space="preserve">V4-C｜EV +0.0279</x:t>
        </x:is>
      </x:c>
      <x:c r="L158" s="595" t="inlineStr">
        <x:is>
          <x:t xml:space="preserve">EIF埃克纳斯</x:t>
        </x:is>
      </x:c>
      <x:c r="M158" s="597" t="n">
        <x:v>0.4989775051124744</x:v>
      </x:c>
      <x:c r="N158" s="595" t="inlineStr">
        <x:is>
          <x:t xml:space="preserve">V4纸面入选-C</x:t>
        </x:is>
      </x:c>
      <x:c r="O158" s="595" t="inlineStr">
        <x:is>
          <x:t xml:space="preserve">1-0</x:t>
        </x:is>
      </x:c>
      <x:c r="P158" s="595" t="inlineStr">
        <x:is>
          <x:t xml:space="preserve">已结算</x:t>
        </x:is>
      </x:c>
      <x:c r="Q158" s="641" t="inlineStr">
        <x:is>
          <x:t xml:space="preserve">黑</x:t>
        </x:is>
      </x:c>
      <x:c r="R158" s="599" t="n">
        <x:v>1.07</x:v>
      </x:c>
      <x:c r="S158" s="599" t="n">
        <x:f>IF(OR(Q158="",Q158="待结算"),"",IF(Q158="红",R158,IF(Q158="半红",R158*0.5,IF(Q158="走",0,IF(Q158="半黑",-0.5,-1)))))</x:f>
        <x:v>-1</x:v>
      </x:c>
      <x:c r="T158" s="595" t="inlineStr">
        <x:is>
          <x:t xml:space="preserve">https://zq.titan007.com/analysis/2921938cn.htm</x:t>
        </x:is>
      </x:c>
      <x:c r="U158" s="640" t="str">
        <x:f>IF(Q158="","",IF(Q158="待结算","待结算",IF(Q158="红","黑",IF(Q158="半红","半黑",IF(Q158="走","走",IF(Q158="半黑","半红","红"))))))</x:f>
        <x:v>红</x:v>
      </x:c>
      <x:c r="V158" s="599" t="n">
        <x:f>IF(OR(Q158="",Q158="待结算"),"",IF(L158=LEFT(F158,FIND(" vs ",F158)-1),I158,G158))</x:f>
        <x:v>0.81</x:v>
      </x:c>
      <x:c r="W158" s="599" t="n">
        <x:f>IF(OR(U158="",U158="待结算"),"",IF(U158="红",V158,IF(U158="半红",V158*0.5,IF(U158="走",0,IF(U158="半黑",-0.5,-1)))))</x:f>
        <x:v>0.81</x:v>
      </x:c>
      <x:c r="X158" s="595" t="inlineStr">
        <x:is>
          <x:t xml:space="preserve">2921938</x:t>
        </x:is>
      </x:c>
      <x:c r="Y158" s="595" t="inlineStr">
        <x:is>
          <x:t xml:space="preserve">v4-market-dirichlet-20260913</x:t>
        </x:is>
      </x:c>
      <x:c r="Z158" s="595" t="inlineStr">
        <x:is>
          <x:t xml:space="preserve">prior-2026-09-18-v1</x:t>
        </x:is>
      </x:c>
      <x:c r="AA158" s="595" t="inlineStr">
        <x:is>
          <x:t xml:space="preserve">C</x:t>
        </x:is>
      </x:c>
      <x:c r="AB158" s="600" t="n">
        <x:v>0.4236111111111111</x:v>
      </x:c>
      <x:c r="AC158" s="600" t="n">
        <x:v>0</x:v>
      </x:c>
      <x:c r="AD158" s="600" t="n">
        <x:v>0</x:v>
      </x:c>
      <x:c r="AE158" s="600" t="n">
        <x:v>0.3020833333333333</x:v>
      </x:c>
      <x:c r="AF158" s="600" t="n">
        <x:v>0.2743055555555556</x:v>
      </x:c>
      <x:c r="AG158" s="600" t="n">
        <x:v>0.0279166666666667</x:v>
      </x:c>
      <x:c r="AH158" s="600" t="n">
        <x:v>-0.06015328388040858</x:v>
      </x:c>
      <x:c r="AI158" s="600" t="n">
        <x:v>-0.04188358366456757</x:v>
      </x:c>
      <x:c r="AJ158" s="600" t="n">
        <x:v>0.02769779430737029</x:v>
      </x:c>
      <x:c r="AK158" s="600" t="n">
        <x:v>0.09898174978452629</x:v>
      </x:c>
      <x:c r="AL158" s="600" t="n">
        <x:v>0.1176172297532169</x:v>
      </x:c>
      <x:c r="AM158" s="600" t="n">
        <x:v>0.699</x:v>
      </x:c>
      <x:c r="AN158" s="595" t="inlineStr">
        <x:is>
          <x:t xml:space="preserve">EVALUATED</x:t>
        </x:is>
      </x:c>
      <x:c r="AO158" s="600" t="inlineStr">
        <x:is>
          <x:t xml:space="preserve">BUCKET_0.25、SIDE_IDENTITY_VALID、MARKET_MOVE_DEEPER_WITH_GIVING_WATER_RISE</x:t>
        </x:is>
      </x:c>
      <x:c r="AP158" s="600" t="inlineStr">
        <x:is>
          <x:t xml:space="preserve">3dc2cad24060a4b6386a</x:t>
        </x:is>
      </x:c>
      <x:c r="AQ158" s="600" t="n">
        <x:v>-0.25</x:v>
      </x:c>
      <x:c r="AR158" s="600" t="n">
        <x:v>1.07</x:v>
      </x:c>
      <x:c r="AS158" s="600" t="n">
        <x:v>0.25</x:v>
      </x:c>
      <x:c r="AT158" s="600" t="n">
        <x:v>-0.25</x:v>
      </x:c>
      <x:c r="AU158" s="600" t="n">
        <x:v>0.8100000000000001</x:v>
      </x:c>
      <x:c r="AV158" s="600" t="n">
        <x:v>1.07</x:v>
      </x:c>
      <x:c r="AW158" s="595" t="n">
        <x:v>46283.33365373842</x:v>
      </x:c>
      <x:c r="AX158" s="595" t="inlineStr">
        <x:is>
          <x:t xml:space="preserve">https://simondongxiao.github.io/odds/v4/</x:t>
        </x:is>
      </x:c>
      <x:c r="AY158" s="595" t="inlineStr">
        <x:is>
          <x:t xml:space="preserve">V4 Shadow Only；real_money=false；比分差异详见记录审计</x:t>
        </x:is>
      </x:c>
    </x:row>
    <x:row r="159" ht="22" customHeight="1">
      <x:c r="A159" s="595" t="inlineStr">
        <x:is>
          <x:t xml:space="preserve">2026-09-18</x:t>
        </x:is>
      </x:c>
      <x:c r="B159" s="595" t="inlineStr">
        <x:is>
          <x:t xml:space="preserve">2026-09-19 00:30</x:t>
        </x:is>
      </x:c>
      <x:c r="C159" s="595" t="str">
        <x:v>五大联赛非顶级联赛</x:v>
      </x:c>
      <x:c r="D159" s="595" t="inlineStr">
        <x:is>
          <x:t xml:space="preserve">联赛</x:t>
        </x:is>
      </x:c>
      <x:c r="E159" s="595" t="inlineStr">
        <x:is>
          <x:t xml:space="preserve">德乙</x:t>
        </x:is>
      </x:c>
      <x:c r="F159" s="595" t="inlineStr">
        <x:is>
          <x:t xml:space="preserve">菲尔特 vs 马格德堡</x:t>
        </x:is>
      </x:c>
      <x:c r="G159" s="596" t="n">
        <x:v>0.87</x:v>
      </x:c>
      <x:c r="H159" s="596" t="n">
        <x:v>-0.25</x:v>
      </x:c>
      <x:c r="I159" s="596" t="n">
        <x:v>1.02</x:v>
      </x:c>
      <x:c r="J159" s="596" t="inlineStr">
        <x:is>
          <x:t xml:space="preserve">0.87/-0.25/1.02</x:t>
        </x:is>
      </x:c>
      <x:c r="K159" s="595" t="inlineStr">
        <x:is>
          <x:t xml:space="preserve">V4-C｜EV +0.0067</x:t>
        </x:is>
      </x:c>
      <x:c r="L159" s="595" t="inlineStr">
        <x:is>
          <x:t xml:space="preserve">马格德堡</x:t>
        </x:is>
      </x:c>
      <x:c r="M159" s="597" t="n">
        <x:v>0.4989775051124744</x:v>
      </x:c>
      <x:c r="N159" s="595" t="inlineStr">
        <x:is>
          <x:t xml:space="preserve">V4纸面入选-C</x:t>
        </x:is>
      </x:c>
      <x:c r="O159" s="595" t="inlineStr">
        <x:is>
          <x:t xml:space="preserve">1-1</x:t>
        </x:is>
      </x:c>
      <x:c r="P159" s="595" t="inlineStr">
        <x:is>
          <x:t xml:space="preserve">已结算</x:t>
        </x:is>
      </x:c>
      <x:c r="Q159" s="643" t="inlineStr">
        <x:is>
          <x:t xml:space="preserve">半黑</x:t>
        </x:is>
      </x:c>
      <x:c r="R159" s="599" t="n">
        <x:v>1.02</x:v>
      </x:c>
      <x:c r="S159" s="599" t="n">
        <x:f>IF(OR(Q159="",Q159="待结算"),"",IF(Q159="红",R159,IF(Q159="半红",R159*0.5,IF(Q159="走",0,IF(Q159="半黑",-0.5,-1)))))</x:f>
        <x:v>-0.5</x:v>
      </x:c>
      <x:c r="T159" s="595" t="inlineStr">
        <x:is>
          <x:t xml:space="preserve">https://zq.titan007.com/analysis/3019139cn.htm</x:t>
        </x:is>
      </x:c>
      <x:c r="U159" s="642" t="str">
        <x:f>IF(Q159="","",IF(Q159="待结算","待结算",IF(Q159="红","黑",IF(Q159="半红","半黑",IF(Q159="走","走",IF(Q159="半黑","半红","红"))))))</x:f>
        <x:v>半红</x:v>
      </x:c>
      <x:c r="V159" s="599" t="n">
        <x:f>IF(OR(Q159="",Q159="待结算"),"",IF(L159=LEFT(F159,FIND(" vs ",F159)-1),I159,G159))</x:f>
        <x:v>0.87</x:v>
      </x:c>
      <x:c r="W159" s="599" t="n">
        <x:f>IF(OR(U159="",U159="待结算"),"",IF(U159="红",V159,IF(U159="半红",V159*0.5,IF(U159="走",0,IF(U159="半黑",-0.5,-1)))))</x:f>
        <x:v>0.435</x:v>
      </x:c>
      <x:c r="X159" s="595" t="inlineStr">
        <x:is>
          <x:t xml:space="preserve">3019139</x:t>
        </x:is>
      </x:c>
      <x:c r="Y159" s="595" t="inlineStr">
        <x:is>
          <x:t xml:space="preserve">v4-market-dirichlet-20260913</x:t>
        </x:is>
      </x:c>
      <x:c r="Z159" s="595" t="inlineStr">
        <x:is>
          <x:t xml:space="preserve">prior-2026-09-18-v1</x:t>
        </x:is>
      </x:c>
      <x:c r="AA159" s="595" t="inlineStr">
        <x:is>
          <x:t xml:space="preserve">C</x:t>
        </x:is>
      </x:c>
      <x:c r="AB159" s="600" t="n">
        <x:v>0.4236111111111111</x:v>
      </x:c>
      <x:c r="AC159" s="600" t="n">
        <x:v>0</x:v>
      </x:c>
      <x:c r="AD159" s="600" t="n">
        <x:v>0</x:v>
      </x:c>
      <x:c r="AE159" s="600" t="n">
        <x:v>0.3020833333333333</x:v>
      </x:c>
      <x:c r="AF159" s="600" t="n">
        <x:v>0.2743055555555556</x:v>
      </x:c>
      <x:c r="AG159" s="600" t="n">
        <x:v>0.006736111111111054</x:v>
      </x:c>
      <x:c r="AH159" s="600" t="n">
        <x:v>-0.08084120300698155</x:v>
      </x:c>
      <x:c r="AI159" s="600" t="n">
        <x:v>-0.06301228011950752</x:v>
      </x:c>
      <x:c r="AJ159" s="600" t="n">
        <x:v>0.006022480075163261</x:v>
      </x:c>
      <x:c r="AK159" s="600" t="n">
        <x:v>0.07334152947858719</x:v>
      </x:c>
      <x:c r="AL159" s="600" t="n">
        <x:v>0.09386073228081177</x:v>
      </x:c>
      <x:c r="AM159" s="600" t="n">
        <x:v>0.5422</x:v>
      </x:c>
      <x:c r="AN159" s="595" t="inlineStr">
        <x:is>
          <x:t xml:space="preserve">EVALUATED</x:t>
        </x:is>
      </x:c>
      <x:c r="AO159" s="600" t="inlineStr">
        <x:is>
          <x:t xml:space="preserve">BUCKET_0.25、SIDE_IDENTITY_VALID、MARKET_MOVE_DEEPER_WITH_GIVING_WATER_RISE</x:t>
        </x:is>
      </x:c>
      <x:c r="AP159" s="600" t="inlineStr">
        <x:is>
          <x:t xml:space="preserve">e758dde39aa94e837903</x:t>
        </x:is>
      </x:c>
      <x:c r="AQ159" s="600" t="n">
        <x:v>-0.25</x:v>
      </x:c>
      <x:c r="AR159" s="600" t="n">
        <x:v>1.02</x:v>
      </x:c>
      <x:c r="AS159" s="600" t="n">
        <x:v>0.25</x:v>
      </x:c>
      <x:c r="AT159" s="600" t="n">
        <x:v>-0.25</x:v>
      </x:c>
      <x:c r="AU159" s="600" t="n">
        <x:v>0.87</x:v>
      </x:c>
      <x:c r="AV159" s="600" t="n">
        <x:v>1.02</x:v>
      </x:c>
      <x:c r="AW159" s="595" t="n">
        <x:v>46283.33365373842</x:v>
      </x:c>
      <x:c r="AX159" s="595" t="inlineStr">
        <x:is>
          <x:t xml:space="preserve">https://simondongxiao.github.io/odds/v4/</x:t>
        </x:is>
      </x:c>
      <x:c r="AY159" s="595" t="inlineStr">
        <x:is>
          <x:t xml:space="preserve">V4 Shadow Only；real_money=false；比分差异详见记录审计</x:t>
        </x:is>
      </x:c>
    </x:row>
    <x:row r="160" ht="22" customHeight="1">
      <x:c r="A160" s="595" t="inlineStr">
        <x:is>
          <x:t xml:space="preserve">2026-09-18</x:t>
        </x:is>
      </x:c>
      <x:c r="B160" s="595" t="inlineStr">
        <x:is>
          <x:t xml:space="preserve">2026-09-19 00:30</x:t>
        </x:is>
      </x:c>
      <x:c r="C160" s="595" t="str">
        <x:v>五大联赛非顶级联赛</x:v>
      </x:c>
      <x:c r="D160" s="595" t="inlineStr">
        <x:is>
          <x:t xml:space="preserve">联赛</x:t>
        </x:is>
      </x:c>
      <x:c r="E160" s="595" t="inlineStr">
        <x:is>
          <x:t xml:space="preserve">德乙</x:t>
        </x:is>
      </x:c>
      <x:c r="F160" s="595" t="inlineStr">
        <x:is>
          <x:t xml:space="preserve">沃尔夫斯堡 vs 达姆施塔特</x:t>
        </x:is>
      </x:c>
      <x:c r="G160" s="596" t="n">
        <x:v>0.82</x:v>
      </x:c>
      <x:c r="H160" s="596" t="n">
        <x:v>1</x:v>
      </x:c>
      <x:c r="I160" s="596" t="n">
        <x:v>1.07</x:v>
      </x:c>
      <x:c r="J160" s="596" t="inlineStr">
        <x:is>
          <x:t xml:space="preserve">0.82/1/1.07</x:t>
        </x:is>
      </x:c>
      <x:c r="K160" s="595" t="inlineStr">
        <x:is>
          <x:t xml:space="preserve">V4-C｜EV +0.0953</x:t>
        </x:is>
      </x:c>
      <x:c r="L160" s="595" t="inlineStr">
        <x:is>
          <x:t xml:space="preserve">达姆施塔特</x:t>
        </x:is>
      </x:c>
      <x:c r="M160" s="597" t="n">
        <x:v>0.5423728813559322</x:v>
      </x:c>
      <x:c r="N160" s="595" t="inlineStr">
        <x:is>
          <x:t xml:space="preserve">V4纸面入选-C</x:t>
        </x:is>
      </x:c>
      <x:c r="O160" s="595" t="inlineStr">
        <x:is>
          <x:t xml:space="preserve">5-1</x:t>
        </x:is>
      </x:c>
      <x:c r="P160" s="595" t="inlineStr">
        <x:is>
          <x:t xml:space="preserve">已结算</x:t>
        </x:is>
      </x:c>
      <x:c r="Q160" s="641" t="inlineStr">
        <x:is>
          <x:t xml:space="preserve">黑</x:t>
        </x:is>
      </x:c>
      <x:c r="R160" s="599" t="n">
        <x:v>1.07</x:v>
      </x:c>
      <x:c r="S160" s="599" t="n">
        <x:f>IF(OR(Q160="",Q160="待结算"),"",IF(Q160="红",R160,IF(Q160="半红",R160*0.5,IF(Q160="走",0,IF(Q160="半黑",-0.5,-1)))))</x:f>
        <x:v>-1</x:v>
      </x:c>
      <x:c r="T160" s="595" t="inlineStr">
        <x:is>
          <x:t xml:space="preserve">https://zq.titan007.com/analysis/3019145cn.htm</x:t>
        </x:is>
      </x:c>
      <x:c r="U160" s="640" t="str">
        <x:f>IF(Q160="","",IF(Q160="待结算","待结算",IF(Q160="红","黑",IF(Q160="半红","半黑",IF(Q160="走","走",IF(Q160="半黑","半红","红"))))))</x:f>
        <x:v>红</x:v>
      </x:c>
      <x:c r="V160" s="599" t="n">
        <x:f>IF(OR(Q160="",Q160="待结算"),"",IF(L160=LEFT(F160,FIND(" vs ",F160)-1),I160,G160))</x:f>
        <x:v>0.82</x:v>
      </x:c>
      <x:c r="W160" s="599" t="n">
        <x:f>IF(OR(U160="",U160="待结算"),"",IF(U160="红",V160,IF(U160="半红",V160*0.5,IF(U160="走",0,IF(U160="半黑",-0.5,-1)))))</x:f>
        <x:v>0.82</x:v>
      </x:c>
      <x:c r="X160" s="595" t="inlineStr">
        <x:is>
          <x:t xml:space="preserve">3019145</x:t>
        </x:is>
      </x:c>
      <x:c r="Y160" s="595" t="inlineStr">
        <x:is>
          <x:t xml:space="preserve">v4-market-dirichlet-20260913</x:t>
        </x:is>
      </x:c>
      <x:c r="Z160" s="595" t="inlineStr">
        <x:is>
          <x:t xml:space="preserve">prior-2026-09-18-v1</x:t>
        </x:is>
      </x:c>
      <x:c r="AA160" s="595" t="inlineStr">
        <x:is>
          <x:t xml:space="preserve">C</x:t>
        </x:is>
      </x:c>
      <x:c r="AB160" s="600" t="n">
        <x:v>0.4210526315789473</x:v>
      </x:c>
      <x:c r="AC160" s="600" t="n">
        <x:v>0</x:v>
      </x:c>
      <x:c r="AD160" s="600" t="n">
        <x:v>0.2236842105263158</x:v>
      </x:c>
      <x:c r="AE160" s="600" t="n">
        <x:v>0</x:v>
      </x:c>
      <x:c r="AF160" s="600" t="n">
        <x:v>0.3552631578947368</x:v>
      </x:c>
      <x:c r="AG160" s="600" t="n">
        <x:v>0.09526315789473683</x:v>
      </x:c>
      <x:c r="AH160" s="600" t="n">
        <x:v>-0.07444641368865496</x:v>
      </x:c>
      <x:c r="AI160" s="600" t="n">
        <x:v>-0.03614269472667936</x:v>
      </x:c>
      <x:c r="AJ160" s="600" t="n">
        <x:v>0.09540615781512851</x:v>
      </x:c>
      <x:c r="AK160" s="600" t="n">
        <x:v>0.2291647677128438</x:v>
      </x:c>
      <x:c r="AL160" s="600" t="n">
        <x:v>0.2690629961951322</x:v>
      </x:c>
      <x:c r="AM160" s="600" t="n">
        <x:v>0.8206</x:v>
      </x:c>
      <x:c r="AN160" s="595" t="inlineStr">
        <x:is>
          <x:t xml:space="preserve">EVALUATED</x:t>
        </x:is>
      </x:c>
      <x:c r="AO160" s="600" t="inlineStr">
        <x:is>
          <x:t xml:space="preserve">BUCKET_1.00、SIDE_IDENTITY_VALID、FLAT_LINE_GIVING_WATER_DROP</x:t>
        </x:is>
      </x:c>
      <x:c r="AP160" s="600" t="inlineStr">
        <x:is>
          <x:t xml:space="preserve">cc70f106664898494767</x:t>
        </x:is>
      </x:c>
      <x:c r="AQ160" s="600" t="n">
        <x:v>1</x:v>
      </x:c>
      <x:c r="AR160" s="600" t="n">
        <x:v>1.07</x:v>
      </x:c>
      <x:c r="AS160" s="600" t="n">
        <x:v>-1</x:v>
      </x:c>
      <x:c r="AT160" s="600" t="n">
        <x:v>1</x:v>
      </x:c>
      <x:c r="AU160" s="600" t="n">
        <x:v>0.82</x:v>
      </x:c>
      <x:c r="AV160" s="600" t="n">
        <x:v>1.07</x:v>
      </x:c>
      <x:c r="AW160" s="595" t="n">
        <x:v>46283.33365373842</x:v>
      </x:c>
      <x:c r="AX160" s="595" t="inlineStr">
        <x:is>
          <x:t xml:space="preserve">https://simondongxiao.github.io/odds/v4/</x:t>
        </x:is>
      </x:c>
      <x:c r="AY160" s="595" t="inlineStr">
        <x:is>
          <x:t xml:space="preserve">V4 Shadow Only；real_money=false；比分差异详见记录审计</x:t>
        </x:is>
      </x:c>
    </x:row>
    <x:row r="161" ht="22" customHeight="1">
      <x:c r="A161" s="595" t="inlineStr">
        <x:is>
          <x:t xml:space="preserve">2026-09-18</x:t>
        </x:is>
      </x:c>
      <x:c r="B161" s="595" t="inlineStr">
        <x:is>
          <x:t xml:space="preserve">2026-09-19 00:30</x:t>
        </x:is>
      </x:c>
      <x:c r="C161" s="595" t="str">
        <x:v>欧洲非五大系列</x:v>
      </x:c>
      <x:c r="D161" s="595" t="inlineStr">
        <x:is>
          <x:t xml:space="preserve">联赛</x:t>
        </x:is>
      </x:c>
      <x:c r="E161" s="595" t="inlineStr">
        <x:is>
          <x:t xml:space="preserve">奥乙</x:t>
        </x:is>
      </x:c>
      <x:c r="F161" s="595" t="inlineStr">
        <x:is>
          <x:t xml:space="preserve">弗洛里茨多夫 vs 列弗宁</x:t>
        </x:is>
      </x:c>
      <x:c r="G161" s="596" t="n">
        <x:v>1.03</x:v>
      </x:c>
      <x:c r="H161" s="596" t="n">
        <x:v>0.25</x:v>
      </x:c>
      <x:c r="I161" s="596" t="n">
        <x:v>0.85</x:v>
      </x:c>
      <x:c r="J161" s="596" t="inlineStr">
        <x:is>
          <x:t xml:space="preserve">1.03/0.25/0.85</x:t>
        </x:is>
      </x:c>
      <x:c r="K161" s="595" t="inlineStr">
        <x:is>
          <x:t xml:space="preserve">V4-C｜EV +0.0110</x:t>
        </x:is>
      </x:c>
      <x:c r="L161" s="595" t="inlineStr">
        <x:is>
          <x:t xml:space="preserve">弗洛里茨多夫</x:t>
        </x:is>
      </x:c>
      <x:c r="M161" s="597" t="n">
        <x:v>0.4989775051124744</x:v>
      </x:c>
      <x:c r="N161" s="595" t="inlineStr">
        <x:is>
          <x:t xml:space="preserve">V4纸面入选-C</x:t>
        </x:is>
      </x:c>
      <x:c r="O161" s="595" t="inlineStr">
        <x:is>
          <x:t xml:space="preserve">4-0</x:t>
        </x:is>
      </x:c>
      <x:c r="P161" s="595" t="inlineStr">
        <x:is>
          <x:t xml:space="preserve">已结算</x:t>
        </x:is>
      </x:c>
      <x:c r="Q161" s="640" t="inlineStr">
        <x:is>
          <x:t xml:space="preserve">红</x:t>
        </x:is>
      </x:c>
      <x:c r="R161" s="599" t="n">
        <x:v>1.03</x:v>
      </x:c>
      <x:c r="S161" s="599" t="n">
        <x:f>IF(OR(Q161="",Q161="待结算"),"",IF(Q161="红",R161,IF(Q161="半红",R161*0.5,IF(Q161="走",0,IF(Q161="半黑",-0.5,-1)))))</x:f>
        <x:v>1.03</x:v>
      </x:c>
      <x:c r="T161" s="595" t="inlineStr">
        <x:is>
          <x:t xml:space="preserve">https://zq.titan007.com/analysis/3017908cn.htm</x:t>
        </x:is>
      </x:c>
      <x:c r="U161" s="641" t="str">
        <x:f>IF(Q161="","",IF(Q161="待结算","待结算",IF(Q161="红","黑",IF(Q161="半红","半黑",IF(Q161="走","走",IF(Q161="半黑","半红","红"))))))</x:f>
        <x:v>黑</x:v>
      </x:c>
      <x:c r="V161" s="599" t="n">
        <x:f>IF(OR(Q161="",Q161="待结算"),"",IF(L161=LEFT(F161,FIND(" vs ",F161)-1),I161,G161))</x:f>
        <x:v>0.85</x:v>
      </x:c>
      <x:c r="W161" s="599" t="n">
        <x:f>IF(OR(U161="",U161="待结算"),"",IF(U161="红",V161,IF(U161="半红",V161*0.5,IF(U161="走",0,IF(U161="半黑",-0.5,-1)))))</x:f>
        <x:v>-1</x:v>
      </x:c>
      <x:c r="X161" s="595" t="inlineStr">
        <x:is>
          <x:t xml:space="preserve">3017908</x:t>
        </x:is>
      </x:c>
      <x:c r="Y161" s="595" t="inlineStr">
        <x:is>
          <x:t xml:space="preserve">v4-market-dirichlet-20260913</x:t>
        </x:is>
      </x:c>
      <x:c r="Z161" s="595" t="inlineStr">
        <x:is>
          <x:t xml:space="preserve">prior-2026-09-18-v1</x:t>
        </x:is>
      </x:c>
      <x:c r="AA161" s="595" t="inlineStr">
        <x:is>
          <x:t xml:space="preserve">C</x:t>
        </x:is>
      </x:c>
      <x:c r="AB161" s="600" t="n">
        <x:v>0.4236111111111111</x:v>
      </x:c>
      <x:c r="AC161" s="600" t="n">
        <x:v>0</x:v>
      </x:c>
      <x:c r="AD161" s="600" t="n">
        <x:v>0</x:v>
      </x:c>
      <x:c r="AE161" s="600" t="n">
        <x:v>0.3020833333333333</x:v>
      </x:c>
      <x:c r="AF161" s="600" t="n">
        <x:v>0.2743055555555556</x:v>
      </x:c>
      <x:c r="AG161" s="600" t="n">
        <x:v>0.01097222222222216</x:v>
      </x:c>
      <x:c r="AH161" s="600" t="n">
        <x:v>-0.07217348915580218</x:v>
      </x:c>
      <x:c r="AI161" s="600" t="n">
        <x:v>-0.05484847265466591</x:v>
      </x:c>
      <x:c r="AJ161" s="600" t="n">
        <x:v>0.01005857082427802</x:v>
      </x:c>
      <x:c r="AK161" s="600" t="n">
        <x:v>0.07870273700556366</x:v>
      </x:c>
      <x:c r="AL161" s="600" t="n">
        <x:v>0.09766438849988093</x:v>
      </x:c>
      <x:c r="AM161" s="600" t="n">
        <x:v>0.5802</x:v>
      </x:c>
      <x:c r="AN161" s="595" t="inlineStr">
        <x:is>
          <x:t xml:space="preserve">EVALUATED</x:t>
        </x:is>
      </x:c>
      <x:c r="AO161" s="600" t="inlineStr">
        <x:is>
          <x:t xml:space="preserve">BUCKET_0.25、SIDE_IDENTITY_VALID、MARKET_MOVE_DEEPER_WITH_GIVING_WATER_RISE</x:t>
        </x:is>
      </x:c>
      <x:c r="AP161" s="600" t="inlineStr">
        <x:is>
          <x:t xml:space="preserve">4a52d5373da3c5095b69</x:t>
        </x:is>
      </x:c>
      <x:c r="AQ161" s="600" t="n">
        <x:v>-0.25</x:v>
      </x:c>
      <x:c r="AR161" s="600" t="n">
        <x:v>1.03</x:v>
      </x:c>
      <x:c r="AS161" s="600" t="n">
        <x:v>-0.25</x:v>
      </x:c>
      <x:c r="AT161" s="600" t="n">
        <x:v>0.25</x:v>
      </x:c>
      <x:c r="AU161" s="600" t="n">
        <x:v>1.03</x:v>
      </x:c>
      <x:c r="AV161" s="600" t="n">
        <x:v>0.85</x:v>
      </x:c>
      <x:c r="AW161" s="595" t="n">
        <x:v>46283.33365373842</x:v>
      </x:c>
      <x:c r="AX161" s="595" t="inlineStr">
        <x:is>
          <x:t xml:space="preserve">https://simondongxiao.github.io/odds/v4/</x:t>
        </x:is>
      </x:c>
      <x:c r="AY161" s="595" t="inlineStr">
        <x:is>
          <x:t xml:space="preserve">V4 Shadow Only；real_money=false；比分差异详见记录审计</x:t>
        </x:is>
      </x:c>
    </x:row>
    <x:row r="162" ht="22" customHeight="1">
      <x:c r="A162" s="595" t="inlineStr">
        <x:is>
          <x:t xml:space="preserve">2026-09-18</x:t>
        </x:is>
      </x:c>
      <x:c r="B162" s="595" t="inlineStr">
        <x:is>
          <x:t xml:space="preserve">2026-09-19 01:00</x:t>
        </x:is>
      </x:c>
      <x:c r="C162" s="595" t="str">
        <x:v>欧洲非五大系列</x:v>
      </x:c>
      <x:c r="D162" s="595" t="inlineStr">
        <x:is>
          <x:t xml:space="preserve">联赛</x:t>
        </x:is>
      </x:c>
      <x:c r="E162" s="595" t="inlineStr">
        <x:is>
          <x:t xml:space="preserve">挪超</x:t>
        </x:is>
      </x:c>
      <x:c r="F162" s="595" t="inlineStr">
        <x:is>
          <x:t xml:space="preserve">萨普斯堡 vs KFUM奥斯陆</x:t>
        </x:is>
      </x:c>
      <x:c r="G162" s="596" t="n">
        <x:v>1.03</x:v>
      </x:c>
      <x:c r="H162" s="596" t="n">
        <x:v>1</x:v>
      </x:c>
      <x:c r="I162" s="596" t="n">
        <x:v>0.86</x:v>
      </x:c>
      <x:c r="J162" s="596" t="inlineStr">
        <x:is>
          <x:t xml:space="preserve">1.03/1/0.86</x:t>
        </x:is>
      </x:c>
      <x:c r="K162" s="595" t="inlineStr">
        <x:is>
          <x:t xml:space="preserve">V4-C｜EV +0.0068</x:t>
        </x:is>
      </x:c>
      <x:c r="L162" s="595" t="inlineStr">
        <x:is>
          <x:t xml:space="preserve">KFUM奥斯陆</x:t>
        </x:is>
      </x:c>
      <x:c r="M162" s="597" t="n">
        <x:v>0.5423728813559322</x:v>
      </x:c>
      <x:c r="N162" s="595" t="inlineStr">
        <x:is>
          <x:t xml:space="preserve">V4纸面入选-C</x:t>
        </x:is>
      </x:c>
      <x:c r="O162" s="595" t="inlineStr">
        <x:is>
          <x:t xml:space="preserve">1-3</x:t>
        </x:is>
      </x:c>
      <x:c r="P162" s="595" t="inlineStr">
        <x:is>
          <x:t xml:space="preserve">已结算</x:t>
        </x:is>
      </x:c>
      <x:c r="Q162" s="640" t="inlineStr">
        <x:is>
          <x:t xml:space="preserve">红</x:t>
        </x:is>
      </x:c>
      <x:c r="R162" s="599" t="n">
        <x:v>0.86</x:v>
      </x:c>
      <x:c r="S162" s="599" t="n">
        <x:f>IF(OR(Q162="",Q162="待结算"),"",IF(Q162="红",R162,IF(Q162="半红",R162*0.5,IF(Q162="走",0,IF(Q162="半黑",-0.5,-1)))))</x:f>
        <x:v>0.86</x:v>
      </x:c>
      <x:c r="T162" s="595" t="inlineStr">
        <x:is>
          <x:t xml:space="preserve">https://zq.titan007.com/analysis/2912902cn.htm</x:t>
        </x:is>
      </x:c>
      <x:c r="U162" s="641" t="str">
        <x:f>IF(Q162="","",IF(Q162="待结算","待结算",IF(Q162="红","黑",IF(Q162="半红","半黑",IF(Q162="走","走",IF(Q162="半黑","半红","红"))))))</x:f>
        <x:v>黑</x:v>
      </x:c>
      <x:c r="V162" s="599" t="n">
        <x:f>IF(OR(Q162="",Q162="待结算"),"",IF(L162=LEFT(F162,FIND(" vs ",F162)-1),I162,G162))</x:f>
        <x:v>1.03</x:v>
      </x:c>
      <x:c r="W162" s="599" t="n">
        <x:f>IF(OR(U162="",U162="待结算"),"",IF(U162="红",V162,IF(U162="半红",V162*0.5,IF(U162="走",0,IF(U162="半黑",-0.5,-1)))))</x:f>
        <x:v>-1</x:v>
      </x:c>
      <x:c r="X162" s="595" t="inlineStr">
        <x:is>
          <x:t xml:space="preserve">2912902</x:t>
        </x:is>
      </x:c>
      <x:c r="Y162" s="595" t="inlineStr">
        <x:is>
          <x:t xml:space="preserve">v4-market-dirichlet-20260913</x:t>
        </x:is>
      </x:c>
      <x:c r="Z162" s="595" t="inlineStr">
        <x:is>
          <x:t xml:space="preserve">prior-2026-09-18-v1</x:t>
        </x:is>
      </x:c>
      <x:c r="AA162" s="595" t="inlineStr">
        <x:is>
          <x:t xml:space="preserve">C</x:t>
        </x:is>
      </x:c>
      <x:c r="AB162" s="600" t="n">
        <x:v>0.4210526315789473</x:v>
      </x:c>
      <x:c r="AC162" s="600" t="n">
        <x:v>0</x:v>
      </x:c>
      <x:c r="AD162" s="600" t="n">
        <x:v>0.2236842105263158</x:v>
      </x:c>
      <x:c r="AE162" s="600" t="n">
        <x:v>0</x:v>
      </x:c>
      <x:c r="AF162" s="600" t="n">
        <x:v>0.3552631578947368</x:v>
      </x:c>
      <x:c r="AG162" s="600" t="n">
        <x:v>0.006842105263157872</x:v>
      </x:c>
      <x:c r="AH162" s="600" t="n">
        <x:v>-0.146190176124357</x:v>
      </x:c>
      <x:c r="AI162" s="600" t="n">
        <x:v>-0.1130479660561705</x:v>
      </x:c>
      <x:c r="AJ162" s="600" t="n">
        <x:v>0.006637699957152632</x:v>
      </x:c>
      <x:c r="AK162" s="600" t="n">
        <x:v>0.1230916424751058</x:v>
      </x:c>
      <x:c r="AL162" s="600" t="n">
        <x:v>0.1572368624637416</x:v>
      </x:c>
      <x:c r="AM162" s="600" t="n">
        <x:v>0.5308</x:v>
      </x:c>
      <x:c r="AN162" s="595" t="inlineStr">
        <x:is>
          <x:t xml:space="preserve">EVALUATED</x:t>
        </x:is>
      </x:c>
      <x:c r="AO162" s="600" t="inlineStr">
        <x:is>
          <x:t xml:space="preserve">BUCKET_1.00、SIDE_IDENTITY_VALID、FLAT_LINE_GIVING_WATER_DROP</x:t>
        </x:is>
      </x:c>
      <x:c r="AP162" s="600" t="inlineStr">
        <x:is>
          <x:t xml:space="preserve">dbf495d74cd4ff9fc8c4</x:t>
        </x:is>
      </x:c>
      <x:c r="AQ162" s="600" t="n">
        <x:v>1</x:v>
      </x:c>
      <x:c r="AR162" s="600" t="n">
        <x:v>0.86</x:v>
      </x:c>
      <x:c r="AS162" s="600" t="n">
        <x:v>-1</x:v>
      </x:c>
      <x:c r="AT162" s="600" t="n">
        <x:v>1</x:v>
      </x:c>
      <x:c r="AU162" s="600" t="n">
        <x:v>1.03</x:v>
      </x:c>
      <x:c r="AV162" s="600" t="n">
        <x:v>0.86</x:v>
      </x:c>
      <x:c r="AW162" s="595" t="n">
        <x:v>46283.33365373842</x:v>
      </x:c>
      <x:c r="AX162" s="595" t="inlineStr">
        <x:is>
          <x:t xml:space="preserve">https://simondongxiao.github.io/odds/v4/</x:t>
        </x:is>
      </x:c>
      <x:c r="AY162" s="595" t="inlineStr">
        <x:is>
          <x:t xml:space="preserve">V4 Shadow Only；real_money=false；比分差异详见记录审计</x:t>
        </x:is>
      </x:c>
    </x:row>
    <x:row r="163" ht="22" customHeight="1">
      <x:c r="A163" s="595" t="inlineStr">
        <x:is>
          <x:t xml:space="preserve">2026-09-18</x:t>
        </x:is>
      </x:c>
      <x:c r="B163" s="595" t="inlineStr">
        <x:is>
          <x:t xml:space="preserve">2026-09-19 01:00</x:t>
        </x:is>
      </x:c>
      <x:c r="C163" s="595" t="str">
        <x:v>欧洲非五大系列</x:v>
      </x:c>
      <x:c r="D163" s="595" t="inlineStr">
        <x:is>
          <x:t xml:space="preserve">联赛</x:t>
        </x:is>
      </x:c>
      <x:c r="E163" s="595" t="inlineStr">
        <x:is>
          <x:t xml:space="preserve">丹麦甲</x:t>
        </x:is>
      </x:c>
      <x:c r="F163" s="595" t="inlineStr">
        <x:is>
          <x:t xml:space="preserve">科灵 vs 希勒罗德</x:t>
        </x:is>
      </x:c>
      <x:c r="G163" s="596" t="n">
        <x:v>1.04</x:v>
      </x:c>
      <x:c r="H163" s="596" t="n">
        <x:v>0.75</x:v>
      </x:c>
      <x:c r="I163" s="596" t="n">
        <x:v>0.85</x:v>
      </x:c>
      <x:c r="J163" s="596" t="inlineStr">
        <x:is>
          <x:t xml:space="preserve">1.04/0.75/0.85</x:t>
        </x:is>
      </x:c>
      <x:c r="K163" s="595" t="inlineStr">
        <x:is>
          <x:t xml:space="preserve">V4-C｜EV +0.0047</x:t>
        </x:is>
      </x:c>
      <x:c r="L163" s="595" t="inlineStr">
        <x:is>
          <x:t xml:space="preserve">科灵</x:t>
        </x:is>
      </x:c>
      <x:c r="M163" s="597" t="n">
        <x:v>0.4928229665071771</x:v>
      </x:c>
      <x:c r="N163" s="595" t="inlineStr">
        <x:is>
          <x:t xml:space="preserve">V4纸面入选-C</x:t>
        </x:is>
      </x:c>
      <x:c r="O163" s="595" t="inlineStr">
        <x:is>
          <x:t xml:space="preserve">1-1</x:t>
        </x:is>
      </x:c>
      <x:c r="P163" s="595" t="inlineStr">
        <x:is>
          <x:t xml:space="preserve">已结算</x:t>
        </x:is>
      </x:c>
      <x:c r="Q163" s="641" t="inlineStr">
        <x:is>
          <x:t xml:space="preserve">黑</x:t>
        </x:is>
      </x:c>
      <x:c r="R163" s="599" t="n">
        <x:v>1.04</x:v>
      </x:c>
      <x:c r="S163" s="599" t="n">
        <x:f>IF(OR(Q163="",Q163="待结算"),"",IF(Q163="红",R163,IF(Q163="半红",R163*0.5,IF(Q163="走",0,IF(Q163="半黑",-0.5,-1)))))</x:f>
        <x:v>-1</x:v>
      </x:c>
      <x:c r="T163" s="595" t="inlineStr">
        <x:is>
          <x:t xml:space="preserve">https://zq.titan007.com/analysis/2998121cn.htm</x:t>
        </x:is>
      </x:c>
      <x:c r="U163" s="640" t="str">
        <x:f>IF(Q163="","",IF(Q163="待结算","待结算",IF(Q163="红","黑",IF(Q163="半红","半黑",IF(Q163="走","走",IF(Q163="半黑","半红","红"))))))</x:f>
        <x:v>红</x:v>
      </x:c>
      <x:c r="V163" s="599" t="n">
        <x:f>IF(OR(Q163="",Q163="待结算"),"",IF(L163=LEFT(F163,FIND(" vs ",F163)-1),I163,G163))</x:f>
        <x:v>0.85</x:v>
      </x:c>
      <x:c r="W163" s="599" t="n">
        <x:f>IF(OR(U163="",U163="待结算"),"",IF(U163="红",V163,IF(U163="半红",V163*0.5,IF(U163="走",0,IF(U163="半黑",-0.5,-1)))))</x:f>
        <x:v>0.85</x:v>
      </x:c>
      <x:c r="X163" s="595" t="inlineStr">
        <x:is>
          <x:t xml:space="preserve">2998121</x:t>
        </x:is>
      </x:c>
      <x:c r="Y163" s="595" t="inlineStr">
        <x:is>
          <x:t xml:space="preserve">v4-market-dirichlet-20260913</x:t>
        </x:is>
      </x:c>
      <x:c r="Z163" s="595" t="inlineStr">
        <x:is>
          <x:t xml:space="preserve">prior-2026-09-18-v1</x:t>
        </x:is>
      </x:c>
      <x:c r="AA163" s="595" t="inlineStr">
        <x:is>
          <x:t xml:space="preserve">C</x:t>
        </x:is>
      </x:c>
      <x:c r="AB163" s="600" t="n">
        <x:v>0.3</x:v>
      </x:c>
      <x:c r="AC163" s="600" t="n">
        <x:v>0.2583333333333334</x:v>
      </x:c>
      <x:c r="AD163" s="600" t="n">
        <x:v>0</x:v>
      </x:c>
      <x:c r="AE163" s="600" t="n">
        <x:v>0</x:v>
      </x:c>
      <x:c r="AF163" s="600" t="n">
        <x:v>0.4416666666666667</x:v>
      </x:c>
      <x:c r="AG163" s="600" t="n">
        <x:v>0.004666666666666708</x:v>
      </x:c>
      <x:c r="AH163" s="600" t="n">
        <x:v>-0.1293067341701736</x:v>
      </x:c>
      <x:c r="AI163" s="600" t="n">
        <x:v>-0.1001501742035138</x:v>
      </x:c>
      <x:c r="AJ163" s="600" t="n">
        <x:v>0.007139958412323566</x:v>
      </x:c>
      <x:c r="AK163" s="600" t="n">
        <x:v>0.1078716520553376</x:v>
      </x:c>
      <x:c r="AL163" s="600" t="n">
        <x:v>0.1373932183318906</x:v>
      </x:c>
      <x:c r="AM163" s="600" t="n">
        <x:v>0.5348000000000001</x:v>
      </x:c>
      <x:c r="AN163" s="595" t="inlineStr">
        <x:is>
          <x:t xml:space="preserve">EVALUATED</x:t>
        </x:is>
      </x:c>
      <x:c r="AO163" s="600" t="inlineStr">
        <x:is>
          <x:t xml:space="preserve">BUCKET_0.75、SIDE_IDENTITY_VALID、MARKET_MOVE_DEEPER_WITH_GIVING_WATER_RISE</x:t>
        </x:is>
      </x:c>
      <x:c r="AP163" s="600" t="inlineStr">
        <x:is>
          <x:t xml:space="preserve">d3d470ee9b851c3e5590</x:t>
        </x:is>
      </x:c>
      <x:c r="AQ163" s="600" t="n">
        <x:v>-0.75</x:v>
      </x:c>
      <x:c r="AR163" s="600" t="n">
        <x:v>1.04</x:v>
      </x:c>
      <x:c r="AS163" s="600" t="n">
        <x:v>-0.75</x:v>
      </x:c>
      <x:c r="AT163" s="600" t="n">
        <x:v>0.75</x:v>
      </x:c>
      <x:c r="AU163" s="600" t="n">
        <x:v>1.04</x:v>
      </x:c>
      <x:c r="AV163" s="600" t="n">
        <x:v>0.85</x:v>
      </x:c>
      <x:c r="AW163" s="595" t="n">
        <x:v>46283.33365373842</x:v>
      </x:c>
      <x:c r="AX163" s="595" t="inlineStr">
        <x:is>
          <x:t xml:space="preserve">https://simondongxiao.github.io/odds/v4/</x:t>
        </x:is>
      </x:c>
      <x:c r="AY163" s="595" t="inlineStr">
        <x:is>
          <x:t xml:space="preserve">V4 Shadow Only；real_money=false；比分差异详见记录审计</x:t>
        </x:is>
      </x:c>
    </x:row>
    <x:row r="164" ht="22" customHeight="1">
      <x:c r="A164" s="595" t="inlineStr">
        <x:is>
          <x:t xml:space="preserve">2026-09-18</x:t>
        </x:is>
      </x:c>
      <x:c r="B164" s="595" t="inlineStr">
        <x:is>
          <x:t xml:space="preserve">2026-09-19 01:00</x:t>
        </x:is>
      </x:c>
      <x:c r="C164" s="595" t="str">
        <x:v>欧洲非五大系列</x:v>
      </x:c>
      <x:c r="D164" s="595" t="inlineStr">
        <x:is>
          <x:t xml:space="preserve">联赛</x:t>
        </x:is>
      </x:c>
      <x:c r="E164" s="595" t="inlineStr">
        <x:is>
          <x:t xml:space="preserve">塞浦甲</x:t>
        </x:is>
      </x:c>
      <x:c r="F164" s="595" t="inlineStr">
        <x:is>
          <x:t xml:space="preserve">奥摩尼亚迈欧 vs AEK拉纳卡</x:t>
        </x:is>
      </x:c>
      <x:c r="G164" s="596" t="n">
        <x:v>0.84</x:v>
      </x:c>
      <x:c r="H164" s="596" t="n">
        <x:v>-1.25</x:v>
      </x:c>
      <x:c r="I164" s="596" t="n">
        <x:v>1.02</x:v>
      </x:c>
      <x:c r="J164" s="596" t="inlineStr">
        <x:is>
          <x:t xml:space="preserve">0.84/-1.25/1.02</x:t>
        </x:is>
      </x:c>
      <x:c r="K164" s="595" t="inlineStr">
        <x:is>
          <x:t xml:space="preserve">V4-C｜EV +0.0181</x:t>
        </x:is>
      </x:c>
      <x:c r="L164" s="595" t="inlineStr">
        <x:is>
          <x:t xml:space="preserve">AEK拉纳卡</x:t>
        </x:is>
      </x:c>
      <x:c r="M164" s="597" t="n">
        <x:v>0.5054945054945055</x:v>
      </x:c>
      <x:c r="N164" s="595" t="inlineStr">
        <x:is>
          <x:t xml:space="preserve">V4纸面入选-C</x:t>
        </x:is>
      </x:c>
      <x:c r="O164" s="595" t="inlineStr">
        <x:is>
          <x:t xml:space="preserve">1-2</x:t>
        </x:is>
      </x:c>
      <x:c r="P164" s="595" t="inlineStr">
        <x:is>
          <x:t xml:space="preserve">已结算</x:t>
        </x:is>
      </x:c>
      <x:c r="Q164" s="643" t="inlineStr">
        <x:is>
          <x:t xml:space="preserve">半黑</x:t>
        </x:is>
      </x:c>
      <x:c r="R164" s="599" t="n">
        <x:v>1.02</x:v>
      </x:c>
      <x:c r="S164" s="599" t="n">
        <x:f>IF(OR(Q164="",Q164="待结算"),"",IF(Q164="红",R164,IF(Q164="半红",R164*0.5,IF(Q164="走",0,IF(Q164="半黑",-0.5,-1)))))</x:f>
        <x:v>-0.5</x:v>
      </x:c>
      <x:c r="T164" s="595" t="inlineStr">
        <x:is>
          <x:t xml:space="preserve">https://zq.titan007.com/analysis/3044399cn.htm</x:t>
        </x:is>
      </x:c>
      <x:c r="U164" s="642" t="str">
        <x:f>IF(Q164="","",IF(Q164="待结算","待结算",IF(Q164="红","黑",IF(Q164="半红","半黑",IF(Q164="走","走",IF(Q164="半黑","半红","红"))))))</x:f>
        <x:v>半红</x:v>
      </x:c>
      <x:c r="V164" s="599" t="n">
        <x:f>IF(OR(Q164="",Q164="待结算"),"",IF(L164=LEFT(F164,FIND(" vs ",F164)-1),I164,G164))</x:f>
        <x:v>0.84</x:v>
      </x:c>
      <x:c r="W164" s="599" t="n">
        <x:f>IF(OR(U164="",U164="待结算"),"",IF(U164="红",V164,IF(U164="半红",V164*0.5,IF(U164="走",0,IF(U164="半黑",-0.5,-1)))))</x:f>
        <x:v>0.42</x:v>
      </x:c>
      <x:c r="X164" s="595" t="inlineStr">
        <x:is>
          <x:t xml:space="preserve">3044399</x:t>
        </x:is>
      </x:c>
      <x:c r="Y164" s="595" t="inlineStr">
        <x:is>
          <x:t xml:space="preserve">v4-market-dirichlet-20260913</x:t>
        </x:is>
      </x:c>
      <x:c r="Z164" s="595" t="inlineStr">
        <x:is>
          <x:t xml:space="preserve">prior-2026-09-18-v1</x:t>
        </x:is>
      </x:c>
      <x:c r="AA164" s="595" t="inlineStr">
        <x:is>
          <x:t xml:space="preserve">C</x:t>
        </x:is>
      </x:c>
      <x:c r="AB164" s="600" t="n">
        <x:v>0.4339622641509434</x:v>
      </x:c>
      <x:c r="AC164" s="600" t="n">
        <x:v>0</x:v>
      </x:c>
      <x:c r="AD164" s="600" t="n">
        <x:v>0</x:v>
      </x:c>
      <x:c r="AE164" s="600" t="n">
        <x:v>0.2830188679245283</x:v>
      </x:c>
      <x:c r="AF164" s="600" t="n">
        <x:v>0.2830188679245283</x:v>
      </x:c>
      <x:c r="AG164" s="600" t="n">
        <x:v>0.01811320754716989</x:v>
      </x:c>
      <x:c r="AH164" s="600" t="n">
        <x:v>-0.1883240070269405</x:v>
      </x:c>
      <x:c r="AI164" s="600" t="n">
        <x:v>-0.1381467642328217</x:v>
      </x:c>
      <x:c r="AJ164" s="600" t="n">
        <x:v>0.01581185131637025</x:v>
      </x:c>
      <x:c r="AK164" s="600" t="n">
        <x:v>0.1775555844961794</x:v>
      </x:c>
      <x:c r="AL164" s="600" t="n">
        <x:v>0.2206582574070669</x:v>
      </x:c>
      <x:c r="AM164" s="600" t="n">
        <x:v>0.5558</x:v>
      </x:c>
      <x:c r="AN164" s="595" t="inlineStr">
        <x:is>
          <x:t xml:space="preserve">EVALUATED</x:t>
        </x:is>
      </x:c>
      <x:c r="AO164" s="600" t="inlineStr">
        <x:is>
          <x:t xml:space="preserve">BUCKET_1.25、SIDE_IDENTITY_VALID、MARKET_MOVE_DEEPER_WITH_GIVING_WATER_RISE</x:t>
        </x:is>
      </x:c>
      <x:c r="AP164" s="600" t="inlineStr">
        <x:is>
          <x:t xml:space="preserve">b1bcbd06c6acacad6b9b</x:t>
        </x:is>
      </x:c>
      <x:c r="AQ164" s="600" t="n">
        <x:v>-1.25</x:v>
      </x:c>
      <x:c r="AR164" s="600" t="n">
        <x:v>1.02</x:v>
      </x:c>
      <x:c r="AS164" s="600" t="n">
        <x:v>1.25</x:v>
      </x:c>
      <x:c r="AT164" s="600" t="n">
        <x:v>-1.25</x:v>
      </x:c>
      <x:c r="AU164" s="600" t="n">
        <x:v>0.84</x:v>
      </x:c>
      <x:c r="AV164" s="600" t="n">
        <x:v>1.02</x:v>
      </x:c>
      <x:c r="AW164" s="595" t="n">
        <x:v>46283.33365373842</x:v>
      </x:c>
      <x:c r="AX164" s="595" t="inlineStr">
        <x:is>
          <x:t xml:space="preserve">https://simondongxiao.github.io/odds/v4/</x:t>
        </x:is>
      </x:c>
      <x:c r="AY164" s="595" t="inlineStr">
        <x:is>
          <x:t xml:space="preserve">V4 Shadow Only；real_money=false；比分差异详见记录审计</x:t>
        </x:is>
      </x:c>
    </x:row>
    <x:row r="165" ht="22" customHeight="1">
      <x:c r="A165" s="595" t="inlineStr">
        <x:is>
          <x:t xml:space="preserve">2026-09-18</x:t>
        </x:is>
      </x:c>
      <x:c r="B165" s="595" t="inlineStr">
        <x:is>
          <x:t xml:space="preserve">2026-09-19 01:00</x:t>
        </x:is>
      </x:c>
      <x:c r="C165" s="595" t="str">
        <x:v>欧洲非五大系列</x:v>
      </x:c>
      <x:c r="D165" s="595" t="inlineStr">
        <x:is>
          <x:t xml:space="preserve">联赛</x:t>
        </x:is>
      </x:c>
      <x:c r="E165" s="595" t="inlineStr">
        <x:is>
          <x:t xml:space="preserve">保甲</x:t>
        </x:is>
      </x:c>
      <x:c r="F165" s="595" t="inlineStr">
        <x:is>
          <x:t xml:space="preserve">索非亚斯拉维亚 vs 索非亚1948中央陆军</x:t>
        </x:is>
      </x:c>
      <x:c r="G165" s="596" t="n">
        <x:v>0.99</x:v>
      </x:c>
      <x:c r="H165" s="596" t="n">
        <x:v>-0.5</x:v>
      </x:c>
      <x:c r="I165" s="596" t="n">
        <x:v>0.83</x:v>
      </x:c>
      <x:c r="J165" s="596" t="inlineStr">
        <x:is>
          <x:t xml:space="preserve">0.99/-0.5/0.83</x:t>
        </x:is>
      </x:c>
      <x:c r="K165" s="595" t="inlineStr">
        <x:is>
          <x:t xml:space="preserve">V4-C｜EV +0.0007</x:t>
        </x:is>
      </x:c>
      <x:c r="L165" s="595" t="inlineStr">
        <x:is>
          <x:t xml:space="preserve">索非亚斯拉维亚</x:t>
        </x:is>
      </x:c>
      <x:c r="M165" s="597" t="n">
        <x:v>0.5028571428571429</x:v>
      </x:c>
      <x:c r="N165" s="595" t="inlineStr">
        <x:is>
          <x:t xml:space="preserve">V4纸面入选-C</x:t>
        </x:is>
      </x:c>
      <x:c r="O165" s="595" t="inlineStr">
        <x:is>
          <x:t xml:space="preserve">1-2</x:t>
        </x:is>
      </x:c>
      <x:c r="P165" s="595" t="inlineStr">
        <x:is>
          <x:t xml:space="preserve">已结算</x:t>
        </x:is>
      </x:c>
      <x:c r="Q165" s="641" t="inlineStr">
        <x:is>
          <x:t xml:space="preserve">黑</x:t>
        </x:is>
      </x:c>
      <x:c r="R165" s="599" t="n">
        <x:v>0.99</x:v>
      </x:c>
      <x:c r="S165" s="599" t="n">
        <x:f>IF(OR(Q165="",Q165="待结算"),"",IF(Q165="红",R165,IF(Q165="半红",R165*0.5,IF(Q165="走",0,IF(Q165="半黑",-0.5,-1)))))</x:f>
        <x:v>-1</x:v>
      </x:c>
      <x:c r="T165" s="595" t="inlineStr">
        <x:is>
          <x:t xml:space="preserve">https://zq.titan007.com/analysis/2998490cn.htm</x:t>
        </x:is>
      </x:c>
      <x:c r="U165" s="640" t="str">
        <x:f>IF(Q165="","",IF(Q165="待结算","待结算",IF(Q165="红","黑",IF(Q165="半红","半黑",IF(Q165="走","走",IF(Q165="半黑","半红","红"))))))</x:f>
        <x:v>红</x:v>
      </x:c>
      <x:c r="V165" s="599" t="n">
        <x:f>IF(OR(Q165="",Q165="待结算"),"",IF(L165=LEFT(F165,FIND(" vs ",F165)-1),I165,G165))</x:f>
        <x:v>0.83</x:v>
      </x:c>
      <x:c r="W165" s="599" t="n">
        <x:f>IF(OR(U165="",U165="待结算"),"",IF(U165="红",V165,IF(U165="半红",V165*0.5,IF(U165="走",0,IF(U165="半黑",-0.5,-1)))))</x:f>
        <x:v>0.83</x:v>
      </x:c>
      <x:c r="X165" s="595" t="inlineStr">
        <x:is>
          <x:t xml:space="preserve">2998490</x:t>
        </x:is>
      </x:c>
      <x:c r="Y165" s="595" t="inlineStr">
        <x:is>
          <x:t xml:space="preserve">v4-market-dirichlet-20260913</x:t>
        </x:is>
      </x:c>
      <x:c r="Z165" s="595" t="inlineStr">
        <x:is>
          <x:t xml:space="preserve">prior-2026-09-18-v1</x:t>
        </x:is>
      </x:c>
      <x:c r="AA165" s="595" t="inlineStr">
        <x:is>
          <x:t xml:space="preserve">C</x:t>
        </x:is>
      </x:c>
      <x:c r="AB165" s="600" t="n">
        <x:v>0.5028571428571429</x:v>
      </x:c>
      <x:c r="AC165" s="600" t="n">
        <x:v>0</x:v>
      </x:c>
      <x:c r="AD165" s="600" t="n">
        <x:v>0</x:v>
      </x:c>
      <x:c r="AE165" s="600" t="n">
        <x:v>0</x:v>
      </x:c>
      <x:c r="AF165" s="600" t="n">
        <x:v>0.4971428571428572</x:v>
      </x:c>
      <x:c r="AG165" s="600" t="n">
        <x:v>0.0006857142857142895</x:v>
      </x:c>
      <x:c r="AH165" s="600" t="n">
        <x:v>-0.1216023908835791</x:v>
      </x:c>
      <x:c r="AI165" s="600" t="n">
        <x:v>-0.09480630291992492</x:v>
      </x:c>
      <x:c r="AJ165" s="600" t="n">
        <x:v>0.001104381117610909</x:v>
      </x:c>
      <x:c r="AK165" s="600" t="n">
        <x:v>0.09915270797172782</x:v>
      </x:c>
      <x:c r="AL165" s="600" t="n">
        <x:v>0.1258460077375768</x:v>
      </x:c>
      <x:c r="AM165" s="600" t="n">
        <x:v>0.5052</x:v>
      </x:c>
      <x:c r="AN165" s="595" t="inlineStr">
        <x:is>
          <x:t xml:space="preserve">EVALUATED</x:t>
        </x:is>
      </x:c>
      <x:c r="AO165" s="600" t="inlineStr">
        <x:is>
          <x:t xml:space="preserve">BUCKET_0.50、SIDE_IDENTITY_VALID、FLAT_LINE_GIVING_WATER_RISE</x:t>
        </x:is>
      </x:c>
      <x:c r="AP165" s="600" t="inlineStr">
        <x:is>
          <x:t xml:space="preserve">cd92fddb198d1f2b32b6</x:t>
        </x:is>
      </x:c>
      <x:c r="AQ165" s="600" t="n">
        <x:v>0.5</x:v>
      </x:c>
      <x:c r="AR165" s="600" t="n">
        <x:v>0.99</x:v>
      </x:c>
      <x:c r="AS165" s="600" t="n">
        <x:v>0.5</x:v>
      </x:c>
      <x:c r="AT165" s="600" t="n">
        <x:v>-0.5</x:v>
      </x:c>
      <x:c r="AU165" s="600" t="n">
        <x:v>0.99</x:v>
      </x:c>
      <x:c r="AV165" s="600" t="n">
        <x:v>0.83</x:v>
      </x:c>
      <x:c r="AW165" s="595" t="n">
        <x:v>46283.33365373842</x:v>
      </x:c>
      <x:c r="AX165" s="595" t="inlineStr">
        <x:is>
          <x:t xml:space="preserve">https://simondongxiao.github.io/odds/v4/</x:t>
        </x:is>
      </x:c>
      <x:c r="AY165" s="595" t="inlineStr">
        <x:is>
          <x:t xml:space="preserve">V4 Shadow Only；real_money=false；比分差异详见记录审计</x:t>
        </x:is>
      </x:c>
    </x:row>
    <x:row r="166" ht="22" customHeight="1">
      <x:c r="A166" s="595" t="inlineStr">
        <x:is>
          <x:t xml:space="preserve">2026-09-18</x:t>
        </x:is>
      </x:c>
      <x:c r="B166" s="595" t="inlineStr">
        <x:is>
          <x:t xml:space="preserve">2026-09-19 01:30</x:t>
        </x:is>
      </x:c>
      <x:c r="C166" s="595" t="str">
        <x:v>欧洲非五大系列</x:v>
      </x:c>
      <x:c r="D166" s="595" t="inlineStr">
        <x:is>
          <x:t xml:space="preserve">联赛</x:t>
        </x:is>
      </x:c>
      <x:c r="E166" s="595" t="inlineStr">
        <x:is>
          <x:t xml:space="preserve">奥甲</x:t>
        </x:is>
      </x:c>
      <x:c r="F166" s="595" t="inlineStr">
        <x:is>
          <x:t xml:space="preserve">维也纳快速 vs WSG蒂罗尔</x:t>
        </x:is>
      </x:c>
      <x:c r="G166" s="596" t="n">
        <x:v>1.06</x:v>
      </x:c>
      <x:c r="H166" s="596" t="n">
        <x:v>1.5</x:v>
      </x:c>
      <x:c r="I166" s="596" t="n">
        <x:v>0.83</x:v>
      </x:c>
      <x:c r="J166" s="596" t="inlineStr">
        <x:is>
          <x:t xml:space="preserve">1.06/1.5/0.83</x:t>
        </x:is>
      </x:c>
      <x:c r="K166" s="595" t="inlineStr">
        <x:is>
          <x:t xml:space="preserve">V4-B｜EV +0.2231</x:t>
        </x:is>
      </x:c>
      <x:c r="L166" s="595" t="inlineStr">
        <x:is>
          <x:t xml:space="preserve">维也纳快速</x:t>
        </x:is>
      </x:c>
      <x:c r="M166" s="597" t="n">
        <x:v>0.59375</x:v>
      </x:c>
      <x:c r="N166" s="595" t="inlineStr">
        <x:is>
          <x:t xml:space="preserve">V4纸面入选-B</x:t>
        </x:is>
      </x:c>
      <x:c r="O166" s="595" t="inlineStr">
        <x:is>
          <x:t xml:space="preserve">3-0</x:t>
        </x:is>
      </x:c>
      <x:c r="P166" s="595" t="inlineStr">
        <x:is>
          <x:t xml:space="preserve">已结算</x:t>
        </x:is>
      </x:c>
      <x:c r="Q166" s="640" t="inlineStr">
        <x:is>
          <x:t xml:space="preserve">红</x:t>
        </x:is>
      </x:c>
      <x:c r="R166" s="599" t="n">
        <x:v>1.06</x:v>
      </x:c>
      <x:c r="S166" s="599" t="n">
        <x:f>IF(OR(Q166="",Q166="待结算"),"",IF(Q166="红",R166,IF(Q166="半红",R166*0.5,IF(Q166="走",0,IF(Q166="半黑",-0.5,-1)))))</x:f>
        <x:v>1.06</x:v>
      </x:c>
      <x:c r="T166" s="595" t="inlineStr">
        <x:is>
          <x:t xml:space="preserve">https://zq.titan007.com/analysis/3010641cn.htm</x:t>
        </x:is>
      </x:c>
      <x:c r="U166" s="641" t="str">
        <x:f>IF(Q166="","",IF(Q166="待结算","待结算",IF(Q166="红","黑",IF(Q166="半红","半黑",IF(Q166="走","走",IF(Q166="半黑","半红","红"))))))</x:f>
        <x:v>黑</x:v>
      </x:c>
      <x:c r="V166" s="599" t="n">
        <x:f>IF(OR(Q166="",Q166="待结算"),"",IF(L166=LEFT(F166,FIND(" vs ",F166)-1),I166,G166))</x:f>
        <x:v>0.83</x:v>
      </x:c>
      <x:c r="W166" s="599" t="n">
        <x:f>IF(OR(U166="",U166="待结算"),"",IF(U166="红",V166,IF(U166="半红",V166*0.5,IF(U166="走",0,IF(U166="半黑",-0.5,-1)))))</x:f>
        <x:v>-1</x:v>
      </x:c>
      <x:c r="X166" s="595" t="inlineStr">
        <x:is>
          <x:t xml:space="preserve">3010641</x:t>
        </x:is>
      </x:c>
      <x:c r="Y166" s="595" t="inlineStr">
        <x:is>
          <x:t xml:space="preserve">v4-market-dirichlet-20260913</x:t>
        </x:is>
      </x:c>
      <x:c r="Z166" s="595" t="inlineStr">
        <x:is>
          <x:t xml:space="preserve">prior-2026-09-18-v1</x:t>
        </x:is>
      </x:c>
      <x:c r="AA166" s="595" t="inlineStr">
        <x:is>
          <x:t xml:space="preserve">B</x:t>
        </x:is>
      </x:c>
      <x:c r="AB166" s="600" t="n">
        <x:v>0.59375</x:v>
      </x:c>
      <x:c r="AC166" s="600" t="n">
        <x:v>0</x:v>
      </x:c>
      <x:c r="AD166" s="600" t="n">
        <x:v>0</x:v>
      </x:c>
      <x:c r="AE166" s="600" t="n">
        <x:v>0</x:v>
      </x:c>
      <x:c r="AF166" s="600" t="n">
        <x:v>0.40625</x:v>
      </x:c>
      <x:c r="AG166" s="600" t="n">
        <x:v>0.223125</x:v>
      </x:c>
      <x:c r="AH166" s="600" t="n">
        <x:v>-0.07780275145589771</x:v>
      </x:c>
      <x:c r="AI166" s="600" t="n">
        <x:v>-0.007839848384854853</x:v>
      </x:c>
      <x:c r="AJ166" s="600" t="n">
        <x:v>0.2263718783787572</x:v>
      </x:c>
      <x:c r="AK166" s="600" t="n">
        <x:v>0.4456120859584998</x:v>
      </x:c>
      <x:c r="AL166" s="600" t="n">
        <x:v>0.5009028895806528</x:v>
      </x:c>
      <x:c r="AM166" s="600" t="n">
        <x:v>0.8915999999999999</x:v>
      </x:c>
      <x:c r="AN166" s="595" t="inlineStr">
        <x:is>
          <x:t xml:space="preserve">EVALUATED</x:t>
        </x:is>
      </x:c>
      <x:c r="AO166" s="600" t="inlineStr">
        <x:is>
          <x:t xml:space="preserve">BUCKET_1.50、SIDE_IDENTITY_VALID、MARKET_MOVE_DEEPER_WITH_GIVING_WATER_RISE</x:t>
        </x:is>
      </x:c>
      <x:c r="AP166" s="600" t="inlineStr">
        <x:is>
          <x:t xml:space="preserve">13e476399100a50bb35f</x:t>
        </x:is>
      </x:c>
      <x:c r="AQ166" s="600" t="n">
        <x:v>-1.5</x:v>
      </x:c>
      <x:c r="AR166" s="600" t="n">
        <x:v>1.06</x:v>
      </x:c>
      <x:c r="AS166" s="600" t="n">
        <x:v>-1.5</x:v>
      </x:c>
      <x:c r="AT166" s="600" t="n">
        <x:v>1.5</x:v>
      </x:c>
      <x:c r="AU166" s="600" t="n">
        <x:v>1.06</x:v>
      </x:c>
      <x:c r="AV166" s="600" t="n">
        <x:v>0.83</x:v>
      </x:c>
      <x:c r="AW166" s="595" t="n">
        <x:v>46283.33365373842</x:v>
      </x:c>
      <x:c r="AX166" s="595" t="inlineStr">
        <x:is>
          <x:t xml:space="preserve">https://simondongxiao.github.io/odds/v4/</x:t>
        </x:is>
      </x:c>
      <x:c r="AY166" s="595" t="inlineStr">
        <x:is>
          <x:t xml:space="preserve">V4 Shadow Only；real_money=false；比分差异详见记录审计</x:t>
        </x:is>
      </x:c>
    </x:row>
    <x:row r="167" ht="22" customHeight="1">
      <x:c r="A167" s="595" t="inlineStr">
        <x:is>
          <x:t xml:space="preserve">2026-09-18</x:t>
        </x:is>
      </x:c>
      <x:c r="B167" s="595" t="inlineStr">
        <x:is>
          <x:t xml:space="preserve">2026-09-19 01:30</x:t>
        </x:is>
      </x:c>
      <x:c r="C167" s="595" t="str">
        <x:v>欧洲非五大系列</x:v>
      </x:c>
      <x:c r="D167" s="595" t="inlineStr">
        <x:is>
          <x:t xml:space="preserve">联赛</x:t>
        </x:is>
      </x:c>
      <x:c r="E167" s="595" t="inlineStr">
        <x:is>
          <x:t xml:space="preserve">瑞士甲</x:t>
        </x:is>
      </x:c>
      <x:c r="F167" s="595" t="inlineStr">
        <x:is>
          <x:t xml:space="preserve">韦尔 vs 尼奈斯</x:t>
        </x:is>
      </x:c>
      <x:c r="G167" s="596" t="n">
        <x:v>0.6</x:v>
      </x:c>
      <x:c r="H167" s="596" t="n">
        <x:v>0.75</x:v>
      </x:c>
      <x:c r="I167" s="596" t="n">
        <x:v>1.28</x:v>
      </x:c>
      <x:c r="J167" s="596" t="inlineStr">
        <x:is>
          <x:t xml:space="preserve">0.60/0.75/1.28</x:t>
        </x:is>
      </x:c>
      <x:c r="K167" s="595" t="inlineStr">
        <x:is>
          <x:t xml:space="preserve">V4-B｜EV +0.1362</x:t>
        </x:is>
      </x:c>
      <x:c r="L167" s="595" t="inlineStr">
        <x:is>
          <x:t xml:space="preserve">尼奈斯</x:t>
        </x:is>
      </x:c>
      <x:c r="M167" s="597" t="n">
        <x:v>0.5071770334928229</x:v>
      </x:c>
      <x:c r="N167" s="595" t="inlineStr">
        <x:is>
          <x:t xml:space="preserve">V4纸面入选-B</x:t>
        </x:is>
      </x:c>
      <x:c r="O167" s="595" t="inlineStr">
        <x:is>
          <x:t xml:space="preserve">5-0</x:t>
        </x:is>
      </x:c>
      <x:c r="P167" s="595" t="inlineStr">
        <x:is>
          <x:t xml:space="preserve">已结算</x:t>
        </x:is>
      </x:c>
      <x:c r="Q167" s="641" t="inlineStr">
        <x:is>
          <x:t xml:space="preserve">黑</x:t>
        </x:is>
      </x:c>
      <x:c r="R167" s="599" t="n">
        <x:v>1.28</x:v>
      </x:c>
      <x:c r="S167" s="599" t="n">
        <x:f>IF(OR(Q167="",Q167="待结算"),"",IF(Q167="红",R167,IF(Q167="半红",R167*0.5,IF(Q167="走",0,IF(Q167="半黑",-0.5,-1)))))</x:f>
        <x:v>-1</x:v>
      </x:c>
      <x:c r="T167" s="595" t="inlineStr">
        <x:is>
          <x:t xml:space="preserve">https://zq.titan007.com/analysis/3000946cn.htm</x:t>
        </x:is>
      </x:c>
      <x:c r="U167" s="640" t="str">
        <x:f>IF(Q167="","",IF(Q167="待结算","待结算",IF(Q167="红","黑",IF(Q167="半红","半黑",IF(Q167="走","走",IF(Q167="半黑","半红","红"))))))</x:f>
        <x:v>红</x:v>
      </x:c>
      <x:c r="V167" s="599" t="n">
        <x:f>IF(OR(Q167="",Q167="待结算"),"",IF(L167=LEFT(F167,FIND(" vs ",F167)-1),I167,G167))</x:f>
        <x:v>0.6</x:v>
      </x:c>
      <x:c r="W167" s="599" t="n">
        <x:f>IF(OR(U167="",U167="待结算"),"",IF(U167="红",V167,IF(U167="半红",V167*0.5,IF(U167="走",0,IF(U167="半黑",-0.5,-1)))))</x:f>
        <x:v>0.6</x:v>
      </x:c>
      <x:c r="X167" s="595" t="inlineStr">
        <x:is>
          <x:t xml:space="preserve">3000946</x:t>
        </x:is>
      </x:c>
      <x:c r="Y167" s="595" t="inlineStr">
        <x:is>
          <x:t xml:space="preserve">v4-market-dirichlet-20260913</x:t>
        </x:is>
      </x:c>
      <x:c r="Z167" s="595" t="inlineStr">
        <x:is>
          <x:t xml:space="preserve">prior-2026-09-18-v1</x:t>
        </x:is>
      </x:c>
      <x:c r="AA167" s="595" t="inlineStr">
        <x:is>
          <x:t xml:space="preserve">B</x:t>
        </x:is>
      </x:c>
      <x:c r="AB167" s="600" t="n">
        <x:v>0.4416666666666667</x:v>
      </x:c>
      <x:c r="AC167" s="600" t="n">
        <x:v>0</x:v>
      </x:c>
      <x:c r="AD167" s="600" t="n">
        <x:v>0</x:v>
      </x:c>
      <x:c r="AE167" s="600" t="n">
        <x:v>0.2583333333333334</x:v>
      </x:c>
      <x:c r="AF167" s="600" t="n">
        <x:v>0.3</x:v>
      </x:c>
      <x:c r="AG167" s="600" t="n">
        <x:v>0.1361666666666667</x:v>
      </x:c>
      <x:c r="AH167" s="600" t="n">
        <x:v>-0.01409405859208068</x:v>
      </x:c>
      <x:c r="AI167" s="600" t="n">
        <x:v>0.01786491834646137</x:v>
      </x:c>
      <x:c r="AJ167" s="600" t="n">
        <x:v>0.1358688440946546</x:v>
      </x:c>
      <x:c r="AK167" s="600" t="n">
        <x:v>0.2593003846217649</x:v>
      </x:c>
      <x:c r="AL167" s="600" t="n">
        <x:v>0.2987877054237922</x:v>
      </x:c>
      <x:c r="AM167" s="600" t="n">
        <x:v>0.9334</x:v>
      </x:c>
      <x:c r="AN167" s="595" t="inlineStr">
        <x:is>
          <x:t xml:space="preserve">EVALUATED</x:t>
        </x:is>
      </x:c>
      <x:c r="AO167" s="600" t="inlineStr">
        <x:is>
          <x:t xml:space="preserve">BUCKET_0.75、SIDE_IDENTITY_VALID、FLAT_LINE_GIVING_WATER_DROP</x:t>
        </x:is>
      </x:c>
      <x:c r="AP167" s="600" t="inlineStr">
        <x:is>
          <x:t xml:space="preserve">7d5c9563c8fa3bafd423</x:t>
        </x:is>
      </x:c>
      <x:c r="AQ167" s="600" t="n">
        <x:v>0.75</x:v>
      </x:c>
      <x:c r="AR167" s="600" t="n">
        <x:v>1.28</x:v>
      </x:c>
      <x:c r="AS167" s="600" t="n">
        <x:v>-0.75</x:v>
      </x:c>
      <x:c r="AT167" s="600" t="n">
        <x:v>0.75</x:v>
      </x:c>
      <x:c r="AU167" s="600" t="n">
        <x:v>0.6</x:v>
      </x:c>
      <x:c r="AV167" s="600" t="n">
        <x:v>1.28</x:v>
      </x:c>
      <x:c r="AW167" s="595" t="n">
        <x:v>46283.33365373842</x:v>
      </x:c>
      <x:c r="AX167" s="595" t="inlineStr">
        <x:is>
          <x:t xml:space="preserve">https://simondongxiao.github.io/odds/v4/</x:t>
        </x:is>
      </x:c>
      <x:c r="AY167" s="595" t="inlineStr">
        <x:is>
          <x:t xml:space="preserve">V4 Shadow Only；real_money=false；比分差异详见记录审计</x:t>
        </x:is>
      </x:c>
    </x:row>
    <x:row r="168" ht="22" customHeight="1">
      <x:c r="A168" s="595" t="inlineStr">
        <x:is>
          <x:t xml:space="preserve">2026-09-18</x:t>
        </x:is>
      </x:c>
      <x:c r="B168" s="595" t="inlineStr">
        <x:is>
          <x:t xml:space="preserve">2026-09-19 01:30</x:t>
        </x:is>
      </x:c>
      <x:c r="C168" s="595" t="str">
        <x:v>西亚/中亚系列</x:v>
      </x:c>
      <x:c r="D168" s="595" t="inlineStr">
        <x:is>
          <x:t xml:space="preserve">联赛</x:t>
        </x:is>
      </x:c>
      <x:c r="E168" s="595" t="inlineStr">
        <x:is>
          <x:t xml:space="preserve">约超联</x:t>
        </x:is>
      </x:c>
      <x:c r="F168" s="595" t="inlineStr">
        <x:is>
          <x:t xml:space="preserve">安曼团结 vs 连姆沙</x:t>
        </x:is>
      </x:c>
      <x:c r="G168" s="596" t="n">
        <x:v>0.8</x:v>
      </x:c>
      <x:c r="H168" s="596" t="n">
        <x:v>1</x:v>
      </x:c>
      <x:c r="I168" s="596" t="n">
        <x:v>0.9</x:v>
      </x:c>
      <x:c r="J168" s="596" t="inlineStr">
        <x:is>
          <x:t xml:space="preserve">0.80/1/0.90</x:t>
        </x:is>
      </x:c>
      <x:c r="K168" s="595" t="inlineStr">
        <x:is>
          <x:t xml:space="preserve">V4-C｜EV +0.0237</x:t>
        </x:is>
      </x:c>
      <x:c r="L168" s="595" t="inlineStr">
        <x:is>
          <x:t xml:space="preserve">连姆沙</x:t>
        </x:is>
      </x:c>
      <x:c r="M168" s="597" t="n">
        <x:v>0.5423728813559322</x:v>
      </x:c>
      <x:c r="N168" s="595" t="inlineStr">
        <x:is>
          <x:t xml:space="preserve">V4纸面入选-C</x:t>
        </x:is>
      </x:c>
      <x:c r="O168" s="595" t="inlineStr">
        <x:is>
          <x:t xml:space="preserve">0-1</x:t>
        </x:is>
      </x:c>
      <x:c r="P168" s="595" t="inlineStr">
        <x:is>
          <x:t xml:space="preserve">已结算</x:t>
        </x:is>
      </x:c>
      <x:c r="Q168" s="640" t="inlineStr">
        <x:is>
          <x:t xml:space="preserve">红</x:t>
        </x:is>
      </x:c>
      <x:c r="R168" s="599" t="n">
        <x:v>0.9</x:v>
      </x:c>
      <x:c r="S168" s="599" t="n">
        <x:f>IF(OR(Q168="",Q168="待结算"),"",IF(Q168="红",R168,IF(Q168="半红",R168*0.5,IF(Q168="走",0,IF(Q168="半黑",-0.5,-1)))))</x:f>
        <x:v>0.9</x:v>
      </x:c>
      <x:c r="T168" s="595" t="inlineStr">
        <x:is>
          <x:t xml:space="preserve">https://zq.titan007.com/analysis/3085759cn.htm</x:t>
        </x:is>
      </x:c>
      <x:c r="U168" s="641" t="str">
        <x:f>IF(Q168="","",IF(Q168="待结算","待结算",IF(Q168="红","黑",IF(Q168="半红","半黑",IF(Q168="走","走",IF(Q168="半黑","半红","红"))))))</x:f>
        <x:v>黑</x:v>
      </x:c>
      <x:c r="V168" s="599" t="n">
        <x:f>IF(OR(Q168="",Q168="待结算"),"",IF(L168=LEFT(F168,FIND(" vs ",F168)-1),I168,G168))</x:f>
        <x:v>0.8</x:v>
      </x:c>
      <x:c r="W168" s="599" t="n">
        <x:f>IF(OR(U168="",U168="待结算"),"",IF(U168="红",V168,IF(U168="半红",V168*0.5,IF(U168="走",0,IF(U168="半黑",-0.5,-1)))))</x:f>
        <x:v>-1</x:v>
      </x:c>
      <x:c r="X168" s="595" t="inlineStr">
        <x:is>
          <x:t xml:space="preserve">3085759</x:t>
        </x:is>
      </x:c>
      <x:c r="Y168" s="595" t="inlineStr">
        <x:is>
          <x:t xml:space="preserve">v4-market-dirichlet-20260913</x:t>
        </x:is>
      </x:c>
      <x:c r="Z168" s="595" t="inlineStr">
        <x:is>
          <x:t xml:space="preserve">prior-2026-09-18-v1</x:t>
        </x:is>
      </x:c>
      <x:c r="AA168" s="595" t="inlineStr">
        <x:is>
          <x:t xml:space="preserve">C</x:t>
        </x:is>
      </x:c>
      <x:c r="AB168" s="600" t="n">
        <x:v>0.4210526315789473</x:v>
      </x:c>
      <x:c r="AC168" s="600" t="n">
        <x:v>0</x:v>
      </x:c>
      <x:c r="AD168" s="600" t="n">
        <x:v>0.2236842105263158</x:v>
      </x:c>
      <x:c r="AE168" s="600" t="n">
        <x:v>0</x:v>
      </x:c>
      <x:c r="AF168" s="600" t="n">
        <x:v>0.3552631578947368</x:v>
      </x:c>
      <x:c r="AG168" s="600" t="n">
        <x:v>0.02368421052631581</x:v>
      </x:c>
      <x:c r="AH168" s="600" t="n">
        <x:v>-0.132179410490503</x:v>
      </x:c>
      <x:c r="AI168" s="600" t="n">
        <x:v>-0.09632823685085901</x:v>
      </x:c>
      <x:c r="AJ168" s="600" t="n">
        <x:v>0.02416434632520853</x:v>
      </x:c>
      <x:c r="AK168" s="600" t="n">
        <x:v>0.1475310487129462</x:v>
      </x:c>
      <x:c r="AL168" s="600" t="n">
        <x:v>0.1806387431999775</x:v>
      </x:c>
      <x:c r="AM168" s="600" t="n">
        <x:v>0.6014</x:v>
      </x:c>
      <x:c r="AN168" s="595" t="inlineStr">
        <x:is>
          <x:t xml:space="preserve">EVALUATED</x:t>
        </x:is>
      </x:c>
      <x:c r="AO168" s="600" t="inlineStr">
        <x:is>
          <x:t xml:space="preserve">BUCKET_1.00、SIDE_IDENTITY_VALID、FLAT_LINE_GIVING_WATER_DROP</x:t>
        </x:is>
      </x:c>
      <x:c r="AP168" s="600" t="inlineStr">
        <x:is>
          <x:t xml:space="preserve">e1494fa9059dd33f4e69</x:t>
        </x:is>
      </x:c>
      <x:c r="AQ168" s="600" t="n">
        <x:v>1</x:v>
      </x:c>
      <x:c r="AR168" s="600" t="n">
        <x:v>0.9</x:v>
      </x:c>
      <x:c r="AS168" s="600" t="n">
        <x:v>-1</x:v>
      </x:c>
      <x:c r="AT168" s="600" t="n">
        <x:v>1</x:v>
      </x:c>
      <x:c r="AU168" s="600" t="n">
        <x:v>0.8</x:v>
      </x:c>
      <x:c r="AV168" s="600" t="n">
        <x:v>0.9</x:v>
      </x:c>
      <x:c r="AW168" s="595" t="n">
        <x:v>46283.33365373842</x:v>
      </x:c>
      <x:c r="AX168" s="595" t="inlineStr">
        <x:is>
          <x:t xml:space="preserve">https://simondongxiao.github.io/odds/v4/</x:t>
        </x:is>
      </x:c>
      <x:c r="AY168" s="595" t="inlineStr">
        <x:is>
          <x:t xml:space="preserve">V4 Shadow Only；real_money=false；比分差异详见记录审计</x:t>
        </x:is>
      </x:c>
    </x:row>
    <x:row r="169" ht="22" customHeight="1">
      <x:c r="A169" s="595" t="inlineStr">
        <x:is>
          <x:t xml:space="preserve">2026-09-18</x:t>
        </x:is>
      </x:c>
      <x:c r="B169" s="595" t="inlineStr">
        <x:is>
          <x:t xml:space="preserve">2026-09-19 02:00</x:t>
        </x:is>
      </x:c>
      <x:c r="C169" s="595" t="str">
        <x:v>五大联赛非顶级联赛</x:v>
      </x:c>
      <x:c r="D169" s="595" t="inlineStr">
        <x:is>
          <x:t xml:space="preserve">联赛</x:t>
        </x:is>
      </x:c>
      <x:c r="E169" s="595" t="inlineStr">
        <x:is>
          <x:t xml:space="preserve">法乙</x:t>
        </x:is>
      </x:c>
      <x:c r="F169" s="595" t="inlineStr">
        <x:is>
          <x:t xml:space="preserve">阿纳西 vs 第戎</x:t>
        </x:is>
      </x:c>
      <x:c r="G169" s="596" t="n">
        <x:v>0.87</x:v>
      </x:c>
      <x:c r="H169" s="596" t="n">
        <x:v>0.25</x:v>
      </x:c>
      <x:c r="I169" s="596" t="n">
        <x:v>1.01</x:v>
      </x:c>
      <x:c r="J169" s="596" t="inlineStr">
        <x:is>
          <x:t xml:space="preserve">0.87/0.25/1.01</x:t>
        </x:is>
      </x:c>
      <x:c r="K169" s="595" t="inlineStr">
        <x:is>
          <x:t xml:space="preserve">V4-C｜EV +0.0060</x:t>
        </x:is>
      </x:c>
      <x:c r="L169" s="595" t="inlineStr">
        <x:is>
          <x:t xml:space="preserve">第戎</x:t>
        </x:is>
      </x:c>
      <x:c r="M169" s="597" t="n">
        <x:v>0.5010224948875256</x:v>
      </x:c>
      <x:c r="N169" s="595" t="inlineStr">
        <x:is>
          <x:t xml:space="preserve">V4纸面入选-C</x:t>
        </x:is>
      </x:c>
      <x:c r="O169" s="595" t="inlineStr">
        <x:is>
          <x:t xml:space="preserve">1-2</x:t>
        </x:is>
      </x:c>
      <x:c r="P169" s="595" t="inlineStr">
        <x:is>
          <x:t xml:space="preserve">已结算</x:t>
        </x:is>
      </x:c>
      <x:c r="Q169" s="640" t="inlineStr">
        <x:is>
          <x:t xml:space="preserve">红</x:t>
        </x:is>
      </x:c>
      <x:c r="R169" s="599" t="n">
        <x:v>1.01</x:v>
      </x:c>
      <x:c r="S169" s="599" t="n">
        <x:f>IF(OR(Q169="",Q169="待结算"),"",IF(Q169="红",R169,IF(Q169="半红",R169*0.5,IF(Q169="走",0,IF(Q169="半黑",-0.5,-1)))))</x:f>
        <x:v>1.01</x:v>
      </x:c>
      <x:c r="T169" s="595" t="inlineStr">
        <x:is>
          <x:t xml:space="preserve">https://zq.titan007.com/analysis/2997726cn.htm</x:t>
        </x:is>
      </x:c>
      <x:c r="U169" s="641" t="str">
        <x:f>IF(Q169="","",IF(Q169="待结算","待结算",IF(Q169="红","黑",IF(Q169="半红","半黑",IF(Q169="走","走",IF(Q169="半黑","半红","红"))))))</x:f>
        <x:v>黑</x:v>
      </x:c>
      <x:c r="V169" s="599" t="n">
        <x:f>IF(OR(Q169="",Q169="待结算"),"",IF(L169=LEFT(F169,FIND(" vs ",F169)-1),I169,G169))</x:f>
        <x:v>0.87</x:v>
      </x:c>
      <x:c r="W169" s="599" t="n">
        <x:f>IF(OR(U169="",U169="待结算"),"",IF(U169="红",V169,IF(U169="半红",V169*0.5,IF(U169="走",0,IF(U169="半黑",-0.5,-1)))))</x:f>
        <x:v>-1</x:v>
      </x:c>
      <x:c r="X169" s="595" t="inlineStr">
        <x:is>
          <x:t xml:space="preserve">2997726</x:t>
        </x:is>
      </x:c>
      <x:c r="Y169" s="595" t="inlineStr">
        <x:is>
          <x:t xml:space="preserve">v4-market-dirichlet-20260913</x:t>
        </x:is>
      </x:c>
      <x:c r="Z169" s="595" t="inlineStr">
        <x:is>
          <x:t xml:space="preserve">prior-2026-09-18-v1</x:t>
        </x:is>
      </x:c>
      <x:c r="AA169" s="595" t="inlineStr">
        <x:is>
          <x:t xml:space="preserve">C</x:t>
        </x:is>
      </x:c>
      <x:c r="AB169" s="600" t="n">
        <x:v>0.2743055555555556</x:v>
      </x:c>
      <x:c r="AC169" s="600" t="n">
        <x:v>0.3020833333333333</x:v>
      </x:c>
      <x:c r="AD169" s="600" t="n">
        <x:v>0</x:v>
      </x:c>
      <x:c r="AE169" s="600" t="n">
        <x:v>0</x:v>
      </x:c>
      <x:c r="AF169" s="600" t="n">
        <x:v>0.4236111111111111</x:v>
      </x:c>
      <x:c r="AG169" s="600" t="n">
        <x:v>0.005989583333333381</x:v>
      </x:c>
      <x:c r="AH169" s="600" t="n">
        <x:v>-0.07773037795110133</x:v>
      </x:c>
      <x:c r="AI169" s="600" t="n">
        <x:v>-0.06242546171595315</x:v>
      </x:c>
      <x:c r="AJ169" s="600" t="n">
        <x:v>0.005442488047058824</x:v>
      </x:c>
      <x:c r="AK169" s="600" t="n">
        <x:v>0.0689085979407949</x:v>
      </x:c>
      <x:c r="AL169" s="600" t="n">
        <x:v>0.08794826034230729</x:v>
      </x:c>
      <x:c r="AM169" s="600" t="n">
        <x:v>0.5436</x:v>
      </x:c>
      <x:c r="AN169" s="595" t="inlineStr">
        <x:is>
          <x:t xml:space="preserve">EVALUATED</x:t>
        </x:is>
      </x:c>
      <x:c r="AO169" s="600" t="inlineStr">
        <x:is>
          <x:t xml:space="preserve">BUCKET_0.25、SIDE_IDENTITY_VALID、FLAT_LINE_GIVING_WATER_RISE</x:t>
        </x:is>
      </x:c>
      <x:c r="AP169" s="600" t="inlineStr">
        <x:is>
          <x:t xml:space="preserve">8811412ed4129119b573</x:t>
        </x:is>
      </x:c>
      <x:c r="AQ169" s="600" t="n">
        <x:v>0.25</x:v>
      </x:c>
      <x:c r="AR169" s="600" t="n">
        <x:v>1.01</x:v>
      </x:c>
      <x:c r="AS169" s="600" t="n">
        <x:v>-0.25</x:v>
      </x:c>
      <x:c r="AT169" s="600" t="n">
        <x:v>0.25</x:v>
      </x:c>
      <x:c r="AU169" s="600" t="n">
        <x:v>0.87</x:v>
      </x:c>
      <x:c r="AV169" s="600" t="n">
        <x:v>1.01</x:v>
      </x:c>
      <x:c r="AW169" s="595" t="n">
        <x:v>46283.33365373842</x:v>
      </x:c>
      <x:c r="AX169" s="595" t="inlineStr">
        <x:is>
          <x:t xml:space="preserve">https://simondongxiao.github.io/odds/v4/</x:t>
        </x:is>
      </x:c>
      <x:c r="AY169" s="595" t="inlineStr">
        <x:is>
          <x:t xml:space="preserve">V4 Shadow Only；real_money=false；比分差异详见记录审计</x:t>
        </x:is>
      </x:c>
    </x:row>
    <x:row r="170" ht="22" customHeight="1">
      <x:c r="A170" s="595" t="inlineStr">
        <x:is>
          <x:t xml:space="preserve">2026-09-18</x:t>
        </x:is>
      </x:c>
      <x:c r="B170" s="595" t="inlineStr">
        <x:is>
          <x:t xml:space="preserve">2026-09-19 02:00</x:t>
        </x:is>
      </x:c>
      <x:c r="C170" s="595" t="str">
        <x:v>五大联赛非顶级联赛</x:v>
      </x:c>
      <x:c r="D170" s="595" t="inlineStr">
        <x:is>
          <x:t xml:space="preserve">联赛</x:t>
        </x:is>
      </x:c>
      <x:c r="E170" s="595" t="inlineStr">
        <x:is>
          <x:t xml:space="preserve">法乙</x:t>
        </x:is>
      </x:c>
      <x:c r="F170" s="595" t="inlineStr">
        <x:is>
          <x:t xml:space="preserve">拉瓦勒 vs 索肖</x:t>
        </x:is>
      </x:c>
      <x:c r="G170" s="596" t="n">
        <x:v>1.03</x:v>
      </x:c>
      <x:c r="H170" s="596" t="n">
        <x:v>0.25</x:v>
      </x:c>
      <x:c r="I170" s="596" t="n">
        <x:v>0.85</x:v>
      </x:c>
      <x:c r="J170" s="596" t="inlineStr">
        <x:is>
          <x:t xml:space="preserve">1.03/0.25/0.85</x:t>
        </x:is>
      </x:c>
      <x:c r="K170" s="595" t="inlineStr">
        <x:is>
          <x:t xml:space="preserve">V4-C｜EV +0.0110</x:t>
        </x:is>
      </x:c>
      <x:c r="L170" s="595" t="inlineStr">
        <x:is>
          <x:t xml:space="preserve">拉瓦勒</x:t>
        </x:is>
      </x:c>
      <x:c r="M170" s="597" t="n">
        <x:v>0.4989775051124744</x:v>
      </x:c>
      <x:c r="N170" s="595" t="inlineStr">
        <x:is>
          <x:t xml:space="preserve">V4纸面入选-C</x:t>
        </x:is>
      </x:c>
      <x:c r="O170" s="595" t="inlineStr">
        <x:is>
          <x:t xml:space="preserve">1-1</x:t>
        </x:is>
      </x:c>
      <x:c r="P170" s="595" t="inlineStr">
        <x:is>
          <x:t xml:space="preserve">已结算</x:t>
        </x:is>
      </x:c>
      <x:c r="Q170" s="643" t="inlineStr">
        <x:is>
          <x:t xml:space="preserve">半黑</x:t>
        </x:is>
      </x:c>
      <x:c r="R170" s="599" t="n">
        <x:v>1.03</x:v>
      </x:c>
      <x:c r="S170" s="599" t="n">
        <x:f>IF(OR(Q170="",Q170="待结算"),"",IF(Q170="红",R170,IF(Q170="半红",R170*0.5,IF(Q170="走",0,IF(Q170="半黑",-0.5,-1)))))</x:f>
        <x:v>-0.5</x:v>
      </x:c>
      <x:c r="T170" s="595" t="inlineStr">
        <x:is>
          <x:t xml:space="preserve">https://zq.titan007.com/analysis/2997730cn.htm</x:t>
        </x:is>
      </x:c>
      <x:c r="U170" s="642" t="str">
        <x:f>IF(Q170="","",IF(Q170="待结算","待结算",IF(Q170="红","黑",IF(Q170="半红","半黑",IF(Q170="走","走",IF(Q170="半黑","半红","红"))))))</x:f>
        <x:v>半红</x:v>
      </x:c>
      <x:c r="V170" s="599" t="n">
        <x:f>IF(OR(Q170="",Q170="待结算"),"",IF(L170=LEFT(F170,FIND(" vs ",F170)-1),I170,G170))</x:f>
        <x:v>0.85</x:v>
      </x:c>
      <x:c r="W170" s="599" t="n">
        <x:f>IF(OR(U170="",U170="待结算"),"",IF(U170="红",V170,IF(U170="半红",V170*0.5,IF(U170="走",0,IF(U170="半黑",-0.5,-1)))))</x:f>
        <x:v>0.425</x:v>
      </x:c>
      <x:c r="X170" s="595" t="inlineStr">
        <x:is>
          <x:t xml:space="preserve">2997730</x:t>
        </x:is>
      </x:c>
      <x:c r="Y170" s="595" t="inlineStr">
        <x:is>
          <x:t xml:space="preserve">v4-market-dirichlet-20260913</x:t>
        </x:is>
      </x:c>
      <x:c r="Z170" s="595" t="inlineStr">
        <x:is>
          <x:t xml:space="preserve">prior-2026-09-18-v1</x:t>
        </x:is>
      </x:c>
      <x:c r="AA170" s="595" t="inlineStr">
        <x:is>
          <x:t xml:space="preserve">C</x:t>
        </x:is>
      </x:c>
      <x:c r="AB170" s="600" t="n">
        <x:v>0.4236111111111111</x:v>
      </x:c>
      <x:c r="AC170" s="600" t="n">
        <x:v>0</x:v>
      </x:c>
      <x:c r="AD170" s="600" t="n">
        <x:v>0</x:v>
      </x:c>
      <x:c r="AE170" s="600" t="n">
        <x:v>0.3020833333333333</x:v>
      </x:c>
      <x:c r="AF170" s="600" t="n">
        <x:v>0.2743055555555556</x:v>
      </x:c>
      <x:c r="AG170" s="600" t="n">
        <x:v>0.01097222222222216</x:v>
      </x:c>
      <x:c r="AH170" s="600" t="n">
        <x:v>-0.07618104794245323</x:v>
      </x:c>
      <x:c r="AI170" s="600" t="n">
        <x:v>-0.05836880935765332</x:v>
      </x:c>
      <x:c r="AJ170" s="600" t="n">
        <x:v>0.0124247660323199</x:v>
      </x:c>
      <x:c r="AK170" s="600" t="n">
        <x:v>0.0803540063270958</x:v>
      </x:c>
      <x:c r="AL170" s="600" t="n">
        <x:v>0.09999533271633046</x:v>
      </x:c>
      <x:c r="AM170" s="600" t="n">
        <x:v>0.5862000000000001</x:v>
      </x:c>
      <x:c r="AN170" s="595" t="inlineStr">
        <x:is>
          <x:t xml:space="preserve">EVALUATED</x:t>
        </x:is>
      </x:c>
      <x:c r="AO170" s="600" t="inlineStr">
        <x:is>
          <x:t xml:space="preserve">BUCKET_0.25、SIDE_IDENTITY_VALID、MARKET_MOVE_DEEPER_WITH_GIVING_WATER_RISE</x:t>
        </x:is>
      </x:c>
      <x:c r="AP170" s="600" t="inlineStr">
        <x:is>
          <x:t xml:space="preserve">03559dd53961345f9268</x:t>
        </x:is>
      </x:c>
      <x:c r="AQ170" s="600" t="n">
        <x:v>-0.25</x:v>
      </x:c>
      <x:c r="AR170" s="600" t="n">
        <x:v>1.03</x:v>
      </x:c>
      <x:c r="AS170" s="600" t="n">
        <x:v>-0.25</x:v>
      </x:c>
      <x:c r="AT170" s="600" t="n">
        <x:v>0.25</x:v>
      </x:c>
      <x:c r="AU170" s="600" t="n">
        <x:v>1.03</x:v>
      </x:c>
      <x:c r="AV170" s="600" t="n">
        <x:v>0.85</x:v>
      </x:c>
      <x:c r="AW170" s="595" t="n">
        <x:v>46283.33365373842</x:v>
      </x:c>
      <x:c r="AX170" s="595" t="inlineStr">
        <x:is>
          <x:t xml:space="preserve">https://simondongxiao.github.io/odds/v4/</x:t>
        </x:is>
      </x:c>
      <x:c r="AY170" s="595" t="inlineStr">
        <x:is>
          <x:t xml:space="preserve">V4 Shadow Only；real_money=false；比分差异详见记录审计</x:t>
        </x:is>
      </x:c>
    </x:row>
    <x:row r="171" ht="22" customHeight="1">
      <x:c r="A171" s="595" t="inlineStr">
        <x:is>
          <x:t xml:space="preserve">2026-09-18</x:t>
        </x:is>
      </x:c>
      <x:c r="B171" s="595" t="inlineStr">
        <x:is>
          <x:t xml:space="preserve">2026-09-19 02:00</x:t>
        </x:is>
      </x:c>
      <x:c r="C171" s="595" t="str">
        <x:v>欧洲非五大系列</x:v>
      </x:c>
      <x:c r="D171" s="595" t="inlineStr">
        <x:is>
          <x:t xml:space="preserve">联赛</x:t>
        </x:is>
      </x:c>
      <x:c r="E171" s="595" t="inlineStr">
        <x:is>
          <x:t xml:space="preserve">罗甲</x:t>
        </x:is>
      </x:c>
      <x:c r="F171" s="595" t="inlineStr">
        <x:is>
          <x:t xml:space="preserve">布加勒斯特快速 vs 阿格斯</x:t>
        </x:is>
      </x:c>
      <x:c r="G171" s="596" t="n">
        <x:v>0.78</x:v>
      </x:c>
      <x:c r="H171" s="596" t="n">
        <x:v>0.75</x:v>
      </x:c>
      <x:c r="I171" s="596" t="n">
        <x:v>1.11</x:v>
      </x:c>
      <x:c r="J171" s="596" t="inlineStr">
        <x:is>
          <x:t xml:space="preserve">0.78/0.75/1.11</x:t>
        </x:is>
      </x:c>
      <x:c r="K171" s="595" t="inlineStr">
        <x:is>
          <x:t xml:space="preserve">V4-C｜EV +0.0611</x:t>
        </x:is>
      </x:c>
      <x:c r="L171" s="595" t="inlineStr">
        <x:is>
          <x:t xml:space="preserve">阿格斯</x:t>
        </x:is>
      </x:c>
      <x:c r="M171" s="597" t="n">
        <x:v>0.5071770334928229</x:v>
      </x:c>
      <x:c r="N171" s="595" t="inlineStr">
        <x:is>
          <x:t xml:space="preserve">V4纸面入选-C</x:t>
        </x:is>
      </x:c>
      <x:c r="O171" s="595" t="inlineStr">
        <x:is>
          <x:t xml:space="preserve">3-1</x:t>
        </x:is>
      </x:c>
      <x:c r="P171" s="595" t="inlineStr">
        <x:is>
          <x:t xml:space="preserve">已结算</x:t>
        </x:is>
      </x:c>
      <x:c r="Q171" s="641" t="inlineStr">
        <x:is>
          <x:t xml:space="preserve">黑</x:t>
        </x:is>
      </x:c>
      <x:c r="R171" s="599" t="n">
        <x:v>1.11</x:v>
      </x:c>
      <x:c r="S171" s="599" t="n">
        <x:f>IF(OR(Q171="",Q171="待结算"),"",IF(Q171="红",R171,IF(Q171="半红",R171*0.5,IF(Q171="走",0,IF(Q171="半黑",-0.5,-1)))))</x:f>
        <x:v>-1</x:v>
      </x:c>
      <x:c r="T171" s="595" t="inlineStr">
        <x:is>
          <x:t xml:space="preserve">https://zq.titan007.com/analysis/3010428cn.htm</x:t>
        </x:is>
      </x:c>
      <x:c r="U171" s="640" t="str">
        <x:f>IF(Q171="","",IF(Q171="待结算","待结算",IF(Q171="红","黑",IF(Q171="半红","半黑",IF(Q171="走","走",IF(Q171="半黑","半红","红"))))))</x:f>
        <x:v>红</x:v>
      </x:c>
      <x:c r="V171" s="599" t="n">
        <x:f>IF(OR(Q171="",Q171="待结算"),"",IF(L171=LEFT(F171,FIND(" vs ",F171)-1),I171,G171))</x:f>
        <x:v>0.78</x:v>
      </x:c>
      <x:c r="W171" s="599" t="n">
        <x:f>IF(OR(U171="",U171="待结算"),"",IF(U171="红",V171,IF(U171="半红",V171*0.5,IF(U171="走",0,IF(U171="半黑",-0.5,-1)))))</x:f>
        <x:v>0.78</x:v>
      </x:c>
      <x:c r="X171" s="595" t="inlineStr">
        <x:is>
          <x:t xml:space="preserve">3010428</x:t>
        </x:is>
      </x:c>
      <x:c r="Y171" s="595" t="inlineStr">
        <x:is>
          <x:t xml:space="preserve">v4-market-dirichlet-20260913</x:t>
        </x:is>
      </x:c>
      <x:c r="Z171" s="595" t="inlineStr">
        <x:is>
          <x:t xml:space="preserve">prior-2026-09-18-v1</x:t>
        </x:is>
      </x:c>
      <x:c r="AA171" s="595" t="inlineStr">
        <x:is>
          <x:t xml:space="preserve">C</x:t>
        </x:is>
      </x:c>
      <x:c r="AB171" s="600" t="n">
        <x:v>0.4416666666666667</x:v>
      </x:c>
      <x:c r="AC171" s="600" t="n">
        <x:v>0</x:v>
      </x:c>
      <x:c r="AD171" s="600" t="n">
        <x:v>0</x:v>
      </x:c>
      <x:c r="AE171" s="600" t="n">
        <x:v>0.2583333333333334</x:v>
      </x:c>
      <x:c r="AF171" s="600" t="n">
        <x:v>0.3</x:v>
      </x:c>
      <x:c r="AG171" s="600" t="n">
        <x:v>0.06108333333333332</x:v>
      </x:c>
      <x:c r="AH171" s="600" t="n">
        <x:v>-0.07789307070814336</x:v>
      </x:c>
      <x:c r="AI171" s="600" t="n">
        <x:v>-0.0487491365350175</x:v>
      </x:c>
      <x:c r="AJ171" s="600" t="n">
        <x:v>0.06136009329109077</x:v>
      </x:c>
      <x:c r="AK171" s="600" t="n">
        <x:v>0.1737120963912719</x:v>
      </x:c>
      <x:c r="AL171" s="600" t="n">
        <x:v>0.2059740371282394</x:v>
      </x:c>
      <x:c r="AM171" s="600" t="n">
        <x:v>0.7672</x:v>
      </x:c>
      <x:c r="AN171" s="595" t="inlineStr">
        <x:is>
          <x:t xml:space="preserve">EVALUATED</x:t>
        </x:is>
      </x:c>
      <x:c r="AO171" s="600" t="inlineStr">
        <x:is>
          <x:t xml:space="preserve">BUCKET_0.75、SIDE_IDENTITY_VALID、FLAT_LINE_GIVING_WATER_DROP</x:t>
        </x:is>
      </x:c>
      <x:c r="AP171" s="600" t="inlineStr">
        <x:is>
          <x:t xml:space="preserve">4fed898a9025ef7eff54</x:t>
        </x:is>
      </x:c>
      <x:c r="AQ171" s="600" t="n">
        <x:v>0.75</x:v>
      </x:c>
      <x:c r="AR171" s="600" t="n">
        <x:v>1.11</x:v>
      </x:c>
      <x:c r="AS171" s="600" t="n">
        <x:v>-0.75</x:v>
      </x:c>
      <x:c r="AT171" s="600" t="n">
        <x:v>0.75</x:v>
      </x:c>
      <x:c r="AU171" s="600" t="n">
        <x:v>0.78</x:v>
      </x:c>
      <x:c r="AV171" s="600" t="n">
        <x:v>1.11</x:v>
      </x:c>
      <x:c r="AW171" s="595" t="n">
        <x:v>46283.33365373842</x:v>
      </x:c>
      <x:c r="AX171" s="595" t="inlineStr">
        <x:is>
          <x:t xml:space="preserve">https://simondongxiao.github.io/odds/v4/</x:t>
        </x:is>
      </x:c>
      <x:c r="AY171" s="595" t="inlineStr">
        <x:is>
          <x:t xml:space="preserve">V4 Shadow Only；real_money=false；比分差异详见记录审计</x:t>
        </x:is>
      </x:c>
    </x:row>
    <x:row r="172" ht="22" customHeight="1">
      <x:c r="A172" s="595" t="inlineStr">
        <x:is>
          <x:t xml:space="preserve">2026-09-18</x:t>
        </x:is>
      </x:c>
      <x:c r="B172" s="595" t="inlineStr">
        <x:is>
          <x:t xml:space="preserve">2026-09-19 02:00</x:t>
        </x:is>
      </x:c>
      <x:c r="C172" s="595" t="str">
        <x:v>欧洲非五大系列</x:v>
      </x:c>
      <x:c r="D172" s="595" t="inlineStr">
        <x:is>
          <x:t xml:space="preserve">联赛</x:t>
        </x:is>
      </x:c>
      <x:c r="E172" s="595" t="inlineStr">
        <x:is>
          <x:t xml:space="preserve">荷乙</x:t>
        </x:is>
      </x:c>
      <x:c r="F172" s="595" t="inlineStr">
        <x:is>
          <x:t xml:space="preserve">阿尔梅勒城 vs 赫拉克勒斯</x:t>
        </x:is>
      </x:c>
      <x:c r="G172" s="596" t="n">
        <x:v>0.85</x:v>
      </x:c>
      <x:c r="H172" s="596" t="n">
        <x:v>-0.5</x:v>
      </x:c>
      <x:c r="I172" s="596" t="n">
        <x:v>1.03</x:v>
      </x:c>
      <x:c r="J172" s="596" t="inlineStr">
        <x:is>
          <x:t xml:space="preserve">0.85/-0.5/1.03</x:t>
        </x:is>
      </x:c>
      <x:c r="K172" s="595" t="inlineStr">
        <x:is>
          <x:t xml:space="preserve">V4-C｜EV +0.0092</x:t>
        </x:is>
      </x:c>
      <x:c r="L172" s="595" t="inlineStr">
        <x:is>
          <x:t xml:space="preserve">赫拉克勒斯</x:t>
        </x:is>
      </x:c>
      <x:c r="M172" s="597" t="n">
        <x:v>0.4971428571428572</x:v>
      </x:c>
      <x:c r="N172" s="595" t="inlineStr">
        <x:is>
          <x:t xml:space="preserve">V4纸面入选-C</x:t>
        </x:is>
      </x:c>
      <x:c r="O172" s="595" t="inlineStr">
        <x:is>
          <x:t xml:space="preserve">1-0</x:t>
        </x:is>
      </x:c>
      <x:c r="P172" s="595" t="inlineStr">
        <x:is>
          <x:t xml:space="preserve">已结算</x:t>
        </x:is>
      </x:c>
      <x:c r="Q172" s="641" t="inlineStr">
        <x:is>
          <x:t xml:space="preserve">黑</x:t>
        </x:is>
      </x:c>
      <x:c r="R172" s="599" t="n">
        <x:v>1.03</x:v>
      </x:c>
      <x:c r="S172" s="599" t="n">
        <x:f>IF(OR(Q172="",Q172="待结算"),"",IF(Q172="红",R172,IF(Q172="半红",R172*0.5,IF(Q172="走",0,IF(Q172="半黑",-0.5,-1)))))</x:f>
        <x:v>-1</x:v>
      </x:c>
      <x:c r="T172" s="595" t="inlineStr">
        <x:is>
          <x:t xml:space="preserve">https://zq.titan007.com/analysis/2996464cn.htm</x:t>
        </x:is>
      </x:c>
      <x:c r="U172" s="640" t="str">
        <x:f>IF(Q172="","",IF(Q172="待结算","待结算",IF(Q172="红","黑",IF(Q172="半红","半黑",IF(Q172="走","走",IF(Q172="半黑","半红","红"))))))</x:f>
        <x:v>红</x:v>
      </x:c>
      <x:c r="V172" s="599" t="n">
        <x:f>IF(OR(Q172="",Q172="待结算"),"",IF(L172=LEFT(F172,FIND(" vs ",F172)-1),I172,G172))</x:f>
        <x:v>0.85</x:v>
      </x:c>
      <x:c r="W172" s="599" t="n">
        <x:f>IF(OR(U172="",U172="待结算"),"",IF(U172="红",V172,IF(U172="半红",V172*0.5,IF(U172="走",0,IF(U172="半黑",-0.5,-1)))))</x:f>
        <x:v>0.85</x:v>
      </x:c>
      <x:c r="X172" s="595" t="inlineStr">
        <x:is>
          <x:t xml:space="preserve">2996464</x:t>
        </x:is>
      </x:c>
      <x:c r="Y172" s="595" t="inlineStr">
        <x:is>
          <x:t xml:space="preserve">v4-market-dirichlet-20260913</x:t>
        </x:is>
      </x:c>
      <x:c r="Z172" s="595" t="inlineStr">
        <x:is>
          <x:t xml:space="preserve">prior-2026-09-18-v1</x:t>
        </x:is>
      </x:c>
      <x:c r="AA172" s="595" t="inlineStr">
        <x:is>
          <x:t xml:space="preserve">C</x:t>
        </x:is>
      </x:c>
      <x:c r="AB172" s="600" t="n">
        <x:v>0.4971428571428572</x:v>
      </x:c>
      <x:c r="AC172" s="600" t="n">
        <x:v>0</x:v>
      </x:c>
      <x:c r="AD172" s="600" t="n">
        <x:v>0</x:v>
      </x:c>
      <x:c r="AE172" s="600" t="n">
        <x:v>0</x:v>
      </x:c>
      <x:c r="AF172" s="600" t="n">
        <x:v>0.5028571428571429</x:v>
      </x:c>
      <x:c r="AG172" s="600" t="n">
        <x:v>0.009199999999999986</x:v>
      </x:c>
      <x:c r="AH172" s="600" t="n">
        <x:v>-0.1148362820644503</x:v>
      </x:c>
      <x:c r="AI172" s="600" t="n">
        <x:v>-0.08836429554301883</x:v>
      </x:c>
      <x:c r="AJ172" s="600" t="n">
        <x:v>0.01134779551356613</x:v>
      </x:c>
      <x:c r="AK172" s="600" t="n">
        <x:v>0.1111017127612274</x:v>
      </x:c>
      <x:c r="AL172" s="600" t="n">
        <x:v>0.1368805935338727</x:v>
      </x:c>
      <x:c r="AM172" s="600" t="n">
        <x:v>0.5574</x:v>
      </x:c>
      <x:c r="AN172" s="595" t="inlineStr">
        <x:is>
          <x:t xml:space="preserve">EVALUATED</x:t>
        </x:is>
      </x:c>
      <x:c r="AO172" s="600" t="inlineStr">
        <x:is>
          <x:t xml:space="preserve">BUCKET_0.50、SIDE_IDENTITY_VALID、MARKET_MOVE_DEEPER_WITH_GIVING_WATER_RISE</x:t>
        </x:is>
      </x:c>
      <x:c r="AP172" s="600" t="inlineStr">
        <x:is>
          <x:t xml:space="preserve">d4a09d77f7c46d308833</x:t>
        </x:is>
      </x:c>
      <x:c r="AQ172" s="600" t="n">
        <x:v>-0.5</x:v>
      </x:c>
      <x:c r="AR172" s="600" t="n">
        <x:v>1.03</x:v>
      </x:c>
      <x:c r="AS172" s="600" t="n">
        <x:v>0.5</x:v>
      </x:c>
      <x:c r="AT172" s="600" t="n">
        <x:v>-0.5</x:v>
      </x:c>
      <x:c r="AU172" s="600" t="n">
        <x:v>0.85</x:v>
      </x:c>
      <x:c r="AV172" s="600" t="n">
        <x:v>1.03</x:v>
      </x:c>
      <x:c r="AW172" s="595" t="n">
        <x:v>46283.33365373842</x:v>
      </x:c>
      <x:c r="AX172" s="595" t="inlineStr">
        <x:is>
          <x:t xml:space="preserve">https://simondongxiao.github.io/odds/v4/</x:t>
        </x:is>
      </x:c>
      <x:c r="AY172" s="595" t="inlineStr">
        <x:is>
          <x:t xml:space="preserve">V4 Shadow Only；real_money=false；比分差异详见记录审计</x:t>
        </x:is>
      </x:c>
    </x:row>
    <x:row r="173" ht="22" customHeight="1">
      <x:c r="A173" s="595" t="inlineStr">
        <x:is>
          <x:t xml:space="preserve">2026-09-18</x:t>
        </x:is>
      </x:c>
      <x:c r="B173" s="595" t="inlineStr">
        <x:is>
          <x:t xml:space="preserve">2026-09-19 02:00</x:t>
        </x:is>
      </x:c>
      <x:c r="C173" s="595" t="str">
        <x:v>欧洲非五大系列</x:v>
      </x:c>
      <x:c r="D173" s="595" t="inlineStr">
        <x:is>
          <x:t xml:space="preserve">联赛</x:t>
        </x:is>
      </x:c>
      <x:c r="E173" s="595" t="inlineStr">
        <x:is>
          <x:t xml:space="preserve">荷乙</x:t>
        </x:is>
      </x:c>
      <x:c r="F173" s="595" t="inlineStr">
        <x:is>
          <x:t xml:space="preserve">邓伯什 vs 赫尔蒙德</x:t>
        </x:is>
      </x:c>
      <x:c r="G173" s="596" t="n">
        <x:v>0.86</x:v>
      </x:c>
      <x:c r="H173" s="596" t="n">
        <x:v>0.5</x:v>
      </x:c>
      <x:c r="I173" s="596" t="n">
        <x:v>1.02</x:v>
      </x:c>
      <x:c r="J173" s="596" t="inlineStr">
        <x:is>
          <x:t xml:space="preserve">0.86/0.5/1.02</x:t>
        </x:is>
      </x:c>
      <x:c r="K173" s="595" t="inlineStr">
        <x:is>
          <x:t xml:space="preserve">V4-C｜EV +0.0158</x:t>
        </x:is>
      </x:c>
      <x:c r="L173" s="595" t="inlineStr">
        <x:is>
          <x:t xml:space="preserve">赫尔蒙德</x:t>
        </x:is>
      </x:c>
      <x:c r="M173" s="597" t="n">
        <x:v>0.5028571428571429</x:v>
      </x:c>
      <x:c r="N173" s="595" t="inlineStr">
        <x:is>
          <x:t xml:space="preserve">V4纸面入选-C</x:t>
        </x:is>
      </x:c>
      <x:c r="O173" s="595" t="inlineStr">
        <x:is>
          <x:t xml:space="preserve">2-1</x:t>
        </x:is>
      </x:c>
      <x:c r="P173" s="595" t="inlineStr">
        <x:is>
          <x:t xml:space="preserve">已结算</x:t>
        </x:is>
      </x:c>
      <x:c r="Q173" s="641" t="inlineStr">
        <x:is>
          <x:t xml:space="preserve">黑</x:t>
        </x:is>
      </x:c>
      <x:c r="R173" s="599" t="n">
        <x:v>1.02</x:v>
      </x:c>
      <x:c r="S173" s="599" t="n">
        <x:f>IF(OR(Q173="",Q173="待结算"),"",IF(Q173="红",R173,IF(Q173="半红",R173*0.5,IF(Q173="走",0,IF(Q173="半黑",-0.5,-1)))))</x:f>
        <x:v>-1</x:v>
      </x:c>
      <x:c r="T173" s="595" t="inlineStr">
        <x:is>
          <x:t xml:space="preserve">https://zq.titan007.com/analysis/2996465cn.htm</x:t>
        </x:is>
      </x:c>
      <x:c r="U173" s="640" t="str">
        <x:f>IF(Q173="","",IF(Q173="待结算","待结算",IF(Q173="红","黑",IF(Q173="半红","半黑",IF(Q173="走","走",IF(Q173="半黑","半红","红"))))))</x:f>
        <x:v>红</x:v>
      </x:c>
      <x:c r="V173" s="599" t="n">
        <x:f>IF(OR(Q173="",Q173="待结算"),"",IF(L173=LEFT(F173,FIND(" vs ",F173)-1),I173,G173))</x:f>
        <x:v>0.86</x:v>
      </x:c>
      <x:c r="W173" s="599" t="n">
        <x:f>IF(OR(U173="",U173="待结算"),"",IF(U173="红",V173,IF(U173="半红",V173*0.5,IF(U173="走",0,IF(U173="半黑",-0.5,-1)))))</x:f>
        <x:v>0.86</x:v>
      </x:c>
      <x:c r="X173" s="595" t="inlineStr">
        <x:is>
          <x:t xml:space="preserve">2996465</x:t>
        </x:is>
      </x:c>
      <x:c r="Y173" s="595" t="inlineStr">
        <x:is>
          <x:t xml:space="preserve">v4-market-dirichlet-20260913</x:t>
        </x:is>
      </x:c>
      <x:c r="Z173" s="595" t="inlineStr">
        <x:is>
          <x:t xml:space="preserve">prior-2026-09-18-v1</x:t>
        </x:is>
      </x:c>
      <x:c r="AA173" s="595" t="inlineStr">
        <x:is>
          <x:t xml:space="preserve">C</x:t>
        </x:is>
      </x:c>
      <x:c r="AB173" s="600" t="n">
        <x:v>0.5028571428571429</x:v>
      </x:c>
      <x:c r="AC173" s="600" t="n">
        <x:v>0</x:v>
      </x:c>
      <x:c r="AD173" s="600" t="n">
        <x:v>0</x:v>
      </x:c>
      <x:c r="AE173" s="600" t="n">
        <x:v>0</x:v>
      </x:c>
      <x:c r="AF173" s="600" t="n">
        <x:v>0.4971428571428572</x:v>
      </x:c>
      <x:c r="AG173" s="600" t="n">
        <x:v>0.0157714285714286</x:v>
      </x:c>
      <x:c r="AH173" s="600" t="n">
        <x:v>-0.1118318580219367</x:v>
      </x:c>
      <x:c r="AI173" s="600" t="n">
        <x:v>-0.08507569582589958</x:v>
      </x:c>
      <x:c r="AJ173" s="600" t="n">
        <x:v>0.01607894310145241</x:v>
      </x:c>
      <x:c r="AK173" s="600" t="n">
        <x:v>0.1152598174698268</x:v>
      </x:c>
      <x:c r="AL173" s="600" t="n">
        <x:v>0.141179313599204</x:v>
      </x:c>
      <x:c r="AM173" s="600" t="n">
        <x:v>0.5822000000000001</x:v>
      </x:c>
      <x:c r="AN173" s="595" t="inlineStr">
        <x:is>
          <x:t xml:space="preserve">EVALUATED</x:t>
        </x:is>
      </x:c>
      <x:c r="AO173" s="600" t="inlineStr">
        <x:is>
          <x:t xml:space="preserve">BUCKET_0.50、SIDE_IDENTITY_VALID、MARKET_MOVE_SHALLOWER_WITH_GIVING_WATER_RESISTANCE</x:t>
        </x:is>
      </x:c>
      <x:c r="AP173" s="600" t="inlineStr">
        <x:is>
          <x:t xml:space="preserve">b3b709c649481fd53372</x:t>
        </x:is>
      </x:c>
      <x:c r="AQ173" s="600" t="n">
        <x:v>0.5</x:v>
      </x:c>
      <x:c r="AR173" s="600" t="n">
        <x:v>1.02</x:v>
      </x:c>
      <x:c r="AS173" s="600" t="n">
        <x:v>-0.5</x:v>
      </x:c>
      <x:c r="AT173" s="600" t="n">
        <x:v>0.5</x:v>
      </x:c>
      <x:c r="AU173" s="600" t="n">
        <x:v>0.86</x:v>
      </x:c>
      <x:c r="AV173" s="600" t="n">
        <x:v>1.02</x:v>
      </x:c>
      <x:c r="AW173" s="595" t="n">
        <x:v>46283.33365373842</x:v>
      </x:c>
      <x:c r="AX173" s="595" t="inlineStr">
        <x:is>
          <x:t xml:space="preserve">https://simondongxiao.github.io/odds/v4/</x:t>
        </x:is>
      </x:c>
      <x:c r="AY173" s="595" t="inlineStr">
        <x:is>
          <x:t xml:space="preserve">V4 Shadow Only；real_money=false；比分差异详见记录审计</x:t>
        </x:is>
      </x:c>
    </x:row>
    <x:row r="174" ht="22" customHeight="1">
      <x:c r="A174" s="595" t="inlineStr">
        <x:is>
          <x:t xml:space="preserve">2026-09-18</x:t>
        </x:is>
      </x:c>
      <x:c r="B174" s="595" t="inlineStr">
        <x:is>
          <x:t xml:space="preserve">2026-09-19 02:00</x:t>
        </x:is>
      </x:c>
      <x:c r="C174" s="595" t="str">
        <x:v>欧洲非五大系列</x:v>
      </x:c>
      <x:c r="D174" s="595" t="inlineStr">
        <x:is>
          <x:t xml:space="preserve">联赛</x:t>
        </x:is>
      </x:c>
      <x:c r="E174" s="595" t="inlineStr">
        <x:is>
          <x:t xml:space="preserve">比乙</x:t>
        </x:is>
      </x:c>
      <x:c r="F174" s="595" t="inlineStr">
        <x:is>
          <x:t xml:space="preserve">布鲁日B队 vs 根特B队</x:t>
        </x:is>
      </x:c>
      <x:c r="G174" s="596" t="n">
        <x:v>1.07</x:v>
      </x:c>
      <x:c r="H174" s="596" t="n">
        <x:v>0.5</x:v>
      </x:c>
      <x:c r="I174" s="596" t="n">
        <x:v>0.75</x:v>
      </x:c>
      <x:c r="J174" s="596" t="inlineStr">
        <x:is>
          <x:t xml:space="preserve">1.07/0.5/0.75</x:t>
        </x:is>
      </x:c>
      <x:c r="K174" s="595" t="inlineStr">
        <x:is>
          <x:t xml:space="preserve">V4-C｜EV +0.0291</x:t>
        </x:is>
      </x:c>
      <x:c r="L174" s="595" t="inlineStr">
        <x:is>
          <x:t xml:space="preserve">布鲁日B队</x:t>
        </x:is>
      </x:c>
      <x:c r="M174" s="597" t="n">
        <x:v>0.4971428571428572</x:v>
      </x:c>
      <x:c r="N174" s="595" t="inlineStr">
        <x:is>
          <x:t xml:space="preserve">V4纸面入选-C</x:t>
        </x:is>
      </x:c>
      <x:c r="O174" s="595" t="inlineStr">
        <x:is>
          <x:t xml:space="preserve">2-2</x:t>
        </x:is>
      </x:c>
      <x:c r="P174" s="595" t="inlineStr">
        <x:is>
          <x:t xml:space="preserve">已结算</x:t>
        </x:is>
      </x:c>
      <x:c r="Q174" s="641" t="inlineStr">
        <x:is>
          <x:t xml:space="preserve">黑</x:t>
        </x:is>
      </x:c>
      <x:c r="R174" s="599" t="n">
        <x:v>1.07</x:v>
      </x:c>
      <x:c r="S174" s="599" t="n">
        <x:f>IF(OR(Q174="",Q174="待结算"),"",IF(Q174="红",R174,IF(Q174="半红",R174*0.5,IF(Q174="走",0,IF(Q174="半黑",-0.5,-1)))))</x:f>
        <x:v>-1</x:v>
      </x:c>
      <x:c r="T174" s="595" t="inlineStr">
        <x:is>
          <x:t xml:space="preserve">https://zq.titan007.com/analysis/3005392cn.htm</x:t>
        </x:is>
      </x:c>
      <x:c r="U174" s="640" t="str">
        <x:f>IF(Q174="","",IF(Q174="待结算","待结算",IF(Q174="红","黑",IF(Q174="半红","半黑",IF(Q174="走","走",IF(Q174="半黑","半红","红"))))))</x:f>
        <x:v>红</x:v>
      </x:c>
      <x:c r="V174" s="599" t="n">
        <x:f>IF(OR(Q174="",Q174="待结算"),"",IF(L174=LEFT(F174,FIND(" vs ",F174)-1),I174,G174))</x:f>
        <x:v>0.75</x:v>
      </x:c>
      <x:c r="W174" s="599" t="n">
        <x:f>IF(OR(U174="",U174="待结算"),"",IF(U174="红",V174,IF(U174="半红",V174*0.5,IF(U174="走",0,IF(U174="半黑",-0.5,-1)))))</x:f>
        <x:v>0.75</x:v>
      </x:c>
      <x:c r="X174" s="595" t="inlineStr">
        <x:is>
          <x:t xml:space="preserve">3005392</x:t>
        </x:is>
      </x:c>
      <x:c r="Y174" s="595" t="inlineStr">
        <x:is>
          <x:t xml:space="preserve">v4-market-dirichlet-20260913</x:t>
        </x:is>
      </x:c>
      <x:c r="Z174" s="595" t="inlineStr">
        <x:is>
          <x:t xml:space="preserve">prior-2026-09-18-v1</x:t>
        </x:is>
      </x:c>
      <x:c r="AA174" s="595" t="inlineStr">
        <x:is>
          <x:t xml:space="preserve">C</x:t>
        </x:is>
      </x:c>
      <x:c r="AB174" s="600" t="n">
        <x:v>0.4971428571428572</x:v>
      </x:c>
      <x:c r="AC174" s="600" t="n">
        <x:v>0</x:v>
      </x:c>
      <x:c r="AD174" s="600" t="n">
        <x:v>0</x:v>
      </x:c>
      <x:c r="AE174" s="600" t="n">
        <x:v>0</x:v>
      </x:c>
      <x:c r="AF174" s="600" t="n">
        <x:v>0.5028571428571429</x:v>
      </x:c>
      <x:c r="AG174" s="600" t="n">
        <x:v>0.02908571428571427</x:v>
      </x:c>
      <x:c r="AH174" s="600" t="n">
        <x:v>-0.09867597016952312</x:v>
      </x:c>
      <x:c r="AI174" s="600" t="n">
        <x:v>-0.07060495795827332</x:v>
      </x:c>
      <x:c r="AJ174" s="600" t="n">
        <x:v>0.02963908164655293</x:v>
      </x:c>
      <x:c r="AK174" s="600" t="n">
        <x:v>0.131055588020023</x:v>
      </x:c>
      <x:c r="AL174" s="600" t="n">
        <x:v>0.1583318096143246</x:v>
      </x:c>
      <x:c r="AM174" s="600" t="n">
        <x:v>0.6384</x:v>
      </x:c>
      <x:c r="AN174" s="595" t="inlineStr">
        <x:is>
          <x:t xml:space="preserve">EVALUATED</x:t>
        </x:is>
      </x:c>
      <x:c r="AO174" s="600" t="inlineStr">
        <x:is>
          <x:t xml:space="preserve">BUCKET_0.50、SIDE_IDENTITY_VALID、MARKET_MOVE_DEEPER_WITH_GIVING_WATER_RISE</x:t>
        </x:is>
      </x:c>
      <x:c r="AP174" s="600" t="inlineStr">
        <x:is>
          <x:t xml:space="preserve">0374733005062c8005be</x:t>
        </x:is>
      </x:c>
      <x:c r="AQ174" s="600" t="n">
        <x:v>-0.5</x:v>
      </x:c>
      <x:c r="AR174" s="600" t="n">
        <x:v>1.07</x:v>
      </x:c>
      <x:c r="AS174" s="600" t="n">
        <x:v>-0.5</x:v>
      </x:c>
      <x:c r="AT174" s="600" t="n">
        <x:v>0.5</x:v>
      </x:c>
      <x:c r="AU174" s="600" t="n">
        <x:v>1.07</x:v>
      </x:c>
      <x:c r="AV174" s="600" t="n">
        <x:v>0.75</x:v>
      </x:c>
      <x:c r="AW174" s="595" t="n">
        <x:v>46283.33365373842</x:v>
      </x:c>
      <x:c r="AX174" s="595" t="inlineStr">
        <x:is>
          <x:t xml:space="preserve">https://simondongxiao.github.io/odds/v4/</x:t>
        </x:is>
      </x:c>
      <x:c r="AY174" s="595" t="inlineStr">
        <x:is>
          <x:t xml:space="preserve">V4 Shadow Only；real_money=false；比分差异详见记录审计</x:t>
        </x:is>
      </x:c>
    </x:row>
    <x:row r="175" ht="22" customHeight="1">
      <x:c r="A175" s="595" t="inlineStr">
        <x:is>
          <x:t xml:space="preserve">2026-09-18</x:t>
        </x:is>
      </x:c>
      <x:c r="B175" s="595" t="inlineStr">
        <x:is>
          <x:t xml:space="preserve">2026-09-19 02:15</x:t>
        </x:is>
      </x:c>
      <x:c r="C175" s="595" t="str">
        <x:v>欧洲非五大系列</x:v>
      </x:c>
      <x:c r="D175" s="595" t="inlineStr">
        <x:is>
          <x:t xml:space="preserve">联赛</x:t>
        </x:is>
      </x:c>
      <x:c r="E175" s="595" t="inlineStr">
        <x:is>
          <x:t xml:space="preserve">瑞士甲</x:t>
        </x:is>
      </x:c>
      <x:c r="F175" s="595" t="inlineStr">
        <x:is>
          <x:t xml:space="preserve">温特图尔 vs 阿劳</x:t>
        </x:is>
      </x:c>
      <x:c r="G175" s="596" t="n">
        <x:v>0.8</x:v>
      </x:c>
      <x:c r="H175" s="596" t="n">
        <x:v>0.25</x:v>
      </x:c>
      <x:c r="I175" s="596" t="n">
        <x:v>1.02</x:v>
      </x:c>
      <x:c r="J175" s="596" t="inlineStr">
        <x:is>
          <x:t xml:space="preserve">0.80/0.25/1.02</x:t>
        </x:is>
      </x:c>
      <x:c r="K175" s="595" t="inlineStr">
        <x:is>
          <x:t xml:space="preserve">V4-C｜EV +0.0102</x:t>
        </x:is>
      </x:c>
      <x:c r="L175" s="595" t="inlineStr">
        <x:is>
          <x:t xml:space="preserve">阿劳</x:t>
        </x:is>
      </x:c>
      <x:c r="M175" s="597" t="n">
        <x:v>0.5010224948875256</x:v>
      </x:c>
      <x:c r="N175" s="595" t="inlineStr">
        <x:is>
          <x:t xml:space="preserve">V4纸面入选-C</x:t>
        </x:is>
      </x:c>
      <x:c r="O175" s="595" t="inlineStr">
        <x:is>
          <x:t xml:space="preserve">2-1</x:t>
        </x:is>
      </x:c>
      <x:c r="P175" s="595" t="inlineStr">
        <x:is>
          <x:t xml:space="preserve">已结算</x:t>
        </x:is>
      </x:c>
      <x:c r="Q175" s="641" t="inlineStr">
        <x:is>
          <x:t xml:space="preserve">黑</x:t>
        </x:is>
      </x:c>
      <x:c r="R175" s="599" t="n">
        <x:v>1.02</x:v>
      </x:c>
      <x:c r="S175" s="599" t="n">
        <x:f>IF(OR(Q175="",Q175="待结算"),"",IF(Q175="红",R175,IF(Q175="半红",R175*0.5,IF(Q175="走",0,IF(Q175="半黑",-0.5,-1)))))</x:f>
        <x:v>-1</x:v>
      </x:c>
      <x:c r="T175" s="595" t="inlineStr">
        <x:is>
          <x:t xml:space="preserve">https://zq.titan007.com/analysis/3000948cn.htm</x:t>
        </x:is>
      </x:c>
      <x:c r="U175" s="640" t="str">
        <x:f>IF(Q175="","",IF(Q175="待结算","待结算",IF(Q175="红","黑",IF(Q175="半红","半黑",IF(Q175="走","走",IF(Q175="半黑","半红","红"))))))</x:f>
        <x:v>红</x:v>
      </x:c>
      <x:c r="V175" s="599" t="n">
        <x:f>IF(OR(Q175="",Q175="待结算"),"",IF(L175=LEFT(F175,FIND(" vs ",F175)-1),I175,G175))</x:f>
        <x:v>0.8</x:v>
      </x:c>
      <x:c r="W175" s="599" t="n">
        <x:f>IF(OR(U175="",U175="待结算"),"",IF(U175="红",V175,IF(U175="半红",V175*0.5,IF(U175="走",0,IF(U175="半黑",-0.5,-1)))))</x:f>
        <x:v>0.8</x:v>
      </x:c>
      <x:c r="X175" s="595" t="inlineStr">
        <x:is>
          <x:t xml:space="preserve">3000948</x:t>
        </x:is>
      </x:c>
      <x:c r="Y175" s="595" t="inlineStr">
        <x:is>
          <x:t xml:space="preserve">v4-market-dirichlet-20260913</x:t>
        </x:is>
      </x:c>
      <x:c r="Z175" s="595" t="inlineStr">
        <x:is>
          <x:t xml:space="preserve">prior-2026-09-18-v1</x:t>
        </x:is>
      </x:c>
      <x:c r="AA175" s="595" t="inlineStr">
        <x:is>
          <x:t xml:space="preserve">C</x:t>
        </x:is>
      </x:c>
      <x:c r="AB175" s="600" t="n">
        <x:v>0.2743055555555556</x:v>
      </x:c>
      <x:c r="AC175" s="600" t="n">
        <x:v>0.3020833333333333</x:v>
      </x:c>
      <x:c r="AD175" s="600" t="n">
        <x:v>0</x:v>
      </x:c>
      <x:c r="AE175" s="600" t="n">
        <x:v>0</x:v>
      </x:c>
      <x:c r="AF175" s="600" t="n">
        <x:v>0.4236111111111111</x:v>
      </x:c>
      <x:c r="AG175" s="600" t="n">
        <x:v>0.0102430555555556</x:v>
      </x:c>
      <x:c r="AH175" s="600" t="n">
        <x:v>-0.07541376367532471</x:v>
      </x:c>
      <x:c r="AI175" s="600" t="n">
        <x:v>-0.05708566707832835</x:v>
      </x:c>
      <x:c r="AJ175" s="600" t="n">
        <x:v>0.00997637431256454</x:v>
      </x:c>
      <x:c r="AK175" s="600" t="n">
        <x:v>0.07653930030021472</x:v>
      </x:c>
      <x:c r="AL175" s="600" t="n">
        <x:v>0.09259425327949206</x:v>
      </x:c>
      <x:c r="AM175" s="600" t="n">
        <x:v>0.5772</x:v>
      </x:c>
      <x:c r="AN175" s="595" t="inlineStr">
        <x:is>
          <x:t xml:space="preserve">EVALUATED</x:t>
        </x:is>
      </x:c>
      <x:c r="AO175" s="600" t="inlineStr">
        <x:is>
          <x:t xml:space="preserve">BUCKET_0.25、SIDE_IDENTITY_VALID、FLAT_LINE_GIVING_WATER_DROP</x:t>
        </x:is>
      </x:c>
      <x:c r="AP175" s="600" t="inlineStr">
        <x:is>
          <x:t xml:space="preserve">570952ca8848c403a2a6</x:t>
        </x:is>
      </x:c>
      <x:c r="AQ175" s="600" t="n">
        <x:v>0.25</x:v>
      </x:c>
      <x:c r="AR175" s="600" t="n">
        <x:v>1.02</x:v>
      </x:c>
      <x:c r="AS175" s="600" t="n">
        <x:v>-0.25</x:v>
      </x:c>
      <x:c r="AT175" s="600" t="n">
        <x:v>0.25</x:v>
      </x:c>
      <x:c r="AU175" s="600" t="n">
        <x:v>0.8</x:v>
      </x:c>
      <x:c r="AV175" s="600" t="n">
        <x:v>1.02</x:v>
      </x:c>
      <x:c r="AW175" s="595" t="n">
        <x:v>46283.33365373842</x:v>
      </x:c>
      <x:c r="AX175" s="595" t="inlineStr">
        <x:is>
          <x:t xml:space="preserve">https://simondongxiao.github.io/odds/v4/</x:t>
        </x:is>
      </x:c>
      <x:c r="AY175" s="595" t="inlineStr">
        <x:is>
          <x:t xml:space="preserve">V4 Shadow Only；real_money=false；比分差异详见记录审计</x:t>
        </x:is>
      </x:c>
    </x:row>
    <x:row r="176" ht="22" customHeight="1">
      <x:c r="A176" s="595" t="inlineStr">
        <x:is>
          <x:t xml:space="preserve">2026-09-18</x:t>
        </x:is>
      </x:c>
      <x:c r="B176" s="595" t="inlineStr">
        <x:is>
          <x:t xml:space="preserve">2026-09-19 02:30</x:t>
        </x:is>
      </x:c>
      <x:c r="C176" s="595" t="str">
        <x:v>欧洲五大系列</x:v>
      </x:c>
      <x:c r="D176" s="595" t="inlineStr">
        <x:is>
          <x:t xml:space="preserve">联赛</x:t>
        </x:is>
      </x:c>
      <x:c r="E176" s="595" t="inlineStr">
        <x:is>
          <x:t xml:space="preserve">德甲</x:t>
        </x:is>
      </x:c>
      <x:c r="F176" s="595" t="inlineStr">
        <x:is>
          <x:t xml:space="preserve">拜仁慕尼黑 vs 柏林联合</x:t>
        </x:is>
      </x:c>
      <x:c r="G176" s="596" t="n">
        <x:v>1.01</x:v>
      </x:c>
      <x:c r="H176" s="596" t="n">
        <x:v>3.75</x:v>
      </x:c>
      <x:c r="I176" s="596" t="n">
        <x:v>0.88</x:v>
      </x:c>
      <x:c r="J176" s="596" t="inlineStr">
        <x:is>
          <x:t xml:space="preserve">1.01/3.75/0.88</x:t>
        </x:is>
      </x:c>
      <x:c r="K176" s="595" t="inlineStr">
        <x:is>
          <x:t xml:space="preserve">V4-A｜EV +0.0832</x:t>
        </x:is>
      </x:c>
      <x:c r="L176" s="595" t="inlineStr">
        <x:is>
          <x:t xml:space="preserve">拜仁慕尼黑</x:t>
        </x:is>
      </x:c>
      <x:c r="M176" s="597" t="n">
        <x:v>0.5401953418482344</x:v>
      </x:c>
      <x:c r="N176" s="595" t="inlineStr">
        <x:is>
          <x:t xml:space="preserve">V4纸面入选-A</x:t>
        </x:is>
      </x:c>
      <x:c r="O176" s="595" t="inlineStr">
        <x:is>
          <x:t xml:space="preserve">7-0</x:t>
        </x:is>
      </x:c>
      <x:c r="P176" s="595" t="inlineStr">
        <x:is>
          <x:t xml:space="preserve">已结算</x:t>
        </x:is>
      </x:c>
      <x:c r="Q176" s="640" t="inlineStr">
        <x:is>
          <x:t xml:space="preserve">红</x:t>
        </x:is>
      </x:c>
      <x:c r="R176" s="599" t="n">
        <x:v>1.01</x:v>
      </x:c>
      <x:c r="S176" s="599" t="n">
        <x:f>IF(OR(Q176="",Q176="待结算"),"",IF(Q176="红",R176,IF(Q176="半红",R176*0.5,IF(Q176="走",0,IF(Q176="半黑",-0.5,-1)))))</x:f>
        <x:v>1.01</x:v>
      </x:c>
      <x:c r="T176" s="595" t="inlineStr">
        <x:is>
          <x:t xml:space="preserve">https://zq.titan007.com/analysis/3018814cn.htm</x:t>
        </x:is>
      </x:c>
      <x:c r="U176" s="641" t="str">
        <x:f>IF(Q176="","",IF(Q176="待结算","待结算",IF(Q176="红","黑",IF(Q176="半红","半黑",IF(Q176="走","走",IF(Q176="半黑","半红","红"))))))</x:f>
        <x:v>黑</x:v>
      </x:c>
      <x:c r="V176" s="599" t="n">
        <x:f>IF(OR(Q176="",Q176="待结算"),"",IF(L176=LEFT(F176,FIND(" vs ",F176)-1),I176,G176))</x:f>
        <x:v>0.88</x:v>
      </x:c>
      <x:c r="W176" s="599" t="n">
        <x:f>IF(OR(U176="",U176="待结算"),"",IF(U176="红",V176,IF(U176="半红",V176*0.5,IF(U176="走",0,IF(U176="半黑",-0.5,-1)))))</x:f>
        <x:v>-1</x:v>
      </x:c>
      <x:c r="X176" s="595" t="inlineStr">
        <x:is>
          <x:t xml:space="preserve">3018814</x:t>
        </x:is>
      </x:c>
      <x:c r="Y176" s="595" t="inlineStr">
        <x:is>
          <x:t xml:space="preserve">v4-market-dirichlet-20260913</x:t>
        </x:is>
      </x:c>
      <x:c r="Z176" s="595" t="inlineStr">
        <x:is>
          <x:t xml:space="preserve">prior-2026-09-18-v1</x:t>
        </x:is>
      </x:c>
      <x:c r="AA176" s="595" t="inlineStr">
        <x:is>
          <x:t xml:space="preserve">A</x:t>
        </x:is>
      </x:c>
      <x:c r="AB176" s="600" t="n">
        <x:v>0.4941690962099126</x:v>
      </x:c>
      <x:c r="AC176" s="600" t="n">
        <x:v>0.0597667638483965</x:v>
      </x:c>
      <x:c r="AD176" s="600" t="n">
        <x:v>0</x:v>
      </x:c>
      <x:c r="AE176" s="600" t="n">
        <x:v>0</x:v>
      </x:c>
      <x:c r="AF176" s="600" t="n">
        <x:v>0.446064139941691</x:v>
      </x:c>
      <x:c r="AG176" s="600" t="n">
        <x:v>0.08322886297376092</x:v>
      </x:c>
      <x:c r="AH176" s="600" t="n">
        <x:v>0.02061540668366335</x:v>
      </x:c>
      <x:c r="AI176" s="600" t="n">
        <x:v>0.03411144743976335</x:v>
      </x:c>
      <x:c r="AJ176" s="600" t="n">
        <x:v>0.08212942564060477</x:v>
      </x:c>
      <x:c r="AK176" s="600" t="n">
        <x:v>0.1311516920622858</x:v>
      </x:c>
      <x:c r="AL176" s="600" t="n">
        <x:v>0.143772344373183</x:v>
      </x:c>
      <x:c r="AM176" s="600" t="n">
        <x:v>0.9883999999999999</x:v>
      </x:c>
      <x:c r="AN176" s="595" t="inlineStr">
        <x:is>
          <x:t xml:space="preserve">EVALUATED</x:t>
        </x:is>
      </x:c>
      <x:c r="AO176" s="600" t="inlineStr">
        <x:is>
          <x:t xml:space="preserve">BUCKET_GLOBAL、SIDE_IDENTITY_VALID、MARKET_MOVE_LINE_STRENGTH_WITH_GIVING_RESISTANCE</x:t>
        </x:is>
      </x:c>
      <x:c r="AP176" s="600" t="inlineStr">
        <x:is>
          <x:t xml:space="preserve">0881840cff0a4be5229b</x:t>
        </x:is>
      </x:c>
      <x:c r="AQ176" s="600" t="n">
        <x:v>-3.75</x:v>
      </x:c>
      <x:c r="AR176" s="600" t="n">
        <x:v>1.01</x:v>
      </x:c>
      <x:c r="AS176" s="600" t="n">
        <x:v>-3.75</x:v>
      </x:c>
      <x:c r="AT176" s="600" t="n">
        <x:v>3.75</x:v>
      </x:c>
      <x:c r="AU176" s="600" t="n">
        <x:v>1.01</x:v>
      </x:c>
      <x:c r="AV176" s="600" t="n">
        <x:v>0.88</x:v>
      </x:c>
      <x:c r="AW176" s="595" t="n">
        <x:v>46283.33365373842</x:v>
      </x:c>
      <x:c r="AX176" s="595" t="inlineStr">
        <x:is>
          <x:t xml:space="preserve">https://simondongxiao.github.io/odds/v4/</x:t>
        </x:is>
      </x:c>
      <x:c r="AY176" s="595" t="inlineStr">
        <x:is>
          <x:t xml:space="preserve">V4 Shadow Only；real_money=false；比分差异详见记录审计</x:t>
        </x:is>
      </x:c>
    </x:row>
    <x:row r="177" ht="22" customHeight="1">
      <x:c r="A177" s="595" t="inlineStr">
        <x:is>
          <x:t xml:space="preserve">2026-09-18</x:t>
        </x:is>
      </x:c>
      <x:c r="B177" s="595" t="inlineStr">
        <x:is>
          <x:t xml:space="preserve">2026-09-19 02:30</x:t>
        </x:is>
      </x:c>
      <x:c r="C177" s="595" t="str">
        <x:v>五大联赛非顶级联赛</x:v>
      </x:c>
      <x:c r="D177" s="595" t="inlineStr">
        <x:is>
          <x:t xml:space="preserve">联赛</x:t>
        </x:is>
      </x:c>
      <x:c r="E177" s="595" t="inlineStr">
        <x:is>
          <x:t xml:space="preserve">西乙</x:t>
        </x:is>
      </x:c>
      <x:c r="F177" s="595" t="inlineStr">
        <x:is>
          <x:t xml:space="preserve">阿尔巴塞特 vs 科尔多瓦</x:t>
        </x:is>
      </x:c>
      <x:c r="G177" s="596" t="n">
        <x:v>1.12</x:v>
      </x:c>
      <x:c r="H177" s="596" t="n">
        <x:v>0.25</x:v>
      </x:c>
      <x:c r="I177" s="596" t="n">
        <x:v>0.78</x:v>
      </x:c>
      <x:c r="J177" s="596" t="inlineStr">
        <x:is>
          <x:t xml:space="preserve">1.12/0.25/0.78</x:t>
        </x:is>
      </x:c>
      <x:c r="K177" s="595" t="inlineStr">
        <x:is>
          <x:t xml:space="preserve">V4-C｜EV +0.0491</x:t>
        </x:is>
      </x:c>
      <x:c r="L177" s="595" t="inlineStr">
        <x:is>
          <x:t xml:space="preserve">阿尔巴塞特</x:t>
        </x:is>
      </x:c>
      <x:c r="M177" s="597" t="n">
        <x:v>0.4989775051124744</x:v>
      </x:c>
      <x:c r="N177" s="595" t="inlineStr">
        <x:is>
          <x:t xml:space="preserve">V4纸面入选-C</x:t>
        </x:is>
      </x:c>
      <x:c r="O177" s="595" t="inlineStr">
        <x:is>
          <x:t xml:space="preserve">1-2</x:t>
        </x:is>
      </x:c>
      <x:c r="P177" s="595" t="inlineStr">
        <x:is>
          <x:t xml:space="preserve">已结算</x:t>
        </x:is>
      </x:c>
      <x:c r="Q177" s="641" t="inlineStr">
        <x:is>
          <x:t xml:space="preserve">黑</x:t>
        </x:is>
      </x:c>
      <x:c r="R177" s="599" t="n">
        <x:v>1.12</x:v>
      </x:c>
      <x:c r="S177" s="599" t="n">
        <x:f>IF(OR(Q177="",Q177="待结算"),"",IF(Q177="红",R177,IF(Q177="半红",R177*0.5,IF(Q177="走",0,IF(Q177="半黑",-0.5,-1)))))</x:f>
        <x:v>-1</x:v>
      </x:c>
      <x:c r="T177" s="595" t="inlineStr">
        <x:is>
          <x:t xml:space="preserve">https://zq.titan007.com/analysis/3014077cn.htm</x:t>
        </x:is>
      </x:c>
      <x:c r="U177" s="640" t="str">
        <x:f>IF(Q177="","",IF(Q177="待结算","待结算",IF(Q177="红","黑",IF(Q177="半红","半黑",IF(Q177="走","走",IF(Q177="半黑","半红","红"))))))</x:f>
        <x:v>红</x:v>
      </x:c>
      <x:c r="V177" s="599" t="n">
        <x:f>IF(OR(Q177="",Q177="待结算"),"",IF(L177=LEFT(F177,FIND(" vs ",F177)-1),I177,G177))</x:f>
        <x:v>0.78</x:v>
      </x:c>
      <x:c r="W177" s="599" t="n">
        <x:f>IF(OR(U177="",U177="待结算"),"",IF(U177="红",V177,IF(U177="半红",V177*0.5,IF(U177="走",0,IF(U177="半黑",-0.5,-1)))))</x:f>
        <x:v>0.78</x:v>
      </x:c>
      <x:c r="X177" s="595" t="inlineStr">
        <x:is>
          <x:t xml:space="preserve">3014077</x:t>
        </x:is>
      </x:c>
      <x:c r="Y177" s="595" t="inlineStr">
        <x:is>
          <x:t xml:space="preserve">v4-market-dirichlet-20260913</x:t>
        </x:is>
      </x:c>
      <x:c r="Z177" s="595" t="inlineStr">
        <x:is>
          <x:t xml:space="preserve">prior-2026-09-18-v1</x:t>
        </x:is>
      </x:c>
      <x:c r="AA177" s="595" t="inlineStr">
        <x:is>
          <x:t xml:space="preserve">C</x:t>
        </x:is>
      </x:c>
      <x:c r="AB177" s="600" t="n">
        <x:v>0.4236111111111111</x:v>
      </x:c>
      <x:c r="AC177" s="600" t="n">
        <x:v>0</x:v>
      </x:c>
      <x:c r="AD177" s="600" t="n">
        <x:v>0</x:v>
      </x:c>
      <x:c r="AE177" s="600" t="n">
        <x:v>0.3020833333333333</x:v>
      </x:c>
      <x:c r="AF177" s="600" t="n">
        <x:v>0.2743055555555556</x:v>
      </x:c>
      <x:c r="AG177" s="600" t="n">
        <x:v>0.04909722222222224</x:v>
      </x:c>
      <x:c r="AH177" s="600" t="n">
        <x:v>-0.04235376803461244</x:v>
      </x:c>
      <x:c r="AI177" s="600" t="n">
        <x:v>-0.02276609317616557</x:v>
      </x:c>
      <x:c r="AJ177" s="600" t="n">
        <x:v>0.04814717584357192</x:v>
      </x:c>
      <x:c r="AK177" s="600" t="n">
        <x:v>0.1200801700974139</x:v>
      </x:c>
      <x:c r="AL177" s="600" t="n">
        <x:v>0.141988184362571</x:v>
      </x:c>
      <x:c r="AM177" s="600" t="n">
        <x:v>0.8102</x:v>
      </x:c>
      <x:c r="AN177" s="595" t="inlineStr">
        <x:is>
          <x:t xml:space="preserve">EVALUATED</x:t>
        </x:is>
      </x:c>
      <x:c r="AO177" s="600" t="inlineStr">
        <x:is>
          <x:t xml:space="preserve">BUCKET_0.25、SIDE_IDENTITY_VALID、MARKET_MOVE_DEEPER_WITH_GIVING_WATER_RISE</x:t>
        </x:is>
      </x:c>
      <x:c r="AP177" s="600" t="inlineStr">
        <x:is>
          <x:t xml:space="preserve">7afe154fe2be2e578842</x:t>
        </x:is>
      </x:c>
      <x:c r="AQ177" s="600" t="n">
        <x:v>-0.25</x:v>
      </x:c>
      <x:c r="AR177" s="600" t="n">
        <x:v>1.12</x:v>
      </x:c>
      <x:c r="AS177" s="600" t="n">
        <x:v>-0.25</x:v>
      </x:c>
      <x:c r="AT177" s="600" t="n">
        <x:v>0.25</x:v>
      </x:c>
      <x:c r="AU177" s="600" t="n">
        <x:v>1.12</x:v>
      </x:c>
      <x:c r="AV177" s="600" t="n">
        <x:v>0.78</x:v>
      </x:c>
      <x:c r="AW177" s="595" t="n">
        <x:v>46283.33365373842</x:v>
      </x:c>
      <x:c r="AX177" s="595" t="inlineStr">
        <x:is>
          <x:t xml:space="preserve">https://simondongxiao.github.io/odds/v4/</x:t>
        </x:is>
      </x:c>
      <x:c r="AY177" s="595" t="inlineStr">
        <x:is>
          <x:t xml:space="preserve">V4 Shadow Only；real_money=false；比分差异详见记录审计</x:t>
        </x:is>
      </x:c>
    </x:row>
    <x:row r="178" ht="22" customHeight="1">
      <x:c r="A178" s="595" t="inlineStr">
        <x:is>
          <x:t xml:space="preserve">2026-09-18</x:t>
        </x:is>
      </x:c>
      <x:c r="B178" s="595" t="inlineStr">
        <x:is>
          <x:t xml:space="preserve">2026-09-19 02:30</x:t>
        </x:is>
      </x:c>
      <x:c r="C178" s="595" t="str">
        <x:v>欧洲非五大系列</x:v>
      </x:c>
      <x:c r="D178" s="595" t="inlineStr">
        <x:is>
          <x:t xml:space="preserve">联赛</x:t>
        </x:is>
      </x:c>
      <x:c r="E178" s="595" t="inlineStr">
        <x:is>
          <x:t xml:space="preserve">奥乙</x:t>
        </x:is>
      </x:c>
      <x:c r="F178" s="595" t="inlineStr">
        <x:is>
          <x:t xml:space="preserve">BW林茨 vs 阿德米拉</x:t>
        </x:is>
      </x:c>
      <x:c r="G178" s="596" t="n">
        <x:v>1.05</x:v>
      </x:c>
      <x:c r="H178" s="596" t="n">
        <x:v>1.25</x:v>
      </x:c>
      <x:c r="I178" s="596" t="n">
        <x:v>0.83</x:v>
      </x:c>
      <x:c r="J178" s="596" t="inlineStr">
        <x:is>
          <x:t xml:space="preserve">1.05/1.25/0.83</x:t>
        </x:is>
      </x:c>
      <x:c r="K178" s="595" t="inlineStr">
        <x:is>
          <x:t xml:space="preserve">V4-C｜EV +0.0311</x:t>
        </x:is>
      </x:c>
      <x:c r="L178" s="595" t="inlineStr">
        <x:is>
          <x:t xml:space="preserve">BW林茨</x:t>
        </x:is>
      </x:c>
      <x:c r="M178" s="597" t="n">
        <x:v>0.5054945054945055</x:v>
      </x:c>
      <x:c r="N178" s="595" t="inlineStr">
        <x:is>
          <x:t xml:space="preserve">V4纸面入选-C</x:t>
        </x:is>
      </x:c>
      <x:c r="O178" s="595" t="inlineStr">
        <x:is>
          <x:t xml:space="preserve">3-0</x:t>
        </x:is>
      </x:c>
      <x:c r="P178" s="595" t="inlineStr">
        <x:is>
          <x:t xml:space="preserve">已结算</x:t>
        </x:is>
      </x:c>
      <x:c r="Q178" s="640" t="inlineStr">
        <x:is>
          <x:t xml:space="preserve">红</x:t>
        </x:is>
      </x:c>
      <x:c r="R178" s="599" t="n">
        <x:v>1.05</x:v>
      </x:c>
      <x:c r="S178" s="599" t="n">
        <x:f>IF(OR(Q178="",Q178="待结算"),"",IF(Q178="红",R178,IF(Q178="半红",R178*0.5,IF(Q178="走",0,IF(Q178="半黑",-0.5,-1)))))</x:f>
        <x:v>1.05</x:v>
      </x:c>
      <x:c r="T178" s="595" t="inlineStr">
        <x:is>
          <x:t xml:space="preserve">https://zq.titan007.com/analysis/3017907cn.htm</x:t>
        </x:is>
      </x:c>
      <x:c r="U178" s="641" t="str">
        <x:f>IF(Q178="","",IF(Q178="待结算","待结算",IF(Q178="红","黑",IF(Q178="半红","半黑",IF(Q178="走","走",IF(Q178="半黑","半红","红"))))))</x:f>
        <x:v>黑</x:v>
      </x:c>
      <x:c r="V178" s="599" t="n">
        <x:f>IF(OR(Q178="",Q178="待结算"),"",IF(L178=LEFT(F178,FIND(" vs ",F178)-1),I178,G178))</x:f>
        <x:v>0.83</x:v>
      </x:c>
      <x:c r="W178" s="599" t="n">
        <x:f>IF(OR(U178="",U178="待结算"),"",IF(U178="红",V178,IF(U178="半红",V178*0.5,IF(U178="走",0,IF(U178="半黑",-0.5,-1)))))</x:f>
        <x:v>-1</x:v>
      </x:c>
      <x:c r="X178" s="595" t="inlineStr">
        <x:is>
          <x:t xml:space="preserve">3017907</x:t>
        </x:is>
      </x:c>
      <x:c r="Y178" s="595" t="inlineStr">
        <x:is>
          <x:t xml:space="preserve">v4-market-dirichlet-20260913</x:t>
        </x:is>
      </x:c>
      <x:c r="Z178" s="595" t="inlineStr">
        <x:is>
          <x:t xml:space="preserve">prior-2026-09-18-v1</x:t>
        </x:is>
      </x:c>
      <x:c r="AA178" s="595" t="inlineStr">
        <x:is>
          <x:t xml:space="preserve">C</x:t>
        </x:is>
      </x:c>
      <x:c r="AB178" s="600" t="n">
        <x:v>0.4339622641509434</x:v>
      </x:c>
      <x:c r="AC178" s="600" t="n">
        <x:v>0</x:v>
      </x:c>
      <x:c r="AD178" s="600" t="n">
        <x:v>0</x:v>
      </x:c>
      <x:c r="AE178" s="600" t="n">
        <x:v>0.2830188679245283</x:v>
      </x:c>
      <x:c r="AF178" s="600" t="n">
        <x:v>0.2830188679245283</x:v>
      </x:c>
      <x:c r="AG178" s="600" t="n">
        <x:v>0.03113207547169811</x:v>
      </x:c>
      <x:c r="AH178" s="600" t="n">
        <x:v>-0.177774340506463</x:v>
      </x:c>
      <x:c r="AI178" s="600" t="n">
        <x:v>-0.1326239414485157</x:v>
      </x:c>
      <x:c r="AJ178" s="600" t="n">
        <x:v>0.02838716077450459</x:v>
      </x:c>
      <x:c r="AK178" s="600" t="n">
        <x:v>0.1908523948704877</x:v>
      </x:c>
      <x:c r="AL178" s="600" t="n">
        <x:v>0.2339646179362332</x:v>
      </x:c>
      <x:c r="AM178" s="600" t="n">
        <x:v>0.5846</x:v>
      </x:c>
      <x:c r="AN178" s="595" t="inlineStr">
        <x:is>
          <x:t xml:space="preserve">EVALUATED</x:t>
        </x:is>
      </x:c>
      <x:c r="AO178" s="600" t="inlineStr">
        <x:is>
          <x:t xml:space="preserve">BUCKET_1.25、SIDE_IDENTITY_VALID、MARKET_MOVE_DEEPER_WITH_GIVING_WATER_RISE</x:t>
        </x:is>
      </x:c>
      <x:c r="AP178" s="600" t="inlineStr">
        <x:is>
          <x:t xml:space="preserve">f24bbefd81c5aac9acc5</x:t>
        </x:is>
      </x:c>
      <x:c r="AQ178" s="600" t="n">
        <x:v>-1.25</x:v>
      </x:c>
      <x:c r="AR178" s="600" t="n">
        <x:v>1.05</x:v>
      </x:c>
      <x:c r="AS178" s="600" t="n">
        <x:v>-1.25</x:v>
      </x:c>
      <x:c r="AT178" s="600" t="n">
        <x:v>1.25</x:v>
      </x:c>
      <x:c r="AU178" s="600" t="n">
        <x:v>1.05</x:v>
      </x:c>
      <x:c r="AV178" s="600" t="n">
        <x:v>0.83</x:v>
      </x:c>
      <x:c r="AW178" s="595" t="n">
        <x:v>46283.33365373842</x:v>
      </x:c>
      <x:c r="AX178" s="595" t="inlineStr">
        <x:is>
          <x:t xml:space="preserve">https://simondongxiao.github.io/odds/v4/</x:t>
        </x:is>
      </x:c>
      <x:c r="AY178" s="595" t="inlineStr">
        <x:is>
          <x:t xml:space="preserve">V4 Shadow Only；real_money=false；比分差异详见记录审计</x:t>
        </x:is>
      </x:c>
    </x:row>
    <x:row r="179" ht="22" customHeight="1">
      <x:c r="A179" s="595" t="inlineStr">
        <x:is>
          <x:t xml:space="preserve">2026-09-18</x:t>
        </x:is>
      </x:c>
      <x:c r="B179" s="595" t="inlineStr">
        <x:is>
          <x:t xml:space="preserve">2026-09-19 02:30</x:t>
        </x:is>
      </x:c>
      <x:c r="C179" s="595" t="str">
        <x:v>欧洲非五大系列</x:v>
      </x:c>
      <x:c r="D179" s="595" t="inlineStr">
        <x:is>
          <x:t xml:space="preserve">联赛</x:t>
        </x:is>
      </x:c>
      <x:c r="E179" s="595" t="inlineStr">
        <x:is>
          <x:t xml:space="preserve">波兰超</x:t>
        </x:is>
      </x:c>
      <x:c r="F179" s="595" t="inlineStr">
        <x:is>
          <x:t xml:space="preserve">克拉科夫 vs 史拉斯科</x:t>
        </x:is>
      </x:c>
      <x:c r="G179" s="596" t="n">
        <x:v>0.78</x:v>
      </x:c>
      <x:c r="H179" s="596" t="n">
        <x:v>0.75</x:v>
      </x:c>
      <x:c r="I179" s="596" t="n">
        <x:v>1.11</x:v>
      </x:c>
      <x:c r="J179" s="596" t="inlineStr">
        <x:is>
          <x:t xml:space="preserve">0.78/0.75/1.11</x:t>
        </x:is>
      </x:c>
      <x:c r="K179" s="595" t="inlineStr">
        <x:is>
          <x:t xml:space="preserve">V4-C｜EV +0.0611</x:t>
        </x:is>
      </x:c>
      <x:c r="L179" s="595" t="inlineStr">
        <x:is>
          <x:t xml:space="preserve">史拉斯科</x:t>
        </x:is>
      </x:c>
      <x:c r="M179" s="597" t="n">
        <x:v>0.5071770334928229</x:v>
      </x:c>
      <x:c r="N179" s="595" t="inlineStr">
        <x:is>
          <x:t xml:space="preserve">V4纸面入选-C</x:t>
        </x:is>
      </x:c>
      <x:c r="O179" s="595" t="inlineStr">
        <x:is>
          <x:t xml:space="preserve">2-1</x:t>
        </x:is>
      </x:c>
      <x:c r="P179" s="595" t="inlineStr">
        <x:is>
          <x:t xml:space="preserve">已结算</x:t>
        </x:is>
      </x:c>
      <x:c r="Q179" s="643" t="inlineStr">
        <x:is>
          <x:t xml:space="preserve">半黑</x:t>
        </x:is>
      </x:c>
      <x:c r="R179" s="599" t="n">
        <x:v>1.11</x:v>
      </x:c>
      <x:c r="S179" s="599" t="n">
        <x:f>IF(OR(Q179="",Q179="待结算"),"",IF(Q179="红",R179,IF(Q179="半红",R179*0.5,IF(Q179="走",0,IF(Q179="半黑",-0.5,-1)))))</x:f>
        <x:v>-0.5</x:v>
      </x:c>
      <x:c r="T179" s="595" t="inlineStr">
        <x:is>
          <x:t xml:space="preserve">https://zq.titan007.com/analysis/3003159cn.htm</x:t>
        </x:is>
      </x:c>
      <x:c r="U179" s="642" t="str">
        <x:f>IF(Q179="","",IF(Q179="待结算","待结算",IF(Q179="红","黑",IF(Q179="半红","半黑",IF(Q179="走","走",IF(Q179="半黑","半红","红"))))))</x:f>
        <x:v>半红</x:v>
      </x:c>
      <x:c r="V179" s="599" t="n">
        <x:f>IF(OR(Q179="",Q179="待结算"),"",IF(L179=LEFT(F179,FIND(" vs ",F179)-1),I179,G179))</x:f>
        <x:v>0.78</x:v>
      </x:c>
      <x:c r="W179" s="599" t="n">
        <x:f>IF(OR(U179="",U179="待结算"),"",IF(U179="红",V179,IF(U179="半红",V179*0.5,IF(U179="走",0,IF(U179="半黑",-0.5,-1)))))</x:f>
        <x:v>0.39</x:v>
      </x:c>
      <x:c r="X179" s="595" t="inlineStr">
        <x:is>
          <x:t xml:space="preserve">3003159</x:t>
        </x:is>
      </x:c>
      <x:c r="Y179" s="595" t="inlineStr">
        <x:is>
          <x:t xml:space="preserve">v4-market-dirichlet-20260913</x:t>
        </x:is>
      </x:c>
      <x:c r="Z179" s="595" t="inlineStr">
        <x:is>
          <x:t xml:space="preserve">prior-2026-09-18-v1</x:t>
        </x:is>
      </x:c>
      <x:c r="AA179" s="595" t="inlineStr">
        <x:is>
          <x:t xml:space="preserve">C</x:t>
        </x:is>
      </x:c>
      <x:c r="AB179" s="600" t="n">
        <x:v>0.4416666666666667</x:v>
      </x:c>
      <x:c r="AC179" s="600" t="n">
        <x:v>0</x:v>
      </x:c>
      <x:c r="AD179" s="600" t="n">
        <x:v>0</x:v>
      </x:c>
      <x:c r="AE179" s="600" t="n">
        <x:v>0.2583333333333334</x:v>
      </x:c>
      <x:c r="AF179" s="600" t="n">
        <x:v>0.3</x:v>
      </x:c>
      <x:c r="AG179" s="600" t="n">
        <x:v>0.06108333333333332</x:v>
      </x:c>
      <x:c r="AH179" s="600" t="n">
        <x:v>-0.07963314382005815</x:v>
      </x:c>
      <x:c r="AI179" s="600" t="n">
        <x:v>-0.0489302063723342</x:v>
      </x:c>
      <x:c r="AJ179" s="600" t="n">
        <x:v>0.06198201984686746</x:v>
      </x:c>
      <x:c r="AK179" s="600" t="n">
        <x:v>0.1705093702236024</x:v>
      </x:c>
      <x:c r="AL179" s="600" t="n">
        <x:v>0.2039178524742677</x:v>
      </x:c>
      <x:c r="AM179" s="600" t="n">
        <x:v>0.762</x:v>
      </x:c>
      <x:c r="AN179" s="595" t="inlineStr">
        <x:is>
          <x:t xml:space="preserve">EVALUATED</x:t>
        </x:is>
      </x:c>
      <x:c r="AO179" s="600" t="inlineStr">
        <x:is>
          <x:t xml:space="preserve">BUCKET_0.75、SIDE_IDENTITY_VALID、FLAT_LINE_GIVING_WATER_DROP</x:t>
        </x:is>
      </x:c>
      <x:c r="AP179" s="600" t="inlineStr">
        <x:is>
          <x:t xml:space="preserve">c7096f97c0821ab53d94</x:t>
        </x:is>
      </x:c>
      <x:c r="AQ179" s="600" t="n">
        <x:v>0.75</x:v>
      </x:c>
      <x:c r="AR179" s="600" t="n">
        <x:v>1.11</x:v>
      </x:c>
      <x:c r="AS179" s="600" t="n">
        <x:v>-0.75</x:v>
      </x:c>
      <x:c r="AT179" s="600" t="n">
        <x:v>0.75</x:v>
      </x:c>
      <x:c r="AU179" s="600" t="n">
        <x:v>0.78</x:v>
      </x:c>
      <x:c r="AV179" s="600" t="n">
        <x:v>1.11</x:v>
      </x:c>
      <x:c r="AW179" s="595" t="n">
        <x:v>46283.33365373842</x:v>
      </x:c>
      <x:c r="AX179" s="595" t="inlineStr">
        <x:is>
          <x:t xml:space="preserve">https://simondongxiao.github.io/odds/v4/</x:t>
        </x:is>
      </x:c>
      <x:c r="AY179" s="595" t="inlineStr">
        <x:is>
          <x:t xml:space="preserve">V4 Shadow Only；real_money=false；比分差异详见记录审计</x:t>
        </x:is>
      </x:c>
    </x:row>
    <x:row r="180" ht="22" customHeight="1">
      <x:c r="A180" s="595" t="inlineStr">
        <x:is>
          <x:t xml:space="preserve">2026-09-18</x:t>
        </x:is>
      </x:c>
      <x:c r="B180" s="595" t="inlineStr">
        <x:is>
          <x:t xml:space="preserve">2026-09-19 02:45</x:t>
        </x:is>
      </x:c>
      <x:c r="C180" s="595" t="str">
        <x:v>欧洲五大系列</x:v>
      </x:c>
      <x:c r="D180" s="595" t="inlineStr">
        <x:is>
          <x:t xml:space="preserve">联赛</x:t>
        </x:is>
      </x:c>
      <x:c r="E180" s="595" t="inlineStr">
        <x:is>
          <x:t xml:space="preserve">法甲</x:t>
        </x:is>
      </x:c>
      <x:c r="F180" s="595" t="inlineStr">
        <x:is>
          <x:t xml:space="preserve">摩纳哥 vs 朗斯</x:t>
        </x:is>
      </x:c>
      <x:c r="G180" s="596" t="n">
        <x:v>1.05</x:v>
      </x:c>
      <x:c r="H180" s="596" t="n">
        <x:v>0.5</x:v>
      </x:c>
      <x:c r="I180" s="596" t="n">
        <x:v>0.84</x:v>
      </x:c>
      <x:c r="J180" s="596" t="inlineStr">
        <x:is>
          <x:t xml:space="preserve">1.05/0.5/0.84</x:t>
        </x:is>
      </x:c>
      <x:c r="K180" s="595" t="inlineStr">
        <x:is>
          <x:t xml:space="preserve">V4-C｜EV +0.0191</x:t>
        </x:is>
      </x:c>
      <x:c r="L180" s="595" t="inlineStr">
        <x:is>
          <x:t xml:space="preserve">摩纳哥</x:t>
        </x:is>
      </x:c>
      <x:c r="M180" s="597" t="n">
        <x:v>0.4971428571428572</x:v>
      </x:c>
      <x:c r="N180" s="595" t="inlineStr">
        <x:is>
          <x:t xml:space="preserve">V4纸面入选-C</x:t>
        </x:is>
      </x:c>
      <x:c r="O180" s="595" t="inlineStr">
        <x:is>
          <x:t xml:space="preserve">2-1</x:t>
        </x:is>
      </x:c>
      <x:c r="P180" s="595" t="inlineStr">
        <x:is>
          <x:t xml:space="preserve">已结算</x:t>
        </x:is>
      </x:c>
      <x:c r="Q180" s="640" t="inlineStr">
        <x:is>
          <x:t xml:space="preserve">红</x:t>
        </x:is>
      </x:c>
      <x:c r="R180" s="599" t="n">
        <x:v>1.05</x:v>
      </x:c>
      <x:c r="S180" s="599" t="n">
        <x:f>IF(OR(Q180="",Q180="待结算"),"",IF(Q180="红",R180,IF(Q180="半红",R180*0.5,IF(Q180="走",0,IF(Q180="半黑",-0.5,-1)))))</x:f>
        <x:v>1.05</x:v>
      </x:c>
      <x:c r="T180" s="595" t="inlineStr">
        <x:is>
          <x:t xml:space="preserve">https://zq.titan007.com/analysis/2995348cn.htm</x:t>
        </x:is>
      </x:c>
      <x:c r="U180" s="641" t="str">
        <x:f>IF(Q180="","",IF(Q180="待结算","待结算",IF(Q180="红","黑",IF(Q180="半红","半黑",IF(Q180="走","走",IF(Q180="半黑","半红","红"))))))</x:f>
        <x:v>黑</x:v>
      </x:c>
      <x:c r="V180" s="599" t="n">
        <x:f>IF(OR(Q180="",Q180="待结算"),"",IF(L180=LEFT(F180,FIND(" vs ",F180)-1),I180,G180))</x:f>
        <x:v>0.84</x:v>
      </x:c>
      <x:c r="W180" s="599" t="n">
        <x:f>IF(OR(U180="",U180="待结算"),"",IF(U180="红",V180,IF(U180="半红",V180*0.5,IF(U180="走",0,IF(U180="半黑",-0.5,-1)))))</x:f>
        <x:v>-1</x:v>
      </x:c>
      <x:c r="X180" s="595" t="inlineStr">
        <x:is>
          <x:t xml:space="preserve">2995348</x:t>
        </x:is>
      </x:c>
      <x:c r="Y180" s="595" t="inlineStr">
        <x:is>
          <x:t xml:space="preserve">v4-market-dirichlet-20260913</x:t>
        </x:is>
      </x:c>
      <x:c r="Z180" s="595" t="inlineStr">
        <x:is>
          <x:t xml:space="preserve">prior-2026-09-18-v1</x:t>
        </x:is>
      </x:c>
      <x:c r="AA180" s="595" t="inlineStr">
        <x:is>
          <x:t xml:space="preserve">C</x:t>
        </x:is>
      </x:c>
      <x:c r="AB180" s="600" t="n">
        <x:v>0.4971428571428572</x:v>
      </x:c>
      <x:c r="AC180" s="600" t="n">
        <x:v>0</x:v>
      </x:c>
      <x:c r="AD180" s="600" t="n">
        <x:v>0</x:v>
      </x:c>
      <x:c r="AE180" s="600" t="n">
        <x:v>0</x:v>
      </x:c>
      <x:c r="AF180" s="600" t="n">
        <x:v>0.5028571428571429</x:v>
      </x:c>
      <x:c r="AG180" s="600" t="n">
        <x:v>0.01914285714285713</x:v>
      </x:c>
      <x:c r="AH180" s="600" t="n">
        <x:v>-0.1076582906815689</x:v>
      </x:c>
      <x:c r="AI180" s="600" t="n">
        <x:v>-0.08169177911402553</x:v>
      </x:c>
      <x:c r="AJ180" s="600" t="n">
        <x:v>0.02057602760951149</x:v>
      </x:c>
      <x:c r="AK180" s="600" t="n">
        <x:v>0.1198207107872138</x:v>
      </x:c>
      <x:c r="AL180" s="600" t="n">
        <x:v>0.1518542953743615</x:v>
      </x:c>
      <x:c r="AM180" s="600" t="n">
        <x:v>0.6024</x:v>
      </x:c>
      <x:c r="AN180" s="595" t="inlineStr">
        <x:is>
          <x:t xml:space="preserve">EVALUATED</x:t>
        </x:is>
      </x:c>
      <x:c r="AO180" s="600" t="inlineStr">
        <x:is>
          <x:t xml:space="preserve">BUCKET_0.50、SIDE_IDENTITY_VALID、MARKET_MOVE_DEEPER_WITH_GIVING_WATER_RISE</x:t>
        </x:is>
      </x:c>
      <x:c r="AP180" s="600" t="inlineStr">
        <x:is>
          <x:t xml:space="preserve">8f8cb783ed34746a4a66</x:t>
        </x:is>
      </x:c>
      <x:c r="AQ180" s="600" t="n">
        <x:v>-0.5</x:v>
      </x:c>
      <x:c r="AR180" s="600" t="n">
        <x:v>1.05</x:v>
      </x:c>
      <x:c r="AS180" s="600" t="n">
        <x:v>-0.5</x:v>
      </x:c>
      <x:c r="AT180" s="600" t="n">
        <x:v>0.5</x:v>
      </x:c>
      <x:c r="AU180" s="600" t="n">
        <x:v>1.05</x:v>
      </x:c>
      <x:c r="AV180" s="600" t="n">
        <x:v>0.84</x:v>
      </x:c>
      <x:c r="AW180" s="595" t="n">
        <x:v>46283.33365373842</x:v>
      </x:c>
      <x:c r="AX180" s="595" t="inlineStr">
        <x:is>
          <x:t xml:space="preserve">https://simondongxiao.github.io/odds/v4/</x:t>
        </x:is>
      </x:c>
      <x:c r="AY180" s="595" t="inlineStr">
        <x:is>
          <x:t xml:space="preserve">V4 Shadow Only；real_money=false；比分差异详见记录审计</x:t>
        </x:is>
      </x:c>
    </x:row>
    <x:row r="181" ht="22" customHeight="1">
      <x:c r="A181" s="595" t="inlineStr">
        <x:is>
          <x:t xml:space="preserve">2026-09-18</x:t>
        </x:is>
      </x:c>
      <x:c r="B181" s="595" t="inlineStr">
        <x:is>
          <x:t xml:space="preserve">2026-09-19 02:45</x:t>
        </x:is>
      </x:c>
      <x:c r="C181" s="595" t="str">
        <x:v>欧洲非五大系列</x:v>
      </x:c>
      <x:c r="D181" s="595" t="inlineStr">
        <x:is>
          <x:t xml:space="preserve">联赛</x:t>
        </x:is>
      </x:c>
      <x:c r="E181" s="595" t="inlineStr">
        <x:is>
          <x:t xml:space="preserve">比甲</x:t>
        </x:is>
      </x:c>
      <x:c r="F181" s="595" t="inlineStr">
        <x:is>
          <x:t xml:space="preserve">根特 vs 标准列日</x:t>
        </x:is>
      </x:c>
      <x:c r="G181" s="596" t="n">
        <x:v>1.12</x:v>
      </x:c>
      <x:c r="H181" s="596" t="n">
        <x:v>0.75</x:v>
      </x:c>
      <x:c r="I181" s="596" t="n">
        <x:v>0.78</x:v>
      </x:c>
      <x:c r="J181" s="596" t="inlineStr">
        <x:is>
          <x:t xml:space="preserve">1.12/0.75/0.78</x:t>
        </x:is>
      </x:c>
      <x:c r="K181" s="595" t="inlineStr">
        <x:is>
          <x:t xml:space="preserve">V4-C｜EV +0.0390</x:t>
        </x:is>
      </x:c>
      <x:c r="L181" s="595" t="inlineStr">
        <x:is>
          <x:t xml:space="preserve">根特</x:t>
        </x:is>
      </x:c>
      <x:c r="M181" s="597" t="n">
        <x:v>0.4928229665071771</x:v>
      </x:c>
      <x:c r="N181" s="595" t="inlineStr">
        <x:is>
          <x:t xml:space="preserve">V4纸面入选-C</x:t>
        </x:is>
      </x:c>
      <x:c r="O181" s="595" t="inlineStr">
        <x:is>
          <x:t xml:space="preserve">2-1</x:t>
        </x:is>
      </x:c>
      <x:c r="P181" s="595" t="inlineStr">
        <x:is>
          <x:t xml:space="preserve">已结算</x:t>
        </x:is>
      </x:c>
      <x:c r="Q181" s="642" t="inlineStr">
        <x:is>
          <x:t xml:space="preserve">半红</x:t>
        </x:is>
      </x:c>
      <x:c r="R181" s="599" t="n">
        <x:v>1.12</x:v>
      </x:c>
      <x:c r="S181" s="599" t="n">
        <x:f>IF(OR(Q181="",Q181="待结算"),"",IF(Q181="红",R181,IF(Q181="半红",R181*0.5,IF(Q181="走",0,IF(Q181="半黑",-0.5,-1)))))</x:f>
        <x:v>0.56</x:v>
      </x:c>
      <x:c r="T181" s="595" t="inlineStr">
        <x:is>
          <x:t xml:space="preserve">https://zq.titan007.com/analysis/3003575cn.htm</x:t>
        </x:is>
      </x:c>
      <x:c r="U181" s="643" t="str">
        <x:f>IF(Q181="","",IF(Q181="待结算","待结算",IF(Q181="红","黑",IF(Q181="半红","半黑",IF(Q181="走","走",IF(Q181="半黑","半红","红"))))))</x:f>
        <x:v>半黑</x:v>
      </x:c>
      <x:c r="V181" s="599" t="n">
        <x:f>IF(OR(Q181="",Q181="待结算"),"",IF(L181=LEFT(F181,FIND(" vs ",F181)-1),I181,G181))</x:f>
        <x:v>0.78</x:v>
      </x:c>
      <x:c r="W181" s="599" t="n">
        <x:f>IF(OR(U181="",U181="待结算"),"",IF(U181="红",V181,IF(U181="半红",V181*0.5,IF(U181="走",0,IF(U181="半黑",-0.5,-1)))))</x:f>
        <x:v>-0.5</x:v>
      </x:c>
      <x:c r="X181" s="595" t="inlineStr">
        <x:is>
          <x:t xml:space="preserve">3003575</x:t>
        </x:is>
      </x:c>
      <x:c r="Y181" s="595" t="inlineStr">
        <x:is>
          <x:t xml:space="preserve">v4-market-dirichlet-20260913</x:t>
        </x:is>
      </x:c>
      <x:c r="Z181" s="595" t="inlineStr">
        <x:is>
          <x:t xml:space="preserve">prior-2026-09-18-v1</x:t>
        </x:is>
      </x:c>
      <x:c r="AA181" s="595" t="inlineStr">
        <x:is>
          <x:t xml:space="preserve">C</x:t>
        </x:is>
      </x:c>
      <x:c r="AB181" s="600" t="n">
        <x:v>0.3</x:v>
      </x:c>
      <x:c r="AC181" s="600" t="n">
        <x:v>0.2583333333333334</x:v>
      </x:c>
      <x:c r="AD181" s="600" t="n">
        <x:v>0</x:v>
      </x:c>
      <x:c r="AE181" s="600" t="n">
        <x:v>0</x:v>
      </x:c>
      <x:c r="AF181" s="600" t="n">
        <x:v>0.4416666666666667</x:v>
      </x:c>
      <x:c r="AG181" s="600" t="n">
        <x:v>0.03900000000000003</x:v>
      </x:c>
      <x:c r="AH181" s="600" t="n">
        <x:v>-0.1027657999829334</x:v>
      </x:c>
      <x:c r="AI181" s="600" t="n">
        <x:v>-0.07120530787382717</x:v>
      </x:c>
      <x:c r="AJ181" s="600" t="n">
        <x:v>0.03819880839891338</x:v>
      </x:c>
      <x:c r="AK181" s="600" t="n">
        <x:v>0.1460253595755657</x:v>
      </x:c>
      <x:c r="AL181" s="600" t="n">
        <x:v>0.1754955134233238</x:v>
      </x:c>
      <x:c r="AM181" s="600" t="n">
        <x:v>0.6702</x:v>
      </x:c>
      <x:c r="AN181" s="595" t="inlineStr">
        <x:is>
          <x:t xml:space="preserve">EVALUATED</x:t>
        </x:is>
      </x:c>
      <x:c r="AO181" s="600" t="inlineStr">
        <x:is>
          <x:t xml:space="preserve">BUCKET_0.75、SIDE_IDENTITY_VALID、MARKET_MOVE_DEEPER_WITH_GIVING_WATER_RISE</x:t>
        </x:is>
      </x:c>
      <x:c r="AP181" s="600" t="inlineStr">
        <x:is>
          <x:t xml:space="preserve">45b05433c70659fb9a1e</x:t>
        </x:is>
      </x:c>
      <x:c r="AQ181" s="600" t="n">
        <x:v>-0.75</x:v>
      </x:c>
      <x:c r="AR181" s="600" t="n">
        <x:v>1.12</x:v>
      </x:c>
      <x:c r="AS181" s="600" t="n">
        <x:v>-0.75</x:v>
      </x:c>
      <x:c r="AT181" s="600" t="n">
        <x:v>0.75</x:v>
      </x:c>
      <x:c r="AU181" s="600" t="n">
        <x:v>1.12</x:v>
      </x:c>
      <x:c r="AV181" s="600" t="n">
        <x:v>0.78</x:v>
      </x:c>
      <x:c r="AW181" s="595" t="n">
        <x:v>46283.33365373842</x:v>
      </x:c>
      <x:c r="AX181" s="595" t="inlineStr">
        <x:is>
          <x:t xml:space="preserve">https://simondongxiao.github.io/odds/v4/</x:t>
        </x:is>
      </x:c>
      <x:c r="AY181" s="595" t="inlineStr">
        <x:is>
          <x:t xml:space="preserve">V4 Shadow Only；real_money=false；比分差异详见记录审计</x:t>
        </x:is>
      </x:c>
    </x:row>
    <x:row r="182" ht="22" customHeight="1">
      <x:c r="A182" s="595" t="inlineStr">
        <x:is>
          <x:t xml:space="preserve">2026-09-18</x:t>
        </x:is>
      </x:c>
      <x:c r="B182" s="595" t="inlineStr">
        <x:is>
          <x:t xml:space="preserve">2026-09-19 02:45</x:t>
        </x:is>
      </x:c>
      <x:c r="C182" s="595" t="str">
        <x:v>欧洲非五大系列</x:v>
      </x:c>
      <x:c r="D182" s="595" t="inlineStr">
        <x:is>
          <x:t xml:space="preserve">联赛</x:t>
        </x:is>
      </x:c>
      <x:c r="E182" s="595" t="inlineStr">
        <x:is>
          <x:t xml:space="preserve">爱甲</x:t>
        </x:is>
      </x:c>
      <x:c r="F182" s="595" t="inlineStr">
        <x:is>
          <x:t xml:space="preserve">科克城 vs 都柏林大学</x:t>
        </x:is>
      </x:c>
      <x:c r="G182" s="596" t="n">
        <x:v>0.88</x:v>
      </x:c>
      <x:c r="H182" s="596" t="n">
        <x:v>1</x:v>
      </x:c>
      <x:c r="I182" s="596" t="n">
        <x:v>0.9399999999999999</x:v>
      </x:c>
      <x:c r="J182" s="596" t="inlineStr">
        <x:is>
          <x:t xml:space="preserve">0.88/1/0.94</x:t>
        </x:is>
      </x:c>
      <x:c r="K182" s="595" t="inlineStr">
        <x:is>
          <x:t xml:space="preserve">V4-C｜EV +0.0405</x:t>
        </x:is>
      </x:c>
      <x:c r="L182" s="595" t="inlineStr">
        <x:is>
          <x:t xml:space="preserve">都柏林大学</x:t>
        </x:is>
      </x:c>
      <x:c r="M182" s="597" t="n">
        <x:v>0.5423728813559322</x:v>
      </x:c>
      <x:c r="N182" s="595" t="inlineStr">
        <x:is>
          <x:t xml:space="preserve">V4纸面入选-C</x:t>
        </x:is>
      </x:c>
      <x:c r="O182" s="595" t="inlineStr">
        <x:is>
          <x:t xml:space="preserve">5-1</x:t>
        </x:is>
      </x:c>
      <x:c r="P182" s="595" t="inlineStr">
        <x:is>
          <x:t xml:space="preserve">已结算</x:t>
        </x:is>
      </x:c>
      <x:c r="Q182" s="641" t="inlineStr">
        <x:is>
          <x:t xml:space="preserve">黑</x:t>
        </x:is>
      </x:c>
      <x:c r="R182" s="599" t="n">
        <x:v>0.9399999999999999</x:v>
      </x:c>
      <x:c r="S182" s="599" t="n">
        <x:f>IF(OR(Q182="",Q182="待结算"),"",IF(Q182="红",R182,IF(Q182="半红",R182*0.5,IF(Q182="走",0,IF(Q182="半黑",-0.5,-1)))))</x:f>
        <x:v>-1</x:v>
      </x:c>
      <x:c r="T182" s="595" t="inlineStr">
        <x:is>
          <x:t xml:space="preserve">https://zq.titan007.com/analysis/2939055cn.htm</x:t>
        </x:is>
      </x:c>
      <x:c r="U182" s="640" t="str">
        <x:f>IF(Q182="","",IF(Q182="待结算","待结算",IF(Q182="红","黑",IF(Q182="半红","半黑",IF(Q182="走","走",IF(Q182="半黑","半红","红"))))))</x:f>
        <x:v>红</x:v>
      </x:c>
      <x:c r="V182" s="599" t="n">
        <x:f>IF(OR(Q182="",Q182="待结算"),"",IF(L182=LEFT(F182,FIND(" vs ",F182)-1),I182,G182))</x:f>
        <x:v>0.88</x:v>
      </x:c>
      <x:c r="W182" s="599" t="n">
        <x:f>IF(OR(U182="",U182="待结算"),"",IF(U182="红",V182,IF(U182="半红",V182*0.5,IF(U182="走",0,IF(U182="半黑",-0.5,-1)))))</x:f>
        <x:v>0.88</x:v>
      </x:c>
      <x:c r="X182" s="595" t="inlineStr">
        <x:is>
          <x:t xml:space="preserve">2939055</x:t>
        </x:is>
      </x:c>
      <x:c r="Y182" s="595" t="inlineStr">
        <x:is>
          <x:t xml:space="preserve">v4-market-dirichlet-20260913</x:t>
        </x:is>
      </x:c>
      <x:c r="Z182" s="595" t="inlineStr">
        <x:is>
          <x:t xml:space="preserve">prior-2026-09-18-v1</x:t>
        </x:is>
      </x:c>
      <x:c r="AA182" s="595" t="inlineStr">
        <x:is>
          <x:t xml:space="preserve">C</x:t>
        </x:is>
      </x:c>
      <x:c r="AB182" s="600" t="n">
        <x:v>0.4210526315789473</x:v>
      </x:c>
      <x:c r="AC182" s="600" t="n">
        <x:v>0</x:v>
      </x:c>
      <x:c r="AD182" s="600" t="n">
        <x:v>0.2236842105263158</x:v>
      </x:c>
      <x:c r="AE182" s="600" t="n">
        <x:v>0</x:v>
      </x:c>
      <x:c r="AF182" s="600" t="n">
        <x:v>0.3552631578947368</x:v>
      </x:c>
      <x:c r="AG182" s="600" t="n">
        <x:v>0.04052631578947363</x:v>
      </x:c>
      <x:c r="AH182" s="600" t="n">
        <x:v>-0.1179638692648493</x:v>
      </x:c>
      <x:c r="AI182" s="600" t="n">
        <x:v>-0.08550527968008792</x:v>
      </x:c>
      <x:c r="AJ182" s="600" t="n">
        <x:v>0.03865291137595372</x:v>
      </x:c>
      <x:c r="AK182" s="600" t="n">
        <x:v>0.1623544113691697</x:v>
      </x:c>
      <x:c r="AL182" s="600" t="n">
        <x:v>0.1941735613175788</x:v>
      </x:c>
      <x:c r="AM182" s="600" t="n">
        <x:v>0.6532</x:v>
      </x:c>
      <x:c r="AN182" s="595" t="inlineStr">
        <x:is>
          <x:t xml:space="preserve">EVALUATED</x:t>
        </x:is>
      </x:c>
      <x:c r="AO182" s="600" t="inlineStr">
        <x:is>
          <x:t xml:space="preserve">BUCKET_1.00、SIDE_IDENTITY_VALID、FLAT_LINE_GIVING_WATER_RISE</x:t>
        </x:is>
      </x:c>
      <x:c r="AP182" s="600" t="inlineStr">
        <x:is>
          <x:t xml:space="preserve">36fba456e1b07e56b6b6</x:t>
        </x:is>
      </x:c>
      <x:c r="AQ182" s="600" t="n">
        <x:v>1</x:v>
      </x:c>
      <x:c r="AR182" s="600" t="n">
        <x:v>0.9399999999999999</x:v>
      </x:c>
      <x:c r="AS182" s="600" t="n">
        <x:v>-1</x:v>
      </x:c>
      <x:c r="AT182" s="600" t="n">
        <x:v>1</x:v>
      </x:c>
      <x:c r="AU182" s="600" t="n">
        <x:v>0.88</x:v>
      </x:c>
      <x:c r="AV182" s="600" t="n">
        <x:v>0.9399999999999999</x:v>
      </x:c>
      <x:c r="AW182" s="595" t="n">
        <x:v>46283.33365373842</x:v>
      </x:c>
      <x:c r="AX182" s="595" t="inlineStr">
        <x:is>
          <x:t xml:space="preserve">https://simondongxiao.github.io/odds/v4/</x:t>
        </x:is>
      </x:c>
      <x:c r="AY182" s="595" t="inlineStr">
        <x:is>
          <x:t xml:space="preserve">V4 Shadow Only；real_money=false；比分差异详见记录审计</x:t>
        </x:is>
      </x:c>
    </x:row>
    <x:row r="183" ht="22" customHeight="1">
      <x:c r="A183" s="595" t="inlineStr">
        <x:is>
          <x:t xml:space="preserve">2026-09-18</x:t>
        </x:is>
      </x:c>
      <x:c r="B183" s="595" t="inlineStr">
        <x:is>
          <x:t xml:space="preserve">2026-09-19 02:45</x:t>
        </x:is>
      </x:c>
      <x:c r="C183" s="595" t="str">
        <x:v>欧洲非五大系列</x:v>
      </x:c>
      <x:c r="D183" s="595" t="inlineStr">
        <x:is>
          <x:t xml:space="preserve">联赛</x:t>
        </x:is>
      </x:c>
      <x:c r="E183" s="595" t="inlineStr">
        <x:is>
          <x:t xml:space="preserve">威超</x:t>
        </x:is>
      </x:c>
      <x:c r="F183" s="595" t="inlineStr">
        <x:is>
          <x:t xml:space="preserve">空中巴士 vs 弗林特镇</x:t>
        </x:is>
      </x:c>
      <x:c r="G183" s="596" t="n">
        <x:v>0.6899999999999999</x:v>
      </x:c>
      <x:c r="H183" s="596" t="n">
        <x:v>0.5</x:v>
      </x:c>
      <x:c r="I183" s="596" t="n">
        <x:v>1.07</x:v>
      </x:c>
      <x:c r="J183" s="596" t="inlineStr">
        <x:is>
          <x:t xml:space="preserve">0.69/0.5/1.07</x:t>
        </x:is>
      </x:c>
      <x:c r="K183" s="595" t="inlineStr">
        <x:is>
          <x:t xml:space="preserve">V4-C｜EV +0.0409</x:t>
        </x:is>
      </x:c>
      <x:c r="L183" s="595" t="inlineStr">
        <x:is>
          <x:t xml:space="preserve">弗林特镇</x:t>
        </x:is>
      </x:c>
      <x:c r="M183" s="597" t="n">
        <x:v>0.5028571428571429</x:v>
      </x:c>
      <x:c r="N183" s="595" t="inlineStr">
        <x:is>
          <x:t xml:space="preserve">V4纸面入选-C</x:t>
        </x:is>
      </x:c>
      <x:c r="O183" s="595" t="inlineStr">
        <x:is>
          <x:t xml:space="preserve">4-1</x:t>
        </x:is>
      </x:c>
      <x:c r="P183" s="595" t="inlineStr">
        <x:is>
          <x:t xml:space="preserve">已结算</x:t>
        </x:is>
      </x:c>
      <x:c r="Q183" s="641" t="inlineStr">
        <x:is>
          <x:t xml:space="preserve">黑</x:t>
        </x:is>
      </x:c>
      <x:c r="R183" s="599" t="n">
        <x:v>1.07</x:v>
      </x:c>
      <x:c r="S183" s="599" t="n">
        <x:f>IF(OR(Q183="",Q183="待结算"),"",IF(Q183="红",R183,IF(Q183="半红",R183*0.5,IF(Q183="走",0,IF(Q183="半黑",-0.5,-1)))))</x:f>
        <x:v>-1</x:v>
      </x:c>
      <x:c r="T183" s="595" t="inlineStr">
        <x:is>
          <x:t xml:space="preserve">https://zq.titan007.com/analysis/3019529cn.htm</x:t>
        </x:is>
      </x:c>
      <x:c r="U183" s="640" t="str">
        <x:f>IF(Q183="","",IF(Q183="待结算","待结算",IF(Q183="红","黑",IF(Q183="半红","半黑",IF(Q183="走","走",IF(Q183="半黑","半红","红"))))))</x:f>
        <x:v>红</x:v>
      </x:c>
      <x:c r="V183" s="599" t="n">
        <x:f>IF(OR(Q183="",Q183="待结算"),"",IF(L183=LEFT(F183,FIND(" vs ",F183)-1),I183,G183))</x:f>
        <x:v>0.69</x:v>
      </x:c>
      <x:c r="W183" s="599" t="n">
        <x:f>IF(OR(U183="",U183="待结算"),"",IF(U183="红",V183,IF(U183="半红",V183*0.5,IF(U183="走",0,IF(U183="半黑",-0.5,-1)))))</x:f>
        <x:v>0.69</x:v>
      </x:c>
      <x:c r="X183" s="595" t="inlineStr">
        <x:is>
          <x:t xml:space="preserve">3019529</x:t>
        </x:is>
      </x:c>
      <x:c r="Y183" s="595" t="inlineStr">
        <x:is>
          <x:t xml:space="preserve">v4-market-dirichlet-20260913</x:t>
        </x:is>
      </x:c>
      <x:c r="Z183" s="595" t="inlineStr">
        <x:is>
          <x:t xml:space="preserve">prior-2026-09-18-v1</x:t>
        </x:is>
      </x:c>
      <x:c r="AA183" s="595" t="inlineStr">
        <x:is>
          <x:t xml:space="preserve">C</x:t>
        </x:is>
      </x:c>
      <x:c r="AB183" s="600" t="n">
        <x:v>0.5028571428571429</x:v>
      </x:c>
      <x:c r="AC183" s="600" t="n">
        <x:v>0</x:v>
      </x:c>
      <x:c r="AD183" s="600" t="n">
        <x:v>0</x:v>
      </x:c>
      <x:c r="AE183" s="600" t="n">
        <x:v>0</x:v>
      </x:c>
      <x:c r="AF183" s="600" t="n">
        <x:v>0.4971428571428572</x:v>
      </x:c>
      <x:c r="AG183" s="600" t="n">
        <x:v>0.04091428571428574</x:v>
      </x:c>
      <x:c r="AH183" s="600" t="n">
        <x:v>-0.08636681186129802</x:v>
      </x:c>
      <x:c r="AI183" s="600" t="n">
        <x:v>-0.05697399142977394</x:v>
      </x:c>
      <x:c r="AJ183" s="600" t="n">
        <x:v>0.04269607016114346</x:v>
      </x:c>
      <x:c r="AK183" s="600" t="n">
        <x:v>0.1421306663734522</x:v>
      </x:c>
      <x:c r="AL183" s="600" t="n">
        <x:v>0.1693916170055956</x:v>
      </x:c>
      <x:c r="AM183" s="600" t="n">
        <x:v>0.714</x:v>
      </x:c>
      <x:c r="AN183" s="595" t="inlineStr">
        <x:is>
          <x:t xml:space="preserve">EVALUATED</x:t>
        </x:is>
      </x:c>
      <x:c r="AO183" s="600" t="inlineStr">
        <x:is>
          <x:t xml:space="preserve">BUCKET_0.50、SIDE_IDENTITY_VALID、FLAT_LINE_GIVING_WATER_DROP</x:t>
        </x:is>
      </x:c>
      <x:c r="AP183" s="600" t="inlineStr">
        <x:is>
          <x:t xml:space="preserve">6a847b0983a8dfd51251</x:t>
        </x:is>
      </x:c>
      <x:c r="AQ183" s="600" t="n">
        <x:v>0.5</x:v>
      </x:c>
      <x:c r="AR183" s="600" t="n">
        <x:v>1.07</x:v>
      </x:c>
      <x:c r="AS183" s="600" t="n">
        <x:v>-0.5</x:v>
      </x:c>
      <x:c r="AT183" s="600" t="n">
        <x:v>0.5</x:v>
      </x:c>
      <x:c r="AU183" s="600" t="n">
        <x:v>0.6899999999999999</x:v>
      </x:c>
      <x:c r="AV183" s="600" t="n">
        <x:v>1.07</x:v>
      </x:c>
      <x:c r="AW183" s="595" t="n">
        <x:v>46283.33365373842</x:v>
      </x:c>
      <x:c r="AX183" s="595" t="inlineStr">
        <x:is>
          <x:t xml:space="preserve">https://simondongxiao.github.io/odds/v4/</x:t>
        </x:is>
      </x:c>
      <x:c r="AY183" s="595" t="inlineStr">
        <x:is>
          <x:t xml:space="preserve">V4 Shadow Only；real_money=false；比分差异详见记录审计</x:t>
        </x:is>
      </x:c>
    </x:row>
    <x:row r="184" ht="22" customHeight="1">
      <x:c r="A184" s="595" t="inlineStr">
        <x:is>
          <x:t xml:space="preserve">2026-09-18</x:t>
        </x:is>
      </x:c>
      <x:c r="B184" s="595" t="inlineStr">
        <x:is>
          <x:t xml:space="preserve">2026-09-19 02:45</x:t>
        </x:is>
      </x:c>
      <x:c r="C184" s="595" t="str">
        <x:v>欧洲非五大系列</x:v>
      </x:c>
      <x:c r="D184" s="595" t="inlineStr">
        <x:is>
          <x:t xml:space="preserve">联赛</x:t>
        </x:is>
      </x:c>
      <x:c r="E184" s="595" t="inlineStr">
        <x:is>
          <x:t xml:space="preserve">威超</x:t>
        </x:is>
      </x:c>
      <x:c r="F184" s="595" t="inlineStr">
        <x:is>
          <x:t xml:space="preserve">布里顿费里 vs 特芬琳</x:t>
        </x:is>
      </x:c>
      <x:c r="G184" s="596" t="n">
        <x:v>0.85</x:v>
      </x:c>
      <x:c r="H184" s="596" t="n">
        <x:v>1</x:v>
      </x:c>
      <x:c r="I184" s="596" t="n">
        <x:v>0.91</x:v>
      </x:c>
      <x:c r="J184" s="596" t="inlineStr">
        <x:is>
          <x:t xml:space="preserve">0.85/1/0.91</x:t>
        </x:is>
      </x:c>
      <x:c r="K184" s="595" t="inlineStr">
        <x:is>
          <x:t xml:space="preserve">V4-C｜EV +0.0279</x:t>
        </x:is>
      </x:c>
      <x:c r="L184" s="595" t="inlineStr">
        <x:is>
          <x:t xml:space="preserve">特芬琳</x:t>
        </x:is>
      </x:c>
      <x:c r="M184" s="597" t="n">
        <x:v>0.5423728813559322</x:v>
      </x:c>
      <x:c r="N184" s="595" t="inlineStr">
        <x:is>
          <x:t xml:space="preserve">V4纸面入选-C</x:t>
        </x:is>
      </x:c>
      <x:c r="O184" s="595" t="inlineStr">
        <x:is>
          <x:t xml:space="preserve">1-1</x:t>
        </x:is>
      </x:c>
      <x:c r="P184" s="595" t="inlineStr">
        <x:is>
          <x:t xml:space="preserve">已结算</x:t>
        </x:is>
      </x:c>
      <x:c r="Q184" s="640" t="inlineStr">
        <x:is>
          <x:t xml:space="preserve">红</x:t>
        </x:is>
      </x:c>
      <x:c r="R184" s="599" t="n">
        <x:v>0.91</x:v>
      </x:c>
      <x:c r="S184" s="599" t="n">
        <x:f>IF(OR(Q184="",Q184="待结算"),"",IF(Q184="红",R184,IF(Q184="半红",R184*0.5,IF(Q184="走",0,IF(Q184="半黑",-0.5,-1)))))</x:f>
        <x:v>0.91</x:v>
      </x:c>
      <x:c r="T184" s="595" t="inlineStr">
        <x:is>
          <x:t xml:space="preserve">https://zq.titan007.com/analysis/3019531cn.htm</x:t>
        </x:is>
      </x:c>
      <x:c r="U184" s="641" t="str">
        <x:f>IF(Q184="","",IF(Q184="待结算","待结算",IF(Q184="红","黑",IF(Q184="半红","半黑",IF(Q184="走","走",IF(Q184="半黑","半红","红"))))))</x:f>
        <x:v>黑</x:v>
      </x:c>
      <x:c r="V184" s="599" t="n">
        <x:f>IF(OR(Q184="",Q184="待结算"),"",IF(L184=LEFT(F184,FIND(" vs ",F184)-1),I184,G184))</x:f>
        <x:v>0.85</x:v>
      </x:c>
      <x:c r="W184" s="599" t="n">
        <x:f>IF(OR(U184="",U184="待结算"),"",IF(U184="红",V184,IF(U184="半红",V184*0.5,IF(U184="走",0,IF(U184="半黑",-0.5,-1)))))</x:f>
        <x:v>-1</x:v>
      </x:c>
      <x:c r="X184" s="595" t="inlineStr">
        <x:is>
          <x:t xml:space="preserve">3019531</x:t>
        </x:is>
      </x:c>
      <x:c r="Y184" s="595" t="inlineStr">
        <x:is>
          <x:t xml:space="preserve">v4-market-dirichlet-20260913</x:t>
        </x:is>
      </x:c>
      <x:c r="Z184" s="595" t="inlineStr">
        <x:is>
          <x:t xml:space="preserve">prior-2026-09-18-v1</x:t>
        </x:is>
      </x:c>
      <x:c r="AA184" s="595" t="inlineStr">
        <x:is>
          <x:t xml:space="preserve">C</x:t>
        </x:is>
      </x:c>
      <x:c r="AB184" s="600" t="n">
        <x:v>0.4210526315789473</x:v>
      </x:c>
      <x:c r="AC184" s="600" t="n">
        <x:v>0</x:v>
      </x:c>
      <x:c r="AD184" s="600" t="n">
        <x:v>0.2236842105263158</x:v>
      </x:c>
      <x:c r="AE184" s="600" t="n">
        <x:v>0</x:v>
      </x:c>
      <x:c r="AF184" s="600" t="n">
        <x:v>0.3552631578947368</x:v>
      </x:c>
      <x:c r="AG184" s="600" t="n">
        <x:v>0.02789473684210525</x:v>
      </x:c>
      <x:c r="AH184" s="600" t="n">
        <x:v>-0.1324619538524321</x:v>
      </x:c>
      <x:c r="AI184" s="600" t="n">
        <x:v>-0.09678447928014322</x:v>
      </x:c>
      <x:c r="AJ184" s="600" t="n">
        <x:v>0.02821357679943198</x:v>
      </x:c>
      <x:c r="AK184" s="600" t="n">
        <x:v>0.1482178887722543</x:v>
      </x:c>
      <x:c r="AL184" s="600" t="n">
        <x:v>0.1825125504609088</x:v>
      </x:c>
      <x:c r="AM184" s="600" t="n">
        <x:v>0.6124000000000001</x:v>
      </x:c>
      <x:c r="AN184" s="595" t="inlineStr">
        <x:is>
          <x:t xml:space="preserve">EVALUATED</x:t>
        </x:is>
      </x:c>
      <x:c r="AO184" s="600" t="inlineStr">
        <x:is>
          <x:t xml:space="preserve">BUCKET_1.00、SIDE_IDENTITY_VALID、FLAT_LINE_GIVING_WATER_DROP</x:t>
        </x:is>
      </x:c>
      <x:c r="AP184" s="600" t="inlineStr">
        <x:is>
          <x:t xml:space="preserve">edb9983ea2efa170e7fb</x:t>
        </x:is>
      </x:c>
      <x:c r="AQ184" s="600" t="n">
        <x:v>1</x:v>
      </x:c>
      <x:c r="AR184" s="600" t="n">
        <x:v>0.91</x:v>
      </x:c>
      <x:c r="AS184" s="600" t="n">
        <x:v>-1</x:v>
      </x:c>
      <x:c r="AT184" s="600" t="n">
        <x:v>1</x:v>
      </x:c>
      <x:c r="AU184" s="600" t="n">
        <x:v>0.85</x:v>
      </x:c>
      <x:c r="AV184" s="600" t="n">
        <x:v>0.91</x:v>
      </x:c>
      <x:c r="AW184" s="595" t="n">
        <x:v>46283.33365373842</x:v>
      </x:c>
      <x:c r="AX184" s="595" t="inlineStr">
        <x:is>
          <x:t xml:space="preserve">https://simondongxiao.github.io/odds/v4/</x:t>
        </x:is>
      </x:c>
      <x:c r="AY184" s="595" t="inlineStr">
        <x:is>
          <x:t xml:space="preserve">V4 Shadow Only；real_money=false；比分差异详见记录审计</x:t>
        </x:is>
      </x:c>
    </x:row>
    <x:row r="185" ht="22" customHeight="1">
      <x:c r="A185" s="595" t="inlineStr">
        <x:is>
          <x:t xml:space="preserve">2026-09-18</x:t>
        </x:is>
      </x:c>
      <x:c r="B185" s="595" t="inlineStr">
        <x:is>
          <x:t xml:space="preserve">2026-09-19 02:45</x:t>
        </x:is>
      </x:c>
      <x:c r="C185" s="595" t="str">
        <x:v>欧洲非五大系列</x:v>
      </x:c>
      <x:c r="D185" s="595" t="inlineStr">
        <x:is>
          <x:t xml:space="preserve">联赛</x:t>
        </x:is>
      </x:c>
      <x:c r="E185" s="595" t="inlineStr">
        <x:is>
          <x:t xml:space="preserve">威超</x:t>
        </x:is>
      </x:c>
      <x:c r="F185" s="595" t="inlineStr">
        <x:is>
          <x:t xml:space="preserve">科尔温湾 vs 巴里镇联</x:t>
        </x:is>
      </x:c>
      <x:c r="G185" s="596" t="n">
        <x:v>0.76</x:v>
      </x:c>
      <x:c r="H185" s="596" t="n">
        <x:v>0.25</x:v>
      </x:c>
      <x:c r="I185" s="596" t="n">
        <x:v>1</x:v>
      </x:c>
      <x:c r="J185" s="596" t="inlineStr">
        <x:is>
          <x:t xml:space="preserve">0.76/0.25/1.00</x:t>
        </x:is>
      </x:c>
      <x:c r="K185" s="595" t="inlineStr">
        <x:is>
          <x:t xml:space="preserve">V4-C｜EV +0.0017</x:t>
        </x:is>
      </x:c>
      <x:c r="L185" s="595" t="inlineStr">
        <x:is>
          <x:t xml:space="preserve">巴里镇联</x:t>
        </x:is>
      </x:c>
      <x:c r="M185" s="597" t="n">
        <x:v>0.5010224948875256</x:v>
      </x:c>
      <x:c r="N185" s="595" t="inlineStr">
        <x:is>
          <x:t xml:space="preserve">V4纸面入选-C</x:t>
        </x:is>
      </x:c>
      <x:c r="O185" s="595" t="inlineStr">
        <x:is>
          <x:t xml:space="preserve">5-2</x:t>
        </x:is>
      </x:c>
      <x:c r="P185" s="595" t="inlineStr">
        <x:is>
          <x:t xml:space="preserve">已结算</x:t>
        </x:is>
      </x:c>
      <x:c r="Q185" s="641" t="inlineStr">
        <x:is>
          <x:t xml:space="preserve">黑</x:t>
        </x:is>
      </x:c>
      <x:c r="R185" s="599" t="n">
        <x:v>1</x:v>
      </x:c>
      <x:c r="S185" s="599" t="n">
        <x:f>IF(OR(Q185="",Q185="待结算"),"",IF(Q185="红",R185,IF(Q185="半红",R185*0.5,IF(Q185="走",0,IF(Q185="半黑",-0.5,-1)))))</x:f>
        <x:v>-1</x:v>
      </x:c>
      <x:c r="T185" s="595" t="inlineStr">
        <x:is>
          <x:t xml:space="preserve">https://zq.titan007.com/analysis/3019533cn.htm</x:t>
        </x:is>
      </x:c>
      <x:c r="U185" s="640" t="str">
        <x:f>IF(Q185="","",IF(Q185="待结算","待结算",IF(Q185="红","黑",IF(Q185="半红","半黑",IF(Q185="走","走",IF(Q185="半黑","半红","红"))))))</x:f>
        <x:v>红</x:v>
      </x:c>
      <x:c r="V185" s="599" t="n">
        <x:f>IF(OR(Q185="",Q185="待结算"),"",IF(L185=LEFT(F185,FIND(" vs ",F185)-1),I185,G185))</x:f>
        <x:v>0.76</x:v>
      </x:c>
      <x:c r="W185" s="599" t="n">
        <x:f>IF(OR(U185="",U185="待结算"),"",IF(U185="红",V185,IF(U185="半红",V185*0.5,IF(U185="走",0,IF(U185="半黑",-0.5,-1)))))</x:f>
        <x:v>0.76</x:v>
      </x:c>
      <x:c r="X185" s="595" t="inlineStr">
        <x:is>
          <x:t xml:space="preserve">3019533</x:t>
        </x:is>
      </x:c>
      <x:c r="Y185" s="595" t="inlineStr">
        <x:is>
          <x:t xml:space="preserve">v4-market-dirichlet-20260913</x:t>
        </x:is>
      </x:c>
      <x:c r="Z185" s="595" t="inlineStr">
        <x:is>
          <x:t xml:space="preserve">prior-2026-09-18-v1</x:t>
        </x:is>
      </x:c>
      <x:c r="AA185" s="595" t="inlineStr">
        <x:is>
          <x:t xml:space="preserve">C</x:t>
        </x:is>
      </x:c>
      <x:c r="AB185" s="600" t="n">
        <x:v>0.2743055555555556</x:v>
      </x:c>
      <x:c r="AC185" s="600" t="n">
        <x:v>0.3020833333333333</x:v>
      </x:c>
      <x:c r="AD185" s="600" t="n">
        <x:v>0</x:v>
      </x:c>
      <x:c r="AE185" s="600" t="n">
        <x:v>0</x:v>
      </x:c>
      <x:c r="AF185" s="600" t="n">
        <x:v>0.4236111111111111</x:v>
      </x:c>
      <x:c r="AG185" s="600" t="n">
        <x:v>0.001736111111111105</x:v>
      </x:c>
      <x:c r="AH185" s="600" t="n">
        <x:v>-0.08655002238028958</x:v>
      </x:c>
      <x:c r="AI185" s="600" t="n">
        <x:v>-0.06630476261332729</x:v>
      </x:c>
      <x:c r="AJ185" s="600" t="n">
        <x:v>-0.0002622362103869014</x:v>
      </x:c>
      <x:c r="AK185" s="600" t="n">
        <x:v>0.06572384968206368</x:v>
      </x:c>
      <x:c r="AL185" s="600" t="n">
        <x:v>0.08211784774230901</x:v>
      </x:c>
      <x:c r="AM185" s="600" t="n">
        <x:v>0.4984</x:v>
      </x:c>
      <x:c r="AN185" s="595" t="inlineStr">
        <x:is>
          <x:t xml:space="preserve">EVALUATED</x:t>
        </x:is>
      </x:c>
      <x:c r="AO185" s="600" t="inlineStr">
        <x:is>
          <x:t xml:space="preserve">BUCKET_0.25、SIDE_IDENTITY_VALID、FLAT_LINE_GIVING_WATER_DROP</x:t>
        </x:is>
      </x:c>
      <x:c r="AP185" s="600" t="inlineStr">
        <x:is>
          <x:t xml:space="preserve">46cbf3537bf29460eb6f</x:t>
        </x:is>
      </x:c>
      <x:c r="AQ185" s="600" t="n">
        <x:v>0.25</x:v>
      </x:c>
      <x:c r="AR185" s="600" t="n">
        <x:v>1</x:v>
      </x:c>
      <x:c r="AS185" s="600" t="n">
        <x:v>-0.25</x:v>
      </x:c>
      <x:c r="AT185" s="600" t="n">
        <x:v>0.25</x:v>
      </x:c>
      <x:c r="AU185" s="600" t="n">
        <x:v>0.76</x:v>
      </x:c>
      <x:c r="AV185" s="600" t="n">
        <x:v>1</x:v>
      </x:c>
      <x:c r="AW185" s="595" t="n">
        <x:v>46283.33365373842</x:v>
      </x:c>
      <x:c r="AX185" s="595" t="inlineStr">
        <x:is>
          <x:t xml:space="preserve">https://simondongxiao.github.io/odds/v4/</x:t>
        </x:is>
      </x:c>
      <x:c r="AY185" s="595" t="inlineStr">
        <x:is>
          <x:t xml:space="preserve">V4 Shadow Only；real_money=false；比分差异详见记录审计</x:t>
        </x:is>
      </x:c>
    </x:row>
    <x:row r="186" ht="22" customHeight="1">
      <x:c r="A186" s="595" t="inlineStr">
        <x:is>
          <x:t xml:space="preserve">2026-09-18</x:t>
        </x:is>
      </x:c>
      <x:c r="B186" s="595" t="inlineStr">
        <x:is>
          <x:t xml:space="preserve">2026-09-19 02:45</x:t>
        </x:is>
      </x:c>
      <x:c r="C186" s="595" t="str">
        <x:v>欧洲非五大系列</x:v>
      </x:c>
      <x:c r="D186" s="595" t="inlineStr">
        <x:is>
          <x:t xml:space="preserve">联赛</x:t>
        </x:is>
      </x:c>
      <x:c r="E186" s="595" t="inlineStr">
        <x:is>
          <x:t xml:space="preserve">威超</x:t>
        </x:is>
      </x:c>
      <x:c r="F186" s="595" t="inlineStr">
        <x:is>
          <x:t xml:space="preserve">康纳斯码头 vs 卡迪夫都市大学</x:t>
        </x:is>
      </x:c>
      <x:c r="G186" s="596" t="n">
        <x:v>0.6</x:v>
      </x:c>
      <x:c r="H186" s="596" t="n">
        <x:v>0.75</x:v>
      </x:c>
      <x:c r="I186" s="596" t="n">
        <x:v>1.19</x:v>
      </x:c>
      <x:c r="J186" s="596" t="inlineStr">
        <x:is>
          <x:t xml:space="preserve">0.60/0.75/1.19</x:t>
        </x:is>
      </x:c>
      <x:c r="K186" s="595" t="inlineStr">
        <x:is>
          <x:t xml:space="preserve">V4-B｜EV +0.0964</x:t>
        </x:is>
      </x:c>
      <x:c r="L186" s="595" t="inlineStr">
        <x:is>
          <x:t xml:space="preserve">卡迪夫都市大学</x:t>
        </x:is>
      </x:c>
      <x:c r="M186" s="597" t="n">
        <x:v>0.5071770334928229</x:v>
      </x:c>
      <x:c r="N186" s="595" t="inlineStr">
        <x:is>
          <x:t xml:space="preserve">V4纸面入选-B</x:t>
        </x:is>
      </x:c>
      <x:c r="O186" s="595" t="inlineStr">
        <x:is>
          <x:t xml:space="preserve">1-0</x:t>
        </x:is>
      </x:c>
      <x:c r="P186" s="595" t="inlineStr">
        <x:is>
          <x:t xml:space="preserve">已结算</x:t>
        </x:is>
      </x:c>
      <x:c r="Q186" s="643" t="inlineStr">
        <x:is>
          <x:t xml:space="preserve">半黑</x:t>
        </x:is>
      </x:c>
      <x:c r="R186" s="599" t="n">
        <x:v>1.19</x:v>
      </x:c>
      <x:c r="S186" s="599" t="n">
        <x:f>IF(OR(Q186="",Q186="待结算"),"",IF(Q186="红",R186,IF(Q186="半红",R186*0.5,IF(Q186="走",0,IF(Q186="半黑",-0.5,-1)))))</x:f>
        <x:v>-0.5</x:v>
      </x:c>
      <x:c r="T186" s="595" t="inlineStr">
        <x:is>
          <x:t xml:space="preserve">https://zq.titan007.com/analysis/3019534cn.htm</x:t>
        </x:is>
      </x:c>
      <x:c r="U186" s="642" t="str">
        <x:f>IF(Q186="","",IF(Q186="待结算","待结算",IF(Q186="红","黑",IF(Q186="半红","半黑",IF(Q186="走","走",IF(Q186="半黑","半红","红"))))))</x:f>
        <x:v>半红</x:v>
      </x:c>
      <x:c r="V186" s="599" t="n">
        <x:f>IF(OR(Q186="",Q186="待结算"),"",IF(L186=LEFT(F186,FIND(" vs ",F186)-1),I186,G186))</x:f>
        <x:v>0.6</x:v>
      </x:c>
      <x:c r="W186" s="599" t="n">
        <x:f>IF(OR(U186="",U186="待结算"),"",IF(U186="红",V186,IF(U186="半红",V186*0.5,IF(U186="走",0,IF(U186="半黑",-0.5,-1)))))</x:f>
        <x:v>0.3</x:v>
      </x:c>
      <x:c r="X186" s="595" t="inlineStr">
        <x:is>
          <x:t xml:space="preserve">3019534</x:t>
        </x:is>
      </x:c>
      <x:c r="Y186" s="595" t="inlineStr">
        <x:is>
          <x:t xml:space="preserve">v4-market-dirichlet-20260913</x:t>
        </x:is>
      </x:c>
      <x:c r="Z186" s="595" t="inlineStr">
        <x:is>
          <x:t xml:space="preserve">prior-2026-09-18-v1</x:t>
        </x:is>
      </x:c>
      <x:c r="AA186" s="595" t="inlineStr">
        <x:is>
          <x:t xml:space="preserve">B</x:t>
        </x:is>
      </x:c>
      <x:c r="AB186" s="600" t="n">
        <x:v>0.4416666666666667</x:v>
      </x:c>
      <x:c r="AC186" s="600" t="n">
        <x:v>0</x:v>
      </x:c>
      <x:c r="AD186" s="600" t="n">
        <x:v>0</x:v>
      </x:c>
      <x:c r="AE186" s="600" t="n">
        <x:v>0.2583333333333334</x:v>
      </x:c>
      <x:c r="AF186" s="600" t="n">
        <x:v>0.3</x:v>
      </x:c>
      <x:c r="AG186" s="600" t="n">
        <x:v>0.09641666666666665</x:v>
      </x:c>
      <x:c r="AH186" s="600" t="n">
        <x:v>-0.05080491539853338</x:v>
      </x:c>
      <x:c r="AI186" s="600" t="n">
        <x:v>-0.01736416480450914</x:v>
      </x:c>
      <x:c r="AJ186" s="600" t="n">
        <x:v>0.1000549565383584</x:v>
      </x:c>
      <x:c r="AK186" s="600" t="n">
        <x:v>0.2139662620814372</x:v>
      </x:c>
      <x:c r="AL186" s="600" t="n">
        <x:v>0.2434745309056092</x:v>
      </x:c>
      <x:c r="AM186" s="600" t="n">
        <x:v>0.8636</x:v>
      </x:c>
      <x:c r="AN186" s="595" t="inlineStr">
        <x:is>
          <x:t xml:space="preserve">EVALUATED</x:t>
        </x:is>
      </x:c>
      <x:c r="AO186" s="600" t="inlineStr">
        <x:is>
          <x:t xml:space="preserve">BUCKET_0.75、SIDE_IDENTITY_VALID、FLAT_LINE_GIVING_WATER_DROP</x:t>
        </x:is>
      </x:c>
      <x:c r="AP186" s="600" t="inlineStr">
        <x:is>
          <x:t xml:space="preserve">3a49f07b5584f5bba846</x:t>
        </x:is>
      </x:c>
      <x:c r="AQ186" s="600" t="n">
        <x:v>0.75</x:v>
      </x:c>
      <x:c r="AR186" s="600" t="n">
        <x:v>1.19</x:v>
      </x:c>
      <x:c r="AS186" s="600" t="n">
        <x:v>-0.75</x:v>
      </x:c>
      <x:c r="AT186" s="600" t="n">
        <x:v>0.75</x:v>
      </x:c>
      <x:c r="AU186" s="600" t="n">
        <x:v>0.6</x:v>
      </x:c>
      <x:c r="AV186" s="600" t="n">
        <x:v>1.19</x:v>
      </x:c>
      <x:c r="AW186" s="595" t="n">
        <x:v>46283.33365373842</x:v>
      </x:c>
      <x:c r="AX186" s="595" t="inlineStr">
        <x:is>
          <x:t xml:space="preserve">https://simondongxiao.github.io/odds/v4/</x:t>
        </x:is>
      </x:c>
      <x:c r="AY186" s="595" t="inlineStr">
        <x:is>
          <x:t xml:space="preserve">V4 Shadow Only；real_money=false；比分差异详见记录审计</x:t>
        </x:is>
      </x:c>
    </x:row>
    <x:row r="187" ht="22" customHeight="1">
      <x:c r="A187" s="595" t="inlineStr">
        <x:is>
          <x:t xml:space="preserve">2026-09-18</x:t>
        </x:is>
      </x:c>
      <x:c r="B187" s="595" t="inlineStr">
        <x:is>
          <x:t xml:space="preserve">2026-09-19 03:00</x:t>
        </x:is>
      </x:c>
      <x:c r="C187" s="595" t="str">
        <x:v>欧洲五大系列</x:v>
      </x:c>
      <x:c r="D187" s="595" t="inlineStr">
        <x:is>
          <x:t xml:space="preserve">联赛</x:t>
        </x:is>
      </x:c>
      <x:c r="E187" s="595" t="inlineStr">
        <x:is>
          <x:t xml:space="preserve">西甲</x:t>
        </x:is>
      </x:c>
      <x:c r="F187" s="595" t="inlineStr">
        <x:is>
          <x:t xml:space="preserve">西班牙人 vs 埃尔切</x:t>
        </x:is>
      </x:c>
      <x:c r="G187" s="596" t="n">
        <x:v>0.83</x:v>
      </x:c>
      <x:c r="H187" s="596" t="n">
        <x:v>0.5</x:v>
      </x:c>
      <x:c r="I187" s="596" t="n">
        <x:v>1.06</x:v>
      </x:c>
      <x:c r="J187" s="596" t="inlineStr">
        <x:is>
          <x:t xml:space="preserve">0.83/0.5/1.06</x:t>
        </x:is>
      </x:c>
      <x:c r="K187" s="595" t="inlineStr">
        <x:is>
          <x:t xml:space="preserve">V4-C｜EV +0.0359</x:t>
        </x:is>
      </x:c>
      <x:c r="L187" s="595" t="inlineStr">
        <x:is>
          <x:t xml:space="preserve">埃尔切</x:t>
        </x:is>
      </x:c>
      <x:c r="M187" s="597" t="n">
        <x:v>0.5028571428571429</x:v>
      </x:c>
      <x:c r="N187" s="595" t="inlineStr">
        <x:is>
          <x:t xml:space="preserve">V4纸面入选-C</x:t>
        </x:is>
      </x:c>
      <x:c r="O187" s="595" t="inlineStr">
        <x:is>
          <x:t xml:space="preserve">1-3</x:t>
        </x:is>
      </x:c>
      <x:c r="P187" s="595" t="inlineStr">
        <x:is>
          <x:t xml:space="preserve">已结算</x:t>
        </x:is>
      </x:c>
      <x:c r="Q187" s="640" t="inlineStr">
        <x:is>
          <x:t xml:space="preserve">红</x:t>
        </x:is>
      </x:c>
      <x:c r="R187" s="599" t="n">
        <x:v>1.06</x:v>
      </x:c>
      <x:c r="S187" s="599" t="n">
        <x:f>IF(OR(Q187="",Q187="待结算"),"",IF(Q187="红",R187,IF(Q187="半红",R187*0.5,IF(Q187="走",0,IF(Q187="半黑",-0.5,-1)))))</x:f>
        <x:v>1.06</x:v>
      </x:c>
      <x:c r="T187" s="595" t="inlineStr">
        <x:is>
          <x:t xml:space="preserve">https://zq.titan007.com/analysis/3013706cn.htm</x:t>
        </x:is>
      </x:c>
      <x:c r="U187" s="641" t="str">
        <x:f>IF(Q187="","",IF(Q187="待结算","待结算",IF(Q187="红","黑",IF(Q187="半红","半黑",IF(Q187="走","走",IF(Q187="半黑","半红","红"))))))</x:f>
        <x:v>黑</x:v>
      </x:c>
      <x:c r="V187" s="599" t="n">
        <x:f>IF(OR(Q187="",Q187="待结算"),"",IF(L187=LEFT(F187,FIND(" vs ",F187)-1),I187,G187))</x:f>
        <x:v>0.83</x:v>
      </x:c>
      <x:c r="W187" s="599" t="n">
        <x:f>IF(OR(U187="",U187="待结算"),"",IF(U187="红",V187,IF(U187="半红",V187*0.5,IF(U187="走",0,IF(U187="半黑",-0.5,-1)))))</x:f>
        <x:v>-1</x:v>
      </x:c>
      <x:c r="X187" s="595" t="inlineStr">
        <x:is>
          <x:t xml:space="preserve">3013706</x:t>
        </x:is>
      </x:c>
      <x:c r="Y187" s="595" t="inlineStr">
        <x:is>
          <x:t xml:space="preserve">v4-market-dirichlet-20260913</x:t>
        </x:is>
      </x:c>
      <x:c r="Z187" s="595" t="inlineStr">
        <x:is>
          <x:t xml:space="preserve">prior-2026-09-18-v1</x:t>
        </x:is>
      </x:c>
      <x:c r="AA187" s="595" t="inlineStr">
        <x:is>
          <x:t xml:space="preserve">C</x:t>
        </x:is>
      </x:c>
      <x:c r="AB187" s="600" t="n">
        <x:v>0.5028571428571429</x:v>
      </x:c>
      <x:c r="AC187" s="600" t="n">
        <x:v>0</x:v>
      </x:c>
      <x:c r="AD187" s="600" t="n">
        <x:v>0</x:v>
      </x:c>
      <x:c r="AE187" s="600" t="n">
        <x:v>0</x:v>
      </x:c>
      <x:c r="AF187" s="600" t="n">
        <x:v>0.4971428571428572</x:v>
      </x:c>
      <x:c r="AG187" s="600" t="n">
        <x:v>0.03588571428571435</x:v>
      </x:c>
      <x:c r="AH187" s="600" t="n">
        <x:v>-0.0914639380770344</x:v>
      </x:c>
      <x:c r="AI187" s="600" t="n">
        <x:v>-0.06454836719147677</x:v>
      </x:c>
      <x:c r="AJ187" s="600" t="n">
        <x:v>0.03516809251563296</x:v>
      </x:c>
      <x:c r="AK187" s="600" t="n">
        <x:v>0.1333316480180419</x:v>
      </x:c>
      <x:c r="AL187" s="600" t="n">
        <x:v>0.1621314628268056</x:v>
      </x:c>
      <x:c r="AM187" s="600" t="n">
        <x:v>0.669</x:v>
      </x:c>
      <x:c r="AN187" s="595" t="inlineStr">
        <x:is>
          <x:t xml:space="preserve">EVALUATED</x:t>
        </x:is>
      </x:c>
      <x:c r="AO187" s="600" t="inlineStr">
        <x:is>
          <x:t xml:space="preserve">BUCKET_0.50、SIDE_IDENTITY_VALID、FLAT_LINE_GIVING_WATER_DROP</x:t>
        </x:is>
      </x:c>
      <x:c r="AP187" s="600" t="inlineStr">
        <x:is>
          <x:t xml:space="preserve">2a277518087ea070d19c</x:t>
        </x:is>
      </x:c>
      <x:c r="AQ187" s="600" t="n">
        <x:v>0.5</x:v>
      </x:c>
      <x:c r="AR187" s="600" t="n">
        <x:v>1.06</x:v>
      </x:c>
      <x:c r="AS187" s="600" t="n">
        <x:v>-0.5</x:v>
      </x:c>
      <x:c r="AT187" s="600" t="n">
        <x:v>0.5</x:v>
      </x:c>
      <x:c r="AU187" s="600" t="n">
        <x:v>0.83</x:v>
      </x:c>
      <x:c r="AV187" s="600" t="n">
        <x:v>1.06</x:v>
      </x:c>
      <x:c r="AW187" s="595" t="n">
        <x:v>46283.33365373842</x:v>
      </x:c>
      <x:c r="AX187" s="595" t="inlineStr">
        <x:is>
          <x:t xml:space="preserve">https://simondongxiao.github.io/odds/v4/</x:t>
        </x:is>
      </x:c>
      <x:c r="AY187" s="595" t="inlineStr">
        <x:is>
          <x:t xml:space="preserve">V4 Shadow Only；real_money=false；比分差异详见记录审计</x:t>
        </x:is>
      </x:c>
    </x:row>
    <x:row r="188" ht="22" customHeight="1">
      <x:c r="A188" s="595" t="inlineStr">
        <x:is>
          <x:t xml:space="preserve">2026-09-18</x:t>
        </x:is>
      </x:c>
      <x:c r="B188" s="595" t="inlineStr">
        <x:is>
          <x:t xml:space="preserve">2026-09-19 03:30</x:t>
        </x:is>
      </x:c>
      <x:c r="C188" s="595" t="str">
        <x:v>欧洲非五大系列</x:v>
      </x:c>
      <x:c r="D188" s="595" t="inlineStr">
        <x:is>
          <x:t xml:space="preserve">杯赛</x:t>
        </x:is>
      </x:c>
      <x:c r="E188" s="595" t="inlineStr">
        <x:is>
          <x:t xml:space="preserve">葡杯</x:t>
        </x:is>
      </x:c>
      <x:c r="F188" s="595" t="inlineStr">
        <x:is>
          <x:t xml:space="preserve">皇家体育队 vs 科英布拉大学</x:t>
        </x:is>
      </x:c>
      <x:c r="G188" s="596" t="n">
        <x:v>1.05</x:v>
      </x:c>
      <x:c r="H188" s="596" t="n">
        <x:v>-1</x:v>
      </x:c>
      <x:c r="I188" s="596" t="n">
        <x:v>0.65</x:v>
      </x:c>
      <x:c r="J188" s="596" t="inlineStr">
        <x:is>
          <x:t xml:space="preserve">1.05/-1/0.65</x:t>
        </x:is>
      </x:c>
      <x:c r="K188" s="595" t="inlineStr">
        <x:is>
          <x:t xml:space="preserve">V4-C｜EV +0.0868</x:t>
        </x:is>
      </x:c>
      <x:c r="L188" s="595" t="inlineStr">
        <x:is>
          <x:t xml:space="preserve">皇家体育队</x:t>
        </x:is>
      </x:c>
      <x:c r="M188" s="597" t="n">
        <x:v>0.5423728813559322</x:v>
      </x:c>
      <x:c r="N188" s="595" t="inlineStr">
        <x:is>
          <x:t xml:space="preserve">V4纸面入选-C</x:t>
        </x:is>
      </x:c>
      <x:c r="O188" s="595" t="inlineStr">
        <x:is>
          <x:t xml:space="preserve">1-4</x:t>
        </x:is>
      </x:c>
      <x:c r="P188" s="595" t="inlineStr">
        <x:is>
          <x:t xml:space="preserve">已结算</x:t>
        </x:is>
      </x:c>
      <x:c r="Q188" s="641" t="inlineStr">
        <x:is>
          <x:t xml:space="preserve">黑</x:t>
        </x:is>
      </x:c>
      <x:c r="R188" s="599" t="n">
        <x:v>1.05</x:v>
      </x:c>
      <x:c r="S188" s="599" t="n">
        <x:f>IF(OR(Q188="",Q188="待结算"),"",IF(Q188="红",R188,IF(Q188="半红",R188*0.5,IF(Q188="走",0,IF(Q188="半黑",-0.5,-1)))))</x:f>
        <x:v>-1</x:v>
      </x:c>
      <x:c r="T188" s="595" t="inlineStr">
        <x:is>
          <x:t xml:space="preserve">https://zq.titan007.com/analysis/3089847cn.htm</x:t>
        </x:is>
      </x:c>
      <x:c r="U188" s="640" t="str">
        <x:f>IF(Q188="","",IF(Q188="待结算","待结算",IF(Q188="红","黑",IF(Q188="半红","半黑",IF(Q188="走","走",IF(Q188="半黑","半红","红"))))))</x:f>
        <x:v>红</x:v>
      </x:c>
      <x:c r="V188" s="599" t="n">
        <x:f>IF(OR(Q188="",Q188="待结算"),"",IF(L188=LEFT(F188,FIND(" vs ",F188)-1),I188,G188))</x:f>
        <x:v>0.65</x:v>
      </x:c>
      <x:c r="W188" s="599" t="n">
        <x:f>IF(OR(U188="",U188="待结算"),"",IF(U188="红",V188,IF(U188="半红",V188*0.5,IF(U188="走",0,IF(U188="半黑",-0.5,-1)))))</x:f>
        <x:v>0.65</x:v>
      </x:c>
      <x:c r="X188" s="595" t="inlineStr">
        <x:is>
          <x:t xml:space="preserve">3089847</x:t>
        </x:is>
      </x:c>
      <x:c r="Y188" s="595" t="inlineStr">
        <x:is>
          <x:t xml:space="preserve">v4-market-dirichlet-20260913</x:t>
        </x:is>
      </x:c>
      <x:c r="Z188" s="595" t="inlineStr">
        <x:is>
          <x:t xml:space="preserve">prior-2026-09-18-v1</x:t>
        </x:is>
      </x:c>
      <x:c r="AA188" s="595" t="inlineStr">
        <x:is>
          <x:t xml:space="preserve">C</x:t>
        </x:is>
      </x:c>
      <x:c r="AB188" s="600" t="n">
        <x:v>0.4210526315789473</x:v>
      </x:c>
      <x:c r="AC188" s="600" t="n">
        <x:v>0</x:v>
      </x:c>
      <x:c r="AD188" s="600" t="n">
        <x:v>0.2236842105263158</x:v>
      </x:c>
      <x:c r="AE188" s="600" t="n">
        <x:v>0</x:v>
      </x:c>
      <x:c r="AF188" s="600" t="n">
        <x:v>0.3552631578947368</x:v>
      </x:c>
      <x:c r="AG188" s="600" t="n">
        <x:v>0.08684210526315789</x:v>
      </x:c>
      <x:c r="AH188" s="600" t="n">
        <x:v>-0.08067527229444771</x:v>
      </x:c>
      <x:c r="AI188" s="600" t="n">
        <x:v>-0.04279544648085631</x:v>
      </x:c>
      <x:c r="AJ188" s="600" t="n">
        <x:v>0.08817119996422385</x:v>
      </x:c>
      <x:c r="AK188" s="600" t="n">
        <x:v>0.2214943470071104</x:v>
      </x:c>
      <x:c r="AL188" s="600" t="n">
        <x:v>0.2552412859226663</x:v>
      </x:c>
      <x:c r="AM188" s="600" t="n">
        <x:v>0.8016</x:v>
      </x:c>
      <x:c r="AN188" s="595" t="inlineStr">
        <x:is>
          <x:t xml:space="preserve">EVALUATED</x:t>
        </x:is>
      </x:c>
      <x:c r="AO188" s="600" t="inlineStr">
        <x:is>
          <x:t xml:space="preserve">BUCKET_1.00、SIDE_IDENTITY_VALID、FLAT_LINE_GIVING_WATER_DROP</x:t>
        </x:is>
      </x:c>
      <x:c r="AP188" s="600" t="inlineStr">
        <x:is>
          <x:t xml:space="preserve">cee3f0567b7253cee804</x:t>
        </x:is>
      </x:c>
      <x:c r="AQ188" s="600" t="n">
        <x:v>1</x:v>
      </x:c>
      <x:c r="AR188" s="600" t="n">
        <x:v>1.05</x:v>
      </x:c>
      <x:c r="AS188" s="600" t="n">
        <x:v>1</x:v>
      </x:c>
      <x:c r="AT188" s="600" t="n">
        <x:v>-1</x:v>
      </x:c>
      <x:c r="AU188" s="600" t="n">
        <x:v>1.05</x:v>
      </x:c>
      <x:c r="AV188" s="600" t="n">
        <x:v>0.65</x:v>
      </x:c>
      <x:c r="AW188" s="595" t="n">
        <x:v>46283.33365373842</x:v>
      </x:c>
      <x:c r="AX188" s="595" t="inlineStr">
        <x:is>
          <x:t xml:space="preserve">https://simondongxiao.github.io/odds/v4/</x:t>
        </x:is>
      </x:c>
      <x:c r="AY188" s="595" t="inlineStr">
        <x:is>
          <x:t xml:space="preserve">V4 Shadow Only；real_money=false；比分差异详见记录审计</x:t>
        </x:is>
      </x:c>
    </x:row>
    <x:row r="189" ht="22" customHeight="1">
      <x:c r="A189" s="595" t="inlineStr">
        <x:is>
          <x:t xml:space="preserve">2026-09-18</x:t>
        </x:is>
      </x:c>
      <x:c r="B189" s="595" t="inlineStr">
        <x:is>
          <x:t xml:space="preserve">2026-09-19 06:30</x:t>
        </x:is>
      </x:c>
      <x:c r="C189" s="595" t="str">
        <x:v>南美系列</x:v>
      </x:c>
      <x:c r="D189" s="595" t="inlineStr">
        <x:is>
          <x:t xml:space="preserve">联赛</x:t>
        </x:is>
      </x:c>
      <x:c r="E189" s="595" t="inlineStr">
        <x:is>
          <x:t xml:space="preserve">巴西乙</x:t>
        </x:is>
      </x:c>
      <x:c r="F189" s="595" t="inlineStr">
        <x:is>
          <x:t xml:space="preserve">维拉诺瓦 vs 米内罗美洲</x:t>
        </x:is>
      </x:c>
      <x:c r="G189" s="596" t="n">
        <x:v>0.8</x:v>
      </x:c>
      <x:c r="H189" s="596" t="n">
        <x:v>1</x:v>
      </x:c>
      <x:c r="I189" s="596" t="n">
        <x:v>1.08</x:v>
      </x:c>
      <x:c r="J189" s="596" t="inlineStr">
        <x:is>
          <x:t xml:space="preserve">0.80/1/1.08</x:t>
        </x:is>
      </x:c>
      <x:c r="K189" s="595" t="inlineStr">
        <x:is>
          <x:t xml:space="preserve">V4-C｜EV +0.0995</x:t>
        </x:is>
      </x:c>
      <x:c r="L189" s="595" t="inlineStr">
        <x:is>
          <x:t xml:space="preserve">米内罗美洲</x:t>
        </x:is>
      </x:c>
      <x:c r="M189" s="597" t="n">
        <x:v>0.5423728813559322</x:v>
      </x:c>
      <x:c r="N189" s="595" t="inlineStr">
        <x:is>
          <x:t xml:space="preserve">V4纸面入选-C</x:t>
        </x:is>
      </x:c>
      <x:c r="O189" s="595" t="inlineStr">
        <x:is>
          <x:t xml:space="preserve">1-0</x:t>
        </x:is>
      </x:c>
      <x:c r="P189" s="595" t="inlineStr">
        <x:is>
          <x:t xml:space="preserve">已结算</x:t>
        </x:is>
      </x:c>
      <x:c r="Q189" s="644" t="inlineStr">
        <x:is>
          <x:t xml:space="preserve">走</x:t>
        </x:is>
      </x:c>
      <x:c r="R189" s="599" t="n">
        <x:v>1.08</x:v>
      </x:c>
      <x:c r="S189" s="599" t="n">
        <x:f>IF(OR(Q189="",Q189="待结算"),"",IF(Q189="红",R189,IF(Q189="半红",R189*0.5,IF(Q189="走",0,IF(Q189="半黑",-0.5,-1)))))</x:f>
        <x:v>0</x:v>
      </x:c>
      <x:c r="T189" s="595" t="inlineStr">
        <x:is>
          <x:t xml:space="preserve">https://zq.titan007.com/analysis/2940194cn.htm</x:t>
        </x:is>
      </x:c>
      <x:c r="U189" s="644" t="str">
        <x:f>IF(Q189="","",IF(Q189="待结算","待结算",IF(Q189="红","黑",IF(Q189="半红","半黑",IF(Q189="走","走",IF(Q189="半黑","半红","红"))))))</x:f>
        <x:v>走</x:v>
      </x:c>
      <x:c r="V189" s="599" t="n">
        <x:f>IF(OR(Q189="",Q189="待结算"),"",IF(L189=LEFT(F189,FIND(" vs ",F189)-1),I189,G189))</x:f>
        <x:v>0.8</x:v>
      </x:c>
      <x:c r="W189" s="599" t="n">
        <x:f>IF(OR(U189="",U189="待结算"),"",IF(U189="红",V189,IF(U189="半红",V189*0.5,IF(U189="走",0,IF(U189="半黑",-0.5,-1)))))</x:f>
        <x:v>0</x:v>
      </x:c>
      <x:c r="X189" s="595" t="inlineStr">
        <x:is>
          <x:t xml:space="preserve">2940194</x:t>
        </x:is>
      </x:c>
      <x:c r="Y189" s="595" t="inlineStr">
        <x:is>
          <x:t xml:space="preserve">v4-market-dirichlet-20260913</x:t>
        </x:is>
      </x:c>
      <x:c r="Z189" s="595" t="inlineStr">
        <x:is>
          <x:t xml:space="preserve">prior-2026-09-18-v1</x:t>
        </x:is>
      </x:c>
      <x:c r="AA189" s="595" t="inlineStr">
        <x:is>
          <x:t xml:space="preserve">C</x:t>
        </x:is>
      </x:c>
      <x:c r="AB189" s="600" t="n">
        <x:v>0.4210526315789473</x:v>
      </x:c>
      <x:c r="AC189" s="600" t="n">
        <x:v>0</x:v>
      </x:c>
      <x:c r="AD189" s="600" t="n">
        <x:v>0.2236842105263158</x:v>
      </x:c>
      <x:c r="AE189" s="600" t="n">
        <x:v>0</x:v>
      </x:c>
      <x:c r="AF189" s="600" t="n">
        <x:v>0.3552631578947368</x:v>
      </x:c>
      <x:c r="AG189" s="600" t="n">
        <x:v>0.09947368421052633</x:v>
      </x:c>
      <x:c r="AH189" s="600" t="n">
        <x:v>-0.07182081021035458</x:v>
      </x:c>
      <x:c r="AI189" s="600" t="n">
        <x:v>-0.03347892870143548</x:v>
      </x:c>
      <x:c r="AJ189" s="600" t="n">
        <x:v>0.1002720183952013</x:v>
      </x:c>
      <x:c r="AK189" s="600" t="n">
        <x:v>0.2315989798582521</x:v>
      </x:c>
      <x:c r="AL189" s="600" t="n">
        <x:v>0.2736622042206128</x:v>
      </x:c>
      <x:c r="AM189" s="600" t="n">
        <x:v>0.8332000000000001</x:v>
      </x:c>
      <x:c r="AN189" s="595" t="inlineStr">
        <x:is>
          <x:t xml:space="preserve">EVALUATED</x:t>
        </x:is>
      </x:c>
      <x:c r="AO189" s="600" t="inlineStr">
        <x:is>
          <x:t xml:space="preserve">BUCKET_1.00、SIDE_IDENTITY_VALID、FLAT_LINE_GIVING_WATER_DROP</x:t>
        </x:is>
      </x:c>
      <x:c r="AP189" s="600" t="inlineStr">
        <x:is>
          <x:t xml:space="preserve">81f6e91d7d60d1afc5c0</x:t>
        </x:is>
      </x:c>
      <x:c r="AQ189" s="600" t="n">
        <x:v>1</x:v>
      </x:c>
      <x:c r="AR189" s="600" t="n">
        <x:v>1.08</x:v>
      </x:c>
      <x:c r="AS189" s="600" t="n">
        <x:v>-1</x:v>
      </x:c>
      <x:c r="AT189" s="600" t="n">
        <x:v>1</x:v>
      </x:c>
      <x:c r="AU189" s="600" t="n">
        <x:v>0.8</x:v>
      </x:c>
      <x:c r="AV189" s="600" t="n">
        <x:v>1.08</x:v>
      </x:c>
      <x:c r="AW189" s="595" t="n">
        <x:v>46283.33365373842</x:v>
      </x:c>
      <x:c r="AX189" s="595" t="inlineStr">
        <x:is>
          <x:t xml:space="preserve">https://simondongxiao.github.io/odds/v4/</x:t>
        </x:is>
      </x:c>
      <x:c r="AY189" s="595" t="inlineStr">
        <x:is>
          <x:t xml:space="preserve">V4 Shadow Only；real_money=false；比分差异详见记录审计</x:t>
        </x:is>
      </x:c>
    </x:row>
    <x:row r="190" ht="22" customHeight="1">
      <x:c r="A190" s="595" t="inlineStr">
        <x:is>
          <x:t xml:space="preserve">2026-09-18</x:t>
        </x:is>
      </x:c>
      <x:c r="B190" s="595" t="inlineStr">
        <x:is>
          <x:t xml:space="preserve">2026-09-19 07:30</x:t>
        </x:is>
      </x:c>
      <x:c r="C190" s="595" t="str">
        <x:v>南美系列</x:v>
      </x:c>
      <x:c r="D190" s="595" t="inlineStr">
        <x:is>
          <x:t xml:space="preserve">联赛</x:t>
        </x:is>
      </x:c>
      <x:c r="E190" s="595" t="inlineStr">
        <x:is>
          <x:t xml:space="preserve">巴西乙</x:t>
        </x:is>
      </x:c>
      <x:c r="F190" s="595" t="inlineStr">
        <x:is>
          <x:t xml:space="preserve">塞阿拉 vs 诺瓦里桑蒂诺</x:t>
        </x:is>
      </x:c>
      <x:c r="G190" s="596" t="n">
        <x:v>0.8100000000000001</x:v>
      </x:c>
      <x:c r="H190" s="596" t="n">
        <x:v>-0.25</x:v>
      </x:c>
      <x:c r="I190" s="596" t="n">
        <x:v>1.07</x:v>
      </x:c>
      <x:c r="J190" s="596" t="inlineStr">
        <x:is>
          <x:t xml:space="preserve">0.81/-0.25/1.07</x:t>
        </x:is>
      </x:c>
      <x:c r="K190" s="595" t="inlineStr">
        <x:is>
          <x:t xml:space="preserve">V4-C｜EV +0.0279</x:t>
        </x:is>
      </x:c>
      <x:c r="L190" s="595" t="inlineStr">
        <x:is>
          <x:t xml:space="preserve">诺瓦里桑蒂诺</x:t>
        </x:is>
      </x:c>
      <x:c r="M190" s="597" t="n">
        <x:v>0.4989775051124744</x:v>
      </x:c>
      <x:c r="N190" s="595" t="inlineStr">
        <x:is>
          <x:t xml:space="preserve">V4纸面入选-C</x:t>
        </x:is>
      </x:c>
      <x:c r="O190" s="595" t="inlineStr">
        <x:is>
          <x:t xml:space="preserve">2-1</x:t>
        </x:is>
      </x:c>
      <x:c r="P190" s="595" t="inlineStr">
        <x:is>
          <x:t xml:space="preserve">已结算</x:t>
        </x:is>
      </x:c>
      <x:c r="Q190" s="641" t="inlineStr">
        <x:is>
          <x:t xml:space="preserve">黑</x:t>
        </x:is>
      </x:c>
      <x:c r="R190" s="599" t="n">
        <x:v>1.07</x:v>
      </x:c>
      <x:c r="S190" s="599" t="n">
        <x:f>IF(OR(Q190="",Q190="待结算"),"",IF(Q190="红",R190,IF(Q190="半红",R190*0.5,IF(Q190="走",0,IF(Q190="半黑",-0.5,-1)))))</x:f>
        <x:v>-1</x:v>
      </x:c>
      <x:c r="T190" s="595" t="inlineStr">
        <x:is>
          <x:t xml:space="preserve">https://www.cearasc.com/mobile/protagonista-na-virada-diante-do-novorizontino-ria/</x:t>
        </x:is>
      </x:c>
      <x:c r="U190" s="640" t="str">
        <x:f>IF(Q190="","",IF(Q190="待结算","待结算",IF(Q190="红","黑",IF(Q190="半红","半黑",IF(Q190="走","走",IF(Q190="半黑","半红","红"))))))</x:f>
        <x:v>红</x:v>
      </x:c>
      <x:c r="V190" s="599" t="n">
        <x:f>IF(OR(Q190="",Q190="待结算"),"",IF(L190=LEFT(F190,FIND(" vs ",F190)-1),I190,G190))</x:f>
        <x:v>0.81</x:v>
      </x:c>
      <x:c r="W190" s="599" t="n">
        <x:f>IF(OR(U190="",U190="待结算"),"",IF(U190="红",V190,IF(U190="半红",V190*0.5,IF(U190="走",0,IF(U190="半黑",-0.5,-1)))))</x:f>
        <x:v>0.81</x:v>
      </x:c>
      <x:c r="X190" s="595" t="inlineStr">
        <x:is>
          <x:t xml:space="preserve">2940186</x:t>
        </x:is>
      </x:c>
      <x:c r="Y190" s="595" t="inlineStr">
        <x:is>
          <x:t xml:space="preserve">v4-market-dirichlet-20260913</x:t>
        </x:is>
      </x:c>
      <x:c r="Z190" s="595" t="inlineStr">
        <x:is>
          <x:t xml:space="preserve">prior-2026-09-18-v1</x:t>
        </x:is>
      </x:c>
      <x:c r="AA190" s="595" t="inlineStr">
        <x:is>
          <x:t xml:space="preserve">C</x:t>
        </x:is>
      </x:c>
      <x:c r="AB190" s="600" t="n">
        <x:v>0.4236111111111111</x:v>
      </x:c>
      <x:c r="AC190" s="600" t="n">
        <x:v>0</x:v>
      </x:c>
      <x:c r="AD190" s="600" t="n">
        <x:v>0</x:v>
      </x:c>
      <x:c r="AE190" s="600" t="n">
        <x:v>0.3020833333333333</x:v>
      </x:c>
      <x:c r="AF190" s="600" t="n">
        <x:v>0.2743055555555556</x:v>
      </x:c>
      <x:c r="AG190" s="600" t="n">
        <x:v>0.0279166666666667</x:v>
      </x:c>
      <x:c r="AH190" s="600" t="n">
        <x:v>-0.06081199010010016</x:v>
      </x:c>
      <x:c r="AI190" s="600" t="n">
        <x:v>-0.04039920199042923</x:v>
      </x:c>
      <x:c r="AJ190" s="600" t="n">
        <x:v>0.02698966541960135</x:v>
      </x:c>
      <x:c r="AK190" s="600" t="n">
        <x:v>0.09640050235398814</x:v>
      </x:c>
      <x:c r="AL190" s="600" t="n">
        <x:v>0.1165756003328135</x:v>
      </x:c>
      <x:c r="AM190" s="600" t="n">
        <x:v>0.6978</x:v>
      </x:c>
      <x:c r="AN190" s="595" t="inlineStr">
        <x:is>
          <x:t xml:space="preserve">EVALUATED</x:t>
        </x:is>
      </x:c>
      <x:c r="AO190" s="600" t="inlineStr">
        <x:is>
          <x:t xml:space="preserve">BUCKET_0.25、SIDE_IDENTITY_VALID、MARKET_MOVE_DEEPER_WITH_GIVING_WATER_RISE</x:t>
        </x:is>
      </x:c>
      <x:c r="AP190" s="600" t="inlineStr">
        <x:is>
          <x:t xml:space="preserve">fe6e50e1c2dd1cc4a802</x:t>
        </x:is>
      </x:c>
      <x:c r="AQ190" s="600" t="n">
        <x:v>-0.25</x:v>
      </x:c>
      <x:c r="AR190" s="600" t="n">
        <x:v>1.07</x:v>
      </x:c>
      <x:c r="AS190" s="600" t="n">
        <x:v>0.25</x:v>
      </x:c>
      <x:c r="AT190" s="600" t="n">
        <x:v>-0.25</x:v>
      </x:c>
      <x:c r="AU190" s="600" t="n">
        <x:v>0.8100000000000001</x:v>
      </x:c>
      <x:c r="AV190" s="600" t="n">
        <x:v>1.07</x:v>
      </x:c>
      <x:c r="AW190" s="595" t="n">
        <x:v>46283.33365373842</x:v>
      </x:c>
      <x:c r="AX190" s="595" t="inlineStr">
        <x:is>
          <x:t xml:space="preserve">https://simondongxiao.github.io/odds/v4/</x:t>
        </x:is>
      </x:c>
      <x:c r="AY190" s="595" t="inlineStr">
        <x:is>
          <x:t xml:space="preserve">V4 Shadow Only；real_money=false；比分差异详见记录审计</x:t>
        </x:is>
      </x:c>
    </x:row>
    <x:row r="191" ht="22" customHeight="1">
      <x:c r="A191" s="595" t="inlineStr">
        <x:is>
          <x:t xml:space="preserve">2026-09-18</x:t>
        </x:is>
      </x:c>
      <x:c r="B191" s="595" t="inlineStr">
        <x:is>
          <x:t xml:space="preserve">2026-09-19 10:00</x:t>
        </x:is>
      </x:c>
      <x:c r="C191" s="595" t="str">
        <x:v>北美系列</x:v>
      </x:c>
      <x:c r="D191" s="595" t="inlineStr">
        <x:is>
          <x:t xml:space="preserve">联赛</x:t>
        </x:is>
      </x:c>
      <x:c r="E191" s="595" t="inlineStr">
        <x:is>
          <x:t xml:space="preserve">哥斯甲春</x:t>
        </x:is>
      </x:c>
      <x:c r="F191" s="595" t="inlineStr">
        <x:is>
          <x:t xml:space="preserve">泽伦顿 vs 圣何塞体育</x:t>
        </x:is>
      </x:c>
      <x:c r="G191" s="596" t="n">
        <x:v>1.09</x:v>
      </x:c>
      <x:c r="H191" s="596" t="n">
        <x:v>-0.25</x:v>
      </x:c>
      <x:c r="I191" s="596" t="n">
        <x:v>0.77</x:v>
      </x:c>
      <x:c r="J191" s="596" t="inlineStr">
        <x:is>
          <x:t xml:space="preserve">1.09/-0.25/0.77</x:t>
        </x:is>
      </x:c>
      <x:c r="K191" s="595" t="inlineStr">
        <x:is>
          <x:t xml:space="preserve">V4-C｜EV +0.0400</x:t>
        </x:is>
      </x:c>
      <x:c r="L191" s="595" t="inlineStr">
        <x:is>
          <x:t xml:space="preserve">泽伦顿</x:t>
        </x:is>
      </x:c>
      <x:c r="M191" s="597" t="n">
        <x:v>0.5010224948875256</x:v>
      </x:c>
      <x:c r="N191" s="595" t="inlineStr">
        <x:is>
          <x:t xml:space="preserve">V4纸面入选-C</x:t>
        </x:is>
      </x:c>
      <x:c r="O191" s="595" t="inlineStr">
        <x:is>
          <x:t xml:space="preserve">1-2</x:t>
        </x:is>
      </x:c>
      <x:c r="P191" s="595" t="inlineStr">
        <x:is>
          <x:t xml:space="preserve">已结算</x:t>
        </x:is>
      </x:c>
      <x:c r="Q191" s="641" t="inlineStr">
        <x:is>
          <x:t xml:space="preserve">黑</x:t>
        </x:is>
      </x:c>
      <x:c r="R191" s="599" t="n">
        <x:v>1.09</x:v>
      </x:c>
      <x:c r="S191" s="599" t="n">
        <x:f>IF(OR(Q191="",Q191="待结算"),"",IF(Q191="红",R191,IF(Q191="半红",R191*0.5,IF(Q191="走",0,IF(Q191="半黑",-0.5,-1)))))</x:f>
        <x:v>-1</x:v>
      </x:c>
      <x:c r="T191" s="595" t="inlineStr">
        <x:is>
          <x:t xml:space="preserve">https://zq.titan007.com/analysis/3042565cn.htm</x:t>
        </x:is>
      </x:c>
      <x:c r="U191" s="640" t="str">
        <x:f>IF(Q191="","",IF(Q191="待结算","待结算",IF(Q191="红","黑",IF(Q191="半红","半黑",IF(Q191="走","走",IF(Q191="半黑","半红","红"))))))</x:f>
        <x:v>红</x:v>
      </x:c>
      <x:c r="V191" s="599" t="n">
        <x:f>IF(OR(Q191="",Q191="待结算"),"",IF(L191=LEFT(F191,FIND(" vs ",F191)-1),I191,G191))</x:f>
        <x:v>0.77</x:v>
      </x:c>
      <x:c r="W191" s="599" t="n">
        <x:f>IF(OR(U191="",U191="待结算"),"",IF(U191="红",V191,IF(U191="半红",V191*0.5,IF(U191="走",0,IF(U191="半黑",-0.5,-1)))))</x:f>
        <x:v>0.77</x:v>
      </x:c>
      <x:c r="X191" s="595" t="inlineStr">
        <x:is>
          <x:t xml:space="preserve">3042565</x:t>
        </x:is>
      </x:c>
      <x:c r="Y191" s="595" t="inlineStr">
        <x:is>
          <x:t xml:space="preserve">v4-market-dirichlet-20260913</x:t>
        </x:is>
      </x:c>
      <x:c r="Z191" s="595" t="inlineStr">
        <x:is>
          <x:t xml:space="preserve">prior-2026-09-18-v1</x:t>
        </x:is>
      </x:c>
      <x:c r="AA191" s="595" t="inlineStr">
        <x:is>
          <x:t xml:space="preserve">C</x:t>
        </x:is>
      </x:c>
      <x:c r="AB191" s="600" t="n">
        <x:v>0.2743055555555556</x:v>
      </x:c>
      <x:c r="AC191" s="600" t="n">
        <x:v>0.3020833333333333</x:v>
      </x:c>
      <x:c r="AD191" s="600" t="n">
        <x:v>0</x:v>
      </x:c>
      <x:c r="AE191" s="600" t="n">
        <x:v>0</x:v>
      </x:c>
      <x:c r="AF191" s="600" t="n">
        <x:v>0.4236111111111111</x:v>
      </x:c>
      <x:c r="AG191" s="600" t="n">
        <x:v>0.04001736111111115</x:v>
      </x:c>
      <x:c r="AH191" s="600" t="n">
        <x:v>-0.04593628256294791</x:v>
      </x:c>
      <x:c r="AI191" s="600" t="n">
        <x:v>-0.02901480338652856</x:v>
      </x:c>
      <x:c r="AJ191" s="600" t="n">
        <x:v>0.03970491537989446</x:v>
      </x:c>
      <x:c r="AK191" s="600" t="n">
        <x:v>0.109214917376503</x:v>
      </x:c>
      <x:c r="AL191" s="600" t="n">
        <x:v>0.127888259825751</x:v>
      </x:c>
      <x:c r="AM191" s="600" t="n">
        <x:v>0.7708</x:v>
      </x:c>
      <x:c r="AN191" s="595" t="inlineStr">
        <x:is>
          <x:t xml:space="preserve">EVALUATED</x:t>
        </x:is>
      </x:c>
      <x:c r="AO191" s="600" t="inlineStr">
        <x:is>
          <x:t xml:space="preserve">BUCKET_0.25、SIDE_IDENTITY_VALID、FLAT_LINE_GIVING_WATER_DROP</x:t>
        </x:is>
      </x:c>
      <x:c r="AP191" s="600" t="inlineStr">
        <x:is>
          <x:t xml:space="preserve">cc0bbccf94efa88e04c4</x:t>
        </x:is>
      </x:c>
      <x:c r="AQ191" s="600" t="n">
        <x:v>0.25</x:v>
      </x:c>
      <x:c r="AR191" s="600" t="n">
        <x:v>1.09</x:v>
      </x:c>
      <x:c r="AS191" s="600" t="n">
        <x:v>0.25</x:v>
      </x:c>
      <x:c r="AT191" s="600" t="n">
        <x:v>-0.25</x:v>
      </x:c>
      <x:c r="AU191" s="600" t="n">
        <x:v>1.09</x:v>
      </x:c>
      <x:c r="AV191" s="600" t="n">
        <x:v>0.77</x:v>
      </x:c>
      <x:c r="AW191" s="595" t="n">
        <x:v>46283.33365373842</x:v>
      </x:c>
      <x:c r="AX191" s="595" t="inlineStr">
        <x:is>
          <x:t xml:space="preserve">https://simondongxiao.github.io/odds/v4/</x:t>
        </x:is>
      </x:c>
      <x:c r="AY191" s="595" t="inlineStr">
        <x:is>
          <x:t xml:space="preserve">V4 Shadow Only；real_money=false；比分差异详见记录审计</x:t>
        </x:is>
      </x:c>
    </x:row>
    <x:row r="192" ht="22" customHeight="1">
      <x:c r="A192" s="595" t="inlineStr">
        <x:is>
          <x:t xml:space="preserve">2026-09-18</x:t>
        </x:is>
      </x:c>
      <x:c r="B192" s="595" t="inlineStr">
        <x:is>
          <x:t xml:space="preserve">2026-09-19 11:00</x:t>
        </x:is>
      </x:c>
      <x:c r="C192" s="595" t="str">
        <x:v>北美系列</x:v>
      </x:c>
      <x:c r="D192" s="595" t="inlineStr">
        <x:is>
          <x:t xml:space="preserve">联赛</x:t>
        </x:is>
      </x:c>
      <x:c r="E192" s="595" t="inlineStr">
        <x:is>
          <x:t xml:space="preserve">墨西女超春</x:t>
        </x:is>
      </x:c>
      <x:c r="F192" s="595" t="inlineStr">
        <x:is>
          <x:t xml:space="preserve">蒙特瑞女足 vs 尼卡沙女足</x:t>
        </x:is>
      </x:c>
      <x:c r="G192" s="596" t="n">
        <x:v>0.86</x:v>
      </x:c>
      <x:c r="H192" s="596" t="n">
        <x:v>4</x:v>
      </x:c>
      <x:c r="I192" s="596" t="n">
        <x:v>0.9</x:v>
      </x:c>
      <x:c r="J192" s="596" t="inlineStr">
        <x:is>
          <x:t xml:space="preserve">0.86/4/0.90</x:t>
        </x:is>
      </x:c>
      <x:c r="K192" s="595" t="inlineStr">
        <x:is>
          <x:t xml:space="preserve">V4-C｜EV +0.2000</x:t>
        </x:is>
      </x:c>
      <x:c r="L192" s="595" t="inlineStr">
        <x:is>
          <x:t xml:space="preserve">尼卡沙女足</x:t>
        </x:is>
      </x:c>
      <x:c r="M192" s="597" t="n">
        <x:v>0.6666666666666666</x:v>
      </x:c>
      <x:c r="N192" s="595" t="inlineStr">
        <x:is>
          <x:t xml:space="preserve">V4纸面入选-C</x:t>
        </x:is>
      </x:c>
      <x:c r="O192" s="595" t="inlineStr">
        <x:is>
          <x:t xml:space="preserve">10-0</x:t>
        </x:is>
      </x:c>
      <x:c r="P192" s="595" t="inlineStr">
        <x:is>
          <x:t xml:space="preserve">已结算</x:t>
        </x:is>
      </x:c>
      <x:c r="Q192" s="641" t="inlineStr">
        <x:is>
          <x:t xml:space="preserve">黑</x:t>
        </x:is>
      </x:c>
      <x:c r="R192" s="599" t="n">
        <x:v>0.9</x:v>
      </x:c>
      <x:c r="S192" s="599" t="n">
        <x:f>IF(OR(Q192="",Q192="待结算"),"",IF(Q192="红",R192,IF(Q192="半红",R192*0.5,IF(Q192="走",0,IF(Q192="半黑",-0.5,-1)))))</x:f>
        <x:v>-1</x:v>
      </x:c>
      <x:c r="T192" s="595" t="inlineStr">
        <x:is>
          <x:t xml:space="preserve">https://zq.titan007.com/analysis/3046026cn.htm</x:t>
        </x:is>
      </x:c>
      <x:c r="U192" s="640" t="str">
        <x:f>IF(Q192="","",IF(Q192="待结算","待结算",IF(Q192="红","黑",IF(Q192="半红","半黑",IF(Q192="走","走",IF(Q192="半黑","半红","红"))))))</x:f>
        <x:v>红</x:v>
      </x:c>
      <x:c r="V192" s="599" t="n">
        <x:f>IF(OR(Q192="",Q192="待结算"),"",IF(L192=LEFT(F192,FIND(" vs ",F192)-1),I192,G192))</x:f>
        <x:v>0.86</x:v>
      </x:c>
      <x:c r="W192" s="599" t="n">
        <x:f>IF(OR(U192="",U192="待结算"),"",IF(U192="红",V192,IF(U192="半红",V192*0.5,IF(U192="走",0,IF(U192="半黑",-0.5,-1)))))</x:f>
        <x:v>0.86</x:v>
      </x:c>
      <x:c r="X192" s="595" t="inlineStr">
        <x:is>
          <x:t xml:space="preserve">3046026</x:t>
        </x:is>
      </x:c>
      <x:c r="Y192" s="595" t="inlineStr">
        <x:is>
          <x:t xml:space="preserve">v4-market-dirichlet-20260913</x:t>
        </x:is>
      </x:c>
      <x:c r="Z192" s="595" t="inlineStr">
        <x:is>
          <x:t xml:space="preserve">prior-2026-09-19-v1</x:t>
        </x:is>
      </x:c>
      <x:c r="AA192" s="595" t="inlineStr">
        <x:is>
          <x:t xml:space="preserve">C</x:t>
        </x:is>
      </x:c>
      <x:c r="AB192" s="600" t="n">
        <x:v>0.5</x:v>
      </x:c>
      <x:c r="AC192" s="600" t="n">
        <x:v>0</x:v>
      </x:c>
      <x:c r="AD192" s="600" t="n">
        <x:v>0.25</x:v>
      </x:c>
      <x:c r="AE192" s="600" t="n">
        <x:v>0</x:v>
      </x:c>
      <x:c r="AF192" s="600" t="n">
        <x:v>0.25</x:v>
      </x:c>
      <x:c r="AG192" s="600" t="n">
        <x:v>0.2</x:v>
      </x:c>
      <x:c r="AH192" s="600" t="n">
        <x:v>-0.4284657451421409</x:v>
      </x:c>
      <x:c r="AI192" s="600" t="n">
        <x:v>-0.281320450616079</x:v>
      </x:c>
      <x:c r="AJ192" s="600" t="n">
        <x:v>0.2292097524166682</x:v>
      </x:c>
      <x:c r="AK192" s="600" t="n">
        <x:v>0.6474446723229067</x:v>
      </x:c>
      <x:c r="AL192" s="600" t="n">
        <x:v>0.7209370033734708</x:v>
      </x:c>
      <x:c r="AM192" s="600" t="n">
        <x:v>0.7298</x:v>
      </x:c>
      <x:c r="AN192" s="595" t="inlineStr">
        <x:is>
          <x:t xml:space="preserve">FROZEN_PREMATCH_DECISION</x:t>
        </x:is>
      </x:c>
      <x:c r="AO192" s="600" t="inlineStr">
        <x:is>
          <x:t xml:space="preserve">STARTED_DECISION_LOCKED</x:t>
        </x:is>
      </x:c>
      <x:c r="AP192" s="600" t="inlineStr">
        <x:is>
          <x:t xml:space="preserve">4878984050f65221cdb0</x:t>
        </x:is>
      </x:c>
      <x:c r="AQ192" s="600" t="n">
        <x:v>4</x:v>
      </x:c>
      <x:c r="AR192" s="600" t="n">
        <x:v>0.9</x:v>
      </x:c>
      <x:c r="AS192" s="600" t="n">
        <x:v>-4</x:v>
      </x:c>
      <x:c r="AT192" s="600" t="n">
        <x:v>4</x:v>
      </x:c>
      <x:c r="AU192" s="600" t="n">
        <x:v>0.86</x:v>
      </x:c>
      <x:c r="AV192" s="600" t="n">
        <x:v>0.9</x:v>
      </x:c>
      <x:c r="AW192" s="595" t="n">
        <x:v>46284.02973606482</x:v>
      </x:c>
      <x:c r="AX192" s="595" t="inlineStr">
        <x:is>
          <x:t xml:space="preserve">https://simondongxiao.github.io/odds/v4/</x:t>
        </x:is>
      </x:c>
      <x:c r="AY192" s="595" t="inlineStr">
        <x:is>
          <x:t xml:space="preserve">V4 Shadow Only；real_money=false；比分差异详见记录审计</x:t>
        </x:is>
      </x:c>
    </x:row>
    <x:row r="193" ht="22" customHeight="1">
      <x:c r="A193" s="595" t="inlineStr">
        <x:is>
          <x:t xml:space="preserve">2026-09-19</x:t>
        </x:is>
      </x:c>
      <x:c r="B193" s="595" t="inlineStr">
        <x:is>
          <x:t xml:space="preserve">2026-09-19 15:30</x:t>
        </x:is>
      </x:c>
      <x:c r="C193" s="595" t="str">
        <x:v>日韩系列</x:v>
      </x:c>
      <x:c r="D193" s="595" t="inlineStr">
        <x:is>
          <x:t xml:space="preserve">联赛</x:t>
        </x:is>
      </x:c>
      <x:c r="E193" s="595" t="inlineStr">
        <x:is>
          <x:t xml:space="preserve">韩K2联</x:t>
        </x:is>
      </x:c>
      <x:c r="F193" s="595" t="inlineStr">
        <x:is>
          <x:t xml:space="preserve">忠南牙山 vs 天安城</x:t>
        </x:is>
      </x:c>
      <x:c r="G193" s="596" t="n">
        <x:v>0.79</x:v>
      </x:c>
      <x:c r="H193" s="596" t="n">
        <x:v>0.25</x:v>
      </x:c>
      <x:c r="I193" s="596" t="n">
        <x:v>1.03</x:v>
      </x:c>
      <x:c r="J193" s="596" t="inlineStr">
        <x:is>
          <x:t xml:space="preserve">0.79/0.25/1.03</x:t>
        </x:is>
      </x:c>
      <x:c r="K193" s="595" t="inlineStr">
        <x:is>
          <x:t xml:space="preserve">V4-C｜EV +0.0145</x:t>
        </x:is>
      </x:c>
      <x:c r="L193" s="595" t="inlineStr">
        <x:is>
          <x:t xml:space="preserve">天安城</x:t>
        </x:is>
      </x:c>
      <x:c r="M193" s="597" t="n">
        <x:v>0.5010224948875256</x:v>
      </x:c>
      <x:c r="N193" s="595" t="inlineStr">
        <x:is>
          <x:t xml:space="preserve">V4纸面入选-C</x:t>
        </x:is>
      </x:c>
      <x:c r="O193" s="595" t="inlineStr">
        <x:is>
          <x:t xml:space="preserve">3-1</x:t>
        </x:is>
      </x:c>
      <x:c r="P193" s="595" t="inlineStr">
        <x:is>
          <x:t xml:space="preserve">已结算</x:t>
        </x:is>
      </x:c>
      <x:c r="Q193" s="641" t="inlineStr">
        <x:is>
          <x:t xml:space="preserve">黑</x:t>
        </x:is>
      </x:c>
      <x:c r="R193" s="599" t="n">
        <x:v>1.03</x:v>
      </x:c>
      <x:c r="S193" s="599" t="n">
        <x:f>IF(OR(Q193="",Q193="待结算"),"",IF(Q193="红",R193,IF(Q193="半红",R193*0.5,IF(Q193="走",0,IF(Q193="半黑",-0.5,-1)))))</x:f>
        <x:v>-1</x:v>
      </x:c>
      <x:c r="T193" s="595" t="inlineStr">
        <x:is>
          <x:t xml:space="preserve">https://zq.titan007.com/analysis/2925534cn.htm</x:t>
        </x:is>
      </x:c>
      <x:c r="U193" s="640" t="str">
        <x:f>IF(Q193="","",IF(Q193="待结算","待结算",IF(Q193="红","黑",IF(Q193="半红","半黑",IF(Q193="走","走",IF(Q193="半黑","半红","红"))))))</x:f>
        <x:v>红</x:v>
      </x:c>
      <x:c r="V193" s="599" t="n">
        <x:f>IF(OR(Q193="",Q193="待结算"),"",IF(L193=LEFT(F193,FIND(" vs ",F193)-1),I193,G193))</x:f>
        <x:v>0.79</x:v>
      </x:c>
      <x:c r="W193" s="599" t="n">
        <x:f>IF(OR(U193="",U193="待结算"),"",IF(U193="红",V193,IF(U193="半红",V193*0.5,IF(U193="走",0,IF(U193="半黑",-0.5,-1)))))</x:f>
        <x:v>0.79</x:v>
      </x:c>
      <x:c r="X193" s="595" t="inlineStr">
        <x:is>
          <x:t xml:space="preserve">2925534</x:t>
        </x:is>
      </x:c>
      <x:c r="Y193" s="595" t="inlineStr">
        <x:is>
          <x:t xml:space="preserve">v4-market-dirichlet-20260913</x:t>
        </x:is>
      </x:c>
      <x:c r="Z193" s="595" t="inlineStr">
        <x:is>
          <x:t xml:space="preserve">prior-2026-09-19-v1</x:t>
        </x:is>
      </x:c>
      <x:c r="AA193" s="595" t="inlineStr">
        <x:is>
          <x:t xml:space="preserve">C</x:t>
        </x:is>
      </x:c>
      <x:c r="AB193" s="600" t="n">
        <x:v>0.2743055555555556</x:v>
      </x:c>
      <x:c r="AC193" s="600" t="n">
        <x:v>0.3020833333333333</x:v>
      </x:c>
      <x:c r="AD193" s="600" t="n">
        <x:v>0</x:v>
      </x:c>
      <x:c r="AE193" s="600" t="n">
        <x:v>0</x:v>
      </x:c>
      <x:c r="AF193" s="600" t="n">
        <x:v>0.4236111111111111</x:v>
      </x:c>
      <x:c r="AG193" s="600" t="n">
        <x:v>0.01449652777777782</x:v>
      </x:c>
      <x:c r="AH193" s="600" t="n">
        <x:v>-0.07269359191683195</x:v>
      </x:c>
      <x:c r="AI193" s="600" t="n">
        <x:v>-0.05264414492877545</x:v>
      </x:c>
      <x:c r="AJ193" s="600" t="n">
        <x:v>0.01410359483085089</x:v>
      </x:c>
      <x:c r="AK193" s="600" t="n">
        <x:v>0.08204233465317895</x:v>
      </x:c>
      <x:c r="AL193" s="600" t="n">
        <x:v>0.1009316768085552</x:v>
      </x:c>
      <x:c r="AM193" s="600" t="n">
        <x:v>0.61</x:v>
      </x:c>
      <x:c r="AN193" s="595" t="inlineStr">
        <x:is>
          <x:t xml:space="preserve">EVALUATED</x:t>
        </x:is>
      </x:c>
      <x:c r="AO193" s="600" t="inlineStr">
        <x:is>
          <x:t xml:space="preserve">BUCKET_0.25、SIDE_IDENTITY_VALID、FLAT_LINE_GIVING_WATER_RISE</x:t>
        </x:is>
      </x:c>
      <x:c r="AP193" s="600" t="inlineStr">
        <x:is>
          <x:t xml:space="preserve">22666b7f14dd6211f73c</x:t>
        </x:is>
      </x:c>
      <x:c r="AQ193" s="600" t="n">
        <x:v>0.25</x:v>
      </x:c>
      <x:c r="AR193" s="600" t="n">
        <x:v>1.03</x:v>
      </x:c>
      <x:c r="AS193" s="600" t="n">
        <x:v>-0.25</x:v>
      </x:c>
      <x:c r="AT193" s="600" t="n">
        <x:v>0.25</x:v>
      </x:c>
      <x:c r="AU193" s="600" t="n">
        <x:v>0.79</x:v>
      </x:c>
      <x:c r="AV193" s="600" t="n">
        <x:v>1.03</x:v>
      </x:c>
      <x:c r="AW193" s="595" t="n">
        <x:v>46284.25887726852</x:v>
      </x:c>
      <x:c r="AX193" s="595" t="inlineStr">
        <x:is>
          <x:t xml:space="preserve">https://simondongxiao.github.io/odds/v4/</x:t>
        </x:is>
      </x:c>
      <x:c r="AY193" s="595" t="inlineStr">
        <x:is>
          <x:t xml:space="preserve">V4 Shadow Only；real_money=false；比分差异详见记录审计</x:t>
        </x:is>
      </x:c>
    </x:row>
    <x:row r="194" ht="22" customHeight="1">
      <x:c r="A194" s="595" t="inlineStr">
        <x:is>
          <x:t xml:space="preserve">2026-09-19</x:t>
        </x:is>
      </x:c>
      <x:c r="B194" s="595" t="inlineStr">
        <x:is>
          <x:t xml:space="preserve">2026-09-19 15:30</x:t>
        </x:is>
      </x:c>
      <x:c r="C194" s="595" t="str">
        <x:v>五大联赛非顶级联赛</x:v>
      </x:c>
      <x:c r="D194" s="595" t="inlineStr">
        <x:is>
          <x:t xml:space="preserve">联赛</x:t>
        </x:is>
      </x:c>
      <x:c r="E194" s="595" t="inlineStr">
        <x:is>
          <x:t xml:space="preserve">澳西超</x:t>
        </x:is>
      </x:c>
      <x:c r="F194" s="595" t="inlineStr">
        <x:is>
          <x:t xml:space="preserve">阿马达尔 vs 尼兰西澳洲大学</x:t>
        </x:is>
      </x:c>
      <x:c r="G194" s="596" t="n">
        <x:v>0.78</x:v>
      </x:c>
      <x:c r="H194" s="596" t="n">
        <x:v>0.5</x:v>
      </x:c>
      <x:c r="I194" s="596" t="n">
        <x:v>1.04</x:v>
      </x:c>
      <x:c r="J194" s="596" t="inlineStr">
        <x:is>
          <x:t xml:space="preserve">0.78/0.5/1.04</x:t>
        </x:is>
      </x:c>
      <x:c r="K194" s="595" t="inlineStr">
        <x:is>
          <x:t xml:space="preserve">V4-C｜EV +0.0258</x:t>
        </x:is>
      </x:c>
      <x:c r="L194" s="595" t="inlineStr">
        <x:is>
          <x:t xml:space="preserve">尼兰西澳洲大学</x:t>
        </x:is>
      </x:c>
      <x:c r="M194" s="597" t="n">
        <x:v>0.5028571428571429</x:v>
      </x:c>
      <x:c r="N194" s="595" t="inlineStr">
        <x:is>
          <x:t xml:space="preserve">V4纸面入选-C</x:t>
        </x:is>
      </x:c>
      <x:c r="O194" s="595" t="inlineStr">
        <x:is>
          <x:t xml:space="preserve">3-0</x:t>
        </x:is>
      </x:c>
      <x:c r="P194" s="595" t="inlineStr">
        <x:is>
          <x:t xml:space="preserve">已结算</x:t>
        </x:is>
      </x:c>
      <x:c r="Q194" s="641" t="inlineStr">
        <x:is>
          <x:t xml:space="preserve">黑</x:t>
        </x:is>
      </x:c>
      <x:c r="R194" s="599" t="n">
        <x:v>1.04</x:v>
      </x:c>
      <x:c r="S194" s="599" t="n">
        <x:f>IF(OR(Q194="",Q194="待结算"),"",IF(Q194="红",R194,IF(Q194="半红",R194*0.5,IF(Q194="走",0,IF(Q194="半黑",-0.5,-1)))))</x:f>
        <x:v>-1</x:v>
      </x:c>
      <x:c r="T194" s="595" t="inlineStr">
        <x:is>
          <x:t xml:space="preserve">https://zq.titan007.com/analysis/3091327cn.htm</x:t>
        </x:is>
      </x:c>
      <x:c r="U194" s="640" t="str">
        <x:f>IF(Q194="","",IF(Q194="待结算","待结算",IF(Q194="红","黑",IF(Q194="半红","半黑",IF(Q194="走","走",IF(Q194="半黑","半红","红"))))))</x:f>
        <x:v>红</x:v>
      </x:c>
      <x:c r="V194" s="599" t="n">
        <x:f>IF(OR(Q194="",Q194="待结算"),"",IF(L194=LEFT(F194,FIND(" vs ",F194)-1),I194,G194))</x:f>
        <x:v>0.78</x:v>
      </x:c>
      <x:c r="W194" s="599" t="n">
        <x:f>IF(OR(U194="",U194="待结算"),"",IF(U194="红",V194,IF(U194="半红",V194*0.5,IF(U194="走",0,IF(U194="半黑",-0.5,-1)))))</x:f>
        <x:v>0.78</x:v>
      </x:c>
      <x:c r="X194" s="595" t="inlineStr">
        <x:is>
          <x:t xml:space="preserve">3091327</x:t>
        </x:is>
      </x:c>
      <x:c r="Y194" s="595" t="inlineStr">
        <x:is>
          <x:t xml:space="preserve">v4-market-dirichlet-20260913</x:t>
        </x:is>
      </x:c>
      <x:c r="Z194" s="595" t="inlineStr">
        <x:is>
          <x:t xml:space="preserve">prior-2026-09-19-v1</x:t>
        </x:is>
      </x:c>
      <x:c r="AA194" s="595" t="inlineStr">
        <x:is>
          <x:t xml:space="preserve">C</x:t>
        </x:is>
      </x:c>
      <x:c r="AB194" s="600" t="n">
        <x:v>0.5028571428571429</x:v>
      </x:c>
      <x:c r="AC194" s="600" t="n">
        <x:v>0</x:v>
      </x:c>
      <x:c r="AD194" s="600" t="n">
        <x:v>0</x:v>
      </x:c>
      <x:c r="AE194" s="600" t="n">
        <x:v>0</x:v>
      </x:c>
      <x:c r="AF194" s="600" t="n">
        <x:v>0.4971428571428572</x:v>
      </x:c>
      <x:c r="AG194" s="600" t="n">
        <x:v>0.02582857142857148</x:v>
      </x:c>
      <x:c r="AH194" s="600" t="n">
        <x:v>-0.1007008819749253</x:v>
      </x:c>
      <x:c r="AI194" s="600" t="n">
        <x:v>-0.07277627565378714</x:v>
      </x:c>
      <x:c r="AJ194" s="600" t="n">
        <x:v>0.02512688273052827</x:v>
      </x:c>
      <x:c r="AK194" s="600" t="n">
        <x:v>0.1231374939153533</x:v>
      </x:c>
      <x:c r="AL194" s="600" t="n">
        <x:v>0.1531471018667903</x:v>
      </x:c>
      <x:c r="AM194" s="600" t="n">
        <x:v>0.632</x:v>
      </x:c>
      <x:c r="AN194" s="595" t="inlineStr">
        <x:is>
          <x:t xml:space="preserve">EVALUATED</x:t>
        </x:is>
      </x:c>
      <x:c r="AO194" s="600" t="inlineStr">
        <x:is>
          <x:t xml:space="preserve">BUCKET_0.50、SIDE_IDENTITY_VALID、FLAT_LINE_GIVING_WATER_DROP</x:t>
        </x:is>
      </x:c>
      <x:c r="AP194" s="600" t="inlineStr">
        <x:is>
          <x:t xml:space="preserve">1a8a6706888f1a69330a</x:t>
        </x:is>
      </x:c>
      <x:c r="AQ194" s="600" t="n">
        <x:v>0.5</x:v>
      </x:c>
      <x:c r="AR194" s="600" t="n">
        <x:v>1.04</x:v>
      </x:c>
      <x:c r="AS194" s="600" t="n">
        <x:v>-0.5</x:v>
      </x:c>
      <x:c r="AT194" s="600" t="n">
        <x:v>0.5</x:v>
      </x:c>
      <x:c r="AU194" s="600" t="n">
        <x:v>0.78</x:v>
      </x:c>
      <x:c r="AV194" s="600" t="n">
        <x:v>1.04</x:v>
      </x:c>
      <x:c r="AW194" s="595" t="n">
        <x:v>46284.25887726852</x:v>
      </x:c>
      <x:c r="AX194" s="595" t="inlineStr">
        <x:is>
          <x:t xml:space="preserve">https://simondongxiao.github.io/odds/v4/</x:t>
        </x:is>
      </x:c>
      <x:c r="AY194" s="595" t="inlineStr">
        <x:is>
          <x:t xml:space="preserve">V4 Shadow Only；real_money=false；比分差异详见记录审计</x:t>
        </x:is>
      </x:c>
    </x:row>
    <x:row r="195" ht="22" customHeight="1">
      <x:c r="A195" s="595" t="inlineStr">
        <x:is>
          <x:t xml:space="preserve">2026-09-19</x:t>
        </x:is>
      </x:c>
      <x:c r="B195" s="595" t="inlineStr">
        <x:is>
          <x:t xml:space="preserve">2026-09-19 16:00</x:t>
        </x:is>
      </x:c>
      <x:c r="C195" s="595" t="str">
        <x:v>欧洲非五大系列</x:v>
      </x:c>
      <x:c r="D195" s="595" t="inlineStr">
        <x:is>
          <x:t xml:space="preserve">联赛</x:t>
        </x:is>
      </x:c>
      <x:c r="E195" s="595" t="inlineStr">
        <x:is>
          <x:t xml:space="preserve">罗乙</x:t>
        </x:is>
      </x:c>
      <x:c r="F195" s="595" t="inlineStr">
        <x:is>
          <x:t xml:space="preserve">康戈迪亚齐安 vs AFC金属布佐</x:t>
        </x:is>
      </x:c>
      <x:c r="G195" s="596" t="n">
        <x:v>0.8100000000000001</x:v>
      </x:c>
      <x:c r="H195" s="596" t="n">
        <x:v>0.25</x:v>
      </x:c>
      <x:c r="I195" s="596" t="n">
        <x:v>1.01</x:v>
      </x:c>
      <x:c r="J195" s="596" t="inlineStr">
        <x:is>
          <x:t xml:space="preserve">0.81/0.25/1.01</x:t>
        </x:is>
      </x:c>
      <x:c r="K195" s="595" t="inlineStr">
        <x:is>
          <x:t xml:space="preserve">V4-C｜EV +0.0060</x:t>
        </x:is>
      </x:c>
      <x:c r="L195" s="595" t="inlineStr">
        <x:is>
          <x:t xml:space="preserve">AFC金属布佐</x:t>
        </x:is>
      </x:c>
      <x:c r="M195" s="597" t="n">
        <x:v>0.5010224948875256</x:v>
      </x:c>
      <x:c r="N195" s="595" t="inlineStr">
        <x:is>
          <x:t xml:space="preserve">V4纸面入选-C</x:t>
        </x:is>
      </x:c>
      <x:c r="O195" s="595" t="inlineStr">
        <x:is>
          <x:t xml:space="preserve">0-1</x:t>
        </x:is>
      </x:c>
      <x:c r="P195" s="595" t="inlineStr">
        <x:is>
          <x:t xml:space="preserve">已结算</x:t>
        </x:is>
      </x:c>
      <x:c r="Q195" s="640" t="inlineStr">
        <x:is>
          <x:t xml:space="preserve">红</x:t>
        </x:is>
      </x:c>
      <x:c r="R195" s="599" t="n">
        <x:v>1.01</x:v>
      </x:c>
      <x:c r="S195" s="599" t="n">
        <x:f>IF(OR(Q195="",Q195="待结算"),"",IF(Q195="红",R195,IF(Q195="半红",R195*0.5,IF(Q195="走",0,IF(Q195="半黑",-0.5,-1)))))</x:f>
        <x:v>1.01</x:v>
      </x:c>
      <x:c r="T195" s="595" t="inlineStr">
        <x:is>
          <x:t xml:space="preserve">https://zq.titan007.com/analysis/3046422cn.htm</x:t>
        </x:is>
      </x:c>
      <x:c r="U195" s="641" t="str">
        <x:f>IF(Q195="","",IF(Q195="待结算","待结算",IF(Q195="红","黑",IF(Q195="半红","半黑",IF(Q195="走","走",IF(Q195="半黑","半红","红"))))))</x:f>
        <x:v>黑</x:v>
      </x:c>
      <x:c r="V195" s="599" t="n">
        <x:f>IF(OR(Q195="",Q195="待结算"),"",IF(L195=LEFT(F195,FIND(" vs ",F195)-1),I195,G195))</x:f>
        <x:v>0.81</x:v>
      </x:c>
      <x:c r="W195" s="599" t="n">
        <x:f>IF(OR(U195="",U195="待结算"),"",IF(U195="红",V195,IF(U195="半红",V195*0.5,IF(U195="走",0,IF(U195="半黑",-0.5,-1)))))</x:f>
        <x:v>-1</x:v>
      </x:c>
      <x:c r="X195" s="595" t="inlineStr">
        <x:is>
          <x:t xml:space="preserve">3046422</x:t>
        </x:is>
      </x:c>
      <x:c r="Y195" s="595" t="inlineStr">
        <x:is>
          <x:t xml:space="preserve">v4-market-dirichlet-20260913</x:t>
        </x:is>
      </x:c>
      <x:c r="Z195" s="595" t="inlineStr">
        <x:is>
          <x:t xml:space="preserve">prior-2026-09-19-v1</x:t>
        </x:is>
      </x:c>
      <x:c r="AA195" s="595" t="inlineStr">
        <x:is>
          <x:t xml:space="preserve">C</x:t>
        </x:is>
      </x:c>
      <x:c r="AB195" s="600" t="n">
        <x:v>0.2743055555555556</x:v>
      </x:c>
      <x:c r="AC195" s="600" t="n">
        <x:v>0.3020833333333333</x:v>
      </x:c>
      <x:c r="AD195" s="600" t="n">
        <x:v>0</x:v>
      </x:c>
      <x:c r="AE195" s="600" t="n">
        <x:v>0</x:v>
      </x:c>
      <x:c r="AF195" s="600" t="n">
        <x:v>0.4236111111111111</x:v>
      </x:c>
      <x:c r="AG195" s="600" t="n">
        <x:v>0.005989583333333381</x:v>
      </x:c>
      <x:c r="AH195" s="600" t="n">
        <x:v>-0.07749152418344518</x:v>
      </x:c>
      <x:c r="AI195" s="600" t="n">
        <x:v>-0.05795603112497594</x:v>
      </x:c>
      <x:c r="AJ195" s="600" t="n">
        <x:v>0.006730614466223306</x:v>
      </x:c>
      <x:c r="AK195" s="600" t="n">
        <x:v>0.07293610689523161</x:v>
      </x:c>
      <x:c r="AL195" s="600" t="n">
        <x:v>0.09113410954028611</x:v>
      </x:c>
      <x:c r="AM195" s="600" t="n">
        <x:v>0.5506</x:v>
      </x:c>
      <x:c r="AN195" s="595" t="inlineStr">
        <x:is>
          <x:t xml:space="preserve">EVALUATED</x:t>
        </x:is>
      </x:c>
      <x:c r="AO195" s="600" t="inlineStr">
        <x:is>
          <x:t xml:space="preserve">BUCKET_0.25、SIDE_IDENTITY_VALID、FLAT_LINE_GIVING_WATER_RISE</x:t>
        </x:is>
      </x:c>
      <x:c r="AP195" s="600" t="inlineStr">
        <x:is>
          <x:t xml:space="preserve">faf601cac6841d9f5606</x:t>
        </x:is>
      </x:c>
      <x:c r="AQ195" s="600" t="n">
        <x:v>0.25</x:v>
      </x:c>
      <x:c r="AR195" s="600" t="n">
        <x:v>1.01</x:v>
      </x:c>
      <x:c r="AS195" s="600" t="n">
        <x:v>-0.25</x:v>
      </x:c>
      <x:c r="AT195" s="600" t="n">
        <x:v>0.25</x:v>
      </x:c>
      <x:c r="AU195" s="600" t="n">
        <x:v>0.8100000000000001</x:v>
      </x:c>
      <x:c r="AV195" s="600" t="n">
        <x:v>1.01</x:v>
      </x:c>
      <x:c r="AW195" s="595" t="n">
        <x:v>46284.25887726852</x:v>
      </x:c>
      <x:c r="AX195" s="595" t="inlineStr">
        <x:is>
          <x:t xml:space="preserve">https://simondongxiao.github.io/odds/v4/</x:t>
        </x:is>
      </x:c>
      <x:c r="AY195" s="595" t="inlineStr">
        <x:is>
          <x:t xml:space="preserve">V4 Shadow Only；real_money=false；比分差异详见记录审计</x:t>
        </x:is>
      </x:c>
    </x:row>
    <x:row r="196" ht="22" customHeight="1">
      <x:c r="A196" s="595" t="inlineStr">
        <x:is>
          <x:t xml:space="preserve">2026-09-19</x:t>
        </x:is>
      </x:c>
      <x:c r="B196" s="595" t="inlineStr">
        <x:is>
          <x:t xml:space="preserve">2026-09-19 16:30</x:t>
        </x:is>
      </x:c>
      <x:c r="C196" s="595" t="str">
        <x:v>其他系列</x:v>
      </x:c>
      <x:c r="D196" s="595" t="inlineStr">
        <x:is>
          <x:t xml:space="preserve">联赛</x:t>
        </x:is>
      </x:c>
      <x:c r="E196" s="595" t="inlineStr">
        <x:is>
          <x:t xml:space="preserve">印尼超</x:t>
        </x:is>
      </x:c>
      <x:c r="F196" s="595" t="inlineStr">
        <x:is>
          <x:t xml:space="preserve">帕尔斯巴亚 vs 加鲁达亚克萨</x:t>
        </x:is>
      </x:c>
      <x:c r="G196" s="596" t="n">
        <x:v>0.92</x:v>
      </x:c>
      <x:c r="H196" s="596" t="n">
        <x:v>1.5</x:v>
      </x:c>
      <x:c r="I196" s="596" t="n">
        <x:v>0.9</x:v>
      </x:c>
      <x:c r="J196" s="596" t="inlineStr">
        <x:is>
          <x:t xml:space="preserve">0.92/1.5/0.90</x:t>
        </x:is>
      </x:c>
      <x:c r="K196" s="595" t="inlineStr">
        <x:is>
          <x:t xml:space="preserve">V4-C｜EV +0.1400</x:t>
        </x:is>
      </x:c>
      <x:c r="L196" s="595" t="inlineStr">
        <x:is>
          <x:t xml:space="preserve">帕尔斯巴亚</x:t>
        </x:is>
      </x:c>
      <x:c r="M196" s="597" t="n">
        <x:v>0.59375</x:v>
      </x:c>
      <x:c r="N196" s="595" t="inlineStr">
        <x:is>
          <x:t xml:space="preserve">V4纸面入选-C</x:t>
        </x:is>
      </x:c>
      <x:c r="O196" s="595" t="inlineStr">
        <x:is>
          <x:t xml:space="preserve">1-1</x:t>
        </x:is>
      </x:c>
      <x:c r="P196" s="595" t="inlineStr">
        <x:is>
          <x:t xml:space="preserve">已结算</x:t>
        </x:is>
      </x:c>
      <x:c r="Q196" s="641" t="inlineStr">
        <x:is>
          <x:t xml:space="preserve">黑</x:t>
        </x:is>
      </x:c>
      <x:c r="R196" s="599" t="n">
        <x:v>0.92</x:v>
      </x:c>
      <x:c r="S196" s="599" t="n">
        <x:f>IF(OR(Q196="",Q196="待结算"),"",IF(Q196="红",R196,IF(Q196="半红",R196*0.5,IF(Q196="走",0,IF(Q196="半黑",-0.5,-1)))))</x:f>
        <x:v>-1</x:v>
      </x:c>
      <x:c r="T196" s="595" t="inlineStr">
        <x:is>
          <x:t xml:space="preserve">https://zq.titan007.com/analysis/3062842cn.htm</x:t>
        </x:is>
      </x:c>
      <x:c r="U196" s="640" t="str">
        <x:f>IF(Q196="","",IF(Q196="待结算","待结算",IF(Q196="红","黑",IF(Q196="半红","半黑",IF(Q196="走","走",IF(Q196="半黑","半红","红"))))))</x:f>
        <x:v>红</x:v>
      </x:c>
      <x:c r="V196" s="599" t="n">
        <x:f>IF(OR(Q196="",Q196="待结算"),"",IF(L196=LEFT(F196,FIND(" vs ",F196)-1),I196,G196))</x:f>
        <x:v>0.9</x:v>
      </x:c>
      <x:c r="W196" s="599" t="n">
        <x:f>IF(OR(U196="",U196="待结算"),"",IF(U196="红",V196,IF(U196="半红",V196*0.5,IF(U196="走",0,IF(U196="半黑",-0.5,-1)))))</x:f>
        <x:v>0.9</x:v>
      </x:c>
      <x:c r="X196" s="595" t="inlineStr">
        <x:is>
          <x:t xml:space="preserve">3062842</x:t>
        </x:is>
      </x:c>
      <x:c r="Y196" s="595" t="inlineStr">
        <x:is>
          <x:t xml:space="preserve">v4-market-dirichlet-20260913</x:t>
        </x:is>
      </x:c>
      <x:c r="Z196" s="595" t="inlineStr">
        <x:is>
          <x:t xml:space="preserve">prior-2026-09-19-v1</x:t>
        </x:is>
      </x:c>
      <x:c r="AA196" s="595" t="inlineStr">
        <x:is>
          <x:t xml:space="preserve">C</x:t>
        </x:is>
      </x:c>
      <x:c r="AB196" s="600" t="n">
        <x:v>0.59375</x:v>
      </x:c>
      <x:c r="AC196" s="600" t="n">
        <x:v>0</x:v>
      </x:c>
      <x:c r="AD196" s="600" t="n">
        <x:v>0</x:v>
      </x:c>
      <x:c r="AE196" s="600" t="n">
        <x:v>0</x:v>
      </x:c>
      <x:c r="AF196" s="600" t="n">
        <x:v>0.40625</x:v>
      </x:c>
      <x:c r="AG196" s="600" t="n">
        <x:v>0.14</x:v>
      </x:c>
      <x:c r="AH196" s="600" t="n">
        <x:v>-0.135085320256728</x:v>
      </x:c>
      <x:c r="AI196" s="600" t="n">
        <x:v>-0.07642831652659826</x:v>
      </x:c>
      <x:c r="AJ196" s="600" t="n">
        <x:v>0.1463559418301144</x:v>
      </x:c>
      <x:c r="AK196" s="600" t="n">
        <x:v>0.3478495320105708</x:v>
      </x:c>
      <x:c r="AL196" s="600" t="n">
        <x:v>0.4006530059699473</x:v>
      </x:c>
      <x:c r="AM196" s="600" t="n">
        <x:v>0.798</x:v>
      </x:c>
      <x:c r="AN196" s="595" t="inlineStr">
        <x:is>
          <x:t xml:space="preserve">EVALUATED</x:t>
        </x:is>
      </x:c>
      <x:c r="AO196" s="600" t="inlineStr">
        <x:is>
          <x:t xml:space="preserve">BUCKET_1.50、SIDE_IDENTITY_VALID、MARKET_MOVE_LINE_STRENGTH_WITH_GIVING_RESISTANCE</x:t>
        </x:is>
      </x:c>
      <x:c r="AP196" s="600" t="inlineStr">
        <x:is>
          <x:t xml:space="preserve">2581451a92dd7e3e80a4</x:t>
        </x:is>
      </x:c>
      <x:c r="AQ196" s="600" t="n">
        <x:v>-1.5</x:v>
      </x:c>
      <x:c r="AR196" s="600" t="n">
        <x:v>0.92</x:v>
      </x:c>
      <x:c r="AS196" s="600" t="n">
        <x:v>-1.5</x:v>
      </x:c>
      <x:c r="AT196" s="600" t="n">
        <x:v>1.5</x:v>
      </x:c>
      <x:c r="AU196" s="600" t="n">
        <x:v>0.92</x:v>
      </x:c>
      <x:c r="AV196" s="600" t="n">
        <x:v>0.9</x:v>
      </x:c>
      <x:c r="AW196" s="595" t="n">
        <x:v>46284.25887726852</x:v>
      </x:c>
      <x:c r="AX196" s="595" t="inlineStr">
        <x:is>
          <x:t xml:space="preserve">https://simondongxiao.github.io/odds/v4/</x:t>
        </x:is>
      </x:c>
      <x:c r="AY196" s="595" t="inlineStr">
        <x:is>
          <x:t xml:space="preserve">V4 Shadow Only；real_money=false；比分差异详见记录审计</x:t>
        </x:is>
      </x:c>
    </x:row>
    <x:row r="197" ht="22" customHeight="1">
      <x:c r="A197" s="595" t="inlineStr">
        <x:is>
          <x:t xml:space="preserve">2026-09-19</x:t>
        </x:is>
      </x:c>
      <x:c r="B197" s="595" t="inlineStr">
        <x:is>
          <x:t xml:space="preserve">2026-09-19 17:30</x:t>
        </x:is>
      </x:c>
      <x:c r="C197" s="595" t="str">
        <x:v>日韩系列</x:v>
      </x:c>
      <x:c r="D197" s="595" t="inlineStr">
        <x:is>
          <x:t xml:space="preserve">联赛</x:t>
        </x:is>
      </x:c>
      <x:c r="E197" s="595" t="inlineStr">
        <x:is>
          <x:t xml:space="preserve">日职联</x:t>
        </x:is>
      </x:c>
      <x:c r="F197" s="595" t="inlineStr">
        <x:is>
          <x:t xml:space="preserve">清水鼓动 vs 千叶市原</x:t>
        </x:is>
      </x:c>
      <x:c r="G197" s="596" t="n">
        <x:v>0.86</x:v>
      </x:c>
      <x:c r="H197" s="596" t="n">
        <x:v>0.5</x:v>
      </x:c>
      <x:c r="I197" s="596" t="n">
        <x:v>1.03</x:v>
      </x:c>
      <x:c r="J197" s="596" t="inlineStr">
        <x:is>
          <x:t xml:space="preserve">0.86/0.5/1.03</x:t>
        </x:is>
      </x:c>
      <x:c r="K197" s="595" t="inlineStr">
        <x:is>
          <x:t xml:space="preserve">V4-C｜EV +0.0208</x:t>
        </x:is>
      </x:c>
      <x:c r="L197" s="595" t="inlineStr">
        <x:is>
          <x:t xml:space="preserve">千叶市原</x:t>
        </x:is>
      </x:c>
      <x:c r="M197" s="597" t="n">
        <x:v>0.5028571428571429</x:v>
      </x:c>
      <x:c r="N197" s="595" t="inlineStr">
        <x:is>
          <x:t xml:space="preserve">V4纸面入选-C</x:t>
        </x:is>
      </x:c>
      <x:c r="O197" s="595" t="inlineStr">
        <x:is>
          <x:t xml:space="preserve">2-1</x:t>
        </x:is>
      </x:c>
      <x:c r="P197" s="595" t="inlineStr">
        <x:is>
          <x:t xml:space="preserve">已结算</x:t>
        </x:is>
      </x:c>
      <x:c r="Q197" s="641" t="inlineStr">
        <x:is>
          <x:t xml:space="preserve">黑</x:t>
        </x:is>
      </x:c>
      <x:c r="R197" s="599" t="n">
        <x:v>1.03</x:v>
      </x:c>
      <x:c r="S197" s="599" t="n">
        <x:f>IF(OR(Q197="",Q197="待结算"),"",IF(Q197="红",R197,IF(Q197="半红",R197*0.5,IF(Q197="走",0,IF(Q197="半黑",-0.5,-1)))))</x:f>
        <x:v>-1</x:v>
      </x:c>
      <x:c r="T197" s="595" t="inlineStr">
        <x:is>
          <x:t xml:space="preserve">https://zq.titan007.com/analysis/3000469cn.htm</x:t>
        </x:is>
      </x:c>
      <x:c r="U197" s="640" t="str">
        <x:f>IF(Q197="","",IF(Q197="待结算","待结算",IF(Q197="红","黑",IF(Q197="半红","半黑",IF(Q197="走","走",IF(Q197="半黑","半红","红"))))))</x:f>
        <x:v>红</x:v>
      </x:c>
      <x:c r="V197" s="599" t="n">
        <x:f>IF(OR(Q197="",Q197="待结算"),"",IF(L197=LEFT(F197,FIND(" vs ",F197)-1),I197,G197))</x:f>
        <x:v>0.86</x:v>
      </x:c>
      <x:c r="W197" s="599" t="n">
        <x:f>IF(OR(U197="",U197="待结算"),"",IF(U197="红",V197,IF(U197="半红",V197*0.5,IF(U197="走",0,IF(U197="半黑",-0.5,-1)))))</x:f>
        <x:v>0.86</x:v>
      </x:c>
      <x:c r="X197" s="595" t="inlineStr">
        <x:is>
          <x:t xml:space="preserve">3000469</x:t>
        </x:is>
      </x:c>
      <x:c r="Y197" s="595" t="inlineStr">
        <x:is>
          <x:t xml:space="preserve">v4-market-dirichlet-20260913</x:t>
        </x:is>
      </x:c>
      <x:c r="Z197" s="595" t="inlineStr">
        <x:is>
          <x:t xml:space="preserve">prior-2026-09-19-v1</x:t>
        </x:is>
      </x:c>
      <x:c r="AA197" s="595" t="inlineStr">
        <x:is>
          <x:t xml:space="preserve">C</x:t>
        </x:is>
      </x:c>
      <x:c r="AB197" s="600" t="n">
        <x:v>0.5028571428571429</x:v>
      </x:c>
      <x:c r="AC197" s="600" t="n">
        <x:v>0</x:v>
      </x:c>
      <x:c r="AD197" s="600" t="n">
        <x:v>0</x:v>
      </x:c>
      <x:c r="AE197" s="600" t="n">
        <x:v>0</x:v>
      </x:c>
      <x:c r="AF197" s="600" t="n">
        <x:v>0.4971428571428572</x:v>
      </x:c>
      <x:c r="AG197" s="600" t="n">
        <x:v>0.02079999999999999</x:v>
      </x:c>
      <x:c r="AH197" s="600" t="n">
        <x:v>-0.1077270886968195</x:v>
      </x:c>
      <x:c r="AI197" s="600" t="n">
        <x:v>-0.07864218285473523</x:v>
      </x:c>
      <x:c r="AJ197" s="600" t="n">
        <x:v>0.02197136395272098</x:v>
      </x:c>
      <x:c r="AK197" s="600" t="n">
        <x:v>0.1220189066128009</x:v>
      </x:c>
      <x:c r="AL197" s="600" t="n">
        <x:v>0.1481463484264497</x:v>
      </x:c>
      <x:c r="AM197" s="600" t="n">
        <x:v>0.6124000000000001</x:v>
      </x:c>
      <x:c r="AN197" s="595" t="inlineStr">
        <x:is>
          <x:t xml:space="preserve">EVALUATED</x:t>
        </x:is>
      </x:c>
      <x:c r="AO197" s="600" t="inlineStr">
        <x:is>
          <x:t xml:space="preserve">BUCKET_0.50、SIDE_IDENTITY_VALID、FLAT_LINE_GIVING_WATER_DROP</x:t>
        </x:is>
      </x:c>
      <x:c r="AP197" s="600" t="inlineStr">
        <x:is>
          <x:t xml:space="preserve">1ee4e4a1da940cdd56bf</x:t>
        </x:is>
      </x:c>
      <x:c r="AQ197" s="600" t="n">
        <x:v>0.5</x:v>
      </x:c>
      <x:c r="AR197" s="600" t="n">
        <x:v>1.03</x:v>
      </x:c>
      <x:c r="AS197" s="600" t="n">
        <x:v>-0.5</x:v>
      </x:c>
      <x:c r="AT197" s="600" t="n">
        <x:v>0.5</x:v>
      </x:c>
      <x:c r="AU197" s="600" t="n">
        <x:v>0.86</x:v>
      </x:c>
      <x:c r="AV197" s="600" t="n">
        <x:v>1.03</x:v>
      </x:c>
      <x:c r="AW197" s="595" t="n">
        <x:v>46284.25887726852</x:v>
      </x:c>
      <x:c r="AX197" s="595" t="inlineStr">
        <x:is>
          <x:t xml:space="preserve">https://simondongxiao.github.io/odds/v4/</x:t>
        </x:is>
      </x:c>
      <x:c r="AY197" s="595" t="inlineStr">
        <x:is>
          <x:t xml:space="preserve">V4 Shadow Only；real_money=false；比分差异详见记录审计</x:t>
        </x:is>
      </x:c>
    </x:row>
    <x:row r="198" ht="22" customHeight="1">
      <x:c r="A198" s="595" t="inlineStr">
        <x:is>
          <x:t xml:space="preserve">2026-09-19</x:t>
        </x:is>
      </x:c>
      <x:c r="B198" s="595" t="inlineStr">
        <x:is>
          <x:t xml:space="preserve">2026-09-19 17:30</x:t>
        </x:is>
      </x:c>
      <x:c r="C198" s="595" t="str">
        <x:v>日韩系列</x:v>
      </x:c>
      <x:c r="D198" s="595" t="inlineStr">
        <x:is>
          <x:t xml:space="preserve">联赛</x:t>
        </x:is>
      </x:c>
      <x:c r="E198" s="595" t="inlineStr">
        <x:is>
          <x:t xml:space="preserve">日职乙</x:t>
        </x:is>
      </x:c>
      <x:c r="F198" s="595" t="inlineStr">
        <x:is>
          <x:t xml:space="preserve">藤枝MYFC vs RB大宫松鼠</x:t>
        </x:is>
      </x:c>
      <x:c r="G198" s="596" t="n">
        <x:v>1.07</x:v>
      </x:c>
      <x:c r="H198" s="596" t="n">
        <x:v>-0.25</x:v>
      </x:c>
      <x:c r="I198" s="596" t="n">
        <x:v>0.82</x:v>
      </x:c>
      <x:c r="J198" s="596" t="inlineStr">
        <x:is>
          <x:t xml:space="preserve">1.07/-0.25/0.82</x:t>
        </x:is>
      </x:c>
      <x:c r="K198" s="595" t="inlineStr">
        <x:is>
          <x:t xml:space="preserve">V4-C｜EV +0.0315</x:t>
        </x:is>
      </x:c>
      <x:c r="L198" s="595" t="inlineStr">
        <x:is>
          <x:t xml:space="preserve">藤枝MYFC</x:t>
        </x:is>
      </x:c>
      <x:c r="M198" s="597" t="n">
        <x:v>0.5010224948875256</x:v>
      </x:c>
      <x:c r="N198" s="595" t="inlineStr">
        <x:is>
          <x:t xml:space="preserve">V4纸面入选-C</x:t>
        </x:is>
      </x:c>
      <x:c r="O198" s="595" t="inlineStr">
        <x:is>
          <x:t xml:space="preserve">1-1</x:t>
        </x:is>
      </x:c>
      <x:c r="P198" s="595" t="inlineStr">
        <x:is>
          <x:t xml:space="preserve">已结算</x:t>
        </x:is>
      </x:c>
      <x:c r="Q198" s="642" t="inlineStr">
        <x:is>
          <x:t xml:space="preserve">半红</x:t>
        </x:is>
      </x:c>
      <x:c r="R198" s="599" t="n">
        <x:v>1.07</x:v>
      </x:c>
      <x:c r="S198" s="599" t="n">
        <x:f>IF(OR(Q198="",Q198="待结算"),"",IF(Q198="红",R198,IF(Q198="半红",R198*0.5,IF(Q198="走",0,IF(Q198="半黑",-0.5,-1)))))</x:f>
        <x:v>0.535</x:v>
      </x:c>
      <x:c r="T198" s="595" t="inlineStr">
        <x:is>
          <x:t xml:space="preserve">https://zq.titan007.com/analysis/3000074cn.htm</x:t>
        </x:is>
      </x:c>
      <x:c r="U198" s="643" t="str">
        <x:f>IF(Q198="","",IF(Q198="待结算","待结算",IF(Q198="红","黑",IF(Q198="半红","半黑",IF(Q198="走","走",IF(Q198="半黑","半红","红"))))))</x:f>
        <x:v>半黑</x:v>
      </x:c>
      <x:c r="V198" s="599" t="n">
        <x:f>IF(OR(Q198="",Q198="待结算"),"",IF(L198=LEFT(F198,FIND(" vs ",F198)-1),I198,G198))</x:f>
        <x:v>0.82</x:v>
      </x:c>
      <x:c r="W198" s="599" t="n">
        <x:f>IF(OR(U198="",U198="待结算"),"",IF(U198="红",V198,IF(U198="半红",V198*0.5,IF(U198="走",0,IF(U198="半黑",-0.5,-1)))))</x:f>
        <x:v>-0.5</x:v>
      </x:c>
      <x:c r="X198" s="595" t="inlineStr">
        <x:is>
          <x:t xml:space="preserve">3000074</x:t>
        </x:is>
      </x:c>
      <x:c r="Y198" s="595" t="inlineStr">
        <x:is>
          <x:t xml:space="preserve">v4-market-dirichlet-20260913</x:t>
        </x:is>
      </x:c>
      <x:c r="Z198" s="595" t="inlineStr">
        <x:is>
          <x:t xml:space="preserve">prior-2026-09-19-v1</x:t>
        </x:is>
      </x:c>
      <x:c r="AA198" s="595" t="inlineStr">
        <x:is>
          <x:t xml:space="preserve">C</x:t>
        </x:is>
      </x:c>
      <x:c r="AB198" s="600" t="n">
        <x:v>0.2743055555555556</x:v>
      </x:c>
      <x:c r="AC198" s="600" t="n">
        <x:v>0.3020833333333333</x:v>
      </x:c>
      <x:c r="AD198" s="600" t="n">
        <x:v>0</x:v>
      </x:c>
      <x:c r="AE198" s="600" t="n">
        <x:v>0</x:v>
      </x:c>
      <x:c r="AF198" s="600" t="n">
        <x:v>0.4236111111111111</x:v>
      </x:c>
      <x:c r="AG198" s="600" t="n">
        <x:v>0.03151041666666671</x:v>
      </x:c>
      <x:c r="AH198" s="600" t="n">
        <x:v>-0.05754318963986782</x:v>
      </x:c>
      <x:c r="AI198" s="600" t="n">
        <x:v>-0.03868413811056393</x:v>
      </x:c>
      <x:c r="AJ198" s="600" t="n">
        <x:v>0.03079791076683874</x:v>
      </x:c>
      <x:c r="AK198" s="600" t="n">
        <x:v>0.1017798135135535</x:v>
      </x:c>
      <x:c r="AL198" s="600" t="n">
        <x:v>0.1206873913254394</x:v>
      </x:c>
      <x:c r="AM198" s="600" t="n">
        <x:v>0.7136</x:v>
      </x:c>
      <x:c r="AN198" s="595" t="inlineStr">
        <x:is>
          <x:t xml:space="preserve">EVALUATED</x:t>
        </x:is>
      </x:c>
      <x:c r="AO198" s="600" t="inlineStr">
        <x:is>
          <x:t xml:space="preserve">BUCKET_0.25、SIDE_IDENTITY_VALID、FLAT_LINE_GIVING_WATER_DROP</x:t>
        </x:is>
      </x:c>
      <x:c r="AP198" s="600" t="inlineStr">
        <x:is>
          <x:t xml:space="preserve">c7c5a259b4cc3e6a9528</x:t>
        </x:is>
      </x:c>
      <x:c r="AQ198" s="600" t="n">
        <x:v>0.25</x:v>
      </x:c>
      <x:c r="AR198" s="600" t="n">
        <x:v>1.07</x:v>
      </x:c>
      <x:c r="AS198" s="600" t="n">
        <x:v>0.25</x:v>
      </x:c>
      <x:c r="AT198" s="600" t="n">
        <x:v>-0.25</x:v>
      </x:c>
      <x:c r="AU198" s="600" t="n">
        <x:v>1.07</x:v>
      </x:c>
      <x:c r="AV198" s="600" t="n">
        <x:v>0.82</x:v>
      </x:c>
      <x:c r="AW198" s="595" t="n">
        <x:v>46284.25887726852</x:v>
      </x:c>
      <x:c r="AX198" s="595" t="inlineStr">
        <x:is>
          <x:t xml:space="preserve">https://simondongxiao.github.io/odds/v4/</x:t>
        </x:is>
      </x:c>
      <x:c r="AY198" s="595" t="inlineStr">
        <x:is>
          <x:t xml:space="preserve">V4 Shadow Only；real_money=false；比分差异详见记录审计</x:t>
        </x:is>
      </x:c>
    </x:row>
    <x:row r="199" ht="22" customHeight="1">
      <x:c r="A199" s="595" t="inlineStr">
        <x:is>
          <x:t xml:space="preserve">2026-09-19</x:t>
        </x:is>
      </x:c>
      <x:c r="B199" s="595" t="inlineStr">
        <x:is>
          <x:t xml:space="preserve">2026-09-19 17:30</x:t>
        </x:is>
      </x:c>
      <x:c r="C199" s="595" t="str">
        <x:v>日韩系列</x:v>
      </x:c>
      <x:c r="D199" s="595" t="inlineStr">
        <x:is>
          <x:t xml:space="preserve">联赛</x:t>
        </x:is>
      </x:c>
      <x:c r="E199" s="595" t="inlineStr">
        <x:is>
          <x:t xml:space="preserve">日职丙</x:t>
        </x:is>
      </x:c>
      <x:c r="F199" s="595" t="inlineStr">
        <x:is>
          <x:t xml:space="preserve">FC爱媛 vs 赞岐</x:t>
        </x:is>
      </x:c>
      <x:c r="G199" s="596" t="n">
        <x:v>0.9399999999999999</x:v>
      </x:c>
      <x:c r="H199" s="596" t="n">
        <x:v>1</x:v>
      </x:c>
      <x:c r="I199" s="596" t="n">
        <x:v>0.88</x:v>
      </x:c>
      <x:c r="J199" s="596" t="inlineStr">
        <x:is>
          <x:t xml:space="preserve">0.94/1/0.88</x:t>
        </x:is>
      </x:c>
      <x:c r="K199" s="595" t="inlineStr">
        <x:is>
          <x:t xml:space="preserve">V4-C｜EV +0.0153</x:t>
        </x:is>
      </x:c>
      <x:c r="L199" s="595" t="inlineStr">
        <x:is>
          <x:t xml:space="preserve">赞岐</x:t>
        </x:is>
      </x:c>
      <x:c r="M199" s="597" t="n">
        <x:v>0.5423728813559322</x:v>
      </x:c>
      <x:c r="N199" s="595" t="inlineStr">
        <x:is>
          <x:t xml:space="preserve">V4纸面入选-C</x:t>
        </x:is>
      </x:c>
      <x:c r="O199" s="595" t="inlineStr">
        <x:is>
          <x:t xml:space="preserve">2-1</x:t>
        </x:is>
      </x:c>
      <x:c r="P199" s="595" t="inlineStr">
        <x:is>
          <x:t xml:space="preserve">已结算</x:t>
        </x:is>
      </x:c>
      <x:c r="Q199" s="644" t="inlineStr">
        <x:is>
          <x:t xml:space="preserve">走</x:t>
        </x:is>
      </x:c>
      <x:c r="R199" s="599" t="n">
        <x:v>0.88</x:v>
      </x:c>
      <x:c r="S199" s="599" t="n">
        <x:f>IF(OR(Q199="",Q199="待结算"),"",IF(Q199="红",R199,IF(Q199="半红",R199*0.5,IF(Q199="走",0,IF(Q199="半黑",-0.5,-1)))))</x:f>
        <x:v>0</x:v>
      </x:c>
      <x:c r="T199" s="595" t="inlineStr">
        <x:is>
          <x:t xml:space="preserve">https://zq.titan007.com/analysis/3001181cn.htm</x:t>
        </x:is>
      </x:c>
      <x:c r="U199" s="644" t="str">
        <x:f>IF(Q199="","",IF(Q199="待结算","待结算",IF(Q199="红","黑",IF(Q199="半红","半黑",IF(Q199="走","走",IF(Q199="半黑","半红","红"))))))</x:f>
        <x:v>走</x:v>
      </x:c>
      <x:c r="V199" s="599" t="n">
        <x:f>IF(OR(Q199="",Q199="待结算"),"",IF(L199=LEFT(F199,FIND(" vs ",F199)-1),I199,G199))</x:f>
        <x:v>0.94</x:v>
      </x:c>
      <x:c r="W199" s="599" t="n">
        <x:f>IF(OR(U199="",U199="待结算"),"",IF(U199="红",V199,IF(U199="半红",V199*0.5,IF(U199="走",0,IF(U199="半黑",-0.5,-1)))))</x:f>
        <x:v>0</x:v>
      </x:c>
      <x:c r="X199" s="595" t="inlineStr">
        <x:is>
          <x:t xml:space="preserve">3001181</x:t>
        </x:is>
      </x:c>
      <x:c r="Y199" s="595" t="inlineStr">
        <x:is>
          <x:t xml:space="preserve">v4-market-dirichlet-20260913</x:t>
        </x:is>
      </x:c>
      <x:c r="Z199" s="595" t="inlineStr">
        <x:is>
          <x:t xml:space="preserve">prior-2026-09-19-v1</x:t>
        </x:is>
      </x:c>
      <x:c r="AA199" s="595" t="inlineStr">
        <x:is>
          <x:t xml:space="preserve">C</x:t>
        </x:is>
      </x:c>
      <x:c r="AB199" s="600" t="n">
        <x:v>0.4210526315789473</x:v>
      </x:c>
      <x:c r="AC199" s="600" t="n">
        <x:v>0</x:v>
      </x:c>
      <x:c r="AD199" s="600" t="n">
        <x:v>0.2236842105263158</x:v>
      </x:c>
      <x:c r="AE199" s="600" t="n">
        <x:v>0</x:v>
      </x:c>
      <x:c r="AF199" s="600" t="n">
        <x:v>0.3552631578947368</x:v>
      </x:c>
      <x:c r="AG199" s="600" t="n">
        <x:v>0.01526315789473681</x:v>
      </x:c>
      <x:c r="AH199" s="600" t="n">
        <x:v>-0.1365550531449247</x:v>
      </x:c>
      <x:c r="AI199" s="600" t="n">
        <x:v>-0.105149224371376</x:v>
      </x:c>
      <x:c r="AJ199" s="600" t="n">
        <x:v>0.01564106030131335</x:v>
      </x:c>
      <x:c r="AK199" s="600" t="n">
        <x:v>0.1385988446375505</x:v>
      </x:c>
      <x:c r="AL199" s="600" t="n">
        <x:v>0.1728993457485212</x:v>
      </x:c>
      <x:c r="AM199" s="600" t="n">
        <x:v>0.5662</x:v>
      </x:c>
      <x:c r="AN199" s="595" t="inlineStr">
        <x:is>
          <x:t xml:space="preserve">EVALUATED</x:t>
        </x:is>
      </x:c>
      <x:c r="AO199" s="600" t="inlineStr">
        <x:is>
          <x:t xml:space="preserve">BUCKET_1.00、SIDE_IDENTITY_VALID、FLAT_LINE_GIVING_WATER_RISE</x:t>
        </x:is>
      </x:c>
      <x:c r="AP199" s="600" t="inlineStr">
        <x:is>
          <x:t xml:space="preserve">5ac25a04910d764e58a2</x:t>
        </x:is>
      </x:c>
      <x:c r="AQ199" s="600" t="n">
        <x:v>1</x:v>
      </x:c>
      <x:c r="AR199" s="600" t="n">
        <x:v>0.88</x:v>
      </x:c>
      <x:c r="AS199" s="600" t="n">
        <x:v>-1</x:v>
      </x:c>
      <x:c r="AT199" s="600" t="n">
        <x:v>1</x:v>
      </x:c>
      <x:c r="AU199" s="600" t="n">
        <x:v>0.9399999999999999</x:v>
      </x:c>
      <x:c r="AV199" s="600" t="n">
        <x:v>0.88</x:v>
      </x:c>
      <x:c r="AW199" s="595" t="n">
        <x:v>46284.25887726852</x:v>
      </x:c>
      <x:c r="AX199" s="595" t="inlineStr">
        <x:is>
          <x:t xml:space="preserve">https://simondongxiao.github.io/odds/v4/</x:t>
        </x:is>
      </x:c>
      <x:c r="AY199" s="595" t="inlineStr">
        <x:is>
          <x:t xml:space="preserve">V4 Shadow Only；real_money=false；比分差异详见记录审计</x:t>
        </x:is>
      </x:c>
    </x:row>
    <x:row r="200" ht="22" customHeight="1">
      <x:c r="A200" s="595" t="inlineStr">
        <x:is>
          <x:t xml:space="preserve">2026-09-19</x:t>
        </x:is>
      </x:c>
      <x:c r="B200" s="595" t="inlineStr">
        <x:is>
          <x:t xml:space="preserve">2026-09-19 18:00</x:t>
        </x:is>
      </x:c>
      <x:c r="C200" s="595" t="str">
        <x:v>日韩系列</x:v>
      </x:c>
      <x:c r="D200" s="595" t="inlineStr">
        <x:is>
          <x:t xml:space="preserve">联赛</x:t>
        </x:is>
      </x:c>
      <x:c r="E200" s="595" t="inlineStr">
        <x:is>
          <x:t xml:space="preserve">日职联</x:t>
        </x:is>
      </x:c>
      <x:c r="F200" s="595" t="inlineStr">
        <x:is>
          <x:t xml:space="preserve">冈山绿雉 vs 京都不死鸟</x:t>
        </x:is>
      </x:c>
      <x:c r="G200" s="596" t="n">
        <x:v>1.06</x:v>
      </x:c>
      <x:c r="H200" s="596" t="n">
        <x:v>0.75</x:v>
      </x:c>
      <x:c r="I200" s="596" t="n">
        <x:v>0.83</x:v>
      </x:c>
      <x:c r="J200" s="596" t="inlineStr">
        <x:is>
          <x:t xml:space="preserve">1.06/0.75/0.83</x:t>
        </x:is>
      </x:c>
      <x:c r="K200" s="595" t="inlineStr">
        <x:is>
          <x:t xml:space="preserve">V4-C｜EV +0.0133</x:t>
        </x:is>
      </x:c>
      <x:c r="L200" s="595" t="inlineStr">
        <x:is>
          <x:t xml:space="preserve">冈山绿雉</x:t>
        </x:is>
      </x:c>
      <x:c r="M200" s="597" t="n">
        <x:v>0.4928229665071771</x:v>
      </x:c>
      <x:c r="N200" s="595" t="inlineStr">
        <x:is>
          <x:t xml:space="preserve">V4纸面入选-C</x:t>
        </x:is>
      </x:c>
      <x:c r="O200" s="595" t="inlineStr">
        <x:is>
          <x:t xml:space="preserve">1-2</x:t>
        </x:is>
      </x:c>
      <x:c r="P200" s="595" t="inlineStr">
        <x:is>
          <x:t xml:space="preserve">已结算</x:t>
        </x:is>
      </x:c>
      <x:c r="Q200" s="641" t="inlineStr">
        <x:is>
          <x:t xml:space="preserve">黑</x:t>
        </x:is>
      </x:c>
      <x:c r="R200" s="599" t="n">
        <x:v>1.06</x:v>
      </x:c>
      <x:c r="S200" s="599" t="n">
        <x:f>IF(OR(Q200="",Q200="待结算"),"",IF(Q200="红",R200,IF(Q200="半红",R200*0.5,IF(Q200="走",0,IF(Q200="半黑",-0.5,-1)))))</x:f>
        <x:v>-1</x:v>
      </x:c>
      <x:c r="T200" s="595" t="inlineStr">
        <x:is>
          <x:t xml:space="preserve">https://zq.titan007.com/analysis/3000468cn.htm</x:t>
        </x:is>
      </x:c>
      <x:c r="U200" s="640" t="str">
        <x:f>IF(Q200="","",IF(Q200="待结算","待结算",IF(Q200="红","黑",IF(Q200="半红","半黑",IF(Q200="走","走",IF(Q200="半黑","半红","红"))))))</x:f>
        <x:v>红</x:v>
      </x:c>
      <x:c r="V200" s="599" t="n">
        <x:f>IF(OR(Q200="",Q200="待结算"),"",IF(L200=LEFT(F200,FIND(" vs ",F200)-1),I200,G200))</x:f>
        <x:v>0.83</x:v>
      </x:c>
      <x:c r="W200" s="599" t="n">
        <x:f>IF(OR(U200="",U200="待结算"),"",IF(U200="红",V200,IF(U200="半红",V200*0.5,IF(U200="走",0,IF(U200="半黑",-0.5,-1)))))</x:f>
        <x:v>0.83</x:v>
      </x:c>
      <x:c r="X200" s="595" t="inlineStr">
        <x:is>
          <x:t xml:space="preserve">3000468</x:t>
        </x:is>
      </x:c>
      <x:c r="Y200" s="595" t="inlineStr">
        <x:is>
          <x:t xml:space="preserve">v4-market-dirichlet-20260913</x:t>
        </x:is>
      </x:c>
      <x:c r="Z200" s="595" t="inlineStr">
        <x:is>
          <x:t xml:space="preserve">prior-2026-09-19-v1</x:t>
        </x:is>
      </x:c>
      <x:c r="AA200" s="595" t="inlineStr">
        <x:is>
          <x:t xml:space="preserve">C</x:t>
        </x:is>
      </x:c>
      <x:c r="AB200" s="600" t="n">
        <x:v>0.3</x:v>
      </x:c>
      <x:c r="AC200" s="600" t="n">
        <x:v>0.2583333333333334</x:v>
      </x:c>
      <x:c r="AD200" s="600" t="n">
        <x:v>0</x:v>
      </x:c>
      <x:c r="AE200" s="600" t="n">
        <x:v>0</x:v>
      </x:c>
      <x:c r="AF200" s="600" t="n">
        <x:v>0.4416666666666667</x:v>
      </x:c>
      <x:c r="AG200" s="600" t="n">
        <x:v>0.01325000000000004</x:v>
      </x:c>
      <x:c r="AH200" s="600" t="n">
        <x:v>-0.1229706878321174</x:v>
      </x:c>
      <x:c r="AI200" s="600" t="n">
        <x:v>-0.09264246209834615</x:v>
      </x:c>
      <x:c r="AJ200" s="600" t="n">
        <x:v>0.01192915866456062</x:v>
      </x:c>
      <x:c r="AK200" s="600" t="n">
        <x:v>0.1226912443680219</x:v>
      </x:c>
      <x:c r="AL200" s="600" t="n">
        <x:v>0.151261295903187</x:v>
      </x:c>
      <x:c r="AM200" s="600" t="n">
        <x:v>0.5596</x:v>
      </x:c>
      <x:c r="AN200" s="595" t="inlineStr">
        <x:is>
          <x:t xml:space="preserve">EVALUATED</x:t>
        </x:is>
      </x:c>
      <x:c r="AO200" s="600" t="inlineStr">
        <x:is>
          <x:t xml:space="preserve">BUCKET_0.75、SIDE_IDENTITY_VALID、MARKET_MOVE_DEEPER_WITH_GIVING_WATER_RISE</x:t>
        </x:is>
      </x:c>
      <x:c r="AP200" s="600" t="inlineStr">
        <x:is>
          <x:t xml:space="preserve">e194cebaaa8eb32ff8d5</x:t>
        </x:is>
      </x:c>
      <x:c r="AQ200" s="600" t="n">
        <x:v>-0.75</x:v>
      </x:c>
      <x:c r="AR200" s="600" t="n">
        <x:v>1.06</x:v>
      </x:c>
      <x:c r="AS200" s="600" t="n">
        <x:v>-0.75</x:v>
      </x:c>
      <x:c r="AT200" s="600" t="n">
        <x:v>0.75</x:v>
      </x:c>
      <x:c r="AU200" s="600" t="n">
        <x:v>1.06</x:v>
      </x:c>
      <x:c r="AV200" s="600" t="n">
        <x:v>0.83</x:v>
      </x:c>
      <x:c r="AW200" s="595" t="n">
        <x:v>46284.25887726852</x:v>
      </x:c>
      <x:c r="AX200" s="595" t="inlineStr">
        <x:is>
          <x:t xml:space="preserve">https://simondongxiao.github.io/odds/v4/</x:t>
        </x:is>
      </x:c>
      <x:c r="AY200" s="595" t="inlineStr">
        <x:is>
          <x:t xml:space="preserve">V4 Shadow Only；real_money=false；比分差异详见记录审计</x:t>
        </x:is>
      </x:c>
    </x:row>
    <x:row r="201" ht="22" customHeight="1">
      <x:c r="A201" s="595" t="inlineStr">
        <x:is>
          <x:t xml:space="preserve">2026-09-19</x:t>
        </x:is>
      </x:c>
      <x:c r="B201" s="595" t="inlineStr">
        <x:is>
          <x:t xml:space="preserve">2026-09-19 18:00</x:t>
        </x:is>
      </x:c>
      <x:c r="C201" s="595" t="str">
        <x:v>五大联赛非顶级联赛</x:v>
      </x:c>
      <x:c r="D201" s="595" t="inlineStr">
        <x:is>
          <x:t xml:space="preserve">联赛</x:t>
        </x:is>
      </x:c>
      <x:c r="E201" s="595" t="inlineStr">
        <x:is>
          <x:t xml:space="preserve">西协乙1</x:t>
        </x:is>
      </x:c>
      <x:c r="F201" s="595" t="inlineStr">
        <x:is>
          <x:t xml:space="preserve">巴斯科尼亚 vs 阿罗萨</x:t>
        </x:is>
      </x:c>
      <x:c r="G201" s="596" t="n">
        <x:v>0.7</x:v>
      </x:c>
      <x:c r="H201" s="596" t="n">
        <x:v>0.5</x:v>
      </x:c>
      <x:c r="I201" s="596" t="n">
        <x:v>1</x:v>
      </x:c>
      <x:c r="J201" s="596" t="inlineStr">
        <x:is>
          <x:t xml:space="preserve">0.70/0.5/1.00</x:t>
        </x:is>
      </x:c>
      <x:c r="K201" s="595" t="inlineStr">
        <x:is>
          <x:t xml:space="preserve">V4-C｜EV +0.0057</x:t>
        </x:is>
      </x:c>
      <x:c r="L201" s="595" t="inlineStr">
        <x:is>
          <x:t xml:space="preserve">阿罗萨</x:t>
        </x:is>
      </x:c>
      <x:c r="M201" s="597" t="n">
        <x:v>0.5028571428571429</x:v>
      </x:c>
      <x:c r="N201" s="595" t="inlineStr">
        <x:is>
          <x:t xml:space="preserve">V4纸面入选-C</x:t>
        </x:is>
      </x:c>
      <x:c r="O201" s="595" t="inlineStr">
        <x:is>
          <x:t xml:space="preserve">2-2</x:t>
        </x:is>
      </x:c>
      <x:c r="P201" s="595" t="inlineStr">
        <x:is>
          <x:t xml:space="preserve">已结算</x:t>
        </x:is>
      </x:c>
      <x:c r="Q201" s="640" t="inlineStr">
        <x:is>
          <x:t xml:space="preserve">红</x:t>
        </x:is>
      </x:c>
      <x:c r="R201" s="599" t="n">
        <x:v>1</x:v>
      </x:c>
      <x:c r="S201" s="599" t="n">
        <x:f>IF(OR(Q201="",Q201="待结算"),"",IF(Q201="红",R201,IF(Q201="半红",R201*0.5,IF(Q201="走",0,IF(Q201="半黑",-0.5,-1)))))</x:f>
        <x:v>1</x:v>
      </x:c>
      <x:c r="T201" s="595" t="inlineStr">
        <x:is>
          <x:t xml:space="preserve">https://zq.titan007.com/analysis/3055051cn.htm</x:t>
        </x:is>
      </x:c>
      <x:c r="U201" s="641" t="str">
        <x:f>IF(Q201="","",IF(Q201="待结算","待结算",IF(Q201="红","黑",IF(Q201="半红","半黑",IF(Q201="走","走",IF(Q201="半黑","半红","红"))))))</x:f>
        <x:v>黑</x:v>
      </x:c>
      <x:c r="V201" s="599" t="n">
        <x:f>IF(OR(Q201="",Q201="待结算"),"",IF(L201=LEFT(F201,FIND(" vs ",F201)-1),I201,G201))</x:f>
        <x:v>0.7</x:v>
      </x:c>
      <x:c r="W201" s="599" t="n">
        <x:f>IF(OR(U201="",U201="待结算"),"",IF(U201="红",V201,IF(U201="半红",V201*0.5,IF(U201="走",0,IF(U201="半黑",-0.5,-1)))))</x:f>
        <x:v>-1</x:v>
      </x:c>
      <x:c r="X201" s="595" t="inlineStr">
        <x:is>
          <x:t xml:space="preserve">3055051</x:t>
        </x:is>
      </x:c>
      <x:c r="Y201" s="595" t="inlineStr">
        <x:is>
          <x:t xml:space="preserve">v4-market-dirichlet-20260913</x:t>
        </x:is>
      </x:c>
      <x:c r="Z201" s="595" t="inlineStr">
        <x:is>
          <x:t xml:space="preserve">prior-2026-09-19-v1</x:t>
        </x:is>
      </x:c>
      <x:c r="AA201" s="595" t="inlineStr">
        <x:is>
          <x:t xml:space="preserve">C</x:t>
        </x:is>
      </x:c>
      <x:c r="AB201" s="600" t="n">
        <x:v>0.5028571428571429</x:v>
      </x:c>
      <x:c r="AC201" s="600" t="n">
        <x:v>0</x:v>
      </x:c>
      <x:c r="AD201" s="600" t="n">
        <x:v>0</x:v>
      </x:c>
      <x:c r="AE201" s="600" t="n">
        <x:v>0</x:v>
      </x:c>
      <x:c r="AF201" s="600" t="n">
        <x:v>0.4971428571428572</x:v>
      </x:c>
      <x:c r="AG201" s="600" t="n">
        <x:v>0.005714285714285727</x:v>
      </x:c>
      <x:c r="AH201" s="600" t="n">
        <x:v>-0.1201586661440734</x:v>
      </x:c>
      <x:c r="AI201" s="600" t="n">
        <x:v>-0.08908841330511835</x:v>
      </x:c>
      <x:c r="AJ201" s="600" t="n">
        <x:v>0.003828463044855068</x:v>
      </x:c>
      <x:c r="AK201" s="600" t="n">
        <x:v>0.1026211922915051</x:v>
      </x:c>
      <x:c r="AL201" s="600" t="n">
        <x:v>0.1298044055343031</x:v>
      </x:c>
      <x:c r="AM201" s="600" t="n">
        <x:v>0.5226</x:v>
      </x:c>
      <x:c r="AN201" s="595" t="inlineStr">
        <x:is>
          <x:t xml:space="preserve">EVALUATED</x:t>
        </x:is>
      </x:c>
      <x:c r="AO201" s="600" t="inlineStr">
        <x:is>
          <x:t xml:space="preserve">BUCKET_0.50、SIDE_IDENTITY_VALID、FLAT_LINE_GIVING_WATER_DROP</x:t>
        </x:is>
      </x:c>
      <x:c r="AP201" s="600" t="inlineStr">
        <x:is>
          <x:t xml:space="preserve">1e7d53b40400bb0096f2</x:t>
        </x:is>
      </x:c>
      <x:c r="AQ201" s="600" t="n">
        <x:v>0.5</x:v>
      </x:c>
      <x:c r="AR201" s="600" t="n">
        <x:v>1</x:v>
      </x:c>
      <x:c r="AS201" s="600" t="n">
        <x:v>-0.5</x:v>
      </x:c>
      <x:c r="AT201" s="600" t="n">
        <x:v>0.5</x:v>
      </x:c>
      <x:c r="AU201" s="600" t="n">
        <x:v>0.7</x:v>
      </x:c>
      <x:c r="AV201" s="600" t="n">
        <x:v>1</x:v>
      </x:c>
      <x:c r="AW201" s="595" t="n">
        <x:v>46284.25887726852</x:v>
      </x:c>
      <x:c r="AX201" s="595" t="inlineStr">
        <x:is>
          <x:t xml:space="preserve">https://simondongxiao.github.io/odds/v4/</x:t>
        </x:is>
      </x:c>
      <x:c r="AY201" s="595" t="inlineStr">
        <x:is>
          <x:t xml:space="preserve">V4 Shadow Only；real_money=false；比分差异详见记录审计</x:t>
        </x:is>
      </x:c>
    </x:row>
    <x:row r="202" ht="22" customHeight="1">
      <x:c r="A202" s="595" t="inlineStr">
        <x:is>
          <x:t xml:space="preserve">2026-09-19</x:t>
        </x:is>
      </x:c>
      <x:c r="B202" s="595" t="inlineStr">
        <x:is>
          <x:t xml:space="preserve">2026-09-19 18:00</x:t>
        </x:is>
      </x:c>
      <x:c r="C202" s="595" t="str">
        <x:v>日韩系列</x:v>
      </x:c>
      <x:c r="D202" s="595" t="inlineStr">
        <x:is>
          <x:t xml:space="preserve">联赛</x:t>
        </x:is>
      </x:c>
      <x:c r="E202" s="595" t="inlineStr">
        <x:is>
          <x:t xml:space="preserve">韩K联</x:t>
        </x:is>
      </x:c>
      <x:c r="F202" s="595" t="inlineStr">
        <x:is>
          <x:t xml:space="preserve">FC安养 vs 蔚山HD</x:t>
        </x:is>
      </x:c>
      <x:c r="G202" s="596" t="n">
        <x:v>1.02</x:v>
      </x:c>
      <x:c r="H202" s="596" t="n">
        <x:v>-0.5</x:v>
      </x:c>
      <x:c r="I202" s="596" t="n">
        <x:v>0.87</x:v>
      </x:c>
      <x:c r="J202" s="596" t="inlineStr">
        <x:is>
          <x:t xml:space="preserve">1.02/-0.5/0.87</x:t>
        </x:is>
      </x:c>
      <x:c r="K202" s="595" t="inlineStr">
        <x:is>
          <x:t xml:space="preserve">V4-C｜EV +0.0158</x:t>
        </x:is>
      </x:c>
      <x:c r="L202" s="595" t="inlineStr">
        <x:is>
          <x:t xml:space="preserve">FC安养</x:t>
        </x:is>
      </x:c>
      <x:c r="M202" s="597" t="n">
        <x:v>0.5028571428571429</x:v>
      </x:c>
      <x:c r="N202" s="595" t="inlineStr">
        <x:is>
          <x:t xml:space="preserve">V4纸面入选-C</x:t>
        </x:is>
      </x:c>
      <x:c r="O202" s="595" t="inlineStr">
        <x:is>
          <x:t xml:space="preserve">2-1</x:t>
        </x:is>
      </x:c>
      <x:c r="P202" s="595" t="inlineStr">
        <x:is>
          <x:t xml:space="preserve">已结算</x:t>
        </x:is>
      </x:c>
      <x:c r="Q202" s="640" t="inlineStr">
        <x:is>
          <x:t xml:space="preserve">红</x:t>
        </x:is>
      </x:c>
      <x:c r="R202" s="599" t="n">
        <x:v>1.02</x:v>
      </x:c>
      <x:c r="S202" s="599" t="n">
        <x:f>IF(OR(Q202="",Q202="待结算"),"",IF(Q202="红",R202,IF(Q202="半红",R202*0.5,IF(Q202="走",0,IF(Q202="半黑",-0.5,-1)))))</x:f>
        <x:v>1.02</x:v>
      </x:c>
      <x:c r="T202" s="595" t="inlineStr">
        <x:is>
          <x:t xml:space="preserve">https://zq.titan007.com/analysis/2929730cn.htm</x:t>
        </x:is>
      </x:c>
      <x:c r="U202" s="641" t="str">
        <x:f>IF(Q202="","",IF(Q202="待结算","待结算",IF(Q202="红","黑",IF(Q202="半红","半黑",IF(Q202="走","走",IF(Q202="半黑","半红","红"))))))</x:f>
        <x:v>黑</x:v>
      </x:c>
      <x:c r="V202" s="599" t="n">
        <x:f>IF(OR(Q202="",Q202="待结算"),"",IF(L202=LEFT(F202,FIND(" vs ",F202)-1),I202,G202))</x:f>
        <x:v>0.87</x:v>
      </x:c>
      <x:c r="W202" s="599" t="n">
        <x:f>IF(OR(U202="",U202="待结算"),"",IF(U202="红",V202,IF(U202="半红",V202*0.5,IF(U202="走",0,IF(U202="半黑",-0.5,-1)))))</x:f>
        <x:v>-1</x:v>
      </x:c>
      <x:c r="X202" s="595" t="inlineStr">
        <x:is>
          <x:t xml:space="preserve">2929730</x:t>
        </x:is>
      </x:c>
      <x:c r="Y202" s="595" t="inlineStr">
        <x:is>
          <x:t xml:space="preserve">v4-market-dirichlet-20260913</x:t>
        </x:is>
      </x:c>
      <x:c r="Z202" s="595" t="inlineStr">
        <x:is>
          <x:t xml:space="preserve">prior-2026-09-19-v1</x:t>
        </x:is>
      </x:c>
      <x:c r="AA202" s="595" t="inlineStr">
        <x:is>
          <x:t xml:space="preserve">C</x:t>
        </x:is>
      </x:c>
      <x:c r="AB202" s="600" t="n">
        <x:v>0.5028571428571429</x:v>
      </x:c>
      <x:c r="AC202" s="600" t="n">
        <x:v>0</x:v>
      </x:c>
      <x:c r="AD202" s="600" t="n">
        <x:v>0</x:v>
      </x:c>
      <x:c r="AE202" s="600" t="n">
        <x:v>0</x:v>
      </x:c>
      <x:c r="AF202" s="600" t="n">
        <x:v>0.4971428571428572</x:v>
      </x:c>
      <x:c r="AG202" s="600" t="n">
        <x:v>0.0157714285714286</x:v>
      </x:c>
      <x:c r="AH202" s="600" t="n">
        <x:v>-0.1117291821562834</x:v>
      </x:c>
      <x:c r="AI202" s="600" t="n">
        <x:v>-0.08257201485285426</x:v>
      </x:c>
      <x:c r="AJ202" s="600" t="n">
        <x:v>0.0142448722606614</x:v>
      </x:c>
      <x:c r="AK202" s="600" t="n">
        <x:v>0.113763334850028</x:v>
      </x:c>
      <x:c r="AL202" s="600" t="n">
        <x:v>0.1410644284809242</x:v>
      </x:c>
      <x:c r="AM202" s="600" t="n">
        <x:v>0.5824</x:v>
      </x:c>
      <x:c r="AN202" s="595" t="inlineStr">
        <x:is>
          <x:t xml:space="preserve">EVALUATED</x:t>
        </x:is>
      </x:c>
      <x:c r="AO202" s="600" t="inlineStr">
        <x:is>
          <x:t xml:space="preserve">BUCKET_0.50、SIDE_IDENTITY_VALID、FLAT_LINE_GIVING_WATER_DROP</x:t>
        </x:is>
      </x:c>
      <x:c r="AP202" s="600" t="inlineStr">
        <x:is>
          <x:t xml:space="preserve">147738d226c063c73235</x:t>
        </x:is>
      </x:c>
      <x:c r="AQ202" s="600" t="n">
        <x:v>0.5</x:v>
      </x:c>
      <x:c r="AR202" s="600" t="n">
        <x:v>1.02</x:v>
      </x:c>
      <x:c r="AS202" s="600" t="n">
        <x:v>0.5</x:v>
      </x:c>
      <x:c r="AT202" s="600" t="n">
        <x:v>-0.5</x:v>
      </x:c>
      <x:c r="AU202" s="600" t="n">
        <x:v>1.02</x:v>
      </x:c>
      <x:c r="AV202" s="600" t="n">
        <x:v>0.87</x:v>
      </x:c>
      <x:c r="AW202" s="595" t="n">
        <x:v>46284.25887726852</x:v>
      </x:c>
      <x:c r="AX202" s="595" t="inlineStr">
        <x:is>
          <x:t xml:space="preserve">https://simondongxiao.github.io/odds/v4/</x:t>
        </x:is>
      </x:c>
      <x:c r="AY202" s="595" t="inlineStr">
        <x:is>
          <x:t xml:space="preserve">V4 Shadow Only；real_money=false；比分差异详见记录审计</x:t>
        </x:is>
      </x:c>
    </x:row>
    <x:row r="203" ht="22" customHeight="1">
      <x:c r="A203" s="595" t="inlineStr">
        <x:is>
          <x:t xml:space="preserve">2026-09-19</x:t>
        </x:is>
      </x:c>
      <x:c r="B203" s="595" t="inlineStr">
        <x:is>
          <x:t xml:space="preserve">2026-09-19 18:00</x:t>
        </x:is>
      </x:c>
      <x:c r="C203" s="595" t="str">
        <x:v>日韩系列</x:v>
      </x:c>
      <x:c r="D203" s="595" t="inlineStr">
        <x:is>
          <x:t xml:space="preserve">杯赛</x:t>
        </x:is>
      </x:c>
      <x:c r="E203" s="595" t="inlineStr">
        <x:is>
          <x:t xml:space="preserve">女日联杯</x:t>
        </x:is>
      </x:c>
      <x:c r="F203" s="595" t="inlineStr">
        <x:is>
          <x:t xml:space="preserve">广岛三箭女足 vs 千叶市原女足</x:t>
        </x:is>
      </x:c>
      <x:c r="G203" s="596" t="n">
        <x:v>0.57</x:v>
      </x:c>
      <x:c r="H203" s="596" t="n">
        <x:v>0.75</x:v>
      </x:c>
      <x:c r="I203" s="596" t="n">
        <x:v>1.14</x:v>
      </x:c>
      <x:c r="J203" s="596" t="inlineStr">
        <x:is>
          <x:t xml:space="preserve">0.57/0.75/1.14</x:t>
        </x:is>
      </x:c>
      <x:c r="K203" s="595" t="inlineStr">
        <x:is>
          <x:t xml:space="preserve">V4-C｜EV +0.0743</x:t>
        </x:is>
      </x:c>
      <x:c r="L203" s="595" t="inlineStr">
        <x:is>
          <x:t xml:space="preserve">千叶市原女足</x:t>
        </x:is>
      </x:c>
      <x:c r="M203" s="597" t="n">
        <x:v>0.5071770334928229</x:v>
      </x:c>
      <x:c r="N203" s="595" t="inlineStr">
        <x:is>
          <x:t xml:space="preserve">V4纸面入选-C</x:t>
        </x:is>
      </x:c>
      <x:c r="O203" s="595" t="inlineStr">
        <x:is>
          <x:t xml:space="preserve">0-1</x:t>
        </x:is>
      </x:c>
      <x:c r="P203" s="595" t="inlineStr">
        <x:is>
          <x:t xml:space="preserve">已结算</x:t>
        </x:is>
      </x:c>
      <x:c r="Q203" s="640" t="inlineStr">
        <x:is>
          <x:t xml:space="preserve">红</x:t>
        </x:is>
      </x:c>
      <x:c r="R203" s="599" t="n">
        <x:v>1.14</x:v>
      </x:c>
      <x:c r="S203" s="599" t="n">
        <x:f>IF(OR(Q203="",Q203="待结算"),"",IF(Q203="红",R203,IF(Q203="半红",R203*0.5,IF(Q203="走",0,IF(Q203="半黑",-0.5,-1)))))</x:f>
        <x:v>1.14</x:v>
      </x:c>
      <x:c r="T203" s="595" t="inlineStr">
        <x:is>
          <x:t xml:space="preserve">https://zq.titan007.com/analysis/3086967cn.htm</x:t>
        </x:is>
      </x:c>
      <x:c r="U203" s="641" t="str">
        <x:f>IF(Q203="","",IF(Q203="待结算","待结算",IF(Q203="红","黑",IF(Q203="半红","半黑",IF(Q203="走","走",IF(Q203="半黑","半红","红"))))))</x:f>
        <x:v>黑</x:v>
      </x:c>
      <x:c r="V203" s="599" t="n">
        <x:f>IF(OR(Q203="",Q203="待结算"),"",IF(L203=LEFT(F203,FIND(" vs ",F203)-1),I203,G203))</x:f>
        <x:v>0.57</x:v>
      </x:c>
      <x:c r="W203" s="599" t="n">
        <x:f>IF(OR(U203="",U203="待结算"),"",IF(U203="红",V203,IF(U203="半红",V203*0.5,IF(U203="走",0,IF(U203="半黑",-0.5,-1)))))</x:f>
        <x:v>-1</x:v>
      </x:c>
      <x:c r="X203" s="595" t="inlineStr">
        <x:is>
          <x:t xml:space="preserve">3086967</x:t>
        </x:is>
      </x:c>
      <x:c r="Y203" s="595" t="inlineStr">
        <x:is>
          <x:t xml:space="preserve">v4-market-dirichlet-20260913</x:t>
        </x:is>
      </x:c>
      <x:c r="Z203" s="595" t="inlineStr">
        <x:is>
          <x:t xml:space="preserve">prior-2026-09-19-v1</x:t>
        </x:is>
      </x:c>
      <x:c r="AA203" s="595" t="inlineStr">
        <x:is>
          <x:t xml:space="preserve">C</x:t>
        </x:is>
      </x:c>
      <x:c r="AB203" s="600" t="n">
        <x:v>0.4416666666666667</x:v>
      </x:c>
      <x:c r="AC203" s="600" t="n">
        <x:v>0</x:v>
      </x:c>
      <x:c r="AD203" s="600" t="n">
        <x:v>0</x:v>
      </x:c>
      <x:c r="AE203" s="600" t="n">
        <x:v>0.2583333333333334</x:v>
      </x:c>
      <x:c r="AF203" s="600" t="n">
        <x:v>0.3</x:v>
      </x:c>
      <x:c r="AG203" s="600" t="n">
        <x:v>0.07433333333333331</x:v>
      </x:c>
      <x:c r="AH203" s="600" t="n">
        <x:v>-0.06711827338369825</x:v>
      </x:c>
      <x:c r="AI203" s="600" t="n">
        <x:v>-0.03865675942993613</x:v>
      </x:c>
      <x:c r="AJ203" s="600" t="n">
        <x:v>0.07430845813222203</x:v>
      </x:c>
      <x:c r="AK203" s="600" t="n">
        <x:v>0.1873410639059113</x:v>
      </x:c>
      <x:c r="AL203" s="600" t="n">
        <x:v>0.2206052876828132</x:v>
      </x:c>
      <x:c r="AM203" s="600" t="n">
        <x:v>0.8</x:v>
      </x:c>
      <x:c r="AN203" s="595" t="inlineStr">
        <x:is>
          <x:t xml:space="preserve">EVALUATED</x:t>
        </x:is>
      </x:c>
      <x:c r="AO203" s="600" t="inlineStr">
        <x:is>
          <x:t xml:space="preserve">BUCKET_0.75、SIDE_IDENTITY_VALID、FLAT_LINE_GIVING_WATER_DROP</x:t>
        </x:is>
      </x:c>
      <x:c r="AP203" s="600" t="inlineStr">
        <x:is>
          <x:t xml:space="preserve">82492d50adea1b9cdb4e</x:t>
        </x:is>
      </x:c>
      <x:c r="AQ203" s="600" t="n">
        <x:v>0.75</x:v>
      </x:c>
      <x:c r="AR203" s="600" t="n">
        <x:v>1.14</x:v>
      </x:c>
      <x:c r="AS203" s="600" t="n">
        <x:v>-0.75</x:v>
      </x:c>
      <x:c r="AT203" s="600" t="n">
        <x:v>0.75</x:v>
      </x:c>
      <x:c r="AU203" s="600" t="n">
        <x:v>0.57</x:v>
      </x:c>
      <x:c r="AV203" s="600" t="n">
        <x:v>1.14</x:v>
      </x:c>
      <x:c r="AW203" s="595" t="n">
        <x:v>46284.25887726852</x:v>
      </x:c>
      <x:c r="AX203" s="595" t="inlineStr">
        <x:is>
          <x:t xml:space="preserve">https://simondongxiao.github.io/odds/v4/</x:t>
        </x:is>
      </x:c>
      <x:c r="AY203" s="595" t="inlineStr">
        <x:is>
          <x:t xml:space="preserve">V4 Shadow Only；real_money=false；比分差异详见记录审计</x:t>
        </x:is>
      </x:c>
    </x:row>
    <x:row r="204" ht="22" customHeight="1">
      <x:c r="A204" s="595" t="inlineStr">
        <x:is>
          <x:t xml:space="preserve">2026-09-19</x:t>
        </x:is>
      </x:c>
      <x:c r="B204" s="595" t="inlineStr">
        <x:is>
          <x:t xml:space="preserve">2026-09-19 19:00</x:t>
        </x:is>
      </x:c>
      <x:c r="C204" s="595" t="str">
        <x:v>五大联赛非顶级联赛</x:v>
      </x:c>
      <x:c r="D204" s="595" t="inlineStr">
        <x:is>
          <x:t xml:space="preserve">联赛</x:t>
        </x:is>
      </x:c>
      <x:c r="E204" s="595" t="inlineStr">
        <x:is>
          <x:t xml:space="preserve">西协甲</x:t>
        </x:is>
      </x:c>
      <x:c r="F204" s="595" t="inlineStr">
        <x:is>
          <x:t xml:space="preserve">尤尼恩斯塔斯 vs UD欧云斯</x:t>
        </x:is>
      </x:c>
      <x:c r="G204" s="596" t="n">
        <x:v>0.6899999999999999</x:v>
      </x:c>
      <x:c r="H204" s="596" t="n">
        <x:v>0.25</x:v>
      </x:c>
      <x:c r="I204" s="596" t="n">
        <x:v>1.14</x:v>
      </x:c>
      <x:c r="J204" s="596" t="inlineStr">
        <x:is>
          <x:t xml:space="preserve">0.69/0.25/1.14</x:t>
        </x:is>
      </x:c>
      <x:c r="K204" s="595" t="inlineStr">
        <x:is>
          <x:t xml:space="preserve">V4-B｜EV +0.0613</x:t>
        </x:is>
      </x:c>
      <x:c r="L204" s="595" t="inlineStr">
        <x:is>
          <x:t xml:space="preserve">UD欧云斯</x:t>
        </x:is>
      </x:c>
      <x:c r="M204" s="597" t="n">
        <x:v>0.5010224948875256</x:v>
      </x:c>
      <x:c r="N204" s="595" t="inlineStr">
        <x:is>
          <x:t xml:space="preserve">V4纸面入选-B</x:t>
        </x:is>
      </x:c>
      <x:c r="O204" s="595" t="inlineStr">
        <x:is>
          <x:t xml:space="preserve">3-1</x:t>
        </x:is>
      </x:c>
      <x:c r="P204" s="595" t="inlineStr">
        <x:is>
          <x:t xml:space="preserve">已结算</x:t>
        </x:is>
      </x:c>
      <x:c r="Q204" s="641" t="inlineStr">
        <x:is>
          <x:t xml:space="preserve">黑</x:t>
        </x:is>
      </x:c>
      <x:c r="R204" s="599" t="n">
        <x:v>1.14</x:v>
      </x:c>
      <x:c r="S204" s="599" t="n">
        <x:f>IF(OR(Q204="",Q204="待结算"),"",IF(Q204="红",R204,IF(Q204="半红",R204*0.5,IF(Q204="走",0,IF(Q204="半黑",-0.5,-1)))))</x:f>
        <x:v>-1</x:v>
      </x:c>
      <x:c r="T204" s="595" t="inlineStr">
        <x:is>
          <x:t xml:space="preserve">https://zq.titan007.com/analysis/3014522cn.htm</x:t>
        </x:is>
      </x:c>
      <x:c r="U204" s="640" t="str">
        <x:f>IF(Q204="","",IF(Q204="待结算","待结算",IF(Q204="红","黑",IF(Q204="半红","半黑",IF(Q204="走","走",IF(Q204="半黑","半红","红"))))))</x:f>
        <x:v>红</x:v>
      </x:c>
      <x:c r="V204" s="599" t="n">
        <x:f>IF(OR(Q204="",Q204="待结算"),"",IF(L204=LEFT(F204,FIND(" vs ",F204)-1),I204,G204))</x:f>
        <x:v>0.69</x:v>
      </x:c>
      <x:c r="W204" s="599" t="n">
        <x:f>IF(OR(U204="",U204="待结算"),"",IF(U204="红",V204,IF(U204="半红",V204*0.5,IF(U204="走",0,IF(U204="半黑",-0.5,-1)))))</x:f>
        <x:v>0.69</x:v>
      </x:c>
      <x:c r="X204" s="595" t="inlineStr">
        <x:is>
          <x:t xml:space="preserve">3014522</x:t>
        </x:is>
      </x:c>
      <x:c r="Y204" s="595" t="inlineStr">
        <x:is>
          <x:t xml:space="preserve">v4-market-dirichlet-20260913</x:t>
        </x:is>
      </x:c>
      <x:c r="Z204" s="595" t="inlineStr">
        <x:is>
          <x:t xml:space="preserve">prior-2026-09-19-v1</x:t>
        </x:is>
      </x:c>
      <x:c r="AA204" s="595" t="inlineStr">
        <x:is>
          <x:t xml:space="preserve">B</x:t>
        </x:is>
      </x:c>
      <x:c r="AB204" s="600" t="n">
        <x:v>0.2743055555555556</x:v>
      </x:c>
      <x:c r="AC204" s="600" t="n">
        <x:v>0.3020833333333333</x:v>
      </x:c>
      <x:c r="AD204" s="600" t="n">
        <x:v>0</x:v>
      </x:c>
      <x:c r="AE204" s="600" t="n">
        <x:v>0</x:v>
      </x:c>
      <x:c r="AF204" s="600" t="n">
        <x:v>0.4236111111111111</x:v>
      </x:c>
      <x:c r="AG204" s="600" t="n">
        <x:v>0.0612847222222222</x:v>
      </x:c>
      <x:c r="AH204" s="600" t="n">
        <x:v>-0.02983839281438572</x:v>
      </x:c>
      <x:c r="AI204" s="600" t="n">
        <x:v>-0.009166997064788851</x:v>
      </x:c>
      <x:c r="AJ204" s="600" t="n">
        <x:v>0.06238292562483955</x:v>
      </x:c>
      <x:c r="AK204" s="600" t="n">
        <x:v>0.1320977314592393</x:v>
      </x:c>
      <x:c r="AL204" s="600" t="n">
        <x:v>0.1506265393703716</x:v>
      </x:c>
      <x:c r="AM204" s="600" t="n">
        <x:v>0.871</x:v>
      </x:c>
      <x:c r="AN204" s="595" t="inlineStr">
        <x:is>
          <x:t xml:space="preserve">EVALUATED</x:t>
        </x:is>
      </x:c>
      <x:c r="AO204" s="600" t="inlineStr">
        <x:is>
          <x:t xml:space="preserve">BUCKET_0.25、SIDE_IDENTITY_VALID、FLAT_LINE_GIVING_WATER_DROP</x:t>
        </x:is>
      </x:c>
      <x:c r="AP204" s="600" t="inlineStr">
        <x:is>
          <x:t xml:space="preserve">3d79690351d2f6330db5</x:t>
        </x:is>
      </x:c>
      <x:c r="AQ204" s="600" t="n">
        <x:v>0.25</x:v>
      </x:c>
      <x:c r="AR204" s="600" t="n">
        <x:v>1.14</x:v>
      </x:c>
      <x:c r="AS204" s="600" t="n">
        <x:v>-0.25</x:v>
      </x:c>
      <x:c r="AT204" s="600" t="n">
        <x:v>0.25</x:v>
      </x:c>
      <x:c r="AU204" s="600" t="n">
        <x:v>0.6899999999999999</x:v>
      </x:c>
      <x:c r="AV204" s="600" t="n">
        <x:v>1.14</x:v>
      </x:c>
      <x:c r="AW204" s="595" t="n">
        <x:v>46284.25887726852</x:v>
      </x:c>
      <x:c r="AX204" s="595" t="inlineStr">
        <x:is>
          <x:t xml:space="preserve">https://simondongxiao.github.io/odds/v4/</x:t>
        </x:is>
      </x:c>
      <x:c r="AY204" s="595" t="inlineStr">
        <x:is>
          <x:t xml:space="preserve">V4 Shadow Only；real_money=false；比分差异详见记录审计</x:t>
        </x:is>
      </x:c>
    </x:row>
    <x:row r="205" ht="22" customHeight="1">
      <x:c r="A205" s="595" t="inlineStr">
        <x:is>
          <x:t xml:space="preserve">2026-09-19</x:t>
        </x:is>
      </x:c>
      <x:c r="B205" s="595" t="inlineStr">
        <x:is>
          <x:t xml:space="preserve">2026-09-19 19:00</x:t>
        </x:is>
      </x:c>
      <x:c r="C205" s="595" t="str">
        <x:v>欧洲非五大系列</x:v>
      </x:c>
      <x:c r="D205" s="595" t="inlineStr">
        <x:is>
          <x:t xml:space="preserve">联赛</x:t>
        </x:is>
      </x:c>
      <x:c r="E205" s="595" t="inlineStr">
        <x:is>
          <x:t xml:space="preserve">芬乙A降</x:t>
        </x:is>
      </x:c>
      <x:c r="F205" s="595" t="inlineStr">
        <x:is>
          <x:t xml:space="preserve">普拉尼 vs 拉迪恩雷帕斯</x:t>
        </x:is>
      </x:c>
      <x:c r="G205" s="596" t="n">
        <x:v>0.8</x:v>
      </x:c>
      <x:c r="H205" s="596" t="n">
        <x:v>-0.25</x:v>
      </x:c>
      <x:c r="I205" s="596" t="n">
        <x:v>1.02</x:v>
      </x:c>
      <x:c r="J205" s="596" t="inlineStr">
        <x:is>
          <x:t xml:space="preserve">0.80/-0.25/1.02</x:t>
        </x:is>
      </x:c>
      <x:c r="K205" s="595" t="inlineStr">
        <x:is>
          <x:t xml:space="preserve">V4-C｜EV +0.0067</x:t>
        </x:is>
      </x:c>
      <x:c r="L205" s="595" t="inlineStr">
        <x:is>
          <x:t xml:space="preserve">拉迪恩雷帕斯</x:t>
        </x:is>
      </x:c>
      <x:c r="M205" s="597" t="n">
        <x:v>0.4989775051124744</x:v>
      </x:c>
      <x:c r="N205" s="595" t="inlineStr">
        <x:is>
          <x:t xml:space="preserve">V4纸面入选-C</x:t>
        </x:is>
      </x:c>
      <x:c r="O205" s="595" t="inlineStr">
        <x:is>
          <x:t xml:space="preserve">1-0</x:t>
        </x:is>
      </x:c>
      <x:c r="P205" s="595" t="inlineStr">
        <x:is>
          <x:t xml:space="preserve">已结算</x:t>
        </x:is>
      </x:c>
      <x:c r="Q205" s="641" t="inlineStr">
        <x:is>
          <x:t xml:space="preserve">黑</x:t>
        </x:is>
      </x:c>
      <x:c r="R205" s="599" t="n">
        <x:v>1.02</x:v>
      </x:c>
      <x:c r="S205" s="599" t="n">
        <x:f>IF(OR(Q205="",Q205="待结算"),"",IF(Q205="红",R205,IF(Q205="半红",R205*0.5,IF(Q205="走",0,IF(Q205="半黑",-0.5,-1)))))</x:f>
        <x:v>-1</x:v>
      </x:c>
      <x:c r="T205" s="595" t="inlineStr">
        <x:is>
          <x:t xml:space="preserve">https://zq.titan007.com/analysis/3074348cn.htm</x:t>
        </x:is>
      </x:c>
      <x:c r="U205" s="640" t="str">
        <x:f>IF(Q205="","",IF(Q205="待结算","待结算",IF(Q205="红","黑",IF(Q205="半红","半黑",IF(Q205="走","走",IF(Q205="半黑","半红","红"))))))</x:f>
        <x:v>红</x:v>
      </x:c>
      <x:c r="V205" s="599" t="n">
        <x:f>IF(OR(Q205="",Q205="待结算"),"",IF(L205=LEFT(F205,FIND(" vs ",F205)-1),I205,G205))</x:f>
        <x:v>0.8</x:v>
      </x:c>
      <x:c r="W205" s="599" t="n">
        <x:f>IF(OR(U205="",U205="待结算"),"",IF(U205="红",V205,IF(U205="半红",V205*0.5,IF(U205="走",0,IF(U205="半黑",-0.5,-1)))))</x:f>
        <x:v>0.8</x:v>
      </x:c>
      <x:c r="X205" s="595" t="inlineStr">
        <x:is>
          <x:t xml:space="preserve">3074348</x:t>
        </x:is>
      </x:c>
      <x:c r="Y205" s="595" t="inlineStr">
        <x:is>
          <x:t xml:space="preserve">v4-market-dirichlet-20260913</x:t>
        </x:is>
      </x:c>
      <x:c r="Z205" s="595" t="inlineStr">
        <x:is>
          <x:t xml:space="preserve">prior-2026-09-19-v1</x:t>
        </x:is>
      </x:c>
      <x:c r="AA205" s="595" t="inlineStr">
        <x:is>
          <x:t xml:space="preserve">C</x:t>
        </x:is>
      </x:c>
      <x:c r="AB205" s="600" t="n">
        <x:v>0.4236111111111111</x:v>
      </x:c>
      <x:c r="AC205" s="600" t="n">
        <x:v>0</x:v>
      </x:c>
      <x:c r="AD205" s="600" t="n">
        <x:v>0</x:v>
      </x:c>
      <x:c r="AE205" s="600" t="n">
        <x:v>0.3020833333333333</x:v>
      </x:c>
      <x:c r="AF205" s="600" t="n">
        <x:v>0.2743055555555556</x:v>
      </x:c>
      <x:c r="AG205" s="600" t="n">
        <x:v>0.006736111111111054</x:v>
      </x:c>
      <x:c r="AH205" s="600" t="n">
        <x:v>-0.07793017410277328</x:v>
      </x:c>
      <x:c r="AI205" s="600" t="n">
        <x:v>-0.06016696957705819</x:v>
      </x:c>
      <x:c r="AJ205" s="600" t="n">
        <x:v>0.006890018708432588</x:v>
      </x:c>
      <x:c r="AK205" s="600" t="n">
        <x:v>0.07582417704928002</x:v>
      </x:c>
      <x:c r="AL205" s="600" t="n">
        <x:v>0.09292831249318864</x:v>
      </x:c>
      <x:c r="AM205" s="600" t="n">
        <x:v>0.552</x:v>
      </x:c>
      <x:c r="AN205" s="595" t="inlineStr">
        <x:is>
          <x:t xml:space="preserve">EVALUATED</x:t>
        </x:is>
      </x:c>
      <x:c r="AO205" s="600" t="inlineStr">
        <x:is>
          <x:t xml:space="preserve">BUCKET_0.25、SIDE_IDENTITY_VALID、MARKET_MOVE_DEEPER_WITH_GIVING_WATER_RISE</x:t>
        </x:is>
      </x:c>
      <x:c r="AP205" s="600" t="inlineStr">
        <x:is>
          <x:t xml:space="preserve">d096b1ad219576bb0b69</x:t>
        </x:is>
      </x:c>
      <x:c r="AQ205" s="600" t="n">
        <x:v>-0.25</x:v>
      </x:c>
      <x:c r="AR205" s="600" t="n">
        <x:v>1.02</x:v>
      </x:c>
      <x:c r="AS205" s="600" t="n">
        <x:v>0.25</x:v>
      </x:c>
      <x:c r="AT205" s="600" t="n">
        <x:v>-0.25</x:v>
      </x:c>
      <x:c r="AU205" s="600" t="n">
        <x:v>0.8</x:v>
      </x:c>
      <x:c r="AV205" s="600" t="n">
        <x:v>1.02</x:v>
      </x:c>
      <x:c r="AW205" s="595" t="n">
        <x:v>46284.25887726852</x:v>
      </x:c>
      <x:c r="AX205" s="595" t="inlineStr">
        <x:is>
          <x:t xml:space="preserve">https://simondongxiao.github.io/odds/v4/</x:t>
        </x:is>
      </x:c>
      <x:c r="AY205" s="595" t="inlineStr">
        <x:is>
          <x:t xml:space="preserve">V4 Shadow Only；real_money=false；比分差异详见记录审计</x:t>
        </x:is>
      </x:c>
    </x:row>
    <x:row r="206" ht="22" customHeight="1">
      <x:c r="A206" s="595" t="inlineStr">
        <x:is>
          <x:t xml:space="preserve">2026-09-19</x:t>
        </x:is>
      </x:c>
      <x:c r="B206" s="595" t="inlineStr">
        <x:is>
          <x:t xml:space="preserve">2026-09-19 19:30</x:t>
        </x:is>
      </x:c>
      <x:c r="C206" s="595" t="str">
        <x:v>五大联赛非顶级联赛</x:v>
      </x:c>
      <x:c r="D206" s="595" t="inlineStr">
        <x:is>
          <x:t xml:space="preserve">联赛</x:t>
        </x:is>
      </x:c>
      <x:c r="E206" s="595" t="inlineStr">
        <x:is>
          <x:t xml:space="preserve">英冠</x:t>
        </x:is>
      </x:c>
      <x:c r="F206" s="595" t="inlineStr">
        <x:is>
          <x:t xml:space="preserve">米尔沃尔 vs 西汉姆联</x:t>
        </x:is>
      </x:c>
      <x:c r="G206" s="596" t="n">
        <x:v>1.01</x:v>
      </x:c>
      <x:c r="H206" s="596" t="n">
        <x:v>-0.75</x:v>
      </x:c>
      <x:c r="I206" s="596" t="n">
        <x:v>0.87</x:v>
      </x:c>
      <x:c r="J206" s="596" t="inlineStr">
        <x:is>
          <x:t xml:space="preserve">1.01/-0.75/0.87</x:t>
        </x:is>
      </x:c>
      <x:c r="K206" s="595" t="inlineStr">
        <x:is>
          <x:t xml:space="preserve">V4-C｜EV +0.0169</x:t>
        </x:is>
      </x:c>
      <x:c r="L206" s="595" t="inlineStr">
        <x:is>
          <x:t xml:space="preserve">米尔沃尔</x:t>
        </x:is>
      </x:c>
      <x:c r="M206" s="597" t="n">
        <x:v>0.5071770334928229</x:v>
      </x:c>
      <x:c r="N206" s="595" t="inlineStr">
        <x:is>
          <x:t xml:space="preserve">V4纸面入选-C</x:t>
        </x:is>
      </x:c>
      <x:c r="O206" s="595" t="inlineStr">
        <x:is>
          <x:t xml:space="preserve">2-2</x:t>
        </x:is>
      </x:c>
      <x:c r="P206" s="595" t="inlineStr">
        <x:is>
          <x:t xml:space="preserve">已结算</x:t>
        </x:is>
      </x:c>
      <x:c r="Q206" s="640" t="inlineStr">
        <x:is>
          <x:t xml:space="preserve">红</x:t>
        </x:is>
      </x:c>
      <x:c r="R206" s="599" t="n">
        <x:v>1.01</x:v>
      </x:c>
      <x:c r="S206" s="599" t="n">
        <x:f>IF(OR(Q206="",Q206="待结算"),"",IF(Q206="红",R206,IF(Q206="半红",R206*0.5,IF(Q206="走",0,IF(Q206="半黑",-0.5,-1)))))</x:f>
        <x:v>1.01</x:v>
      </x:c>
      <x:c r="T206" s="595" t="inlineStr">
        <x:is>
          <x:t xml:space="preserve">https://zq.titan007.com/analysis/3008239cn.htm</x:t>
        </x:is>
      </x:c>
      <x:c r="U206" s="641" t="str">
        <x:f>IF(Q206="","",IF(Q206="待结算","待结算",IF(Q206="红","黑",IF(Q206="半红","半黑",IF(Q206="走","走",IF(Q206="半黑","半红","红"))))))</x:f>
        <x:v>黑</x:v>
      </x:c>
      <x:c r="V206" s="599" t="n">
        <x:f>IF(OR(Q206="",Q206="待结算"),"",IF(L206=LEFT(F206,FIND(" vs ",F206)-1),I206,G206))</x:f>
        <x:v>0.87</x:v>
      </x:c>
      <x:c r="W206" s="599" t="n">
        <x:f>IF(OR(U206="",U206="待结算"),"",IF(U206="红",V206,IF(U206="半红",V206*0.5,IF(U206="走",0,IF(U206="半黑",-0.5,-1)))))</x:f>
        <x:v>-1</x:v>
      </x:c>
      <x:c r="X206" s="595" t="inlineStr">
        <x:is>
          <x:t xml:space="preserve">3008239</x:t>
        </x:is>
      </x:c>
      <x:c r="Y206" s="595" t="inlineStr">
        <x:is>
          <x:t xml:space="preserve">v4-market-dirichlet-20260913</x:t>
        </x:is>
      </x:c>
      <x:c r="Z206" s="595" t="inlineStr">
        <x:is>
          <x:t xml:space="preserve">prior-2026-09-19-v1</x:t>
        </x:is>
      </x:c>
      <x:c r="AA206" s="595" t="inlineStr">
        <x:is>
          <x:t xml:space="preserve">C</x:t>
        </x:is>
      </x:c>
      <x:c r="AB206" s="600" t="n">
        <x:v>0.4416666666666667</x:v>
      </x:c>
      <x:c r="AC206" s="600" t="n">
        <x:v>0</x:v>
      </x:c>
      <x:c r="AD206" s="600" t="n">
        <x:v>0</x:v>
      </x:c>
      <x:c r="AE206" s="600" t="n">
        <x:v>0.2583333333333334</x:v>
      </x:c>
      <x:c r="AF206" s="600" t="n">
        <x:v>0.3</x:v>
      </x:c>
      <x:c r="AG206" s="600" t="n">
        <x:v>0.01691666666666664</x:v>
      </x:c>
      <x:c r="AH206" s="600" t="n">
        <x:v>-0.1183943473928568</x:v>
      </x:c>
      <x:c r="AI206" s="600" t="n">
        <x:v>-0.08720680994201374</x:v>
      </x:c>
      <x:c r="AJ206" s="600" t="n">
        <x:v>0.01412517175835176</x:v>
      </x:c>
      <x:c r="AK206" s="600" t="n">
        <x:v>0.1237862794205311</x:v>
      </x:c>
      <x:c r="AL206" s="600" t="n">
        <x:v>0.1524094961898559</x:v>
      </x:c>
      <x:c r="AM206" s="600" t="n">
        <x:v>0.5692</x:v>
      </x:c>
      <x:c r="AN206" s="595" t="inlineStr">
        <x:is>
          <x:t xml:space="preserve">EVALUATED</x:t>
        </x:is>
      </x:c>
      <x:c r="AO206" s="600" t="inlineStr">
        <x:is>
          <x:t xml:space="preserve">BUCKET_0.75、SIDE_IDENTITY_VALID、FLAT_LINE_GIVING_WATER_DROP</x:t>
        </x:is>
      </x:c>
      <x:c r="AP206" s="600" t="inlineStr">
        <x:is>
          <x:t xml:space="preserve">eba83d0d0d02aa2b2d15</x:t>
        </x:is>
      </x:c>
      <x:c r="AQ206" s="600" t="n">
        <x:v>0.75</x:v>
      </x:c>
      <x:c r="AR206" s="600" t="n">
        <x:v>1.01</x:v>
      </x:c>
      <x:c r="AS206" s="600" t="n">
        <x:v>0.75</x:v>
      </x:c>
      <x:c r="AT206" s="600" t="n">
        <x:v>-0.75</x:v>
      </x:c>
      <x:c r="AU206" s="600" t="n">
        <x:v>1.01</x:v>
      </x:c>
      <x:c r="AV206" s="600" t="n">
        <x:v>0.87</x:v>
      </x:c>
      <x:c r="AW206" s="595" t="n">
        <x:v>46284.25887726852</x:v>
      </x:c>
      <x:c r="AX206" s="595" t="inlineStr">
        <x:is>
          <x:t xml:space="preserve">https://simondongxiao.github.io/odds/v4/</x:t>
        </x:is>
      </x:c>
      <x:c r="AY206" s="595" t="inlineStr">
        <x:is>
          <x:t xml:space="preserve">V4 Shadow Only；real_money=false；比分差异详见记录审计</x:t>
        </x:is>
      </x:c>
    </x:row>
    <x:row r="207" ht="22" customHeight="1">
      <x:c r="A207" s="595" t="inlineStr">
        <x:is>
          <x:t xml:space="preserve">2026-09-19</x:t>
        </x:is>
      </x:c>
      <x:c r="B207" s="595" t="inlineStr">
        <x:is>
          <x:t xml:space="preserve">2026-09-19 19:30</x:t>
        </x:is>
      </x:c>
      <x:c r="C207" s="595" t="str">
        <x:v>五大联赛非顶级联赛</x:v>
      </x:c>
      <x:c r="D207" s="595" t="inlineStr">
        <x:is>
          <x:t xml:space="preserve">联赛</x:t>
        </x:is>
      </x:c>
      <x:c r="E207" s="595" t="inlineStr">
        <x:is>
          <x:t xml:space="preserve">英冠</x:t>
        </x:is>
      </x:c>
      <x:c r="F207" s="595" t="inlineStr">
        <x:is>
          <x:t xml:space="preserve">斯托克城 vs 谢菲尔德联队</x:t>
        </x:is>
      </x:c>
      <x:c r="G207" s="596" t="n">
        <x:v>1.02</x:v>
      </x:c>
      <x:c r="H207" s="596" t="n">
        <x:v>0.25</x:v>
      </x:c>
      <x:c r="I207" s="596" t="n">
        <x:v>0.86</x:v>
      </x:c>
      <x:c r="J207" s="596" t="inlineStr">
        <x:is>
          <x:t xml:space="preserve">1.02/0.25/0.86</x:t>
        </x:is>
      </x:c>
      <x:c r="K207" s="595" t="inlineStr">
        <x:is>
          <x:t xml:space="preserve">V4-C｜EV +0.0067</x:t>
        </x:is>
      </x:c>
      <x:c r="L207" s="595" t="inlineStr">
        <x:is>
          <x:t xml:space="preserve">斯托克城</x:t>
        </x:is>
      </x:c>
      <x:c r="M207" s="597" t="n">
        <x:v>0.4989775051124744</x:v>
      </x:c>
      <x:c r="N207" s="595" t="inlineStr">
        <x:is>
          <x:t xml:space="preserve">V4纸面入选-C</x:t>
        </x:is>
      </x:c>
      <x:c r="O207" s="595" t="inlineStr">
        <x:is>
          <x:t xml:space="preserve">2-1</x:t>
        </x:is>
      </x:c>
      <x:c r="P207" s="595" t="inlineStr">
        <x:is>
          <x:t xml:space="preserve">已结算</x:t>
        </x:is>
      </x:c>
      <x:c r="Q207" s="640" t="inlineStr">
        <x:is>
          <x:t xml:space="preserve">红</x:t>
        </x:is>
      </x:c>
      <x:c r="R207" s="599" t="n">
        <x:v>1.02</x:v>
      </x:c>
      <x:c r="S207" s="599" t="n">
        <x:f>IF(OR(Q207="",Q207="待结算"),"",IF(Q207="红",R207,IF(Q207="半红",R207*0.5,IF(Q207="走",0,IF(Q207="半黑",-0.5,-1)))))</x:f>
        <x:v>1.02</x:v>
      </x:c>
      <x:c r="T207" s="595" t="inlineStr">
        <x:is>
          <x:t xml:space="preserve">https://zq.titan007.com/analysis/3008243cn.htm</x:t>
        </x:is>
      </x:c>
      <x:c r="U207" s="641" t="str">
        <x:f>IF(Q207="","",IF(Q207="待结算","待结算",IF(Q207="红","黑",IF(Q207="半红","半黑",IF(Q207="走","走",IF(Q207="半黑","半红","红"))))))</x:f>
        <x:v>黑</x:v>
      </x:c>
      <x:c r="V207" s="599" t="n">
        <x:f>IF(OR(Q207="",Q207="待结算"),"",IF(L207=LEFT(F207,FIND(" vs ",F207)-1),I207,G207))</x:f>
        <x:v>0.86</x:v>
      </x:c>
      <x:c r="W207" s="599" t="n">
        <x:f>IF(OR(U207="",U207="待结算"),"",IF(U207="红",V207,IF(U207="半红",V207*0.5,IF(U207="走",0,IF(U207="半黑",-0.5,-1)))))</x:f>
        <x:v>-1</x:v>
      </x:c>
      <x:c r="X207" s="595" t="inlineStr">
        <x:is>
          <x:t xml:space="preserve">3008243</x:t>
        </x:is>
      </x:c>
      <x:c r="Y207" s="595" t="inlineStr">
        <x:is>
          <x:t xml:space="preserve">v4-market-dirichlet-20260913</x:t>
        </x:is>
      </x:c>
      <x:c r="Z207" s="595" t="inlineStr">
        <x:is>
          <x:t xml:space="preserve">prior-2026-09-19-v1</x:t>
        </x:is>
      </x:c>
      <x:c r="AA207" s="595" t="inlineStr">
        <x:is>
          <x:t xml:space="preserve">C</x:t>
        </x:is>
      </x:c>
      <x:c r="AB207" s="600" t="n">
        <x:v>0.4236111111111111</x:v>
      </x:c>
      <x:c r="AC207" s="600" t="n">
        <x:v>0</x:v>
      </x:c>
      <x:c r="AD207" s="600" t="n">
        <x:v>0</x:v>
      </x:c>
      <x:c r="AE207" s="600" t="n">
        <x:v>0.3020833333333333</x:v>
      </x:c>
      <x:c r="AF207" s="600" t="n">
        <x:v>0.2743055555555556</x:v>
      </x:c>
      <x:c r="AG207" s="600" t="n">
        <x:v>0.006736111111111054</x:v>
      </x:c>
      <x:c r="AH207" s="600" t="n">
        <x:v>-0.0778223612222424</x:v>
      </x:c>
      <x:c r="AI207" s="600" t="n">
        <x:v>-0.05957556236453457</x:v>
      </x:c>
      <x:c r="AJ207" s="600" t="n">
        <x:v>0.006486540351957198</x:v>
      </x:c>
      <x:c r="AK207" s="600" t="n">
        <x:v>0.0738616249479247</x:v>
      </x:c>
      <x:c r="AL207" s="600" t="n">
        <x:v>0.09384045802360447</x:v>
      </x:c>
      <x:c r="AM207" s="600" t="n">
        <x:v>0.5446</x:v>
      </x:c>
      <x:c r="AN207" s="595" t="inlineStr">
        <x:is>
          <x:t xml:space="preserve">EVALUATED</x:t>
        </x:is>
      </x:c>
      <x:c r="AO207" s="600" t="inlineStr">
        <x:is>
          <x:t xml:space="preserve">BUCKET_0.25、SIDE_IDENTITY_VALID、MARKET_MOVE_DEEPER_WITH_GIVING_WATER_RISE</x:t>
        </x:is>
      </x:c>
      <x:c r="AP207" s="600" t="inlineStr">
        <x:is>
          <x:t xml:space="preserve">470d0dfe8215475b813c</x:t>
        </x:is>
      </x:c>
      <x:c r="AQ207" s="600" t="n">
        <x:v>-0.25</x:v>
      </x:c>
      <x:c r="AR207" s="600" t="n">
        <x:v>1.02</x:v>
      </x:c>
      <x:c r="AS207" s="600" t="n">
        <x:v>-0.25</x:v>
      </x:c>
      <x:c r="AT207" s="600" t="n">
        <x:v>0.25</x:v>
      </x:c>
      <x:c r="AU207" s="600" t="n">
        <x:v>1.02</x:v>
      </x:c>
      <x:c r="AV207" s="600" t="n">
        <x:v>0.86</x:v>
      </x:c>
      <x:c r="AW207" s="595" t="n">
        <x:v>46284.25887726852</x:v>
      </x:c>
      <x:c r="AX207" s="595" t="inlineStr">
        <x:is>
          <x:t xml:space="preserve">https://simondongxiao.github.io/odds/v4/</x:t>
        </x:is>
      </x:c>
      <x:c r="AY207" s="595" t="inlineStr">
        <x:is>
          <x:t xml:space="preserve">V4 Shadow Only；real_money=false；比分差异详见记录审计</x:t>
        </x:is>
      </x:c>
    </x:row>
    <x:row r="208" ht="22" customHeight="1">
      <x:c r="A208" s="595" t="inlineStr">
        <x:is>
          <x:t xml:space="preserve">2026-09-19</x:t>
        </x:is>
      </x:c>
      <x:c r="B208" s="595" t="inlineStr">
        <x:is>
          <x:t xml:space="preserve">2026-09-19 19:30</x:t>
        </x:is>
      </x:c>
      <x:c r="C208" s="595" t="str">
        <x:v>日韩系列</x:v>
      </x:c>
      <x:c r="D208" s="595" t="inlineStr">
        <x:is>
          <x:t xml:space="preserve">联赛</x:t>
        </x:is>
      </x:c>
      <x:c r="E208" s="595" t="inlineStr">
        <x:is>
          <x:t xml:space="preserve">中甲</x:t>
        </x:is>
      </x:c>
      <x:c r="F208" s="595" t="inlineStr">
        <x:is>
          <x:t xml:space="preserve">定南赣联 vs 佛山南狮</x:t>
        </x:is>
      </x:c>
      <x:c r="G208" s="596" t="n">
        <x:v>0.8100000000000001</x:v>
      </x:c>
      <x:c r="H208" s="596" t="n">
        <x:v>0.75</x:v>
      </x:c>
      <x:c r="I208" s="596" t="n">
        <x:v>1.01</x:v>
      </x:c>
      <x:c r="J208" s="596" t="inlineStr">
        <x:is>
          <x:t xml:space="preserve">0.81/0.75/1.01</x:t>
        </x:is>
      </x:c>
      <x:c r="K208" s="595" t="inlineStr">
        <x:is>
          <x:t xml:space="preserve">V4-C｜EV +0.0169</x:t>
        </x:is>
      </x:c>
      <x:c r="L208" s="595" t="inlineStr">
        <x:is>
          <x:t xml:space="preserve">佛山南狮</x:t>
        </x:is>
      </x:c>
      <x:c r="M208" s="597" t="n">
        <x:v>0.5071770334928229</x:v>
      </x:c>
      <x:c r="N208" s="595" t="inlineStr">
        <x:is>
          <x:t xml:space="preserve">V4纸面入选-C</x:t>
        </x:is>
      </x:c>
      <x:c r="O208" s="595" t="inlineStr">
        <x:is>
          <x:t xml:space="preserve">1-1</x:t>
        </x:is>
      </x:c>
      <x:c r="P208" s="595" t="inlineStr">
        <x:is>
          <x:t xml:space="preserve">已结算</x:t>
        </x:is>
      </x:c>
      <x:c r="Q208" s="640" t="inlineStr">
        <x:is>
          <x:t xml:space="preserve">红</x:t>
        </x:is>
      </x:c>
      <x:c r="R208" s="599" t="n">
        <x:v>1.01</x:v>
      </x:c>
      <x:c r="S208" s="599" t="n">
        <x:f>IF(OR(Q208="",Q208="待结算"),"",IF(Q208="红",R208,IF(Q208="半红",R208*0.5,IF(Q208="走",0,IF(Q208="半黑",-0.5,-1)))))</x:f>
        <x:v>1.01</x:v>
      </x:c>
      <x:c r="T208" s="595" t="inlineStr">
        <x:is>
          <x:t xml:space="preserve">https://zq.titan007.com/analysis/2951660cn.htm</x:t>
        </x:is>
      </x:c>
      <x:c r="U208" s="641" t="str">
        <x:f>IF(Q208="","",IF(Q208="待结算","待结算",IF(Q208="红","黑",IF(Q208="半红","半黑",IF(Q208="走","走",IF(Q208="半黑","半红","红"))))))</x:f>
        <x:v>黑</x:v>
      </x:c>
      <x:c r="V208" s="599" t="n">
        <x:f>IF(OR(Q208="",Q208="待结算"),"",IF(L208=LEFT(F208,FIND(" vs ",F208)-1),I208,G208))</x:f>
        <x:v>0.81</x:v>
      </x:c>
      <x:c r="W208" s="599" t="n">
        <x:f>IF(OR(U208="",U208="待结算"),"",IF(U208="红",V208,IF(U208="半红",V208*0.5,IF(U208="走",0,IF(U208="半黑",-0.5,-1)))))</x:f>
        <x:v>-1</x:v>
      </x:c>
      <x:c r="X208" s="595" t="inlineStr">
        <x:is>
          <x:t xml:space="preserve">2951660</x:t>
        </x:is>
      </x:c>
      <x:c r="Y208" s="595" t="inlineStr">
        <x:is>
          <x:t xml:space="preserve">v4-market-dirichlet-20260913</x:t>
        </x:is>
      </x:c>
      <x:c r="Z208" s="595" t="inlineStr">
        <x:is>
          <x:t xml:space="preserve">prior-2026-09-19-v1</x:t>
        </x:is>
      </x:c>
      <x:c r="AA208" s="595" t="inlineStr">
        <x:is>
          <x:t xml:space="preserve">C</x:t>
        </x:is>
      </x:c>
      <x:c r="AB208" s="600" t="n">
        <x:v>0.4416666666666667</x:v>
      </x:c>
      <x:c r="AC208" s="600" t="n">
        <x:v>0</x:v>
      </x:c>
      <x:c r="AD208" s="600" t="n">
        <x:v>0</x:v>
      </x:c>
      <x:c r="AE208" s="600" t="n">
        <x:v>0.2583333333333334</x:v>
      </x:c>
      <x:c r="AF208" s="600" t="n">
        <x:v>0.3</x:v>
      </x:c>
      <x:c r="AG208" s="600" t="n">
        <x:v>0.01691666666666664</x:v>
      </x:c>
      <x:c r="AH208" s="600" t="n">
        <x:v>-0.1184043652180891</x:v>
      </x:c>
      <x:c r="AI208" s="600" t="n">
        <x:v>-0.08828758078255342</x:v>
      </x:c>
      <x:c r="AJ208" s="600" t="n">
        <x:v>0.01673783017342398</x:v>
      </x:c>
      <x:c r="AK208" s="600" t="n">
        <x:v>0.1212175082241346</x:v>
      </x:c>
      <x:c r="AL208" s="600" t="n">
        <x:v>0.1491363309186752</x:v>
      </x:c>
      <x:c r="AM208" s="600" t="n">
        <x:v>0.5754</x:v>
      </x:c>
      <x:c r="AN208" s="595" t="inlineStr">
        <x:is>
          <x:t xml:space="preserve">EVALUATED</x:t>
        </x:is>
      </x:c>
      <x:c r="AO208" s="600" t="inlineStr">
        <x:is>
          <x:t xml:space="preserve">BUCKET_0.75、SIDE_IDENTITY_VALID、FLAT_LINE_GIVING_WATER_RISE</x:t>
        </x:is>
      </x:c>
      <x:c r="AP208" s="600" t="inlineStr">
        <x:is>
          <x:t xml:space="preserve">0b347eb54b573639a1c9</x:t>
        </x:is>
      </x:c>
      <x:c r="AQ208" s="600" t="n">
        <x:v>0.75</x:v>
      </x:c>
      <x:c r="AR208" s="600" t="n">
        <x:v>1.01</x:v>
      </x:c>
      <x:c r="AS208" s="600" t="n">
        <x:v>-0.75</x:v>
      </x:c>
      <x:c r="AT208" s="600" t="n">
        <x:v>0.75</x:v>
      </x:c>
      <x:c r="AU208" s="600" t="n">
        <x:v>0.8100000000000001</x:v>
      </x:c>
      <x:c r="AV208" s="600" t="n">
        <x:v>1.01</x:v>
      </x:c>
      <x:c r="AW208" s="595" t="n">
        <x:v>46284.25887726852</x:v>
      </x:c>
      <x:c r="AX208" s="595" t="inlineStr">
        <x:is>
          <x:t xml:space="preserve">https://simondongxiao.github.io/odds/v4/</x:t>
        </x:is>
      </x:c>
      <x:c r="AY208" s="595" t="inlineStr">
        <x:is>
          <x:t xml:space="preserve">V4 Shadow Only；real_money=false；比分差异详见记录审计</x:t>
        </x:is>
      </x:c>
    </x:row>
    <x:row r="209" ht="22" customHeight="1">
      <x:c r="A209" s="595" t="inlineStr">
        <x:is>
          <x:t xml:space="preserve">2026-09-19</x:t>
        </x:is>
      </x:c>
      <x:c r="B209" s="595" t="inlineStr">
        <x:is>
          <x:t xml:space="preserve">2026-09-19 19:30</x:t>
        </x:is>
      </x:c>
      <x:c r="C209" s="595" t="str">
        <x:v>五大联赛非顶级联赛</x:v>
      </x:c>
      <x:c r="D209" s="595" t="inlineStr">
        <x:is>
          <x:t xml:space="preserve">联赛</x:t>
        </x:is>
      </x:c>
      <x:c r="E209" s="595" t="inlineStr">
        <x:is>
          <x:t xml:space="preserve">英总女超</x:t>
        </x:is>
      </x:c>
      <x:c r="F209" s="595" t="inlineStr">
        <x:is>
          <x:t xml:space="preserve">查尔顿竞技女足 vs 伦敦城雌狮女足</x:t>
        </x:is>
      </x:c>
      <x:c r="G209" s="596" t="n">
        <x:v>0.93</x:v>
      </x:c>
      <x:c r="H209" s="596" t="n">
        <x:v>-2</x:v>
      </x:c>
      <x:c r="I209" s="596" t="n">
        <x:v>0.77</x:v>
      </x:c>
      <x:c r="J209" s="596" t="inlineStr">
        <x:is>
          <x:t xml:space="preserve">0.93/-2/0.77</x:t>
        </x:is>
      </x:c>
      <x:c r="K209" s="595" t="inlineStr">
        <x:is>
          <x:t xml:space="preserve">V4-C｜EV +0.1206</x:t>
        </x:is>
      </x:c>
      <x:c r="L209" s="595" t="inlineStr">
        <x:is>
          <x:t xml:space="preserve">伦敦城雌狮女足</x:t>
        </x:is>
      </x:c>
      <x:c r="M209" s="597" t="n">
        <x:v>0.6428571428571429</x:v>
      </x:c>
      <x:c r="N209" s="595" t="inlineStr">
        <x:is>
          <x:t xml:space="preserve">V4纸面入选-C</x:t>
        </x:is>
      </x:c>
      <x:c r="O209" s="595" t="inlineStr">
        <x:is>
          <x:t xml:space="preserve">1-4</x:t>
        </x:is>
      </x:c>
      <x:c r="P209" s="595" t="inlineStr">
        <x:is>
          <x:t xml:space="preserve">已结算</x:t>
        </x:is>
      </x:c>
      <x:c r="Q209" s="640" t="inlineStr">
        <x:is>
          <x:t xml:space="preserve">红</x:t>
        </x:is>
      </x:c>
      <x:c r="R209" s="599" t="n">
        <x:v>0.77</x:v>
      </x:c>
      <x:c r="S209" s="599" t="n">
        <x:f>IF(OR(Q209="",Q209="待结算"),"",IF(Q209="红",R209,IF(Q209="半红",R209*0.5,IF(Q209="走",0,IF(Q209="半黑",-0.5,-1)))))</x:f>
        <x:v>0.77</x:v>
      </x:c>
      <x:c r="T209" s="595" t="inlineStr">
        <x:is>
          <x:t xml:space="preserve">https://zq.titan007.com/analysis/3051962cn.htm</x:t>
        </x:is>
      </x:c>
      <x:c r="U209" s="641" t="str">
        <x:f>IF(Q209="","",IF(Q209="待结算","待结算",IF(Q209="红","黑",IF(Q209="半红","半黑",IF(Q209="走","走",IF(Q209="半黑","半红","红"))))))</x:f>
        <x:v>黑</x:v>
      </x:c>
      <x:c r="V209" s="599" t="n">
        <x:f>IF(OR(Q209="",Q209="待结算"),"",IF(L209=LEFT(F209,FIND(" vs ",F209)-1),I209,G209))</x:f>
        <x:v>0.93</x:v>
      </x:c>
      <x:c r="W209" s="599" t="n">
        <x:f>IF(OR(U209="",U209="待结算"),"",IF(U209="红",V209,IF(U209="半红",V209*0.5,IF(U209="走",0,IF(U209="半黑",-0.5,-1)))))</x:f>
        <x:v>-1</x:v>
      </x:c>
      <x:c r="X209" s="595" t="inlineStr">
        <x:is>
          <x:t xml:space="preserve">3051962</x:t>
        </x:is>
      </x:c>
      <x:c r="Y209" s="595" t="inlineStr">
        <x:is>
          <x:t xml:space="preserve">v4-market-dirichlet-20260913</x:t>
        </x:is>
      </x:c>
      <x:c r="Z209" s="595" t="inlineStr">
        <x:is>
          <x:t xml:space="preserve">prior-2026-09-19-v1</x:t>
        </x:is>
      </x:c>
      <x:c r="AA209" s="595" t="inlineStr">
        <x:is>
          <x:t xml:space="preserve">C</x:t>
        </x:is>
      </x:c>
      <x:c r="AB209" s="600" t="n">
        <x:v>0.5625</x:v>
      </x:c>
      <x:c r="AC209" s="600" t="n">
        <x:v>0</x:v>
      </x:c>
      <x:c r="AD209" s="600" t="n">
        <x:v>0.125</x:v>
      </x:c>
      <x:c r="AE209" s="600" t="n">
        <x:v>0</x:v>
      </x:c>
      <x:c r="AF209" s="600" t="n">
        <x:v>0.3125</x:v>
      </x:c>
      <x:c r="AG209" s="600" t="n">
        <x:v>0.120625</x:v>
      </x:c>
      <x:c r="AH209" s="600" t="n">
        <x:v>-0.2142229855154056</x:v>
      </x:c>
      <x:c r="AI209" s="600" t="n">
        <x:v>-0.1315462301206457</x:v>
      </x:c>
      <x:c r="AJ209" s="600" t="n">
        <x:v>0.1338961708926472</x:v>
      </x:c>
      <x:c r="AK209" s="600" t="n">
        <x:v>0.3673229714287348</x:v>
      </x:c>
      <x:c r="AL209" s="600" t="n">
        <x:v>0.4267235295133528</x:v>
      </x:c>
      <x:c r="AM209" s="600" t="n">
        <x:v>0.7418</x:v>
      </x:c>
      <x:c r="AN209" s="595" t="inlineStr">
        <x:is>
          <x:t xml:space="preserve">EVALUATED</x:t>
        </x:is>
      </x:c>
      <x:c r="AO209" s="600" t="inlineStr">
        <x:is>
          <x:t xml:space="preserve">BUCKET_2.00、SIDE_IDENTITY_VALID、MARKET_MOVE_LINE_STRENGTH_WITH_GIVING_RESISTANCE</x:t>
        </x:is>
      </x:c>
      <x:c r="AP209" s="600" t="inlineStr">
        <x:is>
          <x:t xml:space="preserve">015ed5c8e2a1908b44c8</x:t>
        </x:is>
      </x:c>
      <x:c r="AQ209" s="600" t="n">
        <x:v>-2</x:v>
      </x:c>
      <x:c r="AR209" s="600" t="n">
        <x:v>0.77</x:v>
      </x:c>
      <x:c r="AS209" s="600" t="n">
        <x:v>2</x:v>
      </x:c>
      <x:c r="AT209" s="600" t="n">
        <x:v>-2</x:v>
      </x:c>
      <x:c r="AU209" s="600" t="n">
        <x:v>0.93</x:v>
      </x:c>
      <x:c r="AV209" s="600" t="n">
        <x:v>0.77</x:v>
      </x:c>
      <x:c r="AW209" s="595" t="n">
        <x:v>46284.25887726852</x:v>
      </x:c>
      <x:c r="AX209" s="595" t="inlineStr">
        <x:is>
          <x:t xml:space="preserve">https://simondongxiao.github.io/odds/v4/</x:t>
        </x:is>
      </x:c>
      <x:c r="AY209" s="595" t="inlineStr">
        <x:is>
          <x:t xml:space="preserve">V4 Shadow Only；real_money=false；比分差异详见记录审计</x:t>
        </x:is>
      </x:c>
    </x:row>
    <x:row r="210" ht="22" customHeight="1">
      <x:c r="A210" s="595" t="inlineStr">
        <x:is>
          <x:t xml:space="preserve">2026-09-19</x:t>
        </x:is>
      </x:c>
      <x:c r="B210" s="595" t="inlineStr">
        <x:is>
          <x:t xml:space="preserve">2026-09-19 20:00</x:t>
        </x:is>
      </x:c>
      <x:c r="C210" s="595" t="str">
        <x:v>五大联赛非顶级联赛</x:v>
      </x:c>
      <x:c r="D210" s="595" t="inlineStr">
        <x:is>
          <x:t xml:space="preserve">联赛</x:t>
        </x:is>
      </x:c>
      <x:c r="E210" s="595" t="inlineStr">
        <x:is>
          <x:t xml:space="preserve">德丙</x:t>
        </x:is>
      </x:c>
      <x:c r="F210" s="595" t="inlineStr">
        <x:is>
          <x:t xml:space="preserve">霍芬海姆业馀队 vs 梅彭</x:t>
        </x:is>
      </x:c>
      <x:c r="G210" s="596" t="n">
        <x:v>0.74</x:v>
      </x:c>
      <x:c r="H210" s="596" t="n">
        <x:v>0.25</x:v>
      </x:c>
      <x:c r="I210" s="596" t="n">
        <x:v>1.13</x:v>
      </x:c>
      <x:c r="J210" s="596" t="inlineStr">
        <x:is>
          <x:t xml:space="preserve">0.74/0.25/1.13</x:t>
        </x:is>
      </x:c>
      <x:c r="K210" s="595" t="inlineStr">
        <x:is>
          <x:t xml:space="preserve">V4-B｜EV +0.0570</x:t>
        </x:is>
      </x:c>
      <x:c r="L210" s="595" t="inlineStr">
        <x:is>
          <x:t xml:space="preserve">梅彭</x:t>
        </x:is>
      </x:c>
      <x:c r="M210" s="597" t="n">
        <x:v>0.5010224948875256</x:v>
      </x:c>
      <x:c r="N210" s="595" t="inlineStr">
        <x:is>
          <x:t xml:space="preserve">V4纸面入选-B</x:t>
        </x:is>
      </x:c>
      <x:c r="O210" s="595" t="inlineStr">
        <x:is>
          <x:t xml:space="preserve">1-0</x:t>
        </x:is>
      </x:c>
      <x:c r="P210" s="595" t="inlineStr">
        <x:is>
          <x:t xml:space="preserve">已结算</x:t>
        </x:is>
      </x:c>
      <x:c r="Q210" s="641" t="inlineStr">
        <x:is>
          <x:t xml:space="preserve">黑</x:t>
        </x:is>
      </x:c>
      <x:c r="R210" s="599" t="n">
        <x:v>1.13</x:v>
      </x:c>
      <x:c r="S210" s="599" t="n">
        <x:f>IF(OR(Q210="",Q210="待结算"),"",IF(Q210="红",R210,IF(Q210="半红",R210*0.5,IF(Q210="走",0,IF(Q210="半黑",-0.5,-1)))))</x:f>
        <x:v>-1</x:v>
      </x:c>
      <x:c r="T210" s="595" t="inlineStr">
        <x:is>
          <x:t xml:space="preserve">https://zq.titan007.com/analysis/3026056cn.htm</x:t>
        </x:is>
      </x:c>
      <x:c r="U210" s="640" t="str">
        <x:f>IF(Q210="","",IF(Q210="待结算","待结算",IF(Q210="红","黑",IF(Q210="半红","半黑",IF(Q210="走","走",IF(Q210="半黑","半红","红"))))))</x:f>
        <x:v>红</x:v>
      </x:c>
      <x:c r="V210" s="599" t="n">
        <x:f>IF(OR(Q210="",Q210="待结算"),"",IF(L210=LEFT(F210,FIND(" vs ",F210)-1),I210,G210))</x:f>
        <x:v>0.74</x:v>
      </x:c>
      <x:c r="W210" s="599" t="n">
        <x:f>IF(OR(U210="",U210="待结算"),"",IF(U210="红",V210,IF(U210="半红",V210*0.5,IF(U210="走",0,IF(U210="半黑",-0.5,-1)))))</x:f>
        <x:v>0.74</x:v>
      </x:c>
      <x:c r="X210" s="595" t="inlineStr">
        <x:is>
          <x:t xml:space="preserve">3026056</x:t>
        </x:is>
      </x:c>
      <x:c r="Y210" s="595" t="inlineStr">
        <x:is>
          <x:t xml:space="preserve">v4-market-dirichlet-20260913</x:t>
        </x:is>
      </x:c>
      <x:c r="Z210" s="595" t="inlineStr">
        <x:is>
          <x:t xml:space="preserve">prior-2026-09-19-v1</x:t>
        </x:is>
      </x:c>
      <x:c r="AA210" s="595" t="inlineStr">
        <x:is>
          <x:t xml:space="preserve">B</x:t>
        </x:is>
      </x:c>
      <x:c r="AB210" s="600" t="n">
        <x:v>0.2743055555555556</x:v>
      </x:c>
      <x:c r="AC210" s="600" t="n">
        <x:v>0.3020833333333333</x:v>
      </x:c>
      <x:c r="AD210" s="600" t="n">
        <x:v>0</x:v>
      </x:c>
      <x:c r="AE210" s="600" t="n">
        <x:v>0</x:v>
      </x:c>
      <x:c r="AF210" s="600" t="n">
        <x:v>0.4236111111111111</x:v>
      </x:c>
      <x:c r="AG210" s="600" t="n">
        <x:v>0.05703124999999998</x:v>
      </x:c>
      <x:c r="AH210" s="600" t="n">
        <x:v>-0.03346142019365422</x:v>
      </x:c>
      <x:c r="AI210" s="600" t="n">
        <x:v>-0.012665157139855</x:v>
      </x:c>
      <x:c r="AJ210" s="600" t="n">
        <x:v>0.05690265466649025</x:v>
      </x:c>
      <x:c r="AK210" s="600" t="n">
        <x:v>0.128287057944606</x:v>
      </x:c>
      <x:c r="AL210" s="600" t="n">
        <x:v>0.1486569361148165</x:v>
      </x:c>
      <x:c r="AM210" s="600" t="n">
        <x:v>0.8526</x:v>
      </x:c>
      <x:c r="AN210" s="595" t="inlineStr">
        <x:is>
          <x:t xml:space="preserve">EVALUATED</x:t>
        </x:is>
      </x:c>
      <x:c r="AO210" s="600" t="inlineStr">
        <x:is>
          <x:t xml:space="preserve">BUCKET_0.25、SIDE_IDENTITY_VALID、FLAT_LINE_GIVING_WATER_DROP</x:t>
        </x:is>
      </x:c>
      <x:c r="AP210" s="600" t="inlineStr">
        <x:is>
          <x:t xml:space="preserve">39fca20b499dfc793219</x:t>
        </x:is>
      </x:c>
      <x:c r="AQ210" s="600" t="n">
        <x:v>0.25</x:v>
      </x:c>
      <x:c r="AR210" s="600" t="n">
        <x:v>1.13</x:v>
      </x:c>
      <x:c r="AS210" s="600" t="n">
        <x:v>-0.25</x:v>
      </x:c>
      <x:c r="AT210" s="600" t="n">
        <x:v>0.25</x:v>
      </x:c>
      <x:c r="AU210" s="600" t="n">
        <x:v>0.74</x:v>
      </x:c>
      <x:c r="AV210" s="600" t="n">
        <x:v>1.13</x:v>
      </x:c>
      <x:c r="AW210" s="595" t="n">
        <x:v>46284.25887726852</x:v>
      </x:c>
      <x:c r="AX210" s="595" t="inlineStr">
        <x:is>
          <x:t xml:space="preserve">https://simondongxiao.github.io/odds/v4/</x:t>
        </x:is>
      </x:c>
      <x:c r="AY210" s="595" t="inlineStr">
        <x:is>
          <x:t xml:space="preserve">V4 Shadow Only；real_money=false；比分差异详见记录审计</x:t>
        </x:is>
      </x:c>
    </x:row>
    <x:row r="211" ht="22" customHeight="1">
      <x:c r="A211" s="595" t="inlineStr">
        <x:is>
          <x:t xml:space="preserve">2026-09-19</x:t>
        </x:is>
      </x:c>
      <x:c r="B211" s="595" t="inlineStr">
        <x:is>
          <x:t xml:space="preserve">2026-09-19 20:00</x:t>
        </x:is>
      </x:c>
      <x:c r="C211" s="595" t="str">
        <x:v>五大联赛非顶级联赛</x:v>
      </x:c>
      <x:c r="D211" s="595" t="inlineStr">
        <x:is>
          <x:t xml:space="preserve">联赛</x:t>
        </x:is>
      </x:c>
      <x:c r="E211" s="595" t="inlineStr">
        <x:is>
          <x:t xml:space="preserve">德地区西</x:t>
        </x:is>
      </x:c>
      <x:c r="F211" s="595" t="inlineStr">
        <x:is>
          <x:t xml:space="preserve">波卓尔特 vs 维登贝鲁克</x:t>
        </x:is>
      </x:c>
      <x:c r="G211" s="596" t="n">
        <x:v>0.93</x:v>
      </x:c>
      <x:c r="H211" s="596" t="n">
        <x:v>1</x:v>
      </x:c>
      <x:c r="I211" s="596" t="n">
        <x:v>0.89</x:v>
      </x:c>
      <x:c r="J211" s="596" t="inlineStr">
        <x:is>
          <x:t xml:space="preserve">0.93/1/0.89</x:t>
        </x:is>
      </x:c>
      <x:c r="K211" s="595" t="inlineStr">
        <x:is>
          <x:t xml:space="preserve">V4-C｜EV +0.0195</x:t>
        </x:is>
      </x:c>
      <x:c r="L211" s="595" t="inlineStr">
        <x:is>
          <x:t xml:space="preserve">维登贝鲁克</x:t>
        </x:is>
      </x:c>
      <x:c r="M211" s="597" t="n">
        <x:v>0.5423728813559322</x:v>
      </x:c>
      <x:c r="N211" s="595" t="inlineStr">
        <x:is>
          <x:t xml:space="preserve">V4纸面入选-C</x:t>
        </x:is>
      </x:c>
      <x:c r="O211" s="595" t="inlineStr">
        <x:is>
          <x:t xml:space="preserve">2-1</x:t>
        </x:is>
      </x:c>
      <x:c r="P211" s="595" t="inlineStr">
        <x:is>
          <x:t xml:space="preserve">已结算</x:t>
        </x:is>
      </x:c>
      <x:c r="Q211" s="644" t="inlineStr">
        <x:is>
          <x:t xml:space="preserve">走</x:t>
        </x:is>
      </x:c>
      <x:c r="R211" s="599" t="n">
        <x:v>0.89</x:v>
      </x:c>
      <x:c r="S211" s="599" t="n">
        <x:f>IF(OR(Q211="",Q211="待结算"),"",IF(Q211="红",R211,IF(Q211="半红",R211*0.5,IF(Q211="走",0,IF(Q211="半黑",-0.5,-1)))))</x:f>
        <x:v>0</x:v>
      </x:c>
      <x:c r="T211" s="595" t="inlineStr">
        <x:is>
          <x:t xml:space="preserve">https://zq.titan007.com/analysis/3043678cn.htm</x:t>
        </x:is>
      </x:c>
      <x:c r="U211" s="644" t="str">
        <x:f>IF(Q211="","",IF(Q211="待结算","待结算",IF(Q211="红","黑",IF(Q211="半红","半黑",IF(Q211="走","走",IF(Q211="半黑","半红","红"))))))</x:f>
        <x:v>走</x:v>
      </x:c>
      <x:c r="V211" s="599" t="n">
        <x:f>IF(OR(Q211="",Q211="待结算"),"",IF(L211=LEFT(F211,FIND(" vs ",F211)-1),I211,G211))</x:f>
        <x:v>0.93</x:v>
      </x:c>
      <x:c r="W211" s="599" t="n">
        <x:f>IF(OR(U211="",U211="待结算"),"",IF(U211="红",V211,IF(U211="半红",V211*0.5,IF(U211="走",0,IF(U211="半黑",-0.5,-1)))))</x:f>
        <x:v>0</x:v>
      </x:c>
      <x:c r="X211" s="595" t="inlineStr">
        <x:is>
          <x:t xml:space="preserve">3043678</x:t>
        </x:is>
      </x:c>
      <x:c r="Y211" s="595" t="inlineStr">
        <x:is>
          <x:t xml:space="preserve">v4-market-dirichlet-20260913</x:t>
        </x:is>
      </x:c>
      <x:c r="Z211" s="595" t="inlineStr">
        <x:is>
          <x:t xml:space="preserve">prior-2026-09-19-v1</x:t>
        </x:is>
      </x:c>
      <x:c r="AA211" s="595" t="inlineStr">
        <x:is>
          <x:t xml:space="preserve">C</x:t>
        </x:is>
      </x:c>
      <x:c r="AB211" s="600" t="n">
        <x:v>0.4210526315789473</x:v>
      </x:c>
      <x:c r="AC211" s="600" t="n">
        <x:v>0</x:v>
      </x:c>
      <x:c r="AD211" s="600" t="n">
        <x:v>0.2236842105263158</x:v>
      </x:c>
      <x:c r="AE211" s="600" t="n">
        <x:v>0</x:v>
      </x:c>
      <x:c r="AF211" s="600" t="n">
        <x:v>0.3552631578947368</x:v>
      </x:c>
      <x:c r="AG211" s="600" t="n">
        <x:v>0.01947368421052631</x:v>
      </x:c>
      <x:c r="AH211" s="600" t="n">
        <x:v>-0.132508521333763</x:v>
      </x:c>
      <x:c r="AI211" s="600" t="n">
        <x:v>-0.09937437102653912</x:v>
      </x:c>
      <x:c r="AJ211" s="600" t="n">
        <x:v>0.02126389997384687</x:v>
      </x:c>
      <x:c r="AK211" s="600" t="n">
        <x:v>0.1402365452688591</x:v>
      </x:c>
      <x:c r="AL211" s="600" t="n">
        <x:v>0.1708838770050669</x:v>
      </x:c>
      <x:c r="AM211" s="600" t="n">
        <x:v>0.5854</x:v>
      </x:c>
      <x:c r="AN211" s="595" t="inlineStr">
        <x:is>
          <x:t xml:space="preserve">EVALUATED</x:t>
        </x:is>
      </x:c>
      <x:c r="AO211" s="600" t="inlineStr">
        <x:is>
          <x:t xml:space="preserve">BUCKET_1.00、SIDE_IDENTITY_VALID、FLAT_LINE_GIVING_WATER_RISE</x:t>
        </x:is>
      </x:c>
      <x:c r="AP211" s="600" t="inlineStr">
        <x:is>
          <x:t xml:space="preserve">d34f72a3894e2881825b</x:t>
        </x:is>
      </x:c>
      <x:c r="AQ211" s="600" t="n">
        <x:v>1</x:v>
      </x:c>
      <x:c r="AR211" s="600" t="n">
        <x:v>0.89</x:v>
      </x:c>
      <x:c r="AS211" s="600" t="n">
        <x:v>-1</x:v>
      </x:c>
      <x:c r="AT211" s="600" t="n">
        <x:v>1</x:v>
      </x:c>
      <x:c r="AU211" s="600" t="n">
        <x:v>0.93</x:v>
      </x:c>
      <x:c r="AV211" s="600" t="n">
        <x:v>0.89</x:v>
      </x:c>
      <x:c r="AW211" s="595" t="n">
        <x:v>46284.25887726852</x:v>
      </x:c>
      <x:c r="AX211" s="595" t="inlineStr">
        <x:is>
          <x:t xml:space="preserve">https://simondongxiao.github.io/odds/v4/</x:t>
        </x:is>
      </x:c>
      <x:c r="AY211" s="595" t="inlineStr">
        <x:is>
          <x:t xml:space="preserve">V4 Shadow Only；real_money=false；比分差异详见记录审计</x:t>
        </x:is>
      </x:c>
    </x:row>
    <x:row r="212" ht="22" customHeight="1">
      <x:c r="A212" s="595" t="inlineStr">
        <x:is>
          <x:t xml:space="preserve">2026-09-19</x:t>
        </x:is>
      </x:c>
      <x:c r="B212" s="595" t="inlineStr">
        <x:is>
          <x:t xml:space="preserve">2026-09-19 20:00</x:t>
        </x:is>
      </x:c>
      <x:c r="C212" s="595" t="str">
        <x:v>五大联赛非顶级联赛</x:v>
      </x:c>
      <x:c r="D212" s="595" t="inlineStr">
        <x:is>
          <x:t xml:space="preserve">联赛</x:t>
        </x:is>
      </x:c>
      <x:c r="E212" s="595" t="inlineStr">
        <x:is>
          <x:t xml:space="preserve">德地区西</x:t>
        </x:is>
      </x:c>
      <x:c r="F212" s="595" t="inlineStr">
        <x:is>
          <x:t xml:space="preserve">沙尔克04业余队 vs 洛特</x:t>
        </x:is>
      </x:c>
      <x:c r="G212" s="596" t="n">
        <x:v>0.89</x:v>
      </x:c>
      <x:c r="H212" s="596" t="n">
        <x:v>1</x:v>
      </x:c>
      <x:c r="I212" s="596" t="n">
        <x:v>0.93</x:v>
      </x:c>
      <x:c r="J212" s="596" t="inlineStr">
        <x:is>
          <x:t xml:space="preserve">0.89/1/0.93</x:t>
        </x:is>
      </x:c>
      <x:c r="K212" s="595" t="inlineStr">
        <x:is>
          <x:t xml:space="preserve">V4-C｜EV +0.0363</x:t>
        </x:is>
      </x:c>
      <x:c r="L212" s="595" t="inlineStr">
        <x:is>
          <x:t xml:space="preserve">洛特</x:t>
        </x:is>
      </x:c>
      <x:c r="M212" s="597" t="n">
        <x:v>0.5423728813559322</x:v>
      </x:c>
      <x:c r="N212" s="595" t="inlineStr">
        <x:is>
          <x:t xml:space="preserve">V4纸面入选-C</x:t>
        </x:is>
      </x:c>
      <x:c r="O212" s="595" t="inlineStr">
        <x:is>
          <x:t xml:space="preserve">1-0</x:t>
        </x:is>
      </x:c>
      <x:c r="P212" s="595" t="inlineStr">
        <x:is>
          <x:t xml:space="preserve">已结算</x:t>
        </x:is>
      </x:c>
      <x:c r="Q212" s="644" t="inlineStr">
        <x:is>
          <x:t xml:space="preserve">走</x:t>
        </x:is>
      </x:c>
      <x:c r="R212" s="599" t="n">
        <x:v>0.93</x:v>
      </x:c>
      <x:c r="S212" s="599" t="n">
        <x:f>IF(OR(Q212="",Q212="待结算"),"",IF(Q212="红",R212,IF(Q212="半红",R212*0.5,IF(Q212="走",0,IF(Q212="半黑",-0.5,-1)))))</x:f>
        <x:v>0</x:v>
      </x:c>
      <x:c r="T212" s="595" t="inlineStr">
        <x:is>
          <x:t xml:space="preserve">https://zq.titan007.com/analysis/3043683cn.htm</x:t>
        </x:is>
      </x:c>
      <x:c r="U212" s="644" t="str">
        <x:f>IF(Q212="","",IF(Q212="待结算","待结算",IF(Q212="红","黑",IF(Q212="半红","半黑",IF(Q212="走","走",IF(Q212="半黑","半红","红"))))))</x:f>
        <x:v>走</x:v>
      </x:c>
      <x:c r="V212" s="599" t="n">
        <x:f>IF(OR(Q212="",Q212="待结算"),"",IF(L212=LEFT(F212,FIND(" vs ",F212)-1),I212,G212))</x:f>
        <x:v>0.89</x:v>
      </x:c>
      <x:c r="W212" s="599" t="n">
        <x:f>IF(OR(U212="",U212="待结算"),"",IF(U212="红",V212,IF(U212="半红",V212*0.5,IF(U212="走",0,IF(U212="半黑",-0.5,-1)))))</x:f>
        <x:v>0</x:v>
      </x:c>
      <x:c r="X212" s="595" t="inlineStr">
        <x:is>
          <x:t xml:space="preserve">3043683</x:t>
        </x:is>
      </x:c>
      <x:c r="Y212" s="595" t="inlineStr">
        <x:is>
          <x:t xml:space="preserve">v4-market-dirichlet-20260913</x:t>
        </x:is>
      </x:c>
      <x:c r="Z212" s="595" t="inlineStr">
        <x:is>
          <x:t xml:space="preserve">prior-2026-09-19-v1</x:t>
        </x:is>
      </x:c>
      <x:c r="AA212" s="595" t="inlineStr">
        <x:is>
          <x:t xml:space="preserve">C</x:t>
        </x:is>
      </x:c>
      <x:c r="AB212" s="600" t="n">
        <x:v>0.4210526315789473</x:v>
      </x:c>
      <x:c r="AC212" s="600" t="n">
        <x:v>0</x:v>
      </x:c>
      <x:c r="AD212" s="600" t="n">
        <x:v>0.2236842105263158</x:v>
      </x:c>
      <x:c r="AE212" s="600" t="n">
        <x:v>0</x:v>
      </x:c>
      <x:c r="AF212" s="600" t="n">
        <x:v>0.3552631578947368</x:v>
      </x:c>
      <x:c r="AG212" s="600" t="n">
        <x:v>0.03631578947368419</x:v>
      </x:c>
      <x:c r="AH212" s="600" t="n">
        <x:v>-0.1228634093401916</x:v>
      </x:c>
      <x:c r="AI212" s="600" t="n">
        <x:v>-0.08540143079756907</x:v>
      </x:c>
      <x:c r="AJ212" s="600" t="n">
        <x:v>0.03700884780550806</x:v>
      </x:c>
      <x:c r="AK212" s="600" t="n">
        <x:v>0.157924095209227</x:v>
      </x:c>
      <x:c r="AL212" s="600" t="n">
        <x:v>0.1951143976540557</x:v>
      </x:c>
      <x:c r="AM212" s="600" t="n">
        <x:v>0.6532</x:v>
      </x:c>
      <x:c r="AN212" s="595" t="inlineStr">
        <x:is>
          <x:t xml:space="preserve">EVALUATED</x:t>
        </x:is>
      </x:c>
      <x:c r="AO212" s="600" t="inlineStr">
        <x:is>
          <x:t xml:space="preserve">BUCKET_1.00、SIDE_IDENTITY_VALID、FLAT_LINE_GIVING_WATER_RISE</x:t>
        </x:is>
      </x:c>
      <x:c r="AP212" s="600" t="inlineStr">
        <x:is>
          <x:t xml:space="preserve">53d16fcbc022ec6c0668</x:t>
        </x:is>
      </x:c>
      <x:c r="AQ212" s="600" t="n">
        <x:v>1</x:v>
      </x:c>
      <x:c r="AR212" s="600" t="n">
        <x:v>0.93</x:v>
      </x:c>
      <x:c r="AS212" s="600" t="n">
        <x:v>-1</x:v>
      </x:c>
      <x:c r="AT212" s="600" t="n">
        <x:v>1</x:v>
      </x:c>
      <x:c r="AU212" s="600" t="n">
        <x:v>0.89</x:v>
      </x:c>
      <x:c r="AV212" s="600" t="n">
        <x:v>0.93</x:v>
      </x:c>
      <x:c r="AW212" s="595" t="n">
        <x:v>46284.25887726852</x:v>
      </x:c>
      <x:c r="AX212" s="595" t="inlineStr">
        <x:is>
          <x:t xml:space="preserve">https://simondongxiao.github.io/odds/v4/</x:t>
        </x:is>
      </x:c>
      <x:c r="AY212" s="595" t="inlineStr">
        <x:is>
          <x:t xml:space="preserve">V4 Shadow Only；real_money=false；比分差异详见记录审计</x:t>
        </x:is>
      </x:c>
    </x:row>
    <x:row r="213" ht="22" customHeight="1">
      <x:c r="A213" s="595" t="inlineStr">
        <x:is>
          <x:t xml:space="preserve">2026-09-19</x:t>
        </x:is>
      </x:c>
      <x:c r="B213" s="595" t="inlineStr">
        <x:is>
          <x:t xml:space="preserve">2026-09-19 20:00</x:t>
        </x:is>
      </x:c>
      <x:c r="C213" s="595" t="str">
        <x:v>欧洲非五大系列</x:v>
      </x:c>
      <x:c r="D213" s="595" t="inlineStr">
        <x:is>
          <x:t xml:space="preserve">联赛</x:t>
        </x:is>
      </x:c>
      <x:c r="E213" s="595" t="inlineStr">
        <x:is>
          <x:t xml:space="preserve">丹麦甲</x:t>
        </x:is>
      </x:c>
      <x:c r="F213" s="595" t="inlineStr">
        <x:is>
          <x:t xml:space="preserve">AB格莱萨克瑟 vs 埃斯比约</x:t>
        </x:is>
      </x:c>
      <x:c r="G213" s="596" t="n">
        <x:v>0.84</x:v>
      </x:c>
      <x:c r="H213" s="596" t="n">
        <x:v>0.25</x:v>
      </x:c>
      <x:c r="I213" s="596" t="n">
        <x:v>1.05</x:v>
      </x:c>
      <x:c r="J213" s="596" t="inlineStr">
        <x:is>
          <x:t xml:space="preserve">0.84/0.25/1.05</x:t>
        </x:is>
      </x:c>
      <x:c r="K213" s="595" t="inlineStr">
        <x:is>
          <x:t xml:space="preserve">V4-C｜EV +0.0230</x:t>
        </x:is>
      </x:c>
      <x:c r="L213" s="595" t="inlineStr">
        <x:is>
          <x:t xml:space="preserve">埃斯比约</x:t>
        </x:is>
      </x:c>
      <x:c r="M213" s="597" t="n">
        <x:v>0.5010224948875256</x:v>
      </x:c>
      <x:c r="N213" s="595" t="inlineStr">
        <x:is>
          <x:t xml:space="preserve">V4纸面入选-C</x:t>
        </x:is>
      </x:c>
      <x:c r="O213" s="595" t="inlineStr">
        <x:is>
          <x:t xml:space="preserve">3-0</x:t>
        </x:is>
      </x:c>
      <x:c r="P213" s="595" t="inlineStr">
        <x:is>
          <x:t xml:space="preserve">已结算</x:t>
        </x:is>
      </x:c>
      <x:c r="Q213" s="641" t="inlineStr">
        <x:is>
          <x:t xml:space="preserve">黑</x:t>
        </x:is>
      </x:c>
      <x:c r="R213" s="599" t="n">
        <x:v>1.05</x:v>
      </x:c>
      <x:c r="S213" s="599" t="n">
        <x:f>IF(OR(Q213="",Q213="待结算"),"",IF(Q213="红",R213,IF(Q213="半红",R213*0.5,IF(Q213="走",0,IF(Q213="半黑",-0.5,-1)))))</x:f>
        <x:v>-1</x:v>
      </x:c>
      <x:c r="T213" s="595" t="inlineStr">
        <x:is>
          <x:t xml:space="preserve">https://zq.titan007.com/analysis/2998118cn.htm</x:t>
        </x:is>
      </x:c>
      <x:c r="U213" s="640" t="str">
        <x:f>IF(Q213="","",IF(Q213="待结算","待结算",IF(Q213="红","黑",IF(Q213="半红","半黑",IF(Q213="走","走",IF(Q213="半黑","半红","红"))))))</x:f>
        <x:v>红</x:v>
      </x:c>
      <x:c r="V213" s="599" t="n">
        <x:f>IF(OR(Q213="",Q213="待结算"),"",IF(L213=LEFT(F213,FIND(" vs ",F213)-1),I213,G213))</x:f>
        <x:v>0.84</x:v>
      </x:c>
      <x:c r="W213" s="599" t="n">
        <x:f>IF(OR(U213="",U213="待结算"),"",IF(U213="红",V213,IF(U213="半红",V213*0.5,IF(U213="走",0,IF(U213="半黑",-0.5,-1)))))</x:f>
        <x:v>0.84</x:v>
      </x:c>
      <x:c r="X213" s="595" t="inlineStr">
        <x:is>
          <x:t xml:space="preserve">2998118</x:t>
        </x:is>
      </x:c>
      <x:c r="Y213" s="595" t="inlineStr">
        <x:is>
          <x:t xml:space="preserve">v4-market-dirichlet-20260913</x:t>
        </x:is>
      </x:c>
      <x:c r="Z213" s="595" t="inlineStr">
        <x:is>
          <x:t xml:space="preserve">prior-2026-09-19-v1</x:t>
        </x:is>
      </x:c>
      <x:c r="AA213" s="595" t="inlineStr">
        <x:is>
          <x:t xml:space="preserve">C</x:t>
        </x:is>
      </x:c>
      <x:c r="AB213" s="600" t="n">
        <x:v>0.2743055555555556</x:v>
      </x:c>
      <x:c r="AC213" s="600" t="n">
        <x:v>0.3020833333333333</x:v>
      </x:c>
      <x:c r="AD213" s="600" t="n">
        <x:v>0</x:v>
      </x:c>
      <x:c r="AE213" s="600" t="n">
        <x:v>0</x:v>
      </x:c>
      <x:c r="AF213" s="600" t="n">
        <x:v>0.4236111111111111</x:v>
      </x:c>
      <x:c r="AG213" s="600" t="n">
        <x:v>0.02300347222222227</x:v>
      </x:c>
      <x:c r="AH213" s="600" t="n">
        <x:v>-0.06263883175318252</x:v>
      </x:c>
      <x:c r="AI213" s="600" t="n">
        <x:v>-0.04222673882777594</x:v>
      </x:c>
      <x:c r="AJ213" s="600" t="n">
        <x:v>0.02280469369821325</x:v>
      </x:c>
      <x:c r="AK213" s="600" t="n">
        <x:v>0.09088367228076938</x:v>
      </x:c>
      <x:c r="AL213" s="600" t="n">
        <x:v>0.1095408998525972</x:v>
      </x:c>
      <x:c r="AM213" s="600" t="n">
        <x:v>0.6718</x:v>
      </x:c>
      <x:c r="AN213" s="595" t="inlineStr">
        <x:is>
          <x:t xml:space="preserve">EVALUATED</x:t>
        </x:is>
      </x:c>
      <x:c r="AO213" s="600" t="inlineStr">
        <x:is>
          <x:t xml:space="preserve">BUCKET_0.25、SIDE_IDENTITY_VALID、FLAT_LINE_GIVING_WATER_RISE</x:t>
        </x:is>
      </x:c>
      <x:c r="AP213" s="600" t="inlineStr">
        <x:is>
          <x:t xml:space="preserve">e08cac0e80fd5eaa5988</x:t>
        </x:is>
      </x:c>
      <x:c r="AQ213" s="600" t="n">
        <x:v>0.25</x:v>
      </x:c>
      <x:c r="AR213" s="600" t="n">
        <x:v>1.05</x:v>
      </x:c>
      <x:c r="AS213" s="600" t="n">
        <x:v>-0.25</x:v>
      </x:c>
      <x:c r="AT213" s="600" t="n">
        <x:v>0.25</x:v>
      </x:c>
      <x:c r="AU213" s="600" t="n">
        <x:v>0.84</x:v>
      </x:c>
      <x:c r="AV213" s="600" t="n">
        <x:v>1.05</x:v>
      </x:c>
      <x:c r="AW213" s="595" t="n">
        <x:v>46284.25887726852</x:v>
      </x:c>
      <x:c r="AX213" s="595" t="inlineStr">
        <x:is>
          <x:t xml:space="preserve">https://simondongxiao.github.io/odds/v4/</x:t>
        </x:is>
      </x:c>
      <x:c r="AY213" s="595" t="inlineStr">
        <x:is>
          <x:t xml:space="preserve">V4 Shadow Only；real_money=false；比分差异详见记录审计</x:t>
        </x:is>
      </x:c>
    </x:row>
    <x:row r="214" ht="22" customHeight="1">
      <x:c r="A214" s="595" t="inlineStr">
        <x:is>
          <x:t xml:space="preserve">2026-09-19</x:t>
        </x:is>
      </x:c>
      <x:c r="B214" s="595" t="inlineStr">
        <x:is>
          <x:t xml:space="preserve">2026-09-19 20:00</x:t>
        </x:is>
      </x:c>
      <x:c r="C214" s="595" t="str">
        <x:v>其他系列</x:v>
      </x:c>
      <x:c r="D214" s="595" t="inlineStr">
        <x:is>
          <x:t xml:space="preserve">联赛</x:t>
        </x:is>
      </x:c>
      <x:c r="E214" s="595" t="inlineStr">
        <x:is>
          <x:t xml:space="preserve">印尼超</x:t>
        </x:is>
      </x:c>
      <x:c r="F214" s="595" t="inlineStr">
        <x:is>
          <x:t xml:space="preserve">巴杨卡拉泗水联 vs 伊森穆朗</x:t>
        </x:is>
      </x:c>
      <x:c r="G214" s="596" t="n">
        <x:v>0.89</x:v>
      </x:c>
      <x:c r="H214" s="596" t="n">
        <x:v>1.5</x:v>
      </x:c>
      <x:c r="I214" s="596" t="n">
        <x:v>0.93</x:v>
      </x:c>
      <x:c r="J214" s="596" t="inlineStr">
        <x:is>
          <x:t xml:space="preserve">0.89/1.5/0.93</x:t>
        </x:is>
      </x:c>
      <x:c r="K214" s="595" t="inlineStr">
        <x:is>
          <x:t xml:space="preserve">V4-C｜EV +0.1222</x:t>
        </x:is>
      </x:c>
      <x:c r="L214" s="595" t="inlineStr">
        <x:is>
          <x:t xml:space="preserve">巴杨卡拉泗水联</x:t>
        </x:is>
      </x:c>
      <x:c r="M214" s="597" t="n">
        <x:v>0.59375</x:v>
      </x:c>
      <x:c r="N214" s="595" t="inlineStr">
        <x:is>
          <x:t xml:space="preserve">V4纸面入选-C</x:t>
        </x:is>
      </x:c>
      <x:c r="O214" s="595" t="inlineStr">
        <x:is>
          <x:t xml:space="preserve">2-0</x:t>
        </x:is>
      </x:c>
      <x:c r="P214" s="595" t="inlineStr">
        <x:is>
          <x:t xml:space="preserve">已结算</x:t>
        </x:is>
      </x:c>
      <x:c r="Q214" s="640" t="inlineStr">
        <x:is>
          <x:t xml:space="preserve">红</x:t>
        </x:is>
      </x:c>
      <x:c r="R214" s="599" t="n">
        <x:v>0.89</x:v>
      </x:c>
      <x:c r="S214" s="599" t="n">
        <x:f>IF(OR(Q214="",Q214="待结算"),"",IF(Q214="红",R214,IF(Q214="半红",R214*0.5,IF(Q214="走",0,IF(Q214="半黑",-0.5,-1)))))</x:f>
        <x:v>0.89</x:v>
      </x:c>
      <x:c r="T214" s="595" t="inlineStr">
        <x:is>
          <x:t xml:space="preserve">https://zq.titan007.com/analysis/3062844cn.htm</x:t>
        </x:is>
      </x:c>
      <x:c r="U214" s="641" t="str">
        <x:f>IF(Q214="","",IF(Q214="待结算","待结算",IF(Q214="红","黑",IF(Q214="半红","半黑",IF(Q214="走","走",IF(Q214="半黑","半红","红"))))))</x:f>
        <x:v>黑</x:v>
      </x:c>
      <x:c r="V214" s="599" t="n">
        <x:f>IF(OR(Q214="",Q214="待结算"),"",IF(L214=LEFT(F214,FIND(" vs ",F214)-1),I214,G214))</x:f>
        <x:v>0.93</x:v>
      </x:c>
      <x:c r="W214" s="599" t="n">
        <x:f>IF(OR(U214="",U214="待结算"),"",IF(U214="红",V214,IF(U214="半红",V214*0.5,IF(U214="走",0,IF(U214="半黑",-0.5,-1)))))</x:f>
        <x:v>-1</x:v>
      </x:c>
      <x:c r="X214" s="595" t="inlineStr">
        <x:is>
          <x:t xml:space="preserve">3062844</x:t>
        </x:is>
      </x:c>
      <x:c r="Y214" s="595" t="inlineStr">
        <x:is>
          <x:t xml:space="preserve">v4-market-dirichlet-20260913</x:t>
        </x:is>
      </x:c>
      <x:c r="Z214" s="595" t="inlineStr">
        <x:is>
          <x:t xml:space="preserve">prior-2026-09-19-v1</x:t>
        </x:is>
      </x:c>
      <x:c r="AA214" s="595" t="inlineStr">
        <x:is>
          <x:t xml:space="preserve">C</x:t>
        </x:is>
      </x:c>
      <x:c r="AB214" s="600" t="n">
        <x:v>0.59375</x:v>
      </x:c>
      <x:c r="AC214" s="600" t="n">
        <x:v>0</x:v>
      </x:c>
      <x:c r="AD214" s="600" t="n">
        <x:v>0</x:v>
      </x:c>
      <x:c r="AE214" s="600" t="n">
        <x:v>0</x:v>
      </x:c>
      <x:c r="AF214" s="600" t="n">
        <x:v>0.40625</x:v>
      </x:c>
      <x:c r="AG214" s="600" t="n">
        <x:v>0.1221875</x:v>
      </x:c>
      <x:c r="AH214" s="600" t="n">
        <x:v>-0.1569670366699331</x:v>
      </x:c>
      <x:c r="AI214" s="600" t="n">
        <x:v>-0.09692682240137473</x:v>
      </x:c>
      <x:c r="AJ214" s="600" t="n">
        <x:v>0.1278828819156552</x:v>
      </x:c>
      <x:c r="AK214" s="600" t="n">
        <x:v>0.3254291915767154</x:v>
      </x:c>
      <x:c r="AL214" s="600" t="n">
        <x:v>0.384643119522866</x:v>
      </x:c>
      <x:c r="AM214" s="600" t="n">
        <x:v>0.7762</x:v>
      </x:c>
      <x:c r="AN214" s="595" t="inlineStr">
        <x:is>
          <x:t xml:space="preserve">EVALUATED</x:t>
        </x:is>
      </x:c>
      <x:c r="AO214" s="600" t="inlineStr">
        <x:is>
          <x:t xml:space="preserve">BUCKET_1.50、SIDE_IDENTITY_VALID、MARKET_MOVE_DEEPER_WITH_GIVING_WATER_RISE</x:t>
        </x:is>
      </x:c>
      <x:c r="AP214" s="600" t="inlineStr">
        <x:is>
          <x:t xml:space="preserve">9fa614487041b817244a</x:t>
        </x:is>
      </x:c>
      <x:c r="AQ214" s="600" t="n">
        <x:v>-1.5</x:v>
      </x:c>
      <x:c r="AR214" s="600" t="n">
        <x:v>0.89</x:v>
      </x:c>
      <x:c r="AS214" s="600" t="n">
        <x:v>-1.5</x:v>
      </x:c>
      <x:c r="AT214" s="600" t="n">
        <x:v>1.5</x:v>
      </x:c>
      <x:c r="AU214" s="600" t="n">
        <x:v>0.89</x:v>
      </x:c>
      <x:c r="AV214" s="600" t="n">
        <x:v>0.93</x:v>
      </x:c>
      <x:c r="AW214" s="595" t="n">
        <x:v>46284.25887726852</x:v>
      </x:c>
      <x:c r="AX214" s="595" t="inlineStr">
        <x:is>
          <x:t xml:space="preserve">https://simondongxiao.github.io/odds/v4/</x:t>
        </x:is>
      </x:c>
      <x:c r="AY214" s="595" t="inlineStr">
        <x:is>
          <x:t xml:space="preserve">V4 Shadow Only；real_money=false；比分差异详见记录审计</x:t>
        </x:is>
      </x:c>
    </x:row>
    <x:row r="215" ht="22" customHeight="1">
      <x:c r="A215" s="595" t="inlineStr">
        <x:is>
          <x:t xml:space="preserve">2026-09-19</x:t>
        </x:is>
      </x:c>
      <x:c r="B215" s="595" t="inlineStr">
        <x:is>
          <x:t xml:space="preserve">2026-09-19 20:00</x:t>
        </x:is>
      </x:c>
      <x:c r="C215" s="595" t="str">
        <x:v>其他系列</x:v>
      </x:c>
      <x:c r="D215" s="595" t="inlineStr">
        <x:is>
          <x:t xml:space="preserve">联赛</x:t>
        </x:is>
      </x:c>
      <x:c r="E215" s="595" t="inlineStr">
        <x:is>
          <x:t xml:space="preserve">印尼甲</x:t>
        </x:is>
      </x:c>
      <x:c r="F215" s="595" t="inlineStr">
        <x:is>
          <x:t xml:space="preserve">巴厘巴板 vs 帕森拉</x:t>
        </x:is>
      </x:c>
      <x:c r="G215" s="596" t="n">
        <x:v>1.03</x:v>
      </x:c>
      <x:c r="H215" s="596" t="n">
        <x:v>-0.25</x:v>
      </x:c>
      <x:c r="I215" s="596" t="n">
        <x:v>0.79</x:v>
      </x:c>
      <x:c r="J215" s="596" t="inlineStr">
        <x:is>
          <x:t xml:space="preserve">1.03/-0.25/0.79</x:t>
        </x:is>
      </x:c>
      <x:c r="K215" s="595" t="inlineStr">
        <x:is>
          <x:t xml:space="preserve">V4-C｜EV +0.0145</x:t>
        </x:is>
      </x:c>
      <x:c r="L215" s="595" t="inlineStr">
        <x:is>
          <x:t xml:space="preserve">巴厘巴板</x:t>
        </x:is>
      </x:c>
      <x:c r="M215" s="597" t="n">
        <x:v>0.5010224948875256</x:v>
      </x:c>
      <x:c r="N215" s="595" t="inlineStr">
        <x:is>
          <x:t xml:space="preserve">V4纸面入选-C</x:t>
        </x:is>
      </x:c>
      <x:c r="O215" s="595" t="inlineStr">
        <x:is>
          <x:t xml:space="preserve">0-1</x:t>
        </x:is>
      </x:c>
      <x:c r="P215" s="595" t="inlineStr">
        <x:is>
          <x:t xml:space="preserve">已结算</x:t>
        </x:is>
      </x:c>
      <x:c r="Q215" s="641" t="inlineStr">
        <x:is>
          <x:t xml:space="preserve">黑</x:t>
        </x:is>
      </x:c>
      <x:c r="R215" s="599" t="n">
        <x:v>1.03</x:v>
      </x:c>
      <x:c r="S215" s="599" t="n">
        <x:f>IF(OR(Q215="",Q215="待结算"),"",IF(Q215="红",R215,IF(Q215="半红",R215*0.5,IF(Q215="走",0,IF(Q215="半黑",-0.5,-1)))))</x:f>
        <x:v>-1</x:v>
      </x:c>
      <x:c r="T215" s="595" t="inlineStr">
        <x:is>
          <x:t xml:space="preserve">https://zq.titan007.com/analysis/3086175cn.htm</x:t>
        </x:is>
      </x:c>
      <x:c r="U215" s="640" t="str">
        <x:f>IF(Q215="","",IF(Q215="待结算","待结算",IF(Q215="红","黑",IF(Q215="半红","半黑",IF(Q215="走","走",IF(Q215="半黑","半红","红"))))))</x:f>
        <x:v>红</x:v>
      </x:c>
      <x:c r="V215" s="599" t="n">
        <x:f>IF(OR(Q215="",Q215="待结算"),"",IF(L215=LEFT(F215,FIND(" vs ",F215)-1),I215,G215))</x:f>
        <x:v>0.79</x:v>
      </x:c>
      <x:c r="W215" s="599" t="n">
        <x:f>IF(OR(U215="",U215="待结算"),"",IF(U215="红",V215,IF(U215="半红",V215*0.5,IF(U215="走",0,IF(U215="半黑",-0.5,-1)))))</x:f>
        <x:v>0.79</x:v>
      </x:c>
      <x:c r="X215" s="595" t="inlineStr">
        <x:is>
          <x:t xml:space="preserve">3086175</x:t>
        </x:is>
      </x:c>
      <x:c r="Y215" s="595" t="inlineStr">
        <x:is>
          <x:t xml:space="preserve">v4-market-dirichlet-20260913</x:t>
        </x:is>
      </x:c>
      <x:c r="Z215" s="595" t="inlineStr">
        <x:is>
          <x:t xml:space="preserve">prior-2026-09-19-v1</x:t>
        </x:is>
      </x:c>
      <x:c r="AA215" s="595" t="inlineStr">
        <x:is>
          <x:t xml:space="preserve">C</x:t>
        </x:is>
      </x:c>
      <x:c r="AB215" s="600" t="n">
        <x:v>0.2743055555555556</x:v>
      </x:c>
      <x:c r="AC215" s="600" t="n">
        <x:v>0.3020833333333333</x:v>
      </x:c>
      <x:c r="AD215" s="600" t="n">
        <x:v>0</x:v>
      </x:c>
      <x:c r="AE215" s="600" t="n">
        <x:v>0</x:v>
      </x:c>
      <x:c r="AF215" s="600" t="n">
        <x:v>0.4236111111111111</x:v>
      </x:c>
      <x:c r="AG215" s="600" t="n">
        <x:v>0.01449652777777782</x:v>
      </x:c>
      <x:c r="AH215" s="600" t="n">
        <x:v>-0.0686184895775338</x:v>
      </x:c>
      <x:c r="AI215" s="600" t="n">
        <x:v>-0.05260595569563703</x:v>
      </x:c>
      <x:c r="AJ215" s="600" t="n">
        <x:v>0.01269736356687362</x:v>
      </x:c>
      <x:c r="AK215" s="600" t="n">
        <x:v>0.08129615276230695</x:v>
      </x:c>
      <x:c r="AL215" s="600" t="n">
        <x:v>0.1010763570403726</x:v>
      </x:c>
      <x:c r="AM215" s="600" t="n">
        <x:v>0.601</x:v>
      </x:c>
      <x:c r="AN215" s="595" t="inlineStr">
        <x:is>
          <x:t xml:space="preserve">EVALUATED</x:t>
        </x:is>
      </x:c>
      <x:c r="AO215" s="600" t="inlineStr">
        <x:is>
          <x:t xml:space="preserve">BUCKET_0.25、SIDE_IDENTITY_VALID、FLAT_LINE_GIVING_WATER_RISE</x:t>
        </x:is>
      </x:c>
      <x:c r="AP215" s="600" t="inlineStr">
        <x:is>
          <x:t xml:space="preserve">8308672a3ef78bcd3257</x:t>
        </x:is>
      </x:c>
      <x:c r="AQ215" s="600" t="n">
        <x:v>0.25</x:v>
      </x:c>
      <x:c r="AR215" s="600" t="n">
        <x:v>1.03</x:v>
      </x:c>
      <x:c r="AS215" s="600" t="n">
        <x:v>0.25</x:v>
      </x:c>
      <x:c r="AT215" s="600" t="n">
        <x:v>-0.25</x:v>
      </x:c>
      <x:c r="AU215" s="600" t="n">
        <x:v>1.03</x:v>
      </x:c>
      <x:c r="AV215" s="600" t="n">
        <x:v>0.79</x:v>
      </x:c>
      <x:c r="AW215" s="595" t="n">
        <x:v>46284.25887726852</x:v>
      </x:c>
      <x:c r="AX215" s="595" t="inlineStr">
        <x:is>
          <x:t xml:space="preserve">https://simondongxiao.github.io/odds/v4/</x:t>
        </x:is>
      </x:c>
      <x:c r="AY215" s="595" t="inlineStr">
        <x:is>
          <x:t xml:space="preserve">V4 Shadow Only；real_money=false；比分差异详见记录审计</x:t>
        </x:is>
      </x:c>
    </x:row>
    <x:row r="216" ht="22" customHeight="1">
      <x:c r="A216" s="595" t="inlineStr">
        <x:is>
          <x:t xml:space="preserve">2026-09-19</x:t>
        </x:is>
      </x:c>
      <x:c r="B216" s="595" t="inlineStr">
        <x:is>
          <x:t xml:space="preserve">2026-09-19 20:45</x:t>
        </x:is>
      </x:c>
      <x:c r="C216" s="595" t="str">
        <x:v>五大联赛非顶级联赛</x:v>
      </x:c>
      <x:c r="D216" s="595" t="inlineStr">
        <x:is>
          <x:t xml:space="preserve">联赛</x:t>
        </x:is>
      </x:c>
      <x:c r="E216" s="595" t="inlineStr">
        <x:is>
          <x:t xml:space="preserve">法丙</x:t>
        </x:is>
      </x:c>
      <x:c r="F216" s="595" t="inlineStr">
        <x:is>
          <x:t xml:space="preserve">巴黎13区竞技 vs 普瑞兰斯</x:t>
        </x:is>
      </x:c>
      <x:c r="G216" s="596" t="n">
        <x:v>0.82</x:v>
      </x:c>
      <x:c r="H216" s="596" t="n">
        <x:v>0.25</x:v>
      </x:c>
      <x:c r="I216" s="596" t="n">
        <x:v>1.04</x:v>
      </x:c>
      <x:c r="J216" s="596" t="inlineStr">
        <x:is>
          <x:t xml:space="preserve">0.82/0.25/1.04</x:t>
        </x:is>
      </x:c>
      <x:c r="K216" s="595" t="inlineStr">
        <x:is>
          <x:t xml:space="preserve">V4-C｜EV +0.0187</x:t>
        </x:is>
      </x:c>
      <x:c r="L216" s="595" t="inlineStr">
        <x:is>
          <x:t xml:space="preserve">普瑞兰斯</x:t>
        </x:is>
      </x:c>
      <x:c r="M216" s="597" t="n">
        <x:v>0.5010224948875256</x:v>
      </x:c>
      <x:c r="N216" s="595" t="inlineStr">
        <x:is>
          <x:t xml:space="preserve">V4纸面入选-C</x:t>
        </x:is>
      </x:c>
      <x:c r="O216" s="595" t="inlineStr">
        <x:is>
          <x:t xml:space="preserve">1-1</x:t>
        </x:is>
      </x:c>
      <x:c r="P216" s="595" t="inlineStr">
        <x:is>
          <x:t xml:space="preserve">已结算</x:t>
        </x:is>
      </x:c>
      <x:c r="Q216" s="642" t="inlineStr">
        <x:is>
          <x:t xml:space="preserve">半红</x:t>
        </x:is>
      </x:c>
      <x:c r="R216" s="599" t="n">
        <x:v>1.04</x:v>
      </x:c>
      <x:c r="S216" s="599" t="n">
        <x:f>IF(OR(Q216="",Q216="待结算"),"",IF(Q216="红",R216,IF(Q216="半红",R216*0.5,IF(Q216="走",0,IF(Q216="半黑",-0.5,-1)))))</x:f>
        <x:v>0.52</x:v>
      </x:c>
      <x:c r="T216" s="595" t="inlineStr">
        <x:is>
          <x:t xml:space="preserve">https://zq.titan007.com/analysis/3020005cn.htm</x:t>
        </x:is>
      </x:c>
      <x:c r="U216" s="643" t="str">
        <x:f>IF(Q216="","",IF(Q216="待结算","待结算",IF(Q216="红","黑",IF(Q216="半红","半黑",IF(Q216="走","走",IF(Q216="半黑","半红","红"))))))</x:f>
        <x:v>半黑</x:v>
      </x:c>
      <x:c r="V216" s="599" t="n">
        <x:f>IF(OR(Q216="",Q216="待结算"),"",IF(L216=LEFT(F216,FIND(" vs ",F216)-1),I216,G216))</x:f>
        <x:v>0.82</x:v>
      </x:c>
      <x:c r="W216" s="599" t="n">
        <x:f>IF(OR(U216="",U216="待结算"),"",IF(U216="红",V216,IF(U216="半红",V216*0.5,IF(U216="走",0,IF(U216="半黑",-0.5,-1)))))</x:f>
        <x:v>-0.5</x:v>
      </x:c>
      <x:c r="X216" s="595" t="inlineStr">
        <x:is>
          <x:t xml:space="preserve">3020005</x:t>
        </x:is>
      </x:c>
      <x:c r="Y216" s="595" t="inlineStr">
        <x:is>
          <x:t xml:space="preserve">v4-market-dirichlet-20260913</x:t>
        </x:is>
      </x:c>
      <x:c r="Z216" s="595" t="inlineStr">
        <x:is>
          <x:t xml:space="preserve">prior-2026-09-19-v1</x:t>
        </x:is>
      </x:c>
      <x:c r="AA216" s="595" t="inlineStr">
        <x:is>
          <x:t xml:space="preserve">C</x:t>
        </x:is>
      </x:c>
      <x:c r="AB216" s="600" t="n">
        <x:v>0.2743055555555556</x:v>
      </x:c>
      <x:c r="AC216" s="600" t="n">
        <x:v>0.3020833333333333</x:v>
      </x:c>
      <x:c r="AD216" s="600" t="n">
        <x:v>0</x:v>
      </x:c>
      <x:c r="AE216" s="600" t="n">
        <x:v>0</x:v>
      </x:c>
      <x:c r="AF216" s="600" t="n">
        <x:v>0.4236111111111111</x:v>
      </x:c>
      <x:c r="AG216" s="600" t="n">
        <x:v>0.01874999999999999</x:v>
      </x:c>
      <x:c r="AH216" s="600" t="n">
        <x:v>-0.0699029862932386</x:v>
      </x:c>
      <x:c r="AI216" s="600" t="n">
        <x:v>-0.05143817493190023</x:v>
      </x:c>
      <x:c r="AJ216" s="600" t="n">
        <x:v>0.01770295614710177</x:v>
      </x:c>
      <x:c r="AK216" s="600" t="n">
        <x:v>0.0866285893524496</x:v>
      </x:c>
      <x:c r="AL216" s="600" t="n">
        <x:v>0.1060498406299791</x:v>
      </x:c>
      <x:c r="AM216" s="600" t="n">
        <x:v>0.6314</x:v>
      </x:c>
      <x:c r="AN216" s="595" t="inlineStr">
        <x:is>
          <x:t xml:space="preserve">EVALUATED</x:t>
        </x:is>
      </x:c>
      <x:c r="AO216" s="600" t="inlineStr">
        <x:is>
          <x:t xml:space="preserve">BUCKET_0.25、SIDE_IDENTITY_VALID、FLAT_LINE_GIVING_WATER_RISE</x:t>
        </x:is>
      </x:c>
      <x:c r="AP216" s="600" t="inlineStr">
        <x:is>
          <x:t xml:space="preserve">db7f7da239242de772d9</x:t>
        </x:is>
      </x:c>
      <x:c r="AQ216" s="600" t="n">
        <x:v>0.25</x:v>
      </x:c>
      <x:c r="AR216" s="600" t="n">
        <x:v>1.04</x:v>
      </x:c>
      <x:c r="AS216" s="600" t="n">
        <x:v>-0.25</x:v>
      </x:c>
      <x:c r="AT216" s="600" t="n">
        <x:v>0.25</x:v>
      </x:c>
      <x:c r="AU216" s="600" t="n">
        <x:v>0.82</x:v>
      </x:c>
      <x:c r="AV216" s="600" t="n">
        <x:v>1.04</x:v>
      </x:c>
      <x:c r="AW216" s="595" t="n">
        <x:v>46284.25887726852</x:v>
      </x:c>
      <x:c r="AX216" s="595" t="inlineStr">
        <x:is>
          <x:t xml:space="preserve">https://simondongxiao.github.io/odds/v4/</x:t>
        </x:is>
      </x:c>
      <x:c r="AY216" s="595" t="inlineStr">
        <x:is>
          <x:t xml:space="preserve">V4 Shadow Only；real_money=false；比分差异详见记录审计</x:t>
        </x:is>
      </x:c>
    </x:row>
    <x:row r="217" ht="22" customHeight="1">
      <x:c r="A217" s="595" t="inlineStr">
        <x:is>
          <x:t xml:space="preserve">2026-09-19</x:t>
        </x:is>
      </x:c>
      <x:c r="B217" s="595" t="inlineStr">
        <x:is>
          <x:t xml:space="preserve">2026-09-19 21:00</x:t>
        </x:is>
      </x:c>
      <x:c r="C217" s="595" t="str">
        <x:v>五大联赛非顶级联赛</x:v>
      </x:c>
      <x:c r="D217" s="595" t="inlineStr">
        <x:is>
          <x:t xml:space="preserve">联赛</x:t>
        </x:is>
      </x:c>
      <x:c r="E217" s="595" t="inlineStr">
        <x:is>
          <x:t xml:space="preserve">意乙</x:t>
        </x:is>
      </x:c>
      <x:c r="F217" s="595" t="inlineStr">
        <x:is>
          <x:t xml:space="preserve">巴勒莫 vs 帕多瓦</x:t>
        </x:is>
      </x:c>
      <x:c r="G217" s="596" t="n">
        <x:v>0.95</x:v>
      </x:c>
      <x:c r="H217" s="596" t="n">
        <x:v>1</x:v>
      </x:c>
      <x:c r="I217" s="596" t="n">
        <x:v>0.93</x:v>
      </x:c>
      <x:c r="J217" s="596" t="inlineStr">
        <x:is>
          <x:t xml:space="preserve">0.95/1/0.93</x:t>
        </x:is>
      </x:c>
      <x:c r="K217" s="595" t="inlineStr">
        <x:is>
          <x:t xml:space="preserve">V4-C｜EV +0.0363</x:t>
        </x:is>
      </x:c>
      <x:c r="L217" s="595" t="inlineStr">
        <x:is>
          <x:t xml:space="preserve">帕多瓦</x:t>
        </x:is>
      </x:c>
      <x:c r="M217" s="597" t="n">
        <x:v>0.5423728813559322</x:v>
      </x:c>
      <x:c r="N217" s="595" t="inlineStr">
        <x:is>
          <x:t xml:space="preserve">V4纸面入选-C</x:t>
        </x:is>
      </x:c>
      <x:c r="O217" s="595" t="inlineStr">
        <x:is>
          <x:t xml:space="preserve">2-1</x:t>
        </x:is>
      </x:c>
      <x:c r="P217" s="595" t="inlineStr">
        <x:is>
          <x:t xml:space="preserve">已结算</x:t>
        </x:is>
      </x:c>
      <x:c r="Q217" s="644" t="inlineStr">
        <x:is>
          <x:t xml:space="preserve">走</x:t>
        </x:is>
      </x:c>
      <x:c r="R217" s="599" t="n">
        <x:v>0.93</x:v>
      </x:c>
      <x:c r="S217" s="599" t="n">
        <x:f>IF(OR(Q217="",Q217="待结算"),"",IF(Q217="红",R217,IF(Q217="半红",R217*0.5,IF(Q217="走",0,IF(Q217="半黑",-0.5,-1)))))</x:f>
        <x:v>0</x:v>
      </x:c>
      <x:c r="T217" s="595" t="inlineStr">
        <x:is>
          <x:t xml:space="preserve">https://zq.titan007.com/analysis/3040752cn.htm</x:t>
        </x:is>
      </x:c>
      <x:c r="U217" s="644" t="str">
        <x:f>IF(Q217="","",IF(Q217="待结算","待结算",IF(Q217="红","黑",IF(Q217="半红","半黑",IF(Q217="走","走",IF(Q217="半黑","半红","红"))))))</x:f>
        <x:v>走</x:v>
      </x:c>
      <x:c r="V217" s="599" t="n">
        <x:f>IF(OR(Q217="",Q217="待结算"),"",IF(L217=LEFT(F217,FIND(" vs ",F217)-1),I217,G217))</x:f>
        <x:v>0.95</x:v>
      </x:c>
      <x:c r="W217" s="599" t="n">
        <x:f>IF(OR(U217="",U217="待结算"),"",IF(U217="红",V217,IF(U217="半红",V217*0.5,IF(U217="走",0,IF(U217="半黑",-0.5,-1)))))</x:f>
        <x:v>0</x:v>
      </x:c>
      <x:c r="X217" s="595" t="inlineStr">
        <x:is>
          <x:t xml:space="preserve">3040752</x:t>
        </x:is>
      </x:c>
      <x:c r="Y217" s="595" t="inlineStr">
        <x:is>
          <x:t xml:space="preserve">v4-market-dirichlet-20260913</x:t>
        </x:is>
      </x:c>
      <x:c r="Z217" s="595" t="inlineStr">
        <x:is>
          <x:t xml:space="preserve">prior-2026-09-19-v1</x:t>
        </x:is>
      </x:c>
      <x:c r="AA217" s="595" t="inlineStr">
        <x:is>
          <x:t xml:space="preserve">C</x:t>
        </x:is>
      </x:c>
      <x:c r="AB217" s="600" t="n">
        <x:v>0.4210526315789473</x:v>
      </x:c>
      <x:c r="AC217" s="600" t="n">
        <x:v>0</x:v>
      </x:c>
      <x:c r="AD217" s="600" t="n">
        <x:v>0.2236842105263158</x:v>
      </x:c>
      <x:c r="AE217" s="600" t="n">
        <x:v>0</x:v>
      </x:c>
      <x:c r="AF217" s="600" t="n">
        <x:v>0.3552631578947368</x:v>
      </x:c>
      <x:c r="AG217" s="600" t="n">
        <x:v>0.03631578947368419</x:v>
      </x:c>
      <x:c r="AH217" s="600" t="n">
        <x:v>-0.1222701063572629</x:v>
      </x:c>
      <x:c r="AI217" s="600" t="n">
        <x:v>-0.08706957626921435</x:v>
      </x:c>
      <x:c r="AJ217" s="600" t="n">
        <x:v>0.03751338748430844</x:v>
      </x:c>
      <x:c r="AK217" s="600" t="n">
        <x:v>0.1594669789932746</x:v>
      </x:c>
      <x:c r="AL217" s="600" t="n">
        <x:v>0.1943252412300418</x:v>
      </x:c>
      <x:c r="AM217" s="600" t="n">
        <x:v>0.6484</x:v>
      </x:c>
      <x:c r="AN217" s="595" t="inlineStr">
        <x:is>
          <x:t xml:space="preserve">EVALUATED</x:t>
        </x:is>
      </x:c>
      <x:c r="AO217" s="600" t="inlineStr">
        <x:is>
          <x:t xml:space="preserve">BUCKET_1.00、SIDE_IDENTITY_VALID、FLAT_LINE_GIVING_WATER_DROP</x:t>
        </x:is>
      </x:c>
      <x:c r="AP217" s="600" t="inlineStr">
        <x:is>
          <x:t xml:space="preserve">fe0bb94732649099ca19</x:t>
        </x:is>
      </x:c>
      <x:c r="AQ217" s="600" t="n">
        <x:v>1</x:v>
      </x:c>
      <x:c r="AR217" s="600" t="n">
        <x:v>0.93</x:v>
      </x:c>
      <x:c r="AS217" s="600" t="n">
        <x:v>-1</x:v>
      </x:c>
      <x:c r="AT217" s="600" t="n">
        <x:v>1</x:v>
      </x:c>
      <x:c r="AU217" s="600" t="n">
        <x:v>0.95</x:v>
      </x:c>
      <x:c r="AV217" s="600" t="n">
        <x:v>0.93</x:v>
      </x:c>
      <x:c r="AW217" s="595" t="n">
        <x:v>46284.25887726852</x:v>
      </x:c>
      <x:c r="AX217" s="595" t="inlineStr">
        <x:is>
          <x:t xml:space="preserve">https://simondongxiao.github.io/odds/v4/</x:t>
        </x:is>
      </x:c>
      <x:c r="AY217" s="595" t="inlineStr">
        <x:is>
          <x:t xml:space="preserve">V4 Shadow Only；real_money=false；比分差异详见记录审计</x:t>
        </x:is>
      </x:c>
    </x:row>
    <x:row r="218" ht="22" customHeight="1">
      <x:c r="A218" s="595" t="inlineStr">
        <x:is>
          <x:t xml:space="preserve">2026-09-19</x:t>
        </x:is>
      </x:c>
      <x:c r="B218" s="595" t="inlineStr">
        <x:is>
          <x:t xml:space="preserve">2026-09-19 21:00</x:t>
        </x:is>
      </x:c>
      <x:c r="C218" s="595" t="str">
        <x:v>欧洲非五大系列</x:v>
      </x:c>
      <x:c r="D218" s="595" t="inlineStr">
        <x:is>
          <x:t xml:space="preserve">联赛</x:t>
        </x:is>
      </x:c>
      <x:c r="E218" s="595" t="inlineStr">
        <x:is>
          <x:t xml:space="preserve">瑞典超</x:t>
        </x:is>
      </x:c>
      <x:c r="F218" s="595" t="inlineStr">
        <x:is>
          <x:t xml:space="preserve">瓦斯特拉斯 vs 马尔默</x:t>
        </x:is>
      </x:c>
      <x:c r="G218" s="596" t="n">
        <x:v>1.04</x:v>
      </x:c>
      <x:c r="H218" s="596" t="n">
        <x:v>-0.25</x:v>
      </x:c>
      <x:c r="I218" s="596" t="n">
        <x:v>0.85</x:v>
      </x:c>
      <x:c r="J218" s="596" t="inlineStr">
        <x:is>
          <x:t xml:space="preserve">1.04/-0.25/0.85</x:t>
        </x:is>
      </x:c>
      <x:c r="K218" s="595" t="inlineStr">
        <x:is>
          <x:t xml:space="preserve">V4-C｜EV +0.0187</x:t>
        </x:is>
      </x:c>
      <x:c r="L218" s="595" t="inlineStr">
        <x:is>
          <x:t xml:space="preserve">瓦斯特拉斯</x:t>
        </x:is>
      </x:c>
      <x:c r="M218" s="597" t="n">
        <x:v>0.5010224948875256</x:v>
      </x:c>
      <x:c r="N218" s="595" t="inlineStr">
        <x:is>
          <x:t xml:space="preserve">V4纸面入选-C</x:t>
        </x:is>
      </x:c>
      <x:c r="O218" s="595" t="inlineStr">
        <x:is>
          <x:t xml:space="preserve">2-0</x:t>
        </x:is>
      </x:c>
      <x:c r="P218" s="595" t="inlineStr">
        <x:is>
          <x:t xml:space="preserve">已结算</x:t>
        </x:is>
      </x:c>
      <x:c r="Q218" s="640" t="inlineStr">
        <x:is>
          <x:t xml:space="preserve">红</x:t>
        </x:is>
      </x:c>
      <x:c r="R218" s="599" t="n">
        <x:v>1.04</x:v>
      </x:c>
      <x:c r="S218" s="599" t="n">
        <x:f>IF(OR(Q218="",Q218="待结算"),"",IF(Q218="红",R218,IF(Q218="半红",R218*0.5,IF(Q218="走",0,IF(Q218="半黑",-0.5,-1)))))</x:f>
        <x:v>1.04</x:v>
      </x:c>
      <x:c r="T218" s="595" t="inlineStr">
        <x:is>
          <x:t xml:space="preserve">https://zq.titan007.com/analysis/2912282cn.htm</x:t>
        </x:is>
      </x:c>
      <x:c r="U218" s="641" t="str">
        <x:f>IF(Q218="","",IF(Q218="待结算","待结算",IF(Q218="红","黑",IF(Q218="半红","半黑",IF(Q218="走","走",IF(Q218="半黑","半红","红"))))))</x:f>
        <x:v>黑</x:v>
      </x:c>
      <x:c r="V218" s="599" t="n">
        <x:f>IF(OR(Q218="",Q218="待结算"),"",IF(L218=LEFT(F218,FIND(" vs ",F218)-1),I218,G218))</x:f>
        <x:v>0.85</x:v>
      </x:c>
      <x:c r="W218" s="599" t="n">
        <x:f>IF(OR(U218="",U218="待结算"),"",IF(U218="红",V218,IF(U218="半红",V218*0.5,IF(U218="走",0,IF(U218="半黑",-0.5,-1)))))</x:f>
        <x:v>-1</x:v>
      </x:c>
      <x:c r="X218" s="595" t="inlineStr">
        <x:is>
          <x:t xml:space="preserve">2912282</x:t>
        </x:is>
      </x:c>
      <x:c r="Y218" s="595" t="inlineStr">
        <x:is>
          <x:t xml:space="preserve">v4-market-dirichlet-20260913</x:t>
        </x:is>
      </x:c>
      <x:c r="Z218" s="595" t="inlineStr">
        <x:is>
          <x:t xml:space="preserve">prior-2026-09-19-v1</x:t>
        </x:is>
      </x:c>
      <x:c r="AA218" s="595" t="inlineStr">
        <x:is>
          <x:t xml:space="preserve">C</x:t>
        </x:is>
      </x:c>
      <x:c r="AB218" s="600" t="n">
        <x:v>0.2743055555555556</x:v>
      </x:c>
      <x:c r="AC218" s="600" t="n">
        <x:v>0.3020833333333333</x:v>
      </x:c>
      <x:c r="AD218" s="600" t="n">
        <x:v>0</x:v>
      </x:c>
      <x:c r="AE218" s="600" t="n">
        <x:v>0</x:v>
      </x:c>
      <x:c r="AF218" s="600" t="n">
        <x:v>0.4236111111111111</x:v>
      </x:c>
      <x:c r="AG218" s="600" t="n">
        <x:v>0.01874999999999999</x:v>
      </x:c>
      <x:c r="AH218" s="600" t="n">
        <x:v>-0.06798380998649045</x:v>
      </x:c>
      <x:c r="AI218" s="600" t="n">
        <x:v>-0.05006330714788082</x:v>
      </x:c>
      <x:c r="AJ218" s="600" t="n">
        <x:v>0.01977435385254517</x:v>
      </x:c>
      <x:c r="AK218" s="600" t="n">
        <x:v>0.08757846128045266</x:v>
      </x:c>
      <x:c r="AL218" s="600" t="n">
        <x:v>0.1053410171578886</x:v>
      </x:c>
      <x:c r="AM218" s="600" t="n">
        <x:v>0.6414</x:v>
      </x:c>
      <x:c r="AN218" s="595" t="inlineStr">
        <x:is>
          <x:t xml:space="preserve">EVALUATED</x:t>
        </x:is>
      </x:c>
      <x:c r="AO218" s="600" t="inlineStr">
        <x:is>
          <x:t xml:space="preserve">BUCKET_0.25、SIDE_IDENTITY_VALID、FLAT_LINE_GIVING_WATER_DROP</x:t>
        </x:is>
      </x:c>
      <x:c r="AP218" s="600" t="inlineStr">
        <x:is>
          <x:t xml:space="preserve">98936813384da9207f2b</x:t>
        </x:is>
      </x:c>
      <x:c r="AQ218" s="600" t="n">
        <x:v>0.25</x:v>
      </x:c>
      <x:c r="AR218" s="600" t="n">
        <x:v>1.04</x:v>
      </x:c>
      <x:c r="AS218" s="600" t="n">
        <x:v>0.25</x:v>
      </x:c>
      <x:c r="AT218" s="600" t="n">
        <x:v>-0.25</x:v>
      </x:c>
      <x:c r="AU218" s="600" t="n">
        <x:v>1.04</x:v>
      </x:c>
      <x:c r="AV218" s="600" t="n">
        <x:v>0.85</x:v>
      </x:c>
      <x:c r="AW218" s="595" t="n">
        <x:v>46284.25887726852</x:v>
      </x:c>
      <x:c r="AX218" s="595" t="inlineStr">
        <x:is>
          <x:t xml:space="preserve">https://simondongxiao.github.io/odds/v4/</x:t>
        </x:is>
      </x:c>
      <x:c r="AY218" s="595" t="inlineStr">
        <x:is>
          <x:t xml:space="preserve">V4 Shadow Only；real_money=false；比分差异详见记录审计</x:t>
        </x:is>
      </x:c>
    </x:row>
    <x:row r="219" ht="22" customHeight="1">
      <x:c r="A219" s="595" t="inlineStr">
        <x:is>
          <x:t xml:space="preserve">2026-09-19</x:t>
        </x:is>
      </x:c>
      <x:c r="B219" s="595" t="inlineStr">
        <x:is>
          <x:t xml:space="preserve">2026-09-19 21:00</x:t>
        </x:is>
      </x:c>
      <x:c r="C219" s="595" t="str">
        <x:v>其他系列</x:v>
      </x:c>
      <x:c r="D219" s="595" t="inlineStr">
        <x:is>
          <x:t xml:space="preserve">杯赛</x:t>
        </x:is>
      </x:c>
      <x:c r="E219" s="595" t="inlineStr">
        <x:is>
          <x:t xml:space="preserve">世女杯U20</x:t>
        </x:is>
      </x:c>
      <x:c r="F219" s="595" t="inlineStr">
        <x:is>
          <x:t xml:space="preserve">南韩女足U20(中) vs 意大利女足U20</x:t>
        </x:is>
      </x:c>
      <x:c r="G219" s="596" t="n">
        <x:v>0.9</x:v>
      </x:c>
      <x:c r="H219" s="596" t="n">
        <x:v>-1</x:v>
      </x:c>
      <x:c r="I219" s="596" t="n">
        <x:v>0.86</x:v>
      </x:c>
      <x:c r="J219" s="596" t="inlineStr">
        <x:is>
          <x:t xml:space="preserve">0.90/-1/0.86</x:t>
        </x:is>
      </x:c>
      <x:c r="K219" s="595" t="inlineStr">
        <x:is>
          <x:t xml:space="preserve">V4-C｜EV +0.0237</x:t>
        </x:is>
      </x:c>
      <x:c r="L219" s="595" t="inlineStr">
        <x:is>
          <x:t xml:space="preserve">南韩女足U20(中)</x:t>
        </x:is>
      </x:c>
      <x:c r="M219" s="597" t="n">
        <x:v>0.5423728813559322</x:v>
      </x:c>
      <x:c r="N219" s="595" t="inlineStr">
        <x:is>
          <x:t xml:space="preserve">V4纸面入选-C</x:t>
        </x:is>
      </x:c>
      <x:c r="O219" s="595" t="inlineStr">
        <x:is>
          <x:t xml:space="preserve">1-3</x:t>
        </x:is>
      </x:c>
      <x:c r="P219" s="595" t="inlineStr">
        <x:is>
          <x:t xml:space="preserve">已结算</x:t>
        </x:is>
      </x:c>
      <x:c r="Q219" s="641" t="inlineStr">
        <x:is>
          <x:t xml:space="preserve">黑</x:t>
        </x:is>
      </x:c>
      <x:c r="R219" s="599" t="n">
        <x:v>0.9</x:v>
      </x:c>
      <x:c r="S219" s="599" t="n">
        <x:f>IF(OR(Q219="",Q219="待结算"),"",IF(Q219="红",R219,IF(Q219="半红",R219*0.5,IF(Q219="走",0,IF(Q219="半黑",-0.5,-1)))))</x:f>
        <x:v>-1</x:v>
      </x:c>
      <x:c r="T219" s="595" t="inlineStr">
        <x:is>
          <x:t xml:space="preserve">https://zq.titan007.com/analysis/3091971cn.htm</x:t>
        </x:is>
      </x:c>
      <x:c r="U219" s="640" t="str">
        <x:f>IF(Q219="","",IF(Q219="待结算","待结算",IF(Q219="红","黑",IF(Q219="半红","半黑",IF(Q219="走","走",IF(Q219="半黑","半红","红"))))))</x:f>
        <x:v>红</x:v>
      </x:c>
      <x:c r="V219" s="599" t="n">
        <x:f>IF(OR(Q219="",Q219="待结算"),"",IF(L219=LEFT(F219,FIND(" vs ",F219)-1),I219,G219))</x:f>
        <x:v>0.86</x:v>
      </x:c>
      <x:c r="W219" s="599" t="n">
        <x:f>IF(OR(U219="",U219="待结算"),"",IF(U219="红",V219,IF(U219="半红",V219*0.5,IF(U219="走",0,IF(U219="半黑",-0.5,-1)))))</x:f>
        <x:v>0.86</x:v>
      </x:c>
      <x:c r="X219" s="595" t="inlineStr">
        <x:is>
          <x:t xml:space="preserve">3091971</x:t>
        </x:is>
      </x:c>
      <x:c r="Y219" s="595" t="inlineStr">
        <x:is>
          <x:t xml:space="preserve">v4-market-dirichlet-20260913</x:t>
        </x:is>
      </x:c>
      <x:c r="Z219" s="595" t="inlineStr">
        <x:is>
          <x:t xml:space="preserve">prior-2026-09-19-v1</x:t>
        </x:is>
      </x:c>
      <x:c r="AA219" s="595" t="inlineStr">
        <x:is>
          <x:t xml:space="preserve">C</x:t>
        </x:is>
      </x:c>
      <x:c r="AB219" s="600" t="n">
        <x:v>0.4210526315789473</x:v>
      </x:c>
      <x:c r="AC219" s="600" t="n">
        <x:v>0</x:v>
      </x:c>
      <x:c r="AD219" s="600" t="n">
        <x:v>0.2236842105263158</x:v>
      </x:c>
      <x:c r="AE219" s="600" t="n">
        <x:v>0</x:v>
      </x:c>
      <x:c r="AF219" s="600" t="n">
        <x:v>0.3552631578947368</x:v>
      </x:c>
      <x:c r="AG219" s="600" t="n">
        <x:v>0.02368421052631581</x:v>
      </x:c>
      <x:c r="AH219" s="600" t="n">
        <x:v>-0.130845676863071</x:v>
      </x:c>
      <x:c r="AI219" s="600" t="n">
        <x:v>-0.09709189553593162</x:v>
      </x:c>
      <x:c r="AJ219" s="600" t="n">
        <x:v>0.02323719484236308</x:v>
      </x:c>
      <x:c r="AK219" s="600" t="n">
        <x:v>0.1413862189593578</x:v>
      </x:c>
      <x:c r="AL219" s="600" t="n">
        <x:v>0.1743482758079397</x:v>
      </x:c>
      <x:c r="AM219" s="600" t="n">
        <x:v>0.5948</x:v>
      </x:c>
      <x:c r="AN219" s="595" t="inlineStr">
        <x:is>
          <x:t xml:space="preserve">EVALUATED</x:t>
        </x:is>
      </x:c>
      <x:c r="AO219" s="600" t="inlineStr">
        <x:is>
          <x:t xml:space="preserve">BUCKET_1.00、SIDE_IDENTITY_VALID、FLAT_LINE_GIVING_WATER_DROP</x:t>
        </x:is>
      </x:c>
      <x:c r="AP219" s="600" t="inlineStr">
        <x:is>
          <x:t xml:space="preserve">36e1576b75bef3935c73</x:t>
        </x:is>
      </x:c>
      <x:c r="AQ219" s="600" t="n">
        <x:v>1</x:v>
      </x:c>
      <x:c r="AR219" s="600" t="n">
        <x:v>0.9</x:v>
      </x:c>
      <x:c r="AS219" s="600" t="n">
        <x:v>1</x:v>
      </x:c>
      <x:c r="AT219" s="600" t="n">
        <x:v>-1</x:v>
      </x:c>
      <x:c r="AU219" s="600" t="n">
        <x:v>0.9</x:v>
      </x:c>
      <x:c r="AV219" s="600" t="n">
        <x:v>0.86</x:v>
      </x:c>
      <x:c r="AW219" s="595" t="n">
        <x:v>46284.25887726852</x:v>
      </x:c>
      <x:c r="AX219" s="595" t="inlineStr">
        <x:is>
          <x:t xml:space="preserve">https://simondongxiao.github.io/odds/v4/</x:t>
        </x:is>
      </x:c>
      <x:c r="AY219" s="595" t="inlineStr">
        <x:is>
          <x:t xml:space="preserve">V4 Shadow Only；real_money=false；比分差异详见记录审计</x:t>
        </x:is>
      </x:c>
    </x:row>
    <x:row r="220" ht="22" customHeight="1">
      <x:c r="A220" s="595" t="inlineStr">
        <x:is>
          <x:t xml:space="preserve">2026-09-19</x:t>
        </x:is>
      </x:c>
      <x:c r="B220" s="595" t="inlineStr">
        <x:is>
          <x:t xml:space="preserve">2026-09-19 21:00</x:t>
        </x:is>
      </x:c>
      <x:c r="C220" s="595" t="str">
        <x:v>欧洲非五大系列</x:v>
      </x:c>
      <x:c r="D220" s="595" t="inlineStr">
        <x:is>
          <x:t xml:space="preserve">联赛</x:t>
        </x:is>
      </x:c>
      <x:c r="E220" s="595" t="inlineStr">
        <x:is>
          <x:t xml:space="preserve">瑞典甲</x:t>
        </x:is>
      </x:c>
      <x:c r="F220" s="595" t="inlineStr">
        <x:is>
          <x:t xml:space="preserve">瓦尔贝里 vs 布拉格</x:t>
        </x:is>
      </x:c>
      <x:c r="G220" s="596" t="n">
        <x:v>0.84</x:v>
      </x:c>
      <x:c r="H220" s="596" t="n">
        <x:v>0.75</x:v>
      </x:c>
      <x:c r="I220" s="596" t="n">
        <x:v>1.05</x:v>
      </x:c>
      <x:c r="J220" s="596" t="inlineStr">
        <x:is>
          <x:t xml:space="preserve">0.84/0.75/1.05</x:t>
        </x:is>
      </x:c>
      <x:c r="K220" s="595" t="inlineStr">
        <x:is>
          <x:t xml:space="preserve">V4-C｜EV +0.0346</x:t>
        </x:is>
      </x:c>
      <x:c r="L220" s="595" t="inlineStr">
        <x:is>
          <x:t xml:space="preserve">布拉格</x:t>
        </x:is>
      </x:c>
      <x:c r="M220" s="597" t="n">
        <x:v>0.5071770334928229</x:v>
      </x:c>
      <x:c r="N220" s="595" t="inlineStr">
        <x:is>
          <x:t xml:space="preserve">V4纸面入选-C</x:t>
        </x:is>
      </x:c>
      <x:c r="O220" s="595" t="inlineStr">
        <x:is>
          <x:t xml:space="preserve">3-2</x:t>
        </x:is>
      </x:c>
      <x:c r="P220" s="595" t="inlineStr">
        <x:is>
          <x:t xml:space="preserve">已结算</x:t>
        </x:is>
      </x:c>
      <x:c r="Q220" s="643" t="inlineStr">
        <x:is>
          <x:t xml:space="preserve">半黑</x:t>
        </x:is>
      </x:c>
      <x:c r="R220" s="599" t="n">
        <x:v>1.05</x:v>
      </x:c>
      <x:c r="S220" s="599" t="n">
        <x:f>IF(OR(Q220="",Q220="待结算"),"",IF(Q220="红",R220,IF(Q220="半红",R220*0.5,IF(Q220="走",0,IF(Q220="半黑",-0.5,-1)))))</x:f>
        <x:v>-0.5</x:v>
      </x:c>
      <x:c r="T220" s="595" t="inlineStr">
        <x:is>
          <x:t xml:space="preserve">https://zq.titan007.com/analysis/2914710cn.htm</x:t>
        </x:is>
      </x:c>
      <x:c r="U220" s="642" t="str">
        <x:f>IF(Q220="","",IF(Q220="待结算","待结算",IF(Q220="红","黑",IF(Q220="半红","半黑",IF(Q220="走","走",IF(Q220="半黑","半红","红"))))))</x:f>
        <x:v>半红</x:v>
      </x:c>
      <x:c r="V220" s="599" t="n">
        <x:f>IF(OR(Q220="",Q220="待结算"),"",IF(L220=LEFT(F220,FIND(" vs ",F220)-1),I220,G220))</x:f>
        <x:v>0.84</x:v>
      </x:c>
      <x:c r="W220" s="599" t="n">
        <x:f>IF(OR(U220="",U220="待结算"),"",IF(U220="红",V220,IF(U220="半红",V220*0.5,IF(U220="走",0,IF(U220="半黑",-0.5,-1)))))</x:f>
        <x:v>0.42</x:v>
      </x:c>
      <x:c r="X220" s="595" t="inlineStr">
        <x:is>
          <x:t xml:space="preserve">2914710</x:t>
        </x:is>
      </x:c>
      <x:c r="Y220" s="595" t="inlineStr">
        <x:is>
          <x:t xml:space="preserve">v4-market-dirichlet-20260913</x:t>
        </x:is>
      </x:c>
      <x:c r="Z220" s="595" t="inlineStr">
        <x:is>
          <x:t xml:space="preserve">prior-2026-09-19-v1</x:t>
        </x:is>
      </x:c>
      <x:c r="AA220" s="595" t="inlineStr">
        <x:is>
          <x:t xml:space="preserve">C</x:t>
        </x:is>
      </x:c>
      <x:c r="AB220" s="600" t="n">
        <x:v>0.4416666666666667</x:v>
      </x:c>
      <x:c r="AC220" s="600" t="n">
        <x:v>0</x:v>
      </x:c>
      <x:c r="AD220" s="600" t="n">
        <x:v>0</x:v>
      </x:c>
      <x:c r="AE220" s="600" t="n">
        <x:v>0.2583333333333334</x:v>
      </x:c>
      <x:c r="AF220" s="600" t="n">
        <x:v>0.3</x:v>
      </x:c>
      <x:c r="AG220" s="600" t="n">
        <x:v>0.03458333333333335</x:v>
      </x:c>
      <x:c r="AH220" s="600" t="n">
        <x:v>-0.09855965247008547</x:v>
      </x:c>
      <x:c r="AI220" s="600" t="n">
        <x:v>-0.07040141093566094</x:v>
      </x:c>
      <x:c r="AJ220" s="600" t="n">
        <x:v>0.03620947131902857</x:v>
      </x:c>
      <x:c r="AK220" s="600" t="n">
        <x:v>0.1434715410234702</x:v>
      </x:c>
      <x:c r="AL220" s="600" t="n">
        <x:v>0.1705326974428977</x:v>
      </x:c>
      <x:c r="AM220" s="600" t="n">
        <x:v>0.6746</x:v>
      </x:c>
      <x:c r="AN220" s="595" t="inlineStr">
        <x:is>
          <x:t xml:space="preserve">EVALUATED</x:t>
        </x:is>
      </x:c>
      <x:c r="AO220" s="600" t="inlineStr">
        <x:is>
          <x:t xml:space="preserve">BUCKET_0.75、SIDE_IDENTITY_VALID、FLAT_LINE_GIVING_WATER_DROP</x:t>
        </x:is>
      </x:c>
      <x:c r="AP220" s="600" t="inlineStr">
        <x:is>
          <x:t xml:space="preserve">a72b226db727da16f451</x:t>
        </x:is>
      </x:c>
      <x:c r="AQ220" s="600" t="n">
        <x:v>0.75</x:v>
      </x:c>
      <x:c r="AR220" s="600" t="n">
        <x:v>1.05</x:v>
      </x:c>
      <x:c r="AS220" s="600" t="n">
        <x:v>-0.75</x:v>
      </x:c>
      <x:c r="AT220" s="600" t="n">
        <x:v>0.75</x:v>
      </x:c>
      <x:c r="AU220" s="600" t="n">
        <x:v>0.84</x:v>
      </x:c>
      <x:c r="AV220" s="600" t="n">
        <x:v>1.05</x:v>
      </x:c>
      <x:c r="AW220" s="595" t="n">
        <x:v>46284.25887726852</x:v>
      </x:c>
      <x:c r="AX220" s="595" t="inlineStr">
        <x:is>
          <x:t xml:space="preserve">https://simondongxiao.github.io/odds/v4/</x:t>
        </x:is>
      </x:c>
      <x:c r="AY220" s="595" t="inlineStr">
        <x:is>
          <x:t xml:space="preserve">V4 Shadow Only；real_money=false；比分差异详见记录审计</x:t>
        </x:is>
      </x:c>
    </x:row>
    <x:row r="221" ht="22" customHeight="1">
      <x:c r="A221" s="595" t="inlineStr">
        <x:is>
          <x:t xml:space="preserve">2026-09-19</x:t>
        </x:is>
      </x:c>
      <x:c r="B221" s="595" t="inlineStr">
        <x:is>
          <x:t xml:space="preserve">2026-09-19 21:00</x:t>
        </x:is>
      </x:c>
      <x:c r="C221" s="595" t="str">
        <x:v>欧洲非五大系列</x:v>
      </x:c>
      <x:c r="D221" s="595" t="inlineStr">
        <x:is>
          <x:t xml:space="preserve">联赛</x:t>
        </x:is>
      </x:c>
      <x:c r="E221" s="595" t="inlineStr">
        <x:is>
          <x:t xml:space="preserve">捷甲</x:t>
        </x:is>
      </x:c>
      <x:c r="F221" s="595" t="inlineStr">
        <x:is>
          <x:t xml:space="preserve">阿蒂斯布尔诺 vs 利贝雷茨</x:t>
        </x:is>
      </x:c>
      <x:c r="G221" s="596" t="n">
        <x:v>1.05</x:v>
      </x:c>
      <x:c r="H221" s="596" t="n">
        <x:v>-0.75</x:v>
      </x:c>
      <x:c r="I221" s="596" t="n">
        <x:v>0.83</x:v>
      </x:c>
      <x:c r="J221" s="596" t="inlineStr">
        <x:is>
          <x:t xml:space="preserve">1.05/-0.75/0.83</x:t>
        </x:is>
      </x:c>
      <x:c r="K221" s="595" t="inlineStr">
        <x:is>
          <x:t xml:space="preserve">V4-C｜EV +0.0346</x:t>
        </x:is>
      </x:c>
      <x:c r="L221" s="595" t="inlineStr">
        <x:is>
          <x:t xml:space="preserve">阿蒂斯布尔诺</x:t>
        </x:is>
      </x:c>
      <x:c r="M221" s="597" t="n">
        <x:v>0.5071770334928229</x:v>
      </x:c>
      <x:c r="N221" s="595" t="inlineStr">
        <x:is>
          <x:t xml:space="preserve">V4纸面入选-C</x:t>
        </x:is>
      </x:c>
      <x:c r="O221" s="595" t="inlineStr">
        <x:is>
          <x:t xml:space="preserve">0-0</x:t>
        </x:is>
      </x:c>
      <x:c r="P221" s="595" t="inlineStr">
        <x:is>
          <x:t xml:space="preserve">已结算</x:t>
        </x:is>
      </x:c>
      <x:c r="Q221" s="640" t="inlineStr">
        <x:is>
          <x:t xml:space="preserve">红</x:t>
        </x:is>
      </x:c>
      <x:c r="R221" s="599" t="n">
        <x:v>1.05</x:v>
      </x:c>
      <x:c r="S221" s="599" t="n">
        <x:f>IF(OR(Q221="",Q221="待结算"),"",IF(Q221="红",R221,IF(Q221="半红",R221*0.5,IF(Q221="走",0,IF(Q221="半黑",-0.5,-1)))))</x:f>
        <x:v>1.05</x:v>
      </x:c>
      <x:c r="T221" s="595" t="inlineStr">
        <x:is>
          <x:t xml:space="preserve">https://zq.titan007.com/analysis/3039893cn.htm</x:t>
        </x:is>
      </x:c>
      <x:c r="U221" s="641" t="str">
        <x:f>IF(Q221="","",IF(Q221="待结算","待结算",IF(Q221="红","黑",IF(Q221="半红","半黑",IF(Q221="走","走",IF(Q221="半黑","半红","红"))))))</x:f>
        <x:v>黑</x:v>
      </x:c>
      <x:c r="V221" s="599" t="n">
        <x:f>IF(OR(Q221="",Q221="待结算"),"",IF(L221=LEFT(F221,FIND(" vs ",F221)-1),I221,G221))</x:f>
        <x:v>0.83</x:v>
      </x:c>
      <x:c r="W221" s="599" t="n">
        <x:f>IF(OR(U221="",U221="待结算"),"",IF(U221="红",V221,IF(U221="半红",V221*0.5,IF(U221="走",0,IF(U221="半黑",-0.5,-1)))))</x:f>
        <x:v>-1</x:v>
      </x:c>
      <x:c r="X221" s="595" t="inlineStr">
        <x:is>
          <x:t xml:space="preserve">3039893</x:t>
        </x:is>
      </x:c>
      <x:c r="Y221" s="595" t="inlineStr">
        <x:is>
          <x:t xml:space="preserve">v4-market-dirichlet-20260913</x:t>
        </x:is>
      </x:c>
      <x:c r="Z221" s="595" t="inlineStr">
        <x:is>
          <x:t xml:space="preserve">prior-2026-09-19-v1</x:t>
        </x:is>
      </x:c>
      <x:c r="AA221" s="595" t="inlineStr">
        <x:is>
          <x:t xml:space="preserve">C</x:t>
        </x:is>
      </x:c>
      <x:c r="AB221" s="600" t="n">
        <x:v>0.4416666666666667</x:v>
      </x:c>
      <x:c r="AC221" s="600" t="n">
        <x:v>0</x:v>
      </x:c>
      <x:c r="AD221" s="600" t="n">
        <x:v>0</x:v>
      </x:c>
      <x:c r="AE221" s="600" t="n">
        <x:v>0.2583333333333334</x:v>
      </x:c>
      <x:c r="AF221" s="600" t="n">
        <x:v>0.3</x:v>
      </x:c>
      <x:c r="AG221" s="600" t="n">
        <x:v>0.03458333333333335</x:v>
      </x:c>
      <x:c r="AH221" s="600" t="n">
        <x:v>-0.1033504547376919</x:v>
      </x:c>
      <x:c r="AI221" s="600" t="n">
        <x:v>-0.07240989431028477</x:v>
      </x:c>
      <x:c r="AJ221" s="600" t="n">
        <x:v>0.0365297196408616</x:v>
      </x:c>
      <x:c r="AK221" s="600" t="n">
        <x:v>0.1409670437678882</x:v>
      </x:c>
      <x:c r="AL221" s="600" t="n">
        <x:v>0.1715783475666413</x:v>
      </x:c>
      <x:c r="AM221" s="600" t="n">
        <x:v>0.6696</x:v>
      </x:c>
      <x:c r="AN221" s="595" t="inlineStr">
        <x:is>
          <x:t xml:space="preserve">EVALUATED</x:t>
        </x:is>
      </x:c>
      <x:c r="AO221" s="600" t="inlineStr">
        <x:is>
          <x:t xml:space="preserve">BUCKET_0.75、SIDE_IDENTITY_VALID、FLAT_LINE_GIVING_WATER_RISE</x:t>
        </x:is>
      </x:c>
      <x:c r="AP221" s="600" t="inlineStr">
        <x:is>
          <x:t xml:space="preserve">68266995caa16e1533e4</x:t>
        </x:is>
      </x:c>
      <x:c r="AQ221" s="600" t="n">
        <x:v>0.75</x:v>
      </x:c>
      <x:c r="AR221" s="600" t="n">
        <x:v>1.05</x:v>
      </x:c>
      <x:c r="AS221" s="600" t="n">
        <x:v>0.75</x:v>
      </x:c>
      <x:c r="AT221" s="600" t="n">
        <x:v>-0.75</x:v>
      </x:c>
      <x:c r="AU221" s="600" t="n">
        <x:v>1.05</x:v>
      </x:c>
      <x:c r="AV221" s="600" t="n">
        <x:v>0.83</x:v>
      </x:c>
      <x:c r="AW221" s="595" t="n">
        <x:v>46284.25887726852</x:v>
      </x:c>
      <x:c r="AX221" s="595" t="inlineStr">
        <x:is>
          <x:t xml:space="preserve">https://simondongxiao.github.io/odds/v4/</x:t>
        </x:is>
      </x:c>
      <x:c r="AY221" s="595" t="inlineStr">
        <x:is>
          <x:t xml:space="preserve">V4 Shadow Only；real_money=false；比分差异详见记录审计</x:t>
        </x:is>
      </x:c>
    </x:row>
    <x:row r="222" ht="22" customHeight="1">
      <x:c r="A222" s="595" t="inlineStr">
        <x:is>
          <x:t xml:space="preserve">2026-09-19</x:t>
        </x:is>
      </x:c>
      <x:c r="B222" s="595" t="inlineStr">
        <x:is>
          <x:t xml:space="preserve">2026-09-19 21:30</x:t>
        </x:is>
      </x:c>
      <x:c r="C222" s="595" t="str">
        <x:v>欧洲非五大系列</x:v>
      </x:c>
      <x:c r="D222" s="595" t="inlineStr">
        <x:is>
          <x:t xml:space="preserve">联赛</x:t>
        </x:is>
      </x:c>
      <x:c r="E222" s="595" t="inlineStr">
        <x:is>
          <x:t xml:space="preserve">奥乙</x:t>
        </x:is>
      </x:c>
      <x:c r="F222" s="595" t="inlineStr">
        <x:is>
          <x:t xml:space="preserve">禾斯贝治 vs 奥地利萨尔斯堡</x:t>
        </x:is>
      </x:c>
      <x:c r="G222" s="596" t="n">
        <x:v>0.86</x:v>
      </x:c>
      <x:c r="H222" s="596" t="n">
        <x:v>0.25</x:v>
      </x:c>
      <x:c r="I222" s="596" t="n">
        <x:v>1.02</x:v>
      </x:c>
      <x:c r="J222" s="596" t="inlineStr">
        <x:is>
          <x:t xml:space="preserve">0.86/0.25/1.02</x:t>
        </x:is>
      </x:c>
      <x:c r="K222" s="595" t="inlineStr">
        <x:is>
          <x:t xml:space="preserve">V4-C｜EV +0.0102</x:t>
        </x:is>
      </x:c>
      <x:c r="L222" s="595" t="inlineStr">
        <x:is>
          <x:t xml:space="preserve">奥地利萨尔斯堡</x:t>
        </x:is>
      </x:c>
      <x:c r="M222" s="597" t="n">
        <x:v>0.5010224948875256</x:v>
      </x:c>
      <x:c r="N222" s="595" t="inlineStr">
        <x:is>
          <x:t xml:space="preserve">V4纸面入选-C</x:t>
        </x:is>
      </x:c>
      <x:c r="O222" s="595" t="inlineStr">
        <x:is>
          <x:t xml:space="preserve">2-1</x:t>
        </x:is>
      </x:c>
      <x:c r="P222" s="595" t="inlineStr">
        <x:is>
          <x:t xml:space="preserve">已结算</x:t>
        </x:is>
      </x:c>
      <x:c r="Q222" s="641" t="inlineStr">
        <x:is>
          <x:t xml:space="preserve">黑</x:t>
        </x:is>
      </x:c>
      <x:c r="R222" s="599" t="n">
        <x:v>1.02</x:v>
      </x:c>
      <x:c r="S222" s="599" t="n">
        <x:f>IF(OR(Q222="",Q222="待结算"),"",IF(Q222="红",R222,IF(Q222="半红",R222*0.5,IF(Q222="走",0,IF(Q222="半黑",-0.5,-1)))))</x:f>
        <x:v>-1</x:v>
      </x:c>
      <x:c r="T222" s="595" t="inlineStr">
        <x:is>
          <x:t xml:space="preserve">https://zq.titan007.com/analysis/3017905cn.htm</x:t>
        </x:is>
      </x:c>
      <x:c r="U222" s="640" t="str">
        <x:f>IF(Q222="","",IF(Q222="待结算","待结算",IF(Q222="红","黑",IF(Q222="半红","半黑",IF(Q222="走","走",IF(Q222="半黑","半红","红"))))))</x:f>
        <x:v>红</x:v>
      </x:c>
      <x:c r="V222" s="599" t="n">
        <x:f>IF(OR(Q222="",Q222="待结算"),"",IF(L222=LEFT(F222,FIND(" vs ",F222)-1),I222,G222))</x:f>
        <x:v>0.86</x:v>
      </x:c>
      <x:c r="W222" s="599" t="n">
        <x:f>IF(OR(U222="",U222="待结算"),"",IF(U222="红",V222,IF(U222="半红",V222*0.5,IF(U222="走",0,IF(U222="半黑",-0.5,-1)))))</x:f>
        <x:v>0.86</x:v>
      </x:c>
      <x:c r="X222" s="595" t="inlineStr">
        <x:is>
          <x:t xml:space="preserve">3017905</x:t>
        </x:is>
      </x:c>
      <x:c r="Y222" s="595" t="inlineStr">
        <x:is>
          <x:t xml:space="preserve">v4-market-dirichlet-20260913</x:t>
        </x:is>
      </x:c>
      <x:c r="Z222" s="595" t="inlineStr">
        <x:is>
          <x:t xml:space="preserve">prior-2026-09-19-v1</x:t>
        </x:is>
      </x:c>
      <x:c r="AA222" s="595" t="inlineStr">
        <x:is>
          <x:t xml:space="preserve">C</x:t>
        </x:is>
      </x:c>
      <x:c r="AB222" s="600" t="n">
        <x:v>0.2743055555555556</x:v>
      </x:c>
      <x:c r="AC222" s="600" t="n">
        <x:v>0.3020833333333333</x:v>
      </x:c>
      <x:c r="AD222" s="600" t="n">
        <x:v>0</x:v>
      </x:c>
      <x:c r="AE222" s="600" t="n">
        <x:v>0</x:v>
      </x:c>
      <x:c r="AF222" s="600" t="n">
        <x:v>0.4236111111111111</x:v>
      </x:c>
      <x:c r="AG222" s="600" t="n">
        <x:v>0.0102430555555556</x:v>
      </x:c>
      <x:c r="AH222" s="600" t="n">
        <x:v>-0.07391319602255098</x:v>
      </x:c>
      <x:c r="AI222" s="600" t="n">
        <x:v>-0.0550159205426437</x:v>
      </x:c>
      <x:c r="AJ222" s="600" t="n">
        <x:v>0.01013865621567694</x:v>
      </x:c>
      <x:c r="AK222" s="600" t="n">
        <x:v>0.07845761801812134</x:v>
      </x:c>
      <x:c r="AL222" s="600" t="n">
        <x:v>0.09734063638248575</x:v>
      </x:c>
      <x:c r="AM222" s="600" t="n">
        <x:v>0.5806</x:v>
      </x:c>
      <x:c r="AN222" s="595" t="inlineStr">
        <x:is>
          <x:t xml:space="preserve">EVALUATED</x:t>
        </x:is>
      </x:c>
      <x:c r="AO222" s="600" t="inlineStr">
        <x:is>
          <x:t xml:space="preserve">BUCKET_0.25、SIDE_IDENTITY_VALID、FLAT_LINE_GIVING_WATER_RISE</x:t>
        </x:is>
      </x:c>
      <x:c r="AP222" s="600" t="inlineStr">
        <x:is>
          <x:t xml:space="preserve">e34f179bbe6262e15b52</x:t>
        </x:is>
      </x:c>
      <x:c r="AQ222" s="600" t="n">
        <x:v>0.25</x:v>
      </x:c>
      <x:c r="AR222" s="600" t="n">
        <x:v>1.02</x:v>
      </x:c>
      <x:c r="AS222" s="600" t="n">
        <x:v>-0.25</x:v>
      </x:c>
      <x:c r="AT222" s="600" t="n">
        <x:v>0.25</x:v>
      </x:c>
      <x:c r="AU222" s="600" t="n">
        <x:v>0.86</x:v>
      </x:c>
      <x:c r="AV222" s="600" t="n">
        <x:v>1.02</x:v>
      </x:c>
      <x:c r="AW222" s="595" t="n">
        <x:v>46284.25887726852</x:v>
      </x:c>
      <x:c r="AX222" s="595" t="inlineStr">
        <x:is>
          <x:t xml:space="preserve">https://simondongxiao.github.io/odds/v4/</x:t>
        </x:is>
      </x:c>
      <x:c r="AY222" s="595" t="inlineStr">
        <x:is>
          <x:t xml:space="preserve">V4 Shadow Only；real_money=false；比分差异详见记录审计</x:t>
        </x:is>
      </x:c>
    </x:row>
    <x:row r="223" ht="22" customHeight="1">
      <x:c r="A223" s="595" t="inlineStr">
        <x:is>
          <x:t xml:space="preserve">2026-09-19</x:t>
        </x:is>
      </x:c>
      <x:c r="B223" s="595" t="inlineStr">
        <x:is>
          <x:t xml:space="preserve">2026-09-19 22:00</x:t>
        </x:is>
      </x:c>
      <x:c r="C223" s="595" t="str">
        <x:v>五大联赛非顶级联赛</x:v>
      </x:c>
      <x:c r="D223" s="595" t="inlineStr">
        <x:is>
          <x:t xml:space="preserve">联赛</x:t>
        </x:is>
      </x:c>
      <x:c r="E223" s="595" t="inlineStr">
        <x:is>
          <x:t xml:space="preserve">英冠</x:t>
        </x:is>
      </x:c>
      <x:c r="F223" s="595" t="inlineStr">
        <x:is>
          <x:t xml:space="preserve">伯恩利 vs 德比郡</x:t>
        </x:is>
      </x:c>
      <x:c r="G223" s="596" t="n">
        <x:v>0.85</x:v>
      </x:c>
      <x:c r="H223" s="596" t="n">
        <x:v>0.5</x:v>
      </x:c>
      <x:c r="I223" s="596" t="n">
        <x:v>1.03</x:v>
      </x:c>
      <x:c r="J223" s="596" t="inlineStr">
        <x:is>
          <x:t xml:space="preserve">0.85/0.5/1.03</x:t>
        </x:is>
      </x:c>
      <x:c r="K223" s="595" t="inlineStr">
        <x:is>
          <x:t xml:space="preserve">V4-C｜EV +0.0208</x:t>
        </x:is>
      </x:c>
      <x:c r="L223" s="595" t="inlineStr">
        <x:is>
          <x:t xml:space="preserve">德比郡</x:t>
        </x:is>
      </x:c>
      <x:c r="M223" s="597" t="n">
        <x:v>0.5028571428571429</x:v>
      </x:c>
      <x:c r="N223" s="595" t="inlineStr">
        <x:is>
          <x:t xml:space="preserve">V4纸面入选-C</x:t>
        </x:is>
      </x:c>
      <x:c r="O223" s="595" t="inlineStr">
        <x:is>
          <x:t xml:space="preserve">1-1</x:t>
        </x:is>
      </x:c>
      <x:c r="P223" s="595" t="inlineStr">
        <x:is>
          <x:t xml:space="preserve">已结算</x:t>
        </x:is>
      </x:c>
      <x:c r="Q223" s="640" t="inlineStr">
        <x:is>
          <x:t xml:space="preserve">红</x:t>
        </x:is>
      </x:c>
      <x:c r="R223" s="599" t="n">
        <x:v>1.03</x:v>
      </x:c>
      <x:c r="S223" s="599" t="n">
        <x:f>IF(OR(Q223="",Q223="待结算"),"",IF(Q223="红",R223,IF(Q223="半红",R223*0.5,IF(Q223="走",0,IF(Q223="半黑",-0.5,-1)))))</x:f>
        <x:v>1.03</x:v>
      </x:c>
      <x:c r="T223" s="595" t="inlineStr">
        <x:is>
          <x:t xml:space="preserve">https://zq.titan007.com/analysis/3008238cn.htm</x:t>
        </x:is>
      </x:c>
      <x:c r="U223" s="641" t="str">
        <x:f>IF(Q223="","",IF(Q223="待结算","待结算",IF(Q223="红","黑",IF(Q223="半红","半黑",IF(Q223="走","走",IF(Q223="半黑","半红","红"))))))</x:f>
        <x:v>黑</x:v>
      </x:c>
      <x:c r="V223" s="599" t="n">
        <x:f>IF(OR(Q223="",Q223="待结算"),"",IF(L223=LEFT(F223,FIND(" vs ",F223)-1),I223,G223))</x:f>
        <x:v>0.85</x:v>
      </x:c>
      <x:c r="W223" s="599" t="n">
        <x:f>IF(OR(U223="",U223="待结算"),"",IF(U223="红",V223,IF(U223="半红",V223*0.5,IF(U223="走",0,IF(U223="半黑",-0.5,-1)))))</x:f>
        <x:v>-1</x:v>
      </x:c>
      <x:c r="X223" s="595" t="inlineStr">
        <x:is>
          <x:t xml:space="preserve">3008238</x:t>
        </x:is>
      </x:c>
      <x:c r="Y223" s="595" t="inlineStr">
        <x:is>
          <x:t xml:space="preserve">v4-market-dirichlet-20260913</x:t>
        </x:is>
      </x:c>
      <x:c r="Z223" s="595" t="inlineStr">
        <x:is>
          <x:t xml:space="preserve">prior-2026-09-19-v1</x:t>
        </x:is>
      </x:c>
      <x:c r="AA223" s="595" t="inlineStr">
        <x:is>
          <x:t xml:space="preserve">C</x:t>
        </x:is>
      </x:c>
      <x:c r="AB223" s="600" t="n">
        <x:v>0.5028571428571429</x:v>
      </x:c>
      <x:c r="AC223" s="600" t="n">
        <x:v>0</x:v>
      </x:c>
      <x:c r="AD223" s="600" t="n">
        <x:v>0</x:v>
      </x:c>
      <x:c r="AE223" s="600" t="n">
        <x:v>0</x:v>
      </x:c>
      <x:c r="AF223" s="600" t="n">
        <x:v>0.4971428571428572</x:v>
      </x:c>
      <x:c r="AG223" s="600" t="n">
        <x:v>0.02079999999999999</x:v>
      </x:c>
      <x:c r="AH223" s="600" t="n">
        <x:v>-0.1020526672769195</x:v>
      </x:c>
      <x:c r="AI223" s="600" t="n">
        <x:v>-0.07467036794711718</x:v>
      </x:c>
      <x:c r="AJ223" s="600" t="n">
        <x:v>0.02142324356835673</x:v>
      </x:c>
      <x:c r="AK223" s="600" t="n">
        <x:v>0.1153105198413399</x:v>
      </x:c>
      <x:c r="AL223" s="600" t="n">
        <x:v>0.1444526988815619</x:v>
      </x:c>
      <x:c r="AM223" s="600" t="n">
        <x:v>0.6096</x:v>
      </x:c>
      <x:c r="AN223" s="595" t="inlineStr">
        <x:is>
          <x:t xml:space="preserve">EVALUATED</x:t>
        </x:is>
      </x:c>
      <x:c r="AO223" s="600" t="inlineStr">
        <x:is>
          <x:t xml:space="preserve">BUCKET_0.50、SIDE_IDENTITY_VALID、FLAT_LINE_GIVING_WATER_RISE</x:t>
        </x:is>
      </x:c>
      <x:c r="AP223" s="600" t="inlineStr">
        <x:is>
          <x:t xml:space="preserve">6c29f72e74d6d94169f7</x:t>
        </x:is>
      </x:c>
      <x:c r="AQ223" s="600" t="n">
        <x:v>0.5</x:v>
      </x:c>
      <x:c r="AR223" s="600" t="n">
        <x:v>1.03</x:v>
      </x:c>
      <x:c r="AS223" s="600" t="n">
        <x:v>-0.5</x:v>
      </x:c>
      <x:c r="AT223" s="600" t="n">
        <x:v>0.5</x:v>
      </x:c>
      <x:c r="AU223" s="600" t="n">
        <x:v>0.85</x:v>
      </x:c>
      <x:c r="AV223" s="600" t="n">
        <x:v>1.03</x:v>
      </x:c>
      <x:c r="AW223" s="595" t="n">
        <x:v>46284.25887726852</x:v>
      </x:c>
      <x:c r="AX223" s="595" t="inlineStr">
        <x:is>
          <x:t xml:space="preserve">https://simondongxiao.github.io/odds/v4/</x:t>
        </x:is>
      </x:c>
      <x:c r="AY223" s="595" t="inlineStr">
        <x:is>
          <x:t xml:space="preserve">V4 Shadow Only；real_money=false；比分差异详见记录审计</x:t>
        </x:is>
      </x:c>
    </x:row>
    <x:row r="224" ht="22" customHeight="1">
      <x:c r="A224" s="595" t="inlineStr">
        <x:is>
          <x:t xml:space="preserve">2026-09-19</x:t>
        </x:is>
      </x:c>
      <x:c r="B224" s="595" t="inlineStr">
        <x:is>
          <x:t xml:space="preserve">2026-09-19 22:00</x:t>
        </x:is>
      </x:c>
      <x:c r="C224" s="595" t="str">
        <x:v>五大联赛非顶级联赛</x:v>
      </x:c>
      <x:c r="D224" s="595" t="inlineStr">
        <x:is>
          <x:t xml:space="preserve">联赛</x:t>
        </x:is>
      </x:c>
      <x:c r="E224" s="595" t="inlineStr">
        <x:is>
          <x:t xml:space="preserve">英冠</x:t>
        </x:is>
      </x:c>
      <x:c r="F224" s="595" t="inlineStr">
        <x:is>
          <x:t xml:space="preserve">朴茨茅斯 vs 布莱克本</x:t>
        </x:is>
      </x:c>
      <x:c r="G224" s="596" t="n">
        <x:v>0.85</x:v>
      </x:c>
      <x:c r="H224" s="596" t="n">
        <x:v>0.25</x:v>
      </x:c>
      <x:c r="I224" s="596" t="n">
        <x:v>1.03</x:v>
      </x:c>
      <x:c r="J224" s="596" t="inlineStr">
        <x:is>
          <x:t xml:space="preserve">0.85/0.25/1.03</x:t>
        </x:is>
      </x:c>
      <x:c r="K224" s="595" t="inlineStr">
        <x:is>
          <x:t xml:space="preserve">V4-C｜EV +0.0145</x:t>
        </x:is>
      </x:c>
      <x:c r="L224" s="595" t="inlineStr">
        <x:is>
          <x:t xml:space="preserve">布莱克本</x:t>
        </x:is>
      </x:c>
      <x:c r="M224" s="597" t="n">
        <x:v>0.5010224948875256</x:v>
      </x:c>
      <x:c r="N224" s="595" t="inlineStr">
        <x:is>
          <x:t xml:space="preserve">V4纸面入选-C</x:t>
        </x:is>
      </x:c>
      <x:c r="O224" s="595" t="inlineStr">
        <x:is>
          <x:t xml:space="preserve">2-2</x:t>
        </x:is>
      </x:c>
      <x:c r="P224" s="595" t="inlineStr">
        <x:is>
          <x:t xml:space="preserve">已结算</x:t>
        </x:is>
      </x:c>
      <x:c r="Q224" s="642" t="inlineStr">
        <x:is>
          <x:t xml:space="preserve">半红</x:t>
        </x:is>
      </x:c>
      <x:c r="R224" s="599" t="n">
        <x:v>1.03</x:v>
      </x:c>
      <x:c r="S224" s="599" t="n">
        <x:f>IF(OR(Q224="",Q224="待结算"),"",IF(Q224="红",R224,IF(Q224="半红",R224*0.5,IF(Q224="走",0,IF(Q224="半黑",-0.5,-1)))))</x:f>
        <x:v>0.515</x:v>
      </x:c>
      <x:c r="T224" s="595" t="inlineStr">
        <x:is>
          <x:t xml:space="preserve">https://zq.titan007.com/analysis/3008241cn.htm</x:t>
        </x:is>
      </x:c>
      <x:c r="U224" s="643" t="str">
        <x:f>IF(Q224="","",IF(Q224="待结算","待结算",IF(Q224="红","黑",IF(Q224="半红","半黑",IF(Q224="走","走",IF(Q224="半黑","半红","红"))))))</x:f>
        <x:v>半黑</x:v>
      </x:c>
      <x:c r="V224" s="599" t="n">
        <x:f>IF(OR(Q224="",Q224="待结算"),"",IF(L224=LEFT(F224,FIND(" vs ",F224)-1),I224,G224))</x:f>
        <x:v>0.85</x:v>
      </x:c>
      <x:c r="W224" s="599" t="n">
        <x:f>IF(OR(U224="",U224="待结算"),"",IF(U224="红",V224,IF(U224="半红",V224*0.5,IF(U224="走",0,IF(U224="半黑",-0.5,-1)))))</x:f>
        <x:v>-0.5</x:v>
      </x:c>
      <x:c r="X224" s="595" t="inlineStr">
        <x:is>
          <x:t xml:space="preserve">3008241</x:t>
        </x:is>
      </x:c>
      <x:c r="Y224" s="595" t="inlineStr">
        <x:is>
          <x:t xml:space="preserve">v4-market-dirichlet-20260913</x:t>
        </x:is>
      </x:c>
      <x:c r="Z224" s="595" t="inlineStr">
        <x:is>
          <x:t xml:space="preserve">prior-2026-09-19-v1</x:t>
        </x:is>
      </x:c>
      <x:c r="AA224" s="595" t="inlineStr">
        <x:is>
          <x:t xml:space="preserve">C</x:t>
        </x:is>
      </x:c>
      <x:c r="AB224" s="600" t="n">
        <x:v>0.2743055555555556</x:v>
      </x:c>
      <x:c r="AC224" s="600" t="n">
        <x:v>0.3020833333333333</x:v>
      </x:c>
      <x:c r="AD224" s="600" t="n">
        <x:v>0</x:v>
      </x:c>
      <x:c r="AE224" s="600" t="n">
        <x:v>0</x:v>
      </x:c>
      <x:c r="AF224" s="600" t="n">
        <x:v>0.4236111111111111</x:v>
      </x:c>
      <x:c r="AG224" s="600" t="n">
        <x:v>0.01449652777777782</x:v>
      </x:c>
      <x:c r="AH224" s="600" t="n">
        <x:v>-0.07323282164849909</x:v>
      </x:c>
      <x:c r="AI224" s="600" t="n">
        <x:v>-0.05281726451950786</x:v>
      </x:c>
      <x:c r="AJ224" s="600" t="n">
        <x:v>0.01537469510892359</x:v>
      </x:c>
      <x:c r="AK224" s="600" t="n">
        <x:v>0.08125741263149483</x:v>
      </x:c>
      <x:c r="AL224" s="600" t="n">
        <x:v>0.0995619659767627</x:v>
      </x:c>
      <x:c r="AM224" s="600" t="n">
        <x:v>0.6156</x:v>
      </x:c>
      <x:c r="AN224" s="595" t="inlineStr">
        <x:is>
          <x:t xml:space="preserve">EVALUATED</x:t>
        </x:is>
      </x:c>
      <x:c r="AO224" s="600" t="inlineStr">
        <x:is>
          <x:t xml:space="preserve">BUCKET_0.25、SIDE_IDENTITY_VALID、FLAT_LINE_GIVING_WATER_RISE</x:t>
        </x:is>
      </x:c>
      <x:c r="AP224" s="600" t="inlineStr">
        <x:is>
          <x:t xml:space="preserve">632816a811fda0de2436</x:t>
        </x:is>
      </x:c>
      <x:c r="AQ224" s="600" t="n">
        <x:v>0.25</x:v>
      </x:c>
      <x:c r="AR224" s="600" t="n">
        <x:v>1.03</x:v>
      </x:c>
      <x:c r="AS224" s="600" t="n">
        <x:v>-0.25</x:v>
      </x:c>
      <x:c r="AT224" s="600" t="n">
        <x:v>0.25</x:v>
      </x:c>
      <x:c r="AU224" s="600" t="n">
        <x:v>0.85</x:v>
      </x:c>
      <x:c r="AV224" s="600" t="n">
        <x:v>1.03</x:v>
      </x:c>
      <x:c r="AW224" s="595" t="n">
        <x:v>46284.25887726852</x:v>
      </x:c>
      <x:c r="AX224" s="595" t="inlineStr">
        <x:is>
          <x:t xml:space="preserve">https://simondongxiao.github.io/odds/v4/</x:t>
        </x:is>
      </x:c>
      <x:c r="AY224" s="595" t="inlineStr">
        <x:is>
          <x:t xml:space="preserve">V4 Shadow Only；real_money=false；比分差异详见记录审计</x:t>
        </x:is>
      </x:c>
    </x:row>
    <x:row r="225" ht="22" customHeight="1">
      <x:c r="A225" s="595" t="inlineStr">
        <x:is>
          <x:t xml:space="preserve">2026-09-19</x:t>
        </x:is>
      </x:c>
      <x:c r="B225" s="595" t="inlineStr">
        <x:is>
          <x:t xml:space="preserve">2026-09-19 22:00</x:t>
        </x:is>
      </x:c>
      <x:c r="C225" s="595" t="str">
        <x:v>五大联赛非顶级联赛</x:v>
      </x:c>
      <x:c r="D225" s="595" t="inlineStr">
        <x:is>
          <x:t xml:space="preserve">联赛</x:t>
        </x:is>
      </x:c>
      <x:c r="E225" s="595" t="inlineStr">
        <x:is>
          <x:t xml:space="preserve">英冠</x:t>
        </x:is>
      </x:c>
      <x:c r="F225" s="595" t="inlineStr">
        <x:is>
          <x:t xml:space="preserve">林肯城 vs 斯旺西</x:t>
        </x:is>
      </x:c>
      <x:c r="G225" s="596" t="n">
        <x:v>0.8</x:v>
      </x:c>
      <x:c r="H225" s="596" t="n">
        <x:v>-0.25</x:v>
      </x:c>
      <x:c r="I225" s="596" t="n">
        <x:v>1.08</x:v>
      </x:c>
      <x:c r="J225" s="596" t="inlineStr">
        <x:is>
          <x:t xml:space="preserve">0.80/-0.25/1.08</x:t>
        </x:is>
      </x:c>
      <x:c r="K225" s="595" t="inlineStr">
        <x:is>
          <x:t xml:space="preserve">V4-C｜EV +0.0322</x:t>
        </x:is>
      </x:c>
      <x:c r="L225" s="595" t="inlineStr">
        <x:is>
          <x:t xml:space="preserve">斯旺西</x:t>
        </x:is>
      </x:c>
      <x:c r="M225" s="597" t="n">
        <x:v>0.4989775051124744</x:v>
      </x:c>
      <x:c r="N225" s="595" t="inlineStr">
        <x:is>
          <x:t xml:space="preserve">V4纸面入选-C</x:t>
        </x:is>
      </x:c>
      <x:c r="O225" s="595" t="inlineStr">
        <x:is>
          <x:t xml:space="preserve">1-2</x:t>
        </x:is>
      </x:c>
      <x:c r="P225" s="595" t="inlineStr">
        <x:is>
          <x:t xml:space="preserve">已结算</x:t>
        </x:is>
      </x:c>
      <x:c r="Q225" s="640" t="inlineStr">
        <x:is>
          <x:t xml:space="preserve">红</x:t>
        </x:is>
      </x:c>
      <x:c r="R225" s="599" t="n">
        <x:v>1.08</x:v>
      </x:c>
      <x:c r="S225" s="599" t="n">
        <x:f>IF(OR(Q225="",Q225="待结算"),"",IF(Q225="红",R225,IF(Q225="半红",R225*0.5,IF(Q225="走",0,IF(Q225="半黑",-0.5,-1)))))</x:f>
        <x:v>1.08</x:v>
      </x:c>
      <x:c r="T225" s="595" t="inlineStr">
        <x:is>
          <x:t xml:space="preserve">https://zq.titan007.com/analysis/3008246cn.htm</x:t>
        </x:is>
      </x:c>
      <x:c r="U225" s="641" t="str">
        <x:f>IF(Q225="","",IF(Q225="待结算","待结算",IF(Q225="红","黑",IF(Q225="半红","半黑",IF(Q225="走","走",IF(Q225="半黑","半红","红"))))))</x:f>
        <x:v>黑</x:v>
      </x:c>
      <x:c r="V225" s="599" t="n">
        <x:f>IF(OR(Q225="",Q225="待结算"),"",IF(L225=LEFT(F225,FIND(" vs ",F225)-1),I225,G225))</x:f>
        <x:v>0.8</x:v>
      </x:c>
      <x:c r="W225" s="599" t="n">
        <x:f>IF(OR(U225="",U225="待结算"),"",IF(U225="红",V225,IF(U225="半红",V225*0.5,IF(U225="走",0,IF(U225="半黑",-0.5,-1)))))</x:f>
        <x:v>-1</x:v>
      </x:c>
      <x:c r="X225" s="595" t="inlineStr">
        <x:is>
          <x:t xml:space="preserve">3008246</x:t>
        </x:is>
      </x:c>
      <x:c r="Y225" s="595" t="inlineStr">
        <x:is>
          <x:t xml:space="preserve">v4-market-dirichlet-20260913</x:t>
        </x:is>
      </x:c>
      <x:c r="Z225" s="595" t="inlineStr">
        <x:is>
          <x:t xml:space="preserve">prior-2026-09-19-v1</x:t>
        </x:is>
      </x:c>
      <x:c r="AA225" s="595" t="inlineStr">
        <x:is>
          <x:t xml:space="preserve">C</x:t>
        </x:is>
      </x:c>
      <x:c r="AB225" s="600" t="n">
        <x:v>0.4236111111111111</x:v>
      </x:c>
      <x:c r="AC225" s="600" t="n">
        <x:v>0</x:v>
      </x:c>
      <x:c r="AD225" s="600" t="n">
        <x:v>0</x:v>
      </x:c>
      <x:c r="AE225" s="600" t="n">
        <x:v>0.3020833333333333</x:v>
      </x:c>
      <x:c r="AF225" s="600" t="n">
        <x:v>0.2743055555555556</x:v>
      </x:c>
      <x:c r="AG225" s="600" t="n">
        <x:v>0.03215277777777781</x:v>
      </x:c>
      <x:c r="AH225" s="600" t="n">
        <x:v>-0.05578055811816995</x:v>
      </x:c>
      <x:c r="AI225" s="600" t="n">
        <x:v>-0.03685777956307976</x:v>
      </x:c>
      <x:c r="AJ225" s="600" t="n">
        <x:v>0.03321751875433865</x:v>
      </x:c>
      <x:c r="AK225" s="600" t="n">
        <x:v>0.1030324512894686</x:v>
      </x:c>
      <x:c r="AL225" s="600" t="n">
        <x:v>0.1231891540639417</x:v>
      </x:c>
      <x:c r="AM225" s="600" t="n">
        <x:v>0.7234</x:v>
      </x:c>
      <x:c r="AN225" s="595" t="inlineStr">
        <x:is>
          <x:t xml:space="preserve">EVALUATED</x:t>
        </x:is>
      </x:c>
      <x:c r="AO225" s="600" t="inlineStr">
        <x:is>
          <x:t xml:space="preserve">BUCKET_0.25、SIDE_IDENTITY_VALID、MARKET_MOVE_DEEPER_WITH_GIVING_WATER_RISE</x:t>
        </x:is>
      </x:c>
      <x:c r="AP225" s="600" t="inlineStr">
        <x:is>
          <x:t xml:space="preserve">4a7261f8bf925b152620</x:t>
        </x:is>
      </x:c>
      <x:c r="AQ225" s="600" t="n">
        <x:v>-0.25</x:v>
      </x:c>
      <x:c r="AR225" s="600" t="n">
        <x:v>1.08</x:v>
      </x:c>
      <x:c r="AS225" s="600" t="n">
        <x:v>0.25</x:v>
      </x:c>
      <x:c r="AT225" s="600" t="n">
        <x:v>-0.25</x:v>
      </x:c>
      <x:c r="AU225" s="600" t="n">
        <x:v>0.8</x:v>
      </x:c>
      <x:c r="AV225" s="600" t="n">
        <x:v>1.08</x:v>
      </x:c>
      <x:c r="AW225" s="595" t="n">
        <x:v>46284.25887726852</x:v>
      </x:c>
      <x:c r="AX225" s="595" t="inlineStr">
        <x:is>
          <x:t xml:space="preserve">https://simondongxiao.github.io/odds/v4/</x:t>
        </x:is>
      </x:c>
      <x:c r="AY225" s="595" t="inlineStr">
        <x:is>
          <x:t xml:space="preserve">V4 Shadow Only；real_money=false；比分差异详见记录审计</x:t>
        </x:is>
      </x:c>
    </x:row>
    <x:row r="226" ht="22" customHeight="1">
      <x:c r="A226" s="595" t="inlineStr">
        <x:is>
          <x:t xml:space="preserve">2026-09-19</x:t>
        </x:is>
      </x:c>
      <x:c r="B226" s="595" t="inlineStr">
        <x:is>
          <x:t xml:space="preserve">2026-09-19 22:00</x:t>
        </x:is>
      </x:c>
      <x:c r="C226" s="595" t="str">
        <x:v>欧洲非五大系列</x:v>
      </x:c>
      <x:c r="D226" s="595" t="inlineStr">
        <x:is>
          <x:t xml:space="preserve">联赛</x:t>
        </x:is>
      </x:c>
      <x:c r="E226" s="595" t="inlineStr">
        <x:is>
          <x:t xml:space="preserve">芬超冠</x:t>
        </x:is>
      </x:c>
      <x:c r="F226" s="595" t="inlineStr">
        <x:is>
          <x:t xml:space="preserve">VPS瓦萨 vs 古比斯</x:t>
        </x:is>
      </x:c>
      <x:c r="G226" s="596" t="n">
        <x:v>1.03</x:v>
      </x:c>
      <x:c r="H226" s="596" t="n">
        <x:v>-0.25</x:v>
      </x:c>
      <x:c r="I226" s="596" t="n">
        <x:v>0.86</x:v>
      </x:c>
      <x:c r="J226" s="596" t="inlineStr">
        <x:is>
          <x:t xml:space="preserve">1.03/-0.25/0.86</x:t>
        </x:is>
      </x:c>
      <x:c r="K226" s="595" t="inlineStr">
        <x:is>
          <x:t xml:space="preserve">V4-C｜EV +0.0145</x:t>
        </x:is>
      </x:c>
      <x:c r="L226" s="595" t="inlineStr">
        <x:is>
          <x:t xml:space="preserve">VPS瓦萨</x:t>
        </x:is>
      </x:c>
      <x:c r="M226" s="597" t="n">
        <x:v>0.5010224948875256</x:v>
      </x:c>
      <x:c r="N226" s="595" t="inlineStr">
        <x:is>
          <x:t xml:space="preserve">V4纸面入选-C</x:t>
        </x:is>
      </x:c>
      <x:c r="O226" s="595" t="inlineStr">
        <x:is>
          <x:t xml:space="preserve">0-2</x:t>
        </x:is>
      </x:c>
      <x:c r="P226" s="595" t="inlineStr">
        <x:is>
          <x:t xml:space="preserve">已结算</x:t>
        </x:is>
      </x:c>
      <x:c r="Q226" s="641" t="inlineStr">
        <x:is>
          <x:t xml:space="preserve">黑</x:t>
        </x:is>
      </x:c>
      <x:c r="R226" s="599" t="n">
        <x:v>1.03</x:v>
      </x:c>
      <x:c r="S226" s="599" t="n">
        <x:f>IF(OR(Q226="",Q226="待结算"),"",IF(Q226="红",R226,IF(Q226="半红",R226*0.5,IF(Q226="走",0,IF(Q226="半黑",-0.5,-1)))))</x:f>
        <x:v>-1</x:v>
      </x:c>
      <x:c r="T226" s="595" t="inlineStr">
        <x:is>
          <x:t xml:space="preserve">https://zq.titan007.com/analysis/3085209cn.htm</x:t>
        </x:is>
      </x:c>
      <x:c r="U226" s="640" t="str">
        <x:f>IF(Q226="","",IF(Q226="待结算","待结算",IF(Q226="红","黑",IF(Q226="半红","半黑",IF(Q226="走","走",IF(Q226="半黑","半红","红"))))))</x:f>
        <x:v>红</x:v>
      </x:c>
      <x:c r="V226" s="599" t="n">
        <x:f>IF(OR(Q226="",Q226="待结算"),"",IF(L226=LEFT(F226,FIND(" vs ",F226)-1),I226,G226))</x:f>
        <x:v>0.86</x:v>
      </x:c>
      <x:c r="W226" s="599" t="n">
        <x:f>IF(OR(U226="",U226="待结算"),"",IF(U226="红",V226,IF(U226="半红",V226*0.5,IF(U226="走",0,IF(U226="半黑",-0.5,-1)))))</x:f>
        <x:v>0.86</x:v>
      </x:c>
      <x:c r="X226" s="595" t="inlineStr">
        <x:is>
          <x:t xml:space="preserve">3085209</x:t>
        </x:is>
      </x:c>
      <x:c r="Y226" s="595" t="inlineStr">
        <x:is>
          <x:t xml:space="preserve">v4-market-dirichlet-20260913</x:t>
        </x:is>
      </x:c>
      <x:c r="Z226" s="595" t="inlineStr">
        <x:is>
          <x:t xml:space="preserve">prior-2026-09-19-v1</x:t>
        </x:is>
      </x:c>
      <x:c r="AA226" s="595" t="inlineStr">
        <x:is>
          <x:t xml:space="preserve">C</x:t>
        </x:is>
      </x:c>
      <x:c r="AB226" s="600" t="n">
        <x:v>0.2743055555555556</x:v>
      </x:c>
      <x:c r="AC226" s="600" t="n">
        <x:v>0.3020833333333333</x:v>
      </x:c>
      <x:c r="AD226" s="600" t="n">
        <x:v>0</x:v>
      </x:c>
      <x:c r="AE226" s="600" t="n">
        <x:v>0</x:v>
      </x:c>
      <x:c r="AF226" s="600" t="n">
        <x:v>0.4236111111111111</x:v>
      </x:c>
      <x:c r="AG226" s="600" t="n">
        <x:v>0.01449652777777782</x:v>
      </x:c>
      <x:c r="AH226" s="600" t="n">
        <x:v>-0.07119785306398502</x:v>
      </x:c>
      <x:c r="AI226" s="600" t="n">
        <x:v>-0.05313774159235335</x:v>
      </x:c>
      <x:c r="AJ226" s="600" t="n">
        <x:v>0.01418324057720682</x:v>
      </x:c>
      <x:c r="AK226" s="600" t="n">
        <x:v>0.08171878768446389</x:v>
      </x:c>
      <x:c r="AL226" s="600" t="n">
        <x:v>0.1009141211020209</x:v>
      </x:c>
      <x:c r="AM226" s="600" t="n">
        <x:v>0.6048</x:v>
      </x:c>
      <x:c r="AN226" s="595" t="inlineStr">
        <x:is>
          <x:t xml:space="preserve">EVALUATED</x:t>
        </x:is>
      </x:c>
      <x:c r="AO226" s="600" t="inlineStr">
        <x:is>
          <x:t xml:space="preserve">BUCKET_0.25、SIDE_IDENTITY_VALID、FLAT_LINE_GIVING_WATER_DROP</x:t>
        </x:is>
      </x:c>
      <x:c r="AP226" s="600" t="inlineStr">
        <x:is>
          <x:t xml:space="preserve">a74b2268748dabad183c</x:t>
        </x:is>
      </x:c>
      <x:c r="AQ226" s="600" t="n">
        <x:v>0.25</x:v>
      </x:c>
      <x:c r="AR226" s="600" t="n">
        <x:v>1.03</x:v>
      </x:c>
      <x:c r="AS226" s="600" t="n">
        <x:v>0.25</x:v>
      </x:c>
      <x:c r="AT226" s="600" t="n">
        <x:v>-0.25</x:v>
      </x:c>
      <x:c r="AU226" s="600" t="n">
        <x:v>1.03</x:v>
      </x:c>
      <x:c r="AV226" s="600" t="n">
        <x:v>0.86</x:v>
      </x:c>
      <x:c r="AW226" s="595" t="n">
        <x:v>46284.25887726852</x:v>
      </x:c>
      <x:c r="AX226" s="595" t="inlineStr">
        <x:is>
          <x:t xml:space="preserve">https://simondongxiao.github.io/odds/v4/</x:t>
        </x:is>
      </x:c>
      <x:c r="AY226" s="595" t="inlineStr">
        <x:is>
          <x:t xml:space="preserve">V4 Shadow Only；real_money=false；比分差异详见记录审计</x:t>
        </x:is>
      </x:c>
    </x:row>
    <x:row r="227" ht="22" customHeight="1">
      <x:c r="A227" s="595" t="inlineStr">
        <x:is>
          <x:t xml:space="preserve">2026-09-19</x:t>
        </x:is>
      </x:c>
      <x:c r="B227" s="595" t="inlineStr">
        <x:is>
          <x:t xml:space="preserve">2026-09-19 22:00</x:t>
        </x:is>
      </x:c>
      <x:c r="C227" s="595" t="str">
        <x:v>欧洲非五大系列</x:v>
      </x:c>
      <x:c r="D227" s="595" t="inlineStr">
        <x:is>
          <x:t xml:space="preserve">联赛</x:t>
        </x:is>
      </x:c>
      <x:c r="E227" s="595" t="inlineStr">
        <x:is>
          <x:t xml:space="preserve">挪超</x:t>
        </x:is>
      </x:c>
      <x:c r="F227" s="595" t="inlineStr">
        <x:is>
          <x:t xml:space="preserve">克里斯蒂安松 vs 罗森博格</x:t>
        </x:is>
      </x:c>
      <x:c r="G227" s="596" t="n">
        <x:v>0.8100000000000001</x:v>
      </x:c>
      <x:c r="H227" s="596" t="n">
        <x:v>-1.25</x:v>
      </x:c>
      <x:c r="I227" s="596" t="n">
        <x:v>1.08</x:v>
      </x:c>
      <x:c r="J227" s="596" t="inlineStr">
        <x:is>
          <x:t xml:space="preserve">0.81/-1.25/1.08</x:t>
        </x:is>
      </x:c>
      <x:c r="K227" s="595" t="inlineStr">
        <x:is>
          <x:t xml:space="preserve">V4-C｜EV +0.0442</x:t>
        </x:is>
      </x:c>
      <x:c r="L227" s="595" t="inlineStr">
        <x:is>
          <x:t xml:space="preserve">罗森博格</x:t>
        </x:is>
      </x:c>
      <x:c r="M227" s="597" t="n">
        <x:v>0.5054945054945055</x:v>
      </x:c>
      <x:c r="N227" s="595" t="inlineStr">
        <x:is>
          <x:t xml:space="preserve">V4纸面入选-C</x:t>
        </x:is>
      </x:c>
      <x:c r="O227" s="595" t="inlineStr">
        <x:is>
          <x:t xml:space="preserve">1-3</x:t>
        </x:is>
      </x:c>
      <x:c r="P227" s="595" t="inlineStr">
        <x:is>
          <x:t xml:space="preserve">已结算</x:t>
        </x:is>
      </x:c>
      <x:c r="Q227" s="640" t="inlineStr">
        <x:is>
          <x:t xml:space="preserve">红</x:t>
        </x:is>
      </x:c>
      <x:c r="R227" s="599" t="n">
        <x:v>1.08</x:v>
      </x:c>
      <x:c r="S227" s="599" t="n">
        <x:f>IF(OR(Q227="",Q227="待结算"),"",IF(Q227="红",R227,IF(Q227="半红",R227*0.5,IF(Q227="走",0,IF(Q227="半黑",-0.5,-1)))))</x:f>
        <x:v>1.08</x:v>
      </x:c>
      <x:c r="T227" s="595" t="inlineStr">
        <x:is>
          <x:t xml:space="preserve">https://zq.titan007.com/analysis/2912899cn.htm</x:t>
        </x:is>
      </x:c>
      <x:c r="U227" s="641" t="str">
        <x:f>IF(Q227="","",IF(Q227="待结算","待结算",IF(Q227="红","黑",IF(Q227="半红","半黑",IF(Q227="走","走",IF(Q227="半黑","半红","红"))))))</x:f>
        <x:v>黑</x:v>
      </x:c>
      <x:c r="V227" s="599" t="n">
        <x:f>IF(OR(Q227="",Q227="待结算"),"",IF(L227=LEFT(F227,FIND(" vs ",F227)-1),I227,G227))</x:f>
        <x:v>0.81</x:v>
      </x:c>
      <x:c r="W227" s="599" t="n">
        <x:f>IF(OR(U227="",U227="待结算"),"",IF(U227="红",V227,IF(U227="半红",V227*0.5,IF(U227="走",0,IF(U227="半黑",-0.5,-1)))))</x:f>
        <x:v>-1</x:v>
      </x:c>
      <x:c r="X227" s="595" t="inlineStr">
        <x:is>
          <x:t xml:space="preserve">2912899</x:t>
        </x:is>
      </x:c>
      <x:c r="Y227" s="595" t="inlineStr">
        <x:is>
          <x:t xml:space="preserve">v4-market-dirichlet-20260913</x:t>
        </x:is>
      </x:c>
      <x:c r="Z227" s="595" t="inlineStr">
        <x:is>
          <x:t xml:space="preserve">prior-2026-09-19-v1</x:t>
        </x:is>
      </x:c>
      <x:c r="AA227" s="595" t="inlineStr">
        <x:is>
          <x:t xml:space="preserve">C</x:t>
        </x:is>
      </x:c>
      <x:c r="AB227" s="600" t="n">
        <x:v>0.4339622641509434</x:v>
      </x:c>
      <x:c r="AC227" s="600" t="n">
        <x:v>0</x:v>
      </x:c>
      <x:c r="AD227" s="600" t="n">
        <x:v>0</x:v>
      </x:c>
      <x:c r="AE227" s="600" t="n">
        <x:v>0.2830188679245283</x:v>
      </x:c>
      <x:c r="AF227" s="600" t="n">
        <x:v>0.2830188679245283</x:v>
      </x:c>
      <x:c r="AG227" s="600" t="n">
        <x:v>0.04415094339622644</x:v>
      </x:c>
      <x:c r="AH227" s="600" t="n">
        <x:v>-0.1597818205949985</x:v>
      </x:c>
      <x:c r="AI227" s="600" t="n">
        <x:v>-0.1167178999940825</x:v>
      </x:c>
      <x:c r="AJ227" s="600" t="n">
        <x:v>0.04236490362500922</x:v>
      </x:c>
      <x:c r="AK227" s="600" t="n">
        <x:v>0.2081098672476506</x:v>
      </x:c>
      <x:c r="AL227" s="600" t="n">
        <x:v>0.2518340047046412</x:v>
      </x:c>
      <x:c r="AM227" s="600" t="n">
        <x:v>0.6366000000000001</x:v>
      </x:c>
      <x:c r="AN227" s="595" t="inlineStr">
        <x:is>
          <x:t xml:space="preserve">EVALUATED</x:t>
        </x:is>
      </x:c>
      <x:c r="AO227" s="600" t="inlineStr">
        <x:is>
          <x:t xml:space="preserve">BUCKET_1.25、SIDE_IDENTITY_VALID、MARKET_MOVE_DEEPER_WITH_GIVING_WATER_RISE</x:t>
        </x:is>
      </x:c>
      <x:c r="AP227" s="600" t="inlineStr">
        <x:is>
          <x:t xml:space="preserve">778a90c8d7fda46ad862</x:t>
        </x:is>
      </x:c>
      <x:c r="AQ227" s="600" t="n">
        <x:v>-1.25</x:v>
      </x:c>
      <x:c r="AR227" s="600" t="n">
        <x:v>1.08</x:v>
      </x:c>
      <x:c r="AS227" s="600" t="n">
        <x:v>1.25</x:v>
      </x:c>
      <x:c r="AT227" s="600" t="n">
        <x:v>-1.25</x:v>
      </x:c>
      <x:c r="AU227" s="600" t="n">
        <x:v>0.8100000000000001</x:v>
      </x:c>
      <x:c r="AV227" s="600" t="n">
        <x:v>1.08</x:v>
      </x:c>
      <x:c r="AW227" s="595" t="n">
        <x:v>46284.25887726852</x:v>
      </x:c>
      <x:c r="AX227" s="595" t="inlineStr">
        <x:is>
          <x:t xml:space="preserve">https://simondongxiao.github.io/odds/v4/</x:t>
        </x:is>
      </x:c>
      <x:c r="AY227" s="595" t="inlineStr">
        <x:is>
          <x:t xml:space="preserve">V4 Shadow Only；real_money=false；比分差异详见记录审计</x:t>
        </x:is>
      </x:c>
    </x:row>
    <x:row r="228" ht="22" customHeight="1">
      <x:c r="A228" s="595" t="inlineStr">
        <x:is>
          <x:t xml:space="preserve">2026-09-19</x:t>
        </x:is>
      </x:c>
      <x:c r="B228" s="595" t="inlineStr">
        <x:is>
          <x:t xml:space="preserve">2026-09-19 22:00</x:t>
        </x:is>
      </x:c>
      <x:c r="C228" s="595" t="str">
        <x:v>五大联赛非顶级联赛</x:v>
      </x:c>
      <x:c r="D228" s="595" t="inlineStr">
        <x:is>
          <x:t xml:space="preserve">联赛</x:t>
        </x:is>
      </x:c>
      <x:c r="E228" s="595" t="inlineStr">
        <x:is>
          <x:t xml:space="preserve">英甲</x:t>
        </x:is>
      </x:c>
      <x:c r="F228" s="595" t="inlineStr">
        <x:is>
          <x:t xml:space="preserve">布罗姆利 vs 哈德斯菲尔德</x:t>
        </x:is>
      </x:c>
      <x:c r="G228" s="596" t="n">
        <x:v>1.2</x:v>
      </x:c>
      <x:c r="H228" s="596" t="n">
        <x:v>-0.75</x:v>
      </x:c>
      <x:c r="I228" s="596" t="n">
        <x:v>0.71</x:v>
      </x:c>
      <x:c r="J228" s="596" t="inlineStr">
        <x:is>
          <x:t xml:space="preserve">1.20/-0.75/0.71</x:t>
        </x:is>
      </x:c>
      <x:c r="K228" s="595" t="inlineStr">
        <x:is>
          <x:t xml:space="preserve">V4-B｜EV +0.1008</x:t>
        </x:is>
      </x:c>
      <x:c r="L228" s="595" t="inlineStr">
        <x:is>
          <x:t xml:space="preserve">布罗姆利</x:t>
        </x:is>
      </x:c>
      <x:c r="M228" s="597" t="n">
        <x:v>0.5071770334928229</x:v>
      </x:c>
      <x:c r="N228" s="595" t="inlineStr">
        <x:is>
          <x:t xml:space="preserve">V4纸面入选-B</x:t>
        </x:is>
      </x:c>
      <x:c r="O228" s="595" t="inlineStr">
        <x:is>
          <x:t xml:space="preserve">2-1</x:t>
        </x:is>
      </x:c>
      <x:c r="P228" s="595" t="inlineStr">
        <x:is>
          <x:t xml:space="preserve">已结算</x:t>
        </x:is>
      </x:c>
      <x:c r="Q228" s="640" t="inlineStr">
        <x:is>
          <x:t xml:space="preserve">红</x:t>
        </x:is>
      </x:c>
      <x:c r="R228" s="599" t="n">
        <x:v>1.2</x:v>
      </x:c>
      <x:c r="S228" s="599" t="n">
        <x:f>IF(OR(Q228="",Q228="待结算"),"",IF(Q228="红",R228,IF(Q228="半红",R228*0.5,IF(Q228="走",0,IF(Q228="半黑",-0.5,-1)))))</x:f>
        <x:v>1.2</x:v>
      </x:c>
      <x:c r="T228" s="595" t="inlineStr">
        <x:is>
          <x:t xml:space="preserve">https://zq.titan007.com/analysis/3007106cn.htm</x:t>
        </x:is>
      </x:c>
      <x:c r="U228" s="641" t="str">
        <x:f>IF(Q228="","",IF(Q228="待结算","待结算",IF(Q228="红","黑",IF(Q228="半红","半黑",IF(Q228="走","走",IF(Q228="半黑","半红","红"))))))</x:f>
        <x:v>黑</x:v>
      </x:c>
      <x:c r="V228" s="599" t="n">
        <x:f>IF(OR(Q228="",Q228="待结算"),"",IF(L228=LEFT(F228,FIND(" vs ",F228)-1),I228,G228))</x:f>
        <x:v>0.71</x:v>
      </x:c>
      <x:c r="W228" s="599" t="n">
        <x:f>IF(OR(U228="",U228="待结算"),"",IF(U228="红",V228,IF(U228="半红",V228*0.5,IF(U228="走",0,IF(U228="半黑",-0.5,-1)))))</x:f>
        <x:v>-1</x:v>
      </x:c>
      <x:c r="X228" s="595" t="inlineStr">
        <x:is>
          <x:t xml:space="preserve">3007106</x:t>
        </x:is>
      </x:c>
      <x:c r="Y228" s="595" t="inlineStr">
        <x:is>
          <x:t xml:space="preserve">v4-market-dirichlet-20260913</x:t>
        </x:is>
      </x:c>
      <x:c r="Z228" s="595" t="inlineStr">
        <x:is>
          <x:t xml:space="preserve">prior-2026-09-19-v1</x:t>
        </x:is>
      </x:c>
      <x:c r="AA228" s="595" t="inlineStr">
        <x:is>
          <x:t xml:space="preserve">B</x:t>
        </x:is>
      </x:c>
      <x:c r="AB228" s="600" t="n">
        <x:v>0.4416666666666667</x:v>
      </x:c>
      <x:c r="AC228" s="600" t="n">
        <x:v>0</x:v>
      </x:c>
      <x:c r="AD228" s="600" t="n">
        <x:v>0</x:v>
      </x:c>
      <x:c r="AE228" s="600" t="n">
        <x:v>0.2583333333333334</x:v>
      </x:c>
      <x:c r="AF228" s="600" t="n">
        <x:v>0.3</x:v>
      </x:c>
      <x:c r="AG228" s="600" t="n">
        <x:v>0.1008333333333333</x:v>
      </x:c>
      <x:c r="AH228" s="600" t="n">
        <x:v>-0.04510232793408286</x:v>
      </x:c>
      <x:c r="AI228" s="600" t="n">
        <x:v>-0.01468938199000208</x:v>
      </x:c>
      <x:c r="AJ228" s="600" t="n">
        <x:v>0.1027779542522806</x:v>
      </x:c>
      <x:c r="AK228" s="600" t="n">
        <x:v>0.219500123941463</x:v>
      </x:c>
      <x:c r="AL228" s="600" t="n">
        <x:v>0.2525180715382307</x:v>
      </x:c>
      <x:c r="AM228" s="600" t="n">
        <x:v>0.8718</x:v>
      </x:c>
      <x:c r="AN228" s="595" t="inlineStr">
        <x:is>
          <x:t xml:space="preserve">EVALUATED</x:t>
        </x:is>
      </x:c>
      <x:c r="AO228" s="600" t="inlineStr">
        <x:is>
          <x:t xml:space="preserve">BUCKET_0.75、SIDE_IDENTITY_VALID、FLAT_LINE_GIVING_WATER_DROP</x:t>
        </x:is>
      </x:c>
      <x:c r="AP228" s="600" t="inlineStr">
        <x:is>
          <x:t xml:space="preserve">9ecea2f5319bbfb78b49</x:t>
        </x:is>
      </x:c>
      <x:c r="AQ228" s="600" t="n">
        <x:v>0.75</x:v>
      </x:c>
      <x:c r="AR228" s="600" t="n">
        <x:v>1.2</x:v>
      </x:c>
      <x:c r="AS228" s="600" t="n">
        <x:v>0.75</x:v>
      </x:c>
      <x:c r="AT228" s="600" t="n">
        <x:v>-0.75</x:v>
      </x:c>
      <x:c r="AU228" s="600" t="n">
        <x:v>1.2</x:v>
      </x:c>
      <x:c r="AV228" s="600" t="n">
        <x:v>0.71</x:v>
      </x:c>
      <x:c r="AW228" s="595" t="n">
        <x:v>46284.25887726852</x:v>
      </x:c>
      <x:c r="AX228" s="595" t="inlineStr">
        <x:is>
          <x:t xml:space="preserve">https://simondongxiao.github.io/odds/v4/</x:t>
        </x:is>
      </x:c>
      <x:c r="AY228" s="595" t="inlineStr">
        <x:is>
          <x:t xml:space="preserve">V4 Shadow Only；real_money=false；比分差异详见记录审计</x:t>
        </x:is>
      </x:c>
    </x:row>
    <x:row r="229" ht="22" customHeight="1">
      <x:c r="A229" s="595" t="inlineStr">
        <x:is>
          <x:t xml:space="preserve">2026-09-19</x:t>
        </x:is>
      </x:c>
      <x:c r="B229" s="595" t="inlineStr">
        <x:is>
          <x:t xml:space="preserve">2026-09-19 22:00</x:t>
        </x:is>
      </x:c>
      <x:c r="C229" s="595" t="str">
        <x:v>五大联赛非顶级联赛</x:v>
      </x:c>
      <x:c r="D229" s="595" t="inlineStr">
        <x:is>
          <x:t xml:space="preserve">联赛</x:t>
        </x:is>
      </x:c>
      <x:c r="E229" s="595" t="inlineStr">
        <x:is>
          <x:t xml:space="preserve">英甲</x:t>
        </x:is>
      </x:c>
      <x:c r="F229" s="595" t="inlineStr">
        <x:is>
          <x:t xml:space="preserve">卢顿 vs 布拉德福德</x:t>
        </x:is>
      </x:c>
      <x:c r="G229" s="596" t="n">
        <x:v>0.85</x:v>
      </x:c>
      <x:c r="H229" s="596" t="n">
        <x:v>0.25</x:v>
      </x:c>
      <x:c r="I229" s="596" t="n">
        <x:v>1.03</x:v>
      </x:c>
      <x:c r="J229" s="596" t="inlineStr">
        <x:is>
          <x:t xml:space="preserve">0.85/0.25/1.03</x:t>
        </x:is>
      </x:c>
      <x:c r="K229" s="595" t="inlineStr">
        <x:is>
          <x:t xml:space="preserve">V4-C｜EV +0.0145</x:t>
        </x:is>
      </x:c>
      <x:c r="L229" s="595" t="inlineStr">
        <x:is>
          <x:t xml:space="preserve">布拉德福德</x:t>
        </x:is>
      </x:c>
      <x:c r="M229" s="597" t="n">
        <x:v>0.5010224948875256</x:v>
      </x:c>
      <x:c r="N229" s="595" t="inlineStr">
        <x:is>
          <x:t xml:space="preserve">V4纸面入选-C</x:t>
        </x:is>
      </x:c>
      <x:c r="O229" s="595" t="inlineStr">
        <x:is>
          <x:t xml:space="preserve">0-1</x:t>
        </x:is>
      </x:c>
      <x:c r="P229" s="595" t="inlineStr">
        <x:is>
          <x:t xml:space="preserve">已结算</x:t>
        </x:is>
      </x:c>
      <x:c r="Q229" s="640" t="inlineStr">
        <x:is>
          <x:t xml:space="preserve">红</x:t>
        </x:is>
      </x:c>
      <x:c r="R229" s="599" t="n">
        <x:v>1.03</x:v>
      </x:c>
      <x:c r="S229" s="599" t="n">
        <x:f>IF(OR(Q229="",Q229="待结算"),"",IF(Q229="红",R229,IF(Q229="半红",R229*0.5,IF(Q229="走",0,IF(Q229="半黑",-0.5,-1)))))</x:f>
        <x:v>1.03</x:v>
      </x:c>
      <x:c r="T229" s="595" t="inlineStr">
        <x:is>
          <x:t xml:space="preserve">https://zq.titan007.com/analysis/3007109cn.htm</x:t>
        </x:is>
      </x:c>
      <x:c r="U229" s="641" t="str">
        <x:f>IF(Q229="","",IF(Q229="待结算","待结算",IF(Q229="红","黑",IF(Q229="半红","半黑",IF(Q229="走","走",IF(Q229="半黑","半红","红"))))))</x:f>
        <x:v>黑</x:v>
      </x:c>
      <x:c r="V229" s="599" t="n">
        <x:f>IF(OR(Q229="",Q229="待结算"),"",IF(L229=LEFT(F229,FIND(" vs ",F229)-1),I229,G229))</x:f>
        <x:v>0.85</x:v>
      </x:c>
      <x:c r="W229" s="599" t="n">
        <x:f>IF(OR(U229="",U229="待结算"),"",IF(U229="红",V229,IF(U229="半红",V229*0.5,IF(U229="走",0,IF(U229="半黑",-0.5,-1)))))</x:f>
        <x:v>-1</x:v>
      </x:c>
      <x:c r="X229" s="595" t="inlineStr">
        <x:is>
          <x:t xml:space="preserve">3007109</x:t>
        </x:is>
      </x:c>
      <x:c r="Y229" s="595" t="inlineStr">
        <x:is>
          <x:t xml:space="preserve">v4-market-dirichlet-20260913</x:t>
        </x:is>
      </x:c>
      <x:c r="Z229" s="595" t="inlineStr">
        <x:is>
          <x:t xml:space="preserve">prior-2026-09-19-v1</x:t>
        </x:is>
      </x:c>
      <x:c r="AA229" s="595" t="inlineStr">
        <x:is>
          <x:t xml:space="preserve">C</x:t>
        </x:is>
      </x:c>
      <x:c r="AB229" s="600" t="n">
        <x:v>0.2743055555555556</x:v>
      </x:c>
      <x:c r="AC229" s="600" t="n">
        <x:v>0.3020833333333333</x:v>
      </x:c>
      <x:c r="AD229" s="600" t="n">
        <x:v>0</x:v>
      </x:c>
      <x:c r="AE229" s="600" t="n">
        <x:v>0</x:v>
      </x:c>
      <x:c r="AF229" s="600" t="n">
        <x:v>0.4236111111111111</x:v>
      </x:c>
      <x:c r="AG229" s="600" t="n">
        <x:v>0.01449652777777782</x:v>
      </x:c>
      <x:c r="AH229" s="600" t="n">
        <x:v>-0.0729537893833403</x:v>
      </x:c>
      <x:c r="AI229" s="600" t="n">
        <x:v>-0.05355066770550077</x:v>
      </x:c>
      <x:c r="AJ229" s="600" t="n">
        <x:v>0.01459398090268688</x:v>
      </x:c>
      <x:c r="AK229" s="600" t="n">
        <x:v>0.08242296221729506</x:v>
      </x:c>
      <x:c r="AL229" s="600" t="n">
        <x:v>0.1028336699325447</x:v>
      </x:c>
      <x:c r="AM229" s="600" t="n">
        <x:v>0.6052</x:v>
      </x:c>
      <x:c r="AN229" s="595" t="inlineStr">
        <x:is>
          <x:t xml:space="preserve">EVALUATED</x:t>
        </x:is>
      </x:c>
      <x:c r="AO229" s="600" t="inlineStr">
        <x:is>
          <x:t xml:space="preserve">BUCKET_0.25、SIDE_IDENTITY_VALID、FLAT_LINE_GIVING_WATER_RISE</x:t>
        </x:is>
      </x:c>
      <x:c r="AP229" s="600" t="inlineStr">
        <x:is>
          <x:t xml:space="preserve">61d60a50a2b37958fd4c</x:t>
        </x:is>
      </x:c>
      <x:c r="AQ229" s="600" t="n">
        <x:v>0.25</x:v>
      </x:c>
      <x:c r="AR229" s="600" t="n">
        <x:v>1.03</x:v>
      </x:c>
      <x:c r="AS229" s="600" t="n">
        <x:v>-0.25</x:v>
      </x:c>
      <x:c r="AT229" s="600" t="n">
        <x:v>0.25</x:v>
      </x:c>
      <x:c r="AU229" s="600" t="n">
        <x:v>0.85</x:v>
      </x:c>
      <x:c r="AV229" s="600" t="n">
        <x:v>1.03</x:v>
      </x:c>
      <x:c r="AW229" s="595" t="n">
        <x:v>46284.25887726852</x:v>
      </x:c>
      <x:c r="AX229" s="595" t="inlineStr">
        <x:is>
          <x:t xml:space="preserve">https://simondongxiao.github.io/odds/v4/</x:t>
        </x:is>
      </x:c>
      <x:c r="AY229" s="595" t="inlineStr">
        <x:is>
          <x:t xml:space="preserve">V4 Shadow Only；real_money=false；比分差异详见记录审计</x:t>
        </x:is>
      </x:c>
    </x:row>
    <x:row r="230" ht="22" customHeight="1">
      <x:c r="A230" s="595" t="inlineStr">
        <x:is>
          <x:t xml:space="preserve">2026-09-19</x:t>
        </x:is>
      </x:c>
      <x:c r="B230" s="595" t="inlineStr">
        <x:is>
          <x:t xml:space="preserve">2026-09-19 22:00</x:t>
        </x:is>
      </x:c>
      <x:c r="C230" s="595" t="str">
        <x:v>五大联赛非顶级联赛</x:v>
      </x:c>
      <x:c r="D230" s="595" t="inlineStr">
        <x:is>
          <x:t xml:space="preserve">联赛</x:t>
        </x:is>
      </x:c>
      <x:c r="E230" s="595" t="inlineStr">
        <x:is>
          <x:t xml:space="preserve">英甲</x:t>
        </x:is>
      </x:c>
      <x:c r="F230" s="595" t="inlineStr">
        <x:is>
          <x:t xml:space="preserve">雷丁 vs 诺茨郡</x:t>
        </x:is>
      </x:c>
      <x:c r="G230" s="596" t="n">
        <x:v>0.79</x:v>
      </x:c>
      <x:c r="H230" s="596" t="n">
        <x:v>0.5</x:v>
      </x:c>
      <x:c r="I230" s="596" t="n">
        <x:v>1.09</x:v>
      </x:c>
      <x:c r="J230" s="596" t="inlineStr">
        <x:is>
          <x:t xml:space="preserve">0.79/0.5/1.09</x:t>
        </x:is>
      </x:c>
      <x:c r="K230" s="595" t="inlineStr">
        <x:is>
          <x:t xml:space="preserve">V4-C｜EV +0.0510</x:t>
        </x:is>
      </x:c>
      <x:c r="L230" s="595" t="inlineStr">
        <x:is>
          <x:t xml:space="preserve">诺茨郡</x:t>
        </x:is>
      </x:c>
      <x:c r="M230" s="597" t="n">
        <x:v>0.5028571428571429</x:v>
      </x:c>
      <x:c r="N230" s="595" t="inlineStr">
        <x:is>
          <x:t xml:space="preserve">V4纸面入选-C</x:t>
        </x:is>
      </x:c>
      <x:c r="O230" s="595" t="inlineStr">
        <x:is>
          <x:t xml:space="preserve">2-0</x:t>
        </x:is>
      </x:c>
      <x:c r="P230" s="595" t="inlineStr">
        <x:is>
          <x:t xml:space="preserve">已结算</x:t>
        </x:is>
      </x:c>
      <x:c r="Q230" s="641" t="inlineStr">
        <x:is>
          <x:t xml:space="preserve">黑</x:t>
        </x:is>
      </x:c>
      <x:c r="R230" s="599" t="n">
        <x:v>1.09</x:v>
      </x:c>
      <x:c r="S230" s="599" t="n">
        <x:f>IF(OR(Q230="",Q230="待结算"),"",IF(Q230="红",R230,IF(Q230="半红",R230*0.5,IF(Q230="走",0,IF(Q230="半黑",-0.5,-1)))))</x:f>
        <x:v>-1</x:v>
      </x:c>
      <x:c r="T230" s="595" t="inlineStr">
        <x:is>
          <x:t xml:space="preserve">https://zq.titan007.com/analysis/3007112cn.htm</x:t>
        </x:is>
      </x:c>
      <x:c r="U230" s="640" t="str">
        <x:f>IF(Q230="","",IF(Q230="待结算","待结算",IF(Q230="红","黑",IF(Q230="半红","半黑",IF(Q230="走","走",IF(Q230="半黑","半红","红"))))))</x:f>
        <x:v>红</x:v>
      </x:c>
      <x:c r="V230" s="599" t="n">
        <x:f>IF(OR(Q230="",Q230="待结算"),"",IF(L230=LEFT(F230,FIND(" vs ",F230)-1),I230,G230))</x:f>
        <x:v>0.79</x:v>
      </x:c>
      <x:c r="W230" s="599" t="n">
        <x:f>IF(OR(U230="",U230="待结算"),"",IF(U230="红",V230,IF(U230="半红",V230*0.5,IF(U230="走",0,IF(U230="半黑",-0.5,-1)))))</x:f>
        <x:v>0.79</x:v>
      </x:c>
      <x:c r="X230" s="595" t="inlineStr">
        <x:is>
          <x:t xml:space="preserve">3007112</x:t>
        </x:is>
      </x:c>
      <x:c r="Y230" s="595" t="inlineStr">
        <x:is>
          <x:t xml:space="preserve">v4-market-dirichlet-20260913</x:t>
        </x:is>
      </x:c>
      <x:c r="Z230" s="595" t="inlineStr">
        <x:is>
          <x:t xml:space="preserve">prior-2026-09-19-v1</x:t>
        </x:is>
      </x:c>
      <x:c r="AA230" s="595" t="inlineStr">
        <x:is>
          <x:t xml:space="preserve">C</x:t>
        </x:is>
      </x:c>
      <x:c r="AB230" s="600" t="n">
        <x:v>0.5028571428571429</x:v>
      </x:c>
      <x:c r="AC230" s="600" t="n">
        <x:v>0</x:v>
      </x:c>
      <x:c r="AD230" s="600" t="n">
        <x:v>0</x:v>
      </x:c>
      <x:c r="AE230" s="600" t="n">
        <x:v>0</x:v>
      </x:c>
      <x:c r="AF230" s="600" t="n">
        <x:v>0.4971428571428572</x:v>
      </x:c>
      <x:c r="AG230" s="600" t="n">
        <x:v>0.05097142857142861</x:v>
      </x:c>
      <x:c r="AH230" s="600" t="n">
        <x:v>-0.07732263310751197</x:v>
      </x:c>
      <x:c r="AI230" s="600" t="n">
        <x:v>-0.04815068679059831</x:v>
      </x:c>
      <x:c r="AJ230" s="600" t="n">
        <x:v>0.05102778996284862</x:v>
      </x:c>
      <x:c r="AK230" s="600" t="n">
        <x:v>0.1505587698871542</x:v>
      </x:c>
      <x:c r="AL230" s="600" t="n">
        <x:v>0.179967195583942</x:v>
      </x:c>
      <x:c r="AM230" s="600" t="n">
        <x:v>0.7512</x:v>
      </x:c>
      <x:c r="AN230" s="595" t="inlineStr">
        <x:is>
          <x:t xml:space="preserve">EVALUATED</x:t>
        </x:is>
      </x:c>
      <x:c r="AO230" s="600" t="inlineStr">
        <x:is>
          <x:t xml:space="preserve">BUCKET_0.50、SIDE_IDENTITY_VALID、FLAT_LINE_GIVING_WATER_DROP</x:t>
        </x:is>
      </x:c>
      <x:c r="AP230" s="600" t="inlineStr">
        <x:is>
          <x:t xml:space="preserve">6528815c327dbda71325</x:t>
        </x:is>
      </x:c>
      <x:c r="AQ230" s="600" t="n">
        <x:v>0.5</x:v>
      </x:c>
      <x:c r="AR230" s="600" t="n">
        <x:v>1.09</x:v>
      </x:c>
      <x:c r="AS230" s="600" t="n">
        <x:v>-0.5</x:v>
      </x:c>
      <x:c r="AT230" s="600" t="n">
        <x:v>0.5</x:v>
      </x:c>
      <x:c r="AU230" s="600" t="n">
        <x:v>0.79</x:v>
      </x:c>
      <x:c r="AV230" s="600" t="n">
        <x:v>1.09</x:v>
      </x:c>
      <x:c r="AW230" s="595" t="n">
        <x:v>46284.25887726852</x:v>
      </x:c>
      <x:c r="AX230" s="595" t="inlineStr">
        <x:is>
          <x:t xml:space="preserve">https://simondongxiao.github.io/odds/v4/</x:t>
        </x:is>
      </x:c>
      <x:c r="AY230" s="595" t="inlineStr">
        <x:is>
          <x:t xml:space="preserve">V4 Shadow Only；real_money=false；比分差异详见记录审计</x:t>
        </x:is>
      </x:c>
    </x:row>
    <x:row r="231" ht="22" customHeight="1">
      <x:c r="A231" s="595" t="inlineStr">
        <x:is>
          <x:t xml:space="preserve">2026-09-19</x:t>
        </x:is>
      </x:c>
      <x:c r="B231" s="595" t="inlineStr">
        <x:is>
          <x:t xml:space="preserve">2026-09-19 22:00</x:t>
        </x:is>
      </x:c>
      <x:c r="C231" s="595" t="str">
        <x:v>五大联赛非顶级联赛</x:v>
      </x:c>
      <x:c r="D231" s="595" t="inlineStr">
        <x:is>
          <x:t xml:space="preserve">联赛</x:t>
        </x:is>
      </x:c>
      <x:c r="E231" s="595" t="inlineStr">
        <x:is>
          <x:t xml:space="preserve">英乙</x:t>
        </x:is>
      </x:c>
      <x:c r="F231" s="595" t="inlineStr">
        <x:is>
          <x:t xml:space="preserve">巴尼特 vs 弗利特伍德</x:t>
        </x:is>
      </x:c>
      <x:c r="G231" s="596" t="n">
        <x:v>0.9</x:v>
      </x:c>
      <x:c r="H231" s="596" t="n">
        <x:v>0.75</x:v>
      </x:c>
      <x:c r="I231" s="596" t="n">
        <x:v>0.98</x:v>
      </x:c>
      <x:c r="J231" s="596" t="inlineStr">
        <x:is>
          <x:t xml:space="preserve">0.90/0.75/0.98</x:t>
        </x:is>
      </x:c>
      <x:c r="K231" s="595" t="inlineStr">
        <x:is>
          <x:t xml:space="preserve">V4-C｜EV +0.0037</x:t>
        </x:is>
      </x:c>
      <x:c r="L231" s="595" t="inlineStr">
        <x:is>
          <x:t xml:space="preserve">弗利特伍德</x:t>
        </x:is>
      </x:c>
      <x:c r="M231" s="597" t="n">
        <x:v>0.5071770334928229</x:v>
      </x:c>
      <x:c r="N231" s="595" t="inlineStr">
        <x:is>
          <x:t xml:space="preserve">V4纸面入选-C</x:t>
        </x:is>
      </x:c>
      <x:c r="O231" s="595" t="inlineStr">
        <x:is>
          <x:t xml:space="preserve">3-1</x:t>
        </x:is>
      </x:c>
      <x:c r="P231" s="595" t="inlineStr">
        <x:is>
          <x:t xml:space="preserve">已结算</x:t>
        </x:is>
      </x:c>
      <x:c r="Q231" s="641" t="inlineStr">
        <x:is>
          <x:t xml:space="preserve">黑</x:t>
        </x:is>
      </x:c>
      <x:c r="R231" s="599" t="n">
        <x:v>0.98</x:v>
      </x:c>
      <x:c r="S231" s="599" t="n">
        <x:f>IF(OR(Q231="",Q231="待结算"),"",IF(Q231="红",R231,IF(Q231="半红",R231*0.5,IF(Q231="走",0,IF(Q231="半黑",-0.5,-1)))))</x:f>
        <x:v>-1</x:v>
      </x:c>
      <x:c r="T231" s="595" t="inlineStr">
        <x:is>
          <x:t xml:space="preserve">https://zq.titan007.com/analysis/3007662cn.htm</x:t>
        </x:is>
      </x:c>
      <x:c r="U231" s="640" t="str">
        <x:f>IF(Q231="","",IF(Q231="待结算","待结算",IF(Q231="红","黑",IF(Q231="半红","半黑",IF(Q231="走","走",IF(Q231="半黑","半红","红"))))))</x:f>
        <x:v>红</x:v>
      </x:c>
      <x:c r="V231" s="599" t="n">
        <x:f>IF(OR(Q231="",Q231="待结算"),"",IF(L231=LEFT(F231,FIND(" vs ",F231)-1),I231,G231))</x:f>
        <x:v>0.9</x:v>
      </x:c>
      <x:c r="W231" s="599" t="n">
        <x:f>IF(OR(U231="",U231="待结算"),"",IF(U231="红",V231,IF(U231="半红",V231*0.5,IF(U231="走",0,IF(U231="半黑",-0.5,-1)))))</x:f>
        <x:v>0.9</x:v>
      </x:c>
      <x:c r="X231" s="595" t="inlineStr">
        <x:is>
          <x:t xml:space="preserve">3007662</x:t>
        </x:is>
      </x:c>
      <x:c r="Y231" s="595" t="inlineStr">
        <x:is>
          <x:t xml:space="preserve">v4-market-dirichlet-20260913</x:t>
        </x:is>
      </x:c>
      <x:c r="Z231" s="595" t="inlineStr">
        <x:is>
          <x:t xml:space="preserve">prior-2026-09-19-v1</x:t>
        </x:is>
      </x:c>
      <x:c r="AA231" s="595" t="inlineStr">
        <x:is>
          <x:t xml:space="preserve">C</x:t>
        </x:is>
      </x:c>
      <x:c r="AB231" s="600" t="n">
        <x:v>0.4416666666666667</x:v>
      </x:c>
      <x:c r="AC231" s="600" t="n">
        <x:v>0</x:v>
      </x:c>
      <x:c r="AD231" s="600" t="n">
        <x:v>0</x:v>
      </x:c>
      <x:c r="AE231" s="600" t="n">
        <x:v>0.2583333333333334</x:v>
      </x:c>
      <x:c r="AF231" s="600" t="n">
        <x:v>0.3</x:v>
      </x:c>
      <x:c r="AG231" s="600" t="n">
        <x:v>0.003666666666666651</x:v>
      </x:c>
      <x:c r="AH231" s="600" t="n">
        <x:v>-0.1312636772567468</x:v>
      </x:c>
      <x:c r="AI231" s="600" t="n">
        <x:v>-0.102701384397958</x:v>
      </x:c>
      <x:c r="AJ231" s="600" t="n">
        <x:v>0.004695352608003744</x:v>
      </x:c>
      <x:c r="AK231" s="600" t="n">
        <x:v>0.1076280981816076</x:v>
      </x:c>
      <x:c r="AL231" s="600" t="n">
        <x:v>0.1378832329171072</x:v>
      </x:c>
      <x:c r="AM231" s="600" t="n">
        <x:v>0.5232</x:v>
      </x:c>
      <x:c r="AN231" s="595" t="inlineStr">
        <x:is>
          <x:t xml:space="preserve">EVALUATED</x:t>
        </x:is>
      </x:c>
      <x:c r="AO231" s="600" t="inlineStr">
        <x:is>
          <x:t xml:space="preserve">BUCKET_0.75、SIDE_IDENTITY_VALID、FLAT_LINE_GIVING_WATER_DROP</x:t>
        </x:is>
      </x:c>
      <x:c r="AP231" s="600" t="inlineStr">
        <x:is>
          <x:t xml:space="preserve">565c5725c32696828345</x:t>
        </x:is>
      </x:c>
      <x:c r="AQ231" s="600" t="n">
        <x:v>0.75</x:v>
      </x:c>
      <x:c r="AR231" s="600" t="n">
        <x:v>0.98</x:v>
      </x:c>
      <x:c r="AS231" s="600" t="n">
        <x:v>-0.75</x:v>
      </x:c>
      <x:c r="AT231" s="600" t="n">
        <x:v>0.75</x:v>
      </x:c>
      <x:c r="AU231" s="600" t="n">
        <x:v>0.9</x:v>
      </x:c>
      <x:c r="AV231" s="600" t="n">
        <x:v>0.98</x:v>
      </x:c>
      <x:c r="AW231" s="595" t="n">
        <x:v>46284.25887726852</x:v>
      </x:c>
      <x:c r="AX231" s="595" t="inlineStr">
        <x:is>
          <x:t xml:space="preserve">https://simondongxiao.github.io/odds/v4/</x:t>
        </x:is>
      </x:c>
      <x:c r="AY231" s="595" t="inlineStr">
        <x:is>
          <x:t xml:space="preserve">V4 Shadow Only；real_money=false；比分差异详见记录审计</x:t>
        </x:is>
      </x:c>
    </x:row>
    <x:row r="232" ht="22" customHeight="1">
      <x:c r="A232" s="595" t="inlineStr">
        <x:is>
          <x:t xml:space="preserve">2026-09-19</x:t>
        </x:is>
      </x:c>
      <x:c r="B232" s="595" t="inlineStr">
        <x:is>
          <x:t xml:space="preserve">2026-09-19 22:00</x:t>
        </x:is>
      </x:c>
      <x:c r="C232" s="595" t="str">
        <x:v>五大联赛非顶级联赛</x:v>
      </x:c>
      <x:c r="D232" s="595" t="inlineStr">
        <x:is>
          <x:t xml:space="preserve">联赛</x:t>
        </x:is>
      </x:c>
      <x:c r="E232" s="595" t="inlineStr">
        <x:is>
          <x:t xml:space="preserve">英乙</x:t>
        </x:is>
      </x:c>
      <x:c r="F232" s="595" t="inlineStr">
        <x:is>
          <x:t xml:space="preserve">阿克灵顿 vs 纽波特</x:t>
        </x:is>
      </x:c>
      <x:c r="G232" s="596" t="n">
        <x:v>0.82</x:v>
      </x:c>
      <x:c r="H232" s="596" t="n">
        <x:v>0.25</x:v>
      </x:c>
      <x:c r="I232" s="596" t="n">
        <x:v>1.06</x:v>
      </x:c>
      <x:c r="J232" s="596" t="inlineStr">
        <x:is>
          <x:t xml:space="preserve">0.82/0.25/1.06</x:t>
        </x:is>
      </x:c>
      <x:c r="K232" s="595" t="inlineStr">
        <x:is>
          <x:t xml:space="preserve">V4-C｜EV +0.0273</x:t>
        </x:is>
      </x:c>
      <x:c r="L232" s="595" t="inlineStr">
        <x:is>
          <x:t xml:space="preserve">纽波特</x:t>
        </x:is>
      </x:c>
      <x:c r="M232" s="597" t="n">
        <x:v>0.5010224948875256</x:v>
      </x:c>
      <x:c r="N232" s="595" t="inlineStr">
        <x:is>
          <x:t xml:space="preserve">V4纸面入选-C</x:t>
        </x:is>
      </x:c>
      <x:c r="O232" s="595" t="inlineStr">
        <x:is>
          <x:t xml:space="preserve">0-0</x:t>
        </x:is>
      </x:c>
      <x:c r="P232" s="595" t="inlineStr">
        <x:is>
          <x:t xml:space="preserve">已结算</x:t>
        </x:is>
      </x:c>
      <x:c r="Q232" s="642" t="inlineStr">
        <x:is>
          <x:t xml:space="preserve">半红</x:t>
        </x:is>
      </x:c>
      <x:c r="R232" s="599" t="n">
        <x:v>1.06</x:v>
      </x:c>
      <x:c r="S232" s="599" t="n">
        <x:f>IF(OR(Q232="",Q232="待结算"),"",IF(Q232="红",R232,IF(Q232="半红",R232*0.5,IF(Q232="走",0,IF(Q232="半黑",-0.5,-1)))))</x:f>
        <x:v>0.53</x:v>
      </x:c>
      <x:c r="T232" s="595" t="inlineStr">
        <x:is>
          <x:t xml:space="preserve">https://zq.titan007.com/analysis/3007673cn.htm</x:t>
        </x:is>
      </x:c>
      <x:c r="U232" s="643" t="str">
        <x:f>IF(Q232="","",IF(Q232="待结算","待结算",IF(Q232="红","黑",IF(Q232="半红","半黑",IF(Q232="走","走",IF(Q232="半黑","半红","红"))))))</x:f>
        <x:v>半黑</x:v>
      </x:c>
      <x:c r="V232" s="599" t="n">
        <x:f>IF(OR(Q232="",Q232="待结算"),"",IF(L232=LEFT(F232,FIND(" vs ",F232)-1),I232,G232))</x:f>
        <x:v>0.82</x:v>
      </x:c>
      <x:c r="W232" s="599" t="n">
        <x:f>IF(OR(U232="",U232="待结算"),"",IF(U232="红",V232,IF(U232="半红",V232*0.5,IF(U232="走",0,IF(U232="半黑",-0.5,-1)))))</x:f>
        <x:v>-0.5</x:v>
      </x:c>
      <x:c r="X232" s="595" t="inlineStr">
        <x:is>
          <x:t xml:space="preserve">3007673</x:t>
        </x:is>
      </x:c>
      <x:c r="Y232" s="595" t="inlineStr">
        <x:is>
          <x:t xml:space="preserve">v4-market-dirichlet-20260913</x:t>
        </x:is>
      </x:c>
      <x:c r="Z232" s="595" t="inlineStr">
        <x:is>
          <x:t xml:space="preserve">prior-2026-09-19-v1</x:t>
        </x:is>
      </x:c>
      <x:c r="AA232" s="595" t="inlineStr">
        <x:is>
          <x:t xml:space="preserve">C</x:t>
        </x:is>
      </x:c>
      <x:c r="AB232" s="600" t="n">
        <x:v>0.2743055555555556</x:v>
      </x:c>
      <x:c r="AC232" s="600" t="n">
        <x:v>0.3020833333333333</x:v>
      </x:c>
      <x:c r="AD232" s="600" t="n">
        <x:v>0</x:v>
      </x:c>
      <x:c r="AE232" s="600" t="n">
        <x:v>0</x:v>
      </x:c>
      <x:c r="AF232" s="600" t="n">
        <x:v>0.4236111111111111</x:v>
      </x:c>
      <x:c r="AG232" s="600" t="n">
        <x:v>0.02725694444444449</x:v>
      </x:c>
      <x:c r="AH232" s="600" t="n">
        <x:v>-0.06064864480193732</x:v>
      </x:c>
      <x:c r="AI232" s="600" t="n">
        <x:v>-0.04252467246386993</x:v>
      </x:c>
      <x:c r="AJ232" s="600" t="n">
        <x:v>0.02736300101952222</x:v>
      </x:c>
      <x:c r="AK232" s="600" t="n">
        <x:v>0.09483349104135352</x:v>
      </x:c>
      <x:c r="AL232" s="600" t="n">
        <x:v>0.1117747058826986</x:v>
      </x:c>
      <x:c r="AM232" s="600" t="n">
        <x:v>0.6882</x:v>
      </x:c>
      <x:c r="AN232" s="595" t="inlineStr">
        <x:is>
          <x:t xml:space="preserve">EVALUATED</x:t>
        </x:is>
      </x:c>
      <x:c r="AO232" s="600" t="inlineStr">
        <x:is>
          <x:t xml:space="preserve">BUCKET_0.25、SIDE_IDENTITY_VALID、FLAT_LINE_GIVING_WATER_RISE</x:t>
        </x:is>
      </x:c>
      <x:c r="AP232" s="600" t="inlineStr">
        <x:is>
          <x:t xml:space="preserve">7e5d42777d39ff4556d5</x:t>
        </x:is>
      </x:c>
      <x:c r="AQ232" s="600" t="n">
        <x:v>0.25</x:v>
      </x:c>
      <x:c r="AR232" s="600" t="n">
        <x:v>1.06</x:v>
      </x:c>
      <x:c r="AS232" s="600" t="n">
        <x:v>-0.25</x:v>
      </x:c>
      <x:c r="AT232" s="600" t="n">
        <x:v>0.25</x:v>
      </x:c>
      <x:c r="AU232" s="600" t="n">
        <x:v>0.82</x:v>
      </x:c>
      <x:c r="AV232" s="600" t="n">
        <x:v>1.06</x:v>
      </x:c>
      <x:c r="AW232" s="595" t="n">
        <x:v>46284.25887726852</x:v>
      </x:c>
      <x:c r="AX232" s="595" t="inlineStr">
        <x:is>
          <x:t xml:space="preserve">https://simondongxiao.github.io/odds/v4/</x:t>
        </x:is>
      </x:c>
      <x:c r="AY232" s="595" t="inlineStr">
        <x:is>
          <x:t xml:space="preserve">V4 Shadow Only；real_money=false；比分差异详见记录审计</x:t>
        </x:is>
      </x:c>
    </x:row>
    <x:row r="233" ht="22" customHeight="1">
      <x:c r="A233" s="595" t="inlineStr">
        <x:is>
          <x:t xml:space="preserve">2026-09-19</x:t>
        </x:is>
      </x:c>
      <x:c r="B233" s="595" t="inlineStr">
        <x:is>
          <x:t xml:space="preserve">2026-09-19 22:00</x:t>
        </x:is>
      </x:c>
      <x:c r="C233" s="595" t="str">
        <x:v>欧洲非五大系列</x:v>
      </x:c>
      <x:c r="D233" s="595" t="inlineStr">
        <x:is>
          <x:t xml:space="preserve">联赛</x:t>
        </x:is>
      </x:c>
      <x:c r="E233" s="595" t="inlineStr">
        <x:is>
          <x:t xml:space="preserve">土超</x:t>
        </x:is>
      </x:c>
      <x:c r="F233" s="595" t="inlineStr">
        <x:is>
          <x:t xml:space="preserve">科鲁姆 vs 阿拉尼亚体育</x:t>
        </x:is>
      </x:c>
      <x:c r="G233" s="596" t="n">
        <x:v>1.03</x:v>
      </x:c>
      <x:c r="H233" s="596" t="n">
        <x:v>0.5</x:v>
      </x:c>
      <x:c r="I233" s="596" t="n">
        <x:v>0.86</x:v>
      </x:c>
      <x:c r="J233" s="596" t="inlineStr">
        <x:is>
          <x:t xml:space="preserve">1.03/0.5/0.86</x:t>
        </x:is>
      </x:c>
      <x:c r="K233" s="595" t="inlineStr">
        <x:is>
          <x:t xml:space="preserve">V4-C｜EV +0.0092</x:t>
        </x:is>
      </x:c>
      <x:c r="L233" s="595" t="inlineStr">
        <x:is>
          <x:t xml:space="preserve">科鲁姆</x:t>
        </x:is>
      </x:c>
      <x:c r="M233" s="597" t="n">
        <x:v>0.4971428571428572</x:v>
      </x:c>
      <x:c r="N233" s="595" t="inlineStr">
        <x:is>
          <x:t xml:space="preserve">V4纸面入选-C</x:t>
        </x:is>
      </x:c>
      <x:c r="O233" s="595" t="inlineStr">
        <x:is>
          <x:t xml:space="preserve">1-2</x:t>
        </x:is>
      </x:c>
      <x:c r="P233" s="595" t="inlineStr">
        <x:is>
          <x:t xml:space="preserve">已结算</x:t>
        </x:is>
      </x:c>
      <x:c r="Q233" s="641" t="inlineStr">
        <x:is>
          <x:t xml:space="preserve">黑</x:t>
        </x:is>
      </x:c>
      <x:c r="R233" s="599" t="n">
        <x:v>1.03</x:v>
      </x:c>
      <x:c r="S233" s="599" t="n">
        <x:f>IF(OR(Q233="",Q233="待结算"),"",IF(Q233="红",R233,IF(Q233="半红",R233*0.5,IF(Q233="走",0,IF(Q233="半黑",-0.5,-1)))))</x:f>
        <x:v>-1</x:v>
      </x:c>
      <x:c r="T233" s="595" t="inlineStr">
        <x:is>
          <x:t xml:space="preserve">https://zq.titan007.com/analysis/3026735cn.htm</x:t>
        </x:is>
      </x:c>
      <x:c r="U233" s="640" t="str">
        <x:f>IF(Q233="","",IF(Q233="待结算","待结算",IF(Q233="红","黑",IF(Q233="半红","半黑",IF(Q233="走","走",IF(Q233="半黑","半红","红"))))))</x:f>
        <x:v>红</x:v>
      </x:c>
      <x:c r="V233" s="599" t="n">
        <x:f>IF(OR(Q233="",Q233="待结算"),"",IF(L233=LEFT(F233,FIND(" vs ",F233)-1),I233,G233))</x:f>
        <x:v>0.86</x:v>
      </x:c>
      <x:c r="W233" s="599" t="n">
        <x:f>IF(OR(U233="",U233="待结算"),"",IF(U233="红",V233,IF(U233="半红",V233*0.5,IF(U233="走",0,IF(U233="半黑",-0.5,-1)))))</x:f>
        <x:v>0.86</x:v>
      </x:c>
      <x:c r="X233" s="595" t="inlineStr">
        <x:is>
          <x:t xml:space="preserve">3026735</x:t>
        </x:is>
      </x:c>
      <x:c r="Y233" s="595" t="inlineStr">
        <x:is>
          <x:t xml:space="preserve">v4-market-dirichlet-20260913</x:t>
        </x:is>
      </x:c>
      <x:c r="Z233" s="595" t="inlineStr">
        <x:is>
          <x:t xml:space="preserve">prior-2026-09-19-v1</x:t>
        </x:is>
      </x:c>
      <x:c r="AA233" s="595" t="inlineStr">
        <x:is>
          <x:t xml:space="preserve">C</x:t>
        </x:is>
      </x:c>
      <x:c r="AB233" s="600" t="n">
        <x:v>0.4971428571428572</x:v>
      </x:c>
      <x:c r="AC233" s="600" t="n">
        <x:v>0</x:v>
      </x:c>
      <x:c r="AD233" s="600" t="n">
        <x:v>0</x:v>
      </x:c>
      <x:c r="AE233" s="600" t="n">
        <x:v>0</x:v>
      </x:c>
      <x:c r="AF233" s="600" t="n">
        <x:v>0.5028571428571429</x:v>
      </x:c>
      <x:c r="AG233" s="600" t="n">
        <x:v>0.009199999999999986</x:v>
      </x:c>
      <x:c r="AH233" s="600" t="n">
        <x:v>-0.1161939616017666</x:v>
      </x:c>
      <x:c r="AI233" s="600" t="n">
        <x:v>-0.08961240950255983</x:v>
      </x:c>
      <x:c r="AJ233" s="600" t="n">
        <x:v>0.009663866985768932</x:v>
      </x:c>
      <x:c r="AK233" s="600" t="n">
        <x:v>0.1040693055786876</x:v>
      </x:c>
      <x:c r="AL233" s="600" t="n">
        <x:v>0.1285167637391709</x:v>
      </x:c>
      <x:c r="AM233" s="600" t="n">
        <x:v>0.55</x:v>
      </x:c>
      <x:c r="AN233" s="595" t="inlineStr">
        <x:is>
          <x:t xml:space="preserve">EVALUATED</x:t>
        </x:is>
      </x:c>
      <x:c r="AO233" s="600" t="inlineStr">
        <x:is>
          <x:t xml:space="preserve">BUCKET_0.50、SIDE_IDENTITY_VALID、MARKET_MOVE_DEEPER_WITH_GIVING_WATER_RISE</x:t>
        </x:is>
      </x:c>
      <x:c r="AP233" s="600" t="inlineStr">
        <x:is>
          <x:t xml:space="preserve">52b8704cb569a0502f34</x:t>
        </x:is>
      </x:c>
      <x:c r="AQ233" s="600" t="n">
        <x:v>-0.5</x:v>
      </x:c>
      <x:c r="AR233" s="600" t="n">
        <x:v>1.03</x:v>
      </x:c>
      <x:c r="AS233" s="600" t="n">
        <x:v>-0.5</x:v>
      </x:c>
      <x:c r="AT233" s="600" t="n">
        <x:v>0.5</x:v>
      </x:c>
      <x:c r="AU233" s="600" t="n">
        <x:v>1.03</x:v>
      </x:c>
      <x:c r="AV233" s="600" t="n">
        <x:v>0.86</x:v>
      </x:c>
      <x:c r="AW233" s="595" t="n">
        <x:v>46284.25887726852</x:v>
      </x:c>
      <x:c r="AX233" s="595" t="inlineStr">
        <x:is>
          <x:t xml:space="preserve">https://simondongxiao.github.io/odds/v4/</x:t>
        </x:is>
      </x:c>
      <x:c r="AY233" s="595" t="inlineStr">
        <x:is>
          <x:t xml:space="preserve">V4 Shadow Only；real_money=false；比分差异详见记录审计</x:t>
        </x:is>
      </x:c>
    </x:row>
    <x:row r="234" ht="22" customHeight="1">
      <x:c r="A234" s="595" t="inlineStr">
        <x:is>
          <x:t xml:space="preserve">2026-09-19</x:t>
        </x:is>
      </x:c>
      <x:c r="B234" s="595" t="inlineStr">
        <x:is>
          <x:t xml:space="preserve">2026-09-19 22:00</x:t>
        </x:is>
      </x:c>
      <x:c r="C234" s="595" t="str">
        <x:v>五大联赛非顶级联赛</x:v>
      </x:c>
      <x:c r="D234" s="595" t="inlineStr">
        <x:is>
          <x:t xml:space="preserve">联赛</x:t>
        </x:is>
      </x:c>
      <x:c r="E234" s="595" t="inlineStr">
        <x:is>
          <x:t xml:space="preserve">英议联</x:t>
        </x:is>
      </x:c>
      <x:c r="F234" s="595" t="inlineStr">
        <x:is>
          <x:t xml:space="preserve">格茨海德 vs 南安联</x:t>
        </x:is>
      </x:c>
      <x:c r="G234" s="596" t="n">
        <x:v>0.86</x:v>
      </x:c>
      <x:c r="H234" s="596" t="n">
        <x:v>-1</x:v>
      </x:c>
      <x:c r="I234" s="596" t="n">
        <x:v>0.84</x:v>
      </x:c>
      <x:c r="J234" s="596" t="inlineStr">
        <x:is>
          <x:t xml:space="preserve">0.86/-1/0.84</x:t>
        </x:is>
      </x:c>
      <x:c r="K234" s="595" t="inlineStr">
        <x:is>
          <x:t xml:space="preserve">V4-C｜EV +0.0068</x:t>
        </x:is>
      </x:c>
      <x:c r="L234" s="595" t="inlineStr">
        <x:is>
          <x:t xml:space="preserve">格茨海德</x:t>
        </x:is>
      </x:c>
      <x:c r="M234" s="597" t="n">
        <x:v>0.5423728813559322</x:v>
      </x:c>
      <x:c r="N234" s="595" t="inlineStr">
        <x:is>
          <x:t xml:space="preserve">V4纸面入选-C</x:t>
        </x:is>
      </x:c>
      <x:c r="O234" s="595" t="inlineStr">
        <x:is>
          <x:t xml:space="preserve">1-6</x:t>
        </x:is>
      </x:c>
      <x:c r="P234" s="595" t="inlineStr">
        <x:is>
          <x:t xml:space="preserve">已结算</x:t>
        </x:is>
      </x:c>
      <x:c r="Q234" s="641" t="inlineStr">
        <x:is>
          <x:t xml:space="preserve">黑</x:t>
        </x:is>
      </x:c>
      <x:c r="R234" s="599" t="n">
        <x:v>0.86</x:v>
      </x:c>
      <x:c r="S234" s="599" t="n">
        <x:f>IF(OR(Q234="",Q234="待结算"),"",IF(Q234="红",R234,IF(Q234="半红",R234*0.5,IF(Q234="走",0,IF(Q234="半黑",-0.5,-1)))))</x:f>
        <x:v>-1</x:v>
      </x:c>
      <x:c r="T234" s="595" t="inlineStr">
        <x:is>
          <x:t xml:space="preserve">https://zq.titan007.com/analysis/3027776cn.htm</x:t>
        </x:is>
      </x:c>
      <x:c r="U234" s="640" t="str">
        <x:f>IF(Q234="","",IF(Q234="待结算","待结算",IF(Q234="红","黑",IF(Q234="半红","半黑",IF(Q234="走","走",IF(Q234="半黑","半红","红"))))))</x:f>
        <x:v>红</x:v>
      </x:c>
      <x:c r="V234" s="599" t="n">
        <x:f>IF(OR(Q234="",Q234="待结算"),"",IF(L234=LEFT(F234,FIND(" vs ",F234)-1),I234,G234))</x:f>
        <x:v>0.84</x:v>
      </x:c>
      <x:c r="W234" s="599" t="n">
        <x:f>IF(OR(U234="",U234="待结算"),"",IF(U234="红",V234,IF(U234="半红",V234*0.5,IF(U234="走",0,IF(U234="半黑",-0.5,-1)))))</x:f>
        <x:v>0.84</x:v>
      </x:c>
      <x:c r="X234" s="595" t="inlineStr">
        <x:is>
          <x:t xml:space="preserve">3027776</x:t>
        </x:is>
      </x:c>
      <x:c r="Y234" s="595" t="inlineStr">
        <x:is>
          <x:t xml:space="preserve">v4-market-dirichlet-20260913</x:t>
        </x:is>
      </x:c>
      <x:c r="Z234" s="595" t="inlineStr">
        <x:is>
          <x:t xml:space="preserve">prior-2026-09-19-v1</x:t>
        </x:is>
      </x:c>
      <x:c r="AA234" s="595" t="inlineStr">
        <x:is>
          <x:t xml:space="preserve">C</x:t>
        </x:is>
      </x:c>
      <x:c r="AB234" s="600" t="n">
        <x:v>0.4210526315789473</x:v>
      </x:c>
      <x:c r="AC234" s="600" t="n">
        <x:v>0</x:v>
      </x:c>
      <x:c r="AD234" s="600" t="n">
        <x:v>0.2236842105263158</x:v>
      </x:c>
      <x:c r="AE234" s="600" t="n">
        <x:v>0</x:v>
      </x:c>
      <x:c r="AF234" s="600" t="n">
        <x:v>0.3552631578947368</x:v>
      </x:c>
      <x:c r="AG234" s="600" t="n">
        <x:v>0.006842105263157872</x:v>
      </x:c>
      <x:c r="AH234" s="600" t="n">
        <x:v>-0.1526832660561979</x:v>
      </x:c>
      <x:c r="AI234" s="600" t="n">
        <x:v>-0.1165473469121842</x:v>
      </x:c>
      <x:c r="AJ234" s="600" t="n">
        <x:v>0.007114257987001271</x:v>
      </x:c>
      <x:c r="AK234" s="600" t="n">
        <x:v>0.1257192762777907</x:v>
      </x:c>
      <x:c r="AL234" s="600" t="n">
        <x:v>0.1592911149655299</x:v>
      </x:c>
      <x:c r="AM234" s="600" t="n">
        <x:v>0.5298</x:v>
      </x:c>
      <x:c r="AN234" s="595" t="inlineStr">
        <x:is>
          <x:t xml:space="preserve">EVALUATED</x:t>
        </x:is>
      </x:c>
      <x:c r="AO234" s="600" t="inlineStr">
        <x:is>
          <x:t xml:space="preserve">BUCKET_1.00、SIDE_IDENTITY_VALID、FLAT_LINE_GIVING_WATER_DROP</x:t>
        </x:is>
      </x:c>
      <x:c r="AP234" s="600" t="inlineStr">
        <x:is>
          <x:t xml:space="preserve">ba4fa0bf437a396f5209</x:t>
        </x:is>
      </x:c>
      <x:c r="AQ234" s="600" t="n">
        <x:v>1</x:v>
      </x:c>
      <x:c r="AR234" s="600" t="n">
        <x:v>0.86</x:v>
      </x:c>
      <x:c r="AS234" s="600" t="n">
        <x:v>1</x:v>
      </x:c>
      <x:c r="AT234" s="600" t="n">
        <x:v>-1</x:v>
      </x:c>
      <x:c r="AU234" s="600" t="n">
        <x:v>0.86</x:v>
      </x:c>
      <x:c r="AV234" s="600" t="n">
        <x:v>0.84</x:v>
      </x:c>
      <x:c r="AW234" s="595" t="n">
        <x:v>46284.25887726852</x:v>
      </x:c>
      <x:c r="AX234" s="595" t="inlineStr">
        <x:is>
          <x:t xml:space="preserve">https://simondongxiao.github.io/odds/v4/</x:t>
        </x:is>
      </x:c>
      <x:c r="AY234" s="595" t="inlineStr">
        <x:is>
          <x:t xml:space="preserve">V4 Shadow Only；real_money=false；比分差异详见记录审计</x:t>
        </x:is>
      </x:c>
    </x:row>
    <x:row r="235" ht="22" customHeight="1">
      <x:c r="A235" s="595" t="inlineStr">
        <x:is>
          <x:t xml:space="preserve">2026-09-19</x:t>
        </x:is>
      </x:c>
      <x:c r="B235" s="595" t="inlineStr">
        <x:is>
          <x:t xml:space="preserve">2026-09-19 22:00</x:t>
        </x:is>
      </x:c>
      <x:c r="C235" s="595" t="str">
        <x:v>欧洲非五大系列</x:v>
      </x:c>
      <x:c r="D235" s="595" t="inlineStr">
        <x:is>
          <x:t xml:space="preserve">联赛</x:t>
        </x:is>
      </x:c>
      <x:c r="E235" s="595" t="inlineStr">
        <x:is>
          <x:t xml:space="preserve">苏冠</x:t>
        </x:is>
      </x:c>
      <x:c r="F235" s="595" t="inlineStr">
        <x:is>
          <x:t xml:space="preserve">摩顿 vs 邓弗姆林</x:t>
        </x:is>
      </x:c>
      <x:c r="G235" s="596" t="n">
        <x:v>1.28</x:v>
      </x:c>
      <x:c r="H235" s="596" t="n">
        <x:v>-0.5</x:v>
      </x:c>
      <x:c r="I235" s="596" t="n">
        <x:v>0.6</x:v>
      </x:c>
      <x:c r="J235" s="596" t="inlineStr">
        <x:is>
          <x:t xml:space="preserve">1.28/-0.5/0.60</x:t>
        </x:is>
      </x:c>
      <x:c r="K235" s="595" t="inlineStr">
        <x:is>
          <x:t xml:space="preserve">V4-A｜EV +0.1465</x:t>
        </x:is>
      </x:c>
      <x:c r="L235" s="595" t="inlineStr">
        <x:is>
          <x:t xml:space="preserve">摩顿</x:t>
        </x:is>
      </x:c>
      <x:c r="M235" s="597" t="n">
        <x:v>0.5028571428571429</x:v>
      </x:c>
      <x:c r="N235" s="595" t="inlineStr">
        <x:is>
          <x:t xml:space="preserve">V4纸面入选-A</x:t>
        </x:is>
      </x:c>
      <x:c r="O235" s="595" t="inlineStr">
        <x:is>
          <x:t xml:space="preserve">0-1</x:t>
        </x:is>
      </x:c>
      <x:c r="P235" s="595" t="inlineStr">
        <x:is>
          <x:t xml:space="preserve">已结算</x:t>
        </x:is>
      </x:c>
      <x:c r="Q235" s="641" t="inlineStr">
        <x:is>
          <x:t xml:space="preserve">黑</x:t>
        </x:is>
      </x:c>
      <x:c r="R235" s="599" t="n">
        <x:v>1.28</x:v>
      </x:c>
      <x:c r="S235" s="599" t="n">
        <x:f>IF(OR(Q235="",Q235="待结算"),"",IF(Q235="红",R235,IF(Q235="半红",R235*0.5,IF(Q235="走",0,IF(Q235="半黑",-0.5,-1)))))</x:f>
        <x:v>-1</x:v>
      </x:c>
      <x:c r="T235" s="595" t="inlineStr">
        <x:is>
          <x:t xml:space="preserve">https://zq.titan007.com/analysis/3002262cn.htm</x:t>
        </x:is>
      </x:c>
      <x:c r="U235" s="640" t="str">
        <x:f>IF(Q235="","",IF(Q235="待结算","待结算",IF(Q235="红","黑",IF(Q235="半红","半黑",IF(Q235="走","走",IF(Q235="半黑","半红","红"))))))</x:f>
        <x:v>红</x:v>
      </x:c>
      <x:c r="V235" s="599" t="n">
        <x:f>IF(OR(Q235="",Q235="待结算"),"",IF(L235=LEFT(F235,FIND(" vs ",F235)-1),I235,G235))</x:f>
        <x:v>0.6</x:v>
      </x:c>
      <x:c r="W235" s="599" t="n">
        <x:f>IF(OR(U235="",U235="待结算"),"",IF(U235="红",V235,IF(U235="半红",V235*0.5,IF(U235="走",0,IF(U235="半黑",-0.5,-1)))))</x:f>
        <x:v>0.6</x:v>
      </x:c>
      <x:c r="X235" s="595" t="inlineStr">
        <x:is>
          <x:t xml:space="preserve">3002262</x:t>
        </x:is>
      </x:c>
      <x:c r="Y235" s="595" t="inlineStr">
        <x:is>
          <x:t xml:space="preserve">v4-market-dirichlet-20260913</x:t>
        </x:is>
      </x:c>
      <x:c r="Z235" s="595" t="inlineStr">
        <x:is>
          <x:t xml:space="preserve">prior-2026-09-19-v1</x:t>
        </x:is>
      </x:c>
      <x:c r="AA235" s="595" t="inlineStr">
        <x:is>
          <x:t xml:space="preserve">A</x:t>
        </x:is>
      </x:c>
      <x:c r="AB235" s="600" t="n">
        <x:v>0.5028571428571429</x:v>
      </x:c>
      <x:c r="AC235" s="600" t="n">
        <x:v>0</x:v>
      </x:c>
      <x:c r="AD235" s="600" t="n">
        <x:v>0</x:v>
      </x:c>
      <x:c r="AE235" s="600" t="n">
        <x:v>0</x:v>
      </x:c>
      <x:c r="AF235" s="600" t="n">
        <x:v>0.4971428571428572</x:v>
      </x:c>
      <x:c r="AG235" s="600" t="n">
        <x:v>0.1465142857142858</x:v>
      </x:c>
      <x:c r="AH235" s="600" t="n">
        <x:v>0.01181330908754852</x:v>
      </x:c>
      <x:c r="AI235" s="600" t="n">
        <x:v>0.04104904746349747</x:v>
      </x:c>
      <x:c r="AJ235" s="600" t="n">
        <x:v>0.1479776471868702</x:v>
      </x:c>
      <x:c r="AK235" s="600" t="n">
        <x:v>0.2522470418808662</x:v>
      </x:c>
      <x:c r="AL235" s="600" t="n">
        <x:v>0.2832460513706737</x:v>
      </x:c>
      <x:c r="AM235" s="600" t="n">
        <x:v>0.9624</x:v>
      </x:c>
      <x:c r="AN235" s="595" t="inlineStr">
        <x:is>
          <x:t xml:space="preserve">EVALUATED</x:t>
        </x:is>
      </x:c>
      <x:c r="AO235" s="600" t="inlineStr">
        <x:is>
          <x:t xml:space="preserve">BUCKET_0.50、SIDE_IDENTITY_VALID、FLAT_LINE_GIVING_WATER_DROP</x:t>
        </x:is>
      </x:c>
      <x:c r="AP235" s="600" t="inlineStr">
        <x:is>
          <x:t xml:space="preserve">92c83edad8a829e97ebb</x:t>
        </x:is>
      </x:c>
      <x:c r="AQ235" s="600" t="n">
        <x:v>0.5</x:v>
      </x:c>
      <x:c r="AR235" s="600" t="n">
        <x:v>1.28</x:v>
      </x:c>
      <x:c r="AS235" s="600" t="n">
        <x:v>0.5</x:v>
      </x:c>
      <x:c r="AT235" s="600" t="n">
        <x:v>-0.5</x:v>
      </x:c>
      <x:c r="AU235" s="600" t="n">
        <x:v>1.28</x:v>
      </x:c>
      <x:c r="AV235" s="600" t="n">
        <x:v>0.6</x:v>
      </x:c>
      <x:c r="AW235" s="595" t="n">
        <x:v>46284.25887726852</x:v>
      </x:c>
      <x:c r="AX235" s="595" t="inlineStr">
        <x:is>
          <x:t xml:space="preserve">https://simondongxiao.github.io/odds/v4/</x:t>
        </x:is>
      </x:c>
      <x:c r="AY235" s="595" t="inlineStr">
        <x:is>
          <x:t xml:space="preserve">V4 Shadow Only；real_money=false；比分差异详见记录审计</x:t>
        </x:is>
      </x:c>
    </x:row>
    <x:row r="236" ht="22" customHeight="1">
      <x:c r="A236" s="595" t="inlineStr">
        <x:is>
          <x:t xml:space="preserve">2026-09-19</x:t>
        </x:is>
      </x:c>
      <x:c r="B236" s="595" t="inlineStr">
        <x:is>
          <x:t xml:space="preserve">2026-09-19 22:00</x:t>
        </x:is>
      </x:c>
      <x:c r="C236" s="595" t="str">
        <x:v>欧洲非五大系列</x:v>
      </x:c>
      <x:c r="D236" s="595" t="inlineStr">
        <x:is>
          <x:t xml:space="preserve">联赛</x:t>
        </x:is>
      </x:c>
      <x:c r="E236" s="595" t="inlineStr">
        <x:is>
          <x:t xml:space="preserve">挪甲</x:t>
        </x:is>
      </x:c>
      <x:c r="F236" s="595" t="inlineStr">
        <x:is>
          <x:t xml:space="preserve">阿萨纳 vs 布莱尼</x:t>
        </x:is>
      </x:c>
      <x:c r="G236" s="596" t="n">
        <x:v>1.03</x:v>
      </x:c>
      <x:c r="H236" s="596" t="n">
        <x:v>-0.5</x:v>
      </x:c>
      <x:c r="I236" s="596" t="n">
        <x:v>0.8100000000000001</x:v>
      </x:c>
      <x:c r="J236" s="596" t="inlineStr">
        <x:is>
          <x:t xml:space="preserve">1.03/-0.5/0.81</x:t>
        </x:is>
      </x:c>
      <x:c r="K236" s="595" t="inlineStr">
        <x:is>
          <x:t xml:space="preserve">V4-C｜EV +0.0208</x:t>
        </x:is>
      </x:c>
      <x:c r="L236" s="595" t="inlineStr">
        <x:is>
          <x:t xml:space="preserve">阿萨纳</x:t>
        </x:is>
      </x:c>
      <x:c r="M236" s="597" t="n">
        <x:v>0.5028571428571429</x:v>
      </x:c>
      <x:c r="N236" s="595" t="inlineStr">
        <x:is>
          <x:t xml:space="preserve">V4纸面入选-C</x:t>
        </x:is>
      </x:c>
      <x:c r="O236" s="595" t="inlineStr">
        <x:is>
          <x:t xml:space="preserve">0-4</x:t>
        </x:is>
      </x:c>
      <x:c r="P236" s="595" t="inlineStr">
        <x:is>
          <x:t xml:space="preserve">已结算</x:t>
        </x:is>
      </x:c>
      <x:c r="Q236" s="641" t="inlineStr">
        <x:is>
          <x:t xml:space="preserve">黑</x:t>
        </x:is>
      </x:c>
      <x:c r="R236" s="599" t="n">
        <x:v>1.03</x:v>
      </x:c>
      <x:c r="S236" s="599" t="n">
        <x:f>IF(OR(Q236="",Q236="待结算"),"",IF(Q236="红",R236,IF(Q236="半红",R236*0.5,IF(Q236="走",0,IF(Q236="半黑",-0.5,-1)))))</x:f>
        <x:v>-1</x:v>
      </x:c>
      <x:c r="T236" s="595" t="inlineStr">
        <x:is>
          <x:t xml:space="preserve">https://zq.titan007.com/analysis/2913146cn.htm</x:t>
        </x:is>
      </x:c>
      <x:c r="U236" s="640" t="str">
        <x:f>IF(Q236="","",IF(Q236="待结算","待结算",IF(Q236="红","黑",IF(Q236="半红","半黑",IF(Q236="走","走",IF(Q236="半黑","半红","红"))))))</x:f>
        <x:v>红</x:v>
      </x:c>
      <x:c r="V236" s="599" t="n">
        <x:f>IF(OR(Q236="",Q236="待结算"),"",IF(L236=LEFT(F236,FIND(" vs ",F236)-1),I236,G236))</x:f>
        <x:v>0.81</x:v>
      </x:c>
      <x:c r="W236" s="599" t="n">
        <x:f>IF(OR(U236="",U236="待结算"),"",IF(U236="红",V236,IF(U236="半红",V236*0.5,IF(U236="走",0,IF(U236="半黑",-0.5,-1)))))</x:f>
        <x:v>0.81</x:v>
      </x:c>
      <x:c r="X236" s="595" t="inlineStr">
        <x:is>
          <x:t xml:space="preserve">2913146</x:t>
        </x:is>
      </x:c>
      <x:c r="Y236" s="595" t="inlineStr">
        <x:is>
          <x:t xml:space="preserve">v4-market-dirichlet-20260913</x:t>
        </x:is>
      </x:c>
      <x:c r="Z236" s="595" t="inlineStr">
        <x:is>
          <x:t xml:space="preserve">prior-2026-09-19-v1</x:t>
        </x:is>
      </x:c>
      <x:c r="AA236" s="595" t="inlineStr">
        <x:is>
          <x:t xml:space="preserve">C</x:t>
        </x:is>
      </x:c>
      <x:c r="AB236" s="600" t="n">
        <x:v>0.5028571428571429</x:v>
      </x:c>
      <x:c r="AC236" s="600" t="n">
        <x:v>0</x:v>
      </x:c>
      <x:c r="AD236" s="600" t="n">
        <x:v>0</x:v>
      </x:c>
      <x:c r="AE236" s="600" t="n">
        <x:v>0</x:v>
      </x:c>
      <x:c r="AF236" s="600" t="n">
        <x:v>0.4971428571428572</x:v>
      </x:c>
      <x:c r="AG236" s="600" t="n">
        <x:v>0.02079999999999999</x:v>
      </x:c>
      <x:c r="AH236" s="600" t="n">
        <x:v>-0.1048358263097554</x:v>
      </x:c>
      <x:c r="AI236" s="600" t="n">
        <x:v>-0.07609223366878715</x:v>
      </x:c>
      <x:c r="AJ236" s="600" t="n">
        <x:v>0.02052114178355952</x:v>
      </x:c>
      <x:c r="AK236" s="600" t="n">
        <x:v>0.1153630833628274</x:v>
      </x:c>
      <x:c r="AL236" s="600" t="n">
        <x:v>0.1432275092423411</x:v>
      </x:c>
      <x:c r="AM236" s="600" t="n">
        <x:v>0.608</x:v>
      </x:c>
      <x:c r="AN236" s="595" t="inlineStr">
        <x:is>
          <x:t xml:space="preserve">EVALUATED</x:t>
        </x:is>
      </x:c>
      <x:c r="AO236" s="600" t="inlineStr">
        <x:is>
          <x:t xml:space="preserve">BUCKET_0.50、SIDE_IDENTITY_VALID、FLAT_LINE_GIVING_WATER_DROP</x:t>
        </x:is>
      </x:c>
      <x:c r="AP236" s="600" t="inlineStr">
        <x:is>
          <x:t xml:space="preserve">b4fef941baa83ba96c71</x:t>
        </x:is>
      </x:c>
      <x:c r="AQ236" s="600" t="n">
        <x:v>0.5</x:v>
      </x:c>
      <x:c r="AR236" s="600" t="n">
        <x:v>1.03</x:v>
      </x:c>
      <x:c r="AS236" s="600" t="n">
        <x:v>0.5</x:v>
      </x:c>
      <x:c r="AT236" s="600" t="n">
        <x:v>-0.5</x:v>
      </x:c>
      <x:c r="AU236" s="600" t="n">
        <x:v>1.03</x:v>
      </x:c>
      <x:c r="AV236" s="600" t="n">
        <x:v>0.8100000000000001</x:v>
      </x:c>
      <x:c r="AW236" s="595" t="n">
        <x:v>46284.25887726852</x:v>
      </x:c>
      <x:c r="AX236" s="595" t="inlineStr">
        <x:is>
          <x:t xml:space="preserve">https://simondongxiao.github.io/odds/v4/</x:t>
        </x:is>
      </x:c>
      <x:c r="AY236" s="595" t="inlineStr">
        <x:is>
          <x:t xml:space="preserve">V4 Shadow Only；real_money=false；比分差异详见记录审计</x:t>
        </x:is>
      </x:c>
    </x:row>
    <x:row r="237" ht="22" customHeight="1">
      <x:c r="A237" s="595" t="inlineStr">
        <x:is>
          <x:t xml:space="preserve">2026-09-19</x:t>
        </x:is>
      </x:c>
      <x:c r="B237" s="595" t="inlineStr">
        <x:is>
          <x:t xml:space="preserve">2026-09-19 22:00</x:t>
        </x:is>
      </x:c>
      <x:c r="C237" s="595" t="str">
        <x:v>欧洲非五大系列</x:v>
      </x:c>
      <x:c r="D237" s="595" t="inlineStr">
        <x:is>
          <x:t xml:space="preserve">杯赛</x:t>
        </x:is>
      </x:c>
      <x:c r="E237" s="595" t="inlineStr">
        <x:is>
          <x:t xml:space="preserve">葡杯</x:t>
        </x:is>
      </x:c>
      <x:c r="F237" s="595" t="inlineStr">
        <x:is>
          <x:t xml:space="preserve">塞尔纳谢 vs 华森</x:t>
        </x:is>
      </x:c>
      <x:c r="G237" s="596" t="n">
        <x:v>1</x:v>
      </x:c>
      <x:c r="H237" s="596" t="n">
        <x:v>-0.5</x:v>
      </x:c>
      <x:c r="I237" s="596" t="n">
        <x:v>0.82</x:v>
      </x:c>
      <x:c r="J237" s="596" t="inlineStr">
        <x:is>
          <x:t xml:space="preserve">1.00/-0.5/0.82</x:t>
        </x:is>
      </x:c>
      <x:c r="K237" s="595" t="inlineStr">
        <x:is>
          <x:t xml:space="preserve">V4-C｜EV +0.0057</x:t>
        </x:is>
      </x:c>
      <x:c r="L237" s="595" t="inlineStr">
        <x:is>
          <x:t xml:space="preserve">塞尔纳谢</x:t>
        </x:is>
      </x:c>
      <x:c r="M237" s="597" t="n">
        <x:v>0.5028571428571429</x:v>
      </x:c>
      <x:c r="N237" s="595" t="inlineStr">
        <x:is>
          <x:t xml:space="preserve">V4纸面入选-C</x:t>
        </x:is>
      </x:c>
      <x:c r="O237" s="595" t="inlineStr">
        <x:is>
          <x:t xml:space="preserve">2-1</x:t>
        </x:is>
      </x:c>
      <x:c r="P237" s="595" t="inlineStr">
        <x:is>
          <x:t xml:space="preserve">已结算</x:t>
        </x:is>
      </x:c>
      <x:c r="Q237" s="640" t="inlineStr">
        <x:is>
          <x:t xml:space="preserve">红</x:t>
        </x:is>
      </x:c>
      <x:c r="R237" s="599" t="n">
        <x:v>1</x:v>
      </x:c>
      <x:c r="S237" s="599" t="n">
        <x:f>IF(OR(Q237="",Q237="待结算"),"",IF(Q237="红",R237,IF(Q237="半红",R237*0.5,IF(Q237="走",0,IF(Q237="半黑",-0.5,-1)))))</x:f>
        <x:v>1</x:v>
      </x:c>
      <x:c r="T237" s="595" t="inlineStr">
        <x:is>
          <x:t xml:space="preserve">https://zq.titan007.com/analysis/3089851cn.htm</x:t>
        </x:is>
      </x:c>
      <x:c r="U237" s="641" t="str">
        <x:f>IF(Q237="","",IF(Q237="待结算","待结算",IF(Q237="红","黑",IF(Q237="半红","半黑",IF(Q237="走","走",IF(Q237="半黑","半红","红"))))))</x:f>
        <x:v>黑</x:v>
      </x:c>
      <x:c r="V237" s="599" t="n">
        <x:f>IF(OR(Q237="",Q237="待结算"),"",IF(L237=LEFT(F237,FIND(" vs ",F237)-1),I237,G237))</x:f>
        <x:v>0.82</x:v>
      </x:c>
      <x:c r="W237" s="599" t="n">
        <x:f>IF(OR(U237="",U237="待结算"),"",IF(U237="红",V237,IF(U237="半红",V237*0.5,IF(U237="走",0,IF(U237="半黑",-0.5,-1)))))</x:f>
        <x:v>-1</x:v>
      </x:c>
      <x:c r="X237" s="595" t="inlineStr">
        <x:is>
          <x:t xml:space="preserve">3089851</x:t>
        </x:is>
      </x:c>
      <x:c r="Y237" s="595" t="inlineStr">
        <x:is>
          <x:t xml:space="preserve">v4-market-dirichlet-20260913</x:t>
        </x:is>
      </x:c>
      <x:c r="Z237" s="595" t="inlineStr">
        <x:is>
          <x:t xml:space="preserve">prior-2026-09-19-v1</x:t>
        </x:is>
      </x:c>
      <x:c r="AA237" s="595" t="inlineStr">
        <x:is>
          <x:t xml:space="preserve">C</x:t>
        </x:is>
      </x:c>
      <x:c r="AB237" s="600" t="n">
        <x:v>0.5028571428571429</x:v>
      </x:c>
      <x:c r="AC237" s="600" t="n">
        <x:v>0</x:v>
      </x:c>
      <x:c r="AD237" s="600" t="n">
        <x:v>0</x:v>
      </x:c>
      <x:c r="AE237" s="600" t="n">
        <x:v>0</x:v>
      </x:c>
      <x:c r="AF237" s="600" t="n">
        <x:v>0.4971428571428572</x:v>
      </x:c>
      <x:c r="AG237" s="600" t="n">
        <x:v>0.005714285714285727</x:v>
      </x:c>
      <x:c r="AH237" s="600" t="n">
        <x:v>-0.1172001051939515</x:v>
      </x:c>
      <x:c r="AI237" s="600" t="n">
        <x:v>-0.08971236202518479</x:v>
      </x:c>
      <x:c r="AJ237" s="600" t="n">
        <x:v>0.006324647558102969</x:v>
      </x:c>
      <x:c r="AK237" s="600" t="n">
        <x:v>0.105824598843192</x:v>
      </x:c>
      <x:c r="AL237" s="600" t="n">
        <x:v>0.1332789319562785</x:v>
      </x:c>
      <x:c r="AM237" s="600" t="n">
        <x:v>0.5374</x:v>
      </x:c>
      <x:c r="AN237" s="595" t="inlineStr">
        <x:is>
          <x:t xml:space="preserve">EVALUATED</x:t>
        </x:is>
      </x:c>
      <x:c r="AO237" s="600" t="inlineStr">
        <x:is>
          <x:t xml:space="preserve">BUCKET_0.50、SIDE_IDENTITY_VALID、FLAT_LINE_GIVING_WATER_RISE</x:t>
        </x:is>
      </x:c>
      <x:c r="AP237" s="600" t="inlineStr">
        <x:is>
          <x:t xml:space="preserve">f89ece0f672d6151acd2</x:t>
        </x:is>
      </x:c>
      <x:c r="AQ237" s="600" t="n">
        <x:v>0.5</x:v>
      </x:c>
      <x:c r="AR237" s="600" t="n">
        <x:v>1</x:v>
      </x:c>
      <x:c r="AS237" s="600" t="n">
        <x:v>0.5</x:v>
      </x:c>
      <x:c r="AT237" s="600" t="n">
        <x:v>-0.5</x:v>
      </x:c>
      <x:c r="AU237" s="600" t="n">
        <x:v>1</x:v>
      </x:c>
      <x:c r="AV237" s="600" t="n">
        <x:v>0.82</x:v>
      </x:c>
      <x:c r="AW237" s="595" t="n">
        <x:v>46284.25887726852</x:v>
      </x:c>
      <x:c r="AX237" s="595" t="inlineStr">
        <x:is>
          <x:t xml:space="preserve">https://simondongxiao.github.io/odds/v4/</x:t>
        </x:is>
      </x:c>
      <x:c r="AY237" s="595" t="inlineStr">
        <x:is>
          <x:t xml:space="preserve">V4 Shadow Only；real_money=false；比分差异详见记录审计</x:t>
        </x:is>
      </x:c>
    </x:row>
    <x:row r="238" ht="22" customHeight="1">
      <x:c r="A238" s="595" t="inlineStr">
        <x:is>
          <x:t xml:space="preserve">2026-09-19</x:t>
        </x:is>
      </x:c>
      <x:c r="B238" s="595" t="inlineStr">
        <x:is>
          <x:t xml:space="preserve">2026-09-19 22:15</x:t>
        </x:is>
      </x:c>
      <x:c r="C238" s="595" t="str">
        <x:v>欧洲五大系列</x:v>
      </x:c>
      <x:c r="D238" s="595" t="inlineStr">
        <x:is>
          <x:t xml:space="preserve">联赛</x:t>
        </x:is>
      </x:c>
      <x:c r="E238" s="595" t="inlineStr">
        <x:is>
          <x:t xml:space="preserve">西甲</x:t>
        </x:is>
      </x:c>
      <x:c r="F238" s="595" t="inlineStr">
        <x:is>
          <x:t xml:space="preserve">毕尔巴鄂竞技 vs 阿拉维斯</x:t>
        </x:is>
      </x:c>
      <x:c r="G238" s="596" t="n">
        <x:v>0.8</x:v>
      </x:c>
      <x:c r="H238" s="596" t="n">
        <x:v>0.75</x:v>
      </x:c>
      <x:c r="I238" s="596" t="n">
        <x:v>1.09</x:v>
      </x:c>
      <x:c r="J238" s="596" t="inlineStr">
        <x:is>
          <x:t xml:space="preserve">0.80/0.75/1.09</x:t>
        </x:is>
      </x:c>
      <x:c r="K238" s="595" t="inlineStr">
        <x:is>
          <x:t xml:space="preserve">V4-C｜EV +0.0522</x:t>
        </x:is>
      </x:c>
      <x:c r="L238" s="595" t="inlineStr">
        <x:is>
          <x:t xml:space="preserve">阿拉维斯</x:t>
        </x:is>
      </x:c>
      <x:c r="M238" s="597" t="n">
        <x:v>0.5071770334928229</x:v>
      </x:c>
      <x:c r="N238" s="595" t="inlineStr">
        <x:is>
          <x:t xml:space="preserve">V4纸面入选-C</x:t>
        </x:is>
      </x:c>
      <x:c r="O238" s="595" t="inlineStr">
        <x:is>
          <x:t xml:space="preserve">0-0</x:t>
        </x:is>
      </x:c>
      <x:c r="P238" s="595" t="inlineStr">
        <x:is>
          <x:t xml:space="preserve">已结算</x:t>
        </x:is>
      </x:c>
      <x:c r="Q238" s="640" t="inlineStr">
        <x:is>
          <x:t xml:space="preserve">红</x:t>
        </x:is>
      </x:c>
      <x:c r="R238" s="599" t="n">
        <x:v>1.09</x:v>
      </x:c>
      <x:c r="S238" s="599" t="n">
        <x:f>IF(OR(Q238="",Q238="待结算"),"",IF(Q238="红",R238,IF(Q238="半红",R238*0.5,IF(Q238="走",0,IF(Q238="半黑",-0.5,-1)))))</x:f>
        <x:v>1.09</x:v>
      </x:c>
      <x:c r="T238" s="595" t="inlineStr">
        <x:is>
          <x:t xml:space="preserve">https://zq.titan007.com/analysis/3013702cn.htm</x:t>
        </x:is>
      </x:c>
      <x:c r="U238" s="641" t="str">
        <x:f>IF(Q238="","",IF(Q238="待结算","待结算",IF(Q238="红","黑",IF(Q238="半红","半黑",IF(Q238="走","走",IF(Q238="半黑","半红","红"))))))</x:f>
        <x:v>黑</x:v>
      </x:c>
      <x:c r="V238" s="599" t="n">
        <x:f>IF(OR(Q238="",Q238="待结算"),"",IF(L238=LEFT(F238,FIND(" vs ",F238)-1),I238,G238))</x:f>
        <x:v>0.8</x:v>
      </x:c>
      <x:c r="W238" s="599" t="n">
        <x:f>IF(OR(U238="",U238="待结算"),"",IF(U238="红",V238,IF(U238="半红",V238*0.5,IF(U238="走",0,IF(U238="半黑",-0.5,-1)))))</x:f>
        <x:v>-1</x:v>
      </x:c>
      <x:c r="X238" s="595" t="inlineStr">
        <x:is>
          <x:t xml:space="preserve">3013702</x:t>
        </x:is>
      </x:c>
      <x:c r="Y238" s="595" t="inlineStr">
        <x:is>
          <x:t xml:space="preserve">v4-market-dirichlet-20260913</x:t>
        </x:is>
      </x:c>
      <x:c r="Z238" s="595" t="inlineStr">
        <x:is>
          <x:t xml:space="preserve">prior-2026-09-19-v1</x:t>
        </x:is>
      </x:c>
      <x:c r="AA238" s="595" t="inlineStr">
        <x:is>
          <x:t xml:space="preserve">C</x:t>
        </x:is>
      </x:c>
      <x:c r="AB238" s="600" t="n">
        <x:v>0.4416666666666667</x:v>
      </x:c>
      <x:c r="AC238" s="600" t="n">
        <x:v>0</x:v>
      </x:c>
      <x:c r="AD238" s="600" t="n">
        <x:v>0</x:v>
      </x:c>
      <x:c r="AE238" s="600" t="n">
        <x:v>0.2583333333333334</x:v>
      </x:c>
      <x:c r="AF238" s="600" t="n">
        <x:v>0.3</x:v>
      </x:c>
      <x:c r="AG238" s="600" t="n">
        <x:v>0.05224999999999996</x:v>
      </x:c>
      <x:c r="AH238" s="600" t="n">
        <x:v>-0.08555648009922662</x:v>
      </x:c>
      <x:c r="AI238" s="600" t="n">
        <x:v>-0.05671852873176586</x:v>
      </x:c>
      <x:c r="AJ238" s="600" t="n">
        <x:v>0.05067759071734285</x:v>
      </x:c>
      <x:c r="AK238" s="600" t="n">
        <x:v>0.1635693583691102</x:v>
      </x:c>
      <x:c r="AL238" s="600" t="n">
        <x:v>0.1945247906326688</x:v>
      </x:c>
      <x:c r="AM238" s="600" t="n">
        <x:v>0.7226</x:v>
      </x:c>
      <x:c r="AN238" s="595" t="inlineStr">
        <x:is>
          <x:t xml:space="preserve">EVALUATED</x:t>
        </x:is>
      </x:c>
      <x:c r="AO238" s="600" t="inlineStr">
        <x:is>
          <x:t xml:space="preserve">BUCKET_0.75、SIDE_IDENTITY_VALID、FLAT_LINE_GIVING_WATER_DROP</x:t>
        </x:is>
      </x:c>
      <x:c r="AP238" s="600" t="inlineStr">
        <x:is>
          <x:t xml:space="preserve">d2a35021bc55c9c61442</x:t>
        </x:is>
      </x:c>
      <x:c r="AQ238" s="600" t="n">
        <x:v>0.75</x:v>
      </x:c>
      <x:c r="AR238" s="600" t="n">
        <x:v>1.09</x:v>
      </x:c>
      <x:c r="AS238" s="600" t="n">
        <x:v>-0.75</x:v>
      </x:c>
      <x:c r="AT238" s="600" t="n">
        <x:v>0.75</x:v>
      </x:c>
      <x:c r="AU238" s="600" t="n">
        <x:v>0.8</x:v>
      </x:c>
      <x:c r="AV238" s="600" t="n">
        <x:v>1.09</x:v>
      </x:c>
      <x:c r="AW238" s="595" t="n">
        <x:v>46284.25887726852</x:v>
      </x:c>
      <x:c r="AX238" s="595" t="inlineStr">
        <x:is>
          <x:t xml:space="preserve">https://simondongxiao.github.io/odds/v4/</x:t>
        </x:is>
      </x:c>
      <x:c r="AY238" s="595" t="inlineStr">
        <x:is>
          <x:t xml:space="preserve">V4 Shadow Only；real_money=false；比分差异详见记录审计</x:t>
        </x:is>
      </x:c>
    </x:row>
    <x:row r="239" ht="22" customHeight="1">
      <x:c r="A239" s="595" t="inlineStr">
        <x:is>
          <x:t xml:space="preserve">2026-09-19</x:t>
        </x:is>
      </x:c>
      <x:c r="B239" s="595" t="inlineStr">
        <x:is>
          <x:t xml:space="preserve">2026-09-19 22:30</x:t>
        </x:is>
      </x:c>
      <x:c r="C239" s="595" t="str">
        <x:v>五大联赛非顶级联赛</x:v>
      </x:c>
      <x:c r="D239" s="595" t="inlineStr">
        <x:is>
          <x:t xml:space="preserve">联赛</x:t>
        </x:is>
      </x:c>
      <x:c r="E239" s="595" t="inlineStr">
        <x:is>
          <x:t xml:space="preserve">西协甲</x:t>
        </x:is>
      </x:c>
      <x:c r="F239" s="595" t="inlineStr">
        <x:is>
          <x:t xml:space="preserve">费罗尔竞技 vs 巴拉卡度</x:t>
        </x:is>
      </x:c>
      <x:c r="G239" s="596" t="n">
        <x:v>0.77</x:v>
      </x:c>
      <x:c r="H239" s="596" t="n">
        <x:v>0.25</x:v>
      </x:c>
      <x:c r="I239" s="596" t="n">
        <x:v>1.05</x:v>
      </x:c>
      <x:c r="J239" s="596" t="inlineStr">
        <x:is>
          <x:t xml:space="preserve">0.77/0.25/1.05</x:t>
        </x:is>
      </x:c>
      <x:c r="K239" s="595" t="inlineStr">
        <x:is>
          <x:t xml:space="preserve">V4-C｜EV +0.0230</x:t>
        </x:is>
      </x:c>
      <x:c r="L239" s="595" t="inlineStr">
        <x:is>
          <x:t xml:space="preserve">巴拉卡度</x:t>
        </x:is>
      </x:c>
      <x:c r="M239" s="597" t="n">
        <x:v>0.5010224948875256</x:v>
      </x:c>
      <x:c r="N239" s="595" t="inlineStr">
        <x:is>
          <x:t xml:space="preserve">V4纸面入选-C</x:t>
        </x:is>
      </x:c>
      <x:c r="O239" s="595" t="inlineStr">
        <x:is>
          <x:t xml:space="preserve">1-0</x:t>
        </x:is>
      </x:c>
      <x:c r="P239" s="595" t="inlineStr">
        <x:is>
          <x:t xml:space="preserve">已结算</x:t>
        </x:is>
      </x:c>
      <x:c r="Q239" s="641" t="inlineStr">
        <x:is>
          <x:t xml:space="preserve">黑</x:t>
        </x:is>
      </x:c>
      <x:c r="R239" s="599" t="n">
        <x:v>1.05</x:v>
      </x:c>
      <x:c r="S239" s="599" t="n">
        <x:f>IF(OR(Q239="",Q239="待结算"),"",IF(Q239="红",R239,IF(Q239="半红",R239*0.5,IF(Q239="走",0,IF(Q239="半黑",-0.5,-1)))))</x:f>
        <x:v>-1</x:v>
      </x:c>
      <x:c r="T239" s="595" t="inlineStr">
        <x:is>
          <x:t xml:space="preserve">https://zq.titan007.com/analysis/3014518cn.htm</x:t>
        </x:is>
      </x:c>
      <x:c r="U239" s="640" t="str">
        <x:f>IF(Q239="","",IF(Q239="待结算","待结算",IF(Q239="红","黑",IF(Q239="半红","半黑",IF(Q239="走","走",IF(Q239="半黑","半红","红"))))))</x:f>
        <x:v>红</x:v>
      </x:c>
      <x:c r="V239" s="599" t="n">
        <x:f>IF(OR(Q239="",Q239="待结算"),"",IF(L239=LEFT(F239,FIND(" vs ",F239)-1),I239,G239))</x:f>
        <x:v>0.77</x:v>
      </x:c>
      <x:c r="W239" s="599" t="n">
        <x:f>IF(OR(U239="",U239="待结算"),"",IF(U239="红",V239,IF(U239="半红",V239*0.5,IF(U239="走",0,IF(U239="半黑",-0.5,-1)))))</x:f>
        <x:v>0.77</x:v>
      </x:c>
      <x:c r="X239" s="595" t="inlineStr">
        <x:is>
          <x:t xml:space="preserve">3014518</x:t>
        </x:is>
      </x:c>
      <x:c r="Y239" s="595" t="inlineStr">
        <x:is>
          <x:t xml:space="preserve">v4-market-dirichlet-20260913</x:t>
        </x:is>
      </x:c>
      <x:c r="Z239" s="595" t="inlineStr">
        <x:is>
          <x:t xml:space="preserve">prior-2026-09-19-v1</x:t>
        </x:is>
      </x:c>
      <x:c r="AA239" s="595" t="inlineStr">
        <x:is>
          <x:t xml:space="preserve">C</x:t>
        </x:is>
      </x:c>
      <x:c r="AB239" s="600" t="n">
        <x:v>0.2743055555555556</x:v>
      </x:c>
      <x:c r="AC239" s="600" t="n">
        <x:v>0.3020833333333333</x:v>
      </x:c>
      <x:c r="AD239" s="600" t="n">
        <x:v>0</x:v>
      </x:c>
      <x:c r="AE239" s="600" t="n">
        <x:v>0</x:v>
      </x:c>
      <x:c r="AF239" s="600" t="n">
        <x:v>0.4236111111111111</x:v>
      </x:c>
      <x:c r="AG239" s="600" t="n">
        <x:v>0.02300347222222227</x:v>
      </x:c>
      <x:c r="AH239" s="600" t="n">
        <x:v>-0.06596837808831735</x:v>
      </x:c>
      <x:c r="AI239" s="600" t="n">
        <x:v>-0.04705454576360929</x:v>
      </x:c>
      <x:c r="AJ239" s="600" t="n">
        <x:v>0.02147513588767685</x:v>
      </x:c>
      <x:c r="AK239" s="600" t="n">
        <x:v>0.09297518891629247</x:v>
      </x:c>
      <x:c r="AL239" s="600" t="n">
        <x:v>0.1127701823479783</x:v>
      </x:c>
      <x:c r="AM239" s="600" t="n">
        <x:v>0.6524</x:v>
      </x:c>
      <x:c r="AN239" s="595" t="inlineStr">
        <x:is>
          <x:t xml:space="preserve">EVALUATED</x:t>
        </x:is>
      </x:c>
      <x:c r="AO239" s="600" t="inlineStr">
        <x:is>
          <x:t xml:space="preserve">BUCKET_0.25、SIDE_IDENTITY_VALID、FLAT_LINE_GIVING_WATER_DROP</x:t>
        </x:is>
      </x:c>
      <x:c r="AP239" s="600" t="inlineStr">
        <x:is>
          <x:t xml:space="preserve">26e9ae32268ff095f92d</x:t>
        </x:is>
      </x:c>
      <x:c r="AQ239" s="600" t="n">
        <x:v>0.25</x:v>
      </x:c>
      <x:c r="AR239" s="600" t="n">
        <x:v>1.05</x:v>
      </x:c>
      <x:c r="AS239" s="600" t="n">
        <x:v>-0.25</x:v>
      </x:c>
      <x:c r="AT239" s="600" t="n">
        <x:v>0.25</x:v>
      </x:c>
      <x:c r="AU239" s="600" t="n">
        <x:v>0.77</x:v>
      </x:c>
      <x:c r="AV239" s="600" t="n">
        <x:v>1.05</x:v>
      </x:c>
      <x:c r="AW239" s="595" t="n">
        <x:v>46284.25887726852</x:v>
      </x:c>
      <x:c r="AX239" s="595" t="inlineStr">
        <x:is>
          <x:t xml:space="preserve">https://simondongxiao.github.io/odds/v4/</x:t>
        </x:is>
      </x:c>
      <x:c r="AY239" s="595" t="inlineStr">
        <x:is>
          <x:t xml:space="preserve">V4 Shadow Only；real_money=false；比分差异详见记录审计</x:t>
        </x:is>
      </x:c>
    </x:row>
    <x:row r="240" ht="22" customHeight="1">
      <x:c r="A240" s="595" t="inlineStr">
        <x:is>
          <x:t xml:space="preserve">2026-09-19</x:t>
        </x:is>
      </x:c>
      <x:c r="B240" s="595" t="inlineStr">
        <x:is>
          <x:t xml:space="preserve">2026-09-19 22:30</x:t>
        </x:is>
      </x:c>
      <x:c r="C240" s="595" t="str">
        <x:v>五大联赛非顶级联赛</x:v>
      </x:c>
      <x:c r="D240" s="595" t="inlineStr">
        <x:is>
          <x:t xml:space="preserve">联赛</x:t>
        </x:is>
      </x:c>
      <x:c r="E240" s="595" t="inlineStr">
        <x:is>
          <x:t xml:space="preserve">德丙</x:t>
        </x:is>
      </x:c>
      <x:c r="F240" s="595" t="inlineStr">
        <x:is>
          <x:t xml:space="preserve">萨尔布吕肯 vs 格罗巴斯帕奇</x:t>
        </x:is>
      </x:c>
      <x:c r="G240" s="596" t="n">
        <x:v>0.84</x:v>
      </x:c>
      <x:c r="H240" s="596" t="n">
        <x:v>0.5</x:v>
      </x:c>
      <x:c r="I240" s="596" t="n">
        <x:v>1.02</x:v>
      </x:c>
      <x:c r="J240" s="596" t="inlineStr">
        <x:is>
          <x:t xml:space="preserve">0.84/0.5/1.02</x:t>
        </x:is>
      </x:c>
      <x:c r="K240" s="595" t="inlineStr">
        <x:is>
          <x:t xml:space="preserve">V4-C｜EV +0.0158</x:t>
        </x:is>
      </x:c>
      <x:c r="L240" s="595" t="inlineStr">
        <x:is>
          <x:t xml:space="preserve">格罗巴斯帕奇</x:t>
        </x:is>
      </x:c>
      <x:c r="M240" s="597" t="n">
        <x:v>0.5028571428571429</x:v>
      </x:c>
      <x:c r="N240" s="595" t="inlineStr">
        <x:is>
          <x:t xml:space="preserve">V4纸面入选-C</x:t>
        </x:is>
      </x:c>
      <x:c r="O240" s="595" t="inlineStr">
        <x:is>
          <x:t xml:space="preserve">2-1</x:t>
        </x:is>
      </x:c>
      <x:c r="P240" s="595" t="inlineStr">
        <x:is>
          <x:t xml:space="preserve">已结算</x:t>
        </x:is>
      </x:c>
      <x:c r="Q240" s="641" t="inlineStr">
        <x:is>
          <x:t xml:space="preserve">黑</x:t>
        </x:is>
      </x:c>
      <x:c r="R240" s="599" t="n">
        <x:v>1.02</x:v>
      </x:c>
      <x:c r="S240" s="599" t="n">
        <x:f>IF(OR(Q240="",Q240="待结算"),"",IF(Q240="红",R240,IF(Q240="半红",R240*0.5,IF(Q240="走",0,IF(Q240="半黑",-0.5,-1)))))</x:f>
        <x:v>-1</x:v>
      </x:c>
      <x:c r="T240" s="595" t="inlineStr">
        <x:is>
          <x:t xml:space="preserve">https://zq.titan007.com/analysis/3026059cn.htm</x:t>
        </x:is>
      </x:c>
      <x:c r="U240" s="640" t="str">
        <x:f>IF(Q240="","",IF(Q240="待结算","待结算",IF(Q240="红","黑",IF(Q240="半红","半黑",IF(Q240="走","走",IF(Q240="半黑","半红","红"))))))</x:f>
        <x:v>红</x:v>
      </x:c>
      <x:c r="V240" s="599" t="n">
        <x:f>IF(OR(Q240="",Q240="待结算"),"",IF(L240=LEFT(F240,FIND(" vs ",F240)-1),I240,G240))</x:f>
        <x:v>0.84</x:v>
      </x:c>
      <x:c r="W240" s="599" t="n">
        <x:f>IF(OR(U240="",U240="待结算"),"",IF(U240="红",V240,IF(U240="半红",V240*0.5,IF(U240="走",0,IF(U240="半黑",-0.5,-1)))))</x:f>
        <x:v>0.84</x:v>
      </x:c>
      <x:c r="X240" s="595" t="inlineStr">
        <x:is>
          <x:t xml:space="preserve">3026059</x:t>
        </x:is>
      </x:c>
      <x:c r="Y240" s="595" t="inlineStr">
        <x:is>
          <x:t xml:space="preserve">v4-market-dirichlet-20260913</x:t>
        </x:is>
      </x:c>
      <x:c r="Z240" s="595" t="inlineStr">
        <x:is>
          <x:t xml:space="preserve">prior-2026-09-19-v1</x:t>
        </x:is>
      </x:c>
      <x:c r="AA240" s="595" t="inlineStr">
        <x:is>
          <x:t xml:space="preserve">C</x:t>
        </x:is>
      </x:c>
      <x:c r="AB240" s="600" t="n">
        <x:v>0.5028571428571429</x:v>
      </x:c>
      <x:c r="AC240" s="600" t="n">
        <x:v>0</x:v>
      </x:c>
      <x:c r="AD240" s="600" t="n">
        <x:v>0</x:v>
      </x:c>
      <x:c r="AE240" s="600" t="n">
        <x:v>0</x:v>
      </x:c>
      <x:c r="AF240" s="600" t="n">
        <x:v>0.4971428571428572</x:v>
      </x:c>
      <x:c r="AG240" s="600" t="n">
        <x:v>0.0157714285714286</x:v>
      </x:c>
      <x:c r="AH240" s="600" t="n">
        <x:v>-0.113575916595028</x:v>
      </x:c>
      <x:c r="AI240" s="600" t="n">
        <x:v>-0.0834129657613209</x:v>
      </x:c>
      <x:c r="AJ240" s="600" t="n">
        <x:v>0.01391315581395486</x:v>
      </x:c>
      <x:c r="AK240" s="600" t="n">
        <x:v>0.1115546871081941</x:v>
      </x:c>
      <x:c r="AL240" s="600" t="n">
        <x:v>0.1381326460383514</x:v>
      </x:c>
      <x:c r="AM240" s="600" t="n">
        <x:v>0.576</x:v>
      </x:c>
      <x:c r="AN240" s="595" t="inlineStr">
        <x:is>
          <x:t xml:space="preserve">EVALUATED</x:t>
        </x:is>
      </x:c>
      <x:c r="AO240" s="600" t="inlineStr">
        <x:is>
          <x:t xml:space="preserve">BUCKET_0.50、SIDE_IDENTITY_VALID、FLAT_LINE_GIVING_WATER_DROP</x:t>
        </x:is>
      </x:c>
      <x:c r="AP240" s="600" t="inlineStr">
        <x:is>
          <x:t xml:space="preserve">bad3b8c6f499f0ea6eae</x:t>
        </x:is>
      </x:c>
      <x:c r="AQ240" s="600" t="n">
        <x:v>0.5</x:v>
      </x:c>
      <x:c r="AR240" s="600" t="n">
        <x:v>1.02</x:v>
      </x:c>
      <x:c r="AS240" s="600" t="n">
        <x:v>-0.5</x:v>
      </x:c>
      <x:c r="AT240" s="600" t="n">
        <x:v>0.5</x:v>
      </x:c>
      <x:c r="AU240" s="600" t="n">
        <x:v>0.84</x:v>
      </x:c>
      <x:c r="AV240" s="600" t="n">
        <x:v>1.02</x:v>
      </x:c>
      <x:c r="AW240" s="595" t="n">
        <x:v>46284.25887726852</x:v>
      </x:c>
      <x:c r="AX240" s="595" t="inlineStr">
        <x:is>
          <x:t xml:space="preserve">https://simondongxiao.github.io/odds/v4/</x:t>
        </x:is>
      </x:c>
      <x:c r="AY240" s="595" t="inlineStr">
        <x:is>
          <x:t xml:space="preserve">V4 Shadow Only；real_money=false；比分差异详见记录审计</x:t>
        </x:is>
      </x:c>
    </x:row>
    <x:row r="241" ht="22" customHeight="1">
      <x:c r="A241" s="595" t="inlineStr">
        <x:is>
          <x:t xml:space="preserve">2026-09-19</x:t>
        </x:is>
      </x:c>
      <x:c r="B241" s="595" t="inlineStr">
        <x:is>
          <x:t xml:space="preserve">2026-09-19 22:30</x:t>
        </x:is>
      </x:c>
      <x:c r="C241" s="595" t="str">
        <x:v>欧洲非五大系列</x:v>
      </x:c>
      <x:c r="D241" s="595" t="inlineStr">
        <x:is>
          <x:t xml:space="preserve">联赛</x:t>
        </x:is>
      </x:c>
      <x:c r="E241" s="595" t="inlineStr">
        <x:is>
          <x:t xml:space="preserve">荷乙</x:t>
        </x:is>
      </x:c>
      <x:c r="F241" s="595" t="inlineStr">
        <x:is>
          <x:t xml:space="preserve">维特斯 vs 埃因霍温青年队</x:t>
        </x:is>
      </x:c>
      <x:c r="G241" s="596" t="n">
        <x:v>0.98</x:v>
      </x:c>
      <x:c r="H241" s="596" t="n">
        <x:v>1</x:v>
      </x:c>
      <x:c r="I241" s="596" t="n">
        <x:v>0.9</x:v>
      </x:c>
      <x:c r="J241" s="596" t="inlineStr">
        <x:is>
          <x:t xml:space="preserve">0.98/1/0.90</x:t>
        </x:is>
      </x:c>
      <x:c r="K241" s="595" t="inlineStr">
        <x:is>
          <x:t xml:space="preserve">V4-C｜EV +0.0237</x:t>
        </x:is>
      </x:c>
      <x:c r="L241" s="595" t="inlineStr">
        <x:is>
          <x:t xml:space="preserve">埃因霍温青年队</x:t>
        </x:is>
      </x:c>
      <x:c r="M241" s="597" t="n">
        <x:v>0.5423728813559322</x:v>
      </x:c>
      <x:c r="N241" s="595" t="inlineStr">
        <x:is>
          <x:t xml:space="preserve">V4纸面入选-C</x:t>
        </x:is>
      </x:c>
      <x:c r="O241" s="595" t="inlineStr">
        <x:is>
          <x:t xml:space="preserve">3-1</x:t>
        </x:is>
      </x:c>
      <x:c r="P241" s="595" t="inlineStr">
        <x:is>
          <x:t xml:space="preserve">已结算</x:t>
        </x:is>
      </x:c>
      <x:c r="Q241" s="641" t="inlineStr">
        <x:is>
          <x:t xml:space="preserve">黑</x:t>
        </x:is>
      </x:c>
      <x:c r="R241" s="599" t="n">
        <x:v>0.9</x:v>
      </x:c>
      <x:c r="S241" s="599" t="n">
        <x:f>IF(OR(Q241="",Q241="待结算"),"",IF(Q241="红",R241,IF(Q241="半红",R241*0.5,IF(Q241="走",0,IF(Q241="半黑",-0.5,-1)))))</x:f>
        <x:v>-1</x:v>
      </x:c>
      <x:c r="T241" s="595" t="inlineStr">
        <x:is>
          <x:t xml:space="preserve">https://zq.titan007.com/analysis/2996472cn.htm</x:t>
        </x:is>
      </x:c>
      <x:c r="U241" s="640" t="str">
        <x:f>IF(Q241="","",IF(Q241="待结算","待结算",IF(Q241="红","黑",IF(Q241="半红","半黑",IF(Q241="走","走",IF(Q241="半黑","半红","红"))))))</x:f>
        <x:v>红</x:v>
      </x:c>
      <x:c r="V241" s="599" t="n">
        <x:f>IF(OR(Q241="",Q241="待结算"),"",IF(L241=LEFT(F241,FIND(" vs ",F241)-1),I241,G241))</x:f>
        <x:v>0.98</x:v>
      </x:c>
      <x:c r="W241" s="599" t="n">
        <x:f>IF(OR(U241="",U241="待结算"),"",IF(U241="红",V241,IF(U241="半红",V241*0.5,IF(U241="走",0,IF(U241="半黑",-0.5,-1)))))</x:f>
        <x:v>0.98</x:v>
      </x:c>
      <x:c r="X241" s="595" t="inlineStr">
        <x:is>
          <x:t xml:space="preserve">2996472</x:t>
        </x:is>
      </x:c>
      <x:c r="Y241" s="595" t="inlineStr">
        <x:is>
          <x:t xml:space="preserve">v4-market-dirichlet-20260913</x:t>
        </x:is>
      </x:c>
      <x:c r="Z241" s="595" t="inlineStr">
        <x:is>
          <x:t xml:space="preserve">prior-2026-09-19-v1</x:t>
        </x:is>
      </x:c>
      <x:c r="AA241" s="595" t="inlineStr">
        <x:is>
          <x:t xml:space="preserve">C</x:t>
        </x:is>
      </x:c>
      <x:c r="AB241" s="600" t="n">
        <x:v>0.4210526315789473</x:v>
      </x:c>
      <x:c r="AC241" s="600" t="n">
        <x:v>0</x:v>
      </x:c>
      <x:c r="AD241" s="600" t="n">
        <x:v>0.2236842105263158</x:v>
      </x:c>
      <x:c r="AE241" s="600" t="n">
        <x:v>0</x:v>
      </x:c>
      <x:c r="AF241" s="600" t="n">
        <x:v>0.3552631578947368</x:v>
      </x:c>
      <x:c r="AG241" s="600" t="n">
        <x:v>0.02368421052631581</x:v>
      </x:c>
      <x:c r="AH241" s="600" t="n">
        <x:v>-0.1382882792579436</x:v>
      </x:c>
      <x:c r="AI241" s="600" t="n">
        <x:v>-0.09879722555646431</x:v>
      </x:c>
      <x:c r="AJ241" s="600" t="n">
        <x:v>0.02694265211035191</x:v>
      </x:c>
      <x:c r="AK241" s="600" t="n">
        <x:v>0.1446346870471402</x:v>
      </x:c>
      <x:c r="AL241" s="600" t="n">
        <x:v>0.1773518800794157</x:v>
      </x:c>
      <x:c r="AM241" s="600" t="n">
        <x:v>0.6104000000000001</x:v>
      </x:c>
      <x:c r="AN241" s="595" t="inlineStr">
        <x:is>
          <x:t xml:space="preserve">EVALUATED</x:t>
        </x:is>
      </x:c>
      <x:c r="AO241" s="600" t="inlineStr">
        <x:is>
          <x:t xml:space="preserve">BUCKET_1.00、SIDE_IDENTITY_VALID、FLAT_LINE_GIVING_WATER_RISE</x:t>
        </x:is>
      </x:c>
      <x:c r="AP241" s="600" t="inlineStr">
        <x:is>
          <x:t xml:space="preserve">3ed2726dbf7c65c5e1a5</x:t>
        </x:is>
      </x:c>
      <x:c r="AQ241" s="600" t="n">
        <x:v>1</x:v>
      </x:c>
      <x:c r="AR241" s="600" t="n">
        <x:v>0.9</x:v>
      </x:c>
      <x:c r="AS241" s="600" t="n">
        <x:v>-1</x:v>
      </x:c>
      <x:c r="AT241" s="600" t="n">
        <x:v>1</x:v>
      </x:c>
      <x:c r="AU241" s="600" t="n">
        <x:v>0.98</x:v>
      </x:c>
      <x:c r="AV241" s="600" t="n">
        <x:v>0.9</x:v>
      </x:c>
      <x:c r="AW241" s="595" t="n">
        <x:v>46284.25887726852</x:v>
      </x:c>
      <x:c r="AX241" s="595" t="inlineStr">
        <x:is>
          <x:t xml:space="preserve">https://simondongxiao.github.io/odds/v4/</x:t>
        </x:is>
      </x:c>
      <x:c r="AY241" s="595" t="inlineStr">
        <x:is>
          <x:t xml:space="preserve">V4 Shadow Only；real_money=false；比分差异详见记录审计</x:t>
        </x:is>
      </x:c>
    </x:row>
    <x:row r="242" ht="22" customHeight="1">
      <x:c r="A242" s="595" t="inlineStr">
        <x:is>
          <x:t xml:space="preserve">2026-09-19</x:t>
        </x:is>
      </x:c>
      <x:c r="B242" s="595" t="inlineStr">
        <x:is>
          <x:t xml:space="preserve">2026-09-19 23:00</x:t>
        </x:is>
      </x:c>
      <x:c r="C242" s="595" t="str">
        <x:v>欧洲非五大系列</x:v>
      </x:c>
      <x:c r="D242" s="595" t="inlineStr">
        <x:is>
          <x:t xml:space="preserve">联赛</x:t>
        </x:is>
      </x:c>
      <x:c r="E242" s="595" t="inlineStr">
        <x:is>
          <x:t xml:space="preserve">芬甲</x:t>
        </x:is>
      </x:c>
      <x:c r="F242" s="595" t="inlineStr">
        <x:is>
          <x:t xml:space="preserve">SJK学院 vs 卡亚尼卡帕</x:t>
        </x:is>
      </x:c>
      <x:c r="G242" s="596" t="n">
        <x:v>0.82</x:v>
      </x:c>
      <x:c r="H242" s="596" t="n">
        <x:v>-0.25</x:v>
      </x:c>
      <x:c r="I242" s="596" t="n">
        <x:v>1.07</x:v>
      </x:c>
      <x:c r="J242" s="596" t="inlineStr">
        <x:is>
          <x:t xml:space="preserve">0.82/-0.25/1.07</x:t>
        </x:is>
      </x:c>
      <x:c r="K242" s="595" t="inlineStr">
        <x:is>
          <x:t xml:space="preserve">V4-C｜EV +0.0279</x:t>
        </x:is>
      </x:c>
      <x:c r="L242" s="595" t="inlineStr">
        <x:is>
          <x:t xml:space="preserve">卡亚尼卡帕</x:t>
        </x:is>
      </x:c>
      <x:c r="M242" s="597" t="n">
        <x:v>0.4989775051124744</x:v>
      </x:c>
      <x:c r="N242" s="595" t="inlineStr">
        <x:is>
          <x:t xml:space="preserve">V4纸面入选-C</x:t>
        </x:is>
      </x:c>
      <x:c r="O242" s="595" t="inlineStr">
        <x:is>
          <x:t xml:space="preserve">2-3</x:t>
        </x:is>
      </x:c>
      <x:c r="P242" s="595" t="inlineStr">
        <x:is>
          <x:t xml:space="preserve">已结算</x:t>
        </x:is>
      </x:c>
      <x:c r="Q242" s="640" t="inlineStr">
        <x:is>
          <x:t xml:space="preserve">红</x:t>
        </x:is>
      </x:c>
      <x:c r="R242" s="599" t="n">
        <x:v>1.07</x:v>
      </x:c>
      <x:c r="S242" s="599" t="n">
        <x:f>IF(OR(Q242="",Q242="待结算"),"",IF(Q242="红",R242,IF(Q242="半红",R242*0.5,IF(Q242="走",0,IF(Q242="半黑",-0.5,-1)))))</x:f>
        <x:v>1.07</x:v>
      </x:c>
      <x:c r="T242" s="595" t="inlineStr">
        <x:is>
          <x:t xml:space="preserve">https://zq.titan007.com/analysis/2921941cn.htm</x:t>
        </x:is>
      </x:c>
      <x:c r="U242" s="641" t="str">
        <x:f>IF(Q242="","",IF(Q242="待结算","待结算",IF(Q242="红","黑",IF(Q242="半红","半黑",IF(Q242="走","走",IF(Q242="半黑","半红","红"))))))</x:f>
        <x:v>黑</x:v>
      </x:c>
      <x:c r="V242" s="599" t="n">
        <x:f>IF(OR(Q242="",Q242="待结算"),"",IF(L242=LEFT(F242,FIND(" vs ",F242)-1),I242,G242))</x:f>
        <x:v>0.82</x:v>
      </x:c>
      <x:c r="W242" s="599" t="n">
        <x:f>IF(OR(U242="",U242="待结算"),"",IF(U242="红",V242,IF(U242="半红",V242*0.5,IF(U242="走",0,IF(U242="半黑",-0.5,-1)))))</x:f>
        <x:v>-1</x:v>
      </x:c>
      <x:c r="X242" s="595" t="inlineStr">
        <x:is>
          <x:t xml:space="preserve">2921941</x:t>
        </x:is>
      </x:c>
      <x:c r="Y242" s="595" t="inlineStr">
        <x:is>
          <x:t xml:space="preserve">v4-market-dirichlet-20260913</x:t>
        </x:is>
      </x:c>
      <x:c r="Z242" s="595" t="inlineStr">
        <x:is>
          <x:t xml:space="preserve">prior-2026-09-19-v1</x:t>
        </x:is>
      </x:c>
      <x:c r="AA242" s="595" t="inlineStr">
        <x:is>
          <x:t xml:space="preserve">C</x:t>
        </x:is>
      </x:c>
      <x:c r="AB242" s="600" t="n">
        <x:v>0.4236111111111111</x:v>
      </x:c>
      <x:c r="AC242" s="600" t="n">
        <x:v>0</x:v>
      </x:c>
      <x:c r="AD242" s="600" t="n">
        <x:v>0</x:v>
      </x:c>
      <x:c r="AE242" s="600" t="n">
        <x:v>0.3020833333333333</x:v>
      </x:c>
      <x:c r="AF242" s="600" t="n">
        <x:v>0.2743055555555556</x:v>
      </x:c>
      <x:c r="AG242" s="600" t="n">
        <x:v>0.0279166666666667</x:v>
      </x:c>
      <x:c r="AH242" s="600" t="n">
        <x:v>-0.0586203493759006</x:v>
      </x:c>
      <x:c r="AI242" s="600" t="n">
        <x:v>-0.03958521496854656</x:v>
      </x:c>
      <x:c r="AJ242" s="600" t="n">
        <x:v>0.02817150100342319</x:v>
      </x:c>
      <x:c r="AK242" s="600" t="n">
        <x:v>0.09709564056314562</x:v>
      </x:c>
      <x:c r="AL242" s="600" t="n">
        <x:v>0.1168185523882151</x:v>
      </x:c>
      <x:c r="AM242" s="600" t="n">
        <x:v>0.7062</x:v>
      </x:c>
      <x:c r="AN242" s="595" t="inlineStr">
        <x:is>
          <x:t xml:space="preserve">EVALUATED</x:t>
        </x:is>
      </x:c>
      <x:c r="AO242" s="600" t="inlineStr">
        <x:is>
          <x:t xml:space="preserve">BUCKET_0.25、SIDE_IDENTITY_VALID、MARKET_MOVE_DEEPER_WITH_GIVING_WATER_RISE</x:t>
        </x:is>
      </x:c>
      <x:c r="AP242" s="600" t="inlineStr">
        <x:is>
          <x:t xml:space="preserve">c2b96401be6918937bd9</x:t>
        </x:is>
      </x:c>
      <x:c r="AQ242" s="600" t="n">
        <x:v>-0.25</x:v>
      </x:c>
      <x:c r="AR242" s="600" t="n">
        <x:v>1.07</x:v>
      </x:c>
      <x:c r="AS242" s="600" t="n">
        <x:v>0.25</x:v>
      </x:c>
      <x:c r="AT242" s="600" t="n">
        <x:v>-0.25</x:v>
      </x:c>
      <x:c r="AU242" s="600" t="n">
        <x:v>0.82</x:v>
      </x:c>
      <x:c r="AV242" s="600" t="n">
        <x:v>1.07</x:v>
      </x:c>
      <x:c r="AW242" s="595" t="n">
        <x:v>46284.25887726852</x:v>
      </x:c>
      <x:c r="AX242" s="595" t="inlineStr">
        <x:is>
          <x:t xml:space="preserve">https://simondongxiao.github.io/odds/v4/</x:t>
        </x:is>
      </x:c>
      <x:c r="AY242" s="595" t="inlineStr">
        <x:is>
          <x:t xml:space="preserve">V4 Shadow Only；real_money=false；比分差异详见记录审计</x:t>
        </x:is>
      </x:c>
    </x:row>
    <x:row r="243" ht="22" customHeight="1">
      <x:c r="A243" s="595" t="inlineStr">
        <x:is>
          <x:t xml:space="preserve">2026-09-19</x:t>
        </x:is>
      </x:c>
      <x:c r="B243" s="595" t="inlineStr">
        <x:is>
          <x:t xml:space="preserve">2026-09-19 23:00</x:t>
        </x:is>
      </x:c>
      <x:c r="C243" s="595" t="str">
        <x:v>欧洲非五大系列</x:v>
      </x:c>
      <x:c r="D243" s="595" t="inlineStr">
        <x:is>
          <x:t xml:space="preserve">联赛</x:t>
        </x:is>
      </x:c>
      <x:c r="E243" s="595" t="inlineStr">
        <x:is>
          <x:t xml:space="preserve">克亚甲</x:t>
        </x:is>
      </x:c>
      <x:c r="F243" s="595" t="inlineStr">
        <x:is>
          <x:t xml:space="preserve">瓦拉日丁 vs 奥斯杰克</x:t>
        </x:is>
      </x:c>
      <x:c r="G243" s="596" t="n">
        <x:v>0.73</x:v>
      </x:c>
      <x:c r="H243" s="596" t="n">
        <x:v>0.25</x:v>
      </x:c>
      <x:c r="I243" s="596" t="n">
        <x:v>1.09</x:v>
      </x:c>
      <x:c r="J243" s="596" t="inlineStr">
        <x:is>
          <x:t xml:space="preserve">0.73/0.25/1.09</x:t>
        </x:is>
      </x:c>
      <x:c r="K243" s="595" t="inlineStr">
        <x:is>
          <x:t xml:space="preserve">V4-C｜EV +0.0400</x:t>
        </x:is>
      </x:c>
      <x:c r="L243" s="595" t="inlineStr">
        <x:is>
          <x:t xml:space="preserve">奥斯杰克</x:t>
        </x:is>
      </x:c>
      <x:c r="M243" s="597" t="n">
        <x:v>0.5010224948875256</x:v>
      </x:c>
      <x:c r="N243" s="595" t="inlineStr">
        <x:is>
          <x:t xml:space="preserve">V4纸面入选-C</x:t>
        </x:is>
      </x:c>
      <x:c r="O243" s="595" t="inlineStr">
        <x:is>
          <x:t xml:space="preserve">0-0</x:t>
        </x:is>
      </x:c>
      <x:c r="P243" s="595" t="inlineStr">
        <x:is>
          <x:t xml:space="preserve">已结算</x:t>
        </x:is>
      </x:c>
      <x:c r="Q243" s="642" t="inlineStr">
        <x:is>
          <x:t xml:space="preserve">半红</x:t>
        </x:is>
      </x:c>
      <x:c r="R243" s="599" t="n">
        <x:v>1.09</x:v>
      </x:c>
      <x:c r="S243" s="599" t="n">
        <x:f>IF(OR(Q243="",Q243="待结算"),"",IF(Q243="红",R243,IF(Q243="半红",R243*0.5,IF(Q243="走",0,IF(Q243="半黑",-0.5,-1)))))</x:f>
        <x:v>0.545</x:v>
      </x:c>
      <x:c r="T243" s="595" t="inlineStr">
        <x:is>
          <x:t xml:space="preserve">https://zq.titan007.com/analysis/2997531cn.htm</x:t>
        </x:is>
      </x:c>
      <x:c r="U243" s="643" t="str">
        <x:f>IF(Q243="","",IF(Q243="待结算","待结算",IF(Q243="红","黑",IF(Q243="半红","半黑",IF(Q243="走","走",IF(Q243="半黑","半红","红"))))))</x:f>
        <x:v>半黑</x:v>
      </x:c>
      <x:c r="V243" s="599" t="n">
        <x:f>IF(OR(Q243="",Q243="待结算"),"",IF(L243=LEFT(F243,FIND(" vs ",F243)-1),I243,G243))</x:f>
        <x:v>0.73</x:v>
      </x:c>
      <x:c r="W243" s="599" t="n">
        <x:f>IF(OR(U243="",U243="待结算"),"",IF(U243="红",V243,IF(U243="半红",V243*0.5,IF(U243="走",0,IF(U243="半黑",-0.5,-1)))))</x:f>
        <x:v>-0.5</x:v>
      </x:c>
      <x:c r="X243" s="595" t="inlineStr">
        <x:is>
          <x:t xml:space="preserve">2997531</x:t>
        </x:is>
      </x:c>
      <x:c r="Y243" s="595" t="inlineStr">
        <x:is>
          <x:t xml:space="preserve">v4-market-dirichlet-20260913</x:t>
        </x:is>
      </x:c>
      <x:c r="Z243" s="595" t="inlineStr">
        <x:is>
          <x:t xml:space="preserve">prior-2026-09-19-v1</x:t>
        </x:is>
      </x:c>
      <x:c r="AA243" s="595" t="inlineStr">
        <x:is>
          <x:t xml:space="preserve">C</x:t>
        </x:is>
      </x:c>
      <x:c r="AB243" s="600" t="n">
        <x:v>0.2743055555555556</x:v>
      </x:c>
      <x:c r="AC243" s="600" t="n">
        <x:v>0.3020833333333333</x:v>
      </x:c>
      <x:c r="AD243" s="600" t="n">
        <x:v>0</x:v>
      </x:c>
      <x:c r="AE243" s="600" t="n">
        <x:v>0</x:v>
      </x:c>
      <x:c r="AF243" s="600" t="n">
        <x:v>0.4236111111111111</x:v>
      </x:c>
      <x:c r="AG243" s="600" t="n">
        <x:v>0.04001736111111115</x:v>
      </x:c>
      <x:c r="AH243" s="600" t="n">
        <x:v>-0.04554231533609787</x:v>
      </x:c>
      <x:c r="AI243" s="600" t="n">
        <x:v>-0.02472541182913063</x:v>
      </x:c>
      <x:c r="AJ243" s="600" t="n">
        <x:v>0.04232206369383334</x:v>
      </x:c>
      <x:c r="AK243" s="600" t="n">
        <x:v>0.1095935749424677</x:v>
      </x:c>
      <x:c r="AL243" s="600" t="n">
        <x:v>0.1281364377111972</x:v>
      </x:c>
      <x:c r="AM243" s="600" t="n">
        <x:v>0.7872</x:v>
      </x:c>
      <x:c r="AN243" s="595" t="inlineStr">
        <x:is>
          <x:t xml:space="preserve">EVALUATED</x:t>
        </x:is>
      </x:c>
      <x:c r="AO243" s="600" t="inlineStr">
        <x:is>
          <x:t xml:space="preserve">BUCKET_0.25、SIDE_IDENTITY_VALID、FLAT_LINE_GIVING_WATER_DROP</x:t>
        </x:is>
      </x:c>
      <x:c r="AP243" s="600" t="inlineStr">
        <x:is>
          <x:t xml:space="preserve">b0e5be8e0f007b5c31fd</x:t>
        </x:is>
      </x:c>
      <x:c r="AQ243" s="600" t="n">
        <x:v>0.25</x:v>
      </x:c>
      <x:c r="AR243" s="600" t="n">
        <x:v>1.09</x:v>
      </x:c>
      <x:c r="AS243" s="600" t="n">
        <x:v>-0.25</x:v>
      </x:c>
      <x:c r="AT243" s="600" t="n">
        <x:v>0.25</x:v>
      </x:c>
      <x:c r="AU243" s="600" t="n">
        <x:v>0.73</x:v>
      </x:c>
      <x:c r="AV243" s="600" t="n">
        <x:v>1.09</x:v>
      </x:c>
      <x:c r="AW243" s="595" t="n">
        <x:v>46284.25887726852</x:v>
      </x:c>
      <x:c r="AX243" s="595" t="inlineStr">
        <x:is>
          <x:t xml:space="preserve">https://simondongxiao.github.io/odds/v4/</x:t>
        </x:is>
      </x:c>
      <x:c r="AY243" s="595" t="inlineStr">
        <x:is>
          <x:t xml:space="preserve">V4 Shadow Only；real_money=false；比分差异详见记录审计</x:t>
        </x:is>
      </x:c>
    </x:row>
    <x:row r="244" ht="22" customHeight="1">
      <x:c r="A244" s="595" t="inlineStr">
        <x:is>
          <x:t xml:space="preserve">2026-09-19</x:t>
        </x:is>
      </x:c>
      <x:c r="B244" s="595" t="inlineStr">
        <x:is>
          <x:t xml:space="preserve">2026-09-19 23:30</x:t>
        </x:is>
      </x:c>
      <x:c r="C244" s="595" t="str">
        <x:v>欧洲非五大系列</x:v>
      </x:c>
      <x:c r="D244" s="595" t="inlineStr">
        <x:is>
          <x:t xml:space="preserve">联赛</x:t>
        </x:is>
      </x:c>
      <x:c r="E244" s="595" t="inlineStr">
        <x:is>
          <x:t xml:space="preserve">瑞典超</x:t>
        </x:is>
      </x:c>
      <x:c r="F244" s="595" t="inlineStr">
        <x:is>
          <x:t xml:space="preserve">奥尔格里特 vs 天狼星</x:t>
        </x:is>
      </x:c>
      <x:c r="G244" s="596" t="n">
        <x:v>1.04</x:v>
      </x:c>
      <x:c r="H244" s="596" t="n">
        <x:v>-1</x:v>
      </x:c>
      <x:c r="I244" s="596" t="n">
        <x:v>0.85</x:v>
      </x:c>
      <x:c r="J244" s="596" t="inlineStr">
        <x:is>
          <x:t xml:space="preserve">1.04/-1/0.85</x:t>
        </x:is>
      </x:c>
      <x:c r="K244" s="595" t="inlineStr">
        <x:is>
          <x:t xml:space="preserve">V4-C｜EV +0.0826</x:t>
        </x:is>
      </x:c>
      <x:c r="L244" s="595" t="inlineStr">
        <x:is>
          <x:t xml:space="preserve">奥尔格里特</x:t>
        </x:is>
      </x:c>
      <x:c r="M244" s="597" t="n">
        <x:v>0.5423728813559322</x:v>
      </x:c>
      <x:c r="N244" s="595" t="inlineStr">
        <x:is>
          <x:t xml:space="preserve">V4纸面入选-C</x:t>
        </x:is>
      </x:c>
      <x:c r="O244" s="595" t="inlineStr">
        <x:is>
          <x:t xml:space="preserve">1-2</x:t>
        </x:is>
      </x:c>
      <x:c r="P244" s="595" t="inlineStr">
        <x:is>
          <x:t xml:space="preserve">已结算</x:t>
        </x:is>
      </x:c>
      <x:c r="Q244" s="644" t="inlineStr">
        <x:is>
          <x:t xml:space="preserve">走</x:t>
        </x:is>
      </x:c>
      <x:c r="R244" s="599" t="n">
        <x:v>1.04</x:v>
      </x:c>
      <x:c r="S244" s="599" t="n">
        <x:f>IF(OR(Q244="",Q244="待结算"),"",IF(Q244="红",R244,IF(Q244="半红",R244*0.5,IF(Q244="走",0,IF(Q244="半黑",-0.5,-1)))))</x:f>
        <x:v>0</x:v>
      </x:c>
      <x:c r="T244" s="595" t="inlineStr">
        <x:is>
          <x:t xml:space="preserve">https://zq.titan007.com/analysis/2912281cn.htm</x:t>
        </x:is>
      </x:c>
      <x:c r="U244" s="644" t="str">
        <x:f>IF(Q244="","",IF(Q244="待结算","待结算",IF(Q244="红","黑",IF(Q244="半红","半黑",IF(Q244="走","走",IF(Q244="半黑","半红","红"))))))</x:f>
        <x:v>走</x:v>
      </x:c>
      <x:c r="V244" s="599" t="n">
        <x:f>IF(OR(Q244="",Q244="待结算"),"",IF(L244=LEFT(F244,FIND(" vs ",F244)-1),I244,G244))</x:f>
        <x:v>0.85</x:v>
      </x:c>
      <x:c r="W244" s="599" t="n">
        <x:f>IF(OR(U244="",U244="待结算"),"",IF(U244="红",V244,IF(U244="半红",V244*0.5,IF(U244="走",0,IF(U244="半黑",-0.5,-1)))))</x:f>
        <x:v>0</x:v>
      </x:c>
      <x:c r="X244" s="595" t="inlineStr">
        <x:is>
          <x:t xml:space="preserve">2912281</x:t>
        </x:is>
      </x:c>
      <x:c r="Y244" s="595" t="inlineStr">
        <x:is>
          <x:t xml:space="preserve">v4-market-dirichlet-20260913</x:t>
        </x:is>
      </x:c>
      <x:c r="Z244" s="595" t="inlineStr">
        <x:is>
          <x:t xml:space="preserve">prior-2026-09-19-v1</x:t>
        </x:is>
      </x:c>
      <x:c r="AA244" s="595" t="inlineStr">
        <x:is>
          <x:t xml:space="preserve">C</x:t>
        </x:is>
      </x:c>
      <x:c r="AB244" s="600" t="n">
        <x:v>0.4210526315789473</x:v>
      </x:c>
      <x:c r="AC244" s="600" t="n">
        <x:v>0</x:v>
      </x:c>
      <x:c r="AD244" s="600" t="n">
        <x:v>0.2236842105263158</x:v>
      </x:c>
      <x:c r="AE244" s="600" t="n">
        <x:v>0</x:v>
      </x:c>
      <x:c r="AF244" s="600" t="n">
        <x:v>0.3552631578947368</x:v>
      </x:c>
      <x:c r="AG244" s="600" t="n">
        <x:v>0.08263157894736844</x:v>
      </x:c>
      <x:c r="AH244" s="600" t="n">
        <x:v>-0.0838191467631022</x:v>
      </x:c>
      <x:c r="AI244" s="600" t="n">
        <x:v>-0.04903705840603562</x:v>
      </x:c>
      <x:c r="AJ244" s="600" t="n">
        <x:v>0.08033490154135925</x:v>
      </x:c>
      <x:c r="AK244" s="600" t="n">
        <x:v>0.2127836847191818</x:v>
      </x:c>
      <x:c r="AL244" s="600" t="n">
        <x:v>0.2488146770673785</x:v>
      </x:c>
      <x:c r="AM244" s="600" t="n">
        <x:v>0.7877999999999999</x:v>
      </x:c>
      <x:c r="AN244" s="595" t="inlineStr">
        <x:is>
          <x:t xml:space="preserve">EVALUATED</x:t>
        </x:is>
      </x:c>
      <x:c r="AO244" s="600" t="inlineStr">
        <x:is>
          <x:t xml:space="preserve">BUCKET_1.00、SIDE_IDENTITY_VALID、FLAT_LINE_GIVING_WATER_DROP</x:t>
        </x:is>
      </x:c>
      <x:c r="AP244" s="600" t="inlineStr">
        <x:is>
          <x:t xml:space="preserve">6a9997648fb44c48561a</x:t>
        </x:is>
      </x:c>
      <x:c r="AQ244" s="600" t="n">
        <x:v>1</x:v>
      </x:c>
      <x:c r="AR244" s="600" t="n">
        <x:v>1.04</x:v>
      </x:c>
      <x:c r="AS244" s="600" t="n">
        <x:v>1</x:v>
      </x:c>
      <x:c r="AT244" s="600" t="n">
        <x:v>-1</x:v>
      </x:c>
      <x:c r="AU244" s="600" t="n">
        <x:v>1.04</x:v>
      </x:c>
      <x:c r="AV244" s="600" t="n">
        <x:v>0.85</x:v>
      </x:c>
      <x:c r="AW244" s="595" t="n">
        <x:v>46284.25887726852</x:v>
      </x:c>
      <x:c r="AX244" s="595" t="inlineStr">
        <x:is>
          <x:t xml:space="preserve">https://simondongxiao.github.io/odds/v4/</x:t>
        </x:is>
      </x:c>
      <x:c r="AY244" s="595" t="inlineStr">
        <x:is>
          <x:t xml:space="preserve">V4 Shadow Only；real_money=false；比分差异详见记录审计</x:t>
        </x:is>
      </x:c>
    </x:row>
    <x:row r="245" ht="22" customHeight="1">
      <x:c r="A245" s="595" t="inlineStr">
        <x:is>
          <x:t xml:space="preserve">2026-09-19</x:t>
        </x:is>
      </x:c>
      <x:c r="B245" s="595" t="inlineStr">
        <x:is>
          <x:t xml:space="preserve">2026-09-19 23:30</x:t>
        </x:is>
      </x:c>
      <x:c r="C245" s="595" t="str">
        <x:v>欧洲非五大系列</x:v>
      </x:c>
      <x:c r="D245" s="595" t="inlineStr">
        <x:is>
          <x:t xml:space="preserve">联赛</x:t>
        </x:is>
      </x:c>
      <x:c r="E245" s="595" t="inlineStr">
        <x:is>
          <x:t xml:space="preserve">斯亚甲</x:t>
        </x:is>
      </x:c>
      <x:c r="F245" s="595" t="inlineStr">
        <x:is>
          <x:t xml:space="preserve">科佩尔 vs 南塔</x:t>
        </x:is>
      </x:c>
      <x:c r="G245" s="596" t="n">
        <x:v>0.79</x:v>
      </x:c>
      <x:c r="H245" s="596" t="n">
        <x:v>0.75</x:v>
      </x:c>
      <x:c r="I245" s="596" t="n">
        <x:v>1.03</x:v>
      </x:c>
      <x:c r="J245" s="596" t="inlineStr">
        <x:is>
          <x:t xml:space="preserve">0.79/0.75/1.03</x:t>
        </x:is>
      </x:c>
      <x:c r="K245" s="595" t="inlineStr">
        <x:is>
          <x:t xml:space="preserve">V4-C｜EV +0.0257</x:t>
        </x:is>
      </x:c>
      <x:c r="L245" s="595" t="inlineStr">
        <x:is>
          <x:t xml:space="preserve">南塔</x:t>
        </x:is>
      </x:c>
      <x:c r="M245" s="597" t="n">
        <x:v>0.5071770334928229</x:v>
      </x:c>
      <x:c r="N245" s="595" t="inlineStr">
        <x:is>
          <x:t xml:space="preserve">V4纸面入选-C</x:t>
        </x:is>
      </x:c>
      <x:c r="O245" s="595" t="inlineStr">
        <x:is>
          <x:t xml:space="preserve">2-0</x:t>
        </x:is>
      </x:c>
      <x:c r="P245" s="595" t="inlineStr">
        <x:is>
          <x:t xml:space="preserve">已结算</x:t>
        </x:is>
      </x:c>
      <x:c r="Q245" s="641" t="inlineStr">
        <x:is>
          <x:t xml:space="preserve">黑</x:t>
        </x:is>
      </x:c>
      <x:c r="R245" s="599" t="n">
        <x:v>1.03</x:v>
      </x:c>
      <x:c r="S245" s="599" t="n">
        <x:f>IF(OR(Q245="",Q245="待结算"),"",IF(Q245="红",R245,IF(Q245="半红",R245*0.5,IF(Q245="走",0,IF(Q245="半黑",-0.5,-1)))))</x:f>
        <x:v>-1</x:v>
      </x:c>
      <x:c r="T245" s="595" t="inlineStr">
        <x:is>
          <x:t xml:space="preserve">https://zq.titan007.com/analysis/3005789cn.htm</x:t>
        </x:is>
      </x:c>
      <x:c r="U245" s="640" t="str">
        <x:f>IF(Q245="","",IF(Q245="待结算","待结算",IF(Q245="红","黑",IF(Q245="半红","半黑",IF(Q245="走","走",IF(Q245="半黑","半红","红"))))))</x:f>
        <x:v>红</x:v>
      </x:c>
      <x:c r="V245" s="599" t="n">
        <x:f>IF(OR(Q245="",Q245="待结算"),"",IF(L245=LEFT(F245,FIND(" vs ",F245)-1),I245,G245))</x:f>
        <x:v>0.79</x:v>
      </x:c>
      <x:c r="W245" s="599" t="n">
        <x:f>IF(OR(U245="",U245="待结算"),"",IF(U245="红",V245,IF(U245="半红",V245*0.5,IF(U245="走",0,IF(U245="半黑",-0.5,-1)))))</x:f>
        <x:v>0.79</x:v>
      </x:c>
      <x:c r="X245" s="595" t="inlineStr">
        <x:is>
          <x:t xml:space="preserve">3005789</x:t>
        </x:is>
      </x:c>
      <x:c r="Y245" s="595" t="inlineStr">
        <x:is>
          <x:t xml:space="preserve">v4-market-dirichlet-20260913</x:t>
        </x:is>
      </x:c>
      <x:c r="Z245" s="595" t="inlineStr">
        <x:is>
          <x:t xml:space="preserve">prior-2026-09-19-v1</x:t>
        </x:is>
      </x:c>
      <x:c r="AA245" s="595" t="inlineStr">
        <x:is>
          <x:t xml:space="preserve">C</x:t>
        </x:is>
      </x:c>
      <x:c r="AB245" s="600" t="n">
        <x:v>0.4416666666666667</x:v>
      </x:c>
      <x:c r="AC245" s="600" t="n">
        <x:v>0</x:v>
      </x:c>
      <x:c r="AD245" s="600" t="n">
        <x:v>0</x:v>
      </x:c>
      <x:c r="AE245" s="600" t="n">
        <x:v>0.2583333333333334</x:v>
      </x:c>
      <x:c r="AF245" s="600" t="n">
        <x:v>0.3</x:v>
      </x:c>
      <x:c r="AG245" s="600" t="n">
        <x:v>0.02575</x:v>
      </x:c>
      <x:c r="AH245" s="600" t="n">
        <x:v>-0.1134259886552356</x:v>
      </x:c>
      <x:c r="AI245" s="600" t="n">
        <x:v>-0.08393617150277455</x:v>
      </x:c>
      <x:c r="AJ245" s="600" t="n">
        <x:v>0.0259799217107613</x:v>
      </x:c>
      <x:c r="AK245" s="600" t="n">
        <x:v>0.134728508631517</x:v>
      </x:c>
      <x:c r="AL245" s="600" t="n">
        <x:v>0.1646649503595079</x:v>
      </x:c>
      <x:c r="AM245" s="600" t="n">
        <x:v>0.6292</x:v>
      </x:c>
      <x:c r="AN245" s="595" t="inlineStr">
        <x:is>
          <x:t xml:space="preserve">EVALUATED</x:t>
        </x:is>
      </x:c>
      <x:c r="AO245" s="600" t="inlineStr">
        <x:is>
          <x:t xml:space="preserve">BUCKET_0.75、SIDE_IDENTITY_VALID、FLAT_LINE_GIVING_WATER_DROP</x:t>
        </x:is>
      </x:c>
      <x:c r="AP245" s="600" t="inlineStr">
        <x:is>
          <x:t xml:space="preserve">a89e4319547ec79bc2f0</x:t>
        </x:is>
      </x:c>
      <x:c r="AQ245" s="600" t="n">
        <x:v>0.75</x:v>
      </x:c>
      <x:c r="AR245" s="600" t="n">
        <x:v>1.03</x:v>
      </x:c>
      <x:c r="AS245" s="600" t="n">
        <x:v>-0.75</x:v>
      </x:c>
      <x:c r="AT245" s="600" t="n">
        <x:v>0.75</x:v>
      </x:c>
      <x:c r="AU245" s="600" t="n">
        <x:v>0.79</x:v>
      </x:c>
      <x:c r="AV245" s="600" t="n">
        <x:v>1.03</x:v>
      </x:c>
      <x:c r="AW245" s="595" t="n">
        <x:v>46284.25887726852</x:v>
      </x:c>
      <x:c r="AX245" s="595" t="inlineStr">
        <x:is>
          <x:t xml:space="preserve">https://simondongxiao.github.io/odds/v4/</x:t>
        </x:is>
      </x:c>
      <x:c r="AY245" s="595" t="inlineStr">
        <x:is>
          <x:t xml:space="preserve">V4 Shadow Only；real_money=false；比分差异详见记录审计</x:t>
        </x:is>
      </x:c>
    </x:row>
    <x:row r="246" ht="22" customHeight="1">
      <x:c r="A246" s="595" t="inlineStr">
        <x:is>
          <x:t xml:space="preserve">2026-09-19</x:t>
        </x:is>
      </x:c>
      <x:c r="B246" s="595" t="inlineStr">
        <x:is>
          <x:t xml:space="preserve">2026-09-19 23:45</x:t>
        </x:is>
      </x:c>
      <x:c r="C246" s="595" t="str">
        <x:v>西亚/中亚系列</x:v>
      </x:c>
      <x:c r="D246" s="595" t="inlineStr">
        <x:is>
          <x:t xml:space="preserve">联赛</x:t>
        </x:is>
      </x:c>
      <x:c r="E246" s="595" t="inlineStr">
        <x:is>
          <x:t xml:space="preserve">阿塞超</x:t>
        </x:is>
      </x:c>
      <x:c r="F246" s="595" t="inlineStr">
        <x:is>
          <x:t xml:space="preserve">萨巴赫 vs 穆格汗</x:t>
        </x:is>
      </x:c>
      <x:c r="G246" s="596" t="n">
        <x:v>0.85</x:v>
      </x:c>
      <x:c r="H246" s="596" t="n">
        <x:v>2.25</x:v>
      </x:c>
      <x:c r="I246" s="596" t="n">
        <x:v>0.99</x:v>
      </x:c>
      <x:c r="J246" s="596" t="inlineStr">
        <x:is>
          <x:t xml:space="preserve">0.85/2.25/0.99</x:t>
        </x:is>
      </x:c>
      <x:c r="K246" s="595" t="inlineStr">
        <x:is>
          <x:t xml:space="preserve">V4-C｜EV +0.0361</x:t>
        </x:is>
      </x:c>
      <x:c r="L246" s="595" t="inlineStr">
        <x:is>
          <x:t xml:space="preserve">萨巴赫</x:t>
        </x:is>
      </x:c>
      <x:c r="M246" s="597" t="n">
        <x:v>0.5625</x:v>
      </x:c>
      <x:c r="N246" s="595" t="inlineStr">
        <x:is>
          <x:t xml:space="preserve">V4纸面入选-C</x:t>
        </x:is>
      </x:c>
      <x:c r="O246" s="595" t="inlineStr">
        <x:is>
          <x:t xml:space="preserve">3-1</x:t>
        </x:is>
      </x:c>
      <x:c r="P246" s="595" t="inlineStr">
        <x:is>
          <x:t xml:space="preserve">已结算</x:t>
        </x:is>
      </x:c>
      <x:c r="Q246" s="643" t="inlineStr">
        <x:is>
          <x:t xml:space="preserve">半黑</x:t>
        </x:is>
      </x:c>
      <x:c r="R246" s="599" t="n">
        <x:v>0.85</x:v>
      </x:c>
      <x:c r="S246" s="599" t="n">
        <x:f>IF(OR(Q246="",Q246="待结算"),"",IF(Q246="红",R246,IF(Q246="半红",R246*0.5,IF(Q246="走",0,IF(Q246="半黑",-0.5,-1)))))</x:f>
        <x:v>-0.5</x:v>
      </x:c>
      <x:c r="T246" s="595" t="inlineStr">
        <x:is>
          <x:t xml:space="preserve">https://zq.titan007.com/analysis/3041562cn.htm</x:t>
        </x:is>
      </x:c>
      <x:c r="U246" s="642" t="str">
        <x:f>IF(Q246="","",IF(Q246="待结算","待结算",IF(Q246="红","黑",IF(Q246="半红","半黑",IF(Q246="走","走",IF(Q246="半黑","半红","红"))))))</x:f>
        <x:v>半红</x:v>
      </x:c>
      <x:c r="V246" s="599" t="n">
        <x:f>IF(OR(Q246="",Q246="待结算"),"",IF(L246=LEFT(F246,FIND(" vs ",F246)-1),I246,G246))</x:f>
        <x:v>0.99</x:v>
      </x:c>
      <x:c r="W246" s="599" t="n">
        <x:f>IF(OR(U246="",U246="待结算"),"",IF(U246="红",V246,IF(U246="半红",V246*0.5,IF(U246="走",0,IF(U246="半黑",-0.5,-1)))))</x:f>
        <x:v>0.495</x:v>
      </x:c>
      <x:c r="X246" s="595" t="inlineStr">
        <x:is>
          <x:t xml:space="preserve">3041562</x:t>
        </x:is>
      </x:c>
      <x:c r="Y246" s="595" t="inlineStr">
        <x:is>
          <x:t xml:space="preserve">v4-market-dirichlet-20260913</x:t>
        </x:is>
      </x:c>
      <x:c r="Z246" s="595" t="inlineStr">
        <x:is>
          <x:t xml:space="preserve">prior-2026-09-19-v1</x:t>
        </x:is>
      </x:c>
      <x:c r="AA246" s="595" t="inlineStr">
        <x:is>
          <x:t xml:space="preserve">C</x:t>
        </x:is>
      </x:c>
      <x:c r="AB246" s="600" t="n">
        <x:v>0.5</x:v>
      </x:c>
      <x:c r="AC246" s="600" t="n">
        <x:v>0</x:v>
      </x:c>
      <x:c r="AD246" s="600" t="n">
        <x:v>0</x:v>
      </x:c>
      <x:c r="AE246" s="600" t="n">
        <x:v>0.2222222222222222</x:v>
      </x:c>
      <x:c r="AF246" s="600" t="n">
        <x:v>0.2777777777777778</x:v>
      </x:c>
      <x:c r="AG246" s="600" t="n">
        <x:v>0.03611111111111109</x:v>
      </x:c>
      <x:c r="AH246" s="600" t="n">
        <x:v>-0.287940189157013</x:v>
      </x:c>
      <x:c r="AI246" s="600" t="n">
        <x:v>-0.2161984910853638</x:v>
      </x:c>
      <x:c r="AJ246" s="600" t="n">
        <x:v>0.04194887384745016</x:v>
      </x:c>
      <x:c r="AK246" s="600" t="n">
        <x:v>0.2873045165497152</x:v>
      </x:c>
      <x:c r="AL246" s="600" t="n">
        <x:v>0.3568531894085321</x:v>
      </x:c>
      <x:c r="AM246" s="600" t="n">
        <x:v>0.583</x:v>
      </x:c>
      <x:c r="AN246" s="595" t="inlineStr">
        <x:is>
          <x:t xml:space="preserve">EVALUATED</x:t>
        </x:is>
      </x:c>
      <x:c r="AO246" s="600" t="inlineStr">
        <x:is>
          <x:t xml:space="preserve">BUCKET_2.25、SIDE_IDENTITY_VALID、MARKET_MOVE_DEEPER_WITH_GIVING_WATER_RISE</x:t>
        </x:is>
      </x:c>
      <x:c r="AP246" s="600" t="inlineStr">
        <x:is>
          <x:t xml:space="preserve">f220bd4c4811856db60f</x:t>
        </x:is>
      </x:c>
      <x:c r="AQ246" s="600" t="n">
        <x:v>-2.25</x:v>
      </x:c>
      <x:c r="AR246" s="600" t="n">
        <x:v>0.85</x:v>
      </x:c>
      <x:c r="AS246" s="600" t="n">
        <x:v>-2.25</x:v>
      </x:c>
      <x:c r="AT246" s="600" t="n">
        <x:v>2.25</x:v>
      </x:c>
      <x:c r="AU246" s="600" t="n">
        <x:v>0.85</x:v>
      </x:c>
      <x:c r="AV246" s="600" t="n">
        <x:v>0.99</x:v>
      </x:c>
      <x:c r="AW246" s="595" t="n">
        <x:v>46284.25887726852</x:v>
      </x:c>
      <x:c r="AX246" s="595" t="inlineStr">
        <x:is>
          <x:t xml:space="preserve">https://simondongxiao.github.io/odds/v4/</x:t>
        </x:is>
      </x:c>
      <x:c r="AY246" s="595" t="inlineStr">
        <x:is>
          <x:t xml:space="preserve">V4 Shadow Only；real_money=false；比分差异详见记录审计</x:t>
        </x:is>
      </x:c>
    </x:row>
    <x:row r="247" ht="22" customHeight="1">
      <x:c r="A247" s="595" t="inlineStr">
        <x:is>
          <x:t xml:space="preserve">2026-09-19</x:t>
        </x:is>
      </x:c>
      <x:c r="B247" s="595" t="inlineStr">
        <x:is>
          <x:t xml:space="preserve">2026-09-20 00:00</x:t>
        </x:is>
      </x:c>
      <x:c r="C247" s="595" t="str">
        <x:v>欧洲非五大系列</x:v>
      </x:c>
      <x:c r="D247" s="595" t="inlineStr">
        <x:is>
          <x:t xml:space="preserve">联赛</x:t>
        </x:is>
      </x:c>
      <x:c r="E247" s="595" t="inlineStr">
        <x:is>
          <x:t xml:space="preserve">瑞士超</x:t>
        </x:is>
      </x:c>
      <x:c r="F247" s="595" t="inlineStr">
        <x:is>
          <x:t xml:space="preserve">卢塞恩 vs 草蜢</x:t>
        </x:is>
      </x:c>
      <x:c r="G247" s="596" t="n">
        <x:v>0.86</x:v>
      </x:c>
      <x:c r="H247" s="596" t="n">
        <x:v>0.75</x:v>
      </x:c>
      <x:c r="I247" s="596" t="n">
        <x:v>1.03</x:v>
      </x:c>
      <x:c r="J247" s="596" t="inlineStr">
        <x:is>
          <x:t xml:space="preserve">0.86/0.75/1.03</x:t>
        </x:is>
      </x:c>
      <x:c r="K247" s="595" t="inlineStr">
        <x:is>
          <x:t xml:space="preserve">V4-C｜EV +0.0257</x:t>
        </x:is>
      </x:c>
      <x:c r="L247" s="595" t="inlineStr">
        <x:is>
          <x:t xml:space="preserve">草蜢</x:t>
        </x:is>
      </x:c>
      <x:c r="M247" s="597" t="n">
        <x:v>0.5071770334928229</x:v>
      </x:c>
      <x:c r="N247" s="595" t="inlineStr">
        <x:is>
          <x:t xml:space="preserve">V4纸面入选-C</x:t>
        </x:is>
      </x:c>
      <x:c r="O247" s="595" t="inlineStr">
        <x:is>
          <x:t xml:space="preserve">5-1</x:t>
        </x:is>
      </x:c>
      <x:c r="P247" s="595" t="inlineStr">
        <x:is>
          <x:t xml:space="preserve">已结算</x:t>
        </x:is>
      </x:c>
      <x:c r="Q247" s="641" t="inlineStr">
        <x:is>
          <x:t xml:space="preserve">黑</x:t>
        </x:is>
      </x:c>
      <x:c r="R247" s="599" t="n">
        <x:v>1.03</x:v>
      </x:c>
      <x:c r="S247" s="599" t="n">
        <x:f>IF(OR(Q247="",Q247="待结算"),"",IF(Q247="红",R247,IF(Q247="半红",R247*0.5,IF(Q247="走",0,IF(Q247="半黑",-0.5,-1)))))</x:f>
        <x:v>-1</x:v>
      </x:c>
      <x:c r="T247" s="595" t="inlineStr">
        <x:is>
          <x:t xml:space="preserve">https://zq.titan007.com/analysis/3000821cn.htm</x:t>
        </x:is>
      </x:c>
      <x:c r="U247" s="640" t="str">
        <x:f>IF(Q247="","",IF(Q247="待结算","待结算",IF(Q247="红","黑",IF(Q247="半红","半黑",IF(Q247="走","走",IF(Q247="半黑","半红","红"))))))</x:f>
        <x:v>红</x:v>
      </x:c>
      <x:c r="V247" s="599" t="n">
        <x:f>IF(OR(Q247="",Q247="待结算"),"",IF(L247=LEFT(F247,FIND(" vs ",F247)-1),I247,G247))</x:f>
        <x:v>0.86</x:v>
      </x:c>
      <x:c r="W247" s="599" t="n">
        <x:f>IF(OR(U247="",U247="待结算"),"",IF(U247="红",V247,IF(U247="半红",V247*0.5,IF(U247="走",0,IF(U247="半黑",-0.5,-1)))))</x:f>
        <x:v>0.86</x:v>
      </x:c>
      <x:c r="X247" s="595" t="inlineStr">
        <x:is>
          <x:t xml:space="preserve">3000821</x:t>
        </x:is>
      </x:c>
      <x:c r="Y247" s="595" t="inlineStr">
        <x:is>
          <x:t xml:space="preserve">v4-market-dirichlet-20260913</x:t>
        </x:is>
      </x:c>
      <x:c r="Z247" s="595" t="inlineStr">
        <x:is>
          <x:t xml:space="preserve">prior-2026-09-19-v1</x:t>
        </x:is>
      </x:c>
      <x:c r="AA247" s="595" t="inlineStr">
        <x:is>
          <x:t xml:space="preserve">C</x:t>
        </x:is>
      </x:c>
      <x:c r="AB247" s="600" t="n">
        <x:v>0.4416666666666667</x:v>
      </x:c>
      <x:c r="AC247" s="600" t="n">
        <x:v>0</x:v>
      </x:c>
      <x:c r="AD247" s="600" t="n">
        <x:v>0</x:v>
      </x:c>
      <x:c r="AE247" s="600" t="n">
        <x:v>0.2583333333333334</x:v>
      </x:c>
      <x:c r="AF247" s="600" t="n">
        <x:v>0.3</x:v>
      </x:c>
      <x:c r="AG247" s="600" t="n">
        <x:v>0.02575</x:v>
      </x:c>
      <x:c r="AH247" s="600" t="n">
        <x:v>-0.1104695674971727</x:v>
      </x:c>
      <x:c r="AI247" s="600" t="n">
        <x:v>-0.07897738885906236</x:v>
      </x:c>
      <x:c r="AJ247" s="600" t="n">
        <x:v>0.02537149746819345</x:v>
      </x:c>
      <x:c r="AK247" s="600" t="n">
        <x:v>0.133043308780652</x:v>
      </x:c>
      <x:c r="AL247" s="600" t="n">
        <x:v>0.1651892065890054</x:v>
      </x:c>
      <x:c r="AM247" s="600" t="n">
        <x:v>0.623</x:v>
      </x:c>
      <x:c r="AN247" s="595" t="inlineStr">
        <x:is>
          <x:t xml:space="preserve">EVALUATED</x:t>
        </x:is>
      </x:c>
      <x:c r="AO247" s="600" t="inlineStr">
        <x:is>
          <x:t xml:space="preserve">BUCKET_0.75、SIDE_IDENTITY_VALID、FLAT_LINE_GIVING_WATER_DROP</x:t>
        </x:is>
      </x:c>
      <x:c r="AP247" s="600" t="inlineStr">
        <x:is>
          <x:t xml:space="preserve">6df48369a658d40b7204</x:t>
        </x:is>
      </x:c>
      <x:c r="AQ247" s="600" t="n">
        <x:v>0.75</x:v>
      </x:c>
      <x:c r="AR247" s="600" t="n">
        <x:v>1.03</x:v>
      </x:c>
      <x:c r="AS247" s="600" t="n">
        <x:v>-0.75</x:v>
      </x:c>
      <x:c r="AT247" s="600" t="n">
        <x:v>0.75</x:v>
      </x:c>
      <x:c r="AU247" s="600" t="n">
        <x:v>0.86</x:v>
      </x:c>
      <x:c r="AV247" s="600" t="n">
        <x:v>1.03</x:v>
      </x:c>
      <x:c r="AW247" s="595" t="n">
        <x:v>46284.25887726852</x:v>
      </x:c>
      <x:c r="AX247" s="595" t="inlineStr">
        <x:is>
          <x:t xml:space="preserve">https://simondongxiao.github.io/odds/v4/</x:t>
        </x:is>
      </x:c>
      <x:c r="AY247" s="595" t="inlineStr">
        <x:is>
          <x:t xml:space="preserve">V4 Shadow Only；real_money=false；比分差异详见记录审计</x:t>
        </x:is>
      </x:c>
    </x:row>
    <x:row r="248" ht="22" customHeight="1">
      <x:c r="A248" s="595" t="inlineStr">
        <x:is>
          <x:t xml:space="preserve">2026-09-19</x:t>
        </x:is>
      </x:c>
      <x:c r="B248" s="595" t="inlineStr">
        <x:is>
          <x:t xml:space="preserve">2026-09-20 00:00</x:t>
        </x:is>
      </x:c>
      <x:c r="C248" s="595" t="str">
        <x:v>欧洲非五大系列</x:v>
      </x:c>
      <x:c r="D248" s="595" t="inlineStr">
        <x:is>
          <x:t xml:space="preserve">联赛</x:t>
        </x:is>
      </x:c>
      <x:c r="E248" s="595" t="inlineStr">
        <x:is>
          <x:t xml:space="preserve">冰岛甲</x:t>
        </x:is>
      </x:c>
      <x:c r="F248" s="595" t="inlineStr">
        <x:is>
          <x:t xml:space="preserve">特罗图尔(中) vs 费基尔</x:t>
        </x:is>
      </x:c>
      <x:c r="G248" s="596" t="n">
        <x:v>0.82</x:v>
      </x:c>
      <x:c r="H248" s="596" t="n">
        <x:v>0.5</x:v>
      </x:c>
      <x:c r="I248" s="596" t="n">
        <x:v>1.02</x:v>
      </x:c>
      <x:c r="J248" s="596" t="inlineStr">
        <x:is>
          <x:t xml:space="preserve">0.82/0.5/1.02</x:t>
        </x:is>
      </x:c>
      <x:c r="K248" s="595" t="inlineStr">
        <x:is>
          <x:t xml:space="preserve">V4-C｜EV +0.0158</x:t>
        </x:is>
      </x:c>
      <x:c r="L248" s="595" t="inlineStr">
        <x:is>
          <x:t xml:space="preserve">费基尔</x:t>
        </x:is>
      </x:c>
      <x:c r="M248" s="597" t="n">
        <x:v>0.5028571428571429</x:v>
      </x:c>
      <x:c r="N248" s="595" t="inlineStr">
        <x:is>
          <x:t xml:space="preserve">V4纸面入选-C</x:t>
        </x:is>
      </x:c>
      <x:c r="O248" s="595" t="inlineStr">
        <x:is>
          <x:t xml:space="preserve">1-0</x:t>
        </x:is>
      </x:c>
      <x:c r="P248" s="595" t="inlineStr">
        <x:is>
          <x:t xml:space="preserve">已结算</x:t>
        </x:is>
      </x:c>
      <x:c r="Q248" s="641" t="inlineStr">
        <x:is>
          <x:t xml:space="preserve">黑</x:t>
        </x:is>
      </x:c>
      <x:c r="R248" s="599" t="n">
        <x:v>1.02</x:v>
      </x:c>
      <x:c r="S248" s="599" t="n">
        <x:f>IF(OR(Q248="",Q248="待结算"),"",IF(Q248="红",R248,IF(Q248="半红",R248*0.5,IF(Q248="走",0,IF(Q248="半黑",-0.5,-1)))))</x:f>
        <x:v>-1</x:v>
      </x:c>
      <x:c r="T248" s="595" t="inlineStr">
        <x:is>
          <x:t xml:space="preserve">https://zq.titan007.com/analysis/3091946cn.htm</x:t>
        </x:is>
      </x:c>
      <x:c r="U248" s="640" t="str">
        <x:f>IF(Q248="","",IF(Q248="待结算","待结算",IF(Q248="红","黑",IF(Q248="半红","半黑",IF(Q248="走","走",IF(Q248="半黑","半红","红"))))))</x:f>
        <x:v>红</x:v>
      </x:c>
      <x:c r="V248" s="599" t="n">
        <x:f>IF(OR(Q248="",Q248="待结算"),"",IF(L248=LEFT(F248,FIND(" vs ",F248)-1),I248,G248))</x:f>
        <x:v>0.82</x:v>
      </x:c>
      <x:c r="W248" s="599" t="n">
        <x:f>IF(OR(U248="",U248="待结算"),"",IF(U248="红",V248,IF(U248="半红",V248*0.5,IF(U248="走",0,IF(U248="半黑",-0.5,-1)))))</x:f>
        <x:v>0.82</x:v>
      </x:c>
      <x:c r="X248" s="595" t="inlineStr">
        <x:is>
          <x:t xml:space="preserve">3091946</x:t>
        </x:is>
      </x:c>
      <x:c r="Y248" s="595" t="inlineStr">
        <x:is>
          <x:t xml:space="preserve">v4-market-dirichlet-20260913</x:t>
        </x:is>
      </x:c>
      <x:c r="Z248" s="595" t="inlineStr">
        <x:is>
          <x:t xml:space="preserve">prior-2026-09-19-v1</x:t>
        </x:is>
      </x:c>
      <x:c r="AA248" s="595" t="inlineStr">
        <x:is>
          <x:t xml:space="preserve">C</x:t>
        </x:is>
      </x:c>
      <x:c r="AB248" s="600" t="n">
        <x:v>0.5028571428571429</x:v>
      </x:c>
      <x:c r="AC248" s="600" t="n">
        <x:v>0</x:v>
      </x:c>
      <x:c r="AD248" s="600" t="n">
        <x:v>0</x:v>
      </x:c>
      <x:c r="AE248" s="600" t="n">
        <x:v>0</x:v>
      </x:c>
      <x:c r="AF248" s="600" t="n">
        <x:v>0.4971428571428572</x:v>
      </x:c>
      <x:c r="AG248" s="600" t="n">
        <x:v>0.0157714285714286</x:v>
      </x:c>
      <x:c r="AH248" s="600" t="n">
        <x:v>-0.1102570762368439</x:v>
      </x:c>
      <x:c r="AI248" s="600" t="n">
        <x:v>-0.08469683489526814</x:v>
      </x:c>
      <x:c r="AJ248" s="600" t="n">
        <x:v>0.01332191051687404</x:v>
      </x:c>
      <x:c r="AK248" s="600" t="n">
        <x:v>0.1112141525625073</x:v>
      </x:c>
      <x:c r="AL248" s="600" t="n">
        <x:v>0.1367594350523415</x:v>
      </x:c>
      <x:c r="AM248" s="600" t="n">
        <x:v>0.5742</x:v>
      </x:c>
      <x:c r="AN248" s="595" t="inlineStr">
        <x:is>
          <x:t xml:space="preserve">EVALUATED</x:t>
        </x:is>
      </x:c>
      <x:c r="AO248" s="600" t="inlineStr">
        <x:is>
          <x:t xml:space="preserve">BUCKET_0.50、SIDE_IDENTITY_VALID、FLAT_LINE_GIVING_WATER_RISE</x:t>
        </x:is>
      </x:c>
      <x:c r="AP248" s="600" t="inlineStr">
        <x:is>
          <x:t xml:space="preserve">1e88792ed564d8feb33b</x:t>
        </x:is>
      </x:c>
      <x:c r="AQ248" s="600" t="n">
        <x:v>0.5</x:v>
      </x:c>
      <x:c r="AR248" s="600" t="n">
        <x:v>1.02</x:v>
      </x:c>
      <x:c r="AS248" s="600" t="n">
        <x:v>-0.5</x:v>
      </x:c>
      <x:c r="AT248" s="600" t="n">
        <x:v>0.5</x:v>
      </x:c>
      <x:c r="AU248" s="600" t="n">
        <x:v>0.82</x:v>
      </x:c>
      <x:c r="AV248" s="600" t="n">
        <x:v>1.02</x:v>
      </x:c>
      <x:c r="AW248" s="595" t="n">
        <x:v>46284.25887726852</x:v>
      </x:c>
      <x:c r="AX248" s="595" t="inlineStr">
        <x:is>
          <x:t xml:space="preserve">https://simondongxiao.github.io/odds/v4/</x:t>
        </x:is>
      </x:c>
      <x:c r="AY248" s="595" t="inlineStr">
        <x:is>
          <x:t xml:space="preserve">V4 Shadow Only；real_money=false；比分差异详见记录审计</x:t>
        </x:is>
      </x:c>
    </x:row>
    <x:row r="249" ht="22" customHeight="1">
      <x:c r="A249" s="595" t="inlineStr">
        <x:is>
          <x:t xml:space="preserve">2026-09-19</x:t>
        </x:is>
      </x:c>
      <x:c r="B249" s="595" t="inlineStr">
        <x:is>
          <x:t xml:space="preserve">2026-09-20 00:30</x:t>
        </x:is>
      </x:c>
      <x:c r="C249" s="595" t="str">
        <x:v>欧洲五大系列</x:v>
      </x:c>
      <x:c r="D249" s="595" t="inlineStr">
        <x:is>
          <x:t xml:space="preserve">联赛</x:t>
        </x:is>
      </x:c>
      <x:c r="E249" s="595" t="inlineStr">
        <x:is>
          <x:t xml:space="preserve">英超</x:t>
        </x:is>
      </x:c>
      <x:c r="F249" s="595" t="inlineStr">
        <x:is>
          <x:t xml:space="preserve">诺丁汉森林 vs 考文垂</x:t>
        </x:is>
      </x:c>
      <x:c r="G249" s="596" t="n">
        <x:v>0.82</x:v>
      </x:c>
      <x:c r="H249" s="596" t="n">
        <x:v>0.75</x:v>
      </x:c>
      <x:c r="I249" s="596" t="n">
        <x:v>1.07</x:v>
      </x:c>
      <x:c r="J249" s="596" t="inlineStr">
        <x:is>
          <x:t xml:space="preserve">0.82/0.75/1.07</x:t>
        </x:is>
      </x:c>
      <x:c r="K249" s="595" t="inlineStr">
        <x:is>
          <x:t xml:space="preserve">V4-C｜EV +0.0434</x:t>
        </x:is>
      </x:c>
      <x:c r="L249" s="595" t="inlineStr">
        <x:is>
          <x:t xml:space="preserve">考文垂</x:t>
        </x:is>
      </x:c>
      <x:c r="M249" s="597" t="n">
        <x:v>0.5071770334928229</x:v>
      </x:c>
      <x:c r="N249" s="595" t="inlineStr">
        <x:is>
          <x:t xml:space="preserve">V4纸面入选-C</x:t>
        </x:is>
      </x:c>
      <x:c r="O249" s="595" t="inlineStr">
        <x:is>
          <x:t xml:space="preserve">0-1</x:t>
        </x:is>
      </x:c>
      <x:c r="P249" s="595" t="inlineStr">
        <x:is>
          <x:t xml:space="preserve">已结算</x:t>
        </x:is>
      </x:c>
      <x:c r="Q249" s="640" t="inlineStr">
        <x:is>
          <x:t xml:space="preserve">红</x:t>
        </x:is>
      </x:c>
      <x:c r="R249" s="599" t="n">
        <x:v>1.07</x:v>
      </x:c>
      <x:c r="S249" s="599" t="n">
        <x:f>IF(OR(Q249="",Q249="待结算"),"",IF(Q249="红",R249,IF(Q249="半红",R249*0.5,IF(Q249="走",0,IF(Q249="半黑",-0.5,-1)))))</x:f>
        <x:v>1.07</x:v>
      </x:c>
      <x:c r="T249" s="595" t="inlineStr">
        <x:is>
          <x:t xml:space="preserve">https://zq.titan007.com/analysis/3003897cn.htm</x:t>
        </x:is>
      </x:c>
      <x:c r="U249" s="641" t="str">
        <x:f>IF(Q249="","",IF(Q249="待结算","待结算",IF(Q249="红","黑",IF(Q249="半红","半黑",IF(Q249="走","走",IF(Q249="半黑","半红","红"))))))</x:f>
        <x:v>黑</x:v>
      </x:c>
      <x:c r="V249" s="599" t="n">
        <x:f>IF(OR(Q249="",Q249="待结算"),"",IF(L249=LEFT(F249,FIND(" vs ",F249)-1),I249,G249))</x:f>
        <x:v>0.82</x:v>
      </x:c>
      <x:c r="W249" s="599" t="n">
        <x:f>IF(OR(U249="",U249="待结算"),"",IF(U249="红",V249,IF(U249="半红",V249*0.5,IF(U249="走",0,IF(U249="半黑",-0.5,-1)))))</x:f>
        <x:v>-1</x:v>
      </x:c>
      <x:c r="X249" s="595" t="inlineStr">
        <x:is>
          <x:t xml:space="preserve">3003897</x:t>
        </x:is>
      </x:c>
      <x:c r="Y249" s="595" t="inlineStr">
        <x:is>
          <x:t xml:space="preserve">v4-market-dirichlet-20260913</x:t>
        </x:is>
      </x:c>
      <x:c r="Z249" s="595" t="inlineStr">
        <x:is>
          <x:t xml:space="preserve">prior-2026-09-19-v1</x:t>
        </x:is>
      </x:c>
      <x:c r="AA249" s="595" t="inlineStr">
        <x:is>
          <x:t xml:space="preserve">C</x:t>
        </x:is>
      </x:c>
      <x:c r="AB249" s="600" t="n">
        <x:v>0.4416666666666667</x:v>
      </x:c>
      <x:c r="AC249" s="600" t="n">
        <x:v>0</x:v>
      </x:c>
      <x:c r="AD249" s="600" t="n">
        <x:v>0</x:v>
      </x:c>
      <x:c r="AE249" s="600" t="n">
        <x:v>0.2583333333333334</x:v>
      </x:c>
      <x:c r="AF249" s="600" t="n">
        <x:v>0.3</x:v>
      </x:c>
      <x:c r="AG249" s="600" t="n">
        <x:v>0.04341666666666671</x:v>
      </x:c>
      <x:c r="AH249" s="600" t="n">
        <x:v>-0.09624550132408824</x:v>
      </x:c>
      <x:c r="AI249" s="600" t="n">
        <x:v>-0.06431681539340012</x:v>
      </x:c>
      <x:c r="AJ249" s="600" t="n">
        <x:v>0.0421471897787094</x:v>
      </x:c>
      <x:c r="AK249" s="600" t="n">
        <x:v>0.1513834514891094</x:v>
      </x:c>
      <x:c r="AL249" s="600" t="n">
        <x:v>0.1783803328195709</x:v>
      </x:c>
      <x:c r="AM249" s="600" t="n">
        <x:v>0.6934</x:v>
      </x:c>
      <x:c r="AN249" s="595" t="inlineStr">
        <x:is>
          <x:t xml:space="preserve">EVALUATED</x:t>
        </x:is>
      </x:c>
      <x:c r="AO249" s="600" t="inlineStr">
        <x:is>
          <x:t xml:space="preserve">BUCKET_0.75、SIDE_IDENTITY_VALID、FLAT_LINE_GIVING_WATER_DROP</x:t>
        </x:is>
      </x:c>
      <x:c r="AP249" s="600" t="inlineStr">
        <x:is>
          <x:t xml:space="preserve">5e1d75ebfd65aad8f7c1</x:t>
        </x:is>
      </x:c>
      <x:c r="AQ249" s="600" t="n">
        <x:v>0.75</x:v>
      </x:c>
      <x:c r="AR249" s="600" t="n">
        <x:v>1.07</x:v>
      </x:c>
      <x:c r="AS249" s="600" t="n">
        <x:v>-0.75</x:v>
      </x:c>
      <x:c r="AT249" s="600" t="n">
        <x:v>0.75</x:v>
      </x:c>
      <x:c r="AU249" s="600" t="n">
        <x:v>0.82</x:v>
      </x:c>
      <x:c r="AV249" s="600" t="n">
        <x:v>1.07</x:v>
      </x:c>
      <x:c r="AW249" s="595" t="n">
        <x:v>46284.25887726852</x:v>
      </x:c>
      <x:c r="AX249" s="595" t="inlineStr">
        <x:is>
          <x:t xml:space="preserve">https://simondongxiao.github.io/odds/v4/</x:t>
        </x:is>
      </x:c>
      <x:c r="AY249" s="595" t="inlineStr">
        <x:is>
          <x:t xml:space="preserve">V4 Shadow Only；real_money=false；比分差异详见记录审计</x:t>
        </x:is>
      </x:c>
    </x:row>
    <x:row r="250" ht="22" customHeight="1">
      <x:c r="A250" s="595" t="inlineStr">
        <x:is>
          <x:t xml:space="preserve">2026-09-19</x:t>
        </x:is>
      </x:c>
      <x:c r="B250" s="595" t="inlineStr">
        <x:is>
          <x:t xml:space="preserve">2026-09-20 00:30</x:t>
        </x:is>
      </x:c>
      <x:c r="C250" s="595" t="str">
        <x:v>欧洲五大系列</x:v>
      </x:c>
      <x:c r="D250" s="595" t="inlineStr">
        <x:is>
          <x:t xml:space="preserve">联赛</x:t>
        </x:is>
      </x:c>
      <x:c r="E250" s="595" t="inlineStr">
        <x:is>
          <x:t xml:space="preserve">西甲</x:t>
        </x:is>
      </x:c>
      <x:c r="F250" s="595" t="inlineStr">
        <x:is>
          <x:t xml:space="preserve">塞尔塔 vs 桑坦德竞技</x:t>
        </x:is>
      </x:c>
      <x:c r="G250" s="596" t="n">
        <x:v>0.84</x:v>
      </x:c>
      <x:c r="H250" s="596" t="n">
        <x:v>0.5</x:v>
      </x:c>
      <x:c r="I250" s="596" t="n">
        <x:v>1.05</x:v>
      </x:c>
      <x:c r="J250" s="596" t="inlineStr">
        <x:is>
          <x:t xml:space="preserve">0.84/0.5/1.05</x:t>
        </x:is>
      </x:c>
      <x:c r="K250" s="595" t="inlineStr">
        <x:is>
          <x:t xml:space="preserve">V4-C｜EV +0.0309</x:t>
        </x:is>
      </x:c>
      <x:c r="L250" s="595" t="inlineStr">
        <x:is>
          <x:t xml:space="preserve">桑坦德竞技</x:t>
        </x:is>
      </x:c>
      <x:c r="M250" s="597" t="n">
        <x:v>0.5028571428571429</x:v>
      </x:c>
      <x:c r="N250" s="595" t="inlineStr">
        <x:is>
          <x:t xml:space="preserve">V4纸面入选-C</x:t>
        </x:is>
      </x:c>
      <x:c r="O250" s="595" t="inlineStr">
        <x:is>
          <x:t xml:space="preserve">5-0</x:t>
        </x:is>
      </x:c>
      <x:c r="P250" s="595" t="inlineStr">
        <x:is>
          <x:t xml:space="preserve">已结算</x:t>
        </x:is>
      </x:c>
      <x:c r="Q250" s="641" t="inlineStr">
        <x:is>
          <x:t xml:space="preserve">黑</x:t>
        </x:is>
      </x:c>
      <x:c r="R250" s="599" t="n">
        <x:v>1.05</x:v>
      </x:c>
      <x:c r="S250" s="599" t="n">
        <x:f>IF(OR(Q250="",Q250="待结算"),"",IF(Q250="红",R250,IF(Q250="半红",R250*0.5,IF(Q250="走",0,IF(Q250="半黑",-0.5,-1)))))</x:f>
        <x:v>-1</x:v>
      </x:c>
      <x:c r="T250" s="595" t="inlineStr">
        <x:is>
          <x:t xml:space="preserve">https://zq.titan007.com/analysis/3013704cn.htm</x:t>
        </x:is>
      </x:c>
      <x:c r="U250" s="640" t="str">
        <x:f>IF(Q250="","",IF(Q250="待结算","待结算",IF(Q250="红","黑",IF(Q250="半红","半黑",IF(Q250="走","走",IF(Q250="半黑","半红","红"))))))</x:f>
        <x:v>红</x:v>
      </x:c>
      <x:c r="V250" s="599" t="n">
        <x:f>IF(OR(Q250="",Q250="待结算"),"",IF(L250=LEFT(F250,FIND(" vs ",F250)-1),I250,G250))</x:f>
        <x:v>0.84</x:v>
      </x:c>
      <x:c r="W250" s="599" t="n">
        <x:f>IF(OR(U250="",U250="待结算"),"",IF(U250="红",V250,IF(U250="半红",V250*0.5,IF(U250="走",0,IF(U250="半黑",-0.5,-1)))))</x:f>
        <x:v>0.84</x:v>
      </x:c>
      <x:c r="X250" s="595" t="inlineStr">
        <x:is>
          <x:t xml:space="preserve">3013704</x:t>
        </x:is>
      </x:c>
      <x:c r="Y250" s="595" t="inlineStr">
        <x:is>
          <x:t xml:space="preserve">v4-market-dirichlet-20260913</x:t>
        </x:is>
      </x:c>
      <x:c r="Z250" s="595" t="inlineStr">
        <x:is>
          <x:t xml:space="preserve">prior-2026-09-19-v1</x:t>
        </x:is>
      </x:c>
      <x:c r="AA250" s="595" t="inlineStr">
        <x:is>
          <x:t xml:space="preserve">C</x:t>
        </x:is>
      </x:c>
      <x:c r="AB250" s="600" t="n">
        <x:v>0.5028571428571429</x:v>
      </x:c>
      <x:c r="AC250" s="600" t="n">
        <x:v>0</x:v>
      </x:c>
      <x:c r="AD250" s="600" t="n">
        <x:v>0</x:v>
      </x:c>
      <x:c r="AE250" s="600" t="n">
        <x:v>0</x:v>
      </x:c>
      <x:c r="AF250" s="600" t="n">
        <x:v>0.4971428571428572</x:v>
      </x:c>
      <x:c r="AG250" s="600" t="n">
        <x:v>0.03085714285714286</x:v>
      </x:c>
      <x:c r="AH250" s="600" t="n">
        <x:v>-0.09622776662699623</x:v>
      </x:c>
      <x:c r="AI250" s="600" t="n">
        <x:v>-0.06767817261797165</x:v>
      </x:c>
      <x:c r="AJ250" s="600" t="n">
        <x:v>0.03133949194619207</x:v>
      </x:c>
      <x:c r="AK250" s="600" t="n">
        <x:v>0.1290347630069261</x:v>
      </x:c>
      <x:c r="AL250" s="600" t="n">
        <x:v>0.1554203668103096</x:v>
      </x:c>
      <x:c r="AM250" s="600" t="n">
        <x:v>0.6558</x:v>
      </x:c>
      <x:c r="AN250" s="595" t="inlineStr">
        <x:is>
          <x:t xml:space="preserve">EVALUATED</x:t>
        </x:is>
      </x:c>
      <x:c r="AO250" s="600" t="inlineStr">
        <x:is>
          <x:t xml:space="preserve">BUCKET_0.50、SIDE_IDENTITY_VALID、FLAT_LINE_GIVING_WATER_RISE</x:t>
        </x:is>
      </x:c>
      <x:c r="AP250" s="600" t="inlineStr">
        <x:is>
          <x:t xml:space="preserve">d0a397dc36bfc5ae6131</x:t>
        </x:is>
      </x:c>
      <x:c r="AQ250" s="600" t="n">
        <x:v>0.5</x:v>
      </x:c>
      <x:c r="AR250" s="600" t="n">
        <x:v>1.05</x:v>
      </x:c>
      <x:c r="AS250" s="600" t="n">
        <x:v>-0.5</x:v>
      </x:c>
      <x:c r="AT250" s="600" t="n">
        <x:v>0.5</x:v>
      </x:c>
      <x:c r="AU250" s="600" t="n">
        <x:v>0.84</x:v>
      </x:c>
      <x:c r="AV250" s="600" t="n">
        <x:v>1.05</x:v>
      </x:c>
      <x:c r="AW250" s="595" t="n">
        <x:v>46284.25887726852</x:v>
      </x:c>
      <x:c r="AX250" s="595" t="inlineStr">
        <x:is>
          <x:t xml:space="preserve">https://simondongxiao.github.io/odds/v4/</x:t>
        </x:is>
      </x:c>
      <x:c r="AY250" s="595" t="inlineStr">
        <x:is>
          <x:t xml:space="preserve">V4 Shadow Only；real_money=false；比分差异详见记录审计</x:t>
        </x:is>
      </x:c>
    </x:row>
    <x:row r="251" ht="22" customHeight="1">
      <x:c r="A251" s="595" t="inlineStr">
        <x:is>
          <x:t xml:space="preserve">2026-09-19</x:t>
        </x:is>
      </x:c>
      <x:c r="B251" s="595" t="inlineStr">
        <x:is>
          <x:t xml:space="preserve">2026-09-20 00:30</x:t>
        </x:is>
      </x:c>
      <x:c r="C251" s="595" t="str">
        <x:v>五大联赛非顶级联赛</x:v>
      </x:c>
      <x:c r="D251" s="595" t="inlineStr">
        <x:is>
          <x:t xml:space="preserve">联赛</x:t>
        </x:is>
      </x:c>
      <x:c r="E251" s="595" t="inlineStr">
        <x:is>
          <x:t xml:space="preserve">西乙</x:t>
        </x:is>
      </x:c>
      <x:c r="F251" s="595" t="inlineStr">
        <x:is>
          <x:t xml:space="preserve">卡斯特利翁 vs 特内里费</x:t>
        </x:is>
      </x:c>
      <x:c r="G251" s="596" t="n">
        <x:v>0.96</x:v>
      </x:c>
      <x:c r="H251" s="596" t="n">
        <x:v>1</x:v>
      </x:c>
      <x:c r="I251" s="596" t="n">
        <x:v>0.93</x:v>
      </x:c>
      <x:c r="J251" s="596" t="inlineStr">
        <x:is>
          <x:t xml:space="preserve">0.96/1/0.93</x:t>
        </x:is>
      </x:c>
      <x:c r="K251" s="595" t="inlineStr">
        <x:is>
          <x:t xml:space="preserve">V4-C｜EV +0.0363</x:t>
        </x:is>
      </x:c>
      <x:c r="L251" s="595" t="inlineStr">
        <x:is>
          <x:t xml:space="preserve">特内里费</x:t>
        </x:is>
      </x:c>
      <x:c r="M251" s="597" t="n">
        <x:v>0.5423728813559322</x:v>
      </x:c>
      <x:c r="N251" s="595" t="inlineStr">
        <x:is>
          <x:t xml:space="preserve">V4纸面入选-C</x:t>
        </x:is>
      </x:c>
      <x:c r="O251" s="595" t="inlineStr">
        <x:is>
          <x:t xml:space="preserve">5-0</x:t>
        </x:is>
      </x:c>
      <x:c r="P251" s="595" t="inlineStr">
        <x:is>
          <x:t xml:space="preserve">已结算</x:t>
        </x:is>
      </x:c>
      <x:c r="Q251" s="641" t="inlineStr">
        <x:is>
          <x:t xml:space="preserve">黑</x:t>
        </x:is>
      </x:c>
      <x:c r="R251" s="599" t="n">
        <x:v>0.93</x:v>
      </x:c>
      <x:c r="S251" s="599" t="n">
        <x:f>IF(OR(Q251="",Q251="待结算"),"",IF(Q251="红",R251,IF(Q251="半红",R251*0.5,IF(Q251="走",0,IF(Q251="半黑",-0.5,-1)))))</x:f>
        <x:v>-1</x:v>
      </x:c>
      <x:c r="T251" s="595" t="inlineStr">
        <x:is>
          <x:t xml:space="preserve">https://zq.titan007.com/analysis/3014080cn.htm</x:t>
        </x:is>
      </x:c>
      <x:c r="U251" s="640" t="str">
        <x:f>IF(Q251="","",IF(Q251="待结算","待结算",IF(Q251="红","黑",IF(Q251="半红","半黑",IF(Q251="走","走",IF(Q251="半黑","半红","红"))))))</x:f>
        <x:v>红</x:v>
      </x:c>
      <x:c r="V251" s="599" t="n">
        <x:f>IF(OR(Q251="",Q251="待结算"),"",IF(L251=LEFT(F251,FIND(" vs ",F251)-1),I251,G251))</x:f>
        <x:v>0.96</x:v>
      </x:c>
      <x:c r="W251" s="599" t="n">
        <x:f>IF(OR(U251="",U251="待结算"),"",IF(U251="红",V251,IF(U251="半红",V251*0.5,IF(U251="走",0,IF(U251="半黑",-0.5,-1)))))</x:f>
        <x:v>0.96</x:v>
      </x:c>
      <x:c r="X251" s="595" t="inlineStr">
        <x:is>
          <x:t xml:space="preserve">3014080</x:t>
        </x:is>
      </x:c>
      <x:c r="Y251" s="595" t="inlineStr">
        <x:is>
          <x:t xml:space="preserve">v4-market-dirichlet-20260913</x:t>
        </x:is>
      </x:c>
      <x:c r="Z251" s="595" t="inlineStr">
        <x:is>
          <x:t xml:space="preserve">prior-2026-09-19-v1</x:t>
        </x:is>
      </x:c>
      <x:c r="AA251" s="595" t="inlineStr">
        <x:is>
          <x:t xml:space="preserve">C</x:t>
        </x:is>
      </x:c>
      <x:c r="AB251" s="600" t="n">
        <x:v>0.4210526315789473</x:v>
      </x:c>
      <x:c r="AC251" s="600" t="n">
        <x:v>0</x:v>
      </x:c>
      <x:c r="AD251" s="600" t="n">
        <x:v>0.2236842105263158</x:v>
      </x:c>
      <x:c r="AE251" s="600" t="n">
        <x:v>0</x:v>
      </x:c>
      <x:c r="AF251" s="600" t="n">
        <x:v>0.3552631578947368</x:v>
      </x:c>
      <x:c r="AG251" s="600" t="n">
        <x:v>0.03631578947368419</x:v>
      </x:c>
      <x:c r="AH251" s="600" t="n">
        <x:v>-0.1246202021376409</x:v>
      </x:c>
      <x:c r="AI251" s="600" t="n">
        <x:v>-0.08850816134583306</x:v>
      </x:c>
      <x:c r="AJ251" s="600" t="n">
        <x:v>0.03698589533606927</x:v>
      </x:c>
      <x:c r="AK251" s="600" t="n">
        <x:v>0.1631134818379943</x:v>
      </x:c>
      <x:c r="AL251" s="600" t="n">
        <x:v>0.1960201176889165</x:v>
      </x:c>
      <x:c r="AM251" s="600" t="n">
        <x:v>0.6558</x:v>
      </x:c>
      <x:c r="AN251" s="595" t="inlineStr">
        <x:is>
          <x:t xml:space="preserve">EVALUATED</x:t>
        </x:is>
      </x:c>
      <x:c r="AO251" s="600" t="inlineStr">
        <x:is>
          <x:t xml:space="preserve">BUCKET_1.00、SIDE_IDENTITY_VALID、FLAT_LINE_GIVING_WATER_RISE</x:t>
        </x:is>
      </x:c>
      <x:c r="AP251" s="600" t="inlineStr">
        <x:is>
          <x:t xml:space="preserve">7d92684911e0a0219b3b</x:t>
        </x:is>
      </x:c>
      <x:c r="AQ251" s="600" t="n">
        <x:v>1</x:v>
      </x:c>
      <x:c r="AR251" s="600" t="n">
        <x:v>0.93</x:v>
      </x:c>
      <x:c r="AS251" s="600" t="n">
        <x:v>-1</x:v>
      </x:c>
      <x:c r="AT251" s="600" t="n">
        <x:v>1</x:v>
      </x:c>
      <x:c r="AU251" s="600" t="n">
        <x:v>0.96</x:v>
      </x:c>
      <x:c r="AV251" s="600" t="n">
        <x:v>0.93</x:v>
      </x:c>
      <x:c r="AW251" s="595" t="n">
        <x:v>46284.25887726852</x:v>
      </x:c>
      <x:c r="AX251" s="595" t="inlineStr">
        <x:is>
          <x:t xml:space="preserve">https://simondongxiao.github.io/odds/v4/</x:t>
        </x:is>
      </x:c>
      <x:c r="AY251" s="595" t="inlineStr">
        <x:is>
          <x:t xml:space="preserve">V4 Shadow Only；real_money=false；比分差异详见记录审计</x:t>
        </x:is>
      </x:c>
    </x:row>
    <x:row r="252" ht="22" customHeight="1">
      <x:c r="A252" s="595" t="inlineStr">
        <x:is>
          <x:t xml:space="preserve">2026-09-19</x:t>
        </x:is>
      </x:c>
      <x:c r="B252" s="595" t="inlineStr">
        <x:is>
          <x:t xml:space="preserve">2026-09-20 00:30</x:t>
        </x:is>
      </x:c>
      <x:c r="C252" s="595" t="str">
        <x:v>五大联赛非顶级联赛</x:v>
      </x:c>
      <x:c r="D252" s="595" t="inlineStr">
        <x:is>
          <x:t xml:space="preserve">联赛</x:t>
        </x:is>
      </x:c>
      <x:c r="E252" s="595" t="inlineStr">
        <x:is>
          <x:t xml:space="preserve">西乙</x:t>
        </x:is>
      </x:c>
      <x:c r="F252" s="595" t="inlineStr">
        <x:is>
          <x:t xml:space="preserve">埃登斯 vs 埃瓦尔</x:t>
        </x:is>
      </x:c>
      <x:c r="G252" s="596" t="n">
        <x:v>0.78</x:v>
      </x:c>
      <x:c r="H252" s="596" t="n">
        <x:v>-0.25</x:v>
      </x:c>
      <x:c r="I252" s="596" t="n">
        <x:v>1.12</x:v>
      </x:c>
      <x:c r="J252" s="596" t="inlineStr">
        <x:is>
          <x:t xml:space="preserve">0.78/-0.25/1.12</x:t>
        </x:is>
      </x:c>
      <x:c r="K252" s="595" t="inlineStr">
        <x:is>
          <x:t xml:space="preserve">V4-C｜EV +0.0491</x:t>
        </x:is>
      </x:c>
      <x:c r="L252" s="595" t="inlineStr">
        <x:is>
          <x:t xml:space="preserve">埃瓦尔</x:t>
        </x:is>
      </x:c>
      <x:c r="M252" s="597" t="n">
        <x:v>0.4989775051124744</x:v>
      </x:c>
      <x:c r="N252" s="595" t="inlineStr">
        <x:is>
          <x:t xml:space="preserve">V4纸面入选-C</x:t>
        </x:is>
      </x:c>
      <x:c r="O252" s="595" t="inlineStr">
        <x:is>
          <x:t xml:space="preserve">1-2</x:t>
        </x:is>
      </x:c>
      <x:c r="P252" s="595" t="inlineStr">
        <x:is>
          <x:t xml:space="preserve">已结算</x:t>
        </x:is>
      </x:c>
      <x:c r="Q252" s="640" t="inlineStr">
        <x:is>
          <x:t xml:space="preserve">红</x:t>
        </x:is>
      </x:c>
      <x:c r="R252" s="599" t="n">
        <x:v>1.12</x:v>
      </x:c>
      <x:c r="S252" s="599" t="n">
        <x:f>IF(OR(Q252="",Q252="待结算"),"",IF(Q252="红",R252,IF(Q252="半红",R252*0.5,IF(Q252="走",0,IF(Q252="半黑",-0.5,-1)))))</x:f>
        <x:v>1.12</x:v>
      </x:c>
      <x:c r="T252" s="595" t="inlineStr">
        <x:is>
          <x:t xml:space="preserve">https://zq.titan007.com/analysis/3014082cn.htm</x:t>
        </x:is>
      </x:c>
      <x:c r="U252" s="641" t="str">
        <x:f>IF(Q252="","",IF(Q252="待结算","待结算",IF(Q252="红","黑",IF(Q252="半红","半黑",IF(Q252="走","走",IF(Q252="半黑","半红","红"))))))</x:f>
        <x:v>黑</x:v>
      </x:c>
      <x:c r="V252" s="599" t="n">
        <x:f>IF(OR(Q252="",Q252="待结算"),"",IF(L252=LEFT(F252,FIND(" vs ",F252)-1),I252,G252))</x:f>
        <x:v>0.78</x:v>
      </x:c>
      <x:c r="W252" s="599" t="n">
        <x:f>IF(OR(U252="",U252="待结算"),"",IF(U252="红",V252,IF(U252="半红",V252*0.5,IF(U252="走",0,IF(U252="半黑",-0.5,-1)))))</x:f>
        <x:v>-1</x:v>
      </x:c>
      <x:c r="X252" s="595" t="inlineStr">
        <x:is>
          <x:t xml:space="preserve">3014082</x:t>
        </x:is>
      </x:c>
      <x:c r="Y252" s="595" t="inlineStr">
        <x:is>
          <x:t xml:space="preserve">v4-market-dirichlet-20260913</x:t>
        </x:is>
      </x:c>
      <x:c r="Z252" s="595" t="inlineStr">
        <x:is>
          <x:t xml:space="preserve">prior-2026-09-19-v1</x:t>
        </x:is>
      </x:c>
      <x:c r="AA252" s="595" t="inlineStr">
        <x:is>
          <x:t xml:space="preserve">C</x:t>
        </x:is>
      </x:c>
      <x:c r="AB252" s="600" t="n">
        <x:v>0.4236111111111111</x:v>
      </x:c>
      <x:c r="AC252" s="600" t="n">
        <x:v>0</x:v>
      </x:c>
      <x:c r="AD252" s="600" t="n">
        <x:v>0</x:v>
      </x:c>
      <x:c r="AE252" s="600" t="n">
        <x:v>0.3020833333333333</x:v>
      </x:c>
      <x:c r="AF252" s="600" t="n">
        <x:v>0.2743055555555556</x:v>
      </x:c>
      <x:c r="AG252" s="600" t="n">
        <x:v>0.04909722222222224</x:v>
      </x:c>
      <x:c r="AH252" s="600" t="n">
        <x:v>-0.04179166944623214</x:v>
      </x:c>
      <x:c r="AI252" s="600" t="n">
        <x:v>-0.02135977329128355</x:v>
      </x:c>
      <x:c r="AJ252" s="600" t="n">
        <x:v>0.04858400439712174</x:v>
      </x:c>
      <x:c r="AK252" s="600" t="n">
        <x:v>0.1198101778535889</x:v>
      </x:c>
      <x:c r="AL252" s="600" t="n">
        <x:v>0.1401061863792089</x:v>
      </x:c>
      <x:c r="AM252" s="600" t="n">
        <x:v>0.82</x:v>
      </x:c>
      <x:c r="AN252" s="595" t="inlineStr">
        <x:is>
          <x:t xml:space="preserve">EVALUATED</x:t>
        </x:is>
      </x:c>
      <x:c r="AO252" s="600" t="inlineStr">
        <x:is>
          <x:t xml:space="preserve">BUCKET_0.25、SIDE_IDENTITY_VALID、MARKET_MOVE_DEEPER_WITH_GIVING_WATER_RISE</x:t>
        </x:is>
      </x:c>
      <x:c r="AP252" s="600" t="inlineStr">
        <x:is>
          <x:t xml:space="preserve">a4c2ecdb6dbc68f87840</x:t>
        </x:is>
      </x:c>
      <x:c r="AQ252" s="600" t="n">
        <x:v>-0.25</x:v>
      </x:c>
      <x:c r="AR252" s="600" t="n">
        <x:v>1.12</x:v>
      </x:c>
      <x:c r="AS252" s="600" t="n">
        <x:v>0.25</x:v>
      </x:c>
      <x:c r="AT252" s="600" t="n">
        <x:v>-0.25</x:v>
      </x:c>
      <x:c r="AU252" s="600" t="n">
        <x:v>0.78</x:v>
      </x:c>
      <x:c r="AV252" s="600" t="n">
        <x:v>1.12</x:v>
      </x:c>
      <x:c r="AW252" s="595" t="n">
        <x:v>46284.25887726852</x:v>
      </x:c>
      <x:c r="AX252" s="595" t="inlineStr">
        <x:is>
          <x:t xml:space="preserve">https://simondongxiao.github.io/odds/v4/</x:t>
        </x:is>
      </x:c>
      <x:c r="AY252" s="595" t="inlineStr">
        <x:is>
          <x:t xml:space="preserve">V4 Shadow Only；real_money=false；比分差异详见记录审计</x:t>
        </x:is>
      </x:c>
    </x:row>
    <x:row r="253" ht="22" customHeight="1">
      <x:c r="A253" s="595" t="inlineStr">
        <x:is>
          <x:t xml:space="preserve">2026-09-19</x:t>
        </x:is>
      </x:c>
      <x:c r="B253" s="595" t="inlineStr">
        <x:is>
          <x:t xml:space="preserve">2026-09-20 00:30</x:t>
        </x:is>
      </x:c>
      <x:c r="C253" s="595" t="str">
        <x:v>欧洲非五大系列</x:v>
      </x:c>
      <x:c r="D253" s="595" t="inlineStr">
        <x:is>
          <x:t xml:space="preserve">联赛</x:t>
        </x:is>
      </x:c>
      <x:c r="E253" s="595" t="inlineStr">
        <x:is>
          <x:t xml:space="preserve">希腊超</x:t>
        </x:is>
      </x:c>
      <x:c r="F253" s="595" t="inlineStr">
        <x:is>
          <x:t xml:space="preserve">阿里斯 vs 伊拉克里斯</x:t>
        </x:is>
      </x:c>
      <x:c r="G253" s="596" t="n">
        <x:v>0.85</x:v>
      </x:c>
      <x:c r="H253" s="596" t="n">
        <x:v>0.75</x:v>
      </x:c>
      <x:c r="I253" s="596" t="n">
        <x:v>1.03</x:v>
      </x:c>
      <x:c r="J253" s="596" t="inlineStr">
        <x:is>
          <x:t xml:space="preserve">0.85/0.75/1.03</x:t>
        </x:is>
      </x:c>
      <x:c r="K253" s="595" t="inlineStr">
        <x:is>
          <x:t xml:space="preserve">V4-C｜EV +0.0257</x:t>
        </x:is>
      </x:c>
      <x:c r="L253" s="595" t="inlineStr">
        <x:is>
          <x:t xml:space="preserve">伊拉克里斯</x:t>
        </x:is>
      </x:c>
      <x:c r="M253" s="597" t="n">
        <x:v>0.5071770334928229</x:v>
      </x:c>
      <x:c r="N253" s="595" t="inlineStr">
        <x:is>
          <x:t xml:space="preserve">V4纸面入选-C</x:t>
        </x:is>
      </x:c>
      <x:c r="O253" s="595" t="inlineStr">
        <x:is>
          <x:t xml:space="preserve">0-0</x:t>
        </x:is>
      </x:c>
      <x:c r="P253" s="595" t="inlineStr">
        <x:is>
          <x:t xml:space="preserve">已结算</x:t>
        </x:is>
      </x:c>
      <x:c r="Q253" s="640" t="inlineStr">
        <x:is>
          <x:t xml:space="preserve">红</x:t>
        </x:is>
      </x:c>
      <x:c r="R253" s="599" t="n">
        <x:v>1.03</x:v>
      </x:c>
      <x:c r="S253" s="599" t="n">
        <x:f>IF(OR(Q253="",Q253="待结算"),"",IF(Q253="红",R253,IF(Q253="半红",R253*0.5,IF(Q253="走",0,IF(Q253="半黑",-0.5,-1)))))</x:f>
        <x:v>1.03</x:v>
      </x:c>
      <x:c r="T253" s="595" t="inlineStr">
        <x:is>
          <x:t xml:space="preserve">https://zq.titan007.com/analysis/3036433cn.htm</x:t>
        </x:is>
      </x:c>
      <x:c r="U253" s="641" t="str">
        <x:f>IF(Q253="","",IF(Q253="待结算","待结算",IF(Q253="红","黑",IF(Q253="半红","半黑",IF(Q253="走","走",IF(Q253="半黑","半红","红"))))))</x:f>
        <x:v>黑</x:v>
      </x:c>
      <x:c r="V253" s="599" t="n">
        <x:f>IF(OR(Q253="",Q253="待结算"),"",IF(L253=LEFT(F253,FIND(" vs ",F253)-1),I253,G253))</x:f>
        <x:v>0.85</x:v>
      </x:c>
      <x:c r="W253" s="599" t="n">
        <x:f>IF(OR(U253="",U253="待结算"),"",IF(U253="红",V253,IF(U253="半红",V253*0.5,IF(U253="走",0,IF(U253="半黑",-0.5,-1)))))</x:f>
        <x:v>-1</x:v>
      </x:c>
      <x:c r="X253" s="595" t="inlineStr">
        <x:is>
          <x:t xml:space="preserve">3036433</x:t>
        </x:is>
      </x:c>
      <x:c r="Y253" s="595" t="inlineStr">
        <x:is>
          <x:t xml:space="preserve">v4-market-dirichlet-20260913</x:t>
        </x:is>
      </x:c>
      <x:c r="Z253" s="595" t="inlineStr">
        <x:is>
          <x:t xml:space="preserve">prior-2026-09-19-v1</x:t>
        </x:is>
      </x:c>
      <x:c r="AA253" s="595" t="inlineStr">
        <x:is>
          <x:t xml:space="preserve">C</x:t>
        </x:is>
      </x:c>
      <x:c r="AB253" s="600" t="n">
        <x:v>0.4416666666666667</x:v>
      </x:c>
      <x:c r="AC253" s="600" t="n">
        <x:v>0</x:v>
      </x:c>
      <x:c r="AD253" s="600" t="n">
        <x:v>0</x:v>
      </x:c>
      <x:c r="AE253" s="600" t="n">
        <x:v>0.2583333333333334</x:v>
      </x:c>
      <x:c r="AF253" s="600" t="n">
        <x:v>0.3</x:v>
      </x:c>
      <x:c r="AG253" s="600" t="n">
        <x:v>0.02575</x:v>
      </x:c>
      <x:c r="AH253" s="600" t="n">
        <x:v>-0.1111495036780915</x:v>
      </x:c>
      <x:c r="AI253" s="600" t="n">
        <x:v>-0.08121943656189767</x:v>
      </x:c>
      <x:c r="AJ253" s="600" t="n">
        <x:v>0.02690003300977395</x:v>
      </x:c>
      <x:c r="AK253" s="600" t="n">
        <x:v>0.1368360409276236</x:v>
      </x:c>
      <x:c r="AL253" s="600" t="n">
        <x:v>0.1653537978897115</x:v>
      </x:c>
      <x:c r="AM253" s="600" t="n">
        <x:v>0.6228</x:v>
      </x:c>
      <x:c r="AN253" s="595" t="inlineStr">
        <x:is>
          <x:t xml:space="preserve">EVALUATED</x:t>
        </x:is>
      </x:c>
      <x:c r="AO253" s="600" t="inlineStr">
        <x:is>
          <x:t xml:space="preserve">BUCKET_0.75、SIDE_IDENTITY_VALID、FLAT_LINE_GIVING_WATER_RISE</x:t>
        </x:is>
      </x:c>
      <x:c r="AP253" s="600" t="inlineStr">
        <x:is>
          <x:t xml:space="preserve">eb0f3364b5651201246a</x:t>
        </x:is>
      </x:c>
      <x:c r="AQ253" s="600" t="n">
        <x:v>0.75</x:v>
      </x:c>
      <x:c r="AR253" s="600" t="n">
        <x:v>1.03</x:v>
      </x:c>
      <x:c r="AS253" s="600" t="n">
        <x:v>-0.75</x:v>
      </x:c>
      <x:c r="AT253" s="600" t="n">
        <x:v>0.75</x:v>
      </x:c>
      <x:c r="AU253" s="600" t="n">
        <x:v>0.85</x:v>
      </x:c>
      <x:c r="AV253" s="600" t="n">
        <x:v>1.03</x:v>
      </x:c>
      <x:c r="AW253" s="595" t="n">
        <x:v>46284.25887726852</x:v>
      </x:c>
      <x:c r="AX253" s="595" t="inlineStr">
        <x:is>
          <x:t xml:space="preserve">https://simondongxiao.github.io/odds/v4/</x:t>
        </x:is>
      </x:c>
      <x:c r="AY253" s="595" t="inlineStr">
        <x:is>
          <x:t xml:space="preserve">V4 Shadow Only；real_money=false；比分差异详见记录审计</x:t>
        </x:is>
      </x:c>
    </x:row>
    <x:row r="254" ht="22" customHeight="1">
      <x:c r="A254" s="595" t="inlineStr">
        <x:is>
          <x:t xml:space="preserve">2026-09-19</x:t>
        </x:is>
      </x:c>
      <x:c r="B254" s="595" t="inlineStr">
        <x:is>
          <x:t xml:space="preserve">2026-09-20 00:30</x:t>
        </x:is>
      </x:c>
      <x:c r="C254" s="595" t="str">
        <x:v>欧洲非五大系列</x:v>
      </x:c>
      <x:c r="D254" s="595" t="inlineStr">
        <x:is>
          <x:t xml:space="preserve">联赛</x:t>
        </x:is>
      </x:c>
      <x:c r="E254" s="595" t="inlineStr">
        <x:is>
          <x:t xml:space="preserve">威超</x:t>
        </x:is>
      </x:c>
      <x:c r="F254" s="595" t="inlineStr">
        <x:is>
          <x:t xml:space="preserve">新圣徒 vs 兰迪德诺</x:t>
        </x:is>
      </x:c>
      <x:c r="G254" s="596" t="n">
        <x:v>0.92</x:v>
      </x:c>
      <x:c r="H254" s="596" t="n">
        <x:v>2.25</x:v>
      </x:c>
      <x:c r="I254" s="596" t="n">
        <x:v>0.9</x:v>
      </x:c>
      <x:c r="J254" s="596" t="inlineStr">
        <x:is>
          <x:t xml:space="preserve">0.92/2.25/0.90</x:t>
        </x:is>
      </x:c>
      <x:c r="K254" s="595" t="inlineStr">
        <x:is>
          <x:t xml:space="preserve">V4-C｜EV +0.0711</x:t>
        </x:is>
      </x:c>
      <x:c r="L254" s="595" t="inlineStr">
        <x:is>
          <x:t xml:space="preserve">新圣徒</x:t>
        </x:is>
      </x:c>
      <x:c r="M254" s="597" t="n">
        <x:v>0.5625</x:v>
      </x:c>
      <x:c r="N254" s="595" t="inlineStr">
        <x:is>
          <x:t xml:space="preserve">V4纸面入选-C</x:t>
        </x:is>
      </x:c>
      <x:c r="O254" s="595" t="inlineStr">
        <x:is>
          <x:t xml:space="preserve">2-1</x:t>
        </x:is>
      </x:c>
      <x:c r="P254" s="595" t="inlineStr">
        <x:is>
          <x:t xml:space="preserve">已结算</x:t>
        </x:is>
      </x:c>
      <x:c r="Q254" s="641" t="inlineStr">
        <x:is>
          <x:t xml:space="preserve">黑</x:t>
        </x:is>
      </x:c>
      <x:c r="R254" s="599" t="n">
        <x:v>0.92</x:v>
      </x:c>
      <x:c r="S254" s="599" t="n">
        <x:f>IF(OR(Q254="",Q254="待结算"),"",IF(Q254="红",R254,IF(Q254="半红",R254*0.5,IF(Q254="走",0,IF(Q254="半黑",-0.5,-1)))))</x:f>
        <x:v>-1</x:v>
      </x:c>
      <x:c r="T254" s="595" t="inlineStr">
        <x:is>
          <x:t xml:space="preserve">https://zq.titan007.com/analysis/3019536cn.htm</x:t>
        </x:is>
      </x:c>
      <x:c r="U254" s="640" t="str">
        <x:f>IF(Q254="","",IF(Q254="待结算","待结算",IF(Q254="红","黑",IF(Q254="半红","半黑",IF(Q254="走","走",IF(Q254="半黑","半红","红"))))))</x:f>
        <x:v>红</x:v>
      </x:c>
      <x:c r="V254" s="599" t="n">
        <x:f>IF(OR(Q254="",Q254="待结算"),"",IF(L254=LEFT(F254,FIND(" vs ",F254)-1),I254,G254))</x:f>
        <x:v>0.9</x:v>
      </x:c>
      <x:c r="W254" s="599" t="n">
        <x:f>IF(OR(U254="",U254="待结算"),"",IF(U254="红",V254,IF(U254="半红",V254*0.5,IF(U254="走",0,IF(U254="半黑",-0.5,-1)))))</x:f>
        <x:v>0.9</x:v>
      </x:c>
      <x:c r="X254" s="595" t="inlineStr">
        <x:is>
          <x:t xml:space="preserve">3019536</x:t>
        </x:is>
      </x:c>
      <x:c r="Y254" s="595" t="inlineStr">
        <x:is>
          <x:t xml:space="preserve">v4-market-dirichlet-20260913</x:t>
        </x:is>
      </x:c>
      <x:c r="Z254" s="595" t="inlineStr">
        <x:is>
          <x:t xml:space="preserve">prior-2026-09-19-v1</x:t>
        </x:is>
      </x:c>
      <x:c r="AA254" s="595" t="inlineStr">
        <x:is>
          <x:t xml:space="preserve">C</x:t>
        </x:is>
      </x:c>
      <x:c r="AB254" s="600" t="n">
        <x:v>0.5</x:v>
      </x:c>
      <x:c r="AC254" s="600" t="n">
        <x:v>0</x:v>
      </x:c>
      <x:c r="AD254" s="600" t="n">
        <x:v>0</x:v>
      </x:c>
      <x:c r="AE254" s="600" t="n">
        <x:v>0.2222222222222222</x:v>
      </x:c>
      <x:c r="AF254" s="600" t="n">
        <x:v>0.2777777777777778</x:v>
      </x:c>
      <x:c r="AG254" s="600" t="n">
        <x:v>0.07111111111111112</x:v>
      </x:c>
      <x:c r="AH254" s="600" t="n">
        <x:v>-0.2607923249874334</x:v>
      </x:c>
      <x:c r="AI254" s="600" t="n">
        <x:v>-0.1831530301921558</x:v>
      </x:c>
      <x:c r="AJ254" s="600" t="n">
        <x:v>0.07148044902626993</x:v>
      </x:c>
      <x:c r="AK254" s="600" t="n">
        <x:v>0.3311247440286205</x:v>
      </x:c>
      <x:c r="AL254" s="600" t="n">
        <x:v>0.3965079936986164</x:v>
      </x:c>
      <x:c r="AM254" s="600" t="n">
        <x:v>0.639</x:v>
      </x:c>
      <x:c r="AN254" s="595" t="inlineStr">
        <x:is>
          <x:t xml:space="preserve">EVALUATED</x:t>
        </x:is>
      </x:c>
      <x:c r="AO254" s="600" t="inlineStr">
        <x:is>
          <x:t xml:space="preserve">BUCKET_2.25、SIDE_IDENTITY_VALID、MARKET_MOVE_DEEPER_WITH_GIVING_WATER_RISE</x:t>
        </x:is>
      </x:c>
      <x:c r="AP254" s="600" t="inlineStr">
        <x:is>
          <x:t xml:space="preserve">ba37a91ce6b5b89d4b69</x:t>
        </x:is>
      </x:c>
      <x:c r="AQ254" s="600" t="n">
        <x:v>-2.25</x:v>
      </x:c>
      <x:c r="AR254" s="600" t="n">
        <x:v>0.92</x:v>
      </x:c>
      <x:c r="AS254" s="600" t="n">
        <x:v>-2.25</x:v>
      </x:c>
      <x:c r="AT254" s="600" t="n">
        <x:v>2.25</x:v>
      </x:c>
      <x:c r="AU254" s="600" t="n">
        <x:v>0.92</x:v>
      </x:c>
      <x:c r="AV254" s="600" t="n">
        <x:v>0.9</x:v>
      </x:c>
      <x:c r="AW254" s="595" t="n">
        <x:v>46284.25887726852</x:v>
      </x:c>
      <x:c r="AX254" s="595" t="inlineStr">
        <x:is>
          <x:t xml:space="preserve">https://simondongxiao.github.io/odds/v4/</x:t>
        </x:is>
      </x:c>
      <x:c r="AY254" s="595" t="inlineStr">
        <x:is>
          <x:t xml:space="preserve">V4 Shadow Only；real_money=false；比分差异详见记录审计</x:t>
        </x:is>
      </x:c>
    </x:row>
    <x:row r="255" ht="22" customHeight="1">
      <x:c r="A255" s="595" t="inlineStr">
        <x:is>
          <x:t xml:space="preserve">2026-09-19</x:t>
        </x:is>
      </x:c>
      <x:c r="B255" s="595" t="inlineStr">
        <x:is>
          <x:t xml:space="preserve">2026-09-20 01:00</x:t>
        </x:is>
      </x:c>
      <x:c r="C255" s="595" t="str">
        <x:v>西亚/中亚系列</x:v>
      </x:c>
      <x:c r="D255" s="595" t="inlineStr">
        <x:is>
          <x:t xml:space="preserve">联赛</x:t>
        </x:is>
      </x:c>
      <x:c r="E255" s="595" t="inlineStr">
        <x:is>
          <x:t xml:space="preserve">以超</x:t>
        </x:is>
      </x:c>
      <x:c r="F255" s="595" t="inlineStr">
        <x:is>
          <x:t xml:space="preserve">尼坦耶马卡比 vs 特拉维夫马卡比</x:t>
        </x:is>
      </x:c>
      <x:c r="G255" s="596" t="n">
        <x:v>0.85</x:v>
      </x:c>
      <x:c r="H255" s="596" t="n">
        <x:v>-1</x:v>
      </x:c>
      <x:c r="I255" s="596" t="n">
        <x:v>0.85</x:v>
      </x:c>
      <x:c r="J255" s="596" t="inlineStr">
        <x:is>
          <x:t xml:space="preserve">0.85/-1/0.85</x:t>
        </x:is>
      </x:c>
      <x:c r="K255" s="595" t="inlineStr">
        <x:is>
          <x:t xml:space="preserve">V4-C｜EV +0.0026</x:t>
        </x:is>
      </x:c>
      <x:c r="L255" s="595" t="inlineStr">
        <x:is>
          <x:t xml:space="preserve">尼坦耶马卡比</x:t>
        </x:is>
      </x:c>
      <x:c r="M255" s="597" t="n">
        <x:v>0.5423728813559322</x:v>
      </x:c>
      <x:c r="N255" s="595" t="inlineStr">
        <x:is>
          <x:t xml:space="preserve">V4纸面入选-C</x:t>
        </x:is>
      </x:c>
      <x:c r="O255" s="595" t="inlineStr">
        <x:is>
          <x:t xml:space="preserve">1-2</x:t>
        </x:is>
      </x:c>
      <x:c r="P255" s="595" t="inlineStr">
        <x:is>
          <x:t xml:space="preserve">已结算</x:t>
        </x:is>
      </x:c>
      <x:c r="Q255" s="644" t="inlineStr">
        <x:is>
          <x:t xml:space="preserve">走</x:t>
        </x:is>
      </x:c>
      <x:c r="R255" s="599" t="n">
        <x:v>0.85</x:v>
      </x:c>
      <x:c r="S255" s="599" t="n">
        <x:f>IF(OR(Q255="",Q255="待结算"),"",IF(Q255="红",R255,IF(Q255="半红",R255*0.5,IF(Q255="走",0,IF(Q255="半黑",-0.5,-1)))))</x:f>
        <x:v>0</x:v>
      </x:c>
      <x:c r="T255" s="595" t="inlineStr">
        <x:is>
          <x:t xml:space="preserve">https://zq.titan007.com/analysis/3001615cn.htm</x:t>
        </x:is>
      </x:c>
      <x:c r="U255" s="644" t="str">
        <x:f>IF(Q255="","",IF(Q255="待结算","待结算",IF(Q255="红","黑",IF(Q255="半红","半黑",IF(Q255="走","走",IF(Q255="半黑","半红","红"))))))</x:f>
        <x:v>走</x:v>
      </x:c>
      <x:c r="V255" s="599" t="n">
        <x:f>IF(OR(Q255="",Q255="待结算"),"",IF(L255=LEFT(F255,FIND(" vs ",F255)-1),I255,G255))</x:f>
        <x:v>0.85</x:v>
      </x:c>
      <x:c r="W255" s="599" t="n">
        <x:f>IF(OR(U255="",U255="待结算"),"",IF(U255="红",V255,IF(U255="半红",V255*0.5,IF(U255="走",0,IF(U255="半黑",-0.5,-1)))))</x:f>
        <x:v>0</x:v>
      </x:c>
      <x:c r="X255" s="595" t="inlineStr">
        <x:is>
          <x:t xml:space="preserve">3001615</x:t>
        </x:is>
      </x:c>
      <x:c r="Y255" s="595" t="inlineStr">
        <x:is>
          <x:t xml:space="preserve">v4-market-dirichlet-20260913</x:t>
        </x:is>
      </x:c>
      <x:c r="Z255" s="595" t="inlineStr">
        <x:is>
          <x:t xml:space="preserve">prior-2026-09-19-v1</x:t>
        </x:is>
      </x:c>
      <x:c r="AA255" s="595" t="inlineStr">
        <x:is>
          <x:t xml:space="preserve">C</x:t>
        </x:is>
      </x:c>
      <x:c r="AB255" s="600" t="n">
        <x:v>0.4210526315789473</x:v>
      </x:c>
      <x:c r="AC255" s="600" t="n">
        <x:v>0</x:v>
      </x:c>
      <x:c r="AD255" s="600" t="n">
        <x:v>0.2236842105263158</x:v>
      </x:c>
      <x:c r="AE255" s="600" t="n">
        <x:v>0</x:v>
      </x:c>
      <x:c r="AF255" s="600" t="n">
        <x:v>0.3552631578947368</x:v>
      </x:c>
      <x:c r="AG255" s="600" t="n">
        <x:v>0.002631578947368374</x:v>
      </x:c>
      <x:c r="AH255" s="600" t="n">
        <x:v>-0.1460428827889633</x:v>
      </x:c>
      <x:c r="AI255" s="600" t="n">
        <x:v>-0.1125099902382911</x:v>
      </x:c>
      <x:c r="AJ255" s="600" t="n">
        <x:v>0.007840165526054488</x:v>
      </x:c>
      <x:c r="AK255" s="600" t="n">
        <x:v>0.1230284084687149</x:v>
      </x:c>
      <x:c r="AL255" s="600" t="n">
        <x:v>0.1563151855336116</x:v>
      </x:c>
      <x:c r="AM255" s="600" t="n">
        <x:v>0.5294</x:v>
      </x:c>
      <x:c r="AN255" s="595" t="inlineStr">
        <x:is>
          <x:t xml:space="preserve">EVALUATED</x:t>
        </x:is>
      </x:c>
      <x:c r="AO255" s="600" t="inlineStr">
        <x:is>
          <x:t xml:space="preserve">BUCKET_1.00、SIDE_IDENTITY_VALID、FLAT_LINE_GIVING_WATER_RISE</x:t>
        </x:is>
      </x:c>
      <x:c r="AP255" s="600" t="inlineStr">
        <x:is>
          <x:t xml:space="preserve">1f0e8c0fe5fcbc9af573</x:t>
        </x:is>
      </x:c>
      <x:c r="AQ255" s="600" t="n">
        <x:v>1</x:v>
      </x:c>
      <x:c r="AR255" s="600" t="n">
        <x:v>0.85</x:v>
      </x:c>
      <x:c r="AS255" s="600" t="n">
        <x:v>1</x:v>
      </x:c>
      <x:c r="AT255" s="600" t="n">
        <x:v>-1</x:v>
      </x:c>
      <x:c r="AU255" s="600" t="n">
        <x:v>0.85</x:v>
      </x:c>
      <x:c r="AV255" s="600" t="n">
        <x:v>0.85</x:v>
      </x:c>
      <x:c r="AW255" s="595" t="n">
        <x:v>46284.25887726852</x:v>
      </x:c>
      <x:c r="AX255" s="595" t="inlineStr">
        <x:is>
          <x:t xml:space="preserve">https://simondongxiao.github.io/odds/v4/</x:t>
        </x:is>
      </x:c>
      <x:c r="AY255" s="595" t="inlineStr">
        <x:is>
          <x:t xml:space="preserve">V4 Shadow Only；real_money=false；比分差异详见记录审计</x:t>
        </x:is>
      </x:c>
    </x:row>
    <x:row r="256" ht="22" customHeight="1">
      <x:c r="A256" s="595" t="inlineStr">
        <x:is>
          <x:t xml:space="preserve">2026-09-19</x:t>
        </x:is>
      </x:c>
      <x:c r="B256" s="595" t="inlineStr">
        <x:is>
          <x:t xml:space="preserve">2026-09-20 01:00</x:t>
        </x:is>
      </x:c>
      <x:c r="C256" s="595" t="str">
        <x:v>欧洲非五大系列</x:v>
      </x:c>
      <x:c r="D256" s="595" t="inlineStr">
        <x:is>
          <x:t xml:space="preserve">联赛</x:t>
        </x:is>
      </x:c>
      <x:c r="E256" s="595" t="inlineStr">
        <x:is>
          <x:t xml:space="preserve">波兰甲</x:t>
        </x:is>
      </x:c>
      <x:c r="F256" s="595" t="inlineStr">
        <x:is>
          <x:t xml:space="preserve">马特斯 vs 斯塔泽舒夫</x:t>
        </x:is>
      </x:c>
      <x:c r="G256" s="596" t="n">
        <x:v>0.8</x:v>
      </x:c>
      <x:c r="H256" s="596" t="n">
        <x:v>0.75</x:v>
      </x:c>
      <x:c r="I256" s="596" t="n">
        <x:v>1.04</x:v>
      </x:c>
      <x:c r="J256" s="596" t="inlineStr">
        <x:is>
          <x:t xml:space="preserve">0.80/0.75/1.04</x:t>
        </x:is>
      </x:c>
      <x:c r="K256" s="595" t="inlineStr">
        <x:is>
          <x:t xml:space="preserve">V4-C｜EV +0.0302</x:t>
        </x:is>
      </x:c>
      <x:c r="L256" s="595" t="inlineStr">
        <x:is>
          <x:t xml:space="preserve">斯塔泽舒夫</x:t>
        </x:is>
      </x:c>
      <x:c r="M256" s="597" t="n">
        <x:v>0.5071770334928229</x:v>
      </x:c>
      <x:c r="N256" s="595" t="inlineStr">
        <x:is>
          <x:t xml:space="preserve">V4纸面入选-C</x:t>
        </x:is>
      </x:c>
      <x:c r="O256" s="595" t="inlineStr">
        <x:is>
          <x:t xml:space="preserve">2-3</x:t>
        </x:is>
      </x:c>
      <x:c r="P256" s="595" t="inlineStr">
        <x:is>
          <x:t xml:space="preserve">已结算</x:t>
        </x:is>
      </x:c>
      <x:c r="Q256" s="640" t="inlineStr">
        <x:is>
          <x:t xml:space="preserve">红</x:t>
        </x:is>
      </x:c>
      <x:c r="R256" s="599" t="n">
        <x:v>1.04</x:v>
      </x:c>
      <x:c r="S256" s="599" t="n">
        <x:f>IF(OR(Q256="",Q256="待结算"),"",IF(Q256="红",R256,IF(Q256="半红",R256*0.5,IF(Q256="走",0,IF(Q256="半黑",-0.5,-1)))))</x:f>
        <x:v>1.04</x:v>
      </x:c>
      <x:c r="T256" s="595" t="inlineStr">
        <x:is>
          <x:t xml:space="preserve">https://zq.titan007.com/analysis/3004992cn.htm</x:t>
        </x:is>
      </x:c>
      <x:c r="U256" s="641" t="str">
        <x:f>IF(Q256="","",IF(Q256="待结算","待结算",IF(Q256="红","黑",IF(Q256="半红","半黑",IF(Q256="走","走",IF(Q256="半黑","半红","红"))))))</x:f>
        <x:v>黑</x:v>
      </x:c>
      <x:c r="V256" s="599" t="n">
        <x:f>IF(OR(Q256="",Q256="待结算"),"",IF(L256=LEFT(F256,FIND(" vs ",F256)-1),I256,G256))</x:f>
        <x:v>0.8</x:v>
      </x:c>
      <x:c r="W256" s="599" t="n">
        <x:f>IF(OR(U256="",U256="待结算"),"",IF(U256="红",V256,IF(U256="半红",V256*0.5,IF(U256="走",0,IF(U256="半黑",-0.5,-1)))))</x:f>
        <x:v>-1</x:v>
      </x:c>
      <x:c r="X256" s="595" t="inlineStr">
        <x:is>
          <x:t xml:space="preserve">3004992</x:t>
        </x:is>
      </x:c>
      <x:c r="Y256" s="595" t="inlineStr">
        <x:is>
          <x:t xml:space="preserve">v4-market-dirichlet-20260913</x:t>
        </x:is>
      </x:c>
      <x:c r="Z256" s="595" t="inlineStr">
        <x:is>
          <x:t xml:space="preserve">prior-2026-09-19-v1</x:t>
        </x:is>
      </x:c>
      <x:c r="AA256" s="595" t="inlineStr">
        <x:is>
          <x:t xml:space="preserve">C</x:t>
        </x:is>
      </x:c>
      <x:c r="AB256" s="600" t="n">
        <x:v>0.4416666666666667</x:v>
      </x:c>
      <x:c r="AC256" s="600" t="n">
        <x:v>0</x:v>
      </x:c>
      <x:c r="AD256" s="600" t="n">
        <x:v>0</x:v>
      </x:c>
      <x:c r="AE256" s="600" t="n">
        <x:v>0.2583333333333334</x:v>
      </x:c>
      <x:c r="AF256" s="600" t="n">
        <x:v>0.3</x:v>
      </x:c>
      <x:c r="AG256" s="600" t="n">
        <x:v>0.03016666666666662</x:v>
      </x:c>
      <x:c r="AH256" s="600" t="n">
        <x:v>-0.1101269909892126</x:v>
      </x:c>
      <x:c r="AI256" s="600" t="n">
        <x:v>-0.08008068820872477</x:v>
      </x:c>
      <x:c r="AJ256" s="600" t="n">
        <x:v>0.02887084770139281</x:v>
      </x:c>
      <x:c r="AK256" s="600" t="n">
        <x:v>0.1358052754042648</x:v>
      </x:c>
      <x:c r="AL256" s="600" t="n">
        <x:v>0.1680764548232767</x:v>
      </x:c>
      <x:c r="AM256" s="600" t="n">
        <x:v>0.6388</x:v>
      </x:c>
      <x:c r="AN256" s="595" t="inlineStr">
        <x:is>
          <x:t xml:space="preserve">EVALUATED</x:t>
        </x:is>
      </x:c>
      <x:c r="AO256" s="600" t="inlineStr">
        <x:is>
          <x:t xml:space="preserve">BUCKET_0.75、SIDE_IDENTITY_VALID、FLAT_LINE_GIVING_WATER_RISE</x:t>
        </x:is>
      </x:c>
      <x:c r="AP256" s="600" t="inlineStr">
        <x:is>
          <x:t xml:space="preserve">5102f6b107f264ee1cec</x:t>
        </x:is>
      </x:c>
      <x:c r="AQ256" s="600" t="n">
        <x:v>0.75</x:v>
      </x:c>
      <x:c r="AR256" s="600" t="n">
        <x:v>1.04</x:v>
      </x:c>
      <x:c r="AS256" s="600" t="n">
        <x:v>-0.75</x:v>
      </x:c>
      <x:c r="AT256" s="600" t="n">
        <x:v>0.75</x:v>
      </x:c>
      <x:c r="AU256" s="600" t="n">
        <x:v>0.8</x:v>
      </x:c>
      <x:c r="AV256" s="600" t="n">
        <x:v>1.04</x:v>
      </x:c>
      <x:c r="AW256" s="595" t="n">
        <x:v>46284.25887726852</x:v>
      </x:c>
      <x:c r="AX256" s="595" t="inlineStr">
        <x:is>
          <x:t xml:space="preserve">https://simondongxiao.github.io/odds/v4/</x:t>
        </x:is>
      </x:c>
      <x:c r="AY256" s="595" t="inlineStr">
        <x:is>
          <x:t xml:space="preserve">V4 Shadow Only；real_money=false；比分差异详见记录审计</x:t>
        </x:is>
      </x:c>
    </x:row>
    <x:row r="257" ht="22" customHeight="1">
      <x:c r="A257" s="595" t="inlineStr">
        <x:is>
          <x:t xml:space="preserve">2026-09-19</x:t>
        </x:is>
      </x:c>
      <x:c r="B257" s="595" t="inlineStr">
        <x:is>
          <x:t xml:space="preserve">2026-09-20 01:00</x:t>
        </x:is>
      </x:c>
      <x:c r="C257" s="595" t="str">
        <x:v>欧洲非五大系列</x:v>
      </x:c>
      <x:c r="D257" s="595" t="inlineStr">
        <x:is>
          <x:t xml:space="preserve">杯赛</x:t>
        </x:is>
      </x:c>
      <x:c r="E257" s="595" t="inlineStr">
        <x:is>
          <x:t xml:space="preserve">葡杯</x:t>
        </x:is>
      </x:c>
      <x:c r="F257" s="595" t="inlineStr">
        <x:is>
          <x:t xml:space="preserve">马夫拉 vs 提森斯</x:t>
        </x:is>
      </x:c>
      <x:c r="G257" s="596" t="n">
        <x:v>0.93</x:v>
      </x:c>
      <x:c r="H257" s="596" t="n">
        <x:v>1</x:v>
      </x:c>
      <x:c r="I257" s="596" t="n">
        <x:v>0.89</x:v>
      </x:c>
      <x:c r="J257" s="596" t="inlineStr">
        <x:is>
          <x:t xml:space="preserve">0.93/1/0.89</x:t>
        </x:is>
      </x:c>
      <x:c r="K257" s="595" t="inlineStr">
        <x:is>
          <x:t xml:space="preserve">V4-C｜EV +0.0195</x:t>
        </x:is>
      </x:c>
      <x:c r="L257" s="595" t="inlineStr">
        <x:is>
          <x:t xml:space="preserve">提森斯</x:t>
        </x:is>
      </x:c>
      <x:c r="M257" s="597" t="n">
        <x:v>0.5423728813559322</x:v>
      </x:c>
      <x:c r="N257" s="595" t="inlineStr">
        <x:is>
          <x:t xml:space="preserve">V4纸面入选-C</x:t>
        </x:is>
      </x:c>
      <x:c r="O257" s="595" t="inlineStr">
        <x:is>
          <x:t xml:space="preserve">1-1</x:t>
        </x:is>
      </x:c>
      <x:c r="P257" s="595" t="inlineStr">
        <x:is>
          <x:t xml:space="preserve">已结算</x:t>
        </x:is>
      </x:c>
      <x:c r="Q257" s="640" t="inlineStr">
        <x:is>
          <x:t xml:space="preserve">红</x:t>
        </x:is>
      </x:c>
      <x:c r="R257" s="599" t="n">
        <x:v>0.89</x:v>
      </x:c>
      <x:c r="S257" s="599" t="n">
        <x:f>IF(OR(Q257="",Q257="待结算"),"",IF(Q257="红",R257,IF(Q257="半红",R257*0.5,IF(Q257="走",0,IF(Q257="半黑",-0.5,-1)))))</x:f>
        <x:v>0.89</x:v>
      </x:c>
      <x:c r="T257" s="595" t="inlineStr">
        <x:is>
          <x:t xml:space="preserve">https://zq.titan007.com/analysis/3089855cn.htm</x:t>
        </x:is>
      </x:c>
      <x:c r="U257" s="641" t="str">
        <x:f>IF(Q257="","",IF(Q257="待结算","待结算",IF(Q257="红","黑",IF(Q257="半红","半黑",IF(Q257="走","走",IF(Q257="半黑","半红","红"))))))</x:f>
        <x:v>黑</x:v>
      </x:c>
      <x:c r="V257" s="599" t="n">
        <x:f>IF(OR(Q257="",Q257="待结算"),"",IF(L257=LEFT(F257,FIND(" vs ",F257)-1),I257,G257))</x:f>
        <x:v>0.93</x:v>
      </x:c>
      <x:c r="W257" s="599" t="n">
        <x:f>IF(OR(U257="",U257="待结算"),"",IF(U257="红",V257,IF(U257="半红",V257*0.5,IF(U257="走",0,IF(U257="半黑",-0.5,-1)))))</x:f>
        <x:v>-1</x:v>
      </x:c>
      <x:c r="X257" s="595" t="inlineStr">
        <x:is>
          <x:t xml:space="preserve">3089855</x:t>
        </x:is>
      </x:c>
      <x:c r="Y257" s="595" t="inlineStr">
        <x:is>
          <x:t xml:space="preserve">v4-market-dirichlet-20260913</x:t>
        </x:is>
      </x:c>
      <x:c r="Z257" s="595" t="inlineStr">
        <x:is>
          <x:t xml:space="preserve">prior-2026-09-19-v1</x:t>
        </x:is>
      </x:c>
      <x:c r="AA257" s="595" t="inlineStr">
        <x:is>
          <x:t xml:space="preserve">C</x:t>
        </x:is>
      </x:c>
      <x:c r="AB257" s="600" t="n">
        <x:v>0.4210526315789473</x:v>
      </x:c>
      <x:c r="AC257" s="600" t="n">
        <x:v>0</x:v>
      </x:c>
      <x:c r="AD257" s="600" t="n">
        <x:v>0.2236842105263158</x:v>
      </x:c>
      <x:c r="AE257" s="600" t="n">
        <x:v>0</x:v>
      </x:c>
      <x:c r="AF257" s="600" t="n">
        <x:v>0.3552631578947368</x:v>
      </x:c>
      <x:c r="AG257" s="600" t="n">
        <x:v>0.01947368421052631</x:v>
      </x:c>
      <x:c r="AH257" s="600" t="n">
        <x:v>-0.1375859715611571</x:v>
      </x:c>
      <x:c r="AI257" s="600" t="n">
        <x:v>-0.1027056914571352</x:v>
      </x:c>
      <x:c r="AJ257" s="600" t="n">
        <x:v>0.01967790291191979</x:v>
      </x:c>
      <x:c r="AK257" s="600" t="n">
        <x:v>0.1403315901247956</x:v>
      </x:c>
      <x:c r="AL257" s="600" t="n">
        <x:v>0.1716055180691307</x:v>
      </x:c>
      <x:c r="AM257" s="600" t="n">
        <x:v>0.589</x:v>
      </x:c>
      <x:c r="AN257" s="595" t="inlineStr">
        <x:is>
          <x:t xml:space="preserve">EVALUATED</x:t>
        </x:is>
      </x:c>
      <x:c r="AO257" s="600" t="inlineStr">
        <x:is>
          <x:t xml:space="preserve">BUCKET_1.00、SIDE_IDENTITY_VALID、FLAT_LINE_GIVING_WATER_RISE</x:t>
        </x:is>
      </x:c>
      <x:c r="AP257" s="600" t="inlineStr">
        <x:is>
          <x:t xml:space="preserve">655a240965b1952d1980</x:t>
        </x:is>
      </x:c>
      <x:c r="AQ257" s="600" t="n">
        <x:v>1</x:v>
      </x:c>
      <x:c r="AR257" s="600" t="n">
        <x:v>0.89</x:v>
      </x:c>
      <x:c r="AS257" s="600" t="n">
        <x:v>-1</x:v>
      </x:c>
      <x:c r="AT257" s="600" t="n">
        <x:v>1</x:v>
      </x:c>
      <x:c r="AU257" s="600" t="n">
        <x:v>0.93</x:v>
      </x:c>
      <x:c r="AV257" s="600" t="n">
        <x:v>0.89</x:v>
      </x:c>
      <x:c r="AW257" s="595" t="n">
        <x:v>46284.25887726852</x:v>
      </x:c>
      <x:c r="AX257" s="595" t="inlineStr">
        <x:is>
          <x:t xml:space="preserve">https://simondongxiao.github.io/odds/v4/</x:t>
        </x:is>
      </x:c>
      <x:c r="AY257" s="595" t="inlineStr">
        <x:is>
          <x:t xml:space="preserve">V4 Shadow Only；real_money=false；比分差异详见记录审计</x:t>
        </x:is>
      </x:c>
    </x:row>
    <x:row r="258" ht="22" customHeight="1">
      <x:c r="A258" s="595" t="inlineStr">
        <x:is>
          <x:t xml:space="preserve">2026-09-19</x:t>
        </x:is>
      </x:c>
      <x:c r="B258" s="595" t="inlineStr">
        <x:is>
          <x:t xml:space="preserve">2026-09-20 01:30</x:t>
        </x:is>
      </x:c>
      <x:c r="C258" s="595" t="str">
        <x:v>五大联赛非顶级联赛</x:v>
      </x:c>
      <x:c r="D258" s="595" t="inlineStr">
        <x:is>
          <x:t xml:space="preserve">联赛</x:t>
        </x:is>
      </x:c>
      <x:c r="E258" s="595" t="inlineStr">
        <x:is>
          <x:t xml:space="preserve">意乙</x:t>
        </x:is>
      </x:c>
      <x:c r="F258" s="595" t="inlineStr">
        <x:is>
          <x:t xml:space="preserve">阿斯科利 vs 阿维利诺</x:t>
        </x:is>
      </x:c>
      <x:c r="G258" s="596" t="n">
        <x:v>0.84</x:v>
      </x:c>
      <x:c r="H258" s="596" t="n">
        <x:v>0.25</x:v>
      </x:c>
      <x:c r="I258" s="596" t="n">
        <x:v>1.04</x:v>
      </x:c>
      <x:c r="J258" s="596" t="inlineStr">
        <x:is>
          <x:t xml:space="preserve">0.84/0.25/1.04</x:t>
        </x:is>
      </x:c>
      <x:c r="K258" s="595" t="inlineStr">
        <x:is>
          <x:t xml:space="preserve">V4-C｜EV +0.0187</x:t>
        </x:is>
      </x:c>
      <x:c r="L258" s="595" t="inlineStr">
        <x:is>
          <x:t xml:space="preserve">阿维利诺</x:t>
        </x:is>
      </x:c>
      <x:c r="M258" s="597" t="n">
        <x:v>0.5010224948875256</x:v>
      </x:c>
      <x:c r="N258" s="595" t="inlineStr">
        <x:is>
          <x:t xml:space="preserve">V4纸面入选-C</x:t>
        </x:is>
      </x:c>
      <x:c r="O258" s="595" t="inlineStr">
        <x:is>
          <x:t xml:space="preserve">3-1</x:t>
        </x:is>
      </x:c>
      <x:c r="P258" s="595" t="inlineStr">
        <x:is>
          <x:t xml:space="preserve">已结算</x:t>
        </x:is>
      </x:c>
      <x:c r="Q258" s="641" t="inlineStr">
        <x:is>
          <x:t xml:space="preserve">黑</x:t>
        </x:is>
      </x:c>
      <x:c r="R258" s="599" t="n">
        <x:v>1.04</x:v>
      </x:c>
      <x:c r="S258" s="599" t="n">
        <x:f>IF(OR(Q258="",Q258="待结算"),"",IF(Q258="红",R258,IF(Q258="半红",R258*0.5,IF(Q258="走",0,IF(Q258="半黑",-0.5,-1)))))</x:f>
        <x:v>-1</x:v>
      </x:c>
      <x:c r="T258" s="595" t="inlineStr">
        <x:is>
          <x:t xml:space="preserve">https://zq.titan007.com/analysis/3040746cn.htm</x:t>
        </x:is>
      </x:c>
      <x:c r="U258" s="640" t="str">
        <x:f>IF(Q258="","",IF(Q258="待结算","待结算",IF(Q258="红","黑",IF(Q258="半红","半黑",IF(Q258="走","走",IF(Q258="半黑","半红","红"))))))</x:f>
        <x:v>红</x:v>
      </x:c>
      <x:c r="V258" s="599" t="n">
        <x:f>IF(OR(Q258="",Q258="待结算"),"",IF(L258=LEFT(F258,FIND(" vs ",F258)-1),I258,G258))</x:f>
        <x:v>0.84</x:v>
      </x:c>
      <x:c r="W258" s="599" t="n">
        <x:f>IF(OR(U258="",U258="待结算"),"",IF(U258="红",V258,IF(U258="半红",V258*0.5,IF(U258="走",0,IF(U258="半黑",-0.5,-1)))))</x:f>
        <x:v>0.84</x:v>
      </x:c>
      <x:c r="X258" s="595" t="inlineStr">
        <x:is>
          <x:t xml:space="preserve">3040746</x:t>
        </x:is>
      </x:c>
      <x:c r="Y258" s="595" t="inlineStr">
        <x:is>
          <x:t xml:space="preserve">v4-market-dirichlet-20260913</x:t>
        </x:is>
      </x:c>
      <x:c r="Z258" s="595" t="inlineStr">
        <x:is>
          <x:t xml:space="preserve">prior-2026-09-19-v1</x:t>
        </x:is>
      </x:c>
      <x:c r="AA258" s="595" t="inlineStr">
        <x:is>
          <x:t xml:space="preserve">C</x:t>
        </x:is>
      </x:c>
      <x:c r="AB258" s="600" t="n">
        <x:v>0.2743055555555556</x:v>
      </x:c>
      <x:c r="AC258" s="600" t="n">
        <x:v>0.3020833333333333</x:v>
      </x:c>
      <x:c r="AD258" s="600" t="n">
        <x:v>0</x:v>
      </x:c>
      <x:c r="AE258" s="600" t="n">
        <x:v>0</x:v>
      </x:c>
      <x:c r="AF258" s="600" t="n">
        <x:v>0.4236111111111111</x:v>
      </x:c>
      <x:c r="AG258" s="600" t="n">
        <x:v>0.01874999999999999</x:v>
      </x:c>
      <x:c r="AH258" s="600" t="n">
        <x:v>-0.06778845052506038</x:v>
      </x:c>
      <x:c r="AI258" s="600" t="n">
        <x:v>-0.04713150771438368</x:v>
      </x:c>
      <x:c r="AJ258" s="600" t="n">
        <x:v>0.01853042765085805</x:v>
      </x:c>
      <x:c r="AK258" s="600" t="n">
        <x:v>0.08637043944135098</x:v>
      </x:c>
      <x:c r="AL258" s="600" t="n">
        <x:v>0.1048094156299493</x:v>
      </x:c>
      <x:c r="AM258" s="600" t="n">
        <x:v>0.6418</x:v>
      </x:c>
      <x:c r="AN258" s="595" t="inlineStr">
        <x:is>
          <x:t xml:space="preserve">EVALUATED</x:t>
        </x:is>
      </x:c>
      <x:c r="AO258" s="600" t="inlineStr">
        <x:is>
          <x:t xml:space="preserve">BUCKET_0.25、SIDE_IDENTITY_VALID、FLAT_LINE_GIVING_WATER_DROP</x:t>
        </x:is>
      </x:c>
      <x:c r="AP258" s="600" t="inlineStr">
        <x:is>
          <x:t xml:space="preserve">c1a41c0c67a7b4f182e2</x:t>
        </x:is>
      </x:c>
      <x:c r="AQ258" s="600" t="n">
        <x:v>0.25</x:v>
      </x:c>
      <x:c r="AR258" s="600" t="n">
        <x:v>1.04</x:v>
      </x:c>
      <x:c r="AS258" s="600" t="n">
        <x:v>-0.25</x:v>
      </x:c>
      <x:c r="AT258" s="600" t="n">
        <x:v>0.25</x:v>
      </x:c>
      <x:c r="AU258" s="600" t="n">
        <x:v>0.84</x:v>
      </x:c>
      <x:c r="AV258" s="600" t="n">
        <x:v>1.04</x:v>
      </x:c>
      <x:c r="AW258" s="595" t="n">
        <x:v>46284.25887726852</x:v>
      </x:c>
      <x:c r="AX258" s="595" t="inlineStr">
        <x:is>
          <x:t xml:space="preserve">https://simondongxiao.github.io/odds/v4/</x:t>
        </x:is>
      </x:c>
      <x:c r="AY258" s="595" t="inlineStr">
        <x:is>
          <x:t xml:space="preserve">V4 Shadow Only；real_money=false；比分差异详见记录审计</x:t>
        </x:is>
      </x:c>
    </x:row>
    <x:row r="259" ht="22" customHeight="1">
      <x:c r="A259" s="595" t="inlineStr">
        <x:is>
          <x:t xml:space="preserve">2026-09-19</x:t>
        </x:is>
      </x:c>
      <x:c r="B259" s="595" t="inlineStr">
        <x:is>
          <x:t xml:space="preserve">2026-09-20 01:30</x:t>
        </x:is>
      </x:c>
      <x:c r="C259" s="595" t="str">
        <x:v>欧洲非五大系列</x:v>
      </x:c>
      <x:c r="D259" s="595" t="inlineStr">
        <x:is>
          <x:t xml:space="preserve">联赛</x:t>
        </x:is>
      </x:c>
      <x:c r="E259" s="595" t="inlineStr">
        <x:is>
          <x:t xml:space="preserve">匈甲</x:t>
        </x:is>
      </x:c>
      <x:c r="F259" s="595" t="inlineStr">
        <x:is>
          <x:t xml:space="preserve">德布勒森尼 vs 华萨斯</x:t>
        </x:is>
      </x:c>
      <x:c r="G259" s="596" t="n">
        <x:v>1.03</x:v>
      </x:c>
      <x:c r="H259" s="596" t="n">
        <x:v>0.25</x:v>
      </x:c>
      <x:c r="I259" s="596" t="n">
        <x:v>0.8100000000000001</x:v>
      </x:c>
      <x:c r="J259" s="596" t="inlineStr">
        <x:is>
          <x:t xml:space="preserve">1.03/0.25/0.81</x:t>
        </x:is>
      </x:c>
      <x:c r="K259" s="595" t="inlineStr">
        <x:is>
          <x:t xml:space="preserve">V4-C｜EV +0.0110</x:t>
        </x:is>
      </x:c>
      <x:c r="L259" s="595" t="inlineStr">
        <x:is>
          <x:t xml:space="preserve">德布勒森尼</x:t>
        </x:is>
      </x:c>
      <x:c r="M259" s="597" t="n">
        <x:v>0.4989775051124744</x:v>
      </x:c>
      <x:c r="N259" s="595" t="inlineStr">
        <x:is>
          <x:t xml:space="preserve">V4纸面入选-C</x:t>
        </x:is>
      </x:c>
      <x:c r="O259" s="595" t="inlineStr">
        <x:is>
          <x:t xml:space="preserve">2-4</x:t>
        </x:is>
      </x:c>
      <x:c r="P259" s="595" t="inlineStr">
        <x:is>
          <x:t xml:space="preserve">已结算</x:t>
        </x:is>
      </x:c>
      <x:c r="Q259" s="641" t="inlineStr">
        <x:is>
          <x:t xml:space="preserve">黑</x:t>
        </x:is>
      </x:c>
      <x:c r="R259" s="599" t="n">
        <x:v>1.03</x:v>
      </x:c>
      <x:c r="S259" s="599" t="n">
        <x:f>IF(OR(Q259="",Q259="待结算"),"",IF(Q259="红",R259,IF(Q259="半红",R259*0.5,IF(Q259="走",0,IF(Q259="半黑",-0.5,-1)))))</x:f>
        <x:v>-1</x:v>
      </x:c>
      <x:c r="T259" s="595" t="inlineStr">
        <x:is>
          <x:t xml:space="preserve">https://zq.titan007.com/analysis/3011405cn.htm</x:t>
        </x:is>
      </x:c>
      <x:c r="U259" s="640" t="str">
        <x:f>IF(Q259="","",IF(Q259="待结算","待结算",IF(Q259="红","黑",IF(Q259="半红","半黑",IF(Q259="走","走",IF(Q259="半黑","半红","红"))))))</x:f>
        <x:v>红</x:v>
      </x:c>
      <x:c r="V259" s="599" t="n">
        <x:f>IF(OR(Q259="",Q259="待结算"),"",IF(L259=LEFT(F259,FIND(" vs ",F259)-1),I259,G259))</x:f>
        <x:v>0.81</x:v>
      </x:c>
      <x:c r="W259" s="599" t="n">
        <x:f>IF(OR(U259="",U259="待结算"),"",IF(U259="红",V259,IF(U259="半红",V259*0.5,IF(U259="走",0,IF(U259="半黑",-0.5,-1)))))</x:f>
        <x:v>0.81</x:v>
      </x:c>
      <x:c r="X259" s="595" t="inlineStr">
        <x:is>
          <x:t xml:space="preserve">3011405</x:t>
        </x:is>
      </x:c>
      <x:c r="Y259" s="595" t="inlineStr">
        <x:is>
          <x:t xml:space="preserve">v4-market-dirichlet-20260913</x:t>
        </x:is>
      </x:c>
      <x:c r="Z259" s="595" t="inlineStr">
        <x:is>
          <x:t xml:space="preserve">prior-2026-09-19-v1</x:t>
        </x:is>
      </x:c>
      <x:c r="AA259" s="595" t="inlineStr">
        <x:is>
          <x:t xml:space="preserve">C</x:t>
        </x:is>
      </x:c>
      <x:c r="AB259" s="600" t="n">
        <x:v>0.4236111111111111</x:v>
      </x:c>
      <x:c r="AC259" s="600" t="n">
        <x:v>0</x:v>
      </x:c>
      <x:c r="AD259" s="600" t="n">
        <x:v>0</x:v>
      </x:c>
      <x:c r="AE259" s="600" t="n">
        <x:v>0.3020833333333333</x:v>
      </x:c>
      <x:c r="AF259" s="600" t="n">
        <x:v>0.2743055555555556</x:v>
      </x:c>
      <x:c r="AG259" s="600" t="n">
        <x:v>0.01097222222222216</x:v>
      </x:c>
      <x:c r="AH259" s="600" t="n">
        <x:v>-0.07470702316984823</x:v>
      </x:c>
      <x:c r="AI259" s="600" t="n">
        <x:v>-0.0562788761229486</x:v>
      </x:c>
      <x:c r="AJ259" s="600" t="n">
        <x:v>0.01214350346618892</x:v>
      </x:c>
      <x:c r="AK259" s="600" t="n">
        <x:v>0.07858774368574722</x:v>
      </x:c>
      <x:c r="AL259" s="600" t="n">
        <x:v>0.09822269213355067</x:v>
      </x:c>
      <x:c r="AM259" s="600" t="n">
        <x:v>0.587</x:v>
      </x:c>
      <x:c r="AN259" s="595" t="inlineStr">
        <x:is>
          <x:t xml:space="preserve">EVALUATED</x:t>
        </x:is>
      </x:c>
      <x:c r="AO259" s="600" t="inlineStr">
        <x:is>
          <x:t xml:space="preserve">BUCKET_0.25、SIDE_IDENTITY_VALID、MARKET_MOVE_DEEPER_WITH_GIVING_WATER_RISE</x:t>
        </x:is>
      </x:c>
      <x:c r="AP259" s="600" t="inlineStr">
        <x:is>
          <x:t xml:space="preserve">825ffe0e476b5f7dfdb5</x:t>
        </x:is>
      </x:c>
      <x:c r="AQ259" s="600" t="n">
        <x:v>-0.25</x:v>
      </x:c>
      <x:c r="AR259" s="600" t="n">
        <x:v>1.03</x:v>
      </x:c>
      <x:c r="AS259" s="600" t="n">
        <x:v>-0.25</x:v>
      </x:c>
      <x:c r="AT259" s="600" t="n">
        <x:v>0.25</x:v>
      </x:c>
      <x:c r="AU259" s="600" t="n">
        <x:v>1.03</x:v>
      </x:c>
      <x:c r="AV259" s="600" t="n">
        <x:v>0.8100000000000001</x:v>
      </x:c>
      <x:c r="AW259" s="595" t="n">
        <x:v>46284.25887726852</x:v>
      </x:c>
      <x:c r="AX259" s="595" t="inlineStr">
        <x:is>
          <x:t xml:space="preserve">https://simondongxiao.github.io/odds/v4/</x:t>
        </x:is>
      </x:c>
      <x:c r="AY259" s="595" t="inlineStr">
        <x:is>
          <x:t xml:space="preserve">V4 Shadow Only；real_money=false；比分差异详见记录审计</x:t>
        </x:is>
      </x:c>
    </x:row>
    <x:row r="260" ht="22" customHeight="1">
      <x:c r="A260" s="595" t="inlineStr">
        <x:is>
          <x:t xml:space="preserve">2026-09-19</x:t>
        </x:is>
      </x:c>
      <x:c r="B260" s="595" t="inlineStr">
        <x:is>
          <x:t xml:space="preserve">2026-09-20 02:00</x:t>
        </x:is>
      </x:c>
      <x:c r="C260" s="595" t="str">
        <x:v>欧洲非五大系列</x:v>
      </x:c>
      <x:c r="D260" s="595" t="inlineStr">
        <x:is>
          <x:t xml:space="preserve">联赛</x:t>
        </x:is>
      </x:c>
      <x:c r="E260" s="595" t="inlineStr">
        <x:is>
          <x:t xml:space="preserve">荷甲</x:t>
        </x:is>
      </x:c>
      <x:c r="F260" s="595" t="inlineStr">
        <x:is>
          <x:t xml:space="preserve">阿贾克斯 vs SBV精英</x:t>
        </x:is>
      </x:c>
      <x:c r="G260" s="596" t="n">
        <x:v>0.96</x:v>
      </x:c>
      <x:c r="H260" s="596" t="n">
        <x:v>2</x:v>
      </x:c>
      <x:c r="I260" s="596" t="n">
        <x:v>0.93</x:v>
      </x:c>
      <x:c r="J260" s="596" t="inlineStr">
        <x:is>
          <x:t xml:space="preserve">0.96/2/0.93</x:t>
        </x:is>
      </x:c>
      <x:c r="K260" s="595" t="inlineStr">
        <x:is>
          <x:t xml:space="preserve">V4-C｜EV +0.2275</x:t>
        </x:is>
      </x:c>
      <x:c r="L260" s="595" t="inlineStr">
        <x:is>
          <x:t xml:space="preserve">阿贾克斯</x:t>
        </x:is>
      </x:c>
      <x:c r="M260" s="597" t="n">
        <x:v>0.6428571428571429</x:v>
      </x:c>
      <x:c r="N260" s="595" t="inlineStr">
        <x:is>
          <x:t xml:space="preserve">V4纸面入选-C</x:t>
        </x:is>
      </x:c>
      <x:c r="O260" s="595" t="inlineStr">
        <x:is>
          <x:t xml:space="preserve">2-2</x:t>
        </x:is>
      </x:c>
      <x:c r="P260" s="595" t="inlineStr">
        <x:is>
          <x:t xml:space="preserve">已结算</x:t>
        </x:is>
      </x:c>
      <x:c r="Q260" s="641" t="inlineStr">
        <x:is>
          <x:t xml:space="preserve">黑</x:t>
        </x:is>
      </x:c>
      <x:c r="R260" s="599" t="n">
        <x:v>0.96</x:v>
      </x:c>
      <x:c r="S260" s="599" t="n">
        <x:f>IF(OR(Q260="",Q260="待结算"),"",IF(Q260="红",R260,IF(Q260="半红",R260*0.5,IF(Q260="走",0,IF(Q260="半黑",-0.5,-1)))))</x:f>
        <x:v>-1</x:v>
      </x:c>
      <x:c r="T260" s="595" t="inlineStr">
        <x:is>
          <x:t xml:space="preserve">https://zq.titan007.com/analysis/2996155cn.htm</x:t>
        </x:is>
      </x:c>
      <x:c r="U260" s="640" t="str">
        <x:f>IF(Q260="","",IF(Q260="待结算","待结算",IF(Q260="红","黑",IF(Q260="半红","半黑",IF(Q260="走","走",IF(Q260="半黑","半红","红"))))))</x:f>
        <x:v>红</x:v>
      </x:c>
      <x:c r="V260" s="599" t="n">
        <x:f>IF(OR(Q260="",Q260="待结算"),"",IF(L260=LEFT(F260,FIND(" vs ",F260)-1),I260,G260))</x:f>
        <x:v>0.93</x:v>
      </x:c>
      <x:c r="W260" s="599" t="n">
        <x:f>IF(OR(U260="",U260="待结算"),"",IF(U260="红",V260,IF(U260="半红",V260*0.5,IF(U260="走",0,IF(U260="半黑",-0.5,-1)))))</x:f>
        <x:v>0.93</x:v>
      </x:c>
      <x:c r="X260" s="595" t="inlineStr">
        <x:is>
          <x:t xml:space="preserve">2996155</x:t>
        </x:is>
      </x:c>
      <x:c r="Y260" s="595" t="inlineStr">
        <x:is>
          <x:t xml:space="preserve">v4-market-dirichlet-20260913</x:t>
        </x:is>
      </x:c>
      <x:c r="Z260" s="595" t="inlineStr">
        <x:is>
          <x:t xml:space="preserve">prior-2026-09-19-v1</x:t>
        </x:is>
      </x:c>
      <x:c r="AA260" s="595" t="inlineStr">
        <x:is>
          <x:t xml:space="preserve">C</x:t>
        </x:is>
      </x:c>
      <x:c r="AB260" s="600" t="n">
        <x:v>0.5625</x:v>
      </x:c>
      <x:c r="AC260" s="600" t="n">
        <x:v>0</x:v>
      </x:c>
      <x:c r="AD260" s="600" t="n">
        <x:v>0.125</x:v>
      </x:c>
      <x:c r="AE260" s="600" t="n">
        <x:v>0</x:v>
      </x:c>
      <x:c r="AF260" s="600" t="n">
        <x:v>0.3125</x:v>
      </x:c>
      <x:c r="AG260" s="600" t="n">
        <x:v>0.2275</x:v>
      </x:c>
      <x:c r="AH260" s="600" t="n">
        <x:v>-0.1350226496943981</x:v>
      </x:c>
      <x:c r="AI260" s="600" t="n">
        <x:v>-0.05822636602375048</x:v>
      </x:c>
      <x:c r="AJ260" s="600" t="n">
        <x:v>0.2411124043792024</x:v>
      </x:c>
      <x:c r="AK260" s="600" t="n">
        <x:v>0.4896517877939164</x:v>
      </x:c>
      <x:c r="AL260" s="600" t="n">
        <x:v>0.5583359134621416</x:v>
      </x:c>
      <x:c r="AM260" s="600" t="n">
        <x:v>0.8498</x:v>
      </x:c>
      <x:c r="AN260" s="595" t="inlineStr">
        <x:is>
          <x:t xml:space="preserve">EVALUATED</x:t>
        </x:is>
      </x:c>
      <x:c r="AO260" s="600" t="inlineStr">
        <x:is>
          <x:t xml:space="preserve">BUCKET_2.00、SIDE_IDENTITY_VALID、MARKET_MOVE_LINE_STRENGTH_WITH_GIVING_RESISTANCE</x:t>
        </x:is>
      </x:c>
      <x:c r="AP260" s="600" t="inlineStr">
        <x:is>
          <x:t xml:space="preserve">6a29528f8f9c2f6a3282</x:t>
        </x:is>
      </x:c>
      <x:c r="AQ260" s="600" t="n">
        <x:v>-2</x:v>
      </x:c>
      <x:c r="AR260" s="600" t="n">
        <x:v>0.96</x:v>
      </x:c>
      <x:c r="AS260" s="600" t="n">
        <x:v>-2</x:v>
      </x:c>
      <x:c r="AT260" s="600" t="n">
        <x:v>2</x:v>
      </x:c>
      <x:c r="AU260" s="600" t="n">
        <x:v>0.96</x:v>
      </x:c>
      <x:c r="AV260" s="600" t="n">
        <x:v>0.93</x:v>
      </x:c>
      <x:c r="AW260" s="595" t="n">
        <x:v>46284.25887726852</x:v>
      </x:c>
      <x:c r="AX260" s="595" t="inlineStr">
        <x:is>
          <x:t xml:space="preserve">https://simondongxiao.github.io/odds/v4/</x:t>
        </x:is>
      </x:c>
      <x:c r="AY260" s="595" t="inlineStr">
        <x:is>
          <x:t xml:space="preserve">V4 Shadow Only；real_money=false；比分差异详见记录审计</x:t>
        </x:is>
      </x:c>
    </x:row>
    <x:row r="261" ht="22" customHeight="1">
      <x:c r="A261" s="595" t="inlineStr">
        <x:is>
          <x:t xml:space="preserve">2026-09-19</x:t>
        </x:is>
      </x:c>
      <x:c r="B261" s="595" t="inlineStr">
        <x:is>
          <x:t xml:space="preserve">2026-09-20 02:00</x:t>
        </x:is>
      </x:c>
      <x:c r="C261" s="595" t="str">
        <x:v>南美系列</x:v>
      </x:c>
      <x:c r="D261" s="595" t="inlineStr">
        <x:is>
          <x:t xml:space="preserve">联赛</x:t>
        </x:is>
      </x:c>
      <x:c r="E261" s="595" t="inlineStr">
        <x:is>
          <x:t xml:space="preserve">阿乙曼特秋</x:t>
        </x:is>
      </x:c>
      <x:c r="F261" s="595" t="inlineStr">
        <x:is>
          <x:t xml:space="preserve">维拉多尔米尼 vs 意杜萨高</x:t>
        </x:is>
      </x:c>
      <x:c r="G261" s="596" t="n">
        <x:v>0.71</x:v>
      </x:c>
      <x:c r="H261" s="596" t="n">
        <x:v>1</x:v>
      </x:c>
      <x:c r="I261" s="596" t="n">
        <x:v>0.99</x:v>
      </x:c>
      <x:c r="J261" s="596" t="inlineStr">
        <x:is>
          <x:t xml:space="preserve">0.71/1/0.99</x:t>
        </x:is>
      </x:c>
      <x:c r="K261" s="595" t="inlineStr">
        <x:is>
          <x:t xml:space="preserve">V4-C｜EV +0.0616</x:t>
        </x:is>
      </x:c>
      <x:c r="L261" s="595" t="inlineStr">
        <x:is>
          <x:t xml:space="preserve">意杜萨高</x:t>
        </x:is>
      </x:c>
      <x:c r="M261" s="597" t="n">
        <x:v>0.5423728813559322</x:v>
      </x:c>
      <x:c r="N261" s="595" t="inlineStr">
        <x:is>
          <x:t xml:space="preserve">V4纸面入选-C</x:t>
        </x:is>
      </x:c>
      <x:c r="O261" s="595" t="inlineStr">
        <x:is>
          <x:t xml:space="preserve">3-1</x:t>
        </x:is>
      </x:c>
      <x:c r="P261" s="595" t="inlineStr">
        <x:is>
          <x:t xml:space="preserve">已结算</x:t>
        </x:is>
      </x:c>
      <x:c r="Q261" s="641" t="inlineStr">
        <x:is>
          <x:t xml:space="preserve">黑</x:t>
        </x:is>
      </x:c>
      <x:c r="R261" s="599" t="n">
        <x:v>0.99</x:v>
      </x:c>
      <x:c r="S261" s="599" t="n">
        <x:f>IF(OR(Q261="",Q261="待结算"),"",IF(Q261="红",R261,IF(Q261="半红",R261*0.5,IF(Q261="走",0,IF(Q261="半黑",-0.5,-1)))))</x:f>
        <x:v>-1</x:v>
      </x:c>
      <x:c r="T261" s="595" t="inlineStr">
        <x:is>
          <x:t xml:space="preserve">https://zq.titan007.com/analysis/2934814cn.htm</x:t>
        </x:is>
      </x:c>
      <x:c r="U261" s="640" t="str">
        <x:f>IF(Q261="","",IF(Q261="待结算","待结算",IF(Q261="红","黑",IF(Q261="半红","半黑",IF(Q261="走","走",IF(Q261="半黑","半红","红"))))))</x:f>
        <x:v>红</x:v>
      </x:c>
      <x:c r="V261" s="599" t="n">
        <x:f>IF(OR(Q261="",Q261="待结算"),"",IF(L261=LEFT(F261,FIND(" vs ",F261)-1),I261,G261))</x:f>
        <x:v>0.71</x:v>
      </x:c>
      <x:c r="W261" s="599" t="n">
        <x:f>IF(OR(U261="",U261="待结算"),"",IF(U261="红",V261,IF(U261="半红",V261*0.5,IF(U261="走",0,IF(U261="半黑",-0.5,-1)))))</x:f>
        <x:v>0.71</x:v>
      </x:c>
      <x:c r="X261" s="595" t="inlineStr">
        <x:is>
          <x:t xml:space="preserve">2934814</x:t>
        </x:is>
      </x:c>
      <x:c r="Y261" s="595" t="inlineStr">
        <x:is>
          <x:t xml:space="preserve">v4-market-dirichlet-20260913</x:t>
        </x:is>
      </x:c>
      <x:c r="Z261" s="595" t="inlineStr">
        <x:is>
          <x:t xml:space="preserve">prior-2026-09-19-v1</x:t>
        </x:is>
      </x:c>
      <x:c r="AA261" s="595" t="inlineStr">
        <x:is>
          <x:t xml:space="preserve">C</x:t>
        </x:is>
      </x:c>
      <x:c r="AB261" s="600" t="n">
        <x:v>0.4210526315789473</x:v>
      </x:c>
      <x:c r="AC261" s="600" t="n">
        <x:v>0</x:v>
      </x:c>
      <x:c r="AD261" s="600" t="n">
        <x:v>0.2236842105263158</x:v>
      </x:c>
      <x:c r="AE261" s="600" t="n">
        <x:v>0</x:v>
      </x:c>
      <x:c r="AF261" s="600" t="n">
        <x:v>0.3552631578947368</x:v>
      </x:c>
      <x:c r="AG261" s="600" t="n">
        <x:v>0.06157894736842101</x:v>
      </x:c>
      <x:c r="AH261" s="600" t="n">
        <x:v>-0.1061851238766987</x:v>
      </x:c>
      <x:c r="AI261" s="600" t="n">
        <x:v>-0.06806554635269957</x:v>
      </x:c>
      <x:c r="AJ261" s="600" t="n">
        <x:v>0.06200546223947645</x:v>
      </x:c>
      <x:c r="AK261" s="600" t="n">
        <x:v>0.1907727798689071</x:v>
      </x:c>
      <x:c r="AL261" s="600" t="n">
        <x:v>0.2275197064728507</x:v>
      </x:c>
      <x:c r="AM261" s="600" t="n">
        <x:v>0.7304</x:v>
      </x:c>
      <x:c r="AN261" s="595" t="inlineStr">
        <x:is>
          <x:t xml:space="preserve">EVALUATED</x:t>
        </x:is>
      </x:c>
      <x:c r="AO261" s="600" t="inlineStr">
        <x:is>
          <x:t xml:space="preserve">BUCKET_1.00、SIDE_IDENTITY_VALID、FLAT_LINE_GIVING_WATER_DROP</x:t>
        </x:is>
      </x:c>
      <x:c r="AP261" s="600" t="inlineStr">
        <x:is>
          <x:t xml:space="preserve">28765b66b23749668dc6</x:t>
        </x:is>
      </x:c>
      <x:c r="AQ261" s="600" t="n">
        <x:v>1</x:v>
      </x:c>
      <x:c r="AR261" s="600" t="n">
        <x:v>0.99</x:v>
      </x:c>
      <x:c r="AS261" s="600" t="n">
        <x:v>-1</x:v>
      </x:c>
      <x:c r="AT261" s="600" t="n">
        <x:v>1</x:v>
      </x:c>
      <x:c r="AU261" s="600" t="n">
        <x:v>0.71</x:v>
      </x:c>
      <x:c r="AV261" s="600" t="n">
        <x:v>0.99</x:v>
      </x:c>
      <x:c r="AW261" s="595" t="n">
        <x:v>46284.25887726852</x:v>
      </x:c>
      <x:c r="AX261" s="595" t="inlineStr">
        <x:is>
          <x:t xml:space="preserve">https://simondongxiao.github.io/odds/v4/</x:t>
        </x:is>
      </x:c>
      <x:c r="AY261" s="595" t="inlineStr">
        <x:is>
          <x:t xml:space="preserve">V4 Shadow Only；real_money=false；比分差异详见记录审计</x:t>
        </x:is>
      </x:c>
    </x:row>
    <x:row r="262" ht="22" customHeight="1">
      <x:c r="A262" s="595" t="inlineStr">
        <x:is>
          <x:t xml:space="preserve">2026-09-19</x:t>
        </x:is>
      </x:c>
      <x:c r="B262" s="595" t="inlineStr">
        <x:is>
          <x:t xml:space="preserve">2026-09-20 02:15</x:t>
        </x:is>
      </x:c>
      <x:c r="C262" s="595" t="str">
        <x:v>欧洲非五大系列</x:v>
      </x:c>
      <x:c r="D262" s="595" t="inlineStr">
        <x:is>
          <x:t xml:space="preserve">联赛</x:t>
        </x:is>
      </x:c>
      <x:c r="E262" s="595" t="inlineStr">
        <x:is>
          <x:t xml:space="preserve">波兰超</x:t>
        </x:is>
      </x:c>
      <x:c r="F262" s="595" t="inlineStr">
        <x:is>
          <x:t xml:space="preserve">莫托路宾 vs 扎布热矿工</x:t>
        </x:is>
      </x:c>
      <x:c r="G262" s="596" t="n">
        <x:v>1.01</x:v>
      </x:c>
      <x:c r="H262" s="596" t="n">
        <x:v>-0.25</x:v>
      </x:c>
      <x:c r="I262" s="596" t="n">
        <x:v>0.87</x:v>
      </x:c>
      <x:c r="J262" s="596" t="inlineStr">
        <x:is>
          <x:t xml:space="preserve">1.01/-0.25/0.87</x:t>
        </x:is>
      </x:c>
      <x:c r="K262" s="595" t="inlineStr">
        <x:is>
          <x:t xml:space="preserve">V4-C｜EV +0.0060</x:t>
        </x:is>
      </x:c>
      <x:c r="L262" s="595" t="inlineStr">
        <x:is>
          <x:t xml:space="preserve">莫托路宾</x:t>
        </x:is>
      </x:c>
      <x:c r="M262" s="597" t="n">
        <x:v>0.5010224948875256</x:v>
      </x:c>
      <x:c r="N262" s="595" t="inlineStr">
        <x:is>
          <x:t xml:space="preserve">V4纸面入选-C</x:t>
        </x:is>
      </x:c>
      <x:c r="O262" s="595" t="inlineStr">
        <x:is>
          <x:t xml:space="preserve">0-0</x:t>
        </x:is>
      </x:c>
      <x:c r="P262" s="595" t="inlineStr">
        <x:is>
          <x:t xml:space="preserve">已结算</x:t>
        </x:is>
      </x:c>
      <x:c r="Q262" s="642" t="inlineStr">
        <x:is>
          <x:t xml:space="preserve">半红</x:t>
        </x:is>
      </x:c>
      <x:c r="R262" s="599" t="n">
        <x:v>1.01</x:v>
      </x:c>
      <x:c r="S262" s="599" t="n">
        <x:f>IF(OR(Q262="",Q262="待结算"),"",IF(Q262="红",R262,IF(Q262="半红",R262*0.5,IF(Q262="走",0,IF(Q262="半黑",-0.5,-1)))))</x:f>
        <x:v>0.505</x:v>
      </x:c>
      <x:c r="T262" s="595" t="inlineStr">
        <x:is>
          <x:t xml:space="preserve">https://zq.titan007.com/analysis/3003156cn.htm</x:t>
        </x:is>
      </x:c>
      <x:c r="U262" s="643" t="str">
        <x:f>IF(Q262="","",IF(Q262="待结算","待结算",IF(Q262="红","黑",IF(Q262="半红","半黑",IF(Q262="走","走",IF(Q262="半黑","半红","红"))))))</x:f>
        <x:v>半黑</x:v>
      </x:c>
      <x:c r="V262" s="599" t="n">
        <x:f>IF(OR(Q262="",Q262="待结算"),"",IF(L262=LEFT(F262,FIND(" vs ",F262)-1),I262,G262))</x:f>
        <x:v>0.87</x:v>
      </x:c>
      <x:c r="W262" s="599" t="n">
        <x:f>IF(OR(U262="",U262="待结算"),"",IF(U262="红",V262,IF(U262="半红",V262*0.5,IF(U262="走",0,IF(U262="半黑",-0.5,-1)))))</x:f>
        <x:v>-0.5</x:v>
      </x:c>
      <x:c r="X262" s="595" t="inlineStr">
        <x:is>
          <x:t xml:space="preserve">3003156</x:t>
        </x:is>
      </x:c>
      <x:c r="Y262" s="595" t="inlineStr">
        <x:is>
          <x:t xml:space="preserve">v4-market-dirichlet-20260913</x:t>
        </x:is>
      </x:c>
      <x:c r="Z262" s="595" t="inlineStr">
        <x:is>
          <x:t xml:space="preserve">prior-2026-09-19-v1</x:t>
        </x:is>
      </x:c>
      <x:c r="AA262" s="595" t="inlineStr">
        <x:is>
          <x:t xml:space="preserve">C</x:t>
        </x:is>
      </x:c>
      <x:c r="AB262" s="600" t="n">
        <x:v>0.2743055555555556</x:v>
      </x:c>
      <x:c r="AC262" s="600" t="n">
        <x:v>0.3020833333333333</x:v>
      </x:c>
      <x:c r="AD262" s="600" t="n">
        <x:v>0</x:v>
      </x:c>
      <x:c r="AE262" s="600" t="n">
        <x:v>0</x:v>
      </x:c>
      <x:c r="AF262" s="600" t="n">
        <x:v>0.4236111111111111</x:v>
      </x:c>
      <x:c r="AG262" s="600" t="n">
        <x:v>0.005989583333333381</x:v>
      </x:c>
      <x:c r="AH262" s="600" t="n">
        <x:v>-0.07816325959777037</x:v>
      </x:c>
      <x:c r="AI262" s="600" t="n">
        <x:v>-0.05861104519673954</x:v>
      </x:c>
      <x:c r="AJ262" s="600" t="n">
        <x:v>0.007514172086442783</x:v>
      </x:c>
      <x:c r="AK262" s="600" t="n">
        <x:v>0.07413382039422195</x:v>
      </x:c>
      <x:c r="AL262" s="600" t="n">
        <x:v>0.09388940008007102</x:v>
      </x:c>
      <x:c r="AM262" s="600" t="n">
        <x:v>0.5546</x:v>
      </x:c>
      <x:c r="AN262" s="595" t="inlineStr">
        <x:is>
          <x:t xml:space="preserve">EVALUATED</x:t>
        </x:is>
      </x:c>
      <x:c r="AO262" s="600" t="inlineStr">
        <x:is>
          <x:t xml:space="preserve">BUCKET_0.25、SIDE_IDENTITY_VALID、FLAT_LINE_GIVING_WATER_RISE</x:t>
        </x:is>
      </x:c>
      <x:c r="AP262" s="600" t="inlineStr">
        <x:is>
          <x:t xml:space="preserve">31765d057bc02d74c4c4</x:t>
        </x:is>
      </x:c>
      <x:c r="AQ262" s="600" t="n">
        <x:v>0.25</x:v>
      </x:c>
      <x:c r="AR262" s="600" t="n">
        <x:v>1.01</x:v>
      </x:c>
      <x:c r="AS262" s="600" t="n">
        <x:v>0.25</x:v>
      </x:c>
      <x:c r="AT262" s="600" t="n">
        <x:v>-0.25</x:v>
      </x:c>
      <x:c r="AU262" s="600" t="n">
        <x:v>1.01</x:v>
      </x:c>
      <x:c r="AV262" s="600" t="n">
        <x:v>0.87</x:v>
      </x:c>
      <x:c r="AW262" s="595" t="n">
        <x:v>46284.25887726852</x:v>
      </x:c>
      <x:c r="AX262" s="595" t="inlineStr">
        <x:is>
          <x:t xml:space="preserve">https://simondongxiao.github.io/odds/v4/</x:t>
        </x:is>
      </x:c>
      <x:c r="AY262" s="595" t="inlineStr">
        <x:is>
          <x:t xml:space="preserve">V4 Shadow Only；real_money=false；比分差异详见记录审计</x:t>
        </x:is>
      </x:c>
    </x:row>
    <x:row r="263" ht="22" customHeight="1">
      <x:c r="A263" s="595" t="inlineStr">
        <x:is>
          <x:t xml:space="preserve">2026-09-19</x:t>
        </x:is>
      </x:c>
      <x:c r="B263" s="595" t="inlineStr">
        <x:is>
          <x:t xml:space="preserve">2026-09-20 02:15</x:t>
        </x:is>
      </x:c>
      <x:c r="C263" s="595" t="str">
        <x:v>欧洲非五大系列</x:v>
      </x:c>
      <x:c r="D263" s="595" t="inlineStr">
        <x:is>
          <x:t xml:space="preserve">联赛</x:t>
        </x:is>
      </x:c>
      <x:c r="E263" s="595" t="inlineStr">
        <x:is>
          <x:t xml:space="preserve">斯亚甲</x:t>
        </x:is>
      </x:c>
      <x:c r="F263" s="595" t="inlineStr">
        <x:is>
          <x:t xml:space="preserve">马里博尔 vs 亚穆尼积</x:t>
        </x:is>
      </x:c>
      <x:c r="G263" s="596" t="n">
        <x:v>0.66</x:v>
      </x:c>
      <x:c r="H263" s="596" t="n">
        <x:v>1</x:v>
      </x:c>
      <x:c r="I263" s="596" t="n">
        <x:v>1.19</x:v>
      </x:c>
      <x:c r="J263" s="596" t="inlineStr">
        <x:is>
          <x:t xml:space="preserve">0.66/1/1.19</x:t>
        </x:is>
      </x:c>
      <x:c r="K263" s="595" t="inlineStr">
        <x:is>
          <x:t xml:space="preserve">V4-B｜EV +0.1458</x:t>
        </x:is>
      </x:c>
      <x:c r="L263" s="595" t="inlineStr">
        <x:is>
          <x:t xml:space="preserve">亚穆尼积</x:t>
        </x:is>
      </x:c>
      <x:c r="M263" s="597" t="n">
        <x:v>0.5423728813559322</x:v>
      </x:c>
      <x:c r="N263" s="595" t="inlineStr">
        <x:is>
          <x:t xml:space="preserve">V4纸面入选-B</x:t>
        </x:is>
      </x:c>
      <x:c r="O263" s="595" t="inlineStr">
        <x:is>
          <x:t xml:space="preserve">2-2</x:t>
        </x:is>
      </x:c>
      <x:c r="P263" s="595" t="inlineStr">
        <x:is>
          <x:t xml:space="preserve">已结算</x:t>
        </x:is>
      </x:c>
      <x:c r="Q263" s="640" t="inlineStr">
        <x:is>
          <x:t xml:space="preserve">红</x:t>
        </x:is>
      </x:c>
      <x:c r="R263" s="599" t="n">
        <x:v>1.19</x:v>
      </x:c>
      <x:c r="S263" s="599" t="n">
        <x:f>IF(OR(Q263="",Q263="待结算"),"",IF(Q263="红",R263,IF(Q263="半红",R263*0.5,IF(Q263="走",0,IF(Q263="半黑",-0.5,-1)))))</x:f>
        <x:v>1.19</x:v>
      </x:c>
      <x:c r="T263" s="595" t="inlineStr">
        <x:is>
          <x:t xml:space="preserve">https://zq.titan007.com/analysis/3005790cn.htm</x:t>
        </x:is>
      </x:c>
      <x:c r="U263" s="641" t="str">
        <x:f>IF(Q263="","",IF(Q263="待结算","待结算",IF(Q263="红","黑",IF(Q263="半红","半黑",IF(Q263="走","走",IF(Q263="半黑","半红","红"))))))</x:f>
        <x:v>黑</x:v>
      </x:c>
      <x:c r="V263" s="599" t="n">
        <x:f>IF(OR(Q263="",Q263="待结算"),"",IF(L263=LEFT(F263,FIND(" vs ",F263)-1),I263,G263))</x:f>
        <x:v>0.66</x:v>
      </x:c>
      <x:c r="W263" s="599" t="n">
        <x:f>IF(OR(U263="",U263="待结算"),"",IF(U263="红",V263,IF(U263="半红",V263*0.5,IF(U263="走",0,IF(U263="半黑",-0.5,-1)))))</x:f>
        <x:v>-1</x:v>
      </x:c>
      <x:c r="X263" s="595" t="inlineStr">
        <x:is>
          <x:t xml:space="preserve">3005790</x:t>
        </x:is>
      </x:c>
      <x:c r="Y263" s="595" t="inlineStr">
        <x:is>
          <x:t xml:space="preserve">v4-market-dirichlet-20260913</x:t>
        </x:is>
      </x:c>
      <x:c r="Z263" s="595" t="inlineStr">
        <x:is>
          <x:t xml:space="preserve">prior-2026-09-19-v1</x:t>
        </x:is>
      </x:c>
      <x:c r="AA263" s="595" t="inlineStr">
        <x:is>
          <x:t xml:space="preserve">B</x:t>
        </x:is>
      </x:c>
      <x:c r="AB263" s="600" t="n">
        <x:v>0.4210526315789473</x:v>
      </x:c>
      <x:c r="AC263" s="600" t="n">
        <x:v>0</x:v>
      </x:c>
      <x:c r="AD263" s="600" t="n">
        <x:v>0.2236842105263158</x:v>
      </x:c>
      <x:c r="AE263" s="600" t="n">
        <x:v>0</x:v>
      </x:c>
      <x:c r="AF263" s="600" t="n">
        <x:v>0.3552631578947368</x:v>
      </x:c>
      <x:c r="AG263" s="600" t="n">
        <x:v>0.1457894736842105</x:v>
      </x:c>
      <x:c r="AH263" s="600" t="n">
        <x:v>-0.03367291641431952</x:v>
      </x:c>
      <x:c r="AI263" s="600" t="n">
        <x:v>0.003923017074088098</x:v>
      </x:c>
      <x:c r="AJ263" s="600" t="n">
        <x:v>0.1433924235733547</x:v>
      </x:c>
      <x:c r="AK263" s="600" t="n">
        <x:v>0.2856551478333258</x:v>
      </x:c>
      <x:c r="AL263" s="600" t="n">
        <x:v>0.320861908853767</x:v>
      </x:c>
      <x:c r="AM263" s="600" t="n">
        <x:v>0.9072</x:v>
      </x:c>
      <x:c r="AN263" s="595" t="inlineStr">
        <x:is>
          <x:t xml:space="preserve">EVALUATED</x:t>
        </x:is>
      </x:c>
      <x:c r="AO263" s="600" t="inlineStr">
        <x:is>
          <x:t xml:space="preserve">BUCKET_1.00、SIDE_IDENTITY_VALID、FLAT_LINE_GIVING_WATER_DROP</x:t>
        </x:is>
      </x:c>
      <x:c r="AP263" s="600" t="inlineStr">
        <x:is>
          <x:t xml:space="preserve">427c0a2925a8faef93d6</x:t>
        </x:is>
      </x:c>
      <x:c r="AQ263" s="600" t="n">
        <x:v>1</x:v>
      </x:c>
      <x:c r="AR263" s="600" t="n">
        <x:v>1.19</x:v>
      </x:c>
      <x:c r="AS263" s="600" t="n">
        <x:v>-1</x:v>
      </x:c>
      <x:c r="AT263" s="600" t="n">
        <x:v>1</x:v>
      </x:c>
      <x:c r="AU263" s="600" t="n">
        <x:v>0.66</x:v>
      </x:c>
      <x:c r="AV263" s="600" t="n">
        <x:v>1.19</x:v>
      </x:c>
      <x:c r="AW263" s="595" t="n">
        <x:v>46284.25887726852</x:v>
      </x:c>
      <x:c r="AX263" s="595" t="inlineStr">
        <x:is>
          <x:t xml:space="preserve">https://simondongxiao.github.io/odds/v4/</x:t>
        </x:is>
      </x:c>
      <x:c r="AY263" s="595" t="inlineStr">
        <x:is>
          <x:t xml:space="preserve">V4 Shadow Only；real_money=false；比分差异详见记录审计</x:t>
        </x:is>
      </x:c>
    </x:row>
    <x:row r="264" ht="22" customHeight="1">
      <x:c r="A264" s="595" t="inlineStr">
        <x:is>
          <x:t xml:space="preserve">2026-09-19</x:t>
        </x:is>
      </x:c>
      <x:c r="B264" s="595" t="inlineStr">
        <x:is>
          <x:t xml:space="preserve">2026-09-20 02:30</x:t>
        </x:is>
      </x:c>
      <x:c r="C264" s="595" t="str">
        <x:v>南美系列</x:v>
      </x:c>
      <x:c r="D264" s="595" t="inlineStr">
        <x:is>
          <x:t xml:space="preserve">联赛</x:t>
        </x:is>
      </x:c>
      <x:c r="E264" s="595" t="inlineStr">
        <x:is>
          <x:t xml:space="preserve">乌拉甲秋</x:t>
        </x:is>
      </x:c>
      <x:c r="F264" s="595" t="inlineStr">
        <x:is>
          <x:t xml:space="preserve">塞路 vs 佩纳罗尔</x:t>
        </x:is>
      </x:c>
      <x:c r="G264" s="596" t="n">
        <x:v>0.86</x:v>
      </x:c>
      <x:c r="H264" s="596" t="n">
        <x:v>-1</x:v>
      </x:c>
      <x:c r="I264" s="596" t="n">
        <x:v>0.96</x:v>
      </x:c>
      <x:c r="J264" s="596" t="inlineStr">
        <x:is>
          <x:t xml:space="preserve">0.86/-1/0.96</x:t>
        </x:is>
      </x:c>
      <x:c r="K264" s="595" t="inlineStr">
        <x:is>
          <x:t xml:space="preserve">V4-C｜EV +0.0068</x:t>
        </x:is>
      </x:c>
      <x:c r="L264" s="595" t="inlineStr">
        <x:is>
          <x:t xml:space="preserve">塞路</x:t>
        </x:is>
      </x:c>
      <x:c r="M264" s="597" t="n">
        <x:v>0.5423728813559322</x:v>
      </x:c>
      <x:c r="N264" s="595" t="inlineStr">
        <x:is>
          <x:t xml:space="preserve">V4纸面入选-C</x:t>
        </x:is>
      </x:c>
      <x:c r="O264" s="595" t="inlineStr">
        <x:is>
          <x:t xml:space="preserve">1-2</x:t>
        </x:is>
      </x:c>
      <x:c r="P264" s="595" t="inlineStr">
        <x:is>
          <x:t xml:space="preserve">已结算</x:t>
        </x:is>
      </x:c>
      <x:c r="Q264" s="644" t="inlineStr">
        <x:is>
          <x:t xml:space="preserve">走</x:t>
        </x:is>
      </x:c>
      <x:c r="R264" s="599" t="n">
        <x:v>0.86</x:v>
      </x:c>
      <x:c r="S264" s="599" t="n">
        <x:f>IF(OR(Q264="",Q264="待结算"),"",IF(Q264="红",R264,IF(Q264="半红",R264*0.5,IF(Q264="走",0,IF(Q264="半黑",-0.5,-1)))))</x:f>
        <x:v>0</x:v>
      </x:c>
      <x:c r="T264" s="595" t="inlineStr">
        <x:is>
          <x:t xml:space="preserve">https://zq.titan007.com/analysis/3091695cn.htm</x:t>
        </x:is>
      </x:c>
      <x:c r="U264" s="644" t="str">
        <x:f>IF(Q264="","",IF(Q264="待结算","待结算",IF(Q264="红","黑",IF(Q264="半红","半黑",IF(Q264="走","走",IF(Q264="半黑","半红","红"))))))</x:f>
        <x:v>走</x:v>
      </x:c>
      <x:c r="V264" s="599" t="n">
        <x:f>IF(OR(Q264="",Q264="待结算"),"",IF(L264=LEFT(F264,FIND(" vs ",F264)-1),I264,G264))</x:f>
        <x:v>0.96</x:v>
      </x:c>
      <x:c r="W264" s="599" t="n">
        <x:f>IF(OR(U264="",U264="待结算"),"",IF(U264="红",V264,IF(U264="半红",V264*0.5,IF(U264="走",0,IF(U264="半黑",-0.5,-1)))))</x:f>
        <x:v>0</x:v>
      </x:c>
      <x:c r="X264" s="595" t="inlineStr">
        <x:is>
          <x:t xml:space="preserve">3091695</x:t>
        </x:is>
      </x:c>
      <x:c r="Y264" s="595" t="inlineStr">
        <x:is>
          <x:t xml:space="preserve">v4-market-dirichlet-20260913</x:t>
        </x:is>
      </x:c>
      <x:c r="Z264" s="595" t="inlineStr">
        <x:is>
          <x:t xml:space="preserve">prior-2026-09-19-v1</x:t>
        </x:is>
      </x:c>
      <x:c r="AA264" s="595" t="inlineStr">
        <x:is>
          <x:t xml:space="preserve">C</x:t>
        </x:is>
      </x:c>
      <x:c r="AB264" s="600" t="n">
        <x:v>0.4210526315789473</x:v>
      </x:c>
      <x:c r="AC264" s="600" t="n">
        <x:v>0</x:v>
      </x:c>
      <x:c r="AD264" s="600" t="n">
        <x:v>0.2236842105263158</x:v>
      </x:c>
      <x:c r="AE264" s="600" t="n">
        <x:v>0</x:v>
      </x:c>
      <x:c r="AF264" s="600" t="n">
        <x:v>0.3552631578947368</x:v>
      </x:c>
      <x:c r="AG264" s="600" t="n">
        <x:v>0.006842105263157872</x:v>
      </x:c>
      <x:c r="AH264" s="600" t="n">
        <x:v>-0.148781554655479</x:v>
      </x:c>
      <x:c r="AI264" s="600" t="n">
        <x:v>-0.1134501510003905</x:v>
      </x:c>
      <x:c r="AJ264" s="600" t="n">
        <x:v>0.009078118111378153</x:v>
      </x:c>
      <x:c r="AK264" s="600" t="n">
        <x:v>0.1277990597043919</x:v>
      </x:c>
      <x:c r="AL264" s="600" t="n">
        <x:v>0.1593702414463332</x:v>
      </x:c>
      <x:c r="AM264" s="600" t="n">
        <x:v>0.5407999999999999</x:v>
      </x:c>
      <x:c r="AN264" s="595" t="inlineStr">
        <x:is>
          <x:t xml:space="preserve">EVALUATED</x:t>
        </x:is>
      </x:c>
      <x:c r="AO264" s="600" t="inlineStr">
        <x:is>
          <x:t xml:space="preserve">BUCKET_1.00、SIDE_IDENTITY_VALID、FLAT_LINE_GIVING_WATER_RISE</x:t>
        </x:is>
      </x:c>
      <x:c r="AP264" s="600" t="inlineStr">
        <x:is>
          <x:t xml:space="preserve">bd9557fc2fc197232cd8</x:t>
        </x:is>
      </x:c>
      <x:c r="AQ264" s="600" t="n">
        <x:v>1</x:v>
      </x:c>
      <x:c r="AR264" s="600" t="n">
        <x:v>0.86</x:v>
      </x:c>
      <x:c r="AS264" s="600" t="n">
        <x:v>1</x:v>
      </x:c>
      <x:c r="AT264" s="600" t="n">
        <x:v>-1</x:v>
      </x:c>
      <x:c r="AU264" s="600" t="n">
        <x:v>0.86</x:v>
      </x:c>
      <x:c r="AV264" s="600" t="n">
        <x:v>0.96</x:v>
      </x:c>
      <x:c r="AW264" s="595" t="n">
        <x:v>46284.25887726852</x:v>
      </x:c>
      <x:c r="AX264" s="595" t="inlineStr">
        <x:is>
          <x:t xml:space="preserve">https://simondongxiao.github.io/odds/v4/</x:t>
        </x:is>
      </x:c>
      <x:c r="AY264" s="595" t="inlineStr">
        <x:is>
          <x:t xml:space="preserve">V4 Shadow Only；real_money=false；比分差异详见记录审计</x:t>
        </x:is>
      </x:c>
    </x:row>
    <x:row r="265" ht="22" customHeight="1">
      <x:c r="A265" s="595" t="inlineStr">
        <x:is>
          <x:t xml:space="preserve">2026-09-19</x:t>
        </x:is>
      </x:c>
      <x:c r="B265" s="595" t="inlineStr">
        <x:is>
          <x:t xml:space="preserve">2026-09-20 02:30</x:t>
        </x:is>
      </x:c>
      <x:c r="C265" s="595" t="str">
        <x:v>南美系列</x:v>
      </x:c>
      <x:c r="D265" s="595" t="inlineStr">
        <x:is>
          <x:t xml:space="preserve">联赛</x:t>
        </x:is>
      </x:c>
      <x:c r="E265" s="595" t="inlineStr">
        <x:is>
          <x:t xml:space="preserve">阿乙</x:t>
        </x:is>
      </x:c>
      <x:c r="F265" s="595" t="inlineStr">
        <x:is>
          <x:t xml:space="preserve">圣米格尔 vs 全男孩竞技</x:t>
        </x:is>
      </x:c>
      <x:c r="G265" s="596" t="n">
        <x:v>0.78</x:v>
      </x:c>
      <x:c r="H265" s="596" t="n">
        <x:v>0.25</x:v>
      </x:c>
      <x:c r="I265" s="596" t="n">
        <x:v>1.04</x:v>
      </x:c>
      <x:c r="J265" s="596" t="inlineStr">
        <x:is>
          <x:t xml:space="preserve">0.78/0.25/1.04</x:t>
        </x:is>
      </x:c>
      <x:c r="K265" s="595" t="inlineStr">
        <x:is>
          <x:t xml:space="preserve">V4-C｜EV +0.0187</x:t>
        </x:is>
      </x:c>
      <x:c r="L265" s="595" t="inlineStr">
        <x:is>
          <x:t xml:space="preserve">全男孩竞技</x:t>
        </x:is>
      </x:c>
      <x:c r="M265" s="597" t="n">
        <x:v>0.5010224948875256</x:v>
      </x:c>
      <x:c r="N265" s="595" t="inlineStr">
        <x:is>
          <x:t xml:space="preserve">V4纸面入选-C</x:t>
        </x:is>
      </x:c>
      <x:c r="O265" s="595" t="inlineStr">
        <x:is>
          <x:t xml:space="preserve">1-1</x:t>
        </x:is>
      </x:c>
      <x:c r="P265" s="595" t="inlineStr">
        <x:is>
          <x:t xml:space="preserve">已结算</x:t>
        </x:is>
      </x:c>
      <x:c r="Q265" s="642" t="inlineStr">
        <x:is>
          <x:t xml:space="preserve">半红</x:t>
        </x:is>
      </x:c>
      <x:c r="R265" s="599" t="n">
        <x:v>1.04</x:v>
      </x:c>
      <x:c r="S265" s="599" t="n">
        <x:f>IF(OR(Q265="",Q265="待结算"),"",IF(Q265="红",R265,IF(Q265="半红",R265*0.5,IF(Q265="走",0,IF(Q265="半黑",-0.5,-1)))))</x:f>
        <x:v>0.52</x:v>
      </x:c>
      <x:c r="T265" s="595" t="inlineStr">
        <x:is>
          <x:t xml:space="preserve">https://zq.titan007.com/analysis/2916695cn.htm</x:t>
        </x:is>
      </x:c>
      <x:c r="U265" s="643" t="str">
        <x:f>IF(Q265="","",IF(Q265="待结算","待结算",IF(Q265="红","黑",IF(Q265="半红","半黑",IF(Q265="走","走",IF(Q265="半黑","半红","红"))))))</x:f>
        <x:v>半黑</x:v>
      </x:c>
      <x:c r="V265" s="599" t="n">
        <x:f>IF(OR(Q265="",Q265="待结算"),"",IF(L265=LEFT(F265,FIND(" vs ",F265)-1),I265,G265))</x:f>
        <x:v>0.78</x:v>
      </x:c>
      <x:c r="W265" s="599" t="n">
        <x:f>IF(OR(U265="",U265="待结算"),"",IF(U265="红",V265,IF(U265="半红",V265*0.5,IF(U265="走",0,IF(U265="半黑",-0.5,-1)))))</x:f>
        <x:v>-0.5</x:v>
      </x:c>
      <x:c r="X265" s="595" t="inlineStr">
        <x:is>
          <x:t xml:space="preserve">2916695</x:t>
        </x:is>
      </x:c>
      <x:c r="Y265" s="595" t="inlineStr">
        <x:is>
          <x:t xml:space="preserve">v4-market-dirichlet-20260913</x:t>
        </x:is>
      </x:c>
      <x:c r="Z265" s="595" t="inlineStr">
        <x:is>
          <x:t xml:space="preserve">prior-2026-09-19-v1</x:t>
        </x:is>
      </x:c>
      <x:c r="AA265" s="595" t="inlineStr">
        <x:is>
          <x:t xml:space="preserve">C</x:t>
        </x:is>
      </x:c>
      <x:c r="AB265" s="600" t="n">
        <x:v>0.2743055555555556</x:v>
      </x:c>
      <x:c r="AC265" s="600" t="n">
        <x:v>0.3020833333333333</x:v>
      </x:c>
      <x:c r="AD265" s="600" t="n">
        <x:v>0</x:v>
      </x:c>
      <x:c r="AE265" s="600" t="n">
        <x:v>0</x:v>
      </x:c>
      <x:c r="AF265" s="600" t="n">
        <x:v>0.4236111111111111</x:v>
      </x:c>
      <x:c r="AG265" s="600" t="n">
        <x:v>0.01874999999999999</x:v>
      </x:c>
      <x:c r="AH265" s="600" t="n">
        <x:v>-0.06666455953647754</x:v>
      </x:c>
      <x:c r="AI265" s="600" t="n">
        <x:v>-0.04808449729081743</x:v>
      </x:c>
      <x:c r="AJ265" s="600" t="n">
        <x:v>0.02066430526520741</x:v>
      </x:c>
      <x:c r="AK265" s="600" t="n">
        <x:v>0.08820416946304238</x:v>
      </x:c>
      <x:c r="AL265" s="600" t="n">
        <x:v>0.1058240176651405</x:v>
      </x:c>
      <x:c r="AM265" s="600" t="n">
        <x:v>0.6552</x:v>
      </x:c>
      <x:c r="AN265" s="595" t="inlineStr">
        <x:is>
          <x:t xml:space="preserve">EVALUATED</x:t>
        </x:is>
      </x:c>
      <x:c r="AO265" s="600" t="inlineStr">
        <x:is>
          <x:t xml:space="preserve">BUCKET_0.25、SIDE_IDENTITY_VALID、FLAT_LINE_GIVING_WATER_RISE</x:t>
        </x:is>
      </x:c>
      <x:c r="AP265" s="600" t="inlineStr">
        <x:is>
          <x:t xml:space="preserve">5a9ec5b2ecaceab37220</x:t>
        </x:is>
      </x:c>
      <x:c r="AQ265" s="600" t="n">
        <x:v>0.25</x:v>
      </x:c>
      <x:c r="AR265" s="600" t="n">
        <x:v>1.04</x:v>
      </x:c>
      <x:c r="AS265" s="600" t="n">
        <x:v>-0.25</x:v>
      </x:c>
      <x:c r="AT265" s="600" t="n">
        <x:v>0.25</x:v>
      </x:c>
      <x:c r="AU265" s="600" t="n">
        <x:v>0.78</x:v>
      </x:c>
      <x:c r="AV265" s="600" t="n">
        <x:v>1.04</x:v>
      </x:c>
      <x:c r="AW265" s="595" t="n">
        <x:v>46284.25887726852</x:v>
      </x:c>
      <x:c r="AX265" s="595" t="inlineStr">
        <x:is>
          <x:t xml:space="preserve">https://simondongxiao.github.io/odds/v4/</x:t>
        </x:is>
      </x:c>
      <x:c r="AY265" s="595" t="inlineStr">
        <x:is>
          <x:t xml:space="preserve">V4 Shadow Only；real_money=false；比分差异详见记录审计</x:t>
        </x:is>
      </x:c>
    </x:row>
    <x:row r="266" ht="22" customHeight="1">
      <x:c r="A266" s="595" t="inlineStr">
        <x:is>
          <x:t xml:space="preserve">2026-09-19</x:t>
        </x:is>
      </x:c>
      <x:c r="B266" s="595" t="inlineStr">
        <x:is>
          <x:t xml:space="preserve">2026-09-20 02:30</x:t>
        </x:is>
      </x:c>
      <x:c r="C266" s="595" t="str">
        <x:v>五大联赛非顶级联赛</x:v>
      </x:c>
      <x:c r="D266" s="595" t="inlineStr">
        <x:is>
          <x:t xml:space="preserve">联赛</x:t>
        </x:is>
      </x:c>
      <x:c r="E266" s="595" t="inlineStr">
        <x:is>
          <x:t xml:space="preserve">西女超</x:t>
        </x:is>
      </x:c>
      <x:c r="F266" s="595" t="inlineStr">
        <x:is>
          <x:t xml:space="preserve">皇家马德里女足 vs 华伦西亚女足</x:t>
        </x:is>
      </x:c>
      <x:c r="G266" s="596" t="n">
        <x:v>0.79</x:v>
      </x:c>
      <x:c r="H266" s="596" t="n">
        <x:v>2.75</x:v>
      </x:c>
      <x:c r="I266" s="596" t="n">
        <x:v>0.97</x:v>
      </x:c>
      <x:c r="J266" s="596" t="inlineStr">
        <x:is>
          <x:t xml:space="preserve">0.79/2.75/0.97</x:t>
        </x:is>
      </x:c>
      <x:c r="K266" s="595" t="inlineStr">
        <x:is>
          <x:t xml:space="preserve">V4-C｜EV +0.2740</x:t>
        </x:is>
      </x:c>
      <x:c r="L266" s="595" t="inlineStr">
        <x:is>
          <x:t xml:space="preserve">皇家马德里女足</x:t>
        </x:is>
      </x:c>
      <x:c r="M266" s="597" t="n">
        <x:v>0.7500000000000001</x:v>
      </x:c>
      <x:c r="N266" s="595" t="inlineStr">
        <x:is>
          <x:t xml:space="preserve">V4纸面入选-C</x:t>
        </x:is>
      </x:c>
      <x:c r="O266" s="595" t="inlineStr">
        <x:is>
          <x:t xml:space="preserve">3-1</x:t>
        </x:is>
      </x:c>
      <x:c r="P266" s="595" t="inlineStr">
        <x:is>
          <x:t xml:space="preserve">已结算</x:t>
        </x:is>
      </x:c>
      <x:c r="Q266" s="641" t="inlineStr">
        <x:is>
          <x:t xml:space="preserve">黑</x:t>
        </x:is>
      </x:c>
      <x:c r="R266" s="599" t="n">
        <x:v>0.79</x:v>
      </x:c>
      <x:c r="S266" s="599" t="n">
        <x:f>IF(OR(Q266="",Q266="待结算"),"",IF(Q266="红",R266,IF(Q266="半红",R266*0.5,IF(Q266="走",0,IF(Q266="半黑",-0.5,-1)))))</x:f>
        <x:v>-1</x:v>
      </x:c>
      <x:c r="T266" s="595" t="inlineStr">
        <x:is>
          <x:t xml:space="preserve">https://zq.titan007.com/analysis/3057184cn.htm</x:t>
        </x:is>
      </x:c>
      <x:c r="U266" s="640" t="str">
        <x:f>IF(Q266="","",IF(Q266="待结算","待结算",IF(Q266="红","黑",IF(Q266="半红","半黑",IF(Q266="走","走",IF(Q266="半黑","半红","红"))))))</x:f>
        <x:v>红</x:v>
      </x:c>
      <x:c r="V266" s="599" t="n">
        <x:f>IF(OR(Q266="",Q266="待结算"),"",IF(L266=LEFT(F266,FIND(" vs ",F266)-1),I266,G266))</x:f>
        <x:v>0.97</x:v>
      </x:c>
      <x:c r="W266" s="599" t="n">
        <x:f>IF(OR(U266="",U266="待结算"),"",IF(U266="红",V266,IF(U266="半红",V266*0.5,IF(U266="走",0,IF(U266="半黑",-0.5,-1)))))</x:f>
        <x:v>0.97</x:v>
      </x:c>
      <x:c r="X266" s="595" t="inlineStr">
        <x:is>
          <x:t xml:space="preserve">3057184</x:t>
        </x:is>
      </x:c>
      <x:c r="Y266" s="595" t="inlineStr">
        <x:is>
          <x:t xml:space="preserve">v4-market-dirichlet-20260913</x:t>
        </x:is>
      </x:c>
      <x:c r="Z266" s="595" t="inlineStr">
        <x:is>
          <x:t xml:space="preserve">prior-2026-09-19-v1</x:t>
        </x:is>
      </x:c>
      <x:c r="AA266" s="595" t="inlineStr">
        <x:is>
          <x:t xml:space="preserve">C</x:t>
        </x:is>
      </x:c>
      <x:c r="AB266" s="600" t="n">
        <x:v>0.4</x:v>
      </x:c>
      <x:c r="AC266" s="600" t="n">
        <x:v>0.4</x:v>
      </x:c>
      <x:c r="AD266" s="600" t="n">
        <x:v>0</x:v>
      </x:c>
      <x:c r="AE266" s="600" t="n">
        <x:v>0</x:v>
      </x:c>
      <x:c r="AF266" s="600" t="n">
        <x:v>0.2</x:v>
      </x:c>
      <x:c r="AG266" s="600" t="n">
        <x:v>0.2740000000000001</x:v>
      </x:c>
      <x:c r="AH266" s="600" t="n">
        <x:v>-0.2439659253909794</x:v>
      </x:c>
      <x:c r="AI266" s="600" t="n">
        <x:v>-0.1108320126678181</x:v>
      </x:c>
      <x:c r="AJ266" s="600" t="n">
        <x:v>0.3304419692780587</x:v>
      </x:c>
      <x:c r="AK266" s="600" t="n">
        <x:v>0.5726145164781784</x:v>
      </x:c>
      <x:c r="AL266" s="600" t="n">
        <x:v>0.6266280685907532</x:v>
      </x:c>
      <x:c r="AM266" s="600" t="n">
        <x:v>0.8386</x:v>
      </x:c>
      <x:c r="AN266" s="595" t="inlineStr">
        <x:is>
          <x:t xml:space="preserve">EVALUATED</x:t>
        </x:is>
      </x:c>
      <x:c r="AO266" s="600" t="inlineStr">
        <x:is>
          <x:t xml:space="preserve">BUCKET_2.75、SIDE_IDENTITY_VALID、MARKET_MOVE_LINE_STRENGTH_WITH_GIVING_RESISTANCE</x:t>
        </x:is>
      </x:c>
      <x:c r="AP266" s="600" t="inlineStr">
        <x:is>
          <x:t xml:space="preserve">709b05c5ad421e5dc6e7</x:t>
        </x:is>
      </x:c>
      <x:c r="AQ266" s="600" t="n">
        <x:v>-2.75</x:v>
      </x:c>
      <x:c r="AR266" s="600" t="n">
        <x:v>0.79</x:v>
      </x:c>
      <x:c r="AS266" s="600" t="n">
        <x:v>-2.75</x:v>
      </x:c>
      <x:c r="AT266" s="600" t="n">
        <x:v>2.75</x:v>
      </x:c>
      <x:c r="AU266" s="600" t="n">
        <x:v>0.79</x:v>
      </x:c>
      <x:c r="AV266" s="600" t="n">
        <x:v>0.97</x:v>
      </x:c>
      <x:c r="AW266" s="595" t="n">
        <x:v>46284.25887726852</x:v>
      </x:c>
      <x:c r="AX266" s="595" t="inlineStr">
        <x:is>
          <x:t xml:space="preserve">https://simondongxiao.github.io/odds/v4/</x:t>
        </x:is>
      </x:c>
      <x:c r="AY266" s="595" t="inlineStr">
        <x:is>
          <x:t xml:space="preserve">V4 Shadow Only；real_money=false；比分差异详见记录审计</x:t>
        </x:is>
      </x:c>
    </x:row>
    <x:row r="267" ht="22" customHeight="1">
      <x:c r="A267" s="595" t="inlineStr">
        <x:is>
          <x:t xml:space="preserve">2026-09-19</x:t>
        </x:is>
      </x:c>
      <x:c r="B267" s="595" t="inlineStr">
        <x:is>
          <x:t xml:space="preserve">2026-09-20 02:45</x:t>
        </x:is>
      </x:c>
      <x:c r="C267" s="595" t="str">
        <x:v>欧洲五大系列</x:v>
      </x:c>
      <x:c r="D267" s="595" t="inlineStr">
        <x:is>
          <x:t xml:space="preserve">联赛</x:t>
        </x:is>
      </x:c>
      <x:c r="E267" s="595" t="inlineStr">
        <x:is>
          <x:t xml:space="preserve">法甲</x:t>
        </x:is>
      </x:c>
      <x:c r="F267" s="595" t="inlineStr">
        <x:is>
          <x:t xml:space="preserve">昂热 vs 特鲁瓦</x:t>
        </x:is>
      </x:c>
      <x:c r="G267" s="596" t="n">
        <x:v>0.84</x:v>
      </x:c>
      <x:c r="H267" s="596" t="n">
        <x:v>0.25</x:v>
      </x:c>
      <x:c r="I267" s="596" t="n">
        <x:v>1.05</x:v>
      </x:c>
      <x:c r="J267" s="596" t="inlineStr">
        <x:is>
          <x:t xml:space="preserve">0.84/0.25/1.05</x:t>
        </x:is>
      </x:c>
      <x:c r="K267" s="595" t="inlineStr">
        <x:is>
          <x:t xml:space="preserve">V4-C｜EV +0.0230</x:t>
        </x:is>
      </x:c>
      <x:c r="L267" s="595" t="inlineStr">
        <x:is>
          <x:t xml:space="preserve">特鲁瓦</x:t>
        </x:is>
      </x:c>
      <x:c r="M267" s="597" t="n">
        <x:v>0.5010224948875256</x:v>
      </x:c>
      <x:c r="N267" s="595" t="inlineStr">
        <x:is>
          <x:t xml:space="preserve">V4纸面入选-C</x:t>
        </x:is>
      </x:c>
      <x:c r="O267" s="595" t="inlineStr">
        <x:is>
          <x:t xml:space="preserve">2-0</x:t>
        </x:is>
      </x:c>
      <x:c r="P267" s="595" t="inlineStr">
        <x:is>
          <x:t xml:space="preserve">已结算</x:t>
        </x:is>
      </x:c>
      <x:c r="Q267" s="641" t="inlineStr">
        <x:is>
          <x:t xml:space="preserve">黑</x:t>
        </x:is>
      </x:c>
      <x:c r="R267" s="599" t="n">
        <x:v>1.05</x:v>
      </x:c>
      <x:c r="S267" s="599" t="n">
        <x:f>IF(OR(Q267="",Q267="待结算"),"",IF(Q267="红",R267,IF(Q267="半红",R267*0.5,IF(Q267="走",0,IF(Q267="半黑",-0.5,-1)))))</x:f>
        <x:v>-1</x:v>
      </x:c>
      <x:c r="T267" s="595" t="inlineStr">
        <x:is>
          <x:t xml:space="preserve">https://zq.titan007.com/analysis/2995344cn.htm</x:t>
        </x:is>
      </x:c>
      <x:c r="U267" s="640" t="str">
        <x:f>IF(Q267="","",IF(Q267="待结算","待结算",IF(Q267="红","黑",IF(Q267="半红","半黑",IF(Q267="走","走",IF(Q267="半黑","半红","红"))))))</x:f>
        <x:v>红</x:v>
      </x:c>
      <x:c r="V267" s="599" t="n">
        <x:f>IF(OR(Q267="",Q267="待结算"),"",IF(L267=LEFT(F267,FIND(" vs ",F267)-1),I267,G267))</x:f>
        <x:v>0.84</x:v>
      </x:c>
      <x:c r="W267" s="599" t="n">
        <x:f>IF(OR(U267="",U267="待结算"),"",IF(U267="红",V267,IF(U267="半红",V267*0.5,IF(U267="走",0,IF(U267="半黑",-0.5,-1)))))</x:f>
        <x:v>0.84</x:v>
      </x:c>
      <x:c r="X267" s="595" t="inlineStr">
        <x:is>
          <x:t xml:space="preserve">2995344</x:t>
        </x:is>
      </x:c>
      <x:c r="Y267" s="595" t="inlineStr">
        <x:is>
          <x:t xml:space="preserve">v4-market-dirichlet-20260913</x:t>
        </x:is>
      </x:c>
      <x:c r="Z267" s="595" t="inlineStr">
        <x:is>
          <x:t xml:space="preserve">prior-2026-09-19-v1</x:t>
        </x:is>
      </x:c>
      <x:c r="AA267" s="595" t="inlineStr">
        <x:is>
          <x:t xml:space="preserve">C</x:t>
        </x:is>
      </x:c>
      <x:c r="AB267" s="600" t="n">
        <x:v>0.2743055555555556</x:v>
      </x:c>
      <x:c r="AC267" s="600" t="n">
        <x:v>0.3020833333333333</x:v>
      </x:c>
      <x:c r="AD267" s="600" t="n">
        <x:v>0</x:v>
      </x:c>
      <x:c r="AE267" s="600" t="n">
        <x:v>0</x:v>
      </x:c>
      <x:c r="AF267" s="600" t="n">
        <x:v>0.4236111111111111</x:v>
      </x:c>
      <x:c r="AG267" s="600" t="n">
        <x:v>0.02300347222222227</x:v>
      </x:c>
      <x:c r="AH267" s="600" t="n">
        <x:v>-0.06483829594100698</x:v>
      </x:c>
      <x:c r="AI267" s="600" t="n">
        <x:v>-0.04502815989401382</x:v>
      </x:c>
      <x:c r="AJ267" s="600" t="n">
        <x:v>0.02339996197003352</x:v>
      </x:c>
      <x:c r="AK267" s="600" t="n">
        <x:v>0.09325102736017316</x:v>
      </x:c>
      <x:c r="AL267" s="600" t="n">
        <x:v>0.1122541581439518</x:v>
      </x:c>
      <x:c r="AM267" s="600" t="n">
        <x:v>0.6726</x:v>
      </x:c>
      <x:c r="AN267" s="595" t="inlineStr">
        <x:is>
          <x:t xml:space="preserve">EVALUATED</x:t>
        </x:is>
      </x:c>
      <x:c r="AO267" s="600" t="inlineStr">
        <x:is>
          <x:t xml:space="preserve">BUCKET_0.25、SIDE_IDENTITY_VALID、FLAT_LINE_GIVING_WATER_DROP</x:t>
        </x:is>
      </x:c>
      <x:c r="AP267" s="600" t="inlineStr">
        <x:is>
          <x:t xml:space="preserve">47acdc0c09e29698130b</x:t>
        </x:is>
      </x:c>
      <x:c r="AQ267" s="600" t="n">
        <x:v>0.25</x:v>
      </x:c>
      <x:c r="AR267" s="600" t="n">
        <x:v>1.05</x:v>
      </x:c>
      <x:c r="AS267" s="600" t="n">
        <x:v>-0.25</x:v>
      </x:c>
      <x:c r="AT267" s="600" t="n">
        <x:v>0.25</x:v>
      </x:c>
      <x:c r="AU267" s="600" t="n">
        <x:v>0.84</x:v>
      </x:c>
      <x:c r="AV267" s="600" t="n">
        <x:v>1.05</x:v>
      </x:c>
      <x:c r="AW267" s="595" t="n">
        <x:v>46284.25887726852</x:v>
      </x:c>
      <x:c r="AX267" s="595" t="inlineStr">
        <x:is>
          <x:t xml:space="preserve">https://simondongxiao.github.io/odds/v4/</x:t>
        </x:is>
      </x:c>
      <x:c r="AY267" s="595" t="inlineStr">
        <x:is>
          <x:t xml:space="preserve">V4 Shadow Only；real_money=false；比分差异详见记录审计</x:t>
        </x:is>
      </x:c>
    </x:row>
    <x:row r="268" ht="22" customHeight="1">
      <x:c r="A268" s="595" t="inlineStr">
        <x:is>
          <x:t xml:space="preserve">2026-09-19</x:t>
        </x:is>
      </x:c>
      <x:c r="B268" s="595" t="inlineStr">
        <x:is>
          <x:t xml:space="preserve">2026-09-20 02:45</x:t>
        </x:is>
      </x:c>
      <x:c r="C268" s="595" t="str">
        <x:v>欧洲非五大系列</x:v>
      </x:c>
      <x:c r="D268" s="595" t="inlineStr">
        <x:is>
          <x:t xml:space="preserve">联赛</x:t>
        </x:is>
      </x:c>
      <x:c r="E268" s="595" t="inlineStr">
        <x:is>
          <x:t xml:space="preserve">爱超</x:t>
        </x:is>
      </x:c>
      <x:c r="F268" s="595" t="inlineStr">
        <x:is>
          <x:t xml:space="preserve">斯莱戈流浪者 vs 圣帕特里克</x:t>
        </x:is>
      </x:c>
      <x:c r="G268" s="596" t="n">
        <x:v>1.08</x:v>
      </x:c>
      <x:c r="H268" s="596" t="n">
        <x:v>-1.25</x:v>
      </x:c>
      <x:c r="I268" s="596" t="n">
        <x:v>0.8100000000000001</x:v>
      </x:c>
      <x:c r="J268" s="596" t="inlineStr">
        <x:is>
          <x:t xml:space="preserve">1.08/-1.25/0.81</x:t>
        </x:is>
      </x:c>
      <x:c r="K268" s="595" t="inlineStr">
        <x:is>
          <x:t xml:space="preserve">V4-C｜EV +0.0245</x:t>
        </x:is>
      </x:c>
      <x:c r="L268" s="595" t="inlineStr">
        <x:is>
          <x:t xml:space="preserve">斯莱戈流浪者</x:t>
        </x:is>
      </x:c>
      <x:c r="M268" s="597" t="n">
        <x:v>0.4945054945054945</x:v>
      </x:c>
      <x:c r="N268" s="595" t="inlineStr">
        <x:is>
          <x:t xml:space="preserve">V4纸面入选-C</x:t>
        </x:is>
      </x:c>
      <x:c r="O268" s="595" t="inlineStr">
        <x:is>
          <x:t xml:space="preserve">0-1</x:t>
        </x:is>
      </x:c>
      <x:c r="P268" s="595" t="inlineStr">
        <x:is>
          <x:t xml:space="preserve">已结算</x:t>
        </x:is>
      </x:c>
      <x:c r="Q268" s="642" t="inlineStr">
        <x:is>
          <x:t xml:space="preserve">半红</x:t>
        </x:is>
      </x:c>
      <x:c r="R268" s="599" t="n">
        <x:v>1.08</x:v>
      </x:c>
      <x:c r="S268" s="599" t="n">
        <x:f>IF(OR(Q268="",Q268="待结算"),"",IF(Q268="红",R268,IF(Q268="半红",R268*0.5,IF(Q268="走",0,IF(Q268="半黑",-0.5,-1)))))</x:f>
        <x:v>0.54</x:v>
      </x:c>
      <x:c r="T268" s="595" t="inlineStr">
        <x:is>
          <x:t xml:space="preserve">https://zq.titan007.com/analysis/2914410cn.htm</x:t>
        </x:is>
      </x:c>
      <x:c r="U268" s="643" t="str">
        <x:f>IF(Q268="","",IF(Q268="待结算","待结算",IF(Q268="红","黑",IF(Q268="半红","半黑",IF(Q268="走","走",IF(Q268="半黑","半红","红"))))))</x:f>
        <x:v>半黑</x:v>
      </x:c>
      <x:c r="V268" s="599" t="n">
        <x:f>IF(OR(Q268="",Q268="待结算"),"",IF(L268=LEFT(F268,FIND(" vs ",F268)-1),I268,G268))</x:f>
        <x:v>0.81</x:v>
      </x:c>
      <x:c r="W268" s="599" t="n">
        <x:f>IF(OR(U268="",U268="待结算"),"",IF(U268="红",V268,IF(U268="半红",V268*0.5,IF(U268="走",0,IF(U268="半黑",-0.5,-1)))))</x:f>
        <x:v>-0.5</x:v>
      </x:c>
      <x:c r="X268" s="595" t="inlineStr">
        <x:is>
          <x:t xml:space="preserve">2914410</x:t>
        </x:is>
      </x:c>
      <x:c r="Y268" s="595" t="inlineStr">
        <x:is>
          <x:t xml:space="preserve">v4-market-dirichlet-20260913</x:t>
        </x:is>
      </x:c>
      <x:c r="Z268" s="595" t="inlineStr">
        <x:is>
          <x:t xml:space="preserve">prior-2026-09-19-v1</x:t>
        </x:is>
      </x:c>
      <x:c r="AA268" s="595" t="inlineStr">
        <x:is>
          <x:t xml:space="preserve">C</x:t>
        </x:is>
      </x:c>
      <x:c r="AB268" s="600" t="n">
        <x:v>0.2830188679245283</x:v>
      </x:c>
      <x:c r="AC268" s="600" t="n">
        <x:v>0.2830188679245283</x:v>
      </x:c>
      <x:c r="AD268" s="600" t="n">
        <x:v>0</x:v>
      </x:c>
      <x:c r="AE268" s="600" t="n">
        <x:v>0</x:v>
      </x:c>
      <x:c r="AF268" s="600" t="n">
        <x:v>0.4339622641509434</x:v>
      </x:c>
      <x:c r="AG268" s="600" t="n">
        <x:v>0.02452830188679245</x:v>
      </x:c>
      <x:c r="AH268" s="600" t="n">
        <x:v>-0.1803597848378407</x:v>
      </x:c>
      <x:c r="AI268" s="600" t="n">
        <x:v>-0.1371465466415315</x:v>
      </x:c>
      <x:c r="AJ268" s="600" t="n">
        <x:v>0.02326502625217935</x:v>
      </x:c>
      <x:c r="AK268" s="600" t="n">
        <x:v>0.1855318875204892</x:v>
      </x:c>
      <x:c r="AL268" s="600" t="n">
        <x:v>0.2354442709254863</x:v>
      </x:c>
      <x:c r="AM268" s="600" t="n">
        <x:v>0.5732</x:v>
      </x:c>
      <x:c r="AN268" s="595" t="inlineStr">
        <x:is>
          <x:t xml:space="preserve">EVALUATED</x:t>
        </x:is>
      </x:c>
      <x:c r="AO268" s="600" t="inlineStr">
        <x:is>
          <x:t xml:space="preserve">BUCKET_1.25、SIDE_IDENTITY_VALID、FLAT_LINE_GIVING_WATER_DROP</x:t>
        </x:is>
      </x:c>
      <x:c r="AP268" s="600" t="inlineStr">
        <x:is>
          <x:t xml:space="preserve">4850c16bc5d0b29eaf1c</x:t>
        </x:is>
      </x:c>
      <x:c r="AQ268" s="600" t="n">
        <x:v>1.25</x:v>
      </x:c>
      <x:c r="AR268" s="600" t="n">
        <x:v>1.08</x:v>
      </x:c>
      <x:c r="AS268" s="600" t="n">
        <x:v>1.25</x:v>
      </x:c>
      <x:c r="AT268" s="600" t="n">
        <x:v>-1.25</x:v>
      </x:c>
      <x:c r="AU268" s="600" t="n">
        <x:v>1.08</x:v>
      </x:c>
      <x:c r="AV268" s="600" t="n">
        <x:v>0.8100000000000001</x:v>
      </x:c>
      <x:c r="AW268" s="595" t="n">
        <x:v>46284.25887726852</x:v>
      </x:c>
      <x:c r="AX268" s="595" t="inlineStr">
        <x:is>
          <x:t xml:space="preserve">https://simondongxiao.github.io/odds/v4/</x:t>
        </x:is>
      </x:c>
      <x:c r="AY268" s="595" t="inlineStr">
        <x:is>
          <x:t xml:space="preserve">V4 Shadow Only；real_money=false；比分差异详见记录审计</x:t>
        </x:is>
      </x:c>
    </x:row>
    <x:row r="269" ht="22" customHeight="1">
      <x:c r="A269" s="595" t="inlineStr">
        <x:is>
          <x:t xml:space="preserve">2026-09-19</x:t>
        </x:is>
      </x:c>
      <x:c r="B269" s="595" t="inlineStr">
        <x:is>
          <x:t xml:space="preserve">2026-09-20 03:00</x:t>
        </x:is>
      </x:c>
      <x:c r="C269" s="595" t="str">
        <x:v>南美系列</x:v>
      </x:c>
      <x:c r="D269" s="595" t="inlineStr">
        <x:is>
          <x:t xml:space="preserve">联赛</x:t>
        </x:is>
      </x:c>
      <x:c r="E269" s="595" t="inlineStr">
        <x:is>
          <x:t xml:space="preserve">巴西甲</x:t>
        </x:is>
      </x:c>
      <x:c r="F269" s="595" t="inlineStr">
        <x:is>
          <x:t xml:space="preserve">米内罗竞技 vs 沙佩科恩斯</x:t>
        </x:is>
      </x:c>
      <x:c r="G269" s="596" t="n">
        <x:v>0.78</x:v>
      </x:c>
      <x:c r="H269" s="596" t="n">
        <x:v>1.25</x:v>
      </x:c>
      <x:c r="I269" s="596" t="n">
        <x:v>1.12</x:v>
      </x:c>
      <x:c r="J269" s="596" t="inlineStr">
        <x:is>
          <x:t xml:space="preserve">0.78/1.25/1.12</x:t>
        </x:is>
      </x:c>
      <x:c r="K269" s="595" t="inlineStr">
        <x:is>
          <x:t xml:space="preserve">V4-C｜EV +0.0415</x:t>
        </x:is>
      </x:c>
      <x:c r="L269" s="595" t="inlineStr">
        <x:is>
          <x:t xml:space="preserve">沙佩科恩斯</x:t>
        </x:is>
      </x:c>
      <x:c r="M269" s="597" t="n">
        <x:v>0.4945054945054945</x:v>
      </x:c>
      <x:c r="N269" s="595" t="inlineStr">
        <x:is>
          <x:t xml:space="preserve">V4纸面入选-C</x:t>
        </x:is>
      </x:c>
      <x:c r="O269" s="595" t="inlineStr">
        <x:is>
          <x:t xml:space="preserve">1-1</x:t>
        </x:is>
      </x:c>
      <x:c r="P269" s="595" t="inlineStr">
        <x:is>
          <x:t xml:space="preserve">已结算</x:t>
        </x:is>
      </x:c>
      <x:c r="Q269" s="640" t="inlineStr">
        <x:is>
          <x:t xml:space="preserve">红</x:t>
        </x:is>
      </x:c>
      <x:c r="R269" s="599" t="n">
        <x:v>1.12</x:v>
      </x:c>
      <x:c r="S269" s="599" t="n">
        <x:f>IF(OR(Q269="",Q269="待结算"),"",IF(Q269="红",R269,IF(Q269="半红",R269*0.5,IF(Q269="走",0,IF(Q269="半黑",-0.5,-1)))))</x:f>
        <x:v>1.12</x:v>
      </x:c>
      <x:c r="T269" s="595" t="inlineStr">
        <x:is>
          <x:t xml:space="preserve">https://zq.titan007.com/analysis/2910898cn.htm</x:t>
        </x:is>
      </x:c>
      <x:c r="U269" s="641" t="str">
        <x:f>IF(Q269="","",IF(Q269="待结算","待结算",IF(Q269="红","黑",IF(Q269="半红","半黑",IF(Q269="走","走",IF(Q269="半黑","半红","红"))))))</x:f>
        <x:v>黑</x:v>
      </x:c>
      <x:c r="V269" s="599" t="n">
        <x:f>IF(OR(Q269="",Q269="待结算"),"",IF(L269=LEFT(F269,FIND(" vs ",F269)-1),I269,G269))</x:f>
        <x:v>0.78</x:v>
      </x:c>
      <x:c r="W269" s="599" t="n">
        <x:f>IF(OR(U269="",U269="待结算"),"",IF(U269="红",V269,IF(U269="半红",V269*0.5,IF(U269="走",0,IF(U269="半黑",-0.5,-1)))))</x:f>
        <x:v>-1</x:v>
      </x:c>
      <x:c r="X269" s="595" t="inlineStr">
        <x:is>
          <x:t xml:space="preserve">2910898</x:t>
        </x:is>
      </x:c>
      <x:c r="Y269" s="595" t="inlineStr">
        <x:is>
          <x:t xml:space="preserve">v4-market-dirichlet-20260913</x:t>
        </x:is>
      </x:c>
      <x:c r="Z269" s="595" t="inlineStr">
        <x:is>
          <x:t xml:space="preserve">prior-2026-09-19-v1</x:t>
        </x:is>
      </x:c>
      <x:c r="AA269" s="595" t="inlineStr">
        <x:is>
          <x:t xml:space="preserve">C</x:t>
        </x:is>
      </x:c>
      <x:c r="AB269" s="600" t="n">
        <x:v>0.2830188679245283</x:v>
      </x:c>
      <x:c r="AC269" s="600" t="n">
        <x:v>0.2830188679245283</x:v>
      </x:c>
      <x:c r="AD269" s="600" t="n">
        <x:v>0</x:v>
      </x:c>
      <x:c r="AE269" s="600" t="n">
        <x:v>0</x:v>
      </x:c>
      <x:c r="AF269" s="600" t="n">
        <x:v>0.4339622641509434</x:v>
      </x:c>
      <x:c r="AG269" s="600" t="n">
        <x:v>0.0415094339622642</x:v>
      </x:c>
      <x:c r="AH269" s="600" t="n">
        <x:v>-0.1692241107017319</x:v>
      </x:c>
      <x:c r="AI269" s="600" t="n">
        <x:v>-0.1236851156858698</x:v>
      </x:c>
      <x:c r="AJ269" s="600" t="n">
        <x:v>0.04480385300833611</x:v>
      </x:c>
      <x:c r="AK269" s="600" t="n">
        <x:v>0.2020349316744351</x:v>
      </x:c>
      <x:c r="AL269" s="600" t="n">
        <x:v>0.24789773324021</x:v>
      </x:c>
      <x:c r="AM269" s="600" t="n">
        <x:v>0.6314</x:v>
      </x:c>
      <x:c r="AN269" s="595" t="inlineStr">
        <x:is>
          <x:t xml:space="preserve">EVALUATED</x:t>
        </x:is>
      </x:c>
      <x:c r="AO269" s="600" t="inlineStr">
        <x:is>
          <x:t xml:space="preserve">BUCKET_1.25、SIDE_IDENTITY_VALID、FLAT_LINE_GIVING_WATER_DROP</x:t>
        </x:is>
      </x:c>
      <x:c r="AP269" s="600" t="inlineStr">
        <x:is>
          <x:t xml:space="preserve">8ad105c901f6e678d538</x:t>
        </x:is>
      </x:c>
      <x:c r="AQ269" s="600" t="n">
        <x:v>1.25</x:v>
      </x:c>
      <x:c r="AR269" s="600" t="n">
        <x:v>1.12</x:v>
      </x:c>
      <x:c r="AS269" s="600" t="n">
        <x:v>-1.25</x:v>
      </x:c>
      <x:c r="AT269" s="600" t="n">
        <x:v>1.25</x:v>
      </x:c>
      <x:c r="AU269" s="600" t="n">
        <x:v>0.78</x:v>
      </x:c>
      <x:c r="AV269" s="600" t="n">
        <x:v>1.12</x:v>
      </x:c>
      <x:c r="AW269" s="595" t="n">
        <x:v>46284.25887726852</x:v>
      </x:c>
      <x:c r="AX269" s="595" t="inlineStr">
        <x:is>
          <x:t xml:space="preserve">https://simondongxiao.github.io/odds/v4/</x:t>
        </x:is>
      </x:c>
      <x:c r="AY269" s="595" t="inlineStr">
        <x:is>
          <x:t xml:space="preserve">V4 Shadow Only；real_money=false；比分差异详见记录审计</x:t>
        </x:is>
      </x:c>
    </x:row>
    <x:row r="270" ht="22" customHeight="1">
      <x:c r="A270" s="595" t="inlineStr">
        <x:is>
          <x:t xml:space="preserve">2026-09-19</x:t>
        </x:is>
      </x:c>
      <x:c r="B270" s="595" t="inlineStr">
        <x:is>
          <x:t xml:space="preserve">2026-09-20 03:00</x:t>
        </x:is>
      </x:c>
      <x:c r="C270" s="595" t="str">
        <x:v>南美系列</x:v>
      </x:c>
      <x:c r="D270" s="595" t="inlineStr">
        <x:is>
          <x:t xml:space="preserve">联赛</x:t>
        </x:is>
      </x:c>
      <x:c r="E270" s="595" t="inlineStr">
        <x:is>
          <x:t xml:space="preserve">哥伦甲秋</x:t>
        </x:is>
      </x:c>
      <x:c r="F270" s="595" t="inlineStr">
        <x:is>
          <x:t xml:space="preserve">百万富翁 vs 茨高</x:t>
        </x:is>
      </x:c>
      <x:c r="G270" s="596" t="n">
        <x:v>0.98</x:v>
      </x:c>
      <x:c r="H270" s="596" t="n">
        <x:v>1.75</x:v>
      </x:c>
      <x:c r="I270" s="596" t="n">
        <x:v>0.84</x:v>
      </x:c>
      <x:c r="J270" s="596" t="inlineStr">
        <x:is>
          <x:t xml:space="preserve">0.98/1.75/0.84</x:t>
        </x:is>
      </x:c>
      <x:c r="K270" s="595" t="inlineStr">
        <x:is>
          <x:t xml:space="preserve">V4-C｜EV +0.0480</x:t>
        </x:is>
      </x:c>
      <x:c r="L270" s="595" t="inlineStr">
        <x:is>
          <x:t xml:space="preserve">百万富翁</x:t>
        </x:is>
      </x:c>
      <x:c r="M270" s="597" t="n">
        <x:v>0.5333333333333333</x:v>
      </x:c>
      <x:c r="N270" s="595" t="inlineStr">
        <x:is>
          <x:t xml:space="preserve">V4纸面入选-C</x:t>
        </x:is>
      </x:c>
      <x:c r="O270" s="595" t="inlineStr">
        <x:is>
          <x:t xml:space="preserve">3-0</x:t>
        </x:is>
      </x:c>
      <x:c r="P270" s="595" t="inlineStr">
        <x:is>
          <x:t xml:space="preserve">已结算</x:t>
        </x:is>
      </x:c>
      <x:c r="Q270" s="640" t="inlineStr">
        <x:is>
          <x:t xml:space="preserve">红</x:t>
        </x:is>
      </x:c>
      <x:c r="R270" s="599" t="n">
        <x:v>0.98</x:v>
      </x:c>
      <x:c r="S270" s="599" t="n">
        <x:f>IF(OR(Q270="",Q270="待结算"),"",IF(Q270="红",R270,IF(Q270="半红",R270*0.5,IF(Q270="走",0,IF(Q270="半黑",-0.5,-1)))))</x:f>
        <x:v>0.98</x:v>
      </x:c>
      <x:c r="T270" s="595" t="inlineStr">
        <x:is>
          <x:t xml:space="preserve">https://zq.titan007.com/analysis/3011866cn.htm</x:t>
        </x:is>
      </x:c>
      <x:c r="U270" s="641" t="str">
        <x:f>IF(Q270="","",IF(Q270="待结算","待结算",IF(Q270="红","黑",IF(Q270="半红","半黑",IF(Q270="走","走",IF(Q270="半黑","半红","红"))))))</x:f>
        <x:v>黑</x:v>
      </x:c>
      <x:c r="V270" s="599" t="n">
        <x:f>IF(OR(Q270="",Q270="待结算"),"",IF(L270=LEFT(F270,FIND(" vs ",F270)-1),I270,G270))</x:f>
        <x:v>0.84</x:v>
      </x:c>
      <x:c r="W270" s="599" t="n">
        <x:f>IF(OR(U270="",U270="待结算"),"",IF(U270="红",V270,IF(U270="半红",V270*0.5,IF(U270="走",0,IF(U270="半黑",-0.5,-1)))))</x:f>
        <x:v>-1</x:v>
      </x:c>
      <x:c r="X270" s="595" t="inlineStr">
        <x:is>
          <x:t xml:space="preserve">3011866</x:t>
        </x:is>
      </x:c>
      <x:c r="Y270" s="595" t="inlineStr">
        <x:is>
          <x:t xml:space="preserve">v4-market-dirichlet-20260913</x:t>
        </x:is>
      </x:c>
      <x:c r="Z270" s="595" t="inlineStr">
        <x:is>
          <x:t xml:space="preserve">prior-2026-09-19-v1</x:t>
        </x:is>
      </x:c>
      <x:c r="AA270" s="595" t="inlineStr">
        <x:is>
          <x:t xml:space="preserve">C</x:t>
        </x:is>
      </x:c>
      <x:c r="AB270" s="600" t="n">
        <x:v>0.3142857142857143</x:v>
      </x:c>
      <x:c r="AC270" s="600" t="n">
        <x:v>0.2857142857142857</x:v>
      </x:c>
      <x:c r="AD270" s="600" t="n">
        <x:v>0</x:v>
      </x:c>
      <x:c r="AE270" s="600" t="n">
        <x:v>0</x:v>
      </x:c>
      <x:c r="AF270" s="600" t="n">
        <x:v>0.4</x:v>
      </x:c>
      <x:c r="AG270" s="600" t="n">
        <x:v>0.04799999999999993</x:v>
      </x:c>
      <x:c r="AH270" s="600" t="n">
        <x:v>-0.2002677111699119</x:v>
      </x:c>
      <x:c r="AI270" s="600" t="n">
        <x:v>-0.149806906853161</x:v>
      </x:c>
      <x:c r="AJ270" s="600" t="n">
        <x:v>0.04748773194889461</x:v>
      </x:c>
      <x:c r="AK270" s="600" t="n">
        <x:v>0.23535531589526</x:v>
      </x:c>
      <x:c r="AL270" s="600" t="n">
        <x:v>0.2855408609793544</x:v>
      </x:c>
      <x:c r="AM270" s="600" t="n">
        <x:v>0.6162</x:v>
      </x:c>
      <x:c r="AN270" s="595" t="inlineStr">
        <x:is>
          <x:t xml:space="preserve">EVALUATED</x:t>
        </x:is>
      </x:c>
      <x:c r="AO270" s="600" t="inlineStr">
        <x:is>
          <x:t xml:space="preserve">BUCKET_1.75、SIDE_IDENTITY_VALID、MARKET_MOVE_DEEPER_WITH_GIVING_WATER_RISE</x:t>
        </x:is>
      </x:c>
      <x:c r="AP270" s="600" t="inlineStr">
        <x:is>
          <x:t xml:space="preserve">abaaf012d99ed8742df2</x:t>
        </x:is>
      </x:c>
      <x:c r="AQ270" s="600" t="n">
        <x:v>-1.75</x:v>
      </x:c>
      <x:c r="AR270" s="600" t="n">
        <x:v>0.98</x:v>
      </x:c>
      <x:c r="AS270" s="600" t="n">
        <x:v>-1.75</x:v>
      </x:c>
      <x:c r="AT270" s="600" t="n">
        <x:v>1.75</x:v>
      </x:c>
      <x:c r="AU270" s="600" t="n">
        <x:v>0.98</x:v>
      </x:c>
      <x:c r="AV270" s="600" t="n">
        <x:v>0.84</x:v>
      </x:c>
      <x:c r="AW270" s="595" t="n">
        <x:v>46284.25887726852</x:v>
      </x:c>
      <x:c r="AX270" s="595" t="inlineStr">
        <x:is>
          <x:t xml:space="preserve">https://simondongxiao.github.io/odds/v4/</x:t>
        </x:is>
      </x:c>
      <x:c r="AY270" s="595" t="inlineStr">
        <x:is>
          <x:t xml:space="preserve">V4 Shadow Only；real_money=false；比分差异详见记录审计</x:t>
        </x:is>
      </x:c>
    </x:row>
    <x:row r="271" ht="22" customHeight="1">
      <x:c r="A271" s="595" t="inlineStr">
        <x:is>
          <x:t xml:space="preserve">2026-09-19</x:t>
        </x:is>
      </x:c>
      <x:c r="B271" s="595" t="inlineStr">
        <x:is>
          <x:t xml:space="preserve">2026-09-20 03:00</x:t>
        </x:is>
      </x:c>
      <x:c r="C271" s="595" t="str">
        <x:v>欧洲非五大系列</x:v>
      </x:c>
      <x:c r="D271" s="595" t="inlineStr">
        <x:is>
          <x:t xml:space="preserve">杯赛</x:t>
        </x:is>
      </x:c>
      <x:c r="E271" s="595" t="inlineStr">
        <x:is>
          <x:t xml:space="preserve">葡杯</x:t>
        </x:is>
      </x:c>
      <x:c r="F271" s="595" t="inlineStr">
        <x:is>
          <x:t xml:space="preserve">贝拉马尔 vs 比伦塞斯</x:t>
        </x:is>
      </x:c>
      <x:c r="G271" s="596" t="n">
        <x:v>0.86</x:v>
      </x:c>
      <x:c r="H271" s="596" t="n">
        <x:v>-1</x:v>
      </x:c>
      <x:c r="I271" s="596" t="n">
        <x:v>0.96</x:v>
      </x:c>
      <x:c r="J271" s="596" t="inlineStr">
        <x:is>
          <x:t xml:space="preserve">0.86/-1/0.96</x:t>
        </x:is>
      </x:c>
      <x:c r="K271" s="595" t="inlineStr">
        <x:is>
          <x:t xml:space="preserve">V4-C｜EV +0.0068</x:t>
        </x:is>
      </x:c>
      <x:c r="L271" s="595" t="inlineStr">
        <x:is>
          <x:t xml:space="preserve">贝拉马尔</x:t>
        </x:is>
      </x:c>
      <x:c r="M271" s="597" t="n">
        <x:v>0.5423728813559322</x:v>
      </x:c>
      <x:c r="N271" s="595" t="inlineStr">
        <x:is>
          <x:t xml:space="preserve">V4纸面入选-C</x:t>
        </x:is>
      </x:c>
      <x:c r="O271" s="595" t="inlineStr">
        <x:is>
          <x:t xml:space="preserve">0-2</x:t>
        </x:is>
      </x:c>
      <x:c r="P271" s="595" t="inlineStr">
        <x:is>
          <x:t xml:space="preserve">已结算</x:t>
        </x:is>
      </x:c>
      <x:c r="Q271" s="641" t="inlineStr">
        <x:is>
          <x:t xml:space="preserve">黑</x:t>
        </x:is>
      </x:c>
      <x:c r="R271" s="599" t="n">
        <x:v>0.86</x:v>
      </x:c>
      <x:c r="S271" s="599" t="n">
        <x:f>IF(OR(Q271="",Q271="待结算"),"",IF(Q271="红",R271,IF(Q271="半红",R271*0.5,IF(Q271="走",0,IF(Q271="半黑",-0.5,-1)))))</x:f>
        <x:v>-1</x:v>
      </x:c>
      <x:c r="T271" s="595" t="inlineStr">
        <x:is>
          <x:t xml:space="preserve">https://zq.titan007.com/analysis/3089857cn.htm</x:t>
        </x:is>
      </x:c>
      <x:c r="U271" s="640" t="str">
        <x:f>IF(Q271="","",IF(Q271="待结算","待结算",IF(Q271="红","黑",IF(Q271="半红","半黑",IF(Q271="走","走",IF(Q271="半黑","半红","红"))))))</x:f>
        <x:v>红</x:v>
      </x:c>
      <x:c r="V271" s="599" t="n">
        <x:f>IF(OR(Q271="",Q271="待结算"),"",IF(L271=LEFT(F271,FIND(" vs ",F271)-1),I271,G271))</x:f>
        <x:v>0.96</x:v>
      </x:c>
      <x:c r="W271" s="599" t="n">
        <x:f>IF(OR(U271="",U271="待结算"),"",IF(U271="红",V271,IF(U271="半红",V271*0.5,IF(U271="走",0,IF(U271="半黑",-0.5,-1)))))</x:f>
        <x:v>0.96</x:v>
      </x:c>
      <x:c r="X271" s="595" t="inlineStr">
        <x:is>
          <x:t xml:space="preserve">3089857</x:t>
        </x:is>
      </x:c>
      <x:c r="Y271" s="595" t="inlineStr">
        <x:is>
          <x:t xml:space="preserve">v4-market-dirichlet-20260913</x:t>
        </x:is>
      </x:c>
      <x:c r="Z271" s="595" t="inlineStr">
        <x:is>
          <x:t xml:space="preserve">prior-2026-09-19-v1</x:t>
        </x:is>
      </x:c>
      <x:c r="AA271" s="595" t="inlineStr">
        <x:is>
          <x:t xml:space="preserve">C</x:t>
        </x:is>
      </x:c>
      <x:c r="AB271" s="600" t="n">
        <x:v>0.4210526315789473</x:v>
      </x:c>
      <x:c r="AC271" s="600" t="n">
        <x:v>0</x:v>
      </x:c>
      <x:c r="AD271" s="600" t="n">
        <x:v>0.2236842105263158</x:v>
      </x:c>
      <x:c r="AE271" s="600" t="n">
        <x:v>0</x:v>
      </x:c>
      <x:c r="AF271" s="600" t="n">
        <x:v>0.3552631578947368</x:v>
      </x:c>
      <x:c r="AG271" s="600" t="n">
        <x:v>0.006842105263157872</x:v>
      </x:c>
      <x:c r="AH271" s="600" t="n">
        <x:v>-0.1487005396240192</x:v>
      </x:c>
      <x:c r="AI271" s="600" t="n">
        <x:v>-0.1091954831228705</x:v>
      </x:c>
      <x:c r="AJ271" s="600" t="n">
        <x:v>0.006625254142876291</x:v>
      </x:c>
      <x:c r="AK271" s="600" t="n">
        <x:v>0.1271957368033528</x:v>
      </x:c>
      <x:c r="AL271" s="600" t="n">
        <x:v>0.161044858399109</x:v>
      </x:c>
      <x:c r="AM271" s="600" t="n">
        <x:v>0.5298</x:v>
      </x:c>
      <x:c r="AN271" s="595" t="inlineStr">
        <x:is>
          <x:t xml:space="preserve">EVALUATED</x:t>
        </x:is>
      </x:c>
      <x:c r="AO271" s="600" t="inlineStr">
        <x:is>
          <x:t xml:space="preserve">BUCKET_1.00、SIDE_IDENTITY_VALID、FLAT_LINE_GIVING_WATER_RISE</x:t>
        </x:is>
      </x:c>
      <x:c r="AP271" s="600" t="inlineStr">
        <x:is>
          <x:t xml:space="preserve">52bdcee5bef4ed6822b5</x:t>
        </x:is>
      </x:c>
      <x:c r="AQ271" s="600" t="n">
        <x:v>1</x:v>
      </x:c>
      <x:c r="AR271" s="600" t="n">
        <x:v>0.86</x:v>
      </x:c>
      <x:c r="AS271" s="600" t="n">
        <x:v>1</x:v>
      </x:c>
      <x:c r="AT271" s="600" t="n">
        <x:v>-1</x:v>
      </x:c>
      <x:c r="AU271" s="600" t="n">
        <x:v>0.86</x:v>
      </x:c>
      <x:c r="AV271" s="600" t="n">
        <x:v>0.96</x:v>
      </x:c>
      <x:c r="AW271" s="595" t="n">
        <x:v>46284.25887726852</x:v>
      </x:c>
      <x:c r="AX271" s="595" t="inlineStr">
        <x:is>
          <x:t xml:space="preserve">https://simondongxiao.github.io/odds/v4/</x:t>
        </x:is>
      </x:c>
      <x:c r="AY271" s="595" t="inlineStr">
        <x:is>
          <x:t xml:space="preserve">V4 Shadow Only；real_money=false；比分差异详见记录审计</x:t>
        </x:is>
      </x:c>
    </x:row>
    <x:row r="272" ht="22" customHeight="1">
      <x:c r="A272" s="595" t="inlineStr">
        <x:is>
          <x:t xml:space="preserve">2026-09-19</x:t>
        </x:is>
      </x:c>
      <x:c r="B272" s="595" t="inlineStr">
        <x:is>
          <x:t xml:space="preserve">2026-09-20 03:30</x:t>
        </x:is>
      </x:c>
      <x:c r="C272" s="595" t="str">
        <x:v>欧洲非五大系列</x:v>
      </x:c>
      <x:c r="D272" s="595" t="inlineStr">
        <x:is>
          <x:t xml:space="preserve">联赛</x:t>
        </x:is>
      </x:c>
      <x:c r="E272" s="595" t="inlineStr">
        <x:is>
          <x:t xml:space="preserve">冰岛超降</x:t>
        </x:is>
      </x:c>
      <x:c r="F272" s="595" t="inlineStr">
        <x:is>
          <x:t xml:space="preserve">阿古雷利 vs 托尔</x:t>
        </x:is>
      </x:c>
      <x:c r="G272" s="596" t="n">
        <x:v>0.88</x:v>
      </x:c>
      <x:c r="H272" s="596" t="n">
        <x:v>0.5</x:v>
      </x:c>
      <x:c r="I272" s="596" t="n">
        <x:v>1</x:v>
      </x:c>
      <x:c r="J272" s="596" t="inlineStr">
        <x:is>
          <x:t xml:space="preserve">0.88/0.5/1.00</x:t>
        </x:is>
      </x:c>
      <x:c r="K272" s="595" t="inlineStr">
        <x:is>
          <x:t xml:space="preserve">V4-C｜EV +0.0057</x:t>
        </x:is>
      </x:c>
      <x:c r="L272" s="595" t="inlineStr">
        <x:is>
          <x:t xml:space="preserve">托尔</x:t>
        </x:is>
      </x:c>
      <x:c r="M272" s="597" t="n">
        <x:v>0.5028571428571429</x:v>
      </x:c>
      <x:c r="N272" s="595" t="inlineStr">
        <x:is>
          <x:t xml:space="preserve">V4纸面入选-C</x:t>
        </x:is>
      </x:c>
      <x:c r="O272" s="595" t="inlineStr">
        <x:is>
          <x:t xml:space="preserve">3-0</x:t>
        </x:is>
      </x:c>
      <x:c r="P272" s="595" t="inlineStr">
        <x:is>
          <x:t xml:space="preserve">已结算</x:t>
        </x:is>
      </x:c>
      <x:c r="Q272" s="641" t="inlineStr">
        <x:is>
          <x:t xml:space="preserve">黑</x:t>
        </x:is>
      </x:c>
      <x:c r="R272" s="599" t="n">
        <x:v>1</x:v>
      </x:c>
      <x:c r="S272" s="599" t="n">
        <x:f>IF(OR(Q272="",Q272="待结算"),"",IF(Q272="红",R272,IF(Q272="半红",R272*0.5,IF(Q272="走",0,IF(Q272="半黑",-0.5,-1)))))</x:f>
        <x:v>-1</x:v>
      </x:c>
      <x:c r="T272" s="595" t="inlineStr">
        <x:is>
          <x:t xml:space="preserve">https://zq.titan007.com/analysis/3087988cn.htm</x:t>
        </x:is>
      </x:c>
      <x:c r="U272" s="640" t="str">
        <x:f>IF(Q272="","",IF(Q272="待结算","待结算",IF(Q272="红","黑",IF(Q272="半红","半黑",IF(Q272="走","走",IF(Q272="半黑","半红","红"))))))</x:f>
        <x:v>红</x:v>
      </x:c>
      <x:c r="V272" s="599" t="n">
        <x:f>IF(OR(Q272="",Q272="待结算"),"",IF(L272=LEFT(F272,FIND(" vs ",F272)-1),I272,G272))</x:f>
        <x:v>0.88</x:v>
      </x:c>
      <x:c r="W272" s="599" t="n">
        <x:f>IF(OR(U272="",U272="待结算"),"",IF(U272="红",V272,IF(U272="半红",V272*0.5,IF(U272="走",0,IF(U272="半黑",-0.5,-1)))))</x:f>
        <x:v>0.88</x:v>
      </x:c>
      <x:c r="X272" s="595" t="inlineStr">
        <x:is>
          <x:t xml:space="preserve">3087988</x:t>
        </x:is>
      </x:c>
      <x:c r="Y272" s="595" t="inlineStr">
        <x:is>
          <x:t xml:space="preserve">v4-market-dirichlet-20260913</x:t>
        </x:is>
      </x:c>
      <x:c r="Z272" s="595" t="inlineStr">
        <x:is>
          <x:t xml:space="preserve">prior-2026-09-19-v1</x:t>
        </x:is>
      </x:c>
      <x:c r="AA272" s="595" t="inlineStr">
        <x:is>
          <x:t xml:space="preserve">C</x:t>
        </x:is>
      </x:c>
      <x:c r="AB272" s="600" t="n">
        <x:v>0.5028571428571429</x:v>
      </x:c>
      <x:c r="AC272" s="600" t="n">
        <x:v>0</x:v>
      </x:c>
      <x:c r="AD272" s="600" t="n">
        <x:v>0</x:v>
      </x:c>
      <x:c r="AE272" s="600" t="n">
        <x:v>0</x:v>
      </x:c>
      <x:c r="AF272" s="600" t="n">
        <x:v>0.4971428571428572</x:v>
      </x:c>
      <x:c r="AG272" s="600" t="n">
        <x:v>0.005714285714285727</x:v>
      </x:c>
      <x:c r="AH272" s="600" t="n">
        <x:v>-0.1190145441865709</x:v>
      </x:c>
      <x:c r="AI272" s="600" t="n">
        <x:v>-0.09183380176707795</x:v>
      </x:c>
      <x:c r="AJ272" s="600" t="n">
        <x:v>0.005559491076240819</x:v>
      </x:c>
      <x:c r="AK272" s="600" t="n">
        <x:v>0.103258523307851</x:v>
      </x:c>
      <x:c r="AL272" s="600" t="n">
        <x:v>0.131359840564484</x:v>
      </x:c>
      <x:c r="AM272" s="600" t="n">
        <x:v>0.5302</x:v>
      </x:c>
      <x:c r="AN272" s="595" t="inlineStr">
        <x:is>
          <x:t xml:space="preserve">EVALUATED</x:t>
        </x:is>
      </x:c>
      <x:c r="AO272" s="600" t="inlineStr">
        <x:is>
          <x:t xml:space="preserve">BUCKET_0.50、SIDE_IDENTITY_VALID、FLAT_LINE_GIVING_WATER_RISE</x:t>
        </x:is>
      </x:c>
      <x:c r="AP272" s="600" t="inlineStr">
        <x:is>
          <x:t xml:space="preserve">1cdc1d529bdba93b5c3d</x:t>
        </x:is>
      </x:c>
      <x:c r="AQ272" s="600" t="n">
        <x:v>0.5</x:v>
      </x:c>
      <x:c r="AR272" s="600" t="n">
        <x:v>1</x:v>
      </x:c>
      <x:c r="AS272" s="600" t="n">
        <x:v>-0.5</x:v>
      </x:c>
      <x:c r="AT272" s="600" t="n">
        <x:v>0.5</x:v>
      </x:c>
      <x:c r="AU272" s="600" t="n">
        <x:v>0.88</x:v>
      </x:c>
      <x:c r="AV272" s="600" t="n">
        <x:v>1</x:v>
      </x:c>
      <x:c r="AW272" s="595" t="n">
        <x:v>46284.25887726852</x:v>
      </x:c>
      <x:c r="AX272" s="595" t="inlineStr">
        <x:is>
          <x:t xml:space="preserve">https://simondongxiao.github.io/odds/v4/</x:t>
        </x:is>
      </x:c>
      <x:c r="AY272" s="595" t="inlineStr">
        <x:is>
          <x:t xml:space="preserve">V4 Shadow Only；real_money=false；比分差异详见记录审计</x:t>
        </x:is>
      </x:c>
    </x:row>
    <x:row r="273" ht="22" customHeight="1">
      <x:c r="A273" s="595" t="inlineStr">
        <x:is>
          <x:t xml:space="preserve">2026-09-19</x:t>
        </x:is>
      </x:c>
      <x:c r="B273" s="595" t="inlineStr">
        <x:is>
          <x:t xml:space="preserve">2026-09-20 04:00</x:t>
        </x:is>
      </x:c>
      <x:c r="C273" s="595" t="str">
        <x:v>南美系列</x:v>
      </x:c>
      <x:c r="D273" s="595" t="inlineStr">
        <x:is>
          <x:t xml:space="preserve">联赛</x:t>
        </x:is>
      </x:c>
      <x:c r="E273" s="595" t="inlineStr">
        <x:is>
          <x:t xml:space="preserve">巴西甲</x:t>
        </x:is>
      </x:c>
      <x:c r="F273" s="595" t="inlineStr">
        <x:is>
          <x:t xml:space="preserve">米拉索 vs 博塔弗戈</x:t>
        </x:is>
      </x:c>
      <x:c r="G273" s="596" t="n">
        <x:v>1.04</x:v>
      </x:c>
      <x:c r="H273" s="596" t="n">
        <x:v>0.5</x:v>
      </x:c>
      <x:c r="I273" s="596" t="n">
        <x:v>0.85</x:v>
      </x:c>
      <x:c r="J273" s="596" t="inlineStr">
        <x:is>
          <x:t xml:space="preserve">1.04/0.5/0.85</x:t>
        </x:is>
      </x:c>
      <x:c r="K273" s="595" t="inlineStr">
        <x:is>
          <x:t xml:space="preserve">V4-C｜EV +0.0142</x:t>
        </x:is>
      </x:c>
      <x:c r="L273" s="595" t="inlineStr">
        <x:is>
          <x:t xml:space="preserve">米拉索</x:t>
        </x:is>
      </x:c>
      <x:c r="M273" s="597" t="n">
        <x:v>0.4971428571428572</x:v>
      </x:c>
      <x:c r="N273" s="595" t="inlineStr">
        <x:is>
          <x:t xml:space="preserve">V4纸面入选-C</x:t>
        </x:is>
      </x:c>
      <x:c r="O273" s="595" t="inlineStr">
        <x:is>
          <x:t xml:space="preserve">2-0</x:t>
        </x:is>
      </x:c>
      <x:c r="P273" s="595" t="inlineStr">
        <x:is>
          <x:t xml:space="preserve">已结算</x:t>
        </x:is>
      </x:c>
      <x:c r="Q273" s="640" t="inlineStr">
        <x:is>
          <x:t xml:space="preserve">红</x:t>
        </x:is>
      </x:c>
      <x:c r="R273" s="599" t="n">
        <x:v>1.04</x:v>
      </x:c>
      <x:c r="S273" s="599" t="n">
        <x:f>IF(OR(Q273="",Q273="待结算"),"",IF(Q273="红",R273,IF(Q273="半红",R273*0.5,IF(Q273="走",0,IF(Q273="半黑",-0.5,-1)))))</x:f>
        <x:v>1.04</x:v>
      </x:c>
      <x:c r="T273" s="595" t="inlineStr">
        <x:is>
          <x:t xml:space="preserve">https://zq.titan007.com/analysis/2910902cn.htm</x:t>
        </x:is>
      </x:c>
      <x:c r="U273" s="641" t="str">
        <x:f>IF(Q273="","",IF(Q273="待结算","待结算",IF(Q273="红","黑",IF(Q273="半红","半黑",IF(Q273="走","走",IF(Q273="半黑","半红","红"))))))</x:f>
        <x:v>黑</x:v>
      </x:c>
      <x:c r="V273" s="599" t="n">
        <x:f>IF(OR(Q273="",Q273="待结算"),"",IF(L273=LEFT(F273,FIND(" vs ",F273)-1),I273,G273))</x:f>
        <x:v>0.85</x:v>
      </x:c>
      <x:c r="W273" s="599" t="n">
        <x:f>IF(OR(U273="",U273="待结算"),"",IF(U273="红",V273,IF(U273="半红",V273*0.5,IF(U273="走",0,IF(U273="半黑",-0.5,-1)))))</x:f>
        <x:v>-1</x:v>
      </x:c>
      <x:c r="X273" s="595" t="inlineStr">
        <x:is>
          <x:t xml:space="preserve">2910902</x:t>
        </x:is>
      </x:c>
      <x:c r="Y273" s="595" t="inlineStr">
        <x:is>
          <x:t xml:space="preserve">v4-market-dirichlet-20260913</x:t>
        </x:is>
      </x:c>
      <x:c r="Z273" s="595" t="inlineStr">
        <x:is>
          <x:t xml:space="preserve">prior-2026-09-19-v1</x:t>
        </x:is>
      </x:c>
      <x:c r="AA273" s="595" t="inlineStr">
        <x:is>
          <x:t xml:space="preserve">C</x:t>
        </x:is>
      </x:c>
      <x:c r="AB273" s="600" t="n">
        <x:v>0.4971428571428572</x:v>
      </x:c>
      <x:c r="AC273" s="600" t="n">
        <x:v>0</x:v>
      </x:c>
      <x:c r="AD273" s="600" t="n">
        <x:v>0</x:v>
      </x:c>
      <x:c r="AE273" s="600" t="n">
        <x:v>0</x:v>
      </x:c>
      <x:c r="AF273" s="600" t="n">
        <x:v>0.5028571428571429</x:v>
      </x:c>
      <x:c r="AG273" s="600" t="n">
        <x:v>0.01417142857142861</x:v>
      </x:c>
      <x:c r="AH273" s="600" t="n">
        <x:v>-0.1079542943758642</x:v>
      </x:c>
      <x:c r="AI273" s="600" t="n">
        <x:v>-0.0815357959892144</x:v>
      </x:c>
      <x:c r="AJ273" s="600" t="n">
        <x:v>0.01435761927219237</x:v>
      </x:c>
      <x:c r="AK273" s="600" t="n">
        <x:v>0.1128922959526278</x:v>
      </x:c>
      <x:c r="AL273" s="600" t="n">
        <x:v>0.1387772628075057</x:v>
      </x:c>
      <x:c r="AM273" s="600" t="n">
        <x:v>0.5746</x:v>
      </x:c>
      <x:c r="AN273" s="595" t="inlineStr">
        <x:is>
          <x:t xml:space="preserve">EVALUATED</x:t>
        </x:is>
      </x:c>
      <x:c r="AO273" s="600" t="inlineStr">
        <x:is>
          <x:t xml:space="preserve">BUCKET_0.50、SIDE_IDENTITY_VALID、MARKET_MOVE_DEEPER_WITH_GIVING_WATER_RISE</x:t>
        </x:is>
      </x:c>
      <x:c r="AP273" s="600" t="inlineStr">
        <x:is>
          <x:t xml:space="preserve">498ee01bc20a341d5edd</x:t>
        </x:is>
      </x:c>
      <x:c r="AQ273" s="600" t="n">
        <x:v>-0.5</x:v>
      </x:c>
      <x:c r="AR273" s="600" t="n">
        <x:v>1.04</x:v>
      </x:c>
      <x:c r="AS273" s="600" t="n">
        <x:v>-0.5</x:v>
      </x:c>
      <x:c r="AT273" s="600" t="n">
        <x:v>0.5</x:v>
      </x:c>
      <x:c r="AU273" s="600" t="n">
        <x:v>1.04</x:v>
      </x:c>
      <x:c r="AV273" s="600" t="n">
        <x:v>0.85</x:v>
      </x:c>
      <x:c r="AW273" s="595" t="n">
        <x:v>46284.25887726852</x:v>
      </x:c>
      <x:c r="AX273" s="595" t="inlineStr">
        <x:is>
          <x:t xml:space="preserve">https://simondongxiao.github.io/odds/v4/</x:t>
        </x:is>
      </x:c>
      <x:c r="AY273" s="595" t="inlineStr">
        <x:is>
          <x:t xml:space="preserve">V4 Shadow Only；real_money=false；比分差异详见记录审计</x:t>
        </x:is>
      </x:c>
    </x:row>
    <x:row r="274" ht="22" customHeight="1">
      <x:c r="A274" s="595" t="inlineStr">
        <x:is>
          <x:t xml:space="preserve">2026-09-19</x:t>
        </x:is>
      </x:c>
      <x:c r="B274" s="595" t="inlineStr">
        <x:is>
          <x:t xml:space="preserve">2026-09-20 06:00</x:t>
        </x:is>
      </x:c>
      <x:c r="C274" s="595" t="str">
        <x:v>南美系列</x:v>
      </x:c>
      <x:c r="D274" s="595" t="inlineStr">
        <x:is>
          <x:t xml:space="preserve">联赛</x:t>
        </x:is>
      </x:c>
      <x:c r="E274" s="595" t="inlineStr">
        <x:is>
          <x:t xml:space="preserve">阿甲</x:t>
        </x:is>
      </x:c>
      <x:c r="F274" s="595" t="inlineStr">
        <x:is>
          <x:t xml:space="preserve">河床 vs 飓风队</x:t>
        </x:is>
      </x:c>
      <x:c r="G274" s="596" t="n">
        <x:v>0.96</x:v>
      </x:c>
      <x:c r="H274" s="596" t="n">
        <x:v>1</x:v>
      </x:c>
      <x:c r="I274" s="596" t="n">
        <x:v>0.93</x:v>
      </x:c>
      <x:c r="J274" s="596" t="inlineStr">
        <x:is>
          <x:t xml:space="preserve">0.96/1/0.93</x:t>
        </x:is>
      </x:c>
      <x:c r="K274" s="595" t="inlineStr">
        <x:is>
          <x:t xml:space="preserve">V4-C｜EV +0.0363</x:t>
        </x:is>
      </x:c>
      <x:c r="L274" s="595" t="inlineStr">
        <x:is>
          <x:t xml:space="preserve">飓风队</x:t>
        </x:is>
      </x:c>
      <x:c r="M274" s="597" t="n">
        <x:v>0.5423728813559322</x:v>
      </x:c>
      <x:c r="N274" s="595" t="inlineStr">
        <x:is>
          <x:t xml:space="preserve">V4纸面入选-C</x:t>
        </x:is>
      </x:c>
      <x:c r="O274" s="595" t="inlineStr">
        <x:is>
          <x:t xml:space="preserve">1-2</x:t>
        </x:is>
      </x:c>
      <x:c r="P274" s="595" t="inlineStr">
        <x:is>
          <x:t xml:space="preserve">已结算</x:t>
        </x:is>
      </x:c>
      <x:c r="Q274" s="640" t="inlineStr">
        <x:is>
          <x:t xml:space="preserve">红</x:t>
        </x:is>
      </x:c>
      <x:c r="R274" s="599" t="n">
        <x:v>0.93</x:v>
      </x:c>
      <x:c r="S274" s="599" t="n">
        <x:f>IF(OR(Q274="",Q274="待结算"),"",IF(Q274="红",R274,IF(Q274="半红",R274*0.5,IF(Q274="走",0,IF(Q274="半黑",-0.5,-1)))))</x:f>
        <x:v>0.93</x:v>
      </x:c>
      <x:c r="T274" s="595" t="inlineStr">
        <x:is>
          <x:t xml:space="preserve">https://zq.titan007.com/analysis/2962648cn.htm</x:t>
        </x:is>
      </x:c>
      <x:c r="U274" s="641" t="str">
        <x:f>IF(Q274="","",IF(Q274="待结算","待结算",IF(Q274="红","黑",IF(Q274="半红","半黑",IF(Q274="走","走",IF(Q274="半黑","半红","红"))))))</x:f>
        <x:v>黑</x:v>
      </x:c>
      <x:c r="V274" s="599" t="n">
        <x:f>IF(OR(Q274="",Q274="待结算"),"",IF(L274=LEFT(F274,FIND(" vs ",F274)-1),I274,G274))</x:f>
        <x:v>0.96</x:v>
      </x:c>
      <x:c r="W274" s="599" t="n">
        <x:f>IF(OR(U274="",U274="待结算"),"",IF(U274="红",V274,IF(U274="半红",V274*0.5,IF(U274="走",0,IF(U274="半黑",-0.5,-1)))))</x:f>
        <x:v>-1</x:v>
      </x:c>
      <x:c r="X274" s="595" t="inlineStr">
        <x:is>
          <x:t xml:space="preserve">2962648</x:t>
        </x:is>
      </x:c>
      <x:c r="Y274" s="595" t="inlineStr">
        <x:is>
          <x:t xml:space="preserve">v4-market-dirichlet-20260913</x:t>
        </x:is>
      </x:c>
      <x:c r="Z274" s="595" t="inlineStr">
        <x:is>
          <x:t xml:space="preserve">prior-2026-09-19-v1</x:t>
        </x:is>
      </x:c>
      <x:c r="AA274" s="595" t="inlineStr">
        <x:is>
          <x:t xml:space="preserve">C</x:t>
        </x:is>
      </x:c>
      <x:c r="AB274" s="600" t="n">
        <x:v>0.4210526315789473</x:v>
      </x:c>
      <x:c r="AC274" s="600" t="n">
        <x:v>0</x:v>
      </x:c>
      <x:c r="AD274" s="600" t="n">
        <x:v>0.2236842105263158</x:v>
      </x:c>
      <x:c r="AE274" s="600" t="n">
        <x:v>0</x:v>
      </x:c>
      <x:c r="AF274" s="600" t="n">
        <x:v>0.3552631578947368</x:v>
      </x:c>
      <x:c r="AG274" s="600" t="n">
        <x:v>0.03631578947368419</x:v>
      </x:c>
      <x:c r="AH274" s="600" t="n">
        <x:v>-0.1246345430251454</x:v>
      </x:c>
      <x:c r="AI274" s="600" t="n">
        <x:v>-0.08497488683807813</x:v>
      </x:c>
      <x:c r="AJ274" s="600" t="n">
        <x:v>0.03848694484079429</x:v>
      </x:c>
      <x:c r="AK274" s="600" t="n">
        <x:v>0.1617175047424081</x:v>
      </x:c>
      <x:c r="AL274" s="600" t="n">
        <x:v>0.1930115629208318</x:v>
      </x:c>
      <x:c r="AM274" s="600" t="n">
        <x:v>0.6626</x:v>
      </x:c>
      <x:c r="AN274" s="595" t="inlineStr">
        <x:is>
          <x:t xml:space="preserve">EVALUATED</x:t>
        </x:is>
      </x:c>
      <x:c r="AO274" s="600" t="inlineStr">
        <x:is>
          <x:t xml:space="preserve">BUCKET_1.00、SIDE_IDENTITY_VALID、FLAT_LINE_GIVING_WATER_DROP</x:t>
        </x:is>
      </x:c>
      <x:c r="AP274" s="600" t="inlineStr">
        <x:is>
          <x:t xml:space="preserve">f5470d4319fabb1db62f</x:t>
        </x:is>
      </x:c>
      <x:c r="AQ274" s="600" t="n">
        <x:v>1</x:v>
      </x:c>
      <x:c r="AR274" s="600" t="n">
        <x:v>0.93</x:v>
      </x:c>
      <x:c r="AS274" s="600" t="n">
        <x:v>-1</x:v>
      </x:c>
      <x:c r="AT274" s="600" t="n">
        <x:v>1</x:v>
      </x:c>
      <x:c r="AU274" s="600" t="n">
        <x:v>0.96</x:v>
      </x:c>
      <x:c r="AV274" s="600" t="n">
        <x:v>0.93</x:v>
      </x:c>
      <x:c r="AW274" s="595" t="n">
        <x:v>46284.25887726852</x:v>
      </x:c>
      <x:c r="AX274" s="595" t="inlineStr">
        <x:is>
          <x:t xml:space="preserve">https://simondongxiao.github.io/odds/v4/</x:t>
        </x:is>
      </x:c>
      <x:c r="AY274" s="595" t="inlineStr">
        <x:is>
          <x:t xml:space="preserve">V4 Shadow Only；real_money=false；比分差异详见记录审计</x:t>
        </x:is>
      </x:c>
    </x:row>
    <x:row r="275" ht="22" customHeight="1">
      <x:c r="A275" s="595" t="inlineStr">
        <x:is>
          <x:t xml:space="preserve">2026-09-19</x:t>
        </x:is>
      </x:c>
      <x:c r="B275" s="595" t="inlineStr">
        <x:is>
          <x:t xml:space="preserve">2026-09-20 07:00</x:t>
        </x:is>
      </x:c>
      <x:c r="C275" s="595" t="str">
        <x:v>北美系列</x:v>
      </x:c>
      <x:c r="D275" s="595" t="inlineStr">
        <x:is>
          <x:t xml:space="preserve">联赛</x:t>
        </x:is>
      </x:c>
      <x:c r="E275" s="595" t="inlineStr">
        <x:is>
          <x:t xml:space="preserve">哥斯甲春</x:t>
        </x:is>
      </x:c>
      <x:c r="F275" s="595" t="inlineStr">
        <x:is>
          <x:t xml:space="preserve">普塔雷纳斯 vs 贝伦蝎子</x:t>
        </x:is>
      </x:c>
      <x:c r="G275" s="596" t="n">
        <x:v>0.8</x:v>
      </x:c>
      <x:c r="H275" s="596" t="n">
        <x:v>0.75</x:v>
      </x:c>
      <x:c r="I275" s="596" t="n">
        <x:v>1.06</x:v>
      </x:c>
      <x:c r="J275" s="596" t="inlineStr">
        <x:is>
          <x:t xml:space="preserve">0.80/0.75/1.06</x:t>
        </x:is>
      </x:c>
      <x:c r="K275" s="595" t="inlineStr">
        <x:is>
          <x:t xml:space="preserve">V4-C｜EV +0.0390</x:t>
        </x:is>
      </x:c>
      <x:c r="L275" s="595" t="inlineStr">
        <x:is>
          <x:t xml:space="preserve">贝伦蝎子</x:t>
        </x:is>
      </x:c>
      <x:c r="M275" s="597" t="n">
        <x:v>0.5071770334928229</x:v>
      </x:c>
      <x:c r="N275" s="595" t="inlineStr">
        <x:is>
          <x:t xml:space="preserve">V4纸面入选-C</x:t>
        </x:is>
      </x:c>
      <x:c r="O275" s="595" t="inlineStr">
        <x:is>
          <x:t xml:space="preserve">1-0</x:t>
        </x:is>
      </x:c>
      <x:c r="P275" s="595" t="inlineStr">
        <x:is>
          <x:t xml:space="preserve">已结算</x:t>
        </x:is>
      </x:c>
      <x:c r="Q275" s="643" t="inlineStr">
        <x:is>
          <x:t xml:space="preserve">半黑</x:t>
        </x:is>
      </x:c>
      <x:c r="R275" s="599" t="n">
        <x:v>1.06</x:v>
      </x:c>
      <x:c r="S275" s="599" t="n">
        <x:f>IF(OR(Q275="",Q275="待结算"),"",IF(Q275="红",R275,IF(Q275="半红",R275*0.5,IF(Q275="走",0,IF(Q275="半黑",-0.5,-1)))))</x:f>
        <x:v>-0.5</x:v>
      </x:c>
      <x:c r="T275" s="595" t="inlineStr">
        <x:is>
          <x:t xml:space="preserve">https://assets.nacion.com/puro-deporte/futbol/puntarenas-vuelve-a-ganar-en-la-olla-magica-y/QE5E5DSIHNAUZHT2DUDD3YK22E/story/</x:t>
        </x:is>
      </x:c>
      <x:c r="U275" s="642" t="str">
        <x:f>IF(Q275="","",IF(Q275="待结算","待结算",IF(Q275="红","黑",IF(Q275="半红","半黑",IF(Q275="走","走",IF(Q275="半黑","半红","红"))))))</x:f>
        <x:v>半红</x:v>
      </x:c>
      <x:c r="V275" s="599" t="n">
        <x:f>IF(OR(Q275="",Q275="待结算"),"",IF(L275=LEFT(F275,FIND(" vs ",F275)-1),I275,G275))</x:f>
        <x:v>0.8</x:v>
      </x:c>
      <x:c r="W275" s="599" t="n">
        <x:f>IF(OR(U275="",U275="待结算"),"",IF(U275="红",V275,IF(U275="半红",V275*0.5,IF(U275="走",0,IF(U275="半黑",-0.5,-1)))))</x:f>
        <x:v>0.4</x:v>
      </x:c>
      <x:c r="X275" s="595" t="inlineStr">
        <x:is>
          <x:t xml:space="preserve">3042562</x:t>
        </x:is>
      </x:c>
      <x:c r="Y275" s="595" t="inlineStr">
        <x:is>
          <x:t xml:space="preserve">v4-market-dirichlet-20260913</x:t>
        </x:is>
      </x:c>
      <x:c r="Z275" s="595" t="inlineStr">
        <x:is>
          <x:t xml:space="preserve">prior-2026-09-19-v1</x:t>
        </x:is>
      </x:c>
      <x:c r="AA275" s="595" t="inlineStr">
        <x:is>
          <x:t xml:space="preserve">C</x:t>
        </x:is>
      </x:c>
      <x:c r="AB275" s="600" t="n">
        <x:v>0.4416666666666667</x:v>
      </x:c>
      <x:c r="AC275" s="600" t="n">
        <x:v>0</x:v>
      </x:c>
      <x:c r="AD275" s="600" t="n">
        <x:v>0</x:v>
      </x:c>
      <x:c r="AE275" s="600" t="n">
        <x:v>0.2583333333333334</x:v>
      </x:c>
      <x:c r="AF275" s="600" t="n">
        <x:v>0.3</x:v>
      </x:c>
      <x:c r="AG275" s="600" t="n">
        <x:v>0.03899999999999998</x:v>
      </x:c>
      <x:c r="AH275" s="600" t="n">
        <x:v>-0.1003672979876525</x:v>
      </x:c>
      <x:c r="AI275" s="600" t="n">
        <x:v>-0.06828118183056098</x:v>
      </x:c>
      <x:c r="AJ275" s="600" t="n">
        <x:v>0.03890338336305754</x:v>
      </x:c>
      <x:c r="AK275" s="600" t="n">
        <x:v>0.1489779782694298</x:v>
      </x:c>
      <x:c r="AL275" s="600" t="n">
        <x:v>0.177449674897292</x:v>
      </x:c>
      <x:c r="AM275" s="600" t="n">
        <x:v>0.6820000000000001</x:v>
      </x:c>
      <x:c r="AN275" s="595" t="inlineStr">
        <x:is>
          <x:t xml:space="preserve">EVALUATED</x:t>
        </x:is>
      </x:c>
      <x:c r="AO275" s="600" t="inlineStr">
        <x:is>
          <x:t xml:space="preserve">BUCKET_0.75、SIDE_IDENTITY_VALID、FLAT_LINE_GIVING_WATER_DROP</x:t>
        </x:is>
      </x:c>
      <x:c r="AP275" s="600" t="inlineStr">
        <x:is>
          <x:t xml:space="preserve">cef0046d5faf2cd078e1</x:t>
        </x:is>
      </x:c>
      <x:c r="AQ275" s="600" t="n">
        <x:v>0.75</x:v>
      </x:c>
      <x:c r="AR275" s="600" t="n">
        <x:v>1.06</x:v>
      </x:c>
      <x:c r="AS275" s="600" t="n">
        <x:v>-0.75</x:v>
      </x:c>
      <x:c r="AT275" s="600" t="n">
        <x:v>0.75</x:v>
      </x:c>
      <x:c r="AU275" s="600" t="n">
        <x:v>0.8</x:v>
      </x:c>
      <x:c r="AV275" s="600" t="n">
        <x:v>1.06</x:v>
      </x:c>
      <x:c r="AW275" s="595" t="n">
        <x:v>46284.25887726852</x:v>
      </x:c>
      <x:c r="AX275" s="595" t="inlineStr">
        <x:is>
          <x:t xml:space="preserve">https://simondongxiao.github.io/odds/v4/</x:t>
        </x:is>
      </x:c>
      <x:c r="AY275" s="595" t="inlineStr">
        <x:is>
          <x:t xml:space="preserve">V4 Shadow Only；real_money=false；比分差异详见记录审计</x:t>
        </x:is>
      </x:c>
    </x:row>
    <x:row r="276" ht="22" customHeight="1">
      <x:c r="A276" s="595" t="inlineStr">
        <x:is>
          <x:t xml:space="preserve">2026-09-19</x:t>
        </x:is>
      </x:c>
      <x:c r="B276" s="595" t="inlineStr">
        <x:is>
          <x:t xml:space="preserve">2026-09-20 07:00</x:t>
        </x:is>
      </x:c>
      <x:c r="C276" s="595" t="str">
        <x:v>北美系列</x:v>
      </x:c>
      <x:c r="D276" s="595" t="inlineStr">
        <x:is>
          <x:t xml:space="preserve">联赛</x:t>
        </x:is>
      </x:c>
      <x:c r="E276" s="595" t="inlineStr">
        <x:is>
          <x:t xml:space="preserve">美冠联</x:t>
        </x:is>
      </x:c>
      <x:c r="F276" s="595" t="inlineStr">
        <x:is>
          <x:t xml:space="preserve">列克星敦 vs 奥兰治县布鲁斯</x:t>
        </x:is>
      </x:c>
      <x:c r="G276" s="596" t="n">
        <x:v>0.88</x:v>
      </x:c>
      <x:c r="H276" s="596" t="n">
        <x:v>1</x:v>
      </x:c>
      <x:c r="I276" s="596" t="n">
        <x:v>0.88</x:v>
      </x:c>
      <x:c r="J276" s="596" t="inlineStr">
        <x:is>
          <x:t xml:space="preserve">0.88/1/0.88</x:t>
        </x:is>
      </x:c>
      <x:c r="K276" s="595" t="inlineStr">
        <x:is>
          <x:t xml:space="preserve">V4-C｜EV +0.0153</x:t>
        </x:is>
      </x:c>
      <x:c r="L276" s="595" t="inlineStr">
        <x:is>
          <x:t xml:space="preserve">奥兰治县布鲁斯</x:t>
        </x:is>
      </x:c>
      <x:c r="M276" s="597" t="n">
        <x:v>0.5423728813559322</x:v>
      </x:c>
      <x:c r="N276" s="595" t="inlineStr">
        <x:is>
          <x:t xml:space="preserve">V4纸面入选-C</x:t>
        </x:is>
      </x:c>
      <x:c r="O276" s="595" t="inlineStr">
        <x:is>
          <x:t xml:space="preserve">6-0</x:t>
        </x:is>
      </x:c>
      <x:c r="P276" s="595" t="inlineStr">
        <x:is>
          <x:t xml:space="preserve">已结算</x:t>
        </x:is>
      </x:c>
      <x:c r="Q276" s="641" t="inlineStr">
        <x:is>
          <x:t xml:space="preserve">黑</x:t>
        </x:is>
      </x:c>
      <x:c r="R276" s="599" t="n">
        <x:v>0.88</x:v>
      </x:c>
      <x:c r="S276" s="599" t="n">
        <x:f>IF(OR(Q276="",Q276="待结算"),"",IF(Q276="红",R276,IF(Q276="半红",R276*0.5,IF(Q276="走",0,IF(Q276="半黑",-0.5,-1)))))</x:f>
        <x:v>-1</x:v>
      </x:c>
      <x:c r="T276" s="595" t="inlineStr">
        <x:is>
          <x:t xml:space="preserve">https://www.oursportscentral.com/services/releases/lexington-sporting-club-blanked-6-0-by-orange-county-sc/n-6414915</x:t>
        </x:is>
      </x:c>
      <x:c r="U276" s="640" t="str">
        <x:f>IF(Q276="","",IF(Q276="待结算","待结算",IF(Q276="红","黑",IF(Q276="半红","半黑",IF(Q276="走","走",IF(Q276="半黑","半红","红"))))))</x:f>
        <x:v>红</x:v>
      </x:c>
      <x:c r="V276" s="599" t="n">
        <x:f>IF(OR(Q276="",Q276="待结算"),"",IF(L276=LEFT(F276,FIND(" vs ",F276)-1),I276,G276))</x:f>
        <x:v>0.88</x:v>
      </x:c>
      <x:c r="W276" s="599" t="n">
        <x:f>IF(OR(U276="",U276="待结算"),"",IF(U276="红",V276,IF(U276="半红",V276*0.5,IF(U276="走",0,IF(U276="半黑",-0.5,-1)))))</x:f>
        <x:v>0.88</x:v>
      </x:c>
      <x:c r="X276" s="595" t="inlineStr">
        <x:is>
          <x:t xml:space="preserve">2942623</x:t>
        </x:is>
      </x:c>
      <x:c r="Y276" s="595" t="inlineStr">
        <x:is>
          <x:t xml:space="preserve">v4-market-dirichlet-20260913</x:t>
        </x:is>
      </x:c>
      <x:c r="Z276" s="595" t="inlineStr">
        <x:is>
          <x:t xml:space="preserve">prior-2026-09-19-v1</x:t>
        </x:is>
      </x:c>
      <x:c r="AA276" s="595" t="inlineStr">
        <x:is>
          <x:t xml:space="preserve">C</x:t>
        </x:is>
      </x:c>
      <x:c r="AB276" s="600" t="n">
        <x:v>0.4210526315789473</x:v>
      </x:c>
      <x:c r="AC276" s="600" t="n">
        <x:v>0</x:v>
      </x:c>
      <x:c r="AD276" s="600" t="n">
        <x:v>0.2236842105263158</x:v>
      </x:c>
      <x:c r="AE276" s="600" t="n">
        <x:v>0</x:v>
      </x:c>
      <x:c r="AF276" s="600" t="n">
        <x:v>0.3552631578947368</x:v>
      </x:c>
      <x:c r="AG276" s="600" t="n">
        <x:v>0.01526315789473681</x:v>
      </x:c>
      <x:c r="AH276" s="600" t="n">
        <x:v>-0.1446462371418512</x:v>
      </x:c>
      <x:c r="AI276" s="600" t="n">
        <x:v>-0.106991075467239</x:v>
      </x:c>
      <x:c r="AJ276" s="600" t="n">
        <x:v>0.01698768824920838</x:v>
      </x:c>
      <x:c r="AK276" s="600" t="n">
        <x:v>0.1392656204642041</x:v>
      </x:c>
      <x:c r="AL276" s="600" t="n">
        <x:v>0.1705534152973928</x:v>
      </x:c>
      <x:c r="AM276" s="600" t="n">
        <x:v>0.5736</x:v>
      </x:c>
      <x:c r="AN276" s="595" t="inlineStr">
        <x:is>
          <x:t xml:space="preserve">EVALUATED</x:t>
        </x:is>
      </x:c>
      <x:c r="AO276" s="600" t="inlineStr">
        <x:is>
          <x:t xml:space="preserve">BUCKET_1.00、SIDE_IDENTITY_VALID、FLAT_LINE_GIVING_WATER_DROP</x:t>
        </x:is>
      </x:c>
      <x:c r="AP276" s="600" t="inlineStr">
        <x:is>
          <x:t xml:space="preserve">e1b5c4d2456566eda0da</x:t>
        </x:is>
      </x:c>
      <x:c r="AQ276" s="600" t="n">
        <x:v>1</x:v>
      </x:c>
      <x:c r="AR276" s="600" t="n">
        <x:v>0.88</x:v>
      </x:c>
      <x:c r="AS276" s="600" t="n">
        <x:v>-1</x:v>
      </x:c>
      <x:c r="AT276" s="600" t="n">
        <x:v>1</x:v>
      </x:c>
      <x:c r="AU276" s="600" t="n">
        <x:v>0.88</x:v>
      </x:c>
      <x:c r="AV276" s="600" t="n">
        <x:v>0.88</x:v>
      </x:c>
      <x:c r="AW276" s="595" t="n">
        <x:v>46284.25887726852</x:v>
      </x:c>
      <x:c r="AX276" s="595" t="inlineStr">
        <x:is>
          <x:t xml:space="preserve">https://simondongxiao.github.io/odds/v4/</x:t>
        </x:is>
      </x:c>
      <x:c r="AY276" s="595" t="inlineStr">
        <x:is>
          <x:t xml:space="preserve">V4 Shadow Only；real_money=false；比分差异详见记录审计</x:t>
        </x:is>
      </x:c>
    </x:row>
    <x:row r="277" ht="22" customHeight="1">
      <x:c r="A277" s="595" t="inlineStr">
        <x:is>
          <x:t xml:space="preserve">2026-09-19</x:t>
        </x:is>
      </x:c>
      <x:c r="B277" s="595" t="inlineStr">
        <x:is>
          <x:t xml:space="preserve">2026-09-20 07:10</x:t>
        </x:is>
      </x:c>
      <x:c r="C277" s="595" t="str">
        <x:v>南美系列</x:v>
      </x:c>
      <x:c r="D277" s="595" t="inlineStr">
        <x:is>
          <x:t xml:space="preserve">联赛</x:t>
        </x:is>
      </x:c>
      <x:c r="E277" s="595" t="inlineStr">
        <x:is>
          <x:t xml:space="preserve">哥伦甲秋</x:t>
        </x:is>
      </x:c>
      <x:c r="F277" s="595" t="inlineStr">
        <x:is>
          <x:t xml:space="preserve">卡利体育会 vs 侨卡巴</x:t>
        </x:is>
      </x:c>
      <x:c r="G277" s="596" t="n">
        <x:v>0.93</x:v>
      </x:c>
      <x:c r="H277" s="596" t="n">
        <x:v>1</x:v>
      </x:c>
      <x:c r="I277" s="596" t="n">
        <x:v>0.89</x:v>
      </x:c>
      <x:c r="J277" s="596" t="inlineStr">
        <x:is>
          <x:t xml:space="preserve">0.93/1/0.89</x:t>
        </x:is>
      </x:c>
      <x:c r="K277" s="595" t="inlineStr">
        <x:is>
          <x:t xml:space="preserve">V4-C｜EV +0.0195</x:t>
        </x:is>
      </x:c>
      <x:c r="L277" s="595" t="inlineStr">
        <x:is>
          <x:t xml:space="preserve">侨卡巴</x:t>
        </x:is>
      </x:c>
      <x:c r="M277" s="597" t="n">
        <x:v>0.5423728813559322</x:v>
      </x:c>
      <x:c r="N277" s="595" t="inlineStr">
        <x:is>
          <x:t xml:space="preserve">V4纸面入选-C</x:t>
        </x:is>
      </x:c>
      <x:c r="O277" s="595" t="inlineStr">
        <x:is>
          <x:t xml:space="preserve">3-0</x:t>
        </x:is>
      </x:c>
      <x:c r="P277" s="595" t="inlineStr">
        <x:is>
          <x:t xml:space="preserve">已结算</x:t>
        </x:is>
      </x:c>
      <x:c r="Q277" s="641" t="inlineStr">
        <x:is>
          <x:t xml:space="preserve">黑</x:t>
        </x:is>
      </x:c>
      <x:c r="R277" s="599" t="n">
        <x:v>0.89</x:v>
      </x:c>
      <x:c r="S277" s="599" t="n">
        <x:f>IF(OR(Q277="",Q277="待结算"),"",IF(Q277="红",R277,IF(Q277="半红",R277*0.5,IF(Q277="走",0,IF(Q277="半黑",-0.5,-1)))))</x:f>
        <x:v>-1</x:v>
      </x:c>
      <x:c r="T277" s="595" t="inlineStr">
        <x:is>
          <x:t xml:space="preserve">https://m.17500.cn/zq/data-team/course-14891-0-0</x:t>
        </x:is>
      </x:c>
      <x:c r="U277" s="640" t="str">
        <x:f>IF(Q277="","",IF(Q277="待结算","待结算",IF(Q277="红","黑",IF(Q277="半红","半黑",IF(Q277="走","走",IF(Q277="半黑","半红","红"))))))</x:f>
        <x:v>红</x:v>
      </x:c>
      <x:c r="V277" s="599" t="n">
        <x:f>IF(OR(Q277="",Q277="待结算"),"",IF(L277=LEFT(F277,FIND(" vs ",F277)-1),I277,G277))</x:f>
        <x:v>0.93</x:v>
      </x:c>
      <x:c r="W277" s="599" t="n">
        <x:f>IF(OR(U277="",U277="待结算"),"",IF(U277="红",V277,IF(U277="半红",V277*0.5,IF(U277="走",0,IF(U277="半黑",-0.5,-1)))))</x:f>
        <x:v>0.93</x:v>
      </x:c>
      <x:c r="X277" s="595" t="inlineStr">
        <x:is>
          <x:t xml:space="preserve">3011860</x:t>
        </x:is>
      </x:c>
      <x:c r="Y277" s="595" t="inlineStr">
        <x:is>
          <x:t xml:space="preserve">v4-market-dirichlet-20260913</x:t>
        </x:is>
      </x:c>
      <x:c r="Z277" s="595" t="inlineStr">
        <x:is>
          <x:t xml:space="preserve">prior-2026-09-19-v1</x:t>
        </x:is>
      </x:c>
      <x:c r="AA277" s="595" t="inlineStr">
        <x:is>
          <x:t xml:space="preserve">C</x:t>
        </x:is>
      </x:c>
      <x:c r="AB277" s="600" t="n">
        <x:v>0.4210526315789473</x:v>
      </x:c>
      <x:c r="AC277" s="600" t="n">
        <x:v>0</x:v>
      </x:c>
      <x:c r="AD277" s="600" t="n">
        <x:v>0.2236842105263158</x:v>
      </x:c>
      <x:c r="AE277" s="600" t="n">
        <x:v>0</x:v>
      </x:c>
      <x:c r="AF277" s="600" t="n">
        <x:v>0.3552631578947368</x:v>
      </x:c>
      <x:c r="AG277" s="600" t="n">
        <x:v>0.01947368421052631</x:v>
      </x:c>
      <x:c r="AH277" s="600" t="n">
        <x:v>-0.1363352215628577</x:v>
      </x:c>
      <x:c r="AI277" s="600" t="n">
        <x:v>-0.1022661873256396</x:v>
      </x:c>
      <x:c r="AJ277" s="600" t="n">
        <x:v>0.01882887106259901</x:v>
      </x:c>
      <x:c r="AK277" s="600" t="n">
        <x:v>0.1426460475839654</x:v>
      </x:c>
      <x:c r="AL277" s="600" t="n">
        <x:v>0.1727842055185105</x:v>
      </x:c>
      <x:c r="AM277" s="600" t="n">
        <x:v>0.5826</x:v>
      </x:c>
      <x:c r="AN277" s="595" t="inlineStr">
        <x:is>
          <x:t xml:space="preserve">EVALUATED</x:t>
        </x:is>
      </x:c>
      <x:c r="AO277" s="600" t="inlineStr">
        <x:is>
          <x:t xml:space="preserve">BUCKET_1.00、SIDE_IDENTITY_VALID、FLAT_LINE_GIVING_WATER_RISE</x:t>
        </x:is>
      </x:c>
      <x:c r="AP277" s="600" t="inlineStr">
        <x:is>
          <x:t xml:space="preserve">c440994afd1e01d42d14</x:t>
        </x:is>
      </x:c>
      <x:c r="AQ277" s="600" t="n">
        <x:v>1</x:v>
      </x:c>
      <x:c r="AR277" s="600" t="n">
        <x:v>0.89</x:v>
      </x:c>
      <x:c r="AS277" s="600" t="n">
        <x:v>-1</x:v>
      </x:c>
      <x:c r="AT277" s="600" t="n">
        <x:v>1</x:v>
      </x:c>
      <x:c r="AU277" s="600" t="n">
        <x:v>0.93</x:v>
      </x:c>
      <x:c r="AV277" s="600" t="n">
        <x:v>0.89</x:v>
      </x:c>
      <x:c r="AW277" s="595" t="n">
        <x:v>46284.25887726852</x:v>
      </x:c>
      <x:c r="AX277" s="595" t="inlineStr">
        <x:is>
          <x:t xml:space="preserve">https://simondongxiao.github.io/odds/v4/</x:t>
        </x:is>
      </x:c>
      <x:c r="AY277" s="595" t="inlineStr">
        <x:is>
          <x:t xml:space="preserve">V4 Shadow Only；real_money=false；比分差异详见记录审计</x:t>
        </x:is>
      </x:c>
    </x:row>
    <x:row r="278" ht="22" customHeight="1">
      <x:c r="A278" s="595" t="inlineStr">
        <x:is>
          <x:t xml:space="preserve">2026-09-19</x:t>
        </x:is>
      </x:c>
      <x:c r="B278" s="595" t="inlineStr">
        <x:is>
          <x:t xml:space="preserve">2026-09-20 07:30</x:t>
        </x:is>
      </x:c>
      <x:c r="C278" s="595" t="str">
        <x:v>北美系列</x:v>
      </x:c>
      <x:c r="D278" s="595" t="inlineStr">
        <x:is>
          <x:t xml:space="preserve">联赛</x:t>
        </x:is>
      </x:c>
      <x:c r="E278" s="595" t="inlineStr">
        <x:is>
          <x:t xml:space="preserve">美职业</x:t>
        </x:is>
      </x:c>
      <x:c r="F278" s="595" t="inlineStr">
        <x:is>
          <x:t xml:space="preserve">华盛顿联 vs 夏洛特FC</x:t>
        </x:is>
      </x:c>
      <x:c r="G278" s="596" t="n">
        <x:v>0.87</x:v>
      </x:c>
      <x:c r="H278" s="596" t="n">
        <x:v>-0.25</x:v>
      </x:c>
      <x:c r="I278" s="596" t="n">
        <x:v>1.02</x:v>
      </x:c>
      <x:c r="J278" s="596" t="inlineStr">
        <x:is>
          <x:t xml:space="preserve">0.87/-0.25/1.02</x:t>
        </x:is>
      </x:c>
      <x:c r="K278" s="595" t="inlineStr">
        <x:is>
          <x:t xml:space="preserve">V4-C｜EV +0.0067</x:t>
        </x:is>
      </x:c>
      <x:c r="L278" s="595" t="inlineStr">
        <x:is>
          <x:t xml:space="preserve">夏洛特FC</x:t>
        </x:is>
      </x:c>
      <x:c r="M278" s="597" t="n">
        <x:v>0.4989775051124744</x:v>
      </x:c>
      <x:c r="N278" s="595" t="inlineStr">
        <x:is>
          <x:t xml:space="preserve">V4纸面入选-C</x:t>
        </x:is>
      </x:c>
      <x:c r="O278" s="595" t="inlineStr">
        <x:is>
          <x:t xml:space="preserve">1-2</x:t>
        </x:is>
      </x:c>
      <x:c r="P278" s="595" t="inlineStr">
        <x:is>
          <x:t xml:space="preserve">已结算</x:t>
        </x:is>
      </x:c>
      <x:c r="Q278" s="640" t="inlineStr">
        <x:is>
          <x:t xml:space="preserve">红</x:t>
        </x:is>
      </x:c>
      <x:c r="R278" s="599" t="n">
        <x:v>1.02</x:v>
      </x:c>
      <x:c r="S278" s="599" t="n">
        <x:f>IF(OR(Q278="",Q278="待结算"),"",IF(Q278="红",R278,IF(Q278="半红",R278*0.5,IF(Q278="走",0,IF(Q278="半黑",-0.5,-1)))))</x:f>
        <x:v>1.02</x:v>
      </x:c>
      <x:c r="T278" s="595" t="inlineStr">
        <x:is>
          <x:t xml:space="preserve">https://www.thescore.com/mls/event/93527</x:t>
        </x:is>
      </x:c>
      <x:c r="U278" s="641" t="str">
        <x:f>IF(Q278="","",IF(Q278="待结算","待结算",IF(Q278="红","黑",IF(Q278="半红","半黑",IF(Q278="走","走",IF(Q278="半黑","半红","红"))))))</x:f>
        <x:v>黑</x:v>
      </x:c>
      <x:c r="V278" s="599" t="n">
        <x:f>IF(OR(Q278="",Q278="待结算"),"",IF(L278=LEFT(F278,FIND(" vs ",F278)-1),I278,G278))</x:f>
        <x:v>0.87</x:v>
      </x:c>
      <x:c r="W278" s="599" t="n">
        <x:f>IF(OR(U278="",U278="待结算"),"",IF(U278="红",V278,IF(U278="半红",V278*0.5,IF(U278="走",0,IF(U278="半黑",-0.5,-1)))))</x:f>
        <x:v>-1</x:v>
      </x:c>
      <x:c r="X278" s="595" t="inlineStr">
        <x:is>
          <x:t xml:space="preserve">2908790</x:t>
        </x:is>
      </x:c>
      <x:c r="Y278" s="595" t="inlineStr">
        <x:is>
          <x:t xml:space="preserve">v4-market-dirichlet-20260913</x:t>
        </x:is>
      </x:c>
      <x:c r="Z278" s="595" t="inlineStr">
        <x:is>
          <x:t xml:space="preserve">prior-2026-09-19-v1</x:t>
        </x:is>
      </x:c>
      <x:c r="AA278" s="595" t="inlineStr">
        <x:is>
          <x:t xml:space="preserve">C</x:t>
        </x:is>
      </x:c>
      <x:c r="AB278" s="600" t="n">
        <x:v>0.4236111111111111</x:v>
      </x:c>
      <x:c r="AC278" s="600" t="n">
        <x:v>0</x:v>
      </x:c>
      <x:c r="AD278" s="600" t="n">
        <x:v>0</x:v>
      </x:c>
      <x:c r="AE278" s="600" t="n">
        <x:v>0.3020833333333333</x:v>
      </x:c>
      <x:c r="AF278" s="600" t="n">
        <x:v>0.2743055555555556</x:v>
      </x:c>
      <x:c r="AG278" s="600" t="n">
        <x:v>0.006736111111111054</x:v>
      </x:c>
      <x:c r="AH278" s="600" t="n">
        <x:v>-0.07749621718540287</x:v>
      </x:c>
      <x:c r="AI278" s="600" t="n">
        <x:v>-0.05988886269189495</x:v>
      </x:c>
      <x:c r="AJ278" s="600" t="n">
        <x:v>0.00622808067136299</x:v>
      </x:c>
      <x:c r="AK278" s="600" t="n">
        <x:v>0.07282485474874922</x:v>
      </x:c>
      <x:c r="AL278" s="600" t="n">
        <x:v>0.09025790174286058</x:v>
      </x:c>
      <x:c r="AM278" s="600" t="n">
        <x:v>0.547</x:v>
      </x:c>
      <x:c r="AN278" s="595" t="inlineStr">
        <x:is>
          <x:t xml:space="preserve">EVALUATED</x:t>
        </x:is>
      </x:c>
      <x:c r="AO278" s="600" t="inlineStr">
        <x:is>
          <x:t xml:space="preserve">BUCKET_0.25、SIDE_IDENTITY_VALID、MARKET_MOVE_DEEPER_WITH_GIVING_WATER_RISE</x:t>
        </x:is>
      </x:c>
      <x:c r="AP278" s="600" t="inlineStr">
        <x:is>
          <x:t xml:space="preserve">6dfda0473897ccf16ee6</x:t>
        </x:is>
      </x:c>
      <x:c r="AQ278" s="600" t="n">
        <x:v>-0.25</x:v>
      </x:c>
      <x:c r="AR278" s="600" t="n">
        <x:v>1.02</x:v>
      </x:c>
      <x:c r="AS278" s="600" t="n">
        <x:v>0.25</x:v>
      </x:c>
      <x:c r="AT278" s="600" t="n">
        <x:v>-0.25</x:v>
      </x:c>
      <x:c r="AU278" s="600" t="n">
        <x:v>0.87</x:v>
      </x:c>
      <x:c r="AV278" s="600" t="n">
        <x:v>1.02</x:v>
      </x:c>
      <x:c r="AW278" s="595" t="n">
        <x:v>46284.25887726852</x:v>
      </x:c>
      <x:c r="AX278" s="595" t="inlineStr">
        <x:is>
          <x:t xml:space="preserve">https://simondongxiao.github.io/odds/v4/</x:t>
        </x:is>
      </x:c>
      <x:c r="AY278" s="595" t="inlineStr">
        <x:is>
          <x:t xml:space="preserve">V4 Shadow Only；real_money=false；比分差异详见记录审计</x:t>
        </x:is>
      </x:c>
    </x:row>
    <x:row r="279" ht="22" customHeight="1">
      <x:c r="A279" s="595" t="inlineStr">
        <x:is>
          <x:t xml:space="preserve">2026-09-19</x:t>
        </x:is>
      </x:c>
      <x:c r="B279" s="595" t="inlineStr">
        <x:is>
          <x:t xml:space="preserve">2026-09-20 07:30</x:t>
        </x:is>
      </x:c>
      <x:c r="C279" s="595" t="str">
        <x:v>南美系列</x:v>
      </x:c>
      <x:c r="D279" s="595" t="inlineStr">
        <x:is>
          <x:t xml:space="preserve">联赛</x:t>
        </x:is>
      </x:c>
      <x:c r="E279" s="595" t="inlineStr">
        <x:is>
          <x:t xml:space="preserve">巴西甲</x:t>
        </x:is>
      </x:c>
      <x:c r="F279" s="595" t="inlineStr">
        <x:is>
          <x:t xml:space="preserve">瓦斯科达伽马 vs 科里蒂巴</x:t>
        </x:is>
      </x:c>
      <x:c r="G279" s="596" t="n">
        <x:v>0.8100000000000001</x:v>
      </x:c>
      <x:c r="H279" s="596" t="n">
        <x:v>1</x:v>
      </x:c>
      <x:c r="I279" s="596" t="n">
        <x:v>1.08</x:v>
      </x:c>
      <x:c r="J279" s="596" t="inlineStr">
        <x:is>
          <x:t xml:space="preserve">0.81/1/1.08</x:t>
        </x:is>
      </x:c>
      <x:c r="K279" s="595" t="inlineStr">
        <x:is>
          <x:t xml:space="preserve">V4-C｜EV +0.0995</x:t>
        </x:is>
      </x:c>
      <x:c r="L279" s="595" t="inlineStr">
        <x:is>
          <x:t xml:space="preserve">科里蒂巴</x:t>
        </x:is>
      </x:c>
      <x:c r="M279" s="597" t="n">
        <x:v>0.5423728813559322</x:v>
      </x:c>
      <x:c r="N279" s="595" t="inlineStr">
        <x:is>
          <x:t xml:space="preserve">V4纸面入选-C</x:t>
        </x:is>
      </x:c>
      <x:c r="O279" s="595" t="inlineStr">
        <x:is>
          <x:t xml:space="preserve">5-0</x:t>
        </x:is>
      </x:c>
      <x:c r="P279" s="595" t="inlineStr">
        <x:is>
          <x:t xml:space="preserve">已结算</x:t>
        </x:is>
      </x:c>
      <x:c r="Q279" s="641" t="inlineStr">
        <x:is>
          <x:t xml:space="preserve">黑</x:t>
        </x:is>
      </x:c>
      <x:c r="R279" s="599" t="n">
        <x:v>1.08</x:v>
      </x:c>
      <x:c r="S279" s="599" t="n">
        <x:f>IF(OR(Q279="",Q279="待结算"),"",IF(Q279="红",R279,IF(Q279="半红",R279*0.5,IF(Q279="走",0,IF(Q279="半黑",-0.5,-1)))))</x:f>
        <x:v>-1</x:v>
      </x:c>
      <x:c r="T279" s="595" t="inlineStr">
        <x:is>
          <x:t xml:space="preserve">https://www.qiumiwu.com/news/2007162969213</x:t>
        </x:is>
      </x:c>
      <x:c r="U279" s="640" t="str">
        <x:f>IF(Q279="","",IF(Q279="待结算","待结算",IF(Q279="红","黑",IF(Q279="半红","半黑",IF(Q279="走","走",IF(Q279="半黑","半红","红"))))))</x:f>
        <x:v>红</x:v>
      </x:c>
      <x:c r="V279" s="599" t="n">
        <x:f>IF(OR(Q279="",Q279="待结算"),"",IF(L279=LEFT(F279,FIND(" vs ",F279)-1),I279,G279))</x:f>
        <x:v>0.81</x:v>
      </x:c>
      <x:c r="W279" s="599" t="n">
        <x:f>IF(OR(U279="",U279="待结算"),"",IF(U279="红",V279,IF(U279="半红",V279*0.5,IF(U279="走",0,IF(U279="半黑",-0.5,-1)))))</x:f>
        <x:v>0.81</x:v>
      </x:c>
      <x:c r="X279" s="595" t="inlineStr">
        <x:is>
          <x:t xml:space="preserve">2910905</x:t>
        </x:is>
      </x:c>
      <x:c r="Y279" s="595" t="inlineStr">
        <x:is>
          <x:t xml:space="preserve">v4-market-dirichlet-20260913</x:t>
        </x:is>
      </x:c>
      <x:c r="Z279" s="595" t="inlineStr">
        <x:is>
          <x:t xml:space="preserve">prior-2026-09-19-v1</x:t>
        </x:is>
      </x:c>
      <x:c r="AA279" s="595" t="inlineStr">
        <x:is>
          <x:t xml:space="preserve">C</x:t>
        </x:is>
      </x:c>
      <x:c r="AB279" s="600" t="n">
        <x:v>0.4210526315789473</x:v>
      </x:c>
      <x:c r="AC279" s="600" t="n">
        <x:v>0</x:v>
      </x:c>
      <x:c r="AD279" s="600" t="n">
        <x:v>0.2236842105263158</x:v>
      </x:c>
      <x:c r="AE279" s="600" t="n">
        <x:v>0</x:v>
      </x:c>
      <x:c r="AF279" s="600" t="n">
        <x:v>0.3552631578947368</x:v>
      </x:c>
      <x:c r="AG279" s="600" t="n">
        <x:v>0.09947368421052633</x:v>
      </x:c>
      <x:c r="AH279" s="600" t="n">
        <x:v>-0.07206187387781088</x:v>
      </x:c>
      <x:c r="AI279" s="600" t="n">
        <x:v>-0.03546512561756388</x:v>
      </x:c>
      <x:c r="AJ279" s="600" t="n">
        <x:v>0.1015999093071808</x:v>
      </x:c>
      <x:c r="AK279" s="600" t="n">
        <x:v>0.2337678497041051</x:v>
      </x:c>
      <x:c r="AL279" s="600" t="n">
        <x:v>0.2710037969187086</x:v>
      </x:c>
      <x:c r="AM279" s="600" t="n">
        <x:v>0.8284</x:v>
      </x:c>
      <x:c r="AN279" s="595" t="inlineStr">
        <x:is>
          <x:t xml:space="preserve">EVALUATED</x:t>
        </x:is>
      </x:c>
      <x:c r="AO279" s="600" t="inlineStr">
        <x:is>
          <x:t xml:space="preserve">BUCKET_1.00、SIDE_IDENTITY_VALID、FLAT_LINE_GIVING_WATER_DROP</x:t>
        </x:is>
      </x:c>
      <x:c r="AP279" s="600" t="inlineStr">
        <x:is>
          <x:t xml:space="preserve">97fb3474d682fb232923</x:t>
        </x:is>
      </x:c>
      <x:c r="AQ279" s="600" t="n">
        <x:v>1</x:v>
      </x:c>
      <x:c r="AR279" s="600" t="n">
        <x:v>1.08</x:v>
      </x:c>
      <x:c r="AS279" s="600" t="n">
        <x:v>-1</x:v>
      </x:c>
      <x:c r="AT279" s="600" t="n">
        <x:v>1</x:v>
      </x:c>
      <x:c r="AU279" s="600" t="n">
        <x:v>0.8100000000000001</x:v>
      </x:c>
      <x:c r="AV279" s="600" t="n">
        <x:v>1.08</x:v>
      </x:c>
      <x:c r="AW279" s="595" t="n">
        <x:v>46284.25887726852</x:v>
      </x:c>
      <x:c r="AX279" s="595" t="inlineStr">
        <x:is>
          <x:t xml:space="preserve">https://simondongxiao.github.io/odds/v4/</x:t>
        </x:is>
      </x:c>
      <x:c r="AY279" s="595" t="inlineStr">
        <x:is>
          <x:t xml:space="preserve">V4 Shadow Only；real_money=false；比分差异详见记录审计</x:t>
        </x:is>
      </x:c>
    </x:row>
    <x:row r="280" ht="22" customHeight="1">
      <x:c r="A280" s="595" t="inlineStr">
        <x:is>
          <x:t xml:space="preserve">2026-09-19</x:t>
        </x:is>
      </x:c>
      <x:c r="B280" s="595" t="inlineStr">
        <x:is>
          <x:t xml:space="preserve">2026-09-20 08:30</x:t>
        </x:is>
      </x:c>
      <x:c r="C280" s="595" t="str">
        <x:v>北美系列</x:v>
      </x:c>
      <x:c r="D280" s="595" t="inlineStr">
        <x:is>
          <x:t xml:space="preserve">联赛</x:t>
        </x:is>
      </x:c>
      <x:c r="E280" s="595" t="inlineStr">
        <x:is>
          <x:t xml:space="preserve">美职业</x:t>
        </x:is>
      </x:c>
      <x:c r="F280" s="595" t="inlineStr">
        <x:is>
          <x:t xml:space="preserve">达拉斯FC vs 奥斯汀FC</x:t>
        </x:is>
      </x:c>
      <x:c r="G280" s="596" t="n">
        <x:v>0.9</x:v>
      </x:c>
      <x:c r="H280" s="596" t="n">
        <x:v>0.75</x:v>
      </x:c>
      <x:c r="I280" s="596" t="n">
        <x:v>0.99</x:v>
      </x:c>
      <x:c r="J280" s="596" t="inlineStr">
        <x:is>
          <x:t xml:space="preserve">0.90/0.75/0.99</x:t>
        </x:is>
      </x:c>
      <x:c r="K280" s="595" t="inlineStr">
        <x:is>
          <x:t xml:space="preserve">V4-C｜EV +0.0081</x:t>
        </x:is>
      </x:c>
      <x:c r="L280" s="595" t="inlineStr">
        <x:is>
          <x:t xml:space="preserve">奥斯汀FC</x:t>
        </x:is>
      </x:c>
      <x:c r="M280" s="597" t="n">
        <x:v>0.5071770334928229</x:v>
      </x:c>
      <x:c r="N280" s="595" t="inlineStr">
        <x:is>
          <x:t xml:space="preserve">V4纸面入选-C</x:t>
        </x:is>
      </x:c>
      <x:c r="O280" s="595" t="inlineStr">
        <x:is>
          <x:t xml:space="preserve">0-0</x:t>
        </x:is>
      </x:c>
      <x:c r="P280" s="595" t="inlineStr">
        <x:is>
          <x:t xml:space="preserve">已结算</x:t>
        </x:is>
      </x:c>
      <x:c r="Q280" s="640" t="inlineStr">
        <x:is>
          <x:t xml:space="preserve">红</x:t>
        </x:is>
      </x:c>
      <x:c r="R280" s="599" t="n">
        <x:v>0.99</x:v>
      </x:c>
      <x:c r="S280" s="599" t="n">
        <x:f>IF(OR(Q280="",Q280="待结算"),"",IF(Q280="红",R280,IF(Q280="半红",R280*0.5,IF(Q280="走",0,IF(Q280="半黑",-0.5,-1)))))</x:f>
        <x:v>0.99</x:v>
      </x:c>
      <x:c r="T280" s="595" t="inlineStr">
        <x:is>
          <x:t xml:space="preserve">https://zq.titan007.com/analysis/2908793cn.htm</x:t>
        </x:is>
      </x:c>
      <x:c r="U280" s="641" t="str">
        <x:f>IF(Q280="","",IF(Q280="待结算","待结算",IF(Q280="红","黑",IF(Q280="半红","半黑",IF(Q280="走","走",IF(Q280="半黑","半红","红"))))))</x:f>
        <x:v>黑</x:v>
      </x:c>
      <x:c r="V280" s="599" t="n">
        <x:f>IF(OR(Q280="",Q280="待结算"),"",IF(L280=LEFT(F280,FIND(" vs ",F280)-1),I280,G280))</x:f>
        <x:v>0.9</x:v>
      </x:c>
      <x:c r="W280" s="599" t="n">
        <x:f>IF(OR(U280="",U280="待结算"),"",IF(U280="红",V280,IF(U280="半红",V280*0.5,IF(U280="走",0,IF(U280="半黑",-0.5,-1)))))</x:f>
        <x:v>-1</x:v>
      </x:c>
      <x:c r="X280" s="595" t="inlineStr">
        <x:is>
          <x:t xml:space="preserve">2908793</x:t>
        </x:is>
      </x:c>
      <x:c r="Y280" s="595" t="inlineStr">
        <x:is>
          <x:t xml:space="preserve">v4-market-dirichlet-20260913</x:t>
        </x:is>
      </x:c>
      <x:c r="Z280" s="595" t="inlineStr">
        <x:is>
          <x:t xml:space="preserve">prior-2026-09-19-v1</x:t>
        </x:is>
      </x:c>
      <x:c r="AA280" s="595" t="inlineStr">
        <x:is>
          <x:t xml:space="preserve">C</x:t>
        </x:is>
      </x:c>
      <x:c r="AB280" s="600" t="n">
        <x:v>0.4416666666666667</x:v>
      </x:c>
      <x:c r="AC280" s="600" t="n">
        <x:v>0</x:v>
      </x:c>
      <x:c r="AD280" s="600" t="n">
        <x:v>0</x:v>
      </x:c>
      <x:c r="AE280" s="600" t="n">
        <x:v>0.2583333333333334</x:v>
      </x:c>
      <x:c r="AF280" s="600" t="n">
        <x:v>0.3</x:v>
      </x:c>
      <x:c r="AG280" s="600" t="n">
        <x:v>0.008083333333333276</x:v>
      </x:c>
      <x:c r="AH280" s="600" t="n">
        <x:v>-0.1191682817069765</x:v>
      </x:c>
      <x:c r="AI280" s="600" t="n">
        <x:v>-0.09117514215103539</x:v>
      </x:c>
      <x:c r="AJ280" s="600" t="n">
        <x:v>0.009724865988777309</x:v>
      </x:c>
      <x:c r="AK280" s="600" t="n">
        <x:v>0.1118080137800622</x:v>
      </x:c>
      <x:c r="AL280" s="600" t="n">
        <x:v>0.1421941390347063</x:v>
      </x:c>
      <x:c r="AM280" s="600" t="n">
        <x:v>0.5498</x:v>
      </x:c>
      <x:c r="AN280" s="595" t="inlineStr">
        <x:is>
          <x:t xml:space="preserve">EVALUATED</x:t>
        </x:is>
      </x:c>
      <x:c r="AO280" s="600" t="inlineStr">
        <x:is>
          <x:t xml:space="preserve">BUCKET_0.75、SIDE_IDENTITY_VALID、FLAT_LINE_GIVING_WATER_RISE</x:t>
        </x:is>
      </x:c>
      <x:c r="AP280" s="600" t="inlineStr">
        <x:is>
          <x:t xml:space="preserve">ab2286873ed55de2a427</x:t>
        </x:is>
      </x:c>
      <x:c r="AQ280" s="600" t="n">
        <x:v>0.75</x:v>
      </x:c>
      <x:c r="AR280" s="600" t="n">
        <x:v>0.99</x:v>
      </x:c>
      <x:c r="AS280" s="600" t="n">
        <x:v>-0.75</x:v>
      </x:c>
      <x:c r="AT280" s="600" t="n">
        <x:v>0.75</x:v>
      </x:c>
      <x:c r="AU280" s="600" t="n">
        <x:v>0.9</x:v>
      </x:c>
      <x:c r="AV280" s="600" t="n">
        <x:v>0.99</x:v>
      </x:c>
      <x:c r="AW280" s="595" t="n">
        <x:v>46284.25887726852</x:v>
      </x:c>
      <x:c r="AX280" s="595" t="inlineStr">
        <x:is>
          <x:t xml:space="preserve">https://simondongxiao.github.io/odds/v4/</x:t>
        </x:is>
      </x:c>
      <x:c r="AY280" s="595" t="inlineStr">
        <x:is>
          <x:t xml:space="preserve">V4 Shadow Only；real_money=false；比分差异详见记录审计</x:t>
        </x:is>
      </x:c>
    </x:row>
    <x:row r="281" ht="22" customHeight="1">
      <x:c r="A281" s="595" t="inlineStr">
        <x:is>
          <x:t xml:space="preserve">2026-09-19</x:t>
        </x:is>
      </x:c>
      <x:c r="B281" s="595" t="inlineStr">
        <x:is>
          <x:t xml:space="preserve">2026-09-20 08:30</x:t>
        </x:is>
      </x:c>
      <x:c r="C281" s="595" t="str">
        <x:v>北美系列</x:v>
      </x:c>
      <x:c r="D281" s="595" t="inlineStr">
        <x:is>
          <x:t xml:space="preserve">联赛</x:t>
        </x:is>
      </x:c>
      <x:c r="E281" s="595" t="inlineStr">
        <x:is>
          <x:t xml:space="preserve">美职业</x:t>
        </x:is>
      </x:c>
      <x:c r="F281" s="595" t="inlineStr">
        <x:is>
          <x:t xml:space="preserve">休斯敦迪纳摩 vs 辛辛那提</x:t>
        </x:is>
      </x:c>
      <x:c r="G281" s="596" t="n">
        <x:v>0.89</x:v>
      </x:c>
      <x:c r="H281" s="596" t="n">
        <x:v>0.5</x:v>
      </x:c>
      <x:c r="I281" s="596" t="n">
        <x:v>1</x:v>
      </x:c>
      <x:c r="J281" s="596" t="inlineStr">
        <x:is>
          <x:t xml:space="preserve">0.89/0.5/1.00</x:t>
        </x:is>
      </x:c>
      <x:c r="K281" s="595" t="inlineStr">
        <x:is>
          <x:t xml:space="preserve">V4-C｜EV +0.0057</x:t>
        </x:is>
      </x:c>
      <x:c r="L281" s="595" t="inlineStr">
        <x:is>
          <x:t xml:space="preserve">辛辛那提</x:t>
        </x:is>
      </x:c>
      <x:c r="M281" s="597" t="n">
        <x:v>0.5028571428571429</x:v>
      </x:c>
      <x:c r="N281" s="595" t="inlineStr">
        <x:is>
          <x:t xml:space="preserve">V4纸面入选-C</x:t>
        </x:is>
      </x:c>
      <x:c r="O281" s="595" t="inlineStr">
        <x:is>
          <x:t xml:space="preserve">2-2</x:t>
        </x:is>
      </x:c>
      <x:c r="P281" s="595" t="inlineStr">
        <x:is>
          <x:t xml:space="preserve">已结算</x:t>
        </x:is>
      </x:c>
      <x:c r="Q281" s="640" t="inlineStr">
        <x:is>
          <x:t xml:space="preserve">红</x:t>
        </x:is>
      </x:c>
      <x:c r="R281" s="599" t="n">
        <x:v>1</x:v>
      </x:c>
      <x:c r="S281" s="599" t="n">
        <x:f>IF(OR(Q281="",Q281="待结算"),"",IF(Q281="红",R281,IF(Q281="半红",R281*0.5,IF(Q281="走",0,IF(Q281="半黑",-0.5,-1)))))</x:f>
        <x:v>1</x:v>
      </x:c>
      <x:c r="T281" s="595" t="inlineStr">
        <x:is>
          <x:t xml:space="preserve">https://zq.titan007.com/analysis/2908794cn.htm</x:t>
        </x:is>
      </x:c>
      <x:c r="U281" s="641" t="str">
        <x:f>IF(Q281="","",IF(Q281="待结算","待结算",IF(Q281="红","黑",IF(Q281="半红","半黑",IF(Q281="走","走",IF(Q281="半黑","半红","红"))))))</x:f>
        <x:v>黑</x:v>
      </x:c>
      <x:c r="V281" s="599" t="n">
        <x:f>IF(OR(Q281="",Q281="待结算"),"",IF(L281=LEFT(F281,FIND(" vs ",F281)-1),I281,G281))</x:f>
        <x:v>0.89</x:v>
      </x:c>
      <x:c r="W281" s="599" t="n">
        <x:f>IF(OR(U281="",U281="待结算"),"",IF(U281="红",V281,IF(U281="半红",V281*0.5,IF(U281="走",0,IF(U281="半黑",-0.5,-1)))))</x:f>
        <x:v>-1</x:v>
      </x:c>
      <x:c r="X281" s="595" t="inlineStr">
        <x:is>
          <x:t xml:space="preserve">2908794</x:t>
        </x:is>
      </x:c>
      <x:c r="Y281" s="595" t="inlineStr">
        <x:is>
          <x:t xml:space="preserve">v4-market-dirichlet-20260913</x:t>
        </x:is>
      </x:c>
      <x:c r="Z281" s="595" t="inlineStr">
        <x:is>
          <x:t xml:space="preserve">prior-2026-09-19-v1</x:t>
        </x:is>
      </x:c>
      <x:c r="AA281" s="595" t="inlineStr">
        <x:is>
          <x:t xml:space="preserve">C</x:t>
        </x:is>
      </x:c>
      <x:c r="AB281" s="600" t="n">
        <x:v>0.5028571428571429</x:v>
      </x:c>
      <x:c r="AC281" s="600" t="n">
        <x:v>0</x:v>
      </x:c>
      <x:c r="AD281" s="600" t="n">
        <x:v>0</x:v>
      </x:c>
      <x:c r="AE281" s="600" t="n">
        <x:v>0</x:v>
      </x:c>
      <x:c r="AF281" s="600" t="n">
        <x:v>0.4971428571428572</x:v>
      </x:c>
      <x:c r="AG281" s="600" t="n">
        <x:v>0.005714285714285727</x:v>
      </x:c>
      <x:c r="AH281" s="600" t="n">
        <x:v>-0.1158209446162063</x:v>
      </x:c>
      <x:c r="AI281" s="600" t="n">
        <x:v>-0.09115852465884206</x:v>
      </x:c>
      <x:c r="AJ281" s="600" t="n">
        <x:v>0.004457580689415985</x:v>
      </x:c>
      <x:c r="AK281" s="600" t="n">
        <x:v>0.1020587492344224</x:v>
      </x:c>
      <x:c r="AL281" s="600" t="n">
        <x:v>0.1310767222353738</x:v>
      </x:c>
      <x:c r="AM281" s="600" t="n">
        <x:v>0.5248</x:v>
      </x:c>
      <x:c r="AN281" s="595" t="inlineStr">
        <x:is>
          <x:t xml:space="preserve">EVALUATED</x:t>
        </x:is>
      </x:c>
      <x:c r="AO281" s="600" t="inlineStr">
        <x:is>
          <x:t xml:space="preserve">BUCKET_0.50、SIDE_IDENTITY_VALID、FLAT_LINE_GIVING_WATER_RISE</x:t>
        </x:is>
      </x:c>
      <x:c r="AP281" s="600" t="inlineStr">
        <x:is>
          <x:t xml:space="preserve">0b8f5ec83d6dbbef3a46</x:t>
        </x:is>
      </x:c>
      <x:c r="AQ281" s="600" t="n">
        <x:v>0.5</x:v>
      </x:c>
      <x:c r="AR281" s="600" t="n">
        <x:v>1</x:v>
      </x:c>
      <x:c r="AS281" s="600" t="n">
        <x:v>-0.5</x:v>
      </x:c>
      <x:c r="AT281" s="600" t="n">
        <x:v>0.5</x:v>
      </x:c>
      <x:c r="AU281" s="600" t="n">
        <x:v>0.89</x:v>
      </x:c>
      <x:c r="AV281" s="600" t="n">
        <x:v>1</x:v>
      </x:c>
      <x:c r="AW281" s="595" t="n">
        <x:v>46284.25887726852</x:v>
      </x:c>
      <x:c r="AX281" s="595" t="inlineStr">
        <x:is>
          <x:t xml:space="preserve">https://simondongxiao.github.io/odds/v4/</x:t>
        </x:is>
      </x:c>
      <x:c r="AY281" s="595" t="inlineStr">
        <x:is>
          <x:t xml:space="preserve">V4 Shadow Only；real_money=false；比分差异详见记录审计</x:t>
        </x:is>
      </x:c>
    </x:row>
    <x:row r="282" ht="22" customHeight="1">
      <x:c r="A282" s="595" t="inlineStr">
        <x:is>
          <x:t xml:space="preserve">2026-09-19</x:t>
        </x:is>
      </x:c>
      <x:c r="B282" s="595" t="inlineStr">
        <x:is>
          <x:t xml:space="preserve">2026-09-20 09:30</x:t>
        </x:is>
      </x:c>
      <x:c r="C282" s="595" t="str">
        <x:v>北美系列</x:v>
      </x:c>
      <x:c r="D282" s="595" t="inlineStr">
        <x:is>
          <x:t xml:space="preserve">联赛</x:t>
        </x:is>
      </x:c>
      <x:c r="E282" s="595" t="inlineStr">
        <x:is>
          <x:t xml:space="preserve">美职业</x:t>
        </x:is>
      </x:c>
      <x:c r="F282" s="595" t="inlineStr">
        <x:is>
          <x:t xml:space="preserve">科罗拉多急流 vs 西雅图海湾人</x:t>
        </x:is>
      </x:c>
      <x:c r="G282" s="596" t="n">
        <x:v>0.89</x:v>
      </x:c>
      <x:c r="H282" s="596" t="n">
        <x:v>0.5</x:v>
      </x:c>
      <x:c r="I282" s="596" t="n">
        <x:v>1</x:v>
      </x:c>
      <x:c r="J282" s="596" t="inlineStr">
        <x:is>
          <x:t xml:space="preserve">0.89/0.5/1.00</x:t>
        </x:is>
      </x:c>
      <x:c r="K282" s="595" t="inlineStr">
        <x:is>
          <x:t xml:space="preserve">V4-C｜EV +0.0057</x:t>
        </x:is>
      </x:c>
      <x:c r="L282" s="595" t="inlineStr">
        <x:is>
          <x:t xml:space="preserve">西雅图海湾人</x:t>
        </x:is>
      </x:c>
      <x:c r="M282" s="597" t="n">
        <x:v>0.5028571428571429</x:v>
      </x:c>
      <x:c r="N282" s="595" t="inlineStr">
        <x:is>
          <x:t xml:space="preserve">V4纸面入选-C</x:t>
        </x:is>
      </x:c>
      <x:c r="O282" s="595" t="inlineStr">
        <x:is>
          <x:t xml:space="preserve">3-3</x:t>
        </x:is>
      </x:c>
      <x:c r="P282" s="595" t="inlineStr">
        <x:is>
          <x:t xml:space="preserve">已结算</x:t>
        </x:is>
      </x:c>
      <x:c r="Q282" s="640" t="inlineStr">
        <x:is>
          <x:t xml:space="preserve">红</x:t>
        </x:is>
      </x:c>
      <x:c r="R282" s="599" t="n">
        <x:v>1</x:v>
      </x:c>
      <x:c r="S282" s="599" t="n">
        <x:f>IF(OR(Q282="",Q282="待结算"),"",IF(Q282="红",R282,IF(Q282="半红",R282*0.5,IF(Q282="走",0,IF(Q282="半黑",-0.5,-1)))))</x:f>
        <x:v>1</x:v>
      </x:c>
      <x:c r="T282" s="595" t="inlineStr">
        <x:is>
          <x:t xml:space="preserve">https://zq.titan007.com/analysis/2908798cn.htm</x:t>
        </x:is>
      </x:c>
      <x:c r="U282" s="641" t="str">
        <x:f>IF(Q282="","",IF(Q282="待结算","待结算",IF(Q282="红","黑",IF(Q282="半红","半黑",IF(Q282="走","走",IF(Q282="半黑","半红","红"))))))</x:f>
        <x:v>黑</x:v>
      </x:c>
      <x:c r="V282" s="599" t="n">
        <x:f>IF(OR(Q282="",Q282="待结算"),"",IF(L282=LEFT(F282,FIND(" vs ",F282)-1),I282,G282))</x:f>
        <x:v>0.89</x:v>
      </x:c>
      <x:c r="W282" s="599" t="n">
        <x:f>IF(OR(U282="",U282="待结算"),"",IF(U282="红",V282,IF(U282="半红",V282*0.5,IF(U282="走",0,IF(U282="半黑",-0.5,-1)))))</x:f>
        <x:v>-1</x:v>
      </x:c>
      <x:c r="X282" s="595" t="inlineStr">
        <x:is>
          <x:t xml:space="preserve">2908798</x:t>
        </x:is>
      </x:c>
      <x:c r="Y282" s="595" t="inlineStr">
        <x:is>
          <x:t xml:space="preserve">v4-market-dirichlet-20260913</x:t>
        </x:is>
      </x:c>
      <x:c r="Z282" s="595" t="inlineStr">
        <x:is>
          <x:t xml:space="preserve">prior-2026-09-19-v1</x:t>
        </x:is>
      </x:c>
      <x:c r="AA282" s="595" t="inlineStr">
        <x:is>
          <x:t xml:space="preserve">C</x:t>
        </x:is>
      </x:c>
      <x:c r="AB282" s="600" t="n">
        <x:v>0.5028571428571429</x:v>
      </x:c>
      <x:c r="AC282" s="600" t="n">
        <x:v>0</x:v>
      </x:c>
      <x:c r="AD282" s="600" t="n">
        <x:v>0</x:v>
      </x:c>
      <x:c r="AE282" s="600" t="n">
        <x:v>0</x:v>
      </x:c>
      <x:c r="AF282" s="600" t="n">
        <x:v>0.4971428571428572</x:v>
      </x:c>
      <x:c r="AG282" s="600" t="n">
        <x:v>0.005714285714285727</x:v>
      </x:c>
      <x:c r="AH282" s="600" t="n">
        <x:v>-0.117769193345607</x:v>
      </x:c>
      <x:c r="AI282" s="600" t="n">
        <x:v>-0.09149891080491296</x:v>
      </x:c>
      <x:c r="AJ282" s="600" t="n">
        <x:v>0.005400622428367807</x:v>
      </x:c>
      <x:c r="AK282" s="600" t="n">
        <x:v>0.1042596906024976</x:v>
      </x:c>
      <x:c r="AL282" s="600" t="n">
        <x:v>0.1321043014309259</x:v>
      </x:c>
      <x:c r="AM282" s="600" t="n">
        <x:v>0.5238</x:v>
      </x:c>
      <x:c r="AN282" s="595" t="inlineStr">
        <x:is>
          <x:t xml:space="preserve">EVALUATED</x:t>
        </x:is>
      </x:c>
      <x:c r="AO282" s="600" t="inlineStr">
        <x:is>
          <x:t xml:space="preserve">BUCKET_0.50、SIDE_IDENTITY_VALID、FLAT_LINE_GIVING_WATER_DROP</x:t>
        </x:is>
      </x:c>
      <x:c r="AP282" s="600" t="inlineStr">
        <x:is>
          <x:t xml:space="preserve">1cc372cd1844c48239ad</x:t>
        </x:is>
      </x:c>
      <x:c r="AQ282" s="600" t="n">
        <x:v>0.5</x:v>
      </x:c>
      <x:c r="AR282" s="600" t="n">
        <x:v>1</x:v>
      </x:c>
      <x:c r="AS282" s="600" t="n">
        <x:v>-0.5</x:v>
      </x:c>
      <x:c r="AT282" s="600" t="n">
        <x:v>0.5</x:v>
      </x:c>
      <x:c r="AU282" s="600" t="n">
        <x:v>0.89</x:v>
      </x:c>
      <x:c r="AV282" s="600" t="n">
        <x:v>1</x:v>
      </x:c>
      <x:c r="AW282" s="595" t="n">
        <x:v>46284.25887726852</x:v>
      </x:c>
      <x:c r="AX282" s="595" t="inlineStr">
        <x:is>
          <x:t xml:space="preserve">https://simondongxiao.github.io/odds/v4/</x:t>
        </x:is>
      </x:c>
      <x:c r="AY282" s="595" t="inlineStr">
        <x:is>
          <x:t xml:space="preserve">V4 Shadow Only；real_money=false；比分差异详见记录审计</x:t>
        </x:is>
      </x:c>
    </x:row>
    <x:row r="283" ht="22" customHeight="1">
      <x:c r="A283" s="595" t="inlineStr">
        <x:is>
          <x:t xml:space="preserve">2026-09-19</x:t>
        </x:is>
      </x:c>
      <x:c r="B283" s="595" t="inlineStr">
        <x:is>
          <x:t xml:space="preserve">2026-09-20 09:30</x:t>
        </x:is>
      </x:c>
      <x:c r="C283" s="595" t="str">
        <x:v>北美系列</x:v>
      </x:c>
      <x:c r="D283" s="595" t="inlineStr">
        <x:is>
          <x:t xml:space="preserve">联赛</x:t>
        </x:is>
      </x:c>
      <x:c r="E283" s="595" t="inlineStr">
        <x:is>
          <x:t xml:space="preserve">美职业</x:t>
        </x:is>
      </x:c>
      <x:c r="F283" s="595" t="inlineStr">
        <x:is>
          <x:t xml:space="preserve">纳什威尔SC vs 芝加哥火焰</x:t>
        </x:is>
      </x:c>
      <x:c r="G283" s="596" t="n">
        <x:v>0.83</x:v>
      </x:c>
      <x:c r="H283" s="596" t="n">
        <x:v>0.5</x:v>
      </x:c>
      <x:c r="I283" s="596" t="n">
        <x:v>1.06</x:v>
      </x:c>
      <x:c r="J283" s="596" t="inlineStr">
        <x:is>
          <x:t xml:space="preserve">0.83/0.5/1.06</x:t>
        </x:is>
      </x:c>
      <x:c r="K283" s="595" t="inlineStr">
        <x:is>
          <x:t xml:space="preserve">V4-C｜EV +0.0359</x:t>
        </x:is>
      </x:c>
      <x:c r="L283" s="595" t="inlineStr">
        <x:is>
          <x:t xml:space="preserve">芝加哥火焰</x:t>
        </x:is>
      </x:c>
      <x:c r="M283" s="597" t="n">
        <x:v>0.5028571428571429</x:v>
      </x:c>
      <x:c r="N283" s="595" t="inlineStr">
        <x:is>
          <x:t xml:space="preserve">V4纸面入选-C</x:t>
        </x:is>
      </x:c>
      <x:c r="O283" s="595" t="inlineStr">
        <x:is>
          <x:t xml:space="preserve">3-0</x:t>
        </x:is>
      </x:c>
      <x:c r="P283" s="595" t="inlineStr">
        <x:is>
          <x:t xml:space="preserve">已结算</x:t>
        </x:is>
      </x:c>
      <x:c r="Q283" s="641" t="inlineStr">
        <x:is>
          <x:t xml:space="preserve">黑</x:t>
        </x:is>
      </x:c>
      <x:c r="R283" s="599" t="n">
        <x:v>1.06</x:v>
      </x:c>
      <x:c r="S283" s="599" t="n">
        <x:f>IF(OR(Q283="",Q283="待结算"),"",IF(Q283="红",R283,IF(Q283="半红",R283*0.5,IF(Q283="走",0,IF(Q283="半黑",-0.5,-1)))))</x:f>
        <x:v>-1</x:v>
      </x:c>
      <x:c r="T283" s="595" t="inlineStr">
        <x:is>
          <x:t xml:space="preserve">https://zq.titan007.com/analysis/2908799cn.htm</x:t>
        </x:is>
      </x:c>
      <x:c r="U283" s="640" t="str">
        <x:f>IF(Q283="","",IF(Q283="待结算","待结算",IF(Q283="红","黑",IF(Q283="半红","半黑",IF(Q283="走","走",IF(Q283="半黑","半红","红"))))))</x:f>
        <x:v>红</x:v>
      </x:c>
      <x:c r="V283" s="599" t="n">
        <x:f>IF(OR(Q283="",Q283="待结算"),"",IF(L283=LEFT(F283,FIND(" vs ",F283)-1),I283,G283))</x:f>
        <x:v>0.83</x:v>
      </x:c>
      <x:c r="W283" s="599" t="n">
        <x:f>IF(OR(U283="",U283="待结算"),"",IF(U283="红",V283,IF(U283="半红",V283*0.5,IF(U283="走",0,IF(U283="半黑",-0.5,-1)))))</x:f>
        <x:v>0.83</x:v>
      </x:c>
      <x:c r="X283" s="595" t="inlineStr">
        <x:is>
          <x:t xml:space="preserve">2908799</x:t>
        </x:is>
      </x:c>
      <x:c r="Y283" s="595" t="inlineStr">
        <x:is>
          <x:t xml:space="preserve">v4-market-dirichlet-20260913</x:t>
        </x:is>
      </x:c>
      <x:c r="Z283" s="595" t="inlineStr">
        <x:is>
          <x:t xml:space="preserve">prior-2026-09-19-v1</x:t>
        </x:is>
      </x:c>
      <x:c r="AA283" s="595" t="inlineStr">
        <x:is>
          <x:t xml:space="preserve">C</x:t>
        </x:is>
      </x:c>
      <x:c r="AB283" s="600" t="n">
        <x:v>0.5028571428571429</x:v>
      </x:c>
      <x:c r="AC283" s="600" t="n">
        <x:v>0</x:v>
      </x:c>
      <x:c r="AD283" s="600" t="n">
        <x:v>0</x:v>
      </x:c>
      <x:c r="AE283" s="600" t="n">
        <x:v>0</x:v>
      </x:c>
      <x:c r="AF283" s="600" t="n">
        <x:v>0.4971428571428572</x:v>
      </x:c>
      <x:c r="AG283" s="600" t="n">
        <x:v>0.03588571428571435</x:v>
      </x:c>
      <x:c r="AH283" s="600" t="n">
        <x:v>-0.09043086700734437</x:v>
      </x:c>
      <x:c r="AI283" s="600" t="n">
        <x:v>-0.06363049681559729</x:v>
      </x:c>
      <x:c r="AJ283" s="600" t="n">
        <x:v>0.03710091381599251</x:v>
      </x:c>
      <x:c r="AK283" s="600" t="n">
        <x:v>0.1393310080477086</x:v>
      </x:c>
      <x:c r="AL283" s="600" t="n">
        <x:v>0.167830871016522</x:v>
      </x:c>
      <x:c r="AM283" s="600" t="n">
        <x:v>0.6788</x:v>
      </x:c>
      <x:c r="AN283" s="595" t="inlineStr">
        <x:is>
          <x:t xml:space="preserve">EVALUATED</x:t>
        </x:is>
      </x:c>
      <x:c r="AO283" s="600" t="inlineStr">
        <x:is>
          <x:t xml:space="preserve">BUCKET_0.50、SIDE_IDENTITY_VALID、FLAT_LINE_GIVING_WATER_DROP</x:t>
        </x:is>
      </x:c>
      <x:c r="AP283" s="600" t="inlineStr">
        <x:is>
          <x:t xml:space="preserve">a9c7ff18b45602c122d6</x:t>
        </x:is>
      </x:c>
      <x:c r="AQ283" s="600" t="n">
        <x:v>0.5</x:v>
      </x:c>
      <x:c r="AR283" s="600" t="n">
        <x:v>1.06</x:v>
      </x:c>
      <x:c r="AS283" s="600" t="n">
        <x:v>-0.5</x:v>
      </x:c>
      <x:c r="AT283" s="600" t="n">
        <x:v>0.5</x:v>
      </x:c>
      <x:c r="AU283" s="600" t="n">
        <x:v>0.83</x:v>
      </x:c>
      <x:c r="AV283" s="600" t="n">
        <x:v>1.06</x:v>
      </x:c>
      <x:c r="AW283" s="595" t="n">
        <x:v>46284.25887726852</x:v>
      </x:c>
      <x:c r="AX283" s="595" t="inlineStr">
        <x:is>
          <x:t xml:space="preserve">https://simondongxiao.github.io/odds/v4/</x:t>
        </x:is>
      </x:c>
      <x:c r="AY283" s="595" t="inlineStr">
        <x:is>
          <x:t xml:space="preserve">V4 Shadow Only；real_money=false；比分差异详见记录审计</x:t>
        </x:is>
      </x:c>
    </x:row>
    <x:row r="284" ht="22" customHeight="1">
      <x:c r="A284" s="595" t="inlineStr">
        <x:is>
          <x:t xml:space="preserve">2026-09-19</x:t>
        </x:is>
      </x:c>
      <x:c r="B284" s="595" t="inlineStr">
        <x:is>
          <x:t xml:space="preserve">2026-09-20 09:30</x:t>
        </x:is>
      </x:c>
      <x:c r="C284" s="595" t="str">
        <x:v>北美系列</x:v>
      </x:c>
      <x:c r="D284" s="595" t="inlineStr">
        <x:is>
          <x:t xml:space="preserve">联赛</x:t>
        </x:is>
      </x:c>
      <x:c r="E284" s="595" t="inlineStr">
        <x:is>
          <x:t xml:space="preserve">美职业</x:t>
        </x:is>
      </x:c>
      <x:c r="F284" s="595" t="inlineStr">
        <x:is>
          <x:t xml:space="preserve">皇家盐湖城 vs 温哥华白浪</x:t>
        </x:is>
      </x:c>
      <x:c r="G284" s="596" t="n">
        <x:v>0.84</x:v>
      </x:c>
      <x:c r="H284" s="596" t="n">
        <x:v>-0.75</x:v>
      </x:c>
      <x:c r="I284" s="596" t="n">
        <x:v>1.05</x:v>
      </x:c>
      <x:c r="J284" s="596" t="inlineStr">
        <x:is>
          <x:t xml:space="preserve">0.84/-0.75/1.05</x:t>
        </x:is>
      </x:c>
      <x:c r="K284" s="595" t="inlineStr">
        <x:is>
          <x:t xml:space="preserve">V4-C｜EV +0.0090</x:t>
        </x:is>
      </x:c>
      <x:c r="L284" s="595" t="inlineStr">
        <x:is>
          <x:t xml:space="preserve">温哥华白浪</x:t>
        </x:is>
      </x:c>
      <x:c r="M284" s="597" t="n">
        <x:v>0.4928229665071771</x:v>
      </x:c>
      <x:c r="N284" s="595" t="inlineStr">
        <x:is>
          <x:t xml:space="preserve">V4纸面入选-C</x:t>
        </x:is>
      </x:c>
      <x:c r="O284" s="595" t="inlineStr">
        <x:is>
          <x:t xml:space="preserve">0-3</x:t>
        </x:is>
      </x:c>
      <x:c r="P284" s="595" t="inlineStr">
        <x:is>
          <x:t xml:space="preserve">已结算</x:t>
        </x:is>
      </x:c>
      <x:c r="Q284" s="640" t="inlineStr">
        <x:is>
          <x:t xml:space="preserve">红</x:t>
        </x:is>
      </x:c>
      <x:c r="R284" s="599" t="n">
        <x:v>1.05</x:v>
      </x:c>
      <x:c r="S284" s="599" t="n">
        <x:f>IF(OR(Q284="",Q284="待结算"),"",IF(Q284="红",R284,IF(Q284="半红",R284*0.5,IF(Q284="走",0,IF(Q284="半黑",-0.5,-1)))))</x:f>
        <x:v>1.05</x:v>
      </x:c>
      <x:c r="T284" s="595" t="inlineStr">
        <x:is>
          <x:t xml:space="preserve">https://zq.titan007.com/analysis/2908800cn.htm</x:t>
        </x:is>
      </x:c>
      <x:c r="U284" s="641" t="str">
        <x:f>IF(Q284="","",IF(Q284="待结算","待结算",IF(Q284="红","黑",IF(Q284="半红","半黑",IF(Q284="走","走",IF(Q284="半黑","半红","红"))))))</x:f>
        <x:v>黑</x:v>
      </x:c>
      <x:c r="V284" s="599" t="n">
        <x:f>IF(OR(Q284="",Q284="待结算"),"",IF(L284=LEFT(F284,FIND(" vs ",F284)-1),I284,G284))</x:f>
        <x:v>0.84</x:v>
      </x:c>
      <x:c r="W284" s="599" t="n">
        <x:f>IF(OR(U284="",U284="待结算"),"",IF(U284="红",V284,IF(U284="半红",V284*0.5,IF(U284="走",0,IF(U284="半黑",-0.5,-1)))))</x:f>
        <x:v>-1</x:v>
      </x:c>
      <x:c r="X284" s="595" t="inlineStr">
        <x:is>
          <x:t xml:space="preserve">2908800</x:t>
        </x:is>
      </x:c>
      <x:c r="Y284" s="595" t="inlineStr">
        <x:is>
          <x:t xml:space="preserve">v4-market-dirichlet-20260913</x:t>
        </x:is>
      </x:c>
      <x:c r="Z284" s="595" t="inlineStr">
        <x:is>
          <x:t xml:space="preserve">prior-2026-09-19-v1</x:t>
        </x:is>
      </x:c>
      <x:c r="AA284" s="595" t="inlineStr">
        <x:is>
          <x:t xml:space="preserve">C</x:t>
        </x:is>
      </x:c>
      <x:c r="AB284" s="600" t="n">
        <x:v>0.3</x:v>
      </x:c>
      <x:c r="AC284" s="600" t="n">
        <x:v>0.2583333333333334</x:v>
      </x:c>
      <x:c r="AD284" s="600" t="n">
        <x:v>0</x:v>
      </x:c>
      <x:c r="AE284" s="600" t="n">
        <x:v>0</x:v>
      </x:c>
      <x:c r="AF284" s="600" t="n">
        <x:v>0.4416666666666667</x:v>
      </x:c>
      <x:c r="AG284" s="600" t="n">
        <x:v>0.008958333333333401</x:v>
      </x:c>
      <x:c r="AH284" s="600" t="n">
        <x:v>-0.1306754861712022</x:v>
      </x:c>
      <x:c r="AI284" s="600" t="n">
        <x:v>-0.1007889363203973</x:v>
      </x:c>
      <x:c r="AJ284" s="600" t="n">
        <x:v>0.009920405078322148</x:v>
      </x:c>
      <x:c r="AK284" s="600" t="n">
        <x:v>0.1143268524926255</x:v>
      </x:c>
      <x:c r="AL284" s="600" t="n">
        <x:v>0.1452703559970138</x:v>
      </x:c>
      <x:c r="AM284" s="600" t="n">
        <x:v>0.5512</x:v>
      </x:c>
      <x:c r="AN284" s="595" t="inlineStr">
        <x:is>
          <x:t xml:space="preserve">EVALUATED</x:t>
        </x:is>
      </x:c>
      <x:c r="AO284" s="600" t="inlineStr">
        <x:is>
          <x:t xml:space="preserve">BUCKET_0.75、SIDE_IDENTITY_VALID、MARKET_MOVE_DEEPER_WITH_GIVING_WATER_RISE</x:t>
        </x:is>
      </x:c>
      <x:c r="AP284" s="600" t="inlineStr">
        <x:is>
          <x:t xml:space="preserve">24c8bf712f820a030a6f</x:t>
        </x:is>
      </x:c>
      <x:c r="AQ284" s="600" t="n">
        <x:v>-0.75</x:v>
      </x:c>
      <x:c r="AR284" s="600" t="n">
        <x:v>1.05</x:v>
      </x:c>
      <x:c r="AS284" s="600" t="n">
        <x:v>0.75</x:v>
      </x:c>
      <x:c r="AT284" s="600" t="n">
        <x:v>-0.75</x:v>
      </x:c>
      <x:c r="AU284" s="600" t="n">
        <x:v>0.84</x:v>
      </x:c>
      <x:c r="AV284" s="600" t="n">
        <x:v>1.05</x:v>
      </x:c>
      <x:c r="AW284" s="595" t="n">
        <x:v>46284.25887726852</x:v>
      </x:c>
      <x:c r="AX284" s="595" t="inlineStr">
        <x:is>
          <x:t xml:space="preserve">https://simondongxiao.github.io/odds/v4/</x:t>
        </x:is>
      </x:c>
      <x:c r="AY284" s="595" t="inlineStr">
        <x:is>
          <x:t xml:space="preserve">V4 Shadow Only；real_money=false；比分差异详见记录审计</x:t>
        </x:is>
      </x:c>
    </x:row>
    <x:row r="285" ht="22" customHeight="1">
      <x:c r="A285" s="595" t="inlineStr">
        <x:is>
          <x:t xml:space="preserve">2026-09-20</x:t>
        </x:is>
      </x:c>
      <x:c r="B285" s="595" t="inlineStr">
        <x:is>
          <x:t xml:space="preserve">2026-09-20 12:00</x:t>
        </x:is>
      </x:c>
      <x:c r="C285" s="595" t="str">
        <x:v>日韩系列</x:v>
      </x:c>
      <x:c r="D285" s="595" t="inlineStr">
        <x:is>
          <x:t xml:space="preserve">联赛</x:t>
        </x:is>
      </x:c>
      <x:c r="E285" s="595" t="inlineStr">
        <x:is>
          <x:t xml:space="preserve">日职女甲</x:t>
        </x:is>
      </x:c>
      <x:c r="F285" s="595" t="inlineStr">
        <x:is>
          <x:t xml:space="preserve">伊贺FC女足 vs FC爱媛女足</x:t>
        </x:is>
      </x:c>
      <x:c r="G285" s="596" t="n">
        <x:v>0.79</x:v>
      </x:c>
      <x:c r="H285" s="596" t="n">
        <x:v>1</x:v>
      </x:c>
      <x:c r="I285" s="596" t="n">
        <x:v>0.97</x:v>
      </x:c>
      <x:c r="J285" s="596" t="inlineStr">
        <x:is>
          <x:t xml:space="preserve">0.79/1/0.97</x:t>
        </x:is>
      </x:c>
      <x:c r="K285" s="595" t="inlineStr">
        <x:is>
          <x:t xml:space="preserve">V4-C｜EV +0.0532</x:t>
        </x:is>
      </x:c>
      <x:c r="L285" s="595" t="inlineStr">
        <x:is>
          <x:t xml:space="preserve">FC爱媛女足</x:t>
        </x:is>
      </x:c>
      <x:c r="M285" s="597" t="n">
        <x:v>0.5423728813559322</x:v>
      </x:c>
      <x:c r="N285" s="595" t="inlineStr">
        <x:is>
          <x:t xml:space="preserve">V4纸面入选-C</x:t>
        </x:is>
      </x:c>
      <x:c r="O285" s="595" t="inlineStr">
        <x:is>
          <x:t xml:space="preserve">2-3</x:t>
        </x:is>
      </x:c>
      <x:c r="P285" s="595" t="inlineStr">
        <x:is>
          <x:t xml:space="preserve">已结算</x:t>
        </x:is>
      </x:c>
      <x:c r="Q285" s="640" t="inlineStr">
        <x:is>
          <x:t xml:space="preserve">红</x:t>
        </x:is>
      </x:c>
      <x:c r="R285" s="599" t="n">
        <x:v>0.97</x:v>
      </x:c>
      <x:c r="S285" s="599" t="n">
        <x:f>IF(OR(Q285="",Q285="待结算"),"",IF(Q285="红",R285,IF(Q285="半红",R285*0.5,IF(Q285="走",0,IF(Q285="半黑",-0.5,-1)))))</x:f>
        <x:v>0.97</x:v>
      </x:c>
      <x:c r="T285" s="595" t="inlineStr">
        <x:is>
          <x:t xml:space="preserve">https://zq.titan007.com/analysis/2956828cn.htm</x:t>
        </x:is>
      </x:c>
      <x:c r="U285" s="641" t="str">
        <x:f>IF(Q285="","",IF(Q285="待结算","待结算",IF(Q285="红","黑",IF(Q285="半红","半黑",IF(Q285="走","走",IF(Q285="半黑","半红","红"))))))</x:f>
        <x:v>黑</x:v>
      </x:c>
      <x:c r="V285" s="599" t="n">
        <x:f>IF(OR(Q285="",Q285="待结算"),"",IF(L285=LEFT(F285,FIND(" vs ",F285)-1),I285,G285))</x:f>
        <x:v>0.79</x:v>
      </x:c>
      <x:c r="W285" s="599" t="n">
        <x:f>IF(OR(U285="",U285="待结算"),"",IF(U285="红",V285,IF(U285="半红",V285*0.5,IF(U285="走",0,IF(U285="半黑",-0.5,-1)))))</x:f>
        <x:v>-1</x:v>
      </x:c>
      <x:c r="X285" s="595" t="inlineStr">
        <x:is>
          <x:t xml:space="preserve">2956828</x:t>
        </x:is>
      </x:c>
      <x:c r="Y285" s="595" t="inlineStr">
        <x:is>
          <x:t xml:space="preserve">v4-market-dirichlet-20260913</x:t>
        </x:is>
      </x:c>
      <x:c r="Z285" s="595" t="inlineStr">
        <x:is>
          <x:t xml:space="preserve">prior-2026-09-20-v1</x:t>
        </x:is>
      </x:c>
      <x:c r="AA285" s="595" t="inlineStr">
        <x:is>
          <x:t xml:space="preserve">C</x:t>
        </x:is>
      </x:c>
      <x:c r="AB285" s="600" t="n">
        <x:v>0.4210526315789473</x:v>
      </x:c>
      <x:c r="AC285" s="600" t="n">
        <x:v>0</x:v>
      </x:c>
      <x:c r="AD285" s="600" t="n">
        <x:v>0.2236842105263158</x:v>
      </x:c>
      <x:c r="AE285" s="600" t="n">
        <x:v>0</x:v>
      </x:c>
      <x:c r="AF285" s="600" t="n">
        <x:v>0.3552631578947368</x:v>
      </x:c>
      <x:c r="AG285" s="600" t="n">
        <x:v>0.05315789473684207</x:v>
      </x:c>
      <x:c r="AH285" s="600" t="n">
        <x:v>-0.1061075233257697</x:v>
      </x:c>
      <x:c r="AI285" s="600" t="n">
        <x:v>-0.07119792904365818</x:v>
      </x:c>
      <x:c r="AJ285" s="600" t="n">
        <x:v>0.05479508457937515</x:v>
      </x:c>
      <x:c r="AK285" s="600" t="n">
        <x:v>0.1788492384453518</x:v>
      </x:c>
      <x:c r="AL285" s="600" t="n">
        <x:v>0.2123225453505389</x:v>
      </x:c>
      <x:c r="AM285" s="600" t="n">
        <x:v>0.7076</x:v>
      </x:c>
      <x:c r="AN285" s="595" t="inlineStr">
        <x:is>
          <x:t xml:space="preserve">FROZEN_PREMATCH_DECISION</x:t>
        </x:is>
      </x:c>
      <x:c r="AO285" s="600" t="inlineStr">
        <x:is>
          <x:t xml:space="preserve">STARTED_DECISION_LOCKED</x:t>
        </x:is>
      </x:c>
      <x:c r="AP285" s="600" t="inlineStr">
        <x:is>
          <x:t xml:space="preserve">67c877e291359083037f</x:t>
        </x:is>
      </x:c>
      <x:c r="AQ285" s="600" t="n">
        <x:v>1</x:v>
      </x:c>
      <x:c r="AR285" s="600" t="n">
        <x:v>0.97</x:v>
      </x:c>
      <x:c r="AS285" s="600" t="n">
        <x:v>-1</x:v>
      </x:c>
      <x:c r="AT285" s="600" t="n">
        <x:v>1</x:v>
      </x:c>
      <x:c r="AU285" s="600" t="n">
        <x:v>0.79</x:v>
      </x:c>
      <x:c r="AV285" s="600" t="n">
        <x:v>0.97</x:v>
      </x:c>
      <x:c r="AW285" s="595" t="n">
        <x:v>46285.02989678241</x:v>
      </x:c>
      <x:c r="AX285" s="595" t="inlineStr">
        <x:is>
          <x:t xml:space="preserve">https://simondongxiao.github.io/odds/v4/</x:t>
        </x:is>
      </x:c>
      <x:c r="AY285" s="595" t="inlineStr">
        <x:is>
          <x:t xml:space="preserve">V4 Shadow Only；real_money=false；比分差异详见记录审计</x:t>
        </x:is>
      </x:c>
    </x:row>
    <x:row r="286" ht="22" customHeight="1">
      <x:c r="A286" s="595" t="inlineStr">
        <x:is>
          <x:t xml:space="preserve">2026-09-20</x:t>
        </x:is>
      </x:c>
      <x:c r="B286" s="595" t="inlineStr">
        <x:is>
          <x:t xml:space="preserve">2026-09-20 16:00</x:t>
        </x:is>
      </x:c>
      <x:c r="C286" s="595" t="str">
        <x:v>日韩系列</x:v>
      </x:c>
      <x:c r="D286" s="595" t="inlineStr">
        <x:is>
          <x:t xml:space="preserve">联赛</x:t>
        </x:is>
      </x:c>
      <x:c r="E286" s="595" t="inlineStr">
        <x:is>
          <x:t xml:space="preserve">日职乙</x:t>
        </x:is>
      </x:c>
      <x:c r="F286" s="595" t="inlineStr">
        <x:is>
          <x:t xml:space="preserve">枥木市FC vs 仙台维加泰</x:t>
        </x:is>
      </x:c>
      <x:c r="G286" s="596" t="n">
        <x:v>0.84</x:v>
      </x:c>
      <x:c r="H286" s="596" t="n">
        <x:v>-0.5</x:v>
      </x:c>
      <x:c r="I286" s="596" t="n">
        <x:v>1.04</x:v>
      </x:c>
      <x:c r="J286" s="596" t="inlineStr">
        <x:is>
          <x:t xml:space="preserve">0.84/-0.5/1.04</x:t>
        </x:is>
      </x:c>
      <x:c r="K286" s="595" t="inlineStr">
        <x:is>
          <x:t xml:space="preserve">V4-C｜EV +0.0142</x:t>
        </x:is>
      </x:c>
      <x:c r="L286" s="595" t="inlineStr">
        <x:is>
          <x:t xml:space="preserve">仙台维加泰</x:t>
        </x:is>
      </x:c>
      <x:c r="M286" s="597" t="n">
        <x:v>0.4971428571428572</x:v>
      </x:c>
      <x:c r="N286" s="595" t="inlineStr">
        <x:is>
          <x:t xml:space="preserve">V4纸面入选-C</x:t>
        </x:is>
      </x:c>
      <x:c r="O286" s="595" t="inlineStr">
        <x:is>
          <x:t xml:space="preserve">1-3</x:t>
        </x:is>
      </x:c>
      <x:c r="P286" s="595" t="inlineStr">
        <x:is>
          <x:t xml:space="preserve">已结算</x:t>
        </x:is>
      </x:c>
      <x:c r="Q286" s="640" t="inlineStr">
        <x:is>
          <x:t xml:space="preserve">红</x:t>
        </x:is>
      </x:c>
      <x:c r="R286" s="599" t="n">
        <x:v>1.04</x:v>
      </x:c>
      <x:c r="S286" s="599" t="n">
        <x:f>IF(OR(Q286="",Q286="待结算"),"",IF(Q286="红",R286,IF(Q286="半红",R286*0.5,IF(Q286="走",0,IF(Q286="半黑",-0.5,-1)))))</x:f>
        <x:v>1.04</x:v>
      </x:c>
      <x:c r="T286" s="595" t="inlineStr">
        <x:is>
          <x:t xml:space="preserve">https://zq.titan007.com/analysis/3000080cn.htm</x:t>
        </x:is>
      </x:c>
      <x:c r="U286" s="641" t="str">
        <x:f>IF(Q286="","",IF(Q286="待结算","待结算",IF(Q286="红","黑",IF(Q286="半红","半黑",IF(Q286="走","走",IF(Q286="半黑","半红","红"))))))</x:f>
        <x:v>黑</x:v>
      </x:c>
      <x:c r="V286" s="599" t="n">
        <x:f>IF(OR(Q286="",Q286="待结算"),"",IF(L286=LEFT(F286,FIND(" vs ",F286)-1),I286,G286))</x:f>
        <x:v>0.84</x:v>
      </x:c>
      <x:c r="W286" s="599" t="n">
        <x:f>IF(OR(U286="",U286="待结算"),"",IF(U286="红",V286,IF(U286="半红",V286*0.5,IF(U286="走",0,IF(U286="半黑",-0.5,-1)))))</x:f>
        <x:v>-1</x:v>
      </x:c>
      <x:c r="X286" s="595" t="inlineStr">
        <x:is>
          <x:t xml:space="preserve">3000080</x:t>
        </x:is>
      </x:c>
      <x:c r="Y286" s="595" t="inlineStr">
        <x:is>
          <x:t xml:space="preserve">v4-market-dirichlet-20260913</x:t>
        </x:is>
      </x:c>
      <x:c r="Z286" s="595" t="inlineStr">
        <x:is>
          <x:t xml:space="preserve">prior-2026-09-20-v1</x:t>
        </x:is>
      </x:c>
      <x:c r="AA286" s="595" t="inlineStr">
        <x:is>
          <x:t xml:space="preserve">C</x:t>
        </x:is>
      </x:c>
      <x:c r="AB286" s="600" t="n">
        <x:v>0.4971428571428572</x:v>
      </x:c>
      <x:c r="AC286" s="600" t="n">
        <x:v>0</x:v>
      </x:c>
      <x:c r="AD286" s="600" t="n">
        <x:v>0</x:v>
      </x:c>
      <x:c r="AE286" s="600" t="n">
        <x:v>0</x:v>
      </x:c>
      <x:c r="AF286" s="600" t="n">
        <x:v>0.5028571428571429</x:v>
      </x:c>
      <x:c r="AG286" s="600" t="n">
        <x:v>0.01417142857142861</x:v>
      </x:c>
      <x:c r="AH286" s="600" t="n">
        <x:v>-0.1163351433289622</x:v>
      </x:c>
      <x:c r="AI286" s="600" t="n">
        <x:v>-0.08887073425435249</x:v>
      </x:c>
      <x:c r="AJ286" s="600" t="n">
        <x:v>0.01084915008274545</x:v>
      </x:c>
      <x:c r="AK286" s="600" t="n">
        <x:v>0.1138399399102554</x:v>
      </x:c>
      <x:c r="AL286" s="600" t="n">
        <x:v>0.1421313855873823</x:v>
      </x:c>
      <x:c r="AM286" s="600" t="n">
        <x:v>0.5584</x:v>
      </x:c>
      <x:c r="AN286" s="595" t="inlineStr">
        <x:is>
          <x:t xml:space="preserve">FROZEN_PREMATCH_DECISION</x:t>
        </x:is>
      </x:c>
      <x:c r="AO286" s="600" t="inlineStr">
        <x:is>
          <x:t xml:space="preserve">STARTED_DECISION_LOCKED</x:t>
        </x:is>
      </x:c>
      <x:c r="AP286" s="600" t="inlineStr">
        <x:is>
          <x:t xml:space="preserve">8a5a7c3f72b6b9c8b0ef</x:t>
        </x:is>
      </x:c>
      <x:c r="AQ286" s="600" t="n">
        <x:v>-0.5</x:v>
      </x:c>
      <x:c r="AR286" s="600" t="n">
        <x:v>1.04</x:v>
      </x:c>
      <x:c r="AS286" s="600" t="n">
        <x:v>0.5</x:v>
      </x:c>
      <x:c r="AT286" s="600" t="n">
        <x:v>-0.5</x:v>
      </x:c>
      <x:c r="AU286" s="600" t="n">
        <x:v>0.84</x:v>
      </x:c>
      <x:c r="AV286" s="600" t="n">
        <x:v>1.04</x:v>
      </x:c>
      <x:c r="AW286" s="595" t="n">
        <x:v>46285.02989678241</x:v>
      </x:c>
      <x:c r="AX286" s="595" t="inlineStr">
        <x:is>
          <x:t xml:space="preserve">https://simondongxiao.github.io/odds/v4/</x:t>
        </x:is>
      </x:c>
      <x:c r="AY286" s="595" t="inlineStr">
        <x:is>
          <x:t xml:space="preserve">V4 Shadow Only；real_money=false；比分差异详见记录审计</x:t>
        </x:is>
      </x:c>
    </x:row>
    <x:row r="287" ht="22" customHeight="1">
      <x:c r="A287" s="595" t="inlineStr">
        <x:is>
          <x:t xml:space="preserve">2026-09-20</x:t>
        </x:is>
      </x:c>
      <x:c r="B287" s="595" t="inlineStr">
        <x:is>
          <x:t xml:space="preserve">2026-09-20 16:00</x:t>
        </x:is>
      </x:c>
      <x:c r="C287" s="595" t="str">
        <x:v>日韩系列</x:v>
      </x:c>
      <x:c r="D287" s="595" t="inlineStr">
        <x:is>
          <x:t xml:space="preserve">联赛</x:t>
        </x:is>
      </x:c>
      <x:c r="E287" s="595" t="inlineStr">
        <x:is>
          <x:t xml:space="preserve">日职丙</x:t>
        </x:is>
      </x:c>
      <x:c r="F287" s="595" t="inlineStr">
        <x:is>
          <x:t xml:space="preserve">长野琶扼搂 vs FC岐阜</x:t>
        </x:is>
      </x:c>
      <x:c r="G287" s="596" t="n">
        <x:v>1</x:v>
      </x:c>
      <x:c r="H287" s="596" t="n">
        <x:v>-0.5</x:v>
      </x:c>
      <x:c r="I287" s="596" t="n">
        <x:v>0.76</x:v>
      </x:c>
      <x:c r="J287" s="596" t="inlineStr">
        <x:is>
          <x:t xml:space="preserve">1.00/-0.5/0.76</x:t>
        </x:is>
      </x:c>
      <x:c r="K287" s="595" t="inlineStr">
        <x:is>
          <x:t xml:space="preserve">V4-C｜EV +0.0057</x:t>
        </x:is>
      </x:c>
      <x:c r="L287" s="595" t="inlineStr">
        <x:is>
          <x:t xml:space="preserve">长野琶扼搂</x:t>
        </x:is>
      </x:c>
      <x:c r="M287" s="597" t="n">
        <x:v>0.5028571428571429</x:v>
      </x:c>
      <x:c r="N287" s="595" t="inlineStr">
        <x:is>
          <x:t xml:space="preserve">V4纸面入选-C</x:t>
        </x:is>
      </x:c>
      <x:c r="O287" s="595" t="inlineStr">
        <x:is>
          <x:t xml:space="preserve">1-0</x:t>
        </x:is>
      </x:c>
      <x:c r="P287" s="595" t="inlineStr">
        <x:is>
          <x:t xml:space="preserve">已结算</x:t>
        </x:is>
      </x:c>
      <x:c r="Q287" s="640" t="inlineStr">
        <x:is>
          <x:t xml:space="preserve">红</x:t>
        </x:is>
      </x:c>
      <x:c r="R287" s="599" t="n">
        <x:v>1</x:v>
      </x:c>
      <x:c r="S287" s="599" t="n">
        <x:f>IF(OR(Q287="",Q287="待结算"),"",IF(Q287="红",R287,IF(Q287="半红",R287*0.5,IF(Q287="走",0,IF(Q287="半黑",-0.5,-1)))))</x:f>
        <x:v>1</x:v>
      </x:c>
      <x:c r="T287" s="595" t="inlineStr">
        <x:is>
          <x:t xml:space="preserve">https://zq.titan007.com/analysis/3001187cn.htm</x:t>
        </x:is>
      </x:c>
      <x:c r="U287" s="641" t="str">
        <x:f>IF(Q287="","",IF(Q287="待结算","待结算",IF(Q287="红","黑",IF(Q287="半红","半黑",IF(Q287="走","走",IF(Q287="半黑","半红","红"))))))</x:f>
        <x:v>黑</x:v>
      </x:c>
      <x:c r="V287" s="599" t="n">
        <x:f>IF(OR(Q287="",Q287="待结算"),"",IF(L287=LEFT(F287,FIND(" vs ",F287)-1),I287,G287))</x:f>
        <x:v>0.76</x:v>
      </x:c>
      <x:c r="W287" s="599" t="n">
        <x:f>IF(OR(U287="",U287="待结算"),"",IF(U287="红",V287,IF(U287="半红",V287*0.5,IF(U287="走",0,IF(U287="半黑",-0.5,-1)))))</x:f>
        <x:v>-1</x:v>
      </x:c>
      <x:c r="X287" s="595" t="inlineStr">
        <x:is>
          <x:t xml:space="preserve">3001187</x:t>
        </x:is>
      </x:c>
      <x:c r="Y287" s="595" t="inlineStr">
        <x:is>
          <x:t xml:space="preserve">v4-market-dirichlet-20260913</x:t>
        </x:is>
      </x:c>
      <x:c r="Z287" s="595" t="inlineStr">
        <x:is>
          <x:t xml:space="preserve">prior-2026-09-20-v1</x:t>
        </x:is>
      </x:c>
      <x:c r="AA287" s="595" t="inlineStr">
        <x:is>
          <x:t xml:space="preserve">C</x:t>
        </x:is>
      </x:c>
      <x:c r="AB287" s="600" t="n">
        <x:v>0.5028571428571429</x:v>
      </x:c>
      <x:c r="AC287" s="600" t="n">
        <x:v>0</x:v>
      </x:c>
      <x:c r="AD287" s="600" t="n">
        <x:v>0</x:v>
      </x:c>
      <x:c r="AE287" s="600" t="n">
        <x:v>0</x:v>
      </x:c>
      <x:c r="AF287" s="600" t="n">
        <x:v>0.4971428571428572</x:v>
      </x:c>
      <x:c r="AG287" s="600" t="n">
        <x:v>0.005714285714285727</x:v>
      </x:c>
      <x:c r="AH287" s="600" t="n">
        <x:v>-0.1125465642607242</x:v>
      </x:c>
      <x:c r="AI287" s="600" t="n">
        <x:v>-0.08955732924632964</x:v>
      </x:c>
      <x:c r="AJ287" s="600" t="n">
        <x:v>0.007604526673063772</x:v>
      </x:c>
      <x:c r="AK287" s="600" t="n">
        <x:v>0.103217239804191</x:v>
      </x:c>
      <x:c r="AL287" s="600" t="n">
        <x:v>0.132952413539589</x:v>
      </x:c>
      <x:c r="AM287" s="600" t="n">
        <x:v>0.5382</x:v>
      </x:c>
      <x:c r="AN287" s="595" t="inlineStr">
        <x:is>
          <x:t xml:space="preserve">FROZEN_PREMATCH_DECISION</x:t>
        </x:is>
      </x:c>
      <x:c r="AO287" s="600" t="inlineStr">
        <x:is>
          <x:t xml:space="preserve">STARTED_DECISION_LOCKED</x:t>
        </x:is>
      </x:c>
      <x:c r="AP287" s="600" t="inlineStr">
        <x:is>
          <x:t xml:space="preserve">22f6d7bf59de62a642e3</x:t>
        </x:is>
      </x:c>
      <x:c r="AQ287" s="600" t="n">
        <x:v>0.5</x:v>
      </x:c>
      <x:c r="AR287" s="600" t="n">
        <x:v>1</x:v>
      </x:c>
      <x:c r="AS287" s="600" t="n">
        <x:v>0.5</x:v>
      </x:c>
      <x:c r="AT287" s="600" t="n">
        <x:v>-0.5</x:v>
      </x:c>
      <x:c r="AU287" s="600" t="n">
        <x:v>1</x:v>
      </x:c>
      <x:c r="AV287" s="600" t="n">
        <x:v>0.76</x:v>
      </x:c>
      <x:c r="AW287" s="595" t="n">
        <x:v>46285.02989678241</x:v>
      </x:c>
      <x:c r="AX287" s="595" t="inlineStr">
        <x:is>
          <x:t xml:space="preserve">https://simondongxiao.github.io/odds/v4/</x:t>
        </x:is>
      </x:c>
      <x:c r="AY287" s="595" t="inlineStr">
        <x:is>
          <x:t xml:space="preserve">V4 Shadow Only；real_money=false；比分差异详见记录审计</x:t>
        </x:is>
      </x:c>
    </x:row>
    <x:row r="288" ht="22" customHeight="1">
      <x:c r="A288" s="595" t="inlineStr">
        <x:is>
          <x:t xml:space="preserve">2026-09-20</x:t>
        </x:is>
      </x:c>
      <x:c r="B288" s="595" t="inlineStr">
        <x:is>
          <x:t xml:space="preserve">2026-09-20 16:00</x:t>
        </x:is>
      </x:c>
      <x:c r="C288" s="595" t="str">
        <x:v>日韩系列</x:v>
      </x:c>
      <x:c r="D288" s="595" t="inlineStr">
        <x:is>
          <x:t xml:space="preserve">联赛</x:t>
        </x:is>
      </x:c>
      <x:c r="E288" s="595" t="inlineStr">
        <x:is>
          <x:t xml:space="preserve">日足联</x:t>
        </x:is>
      </x:c>
      <x:c r="F288" s="595" t="inlineStr">
        <x:is>
          <x:t xml:space="preserve">横滨体育 vs 布瑞欧碧卡浦安</x:t>
        </x:is>
      </x:c>
      <x:c r="G288" s="596" t="n">
        <x:v>1</x:v>
      </x:c>
      <x:c r="H288" s="596" t="n">
        <x:v>-0.25</x:v>
      </x:c>
      <x:c r="I288" s="596" t="n">
        <x:v>0.76</x:v>
      </x:c>
      <x:c r="J288" s="596" t="inlineStr">
        <x:is>
          <x:t xml:space="preserve">1.00/-0.25/0.76</x:t>
        </x:is>
      </x:c>
      <x:c r="K288" s="595" t="inlineStr">
        <x:is>
          <x:t xml:space="preserve">V4-C｜EV +0.0017</x:t>
        </x:is>
      </x:c>
      <x:c r="L288" s="595" t="inlineStr">
        <x:is>
          <x:t xml:space="preserve">横滨体育</x:t>
        </x:is>
      </x:c>
      <x:c r="M288" s="597" t="n">
        <x:v>0.5010224948875256</x:v>
      </x:c>
      <x:c r="N288" s="595" t="inlineStr">
        <x:is>
          <x:t xml:space="preserve">V4纸面入选-C</x:t>
        </x:is>
      </x:c>
      <x:c r="O288" s="595" t="inlineStr">
        <x:is>
          <x:t xml:space="preserve">5-2</x:t>
        </x:is>
      </x:c>
      <x:c r="P288" s="595" t="inlineStr">
        <x:is>
          <x:t xml:space="preserve">已结算</x:t>
        </x:is>
      </x:c>
      <x:c r="Q288" s="640" t="inlineStr">
        <x:is>
          <x:t xml:space="preserve">红</x:t>
        </x:is>
      </x:c>
      <x:c r="R288" s="599" t="n">
        <x:v>1</x:v>
      </x:c>
      <x:c r="S288" s="599" t="n">
        <x:f>IF(OR(Q288="",Q288="待结算"),"",IF(Q288="红",R288,IF(Q288="半红",R288*0.5,IF(Q288="走",0,IF(Q288="半黑",-0.5,-1)))))</x:f>
        <x:v>1</x:v>
      </x:c>
      <x:c r="T288" s="595" t="inlineStr">
        <x:is>
          <x:t xml:space="preserve">https://zq.titan007.com/analysis/3071096cn.htm</x:t>
        </x:is>
      </x:c>
      <x:c r="U288" s="641" t="str">
        <x:f>IF(Q288="","",IF(Q288="待结算","待结算",IF(Q288="红","黑",IF(Q288="半红","半黑",IF(Q288="走","走",IF(Q288="半黑","半红","红"))))))</x:f>
        <x:v>黑</x:v>
      </x:c>
      <x:c r="V288" s="599" t="n">
        <x:f>IF(OR(Q288="",Q288="待结算"),"",IF(L288=LEFT(F288,FIND(" vs ",F288)-1),I288,G288))</x:f>
        <x:v>0.76</x:v>
      </x:c>
      <x:c r="W288" s="599" t="n">
        <x:f>IF(OR(U288="",U288="待结算"),"",IF(U288="红",V288,IF(U288="半红",V288*0.5,IF(U288="走",0,IF(U288="半黑",-0.5,-1)))))</x:f>
        <x:v>-1</x:v>
      </x:c>
      <x:c r="X288" s="595" t="inlineStr">
        <x:is>
          <x:t xml:space="preserve">3071096</x:t>
        </x:is>
      </x:c>
      <x:c r="Y288" s="595" t="inlineStr">
        <x:is>
          <x:t xml:space="preserve">v4-market-dirichlet-20260913</x:t>
        </x:is>
      </x:c>
      <x:c r="Z288" s="595" t="inlineStr">
        <x:is>
          <x:t xml:space="preserve">prior-2026-09-20-v1</x:t>
        </x:is>
      </x:c>
      <x:c r="AA288" s="595" t="inlineStr">
        <x:is>
          <x:t xml:space="preserve">C</x:t>
        </x:is>
      </x:c>
      <x:c r="AB288" s="600" t="n">
        <x:v>0.2743055555555556</x:v>
      </x:c>
      <x:c r="AC288" s="600" t="n">
        <x:v>0.3020833333333333</x:v>
      </x:c>
      <x:c r="AD288" s="600" t="n">
        <x:v>0</x:v>
      </x:c>
      <x:c r="AE288" s="600" t="n">
        <x:v>0</x:v>
      </x:c>
      <x:c r="AF288" s="600" t="n">
        <x:v>0.4236111111111111</x:v>
      </x:c>
      <x:c r="AG288" s="600" t="n">
        <x:v>0.001736111111111105</x:v>
      </x:c>
      <x:c r="AH288" s="600" t="n">
        <x:v>-0.08601148601878411</x:v>
      </x:c>
      <x:c r="AI288" s="600" t="n">
        <x:v>-0.0663065954940264</x:v>
      </x:c>
      <x:c r="AJ288" s="600" t="n">
        <x:v>-0.0009895216375437332</x:v>
      </x:c>
      <x:c r="AK288" s="600" t="n">
        <x:v>0.06932988427294484</x:v>
      </x:c>
      <x:c r="AL288" s="600" t="n">
        <x:v>0.08845890815772256</x:v>
      </x:c>
      <x:c r="AM288" s="600" t="n">
        <x:v>0.4952</x:v>
      </x:c>
      <x:c r="AN288" s="595" t="inlineStr">
        <x:is>
          <x:t xml:space="preserve">FROZEN_PREMATCH_DECISION</x:t>
        </x:is>
      </x:c>
      <x:c r="AO288" s="600" t="inlineStr">
        <x:is>
          <x:t xml:space="preserve">STARTED_DECISION_LOCKED</x:t>
        </x:is>
      </x:c>
      <x:c r="AP288" s="600" t="inlineStr">
        <x:is>
          <x:t xml:space="preserve">4e5a7d6fc2a10b2bf7c8</x:t>
        </x:is>
      </x:c>
      <x:c r="AQ288" s="600" t="n">
        <x:v>0.25</x:v>
      </x:c>
      <x:c r="AR288" s="600" t="n">
        <x:v>1</x:v>
      </x:c>
      <x:c r="AS288" s="600" t="n">
        <x:v>0.25</x:v>
      </x:c>
      <x:c r="AT288" s="600" t="n">
        <x:v>-0.25</x:v>
      </x:c>
      <x:c r="AU288" s="600" t="n">
        <x:v>1</x:v>
      </x:c>
      <x:c r="AV288" s="600" t="n">
        <x:v>0.76</x:v>
      </x:c>
      <x:c r="AW288" s="595" t="n">
        <x:v>46285.02989678241</x:v>
      </x:c>
      <x:c r="AX288" s="595" t="inlineStr">
        <x:is>
          <x:t xml:space="preserve">https://simondongxiao.github.io/odds/v4/</x:t>
        </x:is>
      </x:c>
      <x:c r="AY288" s="595" t="inlineStr">
        <x:is>
          <x:t xml:space="preserve">V4 Shadow Only；real_money=false；比分差异详见记录审计</x:t>
        </x:is>
      </x:c>
    </x:row>
    <x:row r="289" ht="22" customHeight="1">
      <x:c r="A289" s="595" t="inlineStr">
        <x:is>
          <x:t xml:space="preserve">2026-09-20</x:t>
        </x:is>
      </x:c>
      <x:c r="B289" s="595" t="inlineStr">
        <x:is>
          <x:t xml:space="preserve">2026-09-20 16:30</x:t>
        </x:is>
      </x:c>
      <x:c r="C289" s="595" t="str">
        <x:v>其他系列</x:v>
      </x:c>
      <x:c r="D289" s="595" t="inlineStr">
        <x:is>
          <x:t xml:space="preserve">联赛</x:t>
        </x:is>
      </x:c>
      <x:c r="E289" s="595" t="inlineStr">
        <x:is>
          <x:t xml:space="preserve">印尼超</x:t>
        </x:is>
      </x:c>
      <x:c r="F289" s="595" t="inlineStr">
        <x:is>
          <x:t xml:space="preserve">德瓦FC vs 斯乐门</x:t>
        </x:is>
      </x:c>
      <x:c r="G289" s="596" t="n">
        <x:v>0.8100000000000001</x:v>
      </x:c>
      <x:c r="H289" s="596" t="n">
        <x:v>1</x:v>
      </x:c>
      <x:c r="I289" s="596" t="n">
        <x:v>1.01</x:v>
      </x:c>
      <x:c r="J289" s="596" t="inlineStr">
        <x:is>
          <x:t xml:space="preserve">0.81/1/1.01</x:t>
        </x:is>
      </x:c>
      <x:c r="K289" s="595" t="inlineStr">
        <x:is>
          <x:t xml:space="preserve">V4-C｜EV +0.0700</x:t>
        </x:is>
      </x:c>
      <x:c r="L289" s="595" t="inlineStr">
        <x:is>
          <x:t xml:space="preserve">斯乐门</x:t>
        </x:is>
      </x:c>
      <x:c r="M289" s="597" t="n">
        <x:v>0.5423728813559322</x:v>
      </x:c>
      <x:c r="N289" s="595" t="inlineStr">
        <x:is>
          <x:t xml:space="preserve">V4纸面入选-C</x:t>
        </x:is>
      </x:c>
      <x:c r="O289" s="595" t="inlineStr">
        <x:is>
          <x:t xml:space="preserve">2-1</x:t>
        </x:is>
      </x:c>
      <x:c r="P289" s="595" t="inlineStr">
        <x:is>
          <x:t xml:space="preserve">已结算</x:t>
        </x:is>
      </x:c>
      <x:c r="Q289" s="644" t="inlineStr">
        <x:is>
          <x:t xml:space="preserve">走</x:t>
        </x:is>
      </x:c>
      <x:c r="R289" s="599" t="n">
        <x:v>1.01</x:v>
      </x:c>
      <x:c r="S289" s="599" t="n">
        <x:f>IF(OR(Q289="",Q289="待结算"),"",IF(Q289="红",R289,IF(Q289="半红",R289*0.5,IF(Q289="走",0,IF(Q289="半黑",-0.5,-1)))))</x:f>
        <x:v>0</x:v>
      </x:c>
      <x:c r="T289" s="595" t="inlineStr">
        <x:is>
          <x:t xml:space="preserve">https://zq.titan007.com/analysis/3062847cn.htm</x:t>
        </x:is>
      </x:c>
      <x:c r="U289" s="644" t="str">
        <x:f>IF(Q289="","",IF(Q289="待结算","待结算",IF(Q289="红","黑",IF(Q289="半红","半黑",IF(Q289="走","走",IF(Q289="半黑","半红","红"))))))</x:f>
        <x:v>走</x:v>
      </x:c>
      <x:c r="V289" s="599" t="n">
        <x:f>IF(OR(Q289="",Q289="待结算"),"",IF(L289=LEFT(F289,FIND(" vs ",F289)-1),I289,G289))</x:f>
        <x:v>0.81</x:v>
      </x:c>
      <x:c r="W289" s="599" t="n">
        <x:f>IF(OR(U289="",U289="待结算"),"",IF(U289="红",V289,IF(U289="半红",V289*0.5,IF(U289="走",0,IF(U289="半黑",-0.5,-1)))))</x:f>
        <x:v>0</x:v>
      </x:c>
      <x:c r="X289" s="595" t="inlineStr">
        <x:is>
          <x:t xml:space="preserve">3062847</x:t>
        </x:is>
      </x:c>
      <x:c r="Y289" s="595" t="inlineStr">
        <x:is>
          <x:t xml:space="preserve">v4-market-dirichlet-20260913</x:t>
        </x:is>
      </x:c>
      <x:c r="Z289" s="595" t="inlineStr">
        <x:is>
          <x:t xml:space="preserve">prior-2026-09-20-v1</x:t>
        </x:is>
      </x:c>
      <x:c r="AA289" s="595" t="inlineStr">
        <x:is>
          <x:t xml:space="preserve">C</x:t>
        </x:is>
      </x:c>
      <x:c r="AB289" s="600" t="n">
        <x:v>0.4210526315789473</x:v>
      </x:c>
      <x:c r="AC289" s="600" t="n">
        <x:v>0</x:v>
      </x:c>
      <x:c r="AD289" s="600" t="n">
        <x:v>0.2236842105263158</x:v>
      </x:c>
      <x:c r="AE289" s="600" t="n">
        <x:v>0</x:v>
      </x:c>
      <x:c r="AF289" s="600" t="n">
        <x:v>0.3552631578947368</x:v>
      </x:c>
      <x:c r="AG289" s="600" t="n">
        <x:v>0.07000000000000001</x:v>
      </x:c>
      <x:c r="AH289" s="600" t="n">
        <x:v>-0.09335789633498731</x:v>
      </x:c>
      <x:c r="AI289" s="600" t="n">
        <x:v>-0.05618694603528607</x:v>
      </x:c>
      <x:c r="AJ289" s="600" t="n">
        <x:v>0.07432606742586212</x:v>
      </x:c>
      <x:c r="AK289" s="600" t="n">
        <x:v>0.1980798309131875</x:v>
      </x:c>
      <x:c r="AL289" s="600" t="n">
        <x:v>0.2308403852372788</x:v>
      </x:c>
      <x:c r="AM289" s="600" t="n">
        <x:v>0.7594</x:v>
      </x:c>
      <x:c r="AN289" s="595" t="inlineStr">
        <x:is>
          <x:t xml:space="preserve">FROZEN_PREMATCH_DECISION</x:t>
        </x:is>
      </x:c>
      <x:c r="AO289" s="600" t="inlineStr">
        <x:is>
          <x:t xml:space="preserve">STARTED_DECISION_LOCKED</x:t>
        </x:is>
      </x:c>
      <x:c r="AP289" s="600" t="inlineStr">
        <x:is>
          <x:t xml:space="preserve">7d45b03c92fac9ddc2cd</x:t>
        </x:is>
      </x:c>
      <x:c r="AQ289" s="600" t="n">
        <x:v>1</x:v>
      </x:c>
      <x:c r="AR289" s="600" t="n">
        <x:v>1.01</x:v>
      </x:c>
      <x:c r="AS289" s="600" t="n">
        <x:v>-1</x:v>
      </x:c>
      <x:c r="AT289" s="600" t="n">
        <x:v>1</x:v>
      </x:c>
      <x:c r="AU289" s="600" t="n">
        <x:v>0.8100000000000001</x:v>
      </x:c>
      <x:c r="AV289" s="600" t="n">
        <x:v>1.01</x:v>
      </x:c>
      <x:c r="AW289" s="595" t="n">
        <x:v>46285.02989678241</x:v>
      </x:c>
      <x:c r="AX289" s="595" t="inlineStr">
        <x:is>
          <x:t xml:space="preserve">https://simondongxiao.github.io/odds/v4/</x:t>
        </x:is>
      </x:c>
      <x:c r="AY289" s="595" t="inlineStr">
        <x:is>
          <x:t xml:space="preserve">V4 Shadow Only；real_money=false；比分差异详见记录审计</x:t>
        </x:is>
      </x:c>
    </x:row>
    <x:row r="290" ht="22" customHeight="1">
      <x:c r="A290" s="595" t="inlineStr">
        <x:is>
          <x:t xml:space="preserve">2026-09-20</x:t>
        </x:is>
      </x:c>
      <x:c r="B290" s="595" t="inlineStr">
        <x:is>
          <x:t xml:space="preserve">2026-09-20 17:30</x:t>
        </x:is>
      </x:c>
      <x:c r="C290" s="595" t="str">
        <x:v>五大联赛非顶级联赛</x:v>
      </x:c>
      <x:c r="D290" s="595" t="inlineStr">
        <x:is>
          <x:t xml:space="preserve">联赛</x:t>
        </x:is>
      </x:c>
      <x:c r="E290" s="595" t="inlineStr">
        <x:is>
          <x:t xml:space="preserve">西协乙4</x:t>
        </x:is>
      </x:c>
      <x:c r="F290" s="595" t="inlineStr">
        <x:is>
          <x:t xml:space="preserve">力纳雷斯体育会 vs 拉斯彭马斯竞技</x:t>
        </x:is>
      </x:c>
      <x:c r="G290" s="596" t="n">
        <x:v>0.6</x:v>
      </x:c>
      <x:c r="H290" s="596" t="n">
        <x:v>0.25</x:v>
      </x:c>
      <x:c r="I290" s="596" t="n">
        <x:v>1.11</x:v>
      </x:c>
      <x:c r="J290" s="596" t="inlineStr">
        <x:is>
          <x:t xml:space="preserve">0.60/0.25/1.11</x:t>
        </x:is>
      </x:c>
      <x:c r="K290" s="595" t="inlineStr">
        <x:is>
          <x:t xml:space="preserve">V4-C｜EV +0.0485</x:t>
        </x:is>
      </x:c>
      <x:c r="L290" s="595" t="inlineStr">
        <x:is>
          <x:t xml:space="preserve">拉斯彭马斯竞技</x:t>
        </x:is>
      </x:c>
      <x:c r="M290" s="597" t="n">
        <x:v>0.5010224948875256</x:v>
      </x:c>
      <x:c r="N290" s="595" t="inlineStr">
        <x:is>
          <x:t xml:space="preserve">V4纸面入选-C</x:t>
        </x:is>
      </x:c>
      <x:c r="O290" s="595" t="inlineStr">
        <x:is>
          <x:t xml:space="preserve">0-1</x:t>
        </x:is>
      </x:c>
      <x:c r="P290" s="595" t="inlineStr">
        <x:is>
          <x:t xml:space="preserve">已结算</x:t>
        </x:is>
      </x:c>
      <x:c r="Q290" s="640" t="inlineStr">
        <x:is>
          <x:t xml:space="preserve">红</x:t>
        </x:is>
      </x:c>
      <x:c r="R290" s="599" t="n">
        <x:v>1.11</x:v>
      </x:c>
      <x:c r="S290" s="599" t="n">
        <x:f>IF(OR(Q290="",Q290="待结算"),"",IF(Q290="红",R290,IF(Q290="半红",R290*0.5,IF(Q290="走",0,IF(Q290="半黑",-0.5,-1)))))</x:f>
        <x:v>1.11</x:v>
      </x:c>
      <x:c r="T290" s="595" t="inlineStr">
        <x:is>
          <x:t xml:space="preserve">https://zq.titan007.com/analysis/3082973cn.htm</x:t>
        </x:is>
      </x:c>
      <x:c r="U290" s="641" t="str">
        <x:f>IF(Q290="","",IF(Q290="待结算","待结算",IF(Q290="红","黑",IF(Q290="半红","半黑",IF(Q290="走","走",IF(Q290="半黑","半红","红"))))))</x:f>
        <x:v>黑</x:v>
      </x:c>
      <x:c r="V290" s="599" t="n">
        <x:f>IF(OR(Q290="",Q290="待结算"),"",IF(L290=LEFT(F290,FIND(" vs ",F290)-1),I290,G290))</x:f>
        <x:v>0.6</x:v>
      </x:c>
      <x:c r="W290" s="599" t="n">
        <x:f>IF(OR(U290="",U290="待结算"),"",IF(U290="红",V290,IF(U290="半红",V290*0.5,IF(U290="走",0,IF(U290="半黑",-0.5,-1)))))</x:f>
        <x:v>-1</x:v>
      </x:c>
      <x:c r="X290" s="595" t="inlineStr">
        <x:is>
          <x:t xml:space="preserve">3082973</x:t>
        </x:is>
      </x:c>
      <x:c r="Y290" s="595" t="inlineStr">
        <x:is>
          <x:t xml:space="preserve">v4-market-dirichlet-20260913</x:t>
        </x:is>
      </x:c>
      <x:c r="Z290" s="595" t="inlineStr">
        <x:is>
          <x:t xml:space="preserve">prior-2026-09-20-v1</x:t>
        </x:is>
      </x:c>
      <x:c r="AA290" s="595" t="inlineStr">
        <x:is>
          <x:t xml:space="preserve">C</x:t>
        </x:is>
      </x:c>
      <x:c r="AB290" s="600" t="n">
        <x:v>0.2743055555555556</x:v>
      </x:c>
      <x:c r="AC290" s="600" t="n">
        <x:v>0.3020833333333333</x:v>
      </x:c>
      <x:c r="AD290" s="600" t="n">
        <x:v>0</x:v>
      </x:c>
      <x:c r="AE290" s="600" t="n">
        <x:v>0</x:v>
      </x:c>
      <x:c r="AF290" s="600" t="n">
        <x:v>0.4236111111111111</x:v>
      </x:c>
      <x:c r="AG290" s="600" t="n">
        <x:v>0.04852430555555565</x:v>
      </x:c>
      <x:c r="AH290" s="600" t="n">
        <x:v>-0.04187579986912354</x:v>
      </x:c>
      <x:c r="AI290" s="600" t="n">
        <x:v>-0.02074858925228307</x:v>
      </x:c>
      <x:c r="AJ290" s="600" t="n">
        <x:v>0.04763208081136228</x:v>
      </x:c>
      <x:c r="AK290" s="600" t="n">
        <x:v>0.1174693793379862</x:v>
      </x:c>
      <x:c r="AL290" s="600" t="n">
        <x:v>0.1389069129084362</x:v>
      </x:c>
      <x:c r="AM290" s="600" t="n">
        <x:v>0.8114</x:v>
      </x:c>
      <x:c r="AN290" s="595" t="inlineStr">
        <x:is>
          <x:t xml:space="preserve">FROZEN_PREMATCH_DECISION</x:t>
        </x:is>
      </x:c>
      <x:c r="AO290" s="600" t="inlineStr">
        <x:is>
          <x:t xml:space="preserve">STARTED_DECISION_LOCKED</x:t>
        </x:is>
      </x:c>
      <x:c r="AP290" s="600" t="inlineStr">
        <x:is>
          <x:t xml:space="preserve">f9105e5420db197bf0e8</x:t>
        </x:is>
      </x:c>
      <x:c r="AQ290" s="600" t="n">
        <x:v>0.25</x:v>
      </x:c>
      <x:c r="AR290" s="600" t="n">
        <x:v>1.11</x:v>
      </x:c>
      <x:c r="AS290" s="600" t="n">
        <x:v>-0.25</x:v>
      </x:c>
      <x:c r="AT290" s="600" t="n">
        <x:v>0.25</x:v>
      </x:c>
      <x:c r="AU290" s="600" t="n">
        <x:v>0.6</x:v>
      </x:c>
      <x:c r="AV290" s="600" t="n">
        <x:v>1.11</x:v>
      </x:c>
      <x:c r="AW290" s="595" t="n">
        <x:v>46285.02989678241</x:v>
      </x:c>
      <x:c r="AX290" s="595" t="inlineStr">
        <x:is>
          <x:t xml:space="preserve">https://simondongxiao.github.io/odds/v4/</x:t>
        </x:is>
      </x:c>
      <x:c r="AY290" s="595" t="inlineStr">
        <x:is>
          <x:t xml:space="preserve">V4 Shadow Only；real_money=false；比分差异详见记录审计</x:t>
        </x:is>
      </x:c>
    </x:row>
    <x:row r="291" ht="22" customHeight="1">
      <x:c r="A291" s="595" t="inlineStr">
        <x:is>
          <x:t xml:space="preserve">2026-09-20</x:t>
        </x:is>
      </x:c>
      <x:c r="B291" s="595" t="inlineStr">
        <x:is>
          <x:t xml:space="preserve">2026-09-20 18:00</x:t>
        </x:is>
      </x:c>
      <x:c r="C291" s="595" t="str">
        <x:v>日韩系列</x:v>
      </x:c>
      <x:c r="D291" s="595" t="inlineStr">
        <x:is>
          <x:t xml:space="preserve">联赛</x:t>
        </x:is>
      </x:c>
      <x:c r="E291" s="595" t="inlineStr">
        <x:is>
          <x:t xml:space="preserve">韩K联</x:t>
        </x:is>
      </x:c>
      <x:c r="F291" s="595" t="inlineStr">
        <x:is>
          <x:t xml:space="preserve">浦项制铁 vs FC首尔</x:t>
        </x:is>
      </x:c>
      <x:c r="G291" s="596" t="n">
        <x:v>1.03</x:v>
      </x:c>
      <x:c r="H291" s="596" t="n">
        <x:v>-0.5</x:v>
      </x:c>
      <x:c r="I291" s="596" t="n">
        <x:v>0.85</x:v>
      </x:c>
      <x:c r="J291" s="596" t="inlineStr">
        <x:is>
          <x:t xml:space="preserve">1.03/-0.5/0.85</x:t>
        </x:is>
      </x:c>
      <x:c r="K291" s="595" t="inlineStr">
        <x:is>
          <x:t xml:space="preserve">V4-C｜EV +0.0208</x:t>
        </x:is>
      </x:c>
      <x:c r="L291" s="595" t="inlineStr">
        <x:is>
          <x:t xml:space="preserve">浦项制铁</x:t>
        </x:is>
      </x:c>
      <x:c r="M291" s="597" t="n">
        <x:v>0.5028571428571429</x:v>
      </x:c>
      <x:c r="N291" s="595" t="inlineStr">
        <x:is>
          <x:t xml:space="preserve">V4纸面入选-C</x:t>
        </x:is>
      </x:c>
      <x:c r="O291" s="595" t="inlineStr">
        <x:is>
          <x:t xml:space="preserve">2-1</x:t>
        </x:is>
      </x:c>
      <x:c r="P291" s="595" t="inlineStr">
        <x:is>
          <x:t xml:space="preserve">已结算</x:t>
        </x:is>
      </x:c>
      <x:c r="Q291" s="640" t="inlineStr">
        <x:is>
          <x:t xml:space="preserve">红</x:t>
        </x:is>
      </x:c>
      <x:c r="R291" s="599" t="n">
        <x:v>1.03</x:v>
      </x:c>
      <x:c r="S291" s="599" t="n">
        <x:f>IF(OR(Q291="",Q291="待结算"),"",IF(Q291="红",R291,IF(Q291="半红",R291*0.5,IF(Q291="走",0,IF(Q291="半黑",-0.5,-1)))))</x:f>
        <x:v>1.03</x:v>
      </x:c>
      <x:c r="T291" s="595" t="inlineStr">
        <x:is>
          <x:t xml:space="preserve">https://zq.titan007.com/analysis/2929734cn.htm</x:t>
        </x:is>
      </x:c>
      <x:c r="U291" s="641" t="str">
        <x:f>IF(Q291="","",IF(Q291="待结算","待结算",IF(Q291="红","黑",IF(Q291="半红","半黑",IF(Q291="走","走",IF(Q291="半黑","半红","红"))))))</x:f>
        <x:v>黑</x:v>
      </x:c>
      <x:c r="V291" s="599" t="n">
        <x:f>IF(OR(Q291="",Q291="待结算"),"",IF(L291=LEFT(F291,FIND(" vs ",F291)-1),I291,G291))</x:f>
        <x:v>0.85</x:v>
      </x:c>
      <x:c r="W291" s="599" t="n">
        <x:f>IF(OR(U291="",U291="待结算"),"",IF(U291="红",V291,IF(U291="半红",V291*0.5,IF(U291="走",0,IF(U291="半黑",-0.5,-1)))))</x:f>
        <x:v>-1</x:v>
      </x:c>
      <x:c r="X291" s="595" t="inlineStr">
        <x:is>
          <x:t xml:space="preserve">2929734</x:t>
        </x:is>
      </x:c>
      <x:c r="Y291" s="595" t="inlineStr">
        <x:is>
          <x:t xml:space="preserve">v4-market-dirichlet-20260913</x:t>
        </x:is>
      </x:c>
      <x:c r="Z291" s="595" t="inlineStr">
        <x:is>
          <x:t xml:space="preserve">prior-2026-09-20-v1</x:t>
        </x:is>
      </x:c>
      <x:c r="AA291" s="595" t="inlineStr">
        <x:is>
          <x:t xml:space="preserve">C</x:t>
        </x:is>
      </x:c>
      <x:c r="AB291" s="600" t="n">
        <x:v>0.5028571428571429</x:v>
      </x:c>
      <x:c r="AC291" s="600" t="n">
        <x:v>0</x:v>
      </x:c>
      <x:c r="AD291" s="600" t="n">
        <x:v>0</x:v>
      </x:c>
      <x:c r="AE291" s="600" t="n">
        <x:v>0</x:v>
      </x:c>
      <x:c r="AF291" s="600" t="n">
        <x:v>0.4971428571428572</x:v>
      </x:c>
      <x:c r="AG291" s="600" t="n">
        <x:v>0.02079999999999999</x:v>
      </x:c>
      <x:c r="AH291" s="600" t="n">
        <x:v>-0.1059341558467193</x:v>
      </x:c>
      <x:c r="AI291" s="600" t="n">
        <x:v>-0.0750597002145893</x:v>
      </x:c>
      <x:c r="AJ291" s="600" t="n">
        <x:v>0.02163015327802303</x:v>
      </x:c>
      <x:c r="AK291" s="600" t="n">
        <x:v>0.1168570053253018</x:v>
      </x:c>
      <x:c r="AL291" s="600" t="n">
        <x:v>0.1489907372748949</x:v>
      </x:c>
      <x:c r="AM291" s="600" t="n">
        <x:v>0.6188</x:v>
      </x:c>
      <x:c r="AN291" s="595" t="inlineStr">
        <x:is>
          <x:t xml:space="preserve">FROZEN_PREMATCH_DECISION</x:t>
        </x:is>
      </x:c>
      <x:c r="AO291" s="600" t="inlineStr">
        <x:is>
          <x:t xml:space="preserve">STARTED_DECISION_LOCKED</x:t>
        </x:is>
      </x:c>
      <x:c r="AP291" s="600" t="inlineStr">
        <x:is>
          <x:t xml:space="preserve">354655e0171fe8c01925</x:t>
        </x:is>
      </x:c>
      <x:c r="AQ291" s="600" t="n">
        <x:v>0.5</x:v>
      </x:c>
      <x:c r="AR291" s="600" t="n">
        <x:v>1.03</x:v>
      </x:c>
      <x:c r="AS291" s="600" t="n">
        <x:v>0.5</x:v>
      </x:c>
      <x:c r="AT291" s="600" t="n">
        <x:v>-0.5</x:v>
      </x:c>
      <x:c r="AU291" s="600" t="n">
        <x:v>1.03</x:v>
      </x:c>
      <x:c r="AV291" s="600" t="n">
        <x:v>0.85</x:v>
      </x:c>
      <x:c r="AW291" s="595" t="n">
        <x:v>46285.02989678241</x:v>
      </x:c>
      <x:c r="AX291" s="595" t="inlineStr">
        <x:is>
          <x:t xml:space="preserve">https://simondongxiao.github.io/odds/v4/</x:t>
        </x:is>
      </x:c>
      <x:c r="AY291" s="595" t="inlineStr">
        <x:is>
          <x:t xml:space="preserve">V4 Shadow Only；real_money=false；比分差异详见记录审计</x:t>
        </x:is>
      </x:c>
    </x:row>
    <x:row r="292" ht="22" customHeight="1">
      <x:c r="A292" s="595" t="inlineStr">
        <x:is>
          <x:t xml:space="preserve">2026-09-20</x:t>
        </x:is>
      </x:c>
      <x:c r="B292" s="595" t="inlineStr">
        <x:is>
          <x:t xml:space="preserve">2026-09-20 18:15</x:t>
        </x:is>
      </x:c>
      <x:c r="C292" s="595" t="str">
        <x:v>欧洲非五大系列</x:v>
      </x:c>
      <x:c r="D292" s="595" t="inlineStr">
        <x:is>
          <x:t xml:space="preserve">联赛</x:t>
        </x:is>
      </x:c>
      <x:c r="E292" s="595" t="inlineStr">
        <x:is>
          <x:t xml:space="preserve">荷甲</x:t>
        </x:is>
      </x:c>
      <x:c r="F292" s="595" t="inlineStr">
        <x:is>
          <x:t xml:space="preserve">费耶诺德 vs 乌德勒支</x:t>
        </x:is>
      </x:c>
      <x:c r="G292" s="596" t="n">
        <x:v>0.9399999999999999</x:v>
      </x:c>
      <x:c r="H292" s="596" t="n">
        <x:v>1.75</x:v>
      </x:c>
      <x:c r="I292" s="596" t="n">
        <x:v>0.9399999999999999</x:v>
      </x:c>
      <x:c r="J292" s="596" t="inlineStr">
        <x:is>
          <x:t xml:space="preserve">0.94/1.75/0.94</x:t>
        </x:is>
      </x:c>
      <x:c r="K292" s="595" t="inlineStr">
        <x:is>
          <x:t xml:space="preserve">V4-C｜EV +0.0297</x:t>
        </x:is>
      </x:c>
      <x:c r="L292" s="595" t="inlineStr">
        <x:is>
          <x:t xml:space="preserve">费耶诺德</x:t>
        </x:is>
      </x:c>
      <x:c r="M292" s="597" t="n">
        <x:v>0.5333333333333333</x:v>
      </x:c>
      <x:c r="N292" s="595" t="inlineStr">
        <x:is>
          <x:t xml:space="preserve">V4纸面入选-C</x:t>
        </x:is>
      </x:c>
      <x:c r="O292" s="595" t="inlineStr">
        <x:is>
          <x:t xml:space="preserve">5-0</x:t>
        </x:is>
      </x:c>
      <x:c r="P292" s="595" t="inlineStr">
        <x:is>
          <x:t xml:space="preserve">已结算</x:t>
        </x:is>
      </x:c>
      <x:c r="Q292" s="640" t="inlineStr">
        <x:is>
          <x:t xml:space="preserve">红</x:t>
        </x:is>
      </x:c>
      <x:c r="R292" s="599" t="n">
        <x:v>0.9399999999999999</x:v>
      </x:c>
      <x:c r="S292" s="599" t="n">
        <x:f>IF(OR(Q292="",Q292="待结算"),"",IF(Q292="红",R292,IF(Q292="半红",R292*0.5,IF(Q292="走",0,IF(Q292="半黑",-0.5,-1)))))</x:f>
        <x:v>0.94</x:v>
      </x:c>
      <x:c r="T292" s="595" t="inlineStr">
        <x:is>
          <x:t xml:space="preserve">https://zq.titan007.com/analysis/2996157cn.htm</x:t>
        </x:is>
      </x:c>
      <x:c r="U292" s="641" t="str">
        <x:f>IF(Q292="","",IF(Q292="待结算","待结算",IF(Q292="红","黑",IF(Q292="半红","半黑",IF(Q292="走","走",IF(Q292="半黑","半红","红"))))))</x:f>
        <x:v>黑</x:v>
      </x:c>
      <x:c r="V292" s="599" t="n">
        <x:f>IF(OR(Q292="",Q292="待结算"),"",IF(L292=LEFT(F292,FIND(" vs ",F292)-1),I292,G292))</x:f>
        <x:v>0.94</x:v>
      </x:c>
      <x:c r="W292" s="599" t="n">
        <x:f>IF(OR(U292="",U292="待结算"),"",IF(U292="红",V292,IF(U292="半红",V292*0.5,IF(U292="走",0,IF(U292="半黑",-0.5,-1)))))</x:f>
        <x:v>-1</x:v>
      </x:c>
      <x:c r="X292" s="595" t="inlineStr">
        <x:is>
          <x:t xml:space="preserve">2996157</x:t>
        </x:is>
      </x:c>
      <x:c r="Y292" s="595" t="inlineStr">
        <x:is>
          <x:t xml:space="preserve">v4-market-dirichlet-20260913</x:t>
        </x:is>
      </x:c>
      <x:c r="Z292" s="595" t="inlineStr">
        <x:is>
          <x:t xml:space="preserve">prior-2026-09-20-v1</x:t>
        </x:is>
      </x:c>
      <x:c r="AA292" s="595" t="inlineStr">
        <x:is>
          <x:t xml:space="preserve">C</x:t>
        </x:is>
      </x:c>
      <x:c r="AB292" s="600" t="n">
        <x:v>0.3142857142857143</x:v>
      </x:c>
      <x:c r="AC292" s="600" t="n">
        <x:v>0.2857142857142857</x:v>
      </x:c>
      <x:c r="AD292" s="600" t="n">
        <x:v>0</x:v>
      </x:c>
      <x:c r="AE292" s="600" t="n">
        <x:v>0</x:v>
      </x:c>
      <x:c r="AF292" s="600" t="n">
        <x:v>0.4</x:v>
      </x:c>
      <x:c r="AG292" s="600" t="n">
        <x:v>0.02971428571428569</x:v>
      </x:c>
      <x:c r="AH292" s="600" t="n">
        <x:v>-0.2077003757348718</x:v>
      </x:c>
      <x:c r="AI292" s="600" t="n">
        <x:v>-0.1546181450891602</x:v>
      </x:c>
      <x:c r="AJ292" s="600" t="n">
        <x:v>0.03047035105100321</x:v>
      </x:c>
      <x:c r="AK292" s="600" t="n">
        <x:v>0.2113440444471785</x:v>
      </x:c>
      <x:c r="AL292" s="600" t="n">
        <x:v>0.2602342953529267</x:v>
      </x:c>
      <x:c r="AM292" s="600" t="n">
        <x:v>0.5788</x:v>
      </x:c>
      <x:c r="AN292" s="595" t="inlineStr">
        <x:is>
          <x:t xml:space="preserve">FROZEN_PREMATCH_DECISION</x:t>
        </x:is>
      </x:c>
      <x:c r="AO292" s="600" t="inlineStr">
        <x:is>
          <x:t xml:space="preserve">STARTED_DECISION_LOCKED</x:t>
        </x:is>
      </x:c>
      <x:c r="AP292" s="600" t="inlineStr">
        <x:is>
          <x:t xml:space="preserve">42d95ed7c136627c8ac1</x:t>
        </x:is>
      </x:c>
      <x:c r="AQ292" s="600" t="n">
        <x:v>-1.75</x:v>
      </x:c>
      <x:c r="AR292" s="600" t="n">
        <x:v>0.9399999999999999</x:v>
      </x:c>
      <x:c r="AS292" s="600" t="n">
        <x:v>-1.75</x:v>
      </x:c>
      <x:c r="AT292" s="600" t="n">
        <x:v>1.75</x:v>
      </x:c>
      <x:c r="AU292" s="600" t="n">
        <x:v>0.9399999999999999</x:v>
      </x:c>
      <x:c r="AV292" s="600" t="n">
        <x:v>0.9399999999999999</x:v>
      </x:c>
      <x:c r="AW292" s="595" t="n">
        <x:v>46285.02989678241</x:v>
      </x:c>
      <x:c r="AX292" s="595" t="inlineStr">
        <x:is>
          <x:t xml:space="preserve">https://simondongxiao.github.io/odds/v4/</x:t>
        </x:is>
      </x:c>
      <x:c r="AY292" s="595" t="inlineStr">
        <x:is>
          <x:t xml:space="preserve">V4 Shadow Only；real_money=false；比分差异详见记录审计</x:t>
        </x:is>
      </x:c>
    </x:row>
    <x:row r="293" ht="22" customHeight="1">
      <x:c r="A293" s="595" t="inlineStr">
        <x:is>
          <x:t xml:space="preserve">2026-09-20</x:t>
        </x:is>
      </x:c>
      <x:c r="B293" s="595" t="inlineStr">
        <x:is>
          <x:t xml:space="preserve">2026-09-20 19:30</x:t>
        </x:is>
      </x:c>
      <x:c r="C293" s="595" t="str">
        <x:v>五大联赛非顶级联赛</x:v>
      </x:c>
      <x:c r="D293" s="595" t="inlineStr">
        <x:is>
          <x:t xml:space="preserve">联赛</x:t>
        </x:is>
      </x:c>
      <x:c r="E293" s="595" t="inlineStr">
        <x:is>
          <x:t xml:space="preserve">德乙</x:t>
        </x:is>
      </x:c>
      <x:c r="F293" s="595" t="inlineStr">
        <x:is>
          <x:t xml:space="preserve">科特布斯 vs 圣保利</x:t>
        </x:is>
      </x:c>
      <x:c r="G293" s="596" t="n">
        <x:v>1.02</x:v>
      </x:c>
      <x:c r="H293" s="596" t="n">
        <x:v>-0.25</x:v>
      </x:c>
      <x:c r="I293" s="596" t="n">
        <x:v>0.86</x:v>
      </x:c>
      <x:c r="J293" s="596" t="inlineStr">
        <x:is>
          <x:t xml:space="preserve">1.02/-0.25/0.86</x:t>
        </x:is>
      </x:c>
      <x:c r="K293" s="595" t="inlineStr">
        <x:is>
          <x:t xml:space="preserve">V4-C｜EV +0.0102</x:t>
        </x:is>
      </x:c>
      <x:c r="L293" s="595" t="inlineStr">
        <x:is>
          <x:t xml:space="preserve">科特布斯</x:t>
        </x:is>
      </x:c>
      <x:c r="M293" s="597" t="n">
        <x:v>0.5010224948875256</x:v>
      </x:c>
      <x:c r="N293" s="595" t="inlineStr">
        <x:is>
          <x:t xml:space="preserve">V4纸面入选-C</x:t>
        </x:is>
      </x:c>
      <x:c r="O293" s="595" t="inlineStr">
        <x:is>
          <x:t xml:space="preserve">1-1</x:t>
        </x:is>
      </x:c>
      <x:c r="P293" s="595" t="inlineStr">
        <x:is>
          <x:t xml:space="preserve">已结算</x:t>
        </x:is>
      </x:c>
      <x:c r="Q293" s="642" t="inlineStr">
        <x:is>
          <x:t xml:space="preserve">半红</x:t>
        </x:is>
      </x:c>
      <x:c r="R293" s="599" t="n">
        <x:v>1.02</x:v>
      </x:c>
      <x:c r="S293" s="599" t="n">
        <x:f>IF(OR(Q293="",Q293="待结算"),"",IF(Q293="红",R293,IF(Q293="半红",R293*0.5,IF(Q293="走",0,IF(Q293="半黑",-0.5,-1)))))</x:f>
        <x:v>0.51</x:v>
      </x:c>
      <x:c r="T293" s="595" t="inlineStr">
        <x:is>
          <x:t xml:space="preserve">https://zq.titan007.com/analysis/3019138cn.htm</x:t>
        </x:is>
      </x:c>
      <x:c r="U293" s="643" t="str">
        <x:f>IF(Q293="","",IF(Q293="待结算","待结算",IF(Q293="红","黑",IF(Q293="半红","半黑",IF(Q293="走","走",IF(Q293="半黑","半红","红"))))))</x:f>
        <x:v>半黑</x:v>
      </x:c>
      <x:c r="V293" s="599" t="n">
        <x:f>IF(OR(Q293="",Q293="待结算"),"",IF(L293=LEFT(F293,FIND(" vs ",F293)-1),I293,G293))</x:f>
        <x:v>0.86</x:v>
      </x:c>
      <x:c r="W293" s="599" t="n">
        <x:f>IF(OR(U293="",U293="待结算"),"",IF(U293="红",V293,IF(U293="半红",V293*0.5,IF(U293="走",0,IF(U293="半黑",-0.5,-1)))))</x:f>
        <x:v>-0.5</x:v>
      </x:c>
      <x:c r="X293" s="595" t="inlineStr">
        <x:is>
          <x:t xml:space="preserve">3019138</x:t>
        </x:is>
      </x:c>
      <x:c r="Y293" s="595" t="inlineStr">
        <x:is>
          <x:t xml:space="preserve">v4-market-dirichlet-20260913</x:t>
        </x:is>
      </x:c>
      <x:c r="Z293" s="595" t="inlineStr">
        <x:is>
          <x:t xml:space="preserve">prior-2026-09-20-v1</x:t>
        </x:is>
      </x:c>
      <x:c r="AA293" s="595" t="inlineStr">
        <x:is>
          <x:t xml:space="preserve">C</x:t>
        </x:is>
      </x:c>
      <x:c r="AB293" s="600" t="n">
        <x:v>0.2743055555555556</x:v>
      </x:c>
      <x:c r="AC293" s="600" t="n">
        <x:v>0.3020833333333333</x:v>
      </x:c>
      <x:c r="AD293" s="600" t="n">
        <x:v>0</x:v>
      </x:c>
      <x:c r="AE293" s="600" t="n">
        <x:v>0</x:v>
      </x:c>
      <x:c r="AF293" s="600" t="n">
        <x:v>0.4236111111111111</x:v>
      </x:c>
      <x:c r="AG293" s="600" t="n">
        <x:v>0.0102430555555556</x:v>
      </x:c>
      <x:c r="AH293" s="600" t="n">
        <x:v>-0.07643476006034822</x:v>
      </x:c>
      <x:c r="AI293" s="600" t="n">
        <x:v>-0.05675587097084545</x:v>
      </x:c>
      <x:c r="AJ293" s="600" t="n">
        <x:v>0.01026648174459011</x:v>
      </x:c>
      <x:c r="AK293" s="600" t="n">
        <x:v>0.077470298047632</x:v>
      </x:c>
      <x:c r="AL293" s="600" t="n">
        <x:v>0.09518607522702294</x:v>
      </x:c>
      <x:c r="AM293" s="600" t="n">
        <x:v>0.5726</x:v>
      </x:c>
      <x:c r="AN293" s="595" t="inlineStr">
        <x:is>
          <x:t xml:space="preserve">FROZEN_PREMATCH_DECISION</x:t>
        </x:is>
      </x:c>
      <x:c r="AO293" s="600" t="inlineStr">
        <x:is>
          <x:t xml:space="preserve">STARTED_DECISION_LOCKED</x:t>
        </x:is>
      </x:c>
      <x:c r="AP293" s="600" t="inlineStr">
        <x:is>
          <x:t xml:space="preserve">71cf23ca4383a6cd79f1</x:t>
        </x:is>
      </x:c>
      <x:c r="AQ293" s="600" t="n">
        <x:v>0.25</x:v>
      </x:c>
      <x:c r="AR293" s="600" t="n">
        <x:v>1.02</x:v>
      </x:c>
      <x:c r="AS293" s="600" t="n">
        <x:v>0.25</x:v>
      </x:c>
      <x:c r="AT293" s="600" t="n">
        <x:v>-0.25</x:v>
      </x:c>
      <x:c r="AU293" s="600" t="n">
        <x:v>1.02</x:v>
      </x:c>
      <x:c r="AV293" s="600" t="n">
        <x:v>0.86</x:v>
      </x:c>
      <x:c r="AW293" s="595" t="n">
        <x:v>46285.02989678241</x:v>
      </x:c>
      <x:c r="AX293" s="595" t="inlineStr">
        <x:is>
          <x:t xml:space="preserve">https://simondongxiao.github.io/odds/v4/</x:t>
        </x:is>
      </x:c>
      <x:c r="AY293" s="595" t="inlineStr">
        <x:is>
          <x:t xml:space="preserve">V4 Shadow Only；real_money=false；比分差异详见记录审计</x:t>
        </x:is>
      </x:c>
    </x:row>
    <x:row r="294" ht="22" customHeight="1">
      <x:c r="A294" s="595" t="inlineStr">
        <x:is>
          <x:t xml:space="preserve">2026-09-20</x:t>
        </x:is>
      </x:c>
      <x:c r="B294" s="595" t="inlineStr">
        <x:is>
          <x:t xml:space="preserve">2026-09-20 19:30</x:t>
        </x:is>
      </x:c>
      <x:c r="C294" s="595" t="str">
        <x:v>五大联赛非顶级联赛</x:v>
      </x:c>
      <x:c r="D294" s="595" t="inlineStr">
        <x:is>
          <x:t xml:space="preserve">联赛</x:t>
        </x:is>
      </x:c>
      <x:c r="E294" s="595" t="inlineStr">
        <x:is>
          <x:t xml:space="preserve">德乙</x:t>
        </x:is>
      </x:c>
      <x:c r="F294" s="595" t="inlineStr">
        <x:is>
          <x:t xml:space="preserve">汉诺威96 vs 波鸿</x:t>
        </x:is>
      </x:c>
      <x:c r="G294" s="596" t="n">
        <x:v>1.05</x:v>
      </x:c>
      <x:c r="H294" s="596" t="n">
        <x:v>0.75</x:v>
      </x:c>
      <x:c r="I294" s="596" t="n">
        <x:v>0.83</x:v>
      </x:c>
      <x:c r="J294" s="596" t="inlineStr">
        <x:is>
          <x:t xml:space="preserve">1.05/0.75/0.83</x:t>
        </x:is>
      </x:c>
      <x:c r="K294" s="595" t="inlineStr">
        <x:is>
          <x:t xml:space="preserve">V4-C｜EV +0.0090</x:t>
        </x:is>
      </x:c>
      <x:c r="L294" s="595" t="inlineStr">
        <x:is>
          <x:t xml:space="preserve">汉诺威96</x:t>
        </x:is>
      </x:c>
      <x:c r="M294" s="597" t="n">
        <x:v>0.4928229665071771</x:v>
      </x:c>
      <x:c r="N294" s="595" t="inlineStr">
        <x:is>
          <x:t xml:space="preserve">V4纸面入选-C</x:t>
        </x:is>
      </x:c>
      <x:c r="O294" s="595" t="inlineStr">
        <x:is>
          <x:t xml:space="preserve">2-1</x:t>
        </x:is>
      </x:c>
      <x:c r="P294" s="595" t="inlineStr">
        <x:is>
          <x:t xml:space="preserve">已结算</x:t>
        </x:is>
      </x:c>
      <x:c r="Q294" s="642" t="inlineStr">
        <x:is>
          <x:t xml:space="preserve">半红</x:t>
        </x:is>
      </x:c>
      <x:c r="R294" s="599" t="n">
        <x:v>1.05</x:v>
      </x:c>
      <x:c r="S294" s="599" t="n">
        <x:f>IF(OR(Q294="",Q294="待结算"),"",IF(Q294="红",R294,IF(Q294="半红",R294*0.5,IF(Q294="走",0,IF(Q294="半黑",-0.5,-1)))))</x:f>
        <x:v>0.525</x:v>
      </x:c>
      <x:c r="T294" s="595" t="inlineStr">
        <x:is>
          <x:t xml:space="preserve">https://zq.titan007.com/analysis/3019140cn.htm</x:t>
        </x:is>
      </x:c>
      <x:c r="U294" s="643" t="str">
        <x:f>IF(Q294="","",IF(Q294="待结算","待结算",IF(Q294="红","黑",IF(Q294="半红","半黑",IF(Q294="走","走",IF(Q294="半黑","半红","红"))))))</x:f>
        <x:v>半黑</x:v>
      </x:c>
      <x:c r="V294" s="599" t="n">
        <x:f>IF(OR(Q294="",Q294="待结算"),"",IF(L294=LEFT(F294,FIND(" vs ",F294)-1),I294,G294))</x:f>
        <x:v>0.83</x:v>
      </x:c>
      <x:c r="W294" s="599" t="n">
        <x:f>IF(OR(U294="",U294="待结算"),"",IF(U294="红",V294,IF(U294="半红",V294*0.5,IF(U294="走",0,IF(U294="半黑",-0.5,-1)))))</x:f>
        <x:v>-0.5</x:v>
      </x:c>
      <x:c r="X294" s="595" t="inlineStr">
        <x:is>
          <x:t xml:space="preserve">3019140</x:t>
        </x:is>
      </x:c>
      <x:c r="Y294" s="595" t="inlineStr">
        <x:is>
          <x:t xml:space="preserve">v4-market-dirichlet-20260913</x:t>
        </x:is>
      </x:c>
      <x:c r="Z294" s="595" t="inlineStr">
        <x:is>
          <x:t xml:space="preserve">prior-2026-09-20-v1</x:t>
        </x:is>
      </x:c>
      <x:c r="AA294" s="595" t="inlineStr">
        <x:is>
          <x:t xml:space="preserve">C</x:t>
        </x:is>
      </x:c>
      <x:c r="AB294" s="600" t="n">
        <x:v>0.3</x:v>
      </x:c>
      <x:c r="AC294" s="600" t="n">
        <x:v>0.2583333333333334</x:v>
      </x:c>
      <x:c r="AD294" s="600" t="n">
        <x:v>0</x:v>
      </x:c>
      <x:c r="AE294" s="600" t="n">
        <x:v>0</x:v>
      </x:c>
      <x:c r="AF294" s="600" t="n">
        <x:v>0.4416666666666667</x:v>
      </x:c>
      <x:c r="AG294" s="600" t="n">
        <x:v>0.008958333333333401</x:v>
      </x:c>
      <x:c r="AH294" s="600" t="n">
        <x:v>-0.1296805284003939</x:v>
      </x:c>
      <x:c r="AI294" s="600" t="n">
        <x:v>-0.09869449818487575</x:v>
      </x:c>
      <x:c r="AJ294" s="600" t="n">
        <x:v>0.007694156503486815</x:v>
      </x:c>
      <x:c r="AK294" s="600" t="n">
        <x:v>0.1164292514169533</x:v>
      </x:c>
      <x:c r="AL294" s="600" t="n">
        <x:v>0.147461460342437</x:v>
      </x:c>
      <x:c r="AM294" s="600" t="n">
        <x:v>0.534</x:v>
      </x:c>
      <x:c r="AN294" s="595" t="inlineStr">
        <x:is>
          <x:t xml:space="preserve">FROZEN_PREMATCH_DECISION</x:t>
        </x:is>
      </x:c>
      <x:c r="AO294" s="600" t="inlineStr">
        <x:is>
          <x:t xml:space="preserve">STARTED_DECISION_LOCKED</x:t>
        </x:is>
      </x:c>
      <x:c r="AP294" s="600" t="inlineStr">
        <x:is>
          <x:t xml:space="preserve">9df9f2c232a501b75357</x:t>
        </x:is>
      </x:c>
      <x:c r="AQ294" s="600" t="n">
        <x:v>-0.75</x:v>
      </x:c>
      <x:c r="AR294" s="600" t="n">
        <x:v>1.05</x:v>
      </x:c>
      <x:c r="AS294" s="600" t="n">
        <x:v>-0.75</x:v>
      </x:c>
      <x:c r="AT294" s="600" t="n">
        <x:v>0.75</x:v>
      </x:c>
      <x:c r="AU294" s="600" t="n">
        <x:v>1.05</x:v>
      </x:c>
      <x:c r="AV294" s="600" t="n">
        <x:v>0.83</x:v>
      </x:c>
      <x:c r="AW294" s="595" t="n">
        <x:v>46285.02989678241</x:v>
      </x:c>
      <x:c r="AX294" s="595" t="inlineStr">
        <x:is>
          <x:t xml:space="preserve">https://simondongxiao.github.io/odds/v4/</x:t>
        </x:is>
      </x:c>
      <x:c r="AY294" s="595" t="inlineStr">
        <x:is>
          <x:t xml:space="preserve">V4 Shadow Only；real_money=false；比分差异详见记录审计</x:t>
        </x:is>
      </x:c>
    </x:row>
    <x:row r="295" ht="22" customHeight="1">
      <x:c r="A295" s="595" t="inlineStr">
        <x:is>
          <x:t xml:space="preserve">2026-09-20</x:t>
        </x:is>
      </x:c>
      <x:c r="B295" s="595" t="inlineStr">
        <x:is>
          <x:t xml:space="preserve">2026-09-20 20:00</x:t>
        </x:is>
      </x:c>
      <x:c r="C295" s="595" t="str">
        <x:v>欧洲五大系列</x:v>
      </x:c>
      <x:c r="D295" s="595" t="inlineStr">
        <x:is>
          <x:t xml:space="preserve">联赛</x:t>
        </x:is>
      </x:c>
      <x:c r="E295" s="595" t="inlineStr">
        <x:is>
          <x:t xml:space="preserve">西甲</x:t>
        </x:is>
      </x:c>
      <x:c r="F295" s="595" t="inlineStr">
        <x:is>
          <x:t xml:space="preserve">赫塔菲 vs 马拉加</x:t>
        </x:is>
      </x:c>
      <x:c r="G295" s="596" t="n">
        <x:v>1.05</x:v>
      </x:c>
      <x:c r="H295" s="596" t="n">
        <x:v>0.5</x:v>
      </x:c>
      <x:c r="I295" s="596" t="n">
        <x:v>0.83</x:v>
      </x:c>
      <x:c r="J295" s="596" t="inlineStr">
        <x:is>
          <x:t xml:space="preserve">1.05/0.5/0.83</x:t>
        </x:is>
      </x:c>
      <x:c r="K295" s="595" t="inlineStr">
        <x:is>
          <x:t xml:space="preserve">V4-C｜EV +0.0191</x:t>
        </x:is>
      </x:c>
      <x:c r="L295" s="595" t="inlineStr">
        <x:is>
          <x:t xml:space="preserve">赫塔菲</x:t>
        </x:is>
      </x:c>
      <x:c r="M295" s="597" t="n">
        <x:v>0.4971428571428572</x:v>
      </x:c>
      <x:c r="N295" s="595" t="inlineStr">
        <x:is>
          <x:t xml:space="preserve">V4纸面入选-C</x:t>
        </x:is>
      </x:c>
      <x:c r="O295" s="595" t="inlineStr">
        <x:is>
          <x:t xml:space="preserve">1-0</x:t>
        </x:is>
      </x:c>
      <x:c r="P295" s="595" t="inlineStr">
        <x:is>
          <x:t xml:space="preserve">已结算</x:t>
        </x:is>
      </x:c>
      <x:c r="Q295" s="640" t="inlineStr">
        <x:is>
          <x:t xml:space="preserve">红</x:t>
        </x:is>
      </x:c>
      <x:c r="R295" s="599" t="n">
        <x:v>1.05</x:v>
      </x:c>
      <x:c r="S295" s="599" t="n">
        <x:f>IF(OR(Q295="",Q295="待结算"),"",IF(Q295="红",R295,IF(Q295="半红",R295*0.5,IF(Q295="走",0,IF(Q295="半黑",-0.5,-1)))))</x:f>
        <x:v>1.05</x:v>
      </x:c>
      <x:c r="T295" s="595" t="inlineStr">
        <x:is>
          <x:t xml:space="preserve">https://zq.titan007.com/analysis/3013707cn.htm</x:t>
        </x:is>
      </x:c>
      <x:c r="U295" s="641" t="str">
        <x:f>IF(Q295="","",IF(Q295="待结算","待结算",IF(Q295="红","黑",IF(Q295="半红","半黑",IF(Q295="走","走",IF(Q295="半黑","半红","红"))))))</x:f>
        <x:v>黑</x:v>
      </x:c>
      <x:c r="V295" s="599" t="n">
        <x:f>IF(OR(Q295="",Q295="待结算"),"",IF(L295=LEFT(F295,FIND(" vs ",F295)-1),I295,G295))</x:f>
        <x:v>0.83</x:v>
      </x:c>
      <x:c r="W295" s="599" t="n">
        <x:f>IF(OR(U295="",U295="待结算"),"",IF(U295="红",V295,IF(U295="半红",V295*0.5,IF(U295="走",0,IF(U295="半黑",-0.5,-1)))))</x:f>
        <x:v>-1</x:v>
      </x:c>
      <x:c r="X295" s="595" t="inlineStr">
        <x:is>
          <x:t xml:space="preserve">3013707</x:t>
        </x:is>
      </x:c>
      <x:c r="Y295" s="595" t="inlineStr">
        <x:is>
          <x:t xml:space="preserve">v4-market-dirichlet-20260913</x:t>
        </x:is>
      </x:c>
      <x:c r="Z295" s="595" t="inlineStr">
        <x:is>
          <x:t xml:space="preserve">prior-2026-09-20-v1</x:t>
        </x:is>
      </x:c>
      <x:c r="AA295" s="595" t="inlineStr">
        <x:is>
          <x:t xml:space="preserve">C</x:t>
        </x:is>
      </x:c>
      <x:c r="AB295" s="600" t="n">
        <x:v>0.4971428571428572</x:v>
      </x:c>
      <x:c r="AC295" s="600" t="n">
        <x:v>0</x:v>
      </x:c>
      <x:c r="AD295" s="600" t="n">
        <x:v>0</x:v>
      </x:c>
      <x:c r="AE295" s="600" t="n">
        <x:v>0</x:v>
      </x:c>
      <x:c r="AF295" s="600" t="n">
        <x:v>0.5028571428571429</x:v>
      </x:c>
      <x:c r="AG295" s="600" t="n">
        <x:v>0.01914285714285713</x:v>
      </x:c>
      <x:c r="AH295" s="600" t="n">
        <x:v>-0.1055181228834138</x:v>
      </x:c>
      <x:c r="AI295" s="600" t="n">
        <x:v>-0.0790557581954513</x:v>
      </x:c>
      <x:c r="AJ295" s="600" t="n">
        <x:v>0.02378167957790289</x:v>
      </x:c>
      <x:c r="AK295" s="600" t="n">
        <x:v>0.1234645137438162</x:v>
      </x:c>
      <x:c r="AL295" s="600" t="n">
        <x:v>0.150287328984735</x:v>
      </x:c>
      <x:c r="AM295" s="600" t="n">
        <x:v>0.6138</x:v>
      </x:c>
      <x:c r="AN295" s="595" t="inlineStr">
        <x:is>
          <x:t xml:space="preserve">FROZEN_PREMATCH_DECISION</x:t>
        </x:is>
      </x:c>
      <x:c r="AO295" s="600" t="inlineStr">
        <x:is>
          <x:t xml:space="preserve">STARTED_DECISION_LOCKED</x:t>
        </x:is>
      </x:c>
      <x:c r="AP295" s="600" t="inlineStr">
        <x:is>
          <x:t xml:space="preserve">f39b8c9fa38bcc58aba4</x:t>
        </x:is>
      </x:c>
      <x:c r="AQ295" s="600" t="n">
        <x:v>-0.5</x:v>
      </x:c>
      <x:c r="AR295" s="600" t="n">
        <x:v>1.05</x:v>
      </x:c>
      <x:c r="AS295" s="600" t="n">
        <x:v>-0.5</x:v>
      </x:c>
      <x:c r="AT295" s="600" t="n">
        <x:v>0.5</x:v>
      </x:c>
      <x:c r="AU295" s="600" t="n">
        <x:v>1.05</x:v>
      </x:c>
      <x:c r="AV295" s="600" t="n">
        <x:v>0.83</x:v>
      </x:c>
      <x:c r="AW295" s="595" t="n">
        <x:v>46285.02989678241</x:v>
      </x:c>
      <x:c r="AX295" s="595" t="inlineStr">
        <x:is>
          <x:t xml:space="preserve">https://simondongxiao.github.io/odds/v4/</x:t>
        </x:is>
      </x:c>
      <x:c r="AY295" s="595" t="inlineStr">
        <x:is>
          <x:t xml:space="preserve">V4 Shadow Only；real_money=false；比分差异详见记录审计</x:t>
        </x:is>
      </x:c>
    </x:row>
    <x:row r="296" ht="22" customHeight="1">
      <x:c r="A296" s="595" t="inlineStr">
        <x:is>
          <x:t xml:space="preserve">2026-09-20</x:t>
        </x:is>
      </x:c>
      <x:c r="B296" s="595" t="inlineStr">
        <x:is>
          <x:t xml:space="preserve">2026-09-20 20:00</x:t>
        </x:is>
      </x:c>
      <x:c r="C296" s="595" t="str">
        <x:v>欧洲非五大系列</x:v>
      </x:c>
      <x:c r="D296" s="595" t="inlineStr">
        <x:is>
          <x:t xml:space="preserve">联赛</x:t>
        </x:is>
      </x:c>
      <x:c r="E296" s="595" t="inlineStr">
        <x:is>
          <x:t xml:space="preserve">瑞典超</x:t>
        </x:is>
      </x:c>
      <x:c r="F296" s="595" t="inlineStr">
        <x:is>
          <x:t xml:space="preserve">尤尔加登 vs 埃尔夫斯堡</x:t>
        </x:is>
      </x:c>
      <x:c r="G296" s="596" t="n">
        <x:v>0.87</x:v>
      </x:c>
      <x:c r="H296" s="596" t="n">
        <x:v>1</x:v>
      </x:c>
      <x:c r="I296" s="596" t="n">
        <x:v>1.01</x:v>
      </x:c>
      <x:c r="J296" s="596" t="inlineStr">
        <x:is>
          <x:t xml:space="preserve">0.87/1/1.01</x:t>
        </x:is>
      </x:c>
      <x:c r="K296" s="595" t="inlineStr">
        <x:is>
          <x:t xml:space="preserve">V4-C｜EV +0.0700</x:t>
        </x:is>
      </x:c>
      <x:c r="L296" s="595" t="inlineStr">
        <x:is>
          <x:t xml:space="preserve">埃尔夫斯堡</x:t>
        </x:is>
      </x:c>
      <x:c r="M296" s="597" t="n">
        <x:v>0.5423728813559322</x:v>
      </x:c>
      <x:c r="N296" s="595" t="inlineStr">
        <x:is>
          <x:t xml:space="preserve">V4纸面入选-C</x:t>
        </x:is>
      </x:c>
      <x:c r="O296" s="595" t="inlineStr">
        <x:is>
          <x:t xml:space="preserve">1-2</x:t>
        </x:is>
      </x:c>
      <x:c r="P296" s="595" t="inlineStr">
        <x:is>
          <x:t xml:space="preserve">已结算</x:t>
        </x:is>
      </x:c>
      <x:c r="Q296" s="640" t="inlineStr">
        <x:is>
          <x:t xml:space="preserve">红</x:t>
        </x:is>
      </x:c>
      <x:c r="R296" s="599" t="n">
        <x:v>1.01</x:v>
      </x:c>
      <x:c r="S296" s="599" t="n">
        <x:f>IF(OR(Q296="",Q296="待结算"),"",IF(Q296="红",R296,IF(Q296="半红",R296*0.5,IF(Q296="走",0,IF(Q296="半黑",-0.5,-1)))))</x:f>
        <x:v>1.01</x:v>
      </x:c>
      <x:c r="T296" s="595" t="inlineStr">
        <x:is>
          <x:t xml:space="preserve">https://zq.titan007.com/analysis/2912277cn.htm</x:t>
        </x:is>
      </x:c>
      <x:c r="U296" s="641" t="str">
        <x:f>IF(Q296="","",IF(Q296="待结算","待结算",IF(Q296="红","黑",IF(Q296="半红","半黑",IF(Q296="走","走",IF(Q296="半黑","半红","红"))))))</x:f>
        <x:v>黑</x:v>
      </x:c>
      <x:c r="V296" s="599" t="n">
        <x:f>IF(OR(Q296="",Q296="待结算"),"",IF(L296=LEFT(F296,FIND(" vs ",F296)-1),I296,G296))</x:f>
        <x:v>0.87</x:v>
      </x:c>
      <x:c r="W296" s="599" t="n">
        <x:f>IF(OR(U296="",U296="待结算"),"",IF(U296="红",V296,IF(U296="半红",V296*0.5,IF(U296="走",0,IF(U296="半黑",-0.5,-1)))))</x:f>
        <x:v>-1</x:v>
      </x:c>
      <x:c r="X296" s="595" t="inlineStr">
        <x:is>
          <x:t xml:space="preserve">2912277</x:t>
        </x:is>
      </x:c>
      <x:c r="Y296" s="595" t="inlineStr">
        <x:is>
          <x:t xml:space="preserve">v4-market-dirichlet-20260913</x:t>
        </x:is>
      </x:c>
      <x:c r="Z296" s="595" t="inlineStr">
        <x:is>
          <x:t xml:space="preserve">prior-2026-09-20-v1</x:t>
        </x:is>
      </x:c>
      <x:c r="AA296" s="595" t="inlineStr">
        <x:is>
          <x:t xml:space="preserve">C</x:t>
        </x:is>
      </x:c>
      <x:c r="AB296" s="600" t="n">
        <x:v>0.4210526315789473</x:v>
      </x:c>
      <x:c r="AC296" s="600" t="n">
        <x:v>0</x:v>
      </x:c>
      <x:c r="AD296" s="600" t="n">
        <x:v>0.2236842105263158</x:v>
      </x:c>
      <x:c r="AE296" s="600" t="n">
        <x:v>0</x:v>
      </x:c>
      <x:c r="AF296" s="600" t="n">
        <x:v>0.3552631578947368</x:v>
      </x:c>
      <x:c r="AG296" s="600" t="n">
        <x:v>0.07000000000000001</x:v>
      </x:c>
      <x:c r="AH296" s="600" t="n">
        <x:v>-0.09290560781695106</x:v>
      </x:c>
      <x:c r="AI296" s="600" t="n">
        <x:v>-0.05718334972083144</x:v>
      </x:c>
      <x:c r="AJ296" s="600" t="n">
        <x:v>0.07189771483422797</x:v>
      </x:c>
      <x:c r="AK296" s="600" t="n">
        <x:v>0.1953742006564072</x:v>
      </x:c>
      <x:c r="AL296" s="600" t="n">
        <x:v>0.2319014177179115</x:v>
      </x:c>
      <x:c r="AM296" s="600" t="n">
        <x:v>0.7574</x:v>
      </x:c>
      <x:c r="AN296" s="595" t="inlineStr">
        <x:is>
          <x:t xml:space="preserve">FROZEN_PREMATCH_DECISION</x:t>
        </x:is>
      </x:c>
      <x:c r="AO296" s="600" t="inlineStr">
        <x:is>
          <x:t xml:space="preserve">STARTED_DECISION_LOCKED</x:t>
        </x:is>
      </x:c>
      <x:c r="AP296" s="600" t="inlineStr">
        <x:is>
          <x:t xml:space="preserve">d47b9de8d0829399ec19</x:t>
        </x:is>
      </x:c>
      <x:c r="AQ296" s="600" t="n">
        <x:v>1</x:v>
      </x:c>
      <x:c r="AR296" s="600" t="n">
        <x:v>1.01</x:v>
      </x:c>
      <x:c r="AS296" s="600" t="n">
        <x:v>-1</x:v>
      </x:c>
      <x:c r="AT296" s="600" t="n">
        <x:v>1</x:v>
      </x:c>
      <x:c r="AU296" s="600" t="n">
        <x:v>0.87</x:v>
      </x:c>
      <x:c r="AV296" s="600" t="n">
        <x:v>1.01</x:v>
      </x:c>
      <x:c r="AW296" s="595" t="n">
        <x:v>46285.02989678241</x:v>
      </x:c>
      <x:c r="AX296" s="595" t="inlineStr">
        <x:is>
          <x:t xml:space="preserve">https://simondongxiao.github.io/odds/v4/</x:t>
        </x:is>
      </x:c>
      <x:c r="AY296" s="595" t="inlineStr">
        <x:is>
          <x:t xml:space="preserve">V4 Shadow Only；real_money=false；比分差异详见记录审计</x:t>
        </x:is>
      </x:c>
    </x:row>
    <x:row r="297" ht="22" customHeight="1">
      <x:c r="A297" s="595" t="inlineStr">
        <x:is>
          <x:t xml:space="preserve">2026-09-20</x:t>
        </x:is>
      </x:c>
      <x:c r="B297" s="595" t="inlineStr">
        <x:is>
          <x:t xml:space="preserve">2026-09-20 20:00</x:t>
        </x:is>
      </x:c>
      <x:c r="C297" s="595" t="str">
        <x:v>其他系列</x:v>
      </x:c>
      <x:c r="D297" s="595" t="inlineStr">
        <x:is>
          <x:t xml:space="preserve">联赛</x:t>
        </x:is>
      </x:c>
      <x:c r="E297" s="595" t="inlineStr">
        <x:is>
          <x:t xml:space="preserve">印尼超</x:t>
        </x:is>
      </x:c>
      <x:c r="F297" s="595" t="inlineStr">
        <x:is>
          <x:t xml:space="preserve">杰帕拉 vs 万隆</x:t>
        </x:is>
      </x:c>
      <x:c r="G297" s="596" t="n">
        <x:v>1</x:v>
      </x:c>
      <x:c r="H297" s="596" t="n">
        <x:v>-1</x:v>
      </x:c>
      <x:c r="I297" s="596" t="n">
        <x:v>0.82</x:v>
      </x:c>
      <x:c r="J297" s="596" t="inlineStr">
        <x:is>
          <x:t xml:space="preserve">1.00/-1/0.82</x:t>
        </x:is>
      </x:c>
      <x:c r="K297" s="595" t="inlineStr">
        <x:is>
          <x:t xml:space="preserve">V4-C｜EV +0.0658</x:t>
        </x:is>
      </x:c>
      <x:c r="L297" s="595" t="inlineStr">
        <x:is>
          <x:t xml:space="preserve">杰帕拉</x:t>
        </x:is>
      </x:c>
      <x:c r="M297" s="597" t="n">
        <x:v>0.5423728813559322</x:v>
      </x:c>
      <x:c r="N297" s="595" t="inlineStr">
        <x:is>
          <x:t xml:space="preserve">V4纸面入选-C</x:t>
        </x:is>
      </x:c>
      <x:c r="O297" s="595" t="inlineStr">
        <x:is>
          <x:t xml:space="preserve">1-2</x:t>
        </x:is>
      </x:c>
      <x:c r="P297" s="595" t="inlineStr">
        <x:is>
          <x:t xml:space="preserve">已结算</x:t>
        </x:is>
      </x:c>
      <x:c r="Q297" s="644" t="inlineStr">
        <x:is>
          <x:t xml:space="preserve">走</x:t>
        </x:is>
      </x:c>
      <x:c r="R297" s="599" t="n">
        <x:v>1</x:v>
      </x:c>
      <x:c r="S297" s="599" t="n">
        <x:f>IF(OR(Q297="",Q297="待结算"),"",IF(Q297="红",R297,IF(Q297="半红",R297*0.5,IF(Q297="走",0,IF(Q297="半黑",-0.5,-1)))))</x:f>
        <x:v>0</x:v>
      </x:c>
      <x:c r="T297" s="595" t="inlineStr">
        <x:is>
          <x:t xml:space="preserve">https://zq.titan007.com/analysis/3062848cn.htm</x:t>
        </x:is>
      </x:c>
      <x:c r="U297" s="644" t="str">
        <x:f>IF(Q297="","",IF(Q297="待结算","待结算",IF(Q297="红","黑",IF(Q297="半红","半黑",IF(Q297="走","走",IF(Q297="半黑","半红","红"))))))</x:f>
        <x:v>走</x:v>
      </x:c>
      <x:c r="V297" s="599" t="n">
        <x:f>IF(OR(Q297="",Q297="待结算"),"",IF(L297=LEFT(F297,FIND(" vs ",F297)-1),I297,G297))</x:f>
        <x:v>0.82</x:v>
      </x:c>
      <x:c r="W297" s="599" t="n">
        <x:f>IF(OR(U297="",U297="待结算"),"",IF(U297="红",V297,IF(U297="半红",V297*0.5,IF(U297="走",0,IF(U297="半黑",-0.5,-1)))))</x:f>
        <x:v>0</x:v>
      </x:c>
      <x:c r="X297" s="595" t="inlineStr">
        <x:is>
          <x:t xml:space="preserve">3062848</x:t>
        </x:is>
      </x:c>
      <x:c r="Y297" s="595" t="inlineStr">
        <x:is>
          <x:t xml:space="preserve">v4-market-dirichlet-20260913</x:t>
        </x:is>
      </x:c>
      <x:c r="Z297" s="595" t="inlineStr">
        <x:is>
          <x:t xml:space="preserve">prior-2026-09-20-v1</x:t>
        </x:is>
      </x:c>
      <x:c r="AA297" s="595" t="inlineStr">
        <x:is>
          <x:t xml:space="preserve">C</x:t>
        </x:is>
      </x:c>
      <x:c r="AB297" s="600" t="n">
        <x:v>0.4210526315789473</x:v>
      </x:c>
      <x:c r="AC297" s="600" t="n">
        <x:v>0</x:v>
      </x:c>
      <x:c r="AD297" s="600" t="n">
        <x:v>0.2236842105263158</x:v>
      </x:c>
      <x:c r="AE297" s="600" t="n">
        <x:v>0</x:v>
      </x:c>
      <x:c r="AF297" s="600" t="n">
        <x:v>0.3552631578947368</x:v>
      </x:c>
      <x:c r="AG297" s="600" t="n">
        <x:v>0.06578947368421051</x:v>
      </x:c>
      <x:c r="AH297" s="600" t="n">
        <x:v>-0.1010181378437532</x:v>
      </x:c>
      <x:c r="AI297" s="600" t="n">
        <x:v>-0.06539726223869535</x:v>
      </x:c>
      <x:c r="AJ297" s="600" t="n">
        <x:v>0.06701682089640298</x:v>
      </x:c>
      <x:c r="AK297" s="600" t="n">
        <x:v>0.1882710820786167</x:v>
      </x:c>
      <x:c r="AL297" s="600" t="n">
        <x:v>0.2254076786488995</x:v>
      </x:c>
      <x:c r="AM297" s="600" t="n">
        <x:v>0.7478</x:v>
      </x:c>
      <x:c r="AN297" s="595" t="inlineStr">
        <x:is>
          <x:t xml:space="preserve">FROZEN_PREMATCH_DECISION</x:t>
        </x:is>
      </x:c>
      <x:c r="AO297" s="600" t="inlineStr">
        <x:is>
          <x:t xml:space="preserve">STARTED_DECISION_LOCKED</x:t>
        </x:is>
      </x:c>
      <x:c r="AP297" s="600" t="inlineStr">
        <x:is>
          <x:t xml:space="preserve">3b12ada58e224d3512da</x:t>
        </x:is>
      </x:c>
      <x:c r="AQ297" s="600" t="n">
        <x:v>1</x:v>
      </x:c>
      <x:c r="AR297" s="600" t="n">
        <x:v>1</x:v>
      </x:c>
      <x:c r="AS297" s="600" t="n">
        <x:v>1</x:v>
      </x:c>
      <x:c r="AT297" s="600" t="n">
        <x:v>-1</x:v>
      </x:c>
      <x:c r="AU297" s="600" t="n">
        <x:v>1</x:v>
      </x:c>
      <x:c r="AV297" s="600" t="n">
        <x:v>0.82</x:v>
      </x:c>
      <x:c r="AW297" s="595" t="n">
        <x:v>46285.02989678241</x:v>
      </x:c>
      <x:c r="AX297" s="595" t="inlineStr">
        <x:is>
          <x:t xml:space="preserve">https://simondongxiao.github.io/odds/v4/</x:t>
        </x:is>
      </x:c>
      <x:c r="AY297" s="595" t="inlineStr">
        <x:is>
          <x:t xml:space="preserve">V4 Shadow Only；real_money=false；比分差异详见记录审计</x:t>
        </x:is>
      </x:c>
    </x:row>
    <x:row r="298" ht="22" customHeight="1">
      <x:c r="A298" s="595" t="inlineStr">
        <x:is>
          <x:t xml:space="preserve">2026-09-20</x:t>
        </x:is>
      </x:c>
      <x:c r="B298" s="595" t="inlineStr">
        <x:is>
          <x:t xml:space="preserve">2026-09-20 20:00</x:t>
        </x:is>
      </x:c>
      <x:c r="C298" s="595" t="str">
        <x:v>欧洲非五大系列</x:v>
      </x:c>
      <x:c r="D298" s="595" t="inlineStr">
        <x:is>
          <x:t xml:space="preserve">联赛</x:t>
        </x:is>
      </x:c>
      <x:c r="E298" s="595" t="inlineStr">
        <x:is>
          <x:t xml:space="preserve">瑞典超</x:t>
        </x:is>
      </x:c>
      <x:c r="F298" s="595" t="inlineStr">
        <x:is>
          <x:t xml:space="preserve">哈尔姆斯塔德 vs 索尔纳</x:t>
        </x:is>
      </x:c>
      <x:c r="G298" s="596" t="n">
        <x:v>1.04</x:v>
      </x:c>
      <x:c r="H298" s="596" t="n">
        <x:v>-0.25</x:v>
      </x:c>
      <x:c r="I298" s="596" t="n">
        <x:v>0.84</x:v>
      </x:c>
      <x:c r="J298" s="596" t="inlineStr">
        <x:is>
          <x:t xml:space="preserve">1.04/-0.25/0.84</x:t>
        </x:is>
      </x:c>
      <x:c r="K298" s="595" t="inlineStr">
        <x:is>
          <x:t xml:space="preserve">V4-C｜EV +0.0187</x:t>
        </x:is>
      </x:c>
      <x:c r="L298" s="595" t="inlineStr">
        <x:is>
          <x:t xml:space="preserve">哈尔姆斯塔德</x:t>
        </x:is>
      </x:c>
      <x:c r="M298" s="597" t="n">
        <x:v>0.5010224948875256</x:v>
      </x:c>
      <x:c r="N298" s="595" t="inlineStr">
        <x:is>
          <x:t xml:space="preserve">V4纸面入选-C</x:t>
        </x:is>
      </x:c>
      <x:c r="O298" s="595" t="inlineStr">
        <x:is>
          <x:t xml:space="preserve">2-1</x:t>
        </x:is>
      </x:c>
      <x:c r="P298" s="595" t="inlineStr">
        <x:is>
          <x:t xml:space="preserve">已结算</x:t>
        </x:is>
      </x:c>
      <x:c r="Q298" s="640" t="inlineStr">
        <x:is>
          <x:t xml:space="preserve">红</x:t>
        </x:is>
      </x:c>
      <x:c r="R298" s="599" t="n">
        <x:v>1.04</x:v>
      </x:c>
      <x:c r="S298" s="599" t="n">
        <x:f>IF(OR(Q298="",Q298="待结算"),"",IF(Q298="红",R298,IF(Q298="半红",R298*0.5,IF(Q298="走",0,IF(Q298="半黑",-0.5,-1)))))</x:f>
        <x:v>1.04</x:v>
      </x:c>
      <x:c r="T298" s="595" t="inlineStr">
        <x:is>
          <x:t xml:space="preserve">https://zq.titan007.com/analysis/2912278cn.htm</x:t>
        </x:is>
      </x:c>
      <x:c r="U298" s="641" t="str">
        <x:f>IF(Q298="","",IF(Q298="待结算","待结算",IF(Q298="红","黑",IF(Q298="半红","半黑",IF(Q298="走","走",IF(Q298="半黑","半红","红"))))))</x:f>
        <x:v>黑</x:v>
      </x:c>
      <x:c r="V298" s="599" t="n">
        <x:f>IF(OR(Q298="",Q298="待结算"),"",IF(L298=LEFT(F298,FIND(" vs ",F298)-1),I298,G298))</x:f>
        <x:v>0.84</x:v>
      </x:c>
      <x:c r="W298" s="599" t="n">
        <x:f>IF(OR(U298="",U298="待结算"),"",IF(U298="红",V298,IF(U298="半红",V298*0.5,IF(U298="走",0,IF(U298="半黑",-0.5,-1)))))</x:f>
        <x:v>-1</x:v>
      </x:c>
      <x:c r="X298" s="595" t="inlineStr">
        <x:is>
          <x:t xml:space="preserve">2912278</x:t>
        </x:is>
      </x:c>
      <x:c r="Y298" s="595" t="inlineStr">
        <x:is>
          <x:t xml:space="preserve">v4-market-dirichlet-20260913</x:t>
        </x:is>
      </x:c>
      <x:c r="Z298" s="595" t="inlineStr">
        <x:is>
          <x:t xml:space="preserve">prior-2026-09-20-v1</x:t>
        </x:is>
      </x:c>
      <x:c r="AA298" s="595" t="inlineStr">
        <x:is>
          <x:t xml:space="preserve">C</x:t>
        </x:is>
      </x:c>
      <x:c r="AB298" s="600" t="n">
        <x:v>0.2743055555555556</x:v>
      </x:c>
      <x:c r="AC298" s="600" t="n">
        <x:v>0.3020833333333333</x:v>
      </x:c>
      <x:c r="AD298" s="600" t="n">
        <x:v>0</x:v>
      </x:c>
      <x:c r="AE298" s="600" t="n">
        <x:v>0</x:v>
      </x:c>
      <x:c r="AF298" s="600" t="n">
        <x:v>0.4236111111111111</x:v>
      </x:c>
      <x:c r="AG298" s="600" t="n">
        <x:v>0.01874999999999999</x:v>
      </x:c>
      <x:c r="AH298" s="600" t="n">
        <x:v>-0.0698166497516905</x:v>
      </x:c>
      <x:c r="AI298" s="600" t="n">
        <x:v>-0.05085081707016709</x:v>
      </x:c>
      <x:c r="AJ298" s="600" t="n">
        <x:v>0.01939118060300915</x:v>
      </x:c>
      <x:c r="AK298" s="600" t="n">
        <x:v>0.08711532308717879</x:v>
      </x:c>
      <x:c r="AL298" s="600" t="n">
        <x:v>0.1058122736155369</x:v>
      </x:c>
      <x:c r="AM298" s="600" t="n">
        <x:v>0.645</x:v>
      </x:c>
      <x:c r="AN298" s="595" t="inlineStr">
        <x:is>
          <x:t xml:space="preserve">FROZEN_PREMATCH_DECISION</x:t>
        </x:is>
      </x:c>
      <x:c r="AO298" s="600" t="inlineStr">
        <x:is>
          <x:t xml:space="preserve">STARTED_DECISION_LOCKED</x:t>
        </x:is>
      </x:c>
      <x:c r="AP298" s="600" t="inlineStr">
        <x:is>
          <x:t xml:space="preserve">5d6bd4f309eeaf8b3542</x:t>
        </x:is>
      </x:c>
      <x:c r="AQ298" s="600" t="n">
        <x:v>0.25</x:v>
      </x:c>
      <x:c r="AR298" s="600" t="n">
        <x:v>1.04</x:v>
      </x:c>
      <x:c r="AS298" s="600" t="n">
        <x:v>0.25</x:v>
      </x:c>
      <x:c r="AT298" s="600" t="n">
        <x:v>-0.25</x:v>
      </x:c>
      <x:c r="AU298" s="600" t="n">
        <x:v>1.04</x:v>
      </x:c>
      <x:c r="AV298" s="600" t="n">
        <x:v>0.84</x:v>
      </x:c>
      <x:c r="AW298" s="595" t="n">
        <x:v>46285.02989678241</x:v>
      </x:c>
      <x:c r="AX298" s="595" t="inlineStr">
        <x:is>
          <x:t xml:space="preserve">https://simondongxiao.github.io/odds/v4/</x:t>
        </x:is>
      </x:c>
      <x:c r="AY298" s="595" t="inlineStr">
        <x:is>
          <x:t xml:space="preserve">V4 Shadow Only；real_money=false；比分差异详见记录审计</x:t>
        </x:is>
      </x:c>
    </x:row>
    <x:row r="299" ht="22" customHeight="1">
      <x:c r="A299" s="595" t="inlineStr">
        <x:is>
          <x:t xml:space="preserve">2026-09-20</x:t>
        </x:is>
      </x:c>
      <x:c r="B299" s="595" t="inlineStr">
        <x:is>
          <x:t xml:space="preserve">2026-09-20 20:30</x:t>
        </x:is>
      </x:c>
      <x:c r="C299" s="595" t="str">
        <x:v>五大联赛非顶级联赛</x:v>
      </x:c>
      <x:c r="D299" s="595" t="inlineStr">
        <x:is>
          <x:t xml:space="preserve">联赛</x:t>
        </x:is>
      </x:c>
      <x:c r="E299" s="595" t="inlineStr">
        <x:is>
          <x:t xml:space="preserve">英冠</x:t>
        </x:is>
      </x:c>
      <x:c r="F299" s="595" t="inlineStr">
        <x:is>
          <x:t xml:space="preserve">诺维奇 vs 博尔顿</x:t>
        </x:is>
      </x:c>
      <x:c r="G299" s="596" t="n">
        <x:v>1.03</x:v>
      </x:c>
      <x:c r="H299" s="596" t="n">
        <x:v>1.25</x:v>
      </x:c>
      <x:c r="I299" s="596" t="n">
        <x:v>0.85</x:v>
      </x:c>
      <x:c r="J299" s="596" t="inlineStr">
        <x:is>
          <x:t xml:space="preserve">1.03/1.25/0.85</x:t>
        </x:is>
      </x:c>
      <x:c r="K299" s="595" t="inlineStr">
        <x:is>
          <x:t xml:space="preserve">V4-C｜EV +0.0225</x:t>
        </x:is>
      </x:c>
      <x:c r="L299" s="595" t="inlineStr">
        <x:is>
          <x:t xml:space="preserve">诺维奇</x:t>
        </x:is>
      </x:c>
      <x:c r="M299" s="597" t="n">
        <x:v>0.5054945054945055</x:v>
      </x:c>
      <x:c r="N299" s="595" t="inlineStr">
        <x:is>
          <x:t xml:space="preserve">V4纸面入选-C</x:t>
        </x:is>
      </x:c>
      <x:c r="O299" s="595" t="inlineStr">
        <x:is>
          <x:t xml:space="preserve">3-4</x:t>
        </x:is>
      </x:c>
      <x:c r="P299" s="595" t="inlineStr">
        <x:is>
          <x:t xml:space="preserve">已结算</x:t>
        </x:is>
      </x:c>
      <x:c r="Q299" s="641" t="inlineStr">
        <x:is>
          <x:t xml:space="preserve">黑</x:t>
        </x:is>
      </x:c>
      <x:c r="R299" s="599" t="n">
        <x:v>1.03</x:v>
      </x:c>
      <x:c r="S299" s="599" t="n">
        <x:f>IF(OR(Q299="",Q299="待结算"),"",IF(Q299="红",R299,IF(Q299="半红",R299*0.5,IF(Q299="走",0,IF(Q299="半黑",-0.5,-1)))))</x:f>
        <x:v>-1</x:v>
      </x:c>
      <x:c r="T299" s="595" t="inlineStr">
        <x:is>
          <x:t xml:space="preserve">https://zq.titan007.com/analysis/3008240cn.htm</x:t>
        </x:is>
      </x:c>
      <x:c r="U299" s="640" t="str">
        <x:f>IF(Q299="","",IF(Q299="待结算","待结算",IF(Q299="红","黑",IF(Q299="半红","半黑",IF(Q299="走","走",IF(Q299="半黑","半红","红"))))))</x:f>
        <x:v>红</x:v>
      </x:c>
      <x:c r="V299" s="599" t="n">
        <x:f>IF(OR(Q299="",Q299="待结算"),"",IF(L299=LEFT(F299,FIND(" vs ",F299)-1),I299,G299))</x:f>
        <x:v>0.85</x:v>
      </x:c>
      <x:c r="W299" s="599" t="n">
        <x:f>IF(OR(U299="",U299="待结算"),"",IF(U299="红",V299,IF(U299="半红",V299*0.5,IF(U299="走",0,IF(U299="半黑",-0.5,-1)))))</x:f>
        <x:v>0.85</x:v>
      </x:c>
      <x:c r="X299" s="595" t="inlineStr">
        <x:is>
          <x:t xml:space="preserve">3008240</x:t>
        </x:is>
      </x:c>
      <x:c r="Y299" s="595" t="inlineStr">
        <x:is>
          <x:t xml:space="preserve">v4-market-dirichlet-20260913</x:t>
        </x:is>
      </x:c>
      <x:c r="Z299" s="595" t="inlineStr">
        <x:is>
          <x:t xml:space="preserve">prior-2026-09-20-v1</x:t>
        </x:is>
      </x:c>
      <x:c r="AA299" s="595" t="inlineStr">
        <x:is>
          <x:t xml:space="preserve">C</x:t>
        </x:is>
      </x:c>
      <x:c r="AB299" s="600" t="n">
        <x:v>0.4339622641509434</x:v>
      </x:c>
      <x:c r="AC299" s="600" t="n">
        <x:v>0</x:v>
      </x:c>
      <x:c r="AD299" s="600" t="n">
        <x:v>0</x:v>
      </x:c>
      <x:c r="AE299" s="600" t="n">
        <x:v>0.2830188679245283</x:v>
      </x:c>
      <x:c r="AF299" s="600" t="n">
        <x:v>0.2830188679245283</x:v>
      </x:c>
      <x:c r="AG299" s="600" t="n">
        <x:v>0.02245283018867933</x:v>
      </x:c>
      <x:c r="AH299" s="600" t="n">
        <x:v>-0.1699442372366366</x:v>
      </x:c>
      <x:c r="AI299" s="600" t="n">
        <x:v>-0.1303805531124248</x:v>
      </x:c>
      <x:c r="AJ299" s="600" t="n">
        <x:v>0.01875032623676942</x:v>
      </x:c>
      <x:c r="AK299" s="600" t="n">
        <x:v>0.1778946773235218</x:v>
      </x:c>
      <x:c r="AL299" s="600" t="n">
        <x:v>0.2219085047496794</x:v>
      </x:c>
      <x:c r="AM299" s="600" t="n">
        <x:v>0.5662</x:v>
      </x:c>
      <x:c r="AN299" s="595" t="inlineStr">
        <x:is>
          <x:t xml:space="preserve">FROZEN_PREMATCH_DECISION</x:t>
        </x:is>
      </x:c>
      <x:c r="AO299" s="600" t="inlineStr">
        <x:is>
          <x:t xml:space="preserve">STARTED_DECISION_LOCKED</x:t>
        </x:is>
      </x:c>
      <x:c r="AP299" s="600" t="inlineStr">
        <x:is>
          <x:t xml:space="preserve">31cb92306a6a98575401</x:t>
        </x:is>
      </x:c>
      <x:c r="AQ299" s="600" t="n">
        <x:v>-1.25</x:v>
      </x:c>
      <x:c r="AR299" s="600" t="n">
        <x:v>1.03</x:v>
      </x:c>
      <x:c r="AS299" s="600" t="n">
        <x:v>-1.25</x:v>
      </x:c>
      <x:c r="AT299" s="600" t="n">
        <x:v>1.25</x:v>
      </x:c>
      <x:c r="AU299" s="600" t="n">
        <x:v>1.03</x:v>
      </x:c>
      <x:c r="AV299" s="600" t="n">
        <x:v>0.85</x:v>
      </x:c>
      <x:c r="AW299" s="595" t="n">
        <x:v>46285.02989678241</x:v>
      </x:c>
      <x:c r="AX299" s="595" t="inlineStr">
        <x:is>
          <x:t xml:space="preserve">https://simondongxiao.github.io/odds/v4/</x:t>
        </x:is>
      </x:c>
      <x:c r="AY299" s="595" t="inlineStr">
        <x:is>
          <x:t xml:space="preserve">V4 Shadow Only；real_money=false；比分差异详见记录审计</x:t>
        </x:is>
      </x:c>
    </x:row>
    <x:row r="300" ht="22" customHeight="1">
      <x:c r="A300" s="595" t="inlineStr">
        <x:is>
          <x:t xml:space="preserve">2026-09-20</x:t>
        </x:is>
      </x:c>
      <x:c r="B300" s="595" t="inlineStr">
        <x:is>
          <x:t xml:space="preserve">2026-09-20 20:30</x:t>
        </x:is>
      </x:c>
      <x:c r="C300" s="595" t="str">
        <x:v>欧洲非五大系列</x:v>
      </x:c>
      <x:c r="D300" s="595" t="inlineStr">
        <x:is>
          <x:t xml:space="preserve">联赛</x:t>
        </x:is>
      </x:c>
      <x:c r="E300" s="595" t="inlineStr">
        <x:is>
          <x:t xml:space="preserve">荷甲</x:t>
        </x:is>
      </x:c>
      <x:c r="F300" s="595" t="inlineStr">
        <x:is>
          <x:t xml:space="preserve">阿尔克马尔 vs 特尔斯达</x:t>
        </x:is>
      </x:c>
      <x:c r="G300" s="596" t="n">
        <x:v>0.99</x:v>
      </x:c>
      <x:c r="H300" s="596" t="n">
        <x:v>2</x:v>
      </x:c>
      <x:c r="I300" s="596" t="n">
        <x:v>0.89</x:v>
      </x:c>
      <x:c r="J300" s="596" t="inlineStr">
        <x:is>
          <x:t xml:space="preserve">0.99/2/0.89</x:t>
        </x:is>
      </x:c>
      <x:c r="K300" s="595" t="inlineStr">
        <x:is>
          <x:t xml:space="preserve">V4-B｜EV +0.2444</x:t>
        </x:is>
      </x:c>
      <x:c r="L300" s="595" t="inlineStr">
        <x:is>
          <x:t xml:space="preserve">阿尔克马尔</x:t>
        </x:is>
      </x:c>
      <x:c r="M300" s="597" t="n">
        <x:v>0.6428571428571429</x:v>
      </x:c>
      <x:c r="N300" s="595" t="inlineStr">
        <x:is>
          <x:t xml:space="preserve">V4纸面入选-B</x:t>
        </x:is>
      </x:c>
      <x:c r="O300" s="595" t="inlineStr">
        <x:is>
          <x:t xml:space="preserve">1-0</x:t>
        </x:is>
      </x:c>
      <x:c r="P300" s="595" t="inlineStr">
        <x:is>
          <x:t xml:space="preserve">已结算</x:t>
        </x:is>
      </x:c>
      <x:c r="Q300" s="641" t="inlineStr">
        <x:is>
          <x:t xml:space="preserve">黑</x:t>
        </x:is>
      </x:c>
      <x:c r="R300" s="599" t="n">
        <x:v>0.99</x:v>
      </x:c>
      <x:c r="S300" s="599" t="n">
        <x:f>IF(OR(Q300="",Q300="待结算"),"",IF(Q300="红",R300,IF(Q300="半红",R300*0.5,IF(Q300="走",0,IF(Q300="半黑",-0.5,-1)))))</x:f>
        <x:v>-1</x:v>
      </x:c>
      <x:c r="T300" s="595" t="inlineStr">
        <x:is>
          <x:t xml:space="preserve">https://zq.titan007.com/analysis/2996158cn.htm</x:t>
        </x:is>
      </x:c>
      <x:c r="U300" s="640" t="str">
        <x:f>IF(Q300="","",IF(Q300="待结算","待结算",IF(Q300="红","黑",IF(Q300="半红","半黑",IF(Q300="走","走",IF(Q300="半黑","半红","红"))))))</x:f>
        <x:v>红</x:v>
      </x:c>
      <x:c r="V300" s="599" t="n">
        <x:f>IF(OR(Q300="",Q300="待结算"),"",IF(L300=LEFT(F300,FIND(" vs ",F300)-1),I300,G300))</x:f>
        <x:v>0.89</x:v>
      </x:c>
      <x:c r="W300" s="599" t="n">
        <x:f>IF(OR(U300="",U300="待结算"),"",IF(U300="红",V300,IF(U300="半红",V300*0.5,IF(U300="走",0,IF(U300="半黑",-0.5,-1)))))</x:f>
        <x:v>0.89</x:v>
      </x:c>
      <x:c r="X300" s="595" t="inlineStr">
        <x:is>
          <x:t xml:space="preserve">2996158</x:t>
        </x:is>
      </x:c>
      <x:c r="Y300" s="595" t="inlineStr">
        <x:is>
          <x:t xml:space="preserve">v4-market-dirichlet-20260913</x:t>
        </x:is>
      </x:c>
      <x:c r="Z300" s="595" t="inlineStr">
        <x:is>
          <x:t xml:space="preserve">prior-2026-09-20-v1</x:t>
        </x:is>
      </x:c>
      <x:c r="AA300" s="595" t="inlineStr">
        <x:is>
          <x:t xml:space="preserve">B</x:t>
        </x:is>
      </x:c>
      <x:c r="AB300" s="600" t="n">
        <x:v>0.5625</x:v>
      </x:c>
      <x:c r="AC300" s="600" t="n">
        <x:v>0</x:v>
      </x:c>
      <x:c r="AD300" s="600" t="n">
        <x:v>0.125</x:v>
      </x:c>
      <x:c r="AE300" s="600" t="n">
        <x:v>0</x:v>
      </x:c>
      <x:c r="AF300" s="600" t="n">
        <x:v>0.3125</x:v>
      </x:c>
      <x:c r="AG300" s="600" t="n">
        <x:v>0.244375</x:v>
      </x:c>
      <x:c r="AH300" s="600" t="n">
        <x:v>-0.135887148929467</x:v>
      </x:c>
      <x:c r="AI300" s="600" t="n">
        <x:v>-0.04555151055123835</x:v>
      </x:c>
      <x:c r="AJ300" s="600" t="n">
        <x:v>0.2500794503409481</x:v>
      </x:c>
      <x:c r="AK300" s="600" t="n">
        <x:v>0.5140781261073394</x:v>
      </x:c>
      <x:c r="AL300" s="600" t="n">
        <x:v>0.5777463588639988</x:v>
      </x:c>
      <x:c r="AM300" s="600" t="n">
        <x:v>0.8606</x:v>
      </x:c>
      <x:c r="AN300" s="595" t="inlineStr">
        <x:is>
          <x:t xml:space="preserve">FROZEN_PREMATCH_DECISION</x:t>
        </x:is>
      </x:c>
      <x:c r="AO300" s="600" t="inlineStr">
        <x:is>
          <x:t xml:space="preserve">STARTED_DECISION_LOCKED</x:t>
        </x:is>
      </x:c>
      <x:c r="AP300" s="600" t="inlineStr">
        <x:is>
          <x:t xml:space="preserve">312c86e99a2278f5c7b2</x:t>
        </x:is>
      </x:c>
      <x:c r="AQ300" s="600" t="n">
        <x:v>-2</x:v>
      </x:c>
      <x:c r="AR300" s="600" t="n">
        <x:v>0.99</x:v>
      </x:c>
      <x:c r="AS300" s="600" t="n">
        <x:v>-2</x:v>
      </x:c>
      <x:c r="AT300" s="600" t="n">
        <x:v>2</x:v>
      </x:c>
      <x:c r="AU300" s="600" t="n">
        <x:v>0.99</x:v>
      </x:c>
      <x:c r="AV300" s="600" t="n">
        <x:v>0.89</x:v>
      </x:c>
      <x:c r="AW300" s="595" t="n">
        <x:v>46285.02989678241</x:v>
      </x:c>
      <x:c r="AX300" s="595" t="inlineStr">
        <x:is>
          <x:t xml:space="preserve">https://simondongxiao.github.io/odds/v4/</x:t>
        </x:is>
      </x:c>
      <x:c r="AY300" s="595" t="inlineStr">
        <x:is>
          <x:t xml:space="preserve">V4 Shadow Only；real_money=false；比分差异详见记录审计</x:t>
        </x:is>
      </x:c>
    </x:row>
    <x:row r="301" ht="22" customHeight="1">
      <x:c r="A301" s="595" t="inlineStr">
        <x:is>
          <x:t xml:space="preserve">2026-09-20</x:t>
        </x:is>
      </x:c>
      <x:c r="B301" s="595" t="inlineStr">
        <x:is>
          <x:t xml:space="preserve">2026-09-20 20:30</x:t>
        </x:is>
      </x:c>
      <x:c r="C301" s="595" t="str">
        <x:v>欧洲非五大系列</x:v>
      </x:c>
      <x:c r="D301" s="595" t="inlineStr">
        <x:is>
          <x:t xml:space="preserve">联赛</x:t>
        </x:is>
      </x:c>
      <x:c r="E301" s="595" t="inlineStr">
        <x:is>
          <x:t xml:space="preserve">乌克超</x:t>
        </x:is>
      </x:c>
      <x:c r="F301" s="595" t="inlineStr">
        <x:is>
          <x:t xml:space="preserve">卡帕迪 vs 维勒斯</x:t>
        </x:is>
      </x:c>
      <x:c r="G301" s="596" t="n">
        <x:v>0.6</x:v>
      </x:c>
      <x:c r="H301" s="596" t="n">
        <x:v>1</x:v>
      </x:c>
      <x:c r="I301" s="596" t="n">
        <x:v>1.28</x:v>
      </x:c>
      <x:c r="J301" s="596" t="inlineStr">
        <x:is>
          <x:t xml:space="preserve">0.60/1/1.28</x:t>
        </x:is>
      </x:c>
      <x:c r="K301" s="595" t="inlineStr">
        <x:is>
          <x:t xml:space="preserve">V4-A｜EV +0.1837</x:t>
        </x:is>
      </x:c>
      <x:c r="L301" s="595" t="inlineStr">
        <x:is>
          <x:t xml:space="preserve">维勒斯</x:t>
        </x:is>
      </x:c>
      <x:c r="M301" s="597" t="n">
        <x:v>0.5423728813559322</x:v>
      </x:c>
      <x:c r="N301" s="595" t="inlineStr">
        <x:is>
          <x:t xml:space="preserve">V4纸面入选-A</x:t>
        </x:is>
      </x:c>
      <x:c r="O301" s="595" t="inlineStr">
        <x:is>
          <x:t xml:space="preserve">1-1</x:t>
        </x:is>
      </x:c>
      <x:c r="P301" s="595" t="inlineStr">
        <x:is>
          <x:t xml:space="preserve">已结算</x:t>
        </x:is>
      </x:c>
      <x:c r="Q301" s="640" t="inlineStr">
        <x:is>
          <x:t xml:space="preserve">红</x:t>
        </x:is>
      </x:c>
      <x:c r="R301" s="599" t="n">
        <x:v>1.28</x:v>
      </x:c>
      <x:c r="S301" s="599" t="n">
        <x:f>IF(OR(Q301="",Q301="待结算"),"",IF(Q301="红",R301,IF(Q301="半红",R301*0.5,IF(Q301="走",0,IF(Q301="半黑",-0.5,-1)))))</x:f>
        <x:v>1.28</x:v>
      </x:c>
      <x:c r="T301" s="595" t="inlineStr">
        <x:is>
          <x:t xml:space="preserve">https://zq.titan007.com/analysis/3012519cn.htm</x:t>
        </x:is>
      </x:c>
      <x:c r="U301" s="641" t="str">
        <x:f>IF(Q301="","",IF(Q301="待结算","待结算",IF(Q301="红","黑",IF(Q301="半红","半黑",IF(Q301="走","走",IF(Q301="半黑","半红","红"))))))</x:f>
        <x:v>黑</x:v>
      </x:c>
      <x:c r="V301" s="599" t="n">
        <x:f>IF(OR(Q301="",Q301="待结算"),"",IF(L301=LEFT(F301,FIND(" vs ",F301)-1),I301,G301))</x:f>
        <x:v>0.6</x:v>
      </x:c>
      <x:c r="W301" s="599" t="n">
        <x:f>IF(OR(U301="",U301="待结算"),"",IF(U301="红",V301,IF(U301="半红",V301*0.5,IF(U301="走",0,IF(U301="半黑",-0.5,-1)))))</x:f>
        <x:v>-1</x:v>
      </x:c>
      <x:c r="X301" s="595" t="inlineStr">
        <x:is>
          <x:t xml:space="preserve">3012519</x:t>
        </x:is>
      </x:c>
      <x:c r="Y301" s="595" t="inlineStr">
        <x:is>
          <x:t xml:space="preserve">v4-market-dirichlet-20260913</x:t>
        </x:is>
      </x:c>
      <x:c r="Z301" s="595" t="inlineStr">
        <x:is>
          <x:t xml:space="preserve">prior-2026-09-20-v1</x:t>
        </x:is>
      </x:c>
      <x:c r="AA301" s="595" t="inlineStr">
        <x:is>
          <x:t xml:space="preserve">A</x:t>
        </x:is>
      </x:c>
      <x:c r="AB301" s="600" t="n">
        <x:v>0.4210526315789473</x:v>
      </x:c>
      <x:c r="AC301" s="600" t="n">
        <x:v>0</x:v>
      </x:c>
      <x:c r="AD301" s="600" t="n">
        <x:v>0.2236842105263158</x:v>
      </x:c>
      <x:c r="AE301" s="600" t="n">
        <x:v>0</x:v>
      </x:c>
      <x:c r="AF301" s="600" t="n">
        <x:v>0.3552631578947368</x:v>
      </x:c>
      <x:c r="AG301" s="600" t="n">
        <x:v>0.1836842105263158</x:v>
      </x:c>
      <x:c r="AH301" s="600" t="n">
        <x:v>0.001170951231464656</x:v>
      </x:c>
      <x:c r="AI301" s="600" t="n">
        <x:v>0.04106822659031412</x:v>
      </x:c>
      <x:c r="AJ301" s="600" t="n">
        <x:v>0.1893887603742046</x:v>
      </x:c>
      <x:c r="AK301" s="600" t="n">
        <x:v>0.332001466597569</x:v>
      </x:c>
      <x:c r="AL301" s="600" t="n">
        <x:v>0.3718427894256585</x:v>
      </x:c>
      <x:c r="AM301" s="600" t="n">
        <x:v>0.951</x:v>
      </x:c>
      <x:c r="AN301" s="595" t="inlineStr">
        <x:is>
          <x:t xml:space="preserve">FROZEN_PREMATCH_DECISION</x:t>
        </x:is>
      </x:c>
      <x:c r="AO301" s="600" t="inlineStr">
        <x:is>
          <x:t xml:space="preserve">STARTED_DECISION_LOCKED</x:t>
        </x:is>
      </x:c>
      <x:c r="AP301" s="600" t="inlineStr">
        <x:is>
          <x:t xml:space="preserve">717555311632485ee9dd</x:t>
        </x:is>
      </x:c>
      <x:c r="AQ301" s="600" t="n">
        <x:v>1</x:v>
      </x:c>
      <x:c r="AR301" s="600" t="n">
        <x:v>1.28</x:v>
      </x:c>
      <x:c r="AS301" s="600" t="n">
        <x:v>-1</x:v>
      </x:c>
      <x:c r="AT301" s="600" t="n">
        <x:v>1</x:v>
      </x:c>
      <x:c r="AU301" s="600" t="n">
        <x:v>0.6</x:v>
      </x:c>
      <x:c r="AV301" s="600" t="n">
        <x:v>1.28</x:v>
      </x:c>
      <x:c r="AW301" s="595" t="n">
        <x:v>46285.02989678241</x:v>
      </x:c>
      <x:c r="AX301" s="595" t="inlineStr">
        <x:is>
          <x:t xml:space="preserve">https://simondongxiao.github.io/odds/v4/</x:t>
        </x:is>
      </x:c>
      <x:c r="AY301" s="595" t="inlineStr">
        <x:is>
          <x:t xml:space="preserve">V4 Shadow Only；real_money=false；比分差异详见记录审计</x:t>
        </x:is>
      </x:c>
    </x:row>
    <x:row r="302" ht="22" customHeight="1">
      <x:c r="A302" s="595" t="inlineStr">
        <x:is>
          <x:t xml:space="preserve">2026-09-20</x:t>
        </x:is>
      </x:c>
      <x:c r="B302" s="595" t="inlineStr">
        <x:is>
          <x:t xml:space="preserve">2026-09-20 20:30</x:t>
        </x:is>
      </x:c>
      <x:c r="C302" s="595" t="str">
        <x:v>西亚/中亚系列</x:v>
      </x:c>
      <x:c r="D302" s="595" t="inlineStr">
        <x:is>
          <x:t xml:space="preserve">联赛</x:t>
        </x:is>
      </x:c>
      <x:c r="E302" s="595" t="inlineStr">
        <x:is>
          <x:t xml:space="preserve">阿塞超</x:t>
        </x:is>
      </x:c>
      <x:c r="F302" s="595" t="inlineStr">
        <x:is>
          <x:t xml:space="preserve">沙马基 vs 纳希切万</x:t>
        </x:is>
      </x:c>
      <x:c r="G302" s="596" t="n">
        <x:v>0.72</x:v>
      </x:c>
      <x:c r="H302" s="596" t="n">
        <x:v>0.25</x:v>
      </x:c>
      <x:c r="I302" s="596" t="n">
        <x:v>1.04</x:v>
      </x:c>
      <x:c r="J302" s="596" t="inlineStr">
        <x:is>
          <x:t xml:space="preserve">0.72/0.25/1.04</x:t>
        </x:is>
      </x:c>
      <x:c r="K302" s="595" t="inlineStr">
        <x:is>
          <x:t xml:space="preserve">V4-C｜EV +0.0187</x:t>
        </x:is>
      </x:c>
      <x:c r="L302" s="595" t="inlineStr">
        <x:is>
          <x:t xml:space="preserve">纳希切万</x:t>
        </x:is>
      </x:c>
      <x:c r="M302" s="597" t="n">
        <x:v>0.5010224948875256</x:v>
      </x:c>
      <x:c r="N302" s="595" t="inlineStr">
        <x:is>
          <x:t xml:space="preserve">V4纸面入选-C</x:t>
        </x:is>
      </x:c>
      <x:c r="O302" s="595" t="inlineStr">
        <x:is>
          <x:t xml:space="preserve">2-1</x:t>
        </x:is>
      </x:c>
      <x:c r="P302" s="595" t="inlineStr">
        <x:is>
          <x:t xml:space="preserve">已结算</x:t>
        </x:is>
      </x:c>
      <x:c r="Q302" s="641" t="inlineStr">
        <x:is>
          <x:t xml:space="preserve">黑</x:t>
        </x:is>
      </x:c>
      <x:c r="R302" s="599" t="n">
        <x:v>1.04</x:v>
      </x:c>
      <x:c r="S302" s="599" t="n">
        <x:f>IF(OR(Q302="",Q302="待结算"),"",IF(Q302="红",R302,IF(Q302="半红",R302*0.5,IF(Q302="走",0,IF(Q302="半黑",-0.5,-1)))))</x:f>
        <x:v>-1</x:v>
      </x:c>
      <x:c r="T302" s="595" t="inlineStr">
        <x:is>
          <x:t xml:space="preserve">https://zq.titan007.com/analysis/3041564cn.htm</x:t>
        </x:is>
      </x:c>
      <x:c r="U302" s="640" t="str">
        <x:f>IF(Q302="","",IF(Q302="待结算","待结算",IF(Q302="红","黑",IF(Q302="半红","半黑",IF(Q302="走","走",IF(Q302="半黑","半红","红"))))))</x:f>
        <x:v>红</x:v>
      </x:c>
      <x:c r="V302" s="599" t="n">
        <x:f>IF(OR(Q302="",Q302="待结算"),"",IF(L302=LEFT(F302,FIND(" vs ",F302)-1),I302,G302))</x:f>
        <x:v>0.72</x:v>
      </x:c>
      <x:c r="W302" s="599" t="n">
        <x:f>IF(OR(U302="",U302="待结算"),"",IF(U302="红",V302,IF(U302="半红",V302*0.5,IF(U302="走",0,IF(U302="半黑",-0.5,-1)))))</x:f>
        <x:v>0.72</x:v>
      </x:c>
      <x:c r="X302" s="595" t="inlineStr">
        <x:is>
          <x:t xml:space="preserve">3041564</x:t>
        </x:is>
      </x:c>
      <x:c r="Y302" s="595" t="inlineStr">
        <x:is>
          <x:t xml:space="preserve">v4-market-dirichlet-20260913</x:t>
        </x:is>
      </x:c>
      <x:c r="Z302" s="595" t="inlineStr">
        <x:is>
          <x:t xml:space="preserve">prior-2026-09-20-v1</x:t>
        </x:is>
      </x:c>
      <x:c r="AA302" s="595" t="inlineStr">
        <x:is>
          <x:t xml:space="preserve">C</x:t>
        </x:is>
      </x:c>
      <x:c r="AB302" s="600" t="n">
        <x:v>0.2743055555555556</x:v>
      </x:c>
      <x:c r="AC302" s="600" t="n">
        <x:v>0.3020833333333333</x:v>
      </x:c>
      <x:c r="AD302" s="600" t="n">
        <x:v>0</x:v>
      </x:c>
      <x:c r="AE302" s="600" t="n">
        <x:v>0</x:v>
      </x:c>
      <x:c r="AF302" s="600" t="n">
        <x:v>0.4236111111111111</x:v>
      </x:c>
      <x:c r="AG302" s="600" t="n">
        <x:v>0.01874999999999999</x:v>
      </x:c>
      <x:c r="AH302" s="600" t="n">
        <x:v>-0.06805045299272966</x:v>
      </x:c>
      <x:c r="AI302" s="600" t="n">
        <x:v>-0.0491512740412538</x:v>
      </x:c>
      <x:c r="AJ302" s="600" t="n">
        <x:v>0.01902411900328355</x:v>
      </x:c>
      <x:c r="AK302" s="600" t="n">
        <x:v>0.08920470325180518</x:v>
      </x:c>
      <x:c r="AL302" s="600" t="n">
        <x:v>0.1068762901841557</x:v>
      </x:c>
      <x:c r="AM302" s="600" t="n">
        <x:v>0.6354</x:v>
      </x:c>
      <x:c r="AN302" s="595" t="inlineStr">
        <x:is>
          <x:t xml:space="preserve">FROZEN_PREMATCH_DECISION</x:t>
        </x:is>
      </x:c>
      <x:c r="AO302" s="600" t="inlineStr">
        <x:is>
          <x:t xml:space="preserve">STARTED_DECISION_LOCKED</x:t>
        </x:is>
      </x:c>
      <x:c r="AP302" s="600" t="inlineStr">
        <x:is>
          <x:t xml:space="preserve">2e83ca15e83d42b970ad</x:t>
        </x:is>
      </x:c>
      <x:c r="AQ302" s="600" t="n">
        <x:v>0.25</x:v>
      </x:c>
      <x:c r="AR302" s="600" t="n">
        <x:v>1.04</x:v>
      </x:c>
      <x:c r="AS302" s="600" t="n">
        <x:v>-0.25</x:v>
      </x:c>
      <x:c r="AT302" s="600" t="n">
        <x:v>0.25</x:v>
      </x:c>
      <x:c r="AU302" s="600" t="n">
        <x:v>0.72</x:v>
      </x:c>
      <x:c r="AV302" s="600" t="n">
        <x:v>1.04</x:v>
      </x:c>
      <x:c r="AW302" s="595" t="n">
        <x:v>46285.02989678241</x:v>
      </x:c>
      <x:c r="AX302" s="595" t="inlineStr">
        <x:is>
          <x:t xml:space="preserve">https://simondongxiao.github.io/odds/v4/</x:t>
        </x:is>
      </x:c>
      <x:c r="AY302" s="595" t="inlineStr">
        <x:is>
          <x:t xml:space="preserve">V4 Shadow Only；real_money=false；比分差异详见记录审计</x:t>
        </x:is>
      </x:c>
    </x:row>
    <x:row r="303" ht="22" customHeight="1">
      <x:c r="A303" s="595" t="inlineStr">
        <x:is>
          <x:t xml:space="preserve">2026-09-20</x:t>
        </x:is>
      </x:c>
      <x:c r="B303" s="595" t="inlineStr">
        <x:is>
          <x:t xml:space="preserve">2026-09-20 21:00</x:t>
        </x:is>
      </x:c>
      <x:c r="C303" s="595" t="str">
        <x:v>欧洲五大系列</x:v>
      </x:c>
      <x:c r="D303" s="595" t="inlineStr">
        <x:is>
          <x:t xml:space="preserve">联赛</x:t>
        </x:is>
      </x:c>
      <x:c r="E303" s="595" t="inlineStr">
        <x:is>
          <x:t xml:space="preserve">英超</x:t>
        </x:is>
      </x:c>
      <x:c r="F303" s="595" t="inlineStr">
        <x:is>
          <x:t xml:space="preserve">曼彻斯特城 vs 桑德兰</x:t>
        </x:is>
      </x:c>
      <x:c r="G303" s="596" t="n">
        <x:v>0.96</x:v>
      </x:c>
      <x:c r="H303" s="596" t="n">
        <x:v>1.5</x:v>
      </x:c>
      <x:c r="I303" s="596" t="n">
        <x:v>0.92</x:v>
      </x:c>
      <x:c r="J303" s="596" t="inlineStr">
        <x:is>
          <x:t xml:space="preserve">0.96/1.5/0.92</x:t>
        </x:is>
      </x:c>
      <x:c r="K303" s="595" t="inlineStr">
        <x:is>
          <x:t xml:space="preserve">V4-C｜EV +0.1637</x:t>
        </x:is>
      </x:c>
      <x:c r="L303" s="595" t="inlineStr">
        <x:is>
          <x:t xml:space="preserve">曼彻斯特城</x:t>
        </x:is>
      </x:c>
      <x:c r="M303" s="597" t="n">
        <x:v>0.59375</x:v>
      </x:c>
      <x:c r="N303" s="595" t="inlineStr">
        <x:is>
          <x:t xml:space="preserve">V4纸面入选-C</x:t>
        </x:is>
      </x:c>
      <x:c r="O303" s="595" t="inlineStr">
        <x:is>
          <x:t xml:space="preserve">5-3</x:t>
        </x:is>
      </x:c>
      <x:c r="P303" s="595" t="inlineStr">
        <x:is>
          <x:t xml:space="preserve">已结算</x:t>
        </x:is>
      </x:c>
      <x:c r="Q303" s="640" t="inlineStr">
        <x:is>
          <x:t xml:space="preserve">红</x:t>
        </x:is>
      </x:c>
      <x:c r="R303" s="599" t="n">
        <x:v>0.96</x:v>
      </x:c>
      <x:c r="S303" s="599" t="n">
        <x:f>IF(OR(Q303="",Q303="待结算"),"",IF(Q303="红",R303,IF(Q303="半红",R303*0.5,IF(Q303="走",0,IF(Q303="半黑",-0.5,-1)))))</x:f>
        <x:v>0.96</x:v>
      </x:c>
      <x:c r="T303" s="595" t="inlineStr">
        <x:is>
          <x:t xml:space="preserve">https://zq.titan007.com/analysis/3003895cn.htm</x:t>
        </x:is>
      </x:c>
      <x:c r="U303" s="641" t="str">
        <x:f>IF(Q303="","",IF(Q303="待结算","待结算",IF(Q303="红","黑",IF(Q303="半红","半黑",IF(Q303="走","走",IF(Q303="半黑","半红","红"))))))</x:f>
        <x:v>黑</x:v>
      </x:c>
      <x:c r="V303" s="599" t="n">
        <x:f>IF(OR(Q303="",Q303="待结算"),"",IF(L303=LEFT(F303,FIND(" vs ",F303)-1),I303,G303))</x:f>
        <x:v>0.92</x:v>
      </x:c>
      <x:c r="W303" s="599" t="n">
        <x:f>IF(OR(U303="",U303="待结算"),"",IF(U303="红",V303,IF(U303="半红",V303*0.5,IF(U303="走",0,IF(U303="半黑",-0.5,-1)))))</x:f>
        <x:v>-1</x:v>
      </x:c>
      <x:c r="X303" s="595" t="inlineStr">
        <x:is>
          <x:t xml:space="preserve">3003895</x:t>
        </x:is>
      </x:c>
      <x:c r="Y303" s="595" t="inlineStr">
        <x:is>
          <x:t xml:space="preserve">v4-market-dirichlet-20260913</x:t>
        </x:is>
      </x:c>
      <x:c r="Z303" s="595" t="inlineStr">
        <x:is>
          <x:t xml:space="preserve">prior-2026-09-20-v1</x:t>
        </x:is>
      </x:c>
      <x:c r="AA303" s="595" t="inlineStr">
        <x:is>
          <x:t xml:space="preserve">C</x:t>
        </x:is>
      </x:c>
      <x:c r="AB303" s="600" t="n">
        <x:v>0.59375</x:v>
      </x:c>
      <x:c r="AC303" s="600" t="n">
        <x:v>0</x:v>
      </x:c>
      <x:c r="AD303" s="600" t="n">
        <x:v>0</x:v>
      </x:c>
      <x:c r="AE303" s="600" t="n">
        <x:v>0</x:v>
      </x:c>
      <x:c r="AF303" s="600" t="n">
        <x:v>0.40625</x:v>
      </x:c>
      <x:c r="AG303" s="600" t="n">
        <x:v>0.16375</x:v>
      </x:c>
      <x:c r="AH303" s="600" t="n">
        <x:v>-0.1202103161442403</x:v>
      </x:c>
      <x:c r="AI303" s="600" t="n">
        <x:v>-0.05183270941554441</x:v>
      </x:c>
      <x:c r="AJ303" s="600" t="n">
        <x:v>0.1677967636175769</x:v>
      </x:c>
      <x:c r="AK303" s="600" t="n">
        <x:v>0.3730052608739695</x:v>
      </x:c>
      <x:c r="AL303" s="600" t="n">
        <x:v>0.4269078558852105</x:v>
      </x:c>
      <x:c r="AM303" s="600" t="n">
        <x:v>0.8326</x:v>
      </x:c>
      <x:c r="AN303" s="595" t="inlineStr">
        <x:is>
          <x:t xml:space="preserve">FROZEN_PREMATCH_DECISION</x:t>
        </x:is>
      </x:c>
      <x:c r="AO303" s="600" t="inlineStr">
        <x:is>
          <x:t xml:space="preserve">STARTED_DECISION_LOCKED</x:t>
        </x:is>
      </x:c>
      <x:c r="AP303" s="600" t="inlineStr">
        <x:is>
          <x:t xml:space="preserve">17000623cc0c2639520b</x:t>
        </x:is>
      </x:c>
      <x:c r="AQ303" s="600" t="n">
        <x:v>-1.5</x:v>
      </x:c>
      <x:c r="AR303" s="600" t="n">
        <x:v>0.96</x:v>
      </x:c>
      <x:c r="AS303" s="600" t="n">
        <x:v>-1.5</x:v>
      </x:c>
      <x:c r="AT303" s="600" t="n">
        <x:v>1.5</x:v>
      </x:c>
      <x:c r="AU303" s="600" t="n">
        <x:v>0.96</x:v>
      </x:c>
      <x:c r="AV303" s="600" t="n">
        <x:v>0.92</x:v>
      </x:c>
      <x:c r="AW303" s="595" t="n">
        <x:v>46285.02989678241</x:v>
      </x:c>
      <x:c r="AX303" s="595" t="inlineStr">
        <x:is>
          <x:t xml:space="preserve">https://simondongxiao.github.io/odds/v4/</x:t>
        </x:is>
      </x:c>
      <x:c r="AY303" s="595" t="inlineStr">
        <x:is>
          <x:t xml:space="preserve">V4 Shadow Only；real_money=false；比分差异详见记录审计</x:t>
        </x:is>
      </x:c>
    </x:row>
    <x:row r="304" ht="22" customHeight="1">
      <x:c r="A304" s="595" t="inlineStr">
        <x:is>
          <x:t xml:space="preserve">2026-09-20</x:t>
        </x:is>
      </x:c>
      <x:c r="B304" s="595" t="inlineStr">
        <x:is>
          <x:t xml:space="preserve">2026-09-20 21:00</x:t>
        </x:is>
      </x:c>
      <x:c r="C304" s="595" t="str">
        <x:v>欧洲五大系列</x:v>
      </x:c>
      <x:c r="D304" s="595" t="inlineStr">
        <x:is>
          <x:t xml:space="preserve">联赛</x:t>
        </x:is>
      </x:c>
      <x:c r="E304" s="595" t="inlineStr">
        <x:is>
          <x:t xml:space="preserve">意甲</x:t>
        </x:is>
      </x:c>
      <x:c r="F304" s="595" t="inlineStr">
        <x:is>
          <x:t xml:space="preserve">弗洛西诺尼 vs 科莫</x:t>
        </x:is>
      </x:c>
      <x:c r="G304" s="596" t="n">
        <x:v>0.83</x:v>
      </x:c>
      <x:c r="H304" s="596" t="n">
        <x:v>-1.25</x:v>
      </x:c>
      <x:c r="I304" s="596" t="n">
        <x:v>1.05</x:v>
      </x:c>
      <x:c r="J304" s="596" t="inlineStr">
        <x:is>
          <x:t xml:space="preserve">0.83/-1.25/1.05</x:t>
        </x:is>
      </x:c>
      <x:c r="K304" s="595" t="inlineStr">
        <x:is>
          <x:t xml:space="preserve">V4-C｜EV +0.0311</x:t>
        </x:is>
      </x:c>
      <x:c r="L304" s="595" t="inlineStr">
        <x:is>
          <x:t xml:space="preserve">科莫</x:t>
        </x:is>
      </x:c>
      <x:c r="M304" s="597" t="n">
        <x:v>0.5054945054945055</x:v>
      </x:c>
      <x:c r="N304" s="595" t="inlineStr">
        <x:is>
          <x:t xml:space="preserve">V4纸面入选-C</x:t>
        </x:is>
      </x:c>
      <x:c r="O304" s="595" t="inlineStr">
        <x:is>
          <x:t xml:space="preserve">2-0</x:t>
        </x:is>
      </x:c>
      <x:c r="P304" s="595" t="inlineStr">
        <x:is>
          <x:t xml:space="preserve">已结算</x:t>
        </x:is>
      </x:c>
      <x:c r="Q304" s="641" t="inlineStr">
        <x:is>
          <x:t xml:space="preserve">黑</x:t>
        </x:is>
      </x:c>
      <x:c r="R304" s="599" t="n">
        <x:v>1.05</x:v>
      </x:c>
      <x:c r="S304" s="599" t="n">
        <x:f>IF(OR(Q304="",Q304="待结算"),"",IF(Q304="红",R304,IF(Q304="半红",R304*0.5,IF(Q304="走",0,IF(Q304="半黑",-0.5,-1)))))</x:f>
        <x:v>-1</x:v>
      </x:c>
      <x:c r="T304" s="595" t="inlineStr">
        <x:is>
          <x:t xml:space="preserve">https://zq.titan007.com/analysis/2993799cn.htm</x:t>
        </x:is>
      </x:c>
      <x:c r="U304" s="640" t="str">
        <x:f>IF(Q304="","",IF(Q304="待结算","待结算",IF(Q304="红","黑",IF(Q304="半红","半黑",IF(Q304="走","走",IF(Q304="半黑","半红","红"))))))</x:f>
        <x:v>红</x:v>
      </x:c>
      <x:c r="V304" s="599" t="n">
        <x:f>IF(OR(Q304="",Q304="待结算"),"",IF(L304=LEFT(F304,FIND(" vs ",F304)-1),I304,G304))</x:f>
        <x:v>0.83</x:v>
      </x:c>
      <x:c r="W304" s="599" t="n">
        <x:f>IF(OR(U304="",U304="待结算"),"",IF(U304="红",V304,IF(U304="半红",V304*0.5,IF(U304="走",0,IF(U304="半黑",-0.5,-1)))))</x:f>
        <x:v>0.83</x:v>
      </x:c>
      <x:c r="X304" s="595" t="inlineStr">
        <x:is>
          <x:t xml:space="preserve">2993799</x:t>
        </x:is>
      </x:c>
      <x:c r="Y304" s="595" t="inlineStr">
        <x:is>
          <x:t xml:space="preserve">v4-market-dirichlet-20260913</x:t>
        </x:is>
      </x:c>
      <x:c r="Z304" s="595" t="inlineStr">
        <x:is>
          <x:t xml:space="preserve">prior-2026-09-20-v1</x:t>
        </x:is>
      </x:c>
      <x:c r="AA304" s="595" t="inlineStr">
        <x:is>
          <x:t xml:space="preserve">C</x:t>
        </x:is>
      </x:c>
      <x:c r="AB304" s="600" t="n">
        <x:v>0.4339622641509434</x:v>
      </x:c>
      <x:c r="AC304" s="600" t="n">
        <x:v>0</x:v>
      </x:c>
      <x:c r="AD304" s="600" t="n">
        <x:v>0</x:v>
      </x:c>
      <x:c r="AE304" s="600" t="n">
        <x:v>0.2830188679245283</x:v>
      </x:c>
      <x:c r="AF304" s="600" t="n">
        <x:v>0.2830188679245283</x:v>
      </x:c>
      <x:c r="AG304" s="600" t="n">
        <x:v>0.03113207547169811</x:v>
      </x:c>
      <x:c r="AH304" s="600" t="n">
        <x:v>-0.1740053529341127</x:v>
      </x:c>
      <x:c r="AI304" s="600" t="n">
        <x:v>-0.1290334022954402</x:v>
      </x:c>
      <x:c r="AJ304" s="600" t="n">
        <x:v>0.03030575694983673</x:v>
      </x:c>
      <x:c r="AK304" s="600" t="n">
        <x:v>0.1882795179707612</x:v>
      </x:c>
      <x:c r="AL304" s="600" t="n">
        <x:v>0.2317778206999176</x:v>
      </x:c>
      <x:c r="AM304" s="600" t="n">
        <x:v>0.597</x:v>
      </x:c>
      <x:c r="AN304" s="595" t="inlineStr">
        <x:is>
          <x:t xml:space="preserve">FROZEN_PREMATCH_DECISION</x:t>
        </x:is>
      </x:c>
      <x:c r="AO304" s="600" t="inlineStr">
        <x:is>
          <x:t xml:space="preserve">STARTED_DECISION_LOCKED</x:t>
        </x:is>
      </x:c>
      <x:c r="AP304" s="600" t="inlineStr">
        <x:is>
          <x:t xml:space="preserve">f5633c94d1d9c2aed187</x:t>
        </x:is>
      </x:c>
      <x:c r="AQ304" s="600" t="n">
        <x:v>-1.25</x:v>
      </x:c>
      <x:c r="AR304" s="600" t="n">
        <x:v>1.05</x:v>
      </x:c>
      <x:c r="AS304" s="600" t="n">
        <x:v>1.25</x:v>
      </x:c>
      <x:c r="AT304" s="600" t="n">
        <x:v>-1.25</x:v>
      </x:c>
      <x:c r="AU304" s="600" t="n">
        <x:v>0.83</x:v>
      </x:c>
      <x:c r="AV304" s="600" t="n">
        <x:v>1.05</x:v>
      </x:c>
      <x:c r="AW304" s="595" t="n">
        <x:v>46285.02989678241</x:v>
      </x:c>
      <x:c r="AX304" s="595" t="inlineStr">
        <x:is>
          <x:t xml:space="preserve">https://simondongxiao.github.io/odds/v4/</x:t>
        </x:is>
      </x:c>
      <x:c r="AY304" s="595" t="inlineStr">
        <x:is>
          <x:t xml:space="preserve">V4 Shadow Only；real_money=false；比分差异详见记录审计</x:t>
        </x:is>
      </x:c>
    </x:row>
    <x:row r="305" ht="22" customHeight="1">
      <x:c r="A305" s="595" t="inlineStr">
        <x:is>
          <x:t xml:space="preserve">2026-09-20</x:t>
        </x:is>
      </x:c>
      <x:c r="B305" s="595" t="inlineStr">
        <x:is>
          <x:t xml:space="preserve">2026-09-20 22:00</x:t>
        </x:is>
      </x:c>
      <x:c r="C305" s="595" t="str">
        <x:v>欧洲非五大系列</x:v>
      </x:c>
      <x:c r="D305" s="595" t="inlineStr">
        <x:is>
          <x:t xml:space="preserve">联赛</x:t>
        </x:is>
      </x:c>
      <x:c r="E305" s="595" t="inlineStr">
        <x:is>
          <x:t xml:space="preserve">土超</x:t>
        </x:is>
      </x:c>
      <x:c r="F305" s="595" t="inlineStr">
        <x:is>
          <x:t xml:space="preserve">埃尔祖鲁姆体育 vs 萨姆松体育</x:t>
        </x:is>
      </x:c>
      <x:c r="G305" s="596" t="n">
        <x:v>1.13</x:v>
      </x:c>
      <x:c r="H305" s="596" t="n">
        <x:v>0.25</x:v>
      </x:c>
      <x:c r="I305" s="596" t="n">
        <x:v>0.77</x:v>
      </x:c>
      <x:c r="J305" s="596" t="inlineStr">
        <x:is>
          <x:t xml:space="preserve">1.13/0.25/0.77</x:t>
        </x:is>
      </x:c>
      <x:c r="K305" s="595" t="inlineStr">
        <x:is>
          <x:t xml:space="preserve">V4-C｜EV +0.0533</x:t>
        </x:is>
      </x:c>
      <x:c r="L305" s="595" t="inlineStr">
        <x:is>
          <x:t xml:space="preserve">埃尔祖鲁姆体育</x:t>
        </x:is>
      </x:c>
      <x:c r="M305" s="597" t="n">
        <x:v>0.4989775051124744</x:v>
      </x:c>
      <x:c r="N305" s="595" t="inlineStr">
        <x:is>
          <x:t xml:space="preserve">V4纸面入选-C</x:t>
        </x:is>
      </x:c>
      <x:c r="O305" s="595" t="inlineStr">
        <x:is>
          <x:t xml:space="preserve">1-0</x:t>
        </x:is>
      </x:c>
      <x:c r="P305" s="595" t="inlineStr">
        <x:is>
          <x:t xml:space="preserve">已结算</x:t>
        </x:is>
      </x:c>
      <x:c r="Q305" s="640" t="inlineStr">
        <x:is>
          <x:t xml:space="preserve">红</x:t>
        </x:is>
      </x:c>
      <x:c r="R305" s="599" t="n">
        <x:v>1.13</x:v>
      </x:c>
      <x:c r="S305" s="599" t="n">
        <x:f>IF(OR(Q305="",Q305="待结算"),"",IF(Q305="红",R305,IF(Q305="半红",R305*0.5,IF(Q305="走",0,IF(Q305="半黑",-0.5,-1)))))</x:f>
        <x:v>1.13</x:v>
      </x:c>
      <x:c r="T305" s="595" t="inlineStr">
        <x:is>
          <x:t xml:space="preserve">https://zq.titan007.com/analysis/3026736cn.htm</x:t>
        </x:is>
      </x:c>
      <x:c r="U305" s="641" t="str">
        <x:f>IF(Q305="","",IF(Q305="待结算","待结算",IF(Q305="红","黑",IF(Q305="半红","半黑",IF(Q305="走","走",IF(Q305="半黑","半红","红"))))))</x:f>
        <x:v>黑</x:v>
      </x:c>
      <x:c r="V305" s="599" t="n">
        <x:f>IF(OR(Q305="",Q305="待结算"),"",IF(L305=LEFT(F305,FIND(" vs ",F305)-1),I305,G305))</x:f>
        <x:v>0.77</x:v>
      </x:c>
      <x:c r="W305" s="599" t="n">
        <x:f>IF(OR(U305="",U305="待结算"),"",IF(U305="红",V305,IF(U305="半红",V305*0.5,IF(U305="走",0,IF(U305="半黑",-0.5,-1)))))</x:f>
        <x:v>-1</x:v>
      </x:c>
      <x:c r="X305" s="595" t="inlineStr">
        <x:is>
          <x:t xml:space="preserve">3026736</x:t>
        </x:is>
      </x:c>
      <x:c r="Y305" s="595" t="inlineStr">
        <x:is>
          <x:t xml:space="preserve">v4-market-dirichlet-20260913</x:t>
        </x:is>
      </x:c>
      <x:c r="Z305" s="595" t="inlineStr">
        <x:is>
          <x:t xml:space="preserve">prior-2026-09-20-v1</x:t>
        </x:is>
      </x:c>
      <x:c r="AA305" s="595" t="inlineStr">
        <x:is>
          <x:t xml:space="preserve">C</x:t>
        </x:is>
      </x:c>
      <x:c r="AB305" s="600" t="n">
        <x:v>0.4236111111111111</x:v>
      </x:c>
      <x:c r="AC305" s="600" t="n">
        <x:v>0</x:v>
      </x:c>
      <x:c r="AD305" s="600" t="n">
        <x:v>0</x:v>
      </x:c>
      <x:c r="AE305" s="600" t="n">
        <x:v>0.3020833333333333</x:v>
      </x:c>
      <x:c r="AF305" s="600" t="n">
        <x:v>0.2743055555555556</x:v>
      </x:c>
      <x:c r="AG305" s="600" t="n">
        <x:v>0.05333333333333323</x:v>
      </x:c>
      <x:c r="AH305" s="600" t="n">
        <x:v>-0.03780039294011506</x:v>
      </x:c>
      <x:c r="AI305" s="600" t="n">
        <x:v>-0.01835255719924217</x:v>
      </x:c>
      <x:c r="AJ305" s="600" t="n">
        <x:v>0.0537380154610973</x:v>
      </x:c>
      <x:c r="AK305" s="600" t="n">
        <x:v>0.1233236702159701</x:v>
      </x:c>
      <x:c r="AL305" s="600" t="n">
        <x:v>0.145506319386545</x:v>
      </x:c>
      <x:c r="AM305" s="600" t="n">
        <x:v>0.828</x:v>
      </x:c>
      <x:c r="AN305" s="595" t="inlineStr">
        <x:is>
          <x:t xml:space="preserve">EVALUATED</x:t>
        </x:is>
      </x:c>
      <x:c r="AO305" s="600" t="inlineStr">
        <x:is>
          <x:t xml:space="preserve">BUCKET_0.25、SIDE_IDENTITY_VALID、MARKET_MOVE_DEEPER_WITH_GIVING_WATER_RISE</x:t>
        </x:is>
      </x:c>
      <x:c r="AP305" s="600" t="inlineStr">
        <x:is>
          <x:t xml:space="preserve">555f37a24ea147f59215</x:t>
        </x:is>
      </x:c>
      <x:c r="AQ305" s="600" t="n">
        <x:v>-0.25</x:v>
      </x:c>
      <x:c r="AR305" s="600" t="n">
        <x:v>1.13</x:v>
      </x:c>
      <x:c r="AS305" s="600" t="n">
        <x:v>-0.25</x:v>
      </x:c>
      <x:c r="AT305" s="600" t="n">
        <x:v>0.25</x:v>
      </x:c>
      <x:c r="AU305" s="600" t="n">
        <x:v>1.13</x:v>
      </x:c>
      <x:c r="AV305" s="600" t="n">
        <x:v>0.77</x:v>
      </x:c>
      <x:c r="AW305" s="595" t="n">
        <x:v>46285.58031267361</x:v>
      </x:c>
      <x:c r="AX305" s="595" t="inlineStr">
        <x:is>
          <x:t xml:space="preserve">https://simondongxiao.github.io/odds/v4/</x:t>
        </x:is>
      </x:c>
      <x:c r="AY305" s="595" t="inlineStr">
        <x:is>
          <x:t xml:space="preserve">V4 Shadow Only；real_money=false；比分差异详见记录审计</x:t>
        </x:is>
      </x:c>
    </x:row>
    <x:row r="306" ht="22" customHeight="1">
      <x:c r="A306" s="595" t="inlineStr">
        <x:is>
          <x:t xml:space="preserve">2026-09-20</x:t>
        </x:is>
      </x:c>
      <x:c r="B306" s="595" t="inlineStr">
        <x:is>
          <x:t xml:space="preserve">2026-09-20 22:00</x:t>
        </x:is>
      </x:c>
      <x:c r="C306" s="595" t="str">
        <x:v>欧洲非五大系列</x:v>
      </x:c>
      <x:c r="D306" s="595" t="inlineStr">
        <x:is>
          <x:t xml:space="preserve">联赛</x:t>
        </x:is>
      </x:c>
      <x:c r="E306" s="595" t="inlineStr">
        <x:is>
          <x:t xml:space="preserve">瑞典乙北</x:t>
        </x:is>
      </x:c>
      <x:c r="F306" s="595" t="inlineStr">
        <x:is>
          <x:t xml:space="preserve">卡尔堡斯 vs 斯德哥尔摩国际</x:t>
        </x:is>
      </x:c>
      <x:c r="G306" s="596" t="n">
        <x:v>1.03</x:v>
      </x:c>
      <x:c r="H306" s="596" t="n">
        <x:v>-1.25</x:v>
      </x:c>
      <x:c r="I306" s="596" t="n">
        <x:v>0.67</x:v>
      </x:c>
      <x:c r="J306" s="596" t="inlineStr">
        <x:is>
          <x:t xml:space="preserve">1.03/-1.25/0.67</x:t>
        </x:is>
      </x:c>
      <x:c r="K306" s="595" t="inlineStr">
        <x:is>
          <x:t xml:space="preserve">V4-C｜EV +0.0033</x:t>
        </x:is>
      </x:c>
      <x:c r="L306" s="595" t="inlineStr">
        <x:is>
          <x:t xml:space="preserve">卡尔堡斯</x:t>
        </x:is>
      </x:c>
      <x:c r="M306" s="597" t="n">
        <x:v>0.4945054945054945</x:v>
      </x:c>
      <x:c r="N306" s="595" t="inlineStr">
        <x:is>
          <x:t xml:space="preserve">V4纸面入选-C</x:t>
        </x:is>
      </x:c>
      <x:c r="O306" s="595" t="inlineStr">
        <x:is>
          <x:t xml:space="preserve">0-2</x:t>
        </x:is>
      </x:c>
      <x:c r="P306" s="595" t="inlineStr">
        <x:is>
          <x:t xml:space="preserve">已结算</x:t>
        </x:is>
      </x:c>
      <x:c r="Q306" s="641" t="inlineStr">
        <x:is>
          <x:t xml:space="preserve">黑</x:t>
        </x:is>
      </x:c>
      <x:c r="R306" s="599" t="n">
        <x:v>1.03</x:v>
      </x:c>
      <x:c r="S306" s="599" t="n">
        <x:f>IF(OR(Q306="",Q306="待结算"),"",IF(Q306="红",R306,IF(Q306="半红",R306*0.5,IF(Q306="走",0,IF(Q306="半黑",-0.5,-1)))))</x:f>
        <x:v>-1</x:v>
      </x:c>
      <x:c r="T306" s="595" t="inlineStr">
        <x:is>
          <x:t xml:space="preserve">https://zq.titan007.com/analysis/2920152cn.htm</x:t>
        </x:is>
      </x:c>
      <x:c r="U306" s="640" t="str">
        <x:f>IF(Q306="","",IF(Q306="待结算","待结算",IF(Q306="红","黑",IF(Q306="半红","半黑",IF(Q306="走","走",IF(Q306="半黑","半红","红"))))))</x:f>
        <x:v>红</x:v>
      </x:c>
      <x:c r="V306" s="599" t="n">
        <x:f>IF(OR(Q306="",Q306="待结算"),"",IF(L306=LEFT(F306,FIND(" vs ",F306)-1),I306,G306))</x:f>
        <x:v>0.67</x:v>
      </x:c>
      <x:c r="W306" s="599" t="n">
        <x:f>IF(OR(U306="",U306="待结算"),"",IF(U306="红",V306,IF(U306="半红",V306*0.5,IF(U306="走",0,IF(U306="半黑",-0.5,-1)))))</x:f>
        <x:v>0.67</x:v>
      </x:c>
      <x:c r="X306" s="595" t="inlineStr">
        <x:is>
          <x:t xml:space="preserve">2920152</x:t>
        </x:is>
      </x:c>
      <x:c r="Y306" s="595" t="inlineStr">
        <x:is>
          <x:t xml:space="preserve">v4-market-dirichlet-20260913</x:t>
        </x:is>
      </x:c>
      <x:c r="Z306" s="595" t="inlineStr">
        <x:is>
          <x:t xml:space="preserve">prior-2026-09-20-v1</x:t>
        </x:is>
      </x:c>
      <x:c r="AA306" s="595" t="inlineStr">
        <x:is>
          <x:t xml:space="preserve">C</x:t>
        </x:is>
      </x:c>
      <x:c r="AB306" s="600" t="n">
        <x:v>0.2830188679245283</x:v>
      </x:c>
      <x:c r="AC306" s="600" t="n">
        <x:v>0.2830188679245283</x:v>
      </x:c>
      <x:c r="AD306" s="600" t="n">
        <x:v>0</x:v>
      </x:c>
      <x:c r="AE306" s="600" t="n">
        <x:v>0</x:v>
      </x:c>
      <x:c r="AF306" s="600" t="n">
        <x:v>0.4339622641509434</x:v>
      </x:c>
      <x:c r="AG306" s="600" t="n">
        <x:v>0.003301886792452802</x:v>
      </x:c>
      <x:c r="AH306" s="600" t="n">
        <x:v>-0.2031428302030176</x:v>
      </x:c>
      <x:c r="AI306" s="600" t="n">
        <x:v>-0.152815800021194</x:v>
      </x:c>
      <x:c r="AJ306" s="600" t="n">
        <x:v>0.003728914269312489</x:v>
      </x:c>
      <x:c r="AK306" s="600" t="n">
        <x:v>0.1610922522834654</x:v>
      </x:c>
      <x:c r="AL306" s="600" t="n">
        <x:v>0.2056920642661288</x:v>
      </x:c>
      <x:c r="AM306" s="600" t="n">
        <x:v>0.5124</x:v>
      </x:c>
      <x:c r="AN306" s="595" t="inlineStr">
        <x:is>
          <x:t xml:space="preserve">EVALUATED</x:t>
        </x:is>
      </x:c>
      <x:c r="AO306" s="600" t="inlineStr">
        <x:is>
          <x:t xml:space="preserve">BUCKET_1.25、SIDE_IDENTITY_VALID、FLAT_LINE_GIVING_WATER_DROP</x:t>
        </x:is>
      </x:c>
      <x:c r="AP306" s="600" t="inlineStr">
        <x:is>
          <x:t xml:space="preserve">c7e588860d6cd0e48968</x:t>
        </x:is>
      </x:c>
      <x:c r="AQ306" s="600" t="n">
        <x:v>1.25</x:v>
      </x:c>
      <x:c r="AR306" s="600" t="n">
        <x:v>1.03</x:v>
      </x:c>
      <x:c r="AS306" s="600" t="n">
        <x:v>1.25</x:v>
      </x:c>
      <x:c r="AT306" s="600" t="n">
        <x:v>-1.25</x:v>
      </x:c>
      <x:c r="AU306" s="600" t="n">
        <x:v>1.03</x:v>
      </x:c>
      <x:c r="AV306" s="600" t="n">
        <x:v>0.67</x:v>
      </x:c>
      <x:c r="AW306" s="595" t="n">
        <x:v>46285.58031267361</x:v>
      </x:c>
      <x:c r="AX306" s="595" t="inlineStr">
        <x:is>
          <x:t xml:space="preserve">https://simondongxiao.github.io/odds/v4/</x:t>
        </x:is>
      </x:c>
      <x:c r="AY306" s="595" t="inlineStr">
        <x:is>
          <x:t xml:space="preserve">V4 Shadow Only；real_money=false；比分差异详见记录审计</x:t>
        </x:is>
      </x:c>
    </x:row>
    <x:row r="307" ht="22" customHeight="1">
      <x:c r="A307" s="595" t="inlineStr">
        <x:is>
          <x:t xml:space="preserve">2026-09-20</x:t>
        </x:is>
      </x:c>
      <x:c r="B307" s="595" t="inlineStr">
        <x:is>
          <x:t xml:space="preserve">2026-09-20 22:00</x:t>
        </x:is>
      </x:c>
      <x:c r="C307" s="595" t="str">
        <x:v>欧洲非五大系列</x:v>
      </x:c>
      <x:c r="D307" s="595" t="inlineStr">
        <x:is>
          <x:t xml:space="preserve">联赛</x:t>
        </x:is>
      </x:c>
      <x:c r="E307" s="595" t="inlineStr">
        <x:is>
          <x:t xml:space="preserve">丹麦超</x:t>
        </x:is>
      </x:c>
      <x:c r="F307" s="595" t="inlineStr">
        <x:is>
          <x:t xml:space="preserve">霍森斯 vs 奥胡斯</x:t>
        </x:is>
      </x:c>
      <x:c r="G307" s="596" t="n">
        <x:v>0.84</x:v>
      </x:c>
      <x:c r="H307" s="596" t="n">
        <x:v>-0.75</x:v>
      </x:c>
      <x:c r="I307" s="596" t="n">
        <x:v>1.05</x:v>
      </x:c>
      <x:c r="J307" s="596" t="inlineStr">
        <x:is>
          <x:t xml:space="preserve">0.84/-0.75/1.05</x:t>
        </x:is>
      </x:c>
      <x:c r="K307" s="595" t="inlineStr">
        <x:is>
          <x:t xml:space="preserve">V4-C｜EV +0.0090</x:t>
        </x:is>
      </x:c>
      <x:c r="L307" s="595" t="inlineStr">
        <x:is>
          <x:t xml:space="preserve">奥胡斯</x:t>
        </x:is>
      </x:c>
      <x:c r="M307" s="597" t="n">
        <x:v>0.4928229665071771</x:v>
      </x:c>
      <x:c r="N307" s="595" t="inlineStr">
        <x:is>
          <x:t xml:space="preserve">V4纸面入选-C</x:t>
        </x:is>
      </x:c>
      <x:c r="O307" s="595" t="inlineStr">
        <x:is>
          <x:t xml:space="preserve">2-2</x:t>
        </x:is>
      </x:c>
      <x:c r="P307" s="595" t="inlineStr">
        <x:is>
          <x:t xml:space="preserve">已结算</x:t>
        </x:is>
      </x:c>
      <x:c r="Q307" s="641" t="inlineStr">
        <x:is>
          <x:t xml:space="preserve">黑</x:t>
        </x:is>
      </x:c>
      <x:c r="R307" s="599" t="n">
        <x:v>1.05</x:v>
      </x:c>
      <x:c r="S307" s="599" t="n">
        <x:f>IF(OR(Q307="",Q307="待结算"),"",IF(Q307="红",R307,IF(Q307="半红",R307*0.5,IF(Q307="走",0,IF(Q307="半黑",-0.5,-1)))))</x:f>
        <x:v>-1</x:v>
      </x:c>
      <x:c r="T307" s="595" t="inlineStr">
        <x:is>
          <x:t xml:space="preserve">https://zq.titan007.com/analysis/2998249cn.htm</x:t>
        </x:is>
      </x:c>
      <x:c r="U307" s="640" t="str">
        <x:f>IF(Q307="","",IF(Q307="待结算","待结算",IF(Q307="红","黑",IF(Q307="半红","半黑",IF(Q307="走","走",IF(Q307="半黑","半红","红"))))))</x:f>
        <x:v>红</x:v>
      </x:c>
      <x:c r="V307" s="599" t="n">
        <x:f>IF(OR(Q307="",Q307="待结算"),"",IF(L307=LEFT(F307,FIND(" vs ",F307)-1),I307,G307))</x:f>
        <x:v>0.84</x:v>
      </x:c>
      <x:c r="W307" s="599" t="n">
        <x:f>IF(OR(U307="",U307="待结算"),"",IF(U307="红",V307,IF(U307="半红",V307*0.5,IF(U307="走",0,IF(U307="半黑",-0.5,-1)))))</x:f>
        <x:v>0.84</x:v>
      </x:c>
      <x:c r="X307" s="595" t="inlineStr">
        <x:is>
          <x:t xml:space="preserve">2998249</x:t>
        </x:is>
      </x:c>
      <x:c r="Y307" s="595" t="inlineStr">
        <x:is>
          <x:t xml:space="preserve">v4-market-dirichlet-20260913</x:t>
        </x:is>
      </x:c>
      <x:c r="Z307" s="595" t="inlineStr">
        <x:is>
          <x:t xml:space="preserve">prior-2026-09-20-v1</x:t>
        </x:is>
      </x:c>
      <x:c r="AA307" s="595" t="inlineStr">
        <x:is>
          <x:t xml:space="preserve">C</x:t>
        </x:is>
      </x:c>
      <x:c r="AB307" s="600" t="n">
        <x:v>0.3</x:v>
      </x:c>
      <x:c r="AC307" s="600" t="n">
        <x:v>0.2583333333333334</x:v>
      </x:c>
      <x:c r="AD307" s="600" t="n">
        <x:v>0</x:v>
      </x:c>
      <x:c r="AE307" s="600" t="n">
        <x:v>0</x:v>
      </x:c>
      <x:c r="AF307" s="600" t="n">
        <x:v>0.4416666666666667</x:v>
      </x:c>
      <x:c r="AG307" s="600" t="n">
        <x:v>0.008958333333333401</x:v>
      </x:c>
      <x:c r="AH307" s="600" t="n">
        <x:v>-0.1284875578608347</x:v>
      </x:c>
      <x:c r="AI307" s="600" t="n">
        <x:v>-0.09517585908680537</x:v>
      </x:c>
      <x:c r="AJ307" s="600" t="n">
        <x:v>0.007757230591066588</x:v>
      </x:c>
      <x:c r="AK307" s="600" t="n">
        <x:v>0.1184745869102749</x:v>
      </x:c>
      <x:c r="AL307" s="600" t="n">
        <x:v>0.1484629826138729</x:v>
      </x:c>
      <x:c r="AM307" s="600" t="n">
        <x:v>0.5342</x:v>
      </x:c>
      <x:c r="AN307" s="595" t="inlineStr">
        <x:is>
          <x:t xml:space="preserve">EVALUATED</x:t>
        </x:is>
      </x:c>
      <x:c r="AO307" s="600" t="inlineStr">
        <x:is>
          <x:t xml:space="preserve">BUCKET_0.75、SIDE_IDENTITY_VALID、MARKET_MOVE_DEEPER_WITH_GIVING_WATER_RISE</x:t>
        </x:is>
      </x:c>
      <x:c r="AP307" s="600" t="inlineStr">
        <x:is>
          <x:t xml:space="preserve">2c40687b112658b16ef7</x:t>
        </x:is>
      </x:c>
      <x:c r="AQ307" s="600" t="n">
        <x:v>-0.75</x:v>
      </x:c>
      <x:c r="AR307" s="600" t="n">
        <x:v>1.05</x:v>
      </x:c>
      <x:c r="AS307" s="600" t="n">
        <x:v>0.75</x:v>
      </x:c>
      <x:c r="AT307" s="600" t="n">
        <x:v>-0.75</x:v>
      </x:c>
      <x:c r="AU307" s="600" t="n">
        <x:v>0.84</x:v>
      </x:c>
      <x:c r="AV307" s="600" t="n">
        <x:v>1.05</x:v>
      </x:c>
      <x:c r="AW307" s="595" t="n">
        <x:v>46285.58031267361</x:v>
      </x:c>
      <x:c r="AX307" s="595" t="inlineStr">
        <x:is>
          <x:t xml:space="preserve">https://simondongxiao.github.io/odds/v4/</x:t>
        </x:is>
      </x:c>
      <x:c r="AY307" s="595" t="inlineStr">
        <x:is>
          <x:t xml:space="preserve">V4 Shadow Only；real_money=false；比分差异详见记录审计</x:t>
        </x:is>
      </x:c>
    </x:row>
    <x:row r="308" ht="22" customHeight="1">
      <x:c r="A308" s="595" t="inlineStr">
        <x:is>
          <x:t xml:space="preserve">2026-09-20</x:t>
        </x:is>
      </x:c>
      <x:c r="B308" s="595" t="inlineStr">
        <x:is>
          <x:t xml:space="preserve">2026-09-20 22:15</x:t>
        </x:is>
      </x:c>
      <x:c r="C308" s="595" t="str">
        <x:v>五大联赛非顶级联赛</x:v>
      </x:c>
      <x:c r="D308" s="595" t="inlineStr">
        <x:is>
          <x:t xml:space="preserve">联赛</x:t>
        </x:is>
      </x:c>
      <x:c r="E308" s="595" t="inlineStr">
        <x:is>
          <x:t xml:space="preserve">西乙</x:t>
        </x:is>
      </x:c>
      <x:c r="F308" s="595" t="inlineStr">
        <x:is>
          <x:t xml:space="preserve">休达 vs 巴拉多利德</x:t>
        </x:is>
      </x:c>
      <x:c r="G308" s="596" t="n">
        <x:v>0.83</x:v>
      </x:c>
      <x:c r="H308" s="596" t="n">
        <x:v>-0.25</x:v>
      </x:c>
      <x:c r="I308" s="596" t="n">
        <x:v>1.06</x:v>
      </x:c>
      <x:c r="J308" s="596" t="inlineStr">
        <x:is>
          <x:t xml:space="preserve">0.83/-0.25/1.06</x:t>
        </x:is>
      </x:c>
      <x:c r="K308" s="595" t="inlineStr">
        <x:is>
          <x:t xml:space="preserve">V4-C｜EV +0.0237</x:t>
        </x:is>
      </x:c>
      <x:c r="L308" s="595" t="inlineStr">
        <x:is>
          <x:t xml:space="preserve">巴拉多利德</x:t>
        </x:is>
      </x:c>
      <x:c r="M308" s="597" t="n">
        <x:v>0.4989775051124744</x:v>
      </x:c>
      <x:c r="N308" s="595" t="inlineStr">
        <x:is>
          <x:t xml:space="preserve">V4纸面入选-C</x:t>
        </x:is>
      </x:c>
      <x:c r="O308" s="595" t="inlineStr">
        <x:is>
          <x:t xml:space="preserve">1-1</x:t>
        </x:is>
      </x:c>
      <x:c r="P308" s="595" t="inlineStr">
        <x:is>
          <x:t xml:space="preserve">已结算</x:t>
        </x:is>
      </x:c>
      <x:c r="Q308" s="643" t="inlineStr">
        <x:is>
          <x:t xml:space="preserve">半黑</x:t>
        </x:is>
      </x:c>
      <x:c r="R308" s="599" t="n">
        <x:v>1.06</x:v>
      </x:c>
      <x:c r="S308" s="599" t="n">
        <x:f>IF(OR(Q308="",Q308="待结算"),"",IF(Q308="红",R308,IF(Q308="半红",R308*0.5,IF(Q308="走",0,IF(Q308="半黑",-0.5,-1)))))</x:f>
        <x:v>-0.5</x:v>
      </x:c>
      <x:c r="T308" s="595" t="inlineStr">
        <x:is>
          <x:t xml:space="preserve">https://zq.titan007.com/analysis/3014081cn.htm</x:t>
        </x:is>
      </x:c>
      <x:c r="U308" s="642" t="str">
        <x:f>IF(Q308="","",IF(Q308="待结算","待结算",IF(Q308="红","黑",IF(Q308="半红","半黑",IF(Q308="走","走",IF(Q308="半黑","半红","红"))))))</x:f>
        <x:v>半红</x:v>
      </x:c>
      <x:c r="V308" s="599" t="n">
        <x:f>IF(OR(Q308="",Q308="待结算"),"",IF(L308=LEFT(F308,FIND(" vs ",F308)-1),I308,G308))</x:f>
        <x:v>0.83</x:v>
      </x:c>
      <x:c r="W308" s="599" t="n">
        <x:f>IF(OR(U308="",U308="待结算"),"",IF(U308="红",V308,IF(U308="半红",V308*0.5,IF(U308="走",0,IF(U308="半黑",-0.5,-1)))))</x:f>
        <x:v>0.415</x:v>
      </x:c>
      <x:c r="X308" s="595" t="inlineStr">
        <x:is>
          <x:t xml:space="preserve">3014081</x:t>
        </x:is>
      </x:c>
      <x:c r="Y308" s="595" t="inlineStr">
        <x:is>
          <x:t xml:space="preserve">v4-market-dirichlet-20260913</x:t>
        </x:is>
      </x:c>
      <x:c r="Z308" s="595" t="inlineStr">
        <x:is>
          <x:t xml:space="preserve">prior-2026-09-20-v1</x:t>
        </x:is>
      </x:c>
      <x:c r="AA308" s="595" t="inlineStr">
        <x:is>
          <x:t xml:space="preserve">C</x:t>
        </x:is>
      </x:c>
      <x:c r="AB308" s="600" t="n">
        <x:v>0.4236111111111111</x:v>
      </x:c>
      <x:c r="AC308" s="600" t="n">
        <x:v>0</x:v>
      </x:c>
      <x:c r="AD308" s="600" t="n">
        <x:v>0</x:v>
      </x:c>
      <x:c r="AE308" s="600" t="n">
        <x:v>0.3020833333333333</x:v>
      </x:c>
      <x:c r="AF308" s="600" t="n">
        <x:v>0.2743055555555556</x:v>
      </x:c>
      <x:c r="AG308" s="600" t="n">
        <x:v>0.02368055555555559</x:v>
      </x:c>
      <x:c r="AH308" s="600" t="n">
        <x:v>-0.06396533417396549</x:v>
      </x:c>
      <x:c r="AI308" s="600" t="n">
        <x:v>-0.04647439609742393</x:v>
      </x:c>
      <x:c r="AJ308" s="600" t="n">
        <x:v>0.023027107313846</x:v>
      </x:c>
      <x:c r="AK308" s="600" t="n">
        <x:v>0.09230151271375342</x:v>
      </x:c>
      <x:c r="AL308" s="600" t="n">
        <x:v>0.113145203229517</x:v>
      </x:c>
      <x:c r="AM308" s="600" t="n">
        <x:v>0.665</x:v>
      </x:c>
      <x:c r="AN308" s="595" t="inlineStr">
        <x:is>
          <x:t xml:space="preserve">EVALUATED</x:t>
        </x:is>
      </x:c>
      <x:c r="AO308" s="600" t="inlineStr">
        <x:is>
          <x:t xml:space="preserve">BUCKET_0.25、SIDE_IDENTITY_VALID、MARKET_MOVE_DEEPER_WITH_GIVING_WATER_RISE</x:t>
        </x:is>
      </x:c>
      <x:c r="AP308" s="600" t="inlineStr">
        <x:is>
          <x:t xml:space="preserve">85f2e7bdfe0d4a1ed038</x:t>
        </x:is>
      </x:c>
      <x:c r="AQ308" s="600" t="n">
        <x:v>-0.25</x:v>
      </x:c>
      <x:c r="AR308" s="600" t="n">
        <x:v>1.06</x:v>
      </x:c>
      <x:c r="AS308" s="600" t="n">
        <x:v>0.25</x:v>
      </x:c>
      <x:c r="AT308" s="600" t="n">
        <x:v>-0.25</x:v>
      </x:c>
      <x:c r="AU308" s="600" t="n">
        <x:v>0.83</x:v>
      </x:c>
      <x:c r="AV308" s="600" t="n">
        <x:v>1.06</x:v>
      </x:c>
      <x:c r="AW308" s="595" t="n">
        <x:v>46285.58031267361</x:v>
      </x:c>
      <x:c r="AX308" s="595" t="inlineStr">
        <x:is>
          <x:t xml:space="preserve">https://simondongxiao.github.io/odds/v4/</x:t>
        </x:is>
      </x:c>
      <x:c r="AY308" s="595" t="inlineStr">
        <x:is>
          <x:t xml:space="preserve">V4 Shadow Only；real_money=false；比分差异详见记录审计</x:t>
        </x:is>
      </x:c>
    </x:row>
    <x:row r="309" ht="22" customHeight="1">
      <x:c r="A309" s="595" t="inlineStr">
        <x:is>
          <x:t xml:space="preserve">2026-09-20</x:t>
        </x:is>
      </x:c>
      <x:c r="B309" s="595" t="inlineStr">
        <x:is>
          <x:t xml:space="preserve">2026-09-20 22:30</x:t>
        </x:is>
      </x:c>
      <x:c r="C309" s="595" t="str">
        <x:v>欧洲非五大系列</x:v>
      </x:c>
      <x:c r="D309" s="595" t="inlineStr">
        <x:is>
          <x:t xml:space="preserve">联赛</x:t>
        </x:is>
      </x:c>
      <x:c r="E309" s="595" t="inlineStr">
        <x:is>
          <x:t xml:space="preserve">葡超</x:t>
        </x:is>
      </x:c>
      <x:c r="F309" s="595" t="inlineStr">
        <x:is>
          <x:t xml:space="preserve">阿马多拉 vs 维塞乌</x:t>
        </x:is>
      </x:c>
      <x:c r="G309" s="596" t="n">
        <x:v>0.85</x:v>
      </x:c>
      <x:c r="H309" s="596" t="n">
        <x:v>0.25</x:v>
      </x:c>
      <x:c r="I309" s="596" t="n">
        <x:v>1.04</x:v>
      </x:c>
      <x:c r="J309" s="596" t="inlineStr">
        <x:is>
          <x:t xml:space="preserve">0.85/0.25/1.04</x:t>
        </x:is>
      </x:c>
      <x:c r="K309" s="595" t="inlineStr">
        <x:is>
          <x:t xml:space="preserve">V4-C｜EV +0.0187</x:t>
        </x:is>
      </x:c>
      <x:c r="L309" s="595" t="inlineStr">
        <x:is>
          <x:t xml:space="preserve">维塞乌</x:t>
        </x:is>
      </x:c>
      <x:c r="M309" s="597" t="n">
        <x:v>0.5010224948875256</x:v>
      </x:c>
      <x:c r="N309" s="595" t="inlineStr">
        <x:is>
          <x:t xml:space="preserve">V4纸面入选-C</x:t>
        </x:is>
      </x:c>
      <x:c r="O309" s="595" t="inlineStr">
        <x:is>
          <x:t xml:space="preserve">0-2</x:t>
        </x:is>
      </x:c>
      <x:c r="P309" s="595" t="inlineStr">
        <x:is>
          <x:t xml:space="preserve">已结算</x:t>
        </x:is>
      </x:c>
      <x:c r="Q309" s="640" t="inlineStr">
        <x:is>
          <x:t xml:space="preserve">红</x:t>
        </x:is>
      </x:c>
      <x:c r="R309" s="599" t="n">
        <x:v>1.04</x:v>
      </x:c>
      <x:c r="S309" s="599" t="n">
        <x:f>IF(OR(Q309="",Q309="待结算"),"",IF(Q309="红",R309,IF(Q309="半红",R309*0.5,IF(Q309="走",0,IF(Q309="半黑",-0.5,-1)))))</x:f>
        <x:v>1.04</x:v>
      </x:c>
      <x:c r="T309" s="595" t="inlineStr">
        <x:is>
          <x:t xml:space="preserve">https://zq.titan007.com/analysis/3023487cn.htm</x:t>
        </x:is>
      </x:c>
      <x:c r="U309" s="641" t="str">
        <x:f>IF(Q309="","",IF(Q309="待结算","待结算",IF(Q309="红","黑",IF(Q309="半红","半黑",IF(Q309="走","走",IF(Q309="半黑","半红","红"))))))</x:f>
        <x:v>黑</x:v>
      </x:c>
      <x:c r="V309" s="599" t="n">
        <x:f>IF(OR(Q309="",Q309="待结算"),"",IF(L309=LEFT(F309,FIND(" vs ",F309)-1),I309,G309))</x:f>
        <x:v>0.85</x:v>
      </x:c>
      <x:c r="W309" s="599" t="n">
        <x:f>IF(OR(U309="",U309="待结算"),"",IF(U309="红",V309,IF(U309="半红",V309*0.5,IF(U309="走",0,IF(U309="半黑",-0.5,-1)))))</x:f>
        <x:v>-1</x:v>
      </x:c>
      <x:c r="X309" s="595" t="inlineStr">
        <x:is>
          <x:t xml:space="preserve">3023487</x:t>
        </x:is>
      </x:c>
      <x:c r="Y309" s="595" t="inlineStr">
        <x:is>
          <x:t xml:space="preserve">v4-market-dirichlet-20260913</x:t>
        </x:is>
      </x:c>
      <x:c r="Z309" s="595" t="inlineStr">
        <x:is>
          <x:t xml:space="preserve">prior-2026-09-20-v1</x:t>
        </x:is>
      </x:c>
      <x:c r="AA309" s="595" t="inlineStr">
        <x:is>
          <x:t xml:space="preserve">C</x:t>
        </x:is>
      </x:c>
      <x:c r="AB309" s="600" t="n">
        <x:v>0.2743055555555556</x:v>
      </x:c>
      <x:c r="AC309" s="600" t="n">
        <x:v>0.3020833333333333</x:v>
      </x:c>
      <x:c r="AD309" s="600" t="n">
        <x:v>0</x:v>
      </x:c>
      <x:c r="AE309" s="600" t="n">
        <x:v>0</x:v>
      </x:c>
      <x:c r="AF309" s="600" t="n">
        <x:v>0.4236111111111111</x:v>
      </x:c>
      <x:c r="AG309" s="600" t="n">
        <x:v>0.01874999999999999</x:v>
      </x:c>
      <x:c r="AH309" s="600" t="n">
        <x:v>-0.06714933525626599</x:v>
      </x:c>
      <x:c r="AI309" s="600" t="n">
        <x:v>-0.04876368002527048</x:v>
      </x:c>
      <x:c r="AJ309" s="600" t="n">
        <x:v>0.01871808923297896</x:v>
      </x:c>
      <x:c r="AK309" s="600" t="n">
        <x:v>0.08719950510406699</x:v>
      </x:c>
      <x:c r="AL309" s="600" t="n">
        <x:v>0.1037084178713316</x:v>
      </x:c>
      <x:c r="AM309" s="600" t="n">
        <x:v>0.6414</x:v>
      </x:c>
      <x:c r="AN309" s="595" t="inlineStr">
        <x:is>
          <x:t xml:space="preserve">EVALUATED</x:t>
        </x:is>
      </x:c>
      <x:c r="AO309" s="600" t="inlineStr">
        <x:is>
          <x:t xml:space="preserve">BUCKET_0.25、SIDE_IDENTITY_VALID、FLAT_LINE_GIVING_WATER_RISE</x:t>
        </x:is>
      </x:c>
      <x:c r="AP309" s="600" t="inlineStr">
        <x:is>
          <x:t xml:space="preserve">c809b3a449dc9469921b</x:t>
        </x:is>
      </x:c>
      <x:c r="AQ309" s="600" t="n">
        <x:v>0.25</x:v>
      </x:c>
      <x:c r="AR309" s="600" t="n">
        <x:v>1.04</x:v>
      </x:c>
      <x:c r="AS309" s="600" t="n">
        <x:v>-0.25</x:v>
      </x:c>
      <x:c r="AT309" s="600" t="n">
        <x:v>0.25</x:v>
      </x:c>
      <x:c r="AU309" s="600" t="n">
        <x:v>0.85</x:v>
      </x:c>
      <x:c r="AV309" s="600" t="n">
        <x:v>1.04</x:v>
      </x:c>
      <x:c r="AW309" s="595" t="n">
        <x:v>46285.58031267361</x:v>
      </x:c>
      <x:c r="AX309" s="595" t="inlineStr">
        <x:is>
          <x:t xml:space="preserve">https://simondongxiao.github.io/odds/v4/</x:t>
        </x:is>
      </x:c>
      <x:c r="AY309" s="595" t="inlineStr">
        <x:is>
          <x:t xml:space="preserve">V4 Shadow Only；real_money=false；比分差异详见记录审计</x:t>
        </x:is>
      </x:c>
    </x:row>
    <x:row r="310" ht="22" customHeight="1">
      <x:c r="A310" s="595" t="inlineStr">
        <x:is>
          <x:t xml:space="preserve">2026-09-20</x:t>
        </x:is>
      </x:c>
      <x:c r="B310" s="595" t="inlineStr">
        <x:is>
          <x:t xml:space="preserve">2026-09-20 22:30</x:t>
        </x:is>
      </x:c>
      <x:c r="C310" s="595" t="str">
        <x:v>欧洲非五大系列</x:v>
      </x:c>
      <x:c r="D310" s="595" t="inlineStr">
        <x:is>
          <x:t xml:space="preserve">联赛</x:t>
        </x:is>
      </x:c>
      <x:c r="E310" s="595" t="inlineStr">
        <x:is>
          <x:t xml:space="preserve">葡超</x:t>
        </x:is>
      </x:c>
      <x:c r="F310" s="595" t="inlineStr">
        <x:is>
          <x:t xml:space="preserve">吉马良斯 vs 摩里伦斯</x:t>
        </x:is>
      </x:c>
      <x:c r="G310" s="596" t="n">
        <x:v>0.84</x:v>
      </x:c>
      <x:c r="H310" s="596" t="n">
        <x:v>1</x:v>
      </x:c>
      <x:c r="I310" s="596" t="n">
        <x:v>1.05</x:v>
      </x:c>
      <x:c r="J310" s="596" t="inlineStr">
        <x:is>
          <x:t xml:space="preserve">0.84/1/1.05</x:t>
        </x:is>
      </x:c>
      <x:c r="K310" s="595" t="inlineStr">
        <x:is>
          <x:t xml:space="preserve">V4-C｜EV +0.0868</x:t>
        </x:is>
      </x:c>
      <x:c r="L310" s="595" t="inlineStr">
        <x:is>
          <x:t xml:space="preserve">摩里伦斯</x:t>
        </x:is>
      </x:c>
      <x:c r="M310" s="597" t="n">
        <x:v>0.5423728813559322</x:v>
      </x:c>
      <x:c r="N310" s="595" t="inlineStr">
        <x:is>
          <x:t xml:space="preserve">V4纸面入选-C</x:t>
        </x:is>
      </x:c>
      <x:c r="O310" s="595" t="inlineStr">
        <x:is>
          <x:t xml:space="preserve">1-1</x:t>
        </x:is>
      </x:c>
      <x:c r="P310" s="595" t="inlineStr">
        <x:is>
          <x:t xml:space="preserve">已结算</x:t>
        </x:is>
      </x:c>
      <x:c r="Q310" s="640" t="inlineStr">
        <x:is>
          <x:t xml:space="preserve">红</x:t>
        </x:is>
      </x:c>
      <x:c r="R310" s="599" t="n">
        <x:v>1.05</x:v>
      </x:c>
      <x:c r="S310" s="599" t="n">
        <x:f>IF(OR(Q310="",Q310="待结算"),"",IF(Q310="红",R310,IF(Q310="半红",R310*0.5,IF(Q310="走",0,IF(Q310="半黑",-0.5,-1)))))</x:f>
        <x:v>1.05</x:v>
      </x:c>
      <x:c r="T310" s="595" t="inlineStr">
        <x:is>
          <x:t xml:space="preserve">https://zq.titan007.com/analysis/3023493cn.htm</x:t>
        </x:is>
      </x:c>
      <x:c r="U310" s="641" t="str">
        <x:f>IF(Q310="","",IF(Q310="待结算","待结算",IF(Q310="红","黑",IF(Q310="半红","半黑",IF(Q310="走","走",IF(Q310="半黑","半红","红"))))))</x:f>
        <x:v>黑</x:v>
      </x:c>
      <x:c r="V310" s="599" t="n">
        <x:f>IF(OR(Q310="",Q310="待结算"),"",IF(L310=LEFT(F310,FIND(" vs ",F310)-1),I310,G310))</x:f>
        <x:v>0.84</x:v>
      </x:c>
      <x:c r="W310" s="599" t="n">
        <x:f>IF(OR(U310="",U310="待结算"),"",IF(U310="红",V310,IF(U310="半红",V310*0.5,IF(U310="走",0,IF(U310="半黑",-0.5,-1)))))</x:f>
        <x:v>-1</x:v>
      </x:c>
      <x:c r="X310" s="595" t="inlineStr">
        <x:is>
          <x:t xml:space="preserve">3023493</x:t>
        </x:is>
      </x:c>
      <x:c r="Y310" s="595" t="inlineStr">
        <x:is>
          <x:t xml:space="preserve">v4-market-dirichlet-20260913</x:t>
        </x:is>
      </x:c>
      <x:c r="Z310" s="595" t="inlineStr">
        <x:is>
          <x:t xml:space="preserve">prior-2026-09-20-v1</x:t>
        </x:is>
      </x:c>
      <x:c r="AA310" s="595" t="inlineStr">
        <x:is>
          <x:t xml:space="preserve">C</x:t>
        </x:is>
      </x:c>
      <x:c r="AB310" s="600" t="n">
        <x:v>0.4210526315789473</x:v>
      </x:c>
      <x:c r="AC310" s="600" t="n">
        <x:v>0</x:v>
      </x:c>
      <x:c r="AD310" s="600" t="n">
        <x:v>0.2236842105263158</x:v>
      </x:c>
      <x:c r="AE310" s="600" t="n">
        <x:v>0</x:v>
      </x:c>
      <x:c r="AF310" s="600" t="n">
        <x:v>0.3552631578947368</x:v>
      </x:c>
      <x:c r="AG310" s="600" t="n">
        <x:v>0.08684210526315789</x:v>
      </x:c>
      <x:c r="AH310" s="600" t="n">
        <x:v>-0.08639180449517703</x:v>
      </x:c>
      <x:c r="AI310" s="600" t="n">
        <x:v>-0.04645901456991436</x:v>
      </x:c>
      <x:c r="AJ310" s="600" t="n">
        <x:v>0.08647122188145984</x:v>
      </x:c>
      <x:c r="AK310" s="600" t="n">
        <x:v>0.2164616420350083</x:v>
      </x:c>
      <x:c r="AL310" s="600" t="n">
        <x:v>0.2563133846110258</x:v>
      </x:c>
      <x:c r="AM310" s="600" t="n">
        <x:v>0.804</x:v>
      </x:c>
      <x:c r="AN310" s="595" t="inlineStr">
        <x:is>
          <x:t xml:space="preserve">EVALUATED</x:t>
        </x:is>
      </x:c>
      <x:c r="AO310" s="600" t="inlineStr">
        <x:is>
          <x:t xml:space="preserve">BUCKET_1.00、SIDE_IDENTITY_VALID、FLAT_LINE_GIVING_WATER_DROP</x:t>
        </x:is>
      </x:c>
      <x:c r="AP310" s="600" t="inlineStr">
        <x:is>
          <x:t xml:space="preserve">d8e57eb9e920322d7117</x:t>
        </x:is>
      </x:c>
      <x:c r="AQ310" s="600" t="n">
        <x:v>1</x:v>
      </x:c>
      <x:c r="AR310" s="600" t="n">
        <x:v>1.05</x:v>
      </x:c>
      <x:c r="AS310" s="600" t="n">
        <x:v>-1</x:v>
      </x:c>
      <x:c r="AT310" s="600" t="n">
        <x:v>1</x:v>
      </x:c>
      <x:c r="AU310" s="600" t="n">
        <x:v>0.84</x:v>
      </x:c>
      <x:c r="AV310" s="600" t="n">
        <x:v>1.05</x:v>
      </x:c>
      <x:c r="AW310" s="595" t="n">
        <x:v>46285.58031267361</x:v>
      </x:c>
      <x:c r="AX310" s="595" t="inlineStr">
        <x:is>
          <x:t xml:space="preserve">https://simondongxiao.github.io/odds/v4/</x:t>
        </x:is>
      </x:c>
      <x:c r="AY310" s="595" t="inlineStr">
        <x:is>
          <x:t xml:space="preserve">V4 Shadow Only；real_money=false；比分差异详见记录审计</x:t>
        </x:is>
      </x:c>
    </x:row>
    <x:row r="311" ht="22" customHeight="1">
      <x:c r="A311" s="595" t="inlineStr">
        <x:is>
          <x:t xml:space="preserve">2026-09-20</x:t>
        </x:is>
      </x:c>
      <x:c r="B311" s="595" t="inlineStr">
        <x:is>
          <x:t xml:space="preserve">2026-09-20 22:45</x:t>
        </x:is>
      </x:c>
      <x:c r="C311" s="595" t="str">
        <x:v>欧洲非五大系列</x:v>
      </x:c>
      <x:c r="D311" s="595" t="inlineStr">
        <x:is>
          <x:t xml:space="preserve">联赛</x:t>
        </x:is>
      </x:c>
      <x:c r="E311" s="595" t="inlineStr">
        <x:is>
          <x:t xml:space="preserve">保甲</x:t>
        </x:is>
      </x:c>
      <x:c r="F311" s="595" t="inlineStr">
        <x:is>
          <x:t xml:space="preserve">普罗夫迪夫火车头 vs 索非亚中央陆军</x:t>
        </x:is>
      </x:c>
      <x:c r="G311" s="596" t="n">
        <x:v>0.87</x:v>
      </x:c>
      <x:c r="H311" s="596" t="n">
        <x:v>-1</x:v>
      </x:c>
      <x:c r="I311" s="596" t="n">
        <x:v>0.99</x:v>
      </x:c>
      <x:c r="J311" s="596" t="inlineStr">
        <x:is>
          <x:t xml:space="preserve">0.87/-1/0.99</x:t>
        </x:is>
      </x:c>
      <x:c r="K311" s="595" t="inlineStr">
        <x:is>
          <x:t xml:space="preserve">V4-C｜EV +0.0111</x:t>
        </x:is>
      </x:c>
      <x:c r="L311" s="595" t="inlineStr">
        <x:is>
          <x:t xml:space="preserve">普罗夫迪夫火车头</x:t>
        </x:is>
      </x:c>
      <x:c r="M311" s="597" t="n">
        <x:v>0.5423728813559322</x:v>
      </x:c>
      <x:c r="N311" s="595" t="inlineStr">
        <x:is>
          <x:t xml:space="preserve">V4纸面入选-C</x:t>
        </x:is>
      </x:c>
      <x:c r="O311" s="595" t="inlineStr">
        <x:is>
          <x:t xml:space="preserve">1-1</x:t>
        </x:is>
      </x:c>
      <x:c r="P311" s="595" t="inlineStr">
        <x:is>
          <x:t xml:space="preserve">已结算</x:t>
        </x:is>
      </x:c>
      <x:c r="Q311" s="640" t="inlineStr">
        <x:is>
          <x:t xml:space="preserve">红</x:t>
        </x:is>
      </x:c>
      <x:c r="R311" s="599" t="n">
        <x:v>0.87</x:v>
      </x:c>
      <x:c r="S311" s="599" t="n">
        <x:f>IF(OR(Q311="",Q311="待结算"),"",IF(Q311="红",R311,IF(Q311="半红",R311*0.5,IF(Q311="走",0,IF(Q311="半黑",-0.5,-1)))))</x:f>
        <x:v>0.87</x:v>
      </x:c>
      <x:c r="T311" s="595" t="inlineStr">
        <x:is>
          <x:t xml:space="preserve">https://zq.titan007.com/analysis/2998488cn.htm</x:t>
        </x:is>
      </x:c>
      <x:c r="U311" s="641" t="str">
        <x:f>IF(Q311="","",IF(Q311="待结算","待结算",IF(Q311="红","黑",IF(Q311="半红","半黑",IF(Q311="走","走",IF(Q311="半黑","半红","红"))))))</x:f>
        <x:v>黑</x:v>
      </x:c>
      <x:c r="V311" s="599" t="n">
        <x:f>IF(OR(Q311="",Q311="待结算"),"",IF(L311=LEFT(F311,FIND(" vs ",F311)-1),I311,G311))</x:f>
        <x:v>0.99</x:v>
      </x:c>
      <x:c r="W311" s="599" t="n">
        <x:f>IF(OR(U311="",U311="待结算"),"",IF(U311="红",V311,IF(U311="半红",V311*0.5,IF(U311="走",0,IF(U311="半黑",-0.5,-1)))))</x:f>
        <x:v>-1</x:v>
      </x:c>
      <x:c r="X311" s="595" t="inlineStr">
        <x:is>
          <x:t xml:space="preserve">2998488</x:t>
        </x:is>
      </x:c>
      <x:c r="Y311" s="595" t="inlineStr">
        <x:is>
          <x:t xml:space="preserve">v4-market-dirichlet-20260913</x:t>
        </x:is>
      </x:c>
      <x:c r="Z311" s="595" t="inlineStr">
        <x:is>
          <x:t xml:space="preserve">prior-2026-09-20-v1</x:t>
        </x:is>
      </x:c>
      <x:c r="AA311" s="595" t="inlineStr">
        <x:is>
          <x:t xml:space="preserve">C</x:t>
        </x:is>
      </x:c>
      <x:c r="AB311" s="600" t="n">
        <x:v>0.4210526315789473</x:v>
      </x:c>
      <x:c r="AC311" s="600" t="n">
        <x:v>0</x:v>
      </x:c>
      <x:c r="AD311" s="600" t="n">
        <x:v>0.2236842105263158</x:v>
      </x:c>
      <x:c r="AE311" s="600" t="n">
        <x:v>0</x:v>
      </x:c>
      <x:c r="AF311" s="600" t="n">
        <x:v>0.3552631578947368</x:v>
      </x:c>
      <x:c r="AG311" s="600" t="n">
        <x:v>0.01105263157894737</x:v>
      </x:c>
      <x:c r="AH311" s="600" t="n">
        <x:v>-0.1441627646381066</x:v>
      </x:c>
      <x:c r="AI311" s="600" t="n">
        <x:v>-0.1089777188833752</x:v>
      </x:c>
      <x:c r="AJ311" s="600" t="n">
        <x:v>0.01279324145577004</x:v>
      </x:c>
      <x:c r="AK311" s="600" t="n">
        <x:v>0.135445484679218</x:v>
      </x:c>
      <x:c r="AL311" s="600" t="n">
        <x:v>0.1693966198849599</x:v>
      </x:c>
      <x:c r="AM311" s="600" t="n">
        <x:v>0.5554</x:v>
      </x:c>
      <x:c r="AN311" s="595" t="inlineStr">
        <x:is>
          <x:t xml:space="preserve">EVALUATED</x:t>
        </x:is>
      </x:c>
      <x:c r="AO311" s="600" t="inlineStr">
        <x:is>
          <x:t xml:space="preserve">BUCKET_1.00、SIDE_IDENTITY_VALID、FLAT_LINE_GIVING_WATER_RISE</x:t>
        </x:is>
      </x:c>
      <x:c r="AP311" s="600" t="inlineStr">
        <x:is>
          <x:t xml:space="preserve">cd097b3d2e1e5c798029</x:t>
        </x:is>
      </x:c>
      <x:c r="AQ311" s="600" t="n">
        <x:v>1</x:v>
      </x:c>
      <x:c r="AR311" s="600" t="n">
        <x:v>0.87</x:v>
      </x:c>
      <x:c r="AS311" s="600" t="n">
        <x:v>1</x:v>
      </x:c>
      <x:c r="AT311" s="600" t="n">
        <x:v>-1</x:v>
      </x:c>
      <x:c r="AU311" s="600" t="n">
        <x:v>0.87</x:v>
      </x:c>
      <x:c r="AV311" s="600" t="n">
        <x:v>0.99</x:v>
      </x:c>
      <x:c r="AW311" s="595" t="n">
        <x:v>46285.58031267361</x:v>
      </x:c>
      <x:c r="AX311" s="595" t="inlineStr">
        <x:is>
          <x:t xml:space="preserve">https://simondongxiao.github.io/odds/v4/</x:t>
        </x:is>
      </x:c>
      <x:c r="AY311" s="595" t="inlineStr">
        <x:is>
          <x:t xml:space="preserve">V4 Shadow Only；real_money=false；比分差异详见记录审计</x:t>
        </x:is>
      </x:c>
    </x:row>
    <x:row r="312" ht="22" customHeight="1">
      <x:c r="A312" s="595" t="inlineStr">
        <x:is>
          <x:t xml:space="preserve">2026-09-20</x:t>
        </x:is>
      </x:c>
      <x:c r="B312" s="595" t="inlineStr">
        <x:is>
          <x:t xml:space="preserve">2026-09-20 23:00</x:t>
        </x:is>
      </x:c>
      <x:c r="C312" s="595" t="str">
        <x:v>欧洲非五大系列</x:v>
      </x:c>
      <x:c r="D312" s="595" t="inlineStr">
        <x:is>
          <x:t xml:space="preserve">联赛</x:t>
        </x:is>
      </x:c>
      <x:c r="E312" s="595" t="inlineStr">
        <x:is>
          <x:t xml:space="preserve">希腊超</x:t>
        </x:is>
      </x:c>
      <x:c r="F312" s="595" t="inlineStr">
        <x:is>
          <x:t xml:space="preserve">维洛斯NFC vs AEK雅典</x:t>
        </x:is>
      </x:c>
      <x:c r="G312" s="596" t="n">
        <x:v>0.88</x:v>
      </x:c>
      <x:c r="H312" s="596" t="n">
        <x:v>-1.75</x:v>
      </x:c>
      <x:c r="I312" s="596" t="n">
        <x:v>1</x:v>
      </x:c>
      <x:c r="J312" s="596" t="inlineStr">
        <x:is>
          <x:t xml:space="preserve">0.88/-1.75/1.00</x:t>
        </x:is>
      </x:c>
      <x:c r="K312" s="595" t="inlineStr">
        <x:is>
          <x:t xml:space="preserve">V4-C｜EV +0.0571</x:t>
        </x:is>
      </x:c>
      <x:c r="L312" s="595" t="inlineStr">
        <x:is>
          <x:t xml:space="preserve">AEK雅典</x:t>
        </x:is>
      </x:c>
      <x:c r="M312" s="597" t="n">
        <x:v>0.5333333333333333</x:v>
      </x:c>
      <x:c r="N312" s="595" t="inlineStr">
        <x:is>
          <x:t xml:space="preserve">V4纸面入选-C</x:t>
        </x:is>
      </x:c>
      <x:c r="O312" s="595" t="inlineStr">
        <x:is>
          <x:t xml:space="preserve">1-2</x:t>
        </x:is>
      </x:c>
      <x:c r="P312" s="595" t="inlineStr">
        <x:is>
          <x:t xml:space="preserve">已结算</x:t>
        </x:is>
      </x:c>
      <x:c r="Q312" s="641" t="inlineStr">
        <x:is>
          <x:t xml:space="preserve">黑</x:t>
        </x:is>
      </x:c>
      <x:c r="R312" s="599" t="n">
        <x:v>1</x:v>
      </x:c>
      <x:c r="S312" s="599" t="n">
        <x:f>IF(OR(Q312="",Q312="待结算"),"",IF(Q312="红",R312,IF(Q312="半红",R312*0.5,IF(Q312="走",0,IF(Q312="半黑",-0.5,-1)))))</x:f>
        <x:v>-1</x:v>
      </x:c>
      <x:c r="T312" s="595" t="inlineStr">
        <x:is>
          <x:t xml:space="preserve">https://zq.titan007.com/analysis/3036439cn.htm</x:t>
        </x:is>
      </x:c>
      <x:c r="U312" s="640" t="str">
        <x:f>IF(Q312="","",IF(Q312="待结算","待结算",IF(Q312="红","黑",IF(Q312="半红","半黑",IF(Q312="走","走",IF(Q312="半黑","半红","红"))))))</x:f>
        <x:v>红</x:v>
      </x:c>
      <x:c r="V312" s="599" t="n">
        <x:f>IF(OR(Q312="",Q312="待结算"),"",IF(L312=LEFT(F312,FIND(" vs ",F312)-1),I312,G312))</x:f>
        <x:v>0.88</x:v>
      </x:c>
      <x:c r="W312" s="599" t="n">
        <x:f>IF(OR(U312="",U312="待结算"),"",IF(U312="红",V312,IF(U312="半红",V312*0.5,IF(U312="走",0,IF(U312="半黑",-0.5,-1)))))</x:f>
        <x:v>0.88</x:v>
      </x:c>
      <x:c r="X312" s="595" t="inlineStr">
        <x:is>
          <x:t xml:space="preserve">3036439</x:t>
        </x:is>
      </x:c>
      <x:c r="Y312" s="595" t="inlineStr">
        <x:is>
          <x:t xml:space="preserve">v4-market-dirichlet-20260913</x:t>
        </x:is>
      </x:c>
      <x:c r="Z312" s="595" t="inlineStr">
        <x:is>
          <x:t xml:space="preserve">prior-2026-09-20-v1</x:t>
        </x:is>
      </x:c>
      <x:c r="AA312" s="595" t="inlineStr">
        <x:is>
          <x:t xml:space="preserve">C</x:t>
        </x:is>
      </x:c>
      <x:c r="AB312" s="600" t="n">
        <x:v>0.3142857142857143</x:v>
      </x:c>
      <x:c r="AC312" s="600" t="n">
        <x:v>0.2857142857142857</x:v>
      </x:c>
      <x:c r="AD312" s="600" t="n">
        <x:v>0</x:v>
      </x:c>
      <x:c r="AE312" s="600" t="n">
        <x:v>0</x:v>
      </x:c>
      <x:c r="AF312" s="600" t="n">
        <x:v>0.4</x:v>
      </x:c>
      <x:c r="AG312" s="600" t="n">
        <x:v>0.05714285714285711</x:v>
      </x:c>
      <x:c r="AH312" s="600" t="n">
        <x:v>-0.1857982290012727</x:v>
      </x:c>
      <x:c r="AI312" s="600" t="n">
        <x:v>-0.1349358825791405</x:v>
      </x:c>
      <x:c r="AJ312" s="600" t="n">
        <x:v>0.06260648091908066</x:v>
      </x:c>
      <x:c r="AK312" s="600" t="n">
        <x:v>0.2450362821242731</x:v>
      </x:c>
      <x:c r="AL312" s="600" t="n">
        <x:v>0.2974374606694931</x:v>
      </x:c>
      <x:c r="AM312" s="600" t="n">
        <x:v>0.655</x:v>
      </x:c>
      <x:c r="AN312" s="595" t="inlineStr">
        <x:is>
          <x:t xml:space="preserve">EVALUATED</x:t>
        </x:is>
      </x:c>
      <x:c r="AO312" s="600" t="inlineStr">
        <x:is>
          <x:t xml:space="preserve">BUCKET_1.75、SIDE_IDENTITY_VALID、MARKET_MOVE_DEEPER_WITH_GIVING_WATER_RISE</x:t>
        </x:is>
      </x:c>
      <x:c r="AP312" s="600" t="inlineStr">
        <x:is>
          <x:t xml:space="preserve">43102510204a1720c641</x:t>
        </x:is>
      </x:c>
      <x:c r="AQ312" s="600" t="n">
        <x:v>-1.75</x:v>
      </x:c>
      <x:c r="AR312" s="600" t="n">
        <x:v>1</x:v>
      </x:c>
      <x:c r="AS312" s="600" t="n">
        <x:v>1.75</x:v>
      </x:c>
      <x:c r="AT312" s="600" t="n">
        <x:v>-1.75</x:v>
      </x:c>
      <x:c r="AU312" s="600" t="n">
        <x:v>0.88</x:v>
      </x:c>
      <x:c r="AV312" s="600" t="n">
        <x:v>1</x:v>
      </x:c>
      <x:c r="AW312" s="595" t="n">
        <x:v>46285.58031267361</x:v>
      </x:c>
      <x:c r="AX312" s="595" t="inlineStr">
        <x:is>
          <x:t xml:space="preserve">https://simondongxiao.github.io/odds/v4/</x:t>
        </x:is>
      </x:c>
      <x:c r="AY312" s="595" t="inlineStr">
        <x:is>
          <x:t xml:space="preserve">V4 Shadow Only；real_money=false；比分差异详见记录审计</x:t>
        </x:is>
      </x:c>
    </x:row>
    <x:row r="313" ht="22" customHeight="1">
      <x:c r="A313" s="595" t="inlineStr">
        <x:is>
          <x:t xml:space="preserve">2026-09-20</x:t>
        </x:is>
      </x:c>
      <x:c r="B313" s="595" t="inlineStr">
        <x:is>
          <x:t xml:space="preserve">2026-09-20 23:00</x:t>
        </x:is>
      </x:c>
      <x:c r="C313" s="595" t="str">
        <x:v>欧洲非五大系列</x:v>
      </x:c>
      <x:c r="D313" s="595" t="inlineStr">
        <x:is>
          <x:t xml:space="preserve">联赛</x:t>
        </x:is>
      </x:c>
      <x:c r="E313" s="595" t="inlineStr">
        <x:is>
          <x:t xml:space="preserve">挪超</x:t>
        </x:is>
      </x:c>
      <x:c r="F313" s="595" t="inlineStr">
        <x:is>
          <x:t xml:space="preserve">桑德菲杰 vs 斯达</x:t>
        </x:is>
      </x:c>
      <x:c r="G313" s="596" t="n">
        <x:v>0.86</x:v>
      </x:c>
      <x:c r="H313" s="596" t="n">
        <x:v>0.25</x:v>
      </x:c>
      <x:c r="I313" s="596" t="n">
        <x:v>1.03</x:v>
      </x:c>
      <x:c r="J313" s="596" t="inlineStr">
        <x:is>
          <x:t xml:space="preserve">0.86/0.25/1.03</x:t>
        </x:is>
      </x:c>
      <x:c r="K313" s="595" t="inlineStr">
        <x:is>
          <x:t xml:space="preserve">V4-C｜EV +0.0145</x:t>
        </x:is>
      </x:c>
      <x:c r="L313" s="595" t="inlineStr">
        <x:is>
          <x:t xml:space="preserve">斯达</x:t>
        </x:is>
      </x:c>
      <x:c r="M313" s="597" t="n">
        <x:v>0.5010224948875256</x:v>
      </x:c>
      <x:c r="N313" s="595" t="inlineStr">
        <x:is>
          <x:t xml:space="preserve">V4纸面入选-C</x:t>
        </x:is>
      </x:c>
      <x:c r="O313" s="595" t="inlineStr">
        <x:is>
          <x:t xml:space="preserve">3-0</x:t>
        </x:is>
      </x:c>
      <x:c r="P313" s="595" t="inlineStr">
        <x:is>
          <x:t xml:space="preserve">已结算</x:t>
        </x:is>
      </x:c>
      <x:c r="Q313" s="641" t="inlineStr">
        <x:is>
          <x:t xml:space="preserve">黑</x:t>
        </x:is>
      </x:c>
      <x:c r="R313" s="599" t="n">
        <x:v>1.03</x:v>
      </x:c>
      <x:c r="S313" s="599" t="n">
        <x:f>IF(OR(Q313="",Q313="待结算"),"",IF(Q313="红",R313,IF(Q313="半红",R313*0.5,IF(Q313="走",0,IF(Q313="半黑",-0.5,-1)))))</x:f>
        <x:v>-1</x:v>
      </x:c>
      <x:c r="T313" s="595" t="inlineStr">
        <x:is>
          <x:t xml:space="preserve">https://zq.titan007.com/analysis/2912901cn.htm</x:t>
        </x:is>
      </x:c>
      <x:c r="U313" s="640" t="str">
        <x:f>IF(Q313="","",IF(Q313="待结算","待结算",IF(Q313="红","黑",IF(Q313="半红","半黑",IF(Q313="走","走",IF(Q313="半黑","半红","红"))))))</x:f>
        <x:v>红</x:v>
      </x:c>
      <x:c r="V313" s="599" t="n">
        <x:f>IF(OR(Q313="",Q313="待结算"),"",IF(L313=LEFT(F313,FIND(" vs ",F313)-1),I313,G313))</x:f>
        <x:v>0.86</x:v>
      </x:c>
      <x:c r="W313" s="599" t="n">
        <x:f>IF(OR(U313="",U313="待结算"),"",IF(U313="红",V313,IF(U313="半红",V313*0.5,IF(U313="走",0,IF(U313="半黑",-0.5,-1)))))</x:f>
        <x:v>0.86</x:v>
      </x:c>
      <x:c r="X313" s="595" t="inlineStr">
        <x:is>
          <x:t xml:space="preserve">2912901</x:t>
        </x:is>
      </x:c>
      <x:c r="Y313" s="595" t="inlineStr">
        <x:is>
          <x:t xml:space="preserve">v4-market-dirichlet-20260913</x:t>
        </x:is>
      </x:c>
      <x:c r="Z313" s="595" t="inlineStr">
        <x:is>
          <x:t xml:space="preserve">prior-2026-09-20-v1</x:t>
        </x:is>
      </x:c>
      <x:c r="AA313" s="595" t="inlineStr">
        <x:is>
          <x:t xml:space="preserve">C</x:t>
        </x:is>
      </x:c>
      <x:c r="AB313" s="600" t="n">
        <x:v>0.2743055555555556</x:v>
      </x:c>
      <x:c r="AC313" s="600" t="n">
        <x:v>0.3020833333333333</x:v>
      </x:c>
      <x:c r="AD313" s="600" t="n">
        <x:v>0</x:v>
      </x:c>
      <x:c r="AE313" s="600" t="n">
        <x:v>0</x:v>
      </x:c>
      <x:c r="AF313" s="600" t="n">
        <x:v>0.4236111111111111</x:v>
      </x:c>
      <x:c r="AG313" s="600" t="n">
        <x:v>0.01449652777777782</x:v>
      </x:c>
      <x:c r="AH313" s="600" t="n">
        <x:v>-0.07245538101174198</x:v>
      </x:c>
      <x:c r="AI313" s="600" t="n">
        <x:v>-0.05351953079959765</x:v>
      </x:c>
      <x:c r="AJ313" s="600" t="n">
        <x:v>0.01381119777979961</x:v>
      </x:c>
      <x:c r="AK313" s="600" t="n">
        <x:v>0.08133422245635019</x:v>
      </x:c>
      <x:c r="AL313" s="600" t="n">
        <x:v>0.09967621266970428</x:v>
      </x:c>
      <x:c r="AM313" s="600" t="n">
        <x:v>0.6038</x:v>
      </x:c>
      <x:c r="AN313" s="595" t="inlineStr">
        <x:is>
          <x:t xml:space="preserve">EVALUATED</x:t>
        </x:is>
      </x:c>
      <x:c r="AO313" s="600" t="inlineStr">
        <x:is>
          <x:t xml:space="preserve">BUCKET_0.25、SIDE_IDENTITY_VALID、FLAT_LINE_GIVING_WATER_RISE</x:t>
        </x:is>
      </x:c>
      <x:c r="AP313" s="600" t="inlineStr">
        <x:is>
          <x:t xml:space="preserve">4d1808ad126e01561d12</x:t>
        </x:is>
      </x:c>
      <x:c r="AQ313" s="600" t="n">
        <x:v>0.25</x:v>
      </x:c>
      <x:c r="AR313" s="600" t="n">
        <x:v>1.03</x:v>
      </x:c>
      <x:c r="AS313" s="600" t="n">
        <x:v>-0.25</x:v>
      </x:c>
      <x:c r="AT313" s="600" t="n">
        <x:v>0.25</x:v>
      </x:c>
      <x:c r="AU313" s="600" t="n">
        <x:v>0.86</x:v>
      </x:c>
      <x:c r="AV313" s="600" t="n">
        <x:v>1.03</x:v>
      </x:c>
      <x:c r="AW313" s="595" t="n">
        <x:v>46285.58031267361</x:v>
      </x:c>
      <x:c r="AX313" s="595" t="inlineStr">
        <x:is>
          <x:t xml:space="preserve">https://simondongxiao.github.io/odds/v4/</x:t>
        </x:is>
      </x:c>
      <x:c r="AY313" s="595" t="inlineStr">
        <x:is>
          <x:t xml:space="preserve">V4 Shadow Only；real_money=false；比分差异详见记录审计</x:t>
        </x:is>
      </x:c>
    </x:row>
    <x:row r="314" ht="22" customHeight="1">
      <x:c r="A314" s="595" t="inlineStr">
        <x:is>
          <x:t xml:space="preserve">2026-09-20</x:t>
        </x:is>
      </x:c>
      <x:c r="B314" s="595" t="inlineStr">
        <x:is>
          <x:t xml:space="preserve">2026-09-20 23:00</x:t>
        </x:is>
      </x:c>
      <x:c r="C314" s="595" t="str">
        <x:v>欧洲非五大系列</x:v>
      </x:c>
      <x:c r="D314" s="595" t="inlineStr">
        <x:is>
          <x:t xml:space="preserve">联赛</x:t>
        </x:is>
      </x:c>
      <x:c r="E314" s="595" t="inlineStr">
        <x:is>
          <x:t xml:space="preserve">挪超</x:t>
        </x:is>
      </x:c>
      <x:c r="F314" s="595" t="inlineStr">
        <x:is>
          <x:t xml:space="preserve">维京 vs 利勒斯特罗姆</x:t>
        </x:is>
      </x:c>
      <x:c r="G314" s="596" t="n">
        <x:v>0.84</x:v>
      </x:c>
      <x:c r="H314" s="596" t="n">
        <x:v>1.5</x:v>
      </x:c>
      <x:c r="I314" s="596" t="n">
        <x:v>1.05</x:v>
      </x:c>
      <x:c r="J314" s="596" t="inlineStr">
        <x:is>
          <x:t xml:space="preserve">0.84/1.5/1.05</x:t>
        </x:is>
      </x:c>
      <x:c r="K314" s="595" t="inlineStr">
        <x:is>
          <x:t xml:space="preserve">V4-C｜EV +0.0925</x:t>
        </x:is>
      </x:c>
      <x:c r="L314" s="595" t="inlineStr">
        <x:is>
          <x:t xml:space="preserve">维京</x:t>
        </x:is>
      </x:c>
      <x:c r="M314" s="597" t="n">
        <x:v>0.59375</x:v>
      </x:c>
      <x:c r="N314" s="595" t="inlineStr">
        <x:is>
          <x:t xml:space="preserve">V4纸面入选-C</x:t>
        </x:is>
      </x:c>
      <x:c r="O314" s="595" t="inlineStr">
        <x:is>
          <x:t xml:space="preserve">3-0</x:t>
        </x:is>
      </x:c>
      <x:c r="P314" s="595" t="inlineStr">
        <x:is>
          <x:t xml:space="preserve">已结算</x:t>
        </x:is>
      </x:c>
      <x:c r="Q314" s="640" t="inlineStr">
        <x:is>
          <x:t xml:space="preserve">红</x:t>
        </x:is>
      </x:c>
      <x:c r="R314" s="599" t="n">
        <x:v>0.84</x:v>
      </x:c>
      <x:c r="S314" s="599" t="n">
        <x:f>IF(OR(Q314="",Q314="待结算"),"",IF(Q314="红",R314,IF(Q314="半红",R314*0.5,IF(Q314="走",0,IF(Q314="半黑",-0.5,-1)))))</x:f>
        <x:v>0.84</x:v>
      </x:c>
      <x:c r="T314" s="595" t="inlineStr">
        <x:is>
          <x:t xml:space="preserve">https://zq.titan007.com/analysis/2912905cn.htm</x:t>
        </x:is>
      </x:c>
      <x:c r="U314" s="641" t="str">
        <x:f>IF(Q314="","",IF(Q314="待结算","待结算",IF(Q314="红","黑",IF(Q314="半红","半黑",IF(Q314="走","走",IF(Q314="半黑","半红","红"))))))</x:f>
        <x:v>黑</x:v>
      </x:c>
      <x:c r="V314" s="599" t="n">
        <x:f>IF(OR(Q314="",Q314="待结算"),"",IF(L314=LEFT(F314,FIND(" vs ",F314)-1),I314,G314))</x:f>
        <x:v>1.05</x:v>
      </x:c>
      <x:c r="W314" s="599" t="n">
        <x:f>IF(OR(U314="",U314="待结算"),"",IF(U314="红",V314,IF(U314="半红",V314*0.5,IF(U314="走",0,IF(U314="半黑",-0.5,-1)))))</x:f>
        <x:v>-1</x:v>
      </x:c>
      <x:c r="X314" s="595" t="inlineStr">
        <x:is>
          <x:t xml:space="preserve">2912905</x:t>
        </x:is>
      </x:c>
      <x:c r="Y314" s="595" t="inlineStr">
        <x:is>
          <x:t xml:space="preserve">v4-market-dirichlet-20260913</x:t>
        </x:is>
      </x:c>
      <x:c r="Z314" s="595" t="inlineStr">
        <x:is>
          <x:t xml:space="preserve">prior-2026-09-20-v1</x:t>
        </x:is>
      </x:c>
      <x:c r="AA314" s="595" t="inlineStr">
        <x:is>
          <x:t xml:space="preserve">C</x:t>
        </x:is>
      </x:c>
      <x:c r="AB314" s="600" t="n">
        <x:v>0.59375</x:v>
      </x:c>
      <x:c r="AC314" s="600" t="n">
        <x:v>0</x:v>
      </x:c>
      <x:c r="AD314" s="600" t="n">
        <x:v>0</x:v>
      </x:c>
      <x:c r="AE314" s="600" t="n">
        <x:v>0</x:v>
      </x:c>
      <x:c r="AF314" s="600" t="n">
        <x:v>0.40625</x:v>
      </x:c>
      <x:c r="AG314" s="600" t="n">
        <x:v>0.09249999999999997</x:v>
      </x:c>
      <x:c r="AH314" s="600" t="n">
        <x:v>-0.1694751132066715</x:v>
      </x:c>
      <x:c r="AI314" s="600" t="n">
        <x:v>-0.1126861058837959</x:v>
      </x:c>
      <x:c r="AJ314" s="600" t="n">
        <x:v>0.09577057340912837</x:v>
      </x:c>
      <x:c r="AK314" s="600" t="n">
        <x:v>0.2935063017696057</x:v>
      </x:c>
      <x:c r="AL314" s="600" t="n">
        <x:v>0.3444652310668864</x:v>
      </x:c>
      <x:c r="AM314" s="600" t="n">
        <x:v>0.7236</x:v>
      </x:c>
      <x:c r="AN314" s="595" t="inlineStr">
        <x:is>
          <x:t xml:space="preserve">EVALUATED</x:t>
        </x:is>
      </x:c>
      <x:c r="AO314" s="600" t="inlineStr">
        <x:is>
          <x:t xml:space="preserve">BUCKET_1.50、SIDE_IDENTITY_VALID、MARKET_MOVE_LINE_STRENGTH_WITH_GIVING_RESISTANCE</x:t>
        </x:is>
      </x:c>
      <x:c r="AP314" s="600" t="inlineStr">
        <x:is>
          <x:t xml:space="preserve">422f0368f1bfffb4a513</x:t>
        </x:is>
      </x:c>
      <x:c r="AQ314" s="600" t="n">
        <x:v>-1.5</x:v>
      </x:c>
      <x:c r="AR314" s="600" t="n">
        <x:v>0.84</x:v>
      </x:c>
      <x:c r="AS314" s="600" t="n">
        <x:v>-1.5</x:v>
      </x:c>
      <x:c r="AT314" s="600" t="n">
        <x:v>1.5</x:v>
      </x:c>
      <x:c r="AU314" s="600" t="n">
        <x:v>0.84</x:v>
      </x:c>
      <x:c r="AV314" s="600" t="n">
        <x:v>1.05</x:v>
      </x:c>
      <x:c r="AW314" s="595" t="n">
        <x:v>46285.58031267361</x:v>
      </x:c>
      <x:c r="AX314" s="595" t="inlineStr">
        <x:is>
          <x:t xml:space="preserve">https://simondongxiao.github.io/odds/v4/</x:t>
        </x:is>
      </x:c>
      <x:c r="AY314" s="595" t="inlineStr">
        <x:is>
          <x:t xml:space="preserve">V4 Shadow Only；real_money=false；比分差异详见记录审计</x:t>
        </x:is>
      </x:c>
    </x:row>
    <x:row r="315" ht="22" customHeight="1">
      <x:c r="A315" s="595" t="inlineStr">
        <x:is>
          <x:t xml:space="preserve">2026-09-20</x:t>
        </x:is>
      </x:c>
      <x:c r="B315" s="595" t="inlineStr">
        <x:is>
          <x:t xml:space="preserve">2026-09-20 23:00</x:t>
        </x:is>
      </x:c>
      <x:c r="C315" s="595" t="str">
        <x:v>五大联赛非顶级联赛</x:v>
      </x:c>
      <x:c r="D315" s="595" t="inlineStr">
        <x:is>
          <x:t xml:space="preserve">联赛</x:t>
        </x:is>
      </x:c>
      <x:c r="E315" s="595" t="inlineStr">
        <x:is>
          <x:t xml:space="preserve">西协乙1</x:t>
        </x:is>
      </x:c>
      <x:c r="F315" s="595" t="inlineStr">
        <x:is>
          <x:t xml:space="preserve">格尼卡 vs UD利亚内拉</x:t>
        </x:is>
      </x:c>
      <x:c r="G315" s="596" t="n">
        <x:v>1.08</x:v>
      </x:c>
      <x:c r="H315" s="596" t="n">
        <x:v>0.5</x:v>
      </x:c>
      <x:c r="I315" s="596" t="n">
        <x:v>0.62</x:v>
      </x:c>
      <x:c r="J315" s="596" t="inlineStr">
        <x:is>
          <x:t xml:space="preserve">1.08/0.5/0.62</x:t>
        </x:is>
      </x:c>
      <x:c r="K315" s="595" t="inlineStr">
        <x:is>
          <x:t xml:space="preserve">V4-C｜EV +0.0341</x:t>
        </x:is>
      </x:c>
      <x:c r="L315" s="595" t="inlineStr">
        <x:is>
          <x:t xml:space="preserve">格尼卡</x:t>
        </x:is>
      </x:c>
      <x:c r="M315" s="597" t="n">
        <x:v>0.4971428571428572</x:v>
      </x:c>
      <x:c r="N315" s="595" t="inlineStr">
        <x:is>
          <x:t xml:space="preserve">V4纸面入选-C</x:t>
        </x:is>
      </x:c>
      <x:c r="O315" s="595" t="inlineStr">
        <x:is>
          <x:t xml:space="preserve">4-0</x:t>
        </x:is>
      </x:c>
      <x:c r="P315" s="595" t="inlineStr">
        <x:is>
          <x:t xml:space="preserve">已结算</x:t>
        </x:is>
      </x:c>
      <x:c r="Q315" s="640" t="inlineStr">
        <x:is>
          <x:t xml:space="preserve">红</x:t>
        </x:is>
      </x:c>
      <x:c r="R315" s="599" t="n">
        <x:v>1.08</x:v>
      </x:c>
      <x:c r="S315" s="599" t="n">
        <x:f>IF(OR(Q315="",Q315="待结算"),"",IF(Q315="红",R315,IF(Q315="半红",R315*0.5,IF(Q315="走",0,IF(Q315="半黑",-0.5,-1)))))</x:f>
        <x:v>1.08</x:v>
      </x:c>
      <x:c r="T315" s="595" t="inlineStr">
        <x:is>
          <x:t xml:space="preserve">https://zq.titan007.com/analysis/3055053cn.htm</x:t>
        </x:is>
      </x:c>
      <x:c r="U315" s="641" t="str">
        <x:f>IF(Q315="","",IF(Q315="待结算","待结算",IF(Q315="红","黑",IF(Q315="半红","半黑",IF(Q315="走","走",IF(Q315="半黑","半红","红"))))))</x:f>
        <x:v>黑</x:v>
      </x:c>
      <x:c r="V315" s="599" t="n">
        <x:f>IF(OR(Q315="",Q315="待结算"),"",IF(L315=LEFT(F315,FIND(" vs ",F315)-1),I315,G315))</x:f>
        <x:v>0.62</x:v>
      </x:c>
      <x:c r="W315" s="599" t="n">
        <x:f>IF(OR(U315="",U315="待结算"),"",IF(U315="红",V315,IF(U315="半红",V315*0.5,IF(U315="走",0,IF(U315="半黑",-0.5,-1)))))</x:f>
        <x:v>-1</x:v>
      </x:c>
      <x:c r="X315" s="595" t="inlineStr">
        <x:is>
          <x:t xml:space="preserve">3055053</x:t>
        </x:is>
      </x:c>
      <x:c r="Y315" s="595" t="inlineStr">
        <x:is>
          <x:t xml:space="preserve">v4-market-dirichlet-20260913</x:t>
        </x:is>
      </x:c>
      <x:c r="Z315" s="595" t="inlineStr">
        <x:is>
          <x:t xml:space="preserve">prior-2026-09-20-v1</x:t>
        </x:is>
      </x:c>
      <x:c r="AA315" s="595" t="inlineStr">
        <x:is>
          <x:t xml:space="preserve">C</x:t>
        </x:is>
      </x:c>
      <x:c r="AB315" s="600" t="n">
        <x:v>0.4971428571428572</x:v>
      </x:c>
      <x:c r="AC315" s="600" t="n">
        <x:v>0</x:v>
      </x:c>
      <x:c r="AD315" s="600" t="n">
        <x:v>0</x:v>
      </x:c>
      <x:c r="AE315" s="600" t="n">
        <x:v>0</x:v>
      </x:c>
      <x:c r="AF315" s="600" t="n">
        <x:v>0.5028571428571429</x:v>
      </x:c>
      <x:c r="AG315" s="600" t="n">
        <x:v>0.0340571428571429</x:v>
      </x:c>
      <x:c r="AH315" s="600" t="n">
        <x:v>-0.09337641118076095</x:v>
      </x:c>
      <x:c r="AI315" s="600" t="n">
        <x:v>-0.06374524295859524</x:v>
      </x:c>
      <x:c r="AJ315" s="600" t="n">
        <x:v>0.03691683753667452</x:v>
      </x:c>
      <x:c r="AK315" s="600" t="n">
        <x:v>0.1371799076511724</x:v>
      </x:c>
      <x:c r="AL315" s="600" t="n">
        <x:v>0.164859766166509</x:v>
      </x:c>
      <x:c r="AM315" s="600" t="n">
        <x:v>0.6764</x:v>
      </x:c>
      <x:c r="AN315" s="595" t="inlineStr">
        <x:is>
          <x:t xml:space="preserve">EVALUATED</x:t>
        </x:is>
      </x:c>
      <x:c r="AO315" s="600" t="inlineStr">
        <x:is>
          <x:t xml:space="preserve">BUCKET_0.50、SIDE_IDENTITY_VALID、MARKET_MOVE_DEEPER_WITH_GIVING_WATER_RISE</x:t>
        </x:is>
      </x:c>
      <x:c r="AP315" s="600" t="inlineStr">
        <x:is>
          <x:t xml:space="preserve">f485882f3e8efc2a5eaf</x:t>
        </x:is>
      </x:c>
      <x:c r="AQ315" s="600" t="n">
        <x:v>-0.5</x:v>
      </x:c>
      <x:c r="AR315" s="600" t="n">
        <x:v>1.08</x:v>
      </x:c>
      <x:c r="AS315" s="600" t="n">
        <x:v>-0.5</x:v>
      </x:c>
      <x:c r="AT315" s="600" t="n">
        <x:v>0.5</x:v>
      </x:c>
      <x:c r="AU315" s="600" t="n">
        <x:v>1.08</x:v>
      </x:c>
      <x:c r="AV315" s="600" t="n">
        <x:v>0.62</x:v>
      </x:c>
      <x:c r="AW315" s="595" t="n">
        <x:v>46285.58031267361</x:v>
      </x:c>
      <x:c r="AX315" s="595" t="inlineStr">
        <x:is>
          <x:t xml:space="preserve">https://simondongxiao.github.io/odds/v4/</x:t>
        </x:is>
      </x:c>
      <x:c r="AY315" s="595" t="inlineStr">
        <x:is>
          <x:t xml:space="preserve">V4 Shadow Only；real_money=false；比分差异详见记录审计</x:t>
        </x:is>
      </x:c>
    </x:row>
    <x:row r="316" ht="22" customHeight="1">
      <x:c r="A316" s="595" t="inlineStr">
        <x:is>
          <x:t xml:space="preserve">2026-09-20</x:t>
        </x:is>
      </x:c>
      <x:c r="B316" s="595" t="inlineStr">
        <x:is>
          <x:t xml:space="preserve">2026-09-20 23:00</x:t>
        </x:is>
      </x:c>
      <x:c r="C316" s="595" t="str">
        <x:v>欧洲非五大系列</x:v>
      </x:c>
      <x:c r="D316" s="595" t="inlineStr">
        <x:is>
          <x:t xml:space="preserve">联赛</x:t>
        </x:is>
      </x:c>
      <x:c r="E316" s="595" t="inlineStr">
        <x:is>
          <x:t xml:space="preserve">挪甲</x:t>
        </x:is>
      </x:c>
      <x:c r="F316" s="595" t="inlineStr">
        <x:is>
          <x:t xml:space="preserve">斯塔贝克 vs 松达尔</x:t>
        </x:is>
      </x:c>
      <x:c r="G316" s="596" t="n">
        <x:v>0.84</x:v>
      </x:c>
      <x:c r="H316" s="596" t="n">
        <x:v>1.5</x:v>
      </x:c>
      <x:c r="I316" s="596" t="n">
        <x:v>1</x:v>
      </x:c>
      <x:c r="J316" s="596" t="inlineStr">
        <x:is>
          <x:t xml:space="preserve">0.84/1.5/1.00</x:t>
        </x:is>
      </x:c>
      <x:c r="K316" s="595" t="inlineStr">
        <x:is>
          <x:t xml:space="preserve">V4-C｜EV +0.0925</x:t>
        </x:is>
      </x:c>
      <x:c r="L316" s="595" t="inlineStr">
        <x:is>
          <x:t xml:space="preserve">斯塔贝克</x:t>
        </x:is>
      </x:c>
      <x:c r="M316" s="597" t="n">
        <x:v>0.59375</x:v>
      </x:c>
      <x:c r="N316" s="595" t="inlineStr">
        <x:is>
          <x:t xml:space="preserve">V4纸面入选-C</x:t>
        </x:is>
      </x:c>
      <x:c r="O316" s="595" t="inlineStr">
        <x:is>
          <x:t xml:space="preserve">2-1</x:t>
        </x:is>
      </x:c>
      <x:c r="P316" s="595" t="inlineStr">
        <x:is>
          <x:t xml:space="preserve">已结算</x:t>
        </x:is>
      </x:c>
      <x:c r="Q316" s="641" t="inlineStr">
        <x:is>
          <x:t xml:space="preserve">黑</x:t>
        </x:is>
      </x:c>
      <x:c r="R316" s="599" t="n">
        <x:v>0.84</x:v>
      </x:c>
      <x:c r="S316" s="599" t="n">
        <x:f>IF(OR(Q316="",Q316="待结算"),"",IF(Q316="红",R316,IF(Q316="半红",R316*0.5,IF(Q316="走",0,IF(Q316="半黑",-0.5,-1)))))</x:f>
        <x:v>-1</x:v>
      </x:c>
      <x:c r="T316" s="595" t="inlineStr">
        <x:is>
          <x:t xml:space="preserve">https://zq.titan007.com/analysis/2913153cn.htm</x:t>
        </x:is>
      </x:c>
      <x:c r="U316" s="640" t="str">
        <x:f>IF(Q316="","",IF(Q316="待结算","待结算",IF(Q316="红","黑",IF(Q316="半红","半黑",IF(Q316="走","走",IF(Q316="半黑","半红","红"))))))</x:f>
        <x:v>红</x:v>
      </x:c>
      <x:c r="V316" s="599" t="n">
        <x:f>IF(OR(Q316="",Q316="待结算"),"",IF(L316=LEFT(F316,FIND(" vs ",F316)-1),I316,G316))</x:f>
        <x:v>1</x:v>
      </x:c>
      <x:c r="W316" s="599" t="n">
        <x:f>IF(OR(U316="",U316="待结算"),"",IF(U316="红",V316,IF(U316="半红",V316*0.5,IF(U316="走",0,IF(U316="半黑",-0.5,-1)))))</x:f>
        <x:v>1</x:v>
      </x:c>
      <x:c r="X316" s="595" t="inlineStr">
        <x:is>
          <x:t xml:space="preserve">2913153</x:t>
        </x:is>
      </x:c>
      <x:c r="Y316" s="595" t="inlineStr">
        <x:is>
          <x:t xml:space="preserve">v4-market-dirichlet-20260913</x:t>
        </x:is>
      </x:c>
      <x:c r="Z316" s="595" t="inlineStr">
        <x:is>
          <x:t xml:space="preserve">prior-2026-09-20-v1</x:t>
        </x:is>
      </x:c>
      <x:c r="AA316" s="595" t="inlineStr">
        <x:is>
          <x:t xml:space="preserve">C</x:t>
        </x:is>
      </x:c>
      <x:c r="AB316" s="600" t="n">
        <x:v>0.59375</x:v>
      </x:c>
      <x:c r="AC316" s="600" t="n">
        <x:v>0</x:v>
      </x:c>
      <x:c r="AD316" s="600" t="n">
        <x:v>0</x:v>
      </x:c>
      <x:c r="AE316" s="600" t="n">
        <x:v>0</x:v>
      </x:c>
      <x:c r="AF316" s="600" t="n">
        <x:v>0.40625</x:v>
      </x:c>
      <x:c r="AG316" s="600" t="n">
        <x:v>0.09249999999999997</x:v>
      </x:c>
      <x:c r="AH316" s="600" t="n">
        <x:v>-0.1787067136816612</x:v>
      </x:c>
      <x:c r="AI316" s="600" t="n">
        <x:v>-0.1131612250621791</x:v>
      </x:c>
      <x:c r="AJ316" s="600" t="n">
        <x:v>0.09815643740865915</x:v>
      </x:c>
      <x:c r="AK316" s="600" t="n">
        <x:v>0.2984683765287213</x:v>
      </x:c>
      <x:c r="AL316" s="600" t="n">
        <x:v>0.3480453446747848</x:v>
      </x:c>
      <x:c r="AM316" s="600" t="n">
        <x:v>0.7274</x:v>
      </x:c>
      <x:c r="AN316" s="595" t="inlineStr">
        <x:is>
          <x:t xml:space="preserve">EVALUATED</x:t>
        </x:is>
      </x:c>
      <x:c r="AO316" s="600" t="inlineStr">
        <x:is>
          <x:t xml:space="preserve">BUCKET_1.50、SIDE_IDENTITY_VALID、MARKET_MOVE_DEEPER_WITH_GIVING_WATER_RISE</x:t>
        </x:is>
      </x:c>
      <x:c r="AP316" s="600" t="inlineStr">
        <x:is>
          <x:t xml:space="preserve">8ca56aba6084b89651ac</x:t>
        </x:is>
      </x:c>
      <x:c r="AQ316" s="600" t="n">
        <x:v>-1.5</x:v>
      </x:c>
      <x:c r="AR316" s="600" t="n">
        <x:v>0.84</x:v>
      </x:c>
      <x:c r="AS316" s="600" t="n">
        <x:v>-1.5</x:v>
      </x:c>
      <x:c r="AT316" s="600" t="n">
        <x:v>1.5</x:v>
      </x:c>
      <x:c r="AU316" s="600" t="n">
        <x:v>0.84</x:v>
      </x:c>
      <x:c r="AV316" s="600" t="n">
        <x:v>1</x:v>
      </x:c>
      <x:c r="AW316" s="595" t="n">
        <x:v>46285.58031267361</x:v>
      </x:c>
      <x:c r="AX316" s="595" t="inlineStr">
        <x:is>
          <x:t xml:space="preserve">https://simondongxiao.github.io/odds/v4/</x:t>
        </x:is>
      </x:c>
      <x:c r="AY316" s="595" t="inlineStr">
        <x:is>
          <x:t xml:space="preserve">V4 Shadow Only；real_money=false；比分差异详见记录审计</x:t>
        </x:is>
      </x:c>
    </x:row>
    <x:row r="317" ht="22" customHeight="1">
      <x:c r="A317" s="595" t="inlineStr">
        <x:is>
          <x:t xml:space="preserve">2026-09-20</x:t>
        </x:is>
      </x:c>
      <x:c r="B317" s="595" t="inlineStr">
        <x:is>
          <x:t xml:space="preserve">2026-09-20 23:00</x:t>
        </x:is>
      </x:c>
      <x:c r="C317" s="595" t="str">
        <x:v>欧洲非五大系列</x:v>
      </x:c>
      <x:c r="D317" s="595" t="inlineStr">
        <x:is>
          <x:t xml:space="preserve">联赛</x:t>
        </x:is>
      </x:c>
      <x:c r="E317" s="595" t="inlineStr">
        <x:is>
          <x:t xml:space="preserve">乌克超</x:t>
        </x:is>
      </x:c>
      <x:c r="F317" s="595" t="inlineStr">
        <x:is>
          <x:t xml:space="preserve">顿涅茨克矿工 vs LNZ切尔卡斯</x:t>
        </x:is>
      </x:c>
      <x:c r="G317" s="596" t="n">
        <x:v>1.08</x:v>
      </x:c>
      <x:c r="H317" s="596" t="n">
        <x:v>1.25</x:v>
      </x:c>
      <x:c r="I317" s="596" t="n">
        <x:v>0.8</x:v>
      </x:c>
      <x:c r="J317" s="596" t="inlineStr">
        <x:is>
          <x:t xml:space="preserve">1.08/1.25/0.80</x:t>
        </x:is>
      </x:c>
      <x:c r="K317" s="595" t="inlineStr">
        <x:is>
          <x:t xml:space="preserve">V4-C｜EV +0.0442</x:t>
        </x:is>
      </x:c>
      <x:c r="L317" s="595" t="inlineStr">
        <x:is>
          <x:t xml:space="preserve">顿涅茨克矿工</x:t>
        </x:is>
      </x:c>
      <x:c r="M317" s="597" t="n">
        <x:v>0.5054945054945055</x:v>
      </x:c>
      <x:c r="N317" s="595" t="inlineStr">
        <x:is>
          <x:t xml:space="preserve">V4纸面入选-C</x:t>
        </x:is>
      </x:c>
      <x:c r="O317" s="595" t="inlineStr">
        <x:is>
          <x:t xml:space="preserve">3-0</x:t>
        </x:is>
      </x:c>
      <x:c r="P317" s="595" t="inlineStr">
        <x:is>
          <x:t xml:space="preserve">已结算</x:t>
        </x:is>
      </x:c>
      <x:c r="Q317" s="640" t="inlineStr">
        <x:is>
          <x:t xml:space="preserve">红</x:t>
        </x:is>
      </x:c>
      <x:c r="R317" s="599" t="n">
        <x:v>1.08</x:v>
      </x:c>
      <x:c r="S317" s="599" t="n">
        <x:f>IF(OR(Q317="",Q317="待结算"),"",IF(Q317="红",R317,IF(Q317="半红",R317*0.5,IF(Q317="走",0,IF(Q317="半黑",-0.5,-1)))))</x:f>
        <x:v>1.08</x:v>
      </x:c>
      <x:c r="T317" s="595" t="inlineStr">
        <x:is>
          <x:t xml:space="preserve">https://zq.titan007.com/analysis/3012522cn.htm</x:t>
        </x:is>
      </x:c>
      <x:c r="U317" s="641" t="str">
        <x:f>IF(Q317="","",IF(Q317="待结算","待结算",IF(Q317="红","黑",IF(Q317="半红","半黑",IF(Q317="走","走",IF(Q317="半黑","半红","红"))))))</x:f>
        <x:v>黑</x:v>
      </x:c>
      <x:c r="V317" s="599" t="n">
        <x:f>IF(OR(Q317="",Q317="待结算"),"",IF(L317=LEFT(F317,FIND(" vs ",F317)-1),I317,G317))</x:f>
        <x:v>0.8</x:v>
      </x:c>
      <x:c r="W317" s="599" t="n">
        <x:f>IF(OR(U317="",U317="待结算"),"",IF(U317="红",V317,IF(U317="半红",V317*0.5,IF(U317="走",0,IF(U317="半黑",-0.5,-1)))))</x:f>
        <x:v>-1</x:v>
      </x:c>
      <x:c r="X317" s="595" t="inlineStr">
        <x:is>
          <x:t xml:space="preserve">3012522</x:t>
        </x:is>
      </x:c>
      <x:c r="Y317" s="595" t="inlineStr">
        <x:is>
          <x:t xml:space="preserve">v4-market-dirichlet-20260913</x:t>
        </x:is>
      </x:c>
      <x:c r="Z317" s="595" t="inlineStr">
        <x:is>
          <x:t xml:space="preserve">prior-2026-09-20-v1</x:t>
        </x:is>
      </x:c>
      <x:c r="AA317" s="595" t="inlineStr">
        <x:is>
          <x:t xml:space="preserve">C</x:t>
        </x:is>
      </x:c>
      <x:c r="AB317" s="600" t="n">
        <x:v>0.4339622641509434</x:v>
      </x:c>
      <x:c r="AC317" s="600" t="n">
        <x:v>0</x:v>
      </x:c>
      <x:c r="AD317" s="600" t="n">
        <x:v>0</x:v>
      </x:c>
      <x:c r="AE317" s="600" t="n">
        <x:v>0.2830188679245283</x:v>
      </x:c>
      <x:c r="AF317" s="600" t="n">
        <x:v>0.2830188679245283</x:v>
      </x:c>
      <x:c r="AG317" s="600" t="n">
        <x:v>0.04415094339622644</x:v>
      </x:c>
      <x:c r="AH317" s="600" t="n">
        <x:v>-0.1605100690846853</x:v>
      </x:c>
      <x:c r="AI317" s="600" t="n">
        <x:v>-0.1143289951120494</x:v>
      </x:c>
      <x:c r="AJ317" s="600" t="n">
        <x:v>0.04533385814368507</x:v>
      </x:c>
      <x:c r="AK317" s="600" t="n">
        <x:v>0.2115728754951526</x:v>
      </x:c>
      <x:c r="AL317" s="600" t="n">
        <x:v>0.2530677913801312</x:v>
      </x:c>
      <x:c r="AM317" s="600" t="n">
        <x:v>0.6282</x:v>
      </x:c>
      <x:c r="AN317" s="595" t="inlineStr">
        <x:is>
          <x:t xml:space="preserve">EVALUATED</x:t>
        </x:is>
      </x:c>
      <x:c r="AO317" s="600" t="inlineStr">
        <x:is>
          <x:t xml:space="preserve">BUCKET_1.25、SIDE_IDENTITY_VALID、MARKET_MOVE_DEEPER_WITH_GIVING_WATER_RISE</x:t>
        </x:is>
      </x:c>
      <x:c r="AP317" s="600" t="inlineStr">
        <x:is>
          <x:t xml:space="preserve">c20682e5bc94657f0bd0</x:t>
        </x:is>
      </x:c>
      <x:c r="AQ317" s="600" t="n">
        <x:v>-1.25</x:v>
      </x:c>
      <x:c r="AR317" s="600" t="n">
        <x:v>1.08</x:v>
      </x:c>
      <x:c r="AS317" s="600" t="n">
        <x:v>-1.25</x:v>
      </x:c>
      <x:c r="AT317" s="600" t="n">
        <x:v>1.25</x:v>
      </x:c>
      <x:c r="AU317" s="600" t="n">
        <x:v>1.08</x:v>
      </x:c>
      <x:c r="AV317" s="600" t="n">
        <x:v>0.8</x:v>
      </x:c>
      <x:c r="AW317" s="595" t="n">
        <x:v>46285.58031267361</x:v>
      </x:c>
      <x:c r="AX317" s="595" t="inlineStr">
        <x:is>
          <x:t xml:space="preserve">https://simondongxiao.github.io/odds/v4/</x:t>
        </x:is>
      </x:c>
      <x:c r="AY317" s="595" t="inlineStr">
        <x:is>
          <x:t xml:space="preserve">V4 Shadow Only；real_money=false；比分差异详见记录审计</x:t>
        </x:is>
      </x:c>
    </x:row>
    <x:row r="318" ht="22" customHeight="1">
      <x:c r="A318" s="595" t="inlineStr">
        <x:is>
          <x:t xml:space="preserve">2026-09-20</x:t>
        </x:is>
      </x:c>
      <x:c r="B318" s="595" t="inlineStr">
        <x:is>
          <x:t xml:space="preserve">2026-09-20 23:00</x:t>
        </x:is>
      </x:c>
      <x:c r="C318" s="595" t="str">
        <x:v>欧洲非五大系列</x:v>
      </x:c>
      <x:c r="D318" s="595" t="inlineStr">
        <x:is>
          <x:t xml:space="preserve">联赛</x:t>
        </x:is>
      </x:c>
      <x:c r="E318" s="595" t="inlineStr">
        <x:is>
          <x:t xml:space="preserve">拉脱超</x:t>
        </x:is>
      </x:c>
      <x:c r="F318" s="595" t="inlineStr">
        <x:is>
          <x:t xml:space="preserve">奥达里加 vs 里加足球学院</x:t>
        </x:is>
      </x:c>
      <x:c r="G318" s="596" t="n">
        <x:v>1.08</x:v>
      </x:c>
      <x:c r="H318" s="596" t="n">
        <x:v>-0.75</x:v>
      </x:c>
      <x:c r="I318" s="596" t="n">
        <x:v>0.74</x:v>
      </x:c>
      <x:c r="J318" s="596" t="inlineStr">
        <x:is>
          <x:t xml:space="preserve">1.08/-0.75/0.74</x:t>
        </x:is>
      </x:c>
      <x:c r="K318" s="595" t="inlineStr">
        <x:is>
          <x:t xml:space="preserve">V4-C｜EV +0.0478</x:t>
        </x:is>
      </x:c>
      <x:c r="L318" s="595" t="inlineStr">
        <x:is>
          <x:t xml:space="preserve">奥达里加</x:t>
        </x:is>
      </x:c>
      <x:c r="M318" s="597" t="n">
        <x:v>0.5071770334928229</x:v>
      </x:c>
      <x:c r="N318" s="595" t="inlineStr">
        <x:is>
          <x:t xml:space="preserve">V4纸面入选-C</x:t>
        </x:is>
      </x:c>
      <x:c r="O318" s="595" t="inlineStr">
        <x:is>
          <x:t xml:space="preserve">1-1</x:t>
        </x:is>
      </x:c>
      <x:c r="P318" s="595" t="inlineStr">
        <x:is>
          <x:t xml:space="preserve">已结算</x:t>
        </x:is>
      </x:c>
      <x:c r="Q318" s="640" t="inlineStr">
        <x:is>
          <x:t xml:space="preserve">红</x:t>
        </x:is>
      </x:c>
      <x:c r="R318" s="599" t="n">
        <x:v>1.08</x:v>
      </x:c>
      <x:c r="S318" s="599" t="n">
        <x:f>IF(OR(Q318="",Q318="待结算"),"",IF(Q318="红",R318,IF(Q318="半红",R318*0.5,IF(Q318="走",0,IF(Q318="半黑",-0.5,-1)))))</x:f>
        <x:v>1.08</x:v>
      </x:c>
      <x:c r="T318" s="595" t="inlineStr">
        <x:is>
          <x:t xml:space="preserve">https://zq.titan007.com/analysis/2940751cn.htm</x:t>
        </x:is>
      </x:c>
      <x:c r="U318" s="641" t="str">
        <x:f>IF(Q318="","",IF(Q318="待结算","待结算",IF(Q318="红","黑",IF(Q318="半红","半黑",IF(Q318="走","走",IF(Q318="半黑","半红","红"))))))</x:f>
        <x:v>黑</x:v>
      </x:c>
      <x:c r="V318" s="599" t="n">
        <x:f>IF(OR(Q318="",Q318="待结算"),"",IF(L318=LEFT(F318,FIND(" vs ",F318)-1),I318,G318))</x:f>
        <x:v>0.74</x:v>
      </x:c>
      <x:c r="W318" s="599" t="n">
        <x:f>IF(OR(U318="",U318="待结算"),"",IF(U318="红",V318,IF(U318="半红",V318*0.5,IF(U318="走",0,IF(U318="半黑",-0.5,-1)))))</x:f>
        <x:v>-1</x:v>
      </x:c>
      <x:c r="X318" s="595" t="inlineStr">
        <x:is>
          <x:t xml:space="preserve">2940751</x:t>
        </x:is>
      </x:c>
      <x:c r="Y318" s="595" t="inlineStr">
        <x:is>
          <x:t xml:space="preserve">v4-market-dirichlet-20260913</x:t>
        </x:is>
      </x:c>
      <x:c r="Z318" s="595" t="inlineStr">
        <x:is>
          <x:t xml:space="preserve">prior-2026-09-20-v1</x:t>
        </x:is>
      </x:c>
      <x:c r="AA318" s="595" t="inlineStr">
        <x:is>
          <x:t xml:space="preserve">C</x:t>
        </x:is>
      </x:c>
      <x:c r="AB318" s="600" t="n">
        <x:v>0.4416666666666667</x:v>
      </x:c>
      <x:c r="AC318" s="600" t="n">
        <x:v>0</x:v>
      </x:c>
      <x:c r="AD318" s="600" t="n">
        <x:v>0</x:v>
      </x:c>
      <x:c r="AE318" s="600" t="n">
        <x:v>0.2583333333333334</x:v>
      </x:c>
      <x:c r="AF318" s="600" t="n">
        <x:v>0.3</x:v>
      </x:c>
      <x:c r="AG318" s="600" t="n">
        <x:v>0.04783333333333334</x:v>
      </x:c>
      <x:c r="AH318" s="600" t="n">
        <x:v>-0.09463117195199139</x:v>
      </x:c>
      <x:c r="AI318" s="600" t="n">
        <x:v>-0.06405564012435638</x:v>
      </x:c>
      <x:c r="AJ318" s="600" t="n">
        <x:v>0.04615836609601565</x:v>
      </x:c>
      <x:c r="AK318" s="600" t="n">
        <x:v>0.1579117612938761</x:v>
      </x:c>
      <x:c r="AL318" s="600" t="n">
        <x:v>0.18769744494084</x:v>
      </x:c>
      <x:c r="AM318" s="600" t="n">
        <x:v>0.7112000000000001</x:v>
      </x:c>
      <x:c r="AN318" s="595" t="inlineStr">
        <x:is>
          <x:t xml:space="preserve">EVALUATED</x:t>
        </x:is>
      </x:c>
      <x:c r="AO318" s="600" t="inlineStr">
        <x:is>
          <x:t xml:space="preserve">BUCKET_0.75、SIDE_IDENTITY_VALID、FLAT_LINE_GIVING_WATER_DROP</x:t>
        </x:is>
      </x:c>
      <x:c r="AP318" s="600" t="inlineStr">
        <x:is>
          <x:t xml:space="preserve">dadbb0f5e527f827e0a7</x:t>
        </x:is>
      </x:c>
      <x:c r="AQ318" s="600" t="n">
        <x:v>0.75</x:v>
      </x:c>
      <x:c r="AR318" s="600" t="n">
        <x:v>1.08</x:v>
      </x:c>
      <x:c r="AS318" s="600" t="n">
        <x:v>0.75</x:v>
      </x:c>
      <x:c r="AT318" s="600" t="n">
        <x:v>-0.75</x:v>
      </x:c>
      <x:c r="AU318" s="600" t="n">
        <x:v>1.08</x:v>
      </x:c>
      <x:c r="AV318" s="600" t="n">
        <x:v>0.74</x:v>
      </x:c>
      <x:c r="AW318" s="595" t="n">
        <x:v>46285.58031267361</x:v>
      </x:c>
      <x:c r="AX318" s="595" t="inlineStr">
        <x:is>
          <x:t xml:space="preserve">https://simondongxiao.github.io/odds/v4/</x:t>
        </x:is>
      </x:c>
      <x:c r="AY318" s="595" t="inlineStr">
        <x:is>
          <x:t xml:space="preserve">V4 Shadow Only；real_money=false；比分差异详见记录审计</x:t>
        </x:is>
      </x:c>
    </x:row>
    <x:row r="319" ht="22" customHeight="1">
      <x:c r="A319" s="595" t="inlineStr">
        <x:is>
          <x:t xml:space="preserve">2026-09-20</x:t>
        </x:is>
      </x:c>
      <x:c r="B319" s="595" t="inlineStr">
        <x:is>
          <x:t xml:space="preserve">2026-09-20 23:15</x:t>
        </x:is>
      </x:c>
      <x:c r="C319" s="595" t="str">
        <x:v>欧洲五大系列</x:v>
      </x:c>
      <x:c r="D319" s="595" t="inlineStr">
        <x:is>
          <x:t xml:space="preserve">联赛</x:t>
        </x:is>
      </x:c>
      <x:c r="E319" s="595" t="inlineStr">
        <x:is>
          <x:t xml:space="preserve">法甲</x:t>
        </x:is>
      </x:c>
      <x:c r="F319" s="595" t="inlineStr">
        <x:is>
          <x:t xml:space="preserve">尼斯 vs 里尔</x:t>
        </x:is>
      </x:c>
      <x:c r="G319" s="596" t="n">
        <x:v>1</x:v>
      </x:c>
      <x:c r="H319" s="596" t="n">
        <x:v>-0.25</x:v>
      </x:c>
      <x:c r="I319" s="596" t="n">
        <x:v>0.89</x:v>
      </x:c>
      <x:c r="J319" s="596" t="inlineStr">
        <x:is>
          <x:t xml:space="preserve">1.00/-0.25/0.89</x:t>
        </x:is>
      </x:c>
      <x:c r="K319" s="595" t="inlineStr">
        <x:is>
          <x:t xml:space="preserve">V4-C｜EV +0.0017</x:t>
        </x:is>
      </x:c>
      <x:c r="L319" s="595" t="inlineStr">
        <x:is>
          <x:t xml:space="preserve">尼斯</x:t>
        </x:is>
      </x:c>
      <x:c r="M319" s="597" t="n">
        <x:v>0.5010224948875256</x:v>
      </x:c>
      <x:c r="N319" s="595" t="inlineStr">
        <x:is>
          <x:t xml:space="preserve">V4纸面入选-C</x:t>
        </x:is>
      </x:c>
      <x:c r="O319" s="595" t="inlineStr">
        <x:is>
          <x:t xml:space="preserve">2-1</x:t>
        </x:is>
      </x:c>
      <x:c r="P319" s="595" t="inlineStr">
        <x:is>
          <x:t xml:space="preserve">已结算</x:t>
        </x:is>
      </x:c>
      <x:c r="Q319" s="640" t="inlineStr">
        <x:is>
          <x:t xml:space="preserve">红</x:t>
        </x:is>
      </x:c>
      <x:c r="R319" s="599" t="n">
        <x:v>1</x:v>
      </x:c>
      <x:c r="S319" s="599" t="n">
        <x:f>IF(OR(Q319="",Q319="待结算"),"",IF(Q319="红",R319,IF(Q319="半红",R319*0.5,IF(Q319="走",0,IF(Q319="半黑",-0.5,-1)))))</x:f>
        <x:v>1</x:v>
      </x:c>
      <x:c r="T319" s="595" t="inlineStr">
        <x:is>
          <x:t xml:space="preserve">https://zq.titan007.com/analysis/2995349cn.htm</x:t>
        </x:is>
      </x:c>
      <x:c r="U319" s="641" t="str">
        <x:f>IF(Q319="","",IF(Q319="待结算","待结算",IF(Q319="红","黑",IF(Q319="半红","半黑",IF(Q319="走","走",IF(Q319="半黑","半红","红"))))))</x:f>
        <x:v>黑</x:v>
      </x:c>
      <x:c r="V319" s="599" t="n">
        <x:f>IF(OR(Q319="",Q319="待结算"),"",IF(L319=LEFT(F319,FIND(" vs ",F319)-1),I319,G319))</x:f>
        <x:v>0.89</x:v>
      </x:c>
      <x:c r="W319" s="599" t="n">
        <x:f>IF(OR(U319="",U319="待结算"),"",IF(U319="红",V319,IF(U319="半红",V319*0.5,IF(U319="走",0,IF(U319="半黑",-0.5,-1)))))</x:f>
        <x:v>-1</x:v>
      </x:c>
      <x:c r="X319" s="595" t="inlineStr">
        <x:is>
          <x:t xml:space="preserve">2995349</x:t>
        </x:is>
      </x:c>
      <x:c r="Y319" s="595" t="inlineStr">
        <x:is>
          <x:t xml:space="preserve">v4-market-dirichlet-20260913</x:t>
        </x:is>
      </x:c>
      <x:c r="Z319" s="595" t="inlineStr">
        <x:is>
          <x:t xml:space="preserve">prior-2026-09-20-v1</x:t>
        </x:is>
      </x:c>
      <x:c r="AA319" s="595" t="inlineStr">
        <x:is>
          <x:t xml:space="preserve">C</x:t>
        </x:is>
      </x:c>
      <x:c r="AB319" s="600" t="n">
        <x:v>0.2743055555555556</x:v>
      </x:c>
      <x:c r="AC319" s="600" t="n">
        <x:v>0.3020833333333333</x:v>
      </x:c>
      <x:c r="AD319" s="600" t="n">
        <x:v>0</x:v>
      </x:c>
      <x:c r="AE319" s="600" t="n">
        <x:v>0</x:v>
      </x:c>
      <x:c r="AF319" s="600" t="n">
        <x:v>0.4236111111111111</x:v>
      </x:c>
      <x:c r="AG319" s="600" t="n">
        <x:v>0.001736111111111105</x:v>
      </x:c>
      <x:c r="AH319" s="600" t="n">
        <x:v>-0.0836132991709807</x:v>
      </x:c>
      <x:c r="AI319" s="600" t="n">
        <x:v>-0.06353243485700955</x:v>
      </x:c>
      <x:c r="AJ319" s="600" t="n">
        <x:v>0.002619740664874026</x:v>
      </x:c>
      <x:c r="AK319" s="600" t="n">
        <x:v>0.06794735265116558</x:v>
      </x:c>
      <x:c r="AL319" s="600" t="n">
        <x:v>0.08600295548049314</x:v>
      </x:c>
      <x:c r="AM319" s="600" t="n">
        <x:v>0.5204</x:v>
      </x:c>
      <x:c r="AN319" s="595" t="inlineStr">
        <x:is>
          <x:t xml:space="preserve">EVALUATED</x:t>
        </x:is>
      </x:c>
      <x:c r="AO319" s="600" t="inlineStr">
        <x:is>
          <x:t xml:space="preserve">BUCKET_0.25、SIDE_IDENTITY_VALID、FLAT_LINE_GIVING_WATER_RISE</x:t>
        </x:is>
      </x:c>
      <x:c r="AP319" s="600" t="inlineStr">
        <x:is>
          <x:t xml:space="preserve">088fc958d9b5e9a2c431</x:t>
        </x:is>
      </x:c>
      <x:c r="AQ319" s="600" t="n">
        <x:v>0.25</x:v>
      </x:c>
      <x:c r="AR319" s="600" t="n">
        <x:v>1</x:v>
      </x:c>
      <x:c r="AS319" s="600" t="n">
        <x:v>0.25</x:v>
      </x:c>
      <x:c r="AT319" s="600" t="n">
        <x:v>-0.25</x:v>
      </x:c>
      <x:c r="AU319" s="600" t="n">
        <x:v>1</x:v>
      </x:c>
      <x:c r="AV319" s="600" t="n">
        <x:v>0.89</x:v>
      </x:c>
      <x:c r="AW319" s="595" t="n">
        <x:v>46285.58031267361</x:v>
      </x:c>
      <x:c r="AX319" s="595" t="inlineStr">
        <x:is>
          <x:t xml:space="preserve">https://simondongxiao.github.io/odds/v4/</x:t>
        </x:is>
      </x:c>
      <x:c r="AY319" s="595" t="inlineStr">
        <x:is>
          <x:t xml:space="preserve">V4 Shadow Only；real_money=false；比分差异详见记录审计</x:t>
        </x:is>
      </x:c>
    </x:row>
    <x:row r="320" ht="22" customHeight="1">
      <x:c r="A320" s="595" t="inlineStr">
        <x:is>
          <x:t xml:space="preserve">2026-09-20</x:t>
        </x:is>
      </x:c>
      <x:c r="B320" s="595" t="inlineStr">
        <x:is>
          <x:t xml:space="preserve">2026-09-20 23:30</x:t>
        </x:is>
      </x:c>
      <x:c r="C320" s="595" t="str">
        <x:v>欧洲非五大系列</x:v>
      </x:c>
      <x:c r="D320" s="595" t="inlineStr">
        <x:is>
          <x:t xml:space="preserve">联赛</x:t>
        </x:is>
      </x:c>
      <x:c r="E320" s="595" t="inlineStr">
        <x:is>
          <x:t xml:space="preserve">斯亚甲</x:t>
        </x:is>
      </x:c>
      <x:c r="F320" s="595" t="inlineStr">
        <x:is>
          <x:t xml:space="preserve">慕拉 vs 采列</x:t>
        </x:is>
      </x:c>
      <x:c r="G320" s="596" t="n">
        <x:v>0.99</x:v>
      </x:c>
      <x:c r="H320" s="596" t="n">
        <x:v>-0.75</x:v>
      </x:c>
      <x:c r="I320" s="596" t="n">
        <x:v>0.83</x:v>
      </x:c>
      <x:c r="J320" s="596" t="inlineStr">
        <x:is>
          <x:t xml:space="preserve">0.99/-0.75/0.83</x:t>
        </x:is>
      </x:c>
      <x:c r="K320" s="595" t="inlineStr">
        <x:is>
          <x:t xml:space="preserve">V4-C｜EV +0.0081</x:t>
        </x:is>
      </x:c>
      <x:c r="L320" s="595" t="inlineStr">
        <x:is>
          <x:t xml:space="preserve">慕拉</x:t>
        </x:is>
      </x:c>
      <x:c r="M320" s="597" t="n">
        <x:v>0.5071770334928229</x:v>
      </x:c>
      <x:c r="N320" s="595" t="inlineStr">
        <x:is>
          <x:t xml:space="preserve">V4纸面入选-C</x:t>
        </x:is>
      </x:c>
      <x:c r="O320" s="595" t="inlineStr">
        <x:is>
          <x:t xml:space="preserve">0-0</x:t>
        </x:is>
      </x:c>
      <x:c r="P320" s="595" t="inlineStr">
        <x:is>
          <x:t xml:space="preserve">已结算</x:t>
        </x:is>
      </x:c>
      <x:c r="Q320" s="640" t="inlineStr">
        <x:is>
          <x:t xml:space="preserve">红</x:t>
        </x:is>
      </x:c>
      <x:c r="R320" s="599" t="n">
        <x:v>0.99</x:v>
      </x:c>
      <x:c r="S320" s="599" t="n">
        <x:f>IF(OR(Q320="",Q320="待结算"),"",IF(Q320="红",R320,IF(Q320="半红",R320*0.5,IF(Q320="走",0,IF(Q320="半黑",-0.5,-1)))))</x:f>
        <x:v>0.99</x:v>
      </x:c>
      <x:c r="T320" s="595" t="inlineStr">
        <x:is>
          <x:t xml:space="preserve">https://zq.titan007.com/analysis/3005791cn.htm</x:t>
        </x:is>
      </x:c>
      <x:c r="U320" s="641" t="str">
        <x:f>IF(Q320="","",IF(Q320="待结算","待结算",IF(Q320="红","黑",IF(Q320="半红","半黑",IF(Q320="走","走",IF(Q320="半黑","半红","红"))))))</x:f>
        <x:v>黑</x:v>
      </x:c>
      <x:c r="V320" s="599" t="n">
        <x:f>IF(OR(Q320="",Q320="待结算"),"",IF(L320=LEFT(F320,FIND(" vs ",F320)-1),I320,G320))</x:f>
        <x:v>0.83</x:v>
      </x:c>
      <x:c r="W320" s="599" t="n">
        <x:f>IF(OR(U320="",U320="待结算"),"",IF(U320="红",V320,IF(U320="半红",V320*0.5,IF(U320="走",0,IF(U320="半黑",-0.5,-1)))))</x:f>
        <x:v>-1</x:v>
      </x:c>
      <x:c r="X320" s="595" t="inlineStr">
        <x:is>
          <x:t xml:space="preserve">3005791</x:t>
        </x:is>
      </x:c>
      <x:c r="Y320" s="595" t="inlineStr">
        <x:is>
          <x:t xml:space="preserve">v4-market-dirichlet-20260913</x:t>
        </x:is>
      </x:c>
      <x:c r="Z320" s="595" t="inlineStr">
        <x:is>
          <x:t xml:space="preserve">prior-2026-09-20-v1</x:t>
        </x:is>
      </x:c>
      <x:c r="AA320" s="595" t="inlineStr">
        <x:is>
          <x:t xml:space="preserve">C</x:t>
        </x:is>
      </x:c>
      <x:c r="AB320" s="600" t="n">
        <x:v>0.4416666666666667</x:v>
      </x:c>
      <x:c r="AC320" s="600" t="n">
        <x:v>0</x:v>
      </x:c>
      <x:c r="AD320" s="600" t="n">
        <x:v>0</x:v>
      </x:c>
      <x:c r="AE320" s="600" t="n">
        <x:v>0.2583333333333334</x:v>
      </x:c>
      <x:c r="AF320" s="600" t="n">
        <x:v>0.3</x:v>
      </x:c>
      <x:c r="AG320" s="600" t="n">
        <x:v>0.008083333333333276</x:v>
      </x:c>
      <x:c r="AH320" s="600" t="n">
        <x:v>-0.124401315309466</x:v>
      </x:c>
      <x:c r="AI320" s="600" t="n">
        <x:v>-0.09580301556513199</x:v>
      </x:c>
      <x:c r="AJ320" s="600" t="n">
        <x:v>0.006861098298258428</x:v>
      </x:c>
      <x:c r="AK320" s="600" t="n">
        <x:v>0.110620525035343</x:v>
      </x:c>
      <x:c r="AL320" s="600" t="n">
        <x:v>0.1396806457702525</x:v>
      </x:c>
      <x:c r="AM320" s="600" t="n">
        <x:v>0.5324</x:v>
      </x:c>
      <x:c r="AN320" s="595" t="inlineStr">
        <x:is>
          <x:t xml:space="preserve">EVALUATED</x:t>
        </x:is>
      </x:c>
      <x:c r="AO320" s="600" t="inlineStr">
        <x:is>
          <x:t xml:space="preserve">BUCKET_0.75、SIDE_IDENTITY_VALID、FLAT_LINE_GIVING_WATER_DROP</x:t>
        </x:is>
      </x:c>
      <x:c r="AP320" s="600" t="inlineStr">
        <x:is>
          <x:t xml:space="preserve">6d4af91b3ee93fe6b167</x:t>
        </x:is>
      </x:c>
      <x:c r="AQ320" s="600" t="n">
        <x:v>0.75</x:v>
      </x:c>
      <x:c r="AR320" s="600" t="n">
        <x:v>0.99</x:v>
      </x:c>
      <x:c r="AS320" s="600" t="n">
        <x:v>0.75</x:v>
      </x:c>
      <x:c r="AT320" s="600" t="n">
        <x:v>-0.75</x:v>
      </x:c>
      <x:c r="AU320" s="600" t="n">
        <x:v>0.99</x:v>
      </x:c>
      <x:c r="AV320" s="600" t="n">
        <x:v>0.83</x:v>
      </x:c>
      <x:c r="AW320" s="595" t="n">
        <x:v>46285.58031267361</x:v>
      </x:c>
      <x:c r="AX320" s="595" t="inlineStr">
        <x:is>
          <x:t xml:space="preserve">https://simondongxiao.github.io/odds/v4/</x:t>
        </x:is>
      </x:c>
      <x:c r="AY320" s="595" t="inlineStr">
        <x:is>
          <x:t xml:space="preserve">V4 Shadow Only；real_money=false；比分差异详见记录审计</x:t>
        </x:is>
      </x:c>
    </x:row>
    <x:row r="321" ht="22" customHeight="1">
      <x:c r="A321" s="595" t="inlineStr">
        <x:is>
          <x:t xml:space="preserve">2026-09-20</x:t>
        </x:is>
      </x:c>
      <x:c r="B321" s="595" t="inlineStr">
        <x:is>
          <x:t xml:space="preserve">2026-09-21 00:00</x:t>
        </x:is>
      </x:c>
      <x:c r="C321" s="595" t="str">
        <x:v>欧洲非五大系列</x:v>
      </x:c>
      <x:c r="D321" s="595" t="inlineStr">
        <x:is>
          <x:t xml:space="preserve">联赛</x:t>
        </x:is>
      </x:c>
      <x:c r="E321" s="595" t="inlineStr">
        <x:is>
          <x:t xml:space="preserve">白俄超</x:t>
        </x:is>
      </x:c>
      <x:c r="F321" s="595" t="inlineStr">
        <x:is>
          <x:t xml:space="preserve">维特布斯克 vs FC鱼雷</x:t>
        </x:is>
      </x:c>
      <x:c r="G321" s="596" t="n">
        <x:v>1.03</x:v>
      </x:c>
      <x:c r="H321" s="596" t="n">
        <x:v>0.25</x:v>
      </x:c>
      <x:c r="I321" s="596" t="n">
        <x:v>0.8100000000000001</x:v>
      </x:c>
      <x:c r="J321" s="596" t="inlineStr">
        <x:is>
          <x:t xml:space="preserve">1.03/0.25/0.81</x:t>
        </x:is>
      </x:c>
      <x:c r="K321" s="595" t="inlineStr">
        <x:is>
          <x:t xml:space="preserve">V4-C｜EV +0.0110</x:t>
        </x:is>
      </x:c>
      <x:c r="L321" s="595" t="inlineStr">
        <x:is>
          <x:t xml:space="preserve">维特布斯克</x:t>
        </x:is>
      </x:c>
      <x:c r="M321" s="597" t="n">
        <x:v>0.4989775051124744</x:v>
      </x:c>
      <x:c r="N321" s="595" t="inlineStr">
        <x:is>
          <x:t xml:space="preserve">V4纸面入选-C</x:t>
        </x:is>
      </x:c>
      <x:c r="O321" s="595" t="inlineStr">
        <x:is>
          <x:t xml:space="preserve">6-0</x:t>
        </x:is>
      </x:c>
      <x:c r="P321" s="595" t="inlineStr">
        <x:is>
          <x:t xml:space="preserve">已结算</x:t>
        </x:is>
      </x:c>
      <x:c r="Q321" s="640" t="inlineStr">
        <x:is>
          <x:t xml:space="preserve">红</x:t>
        </x:is>
      </x:c>
      <x:c r="R321" s="599" t="n">
        <x:v>1.03</x:v>
      </x:c>
      <x:c r="S321" s="599" t="n">
        <x:f>IF(OR(Q321="",Q321="待结算"),"",IF(Q321="红",R321,IF(Q321="半红",R321*0.5,IF(Q321="走",0,IF(Q321="半黑",-0.5,-1)))))</x:f>
        <x:v>1.03</x:v>
      </x:c>
      <x:c r="T321" s="595" t="inlineStr">
        <x:is>
          <x:t xml:space="preserve">https://zq.titan007.com/analysis/2948489cn.htm</x:t>
        </x:is>
      </x:c>
      <x:c r="U321" s="641" t="str">
        <x:f>IF(Q321="","",IF(Q321="待结算","待结算",IF(Q321="红","黑",IF(Q321="半红","半黑",IF(Q321="走","走",IF(Q321="半黑","半红","红"))))))</x:f>
        <x:v>黑</x:v>
      </x:c>
      <x:c r="V321" s="599" t="n">
        <x:f>IF(OR(Q321="",Q321="待结算"),"",IF(L321=LEFT(F321,FIND(" vs ",F321)-1),I321,G321))</x:f>
        <x:v>0.81</x:v>
      </x:c>
      <x:c r="W321" s="599" t="n">
        <x:f>IF(OR(U321="",U321="待结算"),"",IF(U321="红",V321,IF(U321="半红",V321*0.5,IF(U321="走",0,IF(U321="半黑",-0.5,-1)))))</x:f>
        <x:v>-1</x:v>
      </x:c>
      <x:c r="X321" s="595" t="inlineStr">
        <x:is>
          <x:t xml:space="preserve">2948489</x:t>
        </x:is>
      </x:c>
      <x:c r="Y321" s="595" t="inlineStr">
        <x:is>
          <x:t xml:space="preserve">v4-market-dirichlet-20260913</x:t>
        </x:is>
      </x:c>
      <x:c r="Z321" s="595" t="inlineStr">
        <x:is>
          <x:t xml:space="preserve">prior-2026-09-20-v1</x:t>
        </x:is>
      </x:c>
      <x:c r="AA321" s="595" t="inlineStr">
        <x:is>
          <x:t xml:space="preserve">C</x:t>
        </x:is>
      </x:c>
      <x:c r="AB321" s="600" t="n">
        <x:v>0.4236111111111111</x:v>
      </x:c>
      <x:c r="AC321" s="600" t="n">
        <x:v>0</x:v>
      </x:c>
      <x:c r="AD321" s="600" t="n">
        <x:v>0</x:v>
      </x:c>
      <x:c r="AE321" s="600" t="n">
        <x:v>0.3020833333333333</x:v>
      </x:c>
      <x:c r="AF321" s="600" t="n">
        <x:v>0.2743055555555556</x:v>
      </x:c>
      <x:c r="AG321" s="600" t="n">
        <x:v>0.01097222222222216</x:v>
      </x:c>
      <x:c r="AH321" s="600" t="n">
        <x:v>-0.07570402736894893</x:v>
      </x:c>
      <x:c r="AI321" s="600" t="n">
        <x:v>-0.0552917253475968</x:v>
      </x:c>
      <x:c r="AJ321" s="600" t="n">
        <x:v>0.01045200288446008</x:v>
      </x:c>
      <x:c r="AK321" s="600" t="n">
        <x:v>0.07767737271658512</x:v>
      </x:c>
      <x:c r="AL321" s="600" t="n">
        <x:v>0.09537676430677872</x:v>
      </x:c>
      <x:c r="AM321" s="600" t="n">
        <x:v>0.5786</x:v>
      </x:c>
      <x:c r="AN321" s="595" t="inlineStr">
        <x:is>
          <x:t xml:space="preserve">EVALUATED</x:t>
        </x:is>
      </x:c>
      <x:c r="AO321" s="600" t="inlineStr">
        <x:is>
          <x:t xml:space="preserve">BUCKET_0.25、SIDE_IDENTITY_VALID、MARKET_MOVE_DEEPER_WITH_GIVING_WATER_RISE</x:t>
        </x:is>
      </x:c>
      <x:c r="AP321" s="600" t="inlineStr">
        <x:is>
          <x:t xml:space="preserve">d128c36e409ec4ca4e16</x:t>
        </x:is>
      </x:c>
      <x:c r="AQ321" s="600" t="n">
        <x:v>-0.25</x:v>
      </x:c>
      <x:c r="AR321" s="600" t="n">
        <x:v>1.03</x:v>
      </x:c>
      <x:c r="AS321" s="600" t="n">
        <x:v>-0.25</x:v>
      </x:c>
      <x:c r="AT321" s="600" t="n">
        <x:v>0.25</x:v>
      </x:c>
      <x:c r="AU321" s="600" t="n">
        <x:v>1.03</x:v>
      </x:c>
      <x:c r="AV321" s="600" t="n">
        <x:v>0.8100000000000001</x:v>
      </x:c>
      <x:c r="AW321" s="595" t="n">
        <x:v>46285.58031267361</x:v>
      </x:c>
      <x:c r="AX321" s="595" t="inlineStr">
        <x:is>
          <x:t xml:space="preserve">https://simondongxiao.github.io/odds/v4/</x:t>
        </x:is>
      </x:c>
      <x:c r="AY321" s="595" t="inlineStr">
        <x:is>
          <x:t xml:space="preserve">V4 Shadow Only；real_money=false；比分差异详见记录审计</x:t>
        </x:is>
      </x:c>
    </x:row>
    <x:row r="322" ht="22" customHeight="1">
      <x:c r="A322" s="595" t="inlineStr">
        <x:is>
          <x:t xml:space="preserve">2026-09-20</x:t>
        </x:is>
      </x:c>
      <x:c r="B322" s="595" t="inlineStr">
        <x:is>
          <x:t xml:space="preserve">2026-09-21 00:30</x:t>
        </x:is>
      </x:c>
      <x:c r="C322" s="595" t="str">
        <x:v>欧洲五大系列</x:v>
      </x:c>
      <x:c r="D322" s="595" t="inlineStr">
        <x:is>
          <x:t xml:space="preserve">联赛</x:t>
        </x:is>
      </x:c>
      <x:c r="E322" s="595" t="inlineStr">
        <x:is>
          <x:t xml:space="preserve">西甲</x:t>
        </x:is>
      </x:c>
      <x:c r="F322" s="595" t="inlineStr">
        <x:is>
          <x:t xml:space="preserve">比利亚雷亚尔 vs 莱万特</x:t>
        </x:is>
      </x:c>
      <x:c r="G322" s="596" t="n">
        <x:v>1.07</x:v>
      </x:c>
      <x:c r="H322" s="596" t="n">
        <x:v>1.25</x:v>
      </x:c>
      <x:c r="I322" s="596" t="n">
        <x:v>0.82</x:v>
      </x:c>
      <x:c r="J322" s="596" t="inlineStr">
        <x:is>
          <x:t xml:space="preserve">1.07/1.25/0.82</x:t>
        </x:is>
      </x:c>
      <x:c r="K322" s="595" t="inlineStr">
        <x:is>
          <x:t xml:space="preserve">V4-C｜EV +0.0398</x:t>
        </x:is>
      </x:c>
      <x:c r="L322" s="595" t="inlineStr">
        <x:is>
          <x:t xml:space="preserve">比利亚雷亚尔</x:t>
        </x:is>
      </x:c>
      <x:c r="M322" s="597" t="n">
        <x:v>0.5054945054945055</x:v>
      </x:c>
      <x:c r="N322" s="595" t="inlineStr">
        <x:is>
          <x:t xml:space="preserve">V4纸面入选-C</x:t>
        </x:is>
      </x:c>
      <x:c r="O322" s="595" t="inlineStr">
        <x:is>
          <x:t xml:space="preserve">3-1</x:t>
        </x:is>
      </x:c>
      <x:c r="P322" s="595" t="inlineStr">
        <x:is>
          <x:t xml:space="preserve">已结算</x:t>
        </x:is>
      </x:c>
      <x:c r="Q322" s="640" t="inlineStr">
        <x:is>
          <x:t xml:space="preserve">红</x:t>
        </x:is>
      </x:c>
      <x:c r="R322" s="599" t="n">
        <x:v>1.07</x:v>
      </x:c>
      <x:c r="S322" s="599" t="n">
        <x:f>IF(OR(Q322="",Q322="待结算"),"",IF(Q322="红",R322,IF(Q322="半红",R322*0.5,IF(Q322="走",0,IF(Q322="半黑",-0.5,-1)))))</x:f>
        <x:v>1.07</x:v>
      </x:c>
      <x:c r="T322" s="595" t="inlineStr">
        <x:is>
          <x:t xml:space="preserve">https://zq.titan007.com/analysis/3013711cn.htm</x:t>
        </x:is>
      </x:c>
      <x:c r="U322" s="641" t="str">
        <x:f>IF(Q322="","",IF(Q322="待结算","待结算",IF(Q322="红","黑",IF(Q322="半红","半黑",IF(Q322="走","走",IF(Q322="半黑","半红","红"))))))</x:f>
        <x:v>黑</x:v>
      </x:c>
      <x:c r="V322" s="599" t="n">
        <x:f>IF(OR(Q322="",Q322="待结算"),"",IF(L322=LEFT(F322,FIND(" vs ",F322)-1),I322,G322))</x:f>
        <x:v>0.82</x:v>
      </x:c>
      <x:c r="W322" s="599" t="n">
        <x:f>IF(OR(U322="",U322="待结算"),"",IF(U322="红",V322,IF(U322="半红",V322*0.5,IF(U322="走",0,IF(U322="半黑",-0.5,-1)))))</x:f>
        <x:v>-1</x:v>
      </x:c>
      <x:c r="X322" s="595" t="inlineStr">
        <x:is>
          <x:t xml:space="preserve">3013711</x:t>
        </x:is>
      </x:c>
      <x:c r="Y322" s="595" t="inlineStr">
        <x:is>
          <x:t xml:space="preserve">v4-market-dirichlet-20260913</x:t>
        </x:is>
      </x:c>
      <x:c r="Z322" s="595" t="inlineStr">
        <x:is>
          <x:t xml:space="preserve">prior-2026-09-20-v1</x:t>
        </x:is>
      </x:c>
      <x:c r="AA322" s="595" t="inlineStr">
        <x:is>
          <x:t xml:space="preserve">C</x:t>
        </x:is>
      </x:c>
      <x:c r="AB322" s="600" t="n">
        <x:v>0.4339622641509434</x:v>
      </x:c>
      <x:c r="AC322" s="600" t="n">
        <x:v>0</x:v>
      </x:c>
      <x:c r="AD322" s="600" t="n">
        <x:v>0</x:v>
      </x:c>
      <x:c r="AE322" s="600" t="n">
        <x:v>0.2830188679245283</x:v>
      </x:c>
      <x:c r="AF322" s="600" t="n">
        <x:v>0.2830188679245283</x:v>
      </x:c>
      <x:c r="AG322" s="600" t="n">
        <x:v>0.03981132075471699</x:v>
      </x:c>
      <x:c r="AH322" s="600" t="n">
        <x:v>-0.1661046887825403</x:v>
      </x:c>
      <x:c r="AI322" s="600" t="n">
        <x:v>-0.1178992636239695</x:v>
      </x:c>
      <x:c r="AJ322" s="600" t="n">
        <x:v>0.04160309352897401</x:v>
      </x:c>
      <x:c r="AK322" s="600" t="n">
        <x:v>0.2043727197230736</x:v>
      </x:c>
      <x:c r="AL322" s="600" t="n">
        <x:v>0.2433742256820623</x:v>
      </x:c>
      <x:c r="AM322" s="600" t="n">
        <x:v>0.6264</x:v>
      </x:c>
      <x:c r="AN322" s="595" t="inlineStr">
        <x:is>
          <x:t xml:space="preserve">EVALUATED</x:t>
        </x:is>
      </x:c>
      <x:c r="AO322" s="600" t="inlineStr">
        <x:is>
          <x:t xml:space="preserve">BUCKET_1.25、SIDE_IDENTITY_VALID、MARKET_MOVE_DEEPER_WITH_GIVING_WATER_RISE</x:t>
        </x:is>
      </x:c>
      <x:c r="AP322" s="600" t="inlineStr">
        <x:is>
          <x:t xml:space="preserve">f04fe5e81414b56d73ef</x:t>
        </x:is>
      </x:c>
      <x:c r="AQ322" s="600" t="n">
        <x:v>-1.25</x:v>
      </x:c>
      <x:c r="AR322" s="600" t="n">
        <x:v>1.07</x:v>
      </x:c>
      <x:c r="AS322" s="600" t="n">
        <x:v>-1.25</x:v>
      </x:c>
      <x:c r="AT322" s="600" t="n">
        <x:v>1.25</x:v>
      </x:c>
      <x:c r="AU322" s="600" t="n">
        <x:v>1.07</x:v>
      </x:c>
      <x:c r="AV322" s="600" t="n">
        <x:v>0.82</x:v>
      </x:c>
      <x:c r="AW322" s="595" t="n">
        <x:v>46285.58031267361</x:v>
      </x:c>
      <x:c r="AX322" s="595" t="inlineStr">
        <x:is>
          <x:t xml:space="preserve">https://simondongxiao.github.io/odds/v4/</x:t>
        </x:is>
      </x:c>
      <x:c r="AY322" s="595" t="inlineStr">
        <x:is>
          <x:t xml:space="preserve">V4 Shadow Only；real_money=false；比分差异详见记录审计</x:t>
        </x:is>
      </x:c>
    </x:row>
    <x:row r="323" ht="22" customHeight="1">
      <x:c r="A323" s="595" t="inlineStr">
        <x:is>
          <x:t xml:space="preserve">2026-09-20</x:t>
        </x:is>
      </x:c>
      <x:c r="B323" s="595" t="inlineStr">
        <x:is>
          <x:t xml:space="preserve">2026-09-21 00:30</x:t>
        </x:is>
      </x:c>
      <x:c r="C323" s="595" t="str">
        <x:v>欧洲非五大系列</x:v>
      </x:c>
      <x:c r="D323" s="595" t="inlineStr">
        <x:is>
          <x:t xml:space="preserve">联赛</x:t>
        </x:is>
      </x:c>
      <x:c r="E323" s="595" t="inlineStr">
        <x:is>
          <x:t xml:space="preserve">希腊超</x:t>
        </x:is>
      </x:c>
      <x:c r="F323" s="595" t="inlineStr">
        <x:is>
          <x:t xml:space="preserve">卡拉玛达 vs 帕纳辛纳科斯</x:t>
        </x:is>
      </x:c>
      <x:c r="G323" s="596" t="n">
        <x:v>1.03</x:v>
      </x:c>
      <x:c r="H323" s="596" t="n">
        <x:v>-1.5</x:v>
      </x:c>
      <x:c r="I323" s="596" t="n">
        <x:v>0.85</x:v>
      </x:c>
      <x:c r="J323" s="596" t="inlineStr">
        <x:is>
          <x:t xml:space="preserve">1.03/-1.5/0.85</x:t>
        </x:is>
      </x:c>
      <x:c r="K323" s="595" t="inlineStr">
        <x:is>
          <x:t xml:space="preserve">V4-C｜EV +0.0984</x:t>
        </x:is>
      </x:c>
      <x:c r="L323" s="595" t="inlineStr">
        <x:is>
          <x:t xml:space="preserve">帕纳辛纳科斯</x:t>
        </x:is>
      </x:c>
      <x:c r="M323" s="597" t="n">
        <x:v>0.59375</x:v>
      </x:c>
      <x:c r="N323" s="595" t="inlineStr">
        <x:is>
          <x:t xml:space="preserve">V4纸面入选-C</x:t>
        </x:is>
      </x:c>
      <x:c r="O323" s="595" t="inlineStr">
        <x:is>
          <x:t xml:space="preserve">0-1</x:t>
        </x:is>
      </x:c>
      <x:c r="P323" s="595" t="inlineStr">
        <x:is>
          <x:t xml:space="preserve">已结算</x:t>
        </x:is>
      </x:c>
      <x:c r="Q323" s="641" t="inlineStr">
        <x:is>
          <x:t xml:space="preserve">黑</x:t>
        </x:is>
      </x:c>
      <x:c r="R323" s="599" t="n">
        <x:v>0.85</x:v>
      </x:c>
      <x:c r="S323" s="599" t="n">
        <x:f>IF(OR(Q323="",Q323="待结算"),"",IF(Q323="红",R323,IF(Q323="半红",R323*0.5,IF(Q323="走",0,IF(Q323="半黑",-0.5,-1)))))</x:f>
        <x:v>-1</x:v>
      </x:c>
      <x:c r="T323" s="595" t="inlineStr">
        <x:is>
          <x:t xml:space="preserve">https://zq.titan007.com/analysis/3036435cn.htm</x:t>
        </x:is>
      </x:c>
      <x:c r="U323" s="640" t="str">
        <x:f>IF(Q323="","",IF(Q323="待结算","待结算",IF(Q323="红","黑",IF(Q323="半红","半黑",IF(Q323="走","走",IF(Q323="半黑","半红","红"))))))</x:f>
        <x:v>红</x:v>
      </x:c>
      <x:c r="V323" s="599" t="n">
        <x:f>IF(OR(Q323="",Q323="待结算"),"",IF(L323=LEFT(F323,FIND(" vs ",F323)-1),I323,G323))</x:f>
        <x:v>1.03</x:v>
      </x:c>
      <x:c r="W323" s="599" t="n">
        <x:f>IF(OR(U323="",U323="待结算"),"",IF(U323="红",V323,IF(U323="半红",V323*0.5,IF(U323="走",0,IF(U323="半黑",-0.5,-1)))))</x:f>
        <x:v>1.03</x:v>
      </x:c>
      <x:c r="X323" s="595" t="inlineStr">
        <x:is>
          <x:t xml:space="preserve">3036435</x:t>
        </x:is>
      </x:c>
      <x:c r="Y323" s="595" t="inlineStr">
        <x:is>
          <x:t xml:space="preserve">v4-market-dirichlet-20260913</x:t>
        </x:is>
      </x:c>
      <x:c r="Z323" s="595" t="inlineStr">
        <x:is>
          <x:t xml:space="preserve">prior-2026-09-20-v1</x:t>
        </x:is>
      </x:c>
      <x:c r="AA323" s="595" t="inlineStr">
        <x:is>
          <x:t xml:space="preserve">C</x:t>
        </x:is>
      </x:c>
      <x:c r="AB323" s="600" t="n">
        <x:v>0.59375</x:v>
      </x:c>
      <x:c r="AC323" s="600" t="n">
        <x:v>0</x:v>
      </x:c>
      <x:c r="AD323" s="600" t="n">
        <x:v>0</x:v>
      </x:c>
      <x:c r="AE323" s="600" t="n">
        <x:v>0</x:v>
      </x:c>
      <x:c r="AF323" s="600" t="n">
        <x:v>0.40625</x:v>
      </x:c>
      <x:c r="AG323" s="600" t="n">
        <x:v>0.09843749999999996</x:v>
      </x:c>
      <x:c r="AH323" s="600" t="n">
        <x:v>-0.1709576231664703</x:v>
      </x:c>
      <x:c r="AI323" s="600" t="n">
        <x:v>-0.1104852057226433</x:v>
      </x:c>
      <x:c r="AJ323" s="600" t="n">
        <x:v>0.104397076442136</x:v>
      </x:c>
      <x:c r="AK323" s="600" t="n">
        <x:v>0.3024845422298064</x:v>
      </x:c>
      <x:c r="AL323" s="600" t="n">
        <x:v>0.3538035626228982</x:v>
      </x:c>
      <x:c r="AM323" s="600" t="n">
        <x:v>0.7302</x:v>
      </x:c>
      <x:c r="AN323" s="595" t="inlineStr">
        <x:is>
          <x:t xml:space="preserve">EVALUATED</x:t>
        </x:is>
      </x:c>
      <x:c r="AO323" s="600" t="inlineStr">
        <x:is>
          <x:t xml:space="preserve">BUCKET_1.50、SIDE_IDENTITY_VALID、MARKET_MOVE_LINE_STRENGTH_WITH_GIVING_RESISTANCE</x:t>
        </x:is>
      </x:c>
      <x:c r="AP323" s="600" t="inlineStr">
        <x:is>
          <x:t xml:space="preserve">29868c2c163918d93980</x:t>
        </x:is>
      </x:c>
      <x:c r="AQ323" s="600" t="n">
        <x:v>-1.5</x:v>
      </x:c>
      <x:c r="AR323" s="600" t="n">
        <x:v>0.85</x:v>
      </x:c>
      <x:c r="AS323" s="600" t="n">
        <x:v>1.5</x:v>
      </x:c>
      <x:c r="AT323" s="600" t="n">
        <x:v>-1.5</x:v>
      </x:c>
      <x:c r="AU323" s="600" t="n">
        <x:v>1.03</x:v>
      </x:c>
      <x:c r="AV323" s="600" t="n">
        <x:v>0.85</x:v>
      </x:c>
      <x:c r="AW323" s="595" t="n">
        <x:v>46285.58031267361</x:v>
      </x:c>
      <x:c r="AX323" s="595" t="inlineStr">
        <x:is>
          <x:t xml:space="preserve">https://simondongxiao.github.io/odds/v4/</x:t>
        </x:is>
      </x:c>
      <x:c r="AY323" s="595" t="inlineStr">
        <x:is>
          <x:t xml:space="preserve">V4 Shadow Only；real_money=false；比分差异详见记录审计</x:t>
        </x:is>
      </x:c>
    </x:row>
    <x:row r="324" ht="22" customHeight="1">
      <x:c r="A324" s="595" t="inlineStr">
        <x:is>
          <x:t xml:space="preserve">2026-09-20</x:t>
        </x:is>
      </x:c>
      <x:c r="B324" s="595" t="inlineStr">
        <x:is>
          <x:t xml:space="preserve">2026-09-21 00:30</x:t>
        </x:is>
      </x:c>
      <x:c r="C324" s="595" t="str">
        <x:v>其他系列</x:v>
      </x:c>
      <x:c r="D324" s="595" t="inlineStr">
        <x:is>
          <x:t xml:space="preserve">杯赛</x:t>
        </x:is>
      </x:c>
      <x:c r="E324" s="595" t="inlineStr">
        <x:is>
          <x:t xml:space="preserve">世女杯U20</x:t>
        </x:is>
      </x:c>
      <x:c r="F324" s="595" t="inlineStr">
        <x:is>
          <x:t xml:space="preserve">朝鲜女足U20(中) vs 加拿大女足U20</x:t>
        </x:is>
      </x:c>
      <x:c r="G324" s="596" t="n">
        <x:v>0.96</x:v>
      </x:c>
      <x:c r="H324" s="596" t="n">
        <x:v>1.75</x:v>
      </x:c>
      <x:c r="I324" s="596" t="n">
        <x:v>0.86</x:v>
      </x:c>
      <x:c r="J324" s="596" t="inlineStr">
        <x:is>
          <x:t xml:space="preserve">0.96/1.75/0.86</x:t>
        </x:is>
      </x:c>
      <x:c r="K324" s="595" t="inlineStr">
        <x:is>
          <x:t xml:space="preserve">V4-C｜EV +0.0389</x:t>
        </x:is>
      </x:c>
      <x:c r="L324" s="595" t="inlineStr">
        <x:is>
          <x:t xml:space="preserve">朝鲜女足U20(中)</x:t>
        </x:is>
      </x:c>
      <x:c r="M324" s="597" t="n">
        <x:v>0.5333333333333333</x:v>
      </x:c>
      <x:c r="N324" s="595" t="inlineStr">
        <x:is>
          <x:t xml:space="preserve">V4纸面入选-C</x:t>
        </x:is>
      </x:c>
      <x:c r="O324" s="595" t="inlineStr">
        <x:is>
          <x:t xml:space="preserve">2-0</x:t>
        </x:is>
      </x:c>
      <x:c r="P324" s="595" t="inlineStr">
        <x:is>
          <x:t xml:space="preserve">已结算</x:t>
        </x:is>
      </x:c>
      <x:c r="Q324" s="642" t="inlineStr">
        <x:is>
          <x:t xml:space="preserve">半红</x:t>
        </x:is>
      </x:c>
      <x:c r="R324" s="599" t="n">
        <x:v>0.96</x:v>
      </x:c>
      <x:c r="S324" s="599" t="n">
        <x:f>IF(OR(Q324="",Q324="待结算"),"",IF(Q324="红",R324,IF(Q324="半红",R324*0.5,IF(Q324="走",0,IF(Q324="半黑",-0.5,-1)))))</x:f>
        <x:v>0.48</x:v>
      </x:c>
      <x:c r="T324" s="595" t="inlineStr">
        <x:is>
          <x:t xml:space="preserve">https://zq.titan007.com/analysis/3092187cn.htm</x:t>
        </x:is>
      </x:c>
      <x:c r="U324" s="643" t="str">
        <x:f>IF(Q324="","",IF(Q324="待结算","待结算",IF(Q324="红","黑",IF(Q324="半红","半黑",IF(Q324="走","走",IF(Q324="半黑","半红","红"))))))</x:f>
        <x:v>半黑</x:v>
      </x:c>
      <x:c r="V324" s="599" t="n">
        <x:f>IF(OR(Q324="",Q324="待结算"),"",IF(L324=LEFT(F324,FIND(" vs ",F324)-1),I324,G324))</x:f>
        <x:v>0.86</x:v>
      </x:c>
      <x:c r="W324" s="599" t="n">
        <x:f>IF(OR(U324="",U324="待结算"),"",IF(U324="红",V324,IF(U324="半红",V324*0.5,IF(U324="走",0,IF(U324="半黑",-0.5,-1)))))</x:f>
        <x:v>-0.5</x:v>
      </x:c>
      <x:c r="X324" s="595" t="inlineStr">
        <x:is>
          <x:t xml:space="preserve">3092187</x:t>
        </x:is>
      </x:c>
      <x:c r="Y324" s="595" t="inlineStr">
        <x:is>
          <x:t xml:space="preserve">v4-market-dirichlet-20260913</x:t>
        </x:is>
      </x:c>
      <x:c r="Z324" s="595" t="inlineStr">
        <x:is>
          <x:t xml:space="preserve">prior-2026-09-20-v1</x:t>
        </x:is>
      </x:c>
      <x:c r="AA324" s="595" t="inlineStr">
        <x:is>
          <x:t xml:space="preserve">C</x:t>
        </x:is>
      </x:c>
      <x:c r="AB324" s="600" t="n">
        <x:v>0.3142857142857143</x:v>
      </x:c>
      <x:c r="AC324" s="600" t="n">
        <x:v>0.2857142857142857</x:v>
      </x:c>
      <x:c r="AD324" s="600" t="n">
        <x:v>0</x:v>
      </x:c>
      <x:c r="AE324" s="600" t="n">
        <x:v>0</x:v>
      </x:c>
      <x:c r="AF324" s="600" t="n">
        <x:v>0.4</x:v>
      </x:c>
      <x:c r="AG324" s="600" t="n">
        <x:v>0.03885714285714281</x:v>
      </x:c>
      <x:c r="AH324" s="600" t="n">
        <x:v>-0.1990086932166599</x:v>
      </x:c>
      <x:c r="AI324" s="600" t="n">
        <x:v>-0.1448242082092417</x:v>
      </x:c>
      <x:c r="AJ324" s="600" t="n">
        <x:v>0.04110880260957933</x:v>
      </x:c>
      <x:c r="AK324" s="600" t="n">
        <x:v>0.2199305372993923</x:v>
      </x:c>
      <x:c r="AL324" s="600" t="n">
        <x:v>0.2711509907722017</x:v>
      </x:c>
      <x:c r="AM324" s="600" t="n">
        <x:v>0.6068</x:v>
      </x:c>
      <x:c r="AN324" s="595" t="inlineStr">
        <x:is>
          <x:t xml:space="preserve">EVALUATED</x:t>
        </x:is>
      </x:c>
      <x:c r="AO324" s="600" t="inlineStr">
        <x:is>
          <x:t xml:space="preserve">BUCKET_1.75、SIDE_IDENTITY_VALID、MARKET_MOVE_DEEPER_WITH_GIVING_WATER_RISE</x:t>
        </x:is>
      </x:c>
      <x:c r="AP324" s="600" t="inlineStr">
        <x:is>
          <x:t xml:space="preserve">caf2b960108a8f8338db</x:t>
        </x:is>
      </x:c>
      <x:c r="AQ324" s="600" t="n">
        <x:v>-1.75</x:v>
      </x:c>
      <x:c r="AR324" s="600" t="n">
        <x:v>0.96</x:v>
      </x:c>
      <x:c r="AS324" s="600" t="n">
        <x:v>-1.75</x:v>
      </x:c>
      <x:c r="AT324" s="600" t="n">
        <x:v>1.75</x:v>
      </x:c>
      <x:c r="AU324" s="600" t="n">
        <x:v>0.96</x:v>
      </x:c>
      <x:c r="AV324" s="600" t="n">
        <x:v>0.86</x:v>
      </x:c>
      <x:c r="AW324" s="595" t="n">
        <x:v>46285.58031267361</x:v>
      </x:c>
      <x:c r="AX324" s="595" t="inlineStr">
        <x:is>
          <x:t xml:space="preserve">https://simondongxiao.github.io/odds/v4/</x:t>
        </x:is>
      </x:c>
      <x:c r="AY324" s="595" t="inlineStr">
        <x:is>
          <x:t xml:space="preserve">V4 Shadow Only；real_money=false；比分差异详见记录审计</x:t>
        </x:is>
      </x:c>
    </x:row>
    <x:row r="325" ht="22" customHeight="1">
      <x:c r="A325" s="595" t="inlineStr">
        <x:is>
          <x:t xml:space="preserve">2026-09-20</x:t>
        </x:is>
      </x:c>
      <x:c r="B325" s="595" t="inlineStr">
        <x:is>
          <x:t xml:space="preserve">2026-09-21 01:00</x:t>
        </x:is>
      </x:c>
      <x:c r="C325" s="595" t="str">
        <x:v>欧洲非五大系列</x:v>
      </x:c>
      <x:c r="D325" s="595" t="inlineStr">
        <x:is>
          <x:t xml:space="preserve">联赛</x:t>
        </x:is>
      </x:c>
      <x:c r="E325" s="595" t="inlineStr">
        <x:is>
          <x:t xml:space="preserve">葡超</x:t>
        </x:is>
      </x:c>
      <x:c r="F325" s="595" t="inlineStr">
        <x:is>
          <x:t xml:space="preserve">圣克拉拉 vs 布拉加</x:t>
        </x:is>
      </x:c>
      <x:c r="G325" s="596" t="n">
        <x:v>1</x:v>
      </x:c>
      <x:c r="H325" s="596" t="n">
        <x:v>-0.25</x:v>
      </x:c>
      <x:c r="I325" s="596" t="n">
        <x:v>0.89</x:v>
      </x:c>
      <x:c r="J325" s="596" t="inlineStr">
        <x:is>
          <x:t xml:space="preserve">1.00/-0.25/0.89</x:t>
        </x:is>
      </x:c>
      <x:c r="K325" s="595" t="inlineStr">
        <x:is>
          <x:t xml:space="preserve">V4-C｜EV +0.0017</x:t>
        </x:is>
      </x:c>
      <x:c r="L325" s="595" t="inlineStr">
        <x:is>
          <x:t xml:space="preserve">圣克拉拉</x:t>
        </x:is>
      </x:c>
      <x:c r="M325" s="597" t="n">
        <x:v>0.5010224948875256</x:v>
      </x:c>
      <x:c r="N325" s="595" t="inlineStr">
        <x:is>
          <x:t xml:space="preserve">V4纸面入选-C</x:t>
        </x:is>
      </x:c>
      <x:c r="O325" s="595" t="inlineStr">
        <x:is>
          <x:t xml:space="preserve">0-0</x:t>
        </x:is>
      </x:c>
      <x:c r="P325" s="595" t="inlineStr">
        <x:is>
          <x:t xml:space="preserve">已结算</x:t>
        </x:is>
      </x:c>
      <x:c r="Q325" s="642" t="inlineStr">
        <x:is>
          <x:t xml:space="preserve">半红</x:t>
        </x:is>
      </x:c>
      <x:c r="R325" s="599" t="n">
        <x:v>1</x:v>
      </x:c>
      <x:c r="S325" s="599" t="n">
        <x:f>IF(OR(Q325="",Q325="待结算"),"",IF(Q325="红",R325,IF(Q325="半红",R325*0.5,IF(Q325="走",0,IF(Q325="半黑",-0.5,-1)))))</x:f>
        <x:v>0.5</x:v>
      </x:c>
      <x:c r="T325" s="595" t="inlineStr">
        <x:is>
          <x:t xml:space="preserve">https://zq.titan007.com/analysis/3023491cn.htm</x:t>
        </x:is>
      </x:c>
      <x:c r="U325" s="643" t="str">
        <x:f>IF(Q325="","",IF(Q325="待结算","待结算",IF(Q325="红","黑",IF(Q325="半红","半黑",IF(Q325="走","走",IF(Q325="半黑","半红","红"))))))</x:f>
        <x:v>半黑</x:v>
      </x:c>
      <x:c r="V325" s="599" t="n">
        <x:f>IF(OR(Q325="",Q325="待结算"),"",IF(L325=LEFT(F325,FIND(" vs ",F325)-1),I325,G325))</x:f>
        <x:v>0.89</x:v>
      </x:c>
      <x:c r="W325" s="599" t="n">
        <x:f>IF(OR(U325="",U325="待结算"),"",IF(U325="红",V325,IF(U325="半红",V325*0.5,IF(U325="走",0,IF(U325="半黑",-0.5,-1)))))</x:f>
        <x:v>-0.5</x:v>
      </x:c>
      <x:c r="X325" s="595" t="inlineStr">
        <x:is>
          <x:t xml:space="preserve">3023491</x:t>
        </x:is>
      </x:c>
      <x:c r="Y325" s="595" t="inlineStr">
        <x:is>
          <x:t xml:space="preserve">v4-market-dirichlet-20260913</x:t>
        </x:is>
      </x:c>
      <x:c r="Z325" s="595" t="inlineStr">
        <x:is>
          <x:t xml:space="preserve">prior-2026-09-20-v1</x:t>
        </x:is>
      </x:c>
      <x:c r="AA325" s="595" t="inlineStr">
        <x:is>
          <x:t xml:space="preserve">C</x:t>
        </x:is>
      </x:c>
      <x:c r="AB325" s="600" t="n">
        <x:v>0.2743055555555556</x:v>
      </x:c>
      <x:c r="AC325" s="600" t="n">
        <x:v>0.3020833333333333</x:v>
      </x:c>
      <x:c r="AD325" s="600" t="n">
        <x:v>0</x:v>
      </x:c>
      <x:c r="AE325" s="600" t="n">
        <x:v>0</x:v>
      </x:c>
      <x:c r="AF325" s="600" t="n">
        <x:v>0.4236111111111111</x:v>
      </x:c>
      <x:c r="AG325" s="600" t="n">
        <x:v>0.001736111111111105</x:v>
      </x:c>
      <x:c r="AH325" s="600" t="n">
        <x:v>-0.08179511858809807</x:v>
      </x:c>
      <x:c r="AI325" s="600" t="n">
        <x:v>-0.06515566431550851</x:v>
      </x:c>
      <x:c r="AJ325" s="600" t="n">
        <x:v>0.001300009637239363</x:v>
      </x:c>
      <x:c r="AK325" s="600" t="n">
        <x:v>0.06849134057846945</x:v>
      </x:c>
      <x:c r="AL325" s="600" t="n">
        <x:v>0.08643528660820282</x:v>
      </x:c>
      <x:c r="AM325" s="600" t="n">
        <x:v>0.5086000000000001</x:v>
      </x:c>
      <x:c r="AN325" s="595" t="inlineStr">
        <x:is>
          <x:t xml:space="preserve">EVALUATED</x:t>
        </x:is>
      </x:c>
      <x:c r="AO325" s="600" t="inlineStr">
        <x:is>
          <x:t xml:space="preserve">BUCKET_0.25、SIDE_IDENTITY_VALID、FLAT_LINE_GIVING_WATER_RISE</x:t>
        </x:is>
      </x:c>
      <x:c r="AP325" s="600" t="inlineStr">
        <x:is>
          <x:t xml:space="preserve">70e8642b9668582c910f</x:t>
        </x:is>
      </x:c>
      <x:c r="AQ325" s="600" t="n">
        <x:v>0.25</x:v>
      </x:c>
      <x:c r="AR325" s="600" t="n">
        <x:v>1</x:v>
      </x:c>
      <x:c r="AS325" s="600" t="n">
        <x:v>0.25</x:v>
      </x:c>
      <x:c r="AT325" s="600" t="n">
        <x:v>-0.25</x:v>
      </x:c>
      <x:c r="AU325" s="600" t="n">
        <x:v>1</x:v>
      </x:c>
      <x:c r="AV325" s="600" t="n">
        <x:v>0.89</x:v>
      </x:c>
      <x:c r="AW325" s="595" t="n">
        <x:v>46285.58031267361</x:v>
      </x:c>
      <x:c r="AX325" s="595" t="inlineStr">
        <x:is>
          <x:t xml:space="preserve">https://simondongxiao.github.io/odds/v4/</x:t>
        </x:is>
      </x:c>
      <x:c r="AY325" s="595" t="inlineStr">
        <x:is>
          <x:t xml:space="preserve">V4 Shadow Only；real_money=false；比分差异详见记录审计</x:t>
        </x:is>
      </x:c>
    </x:row>
    <x:row r="326" ht="22" customHeight="1">
      <x:c r="A326" s="595" t="inlineStr">
        <x:is>
          <x:t xml:space="preserve">2026-09-20</x:t>
        </x:is>
      </x:c>
      <x:c r="B326" s="595" t="inlineStr">
        <x:is>
          <x:t xml:space="preserve">2026-09-21 01:30</x:t>
        </x:is>
      </x:c>
      <x:c r="C326" s="595" t="str">
        <x:v>欧洲五大系列</x:v>
      </x:c>
      <x:c r="D326" s="595" t="inlineStr">
        <x:is>
          <x:t xml:space="preserve">联赛</x:t>
        </x:is>
      </x:c>
      <x:c r="E326" s="595" t="inlineStr">
        <x:is>
          <x:t xml:space="preserve">德甲</x:t>
        </x:is>
      </x:c>
      <x:c r="F326" s="595" t="inlineStr">
        <x:is>
          <x:t xml:space="preserve">帕德博恩 vs 霍芬海姆</x:t>
        </x:is>
      </x:c>
      <x:c r="G326" s="596" t="n">
        <x:v>1</x:v>
      </x:c>
      <x:c r="H326" s="596" t="n">
        <x:v>-0.75</x:v>
      </x:c>
      <x:c r="I326" s="596" t="n">
        <x:v>0.89</x:v>
      </x:c>
      <x:c r="J326" s="596" t="inlineStr">
        <x:is>
          <x:t xml:space="preserve">1.00/-0.75/0.89</x:t>
        </x:is>
      </x:c>
      <x:c r="K326" s="595" t="inlineStr">
        <x:is>
          <x:t xml:space="preserve">V4-C｜EV +0.0125</x:t>
        </x:is>
      </x:c>
      <x:c r="L326" s="595" t="inlineStr">
        <x:is>
          <x:t xml:space="preserve">帕德博恩</x:t>
        </x:is>
      </x:c>
      <x:c r="M326" s="597" t="n">
        <x:v>0.5071770334928229</x:v>
      </x:c>
      <x:c r="N326" s="595" t="inlineStr">
        <x:is>
          <x:t xml:space="preserve">V4纸面入选-C</x:t>
        </x:is>
      </x:c>
      <x:c r="O326" s="595" t="inlineStr">
        <x:is>
          <x:t xml:space="preserve">3-1</x:t>
        </x:is>
      </x:c>
      <x:c r="P326" s="595" t="inlineStr">
        <x:is>
          <x:t xml:space="preserve">已结算</x:t>
        </x:is>
      </x:c>
      <x:c r="Q326" s="640" t="inlineStr">
        <x:is>
          <x:t xml:space="preserve">红</x:t>
        </x:is>
      </x:c>
      <x:c r="R326" s="599" t="n">
        <x:v>1</x:v>
      </x:c>
      <x:c r="S326" s="599" t="n">
        <x:f>IF(OR(Q326="",Q326="待结算"),"",IF(Q326="红",R326,IF(Q326="半红",R326*0.5,IF(Q326="走",0,IF(Q326="半黑",-0.5,-1)))))</x:f>
        <x:v>1</x:v>
      </x:c>
      <x:c r="T326" s="595" t="inlineStr">
        <x:is>
          <x:t xml:space="preserve">https://zq.titan007.com/analysis/3018818cn.htm</x:t>
        </x:is>
      </x:c>
      <x:c r="U326" s="641" t="str">
        <x:f>IF(Q326="","",IF(Q326="待结算","待结算",IF(Q326="红","黑",IF(Q326="半红","半黑",IF(Q326="走","走",IF(Q326="半黑","半红","红"))))))</x:f>
        <x:v>黑</x:v>
      </x:c>
      <x:c r="V326" s="599" t="n">
        <x:f>IF(OR(Q326="",Q326="待结算"),"",IF(L326=LEFT(F326,FIND(" vs ",F326)-1),I326,G326))</x:f>
        <x:v>0.89</x:v>
      </x:c>
      <x:c r="W326" s="599" t="n">
        <x:f>IF(OR(U326="",U326="待结算"),"",IF(U326="红",V326,IF(U326="半红",V326*0.5,IF(U326="走",0,IF(U326="半黑",-0.5,-1)))))</x:f>
        <x:v>-1</x:v>
      </x:c>
      <x:c r="X326" s="595" t="inlineStr">
        <x:is>
          <x:t xml:space="preserve">3018818</x:t>
        </x:is>
      </x:c>
      <x:c r="Y326" s="595" t="inlineStr">
        <x:is>
          <x:t xml:space="preserve">v4-market-dirichlet-20260913</x:t>
        </x:is>
      </x:c>
      <x:c r="Z326" s="595" t="inlineStr">
        <x:is>
          <x:t xml:space="preserve">prior-2026-09-20-v1</x:t>
        </x:is>
      </x:c>
      <x:c r="AA326" s="595" t="inlineStr">
        <x:is>
          <x:t xml:space="preserve">C</x:t>
        </x:is>
      </x:c>
      <x:c r="AB326" s="600" t="n">
        <x:v>0.4416666666666667</x:v>
      </x:c>
      <x:c r="AC326" s="600" t="n">
        <x:v>0</x:v>
      </x:c>
      <x:c r="AD326" s="600" t="n">
        <x:v>0</x:v>
      </x:c>
      <x:c r="AE326" s="600" t="n">
        <x:v>0.2583333333333334</x:v>
      </x:c>
      <x:c r="AF326" s="600" t="n">
        <x:v>0.3</x:v>
      </x:c>
      <x:c r="AG326" s="600" t="n">
        <x:v>0.01250000000000001</x:v>
      </x:c>
      <x:c r="AH326" s="600" t="n">
        <x:v>-0.1189892090183347</x:v>
      </x:c>
      <x:c r="AI326" s="600" t="n">
        <x:v>-0.08984398760490481</x:v>
      </x:c>
      <x:c r="AJ326" s="600" t="n">
        <x:v>0.0129699729181868</x:v>
      </x:c>
      <x:c r="AK326" s="600" t="n">
        <x:v>0.1166371621464447</x:v>
      </x:c>
      <x:c r="AL326" s="600" t="n">
        <x:v>0.145024723007006</x:v>
      </x:c>
      <x:c r="AM326" s="600" t="n">
        <x:v>0.5588</x:v>
      </x:c>
      <x:c r="AN326" s="595" t="inlineStr">
        <x:is>
          <x:t xml:space="preserve">EVALUATED</x:t>
        </x:is>
      </x:c>
      <x:c r="AO326" s="600" t="inlineStr">
        <x:is>
          <x:t xml:space="preserve">BUCKET_0.75、SIDE_IDENTITY_VALID、FLAT_LINE_GIVING_WATER_RISE</x:t>
        </x:is>
      </x:c>
      <x:c r="AP326" s="600" t="inlineStr">
        <x:is>
          <x:t xml:space="preserve">310b63bfcd9b8e2c38c3</x:t>
        </x:is>
      </x:c>
      <x:c r="AQ326" s="600" t="n">
        <x:v>0.75</x:v>
      </x:c>
      <x:c r="AR326" s="600" t="n">
        <x:v>1</x:v>
      </x:c>
      <x:c r="AS326" s="600" t="n">
        <x:v>0.75</x:v>
      </x:c>
      <x:c r="AT326" s="600" t="n">
        <x:v>-0.75</x:v>
      </x:c>
      <x:c r="AU326" s="600" t="n">
        <x:v>1</x:v>
      </x:c>
      <x:c r="AV326" s="600" t="n">
        <x:v>0.89</x:v>
      </x:c>
      <x:c r="AW326" s="595" t="n">
        <x:v>46285.58031267361</x:v>
      </x:c>
      <x:c r="AX326" s="595" t="inlineStr">
        <x:is>
          <x:t xml:space="preserve">https://simondongxiao.github.io/odds/v4/</x:t>
        </x:is>
      </x:c>
      <x:c r="AY326" s="595" t="inlineStr">
        <x:is>
          <x:t xml:space="preserve">V4 Shadow Only；real_money=false；比分差异详见记录审计</x:t>
        </x:is>
      </x:c>
    </x:row>
    <x:row r="327" ht="22" customHeight="1">
      <x:c r="A327" s="595" t="inlineStr">
        <x:is>
          <x:t xml:space="preserve">2026-09-20</x:t>
        </x:is>
      </x:c>
      <x:c r="B327" s="595" t="inlineStr">
        <x:is>
          <x:t xml:space="preserve">2026-09-21 01:30</x:t>
        </x:is>
      </x:c>
      <x:c r="C327" s="595" t="str">
        <x:v>五大联赛非顶级联赛</x:v>
      </x:c>
      <x:c r="D327" s="595" t="inlineStr">
        <x:is>
          <x:t xml:space="preserve">联赛</x:t>
        </x:is>
      </x:c>
      <x:c r="E327" s="595" t="inlineStr">
        <x:is>
          <x:t xml:space="preserve">意乙</x:t>
        </x:is>
      </x:c>
      <x:c r="F327" s="595" t="inlineStr">
        <x:is>
          <x:t xml:space="preserve">摩德纳 vs 恩波利</x:t>
        </x:is>
      </x:c>
      <x:c r="G327" s="596" t="n">
        <x:v>0.8</x:v>
      </x:c>
      <x:c r="H327" s="596" t="n">
        <x:v>0.75</x:v>
      </x:c>
      <x:c r="I327" s="596" t="n">
        <x:v>1.08</x:v>
      </x:c>
      <x:c r="J327" s="596" t="inlineStr">
        <x:is>
          <x:t xml:space="preserve">0.80/0.75/1.08</x:t>
        </x:is>
      </x:c>
      <x:c r="K327" s="595" t="inlineStr">
        <x:is>
          <x:t xml:space="preserve">V4-C｜EV +0.0478</x:t>
        </x:is>
      </x:c>
      <x:c r="L327" s="595" t="inlineStr">
        <x:is>
          <x:t xml:space="preserve">恩波利</x:t>
        </x:is>
      </x:c>
      <x:c r="M327" s="597" t="n">
        <x:v>0.5071770334928229</x:v>
      </x:c>
      <x:c r="N327" s="595" t="inlineStr">
        <x:is>
          <x:t xml:space="preserve">V4纸面入选-C</x:t>
        </x:is>
      </x:c>
      <x:c r="O327" s="595" t="inlineStr">
        <x:is>
          <x:t xml:space="preserve">2-1</x:t>
        </x:is>
      </x:c>
      <x:c r="P327" s="595" t="inlineStr">
        <x:is>
          <x:t xml:space="preserve">已结算</x:t>
        </x:is>
      </x:c>
      <x:c r="Q327" s="643" t="inlineStr">
        <x:is>
          <x:t xml:space="preserve">半黑</x:t>
        </x:is>
      </x:c>
      <x:c r="R327" s="599" t="n">
        <x:v>1.08</x:v>
      </x:c>
      <x:c r="S327" s="599" t="n">
        <x:f>IF(OR(Q327="",Q327="待结算"),"",IF(Q327="红",R327,IF(Q327="半红",R327*0.5,IF(Q327="走",0,IF(Q327="半黑",-0.5,-1)))))</x:f>
        <x:v>-0.5</x:v>
      </x:c>
      <x:c r="T327" s="595" t="inlineStr">
        <x:is>
          <x:t xml:space="preserve">https://zq.titan007.com/analysis/3040751cn.htm</x:t>
        </x:is>
      </x:c>
      <x:c r="U327" s="642" t="str">
        <x:f>IF(Q327="","",IF(Q327="待结算","待结算",IF(Q327="红","黑",IF(Q327="半红","半黑",IF(Q327="走","走",IF(Q327="半黑","半红","红"))))))</x:f>
        <x:v>半红</x:v>
      </x:c>
      <x:c r="V327" s="599" t="n">
        <x:f>IF(OR(Q327="",Q327="待结算"),"",IF(L327=LEFT(F327,FIND(" vs ",F327)-1),I327,G327))</x:f>
        <x:v>0.8</x:v>
      </x:c>
      <x:c r="W327" s="599" t="n">
        <x:f>IF(OR(U327="",U327="待结算"),"",IF(U327="红",V327,IF(U327="半红",V327*0.5,IF(U327="走",0,IF(U327="半黑",-0.5,-1)))))</x:f>
        <x:v>0.4</x:v>
      </x:c>
      <x:c r="X327" s="595" t="inlineStr">
        <x:is>
          <x:t xml:space="preserve">3040751</x:t>
        </x:is>
      </x:c>
      <x:c r="Y327" s="595" t="inlineStr">
        <x:is>
          <x:t xml:space="preserve">v4-market-dirichlet-20260913</x:t>
        </x:is>
      </x:c>
      <x:c r="Z327" s="595" t="inlineStr">
        <x:is>
          <x:t xml:space="preserve">prior-2026-09-20-v1</x:t>
        </x:is>
      </x:c>
      <x:c r="AA327" s="595" t="inlineStr">
        <x:is>
          <x:t xml:space="preserve">C</x:t>
        </x:is>
      </x:c>
      <x:c r="AB327" s="600" t="n">
        <x:v>0.4416666666666667</x:v>
      </x:c>
      <x:c r="AC327" s="600" t="n">
        <x:v>0</x:v>
      </x:c>
      <x:c r="AD327" s="600" t="n">
        <x:v>0</x:v>
      </x:c>
      <x:c r="AE327" s="600" t="n">
        <x:v>0.2583333333333334</x:v>
      </x:c>
      <x:c r="AF327" s="600" t="n">
        <x:v>0.3</x:v>
      </x:c>
      <x:c r="AG327" s="600" t="n">
        <x:v>0.04783333333333334</x:v>
      </x:c>
      <x:c r="AH327" s="600" t="n">
        <x:v>-0.0923434720908593</x:v>
      </x:c>
      <x:c r="AI327" s="600" t="n">
        <x:v>-0.06268871797404232</x:v>
      </x:c>
      <x:c r="AJ327" s="600" t="n">
        <x:v>0.04531259464558418</x:v>
      </x:c>
      <x:c r="AK327" s="600" t="n">
        <x:v>0.153691137025912</x:v>
      </x:c>
      <x:c r="AL327" s="600" t="n">
        <x:v>0.1847459303849029</x:v>
      </x:c>
      <x:c r="AM327" s="600" t="n">
        <x:v>0.6994</x:v>
      </x:c>
      <x:c r="AN327" s="595" t="inlineStr">
        <x:is>
          <x:t xml:space="preserve">EVALUATED</x:t>
        </x:is>
      </x:c>
      <x:c r="AO327" s="600" t="inlineStr">
        <x:is>
          <x:t xml:space="preserve">BUCKET_0.75、SIDE_IDENTITY_VALID、FLAT_LINE_GIVING_WATER_DROP</x:t>
        </x:is>
      </x:c>
      <x:c r="AP327" s="600" t="inlineStr">
        <x:is>
          <x:t xml:space="preserve">8554549a0bb35d413318</x:t>
        </x:is>
      </x:c>
      <x:c r="AQ327" s="600" t="n">
        <x:v>0.75</x:v>
      </x:c>
      <x:c r="AR327" s="600" t="n">
        <x:v>1.08</x:v>
      </x:c>
      <x:c r="AS327" s="600" t="n">
        <x:v>-0.75</x:v>
      </x:c>
      <x:c r="AT327" s="600" t="n">
        <x:v>0.75</x:v>
      </x:c>
      <x:c r="AU327" s="600" t="n">
        <x:v>0.8</x:v>
      </x:c>
      <x:c r="AV327" s="600" t="n">
        <x:v>1.08</x:v>
      </x:c>
      <x:c r="AW327" s="595" t="n">
        <x:v>46285.58031267361</x:v>
      </x:c>
      <x:c r="AX327" s="595" t="inlineStr">
        <x:is>
          <x:t xml:space="preserve">https://simondongxiao.github.io/odds/v4/</x:t>
        </x:is>
      </x:c>
      <x:c r="AY327" s="595" t="inlineStr">
        <x:is>
          <x:t xml:space="preserve">V4 Shadow Only；real_money=false；比分差异详见记录审计</x:t>
        </x:is>
      </x:c>
    </x:row>
    <x:row r="328" ht="22" customHeight="1">
      <x:c r="A328" s="595" t="inlineStr">
        <x:is>
          <x:t xml:space="preserve">2026-09-20</x:t>
        </x:is>
      </x:c>
      <x:c r="B328" s="595" t="inlineStr">
        <x:is>
          <x:t xml:space="preserve">2026-09-21 01:30</x:t>
        </x:is>
      </x:c>
      <x:c r="C328" s="595" t="str">
        <x:v>欧洲非五大系列</x:v>
      </x:c>
      <x:c r="D328" s="595" t="inlineStr">
        <x:is>
          <x:t xml:space="preserve">联赛</x:t>
        </x:is>
      </x:c>
      <x:c r="E328" s="595" t="inlineStr">
        <x:is>
          <x:t xml:space="preserve">波兰乙</x:t>
        </x:is>
      </x:c>
      <x:c r="F328" s="595" t="inlineStr">
        <x:is>
          <x:t xml:space="preserve">台基 vs 桑德克亚</x:t>
        </x:is>
      </x:c>
      <x:c r="G328" s="596" t="n">
        <x:v>0.74</x:v>
      </x:c>
      <x:c r="H328" s="596" t="n">
        <x:v>0.25</x:v>
      </x:c>
      <x:c r="I328" s="596" t="n">
        <x:v>1.11</x:v>
      </x:c>
      <x:c r="J328" s="596" t="inlineStr">
        <x:is>
          <x:t xml:space="preserve">0.74/0.25/1.11</x:t>
        </x:is>
      </x:c>
      <x:c r="K328" s="595" t="inlineStr">
        <x:is>
          <x:t xml:space="preserve">V4-C｜EV +0.0485</x:t>
        </x:is>
      </x:c>
      <x:c r="L328" s="595" t="inlineStr">
        <x:is>
          <x:t xml:space="preserve">桑德克亚</x:t>
        </x:is>
      </x:c>
      <x:c r="M328" s="597" t="n">
        <x:v>0.5010224948875256</x:v>
      </x:c>
      <x:c r="N328" s="595" t="inlineStr">
        <x:is>
          <x:t xml:space="preserve">V4纸面入选-C</x:t>
        </x:is>
      </x:c>
      <x:c r="O328" s="595" t="inlineStr">
        <x:is>
          <x:t xml:space="preserve">0-0</x:t>
        </x:is>
      </x:c>
      <x:c r="P328" s="595" t="inlineStr">
        <x:is>
          <x:t xml:space="preserve">已结算</x:t>
        </x:is>
      </x:c>
      <x:c r="Q328" s="642" t="inlineStr">
        <x:is>
          <x:t xml:space="preserve">半红</x:t>
        </x:is>
      </x:c>
      <x:c r="R328" s="599" t="n">
        <x:v>1.11</x:v>
      </x:c>
      <x:c r="S328" s="599" t="n">
        <x:f>IF(OR(Q328="",Q328="待结算"),"",IF(Q328="红",R328,IF(Q328="半红",R328*0.5,IF(Q328="走",0,IF(Q328="半黑",-0.5,-1)))))</x:f>
        <x:v>0.555</x:v>
      </x:c>
      <x:c r="T328" s="595" t="inlineStr">
        <x:is>
          <x:t xml:space="preserve">https://zq.titan007.com/analysis/3035915cn.htm</x:t>
        </x:is>
      </x:c>
      <x:c r="U328" s="643" t="str">
        <x:f>IF(Q328="","",IF(Q328="待结算","待结算",IF(Q328="红","黑",IF(Q328="半红","半黑",IF(Q328="走","走",IF(Q328="半黑","半红","红"))))))</x:f>
        <x:v>半黑</x:v>
      </x:c>
      <x:c r="V328" s="599" t="n">
        <x:f>IF(OR(Q328="",Q328="待结算"),"",IF(L328=LEFT(F328,FIND(" vs ",F328)-1),I328,G328))</x:f>
        <x:v>0.74</x:v>
      </x:c>
      <x:c r="W328" s="599" t="n">
        <x:f>IF(OR(U328="",U328="待结算"),"",IF(U328="红",V328,IF(U328="半红",V328*0.5,IF(U328="走",0,IF(U328="半黑",-0.5,-1)))))</x:f>
        <x:v>-0.5</x:v>
      </x:c>
      <x:c r="X328" s="595" t="inlineStr">
        <x:is>
          <x:t xml:space="preserve">3035915</x:t>
        </x:is>
      </x:c>
      <x:c r="Y328" s="595" t="inlineStr">
        <x:is>
          <x:t xml:space="preserve">v4-market-dirichlet-20260913</x:t>
        </x:is>
      </x:c>
      <x:c r="Z328" s="595" t="inlineStr">
        <x:is>
          <x:t xml:space="preserve">prior-2026-09-20-v1</x:t>
        </x:is>
      </x:c>
      <x:c r="AA328" s="595" t="inlineStr">
        <x:is>
          <x:t xml:space="preserve">C</x:t>
        </x:is>
      </x:c>
      <x:c r="AB328" s="600" t="n">
        <x:v>0.2743055555555556</x:v>
      </x:c>
      <x:c r="AC328" s="600" t="n">
        <x:v>0.3020833333333333</x:v>
      </x:c>
      <x:c r="AD328" s="600" t="n">
        <x:v>0</x:v>
      </x:c>
      <x:c r="AE328" s="600" t="n">
        <x:v>0</x:v>
      </x:c>
      <x:c r="AF328" s="600" t="n">
        <x:v>0.4236111111111111</x:v>
      </x:c>
      <x:c r="AG328" s="600" t="n">
        <x:v>0.04852430555555565</x:v>
      </x:c>
      <x:c r="AH328" s="600" t="n">
        <x:v>-0.04013495677035123</x:v>
      </x:c>
      <x:c r="AI328" s="600" t="n">
        <x:v>-0.02023420033862539</x:v>
      </x:c>
      <x:c r="AJ328" s="600" t="n">
        <x:v>0.04917728788790859</x:v>
      </x:c>
      <x:c r="AK328" s="600" t="n">
        <x:v>0.1194145632806707</x:v>
      </x:c>
      <x:c r="AL328" s="600" t="n">
        <x:v>0.1370557900394422</x:v>
      </x:c>
      <x:c r="AM328" s="600" t="n">
        <x:v>0.8184</x:v>
      </x:c>
      <x:c r="AN328" s="595" t="inlineStr">
        <x:is>
          <x:t xml:space="preserve">EVALUATED</x:t>
        </x:is>
      </x:c>
      <x:c r="AO328" s="600" t="inlineStr">
        <x:is>
          <x:t xml:space="preserve">BUCKET_0.25、SIDE_IDENTITY_VALID、FLAT_LINE_GIVING_WATER_DROP</x:t>
        </x:is>
      </x:c>
      <x:c r="AP328" s="600" t="inlineStr">
        <x:is>
          <x:t xml:space="preserve">3977bdb368b2dc4f6816</x:t>
        </x:is>
      </x:c>
      <x:c r="AQ328" s="600" t="n">
        <x:v>0.25</x:v>
      </x:c>
      <x:c r="AR328" s="600" t="n">
        <x:v>1.11</x:v>
      </x:c>
      <x:c r="AS328" s="600" t="n">
        <x:v>-0.25</x:v>
      </x:c>
      <x:c r="AT328" s="600" t="n">
        <x:v>0.25</x:v>
      </x:c>
      <x:c r="AU328" s="600" t="n">
        <x:v>0.74</x:v>
      </x:c>
      <x:c r="AV328" s="600" t="n">
        <x:v>1.11</x:v>
      </x:c>
      <x:c r="AW328" s="595" t="n">
        <x:v>46285.58031267361</x:v>
      </x:c>
      <x:c r="AX328" s="595" t="inlineStr">
        <x:is>
          <x:t xml:space="preserve">https://simondongxiao.github.io/odds/v4/</x:t>
        </x:is>
      </x:c>
      <x:c r="AY328" s="595" t="inlineStr">
        <x:is>
          <x:t xml:space="preserve">V4 Shadow Only；real_money=false；比分差异详见记录审计</x:t>
        </x:is>
      </x:c>
    </x:row>
    <x:row r="329" ht="22" customHeight="1">
      <x:c r="A329" s="595" t="inlineStr">
        <x:is>
          <x:t xml:space="preserve">2026-09-20</x:t>
        </x:is>
      </x:c>
      <x:c r="B329" s="595" t="inlineStr">
        <x:is>
          <x:t xml:space="preserve">2026-09-21 01:45</x:t>
        </x:is>
      </x:c>
      <x:c r="C329" s="595" t="str">
        <x:v>南美系列</x:v>
      </x:c>
      <x:c r="D329" s="595" t="inlineStr">
        <x:is>
          <x:t xml:space="preserve">联赛</x:t>
        </x:is>
      </x:c>
      <x:c r="E329" s="595" t="inlineStr">
        <x:is>
          <x:t xml:space="preserve">阿甲</x:t>
        </x:is>
      </x:c>
      <x:c r="F329" s="595" t="inlineStr">
        <x:is>
          <x:t xml:space="preserve">圣洛伦索 vs 博卡青年</x:t>
        </x:is>
      </x:c>
      <x:c r="G329" s="596" t="n">
        <x:v>0.85</x:v>
      </x:c>
      <x:c r="H329" s="596" t="n">
        <x:v>-0.5</x:v>
      </x:c>
      <x:c r="I329" s="596" t="n">
        <x:v>1.04</x:v>
      </x:c>
      <x:c r="J329" s="596" t="inlineStr">
        <x:is>
          <x:t xml:space="preserve">0.85/-0.5/1.04</x:t>
        </x:is>
      </x:c>
      <x:c r="K329" s="595" t="inlineStr">
        <x:is>
          <x:t xml:space="preserve">V4-C｜EV +0.0142</x:t>
        </x:is>
      </x:c>
      <x:c r="L329" s="595" t="inlineStr">
        <x:is>
          <x:t xml:space="preserve">博卡青年</x:t>
        </x:is>
      </x:c>
      <x:c r="M329" s="597" t="n">
        <x:v>0.4971428571428572</x:v>
      </x:c>
      <x:c r="N329" s="595" t="inlineStr">
        <x:is>
          <x:t xml:space="preserve">V4纸面入选-C</x:t>
        </x:is>
      </x:c>
      <x:c r="O329" s="595" t="inlineStr">
        <x:is>
          <x:t xml:space="preserve">0-2</x:t>
        </x:is>
      </x:c>
      <x:c r="P329" s="595" t="inlineStr">
        <x:is>
          <x:t xml:space="preserve">已结算</x:t>
        </x:is>
      </x:c>
      <x:c r="Q329" s="640" t="inlineStr">
        <x:is>
          <x:t xml:space="preserve">红</x:t>
        </x:is>
      </x:c>
      <x:c r="R329" s="599" t="n">
        <x:v>1.04</x:v>
      </x:c>
      <x:c r="S329" s="599" t="n">
        <x:f>IF(OR(Q329="",Q329="待结算"),"",IF(Q329="红",R329,IF(Q329="半红",R329*0.5,IF(Q329="走",0,IF(Q329="半黑",-0.5,-1)))))</x:f>
        <x:v>1.04</x:v>
      </x:c>
      <x:c r="T329" s="595" t="inlineStr">
        <x:is>
          <x:t xml:space="preserve">https://zq.titan007.com/analysis/2962650cn.htm</x:t>
        </x:is>
      </x:c>
      <x:c r="U329" s="641" t="str">
        <x:f>IF(Q329="","",IF(Q329="待结算","待结算",IF(Q329="红","黑",IF(Q329="半红","半黑",IF(Q329="走","走",IF(Q329="半黑","半红","红"))))))</x:f>
        <x:v>黑</x:v>
      </x:c>
      <x:c r="V329" s="599" t="n">
        <x:f>IF(OR(Q329="",Q329="待结算"),"",IF(L329=LEFT(F329,FIND(" vs ",F329)-1),I329,G329))</x:f>
        <x:v>0.85</x:v>
      </x:c>
      <x:c r="W329" s="599" t="n">
        <x:f>IF(OR(U329="",U329="待结算"),"",IF(U329="红",V329,IF(U329="半红",V329*0.5,IF(U329="走",0,IF(U329="半黑",-0.5,-1)))))</x:f>
        <x:v>-1</x:v>
      </x:c>
      <x:c r="X329" s="595" t="inlineStr">
        <x:is>
          <x:t xml:space="preserve">2962650</x:t>
        </x:is>
      </x:c>
      <x:c r="Y329" s="595" t="inlineStr">
        <x:is>
          <x:t xml:space="preserve">v4-market-dirichlet-20260913</x:t>
        </x:is>
      </x:c>
      <x:c r="Z329" s="595" t="inlineStr">
        <x:is>
          <x:t xml:space="preserve">prior-2026-09-20-v1</x:t>
        </x:is>
      </x:c>
      <x:c r="AA329" s="595" t="inlineStr">
        <x:is>
          <x:t xml:space="preserve">C</x:t>
        </x:is>
      </x:c>
      <x:c r="AB329" s="600" t="n">
        <x:v>0.4971428571428572</x:v>
      </x:c>
      <x:c r="AC329" s="600" t="n">
        <x:v>0</x:v>
      </x:c>
      <x:c r="AD329" s="600" t="n">
        <x:v>0</x:v>
      </x:c>
      <x:c r="AE329" s="600" t="n">
        <x:v>0</x:v>
      </x:c>
      <x:c r="AF329" s="600" t="n">
        <x:v>0.5028571428571429</x:v>
      </x:c>
      <x:c r="AG329" s="600" t="n">
        <x:v>0.01417142857142861</x:v>
      </x:c>
      <x:c r="AH329" s="600" t="n">
        <x:v>-0.1146730709625307</x:v>
      </x:c>
      <x:c r="AI329" s="600" t="n">
        <x:v>-0.08695402030290389</x:v>
      </x:c>
      <x:c r="AJ329" s="600" t="n">
        <x:v>0.01490759933805941</x:v>
      </x:c>
      <x:c r="AK329" s="600" t="n">
        <x:v>0.1107520333078018</x:v>
      </x:c>
      <x:c r="AL329" s="600" t="n">
        <x:v>0.1403627592991813</x:v>
      </x:c>
      <x:c r="AM329" s="600" t="n">
        <x:v>0.5736</x:v>
      </x:c>
      <x:c r="AN329" s="595" t="inlineStr">
        <x:is>
          <x:t xml:space="preserve">EVALUATED</x:t>
        </x:is>
      </x:c>
      <x:c r="AO329" s="600" t="inlineStr">
        <x:is>
          <x:t xml:space="preserve">BUCKET_0.50、SIDE_IDENTITY_VALID、MARKET_MOVE_DEEPER_WITH_GIVING_WATER_RISE</x:t>
        </x:is>
      </x:c>
      <x:c r="AP329" s="600" t="inlineStr">
        <x:is>
          <x:t xml:space="preserve">1ef4bb56ac9dccc58add</x:t>
        </x:is>
      </x:c>
      <x:c r="AQ329" s="600" t="n">
        <x:v>-0.5</x:v>
      </x:c>
      <x:c r="AR329" s="600" t="n">
        <x:v>1.04</x:v>
      </x:c>
      <x:c r="AS329" s="600" t="n">
        <x:v>0.5</x:v>
      </x:c>
      <x:c r="AT329" s="600" t="n">
        <x:v>-0.5</x:v>
      </x:c>
      <x:c r="AU329" s="600" t="n">
        <x:v>0.85</x:v>
      </x:c>
      <x:c r="AV329" s="600" t="n">
        <x:v>1.04</x:v>
      </x:c>
      <x:c r="AW329" s="595" t="n">
        <x:v>46285.58031267361</x:v>
      </x:c>
      <x:c r="AX329" s="595" t="inlineStr">
        <x:is>
          <x:t xml:space="preserve">https://simondongxiao.github.io/odds/v4/</x:t>
        </x:is>
      </x:c>
      <x:c r="AY329" s="595" t="inlineStr">
        <x:is>
          <x:t xml:space="preserve">V4 Shadow Only；real_money=false；比分差异详见记录审计</x:t>
        </x:is>
      </x:c>
    </x:row>
    <x:row r="330" ht="22" customHeight="1">
      <x:c r="A330" s="595" t="inlineStr">
        <x:is>
          <x:t xml:space="preserve">2026-09-20</x:t>
        </x:is>
      </x:c>
      <x:c r="B330" s="595" t="inlineStr">
        <x:is>
          <x:t xml:space="preserve">2026-09-21 02:00</x:t>
        </x:is>
      </x:c>
      <x:c r="C330" s="595" t="str">
        <x:v>西亚/中亚系列</x:v>
      </x:c>
      <x:c r="D330" s="595" t="inlineStr">
        <x:is>
          <x:t xml:space="preserve">联赛</x:t>
        </x:is>
      </x:c>
      <x:c r="E330" s="595" t="inlineStr">
        <x:is>
          <x:t xml:space="preserve">波斯甲</x:t>
        </x:is>
      </x:c>
      <x:c r="F330" s="595" t="inlineStr">
        <x:is>
          <x:t xml:space="preserve">萨拉热窝 vs 史洛加多波</x:t>
        </x:is>
      </x:c>
      <x:c r="G330" s="596" t="n">
        <x:v>1.01</x:v>
      </x:c>
      <x:c r="H330" s="596" t="n">
        <x:v>1.25</x:v>
      </x:c>
      <x:c r="I330" s="596" t="n">
        <x:v>0.8100000000000001</x:v>
      </x:c>
      <x:c r="J330" s="596" t="inlineStr">
        <x:is>
          <x:t xml:space="preserve">1.01/1.25/0.81</x:t>
        </x:is>
      </x:c>
      <x:c r="K330" s="595" t="inlineStr">
        <x:is>
          <x:t xml:space="preserve">V4-C｜EV +0.0138</x:t>
        </x:is>
      </x:c>
      <x:c r="L330" s="595" t="inlineStr">
        <x:is>
          <x:t xml:space="preserve">萨拉热窝</x:t>
        </x:is>
      </x:c>
      <x:c r="M330" s="597" t="n">
        <x:v>0.5054945054945055</x:v>
      </x:c>
      <x:c r="N330" s="595" t="inlineStr">
        <x:is>
          <x:t xml:space="preserve">V4纸面入选-C</x:t>
        </x:is>
      </x:c>
      <x:c r="O330" s="595" t="inlineStr">
        <x:is>
          <x:t xml:space="preserve">2-0</x:t>
        </x:is>
      </x:c>
      <x:c r="P330" s="595" t="inlineStr">
        <x:is>
          <x:t xml:space="preserve">已结算</x:t>
        </x:is>
      </x:c>
      <x:c r="Q330" s="640" t="inlineStr">
        <x:is>
          <x:t xml:space="preserve">红</x:t>
        </x:is>
      </x:c>
      <x:c r="R330" s="599" t="n">
        <x:v>1.01</x:v>
      </x:c>
      <x:c r="S330" s="599" t="n">
        <x:f>IF(OR(Q330="",Q330="待结算"),"",IF(Q330="红",R330,IF(Q330="半红",R330*0.5,IF(Q330="走",0,IF(Q330="半黑",-0.5,-1)))))</x:f>
        <x:v>1.01</x:v>
      </x:c>
      <x:c r="T330" s="595" t="inlineStr">
        <x:is>
          <x:t xml:space="preserve">https://zq.titan007.com/analysis/3027030cn.htm</x:t>
        </x:is>
      </x:c>
      <x:c r="U330" s="641" t="str">
        <x:f>IF(Q330="","",IF(Q330="待结算","待结算",IF(Q330="红","黑",IF(Q330="半红","半黑",IF(Q330="走","走",IF(Q330="半黑","半红","红"))))))</x:f>
        <x:v>黑</x:v>
      </x:c>
      <x:c r="V330" s="599" t="n">
        <x:f>IF(OR(Q330="",Q330="待结算"),"",IF(L330=LEFT(F330,FIND(" vs ",F330)-1),I330,G330))</x:f>
        <x:v>0.81</x:v>
      </x:c>
      <x:c r="W330" s="599" t="n">
        <x:f>IF(OR(U330="",U330="待结算"),"",IF(U330="红",V330,IF(U330="半红",V330*0.5,IF(U330="走",0,IF(U330="半黑",-0.5,-1)))))</x:f>
        <x:v>-1</x:v>
      </x:c>
      <x:c r="X330" s="595" t="inlineStr">
        <x:is>
          <x:t xml:space="preserve">3027030</x:t>
        </x:is>
      </x:c>
      <x:c r="Y330" s="595" t="inlineStr">
        <x:is>
          <x:t xml:space="preserve">v4-market-dirichlet-20260913</x:t>
        </x:is>
      </x:c>
      <x:c r="Z330" s="595" t="inlineStr">
        <x:is>
          <x:t xml:space="preserve">prior-2026-09-20-v1</x:t>
        </x:is>
      </x:c>
      <x:c r="AA330" s="595" t="inlineStr">
        <x:is>
          <x:t xml:space="preserve">C</x:t>
        </x:is>
      </x:c>
      <x:c r="AB330" s="600" t="n">
        <x:v>0.4339622641509434</x:v>
      </x:c>
      <x:c r="AC330" s="600" t="n">
        <x:v>0</x:v>
      </x:c>
      <x:c r="AD330" s="600" t="n">
        <x:v>0</x:v>
      </x:c>
      <x:c r="AE330" s="600" t="n">
        <x:v>0.2830188679245283</x:v>
      </x:c>
      <x:c r="AF330" s="600" t="n">
        <x:v>0.2830188679245283</x:v>
      </x:c>
      <x:c r="AG330" s="600" t="n">
        <x:v>0.01377358490566044</x:v>
      </x:c>
      <x:c r="AH330" s="600" t="n">
        <x:v>-0.189693294065053</x:v>
      </x:c>
      <x:c r="AI330" s="600" t="n">
        <x:v>-0.1464377123977716</x:v>
      </x:c>
      <x:c r="AJ330" s="600" t="n">
        <x:v>0.01261444613983906</x:v>
      </x:c>
      <x:c r="AK330" s="600" t="n">
        <x:v>0.1713828890022731</x:v>
      </x:c>
      <x:c r="AL330" s="600" t="n">
        <x:v>0.2119630845489369</x:v>
      </x:c>
      <x:c r="AM330" s="600" t="n">
        <x:v>0.5426</x:v>
      </x:c>
      <x:c r="AN330" s="595" t="inlineStr">
        <x:is>
          <x:t xml:space="preserve">EVALUATED</x:t>
        </x:is>
      </x:c>
      <x:c r="AO330" s="600" t="inlineStr">
        <x:is>
          <x:t xml:space="preserve">BUCKET_1.25、SIDE_IDENTITY_VALID、MARKET_MOVE_DEEPER_WITH_GIVING_WATER_RISE</x:t>
        </x:is>
      </x:c>
      <x:c r="AP330" s="600" t="inlineStr">
        <x:is>
          <x:t xml:space="preserve">b217dc9f97642b7c5d3c</x:t>
        </x:is>
      </x:c>
      <x:c r="AQ330" s="600" t="n">
        <x:v>-1.25</x:v>
      </x:c>
      <x:c r="AR330" s="600" t="n">
        <x:v>1.01</x:v>
      </x:c>
      <x:c r="AS330" s="600" t="n">
        <x:v>-1.25</x:v>
      </x:c>
      <x:c r="AT330" s="600" t="n">
        <x:v>1.25</x:v>
      </x:c>
      <x:c r="AU330" s="600" t="n">
        <x:v>1.01</x:v>
      </x:c>
      <x:c r="AV330" s="600" t="n">
        <x:v>0.8100000000000001</x:v>
      </x:c>
      <x:c r="AW330" s="595" t="n">
        <x:v>46285.58031267361</x:v>
      </x:c>
      <x:c r="AX330" s="595" t="inlineStr">
        <x:is>
          <x:t xml:space="preserve">https://simondongxiao.github.io/odds/v4/</x:t>
        </x:is>
      </x:c>
      <x:c r="AY330" s="595" t="inlineStr">
        <x:is>
          <x:t xml:space="preserve">V4 Shadow Only；real_money=false；比分差异详见记录审计</x:t>
        </x:is>
      </x:c>
    </x:row>
    <x:row r="331" ht="22" customHeight="1">
      <x:c r="A331" s="595" t="inlineStr">
        <x:is>
          <x:t xml:space="preserve">2026-09-20</x:t>
        </x:is>
      </x:c>
      <x:c r="B331" s="595" t="inlineStr">
        <x:is>
          <x:t xml:space="preserve">2026-09-21 02:00</x:t>
        </x:is>
      </x:c>
      <x:c r="C331" s="595" t="str">
        <x:v>南美系列</x:v>
      </x:c>
      <x:c r="D331" s="595" t="inlineStr">
        <x:is>
          <x:t xml:space="preserve">联赛</x:t>
        </x:is>
      </x:c>
      <x:c r="E331" s="595" t="inlineStr">
        <x:is>
          <x:t xml:space="preserve">阿乙</x:t>
        </x:is>
      </x:c>
      <x:c r="F331" s="595" t="inlineStr">
        <x:is>
          <x:t xml:space="preserve">卡洛斯卡萨雷斯农业 vs 甘拿斯亚迪罗</x:t>
        </x:is>
      </x:c>
      <x:c r="G331" s="596" t="n">
        <x:v>0.82</x:v>
      </x:c>
      <x:c r="H331" s="596" t="n">
        <x:v>0.25</x:v>
      </x:c>
      <x:c r="I331" s="596" t="n">
        <x:v>1</x:v>
      </x:c>
      <x:c r="J331" s="596" t="inlineStr">
        <x:is>
          <x:t xml:space="preserve">0.82/0.25/1.00</x:t>
        </x:is>
      </x:c>
      <x:c r="K331" s="595" t="inlineStr">
        <x:is>
          <x:t xml:space="preserve">V4-C｜EV +0.0017</x:t>
        </x:is>
      </x:c>
      <x:c r="L331" s="595" t="inlineStr">
        <x:is>
          <x:t xml:space="preserve">甘拿斯亚迪罗</x:t>
        </x:is>
      </x:c>
      <x:c r="M331" s="597" t="n">
        <x:v>0.5010224948875256</x:v>
      </x:c>
      <x:c r="N331" s="595" t="inlineStr">
        <x:is>
          <x:t xml:space="preserve">V4纸面入选-C</x:t>
        </x:is>
      </x:c>
      <x:c r="O331" s="595" t="inlineStr">
        <x:is>
          <x:t xml:space="preserve">1-0</x:t>
        </x:is>
      </x:c>
      <x:c r="P331" s="595" t="inlineStr">
        <x:is>
          <x:t xml:space="preserve">已结算</x:t>
        </x:is>
      </x:c>
      <x:c r="Q331" s="641" t="inlineStr">
        <x:is>
          <x:t xml:space="preserve">黑</x:t>
        </x:is>
      </x:c>
      <x:c r="R331" s="599" t="n">
        <x:v>1</x:v>
      </x:c>
      <x:c r="S331" s="599" t="n">
        <x:f>IF(OR(Q331="",Q331="待结算"),"",IF(Q331="红",R331,IF(Q331="半红",R331*0.5,IF(Q331="走",0,IF(Q331="半黑",-0.5,-1)))))</x:f>
        <x:v>-1</x:v>
      </x:c>
      <x:c r="T331" s="595" t="inlineStr">
        <x:is>
          <x:t xml:space="preserve">https://zq.titan007.com/analysis/2916682cn.htm</x:t>
        </x:is>
      </x:c>
      <x:c r="U331" s="640" t="str">
        <x:f>IF(Q331="","",IF(Q331="待结算","待结算",IF(Q331="红","黑",IF(Q331="半红","半黑",IF(Q331="走","走",IF(Q331="半黑","半红","红"))))))</x:f>
        <x:v>红</x:v>
      </x:c>
      <x:c r="V331" s="599" t="n">
        <x:f>IF(OR(Q331="",Q331="待结算"),"",IF(L331=LEFT(F331,FIND(" vs ",F331)-1),I331,G331))</x:f>
        <x:v>0.82</x:v>
      </x:c>
      <x:c r="W331" s="599" t="n">
        <x:f>IF(OR(U331="",U331="待结算"),"",IF(U331="红",V331,IF(U331="半红",V331*0.5,IF(U331="走",0,IF(U331="半黑",-0.5,-1)))))</x:f>
        <x:v>0.82</x:v>
      </x:c>
      <x:c r="X331" s="595" t="inlineStr">
        <x:is>
          <x:t xml:space="preserve">2916682</x:t>
        </x:is>
      </x:c>
      <x:c r="Y331" s="595" t="inlineStr">
        <x:is>
          <x:t xml:space="preserve">v4-market-dirichlet-20260913</x:t>
        </x:is>
      </x:c>
      <x:c r="Z331" s="595" t="inlineStr">
        <x:is>
          <x:t xml:space="preserve">prior-2026-09-20-v1</x:t>
        </x:is>
      </x:c>
      <x:c r="AA331" s="595" t="inlineStr">
        <x:is>
          <x:t xml:space="preserve">C</x:t>
        </x:is>
      </x:c>
      <x:c r="AB331" s="600" t="n">
        <x:v>0.2743055555555556</x:v>
      </x:c>
      <x:c r="AC331" s="600" t="n">
        <x:v>0.3020833333333333</x:v>
      </x:c>
      <x:c r="AD331" s="600" t="n">
        <x:v>0</x:v>
      </x:c>
      <x:c r="AE331" s="600" t="n">
        <x:v>0</x:v>
      </x:c>
      <x:c r="AF331" s="600" t="n">
        <x:v>0.4236111111111111</x:v>
      </x:c>
      <x:c r="AG331" s="600" t="n">
        <x:v>0.001736111111111105</x:v>
      </x:c>
      <x:c r="AH331" s="600" t="n">
        <x:v>-0.08444052869636676</x:v>
      </x:c>
      <x:c r="AI331" s="600" t="n">
        <x:v>-0.06487276901015954</x:v>
      </x:c>
      <x:c r="AJ331" s="600" t="n">
        <x:v>0.001389931435489711</x:v>
      </x:c>
      <x:c r="AK331" s="600" t="n">
        <x:v>0.06761460109767131</x:v>
      </x:c>
      <x:c r="AL331" s="600" t="n">
        <x:v>0.08489637889691759</x:v>
      </x:c>
      <x:c r="AM331" s="600" t="n">
        <x:v>0.5142</x:v>
      </x:c>
      <x:c r="AN331" s="595" t="inlineStr">
        <x:is>
          <x:t xml:space="preserve">EVALUATED</x:t>
        </x:is>
      </x:c>
      <x:c r="AO331" s="600" t="inlineStr">
        <x:is>
          <x:t xml:space="preserve">BUCKET_0.25、SIDE_IDENTITY_VALID、FLAT_LINE_GIVING_WATER_RISE</x:t>
        </x:is>
      </x:c>
      <x:c r="AP331" s="600" t="inlineStr">
        <x:is>
          <x:t xml:space="preserve">25101f317f3cf123a781</x:t>
        </x:is>
      </x:c>
      <x:c r="AQ331" s="600" t="n">
        <x:v>0.25</x:v>
      </x:c>
      <x:c r="AR331" s="600" t="n">
        <x:v>1</x:v>
      </x:c>
      <x:c r="AS331" s="600" t="n">
        <x:v>-0.25</x:v>
      </x:c>
      <x:c r="AT331" s="600" t="n">
        <x:v>0.25</x:v>
      </x:c>
      <x:c r="AU331" s="600" t="n">
        <x:v>0.82</x:v>
      </x:c>
      <x:c r="AV331" s="600" t="n">
        <x:v>1</x:v>
      </x:c>
      <x:c r="AW331" s="595" t="n">
        <x:v>46285.58031267361</x:v>
      </x:c>
      <x:c r="AX331" s="595" t="inlineStr">
        <x:is>
          <x:t xml:space="preserve">https://simondongxiao.github.io/odds/v4/</x:t>
        </x:is>
      </x:c>
      <x:c r="AY331" s="595" t="inlineStr">
        <x:is>
          <x:t xml:space="preserve">V4 Shadow Only；real_money=false；比分差异详见记录审计</x:t>
        </x:is>
      </x:c>
    </x:row>
    <x:row r="332" ht="22" customHeight="1">
      <x:c r="A332" s="595" t="inlineStr">
        <x:is>
          <x:t xml:space="preserve">2026-09-20</x:t>
        </x:is>
      </x:c>
      <x:c r="B332" s="595" t="inlineStr">
        <x:is>
          <x:t xml:space="preserve">2026-09-21 02:15</x:t>
        </x:is>
      </x:c>
      <x:c r="C332" s="595" t="str">
        <x:v>欧洲非五大系列</x:v>
      </x:c>
      <x:c r="D332" s="595" t="inlineStr">
        <x:is>
          <x:t xml:space="preserve">联赛</x:t>
        </x:is>
      </x:c>
      <x:c r="E332" s="595" t="inlineStr">
        <x:is>
          <x:t xml:space="preserve">波兰超</x:t>
        </x:is>
      </x:c>
      <x:c r="F332" s="595" t="inlineStr">
        <x:is>
          <x:t xml:space="preserve">波兹南莱赫 vs 拉多麦科</x:t>
        </x:is>
      </x:c>
      <x:c r="G332" s="596" t="n">
        <x:v>0.99</x:v>
      </x:c>
      <x:c r="H332" s="596" t="n">
        <x:v>1.5</x:v>
      </x:c>
      <x:c r="I332" s="596" t="n">
        <x:v>0.89</x:v>
      </x:c>
      <x:c r="J332" s="596" t="inlineStr">
        <x:is>
          <x:t xml:space="preserve">0.99/1.5/0.89</x:t>
        </x:is>
      </x:c>
      <x:c r="K332" s="595" t="inlineStr">
        <x:is>
          <x:t xml:space="preserve">V4-B｜EV +0.1816</x:t>
        </x:is>
      </x:c>
      <x:c r="L332" s="595" t="inlineStr">
        <x:is>
          <x:t xml:space="preserve">波兹南莱赫</x:t>
        </x:is>
      </x:c>
      <x:c r="M332" s="597" t="n">
        <x:v>0.59375</x:v>
      </x:c>
      <x:c r="N332" s="595" t="inlineStr">
        <x:is>
          <x:t xml:space="preserve">V4纸面入选-B</x:t>
        </x:is>
      </x:c>
      <x:c r="O332" s="595" t="inlineStr">
        <x:is>
          <x:t xml:space="preserve">5-1</x:t>
        </x:is>
      </x:c>
      <x:c r="P332" s="595" t="inlineStr">
        <x:is>
          <x:t xml:space="preserve">已结算</x:t>
        </x:is>
      </x:c>
      <x:c r="Q332" s="640" t="inlineStr">
        <x:is>
          <x:t xml:space="preserve">红</x:t>
        </x:is>
      </x:c>
      <x:c r="R332" s="599" t="n">
        <x:v>0.99</x:v>
      </x:c>
      <x:c r="S332" s="599" t="n">
        <x:f>IF(OR(Q332="",Q332="待结算"),"",IF(Q332="红",R332,IF(Q332="半红",R332*0.5,IF(Q332="走",0,IF(Q332="半黑",-0.5,-1)))))</x:f>
        <x:v>0.99</x:v>
      </x:c>
      <x:c r="T332" s="595" t="inlineStr">
        <x:is>
          <x:t xml:space="preserve">https://zq.titan007.com/analysis/3003155cn.htm</x:t>
        </x:is>
      </x:c>
      <x:c r="U332" s="641" t="str">
        <x:f>IF(Q332="","",IF(Q332="待结算","待结算",IF(Q332="红","黑",IF(Q332="半红","半黑",IF(Q332="走","走",IF(Q332="半黑","半红","红"))))))</x:f>
        <x:v>黑</x:v>
      </x:c>
      <x:c r="V332" s="599" t="n">
        <x:f>IF(OR(Q332="",Q332="待结算"),"",IF(L332=LEFT(F332,FIND(" vs ",F332)-1),I332,G332))</x:f>
        <x:v>0.89</x:v>
      </x:c>
      <x:c r="W332" s="599" t="n">
        <x:f>IF(OR(U332="",U332="待结算"),"",IF(U332="红",V332,IF(U332="半红",V332*0.5,IF(U332="走",0,IF(U332="半黑",-0.5,-1)))))</x:f>
        <x:v>-1</x:v>
      </x:c>
      <x:c r="X332" s="595" t="inlineStr">
        <x:is>
          <x:t xml:space="preserve">3003155</x:t>
        </x:is>
      </x:c>
      <x:c r="Y332" s="595" t="inlineStr">
        <x:is>
          <x:t xml:space="preserve">v4-market-dirichlet-20260913</x:t>
        </x:is>
      </x:c>
      <x:c r="Z332" s="595" t="inlineStr">
        <x:is>
          <x:t xml:space="preserve">prior-2026-09-20-v1</x:t>
        </x:is>
      </x:c>
      <x:c r="AA332" s="595" t="inlineStr">
        <x:is>
          <x:t xml:space="preserve">B</x:t>
        </x:is>
      </x:c>
      <x:c r="AB332" s="600" t="n">
        <x:v>0.59375</x:v>
      </x:c>
      <x:c r="AC332" s="600" t="n">
        <x:v>0</x:v>
      </x:c>
      <x:c r="AD332" s="600" t="n">
        <x:v>0</x:v>
      </x:c>
      <x:c r="AE332" s="600" t="n">
        <x:v>0</x:v>
      </x:c>
      <x:c r="AF332" s="600" t="n">
        <x:v>0.40625</x:v>
      </x:c>
      <x:c r="AG332" s="600" t="n">
        <x:v>0.1815625</x:v>
      </x:c>
      <x:c r="AH332" s="600" t="n">
        <x:v>-0.1040292221166348</x:v>
      </x:c>
      <x:c r="AI332" s="600" t="n">
        <x:v>-0.04271692604964866</x:v>
      </x:c>
      <x:c r="AJ332" s="600" t="n">
        <x:v>0.1839047689888209</x:v>
      </x:c>
      <x:c r="AK332" s="600" t="n">
        <x:v>0.4027020057577849</x:v>
      </x:c>
      <x:c r="AL332" s="600" t="n">
        <x:v>0.4568458605465482</x:v>
      </x:c>
      <x:c r="AM332" s="600" t="n">
        <x:v>0.8544</x:v>
      </x:c>
      <x:c r="AN332" s="595" t="inlineStr">
        <x:is>
          <x:t xml:space="preserve">EVALUATED</x:t>
        </x:is>
      </x:c>
      <x:c r="AO332" s="600" t="inlineStr">
        <x:is>
          <x:t xml:space="preserve">BUCKET_1.50、SIDE_IDENTITY_VALID、MARKET_MOVE_SHALLOWER_WITH_GIVING_WATER_DROP</x:t>
        </x:is>
      </x:c>
      <x:c r="AP332" s="600" t="inlineStr">
        <x:is>
          <x:t xml:space="preserve">4c1912cff79082204364</x:t>
        </x:is>
      </x:c>
      <x:c r="AQ332" s="600" t="n">
        <x:v>-1.5</x:v>
      </x:c>
      <x:c r="AR332" s="600" t="n">
        <x:v>0.99</x:v>
      </x:c>
      <x:c r="AS332" s="600" t="n">
        <x:v>-1.5</x:v>
      </x:c>
      <x:c r="AT332" s="600" t="n">
        <x:v>1.5</x:v>
      </x:c>
      <x:c r="AU332" s="600" t="n">
        <x:v>0.99</x:v>
      </x:c>
      <x:c r="AV332" s="600" t="n">
        <x:v>0.89</x:v>
      </x:c>
      <x:c r="AW332" s="595" t="n">
        <x:v>46285.58031267361</x:v>
      </x:c>
      <x:c r="AX332" s="595" t="inlineStr">
        <x:is>
          <x:t xml:space="preserve">https://simondongxiao.github.io/odds/v4/</x:t>
        </x:is>
      </x:c>
      <x:c r="AY332" s="595" t="inlineStr">
        <x:is>
          <x:t xml:space="preserve">V4 Shadow Only；real_money=false；比分差异详见记录审计</x:t>
        </x:is>
      </x:c>
    </x:row>
    <x:row r="333" ht="22" customHeight="1">
      <x:c r="A333" s="595" t="inlineStr">
        <x:is>
          <x:t xml:space="preserve">2026-09-20</x:t>
        </x:is>
      </x:c>
      <x:c r="B333" s="595" t="inlineStr">
        <x:is>
          <x:t xml:space="preserve">2026-09-21 02:15</x:t>
        </x:is>
      </x:c>
      <x:c r="C333" s="595" t="str">
        <x:v>欧洲非五大系列</x:v>
      </x:c>
      <x:c r="D333" s="595" t="inlineStr">
        <x:is>
          <x:t xml:space="preserve">联赛</x:t>
        </x:is>
      </x:c>
      <x:c r="E333" s="595" t="inlineStr">
        <x:is>
          <x:t xml:space="preserve">斯亚甲</x:t>
        </x:is>
      </x:c>
      <x:c r="F333" s="595" t="inlineStr">
        <x:is>
          <x:t xml:space="preserve">布里涅格罗苏普列 vs 雷都米结</x:t>
        </x:is>
      </x:c>
      <x:c r="G333" s="596" t="n">
        <x:v>0.82</x:v>
      </x:c>
      <x:c r="H333" s="596" t="n">
        <x:v>0.25</x:v>
      </x:c>
      <x:c r="I333" s="596" t="n">
        <x:v>1</x:v>
      </x:c>
      <x:c r="J333" s="596" t="inlineStr">
        <x:is>
          <x:t xml:space="preserve">0.82/0.25/1.00</x:t>
        </x:is>
      </x:c>
      <x:c r="K333" s="595" t="inlineStr">
        <x:is>
          <x:t xml:space="preserve">V4-C｜EV +0.0017</x:t>
        </x:is>
      </x:c>
      <x:c r="L333" s="595" t="inlineStr">
        <x:is>
          <x:t xml:space="preserve">雷都米结</x:t>
        </x:is>
      </x:c>
      <x:c r="M333" s="597" t="n">
        <x:v>0.5010224948875256</x:v>
      </x:c>
      <x:c r="N333" s="595" t="inlineStr">
        <x:is>
          <x:t xml:space="preserve">V4纸面入选-C</x:t>
        </x:is>
      </x:c>
      <x:c r="O333" s="595" t="inlineStr">
        <x:is>
          <x:t xml:space="preserve">2-1</x:t>
        </x:is>
      </x:c>
      <x:c r="P333" s="595" t="inlineStr">
        <x:is>
          <x:t xml:space="preserve">已结算</x:t>
        </x:is>
      </x:c>
      <x:c r="Q333" s="641" t="inlineStr">
        <x:is>
          <x:t xml:space="preserve">黑</x:t>
        </x:is>
      </x:c>
      <x:c r="R333" s="599" t="n">
        <x:v>1</x:v>
      </x:c>
      <x:c r="S333" s="599" t="n">
        <x:f>IF(OR(Q333="",Q333="待结算"),"",IF(Q333="红",R333,IF(Q333="半红",R333*0.5,IF(Q333="走",0,IF(Q333="半黑",-0.5,-1)))))</x:f>
        <x:v>-1</x:v>
      </x:c>
      <x:c r="T333" s="595" t="inlineStr">
        <x:is>
          <x:t xml:space="preserve">https://zq.titan007.com/analysis/3005788cn.htm</x:t>
        </x:is>
      </x:c>
      <x:c r="U333" s="640" t="str">
        <x:f>IF(Q333="","",IF(Q333="待结算","待结算",IF(Q333="红","黑",IF(Q333="半红","半黑",IF(Q333="走","走",IF(Q333="半黑","半红","红"))))))</x:f>
        <x:v>红</x:v>
      </x:c>
      <x:c r="V333" s="599" t="n">
        <x:f>IF(OR(Q333="",Q333="待结算"),"",IF(L333=LEFT(F333,FIND(" vs ",F333)-1),I333,G333))</x:f>
        <x:v>0.82</x:v>
      </x:c>
      <x:c r="W333" s="599" t="n">
        <x:f>IF(OR(U333="",U333="待结算"),"",IF(U333="红",V333,IF(U333="半红",V333*0.5,IF(U333="走",0,IF(U333="半黑",-0.5,-1)))))</x:f>
        <x:v>0.82</x:v>
      </x:c>
      <x:c r="X333" s="595" t="inlineStr">
        <x:is>
          <x:t xml:space="preserve">3005788</x:t>
        </x:is>
      </x:c>
      <x:c r="Y333" s="595" t="inlineStr">
        <x:is>
          <x:t xml:space="preserve">v4-market-dirichlet-20260913</x:t>
        </x:is>
      </x:c>
      <x:c r="Z333" s="595" t="inlineStr">
        <x:is>
          <x:t xml:space="preserve">prior-2026-09-20-v1</x:t>
        </x:is>
      </x:c>
      <x:c r="AA333" s="595" t="inlineStr">
        <x:is>
          <x:t xml:space="preserve">C</x:t>
        </x:is>
      </x:c>
      <x:c r="AB333" s="600" t="n">
        <x:v>0.2743055555555556</x:v>
      </x:c>
      <x:c r="AC333" s="600" t="n">
        <x:v>0.3020833333333333</x:v>
      </x:c>
      <x:c r="AD333" s="600" t="n">
        <x:v>0</x:v>
      </x:c>
      <x:c r="AE333" s="600" t="n">
        <x:v>0</x:v>
      </x:c>
      <x:c r="AF333" s="600" t="n">
        <x:v>0.4236111111111111</x:v>
      </x:c>
      <x:c r="AG333" s="600" t="n">
        <x:v>0.001736111111111105</x:v>
      </x:c>
      <x:c r="AH333" s="600" t="n">
        <x:v>-0.08304411146699486</x:v>
      </x:c>
      <x:c r="AI333" s="600" t="n">
        <x:v>-0.06391059782481934</x:v>
      </x:c>
      <x:c r="AJ333" s="600" t="n">
        <x:v>0.001571290143588422</x:v>
      </x:c>
      <x:c r="AK333" s="600" t="n">
        <x:v>0.06721572885671528</x:v>
      </x:c>
      <x:c r="AL333" s="600" t="n">
        <x:v>0.08508904871978579</x:v>
      </x:c>
      <x:c r="AM333" s="600" t="n">
        <x:v>0.5144</x:v>
      </x:c>
      <x:c r="AN333" s="595" t="inlineStr">
        <x:is>
          <x:t xml:space="preserve">EVALUATED</x:t>
        </x:is>
      </x:c>
      <x:c r="AO333" s="600" t="inlineStr">
        <x:is>
          <x:t xml:space="preserve">BUCKET_0.25、SIDE_IDENTITY_VALID、FLAT_LINE_GIVING_WATER_RISE</x:t>
        </x:is>
      </x:c>
      <x:c r="AP333" s="600" t="inlineStr">
        <x:is>
          <x:t xml:space="preserve">bbbf5d2676e3a005db18</x:t>
        </x:is>
      </x:c>
      <x:c r="AQ333" s="600" t="n">
        <x:v>0.25</x:v>
      </x:c>
      <x:c r="AR333" s="600" t="n">
        <x:v>1</x:v>
      </x:c>
      <x:c r="AS333" s="600" t="n">
        <x:v>-0.25</x:v>
      </x:c>
      <x:c r="AT333" s="600" t="n">
        <x:v>0.25</x:v>
      </x:c>
      <x:c r="AU333" s="600" t="n">
        <x:v>0.82</x:v>
      </x:c>
      <x:c r="AV333" s="600" t="n">
        <x:v>1</x:v>
      </x:c>
      <x:c r="AW333" s="595" t="n">
        <x:v>46285.58031267361</x:v>
      </x:c>
      <x:c r="AX333" s="595" t="inlineStr">
        <x:is>
          <x:t xml:space="preserve">https://simondongxiao.github.io/odds/v4/</x:t>
        </x:is>
      </x:c>
      <x:c r="AY333" s="595" t="inlineStr">
        <x:is>
          <x:t xml:space="preserve">V4 Shadow Only；real_money=false；比分差异详见记录审计</x:t>
        </x:is>
      </x:c>
    </x:row>
    <x:row r="334" ht="22" customHeight="1">
      <x:c r="A334" s="595" t="inlineStr">
        <x:is>
          <x:t xml:space="preserve">2026-09-20</x:t>
        </x:is>
      </x:c>
      <x:c r="B334" s="595" t="inlineStr">
        <x:is>
          <x:t xml:space="preserve">2026-09-21 02:30</x:t>
        </x:is>
      </x:c>
      <x:c r="C334" s="595" t="str">
        <x:v>五大联赛非顶级联赛</x:v>
      </x:c>
      <x:c r="D334" s="595" t="inlineStr">
        <x:is>
          <x:t xml:space="preserve">联赛</x:t>
        </x:is>
      </x:c>
      <x:c r="E334" s="595" t="inlineStr">
        <x:is>
          <x:t xml:space="preserve">西协甲</x:t>
        </x:is>
      </x:c>
      <x:c r="F334" s="595" t="inlineStr">
        <x:is>
          <x:t xml:space="preserve">萨拉戈萨 vs 卡塔赫纳</x:t>
        </x:is>
      </x:c>
      <x:c r="G334" s="596" t="n">
        <x:v>0.75</x:v>
      </x:c>
      <x:c r="H334" s="596" t="n">
        <x:v>0.75</x:v>
      </x:c>
      <x:c r="I334" s="596" t="n">
        <x:v>1.01</x:v>
      </x:c>
      <x:c r="J334" s="596" t="inlineStr">
        <x:is>
          <x:t xml:space="preserve">0.75/0.75/1.01</x:t>
        </x:is>
      </x:c>
      <x:c r="K334" s="595" t="inlineStr">
        <x:is>
          <x:t xml:space="preserve">V4-C｜EV +0.0169</x:t>
        </x:is>
      </x:c>
      <x:c r="L334" s="595" t="inlineStr">
        <x:is>
          <x:t xml:space="preserve">卡塔赫纳</x:t>
        </x:is>
      </x:c>
      <x:c r="M334" s="597" t="n">
        <x:v>0.5071770334928229</x:v>
      </x:c>
      <x:c r="N334" s="595" t="inlineStr">
        <x:is>
          <x:t xml:space="preserve">V4纸面入选-C</x:t>
        </x:is>
      </x:c>
      <x:c r="O334" s="595" t="inlineStr">
        <x:is>
          <x:t xml:space="preserve">1-0</x:t>
        </x:is>
      </x:c>
      <x:c r="P334" s="595" t="inlineStr">
        <x:is>
          <x:t xml:space="preserve">已结算</x:t>
        </x:is>
      </x:c>
      <x:c r="Q334" s="643" t="inlineStr">
        <x:is>
          <x:t xml:space="preserve">半黑</x:t>
        </x:is>
      </x:c>
      <x:c r="R334" s="599" t="n">
        <x:v>1.01</x:v>
      </x:c>
      <x:c r="S334" s="599" t="n">
        <x:f>IF(OR(Q334="",Q334="待结算"),"",IF(Q334="红",R334,IF(Q334="半红",R334*0.5,IF(Q334="走",0,IF(Q334="半黑",-0.5,-1)))))</x:f>
        <x:v>-0.5</x:v>
      </x:c>
      <x:c r="T334" s="595" t="inlineStr">
        <x:is>
          <x:t xml:space="preserve">https://zq.titan007.com/analysis/3014903cn.htm</x:t>
        </x:is>
      </x:c>
      <x:c r="U334" s="642" t="str">
        <x:f>IF(Q334="","",IF(Q334="待结算","待结算",IF(Q334="红","黑",IF(Q334="半红","半黑",IF(Q334="走","走",IF(Q334="半黑","半红","红"))))))</x:f>
        <x:v>半红</x:v>
      </x:c>
      <x:c r="V334" s="599" t="n">
        <x:f>IF(OR(Q334="",Q334="待结算"),"",IF(L334=LEFT(F334,FIND(" vs ",F334)-1),I334,G334))</x:f>
        <x:v>0.75</x:v>
      </x:c>
      <x:c r="W334" s="599" t="n">
        <x:f>IF(OR(U334="",U334="待结算"),"",IF(U334="红",V334,IF(U334="半红",V334*0.5,IF(U334="走",0,IF(U334="半黑",-0.5,-1)))))</x:f>
        <x:v>0.375</x:v>
      </x:c>
      <x:c r="X334" s="595" t="inlineStr">
        <x:is>
          <x:t xml:space="preserve">3014903</x:t>
        </x:is>
      </x:c>
      <x:c r="Y334" s="595" t="inlineStr">
        <x:is>
          <x:t xml:space="preserve">v4-market-dirichlet-20260913</x:t>
        </x:is>
      </x:c>
      <x:c r="Z334" s="595" t="inlineStr">
        <x:is>
          <x:t xml:space="preserve">prior-2026-09-20-v1</x:t>
        </x:is>
      </x:c>
      <x:c r="AA334" s="595" t="inlineStr">
        <x:is>
          <x:t xml:space="preserve">C</x:t>
        </x:is>
      </x:c>
      <x:c r="AB334" s="600" t="n">
        <x:v>0.4416666666666667</x:v>
      </x:c>
      <x:c r="AC334" s="600" t="n">
        <x:v>0</x:v>
      </x:c>
      <x:c r="AD334" s="600" t="n">
        <x:v>0</x:v>
      </x:c>
      <x:c r="AE334" s="600" t="n">
        <x:v>0.2583333333333334</x:v>
      </x:c>
      <x:c r="AF334" s="600" t="n">
        <x:v>0.3</x:v>
      </x:c>
      <x:c r="AG334" s="600" t="n">
        <x:v>0.01691666666666664</x:v>
      </x:c>
      <x:c r="AH334" s="600" t="n">
        <x:v>-0.1214628022929451</x:v>
      </x:c>
      <x:c r="AI334" s="600" t="n">
        <x:v>-0.08961015686579954</x:v>
      </x:c>
      <x:c r="AJ334" s="600" t="n">
        <x:v>0.0169311481656545</x:v>
      </x:c>
      <x:c r="AK334" s="600" t="n">
        <x:v>0.1241588446350901</x:v>
      </x:c>
      <x:c r="AL334" s="600" t="n">
        <x:v>0.1537369648550665</x:v>
      </x:c>
      <x:c r="AM334" s="600" t="n">
        <x:v>0.583</x:v>
      </x:c>
      <x:c r="AN334" s="595" t="inlineStr">
        <x:is>
          <x:t xml:space="preserve">EVALUATED</x:t>
        </x:is>
      </x:c>
      <x:c r="AO334" s="600" t="inlineStr">
        <x:is>
          <x:t xml:space="preserve">BUCKET_0.75、SIDE_IDENTITY_VALID、FLAT_LINE_GIVING_WATER_DROP</x:t>
        </x:is>
      </x:c>
      <x:c r="AP334" s="600" t="inlineStr">
        <x:is>
          <x:t xml:space="preserve">63fa77f1f3dccc24a96f</x:t>
        </x:is>
      </x:c>
      <x:c r="AQ334" s="600" t="n">
        <x:v>0.75</x:v>
      </x:c>
      <x:c r="AR334" s="600" t="n">
        <x:v>1.01</x:v>
      </x:c>
      <x:c r="AS334" s="600" t="n">
        <x:v>-0.75</x:v>
      </x:c>
      <x:c r="AT334" s="600" t="n">
        <x:v>0.75</x:v>
      </x:c>
      <x:c r="AU334" s="600" t="n">
        <x:v>0.75</x:v>
      </x:c>
      <x:c r="AV334" s="600" t="n">
        <x:v>1.01</x:v>
      </x:c>
      <x:c r="AW334" s="595" t="n">
        <x:v>46285.58031267361</x:v>
      </x:c>
      <x:c r="AX334" s="595" t="inlineStr">
        <x:is>
          <x:t xml:space="preserve">https://simondongxiao.github.io/odds/v4/</x:t>
        </x:is>
      </x:c>
      <x:c r="AY334" s="595" t="inlineStr">
        <x:is>
          <x:t xml:space="preserve">V4 Shadow Only；real_money=false；比分差异详见记录审计</x:t>
        </x:is>
      </x:c>
    </x:row>
    <x:row r="335" ht="22" customHeight="1">
      <x:c r="A335" s="595" t="inlineStr">
        <x:is>
          <x:t xml:space="preserve">2026-09-20</x:t>
        </x:is>
      </x:c>
      <x:c r="B335" s="595" t="inlineStr">
        <x:is>
          <x:t xml:space="preserve">2026-09-21 02:30</x:t>
        </x:is>
      </x:c>
      <x:c r="C335" s="595" t="str">
        <x:v>五大联赛非顶级联赛</x:v>
      </x:c>
      <x:c r="D335" s="595" t="inlineStr">
        <x:is>
          <x:t xml:space="preserve">联赛</x:t>
        </x:is>
      </x:c>
      <x:c r="E335" s="595" t="inlineStr">
        <x:is>
          <x:t xml:space="preserve">意丙</x:t>
        </x:is>
      </x:c>
      <x:c r="F335" s="595" t="inlineStr">
        <x:is>
          <x:t xml:space="preserve">格罗瑟托 vs 佩鲁贾</x:t>
        </x:is>
      </x:c>
      <x:c r="G335" s="596" t="n">
        <x:v>0.67</x:v>
      </x:c>
      <x:c r="H335" s="596" t="n">
        <x:v>-0.25</x:v>
      </x:c>
      <x:c r="I335" s="596" t="n">
        <x:v>1.03</x:v>
      </x:c>
      <x:c r="J335" s="596" t="inlineStr">
        <x:is>
          <x:t xml:space="preserve">0.67/-0.25/1.03</x:t>
        </x:is>
      </x:c>
      <x:c r="K335" s="595" t="inlineStr">
        <x:is>
          <x:t xml:space="preserve">V4-C｜EV +0.0110</x:t>
        </x:is>
      </x:c>
      <x:c r="L335" s="595" t="inlineStr">
        <x:is>
          <x:t xml:space="preserve">佩鲁贾</x:t>
        </x:is>
      </x:c>
      <x:c r="M335" s="597" t="n">
        <x:v>0.4989775051124744</x:v>
      </x:c>
      <x:c r="N335" s="595" t="inlineStr">
        <x:is>
          <x:t xml:space="preserve">V4纸面入选-C</x:t>
        </x:is>
      </x:c>
      <x:c r="O335" s="595" t="inlineStr">
        <x:is>
          <x:t xml:space="preserve">2-0</x:t>
        </x:is>
      </x:c>
      <x:c r="P335" s="595" t="inlineStr">
        <x:is>
          <x:t xml:space="preserve">已结算</x:t>
        </x:is>
      </x:c>
      <x:c r="Q335" s="641" t="inlineStr">
        <x:is>
          <x:t xml:space="preserve">黑</x:t>
        </x:is>
      </x:c>
      <x:c r="R335" s="599" t="n">
        <x:v>1.03</x:v>
      </x:c>
      <x:c r="S335" s="599" t="n">
        <x:f>IF(OR(Q335="",Q335="待结算"),"",IF(Q335="红",R335,IF(Q335="半红",R335*0.5,IF(Q335="走",0,IF(Q335="半黑",-0.5,-1)))))</x:f>
        <x:v>-1</x:v>
      </x:c>
      <x:c r="T335" s="595" t="inlineStr">
        <x:is>
          <x:t xml:space="preserve">https://zq.titan007.com/analysis/3050934cn.htm</x:t>
        </x:is>
      </x:c>
      <x:c r="U335" s="640" t="str">
        <x:f>IF(Q335="","",IF(Q335="待结算","待结算",IF(Q335="红","黑",IF(Q335="半红","半黑",IF(Q335="走","走",IF(Q335="半黑","半红","红"))))))</x:f>
        <x:v>红</x:v>
      </x:c>
      <x:c r="V335" s="599" t="n">
        <x:f>IF(OR(Q335="",Q335="待结算"),"",IF(L335=LEFT(F335,FIND(" vs ",F335)-1),I335,G335))</x:f>
        <x:v>0.67</x:v>
      </x:c>
      <x:c r="W335" s="599" t="n">
        <x:f>IF(OR(U335="",U335="待结算"),"",IF(U335="红",V335,IF(U335="半红",V335*0.5,IF(U335="走",0,IF(U335="半黑",-0.5,-1)))))</x:f>
        <x:v>0.67</x:v>
      </x:c>
      <x:c r="X335" s="595" t="inlineStr">
        <x:is>
          <x:t xml:space="preserve">3050934</x:t>
        </x:is>
      </x:c>
      <x:c r="Y335" s="595" t="inlineStr">
        <x:is>
          <x:t xml:space="preserve">v4-market-dirichlet-20260913</x:t>
        </x:is>
      </x:c>
      <x:c r="Z335" s="595" t="inlineStr">
        <x:is>
          <x:t xml:space="preserve">prior-2026-09-20-v1</x:t>
        </x:is>
      </x:c>
      <x:c r="AA335" s="595" t="inlineStr">
        <x:is>
          <x:t xml:space="preserve">C</x:t>
        </x:is>
      </x:c>
      <x:c r="AB335" s="600" t="n">
        <x:v>0.4236111111111111</x:v>
      </x:c>
      <x:c r="AC335" s="600" t="n">
        <x:v>0</x:v>
      </x:c>
      <x:c r="AD335" s="600" t="n">
        <x:v>0</x:v>
      </x:c>
      <x:c r="AE335" s="600" t="n">
        <x:v>0.3020833333333333</x:v>
      </x:c>
      <x:c r="AF335" s="600" t="n">
        <x:v>0.2743055555555556</x:v>
      </x:c>
      <x:c r="AG335" s="600" t="n">
        <x:v>0.01097222222222216</x:v>
      </x:c>
      <x:c r="AH335" s="600" t="n">
        <x:v>-0.07169997746295426</x:v>
      </x:c>
      <x:c r="AI335" s="600" t="n">
        <x:v>-0.0539966109551443</x:v>
      </x:c>
      <x:c r="AJ335" s="600" t="n">
        <x:v>0.01094323897147365</x:v>
      </x:c>
      <x:c r="AK335" s="600" t="n">
        <x:v>0.0779799557113342</x:v>
      </x:c>
      <x:c r="AL335" s="600" t="n">
        <x:v>0.09628594456035394</x:v>
      </x:c>
      <x:c r="AM335" s="600" t="n">
        <x:v>0.5921999999999999</x:v>
      </x:c>
      <x:c r="AN335" s="595" t="inlineStr">
        <x:is>
          <x:t xml:space="preserve">EVALUATED</x:t>
        </x:is>
      </x:c>
      <x:c r="AO335" s="600" t="inlineStr">
        <x:is>
          <x:t xml:space="preserve">BUCKET_0.25、SIDE_IDENTITY_VALID、MARKET_MOVE_DEEPER_WITH_GIVING_WATER_RISE</x:t>
        </x:is>
      </x:c>
      <x:c r="AP335" s="600" t="inlineStr">
        <x:is>
          <x:t xml:space="preserve">20bffbbfafb519b44b07</x:t>
        </x:is>
      </x:c>
      <x:c r="AQ335" s="600" t="n">
        <x:v>-0.25</x:v>
      </x:c>
      <x:c r="AR335" s="600" t="n">
        <x:v>1.03</x:v>
      </x:c>
      <x:c r="AS335" s="600" t="n">
        <x:v>0.25</x:v>
      </x:c>
      <x:c r="AT335" s="600" t="n">
        <x:v>-0.25</x:v>
      </x:c>
      <x:c r="AU335" s="600" t="n">
        <x:v>0.67</x:v>
      </x:c>
      <x:c r="AV335" s="600" t="n">
        <x:v>1.03</x:v>
      </x:c>
      <x:c r="AW335" s="595" t="n">
        <x:v>46285.58031267361</x:v>
      </x:c>
      <x:c r="AX335" s="595" t="inlineStr">
        <x:is>
          <x:t xml:space="preserve">https://simondongxiao.github.io/odds/v4/</x:t>
        </x:is>
      </x:c>
      <x:c r="AY335" s="595" t="inlineStr">
        <x:is>
          <x:t xml:space="preserve">V4 Shadow Only；real_money=false；比分差异详见记录审计</x:t>
        </x:is>
      </x:c>
    </x:row>
    <x:row r="336" ht="22" customHeight="1">
      <x:c r="A336" s="595" t="inlineStr">
        <x:is>
          <x:t xml:space="preserve">2026-09-20</x:t>
        </x:is>
      </x:c>
      <x:c r="B336" s="595" t="inlineStr">
        <x:is>
          <x:t xml:space="preserve">2026-09-21 02:30</x:t>
        </x:is>
      </x:c>
      <x:c r="C336" s="595" t="str">
        <x:v>南美系列</x:v>
      </x:c>
      <x:c r="D336" s="595" t="inlineStr">
        <x:is>
          <x:t xml:space="preserve">联赛</x:t>
        </x:is>
      </x:c>
      <x:c r="E336" s="595" t="inlineStr">
        <x:is>
          <x:t xml:space="preserve">厄瓜甲降</x:t>
        </x:is>
      </x:c>
      <x:c r="F336" s="595" t="inlineStr">
        <x:is>
          <x:t xml:space="preserve">特克尼克 vs 德芬</x:t>
        </x:is>
      </x:c>
      <x:c r="G336" s="596" t="n">
        <x:v>1.04</x:v>
      </x:c>
      <x:c r="H336" s="596" t="n">
        <x:v>0.5</x:v>
      </x:c>
      <x:c r="I336" s="596" t="n">
        <x:v>0.84</x:v>
      </x:c>
      <x:c r="J336" s="596" t="inlineStr">
        <x:is>
          <x:t xml:space="preserve">1.04/0.5/0.84</x:t>
        </x:is>
      </x:c>
      <x:c r="K336" s="595" t="inlineStr">
        <x:is>
          <x:t xml:space="preserve">V4-C｜EV +0.0142</x:t>
        </x:is>
      </x:c>
      <x:c r="L336" s="595" t="inlineStr">
        <x:is>
          <x:t xml:space="preserve">特克尼克</x:t>
        </x:is>
      </x:c>
      <x:c r="M336" s="597" t="n">
        <x:v>0.4971428571428572</x:v>
      </x:c>
      <x:c r="N336" s="595" t="inlineStr">
        <x:is>
          <x:t xml:space="preserve">V4纸面入选-C</x:t>
        </x:is>
      </x:c>
      <x:c r="O336" s="595" t="inlineStr">
        <x:is>
          <x:t xml:space="preserve">1-1</x:t>
        </x:is>
      </x:c>
      <x:c r="P336" s="595" t="inlineStr">
        <x:is>
          <x:t xml:space="preserve">已结算</x:t>
        </x:is>
      </x:c>
      <x:c r="Q336" s="641" t="inlineStr">
        <x:is>
          <x:t xml:space="preserve">黑</x:t>
        </x:is>
      </x:c>
      <x:c r="R336" s="599" t="n">
        <x:v>1.04</x:v>
      </x:c>
      <x:c r="S336" s="599" t="n">
        <x:f>IF(OR(Q336="",Q336="待结算"),"",IF(Q336="红",R336,IF(Q336="半红",R336*0.5,IF(Q336="走",0,IF(Q336="半黑",-0.5,-1)))))</x:f>
        <x:v>-1</x:v>
      </x:c>
      <x:c r="T336" s="595" t="inlineStr">
        <x:is>
          <x:t xml:space="preserve">https://zq.titan007.com/analysis/3091905cn.htm</x:t>
        </x:is>
      </x:c>
      <x:c r="U336" s="640" t="str">
        <x:f>IF(Q336="","",IF(Q336="待结算","待结算",IF(Q336="红","黑",IF(Q336="半红","半黑",IF(Q336="走","走",IF(Q336="半黑","半红","红"))))))</x:f>
        <x:v>红</x:v>
      </x:c>
      <x:c r="V336" s="599" t="n">
        <x:f>IF(OR(Q336="",Q336="待结算"),"",IF(L336=LEFT(F336,FIND(" vs ",F336)-1),I336,G336))</x:f>
        <x:v>0.84</x:v>
      </x:c>
      <x:c r="W336" s="599" t="n">
        <x:f>IF(OR(U336="",U336="待结算"),"",IF(U336="红",V336,IF(U336="半红",V336*0.5,IF(U336="走",0,IF(U336="半黑",-0.5,-1)))))</x:f>
        <x:v>0.84</x:v>
      </x:c>
      <x:c r="X336" s="595" t="inlineStr">
        <x:is>
          <x:t xml:space="preserve">3091905</x:t>
        </x:is>
      </x:c>
      <x:c r="Y336" s="595" t="inlineStr">
        <x:is>
          <x:t xml:space="preserve">v4-market-dirichlet-20260913</x:t>
        </x:is>
      </x:c>
      <x:c r="Z336" s="595" t="inlineStr">
        <x:is>
          <x:t xml:space="preserve">prior-2026-09-20-v1</x:t>
        </x:is>
      </x:c>
      <x:c r="AA336" s="595" t="inlineStr">
        <x:is>
          <x:t xml:space="preserve">C</x:t>
        </x:is>
      </x:c>
      <x:c r="AB336" s="600" t="n">
        <x:v>0.4971428571428572</x:v>
      </x:c>
      <x:c r="AC336" s="600" t="n">
        <x:v>0</x:v>
      </x:c>
      <x:c r="AD336" s="600" t="n">
        <x:v>0</x:v>
      </x:c>
      <x:c r="AE336" s="600" t="n">
        <x:v>0</x:v>
      </x:c>
      <x:c r="AF336" s="600" t="n">
        <x:v>0.5028571428571429</x:v>
      </x:c>
      <x:c r="AG336" s="600" t="n">
        <x:v>0.01417142857142861</x:v>
      </x:c>
      <x:c r="AH336" s="600" t="n">
        <x:v>-0.1107544231641022</x:v>
      </x:c>
      <x:c r="AI336" s="600" t="n">
        <x:v>-0.08223135178965613</x:v>
      </x:c>
      <x:c r="AJ336" s="600" t="n">
        <x:v>0.01364718731876469</x:v>
      </x:c>
      <x:c r="AK336" s="600" t="n">
        <x:v>0.1137408121688211</x:v>
      </x:c>
      <x:c r="AL336" s="600" t="n">
        <x:v>0.1401757052374429</x:v>
      </x:c>
      <x:c r="AM336" s="600" t="n">
        <x:v>0.569</x:v>
      </x:c>
      <x:c r="AN336" s="595" t="inlineStr">
        <x:is>
          <x:t xml:space="preserve">EVALUATED</x:t>
        </x:is>
      </x:c>
      <x:c r="AO336" s="600" t="inlineStr">
        <x:is>
          <x:t xml:space="preserve">BUCKET_0.50、SIDE_IDENTITY_VALID、MARKET_MOVE_DEEPER_WITH_GIVING_WATER_RISE</x:t>
        </x:is>
      </x:c>
      <x:c r="AP336" s="600" t="inlineStr">
        <x:is>
          <x:t xml:space="preserve">4965533b6a9728abc688</x:t>
        </x:is>
      </x:c>
      <x:c r="AQ336" s="600" t="n">
        <x:v>-0.5</x:v>
      </x:c>
      <x:c r="AR336" s="600" t="n">
        <x:v>1.04</x:v>
      </x:c>
      <x:c r="AS336" s="600" t="n">
        <x:v>-0.5</x:v>
      </x:c>
      <x:c r="AT336" s="600" t="n">
        <x:v>0.5</x:v>
      </x:c>
      <x:c r="AU336" s="600" t="n">
        <x:v>1.04</x:v>
      </x:c>
      <x:c r="AV336" s="600" t="n">
        <x:v>0.84</x:v>
      </x:c>
      <x:c r="AW336" s="595" t="n">
        <x:v>46285.58031267361</x:v>
      </x:c>
      <x:c r="AX336" s="595" t="inlineStr">
        <x:is>
          <x:t xml:space="preserve">https://simondongxiao.github.io/odds/v4/</x:t>
        </x:is>
      </x:c>
      <x:c r="AY336" s="595" t="inlineStr">
        <x:is>
          <x:t xml:space="preserve">V4 Shadow Only；real_money=false；比分差异详见记录审计</x:t>
        </x:is>
      </x:c>
    </x:row>
    <x:row r="337" ht="22" customHeight="1">
      <x:c r="A337" s="595" t="inlineStr">
        <x:is>
          <x:t xml:space="preserve">2026-09-20</x:t>
        </x:is>
      </x:c>
      <x:c r="B337" s="595" t="inlineStr">
        <x:is>
          <x:t xml:space="preserve">2026-09-21 02:45</x:t>
        </x:is>
      </x:c>
      <x:c r="C337" s="595" t="str">
        <x:v>欧洲五大系列</x:v>
      </x:c>
      <x:c r="D337" s="595" t="inlineStr">
        <x:is>
          <x:t xml:space="preserve">联赛</x:t>
        </x:is>
      </x:c>
      <x:c r="E337" s="595" t="inlineStr">
        <x:is>
          <x:t xml:space="preserve">意甲</x:t>
        </x:is>
      </x:c>
      <x:c r="F337" s="595" t="inlineStr">
        <x:is>
          <x:t xml:space="preserve">AC米兰 vs 莱切</x:t>
        </x:is>
      </x:c>
      <x:c r="G337" s="596" t="n">
        <x:v>0.96</x:v>
      </x:c>
      <x:c r="H337" s="596" t="n">
        <x:v>1.75</x:v>
      </x:c>
      <x:c r="I337" s="596" t="n">
        <x:v>0.93</x:v>
      </x:c>
      <x:c r="J337" s="596" t="inlineStr">
        <x:is>
          <x:t xml:space="preserve">0.96/1.75/0.93</x:t>
        </x:is>
      </x:c>
      <x:c r="K337" s="595" t="inlineStr">
        <x:is>
          <x:t xml:space="preserve">V4-C｜EV +0.0389</x:t>
        </x:is>
      </x:c>
      <x:c r="L337" s="595" t="inlineStr">
        <x:is>
          <x:t xml:space="preserve">AC米兰</x:t>
        </x:is>
      </x:c>
      <x:c r="M337" s="597" t="n">
        <x:v>0.5333333333333333</x:v>
      </x:c>
      <x:c r="N337" s="595" t="inlineStr">
        <x:is>
          <x:t xml:space="preserve">V4纸面入选-C</x:t>
        </x:is>
      </x:c>
      <x:c r="O337" s="595" t="inlineStr">
        <x:is>
          <x:t xml:space="preserve">3-0</x:t>
        </x:is>
      </x:c>
      <x:c r="P337" s="595" t="inlineStr">
        <x:is>
          <x:t xml:space="preserve">已结算</x:t>
        </x:is>
      </x:c>
      <x:c r="Q337" s="640" t="inlineStr">
        <x:is>
          <x:t xml:space="preserve">红</x:t>
        </x:is>
      </x:c>
      <x:c r="R337" s="599" t="n">
        <x:v>0.96</x:v>
      </x:c>
      <x:c r="S337" s="599" t="n">
        <x:f>IF(OR(Q337="",Q337="待结算"),"",IF(Q337="红",R337,IF(Q337="半红",R337*0.5,IF(Q337="走",0,IF(Q337="半黑",-0.5,-1)))))</x:f>
        <x:v>0.96</x:v>
      </x:c>
      <x:c r="T337" s="595" t="inlineStr">
        <x:is>
          <x:t xml:space="preserve">https://zq.titan007.com/analysis/2993795cn.htm</x:t>
        </x:is>
      </x:c>
      <x:c r="U337" s="641" t="str">
        <x:f>IF(Q337="","",IF(Q337="待结算","待结算",IF(Q337="红","黑",IF(Q337="半红","半黑",IF(Q337="走","走",IF(Q337="半黑","半红","红"))))))</x:f>
        <x:v>黑</x:v>
      </x:c>
      <x:c r="V337" s="599" t="n">
        <x:f>IF(OR(Q337="",Q337="待结算"),"",IF(L337=LEFT(F337,FIND(" vs ",F337)-1),I337,G337))</x:f>
        <x:v>0.93</x:v>
      </x:c>
      <x:c r="W337" s="599" t="n">
        <x:f>IF(OR(U337="",U337="待结算"),"",IF(U337="红",V337,IF(U337="半红",V337*0.5,IF(U337="走",0,IF(U337="半黑",-0.5,-1)))))</x:f>
        <x:v>-1</x:v>
      </x:c>
      <x:c r="X337" s="595" t="inlineStr">
        <x:is>
          <x:t xml:space="preserve">2993795</x:t>
        </x:is>
      </x:c>
      <x:c r="Y337" s="595" t="inlineStr">
        <x:is>
          <x:t xml:space="preserve">v4-market-dirichlet-20260913</x:t>
        </x:is>
      </x:c>
      <x:c r="Z337" s="595" t="inlineStr">
        <x:is>
          <x:t xml:space="preserve">prior-2026-09-20-v1</x:t>
        </x:is>
      </x:c>
      <x:c r="AA337" s="595" t="inlineStr">
        <x:is>
          <x:t xml:space="preserve">C</x:t>
        </x:is>
      </x:c>
      <x:c r="AB337" s="600" t="n">
        <x:v>0.3142857142857143</x:v>
      </x:c>
      <x:c r="AC337" s="600" t="n">
        <x:v>0.2857142857142857</x:v>
      </x:c>
      <x:c r="AD337" s="600" t="n">
        <x:v>0</x:v>
      </x:c>
      <x:c r="AE337" s="600" t="n">
        <x:v>0</x:v>
      </x:c>
      <x:c r="AF337" s="600" t="n">
        <x:v>0.4</x:v>
      </x:c>
      <x:c r="AG337" s="600" t="n">
        <x:v>0.03885714285714281</x:v>
      </x:c>
      <x:c r="AH337" s="600" t="n">
        <x:v>-0.2076117209369899</x:v>
      </x:c>
      <x:c r="AI337" s="600" t="n">
        <x:v>-0.1510764605628956</x:v>
      </x:c>
      <x:c r="AJ337" s="600" t="n">
        <x:v>0.04171889904025849</x:v>
      </x:c>
      <x:c r="AK337" s="600" t="n">
        <x:v>0.2259738083283014</x:v>
      </x:c>
      <x:c r="AL337" s="600" t="n">
        <x:v>0.2716729756112788</x:v>
      </x:c>
      <x:c r="AM337" s="600" t="n">
        <x:v>0.612</x:v>
      </x:c>
      <x:c r="AN337" s="595" t="inlineStr">
        <x:is>
          <x:t xml:space="preserve">EVALUATED</x:t>
        </x:is>
      </x:c>
      <x:c r="AO337" s="600" t="inlineStr">
        <x:is>
          <x:t xml:space="preserve">BUCKET_1.75、SIDE_IDENTITY_VALID、MARKET_MOVE_DEEPER_WITH_GIVING_WATER_RISE</x:t>
        </x:is>
      </x:c>
      <x:c r="AP337" s="600" t="inlineStr">
        <x:is>
          <x:t xml:space="preserve">7325a0bbed365f05099b</x:t>
        </x:is>
      </x:c>
      <x:c r="AQ337" s="600" t="n">
        <x:v>-1.75</x:v>
      </x:c>
      <x:c r="AR337" s="600" t="n">
        <x:v>0.96</x:v>
      </x:c>
      <x:c r="AS337" s="600" t="n">
        <x:v>-1.75</x:v>
      </x:c>
      <x:c r="AT337" s="600" t="n">
        <x:v>1.75</x:v>
      </x:c>
      <x:c r="AU337" s="600" t="n">
        <x:v>0.96</x:v>
      </x:c>
      <x:c r="AV337" s="600" t="n">
        <x:v>0.93</x:v>
      </x:c>
      <x:c r="AW337" s="595" t="n">
        <x:v>46285.58031267361</x:v>
      </x:c>
      <x:c r="AX337" s="595" t="inlineStr">
        <x:is>
          <x:t xml:space="preserve">https://simondongxiao.github.io/odds/v4/</x:t>
        </x:is>
      </x:c>
      <x:c r="AY337" s="595" t="inlineStr">
        <x:is>
          <x:t xml:space="preserve">V4 Shadow Only；real_money=false；比分差异详见记录审计</x:t>
        </x:is>
      </x:c>
    </x:row>
    <x:row r="338" ht="22" customHeight="1">
      <x:c r="A338" s="595" t="inlineStr">
        <x:is>
          <x:t xml:space="preserve">2026-09-20</x:t>
        </x:is>
      </x:c>
      <x:c r="B338" s="595" t="inlineStr">
        <x:is>
          <x:t xml:space="preserve">2026-09-21 03:00</x:t>
        </x:is>
      </x:c>
      <x:c r="C338" s="595" t="str">
        <x:v>南美系列</x:v>
      </x:c>
      <x:c r="D338" s="595" t="inlineStr">
        <x:is>
          <x:t xml:space="preserve">联赛</x:t>
        </x:is>
      </x:c>
      <x:c r="E338" s="595" t="inlineStr">
        <x:is>
          <x:t xml:space="preserve">巴西甲</x:t>
        </x:is>
      </x:c>
      <x:c r="F338" s="595" t="inlineStr">
        <x:is>
          <x:t xml:space="preserve">科林蒂安 vs 弗鲁米嫩塞</x:t>
        </x:is>
      </x:c>
      <x:c r="G338" s="596" t="n">
        <x:v>0.8100000000000001</x:v>
      </x:c>
      <x:c r="H338" s="596" t="n">
        <x:v>0.25</x:v>
      </x:c>
      <x:c r="I338" s="596" t="n">
        <x:v>1.08</x:v>
      </x:c>
      <x:c r="J338" s="596" t="inlineStr">
        <x:is>
          <x:t xml:space="preserve">0.81/0.25/1.08</x:t>
        </x:is>
      </x:c>
      <x:c r="K338" s="595" t="inlineStr">
        <x:is>
          <x:t xml:space="preserve">V4-C｜EV +0.0358</x:t>
        </x:is>
      </x:c>
      <x:c r="L338" s="595" t="inlineStr">
        <x:is>
          <x:t xml:space="preserve">弗鲁米嫩塞</x:t>
        </x:is>
      </x:c>
      <x:c r="M338" s="597" t="n">
        <x:v>0.5010224948875256</x:v>
      </x:c>
      <x:c r="N338" s="595" t="inlineStr">
        <x:is>
          <x:t xml:space="preserve">V4纸面入选-C</x:t>
        </x:is>
      </x:c>
      <x:c r="O338" s="595" t="inlineStr">
        <x:is>
          <x:t xml:space="preserve">1-3</x:t>
        </x:is>
      </x:c>
      <x:c r="P338" s="595" t="inlineStr">
        <x:is>
          <x:t xml:space="preserve">已结算</x:t>
        </x:is>
      </x:c>
      <x:c r="Q338" s="640" t="inlineStr">
        <x:is>
          <x:t xml:space="preserve">红</x:t>
        </x:is>
      </x:c>
      <x:c r="R338" s="599" t="n">
        <x:v>1.08</x:v>
      </x:c>
      <x:c r="S338" s="599" t="n">
        <x:f>IF(OR(Q338="",Q338="待结算"),"",IF(Q338="红",R338,IF(Q338="半红",R338*0.5,IF(Q338="走",0,IF(Q338="半黑",-0.5,-1)))))</x:f>
        <x:v>1.08</x:v>
      </x:c>
      <x:c r="T338" s="595" t="inlineStr">
        <x:is>
          <x:t xml:space="preserve">https://zq.titan007.com/analysis/2910899cn.htm</x:t>
        </x:is>
      </x:c>
      <x:c r="U338" s="641" t="str">
        <x:f>IF(Q338="","",IF(Q338="待结算","待结算",IF(Q338="红","黑",IF(Q338="半红","半黑",IF(Q338="走","走",IF(Q338="半黑","半红","红"))))))</x:f>
        <x:v>黑</x:v>
      </x:c>
      <x:c r="V338" s="599" t="n">
        <x:f>IF(OR(Q338="",Q338="待结算"),"",IF(L338=LEFT(F338,FIND(" vs ",F338)-1),I338,G338))</x:f>
        <x:v>0.81</x:v>
      </x:c>
      <x:c r="W338" s="599" t="n">
        <x:f>IF(OR(U338="",U338="待结算"),"",IF(U338="红",V338,IF(U338="半红",V338*0.5,IF(U338="走",0,IF(U338="半黑",-0.5,-1)))))</x:f>
        <x:v>-1</x:v>
      </x:c>
      <x:c r="X338" s="595" t="inlineStr">
        <x:is>
          <x:t xml:space="preserve">2910899</x:t>
        </x:is>
      </x:c>
      <x:c r="Y338" s="595" t="inlineStr">
        <x:is>
          <x:t xml:space="preserve">v4-market-dirichlet-20260913</x:t>
        </x:is>
      </x:c>
      <x:c r="Z338" s="595" t="inlineStr">
        <x:is>
          <x:t xml:space="preserve">prior-2026-09-20-v1</x:t>
        </x:is>
      </x:c>
      <x:c r="AA338" s="595" t="inlineStr">
        <x:is>
          <x:t xml:space="preserve">C</x:t>
        </x:is>
      </x:c>
      <x:c r="AB338" s="600" t="n">
        <x:v>0.2743055555555556</x:v>
      </x:c>
      <x:c r="AC338" s="600" t="n">
        <x:v>0.3020833333333333</x:v>
      </x:c>
      <x:c r="AD338" s="600" t="n">
        <x:v>0</x:v>
      </x:c>
      <x:c r="AE338" s="600" t="n">
        <x:v>0</x:v>
      </x:c>
      <x:c r="AF338" s="600" t="n">
        <x:v>0.4236111111111111</x:v>
      </x:c>
      <x:c r="AG338" s="600" t="n">
        <x:v>0.03576388888888898</x:v>
      </x:c>
      <x:c r="AH338" s="600" t="n">
        <x:v>-0.05134909742116678</x:v>
      </x:c>
      <x:c r="AI338" s="600" t="n">
        <x:v>-0.03285505992954252</x:v>
      </x:c>
      <x:c r="AJ338" s="600" t="n">
        <x:v>0.03470103234796668</x:v>
      </x:c>
      <x:c r="AK338" s="600" t="n">
        <x:v>0.1044324477061511</x:v>
      </x:c>
      <x:c r="AL338" s="600" t="n">
        <x:v>0.1248587049385943</x:v>
      </x:c>
      <x:c r="AM338" s="600" t="n">
        <x:v>0.7422</x:v>
      </x:c>
      <x:c r="AN338" s="595" t="inlineStr">
        <x:is>
          <x:t xml:space="preserve">EVALUATED</x:t>
        </x:is>
      </x:c>
      <x:c r="AO338" s="600" t="inlineStr">
        <x:is>
          <x:t xml:space="preserve">BUCKET_0.25、SIDE_IDENTITY_VALID、FLAT_LINE_GIVING_WATER_DROP</x:t>
        </x:is>
      </x:c>
      <x:c r="AP338" s="600" t="inlineStr">
        <x:is>
          <x:t xml:space="preserve">3197ffb7e5d626ca8f7d</x:t>
        </x:is>
      </x:c>
      <x:c r="AQ338" s="600" t="n">
        <x:v>0.25</x:v>
      </x:c>
      <x:c r="AR338" s="600" t="n">
        <x:v>1.08</x:v>
      </x:c>
      <x:c r="AS338" s="600" t="n">
        <x:v>-0.25</x:v>
      </x:c>
      <x:c r="AT338" s="600" t="n">
        <x:v>0.25</x:v>
      </x:c>
      <x:c r="AU338" s="600" t="n">
        <x:v>0.8100000000000001</x:v>
      </x:c>
      <x:c r="AV338" s="600" t="n">
        <x:v>1.08</x:v>
      </x:c>
      <x:c r="AW338" s="595" t="n">
        <x:v>46285.58031267361</x:v>
      </x:c>
      <x:c r="AX338" s="595" t="inlineStr">
        <x:is>
          <x:t xml:space="preserve">https://simondongxiao.github.io/odds/v4/</x:t>
        </x:is>
      </x:c>
      <x:c r="AY338" s="595" t="inlineStr">
        <x:is>
          <x:t xml:space="preserve">V4 Shadow Only；real_money=false；比分差异详见记录审计</x:t>
        </x:is>
      </x:c>
    </x:row>
    <x:row r="339" ht="22" customHeight="1">
      <x:c r="A339" s="595" t="inlineStr">
        <x:is>
          <x:t xml:space="preserve">2026-09-20</x:t>
        </x:is>
      </x:c>
      <x:c r="B339" s="595" t="inlineStr">
        <x:is>
          <x:t xml:space="preserve">2026-09-21 03:00</x:t>
        </x:is>
      </x:c>
      <x:c r="C339" s="595" t="str">
        <x:v>南美系列</x:v>
      </x:c>
      <x:c r="D339" s="595" t="inlineStr">
        <x:is>
          <x:t xml:space="preserve">联赛</x:t>
        </x:is>
      </x:c>
      <x:c r="E339" s="595" t="inlineStr">
        <x:is>
          <x:t xml:space="preserve">巴西甲</x:t>
        </x:is>
      </x:c>
      <x:c r="F339" s="595" t="inlineStr">
        <x:is>
          <x:t xml:space="preserve">维多利亚 vs 克鲁塞罗</x:t>
        </x:is>
      </x:c>
      <x:c r="G339" s="596" t="n">
        <x:v>0.87</x:v>
      </x:c>
      <x:c r="H339" s="596" t="n">
        <x:v>-0.25</x:v>
      </x:c>
      <x:c r="I339" s="596" t="n">
        <x:v>1.02</x:v>
      </x:c>
      <x:c r="J339" s="596" t="inlineStr">
        <x:is>
          <x:t xml:space="preserve">0.87/-0.25/1.02</x:t>
        </x:is>
      </x:c>
      <x:c r="K339" s="595" t="inlineStr">
        <x:is>
          <x:t xml:space="preserve">V4-C｜EV +0.0067</x:t>
        </x:is>
      </x:c>
      <x:c r="L339" s="595" t="inlineStr">
        <x:is>
          <x:t xml:space="preserve">克鲁塞罗</x:t>
        </x:is>
      </x:c>
      <x:c r="M339" s="597" t="n">
        <x:v>0.4989775051124744</x:v>
      </x:c>
      <x:c r="N339" s="595" t="inlineStr">
        <x:is>
          <x:t xml:space="preserve">V4纸面入选-C</x:t>
        </x:is>
      </x:c>
      <x:c r="O339" s="595" t="inlineStr">
        <x:is>
          <x:t xml:space="preserve">1-3</x:t>
        </x:is>
      </x:c>
      <x:c r="P339" s="595" t="inlineStr">
        <x:is>
          <x:t xml:space="preserve">已结算</x:t>
        </x:is>
      </x:c>
      <x:c r="Q339" s="640" t="inlineStr">
        <x:is>
          <x:t xml:space="preserve">红</x:t>
        </x:is>
      </x:c>
      <x:c r="R339" s="599" t="n">
        <x:v>1.02</x:v>
      </x:c>
      <x:c r="S339" s="599" t="n">
        <x:f>IF(OR(Q339="",Q339="待结算"),"",IF(Q339="红",R339,IF(Q339="半红",R339*0.5,IF(Q339="走",0,IF(Q339="半黑",-0.5,-1)))))</x:f>
        <x:v>1.02</x:v>
      </x:c>
      <x:c r="T339" s="595" t="inlineStr">
        <x:is>
          <x:t xml:space="preserve">https://zq.titan007.com/analysis/2910906cn.htm</x:t>
        </x:is>
      </x:c>
      <x:c r="U339" s="641" t="str">
        <x:f>IF(Q339="","",IF(Q339="待结算","待结算",IF(Q339="红","黑",IF(Q339="半红","半黑",IF(Q339="走","走",IF(Q339="半黑","半红","红"))))))</x:f>
        <x:v>黑</x:v>
      </x:c>
      <x:c r="V339" s="599" t="n">
        <x:f>IF(OR(Q339="",Q339="待结算"),"",IF(L339=LEFT(F339,FIND(" vs ",F339)-1),I339,G339))</x:f>
        <x:v>0.87</x:v>
      </x:c>
      <x:c r="W339" s="599" t="n">
        <x:f>IF(OR(U339="",U339="待结算"),"",IF(U339="红",V339,IF(U339="半红",V339*0.5,IF(U339="走",0,IF(U339="半黑",-0.5,-1)))))</x:f>
        <x:v>-1</x:v>
      </x:c>
      <x:c r="X339" s="595" t="inlineStr">
        <x:is>
          <x:t xml:space="preserve">2910906</x:t>
        </x:is>
      </x:c>
      <x:c r="Y339" s="595" t="inlineStr">
        <x:is>
          <x:t xml:space="preserve">v4-market-dirichlet-20260913</x:t>
        </x:is>
      </x:c>
      <x:c r="Z339" s="595" t="inlineStr">
        <x:is>
          <x:t xml:space="preserve">prior-2026-09-20-v1</x:t>
        </x:is>
      </x:c>
      <x:c r="AA339" s="595" t="inlineStr">
        <x:is>
          <x:t xml:space="preserve">C</x:t>
        </x:is>
      </x:c>
      <x:c r="AB339" s="600" t="n">
        <x:v>0.4236111111111111</x:v>
      </x:c>
      <x:c r="AC339" s="600" t="n">
        <x:v>0</x:v>
      </x:c>
      <x:c r="AD339" s="600" t="n">
        <x:v>0</x:v>
      </x:c>
      <x:c r="AE339" s="600" t="n">
        <x:v>0.3020833333333333</x:v>
      </x:c>
      <x:c r="AF339" s="600" t="n">
        <x:v>0.2743055555555556</x:v>
      </x:c>
      <x:c r="AG339" s="600" t="n">
        <x:v>0.006736111111111054</x:v>
      </x:c>
      <x:c r="AH339" s="600" t="n">
        <x:v>-0.07961980743514366</x:v>
      </x:c>
      <x:c r="AI339" s="600" t="n">
        <x:v>-0.06070389033219606</x:v>
      </x:c>
      <x:c r="AJ339" s="600" t="n">
        <x:v>0.007696706550649302</x:v>
      </x:c>
      <x:c r="AK339" s="600" t="n">
        <x:v>0.07647561786531137</x:v>
      </x:c>
      <x:c r="AL339" s="600" t="n">
        <x:v>0.09497639924925866</x:v>
      </x:c>
      <x:c r="AM339" s="600" t="n">
        <x:v>0.5538</x:v>
      </x:c>
      <x:c r="AN339" s="595" t="inlineStr">
        <x:is>
          <x:t xml:space="preserve">EVALUATED</x:t>
        </x:is>
      </x:c>
      <x:c r="AO339" s="600" t="inlineStr">
        <x:is>
          <x:t xml:space="preserve">BUCKET_0.25、SIDE_IDENTITY_VALID、MARKET_MOVE_DEEPER_WITH_GIVING_WATER_RISE</x:t>
        </x:is>
      </x:c>
      <x:c r="AP339" s="600" t="inlineStr">
        <x:is>
          <x:t xml:space="preserve">772f0ecbb10f9770df14</x:t>
        </x:is>
      </x:c>
      <x:c r="AQ339" s="600" t="n">
        <x:v>-0.25</x:v>
      </x:c>
      <x:c r="AR339" s="600" t="n">
        <x:v>1.02</x:v>
      </x:c>
      <x:c r="AS339" s="600" t="n">
        <x:v>0.25</x:v>
      </x:c>
      <x:c r="AT339" s="600" t="n">
        <x:v>-0.25</x:v>
      </x:c>
      <x:c r="AU339" s="600" t="n">
        <x:v>0.87</x:v>
      </x:c>
      <x:c r="AV339" s="600" t="n">
        <x:v>1.02</x:v>
      </x:c>
      <x:c r="AW339" s="595" t="n">
        <x:v>46285.58031267361</x:v>
      </x:c>
      <x:c r="AX339" s="595" t="inlineStr">
        <x:is>
          <x:t xml:space="preserve">https://simondongxiao.github.io/odds/v4/</x:t>
        </x:is>
      </x:c>
      <x:c r="AY339" s="595" t="inlineStr">
        <x:is>
          <x:t xml:space="preserve">V4 Shadow Only；real_money=false；比分差异详见记录审计</x:t>
        </x:is>
      </x:c>
    </x:row>
    <x:row r="340" ht="22" customHeight="1">
      <x:c r="A340" s="595" t="inlineStr">
        <x:is>
          <x:t xml:space="preserve">2026-09-20</x:t>
        </x:is>
      </x:c>
      <x:c r="B340" s="595" t="inlineStr">
        <x:is>
          <x:t xml:space="preserve">2026-09-21 03:00</x:t>
        </x:is>
      </x:c>
      <x:c r="C340" s="595" t="str">
        <x:v>南美系列</x:v>
      </x:c>
      <x:c r="D340" s="595" t="inlineStr">
        <x:is>
          <x:t xml:space="preserve">联赛</x:t>
        </x:is>
      </x:c>
      <x:c r="E340" s="595" t="inlineStr">
        <x:is>
          <x:t xml:space="preserve">阿乙</x:t>
        </x:is>
      </x:c>
      <x:c r="F340" s="595" t="inlineStr">
        <x:is>
          <x:t xml:space="preserve">玛德恩 vs 科多巴竞赛会</x:t>
        </x:is>
      </x:c>
      <x:c r="G340" s="596" t="n">
        <x:v>0.82</x:v>
      </x:c>
      <x:c r="H340" s="596" t="n">
        <x:v>0.75</x:v>
      </x:c>
      <x:c r="I340" s="596" t="n">
        <x:v>1</x:v>
      </x:c>
      <x:c r="J340" s="596" t="inlineStr">
        <x:is>
          <x:t xml:space="preserve">0.82/0.75/1.00</x:t>
        </x:is>
      </x:c>
      <x:c r="K340" s="595" t="inlineStr">
        <x:is>
          <x:t xml:space="preserve">V4-C｜EV +0.0125</x:t>
        </x:is>
      </x:c>
      <x:c r="L340" s="595" t="inlineStr">
        <x:is>
          <x:t xml:space="preserve">科多巴竞赛会</x:t>
        </x:is>
      </x:c>
      <x:c r="M340" s="597" t="n">
        <x:v>0.5071770334928229</x:v>
      </x:c>
      <x:c r="N340" s="595" t="inlineStr">
        <x:is>
          <x:t xml:space="preserve">V4纸面入选-C</x:t>
        </x:is>
      </x:c>
      <x:c r="O340" s="595" t="inlineStr">
        <x:is>
          <x:t xml:space="preserve">2-0</x:t>
        </x:is>
      </x:c>
      <x:c r="P340" s="595" t="inlineStr">
        <x:is>
          <x:t xml:space="preserve">已结算</x:t>
        </x:is>
      </x:c>
      <x:c r="Q340" s="641" t="inlineStr">
        <x:is>
          <x:t xml:space="preserve">黑</x:t>
        </x:is>
      </x:c>
      <x:c r="R340" s="599" t="n">
        <x:v>1</x:v>
      </x:c>
      <x:c r="S340" s="599" t="n">
        <x:f>IF(OR(Q340="",Q340="待结算"),"",IF(Q340="红",R340,IF(Q340="半红",R340*0.5,IF(Q340="走",0,IF(Q340="半黑",-0.5,-1)))))</x:f>
        <x:v>-1</x:v>
      </x:c>
      <x:c r="T340" s="595" t="inlineStr">
        <x:is>
          <x:t xml:space="preserve">https://zq.titan007.com/analysis/2916689cn.htm</x:t>
        </x:is>
      </x:c>
      <x:c r="U340" s="640" t="str">
        <x:f>IF(Q340="","",IF(Q340="待结算","待结算",IF(Q340="红","黑",IF(Q340="半红","半黑",IF(Q340="走","走",IF(Q340="半黑","半红","红"))))))</x:f>
        <x:v>红</x:v>
      </x:c>
      <x:c r="V340" s="599" t="n">
        <x:f>IF(OR(Q340="",Q340="待结算"),"",IF(L340=LEFT(F340,FIND(" vs ",F340)-1),I340,G340))</x:f>
        <x:v>0.82</x:v>
      </x:c>
      <x:c r="W340" s="599" t="n">
        <x:f>IF(OR(U340="",U340="待结算"),"",IF(U340="红",V340,IF(U340="半红",V340*0.5,IF(U340="走",0,IF(U340="半黑",-0.5,-1)))))</x:f>
        <x:v>0.82</x:v>
      </x:c>
      <x:c r="X340" s="595" t="inlineStr">
        <x:is>
          <x:t xml:space="preserve">2916689</x:t>
        </x:is>
      </x:c>
      <x:c r="Y340" s="595" t="inlineStr">
        <x:is>
          <x:t xml:space="preserve">v4-market-dirichlet-20260913</x:t>
        </x:is>
      </x:c>
      <x:c r="Z340" s="595" t="inlineStr">
        <x:is>
          <x:t xml:space="preserve">prior-2026-09-20-v1</x:t>
        </x:is>
      </x:c>
      <x:c r="AA340" s="595" t="inlineStr">
        <x:is>
          <x:t xml:space="preserve">C</x:t>
        </x:is>
      </x:c>
      <x:c r="AB340" s="600" t="n">
        <x:v>0.4416666666666667</x:v>
      </x:c>
      <x:c r="AC340" s="600" t="n">
        <x:v>0</x:v>
      </x:c>
      <x:c r="AD340" s="600" t="n">
        <x:v>0</x:v>
      </x:c>
      <x:c r="AE340" s="600" t="n">
        <x:v>0.2583333333333334</x:v>
      </x:c>
      <x:c r="AF340" s="600" t="n">
        <x:v>0.3</x:v>
      </x:c>
      <x:c r="AG340" s="600" t="n">
        <x:v>0.01250000000000001</x:v>
      </x:c>
      <x:c r="AH340" s="600" t="n">
        <x:v>-0.1265935314429999</x:v>
      </x:c>
      <x:c r="AI340" s="600" t="n">
        <x:v>-0.09376821683081471</x:v>
      </x:c>
      <x:c r="AJ340" s="600" t="n">
        <x:v>0.01423107388079287</x:v>
      </x:c>
      <x:c r="AK340" s="600" t="n">
        <x:v>0.1139567305878688</x:v>
      </x:c>
      <x:c r="AL340" s="600" t="n">
        <x:v>0.142529012221921</x:v>
      </x:c>
      <x:c r="AM340" s="600" t="n">
        <x:v>0.5604</x:v>
      </x:c>
      <x:c r="AN340" s="595" t="inlineStr">
        <x:is>
          <x:t xml:space="preserve">EVALUATED</x:t>
        </x:is>
      </x:c>
      <x:c r="AO340" s="600" t="inlineStr">
        <x:is>
          <x:t xml:space="preserve">BUCKET_0.75、SIDE_IDENTITY_VALID、FLAT_LINE_GIVING_WATER_DROP</x:t>
        </x:is>
      </x:c>
      <x:c r="AP340" s="600" t="inlineStr">
        <x:is>
          <x:t xml:space="preserve">42f16f01dd18f1fc98b5</x:t>
        </x:is>
      </x:c>
      <x:c r="AQ340" s="600" t="n">
        <x:v>0.75</x:v>
      </x:c>
      <x:c r="AR340" s="600" t="n">
        <x:v>1</x:v>
      </x:c>
      <x:c r="AS340" s="600" t="n">
        <x:v>-0.75</x:v>
      </x:c>
      <x:c r="AT340" s="600" t="n">
        <x:v>0.75</x:v>
      </x:c>
      <x:c r="AU340" s="600" t="n">
        <x:v>0.82</x:v>
      </x:c>
      <x:c r="AV340" s="600" t="n">
        <x:v>1</x:v>
      </x:c>
      <x:c r="AW340" s="595" t="n">
        <x:v>46285.58031267361</x:v>
      </x:c>
      <x:c r="AX340" s="595" t="inlineStr">
        <x:is>
          <x:t xml:space="preserve">https://simondongxiao.github.io/odds/v4/</x:t>
        </x:is>
      </x:c>
      <x:c r="AY340" s="595" t="inlineStr">
        <x:is>
          <x:t xml:space="preserve">V4 Shadow Only；real_money=false；比分差异详见记录审计</x:t>
        </x:is>
      </x:c>
    </x:row>
    <x:row r="341" ht="22" customHeight="1">
      <x:c r="A341" s="595" t="inlineStr">
        <x:is>
          <x:t xml:space="preserve">2026-09-20</x:t>
        </x:is>
      </x:c>
      <x:c r="B341" s="595" t="inlineStr">
        <x:is>
          <x:t xml:space="preserve">2026-09-21 03:30</x:t>
        </x:is>
      </x:c>
      <x:c r="C341" s="595" t="str">
        <x:v>欧洲非五大系列</x:v>
      </x:c>
      <x:c r="D341" s="595" t="inlineStr">
        <x:is>
          <x:t xml:space="preserve">联赛</x:t>
        </x:is>
      </x:c>
      <x:c r="E341" s="595" t="inlineStr">
        <x:is>
          <x:t xml:space="preserve">葡超</x:t>
        </x:is>
      </x:c>
      <x:c r="F341" s="595" t="inlineStr">
        <x:is>
          <x:t xml:space="preserve">波尔图 vs 本菲卡</x:t>
        </x:is>
      </x:c>
      <x:c r="G341" s="596" t="n">
        <x:v>0.8</x:v>
      </x:c>
      <x:c r="H341" s="596" t="n">
        <x:v>-0.25</x:v>
      </x:c>
      <x:c r="I341" s="596" t="n">
        <x:v>1.09</x:v>
      </x:c>
      <x:c r="J341" s="596" t="inlineStr">
        <x:is>
          <x:t xml:space="preserve">0.80/-0.25/1.09</x:t>
        </x:is>
      </x:c>
      <x:c r="K341" s="595" t="inlineStr">
        <x:is>
          <x:t xml:space="preserve">V4-C｜EV +0.0364</x:t>
        </x:is>
      </x:c>
      <x:c r="L341" s="595" t="inlineStr">
        <x:is>
          <x:t xml:space="preserve">本菲卡</x:t>
        </x:is>
      </x:c>
      <x:c r="M341" s="597" t="n">
        <x:v>0.4989775051124744</x:v>
      </x:c>
      <x:c r="N341" s="595" t="inlineStr">
        <x:is>
          <x:t xml:space="preserve">V4纸面入选-C</x:t>
        </x:is>
      </x:c>
      <x:c r="O341" s="595" t="inlineStr">
        <x:is>
          <x:t xml:space="preserve">3-1</x:t>
        </x:is>
      </x:c>
      <x:c r="P341" s="595" t="inlineStr">
        <x:is>
          <x:t xml:space="preserve">已结算</x:t>
        </x:is>
      </x:c>
      <x:c r="Q341" s="641" t="inlineStr">
        <x:is>
          <x:t xml:space="preserve">黑</x:t>
        </x:is>
      </x:c>
      <x:c r="R341" s="599" t="n">
        <x:v>1.09</x:v>
      </x:c>
      <x:c r="S341" s="599" t="n">
        <x:f>IF(OR(Q341="",Q341="待结算"),"",IF(Q341="红",R341,IF(Q341="半红",R341*0.5,IF(Q341="走",0,IF(Q341="半黑",-0.5,-1)))))</x:f>
        <x:v>-1</x:v>
      </x:c>
      <x:c r="T341" s="595" t="inlineStr">
        <x:is>
          <x:t xml:space="preserve">https://zq.titan007.com/analysis/3023488cn.htm</x:t>
        </x:is>
      </x:c>
      <x:c r="U341" s="640" t="str">
        <x:f>IF(Q341="","",IF(Q341="待结算","待结算",IF(Q341="红","黑",IF(Q341="半红","半黑",IF(Q341="走","走",IF(Q341="半黑","半红","红"))))))</x:f>
        <x:v>红</x:v>
      </x:c>
      <x:c r="V341" s="599" t="n">
        <x:f>IF(OR(Q341="",Q341="待结算"),"",IF(L341=LEFT(F341,FIND(" vs ",F341)-1),I341,G341))</x:f>
        <x:v>0.8</x:v>
      </x:c>
      <x:c r="W341" s="599" t="n">
        <x:f>IF(OR(U341="",U341="待结算"),"",IF(U341="红",V341,IF(U341="半红",V341*0.5,IF(U341="走",0,IF(U341="半黑",-0.5,-1)))))</x:f>
        <x:v>0.8</x:v>
      </x:c>
      <x:c r="X341" s="595" t="inlineStr">
        <x:is>
          <x:t xml:space="preserve">3023488</x:t>
        </x:is>
      </x:c>
      <x:c r="Y341" s="595" t="inlineStr">
        <x:is>
          <x:t xml:space="preserve">v4-market-dirichlet-20260913</x:t>
        </x:is>
      </x:c>
      <x:c r="Z341" s="595" t="inlineStr">
        <x:is>
          <x:t xml:space="preserve">prior-2026-09-20-v1</x:t>
        </x:is>
      </x:c>
      <x:c r="AA341" s="595" t="inlineStr">
        <x:is>
          <x:t xml:space="preserve">C</x:t>
        </x:is>
      </x:c>
      <x:c r="AB341" s="600" t="n">
        <x:v>0.4236111111111111</x:v>
      </x:c>
      <x:c r="AC341" s="600" t="n">
        <x:v>0</x:v>
      </x:c>
      <x:c r="AD341" s="600" t="n">
        <x:v>0</x:v>
      </x:c>
      <x:c r="AE341" s="600" t="n">
        <x:v>0.3020833333333333</x:v>
      </x:c>
      <x:c r="AF341" s="600" t="n">
        <x:v>0.2743055555555556</x:v>
      </x:c>
      <x:c r="AG341" s="600" t="n">
        <x:v>0.03638888888888892</x:v>
      </x:c>
      <x:c r="AH341" s="600" t="n">
        <x:v>-0.05475385774597696</x:v>
      </x:c>
      <x:c r="AI341" s="600" t="n">
        <x:v>-0.03337391990365124</x:v>
      </x:c>
      <x:c r="AJ341" s="600" t="n">
        <x:v>0.03427969750588511</x:v>
      </x:c>
      <x:c r="AK341" s="600" t="n">
        <x:v>0.10613163425771</x:v>
      </x:c>
      <x:c r="AL341" s="600" t="n">
        <x:v>0.1269394944480078</x:v>
      </x:c>
      <x:c r="AM341" s="600" t="n">
        <x:v>0.7344000000000001</x:v>
      </x:c>
      <x:c r="AN341" s="595" t="inlineStr">
        <x:is>
          <x:t xml:space="preserve">EVALUATED</x:t>
        </x:is>
      </x:c>
      <x:c r="AO341" s="600" t="inlineStr">
        <x:is>
          <x:t xml:space="preserve">BUCKET_0.25、SIDE_IDENTITY_VALID、MARKET_MOVE_DEEPER_WITH_GIVING_WATER_RISE</x:t>
        </x:is>
      </x:c>
      <x:c r="AP341" s="600" t="inlineStr">
        <x:is>
          <x:t xml:space="preserve">ad828543bfa516e5ad08</x:t>
        </x:is>
      </x:c>
      <x:c r="AQ341" s="600" t="n">
        <x:v>-0.25</x:v>
      </x:c>
      <x:c r="AR341" s="600" t="n">
        <x:v>1.09</x:v>
      </x:c>
      <x:c r="AS341" s="600" t="n">
        <x:v>0.25</x:v>
      </x:c>
      <x:c r="AT341" s="600" t="n">
        <x:v>-0.25</x:v>
      </x:c>
      <x:c r="AU341" s="600" t="n">
        <x:v>0.8</x:v>
      </x:c>
      <x:c r="AV341" s="600" t="n">
        <x:v>1.09</x:v>
      </x:c>
      <x:c r="AW341" s="595" t="n">
        <x:v>46285.58031267361</x:v>
      </x:c>
      <x:c r="AX341" s="595" t="inlineStr">
        <x:is>
          <x:t xml:space="preserve">https://simondongxiao.github.io/odds/v4/</x:t>
        </x:is>
      </x:c>
      <x:c r="AY341" s="595" t="inlineStr">
        <x:is>
          <x:t xml:space="preserve">V4 Shadow Only；real_money=false；比分差异详见记录审计</x:t>
        </x:is>
      </x:c>
    </x:row>
    <x:row r="342" ht="22" customHeight="1">
      <x:c r="A342" s="595" t="inlineStr">
        <x:is>
          <x:t xml:space="preserve">2026-09-20</x:t>
        </x:is>
      </x:c>
      <x:c r="B342" s="595" t="inlineStr">
        <x:is>
          <x:t xml:space="preserve">2026-09-21 03:30</x:t>
        </x:is>
      </x:c>
      <x:c r="C342" s="595" t="str">
        <x:v>南美系列</x:v>
      </x:c>
      <x:c r="D342" s="595" t="inlineStr">
        <x:is>
          <x:t xml:space="preserve">联赛</x:t>
        </x:is>
      </x:c>
      <x:c r="E342" s="595" t="inlineStr">
        <x:is>
          <x:t xml:space="preserve">阿乙</x:t>
        </x:is>
      </x:c>
      <x:c r="F342" s="595" t="inlineStr">
        <x:is>
          <x:t xml:space="preserve">科隆竞技 vs 洛斯安第斯</x:t>
        </x:is>
      </x:c>
      <x:c r="G342" s="596" t="n">
        <x:v>1.06</x:v>
      </x:c>
      <x:c r="H342" s="596" t="n">
        <x:v>0.75</x:v>
      </x:c>
      <x:c r="I342" s="596" t="n">
        <x:v>0.76</x:v>
      </x:c>
      <x:c r="J342" s="596" t="inlineStr">
        <x:is>
          <x:t xml:space="preserve">1.06/0.75/0.76</x:t>
        </x:is>
      </x:c>
      <x:c r="K342" s="595" t="inlineStr">
        <x:is>
          <x:t xml:space="preserve">V4-C｜EV +0.0133</x:t>
        </x:is>
      </x:c>
      <x:c r="L342" s="595" t="inlineStr">
        <x:is>
          <x:t xml:space="preserve">科隆竞技</x:t>
        </x:is>
      </x:c>
      <x:c r="M342" s="597" t="n">
        <x:v>0.4928229665071771</x:v>
      </x:c>
      <x:c r="N342" s="595" t="inlineStr">
        <x:is>
          <x:t xml:space="preserve">V4纸面入选-C</x:t>
        </x:is>
      </x:c>
      <x:c r="O342" s="595" t="inlineStr">
        <x:is>
          <x:t xml:space="preserve">3-0</x:t>
        </x:is>
      </x:c>
      <x:c r="P342" s="595" t="inlineStr">
        <x:is>
          <x:t xml:space="preserve">已结算</x:t>
        </x:is>
      </x:c>
      <x:c r="Q342" s="640" t="inlineStr">
        <x:is>
          <x:t xml:space="preserve">红</x:t>
        </x:is>
      </x:c>
      <x:c r="R342" s="599" t="n">
        <x:v>1.06</x:v>
      </x:c>
      <x:c r="S342" s="599" t="n">
        <x:f>IF(OR(Q342="",Q342="待结算"),"",IF(Q342="红",R342,IF(Q342="半红",R342*0.5,IF(Q342="走",0,IF(Q342="半黑",-0.5,-1)))))</x:f>
        <x:v>1.06</x:v>
      </x:c>
      <x:c r="T342" s="595" t="inlineStr">
        <x:is>
          <x:t xml:space="preserve">https://zq.titan007.com/analysis/2916688cn.htm</x:t>
        </x:is>
      </x:c>
      <x:c r="U342" s="641" t="str">
        <x:f>IF(Q342="","",IF(Q342="待结算","待结算",IF(Q342="红","黑",IF(Q342="半红","半黑",IF(Q342="走","走",IF(Q342="半黑","半红","红"))))))</x:f>
        <x:v>黑</x:v>
      </x:c>
      <x:c r="V342" s="599" t="n">
        <x:f>IF(OR(Q342="",Q342="待结算"),"",IF(L342=LEFT(F342,FIND(" vs ",F342)-1),I342,G342))</x:f>
        <x:v>0.76</x:v>
      </x:c>
      <x:c r="W342" s="599" t="n">
        <x:f>IF(OR(U342="",U342="待结算"),"",IF(U342="红",V342,IF(U342="半红",V342*0.5,IF(U342="走",0,IF(U342="半黑",-0.5,-1)))))</x:f>
        <x:v>-1</x:v>
      </x:c>
      <x:c r="X342" s="595" t="inlineStr">
        <x:is>
          <x:t xml:space="preserve">2916688</x:t>
        </x:is>
      </x:c>
      <x:c r="Y342" s="595" t="inlineStr">
        <x:is>
          <x:t xml:space="preserve">v4-market-dirichlet-20260913</x:t>
        </x:is>
      </x:c>
      <x:c r="Z342" s="595" t="inlineStr">
        <x:is>
          <x:t xml:space="preserve">prior-2026-09-20-v1</x:t>
        </x:is>
      </x:c>
      <x:c r="AA342" s="595" t="inlineStr">
        <x:is>
          <x:t xml:space="preserve">C</x:t>
        </x:is>
      </x:c>
      <x:c r="AB342" s="600" t="n">
        <x:v>0.3</x:v>
      </x:c>
      <x:c r="AC342" s="600" t="n">
        <x:v>0.2583333333333334</x:v>
      </x:c>
      <x:c r="AD342" s="600" t="n">
        <x:v>0</x:v>
      </x:c>
      <x:c r="AE342" s="600" t="n">
        <x:v>0</x:v>
      </x:c>
      <x:c r="AF342" s="600" t="n">
        <x:v>0.4416666666666667</x:v>
      </x:c>
      <x:c r="AG342" s="600" t="n">
        <x:v>0.01325000000000004</x:v>
      </x:c>
      <x:c r="AH342" s="600" t="n">
        <x:v>-0.1234622195021755</x:v>
      </x:c>
      <x:c r="AI342" s="600" t="n">
        <x:v>-0.09486372042855118</x:v>
      </x:c>
      <x:c r="AJ342" s="600" t="n">
        <x:v>0.01326531413195353</x:v>
      </x:c>
      <x:c r="AK342" s="600" t="n">
        <x:v>0.1198047845578777</x:v>
      </x:c>
      <x:c r="AL342" s="600" t="n">
        <x:v>0.1510970179287903</x:v>
      </x:c>
      <x:c r="AM342" s="600" t="n">
        <x:v>0.5612</x:v>
      </x:c>
      <x:c r="AN342" s="595" t="inlineStr">
        <x:is>
          <x:t xml:space="preserve">EVALUATED</x:t>
        </x:is>
      </x:c>
      <x:c r="AO342" s="600" t="inlineStr">
        <x:is>
          <x:t xml:space="preserve">BUCKET_0.75、SIDE_IDENTITY_VALID、MARKET_MOVE_DEEPER_WITH_GIVING_WATER_RISE</x:t>
        </x:is>
      </x:c>
      <x:c r="AP342" s="600" t="inlineStr">
        <x:is>
          <x:t xml:space="preserve">c0e5662c1fc7c179500a</x:t>
        </x:is>
      </x:c>
      <x:c r="AQ342" s="600" t="n">
        <x:v>-0.75</x:v>
      </x:c>
      <x:c r="AR342" s="600" t="n">
        <x:v>1.06</x:v>
      </x:c>
      <x:c r="AS342" s="600" t="n">
        <x:v>-0.75</x:v>
      </x:c>
      <x:c r="AT342" s="600" t="n">
        <x:v>0.75</x:v>
      </x:c>
      <x:c r="AU342" s="600" t="n">
        <x:v>1.06</x:v>
      </x:c>
      <x:c r="AV342" s="600" t="n">
        <x:v>0.76</x:v>
      </x:c>
      <x:c r="AW342" s="595" t="n">
        <x:v>46285.58031267361</x:v>
      </x:c>
      <x:c r="AX342" s="595" t="inlineStr">
        <x:is>
          <x:t xml:space="preserve">https://simondongxiao.github.io/odds/v4/</x:t>
        </x:is>
      </x:c>
      <x:c r="AY342" s="595" t="inlineStr">
        <x:is>
          <x:t xml:space="preserve">V4 Shadow Only；real_money=false；比分差异详见记录审计</x:t>
        </x:is>
      </x:c>
    </x:row>
    <x:row r="343" ht="22" customHeight="1">
      <x:c r="A343" s="595" t="inlineStr">
        <x:is>
          <x:t xml:space="preserve">2026-09-20</x:t>
        </x:is>
      </x:c>
      <x:c r="B343" s="595" t="inlineStr">
        <x:is>
          <x:t xml:space="preserve">2026-09-21 04:00</x:t>
        </x:is>
      </x:c>
      <x:c r="C343" s="595" t="str">
        <x:v>南美系列</x:v>
      </x:c>
      <x:c r="D343" s="595" t="inlineStr">
        <x:is>
          <x:t xml:space="preserve">联赛</x:t>
        </x:is>
      </x:c>
      <x:c r="E343" s="595" t="inlineStr">
        <x:is>
          <x:t xml:space="preserve">阿甲</x:t>
        </x:is>
      </x:c>
      <x:c r="F343" s="595" t="inlineStr">
        <x:is>
          <x:t xml:space="preserve">罗萨里奥中央 vs 阿根廷青年人</x:t>
        </x:is>
      </x:c>
      <x:c r="G343" s="596" t="n">
        <x:v>1.03</x:v>
      </x:c>
      <x:c r="H343" s="596" t="n">
        <x:v>0.5</x:v>
      </x:c>
      <x:c r="I343" s="596" t="n">
        <x:v>0.86</x:v>
      </x:c>
      <x:c r="J343" s="596" t="inlineStr">
        <x:is>
          <x:t xml:space="preserve">1.03/0.5/0.86</x:t>
        </x:is>
      </x:c>
      <x:c r="K343" s="595" t="inlineStr">
        <x:is>
          <x:t xml:space="preserve">V4-C｜EV +0.0092</x:t>
        </x:is>
      </x:c>
      <x:c r="L343" s="595" t="inlineStr">
        <x:is>
          <x:t xml:space="preserve">罗萨里奥中央</x:t>
        </x:is>
      </x:c>
      <x:c r="M343" s="597" t="n">
        <x:v>0.4971428571428572</x:v>
      </x:c>
      <x:c r="N343" s="595" t="inlineStr">
        <x:is>
          <x:t xml:space="preserve">V4纸面入选-C</x:t>
        </x:is>
      </x:c>
      <x:c r="O343" s="595" t="inlineStr">
        <x:is>
          <x:t xml:space="preserve">1-0</x:t>
        </x:is>
      </x:c>
      <x:c r="P343" s="595" t="inlineStr">
        <x:is>
          <x:t xml:space="preserve">已结算</x:t>
        </x:is>
      </x:c>
      <x:c r="Q343" s="640" t="inlineStr">
        <x:is>
          <x:t xml:space="preserve">红</x:t>
        </x:is>
      </x:c>
      <x:c r="R343" s="599" t="n">
        <x:v>1.03</x:v>
      </x:c>
      <x:c r="S343" s="599" t="n">
        <x:f>IF(OR(Q343="",Q343="待结算"),"",IF(Q343="红",R343,IF(Q343="半红",R343*0.5,IF(Q343="走",0,IF(Q343="半黑",-0.5,-1)))))</x:f>
        <x:v>1.03</x:v>
      </x:c>
      <x:c r="T343" s="595" t="inlineStr">
        <x:is>
          <x:t xml:space="preserve">https://zq.titan007.com/analysis/2962649cn.htm</x:t>
        </x:is>
      </x:c>
      <x:c r="U343" s="641" t="str">
        <x:f>IF(Q343="","",IF(Q343="待结算","待结算",IF(Q343="红","黑",IF(Q343="半红","半黑",IF(Q343="走","走",IF(Q343="半黑","半红","红"))))))</x:f>
        <x:v>黑</x:v>
      </x:c>
      <x:c r="V343" s="599" t="n">
        <x:f>IF(OR(Q343="",Q343="待结算"),"",IF(L343=LEFT(F343,FIND(" vs ",F343)-1),I343,G343))</x:f>
        <x:v>0.86</x:v>
      </x:c>
      <x:c r="W343" s="599" t="n">
        <x:f>IF(OR(U343="",U343="待结算"),"",IF(U343="红",V343,IF(U343="半红",V343*0.5,IF(U343="走",0,IF(U343="半黑",-0.5,-1)))))</x:f>
        <x:v>-1</x:v>
      </x:c>
      <x:c r="X343" s="595" t="inlineStr">
        <x:is>
          <x:t xml:space="preserve">2962649</x:t>
        </x:is>
      </x:c>
      <x:c r="Y343" s="595" t="inlineStr">
        <x:is>
          <x:t xml:space="preserve">v4-market-dirichlet-20260913</x:t>
        </x:is>
      </x:c>
      <x:c r="Z343" s="595" t="inlineStr">
        <x:is>
          <x:t xml:space="preserve">prior-2026-09-20-v1</x:t>
        </x:is>
      </x:c>
      <x:c r="AA343" s="595" t="inlineStr">
        <x:is>
          <x:t xml:space="preserve">C</x:t>
        </x:is>
      </x:c>
      <x:c r="AB343" s="600" t="n">
        <x:v>0.4971428571428572</x:v>
      </x:c>
      <x:c r="AC343" s="600" t="n">
        <x:v>0</x:v>
      </x:c>
      <x:c r="AD343" s="600" t="n">
        <x:v>0</x:v>
      </x:c>
      <x:c r="AE343" s="600" t="n">
        <x:v>0</x:v>
      </x:c>
      <x:c r="AF343" s="600" t="n">
        <x:v>0.5028571428571429</x:v>
      </x:c>
      <x:c r="AG343" s="600" t="n">
        <x:v>0.009199999999999986</x:v>
      </x:c>
      <x:c r="AH343" s="600" t="n">
        <x:v>-0.1137423465127125</x:v>
      </x:c>
      <x:c r="AI343" s="600" t="n">
        <x:v>-0.08665121209404725</x:v>
      </x:c>
      <x:c r="AJ343" s="600" t="n">
        <x:v>0.0134111861092292</x:v>
      </x:c>
      <x:c r="AK343" s="600" t="n">
        <x:v>0.1104731193187248</x:v>
      </x:c>
      <x:c r="AL343" s="600" t="n">
        <x:v>0.136783988149541</x:v>
      </x:c>
      <x:c r="AM343" s="600" t="n">
        <x:v>0.5712</x:v>
      </x:c>
      <x:c r="AN343" s="595" t="inlineStr">
        <x:is>
          <x:t xml:space="preserve">EVALUATED</x:t>
        </x:is>
      </x:c>
      <x:c r="AO343" s="600" t="inlineStr">
        <x:is>
          <x:t xml:space="preserve">BUCKET_0.50、SIDE_IDENTITY_VALID、MARKET_MOVE_DEEPER_WITH_GIVING_WATER_RISE</x:t>
        </x:is>
      </x:c>
      <x:c r="AP343" s="600" t="inlineStr">
        <x:is>
          <x:t xml:space="preserve">0e155b9b62dc5fa755c3</x:t>
        </x:is>
      </x:c>
      <x:c r="AQ343" s="600" t="n">
        <x:v>-0.5</x:v>
      </x:c>
      <x:c r="AR343" s="600" t="n">
        <x:v>1.03</x:v>
      </x:c>
      <x:c r="AS343" s="600" t="n">
        <x:v>-0.5</x:v>
      </x:c>
      <x:c r="AT343" s="600" t="n">
        <x:v>0.5</x:v>
      </x:c>
      <x:c r="AU343" s="600" t="n">
        <x:v>1.03</x:v>
      </x:c>
      <x:c r="AV343" s="600" t="n">
        <x:v>0.86</x:v>
      </x:c>
      <x:c r="AW343" s="595" t="n">
        <x:v>46285.58031267361</x:v>
      </x:c>
      <x:c r="AX343" s="595" t="inlineStr">
        <x:is>
          <x:t xml:space="preserve">https://simondongxiao.github.io/odds/v4/</x:t>
        </x:is>
      </x:c>
      <x:c r="AY343" s="595" t="inlineStr">
        <x:is>
          <x:t xml:space="preserve">V4 Shadow Only；real_money=false；比分差异详见记录审计</x:t>
        </x:is>
      </x:c>
    </x:row>
    <x:row r="344" ht="22" customHeight="1">
      <x:c r="A344" s="595" t="inlineStr">
        <x:is>
          <x:t xml:space="preserve">2026-09-20</x:t>
        </x:is>
      </x:c>
      <x:c r="B344" s="595" t="inlineStr">
        <x:is>
          <x:t xml:space="preserve">2026-09-21 05:00</x:t>
        </x:is>
      </x:c>
      <x:c r="C344" s="595" t="str">
        <x:v>北美系列</x:v>
      </x:c>
      <x:c r="D344" s="595" t="inlineStr">
        <x:is>
          <x:t xml:space="preserve">联赛</x:t>
        </x:is>
      </x:c>
      <x:c r="E344" s="595" t="inlineStr">
        <x:is>
          <x:t xml:space="preserve">萨尔超春</x:t>
        </x:is>
      </x:c>
      <x:c r="F344" s="595" t="inlineStr">
        <x:is>
          <x:t xml:space="preserve">萨卡特科卢卡 vs 亚古雷</x:t>
        </x:is>
      </x:c>
      <x:c r="G344" s="596" t="n">
        <x:v>1.02</x:v>
      </x:c>
      <x:c r="H344" s="596" t="n">
        <x:v>-0.25</x:v>
      </x:c>
      <x:c r="I344" s="596" t="n">
        <x:v>0.82</x:v>
      </x:c>
      <x:c r="J344" s="596" t="inlineStr">
        <x:is>
          <x:t xml:space="preserve">1.02/-0.25/0.82</x:t>
        </x:is>
      </x:c>
      <x:c r="K344" s="595" t="inlineStr">
        <x:is>
          <x:t xml:space="preserve">V4-C｜EV +0.0102</x:t>
        </x:is>
      </x:c>
      <x:c r="L344" s="595" t="inlineStr">
        <x:is>
          <x:t xml:space="preserve">萨卡特科卢卡</x:t>
        </x:is>
      </x:c>
      <x:c r="M344" s="597" t="n">
        <x:v>0.5010224948875256</x:v>
      </x:c>
      <x:c r="N344" s="595" t="inlineStr">
        <x:is>
          <x:t xml:space="preserve">V4纸面入选-C</x:t>
        </x:is>
      </x:c>
      <x:c r="O344" s="595" t="inlineStr">
        <x:is>
          <x:t xml:space="preserve">0-1</x:t>
        </x:is>
      </x:c>
      <x:c r="P344" s="595" t="inlineStr">
        <x:is>
          <x:t xml:space="preserve">已结算</x:t>
        </x:is>
      </x:c>
      <x:c r="Q344" s="641" t="inlineStr">
        <x:is>
          <x:t xml:space="preserve">黑</x:t>
        </x:is>
      </x:c>
      <x:c r="R344" s="599" t="n">
        <x:v>1.02</x:v>
      </x:c>
      <x:c r="S344" s="599" t="n">
        <x:f>IF(OR(Q344="",Q344="待结算"),"",IF(Q344="红",R344,IF(Q344="半红",R344*0.5,IF(Q344="走",0,IF(Q344="半黑",-0.5,-1)))))</x:f>
        <x:v>-1</x:v>
      </x:c>
      <x:c r="T344" s="595" t="inlineStr">
        <x:is>
          <x:t xml:space="preserve">https://zq.titan007.com/analysis/3041917cn.htm</x:t>
        </x:is>
      </x:c>
      <x:c r="U344" s="640" t="str">
        <x:f>IF(Q344="","",IF(Q344="待结算","待结算",IF(Q344="红","黑",IF(Q344="半红","半黑",IF(Q344="走","走",IF(Q344="半黑","半红","红"))))))</x:f>
        <x:v>红</x:v>
      </x:c>
      <x:c r="V344" s="599" t="n">
        <x:f>IF(OR(Q344="",Q344="待结算"),"",IF(L344=LEFT(F344,FIND(" vs ",F344)-1),I344,G344))</x:f>
        <x:v>0.82</x:v>
      </x:c>
      <x:c r="W344" s="599" t="n">
        <x:f>IF(OR(U344="",U344="待结算"),"",IF(U344="红",V344,IF(U344="半红",V344*0.5,IF(U344="走",0,IF(U344="半黑",-0.5,-1)))))</x:f>
        <x:v>0.82</x:v>
      </x:c>
      <x:c r="X344" s="595" t="inlineStr">
        <x:is>
          <x:t xml:space="preserve">3041917</x:t>
        </x:is>
      </x:c>
      <x:c r="Y344" s="595" t="inlineStr">
        <x:is>
          <x:t xml:space="preserve">v4-market-dirichlet-20260913</x:t>
        </x:is>
      </x:c>
      <x:c r="Z344" s="595" t="inlineStr">
        <x:is>
          <x:t xml:space="preserve">prior-2026-09-20-v1</x:t>
        </x:is>
      </x:c>
      <x:c r="AA344" s="595" t="inlineStr">
        <x:is>
          <x:t xml:space="preserve">C</x:t>
        </x:is>
      </x:c>
      <x:c r="AB344" s="600" t="n">
        <x:v>0.2743055555555556</x:v>
      </x:c>
      <x:c r="AC344" s="600" t="n">
        <x:v>0.3020833333333333</x:v>
      </x:c>
      <x:c r="AD344" s="600" t="n">
        <x:v>0</x:v>
      </x:c>
      <x:c r="AE344" s="600" t="n">
        <x:v>0</x:v>
      </x:c>
      <x:c r="AF344" s="600" t="n">
        <x:v>0.4236111111111111</x:v>
      </x:c>
      <x:c r="AG344" s="600" t="n">
        <x:v>0.0102430555555556</x:v>
      </x:c>
      <x:c r="AH344" s="600" t="n">
        <x:v>-0.08022030746008546</x:v>
      </x:c>
      <x:c r="AI344" s="600" t="n">
        <x:v>-0.05811260047835903</x:v>
      </x:c>
      <x:c r="AJ344" s="600" t="n">
        <x:v>0.01011123025080207</x:v>
      </x:c>
      <x:c r="AK344" s="600" t="n">
        <x:v>0.07699967051380935</x:v>
      </x:c>
      <x:c r="AL344" s="600" t="n">
        <x:v>0.09575320286586719</x:v>
      </x:c>
      <x:c r="AM344" s="600" t="n">
        <x:v>0.5716</x:v>
      </x:c>
      <x:c r="AN344" s="595" t="inlineStr">
        <x:is>
          <x:t xml:space="preserve">EVALUATED</x:t>
        </x:is>
      </x:c>
      <x:c r="AO344" s="600" t="inlineStr">
        <x:is>
          <x:t xml:space="preserve">BUCKET_0.25、SIDE_IDENTITY_VALID、FLAT_LINE_GIVING_WATER_RISE</x:t>
        </x:is>
      </x:c>
      <x:c r="AP344" s="600" t="inlineStr">
        <x:is>
          <x:t xml:space="preserve">6d675de28933797e686a</x:t>
        </x:is>
      </x:c>
      <x:c r="AQ344" s="600" t="n">
        <x:v>0.25</x:v>
      </x:c>
      <x:c r="AR344" s="600" t="n">
        <x:v>1.02</x:v>
      </x:c>
      <x:c r="AS344" s="600" t="n">
        <x:v>0.25</x:v>
      </x:c>
      <x:c r="AT344" s="600" t="n">
        <x:v>-0.25</x:v>
      </x:c>
      <x:c r="AU344" s="600" t="n">
        <x:v>1.02</x:v>
      </x:c>
      <x:c r="AV344" s="600" t="n">
        <x:v>0.82</x:v>
      </x:c>
      <x:c r="AW344" s="595" t="n">
        <x:v>46285.58031267361</x:v>
      </x:c>
      <x:c r="AX344" s="595" t="inlineStr">
        <x:is>
          <x:t xml:space="preserve">https://simondongxiao.github.io/odds/v4/</x:t>
        </x:is>
      </x:c>
      <x:c r="AY344" s="595" t="inlineStr">
        <x:is>
          <x:t xml:space="preserve">V4 Shadow Only；real_money=false；比分差异详见记录审计</x:t>
        </x:is>
      </x:c>
    </x:row>
    <x:row r="345" ht="22" customHeight="1">
      <x:c r="A345" s="595" t="inlineStr">
        <x:is>
          <x:t xml:space="preserve">2026-09-20</x:t>
        </x:is>
      </x:c>
      <x:c r="B345" s="595" t="inlineStr">
        <x:is>
          <x:t xml:space="preserve">2026-09-21 05:15</x:t>
        </x:is>
      </x:c>
      <x:c r="C345" s="595" t="str">
        <x:v>南美系列</x:v>
      </x:c>
      <x:c r="D345" s="595" t="inlineStr">
        <x:is>
          <x:t xml:space="preserve">杯赛</x:t>
        </x:is>
      </x:c>
      <x:c r="E345" s="595" t="inlineStr">
        <x:is>
          <x:t xml:space="preserve">玻利杯</x:t>
        </x:is>
      </x:c>
      <x:c r="F345" s="595" t="inlineStr">
        <x:is>
          <x:t xml:space="preserve">最强者 vs 玻利瓦尔</x:t>
        </x:is>
      </x:c>
      <x:c r="G345" s="596" t="n">
        <x:v>1.05</x:v>
      </x:c>
      <x:c r="H345" s="596" t="n">
        <x:v>-0.25</x:v>
      </x:c>
      <x:c r="I345" s="596" t="n">
        <x:v>0.65</x:v>
      </x:c>
      <x:c r="J345" s="596" t="inlineStr">
        <x:is>
          <x:t xml:space="preserve">1.05/-0.25/0.65</x:t>
        </x:is>
      </x:c>
      <x:c r="K345" s="595" t="inlineStr">
        <x:is>
          <x:t xml:space="preserve">V4-C｜EV +0.0230</x:t>
        </x:is>
      </x:c>
      <x:c r="L345" s="595" t="inlineStr">
        <x:is>
          <x:t xml:space="preserve">最强者</x:t>
        </x:is>
      </x:c>
      <x:c r="M345" s="597" t="n">
        <x:v>0.5010224948875256</x:v>
      </x:c>
      <x:c r="N345" s="595" t="inlineStr">
        <x:is>
          <x:t xml:space="preserve">V4纸面入选-C</x:t>
        </x:is>
      </x:c>
      <x:c r="O345" s="595" t="inlineStr">
        <x:is>
          <x:t xml:space="preserve">1-1</x:t>
        </x:is>
      </x:c>
      <x:c r="P345" s="595" t="inlineStr">
        <x:is>
          <x:t xml:space="preserve">已结算</x:t>
        </x:is>
      </x:c>
      <x:c r="Q345" s="642" t="inlineStr">
        <x:is>
          <x:t xml:space="preserve">半红</x:t>
        </x:is>
      </x:c>
      <x:c r="R345" s="599" t="n">
        <x:v>1.05</x:v>
      </x:c>
      <x:c r="S345" s="599" t="n">
        <x:f>IF(OR(Q345="",Q345="待结算"),"",IF(Q345="红",R345,IF(Q345="半红",R345*0.5,IF(Q345="走",0,IF(Q345="半黑",-0.5,-1)))))</x:f>
        <x:v>0.525</x:v>
      </x:c>
      <x:c r="T345" s="595" t="inlineStr">
        <x:is>
          <x:t xml:space="preserve">https://zq.titan007.com/analysis/3061650cn.htm</x:t>
        </x:is>
      </x:c>
      <x:c r="U345" s="643" t="str">
        <x:f>IF(Q345="","",IF(Q345="待结算","待结算",IF(Q345="红","黑",IF(Q345="半红","半黑",IF(Q345="走","走",IF(Q345="半黑","半红","红"))))))</x:f>
        <x:v>半黑</x:v>
      </x:c>
      <x:c r="V345" s="599" t="n">
        <x:f>IF(OR(Q345="",Q345="待结算"),"",IF(L345=LEFT(F345,FIND(" vs ",F345)-1),I345,G345))</x:f>
        <x:v>0.65</x:v>
      </x:c>
      <x:c r="W345" s="599" t="n">
        <x:f>IF(OR(U345="",U345="待结算"),"",IF(U345="红",V345,IF(U345="半红",V345*0.5,IF(U345="走",0,IF(U345="半黑",-0.5,-1)))))</x:f>
        <x:v>-0.5</x:v>
      </x:c>
      <x:c r="X345" s="595" t="inlineStr">
        <x:is>
          <x:t xml:space="preserve">3061650</x:t>
        </x:is>
      </x:c>
      <x:c r="Y345" s="595" t="inlineStr">
        <x:is>
          <x:t xml:space="preserve">v4-market-dirichlet-20260913</x:t>
        </x:is>
      </x:c>
      <x:c r="Z345" s="595" t="inlineStr">
        <x:is>
          <x:t xml:space="preserve">prior-2026-09-20-v1</x:t>
        </x:is>
      </x:c>
      <x:c r="AA345" s="595" t="inlineStr">
        <x:is>
          <x:t xml:space="preserve">C</x:t>
        </x:is>
      </x:c>
      <x:c r="AB345" s="600" t="n">
        <x:v>0.2743055555555556</x:v>
      </x:c>
      <x:c r="AC345" s="600" t="n">
        <x:v>0.3020833333333333</x:v>
      </x:c>
      <x:c r="AD345" s="600" t="n">
        <x:v>0</x:v>
      </x:c>
      <x:c r="AE345" s="600" t="n">
        <x:v>0</x:v>
      </x:c>
      <x:c r="AF345" s="600" t="n">
        <x:v>0.4236111111111111</x:v>
      </x:c>
      <x:c r="AG345" s="600" t="n">
        <x:v>0.02300347222222227</x:v>
      </x:c>
      <x:c r="AH345" s="600" t="n">
        <x:v>-0.06566469875531528</x:v>
      </x:c>
      <x:c r="AI345" s="600" t="n">
        <x:v>-0.04527742436366117</x:v>
      </x:c>
      <x:c r="AJ345" s="600" t="n">
        <x:v>0.02158527939785249</x:v>
      </x:c>
      <x:c r="AK345" s="600" t="n">
        <x:v>0.08954788276212061</x:v>
      </x:c>
      <x:c r="AL345" s="600" t="n">
        <x:v>0.1089516673320253</x:v>
      </x:c>
      <x:c r="AM345" s="600" t="n">
        <x:v>0.663</x:v>
      </x:c>
      <x:c r="AN345" s="595" t="inlineStr">
        <x:is>
          <x:t xml:space="preserve">EVALUATED</x:t>
        </x:is>
      </x:c>
      <x:c r="AO345" s="600" t="inlineStr">
        <x:is>
          <x:t xml:space="preserve">BUCKET_0.25、SIDE_IDENTITY_VALID、FLAT_LINE_GIVING_WATER_DROP</x:t>
        </x:is>
      </x:c>
      <x:c r="AP345" s="600" t="inlineStr">
        <x:is>
          <x:t xml:space="preserve">202e7d7712d057b172d4</x:t>
        </x:is>
      </x:c>
      <x:c r="AQ345" s="600" t="n">
        <x:v>0.25</x:v>
      </x:c>
      <x:c r="AR345" s="600" t="n">
        <x:v>1.05</x:v>
      </x:c>
      <x:c r="AS345" s="600" t="n">
        <x:v>0.25</x:v>
      </x:c>
      <x:c r="AT345" s="600" t="n">
        <x:v>-0.25</x:v>
      </x:c>
      <x:c r="AU345" s="600" t="n">
        <x:v>1.05</x:v>
      </x:c>
      <x:c r="AV345" s="600" t="n">
        <x:v>0.65</x:v>
      </x:c>
      <x:c r="AW345" s="595" t="n">
        <x:v>46285.58031267361</x:v>
      </x:c>
      <x:c r="AX345" s="595" t="inlineStr">
        <x:is>
          <x:t xml:space="preserve">https://simondongxiao.github.io/odds/v4/</x:t>
        </x:is>
      </x:c>
      <x:c r="AY345" s="595" t="inlineStr">
        <x:is>
          <x:t xml:space="preserve">V4 Shadow Only；real_money=false；比分差异详见记录审计</x:t>
        </x:is>
      </x:c>
    </x:row>
    <x:row r="346" ht="22" customHeight="1">
      <x:c r="A346" s="595" t="inlineStr">
        <x:is>
          <x:t xml:space="preserve">2026-09-20</x:t>
        </x:is>
      </x:c>
      <x:c r="B346" s="595" t="inlineStr">
        <x:is>
          <x:t xml:space="preserve">2026-09-21 05:30</x:t>
        </x:is>
      </x:c>
      <x:c r="C346" s="595" t="str">
        <x:v>南美系列</x:v>
      </x:c>
      <x:c r="D346" s="595" t="inlineStr">
        <x:is>
          <x:t xml:space="preserve">联赛</x:t>
        </x:is>
      </x:c>
      <x:c r="E346" s="595" t="inlineStr">
        <x:is>
          <x:t xml:space="preserve">巴西甲</x:t>
        </x:is>
      </x:c>
      <x:c r="F346" s="595" t="inlineStr">
        <x:is>
          <x:t xml:space="preserve">弗拉门戈 vs 布拉干蒂诺RB</x:t>
        </x:is>
      </x:c>
      <x:c r="G346" s="596" t="n">
        <x:v>0.99</x:v>
      </x:c>
      <x:c r="H346" s="596" t="n">
        <x:v>1.5</x:v>
      </x:c>
      <x:c r="I346" s="596" t="n">
        <x:v>0.9</x:v>
      </x:c>
      <x:c r="J346" s="596" t="inlineStr">
        <x:is>
          <x:t xml:space="preserve">0.99/1.5/0.90</x:t>
        </x:is>
      </x:c>
      <x:c r="K346" s="595" t="inlineStr">
        <x:is>
          <x:t xml:space="preserve">V4-B｜EV +0.1816</x:t>
        </x:is>
      </x:c>
      <x:c r="L346" s="595" t="inlineStr">
        <x:is>
          <x:t xml:space="preserve">弗拉门戈</x:t>
        </x:is>
      </x:c>
      <x:c r="M346" s="597" t="n">
        <x:v>0.59375</x:v>
      </x:c>
      <x:c r="N346" s="595" t="inlineStr">
        <x:is>
          <x:t xml:space="preserve">V4纸面入选-B</x:t>
        </x:is>
      </x:c>
      <x:c r="O346" s="595" t="inlineStr">
        <x:is>
          <x:t xml:space="preserve">2-1</x:t>
        </x:is>
      </x:c>
      <x:c r="P346" s="595" t="inlineStr">
        <x:is>
          <x:t xml:space="preserve">已结算</x:t>
        </x:is>
      </x:c>
      <x:c r="Q346" s="641" t="inlineStr">
        <x:is>
          <x:t xml:space="preserve">黑</x:t>
        </x:is>
      </x:c>
      <x:c r="R346" s="599" t="n">
        <x:v>0.99</x:v>
      </x:c>
      <x:c r="S346" s="599" t="n">
        <x:f>IF(OR(Q346="",Q346="待结算"),"",IF(Q346="红",R346,IF(Q346="半红",R346*0.5,IF(Q346="走",0,IF(Q346="半黑",-0.5,-1)))))</x:f>
        <x:v>-1</x:v>
      </x:c>
      <x:c r="T346" s="595" t="inlineStr">
        <x:is>
          <x:t xml:space="preserve">https://zq.titan007.com/analysis/2910900cn.htm</x:t>
        </x:is>
      </x:c>
      <x:c r="U346" s="640" t="str">
        <x:f>IF(Q346="","",IF(Q346="待结算","待结算",IF(Q346="红","黑",IF(Q346="半红","半黑",IF(Q346="走","走",IF(Q346="半黑","半红","红"))))))</x:f>
        <x:v>红</x:v>
      </x:c>
      <x:c r="V346" s="599" t="n">
        <x:f>IF(OR(Q346="",Q346="待结算"),"",IF(L346=LEFT(F346,FIND(" vs ",F346)-1),I346,G346))</x:f>
        <x:v>0.9</x:v>
      </x:c>
      <x:c r="W346" s="599" t="n">
        <x:f>IF(OR(U346="",U346="待结算"),"",IF(U346="红",V346,IF(U346="半红",V346*0.5,IF(U346="走",0,IF(U346="半黑",-0.5,-1)))))</x:f>
        <x:v>0.9</x:v>
      </x:c>
      <x:c r="X346" s="595" t="inlineStr">
        <x:is>
          <x:t xml:space="preserve">2910900</x:t>
        </x:is>
      </x:c>
      <x:c r="Y346" s="595" t="inlineStr">
        <x:is>
          <x:t xml:space="preserve">v4-market-dirichlet-20260913</x:t>
        </x:is>
      </x:c>
      <x:c r="Z346" s="595" t="inlineStr">
        <x:is>
          <x:t xml:space="preserve">prior-2026-09-20-v1</x:t>
        </x:is>
      </x:c>
      <x:c r="AA346" s="595" t="inlineStr">
        <x:is>
          <x:t xml:space="preserve">B</x:t>
        </x:is>
      </x:c>
      <x:c r="AB346" s="600" t="n">
        <x:v>0.59375</x:v>
      </x:c>
      <x:c r="AC346" s="600" t="n">
        <x:v>0</x:v>
      </x:c>
      <x:c r="AD346" s="600" t="n">
        <x:v>0</x:v>
      </x:c>
      <x:c r="AE346" s="600" t="n">
        <x:v>0</x:v>
      </x:c>
      <x:c r="AF346" s="600" t="n">
        <x:v>0.40625</x:v>
      </x:c>
      <x:c r="AG346" s="600" t="n">
        <x:v>0.1815625</x:v>
      </x:c>
      <x:c r="AH346" s="600" t="n">
        <x:v>-0.1111025344869537</x:v>
      </x:c>
      <x:c r="AI346" s="600" t="n">
        <x:v>-0.04068837833527267</x:v>
      </x:c>
      <x:c r="AJ346" s="600" t="n">
        <x:v>0.1808363244450558</x:v>
      </x:c>
      <x:c r="AK346" s="600" t="n">
        <x:v>0.3994227384091175</x:v>
      </x:c>
      <x:c r="AL346" s="600" t="n">
        <x:v>0.4495748353776595</x:v>
      </x:c>
      <x:c r="AM346" s="600" t="n">
        <x:v>0.8518</x:v>
      </x:c>
      <x:c r="AN346" s="595" t="inlineStr">
        <x:is>
          <x:t xml:space="preserve">EVALUATED</x:t>
        </x:is>
      </x:c>
      <x:c r="AO346" s="600" t="inlineStr">
        <x:is>
          <x:t xml:space="preserve">BUCKET_1.50、SIDE_IDENTITY_VALID、MARKET_MOVE_DEEPER_WITH_GIVING_WATER_RISE</x:t>
        </x:is>
      </x:c>
      <x:c r="AP346" s="600" t="inlineStr">
        <x:is>
          <x:t xml:space="preserve">0f48f7dab9b9417899ed</x:t>
        </x:is>
      </x:c>
      <x:c r="AQ346" s="600" t="n">
        <x:v>-1.5</x:v>
      </x:c>
      <x:c r="AR346" s="600" t="n">
        <x:v>0.99</x:v>
      </x:c>
      <x:c r="AS346" s="600" t="n">
        <x:v>-1.5</x:v>
      </x:c>
      <x:c r="AT346" s="600" t="n">
        <x:v>1.5</x:v>
      </x:c>
      <x:c r="AU346" s="600" t="n">
        <x:v>0.99</x:v>
      </x:c>
      <x:c r="AV346" s="600" t="n">
        <x:v>0.9</x:v>
      </x:c>
      <x:c r="AW346" s="595" t="n">
        <x:v>46285.58031267361</x:v>
      </x:c>
      <x:c r="AX346" s="595" t="inlineStr">
        <x:is>
          <x:t xml:space="preserve">https://simondongxiao.github.io/odds/v4/</x:t>
        </x:is>
      </x:c>
      <x:c r="AY346" s="595" t="inlineStr">
        <x:is>
          <x:t xml:space="preserve">V4 Shadow Only；real_money=false；比分差异详见记录审计</x:t>
        </x:is>
      </x:c>
    </x:row>
    <x:row r="347" ht="22" customHeight="1">
      <x:c r="A347" s="595" t="inlineStr">
        <x:is>
          <x:t xml:space="preserve">2026-09-20</x:t>
        </x:is>
      </x:c>
      <x:c r="B347" s="595" t="inlineStr">
        <x:is>
          <x:t xml:space="preserve">2026-09-21 05:30</x:t>
        </x:is>
      </x:c>
      <x:c r="C347" s="595" t="str">
        <x:v>南美系列</x:v>
      </x:c>
      <x:c r="D347" s="595" t="inlineStr">
        <x:is>
          <x:t xml:space="preserve">联赛</x:t>
        </x:is>
      </x:c>
      <x:c r="E347" s="595" t="inlineStr">
        <x:is>
          <x:t xml:space="preserve">巴拉甲秋</x:t>
        </x:is>
      </x:c>
      <x:c r="F347" s="595" t="inlineStr">
        <x:is>
          <x:t xml:space="preserve">卢捷诺体育会 vs 雷科莱塔</x:t>
        </x:is>
      </x:c>
      <x:c r="G347" s="596" t="n">
        <x:v>0.82</x:v>
      </x:c>
      <x:c r="H347" s="596" t="n">
        <x:v>0.25</x:v>
      </x:c>
      <x:c r="I347" s="596" t="n">
        <x:v>1.06</x:v>
      </x:c>
      <x:c r="J347" s="596" t="inlineStr">
        <x:is>
          <x:t xml:space="preserve">0.82/0.25/1.06</x:t>
        </x:is>
      </x:c>
      <x:c r="K347" s="595" t="inlineStr">
        <x:is>
          <x:t xml:space="preserve">V4-C｜EV +0.0273</x:t>
        </x:is>
      </x:c>
      <x:c r="L347" s="595" t="inlineStr">
        <x:is>
          <x:t xml:space="preserve">雷科莱塔</x:t>
        </x:is>
      </x:c>
      <x:c r="M347" s="597" t="n">
        <x:v>0.5010224948875256</x:v>
      </x:c>
      <x:c r="N347" s="595" t="inlineStr">
        <x:is>
          <x:t xml:space="preserve">V4纸面入选-C</x:t>
        </x:is>
      </x:c>
      <x:c r="O347" s="595" t="inlineStr">
        <x:is>
          <x:t xml:space="preserve">1-0</x:t>
        </x:is>
      </x:c>
      <x:c r="P347" s="595" t="inlineStr">
        <x:is>
          <x:t xml:space="preserve">已结算</x:t>
        </x:is>
      </x:c>
      <x:c r="Q347" s="641" t="inlineStr">
        <x:is>
          <x:t xml:space="preserve">黑</x:t>
        </x:is>
      </x:c>
      <x:c r="R347" s="599" t="n">
        <x:v>1.06</x:v>
      </x:c>
      <x:c r="S347" s="599" t="n">
        <x:f>IF(OR(Q347="",Q347="待结算"),"",IF(Q347="红",R347,IF(Q347="半红",R347*0.5,IF(Q347="走",0,IF(Q347="半黑",-0.5,-1)))))</x:f>
        <x:v>-1</x:v>
      </x:c>
      <x:c r="T347" s="595" t="inlineStr">
        <x:is>
          <x:t xml:space="preserve">https://zq.titan007.com/analysis/3074185cn.htm</x:t>
        </x:is>
      </x:c>
      <x:c r="U347" s="640" t="str">
        <x:f>IF(Q347="","",IF(Q347="待结算","待结算",IF(Q347="红","黑",IF(Q347="半红","半黑",IF(Q347="走","走",IF(Q347="半黑","半红","红"))))))</x:f>
        <x:v>红</x:v>
      </x:c>
      <x:c r="V347" s="599" t="n">
        <x:f>IF(OR(Q347="",Q347="待结算"),"",IF(L347=LEFT(F347,FIND(" vs ",F347)-1),I347,G347))</x:f>
        <x:v>0.82</x:v>
      </x:c>
      <x:c r="W347" s="599" t="n">
        <x:f>IF(OR(U347="",U347="待结算"),"",IF(U347="红",V347,IF(U347="半红",V347*0.5,IF(U347="走",0,IF(U347="半黑",-0.5,-1)))))</x:f>
        <x:v>0.82</x:v>
      </x:c>
      <x:c r="X347" s="595" t="inlineStr">
        <x:is>
          <x:t xml:space="preserve">3074185</x:t>
        </x:is>
      </x:c>
      <x:c r="Y347" s="595" t="inlineStr">
        <x:is>
          <x:t xml:space="preserve">v4-market-dirichlet-20260913</x:t>
        </x:is>
      </x:c>
      <x:c r="Z347" s="595" t="inlineStr">
        <x:is>
          <x:t xml:space="preserve">prior-2026-09-20-v1</x:t>
        </x:is>
      </x:c>
      <x:c r="AA347" s="595" t="inlineStr">
        <x:is>
          <x:t xml:space="preserve">C</x:t>
        </x:is>
      </x:c>
      <x:c r="AB347" s="600" t="n">
        <x:v>0.2743055555555556</x:v>
      </x:c>
      <x:c r="AC347" s="600" t="n">
        <x:v>0.3020833333333333</x:v>
      </x:c>
      <x:c r="AD347" s="600" t="n">
        <x:v>0</x:v>
      </x:c>
      <x:c r="AE347" s="600" t="n">
        <x:v>0</x:v>
      </x:c>
      <x:c r="AF347" s="600" t="n">
        <x:v>0.4236111111111111</x:v>
      </x:c>
      <x:c r="AG347" s="600" t="n">
        <x:v>0.02725694444444449</x:v>
      </x:c>
      <x:c r="AH347" s="600" t="n">
        <x:v>-0.0618010877894215</x:v>
      </x:c>
      <x:c r="AI347" s="600" t="n">
        <x:v>-0.04267850864186923</x:v>
      </x:c>
      <x:c r="AJ347" s="600" t="n">
        <x:v>0.02585282829751645</x:v>
      </x:c>
      <x:c r="AK347" s="600" t="n">
        <x:v>0.09474267021963739</x:v>
      </x:c>
      <x:c r="AL347" s="600" t="n">
        <x:v>0.1126210620218919</x:v>
      </x:c>
      <x:c r="AM347" s="600" t="n">
        <x:v>0.6889999999999999</x:v>
      </x:c>
      <x:c r="AN347" s="595" t="inlineStr">
        <x:is>
          <x:t xml:space="preserve">EVALUATED</x:t>
        </x:is>
      </x:c>
      <x:c r="AO347" s="600" t="inlineStr">
        <x:is>
          <x:t xml:space="preserve">BUCKET_0.25、SIDE_IDENTITY_VALID、FLAT_LINE_GIVING_WATER_DROP</x:t>
        </x:is>
      </x:c>
      <x:c r="AP347" s="600" t="inlineStr">
        <x:is>
          <x:t xml:space="preserve">110d59397c08628eeadf</x:t>
        </x:is>
      </x:c>
      <x:c r="AQ347" s="600" t="n">
        <x:v>0.25</x:v>
      </x:c>
      <x:c r="AR347" s="600" t="n">
        <x:v>1.06</x:v>
      </x:c>
      <x:c r="AS347" s="600" t="n">
        <x:v>-0.25</x:v>
      </x:c>
      <x:c r="AT347" s="600" t="n">
        <x:v>0.25</x:v>
      </x:c>
      <x:c r="AU347" s="600" t="n">
        <x:v>0.82</x:v>
      </x:c>
      <x:c r="AV347" s="600" t="n">
        <x:v>1.06</x:v>
      </x:c>
      <x:c r="AW347" s="595" t="n">
        <x:v>46285.58031267361</x:v>
      </x:c>
      <x:c r="AX347" s="595" t="inlineStr">
        <x:is>
          <x:t xml:space="preserve">https://simondongxiao.github.io/odds/v4/</x:t>
        </x:is>
      </x:c>
      <x:c r="AY347" s="595" t="inlineStr">
        <x:is>
          <x:t xml:space="preserve">V4 Shadow Only；real_money=false；比分差异详见记录审计</x:t>
        </x:is>
      </x:c>
    </x:row>
    <x:row r="348" ht="22" customHeight="1">
      <x:c r="A348" s="595" t="inlineStr">
        <x:is>
          <x:t xml:space="preserve">2026-09-20</x:t>
        </x:is>
      </x:c>
      <x:c r="B348" s="595" t="inlineStr">
        <x:is>
          <x:t xml:space="preserve">2026-09-21 06:15</x:t>
        </x:is>
      </x:c>
      <x:c r="C348" s="595" t="str">
        <x:v>南美系列</x:v>
      </x:c>
      <x:c r="D348" s="595" t="inlineStr">
        <x:is>
          <x:t xml:space="preserve">联赛</x:t>
        </x:is>
      </x:c>
      <x:c r="E348" s="595" t="inlineStr">
        <x:is>
          <x:t xml:space="preserve">阿甲</x:t>
        </x:is>
      </x:c>
      <x:c r="F348" s="595" t="inlineStr">
        <x:is>
          <x:t xml:space="preserve">贝尔格拉诺 vs 里奥夸尔托学生队</x:t>
        </x:is>
      </x:c>
      <x:c r="G348" s="596" t="n">
        <x:v>0.76</x:v>
      </x:c>
      <x:c r="H348" s="596" t="n">
        <x:v>1</x:v>
      </x:c>
      <x:c r="I348" s="596" t="n">
        <x:v>1.14</x:v>
      </x:c>
      <x:c r="J348" s="596" t="inlineStr">
        <x:is>
          <x:t xml:space="preserve">0.76/1/1.14</x:t>
        </x:is>
      </x:c>
      <x:c r="K348" s="595" t="inlineStr">
        <x:is>
          <x:t xml:space="preserve">V4-B｜EV +0.1247</x:t>
        </x:is>
      </x:c>
      <x:c r="L348" s="595" t="inlineStr">
        <x:is>
          <x:t xml:space="preserve">里奥夸尔托学生队</x:t>
        </x:is>
      </x:c>
      <x:c r="M348" s="597" t="n">
        <x:v>0.5423728813559322</x:v>
      </x:c>
      <x:c r="N348" s="595" t="inlineStr">
        <x:is>
          <x:t xml:space="preserve">V4纸面入选-B</x:t>
        </x:is>
      </x:c>
      <x:c r="O348" s="595" t="inlineStr">
        <x:is>
          <x:t xml:space="preserve">2-1</x:t>
        </x:is>
      </x:c>
      <x:c r="P348" s="595" t="inlineStr">
        <x:is>
          <x:t xml:space="preserve">已结算</x:t>
        </x:is>
      </x:c>
      <x:c r="Q348" s="644" t="inlineStr">
        <x:is>
          <x:t xml:space="preserve">走</x:t>
        </x:is>
      </x:c>
      <x:c r="R348" s="599" t="n">
        <x:v>1.14</x:v>
      </x:c>
      <x:c r="S348" s="599" t="n">
        <x:f>IF(OR(Q348="",Q348="待结算"),"",IF(Q348="红",R348,IF(Q348="半红",R348*0.5,IF(Q348="走",0,IF(Q348="半黑",-0.5,-1)))))</x:f>
        <x:v>0</x:v>
      </x:c>
      <x:c r="T348" s="595" t="inlineStr">
        <x:is>
          <x:t xml:space="preserve">https://zq.titan007.com/analysis/2962640cn.htm</x:t>
        </x:is>
      </x:c>
      <x:c r="U348" s="644" t="str">
        <x:f>IF(Q348="","",IF(Q348="待结算","待结算",IF(Q348="红","黑",IF(Q348="半红","半黑",IF(Q348="走","走",IF(Q348="半黑","半红","红"))))))</x:f>
        <x:v>走</x:v>
      </x:c>
      <x:c r="V348" s="599" t="n">
        <x:f>IF(OR(Q348="",Q348="待结算"),"",IF(L348=LEFT(F348,FIND(" vs ",F348)-1),I348,G348))</x:f>
        <x:v>0.76</x:v>
      </x:c>
      <x:c r="W348" s="599" t="n">
        <x:f>IF(OR(U348="",U348="待结算"),"",IF(U348="红",V348,IF(U348="半红",V348*0.5,IF(U348="走",0,IF(U348="半黑",-0.5,-1)))))</x:f>
        <x:v>0</x:v>
      </x:c>
      <x:c r="X348" s="595" t="inlineStr">
        <x:is>
          <x:t xml:space="preserve">2962640</x:t>
        </x:is>
      </x:c>
      <x:c r="Y348" s="595" t="inlineStr">
        <x:is>
          <x:t xml:space="preserve">v4-market-dirichlet-20260913</x:t>
        </x:is>
      </x:c>
      <x:c r="Z348" s="595" t="inlineStr">
        <x:is>
          <x:t xml:space="preserve">prior-2026-09-20-v1</x:t>
        </x:is>
      </x:c>
      <x:c r="AA348" s="595" t="inlineStr">
        <x:is>
          <x:t xml:space="preserve">B</x:t>
        </x:is>
      </x:c>
      <x:c r="AB348" s="600" t="n">
        <x:v>0.4210526315789473</x:v>
      </x:c>
      <x:c r="AC348" s="600" t="n">
        <x:v>0</x:v>
      </x:c>
      <x:c r="AD348" s="600" t="n">
        <x:v>0.2236842105263158</x:v>
      </x:c>
      <x:c r="AE348" s="600" t="n">
        <x:v>0</x:v>
      </x:c>
      <x:c r="AF348" s="600" t="n">
        <x:v>0.3552631578947368</x:v>
      </x:c>
      <x:c r="AG348" s="600" t="n">
        <x:v>0.1247368421052631</x:v>
      </x:c>
      <x:c r="AH348" s="600" t="n">
        <x:v>-0.05187626381883592</x:v>
      </x:c>
      <x:c r="AI348" s="600" t="n">
        <x:v>-0.01306848142802425</x:v>
      </x:c>
      <x:c r="AJ348" s="600" t="n">
        <x:v>0.1248656107482787</x:v>
      </x:c>
      <x:c r="AK348" s="600" t="n">
        <x:v>0.2638899348709189</x:v>
      </x:c>
      <x:c r="AL348" s="600" t="n">
        <x:v>0.2995269106959786</x:v>
      </x:c>
      <x:c r="AM348" s="600" t="n">
        <x:v>0.8806</x:v>
      </x:c>
      <x:c r="AN348" s="595" t="inlineStr">
        <x:is>
          <x:t xml:space="preserve">EVALUATED</x:t>
        </x:is>
      </x:c>
      <x:c r="AO348" s="600" t="inlineStr">
        <x:is>
          <x:t xml:space="preserve">BUCKET_1.00、SIDE_IDENTITY_VALID、FLAT_LINE_GIVING_WATER_DROP</x:t>
        </x:is>
      </x:c>
      <x:c r="AP348" s="600" t="inlineStr">
        <x:is>
          <x:t xml:space="preserve">496fcdbc822bf648cef6</x:t>
        </x:is>
      </x:c>
      <x:c r="AQ348" s="600" t="n">
        <x:v>1</x:v>
      </x:c>
      <x:c r="AR348" s="600" t="n">
        <x:v>1.14</x:v>
      </x:c>
      <x:c r="AS348" s="600" t="n">
        <x:v>-1</x:v>
      </x:c>
      <x:c r="AT348" s="600" t="n">
        <x:v>1</x:v>
      </x:c>
      <x:c r="AU348" s="600" t="n">
        <x:v>0.76</x:v>
      </x:c>
      <x:c r="AV348" s="600" t="n">
        <x:v>1.14</x:v>
      </x:c>
      <x:c r="AW348" s="595" t="n">
        <x:v>46285.58031267361</x:v>
      </x:c>
      <x:c r="AX348" s="595" t="inlineStr">
        <x:is>
          <x:t xml:space="preserve">https://simondongxiao.github.io/odds/v4/</x:t>
        </x:is>
      </x:c>
      <x:c r="AY348" s="595" t="inlineStr">
        <x:is>
          <x:t xml:space="preserve">V4 Shadow Only；real_money=false；比分差异详见记录审计</x:t>
        </x:is>
      </x:c>
    </x:row>
    <x:row r="349" ht="22" customHeight="1">
      <x:c r="A349" s="595" t="inlineStr">
        <x:is>
          <x:t xml:space="preserve">2026-09-20</x:t>
        </x:is>
      </x:c>
      <x:c r="B349" s="595" t="inlineStr">
        <x:is>
          <x:t xml:space="preserve">2026-09-21 07:00</x:t>
        </x:is>
      </x:c>
      <x:c r="C349" s="595" t="str">
        <x:v>北美系列</x:v>
      </x:c>
      <x:c r="D349" s="595" t="inlineStr">
        <x:is>
          <x:t xml:space="preserve">联赛</x:t>
        </x:is>
      </x:c>
      <x:c r="E349" s="595" t="inlineStr">
        <x:is>
          <x:t xml:space="preserve">美职业</x:t>
        </x:is>
      </x:c>
      <x:c r="F349" s="595" t="inlineStr">
        <x:is>
          <x:t xml:space="preserve">迈阿密国际 vs 圣地亚哥</x:t>
        </x:is>
      </x:c>
      <x:c r="G349" s="596" t="n">
        <x:v>0.83</x:v>
      </x:c>
      <x:c r="H349" s="596" t="n">
        <x:v>1.25</x:v>
      </x:c>
      <x:c r="I349" s="596" t="n">
        <x:v>1.06</x:v>
      </x:c>
      <x:c r="J349" s="596" t="inlineStr">
        <x:is>
          <x:t xml:space="preserve">0.83/1.25/1.06</x:t>
        </x:is>
      </x:c>
      <x:c r="K349" s="595" t="inlineStr">
        <x:is>
          <x:t xml:space="preserve">V4-C｜EV +0.0160</x:t>
        </x:is>
      </x:c>
      <x:c r="L349" s="595" t="inlineStr">
        <x:is>
          <x:t xml:space="preserve">圣地亚哥</x:t>
        </x:is>
      </x:c>
      <x:c r="M349" s="597" t="n">
        <x:v>0.4945054945054945</x:v>
      </x:c>
      <x:c r="N349" s="595" t="inlineStr">
        <x:is>
          <x:t xml:space="preserve">V4纸面入选-C</x:t>
        </x:is>
      </x:c>
      <x:c r="O349" s="595" t="inlineStr">
        <x:is>
          <x:t xml:space="preserve">2-2</x:t>
        </x:is>
      </x:c>
      <x:c r="P349" s="595" t="inlineStr">
        <x:is>
          <x:t xml:space="preserve">已结算</x:t>
        </x:is>
      </x:c>
      <x:c r="Q349" s="640" t="inlineStr">
        <x:is>
          <x:t xml:space="preserve">红</x:t>
        </x:is>
      </x:c>
      <x:c r="R349" s="599" t="n">
        <x:v>1.06</x:v>
      </x:c>
      <x:c r="S349" s="599" t="n">
        <x:f>IF(OR(Q349="",Q349="待结算"),"",IF(Q349="红",R349,IF(Q349="半红",R349*0.5,IF(Q349="走",0,IF(Q349="半黑",-0.5,-1)))))</x:f>
        <x:v>1.06</x:v>
      </x:c>
      <x:c r="T349" s="595" t="inlineStr">
        <x:is>
          <x:t xml:space="preserve">https://m.qiumiwu.com/news/2007739539394</x:t>
        </x:is>
      </x:c>
      <x:c r="U349" s="641" t="str">
        <x:f>IF(Q349="","",IF(Q349="待结算","待结算",IF(Q349="红","黑",IF(Q349="半红","半黑",IF(Q349="走","走",IF(Q349="半黑","半红","红"))))))</x:f>
        <x:v>黑</x:v>
      </x:c>
      <x:c r="V349" s="599" t="n">
        <x:f>IF(OR(Q349="",Q349="待结算"),"",IF(L349=LEFT(F349,FIND(" vs ",F349)-1),I349,G349))</x:f>
        <x:v>0.83</x:v>
      </x:c>
      <x:c r="W349" s="599" t="n">
        <x:f>IF(OR(U349="",U349="待结算"),"",IF(U349="红",V349,IF(U349="半红",V349*0.5,IF(U349="走",0,IF(U349="半黑",-0.5,-1)))))</x:f>
        <x:v>-1</x:v>
      </x:c>
      <x:c r="X349" s="595" t="inlineStr">
        <x:is>
          <x:t xml:space="preserve">2908802</x:t>
        </x:is>
      </x:c>
      <x:c r="Y349" s="595" t="inlineStr">
        <x:is>
          <x:t xml:space="preserve">v4-market-dirichlet-20260913</x:t>
        </x:is>
      </x:c>
      <x:c r="Z349" s="595" t="inlineStr">
        <x:is>
          <x:t xml:space="preserve">prior-2026-09-20-v1</x:t>
        </x:is>
      </x:c>
      <x:c r="AA349" s="595" t="inlineStr">
        <x:is>
          <x:t xml:space="preserve">C</x:t>
        </x:is>
      </x:c>
      <x:c r="AB349" s="600" t="n">
        <x:v>0.2830188679245283</x:v>
      </x:c>
      <x:c r="AC349" s="600" t="n">
        <x:v>0.2830188679245283</x:v>
      </x:c>
      <x:c r="AD349" s="600" t="n">
        <x:v>0</x:v>
      </x:c>
      <x:c r="AE349" s="600" t="n">
        <x:v>0</x:v>
      </x:c>
      <x:c r="AF349" s="600" t="n">
        <x:v>0.4339622641509434</x:v>
      </x:c>
      <x:c r="AG349" s="600" t="n">
        <x:v>0.01603773584905654</x:v>
      </x:c>
      <x:c r="AH349" s="600" t="n">
        <x:v>-0.1870097916452715</x:v>
      </x:c>
      <x:c r="AI349" s="600" t="n">
        <x:v>-0.1427582158540806</x:v>
      </x:c>
      <x:c r="AJ349" s="600" t="n">
        <x:v>0.01440173127295852</x:v>
      </x:c>
      <x:c r="AK349" s="600" t="n">
        <x:v>0.1746286172814714</x:v>
      </x:c>
      <x:c r="AL349" s="600" t="n">
        <x:v>0.2198211254697696</x:v>
      </x:c>
      <x:c r="AM349" s="600" t="n">
        <x:v>0.549</x:v>
      </x:c>
      <x:c r="AN349" s="595" t="inlineStr">
        <x:is>
          <x:t xml:space="preserve">EVALUATED</x:t>
        </x:is>
      </x:c>
      <x:c r="AO349" s="600" t="inlineStr">
        <x:is>
          <x:t xml:space="preserve">BUCKET_1.25、SIDE_IDENTITY_VALID、FLAT_LINE_GIVING_WATER_DROP</x:t>
        </x:is>
      </x:c>
      <x:c r="AP349" s="600" t="inlineStr">
        <x:is>
          <x:t xml:space="preserve">8c225fc7943bc1f443ff</x:t>
        </x:is>
      </x:c>
      <x:c r="AQ349" s="600" t="n">
        <x:v>1.25</x:v>
      </x:c>
      <x:c r="AR349" s="600" t="n">
        <x:v>1.06</x:v>
      </x:c>
      <x:c r="AS349" s="600" t="n">
        <x:v>-1.25</x:v>
      </x:c>
      <x:c r="AT349" s="600" t="n">
        <x:v>1.25</x:v>
      </x:c>
      <x:c r="AU349" s="600" t="n">
        <x:v>0.83</x:v>
      </x:c>
      <x:c r="AV349" s="600" t="n">
        <x:v>1.06</x:v>
      </x:c>
      <x:c r="AW349" s="595" t="n">
        <x:v>46285.58031267361</x:v>
      </x:c>
      <x:c r="AX349" s="595" t="inlineStr">
        <x:is>
          <x:t xml:space="preserve">https://simondongxiao.github.io/odds/v4/</x:t>
        </x:is>
      </x:c>
      <x:c r="AY349" s="595" t="inlineStr">
        <x:is>
          <x:t xml:space="preserve">V4 Shadow Only；real_money=false；比分差异详见记录审计</x:t>
        </x:is>
      </x:c>
    </x:row>
    <x:row r="350" ht="22" customHeight="1">
      <x:c r="A350" s="595" t="inlineStr">
        <x:is>
          <x:t xml:space="preserve">2026-09-20</x:t>
        </x:is>
      </x:c>
      <x:c r="B350" s="595" t="inlineStr">
        <x:is>
          <x:t xml:space="preserve">2026-09-21 07:05</x:t>
        </x:is>
      </x:c>
      <x:c r="C350" s="595" t="str">
        <x:v>北美系列</x:v>
      </x:c>
      <x:c r="D350" s="595" t="inlineStr">
        <x:is>
          <x:t xml:space="preserve">联赛</x:t>
        </x:is>
      </x:c>
      <x:c r="E350" s="595" t="inlineStr">
        <x:is>
          <x:t xml:space="preserve">美女职</x:t>
        </x:is>
      </x:c>
      <x:c r="F350" s="595" t="inlineStr">
        <x:is>
          <x:t xml:space="preserve">海湾FC女足 vs 路易维尔竞赛女足</x:t>
        </x:is>
      </x:c>
      <x:c r="G350" s="596" t="n">
        <x:v>0.82</x:v>
      </x:c>
      <x:c r="H350" s="596" t="n">
        <x:v>0.5</x:v>
      </x:c>
      <x:c r="I350" s="596" t="n">
        <x:v>1</x:v>
      </x:c>
      <x:c r="J350" s="596" t="inlineStr">
        <x:is>
          <x:t xml:space="preserve">0.82/0.5/1.00</x:t>
        </x:is>
      </x:c>
      <x:c r="K350" s="595" t="inlineStr">
        <x:is>
          <x:t xml:space="preserve">V4-C｜EV +0.0057</x:t>
        </x:is>
      </x:c>
      <x:c r="L350" s="595" t="inlineStr">
        <x:is>
          <x:t xml:space="preserve">路易维尔竞赛女足</x:t>
        </x:is>
      </x:c>
      <x:c r="M350" s="597" t="n">
        <x:v>0.5028571428571429</x:v>
      </x:c>
      <x:c r="N350" s="595" t="inlineStr">
        <x:is>
          <x:t xml:space="preserve">V4纸面入选-C</x:t>
        </x:is>
      </x:c>
      <x:c r="O350" s="595" t="inlineStr">
        <x:is>
          <x:t xml:space="preserve">2-0</x:t>
        </x:is>
      </x:c>
      <x:c r="P350" s="595" t="inlineStr">
        <x:is>
          <x:t xml:space="preserve">已结算</x:t>
        </x:is>
      </x:c>
      <x:c r="Q350" s="641" t="inlineStr">
        <x:is>
          <x:t xml:space="preserve">黑</x:t>
        </x:is>
      </x:c>
      <x:c r="R350" s="599" t="n">
        <x:v>1</x:v>
      </x:c>
      <x:c r="S350" s="599" t="n">
        <x:f>IF(OR(Q350="",Q350="待结算"),"",IF(Q350="红",R350,IF(Q350="半红",R350*0.5,IF(Q350="走",0,IF(Q350="半黑",-0.5,-1)))))</x:f>
        <x:v>-1</x:v>
      </x:c>
      <x:c r="T350" s="595" t="inlineStr">
        <x:is>
          <x:t xml:space="preserve">https://nerdsports.com/2026/09/20/bay-fc-racing-louisville-2-0/</x:t>
        </x:is>
      </x:c>
      <x:c r="U350" s="640" t="str">
        <x:f>IF(Q350="","",IF(Q350="待结算","待结算",IF(Q350="红","黑",IF(Q350="半红","半黑",IF(Q350="走","走",IF(Q350="半黑","半红","红"))))))</x:f>
        <x:v>红</x:v>
      </x:c>
      <x:c r="V350" s="599" t="n">
        <x:f>IF(OR(Q350="",Q350="待结算"),"",IF(L350=LEFT(F350,FIND(" vs ",F350)-1),I350,G350))</x:f>
        <x:v>0.82</x:v>
      </x:c>
      <x:c r="W350" s="599" t="n">
        <x:f>IF(OR(U350="",U350="待结算"),"",IF(U350="红",V350,IF(U350="半红",V350*0.5,IF(U350="走",0,IF(U350="半黑",-0.5,-1)))))</x:f>
        <x:v>0.82</x:v>
      </x:c>
      <x:c r="X350" s="595" t="inlineStr">
        <x:is>
          <x:t xml:space="preserve">2957055</x:t>
        </x:is>
      </x:c>
      <x:c r="Y350" s="595" t="inlineStr">
        <x:is>
          <x:t xml:space="preserve">v4-market-dirichlet-20260913</x:t>
        </x:is>
      </x:c>
      <x:c r="Z350" s="595" t="inlineStr">
        <x:is>
          <x:t xml:space="preserve">prior-2026-09-20-v1</x:t>
        </x:is>
      </x:c>
      <x:c r="AA350" s="595" t="inlineStr">
        <x:is>
          <x:t xml:space="preserve">C</x:t>
        </x:is>
      </x:c>
      <x:c r="AB350" s="600" t="n">
        <x:v>0.5028571428571429</x:v>
      </x:c>
      <x:c r="AC350" s="600" t="n">
        <x:v>0</x:v>
      </x:c>
      <x:c r="AD350" s="600" t="n">
        <x:v>0</x:v>
      </x:c>
      <x:c r="AE350" s="600" t="n">
        <x:v>0</x:v>
      </x:c>
      <x:c r="AF350" s="600" t="n">
        <x:v>0.4971428571428572</x:v>
      </x:c>
      <x:c r="AG350" s="600" t="n">
        <x:v>0.005714285714285727</x:v>
      </x:c>
      <x:c r="AH350" s="600" t="n">
        <x:v>-0.1169012238114083</x:v>
      </x:c>
      <x:c r="AI350" s="600" t="n">
        <x:v>-0.09291972725317532</x:v>
      </x:c>
      <x:c r="AJ350" s="600" t="n">
        <x:v>0.004556038705273047</x:v>
      </x:c>
      <x:c r="AK350" s="600" t="n">
        <x:v>0.1032319429776892</x:v>
      </x:c>
      <x:c r="AL350" s="600" t="n">
        <x:v>0.1285927294392818</x:v>
      </x:c>
      <x:c r="AM350" s="600" t="n">
        <x:v>0.526</x:v>
      </x:c>
      <x:c r="AN350" s="595" t="inlineStr">
        <x:is>
          <x:t xml:space="preserve">EVALUATED</x:t>
        </x:is>
      </x:c>
      <x:c r="AO350" s="600" t="inlineStr">
        <x:is>
          <x:t xml:space="preserve">BUCKET_0.50、SIDE_IDENTITY_VALID、FLAT_LINE_GIVING_WATER_DROP</x:t>
        </x:is>
      </x:c>
      <x:c r="AP350" s="600" t="inlineStr">
        <x:is>
          <x:t xml:space="preserve">3e2d0fa8f5116b722689</x:t>
        </x:is>
      </x:c>
      <x:c r="AQ350" s="600" t="n">
        <x:v>0.5</x:v>
      </x:c>
      <x:c r="AR350" s="600" t="n">
        <x:v>1</x:v>
      </x:c>
      <x:c r="AS350" s="600" t="n">
        <x:v>-0.5</x:v>
      </x:c>
      <x:c r="AT350" s="600" t="n">
        <x:v>0.5</x:v>
      </x:c>
      <x:c r="AU350" s="600" t="n">
        <x:v>0.82</x:v>
      </x:c>
      <x:c r="AV350" s="600" t="n">
        <x:v>1</x:v>
      </x:c>
      <x:c r="AW350" s="595" t="n">
        <x:v>46285.58031267361</x:v>
      </x:c>
      <x:c r="AX350" s="595" t="inlineStr">
        <x:is>
          <x:t xml:space="preserve">https://simondongxiao.github.io/odds/v4/</x:t>
        </x:is>
      </x:c>
      <x:c r="AY350" s="595" t="inlineStr">
        <x:is>
          <x:t xml:space="preserve">V4 Shadow Only；real_money=false；比分差异详见记录审计</x:t>
        </x:is>
      </x:c>
    </x:row>
    <x:row r="351" ht="22" customHeight="1">
      <x:c r="A351" s="595" t="inlineStr">
        <x:is>
          <x:t xml:space="preserve">2026-09-20</x:t>
        </x:is>
      </x:c>
      <x:c r="B351" s="595" t="inlineStr">
        <x:is>
          <x:t xml:space="preserve">2026-09-21 08:00</x:t>
        </x:is>
      </x:c>
      <x:c r="C351" s="595" t="str">
        <x:v>北美系列</x:v>
      </x:c>
      <x:c r="D351" s="595" t="inlineStr">
        <x:is>
          <x:t xml:space="preserve">联赛</x:t>
        </x:is>
      </x:c>
      <x:c r="E351" s="595" t="inlineStr">
        <x:is>
          <x:t xml:space="preserve">墨西联秋</x:t>
        </x:is>
      </x:c>
      <x:c r="F351" s="595" t="inlineStr">
        <x:is>
          <x:t xml:space="preserve">帕丘卡 vs 蒂华纳</x:t>
        </x:is>
      </x:c>
      <x:c r="G351" s="596" t="n">
        <x:v>1.08</x:v>
      </x:c>
      <x:c r="H351" s="596" t="n">
        <x:v>0.75</x:v>
      </x:c>
      <x:c r="I351" s="596" t="n">
        <x:v>0.8100000000000001</x:v>
      </x:c>
      <x:c r="J351" s="596" t="inlineStr">
        <x:is>
          <x:t xml:space="preserve">1.08/0.75/0.81</x:t>
        </x:is>
      </x:c>
      <x:c r="K351" s="595" t="inlineStr">
        <x:is>
          <x:t xml:space="preserve">V4-C｜EV +0.0218</x:t>
        </x:is>
      </x:c>
      <x:c r="L351" s="595" t="inlineStr">
        <x:is>
          <x:t xml:space="preserve">帕丘卡</x:t>
        </x:is>
      </x:c>
      <x:c r="M351" s="597" t="n">
        <x:v>0.4928229665071771</x:v>
      </x:c>
      <x:c r="N351" s="595" t="inlineStr">
        <x:is>
          <x:t xml:space="preserve">V4纸面入选-C</x:t>
        </x:is>
      </x:c>
      <x:c r="O351" s="595" t="inlineStr">
        <x:is>
          <x:t xml:space="preserve">2-2</x:t>
        </x:is>
      </x:c>
      <x:c r="P351" s="595" t="inlineStr">
        <x:is>
          <x:t xml:space="preserve">已结算</x:t>
        </x:is>
      </x:c>
      <x:c r="Q351" s="641" t="inlineStr">
        <x:is>
          <x:t xml:space="preserve">黑</x:t>
        </x:is>
      </x:c>
      <x:c r="R351" s="599" t="n">
        <x:v>1.08</x:v>
      </x:c>
      <x:c r="S351" s="599" t="n">
        <x:f>IF(OR(Q351="",Q351="待结算"),"",IF(Q351="红",R351,IF(Q351="半红",R351*0.5,IF(Q351="走",0,IF(Q351="半黑",-0.5,-1)))))</x:f>
        <x:v>-1</x:v>
      </x:c>
      <x:c r="T351" s="595" t="inlineStr">
        <x:is>
          <x:t xml:space="preserve">https://www.tudn.com/futbol/liga-mx/pachuca-vs-club-tijuana-resumen-del-partido-video-1</x:t>
        </x:is>
      </x:c>
      <x:c r="U351" s="640" t="str">
        <x:f>IF(Q351="","",IF(Q351="待结算","待结算",IF(Q351="红","黑",IF(Q351="半红","半黑",IF(Q351="走","走",IF(Q351="半黑","半红","红"))))))</x:f>
        <x:v>红</x:v>
      </x:c>
      <x:c r="V351" s="599" t="n">
        <x:f>IF(OR(Q351="",Q351="待结算"),"",IF(L351=LEFT(F351,FIND(" vs ",F351)-1),I351,G351))</x:f>
        <x:v>0.81</x:v>
      </x:c>
      <x:c r="W351" s="599" t="n">
        <x:f>IF(OR(U351="",U351="待结算"),"",IF(U351="红",V351,IF(U351="半红",V351*0.5,IF(U351="走",0,IF(U351="半黑",-0.5,-1)))))</x:f>
        <x:v>0.81</x:v>
      </x:c>
      <x:c r="X351" s="595" t="inlineStr">
        <x:is>
          <x:t xml:space="preserve">2997417</x:t>
        </x:is>
      </x:c>
      <x:c r="Y351" s="595" t="inlineStr">
        <x:is>
          <x:t xml:space="preserve">v4-market-dirichlet-20260913</x:t>
        </x:is>
      </x:c>
      <x:c r="Z351" s="595" t="inlineStr">
        <x:is>
          <x:t xml:space="preserve">prior-2026-09-20-v1</x:t>
        </x:is>
      </x:c>
      <x:c r="AA351" s="595" t="inlineStr">
        <x:is>
          <x:t xml:space="preserve">C</x:t>
        </x:is>
      </x:c>
      <x:c r="AB351" s="600" t="n">
        <x:v>0.3</x:v>
      </x:c>
      <x:c r="AC351" s="600" t="n">
        <x:v>0.2583333333333334</x:v>
      </x:c>
      <x:c r="AD351" s="600" t="n">
        <x:v>0</x:v>
      </x:c>
      <x:c r="AE351" s="600" t="n">
        <x:v>0</x:v>
      </x:c>
      <x:c r="AF351" s="600" t="n">
        <x:v>0.4416666666666667</x:v>
      </x:c>
      <x:c r="AG351" s="600" t="n">
        <x:v>0.02183333333333337</x:v>
      </x:c>
      <x:c r="AH351" s="600" t="n">
        <x:v>-0.114227991600883</x:v>
      </x:c>
      <x:c r="AI351" s="600" t="n">
        <x:v>-0.08605428059278797</x:v>
      </x:c>
      <x:c r="AJ351" s="600" t="n">
        <x:v>0.02177142266723986</x:v>
      </x:c>
      <x:c r="AK351" s="600" t="n">
        <x:v>0.1306179578955969</x:v>
      </x:c>
      <x:c r="AL351" s="600" t="n">
        <x:v>0.1626901842052324</x:v>
      </x:c>
      <x:c r="AM351" s="600" t="n">
        <x:v>0.6062</x:v>
      </x:c>
      <x:c r="AN351" s="595" t="inlineStr">
        <x:is>
          <x:t xml:space="preserve">EVALUATED</x:t>
        </x:is>
      </x:c>
      <x:c r="AO351" s="600" t="inlineStr">
        <x:is>
          <x:t xml:space="preserve">BUCKET_0.75、SIDE_IDENTITY_VALID、MARKET_MOVE_DEEPER_WITH_GIVING_WATER_RISE</x:t>
        </x:is>
      </x:c>
      <x:c r="AP351" s="600" t="inlineStr">
        <x:is>
          <x:t xml:space="preserve">736bf611fec59f659519</x:t>
        </x:is>
      </x:c>
      <x:c r="AQ351" s="600" t="n">
        <x:v>-0.75</x:v>
      </x:c>
      <x:c r="AR351" s="600" t="n">
        <x:v>1.08</x:v>
      </x:c>
      <x:c r="AS351" s="600" t="n">
        <x:v>-0.75</x:v>
      </x:c>
      <x:c r="AT351" s="600" t="n">
        <x:v>0.75</x:v>
      </x:c>
      <x:c r="AU351" s="600" t="n">
        <x:v>1.08</x:v>
      </x:c>
      <x:c r="AV351" s="600" t="n">
        <x:v>0.8100000000000001</x:v>
      </x:c>
      <x:c r="AW351" s="595" t="n">
        <x:v>46285.58031267361</x:v>
      </x:c>
      <x:c r="AX351" s="595" t="inlineStr">
        <x:is>
          <x:t xml:space="preserve">https://simondongxiao.github.io/odds/v4/</x:t>
        </x:is>
      </x:c>
      <x:c r="AY351" s="595" t="inlineStr">
        <x:is>
          <x:t xml:space="preserve">V4 Shadow Only；real_money=false；比分差异详见记录审计</x:t>
        </x:is>
      </x:c>
    </x:row>
    <x:row r="352" ht="22" customHeight="1">
      <x:c r="A352" s="595" t="inlineStr">
        <x:is>
          <x:t xml:space="preserve">2026-09-21</x:t>
        </x:is>
      </x:c>
      <x:c r="B352" s="595" t="inlineStr">
        <x:is>
          <x:t xml:space="preserve">2026-09-21 15:00</x:t>
        </x:is>
      </x:c>
      <x:c r="C352" s="595" t="str">
        <x:v>其他系列</x:v>
      </x:c>
      <x:c r="D352" s="595" t="inlineStr">
        <x:is>
          <x:t xml:space="preserve">联赛</x:t>
        </x:is>
      </x:c>
      <x:c r="E352" s="595" t="inlineStr">
        <x:is>
          <x:t xml:space="preserve">亚运女足</x:t>
        </x:is>
      </x:c>
      <x:c r="F352" s="595" t="inlineStr">
        <x:is>
          <x:t xml:space="preserve">韩国女足(中) vs 朝鲜女足</x:t>
        </x:is>
      </x:c>
      <x:c r="G352" s="596" t="n">
        <x:v>1.5</x:v>
      </x:c>
      <x:c r="H352" s="596" t="n">
        <x:v>-1.5</x:v>
      </x:c>
      <x:c r="I352" s="596" t="n">
        <x:v>0.89</x:v>
      </x:c>
      <x:c r="J352" s="596" t="inlineStr">
        <x:is>
          <x:t xml:space="preserve">0.89/-1.5/0.89</x:t>
        </x:is>
      </x:c>
      <x:c r="K352" s="595" t="inlineStr">
        <x:is>
          <x:t xml:space="preserve">V4最新候选-3088011</x:t>
        </x:is>
      </x:c>
      <x:c r="L352" s="595" t="inlineStr">
        <x:is>
          <x:t xml:space="preserve">朝鲜女足</x:t>
        </x:is>
      </x:c>
      <x:c r="M352" s="597" t="n">
        <x:v>0.5</x:v>
      </x:c>
      <x:c r="N352" s="595" t="inlineStr">
        <x:is>
          <x:t xml:space="preserve">V4最新页面A/B/C候选</x:t>
        </x:is>
      </x:c>
      <x:c r="O352" s="595" t="inlineStr">
        <x:is>
          <x:t xml:space="preserve">1-1</x:t>
        </x:is>
      </x:c>
      <x:c r="P352" s="595" t="inlineStr">
        <x:is>
          <x:t xml:space="preserve">已结算</x:t>
        </x:is>
      </x:c>
      <x:c r="Q352" s="641" t="inlineStr">
        <x:is>
          <x:t xml:space="preserve">黑</x:t>
        </x:is>
      </x:c>
      <x:c r="R352" s="599" t="n">
        <x:v>0.89</x:v>
      </x:c>
      <x:c r="S352" s="599" t="n">
        <x:f>IF(OR(Q352="",Q352="待结算"),"",IF(Q352="红",R352,IF(Q352="半红",R352*0.5,IF(Q352="走",0,IF(Q352="半黑",-0.5,-1)))))</x:f>
        <x:v>-1</x:v>
      </x:c>
      <x:c r="T352" s="595" t="inlineStr">
        <x:is>
          <x:t xml:space="preserve">https://en.yna.co.kr/view/AEN20260921010400320</x:t>
        </x:is>
      </x:c>
      <x:c r="U352" s="640" t="inlineStr">
        <x:is>
          <x:t xml:space="preserve">红</x:t>
        </x:is>
      </x:c>
      <x:c r="V352" s="599" t="n">
        <x:v>1.5</x:v>
      </x:c>
      <x:c r="W352" s="599" t="n">
        <x:f>IF(OR(U352="",U352="待结算"),"",IF(U352="红",V352,IF(U352="半红",V352*0.5,IF(U352="走",0,IF(U352="半黑",-0.5,-1)))))</x:f>
        <x:v>1.5</x:v>
      </x:c>
      <x:c r="X352" s="603" t="inlineStr">
        <x:is>
          <x:t xml:space="preserve">3088011</x:t>
        </x:is>
      </x:c>
      <x:c r="Y352" s="603" t="inlineStr">
        <x:is>
          <x:t xml:space="preserve">v4-market-dirichlet-20260913</x:t>
        </x:is>
      </x:c>
      <x:c r="Z352" s="603" t="inlineStr">
        <x:is>
          <x:t xml:space="preserve">prior-2026-09-21-v1</x:t>
        </x:is>
      </x:c>
      <x:c r="AA352" s="603" t="inlineStr">
        <x:is>
          <x:t xml:space="preserve">C</x:t>
        </x:is>
      </x:c>
      <x:c r="AB352" s="603" t="n">
        <x:v>0.59375</x:v>
      </x:c>
      <x:c r="AC352" s="603" t="n">
        <x:v>0</x:v>
      </x:c>
      <x:c r="AD352" s="603" t="n">
        <x:v>0</x:v>
      </x:c>
      <x:c r="AE352" s="603" t="n">
        <x:v>0</x:v>
      </x:c>
      <x:c r="AF352" s="603" t="n">
        <x:v>0.40625</x:v>
      </x:c>
      <x:c r="AG352" s="603" t="n">
        <x:v>0.1221875</x:v>
      </x:c>
      <x:c r="AH352" s="603" t="n">
        <x:v>-0.1598828154336083</x:v>
      </x:c>
      <x:c r="AI352" s="603" t="n">
        <x:v>-0.09597791513164539</x:v>
      </x:c>
      <x:c r="AJ352" s="603" t="n">
        <x:v>0.126657896396445</x:v>
      </x:c>
      <x:c r="AK352" s="603" t="n">
        <x:v>0.3286813444167792</x:v>
      </x:c>
      <x:c r="AL352" s="603" t="n">
        <x:v>0.3830537054842021</x:v>
      </x:c>
      <x:c r="AM352" s="603" t="n">
        <x:v>0.7732</x:v>
      </x:c>
      <x:c r="AN352" s="603" t="inlineStr">
        <x:is>
          <x:t xml:space="preserve">EVALUATED</x:t>
        </x:is>
      </x:c>
      <x:c r="AO352" s="603" t="inlineStr">
        <x:is>
          <x:t xml:space="preserve">BUCKET_1.50、SIDE_IDENTITY_VALID、MARKET_MOVE_DEEPER_WITH_GIVING_WATER_RISE</x:t>
        </x:is>
      </x:c>
      <x:c r="AP352" s="603" t="inlineStr">
        <x:is>
          <x:t xml:space="preserve">8e1d60d8599ad16188ec</x:t>
        </x:is>
      </x:c>
      <x:c r="AQ352" s="603" t="n">
        <x:v>-1.5</x:v>
      </x:c>
      <x:c r="AR352" s="603" t="n">
        <x:v>0.89</x:v>
      </x:c>
      <x:c r="AS352" s="603" t="n">
        <x:v>1.5</x:v>
      </x:c>
      <x:c r="AT352" s="603" t="n">
        <x:v>-1.5</x:v>
      </x:c>
      <x:c r="AU352" s="603" t="n">
        <x:v>0.8100000000000001</x:v>
      </x:c>
      <x:c r="AV352" s="603" t="n">
        <x:v>0.89</x:v>
      </x:c>
      <x:c r="AW352" s="603" t="n">
        <x:v>46286.01425282408</x:v>
      </x:c>
      <x:c r="AX352" s="603" t="inlineStr">
        <x:is>
          <x:t xml:space="preserve">https://simondongxiao.github.io/odds/v4/</x:t>
        </x:is>
      </x:c>
      <x:c r="AY352" s="603" t="inlineStr">
        <x:is>
          <x:t xml:space="preserve">V4 Shadow Only；real_money=false；比分差异详见记录审计</x:t>
        </x:is>
      </x:c>
    </x:row>
    <x:row r="353" ht="22" customHeight="1">
      <x:c r="A353" s="595" t="inlineStr">
        <x:is>
          <x:t xml:space="preserve">2026-09-21</x:t>
        </x:is>
      </x:c>
      <x:c r="B353" s="595" t="inlineStr">
        <x:is>
          <x:t xml:space="preserve">2026-09-21 15:00</x:t>
        </x:is>
      </x:c>
      <x:c r="C353" s="595" t="str">
        <x:v>其他系列</x:v>
      </x:c>
      <x:c r="D353" s="595" t="inlineStr">
        <x:is>
          <x:t xml:space="preserve">联赛</x:t>
        </x:is>
      </x:c>
      <x:c r="E353" s="595" t="inlineStr">
        <x:is>
          <x:t xml:space="preserve">亚运女足</x:t>
        </x:is>
      </x:c>
      <x:c r="F353" s="595" t="inlineStr">
        <x:is>
          <x:t xml:space="preserve">中国女足(中) vs 菲律宾女足</x:t>
        </x:is>
      </x:c>
      <x:c r="G353" s="596" t="n">
        <x:v>1.75</x:v>
      </x:c>
      <x:c r="H353" s="596" t="n">
        <x:v>1.75</x:v>
      </x:c>
      <x:c r="I353" s="596" t="n">
        <x:v>1.25</x:v>
      </x:c>
      <x:c r="J353" s="596" t="inlineStr">
        <x:is>
          <x:t xml:space="preserve">1.25/1.75/1.25</x:t>
        </x:is>
      </x:c>
      <x:c r="K353" s="595" t="inlineStr">
        <x:is>
          <x:t xml:space="preserve">V4最新候选-3088016</x:t>
        </x:is>
      </x:c>
      <x:c r="L353" s="595" t="inlineStr">
        <x:is>
          <x:t xml:space="preserve">菲律宾女足</x:t>
        </x:is>
      </x:c>
      <x:c r="M353" s="597" t="n">
        <x:v>0.5</x:v>
      </x:c>
      <x:c r="N353" s="595" t="inlineStr">
        <x:is>
          <x:t xml:space="preserve">V4最新页面A/B/C候选</x:t>
        </x:is>
      </x:c>
      <x:c r="O353" s="595" t="inlineStr">
        <x:is>
          <x:t xml:space="preserve">5-1</x:t>
        </x:is>
      </x:c>
      <x:c r="P353" s="595" t="inlineStr">
        <x:is>
          <x:t xml:space="preserve">已结算</x:t>
        </x:is>
      </x:c>
      <x:c r="Q353" s="641" t="inlineStr">
        <x:is>
          <x:t xml:space="preserve">黑</x:t>
        </x:is>
      </x:c>
      <x:c r="R353" s="599" t="n">
        <x:v>1.25</x:v>
      </x:c>
      <x:c r="S353" s="599" t="n">
        <x:f>IF(OR(Q353="",Q353="待结算"),"",IF(Q353="红",R353,IF(Q353="半红",R353*0.5,IF(Q353="走",0,IF(Q353="半黑",-0.5,-1)))))</x:f>
        <x:v>-1</x:v>
      </x:c>
      <x:c r="T353" s="595" t="inlineStr">
        <x:is>
          <x:t xml:space="preserve">https://www.gmanetwork.com/news/sports/football/1003151/asian-games-quarterfinals-bound-filipinas-fall-to-china-finish-third-in-group-stage/story/</x:t>
        </x:is>
      </x:c>
      <x:c r="U353" s="640" t="inlineStr">
        <x:is>
          <x:t xml:space="preserve">红</x:t>
        </x:is>
      </x:c>
      <x:c r="V353" s="599" t="n">
        <x:v>1.75</x:v>
      </x:c>
      <x:c r="W353" s="599" t="n">
        <x:f>IF(OR(U353="",U353="待结算"),"",IF(U353="红",V353,IF(U353="半红",V353*0.5,IF(U353="走",0,IF(U353="半黑",-0.5,-1)))))</x:f>
        <x:v>1.75</x:v>
      </x:c>
      <x:c r="X353" s="603" t="inlineStr">
        <x:is>
          <x:t xml:space="preserve">3088016</x:t>
        </x:is>
      </x:c>
      <x:c r="Y353" s="603" t="inlineStr">
        <x:is>
          <x:t xml:space="preserve">v4-market-dirichlet-20260913</x:t>
        </x:is>
      </x:c>
      <x:c r="Z353" s="603" t="inlineStr">
        <x:is>
          <x:t xml:space="preserve">prior-2026-09-21-v1</x:t>
        </x:is>
      </x:c>
      <x:c r="AA353" s="603" t="inlineStr">
        <x:is>
          <x:t xml:space="preserve">C</x:t>
        </x:is>
      </x:c>
      <x:c r="AB353" s="603" t="n">
        <x:v>0.4</x:v>
      </x:c>
      <x:c r="AC353" s="603" t="n">
        <x:v>0</x:v>
      </x:c>
      <x:c r="AD353" s="603" t="n">
        <x:v>0</x:v>
      </x:c>
      <x:c r="AE353" s="603" t="n">
        <x:v>0.2857142857142857</x:v>
      </x:c>
      <x:c r="AF353" s="603" t="n">
        <x:v>0.3142857142857143</x:v>
      </x:c>
      <x:c r="AG353" s="603" t="n">
        <x:v>0.04285714285714287</x:v>
      </x:c>
      <x:c r="AH353" s="603" t="n">
        <x:v>-0.2302455117849463</x:v>
      </x:c>
      <x:c r="AI353" s="603" t="n">
        <x:v>-0.1754573484624192</x:v>
      </x:c>
      <x:c r="AJ353" s="603" t="n">
        <x:v>0.04537103793692948</x:v>
      </x:c>
      <x:c r="AK353" s="603" t="n">
        <x:v>0.2696039190532848</x:v>
      </x:c>
      <x:c r="AL353" s="603" t="n">
        <x:v>0.324851851454518</x:v>
      </x:c>
      <x:c r="AM353" s="603" t="n">
        <x:v>0.6042</x:v>
      </x:c>
      <x:c r="AN353" s="603" t="inlineStr">
        <x:is>
          <x:t xml:space="preserve">EVALUATED</x:t>
        </x:is>
      </x:c>
      <x:c r="AO353" s="603" t="inlineStr">
        <x:is>
          <x:t xml:space="preserve">BUCKET_1.75、SIDE_IDENTITY_VALID、FLAT_LINE_GIVING_WATER_DROP</x:t>
        </x:is>
      </x:c>
      <x:c r="AP353" s="603" t="inlineStr">
        <x:is>
          <x:t xml:space="preserve">c5af82299caa52a1a3c2</x:t>
        </x:is>
      </x:c>
      <x:c r="AQ353" s="603" t="n">
        <x:v>1.75</x:v>
      </x:c>
      <x:c r="AR353" s="603" t="n">
        <x:v>1.25</x:v>
      </x:c>
      <x:c r="AS353" s="603" t="n">
        <x:v>-1.75</x:v>
      </x:c>
      <x:c r="AT353" s="603" t="n">
        <x:v>1.75</x:v>
      </x:c>
      <x:c r="AU353" s="603" t="n">
        <x:v>0.5</x:v>
      </x:c>
      <x:c r="AV353" s="603" t="n">
        <x:v>1.25</x:v>
      </x:c>
      <x:c r="AW353" s="603" t="n">
        <x:v>46286.01425282408</x:v>
      </x:c>
      <x:c r="AX353" s="603" t="inlineStr">
        <x:is>
          <x:t xml:space="preserve">https://simondongxiao.github.io/odds/v4/</x:t>
        </x:is>
      </x:c>
      <x:c r="AY353" s="603" t="inlineStr">
        <x:is>
          <x:t xml:space="preserve">V4 Shadow Only；real_money=false；比分差异详见记录审计</x:t>
        </x:is>
      </x:c>
    </x:row>
    <x:row r="354" ht="22" customHeight="1">
      <x:c r="A354" s="595" t="inlineStr">
        <x:is>
          <x:t xml:space="preserve">2026-09-21</x:t>
        </x:is>
      </x:c>
      <x:c r="B354" s="595" t="inlineStr">
        <x:is>
          <x:t xml:space="preserve">2026-09-21 19:00</x:t>
        </x:is>
      </x:c>
      <x:c r="C354" s="595" t="str">
        <x:v>西亚/中亚系列</x:v>
      </x:c>
      <x:c r="D354" s="595" t="inlineStr">
        <x:is>
          <x:t xml:space="preserve">联赛</x:t>
        </x:is>
      </x:c>
      <x:c r="E354" s="595" t="inlineStr">
        <x:is>
          <x:t xml:space="preserve">乌兹甲</x:t>
        </x:is>
      </x:c>
      <x:c r="F354" s="595" t="inlineStr">
        <x:is>
          <x:t xml:space="preserve">柏克塔哥B队 vs 休尔坦古佐</x:t>
        </x:is>
      </x:c>
      <x:c r="G354" s="596" t="n">
        <x:v>1</x:v>
      </x:c>
      <x:c r="H354" s="596" t="n">
        <x:v>-1</x:v>
      </x:c>
      <x:c r="I354" s="596" t="n">
        <x:v>1.04</x:v>
      </x:c>
      <x:c r="J354" s="596" t="inlineStr">
        <x:is>
          <x:t xml:space="preserve">1/-1/1.04</x:t>
        </x:is>
      </x:c>
      <x:c r="K354" s="595" t="inlineStr">
        <x:is>
          <x:t xml:space="preserve">V4最新候选-2971096</x:t>
        </x:is>
      </x:c>
      <x:c r="L354" s="595" t="inlineStr">
        <x:is>
          <x:t xml:space="preserve">柏克塔哥B队</x:t>
        </x:is>
      </x:c>
      <x:c r="M354" s="597" t="n">
        <x:v>0.5</x:v>
      </x:c>
      <x:c r="N354" s="595" t="inlineStr">
        <x:is>
          <x:t xml:space="preserve">V4最新页面A/B/C候选</x:t>
        </x:is>
      </x:c>
      <x:c r="O354" s="595" t="inlineStr">
        <x:is>
          <x:t xml:space="preserve">0-4</x:t>
        </x:is>
      </x:c>
      <x:c r="P354" s="595" t="inlineStr">
        <x:is>
          <x:t xml:space="preserve">已结算</x:t>
        </x:is>
      </x:c>
      <x:c r="Q354" s="641" t="inlineStr">
        <x:is>
          <x:t xml:space="preserve">黑</x:t>
        </x:is>
      </x:c>
      <x:c r="R354" s="599" t="n">
        <x:v>1.04</x:v>
      </x:c>
      <x:c r="S354" s="599" t="n">
        <x:f>IF(OR(Q354="",Q354="待结算"),"",IF(Q354="红",R354,IF(Q354="半红",R354*0.5,IF(Q354="走",0,IF(Q354="半黑",-0.5,-1)))))</x:f>
        <x:v>-1</x:v>
      </x:c>
      <x:c r="T354" s="595" t="inlineStr">
        <x:is>
          <x:t xml:space="preserve">https://www.titan007.com/</x:t>
        </x:is>
      </x:c>
      <x:c r="U354" s="640" t="inlineStr">
        <x:is>
          <x:t xml:space="preserve">红</x:t>
        </x:is>
      </x:c>
      <x:c r="V354" s="599" t="n">
        <x:v>1.04</x:v>
      </x:c>
      <x:c r="W354" s="599" t="n">
        <x:f>IF(OR(U354="",U354="待结算"),"",IF(U354="红",V354,IF(U354="半红",V354*0.5,IF(U354="走",0,IF(U354="半黑",-0.5,-1)))))</x:f>
        <x:v>1.04</x:v>
      </x:c>
      <x:c r="X354" s="603" t="inlineStr">
        <x:is>
          <x:t xml:space="preserve">2940188</x:t>
        </x:is>
      </x:c>
      <x:c r="Y354" s="603" t="inlineStr">
        <x:is>
          <x:t xml:space="preserve">v4-market-dirichlet-20260913</x:t>
        </x:is>
      </x:c>
      <x:c r="Z354" s="603" t="inlineStr">
        <x:is>
          <x:t xml:space="preserve">prior-2026-09-21-v1</x:t>
        </x:is>
      </x:c>
      <x:c r="AA354" s="603" t="inlineStr">
        <x:is>
          <x:t xml:space="preserve">C</x:t>
        </x:is>
      </x:c>
      <x:c r="AB354" s="603" t="n">
        <x:v>0.4971428571428572</x:v>
      </x:c>
      <x:c r="AC354" s="603" t="n">
        <x:v>0</x:v>
      </x:c>
      <x:c r="AD354" s="603" t="n">
        <x:v>0</x:v>
      </x:c>
      <x:c r="AE354" s="603" t="n">
        <x:v>0</x:v>
      </x:c>
      <x:c r="AF354" s="603" t="n">
        <x:v>0.5028571428571429</x:v>
      </x:c>
      <x:c r="AG354" s="603" t="n">
        <x:v>0.01417142857142861</x:v>
      </x:c>
      <x:c r="AH354" s="603" t="n">
        <x:v>-0.1105608487637051</x:v>
      </x:c>
      <x:c r="AI354" s="603" t="n">
        <x:v>-0.08081862321426386</x:v>
      </x:c>
      <x:c r="AJ354" s="603" t="n">
        <x:v>0.01507740653706602</x:v>
      </x:c>
      <x:c r="AK354" s="603" t="n">
        <x:v>0.1111775607476208</x:v>
      </x:c>
      <x:c r="AL354" s="603" t="n">
        <x:v>0.1383708396549567</x:v>
      </x:c>
      <x:c r="AM354" s="603" t="n">
        <x:v>0.575</x:v>
      </x:c>
      <x:c r="AN354" s="603" t="inlineStr">
        <x:is>
          <x:t xml:space="preserve">EVALUATED</x:t>
        </x:is>
      </x:c>
      <x:c r="AO354" s="603" t="inlineStr">
        <x:is>
          <x:t xml:space="preserve">BUCKET_0.50、SIDE_IDENTITY_VALID、MARKET_MOVE_DEEPER_WITH_GIVING_WATER_RISE</x:t>
        </x:is>
      </x:c>
      <x:c r="AP354" s="603" t="inlineStr">
        <x:is>
          <x:t xml:space="preserve">344bb68ee141ea95c5c6</x:t>
        </x:is>
      </x:c>
      <x:c r="AQ354" s="603" t="n">
        <x:v>-0.5</x:v>
      </x:c>
      <x:c r="AR354" s="603" t="n">
        <x:v>1.04</x:v>
      </x:c>
      <x:c r="AS354" s="603" t="n">
        <x:v>-0.5</x:v>
      </x:c>
      <x:c r="AT354" s="603" t="n">
        <x:v>0.5</x:v>
      </x:c>
      <x:c r="AU354" s="603" t="n">
        <x:v>1.04</x:v>
      </x:c>
      <x:c r="AV354" s="603" t="n">
        <x:v>0.84</x:v>
      </x:c>
      <x:c r="AW354" s="603" t="n">
        <x:v>46286.01425282408</x:v>
      </x:c>
      <x:c r="AX354" s="603" t="inlineStr">
        <x:is>
          <x:t xml:space="preserve">https://simondongxiao.github.io/odds/v4/</x:t>
        </x:is>
      </x:c>
      <x:c r="AY354" s="603" t="inlineStr">
        <x:is>
          <x:t xml:space="preserve">V4 Shadow Only；real_money=false；比分差异详见记录审计</x:t>
        </x:is>
      </x:c>
    </x:row>
    <x:row r="355" ht="22" customHeight="1">
      <x:c r="A355" s="604" t="inlineStr">
        <x:is>
          <x:t xml:space="preserve">2026-09-21</x:t>
        </x:is>
      </x:c>
      <x:c r="B355" s="604" t="inlineStr">
        <x:is>
          <x:t xml:space="preserve">2026-09-21 19:00</x:t>
        </x:is>
      </x:c>
      <x:c r="C355" s="604" t="str">
        <x:v>南美系列</x:v>
      </x:c>
      <x:c r="D355" s="604" t="inlineStr">
        <x:is>
          <x:t xml:space="preserve">联赛</x:t>
        </x:is>
      </x:c>
      <x:c r="E355" s="604" t="inlineStr">
        <x:is>
          <x:t xml:space="preserve">巴拉后备</x:t>
        </x:is>
      </x:c>
      <x:c r="F355" s="604" t="inlineStr">
        <x:is>
          <x:t xml:space="preserve">圣罗伦索体育会后备队 vs 奥林比亚会后备队</x:t>
        </x:is>
      </x:c>
      <x:c r="G355" s="611" t="n">
        <x:v>2.5</x:v>
      </x:c>
      <x:c r="H355" s="611" t="n">
        <x:v>-2.5</x:v>
      </x:c>
      <x:c r="I355" s="611" t="n">
        <x:v>0.84</x:v>
      </x:c>
      <x:c r="J355" s="604" t="inlineStr">
        <x:is>
          <x:t xml:space="preserve">2.5/-2.5/0.84</x:t>
        </x:is>
      </x:c>
      <x:c r="K355" s="604" t="inlineStr">
        <x:is>
          <x:t xml:space="preserve">V4最新候选-3093723</x:t>
        </x:is>
      </x:c>
      <x:c r="L355" s="604" t="inlineStr">
        <x:is>
          <x:t xml:space="preserve">圣罗伦索体育会后备队</x:t>
        </x:is>
      </x:c>
      <x:c r="M355" s="606" t="n">
        <x:v>0.5</x:v>
      </x:c>
      <x:c r="N355" s="604" t="inlineStr">
        <x:is>
          <x:t xml:space="preserve">V4最新页面A/B/C候选</x:t>
        </x:is>
      </x:c>
      <x:c r="O355" s="604" t="inlineStr">
        <x:is>
          <x:t xml:space="preserve">2-4</x:t>
        </x:is>
      </x:c>
      <x:c r="P355" s="604" t="inlineStr">
        <x:is>
          <x:t xml:space="preserve">已结算</x:t>
        </x:is>
      </x:c>
      <x:c r="Q355" s="645" t="inlineStr">
        <x:is>
          <x:t xml:space="preserve">红</x:t>
        </x:is>
      </x:c>
      <x:c r="R355" s="607" t="n">
        <x:v>0.84</x:v>
      </x:c>
      <x:c r="S355" s="607" t="n">
        <x:f>IF(OR(Q355="",Q355="待结算"),"",IF(Q355="红",R355,IF(Q355="半红",R355*0.5,IF(Q355="走",0,IF(Q355="半黑",-0.5,-1)))))</x:f>
        <x:v>0.84</x:v>
      </x:c>
      <x:c r="T355" s="604" t="inlineStr">
        <x:is>
          <x:t xml:space="preserve">https://www.titan007.com/</x:t>
        </x:is>
      </x:c>
      <x:c r="U355" s="645" t="inlineStr">
        <x:is>
          <x:t xml:space="preserve">红</x:t>
        </x:is>
      </x:c>
      <x:c r="V355" s="607" t="n">
        <x:v>0.8100000000000001</x:v>
      </x:c>
      <x:c r="W355" s="607" t="n">
        <x:f>IF(OR(U355="",U355="待结算"),"",IF(U355="红",V355,IF(U355="半红",V355*0.5,IF(U355="走",0,IF(U355="半黑",-0.5,-1)))))</x:f>
        <x:v>0.81</x:v>
      </x:c>
      <x:c r="X355" s="608" t="inlineStr">
        <x:is>
          <x:t xml:space="preserve">3088011</x:t>
        </x:is>
      </x:c>
      <x:c r="Y355" s="608" t="inlineStr">
        <x:is>
          <x:t xml:space="preserve">v4-market-dirichlet-20260913</x:t>
        </x:is>
      </x:c>
      <x:c r="Z355" s="608" t="inlineStr">
        <x:is>
          <x:t xml:space="preserve">prior-2026-09-21-v1</x:t>
        </x:is>
      </x:c>
      <x:c r="AA355" s="608" t="inlineStr">
        <x:is>
          <x:t xml:space="preserve">C</x:t>
        </x:is>
      </x:c>
      <x:c r="AB355" s="608" t="n">
        <x:v>0.59375</x:v>
      </x:c>
      <x:c r="AC355" s="608" t="n">
        <x:v>0</x:v>
      </x:c>
      <x:c r="AD355" s="608" t="n">
        <x:v>0</x:v>
      </x:c>
      <x:c r="AE355" s="608" t="n">
        <x:v>0</x:v>
      </x:c>
      <x:c r="AF355" s="608" t="n">
        <x:v>0.40625</x:v>
      </x:c>
      <x:c r="AG355" s="608" t="n">
        <x:v>0.1221875</x:v>
      </x:c>
      <x:c r="AH355" s="608" t="n">
        <x:v>-0.1598828154336083</x:v>
      </x:c>
      <x:c r="AI355" s="608" t="n">
        <x:v>-0.09597791513164539</x:v>
      </x:c>
      <x:c r="AJ355" s="608" t="n">
        <x:v>0.126657896396445</x:v>
      </x:c>
      <x:c r="AK355" s="608" t="n">
        <x:v>0.3286813444167792</x:v>
      </x:c>
      <x:c r="AL355" s="608" t="n">
        <x:v>0.3830537054842021</x:v>
      </x:c>
      <x:c r="AM355" s="608" t="n">
        <x:v>0.7732</x:v>
      </x:c>
      <x:c r="AN355" s="608" t="inlineStr">
        <x:is>
          <x:t xml:space="preserve">EVALUATED</x:t>
        </x:is>
      </x:c>
      <x:c r="AO355" s="608" t="inlineStr">
        <x:is>
          <x:t xml:space="preserve">BUCKET_1.50、SIDE_IDENTITY_VALID、MARKET_MOVE_DEEPER_WITH_GIVING_WATER_RISE</x:t>
        </x:is>
      </x:c>
      <x:c r="AP355" s="608" t="inlineStr">
        <x:is>
          <x:t xml:space="preserve">8e1d60d8599ad16188ec</x:t>
        </x:is>
      </x:c>
      <x:c r="AQ355" s="608" t="n">
        <x:v>-1.5</x:v>
      </x:c>
      <x:c r="AR355" s="608" t="n">
        <x:v>0.89</x:v>
      </x:c>
      <x:c r="AS355" s="608" t="n">
        <x:v>1.5</x:v>
      </x:c>
      <x:c r="AT355" s="608" t="n">
        <x:v>-1.5</x:v>
      </x:c>
      <x:c r="AU355" s="608" t="n">
        <x:v>0.8100000000000001</x:v>
      </x:c>
      <x:c r="AV355" s="608" t="n">
        <x:v>0.89</x:v>
      </x:c>
      <x:c r="AW355" s="608" t="n">
        <x:v>46286.01425282408</x:v>
      </x:c>
      <x:c r="AX355" s="608" t="inlineStr">
        <x:is>
          <x:t xml:space="preserve">https://simondongxiao.github.io/odds/v4/</x:t>
        </x:is>
      </x:c>
      <x:c r="AY355" s="608" t="inlineStr">
        <x:is>
          <x:t xml:space="preserve">V4 Shadow Only；real_money=false；比分差异详见记录审计</x:t>
        </x:is>
      </x:c>
    </x:row>
    <x:row r="356" ht="22" customHeight="1">
      <x:c r="A356" s="604" t="inlineStr">
        <x:is>
          <x:t xml:space="preserve">2026-09-21</x:t>
        </x:is>
      </x:c>
      <x:c r="B356" s="604" t="inlineStr">
        <x:is>
          <x:t xml:space="preserve">2026-09-21 20:00</x:t>
        </x:is>
      </x:c>
      <x:c r="C356" s="604" t="str">
        <x:v>欧洲非五大系列</x:v>
      </x:c>
      <x:c r="D356" s="604" t="inlineStr">
        <x:is>
          <x:t xml:space="preserve">联赛</x:t>
        </x:is>
      </x:c>
      <x:c r="E356" s="604" t="inlineStr">
        <x:is>
          <x:t xml:space="preserve">挪丙</x:t>
        </x:is>
      </x:c>
      <x:c r="F356" s="604" t="inlineStr">
        <x:is>
          <x:t xml:space="preserve">特罗姆瑟B队 vs 康斯文格B队</x:t>
        </x:is>
      </x:c>
      <x:c r="G356" s="611" t="n">
        <x:v>0.75</x:v>
      </x:c>
      <x:c r="H356" s="611" t="n">
        <x:v>0.75</x:v>
      </x:c>
      <x:c r="I356" s="611" t="n">
        <x:v>1.08</x:v>
      </x:c>
      <x:c r="J356" s="604" t="inlineStr">
        <x:is>
          <x:t xml:space="preserve">1.08/0.75/1.08</x:t>
        </x:is>
      </x:c>
      <x:c r="K356" s="604" t="inlineStr">
        <x:is>
          <x:t xml:space="preserve">V4最新候选-2968255</x:t>
        </x:is>
      </x:c>
      <x:c r="L356" s="604" t="inlineStr">
        <x:is>
          <x:t xml:space="preserve">康斯文格B队</x:t>
        </x:is>
      </x:c>
      <x:c r="M356" s="606" t="n">
        <x:v>0.5</x:v>
      </x:c>
      <x:c r="N356" s="604" t="inlineStr">
        <x:is>
          <x:t xml:space="preserve">V4最新页面A/B/C候选</x:t>
        </x:is>
      </x:c>
      <x:c r="O356" s="604" t="inlineStr">
        <x:is>
          <x:t xml:space="preserve">6-0</x:t>
        </x:is>
      </x:c>
      <x:c r="P356" s="604" t="inlineStr">
        <x:is>
          <x:t xml:space="preserve">已结算</x:t>
        </x:is>
      </x:c>
      <x:c r="Q356" s="646" t="inlineStr">
        <x:is>
          <x:t xml:space="preserve">黑</x:t>
        </x:is>
      </x:c>
      <x:c r="R356" s="607" t="n">
        <x:v>1.08</x:v>
      </x:c>
      <x:c r="S356" s="607" t="n">
        <x:f>IF(OR(Q356="",Q356="待结算"),"",IF(Q356="红",R356,IF(Q356="半红",R356*0.5,IF(Q356="走",0,IF(Q356="半黑",-0.5,-1)))))</x:f>
        <x:v>-1</x:v>
      </x:c>
      <x:c r="T356" s="604" t="inlineStr">
        <x:is>
          <x:t xml:space="preserve">https://www.titan007.com/</x:t>
        </x:is>
      </x:c>
      <x:c r="U356" s="645" t="inlineStr">
        <x:is>
          <x:t xml:space="preserve">红</x:t>
        </x:is>
      </x:c>
      <x:c r="V356" s="607" t="n">
        <x:v>0.8100000000000001</x:v>
      </x:c>
      <x:c r="W356" s="607" t="n">
        <x:f>IF(OR(U356="",U356="待结算"),"",IF(U356="红",V356,IF(U356="半红",V356*0.5,IF(U356="走",0,IF(U356="半黑",-0.5,-1)))))</x:f>
        <x:v>0.81</x:v>
      </x:c>
      <x:c r="X356" s="608" t="inlineStr">
        <x:is>
          <x:t xml:space="preserve">3088011</x:t>
        </x:is>
      </x:c>
      <x:c r="Y356" s="608" t="inlineStr">
        <x:is>
          <x:t xml:space="preserve">v4-market-dirichlet-20260913</x:t>
        </x:is>
      </x:c>
      <x:c r="Z356" s="608" t="inlineStr">
        <x:is>
          <x:t xml:space="preserve">prior-2026-09-21-v1</x:t>
        </x:is>
      </x:c>
      <x:c r="AA356" s="608" t="inlineStr">
        <x:is>
          <x:t xml:space="preserve">C</x:t>
        </x:is>
      </x:c>
      <x:c r="AB356" s="608" t="n">
        <x:v>0.59375</x:v>
      </x:c>
      <x:c r="AC356" s="608" t="n">
        <x:v>0</x:v>
      </x:c>
      <x:c r="AD356" s="608" t="n">
        <x:v>0</x:v>
      </x:c>
      <x:c r="AE356" s="608" t="n">
        <x:v>0</x:v>
      </x:c>
      <x:c r="AF356" s="608" t="n">
        <x:v>0.40625</x:v>
      </x:c>
      <x:c r="AG356" s="608" t="n">
        <x:v>0.1221875</x:v>
      </x:c>
      <x:c r="AH356" s="608" t="n">
        <x:v>-0.1598828154336083</x:v>
      </x:c>
      <x:c r="AI356" s="608" t="n">
        <x:v>-0.09597791513164539</x:v>
      </x:c>
      <x:c r="AJ356" s="608" t="n">
        <x:v>0.126657896396445</x:v>
      </x:c>
      <x:c r="AK356" s="608" t="n">
        <x:v>0.3286813444167792</x:v>
      </x:c>
      <x:c r="AL356" s="608" t="n">
        <x:v>0.3830537054842021</x:v>
      </x:c>
      <x:c r="AM356" s="608" t="n">
        <x:v>0.7732</x:v>
      </x:c>
      <x:c r="AN356" s="608" t="inlineStr">
        <x:is>
          <x:t xml:space="preserve">EVALUATED</x:t>
        </x:is>
      </x:c>
      <x:c r="AO356" s="608" t="inlineStr">
        <x:is>
          <x:t xml:space="preserve">BUCKET_1.50、SIDE_IDENTITY_VALID、MARKET_MOVE_DEEPER_WITH_GIVING_WATER_RISE</x:t>
        </x:is>
      </x:c>
      <x:c r="AP356" s="608" t="inlineStr">
        <x:is>
          <x:t xml:space="preserve">8e1d60d8599ad16188ec</x:t>
        </x:is>
      </x:c>
      <x:c r="AQ356" s="608" t="n">
        <x:v>-1.5</x:v>
      </x:c>
      <x:c r="AR356" s="608" t="n">
        <x:v>0.89</x:v>
      </x:c>
      <x:c r="AS356" s="608" t="n">
        <x:v>1.5</x:v>
      </x:c>
      <x:c r="AT356" s="608" t="n">
        <x:v>-1.5</x:v>
      </x:c>
      <x:c r="AU356" s="608" t="n">
        <x:v>0.8100000000000001</x:v>
      </x:c>
      <x:c r="AV356" s="608" t="n">
        <x:v>0.89</x:v>
      </x:c>
      <x:c r="AW356" s="608" t="n">
        <x:v>46286.01425282408</x:v>
      </x:c>
      <x:c r="AX356" s="608" t="inlineStr">
        <x:is>
          <x:t xml:space="preserve">https://simondongxiao.github.io/odds/v4/</x:t>
        </x:is>
      </x:c>
      <x:c r="AY356" s="608" t="inlineStr">
        <x:is>
          <x:t xml:space="preserve">V4 Shadow Only；real_money=false；比分差异详见记录审计</x:t>
        </x:is>
      </x:c>
    </x:row>
    <x:row r="357" ht="22" customHeight="1">
      <x:c r="A357" s="604" t="inlineStr">
        <x:is>
          <x:t xml:space="preserve">2026-09-21</x:t>
        </x:is>
      </x:c>
      <x:c r="B357" s="604" t="inlineStr">
        <x:is>
          <x:t xml:space="preserve">2026-09-21 22:00</x:t>
        </x:is>
      </x:c>
      <x:c r="C357" s="604" t="str">
        <x:v>其他系列</x:v>
      </x:c>
      <x:c r="D357" s="604" t="inlineStr">
        <x:is>
          <x:t xml:space="preserve">联赛</x:t>
        </x:is>
      </x:c>
      <x:c r="E357" s="604" t="inlineStr">
        <x:is>
          <x:t xml:space="preserve">国际友谊</x:t>
        </x:is>
      </x:c>
      <x:c r="F357" s="604" t="inlineStr">
        <x:is>
          <x:t xml:space="preserve">多米尼克 vs 安圭拉</x:t>
        </x:is>
      </x:c>
      <x:c r="G357" s="611" t="n">
        <x:v>2</x:v>
      </x:c>
      <x:c r="H357" s="611" t="n">
        <x:v>-2</x:v>
      </x:c>
      <x:c r="I357" s="611" t="n">
        <x:v>0.93</x:v>
      </x:c>
      <x:c r="J357" s="604" t="inlineStr">
        <x:is>
          <x:t xml:space="preserve">2/-2/0.93</x:t>
        </x:is>
      </x:c>
      <x:c r="K357" s="604" t="inlineStr">
        <x:is>
          <x:t xml:space="preserve">V4最新候选-3091966</x:t>
        </x:is>
      </x:c>
      <x:c r="L357" s="604" t="inlineStr">
        <x:is>
          <x:t xml:space="preserve">多米尼克</x:t>
        </x:is>
      </x:c>
      <x:c r="M357" s="606" t="n">
        <x:v>0.5</x:v>
      </x:c>
      <x:c r="N357" s="604" t="inlineStr">
        <x:is>
          <x:t xml:space="preserve">V4最新页面A/B/C候选</x:t>
        </x:is>
      </x:c>
      <x:c r="O357" s="604" t="inlineStr">
        <x:is>
          <x:t xml:space="preserve">1-0</x:t>
        </x:is>
      </x:c>
      <x:c r="P357" s="604" t="inlineStr">
        <x:is>
          <x:t xml:space="preserve">已结算</x:t>
        </x:is>
      </x:c>
      <x:c r="Q357" s="645" t="inlineStr">
        <x:is>
          <x:t xml:space="preserve">红</x:t>
        </x:is>
      </x:c>
      <x:c r="R357" s="607" t="n">
        <x:v>0.93</x:v>
      </x:c>
      <x:c r="S357" s="607" t="n">
        <x:f>IF(OR(Q357="",Q357="待结算"),"",IF(Q357="红",R357,IF(Q357="半红",R357*0.5,IF(Q357="走",0,IF(Q357="半黑",-0.5,-1)))))</x:f>
        <x:v>0.93</x:v>
      </x:c>
      <x:c r="T357" s="604" t="inlineStr">
        <x:is>
          <x:t xml:space="preserve">https://www.titan007.com/</x:t>
        </x:is>
      </x:c>
      <x:c r="U357" s="645" t="inlineStr">
        <x:is>
          <x:t xml:space="preserve">红</x:t>
        </x:is>
      </x:c>
      <x:c r="V357" s="607" t="n">
        <x:v>0.8100000000000001</x:v>
      </x:c>
      <x:c r="W357" s="607" t="n">
        <x:f>IF(OR(U357="",U357="待结算"),"",IF(U357="红",V357,IF(U357="半红",V357*0.5,IF(U357="走",0,IF(U357="半黑",-0.5,-1)))))</x:f>
        <x:v>0.81</x:v>
      </x:c>
      <x:c r="X357" s="608" t="inlineStr">
        <x:is>
          <x:t xml:space="preserve">3088011</x:t>
        </x:is>
      </x:c>
      <x:c r="Y357" s="608" t="inlineStr">
        <x:is>
          <x:t xml:space="preserve">v4-market-dirichlet-20260913</x:t>
        </x:is>
      </x:c>
      <x:c r="Z357" s="608" t="inlineStr">
        <x:is>
          <x:t xml:space="preserve">prior-2026-09-21-v1</x:t>
        </x:is>
      </x:c>
      <x:c r="AA357" s="608" t="inlineStr">
        <x:is>
          <x:t xml:space="preserve">C</x:t>
        </x:is>
      </x:c>
      <x:c r="AB357" s="608" t="n">
        <x:v>0.59375</x:v>
      </x:c>
      <x:c r="AC357" s="608" t="n">
        <x:v>0</x:v>
      </x:c>
      <x:c r="AD357" s="608" t="n">
        <x:v>0</x:v>
      </x:c>
      <x:c r="AE357" s="608" t="n">
        <x:v>0</x:v>
      </x:c>
      <x:c r="AF357" s="608" t="n">
        <x:v>0.40625</x:v>
      </x:c>
      <x:c r="AG357" s="608" t="n">
        <x:v>0.1221875</x:v>
      </x:c>
      <x:c r="AH357" s="608" t="n">
        <x:v>-0.1598828154336083</x:v>
      </x:c>
      <x:c r="AI357" s="608" t="n">
        <x:v>-0.09597791513164539</x:v>
      </x:c>
      <x:c r="AJ357" s="608" t="n">
        <x:v>0.126657896396445</x:v>
      </x:c>
      <x:c r="AK357" s="608" t="n">
        <x:v>0.3286813444167792</x:v>
      </x:c>
      <x:c r="AL357" s="608" t="n">
        <x:v>0.3830537054842021</x:v>
      </x:c>
      <x:c r="AM357" s="608" t="n">
        <x:v>0.7732</x:v>
      </x:c>
      <x:c r="AN357" s="608" t="inlineStr">
        <x:is>
          <x:t xml:space="preserve">EVALUATED</x:t>
        </x:is>
      </x:c>
      <x:c r="AO357" s="608" t="inlineStr">
        <x:is>
          <x:t xml:space="preserve">BUCKET_1.50、SIDE_IDENTITY_VALID、MARKET_MOVE_DEEPER_WITH_GIVING_WATER_RISE</x:t>
        </x:is>
      </x:c>
      <x:c r="AP357" s="608" t="inlineStr">
        <x:is>
          <x:t xml:space="preserve">8e1d60d8599ad16188ec</x:t>
        </x:is>
      </x:c>
      <x:c r="AQ357" s="608" t="n">
        <x:v>-1.5</x:v>
      </x:c>
      <x:c r="AR357" s="608" t="n">
        <x:v>0.89</x:v>
      </x:c>
      <x:c r="AS357" s="608" t="n">
        <x:v>1.5</x:v>
      </x:c>
      <x:c r="AT357" s="608" t="n">
        <x:v>-1.5</x:v>
      </x:c>
      <x:c r="AU357" s="608" t="n">
        <x:v>0.8100000000000001</x:v>
      </x:c>
      <x:c r="AV357" s="608" t="n">
        <x:v>0.89</x:v>
      </x:c>
      <x:c r="AW357" s="608" t="n">
        <x:v>46286.01425282408</x:v>
      </x:c>
      <x:c r="AX357" s="608" t="inlineStr">
        <x:is>
          <x:t xml:space="preserve">https://simondongxiao.github.io/odds/v4/</x:t>
        </x:is>
      </x:c>
      <x:c r="AY357" s="608" t="inlineStr">
        <x:is>
          <x:t xml:space="preserve">V4 Shadow Only；real_money=false；比分差异详见记录审计</x:t>
        </x:is>
      </x:c>
    </x:row>
    <x:row r="358" ht="22" customHeight="1">
      <x:c r="A358" s="604" t="inlineStr">
        <x:is>
          <x:t xml:space="preserve">2026-09-21</x:t>
        </x:is>
      </x:c>
      <x:c r="B358" s="604" t="inlineStr">
        <x:is>
          <x:t xml:space="preserve">2026-09-21 23:00</x:t>
        </x:is>
      </x:c>
      <x:c r="C358" s="604" t="str">
        <x:v>欧洲非五大系列</x:v>
      </x:c>
      <x:c r="D358" s="604" t="inlineStr">
        <x:is>
          <x:t xml:space="preserve">联赛</x:t>
        </x:is>
      </x:c>
      <x:c r="E358" s="604" t="inlineStr">
        <x:is>
          <x:t xml:space="preserve">斯伐甲</x:t>
        </x:is>
      </x:c>
      <x:c r="F358" s="604" t="inlineStr">
        <x:is>
          <x:t xml:space="preserve">阿特梅迪亚 vs 杜纳达纳</x:t>
        </x:is>
      </x:c>
      <x:c r="G358" s="611" t="n">
        <x:v>1</x:v>
      </x:c>
      <x:c r="H358" s="611" t="n">
        <x:v>1</x:v>
      </x:c>
      <x:c r="I358" s="611" t="n">
        <x:v>0.9</x:v>
      </x:c>
      <x:c r="J358" s="604" t="inlineStr">
        <x:is>
          <x:t xml:space="preserve">0.9/1/0.9</x:t>
        </x:is>
      </x:c>
      <x:c r="K358" s="604" t="inlineStr">
        <x:is>
          <x:t xml:space="preserve">V4最新候选-3037919</x:t>
        </x:is>
      </x:c>
      <x:c r="L358" s="604" t="inlineStr">
        <x:is>
          <x:t xml:space="preserve">杜纳达纳</x:t>
        </x:is>
      </x:c>
      <x:c r="M358" s="606" t="n">
        <x:v>0.5</x:v>
      </x:c>
      <x:c r="N358" s="604" t="inlineStr">
        <x:is>
          <x:t xml:space="preserve">V4最新页面A/B/C候选</x:t>
        </x:is>
      </x:c>
      <x:c r="O358" s="604" t="inlineStr">
        <x:is>
          <x:t xml:space="preserve">1-0</x:t>
        </x:is>
      </x:c>
      <x:c r="P358" s="604" t="inlineStr">
        <x:is>
          <x:t xml:space="preserve">已结算</x:t>
        </x:is>
      </x:c>
      <x:c r="Q358" s="647" t="inlineStr">
        <x:is>
          <x:t xml:space="preserve">走</x:t>
        </x:is>
      </x:c>
      <x:c r="R358" s="607" t="n">
        <x:v>0.9</x:v>
      </x:c>
      <x:c r="S358" s="607" t="n">
        <x:f>IF(OR(Q358="",Q358="待结算"),"",IF(Q358="红",R358,IF(Q358="半红",R358*0.5,IF(Q358="走",0,IF(Q358="半黑",-0.5,-1)))))</x:f>
        <x:v>0</x:v>
      </x:c>
      <x:c r="T358" s="604" t="inlineStr">
        <x:is>
          <x:t xml:space="preserve">https://www.titan007.com/</x:t>
        </x:is>
      </x:c>
      <x:c r="U358" s="645" t="inlineStr">
        <x:is>
          <x:t xml:space="preserve">红</x:t>
        </x:is>
      </x:c>
      <x:c r="V358" s="607" t="n">
        <x:v>0.8100000000000001</x:v>
      </x:c>
      <x:c r="W358" s="607" t="n">
        <x:f>IF(OR(U358="",U358="待结算"),"",IF(U358="红",V358,IF(U358="半红",V358*0.5,IF(U358="走",0,IF(U358="半黑",-0.5,-1)))))</x:f>
        <x:v>0.81</x:v>
      </x:c>
      <x:c r="X358" s="608" t="inlineStr">
        <x:is>
          <x:t xml:space="preserve">3088011</x:t>
        </x:is>
      </x:c>
      <x:c r="Y358" s="608" t="inlineStr">
        <x:is>
          <x:t xml:space="preserve">v4-market-dirichlet-20260913</x:t>
        </x:is>
      </x:c>
      <x:c r="Z358" s="608" t="inlineStr">
        <x:is>
          <x:t xml:space="preserve">prior-2026-09-21-v1</x:t>
        </x:is>
      </x:c>
      <x:c r="AA358" s="608" t="inlineStr">
        <x:is>
          <x:t xml:space="preserve">C</x:t>
        </x:is>
      </x:c>
      <x:c r="AB358" s="608" t="n">
        <x:v>0.59375</x:v>
      </x:c>
      <x:c r="AC358" s="608" t="n">
        <x:v>0</x:v>
      </x:c>
      <x:c r="AD358" s="608" t="n">
        <x:v>0</x:v>
      </x:c>
      <x:c r="AE358" s="608" t="n">
        <x:v>0</x:v>
      </x:c>
      <x:c r="AF358" s="608" t="n">
        <x:v>0.40625</x:v>
      </x:c>
      <x:c r="AG358" s="608" t="n">
        <x:v>0.1221875</x:v>
      </x:c>
      <x:c r="AH358" s="608" t="n">
        <x:v>-0.1598828154336083</x:v>
      </x:c>
      <x:c r="AI358" s="608" t="n">
        <x:v>-0.09597791513164539</x:v>
      </x:c>
      <x:c r="AJ358" s="608" t="n">
        <x:v>0.126657896396445</x:v>
      </x:c>
      <x:c r="AK358" s="608" t="n">
        <x:v>0.3286813444167792</x:v>
      </x:c>
      <x:c r="AL358" s="608" t="n">
        <x:v>0.3830537054842021</x:v>
      </x:c>
      <x:c r="AM358" s="608" t="n">
        <x:v>0.7732</x:v>
      </x:c>
      <x:c r="AN358" s="608" t="inlineStr">
        <x:is>
          <x:t xml:space="preserve">EVALUATED</x:t>
        </x:is>
      </x:c>
      <x:c r="AO358" s="608" t="inlineStr">
        <x:is>
          <x:t xml:space="preserve">BUCKET_1.50、SIDE_IDENTITY_VALID、MARKET_MOVE_DEEPER_WITH_GIVING_WATER_RISE</x:t>
        </x:is>
      </x:c>
      <x:c r="AP358" s="608" t="inlineStr">
        <x:is>
          <x:t xml:space="preserve">8e1d60d8599ad16188ec</x:t>
        </x:is>
      </x:c>
      <x:c r="AQ358" s="608" t="n">
        <x:v>-1.5</x:v>
      </x:c>
      <x:c r="AR358" s="608" t="n">
        <x:v>0.89</x:v>
      </x:c>
      <x:c r="AS358" s="608" t="n">
        <x:v>1.5</x:v>
      </x:c>
      <x:c r="AT358" s="608" t="n">
        <x:v>-1.5</x:v>
      </x:c>
      <x:c r="AU358" s="608" t="n">
        <x:v>0.8100000000000001</x:v>
      </x:c>
      <x:c r="AV358" s="608" t="n">
        <x:v>0.89</x:v>
      </x:c>
      <x:c r="AW358" s="608" t="n">
        <x:v>46286.01425282408</x:v>
      </x:c>
      <x:c r="AX358" s="608" t="inlineStr">
        <x:is>
          <x:t xml:space="preserve">https://simondongxiao.github.io/odds/v4/</x:t>
        </x:is>
      </x:c>
      <x:c r="AY358" s="608" t="inlineStr">
        <x:is>
          <x:t xml:space="preserve">V4 Shadow Only；real_money=false；比分差异详见记录审计</x:t>
        </x:is>
      </x:c>
    </x:row>
    <x:row r="359" ht="22" customHeight="1">
      <x:c r="A359" s="604" t="inlineStr">
        <x:is>
          <x:t xml:space="preserve">2026-09-21</x:t>
        </x:is>
      </x:c>
      <x:c r="B359" s="604" t="inlineStr">
        <x:is>
          <x:t xml:space="preserve">2026-09-22 02:00</x:t>
        </x:is>
      </x:c>
      <x:c r="C359" s="604" t="str">
        <x:v>欧洲非五大系列</x:v>
      </x:c>
      <x:c r="D359" s="604" t="inlineStr">
        <x:is>
          <x:t xml:space="preserve">联赛</x:t>
        </x:is>
      </x:c>
      <x:c r="E359" s="604" t="inlineStr">
        <x:is>
          <x:t xml:space="preserve">罗甲</x:t>
        </x:is>
      </x:c>
      <x:c r="F359" s="604" t="inlineStr">
        <x:is>
          <x:t xml:space="preserve">佩特罗鲁 vs FK米耶尔库雷亚丘克</x:t>
        </x:is>
      </x:c>
      <x:c r="G359" s="611" t="n">
        <x:v>0.75</x:v>
      </x:c>
      <x:c r="H359" s="611" t="n">
        <x:v>0.75</x:v>
      </x:c>
      <x:c r="I359" s="611" t="n">
        <x:v>0.98</x:v>
      </x:c>
      <x:c r="J359" s="604" t="inlineStr">
        <x:is>
          <x:t xml:space="preserve">0.98/0.75/0.98</x:t>
        </x:is>
      </x:c>
      <x:c r="K359" s="604" t="inlineStr">
        <x:is>
          <x:t xml:space="preserve">V4最新候选-3010431</x:t>
        </x:is>
      </x:c>
      <x:c r="L359" s="604" t="inlineStr">
        <x:is>
          <x:t xml:space="preserve">FK米耶尔库雷亚丘克</x:t>
        </x:is>
      </x:c>
      <x:c r="M359" s="606" t="n">
        <x:v>0.5</x:v>
      </x:c>
      <x:c r="N359" s="604" t="inlineStr">
        <x:is>
          <x:t xml:space="preserve">V4最新页面A/B/C候选</x:t>
        </x:is>
      </x:c>
      <x:c r="O359" s="604" t="inlineStr">
        <x:is>
          <x:t xml:space="preserve">2-0</x:t>
        </x:is>
      </x:c>
      <x:c r="P359" s="604" t="inlineStr">
        <x:is>
          <x:t xml:space="preserve">已结算</x:t>
        </x:is>
      </x:c>
      <x:c r="Q359" s="646" t="inlineStr">
        <x:is>
          <x:t xml:space="preserve">黑</x:t>
        </x:is>
      </x:c>
      <x:c r="R359" s="607" t="n">
        <x:v>0.98</x:v>
      </x:c>
      <x:c r="S359" s="607" t="n">
        <x:f>IF(OR(Q359="",Q359="待结算"),"",IF(Q359="红",R359,IF(Q359="半红",R359*0.5,IF(Q359="走",0,IF(Q359="半黑",-0.5,-1)))))</x:f>
        <x:v>-1</x:v>
      </x:c>
      <x:c r="T359" s="604" t="inlineStr">
        <x:is>
          <x:t xml:space="preserve">https://www.titan007.com/</x:t>
        </x:is>
      </x:c>
      <x:c r="U359" s="645" t="inlineStr">
        <x:is>
          <x:t xml:space="preserve">红</x:t>
        </x:is>
      </x:c>
      <x:c r="V359" s="607" t="n">
        <x:v>0.8100000000000001</x:v>
      </x:c>
      <x:c r="W359" s="607" t="n">
        <x:f>IF(OR(U359="",U359="待结算"),"",IF(U359="红",V359,IF(U359="半红",V359*0.5,IF(U359="走",0,IF(U359="半黑",-0.5,-1)))))</x:f>
        <x:v>0.81</x:v>
      </x:c>
      <x:c r="X359" s="608" t="inlineStr">
        <x:is>
          <x:t xml:space="preserve">3088011</x:t>
        </x:is>
      </x:c>
      <x:c r="Y359" s="608" t="inlineStr">
        <x:is>
          <x:t xml:space="preserve">v4-market-dirichlet-20260913</x:t>
        </x:is>
      </x:c>
      <x:c r="Z359" s="608" t="inlineStr">
        <x:is>
          <x:t xml:space="preserve">prior-2026-09-21-v1</x:t>
        </x:is>
      </x:c>
      <x:c r="AA359" s="608" t="inlineStr">
        <x:is>
          <x:t xml:space="preserve">C</x:t>
        </x:is>
      </x:c>
      <x:c r="AB359" s="608" t="n">
        <x:v>0.59375</x:v>
      </x:c>
      <x:c r="AC359" s="608" t="n">
        <x:v>0</x:v>
      </x:c>
      <x:c r="AD359" s="608" t="n">
        <x:v>0</x:v>
      </x:c>
      <x:c r="AE359" s="608" t="n">
        <x:v>0</x:v>
      </x:c>
      <x:c r="AF359" s="608" t="n">
        <x:v>0.40625</x:v>
      </x:c>
      <x:c r="AG359" s="608" t="n">
        <x:v>0.1221875</x:v>
      </x:c>
      <x:c r="AH359" s="608" t="n">
        <x:v>-0.1598828154336083</x:v>
      </x:c>
      <x:c r="AI359" s="608" t="n">
        <x:v>-0.09597791513164539</x:v>
      </x:c>
      <x:c r="AJ359" s="608" t="n">
        <x:v>0.126657896396445</x:v>
      </x:c>
      <x:c r="AK359" s="608" t="n">
        <x:v>0.3286813444167792</x:v>
      </x:c>
      <x:c r="AL359" s="608" t="n">
        <x:v>0.3830537054842021</x:v>
      </x:c>
      <x:c r="AM359" s="608" t="n">
        <x:v>0.7732</x:v>
      </x:c>
      <x:c r="AN359" s="608" t="inlineStr">
        <x:is>
          <x:t xml:space="preserve">EVALUATED</x:t>
        </x:is>
      </x:c>
      <x:c r="AO359" s="608" t="inlineStr">
        <x:is>
          <x:t xml:space="preserve">BUCKET_1.50、SIDE_IDENTITY_VALID、MARKET_MOVE_DEEPER_WITH_GIVING_WATER_RISE</x:t>
        </x:is>
      </x:c>
      <x:c r="AP359" s="608" t="inlineStr">
        <x:is>
          <x:t xml:space="preserve">8e1d60d8599ad16188ec</x:t>
        </x:is>
      </x:c>
      <x:c r="AQ359" s="608" t="n">
        <x:v>-1.5</x:v>
      </x:c>
      <x:c r="AR359" s="608" t="n">
        <x:v>0.89</x:v>
      </x:c>
      <x:c r="AS359" s="608" t="n">
        <x:v>1.5</x:v>
      </x:c>
      <x:c r="AT359" s="608" t="n">
        <x:v>-1.5</x:v>
      </x:c>
      <x:c r="AU359" s="608" t="n">
        <x:v>0.8100000000000001</x:v>
      </x:c>
      <x:c r="AV359" s="608" t="n">
        <x:v>0.89</x:v>
      </x:c>
      <x:c r="AW359" s="608" t="n">
        <x:v>46286.01425282408</x:v>
      </x:c>
      <x:c r="AX359" s="608" t="inlineStr">
        <x:is>
          <x:t xml:space="preserve">https://simondongxiao.github.io/odds/v4/</x:t>
        </x:is>
      </x:c>
      <x:c r="AY359" s="608" t="inlineStr">
        <x:is>
          <x:t xml:space="preserve">V4 Shadow Only；real_money=false；比分差异详见记录审计</x:t>
        </x:is>
      </x:c>
    </x:row>
    <x:row r="360" ht="22" customHeight="1">
      <x:c r="A360" s="604" t="inlineStr">
        <x:is>
          <x:t xml:space="preserve">2026-09-21</x:t>
        </x:is>
      </x:c>
      <x:c r="B360" s="604" t="inlineStr">
        <x:is>
          <x:t xml:space="preserve">2026-09-22 02:00</x:t>
        </x:is>
      </x:c>
      <x:c r="C360" s="604" t="str">
        <x:v>五大联赛非顶级联赛</x:v>
      </x:c>
      <x:c r="D360" s="604" t="inlineStr">
        <x:is>
          <x:t xml:space="preserve">联赛</x:t>
        </x:is>
      </x:c>
      <x:c r="E360" s="604" t="inlineStr">
        <x:is>
          <x:t xml:space="preserve">英U21</x:t>
        </x:is>
      </x:c>
      <x:c r="F360" s="604" t="inlineStr">
        <x:is>
          <x:t xml:space="preserve">伯恩茅斯U21 vs 斯托克城U21</x:t>
        </x:is>
      </x:c>
      <x:c r="G360" s="611" t="n">
        <x:v>0.75</x:v>
      </x:c>
      <x:c r="H360" s="611" t="n">
        <x:v>0.75</x:v>
      </x:c>
      <x:c r="I360" s="611" t="n">
        <x:v>1.01</x:v>
      </x:c>
      <x:c r="J360" s="604" t="inlineStr">
        <x:is>
          <x:t xml:space="preserve">1.01/0.75/1.01</x:t>
        </x:is>
      </x:c>
      <x:c r="K360" s="604" t="inlineStr">
        <x:is>
          <x:t xml:space="preserve">V4最新候选-3065807</x:t>
        </x:is>
      </x:c>
      <x:c r="L360" s="604" t="inlineStr">
        <x:is>
          <x:t xml:space="preserve">斯托克城U21</x:t>
        </x:is>
      </x:c>
      <x:c r="M360" s="606" t="n">
        <x:v>0.5</x:v>
      </x:c>
      <x:c r="N360" s="604" t="inlineStr">
        <x:is>
          <x:t xml:space="preserve">V4最新页面A/B/C候选</x:t>
        </x:is>
      </x:c>
      <x:c r="O360" s="604" t="inlineStr">
        <x:is>
          <x:t xml:space="preserve">2-1</x:t>
        </x:is>
      </x:c>
      <x:c r="P360" s="604" t="inlineStr">
        <x:is>
          <x:t xml:space="preserve">已结算</x:t>
        </x:is>
      </x:c>
      <x:c r="Q360" s="648" t="inlineStr">
        <x:is>
          <x:t xml:space="preserve">半黑</x:t>
        </x:is>
      </x:c>
      <x:c r="R360" s="607" t="n">
        <x:v>1.01</x:v>
      </x:c>
      <x:c r="S360" s="607" t="n">
        <x:f>IF(OR(Q360="",Q360="待结算"),"",IF(Q360="红",R360,IF(Q360="半红",R360*0.5,IF(Q360="走",0,IF(Q360="半黑",-0.5,-1)))))</x:f>
        <x:v>-0.5</x:v>
      </x:c>
      <x:c r="T360" s="604" t="inlineStr">
        <x:is>
          <x:t xml:space="preserve">https://www.titan007.com/</x:t>
        </x:is>
      </x:c>
      <x:c r="U360" s="645" t="inlineStr">
        <x:is>
          <x:t xml:space="preserve">红</x:t>
        </x:is>
      </x:c>
      <x:c r="V360" s="607" t="n">
        <x:v>0.8100000000000001</x:v>
      </x:c>
      <x:c r="W360" s="607" t="n">
        <x:f>IF(OR(U360="",U360="待结算"),"",IF(U360="红",V360,IF(U360="半红",V360*0.5,IF(U360="走",0,IF(U360="半黑",-0.5,-1)))))</x:f>
        <x:v>0.81</x:v>
      </x:c>
      <x:c r="X360" s="608" t="inlineStr">
        <x:is>
          <x:t xml:space="preserve">3088011</x:t>
        </x:is>
      </x:c>
      <x:c r="Y360" s="608" t="inlineStr">
        <x:is>
          <x:t xml:space="preserve">v4-market-dirichlet-20260913</x:t>
        </x:is>
      </x:c>
      <x:c r="Z360" s="608" t="inlineStr">
        <x:is>
          <x:t xml:space="preserve">prior-2026-09-21-v1</x:t>
        </x:is>
      </x:c>
      <x:c r="AA360" s="608" t="inlineStr">
        <x:is>
          <x:t xml:space="preserve">C</x:t>
        </x:is>
      </x:c>
      <x:c r="AB360" s="608" t="n">
        <x:v>0.59375</x:v>
      </x:c>
      <x:c r="AC360" s="608" t="n">
        <x:v>0</x:v>
      </x:c>
      <x:c r="AD360" s="608" t="n">
        <x:v>0</x:v>
      </x:c>
      <x:c r="AE360" s="608" t="n">
        <x:v>0</x:v>
      </x:c>
      <x:c r="AF360" s="608" t="n">
        <x:v>0.40625</x:v>
      </x:c>
      <x:c r="AG360" s="608" t="n">
        <x:v>0.1221875</x:v>
      </x:c>
      <x:c r="AH360" s="608" t="n">
        <x:v>-0.1598828154336083</x:v>
      </x:c>
      <x:c r="AI360" s="608" t="n">
        <x:v>-0.09597791513164539</x:v>
      </x:c>
      <x:c r="AJ360" s="608" t="n">
        <x:v>0.126657896396445</x:v>
      </x:c>
      <x:c r="AK360" s="608" t="n">
        <x:v>0.3286813444167792</x:v>
      </x:c>
      <x:c r="AL360" s="608" t="n">
        <x:v>0.3830537054842021</x:v>
      </x:c>
      <x:c r="AM360" s="608" t="n">
        <x:v>0.7732</x:v>
      </x:c>
      <x:c r="AN360" s="608" t="inlineStr">
        <x:is>
          <x:t xml:space="preserve">EVALUATED</x:t>
        </x:is>
      </x:c>
      <x:c r="AO360" s="608" t="inlineStr">
        <x:is>
          <x:t xml:space="preserve">BUCKET_1.50、SIDE_IDENTITY_VALID、MARKET_MOVE_DEEPER_WITH_GIVING_WATER_RISE</x:t>
        </x:is>
      </x:c>
      <x:c r="AP360" s="608" t="inlineStr">
        <x:is>
          <x:t xml:space="preserve">8e1d60d8599ad16188ec</x:t>
        </x:is>
      </x:c>
      <x:c r="AQ360" s="608" t="n">
        <x:v>-1.5</x:v>
      </x:c>
      <x:c r="AR360" s="608" t="n">
        <x:v>0.89</x:v>
      </x:c>
      <x:c r="AS360" s="608" t="n">
        <x:v>1.5</x:v>
      </x:c>
      <x:c r="AT360" s="608" t="n">
        <x:v>-1.5</x:v>
      </x:c>
      <x:c r="AU360" s="608" t="n">
        <x:v>0.8100000000000001</x:v>
      </x:c>
      <x:c r="AV360" s="608" t="n">
        <x:v>0.89</x:v>
      </x:c>
      <x:c r="AW360" s="608" t="n">
        <x:v>46286.01425282408</x:v>
      </x:c>
      <x:c r="AX360" s="608" t="inlineStr">
        <x:is>
          <x:t xml:space="preserve">https://simondongxiao.github.io/odds/v4/</x:t>
        </x:is>
      </x:c>
      <x:c r="AY360" s="608" t="inlineStr">
        <x:is>
          <x:t xml:space="preserve">V4 Shadow Only；real_money=false；比分差异详见记录审计</x:t>
        </x:is>
      </x:c>
    </x:row>
    <x:row r="361" ht="22" customHeight="1">
      <x:c r="A361" s="604" t="inlineStr">
        <x:is>
          <x:t xml:space="preserve">2026-09-21</x:t>
        </x:is>
      </x:c>
      <x:c r="B361" s="604" t="inlineStr">
        <x:is>
          <x:t xml:space="preserve">2026-09-22 07:00</x:t>
        </x:is>
      </x:c>
      <x:c r="C361" s="604" t="str">
        <x:v>北美系列</x:v>
      </x:c>
      <x:c r="D361" s="604" t="inlineStr">
        <x:is>
          <x:t xml:space="preserve">联赛</x:t>
        </x:is>
      </x:c>
      <x:c r="E361" s="604" t="inlineStr">
        <x:is>
          <x:t xml:space="preserve">墨西女超春</x:t>
        </x:is>
      </x:c>
      <x:c r="F361" s="604" t="inlineStr">
        <x:is>
          <x:t xml:space="preserve">莱昂女足 vs 华雷斯女足</x:t>
        </x:is>
      </x:c>
      <x:c r="G361" s="611" t="n">
        <x:v>0.25</x:v>
      </x:c>
      <x:c r="H361" s="611" t="n">
        <x:v>-0.25</x:v>
      </x:c>
      <x:c r="I361" s="611" t="n">
        <x:v>1.01</x:v>
      </x:c>
      <x:c r="J361" s="604" t="inlineStr">
        <x:is>
          <x:t xml:space="preserve">0.25/-0.25/1.01</x:t>
        </x:is>
      </x:c>
      <x:c r="K361" s="604" t="inlineStr">
        <x:is>
          <x:t xml:space="preserve">V4最新候选-3046032</x:t>
        </x:is>
      </x:c>
      <x:c r="L361" s="604" t="inlineStr">
        <x:is>
          <x:t xml:space="preserve">莱昂女足</x:t>
        </x:is>
      </x:c>
      <x:c r="M361" s="606" t="n">
        <x:v>0.5</x:v>
      </x:c>
      <x:c r="N361" s="604" t="inlineStr">
        <x:is>
          <x:t xml:space="preserve">V4最新页面A/B/C候选</x:t>
        </x:is>
      </x:c>
      <x:c r="O361" s="604" t="inlineStr">
        <x:is>
          <x:t xml:space="preserve">0-1</x:t>
        </x:is>
      </x:c>
      <x:c r="P361" s="604" t="inlineStr">
        <x:is>
          <x:t xml:space="preserve">已结算</x:t>
        </x:is>
      </x:c>
      <x:c r="Q361" s="646" t="inlineStr">
        <x:is>
          <x:t xml:space="preserve">黑</x:t>
        </x:is>
      </x:c>
      <x:c r="R361" s="607" t="n">
        <x:v>1.01</x:v>
      </x:c>
      <x:c r="S361" s="607" t="n">
        <x:f>IF(OR(Q361="",Q361="待结算"),"",IF(Q361="红",R361,IF(Q361="半红",R361*0.5,IF(Q361="走",0,IF(Q361="半黑",-0.5,-1)))))</x:f>
        <x:v>-1</x:v>
      </x:c>
      <x:c r="T361" s="604" t="inlineStr">
        <x:is>
          <x:t xml:space="preserve">https://unionstat.com/events/len-w-jurez-w-21-09-2026/</x:t>
        </x:is>
      </x:c>
      <x:c r="U361" s="645" t="inlineStr">
        <x:is>
          <x:t xml:space="preserve">红</x:t>
        </x:is>
      </x:c>
      <x:c r="V361" s="607" t="n">
        <x:v>0.8100000000000001</x:v>
      </x:c>
      <x:c r="W361" s="607" t="n">
        <x:f>IF(OR(U361="",U361="待结算"),"",IF(U361="红",V361,IF(U361="半红",V361*0.5,IF(U361="走",0,IF(U361="半黑",-0.5,-1)))))</x:f>
        <x:v>0.81</x:v>
      </x:c>
      <x:c r="X361" s="608" t="inlineStr">
        <x:is>
          <x:t xml:space="preserve">3088011</x:t>
        </x:is>
      </x:c>
      <x:c r="Y361" s="608" t="inlineStr">
        <x:is>
          <x:t xml:space="preserve">v4-market-dirichlet-20260913</x:t>
        </x:is>
      </x:c>
      <x:c r="Z361" s="608" t="inlineStr">
        <x:is>
          <x:t xml:space="preserve">prior-2026-09-21-v1</x:t>
        </x:is>
      </x:c>
      <x:c r="AA361" s="608" t="inlineStr">
        <x:is>
          <x:t xml:space="preserve">C</x:t>
        </x:is>
      </x:c>
      <x:c r="AB361" s="608" t="n">
        <x:v>0.59375</x:v>
      </x:c>
      <x:c r="AC361" s="608" t="n">
        <x:v>0</x:v>
      </x:c>
      <x:c r="AD361" s="608" t="n">
        <x:v>0</x:v>
      </x:c>
      <x:c r="AE361" s="608" t="n">
        <x:v>0</x:v>
      </x:c>
      <x:c r="AF361" s="608" t="n">
        <x:v>0.40625</x:v>
      </x:c>
      <x:c r="AG361" s="608" t="n">
        <x:v>0.1221875</x:v>
      </x:c>
      <x:c r="AH361" s="608" t="n">
        <x:v>-0.1598828154336083</x:v>
      </x:c>
      <x:c r="AI361" s="608" t="n">
        <x:v>-0.09597791513164539</x:v>
      </x:c>
      <x:c r="AJ361" s="608" t="n">
        <x:v>0.126657896396445</x:v>
      </x:c>
      <x:c r="AK361" s="608" t="n">
        <x:v>0.3286813444167792</x:v>
      </x:c>
      <x:c r="AL361" s="608" t="n">
        <x:v>0.3830537054842021</x:v>
      </x:c>
      <x:c r="AM361" s="608" t="n">
        <x:v>0.7732</x:v>
      </x:c>
      <x:c r="AN361" s="608" t="inlineStr">
        <x:is>
          <x:t xml:space="preserve">EVALUATED</x:t>
        </x:is>
      </x:c>
      <x:c r="AO361" s="608" t="inlineStr">
        <x:is>
          <x:t xml:space="preserve">BUCKET_1.50、SIDE_IDENTITY_VALID、MARKET_MOVE_DEEPER_WITH_GIVING_WATER_RISE</x:t>
        </x:is>
      </x:c>
      <x:c r="AP361" s="608" t="inlineStr">
        <x:is>
          <x:t xml:space="preserve">8e1d60d8599ad16188ec</x:t>
        </x:is>
      </x:c>
      <x:c r="AQ361" s="608" t="n">
        <x:v>-1.5</x:v>
      </x:c>
      <x:c r="AR361" s="608" t="n">
        <x:v>0.89</x:v>
      </x:c>
      <x:c r="AS361" s="608" t="n">
        <x:v>1.5</x:v>
      </x:c>
      <x:c r="AT361" s="608" t="n">
        <x:v>-1.5</x:v>
      </x:c>
      <x:c r="AU361" s="608" t="n">
        <x:v>0.8100000000000001</x:v>
      </x:c>
      <x:c r="AV361" s="608" t="n">
        <x:v>0.89</x:v>
      </x:c>
      <x:c r="AW361" s="608" t="n">
        <x:v>46286.01425282408</x:v>
      </x:c>
      <x:c r="AX361" s="608" t="inlineStr">
        <x:is>
          <x:t xml:space="preserve">https://simondongxiao.github.io/odds/v4/</x:t>
        </x:is>
      </x:c>
      <x:c r="AY361" s="608" t="inlineStr">
        <x:is>
          <x:t xml:space="preserve">V4 Shadow Only；real_money=false；比分差异详见记录审计</x:t>
        </x:is>
      </x:c>
    </x:row>
    <x:row r="362" ht="22" customHeight="1">
      <x:c r="A362" s="604" t="inlineStr">
        <x:is>
          <x:t xml:space="preserve">2026-09-21</x:t>
        </x:is>
      </x:c>
      <x:c r="B362" s="604" t="inlineStr">
        <x:is>
          <x:t xml:space="preserve">2026-09-22 08:15</x:t>
        </x:is>
      </x:c>
      <x:c r="C362" s="604" t="str">
        <x:v>南美系列</x:v>
      </x:c>
      <x:c r="D362" s="604" t="inlineStr">
        <x:is>
          <x:t xml:space="preserve">联赛</x:t>
        </x:is>
      </x:c>
      <x:c r="E362" s="604" t="inlineStr">
        <x:is>
          <x:t xml:space="preserve">阿甲</x:t>
        </x:is>
      </x:c>
      <x:c r="F362" s="604" t="inlineStr">
        <x:is>
          <x:t xml:space="preserve">拉努斯 vs 拉普拉塔大学生</x:t>
        </x:is>
      </x:c>
      <x:c r="G362" s="611" t="n">
        <x:v>0.25</x:v>
      </x:c>
      <x:c r="H362" s="611" t="n">
        <x:v>0.25</x:v>
      </x:c>
      <x:c r="I362" s="611" t="n">
        <x:v>1.05</x:v>
      </x:c>
      <x:c r="J362" s="604" t="inlineStr">
        <x:is>
          <x:t xml:space="preserve">1.05/0.25/1.05</x:t>
        </x:is>
      </x:c>
      <x:c r="K362" s="604" t="inlineStr">
        <x:is>
          <x:t xml:space="preserve">V4最新候选-2962645</x:t>
        </x:is>
      </x:c>
      <x:c r="L362" s="604" t="inlineStr">
        <x:is>
          <x:t xml:space="preserve">拉普拉塔大学生</x:t>
        </x:is>
      </x:c>
      <x:c r="M362" s="606" t="n">
        <x:v>0.5</x:v>
      </x:c>
      <x:c r="N362" s="604" t="inlineStr">
        <x:is>
          <x:t xml:space="preserve">V4最新页面A/B/C候选</x:t>
        </x:is>
      </x:c>
      <x:c r="O362" s="604" t="inlineStr">
        <x:is>
          <x:t xml:space="preserve">1-0</x:t>
        </x:is>
      </x:c>
      <x:c r="P362" s="604" t="inlineStr">
        <x:is>
          <x:t xml:space="preserve">已结算</x:t>
        </x:is>
      </x:c>
      <x:c r="Q362" s="646" t="inlineStr">
        <x:is>
          <x:t xml:space="preserve">黑</x:t>
        </x:is>
      </x:c>
      <x:c r="R362" s="607" t="n">
        <x:v>1.05</x:v>
      </x:c>
      <x:c r="S362" s="607" t="n">
        <x:f>IF(OR(Q362="",Q362="待结算"),"",IF(Q362="红",R362,IF(Q362="半红",R362*0.5,IF(Q362="走",0,IF(Q362="半黑",-0.5,-1)))))</x:f>
        <x:v>-1</x:v>
      </x:c>
      <x:c r="T362" s="604" t="inlineStr">
        <x:is>
          <x:t xml:space="preserve">https://www.365scores.com/football/match/liga-profesional-72/estudiantes-de-la-plata-lanus-867-869-72</x:t>
        </x:is>
      </x:c>
      <x:c r="U362" s="645" t="inlineStr">
        <x:is>
          <x:t xml:space="preserve">红</x:t>
        </x:is>
      </x:c>
      <x:c r="V362" s="607" t="n">
        <x:v>0.8100000000000001</x:v>
      </x:c>
      <x:c r="W362" s="607" t="n">
        <x:f>IF(OR(U362="",U362="待结算"),"",IF(U362="红",V362,IF(U362="半红",V362*0.5,IF(U362="走",0,IF(U362="半黑",-0.5,-1)))))</x:f>
        <x:v>0.81</x:v>
      </x:c>
      <x:c r="X362" s="608" t="inlineStr">
        <x:is>
          <x:t xml:space="preserve">3088011</x:t>
        </x:is>
      </x:c>
      <x:c r="Y362" s="608" t="inlineStr">
        <x:is>
          <x:t xml:space="preserve">v4-market-dirichlet-20260913</x:t>
        </x:is>
      </x:c>
      <x:c r="Z362" s="608" t="inlineStr">
        <x:is>
          <x:t xml:space="preserve">prior-2026-09-21-v1</x:t>
        </x:is>
      </x:c>
      <x:c r="AA362" s="608" t="inlineStr">
        <x:is>
          <x:t xml:space="preserve">C</x:t>
        </x:is>
      </x:c>
      <x:c r="AB362" s="608" t="n">
        <x:v>0.59375</x:v>
      </x:c>
      <x:c r="AC362" s="608" t="n">
        <x:v>0</x:v>
      </x:c>
      <x:c r="AD362" s="608" t="n">
        <x:v>0</x:v>
      </x:c>
      <x:c r="AE362" s="608" t="n">
        <x:v>0</x:v>
      </x:c>
      <x:c r="AF362" s="608" t="n">
        <x:v>0.40625</x:v>
      </x:c>
      <x:c r="AG362" s="608" t="n">
        <x:v>0.1221875</x:v>
      </x:c>
      <x:c r="AH362" s="608" t="n">
        <x:v>-0.1598828154336083</x:v>
      </x:c>
      <x:c r="AI362" s="608" t="n">
        <x:v>-0.09597791513164539</x:v>
      </x:c>
      <x:c r="AJ362" s="608" t="n">
        <x:v>0.126657896396445</x:v>
      </x:c>
      <x:c r="AK362" s="608" t="n">
        <x:v>0.3286813444167792</x:v>
      </x:c>
      <x:c r="AL362" s="608" t="n">
        <x:v>0.3830537054842021</x:v>
      </x:c>
      <x:c r="AM362" s="608" t="n">
        <x:v>0.7732</x:v>
      </x:c>
      <x:c r="AN362" s="608" t="inlineStr">
        <x:is>
          <x:t xml:space="preserve">EVALUATED</x:t>
        </x:is>
      </x:c>
      <x:c r="AO362" s="608" t="inlineStr">
        <x:is>
          <x:t xml:space="preserve">BUCKET_1.50、SIDE_IDENTITY_VALID、MARKET_MOVE_DEEPER_WITH_GIVING_WATER_RISE</x:t>
        </x:is>
      </x:c>
      <x:c r="AP362" s="608" t="inlineStr">
        <x:is>
          <x:t xml:space="preserve">8e1d60d8599ad16188ec</x:t>
        </x:is>
      </x:c>
      <x:c r="AQ362" s="608" t="n">
        <x:v>-1.5</x:v>
      </x:c>
      <x:c r="AR362" s="608" t="n">
        <x:v>0.89</x:v>
      </x:c>
      <x:c r="AS362" s="608" t="n">
        <x:v>1.5</x:v>
      </x:c>
      <x:c r="AT362" s="608" t="n">
        <x:v>-1.5</x:v>
      </x:c>
      <x:c r="AU362" s="608" t="n">
        <x:v>0.8100000000000001</x:v>
      </x:c>
      <x:c r="AV362" s="608" t="n">
        <x:v>0.89</x:v>
      </x:c>
      <x:c r="AW362" s="608" t="n">
        <x:v>46286.01425282408</x:v>
      </x:c>
      <x:c r="AX362" s="608" t="inlineStr">
        <x:is>
          <x:t xml:space="preserve">https://simondongxiao.github.io/odds/v4/</x:t>
        </x:is>
      </x:c>
      <x:c r="AY362" s="608" t="inlineStr">
        <x:is>
          <x:t xml:space="preserve">V4 Shadow Only；real_money=false；比分差异详见记录审计</x:t>
        </x:is>
      </x:c>
    </x:row>
    <x:row r="363" ht="22" customHeight="1">
      <x:c r="A363" s="604" t="inlineStr">
        <x:is>
          <x:t xml:space="preserve">2026-09-21</x:t>
        </x:is>
      </x:c>
      <x:c r="B363" s="604" t="inlineStr">
        <x:is>
          <x:t xml:space="preserve">2026-09-22 08:30</x:t>
        </x:is>
      </x:c>
      <x:c r="C363" s="604" t="str">
        <x:v>南美系列</x:v>
      </x:c>
      <x:c r="D363" s="604" t="inlineStr">
        <x:is>
          <x:t xml:space="preserve">联赛</x:t>
        </x:is>
      </x:c>
      <x:c r="E363" s="604" t="inlineStr">
        <x:is>
          <x:t xml:space="preserve">巴西乙</x:t>
        </x:is>
      </x:c>
      <x:c r="F363" s="604" t="inlineStr">
        <x:is>
          <x:t xml:space="preserve">库亚巴 vs 累西腓航海</x:t>
        </x:is>
      </x:c>
      <x:c r="G363" s="611" t="n">
        <x:v>0.5</x:v>
      </x:c>
      <x:c r="H363" s="611" t="n">
        <x:v>-0.5</x:v>
      </x:c>
      <x:c r="I363" s="611" t="n">
        <x:v>1.05</x:v>
      </x:c>
      <x:c r="J363" s="604" t="inlineStr">
        <x:is>
          <x:t xml:space="preserve">0.5/-0.5/1.05</x:t>
        </x:is>
      </x:c>
      <x:c r="K363" s="604" t="inlineStr">
        <x:is>
          <x:t xml:space="preserve">V4最新候选-2940188</x:t>
        </x:is>
      </x:c>
      <x:c r="L363" s="604" t="inlineStr">
        <x:is>
          <x:t xml:space="preserve">库亚巴</x:t>
        </x:is>
      </x:c>
      <x:c r="M363" s="606" t="n">
        <x:v>0.5</x:v>
      </x:c>
      <x:c r="N363" s="604" t="inlineStr">
        <x:is>
          <x:t xml:space="preserve">V4最新页面A/B/C候选</x:t>
        </x:is>
      </x:c>
      <x:c r="O363" s="604" t="inlineStr">
        <x:is>
          <x:t xml:space="preserve">1-0</x:t>
        </x:is>
      </x:c>
      <x:c r="P363" s="604" t="inlineStr">
        <x:is>
          <x:t xml:space="preserve">已结算</x:t>
        </x:is>
      </x:c>
      <x:c r="Q363" s="645" t="inlineStr">
        <x:is>
          <x:t xml:space="preserve">红</x:t>
        </x:is>
      </x:c>
      <x:c r="R363" s="607" t="n">
        <x:v>1.05</x:v>
      </x:c>
      <x:c r="S363" s="607" t="n">
        <x:f>IF(OR(Q363="",Q363="待结算"),"",IF(Q363="红",R363,IF(Q363="半红",R363*0.5,IF(Q363="走",0,IF(Q363="半黑",-0.5,-1)))))</x:f>
        <x:v>1.05</x:v>
      </x:c>
      <x:c r="T363" s="604" t="inlineStr">
        <x:is>
          <x:t xml:space="preserve">https://offsidescores.com/br/futebol/jogo/cuiaba-nautico-20260922/f82e9d0c-1d5f-4a03-971d-236a429e563e/detalhe</x:t>
        </x:is>
      </x:c>
      <x:c r="U363" s="645" t="inlineStr">
        <x:is>
          <x:t xml:space="preserve">红</x:t>
        </x:is>
      </x:c>
      <x:c r="V363" s="607" t="n">
        <x:v>0.8100000000000001</x:v>
      </x:c>
      <x:c r="W363" s="607" t="n">
        <x:f>IF(OR(U363="",U363="待结算"),"",IF(U363="红",V363,IF(U363="半红",V363*0.5,IF(U363="走",0,IF(U363="半黑",-0.5,-1)))))</x:f>
        <x:v>0.81</x:v>
      </x:c>
      <x:c r="X363" s="608" t="inlineStr">
        <x:is>
          <x:t xml:space="preserve">3088011</x:t>
        </x:is>
      </x:c>
      <x:c r="Y363" s="608" t="inlineStr">
        <x:is>
          <x:t xml:space="preserve">v4-market-dirichlet-20260913</x:t>
        </x:is>
      </x:c>
      <x:c r="Z363" s="608" t="inlineStr">
        <x:is>
          <x:t xml:space="preserve">prior-2026-09-21-v1</x:t>
        </x:is>
      </x:c>
      <x:c r="AA363" s="608" t="inlineStr">
        <x:is>
          <x:t xml:space="preserve">C</x:t>
        </x:is>
      </x:c>
      <x:c r="AB363" s="608" t="n">
        <x:v>0.59375</x:v>
      </x:c>
      <x:c r="AC363" s="608" t="n">
        <x:v>0</x:v>
      </x:c>
      <x:c r="AD363" s="608" t="n">
        <x:v>0</x:v>
      </x:c>
      <x:c r="AE363" s="608" t="n">
        <x:v>0</x:v>
      </x:c>
      <x:c r="AF363" s="608" t="n">
        <x:v>0.40625</x:v>
      </x:c>
      <x:c r="AG363" s="608" t="n">
        <x:v>0.1221875</x:v>
      </x:c>
      <x:c r="AH363" s="608" t="n">
        <x:v>-0.1598828154336083</x:v>
      </x:c>
      <x:c r="AI363" s="608" t="n">
        <x:v>-0.09597791513164539</x:v>
      </x:c>
      <x:c r="AJ363" s="608" t="n">
        <x:v>0.126657896396445</x:v>
      </x:c>
      <x:c r="AK363" s="608" t="n">
        <x:v>0.3286813444167792</x:v>
      </x:c>
      <x:c r="AL363" s="608" t="n">
        <x:v>0.3830537054842021</x:v>
      </x:c>
      <x:c r="AM363" s="608" t="n">
        <x:v>0.7732</x:v>
      </x:c>
      <x:c r="AN363" s="608" t="inlineStr">
        <x:is>
          <x:t xml:space="preserve">EVALUATED</x:t>
        </x:is>
      </x:c>
      <x:c r="AO363" s="608" t="inlineStr">
        <x:is>
          <x:t xml:space="preserve">BUCKET_1.50、SIDE_IDENTITY_VALID、MARKET_MOVE_DEEPER_WITH_GIVING_WATER_RISE</x:t>
        </x:is>
      </x:c>
      <x:c r="AP363" s="608" t="inlineStr">
        <x:is>
          <x:t xml:space="preserve">8e1d60d8599ad16188ec</x:t>
        </x:is>
      </x:c>
      <x:c r="AQ363" s="608" t="n">
        <x:v>-1.5</x:v>
      </x:c>
      <x:c r="AR363" s="608" t="n">
        <x:v>0.89</x:v>
      </x:c>
      <x:c r="AS363" s="608" t="n">
        <x:v>1.5</x:v>
      </x:c>
      <x:c r="AT363" s="608" t="n">
        <x:v>-1.5</x:v>
      </x:c>
      <x:c r="AU363" s="608" t="n">
        <x:v>0.8100000000000001</x:v>
      </x:c>
      <x:c r="AV363" s="608" t="n">
        <x:v>0.89</x:v>
      </x:c>
      <x:c r="AW363" s="608" t="n">
        <x:v>46286.01425282408</x:v>
      </x:c>
      <x:c r="AX363" s="608" t="inlineStr">
        <x:is>
          <x:t xml:space="preserve">https://simondongxiao.github.io/odds/v4/</x:t>
        </x:is>
      </x:c>
      <x:c r="AY363" s="608" t="inlineStr">
        <x:is>
          <x:t xml:space="preserve">V4 Shadow Only；real_money=false；比分差异详见记录审计</x:t>
        </x:is>
      </x:c>
    </x:row>
    <x:row r="364" ht="22" customHeight="1">
      <x:c r="A364" s="604" t="inlineStr">
        <x:is>
          <x:t xml:space="preserve">2026-09-22</x:t>
        </x:is>
      </x:c>
      <x:c r="B364" s="604" t="inlineStr">
        <x:is>
          <x:t xml:space="preserve">2026-09-23 02:00:00</x:t>
        </x:is>
      </x:c>
      <x:c r="C364" s="604" t="str">
        <x:v>五大联赛杯赛</x:v>
      </x:c>
      <x:c r="D364" s="604" t="inlineStr">
        <x:is>
          <x:t xml:space="preserve">联赛</x:t>
        </x:is>
      </x:c>
      <x:c r="E364" s="604" t="inlineStr">
        <x:is>
          <x:t xml:space="preserve">英锦赛</x:t>
        </x:is>
      </x:c>
      <x:c r="F364" s="604" t="inlineStr">
        <x:is>
          <x:t xml:space="preserve">伯顿 vs 诺丁汉森林U21</x:t>
        </x:is>
      </x:c>
      <x:c r="G364" s="611" t="n">
        <x:v>0.8</x:v>
      </x:c>
      <x:c r="H364" s="611" t="n">
        <x:v>1</x:v>
      </x:c>
      <x:c r="I364" s="611" t="n">
        <x:v>1.02</x:v>
      </x:c>
      <x:c r="J364" s="604" t="inlineStr">
        <x:is>
          <x:t xml:space="preserve">0.8/1.0/1.02</x:t>
        </x:is>
      </x:c>
      <x:c r="K364" s="604" t="inlineStr">
        <x:is>
          <x:t xml:space="preserve">V4-C最新版候选</x:t>
        </x:is>
      </x:c>
      <x:c r="L364" s="604" t="inlineStr">
        <x:is>
          <x:t xml:space="preserve">诺丁汉森林U21</x:t>
        </x:is>
      </x:c>
      <x:c r="M364" s="606" t="n">
        <x:v>0.7596000000000001</x:v>
      </x:c>
      <x:c r="N364" s="604" t="inlineStr">
        <x:is>
          <x:t xml:space="preserve">V4最新页面A/B/C候选</x:t>
        </x:is>
      </x:c>
      <x:c r="O364" s="604" t="inlineStr">
        <x:is>
          <x:t xml:space="preserve">1-1</x:t>
        </x:is>
      </x:c>
      <x:c r="P364" s="604" t="inlineStr">
        <x:is>
          <x:t xml:space="preserve">已结算</x:t>
        </x:is>
      </x:c>
      <x:c r="Q364" s="645" t="inlineStr">
        <x:is>
          <x:t xml:space="preserve">红</x:t>
        </x:is>
      </x:c>
      <x:c r="R364" s="607" t="n">
        <x:v>1.02</x:v>
      </x:c>
      <x:c r="S364" s="607" t="n">
        <x:f>IF(OR(Q364="",Q364="待结算"),"",IF(Q364="红",R364,IF(Q364="半红",R364*0.5,IF(Q364="走",0,IF(Q364="半黑",-0.5,-1)))))</x:f>
        <x:v>1.02</x:v>
      </x:c>
      <x:c r="T364" s="604" t="inlineStr">
        <x:is>
          <x:t xml:space="preserve">https://simondongxiao.github.io/odds/v4/</x:t>
        </x:is>
      </x:c>
      <x:c r="U364" s="604" t="inlineStr">
        <x:is>
          <x:t xml:space="preserve">3012848</x:t>
        </x:is>
      </x:c>
      <x:c r="V364" s="607" t="inlineStr">
        <x:is>
          <x:t xml:space="preserve">v4-market-dirichlet-20260913</x:t>
        </x:is>
      </x:c>
      <x:c r="W364" s="607" t="n">
        <x:f>IF(OR(U364="",U364="待结算"),"",IF(U364="红",V364,IF(U364="半红",V364*0.5,IF(U364="走",0,IF(U364="半黑",-0.5,-1)))))</x:f>
        <x:v>-1</x:v>
      </x:c>
      <x:c r="X364" s="608" t="inlineStr">
        <x:is>
          <x:t xml:space="preserve">C</x:t>
        </x:is>
      </x:c>
      <x:c r="Y364" s="608" t="n"/>
      <x:c r="Z364" s="608" t="n"/>
      <x:c r="AA364" s="608" t="n"/>
      <x:c r="AB364" s="608" t="n"/>
      <x:c r="AC364" s="608" t="n"/>
      <x:c r="AD364" s="608" t="n"/>
      <x:c r="AE364" s="608" t="n"/>
      <x:c r="AF364" s="608" t="n"/>
      <x:c r="AG364" s="608" t="n"/>
      <x:c r="AH364" s="608" t="n"/>
      <x:c r="AI364" s="608" t="n"/>
      <x:c r="AJ364" s="608" t="n"/>
      <x:c r="AK364" s="608" t="n"/>
      <x:c r="AL364" s="608" t="n"/>
      <x:c r="AM364" s="608" t="n"/>
      <x:c r="AN364" s="608" t="n"/>
      <x:c r="AO364" s="608" t="n"/>
      <x:c r="AP364" s="608" t="n"/>
      <x:c r="AQ364" s="608" t="n"/>
      <x:c r="AR364" s="608" t="n"/>
      <x:c r="AS364" s="608" t="n"/>
      <x:c r="AT364" s="608" t="n"/>
      <x:c r="AU364" s="608" t="n"/>
      <x:c r="AV364" s="608" t="n"/>
      <x:c r="AW364" s="608" t="n"/>
      <x:c r="AX364" s="608" t="n"/>
      <x:c r="AY364" s="608" t="n"/>
    </x:row>
    <x:row r="365" ht="22" customHeight="1">
      <x:c r="A365" s="604" t="inlineStr">
        <x:is>
          <x:t xml:space="preserve">2026-09-22</x:t>
        </x:is>
      </x:c>
      <x:c r="B365" s="604" t="inlineStr">
        <x:is>
          <x:t xml:space="preserve">2026-09-23 02:00:00</x:t>
        </x:is>
      </x:c>
      <x:c r="C365" s="604" t="str">
        <x:v>五大联赛杯赛</x:v>
      </x:c>
      <x:c r="D365" s="604" t="inlineStr">
        <x:is>
          <x:t xml:space="preserve">联赛</x:t>
        </x:is>
      </x:c>
      <x:c r="E365" s="604" t="inlineStr">
        <x:is>
          <x:t xml:space="preserve">英锦赛</x:t>
        </x:is>
      </x:c>
      <x:c r="F365" s="604" t="inlineStr">
        <x:is>
          <x:t xml:space="preserve">卢顿 vs 伊普斯维奇U21</x:t>
        </x:is>
      </x:c>
      <x:c r="G365" s="611" t="n">
        <x:v>0.85</x:v>
      </x:c>
      <x:c r="H365" s="611" t="n">
        <x:v>2</x:v>
      </x:c>
      <x:c r="I365" s="611" t="n">
        <x:v>0.97</x:v>
      </x:c>
      <x:c r="J365" s="604" t="inlineStr">
        <x:is>
          <x:t xml:space="preserve">0.85/2.0/0.97</x:t>
        </x:is>
      </x:c>
      <x:c r="K365" s="604" t="inlineStr">
        <x:is>
          <x:t xml:space="preserve">V4-C最新版候选</x:t>
        </x:is>
      </x:c>
      <x:c r="L365" s="604" t="inlineStr">
        <x:is>
          <x:t xml:space="preserve">卢顿</x:t>
        </x:is>
      </x:c>
      <x:c r="M365" s="606" t="n">
        <x:v>0.7906</x:v>
      </x:c>
      <x:c r="N365" s="604" t="inlineStr">
        <x:is>
          <x:t xml:space="preserve">V4最新页面A/B/C候选</x:t>
        </x:is>
      </x:c>
      <x:c r="O365" s="604" t="inlineStr">
        <x:is>
          <x:t xml:space="preserve">6-0</x:t>
        </x:is>
      </x:c>
      <x:c r="P365" s="604" t="inlineStr">
        <x:is>
          <x:t xml:space="preserve">已结算</x:t>
        </x:is>
      </x:c>
      <x:c r="Q365" s="645" t="inlineStr">
        <x:is>
          <x:t xml:space="preserve">红</x:t>
        </x:is>
      </x:c>
      <x:c r="R365" s="607" t="n">
        <x:v>0.85</x:v>
      </x:c>
      <x:c r="S365" s="607" t="n">
        <x:f>IF(OR(Q365="",Q365="待结算"),"",IF(Q365="红",R365,IF(Q365="半红",R365*0.5,IF(Q365="走",0,IF(Q365="半黑",-0.5,-1)))))</x:f>
        <x:v>0.85</x:v>
      </x:c>
      <x:c r="T365" s="604" t="inlineStr">
        <x:is>
          <x:t xml:space="preserve">https://simondongxiao.github.io/odds/v4/</x:t>
        </x:is>
      </x:c>
      <x:c r="U365" s="604" t="inlineStr">
        <x:is>
          <x:t xml:space="preserve">3012977</x:t>
        </x:is>
      </x:c>
      <x:c r="V365" s="607" t="inlineStr">
        <x:is>
          <x:t xml:space="preserve">v4-market-dirichlet-20260913</x:t>
        </x:is>
      </x:c>
      <x:c r="W365" s="607" t="n">
        <x:f>IF(OR(U365="",U365="待结算"),"",IF(U365="红",V365,IF(U365="半红",V365*0.5,IF(U365="走",0,IF(U365="半黑",-0.5,-1)))))</x:f>
        <x:v>-1</x:v>
      </x:c>
      <x:c r="X365" s="608" t="inlineStr">
        <x:is>
          <x:t xml:space="preserve">C</x:t>
        </x:is>
      </x:c>
      <x:c r="Y365" s="608" t="n"/>
      <x:c r="Z365" s="608" t="n"/>
      <x:c r="AA365" s="608" t="n"/>
      <x:c r="AB365" s="608" t="n"/>
      <x:c r="AC365" s="608" t="n"/>
      <x:c r="AD365" s="608" t="n"/>
      <x:c r="AE365" s="608" t="n"/>
      <x:c r="AF365" s="608" t="n"/>
      <x:c r="AG365" s="608" t="n"/>
      <x:c r="AH365" s="608" t="n"/>
      <x:c r="AI365" s="608" t="n"/>
      <x:c r="AJ365" s="608" t="n"/>
      <x:c r="AK365" s="608" t="n"/>
      <x:c r="AL365" s="608" t="n"/>
      <x:c r="AM365" s="608" t="n"/>
      <x:c r="AN365" s="608" t="n"/>
      <x:c r="AO365" s="608" t="n"/>
      <x:c r="AP365" s="608" t="n"/>
      <x:c r="AQ365" s="608" t="n"/>
      <x:c r="AR365" s="608" t="n"/>
      <x:c r="AS365" s="608" t="n"/>
      <x:c r="AT365" s="608" t="n"/>
      <x:c r="AU365" s="608" t="n"/>
      <x:c r="AV365" s="608" t="n"/>
      <x:c r="AW365" s="608" t="n"/>
      <x:c r="AX365" s="608" t="n"/>
      <x:c r="AY365" s="608" t="n"/>
    </x:row>
    <x:row r="366" ht="22" customHeight="1">
      <x:c r="A366" s="604" t="inlineStr">
        <x:is>
          <x:t xml:space="preserve">2026-09-22</x:t>
        </x:is>
      </x:c>
      <x:c r="B366" s="604" t="inlineStr">
        <x:is>
          <x:t xml:space="preserve">2026-09-23 02:00:00</x:t>
        </x:is>
      </x:c>
      <x:c r="C366" s="604" t="str">
        <x:v>五大联赛杯赛</x:v>
      </x:c>
      <x:c r="D366" s="604" t="inlineStr">
        <x:is>
          <x:t xml:space="preserve">联赛</x:t>
        </x:is>
      </x:c>
      <x:c r="E366" s="604" t="inlineStr">
        <x:is>
          <x:t xml:space="preserve">英锦赛</x:t>
        </x:is>
      </x:c>
      <x:c r="F366" s="604" t="inlineStr">
        <x:is>
          <x:t xml:space="preserve">米尔顿凯恩斯 vs 克劳利</x:t>
        </x:is>
      </x:c>
      <x:c r="G366" s="611" t="n">
        <x:v>1.01</x:v>
      </x:c>
      <x:c r="H366" s="611" t="n">
        <x:v>1.25</x:v>
      </x:c>
      <x:c r="I366" s="611" t="n">
        <x:v>0.8100000000000001</x:v>
      </x:c>
      <x:c r="J366" s="604" t="inlineStr">
        <x:is>
          <x:t xml:space="preserve">1.01/1.25/0.81</x:t>
        </x:is>
      </x:c>
      <x:c r="K366" s="604" t="inlineStr">
        <x:is>
          <x:t xml:space="preserve">V4-C最新版候选</x:t>
        </x:is>
      </x:c>
      <x:c r="L366" s="604" t="inlineStr">
        <x:is>
          <x:t xml:space="preserve">米尔顿凯恩斯</x:t>
        </x:is>
      </x:c>
      <x:c r="M366" s="606" t="n">
        <x:v>0.5436</x:v>
      </x:c>
      <x:c r="N366" s="604" t="inlineStr">
        <x:is>
          <x:t xml:space="preserve">V4最新页面A/B/C候选</x:t>
        </x:is>
      </x:c>
      <x:c r="O366" s="604" t="inlineStr">
        <x:is>
          <x:t xml:space="preserve">4-1</x:t>
        </x:is>
      </x:c>
      <x:c r="P366" s="604" t="inlineStr">
        <x:is>
          <x:t xml:space="preserve">已结算</x:t>
        </x:is>
      </x:c>
      <x:c r="Q366" s="645" t="inlineStr">
        <x:is>
          <x:t xml:space="preserve">红</x:t>
        </x:is>
      </x:c>
      <x:c r="R366" s="607" t="n">
        <x:v>1.01</x:v>
      </x:c>
      <x:c r="S366" s="607" t="n">
        <x:f>IF(OR(Q366="",Q366="待结算"),"",IF(Q366="红",R366,IF(Q366="半红",R366*0.5,IF(Q366="走",0,IF(Q366="半黑",-0.5,-1)))))</x:f>
        <x:v>1.01</x:v>
      </x:c>
      <x:c r="T366" s="604" t="inlineStr">
        <x:is>
          <x:t xml:space="preserve">https://simondongxiao.github.io/odds/v4/</x:t>
        </x:is>
      </x:c>
      <x:c r="U366" s="604" t="inlineStr">
        <x:is>
          <x:t xml:space="preserve">3012999</x:t>
        </x:is>
      </x:c>
      <x:c r="V366" s="607" t="inlineStr">
        <x:is>
          <x:t xml:space="preserve">v4-market-dirichlet-20260913</x:t>
        </x:is>
      </x:c>
      <x:c r="W366" s="607" t="n">
        <x:f>IF(OR(U366="",U366="待结算"),"",IF(U366="红",V366,IF(U366="半红",V366*0.5,IF(U366="走",0,IF(U366="半黑",-0.5,-1)))))</x:f>
        <x:v>-1</x:v>
      </x:c>
      <x:c r="X366" s="608" t="inlineStr">
        <x:is>
          <x:t xml:space="preserve">C</x:t>
        </x:is>
      </x:c>
      <x:c r="Y366" s="608" t="n"/>
      <x:c r="Z366" s="608" t="n"/>
      <x:c r="AA366" s="608" t="n"/>
      <x:c r="AB366" s="608" t="n"/>
      <x:c r="AC366" s="608" t="n"/>
      <x:c r="AD366" s="608" t="n"/>
      <x:c r="AE366" s="608" t="n"/>
      <x:c r="AF366" s="608" t="n"/>
      <x:c r="AG366" s="608" t="n"/>
      <x:c r="AH366" s="608" t="n"/>
      <x:c r="AI366" s="608" t="n"/>
      <x:c r="AJ366" s="608" t="n"/>
      <x:c r="AK366" s="608" t="n"/>
      <x:c r="AL366" s="608" t="n"/>
      <x:c r="AM366" s="608" t="n"/>
      <x:c r="AN366" s="608" t="n"/>
      <x:c r="AO366" s="608" t="n"/>
      <x:c r="AP366" s="608" t="n"/>
      <x:c r="AQ366" s="608" t="n"/>
      <x:c r="AR366" s="608" t="n"/>
      <x:c r="AS366" s="608" t="n"/>
      <x:c r="AT366" s="608" t="n"/>
      <x:c r="AU366" s="608" t="n"/>
      <x:c r="AV366" s="608" t="n"/>
      <x:c r="AW366" s="608" t="n"/>
      <x:c r="AX366" s="608" t="n"/>
      <x:c r="AY366" s="608" t="n"/>
    </x:row>
    <x:row r="367" ht="22" customHeight="1">
      <x:c r="A367" s="604" t="inlineStr">
        <x:is>
          <x:t xml:space="preserve">2026-09-22</x:t>
        </x:is>
      </x:c>
      <x:c r="B367" s="604" t="inlineStr">
        <x:is>
          <x:t xml:space="preserve">2026-09-23 02:00:00</x:t>
        </x:is>
      </x:c>
      <x:c r="C367" s="604" t="str">
        <x:v>五大联赛杯赛</x:v>
      </x:c>
      <x:c r="D367" s="604" t="inlineStr">
        <x:is>
          <x:t xml:space="preserve">联赛</x:t>
        </x:is>
      </x:c>
      <x:c r="E367" s="604" t="inlineStr">
        <x:is>
          <x:t xml:space="preserve">英锦赛</x:t>
        </x:is>
      </x:c>
      <x:c r="F367" s="604" t="inlineStr">
        <x:is>
          <x:t xml:space="preserve">克鲁 vs 阿斯顿维拉U21</x:t>
        </x:is>
      </x:c>
      <x:c r="G367" s="611" t="n">
        <x:v>0.99</x:v>
      </x:c>
      <x:c r="H367" s="611" t="n">
        <x:v>1.5</x:v>
      </x:c>
      <x:c r="I367" s="611" t="n">
        <x:v>0.83</x:v>
      </x:c>
      <x:c r="J367" s="604" t="inlineStr">
        <x:is>
          <x:t xml:space="preserve">0.99/1.5/0.83</x:t>
        </x:is>
      </x:c>
      <x:c r="K367" s="604" t="inlineStr">
        <x:is>
          <x:t xml:space="preserve">V4-B最新版候选</x:t>
        </x:is>
      </x:c>
      <x:c r="L367" s="604" t="inlineStr">
        <x:is>
          <x:t xml:space="preserve">克鲁</x:t>
        </x:is>
      </x:c>
      <x:c r="M367" s="606" t="n">
        <x:v>0.8518</x:v>
      </x:c>
      <x:c r="N367" s="604" t="inlineStr">
        <x:is>
          <x:t xml:space="preserve">V4最新页面A/B/C候选</x:t>
        </x:is>
      </x:c>
      <x:c r="O367" s="604" t="inlineStr">
        <x:is>
          <x:t xml:space="preserve">4-1</x:t>
        </x:is>
      </x:c>
      <x:c r="P367" s="604" t="inlineStr">
        <x:is>
          <x:t xml:space="preserve">已结算</x:t>
        </x:is>
      </x:c>
      <x:c r="Q367" s="645" t="inlineStr">
        <x:is>
          <x:t xml:space="preserve">红</x:t>
        </x:is>
      </x:c>
      <x:c r="R367" s="607" t="n">
        <x:v>0.99</x:v>
      </x:c>
      <x:c r="S367" s="607" t="n">
        <x:f>IF(OR(Q367="",Q367="待结算"),"",IF(Q367="红",R367,IF(Q367="半红",R367*0.5,IF(Q367="走",0,IF(Q367="半黑",-0.5,-1)))))</x:f>
        <x:v>0.99</x:v>
      </x:c>
      <x:c r="T367" s="604" t="inlineStr">
        <x:is>
          <x:t xml:space="preserve">https://simondongxiao.github.io/odds/v4/</x:t>
        </x:is>
      </x:c>
      <x:c r="U367" s="604" t="inlineStr">
        <x:is>
          <x:t xml:space="preserve">3083970</x:t>
        </x:is>
      </x:c>
      <x:c r="V367" s="607" t="inlineStr">
        <x:is>
          <x:t xml:space="preserve">v4-market-dirichlet-20260913</x:t>
        </x:is>
      </x:c>
      <x:c r="W367" s="607" t="n">
        <x:f>IF(OR(U367="",U367="待结算"),"",IF(U367="红",V367,IF(U367="半红",V367*0.5,IF(U367="走",0,IF(U367="半黑",-0.5,-1)))))</x:f>
        <x:v>-1</x:v>
      </x:c>
      <x:c r="X367" s="608" t="inlineStr">
        <x:is>
          <x:t xml:space="preserve">B</x:t>
        </x:is>
      </x:c>
      <x:c r="Y367" s="608" t="n"/>
      <x:c r="Z367" s="608" t="n"/>
      <x:c r="AA367" s="608" t="n"/>
      <x:c r="AB367" s="608" t="n"/>
      <x:c r="AC367" s="608" t="n"/>
      <x:c r="AD367" s="608" t="n"/>
      <x:c r="AE367" s="608" t="n"/>
      <x:c r="AF367" s="608" t="n"/>
      <x:c r="AG367" s="608" t="n"/>
      <x:c r="AH367" s="608" t="n"/>
      <x:c r="AI367" s="608" t="n"/>
      <x:c r="AJ367" s="608" t="n"/>
      <x:c r="AK367" s="608" t="n"/>
      <x:c r="AL367" s="608" t="n"/>
      <x:c r="AM367" s="608" t="n"/>
      <x:c r="AN367" s="608" t="n"/>
      <x:c r="AO367" s="608" t="n"/>
      <x:c r="AP367" s="608" t="n"/>
      <x:c r="AQ367" s="608" t="n"/>
      <x:c r="AR367" s="608" t="n"/>
      <x:c r="AS367" s="608" t="n"/>
      <x:c r="AT367" s="608" t="n"/>
      <x:c r="AU367" s="608" t="n"/>
      <x:c r="AV367" s="608" t="n"/>
      <x:c r="AW367" s="608" t="n"/>
      <x:c r="AX367" s="608" t="n"/>
      <x:c r="AY367" s="608" t="n"/>
    </x:row>
    <x:row r="368" ht="22" customHeight="1">
      <x:c r="A368" s="604" t="inlineStr">
        <x:is>
          <x:t xml:space="preserve">2026-09-22</x:t>
        </x:is>
      </x:c>
      <x:c r="B368" s="604" t="inlineStr">
        <x:is>
          <x:t xml:space="preserve">2026-09-23 02:45:00</x:t>
        </x:is>
      </x:c>
      <x:c r="C368" s="604" t="str">
        <x:v>其他系列</x:v>
      </x:c>
      <x:c r="D368" s="604" t="inlineStr">
        <x:is>
          <x:t xml:space="preserve">联赛</x:t>
        </x:is>
      </x:c>
      <x:c r="E368" s="604" t="inlineStr">
        <x:is>
          <x:t xml:space="preserve">苏挑杯</x:t>
        </x:is>
      </x:c>
      <x:c r="F368" s="604" t="inlineStr">
        <x:is>
          <x:t xml:space="preserve">克莱德班克 vs 圣米伦U21</x:t>
        </x:is>
      </x:c>
      <x:c r="G368" s="611" t="n">
        <x:v>0.65</x:v>
      </x:c>
      <x:c r="H368" s="611" t="n">
        <x:v>1</x:v>
      </x:c>
      <x:c r="I368" s="611" t="n">
        <x:v>1.05</x:v>
      </x:c>
      <x:c r="J368" s="604" t="inlineStr">
        <x:is>
          <x:t xml:space="preserve">0.65/1.0/1.05</x:t>
        </x:is>
      </x:c>
      <x:c r="K368" s="604" t="inlineStr">
        <x:is>
          <x:t xml:space="preserve">V4-C最新版候选</x:t>
        </x:is>
      </x:c>
      <x:c r="L368" s="604" t="inlineStr">
        <x:is>
          <x:t xml:space="preserve">圣米伦U21</x:t>
        </x:is>
      </x:c>
      <x:c r="M368" s="606" t="n">
        <x:v>0.798</x:v>
      </x:c>
      <x:c r="N368" s="604" t="inlineStr">
        <x:is>
          <x:t xml:space="preserve">V4最新页面A/B/C候选</x:t>
        </x:is>
      </x:c>
      <x:c r="O368" s="604" t="inlineStr">
        <x:is>
          <x:t xml:space="preserve">2-1</x:t>
        </x:is>
      </x:c>
      <x:c r="P368" s="604" t="inlineStr">
        <x:is>
          <x:t xml:space="preserve">已结算</x:t>
        </x:is>
      </x:c>
      <x:c r="Q368" s="647" t="inlineStr">
        <x:is>
          <x:t xml:space="preserve">走</x:t>
        </x:is>
      </x:c>
      <x:c r="R368" s="607" t="n">
        <x:v>1.05</x:v>
      </x:c>
      <x:c r="S368" s="607" t="n">
        <x:f>IF(OR(Q368="",Q368="待结算"),"",IF(Q368="红",R368,IF(Q368="半红",R368*0.5,IF(Q368="走",0,IF(Q368="半黑",-0.5,-1)))))</x:f>
        <x:v>0</x:v>
      </x:c>
      <x:c r="T368" s="604" t="inlineStr">
        <x:is>
          <x:t xml:space="preserve">https://simondongxiao.github.io/odds/v4/</x:t>
        </x:is>
      </x:c>
      <x:c r="U368" s="604" t="inlineStr">
        <x:is>
          <x:t xml:space="preserve">3036351</x:t>
        </x:is>
      </x:c>
      <x:c r="V368" s="607" t="inlineStr">
        <x:is>
          <x:t xml:space="preserve">v4-market-dirichlet-20260913</x:t>
        </x:is>
      </x:c>
      <x:c r="W368" s="607" t="n">
        <x:f>IF(OR(U368="",U368="待结算"),"",IF(U368="红",V368,IF(U368="半红",V368*0.5,IF(U368="走",0,IF(U368="半黑",-0.5,-1)))))</x:f>
        <x:v>-1</x:v>
      </x:c>
      <x:c r="X368" s="608" t="inlineStr">
        <x:is>
          <x:t xml:space="preserve">C</x:t>
        </x:is>
      </x:c>
      <x:c r="Y368" s="608" t="n"/>
      <x:c r="Z368" s="608" t="n"/>
      <x:c r="AA368" s="608" t="n"/>
      <x:c r="AB368" s="608" t="n"/>
      <x:c r="AC368" s="608" t="n"/>
      <x:c r="AD368" s="608" t="n"/>
      <x:c r="AE368" s="608" t="n"/>
      <x:c r="AF368" s="608" t="n"/>
      <x:c r="AG368" s="608" t="n"/>
      <x:c r="AH368" s="608" t="n"/>
      <x:c r="AI368" s="608" t="n"/>
      <x:c r="AJ368" s="608" t="n"/>
      <x:c r="AK368" s="608" t="n"/>
      <x:c r="AL368" s="608" t="n"/>
      <x:c r="AM368" s="608" t="n"/>
      <x:c r="AN368" s="608" t="n"/>
      <x:c r="AO368" s="608" t="n"/>
      <x:c r="AP368" s="608" t="n"/>
      <x:c r="AQ368" s="608" t="n"/>
      <x:c r="AR368" s="608" t="n"/>
      <x:c r="AS368" s="608" t="n"/>
      <x:c r="AT368" s="608" t="n"/>
      <x:c r="AU368" s="608" t="n"/>
      <x:c r="AV368" s="608" t="n"/>
      <x:c r="AW368" s="608" t="n"/>
      <x:c r="AX368" s="608" t="n"/>
      <x:c r="AY368" s="608" t="n"/>
    </x:row>
    <x:row r="369" ht="22" customHeight="1">
      <x:c r="A369" s="604" t="inlineStr">
        <x:is>
          <x:t xml:space="preserve">2026-09-22</x:t>
        </x:is>
      </x:c>
      <x:c r="B369" s="604" t="inlineStr">
        <x:is>
          <x:t xml:space="preserve">2026-09-23 03:00:00</x:t>
        </x:is>
      </x:c>
      <x:c r="C369" s="604" t="str">
        <x:v>欧洲非五大系列</x:v>
      </x:c>
      <x:c r="D369" s="604" t="inlineStr">
        <x:is>
          <x:t xml:space="preserve">联赛</x:t>
        </x:is>
      </x:c>
      <x:c r="E369" s="604" t="inlineStr">
        <x:is>
          <x:t xml:space="preserve">欧女杯</x:t>
        </x:is>
      </x:c>
      <x:c r="F369" s="604" t="inlineStr">
        <x:is>
          <x:t xml:space="preserve">阿森纳女足 vs 靴尔科治女足</x:t>
        </x:is>
      </x:c>
      <x:c r="G369" s="611" t="n">
        <x:v>0.7</x:v>
      </x:c>
      <x:c r="H369" s="611" t="n">
        <x:v>2.5</x:v>
      </x:c>
      <x:c r="I369" s="611" t="n">
        <x:v>1</x:v>
      </x:c>
      <x:c r="J369" s="604" t="inlineStr">
        <x:is>
          <x:t xml:space="preserve">0.7/2.5/1.0</x:t>
        </x:is>
      </x:c>
      <x:c r="K369" s="604" t="inlineStr">
        <x:is>
          <x:t xml:space="preserve">V4-A最新版候选</x:t>
        </x:is>
      </x:c>
      <x:c r="L369" s="604" t="inlineStr">
        <x:is>
          <x:t xml:space="preserve">靴尔科治女足</x:t>
        </x:is>
      </x:c>
      <x:c r="M369" s="606" t="n">
        <x:v>0.9896</x:v>
      </x:c>
      <x:c r="N369" s="604" t="inlineStr">
        <x:is>
          <x:t xml:space="preserve">V4最新页面A/B/C候选</x:t>
        </x:is>
      </x:c>
      <x:c r="O369" s="604" t="inlineStr">
        <x:is>
          <x:t xml:space="preserve">1-0</x:t>
        </x:is>
      </x:c>
      <x:c r="P369" s="604" t="inlineStr">
        <x:is>
          <x:t xml:space="preserve">已结算</x:t>
        </x:is>
      </x:c>
      <x:c r="Q369" s="645" t="inlineStr">
        <x:is>
          <x:t xml:space="preserve">红</x:t>
        </x:is>
      </x:c>
      <x:c r="R369" s="607" t="n">
        <x:v>1</x:v>
      </x:c>
      <x:c r="S369" s="607" t="n">
        <x:f>IF(OR(Q369="",Q369="待结算"),"",IF(Q369="红",R369,IF(Q369="半红",R369*0.5,IF(Q369="走",0,IF(Q369="半黑",-0.5,-1)))))</x:f>
        <x:v>1</x:v>
      </x:c>
      <x:c r="T369" s="604" t="inlineStr">
        <x:is>
          <x:t xml:space="preserve">https://simondongxiao.github.io/odds/v4/</x:t>
        </x:is>
      </x:c>
      <x:c r="U369" s="604" t="inlineStr">
        <x:is>
          <x:t xml:space="preserve">3092350</x:t>
        </x:is>
      </x:c>
      <x:c r="V369" s="607" t="inlineStr">
        <x:is>
          <x:t xml:space="preserve">v4-market-dirichlet-20260913</x:t>
        </x:is>
      </x:c>
      <x:c r="W369" s="607" t="n">
        <x:f>IF(OR(U369="",U369="待结算"),"",IF(U369="红",V369,IF(U369="半红",V369*0.5,IF(U369="走",0,IF(U369="半黑",-0.5,-1)))))</x:f>
        <x:v>-1</x:v>
      </x:c>
      <x:c r="X369" s="608" t="inlineStr">
        <x:is>
          <x:t xml:space="preserve">A</x:t>
        </x:is>
      </x:c>
      <x:c r="Y369" s="608" t="n"/>
      <x:c r="Z369" s="608" t="n"/>
      <x:c r="AA369" s="608" t="n"/>
      <x:c r="AB369" s="608" t="n"/>
      <x:c r="AC369" s="608" t="n"/>
      <x:c r="AD369" s="608" t="n"/>
      <x:c r="AE369" s="608" t="n"/>
      <x:c r="AF369" s="608" t="n"/>
      <x:c r="AG369" s="608" t="n"/>
      <x:c r="AH369" s="608" t="n"/>
      <x:c r="AI369" s="608" t="n"/>
      <x:c r="AJ369" s="608" t="n"/>
      <x:c r="AK369" s="608" t="n"/>
      <x:c r="AL369" s="608" t="n"/>
      <x:c r="AM369" s="608" t="n"/>
      <x:c r="AN369" s="608" t="n"/>
      <x:c r="AO369" s="608" t="n"/>
      <x:c r="AP369" s="608" t="n"/>
      <x:c r="AQ369" s="608" t="n"/>
      <x:c r="AR369" s="608" t="n"/>
      <x:c r="AS369" s="608" t="n"/>
      <x:c r="AT369" s="608" t="n"/>
      <x:c r="AU369" s="608" t="n"/>
      <x:c r="AV369" s="608" t="n"/>
      <x:c r="AW369" s="608" t="n"/>
      <x:c r="AX369" s="608" t="n"/>
      <x:c r="AY369" s="608" t="n"/>
    </x:row>
    <x:row r="370" ht="22" customHeight="1">
      <x:c r="A370" s="604" t="inlineStr">
        <x:is>
          <x:t xml:space="preserve">2026-09-22</x:t>
        </x:is>
      </x:c>
      <x:c r="B370" s="604" t="inlineStr">
        <x:is>
          <x:t xml:space="preserve">2026-09-23 09:00:00</x:t>
        </x:is>
      </x:c>
      <x:c r="C370" s="604" t="str">
        <x:v>南美系列</x:v>
      </x:c>
      <x:c r="D370" s="604" t="inlineStr">
        <x:is>
          <x:t xml:space="preserve">联赛</x:t>
        </x:is>
      </x:c>
      <x:c r="E370" s="604" t="inlineStr">
        <x:is>
          <x:t xml:space="preserve">哥伦甲秋</x:t>
        </x:is>
      </x:c>
      <x:c r="F370" s="604" t="inlineStr">
        <x:is>
          <x:t xml:space="preserve">圣塔菲 vs 卡利体育会</x:t>
        </x:is>
      </x:c>
      <x:c r="G370" s="611" t="n">
        <x:v>0.87</x:v>
      </x:c>
      <x:c r="H370" s="611" t="n">
        <x:v>0.25</x:v>
      </x:c>
      <x:c r="I370" s="611" t="n">
        <x:v>1.01</x:v>
      </x:c>
      <x:c r="J370" s="604" t="inlineStr">
        <x:is>
          <x:t xml:space="preserve">0.87/0.25/1.01</x:t>
        </x:is>
      </x:c>
      <x:c r="K370" s="604" t="inlineStr">
        <x:is>
          <x:t xml:space="preserve">V4-C最新版候选</x:t>
        </x:is>
      </x:c>
      <x:c r="L370" s="604" t="inlineStr">
        <x:is>
          <x:t xml:space="preserve">卡利体育会</x:t>
        </x:is>
      </x:c>
      <x:c r="M370" s="606" t="n">
        <x:v>0.5504</x:v>
      </x:c>
      <x:c r="N370" s="604" t="inlineStr">
        <x:is>
          <x:t xml:space="preserve">V4最新页面A/B/C候选</x:t>
        </x:is>
      </x:c>
      <x:c r="O370" s="604" t="inlineStr">
        <x:is>
          <x:t xml:space="preserve">0-1</x:t>
        </x:is>
      </x:c>
      <x:c r="P370" s="604" t="inlineStr">
        <x:is>
          <x:t xml:space="preserve">已结算</x:t>
        </x:is>
      </x:c>
      <x:c r="Q370" s="645" t="inlineStr">
        <x:is>
          <x:t xml:space="preserve">红</x:t>
        </x:is>
      </x:c>
      <x:c r="R370" s="607" t="n">
        <x:v>1.01</x:v>
      </x:c>
      <x:c r="S370" s="607" t="n">
        <x:f>IF(OR(Q370="",Q370="待结算"),"",IF(Q370="红",R370,IF(Q370="半红",R370*0.5,IF(Q370="走",0,IF(Q370="半黑",-0.5,-1)))))</x:f>
        <x:v>1.01</x:v>
      </x:c>
      <x:c r="T370" s="604" t="inlineStr">
        <x:is>
          <x:t xml:space="preserve">https://simondongxiao.github.io/odds/v4/</x:t>
        </x:is>
      </x:c>
      <x:c r="U370" s="604" t="inlineStr">
        <x:is>
          <x:t xml:space="preserve">3011876</x:t>
        </x:is>
      </x:c>
      <x:c r="V370" s="607" t="inlineStr">
        <x:is>
          <x:t xml:space="preserve">v4-market-dirichlet-20260913</x:t>
        </x:is>
      </x:c>
      <x:c r="W370" s="607" t="n">
        <x:f>IF(OR(U370="",U370="待结算"),"",IF(U370="红",V370,IF(U370="半红",V370*0.5,IF(U370="走",0,IF(U370="半黑",-0.5,-1)))))</x:f>
        <x:v>-1</x:v>
      </x:c>
      <x:c r="X370" s="608" t="inlineStr">
        <x:is>
          <x:t xml:space="preserve">C</x:t>
        </x:is>
      </x:c>
      <x:c r="Y370" s="608" t="n"/>
      <x:c r="Z370" s="608" t="n"/>
      <x:c r="AA370" s="608" t="n"/>
      <x:c r="AB370" s="608" t="n"/>
      <x:c r="AC370" s="608" t="n"/>
      <x:c r="AD370" s="608" t="n"/>
      <x:c r="AE370" s="608" t="n"/>
      <x:c r="AF370" s="608" t="n"/>
      <x:c r="AG370" s="608" t="n"/>
      <x:c r="AH370" s="608" t="n"/>
      <x:c r="AI370" s="608" t="n"/>
      <x:c r="AJ370" s="608" t="n"/>
      <x:c r="AK370" s="608" t="n"/>
      <x:c r="AL370" s="608" t="n"/>
      <x:c r="AM370" s="608" t="n"/>
      <x:c r="AN370" s="608" t="n"/>
      <x:c r="AO370" s="608" t="n"/>
      <x:c r="AP370" s="608" t="n"/>
      <x:c r="AQ370" s="608" t="n"/>
      <x:c r="AR370" s="608" t="n"/>
      <x:c r="AS370" s="608" t="n"/>
      <x:c r="AT370" s="608" t="n"/>
      <x:c r="AU370" s="608" t="n"/>
      <x:c r="AV370" s="608" t="n"/>
      <x:c r="AW370" s="608" t="n"/>
      <x:c r="AX370" s="608" t="n"/>
      <x:c r="AY370" s="608" t="n"/>
    </x:row>
    <x:row r="371" ht="22" customHeight="1">
      <x:c r="A371" s="604" t="inlineStr">
        <x:is>
          <x:t xml:space="preserve">2026-09-23</x:t>
        </x:is>
      </x:c>
      <x:c r="B371" s="604" t="inlineStr">
        <x:is>
          <x:t xml:space="preserve">2026-09-23 16:00:00</x:t>
        </x:is>
      </x:c>
      <x:c r="C371" s="604" t="str">
        <x:v>日韩系列</x:v>
      </x:c>
      <x:c r="D371" s="604" t="inlineStr">
        <x:is>
          <x:t xml:space="preserve">联赛</x:t>
        </x:is>
      </x:c>
      <x:c r="E371" s="604" t="inlineStr">
        <x:is>
          <x:t xml:space="preserve">日皇杯</x:t>
        </x:is>
      </x:c>
      <x:c r="F371" s="604" t="inlineStr">
        <x:is>
          <x:t xml:space="preserve">鹿岛鹿角 vs 甲府风林</x:t>
        </x:is>
      </x:c>
      <x:c r="G371" s="611" t="n">
        <x:v>0.8100000000000001</x:v>
      </x:c>
      <x:c r="H371" s="611" t="n">
        <x:v>1.5</x:v>
      </x:c>
      <x:c r="I371" s="611" t="n">
        <x:v>1.01</x:v>
      </x:c>
      <x:c r="J371" s="604" t="inlineStr">
        <x:is>
          <x:t xml:space="preserve">0.81/1.5/1.01</x:t>
        </x:is>
      </x:c>
      <x:c r="K371" s="604" t="inlineStr">
        <x:is>
          <x:t xml:space="preserve">V4-C最新版候选</x:t>
        </x:is>
      </x:c>
      <x:c r="L371" s="604" t="inlineStr">
        <x:is>
          <x:t xml:space="preserve">鹿岛鹿角</x:t>
        </x:is>
      </x:c>
      <x:c r="M371" s="606" t="n">
        <x:v>0.6926</x:v>
      </x:c>
      <x:c r="N371" s="604" t="inlineStr">
        <x:is>
          <x:t xml:space="preserve">V4最新页面A/B/C候选</x:t>
        </x:is>
      </x:c>
      <x:c r="O371" s="604" t="inlineStr">
        <x:is>
          <x:t xml:space="preserve">3-1</x:t>
        </x:is>
      </x:c>
      <x:c r="P371" s="604" t="inlineStr">
        <x:is>
          <x:t xml:space="preserve">已结算</x:t>
        </x:is>
      </x:c>
      <x:c r="Q371" s="645" t="inlineStr">
        <x:is>
          <x:t xml:space="preserve">红</x:t>
        </x:is>
      </x:c>
      <x:c r="R371" s="607" t="n">
        <x:v>0.8100000000000001</x:v>
      </x:c>
      <x:c r="S371" s="607" t="n">
        <x:f>IF(OR(Q371="",Q371="待结算"),"",IF(Q371="红",R371,IF(Q371="半红",R371*0.5,IF(Q371="走",0,IF(Q371="半黑",-0.5,-1)))))</x:f>
        <x:v>0.81</x:v>
      </x:c>
      <x:c r="T371" s="604" t="inlineStr">
        <x:is>
          <x:t xml:space="preserve">https://simondongxiao.github.io/odds/v4/</x:t>
        </x:is>
      </x:c>
      <x:c r="U371" s="604" t="inlineStr">
        <x:is>
          <x:t xml:space="preserve">3084563</x:t>
        </x:is>
      </x:c>
      <x:c r="V371" s="607" t="inlineStr">
        <x:is>
          <x:t xml:space="preserve">v4-market-dirichlet-20260913</x:t>
        </x:is>
      </x:c>
      <x:c r="W371" s="607" t="n">
        <x:f>IF(OR(U371="",U371="待结算"),"",IF(U371="红",V371,IF(U371="半红",V371*0.5,IF(U371="走",0,IF(U371="半黑",-0.5,-1)))))</x:f>
        <x:v>-1</x:v>
      </x:c>
      <x:c r="X371" s="608" t="inlineStr">
        <x:is>
          <x:t xml:space="preserve">C</x:t>
        </x:is>
      </x:c>
      <x:c r="Y371" s="608" t="n"/>
      <x:c r="Z371" s="608" t="n"/>
      <x:c r="AA371" s="608" t="n"/>
      <x:c r="AB371" s="608" t="n"/>
      <x:c r="AC371" s="608" t="n"/>
      <x:c r="AD371" s="608" t="n"/>
      <x:c r="AE371" s="608" t="n"/>
      <x:c r="AF371" s="608" t="n"/>
      <x:c r="AG371" s="608" t="n"/>
      <x:c r="AH371" s="608" t="n"/>
      <x:c r="AI371" s="608" t="n"/>
      <x:c r="AJ371" s="608" t="n"/>
      <x:c r="AK371" s="608" t="n"/>
      <x:c r="AL371" s="608" t="n"/>
      <x:c r="AM371" s="608" t="n"/>
      <x:c r="AN371" s="608" t="n"/>
      <x:c r="AO371" s="608" t="n"/>
      <x:c r="AP371" s="608" t="n"/>
      <x:c r="AQ371" s="608" t="n"/>
      <x:c r="AR371" s="608" t="n"/>
      <x:c r="AS371" s="608" t="n"/>
      <x:c r="AT371" s="608" t="n"/>
      <x:c r="AU371" s="608" t="n"/>
      <x:c r="AV371" s="608" t="n"/>
      <x:c r="AW371" s="608" t="n"/>
      <x:c r="AX371" s="608" t="n"/>
      <x:c r="AY371" s="608" t="n"/>
    </x:row>
    <x:row r="372" ht="22" customHeight="1">
      <x:c r="A372" s="604" t="inlineStr">
        <x:is>
          <x:t xml:space="preserve">2026-09-23</x:t>
        </x:is>
      </x:c>
      <x:c r="B372" s="604" t="inlineStr">
        <x:is>
          <x:t xml:space="preserve">2026-09-23 16:00:00</x:t>
        </x:is>
      </x:c>
      <x:c r="C372" s="604" t="str">
        <x:v>日韩系列</x:v>
      </x:c>
      <x:c r="D372" s="604" t="inlineStr">
        <x:is>
          <x:t xml:space="preserve">联赛</x:t>
        </x:is>
      </x:c>
      <x:c r="E372" s="604" t="inlineStr">
        <x:is>
          <x:t xml:space="preserve">日皇杯</x:t>
        </x:is>
      </x:c>
      <x:c r="F372" s="604" t="inlineStr">
        <x:is>
          <x:t xml:space="preserve">神户胜利船 vs 鸟栖沙岩</x:t>
        </x:is>
      </x:c>
      <x:c r="G372" s="611" t="n">
        <x:v>1.07</x:v>
      </x:c>
      <x:c r="H372" s="611" t="n">
        <x:v>1.25</x:v>
      </x:c>
      <x:c r="I372" s="611" t="n">
        <x:v>0.75</x:v>
      </x:c>
      <x:c r="J372" s="604" t="inlineStr">
        <x:is>
          <x:t xml:space="preserve">1.07/1.25/0.75</x:t>
        </x:is>
      </x:c>
      <x:c r="K372" s="604" t="inlineStr">
        <x:is>
          <x:t xml:space="preserve">V4-C最新版候选</x:t>
        </x:is>
      </x:c>
      <x:c r="L372" s="604" t="inlineStr">
        <x:is>
          <x:t xml:space="preserve">神户胜利船</x:t>
        </x:is>
      </x:c>
      <x:c r="M372" s="606" t="n">
        <x:v>0.626</x:v>
      </x:c>
      <x:c r="N372" s="604" t="inlineStr">
        <x:is>
          <x:t xml:space="preserve">V4最新页面A/B/C候选</x:t>
        </x:is>
      </x:c>
      <x:c r="O372" s="604" t="inlineStr">
        <x:is>
          <x:t xml:space="preserve">1-0</x:t>
        </x:is>
      </x:c>
      <x:c r="P372" s="604" t="inlineStr">
        <x:is>
          <x:t xml:space="preserve">已结算</x:t>
        </x:is>
      </x:c>
      <x:c r="Q372" s="648" t="inlineStr">
        <x:is>
          <x:t xml:space="preserve">半黑</x:t>
        </x:is>
      </x:c>
      <x:c r="R372" s="607" t="n">
        <x:v>1.07</x:v>
      </x:c>
      <x:c r="S372" s="607" t="n">
        <x:f>IF(OR(Q372="",Q372="待结算"),"",IF(Q372="红",R372,IF(Q372="半红",R372*0.5,IF(Q372="走",0,IF(Q372="半黑",-0.5,-1)))))</x:f>
        <x:v>-0.5</x:v>
      </x:c>
      <x:c r="T372" s="604" t="inlineStr">
        <x:is>
          <x:t xml:space="preserve">https://simondongxiao.github.io/odds/v4/</x:t>
        </x:is>
      </x:c>
      <x:c r="U372" s="604" t="inlineStr">
        <x:is>
          <x:t xml:space="preserve">3084565</x:t>
        </x:is>
      </x:c>
      <x:c r="V372" s="607" t="inlineStr">
        <x:is>
          <x:t xml:space="preserve">v4-market-dirichlet-20260913</x:t>
        </x:is>
      </x:c>
      <x:c r="W372" s="607" t="n">
        <x:f>IF(OR(U372="",U372="待结算"),"",IF(U372="红",V372,IF(U372="半红",V372*0.5,IF(U372="走",0,IF(U372="半黑",-0.5,-1)))))</x:f>
        <x:v>-1</x:v>
      </x:c>
      <x:c r="X372" s="608" t="inlineStr">
        <x:is>
          <x:t xml:space="preserve">C</x:t>
        </x:is>
      </x:c>
      <x:c r="Y372" s="608" t="n"/>
      <x:c r="Z372" s="608" t="n"/>
      <x:c r="AA372" s="608" t="n"/>
      <x:c r="AB372" s="608" t="n"/>
      <x:c r="AC372" s="608" t="n"/>
      <x:c r="AD372" s="608" t="n"/>
      <x:c r="AE372" s="608" t="n"/>
      <x:c r="AF372" s="608" t="n"/>
      <x:c r="AG372" s="608" t="n"/>
      <x:c r="AH372" s="608" t="n"/>
      <x:c r="AI372" s="608" t="n"/>
      <x:c r="AJ372" s="608" t="n"/>
      <x:c r="AK372" s="608" t="n"/>
      <x:c r="AL372" s="608" t="n"/>
      <x:c r="AM372" s="608" t="n"/>
      <x:c r="AN372" s="608" t="n"/>
      <x:c r="AO372" s="608" t="n"/>
      <x:c r="AP372" s="608" t="n"/>
      <x:c r="AQ372" s="608" t="n"/>
      <x:c r="AR372" s="608" t="n"/>
      <x:c r="AS372" s="608" t="n"/>
      <x:c r="AT372" s="608" t="n"/>
      <x:c r="AU372" s="608" t="n"/>
      <x:c r="AV372" s="608" t="n"/>
      <x:c r="AW372" s="608" t="n"/>
      <x:c r="AX372" s="608" t="n"/>
      <x:c r="AY372" s="608" t="n"/>
    </x:row>
    <x:row r="373" ht="22" customHeight="1">
      <x:c r="A373" s="604" t="inlineStr">
        <x:is>
          <x:t xml:space="preserve">2026-09-23</x:t>
        </x:is>
      </x:c>
      <x:c r="B373" s="604" t="inlineStr">
        <x:is>
          <x:t xml:space="preserve">2026-09-23 16:00:00</x:t>
        </x:is>
      </x:c>
      <x:c r="C373" s="604" t="str">
        <x:v>日韩系列</x:v>
      </x:c>
      <x:c r="D373" s="604" t="inlineStr">
        <x:is>
          <x:t xml:space="preserve">联赛</x:t>
        </x:is>
      </x:c>
      <x:c r="E373" s="604" t="inlineStr">
        <x:is>
          <x:t xml:space="preserve">日皇杯</x:t>
        </x:is>
      </x:c>
      <x:c r="F373" s="604" t="inlineStr">
        <x:is>
          <x:t xml:space="preserve">柏太阳神 vs 今治</x:t>
        </x:is>
      </x:c>
      <x:c r="G373" s="611" t="n">
        <x:v>0.97</x:v>
      </x:c>
      <x:c r="H373" s="611" t="n">
        <x:v>2.25</x:v>
      </x:c>
      <x:c r="I373" s="611" t="n">
        <x:v>0.85</x:v>
      </x:c>
      <x:c r="J373" s="604" t="inlineStr">
        <x:is>
          <x:t xml:space="preserve">0.97/2.25/0.85</x:t>
        </x:is>
      </x:c>
      <x:c r="K373" s="604" t="inlineStr">
        <x:is>
          <x:t xml:space="preserve">V4-C最新版候选</x:t>
        </x:is>
      </x:c>
      <x:c r="L373" s="604" t="inlineStr">
        <x:is>
          <x:t xml:space="preserve">柏太阳神</x:t>
        </x:is>
      </x:c>
      <x:c r="M373" s="606" t="n">
        <x:v>0.6912</x:v>
      </x:c>
      <x:c r="N373" s="604" t="inlineStr">
        <x:is>
          <x:t xml:space="preserve">V4最新页面A/B/C候选</x:t>
        </x:is>
      </x:c>
      <x:c r="O373" s="604" t="inlineStr">
        <x:is>
          <x:t xml:space="preserve">4-0</x:t>
        </x:is>
      </x:c>
      <x:c r="P373" s="604" t="inlineStr">
        <x:is>
          <x:t xml:space="preserve">已结算</x:t>
        </x:is>
      </x:c>
      <x:c r="Q373" s="645" t="inlineStr">
        <x:is>
          <x:t xml:space="preserve">红</x:t>
        </x:is>
      </x:c>
      <x:c r="R373" s="607" t="n">
        <x:v>0.97</x:v>
      </x:c>
      <x:c r="S373" s="607" t="n">
        <x:f>IF(OR(Q373="",Q373="待结算"),"",IF(Q373="红",R373,IF(Q373="半红",R373*0.5,IF(Q373="走",0,IF(Q373="半黑",-0.5,-1)))))</x:f>
        <x:v>0.97</x:v>
      </x:c>
      <x:c r="T373" s="604" t="inlineStr">
        <x:is>
          <x:t xml:space="preserve">https://simondongxiao.github.io/odds/v4/</x:t>
        </x:is>
      </x:c>
      <x:c r="U373" s="604" t="inlineStr">
        <x:is>
          <x:t xml:space="preserve">3084567</x:t>
        </x:is>
      </x:c>
      <x:c r="V373" s="607" t="inlineStr">
        <x:is>
          <x:t xml:space="preserve">v4-market-dirichlet-20260913</x:t>
        </x:is>
      </x:c>
      <x:c r="W373" s="607" t="n">
        <x:f>IF(OR(U373="",U373="待结算"),"",IF(U373="红",V373,IF(U373="半红",V373*0.5,IF(U373="走",0,IF(U373="半黑",-0.5,-1)))))</x:f>
        <x:v>-1</x:v>
      </x:c>
      <x:c r="X373" s="608" t="inlineStr">
        <x:is>
          <x:t xml:space="preserve">C</x:t>
        </x:is>
      </x:c>
      <x:c r="Y373" s="608" t="n"/>
      <x:c r="Z373" s="608" t="n"/>
      <x:c r="AA373" s="608" t="n"/>
      <x:c r="AB373" s="608" t="n"/>
      <x:c r="AC373" s="608" t="n"/>
      <x:c r="AD373" s="608" t="n"/>
      <x:c r="AE373" s="608" t="n"/>
      <x:c r="AF373" s="608" t="n"/>
      <x:c r="AG373" s="608" t="n"/>
      <x:c r="AH373" s="608" t="n"/>
      <x:c r="AI373" s="608" t="n"/>
      <x:c r="AJ373" s="608" t="n"/>
      <x:c r="AK373" s="608" t="n"/>
      <x:c r="AL373" s="608" t="n"/>
      <x:c r="AM373" s="608" t="n"/>
      <x:c r="AN373" s="608" t="n"/>
      <x:c r="AO373" s="608" t="n"/>
      <x:c r="AP373" s="608" t="n"/>
      <x:c r="AQ373" s="608" t="n"/>
      <x:c r="AR373" s="608" t="n"/>
      <x:c r="AS373" s="608" t="n"/>
      <x:c r="AT373" s="608" t="n"/>
      <x:c r="AU373" s="608" t="n"/>
      <x:c r="AV373" s="608" t="n"/>
      <x:c r="AW373" s="608" t="n"/>
      <x:c r="AX373" s="608" t="n"/>
      <x:c r="AY373" s="608" t="n"/>
    </x:row>
    <x:row r="374" ht="22" customHeight="1">
      <x:c r="A374" s="604" t="inlineStr">
        <x:is>
          <x:t xml:space="preserve">2026-09-23</x:t>
        </x:is>
      </x:c>
      <x:c r="B374" s="604" t="inlineStr">
        <x:is>
          <x:t xml:space="preserve">2026-09-23 18:30:00</x:t>
        </x:is>
      </x:c>
      <x:c r="C374" s="604" t="str">
        <x:v>其他系列</x:v>
      </x:c>
      <x:c r="D374" s="604" t="inlineStr">
        <x:is>
          <x:t xml:space="preserve">联赛</x:t>
        </x:is>
      </x:c>
      <x:c r="E374" s="604" t="inlineStr">
        <x:is>
          <x:t xml:space="preserve">亚运男足</x:t>
        </x:is>
      </x:c>
      <x:c r="F374" s="604" t="inlineStr">
        <x:is>
          <x:t xml:space="preserve">日本U23 vs 泰国U23</x:t>
        </x:is>
      </x:c>
      <x:c r="G374" s="611" t="n">
        <x:v>1.01</x:v>
      </x:c>
      <x:c r="H374" s="611" t="n">
        <x:v>2.25</x:v>
      </x:c>
      <x:c r="I374" s="611" t="n">
        <x:v>0.8100000000000001</x:v>
      </x:c>
      <x:c r="J374" s="604" t="inlineStr">
        <x:is>
          <x:t xml:space="preserve">1.01/2.25/0.81</x:t>
        </x:is>
      </x:c>
      <x:c r="K374" s="604" t="inlineStr">
        <x:is>
          <x:t xml:space="preserve">V4-C最新版候选</x:t>
        </x:is>
      </x:c>
      <x:c r="L374" s="604" t="inlineStr">
        <x:is>
          <x:t xml:space="preserve">日本U23</x:t>
        </x:is>
      </x:c>
      <x:c r="M374" s="606" t="n">
        <x:v>0.7024</x:v>
      </x:c>
      <x:c r="N374" s="604" t="inlineStr">
        <x:is>
          <x:t xml:space="preserve">V4最新页面A/B/C候选</x:t>
        </x:is>
      </x:c>
      <x:c r="O374" s="604" t="inlineStr">
        <x:is>
          <x:t xml:space="preserve">3-0</x:t>
        </x:is>
      </x:c>
      <x:c r="P374" s="604" t="inlineStr">
        <x:is>
          <x:t xml:space="preserve">已结算</x:t>
        </x:is>
      </x:c>
      <x:c r="Q374" s="645" t="inlineStr">
        <x:is>
          <x:t xml:space="preserve">红</x:t>
        </x:is>
      </x:c>
      <x:c r="R374" s="607" t="n">
        <x:v>1.01</x:v>
      </x:c>
      <x:c r="S374" s="607" t="n">
        <x:f>IF(OR(Q374="",Q374="待结算"),"",IF(Q374="红",R374,IF(Q374="半红",R374*0.5,IF(Q374="走",0,IF(Q374="半黑",-0.5,-1)))))</x:f>
        <x:v>1.01</x:v>
      </x:c>
      <x:c r="T374" s="604" t="inlineStr">
        <x:is>
          <x:t xml:space="preserve">https://simondongxiao.github.io/odds/v4/</x:t>
        </x:is>
      </x:c>
      <x:c r="U374" s="604" t="inlineStr">
        <x:is>
          <x:t xml:space="preserve">3049653</x:t>
        </x:is>
      </x:c>
      <x:c r="V374" s="607" t="inlineStr">
        <x:is>
          <x:t xml:space="preserve">v4-market-dirichlet-20260913</x:t>
        </x:is>
      </x:c>
      <x:c r="W374" s="607" t="n">
        <x:f>IF(OR(U374="",U374="待结算"),"",IF(U374="红",V374,IF(U374="半红",V374*0.5,IF(U374="走",0,IF(U374="半黑",-0.5,-1)))))</x:f>
        <x:v>-1</x:v>
      </x:c>
      <x:c r="X374" s="608" t="inlineStr">
        <x:is>
          <x:t xml:space="preserve">C</x:t>
        </x:is>
      </x:c>
      <x:c r="Y374" s="608" t="n"/>
      <x:c r="Z374" s="608" t="n"/>
      <x:c r="AA374" s="608" t="n"/>
      <x:c r="AB374" s="608" t="n"/>
      <x:c r="AC374" s="608" t="n"/>
      <x:c r="AD374" s="608" t="n"/>
      <x:c r="AE374" s="608" t="n"/>
      <x:c r="AF374" s="608" t="n"/>
      <x:c r="AG374" s="608" t="n"/>
      <x:c r="AH374" s="608" t="n"/>
      <x:c r="AI374" s="608" t="n"/>
      <x:c r="AJ374" s="608" t="n"/>
      <x:c r="AK374" s="608" t="n"/>
      <x:c r="AL374" s="608" t="n"/>
      <x:c r="AM374" s="608" t="n"/>
      <x:c r="AN374" s="608" t="n"/>
      <x:c r="AO374" s="608" t="n"/>
      <x:c r="AP374" s="608" t="n"/>
      <x:c r="AQ374" s="608" t="n"/>
      <x:c r="AR374" s="608" t="n"/>
      <x:c r="AS374" s="608" t="n"/>
      <x:c r="AT374" s="608" t="n"/>
      <x:c r="AU374" s="608" t="n"/>
      <x:c r="AV374" s="608" t="n"/>
      <x:c r="AW374" s="608" t="n"/>
      <x:c r="AX374" s="608" t="n"/>
      <x:c r="AY374" s="608" t="n"/>
    </x:row>
    <x:row r="375" ht="22" customHeight="1">
      <x:c r="A375" s="604" t="inlineStr">
        <x:is>
          <x:t xml:space="preserve">2026-09-23</x:t>
        </x:is>
      </x:c>
      <x:c r="B375" s="604" t="inlineStr">
        <x:is>
          <x:t xml:space="preserve">2026-09-23 21:00:00</x:t>
        </x:is>
      </x:c>
      <x:c r="C375" s="604" t="str">
        <x:v>其他系列</x:v>
      </x:c>
      <x:c r="D375" s="604" t="inlineStr">
        <x:is>
          <x:t xml:space="preserve">联赛</x:t>
        </x:is>
      </x:c>
      <x:c r="E375" s="604" t="inlineStr">
        <x:is>
          <x:t xml:space="preserve">非青杯外</x:t>
        </x:is>
      </x:c>
      <x:c r="F375" s="604" t="inlineStr">
        <x:is>
          <x:t xml:space="preserve">马拉维U20 vs 科摩罗U20</x:t>
        </x:is>
      </x:c>
      <x:c r="G375" s="611" t="n">
        <x:v>0.6</x:v>
      </x:c>
      <x:c r="H375" s="611" t="n">
        <x:v>1</x:v>
      </x:c>
      <x:c r="I375" s="611" t="n">
        <x:v>1.11</x:v>
      </x:c>
      <x:c r="J375" s="604" t="inlineStr">
        <x:is>
          <x:t xml:space="preserve">0.6/1.0/1.11</x:t>
        </x:is>
      </x:c>
      <x:c r="K375" s="604" t="inlineStr">
        <x:is>
          <x:t xml:space="preserve">V4-B最新版候选</x:t>
        </x:is>
      </x:c>
      <x:c r="L375" s="604" t="inlineStr">
        <x:is>
          <x:t xml:space="preserve">科摩罗U20</x:t>
        </x:is>
      </x:c>
      <x:c r="M375" s="606" t="n">
        <x:v>0.8512</x:v>
      </x:c>
      <x:c r="N375" s="604" t="inlineStr">
        <x:is>
          <x:t xml:space="preserve">V4最新页面A/B/C候选</x:t>
        </x:is>
      </x:c>
      <x:c r="O375" s="604" t="inlineStr">
        <x:is>
          <x:t xml:space="preserve">2-1</x:t>
        </x:is>
      </x:c>
      <x:c r="P375" s="604" t="inlineStr">
        <x:is>
          <x:t xml:space="preserve">已结算</x:t>
        </x:is>
      </x:c>
      <x:c r="Q375" s="647" t="inlineStr">
        <x:is>
          <x:t xml:space="preserve">走</x:t>
        </x:is>
      </x:c>
      <x:c r="R375" s="607" t="n">
        <x:v>1.11</x:v>
      </x:c>
      <x:c r="S375" s="607" t="n">
        <x:f>IF(OR(Q375="",Q375="待结算"),"",IF(Q375="红",R375,IF(Q375="半红",R375*0.5,IF(Q375="走",0,IF(Q375="半黑",-0.5,-1)))))</x:f>
        <x:v>0</x:v>
      </x:c>
      <x:c r="T375" s="604" t="inlineStr">
        <x:is>
          <x:t xml:space="preserve">https://simondongxiao.github.io/odds/v4/</x:t>
        </x:is>
      </x:c>
      <x:c r="U375" s="604" t="inlineStr">
        <x:is>
          <x:t xml:space="preserve">3089653</x:t>
        </x:is>
      </x:c>
      <x:c r="V375" s="607" t="inlineStr">
        <x:is>
          <x:t xml:space="preserve">v4-market-dirichlet-20260913</x:t>
        </x:is>
      </x:c>
      <x:c r="W375" s="607" t="n">
        <x:f>IF(OR(U375="",U375="待结算"),"",IF(U375="红",V375,IF(U375="半红",V375*0.5,IF(U375="走",0,IF(U375="半黑",-0.5,-1)))))</x:f>
        <x:v>-1</x:v>
      </x:c>
      <x:c r="X375" s="608" t="inlineStr">
        <x:is>
          <x:t xml:space="preserve">B</x:t>
        </x:is>
      </x:c>
      <x:c r="Y375" s="608" t="n"/>
      <x:c r="Z375" s="608" t="n"/>
      <x:c r="AA375" s="608" t="n"/>
      <x:c r="AB375" s="608" t="n"/>
      <x:c r="AC375" s="608" t="n"/>
      <x:c r="AD375" s="608" t="n"/>
      <x:c r="AE375" s="608" t="n"/>
      <x:c r="AF375" s="608" t="n"/>
      <x:c r="AG375" s="608" t="n"/>
      <x:c r="AH375" s="608" t="n"/>
      <x:c r="AI375" s="608" t="n"/>
      <x:c r="AJ375" s="608" t="n"/>
      <x:c r="AK375" s="608" t="n"/>
      <x:c r="AL375" s="608" t="n"/>
      <x:c r="AM375" s="608" t="n"/>
      <x:c r="AN375" s="608" t="n"/>
      <x:c r="AO375" s="608" t="n"/>
      <x:c r="AP375" s="608" t="n"/>
      <x:c r="AQ375" s="608" t="n"/>
      <x:c r="AR375" s="608" t="n"/>
      <x:c r="AS375" s="608" t="n"/>
      <x:c r="AT375" s="608" t="n"/>
      <x:c r="AU375" s="608" t="n"/>
      <x:c r="AV375" s="608" t="n"/>
      <x:c r="AW375" s="608" t="n"/>
      <x:c r="AX375" s="608" t="n"/>
      <x:c r="AY375" s="608" t="n"/>
    </x:row>
    <x:row r="376" ht="22" customHeight="1">
      <x:c r="A376" s="604" t="inlineStr">
        <x:is>
          <x:t xml:space="preserve">2026-09-23</x:t>
        </x:is>
      </x:c>
      <x:c r="B376" s="604" t="inlineStr">
        <x:is>
          <x:t xml:space="preserve">2026-09-23 21:00:00</x:t>
        </x:is>
      </x:c>
      <x:c r="C376" s="604" t="str">
        <x:v>其他系列</x:v>
      </x:c>
      <x:c r="D376" s="604" t="inlineStr">
        <x:is>
          <x:t xml:space="preserve">杯赛</x:t>
        </x:is>
      </x:c>
      <x:c r="E376" s="604" t="inlineStr">
        <x:is>
          <x:t xml:space="preserve">非青杯外</x:t>
        </x:is>
      </x:c>
      <x:c r="F376" s="604" t="inlineStr">
        <x:is>
          <x:t xml:space="preserve">赞比亚U20 vs 博茨瓦纳U20</x:t>
        </x:is>
      </x:c>
      <x:c r="G376" s="611" t="n">
        <x:v>0.84</x:v>
      </x:c>
      <x:c r="H376" s="611" t="n">
        <x:v>2</x:v>
      </x:c>
      <x:c r="I376" s="611" t="n">
        <x:v>0.92</x:v>
      </x:c>
      <x:c r="J376" s="604" t="inlineStr">
        <x:is>
          <x:t xml:space="preserve">0.84/2.0/0.92</x:t>
        </x:is>
      </x:c>
      <x:c r="K376" s="604" t="inlineStr">
        <x:is>
          <x:t xml:space="preserve">V4-C最新版候选</x:t>
        </x:is>
      </x:c>
      <x:c r="L376" s="604" t="inlineStr">
        <x:is>
          <x:t xml:space="preserve">赞比亚U20</x:t>
        </x:is>
      </x:c>
      <x:c r="M376" s="606" t="n">
        <x:v>0.785</x:v>
      </x:c>
      <x:c r="N376" s="604" t="inlineStr">
        <x:is>
          <x:t xml:space="preserve">V4最新页面A/B/C候选</x:t>
        </x:is>
      </x:c>
      <x:c r="O376" s="604" t="inlineStr">
        <x:is>
          <x:t xml:space="preserve">3-1</x:t>
        </x:is>
      </x:c>
      <x:c r="P376" s="604" t="inlineStr">
        <x:is>
          <x:t xml:space="preserve">已结算</x:t>
        </x:is>
      </x:c>
      <x:c r="Q376" s="647" t="inlineStr">
        <x:is>
          <x:t xml:space="preserve">走</x:t>
        </x:is>
      </x:c>
      <x:c r="R376" s="607" t="n">
        <x:v>0.84</x:v>
      </x:c>
      <x:c r="S376" s="607" t="n">
        <x:f>IF(OR(Q376="",Q376="待结算"),"",IF(Q376="红",R376,IF(Q376="半红",R376*0.5,IF(Q376="走",0,IF(Q376="半黑",-0.5,-1)))))</x:f>
        <x:v>0</x:v>
      </x:c>
      <x:c r="T376" s="604" t="inlineStr">
        <x:is>
          <x:t xml:space="preserve">https://simondongxiao.github.io/odds/v4/</x:t>
        </x:is>
      </x:c>
      <x:c r="U376" s="604" t="inlineStr">
        <x:is>
          <x:t xml:space="preserve">3089654</x:t>
        </x:is>
      </x:c>
      <x:c r="V376" s="607" t="inlineStr">
        <x:is>
          <x:t xml:space="preserve">v4-market-dirichlet-20260913</x:t>
        </x:is>
      </x:c>
      <x:c r="W376" s="607" t="n">
        <x:f>IF(OR(U376="",U376="待结算"),"",IF(U376="红",V376,IF(U376="半红",V376*0.5,IF(U376="走",0,IF(U376="半黑",-0.5,-1)))))</x:f>
        <x:v>-1</x:v>
      </x:c>
      <x:c r="X376" s="608" t="inlineStr">
        <x:is>
          <x:t xml:space="preserve">C</x:t>
        </x:is>
      </x:c>
      <x:c r="Y376" s="608" t="n"/>
      <x:c r="Z376" s="608" t="n"/>
      <x:c r="AA376" s="608" t="n"/>
      <x:c r="AB376" s="608" t="n"/>
      <x:c r="AC376" s="608" t="n"/>
      <x:c r="AD376" s="608" t="n"/>
      <x:c r="AE376" s="608" t="n"/>
      <x:c r="AF376" s="608" t="n"/>
      <x:c r="AG376" s="608" t="n"/>
      <x:c r="AH376" s="608" t="n"/>
      <x:c r="AI376" s="608" t="n"/>
      <x:c r="AJ376" s="608" t="n"/>
      <x:c r="AK376" s="608" t="n"/>
      <x:c r="AL376" s="608" t="n"/>
      <x:c r="AM376" s="608" t="n"/>
      <x:c r="AN376" s="608" t="n"/>
      <x:c r="AO376" s="608" t="n"/>
      <x:c r="AP376" s="608" t="n"/>
      <x:c r="AQ376" s="608" t="n"/>
      <x:c r="AR376" s="608" t="n"/>
      <x:c r="AS376" s="608" t="n"/>
      <x:c r="AT376" s="608" t="n"/>
      <x:c r="AU376" s="608" t="n"/>
      <x:c r="AV376" s="608" t="n"/>
      <x:c r="AW376" s="608" t="n"/>
      <x:c r="AX376" s="608" t="n"/>
      <x:c r="AY376" s="608" t="n"/>
    </x:row>
    <x:row r="377" ht="22" customHeight="1">
      <x:c r="A377" s="604" t="inlineStr">
        <x:is>
          <x:t xml:space="preserve">2026-09-23</x:t>
        </x:is>
      </x:c>
      <x:c r="B377" s="604" t="inlineStr">
        <x:is>
          <x:t xml:space="preserve">2026-09-23 21:00:00</x:t>
        </x:is>
      </x:c>
      <x:c r="C377" s="604" t="str">
        <x:v>欧洲非五大系列</x:v>
      </x:c>
      <x:c r="D377" s="604" t="inlineStr">
        <x:is>
          <x:t xml:space="preserve">杯赛</x:t>
        </x:is>
      </x:c>
      <x:c r="E377" s="604" t="inlineStr">
        <x:is>
          <x:t xml:space="preserve">女欧罗巴杯</x:t>
        </x:is>
      </x:c>
      <x:c r="F377" s="604" t="inlineStr">
        <x:is>
          <x:t xml:space="preserve">PAOK沙朗历基女足 vs 迈加瓦斯巴达女足</x:t>
        </x:is>
      </x:c>
      <x:c r="G377" s="611" t="n">
        <x:v>0.6</x:v>
      </x:c>
      <x:c r="H377" s="611" t="n">
        <x:v>0.75</x:v>
      </x:c>
      <x:c r="I377" s="611" t="n">
        <x:v>1.11</x:v>
      </x:c>
      <x:c r="J377" s="604" t="inlineStr">
        <x:is>
          <x:t xml:space="preserve">0.6/0.75/1.11</x:t>
        </x:is>
      </x:c>
      <x:c r="K377" s="604" t="inlineStr">
        <x:is>
          <x:t xml:space="preserve">V4-C最新版候选</x:t>
        </x:is>
      </x:c>
      <x:c r="L377" s="604" t="inlineStr">
        <x:is>
          <x:t xml:space="preserve">迈加瓦斯巴达女足</x:t>
        </x:is>
      </x:c>
      <x:c r="M377" s="606" t="n">
        <x:v>0.7432</x:v>
      </x:c>
      <x:c r="N377" s="604" t="inlineStr">
        <x:is>
          <x:t xml:space="preserve">V4最新页面A/B/C候选</x:t>
        </x:is>
      </x:c>
      <x:c r="O377" s="604" t="inlineStr">
        <x:is>
          <x:t xml:space="preserve">2-3</x:t>
        </x:is>
      </x:c>
      <x:c r="P377" s="604" t="inlineStr">
        <x:is>
          <x:t xml:space="preserve">已结算</x:t>
        </x:is>
      </x:c>
      <x:c r="Q377" s="645" t="inlineStr">
        <x:is>
          <x:t xml:space="preserve">红</x:t>
        </x:is>
      </x:c>
      <x:c r="R377" s="607" t="n">
        <x:v>1.11</x:v>
      </x:c>
      <x:c r="S377" s="607" t="n">
        <x:f>IF(OR(Q377="",Q377="待结算"),"",IF(Q377="红",R377,IF(Q377="半红",R377*0.5,IF(Q377="走",0,IF(Q377="半黑",-0.5,-1)))))</x:f>
        <x:v>1.11</x:v>
      </x:c>
      <x:c r="T377" s="604" t="inlineStr">
        <x:is>
          <x:t xml:space="preserve">https://simondongxiao.github.io/odds/v4/</x:t>
        </x:is>
      </x:c>
      <x:c r="U377" s="604" t="inlineStr">
        <x:is>
          <x:t xml:space="preserve">3086463</x:t>
        </x:is>
      </x:c>
      <x:c r="V377" s="607" t="inlineStr">
        <x:is>
          <x:t xml:space="preserve">v4-market-dirichlet-20260913</x:t>
        </x:is>
      </x:c>
      <x:c r="W377" s="607" t="n">
        <x:f>IF(OR(U377="",U377="待结算"),"",IF(U377="红",V377,IF(U377="半红",V377*0.5,IF(U377="走",0,IF(U377="半黑",-0.5,-1)))))</x:f>
        <x:v>-1</x:v>
      </x:c>
      <x:c r="X377" s="608" t="inlineStr">
        <x:is>
          <x:t xml:space="preserve">C</x:t>
        </x:is>
      </x:c>
      <x:c r="Y377" s="608" t="n"/>
      <x:c r="Z377" s="608" t="n"/>
      <x:c r="AA377" s="608" t="n"/>
      <x:c r="AB377" s="608" t="n"/>
      <x:c r="AC377" s="608" t="n"/>
      <x:c r="AD377" s="608" t="n"/>
      <x:c r="AE377" s="608" t="n"/>
      <x:c r="AF377" s="608" t="n"/>
      <x:c r="AG377" s="608" t="n"/>
      <x:c r="AH377" s="608" t="n"/>
      <x:c r="AI377" s="608" t="n"/>
      <x:c r="AJ377" s="608" t="n"/>
      <x:c r="AK377" s="608" t="n"/>
      <x:c r="AL377" s="608" t="n"/>
      <x:c r="AM377" s="608" t="n"/>
      <x:c r="AN377" s="608" t="n"/>
      <x:c r="AO377" s="608" t="n"/>
      <x:c r="AP377" s="608" t="n"/>
      <x:c r="AQ377" s="608" t="n"/>
      <x:c r="AR377" s="608" t="n"/>
      <x:c r="AS377" s="608" t="n"/>
      <x:c r="AT377" s="608" t="n"/>
      <x:c r="AU377" s="608" t="n"/>
      <x:c r="AV377" s="608" t="n"/>
      <x:c r="AW377" s="608" t="n"/>
      <x:c r="AX377" s="608" t="n"/>
      <x:c r="AY377" s="608" t="n"/>
    </x:row>
    <x:row r="378" ht="22" customHeight="1">
      <x:c r="A378" s="604" t="inlineStr">
        <x:is>
          <x:t xml:space="preserve">2026-09-23</x:t>
        </x:is>
      </x:c>
      <x:c r="B378" s="604" t="inlineStr">
        <x:is>
          <x:t xml:space="preserve">2026-09-23 22:00:00</x:t>
        </x:is>
      </x:c>
      <x:c r="C378" s="604" t="str">
        <x:v>西亚/中亚系列</x:v>
      </x:c>
      <x:c r="D378" s="604" t="inlineStr">
        <x:is>
          <x:t xml:space="preserve">联赛</x:t>
        </x:is>
      </x:c>
      <x:c r="E378" s="604" t="inlineStr">
        <x:is>
          <x:t xml:space="preserve">以乙南</x:t>
        </x:is>
      </x:c>
      <x:c r="F378" s="604" t="inlineStr">
        <x:is>
          <x:t xml:space="preserve">艾佐尔夏普尔 vs 马哈尼耶侯达</x:t>
        </x:is>
      </x:c>
      <x:c r="G378" s="611" t="n">
        <x:v>0.65</x:v>
      </x:c>
      <x:c r="H378" s="611" t="n">
        <x:v>0.25</x:v>
      </x:c>
      <x:c r="I378" s="611" t="n">
        <x:v>1.05</x:v>
      </x:c>
      <x:c r="J378" s="604" t="inlineStr">
        <x:is>
          <x:t xml:space="preserve">0.65/0.25/1.05</x:t>
        </x:is>
      </x:c>
      <x:c r="K378" s="604" t="inlineStr">
        <x:is>
          <x:t xml:space="preserve">V4-C最新版候选</x:t>
        </x:is>
      </x:c>
      <x:c r="L378" s="604" t="inlineStr">
        <x:is>
          <x:t xml:space="preserve">马哈尼耶侯达</x:t>
        </x:is>
      </x:c>
      <x:c r="M378" s="606" t="n">
        <x:v>0.6632</x:v>
      </x:c>
      <x:c r="N378" s="604" t="inlineStr">
        <x:is>
          <x:t xml:space="preserve">V4最新页面A/B/C候选</x:t>
        </x:is>
      </x:c>
      <x:c r="O378" s="604" t="inlineStr">
        <x:is>
          <x:t xml:space="preserve">2-0</x:t>
        </x:is>
      </x:c>
      <x:c r="P378" s="604" t="inlineStr">
        <x:is>
          <x:t xml:space="preserve">已结算</x:t>
        </x:is>
      </x:c>
      <x:c r="Q378" s="646" t="inlineStr">
        <x:is>
          <x:t xml:space="preserve">黑</x:t>
        </x:is>
      </x:c>
      <x:c r="R378" s="607" t="n">
        <x:v>1.05</x:v>
      </x:c>
      <x:c r="S378" s="607" t="n">
        <x:f>IF(OR(Q378="",Q378="待结算"),"",IF(Q378="红",R378,IF(Q378="半红",R378*0.5,IF(Q378="走",0,IF(Q378="半黑",-0.5,-1)))))</x:f>
        <x:v>-1</x:v>
      </x:c>
      <x:c r="T378" s="604" t="inlineStr">
        <x:is>
          <x:t xml:space="preserve">https://simondongxiao.github.io/odds/v4/</x:t>
        </x:is>
      </x:c>
      <x:c r="U378" s="604" t="inlineStr">
        <x:is>
          <x:t xml:space="preserve">3074936</x:t>
        </x:is>
      </x:c>
      <x:c r="V378" s="607" t="inlineStr">
        <x:is>
          <x:t xml:space="preserve">v4-market-dirichlet-20260913</x:t>
        </x:is>
      </x:c>
      <x:c r="W378" s="607" t="n">
        <x:f>IF(OR(U378="",U378="待结算"),"",IF(U378="红",V378,IF(U378="半红",V378*0.5,IF(U378="走",0,IF(U378="半黑",-0.5,-1)))))</x:f>
        <x:v>-1</x:v>
      </x:c>
      <x:c r="X378" s="608" t="inlineStr">
        <x:is>
          <x:t xml:space="preserve">C</x:t>
        </x:is>
      </x:c>
      <x:c r="Y378" s="608" t="n"/>
      <x:c r="Z378" s="608" t="n"/>
      <x:c r="AA378" s="608" t="n"/>
      <x:c r="AB378" s="608" t="n"/>
      <x:c r="AC378" s="608" t="n"/>
      <x:c r="AD378" s="608" t="n"/>
      <x:c r="AE378" s="608" t="n"/>
      <x:c r="AF378" s="608" t="n"/>
      <x:c r="AG378" s="608" t="n"/>
      <x:c r="AH378" s="608" t="n"/>
      <x:c r="AI378" s="608" t="n"/>
      <x:c r="AJ378" s="608" t="n"/>
      <x:c r="AK378" s="608" t="n"/>
      <x:c r="AL378" s="608" t="n"/>
      <x:c r="AM378" s="608" t="n"/>
      <x:c r="AN378" s="608" t="n"/>
      <x:c r="AO378" s="608" t="n"/>
      <x:c r="AP378" s="608" t="n"/>
      <x:c r="AQ378" s="608" t="n"/>
      <x:c r="AR378" s="608" t="n"/>
      <x:c r="AS378" s="608" t="n"/>
      <x:c r="AT378" s="608" t="n"/>
      <x:c r="AU378" s="608" t="n"/>
      <x:c r="AV378" s="608" t="n"/>
      <x:c r="AW378" s="608" t="n"/>
      <x:c r="AX378" s="608" t="n"/>
      <x:c r="AY378" s="608" t="n"/>
    </x:row>
    <x:row r="379" ht="22" customHeight="1">
      <x:c r="A379" s="604" t="inlineStr">
        <x:is>
          <x:t xml:space="preserve">2026-09-23</x:t>
        </x:is>
      </x:c>
      <x:c r="B379" s="604" t="inlineStr">
        <x:is>
          <x:t xml:space="preserve">2026-09-23 23:00:00</x:t>
        </x:is>
      </x:c>
      <x:c r="C379" s="604" t="str">
        <x:v>其他系列</x:v>
      </x:c>
      <x:c r="D379" s="604" t="inlineStr">
        <x:is>
          <x:t xml:space="preserve">联赛</x:t>
        </x:is>
      </x:c>
      <x:c r="E379" s="604" t="inlineStr">
        <x:is>
          <x:t xml:space="preserve">尼日超</x:t>
        </x:is>
      </x:c>
      <x:c r="F379" s="604" t="inlineStr">
        <x:is>
          <x:t xml:space="preserve">巴拉乌 vs 阿比亚勇士</x:t>
        </x:is>
      </x:c>
      <x:c r="G379" s="611" t="n">
        <x:v>0.6</x:v>
      </x:c>
      <x:c r="H379" s="611" t="n">
        <x:v>0.75</x:v>
      </x:c>
      <x:c r="I379" s="611" t="n">
        <x:v>1.11</x:v>
      </x:c>
      <x:c r="J379" s="604" t="inlineStr">
        <x:is>
          <x:t xml:space="preserve">0.6/0.75/1.11</x:t>
        </x:is>
      </x:c>
      <x:c r="K379" s="604" t="inlineStr">
        <x:is>
          <x:t xml:space="preserve">V4-C最新版候选</x:t>
        </x:is>
      </x:c>
      <x:c r="L379" s="604" t="inlineStr">
        <x:is>
          <x:t xml:space="preserve">阿比亚勇士</x:t>
        </x:is>
      </x:c>
      <x:c r="M379" s="606" t="n">
        <x:v>0.769</x:v>
      </x:c>
      <x:c r="N379" s="604" t="inlineStr">
        <x:is>
          <x:t xml:space="preserve">V4最新页面A/B/C候选</x:t>
        </x:is>
      </x:c>
      <x:c r="O379" s="604" t="inlineStr">
        <x:is>
          <x:t xml:space="preserve">2-0</x:t>
        </x:is>
      </x:c>
      <x:c r="P379" s="604" t="inlineStr">
        <x:is>
          <x:t xml:space="preserve">已结算</x:t>
        </x:is>
      </x:c>
      <x:c r="Q379" s="646" t="inlineStr">
        <x:is>
          <x:t xml:space="preserve">黑</x:t>
        </x:is>
      </x:c>
      <x:c r="R379" s="607" t="n">
        <x:v>1.11</x:v>
      </x:c>
      <x:c r="S379" s="607" t="n">
        <x:f>IF(OR(Q379="",Q379="待结算"),"",IF(Q379="红",R379,IF(Q379="半红",R379*0.5,IF(Q379="走",0,IF(Q379="半黑",-0.5,-1)))))</x:f>
        <x:v>-1</x:v>
      </x:c>
      <x:c r="T379" s="604" t="inlineStr">
        <x:is>
          <x:t xml:space="preserve">https://simondongxiao.github.io/odds/v4/</x:t>
        </x:is>
      </x:c>
      <x:c r="U379" s="604" t="inlineStr">
        <x:is>
          <x:t xml:space="preserve">3081614</x:t>
        </x:is>
      </x:c>
      <x:c r="V379" s="607" t="inlineStr">
        <x:is>
          <x:t xml:space="preserve">v4-market-dirichlet-20260913</x:t>
        </x:is>
      </x:c>
      <x:c r="W379" s="607" t="n">
        <x:f>IF(OR(U379="",U379="待结算"),"",IF(U379="红",V379,IF(U379="半红",V379*0.5,IF(U379="走",0,IF(U379="半黑",-0.5,-1)))))</x:f>
        <x:v>-1</x:v>
      </x:c>
      <x:c r="X379" s="608" t="inlineStr">
        <x:is>
          <x:t xml:space="preserve">C</x:t>
        </x:is>
      </x:c>
      <x:c r="Y379" s="608" t="n"/>
      <x:c r="Z379" s="608" t="n"/>
      <x:c r="AA379" s="608" t="n"/>
      <x:c r="AB379" s="608" t="n"/>
      <x:c r="AC379" s="608" t="n"/>
      <x:c r="AD379" s="608" t="n"/>
      <x:c r="AE379" s="608" t="n"/>
      <x:c r="AF379" s="608" t="n"/>
      <x:c r="AG379" s="608" t="n"/>
      <x:c r="AH379" s="608" t="n"/>
      <x:c r="AI379" s="608" t="n"/>
      <x:c r="AJ379" s="608" t="n"/>
      <x:c r="AK379" s="608" t="n"/>
      <x:c r="AL379" s="608" t="n"/>
      <x:c r="AM379" s="608" t="n"/>
      <x:c r="AN379" s="608" t="n"/>
      <x:c r="AO379" s="608" t="n"/>
      <x:c r="AP379" s="608" t="n"/>
      <x:c r="AQ379" s="608" t="n"/>
      <x:c r="AR379" s="608" t="n"/>
      <x:c r="AS379" s="608" t="n"/>
      <x:c r="AT379" s="608" t="n"/>
      <x:c r="AU379" s="608" t="n"/>
      <x:c r="AV379" s="608" t="n"/>
      <x:c r="AW379" s="608" t="n"/>
      <x:c r="AX379" s="608" t="n"/>
      <x:c r="AY379" s="608" t="n"/>
    </x:row>
    <x:row r="380" ht="22" customHeight="1">
      <x:c r="A380" s="604" t="inlineStr">
        <x:is>
          <x:t xml:space="preserve">2026-09-23</x:t>
        </x:is>
      </x:c>
      <x:c r="B380" s="604" t="inlineStr">
        <x:is>
          <x:t xml:space="preserve">2026-09-23 23:00:00</x:t>
        </x:is>
      </x:c>
      <x:c r="C380" s="604" t="str">
        <x:v>其他系列</x:v>
      </x:c>
      <x:c r="D380" s="604" t="inlineStr">
        <x:is>
          <x:t xml:space="preserve">联赛</x:t>
        </x:is>
      </x:c>
      <x:c r="E380" s="604" t="inlineStr">
        <x:is>
          <x:t xml:space="preserve">尼日超</x:t>
        </x:is>
      </x:c>
      <x:c r="F380" s="604" t="inlineStr">
        <x:is>
          <x:t xml:space="preserve">射击之星 vs 卡齐纳联</x:t>
        </x:is>
      </x:c>
      <x:c r="G380" s="611" t="n">
        <x:v>0.72</x:v>
      </x:c>
      <x:c r="H380" s="611" t="n">
        <x:v>1</x:v>
      </x:c>
      <x:c r="I380" s="611" t="n">
        <x:v>0.98</x:v>
      </x:c>
      <x:c r="J380" s="604" t="inlineStr">
        <x:is>
          <x:t xml:space="preserve">0.72/1.0/0.98</x:t>
        </x:is>
      </x:c>
      <x:c r="K380" s="604" t="inlineStr">
        <x:is>
          <x:t xml:space="preserve">V4-C最新版候选</x:t>
        </x:is>
      </x:c>
      <x:c r="L380" s="604" t="inlineStr">
        <x:is>
          <x:t xml:space="preserve">卡齐纳联</x:t>
        </x:is>
      </x:c>
      <x:c r="M380" s="606" t="n">
        <x:v>0.722</x:v>
      </x:c>
      <x:c r="N380" s="604" t="inlineStr">
        <x:is>
          <x:t xml:space="preserve">V4最新页面A/B/C候选</x:t>
        </x:is>
      </x:c>
      <x:c r="O380" s="604" t="inlineStr">
        <x:is>
          <x:t xml:space="preserve">2-0</x:t>
        </x:is>
      </x:c>
      <x:c r="P380" s="604" t="inlineStr">
        <x:is>
          <x:t xml:space="preserve">已结算</x:t>
        </x:is>
      </x:c>
      <x:c r="Q380" s="646" t="inlineStr">
        <x:is>
          <x:t xml:space="preserve">黑</x:t>
        </x:is>
      </x:c>
      <x:c r="R380" s="607" t="n">
        <x:v>0.98</x:v>
      </x:c>
      <x:c r="S380" s="607" t="n">
        <x:f>IF(OR(Q380="",Q380="待结算"),"",IF(Q380="红",R380,IF(Q380="半红",R380*0.5,IF(Q380="走",0,IF(Q380="半黑",-0.5,-1)))))</x:f>
        <x:v>-1</x:v>
      </x:c>
      <x:c r="T380" s="604" t="inlineStr">
        <x:is>
          <x:t xml:space="preserve">https://simondongxiao.github.io/odds/v4/</x:t>
        </x:is>
      </x:c>
      <x:c r="U380" s="604" t="inlineStr">
        <x:is>
          <x:t xml:space="preserve">3081623</x:t>
        </x:is>
      </x:c>
      <x:c r="V380" s="607" t="inlineStr">
        <x:is>
          <x:t xml:space="preserve">v4-market-dirichlet-20260913</x:t>
        </x:is>
      </x:c>
      <x:c r="W380" s="607" t="n">
        <x:f>IF(OR(U380="",U380="待结算"),"",IF(U380="红",V380,IF(U380="半红",V380*0.5,IF(U380="走",0,IF(U380="半黑",-0.5,-1)))))</x:f>
        <x:v>-1</x:v>
      </x:c>
      <x:c r="X380" s="608" t="inlineStr">
        <x:is>
          <x:t xml:space="preserve">C</x:t>
        </x:is>
      </x:c>
      <x:c r="Y380" s="608" t="n"/>
      <x:c r="Z380" s="608" t="n"/>
      <x:c r="AA380" s="608" t="n"/>
      <x:c r="AB380" s="608" t="n"/>
      <x:c r="AC380" s="608" t="n"/>
      <x:c r="AD380" s="608" t="n"/>
      <x:c r="AE380" s="608" t="n"/>
      <x:c r="AF380" s="608" t="n"/>
      <x:c r="AG380" s="608" t="n"/>
      <x:c r="AH380" s="608" t="n"/>
      <x:c r="AI380" s="608" t="n"/>
      <x:c r="AJ380" s="608" t="n"/>
      <x:c r="AK380" s="608" t="n"/>
      <x:c r="AL380" s="608" t="n"/>
      <x:c r="AM380" s="608" t="n"/>
      <x:c r="AN380" s="608" t="n"/>
      <x:c r="AO380" s="608" t="n"/>
      <x:c r="AP380" s="608" t="n"/>
      <x:c r="AQ380" s="608" t="n"/>
      <x:c r="AR380" s="608" t="n"/>
      <x:c r="AS380" s="608" t="n"/>
      <x:c r="AT380" s="608" t="n"/>
      <x:c r="AU380" s="608" t="n"/>
      <x:c r="AV380" s="608" t="n"/>
      <x:c r="AW380" s="608" t="n"/>
      <x:c r="AX380" s="608" t="n"/>
      <x:c r="AY380" s="608" t="n"/>
    </x:row>
    <x:row r="381" ht="22" customHeight="1">
      <x:c r="A381" s="604" t="inlineStr">
        <x:is>
          <x:t xml:space="preserve">2026-09-23</x:t>
        </x:is>
      </x:c>
      <x:c r="B381" s="604" t="inlineStr">
        <x:is>
          <x:t xml:space="preserve">2026-09-24 00:00:00</x:t>
        </x:is>
      </x:c>
      <x:c r="C381" s="604" t="str">
        <x:v>欧洲非五大系列</x:v>
      </x:c>
      <x:c r="D381" s="604" t="inlineStr">
        <x:is>
          <x:t xml:space="preserve">联赛</x:t>
        </x:is>
      </x:c>
      <x:c r="E381" s="604" t="inlineStr">
        <x:is>
          <x:t xml:space="preserve">北马其甲</x:t>
        </x:is>
      </x:c>
      <x:c r="F381" s="604" t="inlineStr">
        <x:is>
          <x:t xml:space="preserve">布雷加尼卡 vs FK斯科普里</x:t>
        </x:is>
      </x:c>
      <x:c r="G381" s="611" t="n">
        <x:v>0.65</x:v>
      </x:c>
      <x:c r="H381" s="611" t="n">
        <x:v>0.75</x:v>
      </x:c>
      <x:c r="I381" s="611" t="n">
        <x:v>1.05</x:v>
      </x:c>
      <x:c r="J381" s="604" t="inlineStr">
        <x:is>
          <x:t xml:space="preserve">0.65/0.75/1.05</x:t>
        </x:is>
      </x:c>
      <x:c r="K381" s="604" t="inlineStr">
        <x:is>
          <x:t xml:space="preserve">V4-C最新版候选</x:t>
        </x:is>
      </x:c>
      <x:c r="L381" s="604" t="inlineStr">
        <x:is>
          <x:t xml:space="preserve">FK斯科普里</x:t>
        </x:is>
      </x:c>
      <x:c r="M381" s="606" t="n">
        <x:v>0.6666</x:v>
      </x:c>
      <x:c r="N381" s="604" t="inlineStr">
        <x:is>
          <x:t xml:space="preserve">V4最新页面A/B/C候选</x:t>
        </x:is>
      </x:c>
      <x:c r="O381" s="604" t="inlineStr">
        <x:is>
          <x:t xml:space="preserve">1-0</x:t>
        </x:is>
      </x:c>
      <x:c r="P381" s="604" t="inlineStr">
        <x:is>
          <x:t xml:space="preserve">已结算</x:t>
        </x:is>
      </x:c>
      <x:c r="Q381" s="648" t="inlineStr">
        <x:is>
          <x:t xml:space="preserve">半黑</x:t>
        </x:is>
      </x:c>
      <x:c r="R381" s="607" t="n">
        <x:v>1.05</x:v>
      </x:c>
      <x:c r="S381" s="607" t="n">
        <x:f>IF(OR(Q381="",Q381="待结算"),"",IF(Q381="红",R381,IF(Q381="半红",R381*0.5,IF(Q381="走",0,IF(Q381="半黑",-0.5,-1)))))</x:f>
        <x:v>-0.5</x:v>
      </x:c>
      <x:c r="T381" s="604" t="inlineStr">
        <x:is>
          <x:t xml:space="preserve">https://simondongxiao.github.io/odds/v4/</x:t>
        </x:is>
      </x:c>
      <x:c r="U381" s="604" t="inlineStr">
        <x:is>
          <x:t xml:space="preserve">2998367</x:t>
        </x:is>
      </x:c>
      <x:c r="V381" s="607" t="inlineStr">
        <x:is>
          <x:t xml:space="preserve">v4-market-dirichlet-20260913</x:t>
        </x:is>
      </x:c>
      <x:c r="W381" s="607" t="n">
        <x:f>IF(OR(U381="",U381="待结算"),"",IF(U381="红",V381,IF(U381="半红",V381*0.5,IF(U381="走",0,IF(U381="半黑",-0.5,-1)))))</x:f>
        <x:v>-1</x:v>
      </x:c>
      <x:c r="X381" s="608" t="inlineStr">
        <x:is>
          <x:t xml:space="preserve">C</x:t>
        </x:is>
      </x:c>
      <x:c r="Y381" s="608" t="n"/>
      <x:c r="Z381" s="608" t="n"/>
      <x:c r="AA381" s="608" t="n"/>
      <x:c r="AB381" s="608" t="n"/>
      <x:c r="AC381" s="608" t="n"/>
      <x:c r="AD381" s="608" t="n"/>
      <x:c r="AE381" s="608" t="n"/>
      <x:c r="AF381" s="608" t="n"/>
      <x:c r="AG381" s="608" t="n"/>
      <x:c r="AH381" s="608" t="n"/>
      <x:c r="AI381" s="608" t="n"/>
      <x:c r="AJ381" s="608" t="n"/>
      <x:c r="AK381" s="608" t="n"/>
      <x:c r="AL381" s="608" t="n"/>
      <x:c r="AM381" s="608" t="n"/>
      <x:c r="AN381" s="608" t="n"/>
      <x:c r="AO381" s="608" t="n"/>
      <x:c r="AP381" s="608" t="n"/>
      <x:c r="AQ381" s="608" t="n"/>
      <x:c r="AR381" s="608" t="n"/>
      <x:c r="AS381" s="608" t="n"/>
      <x:c r="AT381" s="608" t="n"/>
      <x:c r="AU381" s="608" t="n"/>
      <x:c r="AV381" s="608" t="n"/>
      <x:c r="AW381" s="608" t="n"/>
      <x:c r="AX381" s="608" t="n"/>
      <x:c r="AY381" s="608" t="n"/>
    </x:row>
    <x:row r="382" ht="22" customHeight="1">
      <x:c r="A382" s="604" t="inlineStr">
        <x:is>
          <x:t xml:space="preserve">2026-09-23</x:t>
        </x:is>
      </x:c>
      <x:c r="B382" s="604" t="inlineStr">
        <x:is>
          <x:t xml:space="preserve">2026-09-24 00:00:00</x:t>
        </x:is>
      </x:c>
      <x:c r="C382" s="604" t="str">
        <x:v>北美系列</x:v>
      </x:c>
      <x:c r="D382" s="604" t="inlineStr">
        <x:is>
          <x:t xml:space="preserve">联赛</x:t>
        </x:is>
      </x:c>
      <x:c r="E382" s="604" t="inlineStr">
        <x:is>
          <x:t xml:space="preserve">美冠联</x:t>
        </x:is>
      </x:c>
      <x:c r="F382" s="604" t="inlineStr">
        <x:is>
          <x:t xml:space="preserve">伯明翰军团 vs 布鲁克林</x:t>
        </x:is>
      </x:c>
      <x:c r="G382" s="611" t="n">
        <x:v>0.8</x:v>
      </x:c>
      <x:c r="H382" s="611" t="n">
        <x:v>0.75</x:v>
      </x:c>
      <x:c r="I382" s="611" t="n">
        <x:v>1.08</x:v>
      </x:c>
      <x:c r="J382" s="604" t="inlineStr">
        <x:is>
          <x:t xml:space="preserve">0.8/0.75/1.08</x:t>
        </x:is>
      </x:c>
      <x:c r="K382" s="604" t="inlineStr">
        <x:is>
          <x:t xml:space="preserve">V4-C最新版候选</x:t>
        </x:is>
      </x:c>
      <x:c r="L382" s="604" t="inlineStr">
        <x:is>
          <x:t xml:space="preserve">布鲁克林</x:t>
        </x:is>
      </x:c>
      <x:c r="M382" s="606" t="n">
        <x:v>0.7148</x:v>
      </x:c>
      <x:c r="N382" s="604" t="inlineStr">
        <x:is>
          <x:t xml:space="preserve">V4最新页面A/B/C候选</x:t>
        </x:is>
      </x:c>
      <x:c r="O382" s="604" t="inlineStr">
        <x:is>
          <x:t xml:space="preserve">4-0</x:t>
        </x:is>
      </x:c>
      <x:c r="P382" s="604" t="inlineStr">
        <x:is>
          <x:t xml:space="preserve">已结算</x:t>
        </x:is>
      </x:c>
      <x:c r="Q382" s="646" t="inlineStr">
        <x:is>
          <x:t xml:space="preserve">黑</x:t>
        </x:is>
      </x:c>
      <x:c r="R382" s="607" t="n">
        <x:v>1.08</x:v>
      </x:c>
      <x:c r="S382" s="607" t="n">
        <x:f>IF(OR(Q382="",Q382="待结算"),"",IF(Q382="红",R382,IF(Q382="半红",R382*0.5,IF(Q382="走",0,IF(Q382="半黑",-0.5,-1)))))</x:f>
        <x:v>-1</x:v>
      </x:c>
      <x:c r="T382" s="604" t="inlineStr">
        <x:is>
          <x:t xml:space="preserve">https://simondongxiao.github.io/odds/v4/</x:t>
        </x:is>
      </x:c>
      <x:c r="U382" s="604" t="inlineStr">
        <x:is>
          <x:t xml:space="preserve">2942630</x:t>
        </x:is>
      </x:c>
      <x:c r="V382" s="607" t="inlineStr">
        <x:is>
          <x:t xml:space="preserve">v4-market-dirichlet-20260913</x:t>
        </x:is>
      </x:c>
      <x:c r="W382" s="607" t="n">
        <x:f>IF(OR(U382="",U382="待结算"),"",IF(U382="红",V382,IF(U382="半红",V382*0.5,IF(U382="走",0,IF(U382="半黑",-0.5,-1)))))</x:f>
        <x:v>-1</x:v>
      </x:c>
      <x:c r="X382" s="608" t="inlineStr">
        <x:is>
          <x:t xml:space="preserve">C</x:t>
        </x:is>
      </x:c>
      <x:c r="Y382" s="608" t="n"/>
      <x:c r="Z382" s="608" t="n"/>
      <x:c r="AA382" s="608" t="n"/>
      <x:c r="AB382" s="608" t="n"/>
      <x:c r="AC382" s="608" t="n"/>
      <x:c r="AD382" s="608" t="n"/>
      <x:c r="AE382" s="608" t="n"/>
      <x:c r="AF382" s="608" t="n"/>
      <x:c r="AG382" s="608" t="n"/>
      <x:c r="AH382" s="608" t="n"/>
      <x:c r="AI382" s="608" t="n"/>
      <x:c r="AJ382" s="608" t="n"/>
      <x:c r="AK382" s="608" t="n"/>
      <x:c r="AL382" s="608" t="n"/>
      <x:c r="AM382" s="608" t="n"/>
      <x:c r="AN382" s="608" t="n"/>
      <x:c r="AO382" s="608" t="n"/>
      <x:c r="AP382" s="608" t="n"/>
      <x:c r="AQ382" s="608" t="n"/>
      <x:c r="AR382" s="608" t="n"/>
      <x:c r="AS382" s="608" t="n"/>
      <x:c r="AT382" s="608" t="n"/>
      <x:c r="AU382" s="608" t="n"/>
      <x:c r="AV382" s="608" t="n"/>
      <x:c r="AW382" s="608" t="n"/>
      <x:c r="AX382" s="608" t="n"/>
      <x:c r="AY382" s="608" t="n"/>
    </x:row>
    <x:row r="383" ht="22" customHeight="1">
      <x:c r="A383" s="604" t="inlineStr">
        <x:is>
          <x:t xml:space="preserve">2026-09-23</x:t>
        </x:is>
      </x:c>
      <x:c r="B383" s="604" t="inlineStr">
        <x:is>
          <x:t xml:space="preserve">2026-09-24 00:45:00</x:t>
        </x:is>
      </x:c>
      <x:c r="C383" s="604" t="str">
        <x:v>欧洲非五大系列</x:v>
      </x:c>
      <x:c r="D383" s="604" t="inlineStr">
        <x:is>
          <x:t xml:space="preserve">联赛</x:t>
        </x:is>
      </x:c>
      <x:c r="E383" s="604" t="inlineStr">
        <x:is>
          <x:t xml:space="preserve">欧女杯</x:t>
        </x:is>
      </x:c>
      <x:c r="F383" s="604" t="inlineStr">
        <x:is>
          <x:t xml:space="preserve">旧海弗莱鲁汶女足 vs AS罗马女足</x:t>
        </x:is>
      </x:c>
      <x:c r="G383" s="611" t="n">
        <x:v>1.05</x:v>
      </x:c>
      <x:c r="H383" s="611" t="n">
        <x:v>-0.5</x:v>
      </x:c>
      <x:c r="I383" s="611" t="n">
        <x:v>0.65</x:v>
      </x:c>
      <x:c r="J383" s="604" t="inlineStr">
        <x:is>
          <x:t xml:space="preserve">1.05/-0.5/0.65</x:t>
        </x:is>
      </x:c>
      <x:c r="K383" s="604" t="inlineStr">
        <x:is>
          <x:t xml:space="preserve">V4-C最新版候选</x:t>
        </x:is>
      </x:c>
      <x:c r="L383" s="604" t="inlineStr">
        <x:is>
          <x:t xml:space="preserve">旧海弗莱鲁汶女足</x:t>
        </x:is>
      </x:c>
      <x:c r="M383" s="606" t="n">
        <x:v>0.6588000000000001</x:v>
      </x:c>
      <x:c r="N383" s="604" t="inlineStr">
        <x:is>
          <x:t xml:space="preserve">V4最新页面A/B/C候选</x:t>
        </x:is>
      </x:c>
      <x:c r="O383" s="604" t="inlineStr">
        <x:is>
          <x:t xml:space="preserve">0-0</x:t>
        </x:is>
      </x:c>
      <x:c r="P383" s="604" t="inlineStr">
        <x:is>
          <x:t xml:space="preserve">已结算</x:t>
        </x:is>
      </x:c>
      <x:c r="Q383" s="645" t="inlineStr">
        <x:is>
          <x:t xml:space="preserve">红</x:t>
        </x:is>
      </x:c>
      <x:c r="R383" s="607" t="n">
        <x:v>1.05</x:v>
      </x:c>
      <x:c r="S383" s="607" t="n">
        <x:f>IF(OR(Q383="",Q383="待结算"),"",IF(Q383="红",R383,IF(Q383="半红",R383*0.5,IF(Q383="走",0,IF(Q383="半黑",-0.5,-1)))))</x:f>
        <x:v>1.05</x:v>
      </x:c>
      <x:c r="T383" s="604" t="inlineStr">
        <x:is>
          <x:t xml:space="preserve">https://simondongxiao.github.io/odds/v4/</x:t>
        </x:is>
      </x:c>
      <x:c r="U383" s="604" t="inlineStr">
        <x:is>
          <x:t xml:space="preserve">3092352</x:t>
        </x:is>
      </x:c>
      <x:c r="V383" s="607" t="inlineStr">
        <x:is>
          <x:t xml:space="preserve">v4-market-dirichlet-20260913</x:t>
        </x:is>
      </x:c>
      <x:c r="W383" s="607" t="n">
        <x:f>IF(OR(U383="",U383="待结算"),"",IF(U383="红",V383,IF(U383="半红",V383*0.5,IF(U383="走",0,IF(U383="半黑",-0.5,-1)))))</x:f>
        <x:v>-1</x:v>
      </x:c>
      <x:c r="X383" s="608" t="inlineStr">
        <x:is>
          <x:t xml:space="preserve">C</x:t>
        </x:is>
      </x:c>
      <x:c r="Y383" s="608" t="n"/>
      <x:c r="Z383" s="608" t="n"/>
      <x:c r="AA383" s="608" t="n"/>
      <x:c r="AB383" s="608" t="n"/>
      <x:c r="AC383" s="608" t="n"/>
      <x:c r="AD383" s="608" t="n"/>
      <x:c r="AE383" s="608" t="n"/>
      <x:c r="AF383" s="608" t="n"/>
      <x:c r="AG383" s="608" t="n"/>
      <x:c r="AH383" s="608" t="n"/>
      <x:c r="AI383" s="608" t="n"/>
      <x:c r="AJ383" s="608" t="n"/>
      <x:c r="AK383" s="608" t="n"/>
      <x:c r="AL383" s="608" t="n"/>
      <x:c r="AM383" s="608" t="n"/>
      <x:c r="AN383" s="608" t="n"/>
      <x:c r="AO383" s="608" t="n"/>
      <x:c r="AP383" s="608" t="n"/>
      <x:c r="AQ383" s="608" t="n"/>
      <x:c r="AR383" s="608" t="n"/>
      <x:c r="AS383" s="608" t="n"/>
      <x:c r="AT383" s="608" t="n"/>
      <x:c r="AU383" s="608" t="n"/>
      <x:c r="AV383" s="608" t="n"/>
      <x:c r="AW383" s="608" t="n"/>
      <x:c r="AX383" s="608" t="n"/>
      <x:c r="AY383" s="608" t="n"/>
    </x:row>
    <x:row r="384" ht="22" customHeight="1">
      <x:c r="A384" s="604" t="inlineStr">
        <x:is>
          <x:t xml:space="preserve">2026-09-23</x:t>
        </x:is>
      </x:c>
      <x:c r="B384" s="604" t="inlineStr">
        <x:is>
          <x:t xml:space="preserve">2026-09-24 00:45:00</x:t>
        </x:is>
      </x:c>
      <x:c r="C384" s="604" t="str">
        <x:v>欧洲非五大系列</x:v>
      </x:c>
      <x:c r="D384" s="604" t="inlineStr">
        <x:is>
          <x:t xml:space="preserve">联赛</x:t>
        </x:is>
      </x:c>
      <x:c r="E384" s="604" t="inlineStr">
        <x:is>
          <x:t xml:space="preserve">欧女杯</x:t>
        </x:is>
      </x:c>
      <x:c r="F384" s="604" t="inlineStr">
        <x:is>
          <x:t xml:space="preserve">塞尔维特女足 vs 里昂女足</x:t>
        </x:is>
      </x:c>
      <x:c r="G384" s="611" t="n">
        <x:v>1</x:v>
      </x:c>
      <x:c r="H384" s="611" t="n">
        <x:v>-4.25</x:v>
      </x:c>
      <x:c r="I384" s="611" t="n">
        <x:v>0.7</x:v>
      </x:c>
      <x:c r="J384" s="604" t="inlineStr">
        <x:is>
          <x:t xml:space="preserve">1.0/-4.25/0.7</x:t>
        </x:is>
      </x:c>
      <x:c r="K384" s="604" t="inlineStr">
        <x:is>
          <x:t xml:space="preserve">V4-C最新版候选</x:t>
        </x:is>
      </x:c>
      <x:c r="L384" s="604" t="inlineStr">
        <x:is>
          <x:t xml:space="preserve">塞尔维特女足</x:t>
        </x:is>
      </x:c>
      <x:c r="M384" s="606" t="n">
        <x:v>0.7678</x:v>
      </x:c>
      <x:c r="N384" s="604" t="inlineStr">
        <x:is>
          <x:t xml:space="preserve">V4最新页面A/B/C候选</x:t>
        </x:is>
      </x:c>
      <x:c r="O384" s="604" t="inlineStr">
        <x:is>
          <x:t xml:space="preserve">0-8</x:t>
        </x:is>
      </x:c>
      <x:c r="P384" s="604" t="inlineStr">
        <x:is>
          <x:t xml:space="preserve">已结算</x:t>
        </x:is>
      </x:c>
      <x:c r="Q384" s="646" t="inlineStr">
        <x:is>
          <x:t xml:space="preserve">黑</x:t>
        </x:is>
      </x:c>
      <x:c r="R384" s="607" t="n">
        <x:v>1</x:v>
      </x:c>
      <x:c r="S384" s="607" t="n">
        <x:f>IF(OR(Q384="",Q384="待结算"),"",IF(Q384="红",R384,IF(Q384="半红",R384*0.5,IF(Q384="走",0,IF(Q384="半黑",-0.5,-1)))))</x:f>
        <x:v>-1</x:v>
      </x:c>
      <x:c r="T384" s="604" t="inlineStr">
        <x:is>
          <x:t xml:space="preserve">https://simondongxiao.github.io/odds/v4/</x:t>
        </x:is>
      </x:c>
      <x:c r="U384" s="604" t="inlineStr">
        <x:is>
          <x:t xml:space="preserve">3092353</x:t>
        </x:is>
      </x:c>
      <x:c r="V384" s="607" t="inlineStr">
        <x:is>
          <x:t xml:space="preserve">v4-market-dirichlet-20260913</x:t>
        </x:is>
      </x:c>
      <x:c r="W384" s="607" t="n">
        <x:f>IF(OR(U384="",U384="待结算"),"",IF(U384="红",V384,IF(U384="半红",V384*0.5,IF(U384="走",0,IF(U384="半黑",-0.5,-1)))))</x:f>
        <x:v>-1</x:v>
      </x:c>
      <x:c r="X384" s="608" t="inlineStr">
        <x:is>
          <x:t xml:space="preserve">C</x:t>
        </x:is>
      </x:c>
      <x:c r="Y384" s="608" t="n"/>
      <x:c r="Z384" s="608" t="n"/>
      <x:c r="AA384" s="608" t="n"/>
      <x:c r="AB384" s="608" t="n"/>
      <x:c r="AC384" s="608" t="n"/>
      <x:c r="AD384" s="608" t="n"/>
      <x:c r="AE384" s="608" t="n"/>
      <x:c r="AF384" s="608" t="n"/>
      <x:c r="AG384" s="608" t="n"/>
      <x:c r="AH384" s="608" t="n"/>
      <x:c r="AI384" s="608" t="n"/>
      <x:c r="AJ384" s="608" t="n"/>
      <x:c r="AK384" s="608" t="n"/>
      <x:c r="AL384" s="608" t="n"/>
      <x:c r="AM384" s="608" t="n"/>
      <x:c r="AN384" s="608" t="n"/>
      <x:c r="AO384" s="608" t="n"/>
      <x:c r="AP384" s="608" t="n"/>
      <x:c r="AQ384" s="608" t="n"/>
      <x:c r="AR384" s="608" t="n"/>
      <x:c r="AS384" s="608" t="n"/>
      <x:c r="AT384" s="608" t="n"/>
      <x:c r="AU384" s="608" t="n"/>
      <x:c r="AV384" s="608" t="n"/>
      <x:c r="AW384" s="608" t="n"/>
      <x:c r="AX384" s="608" t="n"/>
      <x:c r="AY384" s="608" t="n"/>
    </x:row>
    <x:row r="385" ht="22" customHeight="1">
      <x:c r="A385" s="604" t="inlineStr">
        <x:is>
          <x:t xml:space="preserve">2026-09-23</x:t>
        </x:is>
      </x:c>
      <x:c r="B385" s="604" t="inlineStr">
        <x:is>
          <x:t xml:space="preserve">2026-09-24 01:00:00</x:t>
        </x:is>
      </x:c>
      <x:c r="C385" s="604" t="str">
        <x:v>其他系列</x:v>
      </x:c>
      <x:c r="D385" s="604" t="inlineStr">
        <x:is>
          <x:t xml:space="preserve">杯赛</x:t>
        </x:is>
      </x:c>
      <x:c r="E385" s="604" t="inlineStr">
        <x:is>
          <x:t xml:space="preserve">国际友谊</x:t>
        </x:is>
      </x:c>
      <x:c r="F385" s="604" t="inlineStr">
        <x:is>
          <x:t xml:space="preserve">秘鲁U19 vs 阿根廷U19</x:t>
        </x:is>
      </x:c>
      <x:c r="G385" s="611" t="n">
        <x:v>0.96</x:v>
      </x:c>
      <x:c r="H385" s="611" t="n">
        <x:v>-1</x:v>
      </x:c>
      <x:c r="I385" s="611" t="n">
        <x:v>0.86</x:v>
      </x:c>
      <x:c r="J385" s="604" t="inlineStr">
        <x:is>
          <x:t xml:space="preserve">0.96/-1.0/0.86</x:t>
        </x:is>
      </x:c>
      <x:c r="K385" s="604" t="inlineStr">
        <x:is>
          <x:t xml:space="preserve">V4-C最新版候选</x:t>
        </x:is>
      </x:c>
      <x:c r="L385" s="604" t="inlineStr">
        <x:is>
          <x:t xml:space="preserve">秘鲁U19</x:t>
        </x:is>
      </x:c>
      <x:c r="M385" s="606" t="n">
        <x:v>0.6914</x:v>
      </x:c>
      <x:c r="N385" s="604" t="inlineStr">
        <x:is>
          <x:t xml:space="preserve">V4最新页面A/B/C候选</x:t>
        </x:is>
      </x:c>
      <x:c r="O385" s="604" t="inlineStr">
        <x:is>
          <x:t xml:space="preserve">0-1</x:t>
        </x:is>
      </x:c>
      <x:c r="P385" s="604" t="inlineStr">
        <x:is>
          <x:t xml:space="preserve">已结算</x:t>
        </x:is>
      </x:c>
      <x:c r="Q385" s="647" t="inlineStr">
        <x:is>
          <x:t xml:space="preserve">走</x:t>
        </x:is>
      </x:c>
      <x:c r="R385" s="607" t="n">
        <x:v>0.96</x:v>
      </x:c>
      <x:c r="S385" s="607" t="n">
        <x:f>IF(OR(Q385="",Q385="待结算"),"",IF(Q385="红",R385,IF(Q385="半红",R385*0.5,IF(Q385="走",0,IF(Q385="半黑",-0.5,-1)))))</x:f>
        <x:v>0</x:v>
      </x:c>
      <x:c r="T385" s="604" t="inlineStr">
        <x:is>
          <x:t xml:space="preserve">https://simondongxiao.github.io/odds/v4/</x:t>
        </x:is>
      </x:c>
      <x:c r="U385" s="604" t="inlineStr">
        <x:is>
          <x:t xml:space="preserve">3094743</x:t>
        </x:is>
      </x:c>
      <x:c r="V385" s="607" t="inlineStr">
        <x:is>
          <x:t xml:space="preserve">v4-market-dirichlet-20260913</x:t>
        </x:is>
      </x:c>
      <x:c r="W385" s="607" t="n">
        <x:f>IF(OR(U385="",U385="待结算"),"",IF(U385="红",V385,IF(U385="半红",V385*0.5,IF(U385="走",0,IF(U385="半黑",-0.5,-1)))))</x:f>
        <x:v>-1</x:v>
      </x:c>
      <x:c r="X385" s="608" t="inlineStr">
        <x:is>
          <x:t xml:space="preserve">C</x:t>
        </x:is>
      </x:c>
      <x:c r="Y385" s="608" t="n"/>
      <x:c r="Z385" s="608" t="n"/>
      <x:c r="AA385" s="608" t="n"/>
      <x:c r="AB385" s="608" t="n"/>
      <x:c r="AC385" s="608" t="n"/>
      <x:c r="AD385" s="608" t="n"/>
      <x:c r="AE385" s="608" t="n"/>
      <x:c r="AF385" s="608" t="n"/>
      <x:c r="AG385" s="608" t="n"/>
      <x:c r="AH385" s="608" t="n"/>
      <x:c r="AI385" s="608" t="n"/>
      <x:c r="AJ385" s="608" t="n"/>
      <x:c r="AK385" s="608" t="n"/>
      <x:c r="AL385" s="608" t="n"/>
      <x:c r="AM385" s="608" t="n"/>
      <x:c r="AN385" s="608" t="n"/>
      <x:c r="AO385" s="608" t="n"/>
      <x:c r="AP385" s="608" t="n"/>
      <x:c r="AQ385" s="608" t="n"/>
      <x:c r="AR385" s="608" t="n"/>
      <x:c r="AS385" s="608" t="n"/>
      <x:c r="AT385" s="608" t="n"/>
      <x:c r="AU385" s="608" t="n"/>
      <x:c r="AV385" s="608" t="n"/>
      <x:c r="AW385" s="608" t="n"/>
      <x:c r="AX385" s="608" t="n"/>
      <x:c r="AY385" s="608" t="n"/>
    </x:row>
    <x:row r="386" ht="22" customHeight="1">
      <x:c r="A386" s="604" t="inlineStr">
        <x:is>
          <x:t xml:space="preserve">2026-09-23</x:t>
        </x:is>
      </x:c>
      <x:c r="B386" s="604" t="inlineStr">
        <x:is>
          <x:t xml:space="preserve">2026-09-24 01:10:00</x:t>
        </x:is>
      </x:c>
      <x:c r="C386" s="604" t="str">
        <x:v>西亚/中亚系列</x:v>
      </x:c>
      <x:c r="D386" s="604" t="inlineStr">
        <x:is>
          <x:t xml:space="preserve">联赛</x:t>
        </x:is>
      </x:c>
      <x:c r="E386" s="604" t="inlineStr">
        <x:is>
          <x:t xml:space="preserve">以乙南</x:t>
        </x:is>
      </x:c>
      <x:c r="F386" s="604" t="inlineStr">
        <x:is>
          <x:t xml:space="preserve">迪莫纳体育 vs 玛拉基亚</x:t>
        </x:is>
      </x:c>
      <x:c r="G386" s="611" t="n">
        <x:v>0.71</x:v>
      </x:c>
      <x:c r="H386" s="611" t="n">
        <x:v>0.5</x:v>
      </x:c>
      <x:c r="I386" s="611" t="n">
        <x:v>0.99</x:v>
      </x:c>
      <x:c r="J386" s="604" t="inlineStr">
        <x:is>
          <x:t xml:space="preserve">0.71/0.5/0.99</x:t>
        </x:is>
      </x:c>
      <x:c r="K386" s="604" t="inlineStr">
        <x:is>
          <x:t xml:space="preserve">V4-C最新版候选</x:t>
        </x:is>
      </x:c>
      <x:c r="L386" s="604" t="inlineStr">
        <x:is>
          <x:t xml:space="preserve">玛拉基亚</x:t>
        </x:is>
      </x:c>
      <x:c r="M386" s="606" t="n">
        <x:v>0.5038</x:v>
      </x:c>
      <x:c r="N386" s="604" t="inlineStr">
        <x:is>
          <x:t xml:space="preserve">V4最新页面A/B/C候选</x:t>
        </x:is>
      </x:c>
      <x:c r="O386" s="604" t="inlineStr">
        <x:is>
          <x:t xml:space="preserve">1-5</x:t>
        </x:is>
      </x:c>
      <x:c r="P386" s="604" t="inlineStr">
        <x:is>
          <x:t xml:space="preserve">已结算</x:t>
        </x:is>
      </x:c>
      <x:c r="Q386" s="645" t="inlineStr">
        <x:is>
          <x:t xml:space="preserve">红</x:t>
        </x:is>
      </x:c>
      <x:c r="R386" s="607" t="n">
        <x:v>0.99</x:v>
      </x:c>
      <x:c r="S386" s="607" t="n">
        <x:f>IF(OR(Q386="",Q386="待结算"),"",IF(Q386="红",R386,IF(Q386="半红",R386*0.5,IF(Q386="走",0,IF(Q386="半黑",-0.5,-1)))))</x:f>
        <x:v>0.99</x:v>
      </x:c>
      <x:c r="T386" s="604" t="inlineStr">
        <x:is>
          <x:t xml:space="preserve">https://simondongxiao.github.io/odds/v4/</x:t>
        </x:is>
      </x:c>
      <x:c r="U386" s="604" t="inlineStr">
        <x:is>
          <x:t xml:space="preserve">3074943</x:t>
        </x:is>
      </x:c>
      <x:c r="V386" s="607" t="inlineStr">
        <x:is>
          <x:t xml:space="preserve">v4-market-dirichlet-20260913</x:t>
        </x:is>
      </x:c>
      <x:c r="W386" s="607" t="n">
        <x:f>IF(OR(U386="",U386="待结算"),"",IF(U386="红",V386,IF(U386="半红",V386*0.5,IF(U386="走",0,IF(U386="半黑",-0.5,-1)))))</x:f>
        <x:v>-1</x:v>
      </x:c>
      <x:c r="X386" s="608" t="inlineStr">
        <x:is>
          <x:t xml:space="preserve">C</x:t>
        </x:is>
      </x:c>
      <x:c r="Y386" s="608" t="n"/>
      <x:c r="Z386" s="608" t="n"/>
      <x:c r="AA386" s="608" t="n"/>
      <x:c r="AB386" s="608" t="n"/>
      <x:c r="AC386" s="608" t="n"/>
      <x:c r="AD386" s="608" t="n"/>
      <x:c r="AE386" s="608" t="n"/>
      <x:c r="AF386" s="608" t="n"/>
      <x:c r="AG386" s="608" t="n"/>
      <x:c r="AH386" s="608" t="n"/>
      <x:c r="AI386" s="608" t="n"/>
      <x:c r="AJ386" s="608" t="n"/>
      <x:c r="AK386" s="608" t="n"/>
      <x:c r="AL386" s="608" t="n"/>
      <x:c r="AM386" s="608" t="n"/>
      <x:c r="AN386" s="608" t="n"/>
      <x:c r="AO386" s="608" t="n"/>
      <x:c r="AP386" s="608" t="n"/>
      <x:c r="AQ386" s="608" t="n"/>
      <x:c r="AR386" s="608" t="n"/>
      <x:c r="AS386" s="608" t="n"/>
      <x:c r="AT386" s="608" t="n"/>
      <x:c r="AU386" s="608" t="n"/>
      <x:c r="AV386" s="608" t="n"/>
      <x:c r="AW386" s="608" t="n"/>
      <x:c r="AX386" s="608" t="n"/>
      <x:c r="AY386" s="608" t="n"/>
    </x:row>
    <x:row r="387" ht="22" customHeight="1">
      <x:c r="A387" s="604" t="inlineStr">
        <x:is>
          <x:t xml:space="preserve">2026-09-23</x:t>
        </x:is>
      </x:c>
      <x:c r="B387" s="604" t="inlineStr">
        <x:is>
          <x:t xml:space="preserve">2026-09-24 01:30:00</x:t>
        </x:is>
      </x:c>
      <x:c r="C387" s="604" t="str">
        <x:v>欧洲非五大系列</x:v>
      </x:c>
      <x:c r="D387" s="604" t="inlineStr">
        <x:is>
          <x:t xml:space="preserve">杯赛</x:t>
        </x:is>
      </x:c>
      <x:c r="E387" s="604" t="inlineStr">
        <x:is>
          <x:t xml:space="preserve">女欧罗巴杯</x:t>
        </x:is>
      </x:c>
      <x:c r="F387" s="604" t="inlineStr">
        <x:is>
          <x:t xml:space="preserve">阿贾克斯女足 vs ZHFK阿克托比女足</x:t>
        </x:is>
      </x:c>
      <x:c r="G387" s="611" t="n">
        <x:v>0.6</x:v>
      </x:c>
      <x:c r="H387" s="611" t="n">
        <x:v>3.25</x:v>
      </x:c>
      <x:c r="I387" s="611" t="n">
        <x:v>1.11</x:v>
      </x:c>
      <x:c r="J387" s="604" t="inlineStr">
        <x:is>
          <x:t xml:space="preserve">0.6/3.25/1.11</x:t>
        </x:is>
      </x:c>
      <x:c r="K387" s="604" t="inlineStr">
        <x:is>
          <x:t xml:space="preserve">V4-A最新版候选</x:t>
        </x:is>
      </x:c>
      <x:c r="L387" s="604" t="inlineStr">
        <x:is>
          <x:t xml:space="preserve">ZHFK阿克托比女足</x:t>
        </x:is>
      </x:c>
      <x:c r="M387" s="606" t="n">
        <x:v>0.9832</x:v>
      </x:c>
      <x:c r="N387" s="604" t="inlineStr">
        <x:is>
          <x:t xml:space="preserve">V4最新页面A/B/C候选</x:t>
        </x:is>
      </x:c>
      <x:c r="O387" s="604" t="inlineStr">
        <x:is>
          <x:t xml:space="preserve">8-0</x:t>
        </x:is>
      </x:c>
      <x:c r="P387" s="604" t="inlineStr">
        <x:is>
          <x:t xml:space="preserve">已结算</x:t>
        </x:is>
      </x:c>
      <x:c r="Q387" s="646" t="inlineStr">
        <x:is>
          <x:t xml:space="preserve">黑</x:t>
        </x:is>
      </x:c>
      <x:c r="R387" s="607" t="n">
        <x:v>1.11</x:v>
      </x:c>
      <x:c r="S387" s="607" t="n">
        <x:f>IF(OR(Q387="",Q387="待结算"),"",IF(Q387="红",R387,IF(Q387="半红",R387*0.5,IF(Q387="走",0,IF(Q387="半黑",-0.5,-1)))))</x:f>
        <x:v>-1</x:v>
      </x:c>
      <x:c r="T387" s="604" t="inlineStr">
        <x:is>
          <x:t xml:space="preserve">https://simondongxiao.github.io/odds/v4/</x:t>
        </x:is>
      </x:c>
      <x:c r="U387" s="604" t="inlineStr">
        <x:is>
          <x:t xml:space="preserve">3086459</x:t>
        </x:is>
      </x:c>
      <x:c r="V387" s="607" t="inlineStr">
        <x:is>
          <x:t xml:space="preserve">v4-market-dirichlet-20260913</x:t>
        </x:is>
      </x:c>
      <x:c r="W387" s="607" t="n">
        <x:f>IF(OR(U387="",U387="待结算"),"",IF(U387="红",V387,IF(U387="半红",V387*0.5,IF(U387="走",0,IF(U387="半黑",-0.5,-1)))))</x:f>
        <x:v>-1</x:v>
      </x:c>
      <x:c r="X387" s="608" t="inlineStr">
        <x:is>
          <x:t xml:space="preserve">A</x:t>
        </x:is>
      </x:c>
      <x:c r="Y387" s="608" t="n"/>
      <x:c r="Z387" s="608" t="n"/>
      <x:c r="AA387" s="608" t="n"/>
      <x:c r="AB387" s="608" t="n"/>
      <x:c r="AC387" s="608" t="n"/>
      <x:c r="AD387" s="608" t="n"/>
      <x:c r="AE387" s="608" t="n"/>
      <x:c r="AF387" s="608" t="n"/>
      <x:c r="AG387" s="608" t="n"/>
      <x:c r="AH387" s="608" t="n"/>
      <x:c r="AI387" s="608" t="n"/>
      <x:c r="AJ387" s="608" t="n"/>
      <x:c r="AK387" s="608" t="n"/>
      <x:c r="AL387" s="608" t="n"/>
      <x:c r="AM387" s="608" t="n"/>
      <x:c r="AN387" s="608" t="n"/>
      <x:c r="AO387" s="608" t="n"/>
      <x:c r="AP387" s="608" t="n"/>
      <x:c r="AQ387" s="608" t="n"/>
      <x:c r="AR387" s="608" t="n"/>
      <x:c r="AS387" s="608" t="n"/>
      <x:c r="AT387" s="608" t="n"/>
      <x:c r="AU387" s="608" t="n"/>
      <x:c r="AV387" s="608" t="n"/>
      <x:c r="AW387" s="608" t="n"/>
      <x:c r="AX387" s="608" t="n"/>
      <x:c r="AY387" s="608" t="n"/>
    </x:row>
    <x:row r="388" ht="22" customHeight="1">
      <x:c r="A388" s="604" t="inlineStr">
        <x:is>
          <x:t xml:space="preserve">2026-09-23</x:t>
        </x:is>
      </x:c>
      <x:c r="B388" s="604" t="inlineStr">
        <x:is>
          <x:t xml:space="preserve">2026-09-24 02:00:00</x:t>
        </x:is>
      </x:c>
      <x:c r="C388" s="604" t="str">
        <x:v>西亚/中亚系列</x:v>
      </x:c>
      <x:c r="D388" s="604" t="inlineStr">
        <x:is>
          <x:t xml:space="preserve">联赛</x:t>
        </x:is>
      </x:c>
      <x:c r="E388" s="604" t="inlineStr">
        <x:is>
          <x:t xml:space="preserve">海湾运</x:t>
        </x:is>
      </x:c>
      <x:c r="F388" s="604" t="inlineStr">
        <x:is>
          <x:t xml:space="preserve">沙特阿拉伯 vs 科威特</x:t>
        </x:is>
      </x:c>
      <x:c r="G388" s="611" t="n">
        <x:v>0.92</x:v>
      </x:c>
      <x:c r="H388" s="611" t="n">
        <x:v>1.5</x:v>
      </x:c>
      <x:c r="I388" s="611" t="n">
        <x:v>0.9</x:v>
      </x:c>
      <x:c r="J388" s="604" t="inlineStr">
        <x:is>
          <x:t xml:space="preserve">0.92/1.5/0.9</x:t>
        </x:is>
      </x:c>
      <x:c r="K388" s="604" t="inlineStr">
        <x:is>
          <x:t xml:space="preserve">V4-C最新版候选</x:t>
        </x:is>
      </x:c>
      <x:c r="L388" s="604" t="inlineStr">
        <x:is>
          <x:t xml:space="preserve">沙特阿拉伯</x:t>
        </x:is>
      </x:c>
      <x:c r="M388" s="606" t="n">
        <x:v>0.805</x:v>
      </x:c>
      <x:c r="N388" s="604" t="inlineStr">
        <x:is>
          <x:t xml:space="preserve">V4最新页面A/B/C候选</x:t>
        </x:is>
      </x:c>
      <x:c r="O388" s="604" t="inlineStr">
        <x:is>
          <x:t xml:space="preserve">1-0</x:t>
        </x:is>
      </x:c>
      <x:c r="P388" s="604" t="inlineStr">
        <x:is>
          <x:t xml:space="preserve">已结算</x:t>
        </x:is>
      </x:c>
      <x:c r="Q388" s="646" t="inlineStr">
        <x:is>
          <x:t xml:space="preserve">黑</x:t>
        </x:is>
      </x:c>
      <x:c r="R388" s="607" t="n">
        <x:v>0.92</x:v>
      </x:c>
      <x:c r="S388" s="607" t="n">
        <x:f>IF(OR(Q388="",Q388="待结算"),"",IF(Q388="红",R388,IF(Q388="半红",R388*0.5,IF(Q388="走",0,IF(Q388="半黑",-0.5,-1)))))</x:f>
        <x:v>-1</x:v>
      </x:c>
      <x:c r="T388" s="604" t="inlineStr">
        <x:is>
          <x:t xml:space="preserve">https://simondongxiao.github.io/odds/v4/</x:t>
        </x:is>
      </x:c>
      <x:c r="U388" s="604" t="inlineStr">
        <x:is>
          <x:t xml:space="preserve">3092405</x:t>
        </x:is>
      </x:c>
      <x:c r="V388" s="607" t="inlineStr">
        <x:is>
          <x:t xml:space="preserve">v4-market-dirichlet-20260913</x:t>
        </x:is>
      </x:c>
      <x:c r="W388" s="607" t="n">
        <x:f>IF(OR(U388="",U388="待结算"),"",IF(U388="红",V388,IF(U388="半红",V388*0.5,IF(U388="走",0,IF(U388="半黑",-0.5,-1)))))</x:f>
        <x:v>-1</x:v>
      </x:c>
      <x:c r="X388" s="608" t="inlineStr">
        <x:is>
          <x:t xml:space="preserve">C</x:t>
        </x:is>
      </x:c>
      <x:c r="Y388" s="608" t="n"/>
      <x:c r="Z388" s="608" t="n"/>
      <x:c r="AA388" s="608" t="n"/>
      <x:c r="AB388" s="608" t="n"/>
      <x:c r="AC388" s="608" t="n"/>
      <x:c r="AD388" s="608" t="n"/>
      <x:c r="AE388" s="608" t="n"/>
      <x:c r="AF388" s="608" t="n"/>
      <x:c r="AG388" s="608" t="n"/>
      <x:c r="AH388" s="608" t="n"/>
      <x:c r="AI388" s="608" t="n"/>
      <x:c r="AJ388" s="608" t="n"/>
      <x:c r="AK388" s="608" t="n"/>
      <x:c r="AL388" s="608" t="n"/>
      <x:c r="AM388" s="608" t="n"/>
      <x:c r="AN388" s="608" t="n"/>
      <x:c r="AO388" s="608" t="n"/>
      <x:c r="AP388" s="608" t="n"/>
      <x:c r="AQ388" s="608" t="n"/>
      <x:c r="AR388" s="608" t="n"/>
      <x:c r="AS388" s="608" t="n"/>
      <x:c r="AT388" s="608" t="n"/>
      <x:c r="AU388" s="608" t="n"/>
      <x:c r="AV388" s="608" t="n"/>
      <x:c r="AW388" s="608" t="n"/>
      <x:c r="AX388" s="608" t="n"/>
      <x:c r="AY388" s="608" t="n"/>
    </x:row>
    <x:row r="389" ht="22" customHeight="1">
      <x:c r="A389" s="604" t="inlineStr">
        <x:is>
          <x:t xml:space="preserve">2026-09-23</x:t>
        </x:is>
      </x:c>
      <x:c r="B389" s="604" t="inlineStr">
        <x:is>
          <x:t xml:space="preserve">2026-09-24 02:00:00</x:t>
        </x:is>
      </x:c>
      <x:c r="C389" s="604" t="str">
        <x:v>北美系列</x:v>
      </x:c>
      <x:c r="D389" s="604" t="inlineStr">
        <x:is>
          <x:t xml:space="preserve">联赛</x:t>
        </x:is>
      </x:c>
      <x:c r="E389" s="604" t="inlineStr">
        <x:is>
          <x:t xml:space="preserve">南美女运</x:t>
        </x:is>
      </x:c>
      <x:c r="F389" s="604" t="inlineStr">
        <x:is>
          <x:t xml:space="preserve">智利女足U20 vs 委内瑞拉女足U20</x:t>
        </x:is>
      </x:c>
      <x:c r="G389" s="611" t="n">
        <x:v>0.79</x:v>
      </x:c>
      <x:c r="H389" s="611" t="n">
        <x:v>0.5</x:v>
      </x:c>
      <x:c r="I389" s="611" t="n">
        <x:v>1.03</x:v>
      </x:c>
      <x:c r="J389" s="604" t="inlineStr">
        <x:is>
          <x:t xml:space="preserve">0.79/0.5/1.03</x:t>
        </x:is>
      </x:c>
      <x:c r="K389" s="604" t="inlineStr">
        <x:is>
          <x:t xml:space="preserve">V4-C最新版候选</x:t>
        </x:is>
      </x:c>
      <x:c r="L389" s="604" t="inlineStr">
        <x:is>
          <x:t xml:space="preserve">委内瑞拉女足U20</x:t>
        </x:is>
      </x:c>
      <x:c r="M389" s="606" t="n">
        <x:v>0.6054</x:v>
      </x:c>
      <x:c r="N389" s="604" t="inlineStr">
        <x:is>
          <x:t xml:space="preserve">V4最新页面A/B/C候选</x:t>
        </x:is>
      </x:c>
      <x:c r="O389" s="604" t="inlineStr">
        <x:is>
          <x:t xml:space="preserve">1-1</x:t>
        </x:is>
      </x:c>
      <x:c r="P389" s="604" t="inlineStr">
        <x:is>
          <x:t xml:space="preserve">已结算</x:t>
        </x:is>
      </x:c>
      <x:c r="Q389" s="645" t="inlineStr">
        <x:is>
          <x:t xml:space="preserve">红</x:t>
        </x:is>
      </x:c>
      <x:c r="R389" s="607" t="n">
        <x:v>1.03</x:v>
      </x:c>
      <x:c r="S389" s="607" t="n">
        <x:f>IF(OR(Q389="",Q389="待结算"),"",IF(Q389="红",R389,IF(Q389="半红",R389*0.5,IF(Q389="走",0,IF(Q389="半黑",-0.5,-1)))))</x:f>
        <x:v>1.03</x:v>
      </x:c>
      <x:c r="T389" s="604" t="inlineStr">
        <x:is>
          <x:t xml:space="preserve">https://simondongxiao.github.io/odds/v4/</x:t>
        </x:is>
      </x:c>
      <x:c r="U389" s="604" t="inlineStr">
        <x:is>
          <x:t xml:space="preserve">3094753</x:t>
        </x:is>
      </x:c>
      <x:c r="V389" s="607" t="inlineStr">
        <x:is>
          <x:t xml:space="preserve">v4-market-dirichlet-20260913</x:t>
        </x:is>
      </x:c>
      <x:c r="W389" s="607" t="n">
        <x:f>IF(OR(U389="",U389="待结算"),"",IF(U389="红",V389,IF(U389="半红",V389*0.5,IF(U389="走",0,IF(U389="半黑",-0.5,-1)))))</x:f>
        <x:v>-1</x:v>
      </x:c>
      <x:c r="X389" s="608" t="inlineStr">
        <x:is>
          <x:t xml:space="preserve">C</x:t>
        </x:is>
      </x:c>
      <x:c r="Y389" s="608" t="n"/>
      <x:c r="Z389" s="608" t="n"/>
      <x:c r="AA389" s="608" t="n"/>
      <x:c r="AB389" s="608" t="n"/>
      <x:c r="AC389" s="608" t="n"/>
      <x:c r="AD389" s="608" t="n"/>
      <x:c r="AE389" s="608" t="n"/>
      <x:c r="AF389" s="608" t="n"/>
      <x:c r="AG389" s="608" t="n"/>
      <x:c r="AH389" s="608" t="n"/>
      <x:c r="AI389" s="608" t="n"/>
      <x:c r="AJ389" s="608" t="n"/>
      <x:c r="AK389" s="608" t="n"/>
      <x:c r="AL389" s="608" t="n"/>
      <x:c r="AM389" s="608" t="n"/>
      <x:c r="AN389" s="608" t="n"/>
      <x:c r="AO389" s="608" t="n"/>
      <x:c r="AP389" s="608" t="n"/>
      <x:c r="AQ389" s="608" t="n"/>
      <x:c r="AR389" s="608" t="n"/>
      <x:c r="AS389" s="608" t="n"/>
      <x:c r="AT389" s="608" t="n"/>
      <x:c r="AU389" s="608" t="n"/>
      <x:c r="AV389" s="608" t="n"/>
      <x:c r="AW389" s="608" t="n"/>
      <x:c r="AX389" s="608" t="n"/>
      <x:c r="AY389" s="608" t="n"/>
    </x:row>
    <x:row r="390" ht="22" customHeight="1">
      <x:c r="A390" s="604" t="inlineStr">
        <x:is>
          <x:t xml:space="preserve">2026-09-23</x:t>
        </x:is>
      </x:c>
      <x:c r="B390" s="604" t="inlineStr">
        <x:is>
          <x:t xml:space="preserve">2026-09-24 02:00:00</x:t>
        </x:is>
      </x:c>
      <x:c r="C390" s="604" t="str">
        <x:v>五大联赛杯赛</x:v>
      </x:c>
      <x:c r="D390" s="604" t="inlineStr">
        <x:is>
          <x:t xml:space="preserve">杯赛</x:t>
        </x:is>
      </x:c>
      <x:c r="E390" s="604" t="inlineStr">
        <x:is>
          <x:t xml:space="preserve">英协联杯</x:t>
        </x:is>
      </x:c>
      <x:c r="F390" s="604" t="inlineStr">
        <x:is>
          <x:t xml:space="preserve">博雷汉姆 vs 埃弗顿U21</x:t>
        </x:is>
      </x:c>
      <x:c r="G390" s="611" t="n">
        <x:v>0.89</x:v>
      </x:c>
      <x:c r="H390" s="611" t="n">
        <x:v>2</x:v>
      </x:c>
      <x:c r="I390" s="611" t="n">
        <x:v>0.93</x:v>
      </x:c>
      <x:c r="J390" s="604" t="inlineStr">
        <x:is>
          <x:t xml:space="preserve">0.89/2.0/0.93</x:t>
        </x:is>
      </x:c>
      <x:c r="K390" s="604" t="inlineStr">
        <x:is>
          <x:t xml:space="preserve">V4-C最新版候选</x:t>
        </x:is>
      </x:c>
      <x:c r="L390" s="604" t="inlineStr">
        <x:is>
          <x:t xml:space="preserve">博雷汉姆</x:t>
        </x:is>
      </x:c>
      <x:c r="M390" s="606" t="n">
        <x:v>0.8092</x:v>
      </x:c>
      <x:c r="N390" s="604" t="inlineStr">
        <x:is>
          <x:t xml:space="preserve">V4最新页面A/B/C候选</x:t>
        </x:is>
      </x:c>
      <x:c r="O390" s="604" t="inlineStr">
        <x:is>
          <x:t xml:space="preserve">1-1</x:t>
        </x:is>
      </x:c>
      <x:c r="P390" s="604" t="inlineStr">
        <x:is>
          <x:t xml:space="preserve">已结算</x:t>
        </x:is>
      </x:c>
      <x:c r="Q390" s="646" t="inlineStr">
        <x:is>
          <x:t xml:space="preserve">黑</x:t>
        </x:is>
      </x:c>
      <x:c r="R390" s="607" t="n">
        <x:v>0.89</x:v>
      </x:c>
      <x:c r="S390" s="607" t="n">
        <x:f>IF(OR(Q390="",Q390="待结算"),"",IF(Q390="红",R390,IF(Q390="半红",R390*0.5,IF(Q390="走",0,IF(Q390="半黑",-0.5,-1)))))</x:f>
        <x:v>-1</x:v>
      </x:c>
      <x:c r="T390" s="604" t="inlineStr">
        <x:is>
          <x:t xml:space="preserve">https://simondongxiao.github.io/odds/v4/</x:t>
        </x:is>
      </x:c>
      <x:c r="U390" s="604" t="inlineStr">
        <x:is>
          <x:t xml:space="preserve">3060935</x:t>
        </x:is>
      </x:c>
      <x:c r="V390" s="607" t="inlineStr">
        <x:is>
          <x:t xml:space="preserve">v4-market-dirichlet-20260913</x:t>
        </x:is>
      </x:c>
      <x:c r="W390" s="607" t="n">
        <x:f>IF(OR(U390="",U390="待结算"),"",IF(U390="红",V390,IF(U390="半红",V390*0.5,IF(U390="走",0,IF(U390="半黑",-0.5,-1)))))</x:f>
        <x:v>-1</x:v>
      </x:c>
      <x:c r="X390" s="608" t="inlineStr">
        <x:is>
          <x:t xml:space="preserve">C</x:t>
        </x:is>
      </x:c>
      <x:c r="Y390" s="608" t="n"/>
      <x:c r="Z390" s="608" t="n"/>
      <x:c r="AA390" s="608" t="n"/>
      <x:c r="AB390" s="608" t="n"/>
      <x:c r="AC390" s="608" t="n"/>
      <x:c r="AD390" s="608" t="n"/>
      <x:c r="AE390" s="608" t="n"/>
      <x:c r="AF390" s="608" t="n"/>
      <x:c r="AG390" s="608" t="n"/>
      <x:c r="AH390" s="608" t="n"/>
      <x:c r="AI390" s="608" t="n"/>
      <x:c r="AJ390" s="608" t="n"/>
      <x:c r="AK390" s="608" t="n"/>
      <x:c r="AL390" s="608" t="n"/>
      <x:c r="AM390" s="608" t="n"/>
      <x:c r="AN390" s="608" t="n"/>
      <x:c r="AO390" s="608" t="n"/>
      <x:c r="AP390" s="608" t="n"/>
      <x:c r="AQ390" s="608" t="n"/>
      <x:c r="AR390" s="608" t="n"/>
      <x:c r="AS390" s="608" t="n"/>
      <x:c r="AT390" s="608" t="n"/>
      <x:c r="AU390" s="608" t="n"/>
      <x:c r="AV390" s="608" t="n"/>
      <x:c r="AW390" s="608" t="n"/>
      <x:c r="AX390" s="608" t="n"/>
      <x:c r="AY390" s="608" t="n"/>
    </x:row>
    <x:row r="391" ht="22" customHeight="1">
      <x:c r="A391" s="604" t="inlineStr">
        <x:is>
          <x:t xml:space="preserve">2026-09-23</x:t>
        </x:is>
      </x:c>
      <x:c r="B391" s="604" t="inlineStr">
        <x:is>
          <x:t xml:space="preserve">2026-09-24 03:00:00</x:t>
        </x:is>
      </x:c>
      <x:c r="C391" s="604" t="str">
        <x:v>北美系列</x:v>
      </x:c>
      <x:c r="D391" s="604" t="inlineStr">
        <x:is>
          <x:t xml:space="preserve">联赛</x:t>
        </x:is>
      </x:c>
      <x:c r="E391" s="604" t="inlineStr">
        <x:is>
          <x:t xml:space="preserve">中北美国联</x:t>
        </x:is>
      </x:c>
      <x:c r="F391" s="604" t="inlineStr">
        <x:is>
          <x:t xml:space="preserve">特克斯和凯科斯群岛(中) vs 蒙特塞拉特</x:t>
        </x:is>
      </x:c>
      <x:c r="G391" s="611" t="n">
        <x:v>1</x:v>
      </x:c>
      <x:c r="H391" s="611" t="n">
        <x:v>-2</x:v>
      </x:c>
      <x:c r="I391" s="611" t="n">
        <x:v>0.7</x:v>
      </x:c>
      <x:c r="J391" s="604" t="inlineStr">
        <x:is>
          <x:t xml:space="preserve">1.0/-2.0/0.7</x:t>
        </x:is>
      </x:c>
      <x:c r="K391" s="604" t="inlineStr">
        <x:is>
          <x:t xml:space="preserve">V4-C最新版候选</x:t>
        </x:is>
      </x:c>
      <x:c r="L391" s="604" t="inlineStr">
        <x:is>
          <x:t xml:space="preserve">蒙特塞拉特</x:t>
        </x:is>
      </x:c>
      <x:c r="M391" s="606" t="n">
        <x:v>0.6828</x:v>
      </x:c>
      <x:c r="N391" s="604" t="inlineStr">
        <x:is>
          <x:t xml:space="preserve">V4最新页面A/B/C候选</x:t>
        </x:is>
      </x:c>
      <x:c r="O391" s="604" t="inlineStr">
        <x:is>
          <x:t xml:space="preserve">0-2</x:t>
        </x:is>
      </x:c>
      <x:c r="P391" s="604" t="inlineStr">
        <x:is>
          <x:t xml:space="preserve">已结算</x:t>
        </x:is>
      </x:c>
      <x:c r="Q391" s="647" t="inlineStr">
        <x:is>
          <x:t xml:space="preserve">走</x:t>
        </x:is>
      </x:c>
      <x:c r="R391" s="607" t="n">
        <x:v>0.7</x:v>
      </x:c>
      <x:c r="S391" s="607" t="n">
        <x:f>IF(OR(Q391="",Q391="待结算"),"",IF(Q391="红",R391,IF(Q391="半红",R391*0.5,IF(Q391="走",0,IF(Q391="半黑",-0.5,-1)))))</x:f>
        <x:v>0</x:v>
      </x:c>
      <x:c r="T391" s="604" t="inlineStr">
        <x:is>
          <x:t xml:space="preserve">https://simondongxiao.github.io/odds/v4/</x:t>
        </x:is>
      </x:c>
      <x:c r="U391" s="604" t="inlineStr">
        <x:is>
          <x:t xml:space="preserve">3092496</x:t>
        </x:is>
      </x:c>
      <x:c r="V391" s="607" t="inlineStr">
        <x:is>
          <x:t xml:space="preserve">v4-market-dirichlet-20260913</x:t>
        </x:is>
      </x:c>
      <x:c r="W391" s="607" t="n">
        <x:f>IF(OR(U391="",U391="待结算"),"",IF(U391="红",V391,IF(U391="半红",V391*0.5,IF(U391="走",0,IF(U391="半黑",-0.5,-1)))))</x:f>
        <x:v>-1</x:v>
      </x:c>
      <x:c r="X391" s="608" t="inlineStr">
        <x:is>
          <x:t xml:space="preserve">C</x:t>
        </x:is>
      </x:c>
      <x:c r="Y391" s="608" t="n"/>
      <x:c r="Z391" s="608" t="n"/>
      <x:c r="AA391" s="608" t="n"/>
      <x:c r="AB391" s="608" t="n"/>
      <x:c r="AC391" s="608" t="n"/>
      <x:c r="AD391" s="608" t="n"/>
      <x:c r="AE391" s="608" t="n"/>
      <x:c r="AF391" s="608" t="n"/>
      <x:c r="AG391" s="608" t="n"/>
      <x:c r="AH391" s="608" t="n"/>
      <x:c r="AI391" s="608" t="n"/>
      <x:c r="AJ391" s="608" t="n"/>
      <x:c r="AK391" s="608" t="n"/>
      <x:c r="AL391" s="608" t="n"/>
      <x:c r="AM391" s="608" t="n"/>
      <x:c r="AN391" s="608" t="n"/>
      <x:c r="AO391" s="608" t="n"/>
      <x:c r="AP391" s="608" t="n"/>
      <x:c r="AQ391" s="608" t="n"/>
      <x:c r="AR391" s="608" t="n"/>
      <x:c r="AS391" s="608" t="n"/>
      <x:c r="AT391" s="608" t="n"/>
      <x:c r="AU391" s="608" t="n"/>
      <x:c r="AV391" s="608" t="n"/>
      <x:c r="AW391" s="608" t="n"/>
      <x:c r="AX391" s="608" t="n"/>
      <x:c r="AY391" s="608" t="n"/>
    </x:row>
    <x:row r="392" ht="22" customHeight="1">
      <x:c r="A392" s="604" t="inlineStr">
        <x:is>
          <x:t xml:space="preserve">2026-09-23</x:t>
        </x:is>
      </x:c>
      <x:c r="B392" s="604" t="inlineStr">
        <x:is>
          <x:t xml:space="preserve">2026-09-24 04:00:00</x:t>
        </x:is>
      </x:c>
      <x:c r="C392" s="604" t="str">
        <x:v>北美系列</x:v>
      </x:c>
      <x:c r="D392" s="604" t="inlineStr">
        <x:is>
          <x:t xml:space="preserve">联赛</x:t>
        </x:is>
      </x:c>
      <x:c r="E392" s="604" t="inlineStr">
        <x:is>
          <x:t xml:space="preserve">中北美国联</x:t>
        </x:is>
      </x:c>
      <x:c r="F392" s="604" t="inlineStr">
        <x:is>
          <x:t xml:space="preserve">巴哈马 vs 法属圣马丁岛</x:t>
        </x:is>
      </x:c>
      <x:c r="G392" s="611" t="n">
        <x:v>1.11</x:v>
      </x:c>
      <x:c r="H392" s="611" t="n">
        <x:v>-0.5</x:v>
      </x:c>
      <x:c r="I392" s="611" t="n">
        <x:v>0.6</x:v>
      </x:c>
      <x:c r="J392" s="604" t="inlineStr">
        <x:is>
          <x:t xml:space="preserve">1.11/-0.5/0.6</x:t>
        </x:is>
      </x:c>
      <x:c r="K392" s="604" t="inlineStr">
        <x:is>
          <x:t xml:space="preserve">V4-C最新版候选</x:t>
        </x:is>
      </x:c>
      <x:c r="L392" s="604" t="inlineStr">
        <x:is>
          <x:t xml:space="preserve">巴哈马</x:t>
        </x:is>
      </x:c>
      <x:c r="M392" s="606" t="n">
        <x:v>0.7804</x:v>
      </x:c>
      <x:c r="N392" s="604" t="inlineStr">
        <x:is>
          <x:t xml:space="preserve">V4最新页面A/B/C候选</x:t>
        </x:is>
      </x:c>
      <x:c r="O392" s="604" t="inlineStr">
        <x:is>
          <x:t xml:space="preserve">0-8</x:t>
        </x:is>
      </x:c>
      <x:c r="P392" s="604" t="inlineStr">
        <x:is>
          <x:t xml:space="preserve">已结算</x:t>
        </x:is>
      </x:c>
      <x:c r="Q392" s="646" t="inlineStr">
        <x:is>
          <x:t xml:space="preserve">黑</x:t>
        </x:is>
      </x:c>
      <x:c r="R392" s="607" t="n">
        <x:v>1.11</x:v>
      </x:c>
      <x:c r="S392" s="607" t="n">
        <x:f>IF(OR(Q392="",Q392="待结算"),"",IF(Q392="红",R392,IF(Q392="半红",R392*0.5,IF(Q392="走",0,IF(Q392="半黑",-0.5,-1)))))</x:f>
        <x:v>-1</x:v>
      </x:c>
      <x:c r="T392" s="604" t="inlineStr">
        <x:is>
          <x:t xml:space="preserve">https://simondongxiao.github.io/odds/v4/</x:t>
        </x:is>
      </x:c>
      <x:c r="U392" s="604" t="inlineStr">
        <x:is>
          <x:t xml:space="preserve">3092508</x:t>
        </x:is>
      </x:c>
      <x:c r="V392" s="607" t="inlineStr">
        <x:is>
          <x:t xml:space="preserve">v4-market-dirichlet-20260913</x:t>
        </x:is>
      </x:c>
      <x:c r="W392" s="607" t="n">
        <x:f>IF(OR(U392="",U392="待结算"),"",IF(U392="红",V392,IF(U392="半红",V392*0.5,IF(U392="走",0,IF(U392="半黑",-0.5,-1)))))</x:f>
        <x:v>-1</x:v>
      </x:c>
      <x:c r="X392" s="608" t="inlineStr">
        <x:is>
          <x:t xml:space="preserve">C</x:t>
        </x:is>
      </x:c>
      <x:c r="Y392" s="608" t="n"/>
      <x:c r="Z392" s="608" t="n"/>
      <x:c r="AA392" s="608" t="n"/>
      <x:c r="AB392" s="608" t="n"/>
      <x:c r="AC392" s="608" t="n"/>
      <x:c r="AD392" s="608" t="n"/>
      <x:c r="AE392" s="608" t="n"/>
      <x:c r="AF392" s="608" t="n"/>
      <x:c r="AG392" s="608" t="n"/>
      <x:c r="AH392" s="608" t="n"/>
      <x:c r="AI392" s="608" t="n"/>
      <x:c r="AJ392" s="608" t="n"/>
      <x:c r="AK392" s="608" t="n"/>
      <x:c r="AL392" s="608" t="n"/>
      <x:c r="AM392" s="608" t="n"/>
      <x:c r="AN392" s="608" t="n"/>
      <x:c r="AO392" s="608" t="n"/>
      <x:c r="AP392" s="608" t="n"/>
      <x:c r="AQ392" s="608" t="n"/>
      <x:c r="AR392" s="608" t="n"/>
      <x:c r="AS392" s="608" t="n"/>
      <x:c r="AT392" s="608" t="n"/>
      <x:c r="AU392" s="608" t="n"/>
      <x:c r="AV392" s="608" t="n"/>
      <x:c r="AW392" s="608" t="n"/>
      <x:c r="AX392" s="608" t="n"/>
      <x:c r="AY392" s="608" t="n"/>
    </x:row>
    <x:row r="393" ht="22" customHeight="1">
      <x:c r="A393" s="604" t="inlineStr">
        <x:is>
          <x:t xml:space="preserve">2026-09-23</x:t>
        </x:is>
      </x:c>
      <x:c r="B393" s="604" t="inlineStr">
        <x:is>
          <x:t xml:space="preserve">2026-09-24 08:30:00</x:t>
        </x:is>
      </x:c>
      <x:c r="C393" s="604" t="str">
        <x:v>南美系列</x:v>
      </x:c>
      <x:c r="D393" s="604" t="inlineStr">
        <x:is>
          <x:t xml:space="preserve">联赛</x:t>
        </x:is>
      </x:c>
      <x:c r="E393" s="604" t="inlineStr">
        <x:is>
          <x:t xml:space="preserve">哥伦甲秋</x:t>
        </x:is>
      </x:c>
      <x:c r="F393" s="604" t="inlineStr">
        <x:is>
          <x:t xml:space="preserve">卡利美洲 vs 阿古拉斯多拉达斯</x:t>
        </x:is>
      </x:c>
      <x:c r="G393" s="611" t="n">
        <x:v>0.82</x:v>
      </x:c>
      <x:c r="H393" s="611" t="n">
        <x:v>0.75</x:v>
      </x:c>
      <x:c r="I393" s="611" t="n">
        <x:v>1.07</x:v>
      </x:c>
      <x:c r="J393" s="604" t="inlineStr">
        <x:is>
          <x:t xml:space="preserve">0.82/0.75/1.07</x:t>
        </x:is>
      </x:c>
      <x:c r="K393" s="604" t="inlineStr">
        <x:is>
          <x:t xml:space="preserve">V4-C最新版候选</x:t>
        </x:is>
      </x:c>
      <x:c r="L393" s="604" t="inlineStr">
        <x:is>
          <x:t xml:space="preserve">阿古拉斯多拉达斯</x:t>
        </x:is>
      </x:c>
      <x:c r="M393" s="606" t="n">
        <x:v>0.6968</x:v>
      </x:c>
      <x:c r="N393" s="604" t="inlineStr">
        <x:is>
          <x:t xml:space="preserve">V4最新页面A/B/C候选</x:t>
        </x:is>
      </x:c>
      <x:c r="O393" s="604" t="inlineStr">
        <x:is>
          <x:t xml:space="preserve">1-0</x:t>
        </x:is>
      </x:c>
      <x:c r="P393" s="604" t="inlineStr">
        <x:is>
          <x:t xml:space="preserve">已结算</x:t>
        </x:is>
      </x:c>
      <x:c r="Q393" s="648" t="inlineStr">
        <x:is>
          <x:t xml:space="preserve">半黑</x:t>
        </x:is>
      </x:c>
      <x:c r="R393" s="607" t="n">
        <x:v>1.07</x:v>
      </x:c>
      <x:c r="S393" s="607" t="n">
        <x:f>IF(OR(Q393="",Q393="待结算"),"",IF(Q393="红",R393,IF(Q393="半红",R393*0.5,IF(Q393="走",0,IF(Q393="半黑",-0.5,-1)))))</x:f>
        <x:v>-0.5</x:v>
      </x:c>
      <x:c r="T393" s="604" t="inlineStr">
        <x:is>
          <x:t xml:space="preserve">https://simondongxiao.github.io/odds/v4/</x:t>
        </x:is>
      </x:c>
      <x:c r="U393" s="604" t="inlineStr">
        <x:is>
          <x:t xml:space="preserve">3011867</x:t>
        </x:is>
      </x:c>
      <x:c r="V393" s="607" t="inlineStr">
        <x:is>
          <x:t xml:space="preserve">v4-market-dirichlet-20260913</x:t>
        </x:is>
      </x:c>
      <x:c r="W393" s="607" t="n">
        <x:f>IF(OR(U393="",U393="待结算"),"",IF(U393="红",V393,IF(U393="半红",V393*0.5,IF(U393="走",0,IF(U393="半黑",-0.5,-1)))))</x:f>
        <x:v>-1</x:v>
      </x:c>
      <x:c r="X393" s="608" t="inlineStr">
        <x:is>
          <x:t xml:space="preserve">C</x:t>
        </x:is>
      </x:c>
      <x:c r="Y393" s="608" t="n"/>
      <x:c r="Z393" s="608" t="n"/>
      <x:c r="AA393" s="608" t="n"/>
      <x:c r="AB393" s="608" t="n"/>
      <x:c r="AC393" s="608" t="n"/>
      <x:c r="AD393" s="608" t="n"/>
      <x:c r="AE393" s="608" t="n"/>
      <x:c r="AF393" s="608" t="n"/>
      <x:c r="AG393" s="608" t="n"/>
      <x:c r="AH393" s="608" t="n"/>
      <x:c r="AI393" s="608" t="n"/>
      <x:c r="AJ393" s="608" t="n"/>
      <x:c r="AK393" s="608" t="n"/>
      <x:c r="AL393" s="608" t="n"/>
      <x:c r="AM393" s="608" t="n"/>
      <x:c r="AN393" s="608" t="n"/>
      <x:c r="AO393" s="608" t="n"/>
      <x:c r="AP393" s="608" t="n"/>
      <x:c r="AQ393" s="608" t="n"/>
      <x:c r="AR393" s="608" t="n"/>
      <x:c r="AS393" s="608" t="n"/>
      <x:c r="AT393" s="608" t="n"/>
      <x:c r="AU393" s="608" t="n"/>
      <x:c r="AV393" s="608" t="n"/>
      <x:c r="AW393" s="608" t="n"/>
      <x:c r="AX393" s="608" t="n"/>
      <x:c r="AY393" s="608" t="n"/>
    </x:row>
    <x:row r="394" ht="22" customHeight="1">
      <x:c r="A394" s="604" t="inlineStr">
        <x:is>
          <x:t xml:space="preserve">2026-09-23</x:t>
        </x:is>
      </x:c>
      <x:c r="B394" s="604" t="inlineStr">
        <x:is>
          <x:t xml:space="preserve">2026-09-24 09:30:00</x:t>
        </x:is>
      </x:c>
      <x:c r="C394" s="604" t="str">
        <x:v>北美系列</x:v>
      </x:c>
      <x:c r="D394" s="604" t="inlineStr">
        <x:is>
          <x:t xml:space="preserve">联赛</x:t>
        </x:is>
      </x:c>
      <x:c r="E394" s="604" t="inlineStr">
        <x:is>
          <x:t xml:space="preserve">美职业</x:t>
        </x:is>
      </x:c>
      <x:c r="F394" s="604" t="inlineStr">
        <x:is>
          <x:t xml:space="preserve">西雅图海湾人 vs 皇家盐湖城</x:t>
        </x:is>
      </x:c>
      <x:c r="G394" s="611" t="n">
        <x:v>0.89</x:v>
      </x:c>
      <x:c r="H394" s="611" t="n">
        <x:v>0.5</x:v>
      </x:c>
      <x:c r="I394" s="611" t="n">
        <x:v>0.99</x:v>
      </x:c>
      <x:c r="J394" s="604" t="inlineStr">
        <x:is>
          <x:t xml:space="preserve">0.89/0.5/0.99</x:t>
        </x:is>
      </x:c>
      <x:c r="K394" s="604" t="inlineStr">
        <x:is>
          <x:t xml:space="preserve">V4-C最新版候选</x:t>
        </x:is>
      </x:c>
      <x:c r="L394" s="604" t="inlineStr">
        <x:is>
          <x:t xml:space="preserve">皇家盐湖城</x:t>
        </x:is>
      </x:c>
      <x:c r="M394" s="606" t="n">
        <x:v>0.5</x:v>
      </x:c>
      <x:c r="N394" s="604" t="inlineStr">
        <x:is>
          <x:t xml:space="preserve">V4最新页面A/B/C候选</x:t>
        </x:is>
      </x:c>
      <x:c r="O394" s="604" t="inlineStr">
        <x:is>
          <x:t xml:space="preserve">2-0</x:t>
        </x:is>
      </x:c>
      <x:c r="P394" s="604" t="inlineStr">
        <x:is>
          <x:t xml:space="preserve">已结算</x:t>
        </x:is>
      </x:c>
      <x:c r="Q394" s="646" t="inlineStr">
        <x:is>
          <x:t xml:space="preserve">黑</x:t>
        </x:is>
      </x:c>
      <x:c r="R394" s="607" t="n">
        <x:v>0.99</x:v>
      </x:c>
      <x:c r="S394" s="607" t="n">
        <x:f>IF(OR(Q394="",Q394="待结算"),"",IF(Q394="红",R394,IF(Q394="半红",R394*0.5,IF(Q394="走",0,IF(Q394="半黑",-0.5,-1)))))</x:f>
        <x:v>-1</x:v>
      </x:c>
      <x:c r="T394" s="604" t="inlineStr">
        <x:is>
          <x:t xml:space="preserve">https://simondongxiao.github.io/odds/v4/</x:t>
        </x:is>
      </x:c>
      <x:c r="U394" s="604" t="inlineStr">
        <x:is>
          <x:t xml:space="preserve">2908516</x:t>
        </x:is>
      </x:c>
      <x:c r="V394" s="607" t="inlineStr">
        <x:is>
          <x:t xml:space="preserve">v4-market-dirichlet-20260913</x:t>
        </x:is>
      </x:c>
      <x:c r="W394" s="607" t="n">
        <x:f>IF(OR(U394="",U394="待结算"),"",IF(U394="红",V394,IF(U394="半红",V394*0.5,IF(U394="走",0,IF(U394="半黑",-0.5,-1)))))</x:f>
        <x:v>-1</x:v>
      </x:c>
      <x:c r="X394" s="608" t="inlineStr">
        <x:is>
          <x:t xml:space="preserve">C</x:t>
        </x:is>
      </x:c>
      <x:c r="Y394" s="608" t="n"/>
      <x:c r="Z394" s="608" t="n"/>
      <x:c r="AA394" s="608" t="n"/>
      <x:c r="AB394" s="608" t="n"/>
      <x:c r="AC394" s="608" t="n"/>
      <x:c r="AD394" s="608" t="n"/>
      <x:c r="AE394" s="608" t="n"/>
      <x:c r="AF394" s="608" t="n"/>
      <x:c r="AG394" s="608" t="n"/>
      <x:c r="AH394" s="608" t="n"/>
      <x:c r="AI394" s="608" t="n"/>
      <x:c r="AJ394" s="608" t="n"/>
      <x:c r="AK394" s="608" t="n"/>
      <x:c r="AL394" s="608" t="n"/>
      <x:c r="AM394" s="608" t="n"/>
      <x:c r="AN394" s="608" t="n"/>
      <x:c r="AO394" s="608" t="n"/>
      <x:c r="AP394" s="608" t="n"/>
      <x:c r="AQ394" s="608" t="n"/>
      <x:c r="AR394" s="608" t="n"/>
      <x:c r="AS394" s="608" t="n"/>
      <x:c r="AT394" s="608" t="n"/>
      <x:c r="AU394" s="608" t="n"/>
      <x:c r="AV394" s="608" t="n"/>
      <x:c r="AW394" s="608" t="n"/>
      <x:c r="AX394" s="608" t="n"/>
      <x:c r="AY394" s="608" t="n"/>
    </x:row>
    <x:row r="395" ht="22" customHeight="1">
      <x:c r="A395" s="604" t="inlineStr">
        <x:is>
          <x:t xml:space="preserve">2026-09-24</x:t>
        </x:is>
      </x:c>
      <x:c r="B395" s="604" t="inlineStr">
        <x:is>
          <x:t xml:space="preserve">2026-09-24 19:00:00</x:t>
        </x:is>
      </x:c>
      <x:c r="C395" s="604" t="str">
        <x:v>其他系列</x:v>
      </x:c>
      <x:c r="D395" s="604" t="inlineStr">
        <x:is>
          <x:t xml:space="preserve">杯赛</x:t>
        </x:is>
      </x:c>
      <x:c r="E395" s="604" t="inlineStr">
        <x:is>
          <x:t xml:space="preserve">国际友谊</x:t>
        </x:is>
      </x:c>
      <x:c r="F395" s="604" t="inlineStr">
        <x:is>
          <x:t xml:space="preserve">韩国 vs 厄瓜多尔</x:t>
        </x:is>
      </x:c>
      <x:c r="G395" s="611" t="n">
        <x:v>1.05</x:v>
      </x:c>
      <x:c r="H395" s="611" t="n">
        <x:v>0.25</x:v>
      </x:c>
      <x:c r="I395" s="611" t="n">
        <x:v>0.77</x:v>
      </x:c>
      <x:c r="J395" s="604" t="inlineStr">
        <x:is>
          <x:t xml:space="preserve">1.05/0.25/0.77</x:t>
        </x:is>
      </x:c>
      <x:c r="K395" s="604" t="inlineStr">
        <x:is>
          <x:t xml:space="preserve">V4-C最新版候选</x:t>
        </x:is>
      </x:c>
      <x:c r="L395" s="604" t="inlineStr">
        <x:is>
          <x:t xml:space="preserve">韩国</x:t>
        </x:is>
      </x:c>
      <x:c r="M395" s="606" t="n">
        <x:v>0.6496</x:v>
      </x:c>
      <x:c r="N395" s="604" t="inlineStr">
        <x:is>
          <x:t xml:space="preserve">V4最新页面A/B/C候选</x:t>
        </x:is>
      </x:c>
      <x:c r="O395" s="604" t="inlineStr">
        <x:is>
          <x:t xml:space="preserve">3-0</x:t>
        </x:is>
      </x:c>
      <x:c r="P395" s="604" t="inlineStr">
        <x:is>
          <x:t xml:space="preserve">已结算</x:t>
        </x:is>
      </x:c>
      <x:c r="Q395" s="645" t="inlineStr">
        <x:is>
          <x:t xml:space="preserve">红</x:t>
        </x:is>
      </x:c>
      <x:c r="R395" s="607" t="n">
        <x:v>1.05</x:v>
      </x:c>
      <x:c r="S395" s="607" t="n">
        <x:f>IF(OR(Q395="",Q395="待结算"),"",IF(Q395="红",R395,IF(Q395="半红",R395*0.5,IF(Q395="走",0,IF(Q395="半黑",-0.5,-1)))))</x:f>
        <x:v>1.05</x:v>
      </x:c>
      <x:c r="T395" s="604" t="inlineStr">
        <x:is>
          <x:t xml:space="preserve">https://simondongxiao.github.io/odds/v4/</x:t>
        </x:is>
      </x:c>
      <x:c r="U395" s="604" t="inlineStr">
        <x:is>
          <x:t xml:space="preserve">3092214</x:t>
        </x:is>
      </x:c>
      <x:c r="V395" s="607" t="inlineStr">
        <x:is>
          <x:t xml:space="preserve">v4-market-dirichlet-20260913</x:t>
        </x:is>
      </x:c>
      <x:c r="W395" s="607" t="n">
        <x:f>IF(OR(U395="",U395="待结算"),"",IF(U395="红",V395,IF(U395="半红",V395*0.5,IF(U395="走",0,IF(U395="半黑",-0.5,-1)))))</x:f>
        <x:v>-1</x:v>
      </x:c>
      <x:c r="X395" s="608" t="inlineStr">
        <x:is>
          <x:t xml:space="preserve">C</x:t>
        </x:is>
      </x:c>
      <x:c r="Y395" s="608" t="n"/>
      <x:c r="Z395" s="608" t="n"/>
      <x:c r="AA395" s="608" t="n"/>
      <x:c r="AB395" s="608" t="n"/>
      <x:c r="AC395" s="608" t="n"/>
      <x:c r="AD395" s="608" t="n"/>
      <x:c r="AE395" s="608" t="n"/>
      <x:c r="AF395" s="608" t="n"/>
      <x:c r="AG395" s="608" t="n"/>
      <x:c r="AH395" s="608" t="n"/>
      <x:c r="AI395" s="608" t="n"/>
      <x:c r="AJ395" s="608" t="n"/>
      <x:c r="AK395" s="608" t="n"/>
      <x:c r="AL395" s="608" t="n"/>
      <x:c r="AM395" s="608" t="n"/>
      <x:c r="AN395" s="608" t="n"/>
      <x:c r="AO395" s="608" t="n"/>
      <x:c r="AP395" s="608" t="n"/>
      <x:c r="AQ395" s="608" t="n"/>
      <x:c r="AR395" s="608" t="n"/>
      <x:c r="AS395" s="608" t="n"/>
      <x:c r="AT395" s="608" t="n"/>
      <x:c r="AU395" s="608" t="n"/>
      <x:c r="AV395" s="608" t="n"/>
      <x:c r="AW395" s="608" t="n"/>
      <x:c r="AX395" s="608" t="n"/>
      <x:c r="AY395" s="608" t="n"/>
    </x:row>
    <x:row r="396" ht="22" customHeight="1">
      <x:c r="A396" s="604" t="inlineStr">
        <x:is>
          <x:t xml:space="preserve">2026-09-24</x:t>
        </x:is>
      </x:c>
      <x:c r="B396" s="604" t="inlineStr">
        <x:is>
          <x:t xml:space="preserve">2026-09-24 23:55:00</x:t>
        </x:is>
      </x:c>
      <x:c r="C396" s="604" t="str">
        <x:v>西亚/中亚系列</x:v>
      </x:c>
      <x:c r="D396" s="604" t="inlineStr">
        <x:is>
          <x:t xml:space="preserve">联赛</x:t>
        </x:is>
      </x:c>
      <x:c r="E396" s="604" t="inlineStr">
        <x:is>
          <x:t xml:space="preserve">海湾运</x:t>
        </x:is>
      </x:c>
      <x:c r="F396" s="604" t="inlineStr">
        <x:is>
          <x:t xml:space="preserve">阿联酋(中) vs 也门</x:t>
        </x:is>
      </x:c>
      <x:c r="G396" s="611" t="n">
        <x:v>0.9</x:v>
      </x:c>
      <x:c r="H396" s="611" t="n">
        <x:v>1.75</x:v>
      </x:c>
      <x:c r="I396" s="611" t="n">
        <x:v>0.92</x:v>
      </x:c>
      <x:c r="J396" s="604" t="inlineStr">
        <x:is>
          <x:t xml:space="preserve">0.9/1.75/0.92</x:t>
        </x:is>
      </x:c>
      <x:c r="K396" s="604" t="inlineStr">
        <x:is>
          <x:t xml:space="preserve">V4-C最新版候选</x:t>
        </x:is>
      </x:c>
      <x:c r="L396" s="604" t="inlineStr">
        <x:is>
          <x:t xml:space="preserve">阿联酋(中)</x:t>
        </x:is>
      </x:c>
      <x:c r="M396" s="606" t="n">
        <x:v>0.547</x:v>
      </x:c>
      <x:c r="N396" s="604" t="inlineStr">
        <x:is>
          <x:t xml:space="preserve">V4最新页面A/B/C候选</x:t>
        </x:is>
      </x:c>
      <x:c r="O396" s="604" t="inlineStr">
        <x:is>
          <x:t xml:space="preserve">4-0</x:t>
        </x:is>
      </x:c>
      <x:c r="P396" s="604" t="inlineStr">
        <x:is>
          <x:t xml:space="preserve">已结算</x:t>
        </x:is>
      </x:c>
      <x:c r="Q396" s="645" t="inlineStr">
        <x:is>
          <x:t xml:space="preserve">红</x:t>
        </x:is>
      </x:c>
      <x:c r="R396" s="607" t="n">
        <x:v>0.9</x:v>
      </x:c>
      <x:c r="S396" s="607" t="n">
        <x:f>IF(OR(Q396="",Q396="待结算"),"",IF(Q396="红",R396,IF(Q396="半红",R396*0.5,IF(Q396="走",0,IF(Q396="半黑",-0.5,-1)))))</x:f>
        <x:v>0.9</x:v>
      </x:c>
      <x:c r="T396" s="604" t="inlineStr">
        <x:is>
          <x:t xml:space="preserve">https://simondongxiao.github.io/odds/v4/</x:t>
        </x:is>
      </x:c>
      <x:c r="U396" s="604" t="inlineStr">
        <x:is>
          <x:t xml:space="preserve">3092410</x:t>
        </x:is>
      </x:c>
      <x:c r="V396" s="607" t="inlineStr">
        <x:is>
          <x:t xml:space="preserve">v4-market-dirichlet-20260913</x:t>
        </x:is>
      </x:c>
      <x:c r="W396" s="607" t="n">
        <x:f>IF(OR(U396="",U396="待结算"),"",IF(U396="红",V396,IF(U396="半红",V396*0.5,IF(U396="走",0,IF(U396="半黑",-0.5,-1)))))</x:f>
        <x:v>-1</x:v>
      </x:c>
      <x:c r="X396" s="608" t="inlineStr">
        <x:is>
          <x:t xml:space="preserve">C</x:t>
        </x:is>
      </x:c>
      <x:c r="Y396" s="608" t="n"/>
      <x:c r="Z396" s="608" t="n"/>
      <x:c r="AA396" s="608" t="n"/>
      <x:c r="AB396" s="608" t="n"/>
      <x:c r="AC396" s="608" t="n"/>
      <x:c r="AD396" s="608" t="n"/>
      <x:c r="AE396" s="608" t="n"/>
      <x:c r="AF396" s="608" t="n"/>
      <x:c r="AG396" s="608" t="n"/>
      <x:c r="AH396" s="608" t="n"/>
      <x:c r="AI396" s="608" t="n"/>
      <x:c r="AJ396" s="608" t="n"/>
      <x:c r="AK396" s="608" t="n"/>
      <x:c r="AL396" s="608" t="n"/>
      <x:c r="AM396" s="608" t="n"/>
      <x:c r="AN396" s="608" t="n"/>
      <x:c r="AO396" s="608" t="n"/>
      <x:c r="AP396" s="608" t="n"/>
      <x:c r="AQ396" s="608" t="n"/>
      <x:c r="AR396" s="608" t="n"/>
      <x:c r="AS396" s="608" t="n"/>
      <x:c r="AT396" s="608" t="n"/>
      <x:c r="AU396" s="608" t="n"/>
      <x:c r="AV396" s="608" t="n"/>
      <x:c r="AW396" s="608" t="n"/>
      <x:c r="AX396" s="608" t="n"/>
      <x:c r="AY396" s="608" t="n"/>
    </x:row>
    <x:row r="397" ht="22" customHeight="1">
      <x:c r="A397" s="604" t="inlineStr">
        <x:is>
          <x:t xml:space="preserve">2026-09-24</x:t>
        </x:is>
      </x:c>
      <x:c r="B397" s="604" t="inlineStr">
        <x:is>
          <x:t xml:space="preserve">2026-09-25 00:00:00</x:t>
        </x:is>
      </x:c>
      <x:c r="C397" s="604" t="str">
        <x:v>其他系列</x:v>
      </x:c>
      <x:c r="D397" s="604" t="inlineStr">
        <x:is>
          <x:t xml:space="preserve">杯赛</x:t>
        </x:is>
      </x:c>
      <x:c r="E397" s="604" t="inlineStr">
        <x:is>
          <x:t xml:space="preserve">非洲杯</x:t>
        </x:is>
      </x:c>
      <x:c r="F397" s="604" t="inlineStr">
        <x:is>
          <x:t xml:space="preserve">利比亚 vs 博茨瓦纳</x:t>
        </x:is>
      </x:c>
      <x:c r="G397" s="611" t="n">
        <x:v>0.76</x:v>
      </x:c>
      <x:c r="H397" s="611" t="n">
        <x:v>0.75</x:v>
      </x:c>
      <x:c r="I397" s="611" t="n">
        <x:v>1.06</x:v>
      </x:c>
      <x:c r="J397" s="604" t="inlineStr">
        <x:is>
          <x:t xml:space="preserve">0.76/0.75/1.06</x:t>
        </x:is>
      </x:c>
      <x:c r="K397" s="604" t="inlineStr">
        <x:is>
          <x:t xml:space="preserve">V4-C最新版候选</x:t>
        </x:is>
      </x:c>
      <x:c r="L397" s="604" t="inlineStr">
        <x:is>
          <x:t xml:space="preserve">博茨瓦纳</x:t>
        </x:is>
      </x:c>
      <x:c r="M397" s="606" t="n">
        <x:v>0.6830000000000001</x:v>
      </x:c>
      <x:c r="N397" s="604" t="inlineStr">
        <x:is>
          <x:t xml:space="preserve">V4最新页面A/B/C候选</x:t>
        </x:is>
      </x:c>
      <x:c r="O397" s="604" t="inlineStr">
        <x:is>
          <x:t xml:space="preserve">2-2</x:t>
        </x:is>
      </x:c>
      <x:c r="P397" s="604" t="inlineStr">
        <x:is>
          <x:t xml:space="preserve">已结算</x:t>
        </x:is>
      </x:c>
      <x:c r="Q397" s="645" t="inlineStr">
        <x:is>
          <x:t xml:space="preserve">红</x:t>
        </x:is>
      </x:c>
      <x:c r="R397" s="607" t="n">
        <x:v>1.06</x:v>
      </x:c>
      <x:c r="S397" s="607" t="n">
        <x:f>IF(OR(Q397="",Q397="待结算"),"",IF(Q397="红",R397,IF(Q397="半红",R397*0.5,IF(Q397="走",0,IF(Q397="半黑",-0.5,-1)))))</x:f>
        <x:v>1.06</x:v>
      </x:c>
      <x:c r="T397" s="604" t="inlineStr">
        <x:is>
          <x:t xml:space="preserve">https://simondongxiao.github.io/odds/v4/</x:t>
        </x:is>
      </x:c>
      <x:c r="U397" s="604" t="inlineStr">
        <x:is>
          <x:t xml:space="preserve">3001080</x:t>
        </x:is>
      </x:c>
      <x:c r="V397" s="607" t="inlineStr">
        <x:is>
          <x:t xml:space="preserve">v4-market-dirichlet-20260913</x:t>
        </x:is>
      </x:c>
      <x:c r="W397" s="607" t="n">
        <x:f>IF(OR(U397="",U397="待结算"),"",IF(U397="红",V397,IF(U397="半红",V397*0.5,IF(U397="走",0,IF(U397="半黑",-0.5,-1)))))</x:f>
        <x:v>-1</x:v>
      </x:c>
      <x:c r="X397" s="608" t="inlineStr">
        <x:is>
          <x:t xml:space="preserve">C</x:t>
        </x:is>
      </x:c>
      <x:c r="Y397" s="608" t="n"/>
      <x:c r="Z397" s="608" t="n"/>
      <x:c r="AA397" s="608" t="n"/>
      <x:c r="AB397" s="608" t="n"/>
      <x:c r="AC397" s="608" t="n"/>
      <x:c r="AD397" s="608" t="n"/>
      <x:c r="AE397" s="608" t="n"/>
      <x:c r="AF397" s="608" t="n"/>
      <x:c r="AG397" s="608" t="n"/>
      <x:c r="AH397" s="608" t="n"/>
      <x:c r="AI397" s="608" t="n"/>
      <x:c r="AJ397" s="608" t="n"/>
      <x:c r="AK397" s="608" t="n"/>
      <x:c r="AL397" s="608" t="n"/>
      <x:c r="AM397" s="608" t="n"/>
      <x:c r="AN397" s="608" t="n"/>
      <x:c r="AO397" s="608" t="n"/>
      <x:c r="AP397" s="608" t="n"/>
      <x:c r="AQ397" s="608" t="n"/>
      <x:c r="AR397" s="608" t="n"/>
      <x:c r="AS397" s="608" t="n"/>
      <x:c r="AT397" s="608" t="n"/>
      <x:c r="AU397" s="608" t="n"/>
      <x:c r="AV397" s="608" t="n"/>
      <x:c r="AW397" s="608" t="n"/>
      <x:c r="AX397" s="608" t="n"/>
      <x:c r="AY397" s="608" t="n"/>
    </x:row>
    <x:row r="398" ht="22" customHeight="1">
      <x:c r="A398" s="604" t="inlineStr">
        <x:is>
          <x:t xml:space="preserve">2026-09-24</x:t>
        </x:is>
      </x:c>
      <x:c r="B398" s="604" t="inlineStr">
        <x:is>
          <x:t xml:space="preserve">2026-09-25 00:00:00</x:t>
        </x:is>
      </x:c>
      <x:c r="C398" s="604" t="str">
        <x:v>西亚/中亚系列</x:v>
      </x:c>
      <x:c r="D398" s="604" t="inlineStr">
        <x:is>
          <x:t xml:space="preserve">联赛</x:t>
        </x:is>
      </x:c>
      <x:c r="E398" s="604" t="inlineStr">
        <x:is>
          <x:t xml:space="preserve">以甲</x:t>
        </x:is>
      </x:c>
      <x:c r="F398" s="604" t="inlineStr">
        <x:is>
          <x:t xml:space="preserve">里雄莱锡安夏普尔 vs 阿基纳扎力</x:t>
        </x:is>
      </x:c>
      <x:c r="G398" s="611" t="n">
        <x:v>0.6</x:v>
      </x:c>
      <x:c r="H398" s="611" t="n">
        <x:v>0.75</x:v>
      </x:c>
      <x:c r="I398" s="611" t="n">
        <x:v>1.11</x:v>
      </x:c>
      <x:c r="J398" s="604" t="inlineStr">
        <x:is>
          <x:t xml:space="preserve">0.6/0.75/1.11</x:t>
        </x:is>
      </x:c>
      <x:c r="K398" s="604" t="inlineStr">
        <x:is>
          <x:t xml:space="preserve">V4-C最新版候选</x:t>
        </x:is>
      </x:c>
      <x:c r="L398" s="604" t="inlineStr">
        <x:is>
          <x:t xml:space="preserve">阿基纳扎力</x:t>
        </x:is>
      </x:c>
      <x:c r="M398" s="606" t="n">
        <x:v>0.759</x:v>
      </x:c>
      <x:c r="N398" s="604" t="inlineStr">
        <x:is>
          <x:t xml:space="preserve">V4最新页面A/B/C候选</x:t>
        </x:is>
      </x:c>
      <x:c r="O398" s="604" t="inlineStr">
        <x:is>
          <x:t xml:space="preserve">1-0</x:t>
        </x:is>
      </x:c>
      <x:c r="P398" s="604" t="inlineStr">
        <x:is>
          <x:t xml:space="preserve">已结算</x:t>
        </x:is>
      </x:c>
      <x:c r="Q398" s="648" t="inlineStr">
        <x:is>
          <x:t xml:space="preserve">半黑</x:t>
        </x:is>
      </x:c>
      <x:c r="R398" s="607" t="n">
        <x:v>1.11</x:v>
      </x:c>
      <x:c r="S398" s="607" t="n">
        <x:f>IF(OR(Q398="",Q398="待结算"),"",IF(Q398="红",R398,IF(Q398="半红",R398*0.5,IF(Q398="走",0,IF(Q398="半黑",-0.5,-1)))))</x:f>
        <x:v>-0.5</x:v>
      </x:c>
      <x:c r="T398" s="604" t="inlineStr">
        <x:is>
          <x:t xml:space="preserve">https://simondongxiao.github.io/odds/v4/</x:t>
        </x:is>
      </x:c>
      <x:c r="U398" s="604" t="inlineStr">
        <x:is>
          <x:t xml:space="preserve">3001838</x:t>
        </x:is>
      </x:c>
      <x:c r="V398" s="607" t="inlineStr">
        <x:is>
          <x:t xml:space="preserve">v4-market-dirichlet-20260913</x:t>
        </x:is>
      </x:c>
      <x:c r="W398" s="607" t="n">
        <x:f>IF(OR(U398="",U398="待结算"),"",IF(U398="红",V398,IF(U398="半红",V398*0.5,IF(U398="走",0,IF(U398="半黑",-0.5,-1)))))</x:f>
        <x:v>-1</x:v>
      </x:c>
      <x:c r="X398" s="608" t="inlineStr">
        <x:is>
          <x:t xml:space="preserve">C</x:t>
        </x:is>
      </x:c>
      <x:c r="Y398" s="608" t="n"/>
      <x:c r="Z398" s="608" t="n"/>
      <x:c r="AA398" s="608" t="n"/>
      <x:c r="AB398" s="608" t="n"/>
      <x:c r="AC398" s="608" t="n"/>
      <x:c r="AD398" s="608" t="n"/>
      <x:c r="AE398" s="608" t="n"/>
      <x:c r="AF398" s="608" t="n"/>
      <x:c r="AG398" s="608" t="n"/>
      <x:c r="AH398" s="608" t="n"/>
      <x:c r="AI398" s="608" t="n"/>
      <x:c r="AJ398" s="608" t="n"/>
      <x:c r="AK398" s="608" t="n"/>
      <x:c r="AL398" s="608" t="n"/>
      <x:c r="AM398" s="608" t="n"/>
      <x:c r="AN398" s="608" t="n"/>
      <x:c r="AO398" s="608" t="n"/>
      <x:c r="AP398" s="608" t="n"/>
      <x:c r="AQ398" s="608" t="n"/>
      <x:c r="AR398" s="608" t="n"/>
      <x:c r="AS398" s="608" t="n"/>
      <x:c r="AT398" s="608" t="n"/>
      <x:c r="AU398" s="608" t="n"/>
      <x:c r="AV398" s="608" t="n"/>
      <x:c r="AW398" s="608" t="n"/>
      <x:c r="AX398" s="608" t="n"/>
      <x:c r="AY398" s="608" t="n"/>
    </x:row>
    <x:row r="399" ht="22" customHeight="1">
      <x:c r="A399" s="604" t="inlineStr">
        <x:is>
          <x:t xml:space="preserve">2026-09-24</x:t>
        </x:is>
      </x:c>
      <x:c r="B399" s="604" t="inlineStr">
        <x:is>
          <x:t xml:space="preserve">2026-09-25 02:00:00</x:t>
        </x:is>
      </x:c>
      <x:c r="C399" s="604" t="str">
        <x:v>其他系列</x:v>
      </x:c>
      <x:c r="D399" s="604" t="inlineStr">
        <x:is>
          <x:t xml:space="preserve">联赛</x:t>
        </x:is>
      </x:c>
      <x:c r="E399" s="604" t="inlineStr">
        <x:is>
          <x:t xml:space="preserve">阿后备</x:t>
        </x:is>
      </x:c>
      <x:c r="F399" s="604" t="inlineStr">
        <x:is>
          <x:t xml:space="preserve">科尔多瓦学院后备队 vs 里奥夸尔托后备队</x:t>
        </x:is>
      </x:c>
      <x:c r="G399" s="611" t="n">
        <x:v>0.83</x:v>
      </x:c>
      <x:c r="H399" s="611" t="n">
        <x:v>0.5</x:v>
      </x:c>
      <x:c r="I399" s="611" t="n">
        <x:v>0.99</x:v>
      </x:c>
      <x:c r="J399" s="604" t="inlineStr">
        <x:is>
          <x:t xml:space="preserve">0.83/0.5/0.99</x:t>
        </x:is>
      </x:c>
      <x:c r="K399" s="604" t="inlineStr">
        <x:is>
          <x:t xml:space="preserve">V4-C最新版候选</x:t>
        </x:is>
      </x:c>
      <x:c r="L399" s="604" t="inlineStr">
        <x:is>
          <x:t xml:space="preserve">里奥夸尔托后备队</x:t>
        </x:is>
      </x:c>
      <x:c r="M399" s="606" t="n">
        <x:v>0.5106000000000001</x:v>
      </x:c>
      <x:c r="N399" s="604" t="inlineStr">
        <x:is>
          <x:t xml:space="preserve">V4最新页面A/B/C候选</x:t>
        </x:is>
      </x:c>
      <x:c r="O399" s="604" t="inlineStr">
        <x:is>
          <x:t xml:space="preserve">0-2</x:t>
        </x:is>
      </x:c>
      <x:c r="P399" s="604" t="inlineStr">
        <x:is>
          <x:t xml:space="preserve">已结算</x:t>
        </x:is>
      </x:c>
      <x:c r="Q399" s="645" t="inlineStr">
        <x:is>
          <x:t xml:space="preserve">红</x:t>
        </x:is>
      </x:c>
      <x:c r="R399" s="607" t="n">
        <x:v>0.99</x:v>
      </x:c>
      <x:c r="S399" s="607" t="n">
        <x:f>IF(OR(Q399="",Q399="待结算"),"",IF(Q399="红",R399,IF(Q399="半红",R399*0.5,IF(Q399="走",0,IF(Q399="半黑",-0.5,-1)))))</x:f>
        <x:v>0.99</x:v>
      </x:c>
      <x:c r="T399" s="604" t="inlineStr">
        <x:is>
          <x:t xml:space="preserve">https://simondongxiao.github.io/odds/v4/</x:t>
        </x:is>
      </x:c>
      <x:c r="U399" s="604" t="inlineStr">
        <x:is>
          <x:t xml:space="preserve">3092210</x:t>
        </x:is>
      </x:c>
      <x:c r="V399" s="607" t="inlineStr">
        <x:is>
          <x:t xml:space="preserve">v4-market-dirichlet-20260913</x:t>
        </x:is>
      </x:c>
      <x:c r="W399" s="607" t="n">
        <x:f>IF(OR(U399="",U399="待结算"),"",IF(U399="红",V399,IF(U399="半红",V399*0.5,IF(U399="走",0,IF(U399="半黑",-0.5,-1)))))</x:f>
        <x:v>-1</x:v>
      </x:c>
      <x:c r="X399" s="608" t="inlineStr">
        <x:is>
          <x:t xml:space="preserve">C</x:t>
        </x:is>
      </x:c>
      <x:c r="Y399" s="608" t="n"/>
      <x:c r="Z399" s="608" t="n"/>
      <x:c r="AA399" s="608" t="n"/>
      <x:c r="AB399" s="608" t="n"/>
      <x:c r="AC399" s="608" t="n"/>
      <x:c r="AD399" s="608" t="n"/>
      <x:c r="AE399" s="608" t="n"/>
      <x:c r="AF399" s="608" t="n"/>
      <x:c r="AG399" s="608" t="n"/>
      <x:c r="AH399" s="608" t="n"/>
      <x:c r="AI399" s="608" t="n"/>
      <x:c r="AJ399" s="608" t="n"/>
      <x:c r="AK399" s="608" t="n"/>
      <x:c r="AL399" s="608" t="n"/>
      <x:c r="AM399" s="608" t="n"/>
      <x:c r="AN399" s="608" t="n"/>
      <x:c r="AO399" s="608" t="n"/>
      <x:c r="AP399" s="608" t="n"/>
      <x:c r="AQ399" s="608" t="n"/>
      <x:c r="AR399" s="608" t="n"/>
      <x:c r="AS399" s="608" t="n"/>
      <x:c r="AT399" s="608" t="n"/>
      <x:c r="AU399" s="608" t="n"/>
      <x:c r="AV399" s="608" t="n"/>
      <x:c r="AW399" s="608" t="n"/>
      <x:c r="AX399" s="608" t="n"/>
      <x:c r="AY399" s="608" t="n"/>
    </x:row>
    <x:row r="400" ht="22" customHeight="1">
      <x:c r="A400" s="604" t="inlineStr">
        <x:is>
          <x:t xml:space="preserve">2026-09-24</x:t>
        </x:is>
      </x:c>
      <x:c r="B400" s="604" t="inlineStr">
        <x:is>
          <x:t xml:space="preserve">2026-09-25 02:30:00</x:t>
        </x:is>
      </x:c>
      <x:c r="C400" s="604" t="str">
        <x:v>欧洲非五大系列</x:v>
      </x:c>
      <x:c r="D400" s="604" t="inlineStr">
        <x:is>
          <x:t xml:space="preserve">联赛</x:t>
        </x:is>
      </x:c>
      <x:c r="E400" s="604" t="inlineStr">
        <x:is>
          <x:t xml:space="preserve">欧青U21外</x:t>
        </x:is>
      </x:c>
      <x:c r="F400" s="604" t="inlineStr">
        <x:is>
          <x:t xml:space="preserve">圣马力诺U21 vs 科索沃U21</x:t>
        </x:is>
      </x:c>
      <x:c r="G400" s="611" t="n">
        <x:v>0.93</x:v>
      </x:c>
      <x:c r="H400" s="611" t="n">
        <x:v>-4</x:v>
      </x:c>
      <x:c r="I400" s="611" t="n">
        <x:v>0.83</x:v>
      </x:c>
      <x:c r="J400" s="604" t="inlineStr">
        <x:is>
          <x:t xml:space="preserve">0.93/-4.0/0.83</x:t>
        </x:is>
      </x:c>
      <x:c r="K400" s="604" t="inlineStr">
        <x:is>
          <x:t xml:space="preserve">V4-C最新版候选</x:t>
        </x:is>
      </x:c>
      <x:c r="L400" s="604" t="inlineStr">
        <x:is>
          <x:t xml:space="preserve">圣马力诺U21</x:t>
        </x:is>
      </x:c>
      <x:c r="M400" s="606" t="n">
        <x:v>0.723</x:v>
      </x:c>
      <x:c r="N400" s="604" t="inlineStr">
        <x:is>
          <x:t xml:space="preserve">V4最新页面A/B/C候选</x:t>
        </x:is>
      </x:c>
      <x:c r="O400" s="604" t="inlineStr">
        <x:is>
          <x:t xml:space="preserve">0-3</x:t>
        </x:is>
      </x:c>
      <x:c r="P400" s="604" t="inlineStr">
        <x:is>
          <x:t xml:space="preserve">已结算</x:t>
        </x:is>
      </x:c>
      <x:c r="Q400" s="645" t="inlineStr">
        <x:is>
          <x:t xml:space="preserve">红</x:t>
        </x:is>
      </x:c>
      <x:c r="R400" s="607" t="n">
        <x:v>0.93</x:v>
      </x:c>
      <x:c r="S400" s="607" t="n">
        <x:f>IF(OR(Q400="",Q400="待结算"),"",IF(Q400="红",R400,IF(Q400="半红",R400*0.5,IF(Q400="走",0,IF(Q400="半黑",-0.5,-1)))))</x:f>
        <x:v>0.93</x:v>
      </x:c>
      <x:c r="T400" s="604" t="inlineStr">
        <x:is>
          <x:t xml:space="preserve">https://simondongxiao.github.io/odds/v4/</x:t>
        </x:is>
      </x:c>
      <x:c r="U400" s="604" t="inlineStr">
        <x:is>
          <x:t xml:space="preserve">2781224</x:t>
        </x:is>
      </x:c>
      <x:c r="V400" s="607" t="inlineStr">
        <x:is>
          <x:t xml:space="preserve">v4-market-dirichlet-20260913</x:t>
        </x:is>
      </x:c>
      <x:c r="W400" s="607" t="n">
        <x:f>IF(OR(U400="",U400="待结算"),"",IF(U400="红",V400,IF(U400="半红",V400*0.5,IF(U400="走",0,IF(U400="半黑",-0.5,-1)))))</x:f>
        <x:v>-1</x:v>
      </x:c>
      <x:c r="X400" s="608" t="inlineStr">
        <x:is>
          <x:t xml:space="preserve">C</x:t>
        </x:is>
      </x:c>
      <x:c r="Y400" s="608" t="n"/>
      <x:c r="Z400" s="608" t="n"/>
      <x:c r="AA400" s="608" t="n"/>
      <x:c r="AB400" s="608" t="n"/>
      <x:c r="AC400" s="608" t="n"/>
      <x:c r="AD400" s="608" t="n"/>
      <x:c r="AE400" s="608" t="n"/>
      <x:c r="AF400" s="608" t="n"/>
      <x:c r="AG400" s="608" t="n"/>
      <x:c r="AH400" s="608" t="n"/>
      <x:c r="AI400" s="608" t="n"/>
      <x:c r="AJ400" s="608" t="n"/>
      <x:c r="AK400" s="608" t="n"/>
      <x:c r="AL400" s="608" t="n"/>
      <x:c r="AM400" s="608" t="n"/>
      <x:c r="AN400" s="608" t="n"/>
      <x:c r="AO400" s="608" t="n"/>
      <x:c r="AP400" s="608" t="n"/>
      <x:c r="AQ400" s="608" t="n"/>
      <x:c r="AR400" s="608" t="n"/>
      <x:c r="AS400" s="608" t="n"/>
      <x:c r="AT400" s="608" t="n"/>
      <x:c r="AU400" s="608" t="n"/>
      <x:c r="AV400" s="608" t="n"/>
      <x:c r="AW400" s="608" t="n"/>
      <x:c r="AX400" s="608" t="n"/>
      <x:c r="AY400" s="608" t="n"/>
    </x:row>
    <x:row r="401" ht="22" customHeight="1">
      <x:c r="A401" s="604" t="inlineStr">
        <x:is>
          <x:t xml:space="preserve">2026-09-24</x:t>
        </x:is>
      </x:c>
      <x:c r="B401" s="604" t="inlineStr">
        <x:is>
          <x:t xml:space="preserve">2026-09-25 02:30:00</x:t>
        </x:is>
      </x:c>
      <x:c r="C401" s="604" t="str">
        <x:v>南美系列</x:v>
      </x:c>
      <x:c r="D401" s="604" t="inlineStr">
        <x:is>
          <x:t xml:space="preserve">杯赛</x:t>
        </x:is>
      </x:c>
      <x:c r="E401" s="604" t="inlineStr">
        <x:is>
          <x:t xml:space="preserve">乌拉杯</x:t>
        </x:is>
      </x:c>
      <x:c r="F401" s="604" t="inlineStr">
        <x:is>
          <x:t xml:space="preserve">丹奴比奥 vs 佩纳罗尔</x:t>
        </x:is>
      </x:c>
      <x:c r="G401" s="611" t="n">
        <x:v>1.05</x:v>
      </x:c>
      <x:c r="H401" s="611" t="n">
        <x:v>-0.25</x:v>
      </x:c>
      <x:c r="I401" s="611" t="n">
        <x:v>0.77</x:v>
      </x:c>
      <x:c r="J401" s="604" t="inlineStr">
        <x:is>
          <x:t xml:space="preserve">1.05/-0.25/0.77</x:t>
        </x:is>
      </x:c>
      <x:c r="K401" s="604" t="inlineStr">
        <x:is>
          <x:t xml:space="preserve">V4-C最新版候选</x:t>
        </x:is>
      </x:c>
      <x:c r="L401" s="604" t="inlineStr">
        <x:is>
          <x:t xml:space="preserve">丹奴比奥</x:t>
        </x:is>
      </x:c>
      <x:c r="M401" s="606" t="n">
        <x:v>0.6616</x:v>
      </x:c>
      <x:c r="N401" s="604" t="inlineStr">
        <x:is>
          <x:t xml:space="preserve">V4最新页面A/B/C候选</x:t>
        </x:is>
      </x:c>
      <x:c r="O401" s="604" t="inlineStr">
        <x:is>
          <x:t xml:space="preserve">1-1</x:t>
        </x:is>
      </x:c>
      <x:c r="P401" s="604" t="inlineStr">
        <x:is>
          <x:t xml:space="preserve">已结算</x:t>
        </x:is>
      </x:c>
      <x:c r="Q401" s="649" t="inlineStr">
        <x:is>
          <x:t xml:space="preserve">半红</x:t>
        </x:is>
      </x:c>
      <x:c r="R401" s="607" t="n">
        <x:v>1.05</x:v>
      </x:c>
      <x:c r="S401" s="607" t="n">
        <x:f>IF(OR(Q401="",Q401="待结算"),"",IF(Q401="红",R401,IF(Q401="半红",R401*0.5,IF(Q401="走",0,IF(Q401="半黑",-0.5,-1)))))</x:f>
        <x:v>0.525</x:v>
      </x:c>
      <x:c r="T401" s="604" t="inlineStr">
        <x:is>
          <x:t xml:space="preserve">https://simondongxiao.github.io/odds/v4/</x:t>
        </x:is>
      </x:c>
      <x:c r="U401" s="604" t="inlineStr">
        <x:is>
          <x:t xml:space="preserve">3071634</x:t>
        </x:is>
      </x:c>
      <x:c r="V401" s="607" t="inlineStr">
        <x:is>
          <x:t xml:space="preserve">v4-market-dirichlet-20260913</x:t>
        </x:is>
      </x:c>
      <x:c r="W401" s="607" t="n">
        <x:f>IF(OR(U401="",U401="待结算"),"",IF(U401="红",V401,IF(U401="半红",V401*0.5,IF(U401="走",0,IF(U401="半黑",-0.5,-1)))))</x:f>
        <x:v>-1</x:v>
      </x:c>
      <x:c r="X401" s="608" t="inlineStr">
        <x:is>
          <x:t xml:space="preserve">C</x:t>
        </x:is>
      </x:c>
      <x:c r="Y401" s="608" t="n"/>
      <x:c r="Z401" s="608" t="n"/>
      <x:c r="AA401" s="608" t="n"/>
      <x:c r="AB401" s="608" t="n"/>
      <x:c r="AC401" s="608" t="n"/>
      <x:c r="AD401" s="608" t="n"/>
      <x:c r="AE401" s="608" t="n"/>
      <x:c r="AF401" s="608" t="n"/>
      <x:c r="AG401" s="608" t="n"/>
      <x:c r="AH401" s="608" t="n"/>
      <x:c r="AI401" s="608" t="n"/>
      <x:c r="AJ401" s="608" t="n"/>
      <x:c r="AK401" s="608" t="n"/>
      <x:c r="AL401" s="608" t="n"/>
      <x:c r="AM401" s="608" t="n"/>
      <x:c r="AN401" s="608" t="n"/>
      <x:c r="AO401" s="608" t="n"/>
      <x:c r="AP401" s="608" t="n"/>
      <x:c r="AQ401" s="608" t="n"/>
      <x:c r="AR401" s="608" t="n"/>
      <x:c r="AS401" s="608" t="n"/>
      <x:c r="AT401" s="608" t="n"/>
      <x:c r="AU401" s="608" t="n"/>
      <x:c r="AV401" s="608" t="n"/>
      <x:c r="AW401" s="608" t="n"/>
      <x:c r="AX401" s="608" t="n"/>
      <x:c r="AY401" s="608" t="n"/>
    </x:row>
    <x:row r="402" ht="22" customHeight="1">
      <x:c r="A402" s="604" t="inlineStr">
        <x:is>
          <x:t xml:space="preserve">2026-09-24</x:t>
        </x:is>
      </x:c>
      <x:c r="B402" s="604" t="inlineStr">
        <x:is>
          <x:t xml:space="preserve">2026-09-25 02:45:00</x:t>
        </x:is>
      </x:c>
      <x:c r="C402" s="604" t="str">
        <x:v>欧洲非五大系列</x:v>
      </x:c>
      <x:c r="D402" s="604" t="inlineStr">
        <x:is>
          <x:t xml:space="preserve">联赛</x:t>
        </x:is>
      </x:c>
      <x:c r="E402" s="604" t="inlineStr">
        <x:is>
          <x:t xml:space="preserve">欧国联</x:t>
        </x:is>
      </x:c>
      <x:c r="F402" s="604" t="inlineStr">
        <x:is>
          <x:t xml:space="preserve">葡萄牙 vs 威尔士</x:t>
        </x:is>
      </x:c>
      <x:c r="G402" s="611" t="n">
        <x:v>1.01</x:v>
      </x:c>
      <x:c r="H402" s="611" t="n">
        <x:v>2</x:v>
      </x:c>
      <x:c r="I402" s="611" t="n">
        <x:v>0.87</x:v>
      </x:c>
      <x:c r="J402" s="604" t="inlineStr">
        <x:is>
          <x:t xml:space="preserve">1.01/2.0/0.87</x:t>
        </x:is>
      </x:c>
      <x:c r="K402" s="604" t="inlineStr">
        <x:is>
          <x:t xml:space="preserve">V4-B最新版候选</x:t>
        </x:is>
      </x:c>
      <x:c r="L402" s="604" t="inlineStr">
        <x:is>
          <x:t xml:space="preserve">葡萄牙</x:t>
        </x:is>
      </x:c>
      <x:c r="M402" s="606" t="n">
        <x:v>0.877</x:v>
      </x:c>
      <x:c r="N402" s="604" t="inlineStr">
        <x:is>
          <x:t xml:space="preserve">V4最新页面A/B/C候选</x:t>
        </x:is>
      </x:c>
      <x:c r="O402" s="604" t="inlineStr">
        <x:is>
          <x:t xml:space="preserve">1-0</x:t>
        </x:is>
      </x:c>
      <x:c r="P402" s="604" t="inlineStr">
        <x:is>
          <x:t xml:space="preserve">已结算</x:t>
        </x:is>
      </x:c>
      <x:c r="Q402" s="646" t="inlineStr">
        <x:is>
          <x:t xml:space="preserve">黑</x:t>
        </x:is>
      </x:c>
      <x:c r="R402" s="607" t="n">
        <x:v>1.01</x:v>
      </x:c>
      <x:c r="S402" s="607" t="n">
        <x:f>IF(OR(Q402="",Q402="待结算"),"",IF(Q402="红",R402,IF(Q402="半红",R402*0.5,IF(Q402="走",0,IF(Q402="半黑",-0.5,-1)))))</x:f>
        <x:v>-1</x:v>
      </x:c>
      <x:c r="T402" s="604" t="inlineStr">
        <x:is>
          <x:t xml:space="preserve">https://simondongxiao.github.io/odds/v4/</x:t>
        </x:is>
      </x:c>
      <x:c r="U402" s="604" t="inlineStr">
        <x:is>
          <x:t xml:space="preserve">2981427</x:t>
        </x:is>
      </x:c>
      <x:c r="V402" s="607" t="inlineStr">
        <x:is>
          <x:t xml:space="preserve">v4-market-dirichlet-20260913</x:t>
        </x:is>
      </x:c>
      <x:c r="W402" s="607" t="n">
        <x:f>IF(OR(U402="",U402="待结算"),"",IF(U402="红",V402,IF(U402="半红",V402*0.5,IF(U402="走",0,IF(U402="半黑",-0.5,-1)))))</x:f>
        <x:v>-1</x:v>
      </x:c>
      <x:c r="X402" s="608" t="inlineStr">
        <x:is>
          <x:t xml:space="preserve">B</x:t>
        </x:is>
      </x:c>
      <x:c r="Y402" s="608" t="n"/>
      <x:c r="Z402" s="608" t="n"/>
      <x:c r="AA402" s="608" t="n"/>
      <x:c r="AB402" s="608" t="n"/>
      <x:c r="AC402" s="608" t="n"/>
      <x:c r="AD402" s="608" t="n"/>
      <x:c r="AE402" s="608" t="n"/>
      <x:c r="AF402" s="608" t="n"/>
      <x:c r="AG402" s="608" t="n"/>
      <x:c r="AH402" s="608" t="n"/>
      <x:c r="AI402" s="608" t="n"/>
      <x:c r="AJ402" s="608" t="n"/>
      <x:c r="AK402" s="608" t="n"/>
      <x:c r="AL402" s="608" t="n"/>
      <x:c r="AM402" s="608" t="n"/>
      <x:c r="AN402" s="608" t="n"/>
      <x:c r="AO402" s="608" t="n"/>
      <x:c r="AP402" s="608" t="n"/>
      <x:c r="AQ402" s="608" t="n"/>
      <x:c r="AR402" s="608" t="n"/>
      <x:c r="AS402" s="608" t="n"/>
      <x:c r="AT402" s="608" t="n"/>
      <x:c r="AU402" s="608" t="n"/>
      <x:c r="AV402" s="608" t="n"/>
      <x:c r="AW402" s="608" t="n"/>
      <x:c r="AX402" s="608" t="n"/>
      <x:c r="AY402" s="608" t="n"/>
    </x:row>
    <x:row r="403" ht="22" customHeight="1">
      <x:c r="A403" s="604" t="inlineStr">
        <x:is>
          <x:t xml:space="preserve">2026-09-24</x:t>
        </x:is>
      </x:c>
      <x:c r="B403" s="604" t="inlineStr">
        <x:is>
          <x:t xml:space="preserve">2026-09-25 02:45:00</x:t>
        </x:is>
      </x:c>
      <x:c r="C403" s="604" t="str">
        <x:v>欧洲非五大系列</x:v>
      </x:c>
      <x:c r="D403" s="604" t="inlineStr">
        <x:is>
          <x:t xml:space="preserve">联赛</x:t>
        </x:is>
      </x:c>
      <x:c r="E403" s="604" t="inlineStr">
        <x:is>
          <x:t xml:space="preserve">欧国联</x:t>
        </x:is>
      </x:c>
      <x:c r="F403" s="604" t="inlineStr">
        <x:is>
          <x:t xml:space="preserve">科索沃 vs 爱尔兰</x:t>
        </x:is>
      </x:c>
      <x:c r="G403" s="611" t="n">
        <x:v>1.11</x:v>
      </x:c>
      <x:c r="H403" s="611" t="n">
        <x:v>0.25</x:v>
      </x:c>
      <x:c r="I403" s="611" t="n">
        <x:v>0.78</x:v>
      </x:c>
      <x:c r="J403" s="604" t="inlineStr">
        <x:is>
          <x:t xml:space="preserve">1.11/0.25/0.78</x:t>
        </x:is>
      </x:c>
      <x:c r="K403" s="604" t="inlineStr">
        <x:is>
          <x:t xml:space="preserve">V4-C最新版候选</x:t>
        </x:is>
      </x:c>
      <x:c r="L403" s="604" t="inlineStr">
        <x:is>
          <x:t xml:space="preserve">科索沃</x:t>
        </x:is>
      </x:c>
      <x:c r="M403" s="606" t="n">
        <x:v>0.7786</x:v>
      </x:c>
      <x:c r="N403" s="604" t="inlineStr">
        <x:is>
          <x:t xml:space="preserve">V4最新页面A/B/C候选</x:t>
        </x:is>
      </x:c>
      <x:c r="O403" s="604" t="inlineStr">
        <x:is>
          <x:t xml:space="preserve">1-0</x:t>
        </x:is>
      </x:c>
      <x:c r="P403" s="604" t="inlineStr">
        <x:is>
          <x:t xml:space="preserve">已结算</x:t>
        </x:is>
      </x:c>
      <x:c r="Q403" s="645" t="inlineStr">
        <x:is>
          <x:t xml:space="preserve">红</x:t>
        </x:is>
      </x:c>
      <x:c r="R403" s="607" t="n">
        <x:v>1.11</x:v>
      </x:c>
      <x:c r="S403" s="607" t="n">
        <x:f>IF(OR(Q403="",Q403="待结算"),"",IF(Q403="红",R403,IF(Q403="半红",R403*0.5,IF(Q403="走",0,IF(Q403="半黑",-0.5,-1)))))</x:f>
        <x:v>1.11</x:v>
      </x:c>
      <x:c r="T403" s="604" t="inlineStr">
        <x:is>
          <x:t xml:space="preserve">https://simondongxiao.github.io/odds/v4/</x:t>
        </x:is>
      </x:c>
      <x:c r="U403" s="604" t="inlineStr">
        <x:is>
          <x:t xml:space="preserve">2981476</x:t>
        </x:is>
      </x:c>
      <x:c r="V403" s="607" t="inlineStr">
        <x:is>
          <x:t xml:space="preserve">v4-market-dirichlet-20260913</x:t>
        </x:is>
      </x:c>
      <x:c r="W403" s="607" t="n">
        <x:f>IF(OR(U403="",U403="待结算"),"",IF(U403="红",V403,IF(U403="半红",V403*0.5,IF(U403="走",0,IF(U403="半黑",-0.5,-1)))))</x:f>
        <x:v>-1</x:v>
      </x:c>
      <x:c r="X403" s="608" t="inlineStr">
        <x:is>
          <x:t xml:space="preserve">C</x:t>
        </x:is>
      </x:c>
      <x:c r="Y403" s="608" t="n"/>
      <x:c r="Z403" s="608" t="n"/>
      <x:c r="AA403" s="608" t="n"/>
      <x:c r="AB403" s="608" t="n"/>
      <x:c r="AC403" s="608" t="n"/>
      <x:c r="AD403" s="608" t="n"/>
      <x:c r="AE403" s="608" t="n"/>
      <x:c r="AF403" s="608" t="n"/>
      <x:c r="AG403" s="608" t="n"/>
      <x:c r="AH403" s="608" t="n"/>
      <x:c r="AI403" s="608" t="n"/>
      <x:c r="AJ403" s="608" t="n"/>
      <x:c r="AK403" s="608" t="n"/>
      <x:c r="AL403" s="608" t="n"/>
      <x:c r="AM403" s="608" t="n"/>
      <x:c r="AN403" s="608" t="n"/>
      <x:c r="AO403" s="608" t="n"/>
      <x:c r="AP403" s="608" t="n"/>
      <x:c r="AQ403" s="608" t="n"/>
      <x:c r="AR403" s="608" t="n"/>
      <x:c r="AS403" s="608" t="n"/>
      <x:c r="AT403" s="608" t="n"/>
      <x:c r="AU403" s="608" t="n"/>
      <x:c r="AV403" s="608" t="n"/>
      <x:c r="AW403" s="608" t="n"/>
      <x:c r="AX403" s="608" t="n"/>
      <x:c r="AY403" s="608" t="n"/>
    </x:row>
    <x:row r="404" ht="22" customHeight="1">
      <x:c r="A404" s="604" t="inlineStr">
        <x:is>
          <x:t xml:space="preserve">2026-09-24</x:t>
        </x:is>
      </x:c>
      <x:c r="B404" s="604" t="inlineStr">
        <x:is>
          <x:t xml:space="preserve">2026-09-25 03:00:00</x:t>
        </x:is>
      </x:c>
      <x:c r="C404" s="604" t="str">
        <x:v>其他系列</x:v>
      </x:c>
      <x:c r="D404" s="604" t="inlineStr">
        <x:is>
          <x:t xml:space="preserve">杯赛</x:t>
        </x:is>
      </x:c>
      <x:c r="E404" s="604" t="inlineStr">
        <x:is>
          <x:t xml:space="preserve">非洲杯</x:t>
        </x:is>
      </x:c>
      <x:c r="F404" s="604" t="inlineStr">
        <x:is>
          <x:t xml:space="preserve">科特迪瓦 vs 加纳</x:t>
        </x:is>
      </x:c>
      <x:c r="G404" s="611" t="n">
        <x:v>0.75</x:v>
      </x:c>
      <x:c r="H404" s="611" t="n">
        <x:v>0.75</x:v>
      </x:c>
      <x:c r="I404" s="611" t="n">
        <x:v>1.07</x:v>
      </x:c>
      <x:c r="J404" s="604" t="inlineStr">
        <x:is>
          <x:t xml:space="preserve">0.75/0.75/1.07</x:t>
        </x:is>
      </x:c>
      <x:c r="K404" s="604" t="inlineStr">
        <x:is>
          <x:t xml:space="preserve">V4-C最新版候选</x:t>
        </x:is>
      </x:c>
      <x:c r="L404" s="604" t="inlineStr">
        <x:is>
          <x:t xml:space="preserve">加纳</x:t>
        </x:is>
      </x:c>
      <x:c r="M404" s="606" t="n">
        <x:v>0.6956</x:v>
      </x:c>
      <x:c r="N404" s="604" t="inlineStr">
        <x:is>
          <x:t xml:space="preserve">V4最新页面A/B/C候选</x:t>
        </x:is>
      </x:c>
      <x:c r="O404" s="604" t="inlineStr">
        <x:is>
          <x:t xml:space="preserve">2-0</x:t>
        </x:is>
      </x:c>
      <x:c r="P404" s="604" t="inlineStr">
        <x:is>
          <x:t xml:space="preserve">已结算</x:t>
        </x:is>
      </x:c>
      <x:c r="Q404" s="646" t="inlineStr">
        <x:is>
          <x:t xml:space="preserve">黑</x:t>
        </x:is>
      </x:c>
      <x:c r="R404" s="607" t="n">
        <x:v>1.07</x:v>
      </x:c>
      <x:c r="S404" s="607" t="n">
        <x:f>IF(OR(Q404="",Q404="待结算"),"",IF(Q404="红",R404,IF(Q404="半红",R404*0.5,IF(Q404="走",0,IF(Q404="半黑",-0.5,-1)))))</x:f>
        <x:v>-1</x:v>
      </x:c>
      <x:c r="T404" s="604" t="inlineStr">
        <x:is>
          <x:t xml:space="preserve">https://simondongxiao.github.io/odds/v4/</x:t>
        </x:is>
      </x:c>
      <x:c r="U404" s="604" t="inlineStr">
        <x:is>
          <x:t xml:space="preserve">3001020</x:t>
        </x:is>
      </x:c>
      <x:c r="V404" s="607" t="inlineStr">
        <x:is>
          <x:t xml:space="preserve">v4-market-dirichlet-20260913</x:t>
        </x:is>
      </x:c>
      <x:c r="W404" s="607" t="n">
        <x:f>IF(OR(U404="",U404="待结算"),"",IF(U404="红",V404,IF(U404="半红",V404*0.5,IF(U404="走",0,IF(U404="半黑",-0.5,-1)))))</x:f>
        <x:v>-1</x:v>
      </x:c>
      <x:c r="X404" s="608" t="inlineStr">
        <x:is>
          <x:t xml:space="preserve">C</x:t>
        </x:is>
      </x:c>
      <x:c r="Y404" s="608" t="n"/>
      <x:c r="Z404" s="608" t="n"/>
      <x:c r="AA404" s="608" t="n"/>
      <x:c r="AB404" s="608" t="n"/>
      <x:c r="AC404" s="608" t="n"/>
      <x:c r="AD404" s="608" t="n"/>
      <x:c r="AE404" s="608" t="n"/>
      <x:c r="AF404" s="608" t="n"/>
      <x:c r="AG404" s="608" t="n"/>
      <x:c r="AH404" s="608" t="n"/>
      <x:c r="AI404" s="608" t="n"/>
      <x:c r="AJ404" s="608" t="n"/>
      <x:c r="AK404" s="608" t="n"/>
      <x:c r="AL404" s="608" t="n"/>
      <x:c r="AM404" s="608" t="n"/>
      <x:c r="AN404" s="608" t="n"/>
      <x:c r="AO404" s="608" t="n"/>
      <x:c r="AP404" s="608" t="n"/>
      <x:c r="AQ404" s="608" t="n"/>
      <x:c r="AR404" s="608" t="n"/>
      <x:c r="AS404" s="608" t="n"/>
      <x:c r="AT404" s="608" t="n"/>
      <x:c r="AU404" s="608" t="n"/>
      <x:c r="AV404" s="608" t="n"/>
      <x:c r="AW404" s="608" t="n"/>
      <x:c r="AX404" s="608" t="n"/>
      <x:c r="AY404" s="608" t="n"/>
    </x:row>
    <x:row r="405" ht="22" customHeight="1">
      <x:c r="A405" s="604" t="inlineStr">
        <x:is>
          <x:t xml:space="preserve">2026-09-24</x:t>
        </x:is>
      </x:c>
      <x:c r="B405" s="604" t="inlineStr">
        <x:is>
          <x:t xml:space="preserve">2026-09-25 05:30:00</x:t>
        </x:is>
      </x:c>
      <x:c r="C405" s="604" t="str">
        <x:v>南美系列</x:v>
      </x:c>
      <x:c r="D405" s="604" t="inlineStr">
        <x:is>
          <x:t xml:space="preserve">杯赛</x:t>
        </x:is>
      </x:c>
      <x:c r="E405" s="604" t="inlineStr">
        <x:is>
          <x:t xml:space="preserve">巴拉杯</x:t>
        </x:is>
      </x:c>
      <x:c r="F405" s="604" t="inlineStr">
        <x:is>
          <x:t xml:space="preserve">雷科莱塔&lt;font color=#880000&gt;(中)&lt;/font&gt; vs 瓜伊利纳</x:t>
        </x:is>
      </x:c>
      <x:c r="G405" s="611" t="n">
        <x:v>0.7</x:v>
      </x:c>
      <x:c r="H405" s="611" t="n">
        <x:v>1.25</x:v>
      </x:c>
      <x:c r="I405" s="611" t="n">
        <x:v>1.06</x:v>
      </x:c>
      <x:c r="J405" s="604" t="inlineStr">
        <x:is>
          <x:t xml:space="preserve">0.7/1.25/1.06</x:t>
        </x:is>
      </x:c>
      <x:c r="K405" s="604" t="inlineStr">
        <x:is>
          <x:t xml:space="preserve">V4-C最新版候选</x:t>
        </x:is>
      </x:c>
      <x:c r="L405" s="604" t="inlineStr">
        <x:is>
          <x:t xml:space="preserve">瓜伊利纳</x:t>
        </x:is>
      </x:c>
      <x:c r="M405" s="606" t="n">
        <x:v>0.5486</x:v>
      </x:c>
      <x:c r="N405" s="604" t="inlineStr">
        <x:is>
          <x:t xml:space="preserve">V4最新页面A/B/C候选</x:t>
        </x:is>
      </x:c>
      <x:c r="O405" s="604" t="inlineStr">
        <x:is>
          <x:t xml:space="preserve">3-1</x:t>
        </x:is>
      </x:c>
      <x:c r="P405" s="604" t="inlineStr">
        <x:is>
          <x:t xml:space="preserve">已结算</x:t>
        </x:is>
      </x:c>
      <x:c r="Q405" s="646" t="inlineStr">
        <x:is>
          <x:t xml:space="preserve">黑</x:t>
        </x:is>
      </x:c>
      <x:c r="R405" s="607" t="n">
        <x:v>1.06</x:v>
      </x:c>
      <x:c r="S405" s="607" t="n">
        <x:f>IF(OR(Q405="",Q405="待结算"),"",IF(Q405="红",R405,IF(Q405="半红",R405*0.5,IF(Q405="走",0,IF(Q405="半黑",-0.5,-1)))))</x:f>
        <x:v>-1</x:v>
      </x:c>
      <x:c r="T405" s="604" t="inlineStr">
        <x:is>
          <x:t xml:space="preserve">https://simondongxiao.github.io/odds/v4/</x:t>
        </x:is>
      </x:c>
      <x:c r="U405" s="604" t="inlineStr">
        <x:is>
          <x:t xml:space="preserve">3091340</x:t>
        </x:is>
      </x:c>
      <x:c r="V405" s="607" t="inlineStr">
        <x:is>
          <x:t xml:space="preserve">v4-market-dirichlet-20260913</x:t>
        </x:is>
      </x:c>
      <x:c r="W405" s="607" t="n">
        <x:f>IF(OR(U405="",U405="待结算"),"",IF(U405="红",V405,IF(U405="半红",V405*0.5,IF(U405="走",0,IF(U405="半黑",-0.5,-1)))))</x:f>
        <x:v>-1</x:v>
      </x:c>
      <x:c r="X405" s="608" t="inlineStr">
        <x:is>
          <x:t xml:space="preserve">C</x:t>
        </x:is>
      </x:c>
      <x:c r="Y405" s="608" t="n"/>
      <x:c r="Z405" s="608" t="n"/>
      <x:c r="AA405" s="608" t="n"/>
      <x:c r="AB405" s="608" t="n"/>
      <x:c r="AC405" s="608" t="n"/>
      <x:c r="AD405" s="608" t="n"/>
      <x:c r="AE405" s="608" t="n"/>
      <x:c r="AF405" s="608" t="n"/>
      <x:c r="AG405" s="608" t="n"/>
      <x:c r="AH405" s="608" t="n"/>
      <x:c r="AI405" s="608" t="n"/>
      <x:c r="AJ405" s="608" t="n"/>
      <x:c r="AK405" s="608" t="n"/>
      <x:c r="AL405" s="608" t="n"/>
      <x:c r="AM405" s="608" t="n"/>
      <x:c r="AN405" s="608" t="n"/>
      <x:c r="AO405" s="608" t="n"/>
      <x:c r="AP405" s="608" t="n"/>
      <x:c r="AQ405" s="608" t="n"/>
      <x:c r="AR405" s="608" t="n"/>
      <x:c r="AS405" s="608" t="n"/>
      <x:c r="AT405" s="608" t="n"/>
      <x:c r="AU405" s="608" t="n"/>
      <x:c r="AV405" s="608" t="n"/>
      <x:c r="AW405" s="608" t="n"/>
      <x:c r="AX405" s="608" t="n"/>
      <x:c r="AY405" s="608" t="n"/>
    </x:row>
    <x:row r="406" ht="22" customHeight="1">
      <x:c r="A406" s="604" t="inlineStr">
        <x:is>
          <x:t xml:space="preserve">2026-09-24</x:t>
        </x:is>
      </x:c>
      <x:c r="B406" s="604" t="inlineStr">
        <x:is>
          <x:t xml:space="preserve">2026-09-25 08:30:00</x:t>
        </x:is>
      </x:c>
      <x:c r="C406" s="604" t="str">
        <x:v>南美系列</x:v>
      </x:c>
      <x:c r="D406" s="604" t="inlineStr">
        <x:is>
          <x:t xml:space="preserve">联赛</x:t>
        </x:is>
      </x:c>
      <x:c r="E406" s="604" t="inlineStr">
        <x:is>
          <x:t xml:space="preserve">哥伦甲秋</x:t>
        </x:is>
      </x:c>
      <x:c r="F406" s="604" t="inlineStr">
        <x:is>
          <x:t xml:space="preserve">国民竞技 vs 百万富翁</x:t>
        </x:is>
      </x:c>
      <x:c r="G406" s="611" t="n">
        <x:v>0.85</x:v>
      </x:c>
      <x:c r="H406" s="611" t="n">
        <x:v>0.5</x:v>
      </x:c>
      <x:c r="I406" s="611" t="n">
        <x:v>1.03</x:v>
      </x:c>
      <x:c r="J406" s="604" t="inlineStr">
        <x:is>
          <x:t xml:space="preserve">0.85/0.5/1.03</x:t>
        </x:is>
      </x:c>
      <x:c r="K406" s="604" t="inlineStr">
        <x:is>
          <x:t xml:space="preserve">V4-C最新版候选</x:t>
        </x:is>
      </x:c>
      <x:c r="L406" s="604" t="inlineStr">
        <x:is>
          <x:t xml:space="preserve">百万富翁</x:t>
        </x:is>
      </x:c>
      <x:c r="M406" s="606" t="n">
        <x:v>0.6106</x:v>
      </x:c>
      <x:c r="N406" s="604" t="inlineStr">
        <x:is>
          <x:t xml:space="preserve">V4最新页面A/B/C候选</x:t>
        </x:is>
      </x:c>
      <x:c r="O406" s="604" t="inlineStr">
        <x:is>
          <x:t xml:space="preserve">1-1</x:t>
        </x:is>
      </x:c>
      <x:c r="P406" s="604" t="inlineStr">
        <x:is>
          <x:t xml:space="preserve">已结算</x:t>
        </x:is>
      </x:c>
      <x:c r="Q406" s="645" t="inlineStr">
        <x:is>
          <x:t xml:space="preserve">红</x:t>
        </x:is>
      </x:c>
      <x:c r="R406" s="607" t="n">
        <x:v>1.03</x:v>
      </x:c>
      <x:c r="S406" s="607" t="n">
        <x:f>IF(OR(Q406="",Q406="待结算"),"",IF(Q406="红",R406,IF(Q406="半红",R406*0.5,IF(Q406="走",0,IF(Q406="半黑",-0.5,-1)))))</x:f>
        <x:v>1.03</x:v>
      </x:c>
      <x:c r="T406" s="604" t="inlineStr">
        <x:is>
          <x:t xml:space="preserve">https://simondongxiao.github.io/odds/v4/</x:t>
        </x:is>
      </x:c>
      <x:c r="U406" s="604" t="inlineStr">
        <x:is>
          <x:t xml:space="preserve">3011868</x:t>
        </x:is>
      </x:c>
      <x:c r="V406" s="607" t="inlineStr">
        <x:is>
          <x:t xml:space="preserve">v4-market-dirichlet-20260913</x:t>
        </x:is>
      </x:c>
      <x:c r="W406" s="607" t="n">
        <x:f>IF(OR(U406="",U406="待结算"),"",IF(U406="红",V406,IF(U406="半红",V406*0.5,IF(U406="走",0,IF(U406="半黑",-0.5,-1)))))</x:f>
        <x:v>-1</x:v>
      </x:c>
      <x:c r="X406" s="608" t="inlineStr">
        <x:is>
          <x:t xml:space="preserve">C</x:t>
        </x:is>
      </x:c>
      <x:c r="Y406" s="608" t="n"/>
      <x:c r="Z406" s="608" t="n"/>
      <x:c r="AA406" s="608" t="n"/>
      <x:c r="AB406" s="608" t="n"/>
      <x:c r="AC406" s="608" t="n"/>
      <x:c r="AD406" s="608" t="n"/>
      <x:c r="AE406" s="608" t="n"/>
      <x:c r="AF406" s="608" t="n"/>
      <x:c r="AG406" s="608" t="n"/>
      <x:c r="AH406" s="608" t="n"/>
      <x:c r="AI406" s="608" t="n"/>
      <x:c r="AJ406" s="608" t="n"/>
      <x:c r="AK406" s="608" t="n"/>
      <x:c r="AL406" s="608" t="n"/>
      <x:c r="AM406" s="608" t="n"/>
      <x:c r="AN406" s="608" t="n"/>
      <x:c r="AO406" s="608" t="n"/>
      <x:c r="AP406" s="608" t="n"/>
      <x:c r="AQ406" s="608" t="n"/>
      <x:c r="AR406" s="608" t="n"/>
      <x:c r="AS406" s="608" t="n"/>
      <x:c r="AT406" s="608" t="n"/>
      <x:c r="AU406" s="608" t="n"/>
      <x:c r="AV406" s="608" t="n"/>
      <x:c r="AW406" s="608" t="n"/>
      <x:c r="AX406" s="608" t="n"/>
      <x:c r="AY406" s="608" t="n"/>
    </x:row>
    <x:row r="407" ht="22" customHeight="1">
      <x:c r="A407" s="604" t="inlineStr">
        <x:is>
          <x:t xml:space="preserve">2026-09-24</x:t>
        </x:is>
      </x:c>
      <x:c r="B407" s="604" t="inlineStr">
        <x:is>
          <x:t xml:space="preserve">2026-09-25 09:00:00</x:t>
        </x:is>
      </x:c>
      <x:c r="C407" s="604" t="str">
        <x:v>北美系列</x:v>
      </x:c>
      <x:c r="D407" s="604" t="inlineStr">
        <x:is>
          <x:t xml:space="preserve">联赛</x:t>
        </x:is>
      </x:c>
      <x:c r="E407" s="604" t="inlineStr">
        <x:is>
          <x:t xml:space="preserve">墨西甲春</x:t>
        </x:is>
      </x:c>
      <x:c r="F407" s="604" t="inlineStr">
        <x:is>
          <x:t xml:space="preserve">瓦哈卡 vs 拉巴斯竞技</x:t>
        </x:is>
      </x:c>
      <x:c r="G407" s="611" t="n">
        <x:v>1</x:v>
      </x:c>
      <x:c r="H407" s="611" t="n">
        <x:v>-0.25</x:v>
      </x:c>
      <x:c r="I407" s="611" t="n">
        <x:v>0.82</x:v>
      </x:c>
      <x:c r="J407" s="604" t="inlineStr">
        <x:is>
          <x:t xml:space="preserve">1.0/-0.25/0.82</x:t>
        </x:is>
      </x:c>
      <x:c r="K407" s="604" t="inlineStr">
        <x:is>
          <x:t xml:space="preserve">V4-C最新版候选</x:t>
        </x:is>
      </x:c>
      <x:c r="L407" s="604" t="inlineStr">
        <x:is>
          <x:t xml:space="preserve">瓦哈卡</x:t>
        </x:is>
      </x:c>
      <x:c r="M407" s="606" t="n">
        <x:v>0.5144</x:v>
      </x:c>
      <x:c r="N407" s="604" t="inlineStr">
        <x:is>
          <x:t xml:space="preserve">V4最新页面A/B/C候选</x:t>
        </x:is>
      </x:c>
      <x:c r="O407" s="604" t="inlineStr">
        <x:is>
          <x:t xml:space="preserve">1-3</x:t>
        </x:is>
      </x:c>
      <x:c r="P407" s="604" t="inlineStr">
        <x:is>
          <x:t xml:space="preserve">已结算</x:t>
        </x:is>
      </x:c>
      <x:c r="Q407" s="646" t="inlineStr">
        <x:is>
          <x:t xml:space="preserve">黑</x:t>
        </x:is>
      </x:c>
      <x:c r="R407" s="607" t="n">
        <x:v>1</x:v>
      </x:c>
      <x:c r="S407" s="607" t="n">
        <x:f>IF(OR(Q407="",Q407="待结算"),"",IF(Q407="红",R407,IF(Q407="半红",R407*0.5,IF(Q407="走",0,IF(Q407="半黑",-0.5,-1)))))</x:f>
        <x:v>-1</x:v>
      </x:c>
      <x:c r="T407" s="604" t="inlineStr">
        <x:is>
          <x:t xml:space="preserve">https://simondongxiao.github.io/odds/v4/</x:t>
        </x:is>
      </x:c>
      <x:c r="U407" s="604" t="inlineStr">
        <x:is>
          <x:t xml:space="preserve">3024462</x:t>
        </x:is>
      </x:c>
      <x:c r="V407" s="607" t="inlineStr">
        <x:is>
          <x:t xml:space="preserve">v4-market-dirichlet-20260913</x:t>
        </x:is>
      </x:c>
      <x:c r="W407" s="607" t="n">
        <x:f>IF(OR(U407="",U407="待结算"),"",IF(U407="红",V407,IF(U407="半红",V407*0.5,IF(U407="走",0,IF(U407="半黑",-0.5,-1)))))</x:f>
        <x:v>-1</x:v>
      </x:c>
      <x:c r="X407" s="608" t="inlineStr">
        <x:is>
          <x:t xml:space="preserve">C</x:t>
        </x:is>
      </x:c>
      <x:c r="Y407" s="608" t="n"/>
      <x:c r="Z407" s="608" t="n"/>
      <x:c r="AA407" s="608" t="n"/>
      <x:c r="AB407" s="608" t="n"/>
      <x:c r="AC407" s="608" t="n"/>
      <x:c r="AD407" s="608" t="n"/>
      <x:c r="AE407" s="608" t="n"/>
      <x:c r="AF407" s="608" t="n"/>
      <x:c r="AG407" s="608" t="n"/>
      <x:c r="AH407" s="608" t="n"/>
      <x:c r="AI407" s="608" t="n"/>
      <x:c r="AJ407" s="608" t="n"/>
      <x:c r="AK407" s="608" t="n"/>
      <x:c r="AL407" s="608" t="n"/>
      <x:c r="AM407" s="608" t="n"/>
      <x:c r="AN407" s="608" t="n"/>
      <x:c r="AO407" s="608" t="n"/>
      <x:c r="AP407" s="608" t="n"/>
      <x:c r="AQ407" s="608" t="n"/>
      <x:c r="AR407" s="608" t="n"/>
      <x:c r="AS407" s="608" t="n"/>
      <x:c r="AT407" s="608" t="n"/>
      <x:c r="AU407" s="608" t="n"/>
      <x:c r="AV407" s="608" t="n"/>
      <x:c r="AW407" s="608" t="n"/>
      <x:c r="AX407" s="608" t="n"/>
      <x:c r="AY407" s="608" t="n"/>
    </x:row>
    <x:row r="408" ht="22" customHeight="1">
      <x:c r="A408" s="604" t="inlineStr">
        <x:is>
          <x:t xml:space="preserve">2026-09-25</x:t>
        </x:is>
      </x:c>
      <x:c r="B408" s="604" t="inlineStr">
        <x:is>
          <x:t xml:space="preserve">2026-09-25 13:00:00</x:t>
        </x:is>
      </x:c>
      <x:c r="C408" s="604" t="str">
        <x:v>其他系列</x:v>
      </x:c>
      <x:c r="D408" s="604" t="inlineStr">
        <x:is>
          <x:t xml:space="preserve">联赛</x:t>
        </x:is>
      </x:c>
      <x:c r="E408" s="604" t="inlineStr">
        <x:is>
          <x:t xml:space="preserve">亚运男足</x:t>
        </x:is>
      </x:c>
      <x:c r="F408" s="604" t="inlineStr">
        <x:is>
          <x:t xml:space="preserve">乌兹别克斯坦U23&lt;font color=#880000&gt;(中)&lt;/font&gt; vs 沙特阿拉伯U23</x:t>
        </x:is>
      </x:c>
      <x:c r="G408" s="611" t="n">
        <x:v>0.82</x:v>
      </x:c>
      <x:c r="H408" s="611" t="n">
        <x:v>0.75</x:v>
      </x:c>
      <x:c r="I408" s="611" t="n">
        <x:v>1</x:v>
      </x:c>
      <x:c r="J408" s="604" t="inlineStr">
        <x:is>
          <x:t xml:space="preserve">0.82/0.75/1.0</x:t>
        </x:is>
      </x:c>
      <x:c r="K408" s="604" t="inlineStr">
        <x:is>
          <x:t xml:space="preserve">V4-C最新版候选</x:t>
        </x:is>
      </x:c>
      <x:c r="L408" s="604" t="inlineStr">
        <x:is>
          <x:t xml:space="preserve">沙特阿拉伯U23</x:t>
        </x:is>
      </x:c>
      <x:c r="M408" s="606" t="n">
        <x:v>0.5612</x:v>
      </x:c>
      <x:c r="N408" s="604" t="inlineStr">
        <x:is>
          <x:t xml:space="preserve">V4最新页面A/B/C候选</x:t>
        </x:is>
      </x:c>
      <x:c r="O408" s="604" t="inlineStr">
        <x:is>
          <x:t xml:space="preserve">3-0</x:t>
        </x:is>
      </x:c>
      <x:c r="P408" s="604" t="inlineStr">
        <x:is>
          <x:t xml:space="preserve">已结算</x:t>
        </x:is>
      </x:c>
      <x:c r="Q408" s="646" t="inlineStr">
        <x:is>
          <x:t xml:space="preserve">黑</x:t>
        </x:is>
      </x:c>
      <x:c r="R408" s="607" t="n">
        <x:v>1</x:v>
      </x:c>
      <x:c r="S408" s="607" t="n">
        <x:f>IF(OR(Q408="",Q408="待结算"),"",IF(Q408="红",R408,IF(Q408="半红",R408*0.5,IF(Q408="走",0,IF(Q408="半黑",-0.5,-1)))))</x:f>
        <x:v>-1</x:v>
      </x:c>
      <x:c r="T408" s="604" t="inlineStr">
        <x:is>
          <x:t xml:space="preserve">https://simondongxiao.github.io/odds/v4/</x:t>
        </x:is>
      </x:c>
      <x:c r="U408" s="604" t="inlineStr">
        <x:is>
          <x:t xml:space="preserve">3094768</x:t>
        </x:is>
      </x:c>
      <x:c r="V408" s="607" t="inlineStr">
        <x:is>
          <x:t xml:space="preserve">v4-market-dirichlet-20260913</x:t>
        </x:is>
      </x:c>
      <x:c r="W408" s="607" t="n">
        <x:f>IF(OR(U408="",U408="待结算"),"",IF(U408="红",V408,IF(U408="半红",V408*0.5,IF(U408="走",0,IF(U408="半黑",-0.5,-1)))))</x:f>
        <x:v>-1</x:v>
      </x:c>
      <x:c r="X408" s="608" t="inlineStr">
        <x:is>
          <x:t xml:space="preserve">C</x:t>
        </x:is>
      </x:c>
      <x:c r="Y408" s="608" t="n"/>
      <x:c r="Z408" s="608" t="n"/>
      <x:c r="AA408" s="608" t="n"/>
      <x:c r="AB408" s="608" t="n"/>
      <x:c r="AC408" s="608" t="n"/>
      <x:c r="AD408" s="608" t="n"/>
      <x:c r="AE408" s="608" t="n"/>
      <x:c r="AF408" s="608" t="n"/>
      <x:c r="AG408" s="608" t="n"/>
      <x:c r="AH408" s="608" t="n"/>
      <x:c r="AI408" s="608" t="n"/>
      <x:c r="AJ408" s="608" t="n"/>
      <x:c r="AK408" s="608" t="n"/>
      <x:c r="AL408" s="608" t="n"/>
      <x:c r="AM408" s="608" t="n"/>
      <x:c r="AN408" s="608" t="n"/>
      <x:c r="AO408" s="608" t="n"/>
      <x:c r="AP408" s="608" t="n"/>
      <x:c r="AQ408" s="608" t="n"/>
      <x:c r="AR408" s="608" t="n"/>
      <x:c r="AS408" s="608" t="n"/>
      <x:c r="AT408" s="608" t="n"/>
      <x:c r="AU408" s="608" t="n"/>
      <x:c r="AV408" s="608" t="n"/>
      <x:c r="AW408" s="608" t="n"/>
      <x:c r="AX408" s="608" t="n"/>
      <x:c r="AY408" s="608" t="n"/>
    </x:row>
    <x:row r="409" ht="22" customHeight="1">
      <x:c r="A409" s="604" t="inlineStr">
        <x:is>
          <x:t xml:space="preserve">2026-09-25</x:t>
        </x:is>
      </x:c>
      <x:c r="B409" s="604" t="inlineStr">
        <x:is>
          <x:t xml:space="preserve">2026-09-25 14:00:00</x:t>
        </x:is>
      </x:c>
      <x:c r="C409" s="604" t="str">
        <x:v>其他系列</x:v>
      </x:c>
      <x:c r="D409" s="604" t="inlineStr">
        <x:is>
          <x:t xml:space="preserve">联赛</x:t>
        </x:is>
      </x:c>
      <x:c r="E409" s="604" t="inlineStr">
        <x:is>
          <x:t xml:space="preserve">亚运女足</x:t>
        </x:is>
      </x:c>
      <x:c r="F409" s="604" t="inlineStr">
        <x:is>
          <x:t xml:space="preserve">朝鲜女足(中) vs 中国台湾女足</x:t>
        </x:is>
      </x:c>
      <x:c r="G409" s="611" t="n">
        <x:v>0.65</x:v>
      </x:c>
      <x:c r="H409" s="611" t="n">
        <x:v>4</x:v>
      </x:c>
      <x:c r="I409" s="611" t="n">
        <x:v>1.05</x:v>
      </x:c>
      <x:c r="J409" s="604" t="inlineStr">
        <x:is>
          <x:t xml:space="preserve">0.65/4.0/1.05</x:t>
        </x:is>
      </x:c>
      <x:c r="K409" s="604" t="inlineStr">
        <x:is>
          <x:t xml:space="preserve">V4-C最新版候选</x:t>
        </x:is>
      </x:c>
      <x:c r="L409" s="604" t="inlineStr">
        <x:is>
          <x:t xml:space="preserve">中国台湾女足</x:t>
        </x:is>
      </x:c>
      <x:c r="M409" s="606" t="n">
        <x:v>0.7612</x:v>
      </x:c>
      <x:c r="N409" s="604" t="inlineStr">
        <x:is>
          <x:t xml:space="preserve">V4最新页面A/B/C候选</x:t>
        </x:is>
      </x:c>
      <x:c r="O409" s="604" t="inlineStr">
        <x:is>
          <x:t xml:space="preserve">5-1</x:t>
        </x:is>
      </x:c>
      <x:c r="P409" s="604" t="inlineStr">
        <x:is>
          <x:t xml:space="preserve">已结算</x:t>
        </x:is>
      </x:c>
      <x:c r="Q409" s="647" t="inlineStr">
        <x:is>
          <x:t xml:space="preserve">走</x:t>
        </x:is>
      </x:c>
      <x:c r="R409" s="607" t="n">
        <x:v>1.05</x:v>
      </x:c>
      <x:c r="S409" s="607" t="n">
        <x:f>IF(OR(Q409="",Q409="待结算"),"",IF(Q409="红",R409,IF(Q409="半红",R409*0.5,IF(Q409="走",0,IF(Q409="半黑",-0.5,-1)))))</x:f>
        <x:v>0</x:v>
      </x:c>
      <x:c r="T409" s="604" t="inlineStr">
        <x:is>
          <x:t xml:space="preserve">https://simondongxiao.github.io/odds/v4/</x:t>
        </x:is>
      </x:c>
      <x:c r="U409" s="604" t="inlineStr">
        <x:is>
          <x:t xml:space="preserve">3094456</x:t>
        </x:is>
      </x:c>
      <x:c r="V409" s="607" t="inlineStr">
        <x:is>
          <x:t xml:space="preserve">v4-market-dirichlet-20260913</x:t>
        </x:is>
      </x:c>
      <x:c r="W409" s="607" t="n">
        <x:f>IF(OR(U409="",U409="待结算"),"",IF(U409="红",V409,IF(U409="半红",V409*0.5,IF(U409="走",0,IF(U409="半黑",-0.5,-1)))))</x:f>
        <x:v>-1</x:v>
      </x:c>
      <x:c r="X409" s="608" t="inlineStr">
        <x:is>
          <x:t xml:space="preserve">C</x:t>
        </x:is>
      </x:c>
      <x:c r="Y409" s="608" t="n"/>
      <x:c r="Z409" s="608" t="n"/>
      <x:c r="AA409" s="608" t="n"/>
      <x:c r="AB409" s="608" t="n"/>
      <x:c r="AC409" s="608" t="n"/>
      <x:c r="AD409" s="608" t="n"/>
      <x:c r="AE409" s="608" t="n"/>
      <x:c r="AF409" s="608" t="n"/>
      <x:c r="AG409" s="608" t="n"/>
      <x:c r="AH409" s="608" t="n"/>
      <x:c r="AI409" s="608" t="n"/>
      <x:c r="AJ409" s="608" t="n"/>
      <x:c r="AK409" s="608" t="n"/>
      <x:c r="AL409" s="608" t="n"/>
      <x:c r="AM409" s="608" t="n"/>
      <x:c r="AN409" s="608" t="n"/>
      <x:c r="AO409" s="608" t="n"/>
      <x:c r="AP409" s="608" t="n"/>
      <x:c r="AQ409" s="608" t="n"/>
      <x:c r="AR409" s="608" t="n"/>
      <x:c r="AS409" s="608" t="n"/>
      <x:c r="AT409" s="608" t="n"/>
      <x:c r="AU409" s="608" t="n"/>
      <x:c r="AV409" s="608" t="n"/>
      <x:c r="AW409" s="608" t="n"/>
      <x:c r="AX409" s="608" t="n"/>
      <x:c r="AY409" s="608" t="n"/>
    </x:row>
    <x:row r="410" ht="22" customHeight="1">
      <x:c r="A410" s="604" t="inlineStr">
        <x:is>
          <x:t xml:space="preserve">2026-09-25</x:t>
        </x:is>
      </x:c>
      <x:c r="B410" s="604" t="inlineStr">
        <x:is>
          <x:t xml:space="preserve">2026-09-25 18:00:00</x:t>
        </x:is>
      </x:c>
      <x:c r="C410" s="604" t="str">
        <x:v>其他系列</x:v>
      </x:c>
      <x:c r="D410" s="604" t="inlineStr">
        <x:is>
          <x:t xml:space="preserve">杯赛</x:t>
        </x:is>
      </x:c>
      <x:c r="E410" s="604" t="inlineStr">
        <x:is>
          <x:t xml:space="preserve">国际友谊</x:t>
        </x:is>
      </x:c>
      <x:c r="F410" s="604" t="inlineStr">
        <x:is>
          <x:t xml:space="preserve">澳大利亚 vs 巴西</x:t>
        </x:is>
      </x:c>
      <x:c r="G410" s="611" t="n">
        <x:v>1.01</x:v>
      </x:c>
      <x:c r="H410" s="611" t="n">
        <x:v>-1.5</x:v>
      </x:c>
      <x:c r="I410" s="611" t="n">
        <x:v>0.8100000000000001</x:v>
      </x:c>
      <x:c r="J410" s="604" t="inlineStr">
        <x:is>
          <x:t xml:space="preserve">1.01/-1.5/0.81</x:t>
        </x:is>
      </x:c>
      <x:c r="K410" s="604" t="inlineStr">
        <x:is>
          <x:t xml:space="preserve">V4-C最新版候选</x:t>
        </x:is>
      </x:c>
      <x:c r="L410" s="604" t="inlineStr">
        <x:is>
          <x:t xml:space="preserve">巴西</x:t>
        </x:is>
      </x:c>
      <x:c r="M410" s="606" t="n">
        <x:v>0.6804</x:v>
      </x:c>
      <x:c r="N410" s="604" t="inlineStr">
        <x:is>
          <x:t xml:space="preserve">V4最新页面A/B/C候选</x:t>
        </x:is>
      </x:c>
      <x:c r="O410" s="604" t="inlineStr">
        <x:is>
          <x:t xml:space="preserve">1-1</x:t>
        </x:is>
      </x:c>
      <x:c r="P410" s="604" t="inlineStr">
        <x:is>
          <x:t xml:space="preserve">已结算</x:t>
        </x:is>
      </x:c>
      <x:c r="Q410" s="646" t="inlineStr">
        <x:is>
          <x:t xml:space="preserve">黑</x:t>
        </x:is>
      </x:c>
      <x:c r="R410" s="607" t="n">
        <x:v>0.8100000000000001</x:v>
      </x:c>
      <x:c r="S410" s="607" t="n">
        <x:f>IF(OR(Q410="",Q410="待结算"),"",IF(Q410="红",R410,IF(Q410="半红",R410*0.5,IF(Q410="走",0,IF(Q410="半黑",-0.5,-1)))))</x:f>
        <x:v>-1</x:v>
      </x:c>
      <x:c r="T410" s="604" t="inlineStr">
        <x:is>
          <x:t xml:space="preserve">https://simondongxiao.github.io/odds/v4/</x:t>
        </x:is>
      </x:c>
      <x:c r="U410" s="604" t="inlineStr">
        <x:is>
          <x:t xml:space="preserve">3091495</x:t>
        </x:is>
      </x:c>
      <x:c r="V410" s="607" t="inlineStr">
        <x:is>
          <x:t xml:space="preserve">v4-market-dirichlet-20260913</x:t>
        </x:is>
      </x:c>
      <x:c r="W410" s="607" t="n">
        <x:f>IF(OR(U410="",U410="待结算"),"",IF(U410="红",V410,IF(U410="半红",V410*0.5,IF(U410="走",0,IF(U410="半黑",-0.5,-1)))))</x:f>
        <x:v>-1</x:v>
      </x:c>
      <x:c r="X410" s="608" t="inlineStr">
        <x:is>
          <x:t xml:space="preserve">C</x:t>
        </x:is>
      </x:c>
      <x:c r="Y410" s="608" t="n"/>
      <x:c r="Z410" s="608" t="n"/>
      <x:c r="AA410" s="608" t="n"/>
      <x:c r="AB410" s="608" t="n"/>
      <x:c r="AC410" s="608" t="n"/>
      <x:c r="AD410" s="608" t="n"/>
      <x:c r="AE410" s="608" t="n"/>
      <x:c r="AF410" s="608" t="n"/>
      <x:c r="AG410" s="608" t="n"/>
      <x:c r="AH410" s="608" t="n"/>
      <x:c r="AI410" s="608" t="n"/>
      <x:c r="AJ410" s="608" t="n"/>
      <x:c r="AK410" s="608" t="n"/>
      <x:c r="AL410" s="608" t="n"/>
      <x:c r="AM410" s="608" t="n"/>
      <x:c r="AN410" s="608" t="n"/>
      <x:c r="AO410" s="608" t="n"/>
      <x:c r="AP410" s="608" t="n"/>
      <x:c r="AQ410" s="608" t="n"/>
      <x:c r="AR410" s="608" t="n"/>
      <x:c r="AS410" s="608" t="n"/>
      <x:c r="AT410" s="608" t="n"/>
      <x:c r="AU410" s="608" t="n"/>
      <x:c r="AV410" s="608" t="n"/>
      <x:c r="AW410" s="608" t="n"/>
      <x:c r="AX410" s="608" t="n"/>
      <x:c r="AY410" s="608" t="n"/>
    </x:row>
    <x:row r="411" ht="22" customHeight="1">
      <x:c r="A411" s="604" t="inlineStr">
        <x:is>
          <x:t xml:space="preserve">2026-09-25</x:t>
        </x:is>
      </x:c>
      <x:c r="B411" s="604" t="inlineStr">
        <x:is>
          <x:t xml:space="preserve">2026-09-25 18:30:00</x:t>
        </x:is>
      </x:c>
      <x:c r="C411" s="604" t="str">
        <x:v>其他系列</x:v>
      </x:c>
      <x:c r="D411" s="604" t="inlineStr">
        <x:is>
          <x:t xml:space="preserve">联赛</x:t>
        </x:is>
      </x:c>
      <x:c r="E411" s="604" t="inlineStr">
        <x:is>
          <x:t xml:space="preserve">亚运男足</x:t>
        </x:is>
      </x:c>
      <x:c r="F411" s="604" t="inlineStr">
        <x:is>
          <x:t xml:space="preserve">韩国U23(中) vs 越南U23</x:t>
        </x:is>
      </x:c>
      <x:c r="G411" s="611" t="n">
        <x:v>0.89</x:v>
      </x:c>
      <x:c r="H411" s="611" t="n">
        <x:v>2.25</x:v>
      </x:c>
      <x:c r="I411" s="611" t="n">
        <x:v>0.93</x:v>
      </x:c>
      <x:c r="J411" s="604" t="inlineStr">
        <x:is>
          <x:t xml:space="preserve">0.89/2.25/0.93</x:t>
        </x:is>
      </x:c>
      <x:c r="K411" s="604" t="inlineStr">
        <x:is>
          <x:t xml:space="preserve">V4-C最新版候选</x:t>
        </x:is>
      </x:c>
      <x:c r="L411" s="604" t="inlineStr">
        <x:is>
          <x:t xml:space="preserve">韩国U23(中)</x:t>
        </x:is>
      </x:c>
      <x:c r="M411" s="606" t="n">
        <x:v>0.6194</x:v>
      </x:c>
      <x:c r="N411" s="604" t="inlineStr">
        <x:is>
          <x:t xml:space="preserve">V4最新页面A/B/C候选</x:t>
        </x:is>
      </x:c>
      <x:c r="O411" s="604" t="inlineStr">
        <x:is>
          <x:t xml:space="preserve">4-0</x:t>
        </x:is>
      </x:c>
      <x:c r="P411" s="604" t="inlineStr">
        <x:is>
          <x:t xml:space="preserve">已结算</x:t>
        </x:is>
      </x:c>
      <x:c r="Q411" s="645" t="inlineStr">
        <x:is>
          <x:t xml:space="preserve">红</x:t>
        </x:is>
      </x:c>
      <x:c r="R411" s="607" t="n">
        <x:v>0.89</x:v>
      </x:c>
      <x:c r="S411" s="607" t="n">
        <x:f>IF(OR(Q411="",Q411="待结算"),"",IF(Q411="红",R411,IF(Q411="半红",R411*0.5,IF(Q411="走",0,IF(Q411="半黑",-0.5,-1)))))</x:f>
        <x:v>0.89</x:v>
      </x:c>
      <x:c r="T411" s="604" t="inlineStr">
        <x:is>
          <x:t xml:space="preserve">https://simondongxiao.github.io/odds/v4/</x:t>
        </x:is>
      </x:c>
      <x:c r="U411" s="604" t="inlineStr">
        <x:is>
          <x:t xml:space="preserve">3094769</x:t>
        </x:is>
      </x:c>
      <x:c r="V411" s="607" t="inlineStr">
        <x:is>
          <x:t xml:space="preserve">v4-market-dirichlet-20260913</x:t>
        </x:is>
      </x:c>
      <x:c r="W411" s="607" t="n">
        <x:f>IF(OR(U411="",U411="待结算"),"",IF(U411="红",V411,IF(U411="半红",V411*0.5,IF(U411="走",0,IF(U411="半黑",-0.5,-1)))))</x:f>
        <x:v>-1</x:v>
      </x:c>
      <x:c r="X411" s="608" t="inlineStr">
        <x:is>
          <x:t xml:space="preserve">C</x:t>
        </x:is>
      </x:c>
      <x:c r="Y411" s="608" t="n"/>
      <x:c r="Z411" s="608" t="n"/>
      <x:c r="AA411" s="608" t="n"/>
      <x:c r="AB411" s="608" t="n"/>
      <x:c r="AC411" s="608" t="n"/>
      <x:c r="AD411" s="608" t="n"/>
      <x:c r="AE411" s="608" t="n"/>
      <x:c r="AF411" s="608" t="n"/>
      <x:c r="AG411" s="608" t="n"/>
      <x:c r="AH411" s="608" t="n"/>
      <x:c r="AI411" s="608" t="n"/>
      <x:c r="AJ411" s="608" t="n"/>
      <x:c r="AK411" s="608" t="n"/>
      <x:c r="AL411" s="608" t="n"/>
      <x:c r="AM411" s="608" t="n"/>
      <x:c r="AN411" s="608" t="n"/>
      <x:c r="AO411" s="608" t="n"/>
      <x:c r="AP411" s="608" t="n"/>
      <x:c r="AQ411" s="608" t="n"/>
      <x:c r="AR411" s="608" t="n"/>
      <x:c r="AS411" s="608" t="n"/>
      <x:c r="AT411" s="608" t="n"/>
      <x:c r="AU411" s="608" t="n"/>
      <x:c r="AV411" s="608" t="n"/>
      <x:c r="AW411" s="608" t="n"/>
      <x:c r="AX411" s="608" t="n"/>
      <x:c r="AY411" s="608" t="n"/>
    </x:row>
    <x:row r="412" ht="22" customHeight="1">
      <x:c r="A412" s="604" t="inlineStr">
        <x:is>
          <x:t xml:space="preserve">2026-09-25</x:t>
        </x:is>
      </x:c>
      <x:c r="B412" s="604" t="inlineStr">
        <x:is>
          <x:t xml:space="preserve">2026-09-25 21:00:00</x:t>
        </x:is>
      </x:c>
      <x:c r="C412" s="604" t="str">
        <x:v>其他系列</x:v>
      </x:c>
      <x:c r="D412" s="604" t="inlineStr">
        <x:is>
          <x:t xml:space="preserve">杯赛</x:t>
        </x:is>
      </x:c>
      <x:c r="E412" s="604" t="inlineStr">
        <x:is>
          <x:t xml:space="preserve">非洲杯</x:t>
        </x:is>
      </x:c>
      <x:c r="F412" s="604" t="inlineStr">
        <x:is>
          <x:t xml:space="preserve">莫桑比克 vs 塞内加尔</x:t>
        </x:is>
      </x:c>
      <x:c r="G412" s="611" t="n">
        <x:v>0.84</x:v>
      </x:c>
      <x:c r="H412" s="611" t="n">
        <x:v>-1.5</x:v>
      </x:c>
      <x:c r="I412" s="611" t="n">
        <x:v>0.92</x:v>
      </x:c>
      <x:c r="J412" s="604" t="inlineStr">
        <x:is>
          <x:t xml:space="preserve">0.84/-1.5/0.92</x:t>
        </x:is>
      </x:c>
      <x:c r="K412" s="604" t="inlineStr">
        <x:is>
          <x:t xml:space="preserve">V4-C最新版候选</x:t>
        </x:is>
      </x:c>
      <x:c r="L412" s="604" t="inlineStr">
        <x:is>
          <x:t xml:space="preserve">塞内加尔</x:t>
        </x:is>
      </x:c>
      <x:c r="M412" s="606" t="n">
        <x:v>0.8026</x:v>
      </x:c>
      <x:c r="N412" s="604" t="inlineStr">
        <x:is>
          <x:t xml:space="preserve">V4最新页面A/B/C候选</x:t>
        </x:is>
      </x:c>
      <x:c r="O412" s="604" t="inlineStr">
        <x:is>
          <x:t xml:space="preserve">1-1</x:t>
        </x:is>
      </x:c>
      <x:c r="P412" s="604" t="inlineStr">
        <x:is>
          <x:t xml:space="preserve">已结算</x:t>
        </x:is>
      </x:c>
      <x:c r="Q412" s="646" t="inlineStr">
        <x:is>
          <x:t xml:space="preserve">黑</x:t>
        </x:is>
      </x:c>
      <x:c r="R412" s="607" t="n">
        <x:v>0.92</x:v>
      </x:c>
      <x:c r="S412" s="607" t="n">
        <x:f>IF(OR(Q412="",Q412="待结算"),"",IF(Q412="红",R412,IF(Q412="半红",R412*0.5,IF(Q412="走",0,IF(Q412="半黑",-0.5,-1)))))</x:f>
        <x:v>-1</x:v>
      </x:c>
      <x:c r="T412" s="604" t="inlineStr">
        <x:is>
          <x:t xml:space="preserve">https://simondongxiao.github.io/odds/v4/</x:t>
        </x:is>
      </x:c>
      <x:c r="U412" s="604" t="inlineStr">
        <x:is>
          <x:t xml:space="preserve">3001113</x:t>
        </x:is>
      </x:c>
      <x:c r="V412" s="607" t="inlineStr">
        <x:is>
          <x:t xml:space="preserve">v4-market-dirichlet-20260913</x:t>
        </x:is>
      </x:c>
      <x:c r="W412" s="607" t="n">
        <x:f>IF(OR(U412="",U412="待结算"),"",IF(U412="红",V412,IF(U412="半红",V412*0.5,IF(U412="走",0,IF(U412="半黑",-0.5,-1)))))</x:f>
        <x:v>-1</x:v>
      </x:c>
      <x:c r="X412" s="608" t="inlineStr">
        <x:is>
          <x:t xml:space="preserve">C</x:t>
        </x:is>
      </x:c>
      <x:c r="Y412" s="608" t="n"/>
      <x:c r="Z412" s="608" t="n"/>
      <x:c r="AA412" s="608" t="n"/>
      <x:c r="AB412" s="608" t="n"/>
      <x:c r="AC412" s="608" t="n"/>
      <x:c r="AD412" s="608" t="n"/>
      <x:c r="AE412" s="608" t="n"/>
      <x:c r="AF412" s="608" t="n"/>
      <x:c r="AG412" s="608" t="n"/>
      <x:c r="AH412" s="608" t="n"/>
      <x:c r="AI412" s="608" t="n"/>
      <x:c r="AJ412" s="608" t="n"/>
      <x:c r="AK412" s="608" t="n"/>
      <x:c r="AL412" s="608" t="n"/>
      <x:c r="AM412" s="608" t="n"/>
      <x:c r="AN412" s="608" t="n"/>
      <x:c r="AO412" s="608" t="n"/>
      <x:c r="AP412" s="608" t="n"/>
      <x:c r="AQ412" s="608" t="n"/>
      <x:c r="AR412" s="608" t="n"/>
      <x:c r="AS412" s="608" t="n"/>
      <x:c r="AT412" s="608" t="n"/>
      <x:c r="AU412" s="608" t="n"/>
      <x:c r="AV412" s="608" t="n"/>
      <x:c r="AW412" s="608" t="n"/>
      <x:c r="AX412" s="608" t="n"/>
      <x:c r="AY412" s="608" t="n"/>
    </x:row>
    <x:row r="413" ht="22" customHeight="1">
      <x:c r="A413" s="604" t="inlineStr">
        <x:is>
          <x:t xml:space="preserve">2026-09-25</x:t>
        </x:is>
      </x:c>
      <x:c r="B413" s="604" t="inlineStr">
        <x:is>
          <x:t xml:space="preserve">2026-09-25 21:00:00</x:t>
        </x:is>
      </x:c>
      <x:c r="C413" s="604" t="str">
        <x:v>五大联赛非顶级联赛</x:v>
      </x:c>
      <x:c r="D413" s="604" t="inlineStr">
        <x:is>
          <x:t xml:space="preserve">联赛</x:t>
        </x:is>
      </x:c>
      <x:c r="E413" s="604" t="inlineStr">
        <x:is>
          <x:t xml:space="preserve">法U19</x:t>
        </x:is>
      </x:c>
      <x:c r="F413" s="604" t="inlineStr">
        <x:is>
          <x:t xml:space="preserve">巴黎圣日耳曼U19 vs 卡昂U19</x:t>
        </x:is>
      </x:c>
      <x:c r="G413" s="611" t="n">
        <x:v>0.8100000000000001</x:v>
      </x:c>
      <x:c r="H413" s="611" t="n">
        <x:v>1</x:v>
      </x:c>
      <x:c r="I413" s="611" t="n">
        <x:v>0.89</x:v>
      </x:c>
      <x:c r="J413" s="604" t="inlineStr">
        <x:is>
          <x:t xml:space="preserve">0.81/1.0/0.89</x:t>
        </x:is>
      </x:c>
      <x:c r="K413" s="604" t="inlineStr">
        <x:is>
          <x:t xml:space="preserve">V4-C最新版候选</x:t>
        </x:is>
      </x:c>
      <x:c r="L413" s="604" t="inlineStr">
        <x:is>
          <x:t xml:space="preserve">卡昂U19</x:t>
        </x:is>
      </x:c>
      <x:c r="M413" s="606" t="n">
        <x:v>0.6062</x:v>
      </x:c>
      <x:c r="N413" s="604" t="inlineStr">
        <x:is>
          <x:t xml:space="preserve">V4最新页面A/B/C候选</x:t>
        </x:is>
      </x:c>
      <x:c r="O413" s="604" t="inlineStr">
        <x:is>
          <x:t xml:space="preserve">1-4</x:t>
        </x:is>
      </x:c>
      <x:c r="P413" s="604" t="inlineStr">
        <x:is>
          <x:t xml:space="preserve">已结算</x:t>
        </x:is>
      </x:c>
      <x:c r="Q413" s="645" t="inlineStr">
        <x:is>
          <x:t xml:space="preserve">红</x:t>
        </x:is>
      </x:c>
      <x:c r="R413" s="607" t="n">
        <x:v>0.89</x:v>
      </x:c>
      <x:c r="S413" s="607" t="n">
        <x:f>IF(OR(Q413="",Q413="待结算"),"",IF(Q413="红",R413,IF(Q413="半红",R413*0.5,IF(Q413="走",0,IF(Q413="半黑",-0.5,-1)))))</x:f>
        <x:v>0.89</x:v>
      </x:c>
      <x:c r="T413" s="604" t="inlineStr">
        <x:is>
          <x:t xml:space="preserve">https://simondongxiao.github.io/odds/v4/</x:t>
        </x:is>
      </x:c>
      <x:c r="U413" s="604" t="inlineStr">
        <x:is>
          <x:t xml:space="preserve">3054220</x:t>
        </x:is>
      </x:c>
      <x:c r="V413" s="607" t="inlineStr">
        <x:is>
          <x:t xml:space="preserve">v4-market-dirichlet-20260913</x:t>
        </x:is>
      </x:c>
      <x:c r="W413" s="607" t="n">
        <x:f>IF(OR(U413="",U413="待结算"),"",IF(U413="红",V413,IF(U413="半红",V413*0.5,IF(U413="走",0,IF(U413="半黑",-0.5,-1)))))</x:f>
        <x:v>-1</x:v>
      </x:c>
      <x:c r="X413" s="608" t="inlineStr">
        <x:is>
          <x:t xml:space="preserve">C</x:t>
        </x:is>
      </x:c>
      <x:c r="Y413" s="608" t="n"/>
      <x:c r="Z413" s="608" t="n"/>
      <x:c r="AA413" s="608" t="n"/>
      <x:c r="AB413" s="608" t="n"/>
      <x:c r="AC413" s="608" t="n"/>
      <x:c r="AD413" s="608" t="n"/>
      <x:c r="AE413" s="608" t="n"/>
      <x:c r="AF413" s="608" t="n"/>
      <x:c r="AG413" s="608" t="n"/>
      <x:c r="AH413" s="608" t="n"/>
      <x:c r="AI413" s="608" t="n"/>
      <x:c r="AJ413" s="608" t="n"/>
      <x:c r="AK413" s="608" t="n"/>
      <x:c r="AL413" s="608" t="n"/>
      <x:c r="AM413" s="608" t="n"/>
      <x:c r="AN413" s="608" t="n"/>
      <x:c r="AO413" s="608" t="n"/>
      <x:c r="AP413" s="608" t="n"/>
      <x:c r="AQ413" s="608" t="n"/>
      <x:c r="AR413" s="608" t="n"/>
      <x:c r="AS413" s="608" t="n"/>
      <x:c r="AT413" s="608" t="n"/>
      <x:c r="AU413" s="608" t="n"/>
      <x:c r="AV413" s="608" t="n"/>
      <x:c r="AW413" s="608" t="n"/>
      <x:c r="AX413" s="608" t="n"/>
      <x:c r="AY413" s="608" t="n"/>
    </x:row>
    <x:row r="414" ht="22" customHeight="1">
      <x:c r="A414" s="604" t="inlineStr">
        <x:is>
          <x:t xml:space="preserve">2026-09-25</x:t>
        </x:is>
      </x:c>
      <x:c r="B414" s="604" t="inlineStr">
        <x:is>
          <x:t xml:space="preserve">2026-09-25 21:00:00</x:t>
        </x:is>
      </x:c>
      <x:c r="C414" s="604" t="str">
        <x:v>其他系列</x:v>
      </x:c>
      <x:c r="D414" s="604" t="inlineStr">
        <x:is>
          <x:t xml:space="preserve">杯赛</x:t>
        </x:is>
      </x:c>
      <x:c r="E414" s="604" t="inlineStr">
        <x:is>
          <x:t xml:space="preserve">东盟杯</x:t>
        </x:is>
      </x:c>
      <x:c r="F414" s="604" t="inlineStr">
        <x:is>
          <x:t xml:space="preserve">印度尼西亚 vs 新加坡</x:t>
        </x:is>
      </x:c>
      <x:c r="G414" s="611" t="n">
        <x:v>0.84</x:v>
      </x:c>
      <x:c r="H414" s="611" t="n">
        <x:v>2</x:v>
      </x:c>
      <x:c r="I414" s="611" t="n">
        <x:v>0.98</x:v>
      </x:c>
      <x:c r="J414" s="604" t="inlineStr">
        <x:is>
          <x:t xml:space="preserve">0.84/2.0/0.98</x:t>
        </x:is>
      </x:c>
      <x:c r="K414" s="604" t="inlineStr">
        <x:is>
          <x:t xml:space="preserve">V4-C最新版候选</x:t>
        </x:is>
      </x:c>
      <x:c r="L414" s="604" t="inlineStr">
        <x:is>
          <x:t xml:space="preserve">印度尼西亚</x:t>
        </x:is>
      </x:c>
      <x:c r="M414" s="606" t="n">
        <x:v>0.789</x:v>
      </x:c>
      <x:c r="N414" s="604" t="inlineStr">
        <x:is>
          <x:t xml:space="preserve">V4最新页面A/B/C候选</x:t>
        </x:is>
      </x:c>
      <x:c r="O414" s="604" t="inlineStr">
        <x:is>
          <x:t xml:space="preserve">2-0</x:t>
        </x:is>
      </x:c>
      <x:c r="P414" s="604" t="inlineStr">
        <x:is>
          <x:t xml:space="preserve">已结算</x:t>
        </x:is>
      </x:c>
      <x:c r="Q414" s="647" t="inlineStr">
        <x:is>
          <x:t xml:space="preserve">走</x:t>
        </x:is>
      </x:c>
      <x:c r="R414" s="607" t="n">
        <x:v>0.84</x:v>
      </x:c>
      <x:c r="S414" s="607" t="n">
        <x:f>IF(OR(Q414="",Q414="待结算"),"",IF(Q414="红",R414,IF(Q414="半红",R414*0.5,IF(Q414="走",0,IF(Q414="半黑",-0.5,-1)))))</x:f>
        <x:v>0</x:v>
      </x:c>
      <x:c r="T414" s="604" t="inlineStr">
        <x:is>
          <x:t xml:space="preserve">https://simondongxiao.github.io/odds/v4/</x:t>
        </x:is>
      </x:c>
      <x:c r="U414" s="604" t="inlineStr">
        <x:is>
          <x:t xml:space="preserve">3088941</x:t>
        </x:is>
      </x:c>
      <x:c r="V414" s="607" t="inlineStr">
        <x:is>
          <x:t xml:space="preserve">v4-market-dirichlet-20260913</x:t>
        </x:is>
      </x:c>
      <x:c r="W414" s="607" t="n">
        <x:f>IF(OR(U414="",U414="待结算"),"",IF(U414="红",V414,IF(U414="半红",V414*0.5,IF(U414="走",0,IF(U414="半黑",-0.5,-1)))))</x:f>
        <x:v>-1</x:v>
      </x:c>
      <x:c r="X414" s="608" t="inlineStr">
        <x:is>
          <x:t xml:space="preserve">C</x:t>
        </x:is>
      </x:c>
      <x:c r="Y414" s="608" t="n"/>
      <x:c r="Z414" s="608" t="n"/>
      <x:c r="AA414" s="608" t="n"/>
      <x:c r="AB414" s="608" t="n"/>
      <x:c r="AC414" s="608" t="n"/>
      <x:c r="AD414" s="608" t="n"/>
      <x:c r="AE414" s="608" t="n"/>
      <x:c r="AF414" s="608" t="n"/>
      <x:c r="AG414" s="608" t="n"/>
      <x:c r="AH414" s="608" t="n"/>
      <x:c r="AI414" s="608" t="n"/>
      <x:c r="AJ414" s="608" t="n"/>
      <x:c r="AK414" s="608" t="n"/>
      <x:c r="AL414" s="608" t="n"/>
      <x:c r="AM414" s="608" t="n"/>
      <x:c r="AN414" s="608" t="n"/>
      <x:c r="AO414" s="608" t="n"/>
      <x:c r="AP414" s="608" t="n"/>
      <x:c r="AQ414" s="608" t="n"/>
      <x:c r="AR414" s="608" t="n"/>
      <x:c r="AS414" s="608" t="n"/>
      <x:c r="AT414" s="608" t="n"/>
      <x:c r="AU414" s="608" t="n"/>
      <x:c r="AV414" s="608" t="n"/>
      <x:c r="AW414" s="608" t="n"/>
      <x:c r="AX414" s="608" t="n"/>
      <x:c r="AY414" s="608" t="n"/>
    </x:row>
    <x:row r="415" ht="22" customHeight="1">
      <x:c r="A415" s="604" t="inlineStr">
        <x:is>
          <x:t xml:space="preserve">2026-09-25</x:t>
        </x:is>
      </x:c>
      <x:c r="B415" s="604" t="inlineStr">
        <x:is>
          <x:t xml:space="preserve">2026-09-25 21:30:00</x:t>
        </x:is>
      </x:c>
      <x:c r="C415" s="604" t="str">
        <x:v>其他系列</x:v>
      </x:c>
      <x:c r="D415" s="604" t="inlineStr">
        <x:is>
          <x:t xml:space="preserve">联赛</x:t>
        </x:is>
      </x:c>
      <x:c r="E415" s="604" t="inlineStr">
        <x:is>
          <x:t xml:space="preserve">埃及甲</x:t>
        </x:is>
      </x:c>
      <x:c r="F415" s="604" t="inlineStr">
        <x:is>
          <x:t xml:space="preserve">特萨纳体育 vs 巴拉蒂耶</x:t>
        </x:is>
      </x:c>
      <x:c r="G415" s="611" t="n">
        <x:v>1.02</x:v>
      </x:c>
      <x:c r="H415" s="611" t="n">
        <x:v>0.25</x:v>
      </x:c>
      <x:c r="I415" s="611" t="n">
        <x:v>0.68</x:v>
      </x:c>
      <x:c r="J415" s="604" t="inlineStr">
        <x:is>
          <x:t xml:space="preserve">1.02/0.25/0.68</x:t>
        </x:is>
      </x:c>
      <x:c r="K415" s="604" t="inlineStr">
        <x:is>
          <x:t xml:space="preserve">V4-C最新版候选</x:t>
        </x:is>
      </x:c>
      <x:c r="L415" s="604" t="inlineStr">
        <x:is>
          <x:t xml:space="preserve">特萨纳体育</x:t>
        </x:is>
      </x:c>
      <x:c r="M415" s="606" t="n">
        <x:v>0.5456</x:v>
      </x:c>
      <x:c r="N415" s="604" t="inlineStr">
        <x:is>
          <x:t xml:space="preserve">V4最新页面A/B/C候选</x:t>
        </x:is>
      </x:c>
      <x:c r="O415" s="604" t="inlineStr">
        <x:is>
          <x:t xml:space="preserve">1-1</x:t>
        </x:is>
      </x:c>
      <x:c r="P415" s="604" t="inlineStr">
        <x:is>
          <x:t xml:space="preserve">已结算</x:t>
        </x:is>
      </x:c>
      <x:c r="Q415" s="648" t="inlineStr">
        <x:is>
          <x:t xml:space="preserve">半黑</x:t>
        </x:is>
      </x:c>
      <x:c r="R415" s="607" t="n">
        <x:v>1.02</x:v>
      </x:c>
      <x:c r="S415" s="607" t="n">
        <x:f>IF(OR(Q415="",Q415="待结算"),"",IF(Q415="红",R415,IF(Q415="半红",R415*0.5,IF(Q415="走",0,IF(Q415="半黑",-0.5,-1)))))</x:f>
        <x:v>-0.5</x:v>
      </x:c>
      <x:c r="T415" s="604" t="inlineStr">
        <x:is>
          <x:t xml:space="preserve">https://simondongxiao.github.io/odds/v4/</x:t>
        </x:is>
      </x:c>
      <x:c r="U415" s="604" t="inlineStr">
        <x:is>
          <x:t xml:space="preserve">3092996</x:t>
        </x:is>
      </x:c>
      <x:c r="V415" s="607" t="inlineStr">
        <x:is>
          <x:t xml:space="preserve">v4-market-dirichlet-20260913</x:t>
        </x:is>
      </x:c>
      <x:c r="W415" s="607" t="n">
        <x:f>IF(OR(U415="",U415="待结算"),"",IF(U415="红",V415,IF(U415="半红",V415*0.5,IF(U415="走",0,IF(U415="半黑",-0.5,-1)))))</x:f>
        <x:v>-1</x:v>
      </x:c>
      <x:c r="X415" s="608" t="inlineStr">
        <x:is>
          <x:t xml:space="preserve">C</x:t>
        </x:is>
      </x:c>
      <x:c r="Y415" s="608" t="n"/>
      <x:c r="Z415" s="608" t="n"/>
      <x:c r="AA415" s="608" t="n"/>
      <x:c r="AB415" s="608" t="n"/>
      <x:c r="AC415" s="608" t="n"/>
      <x:c r="AD415" s="608" t="n"/>
      <x:c r="AE415" s="608" t="n"/>
      <x:c r="AF415" s="608" t="n"/>
      <x:c r="AG415" s="608" t="n"/>
      <x:c r="AH415" s="608" t="n"/>
      <x:c r="AI415" s="608" t="n"/>
      <x:c r="AJ415" s="608" t="n"/>
      <x:c r="AK415" s="608" t="n"/>
      <x:c r="AL415" s="608" t="n"/>
      <x:c r="AM415" s="608" t="n"/>
      <x:c r="AN415" s="608" t="n"/>
      <x:c r="AO415" s="608" t="n"/>
      <x:c r="AP415" s="608" t="n"/>
      <x:c r="AQ415" s="608" t="n"/>
      <x:c r="AR415" s="608" t="n"/>
      <x:c r="AS415" s="608" t="n"/>
      <x:c r="AT415" s="608" t="n"/>
      <x:c r="AU415" s="608" t="n"/>
      <x:c r="AV415" s="608" t="n"/>
      <x:c r="AW415" s="608" t="n"/>
      <x:c r="AX415" s="608" t="n"/>
      <x:c r="AY415" s="608" t="n"/>
    </x:row>
    <x:row r="416" ht="22" customHeight="1">
      <x:c r="A416" s="604" t="inlineStr">
        <x:is>
          <x:t xml:space="preserve">2026-09-25</x:t>
        </x:is>
      </x:c>
      <x:c r="B416" s="604" t="inlineStr">
        <x:is>
          <x:t xml:space="preserve">2026-09-25 23:30:00</x:t>
        </x:is>
      </x:c>
      <x:c r="C416" s="604" t="str">
        <x:v>欧洲非五大系列</x:v>
      </x:c>
      <x:c r="D416" s="604" t="inlineStr">
        <x:is>
          <x:t xml:space="preserve">联赛</x:t>
        </x:is>
      </x:c>
      <x:c r="E416" s="604" t="inlineStr">
        <x:is>
          <x:t xml:space="preserve">欧青U21外</x:t>
        </x:is>
      </x:c>
      <x:c r="F416" s="604" t="inlineStr">
        <x:is>
          <x:t xml:space="preserve">保加利亚U21 vs 葡萄牙U21</x:t>
        </x:is>
      </x:c>
      <x:c r="G416" s="611" t="n">
        <x:v>0.92</x:v>
      </x:c>
      <x:c r="H416" s="611" t="n">
        <x:v>-2</x:v>
      </x:c>
      <x:c r="I416" s="611" t="n">
        <x:v>0.9</x:v>
      </x:c>
      <x:c r="J416" s="604" t="inlineStr">
        <x:is>
          <x:t xml:space="preserve">0.92/-2.0/0.9</x:t>
        </x:is>
      </x:c>
      <x:c r="K416" s="604" t="inlineStr">
        <x:is>
          <x:t xml:space="preserve">V4-C最新版候选</x:t>
        </x:is>
      </x:c>
      <x:c r="L416" s="604" t="inlineStr">
        <x:is>
          <x:t xml:space="preserve">葡萄牙U21</x:t>
        </x:is>
      </x:c>
      <x:c r="M416" s="606" t="n">
        <x:v>0.8254</x:v>
      </x:c>
      <x:c r="N416" s="604" t="inlineStr">
        <x:is>
          <x:t xml:space="preserve">V4最新页面A/B/C候选</x:t>
        </x:is>
      </x:c>
      <x:c r="O416" s="604" t="inlineStr">
        <x:is>
          <x:t xml:space="preserve">2-1</x:t>
        </x:is>
      </x:c>
      <x:c r="P416" s="604" t="inlineStr">
        <x:is>
          <x:t xml:space="preserve">已结算</x:t>
        </x:is>
      </x:c>
      <x:c r="Q416" s="646" t="inlineStr">
        <x:is>
          <x:t xml:space="preserve">黑</x:t>
        </x:is>
      </x:c>
      <x:c r="R416" s="607" t="n">
        <x:v>0.9</x:v>
      </x:c>
      <x:c r="S416" s="607" t="n">
        <x:f>IF(OR(Q416="",Q416="待结算"),"",IF(Q416="红",R416,IF(Q416="半红",R416*0.5,IF(Q416="走",0,IF(Q416="半黑",-0.5,-1)))))</x:f>
        <x:v>-1</x:v>
      </x:c>
      <x:c r="T416" s="604" t="inlineStr">
        <x:is>
          <x:t xml:space="preserve">https://simondongxiao.github.io/odds/v4/</x:t>
        </x:is>
      </x:c>
      <x:c r="U416" s="604" t="inlineStr">
        <x:is>
          <x:t xml:space="preserve">2781253</x:t>
        </x:is>
      </x:c>
      <x:c r="V416" s="607" t="inlineStr">
        <x:is>
          <x:t xml:space="preserve">v4-market-dirichlet-20260913</x:t>
        </x:is>
      </x:c>
      <x:c r="W416" s="607" t="n">
        <x:f>IF(OR(U416="",U416="待结算"),"",IF(U416="红",V416,IF(U416="半红",V416*0.5,IF(U416="走",0,IF(U416="半黑",-0.5,-1)))))</x:f>
        <x:v>-1</x:v>
      </x:c>
      <x:c r="X416" s="608" t="inlineStr">
        <x:is>
          <x:t xml:space="preserve">C</x:t>
        </x:is>
      </x:c>
      <x:c r="Y416" s="608" t="n"/>
      <x:c r="Z416" s="608" t="n"/>
      <x:c r="AA416" s="608" t="n"/>
      <x:c r="AB416" s="608" t="n"/>
      <x:c r="AC416" s="608" t="n"/>
      <x:c r="AD416" s="608" t="n"/>
      <x:c r="AE416" s="608" t="n"/>
      <x:c r="AF416" s="608" t="n"/>
      <x:c r="AG416" s="608" t="n"/>
      <x:c r="AH416" s="608" t="n"/>
      <x:c r="AI416" s="608" t="n"/>
      <x:c r="AJ416" s="608" t="n"/>
      <x:c r="AK416" s="608" t="n"/>
      <x:c r="AL416" s="608" t="n"/>
      <x:c r="AM416" s="608" t="n"/>
      <x:c r="AN416" s="608" t="n"/>
      <x:c r="AO416" s="608" t="n"/>
      <x:c r="AP416" s="608" t="n"/>
      <x:c r="AQ416" s="608" t="n"/>
      <x:c r="AR416" s="608" t="n"/>
      <x:c r="AS416" s="608" t="n"/>
      <x:c r="AT416" s="608" t="n"/>
      <x:c r="AU416" s="608" t="n"/>
      <x:c r="AV416" s="608" t="n"/>
      <x:c r="AW416" s="608" t="n"/>
      <x:c r="AX416" s="608" t="n"/>
      <x:c r="AY416" s="608" t="n"/>
    </x:row>
    <x:row r="417" ht="22" customHeight="1">
      <x:c r="A417" s="604" t="inlineStr">
        <x:is>
          <x:t xml:space="preserve">2026-09-25</x:t>
        </x:is>
      </x:c>
      <x:c r="B417" s="604" t="inlineStr">
        <x:is>
          <x:t xml:space="preserve">2026-09-25 23:30:00</x:t>
        </x:is>
      </x:c>
      <x:c r="C417" s="604" t="str">
        <x:v>欧洲非五大系列</x:v>
      </x:c>
      <x:c r="D417" s="604" t="inlineStr">
        <x:is>
          <x:t xml:space="preserve">联赛</x:t>
        </x:is>
      </x:c>
      <x:c r="E417" s="604" t="inlineStr">
        <x:is>
          <x:t xml:space="preserve">芬甲</x:t>
        </x:is>
      </x:c>
      <x:c r="F417" s="604" t="inlineStr">
        <x:is>
          <x:t xml:space="preserve">科特卡 vs MP米克力</x:t>
        </x:is>
      </x:c>
      <x:c r="G417" s="611" t="n">
        <x:v>1.04</x:v>
      </x:c>
      <x:c r="H417" s="611" t="n">
        <x:v>1.5</x:v>
      </x:c>
      <x:c r="I417" s="611" t="n">
        <x:v>0.84</x:v>
      </x:c>
      <x:c r="J417" s="604" t="inlineStr">
        <x:is>
          <x:t xml:space="preserve">1.04/1.5/0.84</x:t>
        </x:is>
      </x:c>
      <x:c r="K417" s="604" t="inlineStr">
        <x:is>
          <x:t xml:space="preserve">V4-B最新版候选</x:t>
        </x:is>
      </x:c>
      <x:c r="L417" s="604" t="inlineStr">
        <x:is>
          <x:t xml:space="preserve">科特卡</x:t>
        </x:is>
      </x:c>
      <x:c r="M417" s="606" t="n">
        <x:v>0.8772</x:v>
      </x:c>
      <x:c r="N417" s="604" t="inlineStr">
        <x:is>
          <x:t xml:space="preserve">V4最新页面A/B/C候选</x:t>
        </x:is>
      </x:c>
      <x:c r="O417" s="604" t="inlineStr">
        <x:is>
          <x:t xml:space="preserve">1-1</x:t>
        </x:is>
      </x:c>
      <x:c r="P417" s="604" t="inlineStr">
        <x:is>
          <x:t xml:space="preserve">已结算</x:t>
        </x:is>
      </x:c>
      <x:c r="Q417" s="646" t="inlineStr">
        <x:is>
          <x:t xml:space="preserve">黑</x:t>
        </x:is>
      </x:c>
      <x:c r="R417" s="607" t="n">
        <x:v>1.04</x:v>
      </x:c>
      <x:c r="S417" s="607" t="n">
        <x:f>IF(OR(Q417="",Q417="待结算"),"",IF(Q417="红",R417,IF(Q417="半红",R417*0.5,IF(Q417="走",0,IF(Q417="半黑",-0.5,-1)))))</x:f>
        <x:v>-1</x:v>
      </x:c>
      <x:c r="T417" s="604" t="inlineStr">
        <x:is>
          <x:t xml:space="preserve">https://simondongxiao.github.io/odds/v4/</x:t>
        </x:is>
      </x:c>
      <x:c r="U417" s="604" t="inlineStr">
        <x:is>
          <x:t xml:space="preserve">2921942</x:t>
        </x:is>
      </x:c>
      <x:c r="V417" s="607" t="inlineStr">
        <x:is>
          <x:t xml:space="preserve">v4-market-dirichlet-20260913</x:t>
        </x:is>
      </x:c>
      <x:c r="W417" s="607" t="n">
        <x:f>IF(OR(U417="",U417="待结算"),"",IF(U417="红",V417,IF(U417="半红",V417*0.5,IF(U417="走",0,IF(U417="半黑",-0.5,-1)))))</x:f>
        <x:v>-1</x:v>
      </x:c>
      <x:c r="X417" s="608" t="inlineStr">
        <x:is>
          <x:t xml:space="preserve">B</x:t>
        </x:is>
      </x:c>
      <x:c r="Y417" s="608" t="n"/>
      <x:c r="Z417" s="608" t="n"/>
      <x:c r="AA417" s="608" t="n"/>
      <x:c r="AB417" s="608" t="n"/>
      <x:c r="AC417" s="608" t="n"/>
      <x:c r="AD417" s="608" t="n"/>
      <x:c r="AE417" s="608" t="n"/>
      <x:c r="AF417" s="608" t="n"/>
      <x:c r="AG417" s="608" t="n"/>
      <x:c r="AH417" s="608" t="n"/>
      <x:c r="AI417" s="608" t="n"/>
      <x:c r="AJ417" s="608" t="n"/>
      <x:c r="AK417" s="608" t="n"/>
      <x:c r="AL417" s="608" t="n"/>
      <x:c r="AM417" s="608" t="n"/>
      <x:c r="AN417" s="608" t="n"/>
      <x:c r="AO417" s="608" t="n"/>
      <x:c r="AP417" s="608" t="n"/>
      <x:c r="AQ417" s="608" t="n"/>
      <x:c r="AR417" s="608" t="n"/>
      <x:c r="AS417" s="608" t="n"/>
      <x:c r="AT417" s="608" t="n"/>
      <x:c r="AU417" s="608" t="n"/>
      <x:c r="AV417" s="608" t="n"/>
      <x:c r="AW417" s="608" t="n"/>
      <x:c r="AX417" s="608" t="n"/>
      <x:c r="AY417" s="608" t="n"/>
    </x:row>
    <x:row r="418" ht="22" customHeight="1">
      <x:c r="A418" s="604" t="inlineStr">
        <x:is>
          <x:t xml:space="preserve">2026-09-25</x:t>
        </x:is>
      </x:c>
      <x:c r="B418" s="604" t="inlineStr">
        <x:is>
          <x:t xml:space="preserve">2026-09-26 00:00:00</x:t>
        </x:is>
      </x:c>
      <x:c r="C418" s="604" t="str">
        <x:v>其他系列</x:v>
      </x:c>
      <x:c r="D418" s="604" t="inlineStr">
        <x:is>
          <x:t xml:space="preserve">杯赛</x:t>
        </x:is>
      </x:c>
      <x:c r="E418" s="604" t="inlineStr">
        <x:is>
          <x:t xml:space="preserve">非洲杯</x:t>
        </x:is>
      </x:c>
      <x:c r="F418" s="604" t="inlineStr">
        <x:is>
          <x:t xml:space="preserve">冈比亚 vs 索马里</x:t>
        </x:is>
      </x:c>
      <x:c r="G418" s="611" t="n">
        <x:v>0.8</x:v>
      </x:c>
      <x:c r="H418" s="611" t="n">
        <x:v>2.25</x:v>
      </x:c>
      <x:c r="I418" s="611" t="n">
        <x:v>0.96</x:v>
      </x:c>
      <x:c r="J418" s="604" t="inlineStr">
        <x:is>
          <x:t xml:space="preserve">0.8/2.25/0.96</x:t>
        </x:is>
      </x:c>
      <x:c r="K418" s="604" t="inlineStr">
        <x:is>
          <x:t xml:space="preserve">V4-C最新版候选</x:t>
        </x:is>
      </x:c>
      <x:c r="L418" s="604" t="inlineStr">
        <x:is>
          <x:t xml:space="preserve">冈比亚</x:t>
        </x:is>
      </x:c>
      <x:c r="M418" s="606" t="n">
        <x:v>0.5386</x:v>
      </x:c>
      <x:c r="N418" s="604" t="inlineStr">
        <x:is>
          <x:t xml:space="preserve">V4最新页面A/B/C候选</x:t>
        </x:is>
      </x:c>
      <x:c r="O418" s="604" t="inlineStr">
        <x:is>
          <x:t xml:space="preserve">2-1</x:t>
        </x:is>
      </x:c>
      <x:c r="P418" s="604" t="inlineStr">
        <x:is>
          <x:t xml:space="preserve">已结算</x:t>
        </x:is>
      </x:c>
      <x:c r="Q418" s="646" t="inlineStr">
        <x:is>
          <x:t xml:space="preserve">黑</x:t>
        </x:is>
      </x:c>
      <x:c r="R418" s="607" t="n">
        <x:v>0.8</x:v>
      </x:c>
      <x:c r="S418" s="607" t="n">
        <x:f>IF(OR(Q418="",Q418="待结算"),"",IF(Q418="红",R418,IF(Q418="半红",R418*0.5,IF(Q418="走",0,IF(Q418="半黑",-0.5,-1)))))</x:f>
        <x:v>-1</x:v>
      </x:c>
      <x:c r="T418" s="604" t="inlineStr">
        <x:is>
          <x:t xml:space="preserve">https://simondongxiao.github.io/odds/v4/</x:t>
        </x:is>
      </x:c>
      <x:c r="U418" s="604" t="inlineStr">
        <x:is>
          <x:t xml:space="preserve">3001021</x:t>
        </x:is>
      </x:c>
      <x:c r="V418" s="607" t="inlineStr">
        <x:is>
          <x:t xml:space="preserve">v4-market-dirichlet-20260913</x:t>
        </x:is>
      </x:c>
      <x:c r="W418" s="607" t="n">
        <x:f>IF(OR(U418="",U418="待结算"),"",IF(U418="红",V418,IF(U418="半红",V418*0.5,IF(U418="走",0,IF(U418="半黑",-0.5,-1)))))</x:f>
        <x:v>-1</x:v>
      </x:c>
      <x:c r="X418" s="608" t="inlineStr">
        <x:is>
          <x:t xml:space="preserve">C</x:t>
        </x:is>
      </x:c>
      <x:c r="Y418" s="608" t="n"/>
      <x:c r="Z418" s="608" t="n"/>
      <x:c r="AA418" s="608" t="n"/>
      <x:c r="AB418" s="608" t="n"/>
      <x:c r="AC418" s="608" t="n"/>
      <x:c r="AD418" s="608" t="n"/>
      <x:c r="AE418" s="608" t="n"/>
      <x:c r="AF418" s="608" t="n"/>
      <x:c r="AG418" s="608" t="n"/>
      <x:c r="AH418" s="608" t="n"/>
      <x:c r="AI418" s="608" t="n"/>
      <x:c r="AJ418" s="608" t="n"/>
      <x:c r="AK418" s="608" t="n"/>
      <x:c r="AL418" s="608" t="n"/>
      <x:c r="AM418" s="608" t="n"/>
      <x:c r="AN418" s="608" t="n"/>
      <x:c r="AO418" s="608" t="n"/>
      <x:c r="AP418" s="608" t="n"/>
      <x:c r="AQ418" s="608" t="n"/>
      <x:c r="AR418" s="608" t="n"/>
      <x:c r="AS418" s="608" t="n"/>
      <x:c r="AT418" s="608" t="n"/>
      <x:c r="AU418" s="608" t="n"/>
      <x:c r="AV418" s="608" t="n"/>
      <x:c r="AW418" s="608" t="n"/>
      <x:c r="AX418" s="608" t="n"/>
      <x:c r="AY418" s="608" t="n"/>
    </x:row>
    <x:row r="419" ht="22" customHeight="1">
      <x:c r="A419" s="604" t="inlineStr">
        <x:is>
          <x:t xml:space="preserve">2026-09-25</x:t>
        </x:is>
      </x:c>
      <x:c r="B419" s="604" t="inlineStr">
        <x:is>
          <x:t xml:space="preserve">2026-09-26 00:00:00</x:t>
        </x:is>
      </x:c>
      <x:c r="C419" s="604" t="str">
        <x:v>其他系列</x:v>
      </x:c>
      <x:c r="D419" s="604" t="inlineStr">
        <x:is>
          <x:t xml:space="preserve">杯赛</x:t>
        </x:is>
      </x:c>
      <x:c r="E419" s="604" t="inlineStr">
        <x:is>
          <x:t xml:space="preserve">非洲杯</x:t>
        </x:is>
      </x:c>
      <x:c r="F419" s="604" t="inlineStr">
        <x:is>
          <x:t xml:space="preserve">卢旺达 vs 利比里亚</x:t>
        </x:is>
      </x:c>
      <x:c r="G419" s="611" t="n">
        <x:v>0.76</x:v>
      </x:c>
      <x:c r="H419" s="611" t="n">
        <x:v>0.5</x:v>
      </x:c>
      <x:c r="I419" s="611" t="n">
        <x:v>1</x:v>
      </x:c>
      <x:c r="J419" s="604" t="inlineStr">
        <x:is>
          <x:t xml:space="preserve">0.76/0.5/1.0</x:t>
        </x:is>
      </x:c>
      <x:c r="K419" s="604" t="inlineStr">
        <x:is>
          <x:t xml:space="preserve">V4-C最新版候选</x:t>
        </x:is>
      </x:c>
      <x:c r="L419" s="604" t="inlineStr">
        <x:is>
          <x:t xml:space="preserve">利比里亚</x:t>
        </x:is>
      </x:c>
      <x:c r="M419" s="606" t="n">
        <x:v>0.5252</x:v>
      </x:c>
      <x:c r="N419" s="604" t="inlineStr">
        <x:is>
          <x:t xml:space="preserve">V4最新页面A/B/C候选</x:t>
        </x:is>
      </x:c>
      <x:c r="O419" s="604" t="inlineStr">
        <x:is>
          <x:t xml:space="preserve">3-1</x:t>
        </x:is>
      </x:c>
      <x:c r="P419" s="604" t="inlineStr">
        <x:is>
          <x:t xml:space="preserve">已结算</x:t>
        </x:is>
      </x:c>
      <x:c r="Q419" s="646" t="inlineStr">
        <x:is>
          <x:t xml:space="preserve">黑</x:t>
        </x:is>
      </x:c>
      <x:c r="R419" s="607" t="n">
        <x:v>1</x:v>
      </x:c>
      <x:c r="S419" s="607" t="n">
        <x:f>IF(OR(Q419="",Q419="待结算"),"",IF(Q419="红",R419,IF(Q419="半红",R419*0.5,IF(Q419="走",0,IF(Q419="半黑",-0.5,-1)))))</x:f>
        <x:v>-1</x:v>
      </x:c>
      <x:c r="T419" s="604" t="inlineStr">
        <x:is>
          <x:t xml:space="preserve">https://simondongxiao.github.io/odds/v4/</x:t>
        </x:is>
      </x:c>
      <x:c r="U419" s="604" t="inlineStr">
        <x:is>
          <x:t xml:space="preserve">3001117</x:t>
        </x:is>
      </x:c>
      <x:c r="V419" s="607" t="inlineStr">
        <x:is>
          <x:t xml:space="preserve">v4-market-dirichlet-20260913</x:t>
        </x:is>
      </x:c>
      <x:c r="W419" s="607" t="n">
        <x:f>IF(OR(U419="",U419="待结算"),"",IF(U419="红",V419,IF(U419="半红",V419*0.5,IF(U419="走",0,IF(U419="半黑",-0.5,-1)))))</x:f>
        <x:v>-1</x:v>
      </x:c>
      <x:c r="X419" s="608" t="inlineStr">
        <x:is>
          <x:t xml:space="preserve">C</x:t>
        </x:is>
      </x:c>
      <x:c r="Y419" s="608" t="n"/>
      <x:c r="Z419" s="608" t="n"/>
      <x:c r="AA419" s="608" t="n"/>
      <x:c r="AB419" s="608" t="n"/>
      <x:c r="AC419" s="608" t="n"/>
      <x:c r="AD419" s="608" t="n"/>
      <x:c r="AE419" s="608" t="n"/>
      <x:c r="AF419" s="608" t="n"/>
      <x:c r="AG419" s="608" t="n"/>
      <x:c r="AH419" s="608" t="n"/>
      <x:c r="AI419" s="608" t="n"/>
      <x:c r="AJ419" s="608" t="n"/>
      <x:c r="AK419" s="608" t="n"/>
      <x:c r="AL419" s="608" t="n"/>
      <x:c r="AM419" s="608" t="n"/>
      <x:c r="AN419" s="608" t="n"/>
      <x:c r="AO419" s="608" t="n"/>
      <x:c r="AP419" s="608" t="n"/>
      <x:c r="AQ419" s="608" t="n"/>
      <x:c r="AR419" s="608" t="n"/>
      <x:c r="AS419" s="608" t="n"/>
      <x:c r="AT419" s="608" t="n"/>
      <x:c r="AU419" s="608" t="n"/>
      <x:c r="AV419" s="608" t="n"/>
      <x:c r="AW419" s="608" t="n"/>
      <x:c r="AX419" s="608" t="n"/>
      <x:c r="AY419" s="608" t="n"/>
    </x:row>
    <x:row r="420" ht="22" customHeight="1">
      <x:c r="A420" s="604" t="inlineStr">
        <x:is>
          <x:t xml:space="preserve">2026-09-25</x:t>
        </x:is>
      </x:c>
      <x:c r="B420" s="604" t="inlineStr">
        <x:is>
          <x:t xml:space="preserve">2026-09-26 00:00:00</x:t>
        </x:is>
      </x:c>
      <x:c r="C420" s="604" t="str">
        <x:v>欧洲非五大系列</x:v>
      </x:c>
      <x:c r="D420" s="604" t="inlineStr">
        <x:is>
          <x:t xml:space="preserve">联赛</x:t>
        </x:is>
      </x:c>
      <x:c r="E420" s="604" t="inlineStr">
        <x:is>
          <x:t xml:space="preserve">芬甲</x:t>
        </x:is>
      </x:c>
      <x:c r="F420" s="604" t="inlineStr">
        <x:is>
          <x:t xml:space="preserve">卡亚尼卡帕 vs 哈卡</x:t>
        </x:is>
      </x:c>
      <x:c r="G420" s="611" t="n">
        <x:v>1.06</x:v>
      </x:c>
      <x:c r="H420" s="611" t="n">
        <x:v>-1</x:v>
      </x:c>
      <x:c r="I420" s="611" t="n">
        <x:v>0.82</x:v>
      </x:c>
      <x:c r="J420" s="604" t="inlineStr">
        <x:is>
          <x:t xml:space="preserve">1.06/-1.0/0.82</x:t>
        </x:is>
      </x:c>
      <x:c r="K420" s="604" t="inlineStr">
        <x:is>
          <x:t xml:space="preserve">V4-C最新版候选</x:t>
        </x:is>
      </x:c>
      <x:c r="L420" s="604" t="inlineStr">
        <x:is>
          <x:t xml:space="preserve">卡亚尼卡帕</x:t>
        </x:is>
      </x:c>
      <x:c r="M420" s="606" t="n">
        <x:v>0.8012</x:v>
      </x:c>
      <x:c r="N420" s="604" t="inlineStr">
        <x:is>
          <x:t xml:space="preserve">V4最新页面A/B/C候选</x:t>
        </x:is>
      </x:c>
      <x:c r="O420" s="604" t="inlineStr">
        <x:is>
          <x:t xml:space="preserve">3-2</x:t>
        </x:is>
      </x:c>
      <x:c r="P420" s="604" t="inlineStr">
        <x:is>
          <x:t xml:space="preserve">已结算</x:t>
        </x:is>
      </x:c>
      <x:c r="Q420" s="645" t="inlineStr">
        <x:is>
          <x:t xml:space="preserve">红</x:t>
        </x:is>
      </x:c>
      <x:c r="R420" s="607" t="n">
        <x:v>1.06</x:v>
      </x:c>
      <x:c r="S420" s="607" t="n">
        <x:f>IF(OR(Q420="",Q420="待结算"),"",IF(Q420="红",R420,IF(Q420="半红",R420*0.5,IF(Q420="走",0,IF(Q420="半黑",-0.5,-1)))))</x:f>
        <x:v>1.06</x:v>
      </x:c>
      <x:c r="T420" s="604" t="inlineStr">
        <x:is>
          <x:t xml:space="preserve">https://simondongxiao.github.io/odds/v4/</x:t>
        </x:is>
      </x:c>
      <x:c r="U420" s="604" t="inlineStr">
        <x:is>
          <x:t xml:space="preserve">2921943</x:t>
        </x:is>
      </x:c>
      <x:c r="V420" s="607" t="inlineStr">
        <x:is>
          <x:t xml:space="preserve">v4-market-dirichlet-20260913</x:t>
        </x:is>
      </x:c>
      <x:c r="W420" s="607" t="n">
        <x:f>IF(OR(U420="",U420="待结算"),"",IF(U420="红",V420,IF(U420="半红",V420*0.5,IF(U420="走",0,IF(U420="半黑",-0.5,-1)))))</x:f>
        <x:v>-1</x:v>
      </x:c>
      <x:c r="X420" s="608" t="inlineStr">
        <x:is>
          <x:t xml:space="preserve">C</x:t>
        </x:is>
      </x:c>
      <x:c r="Y420" s="608" t="n"/>
      <x:c r="Z420" s="608" t="n"/>
      <x:c r="AA420" s="608" t="n"/>
      <x:c r="AB420" s="608" t="n"/>
      <x:c r="AC420" s="608" t="n"/>
      <x:c r="AD420" s="608" t="n"/>
      <x:c r="AE420" s="608" t="n"/>
      <x:c r="AF420" s="608" t="n"/>
      <x:c r="AG420" s="608" t="n"/>
      <x:c r="AH420" s="608" t="n"/>
      <x:c r="AI420" s="608" t="n"/>
      <x:c r="AJ420" s="608" t="n"/>
      <x:c r="AK420" s="608" t="n"/>
      <x:c r="AL420" s="608" t="n"/>
      <x:c r="AM420" s="608" t="n"/>
      <x:c r="AN420" s="608" t="n"/>
      <x:c r="AO420" s="608" t="n"/>
      <x:c r="AP420" s="608" t="n"/>
      <x:c r="AQ420" s="608" t="n"/>
      <x:c r="AR420" s="608" t="n"/>
      <x:c r="AS420" s="608" t="n"/>
      <x:c r="AT420" s="608" t="n"/>
      <x:c r="AU420" s="608" t="n"/>
      <x:c r="AV420" s="608" t="n"/>
      <x:c r="AW420" s="608" t="n"/>
      <x:c r="AX420" s="608" t="n"/>
      <x:c r="AY420" s="608" t="n"/>
    </x:row>
    <x:row r="421" ht="22" customHeight="1">
      <x:c r="A421" s="604" t="inlineStr">
        <x:is>
          <x:t xml:space="preserve">2026-09-25</x:t>
        </x:is>
      </x:c>
      <x:c r="B421" s="604" t="inlineStr">
        <x:is>
          <x:t xml:space="preserve">2026-09-26 02:30:00</x:t>
        </x:is>
      </x:c>
      <x:c r="C421" s="604" t="str">
        <x:v>五大联赛非顶级联赛</x:v>
      </x:c>
      <x:c r="D421" s="604" t="inlineStr">
        <x:is>
          <x:t xml:space="preserve">联赛</x:t>
        </x:is>
      </x:c>
      <x:c r="E421" s="604" t="inlineStr">
        <x:is>
          <x:t xml:space="preserve">西乙</x:t>
        </x:is>
      </x:c>
      <x:c r="F421" s="604" t="inlineStr">
        <x:is>
          <x:t xml:space="preserve">赫罗纳 vs 阿尔巴塞特</x:t>
        </x:is>
      </x:c>
      <x:c r="G421" s="611" t="n">
        <x:v>0.92</x:v>
      </x:c>
      <x:c r="H421" s="611" t="n">
        <x:v>1</x:v>
      </x:c>
      <x:c r="I421" s="611" t="n">
        <x:v>0.96</x:v>
      </x:c>
      <x:c r="J421" s="604" t="inlineStr">
        <x:is>
          <x:t xml:space="preserve">0.92/1.0/0.96</x:t>
        </x:is>
      </x:c>
      <x:c r="K421" s="604" t="inlineStr">
        <x:is>
          <x:t xml:space="preserve">V4-C最新版候选</x:t>
        </x:is>
      </x:c>
      <x:c r="L421" s="604" t="inlineStr">
        <x:is>
          <x:t xml:space="preserve">阿尔巴塞特</x:t>
        </x:is>
      </x:c>
      <x:c r="M421" s="606" t="n">
        <x:v>0.6862</x:v>
      </x:c>
      <x:c r="N421" s="604" t="inlineStr">
        <x:is>
          <x:t xml:space="preserve">V4最新页面A/B/C候选</x:t>
        </x:is>
      </x:c>
      <x:c r="O421" s="604" t="inlineStr">
        <x:is>
          <x:t xml:space="preserve">2-0</x:t>
        </x:is>
      </x:c>
      <x:c r="P421" s="604" t="inlineStr">
        <x:is>
          <x:t xml:space="preserve">已结算</x:t>
        </x:is>
      </x:c>
      <x:c r="Q421" s="646" t="inlineStr">
        <x:is>
          <x:t xml:space="preserve">黑</x:t>
        </x:is>
      </x:c>
      <x:c r="R421" s="607" t="n">
        <x:v>0.96</x:v>
      </x:c>
      <x:c r="S421" s="607" t="n">
        <x:f>IF(OR(Q421="",Q421="待结算"),"",IF(Q421="红",R421,IF(Q421="半红",R421*0.5,IF(Q421="走",0,IF(Q421="半黑",-0.5,-1)))))</x:f>
        <x:v>-1</x:v>
      </x:c>
      <x:c r="T421" s="604" t="inlineStr">
        <x:is>
          <x:t xml:space="preserve">https://simondongxiao.github.io/odds/v4/</x:t>
        </x:is>
      </x:c>
      <x:c r="U421" s="604" t="inlineStr">
        <x:is>
          <x:t xml:space="preserve">3014092</x:t>
        </x:is>
      </x:c>
      <x:c r="V421" s="607" t="inlineStr">
        <x:is>
          <x:t xml:space="preserve">v4-market-dirichlet-20260913</x:t>
        </x:is>
      </x:c>
      <x:c r="W421" s="607" t="n">
        <x:f>IF(OR(U421="",U421="待结算"),"",IF(U421="红",V421,IF(U421="半红",V421*0.5,IF(U421="走",0,IF(U421="半黑",-0.5,-1)))))</x:f>
        <x:v>-1</x:v>
      </x:c>
      <x:c r="X421" s="608" t="inlineStr">
        <x:is>
          <x:t xml:space="preserve">C</x:t>
        </x:is>
      </x:c>
      <x:c r="Y421" s="608" t="n"/>
      <x:c r="Z421" s="608" t="n"/>
      <x:c r="AA421" s="608" t="n"/>
      <x:c r="AB421" s="608" t="n"/>
      <x:c r="AC421" s="608" t="n"/>
      <x:c r="AD421" s="608" t="n"/>
      <x:c r="AE421" s="608" t="n"/>
      <x:c r="AF421" s="608" t="n"/>
      <x:c r="AG421" s="608" t="n"/>
      <x:c r="AH421" s="608" t="n"/>
      <x:c r="AI421" s="608" t="n"/>
      <x:c r="AJ421" s="608" t="n"/>
      <x:c r="AK421" s="608" t="n"/>
      <x:c r="AL421" s="608" t="n"/>
      <x:c r="AM421" s="608" t="n"/>
      <x:c r="AN421" s="608" t="n"/>
      <x:c r="AO421" s="608" t="n"/>
      <x:c r="AP421" s="608" t="n"/>
      <x:c r="AQ421" s="608" t="n"/>
      <x:c r="AR421" s="608" t="n"/>
      <x:c r="AS421" s="608" t="n"/>
      <x:c r="AT421" s="608" t="n"/>
      <x:c r="AU421" s="608" t="n"/>
      <x:c r="AV421" s="608" t="n"/>
      <x:c r="AW421" s="608" t="n"/>
      <x:c r="AX421" s="608" t="n"/>
      <x:c r="AY421" s="608" t="n"/>
    </x:row>
    <x:row r="422" ht="22" customHeight="1">
      <x:c r="A422" s="604" t="inlineStr">
        <x:is>
          <x:t xml:space="preserve">2026-09-25</x:t>
        </x:is>
      </x:c>
      <x:c r="B422" s="604" t="inlineStr">
        <x:is>
          <x:t xml:space="preserve">2026-09-26 02:45:00</x:t>
        </x:is>
      </x:c>
      <x:c r="C422" s="604" t="str">
        <x:v>欧洲非五大系列</x:v>
      </x:c>
      <x:c r="D422" s="604" t="inlineStr">
        <x:is>
          <x:t xml:space="preserve">联赛</x:t>
        </x:is>
      </x:c>
      <x:c r="E422" s="604" t="inlineStr">
        <x:is>
          <x:t xml:space="preserve">欧国联</x:t>
        </x:is>
      </x:c>
      <x:c r="F422" s="604" t="inlineStr">
        <x:is>
          <x:t xml:space="preserve">土耳其 vs 法国</x:t>
        </x:is>
      </x:c>
      <x:c r="G422" s="611" t="n">
        <x:v>0.88</x:v>
      </x:c>
      <x:c r="H422" s="611" t="n">
        <x:v>-1.5</x:v>
      </x:c>
      <x:c r="I422" s="611" t="n">
        <x:v>1</x:v>
      </x:c>
      <x:c r="J422" s="604" t="inlineStr">
        <x:is>
          <x:t xml:space="preserve">0.88/-1.5/1.0</x:t>
        </x:is>
      </x:c>
      <x:c r="K422" s="604" t="inlineStr">
        <x:is>
          <x:t xml:space="preserve">V4-B最新版候选</x:t>
        </x:is>
      </x:c>
      <x:c r="L422" s="604" t="inlineStr">
        <x:is>
          <x:t xml:space="preserve">法国</x:t>
        </x:is>
      </x:c>
      <x:c r="M422" s="606" t="n">
        <x:v>0.8596</x:v>
      </x:c>
      <x:c r="N422" s="604" t="inlineStr">
        <x:is>
          <x:t xml:space="preserve">V4最新页面A/B/C候选</x:t>
        </x:is>
      </x:c>
      <x:c r="O422" s="604" t="inlineStr">
        <x:is>
          <x:t xml:space="preserve">0-1</x:t>
        </x:is>
      </x:c>
      <x:c r="P422" s="604" t="inlineStr">
        <x:is>
          <x:t xml:space="preserve">已结算</x:t>
        </x:is>
      </x:c>
      <x:c r="Q422" s="646" t="inlineStr">
        <x:is>
          <x:t xml:space="preserve">黑</x:t>
        </x:is>
      </x:c>
      <x:c r="R422" s="607" t="n">
        <x:v>1</x:v>
      </x:c>
      <x:c r="S422" s="607" t="n">
        <x:f>IF(OR(Q422="",Q422="待结算"),"",IF(Q422="红",R422,IF(Q422="半红",R422*0.5,IF(Q422="走",0,IF(Q422="半黑",-0.5,-1)))))</x:f>
        <x:v>-1</x:v>
      </x:c>
      <x:c r="T422" s="604" t="inlineStr">
        <x:is>
          <x:t xml:space="preserve">https://simondongxiao.github.io/odds/v4/</x:t>
        </x:is>
      </x:c>
      <x:c r="U422" s="604" t="inlineStr">
        <x:is>
          <x:t xml:space="preserve">2981430</x:t>
        </x:is>
      </x:c>
      <x:c r="V422" s="607" t="inlineStr">
        <x:is>
          <x:t xml:space="preserve">v4-market-dirichlet-20260913</x:t>
        </x:is>
      </x:c>
      <x:c r="W422" s="607" t="n">
        <x:f>IF(OR(U422="",U422="待结算"),"",IF(U422="红",V422,IF(U422="半红",V422*0.5,IF(U422="走",0,IF(U422="半黑",-0.5,-1)))))</x:f>
        <x:v>-1</x:v>
      </x:c>
      <x:c r="X422" s="608" t="inlineStr">
        <x:is>
          <x:t xml:space="preserve">B</x:t>
        </x:is>
      </x:c>
      <x:c r="Y422" s="608" t="n"/>
      <x:c r="Z422" s="608" t="n"/>
      <x:c r="AA422" s="608" t="n"/>
      <x:c r="AB422" s="608" t="n"/>
      <x:c r="AC422" s="608" t="n"/>
      <x:c r="AD422" s="608" t="n"/>
      <x:c r="AE422" s="608" t="n"/>
      <x:c r="AF422" s="608" t="n"/>
      <x:c r="AG422" s="608" t="n"/>
      <x:c r="AH422" s="608" t="n"/>
      <x:c r="AI422" s="608" t="n"/>
      <x:c r="AJ422" s="608" t="n"/>
      <x:c r="AK422" s="608" t="n"/>
      <x:c r="AL422" s="608" t="n"/>
      <x:c r="AM422" s="608" t="n"/>
      <x:c r="AN422" s="608" t="n"/>
      <x:c r="AO422" s="608" t="n"/>
      <x:c r="AP422" s="608" t="n"/>
      <x:c r="AQ422" s="608" t="n"/>
      <x:c r="AR422" s="608" t="n"/>
      <x:c r="AS422" s="608" t="n"/>
      <x:c r="AT422" s="608" t="n"/>
      <x:c r="AU422" s="608" t="n"/>
      <x:c r="AV422" s="608" t="n"/>
      <x:c r="AW422" s="608" t="n"/>
      <x:c r="AX422" s="608" t="n"/>
      <x:c r="AY422" s="608" t="n"/>
    </x:row>
    <x:row r="423" ht="22" customHeight="1">
      <x:c r="A423" s="604" t="inlineStr">
        <x:is>
          <x:t xml:space="preserve">2026-09-25</x:t>
        </x:is>
      </x:c>
      <x:c r="B423" s="604" t="inlineStr">
        <x:is>
          <x:t xml:space="preserve">2026-09-26 02:45:00</x:t>
        </x:is>
      </x:c>
      <x:c r="C423" s="604" t="str">
        <x:v>欧洲非五大系列</x:v>
      </x:c>
      <x:c r="D423" s="604" t="inlineStr">
        <x:is>
          <x:t xml:space="preserve">联赛</x:t>
        </x:is>
      </x:c>
      <x:c r="E423" s="604" t="inlineStr">
        <x:is>
          <x:t xml:space="preserve">欧国联</x:t>
        </x:is>
      </x:c>
      <x:c r="F423" s="604" t="inlineStr">
        <x:is>
          <x:t xml:space="preserve">瑞典 vs 罗马尼亚</x:t>
        </x:is>
      </x:c>
      <x:c r="G423" s="611" t="n">
        <x:v>1.05</x:v>
      </x:c>
      <x:c r="H423" s="611" t="n">
        <x:v>1.25</x:v>
      </x:c>
      <x:c r="I423" s="611" t="n">
        <x:v>0.83</x:v>
      </x:c>
      <x:c r="J423" s="604" t="inlineStr">
        <x:is>
          <x:t xml:space="preserve">1.05/1.25/0.83</x:t>
        </x:is>
      </x:c>
      <x:c r="K423" s="604" t="inlineStr">
        <x:is>
          <x:t xml:space="preserve">V4-C最新版候选</x:t>
        </x:is>
      </x:c>
      <x:c r="L423" s="604" t="inlineStr">
        <x:is>
          <x:t xml:space="preserve">瑞典</x:t>
        </x:is>
      </x:c>
      <x:c r="M423" s="606" t="n">
        <x:v>0.595</x:v>
      </x:c>
      <x:c r="N423" s="604" t="inlineStr">
        <x:is>
          <x:t xml:space="preserve">V4最新页面A/B/C候选</x:t>
        </x:is>
      </x:c>
      <x:c r="O423" s="604" t="inlineStr">
        <x:is>
          <x:t xml:space="preserve">2-1</x:t>
        </x:is>
      </x:c>
      <x:c r="P423" s="604" t="inlineStr">
        <x:is>
          <x:t xml:space="preserve">已结算</x:t>
        </x:is>
      </x:c>
      <x:c r="Q423" s="648" t="inlineStr">
        <x:is>
          <x:t xml:space="preserve">半黑</x:t>
        </x:is>
      </x:c>
      <x:c r="R423" s="607" t="n">
        <x:v>1.05</x:v>
      </x:c>
      <x:c r="S423" s="607" t="n">
        <x:f>IF(OR(Q423="",Q423="待结算"),"",IF(Q423="红",R423,IF(Q423="半红",R423*0.5,IF(Q423="走",0,IF(Q423="半黑",-0.5,-1)))))</x:f>
        <x:v>-0.5</x:v>
      </x:c>
      <x:c r="T423" s="604" t="inlineStr">
        <x:is>
          <x:t xml:space="preserve">https://simondongxiao.github.io/odds/v4/</x:t>
        </x:is>
      </x:c>
      <x:c r="U423" s="604" t="inlineStr">
        <x:is>
          <x:t xml:space="preserve">2981480</x:t>
        </x:is>
      </x:c>
      <x:c r="V423" s="607" t="inlineStr">
        <x:is>
          <x:t xml:space="preserve">v4-market-dirichlet-20260913</x:t>
        </x:is>
      </x:c>
      <x:c r="W423" s="607" t="n">
        <x:f>IF(OR(U423="",U423="待结算"),"",IF(U423="红",V423,IF(U423="半红",V423*0.5,IF(U423="走",0,IF(U423="半黑",-0.5,-1)))))</x:f>
        <x:v>-1</x:v>
      </x:c>
      <x:c r="X423" s="608" t="inlineStr">
        <x:is>
          <x:t xml:space="preserve">C</x:t>
        </x:is>
      </x:c>
      <x:c r="Y423" s="608" t="n"/>
      <x:c r="Z423" s="608" t="n"/>
      <x:c r="AA423" s="608" t="n"/>
      <x:c r="AB423" s="608" t="n"/>
      <x:c r="AC423" s="608" t="n"/>
      <x:c r="AD423" s="608" t="n"/>
      <x:c r="AE423" s="608" t="n"/>
      <x:c r="AF423" s="608" t="n"/>
      <x:c r="AG423" s="608" t="n"/>
      <x:c r="AH423" s="608" t="n"/>
      <x:c r="AI423" s="608" t="n"/>
      <x:c r="AJ423" s="608" t="n"/>
      <x:c r="AK423" s="608" t="n"/>
      <x:c r="AL423" s="608" t="n"/>
      <x:c r="AM423" s="608" t="n"/>
      <x:c r="AN423" s="608" t="n"/>
      <x:c r="AO423" s="608" t="n"/>
      <x:c r="AP423" s="608" t="n"/>
      <x:c r="AQ423" s="608" t="n"/>
      <x:c r="AR423" s="608" t="n"/>
      <x:c r="AS423" s="608" t="n"/>
      <x:c r="AT423" s="608" t="n"/>
      <x:c r="AU423" s="608" t="n"/>
      <x:c r="AV423" s="608" t="n"/>
      <x:c r="AW423" s="608" t="n"/>
      <x:c r="AX423" s="608" t="n"/>
      <x:c r="AY423" s="608" t="n"/>
    </x:row>
    <x:row r="424" ht="22" customHeight="1">
      <x:c r="A424" s="604" t="inlineStr">
        <x:is>
          <x:t xml:space="preserve">2026-09-25</x:t>
        </x:is>
      </x:c>
      <x:c r="B424" s="604" t="inlineStr">
        <x:is>
          <x:t xml:space="preserve">2026-09-26 02:45:00</x:t>
        </x:is>
      </x:c>
      <x:c r="C424" s="604" t="str">
        <x:v>欧洲非五大系列</x:v>
      </x:c>
      <x:c r="D424" s="604" t="inlineStr">
        <x:is>
          <x:t xml:space="preserve">联赛</x:t>
        </x:is>
      </x:c>
      <x:c r="E424" s="604" t="inlineStr">
        <x:is>
          <x:t xml:space="preserve">爱甲</x:t>
        </x:is>
      </x:c>
      <x:c r="F424" s="604" t="inlineStr">
        <x:is>
          <x:t xml:space="preserve">特瑞特联 vs 费恩哈普</x:t>
        </x:is>
      </x:c>
      <x:c r="G424" s="611" t="n">
        <x:v>0.78</x:v>
      </x:c>
      <x:c r="H424" s="611" t="n">
        <x:v>0.75</x:v>
      </x:c>
      <x:c r="I424" s="611" t="n">
        <x:v>0.98</x:v>
      </x:c>
      <x:c r="J424" s="604" t="inlineStr">
        <x:is>
          <x:t xml:space="preserve">0.78/0.75/0.98</x:t>
        </x:is>
      </x:c>
      <x:c r="K424" s="604" t="inlineStr">
        <x:is>
          <x:t xml:space="preserve">V4-C最新版候选</x:t>
        </x:is>
      </x:c>
      <x:c r="L424" s="604" t="inlineStr">
        <x:is>
          <x:t xml:space="preserve">费恩哈普</x:t>
        </x:is>
      </x:c>
      <x:c r="M424" s="606" t="n">
        <x:v>0.5226</x:v>
      </x:c>
      <x:c r="N424" s="604" t="inlineStr">
        <x:is>
          <x:t xml:space="preserve">V4最新页面A/B/C候选</x:t>
        </x:is>
      </x:c>
      <x:c r="O424" s="604" t="inlineStr">
        <x:is>
          <x:t xml:space="preserve">2-1</x:t>
        </x:is>
      </x:c>
      <x:c r="P424" s="604" t="inlineStr">
        <x:is>
          <x:t xml:space="preserve">已结算</x:t>
        </x:is>
      </x:c>
      <x:c r="Q424" s="648" t="inlineStr">
        <x:is>
          <x:t xml:space="preserve">半黑</x:t>
        </x:is>
      </x:c>
      <x:c r="R424" s="607" t="n">
        <x:v>0.98</x:v>
      </x:c>
      <x:c r="S424" s="607" t="n">
        <x:f>IF(OR(Q424="",Q424="待结算"),"",IF(Q424="红",R424,IF(Q424="半红",R424*0.5,IF(Q424="走",0,IF(Q424="半黑",-0.5,-1)))))</x:f>
        <x:v>-0.5</x:v>
      </x:c>
      <x:c r="T424" s="604" t="inlineStr">
        <x:is>
          <x:t xml:space="preserve">https://simondongxiao.github.io/odds/v4/</x:t>
        </x:is>
      </x:c>
      <x:c r="U424" s="604" t="inlineStr">
        <x:is>
          <x:t xml:space="preserve">2939060</x:t>
        </x:is>
      </x:c>
      <x:c r="V424" s="607" t="inlineStr">
        <x:is>
          <x:t xml:space="preserve">v4-market-dirichlet-20260913</x:t>
        </x:is>
      </x:c>
      <x:c r="W424" s="607" t="n">
        <x:f>IF(OR(U424="",U424="待结算"),"",IF(U424="红",V424,IF(U424="半红",V424*0.5,IF(U424="走",0,IF(U424="半黑",-0.5,-1)))))</x:f>
        <x:v>-1</x:v>
      </x:c>
      <x:c r="X424" s="608" t="inlineStr">
        <x:is>
          <x:t xml:space="preserve">C</x:t>
        </x:is>
      </x:c>
      <x:c r="Y424" s="608" t="n"/>
      <x:c r="Z424" s="608" t="n"/>
      <x:c r="AA424" s="608" t="n"/>
      <x:c r="AB424" s="608" t="n"/>
      <x:c r="AC424" s="608" t="n"/>
      <x:c r="AD424" s="608" t="n"/>
      <x:c r="AE424" s="608" t="n"/>
      <x:c r="AF424" s="608" t="n"/>
      <x:c r="AG424" s="608" t="n"/>
      <x:c r="AH424" s="608" t="n"/>
      <x:c r="AI424" s="608" t="n"/>
      <x:c r="AJ424" s="608" t="n"/>
      <x:c r="AK424" s="608" t="n"/>
      <x:c r="AL424" s="608" t="n"/>
      <x:c r="AM424" s="608" t="n"/>
      <x:c r="AN424" s="608" t="n"/>
      <x:c r="AO424" s="608" t="n"/>
      <x:c r="AP424" s="608" t="n"/>
      <x:c r="AQ424" s="608" t="n"/>
      <x:c r="AR424" s="608" t="n"/>
      <x:c r="AS424" s="608" t="n"/>
      <x:c r="AT424" s="608" t="n"/>
      <x:c r="AU424" s="608" t="n"/>
      <x:c r="AV424" s="608" t="n"/>
      <x:c r="AW424" s="608" t="n"/>
      <x:c r="AX424" s="608" t="n"/>
      <x:c r="AY424" s="608" t="n"/>
    </x:row>
    <x:row r="425" ht="22" customHeight="1">
      <x:c r="A425" s="604" t="inlineStr">
        <x:is>
          <x:t xml:space="preserve">2026-09-25</x:t>
        </x:is>
      </x:c>
      <x:c r="B425" s="604" t="inlineStr">
        <x:is>
          <x:t xml:space="preserve">2026-09-26 03:00:00</x:t>
        </x:is>
      </x:c>
      <x:c r="C425" s="604" t="str">
        <x:v>其他系列</x:v>
      </x:c>
      <x:c r="D425" s="604" t="inlineStr">
        <x:is>
          <x:t xml:space="preserve">杯赛</x:t>
        </x:is>
      </x:c>
      <x:c r="E425" s="604" t="inlineStr">
        <x:is>
          <x:t xml:space="preserve">非洲杯</x:t>
        </x:is>
      </x:c>
      <x:c r="F425" s="604" t="inlineStr">
        <x:is>
          <x:t xml:space="preserve">布基纳法索 vs 贝宁</x:t>
        </x:is>
      </x:c>
      <x:c r="G425" s="611" t="n">
        <x:v>0.8</x:v>
      </x:c>
      <x:c r="H425" s="611" t="n">
        <x:v>1</x:v>
      </x:c>
      <x:c r="I425" s="611" t="n">
        <x:v>0.96</x:v>
      </x:c>
      <x:c r="J425" s="604" t="inlineStr">
        <x:is>
          <x:t xml:space="preserve">0.8/1.0/0.96</x:t>
        </x:is>
      </x:c>
      <x:c r="K425" s="604" t="inlineStr">
        <x:is>
          <x:t xml:space="preserve">V4-C最新版候选</x:t>
        </x:is>
      </x:c>
      <x:c r="L425" s="604" t="inlineStr">
        <x:is>
          <x:t xml:space="preserve">贝宁</x:t>
        </x:is>
      </x:c>
      <x:c r="M425" s="606" t="n">
        <x:v>0.6836</x:v>
      </x:c>
      <x:c r="N425" s="604" t="inlineStr">
        <x:is>
          <x:t xml:space="preserve">V4最新页面A/B/C候选</x:t>
        </x:is>
      </x:c>
      <x:c r="O425" s="604" t="inlineStr">
        <x:is>
          <x:t xml:space="preserve">1-1</x:t>
        </x:is>
      </x:c>
      <x:c r="P425" s="604" t="inlineStr">
        <x:is>
          <x:t xml:space="preserve">已结算</x:t>
        </x:is>
      </x:c>
      <x:c r="Q425" s="645" t="inlineStr">
        <x:is>
          <x:t xml:space="preserve">红</x:t>
        </x:is>
      </x:c>
      <x:c r="R425" s="607" t="n">
        <x:v>0.96</x:v>
      </x:c>
      <x:c r="S425" s="607" t="n">
        <x:f>IF(OR(Q425="",Q425="待结算"),"",IF(Q425="红",R425,IF(Q425="半红",R425*0.5,IF(Q425="走",0,IF(Q425="半黑",-0.5,-1)))))</x:f>
        <x:v>0.96</x:v>
      </x:c>
      <x:c r="T425" s="604" t="inlineStr">
        <x:is>
          <x:t xml:space="preserve">https://simondongxiao.github.io/odds/v4/</x:t>
        </x:is>
      </x:c>
      <x:c r="U425" s="604" t="inlineStr">
        <x:is>
          <x:t xml:space="preserve">3001057</x:t>
        </x:is>
      </x:c>
      <x:c r="V425" s="607" t="inlineStr">
        <x:is>
          <x:t xml:space="preserve">v4-market-dirichlet-20260913</x:t>
        </x:is>
      </x:c>
      <x:c r="W425" s="607" t="n">
        <x:f>IF(OR(U425="",U425="待结算"),"",IF(U425="红",V425,IF(U425="半红",V425*0.5,IF(U425="走",0,IF(U425="半黑",-0.5,-1)))))</x:f>
        <x:v>-1</x:v>
      </x:c>
      <x:c r="X425" s="608" t="inlineStr">
        <x:is>
          <x:t xml:space="preserve">C</x:t>
        </x:is>
      </x:c>
      <x:c r="Y425" s="608" t="n"/>
      <x:c r="Z425" s="608" t="n"/>
      <x:c r="AA425" s="608" t="n"/>
      <x:c r="AB425" s="608" t="n"/>
      <x:c r="AC425" s="608" t="n"/>
      <x:c r="AD425" s="608" t="n"/>
      <x:c r="AE425" s="608" t="n"/>
      <x:c r="AF425" s="608" t="n"/>
      <x:c r="AG425" s="608" t="n"/>
      <x:c r="AH425" s="608" t="n"/>
      <x:c r="AI425" s="608" t="n"/>
      <x:c r="AJ425" s="608" t="n"/>
      <x:c r="AK425" s="608" t="n"/>
      <x:c r="AL425" s="608" t="n"/>
      <x:c r="AM425" s="608" t="n"/>
      <x:c r="AN425" s="608" t="n"/>
      <x:c r="AO425" s="608" t="n"/>
      <x:c r="AP425" s="608" t="n"/>
      <x:c r="AQ425" s="608" t="n"/>
      <x:c r="AR425" s="608" t="n"/>
      <x:c r="AS425" s="608" t="n"/>
      <x:c r="AT425" s="608" t="n"/>
      <x:c r="AU425" s="608" t="n"/>
      <x:c r="AV425" s="608" t="n"/>
      <x:c r="AW425" s="608" t="n"/>
      <x:c r="AX425" s="608" t="n"/>
      <x:c r="AY425" s="608" t="n"/>
    </x:row>
    <x:row r="426" ht="22" customHeight="1">
      <x:c r="A426" s="604" t="inlineStr">
        <x:is>
          <x:t xml:space="preserve">2026-09-25</x:t>
        </x:is>
      </x:c>
      <x:c r="B426" s="604" t="inlineStr">
        <x:is>
          <x:t xml:space="preserve">2026-09-26 06:30:00</x:t>
        </x:is>
      </x:c>
      <x:c r="C426" s="604" t="str">
        <x:v>南美系列</x:v>
      </x:c>
      <x:c r="D426" s="604" t="inlineStr">
        <x:is>
          <x:t xml:space="preserve">联赛</x:t>
        </x:is>
      </x:c>
      <x:c r="E426" s="604" t="inlineStr">
        <x:is>
          <x:t xml:space="preserve">巴西乙</x:t>
        </x:is>
      </x:c>
      <x:c r="F426" s="604" t="inlineStr">
        <x:is>
          <x:t xml:space="preserve">诺瓦里桑蒂诺 vs 圣贝纳多</x:t>
        </x:is>
      </x:c>
      <x:c r="G426" s="611" t="n">
        <x:v>0.9399999999999999</x:v>
      </x:c>
      <x:c r="H426" s="611" t="n">
        <x:v>1</x:v>
      </x:c>
      <x:c r="I426" s="611" t="n">
        <x:v>0.9399999999999999</x:v>
      </x:c>
      <x:c r="J426" s="604" t="inlineStr">
        <x:is>
          <x:t xml:space="preserve">0.94/1.0/0.94</x:t>
        </x:is>
      </x:c>
      <x:c r="K426" s="604" t="inlineStr">
        <x:is>
          <x:t xml:space="preserve">V4-C最新版候选</x:t>
        </x:is>
      </x:c>
      <x:c r="L426" s="604" t="inlineStr">
        <x:is>
          <x:t xml:space="preserve">圣贝纳多</x:t>
        </x:is>
      </x:c>
      <x:c r="M426" s="606" t="n">
        <x:v>0.6652</x:v>
      </x:c>
      <x:c r="N426" s="604" t="inlineStr">
        <x:is>
          <x:t xml:space="preserve">V4最新页面A/B/C候选</x:t>
        </x:is>
      </x:c>
      <x:c r="O426" s="604" t="inlineStr">
        <x:is>
          <x:t xml:space="preserve">0-0</x:t>
        </x:is>
      </x:c>
      <x:c r="P426" s="604" t="inlineStr">
        <x:is>
          <x:t xml:space="preserve">已结算</x:t>
        </x:is>
      </x:c>
      <x:c r="Q426" s="645" t="inlineStr">
        <x:is>
          <x:t xml:space="preserve">红</x:t>
        </x:is>
      </x:c>
      <x:c r="R426" s="607" t="n">
        <x:v>0.9399999999999999</x:v>
      </x:c>
      <x:c r="S426" s="607" t="n">
        <x:f>IF(OR(Q426="",Q426="待结算"),"",IF(Q426="红",R426,IF(Q426="半红",R426*0.5,IF(Q426="走",0,IF(Q426="半黑",-0.5,-1)))))</x:f>
        <x:v>0.94</x:v>
      </x:c>
      <x:c r="T426" s="604" t="inlineStr">
        <x:is>
          <x:t xml:space="preserve">https://simondongxiao.github.io/odds/v4/</x:t>
        </x:is>
      </x:c>
      <x:c r="U426" s="604" t="inlineStr">
        <x:is>
          <x:t xml:space="preserve">2940202</x:t>
        </x:is>
      </x:c>
      <x:c r="V426" s="607" t="inlineStr">
        <x:is>
          <x:t xml:space="preserve">v4-market-dirichlet-20260913</x:t>
        </x:is>
      </x:c>
      <x:c r="W426" s="607" t="n">
        <x:f>IF(OR(U426="",U426="待结算"),"",IF(U426="红",V426,IF(U426="半红",V426*0.5,IF(U426="走",0,IF(U426="半黑",-0.5,-1)))))</x:f>
        <x:v>-1</x:v>
      </x:c>
      <x:c r="X426" s="608" t="inlineStr">
        <x:is>
          <x:t xml:space="preserve">C</x:t>
        </x:is>
      </x:c>
      <x:c r="Y426" s="608" t="n"/>
      <x:c r="Z426" s="608" t="n"/>
      <x:c r="AA426" s="608" t="n"/>
      <x:c r="AB426" s="608" t="n"/>
      <x:c r="AC426" s="608" t="n"/>
      <x:c r="AD426" s="608" t="n"/>
      <x:c r="AE426" s="608" t="n"/>
      <x:c r="AF426" s="608" t="n"/>
      <x:c r="AG426" s="608" t="n"/>
      <x:c r="AH426" s="608" t="n"/>
      <x:c r="AI426" s="608" t="n"/>
      <x:c r="AJ426" s="608" t="n"/>
      <x:c r="AK426" s="608" t="n"/>
      <x:c r="AL426" s="608" t="n"/>
      <x:c r="AM426" s="608" t="n"/>
      <x:c r="AN426" s="608" t="n"/>
      <x:c r="AO426" s="608" t="n"/>
      <x:c r="AP426" s="608" t="n"/>
      <x:c r="AQ426" s="608" t="n"/>
      <x:c r="AR426" s="608" t="n"/>
      <x:c r="AS426" s="608" t="n"/>
      <x:c r="AT426" s="608" t="n"/>
      <x:c r="AU426" s="608" t="n"/>
      <x:c r="AV426" s="608" t="n"/>
      <x:c r="AW426" s="608" t="n"/>
      <x:c r="AX426" s="608" t="n"/>
      <x:c r="AY426" s="608" t="n"/>
    </x:row>
    <x:row r="427" ht="22" customHeight="1">
      <x:c r="A427" s="604" t="inlineStr">
        <x:is>
          <x:t xml:space="preserve">2026-09-25</x:t>
        </x:is>
      </x:c>
      <x:c r="B427" s="604" t="inlineStr">
        <x:is>
          <x:t xml:space="preserve">2026-09-26 07:00:00</x:t>
        </x:is>
      </x:c>
      <x:c r="C427" s="604" t="str">
        <x:v>南美系列</x:v>
      </x:c>
      <x:c r="D427" s="604" t="inlineStr">
        <x:is>
          <x:t xml:space="preserve">杯赛</x:t>
        </x:is>
      </x:c>
      <x:c r="E427" s="604" t="inlineStr">
        <x:is>
          <x:t xml:space="preserve">智利杯</x:t>
        </x:is>
      </x:c>
      <x:c r="F427" s="604" t="inlineStr">
        <x:is>
          <x:t xml:space="preserve">科洛科洛 vs 奥达斯</x:t>
        </x:is>
      </x:c>
      <x:c r="G427" s="611" t="n">
        <x:v>0.86</x:v>
      </x:c>
      <x:c r="H427" s="611" t="n">
        <x:v>1</x:v>
      </x:c>
      <x:c r="I427" s="611" t="n">
        <x:v>0.96</x:v>
      </x:c>
      <x:c r="J427" s="604" t="inlineStr">
        <x:is>
          <x:t xml:space="preserve">0.86/1.0/0.96</x:t>
        </x:is>
      </x:c>
      <x:c r="K427" s="604" t="inlineStr">
        <x:is>
          <x:t xml:space="preserve">V4-C最新版候选</x:t>
        </x:is>
      </x:c>
      <x:c r="L427" s="604" t="inlineStr">
        <x:is>
          <x:t xml:space="preserve">奥达斯</x:t>
        </x:is>
      </x:c>
      <x:c r="M427" s="606" t="n">
        <x:v>0.6834</x:v>
      </x:c>
      <x:c r="N427" s="604" t="inlineStr">
        <x:is>
          <x:t xml:space="preserve">V4最新页面A/B/C候选</x:t>
        </x:is>
      </x:c>
      <x:c r="O427" s="604" t="inlineStr">
        <x:is>
          <x:t xml:space="preserve">1-0</x:t>
        </x:is>
      </x:c>
      <x:c r="P427" s="604" t="inlineStr">
        <x:is>
          <x:t xml:space="preserve">已结算</x:t>
        </x:is>
      </x:c>
      <x:c r="Q427" s="647" t="inlineStr">
        <x:is>
          <x:t xml:space="preserve">走</x:t>
        </x:is>
      </x:c>
      <x:c r="R427" s="607" t="n">
        <x:v>0.96</x:v>
      </x:c>
      <x:c r="S427" s="607" t="n">
        <x:f>IF(OR(Q427="",Q427="待结算"),"",IF(Q427="红",R427,IF(Q427="半红",R427*0.5,IF(Q427="走",0,IF(Q427="半黑",-0.5,-1)))))</x:f>
        <x:v>0</x:v>
      </x:c>
      <x:c r="T427" s="604" t="inlineStr">
        <x:is>
          <x:t xml:space="preserve">https://simondongxiao.github.io/odds/v4/</x:t>
        </x:is>
      </x:c>
      <x:c r="U427" s="604" t="inlineStr">
        <x:is>
          <x:t xml:space="preserve">3086928</x:t>
        </x:is>
      </x:c>
      <x:c r="V427" s="607" t="inlineStr">
        <x:is>
          <x:t xml:space="preserve">v4-market-dirichlet-20260913</x:t>
        </x:is>
      </x:c>
      <x:c r="W427" s="607" t="n">
        <x:f>IF(OR(U427="",U427="待结算"),"",IF(U427="红",V427,IF(U427="半红",V427*0.5,IF(U427="走",0,IF(U427="半黑",-0.5,-1)))))</x:f>
        <x:v>-1</x:v>
      </x:c>
      <x:c r="X427" s="608" t="inlineStr">
        <x:is>
          <x:t xml:space="preserve">C</x:t>
        </x:is>
      </x:c>
      <x:c r="Y427" s="608" t="n"/>
      <x:c r="Z427" s="608" t="n"/>
      <x:c r="AA427" s="608" t="n"/>
      <x:c r="AB427" s="608" t="n"/>
      <x:c r="AC427" s="608" t="n"/>
      <x:c r="AD427" s="608" t="n"/>
      <x:c r="AE427" s="608" t="n"/>
      <x:c r="AF427" s="608" t="n"/>
      <x:c r="AG427" s="608" t="n"/>
      <x:c r="AH427" s="608" t="n"/>
      <x:c r="AI427" s="608" t="n"/>
      <x:c r="AJ427" s="608" t="n"/>
      <x:c r="AK427" s="608" t="n"/>
      <x:c r="AL427" s="608" t="n"/>
      <x:c r="AM427" s="608" t="n"/>
      <x:c r="AN427" s="608" t="n"/>
      <x:c r="AO427" s="608" t="n"/>
      <x:c r="AP427" s="608" t="n"/>
      <x:c r="AQ427" s="608" t="n"/>
      <x:c r="AR427" s="608" t="n"/>
      <x:c r="AS427" s="608" t="n"/>
      <x:c r="AT427" s="608" t="n"/>
      <x:c r="AU427" s="608" t="n"/>
      <x:c r="AV427" s="608" t="n"/>
      <x:c r="AW427" s="608" t="n"/>
      <x:c r="AX427" s="608" t="n"/>
      <x:c r="AY427" s="608" t="n"/>
    </x:row>
    <x:row r="428" ht="22" customHeight="1">
      <x:c r="A428" s="604" t="inlineStr">
        <x:is>
          <x:t xml:space="preserve">2026-09-25</x:t>
        </x:is>
      </x:c>
      <x:c r="B428" s="604" t="inlineStr">
        <x:is>
          <x:t xml:space="preserve">2026-09-26 07:30:00</x:t>
        </x:is>
      </x:c>
      <x:c r="C428" s="604" t="str">
        <x:v>南美系列</x:v>
      </x:c>
      <x:c r="D428" s="604" t="inlineStr">
        <x:is>
          <x:t xml:space="preserve">联赛</x:t>
        </x:is>
      </x:c>
      <x:c r="E428" s="604" t="inlineStr">
        <x:is>
          <x:t xml:space="preserve">巴西乙</x:t>
        </x:is>
      </x:c>
      <x:c r="F428" s="604" t="inlineStr">
        <x:is>
          <x:t xml:space="preserve">维拉诺瓦 vs 隆迪那</x:t>
        </x:is>
      </x:c>
      <x:c r="G428" s="611" t="n">
        <x:v>0.82</x:v>
      </x:c>
      <x:c r="H428" s="611" t="n">
        <x:v>0.75</x:v>
      </x:c>
      <x:c r="I428" s="611" t="n">
        <x:v>1.06</x:v>
      </x:c>
      <x:c r="J428" s="604" t="inlineStr">
        <x:is>
          <x:t xml:space="preserve">0.82/0.75/1.06</x:t>
        </x:is>
      </x:c>
      <x:c r="K428" s="604" t="inlineStr">
        <x:is>
          <x:t xml:space="preserve">V4-C最新版候选</x:t>
        </x:is>
      </x:c>
      <x:c r="L428" s="604" t="inlineStr">
        <x:is>
          <x:t xml:space="preserve">隆迪那</x:t>
        </x:is>
      </x:c>
      <x:c r="M428" s="606" t="n">
        <x:v>0.6766</x:v>
      </x:c>
      <x:c r="N428" s="604" t="inlineStr">
        <x:is>
          <x:t xml:space="preserve">V4最新页面A/B/C候选</x:t>
        </x:is>
      </x:c>
      <x:c r="O428" s="604" t="inlineStr">
        <x:is>
          <x:t xml:space="preserve">2-0</x:t>
        </x:is>
      </x:c>
      <x:c r="P428" s="604" t="inlineStr">
        <x:is>
          <x:t xml:space="preserve">已结算</x:t>
        </x:is>
      </x:c>
      <x:c r="Q428" s="646" t="inlineStr">
        <x:is>
          <x:t xml:space="preserve">黑</x:t>
        </x:is>
      </x:c>
      <x:c r="R428" s="607" t="n">
        <x:v>1.06</x:v>
      </x:c>
      <x:c r="S428" s="607" t="n">
        <x:f>IF(OR(Q428="",Q428="待结算"),"",IF(Q428="红",R428,IF(Q428="半红",R428*0.5,IF(Q428="走",0,IF(Q428="半黑",-0.5,-1)))))</x:f>
        <x:v>-1</x:v>
      </x:c>
      <x:c r="T428" s="604" t="inlineStr">
        <x:is>
          <x:t xml:space="preserve">https://www.cbf.com.br/futebol-brasileiro/jogos/campeonato-brasileiro/serie-b/2026/vila-nova-x-londrina-saf/833191?view=escala-de-arbitros</x:t>
        </x:is>
      </x:c>
      <x:c r="U428" s="604" t="inlineStr">
        <x:is>
          <x:t xml:space="preserve">2940204</x:t>
        </x:is>
      </x:c>
      <x:c r="V428" s="607" t="inlineStr">
        <x:is>
          <x:t xml:space="preserve">v4-market-dirichlet-20260913</x:t>
        </x:is>
      </x:c>
      <x:c r="W428" s="607" t="n">
        <x:f>IF(OR(U428="",U428="待结算"),"",IF(U428="红",V428,IF(U428="半红",V428*0.5,IF(U428="走",0,IF(U428="半黑",-0.5,-1)))))</x:f>
        <x:v>-1</x:v>
      </x:c>
      <x:c r="X428" s="608" t="inlineStr">
        <x:is>
          <x:t xml:space="preserve">C</x:t>
        </x:is>
      </x:c>
      <x:c r="Y428" s="608" t="n"/>
      <x:c r="Z428" s="608" t="n"/>
      <x:c r="AA428" s="608" t="n"/>
      <x:c r="AB428" s="608" t="n"/>
      <x:c r="AC428" s="608" t="n"/>
      <x:c r="AD428" s="608" t="n"/>
      <x:c r="AE428" s="608" t="n"/>
      <x:c r="AF428" s="608" t="n"/>
      <x:c r="AG428" s="608" t="n"/>
      <x:c r="AH428" s="608" t="n"/>
      <x:c r="AI428" s="608" t="n"/>
      <x:c r="AJ428" s="608" t="n"/>
      <x:c r="AK428" s="608" t="n"/>
      <x:c r="AL428" s="608" t="n"/>
      <x:c r="AM428" s="608" t="n"/>
      <x:c r="AN428" s="608" t="n"/>
      <x:c r="AO428" s="608" t="n"/>
      <x:c r="AP428" s="608" t="n"/>
      <x:c r="AQ428" s="608" t="n"/>
      <x:c r="AR428" s="608" t="n"/>
      <x:c r="AS428" s="608" t="n"/>
      <x:c r="AT428" s="608" t="n"/>
      <x:c r="AU428" s="608" t="n"/>
      <x:c r="AV428" s="608" t="n"/>
      <x:c r="AW428" s="608" t="n"/>
      <x:c r="AX428" s="608" t="n"/>
      <x:c r="AY428" s="608" t="n"/>
    </x:row>
    <x:row r="429" ht="22" customHeight="1">
      <x:c r="A429" s="604" t="inlineStr">
        <x:is>
          <x:t xml:space="preserve">2026-09-26</x:t>
        </x:is>
      </x:c>
      <x:c r="B429" s="604" t="inlineStr">
        <x:is>
          <x:t xml:space="preserve">2026-09-26 10:30:00</x:t>
        </x:is>
      </x:c>
      <x:c r="C429" s="604" t="str">
        <x:v>其他系列</x:v>
      </x:c>
      <x:c r="D429" s="604" t="inlineStr">
        <x:is>
          <x:t xml:space="preserve">联赛</x:t>
        </x:is>
      </x:c>
      <x:c r="E429" s="604" t="inlineStr">
        <x:is>
          <x:t xml:space="preserve">新西兰联</x:t>
        </x:is>
      </x:c>
      <x:c r="F429" s="604" t="inlineStr">
        <x:is>
          <x:t xml:space="preserve">威灵顿凤凰后备队 vs 奥克兰联</x:t>
        </x:is>
      </x:c>
      <x:c r="G429" s="611" t="n">
        <x:v>1.04</x:v>
      </x:c>
      <x:c r="H429" s="611" t="n">
        <x:v>-1</x:v>
      </x:c>
      <x:c r="I429" s="611" t="n">
        <x:v>0.78</x:v>
      </x:c>
      <x:c r="J429" s="604" t="inlineStr">
        <x:is>
          <x:t xml:space="preserve">1.04/-1.0/0.78</x:t>
        </x:is>
      </x:c>
      <x:c r="K429" s="604" t="inlineStr">
        <x:is>
          <x:t xml:space="preserve">V4-C最新版候选</x:t>
        </x:is>
      </x:c>
      <x:c r="L429" s="604" t="inlineStr">
        <x:is>
          <x:t xml:space="preserve">威灵顿凤凰后备队</x:t>
        </x:is>
      </x:c>
      <x:c r="M429" s="606" t="n">
        <x:v>0.7917999999999999</x:v>
      </x:c>
      <x:c r="N429" s="604" t="inlineStr">
        <x:is>
          <x:t xml:space="preserve">V4最新页面A/B/C候选</x:t>
        </x:is>
      </x:c>
      <x:c r="O429" s="604" t="inlineStr">
        <x:is>
          <x:t xml:space="preserve">1-1</x:t>
        </x:is>
      </x:c>
      <x:c r="P429" s="604" t="inlineStr">
        <x:is>
          <x:t xml:space="preserve">已结算</x:t>
        </x:is>
      </x:c>
      <x:c r="Q429" s="645" t="inlineStr">
        <x:is>
          <x:t xml:space="preserve">红</x:t>
        </x:is>
      </x:c>
      <x:c r="R429" s="607" t="n">
        <x:v>1.04</x:v>
      </x:c>
      <x:c r="S429" s="607" t="n">
        <x:f>IF(OR(Q429="",Q429="待结算"),"",IF(Q429="红",R429,IF(Q429="半红",R429*0.5,IF(Q429="走",0,IF(Q429="半黑",-0.5,-1)))))</x:f>
        <x:v>1.04</x:v>
      </x:c>
      <x:c r="T429" s="604" t="inlineStr">
        <x:is>
          <x:t xml:space="preserve">https://simondongxiao.github.io/odds/v4/</x:t>
        </x:is>
      </x:c>
      <x:c r="U429" s="604" t="inlineStr">
        <x:is>
          <x:t xml:space="preserve">3092292</x:t>
        </x:is>
      </x:c>
      <x:c r="V429" s="607" t="inlineStr">
        <x:is>
          <x:t xml:space="preserve">v4-market-dirichlet-20260913</x:t>
        </x:is>
      </x:c>
      <x:c r="W429" s="607" t="n">
        <x:f>IF(OR(U429="",U429="待结算"),"",IF(U429="红",V429,IF(U429="半红",V429*0.5,IF(U429="走",0,IF(U429="半黑",-0.5,-1)))))</x:f>
        <x:v>-1</x:v>
      </x:c>
      <x:c r="X429" s="608" t="inlineStr">
        <x:is>
          <x:t xml:space="preserve">C</x:t>
        </x:is>
      </x:c>
      <x:c r="Y429" s="608" t="n"/>
      <x:c r="Z429" s="608" t="n"/>
      <x:c r="AA429" s="608" t="n"/>
      <x:c r="AB429" s="608" t="n"/>
      <x:c r="AC429" s="608" t="n"/>
      <x:c r="AD429" s="608" t="n"/>
      <x:c r="AE429" s="608" t="n"/>
      <x:c r="AF429" s="608" t="n"/>
      <x:c r="AG429" s="608" t="n"/>
      <x:c r="AH429" s="608" t="n"/>
      <x:c r="AI429" s="608" t="n"/>
      <x:c r="AJ429" s="608" t="n"/>
      <x:c r="AK429" s="608" t="n"/>
      <x:c r="AL429" s="608" t="n"/>
      <x:c r="AM429" s="608" t="n"/>
      <x:c r="AN429" s="608" t="n"/>
      <x:c r="AO429" s="608" t="n"/>
      <x:c r="AP429" s="608" t="n"/>
      <x:c r="AQ429" s="608" t="n"/>
      <x:c r="AR429" s="608" t="n"/>
      <x:c r="AS429" s="608" t="n"/>
      <x:c r="AT429" s="608" t="n"/>
      <x:c r="AU429" s="608" t="n"/>
      <x:c r="AV429" s="608" t="n"/>
      <x:c r="AW429" s="608" t="n"/>
      <x:c r="AX429" s="608" t="n"/>
      <x:c r="AY429" s="608" t="n"/>
    </x:row>
    <x:row r="430" ht="22" customHeight="1">
      <x:c r="A430" s="604" t="inlineStr">
        <x:is>
          <x:t xml:space="preserve">2026-09-26</x:t>
        </x:is>
      </x:c>
      <x:c r="B430" s="604" t="inlineStr">
        <x:is>
          <x:t xml:space="preserve">2026-09-26 11:30:00</x:t>
        </x:is>
      </x:c>
      <x:c r="C430" s="604" t="str">
        <x:v>其他系列</x:v>
      </x:c>
      <x:c r="D430" s="604" t="inlineStr">
        <x:is>
          <x:t xml:space="preserve">联赛</x:t>
        </x:is>
      </x:c>
      <x:c r="E430" s="604" t="inlineStr">
        <x:is>
          <x:t xml:space="preserve">新西兰联</x:t>
        </x:is>
      </x:c>
      <x:c r="F430" s="604" t="inlineStr">
        <x:is>
          <x:t xml:space="preserve">菲利米德海湾 vs 伊斯特恩沙伯奥克兰</x:t>
        </x:is>
      </x:c>
      <x:c r="G430" s="611" t="n">
        <x:v>1.01</x:v>
      </x:c>
      <x:c r="H430" s="611" t="n">
        <x:v>-0.75</x:v>
      </x:c>
      <x:c r="I430" s="611" t="n">
        <x:v>0.8100000000000001</x:v>
      </x:c>
      <x:c r="J430" s="604" t="inlineStr">
        <x:is>
          <x:t xml:space="preserve">1.01/-0.75/0.81</x:t>
        </x:is>
      </x:c>
      <x:c r="K430" s="604" t="inlineStr">
        <x:is>
          <x:t xml:space="preserve">V4-C最新版候选</x:t>
        </x:is>
      </x:c>
      <x:c r="L430" s="604" t="inlineStr">
        <x:is>
          <x:t xml:space="preserve">菲利米德海湾</x:t>
        </x:is>
      </x:c>
      <x:c r="M430" s="606" t="n">
        <x:v>0.5804</x:v>
      </x:c>
      <x:c r="N430" s="604" t="inlineStr">
        <x:is>
          <x:t xml:space="preserve">V4最新页面A/B/C候选</x:t>
        </x:is>
      </x:c>
      <x:c r="O430" s="604" t="inlineStr">
        <x:is>
          <x:t xml:space="preserve">0-0</x:t>
        </x:is>
      </x:c>
      <x:c r="P430" s="604" t="inlineStr">
        <x:is>
          <x:t xml:space="preserve">已结算</x:t>
        </x:is>
      </x:c>
      <x:c r="Q430" s="645" t="inlineStr">
        <x:is>
          <x:t xml:space="preserve">红</x:t>
        </x:is>
      </x:c>
      <x:c r="R430" s="607" t="n">
        <x:v>1.01</x:v>
      </x:c>
      <x:c r="S430" s="607" t="n">
        <x:f>IF(OR(Q430="",Q430="待结算"),"",IF(Q430="红",R430,IF(Q430="半红",R430*0.5,IF(Q430="走",0,IF(Q430="半黑",-0.5,-1)))))</x:f>
        <x:v>1.01</x:v>
      </x:c>
      <x:c r="T430" s="604" t="inlineStr">
        <x:is>
          <x:t xml:space="preserve">https://simondongxiao.github.io/odds/v4/</x:t>
        </x:is>
      </x:c>
      <x:c r="U430" s="604" t="inlineStr">
        <x:is>
          <x:t xml:space="preserve">3092293</x:t>
        </x:is>
      </x:c>
      <x:c r="V430" s="607" t="inlineStr">
        <x:is>
          <x:t xml:space="preserve">v4-market-dirichlet-20260913</x:t>
        </x:is>
      </x:c>
      <x:c r="W430" s="607" t="n">
        <x:f>IF(OR(U430="",U430="待结算"),"",IF(U430="红",V430,IF(U430="半红",V430*0.5,IF(U430="走",0,IF(U430="半黑",-0.5,-1)))))</x:f>
        <x:v>-1</x:v>
      </x:c>
      <x:c r="X430" s="608" t="inlineStr">
        <x:is>
          <x:t xml:space="preserve">C</x:t>
        </x:is>
      </x:c>
      <x:c r="Y430" s="608" t="n"/>
      <x:c r="Z430" s="608" t="n"/>
      <x:c r="AA430" s="608" t="n"/>
      <x:c r="AB430" s="608" t="n"/>
      <x:c r="AC430" s="608" t="n"/>
      <x:c r="AD430" s="608" t="n"/>
      <x:c r="AE430" s="608" t="n"/>
      <x:c r="AF430" s="608" t="n"/>
      <x:c r="AG430" s="608" t="n"/>
      <x:c r="AH430" s="608" t="n"/>
      <x:c r="AI430" s="608" t="n"/>
      <x:c r="AJ430" s="608" t="n"/>
      <x:c r="AK430" s="608" t="n"/>
      <x:c r="AL430" s="608" t="n"/>
      <x:c r="AM430" s="608" t="n"/>
      <x:c r="AN430" s="608" t="n"/>
      <x:c r="AO430" s="608" t="n"/>
      <x:c r="AP430" s="608" t="n"/>
      <x:c r="AQ430" s="608" t="n"/>
      <x:c r="AR430" s="608" t="n"/>
      <x:c r="AS430" s="608" t="n"/>
      <x:c r="AT430" s="608" t="n"/>
      <x:c r="AU430" s="608" t="n"/>
      <x:c r="AV430" s="608" t="n"/>
      <x:c r="AW430" s="608" t="n"/>
      <x:c r="AX430" s="608" t="n"/>
      <x:c r="AY430" s="608" t="n"/>
    </x:row>
    <x:row r="431" ht="22" customHeight="1">
      <x:c r="A431" s="604" t="inlineStr">
        <x:is>
          <x:t xml:space="preserve">2026-09-26</x:t>
        </x:is>
      </x:c>
      <x:c r="B431" s="604" t="inlineStr">
        <x:is>
          <x:t xml:space="preserve">2026-09-26 12:00:00</x:t>
        </x:is>
      </x:c>
      <x:c r="C431" s="604" t="str">
        <x:v>日韩系列</x:v>
      </x:c>
      <x:c r="D431" s="604" t="inlineStr">
        <x:is>
          <x:t xml:space="preserve">联赛</x:t>
        </x:is>
      </x:c>
      <x:c r="E431" s="604" t="inlineStr">
        <x:is>
          <x:t xml:space="preserve">日职丙</x:t>
        </x:is>
      </x:c>
      <x:c r="F431" s="604" t="inlineStr">
        <x:is>
          <x:t xml:space="preserve">金泽 vs 鸟取飞翔</x:t>
        </x:is>
      </x:c>
      <x:c r="G431" s="611" t="n">
        <x:v>0.7</x:v>
      </x:c>
      <x:c r="H431" s="611" t="n">
        <x:v>0.5</x:v>
      </x:c>
      <x:c r="I431" s="611" t="n">
        <x:v>1.06</x:v>
      </x:c>
      <x:c r="J431" s="604" t="inlineStr">
        <x:is>
          <x:t xml:space="preserve">0.7/0.5/1.06</x:t>
        </x:is>
      </x:c>
      <x:c r="K431" s="604" t="inlineStr">
        <x:is>
          <x:t xml:space="preserve">V4-C最新版候选</x:t>
        </x:is>
      </x:c>
      <x:c r="L431" s="604" t="inlineStr">
        <x:is>
          <x:t xml:space="preserve">鸟取飞翔</x:t>
        </x:is>
      </x:c>
      <x:c r="M431" s="606" t="n">
        <x:v>0.681</x:v>
      </x:c>
      <x:c r="N431" s="604" t="inlineStr">
        <x:is>
          <x:t xml:space="preserve">V4最新页面A/B/C候选</x:t>
        </x:is>
      </x:c>
      <x:c r="O431" s="604" t="inlineStr">
        <x:is>
          <x:t xml:space="preserve">4-1</x:t>
        </x:is>
      </x:c>
      <x:c r="P431" s="604" t="inlineStr">
        <x:is>
          <x:t xml:space="preserve">已结算</x:t>
        </x:is>
      </x:c>
      <x:c r="Q431" s="646" t="inlineStr">
        <x:is>
          <x:t xml:space="preserve">黑</x:t>
        </x:is>
      </x:c>
      <x:c r="R431" s="607" t="n">
        <x:v>1.06</x:v>
      </x:c>
      <x:c r="S431" s="607" t="n">
        <x:f>IF(OR(Q431="",Q431="待结算"),"",IF(Q431="红",R431,IF(Q431="半红",R431*0.5,IF(Q431="走",0,IF(Q431="半黑",-0.5,-1)))))</x:f>
        <x:v>-1</x:v>
      </x:c>
      <x:c r="T431" s="604" t="inlineStr">
        <x:is>
          <x:t xml:space="preserve">https://simondongxiao.github.io/odds/v4/</x:t>
        </x:is>
      </x:c>
      <x:c r="U431" s="604" t="inlineStr">
        <x:is>
          <x:t xml:space="preserve">3001194</x:t>
        </x:is>
      </x:c>
      <x:c r="V431" s="607" t="inlineStr">
        <x:is>
          <x:t xml:space="preserve">v4-market-dirichlet-20260913</x:t>
        </x:is>
      </x:c>
      <x:c r="W431" s="607" t="n">
        <x:f>IF(OR(U431="",U431="待结算"),"",IF(U431="红",V431,IF(U431="半红",V431*0.5,IF(U431="走",0,IF(U431="半黑",-0.5,-1)))))</x:f>
        <x:v>-1</x:v>
      </x:c>
      <x:c r="X431" s="608" t="inlineStr">
        <x:is>
          <x:t xml:space="preserve">C</x:t>
        </x:is>
      </x:c>
      <x:c r="Y431" s="608" t="n"/>
      <x:c r="Z431" s="608" t="n"/>
      <x:c r="AA431" s="608" t="n"/>
      <x:c r="AB431" s="608" t="n"/>
      <x:c r="AC431" s="608" t="n"/>
      <x:c r="AD431" s="608" t="n"/>
      <x:c r="AE431" s="608" t="n"/>
      <x:c r="AF431" s="608" t="n"/>
      <x:c r="AG431" s="608" t="n"/>
      <x:c r="AH431" s="608" t="n"/>
      <x:c r="AI431" s="608" t="n"/>
      <x:c r="AJ431" s="608" t="n"/>
      <x:c r="AK431" s="608" t="n"/>
      <x:c r="AL431" s="608" t="n"/>
      <x:c r="AM431" s="608" t="n"/>
      <x:c r="AN431" s="608" t="n"/>
      <x:c r="AO431" s="608" t="n"/>
      <x:c r="AP431" s="608" t="n"/>
      <x:c r="AQ431" s="608" t="n"/>
      <x:c r="AR431" s="608" t="n"/>
      <x:c r="AS431" s="608" t="n"/>
      <x:c r="AT431" s="608" t="n"/>
      <x:c r="AU431" s="608" t="n"/>
      <x:c r="AV431" s="608" t="n"/>
      <x:c r="AW431" s="608" t="n"/>
      <x:c r="AX431" s="608" t="n"/>
      <x:c r="AY431" s="608" t="n"/>
    </x:row>
    <x:row r="432" ht="22" customHeight="1">
      <x:c r="A432" s="604" t="inlineStr">
        <x:is>
          <x:t xml:space="preserve">2026-09-26</x:t>
        </x:is>
      </x:c>
      <x:c r="B432" s="604" t="inlineStr">
        <x:is>
          <x:t xml:space="preserve">2026-09-26 12:00:00</x:t>
        </x:is>
      </x:c>
      <x:c r="C432" s="604" t="str">
        <x:v>日韩系列</x:v>
      </x:c>
      <x:c r="D432" s="604" t="inlineStr">
        <x:is>
          <x:t xml:space="preserve">联赛</x:t>
        </x:is>
      </x:c>
      <x:c r="E432" s="604" t="inlineStr">
        <x:is>
          <x:t xml:space="preserve">日职女甲</x:t>
        </x:is>
      </x:c>
      <x:c r="F432" s="604" t="inlineStr">
        <x:is>
          <x:t xml:space="preserve">日本体育大学女足 vs 横滨海鸥女足</x:t>
        </x:is>
      </x:c>
      <x:c r="G432" s="611" t="n">
        <x:v>1.06</x:v>
      </x:c>
      <x:c r="H432" s="611" t="n">
        <x:v>-0.75</x:v>
      </x:c>
      <x:c r="I432" s="611" t="n">
        <x:v>0.7</x:v>
      </x:c>
      <x:c r="J432" s="604" t="inlineStr">
        <x:is>
          <x:t xml:space="preserve">1.06/-0.75/0.7</x:t>
        </x:is>
      </x:c>
      <x:c r="K432" s="604" t="inlineStr">
        <x:is>
          <x:t xml:space="preserve">V4-C最新版候选</x:t>
        </x:is>
      </x:c>
      <x:c r="L432" s="604" t="inlineStr">
        <x:is>
          <x:t xml:space="preserve">日本体育大学女足</x:t>
        </x:is>
      </x:c>
      <x:c r="M432" s="606" t="n">
        <x:v>0.6724</x:v>
      </x:c>
      <x:c r="N432" s="604" t="inlineStr">
        <x:is>
          <x:t xml:space="preserve">V4最新页面A/B/C候选</x:t>
        </x:is>
      </x:c>
      <x:c r="O432" s="604" t="inlineStr">
        <x:is>
          <x:t xml:space="preserve">1-2</x:t>
        </x:is>
      </x:c>
      <x:c r="P432" s="604" t="inlineStr">
        <x:is>
          <x:t xml:space="preserve">已结算</x:t>
        </x:is>
      </x:c>
      <x:c r="Q432" s="648" t="inlineStr">
        <x:is>
          <x:t xml:space="preserve">半黑</x:t>
        </x:is>
      </x:c>
      <x:c r="R432" s="607" t="n">
        <x:v>1.06</x:v>
      </x:c>
      <x:c r="S432" s="607" t="n">
        <x:f>IF(OR(Q432="",Q432="待结算"),"",IF(Q432="红",R432,IF(Q432="半红",R432*0.5,IF(Q432="走",0,IF(Q432="半黑",-0.5,-1)))))</x:f>
        <x:v>-0.5</x:v>
      </x:c>
      <x:c r="T432" s="604" t="inlineStr">
        <x:is>
          <x:t xml:space="preserve">https://simondongxiao.github.io/odds/v4/</x:t>
        </x:is>
      </x:c>
      <x:c r="U432" s="604" t="inlineStr">
        <x:is>
          <x:t xml:space="preserve">2956834</x:t>
        </x:is>
      </x:c>
      <x:c r="V432" s="607" t="inlineStr">
        <x:is>
          <x:t xml:space="preserve">v4-market-dirichlet-20260913</x:t>
        </x:is>
      </x:c>
      <x:c r="W432" s="607" t="n">
        <x:f>IF(OR(U432="",U432="待结算"),"",IF(U432="红",V432,IF(U432="半红",V432*0.5,IF(U432="走",0,IF(U432="半黑",-0.5,-1)))))</x:f>
        <x:v>-1</x:v>
      </x:c>
      <x:c r="X432" s="608" t="inlineStr">
        <x:is>
          <x:t xml:space="preserve">C</x:t>
        </x:is>
      </x:c>
      <x:c r="Y432" s="608" t="n"/>
      <x:c r="Z432" s="608" t="n"/>
      <x:c r="AA432" s="608" t="n"/>
      <x:c r="AB432" s="608" t="n"/>
      <x:c r="AC432" s="608" t="n"/>
      <x:c r="AD432" s="608" t="n"/>
      <x:c r="AE432" s="608" t="n"/>
      <x:c r="AF432" s="608" t="n"/>
      <x:c r="AG432" s="608" t="n"/>
      <x:c r="AH432" s="608" t="n"/>
      <x:c r="AI432" s="608" t="n"/>
      <x:c r="AJ432" s="608" t="n"/>
      <x:c r="AK432" s="608" t="n"/>
      <x:c r="AL432" s="608" t="n"/>
      <x:c r="AM432" s="608" t="n"/>
      <x:c r="AN432" s="608" t="n"/>
      <x:c r="AO432" s="608" t="n"/>
      <x:c r="AP432" s="608" t="n"/>
      <x:c r="AQ432" s="608" t="n"/>
      <x:c r="AR432" s="608" t="n"/>
      <x:c r="AS432" s="608" t="n"/>
      <x:c r="AT432" s="608" t="n"/>
      <x:c r="AU432" s="608" t="n"/>
      <x:c r="AV432" s="608" t="n"/>
      <x:c r="AW432" s="608" t="n"/>
      <x:c r="AX432" s="608" t="n"/>
      <x:c r="AY432" s="608" t="n"/>
    </x:row>
    <x:row r="433" ht="22" customHeight="1">
      <x:c r="A433" s="604" t="inlineStr">
        <x:is>
          <x:t xml:space="preserve">2026-09-26</x:t>
        </x:is>
      </x:c>
      <x:c r="B433" s="604" t="inlineStr">
        <x:is>
          <x:t xml:space="preserve">2026-09-26 13:30:00</x:t>
        </x:is>
      </x:c>
      <x:c r="C433" s="604" t="str">
        <x:v>日韩系列</x:v>
      </x:c>
      <x:c r="D433" s="604" t="inlineStr">
        <x:is>
          <x:t xml:space="preserve">联赛</x:t>
        </x:is>
      </x:c>
      <x:c r="E433" s="604" t="inlineStr">
        <x:is>
          <x:t xml:space="preserve">日足联</x:t>
        </x:is>
      </x:c>
      <x:c r="F433" s="604" t="inlineStr">
        <x:is>
          <x:t xml:space="preserve">平田町 vs VONDS市原</x:t>
        </x:is>
      </x:c>
      <x:c r="G433" s="611" t="n">
        <x:v>0.7</x:v>
      </x:c>
      <x:c r="H433" s="611" t="n">
        <x:v>0.25</x:v>
      </x:c>
      <x:c r="I433" s="611" t="n">
        <x:v>1.06</x:v>
      </x:c>
      <x:c r="J433" s="604" t="inlineStr">
        <x:is>
          <x:t xml:space="preserve">0.7/0.25/1.06</x:t>
        </x:is>
      </x:c>
      <x:c r="K433" s="604" t="inlineStr">
        <x:is>
          <x:t xml:space="preserve">V4-C最新版候选</x:t>
        </x:is>
      </x:c>
      <x:c r="L433" s="604" t="inlineStr">
        <x:is>
          <x:t xml:space="preserve">VONDS市原</x:t>
        </x:is>
      </x:c>
      <x:c r="M433" s="606" t="n">
        <x:v>0.6918</x:v>
      </x:c>
      <x:c r="N433" s="604" t="inlineStr">
        <x:is>
          <x:t xml:space="preserve">V4最新页面A/B/C候选</x:t>
        </x:is>
      </x:c>
      <x:c r="O433" s="604" t="inlineStr">
        <x:is>
          <x:t xml:space="preserve">1-1</x:t>
        </x:is>
      </x:c>
      <x:c r="P433" s="604" t="inlineStr">
        <x:is>
          <x:t xml:space="preserve">已结算</x:t>
        </x:is>
      </x:c>
      <x:c r="Q433" s="649" t="inlineStr">
        <x:is>
          <x:t xml:space="preserve">半红</x:t>
        </x:is>
      </x:c>
      <x:c r="R433" s="607" t="n">
        <x:v>1.06</x:v>
      </x:c>
      <x:c r="S433" s="607" t="n">
        <x:f>IF(OR(Q433="",Q433="待结算"),"",IF(Q433="红",R433,IF(Q433="半红",R433*0.5,IF(Q433="走",0,IF(Q433="半黑",-0.5,-1)))))</x:f>
        <x:v>0.53</x:v>
      </x:c>
      <x:c r="T433" s="604" t="inlineStr">
        <x:is>
          <x:t xml:space="preserve">https://simondongxiao.github.io/odds/v4/</x:t>
        </x:is>
      </x:c>
      <x:c r="U433" s="604" t="inlineStr">
        <x:is>
          <x:t xml:space="preserve">3071099</x:t>
        </x:is>
      </x:c>
      <x:c r="V433" s="607" t="inlineStr">
        <x:is>
          <x:t xml:space="preserve">v4-market-dirichlet-20260913</x:t>
        </x:is>
      </x:c>
      <x:c r="W433" s="607" t="n">
        <x:f>IF(OR(U433="",U433="待结算"),"",IF(U433="红",V433,IF(U433="半红",V433*0.5,IF(U433="走",0,IF(U433="半黑",-0.5,-1)))))</x:f>
        <x:v>-1</x:v>
      </x:c>
      <x:c r="X433" s="608" t="inlineStr">
        <x:is>
          <x:t xml:space="preserve">C</x:t>
        </x:is>
      </x:c>
      <x:c r="Y433" s="608" t="n"/>
      <x:c r="Z433" s="608" t="n"/>
      <x:c r="AA433" s="608" t="n"/>
      <x:c r="AB433" s="608" t="n"/>
      <x:c r="AC433" s="608" t="n"/>
      <x:c r="AD433" s="608" t="n"/>
      <x:c r="AE433" s="608" t="n"/>
      <x:c r="AF433" s="608" t="n"/>
      <x:c r="AG433" s="608" t="n"/>
      <x:c r="AH433" s="608" t="n"/>
      <x:c r="AI433" s="608" t="n"/>
      <x:c r="AJ433" s="608" t="n"/>
      <x:c r="AK433" s="608" t="n"/>
      <x:c r="AL433" s="608" t="n"/>
      <x:c r="AM433" s="608" t="n"/>
      <x:c r="AN433" s="608" t="n"/>
      <x:c r="AO433" s="608" t="n"/>
      <x:c r="AP433" s="608" t="n"/>
      <x:c r="AQ433" s="608" t="n"/>
      <x:c r="AR433" s="608" t="n"/>
      <x:c r="AS433" s="608" t="n"/>
      <x:c r="AT433" s="608" t="n"/>
      <x:c r="AU433" s="608" t="n"/>
      <x:c r="AV433" s="608" t="n"/>
      <x:c r="AW433" s="608" t="n"/>
      <x:c r="AX433" s="608" t="n"/>
      <x:c r="AY433" s="608" t="n"/>
    </x:row>
    <x:row r="434" ht="22" customHeight="1">
      <x:c r="A434" s="604" t="inlineStr">
        <x:is>
          <x:t xml:space="preserve">2026-09-26</x:t>
        </x:is>
      </x:c>
      <x:c r="B434" s="604" t="inlineStr">
        <x:is>
          <x:t xml:space="preserve">2026-09-26 16:00:00</x:t>
        </x:is>
      </x:c>
      <x:c r="C434" s="604" t="str">
        <x:v>日韩系列</x:v>
      </x:c>
      <x:c r="D434" s="604" t="inlineStr">
        <x:is>
          <x:t xml:space="preserve">联赛</x:t>
        </x:is>
      </x:c>
      <x:c r="E434" s="604" t="inlineStr">
        <x:is>
          <x:t xml:space="preserve">日职乙</x:t>
        </x:is>
      </x:c>
      <x:c r="F434" s="604" t="inlineStr">
        <x:is>
          <x:t xml:space="preserve">秋田蓝色闪电 vs 新泻天鹅</x:t>
        </x:is>
      </x:c>
      <x:c r="G434" s="611" t="n">
        <x:v>1.09</x:v>
      </x:c>
      <x:c r="H434" s="611" t="n">
        <x:v>0.25</x:v>
      </x:c>
      <x:c r="I434" s="611" t="n">
        <x:v>0.79</x:v>
      </x:c>
      <x:c r="J434" s="604" t="inlineStr">
        <x:is>
          <x:t xml:space="preserve">1.09/0.25/0.79</x:t>
        </x:is>
      </x:c>
      <x:c r="K434" s="604" t="inlineStr">
        <x:is>
          <x:t xml:space="preserve">V4-C最新版候选</x:t>
        </x:is>
      </x:c>
      <x:c r="L434" s="604" t="inlineStr">
        <x:is>
          <x:t xml:space="preserve">秋田蓝色闪电</x:t>
        </x:is>
      </x:c>
      <x:c r="M434" s="606" t="n">
        <x:v>0.7438</x:v>
      </x:c>
      <x:c r="N434" s="604" t="inlineStr">
        <x:is>
          <x:t xml:space="preserve">V4最新页面A/B/C候选</x:t>
        </x:is>
      </x:c>
      <x:c r="O434" s="604" t="inlineStr">
        <x:is>
          <x:t xml:space="preserve">2-2</x:t>
        </x:is>
      </x:c>
      <x:c r="P434" s="604" t="inlineStr">
        <x:is>
          <x:t xml:space="preserve">已结算</x:t>
        </x:is>
      </x:c>
      <x:c r="Q434" s="648" t="inlineStr">
        <x:is>
          <x:t xml:space="preserve">半黑</x:t>
        </x:is>
      </x:c>
      <x:c r="R434" s="607" t="n">
        <x:v>1.09</x:v>
      </x:c>
      <x:c r="S434" s="607" t="n">
        <x:f>IF(OR(Q434="",Q434="待结算"),"",IF(Q434="红",R434,IF(Q434="半红",R434*0.5,IF(Q434="走",0,IF(Q434="半黑",-0.5,-1)))))</x:f>
        <x:v>-0.5</x:v>
      </x:c>
      <x:c r="T434" s="604" t="inlineStr">
        <x:is>
          <x:t xml:space="preserve">https://simondongxiao.github.io/odds/v4/</x:t>
        </x:is>
      </x:c>
      <x:c r="U434" s="604" t="inlineStr">
        <x:is>
          <x:t xml:space="preserve">3000083</x:t>
        </x:is>
      </x:c>
      <x:c r="V434" s="607" t="inlineStr">
        <x:is>
          <x:t xml:space="preserve">v4-market-dirichlet-20260913</x:t>
        </x:is>
      </x:c>
      <x:c r="W434" s="607" t="n">
        <x:f>IF(OR(U434="",U434="待结算"),"",IF(U434="红",V434,IF(U434="半红",V434*0.5,IF(U434="走",0,IF(U434="半黑",-0.5,-1)))))</x:f>
        <x:v>-1</x:v>
      </x:c>
      <x:c r="X434" s="608" t="inlineStr">
        <x:is>
          <x:t xml:space="preserve">C</x:t>
        </x:is>
      </x:c>
      <x:c r="Y434" s="608" t="n"/>
      <x:c r="Z434" s="608" t="n"/>
      <x:c r="AA434" s="608" t="n"/>
      <x:c r="AB434" s="608" t="n"/>
      <x:c r="AC434" s="608" t="n"/>
      <x:c r="AD434" s="608" t="n"/>
      <x:c r="AE434" s="608" t="n"/>
      <x:c r="AF434" s="608" t="n"/>
      <x:c r="AG434" s="608" t="n"/>
      <x:c r="AH434" s="608" t="n"/>
      <x:c r="AI434" s="608" t="n"/>
      <x:c r="AJ434" s="608" t="n"/>
      <x:c r="AK434" s="608" t="n"/>
      <x:c r="AL434" s="608" t="n"/>
      <x:c r="AM434" s="608" t="n"/>
      <x:c r="AN434" s="608" t="n"/>
      <x:c r="AO434" s="608" t="n"/>
      <x:c r="AP434" s="608" t="n"/>
      <x:c r="AQ434" s="608" t="n"/>
      <x:c r="AR434" s="608" t="n"/>
      <x:c r="AS434" s="608" t="n"/>
      <x:c r="AT434" s="608" t="n"/>
      <x:c r="AU434" s="608" t="n"/>
      <x:c r="AV434" s="608" t="n"/>
      <x:c r="AW434" s="608" t="n"/>
      <x:c r="AX434" s="608" t="n"/>
      <x:c r="AY434" s="608" t="n"/>
    </x:row>
    <x:row r="435" ht="22" customHeight="1">
      <x:c r="A435" s="604" t="inlineStr">
        <x:is>
          <x:t xml:space="preserve">2026-09-26</x:t>
        </x:is>
      </x:c>
      <x:c r="B435" s="604" t="inlineStr">
        <x:is>
          <x:t xml:space="preserve">2026-09-26 16:00:00</x:t>
        </x:is>
      </x:c>
      <x:c r="C435" s="604" t="str">
        <x:v>日韩系列</x:v>
      </x:c>
      <x:c r="D435" s="604" t="inlineStr">
        <x:is>
          <x:t xml:space="preserve">联赛</x:t>
        </x:is>
      </x:c>
      <x:c r="E435" s="604" t="inlineStr">
        <x:is>
          <x:t xml:space="preserve">日职乙</x:t>
        </x:is>
      </x:c>
      <x:c r="F435" s="604" t="inlineStr">
        <x:is>
          <x:t xml:space="preserve">磐城FC vs 仙台维加泰</x:t>
        </x:is>
      </x:c>
      <x:c r="G435" s="611" t="n">
        <x:v>1.03</x:v>
      </x:c>
      <x:c r="H435" s="611" t="n">
        <x:v>-0.25</x:v>
      </x:c>
      <x:c r="I435" s="611" t="n">
        <x:v>0.85</x:v>
      </x:c>
      <x:c r="J435" s="604" t="inlineStr">
        <x:is>
          <x:t xml:space="preserve">1.03/-0.25/0.85</x:t>
        </x:is>
      </x:c>
      <x:c r="K435" s="604" t="inlineStr">
        <x:is>
          <x:t xml:space="preserve">V4-C最新版候选</x:t>
        </x:is>
      </x:c>
      <x:c r="L435" s="604" t="inlineStr">
        <x:is>
          <x:t xml:space="preserve">磐城FC</x:t>
        </x:is>
      </x:c>
      <x:c r="M435" s="606" t="n">
        <x:v>0.5998</x:v>
      </x:c>
      <x:c r="N435" s="604" t="inlineStr">
        <x:is>
          <x:t xml:space="preserve">V4最新页面A/B/C候选</x:t>
        </x:is>
      </x:c>
      <x:c r="O435" s="604" t="inlineStr">
        <x:is>
          <x:t xml:space="preserve">0-2</x:t>
        </x:is>
      </x:c>
      <x:c r="P435" s="604" t="inlineStr">
        <x:is>
          <x:t xml:space="preserve">已结算</x:t>
        </x:is>
      </x:c>
      <x:c r="Q435" s="646" t="inlineStr">
        <x:is>
          <x:t xml:space="preserve">黑</x:t>
        </x:is>
      </x:c>
      <x:c r="R435" s="607" t="n">
        <x:v>1.03</x:v>
      </x:c>
      <x:c r="S435" s="607" t="n">
        <x:f>IF(OR(Q435="",Q435="待结算"),"",IF(Q435="红",R435,IF(Q435="半红",R435*0.5,IF(Q435="走",0,IF(Q435="半黑",-0.5,-1)))))</x:f>
        <x:v>-1</x:v>
      </x:c>
      <x:c r="T435" s="604" t="inlineStr">
        <x:is>
          <x:t xml:space="preserve">https://simondongxiao.github.io/odds/v4/</x:t>
        </x:is>
      </x:c>
      <x:c r="U435" s="604" t="inlineStr">
        <x:is>
          <x:t xml:space="preserve">3000085</x:t>
        </x:is>
      </x:c>
      <x:c r="V435" s="607" t="inlineStr">
        <x:is>
          <x:t xml:space="preserve">v4-market-dirichlet-20260913</x:t>
        </x:is>
      </x:c>
      <x:c r="W435" s="607" t="n">
        <x:f>IF(OR(U435="",U435="待结算"),"",IF(U435="红",V435,IF(U435="半红",V435*0.5,IF(U435="走",0,IF(U435="半黑",-0.5,-1)))))</x:f>
        <x:v>-1</x:v>
      </x:c>
      <x:c r="X435" s="608" t="inlineStr">
        <x:is>
          <x:t xml:space="preserve">C</x:t>
        </x:is>
      </x:c>
      <x:c r="Y435" s="608" t="n"/>
      <x:c r="Z435" s="608" t="n"/>
      <x:c r="AA435" s="608" t="n"/>
      <x:c r="AB435" s="608" t="n"/>
      <x:c r="AC435" s="608" t="n"/>
      <x:c r="AD435" s="608" t="n"/>
      <x:c r="AE435" s="608" t="n"/>
      <x:c r="AF435" s="608" t="n"/>
      <x:c r="AG435" s="608" t="n"/>
      <x:c r="AH435" s="608" t="n"/>
      <x:c r="AI435" s="608" t="n"/>
      <x:c r="AJ435" s="608" t="n"/>
      <x:c r="AK435" s="608" t="n"/>
      <x:c r="AL435" s="608" t="n"/>
      <x:c r="AM435" s="608" t="n"/>
      <x:c r="AN435" s="608" t="n"/>
      <x:c r="AO435" s="608" t="n"/>
      <x:c r="AP435" s="608" t="n"/>
      <x:c r="AQ435" s="608" t="n"/>
      <x:c r="AR435" s="608" t="n"/>
      <x:c r="AS435" s="608" t="n"/>
      <x:c r="AT435" s="608" t="n"/>
      <x:c r="AU435" s="608" t="n"/>
      <x:c r="AV435" s="608" t="n"/>
      <x:c r="AW435" s="608" t="n"/>
      <x:c r="AX435" s="608" t="n"/>
      <x:c r="AY435" s="608" t="n"/>
    </x:row>
    <x:row r="436" ht="22" customHeight="1">
      <x:c r="A436" s="604" t="inlineStr">
        <x:is>
          <x:t xml:space="preserve">2026-09-26</x:t>
        </x:is>
      </x:c>
      <x:c r="B436" s="604" t="inlineStr">
        <x:is>
          <x:t xml:space="preserve">2026-09-26 16:00:00</x:t>
        </x:is>
      </x:c>
      <x:c r="C436" s="604" t="str">
        <x:v>日韩系列</x:v>
      </x:c>
      <x:c r="D436" s="604" t="inlineStr">
        <x:is>
          <x:t xml:space="preserve">联赛</x:t>
        </x:is>
      </x:c>
      <x:c r="E436" s="604" t="inlineStr">
        <x:is>
          <x:t xml:space="preserve">日职丙</x:t>
        </x:is>
      </x:c>
      <x:c r="F436" s="604" t="inlineStr">
        <x:is>
          <x:t xml:space="preserve">北九州向日葵 vs 鹿儿岛联</x:t>
        </x:is>
      </x:c>
      <x:c r="G436" s="611" t="n">
        <x:v>1.06</x:v>
      </x:c>
      <x:c r="H436" s="611" t="n">
        <x:v>-0.5</x:v>
      </x:c>
      <x:c r="I436" s="611" t="n">
        <x:v>0.7</x:v>
      </x:c>
      <x:c r="J436" s="604" t="inlineStr">
        <x:is>
          <x:t xml:space="preserve">1.06/-0.5/0.7</x:t>
        </x:is>
      </x:c>
      <x:c r="K436" s="604" t="inlineStr">
        <x:is>
          <x:t xml:space="preserve">V4-C最新版候选</x:t>
        </x:is>
      </x:c>
      <x:c r="L436" s="604" t="inlineStr">
        <x:is>
          <x:t xml:space="preserve">北九州向日葵</x:t>
        </x:is>
      </x:c>
      <x:c r="M436" s="606" t="n">
        <x:v>0.677</x:v>
      </x:c>
      <x:c r="N436" s="604" t="inlineStr">
        <x:is>
          <x:t xml:space="preserve">V4最新页面A/B/C候选</x:t>
        </x:is>
      </x:c>
      <x:c r="O436" s="604" t="inlineStr">
        <x:is>
          <x:t xml:space="preserve">1-1</x:t>
        </x:is>
      </x:c>
      <x:c r="P436" s="604" t="inlineStr">
        <x:is>
          <x:t xml:space="preserve">已结算</x:t>
        </x:is>
      </x:c>
      <x:c r="Q436" s="645" t="inlineStr">
        <x:is>
          <x:t xml:space="preserve">红</x:t>
        </x:is>
      </x:c>
      <x:c r="R436" s="607" t="n">
        <x:v>1.06</x:v>
      </x:c>
      <x:c r="S436" s="607" t="n">
        <x:f>IF(OR(Q436="",Q436="待结算"),"",IF(Q436="红",R436,IF(Q436="半红",R436*0.5,IF(Q436="走",0,IF(Q436="半黑",-0.5,-1)))))</x:f>
        <x:v>1.06</x:v>
      </x:c>
      <x:c r="T436" s="604" t="inlineStr">
        <x:is>
          <x:t xml:space="preserve">https://simondongxiao.github.io/odds/v4/</x:t>
        </x:is>
      </x:c>
      <x:c r="U436" s="604" t="inlineStr">
        <x:is>
          <x:t xml:space="preserve">3001192</x:t>
        </x:is>
      </x:c>
      <x:c r="V436" s="607" t="inlineStr">
        <x:is>
          <x:t xml:space="preserve">v4-market-dirichlet-20260913</x:t>
        </x:is>
      </x:c>
      <x:c r="W436" s="607" t="n">
        <x:f>IF(OR(U436="",U436="待结算"),"",IF(U436="红",V436,IF(U436="半红",V436*0.5,IF(U436="走",0,IF(U436="半黑",-0.5,-1)))))</x:f>
        <x:v>-1</x:v>
      </x:c>
      <x:c r="X436" s="608" t="inlineStr">
        <x:is>
          <x:t xml:space="preserve">C</x:t>
        </x:is>
      </x:c>
      <x:c r="Y436" s="608" t="n"/>
      <x:c r="Z436" s="608" t="n"/>
      <x:c r="AA436" s="608" t="n"/>
      <x:c r="AB436" s="608" t="n"/>
      <x:c r="AC436" s="608" t="n"/>
      <x:c r="AD436" s="608" t="n"/>
      <x:c r="AE436" s="608" t="n"/>
      <x:c r="AF436" s="608" t="n"/>
      <x:c r="AG436" s="608" t="n"/>
      <x:c r="AH436" s="608" t="n"/>
      <x:c r="AI436" s="608" t="n"/>
      <x:c r="AJ436" s="608" t="n"/>
      <x:c r="AK436" s="608" t="n"/>
      <x:c r="AL436" s="608" t="n"/>
      <x:c r="AM436" s="608" t="n"/>
      <x:c r="AN436" s="608" t="n"/>
      <x:c r="AO436" s="608" t="n"/>
      <x:c r="AP436" s="608" t="n"/>
      <x:c r="AQ436" s="608" t="n"/>
      <x:c r="AR436" s="608" t="n"/>
      <x:c r="AS436" s="608" t="n"/>
      <x:c r="AT436" s="608" t="n"/>
      <x:c r="AU436" s="608" t="n"/>
      <x:c r="AV436" s="608" t="n"/>
      <x:c r="AW436" s="608" t="n"/>
      <x:c r="AX436" s="608" t="n"/>
      <x:c r="AY436" s="608" t="n"/>
    </x:row>
    <x:row r="437" ht="22" customHeight="1">
      <x:c r="A437" s="604" t="inlineStr">
        <x:is>
          <x:t xml:space="preserve">2026-09-26</x:t>
        </x:is>
      </x:c>
      <x:c r="B437" s="604" t="inlineStr">
        <x:is>
          <x:t xml:space="preserve">2026-09-26 18:30:00</x:t>
        </x:is>
      </x:c>
      <x:c r="C437" s="604" t="str">
        <x:v>其他系列</x:v>
      </x:c>
      <x:c r="D437" s="604" t="inlineStr">
        <x:is>
          <x:t xml:space="preserve">联赛</x:t>
        </x:is>
      </x:c>
      <x:c r="E437" s="604" t="inlineStr">
        <x:is>
          <x:t xml:space="preserve">亚运男足</x:t>
        </x:is>
      </x:c>
      <x:c r="F437" s="604" t="inlineStr">
        <x:is>
          <x:t xml:space="preserve">日本U23 vs 朝鲜U23</x:t>
        </x:is>
      </x:c>
      <x:c r="G437" s="611" t="n">
        <x:v>0.95</x:v>
      </x:c>
      <x:c r="H437" s="611" t="n">
        <x:v>1.75</x:v>
      </x:c>
      <x:c r="I437" s="611" t="n">
        <x:v>0.87</x:v>
      </x:c>
      <x:c r="J437" s="604" t="inlineStr">
        <x:is>
          <x:t xml:space="preserve">0.95/1.75/0.87</x:t>
        </x:is>
      </x:c>
      <x:c r="K437" s="604" t="inlineStr">
        <x:is>
          <x:t xml:space="preserve">V4-C最新版候选</x:t>
        </x:is>
      </x:c>
      <x:c r="L437" s="604" t="inlineStr">
        <x:is>
          <x:t xml:space="preserve">日本U23</x:t>
        </x:is>
      </x:c>
      <x:c r="M437" s="606" t="n">
        <x:v>0.598</x:v>
      </x:c>
      <x:c r="N437" s="604" t="inlineStr">
        <x:is>
          <x:t xml:space="preserve">V4最新页面A/B/C候选</x:t>
        </x:is>
      </x:c>
      <x:c r="O437" s="604" t="inlineStr">
        <x:is>
          <x:t xml:space="preserve">1-0</x:t>
        </x:is>
      </x:c>
      <x:c r="P437" s="604" t="inlineStr">
        <x:is>
          <x:t xml:space="preserve">已结算</x:t>
        </x:is>
      </x:c>
      <x:c r="Q437" s="646" t="inlineStr">
        <x:is>
          <x:t xml:space="preserve">黑</x:t>
        </x:is>
      </x:c>
      <x:c r="R437" s="607" t="n">
        <x:v>0.95</x:v>
      </x:c>
      <x:c r="S437" s="607" t="n">
        <x:f>IF(OR(Q437="",Q437="待结算"),"",IF(Q437="红",R437,IF(Q437="半红",R437*0.5,IF(Q437="走",0,IF(Q437="半黑",-0.5,-1)))))</x:f>
        <x:v>-1</x:v>
      </x:c>
      <x:c r="T437" s="604" t="inlineStr">
        <x:is>
          <x:t xml:space="preserve">https://simondongxiao.github.io/odds/v4/</x:t>
        </x:is>
      </x:c>
      <x:c r="U437" s="604" t="inlineStr">
        <x:is>
          <x:t xml:space="preserve">3094824</x:t>
        </x:is>
      </x:c>
      <x:c r="V437" s="607" t="inlineStr">
        <x:is>
          <x:t xml:space="preserve">v4-market-dirichlet-20260913</x:t>
        </x:is>
      </x:c>
      <x:c r="W437" s="607" t="n">
        <x:f>IF(OR(U437="",U437="待结算"),"",IF(U437="红",V437,IF(U437="半红",V437*0.5,IF(U437="走",0,IF(U437="半黑",-0.5,-1)))))</x:f>
        <x:v>-1</x:v>
      </x:c>
      <x:c r="X437" s="608" t="inlineStr">
        <x:is>
          <x:t xml:space="preserve">C</x:t>
        </x:is>
      </x:c>
      <x:c r="Y437" s="608" t="n"/>
      <x:c r="Z437" s="608" t="n"/>
      <x:c r="AA437" s="608" t="n"/>
      <x:c r="AB437" s="608" t="n"/>
      <x:c r="AC437" s="608" t="n"/>
      <x:c r="AD437" s="608" t="n"/>
      <x:c r="AE437" s="608" t="n"/>
      <x:c r="AF437" s="608" t="n"/>
      <x:c r="AG437" s="608" t="n"/>
      <x:c r="AH437" s="608" t="n"/>
      <x:c r="AI437" s="608" t="n"/>
      <x:c r="AJ437" s="608" t="n"/>
      <x:c r="AK437" s="608" t="n"/>
      <x:c r="AL437" s="608" t="n"/>
      <x:c r="AM437" s="608" t="n"/>
      <x:c r="AN437" s="608" t="n"/>
      <x:c r="AO437" s="608" t="n"/>
      <x:c r="AP437" s="608" t="n"/>
      <x:c r="AQ437" s="608" t="n"/>
      <x:c r="AR437" s="608" t="n"/>
      <x:c r="AS437" s="608" t="n"/>
      <x:c r="AT437" s="608" t="n"/>
      <x:c r="AU437" s="608" t="n"/>
      <x:c r="AV437" s="608" t="n"/>
      <x:c r="AW437" s="608" t="n"/>
      <x:c r="AX437" s="608" t="n"/>
      <x:c r="AY437" s="608" t="n"/>
    </x:row>
    <x:row r="438" ht="22" customHeight="1">
      <x:c r="A438" s="604" t="inlineStr">
        <x:is>
          <x:t xml:space="preserve">2026-09-26</x:t>
        </x:is>
      </x:c>
      <x:c r="B438" s="604" t="inlineStr">
        <x:is>
          <x:t xml:space="preserve">2026-09-26 20:00:00</x:t>
        </x:is>
      </x:c>
      <x:c r="C438" s="604" t="str">
        <x:v>欧洲非五大系列</x:v>
      </x:c>
      <x:c r="D438" s="604" t="inlineStr">
        <x:is>
          <x:t xml:space="preserve">联赛</x:t>
        </x:is>
      </x:c>
      <x:c r="E438" s="604" t="inlineStr">
        <x:is>
          <x:t xml:space="preserve">芬甲</x:t>
        </x:is>
      </x:c>
      <x:c r="F438" s="604" t="inlineStr">
        <x:is>
          <x:t xml:space="preserve">EIF埃克纳斯 vs SJK学院</x:t>
        </x:is>
      </x:c>
      <x:c r="G438" s="611" t="n">
        <x:v>0.83</x:v>
      </x:c>
      <x:c r="H438" s="611" t="n">
        <x:v>0.75</x:v>
      </x:c>
      <x:c r="I438" s="611" t="n">
        <x:v>1.05</x:v>
      </x:c>
      <x:c r="J438" s="604" t="inlineStr">
        <x:is>
          <x:t xml:space="preserve">0.83/0.75/1.05</x:t>
        </x:is>
      </x:c>
      <x:c r="K438" s="604" t="inlineStr">
        <x:is>
          <x:t xml:space="preserve">V4-C最新版候选</x:t>
        </x:is>
      </x:c>
      <x:c r="L438" s="604" t="inlineStr">
        <x:is>
          <x:t xml:space="preserve">SJK学院</x:t>
        </x:is>
      </x:c>
      <x:c r="M438" s="606" t="n">
        <x:v>0.6652</x:v>
      </x:c>
      <x:c r="N438" s="604" t="inlineStr">
        <x:is>
          <x:t xml:space="preserve">V4最新页面A/B/C候选</x:t>
        </x:is>
      </x:c>
      <x:c r="O438" s="604" t="inlineStr">
        <x:is>
          <x:t xml:space="preserve">1-1</x:t>
        </x:is>
      </x:c>
      <x:c r="P438" s="604" t="inlineStr">
        <x:is>
          <x:t xml:space="preserve">已结算</x:t>
        </x:is>
      </x:c>
      <x:c r="Q438" s="645" t="inlineStr">
        <x:is>
          <x:t xml:space="preserve">红</x:t>
        </x:is>
      </x:c>
      <x:c r="R438" s="607" t="n">
        <x:v>1.05</x:v>
      </x:c>
      <x:c r="S438" s="607" t="n">
        <x:f>IF(OR(Q438="",Q438="待结算"),"",IF(Q438="红",R438,IF(Q438="半红",R438*0.5,IF(Q438="走",0,IF(Q438="半黑",-0.5,-1)))))</x:f>
        <x:v>1.05</x:v>
      </x:c>
      <x:c r="T438" s="604" t="inlineStr">
        <x:is>
          <x:t xml:space="preserve">https://simondongxiao.github.io/odds/v4/</x:t>
        </x:is>
      </x:c>
      <x:c r="U438" s="604" t="inlineStr">
        <x:is>
          <x:t xml:space="preserve">2921944</x:t>
        </x:is>
      </x:c>
      <x:c r="V438" s="607" t="inlineStr">
        <x:is>
          <x:t xml:space="preserve">v4-market-dirichlet-20260913</x:t>
        </x:is>
      </x:c>
      <x:c r="W438" s="607" t="n">
        <x:f>IF(OR(U438="",U438="待结算"),"",IF(U438="红",V438,IF(U438="半红",V438*0.5,IF(U438="走",0,IF(U438="半黑",-0.5,-1)))))</x:f>
        <x:v>-1</x:v>
      </x:c>
      <x:c r="X438" s="608" t="inlineStr">
        <x:is>
          <x:t xml:space="preserve">C</x:t>
        </x:is>
      </x:c>
      <x:c r="Y438" s="608" t="n"/>
      <x:c r="Z438" s="608" t="n"/>
      <x:c r="AA438" s="608" t="n"/>
      <x:c r="AB438" s="608" t="n"/>
      <x:c r="AC438" s="608" t="n"/>
      <x:c r="AD438" s="608" t="n"/>
      <x:c r="AE438" s="608" t="n"/>
      <x:c r="AF438" s="608" t="n"/>
      <x:c r="AG438" s="608" t="n"/>
      <x:c r="AH438" s="608" t="n"/>
      <x:c r="AI438" s="608" t="n"/>
      <x:c r="AJ438" s="608" t="n"/>
      <x:c r="AK438" s="608" t="n"/>
      <x:c r="AL438" s="608" t="n"/>
      <x:c r="AM438" s="608" t="n"/>
      <x:c r="AN438" s="608" t="n"/>
      <x:c r="AO438" s="608" t="n"/>
      <x:c r="AP438" s="608" t="n"/>
      <x:c r="AQ438" s="608" t="n"/>
      <x:c r="AR438" s="608" t="n"/>
      <x:c r="AS438" s="608" t="n"/>
      <x:c r="AT438" s="608" t="n"/>
      <x:c r="AU438" s="608" t="n"/>
      <x:c r="AV438" s="608" t="n"/>
      <x:c r="AW438" s="608" t="n"/>
      <x:c r="AX438" s="608" t="n"/>
      <x:c r="AY438" s="608" t="n"/>
    </x:row>
    <x:row r="439" ht="22" customHeight="1">
      <x:c r="A439" s="604" t="inlineStr">
        <x:is>
          <x:t xml:space="preserve">2026-09-26</x:t>
        </x:is>
      </x:c>
      <x:c r="B439" s="604" t="inlineStr">
        <x:is>
          <x:t xml:space="preserve">2026-09-26 21:00:00</x:t>
        </x:is>
      </x:c>
      <x:c r="C439" s="604" t="str">
        <x:v>其他系列</x:v>
      </x:c>
      <x:c r="D439" s="604" t="inlineStr">
        <x:is>
          <x:t xml:space="preserve">杯赛</x:t>
        </x:is>
      </x:c>
      <x:c r="E439" s="604" t="inlineStr">
        <x:is>
          <x:t xml:space="preserve">非洲杯</x:t>
        </x:is>
      </x:c>
      <x:c r="F439" s="604" t="inlineStr">
        <x:is>
          <x:t xml:space="preserve">肯尼亚 vs 厄立特里亚</x:t>
        </x:is>
      </x:c>
      <x:c r="G439" s="611" t="n">
        <x:v>0.9</x:v>
      </x:c>
      <x:c r="H439" s="611" t="n">
        <x:v>1.5</x:v>
      </x:c>
      <x:c r="I439" s="611" t="n">
        <x:v>0.86</x:v>
      </x:c>
      <x:c r="J439" s="604" t="inlineStr">
        <x:is>
          <x:t xml:space="preserve">0.9/1.5/0.86</x:t>
        </x:is>
      </x:c>
      <x:c r="K439" s="604" t="inlineStr">
        <x:is>
          <x:t xml:space="preserve">V4-C最新版候选</x:t>
        </x:is>
      </x:c>
      <x:c r="L439" s="604" t="inlineStr">
        <x:is>
          <x:t xml:space="preserve">肯尼亚</x:t>
        </x:is>
      </x:c>
      <x:c r="M439" s="606" t="n">
        <x:v>0.7808</x:v>
      </x:c>
      <x:c r="N439" s="604" t="inlineStr">
        <x:is>
          <x:t xml:space="preserve">V4最新页面A/B/C候选</x:t>
        </x:is>
      </x:c>
      <x:c r="O439" s="604" t="inlineStr">
        <x:is>
          <x:t xml:space="preserve">1-1</x:t>
        </x:is>
      </x:c>
      <x:c r="P439" s="604" t="inlineStr">
        <x:is>
          <x:t xml:space="preserve">已结算</x:t>
        </x:is>
      </x:c>
      <x:c r="Q439" s="646" t="inlineStr">
        <x:is>
          <x:t xml:space="preserve">黑</x:t>
        </x:is>
      </x:c>
      <x:c r="R439" s="607" t="n">
        <x:v>0.9</x:v>
      </x:c>
      <x:c r="S439" s="607" t="n">
        <x:f>IF(OR(Q439="",Q439="待结算"),"",IF(Q439="红",R439,IF(Q439="半红",R439*0.5,IF(Q439="走",0,IF(Q439="半黑",-0.5,-1)))))</x:f>
        <x:v>-1</x:v>
      </x:c>
      <x:c r="T439" s="604" t="inlineStr">
        <x:is>
          <x:t xml:space="preserve">https://simondongxiao.github.io/odds/v4/</x:t>
        </x:is>
      </x:c>
      <x:c r="U439" s="604" t="inlineStr">
        <x:is>
          <x:t xml:space="preserve">3001033</x:t>
        </x:is>
      </x:c>
      <x:c r="V439" s="607" t="inlineStr">
        <x:is>
          <x:t xml:space="preserve">v4-market-dirichlet-20260913</x:t>
        </x:is>
      </x:c>
      <x:c r="W439" s="607" t="n">
        <x:f>IF(OR(U439="",U439="待结算"),"",IF(U439="红",V439,IF(U439="半红",V439*0.5,IF(U439="走",0,IF(U439="半黑",-0.5,-1)))))</x:f>
        <x:v>-1</x:v>
      </x:c>
      <x:c r="X439" s="608" t="inlineStr">
        <x:is>
          <x:t xml:space="preserve">C</x:t>
        </x:is>
      </x:c>
      <x:c r="Y439" s="608" t="n"/>
      <x:c r="Z439" s="608" t="n"/>
      <x:c r="AA439" s="608" t="n"/>
      <x:c r="AB439" s="608" t="n"/>
      <x:c r="AC439" s="608" t="n"/>
      <x:c r="AD439" s="608" t="n"/>
      <x:c r="AE439" s="608" t="n"/>
      <x:c r="AF439" s="608" t="n"/>
      <x:c r="AG439" s="608" t="n"/>
      <x:c r="AH439" s="608" t="n"/>
      <x:c r="AI439" s="608" t="n"/>
      <x:c r="AJ439" s="608" t="n"/>
      <x:c r="AK439" s="608" t="n"/>
      <x:c r="AL439" s="608" t="n"/>
      <x:c r="AM439" s="608" t="n"/>
      <x:c r="AN439" s="608" t="n"/>
      <x:c r="AO439" s="608" t="n"/>
      <x:c r="AP439" s="608" t="n"/>
      <x:c r="AQ439" s="608" t="n"/>
      <x:c r="AR439" s="608" t="n"/>
      <x:c r="AS439" s="608" t="n"/>
      <x:c r="AT439" s="608" t="n"/>
      <x:c r="AU439" s="608" t="n"/>
      <x:c r="AV439" s="608" t="n"/>
      <x:c r="AW439" s="608" t="n"/>
      <x:c r="AX439" s="608" t="n"/>
      <x:c r="AY439" s="608" t="n"/>
    </x:row>
    <x:row r="440" ht="22" customHeight="1">
      <x:c r="A440" s="604" t="inlineStr">
        <x:is>
          <x:t xml:space="preserve">2026-09-26</x:t>
        </x:is>
      </x:c>
      <x:c r="B440" s="604" t="inlineStr">
        <x:is>
          <x:t xml:space="preserve">2026-09-26 21:30:00</x:t>
        </x:is>
      </x:c>
      <x:c r="C440" s="604" t="str">
        <x:v>欧洲非五大系列</x:v>
      </x:c>
      <x:c r="D440" s="604" t="inlineStr">
        <x:is>
          <x:t xml:space="preserve">联赛</x:t>
        </x:is>
      </x:c>
      <x:c r="E440" s="604" t="inlineStr">
        <x:is>
          <x:t xml:space="preserve">威超</x:t>
        </x:is>
      </x:c>
      <x:c r="F440" s="604" t="inlineStr">
        <x:is>
          <x:t xml:space="preserve">佩尼邦 vs 空中巴士</x:t>
        </x:is>
      </x:c>
      <x:c r="G440" s="611" t="n">
        <x:v>0.7</x:v>
      </x:c>
      <x:c r="H440" s="611" t="n">
        <x:v>0.25</x:v>
      </x:c>
      <x:c r="I440" s="611" t="n">
        <x:v>1.06</x:v>
      </x:c>
      <x:c r="J440" s="604" t="inlineStr">
        <x:is>
          <x:t xml:space="preserve">0.7/0.25/1.06</x:t>
        </x:is>
      </x:c>
      <x:c r="K440" s="604" t="inlineStr">
        <x:is>
          <x:t xml:space="preserve">V4-C最新版候选</x:t>
        </x:is>
      </x:c>
      <x:c r="L440" s="604" t="inlineStr">
        <x:is>
          <x:t xml:space="preserve">空中巴士</x:t>
        </x:is>
      </x:c>
      <x:c r="M440" s="606" t="n">
        <x:v>0.6860000000000001</x:v>
      </x:c>
      <x:c r="N440" s="604" t="inlineStr">
        <x:is>
          <x:t xml:space="preserve">V4最新页面A/B/C候选</x:t>
        </x:is>
      </x:c>
      <x:c r="O440" s="604" t="inlineStr">
        <x:is>
          <x:t xml:space="preserve">2-1</x:t>
        </x:is>
      </x:c>
      <x:c r="P440" s="604" t="inlineStr">
        <x:is>
          <x:t xml:space="preserve">已结算</x:t>
        </x:is>
      </x:c>
      <x:c r="Q440" s="646" t="inlineStr">
        <x:is>
          <x:t xml:space="preserve">黑</x:t>
        </x:is>
      </x:c>
      <x:c r="R440" s="607" t="n">
        <x:v>1.06</x:v>
      </x:c>
      <x:c r="S440" s="607" t="n">
        <x:f>IF(OR(Q440="",Q440="待结算"),"",IF(Q440="红",R440,IF(Q440="半红",R440*0.5,IF(Q440="走",0,IF(Q440="半黑",-0.5,-1)))))</x:f>
        <x:v>-1</x:v>
      </x:c>
      <x:c r="T440" s="604" t="inlineStr">
        <x:is>
          <x:t xml:space="preserve">https://simondongxiao.github.io/odds/v4/</x:t>
        </x:is>
      </x:c>
      <x:c r="U440" s="604" t="inlineStr">
        <x:is>
          <x:t xml:space="preserve">3019543</x:t>
        </x:is>
      </x:c>
      <x:c r="V440" s="607" t="inlineStr">
        <x:is>
          <x:t xml:space="preserve">v4-market-dirichlet-20260913</x:t>
        </x:is>
      </x:c>
      <x:c r="W440" s="607" t="n">
        <x:f>IF(OR(U440="",U440="待结算"),"",IF(U440="红",V440,IF(U440="半红",V440*0.5,IF(U440="走",0,IF(U440="半黑",-0.5,-1)))))</x:f>
        <x:v>-1</x:v>
      </x:c>
      <x:c r="X440" s="608" t="inlineStr">
        <x:is>
          <x:t xml:space="preserve">C</x:t>
        </x:is>
      </x:c>
      <x:c r="Y440" s="608" t="n"/>
      <x:c r="Z440" s="608" t="n"/>
      <x:c r="AA440" s="608" t="n"/>
      <x:c r="AB440" s="608" t="n"/>
      <x:c r="AC440" s="608" t="n"/>
      <x:c r="AD440" s="608" t="n"/>
      <x:c r="AE440" s="608" t="n"/>
      <x:c r="AF440" s="608" t="n"/>
      <x:c r="AG440" s="608" t="n"/>
      <x:c r="AH440" s="608" t="n"/>
      <x:c r="AI440" s="608" t="n"/>
      <x:c r="AJ440" s="608" t="n"/>
      <x:c r="AK440" s="608" t="n"/>
      <x:c r="AL440" s="608" t="n"/>
      <x:c r="AM440" s="608" t="n"/>
      <x:c r="AN440" s="608" t="n"/>
      <x:c r="AO440" s="608" t="n"/>
      <x:c r="AP440" s="608" t="n"/>
      <x:c r="AQ440" s="608" t="n"/>
      <x:c r="AR440" s="608" t="n"/>
      <x:c r="AS440" s="608" t="n"/>
      <x:c r="AT440" s="608" t="n"/>
      <x:c r="AU440" s="608" t="n"/>
      <x:c r="AV440" s="608" t="n"/>
      <x:c r="AW440" s="608" t="n"/>
      <x:c r="AX440" s="608" t="n"/>
      <x:c r="AY440" s="608" t="n"/>
    </x:row>
    <x:row r="441" ht="22" customHeight="1">
      <x:c r="A441" s="604" t="inlineStr">
        <x:is>
          <x:t xml:space="preserve">2026-09-26</x:t>
        </x:is>
      </x:c>
      <x:c r="B441" s="604" t="inlineStr">
        <x:is>
          <x:t xml:space="preserve">2026-09-26 22:00:00</x:t>
        </x:is>
      </x:c>
      <x:c r="C441" s="604" t="str">
        <x:v>五大联赛非顶级联赛</x:v>
      </x:c>
      <x:c r="D441" s="604" t="inlineStr">
        <x:is>
          <x:t xml:space="preserve">联赛</x:t>
        </x:is>
      </x:c>
      <x:c r="E441" s="604" t="inlineStr">
        <x:is>
          <x:t xml:space="preserve">英甲</x:t>
        </x:is>
      </x:c>
      <x:c r="F441" s="604" t="inlineStr">
        <x:is>
          <x:t xml:space="preserve">剑桥联 vs AFC温布尔登</x:t>
        </x:is>
      </x:c>
      <x:c r="G441" s="611" t="n">
        <x:v>0.83</x:v>
      </x:c>
      <x:c r="H441" s="611" t="n">
        <x:v>0.5</x:v>
      </x:c>
      <x:c r="I441" s="611" t="n">
        <x:v>0.99</x:v>
      </x:c>
      <x:c r="J441" s="604" t="inlineStr">
        <x:is>
          <x:t xml:space="preserve">0.83/0.5/0.99</x:t>
        </x:is>
      </x:c>
      <x:c r="K441" s="604" t="inlineStr">
        <x:is>
          <x:t xml:space="preserve">V4-C最新版候选</x:t>
        </x:is>
      </x:c>
      <x:c r="L441" s="604" t="inlineStr">
        <x:is>
          <x:t xml:space="preserve">AFC温布尔登</x:t>
        </x:is>
      </x:c>
      <x:c r="M441" s="606" t="n">
        <x:v>0.504</x:v>
      </x:c>
      <x:c r="N441" s="604" t="inlineStr">
        <x:is>
          <x:t xml:space="preserve">V4最新页面A/B/C候选</x:t>
        </x:is>
      </x:c>
      <x:c r="O441" s="604" t="inlineStr">
        <x:is>
          <x:t xml:space="preserve">1-1</x:t>
        </x:is>
      </x:c>
      <x:c r="P441" s="604" t="inlineStr">
        <x:is>
          <x:t xml:space="preserve">已结算</x:t>
        </x:is>
      </x:c>
      <x:c r="Q441" s="645" t="inlineStr">
        <x:is>
          <x:t xml:space="preserve">红</x:t>
        </x:is>
      </x:c>
      <x:c r="R441" s="607" t="n">
        <x:v>0.99</x:v>
      </x:c>
      <x:c r="S441" s="607" t="n">
        <x:f>IF(OR(Q441="",Q441="待结算"),"",IF(Q441="红",R441,IF(Q441="半红",R441*0.5,IF(Q441="走",0,IF(Q441="半黑",-0.5,-1)))))</x:f>
        <x:v>0.99</x:v>
      </x:c>
      <x:c r="T441" s="604" t="inlineStr">
        <x:is>
          <x:t xml:space="preserve">https://simondongxiao.github.io/odds/v4/</x:t>
        </x:is>
      </x:c>
      <x:c r="U441" s="604" t="inlineStr">
        <x:is>
          <x:t xml:space="preserve">3007116</x:t>
        </x:is>
      </x:c>
      <x:c r="V441" s="607" t="inlineStr">
        <x:is>
          <x:t xml:space="preserve">v4-market-dirichlet-20260913</x:t>
        </x:is>
      </x:c>
      <x:c r="W441" s="607" t="n">
        <x:f>IF(OR(U441="",U441="待结算"),"",IF(U441="红",V441,IF(U441="半红",V441*0.5,IF(U441="走",0,IF(U441="半黑",-0.5,-1)))))</x:f>
        <x:v>-1</x:v>
      </x:c>
      <x:c r="X441" s="608" t="inlineStr">
        <x:is>
          <x:t xml:space="preserve">C</x:t>
        </x:is>
      </x:c>
      <x:c r="Y441" s="608" t="n"/>
      <x:c r="Z441" s="608" t="n"/>
      <x:c r="AA441" s="608" t="n"/>
      <x:c r="AB441" s="608" t="n"/>
      <x:c r="AC441" s="608" t="n"/>
      <x:c r="AD441" s="608" t="n"/>
      <x:c r="AE441" s="608" t="n"/>
      <x:c r="AF441" s="608" t="n"/>
      <x:c r="AG441" s="608" t="n"/>
      <x:c r="AH441" s="608" t="n"/>
      <x:c r="AI441" s="608" t="n"/>
      <x:c r="AJ441" s="608" t="n"/>
      <x:c r="AK441" s="608" t="n"/>
      <x:c r="AL441" s="608" t="n"/>
      <x:c r="AM441" s="608" t="n"/>
      <x:c r="AN441" s="608" t="n"/>
      <x:c r="AO441" s="608" t="n"/>
      <x:c r="AP441" s="608" t="n"/>
      <x:c r="AQ441" s="608" t="n"/>
      <x:c r="AR441" s="608" t="n"/>
      <x:c r="AS441" s="608" t="n"/>
      <x:c r="AT441" s="608" t="n"/>
      <x:c r="AU441" s="608" t="n"/>
      <x:c r="AV441" s="608" t="n"/>
      <x:c r="AW441" s="608" t="n"/>
      <x:c r="AX441" s="608" t="n"/>
      <x:c r="AY441" s="608" t="n"/>
    </x:row>
    <x:row r="442" ht="22" customHeight="1">
      <x:c r="A442" s="604" t="inlineStr">
        <x:is>
          <x:t xml:space="preserve">2026-09-26</x:t>
        </x:is>
      </x:c>
      <x:c r="B442" s="604" t="inlineStr">
        <x:is>
          <x:t xml:space="preserve">2026-09-26 22:00:00</x:t>
        </x:is>
      </x:c>
      <x:c r="C442" s="604" t="str">
        <x:v>五大联赛非顶级联赛</x:v>
      </x:c>
      <x:c r="D442" s="604" t="inlineStr">
        <x:is>
          <x:t xml:space="preserve">联赛</x:t>
        </x:is>
      </x:c>
      <x:c r="E442" s="604" t="inlineStr">
        <x:is>
          <x:t xml:space="preserve">英甲</x:t>
        </x:is>
      </x:c>
      <x:c r="F442" s="604" t="inlineStr">
        <x:is>
          <x:t xml:space="preserve">普利茅斯 vs 伯顿</x:t>
        </x:is>
      </x:c>
      <x:c r="G442" s="611" t="n">
        <x:v>0.74</x:v>
      </x:c>
      <x:c r="H442" s="611" t="n">
        <x:v>0.75</x:v>
      </x:c>
      <x:c r="I442" s="611" t="n">
        <x:v>1.08</x:v>
      </x:c>
      <x:c r="J442" s="604" t="inlineStr">
        <x:is>
          <x:t xml:space="preserve">0.74/0.75/1.08</x:t>
        </x:is>
      </x:c>
      <x:c r="K442" s="604" t="inlineStr">
        <x:is>
          <x:t xml:space="preserve">V4-C最新版候选</x:t>
        </x:is>
      </x:c>
      <x:c r="L442" s="604" t="inlineStr">
        <x:is>
          <x:t xml:space="preserve">伯顿</x:t>
        </x:is>
      </x:c>
      <x:c r="M442" s="606" t="n">
        <x:v>0.7192</x:v>
      </x:c>
      <x:c r="N442" s="604" t="inlineStr">
        <x:is>
          <x:t xml:space="preserve">V4最新页面A/B/C候选</x:t>
        </x:is>
      </x:c>
      <x:c r="O442" s="604" t="inlineStr">
        <x:is>
          <x:t xml:space="preserve">0-1</x:t>
        </x:is>
      </x:c>
      <x:c r="P442" s="604" t="inlineStr">
        <x:is>
          <x:t xml:space="preserve">已结算</x:t>
        </x:is>
      </x:c>
      <x:c r="Q442" s="645" t="inlineStr">
        <x:is>
          <x:t xml:space="preserve">红</x:t>
        </x:is>
      </x:c>
      <x:c r="R442" s="607" t="n">
        <x:v>1.08</x:v>
      </x:c>
      <x:c r="S442" s="607" t="n">
        <x:f>IF(OR(Q442="",Q442="待结算"),"",IF(Q442="红",R442,IF(Q442="半红",R442*0.5,IF(Q442="走",0,IF(Q442="半黑",-0.5,-1)))))</x:f>
        <x:v>1.08</x:v>
      </x:c>
      <x:c r="T442" s="604" t="inlineStr">
        <x:is>
          <x:t xml:space="preserve">https://simondongxiao.github.io/odds/v4/</x:t>
        </x:is>
      </x:c>
      <x:c r="U442" s="604" t="inlineStr">
        <x:is>
          <x:t xml:space="preserve">3007123</x:t>
        </x:is>
      </x:c>
      <x:c r="V442" s="607" t="inlineStr">
        <x:is>
          <x:t xml:space="preserve">v4-market-dirichlet-20260913</x:t>
        </x:is>
      </x:c>
      <x:c r="W442" s="607" t="n">
        <x:f>IF(OR(U442="",U442="待结算"),"",IF(U442="红",V442,IF(U442="半红",V442*0.5,IF(U442="走",0,IF(U442="半黑",-0.5,-1)))))</x:f>
        <x:v>-1</x:v>
      </x:c>
      <x:c r="X442" s="608" t="inlineStr">
        <x:is>
          <x:t xml:space="preserve">C</x:t>
        </x:is>
      </x:c>
      <x:c r="Y442" s="608" t="n"/>
      <x:c r="Z442" s="608" t="n"/>
      <x:c r="AA442" s="608" t="n"/>
      <x:c r="AB442" s="608" t="n"/>
      <x:c r="AC442" s="608" t="n"/>
      <x:c r="AD442" s="608" t="n"/>
      <x:c r="AE442" s="608" t="n"/>
      <x:c r="AF442" s="608" t="n"/>
      <x:c r="AG442" s="608" t="n"/>
      <x:c r="AH442" s="608" t="n"/>
      <x:c r="AI442" s="608" t="n"/>
      <x:c r="AJ442" s="608" t="n"/>
      <x:c r="AK442" s="608" t="n"/>
      <x:c r="AL442" s="608" t="n"/>
      <x:c r="AM442" s="608" t="n"/>
      <x:c r="AN442" s="608" t="n"/>
      <x:c r="AO442" s="608" t="n"/>
      <x:c r="AP442" s="608" t="n"/>
      <x:c r="AQ442" s="608" t="n"/>
      <x:c r="AR442" s="608" t="n"/>
      <x:c r="AS442" s="608" t="n"/>
      <x:c r="AT442" s="608" t="n"/>
      <x:c r="AU442" s="608" t="n"/>
      <x:c r="AV442" s="608" t="n"/>
      <x:c r="AW442" s="608" t="n"/>
      <x:c r="AX442" s="608" t="n"/>
      <x:c r="AY442" s="608" t="n"/>
    </x:row>
    <x:row r="443" ht="22" customHeight="1">
      <x:c r="A443" s="604" t="inlineStr">
        <x:is>
          <x:t xml:space="preserve">2026-09-26</x:t>
        </x:is>
      </x:c>
      <x:c r="B443" s="604" t="inlineStr">
        <x:is>
          <x:t xml:space="preserve">2026-09-26 22:00:00</x:t>
        </x:is>
      </x:c>
      <x:c r="C443" s="604" t="str">
        <x:v>五大联赛非顶级联赛</x:v>
      </x:c>
      <x:c r="D443" s="604" t="inlineStr">
        <x:is>
          <x:t xml:space="preserve">联赛</x:t>
        </x:is>
      </x:c>
      <x:c r="E443" s="604" t="inlineStr">
        <x:is>
          <x:t xml:space="preserve">英乙</x:t>
        </x:is>
      </x:c>
      <x:c r="F443" s="604" t="inlineStr">
        <x:is>
          <x:t xml:space="preserve">纽波特 vs 格林斯比</x:t>
        </x:is>
      </x:c>
      <x:c r="G443" s="611" t="n">
        <x:v>1.01</x:v>
      </x:c>
      <x:c r="H443" s="611" t="n">
        <x:v>-0.5</x:v>
      </x:c>
      <x:c r="I443" s="611" t="n">
        <x:v>0.75</x:v>
      </x:c>
      <x:c r="J443" s="604" t="inlineStr">
        <x:is>
          <x:t xml:space="preserve">1.01/-0.5/0.75</x:t>
        </x:is>
      </x:c>
      <x:c r="K443" s="604" t="inlineStr">
        <x:is>
          <x:t xml:space="preserve">V4-C最新版候选</x:t>
        </x:is>
      </x:c>
      <x:c r="L443" s="604" t="inlineStr">
        <x:is>
          <x:t xml:space="preserve">纽波特</x:t>
        </x:is>
      </x:c>
      <x:c r="M443" s="606" t="n">
        <x:v>0.548</x:v>
      </x:c>
      <x:c r="N443" s="604" t="inlineStr">
        <x:is>
          <x:t xml:space="preserve">V4最新页面A/B/C候选</x:t>
        </x:is>
      </x:c>
      <x:c r="O443" s="604" t="inlineStr">
        <x:is>
          <x:t xml:space="preserve">2-1</x:t>
        </x:is>
      </x:c>
      <x:c r="P443" s="604" t="inlineStr">
        <x:is>
          <x:t xml:space="preserve">已结算</x:t>
        </x:is>
      </x:c>
      <x:c r="Q443" s="645" t="inlineStr">
        <x:is>
          <x:t xml:space="preserve">红</x:t>
        </x:is>
      </x:c>
      <x:c r="R443" s="607" t="n">
        <x:v>1.01</x:v>
      </x:c>
      <x:c r="S443" s="607" t="n">
        <x:f>IF(OR(Q443="",Q443="待结算"),"",IF(Q443="红",R443,IF(Q443="半红",R443*0.5,IF(Q443="走",0,IF(Q443="半黑",-0.5,-1)))))</x:f>
        <x:v>1.01</x:v>
      </x:c>
      <x:c r="T443" s="604" t="inlineStr">
        <x:is>
          <x:t xml:space="preserve">https://simondongxiao.github.io/odds/v4/</x:t>
        </x:is>
      </x:c>
      <x:c r="U443" s="604" t="inlineStr">
        <x:is>
          <x:t xml:space="preserve">3007685</x:t>
        </x:is>
      </x:c>
      <x:c r="V443" s="607" t="inlineStr">
        <x:is>
          <x:t xml:space="preserve">v4-market-dirichlet-20260913</x:t>
        </x:is>
      </x:c>
      <x:c r="W443" s="607" t="n">
        <x:f>IF(OR(U443="",U443="待结算"),"",IF(U443="红",V443,IF(U443="半红",V443*0.5,IF(U443="走",0,IF(U443="半黑",-0.5,-1)))))</x:f>
        <x:v>-1</x:v>
      </x:c>
      <x:c r="X443" s="608" t="inlineStr">
        <x:is>
          <x:t xml:space="preserve">C</x:t>
        </x:is>
      </x:c>
      <x:c r="Y443" s="608" t="n"/>
      <x:c r="Z443" s="608" t="n"/>
      <x:c r="AA443" s="608" t="n"/>
      <x:c r="AB443" s="608" t="n"/>
      <x:c r="AC443" s="608" t="n"/>
      <x:c r="AD443" s="608" t="n"/>
      <x:c r="AE443" s="608" t="n"/>
      <x:c r="AF443" s="608" t="n"/>
      <x:c r="AG443" s="608" t="n"/>
      <x:c r="AH443" s="608" t="n"/>
      <x:c r="AI443" s="608" t="n"/>
      <x:c r="AJ443" s="608" t="n"/>
      <x:c r="AK443" s="608" t="n"/>
      <x:c r="AL443" s="608" t="n"/>
      <x:c r="AM443" s="608" t="n"/>
      <x:c r="AN443" s="608" t="n"/>
      <x:c r="AO443" s="608" t="n"/>
      <x:c r="AP443" s="608" t="n"/>
      <x:c r="AQ443" s="608" t="n"/>
      <x:c r="AR443" s="608" t="n"/>
      <x:c r="AS443" s="608" t="n"/>
      <x:c r="AT443" s="608" t="n"/>
      <x:c r="AU443" s="608" t="n"/>
      <x:c r="AV443" s="608" t="n"/>
      <x:c r="AW443" s="608" t="n"/>
      <x:c r="AX443" s="608" t="n"/>
      <x:c r="AY443" s="608" t="n"/>
    </x:row>
    <x:row r="444" ht="22" customHeight="1">
      <x:c r="A444" s="604" t="inlineStr">
        <x:is>
          <x:t xml:space="preserve">2026-09-26</x:t>
        </x:is>
      </x:c>
      <x:c r="B444" s="604" t="inlineStr">
        <x:is>
          <x:t xml:space="preserve">2026-09-26 22:00:00</x:t>
        </x:is>
      </x:c>
      <x:c r="C444" s="604" t="str">
        <x:v>五大联赛非顶级联赛</x:v>
      </x:c>
      <x:c r="D444" s="604" t="inlineStr">
        <x:is>
          <x:t xml:space="preserve">联赛</x:t>
        </x:is>
      </x:c>
      <x:c r="E444" s="604" t="inlineStr">
        <x:is>
          <x:t xml:space="preserve">英议联</x:t>
        </x:is>
      </x:c>
      <x:c r="F444" s="604" t="inlineStr">
        <x:is>
          <x:t xml:space="preserve">索利赫尔 vs 博雷汉姆</x:t>
        </x:is>
      </x:c>
      <x:c r="G444" s="611" t="n">
        <x:v>0.9</x:v>
      </x:c>
      <x:c r="H444" s="611" t="n">
        <x:v>-1</x:v>
      </x:c>
      <x:c r="I444" s="611" t="n">
        <x:v>0.8</x:v>
      </x:c>
      <x:c r="J444" s="604" t="inlineStr">
        <x:is>
          <x:t xml:space="preserve">0.9/-1.0/0.8</x:t>
        </x:is>
      </x:c>
      <x:c r="K444" s="604" t="inlineStr">
        <x:is>
          <x:t xml:space="preserve">V4-C最新版候选</x:t>
        </x:is>
      </x:c>
      <x:c r="L444" s="604" t="inlineStr">
        <x:is>
          <x:t xml:space="preserve">索利赫尔</x:t>
        </x:is>
      </x:c>
      <x:c r="M444" s="606" t="n">
        <x:v>0.5896</x:v>
      </x:c>
      <x:c r="N444" s="604" t="inlineStr">
        <x:is>
          <x:t xml:space="preserve">V4最新页面A/B/C候选</x:t>
        </x:is>
      </x:c>
      <x:c r="O444" s="604" t="inlineStr">
        <x:is>
          <x:t xml:space="preserve">0-3</x:t>
        </x:is>
      </x:c>
      <x:c r="P444" s="604" t="inlineStr">
        <x:is>
          <x:t xml:space="preserve">已结算</x:t>
        </x:is>
      </x:c>
      <x:c r="Q444" s="646" t="inlineStr">
        <x:is>
          <x:t xml:space="preserve">黑</x:t>
        </x:is>
      </x:c>
      <x:c r="R444" s="607" t="n">
        <x:v>0.9</x:v>
      </x:c>
      <x:c r="S444" s="607" t="n">
        <x:f>IF(OR(Q444="",Q444="待结算"),"",IF(Q444="红",R444,IF(Q444="半红",R444*0.5,IF(Q444="走",0,IF(Q444="半黑",-0.5,-1)))))</x:f>
        <x:v>-1</x:v>
      </x:c>
      <x:c r="T444" s="604" t="inlineStr">
        <x:is>
          <x:t xml:space="preserve">https://simondongxiao.github.io/odds/v4/</x:t>
        </x:is>
      </x:c>
      <x:c r="U444" s="604" t="inlineStr">
        <x:is>
          <x:t xml:space="preserve">3027786</x:t>
        </x:is>
      </x:c>
      <x:c r="V444" s="607" t="inlineStr">
        <x:is>
          <x:t xml:space="preserve">v4-market-dirichlet-20260913</x:t>
        </x:is>
      </x:c>
      <x:c r="W444" s="607" t="n">
        <x:f>IF(OR(U444="",U444="待结算"),"",IF(U444="红",V444,IF(U444="半红",V444*0.5,IF(U444="走",0,IF(U444="半黑",-0.5,-1)))))</x:f>
        <x:v>-1</x:v>
      </x:c>
      <x:c r="X444" s="608" t="inlineStr">
        <x:is>
          <x:t xml:space="preserve">C</x:t>
        </x:is>
      </x:c>
      <x:c r="Y444" s="608" t="n"/>
      <x:c r="Z444" s="608" t="n"/>
      <x:c r="AA444" s="608" t="n"/>
      <x:c r="AB444" s="608" t="n"/>
      <x:c r="AC444" s="608" t="n"/>
      <x:c r="AD444" s="608" t="n"/>
      <x:c r="AE444" s="608" t="n"/>
      <x:c r="AF444" s="608" t="n"/>
      <x:c r="AG444" s="608" t="n"/>
      <x:c r="AH444" s="608" t="n"/>
      <x:c r="AI444" s="608" t="n"/>
      <x:c r="AJ444" s="608" t="n"/>
      <x:c r="AK444" s="608" t="n"/>
      <x:c r="AL444" s="608" t="n"/>
      <x:c r="AM444" s="608" t="n"/>
      <x:c r="AN444" s="608" t="n"/>
      <x:c r="AO444" s="608" t="n"/>
      <x:c r="AP444" s="608" t="n"/>
      <x:c r="AQ444" s="608" t="n"/>
      <x:c r="AR444" s="608" t="n"/>
      <x:c r="AS444" s="608" t="n"/>
      <x:c r="AT444" s="608" t="n"/>
      <x:c r="AU444" s="608" t="n"/>
      <x:c r="AV444" s="608" t="n"/>
      <x:c r="AW444" s="608" t="n"/>
      <x:c r="AX444" s="608" t="n"/>
      <x:c r="AY444" s="608" t="n"/>
    </x:row>
    <x:row r="445" ht="22" customHeight="1">
      <x:c r="A445" s="604" t="inlineStr">
        <x:is>
          <x:t xml:space="preserve">2026-09-26</x:t>
        </x:is>
      </x:c>
      <x:c r="B445" s="604" t="inlineStr">
        <x:is>
          <x:t xml:space="preserve">2026-09-26 22:00:00</x:t>
        </x:is>
      </x:c>
      <x:c r="C445" s="604" t="str">
        <x:v>五大联赛非顶级联赛</x:v>
      </x:c>
      <x:c r="D445" s="604" t="inlineStr">
        <x:is>
          <x:t xml:space="preserve">联赛</x:t>
        </x:is>
      </x:c>
      <x:c r="E445" s="604" t="inlineStr">
        <x:is>
          <x:t xml:space="preserve">英议北</x:t>
        </x:is>
      </x:c>
      <x:c r="F445" s="604" t="inlineStr">
        <x:is>
          <x:t xml:space="preserve">汉德尼斯佛 vs 雷德利费</x:t>
        </x:is>
      </x:c>
      <x:c r="G445" s="611" t="n">
        <x:v>0.6</x:v>
      </x:c>
      <x:c r="H445" s="611" t="n">
        <x:v>0.75</x:v>
      </x:c>
      <x:c r="I445" s="611" t="n">
        <x:v>1.11</x:v>
      </x:c>
      <x:c r="J445" s="604" t="inlineStr">
        <x:is>
          <x:t xml:space="preserve">0.6/0.75/1.11</x:t>
        </x:is>
      </x:c>
      <x:c r="K445" s="604" t="inlineStr">
        <x:is>
          <x:t xml:space="preserve">V4-C最新版候选</x:t>
        </x:is>
      </x:c>
      <x:c r="L445" s="604" t="inlineStr">
        <x:is>
          <x:t xml:space="preserve">雷德利费</x:t>
        </x:is>
      </x:c>
      <x:c r="M445" s="606" t="n">
        <x:v>0.761</x:v>
      </x:c>
      <x:c r="N445" s="604" t="inlineStr">
        <x:is>
          <x:t xml:space="preserve">V4最新页面A/B/C候选</x:t>
        </x:is>
      </x:c>
      <x:c r="O445" s="604" t="inlineStr">
        <x:is>
          <x:t xml:space="preserve">4-1</x:t>
        </x:is>
      </x:c>
      <x:c r="P445" s="604" t="inlineStr">
        <x:is>
          <x:t xml:space="preserve">已结算</x:t>
        </x:is>
      </x:c>
      <x:c r="Q445" s="646" t="inlineStr">
        <x:is>
          <x:t xml:space="preserve">黑</x:t>
        </x:is>
      </x:c>
      <x:c r="R445" s="607" t="n">
        <x:v>1.11</x:v>
      </x:c>
      <x:c r="S445" s="607" t="n">
        <x:f>IF(OR(Q445="",Q445="待结算"),"",IF(Q445="红",R445,IF(Q445="半红",R445*0.5,IF(Q445="走",0,IF(Q445="半黑",-0.5,-1)))))</x:f>
        <x:v>-1</x:v>
      </x:c>
      <x:c r="T445" s="604" t="inlineStr">
        <x:is>
          <x:t xml:space="preserve">https://simondongxiao.github.io/odds/v4/</x:t>
        </x:is>
      </x:c>
      <x:c r="U445" s="604" t="inlineStr">
        <x:is>
          <x:t xml:space="preserve">3028337</x:t>
        </x:is>
      </x:c>
      <x:c r="V445" s="607" t="inlineStr">
        <x:is>
          <x:t xml:space="preserve">v4-market-dirichlet-20260913</x:t>
        </x:is>
      </x:c>
      <x:c r="W445" s="607" t="n">
        <x:f>IF(OR(U445="",U445="待结算"),"",IF(U445="红",V445,IF(U445="半红",V445*0.5,IF(U445="走",0,IF(U445="半黑",-0.5,-1)))))</x:f>
        <x:v>-1</x:v>
      </x:c>
      <x:c r="X445" s="608" t="inlineStr">
        <x:is>
          <x:t xml:space="preserve">C</x:t>
        </x:is>
      </x:c>
      <x:c r="Y445" s="608" t="n"/>
      <x:c r="Z445" s="608" t="n"/>
      <x:c r="AA445" s="608" t="n"/>
      <x:c r="AB445" s="608" t="n"/>
      <x:c r="AC445" s="608" t="n"/>
      <x:c r="AD445" s="608" t="n"/>
      <x:c r="AE445" s="608" t="n"/>
      <x:c r="AF445" s="608" t="n"/>
      <x:c r="AG445" s="608" t="n"/>
      <x:c r="AH445" s="608" t="n"/>
      <x:c r="AI445" s="608" t="n"/>
      <x:c r="AJ445" s="608" t="n"/>
      <x:c r="AK445" s="608" t="n"/>
      <x:c r="AL445" s="608" t="n"/>
      <x:c r="AM445" s="608" t="n"/>
      <x:c r="AN445" s="608" t="n"/>
      <x:c r="AO445" s="608" t="n"/>
      <x:c r="AP445" s="608" t="n"/>
      <x:c r="AQ445" s="608" t="n"/>
      <x:c r="AR445" s="608" t="n"/>
      <x:c r="AS445" s="608" t="n"/>
      <x:c r="AT445" s="608" t="n"/>
      <x:c r="AU445" s="608" t="n"/>
      <x:c r="AV445" s="608" t="n"/>
      <x:c r="AW445" s="608" t="n"/>
      <x:c r="AX445" s="608" t="n"/>
      <x:c r="AY445" s="608" t="n"/>
    </x:row>
    <x:row r="446" ht="22" customHeight="1">
      <x:c r="A446" s="604" t="inlineStr">
        <x:is>
          <x:t xml:space="preserve">2026-09-26</x:t>
        </x:is>
      </x:c>
      <x:c r="B446" s="604" t="inlineStr">
        <x:is>
          <x:t xml:space="preserve">2026-09-26 22:30:00</x:t>
        </x:is>
      </x:c>
      <x:c r="C446" s="604" t="str">
        <x:v>欧洲非五大系列</x:v>
      </x:c>
      <x:c r="D446" s="604" t="inlineStr">
        <x:is>
          <x:t xml:space="preserve">联赛</x:t>
        </x:is>
      </x:c>
      <x:c r="E446" s="604" t="inlineStr">
        <x:is>
          <x:t xml:space="preserve">荷乙</x:t>
        </x:is>
      </x:c>
      <x:c r="F446" s="604" t="inlineStr">
        <x:is>
          <x:t xml:space="preserve">赫拉克勒斯 vs 维特斯</x:t>
        </x:is>
      </x:c>
      <x:c r="G446" s="611" t="n">
        <x:v>0.9</x:v>
      </x:c>
      <x:c r="H446" s="611" t="n">
        <x:v>1</x:v>
      </x:c>
      <x:c r="I446" s="611" t="n">
        <x:v>0.92</x:v>
      </x:c>
      <x:c r="J446" s="604" t="inlineStr">
        <x:is>
          <x:t xml:space="preserve">0.9/1.0/0.92</x:t>
        </x:is>
      </x:c>
      <x:c r="K446" s="604" t="inlineStr">
        <x:is>
          <x:t xml:space="preserve">V4-C最新版候选</x:t>
        </x:is>
      </x:c>
      <x:c r="L446" s="604" t="inlineStr">
        <x:is>
          <x:t xml:space="preserve">维特斯</x:t>
        </x:is>
      </x:c>
      <x:c r="M446" s="606" t="n">
        <x:v>0.6306</x:v>
      </x:c>
      <x:c r="N446" s="604" t="inlineStr">
        <x:is>
          <x:t xml:space="preserve">V4最新页面A/B/C候选</x:t>
        </x:is>
      </x:c>
      <x:c r="O446" s="604" t="inlineStr">
        <x:is>
          <x:t xml:space="preserve">2-0</x:t>
        </x:is>
      </x:c>
      <x:c r="P446" s="604" t="inlineStr">
        <x:is>
          <x:t xml:space="preserve">已结算</x:t>
        </x:is>
      </x:c>
      <x:c r="Q446" s="646" t="inlineStr">
        <x:is>
          <x:t xml:space="preserve">黑</x:t>
        </x:is>
      </x:c>
      <x:c r="R446" s="607" t="n">
        <x:v>0.92</x:v>
      </x:c>
      <x:c r="S446" s="607" t="n">
        <x:f>IF(OR(Q446="",Q446="待结算"),"",IF(Q446="红",R446,IF(Q446="半红",R446*0.5,IF(Q446="走",0,IF(Q446="半黑",-0.5,-1)))))</x:f>
        <x:v>-1</x:v>
      </x:c>
      <x:c r="T446" s="604" t="inlineStr">
        <x:is>
          <x:t xml:space="preserve">https://simondongxiao.github.io/odds/v4/</x:t>
        </x:is>
      </x:c>
      <x:c r="U446" s="604" t="inlineStr">
        <x:is>
          <x:t xml:space="preserve">2996477</x:t>
        </x:is>
      </x:c>
      <x:c r="V446" s="607" t="inlineStr">
        <x:is>
          <x:t xml:space="preserve">v4-market-dirichlet-20260913</x:t>
        </x:is>
      </x:c>
      <x:c r="W446" s="607" t="n">
        <x:f>IF(OR(U446="",U446="待结算"),"",IF(U446="红",V446,IF(U446="半红",V446*0.5,IF(U446="走",0,IF(U446="半黑",-0.5,-1)))))</x:f>
        <x:v>-1</x:v>
      </x:c>
      <x:c r="X446" s="608" t="inlineStr">
        <x:is>
          <x:t xml:space="preserve">C</x:t>
        </x:is>
      </x:c>
      <x:c r="Y446" s="608" t="n"/>
      <x:c r="Z446" s="608" t="n"/>
      <x:c r="AA446" s="608" t="n"/>
      <x:c r="AB446" s="608" t="n"/>
      <x:c r="AC446" s="608" t="n"/>
      <x:c r="AD446" s="608" t="n"/>
      <x:c r="AE446" s="608" t="n"/>
      <x:c r="AF446" s="608" t="n"/>
      <x:c r="AG446" s="608" t="n"/>
      <x:c r="AH446" s="608" t="n"/>
      <x:c r="AI446" s="608" t="n"/>
      <x:c r="AJ446" s="608" t="n"/>
      <x:c r="AK446" s="608" t="n"/>
      <x:c r="AL446" s="608" t="n"/>
      <x:c r="AM446" s="608" t="n"/>
      <x:c r="AN446" s="608" t="n"/>
      <x:c r="AO446" s="608" t="n"/>
      <x:c r="AP446" s="608" t="n"/>
      <x:c r="AQ446" s="608" t="n"/>
      <x:c r="AR446" s="608" t="n"/>
      <x:c r="AS446" s="608" t="n"/>
      <x:c r="AT446" s="608" t="n"/>
      <x:c r="AU446" s="608" t="n"/>
      <x:c r="AV446" s="608" t="n"/>
      <x:c r="AW446" s="608" t="n"/>
      <x:c r="AX446" s="608" t="n"/>
      <x:c r="AY446" s="608" t="n"/>
    </x:row>
    <x:row r="447" ht="22" customHeight="1">
      <x:c r="A447" s="604" t="inlineStr">
        <x:is>
          <x:t xml:space="preserve">2026-09-26</x:t>
        </x:is>
      </x:c>
      <x:c r="B447" s="604" t="inlineStr">
        <x:is>
          <x:t xml:space="preserve">2026-09-26 23:00:00</x:t>
        </x:is>
      </x:c>
      <x:c r="C447" s="604" t="str">
        <x:v>欧洲非五大系列</x:v>
      </x:c>
      <x:c r="D447" s="604" t="inlineStr">
        <x:is>
          <x:t xml:space="preserve">联赛</x:t>
        </x:is>
      </x:c>
      <x:c r="E447" s="604" t="inlineStr">
        <x:is>
          <x:t xml:space="preserve">欧青U21外</x:t>
        </x:is>
      </x:c>
      <x:c r="F447" s="604" t="inlineStr">
        <x:is>
          <x:t xml:space="preserve">格鲁吉亚U21 vs 希腊U21</x:t>
        </x:is>
      </x:c>
      <x:c r="G447" s="611" t="n">
        <x:v>1.03</x:v>
      </x:c>
      <x:c r="H447" s="611" t="n">
        <x:v>-0.5</x:v>
      </x:c>
      <x:c r="I447" s="611" t="n">
        <x:v>0.85</x:v>
      </x:c>
      <x:c r="J447" s="604" t="inlineStr">
        <x:is>
          <x:t xml:space="preserve">1.03/-0.5/0.85</x:t>
        </x:is>
      </x:c>
      <x:c r="K447" s="604" t="inlineStr">
        <x:is>
          <x:t xml:space="preserve">V4-C最新版候选</x:t>
        </x:is>
      </x:c>
      <x:c r="L447" s="604" t="inlineStr">
        <x:is>
          <x:t xml:space="preserve">格鲁吉亚U21</x:t>
        </x:is>
      </x:c>
      <x:c r="M447" s="606" t="n">
        <x:v>0.6122</x:v>
      </x:c>
      <x:c r="N447" s="604" t="inlineStr">
        <x:is>
          <x:t xml:space="preserve">V4最新页面A/B/C候选</x:t>
        </x:is>
      </x:c>
      <x:c r="O447" s="604" t="inlineStr">
        <x:is>
          <x:t xml:space="preserve">0-3</x:t>
        </x:is>
      </x:c>
      <x:c r="P447" s="604" t="inlineStr">
        <x:is>
          <x:t xml:space="preserve">已结算</x:t>
        </x:is>
      </x:c>
      <x:c r="Q447" s="646" t="inlineStr">
        <x:is>
          <x:t xml:space="preserve">黑</x:t>
        </x:is>
      </x:c>
      <x:c r="R447" s="607" t="n">
        <x:v>1.03</x:v>
      </x:c>
      <x:c r="S447" s="607" t="n">
        <x:f>IF(OR(Q447="",Q447="待结算"),"",IF(Q447="红",R447,IF(Q447="半红",R447*0.5,IF(Q447="走",0,IF(Q447="半黑",-0.5,-1)))))</x:f>
        <x:v>-1</x:v>
      </x:c>
      <x:c r="T447" s="604" t="inlineStr">
        <x:is>
          <x:t xml:space="preserve">https://simondongxiao.github.io/odds/v4/</x:t>
        </x:is>
      </x:c>
      <x:c r="U447" s="604" t="inlineStr">
        <x:is>
          <x:t xml:space="preserve">2781343</x:t>
        </x:is>
      </x:c>
      <x:c r="V447" s="607" t="inlineStr">
        <x:is>
          <x:t xml:space="preserve">v4-market-dirichlet-20260913</x:t>
        </x:is>
      </x:c>
      <x:c r="W447" s="607" t="n">
        <x:f>IF(OR(U447="",U447="待结算"),"",IF(U447="红",V447,IF(U447="半红",V447*0.5,IF(U447="走",0,IF(U447="半黑",-0.5,-1)))))</x:f>
        <x:v>-1</x:v>
      </x:c>
      <x:c r="X447" s="608" t="inlineStr">
        <x:is>
          <x:t xml:space="preserve">C</x:t>
        </x:is>
      </x:c>
      <x:c r="Y447" s="608" t="n"/>
      <x:c r="Z447" s="608" t="n"/>
      <x:c r="AA447" s="608" t="n"/>
      <x:c r="AB447" s="608" t="n"/>
      <x:c r="AC447" s="608" t="n"/>
      <x:c r="AD447" s="608" t="n"/>
      <x:c r="AE447" s="608" t="n"/>
      <x:c r="AF447" s="608" t="n"/>
      <x:c r="AG447" s="608" t="n"/>
      <x:c r="AH447" s="608" t="n"/>
      <x:c r="AI447" s="608" t="n"/>
      <x:c r="AJ447" s="608" t="n"/>
      <x:c r="AK447" s="608" t="n"/>
      <x:c r="AL447" s="608" t="n"/>
      <x:c r="AM447" s="608" t="n"/>
      <x:c r="AN447" s="608" t="n"/>
      <x:c r="AO447" s="608" t="n"/>
      <x:c r="AP447" s="608" t="n"/>
      <x:c r="AQ447" s="608" t="n"/>
      <x:c r="AR447" s="608" t="n"/>
      <x:c r="AS447" s="608" t="n"/>
      <x:c r="AT447" s="608" t="n"/>
      <x:c r="AU447" s="608" t="n"/>
      <x:c r="AV447" s="608" t="n"/>
      <x:c r="AW447" s="608" t="n"/>
      <x:c r="AX447" s="608" t="n"/>
      <x:c r="AY447" s="608" t="n"/>
    </x:row>
    <x:row r="448" ht="22" customHeight="1">
      <x:c r="A448" s="604" t="inlineStr">
        <x:is>
          <x:t xml:space="preserve">2026-09-26</x:t>
        </x:is>
      </x:c>
      <x:c r="B448" s="604" t="inlineStr">
        <x:is>
          <x:t xml:space="preserve">2026-09-27 00:00:00</x:t>
        </x:is>
      </x:c>
      <x:c r="C448" s="604" t="str">
        <x:v>欧洲非五大系列</x:v>
      </x:c>
      <x:c r="D448" s="604" t="inlineStr">
        <x:is>
          <x:t xml:space="preserve">联赛</x:t>
        </x:is>
      </x:c>
      <x:c r="E448" s="604" t="inlineStr">
        <x:is>
          <x:t xml:space="preserve">欧国联</x:t>
        </x:is>
      </x:c>
      <x:c r="F448" s="604" t="inlineStr">
        <x:is>
          <x:t xml:space="preserve">冰岛 vs 爱沙尼亚</x:t>
        </x:is>
      </x:c>
      <x:c r="G448" s="611" t="n">
        <x:v>1</x:v>
      </x:c>
      <x:c r="H448" s="611" t="n">
        <x:v>1.75</x:v>
      </x:c>
      <x:c r="I448" s="611" t="n">
        <x:v>0.88</x:v>
      </x:c>
      <x:c r="J448" s="604" t="inlineStr">
        <x:is>
          <x:t xml:space="preserve">1.0/1.75/0.88</x:t>
        </x:is>
      </x:c>
      <x:c r="K448" s="604" t="inlineStr">
        <x:is>
          <x:t xml:space="preserve">V4-C最新版候选</x:t>
        </x:is>
      </x:c>
      <x:c r="L448" s="604" t="inlineStr">
        <x:is>
          <x:t xml:space="preserve">冰岛</x:t>
        </x:is>
      </x:c>
      <x:c r="M448" s="606" t="n">
        <x:v>0.6536</x:v>
      </x:c>
      <x:c r="N448" s="604" t="inlineStr">
        <x:is>
          <x:t xml:space="preserve">V4最新页面A/B/C候选</x:t>
        </x:is>
      </x:c>
      <x:c r="O448" s="604" t="inlineStr">
        <x:is>
          <x:t xml:space="preserve">1-1</x:t>
        </x:is>
      </x:c>
      <x:c r="P448" s="604" t="inlineStr">
        <x:is>
          <x:t xml:space="preserve">已结算</x:t>
        </x:is>
      </x:c>
      <x:c r="Q448" s="646" t="inlineStr">
        <x:is>
          <x:t xml:space="preserve">黑</x:t>
        </x:is>
      </x:c>
      <x:c r="R448" s="607" t="n">
        <x:v>1</x:v>
      </x:c>
      <x:c r="S448" s="607" t="n">
        <x:f>IF(OR(Q448="",Q448="待结算"),"",IF(Q448="红",R448,IF(Q448="半红",R448*0.5,IF(Q448="走",0,IF(Q448="半黑",-0.5,-1)))))</x:f>
        <x:v>-1</x:v>
      </x:c>
      <x:c r="T448" s="604" t="inlineStr">
        <x:is>
          <x:t xml:space="preserve">https://simondongxiao.github.io/odds/v4/</x:t>
        </x:is>
      </x:c>
      <x:c r="U448" s="604" t="inlineStr">
        <x:is>
          <x:t xml:space="preserve">2981527</x:t>
        </x:is>
      </x:c>
      <x:c r="V448" s="607" t="inlineStr">
        <x:is>
          <x:t xml:space="preserve">v4-market-dirichlet-20260913</x:t>
        </x:is>
      </x:c>
      <x:c r="W448" s="607" t="n">
        <x:f>IF(OR(U448="",U448="待结算"),"",IF(U448="红",V448,IF(U448="半红",V448*0.5,IF(U448="走",0,IF(U448="半黑",-0.5,-1)))))</x:f>
        <x:v>-1</x:v>
      </x:c>
      <x:c r="X448" s="608" t="inlineStr">
        <x:is>
          <x:t xml:space="preserve">C</x:t>
        </x:is>
      </x:c>
      <x:c r="Y448" s="608" t="n"/>
      <x:c r="Z448" s="608" t="n"/>
      <x:c r="AA448" s="608" t="n"/>
      <x:c r="AB448" s="608" t="n"/>
      <x:c r="AC448" s="608" t="n"/>
      <x:c r="AD448" s="608" t="n"/>
      <x:c r="AE448" s="608" t="n"/>
      <x:c r="AF448" s="608" t="n"/>
      <x:c r="AG448" s="608" t="n"/>
      <x:c r="AH448" s="608" t="n"/>
      <x:c r="AI448" s="608" t="n"/>
      <x:c r="AJ448" s="608" t="n"/>
      <x:c r="AK448" s="608" t="n"/>
      <x:c r="AL448" s="608" t="n"/>
      <x:c r="AM448" s="608" t="n"/>
      <x:c r="AN448" s="608" t="n"/>
      <x:c r="AO448" s="608" t="n"/>
      <x:c r="AP448" s="608" t="n"/>
      <x:c r="AQ448" s="608" t="n"/>
      <x:c r="AR448" s="608" t="n"/>
      <x:c r="AS448" s="608" t="n"/>
      <x:c r="AT448" s="608" t="n"/>
      <x:c r="AU448" s="608" t="n"/>
      <x:c r="AV448" s="608" t="n"/>
      <x:c r="AW448" s="608" t="n"/>
      <x:c r="AX448" s="608" t="n"/>
      <x:c r="AY448" s="608" t="n"/>
    </x:row>
    <x:row r="449" ht="22" customHeight="1">
      <x:c r="A449" s="604" t="inlineStr">
        <x:is>
          <x:t xml:space="preserve">2026-09-26</x:t>
        </x:is>
      </x:c>
      <x:c r="B449" s="604" t="inlineStr">
        <x:is>
          <x:t xml:space="preserve">2026-09-27 00:00:00</x:t>
        </x:is>
      </x:c>
      <x:c r="C449" s="604" t="str">
        <x:v>其他系列</x:v>
      </x:c>
      <x:c r="D449" s="604" t="inlineStr">
        <x:is>
          <x:t xml:space="preserve">杯赛</x:t>
        </x:is>
      </x:c>
      <x:c r="E449" s="604" t="inlineStr">
        <x:is>
          <x:t xml:space="preserve">世女杯U20</x:t>
        </x:is>
      </x:c>
      <x:c r="F449" s="604" t="inlineStr">
        <x:is>
          <x:t xml:space="preserve">意大利女足U20 vs 哥伦比亚女足U20</x:t>
        </x:is>
      </x:c>
      <x:c r="G449" s="611" t="n">
        <x:v>0.7</x:v>
      </x:c>
      <x:c r="H449" s="611" t="n">
        <x:v>0.5</x:v>
      </x:c>
      <x:c r="I449" s="611" t="n">
        <x:v>1.13</x:v>
      </x:c>
      <x:c r="J449" s="604" t="inlineStr">
        <x:is>
          <x:t xml:space="preserve">0.7/0.5/1.13</x:t>
        </x:is>
      </x:c>
      <x:c r="K449" s="604" t="inlineStr">
        <x:is>
          <x:t xml:space="preserve">V4-C最新版候选</x:t>
        </x:is>
      </x:c>
      <x:c r="L449" s="604" t="inlineStr">
        <x:is>
          <x:t xml:space="preserve">哥伦比亚女足U20</x:t>
        </x:is>
      </x:c>
      <x:c r="M449" s="606" t="n">
        <x:v>0.8116</x:v>
      </x:c>
      <x:c r="N449" s="604" t="inlineStr">
        <x:is>
          <x:t xml:space="preserve">V4最新页面A/B/C候选</x:t>
        </x:is>
      </x:c>
      <x:c r="O449" s="604" t="inlineStr">
        <x:is>
          <x:t xml:space="preserve">1-1</x:t>
        </x:is>
      </x:c>
      <x:c r="P449" s="604" t="inlineStr">
        <x:is>
          <x:t xml:space="preserve">已结算</x:t>
        </x:is>
      </x:c>
      <x:c r="Q449" s="645" t="inlineStr">
        <x:is>
          <x:t xml:space="preserve">红</x:t>
        </x:is>
      </x:c>
      <x:c r="R449" s="607" t="n">
        <x:v>1.13</x:v>
      </x:c>
      <x:c r="S449" s="607" t="n">
        <x:f>IF(OR(Q449="",Q449="待结算"),"",IF(Q449="红",R449,IF(Q449="半红",R449*0.5,IF(Q449="走",0,IF(Q449="半黑",-0.5,-1)))))</x:f>
        <x:v>1.13</x:v>
      </x:c>
      <x:c r="T449" s="604" t="inlineStr">
        <x:is>
          <x:t xml:space="preserve">https://simondongxiao.github.io/odds/v4/</x:t>
        </x:is>
      </x:c>
      <x:c r="U449" s="604" t="inlineStr">
        <x:is>
          <x:t xml:space="preserve">3094925</x:t>
        </x:is>
      </x:c>
      <x:c r="V449" s="607" t="inlineStr">
        <x:is>
          <x:t xml:space="preserve">v4-market-dirichlet-20260913</x:t>
        </x:is>
      </x:c>
      <x:c r="W449" s="607" t="n">
        <x:f>IF(OR(U449="",U449="待结算"),"",IF(U449="红",V449,IF(U449="半红",V449*0.5,IF(U449="走",0,IF(U449="半黑",-0.5,-1)))))</x:f>
        <x:v>-1</x:v>
      </x:c>
      <x:c r="X449" s="608" t="inlineStr">
        <x:is>
          <x:t xml:space="preserve">C</x:t>
        </x:is>
      </x:c>
      <x:c r="Y449" s="608" t="n"/>
      <x:c r="Z449" s="608" t="n"/>
      <x:c r="AA449" s="608" t="n"/>
      <x:c r="AB449" s="608" t="n"/>
      <x:c r="AC449" s="608" t="n"/>
      <x:c r="AD449" s="608" t="n"/>
      <x:c r="AE449" s="608" t="n"/>
      <x:c r="AF449" s="608" t="n"/>
      <x:c r="AG449" s="608" t="n"/>
      <x:c r="AH449" s="608" t="n"/>
      <x:c r="AI449" s="608" t="n"/>
      <x:c r="AJ449" s="608" t="n"/>
      <x:c r="AK449" s="608" t="n"/>
      <x:c r="AL449" s="608" t="n"/>
      <x:c r="AM449" s="608" t="n"/>
      <x:c r="AN449" s="608" t="n"/>
      <x:c r="AO449" s="608" t="n"/>
      <x:c r="AP449" s="608" t="n"/>
      <x:c r="AQ449" s="608" t="n"/>
      <x:c r="AR449" s="608" t="n"/>
      <x:c r="AS449" s="608" t="n"/>
      <x:c r="AT449" s="608" t="n"/>
      <x:c r="AU449" s="608" t="n"/>
      <x:c r="AV449" s="608" t="n"/>
      <x:c r="AW449" s="608" t="n"/>
      <x:c r="AX449" s="608" t="n"/>
      <x:c r="AY449" s="608" t="n"/>
    </x:row>
    <x:row r="450" ht="22" customHeight="1">
      <x:c r="A450" s="604" t="inlineStr">
        <x:is>
          <x:t xml:space="preserve">2026-09-26</x:t>
        </x:is>
      </x:c>
      <x:c r="B450" s="604" t="inlineStr">
        <x:is>
          <x:t xml:space="preserve">2026-09-27 00:00:00</x:t>
        </x:is>
      </x:c>
      <x:c r="C450" s="604" t="str">
        <x:v>欧洲非五大系列</x:v>
      </x:c>
      <x:c r="D450" s="604" t="inlineStr">
        <x:is>
          <x:t xml:space="preserve">联赛</x:t>
        </x:is>
      </x:c>
      <x:c r="E450" s="604" t="inlineStr">
        <x:is>
          <x:t xml:space="preserve">欧青U21外</x:t>
        </x:is>
      </x:c>
      <x:c r="F450" s="604" t="inlineStr">
        <x:is>
          <x:t xml:space="preserve">拉脱维亚U21 vs 德国U21</x:t>
        </x:is>
      </x:c>
      <x:c r="G450" s="611" t="n">
        <x:v>0.85</x:v>
      </x:c>
      <x:c r="H450" s="611" t="n">
        <x:v>-2.75</x:v>
      </x:c>
      <x:c r="I450" s="611" t="n">
        <x:v>0.97</x:v>
      </x:c>
      <x:c r="J450" s="604" t="inlineStr">
        <x:is>
          <x:t xml:space="preserve">0.85/-2.75/0.97</x:t>
        </x:is>
      </x:c>
      <x:c r="K450" s="604" t="inlineStr">
        <x:is>
          <x:t xml:space="preserve">V4-B最新版候选</x:t>
        </x:is>
      </x:c>
      <x:c r="L450" s="604" t="inlineStr">
        <x:is>
          <x:t xml:space="preserve">德国U21</x:t>
        </x:is>
      </x:c>
      <x:c r="M450" s="606" t="n">
        <x:v>0.878</x:v>
      </x:c>
      <x:c r="N450" s="604" t="inlineStr">
        <x:is>
          <x:t xml:space="preserve">V4最新页面A/B/C候选</x:t>
        </x:is>
      </x:c>
      <x:c r="O450" s="604" t="inlineStr">
        <x:is>
          <x:t xml:space="preserve">0-4</x:t>
        </x:is>
      </x:c>
      <x:c r="P450" s="604" t="inlineStr">
        <x:is>
          <x:t xml:space="preserve">已结算</x:t>
        </x:is>
      </x:c>
      <x:c r="Q450" s="645" t="inlineStr">
        <x:is>
          <x:t xml:space="preserve">红</x:t>
        </x:is>
      </x:c>
      <x:c r="R450" s="607" t="n">
        <x:v>0.97</x:v>
      </x:c>
      <x:c r="S450" s="607" t="n">
        <x:f>IF(OR(Q450="",Q450="待结算"),"",IF(Q450="红",R450,IF(Q450="半红",R450*0.5,IF(Q450="走",0,IF(Q450="半黑",-0.5,-1)))))</x:f>
        <x:v>0.97</x:v>
      </x:c>
      <x:c r="T450" s="604" t="inlineStr">
        <x:is>
          <x:t xml:space="preserve">https://simondongxiao.github.io/odds/v4/</x:t>
        </x:is>
      </x:c>
      <x:c r="U450" s="604" t="inlineStr">
        <x:is>
          <x:t xml:space="preserve">2781342</x:t>
        </x:is>
      </x:c>
      <x:c r="V450" s="607" t="inlineStr">
        <x:is>
          <x:t xml:space="preserve">v4-market-dirichlet-20260913</x:t>
        </x:is>
      </x:c>
      <x:c r="W450" s="607" t="n">
        <x:f>IF(OR(U450="",U450="待结算"),"",IF(U450="红",V450,IF(U450="半红",V450*0.5,IF(U450="走",0,IF(U450="半黑",-0.5,-1)))))</x:f>
        <x:v>-1</x:v>
      </x:c>
      <x:c r="X450" s="608" t="inlineStr">
        <x:is>
          <x:t xml:space="preserve">B</x:t>
        </x:is>
      </x:c>
      <x:c r="Y450" s="608" t="n"/>
      <x:c r="Z450" s="608" t="n"/>
      <x:c r="AA450" s="608" t="n"/>
      <x:c r="AB450" s="608" t="n"/>
      <x:c r="AC450" s="608" t="n"/>
      <x:c r="AD450" s="608" t="n"/>
      <x:c r="AE450" s="608" t="n"/>
      <x:c r="AF450" s="608" t="n"/>
      <x:c r="AG450" s="608" t="n"/>
      <x:c r="AH450" s="608" t="n"/>
      <x:c r="AI450" s="608" t="n"/>
      <x:c r="AJ450" s="608" t="n"/>
      <x:c r="AK450" s="608" t="n"/>
      <x:c r="AL450" s="608" t="n"/>
      <x:c r="AM450" s="608" t="n"/>
      <x:c r="AN450" s="608" t="n"/>
      <x:c r="AO450" s="608" t="n"/>
      <x:c r="AP450" s="608" t="n"/>
      <x:c r="AQ450" s="608" t="n"/>
      <x:c r="AR450" s="608" t="n"/>
      <x:c r="AS450" s="608" t="n"/>
      <x:c r="AT450" s="608" t="n"/>
      <x:c r="AU450" s="608" t="n"/>
      <x:c r="AV450" s="608" t="n"/>
      <x:c r="AW450" s="608" t="n"/>
      <x:c r="AX450" s="608" t="n"/>
      <x:c r="AY450" s="608" t="n"/>
    </x:row>
    <x:row r="451" ht="22" customHeight="1">
      <x:c r="A451" s="604" t="inlineStr">
        <x:is>
          <x:t xml:space="preserve">2026-09-26</x:t>
        </x:is>
      </x:c>
      <x:c r="B451" s="604" t="inlineStr">
        <x:is>
          <x:t xml:space="preserve">2026-09-27 00:00:00</x:t>
        </x:is>
      </x:c>
      <x:c r="C451" s="604" t="str">
        <x:v>欧洲非五大系列</x:v>
      </x:c>
      <x:c r="D451" s="604" t="inlineStr">
        <x:is>
          <x:t xml:space="preserve">联赛</x:t>
        </x:is>
      </x:c>
      <x:c r="E451" s="604" t="inlineStr">
        <x:is>
          <x:t xml:space="preserve">欧洲U20</x:t>
        </x:is>
      </x:c>
      <x:c r="F451" s="604" t="inlineStr">
        <x:is>
          <x:t xml:space="preserve">葡萄牙U20 vs 波兰U20</x:t>
        </x:is>
      </x:c>
      <x:c r="G451" s="611" t="n">
        <x:v>0.74</x:v>
      </x:c>
      <x:c r="H451" s="611" t="n">
        <x:v>1</x:v>
      </x:c>
      <x:c r="I451" s="611" t="n">
        <x:v>1.08</x:v>
      </x:c>
      <x:c r="J451" s="604" t="inlineStr">
        <x:is>
          <x:t xml:space="preserve">0.74/1.0/1.08</x:t>
        </x:is>
      </x:c>
      <x:c r="K451" s="604" t="inlineStr">
        <x:is>
          <x:t xml:space="preserve">V4-C最新版候选</x:t>
        </x:is>
      </x:c>
      <x:c r="L451" s="604" t="inlineStr">
        <x:is>
          <x:t xml:space="preserve">波兰U20</x:t>
        </x:is>
      </x:c>
      <x:c r="M451" s="606" t="n">
        <x:v>0.831</x:v>
      </x:c>
      <x:c r="N451" s="604" t="inlineStr">
        <x:is>
          <x:t xml:space="preserve">V4最新页面A/B/C候选</x:t>
        </x:is>
      </x:c>
      <x:c r="O451" s="604" t="inlineStr">
        <x:is>
          <x:t xml:space="preserve">1-3</x:t>
        </x:is>
      </x:c>
      <x:c r="P451" s="604" t="inlineStr">
        <x:is>
          <x:t xml:space="preserve">已结算</x:t>
        </x:is>
      </x:c>
      <x:c r="Q451" s="645" t="inlineStr">
        <x:is>
          <x:t xml:space="preserve">红</x:t>
        </x:is>
      </x:c>
      <x:c r="R451" s="607" t="n">
        <x:v>1.08</x:v>
      </x:c>
      <x:c r="S451" s="607" t="n">
        <x:f>IF(OR(Q451="",Q451="待结算"),"",IF(Q451="红",R451,IF(Q451="半红",R451*0.5,IF(Q451="走",0,IF(Q451="半黑",-0.5,-1)))))</x:f>
        <x:v>1.08</x:v>
      </x:c>
      <x:c r="T451" s="604" t="inlineStr">
        <x:is>
          <x:t xml:space="preserve">https://simondongxiao.github.io/odds/v4/</x:t>
        </x:is>
      </x:c>
      <x:c r="U451" s="604" t="inlineStr">
        <x:is>
          <x:t xml:space="preserve">3071532</x:t>
        </x:is>
      </x:c>
      <x:c r="V451" s="607" t="inlineStr">
        <x:is>
          <x:t xml:space="preserve">v4-market-dirichlet-20260913</x:t>
        </x:is>
      </x:c>
      <x:c r="W451" s="607" t="n">
        <x:f>IF(OR(U451="",U451="待结算"),"",IF(U451="红",V451,IF(U451="半红",V451*0.5,IF(U451="走",0,IF(U451="半黑",-0.5,-1)))))</x:f>
        <x:v>-1</x:v>
      </x:c>
      <x:c r="X451" s="608" t="inlineStr">
        <x:is>
          <x:t xml:space="preserve">C</x:t>
        </x:is>
      </x:c>
      <x:c r="Y451" s="608" t="n"/>
      <x:c r="Z451" s="608" t="n"/>
      <x:c r="AA451" s="608" t="n"/>
      <x:c r="AB451" s="608" t="n"/>
      <x:c r="AC451" s="608" t="n"/>
      <x:c r="AD451" s="608" t="n"/>
      <x:c r="AE451" s="608" t="n"/>
      <x:c r="AF451" s="608" t="n"/>
      <x:c r="AG451" s="608" t="n"/>
      <x:c r="AH451" s="608" t="n"/>
      <x:c r="AI451" s="608" t="n"/>
      <x:c r="AJ451" s="608" t="n"/>
      <x:c r="AK451" s="608" t="n"/>
      <x:c r="AL451" s="608" t="n"/>
      <x:c r="AM451" s="608" t="n"/>
      <x:c r="AN451" s="608" t="n"/>
      <x:c r="AO451" s="608" t="n"/>
      <x:c r="AP451" s="608" t="n"/>
      <x:c r="AQ451" s="608" t="n"/>
      <x:c r="AR451" s="608" t="n"/>
      <x:c r="AS451" s="608" t="n"/>
      <x:c r="AT451" s="608" t="n"/>
      <x:c r="AU451" s="608" t="n"/>
      <x:c r="AV451" s="608" t="n"/>
      <x:c r="AW451" s="608" t="n"/>
      <x:c r="AX451" s="608" t="n"/>
      <x:c r="AY451" s="608" t="n"/>
    </x:row>
    <x:row r="452" ht="22" customHeight="1">
      <x:c r="A452" s="604" t="inlineStr">
        <x:is>
          <x:t xml:space="preserve">2026-09-26</x:t>
        </x:is>
      </x:c>
      <x:c r="B452" s="604" t="inlineStr">
        <x:is>
          <x:t xml:space="preserve">2026-09-27 00:30:00</x:t>
        </x:is>
      </x:c>
      <x:c r="C452" s="604" t="str">
        <x:v>五大联赛非顶级联赛</x:v>
      </x:c>
      <x:c r="D452" s="604" t="inlineStr">
        <x:is>
          <x:t xml:space="preserve">联赛</x:t>
        </x:is>
      </x:c>
      <x:c r="E452" s="604" t="inlineStr">
        <x:is>
          <x:t xml:space="preserve">西协乙3</x:t>
        </x:is>
      </x:c>
      <x:c r="F452" s="604" t="inlineStr">
        <x:is>
          <x:t xml:space="preserve">奥瑞韦拉 vs 卡斯迪隆B队</x:t>
        </x:is>
      </x:c>
      <x:c r="G452" s="611" t="n">
        <x:v>0.65</x:v>
      </x:c>
      <x:c r="H452" s="611" t="n">
        <x:v>0.5</x:v>
      </x:c>
      <x:c r="I452" s="611" t="n">
        <x:v>1.05</x:v>
      </x:c>
      <x:c r="J452" s="604" t="inlineStr">
        <x:is>
          <x:t xml:space="preserve">0.65/0.5/1.05</x:t>
        </x:is>
      </x:c>
      <x:c r="K452" s="604" t="inlineStr">
        <x:is>
          <x:t xml:space="preserve">V4-C最新版候选</x:t>
        </x:is>
      </x:c>
      <x:c r="L452" s="604" t="inlineStr">
        <x:is>
          <x:t xml:space="preserve">卡斯迪隆B队</x:t>
        </x:is>
      </x:c>
      <x:c r="M452" s="606" t="n">
        <x:v>0.6524</x:v>
      </x:c>
      <x:c r="N452" s="604" t="inlineStr">
        <x:is>
          <x:t xml:space="preserve">V4最新页面A/B/C候选</x:t>
        </x:is>
      </x:c>
      <x:c r="O452" s="604" t="inlineStr">
        <x:is>
          <x:t xml:space="preserve">1-4</x:t>
        </x:is>
      </x:c>
      <x:c r="P452" s="604" t="inlineStr">
        <x:is>
          <x:t xml:space="preserve">已结算</x:t>
        </x:is>
      </x:c>
      <x:c r="Q452" s="645" t="inlineStr">
        <x:is>
          <x:t xml:space="preserve">红</x:t>
        </x:is>
      </x:c>
      <x:c r="R452" s="607" t="n">
        <x:v>1.05</x:v>
      </x:c>
      <x:c r="S452" s="607" t="n">
        <x:f>IF(OR(Q452="",Q452="待结算"),"",IF(Q452="红",R452,IF(Q452="半红",R452*0.5,IF(Q452="走",0,IF(Q452="半黑",-0.5,-1)))))</x:f>
        <x:v>1.05</x:v>
      </x:c>
      <x:c r="T452" s="604" t="inlineStr">
        <x:is>
          <x:t xml:space="preserve">https://simondongxiao.github.io/odds/v4/</x:t>
        </x:is>
      </x:c>
      <x:c r="U452" s="604" t="inlineStr">
        <x:is>
          <x:t xml:space="preserve">3015888</x:t>
        </x:is>
      </x:c>
      <x:c r="V452" s="607" t="inlineStr">
        <x:is>
          <x:t xml:space="preserve">v4-market-dirichlet-20260913</x:t>
        </x:is>
      </x:c>
      <x:c r="W452" s="607" t="n">
        <x:f>IF(OR(U452="",U452="待结算"),"",IF(U452="红",V452,IF(U452="半红",V452*0.5,IF(U452="走",0,IF(U452="半黑",-0.5,-1)))))</x:f>
        <x:v>-1</x:v>
      </x:c>
      <x:c r="X452" s="608" t="inlineStr">
        <x:is>
          <x:t xml:space="preserve">C</x:t>
        </x:is>
      </x:c>
      <x:c r="Y452" s="608" t="n"/>
      <x:c r="Z452" s="608" t="n"/>
      <x:c r="AA452" s="608" t="n"/>
      <x:c r="AB452" s="608" t="n"/>
      <x:c r="AC452" s="608" t="n"/>
      <x:c r="AD452" s="608" t="n"/>
      <x:c r="AE452" s="608" t="n"/>
      <x:c r="AF452" s="608" t="n"/>
      <x:c r="AG452" s="608" t="n"/>
      <x:c r="AH452" s="608" t="n"/>
      <x:c r="AI452" s="608" t="n"/>
      <x:c r="AJ452" s="608" t="n"/>
      <x:c r="AK452" s="608" t="n"/>
      <x:c r="AL452" s="608" t="n"/>
      <x:c r="AM452" s="608" t="n"/>
      <x:c r="AN452" s="608" t="n"/>
      <x:c r="AO452" s="608" t="n"/>
      <x:c r="AP452" s="608" t="n"/>
      <x:c r="AQ452" s="608" t="n"/>
      <x:c r="AR452" s="608" t="n"/>
      <x:c r="AS452" s="608" t="n"/>
      <x:c r="AT452" s="608" t="n"/>
      <x:c r="AU452" s="608" t="n"/>
      <x:c r="AV452" s="608" t="n"/>
      <x:c r="AW452" s="608" t="n"/>
      <x:c r="AX452" s="608" t="n"/>
      <x:c r="AY452" s="608" t="n"/>
    </x:row>
    <x:row r="453" ht="22" customHeight="1">
      <x:c r="A453" s="604" t="inlineStr">
        <x:is>
          <x:t xml:space="preserve">2026-09-26</x:t>
        </x:is>
      </x:c>
      <x:c r="B453" s="604" t="inlineStr">
        <x:is>
          <x:t xml:space="preserve">2026-09-27 02:00:00</x:t>
        </x:is>
      </x:c>
      <x:c r="C453" s="604" t="str">
        <x:v>西亚/中亚系列</x:v>
      </x:c>
      <x:c r="D453" s="604" t="inlineStr">
        <x:is>
          <x:t xml:space="preserve">联赛</x:t>
        </x:is>
      </x:c>
      <x:c r="E453" s="604" t="inlineStr">
        <x:is>
          <x:t xml:space="preserve">海湾运</x:t>
        </x:is>
      </x:c>
      <x:c r="F453" s="604" t="inlineStr">
        <x:is>
          <x:t xml:space="preserve">阿曼 vs 沙特阿拉伯</x:t>
        </x:is>
      </x:c>
      <x:c r="G453" s="611" t="n">
        <x:v>1.07</x:v>
      </x:c>
      <x:c r="H453" s="611" t="n">
        <x:v>-0.75</x:v>
      </x:c>
      <x:c r="I453" s="611" t="n">
        <x:v>0.75</x:v>
      </x:c>
      <x:c r="J453" s="604" t="inlineStr">
        <x:is>
          <x:t xml:space="preserve">1.07/-0.75/0.75</x:t>
        </x:is>
      </x:c>
      <x:c r="K453" s="604" t="inlineStr">
        <x:is>
          <x:t xml:space="preserve">V4-C最新版候选</x:t>
        </x:is>
      </x:c>
      <x:c r="L453" s="604" t="inlineStr">
        <x:is>
          <x:t xml:space="preserve">阿曼</x:t>
        </x:is>
      </x:c>
      <x:c r="M453" s="606" t="n">
        <x:v>0.694</x:v>
      </x:c>
      <x:c r="N453" s="604" t="inlineStr">
        <x:is>
          <x:t xml:space="preserve">V4最新页面A/B/C候选</x:t>
        </x:is>
      </x:c>
      <x:c r="O453" s="604" t="inlineStr">
        <x:is>
          <x:t xml:space="preserve">0-3</x:t>
        </x:is>
      </x:c>
      <x:c r="P453" s="604" t="inlineStr">
        <x:is>
          <x:t xml:space="preserve">已结算</x:t>
        </x:is>
      </x:c>
      <x:c r="Q453" s="646" t="inlineStr">
        <x:is>
          <x:t xml:space="preserve">黑</x:t>
        </x:is>
      </x:c>
      <x:c r="R453" s="607" t="n">
        <x:v>1.07</x:v>
      </x:c>
      <x:c r="S453" s="607" t="n">
        <x:f>IF(OR(Q453="",Q453="待结算"),"",IF(Q453="红",R453,IF(Q453="半红",R453*0.5,IF(Q453="走",0,IF(Q453="半黑",-0.5,-1)))))</x:f>
        <x:v>-1</x:v>
      </x:c>
      <x:c r="T453" s="604" t="inlineStr">
        <x:is>
          <x:t xml:space="preserve">https://simondongxiao.github.io/odds/v4/</x:t>
        </x:is>
      </x:c>
      <x:c r="U453" s="604" t="inlineStr">
        <x:is>
          <x:t xml:space="preserve">3092407</x:t>
        </x:is>
      </x:c>
      <x:c r="V453" s="607" t="inlineStr">
        <x:is>
          <x:t xml:space="preserve">v4-market-dirichlet-20260913</x:t>
        </x:is>
      </x:c>
      <x:c r="W453" s="607" t="n">
        <x:f>IF(OR(U453="",U453="待结算"),"",IF(U453="红",V453,IF(U453="半红",V453*0.5,IF(U453="走",0,IF(U453="半黑",-0.5,-1)))))</x:f>
        <x:v>-1</x:v>
      </x:c>
      <x:c r="X453" s="608" t="inlineStr">
        <x:is>
          <x:t xml:space="preserve">C</x:t>
        </x:is>
      </x:c>
      <x:c r="Y453" s="608" t="n"/>
      <x:c r="Z453" s="608" t="n"/>
      <x:c r="AA453" s="608" t="n"/>
      <x:c r="AB453" s="608" t="n"/>
      <x:c r="AC453" s="608" t="n"/>
      <x:c r="AD453" s="608" t="n"/>
      <x:c r="AE453" s="608" t="n"/>
      <x:c r="AF453" s="608" t="n"/>
      <x:c r="AG453" s="608" t="n"/>
      <x:c r="AH453" s="608" t="n"/>
      <x:c r="AI453" s="608" t="n"/>
      <x:c r="AJ453" s="608" t="n"/>
      <x:c r="AK453" s="608" t="n"/>
      <x:c r="AL453" s="608" t="n"/>
      <x:c r="AM453" s="608" t="n"/>
      <x:c r="AN453" s="608" t="n"/>
      <x:c r="AO453" s="608" t="n"/>
      <x:c r="AP453" s="608" t="n"/>
      <x:c r="AQ453" s="608" t="n"/>
      <x:c r="AR453" s="608" t="n"/>
      <x:c r="AS453" s="608" t="n"/>
      <x:c r="AT453" s="608" t="n"/>
      <x:c r="AU453" s="608" t="n"/>
      <x:c r="AV453" s="608" t="n"/>
      <x:c r="AW453" s="608" t="n"/>
      <x:c r="AX453" s="608" t="n"/>
      <x:c r="AY453" s="608" t="n"/>
    </x:row>
    <x:row r="454" ht="22" customHeight="1">
      <x:c r="A454" s="604" t="inlineStr">
        <x:is>
          <x:t xml:space="preserve">2026-09-26</x:t>
        </x:is>
      </x:c>
      <x:c r="B454" s="604" t="inlineStr">
        <x:is>
          <x:t xml:space="preserve">2026-09-27 02:45:00</x:t>
        </x:is>
      </x:c>
      <x:c r="C454" s="604" t="str">
        <x:v>欧洲非五大系列</x:v>
      </x:c>
      <x:c r="D454" s="604" t="inlineStr">
        <x:is>
          <x:t xml:space="preserve">联赛</x:t>
        </x:is>
      </x:c>
      <x:c r="E454" s="604" t="inlineStr">
        <x:is>
          <x:t xml:space="preserve">欧国联</x:t>
        </x:is>
      </x:c>
      <x:c r="F454" s="604" t="inlineStr">
        <x:is>
          <x:t xml:space="preserve">捷克 vs 克罗地亚</x:t>
        </x:is>
      </x:c>
      <x:c r="G454" s="611" t="n">
        <x:v>1</x:v>
      </x:c>
      <x:c r="H454" s="611" t="n">
        <x:v>-0.25</x:v>
      </x:c>
      <x:c r="I454" s="611" t="n">
        <x:v>0.88</x:v>
      </x:c>
      <x:c r="J454" s="604" t="inlineStr">
        <x:is>
          <x:t xml:space="preserve">1.0/-0.25/0.88</x:t>
        </x:is>
      </x:c>
      <x:c r="K454" s="604" t="inlineStr">
        <x:is>
          <x:t xml:space="preserve">V4-C最新版候选</x:t>
        </x:is>
      </x:c>
      <x:c r="L454" s="604" t="inlineStr">
        <x:is>
          <x:t xml:space="preserve">捷克</x:t>
        </x:is>
      </x:c>
      <x:c r="M454" s="606" t="n">
        <x:v>0.5188</x:v>
      </x:c>
      <x:c r="N454" s="604" t="inlineStr">
        <x:is>
          <x:t xml:space="preserve">V4最新页面A/B/C候选</x:t>
        </x:is>
      </x:c>
      <x:c r="O454" s="604" t="inlineStr">
        <x:is>
          <x:t xml:space="preserve">1-2</x:t>
        </x:is>
      </x:c>
      <x:c r="P454" s="604" t="inlineStr">
        <x:is>
          <x:t xml:space="preserve">已结算</x:t>
        </x:is>
      </x:c>
      <x:c r="Q454" s="646" t="inlineStr">
        <x:is>
          <x:t xml:space="preserve">黑</x:t>
        </x:is>
      </x:c>
      <x:c r="R454" s="607" t="n">
        <x:v>1</x:v>
      </x:c>
      <x:c r="S454" s="607" t="n">
        <x:f>IF(OR(Q454="",Q454="待结算"),"",IF(Q454="红",R454,IF(Q454="半红",R454*0.5,IF(Q454="走",0,IF(Q454="半黑",-0.5,-1)))))</x:f>
        <x:v>-1</x:v>
      </x:c>
      <x:c r="T454" s="604" t="inlineStr">
        <x:is>
          <x:t xml:space="preserve">https://simondongxiao.github.io/odds/v4/</x:t>
        </x:is>
      </x:c>
      <x:c r="U454" s="604" t="inlineStr">
        <x:is>
          <x:t xml:space="preserve">2981432</x:t>
        </x:is>
      </x:c>
      <x:c r="V454" s="607" t="inlineStr">
        <x:is>
          <x:t xml:space="preserve">v4-market-dirichlet-20260913</x:t>
        </x:is>
      </x:c>
      <x:c r="W454" s="607" t="n">
        <x:f>IF(OR(U454="",U454="待结算"),"",IF(U454="红",V454,IF(U454="半红",V454*0.5,IF(U454="走",0,IF(U454="半黑",-0.5,-1)))))</x:f>
        <x:v>-1</x:v>
      </x:c>
      <x:c r="X454" s="608" t="inlineStr">
        <x:is>
          <x:t xml:space="preserve">C</x:t>
        </x:is>
      </x:c>
      <x:c r="Y454" s="608" t="n"/>
      <x:c r="Z454" s="608" t="n"/>
      <x:c r="AA454" s="608" t="n"/>
      <x:c r="AB454" s="608" t="n"/>
      <x:c r="AC454" s="608" t="n"/>
      <x:c r="AD454" s="608" t="n"/>
      <x:c r="AE454" s="608" t="n"/>
      <x:c r="AF454" s="608" t="n"/>
      <x:c r="AG454" s="608" t="n"/>
      <x:c r="AH454" s="608" t="n"/>
      <x:c r="AI454" s="608" t="n"/>
      <x:c r="AJ454" s="608" t="n"/>
      <x:c r="AK454" s="608" t="n"/>
      <x:c r="AL454" s="608" t="n"/>
      <x:c r="AM454" s="608" t="n"/>
      <x:c r="AN454" s="608" t="n"/>
      <x:c r="AO454" s="608" t="n"/>
      <x:c r="AP454" s="608" t="n"/>
      <x:c r="AQ454" s="608" t="n"/>
      <x:c r="AR454" s="608" t="n"/>
      <x:c r="AS454" s="608" t="n"/>
      <x:c r="AT454" s="608" t="n"/>
      <x:c r="AU454" s="608" t="n"/>
      <x:c r="AV454" s="608" t="n"/>
      <x:c r="AW454" s="608" t="n"/>
      <x:c r="AX454" s="608" t="n"/>
      <x:c r="AY454" s="608" t="n"/>
    </x:row>
    <x:row r="455" ht="22" customHeight="1">
      <x:c r="A455" s="604" t="inlineStr">
        <x:is>
          <x:t xml:space="preserve">2026-09-26</x:t>
        </x:is>
      </x:c>
      <x:c r="B455" s="604" t="inlineStr">
        <x:is>
          <x:t xml:space="preserve">2026-09-27 02:45:00</x:t>
        </x:is>
      </x:c>
      <x:c r="C455" s="604" t="str">
        <x:v>欧洲非五大系列</x:v>
      </x:c>
      <x:c r="D455" s="604" t="inlineStr">
        <x:is>
          <x:t xml:space="preserve">联赛</x:t>
        </x:is>
      </x:c>
      <x:c r="E455" s="604" t="inlineStr">
        <x:is>
          <x:t xml:space="preserve">欧国联</x:t>
        </x:is>
      </x:c>
      <x:c r="F455" s="604" t="inlineStr">
        <x:is>
          <x:t xml:space="preserve">阿尔巴尼亚 vs 白俄罗斯</x:t>
        </x:is>
      </x:c>
      <x:c r="G455" s="611" t="n">
        <x:v>0.93</x:v>
      </x:c>
      <x:c r="H455" s="611" t="n">
        <x:v>1</x:v>
      </x:c>
      <x:c r="I455" s="611" t="n">
        <x:v>0.95</x:v>
      </x:c>
      <x:c r="J455" s="604" t="inlineStr">
        <x:is>
          <x:t xml:space="preserve">0.93/1.0/0.95</x:t>
        </x:is>
      </x:c>
      <x:c r="K455" s="604" t="inlineStr">
        <x:is>
          <x:t xml:space="preserve">V4-C最新版候选</x:t>
        </x:is>
      </x:c>
      <x:c r="L455" s="604" t="inlineStr">
        <x:is>
          <x:t xml:space="preserve">白俄罗斯</x:t>
        </x:is>
      </x:c>
      <x:c r="M455" s="606" t="n">
        <x:v>0.6814</x:v>
      </x:c>
      <x:c r="N455" s="604" t="inlineStr">
        <x:is>
          <x:t xml:space="preserve">V4最新页面A/B/C候选</x:t>
        </x:is>
      </x:c>
      <x:c r="O455" s="604" t="inlineStr">
        <x:is>
          <x:t xml:space="preserve">2-0</x:t>
        </x:is>
      </x:c>
      <x:c r="P455" s="604" t="inlineStr">
        <x:is>
          <x:t xml:space="preserve">已结算</x:t>
        </x:is>
      </x:c>
      <x:c r="Q455" s="646" t="inlineStr">
        <x:is>
          <x:t xml:space="preserve">黑</x:t>
        </x:is>
      </x:c>
      <x:c r="R455" s="607" t="n">
        <x:v>0.95</x:v>
      </x:c>
      <x:c r="S455" s="607" t="n">
        <x:f>IF(OR(Q455="",Q455="待结算"),"",IF(Q455="红",R455,IF(Q455="半红",R455*0.5,IF(Q455="走",0,IF(Q455="半黑",-0.5,-1)))))</x:f>
        <x:v>-1</x:v>
      </x:c>
      <x:c r="T455" s="604" t="inlineStr">
        <x:is>
          <x:t xml:space="preserve">https://simondongxiao.github.io/odds/v4/</x:t>
        </x:is>
      </x:c>
      <x:c r="U455" s="604" t="inlineStr">
        <x:is>
          <x:t xml:space="preserve">2981529</x:t>
        </x:is>
      </x:c>
      <x:c r="V455" s="607" t="inlineStr">
        <x:is>
          <x:t xml:space="preserve">v4-market-dirichlet-20260913</x:t>
        </x:is>
      </x:c>
      <x:c r="W455" s="607" t="n">
        <x:f>IF(OR(U455="",U455="待结算"),"",IF(U455="红",V455,IF(U455="半红",V455*0.5,IF(U455="走",0,IF(U455="半黑",-0.5,-1)))))</x:f>
        <x:v>-1</x:v>
      </x:c>
      <x:c r="X455" s="608" t="inlineStr">
        <x:is>
          <x:t xml:space="preserve">C</x:t>
        </x:is>
      </x:c>
      <x:c r="Y455" s="608" t="n"/>
      <x:c r="Z455" s="608" t="n"/>
      <x:c r="AA455" s="608" t="n"/>
      <x:c r="AB455" s="608" t="n"/>
      <x:c r="AC455" s="608" t="n"/>
      <x:c r="AD455" s="608" t="n"/>
      <x:c r="AE455" s="608" t="n"/>
      <x:c r="AF455" s="608" t="n"/>
      <x:c r="AG455" s="608" t="n"/>
      <x:c r="AH455" s="608" t="n"/>
      <x:c r="AI455" s="608" t="n"/>
      <x:c r="AJ455" s="608" t="n"/>
      <x:c r="AK455" s="608" t="n"/>
      <x:c r="AL455" s="608" t="n"/>
      <x:c r="AM455" s="608" t="n"/>
      <x:c r="AN455" s="608" t="n"/>
      <x:c r="AO455" s="608" t="n"/>
      <x:c r="AP455" s="608" t="n"/>
      <x:c r="AQ455" s="608" t="n"/>
      <x:c r="AR455" s="608" t="n"/>
      <x:c r="AS455" s="608" t="n"/>
      <x:c r="AT455" s="608" t="n"/>
      <x:c r="AU455" s="608" t="n"/>
      <x:c r="AV455" s="608" t="n"/>
      <x:c r="AW455" s="608" t="n"/>
      <x:c r="AX455" s="608" t="n"/>
      <x:c r="AY455" s="608" t="n"/>
    </x:row>
    <x:row r="456" ht="22" customHeight="1">
      <x:c r="A456" s="604" t="inlineStr">
        <x:is>
          <x:t xml:space="preserve">2026-09-26</x:t>
        </x:is>
      </x:c>
      <x:c r="B456" s="604" t="inlineStr">
        <x:is>
          <x:t xml:space="preserve">2026-09-27 02:45:00</x:t>
        </x:is>
      </x:c>
      <x:c r="C456" s="604" t="str">
        <x:v>欧洲非五大系列</x:v>
      </x:c>
      <x:c r="D456" s="604" t="inlineStr">
        <x:is>
          <x:t xml:space="preserve">联赛</x:t>
        </x:is>
      </x:c>
      <x:c r="E456" s="604" t="inlineStr">
        <x:is>
          <x:t xml:space="preserve">欧国联</x:t>
        </x:is>
      </x:c>
      <x:c r="F456" s="604" t="inlineStr">
        <x:is>
          <x:t xml:space="preserve">斯洛伐克 vs 摩尔多瓦</x:t>
        </x:is>
      </x:c>
      <x:c r="G456" s="611" t="n">
        <x:v>0.89</x:v>
      </x:c>
      <x:c r="H456" s="611" t="n">
        <x:v>2</x:v>
      </x:c>
      <x:c r="I456" s="611" t="n">
        <x:v>0.99</x:v>
      </x:c>
      <x:c r="J456" s="604" t="inlineStr">
        <x:is>
          <x:t xml:space="preserve">0.89/2.0/0.99</x:t>
        </x:is>
      </x:c>
      <x:c r="K456" s="604" t="inlineStr">
        <x:is>
          <x:t xml:space="preserve">V4-C最新版候选</x:t>
        </x:is>
      </x:c>
      <x:c r="L456" s="604" t="inlineStr">
        <x:is>
          <x:t xml:space="preserve">斯洛伐克</x:t>
        </x:is>
      </x:c>
      <x:c r="M456" s="606" t="n">
        <x:v>0.8058</x:v>
      </x:c>
      <x:c r="N456" s="604" t="inlineStr">
        <x:is>
          <x:t xml:space="preserve">V4最新页面A/B/C候选</x:t>
        </x:is>
      </x:c>
      <x:c r="O456" s="604" t="inlineStr">
        <x:is>
          <x:t xml:space="preserve">2-0</x:t>
        </x:is>
      </x:c>
      <x:c r="P456" s="604" t="inlineStr">
        <x:is>
          <x:t xml:space="preserve">已结算</x:t>
        </x:is>
      </x:c>
      <x:c r="Q456" s="647" t="inlineStr">
        <x:is>
          <x:t xml:space="preserve">走</x:t>
        </x:is>
      </x:c>
      <x:c r="R456" s="607" t="n">
        <x:v>0.89</x:v>
      </x:c>
      <x:c r="S456" s="607" t="n">
        <x:f>IF(OR(Q456="",Q456="待结算"),"",IF(Q456="红",R456,IF(Q456="半红",R456*0.5,IF(Q456="走",0,IF(Q456="半黑",-0.5,-1)))))</x:f>
        <x:v>0</x:v>
      </x:c>
      <x:c r="T456" s="604" t="inlineStr">
        <x:is>
          <x:t xml:space="preserve">https://simondongxiao.github.io/odds/v4/</x:t>
        </x:is>
      </x:c>
      <x:c r="U456" s="604" t="inlineStr">
        <x:is>
          <x:t xml:space="preserve">2981530</x:t>
        </x:is>
      </x:c>
      <x:c r="V456" s="607" t="inlineStr">
        <x:is>
          <x:t xml:space="preserve">v4-market-dirichlet-20260913</x:t>
        </x:is>
      </x:c>
      <x:c r="W456" s="607" t="n">
        <x:f>IF(OR(U456="",U456="待结算"),"",IF(U456="红",V456,IF(U456="半红",V456*0.5,IF(U456="走",0,IF(U456="半黑",-0.5,-1)))))</x:f>
        <x:v>-1</x:v>
      </x:c>
      <x:c r="X456" s="608" t="inlineStr">
        <x:is>
          <x:t xml:space="preserve">C</x:t>
        </x:is>
      </x:c>
      <x:c r="Y456" s="608" t="n"/>
      <x:c r="Z456" s="608" t="n"/>
      <x:c r="AA456" s="608" t="n"/>
      <x:c r="AB456" s="608" t="n"/>
      <x:c r="AC456" s="608" t="n"/>
      <x:c r="AD456" s="608" t="n"/>
      <x:c r="AE456" s="608" t="n"/>
      <x:c r="AF456" s="608" t="n"/>
      <x:c r="AG456" s="608" t="n"/>
      <x:c r="AH456" s="608" t="n"/>
      <x:c r="AI456" s="608" t="n"/>
      <x:c r="AJ456" s="608" t="n"/>
      <x:c r="AK456" s="608" t="n"/>
      <x:c r="AL456" s="608" t="n"/>
      <x:c r="AM456" s="608" t="n"/>
      <x:c r="AN456" s="608" t="n"/>
      <x:c r="AO456" s="608" t="n"/>
      <x:c r="AP456" s="608" t="n"/>
      <x:c r="AQ456" s="608" t="n"/>
      <x:c r="AR456" s="608" t="n"/>
      <x:c r="AS456" s="608" t="n"/>
      <x:c r="AT456" s="608" t="n"/>
      <x:c r="AU456" s="608" t="n"/>
      <x:c r="AV456" s="608" t="n"/>
      <x:c r="AW456" s="608" t="n"/>
      <x:c r="AX456" s="608" t="n"/>
      <x:c r="AY456" s="608" t="n"/>
    </x:row>
    <x:row r="457" ht="22" customHeight="1">
      <x:c r="A457" s="604" t="inlineStr">
        <x:is>
          <x:t xml:space="preserve">2026-09-26</x:t>
        </x:is>
      </x:c>
      <x:c r="B457" s="604" t="inlineStr">
        <x:is>
          <x:t xml:space="preserve">2026-09-27 04:30:00</x:t>
        </x:is>
      </x:c>
      <x:c r="C457" s="604" t="str">
        <x:v>其他系列</x:v>
      </x:c>
      <x:c r="D457" s="604" t="inlineStr">
        <x:is>
          <x:t xml:space="preserve">杯赛</x:t>
        </x:is>
      </x:c>
      <x:c r="E457" s="604" t="inlineStr">
        <x:is>
          <x:t xml:space="preserve">国际友谊</x:t>
        </x:is>
      </x:c>
      <x:c r="F457" s="604" t="inlineStr">
        <x:is>
          <x:t xml:space="preserve">美国 vs 秘鲁</x:t>
        </x:is>
      </x:c>
      <x:c r="G457" s="611" t="n">
        <x:v>0.89</x:v>
      </x:c>
      <x:c r="H457" s="611" t="n">
        <x:v>1</x:v>
      </x:c>
      <x:c r="I457" s="611" t="n">
        <x:v>0.93</x:v>
      </x:c>
      <x:c r="J457" s="604" t="inlineStr">
        <x:is>
          <x:t xml:space="preserve">0.89/1.0/0.93</x:t>
        </x:is>
      </x:c>
      <x:c r="K457" s="604" t="inlineStr">
        <x:is>
          <x:t xml:space="preserve">V4-C最新版候选</x:t>
        </x:is>
      </x:c>
      <x:c r="L457" s="604" t="inlineStr">
        <x:is>
          <x:t xml:space="preserve">秘鲁</x:t>
        </x:is>
      </x:c>
      <x:c r="M457" s="606" t="n">
        <x:v>0.6522</x:v>
      </x:c>
      <x:c r="N457" s="604" t="inlineStr">
        <x:is>
          <x:t xml:space="preserve">V4最新页面A/B/C候选</x:t>
        </x:is>
      </x:c>
      <x:c r="O457" s="604" t="inlineStr">
        <x:is>
          <x:t xml:space="preserve">4-1</x:t>
        </x:is>
      </x:c>
      <x:c r="P457" s="604" t="inlineStr">
        <x:is>
          <x:t xml:space="preserve">已结算</x:t>
        </x:is>
      </x:c>
      <x:c r="Q457" s="646" t="inlineStr">
        <x:is>
          <x:t xml:space="preserve">黑</x:t>
        </x:is>
      </x:c>
      <x:c r="R457" s="607" t="n">
        <x:v>0.93</x:v>
      </x:c>
      <x:c r="S457" s="607" t="n">
        <x:f>IF(OR(Q457="",Q457="待结算"),"",IF(Q457="红",R457,IF(Q457="半红",R457*0.5,IF(Q457="走",0,IF(Q457="半黑",-0.5,-1)))))</x:f>
        <x:v>-1</x:v>
      </x:c>
      <x:c r="T457" s="604" t="inlineStr">
        <x:is>
          <x:t xml:space="preserve">https://simondongxiao.github.io/odds/v4/</x:t>
        </x:is>
      </x:c>
      <x:c r="U457" s="604" t="inlineStr">
        <x:is>
          <x:t xml:space="preserve">3094090</x:t>
        </x:is>
      </x:c>
      <x:c r="V457" s="607" t="inlineStr">
        <x:is>
          <x:t xml:space="preserve">v4-market-dirichlet-20260913</x:t>
        </x:is>
      </x:c>
      <x:c r="W457" s="607" t="n">
        <x:f>IF(OR(U457="",U457="待结算"),"",IF(U457="红",V457,IF(U457="半红",V457*0.5,IF(U457="走",0,IF(U457="半黑",-0.5,-1)))))</x:f>
        <x:v>-1</x:v>
      </x:c>
      <x:c r="X457" s="608" t="inlineStr">
        <x:is>
          <x:t xml:space="preserve">C</x:t>
        </x:is>
      </x:c>
      <x:c r="Y457" s="608" t="n"/>
      <x:c r="Z457" s="608" t="n"/>
      <x:c r="AA457" s="608" t="n"/>
      <x:c r="AB457" s="608" t="n"/>
      <x:c r="AC457" s="608" t="n"/>
      <x:c r="AD457" s="608" t="n"/>
      <x:c r="AE457" s="608" t="n"/>
      <x:c r="AF457" s="608" t="n"/>
      <x:c r="AG457" s="608" t="n"/>
      <x:c r="AH457" s="608" t="n"/>
      <x:c r="AI457" s="608" t="n"/>
      <x:c r="AJ457" s="608" t="n"/>
      <x:c r="AK457" s="608" t="n"/>
      <x:c r="AL457" s="608" t="n"/>
      <x:c r="AM457" s="608" t="n"/>
      <x:c r="AN457" s="608" t="n"/>
      <x:c r="AO457" s="608" t="n"/>
      <x:c r="AP457" s="608" t="n"/>
      <x:c r="AQ457" s="608" t="n"/>
      <x:c r="AR457" s="608" t="n"/>
      <x:c r="AS457" s="608" t="n"/>
      <x:c r="AT457" s="608" t="n"/>
      <x:c r="AU457" s="608" t="n"/>
      <x:c r="AV457" s="608" t="n"/>
      <x:c r="AW457" s="608" t="n"/>
      <x:c r="AX457" s="608" t="n"/>
      <x:c r="AY457" s="608" t="n"/>
    </x:row>
    <x:row r="458" ht="22" customHeight="1">
      <x:c r="A458" s="604" t="inlineStr">
        <x:is>
          <x:t xml:space="preserve">2026-09-26</x:t>
        </x:is>
      </x:c>
      <x:c r="B458" s="604" t="inlineStr">
        <x:is>
          <x:t xml:space="preserve">2026-09-27 06:30:00</x:t>
        </x:is>
      </x:c>
      <x:c r="C458" s="604" t="str">
        <x:v>南美系列</x:v>
      </x:c>
      <x:c r="D458" s="604" t="inlineStr">
        <x:is>
          <x:t xml:space="preserve">联赛</x:t>
        </x:is>
      </x:c>
      <x:c r="E458" s="604" t="inlineStr">
        <x:is>
          <x:t xml:space="preserve">巴丙</x:t>
        </x:is>
      </x:c>
      <x:c r="F458" s="604" t="inlineStr">
        <x:is>
          <x:t xml:space="preserve">国际里梅拉 vs 帕桑度</x:t>
        </x:is>
      </x:c>
      <x:c r="G458" s="611" t="n">
        <x:v>0.76</x:v>
      </x:c>
      <x:c r="H458" s="611" t="n">
        <x:v>0.25</x:v>
      </x:c>
      <x:c r="I458" s="611" t="n">
        <x:v>1</x:v>
      </x:c>
      <x:c r="J458" s="604" t="inlineStr">
        <x:is>
          <x:t xml:space="preserve">0.76/0.25/1.0</x:t>
        </x:is>
      </x:c>
      <x:c r="K458" s="604" t="inlineStr">
        <x:is>
          <x:t xml:space="preserve">V4-C最新版候选</x:t>
        </x:is>
      </x:c>
      <x:c r="L458" s="604" t="inlineStr">
        <x:is>
          <x:t xml:space="preserve">帕桑度</x:t>
        </x:is>
      </x:c>
      <x:c r="M458" s="606" t="n">
        <x:v>0.512</x:v>
      </x:c>
      <x:c r="N458" s="604" t="inlineStr">
        <x:is>
          <x:t xml:space="preserve">V4最新页面A/B/C候选</x:t>
        </x:is>
      </x:c>
      <x:c r="O458" s="604" t="inlineStr">
        <x:is>
          <x:t xml:space="preserve">2-0</x:t>
        </x:is>
      </x:c>
      <x:c r="P458" s="604" t="inlineStr">
        <x:is>
          <x:t xml:space="preserve">已结算</x:t>
        </x:is>
      </x:c>
      <x:c r="Q458" s="646" t="inlineStr">
        <x:is>
          <x:t xml:space="preserve">黑</x:t>
        </x:is>
      </x:c>
      <x:c r="R458" s="607" t="n">
        <x:v>1</x:v>
      </x:c>
      <x:c r="S458" s="607" t="n">
        <x:f>IF(OR(Q458="",Q458="待结算"),"",IF(Q458="红",R458,IF(Q458="半红",R458*0.5,IF(Q458="走",0,IF(Q458="半黑",-0.5,-1)))))</x:f>
        <x:v>-1</x:v>
      </x:c>
      <x:c r="T458" s="604" t="inlineStr">
        <x:is>
          <x:t xml:space="preserve">https://simondongxiao.github.io/odds/v4/</x:t>
        </x:is>
      </x:c>
      <x:c r="U458" s="604" t="inlineStr">
        <x:is>
          <x:t xml:space="preserve">3084075</x:t>
        </x:is>
      </x:c>
      <x:c r="V458" s="607" t="inlineStr">
        <x:is>
          <x:t xml:space="preserve">v4-market-dirichlet-20260913</x:t>
        </x:is>
      </x:c>
      <x:c r="W458" s="607" t="n">
        <x:f>IF(OR(U458="",U458="待结算"),"",IF(U458="红",V458,IF(U458="半红",V458*0.5,IF(U458="走",0,IF(U458="半黑",-0.5,-1)))))</x:f>
        <x:v>-1</x:v>
      </x:c>
      <x:c r="X458" s="608" t="inlineStr">
        <x:is>
          <x:t xml:space="preserve">C</x:t>
        </x:is>
      </x:c>
      <x:c r="Y458" s="608" t="n"/>
      <x:c r="Z458" s="608" t="n"/>
      <x:c r="AA458" s="608" t="n"/>
      <x:c r="AB458" s="608" t="n"/>
      <x:c r="AC458" s="608" t="n"/>
      <x:c r="AD458" s="608" t="n"/>
      <x:c r="AE458" s="608" t="n"/>
      <x:c r="AF458" s="608" t="n"/>
      <x:c r="AG458" s="608" t="n"/>
      <x:c r="AH458" s="608" t="n"/>
      <x:c r="AI458" s="608" t="n"/>
      <x:c r="AJ458" s="608" t="n"/>
      <x:c r="AK458" s="608" t="n"/>
      <x:c r="AL458" s="608" t="n"/>
      <x:c r="AM458" s="608" t="n"/>
      <x:c r="AN458" s="608" t="n"/>
      <x:c r="AO458" s="608" t="n"/>
      <x:c r="AP458" s="608" t="n"/>
      <x:c r="AQ458" s="608" t="n"/>
      <x:c r="AR458" s="608" t="n"/>
      <x:c r="AS458" s="608" t="n"/>
      <x:c r="AT458" s="608" t="n"/>
      <x:c r="AU458" s="608" t="n"/>
      <x:c r="AV458" s="608" t="n"/>
      <x:c r="AW458" s="608" t="n"/>
      <x:c r="AX458" s="608" t="n"/>
      <x:c r="AY458" s="608" t="n"/>
    </x:row>
    <x:row r="459" ht="22" customHeight="1">
      <x:c r="A459" s="604" t="inlineStr">
        <x:is>
          <x:t xml:space="preserve">2026-09-26</x:t>
        </x:is>
      </x:c>
      <x:c r="B459" s="604" t="inlineStr">
        <x:is>
          <x:t xml:space="preserve">2026-09-27 07:00:00</x:t>
        </x:is>
      </x:c>
      <x:c r="C459" s="604" t="str">
        <x:v>北美系列</x:v>
      </x:c>
      <x:c r="D459" s="604" t="inlineStr">
        <x:is>
          <x:t xml:space="preserve">联赛</x:t>
        </x:is>
      </x:c>
      <x:c r="E459" s="604" t="inlineStr">
        <x:is>
          <x:t xml:space="preserve">美冠联</x:t>
        </x:is>
      </x:c>
      <x:c r="F459" s="604" t="inlineStr">
        <x:is>
          <x:t xml:space="preserve">查尔斯顿电池 vs 罗德岛</x:t>
        </x:is>
      </x:c>
      <x:c r="G459" s="611" t="n">
        <x:v>0.78</x:v>
      </x:c>
      <x:c r="H459" s="611" t="n">
        <x:v>0.25</x:v>
      </x:c>
      <x:c r="I459" s="611" t="n">
        <x:v>1.04</x:v>
      </x:c>
      <x:c r="J459" s="604" t="inlineStr">
        <x:is>
          <x:t xml:space="preserve">0.78/0.25/1.04</x:t>
        </x:is>
      </x:c>
      <x:c r="K459" s="604" t="inlineStr">
        <x:is>
          <x:t xml:space="preserve">V4-C最新版候选</x:t>
        </x:is>
      </x:c>
      <x:c r="L459" s="604" t="inlineStr">
        <x:is>
          <x:t xml:space="preserve">罗德岛</x:t>
        </x:is>
      </x:c>
      <x:c r="M459" s="606" t="n">
        <x:v>0.6464</x:v>
      </x:c>
      <x:c r="N459" s="604" t="inlineStr">
        <x:is>
          <x:t xml:space="preserve">V4最新页面A/B/C候选</x:t>
        </x:is>
      </x:c>
      <x:c r="O459" s="604" t="inlineStr">
        <x:is>
          <x:t xml:space="preserve">2-0</x:t>
        </x:is>
      </x:c>
      <x:c r="P459" s="604" t="inlineStr">
        <x:is>
          <x:t xml:space="preserve">已结算</x:t>
        </x:is>
      </x:c>
      <x:c r="Q459" s="646" t="inlineStr">
        <x:is>
          <x:t xml:space="preserve">黑</x:t>
        </x:is>
      </x:c>
      <x:c r="R459" s="607" t="n">
        <x:v>1.04</x:v>
      </x:c>
      <x:c r="S459" s="607" t="n">
        <x:f>IF(OR(Q459="",Q459="待结算"),"",IF(Q459="红",R459,IF(Q459="半红",R459*0.5,IF(Q459="走",0,IF(Q459="半黑",-0.5,-1)))))</x:f>
        <x:v>-1</x:v>
      </x:c>
      <x:c r="T459" s="604" t="inlineStr">
        <x:is>
          <x:t xml:space="preserve">https://www.charlestonbattery.com/news/2026/09/26/ycazas-brace-lifts-battery-past-rhode-island-in-2-0-victory/</x:t>
        </x:is>
      </x:c>
      <x:c r="U459" s="604" t="inlineStr">
        <x:is>
          <x:t xml:space="preserve">2942634</x:t>
        </x:is>
      </x:c>
      <x:c r="V459" s="607" t="inlineStr">
        <x:is>
          <x:t xml:space="preserve">v4-market-dirichlet-20260913</x:t>
        </x:is>
      </x:c>
      <x:c r="W459" s="607" t="n">
        <x:f>IF(OR(U459="",U459="待结算"),"",IF(U459="红",V459,IF(U459="半红",V459*0.5,IF(U459="走",0,IF(U459="半黑",-0.5,-1)))))</x:f>
        <x:v>-1</x:v>
      </x:c>
      <x:c r="X459" s="608" t="inlineStr">
        <x:is>
          <x:t xml:space="preserve">C</x:t>
        </x:is>
      </x:c>
      <x:c r="Y459" s="608" t="n"/>
      <x:c r="Z459" s="608" t="n"/>
      <x:c r="AA459" s="608" t="n"/>
      <x:c r="AB459" s="608" t="n"/>
      <x:c r="AC459" s="608" t="n"/>
      <x:c r="AD459" s="608" t="n"/>
      <x:c r="AE459" s="608" t="n"/>
      <x:c r="AF459" s="608" t="n"/>
      <x:c r="AG459" s="608" t="n"/>
      <x:c r="AH459" s="608" t="n"/>
      <x:c r="AI459" s="608" t="n"/>
      <x:c r="AJ459" s="608" t="n"/>
      <x:c r="AK459" s="608" t="n"/>
      <x:c r="AL459" s="608" t="n"/>
      <x:c r="AM459" s="608" t="n"/>
      <x:c r="AN459" s="608" t="n"/>
      <x:c r="AO459" s="608" t="n"/>
      <x:c r="AP459" s="608" t="n"/>
      <x:c r="AQ459" s="608" t="n"/>
      <x:c r="AR459" s="608" t="n"/>
      <x:c r="AS459" s="608" t="n"/>
      <x:c r="AT459" s="608" t="n"/>
      <x:c r="AU459" s="608" t="n"/>
      <x:c r="AV459" s="608" t="n"/>
      <x:c r="AW459" s="608" t="n"/>
      <x:c r="AX459" s="608" t="n"/>
      <x:c r="AY459" s="608" t="n"/>
    </x:row>
    <x:row r="460" ht="22" customHeight="1">
      <x:c r="A460" s="604" t="inlineStr">
        <x:is>
          <x:t xml:space="preserve">2026-09-26</x:t>
        </x:is>
      </x:c>
      <x:c r="B460" s="604" t="inlineStr">
        <x:is>
          <x:t xml:space="preserve">2026-09-27 07:00:00</x:t>
        </x:is>
      </x:c>
      <x:c r="C460" s="604" t="str">
        <x:v>南美系列</x:v>
      </x:c>
      <x:c r="D460" s="604" t="inlineStr">
        <x:is>
          <x:t xml:space="preserve">杯赛</x:t>
        </x:is>
      </x:c>
      <x:c r="E460" s="604" t="inlineStr">
        <x:is>
          <x:t xml:space="preserve">智利杯</x:t>
        </x:is>
      </x:c>
      <x:c r="F460" s="604" t="inlineStr">
        <x:is>
          <x:t xml:space="preserve">智利天主大学 vs 拉卡莱拉联</x:t>
        </x:is>
      </x:c>
      <x:c r="G460" s="611" t="n">
        <x:v>0.8</x:v>
      </x:c>
      <x:c r="H460" s="611" t="n">
        <x:v>0.75</x:v>
      </x:c>
      <x:c r="I460" s="611" t="n">
        <x:v>1.02</x:v>
      </x:c>
      <x:c r="J460" s="604" t="inlineStr">
        <x:is>
          <x:t xml:space="preserve">0.8/0.75/1.02</x:t>
        </x:is>
      </x:c>
      <x:c r="K460" s="604" t="inlineStr">
        <x:is>
          <x:t xml:space="preserve">V4-C最新版候选</x:t>
        </x:is>
      </x:c>
      <x:c r="L460" s="604" t="inlineStr">
        <x:is>
          <x:t xml:space="preserve">拉卡莱拉联</x:t>
        </x:is>
      </x:c>
      <x:c r="M460" s="606" t="n">
        <x:v>0.6008</x:v>
      </x:c>
      <x:c r="N460" s="604" t="inlineStr">
        <x:is>
          <x:t xml:space="preserve">V4最新页面A/B/C候选</x:t>
        </x:is>
      </x:c>
      <x:c r="O460" s="604" t="inlineStr">
        <x:is>
          <x:t xml:space="preserve">0-0</x:t>
        </x:is>
      </x:c>
      <x:c r="P460" s="604" t="inlineStr">
        <x:is>
          <x:t xml:space="preserve">已结算</x:t>
        </x:is>
      </x:c>
      <x:c r="Q460" s="645" t="inlineStr">
        <x:is>
          <x:t xml:space="preserve">红</x:t>
        </x:is>
      </x:c>
      <x:c r="R460" s="607" t="n">
        <x:v>1.02</x:v>
      </x:c>
      <x:c r="S460" s="607" t="n">
        <x:f>IF(OR(Q460="",Q460="待结算"),"",IF(Q460="红",R460,IF(Q460="半红",R460*0.5,IF(Q460="走",0,IF(Q460="半黑",-0.5,-1)))))</x:f>
        <x:v>1.02</x:v>
      </x:c>
      <x:c r="T460" s="604" t="inlineStr">
        <x:is>
          <x:t xml:space="preserve">https://www.ceroacero.es/partido/2026-09-27-univ-catolica-union-la-calera/12664854</x:t>
        </x:is>
      </x:c>
      <x:c r="U460" s="604" t="inlineStr">
        <x:is>
          <x:t xml:space="preserve">3086929</x:t>
        </x:is>
      </x:c>
      <x:c r="V460" s="607" t="inlineStr">
        <x:is>
          <x:t xml:space="preserve">v4-market-dirichlet-20260913</x:t>
        </x:is>
      </x:c>
      <x:c r="W460" s="607" t="n">
        <x:f>IF(OR(U460="",U460="待结算"),"",IF(U460="红",V460,IF(U460="半红",V460*0.5,IF(U460="走",0,IF(U460="半黑",-0.5,-1)))))</x:f>
        <x:v>-1</x:v>
      </x:c>
      <x:c r="X460" s="608" t="inlineStr">
        <x:is>
          <x:t xml:space="preserve">C</x:t>
        </x:is>
      </x:c>
      <x:c r="Y460" s="608" t="n"/>
      <x:c r="Z460" s="608" t="n"/>
      <x:c r="AA460" s="608" t="n"/>
      <x:c r="AB460" s="608" t="n"/>
      <x:c r="AC460" s="608" t="n"/>
      <x:c r="AD460" s="608" t="n"/>
      <x:c r="AE460" s="608" t="n"/>
      <x:c r="AF460" s="608" t="n"/>
      <x:c r="AG460" s="608" t="n"/>
      <x:c r="AH460" s="608" t="n"/>
      <x:c r="AI460" s="608" t="n"/>
      <x:c r="AJ460" s="608" t="n"/>
      <x:c r="AK460" s="608" t="n"/>
      <x:c r="AL460" s="608" t="n"/>
      <x:c r="AM460" s="608" t="n"/>
      <x:c r="AN460" s="608" t="n"/>
      <x:c r="AO460" s="608" t="n"/>
      <x:c r="AP460" s="608" t="n"/>
      <x:c r="AQ460" s="608" t="n"/>
      <x:c r="AR460" s="608" t="n"/>
      <x:c r="AS460" s="608" t="n"/>
      <x:c r="AT460" s="608" t="n"/>
      <x:c r="AU460" s="608" t="n"/>
      <x:c r="AV460" s="608" t="n"/>
      <x:c r="AW460" s="608" t="n"/>
      <x:c r="AX460" s="608" t="n"/>
      <x:c r="AY460" s="608" t="n"/>
    </x:row>
    <x:row r="461" ht="22" customHeight="1">
      <x:c r="A461" s="604" t="inlineStr">
        <x:is>
          <x:t xml:space="preserve">2026-09-26</x:t>
        </x:is>
      </x:c>
      <x:c r="B461" s="604" t="inlineStr">
        <x:is>
          <x:t xml:space="preserve">2026-09-27 07:15:00</x:t>
        </x:is>
      </x:c>
      <x:c r="C461" s="604" t="str">
        <x:v>南美系列</x:v>
      </x:c>
      <x:c r="D461" s="604" t="inlineStr">
        <x:is>
          <x:t xml:space="preserve">联赛</x:t>
        </x:is>
      </x:c>
      <x:c r="E461" s="604" t="inlineStr">
        <x:is>
          <x:t xml:space="preserve">哥伦甲秋</x:t>
        </x:is>
      </x:c>
      <x:c r="F461" s="604" t="inlineStr">
        <x:is>
          <x:t xml:space="preserve">侨卡巴 vs 拉尼洛斯</x:t>
        </x:is>
      </x:c>
      <x:c r="G461" s="611" t="n">
        <x:v>1.04</x:v>
      </x:c>
      <x:c r="H461" s="611" t="n">
        <x:v>0.25</x:v>
      </x:c>
      <x:c r="I461" s="611" t="n">
        <x:v>0.84</x:v>
      </x:c>
      <x:c r="J461" s="604" t="inlineStr">
        <x:is>
          <x:t xml:space="preserve">1.04/0.25/0.84</x:t>
        </x:is>
      </x:c>
      <x:c r="K461" s="604" t="inlineStr">
        <x:is>
          <x:t xml:space="preserve">V4-C最新版候选</x:t>
        </x:is>
      </x:c>
      <x:c r="L461" s="604" t="inlineStr">
        <x:is>
          <x:t xml:space="preserve">侨卡巴</x:t>
        </x:is>
      </x:c>
      <x:c r="M461" s="606" t="n">
        <x:v>0.6188</x:v>
      </x:c>
      <x:c r="N461" s="604" t="inlineStr">
        <x:is>
          <x:t xml:space="preserve">V4最新页面A/B/C候选</x:t>
        </x:is>
      </x:c>
      <x:c r="O461" s="604" t="inlineStr">
        <x:is>
          <x:t xml:space="preserve">2-1</x:t>
        </x:is>
      </x:c>
      <x:c r="P461" s="604" t="inlineStr">
        <x:is>
          <x:t xml:space="preserve">已结算</x:t>
        </x:is>
      </x:c>
      <x:c r="Q461" s="645" t="inlineStr">
        <x:is>
          <x:t xml:space="preserve">红</x:t>
        </x:is>
      </x:c>
      <x:c r="R461" s="607" t="n">
        <x:v>1.04</x:v>
      </x:c>
      <x:c r="S461" s="607" t="n">
        <x:f>IF(OR(Q461="",Q461="待结算"),"",IF(Q461="红",R461,IF(Q461="半红",R461*0.5,IF(Q461="走",0,IF(Q461="半黑",-0.5,-1)))))</x:f>
        <x:v>1.04</x:v>
      </x:c>
      <x:c r="T461" s="604" t="inlineStr">
        <x:is>
          <x:t xml:space="preserve">https://www.ceroacero.es/partido/2026-09-27-cucuta-deportivo-llaneros/12241953</x:t>
        </x:is>
      </x:c>
      <x:c r="U461" s="604" t="inlineStr">
        <x:is>
          <x:t xml:space="preserve">3011870</x:t>
        </x:is>
      </x:c>
      <x:c r="V461" s="607" t="inlineStr">
        <x:is>
          <x:t xml:space="preserve">v4-market-dirichlet-20260913</x:t>
        </x:is>
      </x:c>
      <x:c r="W461" s="607" t="n">
        <x:f>IF(OR(U461="",U461="待结算"),"",IF(U461="红",V461,IF(U461="半红",V461*0.5,IF(U461="走",0,IF(U461="半黑",-0.5,-1)))))</x:f>
        <x:v>-1</x:v>
      </x:c>
      <x:c r="X461" s="608" t="inlineStr">
        <x:is>
          <x:t xml:space="preserve">C</x:t>
        </x:is>
      </x:c>
      <x:c r="Y461" s="608" t="n"/>
      <x:c r="Z461" s="608" t="n"/>
      <x:c r="AA461" s="608" t="n"/>
      <x:c r="AB461" s="608" t="n"/>
      <x:c r="AC461" s="608" t="n"/>
      <x:c r="AD461" s="608" t="n"/>
      <x:c r="AE461" s="608" t="n"/>
      <x:c r="AF461" s="608" t="n"/>
      <x:c r="AG461" s="608" t="n"/>
      <x:c r="AH461" s="608" t="n"/>
      <x:c r="AI461" s="608" t="n"/>
      <x:c r="AJ461" s="608" t="n"/>
      <x:c r="AK461" s="608" t="n"/>
      <x:c r="AL461" s="608" t="n"/>
      <x:c r="AM461" s="608" t="n"/>
      <x:c r="AN461" s="608" t="n"/>
      <x:c r="AO461" s="608" t="n"/>
      <x:c r="AP461" s="608" t="n"/>
      <x:c r="AQ461" s="608" t="n"/>
      <x:c r="AR461" s="608" t="n"/>
      <x:c r="AS461" s="608" t="n"/>
      <x:c r="AT461" s="608" t="n"/>
      <x:c r="AU461" s="608" t="n"/>
      <x:c r="AV461" s="608" t="n"/>
      <x:c r="AW461" s="608" t="n"/>
      <x:c r="AX461" s="608" t="n"/>
      <x:c r="AY461" s="608" t="n"/>
    </x:row>
    <x:row r="462" ht="22" customHeight="1">
      <x:c r="A462" s="604" t="inlineStr">
        <x:is>
          <x:t xml:space="preserve">2026-09-26</x:t>
        </x:is>
      </x:c>
      <x:c r="B462" s="604" t="inlineStr">
        <x:is>
          <x:t xml:space="preserve">2026-09-27 07:30:00</x:t>
        </x:is>
      </x:c>
      <x:c r="C462" s="604" t="str">
        <x:v>北美系列</x:v>
      </x:c>
      <x:c r="D462" s="604" t="inlineStr">
        <x:is>
          <x:t xml:space="preserve">联赛</x:t>
        </x:is>
      </x:c>
      <x:c r="E462" s="604" t="inlineStr">
        <x:is>
          <x:t xml:space="preserve">美职业</x:t>
        </x:is>
      </x:c>
      <x:c r="F462" s="604" t="inlineStr">
        <x:is>
          <x:t xml:space="preserve">夏洛特FC vs 芝加哥火焰</x:t>
        </x:is>
      </x:c>
      <x:c r="G462" s="611" t="n">
        <x:v>0.88</x:v>
      </x:c>
      <x:c r="H462" s="611" t="n">
        <x:v>0.25</x:v>
      </x:c>
      <x:c r="I462" s="611" t="n">
        <x:v>1</x:v>
      </x:c>
      <x:c r="J462" s="604" t="inlineStr">
        <x:is>
          <x:t xml:space="preserve">0.88/0.25/1.0</x:t>
        </x:is>
      </x:c>
      <x:c r="K462" s="604" t="inlineStr">
        <x:is>
          <x:t xml:space="preserve">V4-C最新版候选</x:t>
        </x:is>
      </x:c>
      <x:c r="L462" s="604" t="inlineStr">
        <x:is>
          <x:t xml:space="preserve">芝加哥火焰</x:t>
        </x:is>
      </x:c>
      <x:c r="M462" s="606" t="n">
        <x:v>0.5144</x:v>
      </x:c>
      <x:c r="N462" s="604" t="inlineStr">
        <x:is>
          <x:t xml:space="preserve">V4最新页面A/B/C候选</x:t>
        </x:is>
      </x:c>
      <x:c r="O462" s="604" t="inlineStr">
        <x:is>
          <x:t xml:space="preserve">0-1</x:t>
        </x:is>
      </x:c>
      <x:c r="P462" s="604" t="inlineStr">
        <x:is>
          <x:t xml:space="preserve">已结算</x:t>
        </x:is>
      </x:c>
      <x:c r="Q462" s="645" t="inlineStr">
        <x:is>
          <x:t xml:space="preserve">红</x:t>
        </x:is>
      </x:c>
      <x:c r="R462" s="607" t="n">
        <x:v>1</x:v>
      </x:c>
      <x:c r="S462" s="607" t="n">
        <x:f>IF(OR(Q462="",Q462="待结算"),"",IF(Q462="红",R462,IF(Q462="半红",R462*0.5,IF(Q462="走",0,IF(Q462="半黑",-0.5,-1)))))</x:f>
        <x:v>1</x:v>
      </x:c>
      <x:c r="T462" s="604" t="inlineStr">
        <x:is>
          <x:t xml:space="preserve">https://www.mlssoccer.com/competitions/mls-regular-season/2026/matches/cltvschi-09-26-2026/feed</x:t>
        </x:is>
      </x:c>
      <x:c r="U462" s="604" t="inlineStr">
        <x:is>
          <x:t xml:space="preserve">2908805</x:t>
        </x:is>
      </x:c>
      <x:c r="V462" s="607" t="inlineStr">
        <x:is>
          <x:t xml:space="preserve">v4-market-dirichlet-20260913</x:t>
        </x:is>
      </x:c>
      <x:c r="W462" s="607" t="n">
        <x:f>IF(OR(U462="",U462="待结算"),"",IF(U462="红",V462,IF(U462="半红",V462*0.5,IF(U462="走",0,IF(U462="半黑",-0.5,-1)))))</x:f>
        <x:v>-1</x:v>
      </x:c>
      <x:c r="X462" s="608" t="inlineStr">
        <x:is>
          <x:t xml:space="preserve">C</x:t>
        </x:is>
      </x:c>
      <x:c r="Y462" s="608" t="n"/>
      <x:c r="Z462" s="608" t="n"/>
      <x:c r="AA462" s="608" t="n"/>
      <x:c r="AB462" s="608" t="n"/>
      <x:c r="AC462" s="608" t="n"/>
      <x:c r="AD462" s="608" t="n"/>
      <x:c r="AE462" s="608" t="n"/>
      <x:c r="AF462" s="608" t="n"/>
      <x:c r="AG462" s="608" t="n"/>
      <x:c r="AH462" s="608" t="n"/>
      <x:c r="AI462" s="608" t="n"/>
      <x:c r="AJ462" s="608" t="n"/>
      <x:c r="AK462" s="608" t="n"/>
      <x:c r="AL462" s="608" t="n"/>
      <x:c r="AM462" s="608" t="n"/>
      <x:c r="AN462" s="608" t="n"/>
      <x:c r="AO462" s="608" t="n"/>
      <x:c r="AP462" s="608" t="n"/>
      <x:c r="AQ462" s="608" t="n"/>
      <x:c r="AR462" s="608" t="n"/>
      <x:c r="AS462" s="608" t="n"/>
      <x:c r="AT462" s="608" t="n"/>
      <x:c r="AU462" s="608" t="n"/>
      <x:c r="AV462" s="608" t="n"/>
      <x:c r="AW462" s="608" t="n"/>
      <x:c r="AX462" s="608" t="n"/>
      <x:c r="AY462" s="608" t="n"/>
    </x:row>
    <x:row r="463" ht="22" customHeight="1">
      <x:c r="A463" s="604" t="inlineStr">
        <x:is>
          <x:t xml:space="preserve">2026-09-26</x:t>
        </x:is>
      </x:c>
      <x:c r="B463" s="604" t="inlineStr">
        <x:is>
          <x:t xml:space="preserve">2026-09-27 08:30:00</x:t>
        </x:is>
      </x:c>
      <x:c r="C463" s="604" t="str">
        <x:v>北美系列</x:v>
      </x:c>
      <x:c r="D463" s="604" t="inlineStr">
        <x:is>
          <x:t xml:space="preserve">联赛</x:t>
        </x:is>
      </x:c>
      <x:c r="E463" s="604" t="inlineStr">
        <x:is>
          <x:t xml:space="preserve">美职业</x:t>
        </x:is>
      </x:c>
      <x:c r="F463" s="604" t="inlineStr">
        <x:is>
          <x:t xml:space="preserve">休斯敦迪纳摩 vs 堪萨斯城竞技</x:t>
        </x:is>
      </x:c>
      <x:c r="G463" s="611" t="n">
        <x:v>0.87</x:v>
      </x:c>
      <x:c r="H463" s="611" t="n">
        <x:v>1</x:v>
      </x:c>
      <x:c r="I463" s="611" t="n">
        <x:v>1.01</x:v>
      </x:c>
      <x:c r="J463" s="604" t="inlineStr">
        <x:is>
          <x:t xml:space="preserve">0.87/1.0/1.01</x:t>
        </x:is>
      </x:c>
      <x:c r="K463" s="604" t="inlineStr">
        <x:is>
          <x:t xml:space="preserve">V4-C最新版候选</x:t>
        </x:is>
      </x:c>
      <x:c r="L463" s="604" t="inlineStr">
        <x:is>
          <x:t xml:space="preserve">堪萨斯城竞技</x:t>
        </x:is>
      </x:c>
      <x:c r="M463" s="606" t="n">
        <x:v>0.756</x:v>
      </x:c>
      <x:c r="N463" s="604" t="inlineStr">
        <x:is>
          <x:t xml:space="preserve">V4最新页面A/B/C候选</x:t>
        </x:is>
      </x:c>
      <x:c r="O463" s="604" t="inlineStr">
        <x:is>
          <x:t xml:space="preserve">0-2</x:t>
        </x:is>
      </x:c>
      <x:c r="P463" s="604" t="inlineStr">
        <x:is>
          <x:t xml:space="preserve">已结算</x:t>
        </x:is>
      </x:c>
      <x:c r="Q463" s="645" t="inlineStr">
        <x:is>
          <x:t xml:space="preserve">红</x:t>
        </x:is>
      </x:c>
      <x:c r="R463" s="607" t="n">
        <x:v>1.01</x:v>
      </x:c>
      <x:c r="S463" s="607" t="n">
        <x:f>IF(OR(Q463="",Q463="待结算"),"",IF(Q463="红",R463,IF(Q463="半红",R463*0.5,IF(Q463="走",0,IF(Q463="半黑",-0.5,-1)))))</x:f>
        <x:v>1.01</x:v>
      </x:c>
      <x:c r="T463" s="604" t="inlineStr">
        <x:is>
          <x:t xml:space="preserve">https://simondongxiao.github.io/odds/v4/</x:t>
        </x:is>
      </x:c>
      <x:c r="U463" s="604" t="inlineStr">
        <x:is>
          <x:t xml:space="preserve">2908810</x:t>
        </x:is>
      </x:c>
      <x:c r="V463" s="607" t="inlineStr">
        <x:is>
          <x:t xml:space="preserve">v4-market-dirichlet-20260913</x:t>
        </x:is>
      </x:c>
      <x:c r="W463" s="607" t="n">
        <x:f>IF(OR(U463="",U463="待结算"),"",IF(U463="红",V463,IF(U463="半红",V463*0.5,IF(U463="走",0,IF(U463="半黑",-0.5,-1)))))</x:f>
        <x:v>-1</x:v>
      </x:c>
      <x:c r="X463" s="608" t="inlineStr">
        <x:is>
          <x:t xml:space="preserve">C</x:t>
        </x:is>
      </x:c>
      <x:c r="Y463" s="608" t="n"/>
      <x:c r="Z463" s="608" t="n"/>
      <x:c r="AA463" s="608" t="n"/>
      <x:c r="AB463" s="608" t="n"/>
      <x:c r="AC463" s="608" t="n"/>
      <x:c r="AD463" s="608" t="n"/>
      <x:c r="AE463" s="608" t="n"/>
      <x:c r="AF463" s="608" t="n"/>
      <x:c r="AG463" s="608" t="n"/>
      <x:c r="AH463" s="608" t="n"/>
      <x:c r="AI463" s="608" t="n"/>
      <x:c r="AJ463" s="608" t="n"/>
      <x:c r="AK463" s="608" t="n"/>
      <x:c r="AL463" s="608" t="n"/>
      <x:c r="AM463" s="608" t="n"/>
      <x:c r="AN463" s="608" t="n"/>
      <x:c r="AO463" s="608" t="n"/>
      <x:c r="AP463" s="608" t="n"/>
      <x:c r="AQ463" s="608" t="n"/>
      <x:c r="AR463" s="608" t="n"/>
      <x:c r="AS463" s="608" t="n"/>
      <x:c r="AT463" s="608" t="n"/>
      <x:c r="AU463" s="608" t="n"/>
      <x:c r="AV463" s="608" t="n"/>
      <x:c r="AW463" s="608" t="n"/>
      <x:c r="AX463" s="608" t="n"/>
      <x:c r="AY463" s="608" t="n"/>
    </x:row>
    <x:row r="464" ht="22" customHeight="1">
      <x:c r="A464" s="604" t="inlineStr">
        <x:is>
          <x:t xml:space="preserve">2026-09-26</x:t>
        </x:is>
      </x:c>
      <x:c r="B464" s="604" t="inlineStr">
        <x:is>
          <x:t xml:space="preserve">2026-09-27 08:30:00</x:t>
        </x:is>
      </x:c>
      <x:c r="C464" s="604" t="str">
        <x:v>北美系列</x:v>
      </x:c>
      <x:c r="D464" s="604" t="inlineStr">
        <x:is>
          <x:t xml:space="preserve">联赛</x:t>
        </x:is>
      </x:c>
      <x:c r="E464" s="604" t="inlineStr">
        <x:is>
          <x:t xml:space="preserve">美冠联</x:t>
        </x:is>
      </x:c>
      <x:c r="F464" s="604" t="inlineStr">
        <x:is>
          <x:t xml:space="preserve">圣安东尼奥 vs 坦帕湾</x:t>
        </x:is>
      </x:c>
      <x:c r="G464" s="611" t="n">
        <x:v>1.02</x:v>
      </x:c>
      <x:c r="H464" s="611" t="n">
        <x:v>-0.25</x:v>
      </x:c>
      <x:c r="I464" s="611" t="n">
        <x:v>0.8</x:v>
      </x:c>
      <x:c r="J464" s="604" t="inlineStr">
        <x:is>
          <x:t xml:space="preserve">1.02/-0.25/0.8</x:t>
        </x:is>
      </x:c>
      <x:c r="K464" s="604" t="inlineStr">
        <x:is>
          <x:t xml:space="preserve">V4-C最新版候选</x:t>
        </x:is>
      </x:c>
      <x:c r="L464" s="604" t="inlineStr">
        <x:is>
          <x:t xml:space="preserve">圣安东尼奥</x:t>
        </x:is>
      </x:c>
      <x:c r="M464" s="606" t="n">
        <x:v>0.5856</x:v>
      </x:c>
      <x:c r="N464" s="604" t="inlineStr">
        <x:is>
          <x:t xml:space="preserve">V4最新页面A/B/C候选</x:t>
        </x:is>
      </x:c>
      <x:c r="O464" s="604" t="inlineStr">
        <x:is>
          <x:t xml:space="preserve">0-0</x:t>
        </x:is>
      </x:c>
      <x:c r="P464" s="604" t="inlineStr">
        <x:is>
          <x:t xml:space="preserve">已结算</x:t>
        </x:is>
      </x:c>
      <x:c r="Q464" s="649" t="inlineStr">
        <x:is>
          <x:t xml:space="preserve">半红</x:t>
        </x:is>
      </x:c>
      <x:c r="R464" s="607" t="n">
        <x:v>1.02</x:v>
      </x:c>
      <x:c r="S464" s="607" t="n">
        <x:f>IF(OR(Q464="",Q464="待结算"),"",IF(Q464="红",R464,IF(Q464="半红",R464*0.5,IF(Q464="走",0,IF(Q464="半黑",-0.5,-1)))))</x:f>
        <x:v>0.51</x:v>
      </x:c>
      <x:c r="T464" s="604" t="inlineStr">
        <x:is>
          <x:t xml:space="preserve">https://simondongxiao.github.io/odds/v4/</x:t>
        </x:is>
      </x:c>
      <x:c r="U464" s="604" t="inlineStr">
        <x:is>
          <x:t xml:space="preserve">2942641</x:t>
        </x:is>
      </x:c>
      <x:c r="V464" s="607" t="inlineStr">
        <x:is>
          <x:t xml:space="preserve">v4-market-dirichlet-20260913</x:t>
        </x:is>
      </x:c>
      <x:c r="W464" s="607" t="n">
        <x:f>IF(OR(U464="",U464="待结算"),"",IF(U464="红",V464,IF(U464="半红",V464*0.5,IF(U464="走",0,IF(U464="半黑",-0.5,-1)))))</x:f>
        <x:v>-1</x:v>
      </x:c>
      <x:c r="X464" s="608" t="inlineStr">
        <x:is>
          <x:t xml:space="preserve">C</x:t>
        </x:is>
      </x:c>
      <x:c r="Y464" s="608" t="n"/>
      <x:c r="Z464" s="608" t="n"/>
      <x:c r="AA464" s="608" t="n"/>
      <x:c r="AB464" s="608" t="n"/>
      <x:c r="AC464" s="608" t="n"/>
      <x:c r="AD464" s="608" t="n"/>
      <x:c r="AE464" s="608" t="n"/>
      <x:c r="AF464" s="608" t="n"/>
      <x:c r="AG464" s="608" t="n"/>
      <x:c r="AH464" s="608" t="n"/>
      <x:c r="AI464" s="608" t="n"/>
      <x:c r="AJ464" s="608" t="n"/>
      <x:c r="AK464" s="608" t="n"/>
      <x:c r="AL464" s="608" t="n"/>
      <x:c r="AM464" s="608" t="n"/>
      <x:c r="AN464" s="608" t="n"/>
      <x:c r="AO464" s="608" t="n"/>
      <x:c r="AP464" s="608" t="n"/>
      <x:c r="AQ464" s="608" t="n"/>
      <x:c r="AR464" s="608" t="n"/>
      <x:c r="AS464" s="608" t="n"/>
      <x:c r="AT464" s="608" t="n"/>
      <x:c r="AU464" s="608" t="n"/>
      <x:c r="AV464" s="608" t="n"/>
      <x:c r="AW464" s="608" t="n"/>
      <x:c r="AX464" s="608" t="n"/>
      <x:c r="AY464" s="608" t="n"/>
    </x:row>
    <x:row r="465" ht="22" customHeight="1">
      <x:c r="A465" s="604" t="inlineStr">
        <x:is>
          <x:t xml:space="preserve">2026-09-27</x:t>
        </x:is>
      </x:c>
      <x:c r="B465" s="604" t="inlineStr">
        <x:is>
          <x:t xml:space="preserve">2026-09-27 11:05:00</x:t>
        </x:is>
      </x:c>
      <x:c r="C465" s="604" t="str">
        <x:v>北美系列</x:v>
      </x:c>
      <x:c r="D465" s="604" t="inlineStr">
        <x:is>
          <x:t xml:space="preserve">联赛</x:t>
        </x:is>
      </x:c>
      <x:c r="E465" s="604" t="inlineStr">
        <x:is>
          <x:t xml:space="preserve">墨西联秋</x:t>
        </x:is>
      </x:c>
      <x:c r="F465" s="604" t="inlineStr">
        <x:is>
          <x:t xml:space="preserve">桑托斯拉古纳 vs 帕丘卡</x:t>
        </x:is>
      </x:c>
      <x:c r="G465" s="611" t="n">
        <x:v>1.07</x:v>
      </x:c>
      <x:c r="H465" s="611" t="n">
        <x:v>-0.25</x:v>
      </x:c>
      <x:c r="I465" s="611" t="n">
        <x:v>0.82</x:v>
      </x:c>
      <x:c r="J465" s="604" t="inlineStr">
        <x:is>
          <x:t xml:space="preserve">1.07/-0.25/0.82</x:t>
        </x:is>
      </x:c>
      <x:c r="K465" s="604" t="inlineStr">
        <x:is>
          <x:t xml:space="preserve">V4-C最新版候选</x:t>
        </x:is>
      </x:c>
      <x:c r="L465" s="604" t="inlineStr">
        <x:is>
          <x:t xml:space="preserve">桑托斯拉古纳</x:t>
        </x:is>
      </x:c>
      <x:c r="M465" s="606" t="n">
        <x:v>0.7212</x:v>
      </x:c>
      <x:c r="N465" s="604" t="inlineStr">
        <x:is>
          <x:t xml:space="preserve">V4最新页面A/B/C候选</x:t>
        </x:is>
      </x:c>
      <x:c r="O465" s="604" t="inlineStr">
        <x:is>
          <x:t xml:space="preserve">1-0</x:t>
        </x:is>
      </x:c>
      <x:c r="P465" s="604" t="inlineStr">
        <x:is>
          <x:t xml:space="preserve">已结算</x:t>
        </x:is>
      </x:c>
      <x:c r="Q465" s="645" t="inlineStr">
        <x:is>
          <x:t xml:space="preserve">红</x:t>
        </x:is>
      </x:c>
      <x:c r="R465" s="607" t="n">
        <x:v>1.07</x:v>
      </x:c>
      <x:c r="S465" s="607" t="n">
        <x:f>IF(OR(Q465="",Q465="待结算"),"",IF(Q465="红",R465,IF(Q465="半红",R465*0.5,IF(Q465="走",0,IF(Q465="半黑",-0.5,-1)))))</x:f>
        <x:v>1.07</x:v>
      </x:c>
      <x:c r="T465" s="604" t="inlineStr">
        <x:is>
          <x:t xml:space="preserve">https://simondongxiao.github.io/odds/v4/</x:t>
        </x:is>
      </x:c>
      <x:c r="U465" s="604" t="inlineStr">
        <x:is>
          <x:t xml:space="preserve">2997423</x:t>
        </x:is>
      </x:c>
      <x:c r="V465" s="607" t="inlineStr">
        <x:is>
          <x:t xml:space="preserve">v4-market-dirichlet-20260913</x:t>
        </x:is>
      </x:c>
      <x:c r="W465" s="607" t="n">
        <x:f>IF(OR(U465="",U465="待结算"),"",IF(U465="红",V465,IF(U465="半红",V465*0.5,IF(U465="走",0,IF(U465="半黑",-0.5,-1)))))</x:f>
        <x:v>-1</x:v>
      </x:c>
      <x:c r="X465" s="608" t="inlineStr">
        <x:is>
          <x:t xml:space="preserve">C</x:t>
        </x:is>
      </x:c>
      <x:c r="Y465" s="608" t="n"/>
      <x:c r="Z465" s="608" t="n"/>
      <x:c r="AA465" s="608" t="n"/>
      <x:c r="AB465" s="608" t="n"/>
      <x:c r="AC465" s="608" t="n"/>
      <x:c r="AD465" s="608" t="n"/>
      <x:c r="AE465" s="608" t="n"/>
      <x:c r="AF465" s="608" t="n"/>
      <x:c r="AG465" s="608" t="n"/>
      <x:c r="AH465" s="608" t="n"/>
      <x:c r="AI465" s="608" t="n"/>
      <x:c r="AJ465" s="608" t="n"/>
      <x:c r="AK465" s="608" t="n"/>
      <x:c r="AL465" s="608" t="n"/>
      <x:c r="AM465" s="608" t="n"/>
      <x:c r="AN465" s="608" t="n"/>
      <x:c r="AO465" s="608" t="n"/>
      <x:c r="AP465" s="608" t="n"/>
      <x:c r="AQ465" s="608" t="n"/>
      <x:c r="AR465" s="608" t="n"/>
      <x:c r="AS465" s="608" t="n"/>
      <x:c r="AT465" s="608" t="n"/>
      <x:c r="AU465" s="608" t="n"/>
      <x:c r="AV465" s="608" t="n"/>
      <x:c r="AW465" s="608" t="n"/>
      <x:c r="AX465" s="608" t="n"/>
      <x:c r="AY465" s="608" t="n"/>
    </x:row>
    <x:row r="466" ht="22" customHeight="1">
      <x:c r="A466" s="604" t="inlineStr">
        <x:is>
          <x:t xml:space="preserve">2026-09-27</x:t>
        </x:is>
      </x:c>
      <x:c r="B466" s="604" t="inlineStr">
        <x:is>
          <x:t xml:space="preserve">2026-09-27 15:30:00</x:t>
        </x:is>
      </x:c>
      <x:c r="C466" s="604" t="str">
        <x:v>日韩系列</x:v>
      </x:c>
      <x:c r="D466" s="604" t="inlineStr">
        <x:is>
          <x:t xml:space="preserve">联赛</x:t>
        </x:is>
      </x:c>
      <x:c r="E466" s="604" t="inlineStr">
        <x:is>
          <x:t xml:space="preserve">香港甲</x:t>
        </x:is>
      </x:c>
      <x:c r="F466" s="604" t="inlineStr">
        <x:is>
          <x:t xml:space="preserve">中西区 vs 宏辉驹腾</x:t>
        </x:is>
      </x:c>
      <x:c r="G466" s="611" t="n">
        <x:v>0.65</x:v>
      </x:c>
      <x:c r="H466" s="611" t="n">
        <x:v>0.75</x:v>
      </x:c>
      <x:c r="I466" s="611" t="n">
        <x:v>1.05</x:v>
      </x:c>
      <x:c r="J466" s="604" t="inlineStr">
        <x:is>
          <x:t xml:space="preserve">0.65/0.75/1.05</x:t>
        </x:is>
      </x:c>
      <x:c r="K466" s="604" t="inlineStr">
        <x:is>
          <x:t xml:space="preserve">V4-C最新版候选</x:t>
        </x:is>
      </x:c>
      <x:c r="L466" s="604" t="inlineStr">
        <x:is>
          <x:t xml:space="preserve">宏辉驹腾</x:t>
        </x:is>
      </x:c>
      <x:c r="M466" s="606" t="n">
        <x:v>0.652</x:v>
      </x:c>
      <x:c r="N466" s="604" t="inlineStr">
        <x:is>
          <x:t xml:space="preserve">V4最新页面A/B/C候选</x:t>
        </x:is>
      </x:c>
      <x:c r="O466" s="604" t="inlineStr">
        <x:is>
          <x:t xml:space="preserve">4-1</x:t>
        </x:is>
      </x:c>
      <x:c r="P466" s="604" t="inlineStr">
        <x:is>
          <x:t xml:space="preserve">已结算</x:t>
        </x:is>
      </x:c>
      <x:c r="Q466" s="646" t="inlineStr">
        <x:is>
          <x:t xml:space="preserve">黑</x:t>
        </x:is>
      </x:c>
      <x:c r="R466" s="607" t="n">
        <x:v>1.05</x:v>
      </x:c>
      <x:c r="S466" s="607" t="n">
        <x:f>IF(OR(Q466="",Q466="待结算"),"",IF(Q466="红",R466,IF(Q466="半红",R466*0.5,IF(Q466="走",0,IF(Q466="半黑",-0.5,-1)))))</x:f>
        <x:v>-1</x:v>
      </x:c>
      <x:c r="T466" s="604" t="inlineStr">
        <x:is>
          <x:t xml:space="preserve">https://simondongxiao.github.io/odds/v4/</x:t>
        </x:is>
      </x:c>
      <x:c r="U466" s="604" t="inlineStr">
        <x:is>
          <x:t xml:space="preserve">3087016</x:t>
        </x:is>
      </x:c>
      <x:c r="V466" s="607" t="inlineStr">
        <x:is>
          <x:t xml:space="preserve">v4-market-dirichlet-20260913</x:t>
        </x:is>
      </x:c>
      <x:c r="W466" s="607" t="n">
        <x:f>IF(OR(U466="",U466="待结算"),"",IF(U466="红",V466,IF(U466="半红",V466*0.5,IF(U466="走",0,IF(U466="半黑",-0.5,-1)))))</x:f>
        <x:v>-1</x:v>
      </x:c>
      <x:c r="X466" s="608" t="inlineStr">
        <x:is>
          <x:t xml:space="preserve">C</x:t>
        </x:is>
      </x:c>
      <x:c r="Y466" s="608" t="n"/>
      <x:c r="Z466" s="608" t="n"/>
      <x:c r="AA466" s="608" t="n"/>
      <x:c r="AB466" s="608" t="n"/>
      <x:c r="AC466" s="608" t="n"/>
      <x:c r="AD466" s="608" t="n"/>
      <x:c r="AE466" s="608" t="n"/>
      <x:c r="AF466" s="608" t="n"/>
      <x:c r="AG466" s="608" t="n"/>
      <x:c r="AH466" s="608" t="n"/>
      <x:c r="AI466" s="608" t="n"/>
      <x:c r="AJ466" s="608" t="n"/>
      <x:c r="AK466" s="608" t="n"/>
      <x:c r="AL466" s="608" t="n"/>
      <x:c r="AM466" s="608" t="n"/>
      <x:c r="AN466" s="608" t="n"/>
      <x:c r="AO466" s="608" t="n"/>
      <x:c r="AP466" s="608" t="n"/>
      <x:c r="AQ466" s="608" t="n"/>
      <x:c r="AR466" s="608" t="n"/>
      <x:c r="AS466" s="608" t="n"/>
      <x:c r="AT466" s="608" t="n"/>
      <x:c r="AU466" s="608" t="n"/>
      <x:c r="AV466" s="608" t="n"/>
      <x:c r="AW466" s="608" t="n"/>
      <x:c r="AX466" s="608" t="n"/>
      <x:c r="AY466" s="608" t="n"/>
    </x:row>
    <x:row r="467" ht="22" customHeight="1">
      <x:c r="A467" s="604" t="inlineStr">
        <x:is>
          <x:t xml:space="preserve">2026-09-27</x:t>
        </x:is>
      </x:c>
      <x:c r="B467" s="604" t="inlineStr">
        <x:is>
          <x:t xml:space="preserve">2026-09-27 16:00:00</x:t>
        </x:is>
      </x:c>
      <x:c r="C467" s="604" t="str">
        <x:v>日韩系列</x:v>
      </x:c>
      <x:c r="D467" s="604" t="inlineStr">
        <x:is>
          <x:t xml:space="preserve">联赛</x:t>
        </x:is>
      </x:c>
      <x:c r="E467" s="604" t="inlineStr">
        <x:is>
          <x:t xml:space="preserve">日足联</x:t>
        </x:is>
      </x:c>
      <x:c r="F467" s="604" t="inlineStr">
        <x:is>
          <x:t xml:space="preserve">新宿创造 vs 冲绳SV</x:t>
        </x:is>
      </x:c>
      <x:c r="G467" s="611" t="n">
        <x:v>0.85</x:v>
      </x:c>
      <x:c r="H467" s="611" t="n">
        <x:v>-0.25</x:v>
      </x:c>
      <x:c r="I467" s="611" t="n">
        <x:v>1.03</x:v>
      </x:c>
      <x:c r="J467" s="604" t="inlineStr">
        <x:is>
          <x:t xml:space="preserve">0.85/-0.25/1.03</x:t>
        </x:is>
      </x:c>
      <x:c r="K467" s="604" t="inlineStr">
        <x:is>
          <x:t xml:space="preserve">V4-C最新版候选</x:t>
        </x:is>
      </x:c>
      <x:c r="L467" s="604" t="inlineStr">
        <x:is>
          <x:t xml:space="preserve">冲绳SV</x:t>
        </x:is>
      </x:c>
      <x:c r="M467" s="606" t="n">
        <x:v>0.5886</x:v>
      </x:c>
      <x:c r="N467" s="604" t="inlineStr">
        <x:is>
          <x:t xml:space="preserve">V4最新页面A/B/C候选</x:t>
        </x:is>
      </x:c>
      <x:c r="O467" s="604" t="inlineStr">
        <x:is>
          <x:t xml:space="preserve">0-3</x:t>
        </x:is>
      </x:c>
      <x:c r="P467" s="604" t="inlineStr">
        <x:is>
          <x:t xml:space="preserve">已结算</x:t>
        </x:is>
      </x:c>
      <x:c r="Q467" s="645" t="inlineStr">
        <x:is>
          <x:t xml:space="preserve">红</x:t>
        </x:is>
      </x:c>
      <x:c r="R467" s="607" t="n">
        <x:v>1.03</x:v>
      </x:c>
      <x:c r="S467" s="607" t="n">
        <x:f>IF(OR(Q467="",Q467="待结算"),"",IF(Q467="红",R467,IF(Q467="半红",R467*0.5,IF(Q467="走",0,IF(Q467="半黑",-0.5,-1)))))</x:f>
        <x:v>1.03</x:v>
      </x:c>
      <x:c r="T467" s="604" t="inlineStr">
        <x:is>
          <x:t xml:space="preserve">https://simondongxiao.github.io/odds/v4/</x:t>
        </x:is>
      </x:c>
      <x:c r="U467" s="604" t="inlineStr">
        <x:is>
          <x:t xml:space="preserve">3071103</x:t>
        </x:is>
      </x:c>
      <x:c r="V467" s="607" t="inlineStr">
        <x:is>
          <x:t xml:space="preserve">v4-market-dirichlet-20260913</x:t>
        </x:is>
      </x:c>
      <x:c r="W467" s="607" t="n">
        <x:f>IF(OR(U467="",U467="待结算"),"",IF(U467="红",V467,IF(U467="半红",V467*0.5,IF(U467="走",0,IF(U467="半黑",-0.5,-1)))))</x:f>
        <x:v>-1</x:v>
      </x:c>
      <x:c r="X467" s="608" t="inlineStr">
        <x:is>
          <x:t xml:space="preserve">C</x:t>
        </x:is>
      </x:c>
      <x:c r="Y467" s="608" t="n"/>
      <x:c r="Z467" s="608" t="n"/>
      <x:c r="AA467" s="608" t="n"/>
      <x:c r="AB467" s="608" t="n"/>
      <x:c r="AC467" s="608" t="n"/>
      <x:c r="AD467" s="608" t="n"/>
      <x:c r="AE467" s="608" t="n"/>
      <x:c r="AF467" s="608" t="n"/>
      <x:c r="AG467" s="608" t="n"/>
      <x:c r="AH467" s="608" t="n"/>
      <x:c r="AI467" s="608" t="n"/>
      <x:c r="AJ467" s="608" t="n"/>
      <x:c r="AK467" s="608" t="n"/>
      <x:c r="AL467" s="608" t="n"/>
      <x:c r="AM467" s="608" t="n"/>
      <x:c r="AN467" s="608" t="n"/>
      <x:c r="AO467" s="608" t="n"/>
      <x:c r="AP467" s="608" t="n"/>
      <x:c r="AQ467" s="608" t="n"/>
      <x:c r="AR467" s="608" t="n"/>
      <x:c r="AS467" s="608" t="n"/>
      <x:c r="AT467" s="608" t="n"/>
      <x:c r="AU467" s="608" t="n"/>
      <x:c r="AV467" s="608" t="n"/>
      <x:c r="AW467" s="608" t="n"/>
      <x:c r="AX467" s="608" t="n"/>
      <x:c r="AY467" s="608" t="n"/>
    </x:row>
    <x:row r="468" ht="22" customHeight="1">
      <x:c r="A468" s="604" t="inlineStr">
        <x:is>
          <x:t xml:space="preserve">2026-09-27</x:t>
        </x:is>
      </x:c>
      <x:c r="B468" s="604" t="inlineStr">
        <x:is>
          <x:t xml:space="preserve">2026-09-27 16:30:00</x:t>
        </x:is>
      </x:c>
      <x:c r="C468" s="604" t="str">
        <x:v>其他系列</x:v>
      </x:c>
      <x:c r="D468" s="604" t="inlineStr">
        <x:is>
          <x:t xml:space="preserve">联赛</x:t>
        </x:is>
      </x:c>
      <x:c r="E468" s="604" t="inlineStr">
        <x:is>
          <x:t xml:space="preserve">印尼甲</x:t>
        </x:is>
      </x:c>
      <x:c r="F468" s="604" t="inlineStr">
        <x:is>
          <x:t xml:space="preserve">努萨塔拉 vs 德尔特雷斯</x:t>
        </x:is>
      </x:c>
      <x:c r="G468" s="611" t="n">
        <x:v>0.8100000000000001</x:v>
      </x:c>
      <x:c r="H468" s="611" t="n">
        <x:v>0.25</x:v>
      </x:c>
      <x:c r="I468" s="611" t="n">
        <x:v>1.01</x:v>
      </x:c>
      <x:c r="J468" s="604" t="inlineStr">
        <x:is>
          <x:t xml:space="preserve">0.81/0.25/1.01</x:t>
        </x:is>
      </x:c>
      <x:c r="K468" s="604" t="inlineStr">
        <x:is>
          <x:t xml:space="preserve">V4-C最新版候选</x:t>
        </x:is>
      </x:c>
      <x:c r="L468" s="604" t="inlineStr">
        <x:is>
          <x:t xml:space="preserve">德尔特雷斯</x:t>
        </x:is>
      </x:c>
      <x:c r="M468" s="606" t="n">
        <x:v>0.5296</x:v>
      </x:c>
      <x:c r="N468" s="604" t="inlineStr">
        <x:is>
          <x:t xml:space="preserve">V4最新页面A/B/C候选</x:t>
        </x:is>
      </x:c>
      <x:c r="O468" s="604" t="inlineStr">
        <x:is>
          <x:t xml:space="preserve">1-2</x:t>
        </x:is>
      </x:c>
      <x:c r="P468" s="604" t="inlineStr">
        <x:is>
          <x:t xml:space="preserve">已结算</x:t>
        </x:is>
      </x:c>
      <x:c r="Q468" s="645" t="inlineStr">
        <x:is>
          <x:t xml:space="preserve">红</x:t>
        </x:is>
      </x:c>
      <x:c r="R468" s="607" t="n">
        <x:v>1.01</x:v>
      </x:c>
      <x:c r="S468" s="607" t="n">
        <x:f>IF(OR(Q468="",Q468="待结算"),"",IF(Q468="红",R468,IF(Q468="半红",R468*0.5,IF(Q468="走",0,IF(Q468="半黑",-0.5,-1)))))</x:f>
        <x:v>1.01</x:v>
      </x:c>
      <x:c r="T468" s="604" t="inlineStr">
        <x:is>
          <x:t xml:space="preserve">https://simondongxiao.github.io/odds/v4/</x:t>
        </x:is>
      </x:c>
      <x:c r="U468" s="604" t="inlineStr">
        <x:is>
          <x:t xml:space="preserve">3086187</x:t>
        </x:is>
      </x:c>
      <x:c r="V468" s="607" t="inlineStr">
        <x:is>
          <x:t xml:space="preserve">v4-market-dirichlet-20260913</x:t>
        </x:is>
      </x:c>
      <x:c r="W468" s="607" t="n">
        <x:f>IF(OR(U468="",U468="待结算"),"",IF(U468="红",V468,IF(U468="半红",V468*0.5,IF(U468="走",0,IF(U468="半黑",-0.5,-1)))))</x:f>
        <x:v>-1</x:v>
      </x:c>
      <x:c r="X468" s="608" t="inlineStr">
        <x:is>
          <x:t xml:space="preserve">C</x:t>
        </x:is>
      </x:c>
      <x:c r="Y468" s="608" t="n"/>
      <x:c r="Z468" s="608" t="n"/>
      <x:c r="AA468" s="608" t="n"/>
      <x:c r="AB468" s="608" t="n"/>
      <x:c r="AC468" s="608" t="n"/>
      <x:c r="AD468" s="608" t="n"/>
      <x:c r="AE468" s="608" t="n"/>
      <x:c r="AF468" s="608" t="n"/>
      <x:c r="AG468" s="608" t="n"/>
      <x:c r="AH468" s="608" t="n"/>
      <x:c r="AI468" s="608" t="n"/>
      <x:c r="AJ468" s="608" t="n"/>
      <x:c r="AK468" s="608" t="n"/>
      <x:c r="AL468" s="608" t="n"/>
      <x:c r="AM468" s="608" t="n"/>
      <x:c r="AN468" s="608" t="n"/>
      <x:c r="AO468" s="608" t="n"/>
      <x:c r="AP468" s="608" t="n"/>
      <x:c r="AQ468" s="608" t="n"/>
      <x:c r="AR468" s="608" t="n"/>
      <x:c r="AS468" s="608" t="n"/>
      <x:c r="AT468" s="608" t="n"/>
      <x:c r="AU468" s="608" t="n"/>
      <x:c r="AV468" s="608" t="n"/>
      <x:c r="AW468" s="608" t="n"/>
      <x:c r="AX468" s="608" t="n"/>
      <x:c r="AY468" s="608" t="n"/>
    </x:row>
    <x:row r="469" ht="22" customHeight="1">
      <x:c r="A469" s="604" t="inlineStr">
        <x:is>
          <x:t xml:space="preserve">2026-09-27</x:t>
        </x:is>
      </x:c>
      <x:c r="B469" s="604" t="inlineStr">
        <x:is>
          <x:t xml:space="preserve">2026-09-27 16:30:00</x:t>
        </x:is>
      </x:c>
      <x:c r="C469" s="604" t="str">
        <x:v>其他系列</x:v>
      </x:c>
      <x:c r="D469" s="604" t="inlineStr">
        <x:is>
          <x:t xml:space="preserve">联赛</x:t>
        </x:is>
      </x:c>
      <x:c r="E469" s="604" t="inlineStr">
        <x:is>
          <x:t xml:space="preserve">印尼甲</x:t>
        </x:is>
      </x:c>
      <x:c r="F469" s="604" t="inlineStr">
        <x:is>
          <x:t xml:space="preserve">伯斯古古杜斯 vs 三宝珑</x:t>
        </x:is>
      </x:c>
      <x:c r="G469" s="611" t="n">
        <x:v>0.95</x:v>
      </x:c>
      <x:c r="H469" s="611" t="n">
        <x:v>-1</x:v>
      </x:c>
      <x:c r="I469" s="611" t="n">
        <x:v>0.75</x:v>
      </x:c>
      <x:c r="J469" s="604" t="inlineStr">
        <x:is>
          <x:t xml:space="preserve">0.95/-1.0/0.75</x:t>
        </x:is>
      </x:c>
      <x:c r="K469" s="604" t="inlineStr">
        <x:is>
          <x:t xml:space="preserve">V4-C最新版候选</x:t>
        </x:is>
      </x:c>
      <x:c r="L469" s="604" t="inlineStr">
        <x:is>
          <x:t xml:space="preserve">伯斯古古杜斯</x:t>
        </x:is>
      </x:c>
      <x:c r="M469" s="606" t="n">
        <x:v>0.6686</x:v>
      </x:c>
      <x:c r="N469" s="604" t="inlineStr">
        <x:is>
          <x:t xml:space="preserve">V4最新页面A/B/C候选</x:t>
        </x:is>
      </x:c>
      <x:c r="O469" s="604" t="inlineStr">
        <x:is>
          <x:t xml:space="preserve">0-6</x:t>
        </x:is>
      </x:c>
      <x:c r="P469" s="604" t="inlineStr">
        <x:is>
          <x:t xml:space="preserve">已结算</x:t>
        </x:is>
      </x:c>
      <x:c r="Q469" s="646" t="inlineStr">
        <x:is>
          <x:t xml:space="preserve">黑</x:t>
        </x:is>
      </x:c>
      <x:c r="R469" s="607" t="n">
        <x:v>0.95</x:v>
      </x:c>
      <x:c r="S469" s="607" t="n">
        <x:f>IF(OR(Q469="",Q469="待结算"),"",IF(Q469="红",R469,IF(Q469="半红",R469*0.5,IF(Q469="走",0,IF(Q469="半黑",-0.5,-1)))))</x:f>
        <x:v>-1</x:v>
      </x:c>
      <x:c r="T469" s="604" t="inlineStr">
        <x:is>
          <x:t xml:space="preserve">https://www.footballant.com/zh-CN/football-data/team/19000</x:t>
        </x:is>
      </x:c>
      <x:c r="U469" s="604" t="inlineStr">
        <x:is>
          <x:t xml:space="preserve">3086186</x:t>
        </x:is>
      </x:c>
      <x:c r="V469" s="607" t="inlineStr">
        <x:is>
          <x:t xml:space="preserve">v4-market-dirichlet-20260913</x:t>
        </x:is>
      </x:c>
      <x:c r="W469" s="607" t="n">
        <x:f>IF(OR(U469="",U469="待结算"),"",IF(U469="红",V469,IF(U469="半红",V469*0.5,IF(U469="走",0,IF(U469="半黑",-0.5,-1)))))</x:f>
        <x:v>-1</x:v>
      </x:c>
      <x:c r="X469" s="608" t="inlineStr">
        <x:is>
          <x:t xml:space="preserve">C</x:t>
        </x:is>
      </x:c>
      <x:c r="Y469" s="608" t="n"/>
      <x:c r="Z469" s="608" t="n"/>
      <x:c r="AA469" s="608" t="n"/>
      <x:c r="AB469" s="608" t="n"/>
      <x:c r="AC469" s="608" t="n"/>
      <x:c r="AD469" s="608" t="n"/>
      <x:c r="AE469" s="608" t="n"/>
      <x:c r="AF469" s="608" t="n"/>
      <x:c r="AG469" s="608" t="n"/>
      <x:c r="AH469" s="608" t="n"/>
      <x:c r="AI469" s="608" t="n"/>
      <x:c r="AJ469" s="608" t="n"/>
      <x:c r="AK469" s="608" t="n"/>
      <x:c r="AL469" s="608" t="n"/>
      <x:c r="AM469" s="608" t="n"/>
      <x:c r="AN469" s="608" t="n"/>
      <x:c r="AO469" s="608" t="n"/>
      <x:c r="AP469" s="608" t="n"/>
      <x:c r="AQ469" s="608" t="n"/>
      <x:c r="AR469" s="608" t="n"/>
      <x:c r="AS469" s="608" t="n"/>
      <x:c r="AT469" s="608" t="n"/>
      <x:c r="AU469" s="608" t="n"/>
      <x:c r="AV469" s="608" t="n"/>
      <x:c r="AW469" s="608" t="n"/>
      <x:c r="AX469" s="608" t="n"/>
      <x:c r="AY469" s="608" t="n"/>
    </x:row>
    <x:row r="470" ht="22" customHeight="1">
      <x:c r="A470" s="604" t="inlineStr">
        <x:is>
          <x:t xml:space="preserve">2026-09-27</x:t>
        </x:is>
      </x:c>
      <x:c r="B470" s="604" t="inlineStr">
        <x:is>
          <x:t xml:space="preserve">2026-09-27 18:00:00</x:t>
        </x:is>
      </x:c>
      <x:c r="C470" s="604" t="str">
        <x:v>五大联赛非顶级联赛</x:v>
      </x:c>
      <x:c r="D470" s="604" t="inlineStr">
        <x:is>
          <x:t xml:space="preserve">联赛</x:t>
        </x:is>
      </x:c>
      <x:c r="E470" s="604" t="inlineStr">
        <x:is>
          <x:t xml:space="preserve">西丁</x:t>
        </x:is>
      </x:c>
      <x:c r="F470" s="604" t="inlineStr">
        <x:is>
          <x:t xml:space="preserve">苏比扎 vs 西尔波内罗</x:t>
        </x:is>
      </x:c>
      <x:c r="G470" s="611" t="n">
        <x:v>0.72</x:v>
      </x:c>
      <x:c r="H470" s="611" t="n">
        <x:v>0.75</x:v>
      </x:c>
      <x:c r="I470" s="611" t="n">
        <x:v>0.98</x:v>
      </x:c>
      <x:c r="J470" s="604" t="inlineStr">
        <x:is>
          <x:t xml:space="preserve">0.72/0.75/0.98</x:t>
        </x:is>
      </x:c>
      <x:c r="K470" s="604" t="inlineStr">
        <x:is>
          <x:t xml:space="preserve">V4-C最新版候选</x:t>
        </x:is>
      </x:c>
      <x:c r="L470" s="604" t="inlineStr">
        <x:is>
          <x:t xml:space="preserve">西尔波内罗</x:t>
        </x:is>
      </x:c>
      <x:c r="M470" s="606" t="n">
        <x:v>0.5052</x:v>
      </x:c>
      <x:c r="N470" s="604" t="inlineStr">
        <x:is>
          <x:t xml:space="preserve">V4最新页面A/B/C候选</x:t>
        </x:is>
      </x:c>
      <x:c r="O470" s="604" t="inlineStr">
        <x:is>
          <x:t xml:space="preserve">2-0</x:t>
        </x:is>
      </x:c>
      <x:c r="P470" s="604" t="inlineStr">
        <x:is>
          <x:t xml:space="preserve">已结算</x:t>
        </x:is>
      </x:c>
      <x:c r="Q470" s="646" t="inlineStr">
        <x:is>
          <x:t xml:space="preserve">黑</x:t>
        </x:is>
      </x:c>
      <x:c r="R470" s="607" t="n">
        <x:v>0.98</x:v>
      </x:c>
      <x:c r="S470" s="607" t="n">
        <x:f>IF(OR(Q470="",Q470="待结算"),"",IF(Q470="红",R470,IF(Q470="半红",R470*0.5,IF(Q470="走",0,IF(Q470="半黑",-0.5,-1)))))</x:f>
        <x:v>-1</x:v>
      </x:c>
      <x:c r="T470" s="604" t="inlineStr">
        <x:is>
          <x:t xml:space="preserve">https://simondongxiao.github.io/odds/v4/</x:t>
        </x:is>
      </x:c>
      <x:c r="U470" s="604" t="inlineStr">
        <x:is>
          <x:t xml:space="preserve">3079005</x:t>
        </x:is>
      </x:c>
      <x:c r="V470" s="607" t="inlineStr">
        <x:is>
          <x:t xml:space="preserve">v4-market-dirichlet-20260913</x:t>
        </x:is>
      </x:c>
      <x:c r="W470" s="607" t="n">
        <x:f>IF(OR(U470="",U470="待结算"),"",IF(U470="红",V470,IF(U470="半红",V470*0.5,IF(U470="走",0,IF(U470="半黑",-0.5,-1)))))</x:f>
        <x:v>-1</x:v>
      </x:c>
      <x:c r="X470" s="608" t="inlineStr">
        <x:is>
          <x:t xml:space="preserve">C</x:t>
        </x:is>
      </x:c>
      <x:c r="Y470" s="608" t="n"/>
      <x:c r="Z470" s="608" t="n"/>
      <x:c r="AA470" s="608" t="n"/>
      <x:c r="AB470" s="608" t="n"/>
      <x:c r="AC470" s="608" t="n"/>
      <x:c r="AD470" s="608" t="n"/>
      <x:c r="AE470" s="608" t="n"/>
      <x:c r="AF470" s="608" t="n"/>
      <x:c r="AG470" s="608" t="n"/>
      <x:c r="AH470" s="608" t="n"/>
      <x:c r="AI470" s="608" t="n"/>
      <x:c r="AJ470" s="608" t="n"/>
      <x:c r="AK470" s="608" t="n"/>
      <x:c r="AL470" s="608" t="n"/>
      <x:c r="AM470" s="608" t="n"/>
      <x:c r="AN470" s="608" t="n"/>
      <x:c r="AO470" s="608" t="n"/>
      <x:c r="AP470" s="608" t="n"/>
      <x:c r="AQ470" s="608" t="n"/>
      <x:c r="AR470" s="608" t="n"/>
      <x:c r="AS470" s="608" t="n"/>
      <x:c r="AT470" s="608" t="n"/>
      <x:c r="AU470" s="608" t="n"/>
      <x:c r="AV470" s="608" t="n"/>
      <x:c r="AW470" s="608" t="n"/>
      <x:c r="AX470" s="608" t="n"/>
      <x:c r="AY470" s="608" t="n"/>
    </x:row>
    <x:row r="471" ht="22" customHeight="1">
      <x:c r="A471" s="604" t="inlineStr">
        <x:is>
          <x:t xml:space="preserve">2026-09-27</x:t>
        </x:is>
      </x:c>
      <x:c r="B471" s="604" t="inlineStr">
        <x:is>
          <x:t xml:space="preserve">2026-09-27 19:00:00</x:t>
        </x:is>
      </x:c>
      <x:c r="C471" s="604" t="str">
        <x:v>欧洲非五大系列</x:v>
      </x:c>
      <x:c r="D471" s="604" t="inlineStr">
        <x:is>
          <x:t xml:space="preserve">联赛</x:t>
        </x:is>
      </x:c>
      <x:c r="E471" s="604" t="inlineStr">
        <x:is>
          <x:t xml:space="preserve">瑞典女超</x:t>
        </x:is>
      </x:c>
      <x:c r="F471" s="604" t="inlineStr">
        <x:is>
          <x:t xml:space="preserve">洛森格德女足 vs 皮特奥女足</x:t>
        </x:is>
      </x:c>
      <x:c r="G471" s="611" t="n">
        <x:v>0.7</x:v>
      </x:c>
      <x:c r="H471" s="611" t="n">
        <x:v>0.25</x:v>
      </x:c>
      <x:c r="I471" s="611" t="n">
        <x:v>1.13</x:v>
      </x:c>
      <x:c r="J471" s="604" t="inlineStr">
        <x:is>
          <x:t xml:space="preserve">0.7/0.25/1.13</x:t>
        </x:is>
      </x:c>
      <x:c r="K471" s="604" t="inlineStr">
        <x:is>
          <x:t xml:space="preserve">V4-C最新版候选</x:t>
        </x:is>
      </x:c>
      <x:c r="L471" s="604" t="inlineStr">
        <x:is>
          <x:t xml:space="preserve">皮特奥女足</x:t>
        </x:is>
      </x:c>
      <x:c r="M471" s="606" t="n">
        <x:v>0.848</x:v>
      </x:c>
      <x:c r="N471" s="604" t="inlineStr">
        <x:is>
          <x:t xml:space="preserve">V4最新页面A/B/C候选</x:t>
        </x:is>
      </x:c>
      <x:c r="O471" s="604" t="inlineStr">
        <x:is>
          <x:t xml:space="preserve">1-0</x:t>
        </x:is>
      </x:c>
      <x:c r="P471" s="604" t="inlineStr">
        <x:is>
          <x:t xml:space="preserve">已结算</x:t>
        </x:is>
      </x:c>
      <x:c r="Q471" s="646" t="inlineStr">
        <x:is>
          <x:t xml:space="preserve">黑</x:t>
        </x:is>
      </x:c>
      <x:c r="R471" s="607" t="n">
        <x:v>1.13</x:v>
      </x:c>
      <x:c r="S471" s="607" t="n">
        <x:f>IF(OR(Q471="",Q471="待结算"),"",IF(Q471="红",R471,IF(Q471="半红",R471*0.5,IF(Q471="走",0,IF(Q471="半黑",-0.5,-1)))))</x:f>
        <x:v>-1</x:v>
      </x:c>
      <x:c r="T471" s="604" t="inlineStr">
        <x:is>
          <x:t xml:space="preserve">https://simondongxiao.github.io/odds/v4/</x:t>
        </x:is>
      </x:c>
      <x:c r="U471" s="604" t="inlineStr">
        <x:is>
          <x:t xml:space="preserve">2911383</x:t>
        </x:is>
      </x:c>
      <x:c r="V471" s="607" t="inlineStr">
        <x:is>
          <x:t xml:space="preserve">v4-market-dirichlet-20260913</x:t>
        </x:is>
      </x:c>
      <x:c r="W471" s="607" t="n">
        <x:f>IF(OR(U471="",U471="待结算"),"",IF(U471="红",V471,IF(U471="半红",V471*0.5,IF(U471="走",0,IF(U471="半黑",-0.5,-1)))))</x:f>
        <x:v>-1</x:v>
      </x:c>
      <x:c r="X471" s="608" t="inlineStr">
        <x:is>
          <x:t xml:space="preserve">C</x:t>
        </x:is>
      </x:c>
      <x:c r="Y471" s="608" t="n"/>
      <x:c r="Z471" s="608" t="n"/>
      <x:c r="AA471" s="608" t="n"/>
      <x:c r="AB471" s="608" t="n"/>
      <x:c r="AC471" s="608" t="n"/>
      <x:c r="AD471" s="608" t="n"/>
      <x:c r="AE471" s="608" t="n"/>
      <x:c r="AF471" s="608" t="n"/>
      <x:c r="AG471" s="608" t="n"/>
      <x:c r="AH471" s="608" t="n"/>
      <x:c r="AI471" s="608" t="n"/>
      <x:c r="AJ471" s="608" t="n"/>
      <x:c r="AK471" s="608" t="n"/>
      <x:c r="AL471" s="608" t="n"/>
      <x:c r="AM471" s="608" t="n"/>
      <x:c r="AN471" s="608" t="n"/>
      <x:c r="AO471" s="608" t="n"/>
      <x:c r="AP471" s="608" t="n"/>
      <x:c r="AQ471" s="608" t="n"/>
      <x:c r="AR471" s="608" t="n"/>
      <x:c r="AS471" s="608" t="n"/>
      <x:c r="AT471" s="608" t="n"/>
      <x:c r="AU471" s="608" t="n"/>
      <x:c r="AV471" s="608" t="n"/>
      <x:c r="AW471" s="608" t="n"/>
      <x:c r="AX471" s="608" t="n"/>
      <x:c r="AY471" s="608" t="n"/>
    </x:row>
    <x:row r="472" ht="22" customHeight="1">
      <x:c r="A472" s="604" t="inlineStr">
        <x:is>
          <x:t xml:space="preserve">2026-09-27</x:t>
        </x:is>
      </x:c>
      <x:c r="B472" s="604" t="inlineStr">
        <x:is>
          <x:t xml:space="preserve">2026-09-27 19:00:00</x:t>
        </x:is>
      </x:c>
      <x:c r="C472" s="604" t="str">
        <x:v>欧洲非五大系列</x:v>
      </x:c>
      <x:c r="D472" s="604" t="inlineStr">
        <x:is>
          <x:t xml:space="preserve">联赛</x:t>
        </x:is>
      </x:c>
      <x:c r="E472" s="604" t="inlineStr">
        <x:is>
          <x:t xml:space="preserve">保乙</x:t>
        </x:is>
      </x:c>
      <x:c r="F472" s="604" t="inlineStr">
        <x:is>
          <x:t xml:space="preserve">韦伦桑丹斯基 vs 内塞伯尔</x:t>
        </x:is>
      </x:c>
      <x:c r="G472" s="611" t="n">
        <x:v>0.8100000000000001</x:v>
      </x:c>
      <x:c r="H472" s="611" t="n">
        <x:v>1.5</x:v>
      </x:c>
      <x:c r="I472" s="611" t="n">
        <x:v>0.95</x:v>
      </x:c>
      <x:c r="J472" s="604" t="inlineStr">
        <x:is>
          <x:t xml:space="preserve">0.81/1.5/0.95</x:t>
        </x:is>
      </x:c>
      <x:c r="K472" s="604" t="inlineStr">
        <x:is>
          <x:t xml:space="preserve">V4-C最新版候选</x:t>
        </x:is>
      </x:c>
      <x:c r="L472" s="604" t="inlineStr">
        <x:is>
          <x:t xml:space="preserve">韦伦桑丹斯基</x:t>
        </x:is>
      </x:c>
      <x:c r="M472" s="606" t="n">
        <x:v>0.6844</x:v>
      </x:c>
      <x:c r="N472" s="604" t="inlineStr">
        <x:is>
          <x:t xml:space="preserve">V4最新页面A/B/C候选</x:t>
        </x:is>
      </x:c>
      <x:c r="O472" s="604" t="inlineStr">
        <x:is>
          <x:t xml:space="preserve">2-0</x:t>
        </x:is>
      </x:c>
      <x:c r="P472" s="604" t="inlineStr">
        <x:is>
          <x:t xml:space="preserve">已结算</x:t>
        </x:is>
      </x:c>
      <x:c r="Q472" s="645" t="inlineStr">
        <x:is>
          <x:t xml:space="preserve">红</x:t>
        </x:is>
      </x:c>
      <x:c r="R472" s="607" t="n">
        <x:v>0.8100000000000001</x:v>
      </x:c>
      <x:c r="S472" s="607" t="n">
        <x:f>IF(OR(Q472="",Q472="待结算"),"",IF(Q472="红",R472,IF(Q472="半红",R472*0.5,IF(Q472="走",0,IF(Q472="半黑",-0.5,-1)))))</x:f>
        <x:v>0.81</x:v>
      </x:c>
      <x:c r="T472" s="604" t="inlineStr">
        <x:is>
          <x:t xml:space="preserve">https://simondongxiao.github.io/odds/v4/</x:t>
        </x:is>
      </x:c>
      <x:c r="U472" s="604" t="inlineStr">
        <x:is>
          <x:t xml:space="preserve">3017179</x:t>
        </x:is>
      </x:c>
      <x:c r="V472" s="607" t="inlineStr">
        <x:is>
          <x:t xml:space="preserve">v4-market-dirichlet-20260913</x:t>
        </x:is>
      </x:c>
      <x:c r="W472" s="607" t="n">
        <x:f>IF(OR(U472="",U472="待结算"),"",IF(U472="红",V472,IF(U472="半红",V472*0.5,IF(U472="走",0,IF(U472="半黑",-0.5,-1)))))</x:f>
        <x:v>-1</x:v>
      </x:c>
      <x:c r="X472" s="608" t="inlineStr">
        <x:is>
          <x:t xml:space="preserve">C</x:t>
        </x:is>
      </x:c>
      <x:c r="Y472" s="608" t="n"/>
      <x:c r="Z472" s="608" t="n"/>
      <x:c r="AA472" s="608" t="n"/>
      <x:c r="AB472" s="608" t="n"/>
      <x:c r="AC472" s="608" t="n"/>
      <x:c r="AD472" s="608" t="n"/>
      <x:c r="AE472" s="608" t="n"/>
      <x:c r="AF472" s="608" t="n"/>
      <x:c r="AG472" s="608" t="n"/>
      <x:c r="AH472" s="608" t="n"/>
      <x:c r="AI472" s="608" t="n"/>
      <x:c r="AJ472" s="608" t="n"/>
      <x:c r="AK472" s="608" t="n"/>
      <x:c r="AL472" s="608" t="n"/>
      <x:c r="AM472" s="608" t="n"/>
      <x:c r="AN472" s="608" t="n"/>
      <x:c r="AO472" s="608" t="n"/>
      <x:c r="AP472" s="608" t="n"/>
      <x:c r="AQ472" s="608" t="n"/>
      <x:c r="AR472" s="608" t="n"/>
      <x:c r="AS472" s="608" t="n"/>
      <x:c r="AT472" s="608" t="n"/>
      <x:c r="AU472" s="608" t="n"/>
      <x:c r="AV472" s="608" t="n"/>
      <x:c r="AW472" s="608" t="n"/>
      <x:c r="AX472" s="608" t="n"/>
      <x:c r="AY472" s="608" t="n"/>
    </x:row>
    <x:row r="473" ht="22" customHeight="1">
      <x:c r="A473" s="604" t="inlineStr">
        <x:is>
          <x:t xml:space="preserve">2026-09-27</x:t>
        </x:is>
      </x:c>
      <x:c r="B473" s="604" t="inlineStr">
        <x:is>
          <x:t xml:space="preserve">2026-09-27 19:00:00</x:t>
        </x:is>
      </x:c>
      <x:c r="C473" s="604" t="str">
        <x:v>欧洲非五大系列</x:v>
      </x:c>
      <x:c r="D473" s="604" t="inlineStr">
        <x:is>
          <x:t xml:space="preserve">联赛</x:t>
        </x:is>
      </x:c>
      <x:c r="E473" s="604" t="inlineStr">
        <x:is>
          <x:t xml:space="preserve">瑞典丙NG</x:t>
        </x:is>
      </x:c>
      <x:c r="F473" s="604" t="inlineStr">
        <x:is>
          <x:t xml:space="preserve">IK多特 vs 斯泰诺桑德</x:t>
        </x:is>
      </x:c>
      <x:c r="G473" s="611" t="n">
        <x:v>0.7</x:v>
      </x:c>
      <x:c r="H473" s="611" t="n">
        <x:v>0.25</x:v>
      </x:c>
      <x:c r="I473" s="611" t="n">
        <x:v>1</x:v>
      </x:c>
      <x:c r="J473" s="604" t="inlineStr">
        <x:is>
          <x:t xml:space="preserve">0.7/0.25/1.0</x:t>
        </x:is>
      </x:c>
      <x:c r="K473" s="604" t="inlineStr">
        <x:is>
          <x:t xml:space="preserve">V4-C最新版候选</x:t>
        </x:is>
      </x:c>
      <x:c r="L473" s="604" t="inlineStr">
        <x:is>
          <x:t xml:space="preserve">斯泰诺桑德</x:t>
        </x:is>
      </x:c>
      <x:c r="M473" s="606" t="n">
        <x:v>0.5212</x:v>
      </x:c>
      <x:c r="N473" s="604" t="inlineStr">
        <x:is>
          <x:t xml:space="preserve">V4最新页面A/B/C候选</x:t>
        </x:is>
      </x:c>
      <x:c r="O473" s="604" t="inlineStr">
        <x:is>
          <x:t xml:space="preserve">1-5</x:t>
        </x:is>
      </x:c>
      <x:c r="P473" s="604" t="inlineStr">
        <x:is>
          <x:t xml:space="preserve">已结算</x:t>
        </x:is>
      </x:c>
      <x:c r="Q473" s="645" t="inlineStr">
        <x:is>
          <x:t xml:space="preserve">红</x:t>
        </x:is>
      </x:c>
      <x:c r="R473" s="607" t="n">
        <x:v>1</x:v>
      </x:c>
      <x:c r="S473" s="607" t="n">
        <x:f>IF(OR(Q473="",Q473="待结算"),"",IF(Q473="红",R473,IF(Q473="半红",R473*0.5,IF(Q473="走",0,IF(Q473="半黑",-0.5,-1)))))</x:f>
        <x:v>1</x:v>
      </x:c>
      <x:c r="T473" s="604" t="inlineStr">
        <x:is>
          <x:t xml:space="preserve">https://simondongxiao.github.io/odds/v4/</x:t>
        </x:is>
      </x:c>
      <x:c r="U473" s="604" t="inlineStr">
        <x:is>
          <x:t xml:space="preserve">2927359</x:t>
        </x:is>
      </x:c>
      <x:c r="V473" s="607" t="inlineStr">
        <x:is>
          <x:t xml:space="preserve">v4-market-dirichlet-20260913</x:t>
        </x:is>
      </x:c>
      <x:c r="W473" s="607" t="n">
        <x:f>IF(OR(U473="",U473="待结算"),"",IF(U473="红",V473,IF(U473="半红",V473*0.5,IF(U473="走",0,IF(U473="半黑",-0.5,-1)))))</x:f>
        <x:v>-1</x:v>
      </x:c>
      <x:c r="X473" s="608" t="inlineStr">
        <x:is>
          <x:t xml:space="preserve">C</x:t>
        </x:is>
      </x:c>
      <x:c r="Y473" s="608" t="n"/>
      <x:c r="Z473" s="608" t="n"/>
      <x:c r="AA473" s="608" t="n"/>
      <x:c r="AB473" s="608" t="n"/>
      <x:c r="AC473" s="608" t="n"/>
      <x:c r="AD473" s="608" t="n"/>
      <x:c r="AE473" s="608" t="n"/>
      <x:c r="AF473" s="608" t="n"/>
      <x:c r="AG473" s="608" t="n"/>
      <x:c r="AH473" s="608" t="n"/>
      <x:c r="AI473" s="608" t="n"/>
      <x:c r="AJ473" s="608" t="n"/>
      <x:c r="AK473" s="608" t="n"/>
      <x:c r="AL473" s="608" t="n"/>
      <x:c r="AM473" s="608" t="n"/>
      <x:c r="AN473" s="608" t="n"/>
      <x:c r="AO473" s="608" t="n"/>
      <x:c r="AP473" s="608" t="n"/>
      <x:c r="AQ473" s="608" t="n"/>
      <x:c r="AR473" s="608" t="n"/>
      <x:c r="AS473" s="608" t="n"/>
      <x:c r="AT473" s="608" t="n"/>
      <x:c r="AU473" s="608" t="n"/>
      <x:c r="AV473" s="608" t="n"/>
      <x:c r="AW473" s="608" t="n"/>
      <x:c r="AX473" s="608" t="n"/>
      <x:c r="AY473" s="608" t="n"/>
    </x:row>
    <x:row r="474" ht="22" customHeight="1">
      <x:c r="A474" s="604" t="inlineStr">
        <x:is>
          <x:t xml:space="preserve">2026-09-27</x:t>
        </x:is>
      </x:c>
      <x:c r="B474" s="604" t="inlineStr">
        <x:is>
          <x:t xml:space="preserve">2026-09-27 19:30:00</x:t>
        </x:is>
      </x:c>
      <x:c r="C474" s="604" t="str">
        <x:v>欧洲非五大系列</x:v>
      </x:c>
      <x:c r="D474" s="604" t="inlineStr">
        <x:is>
          <x:t xml:space="preserve">联赛</x:t>
        </x:is>
      </x:c>
      <x:c r="E474" s="604" t="inlineStr">
        <x:is>
          <x:t xml:space="preserve">挪丙</x:t>
        </x:is>
      </x:c>
      <x:c r="F474" s="604" t="inlineStr">
        <x:is>
          <x:t xml:space="preserve">佛克朴林特 vs 特罗姆瑟B队</x:t>
        </x:is>
      </x:c>
      <x:c r="G474" s="611" t="n">
        <x:v>1.11</x:v>
      </x:c>
      <x:c r="H474" s="611" t="n">
        <x:v>-0.25</x:v>
      </x:c>
      <x:c r="I474" s="611" t="n">
        <x:v>0.6</x:v>
      </x:c>
      <x:c r="J474" s="604" t="inlineStr">
        <x:is>
          <x:t xml:space="preserve">1.11/-0.25/0.6</x:t>
        </x:is>
      </x:c>
      <x:c r="K474" s="604" t="inlineStr">
        <x:is>
          <x:t xml:space="preserve">V4-C最新版候选</x:t>
        </x:is>
      </x:c>
      <x:c r="L474" s="604" t="inlineStr">
        <x:is>
          <x:t xml:space="preserve">佛克朴林特</x:t>
        </x:is>
      </x:c>
      <x:c r="M474" s="606" t="n">
        <x:v>0.8022</x:v>
      </x:c>
      <x:c r="N474" s="604" t="inlineStr">
        <x:is>
          <x:t xml:space="preserve">V4最新页面A/B/C候选</x:t>
        </x:is>
      </x:c>
      <x:c r="O474" s="604" t="inlineStr">
        <x:is>
          <x:t xml:space="preserve">0-3</x:t>
        </x:is>
      </x:c>
      <x:c r="P474" s="604" t="inlineStr">
        <x:is>
          <x:t xml:space="preserve">已结算</x:t>
        </x:is>
      </x:c>
      <x:c r="Q474" s="646" t="inlineStr">
        <x:is>
          <x:t xml:space="preserve">黑</x:t>
        </x:is>
      </x:c>
      <x:c r="R474" s="607" t="n">
        <x:v>1.11</x:v>
      </x:c>
      <x:c r="S474" s="607" t="n">
        <x:f>IF(OR(Q474="",Q474="待结算"),"",IF(Q474="红",R474,IF(Q474="半红",R474*0.5,IF(Q474="走",0,IF(Q474="半黑",-0.5,-1)))))</x:f>
        <x:v>-1</x:v>
      </x:c>
      <x:c r="T474" s="604" t="inlineStr">
        <x:is>
          <x:t xml:space="preserve">https://simondongxiao.github.io/odds/v4/</x:t>
        </x:is>
      </x:c>
      <x:c r="U474" s="604" t="inlineStr">
        <x:is>
          <x:t xml:space="preserve">2968259</x:t>
        </x:is>
      </x:c>
      <x:c r="V474" s="607" t="inlineStr">
        <x:is>
          <x:t xml:space="preserve">v4-market-dirichlet-20260913</x:t>
        </x:is>
      </x:c>
      <x:c r="W474" s="607" t="n">
        <x:f>IF(OR(U474="",U474="待结算"),"",IF(U474="红",V474,IF(U474="半红",V474*0.5,IF(U474="走",0,IF(U474="半黑",-0.5,-1)))))</x:f>
        <x:v>-1</x:v>
      </x:c>
      <x:c r="X474" s="608" t="inlineStr">
        <x:is>
          <x:t xml:space="preserve">C</x:t>
        </x:is>
      </x:c>
      <x:c r="Y474" s="608" t="n"/>
      <x:c r="Z474" s="608" t="n"/>
      <x:c r="AA474" s="608" t="n"/>
      <x:c r="AB474" s="608" t="n"/>
      <x:c r="AC474" s="608" t="n"/>
      <x:c r="AD474" s="608" t="n"/>
      <x:c r="AE474" s="608" t="n"/>
      <x:c r="AF474" s="608" t="n"/>
      <x:c r="AG474" s="608" t="n"/>
      <x:c r="AH474" s="608" t="n"/>
      <x:c r="AI474" s="608" t="n"/>
      <x:c r="AJ474" s="608" t="n"/>
      <x:c r="AK474" s="608" t="n"/>
      <x:c r="AL474" s="608" t="n"/>
      <x:c r="AM474" s="608" t="n"/>
      <x:c r="AN474" s="608" t="n"/>
      <x:c r="AO474" s="608" t="n"/>
      <x:c r="AP474" s="608" t="n"/>
      <x:c r="AQ474" s="608" t="n"/>
      <x:c r="AR474" s="608" t="n"/>
      <x:c r="AS474" s="608" t="n"/>
      <x:c r="AT474" s="608" t="n"/>
      <x:c r="AU474" s="608" t="n"/>
      <x:c r="AV474" s="608" t="n"/>
      <x:c r="AW474" s="608" t="n"/>
      <x:c r="AX474" s="608" t="n"/>
      <x:c r="AY474" s="608" t="n"/>
    </x:row>
    <x:row r="475" ht="22" customHeight="1">
      <x:c r="A475" s="604" t="inlineStr">
        <x:is>
          <x:t xml:space="preserve">2026-09-27</x:t>
        </x:is>
      </x:c>
      <x:c r="B475" s="604" t="inlineStr">
        <x:is>
          <x:t xml:space="preserve">2026-09-27 19:35:00</x:t>
        </x:is>
      </x:c>
      <x:c r="C475" s="604" t="str">
        <x:v>其他系列</x:v>
      </x:c>
      <x:c r="D475" s="604" t="inlineStr">
        <x:is>
          <x:t xml:space="preserve">杯赛</x:t>
        </x:is>
      </x:c>
      <x:c r="E475" s="604" t="inlineStr">
        <x:is>
          <x:t xml:space="preserve">国际友谊</x:t>
        </x:is>
      </x:c>
      <x:c r="F475" s="604" t="inlineStr">
        <x:is>
          <x:t xml:space="preserve">中国 vs 新西兰</x:t>
        </x:is>
      </x:c>
      <x:c r="G475" s="611" t="n">
        <x:v>0.79</x:v>
      </x:c>
      <x:c r="H475" s="611" t="n">
        <x:v>-0.25</x:v>
      </x:c>
      <x:c r="I475" s="611" t="n">
        <x:v>1.03</x:v>
      </x:c>
      <x:c r="J475" s="604" t="inlineStr">
        <x:is>
          <x:t xml:space="preserve">0.79/-0.25/1.03</x:t>
        </x:is>
      </x:c>
      <x:c r="K475" s="604" t="inlineStr">
        <x:is>
          <x:t xml:space="preserve">V4-C最新版候选</x:t>
        </x:is>
      </x:c>
      <x:c r="L475" s="604" t="inlineStr">
        <x:is>
          <x:t xml:space="preserve">新西兰</x:t>
        </x:is>
      </x:c>
      <x:c r="M475" s="606" t="n">
        <x:v>0.5852000000000001</x:v>
      </x:c>
      <x:c r="N475" s="604" t="inlineStr">
        <x:is>
          <x:t xml:space="preserve">V4最新页面A/B/C候选</x:t>
        </x:is>
      </x:c>
      <x:c r="O475" s="604" t="inlineStr">
        <x:is>
          <x:t xml:space="preserve">0-3</x:t>
        </x:is>
      </x:c>
      <x:c r="P475" s="604" t="inlineStr">
        <x:is>
          <x:t xml:space="preserve">已结算</x:t>
        </x:is>
      </x:c>
      <x:c r="Q475" s="645" t="inlineStr">
        <x:is>
          <x:t xml:space="preserve">红</x:t>
        </x:is>
      </x:c>
      <x:c r="R475" s="607" t="n">
        <x:v>1.03</x:v>
      </x:c>
      <x:c r="S475" s="607" t="n">
        <x:f>IF(OR(Q475="",Q475="待结算"),"",IF(Q475="红",R475,IF(Q475="半红",R475*0.5,IF(Q475="走",0,IF(Q475="半黑",-0.5,-1)))))</x:f>
        <x:v>1.03</x:v>
      </x:c>
      <x:c r="T475" s="604" t="inlineStr">
        <x:is>
          <x:t xml:space="preserve">https://simondongxiao.github.io/odds/v4/</x:t>
        </x:is>
      </x:c>
      <x:c r="U475" s="604" t="inlineStr">
        <x:is>
          <x:t xml:space="preserve">3091496</x:t>
        </x:is>
      </x:c>
      <x:c r="V475" s="607" t="inlineStr">
        <x:is>
          <x:t xml:space="preserve">v4-market-dirichlet-20260913</x:t>
        </x:is>
      </x:c>
      <x:c r="W475" s="607" t="n">
        <x:f>IF(OR(U475="",U475="待结算"),"",IF(U475="红",V475,IF(U475="半红",V475*0.5,IF(U475="走",0,IF(U475="半黑",-0.5,-1)))))</x:f>
        <x:v>-1</x:v>
      </x:c>
      <x:c r="X475" s="608" t="inlineStr">
        <x:is>
          <x:t xml:space="preserve">C</x:t>
        </x:is>
      </x:c>
      <x:c r="Y475" s="608" t="n"/>
      <x:c r="Z475" s="608" t="n"/>
      <x:c r="AA475" s="608" t="n"/>
      <x:c r="AB475" s="608" t="n"/>
      <x:c r="AC475" s="608" t="n"/>
      <x:c r="AD475" s="608" t="n"/>
      <x:c r="AE475" s="608" t="n"/>
      <x:c r="AF475" s="608" t="n"/>
      <x:c r="AG475" s="608" t="n"/>
      <x:c r="AH475" s="608" t="n"/>
      <x:c r="AI475" s="608" t="n"/>
      <x:c r="AJ475" s="608" t="n"/>
      <x:c r="AK475" s="608" t="n"/>
      <x:c r="AL475" s="608" t="n"/>
      <x:c r="AM475" s="608" t="n"/>
      <x:c r="AN475" s="608" t="n"/>
      <x:c r="AO475" s="608" t="n"/>
      <x:c r="AP475" s="608" t="n"/>
      <x:c r="AQ475" s="608" t="n"/>
      <x:c r="AR475" s="608" t="n"/>
      <x:c r="AS475" s="608" t="n"/>
      <x:c r="AT475" s="608" t="n"/>
      <x:c r="AU475" s="608" t="n"/>
      <x:c r="AV475" s="608" t="n"/>
      <x:c r="AW475" s="608" t="n"/>
      <x:c r="AX475" s="608" t="n"/>
      <x:c r="AY475" s="608" t="n"/>
    </x:row>
    <x:row r="476" ht="22" customHeight="1">
      <x:c r="A476" s="604" t="inlineStr">
        <x:is>
          <x:t xml:space="preserve">2026-09-27</x:t>
        </x:is>
      </x:c>
      <x:c r="B476" s="604" t="inlineStr">
        <x:is>
          <x:t xml:space="preserve">2026-09-27 20:00:00</x:t>
        </x:is>
      </x:c>
      <x:c r="C476" s="604" t="str">
        <x:v>五大联赛非顶级联赛</x:v>
      </x:c>
      <x:c r="D476" s="604" t="inlineStr">
        <x:is>
          <x:t xml:space="preserve">联赛</x:t>
        </x:is>
      </x:c>
      <x:c r="E476" s="604" t="inlineStr">
        <x:is>
          <x:t xml:space="preserve">德地区西</x:t>
        </x:is>
      </x:c>
      <x:c r="F476" s="604" t="inlineStr">
        <x:is>
          <x:t xml:space="preserve">奥伯豪森 vs 罗迪豪森</x:t>
        </x:is>
      </x:c>
      <x:c r="G476" s="611" t="n">
        <x:v>0.87</x:v>
      </x:c>
      <x:c r="H476" s="611" t="n">
        <x:v>1</x:v>
      </x:c>
      <x:c r="I476" s="611" t="n">
        <x:v>0.97</x:v>
      </x:c>
      <x:c r="J476" s="604" t="inlineStr">
        <x:is>
          <x:t xml:space="preserve">0.87/1.0/0.97</x:t>
        </x:is>
      </x:c>
      <x:c r="K476" s="604" t="inlineStr">
        <x:is>
          <x:t xml:space="preserve">V4-C最新版候选</x:t>
        </x:is>
      </x:c>
      <x:c r="L476" s="604" t="inlineStr">
        <x:is>
          <x:t xml:space="preserve">罗迪豪森</x:t>
        </x:is>
      </x:c>
      <x:c r="M476" s="606" t="n">
        <x:v>0.7171999999999999</x:v>
      </x:c>
      <x:c r="N476" s="604" t="inlineStr">
        <x:is>
          <x:t xml:space="preserve">V4最新页面A/B/C候选</x:t>
        </x:is>
      </x:c>
      <x:c r="O476" s="604" t="inlineStr">
        <x:is>
          <x:t xml:space="preserve">2-1</x:t>
        </x:is>
      </x:c>
      <x:c r="P476" s="604" t="inlineStr">
        <x:is>
          <x:t xml:space="preserve">已结算</x:t>
        </x:is>
      </x:c>
      <x:c r="Q476" s="647" t="inlineStr">
        <x:is>
          <x:t xml:space="preserve">走</x:t>
        </x:is>
      </x:c>
      <x:c r="R476" s="607" t="n">
        <x:v>0.97</x:v>
      </x:c>
      <x:c r="S476" s="607" t="n">
        <x:f>IF(OR(Q476="",Q476="待结算"),"",IF(Q476="红",R476,IF(Q476="半红",R476*0.5,IF(Q476="走",0,IF(Q476="半黑",-0.5,-1)))))</x:f>
        <x:v>0</x:v>
      </x:c>
      <x:c r="T476" s="604" t="inlineStr">
        <x:is>
          <x:t xml:space="preserve">https://simondongxiao.github.io/odds/v4/</x:t>
        </x:is>
      </x:c>
      <x:c r="U476" s="604" t="inlineStr">
        <x:is>
          <x:t xml:space="preserve">3043692</x:t>
        </x:is>
      </x:c>
      <x:c r="V476" s="607" t="inlineStr">
        <x:is>
          <x:t xml:space="preserve">v4-market-dirichlet-20260913</x:t>
        </x:is>
      </x:c>
      <x:c r="W476" s="607" t="n">
        <x:f>IF(OR(U476="",U476="待结算"),"",IF(U476="红",V476,IF(U476="半红",V476*0.5,IF(U476="走",0,IF(U476="半黑",-0.5,-1)))))</x:f>
        <x:v>-1</x:v>
      </x:c>
      <x:c r="X476" s="608" t="inlineStr">
        <x:is>
          <x:t xml:space="preserve">C</x:t>
        </x:is>
      </x:c>
      <x:c r="Y476" s="608" t="n"/>
      <x:c r="Z476" s="608" t="n"/>
      <x:c r="AA476" s="608" t="n"/>
      <x:c r="AB476" s="608" t="n"/>
      <x:c r="AC476" s="608" t="n"/>
      <x:c r="AD476" s="608" t="n"/>
      <x:c r="AE476" s="608" t="n"/>
      <x:c r="AF476" s="608" t="n"/>
      <x:c r="AG476" s="608" t="n"/>
      <x:c r="AH476" s="608" t="n"/>
      <x:c r="AI476" s="608" t="n"/>
      <x:c r="AJ476" s="608" t="n"/>
      <x:c r="AK476" s="608" t="n"/>
      <x:c r="AL476" s="608" t="n"/>
      <x:c r="AM476" s="608" t="n"/>
      <x:c r="AN476" s="608" t="n"/>
      <x:c r="AO476" s="608" t="n"/>
      <x:c r="AP476" s="608" t="n"/>
      <x:c r="AQ476" s="608" t="n"/>
      <x:c r="AR476" s="608" t="n"/>
      <x:c r="AS476" s="608" t="n"/>
      <x:c r="AT476" s="608" t="n"/>
      <x:c r="AU476" s="608" t="n"/>
      <x:c r="AV476" s="608" t="n"/>
      <x:c r="AW476" s="608" t="n"/>
      <x:c r="AX476" s="608" t="n"/>
      <x:c r="AY476" s="608" t="n"/>
    </x:row>
    <x:row r="477" ht="22" customHeight="1">
      <x:c r="A477" s="604" t="inlineStr">
        <x:is>
          <x:t xml:space="preserve">2026-09-27</x:t>
        </x:is>
      </x:c>
      <x:c r="B477" s="604" t="inlineStr">
        <x:is>
          <x:t xml:space="preserve">2026-09-27 20:00:00</x:t>
        </x:is>
      </x:c>
      <x:c r="C477" s="604" t="str">
        <x:v>欧洲非五大系列</x:v>
      </x:c>
      <x:c r="D477" s="604" t="inlineStr">
        <x:is>
          <x:t xml:space="preserve">联赛</x:t>
        </x:is>
      </x:c>
      <x:c r="E477" s="604" t="inlineStr">
        <x:is>
          <x:t xml:space="preserve">挪乙</x:t>
        </x:is>
      </x:c>
      <x:c r="F477" s="604" t="inlineStr">
        <x:is>
          <x:t xml:space="preserve">伊斯沃德 vs 特里格拉德</x:t>
        </x:is>
      </x:c>
      <x:c r="G477" s="611" t="n">
        <x:v>0.67</x:v>
      </x:c>
      <x:c r="H477" s="611" t="n">
        <x:v>2.5</x:v>
      </x:c>
      <x:c r="I477" s="611" t="n">
        <x:v>1.03</x:v>
      </x:c>
      <x:c r="J477" s="604" t="inlineStr">
        <x:is>
          <x:t xml:space="preserve">0.67/2.5/1.03</x:t>
        </x:is>
      </x:c>
      <x:c r="K477" s="604" t="inlineStr">
        <x:is>
          <x:t xml:space="preserve">V4-A最新版候选</x:t>
        </x:is>
      </x:c>
      <x:c r="L477" s="604" t="inlineStr">
        <x:is>
          <x:t xml:space="preserve">特里格拉德</x:t>
        </x:is>
      </x:c>
      <x:c r="M477" s="606" t="n">
        <x:v>0.9896</x:v>
      </x:c>
      <x:c r="N477" s="604" t="inlineStr">
        <x:is>
          <x:t xml:space="preserve">V4最新页面A/B/C候选</x:t>
        </x:is>
      </x:c>
      <x:c r="O477" s="604" t="inlineStr">
        <x:is>
          <x:t xml:space="preserve">4-1</x:t>
        </x:is>
      </x:c>
      <x:c r="P477" s="604" t="inlineStr">
        <x:is>
          <x:t xml:space="preserve">已结算</x:t>
        </x:is>
      </x:c>
      <x:c r="Q477" s="646" t="inlineStr">
        <x:is>
          <x:t xml:space="preserve">黑</x:t>
        </x:is>
      </x:c>
      <x:c r="R477" s="607" t="n">
        <x:v>1.03</x:v>
      </x:c>
      <x:c r="S477" s="607" t="n">
        <x:f>IF(OR(Q477="",Q477="待结算"),"",IF(Q477="红",R477,IF(Q477="半红",R477*0.5,IF(Q477="走",0,IF(Q477="半黑",-0.5,-1)))))</x:f>
        <x:v>-1</x:v>
      </x:c>
      <x:c r="T477" s="604" t="inlineStr">
        <x:is>
          <x:t xml:space="preserve">https://simondongxiao.github.io/odds/v4/</x:t>
        </x:is>
      </x:c>
      <x:c r="U477" s="604" t="inlineStr">
        <x:is>
          <x:t xml:space="preserve">2913532</x:t>
        </x:is>
      </x:c>
      <x:c r="V477" s="607" t="inlineStr">
        <x:is>
          <x:t xml:space="preserve">v4-market-dirichlet-20260913</x:t>
        </x:is>
      </x:c>
      <x:c r="W477" s="607" t="n">
        <x:f>IF(OR(U477="",U477="待结算"),"",IF(U477="红",V477,IF(U477="半红",V477*0.5,IF(U477="走",0,IF(U477="半黑",-0.5,-1)))))</x:f>
        <x:v>-1</x:v>
      </x:c>
      <x:c r="X477" s="608" t="inlineStr">
        <x:is>
          <x:t xml:space="preserve">A</x:t>
        </x:is>
      </x:c>
      <x:c r="Y477" s="608" t="n"/>
      <x:c r="Z477" s="608" t="n"/>
      <x:c r="AA477" s="608" t="n"/>
      <x:c r="AB477" s="608" t="n"/>
      <x:c r="AC477" s="608" t="n"/>
      <x:c r="AD477" s="608" t="n"/>
      <x:c r="AE477" s="608" t="n"/>
      <x:c r="AF477" s="608" t="n"/>
      <x:c r="AG477" s="608" t="n"/>
      <x:c r="AH477" s="608" t="n"/>
      <x:c r="AI477" s="608" t="n"/>
      <x:c r="AJ477" s="608" t="n"/>
      <x:c r="AK477" s="608" t="n"/>
      <x:c r="AL477" s="608" t="n"/>
      <x:c r="AM477" s="608" t="n"/>
      <x:c r="AN477" s="608" t="n"/>
      <x:c r="AO477" s="608" t="n"/>
      <x:c r="AP477" s="608" t="n"/>
      <x:c r="AQ477" s="608" t="n"/>
      <x:c r="AR477" s="608" t="n"/>
      <x:c r="AS477" s="608" t="n"/>
      <x:c r="AT477" s="608" t="n"/>
      <x:c r="AU477" s="608" t="n"/>
      <x:c r="AV477" s="608" t="n"/>
      <x:c r="AW477" s="608" t="n"/>
      <x:c r="AX477" s="608" t="n"/>
      <x:c r="AY477" s="608" t="n"/>
    </x:row>
    <x:row r="478" ht="22" customHeight="1">
      <x:c r="A478" s="604" t="inlineStr">
        <x:is>
          <x:t xml:space="preserve">2026-09-27</x:t>
        </x:is>
      </x:c>
      <x:c r="B478" s="604" t="inlineStr">
        <x:is>
          <x:t xml:space="preserve">2026-09-27 20:00:00</x:t>
        </x:is>
      </x:c>
      <x:c r="C478" s="604" t="str">
        <x:v>五大联赛非顶级联赛</x:v>
      </x:c>
      <x:c r="D478" s="604" t="inlineStr">
        <x:is>
          <x:t xml:space="preserve">联赛</x:t>
        </x:is>
      </x:c>
      <x:c r="E478" s="604" t="inlineStr">
        <x:is>
          <x:t xml:space="preserve">英总女超</x:t>
        </x:is>
      </x:c>
      <x:c r="F478" s="604" t="inlineStr">
        <x:is>
          <x:t xml:space="preserve">曼联女足 vs 西汉姆联女足</x:t>
        </x:is>
      </x:c>
      <x:c r="G478" s="611" t="n">
        <x:v>0.79</x:v>
      </x:c>
      <x:c r="H478" s="611" t="n">
        <x:v>1</x:v>
      </x:c>
      <x:c r="I478" s="611" t="n">
        <x:v>0.91</x:v>
      </x:c>
      <x:c r="J478" s="604" t="inlineStr">
        <x:is>
          <x:t xml:space="preserve">0.79/1.0/0.91</x:t>
        </x:is>
      </x:c>
      <x:c r="K478" s="604" t="inlineStr">
        <x:is>
          <x:t xml:space="preserve">V4-C最新版候选</x:t>
        </x:is>
      </x:c>
      <x:c r="L478" s="604" t="inlineStr">
        <x:is>
          <x:t xml:space="preserve">西汉姆联女足</x:t>
        </x:is>
      </x:c>
      <x:c r="M478" s="606" t="n">
        <x:v>0.6176</x:v>
      </x:c>
      <x:c r="N478" s="604" t="inlineStr">
        <x:is>
          <x:t xml:space="preserve">V4最新页面A/B/C候选</x:t>
        </x:is>
      </x:c>
      <x:c r="O478" s="604" t="inlineStr">
        <x:is>
          <x:t xml:space="preserve">2-1</x:t>
        </x:is>
      </x:c>
      <x:c r="P478" s="604" t="inlineStr">
        <x:is>
          <x:t xml:space="preserve">已结算</x:t>
        </x:is>
      </x:c>
      <x:c r="Q478" s="647" t="inlineStr">
        <x:is>
          <x:t xml:space="preserve">走</x:t>
        </x:is>
      </x:c>
      <x:c r="R478" s="607" t="n">
        <x:v>0.91</x:v>
      </x:c>
      <x:c r="S478" s="607" t="n">
        <x:f>IF(OR(Q478="",Q478="待结算"),"",IF(Q478="红",R478,IF(Q478="半红",R478*0.5,IF(Q478="走",0,IF(Q478="半黑",-0.5,-1)))))</x:f>
        <x:v>0</x:v>
      </x:c>
      <x:c r="T478" s="604" t="inlineStr">
        <x:is>
          <x:t xml:space="preserve">https://simondongxiao.github.io/odds/v4/</x:t>
        </x:is>
      </x:c>
      <x:c r="U478" s="604" t="inlineStr">
        <x:is>
          <x:t xml:space="preserve">3051970</x:t>
        </x:is>
      </x:c>
      <x:c r="V478" s="607" t="inlineStr">
        <x:is>
          <x:t xml:space="preserve">v4-market-dirichlet-20260913</x:t>
        </x:is>
      </x:c>
      <x:c r="W478" s="607" t="n">
        <x:f>IF(OR(U478="",U478="待结算"),"",IF(U478="红",V478,IF(U478="半红",V478*0.5,IF(U478="走",0,IF(U478="半黑",-0.5,-1)))))</x:f>
        <x:v>-1</x:v>
      </x:c>
      <x:c r="X478" s="608" t="inlineStr">
        <x:is>
          <x:t xml:space="preserve">C</x:t>
        </x:is>
      </x:c>
      <x:c r="Y478" s="608" t="n"/>
      <x:c r="Z478" s="608" t="n"/>
      <x:c r="AA478" s="608" t="n"/>
      <x:c r="AB478" s="608" t="n"/>
      <x:c r="AC478" s="608" t="n"/>
      <x:c r="AD478" s="608" t="n"/>
      <x:c r="AE478" s="608" t="n"/>
      <x:c r="AF478" s="608" t="n"/>
      <x:c r="AG478" s="608" t="n"/>
      <x:c r="AH478" s="608" t="n"/>
      <x:c r="AI478" s="608" t="n"/>
      <x:c r="AJ478" s="608" t="n"/>
      <x:c r="AK478" s="608" t="n"/>
      <x:c r="AL478" s="608" t="n"/>
      <x:c r="AM478" s="608" t="n"/>
      <x:c r="AN478" s="608" t="n"/>
      <x:c r="AO478" s="608" t="n"/>
      <x:c r="AP478" s="608" t="n"/>
      <x:c r="AQ478" s="608" t="n"/>
      <x:c r="AR478" s="608" t="n"/>
      <x:c r="AS478" s="608" t="n"/>
      <x:c r="AT478" s="608" t="n"/>
      <x:c r="AU478" s="608" t="n"/>
      <x:c r="AV478" s="608" t="n"/>
      <x:c r="AW478" s="608" t="n"/>
      <x:c r="AX478" s="608" t="n"/>
      <x:c r="AY478" s="608" t="n"/>
    </x:row>
    <x:row r="479" ht="22" customHeight="1">
      <x:c r="A479" s="604" t="inlineStr">
        <x:is>
          <x:t xml:space="preserve">2026-09-27</x:t>
        </x:is>
      </x:c>
      <x:c r="B479" s="604" t="inlineStr">
        <x:is>
          <x:t xml:space="preserve">2026-09-27 21:00:00</x:t>
        </x:is>
      </x:c>
      <x:c r="C479" s="604" t="str">
        <x:v>欧洲非五大系列</x:v>
      </x:c>
      <x:c r="D479" s="604" t="inlineStr">
        <x:is>
          <x:t xml:space="preserve">联赛</x:t>
        </x:is>
      </x:c>
      <x:c r="E479" s="604" t="inlineStr">
        <x:is>
          <x:t xml:space="preserve">欧国联</x:t>
        </x:is>
      </x:c>
      <x:c r="F479" s="604" t="inlineStr">
        <x:is>
          <x:t xml:space="preserve">立陶宛 vs 阿塞拜疆</x:t>
        </x:is>
      </x:c>
      <x:c r="G479" s="611" t="n">
        <x:v>1.06</x:v>
      </x:c>
      <x:c r="H479" s="611" t="n">
        <x:v>0.25</x:v>
      </x:c>
      <x:c r="I479" s="611" t="n">
        <x:v>0.82</x:v>
      </x:c>
      <x:c r="J479" s="604" t="inlineStr">
        <x:is>
          <x:t xml:space="preserve">1.06/0.25/0.82</x:t>
        </x:is>
      </x:c>
      <x:c r="K479" s="604" t="inlineStr">
        <x:is>
          <x:t xml:space="preserve">V4-C最新版候选</x:t>
        </x:is>
      </x:c>
      <x:c r="L479" s="604" t="inlineStr">
        <x:is>
          <x:t xml:space="preserve">立陶宛</x:t>
        </x:is>
      </x:c>
      <x:c r="M479" s="606" t="n">
        <x:v>0.673</x:v>
      </x:c>
      <x:c r="N479" s="604" t="inlineStr">
        <x:is>
          <x:t xml:space="preserve">V4最新页面A/B/C候选</x:t>
        </x:is>
      </x:c>
      <x:c r="O479" s="604" t="inlineStr">
        <x:is>
          <x:t xml:space="preserve">1-1</x:t>
        </x:is>
      </x:c>
      <x:c r="P479" s="604" t="inlineStr">
        <x:is>
          <x:t xml:space="preserve">已结算</x:t>
        </x:is>
      </x:c>
      <x:c r="Q479" s="648" t="inlineStr">
        <x:is>
          <x:t xml:space="preserve">半黑</x:t>
        </x:is>
      </x:c>
      <x:c r="R479" s="607" t="n">
        <x:v>1.06</x:v>
      </x:c>
      <x:c r="S479" s="607" t="n">
        <x:f>IF(OR(Q479="",Q479="待结算"),"",IF(Q479="红",R479,IF(Q479="半红",R479*0.5,IF(Q479="走",0,IF(Q479="半黑",-0.5,-1)))))</x:f>
        <x:v>-0.5</x:v>
      </x:c>
      <x:c r="T479" s="604" t="inlineStr">
        <x:is>
          <x:t xml:space="preserve">https://simondongxiao.github.io/odds/v4/</x:t>
        </x:is>
      </x:c>
      <x:c r="U479" s="604" t="inlineStr">
        <x:is>
          <x:t xml:space="preserve">2981573</x:t>
        </x:is>
      </x:c>
      <x:c r="V479" s="607" t="inlineStr">
        <x:is>
          <x:t xml:space="preserve">v4-market-dirichlet-20260913</x:t>
        </x:is>
      </x:c>
      <x:c r="W479" s="607" t="n">
        <x:f>IF(OR(U479="",U479="待结算"),"",IF(U479="红",V479,IF(U479="半红",V479*0.5,IF(U479="走",0,IF(U479="半黑",-0.5,-1)))))</x:f>
        <x:v>-1</x:v>
      </x:c>
      <x:c r="X479" s="608" t="inlineStr">
        <x:is>
          <x:t xml:space="preserve">C</x:t>
        </x:is>
      </x:c>
      <x:c r="Y479" s="608" t="n"/>
      <x:c r="Z479" s="608" t="n"/>
      <x:c r="AA479" s="608" t="n"/>
      <x:c r="AB479" s="608" t="n"/>
      <x:c r="AC479" s="608" t="n"/>
      <x:c r="AD479" s="608" t="n"/>
      <x:c r="AE479" s="608" t="n"/>
      <x:c r="AF479" s="608" t="n"/>
      <x:c r="AG479" s="608" t="n"/>
      <x:c r="AH479" s="608" t="n"/>
      <x:c r="AI479" s="608" t="n"/>
      <x:c r="AJ479" s="608" t="n"/>
      <x:c r="AK479" s="608" t="n"/>
      <x:c r="AL479" s="608" t="n"/>
      <x:c r="AM479" s="608" t="n"/>
      <x:c r="AN479" s="608" t="n"/>
      <x:c r="AO479" s="608" t="n"/>
      <x:c r="AP479" s="608" t="n"/>
      <x:c r="AQ479" s="608" t="n"/>
      <x:c r="AR479" s="608" t="n"/>
      <x:c r="AS479" s="608" t="n"/>
      <x:c r="AT479" s="608" t="n"/>
      <x:c r="AU479" s="608" t="n"/>
      <x:c r="AV479" s="608" t="n"/>
      <x:c r="AW479" s="608" t="n"/>
      <x:c r="AX479" s="608" t="n"/>
      <x:c r="AY479" s="608" t="n"/>
    </x:row>
    <x:row r="480" ht="22" customHeight="1">
      <x:c r="A480" s="604" t="inlineStr">
        <x:is>
          <x:t xml:space="preserve">2026-09-27</x:t>
        </x:is>
      </x:c>
      <x:c r="B480" s="604" t="inlineStr">
        <x:is>
          <x:t xml:space="preserve">2026-09-27 21:00:00</x:t>
        </x:is>
      </x:c>
      <x:c r="C480" s="604" t="str">
        <x:v>五大联赛非顶级联赛</x:v>
      </x:c>
      <x:c r="D480" s="604" t="inlineStr">
        <x:is>
          <x:t xml:space="preserve">联赛</x:t>
        </x:is>
      </x:c>
      <x:c r="E480" s="604" t="inlineStr">
        <x:is>
          <x:t xml:space="preserve">德地区北</x:t>
        </x:is>
      </x:c>
      <x:c r="F480" s="604" t="inlineStr">
        <x:is>
          <x:t xml:space="preserve">SV不莱梅 vs 维切福伦斯堡</x:t>
        </x:is>
      </x:c>
      <x:c r="G480" s="611" t="n">
        <x:v>1.19</x:v>
      </x:c>
      <x:c r="H480" s="611" t="n">
        <x:v>-0.25</x:v>
      </x:c>
      <x:c r="I480" s="611" t="n">
        <x:v>0.6</x:v>
      </x:c>
      <x:c r="J480" s="604" t="inlineStr">
        <x:is>
          <x:t xml:space="preserve">1.19/-0.25/0.6</x:t>
        </x:is>
      </x:c>
      <x:c r="K480" s="604" t="inlineStr">
        <x:is>
          <x:t xml:space="preserve">V4-B最新版候选</x:t>
        </x:is>
      </x:c>
      <x:c r="L480" s="604" t="inlineStr">
        <x:is>
          <x:t xml:space="preserve">SV不莱梅</x:t>
        </x:is>
      </x:c>
      <x:c r="M480" s="606" t="n">
        <x:v>0.9256</x:v>
      </x:c>
      <x:c r="N480" s="604" t="inlineStr">
        <x:is>
          <x:t xml:space="preserve">V4最新页面A/B/C候选</x:t>
        </x:is>
      </x:c>
      <x:c r="O480" s="604" t="inlineStr">
        <x:is>
          <x:t xml:space="preserve">0-3</x:t>
        </x:is>
      </x:c>
      <x:c r="P480" s="604" t="inlineStr">
        <x:is>
          <x:t xml:space="preserve">已结算</x:t>
        </x:is>
      </x:c>
      <x:c r="Q480" s="646" t="inlineStr">
        <x:is>
          <x:t xml:space="preserve">黑</x:t>
        </x:is>
      </x:c>
      <x:c r="R480" s="607" t="n">
        <x:v>1.19</x:v>
      </x:c>
      <x:c r="S480" s="607" t="n">
        <x:f>IF(OR(Q480="",Q480="待结算"),"",IF(Q480="红",R480,IF(Q480="半红",R480*0.5,IF(Q480="走",0,IF(Q480="半黑",-0.5,-1)))))</x:f>
        <x:v>-1</x:v>
      </x:c>
      <x:c r="T480" s="604" t="inlineStr">
        <x:is>
          <x:t xml:space="preserve">https://simondongxiao.github.io/odds/v4/</x:t>
        </x:is>
      </x:c>
      <x:c r="U480" s="604" t="inlineStr">
        <x:is>
          <x:t xml:space="preserve">3043388</x:t>
        </x:is>
      </x:c>
      <x:c r="V480" s="607" t="inlineStr">
        <x:is>
          <x:t xml:space="preserve">v4-market-dirichlet-20260913</x:t>
        </x:is>
      </x:c>
      <x:c r="W480" s="607" t="n">
        <x:f>IF(OR(U480="",U480="待结算"),"",IF(U480="红",V480,IF(U480="半红",V480*0.5,IF(U480="走",0,IF(U480="半黑",-0.5,-1)))))</x:f>
        <x:v>-1</x:v>
      </x:c>
      <x:c r="X480" s="608" t="inlineStr">
        <x:is>
          <x:t xml:space="preserve">B</x:t>
        </x:is>
      </x:c>
      <x:c r="Y480" s="608" t="n"/>
      <x:c r="Z480" s="608" t="n"/>
      <x:c r="AA480" s="608" t="n"/>
      <x:c r="AB480" s="608" t="n"/>
      <x:c r="AC480" s="608" t="n"/>
      <x:c r="AD480" s="608" t="n"/>
      <x:c r="AE480" s="608" t="n"/>
      <x:c r="AF480" s="608" t="n"/>
      <x:c r="AG480" s="608" t="n"/>
      <x:c r="AH480" s="608" t="n"/>
      <x:c r="AI480" s="608" t="n"/>
      <x:c r="AJ480" s="608" t="n"/>
      <x:c r="AK480" s="608" t="n"/>
      <x:c r="AL480" s="608" t="n"/>
      <x:c r="AM480" s="608" t="n"/>
      <x:c r="AN480" s="608" t="n"/>
      <x:c r="AO480" s="608" t="n"/>
      <x:c r="AP480" s="608" t="n"/>
      <x:c r="AQ480" s="608" t="n"/>
      <x:c r="AR480" s="608" t="n"/>
      <x:c r="AS480" s="608" t="n"/>
      <x:c r="AT480" s="608" t="n"/>
      <x:c r="AU480" s="608" t="n"/>
      <x:c r="AV480" s="608" t="n"/>
      <x:c r="AW480" s="608" t="n"/>
      <x:c r="AX480" s="608" t="n"/>
      <x:c r="AY480" s="608" t="n"/>
    </x:row>
    <x:row r="481" ht="22" customHeight="1">
      <x:c r="A481" s="604" t="inlineStr">
        <x:is>
          <x:t xml:space="preserve">2026-09-27</x:t>
        </x:is>
      </x:c>
      <x:c r="B481" s="604" t="inlineStr">
        <x:is>
          <x:t xml:space="preserve">2026-09-27 21:00:00</x:t>
        </x:is>
      </x:c>
      <x:c r="C481" s="604" t="str">
        <x:v>欧洲非五大系列</x:v>
      </x:c>
      <x:c r="D481" s="604" t="inlineStr">
        <x:is>
          <x:t xml:space="preserve">联赛</x:t>
        </x:is>
      </x:c>
      <x:c r="E481" s="604" t="inlineStr">
        <x:is>
          <x:t xml:space="preserve">比业余</x:t>
        </x:is>
      </x:c>
      <x:c r="F481" s="604" t="inlineStr">
        <x:is>
          <x:t xml:space="preserve">色格拉布鲁日B队 vs 蒂嫩</x:t>
        </x:is>
      </x:c>
      <x:c r="G481" s="611" t="n">
        <x:v>1.02</x:v>
      </x:c>
      <x:c r="H481" s="611" t="n">
        <x:v>0.5</x:v>
      </x:c>
      <x:c r="I481" s="611" t="n">
        <x:v>0.8</x:v>
      </x:c>
      <x:c r="J481" s="604" t="inlineStr">
        <x:is>
          <x:t xml:space="preserve">1.02/0.5/0.8</x:t>
        </x:is>
      </x:c>
      <x:c r="K481" s="604" t="inlineStr">
        <x:is>
          <x:t xml:space="preserve">V4-C最新版候选</x:t>
        </x:is>
      </x:c>
      <x:c r="L481" s="604" t="inlineStr">
        <x:is>
          <x:t xml:space="preserve">色格拉布鲁日B队</x:t>
        </x:is>
      </x:c>
      <x:c r="M481" s="606" t="n">
        <x:v>0.5232</x:v>
      </x:c>
      <x:c r="N481" s="604" t="inlineStr">
        <x:is>
          <x:t xml:space="preserve">V4最新页面A/B/C候选</x:t>
        </x:is>
      </x:c>
      <x:c r="O481" s="604" t="inlineStr">
        <x:is>
          <x:t xml:space="preserve">1-3</x:t>
        </x:is>
      </x:c>
      <x:c r="P481" s="604" t="inlineStr">
        <x:is>
          <x:t xml:space="preserve">已结算</x:t>
        </x:is>
      </x:c>
      <x:c r="Q481" s="646" t="inlineStr">
        <x:is>
          <x:t xml:space="preserve">黑</x:t>
        </x:is>
      </x:c>
      <x:c r="R481" s="607" t="n">
        <x:v>1.02</x:v>
      </x:c>
      <x:c r="S481" s="607" t="n">
        <x:f>IF(OR(Q481="",Q481="待结算"),"",IF(Q481="红",R481,IF(Q481="半红",R481*0.5,IF(Q481="走",0,IF(Q481="半黑",-0.5,-1)))))</x:f>
        <x:v>-1</x:v>
      </x:c>
      <x:c r="T481" s="604" t="inlineStr">
        <x:is>
          <x:t xml:space="preserve">https://simondongxiao.github.io/odds/v4/</x:t>
        </x:is>
      </x:c>
      <x:c r="U481" s="604" t="inlineStr">
        <x:is>
          <x:t xml:space="preserve">3066876</x:t>
        </x:is>
      </x:c>
      <x:c r="V481" s="607" t="inlineStr">
        <x:is>
          <x:t xml:space="preserve">v4-market-dirichlet-20260913</x:t>
        </x:is>
      </x:c>
      <x:c r="W481" s="607" t="n">
        <x:f>IF(OR(U481="",U481="待结算"),"",IF(U481="红",V481,IF(U481="半红",V481*0.5,IF(U481="走",0,IF(U481="半黑",-0.5,-1)))))</x:f>
        <x:v>-1</x:v>
      </x:c>
      <x:c r="X481" s="608" t="inlineStr">
        <x:is>
          <x:t xml:space="preserve">C</x:t>
        </x:is>
      </x:c>
      <x:c r="Y481" s="608" t="n"/>
      <x:c r="Z481" s="608" t="n"/>
      <x:c r="AA481" s="608" t="n"/>
      <x:c r="AB481" s="608" t="n"/>
      <x:c r="AC481" s="608" t="n"/>
      <x:c r="AD481" s="608" t="n"/>
      <x:c r="AE481" s="608" t="n"/>
      <x:c r="AF481" s="608" t="n"/>
      <x:c r="AG481" s="608" t="n"/>
      <x:c r="AH481" s="608" t="n"/>
      <x:c r="AI481" s="608" t="n"/>
      <x:c r="AJ481" s="608" t="n"/>
      <x:c r="AK481" s="608" t="n"/>
      <x:c r="AL481" s="608" t="n"/>
      <x:c r="AM481" s="608" t="n"/>
      <x:c r="AN481" s="608" t="n"/>
      <x:c r="AO481" s="608" t="n"/>
      <x:c r="AP481" s="608" t="n"/>
      <x:c r="AQ481" s="608" t="n"/>
      <x:c r="AR481" s="608" t="n"/>
      <x:c r="AS481" s="608" t="n"/>
      <x:c r="AT481" s="608" t="n"/>
      <x:c r="AU481" s="608" t="n"/>
      <x:c r="AV481" s="608" t="n"/>
      <x:c r="AW481" s="608" t="n"/>
      <x:c r="AX481" s="608" t="n"/>
      <x:c r="AY481" s="608" t="n"/>
    </x:row>
    <x:row r="482" ht="22" customHeight="1">
      <x:c r="A482" s="604" t="inlineStr">
        <x:is>
          <x:t xml:space="preserve">2026-09-27</x:t>
        </x:is>
      </x:c>
      <x:c r="B482" s="604" t="inlineStr">
        <x:is>
          <x:t xml:space="preserve">2026-09-27 21:30:00</x:t>
        </x:is>
      </x:c>
      <x:c r="C482" s="604" t="str">
        <x:v>欧洲非五大系列</x:v>
      </x:c>
      <x:c r="D482" s="604" t="inlineStr">
        <x:is>
          <x:t xml:space="preserve">联赛</x:t>
        </x:is>
      </x:c>
      <x:c r="E482" s="604" t="inlineStr">
        <x:is>
          <x:t xml:space="preserve">斯伐丙</x:t>
        </x:is>
      </x:c>
      <x:c r="F482" s="604" t="inlineStr">
        <x:is>
          <x:t xml:space="preserve">卢丁斯 vs 贝鲁萨</x:t>
        </x:is>
      </x:c>
      <x:c r="G482" s="611" t="n">
        <x:v>1.02</x:v>
      </x:c>
      <x:c r="H482" s="611" t="n">
        <x:v>-0.5</x:v>
      </x:c>
      <x:c r="I482" s="611" t="n">
        <x:v>0.8</x:v>
      </x:c>
      <x:c r="J482" s="604" t="inlineStr">
        <x:is>
          <x:t xml:space="preserve">1.02/-0.5/0.8</x:t>
        </x:is>
      </x:c>
      <x:c r="K482" s="604" t="inlineStr">
        <x:is>
          <x:t xml:space="preserve">V4-C最新版候选</x:t>
        </x:is>
      </x:c>
      <x:c r="L482" s="604" t="inlineStr">
        <x:is>
          <x:t xml:space="preserve">卢丁斯</x:t>
        </x:is>
      </x:c>
      <x:c r="M482" s="606" t="n">
        <x:v>0.5824</x:v>
      </x:c>
      <x:c r="N482" s="604" t="inlineStr">
        <x:is>
          <x:t xml:space="preserve">V4最新页面A/B/C候选</x:t>
        </x:is>
      </x:c>
      <x:c r="O482" s="604" t="inlineStr">
        <x:is>
          <x:t xml:space="preserve">2-2</x:t>
        </x:is>
      </x:c>
      <x:c r="P482" s="604" t="inlineStr">
        <x:is>
          <x:t xml:space="preserve">已结算</x:t>
        </x:is>
      </x:c>
      <x:c r="Q482" s="645" t="inlineStr">
        <x:is>
          <x:t xml:space="preserve">红</x:t>
        </x:is>
      </x:c>
      <x:c r="R482" s="607" t="n">
        <x:v>1.02</x:v>
      </x:c>
      <x:c r="S482" s="607" t="n">
        <x:f>IF(OR(Q482="",Q482="待结算"),"",IF(Q482="红",R482,IF(Q482="半红",R482*0.5,IF(Q482="走",0,IF(Q482="半黑",-0.5,-1)))))</x:f>
        <x:v>1.02</x:v>
      </x:c>
      <x:c r="T482" s="604" t="inlineStr">
        <x:is>
          <x:t xml:space="preserve">https://simondongxiao.github.io/odds/v4/</x:t>
        </x:is>
      </x:c>
      <x:c r="U482" s="604" t="inlineStr">
        <x:is>
          <x:t xml:space="preserve">3093777</x:t>
        </x:is>
      </x:c>
      <x:c r="V482" s="607" t="inlineStr">
        <x:is>
          <x:t xml:space="preserve">v4-market-dirichlet-20260913</x:t>
        </x:is>
      </x:c>
      <x:c r="W482" s="607" t="n">
        <x:f>IF(OR(U482="",U482="待结算"),"",IF(U482="红",V482,IF(U482="半红",V482*0.5,IF(U482="走",0,IF(U482="半黑",-0.5,-1)))))</x:f>
        <x:v>-1</x:v>
      </x:c>
      <x:c r="X482" s="608" t="inlineStr">
        <x:is>
          <x:t xml:space="preserve">C</x:t>
        </x:is>
      </x:c>
      <x:c r="Y482" s="608" t="n"/>
      <x:c r="Z482" s="608" t="n"/>
      <x:c r="AA482" s="608" t="n"/>
      <x:c r="AB482" s="608" t="n"/>
      <x:c r="AC482" s="608" t="n"/>
      <x:c r="AD482" s="608" t="n"/>
      <x:c r="AE482" s="608" t="n"/>
      <x:c r="AF482" s="608" t="n"/>
      <x:c r="AG482" s="608" t="n"/>
      <x:c r="AH482" s="608" t="n"/>
      <x:c r="AI482" s="608" t="n"/>
      <x:c r="AJ482" s="608" t="n"/>
      <x:c r="AK482" s="608" t="n"/>
      <x:c r="AL482" s="608" t="n"/>
      <x:c r="AM482" s="608" t="n"/>
      <x:c r="AN482" s="608" t="n"/>
      <x:c r="AO482" s="608" t="n"/>
      <x:c r="AP482" s="608" t="n"/>
      <x:c r="AQ482" s="608" t="n"/>
      <x:c r="AR482" s="608" t="n"/>
      <x:c r="AS482" s="608" t="n"/>
      <x:c r="AT482" s="608" t="n"/>
      <x:c r="AU482" s="608" t="n"/>
      <x:c r="AV482" s="608" t="n"/>
      <x:c r="AW482" s="608" t="n"/>
      <x:c r="AX482" s="608" t="n"/>
      <x:c r="AY482" s="608" t="n"/>
    </x:row>
    <x:row r="483" ht="22" customHeight="1">
      <x:c r="A483" s="604" t="inlineStr">
        <x:is>
          <x:t xml:space="preserve">2026-09-27</x:t>
        </x:is>
      </x:c>
      <x:c r="B483" s="604" t="inlineStr">
        <x:is>
          <x:t xml:space="preserve">2026-09-27 21:30:00</x:t>
        </x:is>
      </x:c>
      <x:c r="C483" s="604" t="str">
        <x:v>欧洲非五大系列</x:v>
      </x:c>
      <x:c r="D483" s="604" t="inlineStr">
        <x:is>
          <x:t xml:space="preserve">联赛</x:t>
        </x:is>
      </x:c>
      <x:c r="E483" s="604" t="inlineStr">
        <x:is>
          <x:t xml:space="preserve">保乙</x:t>
        </x:is>
      </x:c>
      <x:c r="F483" s="604" t="inlineStr">
        <x:is>
          <x:t xml:space="preserve">贝尔罗 vs 延特拉</x:t>
        </x:is>
      </x:c>
      <x:c r="G483" s="611" t="n">
        <x:v>0.76</x:v>
      </x:c>
      <x:c r="H483" s="611" t="n">
        <x:v>0.25</x:v>
      </x:c>
      <x:c r="I483" s="611" t="n">
        <x:v>1</x:v>
      </x:c>
      <x:c r="J483" s="604" t="inlineStr">
        <x:is>
          <x:t xml:space="preserve">0.76/0.25/1.0</x:t>
        </x:is>
      </x:c>
      <x:c r="K483" s="604" t="inlineStr">
        <x:is>
          <x:t xml:space="preserve">V4-C最新版候选</x:t>
        </x:is>
      </x:c>
      <x:c r="L483" s="604" t="inlineStr">
        <x:is>
          <x:t xml:space="preserve">延特拉</x:t>
        </x:is>
      </x:c>
      <x:c r="M483" s="606" t="n">
        <x:v>0.5212</x:v>
      </x:c>
      <x:c r="N483" s="604" t="inlineStr">
        <x:is>
          <x:t xml:space="preserve">V4最新页面A/B/C候选</x:t>
        </x:is>
      </x:c>
      <x:c r="O483" s="604" t="inlineStr">
        <x:is>
          <x:t xml:space="preserve">1-0</x:t>
        </x:is>
      </x:c>
      <x:c r="P483" s="604" t="inlineStr">
        <x:is>
          <x:t xml:space="preserve">已结算</x:t>
        </x:is>
      </x:c>
      <x:c r="Q483" s="646" t="inlineStr">
        <x:is>
          <x:t xml:space="preserve">黑</x:t>
        </x:is>
      </x:c>
      <x:c r="R483" s="607" t="n">
        <x:v>1</x:v>
      </x:c>
      <x:c r="S483" s="607" t="n">
        <x:f>IF(OR(Q483="",Q483="待结算"),"",IF(Q483="红",R483,IF(Q483="半红",R483*0.5,IF(Q483="走",0,IF(Q483="半黑",-0.5,-1)))))</x:f>
        <x:v>-1</x:v>
      </x:c>
      <x:c r="T483" s="604" t="inlineStr">
        <x:is>
          <x:t xml:space="preserve">https://simondongxiao.github.io/odds/v4/</x:t>
        </x:is>
      </x:c>
      <x:c r="U483" s="604" t="inlineStr">
        <x:is>
          <x:t xml:space="preserve">3017171</x:t>
        </x:is>
      </x:c>
      <x:c r="V483" s="607" t="inlineStr">
        <x:is>
          <x:t xml:space="preserve">v4-market-dirichlet-20260913</x:t>
        </x:is>
      </x:c>
      <x:c r="W483" s="607" t="n">
        <x:f>IF(OR(U483="",U483="待结算"),"",IF(U483="红",V483,IF(U483="半红",V483*0.5,IF(U483="走",0,IF(U483="半黑",-0.5,-1)))))</x:f>
        <x:v>-1</x:v>
      </x:c>
      <x:c r="X483" s="608" t="inlineStr">
        <x:is>
          <x:t xml:space="preserve">C</x:t>
        </x:is>
      </x:c>
      <x:c r="Y483" s="608" t="n"/>
      <x:c r="Z483" s="608" t="n"/>
      <x:c r="AA483" s="608" t="n"/>
      <x:c r="AB483" s="608" t="n"/>
      <x:c r="AC483" s="608" t="n"/>
      <x:c r="AD483" s="608" t="n"/>
      <x:c r="AE483" s="608" t="n"/>
      <x:c r="AF483" s="608" t="n"/>
      <x:c r="AG483" s="608" t="n"/>
      <x:c r="AH483" s="608" t="n"/>
      <x:c r="AI483" s="608" t="n"/>
      <x:c r="AJ483" s="608" t="n"/>
      <x:c r="AK483" s="608" t="n"/>
      <x:c r="AL483" s="608" t="n"/>
      <x:c r="AM483" s="608" t="n"/>
      <x:c r="AN483" s="608" t="n"/>
      <x:c r="AO483" s="608" t="n"/>
      <x:c r="AP483" s="608" t="n"/>
      <x:c r="AQ483" s="608" t="n"/>
      <x:c r="AR483" s="608" t="n"/>
      <x:c r="AS483" s="608" t="n"/>
      <x:c r="AT483" s="608" t="n"/>
      <x:c r="AU483" s="608" t="n"/>
      <x:c r="AV483" s="608" t="n"/>
      <x:c r="AW483" s="608" t="n"/>
      <x:c r="AX483" s="608" t="n"/>
      <x:c r="AY483" s="608" t="n"/>
    </x:row>
    <x:row r="484" ht="22" customHeight="1">
      <x:c r="A484" s="604" t="inlineStr">
        <x:is>
          <x:t xml:space="preserve">2026-09-27</x:t>
        </x:is>
      </x:c>
      <x:c r="B484" s="604" t="inlineStr">
        <x:is>
          <x:t xml:space="preserve">2026-09-27 22:00:00</x:t>
        </x:is>
      </x:c>
      <x:c r="C484" s="604" t="str">
        <x:v>五大联赛非顶级联赛</x:v>
      </x:c>
      <x:c r="D484" s="604" t="inlineStr">
        <x:is>
          <x:t xml:space="preserve">联赛</x:t>
        </x:is>
      </x:c>
      <x:c r="E484" s="604" t="inlineStr">
        <x:is>
          <x:t xml:space="preserve">西协甲</x:t>
        </x:is>
      </x:c>
      <x:c r="F484" s="604" t="inlineStr">
        <x:is>
          <x:t xml:space="preserve">米兰德斯 vs 尤尼恩斯塔斯</x:t>
        </x:is>
      </x:c>
      <x:c r="G484" s="611" t="n">
        <x:v>0.82</x:v>
      </x:c>
      <x:c r="H484" s="611" t="n">
        <x:v>1</x:v>
      </x:c>
      <x:c r="I484" s="611" t="n">
        <x:v>1</x:v>
      </x:c>
      <x:c r="J484" s="604" t="inlineStr">
        <x:is>
          <x:t xml:space="preserve">0.82/1.0/1.0</x:t>
        </x:is>
      </x:c>
      <x:c r="K484" s="604" t="inlineStr">
        <x:is>
          <x:t xml:space="preserve">V4-C最新版候选</x:t>
        </x:is>
      </x:c>
      <x:c r="L484" s="604" t="inlineStr">
        <x:is>
          <x:t xml:space="preserve">尤尼恩斯塔斯</x:t>
        </x:is>
      </x:c>
      <x:c r="M484" s="606" t="n">
        <x:v>0.7446</x:v>
      </x:c>
      <x:c r="N484" s="604" t="inlineStr">
        <x:is>
          <x:t xml:space="preserve">V4最新页面A/B/C候选</x:t>
        </x:is>
      </x:c>
      <x:c r="O484" s="604" t="inlineStr">
        <x:is>
          <x:t xml:space="preserve">1-0</x:t>
        </x:is>
      </x:c>
      <x:c r="P484" s="604" t="inlineStr">
        <x:is>
          <x:t xml:space="preserve">已结算</x:t>
        </x:is>
      </x:c>
      <x:c r="Q484" s="647" t="inlineStr">
        <x:is>
          <x:t xml:space="preserve">走</x:t>
        </x:is>
      </x:c>
      <x:c r="R484" s="607" t="n">
        <x:v>1</x:v>
      </x:c>
      <x:c r="S484" s="607" t="n">
        <x:f>IF(OR(Q484="",Q484="待结算"),"",IF(Q484="红",R484,IF(Q484="半红",R484*0.5,IF(Q484="走",0,IF(Q484="半黑",-0.5,-1)))))</x:f>
        <x:v>0</x:v>
      </x:c>
      <x:c r="T484" s="604" t="inlineStr">
        <x:is>
          <x:t xml:space="preserve">https://simondongxiao.github.io/odds/v4/</x:t>
        </x:is>
      </x:c>
      <x:c r="U484" s="604" t="inlineStr">
        <x:is>
          <x:t xml:space="preserve">3014531</x:t>
        </x:is>
      </x:c>
      <x:c r="V484" s="607" t="inlineStr">
        <x:is>
          <x:t xml:space="preserve">v4-market-dirichlet-20260913</x:t>
        </x:is>
      </x:c>
      <x:c r="W484" s="607" t="n">
        <x:f>IF(OR(U484="",U484="待结算"),"",IF(U484="红",V484,IF(U484="半红",V484*0.5,IF(U484="走",0,IF(U484="半黑",-0.5,-1)))))</x:f>
        <x:v>-1</x:v>
      </x:c>
      <x:c r="X484" s="608" t="inlineStr">
        <x:is>
          <x:t xml:space="preserve">C</x:t>
        </x:is>
      </x:c>
      <x:c r="Y484" s="608" t="n"/>
      <x:c r="Z484" s="608" t="n"/>
      <x:c r="AA484" s="608" t="n"/>
      <x:c r="AB484" s="608" t="n"/>
      <x:c r="AC484" s="608" t="n"/>
      <x:c r="AD484" s="608" t="n"/>
      <x:c r="AE484" s="608" t="n"/>
      <x:c r="AF484" s="608" t="n"/>
      <x:c r="AG484" s="608" t="n"/>
      <x:c r="AH484" s="608" t="n"/>
      <x:c r="AI484" s="608" t="n"/>
      <x:c r="AJ484" s="608" t="n"/>
      <x:c r="AK484" s="608" t="n"/>
      <x:c r="AL484" s="608" t="n"/>
      <x:c r="AM484" s="608" t="n"/>
      <x:c r="AN484" s="608" t="n"/>
      <x:c r="AO484" s="608" t="n"/>
      <x:c r="AP484" s="608" t="n"/>
      <x:c r="AQ484" s="608" t="n"/>
      <x:c r="AR484" s="608" t="n"/>
      <x:c r="AS484" s="608" t="n"/>
      <x:c r="AT484" s="608" t="n"/>
      <x:c r="AU484" s="608" t="n"/>
      <x:c r="AV484" s="608" t="n"/>
      <x:c r="AW484" s="608" t="n"/>
      <x:c r="AX484" s="608" t="n"/>
      <x:c r="AY484" s="608" t="n"/>
    </x:row>
    <x:row r="485" ht="22" customHeight="1">
      <x:c r="A485" s="604" t="inlineStr">
        <x:is>
          <x:t xml:space="preserve">2026-09-27</x:t>
        </x:is>
      </x:c>
      <x:c r="B485" s="604" t="inlineStr">
        <x:is>
          <x:t xml:space="preserve">2026-09-27 22:00:00</x:t>
        </x:is>
      </x:c>
      <x:c r="C485" s="604" t="str">
        <x:v>欧洲非五大系列</x:v>
      </x:c>
      <x:c r="D485" s="604" t="inlineStr">
        <x:is>
          <x:t xml:space="preserve">杯赛</x:t>
        </x:is>
      </x:c>
      <x:c r="E485" s="604" t="inlineStr">
        <x:is>
          <x:t xml:space="preserve">葡锦标</x:t>
        </x:is>
      </x:c>
      <x:c r="F485" s="604" t="inlineStr">
        <x:is>
          <x:t xml:space="preserve">阿莫拉 vs 拉吉恩斯</x:t>
        </x:is>
      </x:c>
      <x:c r="G485" s="611" t="n">
        <x:v>0.8</x:v>
      </x:c>
      <x:c r="H485" s="611" t="n">
        <x:v>1</x:v>
      </x:c>
      <x:c r="I485" s="611" t="n">
        <x:v>1.02</x:v>
      </x:c>
      <x:c r="J485" s="604" t="inlineStr">
        <x:is>
          <x:t xml:space="preserve">0.8/1.0/1.02</x:t>
        </x:is>
      </x:c>
      <x:c r="K485" s="604" t="inlineStr">
        <x:is>
          <x:t xml:space="preserve">V4-C最新版候选</x:t>
        </x:is>
      </x:c>
      <x:c r="L485" s="604" t="inlineStr">
        <x:is>
          <x:t xml:space="preserve">拉吉恩斯</x:t>
        </x:is>
      </x:c>
      <x:c r="M485" s="606" t="n">
        <x:v>0.7665999999999999</x:v>
      </x:c>
      <x:c r="N485" s="604" t="inlineStr">
        <x:is>
          <x:t xml:space="preserve">V4最新页面A/B/C候选</x:t>
        </x:is>
      </x:c>
      <x:c r="O485" s="604" t="inlineStr">
        <x:is>
          <x:t xml:space="preserve">1-0</x:t>
        </x:is>
      </x:c>
      <x:c r="P485" s="604" t="inlineStr">
        <x:is>
          <x:t xml:space="preserve">已结算</x:t>
        </x:is>
      </x:c>
      <x:c r="Q485" s="647" t="inlineStr">
        <x:is>
          <x:t xml:space="preserve">走</x:t>
        </x:is>
      </x:c>
      <x:c r="R485" s="607" t="n">
        <x:v>1.02</x:v>
      </x:c>
      <x:c r="S485" s="607" t="n">
        <x:f>IF(OR(Q485="",Q485="待结算"),"",IF(Q485="红",R485,IF(Q485="半红",R485*0.5,IF(Q485="走",0,IF(Q485="半黑",-0.5,-1)))))</x:f>
        <x:v>0</x:v>
      </x:c>
      <x:c r="T485" s="604" t="inlineStr">
        <x:is>
          <x:t xml:space="preserve">https://simondongxiao.github.io/odds/v4/</x:t>
        </x:is>
      </x:c>
      <x:c r="U485" s="604" t="inlineStr">
        <x:is>
          <x:t xml:space="preserve">3093851</x:t>
        </x:is>
      </x:c>
      <x:c r="V485" s="607" t="inlineStr">
        <x:is>
          <x:t xml:space="preserve">v4-market-dirichlet-20260913</x:t>
        </x:is>
      </x:c>
      <x:c r="W485" s="607" t="n">
        <x:f>IF(OR(U485="",U485="待结算"),"",IF(U485="红",V485,IF(U485="半红",V485*0.5,IF(U485="走",0,IF(U485="半黑",-0.5,-1)))))</x:f>
        <x:v>-1</x:v>
      </x:c>
      <x:c r="X485" s="608" t="inlineStr">
        <x:is>
          <x:t xml:space="preserve">C</x:t>
        </x:is>
      </x:c>
      <x:c r="Y485" s="608" t="n"/>
      <x:c r="Z485" s="608" t="n"/>
      <x:c r="AA485" s="608" t="n"/>
      <x:c r="AB485" s="608" t="n"/>
      <x:c r="AC485" s="608" t="n"/>
      <x:c r="AD485" s="608" t="n"/>
      <x:c r="AE485" s="608" t="n"/>
      <x:c r="AF485" s="608" t="n"/>
      <x:c r="AG485" s="608" t="n"/>
      <x:c r="AH485" s="608" t="n"/>
      <x:c r="AI485" s="608" t="n"/>
      <x:c r="AJ485" s="608" t="n"/>
      <x:c r="AK485" s="608" t="n"/>
      <x:c r="AL485" s="608" t="n"/>
      <x:c r="AM485" s="608" t="n"/>
      <x:c r="AN485" s="608" t="n"/>
      <x:c r="AO485" s="608" t="n"/>
      <x:c r="AP485" s="608" t="n"/>
      <x:c r="AQ485" s="608" t="n"/>
      <x:c r="AR485" s="608" t="n"/>
      <x:c r="AS485" s="608" t="n"/>
      <x:c r="AT485" s="608" t="n"/>
      <x:c r="AU485" s="608" t="n"/>
      <x:c r="AV485" s="608" t="n"/>
      <x:c r="AW485" s="608" t="n"/>
      <x:c r="AX485" s="608" t="n"/>
      <x:c r="AY485" s="608" t="n"/>
    </x:row>
    <x:row r="486" ht="22" customHeight="1">
      <x:c r="A486" s="604" t="inlineStr">
        <x:is>
          <x:t xml:space="preserve">2026-09-27</x:t>
        </x:is>
      </x:c>
      <x:c r="B486" s="604" t="inlineStr">
        <x:is>
          <x:t xml:space="preserve">2026-09-27 22:00:00</x:t>
        </x:is>
      </x:c>
      <x:c r="C486" s="604" t="str">
        <x:v>欧洲非五大系列</x:v>
      </x:c>
      <x:c r="D486" s="604" t="inlineStr">
        <x:is>
          <x:t xml:space="preserve">联赛</x:t>
        </x:is>
      </x:c>
      <x:c r="E486" s="604" t="inlineStr">
        <x:is>
          <x:t xml:space="preserve">保乙</x:t>
        </x:is>
      </x:c>
      <x:c r="F486" s="604" t="inlineStr">
        <x:is>
          <x:t xml:space="preserve">索菲亚中央陆军B队 vs 斯夫格</x:t>
        </x:is>
      </x:c>
      <x:c r="G486" s="611" t="n">
        <x:v>0.85</x:v>
      </x:c>
      <x:c r="H486" s="611" t="n">
        <x:v>1</x:v>
      </x:c>
      <x:c r="I486" s="611" t="n">
        <x:v>0.91</x:v>
      </x:c>
      <x:c r="J486" s="604" t="inlineStr">
        <x:is>
          <x:t xml:space="preserve">0.85/1.0/0.91</x:t>
        </x:is>
      </x:c>
      <x:c r="K486" s="604" t="inlineStr">
        <x:is>
          <x:t xml:space="preserve">V4-C最新版候选</x:t>
        </x:is>
      </x:c>
      <x:c r="L486" s="604" t="inlineStr">
        <x:is>
          <x:t xml:space="preserve">斯夫格</x:t>
        </x:is>
      </x:c>
      <x:c r="M486" s="606" t="n">
        <x:v>0.6172</x:v>
      </x:c>
      <x:c r="N486" s="604" t="inlineStr">
        <x:is>
          <x:t xml:space="preserve">V4最新页面A/B/C候选</x:t>
        </x:is>
      </x:c>
      <x:c r="O486" s="604" t="inlineStr">
        <x:is>
          <x:t xml:space="preserve">1-0</x:t>
        </x:is>
      </x:c>
      <x:c r="P486" s="604" t="inlineStr">
        <x:is>
          <x:t xml:space="preserve">已结算</x:t>
        </x:is>
      </x:c>
      <x:c r="Q486" s="647" t="inlineStr">
        <x:is>
          <x:t xml:space="preserve">走</x:t>
        </x:is>
      </x:c>
      <x:c r="R486" s="607" t="n">
        <x:v>0.91</x:v>
      </x:c>
      <x:c r="S486" s="607" t="n">
        <x:f>IF(OR(Q486="",Q486="待结算"),"",IF(Q486="红",R486,IF(Q486="半红",R486*0.5,IF(Q486="走",0,IF(Q486="半黑",-0.5,-1)))))</x:f>
        <x:v>0</x:v>
      </x:c>
      <x:c r="T486" s="604" t="inlineStr">
        <x:is>
          <x:t xml:space="preserve">https://simondongxiao.github.io/odds/v4/</x:t>
        </x:is>
      </x:c>
      <x:c r="U486" s="604" t="inlineStr">
        <x:is>
          <x:t xml:space="preserve">3017173</x:t>
        </x:is>
      </x:c>
      <x:c r="V486" s="607" t="inlineStr">
        <x:is>
          <x:t xml:space="preserve">v4-market-dirichlet-20260913</x:t>
        </x:is>
      </x:c>
      <x:c r="W486" s="607" t="n">
        <x:f>IF(OR(U486="",U486="待结算"),"",IF(U486="红",V486,IF(U486="半红",V486*0.5,IF(U486="走",0,IF(U486="半黑",-0.5,-1)))))</x:f>
        <x:v>-1</x:v>
      </x:c>
      <x:c r="X486" s="608" t="inlineStr">
        <x:is>
          <x:t xml:space="preserve">C</x:t>
        </x:is>
      </x:c>
      <x:c r="Y486" s="608" t="n"/>
      <x:c r="Z486" s="608" t="n"/>
      <x:c r="AA486" s="608" t="n"/>
      <x:c r="AB486" s="608" t="n"/>
      <x:c r="AC486" s="608" t="n"/>
      <x:c r="AD486" s="608" t="n"/>
      <x:c r="AE486" s="608" t="n"/>
      <x:c r="AF486" s="608" t="n"/>
      <x:c r="AG486" s="608" t="n"/>
      <x:c r="AH486" s="608" t="n"/>
      <x:c r="AI486" s="608" t="n"/>
      <x:c r="AJ486" s="608" t="n"/>
      <x:c r="AK486" s="608" t="n"/>
      <x:c r="AL486" s="608" t="n"/>
      <x:c r="AM486" s="608" t="n"/>
      <x:c r="AN486" s="608" t="n"/>
      <x:c r="AO486" s="608" t="n"/>
      <x:c r="AP486" s="608" t="n"/>
      <x:c r="AQ486" s="608" t="n"/>
      <x:c r="AR486" s="608" t="n"/>
      <x:c r="AS486" s="608" t="n"/>
      <x:c r="AT486" s="608" t="n"/>
      <x:c r="AU486" s="608" t="n"/>
      <x:c r="AV486" s="608" t="n"/>
      <x:c r="AW486" s="608" t="n"/>
      <x:c r="AX486" s="608" t="n"/>
      <x:c r="AY486" s="608" t="n"/>
    </x:row>
    <x:row r="487" ht="22" customHeight="1">
      <x:c r="A487" s="604" t="inlineStr">
        <x:is>
          <x:t xml:space="preserve">2026-09-27</x:t>
        </x:is>
      </x:c>
      <x:c r="B487" s="604" t="inlineStr">
        <x:is>
          <x:t xml:space="preserve">2026-09-27 22:30:00</x:t>
        </x:is>
      </x:c>
      <x:c r="C487" s="604" t="str">
        <x:v>欧洲非五大系列</x:v>
      </x:c>
      <x:c r="D487" s="604" t="inlineStr">
        <x:is>
          <x:t xml:space="preserve">联赛</x:t>
        </x:is>
      </x:c>
      <x:c r="E487" s="604" t="inlineStr">
        <x:is>
          <x:t xml:space="preserve">捷丙</x:t>
        </x:is>
      </x:c>
      <x:c r="F487" s="604" t="inlineStr">
        <x:is>
          <x:t xml:space="preserve">索史尔扎普 vs FK莫斯特</x:t>
        </x:is>
      </x:c>
      <x:c r="G487" s="611" t="n">
        <x:v>0.7</x:v>
      </x:c>
      <x:c r="H487" s="611" t="n">
        <x:v>0.5</x:v>
      </x:c>
      <x:c r="I487" s="611" t="n">
        <x:v>1</x:v>
      </x:c>
      <x:c r="J487" s="604" t="inlineStr">
        <x:is>
          <x:t xml:space="preserve">0.7/0.5/1.0</x:t>
        </x:is>
      </x:c>
      <x:c r="K487" s="604" t="inlineStr">
        <x:is>
          <x:t xml:space="preserve">V4-C最新版候选</x:t>
        </x:is>
      </x:c>
      <x:c r="L487" s="604" t="inlineStr">
        <x:is>
          <x:t xml:space="preserve">FK莫斯特</x:t>
        </x:is>
      </x:c>
      <x:c r="M487" s="606" t="n">
        <x:v>0.5332</x:v>
      </x:c>
      <x:c r="N487" s="604" t="inlineStr">
        <x:is>
          <x:t xml:space="preserve">V4最新页面A/B/C候选</x:t>
        </x:is>
      </x:c>
      <x:c r="O487" s="604" t="inlineStr">
        <x:is>
          <x:t xml:space="preserve">3-1</x:t>
        </x:is>
      </x:c>
      <x:c r="P487" s="604" t="inlineStr">
        <x:is>
          <x:t xml:space="preserve">已结算</x:t>
        </x:is>
      </x:c>
      <x:c r="Q487" s="646" t="inlineStr">
        <x:is>
          <x:t xml:space="preserve">黑</x:t>
        </x:is>
      </x:c>
      <x:c r="R487" s="607" t="n">
        <x:v>1</x:v>
      </x:c>
      <x:c r="S487" s="607" t="n">
        <x:f>IF(OR(Q487="",Q487="待结算"),"",IF(Q487="红",R487,IF(Q487="半红",R487*0.5,IF(Q487="走",0,IF(Q487="半黑",-0.5,-1)))))</x:f>
        <x:v>-1</x:v>
      </x:c>
      <x:c r="T487" s="604" t="inlineStr">
        <x:is>
          <x:t xml:space="preserve">https://simondongxiao.github.io/odds/v4/</x:t>
        </x:is>
      </x:c>
      <x:c r="U487" s="604" t="inlineStr">
        <x:is>
          <x:t xml:space="preserve">3009509</x:t>
        </x:is>
      </x:c>
      <x:c r="V487" s="607" t="inlineStr">
        <x:is>
          <x:t xml:space="preserve">v4-market-dirichlet-20260913</x:t>
        </x:is>
      </x:c>
      <x:c r="W487" s="607" t="n">
        <x:f>IF(OR(U487="",U487="待结算"),"",IF(U487="红",V487,IF(U487="半红",V487*0.5,IF(U487="走",0,IF(U487="半黑",-0.5,-1)))))</x:f>
        <x:v>-1</x:v>
      </x:c>
      <x:c r="X487" s="608" t="inlineStr">
        <x:is>
          <x:t xml:space="preserve">C</x:t>
        </x:is>
      </x:c>
      <x:c r="Y487" s="608" t="n"/>
      <x:c r="Z487" s="608" t="n"/>
      <x:c r="AA487" s="608" t="n"/>
      <x:c r="AB487" s="608" t="n"/>
      <x:c r="AC487" s="608" t="n"/>
      <x:c r="AD487" s="608" t="n"/>
      <x:c r="AE487" s="608" t="n"/>
      <x:c r="AF487" s="608" t="n"/>
      <x:c r="AG487" s="608" t="n"/>
      <x:c r="AH487" s="608" t="n"/>
      <x:c r="AI487" s="608" t="n"/>
      <x:c r="AJ487" s="608" t="n"/>
      <x:c r="AK487" s="608" t="n"/>
      <x:c r="AL487" s="608" t="n"/>
      <x:c r="AM487" s="608" t="n"/>
      <x:c r="AN487" s="608" t="n"/>
      <x:c r="AO487" s="608" t="n"/>
      <x:c r="AP487" s="608" t="n"/>
      <x:c r="AQ487" s="608" t="n"/>
      <x:c r="AR487" s="608" t="n"/>
      <x:c r="AS487" s="608" t="n"/>
      <x:c r="AT487" s="608" t="n"/>
      <x:c r="AU487" s="608" t="n"/>
      <x:c r="AV487" s="608" t="n"/>
      <x:c r="AW487" s="608" t="n"/>
      <x:c r="AX487" s="608" t="n"/>
      <x:c r="AY487" s="608" t="n"/>
    </x:row>
    <x:row r="488" ht="22" customHeight="1">
      <x:c r="A488" s="604" t="inlineStr">
        <x:is>
          <x:t xml:space="preserve">2026-09-27</x:t>
        </x:is>
      </x:c>
      <x:c r="B488" s="604" t="inlineStr">
        <x:is>
          <x:t xml:space="preserve">2026-09-27 23:00:00</x:t>
        </x:is>
      </x:c>
      <x:c r="C488" s="604" t="str">
        <x:v>五大联赛非顶级联赛</x:v>
      </x:c>
      <x:c r="D488" s="604" t="inlineStr">
        <x:is>
          <x:t xml:space="preserve">联赛</x:t>
        </x:is>
      </x:c>
      <x:c r="E488" s="604" t="inlineStr">
        <x:is>
          <x:t xml:space="preserve">西协乙2</x:t>
        </x:is>
      </x:c>
      <x:c r="F488" s="604" t="inlineStr">
        <x:is>
          <x:t xml:space="preserve">西班牙人B队 vs 阿尔内多</x:t>
        </x:is>
      </x:c>
      <x:c r="G488" s="611" t="n">
        <x:v>0.83</x:v>
      </x:c>
      <x:c r="H488" s="611" t="n">
        <x:v>1.5</x:v>
      </x:c>
      <x:c r="I488" s="611" t="n">
        <x:v>0.87</x:v>
      </x:c>
      <x:c r="J488" s="604" t="inlineStr">
        <x:is>
          <x:t xml:space="preserve">0.83/1.5/0.87</x:t>
        </x:is>
      </x:c>
      <x:c r="K488" s="604" t="inlineStr">
        <x:is>
          <x:t xml:space="preserve">V4-C最新版候选</x:t>
        </x:is>
      </x:c>
      <x:c r="L488" s="604" t="inlineStr">
        <x:is>
          <x:t xml:space="preserve">西班牙人B队</x:t>
        </x:is>
      </x:c>
      <x:c r="M488" s="606" t="n">
        <x:v>0.7046</x:v>
      </x:c>
      <x:c r="N488" s="604" t="inlineStr">
        <x:is>
          <x:t xml:space="preserve">V4最新页面A/B/C候选</x:t>
        </x:is>
      </x:c>
      <x:c r="O488" s="604" t="inlineStr">
        <x:is>
          <x:t xml:space="preserve">5-0</x:t>
        </x:is>
      </x:c>
      <x:c r="P488" s="604" t="inlineStr">
        <x:is>
          <x:t xml:space="preserve">已结算</x:t>
        </x:is>
      </x:c>
      <x:c r="Q488" s="645" t="inlineStr">
        <x:is>
          <x:t xml:space="preserve">红</x:t>
        </x:is>
      </x:c>
      <x:c r="R488" s="607" t="n">
        <x:v>0.83</x:v>
      </x:c>
      <x:c r="S488" s="607" t="n">
        <x:f>IF(OR(Q488="",Q488="待结算"),"",IF(Q488="红",R488,IF(Q488="半红",R488*0.5,IF(Q488="走",0,IF(Q488="半黑",-0.5,-1)))))</x:f>
        <x:v>0.83</x:v>
      </x:c>
      <x:c r="T488" s="604" t="inlineStr">
        <x:is>
          <x:t xml:space="preserve">https://simondongxiao.github.io/odds/v4/</x:t>
        </x:is>
      </x:c>
      <x:c r="U488" s="604" t="inlineStr">
        <x:is>
          <x:t xml:space="preserve">3083285</x:t>
        </x:is>
      </x:c>
      <x:c r="V488" s="607" t="inlineStr">
        <x:is>
          <x:t xml:space="preserve">v4-market-dirichlet-20260913</x:t>
        </x:is>
      </x:c>
      <x:c r="W488" s="607" t="n">
        <x:f>IF(OR(U488="",U488="待结算"),"",IF(U488="红",V488,IF(U488="半红",V488*0.5,IF(U488="走",0,IF(U488="半黑",-0.5,-1)))))</x:f>
        <x:v>-1</x:v>
      </x:c>
      <x:c r="X488" s="608" t="inlineStr">
        <x:is>
          <x:t xml:space="preserve">C</x:t>
        </x:is>
      </x:c>
      <x:c r="Y488" s="608" t="n"/>
      <x:c r="Z488" s="608" t="n"/>
      <x:c r="AA488" s="608" t="n"/>
      <x:c r="AB488" s="608" t="n"/>
      <x:c r="AC488" s="608" t="n"/>
      <x:c r="AD488" s="608" t="n"/>
      <x:c r="AE488" s="608" t="n"/>
      <x:c r="AF488" s="608" t="n"/>
      <x:c r="AG488" s="608" t="n"/>
      <x:c r="AH488" s="608" t="n"/>
      <x:c r="AI488" s="608" t="n"/>
      <x:c r="AJ488" s="608" t="n"/>
      <x:c r="AK488" s="608" t="n"/>
      <x:c r="AL488" s="608" t="n"/>
      <x:c r="AM488" s="608" t="n"/>
      <x:c r="AN488" s="608" t="n"/>
      <x:c r="AO488" s="608" t="n"/>
      <x:c r="AP488" s="608" t="n"/>
      <x:c r="AQ488" s="608" t="n"/>
      <x:c r="AR488" s="608" t="n"/>
      <x:c r="AS488" s="608" t="n"/>
      <x:c r="AT488" s="608" t="n"/>
      <x:c r="AU488" s="608" t="n"/>
      <x:c r="AV488" s="608" t="n"/>
      <x:c r="AW488" s="608" t="n"/>
      <x:c r="AX488" s="608" t="n"/>
      <x:c r="AY488" s="608" t="n"/>
    </x:row>
    <x:row r="489" ht="22" customHeight="1">
      <x:c r="A489" s="604" t="inlineStr">
        <x:is>
          <x:t xml:space="preserve">2026-09-27</x:t>
        </x:is>
      </x:c>
      <x:c r="B489" s="604" t="inlineStr">
        <x:is>
          <x:t xml:space="preserve">2026-09-27 23:00:00</x:t>
        </x:is>
      </x:c>
      <x:c r="C489" s="604" t="str">
        <x:v>五大联赛非顶级联赛</x:v>
      </x:c>
      <x:c r="D489" s="604" t="inlineStr">
        <x:is>
          <x:t xml:space="preserve">联赛</x:t>
        </x:is>
      </x:c>
      <x:c r="E489" s="604" t="inlineStr">
        <x:is>
          <x:t xml:space="preserve">西丁</x:t>
        </x:is>
      </x:c>
      <x:c r="F489" s="604" t="inlineStr">
        <x:is>
          <x:t xml:space="preserve">卡斯特洛 vs 米内罗竞技队</x:t>
        </x:is>
      </x:c>
      <x:c r="G489" s="611" t="n">
        <x:v>0.8</x:v>
      </x:c>
      <x:c r="H489" s="611" t="n">
        <x:v>1</x:v>
      </x:c>
      <x:c r="I489" s="611" t="n">
        <x:v>0.9</x:v>
      </x:c>
      <x:c r="J489" s="604" t="inlineStr">
        <x:is>
          <x:t xml:space="preserve">0.8/1.0/0.9</x:t>
        </x:is>
      </x:c>
      <x:c r="K489" s="604" t="inlineStr">
        <x:is>
          <x:t xml:space="preserve">V4-C最新版候选</x:t>
        </x:is>
      </x:c>
      <x:c r="L489" s="604" t="inlineStr">
        <x:is>
          <x:t xml:space="preserve">米内罗竞技队</x:t>
        </x:is>
      </x:c>
      <x:c r="M489" s="606" t="n">
        <x:v>0.6092</x:v>
      </x:c>
      <x:c r="N489" s="604" t="inlineStr">
        <x:is>
          <x:t xml:space="preserve">V4最新页面A/B/C候选</x:t>
        </x:is>
      </x:c>
      <x:c r="O489" s="604" t="inlineStr">
        <x:is>
          <x:t xml:space="preserve">0-2</x:t>
        </x:is>
      </x:c>
      <x:c r="P489" s="604" t="inlineStr">
        <x:is>
          <x:t xml:space="preserve">已结算</x:t>
        </x:is>
      </x:c>
      <x:c r="Q489" s="645" t="inlineStr">
        <x:is>
          <x:t xml:space="preserve">红</x:t>
        </x:is>
      </x:c>
      <x:c r="R489" s="607" t="n">
        <x:v>0.9</x:v>
      </x:c>
      <x:c r="S489" s="607" t="n">
        <x:f>IF(OR(Q489="",Q489="待结算"),"",IF(Q489="红",R489,IF(Q489="半红",R489*0.5,IF(Q489="走",0,IF(Q489="半黑",-0.5,-1)))))</x:f>
        <x:v>0.9</x:v>
      </x:c>
      <x:c r="T489" s="604" t="inlineStr">
        <x:is>
          <x:t xml:space="preserve">https://simondongxiao.github.io/odds/v4/</x:t>
        </x:is>
      </x:c>
      <x:c r="U489" s="604" t="inlineStr">
        <x:is>
          <x:t xml:space="preserve">3078684</x:t>
        </x:is>
      </x:c>
      <x:c r="V489" s="607" t="inlineStr">
        <x:is>
          <x:t xml:space="preserve">v4-market-dirichlet-20260913</x:t>
        </x:is>
      </x:c>
      <x:c r="W489" s="607" t="n">
        <x:f>IF(OR(U489="",U489="待结算"),"",IF(U489="红",V489,IF(U489="半红",V489*0.5,IF(U489="走",0,IF(U489="半黑",-0.5,-1)))))</x:f>
        <x:v>-1</x:v>
      </x:c>
      <x:c r="X489" s="608" t="inlineStr">
        <x:is>
          <x:t xml:space="preserve">C</x:t>
        </x:is>
      </x:c>
      <x:c r="Y489" s="608" t="n"/>
      <x:c r="Z489" s="608" t="n"/>
      <x:c r="AA489" s="608" t="n"/>
      <x:c r="AB489" s="608" t="n"/>
      <x:c r="AC489" s="608" t="n"/>
      <x:c r="AD489" s="608" t="n"/>
      <x:c r="AE489" s="608" t="n"/>
      <x:c r="AF489" s="608" t="n"/>
      <x:c r="AG489" s="608" t="n"/>
      <x:c r="AH489" s="608" t="n"/>
      <x:c r="AI489" s="608" t="n"/>
      <x:c r="AJ489" s="608" t="n"/>
      <x:c r="AK489" s="608" t="n"/>
      <x:c r="AL489" s="608" t="n"/>
      <x:c r="AM489" s="608" t="n"/>
      <x:c r="AN489" s="608" t="n"/>
      <x:c r="AO489" s="608" t="n"/>
      <x:c r="AP489" s="608" t="n"/>
      <x:c r="AQ489" s="608" t="n"/>
      <x:c r="AR489" s="608" t="n"/>
      <x:c r="AS489" s="608" t="n"/>
      <x:c r="AT489" s="608" t="n"/>
      <x:c r="AU489" s="608" t="n"/>
      <x:c r="AV489" s="608" t="n"/>
      <x:c r="AW489" s="608" t="n"/>
      <x:c r="AX489" s="608" t="n"/>
      <x:c r="AY489" s="608" t="n"/>
    </x:row>
    <x:row r="490" ht="22" customHeight="1">
      <x:c r="A490" s="604" t="inlineStr">
        <x:is>
          <x:t xml:space="preserve">2026-09-27</x:t>
        </x:is>
      </x:c>
      <x:c r="B490" s="604" t="inlineStr">
        <x:is>
          <x:t xml:space="preserve">2026-09-27 23:00:00</x:t>
        </x:is>
      </x:c>
      <x:c r="C490" s="604" t="str">
        <x:v>其他系列</x:v>
      </x:c>
      <x:c r="D490" s="604" t="inlineStr">
        <x:is>
          <x:t xml:space="preserve">杯赛</x:t>
        </x:is>
      </x:c>
      <x:c r="E490" s="604" t="inlineStr">
        <x:is>
          <x:t xml:space="preserve">国际友谊</x:t>
        </x:is>
      </x:c>
      <x:c r="F490" s="604" t="inlineStr">
        <x:is>
          <x:t xml:space="preserve">德国U19&lt;font color=#880000&gt;(中)&lt;/font&gt; vs 乌克兰U19</x:t>
        </x:is>
      </x:c>
      <x:c r="G490" s="611" t="n">
        <x:v>0.87</x:v>
      </x:c>
      <x:c r="H490" s="611" t="n">
        <x:v>1</x:v>
      </x:c>
      <x:c r="I490" s="611" t="n">
        <x:v>0.95</x:v>
      </x:c>
      <x:c r="J490" s="604" t="inlineStr">
        <x:is>
          <x:t xml:space="preserve">0.87/1.0/0.95</x:t>
        </x:is>
      </x:c>
      <x:c r="K490" s="604" t="inlineStr">
        <x:is>
          <x:t xml:space="preserve">V4-C最新版候选</x:t>
        </x:is>
      </x:c>
      <x:c r="L490" s="604" t="inlineStr">
        <x:is>
          <x:t xml:space="preserve">乌克兰U19</x:t>
        </x:is>
      </x:c>
      <x:c r="M490" s="606" t="n">
        <x:v>0.6746</x:v>
      </x:c>
      <x:c r="N490" s="604" t="inlineStr">
        <x:is>
          <x:t xml:space="preserve">V4最新页面A/B/C候选</x:t>
        </x:is>
      </x:c>
      <x:c r="O490" s="604" t="inlineStr">
        <x:is>
          <x:t xml:space="preserve">0-0</x:t>
        </x:is>
      </x:c>
      <x:c r="P490" s="604" t="inlineStr">
        <x:is>
          <x:t xml:space="preserve">已结算</x:t>
        </x:is>
      </x:c>
      <x:c r="Q490" s="645" t="inlineStr">
        <x:is>
          <x:t xml:space="preserve">红</x:t>
        </x:is>
      </x:c>
      <x:c r="R490" s="607" t="n">
        <x:v>0.95</x:v>
      </x:c>
      <x:c r="S490" s="607" t="n">
        <x:f>IF(OR(Q490="",Q490="待结算"),"",IF(Q490="红",R490,IF(Q490="半红",R490*0.5,IF(Q490="走",0,IF(Q490="半黑",-0.5,-1)))))</x:f>
        <x:v>0.95</x:v>
      </x:c>
      <x:c r="T490" s="604" t="inlineStr">
        <x:is>
          <x:t xml:space="preserve">https://simondongxiao.github.io/odds/v4/</x:t>
        </x:is>
      </x:c>
      <x:c r="U490" s="604" t="inlineStr">
        <x:is>
          <x:t xml:space="preserve">3094356</x:t>
        </x:is>
      </x:c>
      <x:c r="V490" s="607" t="inlineStr">
        <x:is>
          <x:t xml:space="preserve">v4-market-dirichlet-20260913</x:t>
        </x:is>
      </x:c>
      <x:c r="W490" s="607" t="n">
        <x:f>IF(OR(U490="",U490="待结算"),"",IF(U490="红",V490,IF(U490="半红",V490*0.5,IF(U490="走",0,IF(U490="半黑",-0.5,-1)))))</x:f>
        <x:v>-1</x:v>
      </x:c>
      <x:c r="X490" s="608" t="inlineStr">
        <x:is>
          <x:t xml:space="preserve">C</x:t>
        </x:is>
      </x:c>
      <x:c r="Y490" s="608" t="n"/>
      <x:c r="Z490" s="608" t="n"/>
      <x:c r="AA490" s="608" t="n"/>
      <x:c r="AB490" s="608" t="n"/>
      <x:c r="AC490" s="608" t="n"/>
      <x:c r="AD490" s="608" t="n"/>
      <x:c r="AE490" s="608" t="n"/>
      <x:c r="AF490" s="608" t="n"/>
      <x:c r="AG490" s="608" t="n"/>
      <x:c r="AH490" s="608" t="n"/>
      <x:c r="AI490" s="608" t="n"/>
      <x:c r="AJ490" s="608" t="n"/>
      <x:c r="AK490" s="608" t="n"/>
      <x:c r="AL490" s="608" t="n"/>
      <x:c r="AM490" s="608" t="n"/>
      <x:c r="AN490" s="608" t="n"/>
      <x:c r="AO490" s="608" t="n"/>
      <x:c r="AP490" s="608" t="n"/>
      <x:c r="AQ490" s="608" t="n"/>
      <x:c r="AR490" s="608" t="n"/>
      <x:c r="AS490" s="608" t="n"/>
      <x:c r="AT490" s="608" t="n"/>
      <x:c r="AU490" s="608" t="n"/>
      <x:c r="AV490" s="608" t="n"/>
      <x:c r="AW490" s="608" t="n"/>
      <x:c r="AX490" s="608" t="n"/>
      <x:c r="AY490" s="608" t="n"/>
    </x:row>
    <x:row r="491" ht="22" customHeight="1">
      <x:c r="A491" s="604" t="inlineStr">
        <x:is>
          <x:t xml:space="preserve">2026-09-27</x:t>
        </x:is>
      </x:c>
      <x:c r="B491" s="604" t="inlineStr">
        <x:is>
          <x:t xml:space="preserve">2026-09-28 00:00:00</x:t>
        </x:is>
      </x:c>
      <x:c r="C491" s="604" t="str">
        <x:v>欧洲非五大系列</x:v>
      </x:c>
      <x:c r="D491" s="604" t="inlineStr">
        <x:is>
          <x:t xml:space="preserve">联赛</x:t>
        </x:is>
      </x:c>
      <x:c r="E491" s="604" t="inlineStr">
        <x:is>
          <x:t xml:space="preserve">欧国联</x:t>
        </x:is>
      </x:c>
      <x:c r="F491" s="604" t="inlineStr">
        <x:is>
          <x:t xml:space="preserve">丹麦 vs 威尔士</x:t>
        </x:is>
      </x:c>
      <x:c r="G491" s="611" t="n">
        <x:v>1.03</x:v>
      </x:c>
      <x:c r="H491" s="611" t="n">
        <x:v>1.25</x:v>
      </x:c>
      <x:c r="I491" s="611" t="n">
        <x:v>0.85</x:v>
      </x:c>
      <x:c r="J491" s="604" t="inlineStr">
        <x:is>
          <x:t xml:space="preserve">1.03/1.25/0.85</x:t>
        </x:is>
      </x:c>
      <x:c r="K491" s="604" t="inlineStr">
        <x:is>
          <x:t xml:space="preserve">V4-C最新版候选</x:t>
        </x:is>
      </x:c>
      <x:c r="L491" s="604" t="inlineStr">
        <x:is>
          <x:t xml:space="preserve">丹麦</x:t>
        </x:is>
      </x:c>
      <x:c r="M491" s="606" t="n">
        <x:v>0.573</x:v>
      </x:c>
      <x:c r="N491" s="604" t="inlineStr">
        <x:is>
          <x:t xml:space="preserve">V4最新页面A/B/C候选</x:t>
        </x:is>
      </x:c>
      <x:c r="O491" s="604" t="inlineStr">
        <x:is>
          <x:t xml:space="preserve">2-0</x:t>
        </x:is>
      </x:c>
      <x:c r="P491" s="604" t="inlineStr">
        <x:is>
          <x:t xml:space="preserve">已结算</x:t>
        </x:is>
      </x:c>
      <x:c r="Q491" s="645" t="inlineStr">
        <x:is>
          <x:t xml:space="preserve">红</x:t>
        </x:is>
      </x:c>
      <x:c r="R491" s="607" t="n">
        <x:v>1.03</x:v>
      </x:c>
      <x:c r="S491" s="607" t="n">
        <x:f>IF(OR(Q491="",Q491="待结算"),"",IF(Q491="红",R491,IF(Q491="半红",R491*0.5,IF(Q491="走",0,IF(Q491="半黑",-0.5,-1)))))</x:f>
        <x:v>1.03</x:v>
      </x:c>
      <x:c r="T491" s="604" t="inlineStr">
        <x:is>
          <x:t xml:space="preserve">https://simondongxiao.github.io/odds/v4/</x:t>
        </x:is>
      </x:c>
      <x:c r="U491" s="604" t="inlineStr">
        <x:is>
          <x:t xml:space="preserve">2981434</x:t>
        </x:is>
      </x:c>
      <x:c r="V491" s="607" t="inlineStr">
        <x:is>
          <x:t xml:space="preserve">v4-market-dirichlet-20260913</x:t>
        </x:is>
      </x:c>
      <x:c r="W491" s="607" t="n">
        <x:f>IF(OR(U491="",U491="待结算"),"",IF(U491="红",V491,IF(U491="半红",V491*0.5,IF(U491="走",0,IF(U491="半黑",-0.5,-1)))))</x:f>
        <x:v>-1</x:v>
      </x:c>
      <x:c r="X491" s="608" t="inlineStr">
        <x:is>
          <x:t xml:space="preserve">C</x:t>
        </x:is>
      </x:c>
      <x:c r="Y491" s="608" t="n"/>
      <x:c r="Z491" s="608" t="n"/>
      <x:c r="AA491" s="608" t="n"/>
      <x:c r="AB491" s="608" t="n"/>
      <x:c r="AC491" s="608" t="n"/>
      <x:c r="AD491" s="608" t="n"/>
      <x:c r="AE491" s="608" t="n"/>
      <x:c r="AF491" s="608" t="n"/>
      <x:c r="AG491" s="608" t="n"/>
      <x:c r="AH491" s="608" t="n"/>
      <x:c r="AI491" s="608" t="n"/>
      <x:c r="AJ491" s="608" t="n"/>
      <x:c r="AK491" s="608" t="n"/>
      <x:c r="AL491" s="608" t="n"/>
      <x:c r="AM491" s="608" t="n"/>
      <x:c r="AN491" s="608" t="n"/>
      <x:c r="AO491" s="608" t="n"/>
      <x:c r="AP491" s="608" t="n"/>
      <x:c r="AQ491" s="608" t="n"/>
      <x:c r="AR491" s="608" t="n"/>
      <x:c r="AS491" s="608" t="n"/>
      <x:c r="AT491" s="608" t="n"/>
      <x:c r="AU491" s="608" t="n"/>
      <x:c r="AV491" s="608" t="n"/>
      <x:c r="AW491" s="608" t="n"/>
      <x:c r="AX491" s="608" t="n"/>
      <x:c r="AY491" s="608" t="n"/>
    </x:row>
    <x:row r="492" ht="22" customHeight="1">
      <x:c r="A492" s="604" t="inlineStr">
        <x:is>
          <x:t xml:space="preserve">2026-09-27</x:t>
        </x:is>
      </x:c>
      <x:c r="B492" s="604" t="inlineStr">
        <x:is>
          <x:t xml:space="preserve">2026-09-28 00:00:00</x:t>
        </x:is>
      </x:c>
      <x:c r="C492" s="604" t="str">
        <x:v>欧洲非五大系列</x:v>
      </x:c>
      <x:c r="D492" s="604" t="inlineStr">
        <x:is>
          <x:t xml:space="preserve">联赛</x:t>
        </x:is>
      </x:c>
      <x:c r="E492" s="604" t="inlineStr">
        <x:is>
          <x:t xml:space="preserve">欧国联</x:t>
        </x:is>
      </x:c>
      <x:c r="F492" s="604" t="inlineStr">
        <x:is>
          <x:t xml:space="preserve">奥地利 vs 科索沃</x:t>
        </x:is>
      </x:c>
      <x:c r="G492" s="611" t="n">
        <x:v>0.96</x:v>
      </x:c>
      <x:c r="H492" s="611" t="n">
        <x:v>1</x:v>
      </x:c>
      <x:c r="I492" s="611" t="n">
        <x:v>0.92</x:v>
      </x:c>
      <x:c r="J492" s="604" t="inlineStr">
        <x:is>
          <x:t xml:space="preserve">0.96/1.0/0.92</x:t>
        </x:is>
      </x:c>
      <x:c r="K492" s="604" t="inlineStr">
        <x:is>
          <x:t xml:space="preserve">V4-C最新版候选</x:t>
        </x:is>
      </x:c>
      <x:c r="L492" s="604" t="inlineStr">
        <x:is>
          <x:t xml:space="preserve">科索沃</x:t>
        </x:is>
      </x:c>
      <x:c r="M492" s="606" t="n">
        <x:v>0.638</x:v>
      </x:c>
      <x:c r="N492" s="604" t="inlineStr">
        <x:is>
          <x:t xml:space="preserve">V4最新页面A/B/C候选</x:t>
        </x:is>
      </x:c>
      <x:c r="O492" s="604" t="inlineStr">
        <x:is>
          <x:t xml:space="preserve">3-1</x:t>
        </x:is>
      </x:c>
      <x:c r="P492" s="604" t="inlineStr">
        <x:is>
          <x:t xml:space="preserve">已结算</x:t>
        </x:is>
      </x:c>
      <x:c r="Q492" s="646" t="inlineStr">
        <x:is>
          <x:t xml:space="preserve">黑</x:t>
        </x:is>
      </x:c>
      <x:c r="R492" s="607" t="n">
        <x:v>0.92</x:v>
      </x:c>
      <x:c r="S492" s="607" t="n">
        <x:f>IF(OR(Q492="",Q492="待结算"),"",IF(Q492="红",R492,IF(Q492="半红",R492*0.5,IF(Q492="走",0,IF(Q492="半黑",-0.5,-1)))))</x:f>
        <x:v>-1</x:v>
      </x:c>
      <x:c r="T492" s="604" t="inlineStr">
        <x:is>
          <x:t xml:space="preserve">https://simondongxiao.github.io/odds/v4/</x:t>
        </x:is>
      </x:c>
      <x:c r="U492" s="604" t="inlineStr">
        <x:is>
          <x:t xml:space="preserve">2981483</x:t>
        </x:is>
      </x:c>
      <x:c r="V492" s="607" t="inlineStr">
        <x:is>
          <x:t xml:space="preserve">v4-market-dirichlet-20260913</x:t>
        </x:is>
      </x:c>
      <x:c r="W492" s="607" t="n">
        <x:f>IF(OR(U492="",U492="待结算"),"",IF(U492="红",V492,IF(U492="半红",V492*0.5,IF(U492="走",0,IF(U492="半黑",-0.5,-1)))))</x:f>
        <x:v>-1</x:v>
      </x:c>
      <x:c r="X492" s="608" t="inlineStr">
        <x:is>
          <x:t xml:space="preserve">C</x:t>
        </x:is>
      </x:c>
      <x:c r="Y492" s="608" t="n"/>
      <x:c r="Z492" s="608" t="n"/>
      <x:c r="AA492" s="608" t="n"/>
      <x:c r="AB492" s="608" t="n"/>
      <x:c r="AC492" s="608" t="n"/>
      <x:c r="AD492" s="608" t="n"/>
      <x:c r="AE492" s="608" t="n"/>
      <x:c r="AF492" s="608" t="n"/>
      <x:c r="AG492" s="608" t="n"/>
      <x:c r="AH492" s="608" t="n"/>
      <x:c r="AI492" s="608" t="n"/>
      <x:c r="AJ492" s="608" t="n"/>
      <x:c r="AK492" s="608" t="n"/>
      <x:c r="AL492" s="608" t="n"/>
      <x:c r="AM492" s="608" t="n"/>
      <x:c r="AN492" s="608" t="n"/>
      <x:c r="AO492" s="608" t="n"/>
      <x:c r="AP492" s="608" t="n"/>
      <x:c r="AQ492" s="608" t="n"/>
      <x:c r="AR492" s="608" t="n"/>
      <x:c r="AS492" s="608" t="n"/>
      <x:c r="AT492" s="608" t="n"/>
      <x:c r="AU492" s="608" t="n"/>
      <x:c r="AV492" s="608" t="n"/>
      <x:c r="AW492" s="608" t="n"/>
      <x:c r="AX492" s="608" t="n"/>
      <x:c r="AY492" s="608" t="n"/>
    </x:row>
    <x:row r="493" ht="22" customHeight="1">
      <x:c r="A493" s="604" t="inlineStr">
        <x:is>
          <x:t xml:space="preserve">2026-09-27</x:t>
        </x:is>
      </x:c>
      <x:c r="B493" s="604" t="inlineStr">
        <x:is>
          <x:t xml:space="preserve">2026-09-28 00:00:00</x:t>
        </x:is>
      </x:c>
      <x:c r="C493" s="604" t="str">
        <x:v>欧洲非五大系列</x:v>
      </x:c>
      <x:c r="D493" s="604" t="inlineStr">
        <x:is>
          <x:t xml:space="preserve">联赛</x:t>
        </x:is>
      </x:c>
      <x:c r="E493" s="604" t="inlineStr">
        <x:is>
          <x:t xml:space="preserve">欧国联</x:t>
        </x:is>
      </x:c>
      <x:c r="F493" s="604" t="inlineStr">
        <x:is>
          <x:t xml:space="preserve">直布罗陀 vs 安道尔</x:t>
        </x:is>
      </x:c>
      <x:c r="G493" s="611" t="n">
        <x:v>0.87</x:v>
      </x:c>
      <x:c r="H493" s="611" t="n">
        <x:v>-0.25</x:v>
      </x:c>
      <x:c r="I493" s="611" t="n">
        <x:v>1.01</x:v>
      </x:c>
      <x:c r="J493" s="604" t="inlineStr">
        <x:is>
          <x:t xml:space="preserve">0.87/-0.25/1.01</x:t>
        </x:is>
      </x:c>
      <x:c r="K493" s="604" t="inlineStr">
        <x:is>
          <x:t xml:space="preserve">V4-C最新版候选</x:t>
        </x:is>
      </x:c>
      <x:c r="L493" s="604" t="inlineStr">
        <x:is>
          <x:t xml:space="preserve">安道尔</x:t>
        </x:is>
      </x:c>
      <x:c r="M493" s="606" t="n">
        <x:v>0.528</x:v>
      </x:c>
      <x:c r="N493" s="604" t="inlineStr">
        <x:is>
          <x:t xml:space="preserve">V4最新页面A/B/C候选</x:t>
        </x:is>
      </x:c>
      <x:c r="O493" s="604" t="inlineStr">
        <x:is>
          <x:t xml:space="preserve">0-0</x:t>
        </x:is>
      </x:c>
      <x:c r="P493" s="604" t="inlineStr">
        <x:is>
          <x:t xml:space="preserve">已结算</x:t>
        </x:is>
      </x:c>
      <x:c r="Q493" s="648" t="inlineStr">
        <x:is>
          <x:t xml:space="preserve">半黑</x:t>
        </x:is>
      </x:c>
      <x:c r="R493" s="607" t="n">
        <x:v>1.01</x:v>
      </x:c>
      <x:c r="S493" s="607" t="n">
        <x:f>IF(OR(Q493="",Q493="待结算"),"",IF(Q493="红",R493,IF(Q493="半红",R493*0.5,IF(Q493="走",0,IF(Q493="半黑",-0.5,-1)))))</x:f>
        <x:v>-0.5</x:v>
      </x:c>
      <x:c r="T493" s="604" t="inlineStr">
        <x:is>
          <x:t xml:space="preserve">https://simondongxiao.github.io/odds/v4/</x:t>
        </x:is>
      </x:c>
      <x:c r="U493" s="604" t="inlineStr">
        <x:is>
          <x:t xml:space="preserve">2981574</x:t>
        </x:is>
      </x:c>
      <x:c r="V493" s="607" t="inlineStr">
        <x:is>
          <x:t xml:space="preserve">v4-market-dirichlet-20260913</x:t>
        </x:is>
      </x:c>
      <x:c r="W493" s="607" t="n">
        <x:f>IF(OR(U493="",U493="待结算"),"",IF(U493="红",V493,IF(U493="半红",V493*0.5,IF(U493="走",0,IF(U493="半黑",-0.5,-1)))))</x:f>
        <x:v>-1</x:v>
      </x:c>
      <x:c r="X493" s="608" t="inlineStr">
        <x:is>
          <x:t xml:space="preserve">C</x:t>
        </x:is>
      </x:c>
      <x:c r="Y493" s="608" t="n"/>
      <x:c r="Z493" s="608" t="n"/>
      <x:c r="AA493" s="608" t="n"/>
      <x:c r="AB493" s="608" t="n"/>
      <x:c r="AC493" s="608" t="n"/>
      <x:c r="AD493" s="608" t="n"/>
      <x:c r="AE493" s="608" t="n"/>
      <x:c r="AF493" s="608" t="n"/>
      <x:c r="AG493" s="608" t="n"/>
      <x:c r="AH493" s="608" t="n"/>
      <x:c r="AI493" s="608" t="n"/>
      <x:c r="AJ493" s="608" t="n"/>
      <x:c r="AK493" s="608" t="n"/>
      <x:c r="AL493" s="608" t="n"/>
      <x:c r="AM493" s="608" t="n"/>
      <x:c r="AN493" s="608" t="n"/>
      <x:c r="AO493" s="608" t="n"/>
      <x:c r="AP493" s="608" t="n"/>
      <x:c r="AQ493" s="608" t="n"/>
      <x:c r="AR493" s="608" t="n"/>
      <x:c r="AS493" s="608" t="n"/>
      <x:c r="AT493" s="608" t="n"/>
      <x:c r="AU493" s="608" t="n"/>
      <x:c r="AV493" s="608" t="n"/>
      <x:c r="AW493" s="608" t="n"/>
      <x:c r="AX493" s="608" t="n"/>
      <x:c r="AY493" s="608" t="n"/>
    </x:row>
    <x:row r="494" ht="22" customHeight="1">
      <x:c r="A494" s="604" t="inlineStr">
        <x:is>
          <x:t xml:space="preserve">2026-09-27</x:t>
        </x:is>
      </x:c>
      <x:c r="B494" s="604" t="inlineStr">
        <x:is>
          <x:t xml:space="preserve">2026-09-28 00:00:00</x:t>
        </x:is>
      </x:c>
      <x:c r="C494" s="604" t="str">
        <x:v>五大联赛非顶级联赛</x:v>
      </x:c>
      <x:c r="D494" s="604" t="inlineStr">
        <x:is>
          <x:t xml:space="preserve">联赛</x:t>
        </x:is>
      </x:c>
      <x:c r="E494" s="604" t="inlineStr">
        <x:is>
          <x:t xml:space="preserve">西丁</x:t>
        </x:is>
      </x:c>
      <x:c r="F494" s="604" t="inlineStr">
        <x:is>
          <x:t xml:space="preserve">巴达隆纳 vs 圣克里斯托瓦尔</x:t>
        </x:is>
      </x:c>
      <x:c r="G494" s="611" t="n">
        <x:v>0.85</x:v>
      </x:c>
      <x:c r="H494" s="611" t="n">
        <x:v>1</x:v>
      </x:c>
      <x:c r="I494" s="611" t="n">
        <x:v>0.85</x:v>
      </x:c>
      <x:c r="J494" s="604" t="inlineStr">
        <x:is>
          <x:t xml:space="preserve">0.85/1.0/0.85</x:t>
        </x:is>
      </x:c>
      <x:c r="K494" s="604" t="inlineStr">
        <x:is>
          <x:t xml:space="preserve">V4-C最新版候选</x:t>
        </x:is>
      </x:c>
      <x:c r="L494" s="604" t="inlineStr">
        <x:is>
          <x:t xml:space="preserve">圣克里斯托瓦尔</x:t>
        </x:is>
      </x:c>
      <x:c r="M494" s="606" t="n">
        <x:v>0.5</x:v>
      </x:c>
      <x:c r="N494" s="604" t="inlineStr">
        <x:is>
          <x:t xml:space="preserve">V4最新页面A/B/C候选</x:t>
        </x:is>
      </x:c>
      <x:c r="O494" s="604" t="inlineStr">
        <x:is>
          <x:t xml:space="preserve">4-0</x:t>
        </x:is>
      </x:c>
      <x:c r="P494" s="604" t="inlineStr">
        <x:is>
          <x:t xml:space="preserve">已结算</x:t>
        </x:is>
      </x:c>
      <x:c r="Q494" s="646" t="inlineStr">
        <x:is>
          <x:t xml:space="preserve">黑</x:t>
        </x:is>
      </x:c>
      <x:c r="R494" s="607" t="n">
        <x:v>0.85</x:v>
      </x:c>
      <x:c r="S494" s="607" t="n">
        <x:f>IF(OR(Q494="",Q494="待结算"),"",IF(Q494="红",R494,IF(Q494="半红",R494*0.5,IF(Q494="走",0,IF(Q494="半黑",-0.5,-1)))))</x:f>
        <x:v>-1</x:v>
      </x:c>
      <x:c r="T494" s="604" t="inlineStr">
        <x:is>
          <x:t xml:space="preserve">https://simondongxiao.github.io/odds/v4/</x:t>
        </x:is>
      </x:c>
      <x:c r="U494" s="604" t="inlineStr">
        <x:is>
          <x:t xml:space="preserve">3030675</x:t>
        </x:is>
      </x:c>
      <x:c r="V494" s="607" t="inlineStr">
        <x:is>
          <x:t xml:space="preserve">v4-market-dirichlet-20260913</x:t>
        </x:is>
      </x:c>
      <x:c r="W494" s="607" t="n">
        <x:f>IF(OR(U494="",U494="待结算"),"",IF(U494="红",V494,IF(U494="半红",V494*0.5,IF(U494="走",0,IF(U494="半黑",-0.5,-1)))))</x:f>
        <x:v>-1</x:v>
      </x:c>
      <x:c r="X494" s="608" t="inlineStr">
        <x:is>
          <x:t xml:space="preserve">C</x:t>
        </x:is>
      </x:c>
      <x:c r="Y494" s="608" t="n"/>
      <x:c r="Z494" s="608" t="n"/>
      <x:c r="AA494" s="608" t="n"/>
      <x:c r="AB494" s="608" t="n"/>
      <x:c r="AC494" s="608" t="n"/>
      <x:c r="AD494" s="608" t="n"/>
      <x:c r="AE494" s="608" t="n"/>
      <x:c r="AF494" s="608" t="n"/>
      <x:c r="AG494" s="608" t="n"/>
      <x:c r="AH494" s="608" t="n"/>
      <x:c r="AI494" s="608" t="n"/>
      <x:c r="AJ494" s="608" t="n"/>
      <x:c r="AK494" s="608" t="n"/>
      <x:c r="AL494" s="608" t="n"/>
      <x:c r="AM494" s="608" t="n"/>
      <x:c r="AN494" s="608" t="n"/>
      <x:c r="AO494" s="608" t="n"/>
      <x:c r="AP494" s="608" t="n"/>
      <x:c r="AQ494" s="608" t="n"/>
      <x:c r="AR494" s="608" t="n"/>
      <x:c r="AS494" s="608" t="n"/>
      <x:c r="AT494" s="608" t="n"/>
      <x:c r="AU494" s="608" t="n"/>
      <x:c r="AV494" s="608" t="n"/>
      <x:c r="AW494" s="608" t="n"/>
      <x:c r="AX494" s="608" t="n"/>
      <x:c r="AY494" s="608" t="n"/>
    </x:row>
    <x:row r="495" ht="22" customHeight="1">
      <x:c r="A495" s="604" t="inlineStr">
        <x:is>
          <x:t xml:space="preserve">2026-09-27</x:t>
        </x:is>
      </x:c>
      <x:c r="B495" s="604" t="inlineStr">
        <x:is>
          <x:t xml:space="preserve">2026-09-28 00:00:00</x:t>
        </x:is>
      </x:c>
      <x:c r="C495" s="604" t="str">
        <x:v>五大联赛非顶级联赛</x:v>
      </x:c>
      <x:c r="D495" s="604" t="inlineStr">
        <x:is>
          <x:t xml:space="preserve">联赛</x:t>
        </x:is>
      </x:c>
      <x:c r="E495" s="604" t="inlineStr">
        <x:is>
          <x:t xml:space="preserve">西女超</x:t>
        </x:is>
      </x:c>
      <x:c r="F495" s="604" t="inlineStr">
        <x:is>
          <x:t xml:space="preserve">拉科鲁尼亚女足 vs 西班牙人女足</x:t>
        </x:is>
      </x:c>
      <x:c r="G495" s="611" t="n">
        <x:v>0.79</x:v>
      </x:c>
      <x:c r="H495" s="611" t="n">
        <x:v>0.25</x:v>
      </x:c>
      <x:c r="I495" s="611" t="n">
        <x:v>1.03</x:v>
      </x:c>
      <x:c r="J495" s="604" t="inlineStr">
        <x:is>
          <x:t xml:space="preserve">0.79/0.25/1.03</x:t>
        </x:is>
      </x:c>
      <x:c r="K495" s="604" t="inlineStr">
        <x:is>
          <x:t xml:space="preserve">V4-C最新版候选</x:t>
        </x:is>
      </x:c>
      <x:c r="L495" s="604" t="inlineStr">
        <x:is>
          <x:t xml:space="preserve">西班牙人女足</x:t>
        </x:is>
      </x:c>
      <x:c r="M495" s="606" t="n">
        <x:v>0.6178</x:v>
      </x:c>
      <x:c r="N495" s="604" t="inlineStr">
        <x:is>
          <x:t xml:space="preserve">V4最新页面A/B/C候选</x:t>
        </x:is>
      </x:c>
      <x:c r="O495" s="604" t="inlineStr">
        <x:is>
          <x:t xml:space="preserve">1-1</x:t>
        </x:is>
      </x:c>
      <x:c r="P495" s="604" t="inlineStr">
        <x:is>
          <x:t xml:space="preserve">已结算</x:t>
        </x:is>
      </x:c>
      <x:c r="Q495" s="649" t="inlineStr">
        <x:is>
          <x:t xml:space="preserve">半红</x:t>
        </x:is>
      </x:c>
      <x:c r="R495" s="607" t="n">
        <x:v>1.03</x:v>
      </x:c>
      <x:c r="S495" s="607" t="n">
        <x:f>IF(OR(Q495="",Q495="待结算"),"",IF(Q495="红",R495,IF(Q495="半红",R495*0.5,IF(Q495="走",0,IF(Q495="半黑",-0.5,-1)))))</x:f>
        <x:v>0.515</x:v>
      </x:c>
      <x:c r="T495" s="604" t="inlineStr">
        <x:is>
          <x:t xml:space="preserve">https://simondongxiao.github.io/odds/v4/</x:t>
        </x:is>
      </x:c>
      <x:c r="U495" s="604" t="inlineStr">
        <x:is>
          <x:t xml:space="preserve">3057187</x:t>
        </x:is>
      </x:c>
      <x:c r="V495" s="607" t="inlineStr">
        <x:is>
          <x:t xml:space="preserve">v4-market-dirichlet-20260913</x:t>
        </x:is>
      </x:c>
      <x:c r="W495" s="607" t="n">
        <x:f>IF(OR(U495="",U495="待结算"),"",IF(U495="红",V495,IF(U495="半红",V495*0.5,IF(U495="走",0,IF(U495="半黑",-0.5,-1)))))</x:f>
        <x:v>-1</x:v>
      </x:c>
      <x:c r="X495" s="608" t="inlineStr">
        <x:is>
          <x:t xml:space="preserve">C</x:t>
        </x:is>
      </x:c>
      <x:c r="Y495" s="608" t="n"/>
      <x:c r="Z495" s="608" t="n"/>
      <x:c r="AA495" s="608" t="n"/>
      <x:c r="AB495" s="608" t="n"/>
      <x:c r="AC495" s="608" t="n"/>
      <x:c r="AD495" s="608" t="n"/>
      <x:c r="AE495" s="608" t="n"/>
      <x:c r="AF495" s="608" t="n"/>
      <x:c r="AG495" s="608" t="n"/>
      <x:c r="AH495" s="608" t="n"/>
      <x:c r="AI495" s="608" t="n"/>
      <x:c r="AJ495" s="608" t="n"/>
      <x:c r="AK495" s="608" t="n"/>
      <x:c r="AL495" s="608" t="n"/>
      <x:c r="AM495" s="608" t="n"/>
      <x:c r="AN495" s="608" t="n"/>
      <x:c r="AO495" s="608" t="n"/>
      <x:c r="AP495" s="608" t="n"/>
      <x:c r="AQ495" s="608" t="n"/>
      <x:c r="AR495" s="608" t="n"/>
      <x:c r="AS495" s="608" t="n"/>
      <x:c r="AT495" s="608" t="n"/>
      <x:c r="AU495" s="608" t="n"/>
      <x:c r="AV495" s="608" t="n"/>
      <x:c r="AW495" s="608" t="n"/>
      <x:c r="AX495" s="608" t="n"/>
      <x:c r="AY495" s="608" t="n"/>
    </x:row>
    <x:row r="496" ht="22" customHeight="1">
      <x:c r="A496" s="604" t="inlineStr">
        <x:is>
          <x:t xml:space="preserve">2026-09-27</x:t>
        </x:is>
      </x:c>
      <x:c r="B496" s="604" t="inlineStr">
        <x:is>
          <x:t xml:space="preserve">2026-09-28 00:15:00</x:t>
        </x:is>
      </x:c>
      <x:c r="C496" s="604" t="str">
        <x:v>五大联赛非顶级联赛</x:v>
      </x:c>
      <x:c r="D496" s="604" t="inlineStr">
        <x:is>
          <x:t xml:space="preserve">联赛</x:t>
        </x:is>
      </x:c>
      <x:c r="E496" s="604" t="inlineStr">
        <x:is>
          <x:t xml:space="preserve">西协甲</x:t>
        </x:is>
      </x:c>
      <x:c r="F496" s="604" t="inlineStr">
        <x:is>
          <x:t xml:space="preserve">CF安提哥拉 vs 哈恩</x:t>
        </x:is>
      </x:c>
      <x:c r="G496" s="611" t="n">
        <x:v>0.79</x:v>
      </x:c>
      <x:c r="H496" s="611" t="n">
        <x:v>0.25</x:v>
      </x:c>
      <x:c r="I496" s="611" t="n">
        <x:v>1.03</x:v>
      </x:c>
      <x:c r="J496" s="604" t="inlineStr">
        <x:is>
          <x:t xml:space="preserve">0.79/0.25/1.03</x:t>
        </x:is>
      </x:c>
      <x:c r="K496" s="604" t="inlineStr">
        <x:is>
          <x:t xml:space="preserve">V4-C最新版候选</x:t>
        </x:is>
      </x:c>
      <x:c r="L496" s="604" t="inlineStr">
        <x:is>
          <x:t xml:space="preserve">哈恩</x:t>
        </x:is>
      </x:c>
      <x:c r="M496" s="606" t="n">
        <x:v>0.6114000000000001</x:v>
      </x:c>
      <x:c r="N496" s="604" t="inlineStr">
        <x:is>
          <x:t xml:space="preserve">V4最新页面A/B/C候选</x:t>
        </x:is>
      </x:c>
      <x:c r="O496" s="604" t="inlineStr">
        <x:is>
          <x:t xml:space="preserve">2-0</x:t>
        </x:is>
      </x:c>
      <x:c r="P496" s="604" t="inlineStr">
        <x:is>
          <x:t xml:space="preserve">已结算</x:t>
        </x:is>
      </x:c>
      <x:c r="Q496" s="646" t="inlineStr">
        <x:is>
          <x:t xml:space="preserve">黑</x:t>
        </x:is>
      </x:c>
      <x:c r="R496" s="607" t="n">
        <x:v>1.03</x:v>
      </x:c>
      <x:c r="S496" s="607" t="n">
        <x:f>IF(OR(Q496="",Q496="待结算"),"",IF(Q496="红",R496,IF(Q496="半红",R496*0.5,IF(Q496="走",0,IF(Q496="半黑",-0.5,-1)))))</x:f>
        <x:v>-1</x:v>
      </x:c>
      <x:c r="T496" s="604" t="inlineStr">
        <x:is>
          <x:t xml:space="preserve">https://simondongxiao.github.io/odds/v4/</x:t>
        </x:is>
      </x:c>
      <x:c r="U496" s="604" t="inlineStr">
        <x:is>
          <x:t xml:space="preserve">3014906</x:t>
        </x:is>
      </x:c>
      <x:c r="V496" s="607" t="inlineStr">
        <x:is>
          <x:t xml:space="preserve">v4-market-dirichlet-20260913</x:t>
        </x:is>
      </x:c>
      <x:c r="W496" s="607" t="n">
        <x:f>IF(OR(U496="",U496="待结算"),"",IF(U496="红",V496,IF(U496="半红",V496*0.5,IF(U496="走",0,IF(U496="半黑",-0.5,-1)))))</x:f>
        <x:v>-1</x:v>
      </x:c>
      <x:c r="X496" s="608" t="inlineStr">
        <x:is>
          <x:t xml:space="preserve">C</x:t>
        </x:is>
      </x:c>
      <x:c r="Y496" s="608" t="n"/>
      <x:c r="Z496" s="608" t="n"/>
      <x:c r="AA496" s="608" t="n"/>
      <x:c r="AB496" s="608" t="n"/>
      <x:c r="AC496" s="608" t="n"/>
      <x:c r="AD496" s="608" t="n"/>
      <x:c r="AE496" s="608" t="n"/>
      <x:c r="AF496" s="608" t="n"/>
      <x:c r="AG496" s="608" t="n"/>
      <x:c r="AH496" s="608" t="n"/>
      <x:c r="AI496" s="608" t="n"/>
      <x:c r="AJ496" s="608" t="n"/>
      <x:c r="AK496" s="608" t="n"/>
      <x:c r="AL496" s="608" t="n"/>
      <x:c r="AM496" s="608" t="n"/>
      <x:c r="AN496" s="608" t="n"/>
      <x:c r="AO496" s="608" t="n"/>
      <x:c r="AP496" s="608" t="n"/>
      <x:c r="AQ496" s="608" t="n"/>
      <x:c r="AR496" s="608" t="n"/>
      <x:c r="AS496" s="608" t="n"/>
      <x:c r="AT496" s="608" t="n"/>
      <x:c r="AU496" s="608" t="n"/>
      <x:c r="AV496" s="608" t="n"/>
      <x:c r="AW496" s="608" t="n"/>
      <x:c r="AX496" s="608" t="n"/>
      <x:c r="AY496" s="608" t="n"/>
    </x:row>
    <x:row r="497" ht="22" customHeight="1">
      <x:c r="A497" s="604" t="inlineStr">
        <x:is>
          <x:t xml:space="preserve">2026-09-27</x:t>
        </x:is>
      </x:c>
      <x:c r="B497" s="604" t="inlineStr">
        <x:is>
          <x:t xml:space="preserve">2026-09-28 01:00:00</x:t>
        </x:is>
      </x:c>
      <x:c r="C497" s="604" t="str">
        <x:v>其他系列</x:v>
      </x:c>
      <x:c r="D497" s="604" t="inlineStr">
        <x:is>
          <x:t xml:space="preserve">杯赛</x:t>
        </x:is>
      </x:c>
      <x:c r="E497" s="604" t="inlineStr">
        <x:is>
          <x:t xml:space="preserve">国际友谊</x:t>
        </x:is>
      </x:c>
      <x:c r="F497" s="604" t="inlineStr">
        <x:is>
          <x:t xml:space="preserve">约旦 vs 叙利亚</x:t>
        </x:is>
      </x:c>
      <x:c r="G497" s="611" t="n">
        <x:v>0.88</x:v>
      </x:c>
      <x:c r="H497" s="611" t="n">
        <x:v>1</x:v>
      </x:c>
      <x:c r="I497" s="611" t="n">
        <x:v>0.9399999999999999</x:v>
      </x:c>
      <x:c r="J497" s="604" t="inlineStr">
        <x:is>
          <x:t xml:space="preserve">0.88/1.0/0.94</x:t>
        </x:is>
      </x:c>
      <x:c r="K497" s="604" t="inlineStr">
        <x:is>
          <x:t xml:space="preserve">V4-C最新版候选</x:t>
        </x:is>
      </x:c>
      <x:c r="L497" s="604" t="inlineStr">
        <x:is>
          <x:t xml:space="preserve">叙利亚</x:t>
        </x:is>
      </x:c>
      <x:c r="M497" s="606" t="n">
        <x:v>0.676</x:v>
      </x:c>
      <x:c r="N497" s="604" t="inlineStr">
        <x:is>
          <x:t xml:space="preserve">V4最新页面A/B/C候选</x:t>
        </x:is>
      </x:c>
      <x:c r="O497" s="604" t="inlineStr">
        <x:is>
          <x:t xml:space="preserve">1-1</x:t>
        </x:is>
      </x:c>
      <x:c r="P497" s="604" t="inlineStr">
        <x:is>
          <x:t xml:space="preserve">已结算</x:t>
        </x:is>
      </x:c>
      <x:c r="Q497" s="645" t="inlineStr">
        <x:is>
          <x:t xml:space="preserve">红</x:t>
        </x:is>
      </x:c>
      <x:c r="R497" s="607" t="n">
        <x:v>0.9399999999999999</x:v>
      </x:c>
      <x:c r="S497" s="607" t="n">
        <x:f>IF(OR(Q497="",Q497="待结算"),"",IF(Q497="红",R497,IF(Q497="半红",R497*0.5,IF(Q497="走",0,IF(Q497="半黑",-0.5,-1)))))</x:f>
        <x:v>0.94</x:v>
      </x:c>
      <x:c r="T497" s="604" t="inlineStr">
        <x:is>
          <x:t xml:space="preserve">https://simondongxiao.github.io/odds/v4/</x:t>
        </x:is>
      </x:c>
      <x:c r="U497" s="604" t="inlineStr">
        <x:is>
          <x:t xml:space="preserve">3094104</x:t>
        </x:is>
      </x:c>
      <x:c r="V497" s="607" t="inlineStr">
        <x:is>
          <x:t xml:space="preserve">v4-market-dirichlet-20260913</x:t>
        </x:is>
      </x:c>
      <x:c r="W497" s="607" t="n">
        <x:f>IF(OR(U497="",U497="待结算"),"",IF(U497="红",V497,IF(U497="半红",V497*0.5,IF(U497="走",0,IF(U497="半黑",-0.5,-1)))))</x:f>
        <x:v>-1</x:v>
      </x:c>
      <x:c r="X497" s="608" t="inlineStr">
        <x:is>
          <x:t xml:space="preserve">C</x:t>
        </x:is>
      </x:c>
      <x:c r="Y497" s="608" t="n"/>
      <x:c r="Z497" s="608" t="n"/>
      <x:c r="AA497" s="608" t="n"/>
      <x:c r="AB497" s="608" t="n"/>
      <x:c r="AC497" s="608" t="n"/>
      <x:c r="AD497" s="608" t="n"/>
      <x:c r="AE497" s="608" t="n"/>
      <x:c r="AF497" s="608" t="n"/>
      <x:c r="AG497" s="608" t="n"/>
      <x:c r="AH497" s="608" t="n"/>
      <x:c r="AI497" s="608" t="n"/>
      <x:c r="AJ497" s="608" t="n"/>
      <x:c r="AK497" s="608" t="n"/>
      <x:c r="AL497" s="608" t="n"/>
      <x:c r="AM497" s="608" t="n"/>
      <x:c r="AN497" s="608" t="n"/>
      <x:c r="AO497" s="608" t="n"/>
      <x:c r="AP497" s="608" t="n"/>
      <x:c r="AQ497" s="608" t="n"/>
      <x:c r="AR497" s="608" t="n"/>
      <x:c r="AS497" s="608" t="n"/>
      <x:c r="AT497" s="608" t="n"/>
      <x:c r="AU497" s="608" t="n"/>
      <x:c r="AV497" s="608" t="n"/>
      <x:c r="AW497" s="608" t="n"/>
      <x:c r="AX497" s="608" t="n"/>
      <x:c r="AY497" s="608" t="n"/>
    </x:row>
    <x:row r="498" ht="22" customHeight="1">
      <x:c r="A498" s="604" t="inlineStr">
        <x:is>
          <x:t xml:space="preserve">2026-09-27</x:t>
        </x:is>
      </x:c>
      <x:c r="B498" s="604" t="inlineStr">
        <x:is>
          <x:t xml:space="preserve">2026-09-28 03:00:00</x:t>
        </x:is>
      </x:c>
      <x:c r="C498" s="604" t="str">
        <x:v>南美系列</x:v>
      </x:c>
      <x:c r="D498" s="604" t="inlineStr">
        <x:is>
          <x:t xml:space="preserve">联赛</x:t>
        </x:is>
      </x:c>
      <x:c r="E498" s="604" t="inlineStr">
        <x:is>
          <x:t xml:space="preserve">巴西乙</x:t>
        </x:is>
      </x:c>
      <x:c r="F498" s="604" t="inlineStr">
        <x:is>
          <x:t xml:space="preserve">雷加塔斯巴西 vs 库亚巴</x:t>
        </x:is>
      </x:c>
      <x:c r="G498" s="611" t="n">
        <x:v>1.03</x:v>
      </x:c>
      <x:c r="H498" s="611" t="n">
        <x:v>0.5</x:v>
      </x:c>
      <x:c r="I498" s="611" t="n">
        <x:v>0.85</x:v>
      </x:c>
      <x:c r="J498" s="604" t="inlineStr">
        <x:is>
          <x:t xml:space="preserve">1.03/0.5/0.85</x:t>
        </x:is>
      </x:c>
      <x:c r="K498" s="604" t="inlineStr">
        <x:is>
          <x:t xml:space="preserve">V4-C最新版候选</x:t>
        </x:is>
      </x:c>
      <x:c r="L498" s="604" t="inlineStr">
        <x:is>
          <x:t xml:space="preserve">雷加塔斯巴西</x:t>
        </x:is>
      </x:c>
      <x:c r="M498" s="606" t="n">
        <x:v>0.542</x:v>
      </x:c>
      <x:c r="N498" s="604" t="inlineStr">
        <x:is>
          <x:t xml:space="preserve">V4最新页面A/B/C候选</x:t>
        </x:is>
      </x:c>
      <x:c r="O498" s="604" t="inlineStr">
        <x:is>
          <x:t xml:space="preserve">3-0</x:t>
        </x:is>
      </x:c>
      <x:c r="P498" s="604" t="inlineStr">
        <x:is>
          <x:t xml:space="preserve">已结算</x:t>
        </x:is>
      </x:c>
      <x:c r="Q498" s="645" t="inlineStr">
        <x:is>
          <x:t xml:space="preserve">红</x:t>
        </x:is>
      </x:c>
      <x:c r="R498" s="607" t="n">
        <x:v>1.03</x:v>
      </x:c>
      <x:c r="S498" s="607" t="n">
        <x:f>IF(OR(Q498="",Q498="待结算"),"",IF(Q498="红",R498,IF(Q498="半红",R498*0.5,IF(Q498="走",0,IF(Q498="半黑",-0.5,-1)))))</x:f>
        <x:v>1.03</x:v>
      </x:c>
      <x:c r="T498" s="604" t="inlineStr">
        <x:is>
          <x:t xml:space="preserve">https://simondongxiao.github.io/odds/v4/</x:t>
        </x:is>
      </x:c>
      <x:c r="U498" s="604" t="inlineStr">
        <x:is>
          <x:t xml:space="preserve">2940197</x:t>
        </x:is>
      </x:c>
      <x:c r="V498" s="607" t="inlineStr">
        <x:is>
          <x:t xml:space="preserve">v4-market-dirichlet-20260913</x:t>
        </x:is>
      </x:c>
      <x:c r="W498" s="607" t="n">
        <x:f>IF(OR(U498="",U498="待结算"),"",IF(U498="红",V498,IF(U498="半红",V498*0.5,IF(U498="走",0,IF(U498="半黑",-0.5,-1)))))</x:f>
        <x:v>-1</x:v>
      </x:c>
      <x:c r="X498" s="608" t="inlineStr">
        <x:is>
          <x:t xml:space="preserve">C</x:t>
        </x:is>
      </x:c>
      <x:c r="Y498" s="608" t="n"/>
      <x:c r="Z498" s="608" t="n"/>
      <x:c r="AA498" s="608" t="n"/>
      <x:c r="AB498" s="608" t="n"/>
      <x:c r="AC498" s="608" t="n"/>
      <x:c r="AD498" s="608" t="n"/>
      <x:c r="AE498" s="608" t="n"/>
      <x:c r="AF498" s="608" t="n"/>
      <x:c r="AG498" s="608" t="n"/>
      <x:c r="AH498" s="608" t="n"/>
      <x:c r="AI498" s="608" t="n"/>
      <x:c r="AJ498" s="608" t="n"/>
      <x:c r="AK498" s="608" t="n"/>
      <x:c r="AL498" s="608" t="n"/>
      <x:c r="AM498" s="608" t="n"/>
      <x:c r="AN498" s="608" t="n"/>
      <x:c r="AO498" s="608" t="n"/>
      <x:c r="AP498" s="608" t="n"/>
      <x:c r="AQ498" s="608" t="n"/>
      <x:c r="AR498" s="608" t="n"/>
      <x:c r="AS498" s="608" t="n"/>
      <x:c r="AT498" s="608" t="n"/>
      <x:c r="AU498" s="608" t="n"/>
      <x:c r="AV498" s="608" t="n"/>
      <x:c r="AW498" s="608" t="n"/>
      <x:c r="AX498" s="608" t="n"/>
      <x:c r="AY498" s="608" t="n"/>
    </x:row>
    <x:row r="499" ht="22" customHeight="1">
      <x:c r="A499" s="604" t="inlineStr">
        <x:is>
          <x:t xml:space="preserve">2026-09-27</x:t>
        </x:is>
      </x:c>
      <x:c r="B499" s="604" t="inlineStr">
        <x:is>
          <x:t xml:space="preserve">2026-09-28 03:00:00</x:t>
        </x:is>
      </x:c>
      <x:c r="C499" s="604" t="str">
        <x:v>南美系列</x:v>
      </x:c>
      <x:c r="D499" s="604" t="inlineStr">
        <x:is>
          <x:t xml:space="preserve">联赛</x:t>
        </x:is>
      </x:c>
      <x:c r="E499" s="604" t="inlineStr">
        <x:is>
          <x:t xml:space="preserve">阿乙</x:t>
        </x:is>
      </x:c>
      <x:c r="F499" s="604" t="inlineStr">
        <x:is>
          <x:t xml:space="preserve">米特雷圣地亚哥竞技 vs 圣德尔模</x:t>
        </x:is>
      </x:c>
      <x:c r="G499" s="611" t="n">
        <x:v>0.77</x:v>
      </x:c>
      <x:c r="H499" s="611" t="n">
        <x:v>0.5</x:v>
      </x:c>
      <x:c r="I499" s="611" t="n">
        <x:v>0.99</x:v>
      </x:c>
      <x:c r="J499" s="604" t="inlineStr">
        <x:is>
          <x:t xml:space="preserve">0.77/0.5/0.99</x:t>
        </x:is>
      </x:c>
      <x:c r="K499" s="604" t="inlineStr">
        <x:is>
          <x:t xml:space="preserve">V4-C最新版候选</x:t>
        </x:is>
      </x:c>
      <x:c r="L499" s="604" t="inlineStr">
        <x:is>
          <x:t xml:space="preserve">圣德尔模</x:t>
        </x:is>
      </x:c>
      <x:c r="M499" s="606" t="n">
        <x:v>0.5094</x:v>
      </x:c>
      <x:c r="N499" s="604" t="inlineStr">
        <x:is>
          <x:t xml:space="preserve">V4最新页面A/B/C候选</x:t>
        </x:is>
      </x:c>
      <x:c r="O499" s="604" t="inlineStr">
        <x:is>
          <x:t xml:space="preserve">0-2</x:t>
        </x:is>
      </x:c>
      <x:c r="P499" s="604" t="inlineStr">
        <x:is>
          <x:t xml:space="preserve">已结算</x:t>
        </x:is>
      </x:c>
      <x:c r="Q499" s="645" t="inlineStr">
        <x:is>
          <x:t xml:space="preserve">红</x:t>
        </x:is>
      </x:c>
      <x:c r="R499" s="607" t="n">
        <x:v>0.99</x:v>
      </x:c>
      <x:c r="S499" s="607" t="n">
        <x:f>IF(OR(Q499="",Q499="待结算"),"",IF(Q499="红",R499,IF(Q499="半红",R499*0.5,IF(Q499="走",0,IF(Q499="半黑",-0.5,-1)))))</x:f>
        <x:v>0.99</x:v>
      </x:c>
      <x:c r="T499" s="604" t="inlineStr">
        <x:is>
          <x:t xml:space="preserve">https://simondongxiao.github.io/odds/v4/</x:t>
        </x:is>
      </x:c>
      <x:c r="U499" s="604" t="inlineStr">
        <x:is>
          <x:t xml:space="preserve">2916704</x:t>
        </x:is>
      </x:c>
      <x:c r="V499" s="607" t="inlineStr">
        <x:is>
          <x:t xml:space="preserve">v4-market-dirichlet-20260913</x:t>
        </x:is>
      </x:c>
      <x:c r="W499" s="607" t="n">
        <x:f>IF(OR(U499="",U499="待结算"),"",IF(U499="红",V499,IF(U499="半红",V499*0.5,IF(U499="走",0,IF(U499="半黑",-0.5,-1)))))</x:f>
        <x:v>-1</x:v>
      </x:c>
      <x:c r="X499" s="608" t="inlineStr">
        <x:is>
          <x:t xml:space="preserve">C</x:t>
        </x:is>
      </x:c>
      <x:c r="Y499" s="608" t="n"/>
      <x:c r="Z499" s="608" t="n"/>
      <x:c r="AA499" s="608" t="n"/>
      <x:c r="AB499" s="608" t="n"/>
      <x:c r="AC499" s="608" t="n"/>
      <x:c r="AD499" s="608" t="n"/>
      <x:c r="AE499" s="608" t="n"/>
      <x:c r="AF499" s="608" t="n"/>
      <x:c r="AG499" s="608" t="n"/>
      <x:c r="AH499" s="608" t="n"/>
      <x:c r="AI499" s="608" t="n"/>
      <x:c r="AJ499" s="608" t="n"/>
      <x:c r="AK499" s="608" t="n"/>
      <x:c r="AL499" s="608" t="n"/>
      <x:c r="AM499" s="608" t="n"/>
      <x:c r="AN499" s="608" t="n"/>
      <x:c r="AO499" s="608" t="n"/>
      <x:c r="AP499" s="608" t="n"/>
      <x:c r="AQ499" s="608" t="n"/>
      <x:c r="AR499" s="608" t="n"/>
      <x:c r="AS499" s="608" t="n"/>
      <x:c r="AT499" s="608" t="n"/>
      <x:c r="AU499" s="608" t="n"/>
      <x:c r="AV499" s="608" t="n"/>
      <x:c r="AW499" s="608" t="n"/>
      <x:c r="AX499" s="608" t="n"/>
      <x:c r="AY499" s="608" t="n"/>
    </x:row>
    <x:row r="500" ht="22" customHeight="1">
      <x:c r="A500" s="604" t="inlineStr">
        <x:is>
          <x:t xml:space="preserve">2026-09-27</x:t>
        </x:is>
      </x:c>
      <x:c r="B500" s="604" t="inlineStr">
        <x:is>
          <x:t xml:space="preserve">2026-09-28 04:00:00</x:t>
        </x:is>
      </x:c>
      <x:c r="C500" s="604" t="str">
        <x:v>南美系列</x:v>
      </x:c>
      <x:c r="D500" s="604" t="inlineStr">
        <x:is>
          <x:t xml:space="preserve">联赛</x:t>
        </x:is>
      </x:c>
      <x:c r="E500" s="604" t="inlineStr">
        <x:is>
          <x:t xml:space="preserve">阿乙</x:t>
        </x:is>
      </x:c>
      <x:c r="F500" s="604" t="inlineStr">
        <x:is>
          <x:t xml:space="preserve">科多巴竞赛会 vs 戈多伊克鲁斯</x:t>
        </x:is>
      </x:c>
      <x:c r="G500" s="611" t="n">
        <x:v>0.73</x:v>
      </x:c>
      <x:c r="H500" s="611" t="n">
        <x:v>-0.25</x:v>
      </x:c>
      <x:c r="I500" s="611" t="n">
        <x:v>1.03</x:v>
      </x:c>
      <x:c r="J500" s="604" t="inlineStr">
        <x:is>
          <x:t xml:space="preserve">0.73/-0.25/1.03</x:t>
        </x:is>
      </x:c>
      <x:c r="K500" s="604" t="inlineStr">
        <x:is>
          <x:t xml:space="preserve">V4-C最新版候选</x:t>
        </x:is>
      </x:c>
      <x:c r="L500" s="604" t="inlineStr">
        <x:is>
          <x:t xml:space="preserve">戈多伊克鲁斯</x:t>
        </x:is>
      </x:c>
      <x:c r="M500" s="606" t="n">
        <x:v>0.584</x:v>
      </x:c>
      <x:c r="N500" s="604" t="inlineStr">
        <x:is>
          <x:t xml:space="preserve">V4最新页面A/B/C候选</x:t>
        </x:is>
      </x:c>
      <x:c r="O500" s="604" t="inlineStr">
        <x:is>
          <x:t xml:space="preserve">2-2</x:t>
        </x:is>
      </x:c>
      <x:c r="P500" s="604" t="inlineStr">
        <x:is>
          <x:t xml:space="preserve">已结算</x:t>
        </x:is>
      </x:c>
      <x:c r="Q500" s="648" t="inlineStr">
        <x:is>
          <x:t xml:space="preserve">半黑</x:t>
        </x:is>
      </x:c>
      <x:c r="R500" s="607" t="n">
        <x:v>1.03</x:v>
      </x:c>
      <x:c r="S500" s="607" t="n">
        <x:f>IF(OR(Q500="",Q500="待结算"),"",IF(Q500="红",R500,IF(Q500="半红",R500*0.5,IF(Q500="走",0,IF(Q500="半黑",-0.5,-1)))))</x:f>
        <x:v>-0.5</x:v>
      </x:c>
      <x:c r="T500" s="604" t="inlineStr">
        <x:is>
          <x:t xml:space="preserve">https://simondongxiao.github.io/odds/v4/</x:t>
        </x:is>
      </x:c>
      <x:c r="U500" s="604" t="inlineStr">
        <x:is>
          <x:t xml:space="preserve">2916716</x:t>
        </x:is>
      </x:c>
      <x:c r="V500" s="607" t="inlineStr">
        <x:is>
          <x:t xml:space="preserve">v4-market-dirichlet-20260913</x:t>
        </x:is>
      </x:c>
      <x:c r="W500" s="607" t="n">
        <x:f>IF(OR(U500="",U500="待结算"),"",IF(U500="红",V500,IF(U500="半红",V500*0.5,IF(U500="走",0,IF(U500="半黑",-0.5,-1)))))</x:f>
        <x:v>-1</x:v>
      </x:c>
      <x:c r="X500" s="608" t="inlineStr">
        <x:is>
          <x:t xml:space="preserve">C</x:t>
        </x:is>
      </x:c>
      <x:c r="Y500" s="608" t="n"/>
      <x:c r="Z500" s="608" t="n"/>
      <x:c r="AA500" s="608" t="n"/>
      <x:c r="AB500" s="608" t="n"/>
      <x:c r="AC500" s="608" t="n"/>
      <x:c r="AD500" s="608" t="n"/>
      <x:c r="AE500" s="608" t="n"/>
      <x:c r="AF500" s="608" t="n"/>
      <x:c r="AG500" s="608" t="n"/>
      <x:c r="AH500" s="608" t="n"/>
      <x:c r="AI500" s="608" t="n"/>
      <x:c r="AJ500" s="608" t="n"/>
      <x:c r="AK500" s="608" t="n"/>
      <x:c r="AL500" s="608" t="n"/>
      <x:c r="AM500" s="608" t="n"/>
      <x:c r="AN500" s="608" t="n"/>
      <x:c r="AO500" s="608" t="n"/>
      <x:c r="AP500" s="608" t="n"/>
      <x:c r="AQ500" s="608" t="n"/>
      <x:c r="AR500" s="608" t="n"/>
      <x:c r="AS500" s="608" t="n"/>
      <x:c r="AT500" s="608" t="n"/>
      <x:c r="AU500" s="608" t="n"/>
      <x:c r="AV500" s="608" t="n"/>
      <x:c r="AW500" s="608" t="n"/>
      <x:c r="AX500" s="608" t="n"/>
      <x:c r="AY500" s="608" t="n"/>
    </x:row>
    <x:row r="501" ht="22" customHeight="1">
      <x:c r="A501" s="604" t="inlineStr">
        <x:is>
          <x:t xml:space="preserve">2026-09-27</x:t>
        </x:is>
      </x:c>
      <x:c r="B501" s="604" t="inlineStr">
        <x:is>
          <x:t xml:space="preserve">2026-09-28 04:30:00</x:t>
        </x:is>
      </x:c>
      <x:c r="C501" s="604" t="str">
        <x:v>其他系列</x:v>
      </x:c>
      <x:c r="D501" s="604" t="inlineStr">
        <x:is>
          <x:t xml:space="preserve">杯赛</x:t>
        </x:is>
      </x:c>
      <x:c r="E501" s="604" t="inlineStr">
        <x:is>
          <x:t xml:space="preserve">国际友谊</x:t>
        </x:is>
      </x:c>
      <x:c r="F501" s="604" t="inlineStr">
        <x:is>
          <x:t xml:space="preserve">玻利维亚(中) vs 巴拉圭</x:t>
        </x:is>
      </x:c>
      <x:c r="G501" s="611" t="n">
        <x:v>0.84</x:v>
      </x:c>
      <x:c r="H501" s="611" t="n">
        <x:v>-1.25</x:v>
      </x:c>
      <x:c r="I501" s="611" t="n">
        <x:v>0.98</x:v>
      </x:c>
      <x:c r="J501" s="604" t="inlineStr">
        <x:is>
          <x:t xml:space="preserve">0.84/-1.25/0.98</x:t>
        </x:is>
      </x:c>
      <x:c r="K501" s="604" t="inlineStr">
        <x:is>
          <x:t xml:space="preserve">V4-C最新版候选</x:t>
        </x:is>
      </x:c>
      <x:c r="L501" s="604" t="inlineStr">
        <x:is>
          <x:t xml:space="preserve">巴拉圭</x:t>
        </x:is>
      </x:c>
      <x:c r="M501" s="606" t="n">
        <x:v>0.492</x:v>
      </x:c>
      <x:c r="N501" s="604" t="inlineStr">
        <x:is>
          <x:t xml:space="preserve">V4最新页面A/B/C候选</x:t>
        </x:is>
      </x:c>
      <x:c r="O501" s="604" t="inlineStr">
        <x:is>
          <x:t xml:space="preserve">0-2</x:t>
        </x:is>
      </x:c>
      <x:c r="P501" s="604" t="inlineStr">
        <x:is>
          <x:t xml:space="preserve">已结算</x:t>
        </x:is>
      </x:c>
      <x:c r="Q501" s="645" t="inlineStr">
        <x:is>
          <x:t xml:space="preserve">红</x:t>
        </x:is>
      </x:c>
      <x:c r="R501" s="607" t="n">
        <x:v>0.98</x:v>
      </x:c>
      <x:c r="S501" s="607" t="n">
        <x:f>IF(OR(Q501="",Q501="待结算"),"",IF(Q501="红",R501,IF(Q501="半红",R501*0.5,IF(Q501="走",0,IF(Q501="半黑",-0.5,-1)))))</x:f>
        <x:v>0.98</x:v>
      </x:c>
      <x:c r="T501" s="604" t="inlineStr">
        <x:is>
          <x:t xml:space="preserve">https://simondongxiao.github.io/odds/v4/</x:t>
        </x:is>
      </x:c>
      <x:c r="U501" s="604" t="inlineStr">
        <x:is>
          <x:t xml:space="preserve">3094358</x:t>
        </x:is>
      </x:c>
      <x:c r="V501" s="607" t="inlineStr">
        <x:is>
          <x:t xml:space="preserve">v4-market-dirichlet-20260913</x:t>
        </x:is>
      </x:c>
      <x:c r="W501" s="607" t="n">
        <x:f>IF(OR(U501="",U501="待结算"),"",IF(U501="红",V501,IF(U501="半红",V501*0.5,IF(U501="走",0,IF(U501="半黑",-0.5,-1)))))</x:f>
        <x:v>-1</x:v>
      </x:c>
      <x:c r="X501" s="608" t="inlineStr">
        <x:is>
          <x:t xml:space="preserve">C</x:t>
        </x:is>
      </x:c>
      <x:c r="Y501" s="608" t="n"/>
      <x:c r="Z501" s="608" t="n"/>
      <x:c r="AA501" s="608" t="n"/>
      <x:c r="AB501" s="608" t="n"/>
      <x:c r="AC501" s="608" t="n"/>
      <x:c r="AD501" s="608" t="n"/>
      <x:c r="AE501" s="608" t="n"/>
      <x:c r="AF501" s="608" t="n"/>
      <x:c r="AG501" s="608" t="n"/>
      <x:c r="AH501" s="608" t="n"/>
      <x:c r="AI501" s="608" t="n"/>
      <x:c r="AJ501" s="608" t="n"/>
      <x:c r="AK501" s="608" t="n"/>
      <x:c r="AL501" s="608" t="n"/>
      <x:c r="AM501" s="608" t="n"/>
      <x:c r="AN501" s="608" t="n"/>
      <x:c r="AO501" s="608" t="n"/>
      <x:c r="AP501" s="608" t="n"/>
      <x:c r="AQ501" s="608" t="n"/>
      <x:c r="AR501" s="608" t="n"/>
      <x:c r="AS501" s="608" t="n"/>
      <x:c r="AT501" s="608" t="n"/>
      <x:c r="AU501" s="608" t="n"/>
      <x:c r="AV501" s="608" t="n"/>
      <x:c r="AW501" s="608" t="n"/>
      <x:c r="AX501" s="608" t="n"/>
      <x:c r="AY501" s="608" t="n"/>
    </x:row>
    <x:row r="502" ht="22" customHeight="1">
      <x:c r="A502" s="604" t="inlineStr">
        <x:is>
          <x:t xml:space="preserve">2026-09-27</x:t>
        </x:is>
      </x:c>
      <x:c r="B502" s="604" t="inlineStr">
        <x:is>
          <x:t xml:space="preserve">2026-09-28 05:15:00</x:t>
        </x:is>
      </x:c>
      <x:c r="C502" s="604" t="str">
        <x:v>南美系列</x:v>
      </x:c>
      <x:c r="D502" s="604" t="inlineStr">
        <x:is>
          <x:t xml:space="preserve">杯赛</x:t>
        </x:is>
      </x:c>
      <x:c r="E502" s="604" t="inlineStr">
        <x:is>
          <x:t xml:space="preserve">玻利杯</x:t>
        </x:is>
      </x:c>
      <x:c r="F502" s="604" t="inlineStr">
        <x:is>
          <x:t xml:space="preserve">玻利瓦尔 vs 布鲁明</x:t>
        </x:is>
      </x:c>
      <x:c r="G502" s="611" t="n">
        <x:v>0.65</x:v>
      </x:c>
      <x:c r="H502" s="611" t="n">
        <x:v>2</x:v>
      </x:c>
      <x:c r="I502" s="611" t="n">
        <x:v>1.12</x:v>
      </x:c>
      <x:c r="J502" s="604" t="inlineStr">
        <x:is>
          <x:t xml:space="preserve">0.65/2.0/1.12</x:t>
        </x:is>
      </x:c>
      <x:c r="K502" s="604" t="inlineStr">
        <x:is>
          <x:t xml:space="preserve">V4-C最新版候选</x:t>
        </x:is>
      </x:c>
      <x:c r="L502" s="604" t="inlineStr">
        <x:is>
          <x:t xml:space="preserve">玻利瓦尔</x:t>
        </x:is>
      </x:c>
      <x:c r="M502" s="606" t="n">
        <x:v>0.631</x:v>
      </x:c>
      <x:c r="N502" s="604" t="inlineStr">
        <x:is>
          <x:t xml:space="preserve">V4最新页面A/B/C候选</x:t>
        </x:is>
      </x:c>
      <x:c r="O502" s="604" t="inlineStr">
        <x:is>
          <x:t xml:space="preserve">3-0</x:t>
        </x:is>
      </x:c>
      <x:c r="P502" s="604" t="inlineStr">
        <x:is>
          <x:t xml:space="preserve">已结算</x:t>
        </x:is>
      </x:c>
      <x:c r="Q502" s="645" t="inlineStr">
        <x:is>
          <x:t xml:space="preserve">红</x:t>
        </x:is>
      </x:c>
      <x:c r="R502" s="607" t="n">
        <x:v>0.65</x:v>
      </x:c>
      <x:c r="S502" s="607" t="n">
        <x:f>IF(OR(Q502="",Q502="待结算"),"",IF(Q502="红",R502,IF(Q502="半红",R502*0.5,IF(Q502="走",0,IF(Q502="半黑",-0.5,-1)))))</x:f>
        <x:v>0.65</x:v>
      </x:c>
      <x:c r="T502" s="604" t="inlineStr">
        <x:is>
          <x:t xml:space="preserve">https://simondongxiao.github.io/odds/v4/</x:t>
        </x:is>
      </x:c>
      <x:c r="U502" s="604" t="inlineStr">
        <x:is>
          <x:t xml:space="preserve">3061660</x:t>
        </x:is>
      </x:c>
      <x:c r="V502" s="607" t="inlineStr">
        <x:is>
          <x:t xml:space="preserve">v4-market-dirichlet-20260913</x:t>
        </x:is>
      </x:c>
      <x:c r="W502" s="607" t="n">
        <x:f>IF(OR(U502="",U502="待结算"),"",IF(U502="红",V502,IF(U502="半红",V502*0.5,IF(U502="走",0,IF(U502="半黑",-0.5,-1)))))</x:f>
        <x:v>-1</x:v>
      </x:c>
      <x:c r="X502" s="608" t="inlineStr">
        <x:is>
          <x:t xml:space="preserve">C</x:t>
        </x:is>
      </x:c>
      <x:c r="Y502" s="608" t="n"/>
      <x:c r="Z502" s="608" t="n"/>
      <x:c r="AA502" s="608" t="n"/>
      <x:c r="AB502" s="608" t="n"/>
      <x:c r="AC502" s="608" t="n"/>
      <x:c r="AD502" s="608" t="n"/>
      <x:c r="AE502" s="608" t="n"/>
      <x:c r="AF502" s="608" t="n"/>
      <x:c r="AG502" s="608" t="n"/>
      <x:c r="AH502" s="608" t="n"/>
      <x:c r="AI502" s="608" t="n"/>
      <x:c r="AJ502" s="608" t="n"/>
      <x:c r="AK502" s="608" t="n"/>
      <x:c r="AL502" s="608" t="n"/>
      <x:c r="AM502" s="608" t="n"/>
      <x:c r="AN502" s="608" t="n"/>
      <x:c r="AO502" s="608" t="n"/>
      <x:c r="AP502" s="608" t="n"/>
      <x:c r="AQ502" s="608" t="n"/>
      <x:c r="AR502" s="608" t="n"/>
      <x:c r="AS502" s="608" t="n"/>
      <x:c r="AT502" s="608" t="n"/>
      <x:c r="AU502" s="608" t="n"/>
      <x:c r="AV502" s="608" t="n"/>
      <x:c r="AW502" s="608" t="n"/>
      <x:c r="AX502" s="608" t="n"/>
      <x:c r="AY502" s="608" t="n"/>
    </x:row>
    <x:row r="503" ht="22" customHeight="1">
      <x:c r="A503" s="604" t="inlineStr">
        <x:is>
          <x:t xml:space="preserve">2026-09-27</x:t>
        </x:is>
      </x:c>
      <x:c r="B503" s="604" t="inlineStr">
        <x:is>
          <x:t xml:space="preserve">2026-09-28 07:00:00</x:t>
        </x:is>
      </x:c>
      <x:c r="C503" s="604" t="str">
        <x:v>北美系列</x:v>
      </x:c>
      <x:c r="D503" s="604" t="inlineStr">
        <x:is>
          <x:t xml:space="preserve">联赛</x:t>
        </x:is>
      </x:c>
      <x:c r="E503" s="604" t="inlineStr">
        <x:is>
          <x:t xml:space="preserve">美职业</x:t>
        </x:is>
      </x:c>
      <x:c r="F503" s="604" t="inlineStr">
        <x:is>
          <x:t xml:space="preserve">哥伦布机员 vs 迈阿密国际</x:t>
        </x:is>
      </x:c>
      <x:c r="G503" s="611" t="n">
        <x:v>0.86</x:v>
      </x:c>
      <x:c r="H503" s="611" t="n">
        <x:v>-0.25</x:v>
      </x:c>
      <x:c r="I503" s="611" t="n">
        <x:v>1.03</x:v>
      </x:c>
      <x:c r="J503" s="604" t="inlineStr">
        <x:is>
          <x:t xml:space="preserve">0.86/-0.25/1.03</x:t>
        </x:is>
      </x:c>
      <x:c r="K503" s="604" t="inlineStr">
        <x:is>
          <x:t xml:space="preserve">V4-C最新版候选</x:t>
        </x:is>
      </x:c>
      <x:c r="L503" s="604" t="inlineStr">
        <x:is>
          <x:t xml:space="preserve">迈阿密国际</x:t>
        </x:is>
      </x:c>
      <x:c r="M503" s="606" t="n">
        <x:v>0.5911999999999999</x:v>
      </x:c>
      <x:c r="N503" s="604" t="inlineStr">
        <x:is>
          <x:t xml:space="preserve">V4最新页面A/B/C候选</x:t>
        </x:is>
      </x:c>
      <x:c r="O503" s="604" t="inlineStr">
        <x:is>
          <x:t xml:space="preserve">2-1</x:t>
        </x:is>
      </x:c>
      <x:c r="P503" s="604" t="inlineStr">
        <x:is>
          <x:t xml:space="preserve">已结算</x:t>
        </x:is>
      </x:c>
      <x:c r="Q503" s="646" t="inlineStr">
        <x:is>
          <x:t xml:space="preserve">黑</x:t>
        </x:is>
      </x:c>
      <x:c r="R503" s="607" t="n">
        <x:v>1.03</x:v>
      </x:c>
      <x:c r="S503" s="607" t="n">
        <x:f>IF(OR(Q503="",Q503="待结算"),"",IF(Q503="红",R503,IF(Q503="半红",R503*0.5,IF(Q503="走",0,IF(Q503="半黑",-0.5,-1)))))</x:f>
        <x:v>-1</x:v>
      </x:c>
      <x:c r="T503" s="604" t="inlineStr">
        <x:is>
          <x:t xml:space="preserve">https://www.mlssoccer.com/competitions/mls-regular-season/2026/matches/clbvsmia-09-27-2026/feed</x:t>
        </x:is>
      </x:c>
      <x:c r="U503" s="604" t="inlineStr">
        <x:is>
          <x:t xml:space="preserve">2908817</x:t>
        </x:is>
      </x:c>
      <x:c r="V503" s="607" t="inlineStr">
        <x:is>
          <x:t xml:space="preserve">v4-market-dirichlet-20260913</x:t>
        </x:is>
      </x:c>
      <x:c r="W503" s="607" t="n">
        <x:f>IF(OR(U503="",U503="待结算"),"",IF(U503="红",V503,IF(U503="半红",V503*0.5,IF(U503="走",0,IF(U503="半黑",-0.5,-1)))))</x:f>
        <x:v>-1</x:v>
      </x:c>
      <x:c r="X503" s="608" t="inlineStr">
        <x:is>
          <x:t xml:space="preserve">C</x:t>
        </x:is>
      </x:c>
      <x:c r="Y503" s="608" t="n"/>
      <x:c r="Z503" s="608" t="n"/>
      <x:c r="AA503" s="608" t="n"/>
      <x:c r="AB503" s="608" t="n"/>
      <x:c r="AC503" s="608" t="n"/>
      <x:c r="AD503" s="608" t="n"/>
      <x:c r="AE503" s="608" t="n"/>
      <x:c r="AF503" s="608" t="n"/>
      <x:c r="AG503" s="608" t="n"/>
      <x:c r="AH503" s="608" t="n"/>
      <x:c r="AI503" s="608" t="n"/>
      <x:c r="AJ503" s="608" t="n"/>
      <x:c r="AK503" s="608" t="n"/>
      <x:c r="AL503" s="608" t="n"/>
      <x:c r="AM503" s="608" t="n"/>
      <x:c r="AN503" s="608" t="n"/>
      <x:c r="AO503" s="608" t="n"/>
      <x:c r="AP503" s="608" t="n"/>
      <x:c r="AQ503" s="608" t="n"/>
      <x:c r="AR503" s="608" t="n"/>
      <x:c r="AS503" s="608" t="n"/>
      <x:c r="AT503" s="608" t="n"/>
      <x:c r="AU503" s="608" t="n"/>
      <x:c r="AV503" s="608" t="n"/>
      <x:c r="AW503" s="608" t="n"/>
      <x:c r="AX503" s="608" t="n"/>
      <x:c r="AY503" s="608" t="n"/>
    </x:row>
    <x:row r="504" ht="22" customHeight="1">
      <x:c r="A504" s="604" t="inlineStr">
        <x:is>
          <x:t xml:space="preserve">2026-09-27</x:t>
        </x:is>
      </x:c>
      <x:c r="B504" s="604" t="inlineStr">
        <x:is>
          <x:t xml:space="preserve">2026-09-28 07:00:00</x:t>
        </x:is>
      </x:c>
      <x:c r="C504" s="604" t="str">
        <x:v>北美系列</x:v>
      </x:c>
      <x:c r="D504" s="604" t="inlineStr">
        <x:is>
          <x:t xml:space="preserve">联赛</x:t>
        </x:is>
      </x:c>
      <x:c r="E504" s="604" t="inlineStr">
        <x:is>
          <x:t xml:space="preserve">墨西甲春</x:t>
        </x:is>
      </x:c>
      <x:c r="F504" s="604" t="inlineStr">
        <x:is>
          <x:t xml:space="preserve">塔巴蒂奥 vs 帕蒂特兰德莫雷洛斯</x:t>
        </x:is>
      </x:c>
      <x:c r="G504" s="611" t="n">
        <x:v>0.87</x:v>
      </x:c>
      <x:c r="H504" s="611" t="n">
        <x:v>1</x:v>
      </x:c>
      <x:c r="I504" s="611" t="n">
        <x:v>0.95</x:v>
      </x:c>
      <x:c r="J504" s="604" t="inlineStr">
        <x:is>
          <x:t xml:space="preserve">0.87/1.0/0.95</x:t>
        </x:is>
      </x:c>
      <x:c r="K504" s="604" t="inlineStr">
        <x:is>
          <x:t xml:space="preserve">V4-C最新版候选</x:t>
        </x:is>
      </x:c>
      <x:c r="L504" s="604" t="inlineStr">
        <x:is>
          <x:t xml:space="preserve">帕蒂特兰德莫雷洛斯</x:t>
        </x:is>
      </x:c>
      <x:c r="M504" s="606" t="n">
        <x:v>0.6879999999999999</x:v>
      </x:c>
      <x:c r="N504" s="604" t="inlineStr">
        <x:is>
          <x:t xml:space="preserve">V4最新页面A/B/C候选</x:t>
        </x:is>
      </x:c>
      <x:c r="O504" s="604" t="inlineStr">
        <x:is>
          <x:t xml:space="preserve">推迟</x:t>
        </x:is>
      </x:c>
      <x:c r="P504" s="604" t="inlineStr">
        <x:is>
          <x:t xml:space="preserve">取消/延期</x:t>
        </x:is>
      </x:c>
      <x:c r="Q504" s="604" t="inlineStr">
        <x:is>
          <x:t xml:space="preserve">不计投</x:t>
        </x:is>
      </x:c>
      <x:c r="R504" s="607" t="n">
        <x:v>0.95</x:v>
      </x:c>
      <x:c r="S504" s="607" t="n"/>
      <x:c r="T504" s="604" t="inlineStr">
        <x:is>
          <x:t xml:space="preserve">https://bf.titan007.com/football/Over_20260927.htm</x:t>
        </x:is>
      </x:c>
      <x:c r="U504" s="604" t="inlineStr">
        <x:is>
          <x:t xml:space="preserve">3024460</x:t>
        </x:is>
      </x:c>
      <x:c r="V504" s="607" t="inlineStr">
        <x:is>
          <x:t xml:space="preserve">v4-market-dirichlet-20260913</x:t>
        </x:is>
      </x:c>
      <x:c r="W504" s="607" t="n">
        <x:f>IF(OR(U504="",U504="待结算"),"",IF(U504="红",V504,IF(U504="半红",V504*0.5,IF(U504="走",0,IF(U504="半黑",-0.5,-1)))))</x:f>
        <x:v>-1</x:v>
      </x:c>
      <x:c r="X504" s="608" t="inlineStr">
        <x:is>
          <x:t xml:space="preserve">C</x:t>
        </x:is>
      </x:c>
      <x:c r="Y504" s="608" t="n"/>
      <x:c r="Z504" s="608" t="n"/>
      <x:c r="AA504" s="608" t="n"/>
      <x:c r="AB504" s="608" t="n"/>
      <x:c r="AC504" s="608" t="n"/>
      <x:c r="AD504" s="608" t="n"/>
      <x:c r="AE504" s="608" t="n"/>
      <x:c r="AF504" s="608" t="n"/>
      <x:c r="AG504" s="608" t="n"/>
      <x:c r="AH504" s="608" t="n"/>
      <x:c r="AI504" s="608" t="n"/>
      <x:c r="AJ504" s="608" t="n"/>
      <x:c r="AK504" s="608" t="n"/>
      <x:c r="AL504" s="608" t="n"/>
      <x:c r="AM504" s="608" t="n"/>
      <x:c r="AN504" s="608" t="n"/>
      <x:c r="AO504" s="608" t="n"/>
      <x:c r="AP504" s="608" t="n"/>
      <x:c r="AQ504" s="608" t="n"/>
      <x:c r="AR504" s="608" t="n"/>
      <x:c r="AS504" s="608" t="n"/>
      <x:c r="AT504" s="608" t="n"/>
      <x:c r="AU504" s="608" t="n"/>
      <x:c r="AV504" s="608" t="n"/>
      <x:c r="AW504" s="608" t="n"/>
      <x:c r="AX504" s="608" t="n"/>
      <x:c r="AY504" s="608" t="n"/>
    </x:row>
    <x:row r="505" ht="22" customHeight="1">
      <x:c r="A505" s="604" t="inlineStr">
        <x:is>
          <x:t xml:space="preserve">2026-09-27</x:t>
        </x:is>
      </x:c>
      <x:c r="B505" s="604" t="inlineStr">
        <x:is>
          <x:t xml:space="preserve">2026-09-28 08:00:00</x:t>
        </x:is>
      </x:c>
      <x:c r="C505" s="604" t="str">
        <x:v>南美系列</x:v>
      </x:c>
      <x:c r="D505" s="604" t="inlineStr">
        <x:is>
          <x:t xml:space="preserve">联赛</x:t>
        </x:is>
      </x:c>
      <x:c r="E505" s="604" t="inlineStr">
        <x:is>
          <x:t xml:space="preserve">阿乙</x:t>
        </x:is>
      </x:c>
      <x:c r="F505" s="604" t="inlineStr">
        <x:is>
          <x:t xml:space="preserve">祖祖尔甘拿斯亚 vs 图库曼圣马丁</x:t>
        </x:is>
      </x:c>
      <x:c r="G505" s="611" t="n">
        <x:v>0.83</x:v>
      </x:c>
      <x:c r="H505" s="611" t="n">
        <x:v>0.25</x:v>
      </x:c>
      <x:c r="I505" s="611" t="n">
        <x:v>1.03</x:v>
      </x:c>
      <x:c r="J505" s="604" t="inlineStr">
        <x:is>
          <x:t xml:space="preserve">0.83/0.25/1.03</x:t>
        </x:is>
      </x:c>
      <x:c r="K505" s="604" t="inlineStr">
        <x:is>
          <x:t xml:space="preserve">V4-C最新版候选</x:t>
        </x:is>
      </x:c>
      <x:c r="L505" s="604" t="inlineStr">
        <x:is>
          <x:t xml:space="preserve">图库曼圣马丁</x:t>
        </x:is>
      </x:c>
      <x:c r="M505" s="606" t="n">
        <x:v>0.6052</x:v>
      </x:c>
      <x:c r="N505" s="604" t="inlineStr">
        <x:is>
          <x:t xml:space="preserve">V4最新页面A/B/C候选</x:t>
        </x:is>
      </x:c>
      <x:c r="O505" s="604" t="inlineStr">
        <x:is>
          <x:t xml:space="preserve">2-2</x:t>
        </x:is>
      </x:c>
      <x:c r="P505" s="604" t="inlineStr">
        <x:is>
          <x:t xml:space="preserve">已结算</x:t>
        </x:is>
      </x:c>
      <x:c r="Q505" s="649" t="inlineStr">
        <x:is>
          <x:t xml:space="preserve">半红</x:t>
        </x:is>
      </x:c>
      <x:c r="R505" s="607" t="n">
        <x:v>1.03</x:v>
      </x:c>
      <x:c r="S505" s="607" t="n">
        <x:f>IF(OR(Q505="",Q505="待结算"),"",IF(Q505="红",R505,IF(Q505="半红",R505*0.5,IF(Q505="走",0,IF(Q505="半黑",-0.5,-1)))))</x:f>
        <x:v>0.515</x:v>
      </x:c>
      <x:c r="T505" s="604" t="inlineStr">
        <x:is>
          <x:t xml:space="preserve">https://simondongxiao.github.io/odds/v4/?v=ff7d4e5</x:t>
        </x:is>
      </x:c>
      <x:c r="U505" s="604" t="inlineStr">
        <x:is>
          <x:t xml:space="preserve">2916710</x:t>
        </x:is>
      </x:c>
      <x:c r="V505" s="607" t="inlineStr">
        <x:is>
          <x:t xml:space="preserve">v4-market-dirichlet-20260913</x:t>
        </x:is>
      </x:c>
      <x:c r="W505" s="607" t="n">
        <x:f>IF(OR(U505="",U505="待结算"),"",IF(U505="红",V505,IF(U505="半红",V505*0.5,IF(U505="走",0,IF(U505="半黑",-0.5,-1)))))</x:f>
        <x:v>-1</x:v>
      </x:c>
      <x:c r="X505" s="608" t="inlineStr">
        <x:is>
          <x:t xml:space="preserve">C</x:t>
        </x:is>
      </x:c>
      <x:c r="Y505" s="608" t="n"/>
      <x:c r="Z505" s="608" t="n"/>
      <x:c r="AA505" s="608" t="n"/>
      <x:c r="AB505" s="608" t="n"/>
      <x:c r="AC505" s="608" t="n"/>
      <x:c r="AD505" s="608" t="n"/>
      <x:c r="AE505" s="608" t="n"/>
      <x:c r="AF505" s="608" t="n"/>
      <x:c r="AG505" s="608" t="n"/>
      <x:c r="AH505" s="608" t="n"/>
      <x:c r="AI505" s="608" t="n"/>
      <x:c r="AJ505" s="608" t="n"/>
      <x:c r="AK505" s="608" t="n"/>
      <x:c r="AL505" s="608" t="n"/>
      <x:c r="AM505" s="608" t="n"/>
      <x:c r="AN505" s="608" t="n"/>
      <x:c r="AO505" s="608" t="n"/>
      <x:c r="AP505" s="608" t="n"/>
      <x:c r="AQ505" s="608" t="n"/>
      <x:c r="AR505" s="608" t="n"/>
      <x:c r="AS505" s="608" t="n"/>
      <x:c r="AT505" s="608" t="n"/>
      <x:c r="AU505" s="608" t="n"/>
      <x:c r="AV505" s="608" t="n"/>
      <x:c r="AW505" s="608" t="n"/>
      <x:c r="AX505" s="608" t="n"/>
      <x:c r="AY505" s="608" t="n"/>
    </x:row>
    <x:row r="506" ht="22" customHeight="1">
      <x:c r="A506" s="604" t="inlineStr">
        <x:is>
          <x:t xml:space="preserve">2026-09-27</x:t>
        </x:is>
      </x:c>
      <x:c r="B506" s="604" t="inlineStr">
        <x:is>
          <x:t xml:space="preserve">2026-09-28 09:00:00</x:t>
        </x:is>
      </x:c>
      <x:c r="C506" s="604" t="str">
        <x:v>北美系列</x:v>
      </x:c>
      <x:c r="D506" s="604" t="inlineStr">
        <x:is>
          <x:t xml:space="preserve">联赛</x:t>
        </x:is>
      </x:c>
      <x:c r="E506" s="604" t="inlineStr">
        <x:is>
          <x:t xml:space="preserve">墨西联秋</x:t>
        </x:is>
      </x:c>
      <x:c r="F506" s="604" t="inlineStr">
        <x:is>
          <x:t xml:space="preserve">莱昂 vs 华雷斯</x:t>
        </x:is>
      </x:c>
      <x:c r="G506" s="611" t="n">
        <x:v>0.97</x:v>
      </x:c>
      <x:c r="H506" s="611" t="n">
        <x:v>1</x:v>
      </x:c>
      <x:c r="I506" s="611" t="n">
        <x:v>0.91</x:v>
      </x:c>
      <x:c r="J506" s="604" t="inlineStr">
        <x:is>
          <x:t xml:space="preserve">0.97/1.0/0.91</x:t>
        </x:is>
      </x:c>
      <x:c r="K506" s="604" t="inlineStr">
        <x:is>
          <x:t xml:space="preserve">V4-C最新版候选</x:t>
        </x:is>
      </x:c>
      <x:c r="L506" s="604" t="inlineStr">
        <x:is>
          <x:t xml:space="preserve">华雷斯</x:t>
        </x:is>
      </x:c>
      <x:c r="M506" s="606" t="n">
        <x:v>0.6126</x:v>
      </x:c>
      <x:c r="N506" s="604" t="inlineStr">
        <x:is>
          <x:t xml:space="preserve">V4最新页面A/B/C候选</x:t>
        </x:is>
      </x:c>
      <x:c r="O506" s="604" t="inlineStr">
        <x:is>
          <x:t xml:space="preserve">2-1</x:t>
        </x:is>
      </x:c>
      <x:c r="P506" s="604" t="inlineStr">
        <x:is>
          <x:t xml:space="preserve">已结算</x:t>
        </x:is>
      </x:c>
      <x:c r="Q506" s="647" t="inlineStr">
        <x:is>
          <x:t xml:space="preserve">走</x:t>
        </x:is>
      </x:c>
      <x:c r="R506" s="607" t="n">
        <x:v>0.91</x:v>
      </x:c>
      <x:c r="S506" s="607" t="n">
        <x:f>IF(OR(Q506="",Q506="待结算"),"",IF(Q506="红",R506,IF(Q506="半红",R506*0.5,IF(Q506="走",0,IF(Q506="半黑",-0.5,-1)))))</x:f>
        <x:v>0</x:v>
      </x:c>
      <x:c r="T506" s="604" t="inlineStr">
        <x:is>
          <x:t xml:space="preserve">https://m.17500.cn/zq/data-team/course-25483-0-0</x:t>
        </x:is>
      </x:c>
      <x:c r="U506" s="604" t="inlineStr">
        <x:is>
          <x:t xml:space="preserve">2997427</x:t>
        </x:is>
      </x:c>
      <x:c r="V506" s="607" t="inlineStr">
        <x:is>
          <x:t xml:space="preserve">v4-market-dirichlet-20260913</x:t>
        </x:is>
      </x:c>
      <x:c r="W506" s="607" t="n">
        <x:f>IF(OR(U506="",U506="待结算"),"",IF(U506="红",V506,IF(U506="半红",V506*0.5,IF(U506="走",0,IF(U506="半黑",-0.5,-1)))))</x:f>
        <x:v>-1</x:v>
      </x:c>
      <x:c r="X506" s="608" t="inlineStr">
        <x:is>
          <x:t xml:space="preserve">C</x:t>
        </x:is>
      </x:c>
      <x:c r="Y506" s="608" t="n"/>
      <x:c r="Z506" s="608" t="n"/>
      <x:c r="AA506" s="608" t="n"/>
      <x:c r="AB506" s="608" t="n"/>
      <x:c r="AC506" s="608" t="n"/>
      <x:c r="AD506" s="608" t="n"/>
      <x:c r="AE506" s="608" t="n"/>
      <x:c r="AF506" s="608" t="n"/>
      <x:c r="AG506" s="608" t="n"/>
      <x:c r="AH506" s="608" t="n"/>
      <x:c r="AI506" s="608" t="n"/>
      <x:c r="AJ506" s="608" t="n"/>
      <x:c r="AK506" s="608" t="n"/>
      <x:c r="AL506" s="608" t="n"/>
      <x:c r="AM506" s="608" t="n"/>
      <x:c r="AN506" s="608" t="n"/>
      <x:c r="AO506" s="608" t="n"/>
      <x:c r="AP506" s="608" t="n"/>
      <x:c r="AQ506" s="608" t="n"/>
      <x:c r="AR506" s="608" t="n"/>
      <x:c r="AS506" s="608" t="n"/>
      <x:c r="AT506" s="608" t="n"/>
      <x:c r="AU506" s="608" t="n"/>
      <x:c r="AV506" s="608" t="n"/>
      <x:c r="AW506" s="608" t="n"/>
      <x:c r="AX506" s="608" t="n"/>
      <x:c r="AY506" s="608" t="n"/>
    </x:row>
    <x:row r="507" ht="22" customHeight="1">
      <x:c r="A507" s="604" t="inlineStr">
        <x:is>
          <x:t xml:space="preserve">2026-09-27</x:t>
        </x:is>
      </x:c>
      <x:c r="B507" s="604" t="inlineStr">
        <x:is>
          <x:t xml:space="preserve">2026-09-28 09:10:00</x:t>
        </x:is>
      </x:c>
      <x:c r="C507" s="604" t="str">
        <x:v>南美系列</x:v>
      </x:c>
      <x:c r="D507" s="604" t="inlineStr">
        <x:is>
          <x:t xml:space="preserve">联赛</x:t>
        </x:is>
      </x:c>
      <x:c r="E507" s="604" t="inlineStr">
        <x:is>
          <x:t xml:space="preserve">哥伦甲秋</x:t>
        </x:is>
      </x:c>
      <x:c r="F507" s="604" t="inlineStr">
        <x:is>
          <x:t xml:space="preserve">卡利体育会 vs 阿古拉斯多拉达斯</x:t>
        </x:is>
      </x:c>
      <x:c r="G507" s="611" t="n">
        <x:v>0.87</x:v>
      </x:c>
      <x:c r="H507" s="611" t="n">
        <x:v>0.5</x:v>
      </x:c>
      <x:c r="I507" s="611" t="n">
        <x:v>1.01</x:v>
      </x:c>
      <x:c r="J507" s="604" t="inlineStr">
        <x:is>
          <x:t xml:space="preserve">0.87/0.5/1.01</x:t>
        </x:is>
      </x:c>
      <x:c r="K507" s="604" t="inlineStr">
        <x:is>
          <x:t xml:space="preserve">V4-C最新版候选</x:t>
        </x:is>
      </x:c>
      <x:c r="L507" s="604" t="inlineStr">
        <x:is>
          <x:t xml:space="preserve">阿古拉斯多拉达斯</x:t>
        </x:is>
      </x:c>
      <x:c r="M507" s="606" t="n">
        <x:v>0.5592</x:v>
      </x:c>
      <x:c r="N507" s="604" t="inlineStr">
        <x:is>
          <x:t xml:space="preserve">V4最新页面A/B/C候选</x:t>
        </x:is>
      </x:c>
      <x:c r="O507" s="604" t="inlineStr">
        <x:is>
          <x:t xml:space="preserve">2-0</x:t>
        </x:is>
      </x:c>
      <x:c r="P507" s="604" t="inlineStr">
        <x:is>
          <x:t xml:space="preserve">已结算</x:t>
        </x:is>
      </x:c>
      <x:c r="Q507" s="646" t="inlineStr">
        <x:is>
          <x:t xml:space="preserve">黑</x:t>
        </x:is>
      </x:c>
      <x:c r="R507" s="607" t="n">
        <x:v>1.01</x:v>
      </x:c>
      <x:c r="S507" s="607" t="n">
        <x:f>IF(OR(Q507="",Q507="待结算"),"",IF(Q507="红",R507,IF(Q507="半红",R507*0.5,IF(Q507="走",0,IF(Q507="半黑",-0.5,-1)))))</x:f>
        <x:v>-1</x:v>
      </x:c>
      <x:c r="T507" s="604" t="inlineStr">
        <x:is>
          <x:t xml:space="preserve">https://simondongxiao.github.io/odds/v4/?v=ff7d4e5</x:t>
        </x:is>
      </x:c>
      <x:c r="U507" s="604" t="inlineStr">
        <x:is>
          <x:t xml:space="preserve">3011780</x:t>
        </x:is>
      </x:c>
      <x:c r="V507" s="607" t="inlineStr">
        <x:is>
          <x:t xml:space="preserve">v4-market-dirichlet-20260913</x:t>
        </x:is>
      </x:c>
      <x:c r="W507" s="607" t="n">
        <x:f>IF(OR(U507="",U507="待结算"),"",IF(U507="红",V507,IF(U507="半红",V507*0.5,IF(U507="走",0,IF(U507="半黑",-0.5,-1)))))</x:f>
        <x:v>-1</x:v>
      </x:c>
      <x:c r="X507" s="608" t="inlineStr">
        <x:is>
          <x:t xml:space="preserve">C</x:t>
        </x:is>
      </x:c>
      <x:c r="Y507" s="608" t="n"/>
      <x:c r="Z507" s="608" t="n"/>
      <x:c r="AA507" s="608" t="n"/>
      <x:c r="AB507" s="608" t="n"/>
      <x:c r="AC507" s="608" t="n"/>
      <x:c r="AD507" s="608" t="n"/>
      <x:c r="AE507" s="608" t="n"/>
      <x:c r="AF507" s="608" t="n"/>
      <x:c r="AG507" s="608" t="n"/>
      <x:c r="AH507" s="608" t="n"/>
      <x:c r="AI507" s="608" t="n"/>
      <x:c r="AJ507" s="608" t="n"/>
      <x:c r="AK507" s="608" t="n"/>
      <x:c r="AL507" s="608" t="n"/>
      <x:c r="AM507" s="608" t="n"/>
      <x:c r="AN507" s="608" t="n"/>
      <x:c r="AO507" s="608" t="n"/>
      <x:c r="AP507" s="608" t="n"/>
      <x:c r="AQ507" s="608" t="n"/>
      <x:c r="AR507" s="608" t="n"/>
      <x:c r="AS507" s="608" t="n"/>
      <x:c r="AT507" s="608" t="n"/>
      <x:c r="AU507" s="608" t="n"/>
      <x:c r="AV507" s="608" t="n"/>
      <x:c r="AW507" s="608" t="n"/>
      <x:c r="AX507" s="608" t="n"/>
      <x:c r="AY507" s="608" t="n"/>
    </x:row>
    <x:row r="508" ht="22" customHeight="1">
      <x:c r="A508" s="604" t="inlineStr">
        <x:is>
          <x:t xml:space="preserve">2026-09-28</x:t>
        </x:is>
      </x:c>
      <x:c r="B508" s="604" t="inlineStr">
        <x:is>
          <x:t xml:space="preserve">2026-09-28 17:00:00</x:t>
        </x:is>
      </x:c>
      <x:c r="C508" s="604" t="str">
        <x:v>其他系列</x:v>
      </x:c>
      <x:c r="D508" s="604" t="inlineStr">
        <x:is>
          <x:t xml:space="preserve">杯赛</x:t>
        </x:is>
      </x:c>
      <x:c r="E508" s="604" t="inlineStr">
        <x:is>
          <x:t xml:space="preserve">东盟杯</x:t>
        </x:is>
      </x:c>
      <x:c r="F508" s="604" t="inlineStr">
        <x:is>
          <x:t xml:space="preserve">新加坡(中) vs 孟加拉国</x:t>
        </x:is>
      </x:c>
      <x:c r="G508" s="611" t="n">
        <x:v>1</x:v>
      </x:c>
      <x:c r="H508" s="611" t="n">
        <x:v>1.25</x:v>
      </x:c>
      <x:c r="I508" s="611" t="n">
        <x:v>0.82</x:v>
      </x:c>
      <x:c r="J508" s="604" t="inlineStr">
        <x:is>
          <x:t xml:space="preserve">1.0/1.25/0.82</x:t>
        </x:is>
      </x:c>
      <x:c r="K508" s="604" t="inlineStr">
        <x:is>
          <x:t xml:space="preserve">V4-C最新版候选</x:t>
        </x:is>
      </x:c>
      <x:c r="L508" s="604" t="inlineStr">
        <x:is>
          <x:t xml:space="preserve">新加坡(中)</x:t>
        </x:is>
      </x:c>
      <x:c r="M508" s="606" t="n">
        <x:v>0.5128</x:v>
      </x:c>
      <x:c r="N508" s="604" t="inlineStr">
        <x:is>
          <x:t xml:space="preserve">V4 ff7d4e5版本A/B/C候选</x:t>
        </x:is>
      </x:c>
      <x:c r="O508" s="604" t="inlineStr">
        <x:is>
          <x:t xml:space="preserve">1-0</x:t>
        </x:is>
      </x:c>
      <x:c r="P508" s="604" t="inlineStr">
        <x:is>
          <x:t xml:space="preserve">已结算</x:t>
        </x:is>
      </x:c>
      <x:c r="Q508" s="648" t="inlineStr">
        <x:is>
          <x:t xml:space="preserve">半黑</x:t>
        </x:is>
      </x:c>
      <x:c r="R508" s="607" t="n">
        <x:v>1</x:v>
      </x:c>
      <x:c r="S508" s="607" t="n">
        <x:f>IF(OR(Q508="",Q508="待结算"),"",IF(Q508="红",R508,IF(Q508="半红",R508*0.5,IF(Q508="走",0,IF(Q508="半黑",-0.5,-1)))))</x:f>
        <x:v>-0.5</x:v>
      </x:c>
      <x:c r="T508" s="604" t="inlineStr">
        <x:is>
          <x:t xml:space="preserve">https://simondongxiao.github.io/odds/v4/?v=ff7d4e5</x:t>
        </x:is>
      </x:c>
      <x:c r="U508" s="604" t="inlineStr">
        <x:is>
          <x:t xml:space="preserve">3088944</x:t>
        </x:is>
      </x:c>
      <x:c r="V508" s="607" t="inlineStr">
        <x:is>
          <x:t xml:space="preserve">v4-market-dirichlet-20260913</x:t>
        </x:is>
      </x:c>
      <x:c r="W508" s="607" t="n">
        <x:f>IF(OR(U508="",U508="待结算"),"",IF(U508="红",V508,IF(U508="半红",V508*0.5,IF(U508="走",0,IF(U508="半黑",-0.5,-1)))))</x:f>
        <x:v>-1</x:v>
      </x:c>
      <x:c r="X508" s="608" t="inlineStr">
        <x:is>
          <x:t xml:space="preserve">C</x:t>
        </x:is>
      </x:c>
      <x:c r="Y508" s="608" t="n"/>
      <x:c r="Z508" s="608" t="n"/>
      <x:c r="AA508" s="608" t="n"/>
      <x:c r="AB508" s="608" t="n"/>
      <x:c r="AC508" s="608" t="n"/>
      <x:c r="AD508" s="608" t="n"/>
      <x:c r="AE508" s="608" t="n"/>
      <x:c r="AF508" s="608" t="n"/>
      <x:c r="AG508" s="608" t="n"/>
      <x:c r="AH508" s="608" t="n"/>
      <x:c r="AI508" s="608" t="n"/>
      <x:c r="AJ508" s="608" t="n"/>
      <x:c r="AK508" s="608" t="n"/>
      <x:c r="AL508" s="608" t="n"/>
      <x:c r="AM508" s="608" t="n"/>
      <x:c r="AN508" s="608" t="n"/>
      <x:c r="AO508" s="608" t="n"/>
      <x:c r="AP508" s="608" t="n"/>
      <x:c r="AQ508" s="608" t="n"/>
      <x:c r="AR508" s="608" t="n"/>
      <x:c r="AS508" s="608" t="n"/>
      <x:c r="AT508" s="608" t="n"/>
      <x:c r="AU508" s="608" t="n"/>
      <x:c r="AV508" s="608" t="n"/>
      <x:c r="AW508" s="608" t="n"/>
      <x:c r="AX508" s="608" t="n"/>
      <x:c r="AY508" s="608" t="n"/>
    </x:row>
    <x:row r="509" ht="22" customHeight="1">
      <x:c r="A509" s="604" t="inlineStr">
        <x:is>
          <x:t xml:space="preserve">2026-09-28</x:t>
        </x:is>
      </x:c>
      <x:c r="B509" s="604" t="inlineStr">
        <x:is>
          <x:t xml:space="preserve">2026-09-28 17:30:00</x:t>
        </x:is>
      </x:c>
      <x:c r="C509" s="604" t="str">
        <x:v>其他系列</x:v>
      </x:c>
      <x:c r="D509" s="604" t="inlineStr">
        <x:is>
          <x:t xml:space="preserve">杯赛</x:t>
        </x:is>
      </x:c>
      <x:c r="E509" s="604" t="inlineStr">
        <x:is>
          <x:t xml:space="preserve">国际友谊</x:t>
        </x:is>
      </x:c>
      <x:c r="F509" s="604" t="inlineStr">
        <x:is>
          <x:t xml:space="preserve">哈萨克斯坦U19 vs 瑞士U19</x:t>
        </x:is>
      </x:c>
      <x:c r="G509" s="611" t="n">
        <x:v>1.07</x:v>
      </x:c>
      <x:c r="H509" s="611" t="n">
        <x:v>-0.75</x:v>
      </x:c>
      <x:c r="I509" s="611" t="n">
        <x:v>0.8100000000000001</x:v>
      </x:c>
      <x:c r="J509" s="604" t="inlineStr">
        <x:is>
          <x:t xml:space="preserve">1.07/-0.75/0.81</x:t>
        </x:is>
      </x:c>
      <x:c r="K509" s="604" t="inlineStr">
        <x:is>
          <x:t xml:space="preserve">V4-C最新版候选</x:t>
        </x:is>
      </x:c>
      <x:c r="L509" s="604" t="inlineStr">
        <x:is>
          <x:t xml:space="preserve">哈萨克斯坦U19</x:t>
        </x:is>
      </x:c>
      <x:c r="M509" s="606" t="n">
        <x:v>0.6908</x:v>
      </x:c>
      <x:c r="N509" s="604" t="inlineStr">
        <x:is>
          <x:t xml:space="preserve">V4 ff7d4e5版本A/B/C候选</x:t>
        </x:is>
      </x:c>
      <x:c r="O509" s="604" t="inlineStr">
        <x:is>
          <x:t xml:space="preserve">1-2</x:t>
        </x:is>
      </x:c>
      <x:c r="P509" s="604" t="inlineStr">
        <x:is>
          <x:t xml:space="preserve">已结算</x:t>
        </x:is>
      </x:c>
      <x:c r="Q509" s="648" t="inlineStr">
        <x:is>
          <x:t xml:space="preserve">半黑</x:t>
        </x:is>
      </x:c>
      <x:c r="R509" s="607" t="n">
        <x:v>1.07</x:v>
      </x:c>
      <x:c r="S509" s="607" t="n">
        <x:f>IF(OR(Q509="",Q509="待结算"),"",IF(Q509="红",R509,IF(Q509="半红",R509*0.5,IF(Q509="走",0,IF(Q509="半黑",-0.5,-1)))))</x:f>
        <x:v>-0.5</x:v>
      </x:c>
      <x:c r="T509" s="604" t="inlineStr">
        <x:is>
          <x:t xml:space="preserve">https://simondongxiao.github.io/odds/v4/?v=ff7d4e5</x:t>
        </x:is>
      </x:c>
      <x:c r="U509" s="604" t="inlineStr">
        <x:is>
          <x:t xml:space="preserve">3094370</x:t>
        </x:is>
      </x:c>
      <x:c r="V509" s="607" t="inlineStr">
        <x:is>
          <x:t xml:space="preserve">v4-market-dirichlet-20260913</x:t>
        </x:is>
      </x:c>
      <x:c r="W509" s="607" t="n">
        <x:f>IF(OR(U509="",U509="待结算"),"",IF(U509="红",V509,IF(U509="半红",V509*0.5,IF(U509="走",0,IF(U509="半黑",-0.5,-1)))))</x:f>
        <x:v>-1</x:v>
      </x:c>
      <x:c r="X509" s="608" t="inlineStr">
        <x:is>
          <x:t xml:space="preserve">C</x:t>
        </x:is>
      </x:c>
      <x:c r="Y509" s="608" t="n"/>
      <x:c r="Z509" s="608" t="n"/>
      <x:c r="AA509" s="608" t="n"/>
      <x:c r="AB509" s="608" t="n"/>
      <x:c r="AC509" s="608" t="n"/>
      <x:c r="AD509" s="608" t="n"/>
      <x:c r="AE509" s="608" t="n"/>
      <x:c r="AF509" s="608" t="n"/>
      <x:c r="AG509" s="608" t="n"/>
      <x:c r="AH509" s="608" t="n"/>
      <x:c r="AI509" s="608" t="n"/>
      <x:c r="AJ509" s="608" t="n"/>
      <x:c r="AK509" s="608" t="n"/>
      <x:c r="AL509" s="608" t="n"/>
      <x:c r="AM509" s="608" t="n"/>
      <x:c r="AN509" s="608" t="n"/>
      <x:c r="AO509" s="608" t="n"/>
      <x:c r="AP509" s="608" t="n"/>
      <x:c r="AQ509" s="608" t="n"/>
      <x:c r="AR509" s="608" t="n"/>
      <x:c r="AS509" s="608" t="n"/>
      <x:c r="AT509" s="608" t="n"/>
      <x:c r="AU509" s="608" t="n"/>
      <x:c r="AV509" s="608" t="n"/>
      <x:c r="AW509" s="608" t="n"/>
      <x:c r="AX509" s="608" t="n"/>
      <x:c r="AY509" s="608" t="n"/>
    </x:row>
    <x:row r="510" ht="22" customHeight="1">
      <x:c r="A510" s="604" t="inlineStr">
        <x:is>
          <x:t xml:space="preserve">2026-09-28</x:t>
        </x:is>
      </x:c>
      <x:c r="B510" s="604" t="inlineStr">
        <x:is>
          <x:t xml:space="preserve">2026-09-28 18:25:00</x:t>
        </x:is>
      </x:c>
      <x:c r="C510" s="604" t="str">
        <x:v>其他系列</x:v>
      </x:c>
      <x:c r="D510" s="604" t="inlineStr">
        <x:is>
          <x:t xml:space="preserve">杯赛</x:t>
        </x:is>
      </x:c>
      <x:c r="E510" s="604" t="inlineStr">
        <x:is>
          <x:t xml:space="preserve">国际友谊</x:t>
        </x:is>
      </x:c>
      <x:c r="F510" s="604" t="inlineStr">
        <x:is>
          <x:t xml:space="preserve">日本 vs 委内瑞拉</x:t>
        </x:is>
      </x:c>
      <x:c r="G510" s="611" t="n">
        <x:v>0.98</x:v>
      </x:c>
      <x:c r="H510" s="611" t="n">
        <x:v>1.75</x:v>
      </x:c>
      <x:c r="I510" s="611" t="n">
        <x:v>0.84</x:v>
      </x:c>
      <x:c r="J510" s="604" t="inlineStr">
        <x:is>
          <x:t xml:space="preserve">0.98/1.75/0.84</x:t>
        </x:is>
      </x:c>
      <x:c r="K510" s="604" t="inlineStr">
        <x:is>
          <x:t xml:space="preserve">V4-C最新版候选</x:t>
        </x:is>
      </x:c>
      <x:c r="L510" s="604" t="inlineStr">
        <x:is>
          <x:t xml:space="preserve">日本</x:t>
        </x:is>
      </x:c>
      <x:c r="M510" s="606" t="n">
        <x:v>0.6334</x:v>
      </x:c>
      <x:c r="N510" s="604" t="inlineStr">
        <x:is>
          <x:t xml:space="preserve">V4 ff7d4e5版本A/B/C候选</x:t>
        </x:is>
      </x:c>
      <x:c r="O510" s="604" t="inlineStr">
        <x:is>
          <x:t xml:space="preserve">2-1</x:t>
        </x:is>
      </x:c>
      <x:c r="P510" s="604" t="inlineStr">
        <x:is>
          <x:t xml:space="preserve">已结算</x:t>
        </x:is>
      </x:c>
      <x:c r="Q510" s="646" t="inlineStr">
        <x:is>
          <x:t xml:space="preserve">黑</x:t>
        </x:is>
      </x:c>
      <x:c r="R510" s="607" t="n">
        <x:v>0.98</x:v>
      </x:c>
      <x:c r="S510" s="607" t="n">
        <x:f>IF(OR(Q510="",Q510="待结算"),"",IF(Q510="红",R510,IF(Q510="半红",R510*0.5,IF(Q510="走",0,IF(Q510="半黑",-0.5,-1)))))</x:f>
        <x:v>-1</x:v>
      </x:c>
      <x:c r="T510" s="604" t="inlineStr">
        <x:is>
          <x:t xml:space="preserve">https://simondongxiao.github.io/odds/v4/?v=ff7d4e5</x:t>
        </x:is>
      </x:c>
      <x:c r="U510" s="604" t="inlineStr">
        <x:is>
          <x:t xml:space="preserve">3094371</x:t>
        </x:is>
      </x:c>
      <x:c r="V510" s="607" t="inlineStr">
        <x:is>
          <x:t xml:space="preserve">v4-market-dirichlet-20260913</x:t>
        </x:is>
      </x:c>
      <x:c r="W510" s="607" t="n">
        <x:f>IF(OR(U510="",U510="待结算"),"",IF(U510="红",V510,IF(U510="半红",V510*0.5,IF(U510="走",0,IF(U510="半黑",-0.5,-1)))))</x:f>
        <x:v>-1</x:v>
      </x:c>
      <x:c r="X510" s="608" t="inlineStr">
        <x:is>
          <x:t xml:space="preserve">C</x:t>
        </x:is>
      </x:c>
      <x:c r="Y510" s="608" t="n"/>
      <x:c r="Z510" s="608" t="n"/>
      <x:c r="AA510" s="608" t="n"/>
      <x:c r="AB510" s="608" t="n"/>
      <x:c r="AC510" s="608" t="n"/>
      <x:c r="AD510" s="608" t="n"/>
      <x:c r="AE510" s="608" t="n"/>
      <x:c r="AF510" s="608" t="n"/>
      <x:c r="AG510" s="608" t="n"/>
      <x:c r="AH510" s="608" t="n"/>
      <x:c r="AI510" s="608" t="n"/>
      <x:c r="AJ510" s="608" t="n"/>
      <x:c r="AK510" s="608" t="n"/>
      <x:c r="AL510" s="608" t="n"/>
      <x:c r="AM510" s="608" t="n"/>
      <x:c r="AN510" s="608" t="n"/>
      <x:c r="AO510" s="608" t="n"/>
      <x:c r="AP510" s="608" t="n"/>
      <x:c r="AQ510" s="608" t="n"/>
      <x:c r="AR510" s="608" t="n"/>
      <x:c r="AS510" s="608" t="n"/>
      <x:c r="AT510" s="608" t="n"/>
      <x:c r="AU510" s="608" t="n"/>
      <x:c r="AV510" s="608" t="n"/>
      <x:c r="AW510" s="608" t="n"/>
      <x:c r="AX510" s="608" t="n"/>
      <x:c r="AY510" s="608" t="n"/>
    </x:row>
    <x:row r="511" ht="22" customHeight="1">
      <x:c r="A511" s="604" t="inlineStr">
        <x:is>
          <x:t xml:space="preserve">2026-09-28</x:t>
        </x:is>
      </x:c>
      <x:c r="B511" s="604" t="inlineStr">
        <x:is>
          <x:t xml:space="preserve">2026-09-28 20:30:00</x:t>
        </x:is>
      </x:c>
      <x:c r="C511" s="604" t="str">
        <x:v>其他系列</x:v>
      </x:c>
      <x:c r="D511" s="604" t="inlineStr">
        <x:is>
          <x:t xml:space="preserve">杯赛</x:t>
        </x:is>
      </x:c>
      <x:c r="E511" s="604" t="inlineStr">
        <x:is>
          <x:t xml:space="preserve">东盟杯</x:t>
        </x:is>
      </x:c>
      <x:c r="F511" s="604" t="inlineStr">
        <x:is>
          <x:t xml:space="preserve">马来西亚 vs 印度尼西亚</x:t>
        </x:is>
      </x:c>
      <x:c r="G511" s="611" t="n">
        <x:v>0.97</x:v>
      </x:c>
      <x:c r="H511" s="611" t="n">
        <x:v>-1</x:v>
      </x:c>
      <x:c r="I511" s="611" t="n">
        <x:v>0.85</x:v>
      </x:c>
      <x:c r="J511" s="604" t="inlineStr">
        <x:is>
          <x:t xml:space="preserve">0.97/-1.0/0.85</x:t>
        </x:is>
      </x:c>
      <x:c r="K511" s="604" t="inlineStr">
        <x:is>
          <x:t xml:space="preserve">V4-C最新版候选</x:t>
        </x:is>
      </x:c>
      <x:c r="L511" s="604" t="inlineStr">
        <x:is>
          <x:t xml:space="preserve">马来西亚</x:t>
        </x:is>
      </x:c>
      <x:c r="M511" s="606" t="n">
        <x:v>0.6958</x:v>
      </x:c>
      <x:c r="N511" s="604" t="inlineStr">
        <x:is>
          <x:t xml:space="preserve">V4 ff7d4e5版本A/B/C候选</x:t>
        </x:is>
      </x:c>
      <x:c r="O511" s="604" t="inlineStr">
        <x:is>
          <x:t xml:space="preserve">0-0</x:t>
        </x:is>
      </x:c>
      <x:c r="P511" s="604" t="inlineStr">
        <x:is>
          <x:t xml:space="preserve">已结算</x:t>
        </x:is>
      </x:c>
      <x:c r="Q511" s="645" t="inlineStr">
        <x:is>
          <x:t xml:space="preserve">红</x:t>
        </x:is>
      </x:c>
      <x:c r="R511" s="607" t="n">
        <x:v>0.97</x:v>
      </x:c>
      <x:c r="S511" s="607" t="n">
        <x:f>IF(OR(Q511="",Q511="待结算"),"",IF(Q511="红",R511,IF(Q511="半红",R511*0.5,IF(Q511="走",0,IF(Q511="半黑",-0.5,-1)))))</x:f>
        <x:v>0.97</x:v>
      </x:c>
      <x:c r="T511" s="604" t="inlineStr">
        <x:is>
          <x:t xml:space="preserve">https://simondongxiao.github.io/odds/v4/?v=ff7d4e5</x:t>
        </x:is>
      </x:c>
      <x:c r="U511" s="604" t="inlineStr">
        <x:is>
          <x:t xml:space="preserve">3088945</x:t>
        </x:is>
      </x:c>
      <x:c r="V511" s="607" t="inlineStr">
        <x:is>
          <x:t xml:space="preserve">v4-market-dirichlet-20260913</x:t>
        </x:is>
      </x:c>
      <x:c r="W511" s="607" t="n">
        <x:f>IF(OR(U511="",U511="待结算"),"",IF(U511="红",V511,IF(U511="半红",V511*0.5,IF(U511="走",0,IF(U511="半黑",-0.5,-1)))))</x:f>
        <x:v>-1</x:v>
      </x:c>
      <x:c r="X511" s="608" t="inlineStr">
        <x:is>
          <x:t xml:space="preserve">C</x:t>
        </x:is>
      </x:c>
      <x:c r="Y511" s="608" t="n"/>
      <x:c r="Z511" s="608" t="n"/>
      <x:c r="AA511" s="608" t="n"/>
      <x:c r="AB511" s="608" t="n"/>
      <x:c r="AC511" s="608" t="n"/>
      <x:c r="AD511" s="608" t="n"/>
      <x:c r="AE511" s="608" t="n"/>
      <x:c r="AF511" s="608" t="n"/>
      <x:c r="AG511" s="608" t="n"/>
      <x:c r="AH511" s="608" t="n"/>
      <x:c r="AI511" s="608" t="n"/>
      <x:c r="AJ511" s="608" t="n"/>
      <x:c r="AK511" s="608" t="n"/>
      <x:c r="AL511" s="608" t="n"/>
      <x:c r="AM511" s="608" t="n"/>
      <x:c r="AN511" s="608" t="n"/>
      <x:c r="AO511" s="608" t="n"/>
      <x:c r="AP511" s="608" t="n"/>
      <x:c r="AQ511" s="608" t="n"/>
      <x:c r="AR511" s="608" t="n"/>
      <x:c r="AS511" s="608" t="n"/>
      <x:c r="AT511" s="608" t="n"/>
      <x:c r="AU511" s="608" t="n"/>
      <x:c r="AV511" s="608" t="n"/>
      <x:c r="AW511" s="608" t="n"/>
      <x:c r="AX511" s="608" t="n"/>
      <x:c r="AY511" s="608" t="n"/>
    </x:row>
    <x:row r="512" ht="22" customHeight="1">
      <x:c r="A512" s="604" t="inlineStr">
        <x:is>
          <x:t xml:space="preserve">2026-09-28</x:t>
        </x:is>
      </x:c>
      <x:c r="B512" s="604" t="inlineStr">
        <x:is>
          <x:t xml:space="preserve">2026-09-28 21:00:00</x:t>
        </x:is>
      </x:c>
      <x:c r="C512" s="604" t="str">
        <x:v>欧洲非五大系列</x:v>
      </x:c>
      <x:c r="D512" s="604" t="inlineStr">
        <x:is>
          <x:t xml:space="preserve">联赛</x:t>
        </x:is>
      </x:c>
      <x:c r="E512" s="604" t="inlineStr">
        <x:is>
          <x:t xml:space="preserve">希腊甲</x:t>
        </x:is>
      </x:c>
      <x:c r="F512" s="604" t="inlineStr">
        <x:is>
          <x:t xml:space="preserve">卡利地亚雅典 vs 泰利普利斯B队</x:t>
        </x:is>
      </x:c>
      <x:c r="G512" s="611" t="n">
        <x:v>0.74</x:v>
      </x:c>
      <x:c r="H512" s="611" t="n">
        <x:v>0.75</x:v>
      </x:c>
      <x:c r="I512" s="611" t="n">
        <x:v>1.08</x:v>
      </x:c>
      <x:c r="J512" s="604" t="inlineStr">
        <x:is>
          <x:t xml:space="preserve">0.74/0.75/1.08</x:t>
        </x:is>
      </x:c>
      <x:c r="K512" s="604" t="inlineStr">
        <x:is>
          <x:t xml:space="preserve">V4-C最新版候选</x:t>
        </x:is>
      </x:c>
      <x:c r="L512" s="604" t="inlineStr">
        <x:is>
          <x:t xml:space="preserve">泰利普利斯B队</x:t>
        </x:is>
      </x:c>
      <x:c r="M512" s="606" t="n">
        <x:v>0.7124</x:v>
      </x:c>
      <x:c r="N512" s="604" t="inlineStr">
        <x:is>
          <x:t xml:space="preserve">V4 ff7d4e5版本A/B/C候选</x:t>
        </x:is>
      </x:c>
      <x:c r="O512" s="604" t="inlineStr">
        <x:is>
          <x:t xml:space="preserve">2-0</x:t>
        </x:is>
      </x:c>
      <x:c r="P512" s="604" t="inlineStr">
        <x:is>
          <x:t xml:space="preserve">已结算</x:t>
        </x:is>
      </x:c>
      <x:c r="Q512" s="646" t="inlineStr">
        <x:is>
          <x:t xml:space="preserve">黑</x:t>
        </x:is>
      </x:c>
      <x:c r="R512" s="607" t="n">
        <x:v>1.08</x:v>
      </x:c>
      <x:c r="S512" s="607" t="n">
        <x:f>IF(OR(Q512="",Q512="待结算"),"",IF(Q512="红",R512,IF(Q512="半红",R512*0.5,IF(Q512="走",0,IF(Q512="半黑",-0.5,-1)))))</x:f>
        <x:v>-1</x:v>
      </x:c>
      <x:c r="T512" s="604" t="inlineStr">
        <x:is>
          <x:t xml:space="preserve">https://simondongxiao.github.io/odds/v4/?v=ff7d4e5</x:t>
        </x:is>
      </x:c>
      <x:c r="U512" s="604" t="inlineStr">
        <x:is>
          <x:t xml:space="preserve">3077256</x:t>
        </x:is>
      </x:c>
      <x:c r="V512" s="607" t="inlineStr">
        <x:is>
          <x:t xml:space="preserve">v4-market-dirichlet-20260913</x:t>
        </x:is>
      </x:c>
      <x:c r="W512" s="607" t="n">
        <x:f>IF(OR(U512="",U512="待结算"),"",IF(U512="红",V512,IF(U512="半红",V512*0.5,IF(U512="走",0,IF(U512="半黑",-0.5,-1)))))</x:f>
        <x:v>-1</x:v>
      </x:c>
      <x:c r="X512" s="608" t="inlineStr">
        <x:is>
          <x:t xml:space="preserve">C</x:t>
        </x:is>
      </x:c>
      <x:c r="Y512" s="608" t="n"/>
      <x:c r="Z512" s="608" t="n"/>
      <x:c r="AA512" s="608" t="n"/>
      <x:c r="AB512" s="608" t="n"/>
      <x:c r="AC512" s="608" t="n"/>
      <x:c r="AD512" s="608" t="n"/>
      <x:c r="AE512" s="608" t="n"/>
      <x:c r="AF512" s="608" t="n"/>
      <x:c r="AG512" s="608" t="n"/>
      <x:c r="AH512" s="608" t="n"/>
      <x:c r="AI512" s="608" t="n"/>
      <x:c r="AJ512" s="608" t="n"/>
      <x:c r="AK512" s="608" t="n"/>
      <x:c r="AL512" s="608" t="n"/>
      <x:c r="AM512" s="608" t="n"/>
      <x:c r="AN512" s="608" t="n"/>
      <x:c r="AO512" s="608" t="n"/>
      <x:c r="AP512" s="608" t="n"/>
      <x:c r="AQ512" s="608" t="n"/>
      <x:c r="AR512" s="608" t="n"/>
      <x:c r="AS512" s="608" t="n"/>
      <x:c r="AT512" s="608" t="n"/>
      <x:c r="AU512" s="608" t="n"/>
      <x:c r="AV512" s="608" t="n"/>
      <x:c r="AW512" s="608" t="n"/>
      <x:c r="AX512" s="608" t="n"/>
      <x:c r="AY512" s="608" t="n"/>
    </x:row>
    <x:row r="513" ht="22" customHeight="1">
      <x:c r="A513" s="604" t="inlineStr">
        <x:is>
          <x:t xml:space="preserve">2026-09-28</x:t>
        </x:is>
      </x:c>
      <x:c r="B513" s="604" t="inlineStr">
        <x:is>
          <x:t xml:space="preserve">2026-09-28 21:00:00</x:t>
        </x:is>
      </x:c>
      <x:c r="C513" s="604" t="str">
        <x:v>欧洲非五大系列</x:v>
      </x:c>
      <x:c r="D513" s="604" t="inlineStr">
        <x:is>
          <x:t xml:space="preserve">联赛</x:t>
        </x:is>
      </x:c>
      <x:c r="E513" s="604" t="inlineStr">
        <x:is>
          <x:t xml:space="preserve">希腊甲</x:t>
        </x:is>
      </x:c>
      <x:c r="F513" s="604" t="inlineStr">
        <x:is>
          <x:t xml:space="preserve">马尔科 vs 潘斯拉基科斯</x:t>
        </x:is>
      </x:c>
      <x:c r="G513" s="611" t="n">
        <x:v>0.95</x:v>
      </x:c>
      <x:c r="H513" s="611" t="n">
        <x:v>1</x:v>
      </x:c>
      <x:c r="I513" s="611" t="n">
        <x:v>0.87</x:v>
      </x:c>
      <x:c r="J513" s="604" t="inlineStr">
        <x:is>
          <x:t xml:space="preserve">0.95/1.0/0.87</x:t>
        </x:is>
      </x:c>
      <x:c r="K513" s="604" t="inlineStr">
        <x:is>
          <x:t xml:space="preserve">V4-C最新版候选</x:t>
        </x:is>
      </x:c>
      <x:c r="L513" s="604" t="inlineStr">
        <x:is>
          <x:t xml:space="preserve">潘斯拉基科斯</x:t>
        </x:is>
      </x:c>
      <x:c r="M513" s="606" t="n">
        <x:v>0.5394</x:v>
      </x:c>
      <x:c r="N513" s="604" t="inlineStr">
        <x:is>
          <x:t xml:space="preserve">V4 ff7d4e5版本A/B/C候选</x:t>
        </x:is>
      </x:c>
      <x:c r="O513" s="604" t="inlineStr">
        <x:is>
          <x:t xml:space="preserve">2-1</x:t>
        </x:is>
      </x:c>
      <x:c r="P513" s="604" t="inlineStr">
        <x:is>
          <x:t xml:space="preserve">已结算</x:t>
        </x:is>
      </x:c>
      <x:c r="Q513" s="647" t="inlineStr">
        <x:is>
          <x:t xml:space="preserve">走</x:t>
        </x:is>
      </x:c>
      <x:c r="R513" s="607" t="n">
        <x:v>0.87</x:v>
      </x:c>
      <x:c r="S513" s="607" t="n">
        <x:f>IF(OR(Q513="",Q513="待结算"),"",IF(Q513="红",R513,IF(Q513="半红",R513*0.5,IF(Q513="走",0,IF(Q513="半黑",-0.5,-1)))))</x:f>
        <x:v>0</x:v>
      </x:c>
      <x:c r="T513" s="604" t="inlineStr">
        <x:is>
          <x:t xml:space="preserve">https://simondongxiao.github.io/odds/v4/?v=ff7d4e5</x:t>
        </x:is>
      </x:c>
      <x:c r="U513" s="604" t="inlineStr">
        <x:is>
          <x:t xml:space="preserve">3077260</x:t>
        </x:is>
      </x:c>
      <x:c r="V513" s="607" t="inlineStr">
        <x:is>
          <x:t xml:space="preserve">v4-market-dirichlet-20260913</x:t>
        </x:is>
      </x:c>
      <x:c r="W513" s="607" t="n">
        <x:f>IF(OR(U513="",U513="待结算"),"",IF(U513="红",V513,IF(U513="半红",V513*0.5,IF(U513="走",0,IF(U513="半黑",-0.5,-1)))))</x:f>
        <x:v>-1</x:v>
      </x:c>
      <x:c r="X513" s="608" t="inlineStr">
        <x:is>
          <x:t xml:space="preserve">C</x:t>
        </x:is>
      </x:c>
      <x:c r="Y513" s="608" t="n"/>
      <x:c r="Z513" s="608" t="n"/>
      <x:c r="AA513" s="608" t="n"/>
      <x:c r="AB513" s="608" t="n"/>
      <x:c r="AC513" s="608" t="n"/>
      <x:c r="AD513" s="608" t="n"/>
      <x:c r="AE513" s="608" t="n"/>
      <x:c r="AF513" s="608" t="n"/>
      <x:c r="AG513" s="608" t="n"/>
      <x:c r="AH513" s="608" t="n"/>
      <x:c r="AI513" s="608" t="n"/>
      <x:c r="AJ513" s="608" t="n"/>
      <x:c r="AK513" s="608" t="n"/>
      <x:c r="AL513" s="608" t="n"/>
      <x:c r="AM513" s="608" t="n"/>
      <x:c r="AN513" s="608" t="n"/>
      <x:c r="AO513" s="608" t="n"/>
      <x:c r="AP513" s="608" t="n"/>
      <x:c r="AQ513" s="608" t="n"/>
      <x:c r="AR513" s="608" t="n"/>
      <x:c r="AS513" s="608" t="n"/>
      <x:c r="AT513" s="608" t="n"/>
      <x:c r="AU513" s="608" t="n"/>
      <x:c r="AV513" s="608" t="n"/>
      <x:c r="AW513" s="608" t="n"/>
      <x:c r="AX513" s="608" t="n"/>
      <x:c r="AY513" s="608" t="n"/>
    </x:row>
    <x:row r="514" ht="22" customHeight="1">
      <x:c r="A514" s="604" t="inlineStr">
        <x:is>
          <x:t xml:space="preserve">2026-09-28</x:t>
        </x:is>
      </x:c>
      <x:c r="B514" s="604" t="inlineStr">
        <x:is>
          <x:t xml:space="preserve">2026-09-28 22:00:00</x:t>
        </x:is>
      </x:c>
      <x:c r="C514" s="604" t="str">
        <x:v>其他系列</x:v>
      </x:c>
      <x:c r="D514" s="604" t="inlineStr">
        <x:is>
          <x:t xml:space="preserve">杯赛</x:t>
        </x:is>
      </x:c>
      <x:c r="E514" s="604" t="inlineStr">
        <x:is>
          <x:t xml:space="preserve">国际友谊</x:t>
        </x:is>
      </x:c>
      <x:c r="F514" s="604" t="inlineStr">
        <x:is>
          <x:t xml:space="preserve">吉尔吉斯斯坦 vs 马尔代夫</x:t>
        </x:is>
      </x:c>
      <x:c r="G514" s="611" t="n">
        <x:v>0.97</x:v>
      </x:c>
      <x:c r="H514" s="611" t="n">
        <x:v>3</x:v>
      </x:c>
      <x:c r="I514" s="611" t="n">
        <x:v>0.85</x:v>
      </x:c>
      <x:c r="J514" s="604" t="inlineStr">
        <x:is>
          <x:t xml:space="preserve">0.97/3.0/0.85</x:t>
        </x:is>
      </x:c>
      <x:c r="K514" s="604" t="inlineStr">
        <x:is>
          <x:t xml:space="preserve">V4-C最新版候选</x:t>
        </x:is>
      </x:c>
      <x:c r="L514" s="604" t="inlineStr">
        <x:is>
          <x:t xml:space="preserve">吉尔吉斯斯坦</x:t>
        </x:is>
      </x:c>
      <x:c r="M514" s="606" t="n">
        <x:v>0.6626</x:v>
      </x:c>
      <x:c r="N514" s="604" t="inlineStr">
        <x:is>
          <x:t xml:space="preserve">V4 ff7d4e5版本A/B/C候选</x:t>
        </x:is>
      </x:c>
      <x:c r="O514" s="604" t="inlineStr">
        <x:is>
          <x:t xml:space="preserve">5-0</x:t>
        </x:is>
      </x:c>
      <x:c r="P514" s="604" t="inlineStr">
        <x:is>
          <x:t xml:space="preserve">已结算</x:t>
        </x:is>
      </x:c>
      <x:c r="Q514" s="645" t="inlineStr">
        <x:is>
          <x:t xml:space="preserve">红</x:t>
        </x:is>
      </x:c>
      <x:c r="R514" s="607" t="n">
        <x:v>0.97</x:v>
      </x:c>
      <x:c r="S514" s="607" t="n">
        <x:f>IF(OR(Q514="",Q514="待结算"),"",IF(Q514="红",R514,IF(Q514="半红",R514*0.5,IF(Q514="走",0,IF(Q514="半黑",-0.5,-1)))))</x:f>
        <x:v>0.97</x:v>
      </x:c>
      <x:c r="T514" s="604" t="inlineStr">
        <x:is>
          <x:t xml:space="preserve">https://simondongxiao.github.io/odds/v4/?v=ff7d4e5</x:t>
        </x:is>
      </x:c>
      <x:c r="U514" s="604" t="inlineStr">
        <x:is>
          <x:t xml:space="preserve">3094377</x:t>
        </x:is>
      </x:c>
      <x:c r="V514" s="607" t="inlineStr">
        <x:is>
          <x:t xml:space="preserve">v4-market-dirichlet-20260913</x:t>
        </x:is>
      </x:c>
      <x:c r="W514" s="607" t="n">
        <x:f>IF(OR(U514="",U514="待结算"),"",IF(U514="红",V514,IF(U514="半红",V514*0.5,IF(U514="走",0,IF(U514="半黑",-0.5,-1)))))</x:f>
        <x:v>-1</x:v>
      </x:c>
      <x:c r="X514" s="608" t="inlineStr">
        <x:is>
          <x:t xml:space="preserve">C</x:t>
        </x:is>
      </x:c>
      <x:c r="Y514" s="608" t="n"/>
      <x:c r="Z514" s="608" t="n"/>
      <x:c r="AA514" s="608" t="n"/>
      <x:c r="AB514" s="608" t="n"/>
      <x:c r="AC514" s="608" t="n"/>
      <x:c r="AD514" s="608" t="n"/>
      <x:c r="AE514" s="608" t="n"/>
      <x:c r="AF514" s="608" t="n"/>
      <x:c r="AG514" s="608" t="n"/>
      <x:c r="AH514" s="608" t="n"/>
      <x:c r="AI514" s="608" t="n"/>
      <x:c r="AJ514" s="608" t="n"/>
      <x:c r="AK514" s="608" t="n"/>
      <x:c r="AL514" s="608" t="n"/>
      <x:c r="AM514" s="608" t="n"/>
      <x:c r="AN514" s="608" t="n"/>
      <x:c r="AO514" s="608" t="n"/>
      <x:c r="AP514" s="608" t="n"/>
      <x:c r="AQ514" s="608" t="n"/>
      <x:c r="AR514" s="608" t="n"/>
      <x:c r="AS514" s="608" t="n"/>
      <x:c r="AT514" s="608" t="n"/>
      <x:c r="AU514" s="608" t="n"/>
      <x:c r="AV514" s="608" t="n"/>
      <x:c r="AW514" s="608" t="n"/>
      <x:c r="AX514" s="608" t="n"/>
      <x:c r="AY514" s="608" t="n"/>
    </x:row>
    <x:row r="515" ht="22" customHeight="1">
      <x:c r="A515" s="604" t="inlineStr">
        <x:is>
          <x:t xml:space="preserve">2026-09-28</x:t>
        </x:is>
      </x:c>
      <x:c r="B515" s="604" t="inlineStr">
        <x:is>
          <x:t xml:space="preserve">2026-09-29 01:15:00</x:t>
        </x:is>
      </x:c>
      <x:c r="C515" s="604" t="str">
        <x:v>西亚/中亚系列</x:v>
      </x:c>
      <x:c r="D515" s="604" t="inlineStr">
        <x:is>
          <x:t xml:space="preserve">杯赛</x:t>
        </x:is>
      </x:c>
      <x:c r="E515" s="604" t="inlineStr">
        <x:is>
          <x:t xml:space="preserve">卡塔杯</x:t>
        </x:is>
      </x:c>
      <x:c r="F515" s="604" t="inlineStr">
        <x:is>
          <x:t xml:space="preserve">赛利亚 vs 赖扬</x:t>
        </x:is>
      </x:c>
      <x:c r="G515" s="611" t="n">
        <x:v>1</x:v>
      </x:c>
      <x:c r="H515" s="611" t="n">
        <x:v>-0.5</x:v>
      </x:c>
      <x:c r="I515" s="611" t="n">
        <x:v>0.82</x:v>
      </x:c>
      <x:c r="J515" s="604" t="inlineStr">
        <x:is>
          <x:t xml:space="preserve">1.0/-0.5/0.82</x:t>
        </x:is>
      </x:c>
      <x:c r="K515" s="604" t="inlineStr">
        <x:is>
          <x:t xml:space="preserve">V4-C最新版候选</x:t>
        </x:is>
      </x:c>
      <x:c r="L515" s="604" t="inlineStr">
        <x:is>
          <x:t xml:space="preserve">赛利亚</x:t>
        </x:is>
      </x:c>
      <x:c r="M515" s="606" t="n">
        <x:v>0.5338000000000001</x:v>
      </x:c>
      <x:c r="N515" s="604" t="inlineStr">
        <x:is>
          <x:t xml:space="preserve">V4 ff7d4e5版本A/B/C候选</x:t>
        </x:is>
      </x:c>
      <x:c r="O515" s="604" t="inlineStr">
        <x:is>
          <x:t xml:space="preserve">1-1</x:t>
        </x:is>
      </x:c>
      <x:c r="P515" s="604" t="inlineStr">
        <x:is>
          <x:t xml:space="preserve">已结算</x:t>
        </x:is>
      </x:c>
      <x:c r="Q515" s="645" t="inlineStr">
        <x:is>
          <x:t xml:space="preserve">红</x:t>
        </x:is>
      </x:c>
      <x:c r="R515" s="607" t="n">
        <x:v>1</x:v>
      </x:c>
      <x:c r="S515" s="607" t="n">
        <x:f>IF(OR(Q515="",Q515="待结算"),"",IF(Q515="红",R515,IF(Q515="半红",R515*0.5,IF(Q515="走",0,IF(Q515="半黑",-0.5,-1)))))</x:f>
        <x:v>1</x:v>
      </x:c>
      <x:c r="T515" s="604" t="inlineStr">
        <x:is>
          <x:t xml:space="preserve">https://simondongxiao.github.io/odds/v4/?v=ff7d4e5</x:t>
        </x:is>
      </x:c>
      <x:c r="U515" s="604" t="inlineStr">
        <x:is>
          <x:t xml:space="preserve">3089301</x:t>
        </x:is>
      </x:c>
      <x:c r="V515" s="607" t="inlineStr">
        <x:is>
          <x:t xml:space="preserve">v4-market-dirichlet-20260913</x:t>
        </x:is>
      </x:c>
      <x:c r="W515" s="607" t="n">
        <x:f>IF(OR(U515="",U515="待结算"),"",IF(U515="红",V515,IF(U515="半红",V515*0.5,IF(U515="走",0,IF(U515="半黑",-0.5,-1)))))</x:f>
        <x:v>-1</x:v>
      </x:c>
      <x:c r="X515" s="608" t="inlineStr">
        <x:is>
          <x:t xml:space="preserve">C</x:t>
        </x:is>
      </x:c>
      <x:c r="Y515" s="608" t="n"/>
      <x:c r="Z515" s="608" t="n"/>
      <x:c r="AA515" s="608" t="n"/>
      <x:c r="AB515" s="608" t="n"/>
      <x:c r="AC515" s="608" t="n"/>
      <x:c r="AD515" s="608" t="n"/>
      <x:c r="AE515" s="608" t="n"/>
      <x:c r="AF515" s="608" t="n"/>
      <x:c r="AG515" s="608" t="n"/>
      <x:c r="AH515" s="608" t="n"/>
      <x:c r="AI515" s="608" t="n"/>
      <x:c r="AJ515" s="608" t="n"/>
      <x:c r="AK515" s="608" t="n"/>
      <x:c r="AL515" s="608" t="n"/>
      <x:c r="AM515" s="608" t="n"/>
      <x:c r="AN515" s="608" t="n"/>
      <x:c r="AO515" s="608" t="n"/>
      <x:c r="AP515" s="608" t="n"/>
      <x:c r="AQ515" s="608" t="n"/>
      <x:c r="AR515" s="608" t="n"/>
      <x:c r="AS515" s="608" t="n"/>
      <x:c r="AT515" s="608" t="n"/>
      <x:c r="AU515" s="608" t="n"/>
      <x:c r="AV515" s="608" t="n"/>
      <x:c r="AW515" s="608" t="n"/>
      <x:c r="AX515" s="608" t="n"/>
      <x:c r="AY515" s="608" t="n"/>
    </x:row>
    <x:row r="516" ht="22" customHeight="1">
      <x:c r="A516" s="604" t="inlineStr">
        <x:is>
          <x:t xml:space="preserve">2026-09-28</x:t>
        </x:is>
      </x:c>
      <x:c r="B516" s="604" t="inlineStr">
        <x:is>
          <x:t xml:space="preserve">2026-09-29 05:00:00</x:t>
        </x:is>
      </x:c>
      <x:c r="C516" s="604" t="str">
        <x:v>南美系列</x:v>
      </x:c>
      <x:c r="D516" s="604" t="inlineStr">
        <x:is>
          <x:t xml:space="preserve">联赛</x:t>
        </x:is>
      </x:c>
      <x:c r="E516" s="604" t="inlineStr">
        <x:is>
          <x:t xml:space="preserve">哥伦乙秋</x:t>
        </x:is>
      </x:c>
      <x:c r="F516" s="604" t="inlineStr">
        <x:is>
          <x:t xml:space="preserve">哥杜雷亚 vs 利昂内斯</x:t>
        </x:is>
      </x:c>
      <x:c r="G516" s="611" t="n">
        <x:v>0.72</x:v>
      </x:c>
      <x:c r="H516" s="611" t="n">
        <x:v>0.5</x:v>
      </x:c>
      <x:c r="I516" s="611" t="n">
        <x:v>1.11</x:v>
      </x:c>
      <x:c r="J516" s="604" t="inlineStr">
        <x:is>
          <x:t xml:space="preserve">0.72/0.5/1.11</x:t>
        </x:is>
      </x:c>
      <x:c r="K516" s="604" t="inlineStr">
        <x:is>
          <x:t xml:space="preserve">V4-C最新版候选</x:t>
        </x:is>
      </x:c>
      <x:c r="L516" s="604" t="inlineStr">
        <x:is>
          <x:t xml:space="preserve">利昂内斯</x:t>
        </x:is>
      </x:c>
      <x:c r="M516" s="606" t="n">
        <x:v>0.7762</x:v>
      </x:c>
      <x:c r="N516" s="604" t="inlineStr">
        <x:is>
          <x:t xml:space="preserve">V4 ff7d4e5版本A/B/C候选</x:t>
        </x:is>
      </x:c>
      <x:c r="O516" s="604" t="inlineStr">
        <x:is>
          <x:t xml:space="preserve">1-0</x:t>
        </x:is>
      </x:c>
      <x:c r="P516" s="604" t="inlineStr">
        <x:is>
          <x:t xml:space="preserve">已结算</x:t>
        </x:is>
      </x:c>
      <x:c r="Q516" s="646" t="inlineStr">
        <x:is>
          <x:t xml:space="preserve">黑</x:t>
        </x:is>
      </x:c>
      <x:c r="R516" s="607" t="n">
        <x:v>1.11</x:v>
      </x:c>
      <x:c r="S516" s="607" t="n">
        <x:f>IF(OR(Q516="",Q516="待结算"),"",IF(Q516="红",R516,IF(Q516="半红",R516*0.5,IF(Q516="走",0,IF(Q516="半黑",-0.5,-1)))))</x:f>
        <x:v>-1</x:v>
      </x:c>
      <x:c r="T516" s="604" t="inlineStr">
        <x:is>
          <x:t xml:space="preserve">https://simondongxiao.github.io/odds/v4/?v=ff7d4e5</x:t>
        </x:is>
      </x:c>
      <x:c r="U516" s="604" t="inlineStr">
        <x:is>
          <x:t xml:space="preserve">3012204</x:t>
        </x:is>
      </x:c>
      <x:c r="V516" s="607" t="inlineStr">
        <x:is>
          <x:t xml:space="preserve">v4-market-dirichlet-20260913</x:t>
        </x:is>
      </x:c>
      <x:c r="W516" s="607" t="n">
        <x:f>IF(OR(U516="",U516="待结算"),"",IF(U516="红",V516,IF(U516="半红",V516*0.5,IF(U516="走",0,IF(U516="半黑",-0.5,-1)))))</x:f>
        <x:v>-1</x:v>
      </x:c>
      <x:c r="X516" s="608" t="inlineStr">
        <x:is>
          <x:t xml:space="preserve">C</x:t>
        </x:is>
      </x:c>
      <x:c r="Y516" s="608" t="n"/>
      <x:c r="Z516" s="608" t="n"/>
      <x:c r="AA516" s="608" t="n"/>
      <x:c r="AB516" s="608" t="n"/>
      <x:c r="AC516" s="608" t="n"/>
      <x:c r="AD516" s="608" t="n"/>
      <x:c r="AE516" s="608" t="n"/>
      <x:c r="AF516" s="608" t="n"/>
      <x:c r="AG516" s="608" t="n"/>
      <x:c r="AH516" s="608" t="n"/>
      <x:c r="AI516" s="608" t="n"/>
      <x:c r="AJ516" s="608" t="n"/>
      <x:c r="AK516" s="608" t="n"/>
      <x:c r="AL516" s="608" t="n"/>
      <x:c r="AM516" s="608" t="n"/>
      <x:c r="AN516" s="608" t="n"/>
      <x:c r="AO516" s="608" t="n"/>
      <x:c r="AP516" s="608" t="n"/>
      <x:c r="AQ516" s="608" t="n"/>
      <x:c r="AR516" s="608" t="n"/>
      <x:c r="AS516" s="608" t="n"/>
      <x:c r="AT516" s="608" t="n"/>
      <x:c r="AU516" s="608" t="n"/>
      <x:c r="AV516" s="608" t="n"/>
      <x:c r="AW516" s="608" t="n"/>
      <x:c r="AX516" s="608" t="n"/>
      <x:c r="AY516" s="608" t="n"/>
    </x:row>
    <x:row r="517" ht="22" customHeight="1">
      <x:c r="A517" s="604" t="inlineStr">
        <x:is>
          <x:t xml:space="preserve">2026-09-28</x:t>
        </x:is>
      </x:c>
      <x:c r="B517" s="604" t="inlineStr">
        <x:is>
          <x:t xml:space="preserve">2026-09-29 06:00:00</x:t>
        </x:is>
      </x:c>
      <x:c r="C517" s="604" t="str">
        <x:v>北美系列</x:v>
      </x:c>
      <x:c r="D517" s="604" t="inlineStr">
        <x:is>
          <x:t xml:space="preserve">联赛</x:t>
        </x:is>
      </x:c>
      <x:c r="E517" s="604" t="inlineStr">
        <x:is>
          <x:t xml:space="preserve">中北美国联</x:t>
        </x:is>
      </x:c>
      <x:c r="F517" s="604" t="inlineStr">
        <x:is>
          <x:t xml:space="preserve">苏里南 vs 马提尼克</x:t>
        </x:is>
      </x:c>
      <x:c r="G517" s="611" t="n">
        <x:v>0.97</x:v>
      </x:c>
      <x:c r="H517" s="611" t="n">
        <x:v>1</x:v>
      </x:c>
      <x:c r="I517" s="611" t="n">
        <x:v>0.85</x:v>
      </x:c>
      <x:c r="J517" s="604" t="inlineStr">
        <x:is>
          <x:t xml:space="preserve">0.97/1.0/0.85</x:t>
        </x:is>
      </x:c>
      <x:c r="K517" s="604" t="inlineStr">
        <x:is>
          <x:t xml:space="preserve">V4-C最新版候选</x:t>
        </x:is>
      </x:c>
      <x:c r="L517" s="604" t="inlineStr">
        <x:is>
          <x:t xml:space="preserve">马提尼克</x:t>
        </x:is>
      </x:c>
      <x:c r="M517" s="606" t="n">
        <x:v>0.5202</x:v>
      </x:c>
      <x:c r="N517" s="604" t="inlineStr">
        <x:is>
          <x:t xml:space="preserve">V4 ff7d4e5版本A/B/C候选</x:t>
        </x:is>
      </x:c>
      <x:c r="O517" s="604" t="inlineStr">
        <x:is>
          <x:t xml:space="preserve">2-1</x:t>
        </x:is>
      </x:c>
      <x:c r="P517" s="604" t="inlineStr">
        <x:is>
          <x:t xml:space="preserve">已结算</x:t>
        </x:is>
      </x:c>
      <x:c r="Q517" s="647" t="inlineStr">
        <x:is>
          <x:t xml:space="preserve">走</x:t>
        </x:is>
      </x:c>
      <x:c r="R517" s="607" t="n">
        <x:v>0.85</x:v>
      </x:c>
      <x:c r="S517" s="607" t="n">
        <x:f>IF(OR(Q517="",Q517="待结算"),"",IF(Q517="红",R517,IF(Q517="半红",R517*0.5,IF(Q517="走",0,IF(Q517="半黑",-0.5,-1)))))</x:f>
        <x:v>0</x:v>
      </x:c>
      <x:c r="T517" s="604" t="inlineStr">
        <x:is>
          <x:t xml:space="preserve">https://www.reddit.com/r/FootballMatchTalk/comments/1wsuxjb/postmatch_thread_suriname_21_martinique/</x:t>
        </x:is>
      </x:c>
      <x:c r="U517" s="604" t="inlineStr">
        <x:is>
          <x:t xml:space="preserve">3092439</x:t>
        </x:is>
      </x:c>
      <x:c r="V517" s="607" t="inlineStr">
        <x:is>
          <x:t xml:space="preserve">v4-market-dirichlet-20260913</x:t>
        </x:is>
      </x:c>
      <x:c r="W517" s="607" t="n">
        <x:f>IF(OR(U517="",U517="待结算"),"",IF(U517="红",V517,IF(U517="半红",V517*0.5,IF(U517="走",0,IF(U517="半黑",-0.5,-1)))))</x:f>
        <x:v>-1</x:v>
      </x:c>
      <x:c r="X517" s="608" t="inlineStr">
        <x:is>
          <x:t xml:space="preserve">C</x:t>
        </x:is>
      </x:c>
      <x:c r="Y517" s="608" t="n"/>
      <x:c r="Z517" s="608" t="n"/>
      <x:c r="AA517" s="608" t="n"/>
      <x:c r="AB517" s="608" t="n"/>
      <x:c r="AC517" s="608" t="n"/>
      <x:c r="AD517" s="608" t="n"/>
      <x:c r="AE517" s="608" t="n"/>
      <x:c r="AF517" s="608" t="n"/>
      <x:c r="AG517" s="608" t="n"/>
      <x:c r="AH517" s="608" t="n"/>
      <x:c r="AI517" s="608" t="n"/>
      <x:c r="AJ517" s="608" t="n"/>
      <x:c r="AK517" s="608" t="n"/>
      <x:c r="AL517" s="608" t="n"/>
      <x:c r="AM517" s="608" t="n"/>
      <x:c r="AN517" s="608" t="n"/>
      <x:c r="AO517" s="608" t="n"/>
      <x:c r="AP517" s="608" t="n"/>
      <x:c r="AQ517" s="608" t="n"/>
      <x:c r="AR517" s="608" t="n"/>
      <x:c r="AS517" s="608" t="n"/>
      <x:c r="AT517" s="608" t="n"/>
      <x:c r="AU517" s="608" t="n"/>
      <x:c r="AV517" s="608" t="n"/>
      <x:c r="AW517" s="608" t="n"/>
      <x:c r="AX517" s="608" t="n"/>
      <x:c r="AY517" s="608" t="n"/>
    </x:row>
    <x:row r="518" ht="22" customHeight="1">
      <x:c r="A518" s="604" t="inlineStr">
        <x:is>
          <x:t xml:space="preserve">2026-09-28</x:t>
        </x:is>
      </x:c>
      <x:c r="B518" s="604" t="inlineStr">
        <x:is>
          <x:t xml:space="preserve">2026-09-29 06:30:00</x:t>
        </x:is>
      </x:c>
      <x:c r="C518" s="604" t="str">
        <x:v>南美系列</x:v>
      </x:c>
      <x:c r="D518" s="604" t="inlineStr">
        <x:is>
          <x:t xml:space="preserve">联赛</x:t>
        </x:is>
      </x:c>
      <x:c r="E518" s="604" t="inlineStr">
        <x:is>
          <x:t xml:space="preserve">巴西乙</x:t>
        </x:is>
      </x:c>
      <x:c r="F518" s="604" t="inlineStr">
        <x:is>
          <x:t xml:space="preserve">米内罗美洲 vs 尤文图德</x:t>
        </x:is>
      </x:c>
      <x:c r="G518" s="611" t="n">
        <x:v>0.8100000000000001</x:v>
      </x:c>
      <x:c r="H518" s="611" t="n">
        <x:v>-0.5</x:v>
      </x:c>
      <x:c r="I518" s="611" t="n">
        <x:v>1.07</x:v>
      </x:c>
      <x:c r="J518" s="604" t="inlineStr">
        <x:is>
          <x:t xml:space="preserve">0.81/-0.5/1.07</x:t>
        </x:is>
      </x:c>
      <x:c r="K518" s="604" t="inlineStr">
        <x:is>
          <x:t xml:space="preserve">V4-C最新版候选</x:t>
        </x:is>
      </x:c>
      <x:c r="L518" s="604" t="inlineStr">
        <x:is>
          <x:t xml:space="preserve">尤文图德</x:t>
        </x:is>
      </x:c>
      <x:c r="M518" s="606" t="n">
        <x:v>0.6508</x:v>
      </x:c>
      <x:c r="N518" s="604" t="inlineStr">
        <x:is>
          <x:t xml:space="preserve">V4 ff7d4e5版本A/B/C候选</x:t>
        </x:is>
      </x:c>
      <x:c r="O518" s="604" t="inlineStr">
        <x:is>
          <x:t xml:space="preserve">0-1</x:t>
        </x:is>
      </x:c>
      <x:c r="P518" s="604" t="inlineStr">
        <x:is>
          <x:t xml:space="preserve">已结算</x:t>
        </x:is>
      </x:c>
      <x:c r="Q518" s="645" t="inlineStr">
        <x:is>
          <x:t xml:space="preserve">红</x:t>
        </x:is>
      </x:c>
      <x:c r="R518" s="607" t="n">
        <x:v>1.07</x:v>
      </x:c>
      <x:c r="S518" s="607" t="n">
        <x:f>IF(OR(Q518="",Q518="待结算"),"",IF(Q518="红",R518,IF(Q518="半红",R518*0.5,IF(Q518="走",0,IF(Q518="半黑",-0.5,-1)))))</x:f>
        <x:v>1.07</x:v>
      </x:c>
      <x:c r="T518" s="604" t="inlineStr">
        <x:is>
          <x:t xml:space="preserve">https://www.reddit.com/r/futebol/comments/1wsvpg8/post_match_thread_campeonato_brasileiro_s%C3%A9rie_b/</x:t>
        </x:is>
      </x:c>
      <x:c r="U518" s="604" t="inlineStr">
        <x:is>
          <x:t xml:space="preserve">2940195</x:t>
        </x:is>
      </x:c>
      <x:c r="V518" s="607" t="inlineStr">
        <x:is>
          <x:t xml:space="preserve">v4-market-dirichlet-20260913</x:t>
        </x:is>
      </x:c>
      <x:c r="W518" s="607" t="n">
        <x:f>IF(OR(U518="",U518="待结算"),"",IF(U518="红",V518,IF(U518="半红",V518*0.5,IF(U518="走",0,IF(U518="半黑",-0.5,-1)))))</x:f>
        <x:v>-1</x:v>
      </x:c>
      <x:c r="X518" s="608" t="inlineStr">
        <x:is>
          <x:t xml:space="preserve">C</x:t>
        </x:is>
      </x:c>
      <x:c r="Y518" s="608" t="n"/>
      <x:c r="Z518" s="608" t="n"/>
      <x:c r="AA518" s="608" t="n"/>
      <x:c r="AB518" s="608" t="n"/>
      <x:c r="AC518" s="608" t="n"/>
      <x:c r="AD518" s="608" t="n"/>
      <x:c r="AE518" s="608" t="n"/>
      <x:c r="AF518" s="608" t="n"/>
      <x:c r="AG518" s="608" t="n"/>
      <x:c r="AH518" s="608" t="n"/>
      <x:c r="AI518" s="608" t="n"/>
      <x:c r="AJ518" s="608" t="n"/>
      <x:c r="AK518" s="608" t="n"/>
      <x:c r="AL518" s="608" t="n"/>
      <x:c r="AM518" s="608" t="n"/>
      <x:c r="AN518" s="608" t="n"/>
      <x:c r="AO518" s="608" t="n"/>
      <x:c r="AP518" s="608" t="n"/>
      <x:c r="AQ518" s="608" t="n"/>
      <x:c r="AR518" s="608" t="n"/>
      <x:c r="AS518" s="608" t="n"/>
      <x:c r="AT518" s="608" t="n"/>
      <x:c r="AU518" s="608" t="n"/>
      <x:c r="AV518" s="608" t="n"/>
      <x:c r="AW518" s="608" t="n"/>
      <x:c r="AX518" s="608" t="n"/>
      <x:c r="AY518" s="608" t="n"/>
    </x:row>
    <x:row r="519" ht="22" customHeight="1">
      <x:c r="A519" s="604" t="inlineStr">
        <x:is>
          <x:t xml:space="preserve">2026-09-28</x:t>
        </x:is>
      </x:c>
      <x:c r="B519" s="604" t="inlineStr">
        <x:is>
          <x:t xml:space="preserve">2026-09-29 09:05:00</x:t>
        </x:is>
      </x:c>
      <x:c r="C519" s="604" t="str">
        <x:v>北美系列</x:v>
      </x:c>
      <x:c r="D519" s="604" t="inlineStr">
        <x:is>
          <x:t xml:space="preserve">联赛</x:t>
        </x:is>
      </x:c>
      <x:c r="E519" s="604" t="inlineStr">
        <x:is>
          <x:t xml:space="preserve">墨西女超春</x:t>
        </x:is>
      </x:c>
      <x:c r="F519" s="604" t="inlineStr">
        <x:is>
          <x:t xml:space="preserve">尼卡沙女足 vs 托卢卡女足</x:t>
        </x:is>
      </x:c>
      <x:c r="G519" s="611" t="n">
        <x:v>1.01</x:v>
      </x:c>
      <x:c r="H519" s="611" t="n">
        <x:v>-3.25</x:v>
      </x:c>
      <x:c r="I519" s="611" t="n">
        <x:v>0.85</x:v>
      </x:c>
      <x:c r="J519" s="604" t="inlineStr">
        <x:is>
          <x:t xml:space="preserve">1.01/-3.25/0.85</x:t>
        </x:is>
      </x:c>
      <x:c r="K519" s="604" t="inlineStr">
        <x:is>
          <x:t xml:space="preserve">V4-C最新版候选</x:t>
        </x:is>
      </x:c>
      <x:c r="L519" s="604" t="inlineStr">
        <x:is>
          <x:t xml:space="preserve">尼卡沙女足</x:t>
        </x:is>
      </x:c>
      <x:c r="M519" s="606" t="n">
        <x:v>0.8132</x:v>
      </x:c>
      <x:c r="N519" s="604" t="inlineStr">
        <x:is>
          <x:t xml:space="preserve">V4 ff7d4e5版本A/B/C候选</x:t>
        </x:is>
      </x:c>
      <x:c r="O519" s="604" t="inlineStr">
        <x:is>
          <x:t xml:space="preserve">1-6</x:t>
        </x:is>
      </x:c>
      <x:c r="P519" s="604" t="inlineStr">
        <x:is>
          <x:t xml:space="preserve">已结算</x:t>
        </x:is>
      </x:c>
      <x:c r="Q519" s="646" t="inlineStr">
        <x:is>
          <x:t xml:space="preserve">黑</x:t>
        </x:is>
      </x:c>
      <x:c r="R519" s="607" t="n">
        <x:v>1.01</x:v>
      </x:c>
      <x:c r="S519" s="607" t="n">
        <x:f>IF(OR(Q519="",Q519="待结算"),"",IF(Q519="红",R519,IF(Q519="半红",R519*0.5,IF(Q519="走",0,IF(Q519="半黑",-0.5,-1)))))</x:f>
        <x:v>-1</x:v>
      </x:c>
      <x:c r="T519" s="604" t="inlineStr">
        <x:is>
          <x:t xml:space="preserve">https://www.365scores.com/es/football/team/necaxa-%28w%29-53642</x:t>
        </x:is>
      </x:c>
      <x:c r="U519" s="604" t="inlineStr">
        <x:is>
          <x:t xml:space="preserve">3046043</x:t>
        </x:is>
      </x:c>
      <x:c r="V519" s="607" t="inlineStr">
        <x:is>
          <x:t xml:space="preserve">v4-market-dirichlet-20260913</x:t>
        </x:is>
      </x:c>
      <x:c r="W519" s="607" t="n">
        <x:f>IF(OR(U519="",U519="待结算"),"",IF(U519="红",V519,IF(U519="半红",V519*0.5,IF(U519="走",0,IF(U519="半黑",-0.5,-1)))))</x:f>
        <x:v>-1</x:v>
      </x:c>
      <x:c r="X519" s="608" t="inlineStr">
        <x:is>
          <x:t xml:space="preserve">C</x:t>
        </x:is>
      </x:c>
      <x:c r="Y519" s="608" t="n"/>
      <x:c r="Z519" s="608" t="n"/>
      <x:c r="AA519" s="608" t="n"/>
      <x:c r="AB519" s="608" t="n"/>
      <x:c r="AC519" s="608" t="n"/>
      <x:c r="AD519" s="608" t="n"/>
      <x:c r="AE519" s="608" t="n"/>
      <x:c r="AF519" s="608" t="n"/>
      <x:c r="AG519" s="608" t="n"/>
      <x:c r="AH519" s="608" t="n"/>
      <x:c r="AI519" s="608" t="n"/>
      <x:c r="AJ519" s="608" t="n"/>
      <x:c r="AK519" s="608" t="n"/>
      <x:c r="AL519" s="608" t="n"/>
      <x:c r="AM519" s="608" t="n"/>
      <x:c r="AN519" s="608" t="n"/>
      <x:c r="AO519" s="608" t="n"/>
      <x:c r="AP519" s="608" t="n"/>
      <x:c r="AQ519" s="608" t="n"/>
      <x:c r="AR519" s="608" t="n"/>
      <x:c r="AS519" s="608" t="n"/>
      <x:c r="AT519" s="608" t="n"/>
      <x:c r="AU519" s="608" t="n"/>
      <x:c r="AV519" s="608" t="n"/>
      <x:c r="AW519" s="608" t="n"/>
      <x:c r="AX519" s="608" t="n"/>
      <x:c r="AY519" s="608" t="n"/>
    </x:row>
    <x:row r="520" ht="22" customHeight="1">
      <x:c r="A520" s="604" t="inlineStr">
        <x:is>
          <x:t xml:space="preserve">2026-09-28</x:t>
        </x:is>
      </x:c>
      <x:c r="B520" s="604" t="inlineStr">
        <x:is>
          <x:t xml:space="preserve">2026-09-29 10:05:00</x:t>
        </x:is>
      </x:c>
      <x:c r="C520" s="604" t="str">
        <x:v>北美系列</x:v>
      </x:c>
      <x:c r="D520" s="604" t="inlineStr">
        <x:is>
          <x:t xml:space="preserve">联赛</x:t>
        </x:is>
      </x:c>
      <x:c r="E520" s="604" t="inlineStr">
        <x:is>
          <x:t xml:space="preserve">墨西乙</x:t>
        </x:is>
      </x:c>
      <x:c r="F520" s="604" t="inlineStr">
        <x:is>
          <x:t xml:space="preserve">贾奎斯 vs 帕尔梅拉斯港</x:t>
        </x:is>
      </x:c>
      <x:c r="G520" s="611" t="n">
        <x:v>1.02</x:v>
      </x:c>
      <x:c r="H520" s="611" t="n">
        <x:v>-0.25</x:v>
      </x:c>
      <x:c r="I520" s="611" t="n">
        <x:v>0.74</x:v>
      </x:c>
      <x:c r="J520" s="604" t="inlineStr">
        <x:is>
          <x:t xml:space="preserve">1.02/-0.25/0.74</x:t>
        </x:is>
      </x:c>
      <x:c r="K520" s="604" t="inlineStr">
        <x:is>
          <x:t xml:space="preserve">V4-C最新版候选</x:t>
        </x:is>
      </x:c>
      <x:c r="L520" s="604" t="inlineStr">
        <x:is>
          <x:t xml:space="preserve">贾奎斯</x:t>
        </x:is>
      </x:c>
      <x:c r="M520" s="606" t="n">
        <x:v>0.586</x:v>
      </x:c>
      <x:c r="N520" s="604" t="inlineStr">
        <x:is>
          <x:t xml:space="preserve">V4 ff7d4e5版本A/B/C候选</x:t>
        </x:is>
      </x:c>
      <x:c r="O520" s="604" t="inlineStr">
        <x:is>
          <x:t xml:space="preserve">1-1</x:t>
        </x:is>
      </x:c>
      <x:c r="P520" s="604" t="inlineStr">
        <x:is>
          <x:t xml:space="preserve">已结算</x:t>
        </x:is>
      </x:c>
      <x:c r="Q520" s="604" t="inlineStr">
        <x:is>
          <x:t xml:space="preserve">半黑</x:t>
        </x:is>
      </x:c>
      <x:c r="R520" s="607" t="n">
        <x:v>1.02</x:v>
      </x:c>
      <x:c r="S520" s="607" t="n">
        <x:f>IF(OR(Q520="",Q520="待结算"),"",IF(Q520="红",R520,IF(Q520="半红",R520*0.5,IF(Q520="走",0,IF(Q520="半黑",-0.5,-1)))))</x:f>
        <x:v>-0.5</x:v>
      </x:c>
      <x:c r="T520" s="604" t="inlineStr">
        <x:is>
          <x:t xml:space="preserve">https://simondongxiao.github.io/odds/v4/?v=ff7d4e5</x:t>
        </x:is>
      </x:c>
      <x:c r="U520" s="604" t="inlineStr">
        <x:is>
          <x:t xml:space="preserve">3073295</x:t>
        </x:is>
      </x:c>
      <x:c r="V520" s="607" t="inlineStr">
        <x:is>
          <x:t xml:space="preserve">v4-market-dirichlet-20260913</x:t>
        </x:is>
      </x:c>
      <x:c r="W520" s="607" t="n">
        <x:f>IF(OR(U520="",U520="待结算"),"",IF(U520="红",V520,IF(U520="半红",V520*0.5,IF(U520="走",0,IF(U520="半黑",-0.5,-1)))))</x:f>
        <x:v>-1</x:v>
      </x:c>
      <x:c r="X520" s="608" t="inlineStr">
        <x:is>
          <x:t xml:space="preserve">C</x:t>
        </x:is>
      </x:c>
      <x:c r="Y520" s="608" t="n"/>
      <x:c r="Z520" s="608" t="n"/>
      <x:c r="AA520" s="608" t="n"/>
      <x:c r="AB520" s="608" t="n"/>
      <x:c r="AC520" s="608" t="n"/>
      <x:c r="AD520" s="608" t="n"/>
      <x:c r="AE520" s="608" t="n"/>
      <x:c r="AF520" s="608" t="n"/>
      <x:c r="AG520" s="608" t="n"/>
      <x:c r="AH520" s="608" t="n"/>
      <x:c r="AI520" s="608" t="n"/>
      <x:c r="AJ520" s="608" t="n"/>
      <x:c r="AK520" s="608" t="n"/>
      <x:c r="AL520" s="608" t="n"/>
      <x:c r="AM520" s="608" t="n"/>
      <x:c r="AN520" s="608" t="n"/>
      <x:c r="AO520" s="608" t="n"/>
      <x:c r="AP520" s="608" t="n"/>
      <x:c r="AQ520" s="608" t="n"/>
      <x:c r="AR520" s="608" t="n"/>
      <x:c r="AS520" s="608" t="n"/>
      <x:c r="AT520" s="608" t="n"/>
      <x:c r="AU520" s="608" t="n"/>
      <x:c r="AV520" s="608" t="n"/>
      <x:c r="AW520" s="608" t="n"/>
      <x:c r="AX520" s="608" t="n"/>
      <x:c r="AY520" s="608" t="n"/>
    </x:row>
    <x:row r="521" ht="22" customHeight="1">
      <x:c r="A521" s="604" t="inlineStr">
        <x:is>
          <x:t xml:space="preserve">2026-09-29</x:t>
        </x:is>
      </x:c>
      <x:c r="B521" s="604" t="inlineStr">
        <x:is>
          <x:t xml:space="preserve">2026-09-29 15:00</x:t>
        </x:is>
      </x:c>
      <x:c r="C521" s="604" t="str">
        <x:v>其他系列</x:v>
      </x:c>
      <x:c r="D521" s="604" t="inlineStr">
        <x:is>
          <x:t xml:space="preserve">联赛</x:t>
        </x:is>
      </x:c>
      <x:c r="E521" s="604" t="inlineStr">
        <x:is>
          <x:t xml:space="preserve">国际友谊</x:t>
        </x:is>
      </x:c>
      <x:c r="F521" s="604" t="inlineStr">
        <x:is>
          <x:t xml:space="preserve">斐济女足 vs 新喀里多尼亚女足</x:t>
        </x:is>
      </x:c>
      <x:c r="G521" s="611" t="n">
        <x:v>0.66</x:v>
      </x:c>
      <x:c r="H521" s="611" t="n">
        <x:v>1.25</x:v>
      </x:c>
      <x:c r="I521" s="611" t="n">
        <x:v>1.19</x:v>
      </x:c>
      <x:c r="J521" s="611" t="inlineStr">
        <x:is>
          <x:t xml:space="preserve">0.66/1.25/1.19</x:t>
        </x:is>
      </x:c>
      <x:c r="K521" s="604" t="inlineStr">
        <x:is>
          <x:t xml:space="preserve">V4-C｜EV +0.0712</x:t>
        </x:is>
      </x:c>
      <x:c r="L521" s="604" t="inlineStr">
        <x:is>
          <x:t xml:space="preserve">新喀里多尼亚女足</x:t>
        </x:is>
      </x:c>
      <x:c r="M521" s="606" t="n">
        <x:v>0.4945054945054945</x:v>
      </x:c>
      <x:c r="N521" s="604" t="inlineStr">
        <x:is>
          <x:t xml:space="preserve">V4纸面入选-C</x:t>
        </x:is>
      </x:c>
      <x:c r="O521" s="604" t="inlineStr">
        <x:is>
          <x:t xml:space="preserve">1-0</x:t>
        </x:is>
      </x:c>
      <x:c r="P521" s="604" t="inlineStr">
        <x:is>
          <x:t xml:space="preserve">已结算</x:t>
        </x:is>
      </x:c>
      <x:c r="Q521" s="649" t="inlineStr">
        <x:is>
          <x:t xml:space="preserve">半红</x:t>
        </x:is>
      </x:c>
      <x:c r="R521" s="607" t="n">
        <x:v>1.19</x:v>
      </x:c>
      <x:c r="S521" s="607" t="n">
        <x:f>IF(OR(Q521="",Q521="待结算"),"",IF(Q521="红",R521,IF(Q521="半红",R521*0.5,IF(Q521="走",0,IF(Q521="半黑",-0.5,-1)))))</x:f>
        <x:v>0.595</x:v>
      </x:c>
      <x:c r="T521" s="604" t="inlineStr">
        <x:is>
          <x:t xml:space="preserve">https://m.titan007.com/analy/Analysis/3094943.htm</x:t>
        </x:is>
      </x:c>
      <x:c r="U521" s="648" t="str">
        <x:f>IF(Q521="","",IF(Q521="待结算","待结算",IF(Q521="红","黑",IF(Q521="半红","半黑",IF(Q521="走","走",IF(Q521="半黑","半红","红"))))))</x:f>
        <x:v>半黑</x:v>
      </x:c>
      <x:c r="V521" s="607" t="n">
        <x:f>IF(OR(Q521="",Q521="待结算"),"",IF(L521=LEFT(F521,FIND(" vs ",F521)-1),I521,G521))</x:f>
        <x:v>0.66</x:v>
      </x:c>
      <x:c r="W521" s="607" t="n">
        <x:f>IF(OR(U521="",U521="待结算"),"",IF(U521="红",V521,IF(U521="半红",V521*0.5,IF(U521="走",0,IF(U521="半黑",-0.5,-1)))))</x:f>
        <x:v>-0.5</x:v>
      </x:c>
      <x:c r="X521" s="604" t="inlineStr">
        <x:is>
          <x:t xml:space="preserve">3094943</x:t>
        </x:is>
      </x:c>
      <x:c r="Y521" s="604" t="inlineStr">
        <x:is>
          <x:t xml:space="preserve">v4-market-dirichlet-20260913</x:t>
        </x:is>
      </x:c>
      <x:c r="Z521" s="604" t="inlineStr">
        <x:is>
          <x:t xml:space="preserve">prior-2026-09-29-v1</x:t>
        </x:is>
      </x:c>
      <x:c r="AA521" s="604" t="inlineStr">
        <x:is>
          <x:t xml:space="preserve">C</x:t>
        </x:is>
      </x:c>
      <x:c r="AB521" s="604" t="n">
        <x:v>0.2830188679245283</x:v>
      </x:c>
      <x:c r="AC521" s="604" t="n">
        <x:v>0.2830188679245283</x:v>
      </x:c>
      <x:c r="AD521" s="604" t="n"/>
      <x:c r="AE521" s="604" t="n"/>
      <x:c r="AF521" s="604" t="n">
        <x:v>0.4339622641509434</x:v>
      </x:c>
      <x:c r="AG521" s="604" t="n">
        <x:v>0.07122641509433958</x:v>
      </x:c>
      <x:c r="AH521" s="604" t="n">
        <x:v>-0.1481288531445984</x:v>
      </x:c>
      <x:c r="AI521" s="604" t="n">
        <x:v>-0.1002339626531072</x:v>
      </x:c>
      <x:c r="AJ521" s="604" t="n">
        <x:v>0.07142095893397421</x:v>
      </x:c>
      <x:c r="AK521" s="604" t="n">
        <x:v>0.2356035757024886</x:v>
      </x:c>
      <x:c r="AL521" s="604" t="n">
        <x:v>0.288661309712762</x:v>
      </x:c>
      <x:c r="AM521" s="604" t="n">
        <x:v>0.705</x:v>
      </x:c>
      <x:c r="AN521" s="604" t="inlineStr">
        <x:is>
          <x:t xml:space="preserve">EVALUATED</x:t>
        </x:is>
      </x:c>
      <x:c r="AO521" s="604" t="inlineStr">
        <x:is>
          <x:t xml:space="preserve">BUCKET_1.25、SIDE_IDENTITY_VALID、FLAT_LINE_GIVING_WATER_DROP</x:t>
        </x:is>
      </x:c>
      <x:c r="AP521" s="604" t="inlineStr">
        <x:is>
          <x:t xml:space="preserve">ecf71746fc9786cc952b</x:t>
        </x:is>
      </x:c>
      <x:c r="AQ521" s="604" t="n">
        <x:v>1.25</x:v>
      </x:c>
      <x:c r="AR521" s="604" t="n">
        <x:v>1.19</x:v>
      </x:c>
      <x:c r="AS521" s="604" t="n">
        <x:v>1.25</x:v>
      </x:c>
      <x:c r="AT521" s="604" t="n">
        <x:v>-1.25</x:v>
      </x:c>
      <x:c r="AU521" s="604" t="n">
        <x:v>0.66</x:v>
      </x:c>
      <x:c r="AV521" s="604" t="n">
        <x:v>1.19</x:v>
      </x:c>
      <x:c r="AW521" s="604" t="n">
        <x:v>46294.28273530093</x:v>
      </x:c>
      <x:c r="AX521" s="604" t="inlineStr">
        <x:is>
          <x:t xml:space="preserve">https://simondongxiao.github.io/odds/v4/</x:t>
        </x:is>
      </x:c>
      <x:c r="AY521" s="604" t="inlineStr">
        <x:is>
          <x:t xml:space="preserve">V4 Shadow Only；real_money=false；P(EV&gt;0)不是比赛胜率</x:t>
        </x:is>
      </x:c>
    </x:row>
    <x:row r="522" ht="22" customHeight="1">
      <x:c r="A522" s="604" t="inlineStr">
        <x:is>
          <x:t xml:space="preserve">2026-09-29</x:t>
        </x:is>
      </x:c>
      <x:c r="B522" s="604" t="inlineStr">
        <x:is>
          <x:t xml:space="preserve">2026-09-29 18:00</x:t>
        </x:is>
      </x:c>
      <x:c r="C522" s="604" t="str">
        <x:v>日韩系列</x:v>
      </x:c>
      <x:c r="D522" s="604" t="inlineStr">
        <x:is>
          <x:t xml:space="preserve">杯赛</x:t>
        </x:is>
      </x:c>
      <x:c r="E522" s="604" t="inlineStr">
        <x:is>
          <x:t xml:space="preserve">日联杯</x:t>
        </x:is>
      </x:c>
      <x:c r="F522" s="604" t="inlineStr">
        <x:is>
          <x:t xml:space="preserve">金泽 vs 清水鼓动</x:t>
        </x:is>
      </x:c>
      <x:c r="G522" s="611" t="n">
        <x:v>1.02</x:v>
      </x:c>
      <x:c r="H522" s="611" t="n">
        <x:v>-0.5</x:v>
      </x:c>
      <x:c r="I522" s="611" t="n">
        <x:v>0.8</x:v>
      </x:c>
      <x:c r="J522" s="611" t="inlineStr">
        <x:is>
          <x:t xml:space="preserve">1.02/-0.5/0.8</x:t>
        </x:is>
      </x:c>
      <x:c r="K522" s="604" t="inlineStr">
        <x:is>
          <x:t xml:space="preserve">V4-C｜EV +0.0158</x:t>
        </x:is>
      </x:c>
      <x:c r="L522" s="604" t="inlineStr">
        <x:is>
          <x:t xml:space="preserve">金泽</x:t>
        </x:is>
      </x:c>
      <x:c r="M522" s="606" t="n">
        <x:v>0.5028571428571429</x:v>
      </x:c>
      <x:c r="N522" s="604" t="inlineStr">
        <x:is>
          <x:t xml:space="preserve">V4纸面入选-C</x:t>
        </x:is>
      </x:c>
      <x:c r="O522" s="604" t="inlineStr">
        <x:is>
          <x:t xml:space="preserve">0-2</x:t>
        </x:is>
      </x:c>
      <x:c r="P522" s="604" t="inlineStr">
        <x:is>
          <x:t xml:space="preserve">已结算</x:t>
        </x:is>
      </x:c>
      <x:c r="Q522" s="646" t="inlineStr">
        <x:is>
          <x:t xml:space="preserve">黑</x:t>
        </x:is>
      </x:c>
      <x:c r="R522" s="607" t="n">
        <x:v>1.02</x:v>
      </x:c>
      <x:c r="S522" s="607" t="n">
        <x:f>IF(OR(Q522="",Q522="待结算"),"",IF(Q522="红",R522,IF(Q522="半红",R522*0.5,IF(Q522="走",0,IF(Q522="半黑",-0.5,-1)))))</x:f>
        <x:v>-1</x:v>
      </x:c>
      <x:c r="T522" s="604" t="inlineStr">
        <x:is>
          <x:t xml:space="preserve">https://m.titan007.com/analy/Analysis/3094965.htm</x:t>
        </x:is>
      </x:c>
      <x:c r="U522" s="645" t="str">
        <x:f>IF(Q522="","",IF(Q522="待结算","待结算",IF(Q522="红","黑",IF(Q522="半红","半黑",IF(Q522="走","走",IF(Q522="半黑","半红","红"))))))</x:f>
        <x:v>红</x:v>
      </x:c>
      <x:c r="V522" s="607" t="n">
        <x:f>IF(OR(Q522="",Q522="待结算"),"",IF(L522=LEFT(F522,FIND(" vs ",F522)-1),I522,G522))</x:f>
        <x:v>0.8</x:v>
      </x:c>
      <x:c r="W522" s="607" t="n">
        <x:f>IF(OR(U522="",U522="待结算"),"",IF(U522="红",V522,IF(U522="半红",V522*0.5,IF(U522="走",0,IF(U522="半黑",-0.5,-1)))))</x:f>
        <x:v>0.8</x:v>
      </x:c>
      <x:c r="X522" s="604" t="inlineStr">
        <x:is>
          <x:t xml:space="preserve">3094965</x:t>
        </x:is>
      </x:c>
      <x:c r="Y522" s="604" t="inlineStr">
        <x:is>
          <x:t xml:space="preserve">v4-market-dirichlet-20260913</x:t>
        </x:is>
      </x:c>
      <x:c r="Z522" s="604" t="inlineStr">
        <x:is>
          <x:t xml:space="preserve">prior-2026-09-29-v1</x:t>
        </x:is>
      </x:c>
      <x:c r="AA522" s="604" t="inlineStr">
        <x:is>
          <x:t xml:space="preserve">C</x:t>
        </x:is>
      </x:c>
      <x:c r="AB522" s="604" t="n">
        <x:v>0.5028571428571429</x:v>
      </x:c>
      <x:c r="AC522" s="604" t="n"/>
      <x:c r="AD522" s="604" t="n"/>
      <x:c r="AE522" s="604" t="n"/>
      <x:c r="AF522" s="604" t="n">
        <x:v>0.4971428571428572</x:v>
      </x:c>
      <x:c r="AG522" s="604" t="n">
        <x:v>0.0157714285714286</x:v>
      </x:c>
      <x:c r="AH522" s="604" t="n">
        <x:v>-0.1092778249832461</x:v>
      </x:c>
      <x:c r="AI522" s="604" t="n">
        <x:v>-0.08378349279074604</x:v>
      </x:c>
      <x:c r="AJ522" s="604" t="n">
        <x:v>0.01431552239074041</x:v>
      </x:c>
      <x:c r="AK522" s="604" t="n">
        <x:v>0.1137632308857909</x:v>
      </x:c>
      <x:c r="AL522" s="604" t="n">
        <x:v>0.139385159911491</x:v>
      </x:c>
      <x:c r="AM522" s="604" t="n">
        <x:v>0.5728</x:v>
      </x:c>
      <x:c r="AN522" s="604" t="inlineStr">
        <x:is>
          <x:t xml:space="preserve">EVALUATED</x:t>
        </x:is>
      </x:c>
      <x:c r="AO522" s="604" t="inlineStr">
        <x:is>
          <x:t xml:space="preserve">BUCKET_0.50、SIDE_IDENTITY_VALID、FLAT_LINE_GIVING_WATER_DROP</x:t>
        </x:is>
      </x:c>
      <x:c r="AP522" s="604" t="inlineStr">
        <x:is>
          <x:t xml:space="preserve">c550b03e3583165185b8</x:t>
        </x:is>
      </x:c>
      <x:c r="AQ522" s="604" t="n">
        <x:v>0.5</x:v>
      </x:c>
      <x:c r="AR522" s="604" t="n">
        <x:v>1.02</x:v>
      </x:c>
      <x:c r="AS522" s="604" t="n">
        <x:v>-0.5</x:v>
      </x:c>
      <x:c r="AT522" s="604" t="n">
        <x:v>0.5</x:v>
      </x:c>
      <x:c r="AU522" s="604" t="n">
        <x:v>1.02</x:v>
      </x:c>
      <x:c r="AV522" s="604" t="n">
        <x:v>0.8</x:v>
      </x:c>
      <x:c r="AW522" s="604" t="n">
        <x:v>46294.28273530093</x:v>
      </x:c>
      <x:c r="AX522" s="604" t="inlineStr">
        <x:is>
          <x:t xml:space="preserve">https://simondongxiao.github.io/odds/v4/</x:t>
        </x:is>
      </x:c>
      <x:c r="AY522" s="604" t="inlineStr">
        <x:is>
          <x:t xml:space="preserve">V4 Shadow Only；real_money=false；P(EV&gt;0)不是比赛胜率</x:t>
        </x:is>
      </x:c>
    </x:row>
    <x:row r="523" ht="22" customHeight="1">
      <x:c r="A523" s="604" t="inlineStr">
        <x:is>
          <x:t xml:space="preserve">2026-09-29</x:t>
        </x:is>
      </x:c>
      <x:c r="B523" s="604" t="inlineStr">
        <x:is>
          <x:t xml:space="preserve">2026-09-29 18:00</x:t>
        </x:is>
      </x:c>
      <x:c r="C523" s="604" t="str">
        <x:v>日韩系列</x:v>
      </x:c>
      <x:c r="D523" s="604" t="inlineStr">
        <x:is>
          <x:t xml:space="preserve">杯赛</x:t>
        </x:is>
      </x:c>
      <x:c r="E523" s="604" t="inlineStr">
        <x:is>
          <x:t xml:space="preserve">日联杯</x:t>
        </x:is>
      </x:c>
      <x:c r="F523" s="604" t="inlineStr">
        <x:is>
          <x:t xml:space="preserve">熊本深红 vs 川崎前锋</x:t>
        </x:is>
      </x:c>
      <x:c r="G523" s="611" t="n">
        <x:v>0.9</x:v>
      </x:c>
      <x:c r="H523" s="611" t="n">
        <x:v>-1.5</x:v>
      </x:c>
      <x:c r="I523" s="611" t="n">
        <x:v>0.92</x:v>
      </x:c>
      <x:c r="J523" s="611" t="inlineStr">
        <x:is>
          <x:t xml:space="preserve">0.9/-1.5/0.92</x:t>
        </x:is>
      </x:c>
      <x:c r="K523" s="604" t="inlineStr">
        <x:is>
          <x:t xml:space="preserve">V4-C｜EV +0.1400</x:t>
        </x:is>
      </x:c>
      <x:c r="L523" s="604" t="inlineStr">
        <x:is>
          <x:t xml:space="preserve">川崎前锋</x:t>
        </x:is>
      </x:c>
      <x:c r="M523" s="606" t="n">
        <x:v>0.59375</x:v>
      </x:c>
      <x:c r="N523" s="604" t="inlineStr">
        <x:is>
          <x:t xml:space="preserve">V4纸面入选-C</x:t>
        </x:is>
      </x:c>
      <x:c r="O523" s="604" t="inlineStr">
        <x:is>
          <x:t xml:space="preserve">0-1</x:t>
        </x:is>
      </x:c>
      <x:c r="P523" s="604" t="inlineStr">
        <x:is>
          <x:t xml:space="preserve">已结算</x:t>
        </x:is>
      </x:c>
      <x:c r="Q523" s="646" t="inlineStr">
        <x:is>
          <x:t xml:space="preserve">黑</x:t>
        </x:is>
      </x:c>
      <x:c r="R523" s="607" t="n">
        <x:v>0.92</x:v>
      </x:c>
      <x:c r="S523" s="607" t="n">
        <x:f>IF(OR(Q523="",Q523="待结算"),"",IF(Q523="红",R523,IF(Q523="半红",R523*0.5,IF(Q523="走",0,IF(Q523="半黑",-0.5,-1)))))</x:f>
        <x:v>-1</x:v>
      </x:c>
      <x:c r="T523" s="604" t="inlineStr">
        <x:is>
          <x:t xml:space="preserve">https://m.titan007.com/analy/Analysis/3094966.htm</x:t>
        </x:is>
      </x:c>
      <x:c r="U523" s="645" t="str">
        <x:f>IF(Q523="","",IF(Q523="待结算","待结算",IF(Q523="红","黑",IF(Q523="半红","半黑",IF(Q523="走","走",IF(Q523="半黑","半红","红"))))))</x:f>
        <x:v>红</x:v>
      </x:c>
      <x:c r="V523" s="607" t="n">
        <x:f>IF(OR(Q523="",Q523="待结算"),"",IF(L523=LEFT(F523,FIND(" vs ",F523)-1),I523,G523))</x:f>
        <x:v>0.9</x:v>
      </x:c>
      <x:c r="W523" s="607" t="n">
        <x:f>IF(OR(U523="",U523="待结算"),"",IF(U523="红",V523,IF(U523="半红",V523*0.5,IF(U523="走",0,IF(U523="半黑",-0.5,-1)))))</x:f>
        <x:v>0.9</x:v>
      </x:c>
      <x:c r="X523" s="604" t="inlineStr">
        <x:is>
          <x:t xml:space="preserve">3094966</x:t>
        </x:is>
      </x:c>
      <x:c r="Y523" s="604" t="inlineStr">
        <x:is>
          <x:t xml:space="preserve">v4-market-dirichlet-20260913</x:t>
        </x:is>
      </x:c>
      <x:c r="Z523" s="604" t="inlineStr">
        <x:is>
          <x:t xml:space="preserve">prior-2026-09-29-v1</x:t>
        </x:is>
      </x:c>
      <x:c r="AA523" s="604" t="inlineStr">
        <x:is>
          <x:t xml:space="preserve">C</x:t>
        </x:is>
      </x:c>
      <x:c r="AB523" s="604" t="n">
        <x:v>0.59375</x:v>
      </x:c>
      <x:c r="AC523" s="604" t="n"/>
      <x:c r="AD523" s="604" t="n"/>
      <x:c r="AE523" s="604" t="n"/>
      <x:c r="AF523" s="604" t="n">
        <x:v>0.40625</x:v>
      </x:c>
      <x:c r="AG523" s="604" t="n">
        <x:v>0.14</x:v>
      </x:c>
      <x:c r="AH523" s="604" t="n">
        <x:v>-0.1344720558494169</x:v>
      </x:c>
      <x:c r="AI523" s="604" t="n">
        <x:v>-0.07580890909932508</x:v>
      </x:c>
      <x:c r="AJ523" s="604" t="n">
        <x:v>0.1415239527411901</x:v>
      </x:c>
      <x:c r="AK523" s="604" t="n">
        <x:v>0.3498863194108907</x:v>
      </x:c>
      <x:c r="AL523" s="604" t="n">
        <x:v>0.4053018956692921</x:v>
      </x:c>
      <x:c r="AM523" s="604" t="n">
        <x:v>0.7996</x:v>
      </x:c>
      <x:c r="AN523" s="604" t="inlineStr">
        <x:is>
          <x:t xml:space="preserve">EVALUATED</x:t>
        </x:is>
      </x:c>
      <x:c r="AO523" s="604" t="inlineStr">
        <x:is>
          <x:t xml:space="preserve">BUCKET_1.50、SIDE_IDENTITY_VALID、MARKET_MOVE_SHALLOWER_WITH_GIVING_WATER_DROP</x:t>
        </x:is>
      </x:c>
      <x:c r="AP523" s="604" t="inlineStr">
        <x:is>
          <x:t xml:space="preserve">8476fa16befcce85b1a5</x:t>
        </x:is>
      </x:c>
      <x:c r="AQ523" s="604" t="n">
        <x:v>-1.5</x:v>
      </x:c>
      <x:c r="AR523" s="604" t="n">
        <x:v>0.92</x:v>
      </x:c>
      <x:c r="AS523" s="604" t="n">
        <x:v>-1.5</x:v>
      </x:c>
      <x:c r="AT523" s="604" t="n">
        <x:v>1.5</x:v>
      </x:c>
      <x:c r="AU523" s="604" t="n">
        <x:v>0.9</x:v>
      </x:c>
      <x:c r="AV523" s="604" t="n">
        <x:v>0.92</x:v>
      </x:c>
      <x:c r="AW523" s="604" t="n">
        <x:v>46294.28273530093</x:v>
      </x:c>
      <x:c r="AX523" s="604" t="inlineStr">
        <x:is>
          <x:t xml:space="preserve">https://simondongxiao.github.io/odds/v4/</x:t>
        </x:is>
      </x:c>
      <x:c r="AY523" s="604" t="inlineStr">
        <x:is>
          <x:t xml:space="preserve">V4 Shadow Only；real_money=false；P(EV&gt;0)不是比赛胜率</x:t>
        </x:is>
      </x:c>
    </x:row>
    <x:row r="524" ht="22" customHeight="1">
      <x:c r="A524" s="604" t="inlineStr">
        <x:is>
          <x:t xml:space="preserve">2026-09-29</x:t>
        </x:is>
      </x:c>
      <x:c r="B524" s="604" t="inlineStr">
        <x:is>
          <x:t xml:space="preserve">2026-09-29 18:00</x:t>
        </x:is>
      </x:c>
      <x:c r="C524" s="604" t="str">
        <x:v>日韩系列</x:v>
      </x:c>
      <x:c r="D524" s="604" t="inlineStr">
        <x:is>
          <x:t xml:space="preserve">杯赛</x:t>
        </x:is>
      </x:c>
      <x:c r="E524" s="604" t="inlineStr">
        <x:is>
          <x:t xml:space="preserve">日联杯</x:t>
        </x:is>
      </x:c>
      <x:c r="F524" s="604" t="inlineStr">
        <x:is>
          <x:t xml:space="preserve">北九州向日葵 vs 名古屋鲸八</x:t>
        </x:is>
      </x:c>
      <x:c r="G524" s="611" t="n">
        <x:v>0.89</x:v>
      </x:c>
      <x:c r="H524" s="611" t="n">
        <x:v>-1.5</x:v>
      </x:c>
      <x:c r="I524" s="611" t="n">
        <x:v>0.93</x:v>
      </x:c>
      <x:c r="J524" s="611" t="inlineStr">
        <x:is>
          <x:t xml:space="preserve">0.89/-1.5/0.93</x:t>
        </x:is>
      </x:c>
      <x:c r="K524" s="604" t="inlineStr">
        <x:is>
          <x:t xml:space="preserve">V4-C｜EV +0.1459</x:t>
        </x:is>
      </x:c>
      <x:c r="L524" s="604" t="inlineStr">
        <x:is>
          <x:t xml:space="preserve">名古屋鲸八</x:t>
        </x:is>
      </x:c>
      <x:c r="M524" s="606" t="n">
        <x:v>0.59375</x:v>
      </x:c>
      <x:c r="N524" s="604" t="inlineStr">
        <x:is>
          <x:t xml:space="preserve">V4纸面入选-C</x:t>
        </x:is>
      </x:c>
      <x:c r="O524" s="604" t="inlineStr">
        <x:is>
          <x:t xml:space="preserve">1-3</x:t>
        </x:is>
      </x:c>
      <x:c r="P524" s="604" t="inlineStr">
        <x:is>
          <x:t xml:space="preserve">已结算</x:t>
        </x:is>
      </x:c>
      <x:c r="Q524" s="645" t="inlineStr">
        <x:is>
          <x:t xml:space="preserve">红</x:t>
        </x:is>
      </x:c>
      <x:c r="R524" s="607" t="n">
        <x:v>0.93</x:v>
      </x:c>
      <x:c r="S524" s="607" t="n">
        <x:f>IF(OR(Q524="",Q524="待结算"),"",IF(Q524="红",R524,IF(Q524="半红",R524*0.5,IF(Q524="走",0,IF(Q524="半黑",-0.5,-1)))))</x:f>
        <x:v>0.93</x:v>
      </x:c>
      <x:c r="T524" s="604" t="inlineStr">
        <x:is>
          <x:t xml:space="preserve">https://m.titan007.com/analy/Analysis/3094967.htm</x:t>
        </x:is>
      </x:c>
      <x:c r="U524" s="646" t="str">
        <x:f>IF(Q524="","",IF(Q524="待结算","待结算",IF(Q524="红","黑",IF(Q524="半红","半黑",IF(Q524="走","走",IF(Q524="半黑","半红","红"))))))</x:f>
        <x:v>黑</x:v>
      </x:c>
      <x:c r="V524" s="607" t="n">
        <x:f>IF(OR(Q524="",Q524="待结算"),"",IF(L524=LEFT(F524,FIND(" vs ",F524)-1),I524,G524))</x:f>
        <x:v>0.89</x:v>
      </x:c>
      <x:c r="W524" s="607" t="n">
        <x:f>IF(OR(U524="",U524="待结算"),"",IF(U524="红",V524,IF(U524="半红",V524*0.5,IF(U524="走",0,IF(U524="半黑",-0.5,-1)))))</x:f>
        <x:v>-1</x:v>
      </x:c>
      <x:c r="X524" s="604" t="inlineStr">
        <x:is>
          <x:t xml:space="preserve">3094967</x:t>
        </x:is>
      </x:c>
      <x:c r="Y524" s="604" t="inlineStr">
        <x:is>
          <x:t xml:space="preserve">v4-market-dirichlet-20260913</x:t>
        </x:is>
      </x:c>
      <x:c r="Z524" s="604" t="inlineStr">
        <x:is>
          <x:t xml:space="preserve">prior-2026-09-29-v1</x:t>
        </x:is>
      </x:c>
      <x:c r="AA524" s="604" t="inlineStr">
        <x:is>
          <x:t xml:space="preserve">C</x:t>
        </x:is>
      </x:c>
      <x:c r="AB524" s="604" t="n">
        <x:v>0.59375</x:v>
      </x:c>
      <x:c r="AC524" s="604" t="n"/>
      <x:c r="AD524" s="604" t="n"/>
      <x:c r="AE524" s="604" t="n"/>
      <x:c r="AF524" s="604" t="n">
        <x:v>0.40625</x:v>
      </x:c>
      <x:c r="AG524" s="604" t="n">
        <x:v>0.1459375000000001</x:v>
      </x:c>
      <x:c r="AH524" s="604" t="n">
        <x:v>-0.1281154249232289</x:v>
      </x:c>
      <x:c r="AI524" s="604" t="n">
        <x:v>-0.06531793869255559</x:v>
      </x:c>
      <x:c r="AJ524" s="604" t="n">
        <x:v>0.149046398482463</x:v>
      </x:c>
      <x:c r="AK524" s="604" t="n">
        <x:v>0.3617540278670397</x:v>
      </x:c>
      <x:c r="AL524" s="604" t="n">
        <x:v>0.4170381239860855</x:v>
      </x:c>
      <x:c r="AM524" s="604" t="n">
        <x:v>0.8052</x:v>
      </x:c>
      <x:c r="AN524" s="604" t="inlineStr">
        <x:is>
          <x:t xml:space="preserve">EVALUATED</x:t>
        </x:is>
      </x:c>
      <x:c r="AO524" s="604" t="inlineStr">
        <x:is>
          <x:t xml:space="preserve">BUCKET_1.50、SIDE_IDENTITY_VALID、MARKET_MOVE_SHALLOWER_WITH_GIVING_WATER_DROP</x:t>
        </x:is>
      </x:c>
      <x:c r="AP524" s="604" t="inlineStr">
        <x:is>
          <x:t xml:space="preserve">c954c0b21f2ad523609d</x:t>
        </x:is>
      </x:c>
      <x:c r="AQ524" s="604" t="n">
        <x:v>-1.5</x:v>
      </x:c>
      <x:c r="AR524" s="604" t="n">
        <x:v>0.93</x:v>
      </x:c>
      <x:c r="AS524" s="604" t="n">
        <x:v>-1.5</x:v>
      </x:c>
      <x:c r="AT524" s="604" t="n">
        <x:v>1.5</x:v>
      </x:c>
      <x:c r="AU524" s="604" t="n">
        <x:v>0.89</x:v>
      </x:c>
      <x:c r="AV524" s="604" t="n">
        <x:v>0.93</x:v>
      </x:c>
      <x:c r="AW524" s="604" t="n">
        <x:v>46294.28273530093</x:v>
      </x:c>
      <x:c r="AX524" s="604" t="inlineStr">
        <x:is>
          <x:t xml:space="preserve">https://simondongxiao.github.io/odds/v4/</x:t>
        </x:is>
      </x:c>
      <x:c r="AY524" s="604" t="inlineStr">
        <x:is>
          <x:t xml:space="preserve">V4 Shadow Only；real_money=false；P(EV&gt;0)不是比赛胜率</x:t>
        </x:is>
      </x:c>
    </x:row>
    <x:row r="525" ht="22" customHeight="1">
      <x:c r="A525" s="604" t="inlineStr">
        <x:is>
          <x:t xml:space="preserve">2026-09-29</x:t>
        </x:is>
      </x:c>
      <x:c r="B525" s="604" t="inlineStr">
        <x:is>
          <x:t xml:space="preserve">2026-09-29 18:00</x:t>
        </x:is>
      </x:c>
      <x:c r="C525" s="604" t="str">
        <x:v>日韩系列</x:v>
      </x:c>
      <x:c r="D525" s="604" t="inlineStr">
        <x:is>
          <x:t xml:space="preserve">杯赛</x:t>
        </x:is>
      </x:c>
      <x:c r="E525" s="604" t="inlineStr">
        <x:is>
          <x:t xml:space="preserve">日联杯</x:t>
        </x:is>
      </x:c>
      <x:c r="F525" s="604" t="inlineStr">
        <x:is>
          <x:t xml:space="preserve">磐田喜悦 vs 千叶市原</x:t>
        </x:is>
      </x:c>
      <x:c r="G525" s="611" t="n">
        <x:v>1.01</x:v>
      </x:c>
      <x:c r="H525" s="611" t="n">
        <x:v>0.25</x:v>
      </x:c>
      <x:c r="I525" s="611" t="n">
        <x:v>0.8100000000000001</x:v>
      </x:c>
      <x:c r="J525" s="611" t="inlineStr">
        <x:is>
          <x:t xml:space="preserve">1.01/0.25/0.81</x:t>
        </x:is>
      </x:c>
      <x:c r="K525" s="604" t="inlineStr">
        <x:is>
          <x:t xml:space="preserve">V4-C｜EV +0.0025</x:t>
        </x:is>
      </x:c>
      <x:c r="L525" s="604" t="inlineStr">
        <x:is>
          <x:t xml:space="preserve">磐田喜悦</x:t>
        </x:is>
      </x:c>
      <x:c r="M525" s="606" t="n">
        <x:v>0.4989775051124744</x:v>
      </x:c>
      <x:c r="N525" s="604" t="inlineStr">
        <x:is>
          <x:t xml:space="preserve">V4纸面入选-C</x:t>
        </x:is>
      </x:c>
      <x:c r="O525" s="604" t="inlineStr">
        <x:is>
          <x:t xml:space="preserve">4-2</x:t>
        </x:is>
      </x:c>
      <x:c r="P525" s="604" t="inlineStr">
        <x:is>
          <x:t xml:space="preserve">已结算</x:t>
        </x:is>
      </x:c>
      <x:c r="Q525" s="645" t="inlineStr">
        <x:is>
          <x:t xml:space="preserve">红</x:t>
        </x:is>
      </x:c>
      <x:c r="R525" s="607" t="n">
        <x:v>1.01</x:v>
      </x:c>
      <x:c r="S525" s="607" t="n">
        <x:f>IF(OR(Q525="",Q525="待结算"),"",IF(Q525="红",R525,IF(Q525="半红",R525*0.5,IF(Q525="走",0,IF(Q525="半黑",-0.5,-1)))))</x:f>
        <x:v>1.01</x:v>
      </x:c>
      <x:c r="T525" s="604" t="inlineStr">
        <x:is>
          <x:t xml:space="preserve">https://m.titan007.com/analy/Analysis/3094972.htm</x:t>
        </x:is>
      </x:c>
      <x:c r="U525" s="646" t="str">
        <x:f>IF(Q525="","",IF(Q525="待结算","待结算",IF(Q525="红","黑",IF(Q525="半红","半黑",IF(Q525="走","走",IF(Q525="半黑","半红","红"))))))</x:f>
        <x:v>黑</x:v>
      </x:c>
      <x:c r="V525" s="607" t="n">
        <x:f>IF(OR(Q525="",Q525="待结算"),"",IF(L525=LEFT(F525,FIND(" vs ",F525)-1),I525,G525))</x:f>
        <x:v>0.81</x:v>
      </x:c>
      <x:c r="W525" s="607" t="n">
        <x:f>IF(OR(U525="",U525="待结算"),"",IF(U525="红",V525,IF(U525="半红",V525*0.5,IF(U525="走",0,IF(U525="半黑",-0.5,-1)))))</x:f>
        <x:v>-1</x:v>
      </x:c>
      <x:c r="X525" s="604" t="inlineStr">
        <x:is>
          <x:t xml:space="preserve">3094972</x:t>
        </x:is>
      </x:c>
      <x:c r="Y525" s="604" t="inlineStr">
        <x:is>
          <x:t xml:space="preserve">v4-market-dirichlet-20260913</x:t>
        </x:is>
      </x:c>
      <x:c r="Z525" s="604" t="inlineStr">
        <x:is>
          <x:t xml:space="preserve">prior-2026-09-29-v1</x:t>
        </x:is>
      </x:c>
      <x:c r="AA525" s="604" t="inlineStr">
        <x:is>
          <x:t xml:space="preserve">C</x:t>
        </x:is>
      </x:c>
      <x:c r="AB525" s="604" t="n">
        <x:v>0.4236111111111111</x:v>
      </x:c>
      <x:c r="AC525" s="604" t="n"/>
      <x:c r="AD525" s="604" t="n"/>
      <x:c r="AE525" s="604" t="n">
        <x:v>0.3020833333333333</x:v>
      </x:c>
      <x:c r="AF525" s="604" t="n">
        <x:v>0.2743055555555556</x:v>
      </x:c>
      <x:c r="AG525" s="604" t="n">
        <x:v>0.002499999999999947</x:v>
      </x:c>
      <x:c r="AH525" s="604" t="n">
        <x:v>-0.08227602521661417</x:v>
      </x:c>
      <x:c r="AI525" s="604" t="n">
        <x:v>-0.06335673467123018</x:v>
      </x:c>
      <x:c r="AJ525" s="604" t="n">
        <x:v>0.002867810099480284</x:v>
      </x:c>
      <x:c r="AK525" s="604" t="n">
        <x:v>0.06907177766127665</x:v>
      </x:c>
      <x:c r="AL525" s="604" t="n">
        <x:v>0.08675483384475863</x:v>
      </x:c>
      <x:c r="AM525" s="604" t="n">
        <x:v>0.52</x:v>
      </x:c>
      <x:c r="AN525" s="604" t="inlineStr">
        <x:is>
          <x:t xml:space="preserve">EVALUATED</x:t>
        </x:is>
      </x:c>
      <x:c r="AO525" s="604" t="inlineStr">
        <x:is>
          <x:t xml:space="preserve">BUCKET_0.25、SIDE_IDENTITY_VALID、MARKET_MOVE_DEEPER_WITH_GIVING_WATER_RISE</x:t>
        </x:is>
      </x:c>
      <x:c r="AP525" s="604" t="inlineStr">
        <x:is>
          <x:t xml:space="preserve">56e6bb3caefdf80f077c</x:t>
        </x:is>
      </x:c>
      <x:c r="AQ525" s="604" t="n">
        <x:v>-0.25</x:v>
      </x:c>
      <x:c r="AR525" s="604" t="n">
        <x:v>1.01</x:v>
      </x:c>
      <x:c r="AS525" s="604" t="n">
        <x:v>0.25</x:v>
      </x:c>
      <x:c r="AT525" s="604" t="n">
        <x:v>-0.25</x:v>
      </x:c>
      <x:c r="AU525" s="604" t="n">
        <x:v>1.01</x:v>
      </x:c>
      <x:c r="AV525" s="604" t="n">
        <x:v>0.8100000000000001</x:v>
      </x:c>
      <x:c r="AW525" s="604" t="n">
        <x:v>46294.28273530093</x:v>
      </x:c>
      <x:c r="AX525" s="604" t="inlineStr">
        <x:is>
          <x:t xml:space="preserve">https://simondongxiao.github.io/odds/v4/</x:t>
        </x:is>
      </x:c>
      <x:c r="AY525" s="604" t="inlineStr">
        <x:is>
          <x:t xml:space="preserve">V4 Shadow Only；real_money=false；P(EV&gt;0)不是比赛胜率</x:t>
        </x:is>
      </x:c>
    </x:row>
    <x:row r="526" ht="22" customHeight="1">
      <x:c r="A526" s="604" t="inlineStr">
        <x:is>
          <x:t xml:space="preserve">2026-09-29</x:t>
        </x:is>
      </x:c>
      <x:c r="B526" s="604" t="inlineStr">
        <x:is>
          <x:t xml:space="preserve">2026-09-29 18:00</x:t>
        </x:is>
      </x:c>
      <x:c r="C526" s="604" t="str">
        <x:v>其他系列</x:v>
      </x:c>
      <x:c r="D526" s="604" t="inlineStr">
        <x:is>
          <x:t xml:space="preserve">联赛</x:t>
        </x:is>
      </x:c>
      <x:c r="E526" s="604" t="inlineStr">
        <x:is>
          <x:t xml:space="preserve">国际友谊</x:t>
        </x:is>
      </x:c>
      <x:c r="F526" s="604" t="inlineStr">
        <x:is>
          <x:t xml:space="preserve">美国U19(中) vs 威尔士U19</x:t>
        </x:is>
      </x:c>
      <x:c r="G526" s="611" t="n">
        <x:v>0.78</x:v>
      </x:c>
      <x:c r="H526" s="611" t="n">
        <x:v>1.5</x:v>
      </x:c>
      <x:c r="I526" s="611" t="n">
        <x:v>1.04</x:v>
      </x:c>
      <x:c r="J526" s="611" t="inlineStr">
        <x:is>
          <x:t xml:space="preserve">0.78/1.5/1.04</x:t>
        </x:is>
      </x:c>
      <x:c r="K526" s="604" t="inlineStr">
        <x:is>
          <x:t xml:space="preserve">V4-C｜EV +0.0569</x:t>
        </x:is>
      </x:c>
      <x:c r="L526" s="604" t="inlineStr">
        <x:is>
          <x:t xml:space="preserve">美国U19(中)</x:t>
        </x:is>
      </x:c>
      <x:c r="M526" s="606" t="n">
        <x:v>0.59375</x:v>
      </x:c>
      <x:c r="N526" s="604" t="inlineStr">
        <x:is>
          <x:t xml:space="preserve">V4纸面入选-C</x:t>
        </x:is>
      </x:c>
      <x:c r="O526" s="604" t="inlineStr">
        <x:is>
          <x:t xml:space="preserve">2-0</x:t>
        </x:is>
      </x:c>
      <x:c r="P526" s="604" t="inlineStr">
        <x:is>
          <x:t xml:space="preserve">已结算</x:t>
        </x:is>
      </x:c>
      <x:c r="Q526" s="645" t="inlineStr">
        <x:is>
          <x:t xml:space="preserve">红</x:t>
        </x:is>
      </x:c>
      <x:c r="R526" s="607" t="n">
        <x:v>0.78</x:v>
      </x:c>
      <x:c r="S526" s="607" t="n">
        <x:f>IF(OR(Q526="",Q526="待结算"),"",IF(Q526="红",R526,IF(Q526="半红",R526*0.5,IF(Q526="走",0,IF(Q526="半黑",-0.5,-1)))))</x:f>
        <x:v>0.78</x:v>
      </x:c>
      <x:c r="T526" s="604" t="inlineStr">
        <x:is>
          <x:t xml:space="preserve">https://m.titan007.com/analy/Analysis/3094944.htm</x:t>
        </x:is>
      </x:c>
      <x:c r="U526" s="646" t="str">
        <x:f>IF(Q526="","",IF(Q526="待结算","待结算",IF(Q526="红","黑",IF(Q526="半红","半黑",IF(Q526="走","走",IF(Q526="半黑","半红","红"))))))</x:f>
        <x:v>黑</x:v>
      </x:c>
      <x:c r="V526" s="607" t="n">
        <x:f>IF(OR(Q526="",Q526="待结算"),"",IF(L526=LEFT(F526,FIND(" vs ",F526)-1),I526,G526))</x:f>
        <x:v>1.04</x:v>
      </x:c>
      <x:c r="W526" s="607" t="n">
        <x:f>IF(OR(U526="",U526="待结算"),"",IF(U526="红",V526,IF(U526="半红",V526*0.5,IF(U526="走",0,IF(U526="半黑",-0.5,-1)))))</x:f>
        <x:v>-1</x:v>
      </x:c>
      <x:c r="X526" s="604" t="inlineStr">
        <x:is>
          <x:t xml:space="preserve">3094944</x:t>
        </x:is>
      </x:c>
      <x:c r="Y526" s="604" t="inlineStr">
        <x:is>
          <x:t xml:space="preserve">v4-market-dirichlet-20260913</x:t>
        </x:is>
      </x:c>
      <x:c r="Z526" s="604" t="inlineStr">
        <x:is>
          <x:t xml:space="preserve">prior-2026-09-29-v1</x:t>
        </x:is>
      </x:c>
      <x:c r="AA526" s="604" t="inlineStr">
        <x:is>
          <x:t xml:space="preserve">C</x:t>
        </x:is>
      </x:c>
      <x:c r="AB526" s="604" t="n">
        <x:v>0.59375</x:v>
      </x:c>
      <x:c r="AC526" s="604" t="n"/>
      <x:c r="AD526" s="604" t="n"/>
      <x:c r="AE526" s="604" t="n"/>
      <x:c r="AF526" s="604" t="n">
        <x:v>0.40625</x:v>
      </x:c>
      <x:c r="AG526" s="604" t="n">
        <x:v>0.05687500000000001</x:v>
      </x:c>
      <x:c r="AH526" s="604" t="n">
        <x:v>-0.1929050411748541</x:v>
      </x:c>
      <x:c r="AI526" s="604" t="n">
        <x:v>-0.1351036341819288</x:v>
      </x:c>
      <x:c r="AJ526" s="604" t="n">
        <x:v>0.06633941788231806</x:v>
      </x:c>
      <x:c r="AK526" s="604" t="n">
        <x:v>0.2475080913579458</x:v>
      </x:c>
      <x:c r="AL526" s="604" t="n">
        <x:v>0.2989541134607053</x:v>
      </x:c>
      <x:c r="AM526" s="604" t="n">
        <x:v>0.6647999999999999</x:v>
      </x:c>
      <x:c r="AN526" s="604" t="inlineStr">
        <x:is>
          <x:t xml:space="preserve">EVALUATED</x:t>
        </x:is>
      </x:c>
      <x:c r="AO526" s="604" t="inlineStr">
        <x:is>
          <x:t xml:space="preserve">BUCKET_1.50、SIDE_IDENTITY_VALID、MARKET_MOVE_LINE_STRENGTH_WITH_GIVING_RESISTANCE</x:t>
        </x:is>
      </x:c>
      <x:c r="AP526" s="604" t="inlineStr">
        <x:is>
          <x:t xml:space="preserve">3b7e1d4ea2638103f7ac</x:t>
        </x:is>
      </x:c>
      <x:c r="AQ526" s="604" t="n">
        <x:v>-1.5</x:v>
      </x:c>
      <x:c r="AR526" s="604" t="n">
        <x:v>0.78</x:v>
      </x:c>
      <x:c r="AS526" s="604" t="n">
        <x:v>1.5</x:v>
      </x:c>
      <x:c r="AT526" s="604" t="n">
        <x:v>-1.5</x:v>
      </x:c>
      <x:c r="AU526" s="604" t="n">
        <x:v>0.78</x:v>
      </x:c>
      <x:c r="AV526" s="604" t="n">
        <x:v>1.04</x:v>
      </x:c>
      <x:c r="AW526" s="604" t="n">
        <x:v>46294.28273530093</x:v>
      </x:c>
      <x:c r="AX526" s="604" t="inlineStr">
        <x:is>
          <x:t xml:space="preserve">https://simondongxiao.github.io/odds/v4/</x:t>
        </x:is>
      </x:c>
      <x:c r="AY526" s="604" t="inlineStr">
        <x:is>
          <x:t xml:space="preserve">V4 Shadow Only；real_money=false；P(EV&gt;0)不是比赛胜率</x:t>
        </x:is>
      </x:c>
    </x:row>
    <x:row r="527" ht="22" customHeight="1">
      <x:c r="A527" s="604" t="inlineStr">
        <x:is>
          <x:t xml:space="preserve">2026-09-29</x:t>
        </x:is>
      </x:c>
      <x:c r="B527" s="604" t="inlineStr">
        <x:is>
          <x:t xml:space="preserve">2026-09-29 18:30</x:t>
        </x:is>
      </x:c>
      <x:c r="C527" s="604" t="str">
        <x:v>其他系列</x:v>
      </x:c>
      <x:c r="D527" s="604" t="inlineStr">
        <x:is>
          <x:t xml:space="preserve">联赛</x:t>
        </x:is>
      </x:c>
      <x:c r="E527" s="604" t="inlineStr">
        <x:is>
          <x:t xml:space="preserve">亚运女足</x:t>
        </x:is>
      </x:c>
      <x:c r="F527" s="604" t="inlineStr">
        <x:is>
          <x:t xml:space="preserve">日本女足 vs 韩国女足</x:t>
        </x:is>
      </x:c>
      <x:c r="G527" s="611" t="n">
        <x:v>0.99</x:v>
      </x:c>
      <x:c r="H527" s="611" t="n">
        <x:v>2</x:v>
      </x:c>
      <x:c r="I527" s="611" t="n">
        <x:v>0.83</x:v>
      </x:c>
      <x:c r="J527" s="611" t="inlineStr">
        <x:is>
          <x:t xml:space="preserve">0.99/2/0.83</x:t>
        </x:is>
      </x:c>
      <x:c r="K527" s="604" t="inlineStr">
        <x:is>
          <x:t xml:space="preserve">V4-B｜EV +0.2444</x:t>
        </x:is>
      </x:c>
      <x:c r="L527" s="604" t="inlineStr">
        <x:is>
          <x:t xml:space="preserve">日本女足</x:t>
        </x:is>
      </x:c>
      <x:c r="M527" s="606" t="n">
        <x:v>0.6428571428571429</x:v>
      </x:c>
      <x:c r="N527" s="604" t="inlineStr">
        <x:is>
          <x:t xml:space="preserve">V4纸面入选-B</x:t>
        </x:is>
      </x:c>
      <x:c r="O527" s="604" t="inlineStr">
        <x:is>
          <x:t xml:space="preserve">2-0</x:t>
        </x:is>
      </x:c>
      <x:c r="P527" s="604" t="inlineStr">
        <x:is>
          <x:t xml:space="preserve">已结算</x:t>
        </x:is>
      </x:c>
      <x:c r="Q527" s="647" t="inlineStr">
        <x:is>
          <x:t xml:space="preserve">走</x:t>
        </x:is>
      </x:c>
      <x:c r="R527" s="607" t="n">
        <x:v>0.99</x:v>
      </x:c>
      <x:c r="S527" s="607" t="n">
        <x:f>IF(OR(Q527="",Q527="待结算"),"",IF(Q527="红",R527,IF(Q527="半红",R527*0.5,IF(Q527="走",0,IF(Q527="半黑",-0.5,-1)))))</x:f>
        <x:v>0</x:v>
      </x:c>
      <x:c r="T527" s="604" t="inlineStr">
        <x:is>
          <x:t xml:space="preserve">https://m.titan007.com/analy/Analysis/3095430.htm</x:t>
        </x:is>
      </x:c>
      <x:c r="U527" s="647" t="str">
        <x:f>IF(Q527="","",IF(Q527="待结算","待结算",IF(Q527="红","黑",IF(Q527="半红","半黑",IF(Q527="走","走",IF(Q527="半黑","半红","红"))))))</x:f>
        <x:v>走</x:v>
      </x:c>
      <x:c r="V527" s="607" t="n">
        <x:f>IF(OR(Q527="",Q527="待结算"),"",IF(L527=LEFT(F527,FIND(" vs ",F527)-1),I527,G527))</x:f>
        <x:v>0.83</x:v>
      </x:c>
      <x:c r="W527" s="607" t="n">
        <x:f>IF(OR(U527="",U527="待结算"),"",IF(U527="红",V527,IF(U527="半红",V527*0.5,IF(U527="走",0,IF(U527="半黑",-0.5,-1)))))</x:f>
        <x:v>0</x:v>
      </x:c>
      <x:c r="X527" s="604" t="inlineStr">
        <x:is>
          <x:t xml:space="preserve">3095430</x:t>
        </x:is>
      </x:c>
      <x:c r="Y527" s="604" t="inlineStr">
        <x:is>
          <x:t xml:space="preserve">v4-market-dirichlet-20260913</x:t>
        </x:is>
      </x:c>
      <x:c r="Z527" s="604" t="inlineStr">
        <x:is>
          <x:t xml:space="preserve">prior-2026-09-29-v1</x:t>
        </x:is>
      </x:c>
      <x:c r="AA527" s="604" t="inlineStr">
        <x:is>
          <x:t xml:space="preserve">B</x:t>
        </x:is>
      </x:c>
      <x:c r="AB527" s="604" t="n">
        <x:v>0.5625</x:v>
      </x:c>
      <x:c r="AC527" s="604" t="n"/>
      <x:c r="AD527" s="604" t="n">
        <x:v>0.125</x:v>
      </x:c>
      <x:c r="AE527" s="604" t="n"/>
      <x:c r="AF527" s="604" t="n">
        <x:v>0.3125</x:v>
      </x:c>
      <x:c r="AG527" s="604" t="n">
        <x:v>0.244375</x:v>
      </x:c>
      <x:c r="AH527" s="604" t="n">
        <x:v>-0.1285305987759067</x:v>
      </x:c>
      <x:c r="AI527" s="604" t="n">
        <x:v>-0.05096214337431426</x:v>
      </x:c>
      <x:c r="AJ527" s="604" t="n">
        <x:v>0.2523629943368932</x:v>
      </x:c>
      <x:c r="AK527" s="604" t="n">
        <x:v>0.5251156931520761</x:v>
      </x:c>
      <x:c r="AL527" s="604" t="n">
        <x:v>0.5902980499032718</x:v>
      </x:c>
      <x:c r="AM527" s="604" t="n">
        <x:v>0.8596</x:v>
      </x:c>
      <x:c r="AN527" s="604" t="inlineStr">
        <x:is>
          <x:t xml:space="preserve">EVALUATED</x:t>
        </x:is>
      </x:c>
      <x:c r="AO527" s="604" t="inlineStr">
        <x:is>
          <x:t xml:space="preserve">BUCKET_2.00、SIDE_IDENTITY_VALID、MARKET_MOVE_DEEPER_WITH_GIVING_WATER_RISE</x:t>
        </x:is>
      </x:c>
      <x:c r="AP527" s="604" t="inlineStr">
        <x:is>
          <x:t xml:space="preserve">296c360f58b63e862d10</x:t>
        </x:is>
      </x:c>
      <x:c r="AQ527" s="604" t="n">
        <x:v>-2</x:v>
      </x:c>
      <x:c r="AR527" s="604" t="n">
        <x:v>0.99</x:v>
      </x:c>
      <x:c r="AS527" s="604" t="n">
        <x:v>2</x:v>
      </x:c>
      <x:c r="AT527" s="604" t="n">
        <x:v>-2</x:v>
      </x:c>
      <x:c r="AU527" s="604" t="n">
        <x:v>0.99</x:v>
      </x:c>
      <x:c r="AV527" s="604" t="n">
        <x:v>0.83</x:v>
      </x:c>
      <x:c r="AW527" s="604" t="n">
        <x:v>46294.28273530093</x:v>
      </x:c>
      <x:c r="AX527" s="604" t="inlineStr">
        <x:is>
          <x:t xml:space="preserve">https://simondongxiao.github.io/odds/v4/</x:t>
        </x:is>
      </x:c>
      <x:c r="AY527" s="604" t="inlineStr">
        <x:is>
          <x:t xml:space="preserve">V4 Shadow Only；real_money=false；P(EV&gt;0)不是比赛胜率</x:t>
        </x:is>
      </x:c>
    </x:row>
    <x:row r="528" ht="22" customHeight="1">
      <x:c r="A528" s="604" t="inlineStr">
        <x:is>
          <x:t xml:space="preserve">2026-09-29</x:t>
        </x:is>
      </x:c>
      <x:c r="B528" s="604" t="inlineStr">
        <x:is>
          <x:t xml:space="preserve">2026-09-29 22:35</x:t>
        </x:is>
      </x:c>
      <x:c r="C528" s="604" t="str">
        <x:v>西亚/中亚系列</x:v>
      </x:c>
      <x:c r="D528" s="604" t="inlineStr">
        <x:is>
          <x:t xml:space="preserve">杯赛</x:t>
        </x:is>
      </x:c>
      <x:c r="E528" s="604" t="inlineStr">
        <x:is>
          <x:t xml:space="preserve">阿联杯</x:t>
        </x:is>
      </x:c>
      <x:c r="F528" s="604" t="inlineStr">
        <x:is>
          <x:t xml:space="preserve">阿尔富伊拉 vs 阿尔咸拉</x:t>
        </x:is>
      </x:c>
      <x:c r="G528" s="611" t="n">
        <x:v>0.99</x:v>
      </x:c>
      <x:c r="H528" s="611" t="n">
        <x:v>1.5</x:v>
      </x:c>
      <x:c r="I528" s="611" t="n">
        <x:v>0.77</x:v>
      </x:c>
      <x:c r="J528" s="611" t="inlineStr">
        <x:is>
          <x:t xml:space="preserve">0.99/1.5/0.77</x:t>
        </x:is>
      </x:c>
      <x:c r="K528" s="604" t="inlineStr">
        <x:is>
          <x:t xml:space="preserve">V4-B｜EV +0.1816</x:t>
        </x:is>
      </x:c>
      <x:c r="L528" s="604" t="inlineStr">
        <x:is>
          <x:t xml:space="preserve">阿尔富伊拉</x:t>
        </x:is>
      </x:c>
      <x:c r="M528" s="606" t="n">
        <x:v>0.59375</x:v>
      </x:c>
      <x:c r="N528" s="604" t="inlineStr">
        <x:is>
          <x:t xml:space="preserve">V4纸面入选-B</x:t>
        </x:is>
      </x:c>
      <x:c r="O528" s="604" t="inlineStr">
        <x:is>
          <x:t xml:space="preserve">4-1</x:t>
        </x:is>
      </x:c>
      <x:c r="P528" s="604" t="inlineStr">
        <x:is>
          <x:t xml:space="preserve">已结算</x:t>
        </x:is>
      </x:c>
      <x:c r="Q528" s="645" t="inlineStr">
        <x:is>
          <x:t xml:space="preserve">红</x:t>
        </x:is>
      </x:c>
      <x:c r="R528" s="607" t="n">
        <x:v>0.99</x:v>
      </x:c>
      <x:c r="S528" s="607" t="n">
        <x:f>IF(OR(Q528="",Q528="待结算"),"",IF(Q528="红",R528,IF(Q528="半红",R528*0.5,IF(Q528="走",0,IF(Q528="半黑",-0.5,-1)))))</x:f>
        <x:v>0.99</x:v>
      </x:c>
      <x:c r="T528" s="604" t="inlineStr">
        <x:is>
          <x:t xml:space="preserve">https://m.titan007.com/analy/Analysis/3095426.htm</x:t>
        </x:is>
      </x:c>
      <x:c r="U528" s="646" t="str">
        <x:f>IF(Q528="","",IF(Q528="待结算","待结算",IF(Q528="红","黑",IF(Q528="半红","半黑",IF(Q528="走","走",IF(Q528="半黑","半红","红"))))))</x:f>
        <x:v>黑</x:v>
      </x:c>
      <x:c r="V528" s="607" t="n">
        <x:f>IF(OR(Q528="",Q528="待结算"),"",IF(L528=LEFT(F528,FIND(" vs ",F528)-1),I528,G528))</x:f>
        <x:v>0.77</x:v>
      </x:c>
      <x:c r="W528" s="607" t="n">
        <x:f>IF(OR(U528="",U528="待结算"),"",IF(U528="红",V528,IF(U528="半红",V528*0.5,IF(U528="走",0,IF(U528="半黑",-0.5,-1)))))</x:f>
        <x:v>-1</x:v>
      </x:c>
      <x:c r="X528" s="604" t="inlineStr">
        <x:is>
          <x:t xml:space="preserve">3095426</x:t>
        </x:is>
      </x:c>
      <x:c r="Y528" s="604" t="inlineStr">
        <x:is>
          <x:t xml:space="preserve">v4-market-dirichlet-20260913</x:t>
        </x:is>
      </x:c>
      <x:c r="Z528" s="604" t="inlineStr">
        <x:is>
          <x:t xml:space="preserve">prior-2026-09-29-v1</x:t>
        </x:is>
      </x:c>
      <x:c r="AA528" s="604" t="inlineStr">
        <x:is>
          <x:t xml:space="preserve">B</x:t>
        </x:is>
      </x:c>
      <x:c r="AB528" s="604" t="n">
        <x:v>0.59375</x:v>
      </x:c>
      <x:c r="AC528" s="604" t="n"/>
      <x:c r="AD528" s="604" t="n"/>
      <x:c r="AE528" s="604" t="n"/>
      <x:c r="AF528" s="604" t="n">
        <x:v>0.40625</x:v>
      </x:c>
      <x:c r="AG528" s="604" t="n">
        <x:v>0.1815625</x:v>
      </x:c>
      <x:c r="AH528" s="604" t="n">
        <x:v>-0.09872141746439222</x:v>
      </x:c>
      <x:c r="AI528" s="604" t="n">
        <x:v>-0.03910071143133431</x:v>
      </x:c>
      <x:c r="AJ528" s="604" t="n">
        <x:v>0.1866079689525176</x:v>
      </x:c>
      <x:c r="AK528" s="604" t="n">
        <x:v>0.3973906307232772</x:v>
      </x:c>
      <x:c r="AL528" s="604" t="n">
        <x:v>0.4540374182449706</x:v>
      </x:c>
      <x:c r="AM528" s="604" t="n">
        <x:v>0.8586</x:v>
      </x:c>
      <x:c r="AN528" s="604" t="inlineStr">
        <x:is>
          <x:t xml:space="preserve">EVALUATED</x:t>
        </x:is>
      </x:c>
      <x:c r="AO528" s="604" t="inlineStr">
        <x:is>
          <x:t xml:space="preserve">BUCKET_1.50、SIDE_IDENTITY_VALID、MARKET_MOVE_DEEPER_WITH_GIVING_WATER_RISE</x:t>
        </x:is>
      </x:c>
      <x:c r="AP528" s="604" t="inlineStr">
        <x:is>
          <x:t xml:space="preserve">da2769a540e4ecba6f5f</x:t>
        </x:is>
      </x:c>
      <x:c r="AQ528" s="604" t="n">
        <x:v>-1.5</x:v>
      </x:c>
      <x:c r="AR528" s="604" t="n">
        <x:v>0.99</x:v>
      </x:c>
      <x:c r="AS528" s="604" t="n">
        <x:v>1.5</x:v>
      </x:c>
      <x:c r="AT528" s="604" t="n">
        <x:v>-1.5</x:v>
      </x:c>
      <x:c r="AU528" s="604" t="n">
        <x:v>0.99</x:v>
      </x:c>
      <x:c r="AV528" s="604" t="n">
        <x:v>0.77</x:v>
      </x:c>
      <x:c r="AW528" s="604" t="n">
        <x:v>46294.28273530093</x:v>
      </x:c>
      <x:c r="AX528" s="604" t="inlineStr">
        <x:is>
          <x:t xml:space="preserve">https://simondongxiao.github.io/odds/v4/</x:t>
        </x:is>
      </x:c>
      <x:c r="AY528" s="604" t="inlineStr">
        <x:is>
          <x:t xml:space="preserve">V4 Shadow Only；real_money=false；P(EV&gt;0)不是比赛胜率</x:t>
        </x:is>
      </x:c>
    </x:row>
    <x:row r="529" ht="22" customHeight="1">
      <x:c r="A529" s="604" t="inlineStr">
        <x:is>
          <x:t xml:space="preserve">2026-09-29</x:t>
        </x:is>
      </x:c>
      <x:c r="B529" s="604" t="inlineStr">
        <x:is>
          <x:t xml:space="preserve">2026-09-30 00:00</x:t>
        </x:is>
      </x:c>
      <x:c r="C529" s="604" t="str">
        <x:v>其他系列</x:v>
      </x:c>
      <x:c r="D529" s="604" t="inlineStr">
        <x:is>
          <x:t xml:space="preserve">杯赛</x:t>
        </x:is>
      </x:c>
      <x:c r="E529" s="604" t="inlineStr">
        <x:is>
          <x:t xml:space="preserve">非洲杯</x:t>
        </x:is>
      </x:c>
      <x:c r="F529" s="604" t="inlineStr">
        <x:is>
          <x:t xml:space="preserve">加纳 vs 冈比亚</x:t>
        </x:is>
      </x:c>
      <x:c r="G529" s="611" t="n">
        <x:v>0.84</x:v>
      </x:c>
      <x:c r="H529" s="611" t="n">
        <x:v>1</x:v>
      </x:c>
      <x:c r="I529" s="611" t="n">
        <x:v>0.98</x:v>
      </x:c>
      <x:c r="J529" s="611" t="inlineStr">
        <x:is>
          <x:t xml:space="preserve">0.84/1/0.98</x:t>
        </x:is>
      </x:c>
      <x:c r="K529" s="604" t="inlineStr">
        <x:is>
          <x:t xml:space="preserve">V4-C｜EV +0.0574</x:t>
        </x:is>
      </x:c>
      <x:c r="L529" s="604" t="inlineStr">
        <x:is>
          <x:t xml:space="preserve">冈比亚</x:t>
        </x:is>
      </x:c>
      <x:c r="M529" s="606" t="n">
        <x:v>0.5423728813559322</x:v>
      </x:c>
      <x:c r="N529" s="604" t="inlineStr">
        <x:is>
          <x:t xml:space="preserve">V4纸面入选-C</x:t>
        </x:is>
      </x:c>
      <x:c r="O529" s="604" t="inlineStr">
        <x:is>
          <x:t xml:space="preserve">2-4</x:t>
        </x:is>
      </x:c>
      <x:c r="P529" s="604" t="inlineStr">
        <x:is>
          <x:t xml:space="preserve">已结算</x:t>
        </x:is>
      </x:c>
      <x:c r="Q529" s="645" t="inlineStr">
        <x:is>
          <x:t xml:space="preserve">红</x:t>
        </x:is>
      </x:c>
      <x:c r="R529" s="607" t="n">
        <x:v>0.98</x:v>
      </x:c>
      <x:c r="S529" s="607" t="n">
        <x:f>IF(OR(Q529="",Q529="待结算"),"",IF(Q529="红",R529,IF(Q529="半红",R529*0.5,IF(Q529="走",0,IF(Q529="半黑",-0.5,-1)))))</x:f>
        <x:v>0.98</x:v>
      </x:c>
      <x:c r="T529" s="604" t="inlineStr">
        <x:is>
          <x:t xml:space="preserve">https://m.titan007.com/analy/Analysis/3001022.htm</x:t>
        </x:is>
      </x:c>
      <x:c r="U529" s="646" t="str">
        <x:f>IF(Q529="","",IF(Q529="待结算","待结算",IF(Q529="红","黑",IF(Q529="半红","半黑",IF(Q529="走","走",IF(Q529="半黑","半红","红"))))))</x:f>
        <x:v>黑</x:v>
      </x:c>
      <x:c r="V529" s="607" t="n">
        <x:f>IF(OR(Q529="",Q529="待结算"),"",IF(L529=LEFT(F529,FIND(" vs ",F529)-1),I529,G529))</x:f>
        <x:v>0.84</x:v>
      </x:c>
      <x:c r="W529" s="607" t="n">
        <x:f>IF(OR(U529="",U529="待结算"),"",IF(U529="红",V529,IF(U529="半红",V529*0.5,IF(U529="走",0,IF(U529="半黑",-0.5,-1)))))</x:f>
        <x:v>-1</x:v>
      </x:c>
      <x:c r="X529" s="604" t="inlineStr">
        <x:is>
          <x:t xml:space="preserve">3001022</x:t>
        </x:is>
      </x:c>
      <x:c r="Y529" s="604" t="inlineStr">
        <x:is>
          <x:t xml:space="preserve">v4-market-dirichlet-20260913</x:t>
        </x:is>
      </x:c>
      <x:c r="Z529" s="604" t="inlineStr">
        <x:is>
          <x:t xml:space="preserve">prior-2026-09-29-v1</x:t>
        </x:is>
      </x:c>
      <x:c r="AA529" s="604" t="inlineStr">
        <x:is>
          <x:t xml:space="preserve">C</x:t>
        </x:is>
      </x:c>
      <x:c r="AB529" s="604" t="n">
        <x:v>0.4210526315789473</x:v>
      </x:c>
      <x:c r="AC529" s="604" t="n"/>
      <x:c r="AD529" s="604" t="n">
        <x:v>0.2236842105263158</x:v>
      </x:c>
      <x:c r="AE529" s="604" t="n"/>
      <x:c r="AF529" s="604" t="n">
        <x:v>0.3552631578947368</x:v>
      </x:c>
      <x:c r="AG529" s="604" t="n">
        <x:v>0.05736842105263157</x:v>
      </x:c>
      <x:c r="AH529" s="604" t="n">
        <x:v>-0.1110199702549184</x:v>
      </x:c>
      <x:c r="AI529" s="604" t="n">
        <x:v>-0.07201143605167959</x:v>
      </x:c>
      <x:c r="AJ529" s="604" t="n">
        <x:v>0.05676511526675265</x:v>
      </x:c>
      <x:c r="AK529" s="604" t="n">
        <x:v>0.1838344730785901</x:v>
      </x:c>
      <x:c r="AL529" s="604" t="n">
        <x:v>0.2179639152345217</x:v>
      </x:c>
      <x:c r="AM529" s="604" t="n">
        <x:v>0.7181999999999999</x:v>
      </x:c>
      <x:c r="AN529" s="604" t="inlineStr">
        <x:is>
          <x:t xml:space="preserve">EVALUATED</x:t>
        </x:is>
      </x:c>
      <x:c r="AO529" s="604" t="inlineStr">
        <x:is>
          <x:t xml:space="preserve">BUCKET_1.00、SIDE_IDENTITY_VALID、FLAT_LINE_GIVING_WATER_RISE</x:t>
        </x:is>
      </x:c>
      <x:c r="AP529" s="604" t="inlineStr">
        <x:is>
          <x:t xml:space="preserve">0bb4d72c6241f60dbfe5</x:t>
        </x:is>
      </x:c>
      <x:c r="AQ529" s="604" t="n">
        <x:v>1</x:v>
      </x:c>
      <x:c r="AR529" s="604" t="n">
        <x:v>0.98</x:v>
      </x:c>
      <x:c r="AS529" s="604" t="n">
        <x:v>1</x:v>
      </x:c>
      <x:c r="AT529" s="604" t="n">
        <x:v>-1</x:v>
      </x:c>
      <x:c r="AU529" s="604" t="n">
        <x:v>0.84</x:v>
      </x:c>
      <x:c r="AV529" s="604" t="n">
        <x:v>0.98</x:v>
      </x:c>
      <x:c r="AW529" s="604" t="n">
        <x:v>46294.28273530093</x:v>
      </x:c>
      <x:c r="AX529" s="604" t="inlineStr">
        <x:is>
          <x:t xml:space="preserve">https://simondongxiao.github.io/odds/v4/</x:t>
        </x:is>
      </x:c>
      <x:c r="AY529" s="604" t="inlineStr">
        <x:is>
          <x:t xml:space="preserve">V4 Shadow Only；real_money=false；P(EV&gt;0)不是比赛胜率</x:t>
        </x:is>
      </x:c>
    </x:row>
    <x:row r="530" ht="22" customHeight="1">
      <x:c r="A530" s="604" t="inlineStr">
        <x:is>
          <x:t xml:space="preserve">2026-09-29</x:t>
        </x:is>
      </x:c>
      <x:c r="B530" s="604" t="inlineStr">
        <x:is>
          <x:t xml:space="preserve">2026-09-30 00:00</x:t>
        </x:is>
      </x:c>
      <x:c r="C530" s="604" t="str">
        <x:v>其他系列</x:v>
      </x:c>
      <x:c r="D530" s="604" t="inlineStr">
        <x:is>
          <x:t xml:space="preserve">杯赛</x:t>
        </x:is>
      </x:c>
      <x:c r="E530" s="604" t="inlineStr">
        <x:is>
          <x:t xml:space="preserve">非洲杯</x:t>
        </x:is>
      </x:c>
      <x:c r="F530" s="604" t="inlineStr">
        <x:is>
          <x:t xml:space="preserve">佛得角 vs 卢旺达</x:t>
        </x:is>
      </x:c>
      <x:c r="G530" s="611" t="n">
        <x:v>0.8100000000000001</x:v>
      </x:c>
      <x:c r="H530" s="611" t="n">
        <x:v>1</x:v>
      </x:c>
      <x:c r="I530" s="611" t="n">
        <x:v>1.01</x:v>
      </x:c>
      <x:c r="J530" s="611" t="inlineStr">
        <x:is>
          <x:t xml:space="preserve">0.81/1/1.01</x:t>
        </x:is>
      </x:c>
      <x:c r="K530" s="604" t="inlineStr">
        <x:is>
          <x:t xml:space="preserve">V4-C｜EV +0.0700</x:t>
        </x:is>
      </x:c>
      <x:c r="L530" s="604" t="inlineStr">
        <x:is>
          <x:t xml:space="preserve">卢旺达</x:t>
        </x:is>
      </x:c>
      <x:c r="M530" s="606" t="n">
        <x:v>0.5423728813559322</x:v>
      </x:c>
      <x:c r="N530" s="604" t="inlineStr">
        <x:is>
          <x:t xml:space="preserve">V4纸面入选-C</x:t>
        </x:is>
      </x:c>
      <x:c r="O530" s="604" t="inlineStr">
        <x:is>
          <x:t xml:space="preserve">1-2</x:t>
        </x:is>
      </x:c>
      <x:c r="P530" s="604" t="inlineStr">
        <x:is>
          <x:t xml:space="preserve">已结算</x:t>
        </x:is>
      </x:c>
      <x:c r="Q530" s="645" t="inlineStr">
        <x:is>
          <x:t xml:space="preserve">红</x:t>
        </x:is>
      </x:c>
      <x:c r="R530" s="607" t="n">
        <x:v>1.01</x:v>
      </x:c>
      <x:c r="S530" s="607" t="n">
        <x:f>IF(OR(Q530="",Q530="待结算"),"",IF(Q530="红",R530,IF(Q530="半红",R530*0.5,IF(Q530="走",0,IF(Q530="半黑",-0.5,-1)))))</x:f>
        <x:v>1.01</x:v>
      </x:c>
      <x:c r="T530" s="604" t="inlineStr">
        <x:is>
          <x:t xml:space="preserve">https://m.titan007.com/analy/Analysis/3001118.htm</x:t>
        </x:is>
      </x:c>
      <x:c r="U530" s="646" t="str">
        <x:f>IF(Q530="","",IF(Q530="待结算","待结算",IF(Q530="红","黑",IF(Q530="半红","半黑",IF(Q530="走","走",IF(Q530="半黑","半红","红"))))))</x:f>
        <x:v>黑</x:v>
      </x:c>
      <x:c r="V530" s="607" t="n">
        <x:f>IF(OR(Q530="",Q530="待结算"),"",IF(L530=LEFT(F530,FIND(" vs ",F530)-1),I530,G530))</x:f>
        <x:v>0.81</x:v>
      </x:c>
      <x:c r="W530" s="607" t="n">
        <x:f>IF(OR(U530="",U530="待结算"),"",IF(U530="红",V530,IF(U530="半红",V530*0.5,IF(U530="走",0,IF(U530="半黑",-0.5,-1)))))</x:f>
        <x:v>-1</x:v>
      </x:c>
      <x:c r="X530" s="604" t="inlineStr">
        <x:is>
          <x:t xml:space="preserve">3001118</x:t>
        </x:is>
      </x:c>
      <x:c r="Y530" s="604" t="inlineStr">
        <x:is>
          <x:t xml:space="preserve">v4-market-dirichlet-20260913</x:t>
        </x:is>
      </x:c>
      <x:c r="Z530" s="604" t="inlineStr">
        <x:is>
          <x:t xml:space="preserve">prior-2026-09-29-v1</x:t>
        </x:is>
      </x:c>
      <x:c r="AA530" s="604" t="inlineStr">
        <x:is>
          <x:t xml:space="preserve">C</x:t>
        </x:is>
      </x:c>
      <x:c r="AB530" s="604" t="n">
        <x:v>0.4210526315789473</x:v>
      </x:c>
      <x:c r="AC530" s="604" t="n"/>
      <x:c r="AD530" s="604" t="n">
        <x:v>0.2236842105263158</x:v>
      </x:c>
      <x:c r="AE530" s="604" t="n"/>
      <x:c r="AF530" s="604" t="n">
        <x:v>0.3552631578947368</x:v>
      </x:c>
      <x:c r="AG530" s="604" t="n">
        <x:v>0.07000000000000001</x:v>
      </x:c>
      <x:c r="AH530" s="604" t="n">
        <x:v>-0.09784288548576742</x:v>
      </x:c>
      <x:c r="AI530" s="604" t="n">
        <x:v>-0.06167615406207555</x:v>
      </x:c>
      <x:c r="AJ530" s="604" t="n">
        <x:v>0.06779328011975777</x:v>
      </x:c>
      <x:c r="AK530" s="604" t="n">
        <x:v>0.1960668206581719</x:v>
      </x:c>
      <x:c r="AL530" s="604" t="n">
        <x:v>0.2337729098921304</x:v>
      </x:c>
      <x:c r="AM530" s="604" t="n">
        <x:v>0.755</x:v>
      </x:c>
      <x:c r="AN530" s="604" t="inlineStr">
        <x:is>
          <x:t xml:space="preserve">EVALUATED</x:t>
        </x:is>
      </x:c>
      <x:c r="AO530" s="604" t="inlineStr">
        <x:is>
          <x:t xml:space="preserve">BUCKET_1.00、SIDE_IDENTITY_VALID、FLAT_LINE_GIVING_WATER_RISE</x:t>
        </x:is>
      </x:c>
      <x:c r="AP530" s="604" t="inlineStr">
        <x:is>
          <x:t xml:space="preserve">f01c982ee9d067955907</x:t>
        </x:is>
      </x:c>
      <x:c r="AQ530" s="604" t="n">
        <x:v>1</x:v>
      </x:c>
      <x:c r="AR530" s="604" t="n">
        <x:v>1.01</x:v>
      </x:c>
      <x:c r="AS530" s="604" t="n">
        <x:v>1</x:v>
      </x:c>
      <x:c r="AT530" s="604" t="n">
        <x:v>-1</x:v>
      </x:c>
      <x:c r="AU530" s="604" t="n">
        <x:v>0.8100000000000001</x:v>
      </x:c>
      <x:c r="AV530" s="604" t="n">
        <x:v>1.01</x:v>
      </x:c>
      <x:c r="AW530" s="604" t="n">
        <x:v>46294.28273530093</x:v>
      </x:c>
      <x:c r="AX530" s="604" t="inlineStr">
        <x:is>
          <x:t xml:space="preserve">https://simondongxiao.github.io/odds/v4/</x:t>
        </x:is>
      </x:c>
      <x:c r="AY530" s="604" t="inlineStr">
        <x:is>
          <x:t xml:space="preserve">V4 Shadow Only；real_money=false；P(EV&gt;0)不是比赛胜率</x:t>
        </x:is>
      </x:c>
    </x:row>
    <x:row r="531" ht="22" customHeight="1">
      <x:c r="A531" s="604" t="inlineStr">
        <x:is>
          <x:t xml:space="preserve">2026-09-29</x:t>
        </x:is>
      </x:c>
      <x:c r="B531" s="604" t="inlineStr">
        <x:is>
          <x:t xml:space="preserve">2026-09-30 00:00</x:t>
        </x:is>
      </x:c>
      <x:c r="C531" s="604" t="str">
        <x:v>其他系列</x:v>
      </x:c>
      <x:c r="D531" s="604" t="inlineStr">
        <x:is>
          <x:t xml:space="preserve">杯赛</x:t>
        </x:is>
      </x:c>
      <x:c r="E531" s="604" t="inlineStr">
        <x:is>
          <x:t xml:space="preserve">非洲杯</x:t>
        </x:is>
      </x:c>
      <x:c r="F531" s="604" t="inlineStr">
        <x:is>
          <x:t xml:space="preserve">几内亚比绍 vs 尼日利亚</x:t>
        </x:is>
      </x:c>
      <x:c r="G531" s="611" t="n">
        <x:v>0.99</x:v>
      </x:c>
      <x:c r="H531" s="611" t="n">
        <x:v>-1</x:v>
      </x:c>
      <x:c r="I531" s="611" t="n">
        <x:v>0.83</x:v>
      </x:c>
      <x:c r="J531" s="611" t="inlineStr">
        <x:is>
          <x:t xml:space="preserve">0.99/-1/0.83</x:t>
        </x:is>
      </x:c>
      <x:c r="K531" s="604" t="inlineStr">
        <x:is>
          <x:t xml:space="preserve">V4-C｜EV +0.0616</x:t>
        </x:is>
      </x:c>
      <x:c r="L531" s="604" t="inlineStr">
        <x:is>
          <x:t xml:space="preserve">几内亚比绍</x:t>
        </x:is>
      </x:c>
      <x:c r="M531" s="606" t="n">
        <x:v>0.5423728813559322</x:v>
      </x:c>
      <x:c r="N531" s="604" t="inlineStr">
        <x:is>
          <x:t xml:space="preserve">V4纸面入选-C</x:t>
        </x:is>
      </x:c>
      <x:c r="O531" s="604" t="inlineStr">
        <x:is>
          <x:t xml:space="preserve">3-0</x:t>
        </x:is>
      </x:c>
      <x:c r="P531" s="604" t="inlineStr">
        <x:is>
          <x:t xml:space="preserve">已结算</x:t>
        </x:is>
      </x:c>
      <x:c r="Q531" s="645" t="inlineStr">
        <x:is>
          <x:t xml:space="preserve">红</x:t>
        </x:is>
      </x:c>
      <x:c r="R531" s="607" t="n">
        <x:v>0.99</x:v>
      </x:c>
      <x:c r="S531" s="607" t="n">
        <x:f>IF(OR(Q531="",Q531="待结算"),"",IF(Q531="红",R531,IF(Q531="半红",R531*0.5,IF(Q531="走",0,IF(Q531="半黑",-0.5,-1)))))</x:f>
        <x:v>0.99</x:v>
      </x:c>
      <x:c r="T531" s="604" t="inlineStr">
        <x:is>
          <x:t xml:space="preserve">https://m.titan007.com/analy/Analysis/3001130.htm</x:t>
        </x:is>
      </x:c>
      <x:c r="U531" s="646" t="str">
        <x:f>IF(Q531="","",IF(Q531="待结算","待结算",IF(Q531="红","黑",IF(Q531="半红","半黑",IF(Q531="走","走",IF(Q531="半黑","半红","红"))))))</x:f>
        <x:v>黑</x:v>
      </x:c>
      <x:c r="V531" s="607" t="n">
        <x:f>IF(OR(Q531="",Q531="待结算"),"",IF(L531=LEFT(F531,FIND(" vs ",F531)-1),I531,G531))</x:f>
        <x:v>0.83</x:v>
      </x:c>
      <x:c r="W531" s="607" t="n">
        <x:f>IF(OR(U531="",U531="待结算"),"",IF(U531="红",V531,IF(U531="半红",V531*0.5,IF(U531="走",0,IF(U531="半黑",-0.5,-1)))))</x:f>
        <x:v>-1</x:v>
      </x:c>
      <x:c r="X531" s="604" t="inlineStr">
        <x:is>
          <x:t xml:space="preserve">3001130</x:t>
        </x:is>
      </x:c>
      <x:c r="Y531" s="604" t="inlineStr">
        <x:is>
          <x:t xml:space="preserve">v4-market-dirichlet-20260913</x:t>
        </x:is>
      </x:c>
      <x:c r="Z531" s="604" t="inlineStr">
        <x:is>
          <x:t xml:space="preserve">prior-2026-09-29-v1</x:t>
        </x:is>
      </x:c>
      <x:c r="AA531" s="604" t="inlineStr">
        <x:is>
          <x:t xml:space="preserve">C</x:t>
        </x:is>
      </x:c>
      <x:c r="AB531" s="604" t="n">
        <x:v>0.4210526315789473</x:v>
      </x:c>
      <x:c r="AC531" s="604" t="n"/>
      <x:c r="AD531" s="604" t="n">
        <x:v>0.2236842105263158</x:v>
      </x:c>
      <x:c r="AE531" s="604" t="n"/>
      <x:c r="AF531" s="604" t="n">
        <x:v>0.3552631578947368</x:v>
      </x:c>
      <x:c r="AG531" s="604" t="n">
        <x:v>0.06157894736842101</x:v>
      </x:c>
      <x:c r="AH531" s="604" t="n">
        <x:v>-0.1002705713965821</x:v>
      </x:c>
      <x:c r="AI531" s="604" t="n">
        <x:v>-0.06457258768456864</x:v>
      </x:c>
      <x:c r="AJ531" s="604" t="n">
        <x:v>0.06355502491984871</x:v>
      </x:c>
      <x:c r="AK531" s="604" t="n">
        <x:v>0.1901469526726994</x:v>
      </x:c>
      <x:c r="AL531" s="604" t="n">
        <x:v>0.2243611376673691</x:v>
      </x:c>
      <x:c r="AM531" s="604" t="n">
        <x:v>0.7318</x:v>
      </x:c>
      <x:c r="AN531" s="604" t="inlineStr">
        <x:is>
          <x:t xml:space="preserve">EVALUATED</x:t>
        </x:is>
      </x:c>
      <x:c r="AO531" s="604" t="inlineStr">
        <x:is>
          <x:t xml:space="preserve">BUCKET_1.00、SIDE_IDENTITY_VALID、FLAT_LINE_GIVING_WATER_RISE</x:t>
        </x:is>
      </x:c>
      <x:c r="AP531" s="604" t="inlineStr">
        <x:is>
          <x:t xml:space="preserve">db31b36410faa2092a74</x:t>
        </x:is>
      </x:c>
      <x:c r="AQ531" s="604" t="n">
        <x:v>1</x:v>
      </x:c>
      <x:c r="AR531" s="604" t="n">
        <x:v>0.99</x:v>
      </x:c>
      <x:c r="AS531" s="604" t="n">
        <x:v>-1</x:v>
      </x:c>
      <x:c r="AT531" s="604" t="n">
        <x:v>1</x:v>
      </x:c>
      <x:c r="AU531" s="604" t="n">
        <x:v>0.99</x:v>
      </x:c>
      <x:c r="AV531" s="604" t="n">
        <x:v>0.83</x:v>
      </x:c>
      <x:c r="AW531" s="604" t="n">
        <x:v>46294.28273530093</x:v>
      </x:c>
      <x:c r="AX531" s="604" t="inlineStr">
        <x:is>
          <x:t xml:space="preserve">https://simondongxiao.github.io/odds/v4/</x:t>
        </x:is>
      </x:c>
      <x:c r="AY531" s="604" t="inlineStr">
        <x:is>
          <x:t xml:space="preserve">V4 Shadow Only；real_money=false；P(EV&gt;0)不是比赛胜率</x:t>
        </x:is>
      </x:c>
    </x:row>
    <x:row r="532" ht="22" customHeight="1">
      <x:c r="A532" s="604" t="inlineStr">
        <x:is>
          <x:t xml:space="preserve">2026-09-29</x:t>
        </x:is>
      </x:c>
      <x:c r="B532" s="604" t="inlineStr">
        <x:is>
          <x:t xml:space="preserve">2026-09-30 02:00</x:t>
        </x:is>
      </x:c>
      <x:c r="C532" s="604" t="str">
        <x:v>五大联赛非顶级联赛</x:v>
      </x:c>
      <x:c r="D532" s="604" t="inlineStr">
        <x:is>
          <x:t xml:space="preserve">联赛</x:t>
        </x:is>
      </x:c>
      <x:c r="E532" s="604" t="inlineStr">
        <x:is>
          <x:t xml:space="preserve">英议联</x:t>
        </x:is>
      </x:c>
      <x:c r="F532" s="604" t="inlineStr">
        <x:is>
          <x:t xml:space="preserve">博雷汉姆 vs 京达米士特</x:t>
        </x:is>
      </x:c>
      <x:c r="G532" s="611" t="n">
        <x:v>0.84</x:v>
      </x:c>
      <x:c r="H532" s="611" t="n">
        <x:v>1.5</x:v>
      </x:c>
      <x:c r="I532" s="611" t="n">
        <x:v>0.86</x:v>
      </x:c>
      <x:c r="J532" s="611" t="inlineStr">
        <x:is>
          <x:t xml:space="preserve">0.84/1.5/0.86</x:t>
        </x:is>
      </x:c>
      <x:c r="K532" s="604" t="inlineStr">
        <x:is>
          <x:t xml:space="preserve">V4-C｜EV +0.0925</x:t>
        </x:is>
      </x:c>
      <x:c r="L532" s="604" t="inlineStr">
        <x:is>
          <x:t xml:space="preserve">博雷汉姆</x:t>
        </x:is>
      </x:c>
      <x:c r="M532" s="606" t="n">
        <x:v>0.59375</x:v>
      </x:c>
      <x:c r="N532" s="604" t="inlineStr">
        <x:is>
          <x:t xml:space="preserve">V4纸面入选-C</x:t>
        </x:is>
      </x:c>
      <x:c r="O532" s="604" t="inlineStr">
        <x:is>
          <x:t xml:space="preserve">3-1</x:t>
        </x:is>
      </x:c>
      <x:c r="P532" s="604" t="inlineStr">
        <x:is>
          <x:t xml:space="preserve">已结算</x:t>
        </x:is>
      </x:c>
      <x:c r="Q532" s="645" t="inlineStr">
        <x:is>
          <x:t xml:space="preserve">红</x:t>
        </x:is>
      </x:c>
      <x:c r="R532" s="607" t="n">
        <x:v>0.84</x:v>
      </x:c>
      <x:c r="S532" s="607" t="n">
        <x:f>IF(OR(Q532="",Q532="待结算"),"",IF(Q532="红",R532,IF(Q532="半红",R532*0.5,IF(Q532="走",0,IF(Q532="半黑",-0.5,-1)))))</x:f>
        <x:v>0.84</x:v>
      </x:c>
      <x:c r="T532" s="604" t="inlineStr">
        <x:is>
          <x:t xml:space="preserve">https://m.titan007.com/analy/Analysis/3027800.htm</x:t>
        </x:is>
      </x:c>
      <x:c r="U532" s="646" t="str">
        <x:f>IF(Q532="","",IF(Q532="待结算","待结算",IF(Q532="红","黑",IF(Q532="半红","半黑",IF(Q532="走","走",IF(Q532="半黑","半红","红"))))))</x:f>
        <x:v>黑</x:v>
      </x:c>
      <x:c r="V532" s="607" t="n">
        <x:f>IF(OR(Q532="",Q532="待结算"),"",IF(L532=LEFT(F532,FIND(" vs ",F532)-1),I532,G532))</x:f>
        <x:v>0.86</x:v>
      </x:c>
      <x:c r="W532" s="607" t="n">
        <x:f>IF(OR(U532="",U532="待结算"),"",IF(U532="红",V532,IF(U532="半红",V532*0.5,IF(U532="走",0,IF(U532="半黑",-0.5,-1)))))</x:f>
        <x:v>-1</x:v>
      </x:c>
      <x:c r="X532" s="604" t="inlineStr">
        <x:is>
          <x:t xml:space="preserve">3027800</x:t>
        </x:is>
      </x:c>
      <x:c r="Y532" s="604" t="inlineStr">
        <x:is>
          <x:t xml:space="preserve">v4-market-dirichlet-20260913</x:t>
        </x:is>
      </x:c>
      <x:c r="Z532" s="604" t="inlineStr">
        <x:is>
          <x:t xml:space="preserve">prior-2026-09-29-v1</x:t>
        </x:is>
      </x:c>
      <x:c r="AA532" s="604" t="inlineStr">
        <x:is>
          <x:t xml:space="preserve">C</x:t>
        </x:is>
      </x:c>
      <x:c r="AB532" s="604" t="n">
        <x:v>0.59375</x:v>
      </x:c>
      <x:c r="AC532" s="604" t="n"/>
      <x:c r="AD532" s="604" t="n"/>
      <x:c r="AE532" s="604" t="n"/>
      <x:c r="AF532" s="604" t="n">
        <x:v>0.40625</x:v>
      </x:c>
      <x:c r="AG532" s="604" t="n">
        <x:v>0.09249999999999997</x:v>
      </x:c>
      <x:c r="AH532" s="604" t="n">
        <x:v>-0.1692233409313819</x:v>
      </x:c>
      <x:c r="AI532" s="604" t="n">
        <x:v>-0.1112281286887205</x:v>
      </x:c>
      <x:c r="AJ532" s="604" t="n">
        <x:v>0.09712361867393648</x:v>
      </x:c>
      <x:c r="AK532" s="604" t="n">
        <x:v>0.2932416448403442</x:v>
      </x:c>
      <x:c r="AL532" s="604" t="n">
        <x:v>0.3456867287061082</x:v>
      </x:c>
      <x:c r="AM532" s="604" t="n">
        <x:v>0.7276</x:v>
      </x:c>
      <x:c r="AN532" s="604" t="inlineStr">
        <x:is>
          <x:t xml:space="preserve">EVALUATED</x:t>
        </x:is>
      </x:c>
      <x:c r="AO532" s="604" t="inlineStr">
        <x:is>
          <x:t xml:space="preserve">BUCKET_1.50、SIDE_IDENTITY_VALID、MARKET_MOVE_DEEPER_WITH_GIVING_WATER_RISE</x:t>
        </x:is>
      </x:c>
      <x:c r="AP532" s="604" t="inlineStr">
        <x:is>
          <x:t xml:space="preserve">41a9fd9f7423ad7d1d82</x:t>
        </x:is>
      </x:c>
      <x:c r="AQ532" s="604" t="n">
        <x:v>-1.5</x:v>
      </x:c>
      <x:c r="AR532" s="604" t="n">
        <x:v>0.84</x:v>
      </x:c>
      <x:c r="AS532" s="604" t="n">
        <x:v>1.5</x:v>
      </x:c>
      <x:c r="AT532" s="604" t="n">
        <x:v>-1.5</x:v>
      </x:c>
      <x:c r="AU532" s="604" t="n">
        <x:v>0.84</x:v>
      </x:c>
      <x:c r="AV532" s="604" t="n">
        <x:v>0.86</x:v>
      </x:c>
      <x:c r="AW532" s="604" t="n">
        <x:v>46294.28273530093</x:v>
      </x:c>
      <x:c r="AX532" s="604" t="inlineStr">
        <x:is>
          <x:t xml:space="preserve">https://simondongxiao.github.io/odds/v4/</x:t>
        </x:is>
      </x:c>
      <x:c r="AY532" s="604" t="inlineStr">
        <x:is>
          <x:t xml:space="preserve">V4 Shadow Only；real_money=false；P(EV&gt;0)不是比赛胜率</x:t>
        </x:is>
      </x:c>
    </x:row>
    <x:row r="533" ht="22" customHeight="1">
      <x:c r="A533" s="604" t="inlineStr">
        <x:is>
          <x:t xml:space="preserve">2026-09-29</x:t>
        </x:is>
      </x:c>
      <x:c r="B533" s="604" t="inlineStr">
        <x:is>
          <x:t xml:space="preserve">2026-09-30 02:00</x:t>
        </x:is>
      </x:c>
      <x:c r="C533" s="604" t="str">
        <x:v>欧洲非五大系列</x:v>
      </x:c>
      <x:c r="D533" s="604" t="inlineStr">
        <x:is>
          <x:t xml:space="preserve">联赛</x:t>
        </x:is>
      </x:c>
      <x:c r="E533" s="604" t="inlineStr">
        <x:is>
          <x:t xml:space="preserve">欧青U21外</x:t>
        </x:is>
      </x:c>
      <x:c r="F533" s="604" t="inlineStr">
        <x:is>
          <x:t xml:space="preserve">比利时U21 vs 威尔士U21</x:t>
        </x:is>
      </x:c>
      <x:c r="G533" s="611" t="n">
        <x:v>0.9399999999999999</x:v>
      </x:c>
      <x:c r="H533" s="611" t="n">
        <x:v>2</x:v>
      </x:c>
      <x:c r="I533" s="611" t="n">
        <x:v>0.88</x:v>
      </x:c>
      <x:c r="J533" s="611" t="inlineStr">
        <x:is>
          <x:t xml:space="preserve">0.94/2/0.88</x:t>
        </x:is>
      </x:c>
      <x:c r="K533" s="604" t="inlineStr">
        <x:is>
          <x:t xml:space="preserve">V4-C｜EV +0.2162</x:t>
        </x:is>
      </x:c>
      <x:c r="L533" s="604" t="inlineStr">
        <x:is>
          <x:t xml:space="preserve">比利时U21</x:t>
        </x:is>
      </x:c>
      <x:c r="M533" s="606" t="n">
        <x:v>0.6428571428571429</x:v>
      </x:c>
      <x:c r="N533" s="604" t="inlineStr">
        <x:is>
          <x:t xml:space="preserve">V4纸面入选-C</x:t>
        </x:is>
      </x:c>
      <x:c r="O533" s="604" t="inlineStr">
        <x:is>
          <x:t xml:space="preserve">1-0</x:t>
        </x:is>
      </x:c>
      <x:c r="P533" s="604" t="inlineStr">
        <x:is>
          <x:t xml:space="preserve">已结算</x:t>
        </x:is>
      </x:c>
      <x:c r="Q533" s="646" t="inlineStr">
        <x:is>
          <x:t xml:space="preserve">黑</x:t>
        </x:is>
      </x:c>
      <x:c r="R533" s="607" t="n">
        <x:v>0.9399999999999999</x:v>
      </x:c>
      <x:c r="S533" s="607" t="n">
        <x:f>IF(OR(Q533="",Q533="待结算"),"",IF(Q533="红",R533,IF(Q533="半红",R533*0.5,IF(Q533="走",0,IF(Q533="半黑",-0.5,-1)))))</x:f>
        <x:v>-1</x:v>
      </x:c>
      <x:c r="T533" s="604" t="inlineStr">
        <x:is>
          <x:t xml:space="preserve">https://m.titan007.com/analy/Analysis/2781407.htm</x:t>
        </x:is>
      </x:c>
      <x:c r="U533" s="645" t="str">
        <x:f>IF(Q533="","",IF(Q533="待结算","待结算",IF(Q533="红","黑",IF(Q533="半红","半黑",IF(Q533="走","走",IF(Q533="半黑","半红","红"))))))</x:f>
        <x:v>红</x:v>
      </x:c>
      <x:c r="V533" s="607" t="n">
        <x:f>IF(OR(Q533="",Q533="待结算"),"",IF(L533=LEFT(F533,FIND(" vs ",F533)-1),I533,G533))</x:f>
        <x:v>0.88</x:v>
      </x:c>
      <x:c r="W533" s="607" t="n">
        <x:f>IF(OR(U533="",U533="待结算"),"",IF(U533="红",V533,IF(U533="半红",V533*0.5,IF(U533="走",0,IF(U533="半黑",-0.5,-1)))))</x:f>
        <x:v>0.88</x:v>
      </x:c>
      <x:c r="X533" s="604" t="inlineStr">
        <x:is>
          <x:t xml:space="preserve">2781407</x:t>
        </x:is>
      </x:c>
      <x:c r="Y533" s="604" t="inlineStr">
        <x:is>
          <x:t xml:space="preserve">v4-market-dirichlet-20260913</x:t>
        </x:is>
      </x:c>
      <x:c r="Z533" s="604" t="inlineStr">
        <x:is>
          <x:t xml:space="preserve">prior-2026-09-29-v1</x:t>
        </x:is>
      </x:c>
      <x:c r="AA533" s="604" t="inlineStr">
        <x:is>
          <x:t xml:space="preserve">C</x:t>
        </x:is>
      </x:c>
      <x:c r="AB533" s="604" t="n">
        <x:v>0.5625</x:v>
      </x:c>
      <x:c r="AC533" s="604" t="n"/>
      <x:c r="AD533" s="604" t="n">
        <x:v>0.125</x:v>
      </x:c>
      <x:c r="AE533" s="604" t="n"/>
      <x:c r="AF533" s="604" t="n">
        <x:v>0.3125</x:v>
      </x:c>
      <x:c r="AG533" s="604" t="n">
        <x:v>0.2162499999999999</x:v>
      </x:c>
      <x:c r="AH533" s="604" t="n">
        <x:v>-0.1432677389375275</x:v>
      </x:c>
      <x:c r="AI533" s="604" t="n">
        <x:v>-0.06439923150201321</x:v>
      </x:c>
      <x:c r="AJ533" s="604" t="n">
        <x:v>0.2297936956300866</x:v>
      </x:c>
      <x:c r="AK533" s="604" t="n">
        <x:v>0.4851649253159878</x:v>
      </x:c>
      <x:c r="AL533" s="604" t="n">
        <x:v>0.5479663795482375</x:v>
      </x:c>
      <x:c r="AM533" s="604" t="n">
        <x:v>0.8396</x:v>
      </x:c>
      <x:c r="AN533" s="604" t="inlineStr">
        <x:is>
          <x:t xml:space="preserve">EVALUATED</x:t>
        </x:is>
      </x:c>
      <x:c r="AO533" s="604" t="inlineStr">
        <x:is>
          <x:t xml:space="preserve">BUCKET_2.00、SIDE_IDENTITY_VALID、MARKET_MOVE_DEEPER_WITH_GIVING_WATER_RISE</x:t>
        </x:is>
      </x:c>
      <x:c r="AP533" s="604" t="inlineStr">
        <x:is>
          <x:t xml:space="preserve">715a4658b4f1a5ea61df</x:t>
        </x:is>
      </x:c>
      <x:c r="AQ533" s="604" t="n">
        <x:v>-2</x:v>
      </x:c>
      <x:c r="AR533" s="604" t="n">
        <x:v>0.9399999999999999</x:v>
      </x:c>
      <x:c r="AS533" s="604" t="n">
        <x:v>2</x:v>
      </x:c>
      <x:c r="AT533" s="604" t="n">
        <x:v>-2</x:v>
      </x:c>
      <x:c r="AU533" s="604" t="n">
        <x:v>0.9399999999999999</x:v>
      </x:c>
      <x:c r="AV533" s="604" t="n">
        <x:v>0.88</x:v>
      </x:c>
      <x:c r="AW533" s="604" t="n">
        <x:v>46294.28273530093</x:v>
      </x:c>
      <x:c r="AX533" s="604" t="inlineStr">
        <x:is>
          <x:t xml:space="preserve">https://simondongxiao.github.io/odds/v4/</x:t>
        </x:is>
      </x:c>
      <x:c r="AY533" s="604" t="inlineStr">
        <x:is>
          <x:t xml:space="preserve">V4 Shadow Only；real_money=false；P(EV&gt;0)不是比赛胜率</x:t>
        </x:is>
      </x:c>
    </x:row>
    <x:row r="534" ht="22" customHeight="1">
      <x:c r="A534" s="604" t="inlineStr">
        <x:is>
          <x:t xml:space="preserve">2026-09-29</x:t>
        </x:is>
      </x:c>
      <x:c r="B534" s="604" t="inlineStr">
        <x:is>
          <x:t xml:space="preserve">2026-09-30 02:00</x:t>
        </x:is>
      </x:c>
      <x:c r="C534" s="604" t="str">
        <x:v>其他系列</x:v>
      </x:c>
      <x:c r="D534" s="604" t="inlineStr">
        <x:is>
          <x:t xml:space="preserve">联赛</x:t>
        </x:is>
      </x:c>
      <x:c r="E534" s="604" t="inlineStr">
        <x:is>
          <x:t xml:space="preserve">阿后备</x:t>
        </x:is>
      </x:c>
      <x:c r="F534" s="604" t="inlineStr">
        <x:is>
          <x:t xml:space="preserve">拉斐拉竞技后备队 vs 皮科将军镇后备队</x:t>
        </x:is>
      </x:c>
      <x:c r="G534" s="611" t="n">
        <x:v>0.74</x:v>
      </x:c>
      <x:c r="H534" s="611" t="n">
        <x:v>0.25</x:v>
      </x:c>
      <x:c r="I534" s="611" t="n">
        <x:v>1.08</x:v>
      </x:c>
      <x:c r="J534" s="611" t="inlineStr">
        <x:is>
          <x:t xml:space="preserve">0.74/0.25/1.08</x:t>
        </x:is>
      </x:c>
      <x:c r="K534" s="604" t="inlineStr">
        <x:is>
          <x:t xml:space="preserve">V4-C｜EV +0.0358</x:t>
        </x:is>
      </x:c>
      <x:c r="L534" s="604" t="inlineStr">
        <x:is>
          <x:t xml:space="preserve">皮科将军镇后备队</x:t>
        </x:is>
      </x:c>
      <x:c r="M534" s="606" t="n">
        <x:v>0.5010224948875256</x:v>
      </x:c>
      <x:c r="N534" s="604" t="inlineStr">
        <x:is>
          <x:t xml:space="preserve">V4纸面入选-C</x:t>
        </x:is>
      </x:c>
      <x:c r="O534" s="604" t="inlineStr">
        <x:is>
          <x:t xml:space="preserve">3-2</x:t>
        </x:is>
      </x:c>
      <x:c r="P534" s="604" t="inlineStr">
        <x:is>
          <x:t xml:space="preserve">已结算</x:t>
        </x:is>
      </x:c>
      <x:c r="Q534" s="646" t="inlineStr">
        <x:is>
          <x:t xml:space="preserve">黑</x:t>
        </x:is>
      </x:c>
      <x:c r="R534" s="607" t="n">
        <x:v>1.08</x:v>
      </x:c>
      <x:c r="S534" s="607" t="n">
        <x:f>IF(OR(Q534="",Q534="待结算"),"",IF(Q534="红",R534,IF(Q534="半红",R534*0.5,IF(Q534="走",0,IF(Q534="半黑",-0.5,-1)))))</x:f>
        <x:v>-1</x:v>
      </x:c>
      <x:c r="T534" s="604" t="inlineStr">
        <x:is>
          <x:t xml:space="preserve">https://m.titan007.com/analy/Analysis/3094932.htm</x:t>
        </x:is>
      </x:c>
      <x:c r="U534" s="645" t="str">
        <x:f>IF(Q534="","",IF(Q534="待结算","待结算",IF(Q534="红","黑",IF(Q534="半红","半黑",IF(Q534="走","走",IF(Q534="半黑","半红","红"))))))</x:f>
        <x:v>红</x:v>
      </x:c>
      <x:c r="V534" s="607" t="n">
        <x:f>IF(OR(Q534="",Q534="待结算"),"",IF(L534=LEFT(F534,FIND(" vs ",F534)-1),I534,G534))</x:f>
        <x:v>0.74</x:v>
      </x:c>
      <x:c r="W534" s="607" t="n">
        <x:f>IF(OR(U534="",U534="待结算"),"",IF(U534="红",V534,IF(U534="半红",V534*0.5,IF(U534="走",0,IF(U534="半黑",-0.5,-1)))))</x:f>
        <x:v>0.74</x:v>
      </x:c>
      <x:c r="X534" s="604" t="inlineStr">
        <x:is>
          <x:t xml:space="preserve">3094932</x:t>
        </x:is>
      </x:c>
      <x:c r="Y534" s="604" t="inlineStr">
        <x:is>
          <x:t xml:space="preserve">v4-market-dirichlet-20260913</x:t>
        </x:is>
      </x:c>
      <x:c r="Z534" s="604" t="inlineStr">
        <x:is>
          <x:t xml:space="preserve">prior-2026-09-29-v1</x:t>
        </x:is>
      </x:c>
      <x:c r="AA534" s="604" t="inlineStr">
        <x:is>
          <x:t xml:space="preserve">C</x:t>
        </x:is>
      </x:c>
      <x:c r="AB534" s="604" t="n">
        <x:v>0.2743055555555556</x:v>
      </x:c>
      <x:c r="AC534" s="604" t="n">
        <x:v>0.3020833333333333</x:v>
      </x:c>
      <x:c r="AD534" s="604" t="n"/>
      <x:c r="AE534" s="604" t="n"/>
      <x:c r="AF534" s="604" t="n">
        <x:v>0.4236111111111111</x:v>
      </x:c>
      <x:c r="AG534" s="604" t="n">
        <x:v>0.03576388888888898</x:v>
      </x:c>
      <x:c r="AH534" s="604" t="n">
        <x:v>-0.05443772057308122</x:v>
      </x:c>
      <x:c r="AI534" s="604" t="n">
        <x:v>-0.03497193815862343</x:v>
      </x:c>
      <x:c r="AJ534" s="604" t="n">
        <x:v>0.0346980621649115</x:v>
      </x:c>
      <x:c r="AK534" s="604" t="n">
        <x:v>0.1032759725746333</x:v>
      </x:c>
      <x:c r="AL534" s="604" t="n">
        <x:v>0.1240138671038238</x:v>
      </x:c>
      <x:c r="AM534" s="604" t="n">
        <x:v>0.7383999999999999</x:v>
      </x:c>
      <x:c r="AN534" s="604" t="inlineStr">
        <x:is>
          <x:t xml:space="preserve">EVALUATED</x:t>
        </x:is>
      </x:c>
      <x:c r="AO534" s="604" t="inlineStr">
        <x:is>
          <x:t xml:space="preserve">BUCKET_0.25、SIDE_IDENTITY_VALID、FLAT_LINE_GIVING_WATER_RISE</x:t>
        </x:is>
      </x:c>
      <x:c r="AP534" s="604" t="inlineStr">
        <x:is>
          <x:t xml:space="preserve">113f865486d0d9f814bb</x:t>
        </x:is>
      </x:c>
      <x:c r="AQ534" s="604" t="n">
        <x:v>0.25</x:v>
      </x:c>
      <x:c r="AR534" s="604" t="n">
        <x:v>1.08</x:v>
      </x:c>
      <x:c r="AS534" s="604" t="n">
        <x:v>0.25</x:v>
      </x:c>
      <x:c r="AT534" s="604" t="n">
        <x:v>-0.25</x:v>
      </x:c>
      <x:c r="AU534" s="604" t="n">
        <x:v>0.74</x:v>
      </x:c>
      <x:c r="AV534" s="604" t="n">
        <x:v>1.08</x:v>
      </x:c>
      <x:c r="AW534" s="604" t="n">
        <x:v>46294.28273530093</x:v>
      </x:c>
      <x:c r="AX534" s="604" t="inlineStr">
        <x:is>
          <x:t xml:space="preserve">https://simondongxiao.github.io/odds/v4/</x:t>
        </x:is>
      </x:c>
      <x:c r="AY534" s="604" t="inlineStr">
        <x:is>
          <x:t xml:space="preserve">V4 Shadow Only；real_money=false；P(EV&gt;0)不是比赛胜率</x:t>
        </x:is>
      </x:c>
    </x:row>
    <x:row r="535" ht="22" customHeight="1">
      <x:c r="A535" s="604" t="inlineStr">
        <x:is>
          <x:t xml:space="preserve">2026-09-29</x:t>
        </x:is>
      </x:c>
      <x:c r="B535" s="604" t="inlineStr">
        <x:is>
          <x:t xml:space="preserve">2026-09-30 02:00</x:t>
        </x:is>
      </x:c>
      <x:c r="C535" s="604" t="str">
        <x:v>其他系列</x:v>
      </x:c>
      <x:c r="D535" s="604" t="inlineStr">
        <x:is>
          <x:t xml:space="preserve">杯赛</x:t>
        </x:is>
      </x:c>
      <x:c r="E535" s="604" t="inlineStr">
        <x:is>
          <x:t xml:space="preserve">非洲U23杯</x:t>
        </x:is>
      </x:c>
      <x:c r="F535" s="604" t="inlineStr">
        <x:is>
          <x:t xml:space="preserve">突尼斯U23 vs 贝宁U23</x:t>
        </x:is>
      </x:c>
      <x:c r="G535" s="611" t="n">
        <x:v>0.8100000000000001</x:v>
      </x:c>
      <x:c r="H535" s="611" t="n">
        <x:v>1</x:v>
      </x:c>
      <x:c r="I535" s="611" t="n">
        <x:v>1.01</x:v>
      </x:c>
      <x:c r="J535" s="611" t="inlineStr">
        <x:is>
          <x:t xml:space="preserve">0.81/1/1.01</x:t>
        </x:is>
      </x:c>
      <x:c r="K535" s="604" t="inlineStr">
        <x:is>
          <x:t xml:space="preserve">V4-C｜EV +0.0700</x:t>
        </x:is>
      </x:c>
      <x:c r="L535" s="604" t="inlineStr">
        <x:is>
          <x:t xml:space="preserve">贝宁U23</x:t>
        </x:is>
      </x:c>
      <x:c r="M535" s="606" t="n">
        <x:v>0.5423728813559322</x:v>
      </x:c>
      <x:c r="N535" s="604" t="inlineStr">
        <x:is>
          <x:t xml:space="preserve">V4纸面入选-C</x:t>
        </x:is>
      </x:c>
      <x:c r="O535" s="604" t="inlineStr">
        <x:is>
          <x:t xml:space="preserve">2-0</x:t>
        </x:is>
      </x:c>
      <x:c r="P535" s="604" t="inlineStr">
        <x:is>
          <x:t xml:space="preserve">已结算</x:t>
        </x:is>
      </x:c>
      <x:c r="Q535" s="646" t="inlineStr">
        <x:is>
          <x:t xml:space="preserve">黑</x:t>
        </x:is>
      </x:c>
      <x:c r="R535" s="607" t="n">
        <x:v>1.01</x:v>
      </x:c>
      <x:c r="S535" s="607" t="n">
        <x:f>IF(OR(Q535="",Q535="待结算"),"",IF(Q535="红",R535,IF(Q535="半红",R535*0.5,IF(Q535="走",0,IF(Q535="半黑",-0.5,-1)))))</x:f>
        <x:v>-1</x:v>
      </x:c>
      <x:c r="T535" s="604" t="inlineStr">
        <x:is>
          <x:t xml:space="preserve">https://m.titan007.com/analy/Analysis/3094471.htm</x:t>
        </x:is>
      </x:c>
      <x:c r="U535" s="645" t="str">
        <x:f>IF(Q535="","",IF(Q535="待结算","待结算",IF(Q535="红","黑",IF(Q535="半红","半黑",IF(Q535="走","走",IF(Q535="半黑","半红","红"))))))</x:f>
        <x:v>红</x:v>
      </x:c>
      <x:c r="V535" s="607" t="n">
        <x:f>IF(OR(Q535="",Q535="待结算"),"",IF(L535=LEFT(F535,FIND(" vs ",F535)-1),I535,G535))</x:f>
        <x:v>0.81</x:v>
      </x:c>
      <x:c r="W535" s="607" t="n">
        <x:f>IF(OR(U535="",U535="待结算"),"",IF(U535="红",V535,IF(U535="半红",V535*0.5,IF(U535="走",0,IF(U535="半黑",-0.5,-1)))))</x:f>
        <x:v>0.81</x:v>
      </x:c>
      <x:c r="X535" s="604" t="inlineStr">
        <x:is>
          <x:t xml:space="preserve">3094471</x:t>
        </x:is>
      </x:c>
      <x:c r="Y535" s="604" t="inlineStr">
        <x:is>
          <x:t xml:space="preserve">v4-market-dirichlet-20260913</x:t>
        </x:is>
      </x:c>
      <x:c r="Z535" s="604" t="inlineStr">
        <x:is>
          <x:t xml:space="preserve">prior-2026-09-29-v1</x:t>
        </x:is>
      </x:c>
      <x:c r="AA535" s="604" t="inlineStr">
        <x:is>
          <x:t xml:space="preserve">C</x:t>
        </x:is>
      </x:c>
      <x:c r="AB535" s="604" t="n">
        <x:v>0.4210526315789473</x:v>
      </x:c>
      <x:c r="AC535" s="604" t="n"/>
      <x:c r="AD535" s="604" t="n">
        <x:v>0.2236842105263158</x:v>
      </x:c>
      <x:c r="AE535" s="604" t="n"/>
      <x:c r="AF535" s="604" t="n">
        <x:v>0.3552631578947368</x:v>
      </x:c>
      <x:c r="AG535" s="604" t="n">
        <x:v>0.07000000000000001</x:v>
      </x:c>
      <x:c r="AH535" s="604" t="n">
        <x:v>-0.09679568525476329</x:v>
      </x:c>
      <x:c r="AI535" s="604" t="n">
        <x:v>-0.05976792930406938</x:v>
      </x:c>
      <x:c r="AJ535" s="604" t="n">
        <x:v>0.06883650794646262</x:v>
      </x:c>
      <x:c r="AK535" s="604" t="n">
        <x:v>0.1978431450822049</x:v>
      </x:c>
      <x:c r="AL535" s="604" t="n">
        <x:v>0.233225299470991</x:v>
      </x:c>
      <x:c r="AM535" s="604" t="n">
        <x:v>0.7433999999999999</x:v>
      </x:c>
      <x:c r="AN535" s="604" t="inlineStr">
        <x:is>
          <x:t xml:space="preserve">EVALUATED</x:t>
        </x:is>
      </x:c>
      <x:c r="AO535" s="604" t="inlineStr">
        <x:is>
          <x:t xml:space="preserve">BUCKET_1.00、SIDE_IDENTITY_VALID、FLAT_LINE_GIVING_WATER_RISE</x:t>
        </x:is>
      </x:c>
      <x:c r="AP535" s="604" t="inlineStr">
        <x:is>
          <x:t xml:space="preserve">71e8f26c47b9bb3f8060</x:t>
        </x:is>
      </x:c>
      <x:c r="AQ535" s="604" t="n">
        <x:v>1</x:v>
      </x:c>
      <x:c r="AR535" s="604" t="n">
        <x:v>1.01</x:v>
      </x:c>
      <x:c r="AS535" s="604" t="n">
        <x:v>1</x:v>
      </x:c>
      <x:c r="AT535" s="604" t="n">
        <x:v>-1</x:v>
      </x:c>
      <x:c r="AU535" s="604" t="n">
        <x:v>0.8100000000000001</x:v>
      </x:c>
      <x:c r="AV535" s="604" t="n">
        <x:v>1.01</x:v>
      </x:c>
      <x:c r="AW535" s="604" t="n">
        <x:v>46294.28273530093</x:v>
      </x:c>
      <x:c r="AX535" s="604" t="inlineStr">
        <x:is>
          <x:t xml:space="preserve">https://simondongxiao.github.io/odds/v4/</x:t>
        </x:is>
      </x:c>
      <x:c r="AY535" s="604" t="inlineStr">
        <x:is>
          <x:t xml:space="preserve">V4 Shadow Only；real_money=false；P(EV&gt;0)不是比赛胜率</x:t>
        </x:is>
      </x:c>
    </x:row>
    <x:row r="536" ht="22" customHeight="1">
      <x:c r="A536" s="604" t="inlineStr">
        <x:is>
          <x:t xml:space="preserve">2026-09-29</x:t>
        </x:is>
      </x:c>
      <x:c r="B536" s="604" t="inlineStr">
        <x:is>
          <x:t xml:space="preserve">2026-09-30 02:45</x:t>
        </x:is>
      </x:c>
      <x:c r="C536" s="604" t="str">
        <x:v>欧洲非五大系列</x:v>
      </x:c>
      <x:c r="D536" s="604" t="inlineStr">
        <x:is>
          <x:t xml:space="preserve">联赛</x:t>
        </x:is>
      </x:c>
      <x:c r="E536" s="604" t="inlineStr">
        <x:is>
          <x:t xml:space="preserve">欧国联</x:t>
        </x:is>
      </x:c>
      <x:c r="F536" s="604" t="inlineStr">
        <x:is>
          <x:t xml:space="preserve">西班牙 vs 克罗地亚</x:t>
        </x:is>
      </x:c>
      <x:c r="G536" s="611" t="n">
        <x:v>1.03</x:v>
      </x:c>
      <x:c r="H536" s="611" t="n">
        <x:v>2</x:v>
      </x:c>
      <x:c r="I536" s="611" t="n">
        <x:v>0.86</x:v>
      </x:c>
      <x:c r="J536" s="611" t="inlineStr">
        <x:is>
          <x:t xml:space="preserve">1.03/2/0.86</x:t>
        </x:is>
      </x:c>
      <x:c r="K536" s="604" t="inlineStr">
        <x:is>
          <x:t xml:space="preserve">V4-B｜EV +0.2669</x:t>
        </x:is>
      </x:c>
      <x:c r="L536" s="604" t="inlineStr">
        <x:is>
          <x:t xml:space="preserve">西班牙</x:t>
        </x:is>
      </x:c>
      <x:c r="M536" s="606" t="n">
        <x:v>0.6428571428571429</x:v>
      </x:c>
      <x:c r="N536" s="604" t="inlineStr">
        <x:is>
          <x:t xml:space="preserve">V4纸面入选-B</x:t>
        </x:is>
      </x:c>
      <x:c r="O536" s="604" t="inlineStr">
        <x:is>
          <x:t xml:space="preserve">4-1</x:t>
        </x:is>
      </x:c>
      <x:c r="P536" s="604" t="inlineStr">
        <x:is>
          <x:t xml:space="preserve">已结算</x:t>
        </x:is>
      </x:c>
      <x:c r="Q536" s="645" t="inlineStr">
        <x:is>
          <x:t xml:space="preserve">红</x:t>
        </x:is>
      </x:c>
      <x:c r="R536" s="607" t="n">
        <x:v>1.03</x:v>
      </x:c>
      <x:c r="S536" s="607" t="n">
        <x:f>IF(OR(Q536="",Q536="待结算"),"",IF(Q536="红",R536,IF(Q536="半红",R536*0.5,IF(Q536="走",0,IF(Q536="半黑",-0.5,-1)))))</x:f>
        <x:v>1.03</x:v>
      </x:c>
      <x:c r="T536" s="604" t="inlineStr">
        <x:is>
          <x:t xml:space="preserve">https://m.titan007.com/analy/Analysis/2981439.htm</x:t>
        </x:is>
      </x:c>
      <x:c r="U536" s="646" t="str">
        <x:f>IF(Q536="","",IF(Q536="待结算","待结算",IF(Q536="红","黑",IF(Q536="半红","半黑",IF(Q536="走","走",IF(Q536="半黑","半红","红"))))))</x:f>
        <x:v>黑</x:v>
      </x:c>
      <x:c r="V536" s="607" t="n">
        <x:f>IF(OR(Q536="",Q536="待结算"),"",IF(L536=LEFT(F536,FIND(" vs ",F536)-1),I536,G536))</x:f>
        <x:v>0.86</x:v>
      </x:c>
      <x:c r="W536" s="607" t="n">
        <x:f>IF(OR(U536="",U536="待结算"),"",IF(U536="红",V536,IF(U536="半红",V536*0.5,IF(U536="走",0,IF(U536="半黑",-0.5,-1)))))</x:f>
        <x:v>-1</x:v>
      </x:c>
      <x:c r="X536" s="604" t="inlineStr">
        <x:is>
          <x:t xml:space="preserve">2981439</x:t>
        </x:is>
      </x:c>
      <x:c r="Y536" s="604" t="inlineStr">
        <x:is>
          <x:t xml:space="preserve">v4-market-dirichlet-20260913</x:t>
        </x:is>
      </x:c>
      <x:c r="Z536" s="604" t="inlineStr">
        <x:is>
          <x:t xml:space="preserve">prior-2026-09-29-v1</x:t>
        </x:is>
      </x:c>
      <x:c r="AA536" s="604" t="inlineStr">
        <x:is>
          <x:t xml:space="preserve">B</x:t>
        </x:is>
      </x:c>
      <x:c r="AB536" s="604" t="n">
        <x:v>0.5625</x:v>
      </x:c>
      <x:c r="AC536" s="604" t="n"/>
      <x:c r="AD536" s="604" t="n">
        <x:v>0.125</x:v>
      </x:c>
      <x:c r="AE536" s="604" t="n"/>
      <x:c r="AF536" s="604" t="n">
        <x:v>0.3125</x:v>
      </x:c>
      <x:c r="AG536" s="604" t="n">
        <x:v>0.266875</x:v>
      </x:c>
      <x:c r="AH536" s="604" t="n">
        <x:v>-0.1285434257223534</x:v>
      </x:c>
      <x:c r="AI536" s="604" t="n">
        <x:v>-0.0305725928455457</x:v>
      </x:c>
      <x:c r="AJ536" s="604" t="n">
        <x:v>0.2715786860809931</x:v>
      </x:c>
      <x:c r="AK536" s="604" t="n">
        <x:v>0.5450763333396558</x:v>
      </x:c>
      <x:c r="AL536" s="604" t="n">
        <x:v>0.6089081263467091</x:v>
      </x:c>
      <x:c r="AM536" s="604" t="n">
        <x:v>0.8738</x:v>
      </x:c>
      <x:c r="AN536" s="604" t="inlineStr">
        <x:is>
          <x:t xml:space="preserve">EVALUATED</x:t>
        </x:is>
      </x:c>
      <x:c r="AO536" s="604" t="inlineStr">
        <x:is>
          <x:t xml:space="preserve">BUCKET_2.00、SIDE_IDENTITY_VALID、MARKET_MOVE_DEEPER_WITH_GIVING_WATER_RISE</x:t>
        </x:is>
      </x:c>
      <x:c r="AP536" s="604" t="inlineStr">
        <x:is>
          <x:t xml:space="preserve">873c555c19cec2f4098f</x:t>
        </x:is>
      </x:c>
      <x:c r="AQ536" s="604" t="n">
        <x:v>-2</x:v>
      </x:c>
      <x:c r="AR536" s="604" t="n">
        <x:v>1.03</x:v>
      </x:c>
      <x:c r="AS536" s="604" t="n">
        <x:v>2</x:v>
      </x:c>
      <x:c r="AT536" s="604" t="n">
        <x:v>-2</x:v>
      </x:c>
      <x:c r="AU536" s="604" t="n">
        <x:v>1.03</x:v>
      </x:c>
      <x:c r="AV536" s="604" t="n">
        <x:v>0.86</x:v>
      </x:c>
      <x:c r="AW536" s="604" t="n">
        <x:v>46294.28273530093</x:v>
      </x:c>
      <x:c r="AX536" s="604" t="inlineStr">
        <x:is>
          <x:t xml:space="preserve">https://simondongxiao.github.io/odds/v4/</x:t>
        </x:is>
      </x:c>
      <x:c r="AY536" s="604" t="inlineStr">
        <x:is>
          <x:t xml:space="preserve">V4 Shadow Only；real_money=false；P(EV&gt;0)不是比赛胜率</x:t>
        </x:is>
      </x:c>
    </x:row>
    <x:row r="537" ht="22" customHeight="1">
      <x:c r="A537" s="604" t="inlineStr">
        <x:is>
          <x:t xml:space="preserve">2026-09-29</x:t>
        </x:is>
      </x:c>
      <x:c r="B537" s="604" t="inlineStr">
        <x:is>
          <x:t xml:space="preserve">2026-09-30 02:45</x:t>
        </x:is>
      </x:c>
      <x:c r="C537" s="604" t="str">
        <x:v>欧洲非五大系列</x:v>
      </x:c>
      <x:c r="D537" s="604" t="inlineStr">
        <x:is>
          <x:t xml:space="preserve">联赛</x:t>
        </x:is>
      </x:c>
      <x:c r="E537" s="604" t="inlineStr">
        <x:is>
          <x:t xml:space="preserve">欧国联</x:t>
        </x:is>
      </x:c>
      <x:c r="F537" s="604" t="inlineStr">
        <x:is>
          <x:t xml:space="preserve">捷克 vs 英格兰</x:t>
        </x:is>
      </x:c>
      <x:c r="G537" s="611" t="n">
        <x:v>0.95</x:v>
      </x:c>
      <x:c r="H537" s="611" t="n">
        <x:v>-1.5</x:v>
      </x:c>
      <x:c r="I537" s="611" t="n">
        <x:v>0.9399999999999999</x:v>
      </x:c>
      <x:c r="J537" s="611" t="inlineStr">
        <x:is>
          <x:t xml:space="preserve">0.95/-1.5/0.94</x:t>
        </x:is>
      </x:c>
      <x:c r="K537" s="604" t="inlineStr">
        <x:is>
          <x:t xml:space="preserve">V4-C｜EV +0.1519</x:t>
        </x:is>
      </x:c>
      <x:c r="L537" s="604" t="inlineStr">
        <x:is>
          <x:t xml:space="preserve">英格兰</x:t>
        </x:is>
      </x:c>
      <x:c r="M537" s="606" t="n">
        <x:v>0.59375</x:v>
      </x:c>
      <x:c r="N537" s="604" t="inlineStr">
        <x:is>
          <x:t xml:space="preserve">V4纸面入选-C</x:t>
        </x:is>
      </x:c>
      <x:c r="O537" s="604" t="inlineStr">
        <x:is>
          <x:t xml:space="preserve">0-2</x:t>
        </x:is>
      </x:c>
      <x:c r="P537" s="604" t="inlineStr">
        <x:is>
          <x:t xml:space="preserve">已结算</x:t>
        </x:is>
      </x:c>
      <x:c r="Q537" s="645" t="inlineStr">
        <x:is>
          <x:t xml:space="preserve">红</x:t>
        </x:is>
      </x:c>
      <x:c r="R537" s="607" t="n">
        <x:v>0.9399999999999999</x:v>
      </x:c>
      <x:c r="S537" s="607" t="n">
        <x:f>IF(OR(Q537="",Q537="待结算"),"",IF(Q537="红",R537,IF(Q537="半红",R537*0.5,IF(Q537="走",0,IF(Q537="半黑",-0.5,-1)))))</x:f>
        <x:v>0.94</x:v>
      </x:c>
      <x:c r="T537" s="604" t="inlineStr">
        <x:is>
          <x:t xml:space="preserve">https://m.titan007.com/analy/Analysis/2981440.htm</x:t>
        </x:is>
      </x:c>
      <x:c r="U537" s="646" t="str">
        <x:f>IF(Q537="","",IF(Q537="待结算","待结算",IF(Q537="红","黑",IF(Q537="半红","半黑",IF(Q537="走","走",IF(Q537="半黑","半红","红"))))))</x:f>
        <x:v>黑</x:v>
      </x:c>
      <x:c r="V537" s="607" t="n">
        <x:f>IF(OR(Q537="",Q537="待结算"),"",IF(L537=LEFT(F537,FIND(" vs ",F537)-1),I537,G537))</x:f>
        <x:v>0.95</x:v>
      </x:c>
      <x:c r="W537" s="607" t="n">
        <x:f>IF(OR(U537="",U537="待结算"),"",IF(U537="红",V537,IF(U537="半红",V537*0.5,IF(U537="走",0,IF(U537="半黑",-0.5,-1)))))</x:f>
        <x:v>-1</x:v>
      </x:c>
      <x:c r="X537" s="604" t="inlineStr">
        <x:is>
          <x:t xml:space="preserve">2981440</x:t>
        </x:is>
      </x:c>
      <x:c r="Y537" s="604" t="inlineStr">
        <x:is>
          <x:t xml:space="preserve">v4-market-dirichlet-20260913</x:t>
        </x:is>
      </x:c>
      <x:c r="Z537" s="604" t="inlineStr">
        <x:is>
          <x:t xml:space="preserve">prior-2026-09-29-v1</x:t>
        </x:is>
      </x:c>
      <x:c r="AA537" s="604" t="inlineStr">
        <x:is>
          <x:t xml:space="preserve">C</x:t>
        </x:is>
      </x:c>
      <x:c r="AB537" s="604" t="n">
        <x:v>0.59375</x:v>
      </x:c>
      <x:c r="AC537" s="604" t="n"/>
      <x:c r="AD537" s="604" t="n"/>
      <x:c r="AE537" s="604" t="n"/>
      <x:c r="AF537" s="604" t="n">
        <x:v>0.40625</x:v>
      </x:c>
      <x:c r="AG537" s="604" t="n">
        <x:v>0.151875</x:v>
      </x:c>
      <x:c r="AH537" s="604" t="n">
        <x:v>-0.1310846443082428</x:v>
      </x:c>
      <x:c r="AI537" s="604" t="n">
        <x:v>-0.06798075135429976</x:v>
      </x:c>
      <x:c r="AJ537" s="604" t="n">
        <x:v>0.1549612765512877</x:v>
      </x:c>
      <x:c r="AK537" s="604" t="n">
        <x:v>0.3652208231298504</x:v>
      </x:c>
      <x:c r="AL537" s="604" t="n">
        <x:v>0.4237734748629176</x:v>
      </x:c>
      <x:c r="AM537" s="604" t="n">
        <x:v>0.8174</x:v>
      </x:c>
      <x:c r="AN537" s="604" t="inlineStr">
        <x:is>
          <x:t xml:space="preserve">EVALUATED</x:t>
        </x:is>
      </x:c>
      <x:c r="AO537" s="604" t="inlineStr">
        <x:is>
          <x:t xml:space="preserve">BUCKET_1.50、SIDE_IDENTITY_VALID、MARKET_MOVE_DEEPER_WITH_GIVING_WATER_RISE</x:t>
        </x:is>
      </x:c>
      <x:c r="AP537" s="604" t="inlineStr">
        <x:is>
          <x:t xml:space="preserve">6ffc96dd18537e8811e9</x:t>
        </x:is>
      </x:c>
      <x:c r="AQ537" s="604" t="n">
        <x:v>-1.5</x:v>
      </x:c>
      <x:c r="AR537" s="604" t="n">
        <x:v>0.9399999999999999</x:v>
      </x:c>
      <x:c r="AS537" s="604" t="n">
        <x:v>-1.5</x:v>
      </x:c>
      <x:c r="AT537" s="604" t="n">
        <x:v>1.5</x:v>
      </x:c>
      <x:c r="AU537" s="604" t="n">
        <x:v>0.95</x:v>
      </x:c>
      <x:c r="AV537" s="604" t="n">
        <x:v>0.9399999999999999</x:v>
      </x:c>
      <x:c r="AW537" s="604" t="n">
        <x:v>46294.28273530093</x:v>
      </x:c>
      <x:c r="AX537" s="604" t="inlineStr">
        <x:is>
          <x:t xml:space="preserve">https://simondongxiao.github.io/odds/v4/</x:t>
        </x:is>
      </x:c>
      <x:c r="AY537" s="604" t="inlineStr">
        <x:is>
          <x:t xml:space="preserve">V4 Shadow Only；real_money=false；P(EV&gt;0)不是比赛胜率</x:t>
        </x:is>
      </x:c>
    </x:row>
    <x:row r="538" ht="22" customHeight="1">
      <x:c r="A538" s="604" t="inlineStr">
        <x:is>
          <x:t xml:space="preserve">2026-09-29</x:t>
        </x:is>
      </x:c>
      <x:c r="B538" s="604" t="inlineStr">
        <x:is>
          <x:t xml:space="preserve">2026-09-30 02:45</x:t>
        </x:is>
      </x:c>
      <x:c r="C538" s="604" t="str">
        <x:v>欧洲非五大系列</x:v>
      </x:c>
      <x:c r="D538" s="604" t="inlineStr">
        <x:is>
          <x:t xml:space="preserve">联赛</x:t>
        </x:is>
      </x:c>
      <x:c r="E538" s="604" t="inlineStr">
        <x:is>
          <x:t xml:space="preserve">欧国联</x:t>
        </x:is>
      </x:c>
      <x:c r="F538" s="604" t="inlineStr">
        <x:is>
          <x:t xml:space="preserve">斯洛文尼亚 vs 北马其顿</x:t>
        </x:is>
      </x:c>
      <x:c r="G538" s="611" t="n">
        <x:v>0.85</x:v>
      </x:c>
      <x:c r="H538" s="611" t="n">
        <x:v>0.75</x:v>
      </x:c>
      <x:c r="I538" s="611" t="n">
        <x:v>1.04</x:v>
      </x:c>
      <x:c r="J538" s="611" t="inlineStr">
        <x:is>
          <x:t xml:space="preserve">0.85/0.75/1.04</x:t>
        </x:is>
      </x:c>
      <x:c r="K538" s="604" t="inlineStr">
        <x:is>
          <x:t xml:space="preserve">V4-C｜EV +0.0302</x:t>
        </x:is>
      </x:c>
      <x:c r="L538" s="604" t="inlineStr">
        <x:is>
          <x:t xml:space="preserve">北马其顿</x:t>
        </x:is>
      </x:c>
      <x:c r="M538" s="606" t="n">
        <x:v>0.5071770334928229</x:v>
      </x:c>
      <x:c r="N538" s="604" t="inlineStr">
        <x:is>
          <x:t xml:space="preserve">V4纸面入选-C</x:t>
        </x:is>
      </x:c>
      <x:c r="O538" s="604" t="inlineStr">
        <x:is>
          <x:t xml:space="preserve">2-0</x:t>
        </x:is>
      </x:c>
      <x:c r="P538" s="604" t="inlineStr">
        <x:is>
          <x:t xml:space="preserve">已结算</x:t>
        </x:is>
      </x:c>
      <x:c r="Q538" s="646" t="inlineStr">
        <x:is>
          <x:t xml:space="preserve">黑</x:t>
        </x:is>
      </x:c>
      <x:c r="R538" s="607" t="n">
        <x:v>1.04</x:v>
      </x:c>
      <x:c r="S538" s="607" t="n">
        <x:f>IF(OR(Q538="",Q538="待结算"),"",IF(Q538="红",R538,IF(Q538="半红",R538*0.5,IF(Q538="走",0,IF(Q538="半黑",-0.5,-1)))))</x:f>
        <x:v>-1</x:v>
      </x:c>
      <x:c r="T538" s="604" t="inlineStr">
        <x:is>
          <x:t xml:space="preserve">https://m.titan007.com/analy/Analysis/2981489.htm</x:t>
        </x:is>
      </x:c>
      <x:c r="U538" s="645" t="str">
        <x:f>IF(Q538="","",IF(Q538="待结算","待结算",IF(Q538="红","黑",IF(Q538="半红","半黑",IF(Q538="走","走",IF(Q538="半黑","半红","红"))))))</x:f>
        <x:v>红</x:v>
      </x:c>
      <x:c r="V538" s="607" t="n">
        <x:f>IF(OR(Q538="",Q538="待结算"),"",IF(L538=LEFT(F538,FIND(" vs ",F538)-1),I538,G538))</x:f>
        <x:v>0.85</x:v>
      </x:c>
      <x:c r="W538" s="607" t="n">
        <x:f>IF(OR(U538="",U538="待结算"),"",IF(U538="红",V538,IF(U538="半红",V538*0.5,IF(U538="走",0,IF(U538="半黑",-0.5,-1)))))</x:f>
        <x:v>0.85</x:v>
      </x:c>
      <x:c r="X538" s="604" t="inlineStr">
        <x:is>
          <x:t xml:space="preserve">2981489</x:t>
        </x:is>
      </x:c>
      <x:c r="Y538" s="604" t="inlineStr">
        <x:is>
          <x:t xml:space="preserve">v4-market-dirichlet-20260913</x:t>
        </x:is>
      </x:c>
      <x:c r="Z538" s="604" t="inlineStr">
        <x:is>
          <x:t xml:space="preserve">prior-2026-09-29-v1</x:t>
        </x:is>
      </x:c>
      <x:c r="AA538" s="604" t="inlineStr">
        <x:is>
          <x:t xml:space="preserve">C</x:t>
        </x:is>
      </x:c>
      <x:c r="AB538" s="604" t="n">
        <x:v>0.4416666666666667</x:v>
      </x:c>
      <x:c r="AC538" s="604" t="n"/>
      <x:c r="AD538" s="604" t="n"/>
      <x:c r="AE538" s="604" t="n">
        <x:v>0.2583333333333334</x:v>
      </x:c>
      <x:c r="AF538" s="604" t="n">
        <x:v>0.3</x:v>
      </x:c>
      <x:c r="AG538" s="604" t="n">
        <x:v>0.03016666666666662</x:v>
      </x:c>
      <x:c r="AH538" s="604" t="n">
        <x:v>-0.109275798849355</x:v>
      </x:c>
      <x:c r="AI538" s="604" t="n">
        <x:v>-0.08057000354989635</x:v>
      </x:c>
      <x:c r="AJ538" s="604" t="n">
        <x:v>0.02848754833643857</x:v>
      </x:c>
      <x:c r="AK538" s="604" t="n">
        <x:v>0.1357742307197712</x:v>
      </x:c>
      <x:c r="AL538" s="604" t="n">
        <x:v>0.1676750855190196</x:v>
      </x:c>
      <x:c r="AM538" s="604" t="n">
        <x:v>0.6334</x:v>
      </x:c>
      <x:c r="AN538" s="604" t="inlineStr">
        <x:is>
          <x:t xml:space="preserve">EVALUATED</x:t>
        </x:is>
      </x:c>
      <x:c r="AO538" s="604" t="inlineStr">
        <x:is>
          <x:t xml:space="preserve">BUCKET_0.75、SIDE_IDENTITY_VALID、FLAT_LINE_GIVING_WATER_DROP</x:t>
        </x:is>
      </x:c>
      <x:c r="AP538" s="604" t="inlineStr">
        <x:is>
          <x:t xml:space="preserve">ade525eb6eb0124c3299</x:t>
        </x:is>
      </x:c>
      <x:c r="AQ538" s="604" t="n">
        <x:v>0.75</x:v>
      </x:c>
      <x:c r="AR538" s="604" t="n">
        <x:v>1.04</x:v>
      </x:c>
      <x:c r="AS538" s="604" t="n">
        <x:v>0.75</x:v>
      </x:c>
      <x:c r="AT538" s="604" t="n">
        <x:v>-0.75</x:v>
      </x:c>
      <x:c r="AU538" s="604" t="n">
        <x:v>0.85</x:v>
      </x:c>
      <x:c r="AV538" s="604" t="n">
        <x:v>1.04</x:v>
      </x:c>
      <x:c r="AW538" s="604" t="n">
        <x:v>46294.28273530093</x:v>
      </x:c>
      <x:c r="AX538" s="604" t="inlineStr">
        <x:is>
          <x:t xml:space="preserve">https://simondongxiao.github.io/odds/v4/</x:t>
        </x:is>
      </x:c>
      <x:c r="AY538" s="604" t="inlineStr">
        <x:is>
          <x:t xml:space="preserve">V4 Shadow Only；real_money=false；P(EV&gt;0)不是比赛胜率</x:t>
        </x:is>
      </x:c>
    </x:row>
    <x:row r="539" ht="22" customHeight="1">
      <x:c r="A539" s="604" t="inlineStr">
        <x:is>
          <x:t xml:space="preserve">2026-09-29</x:t>
        </x:is>
      </x:c>
      <x:c r="B539" s="604" t="inlineStr">
        <x:is>
          <x:t xml:space="preserve">2026-09-30 02:45</x:t>
        </x:is>
      </x:c>
      <x:c r="C539" s="604" t="str">
        <x:v>欧洲非五大系列</x:v>
      </x:c>
      <x:c r="D539" s="604" t="inlineStr">
        <x:is>
          <x:t xml:space="preserve">联赛</x:t>
        </x:is>
      </x:c>
      <x:c r="E539" s="604" t="inlineStr">
        <x:is>
          <x:t xml:space="preserve">欧国联</x:t>
        </x:is>
      </x:c>
      <x:c r="F539" s="604" t="inlineStr">
        <x:is>
          <x:t xml:space="preserve">圣马力诺 vs 阿尔巴尼亚</x:t>
        </x:is>
      </x:c>
      <x:c r="G539" s="611" t="n">
        <x:v>0.84</x:v>
      </x:c>
      <x:c r="H539" s="611" t="n">
        <x:v>-3</x:v>
      </x:c>
      <x:c r="I539" s="611" t="n">
        <x:v>1.05</x:v>
      </x:c>
      <x:c r="J539" s="611" t="inlineStr">
        <x:is>
          <x:t xml:space="preserve">0.84/-3/1.05</x:t>
        </x:is>
      </x:c>
      <x:c r="K539" s="604" t="inlineStr">
        <x:is>
          <x:t xml:space="preserve">V4-C｜EV +0.1643</x:t>
        </x:is>
      </x:c>
      <x:c r="L539" s="604" t="inlineStr">
        <x:is>
          <x:t xml:space="preserve">阿尔巴尼亚</x:t>
        </x:is>
      </x:c>
      <x:c r="M539" s="606" t="n">
        <x:v>0.6000000000000001</x:v>
      </x:c>
      <x:c r="N539" s="604" t="inlineStr">
        <x:is>
          <x:t xml:space="preserve">V4纸面入选-C</x:t>
        </x:is>
      </x:c>
      <x:c r="O539" s="604" t="inlineStr">
        <x:is>
          <x:t xml:space="preserve">0-3</x:t>
        </x:is>
      </x:c>
      <x:c r="P539" s="604" t="inlineStr">
        <x:is>
          <x:t xml:space="preserve">已结算</x:t>
        </x:is>
      </x:c>
      <x:c r="Q539" s="647" t="inlineStr">
        <x:is>
          <x:t xml:space="preserve">走</x:t>
        </x:is>
      </x:c>
      <x:c r="R539" s="607" t="n">
        <x:v>1.05</x:v>
      </x:c>
      <x:c r="S539" s="607" t="n">
        <x:f>IF(OR(Q539="",Q539="待结算"),"",IF(Q539="红",R539,IF(Q539="半红",R539*0.5,IF(Q539="走",0,IF(Q539="半黑",-0.5,-1)))))</x:f>
        <x:v>0</x:v>
      </x:c>
      <x:c r="T539" s="604" t="inlineStr">
        <x:is>
          <x:t xml:space="preserve">https://m.titan007.com/analy/Analysis/2981534.htm</x:t>
        </x:is>
      </x:c>
      <x:c r="U539" s="647" t="str">
        <x:f>IF(Q539="","",IF(Q539="待结算","待结算",IF(Q539="红","黑",IF(Q539="半红","半黑",IF(Q539="走","走",IF(Q539="半黑","半红","红"))))))</x:f>
        <x:v>走</x:v>
      </x:c>
      <x:c r="V539" s="607" t="n">
        <x:f>IF(OR(Q539="",Q539="待结算"),"",IF(L539=LEFT(F539,FIND(" vs ",F539)-1),I539,G539))</x:f>
        <x:v>0.84</x:v>
      </x:c>
      <x:c r="W539" s="607" t="n">
        <x:f>IF(OR(U539="",U539="待结算"),"",IF(U539="红",V539,IF(U539="半红",V539*0.5,IF(U539="走",0,IF(U539="半黑",-0.5,-1)))))</x:f>
        <x:v>0</x:v>
      </x:c>
      <x:c r="X539" s="604" t="inlineStr">
        <x:is>
          <x:t xml:space="preserve">2981534</x:t>
        </x:is>
      </x:c>
      <x:c r="Y539" s="604" t="inlineStr">
        <x:is>
          <x:t xml:space="preserve">v4-market-dirichlet-20260913</x:t>
        </x:is>
      </x:c>
      <x:c r="Z539" s="604" t="inlineStr">
        <x:is>
          <x:t xml:space="preserve">prior-2026-09-29-v1</x:t>
        </x:is>
      </x:c>
      <x:c r="AA539" s="604" t="inlineStr">
        <x:is>
          <x:t xml:space="preserve">C</x:t>
        </x:is>
      </x:c>
      <x:c r="AB539" s="604" t="n">
        <x:v>0.4285714285714285</x:v>
      </x:c>
      <x:c r="AC539" s="604" t="n"/>
      <x:c r="AD539" s="604" t="n">
        <x:v>0.2857142857142857</x:v>
      </x:c>
      <x:c r="AE539" s="604" t="n"/>
      <x:c r="AF539" s="604" t="n">
        <x:v>0.2857142857142857</x:v>
      </x:c>
      <x:c r="AG539" s="604" t="n">
        <x:v>0.1642857142857143</x:v>
      </x:c>
      <x:c r="AH539" s="604" t="n">
        <x:v>-0.3499981813772505</x:v>
      </x:c>
      <x:c r="AI539" s="604" t="n">
        <x:v>-0.2395659108383793</x:v>
      </x:c>
      <x:c r="AJ539" s="604" t="n">
        <x:v>0.174158266577328</x:v>
      </x:c>
      <x:c r="AK539" s="604" t="n">
        <x:v>0.5549317733929893</x:v>
      </x:c>
      <x:c r="AL539" s="604" t="n">
        <x:v>0.6588554188075613</x:v>
      </x:c>
      <x:c r="AM539" s="604" t="n">
        <x:v>0.7064</x:v>
      </x:c>
      <x:c r="AN539" s="604" t="inlineStr">
        <x:is>
          <x:t xml:space="preserve">EVALUATED</x:t>
        </x:is>
      </x:c>
      <x:c r="AO539" s="604" t="inlineStr">
        <x:is>
          <x:t xml:space="preserve">BUCKET_3.00、SIDE_IDENTITY_VALID、MARKET_MOVE_DEEPER_WITH_GIVING_WATER_RISE</x:t>
        </x:is>
      </x:c>
      <x:c r="AP539" s="604" t="inlineStr">
        <x:is>
          <x:t xml:space="preserve">7067852c65bbfe20e91a</x:t>
        </x:is>
      </x:c>
      <x:c r="AQ539" s="604" t="n">
        <x:v>-3</x:v>
      </x:c>
      <x:c r="AR539" s="604" t="n">
        <x:v>1.05</x:v>
      </x:c>
      <x:c r="AS539" s="604" t="n">
        <x:v>-3</x:v>
      </x:c>
      <x:c r="AT539" s="604" t="n">
        <x:v>3</x:v>
      </x:c>
      <x:c r="AU539" s="604" t="n">
        <x:v>0.84</x:v>
      </x:c>
      <x:c r="AV539" s="604" t="n">
        <x:v>1.05</x:v>
      </x:c>
      <x:c r="AW539" s="604" t="n">
        <x:v>46294.28273530093</x:v>
      </x:c>
      <x:c r="AX539" s="604" t="inlineStr">
        <x:is>
          <x:t xml:space="preserve">https://simondongxiao.github.io/odds/v4/</x:t>
        </x:is>
      </x:c>
      <x:c r="AY539" s="604" t="inlineStr">
        <x:is>
          <x:t xml:space="preserve">V4 Shadow Only；real_money=false；P(EV&gt;0)不是比赛胜率</x:t>
        </x:is>
      </x:c>
    </x:row>
    <x:row r="540" ht="22" customHeight="1">
      <x:c r="A540" s="604" t="inlineStr">
        <x:is>
          <x:t xml:space="preserve">2026-09-29</x:t>
        </x:is>
      </x:c>
      <x:c r="B540" s="604" t="inlineStr">
        <x:is>
          <x:t xml:space="preserve">2026-09-30 02:45</x:t>
        </x:is>
      </x:c>
      <x:c r="C540" s="604" t="str">
        <x:v>欧洲非五大系列</x:v>
      </x:c>
      <x:c r="D540" s="604" t="inlineStr">
        <x:is>
          <x:t xml:space="preserve">联赛</x:t>
        </x:is>
      </x:c>
      <x:c r="E540" s="604" t="inlineStr">
        <x:is>
          <x:t xml:space="preserve">威超</x:t>
        </x:is>
      </x:c>
      <x:c r="F540" s="604" t="inlineStr">
        <x:is>
          <x:t xml:space="preserve">卡迪夫都市大学 vs 西哈弗福德</x:t>
        </x:is>
      </x:c>
      <x:c r="G540" s="611" t="n">
        <x:v>0.71</x:v>
      </x:c>
      <x:c r="H540" s="611" t="n">
        <x:v>0.25</x:v>
      </x:c>
      <x:c r="I540" s="611" t="n">
        <x:v>1.14</x:v>
      </x:c>
      <x:c r="J540" s="611" t="inlineStr">
        <x:is>
          <x:t xml:space="preserve">0.71/0.25/1.14</x:t>
        </x:is>
      </x:c>
      <x:c r="K540" s="604" t="inlineStr">
        <x:is>
          <x:t xml:space="preserve">V4-B｜EV +0.0613</x:t>
        </x:is>
      </x:c>
      <x:c r="L540" s="604" t="inlineStr">
        <x:is>
          <x:t xml:space="preserve">西哈弗福德</x:t>
        </x:is>
      </x:c>
      <x:c r="M540" s="606" t="n">
        <x:v>0.5010224948875256</x:v>
      </x:c>
      <x:c r="N540" s="604" t="inlineStr">
        <x:is>
          <x:t xml:space="preserve">V4纸面入选-B</x:t>
        </x:is>
      </x:c>
      <x:c r="O540" s="604" t="inlineStr">
        <x:is>
          <x:t xml:space="preserve">1-0</x:t>
        </x:is>
      </x:c>
      <x:c r="P540" s="604" t="inlineStr">
        <x:is>
          <x:t xml:space="preserve">已结算</x:t>
        </x:is>
      </x:c>
      <x:c r="Q540" s="646" t="inlineStr">
        <x:is>
          <x:t xml:space="preserve">黑</x:t>
        </x:is>
      </x:c>
      <x:c r="R540" s="607" t="n">
        <x:v>1.14</x:v>
      </x:c>
      <x:c r="S540" s="607" t="n">
        <x:f>IF(OR(Q540="",Q540="待结算"),"",IF(Q540="红",R540,IF(Q540="半红",R540*0.5,IF(Q540="走",0,IF(Q540="半黑",-0.5,-1)))))</x:f>
        <x:v>-1</x:v>
      </x:c>
      <x:c r="T540" s="604" t="inlineStr">
        <x:is>
          <x:t xml:space="preserve">https://m.titan007.com/analy/Analysis/3019528.htm</x:t>
        </x:is>
      </x:c>
      <x:c r="U540" s="645" t="str">
        <x:f>IF(Q540="","",IF(Q540="待结算","待结算",IF(Q540="红","黑",IF(Q540="半红","半黑",IF(Q540="走","走",IF(Q540="半黑","半红","红"))))))</x:f>
        <x:v>红</x:v>
      </x:c>
      <x:c r="V540" s="607" t="n">
        <x:f>IF(OR(Q540="",Q540="待结算"),"",IF(L540=LEFT(F540,FIND(" vs ",F540)-1),I540,G540))</x:f>
        <x:v>0.71</x:v>
      </x:c>
      <x:c r="W540" s="607" t="n">
        <x:f>IF(OR(U540="",U540="待结算"),"",IF(U540="红",V540,IF(U540="半红",V540*0.5,IF(U540="走",0,IF(U540="半黑",-0.5,-1)))))</x:f>
        <x:v>0.71</x:v>
      </x:c>
      <x:c r="X540" s="604" t="inlineStr">
        <x:is>
          <x:t xml:space="preserve">3019528</x:t>
        </x:is>
      </x:c>
      <x:c r="Y540" s="604" t="inlineStr">
        <x:is>
          <x:t xml:space="preserve">v4-market-dirichlet-20260913</x:t>
        </x:is>
      </x:c>
      <x:c r="Z540" s="604" t="inlineStr">
        <x:is>
          <x:t xml:space="preserve">prior-2026-09-29-v1</x:t>
        </x:is>
      </x:c>
      <x:c r="AA540" s="604" t="inlineStr">
        <x:is>
          <x:t xml:space="preserve">B</x:t>
        </x:is>
      </x:c>
      <x:c r="AB540" s="604" t="n">
        <x:v>0.2743055555555556</x:v>
      </x:c>
      <x:c r="AC540" s="604" t="n">
        <x:v>0.3020833333333333</x:v>
      </x:c>
      <x:c r="AD540" s="604" t="n"/>
      <x:c r="AE540" s="604" t="n"/>
      <x:c r="AF540" s="604" t="n">
        <x:v>0.4236111111111111</x:v>
      </x:c>
      <x:c r="AG540" s="604" t="n">
        <x:v>0.0612847222222222</x:v>
      </x:c>
      <x:c r="AH540" s="604" t="n">
        <x:v>-0.02917404080552249</x:v>
      </x:c>
      <x:c r="AI540" s="604" t="n">
        <x:v>-0.01012283384456103</x:v>
      </x:c>
      <x:c r="AJ540" s="604" t="n">
        <x:v>0.06090010933387163</x:v>
      </x:c>
      <x:c r="AK540" s="604" t="n">
        <x:v>0.1320329415196195</x:v>
      </x:c>
      <x:c r="AL540" s="604" t="n">
        <x:v>0.1537535852102057</x:v>
      </x:c>
      <x:c r="AM540" s="604" t="n">
        <x:v>0.8658</x:v>
      </x:c>
      <x:c r="AN540" s="604" t="inlineStr">
        <x:is>
          <x:t xml:space="preserve">EVALUATED</x:t>
        </x:is>
      </x:c>
      <x:c r="AO540" s="604" t="inlineStr">
        <x:is>
          <x:t xml:space="preserve">BUCKET_0.25、SIDE_IDENTITY_VALID、FLAT_LINE_GIVING_WATER_DROP</x:t>
        </x:is>
      </x:c>
      <x:c r="AP540" s="604" t="inlineStr">
        <x:is>
          <x:t xml:space="preserve">4bf3febc370f375cba66</x:t>
        </x:is>
      </x:c>
      <x:c r="AQ540" s="604" t="n">
        <x:v>0.25</x:v>
      </x:c>
      <x:c r="AR540" s="604" t="n">
        <x:v>1.14</x:v>
      </x:c>
      <x:c r="AS540" s="604" t="n">
        <x:v>0.25</x:v>
      </x:c>
      <x:c r="AT540" s="604" t="n">
        <x:v>-0.25</x:v>
      </x:c>
      <x:c r="AU540" s="604" t="n">
        <x:v>0.71</x:v>
      </x:c>
      <x:c r="AV540" s="604" t="n">
        <x:v>1.14</x:v>
      </x:c>
      <x:c r="AW540" s="604" t="n">
        <x:v>46294.28273530093</x:v>
      </x:c>
      <x:c r="AX540" s="604" t="inlineStr">
        <x:is>
          <x:t xml:space="preserve">https://simondongxiao.github.io/odds/v4/</x:t>
        </x:is>
      </x:c>
      <x:c r="AY540" s="604" t="inlineStr">
        <x:is>
          <x:t xml:space="preserve">V4 Shadow Only；real_money=false；P(EV&gt;0)不是比赛胜率</x:t>
        </x:is>
      </x:c>
    </x:row>
    <x:row r="541" ht="22" customHeight="1">
      <x:c r="A541" s="604" t="inlineStr">
        <x:is>
          <x:t xml:space="preserve">2026-09-29</x:t>
        </x:is>
      </x:c>
      <x:c r="B541" s="604" t="inlineStr">
        <x:is>
          <x:t xml:space="preserve">2026-09-30 03:00</x:t>
        </x:is>
      </x:c>
      <x:c r="C541" s="604" t="str">
        <x:v>其他系列</x:v>
      </x:c>
      <x:c r="D541" s="604" t="inlineStr">
        <x:is>
          <x:t xml:space="preserve">杯赛</x:t>
        </x:is>
      </x:c>
      <x:c r="E541" s="604" t="inlineStr">
        <x:is>
          <x:t xml:space="preserve">非洲杯</x:t>
        </x:is>
      </x:c>
      <x:c r="F541" s="604" t="inlineStr">
        <x:is>
          <x:t xml:space="preserve">利比里亚 vs 马里</x:t>
        </x:is>
      </x:c>
      <x:c r="G541" s="611" t="n">
        <x:v>0.9399999999999999</x:v>
      </x:c>
      <x:c r="H541" s="611" t="n">
        <x:v>-1</x:v>
      </x:c>
      <x:c r="I541" s="611" t="n">
        <x:v>0.88</x:v>
      </x:c>
      <x:c r="J541" s="611" t="inlineStr">
        <x:is>
          <x:t xml:space="preserve">0.94/-1/0.88</x:t>
        </x:is>
      </x:c>
      <x:c r="K541" s="604" t="inlineStr">
        <x:is>
          <x:t xml:space="preserve">V4-C｜EV +0.0405</x:t>
        </x:is>
      </x:c>
      <x:c r="L541" s="604" t="inlineStr">
        <x:is>
          <x:t xml:space="preserve">利比里亚</x:t>
        </x:is>
      </x:c>
      <x:c r="M541" s="606" t="n">
        <x:v>0.5423728813559322</x:v>
      </x:c>
      <x:c r="N541" s="604" t="inlineStr">
        <x:is>
          <x:t xml:space="preserve">V4纸面入选-C</x:t>
        </x:is>
      </x:c>
      <x:c r="O541" s="604" t="inlineStr">
        <x:is>
          <x:t xml:space="preserve">0-1</x:t>
        </x:is>
      </x:c>
      <x:c r="P541" s="604" t="inlineStr">
        <x:is>
          <x:t xml:space="preserve">已结算</x:t>
        </x:is>
      </x:c>
      <x:c r="Q541" s="647" t="inlineStr">
        <x:is>
          <x:t xml:space="preserve">走</x:t>
        </x:is>
      </x:c>
      <x:c r="R541" s="607" t="n">
        <x:v>0.9399999999999999</x:v>
      </x:c>
      <x:c r="S541" s="607" t="n">
        <x:f>IF(OR(Q541="",Q541="待结算"),"",IF(Q541="红",R541,IF(Q541="半红",R541*0.5,IF(Q541="走",0,IF(Q541="半黑",-0.5,-1)))))</x:f>
        <x:v>0</x:v>
      </x:c>
      <x:c r="T541" s="604" t="inlineStr">
        <x:is>
          <x:t xml:space="preserve">https://m.titan007.com/analy/Analysis/3001119.htm</x:t>
        </x:is>
      </x:c>
      <x:c r="U541" s="647" t="str">
        <x:f>IF(Q541="","",IF(Q541="待结算","待结算",IF(Q541="红","黑",IF(Q541="半红","半黑",IF(Q541="走","走",IF(Q541="半黑","半红","红"))))))</x:f>
        <x:v>走</x:v>
      </x:c>
      <x:c r="V541" s="607" t="n">
        <x:f>IF(OR(Q541="",Q541="待结算"),"",IF(L541=LEFT(F541,FIND(" vs ",F541)-1),I541,G541))</x:f>
        <x:v>0.88</x:v>
      </x:c>
      <x:c r="W541" s="607" t="n">
        <x:f>IF(OR(U541="",U541="待结算"),"",IF(U541="红",V541,IF(U541="半红",V541*0.5,IF(U541="走",0,IF(U541="半黑",-0.5,-1)))))</x:f>
        <x:v>0</x:v>
      </x:c>
      <x:c r="X541" s="604" t="inlineStr">
        <x:is>
          <x:t xml:space="preserve">3001119</x:t>
        </x:is>
      </x:c>
      <x:c r="Y541" s="604" t="inlineStr">
        <x:is>
          <x:t xml:space="preserve">v4-market-dirichlet-20260913</x:t>
        </x:is>
      </x:c>
      <x:c r="Z541" s="604" t="inlineStr">
        <x:is>
          <x:t xml:space="preserve">prior-2026-09-29-v1</x:t>
        </x:is>
      </x:c>
      <x:c r="AA541" s="604" t="inlineStr">
        <x:is>
          <x:t xml:space="preserve">C</x:t>
        </x:is>
      </x:c>
      <x:c r="AB541" s="604" t="n">
        <x:v>0.4210526315789473</x:v>
      </x:c>
      <x:c r="AC541" s="604" t="n"/>
      <x:c r="AD541" s="604" t="n">
        <x:v>0.2236842105263158</x:v>
      </x:c>
      <x:c r="AE541" s="604" t="n"/>
      <x:c r="AF541" s="604" t="n">
        <x:v>0.3552631578947368</x:v>
      </x:c>
      <x:c r="AG541" s="604" t="n">
        <x:v>0.04052631578947363</x:v>
      </x:c>
      <x:c r="AH541" s="604" t="n">
        <x:v>-0.1220143967401844</x:v>
      </x:c>
      <x:c r="AI541" s="604" t="n">
        <x:v>-0.08487705207247553</x:v>
      </x:c>
      <x:c r="AJ541" s="604" t="n">
        <x:v>0.03976878550693924</x:v>
      </x:c>
      <x:c r="AK541" s="604" t="n">
        <x:v>0.1657591411474119</x:v>
      </x:c>
      <x:c r="AL541" s="604" t="n">
        <x:v>0.1951161632676689</x:v>
      </x:c>
      <x:c r="AM541" s="604" t="n">
        <x:v>0.654</x:v>
      </x:c>
      <x:c r="AN541" s="604" t="inlineStr">
        <x:is>
          <x:t xml:space="preserve">EVALUATED</x:t>
        </x:is>
      </x:c>
      <x:c r="AO541" s="604" t="inlineStr">
        <x:is>
          <x:t xml:space="preserve">BUCKET_1.00、SIDE_IDENTITY_VALID、FLAT_LINE_GIVING_WATER_RISE</x:t>
        </x:is>
      </x:c>
      <x:c r="AP541" s="604" t="inlineStr">
        <x:is>
          <x:t xml:space="preserve">c40754df091062dc5d2b</x:t>
        </x:is>
      </x:c>
      <x:c r="AQ541" s="604" t="n">
        <x:v>1</x:v>
      </x:c>
      <x:c r="AR541" s="604" t="n">
        <x:v>0.9399999999999999</x:v>
      </x:c>
      <x:c r="AS541" s="604" t="n">
        <x:v>-1</x:v>
      </x:c>
      <x:c r="AT541" s="604" t="n">
        <x:v>1</x:v>
      </x:c>
      <x:c r="AU541" s="604" t="n">
        <x:v>0.9399999999999999</x:v>
      </x:c>
      <x:c r="AV541" s="604" t="n">
        <x:v>0.88</x:v>
      </x:c>
      <x:c r="AW541" s="604" t="n">
        <x:v>46294.28273530093</x:v>
      </x:c>
      <x:c r="AX541" s="604" t="inlineStr">
        <x:is>
          <x:t xml:space="preserve">https://simondongxiao.github.io/odds/v4/</x:t>
        </x:is>
      </x:c>
      <x:c r="AY541" s="604" t="inlineStr">
        <x:is>
          <x:t xml:space="preserve">V4 Shadow Only；real_money=false；P(EV&gt;0)不是比赛胜率</x:t>
        </x:is>
      </x:c>
    </x:row>
    <x:row r="542" ht="22" customHeight="1">
      <x:c r="A542" s="604" t="inlineStr">
        <x:is>
          <x:t xml:space="preserve">2026-09-29</x:t>
        </x:is>
      </x:c>
      <x:c r="B542" s="604" t="inlineStr">
        <x:is>
          <x:t xml:space="preserve">2026-09-30 03:15</x:t>
        </x:is>
      </x:c>
      <x:c r="C542" s="604" t="str">
        <x:v>欧洲非五大系列</x:v>
      </x:c>
      <x:c r="D542" s="604" t="inlineStr">
        <x:is>
          <x:t xml:space="preserve">联赛</x:t>
        </x:is>
      </x:c>
      <x:c r="E542" s="604" t="inlineStr">
        <x:is>
          <x:t xml:space="preserve">葡U23</x:t>
        </x:is>
      </x:c>
      <x:c r="F542" s="604" t="inlineStr">
        <x:is>
          <x:t xml:space="preserve">里奥阿维U23 vs 彭拿费尔U23</x:t>
        </x:is>
      </x:c>
      <x:c r="G542" s="611" t="n">
        <x:v>0.75</x:v>
      </x:c>
      <x:c r="H542" s="611" t="n">
        <x:v>0.5</x:v>
      </x:c>
      <x:c r="I542" s="611" t="n">
        <x:v>1.07</x:v>
      </x:c>
      <x:c r="J542" s="611" t="inlineStr">
        <x:is>
          <x:t xml:space="preserve">0.75/0.5/1.07</x:t>
        </x:is>
      </x:c>
      <x:c r="K542" s="604" t="inlineStr">
        <x:is>
          <x:t xml:space="preserve">V4-C｜EV +0.0409</x:t>
        </x:is>
      </x:c>
      <x:c r="L542" s="604" t="inlineStr">
        <x:is>
          <x:t xml:space="preserve">彭拿费尔U23</x:t>
        </x:is>
      </x:c>
      <x:c r="M542" s="606" t="n">
        <x:v>0.5028571428571429</x:v>
      </x:c>
      <x:c r="N542" s="604" t="inlineStr">
        <x:is>
          <x:t xml:space="preserve">V4纸面入选-C</x:t>
        </x:is>
      </x:c>
      <x:c r="O542" s="604" t="inlineStr">
        <x:is>
          <x:t xml:space="preserve">1-0</x:t>
        </x:is>
      </x:c>
      <x:c r="P542" s="604" t="inlineStr">
        <x:is>
          <x:t xml:space="preserve">已结算</x:t>
        </x:is>
      </x:c>
      <x:c r="Q542" s="646" t="inlineStr">
        <x:is>
          <x:t xml:space="preserve">黑</x:t>
        </x:is>
      </x:c>
      <x:c r="R542" s="607" t="n">
        <x:v>1.07</x:v>
      </x:c>
      <x:c r="S542" s="607" t="n">
        <x:f>IF(OR(Q542="",Q542="待结算"),"",IF(Q542="红",R542,IF(Q542="半红",R542*0.5,IF(Q542="走",0,IF(Q542="半黑",-0.5,-1)))))</x:f>
        <x:v>-1</x:v>
      </x:c>
      <x:c r="T542" s="604" t="inlineStr">
        <x:is>
          <x:t xml:space="preserve">https://m.titan007.com/analy/Analysis/3056261.htm</x:t>
        </x:is>
      </x:c>
      <x:c r="U542" s="645" t="str">
        <x:f>IF(Q542="","",IF(Q542="待结算","待结算",IF(Q542="红","黑",IF(Q542="半红","半黑",IF(Q542="走","走",IF(Q542="半黑","半红","红"))))))</x:f>
        <x:v>红</x:v>
      </x:c>
      <x:c r="V542" s="607" t="n">
        <x:f>IF(OR(Q542="",Q542="待结算"),"",IF(L542=LEFT(F542,FIND(" vs ",F542)-1),I542,G542))</x:f>
        <x:v>0.75</x:v>
      </x:c>
      <x:c r="W542" s="607" t="n">
        <x:f>IF(OR(U542="",U542="待结算"),"",IF(U542="红",V542,IF(U542="半红",V542*0.5,IF(U542="走",0,IF(U542="半黑",-0.5,-1)))))</x:f>
        <x:v>0.75</x:v>
      </x:c>
      <x:c r="X542" s="604" t="inlineStr">
        <x:is>
          <x:t xml:space="preserve">3056261</x:t>
        </x:is>
      </x:c>
      <x:c r="Y542" s="604" t="inlineStr">
        <x:is>
          <x:t xml:space="preserve">v4-market-dirichlet-20260913</x:t>
        </x:is>
      </x:c>
      <x:c r="Z542" s="604" t="inlineStr">
        <x:is>
          <x:t xml:space="preserve">prior-2026-09-29-v1</x:t>
        </x:is>
      </x:c>
      <x:c r="AA542" s="604" t="inlineStr">
        <x:is>
          <x:t xml:space="preserve">C</x:t>
        </x:is>
      </x:c>
      <x:c r="AB542" s="604" t="n">
        <x:v>0.5028571428571429</x:v>
      </x:c>
      <x:c r="AC542" s="604" t="n"/>
      <x:c r="AD542" s="604" t="n"/>
      <x:c r="AE542" s="604" t="n"/>
      <x:c r="AF542" s="604" t="n">
        <x:v>0.4971428571428572</x:v>
      </x:c>
      <x:c r="AG542" s="604" t="n">
        <x:v>0.04091428571428574</x:v>
      </x:c>
      <x:c r="AH542" s="604" t="n">
        <x:v>-0.08783323155573119</x:v>
      </x:c>
      <x:c r="AI542" s="604" t="n">
        <x:v>-0.06010774698893295</x:v>
      </x:c>
      <x:c r="AJ542" s="604" t="n">
        <x:v>0.04039622949713845</x:v>
      </x:c>
      <x:c r="AK542" s="604" t="n">
        <x:v>0.143404904555491</x:v>
      </x:c>
      <x:c r="AL542" s="604" t="n">
        <x:v>0.1704644716483081</x:v>
      </x:c>
      <x:c r="AM542" s="604" t="n">
        <x:v>0.6972</x:v>
      </x:c>
      <x:c r="AN542" s="604" t="inlineStr">
        <x:is>
          <x:t xml:space="preserve">EVALUATED</x:t>
        </x:is>
      </x:c>
      <x:c r="AO542" s="604" t="inlineStr">
        <x:is>
          <x:t xml:space="preserve">BUCKET_0.50、SIDE_IDENTITY_VALID、FLAT_LINE_GIVING_WATER_DROP</x:t>
        </x:is>
      </x:c>
      <x:c r="AP542" s="604" t="inlineStr">
        <x:is>
          <x:t xml:space="preserve">36cf7a1a10df73461240</x:t>
        </x:is>
      </x:c>
      <x:c r="AQ542" s="604" t="n">
        <x:v>0.5</x:v>
      </x:c>
      <x:c r="AR542" s="604" t="n">
        <x:v>1.07</x:v>
      </x:c>
      <x:c r="AS542" s="604" t="n">
        <x:v>0.5</x:v>
      </x:c>
      <x:c r="AT542" s="604" t="n">
        <x:v>-0.5</x:v>
      </x:c>
      <x:c r="AU542" s="604" t="n">
        <x:v>0.75</x:v>
      </x:c>
      <x:c r="AV542" s="604" t="n">
        <x:v>1.07</x:v>
      </x:c>
      <x:c r="AW542" s="604" t="n">
        <x:v>46294.28273530093</x:v>
      </x:c>
      <x:c r="AX542" s="604" t="inlineStr">
        <x:is>
          <x:t xml:space="preserve">https://simondongxiao.github.io/odds/v4/</x:t>
        </x:is>
      </x:c>
      <x:c r="AY542" s="604" t="inlineStr">
        <x:is>
          <x:t xml:space="preserve">V4 Shadow Only；real_money=false；P(EV&gt;0)不是比赛胜率</x:t>
        </x:is>
      </x:c>
    </x:row>
    <x:row r="543" ht="22" customHeight="1">
      <x:c r="A543" s="604" t="inlineStr">
        <x:is>
          <x:t xml:space="preserve">2026-09-29</x:t>
        </x:is>
      </x:c>
      <x:c r="B543" s="604" t="inlineStr">
        <x:is>
          <x:t xml:space="preserve">2026-09-30 09:00</x:t>
        </x:is>
      </x:c>
      <x:c r="C543" s="604" t="str">
        <x:v>其他系列</x:v>
      </x:c>
      <x:c r="D543" s="604" t="inlineStr">
        <x:is>
          <x:t xml:space="preserve">联赛</x:t>
        </x:is>
      </x:c>
      <x:c r="E543" s="604" t="inlineStr">
        <x:is>
          <x:t xml:space="preserve">国际友谊</x:t>
        </x:is>
      </x:c>
      <x:c r="F543" s="604" t="inlineStr">
        <x:is>
          <x:t xml:space="preserve">墨西哥(中) vs 秘鲁</x:t>
        </x:is>
      </x:c>
      <x:c r="G543" s="611" t="n">
        <x:v>0.8</x:v>
      </x:c>
      <x:c r="H543" s="611" t="n">
        <x:v>1</x:v>
      </x:c>
      <x:c r="I543" s="611" t="n">
        <x:v>1.02</x:v>
      </x:c>
      <x:c r="J543" s="611" t="inlineStr">
        <x:is>
          <x:t xml:space="preserve">0.8/1/1.02</x:t>
        </x:is>
      </x:c>
      <x:c r="K543" s="604" t="inlineStr">
        <x:is>
          <x:t xml:space="preserve">V4-C｜EV +0.0742</x:t>
        </x:is>
      </x:c>
      <x:c r="L543" s="604" t="inlineStr">
        <x:is>
          <x:t xml:space="preserve">秘鲁</x:t>
        </x:is>
      </x:c>
      <x:c r="M543" s="606" t="n">
        <x:v>0.5423728813559322</x:v>
      </x:c>
      <x:c r="N543" s="604" t="inlineStr">
        <x:is>
          <x:t xml:space="preserve">V4纸面入选-C</x:t>
        </x:is>
      </x:c>
      <x:c r="O543" s="604" t="inlineStr">
        <x:is>
          <x:t xml:space="preserve">1-1</x:t>
        </x:is>
      </x:c>
      <x:c r="P543" s="604" t="inlineStr">
        <x:is>
          <x:t xml:space="preserve">已结算</x:t>
        </x:is>
      </x:c>
      <x:c r="Q543" s="604" t="inlineStr">
        <x:is>
          <x:t xml:space="preserve">红</x:t>
        </x:is>
      </x:c>
      <x:c r="R543" s="607" t="n">
        <x:v>1.02</x:v>
      </x:c>
      <x:c r="S543" s="607" t="n">
        <x:f>IF(OR(Q543="",Q543="待结算"),"",IF(Q543="红",R543,IF(Q543="半红",R543*0.5,IF(Q543="走",0,IF(Q543="半黑",-0.5,-1)))))</x:f>
        <x:v>1.02</x:v>
      </x:c>
      <x:c r="T543" s="604" t="inlineStr">
        <x:is>
          <x:t xml:space="preserve">https://m.titan007.com/analy/Analysis/3094999.htm</x:t>
        </x:is>
      </x:c>
      <x:c r="U543" s="604" t="str">
        <x:f>IF(Q543="","",IF(Q543="待结算","待结算",IF(Q543="红","黑",IF(Q543="半红","半黑",IF(Q543="走","走",IF(Q543="半黑","半红","红"))))))</x:f>
        <x:v>黑</x:v>
      </x:c>
      <x:c r="V543" s="607" t="n">
        <x:f>IF(OR(Q543="",Q543="待结算"),"",IF(L543=LEFT(F543,FIND(" vs ",F543)-1),I543,G543))</x:f>
        <x:v>0.8</x:v>
      </x:c>
      <x:c r="W543" s="607" t="n">
        <x:f>IF(OR(U543="",U543="待结算"),"",IF(U543="红",V543,IF(U543="半红",V543*0.5,IF(U543="走",0,IF(U543="半黑",-0.5,-1)))))</x:f>
        <x:v>-1</x:v>
      </x:c>
      <x:c r="X543" s="604" t="inlineStr">
        <x:is>
          <x:t xml:space="preserve">3094999</x:t>
        </x:is>
      </x:c>
      <x:c r="Y543" s="604" t="inlineStr">
        <x:is>
          <x:t xml:space="preserve">v4-market-dirichlet-20260913</x:t>
        </x:is>
      </x:c>
      <x:c r="Z543" s="604" t="inlineStr">
        <x:is>
          <x:t xml:space="preserve">prior-2026-09-29-v1</x:t>
        </x:is>
      </x:c>
      <x:c r="AA543" s="604" t="inlineStr">
        <x:is>
          <x:t xml:space="preserve">C</x:t>
        </x:is>
      </x:c>
      <x:c r="AB543" s="604" t="n">
        <x:v>0.4210526315789473</x:v>
      </x:c>
      <x:c r="AC543" s="604" t="n"/>
      <x:c r="AD543" s="604" t="n">
        <x:v>0.2236842105263158</x:v>
      </x:c>
      <x:c r="AE543" s="604" t="n"/>
      <x:c r="AF543" s="604" t="n">
        <x:v>0.3552631578947368</x:v>
      </x:c>
      <x:c r="AG543" s="604" t="n">
        <x:v>0.07421052631578945</x:v>
      </x:c>
      <x:c r="AH543" s="604" t="n">
        <x:v>-0.09018924312884191</x:v>
      </x:c>
      <x:c r="AI543" s="604" t="n">
        <x:v>-0.05483156620739277</x:v>
      </x:c>
      <x:c r="AJ543" s="604" t="n">
        <x:v>0.07440098568392967</x:v>
      </x:c>
      <x:c r="AK543" s="604" t="n">
        <x:v>0.203632587532507</x:v>
      </x:c>
      <x:c r="AL543" s="604" t="n">
        <x:v>0.2365536832061263</x:v>
      </x:c>
      <x:c r="AM543" s="604" t="n">
        <x:v>0.7788</x:v>
      </x:c>
      <x:c r="AN543" s="604" t="inlineStr">
        <x:is>
          <x:t xml:space="preserve">EVALUATED</x:t>
        </x:is>
      </x:c>
      <x:c r="AO543" s="604" t="inlineStr">
        <x:is>
          <x:t xml:space="preserve">BUCKET_1.00、SIDE_IDENTITY_VALID、FLAT_LINE_GIVING_WATER_DROP</x:t>
        </x:is>
      </x:c>
      <x:c r="AP543" s="604" t="inlineStr">
        <x:is>
          <x:t xml:space="preserve">84f09f59abcebe9833bb</x:t>
        </x:is>
      </x:c>
      <x:c r="AQ543" s="604" t="n">
        <x:v>1</x:v>
      </x:c>
      <x:c r="AR543" s="604" t="n">
        <x:v>1.02</x:v>
      </x:c>
      <x:c r="AS543" s="604" t="n">
        <x:v>1</x:v>
      </x:c>
      <x:c r="AT543" s="604" t="n">
        <x:v>-1</x:v>
      </x:c>
      <x:c r="AU543" s="604" t="n">
        <x:v>0.8</x:v>
      </x:c>
      <x:c r="AV543" s="604" t="n">
        <x:v>1.02</x:v>
      </x:c>
      <x:c r="AW543" s="604" t="n">
        <x:v>46294.28273530093</x:v>
      </x:c>
      <x:c r="AX543" s="604" t="inlineStr">
        <x:is>
          <x:t xml:space="preserve">https://simondongxiao.github.io/odds/v4/</x:t>
        </x:is>
      </x:c>
      <x:c r="AY543" s="604" t="inlineStr">
        <x:is>
          <x:t xml:space="preserve">V4 Shadow Only；real_money=false；P(EV&gt;0)不是比赛胜率</x:t>
        </x:is>
      </x:c>
    </x:row>
    <x:row r="544" ht="22" customHeight="1">
      <x:c r="A544" s="604" t="inlineStr">
        <x:is>
          <x:t xml:space="preserve">2026-09-30</x:t>
        </x:is>
      </x:c>
      <x:c r="B544" s="604" t="inlineStr">
        <x:is>
          <x:t xml:space="preserve">2026-09-30 12:00</x:t>
        </x:is>
      </x:c>
      <x:c r="C544" s="604" t="str">
        <x:v>其他系列</x:v>
      </x:c>
      <x:c r="D544" s="604" t="inlineStr">
        <x:is>
          <x:t xml:space="preserve">杯赛</x:t>
        </x:is>
      </x:c>
      <x:c r="E544" s="604" t="inlineStr">
        <x:is>
          <x:t xml:space="preserve">首相杯</x:t>
        </x:is>
      </x:c>
      <x:c r="F544" s="604" t="inlineStr">
        <x:is>
          <x:t xml:space="preserve">巴布亚新几内亚 vs 所罗门群岛</x:t>
        </x:is>
      </x:c>
      <x:c r="G544" s="604" t="n">
        <x:v>0.82</x:v>
      </x:c>
      <x:c r="H544" s="604" t="n">
        <x:v>-0.25</x:v>
      </x:c>
      <x:c r="I544" s="604" t="n">
        <x:v>1.06</x:v>
      </x:c>
      <x:c r="J544" s="604" t="inlineStr">
        <x:is>
          <x:t xml:space="preserve">0.82/-0.25/1.06</x:t>
        </x:is>
      </x:c>
      <x:c r="K544" s="604" t="inlineStr">
        <x:is>
          <x:t xml:space="preserve">V4-C｜EV +0.0237</x:t>
        </x:is>
      </x:c>
      <x:c r="L544" s="604" t="inlineStr">
        <x:is>
          <x:t xml:space="preserve">所罗门群岛</x:t>
        </x:is>
      </x:c>
      <x:c r="M544" s="604" t="n">
        <x:v>0.4989775051124744</x:v>
      </x:c>
      <x:c r="N544" s="604" t="inlineStr">
        <x:is>
          <x:t xml:space="preserve">V4纸面入选-C</x:t>
        </x:is>
      </x:c>
      <x:c r="O544" s="604" t="inlineStr">
        <x:is>
          <x:t xml:space="preserve">1-1</x:t>
        </x:is>
      </x:c>
      <x:c r="P544" s="604" t="inlineStr">
        <x:is>
          <x:t xml:space="preserve">已结算</x:t>
        </x:is>
      </x:c>
      <x:c r="Q544" s="648" t="inlineStr">
        <x:is>
          <x:t xml:space="preserve">半黑</x:t>
        </x:is>
      </x:c>
      <x:c r="R544" s="604" t="n">
        <x:v>1.06</x:v>
      </x:c>
      <x:c r="S544" s="604" t="n">
        <x:f>IF(OR(Q544="",Q544="待结算"),"",IF(Q544="红",R544,IF(Q544="半红",R544*0.5,IF(Q544="走",0,IF(Q544="半黑",-0.5,-1)))))</x:f>
        <x:v>-0.5</x:v>
      </x:c>
      <x:c r="T544" s="604" t="inlineStr">
        <x:is>
          <x:t xml:space="preserve">https://m.titan007.com/analy/Analysis/3089773.htm</x:t>
        </x:is>
      </x:c>
      <x:c r="U544" s="649" t="str">
        <x:f>IF(Q544="","",IF(Q544="待结算","待结算",IF(Q544="红","黑",IF(Q544="半红","半黑",IF(Q544="走","走",IF(Q544="半黑","半红","红"))))))</x:f>
        <x:v>半红</x:v>
      </x:c>
      <x:c r="V544" s="604" t="n">
        <x:f>IF(OR(Q544="",Q544="待结算"),"",IF(L544=LEFT(F544,FIND(" vs ",F544)-1),I544,G544))</x:f>
        <x:v>0.82</x:v>
      </x:c>
      <x:c r="W544" s="604" t="n">
        <x:f>IF(OR(U544="",U544="待结算"),"",IF(U544="红",V544,IF(U544="半红",V544*0.5,IF(U544="走",0,IF(U544="半黑",-0.5,-1)))))</x:f>
        <x:v>0.41</x:v>
      </x:c>
      <x:c r="X544" s="604" t="inlineStr">
        <x:is>
          <x:t xml:space="preserve">3089773</x:t>
        </x:is>
      </x:c>
      <x:c r="Y544" s="604" t="inlineStr">
        <x:is>
          <x:t xml:space="preserve">v4-market-dirichlet-20260913</x:t>
        </x:is>
      </x:c>
      <x:c r="Z544" s="604" t="inlineStr">
        <x:is>
          <x:t xml:space="preserve">prior-2026-09-30-v1</x:t>
        </x:is>
      </x:c>
      <x:c r="AA544" s="604" t="inlineStr">
        <x:is>
          <x:t xml:space="preserve">C</x:t>
        </x:is>
      </x:c>
      <x:c r="AB544" s="604" t="n">
        <x:v>0.4236111111111111</x:v>
      </x:c>
      <x:c r="AC544" s="604" t="n"/>
      <x:c r="AD544" s="604" t="n"/>
      <x:c r="AE544" s="604" t="n">
        <x:v>0.3020833333333333</x:v>
      </x:c>
      <x:c r="AF544" s="604" t="n">
        <x:v>0.2743055555555556</x:v>
      </x:c>
      <x:c r="AG544" s="604" t="n">
        <x:v>0.02368055555555559</x:v>
      </x:c>
      <x:c r="AH544" s="604" t="n">
        <x:v>-0.06505754824288448</x:v>
      </x:c>
      <x:c r="AI544" s="604" t="n">
        <x:v>-0.0432708439152118</x:v>
      </x:c>
      <x:c r="AJ544" s="604" t="n">
        <x:v>0.02418878888918685</x:v>
      </x:c>
      <x:c r="AK544" s="604" t="n">
        <x:v>0.09286235161427958</x:v>
      </x:c>
      <x:c r="AL544" s="604" t="n">
        <x:v>0.1118259026573979</x:v>
      </x:c>
      <x:c r="AM544" s="604" t="n">
        <x:v>0.6754</x:v>
      </x:c>
      <x:c r="AN544" s="604" t="inlineStr">
        <x:is>
          <x:t xml:space="preserve">FROZEN_PREMATCH_DECISION</x:t>
        </x:is>
      </x:c>
      <x:c r="AO544" s="604" t="inlineStr">
        <x:is>
          <x:t xml:space="preserve">STARTED_DECISION_LOCKED</x:t>
        </x:is>
      </x:c>
      <x:c r="AP544" s="604" t="inlineStr">
        <x:is>
          <x:t xml:space="preserve">ebfb4792fe7eee4dfe70</x:t>
        </x:is>
      </x:c>
      <x:c r="AQ544" s="604" t="n">
        <x:v>-0.25</x:v>
      </x:c>
      <x:c r="AR544" s="604" t="n">
        <x:v>1.06</x:v>
      </x:c>
      <x:c r="AS544" s="604" t="n">
        <x:v>-0.25</x:v>
      </x:c>
      <x:c r="AT544" s="604" t="n">
        <x:v>0.25</x:v>
      </x:c>
      <x:c r="AU544" s="604" t="n">
        <x:v>0.82</x:v>
      </x:c>
      <x:c r="AV544" s="604" t="n">
        <x:v>1.06</x:v>
      </x:c>
      <x:c r="AW544" s="604" t="n">
        <x:v>46295.03614729167</x:v>
      </x:c>
      <x:c r="AX544" s="604" t="inlineStr">
        <x:is>
          <x:t xml:space="preserve">https://simondongxiao.github.io/odds/v4/</x:t>
        </x:is>
      </x:c>
      <x:c r="AY544" s="604" t="inlineStr">
        <x:is>
          <x:t xml:space="preserve">V4 Shadow Only；real_money=false；P(EV&gt;0)不是比赛胜率</x:t>
        </x:is>
      </x:c>
    </x:row>
    <x:row r="545" ht="22" customHeight="1">
      <x:c r="A545" s="604" t="inlineStr">
        <x:is>
          <x:t xml:space="preserve">2026-09-30</x:t>
        </x:is>
      </x:c>
      <x:c r="B545" s="604" t="inlineStr">
        <x:is>
          <x:t xml:space="preserve">2026-09-30 15:30</x:t>
        </x:is>
      </x:c>
      <x:c r="C545" s="604" t="str">
        <x:v>其他系列</x:v>
      </x:c>
      <x:c r="D545" s="604" t="inlineStr">
        <x:is>
          <x:t xml:space="preserve">联赛</x:t>
        </x:is>
      </x:c>
      <x:c r="E545" s="604" t="inlineStr">
        <x:is>
          <x:t xml:space="preserve">球会友谊</x:t>
        </x:is>
      </x:c>
      <x:c r="F545" s="604" t="inlineStr">
        <x:is>
          <x:t xml:space="preserve">阿格斯 vs 切塔泰迪瓦</x:t>
        </x:is>
      </x:c>
      <x:c r="G545" s="604" t="n">
        <x:v>0.82</x:v>
      </x:c>
      <x:c r="H545" s="604" t="n">
        <x:v>2.25</x:v>
      </x:c>
      <x:c r="I545" s="604" t="n">
        <x:v>0.88</x:v>
      </x:c>
      <x:c r="J545" s="604" t="inlineStr">
        <x:is>
          <x:t xml:space="preserve">0.82/2.25/0.88</x:t>
        </x:is>
      </x:c>
      <x:c r="K545" s="604" t="inlineStr">
        <x:is>
          <x:t xml:space="preserve">V4-C｜EV +0.0211</x:t>
        </x:is>
      </x:c>
      <x:c r="L545" s="604" t="inlineStr">
        <x:is>
          <x:t xml:space="preserve">阿格斯</x:t>
        </x:is>
      </x:c>
      <x:c r="M545" s="604" t="n">
        <x:v>0.5625</x:v>
      </x:c>
      <x:c r="N545" s="604" t="inlineStr">
        <x:is>
          <x:t xml:space="preserve">V4纸面入选-C</x:t>
        </x:is>
      </x:c>
      <x:c r="O545" s="604" t="inlineStr">
        <x:is>
          <x:t xml:space="preserve">2-1</x:t>
        </x:is>
      </x:c>
      <x:c r="P545" s="604" t="inlineStr">
        <x:is>
          <x:t xml:space="preserve">已结算</x:t>
        </x:is>
      </x:c>
      <x:c r="Q545" s="646" t="inlineStr">
        <x:is>
          <x:t xml:space="preserve">黑</x:t>
        </x:is>
      </x:c>
      <x:c r="R545" s="604" t="n">
        <x:v>0.82</x:v>
      </x:c>
      <x:c r="S545" s="604" t="n">
        <x:f>IF(OR(Q545="",Q545="待结算"),"",IF(Q545="红",R545,IF(Q545="半红",R545*0.5,IF(Q545="走",0,IF(Q545="半黑",-0.5,-1)))))</x:f>
        <x:v>-1</x:v>
      </x:c>
      <x:c r="T545" s="604" t="inlineStr">
        <x:is>
          <x:t xml:space="preserve">https://m.titan007.com/analy/Analysis/3095434.htm</x:t>
        </x:is>
      </x:c>
      <x:c r="U545" s="645" t="str">
        <x:f>IF(Q545="","",IF(Q545="待结算","待结算",IF(Q545="红","黑",IF(Q545="半红","半黑",IF(Q545="走","走",IF(Q545="半黑","半红","红"))))))</x:f>
        <x:v>红</x:v>
      </x:c>
      <x:c r="V545" s="604" t="n">
        <x:f>IF(OR(Q545="",Q545="待结算"),"",IF(L545=LEFT(F545,FIND(" vs ",F545)-1),I545,G545))</x:f>
        <x:v>0.88</x:v>
      </x:c>
      <x:c r="W545" s="604" t="n">
        <x:f>IF(OR(U545="",U545="待结算"),"",IF(U545="红",V545,IF(U545="半红",V545*0.5,IF(U545="走",0,IF(U545="半黑",-0.5,-1)))))</x:f>
        <x:v>0.88</x:v>
      </x:c>
      <x:c r="X545" s="604" t="inlineStr">
        <x:is>
          <x:t xml:space="preserve">3095434</x:t>
        </x:is>
      </x:c>
      <x:c r="Y545" s="604" t="inlineStr">
        <x:is>
          <x:t xml:space="preserve">v4-market-dirichlet-20260913</x:t>
        </x:is>
      </x:c>
      <x:c r="Z545" s="604" t="inlineStr">
        <x:is>
          <x:t xml:space="preserve">prior-2026-09-30-v1</x:t>
        </x:is>
      </x:c>
      <x:c r="AA545" s="604" t="inlineStr">
        <x:is>
          <x:t xml:space="preserve">C</x:t>
        </x:is>
      </x:c>
      <x:c r="AB545" s="604" t="n">
        <x:v>0.5</x:v>
      </x:c>
      <x:c r="AC545" s="604" t="n"/>
      <x:c r="AD545" s="604" t="n"/>
      <x:c r="AE545" s="604" t="n">
        <x:v>0.2222222222222222</x:v>
      </x:c>
      <x:c r="AF545" s="604" t="n">
        <x:v>0.2777777777777778</x:v>
      </x:c>
      <x:c r="AG545" s="604" t="n">
        <x:v>0.02111111111111108</x:v>
      </x:c>
      <x:c r="AH545" s="604" t="n">
        <x:v>-0.2949487417714327</x:v>
      </x:c>
      <x:c r="AI545" s="604" t="n">
        <x:v>-0.222193562656387</x:v>
      </x:c>
      <x:c r="AJ545" s="604" t="n">
        <x:v>0.0279519745728081</x:v>
      </x:c>
      <x:c r="AK545" s="604" t="n">
        <x:v>0.268685845894518</x:v>
      </x:c>
      <x:c r="AL545" s="604" t="n">
        <x:v>0.3284031771098752</x:v>
      </x:c>
      <x:c r="AM545" s="604" t="n">
        <x:v>0.5528</x:v>
      </x:c>
      <x:c r="AN545" s="604" t="inlineStr">
        <x:is>
          <x:t xml:space="preserve">FROZEN_PREMATCH_DECISION</x:t>
        </x:is>
      </x:c>
      <x:c r="AO545" s="604" t="inlineStr">
        <x:is>
          <x:t xml:space="preserve">STARTED_DECISION_LOCKED</x:t>
        </x:is>
      </x:c>
      <x:c r="AP545" s="604" t="inlineStr">
        <x:is>
          <x:t xml:space="preserve">03b4352718b77178aa9f</x:t>
        </x:is>
      </x:c>
      <x:c r="AQ545" s="604" t="n">
        <x:v>-2.25</x:v>
      </x:c>
      <x:c r="AR545" s="604" t="n">
        <x:v>0.82</x:v>
      </x:c>
      <x:c r="AS545" s="604" t="n">
        <x:v>2.25</x:v>
      </x:c>
      <x:c r="AT545" s="604" t="n">
        <x:v>-2.25</x:v>
      </x:c>
      <x:c r="AU545" s="604" t="n">
        <x:v>0.82</x:v>
      </x:c>
      <x:c r="AV545" s="604" t="n">
        <x:v>0.88</x:v>
      </x:c>
      <x:c r="AW545" s="604" t="n">
        <x:v>46295.2999262963</x:v>
      </x:c>
      <x:c r="AX545" s="604" t="inlineStr">
        <x:is>
          <x:t xml:space="preserve">https://simondongxiao.github.io/odds/v4/</x:t>
        </x:is>
      </x:c>
      <x:c r="AY545" s="604" t="inlineStr">
        <x:is>
          <x:t xml:space="preserve">V4 Shadow Only；real_money=false；P(EV&gt;0)不是比赛胜率</x:t>
        </x:is>
      </x:c>
    </x:row>
    <x:row r="546" ht="22" customHeight="1">
      <x:c r="A546" s="604" t="inlineStr">
        <x:is>
          <x:t xml:space="preserve">2026-09-30</x:t>
        </x:is>
      </x:c>
      <x:c r="B546" s="604" t="inlineStr">
        <x:is>
          <x:t xml:space="preserve">2026-09-30 17:00</x:t>
        </x:is>
      </x:c>
      <x:c r="C546" s="604" t="str">
        <x:v>其他系列</x:v>
      </x:c>
      <x:c r="D546" s="604" t="inlineStr">
        <x:is>
          <x:t xml:space="preserve">杯赛</x:t>
        </x:is>
      </x:c>
      <x:c r="E546" s="604" t="inlineStr">
        <x:is>
          <x:t xml:space="preserve">东盟杯</x:t>
        </x:is>
      </x:c>
      <x:c r="F546" s="604" t="inlineStr">
        <x:is>
          <x:t xml:space="preserve">东帝汶(中) vs 柬埔寨</x:t>
        </x:is>
      </x:c>
      <x:c r="G546" s="604" t="n">
        <x:v>0.99</x:v>
      </x:c>
      <x:c r="H546" s="604" t="n">
        <x:v>-1.25</x:v>
      </x:c>
      <x:c r="I546" s="604" t="n">
        <x:v>0.77</x:v>
      </x:c>
      <x:c r="J546" s="604" t="inlineStr">
        <x:is>
          <x:t xml:space="preserve">0.99/-1.25/0.77</x:t>
        </x:is>
      </x:c>
      <x:c r="K546" s="604" t="inlineStr">
        <x:is>
          <x:t xml:space="preserve">V4-C｜EV +0.0596</x:t>
        </x:is>
      </x:c>
      <x:c r="L546" s="604" t="inlineStr">
        <x:is>
          <x:t xml:space="preserve">柬埔寨</x:t>
        </x:is>
      </x:c>
      <x:c r="M546" s="604" t="n">
        <x:v>0.6033387369199219</x:v>
      </x:c>
      <x:c r="N546" s="604" t="inlineStr">
        <x:is>
          <x:t xml:space="preserve">V4纸面入选-C</x:t>
        </x:is>
      </x:c>
      <x:c r="O546" s="604" t="inlineStr">
        <x:is>
          <x:t xml:space="preserve">2-2</x:t>
        </x:is>
      </x:c>
      <x:c r="P546" s="604" t="inlineStr">
        <x:is>
          <x:t xml:space="preserve">已结算</x:t>
        </x:is>
      </x:c>
      <x:c r="Q546" s="646" t="inlineStr">
        <x:is>
          <x:t xml:space="preserve">黑</x:t>
        </x:is>
      </x:c>
      <x:c r="R546" s="604" t="n">
        <x:v>0.77</x:v>
      </x:c>
      <x:c r="S546" s="604" t="n">
        <x:f>IF(OR(Q546="",Q546="待结算"),"",IF(Q546="红",R546,IF(Q546="半红",R546*0.5,IF(Q546="走",0,IF(Q546="半黑",-0.5,-1)))))</x:f>
        <x:v>-1</x:v>
      </x:c>
      <x:c r="T546" s="604" t="inlineStr">
        <x:is>
          <x:t xml:space="preserve">https://m.titan007.com/analy/Analysis/3088956.htm</x:t>
        </x:is>
      </x:c>
      <x:c r="U546" s="645" t="str">
        <x:f>IF(Q546="","",IF(Q546="待结算","待结算",IF(Q546="红","黑",IF(Q546="半红","半黑",IF(Q546="走","走",IF(Q546="半黑","半红","红"))))))</x:f>
        <x:v>红</x:v>
      </x:c>
      <x:c r="V546" s="604" t="n">
        <x:f>IF(OR(Q546="",Q546="待结算"),"",IF(L546=LEFT(F546,FIND(" vs ",F546)-1),I546,G546))</x:f>
        <x:v>0.99</x:v>
      </x:c>
      <x:c r="W546" s="604" t="n">
        <x:f>IF(OR(U546="",U546="待结算"),"",IF(U546="红",V546,IF(U546="半红",V546*0.5,IF(U546="走",0,IF(U546="半黑",-0.5,-1)))))</x:f>
        <x:v>0.99</x:v>
      </x:c>
      <x:c r="X546" s="604" t="inlineStr">
        <x:is>
          <x:t xml:space="preserve">3088956</x:t>
        </x:is>
      </x:c>
      <x:c r="Y546" s="604" t="inlineStr">
        <x:is>
          <x:t xml:space="preserve">V4</x:t>
        </x:is>
      </x:c>
      <x:c r="Z546" s="604" t="inlineStr">
        <x:is>
          <x:t xml:space="preserve">prior-2026-09-30-v1</x:t>
        </x:is>
      </x:c>
      <x:c r="AA546" s="604" t="inlineStr">
        <x:is>
          <x:t xml:space="preserve">C</x:t>
        </x:is>
      </x:c>
      <x:c r="AB546" s="604" t="n">
        <x:v>0.5294534794969641</x:v>
      </x:c>
      <x:c r="AC546" s="604" t="n"/>
      <x:c r="AD546" s="604" t="n"/>
      <x:c r="AE546" s="604" t="n">
        <x:v>0.2449213117001115</x:v>
      </x:c>
      <x:c r="AF546" s="604" t="n">
        <x:v>0.2256252088029244</x:v>
      </x:c>
      <x:c r="AG546" s="604" t="n">
        <x:v>0.05959331455968214</x:v>
      </x:c>
      <x:c r="AH546" s="604" t="n"/>
      <x:c r="AI546" s="604" t="n"/>
      <x:c r="AJ546" s="604" t="n">
        <x:v>0.05959331455968214</x:v>
      </x:c>
      <x:c r="AK546" s="604" t="n"/>
      <x:c r="AL546" s="604" t="n"/>
      <x:c r="AM546" s="604" t="n"/>
      <x:c r="AN546" s="604" t="inlineStr">
        <x:is>
          <x:t xml:space="preserve">FROZEN_PREMATCH_DECISION</x:t>
        </x:is>
      </x:c>
      <x:c r="AO546" s="604" t="inlineStr">
        <x:is>
          <x:t xml:space="preserve">STARTED_DECISION_LOCKED</x:t>
        </x:is>
      </x:c>
      <x:c r="AP546" s="604" t="inlineStr">
        <x:is>
          <x:t xml:space="preserve">b48c8e8637440748cb48</x:t>
        </x:is>
      </x:c>
      <x:c r="AQ546" s="604" t="n">
        <x:v>-1.25</x:v>
      </x:c>
      <x:c r="AR546" s="604" t="n">
        <x:v>0.77</x:v>
      </x:c>
      <x:c r="AS546" s="604" t="n">
        <x:v>-1.25</x:v>
      </x:c>
      <x:c r="AT546" s="604" t="n">
        <x:v>1.25</x:v>
      </x:c>
      <x:c r="AU546" s="604" t="n">
        <x:v>0.99</x:v>
      </x:c>
      <x:c r="AV546" s="604" t="n">
        <x:v>0.77</x:v>
      </x:c>
      <x:c r="AW546" s="604" t="n">
        <x:v>46295.35942694444</x:v>
      </x:c>
      <x:c r="AX546" s="604" t="inlineStr">
        <x:is>
          <x:t xml:space="preserve">https://simondongxiao.github.io/odds/v4/</x:t>
        </x:is>
      </x:c>
      <x:c r="AY546" s="604" t="inlineStr">
        <x:is>
          <x:t xml:space="preserve">V4 Shadow Only；real_money=false；P(EV&gt;0)不是比赛胜率</x:t>
        </x:is>
      </x:c>
    </x:row>
    <x:row r="547" ht="22" customHeight="1">
      <x:c r="A547" s="604" t="inlineStr">
        <x:is>
          <x:t xml:space="preserve">2026-09-30</x:t>
        </x:is>
      </x:c>
      <x:c r="B547" s="604" t="inlineStr">
        <x:is>
          <x:t xml:space="preserve">2026-09-30 17:00</x:t>
        </x:is>
      </x:c>
      <x:c r="C547" s="604" t="str">
        <x:v>其他系列</x:v>
      </x:c>
      <x:c r="D547" s="604" t="inlineStr">
        <x:is>
          <x:t xml:space="preserve">联赛</x:t>
        </x:is>
      </x:c>
      <x:c r="E547" s="604" t="inlineStr">
        <x:is>
          <x:t xml:space="preserve">国际友谊</x:t>
        </x:is>
      </x:c>
      <x:c r="F547" s="604" t="inlineStr">
        <x:is>
          <x:t xml:space="preserve">芬兰U19 vs 德国U19</x:t>
        </x:is>
      </x:c>
      <x:c r="G547" s="604" t="n">
        <x:v>1</x:v>
      </x:c>
      <x:c r="H547" s="604" t="n">
        <x:v>0</x:v>
      </x:c>
      <x:c r="I547" s="604" t="n">
        <x:v>0.82</x:v>
      </x:c>
      <x:c r="J547" s="604" t="inlineStr">
        <x:is>
          <x:t xml:space="preserve">1/0/0.82</x:t>
        </x:is>
      </x:c>
      <x:c r="K547" s="604" t="inlineStr">
        <x:is>
          <x:t xml:space="preserve">V4-C｜EV +0.0382</x:t>
        </x:is>
      </x:c>
      <x:c r="L547" s="604" t="str"/>
      <x:c r="M547" s="604" t="n">
        <x:v>0.5733967783143257</x:v>
      </x:c>
      <x:c r="N547" s="604" t="inlineStr">
        <x:is>
          <x:t xml:space="preserve">V4纸面入选-C</x:t>
        </x:is>
      </x:c>
      <x:c r="O547" s="604" t="inlineStr">
        <x:is>
          <x:t xml:space="preserve">1-2</x:t>
        </x:is>
      </x:c>
      <x:c r="P547" s="604" t="inlineStr">
        <x:is>
          <x:t xml:space="preserve">已结算</x:t>
        </x:is>
      </x:c>
      <x:c r="Q547" s="646" t="inlineStr">
        <x:is>
          <x:t xml:space="preserve">黑</x:t>
        </x:is>
      </x:c>
      <x:c r="R547" s="604" t="n">
        <x:v>0.82</x:v>
      </x:c>
      <x:c r="S547" s="604" t="n">
        <x:f>IF(OR(Q547="",Q547="待结算"),"",IF(Q547="红",R547,IF(Q547="半红",R547*0.5,IF(Q547="走",0,IF(Q547="半黑",-0.5,-1)))))</x:f>
        <x:v>-1</x:v>
      </x:c>
      <x:c r="T547" s="604" t="inlineStr">
        <x:is>
          <x:t xml:space="preserve">https://m.titan007.com/analy/Analysis/3095002.htm</x:t>
        </x:is>
      </x:c>
      <x:c r="U547" s="645" t="str">
        <x:f>IF(Q547="","",IF(Q547="待结算","待结算",IF(Q547="红","黑",IF(Q547="半红","半黑",IF(Q547="走","走",IF(Q547="半黑","半红","红"))))))</x:f>
        <x:v>红</x:v>
      </x:c>
      <x:c r="V547" s="604" t="n">
        <x:f>IF(OR(Q547="",Q547="待结算"),"",IF(L547=LEFT(F547,FIND(" vs ",F547)-1),I547,G547))</x:f>
        <x:v>1</x:v>
      </x:c>
      <x:c r="W547" s="604" t="n">
        <x:f>IF(OR(U547="",U547="待结算"),"",IF(U547="红",V547,IF(U547="半红",V547*0.5,IF(U547="走",0,IF(U547="半黑",-0.5,-1)))))</x:f>
        <x:v>1</x:v>
      </x:c>
      <x:c r="X547" s="604" t="inlineStr">
        <x:is>
          <x:t xml:space="preserve">3095002</x:t>
        </x:is>
      </x:c>
      <x:c r="Y547" s="604" t="inlineStr">
        <x:is>
          <x:t xml:space="preserve">V4</x:t>
        </x:is>
      </x:c>
      <x:c r="Z547" s="604" t="inlineStr">
        <x:is>
          <x:t xml:space="preserve">prior-2026-09-30-v1</x:t>
        </x:is>
      </x:c>
      <x:c r="AA547" s="604" t="inlineStr">
        <x:is>
          <x:t xml:space="preserve">C</x:t>
        </x:is>
      </x:c>
      <x:c r="AB547" s="604" t="n">
        <x:v>0.5020951143671559</x:v>
      </x:c>
      <x:c r="AC547" s="604" t="n"/>
      <x:c r="AD547" s="604" t="n"/>
      <x:c r="AE547" s="604" t="n">
        <x:v>0.2486992136816067</x:v>
      </x:c>
      <x:c r="AF547" s="604" t="n">
        <x:v>0.2492056719512374</x:v>
      </x:c>
      <x:c r="AG547" s="604" t="n">
        <x:v>0.03816271498902715</x:v>
      </x:c>
      <x:c r="AH547" s="604" t="n"/>
      <x:c r="AI547" s="604" t="n"/>
      <x:c r="AJ547" s="604" t="n">
        <x:v>0.03816271498902715</x:v>
      </x:c>
      <x:c r="AK547" s="604" t="n"/>
      <x:c r="AL547" s="604" t="n"/>
      <x:c r="AM547" s="604" t="n"/>
      <x:c r="AN547" s="604" t="inlineStr">
        <x:is>
          <x:t xml:space="preserve">FROZEN_PREMATCH_DECISION</x:t>
        </x:is>
      </x:c>
      <x:c r="AO547" s="604" t="inlineStr">
        <x:is>
          <x:t xml:space="preserve">STARTED_DECISION_LOCKED</x:t>
        </x:is>
      </x:c>
      <x:c r="AP547" s="604" t="inlineStr">
        <x:is>
          <x:t xml:space="preserve">70e9817ca8fdad5f8bd6</x:t>
        </x:is>
      </x:c>
      <x:c r="AQ547" s="604" t="n">
        <x:v>0</x:v>
      </x:c>
      <x:c r="AR547" s="604" t="n"/>
      <x:c r="AS547" s="604" t="n">
        <x:v>0</x:v>
      </x:c>
      <x:c r="AT547" s="604" t="n">
        <x:v>0</x:v>
      </x:c>
      <x:c r="AU547" s="604" t="n">
        <x:v>1</x:v>
      </x:c>
      <x:c r="AV547" s="604" t="n">
        <x:v>0.82</x:v>
      </x:c>
      <x:c r="AW547" s="604" t="n">
        <x:v>46295.35942694444</x:v>
      </x:c>
      <x:c r="AX547" s="604" t="inlineStr">
        <x:is>
          <x:t xml:space="preserve">https://simondongxiao.github.io/odds/v4/</x:t>
        </x:is>
      </x:c>
      <x:c r="AY547" s="604" t="inlineStr">
        <x:is>
          <x:t xml:space="preserve">V4 Shadow Only；real_money=false；P(EV&gt;0)不是比赛胜率</x:t>
        </x:is>
      </x:c>
    </x:row>
    <x:row r="548" ht="22" customHeight="1">
      <x:c r="A548" s="604" t="inlineStr">
        <x:is>
          <x:t xml:space="preserve">2026-09-30</x:t>
        </x:is>
      </x:c>
      <x:c r="B548" s="604" t="inlineStr">
        <x:is>
          <x:t xml:space="preserve">2026-09-30 18:30</x:t>
        </x:is>
      </x:c>
      <x:c r="C548" s="604" t="str">
        <x:v>其他系列</x:v>
      </x:c>
      <x:c r="D548" s="604" t="inlineStr">
        <x:is>
          <x:t xml:space="preserve">联赛</x:t>
        </x:is>
      </x:c>
      <x:c r="E548" s="604" t="inlineStr">
        <x:is>
          <x:t xml:space="preserve">亚运男足</x:t>
        </x:is>
      </x:c>
      <x:c r="F548" s="604" t="inlineStr">
        <x:is>
          <x:t xml:space="preserve">乌兹别克斯坦U23(中) vs 日本U23</x:t>
        </x:is>
      </x:c>
      <x:c r="G548" s="604" t="n">
        <x:v>0.96</x:v>
      </x:c>
      <x:c r="H548" s="604" t="n">
        <x:v>-1</x:v>
      </x:c>
      <x:c r="I548" s="604" t="n">
        <x:v>0.86</x:v>
      </x:c>
      <x:c r="J548" s="604" t="inlineStr">
        <x:is>
          <x:t xml:space="preserve">0.96/-1/0.86</x:t>
        </x:is>
      </x:c>
      <x:c r="K548" s="604" t="inlineStr">
        <x:is>
          <x:t xml:space="preserve">V4-B｜EV +0.2490</x:t>
        </x:is>
      </x:c>
      <x:c r="L548" s="604" t="inlineStr">
        <x:is>
          <x:t xml:space="preserve">日本U23</x:t>
        </x:is>
      </x:c>
      <x:c r="M548" s="604" t="n">
        <x:v>0.7150876198820564</x:v>
      </x:c>
      <x:c r="N548" s="604" t="inlineStr">
        <x:is>
          <x:t xml:space="preserve">V4纸面入选-B</x:t>
        </x:is>
      </x:c>
      <x:c r="O548" s="604" t="inlineStr">
        <x:is>
          <x:t xml:space="preserve">1-1</x:t>
        </x:is>
      </x:c>
      <x:c r="P548" s="604" t="inlineStr">
        <x:is>
          <x:t xml:space="preserve">已结算</x:t>
        </x:is>
      </x:c>
      <x:c r="Q548" s="646" t="inlineStr">
        <x:is>
          <x:t xml:space="preserve">黑</x:t>
        </x:is>
      </x:c>
      <x:c r="R548" s="604" t="n">
        <x:v>0.86</x:v>
      </x:c>
      <x:c r="S548" s="604" t="n">
        <x:f>IF(OR(Q548="",Q548="待结算"),"",IF(Q548="红",R548,IF(Q548="半红",R548*0.5,IF(Q548="走",0,IF(Q548="半黑",-0.5,-1)))))</x:f>
        <x:v>-1</x:v>
      </x:c>
      <x:c r="T548" s="604" t="inlineStr">
        <x:is>
          <x:t xml:space="preserve">https://m.titan007.com/analy/Analysis/3095760.htm</x:t>
        </x:is>
      </x:c>
      <x:c r="U548" s="645" t="str">
        <x:f>IF(Q548="","",IF(Q548="待结算","待结算",IF(Q548="红","黑",IF(Q548="半红","半黑",IF(Q548="走","走",IF(Q548="半黑","半红","红"))))))</x:f>
        <x:v>红</x:v>
      </x:c>
      <x:c r="V548" s="604" t="n">
        <x:f>IF(OR(Q548="",Q548="待结算"),"",IF(L548=LEFT(F548,FIND(" vs ",F548)-1),I548,G548))</x:f>
        <x:v>0.96</x:v>
      </x:c>
      <x:c r="W548" s="604" t="n">
        <x:f>IF(OR(U548="",U548="待结算"),"",IF(U548="红",V548,IF(U548="半红",V548*0.5,IF(U548="走",0,IF(U548="半黑",-0.5,-1)))))</x:f>
        <x:v>0.96</x:v>
      </x:c>
      <x:c r="X548" s="604" t="inlineStr">
        <x:is>
          <x:t xml:space="preserve">3095760</x:t>
        </x:is>
      </x:c>
      <x:c r="Y548" s="604" t="inlineStr">
        <x:is>
          <x:t xml:space="preserve">V4</x:t>
        </x:is>
      </x:c>
      <x:c r="Z548" s="604" t="inlineStr">
        <x:is>
          <x:t xml:space="preserve">prior-2026-09-30-v1</x:t>
        </x:is>
      </x:c>
      <x:c r="AA548" s="604" t="inlineStr">
        <x:is>
          <x:t xml:space="preserve">B</x:t>
        </x:is>
      </x:c>
      <x:c r="AB548" s="604" t="n">
        <x:v>0.5394045763508223</x:v>
      </x:c>
      <x:c r="AC548" s="604" t="n"/>
      <x:c r="AD548" s="604" t="n">
        <x:v>0.24568044341225</x:v>
      </x:c>
      <x:c r="AE548" s="604" t="n"/>
      <x:c r="AF548" s="604" t="n">
        <x:v>0.2149149802369277</x:v>
      </x:c>
      <x:c r="AG548" s="604" t="n">
        <x:v>0.2489729554247795</x:v>
      </x:c>
      <x:c r="AH548" s="604" t="n"/>
      <x:c r="AI548" s="604" t="n"/>
      <x:c r="AJ548" s="604" t="n">
        <x:v>0.2489729554247795</x:v>
      </x:c>
      <x:c r="AK548" s="604" t="n"/>
      <x:c r="AL548" s="604" t="n"/>
      <x:c r="AM548" s="604" t="n"/>
      <x:c r="AN548" s="604" t="inlineStr">
        <x:is>
          <x:t xml:space="preserve">FROZEN_PREMATCH_DECISION</x:t>
        </x:is>
      </x:c>
      <x:c r="AO548" s="604" t="inlineStr">
        <x:is>
          <x:t xml:space="preserve">STARTED_DECISION_LOCKED</x:t>
        </x:is>
      </x:c>
      <x:c r="AP548" s="604" t="inlineStr">
        <x:is>
          <x:t xml:space="preserve">f236e2c61ad933545fdb</x:t>
        </x:is>
      </x:c>
      <x:c r="AQ548" s="604" t="n">
        <x:v>-1</x:v>
      </x:c>
      <x:c r="AR548" s="604" t="n">
        <x:v>0.86</x:v>
      </x:c>
      <x:c r="AS548" s="604" t="n">
        <x:v>-1</x:v>
      </x:c>
      <x:c r="AT548" s="604" t="n">
        <x:v>1</x:v>
      </x:c>
      <x:c r="AU548" s="604" t="n">
        <x:v>0.96</x:v>
      </x:c>
      <x:c r="AV548" s="604" t="n">
        <x:v>0.86</x:v>
      </x:c>
      <x:c r="AW548" s="604" t="n">
        <x:v>46295.35942694444</x:v>
      </x:c>
      <x:c r="AX548" s="604" t="inlineStr">
        <x:is>
          <x:t xml:space="preserve">https://simondongxiao.github.io/odds/v4/</x:t>
        </x:is>
      </x:c>
      <x:c r="AY548" s="604" t="inlineStr">
        <x:is>
          <x:t xml:space="preserve">V4 Shadow Only；real_money=false；P(EV&gt;0)不是比赛胜率</x:t>
        </x:is>
      </x:c>
    </x:row>
    <x:row r="549" ht="22" customHeight="1">
      <x:c r="A549" s="604" t="inlineStr">
        <x:is>
          <x:t xml:space="preserve">2026-09-30</x:t>
        </x:is>
      </x:c>
      <x:c r="B549" s="604" t="inlineStr">
        <x:is>
          <x:t xml:space="preserve">2026-09-30 20:00</x:t>
        </x:is>
      </x:c>
      <x:c r="C549" s="604" t="str">
        <x:v>其他系列</x:v>
      </x:c>
      <x:c r="D549" s="604" t="inlineStr">
        <x:is>
          <x:t xml:space="preserve">杯赛</x:t>
        </x:is>
      </x:c>
      <x:c r="E549" s="604" t="inlineStr">
        <x:is>
          <x:t xml:space="preserve">东盟杯</x:t>
        </x:is>
      </x:c>
      <x:c r="F549" s="604" t="inlineStr">
        <x:is>
          <x:t xml:space="preserve">中国香港(中) vs 文莱</x:t>
        </x:is>
      </x:c>
      <x:c r="G549" s="604" t="n">
        <x:v>0.43</x:v>
      </x:c>
      <x:c r="H549" s="604" t="n">
        <x:v>3</x:v>
      </x:c>
      <x:c r="I549" s="604" t="n">
        <x:v>1.49</x:v>
      </x:c>
      <x:c r="J549" s="604" t="inlineStr">
        <x:is>
          <x:t xml:space="preserve">0.43/3/1.49</x:t>
        </x:is>
      </x:c>
      <x:c r="K549" s="604" t="inlineStr">
        <x:is>
          <x:t xml:space="preserve">V4-B｜EV +0.3533</x:t>
        </x:is>
      </x:c>
      <x:c r="L549" s="604" t="inlineStr">
        <x:is>
          <x:t xml:space="preserve">文莱</x:t>
        </x:is>
      </x:c>
      <x:c r="M549" s="604" t="n">
        <x:v>0.5833416804408438</x:v>
      </x:c>
      <x:c r="N549" s="604" t="inlineStr">
        <x:is>
          <x:t xml:space="preserve">V4纸面入选-B</x:t>
        </x:is>
      </x:c>
      <x:c r="O549" s="604" t="inlineStr">
        <x:is>
          <x:t xml:space="preserve">2-0</x:t>
        </x:is>
      </x:c>
      <x:c r="P549" s="604" t="inlineStr">
        <x:is>
          <x:t xml:space="preserve">已结算</x:t>
        </x:is>
      </x:c>
      <x:c r="Q549" s="645" t="inlineStr">
        <x:is>
          <x:t xml:space="preserve">红</x:t>
        </x:is>
      </x:c>
      <x:c r="R549" s="604" t="n">
        <x:v>1.49</x:v>
      </x:c>
      <x:c r="S549" s="604" t="n">
        <x:f>IF(OR(Q549="",Q549="待结算"),"",IF(Q549="红",R549,IF(Q549="半红",R549*0.5,IF(Q549="走",0,IF(Q549="半黑",-0.5,-1)))))</x:f>
        <x:v>1.49</x:v>
      </x:c>
      <x:c r="T549" s="604" t="inlineStr">
        <x:is>
          <x:t xml:space="preserve">https://m.titan007.com/analy/Analysis/3088957.htm</x:t>
        </x:is>
      </x:c>
      <x:c r="U549" s="646" t="str">
        <x:f>IF(Q549="","",IF(Q549="待结算","待结算",IF(Q549="红","黑",IF(Q549="半红","半黑",IF(Q549="走","走",IF(Q549="半黑","半红","红"))))))</x:f>
        <x:v>黑</x:v>
      </x:c>
      <x:c r="V549" s="604" t="n">
        <x:f>IF(OR(Q549="",Q549="待结算"),"",IF(L549=LEFT(F549,FIND(" vs ",F549)-1),I549,G549))</x:f>
        <x:v>0.43</x:v>
      </x:c>
      <x:c r="W549" s="604" t="n">
        <x:f>IF(OR(U549="",U549="待结算"),"",IF(U549="红",V549,IF(U549="半红",V549*0.5,IF(U549="走",0,IF(U549="半黑",-0.5,-1)))))</x:f>
        <x:v>-1</x:v>
      </x:c>
      <x:c r="X549" s="604" t="inlineStr">
        <x:is>
          <x:t xml:space="preserve">3088957</x:t>
        </x:is>
      </x:c>
      <x:c r="Y549" s="604" t="inlineStr">
        <x:is>
          <x:t xml:space="preserve">V4</x:t>
        </x:is>
      </x:c>
      <x:c r="Z549" s="604" t="inlineStr">
        <x:is>
          <x:t xml:space="preserve">prior-2026-09-30-v1</x:t>
        </x:is>
      </x:c>
      <x:c r="AA549" s="604" t="inlineStr">
        <x:is>
          <x:t xml:space="preserve">B</x:t>
        </x:is>
      </x:c>
      <x:c r="AB549" s="604" t="n">
        <x:v>0.4554095633346871</x:v>
      </x:c>
      <x:c r="AC549" s="604" t="n"/>
      <x:c r="AD549" s="604" t="n">
        <x:v>0.2193090625882858</x:v>
      </x:c>
      <x:c r="AE549" s="604" t="n"/>
      <x:c r="AF549" s="604" t="n">
        <x:v>0.3252813740770272</x:v>
      </x:c>
      <x:c r="AG549" s="604" t="n">
        <x:v>0.3532788752916565</x:v>
      </x:c>
      <x:c r="AH549" s="604" t="n"/>
      <x:c r="AI549" s="604" t="n"/>
      <x:c r="AJ549" s="604" t="n">
        <x:v>0.3532788752916565</x:v>
      </x:c>
      <x:c r="AK549" s="604" t="n"/>
      <x:c r="AL549" s="604" t="n"/>
      <x:c r="AM549" s="604" t="n"/>
      <x:c r="AN549" s="604" t="inlineStr">
        <x:is>
          <x:t xml:space="preserve">EVALUATED</x:t>
        </x:is>
      </x:c>
      <x:c r="AO549" s="604" t="inlineStr">
        <x:is>
          <x:t xml:space="preserve">RECEIVING_VALIDATED_EDGE、BUCKET_PRIOR_ONLY、INTENT_INTERPRETATION_ONLY、EXPERT_MARKET</x:t>
        </x:is>
      </x:c>
      <x:c r="AP549" s="604" t="inlineStr">
        <x:is>
          <x:t xml:space="preserve">4da9c31480ad1d66fcaf</x:t>
        </x:is>
      </x:c>
      <x:c r="AQ549" s="604" t="n">
        <x:v>3</x:v>
      </x:c>
      <x:c r="AR549" s="604" t="n">
        <x:v>1.49</x:v>
      </x:c>
      <x:c r="AS549" s="604" t="n">
        <x:v>3</x:v>
      </x:c>
      <x:c r="AT549" s="604" t="n">
        <x:v>-3</x:v>
      </x:c>
      <x:c r="AU549" s="604" t="n">
        <x:v>0.43</x:v>
      </x:c>
      <x:c r="AV549" s="604" t="n">
        <x:v>1.49</x:v>
      </x:c>
      <x:c r="AW549" s="604" t="n">
        <x:v>46295.47214138889</x:v>
      </x:c>
      <x:c r="AX549" s="604" t="inlineStr">
        <x:is>
          <x:t xml:space="preserve">https://simondongxiao.github.io/odds/v4/</x:t>
        </x:is>
      </x:c>
      <x:c r="AY549" s="604" t="inlineStr">
        <x:is>
          <x:t xml:space="preserve">V4 Shadow Only；real_money=false；P(EV&gt;0)不是比赛胜率</x:t>
        </x:is>
      </x:c>
    </x:row>
    <x:row r="550" ht="22" customHeight="1">
      <x:c r="A550" s="604" t="inlineStr">
        <x:is>
          <x:t xml:space="preserve">2026-09-30</x:t>
        </x:is>
      </x:c>
      <x:c r="B550" s="604" t="inlineStr">
        <x:is>
          <x:t xml:space="preserve">2026-09-30 21:00</x:t>
        </x:is>
      </x:c>
      <x:c r="C550" s="604" t="str">
        <x:v>欧洲非五大系列</x:v>
      </x:c>
      <x:c r="D550" s="604" t="inlineStr">
        <x:is>
          <x:t xml:space="preserve">联赛</x:t>
        </x:is>
      </x:c>
      <x:c r="E550" s="604" t="inlineStr">
        <x:is>
          <x:t xml:space="preserve">黑山乙</x:t>
        </x:is>
      </x:c>
      <x:c r="F550" s="604" t="inlineStr">
        <x:is>
          <x:t xml:space="preserve">达尼洛夫格勒 vs 格瑞巴吉</x:t>
        </x:is>
      </x:c>
      <x:c r="G550" s="604" t="n">
        <x:v>0.75</x:v>
      </x:c>
      <x:c r="H550" s="604" t="n">
        <x:v>0</x:v>
      </x:c>
      <x:c r="I550" s="604" t="n">
        <x:v>0.95</x:v>
      </x:c>
      <x:c r="J550" s="604" t="inlineStr">
        <x:is>
          <x:t xml:space="preserve">0.75/0/0.95</x:t>
        </x:is>
      </x:c>
      <x:c r="K550" s="604" t="inlineStr">
        <x:is>
          <x:t xml:space="preserve">V4-C｜EV +0.0097</x:t>
        </x:is>
      </x:c>
      <x:c r="L550" s="604" t="str"/>
      <x:c r="M550" s="604" t="n">
        <x:v>0.5178087968589247</x:v>
      </x:c>
      <x:c r="N550" s="604" t="inlineStr">
        <x:is>
          <x:t xml:space="preserve">V4纸面入选-C</x:t>
        </x:is>
      </x:c>
      <x:c r="O550" s="604" t="inlineStr">
        <x:is>
          <x:t xml:space="preserve">0-1</x:t>
        </x:is>
      </x:c>
      <x:c r="P550" s="604" t="inlineStr">
        <x:is>
          <x:t xml:space="preserve">已结算</x:t>
        </x:is>
      </x:c>
      <x:c r="Q550" s="646" t="inlineStr">
        <x:is>
          <x:t xml:space="preserve">黑</x:t>
        </x:is>
      </x:c>
      <x:c r="R550" s="604" t="n">
        <x:v>0.95</x:v>
      </x:c>
      <x:c r="S550" s="604" t="n">
        <x:f>IF(OR(Q550="",Q550="待结算"),"",IF(Q550="红",R550,IF(Q550="半红",R550*0.5,IF(Q550="走",0,IF(Q550="半黑",-0.5,-1)))))</x:f>
        <x:v>-1</x:v>
      </x:c>
      <x:c r="T550" s="604" t="inlineStr">
        <x:is>
          <x:t xml:space="preserve">https://m.titan007.com/analy/Analysis/3006203.htm</x:t>
        </x:is>
      </x:c>
      <x:c r="U550" s="645" t="str">
        <x:f>IF(Q550="","",IF(Q550="待结算","待结算",IF(Q550="红","黑",IF(Q550="半红","半黑",IF(Q550="走","走",IF(Q550="半黑","半红","红"))))))</x:f>
        <x:v>红</x:v>
      </x:c>
      <x:c r="V550" s="604" t="n">
        <x:f>IF(OR(Q550="",Q550="待结算"),"",IF(L550=LEFT(F550,FIND(" vs ",F550)-1),I550,G550))</x:f>
        <x:v>0.75</x:v>
      </x:c>
      <x:c r="W550" s="604" t="n">
        <x:f>IF(OR(U550="",U550="待结算"),"",IF(U550="红",V550,IF(U550="半红",V550*0.5,IF(U550="走",0,IF(U550="半黑",-0.5,-1)))))</x:f>
        <x:v>0.75</x:v>
      </x:c>
      <x:c r="X550" s="604" t="inlineStr">
        <x:is>
          <x:t xml:space="preserve">3006203</x:t>
        </x:is>
      </x:c>
      <x:c r="Y550" s="604" t="inlineStr">
        <x:is>
          <x:t xml:space="preserve">V4</x:t>
        </x:is>
      </x:c>
      <x:c r="Z550" s="604" t="inlineStr">
        <x:is>
          <x:t xml:space="preserve">prior-2026-09-30-v1</x:t>
        </x:is>
      </x:c>
      <x:c r="AA550" s="604" t="inlineStr">
        <x:is>
          <x:t xml:space="preserve">C</x:t>
        </x:is>
      </x:c>
      <x:c r="AB550" s="604" t="n">
        <x:v>0.5178087968589247</x:v>
      </x:c>
      <x:c r="AC550" s="604" t="n"/>
      <x:c r="AD550" s="604" t="n"/>
      <x:c r="AE550" s="604" t="n"/>
      <x:c r="AF550" s="604" t="n">
        <x:v>0.4821912031410754</x:v>
      </x:c>
      <x:c r="AG550" s="604" t="n">
        <x:v>0.009727153874902972</x:v>
      </x:c>
      <x:c r="AH550" s="604" t="n"/>
      <x:c r="AI550" s="604" t="n"/>
      <x:c r="AJ550" s="604" t="n">
        <x:v>0.009727153874902972</x:v>
      </x:c>
      <x:c r="AK550" s="604" t="n"/>
      <x:c r="AL550" s="604" t="n"/>
      <x:c r="AM550" s="604" t="n"/>
      <x:c r="AN550" s="604" t="inlineStr">
        <x:is>
          <x:t xml:space="preserve">EVALUATED</x:t>
        </x:is>
      </x:c>
      <x:c r="AO550" s="604" t="inlineStr">
        <x:is>
          <x:t xml:space="preserve">EDGE_BELOW_UNCERTAINTY_THRESHOLD、BUCKET_PRIOR_ONLY、INTENT_INTERPRETATION_ONLY、EXPERT_MARKET</x:t>
        </x:is>
      </x:c>
      <x:c r="AP550" s="604" t="inlineStr">
        <x:is>
          <x:t xml:space="preserve">4ad5d982820eef4e6529</x:t>
        </x:is>
      </x:c>
      <x:c r="AQ550" s="604" t="n">
        <x:v>0</x:v>
      </x:c>
      <x:c r="AR550" s="604" t="n"/>
      <x:c r="AS550" s="604" t="n">
        <x:v>0</x:v>
      </x:c>
      <x:c r="AT550" s="604" t="n">
        <x:v>0</x:v>
      </x:c>
      <x:c r="AU550" s="604" t="n">
        <x:v>0.75</x:v>
      </x:c>
      <x:c r="AV550" s="604" t="n">
        <x:v>0.95</x:v>
      </x:c>
      <x:c r="AW550" s="604" t="n">
        <x:v>46295.48723729167</x:v>
      </x:c>
      <x:c r="AX550" s="604" t="inlineStr">
        <x:is>
          <x:t xml:space="preserve">https://simondongxiao.github.io/odds/v4/</x:t>
        </x:is>
      </x:c>
      <x:c r="AY550" s="604" t="inlineStr">
        <x:is>
          <x:t xml:space="preserve">V4 Shadow Only；real_money=false；P(EV&gt;0)不是比赛胜率</x:t>
        </x:is>
      </x:c>
    </x:row>
    <x:row r="551" ht="22" customHeight="1">
      <x:c r="A551" s="604" t="inlineStr">
        <x:is>
          <x:t xml:space="preserve">2026-09-30</x:t>
        </x:is>
      </x:c>
      <x:c r="B551" s="604" t="inlineStr">
        <x:is>
          <x:t xml:space="preserve">2026-09-30 21:00</x:t>
        </x:is>
      </x:c>
      <x:c r="C551" s="604" t="str">
        <x:v>其他系列</x:v>
      </x:c>
      <x:c r="D551" s="604" t="inlineStr">
        <x:is>
          <x:t xml:space="preserve">联赛</x:t>
        </x:is>
      </x:c>
      <x:c r="E551" s="604" t="inlineStr">
        <x:is>
          <x:t xml:space="preserve">国际友谊</x:t>
        </x:is>
      </x:c>
      <x:c r="F551" s="604" t="inlineStr">
        <x:is>
          <x:t xml:space="preserve">塞舌尔 vs 斯里兰卡</x:t>
        </x:is>
      </x:c>
      <x:c r="G551" s="604" t="n">
        <x:v>1</x:v>
      </x:c>
      <x:c r="H551" s="604" t="n">
        <x:v>0</x:v>
      </x:c>
      <x:c r="I551" s="604" t="n">
        <x:v>0.82</x:v>
      </x:c>
      <x:c r="J551" s="604" t="inlineStr">
        <x:is>
          <x:t xml:space="preserve">1/0/0.82</x:t>
        </x:is>
      </x:c>
      <x:c r="K551" s="604" t="inlineStr">
        <x:is>
          <x:t xml:space="preserve">V4-C｜EV +0.0182</x:t>
        </x:is>
      </x:c>
      <x:c r="L551" s="604" t="str"/>
      <x:c r="M551" s="604" t="n">
        <x:v>0.5594778529027964</x:v>
      </x:c>
      <x:c r="N551" s="604" t="inlineStr">
        <x:is>
          <x:t xml:space="preserve">V4纸面入选-C</x:t>
        </x:is>
      </x:c>
      <x:c r="O551" s="604" t="inlineStr">
        <x:is>
          <x:t xml:space="preserve">0-2</x:t>
        </x:is>
      </x:c>
      <x:c r="P551" s="604" t="inlineStr">
        <x:is>
          <x:t xml:space="preserve">已结算</x:t>
        </x:is>
      </x:c>
      <x:c r="Q551" s="646" t="inlineStr">
        <x:is>
          <x:t xml:space="preserve">黑</x:t>
        </x:is>
      </x:c>
      <x:c r="R551" s="604" t="n">
        <x:v>0.82</x:v>
      </x:c>
      <x:c r="S551" s="604" t="n">
        <x:f>IF(OR(Q551="",Q551="待结算"),"",IF(Q551="红",R551,IF(Q551="半红",R551*0.5,IF(Q551="走",0,IF(Q551="半黑",-0.5,-1)))))</x:f>
        <x:v>-1</x:v>
      </x:c>
      <x:c r="T551" s="604" t="inlineStr">
        <x:is>
          <x:t xml:space="preserve">https://m.titan007.com/analy/Analysis/3096174.htm</x:t>
        </x:is>
      </x:c>
      <x:c r="U551" s="645" t="str">
        <x:f>IF(Q551="","",IF(Q551="待结算","待结算",IF(Q551="红","黑",IF(Q551="半红","半黑",IF(Q551="走","走",IF(Q551="半黑","半红","红"))))))</x:f>
        <x:v>红</x:v>
      </x:c>
      <x:c r="V551" s="604" t="n">
        <x:f>IF(OR(Q551="",Q551="待结算"),"",IF(L551=LEFT(F551,FIND(" vs ",F551)-1),I551,G551))</x:f>
        <x:v>1</x:v>
      </x:c>
      <x:c r="W551" s="604" t="n">
        <x:f>IF(OR(U551="",U551="待结算"),"",IF(U551="红",V551,IF(U551="半红",V551*0.5,IF(U551="走",0,IF(U551="半黑",-0.5,-1)))))</x:f>
        <x:v>1</x:v>
      </x:c>
      <x:c r="X551" s="604" t="inlineStr">
        <x:is>
          <x:t xml:space="preserve">3096174</x:t>
        </x:is>
      </x:c>
      <x:c r="Y551" s="604" t="inlineStr">
        <x:is>
          <x:t xml:space="preserve">V4</x:t>
        </x:is>
      </x:c>
      <x:c r="Z551" s="604" t="inlineStr">
        <x:is>
          <x:t xml:space="preserve">prior-2026-09-30-v1</x:t>
        </x:is>
      </x:c>
      <x:c r="AA551" s="604" t="inlineStr">
        <x:is>
          <x:t xml:space="preserve">C</x:t>
        </x:is>
      </x:c>
      <x:c r="AB551" s="604" t="n">
        <x:v>0.5594778529027964</x:v>
      </x:c>
      <x:c r="AC551" s="604" t="n"/>
      <x:c r="AD551" s="604" t="n"/>
      <x:c r="AE551" s="604" t="n"/>
      <x:c r="AF551" s="604" t="n">
        <x:v>0.4405221470972037</x:v>
      </x:c>
      <x:c r="AG551" s="604" t="n">
        <x:v>0.01824969228308937</x:v>
      </x:c>
      <x:c r="AH551" s="604" t="n"/>
      <x:c r="AI551" s="604" t="n"/>
      <x:c r="AJ551" s="604" t="n">
        <x:v>0.01824969228308937</x:v>
      </x:c>
      <x:c r="AK551" s="604" t="n"/>
      <x:c r="AL551" s="604" t="n"/>
      <x:c r="AM551" s="604" t="n"/>
      <x:c r="AN551" s="604" t="inlineStr">
        <x:is>
          <x:t xml:space="preserve">EVALUATED</x:t>
        </x:is>
      </x:c>
      <x:c r="AO551" s="604" t="inlineStr">
        <x:is>
          <x:t xml:space="preserve">EDGE_BELOW_UNCERTAINTY_THRESHOLD、BUCKET_PRIOR_ONLY、INTENT_INTERPRETATION_ONLY、EXPERT_MARKET</x:t>
        </x:is>
      </x:c>
      <x:c r="AP551" s="604" t="inlineStr">
        <x:is>
          <x:t xml:space="preserve">ae75c5a6816d29b6076b</x:t>
        </x:is>
      </x:c>
      <x:c r="AQ551" s="604" t="n">
        <x:v>0</x:v>
      </x:c>
      <x:c r="AR551" s="604" t="n"/>
      <x:c r="AS551" s="604" t="n">
        <x:v>0</x:v>
      </x:c>
      <x:c r="AT551" s="604" t="n">
        <x:v>0</x:v>
      </x:c>
      <x:c r="AU551" s="604" t="n">
        <x:v>1</x:v>
      </x:c>
      <x:c r="AV551" s="604" t="n">
        <x:v>0.82</x:v>
      </x:c>
      <x:c r="AW551" s="604" t="n">
        <x:v>46295.48723729167</x:v>
      </x:c>
      <x:c r="AX551" s="604" t="inlineStr">
        <x:is>
          <x:t xml:space="preserve">https://simondongxiao.github.io/odds/v4/</x:t>
        </x:is>
      </x:c>
      <x:c r="AY551" s="604" t="inlineStr">
        <x:is>
          <x:t xml:space="preserve">V4 Shadow Only；real_money=false；P(EV&gt;0)不是比赛胜率</x:t>
        </x:is>
      </x:c>
    </x:row>
    <x:row r="552" ht="22" customHeight="1">
      <x:c r="A552" s="604" t="inlineStr">
        <x:is>
          <x:t xml:space="preserve">2026-09-30</x:t>
        </x:is>
      </x:c>
      <x:c r="B552" s="604" t="inlineStr">
        <x:is>
          <x:t xml:space="preserve">2026-09-30 21:30</x:t>
        </x:is>
      </x:c>
      <x:c r="C552" s="604" t="str">
        <x:v>其他系列</x:v>
      </x:c>
      <x:c r="D552" s="604" t="inlineStr">
        <x:is>
          <x:t xml:space="preserve">联赛</x:t>
        </x:is>
      </x:c>
      <x:c r="E552" s="604" t="inlineStr">
        <x:is>
          <x:t xml:space="preserve">埃及甲</x:t>
        </x:is>
      </x:c>
      <x:c r="F552" s="604" t="inlineStr">
        <x:is>
          <x:t xml:space="preserve">纳斯矿足球俱乐部 vs 克玛阿斯罔</x:t>
        </x:is>
      </x:c>
      <x:c r="G552" s="604" t="n">
        <x:v>0.7</x:v>
      </x:c>
      <x:c r="H552" s="604" t="n">
        <x:v>0</x:v>
      </x:c>
      <x:c r="I552" s="604" t="n">
        <x:v>1</x:v>
      </x:c>
      <x:c r="J552" s="604" t="inlineStr">
        <x:is>
          <x:t xml:space="preserve">0.7/0/1</x:t>
        </x:is>
      </x:c>
      <x:c r="K552" s="604" t="inlineStr">
        <x:is>
          <x:t xml:space="preserve">V4-C｜EV +0.0466</x:t>
        </x:is>
      </x:c>
      <x:c r="L552" s="604" t="str"/>
      <x:c r="M552" s="604" t="n">
        <x:v>0.5266718170550014</x:v>
      </x:c>
      <x:c r="N552" s="604" t="inlineStr">
        <x:is>
          <x:t xml:space="preserve">V4纸面入选-C</x:t>
        </x:is>
      </x:c>
      <x:c r="O552" s="604" t="inlineStr">
        <x:is>
          <x:t xml:space="preserve">2-1</x:t>
        </x:is>
      </x:c>
      <x:c r="P552" s="604" t="inlineStr">
        <x:is>
          <x:t xml:space="preserve">已结算</x:t>
        </x:is>
      </x:c>
      <x:c r="Q552" s="645" t="inlineStr">
        <x:is>
          <x:t xml:space="preserve">红</x:t>
        </x:is>
      </x:c>
      <x:c r="R552" s="604" t="n">
        <x:v>1</x:v>
      </x:c>
      <x:c r="S552" s="604" t="n">
        <x:f>IF(OR(Q552="",Q552="待结算"),"",IF(Q552="红",R552,IF(Q552="半红",R552*0.5,IF(Q552="走",0,IF(Q552="半黑",-0.5,-1)))))</x:f>
        <x:v>1</x:v>
      </x:c>
      <x:c r="T552" s="604" t="inlineStr">
        <x:is>
          <x:t xml:space="preserve">https://m.titan007.com/analy/Analysis/3096709.htm</x:t>
        </x:is>
      </x:c>
      <x:c r="U552" s="646" t="str">
        <x:f>IF(Q552="","",IF(Q552="待结算","待结算",IF(Q552="红","黑",IF(Q552="半红","半黑",IF(Q552="走","走",IF(Q552="半黑","半红","红"))))))</x:f>
        <x:v>黑</x:v>
      </x:c>
      <x:c r="V552" s="604" t="n">
        <x:f>IF(OR(Q552="",Q552="待结算"),"",IF(L552=LEFT(F552,FIND(" vs ",F552)-1),I552,G552))</x:f>
        <x:v>0.7</x:v>
      </x:c>
      <x:c r="W552" s="604" t="n">
        <x:f>IF(OR(U552="",U552="待结算"),"",IF(U552="红",V552,IF(U552="半红",V552*0.5,IF(U552="走",0,IF(U552="半黑",-0.5,-1)))))</x:f>
        <x:v>-1</x:v>
      </x:c>
      <x:c r="X552" s="604" t="inlineStr">
        <x:is>
          <x:t xml:space="preserve">3096709</x:t>
        </x:is>
      </x:c>
      <x:c r="Y552" s="604" t="inlineStr">
        <x:is>
          <x:t xml:space="preserve">V4</x:t>
        </x:is>
      </x:c>
      <x:c r="Z552" s="604" t="inlineStr">
        <x:is>
          <x:t xml:space="preserve">prior-2026-09-30-v1</x:t>
        </x:is>
      </x:c>
      <x:c r="AA552" s="604" t="inlineStr">
        <x:is>
          <x:t xml:space="preserve">C</x:t>
        </x:is>
      </x:c>
      <x:c r="AB552" s="604" t="n">
        <x:v>0.333467037025846</x:v>
      </x:c>
      <x:c r="AC552" s="604" t="n">
        <x:v>0.2531058448460175</x:v>
      </x:c>
      <x:c r="AD552" s="604" t="n"/>
      <x:c r="AE552" s="604" t="n"/>
      <x:c r="AF552" s="604" t="n">
        <x:v>0.4134271181281365</x:v>
      </x:c>
      <x:c r="AG552" s="604" t="n">
        <x:v>0.04659284132071828</x:v>
      </x:c>
      <x:c r="AH552" s="604" t="n"/>
      <x:c r="AI552" s="604" t="n"/>
      <x:c r="AJ552" s="604" t="n">
        <x:v>0.04659284132071828</x:v>
      </x:c>
      <x:c r="AK552" s="604" t="n"/>
      <x:c r="AL552" s="604" t="n"/>
      <x:c r="AM552" s="604" t="n"/>
      <x:c r="AN552" s="604" t="inlineStr">
        <x:is>
          <x:t xml:space="preserve">EVALUATED</x:t>
        </x:is>
      </x:c>
      <x:c r="AO552" s="604" t="inlineStr">
        <x:is>
          <x:t xml:space="preserve">EDGE_BELOW_UNCERTAINTY_THRESHOLD、BUCKET_PRIOR_ONLY、INTENT_INTERPRETATION_ONLY、EXPERT_MARKET</x:t>
        </x:is>
      </x:c>
      <x:c r="AP552" s="604" t="inlineStr">
        <x:is>
          <x:t xml:space="preserve">e73f3dac25f296439c48</x:t>
        </x:is>
      </x:c>
      <x:c r="AQ552" s="604" t="n">
        <x:v>0</x:v>
      </x:c>
      <x:c r="AR552" s="604" t="n"/>
      <x:c r="AS552" s="604" t="n">
        <x:v>0</x:v>
      </x:c>
      <x:c r="AT552" s="604" t="n">
        <x:v>0</x:v>
      </x:c>
      <x:c r="AU552" s="604" t="n">
        <x:v>0.7</x:v>
      </x:c>
      <x:c r="AV552" s="604" t="n">
        <x:v>1</x:v>
      </x:c>
      <x:c r="AW552" s="604" t="n">
        <x:v>46295.48723729167</x:v>
      </x:c>
      <x:c r="AX552" s="604" t="inlineStr">
        <x:is>
          <x:t xml:space="preserve">https://simondongxiao.github.io/odds/v4/</x:t>
        </x:is>
      </x:c>
      <x:c r="AY552" s="604" t="inlineStr">
        <x:is>
          <x:t xml:space="preserve">V4 Shadow Only；real_money=false；P(EV&gt;0)不是比赛胜率</x:t>
        </x:is>
      </x:c>
    </x:row>
    <x:row r="553" ht="22" customHeight="1">
      <x:c r="A553" s="604" t="inlineStr">
        <x:is>
          <x:t xml:space="preserve">2026-09-30</x:t>
        </x:is>
      </x:c>
      <x:c r="B553" s="604" t="inlineStr">
        <x:is>
          <x:t xml:space="preserve">2026-09-30 21:30</x:t>
        </x:is>
      </x:c>
      <x:c r="C553" s="604" t="str">
        <x:v>其他系列</x:v>
      </x:c>
      <x:c r="D553" s="604" t="inlineStr">
        <x:is>
          <x:t xml:space="preserve">联赛</x:t>
        </x:is>
      </x:c>
      <x:c r="E553" s="604" t="inlineStr">
        <x:is>
          <x:t xml:space="preserve">埃及甲</x:t>
        </x:is>
      </x:c>
      <x:c r="F553" s="604" t="inlineStr">
        <x:is>
          <x:t xml:space="preserve">克姆罕马达 vs 德尔福SC</x:t>
        </x:is>
      </x:c>
      <x:c r="G553" s="604" t="n">
        <x:v>1.02</x:v>
      </x:c>
      <x:c r="H553" s="604" t="n">
        <x:v>0</x:v>
      </x:c>
      <x:c r="I553" s="604" t="n">
        <x:v>0.68</x:v>
      </x:c>
      <x:c r="J553" s="604" t="inlineStr">
        <x:is>
          <x:t xml:space="preserve">1.02/0/0.68</x:t>
        </x:is>
      </x:c>
      <x:c r="K553" s="604" t="inlineStr">
        <x:is>
          <x:t xml:space="preserve">V4-C｜EV +0.0164</x:t>
        </x:is>
      </x:c>
      <x:c r="L553" s="604" t="str"/>
      <x:c r="M553" s="604" t="n">
        <x:v>0.606379537622692</x:v>
      </x:c>
      <x:c r="N553" s="604" t="inlineStr">
        <x:is>
          <x:t xml:space="preserve">V4纸面入选-C</x:t>
        </x:is>
      </x:c>
      <x:c r="O553" s="604" t="inlineStr">
        <x:is>
          <x:t xml:space="preserve">1-3</x:t>
        </x:is>
      </x:c>
      <x:c r="P553" s="604" t="inlineStr">
        <x:is>
          <x:t xml:space="preserve">已结算</x:t>
        </x:is>
      </x:c>
      <x:c r="Q553" s="646" t="inlineStr">
        <x:is>
          <x:t xml:space="preserve">黑</x:t>
        </x:is>
      </x:c>
      <x:c r="R553" s="604" t="n">
        <x:v>0.68</x:v>
      </x:c>
      <x:c r="S553" s="604" t="n">
        <x:f>IF(OR(Q553="",Q553="待结算"),"",IF(Q553="红",R553,IF(Q553="半红",R553*0.5,IF(Q553="走",0,IF(Q553="半黑",-0.5,-1)))))</x:f>
        <x:v>-1</x:v>
      </x:c>
      <x:c r="T553" s="604" t="inlineStr">
        <x:is>
          <x:t xml:space="preserve">https://m.titan007.com/analy/Analysis/3096744.htm</x:t>
        </x:is>
      </x:c>
      <x:c r="U553" s="645" t="str">
        <x:f>IF(Q553="","",IF(Q553="待结算","待结算",IF(Q553="红","黑",IF(Q553="半红","半黑",IF(Q553="走","走",IF(Q553="半黑","半红","红"))))))</x:f>
        <x:v>红</x:v>
      </x:c>
      <x:c r="V553" s="604" t="n">
        <x:f>IF(OR(Q553="",Q553="待结算"),"",IF(L553=LEFT(F553,FIND(" vs ",F553)-1),I553,G553))</x:f>
        <x:v>1.02</x:v>
      </x:c>
      <x:c r="W553" s="604" t="n">
        <x:f>IF(OR(U553="",U553="待结算"),"",IF(U553="红",V553,IF(U553="半红",V553*0.5,IF(U553="走",0,IF(U553="半黑",-0.5,-1)))))</x:f>
        <x:v>1.02</x:v>
      </x:c>
      <x:c r="X553" s="604" t="inlineStr">
        <x:is>
          <x:t xml:space="preserve">3096744</x:t>
        </x:is>
      </x:c>
      <x:c r="Y553" s="604" t="inlineStr">
        <x:is>
          <x:t xml:space="preserve">V4</x:t>
        </x:is>
      </x:c>
      <x:c r="Z553" s="604" t="inlineStr">
        <x:is>
          <x:t xml:space="preserve">prior-2026-09-30-v1</x:t>
        </x:is>
      </x:c>
      <x:c r="AA553" s="604" t="inlineStr">
        <x:is>
          <x:t xml:space="preserve">C</x:t>
        </x:is>
      </x:c>
      <x:c r="AB553" s="604" t="n">
        <x:v>0.5311687022197463</x:v>
      </x:c>
      <x:c r="AC553" s="604" t="n"/>
      <x:c r="AD553" s="604" t="n"/>
      <x:c r="AE553" s="604" t="n">
        <x:v>0.2480652157155877</x:v>
      </x:c>
      <x:c r="AF553" s="604" t="n">
        <x:v>0.220766082064666</x:v>
      </x:c>
      <x:c r="AG553" s="604" t="n">
        <x:v>0.01639602758696768</x:v>
      </x:c>
      <x:c r="AH553" s="604" t="n"/>
      <x:c r="AI553" s="604" t="n"/>
      <x:c r="AJ553" s="604" t="n">
        <x:v>0.01639602758696768</x:v>
      </x:c>
      <x:c r="AK553" s="604" t="n"/>
      <x:c r="AL553" s="604" t="n"/>
      <x:c r="AM553" s="604" t="n"/>
      <x:c r="AN553" s="604" t="inlineStr">
        <x:is>
          <x:t xml:space="preserve">EVALUATED</x:t>
        </x:is>
      </x:c>
      <x:c r="AO553" s="604" t="inlineStr">
        <x:is>
          <x:t xml:space="preserve">EDGE_BELOW_UNCERTAINTY_THRESHOLD、BUCKET_PRIOR_ONLY、INTENT_INTERPRETATION_ONLY、EXPERT_MARKET</x:t>
        </x:is>
      </x:c>
      <x:c r="AP553" s="604" t="inlineStr">
        <x:is>
          <x:t xml:space="preserve">b6f7c1ba3fd3b2771adb</x:t>
        </x:is>
      </x:c>
      <x:c r="AQ553" s="604" t="n">
        <x:v>0</x:v>
      </x:c>
      <x:c r="AR553" s="604" t="n"/>
      <x:c r="AS553" s="604" t="n">
        <x:v>0</x:v>
      </x:c>
      <x:c r="AT553" s="604" t="n">
        <x:v>0</x:v>
      </x:c>
      <x:c r="AU553" s="604" t="n">
        <x:v>1.02</x:v>
      </x:c>
      <x:c r="AV553" s="604" t="n">
        <x:v>0.68</x:v>
      </x:c>
      <x:c r="AW553" s="604" t="n">
        <x:v>46295.48723729167</x:v>
      </x:c>
      <x:c r="AX553" s="604" t="inlineStr">
        <x:is>
          <x:t xml:space="preserve">https://simondongxiao.github.io/odds/v4/</x:t>
        </x:is>
      </x:c>
      <x:c r="AY553" s="604" t="inlineStr">
        <x:is>
          <x:t xml:space="preserve">V4 Shadow Only；real_money=false；P(EV&gt;0)不是比赛胜率</x:t>
        </x:is>
      </x:c>
    </x:row>
    <x:row r="554" ht="22" customHeight="1">
      <x:c r="A554" s="604" t="inlineStr">
        <x:is>
          <x:t xml:space="preserve">2026-09-30</x:t>
        </x:is>
      </x:c>
      <x:c r="B554" s="604" t="inlineStr">
        <x:is>
          <x:t xml:space="preserve">2026-09-30 21:30</x:t>
        </x:is>
      </x:c>
      <x:c r="C554" s="604" t="str">
        <x:v>其他系列</x:v>
      </x:c>
      <x:c r="D554" s="604" t="inlineStr">
        <x:is>
          <x:t xml:space="preserve">杯赛</x:t>
        </x:is>
      </x:c>
      <x:c r="E554" s="604" t="inlineStr">
        <x:is>
          <x:t xml:space="preserve">非青杯外</x:t>
        </x:is>
      </x:c>
      <x:c r="F554" s="604" t="inlineStr">
        <x:is>
          <x:t xml:space="preserve">摩洛哥U20 vs 阿尔及利亚U20</x:t>
        </x:is>
      </x:c>
      <x:c r="G554" s="604" t="n">
        <x:v>0.8</x:v>
      </x:c>
      <x:c r="H554" s="604" t="n">
        <x:v>0</x:v>
      </x:c>
      <x:c r="I554" s="604" t="n">
        <x:v>0.96</x:v>
      </x:c>
      <x:c r="J554" s="604" t="inlineStr">
        <x:is>
          <x:t xml:space="preserve">0.8/0/0.96</x:t>
        </x:is>
      </x:c>
      <x:c r="K554" s="604" t="inlineStr">
        <x:is>
          <x:t xml:space="preserve">V4-C｜EV +0.0082</x:t>
        </x:is>
      </x:c>
      <x:c r="L554" s="604" t="str"/>
      <x:c r="M554" s="604" t="n">
        <x:v>0.5601132061538439</x:v>
      </x:c>
      <x:c r="N554" s="604" t="inlineStr">
        <x:is>
          <x:t xml:space="preserve">V4纸面入选-C</x:t>
        </x:is>
      </x:c>
      <x:c r="O554" s="604" t="inlineStr">
        <x:is>
          <x:t xml:space="preserve">3-1</x:t>
        </x:is>
      </x:c>
      <x:c r="P554" s="604" t="inlineStr">
        <x:is>
          <x:t xml:space="preserve">已结算</x:t>
        </x:is>
      </x:c>
      <x:c r="Q554" s="645" t="inlineStr">
        <x:is>
          <x:t xml:space="preserve">红</x:t>
        </x:is>
      </x:c>
      <x:c r="R554" s="604" t="n">
        <x:v>0.96</x:v>
      </x:c>
      <x:c r="S554" s="604" t="n">
        <x:f>IF(OR(Q554="",Q554="待结算"),"",IF(Q554="红",R554,IF(Q554="半红",R554*0.5,IF(Q554="走",0,IF(Q554="半黑",-0.5,-1)))))</x:f>
        <x:v>0.96</x:v>
      </x:c>
      <x:c r="T554" s="604" t="inlineStr">
        <x:is>
          <x:t xml:space="preserve">https://m.titan007.com/analy/Analysis/3089671.htm</x:t>
        </x:is>
      </x:c>
      <x:c r="U554" s="646" t="str">
        <x:f>IF(Q554="","",IF(Q554="待结算","待结算",IF(Q554="红","黑",IF(Q554="半红","半黑",IF(Q554="走","走",IF(Q554="半黑","半红","红"))))))</x:f>
        <x:v>黑</x:v>
      </x:c>
      <x:c r="V554" s="604" t="n">
        <x:f>IF(OR(Q554="",Q554="待结算"),"",IF(L554=LEFT(F554,FIND(" vs ",F554)-1),I554,G554))</x:f>
        <x:v>0.8</x:v>
      </x:c>
      <x:c r="W554" s="604" t="n">
        <x:f>IF(OR(U554="",U554="待结算"),"",IF(U554="红",V554,IF(U554="半红",V554*0.5,IF(U554="走",0,IF(U554="半黑",-0.5,-1)))))</x:f>
        <x:v>-1</x:v>
      </x:c>
      <x:c r="X554" s="604" t="inlineStr">
        <x:is>
          <x:t xml:space="preserve">3089671</x:t>
        </x:is>
      </x:c>
      <x:c r="Y554" s="604" t="inlineStr">
        <x:is>
          <x:t xml:space="preserve">V4</x:t>
        </x:is>
      </x:c>
      <x:c r="Z554" s="604" t="inlineStr">
        <x:is>
          <x:t xml:space="preserve">prior-2026-09-30-v1</x:t>
        </x:is>
      </x:c>
      <x:c r="AA554" s="604" t="inlineStr">
        <x:is>
          <x:t xml:space="preserve">C</x:t>
        </x:is>
      </x:c>
      <x:c r="AB554" s="604" t="n">
        <x:v>0.5601132061538439</x:v>
      </x:c>
      <x:c r="AC554" s="604" t="n"/>
      <x:c r="AD554" s="604" t="n"/>
      <x:c r="AE554" s="604" t="n"/>
      <x:c r="AF554" s="604" t="n">
        <x:v>0.4398867938461561</x:v>
      </x:c>
      <x:c r="AG554" s="604" t="n">
        <x:v>0.008203771076918998</x:v>
      </x:c>
      <x:c r="AH554" s="604" t="n"/>
      <x:c r="AI554" s="604" t="n"/>
      <x:c r="AJ554" s="604" t="n">
        <x:v>0.008203771076918998</x:v>
      </x:c>
      <x:c r="AK554" s="604" t="n"/>
      <x:c r="AL554" s="604" t="n"/>
      <x:c r="AM554" s="604" t="n"/>
      <x:c r="AN554" s="604" t="inlineStr">
        <x:is>
          <x:t xml:space="preserve">EVALUATED</x:t>
        </x:is>
      </x:c>
      <x:c r="AO554" s="604" t="inlineStr">
        <x:is>
          <x:t xml:space="preserve">EDGE_BELOW_UNCERTAINTY_THRESHOLD、BUCKET_PRIOR_ONLY、INTENT_INTERPRETATION_ONLY、EXPERT_MARKET</x:t>
        </x:is>
      </x:c>
      <x:c r="AP554" s="604" t="inlineStr">
        <x:is>
          <x:t xml:space="preserve">1c37dfdd99b2b5920b10</x:t>
        </x:is>
      </x:c>
      <x:c r="AQ554" s="604" t="n">
        <x:v>0</x:v>
      </x:c>
      <x:c r="AR554" s="604" t="n"/>
      <x:c r="AS554" s="604" t="n">
        <x:v>0</x:v>
      </x:c>
      <x:c r="AT554" s="604" t="n">
        <x:v>0</x:v>
      </x:c>
      <x:c r="AU554" s="604" t="n">
        <x:v>0.8</x:v>
      </x:c>
      <x:c r="AV554" s="604" t="n">
        <x:v>0.96</x:v>
      </x:c>
      <x:c r="AW554" s="604" t="n">
        <x:v>46295.47214138889</x:v>
      </x:c>
      <x:c r="AX554" s="604" t="inlineStr">
        <x:is>
          <x:t xml:space="preserve">https://simondongxiao.github.io/odds/v4/</x:t>
        </x:is>
      </x:c>
      <x:c r="AY554" s="604" t="inlineStr">
        <x:is>
          <x:t xml:space="preserve">V4 Shadow Only；real_money=false；P(EV&gt;0)不是比赛胜率</x:t>
        </x:is>
      </x:c>
    </x:row>
    <x:row r="555" ht="22" customHeight="1">
      <x:c r="A555" s="604" t="inlineStr">
        <x:is>
          <x:t xml:space="preserve">2026-09-30</x:t>
        </x:is>
      </x:c>
      <x:c r="B555" s="604" t="inlineStr">
        <x:is>
          <x:t xml:space="preserve">2026-09-30 22:00</x:t>
        </x:is>
      </x:c>
      <x:c r="C555" s="604" t="str">
        <x:v>欧洲非五大系列</x:v>
      </x:c>
      <x:c r="D555" s="604" t="inlineStr">
        <x:is>
          <x:t xml:space="preserve">杯赛</x:t>
        </x:is>
      </x:c>
      <x:c r="E555" s="604" t="inlineStr">
        <x:is>
          <x:t xml:space="preserve">女欧罗巴杯</x:t>
        </x:is>
      </x:c>
      <x:c r="F555" s="604" t="inlineStr">
        <x:is>
          <x:t xml:space="preserve">ZHFK阿克托比女足 vs 阿贾克斯女足</x:t>
        </x:is>
      </x:c>
      <x:c r="G555" s="604" t="n">
        <x:v>0.7</x:v>
      </x:c>
      <x:c r="H555" s="604" t="n">
        <x:v>-4.25</x:v>
      </x:c>
      <x:c r="I555" s="604" t="n">
        <x:v>1</x:v>
      </x:c>
      <x:c r="J555" s="604" t="inlineStr">
        <x:is>
          <x:t xml:space="preserve">0.7/-4.25/1</x:t>
        </x:is>
      </x:c>
      <x:c r="K555" s="604" t="inlineStr">
        <x:is>
          <x:t xml:space="preserve">V4-B｜EV +0.3651</x:t>
        </x:is>
      </x:c>
      <x:c r="L555" s="604" t="inlineStr">
        <x:is>
          <x:t xml:space="preserve">ZHFK阿克托比女足</x:t>
        </x:is>
      </x:c>
      <x:c r="M555" s="604" t="n">
        <x:v>0.8214907670355271</x:v>
      </x:c>
      <x:c r="N555" s="604" t="inlineStr">
        <x:is>
          <x:t xml:space="preserve">V4纸面入选-B</x:t>
        </x:is>
      </x:c>
      <x:c r="O555" s="604" t="inlineStr">
        <x:is>
          <x:t xml:space="preserve">1-0</x:t>
        </x:is>
      </x:c>
      <x:c r="P555" s="604" t="inlineStr">
        <x:is>
          <x:t xml:space="preserve">已结算</x:t>
        </x:is>
      </x:c>
      <x:c r="Q555" s="645" t="inlineStr">
        <x:is>
          <x:t xml:space="preserve">红</x:t>
        </x:is>
      </x:c>
      <x:c r="R555" s="604" t="n">
        <x:v>0.7</x:v>
      </x:c>
      <x:c r="S555" s="604" t="n">
        <x:f>IF(OR(Q555="",Q555="待结算"),"",IF(Q555="红",R555,IF(Q555="半红",R555*0.5,IF(Q555="走",0,IF(Q555="半黑",-0.5,-1)))))</x:f>
        <x:v>0.7</x:v>
      </x:c>
      <x:c r="T555" s="604" t="inlineStr">
        <x:is>
          <x:t xml:space="preserve">https://m.titan007.com/analy/Analysis/3086475.htm</x:t>
        </x:is>
      </x:c>
      <x:c r="U555" s="646" t="str">
        <x:f>IF(Q555="","",IF(Q555="待结算","待结算",IF(Q555="红","黑",IF(Q555="半红","半黑",IF(Q555="走","走",IF(Q555="半黑","半红","红"))))))</x:f>
        <x:v>黑</x:v>
      </x:c>
      <x:c r="V555" s="604" t="n">
        <x:f>IF(OR(Q555="",Q555="待结算"),"",IF(L555=LEFT(F555,FIND(" vs ",F555)-1),I555,G555))</x:f>
        <x:v>1</x:v>
      </x:c>
      <x:c r="W555" s="604" t="n">
        <x:f>IF(OR(U555="",U555="待结算"),"",IF(U555="红",V555,IF(U555="半红",V555*0.5,IF(U555="走",0,IF(U555="半黑",-0.5,-1)))))</x:f>
        <x:v>-1</x:v>
      </x:c>
      <x:c r="X555" s="604" t="inlineStr">
        <x:is>
          <x:t xml:space="preserve">3086475</x:t>
        </x:is>
      </x:c>
      <x:c r="Y555" s="604" t="inlineStr">
        <x:is>
          <x:t xml:space="preserve">V4</x:t>
        </x:is>
      </x:c>
      <x:c r="Z555" s="604" t="inlineStr">
        <x:is>
          <x:t xml:space="preserve">prior-2026-09-30-v1</x:t>
        </x:is>
      </x:c>
      <x:c r="AA555" s="604" t="inlineStr">
        <x:is>
          <x:t xml:space="preserve">B</x:t>
        </x:is>
      </x:c>
      <x:c r="AB555" s="604" t="n">
        <x:v>0.6770924717315636</x:v>
      </x:c>
      <x:c r="AC555" s="604" t="n">
        <x:v>0.1585495769917862</x:v>
      </x:c>
      <x:c r="AD555" s="604" t="n"/>
      <x:c r="AE555" s="604" t="n"/>
      <x:c r="AF555" s="604" t="n">
        <x:v>0.1643579512766503</x:v>
      </x:c>
      <x:c r="AG555" s="604" t="n">
        <x:v>0.3650991308825695</x:v>
      </x:c>
      <x:c r="AH555" s="604" t="n"/>
      <x:c r="AI555" s="604" t="n"/>
      <x:c r="AJ555" s="604" t="n">
        <x:v>0.3650991308825695</x:v>
      </x:c>
      <x:c r="AK555" s="604" t="n"/>
      <x:c r="AL555" s="604" t="n"/>
      <x:c r="AM555" s="604" t="n"/>
      <x:c r="AN555" s="604" t="inlineStr">
        <x:is>
          <x:t xml:space="preserve">EVALUATED</x:t>
        </x:is>
      </x:c>
      <x:c r="AO555" s="604" t="inlineStr">
        <x:is>
          <x:t xml:space="preserve">RECEIVING_VALIDATED_EDGE、BUCKET_PRIOR_ONLY、INTENT_INTERPRETATION_ONLY、EXPERT_MARKET</x:t>
        </x:is>
      </x:c>
      <x:c r="AP555" s="604" t="inlineStr">
        <x:is>
          <x:t xml:space="preserve">78e40180d63eb6441799</x:t>
        </x:is>
      </x:c>
      <x:c r="AQ555" s="604" t="n">
        <x:v>4.25</x:v>
      </x:c>
      <x:c r="AR555" s="604" t="n">
        <x:v>0.7</x:v>
      </x:c>
      <x:c r="AS555" s="604" t="n">
        <x:v>-4.25</x:v>
      </x:c>
      <x:c r="AT555" s="604" t="n">
        <x:v>4.25</x:v>
      </x:c>
      <x:c r="AU555" s="604" t="n">
        <x:v>0.7</x:v>
      </x:c>
      <x:c r="AV555" s="604" t="n">
        <x:v>1</x:v>
      </x:c>
      <x:c r="AW555" s="604" t="n">
        <x:v>46295.47214138889</x:v>
      </x:c>
      <x:c r="AX555" s="604" t="inlineStr">
        <x:is>
          <x:t xml:space="preserve">https://simondongxiao.github.io/odds/v4/</x:t>
        </x:is>
      </x:c>
      <x:c r="AY555" s="604" t="inlineStr">
        <x:is>
          <x:t xml:space="preserve">V4 Shadow Only；real_money=false；P(EV&gt;0)不是比赛胜率</x:t>
        </x:is>
      </x:c>
    </x:row>
    <x:row r="556" ht="22" customHeight="1">
      <x:c r="A556" s="604" t="inlineStr">
        <x:is>
          <x:t xml:space="preserve">2026-09-30</x:t>
        </x:is>
      </x:c>
      <x:c r="B556" s="604" t="inlineStr">
        <x:is>
          <x:t xml:space="preserve">2026-09-30 23:00</x:t>
        </x:is>
      </x:c>
      <x:c r="C556" s="604" t="str">
        <x:v>其他系列</x:v>
      </x:c>
      <x:c r="D556" s="604" t="inlineStr">
        <x:is>
          <x:t xml:space="preserve">联赛</x:t>
        </x:is>
      </x:c>
      <x:c r="E556" s="604" t="inlineStr">
        <x:is>
          <x:t xml:space="preserve">阿后备</x:t>
        </x:is>
      </x:c>
      <x:c r="F556" s="604" t="inlineStr">
        <x:is>
          <x:t xml:space="preserve">卡拉普莱后备队 vs 南埃斯特雷拉后备队</x:t>
        </x:is>
      </x:c>
      <x:c r="G556" s="604" t="n">
        <x:v>0.8</x:v>
      </x:c>
      <x:c r="H556" s="604" t="n">
        <x:v>0</x:v>
      </x:c>
      <x:c r="I556" s="604" t="n">
        <x:v>0.9</x:v>
      </x:c>
      <x:c r="J556" s="604" t="inlineStr">
        <x:is>
          <x:t xml:space="preserve">0.8/0/0.9</x:t>
        </x:is>
      </x:c>
      <x:c r="K556" s="604" t="inlineStr">
        <x:is>
          <x:t xml:space="preserve">V4-C｜EV +0.0076</x:t>
        </x:is>
      </x:c>
      <x:c r="L556" s="604" t="str"/>
      <x:c r="M556" s="604" t="n">
        <x:v>0.5603790166554908</x:v>
      </x:c>
      <x:c r="N556" s="604" t="inlineStr">
        <x:is>
          <x:t xml:space="preserve">V4纸面入选-C</x:t>
        </x:is>
      </x:c>
      <x:c r="O556" s="604" t="inlineStr">
        <x:is>
          <x:t xml:space="preserve">3-2</x:t>
        </x:is>
      </x:c>
      <x:c r="P556" s="604" t="inlineStr">
        <x:is>
          <x:t xml:space="preserve">已结算</x:t>
        </x:is>
      </x:c>
      <x:c r="Q556" s="645" t="inlineStr">
        <x:is>
          <x:t xml:space="preserve">红</x:t>
        </x:is>
      </x:c>
      <x:c r="R556" s="604" t="n">
        <x:v>0.9</x:v>
      </x:c>
      <x:c r="S556" s="604" t="n">
        <x:f>IF(OR(Q556="",Q556="待结算"),"",IF(Q556="红",R556,IF(Q556="半红",R556*0.5,IF(Q556="走",0,IF(Q556="半黑",-0.5,-1)))))</x:f>
        <x:v>0.9</x:v>
      </x:c>
      <x:c r="T556" s="604" t="inlineStr">
        <x:is>
          <x:t xml:space="preserve">https://m.titan007.com/analy/Analysis/3096741.htm</x:t>
        </x:is>
      </x:c>
      <x:c r="U556" s="646" t="str">
        <x:f>IF(Q556="","",IF(Q556="待结算","待结算",IF(Q556="红","黑",IF(Q556="半红","半黑",IF(Q556="走","走",IF(Q556="半黑","半红","红"))))))</x:f>
        <x:v>黑</x:v>
      </x:c>
      <x:c r="V556" s="604" t="n">
        <x:f>IF(OR(Q556="",Q556="待结算"),"",IF(L556=LEFT(F556,FIND(" vs ",F556)-1),I556,G556))</x:f>
        <x:v>0.8</x:v>
      </x:c>
      <x:c r="W556" s="604" t="n">
        <x:f>IF(OR(U556="",U556="待结算"),"",IF(U556="红",V556,IF(U556="半红",V556*0.5,IF(U556="走",0,IF(U556="半黑",-0.5,-1)))))</x:f>
        <x:v>-1</x:v>
      </x:c>
      <x:c r="X556" s="604" t="inlineStr">
        <x:is>
          <x:t xml:space="preserve">3096741</x:t>
        </x:is>
      </x:c>
      <x:c r="Y556" s="604" t="inlineStr">
        <x:is>
          <x:t xml:space="preserve">V4</x:t>
        </x:is>
      </x:c>
      <x:c r="Z556" s="604" t="inlineStr">
        <x:is>
          <x:t xml:space="preserve">prior-2026-09-30-v1</x:t>
        </x:is>
      </x:c>
      <x:c r="AA556" s="604" t="inlineStr">
        <x:is>
          <x:t xml:space="preserve">C</x:t>
        </x:is>
      </x:c>
      <x:c r="AB556" s="604" t="n">
        <x:v>0.3613765438166247</x:v>
      </x:c>
      <x:c r="AC556" s="604" t="n">
        <x:v>0.2550694039264987</x:v>
      </x:c>
      <x:c r="AD556" s="604" t="n"/>
      <x:c r="AE556" s="604" t="n"/>
      <x:c r="AF556" s="604" t="n">
        <x:v>0.3835540522568766</x:v>
      </x:c>
      <x:c r="AG556" s="604" t="n">
        <x:v>0.007574944367022718</x:v>
      </x:c>
      <x:c r="AH556" s="604" t="n"/>
      <x:c r="AI556" s="604" t="n"/>
      <x:c r="AJ556" s="604" t="n">
        <x:v>0.007574944367022718</x:v>
      </x:c>
      <x:c r="AK556" s="604" t="n"/>
      <x:c r="AL556" s="604" t="n"/>
      <x:c r="AM556" s="604" t="n"/>
      <x:c r="AN556" s="604" t="inlineStr">
        <x:is>
          <x:t xml:space="preserve">EVALUATED</x:t>
        </x:is>
      </x:c>
      <x:c r="AO556" s="604" t="inlineStr">
        <x:is>
          <x:t xml:space="preserve">EDGE_BELOW_UNCERTAINTY_THRESHOLD、BUCKET_PRIOR_ONLY、INTENT_INTERPRETATION_ONLY、EXPERT_MARKET</x:t>
        </x:is>
      </x:c>
      <x:c r="AP556" s="604" t="inlineStr">
        <x:is>
          <x:t xml:space="preserve">fd8b64c5fdea4f6f87e5</x:t>
        </x:is>
      </x:c>
      <x:c r="AQ556" s="604" t="n">
        <x:v>0</x:v>
      </x:c>
      <x:c r="AR556" s="604" t="n"/>
      <x:c r="AS556" s="604" t="n">
        <x:v>0</x:v>
      </x:c>
      <x:c r="AT556" s="604" t="n">
        <x:v>0</x:v>
      </x:c>
      <x:c r="AU556" s="604" t="n">
        <x:v>0.8</x:v>
      </x:c>
      <x:c r="AV556" s="604" t="n">
        <x:v>0.9</x:v>
      </x:c>
      <x:c r="AW556" s="604" t="n">
        <x:v>46295.48723729167</x:v>
      </x:c>
      <x:c r="AX556" s="604" t="inlineStr">
        <x:is>
          <x:t xml:space="preserve">https://simondongxiao.github.io/odds/v4/</x:t>
        </x:is>
      </x:c>
      <x:c r="AY556" s="604" t="inlineStr">
        <x:is>
          <x:t xml:space="preserve">V4 Shadow Only；real_money=false；P(EV&gt;0)不是比赛胜率</x:t>
        </x:is>
      </x:c>
    </x:row>
    <x:row r="557" ht="22" customHeight="1">
      <x:c r="A557" s="604" t="inlineStr">
        <x:is>
          <x:t xml:space="preserve">2026-09-30</x:t>
        </x:is>
      </x:c>
      <x:c r="B557" s="604" t="inlineStr">
        <x:is>
          <x:t xml:space="preserve">2026-10-01 00:00</x:t>
        </x:is>
      </x:c>
      <x:c r="C557" s="604" t="str">
        <x:v>其他系列</x:v>
      </x:c>
      <x:c r="D557" s="604" t="inlineStr">
        <x:is>
          <x:t xml:space="preserve">杯赛</x:t>
        </x:is>
      </x:c>
      <x:c r="E557" s="604" t="inlineStr">
        <x:is>
          <x:t xml:space="preserve">非洲杯</x:t>
        </x:is>
      </x:c>
      <x:c r="F557" s="604" t="inlineStr">
        <x:is>
          <x:t xml:space="preserve">厄立特里亚 vs 南非</x:t>
        </x:is>
      </x:c>
      <x:c r="G557" s="604" t="n">
        <x:v>0.93</x:v>
      </x:c>
      <x:c r="H557" s="604" t="n">
        <x:v>-1.75</x:v>
      </x:c>
      <x:c r="I557" s="604" t="n">
        <x:v>0.89</x:v>
      </x:c>
      <x:c r="J557" s="604" t="inlineStr">
        <x:is>
          <x:t xml:space="preserve">0.93/-1.75/0.89</x:t>
        </x:is>
      </x:c>
      <x:c r="K557" s="604" t="inlineStr">
        <x:is>
          <x:t xml:space="preserve">V4-C｜EV +0.0641</x:t>
        </x:is>
      </x:c>
      <x:c r="L557" s="604" t="inlineStr">
        <x:is>
          <x:t xml:space="preserve">南非</x:t>
        </x:is>
      </x:c>
      <x:c r="M557" s="604" t="n">
        <x:v>0.5677298567898639</x:v>
      </x:c>
      <x:c r="N557" s="604" t="inlineStr">
        <x:is>
          <x:t xml:space="preserve">V4纸面入选-C</x:t>
        </x:is>
      </x:c>
      <x:c r="O557" s="604" t="inlineStr">
        <x:is>
          <x:t xml:space="preserve">0-5</x:t>
        </x:is>
      </x:c>
      <x:c r="P557" s="604" t="inlineStr">
        <x:is>
          <x:t xml:space="preserve">已结算</x:t>
        </x:is>
      </x:c>
      <x:c r="Q557" s="646" t="inlineStr">
        <x:is>
          <x:t xml:space="preserve">黑</x:t>
        </x:is>
      </x:c>
      <x:c r="R557" s="604" t="n">
        <x:v>0.89</x:v>
      </x:c>
      <x:c r="S557" s="604" t="n">
        <x:f>IF(OR(Q557="",Q557="待结算"),"",IF(Q557="红",R557,IF(Q557="半红",R557*0.5,IF(Q557="走",0,IF(Q557="半黑",-0.5,-1)))))</x:f>
        <x:v>-1</x:v>
      </x:c>
      <x:c r="T557" s="604" t="inlineStr">
        <x:is>
          <x:t xml:space="preserve">https://m.titan007.com/analy/Analysis/3001034.htm</x:t>
        </x:is>
      </x:c>
      <x:c r="U557" s="645" t="str">
        <x:f>IF(Q557="","",IF(Q557="待结算","待结算",IF(Q557="红","黑",IF(Q557="半红","半黑",IF(Q557="走","走",IF(Q557="半黑","半红","红"))))))</x:f>
        <x:v>红</x:v>
      </x:c>
      <x:c r="V557" s="604" t="n">
        <x:f>IF(OR(Q557="",Q557="待结算"),"",IF(L557=LEFT(F557,FIND(" vs ",F557)-1),I557,G557))</x:f>
        <x:v>0.93</x:v>
      </x:c>
      <x:c r="W557" s="604" t="n">
        <x:f>IF(OR(U557="",U557="待结算"),"",IF(U557="红",V557,IF(U557="半红",V557*0.5,IF(U557="走",0,IF(U557="半黑",-0.5,-1)))))</x:f>
        <x:v>0.93</x:v>
      </x:c>
      <x:c r="X557" s="604" t="inlineStr">
        <x:is>
          <x:t xml:space="preserve">3001034</x:t>
        </x:is>
      </x:c>
      <x:c r="Y557" s="604" t="inlineStr">
        <x:is>
          <x:t xml:space="preserve">V4</x:t>
        </x:is>
      </x:c>
      <x:c r="Z557" s="604" t="inlineStr">
        <x:is>
          <x:t xml:space="preserve">prior-2026-09-30-v1</x:t>
        </x:is>
      </x:c>
      <x:c r="AA557" s="604" t="inlineStr">
        <x:is>
          <x:t xml:space="preserve">C</x:t>
        </x:is>
      </x:c>
      <x:c r="AB557" s="604" t="n">
        <x:v>0.3761720988070643</x:v>
      </x:c>
      <x:c r="AC557" s="604" t="n">
        <x:v>0.24437597734477</x:v>
      </x:c>
      <x:c r="AD557" s="604" t="n"/>
      <x:c r="AE557" s="604" t="n"/>
      <x:c r="AF557" s="604" t="n">
        <x:v>0.3794519238481658</x:v>
      </x:c>
      <x:c r="AG557" s="604" t="n">
        <x:v>0.06408855400854396</x:v>
      </x:c>
      <x:c r="AH557" s="604" t="n"/>
      <x:c r="AI557" s="604" t="n"/>
      <x:c r="AJ557" s="604" t="n">
        <x:v>0.06408855400854396</x:v>
      </x:c>
      <x:c r="AK557" s="604" t="n"/>
      <x:c r="AL557" s="604" t="n"/>
      <x:c r="AM557" s="604" t="n"/>
      <x:c r="AN557" s="604" t="inlineStr">
        <x:is>
          <x:t xml:space="preserve">EVALUATED</x:t>
        </x:is>
      </x:c>
      <x:c r="AO557" s="604" t="inlineStr">
        <x:is>
          <x:t xml:space="preserve">GIVING_VALIDATED_EDGE、BUCKET_PRIOR_ONLY、INTENT_INTERPRETATION_ONLY、EXPERT_MARKET</x:t>
        </x:is>
      </x:c>
      <x:c r="AP557" s="604" t="inlineStr">
        <x:is>
          <x:t xml:space="preserve">88405bfbdcdd35670865</x:t>
        </x:is>
      </x:c>
      <x:c r="AQ557" s="604" t="n">
        <x:v>-1.75</x:v>
      </x:c>
      <x:c r="AR557" s="604" t="n">
        <x:v>0.89</x:v>
      </x:c>
      <x:c r="AS557" s="604" t="n">
        <x:v>-1.75</x:v>
      </x:c>
      <x:c r="AT557" s="604" t="n">
        <x:v>1.75</x:v>
      </x:c>
      <x:c r="AU557" s="604" t="n">
        <x:v>0.93</x:v>
      </x:c>
      <x:c r="AV557" s="604" t="n">
        <x:v>0.89</x:v>
      </x:c>
      <x:c r="AW557" s="604" t="n">
        <x:v>46295.47214138889</x:v>
      </x:c>
      <x:c r="AX557" s="604" t="inlineStr">
        <x:is>
          <x:t xml:space="preserve">https://simondongxiao.github.io/odds/v4/</x:t>
        </x:is>
      </x:c>
      <x:c r="AY557" s="604" t="inlineStr">
        <x:is>
          <x:t xml:space="preserve">V4 Shadow Only；real_money=false；P(EV&gt;0)不是比赛胜率</x:t>
        </x:is>
      </x:c>
    </x:row>
    <x:row r="558" ht="22" customHeight="1">
      <x:c r="A558" s="604" t="inlineStr">
        <x:is>
          <x:t xml:space="preserve">2026-09-30</x:t>
        </x:is>
      </x:c>
      <x:c r="B558" s="604" t="inlineStr">
        <x:is>
          <x:t xml:space="preserve">2026-10-01 00:00</x:t>
        </x:is>
      </x:c>
      <x:c r="C558" s="604" t="str">
        <x:v>欧洲非五大系列</x:v>
      </x:c>
      <x:c r="D558" s="604" t="inlineStr">
        <x:is>
          <x:t xml:space="preserve">联赛</x:t>
        </x:is>
      </x:c>
      <x:c r="E558" s="604" t="inlineStr">
        <x:is>
          <x:t xml:space="preserve">欧青U21外</x:t>
        </x:is>
      </x:c>
      <x:c r="F558" s="604" t="inlineStr">
        <x:is>
          <x:t xml:space="preserve">捷克U21 vs 保加利亚U21</x:t>
        </x:is>
      </x:c>
      <x:c r="G558" s="604" t="n">
        <x:v>1.05</x:v>
      </x:c>
      <x:c r="H558" s="604" t="n">
        <x:v>1.25</x:v>
      </x:c>
      <x:c r="I558" s="604" t="n">
        <x:v>0.77</x:v>
      </x:c>
      <x:c r="J558" s="604" t="inlineStr">
        <x:is>
          <x:t xml:space="preserve">1.05/1.25/0.77</x:t>
        </x:is>
      </x:c>
      <x:c r="K558" s="604" t="inlineStr">
        <x:is>
          <x:t xml:space="preserve">V4-C｜EV +0.1446</x:t>
        </x:is>
      </x:c>
      <x:c r="L558" s="604" t="inlineStr">
        <x:is>
          <x:t xml:space="preserve">捷克U21</x:t>
        </x:is>
      </x:c>
      <x:c r="M558" s="604" t="n">
        <x:v>0.5684582000395414</x:v>
      </x:c>
      <x:c r="N558" s="604" t="inlineStr">
        <x:is>
          <x:t xml:space="preserve">V4纸面入选-C</x:t>
        </x:is>
      </x:c>
      <x:c r="O558" s="604" t="inlineStr">
        <x:is>
          <x:t xml:space="preserve">1-0</x:t>
        </x:is>
      </x:c>
      <x:c r="P558" s="604" t="inlineStr">
        <x:is>
          <x:t xml:space="preserve">已结算</x:t>
        </x:is>
      </x:c>
      <x:c r="Q558" s="648" t="inlineStr">
        <x:is>
          <x:t xml:space="preserve">半黑</x:t>
        </x:is>
      </x:c>
      <x:c r="R558" s="604" t="n">
        <x:v>1.05</x:v>
      </x:c>
      <x:c r="S558" s="604" t="n">
        <x:f>IF(OR(Q558="",Q558="待结算"),"",IF(Q558="红",R558,IF(Q558="半红",R558*0.5,IF(Q558="走",0,IF(Q558="半黑",-0.5,-1)))))</x:f>
        <x:v>-0.5</x:v>
      </x:c>
      <x:c r="T558" s="604" t="inlineStr">
        <x:is>
          <x:t xml:space="preserve">https://m.titan007.com/analy/Analysis/2781256.htm</x:t>
        </x:is>
      </x:c>
      <x:c r="U558" s="649" t="str">
        <x:f>IF(Q558="","",IF(Q558="待结算","待结算",IF(Q558="红","黑",IF(Q558="半红","半黑",IF(Q558="走","走",IF(Q558="半黑","半红","红"))))))</x:f>
        <x:v>半红</x:v>
      </x:c>
      <x:c r="V558" s="604" t="n">
        <x:f>IF(OR(Q558="",Q558="待结算"),"",IF(L558=LEFT(F558,FIND(" vs ",F558)-1),I558,G558))</x:f>
        <x:v>0.77</x:v>
      </x:c>
      <x:c r="W558" s="604" t="n">
        <x:f>IF(OR(U558="",U558="待结算"),"",IF(U558="红",V558,IF(U558="半红",V558*0.5,IF(U558="走",0,IF(U558="半黑",-0.5,-1)))))</x:f>
        <x:v>0.385</x:v>
      </x:c>
      <x:c r="X558" s="604" t="inlineStr">
        <x:is>
          <x:t xml:space="preserve">2781256</x:t>
        </x:is>
      </x:c>
      <x:c r="Y558" s="604" t="inlineStr">
        <x:is>
          <x:t xml:space="preserve">V4</x:t>
        </x:is>
      </x:c>
      <x:c r="Z558" s="604" t="inlineStr">
        <x:is>
          <x:t xml:space="preserve">prior-2026-09-30-v1</x:t>
        </x:is>
      </x:c>
      <x:c r="AA558" s="604" t="inlineStr">
        <x:is>
          <x:t xml:space="preserve">C</x:t>
        </x:is>
      </x:c>
      <x:c r="AB558" s="604" t="n">
        <x:v>0.4971626865996868</x:v>
      </x:c>
      <x:c r="AC558" s="604" t="n"/>
      <x:c r="AD558" s="604" t="n"/>
      <x:c r="AE558" s="604" t="n">
        <x:v>0.2508381915676313</x:v>
      </x:c>
      <x:c r="AF558" s="604" t="n">
        <x:v>0.251999121832682</x:v>
      </x:c>
      <x:c r="AG558" s="604" t="n">
        <x:v>0.1446026033131735</x:v>
      </x:c>
      <x:c r="AH558" s="604" t="n"/>
      <x:c r="AI558" s="604" t="n"/>
      <x:c r="AJ558" s="604" t="n">
        <x:v>0.1446026033131735</x:v>
      </x:c>
      <x:c r="AK558" s="604" t="n"/>
      <x:c r="AL558" s="604" t="n"/>
      <x:c r="AM558" s="604" t="n"/>
      <x:c r="AN558" s="604" t="inlineStr">
        <x:is>
          <x:t xml:space="preserve">EVALUATED</x:t>
        </x:is>
      </x:c>
      <x:c r="AO558" s="604" t="inlineStr">
        <x:is>
          <x:t xml:space="preserve">GIVING_VALIDATED_EDGE、BUCKET_PRIOR_ONLY、INTENT_INTERPRETATION_ONLY、EXPERT_MARKET</x:t>
        </x:is>
      </x:c>
      <x:c r="AP558" s="604" t="inlineStr">
        <x:is>
          <x:t xml:space="preserve">d760fc427d99edb3e4b9</x:t>
        </x:is>
      </x:c>
      <x:c r="AQ558" s="604" t="n">
        <x:v>-1.25</x:v>
      </x:c>
      <x:c r="AR558" s="604" t="n">
        <x:v>1.05</x:v>
      </x:c>
      <x:c r="AS558" s="604" t="n">
        <x:v>1.25</x:v>
      </x:c>
      <x:c r="AT558" s="604" t="n">
        <x:v>-1.25</x:v>
      </x:c>
      <x:c r="AU558" s="604" t="n">
        <x:v>1.05</x:v>
      </x:c>
      <x:c r="AV558" s="604" t="n">
        <x:v>0.77</x:v>
      </x:c>
      <x:c r="AW558" s="604" t="n">
        <x:v>46295.47214138889</x:v>
      </x:c>
      <x:c r="AX558" s="604" t="inlineStr">
        <x:is>
          <x:t xml:space="preserve">https://simondongxiao.github.io/odds/v4/</x:t>
        </x:is>
      </x:c>
      <x:c r="AY558" s="604" t="inlineStr">
        <x:is>
          <x:t xml:space="preserve">V4 Shadow Only；real_money=false；P(EV&gt;0)不是比赛胜率</x:t>
        </x:is>
      </x:c>
    </x:row>
    <x:row r="559" ht="22" customHeight="1">
      <x:c r="A559" s="604" t="inlineStr">
        <x:is>
          <x:t xml:space="preserve">2026-09-30</x:t>
        </x:is>
      </x:c>
      <x:c r="B559" s="604" t="inlineStr">
        <x:is>
          <x:t xml:space="preserve">2026-10-01 00:00</x:t>
        </x:is>
      </x:c>
      <x:c r="C559" s="604" t="str">
        <x:v>欧洲非五大系列</x:v>
      </x:c>
      <x:c r="D559" s="604" t="inlineStr">
        <x:is>
          <x:t xml:space="preserve">联赛</x:t>
        </x:is>
      </x:c>
      <x:c r="E559" s="604" t="inlineStr">
        <x:is>
          <x:t xml:space="preserve">欧青U21外</x:t>
        </x:is>
      </x:c>
      <x:c r="F559" s="604" t="inlineStr">
        <x:is>
          <x:t xml:space="preserve">波兰U21 vs 瑞典U21</x:t>
        </x:is>
      </x:c>
      <x:c r="G559" s="604" t="n">
        <x:v>1.02</x:v>
      </x:c>
      <x:c r="H559" s="604" t="n">
        <x:v>0</x:v>
      </x:c>
      <x:c r="I559" s="604" t="n">
        <x:v>0.8</x:v>
      </x:c>
      <x:c r="J559" s="604" t="inlineStr">
        <x:is>
          <x:t xml:space="preserve">1.02/0/0.8</x:t>
        </x:is>
      </x:c>
      <x:c r="K559" s="604" t="inlineStr">
        <x:is>
          <x:t xml:space="preserve">V4-C｜EV +0.0361</x:t>
        </x:is>
      </x:c>
      <x:c r="L559" s="604" t="str"/>
      <x:c r="M559" s="604" t="n">
        <x:v>0.5190457569837533</x:v>
      </x:c>
      <x:c r="N559" s="604" t="inlineStr">
        <x:is>
          <x:t xml:space="preserve">V4纸面入选-C</x:t>
        </x:is>
      </x:c>
      <x:c r="O559" s="604" t="inlineStr">
        <x:is>
          <x:t xml:space="preserve">3-0</x:t>
        </x:is>
      </x:c>
      <x:c r="P559" s="604" t="inlineStr">
        <x:is>
          <x:t xml:space="preserve">已结算</x:t>
        </x:is>
      </x:c>
      <x:c r="Q559" s="645" t="inlineStr">
        <x:is>
          <x:t xml:space="preserve">红</x:t>
        </x:is>
      </x:c>
      <x:c r="R559" s="604" t="n">
        <x:v>0.8</x:v>
      </x:c>
      <x:c r="S559" s="604" t="n">
        <x:f>IF(OR(Q559="",Q559="待结算"),"",IF(Q559="红",R559,IF(Q559="半红",R559*0.5,IF(Q559="走",0,IF(Q559="半黑",-0.5,-1)))))</x:f>
        <x:v>0.8</x:v>
      </x:c>
      <x:c r="T559" s="604" t="inlineStr">
        <x:is>
          <x:t xml:space="preserve">https://m.titan007.com/analy/Analysis/2781315.htm</x:t>
        </x:is>
      </x:c>
      <x:c r="U559" s="646" t="str">
        <x:f>IF(Q559="","",IF(Q559="待结算","待结算",IF(Q559="红","黑",IF(Q559="半红","半黑",IF(Q559="走","走",IF(Q559="半黑","半红","红"))))))</x:f>
        <x:v>黑</x:v>
      </x:c>
      <x:c r="V559" s="604" t="n">
        <x:f>IF(OR(Q559="",Q559="待结算"),"",IF(L559=LEFT(F559,FIND(" vs ",F559)-1),I559,G559))</x:f>
        <x:v>1.02</x:v>
      </x:c>
      <x:c r="W559" s="604" t="n">
        <x:f>IF(OR(U559="",U559="待结算"),"",IF(U559="红",V559,IF(U559="半红",V559*0.5,IF(U559="走",0,IF(U559="半黑",-0.5,-1)))))</x:f>
        <x:v>-1</x:v>
      </x:c>
      <x:c r="X559" s="604" t="inlineStr">
        <x:is>
          <x:t xml:space="preserve">2781315</x:t>
        </x:is>
      </x:c>
      <x:c r="Y559" s="604" t="inlineStr">
        <x:is>
          <x:t xml:space="preserve">V4</x:t>
        </x:is>
      </x:c>
      <x:c r="Z559" s="604" t="inlineStr">
        <x:is>
          <x:t xml:space="preserve">prior-2026-09-30-v1</x:t>
        </x:is>
      </x:c>
      <x:c r="AA559" s="604" t="inlineStr">
        <x:is>
          <x:t xml:space="preserve">C</x:t>
        </x:is>
      </x:c>
      <x:c r="AB559" s="604" t="n">
        <x:v>0.3865813729356519</x:v>
      </x:c>
      <x:c r="AC559" s="604" t="n"/>
      <x:c r="AD559" s="604" t="n">
        <x:v>0.2552075270162505</x:v>
      </x:c>
      <x:c r="AE559" s="604" t="n"/>
      <x:c r="AF559" s="604" t="n">
        <x:v>0.3582111000480975</x:v>
      </x:c>
      <x:c r="AG559" s="604" t="n">
        <x:v>0.03610190034626737</x:v>
      </x:c>
      <x:c r="AH559" s="604" t="n"/>
      <x:c r="AI559" s="604" t="n"/>
      <x:c r="AJ559" s="604" t="n">
        <x:v>0.03610190034626737</x:v>
      </x:c>
      <x:c r="AK559" s="604" t="n"/>
      <x:c r="AL559" s="604" t="n"/>
      <x:c r="AM559" s="604" t="n"/>
      <x:c r="AN559" s="604" t="inlineStr">
        <x:is>
          <x:t xml:space="preserve">EVALUATED</x:t>
        </x:is>
      </x:c>
      <x:c r="AO559" s="604" t="inlineStr">
        <x:is>
          <x:t xml:space="preserve">EDGE_BELOW_UNCERTAINTY_THRESHOLD、BUCKET_PRIOR_ONLY、INTENT_INTERPRETATION_ONLY、EXPERT_MARKET</x:t>
        </x:is>
      </x:c>
      <x:c r="AP559" s="604" t="inlineStr">
        <x:is>
          <x:t xml:space="preserve">45a356be69a4fa1b8f7c</x:t>
        </x:is>
      </x:c>
      <x:c r="AQ559" s="604" t="n">
        <x:v>0</x:v>
      </x:c>
      <x:c r="AR559" s="604" t="n"/>
      <x:c r="AS559" s="604" t="n">
        <x:v>0</x:v>
      </x:c>
      <x:c r="AT559" s="604" t="n">
        <x:v>0</x:v>
      </x:c>
      <x:c r="AU559" s="604" t="n">
        <x:v>1.02</x:v>
      </x:c>
      <x:c r="AV559" s="604" t="n">
        <x:v>0.8</x:v>
      </x:c>
      <x:c r="AW559" s="604" t="n">
        <x:v>46295.47214138889</x:v>
      </x:c>
      <x:c r="AX559" s="604" t="inlineStr">
        <x:is>
          <x:t xml:space="preserve">https://simondongxiao.github.io/odds/v4/</x:t>
        </x:is>
      </x:c>
      <x:c r="AY559" s="604" t="inlineStr">
        <x:is>
          <x:t xml:space="preserve">V4 Shadow Only；real_money=false；P(EV&gt;0)不是比赛胜率</x:t>
        </x:is>
      </x:c>
    </x:row>
    <x:row r="560" ht="22" customHeight="1">
      <x:c r="A560" s="604" t="inlineStr">
        <x:is>
          <x:t xml:space="preserve">2026-09-30</x:t>
        </x:is>
      </x:c>
      <x:c r="B560" s="604" t="inlineStr">
        <x:is>
          <x:t xml:space="preserve">2026-10-01 00:00</x:t>
        </x:is>
      </x:c>
      <x:c r="C560" s="604" t="str">
        <x:v>欧洲非五大系列</x:v>
      </x:c>
      <x:c r="D560" s="604" t="inlineStr">
        <x:is>
          <x:t xml:space="preserve">杯赛</x:t>
        </x:is>
      </x:c>
      <x:c r="E560" s="604" t="inlineStr">
        <x:is>
          <x:t xml:space="preserve">挪威杯</x:t>
        </x:is>
      </x:c>
      <x:c r="F560" s="604" t="inlineStr">
        <x:is>
          <x:t xml:space="preserve">侯尼霍斯 vs KFUM奥斯陆</x:t>
        </x:is>
      </x:c>
      <x:c r="G560" s="604" t="n">
        <x:v>0.9399999999999999</x:v>
      </x:c>
      <x:c r="H560" s="604" t="n">
        <x:v>0</x:v>
      </x:c>
      <x:c r="I560" s="604" t="n">
        <x:v>0.76</x:v>
      </x:c>
      <x:c r="J560" s="604" t="inlineStr">
        <x:is>
          <x:t xml:space="preserve">0.94/0/0.76</x:t>
        </x:is>
      </x:c>
      <x:c r="K560" s="604" t="inlineStr">
        <x:is>
          <x:t xml:space="preserve">V4-C｜EV +0.0092</x:t>
        </x:is>
      </x:c>
      <x:c r="L560" s="604" t="str"/>
      <x:c r="M560" s="604" t="n">
        <x:v>0.5751859292265769</x:v>
      </x:c>
      <x:c r="N560" s="604" t="inlineStr">
        <x:is>
          <x:t xml:space="preserve">V4纸面入选-C</x:t>
        </x:is>
      </x:c>
      <x:c r="O560" s="604" t="inlineStr">
        <x:is>
          <x:t xml:space="preserve">0-2</x:t>
        </x:is>
      </x:c>
      <x:c r="P560" s="604" t="inlineStr">
        <x:is>
          <x:t xml:space="preserve">已结算</x:t>
        </x:is>
      </x:c>
      <x:c r="Q560" s="646" t="inlineStr">
        <x:is>
          <x:t xml:space="preserve">黑</x:t>
        </x:is>
      </x:c>
      <x:c r="R560" s="604" t="n">
        <x:v>0.76</x:v>
      </x:c>
      <x:c r="S560" s="604" t="n">
        <x:f>IF(OR(Q560="",Q560="待结算"),"",IF(Q560="红",R560,IF(Q560="半红",R560*0.5,IF(Q560="走",0,IF(Q560="半黑",-0.5,-1)))))</x:f>
        <x:v>-1</x:v>
      </x:c>
      <x:c r="T560" s="604" t="inlineStr">
        <x:is>
          <x:t xml:space="preserve">https://m.titan007.com/analy/Analysis/3084260.htm</x:t>
        </x:is>
      </x:c>
      <x:c r="U560" s="645" t="str">
        <x:f>IF(Q560="","",IF(Q560="待结算","待结算",IF(Q560="红","黑",IF(Q560="半红","半黑",IF(Q560="走","走",IF(Q560="半黑","半红","红"))))))</x:f>
        <x:v>红</x:v>
      </x:c>
      <x:c r="V560" s="604" t="n">
        <x:f>IF(OR(Q560="",Q560="待结算"),"",IF(L560=LEFT(F560,FIND(" vs ",F560)-1),I560,G560))</x:f>
        <x:v>0.94</x:v>
      </x:c>
      <x:c r="W560" s="604" t="n">
        <x:f>IF(OR(U560="",U560="待结算"),"",IF(U560="红",V560,IF(U560="半红",V560*0.5,IF(U560="走",0,IF(U560="半黑",-0.5,-1)))))</x:f>
        <x:v>0.94</x:v>
      </x:c>
      <x:c r="X560" s="604" t="inlineStr">
        <x:is>
          <x:t xml:space="preserve">3084260</x:t>
        </x:is>
      </x:c>
      <x:c r="Y560" s="604" t="inlineStr">
        <x:is>
          <x:t xml:space="preserve">V4</x:t>
        </x:is>
      </x:c>
      <x:c r="Z560" s="604" t="inlineStr">
        <x:is>
          <x:t xml:space="preserve">prior-2026-09-30-v1</x:t>
        </x:is>
      </x:c>
      <x:c r="AA560" s="604" t="inlineStr">
        <x:is>
          <x:t xml:space="preserve">C</x:t>
        </x:is>
      </x:c>
      <x:c r="AB560" s="604" t="n">
        <x:v>0.4285754885976448</x:v>
      </x:c>
      <x:c r="AC560" s="604" t="n"/>
      <x:c r="AD560" s="604" t="n">
        <x:v>0.2548922586233492</x:v>
      </x:c>
      <x:c r="AE560" s="604" t="n"/>
      <x:c r="AF560" s="604" t="n">
        <x:v>0.316532252779006</x:v>
      </x:c>
      <x:c r="AG560" s="604" t="n">
        <x:v>0.009185118555204097</x:v>
      </x:c>
      <x:c r="AH560" s="604" t="n"/>
      <x:c r="AI560" s="604" t="n"/>
      <x:c r="AJ560" s="604" t="n">
        <x:v>0.009185118555204097</x:v>
      </x:c>
      <x:c r="AK560" s="604" t="n"/>
      <x:c r="AL560" s="604" t="n"/>
      <x:c r="AM560" s="604" t="n"/>
      <x:c r="AN560" s="604" t="inlineStr">
        <x:is>
          <x:t xml:space="preserve">EVALUATED</x:t>
        </x:is>
      </x:c>
      <x:c r="AO560" s="604" t="inlineStr">
        <x:is>
          <x:t xml:space="preserve">EDGE_BELOW_UNCERTAINTY_THRESHOLD、BUCKET_PRIOR_ONLY、INTENT_INTERPRETATION_ONLY、EXPERT_MARKET</x:t>
        </x:is>
      </x:c>
      <x:c r="AP560" s="604" t="inlineStr">
        <x:is>
          <x:t xml:space="preserve">edb1c90225f3340210bd</x:t>
        </x:is>
      </x:c>
      <x:c r="AQ560" s="604" t="n">
        <x:v>0</x:v>
      </x:c>
      <x:c r="AR560" s="604" t="n"/>
      <x:c r="AS560" s="604" t="n">
        <x:v>0</x:v>
      </x:c>
      <x:c r="AT560" s="604" t="n">
        <x:v>0</x:v>
      </x:c>
      <x:c r="AU560" s="604" t="n">
        <x:v>0.9399999999999999</x:v>
      </x:c>
      <x:c r="AV560" s="604" t="n">
        <x:v>0.76</x:v>
      </x:c>
      <x:c r="AW560" s="604" t="n">
        <x:v>46295.48723729167</x:v>
      </x:c>
      <x:c r="AX560" s="604" t="inlineStr">
        <x:is>
          <x:t xml:space="preserve">https://simondongxiao.github.io/odds/v4/</x:t>
        </x:is>
      </x:c>
      <x:c r="AY560" s="604" t="inlineStr">
        <x:is>
          <x:t xml:space="preserve">V4 Shadow Only；real_money=false；P(EV&gt;0)不是比赛胜率</x:t>
        </x:is>
      </x:c>
    </x:row>
    <x:row r="561" ht="22" customHeight="1">
      <x:c r="A561" s="604" t="inlineStr">
        <x:is>
          <x:t xml:space="preserve">2026-09-30</x:t>
        </x:is>
      </x:c>
      <x:c r="B561" s="604" t="inlineStr">
        <x:is>
          <x:t xml:space="preserve">2026-10-01 00:00</x:t>
        </x:is>
      </x:c>
      <x:c r="C561" s="604" t="str">
        <x:v>日韩系列</x:v>
      </x:c>
      <x:c r="D561" s="604" t="inlineStr">
        <x:is>
          <x:t xml:space="preserve">杯赛</x:t>
        </x:is>
      </x:c>
      <x:c r="E561" s="604" t="inlineStr">
        <x:is>
          <x:t xml:space="preserve">皇后杯</x:t>
        </x:is>
      </x:c>
      <x:c r="F561" s="604" t="inlineStr">
        <x:is>
          <x:t xml:space="preserve">韦尔瓦女足 vs 科尔多瓦女足</x:t>
        </x:is>
      </x:c>
      <x:c r="G561" s="604" t="n">
        <x:v>0.99</x:v>
      </x:c>
      <x:c r="H561" s="604" t="n">
        <x:v>1</x:v>
      </x:c>
      <x:c r="I561" s="604" t="n">
        <x:v>0.83</x:v>
      </x:c>
      <x:c r="J561" s="604" t="inlineStr">
        <x:is>
          <x:t xml:space="preserve">0.99/1/0.83</x:t>
        </x:is>
      </x:c>
      <x:c r="K561" s="604" t="inlineStr">
        <x:is>
          <x:t xml:space="preserve">V4-C｜EV +0.0674</x:t>
        </x:is>
      </x:c>
      <x:c r="L561" s="604" t="inlineStr">
        <x:is>
          <x:t xml:space="preserve">韦尔瓦女足</x:t>
        </x:is>
      </x:c>
      <x:c r="M561" s="604" t="n">
        <x:v>0.5480416002876656</x:v>
      </x:c>
      <x:c r="N561" s="604" t="inlineStr">
        <x:is>
          <x:t xml:space="preserve">V4纸面入选-C</x:t>
        </x:is>
      </x:c>
      <x:c r="O561" s="604" t="inlineStr">
        <x:is>
          <x:t xml:space="preserve">7-1</x:t>
        </x:is>
      </x:c>
      <x:c r="P561" s="604" t="inlineStr">
        <x:is>
          <x:t xml:space="preserve">已结算</x:t>
        </x:is>
      </x:c>
      <x:c r="Q561" s="645" t="inlineStr">
        <x:is>
          <x:t xml:space="preserve">红</x:t>
        </x:is>
      </x:c>
      <x:c r="R561" s="604" t="n">
        <x:v>0.99</x:v>
      </x:c>
      <x:c r="S561" s="604" t="n">
        <x:f>IF(OR(Q561="",Q561="待结算"),"",IF(Q561="红",R561,IF(Q561="半红",R561*0.5,IF(Q561="走",0,IF(Q561="半黑",-0.5,-1)))))</x:f>
        <x:v>0.99</x:v>
      </x:c>
      <x:c r="T561" s="604" t="inlineStr">
        <x:is>
          <x:t xml:space="preserve">https://m.titan007.com/analy/Analysis/3094984.htm</x:t>
        </x:is>
      </x:c>
      <x:c r="U561" s="646" t="str">
        <x:f>IF(Q561="","",IF(Q561="待结算","待结算",IF(Q561="红","黑",IF(Q561="半红","半黑",IF(Q561="走","走",IF(Q561="半黑","半红","红"))))))</x:f>
        <x:v>黑</x:v>
      </x:c>
      <x:c r="V561" s="604" t="n">
        <x:f>IF(OR(Q561="",Q561="待结算"),"",IF(L561=LEFT(F561,FIND(" vs ",F561)-1),I561,G561))</x:f>
        <x:v>0.83</x:v>
      </x:c>
      <x:c r="W561" s="604" t="n">
        <x:f>IF(OR(U561="",U561="待结算"),"",IF(U561="红",V561,IF(U561="半红",V561*0.5,IF(U561="走",0,IF(U561="半黑",-0.5,-1)))))</x:f>
        <x:v>-1</x:v>
      </x:c>
      <x:c r="X561" s="604" t="inlineStr">
        <x:is>
          <x:t xml:space="preserve">3094984</x:t>
        </x:is>
      </x:c>
      <x:c r="Y561" s="604" t="inlineStr">
        <x:is>
          <x:t xml:space="preserve">V4</x:t>
        </x:is>
      </x:c>
      <x:c r="Z561" s="604" t="inlineStr">
        <x:is>
          <x:t xml:space="preserve">prior-2026-09-30-v1</x:t>
        </x:is>
      </x:c>
      <x:c r="AA561" s="604" t="inlineStr">
        <x:is>
          <x:t xml:space="preserve">C</x:t>
        </x:is>
      </x:c>
      <x:c r="AB561" s="604" t="n">
        <x:v>0.4076436516403363</x:v>
      </x:c>
      <x:c r="AC561" s="604" t="n"/>
      <x:c r="AD561" s="604" t="n">
        <x:v>0.2561811887521582</x:v>
      </x:c>
      <x:c r="AE561" s="604" t="n"/>
      <x:c r="AF561" s="604" t="n">
        <x:v>0.3361751596075055</x:v>
      </x:c>
      <x:c r="AG561" s="604" t="n">
        <x:v>0.06739205551642741</x:v>
      </x:c>
      <x:c r="AH561" s="604" t="n"/>
      <x:c r="AI561" s="604" t="n"/>
      <x:c r="AJ561" s="604" t="n">
        <x:v>0.06739205551642741</x:v>
      </x:c>
      <x:c r="AK561" s="604" t="n"/>
      <x:c r="AL561" s="604" t="n"/>
      <x:c r="AM561" s="604" t="n"/>
      <x:c r="AN561" s="604" t="inlineStr">
        <x:is>
          <x:t xml:space="preserve">EVALUATED</x:t>
        </x:is>
      </x:c>
      <x:c r="AO561" s="604" t="inlineStr">
        <x:is>
          <x:t xml:space="preserve">GIVING_VALIDATED_EDGE、BUCKET_PRIOR_ONLY、INTENT_INTERPRETATION_ONLY、EXPERT_MARKET</x:t>
        </x:is>
      </x:c>
      <x:c r="AP561" s="604" t="inlineStr">
        <x:is>
          <x:t xml:space="preserve">acedd511b6d8e4034727</x:t>
        </x:is>
      </x:c>
      <x:c r="AQ561" s="604" t="n">
        <x:v>-1</x:v>
      </x:c>
      <x:c r="AR561" s="604" t="n">
        <x:v>0.99</x:v>
      </x:c>
      <x:c r="AS561" s="604" t="n">
        <x:v>1</x:v>
      </x:c>
      <x:c r="AT561" s="604" t="n">
        <x:v>-1</x:v>
      </x:c>
      <x:c r="AU561" s="604" t="n">
        <x:v>0.99</x:v>
      </x:c>
      <x:c r="AV561" s="604" t="n">
        <x:v>0.83</x:v>
      </x:c>
      <x:c r="AW561" s="604" t="n">
        <x:v>46295.48723729167</x:v>
      </x:c>
      <x:c r="AX561" s="604" t="inlineStr">
        <x:is>
          <x:t xml:space="preserve">https://simondongxiao.github.io/odds/v4/</x:t>
        </x:is>
      </x:c>
      <x:c r="AY561" s="604" t="inlineStr">
        <x:is>
          <x:t xml:space="preserve">V4 Shadow Only；real_money=false；P(EV&gt;0)不是比赛胜率</x:t>
        </x:is>
      </x:c>
    </x:row>
    <x:row r="562" ht="22" customHeight="1">
      <x:c r="A562" s="604" t="inlineStr">
        <x:is>
          <x:t xml:space="preserve">2026-09-30</x:t>
        </x:is>
      </x:c>
      <x:c r="B562" s="604" t="inlineStr">
        <x:is>
          <x:t xml:space="preserve">2026-10-01 00:00</x:t>
        </x:is>
      </x:c>
      <x:c r="C562" s="604" t="str">
        <x:v>其他系列</x:v>
      </x:c>
      <x:c r="D562" s="604" t="inlineStr">
        <x:is>
          <x:t xml:space="preserve">联赛</x:t>
        </x:is>
      </x:c>
      <x:c r="E562" s="604" t="inlineStr">
        <x:is>
          <x:t xml:space="preserve">国际友谊</x:t>
        </x:is>
      </x:c>
      <x:c r="F562" s="604" t="inlineStr">
        <x:is>
          <x:t xml:space="preserve">立陶宛 vs 安道尔</x:t>
        </x:is>
      </x:c>
      <x:c r="G562" s="604" t="n">
        <x:v>0.82</x:v>
      </x:c>
      <x:c r="H562" s="604" t="n">
        <x:v>0.75</x:v>
      </x:c>
      <x:c r="I562" s="604" t="n">
        <x:v>1</x:v>
      </x:c>
      <x:c r="J562" s="604" t="inlineStr">
        <x:is>
          <x:t xml:space="preserve">0.82/0.75/1</x:t>
        </x:is>
      </x:c>
      <x:c r="K562" s="604" t="inlineStr">
        <x:is>
          <x:t xml:space="preserve">V4-C｜EV +0.1064</x:t>
        </x:is>
      </x:c>
      <x:c r="L562" s="604" t="inlineStr">
        <x:is>
          <x:t xml:space="preserve">立陶宛</x:t>
        </x:is>
      </x:c>
      <x:c r="M562" s="604" t="n">
        <x:v>0.6165846225838107</x:v>
      </x:c>
      <x:c r="N562" s="604" t="inlineStr">
        <x:is>
          <x:t xml:space="preserve">V4纸面入选-C</x:t>
        </x:is>
      </x:c>
      <x:c r="O562" s="604" t="inlineStr">
        <x:is>
          <x:t xml:space="preserve">3-0</x:t>
        </x:is>
      </x:c>
      <x:c r="P562" s="604" t="inlineStr">
        <x:is>
          <x:t xml:space="preserve">已结算</x:t>
        </x:is>
      </x:c>
      <x:c r="Q562" s="645" t="inlineStr">
        <x:is>
          <x:t xml:space="preserve">红</x:t>
        </x:is>
      </x:c>
      <x:c r="R562" s="604" t="n">
        <x:v>0.82</x:v>
      </x:c>
      <x:c r="S562" s="604" t="n">
        <x:f>IF(OR(Q562="",Q562="待结算"),"",IF(Q562="红",R562,IF(Q562="半红",R562*0.5,IF(Q562="走",0,IF(Q562="半黑",-0.5,-1)))))</x:f>
        <x:v>0.82</x:v>
      </x:c>
      <x:c r="T562" s="604" t="inlineStr">
        <x:is>
          <x:t xml:space="preserve">https://m.titan007.com/analy/Analysis/3096176.htm</x:t>
        </x:is>
      </x:c>
      <x:c r="U562" s="646" t="str">
        <x:f>IF(Q562="","",IF(Q562="待结算","待结算",IF(Q562="红","黑",IF(Q562="半红","半黑",IF(Q562="走","走",IF(Q562="半黑","半红","红"))))))</x:f>
        <x:v>黑</x:v>
      </x:c>
      <x:c r="V562" s="604" t="n">
        <x:f>IF(OR(Q562="",Q562="待结算"),"",IF(L562=LEFT(F562,FIND(" vs ",F562)-1),I562,G562))</x:f>
        <x:v>1</x:v>
      </x:c>
      <x:c r="W562" s="604" t="n">
        <x:f>IF(OR(U562="",U562="待结算"),"",IF(U562="红",V562,IF(U562="半红",V562*0.5,IF(U562="走",0,IF(U562="半黑",-0.5,-1)))))</x:f>
        <x:v>-1</x:v>
      </x:c>
      <x:c r="X562" s="604" t="inlineStr">
        <x:is>
          <x:t xml:space="preserve">3096176</x:t>
        </x:is>
      </x:c>
      <x:c r="Y562" s="604" t="inlineStr">
        <x:is>
          <x:t xml:space="preserve">V4</x:t>
        </x:is>
      </x:c>
      <x:c r="Z562" s="604" t="inlineStr">
        <x:is>
          <x:t xml:space="preserve">prior-2026-09-30-v1</x:t>
        </x:is>
      </x:c>
      <x:c r="AA562" s="604" t="inlineStr">
        <x:is>
          <x:t xml:space="preserve">C</x:t>
        </x:is>
      </x:c>
      <x:c r="AB562" s="604" t="n">
        <x:v>0.4075672203273734</x:v>
      </x:c>
      <x:c r="AC562" s="604" t="n">
        <x:v>0.2585913528267537</x:v>
      </x:c>
      <x:c r="AD562" s="604" t="n"/>
      <x:c r="AE562" s="604" t="n"/>
      <x:c r="AF562" s="604" t="n">
        <x:v>0.3338414268458729</x:v>
      </x:c>
      <x:c r="AG562" s="604" t="n">
        <x:v>0.1063861484815423</x:v>
      </x:c>
      <x:c r="AH562" s="604" t="n"/>
      <x:c r="AI562" s="604" t="n"/>
      <x:c r="AJ562" s="604" t="n">
        <x:v>0.1063861484815423</x:v>
      </x:c>
      <x:c r="AK562" s="604" t="n"/>
      <x:c r="AL562" s="604" t="n"/>
      <x:c r="AM562" s="604" t="n"/>
      <x:c r="AN562" s="604" t="inlineStr">
        <x:is>
          <x:t xml:space="preserve">EVALUATED</x:t>
        </x:is>
      </x:c>
      <x:c r="AO562" s="604" t="inlineStr">
        <x:is>
          <x:t xml:space="preserve">GIVING_VALIDATED_EDGE、BUCKET_PRIOR_ONLY、INTENT_INTERPRETATION_ONLY、EXPERT_MARKET</x:t>
        </x:is>
      </x:c>
      <x:c r="AP562" s="604" t="inlineStr">
        <x:is>
          <x:t xml:space="preserve">8e51db301e3dd232e565</x:t>
        </x:is>
      </x:c>
      <x:c r="AQ562" s="604" t="n">
        <x:v>-0.75</x:v>
      </x:c>
      <x:c r="AR562" s="604" t="n">
        <x:v>0.82</x:v>
      </x:c>
      <x:c r="AS562" s="604" t="n">
        <x:v>0.75</x:v>
      </x:c>
      <x:c r="AT562" s="604" t="n">
        <x:v>-0.75</x:v>
      </x:c>
      <x:c r="AU562" s="604" t="n">
        <x:v>0.82</x:v>
      </x:c>
      <x:c r="AV562" s="604" t="n">
        <x:v>1</x:v>
      </x:c>
      <x:c r="AW562" s="604" t="n">
        <x:v>46295.47214138889</x:v>
      </x:c>
      <x:c r="AX562" s="604" t="inlineStr">
        <x:is>
          <x:t xml:space="preserve">https://simondongxiao.github.io/odds/v4/</x:t>
        </x:is>
      </x:c>
      <x:c r="AY562" s="604" t="inlineStr">
        <x:is>
          <x:t xml:space="preserve">V4 Shadow Only；real_money=false；P(EV&gt;0)不是比赛胜率</x:t>
        </x:is>
      </x:c>
    </x:row>
    <x:row r="563" ht="22" customHeight="1">
      <x:c r="A563" s="604" t="inlineStr">
        <x:is>
          <x:t xml:space="preserve">2026-09-30</x:t>
        </x:is>
      </x:c>
      <x:c r="B563" s="604" t="inlineStr">
        <x:is>
          <x:t xml:space="preserve">2026-10-01 00:00</x:t>
        </x:is>
      </x:c>
      <x:c r="C563" s="604" t="str">
        <x:v>欧洲非五大系列</x:v>
      </x:c>
      <x:c r="D563" s="604" t="inlineStr">
        <x:is>
          <x:t xml:space="preserve">杯赛</x:t>
        </x:is>
      </x:c>
      <x:c r="E563" s="604" t="inlineStr">
        <x:is>
          <x:t xml:space="preserve">女欧罗巴杯</x:t>
        </x:is>
      </x:c>
      <x:c r="F563" s="604" t="inlineStr">
        <x:is>
          <x:t xml:space="preserve">SK布兰女足 vs 赫尔辛基女足</x:t>
        </x:is>
      </x:c>
      <x:c r="G563" s="604" t="n">
        <x:v>0.88</x:v>
      </x:c>
      <x:c r="H563" s="604" t="n">
        <x:v>1.75</x:v>
      </x:c>
      <x:c r="I563" s="604" t="n">
        <x:v>0.9399999999999999</x:v>
      </x:c>
      <x:c r="J563" s="604" t="inlineStr">
        <x:is>
          <x:t xml:space="preserve">0.88/1.75/0.94</x:t>
        </x:is>
      </x:c>
      <x:c r="K563" s="604" t="inlineStr">
        <x:is>
          <x:t xml:space="preserve">V4-B｜EV +0.2369</x:t>
        </x:is>
      </x:c>
      <x:c r="L563" s="604" t="inlineStr">
        <x:is>
          <x:t xml:space="preserve">SK布兰女足</x:t>
        </x:is>
      </x:c>
      <x:c r="M563" s="604" t="n">
        <x:v>0.6756848496588533</x:v>
      </x:c>
      <x:c r="N563" s="604" t="inlineStr">
        <x:is>
          <x:t xml:space="preserve">V4纸面入选-B</x:t>
        </x:is>
      </x:c>
      <x:c r="O563" s="604" t="inlineStr">
        <x:is>
          <x:t xml:space="preserve">4-0</x:t>
        </x:is>
      </x:c>
      <x:c r="P563" s="604" t="inlineStr">
        <x:is>
          <x:t xml:space="preserve">已结算</x:t>
        </x:is>
      </x:c>
      <x:c r="Q563" s="645" t="inlineStr">
        <x:is>
          <x:t xml:space="preserve">红</x:t>
        </x:is>
      </x:c>
      <x:c r="R563" s="604" t="n">
        <x:v>0.88</x:v>
      </x:c>
      <x:c r="S563" s="604" t="n">
        <x:f>IF(OR(Q563="",Q563="待结算"),"",IF(Q563="红",R563,IF(Q563="半红",R563*0.5,IF(Q563="走",0,IF(Q563="半黑",-0.5,-1)))))</x:f>
        <x:v>0.88</x:v>
      </x:c>
      <x:c r="T563" s="604" t="inlineStr">
        <x:is>
          <x:t xml:space="preserve">https://m.titan007.com/analy/Analysis/3086470.htm</x:t>
        </x:is>
      </x:c>
      <x:c r="U563" s="646" t="str">
        <x:f>IF(Q563="","",IF(Q563="待结算","待结算",IF(Q563="红","黑",IF(Q563="半红","半黑",IF(Q563="走","走",IF(Q563="半黑","半红","红"))))))</x:f>
        <x:v>黑</x:v>
      </x:c>
      <x:c r="V563" s="604" t="n">
        <x:f>IF(OR(Q563="",Q563="待结算"),"",IF(L563=LEFT(F563,FIND(" vs ",F563)-1),I563,G563))</x:f>
        <x:v>0.94</x:v>
      </x:c>
      <x:c r="W563" s="604" t="n">
        <x:f>IF(OR(U563="",U563="待结算"),"",IF(U563="红",V563,IF(U563="半红",V563*0.5,IF(U563="走",0,IF(U563="半黑",-0.5,-1)))))</x:f>
        <x:v>-1</x:v>
      </x:c>
      <x:c r="X563" s="604" t="inlineStr">
        <x:is>
          <x:t xml:space="preserve">3086470</x:t>
        </x:is>
      </x:c>
      <x:c r="Y563" s="604" t="inlineStr">
        <x:is>
          <x:t xml:space="preserve">V4</x:t>
        </x:is>
      </x:c>
      <x:c r="Z563" s="604" t="inlineStr">
        <x:is>
          <x:t xml:space="preserve">prior-2026-09-30-v1</x:t>
        </x:is>
      </x:c>
      <x:c r="AA563" s="604" t="inlineStr">
        <x:is>
          <x:t xml:space="preserve">B</x:t>
        </x:is>
      </x:c>
      <x:c r="AB563" s="604" t="n">
        <x:v>0.4688387917111442</x:v>
      </x:c>
      <x:c r="AC563" s="604" t="n">
        <x:v>0.2468794272262116</x:v>
      </x:c>
      <x:c r="AD563" s="604" t="n"/>
      <x:c r="AE563" s="604" t="n"/>
      <x:c r="AF563" s="604" t="n">
        <x:v>0.2842817810626442</x:v>
      </x:c>
      <x:c r="AG563" s="604" t="n">
        <x:v>0.2369233036226959</x:v>
      </x:c>
      <x:c r="AH563" s="604" t="n"/>
      <x:c r="AI563" s="604" t="n"/>
      <x:c r="AJ563" s="604" t="n">
        <x:v>0.2369233036226959</x:v>
      </x:c>
      <x:c r="AK563" s="604" t="n"/>
      <x:c r="AL563" s="604" t="n"/>
      <x:c r="AM563" s="604" t="n"/>
      <x:c r="AN563" s="604" t="inlineStr">
        <x:is>
          <x:t xml:space="preserve">EVALUATED</x:t>
        </x:is>
      </x:c>
      <x:c r="AO563" s="604" t="inlineStr">
        <x:is>
          <x:t xml:space="preserve">GIVING_VALIDATED_EDGE、BUCKET_PRIOR_ONLY、INTENT_INTERPRETATION_ONLY、EXPERT_MARKET</x:t>
        </x:is>
      </x:c>
      <x:c r="AP563" s="604" t="inlineStr">
        <x:is>
          <x:t xml:space="preserve">093e606caf0c54a68792</x:t>
        </x:is>
      </x:c>
      <x:c r="AQ563" s="604" t="n">
        <x:v>-1.75</x:v>
      </x:c>
      <x:c r="AR563" s="604" t="n">
        <x:v>0.88</x:v>
      </x:c>
      <x:c r="AS563" s="604" t="n">
        <x:v>1.75</x:v>
      </x:c>
      <x:c r="AT563" s="604" t="n">
        <x:v>-1.75</x:v>
      </x:c>
      <x:c r="AU563" s="604" t="n">
        <x:v>0.88</x:v>
      </x:c>
      <x:c r="AV563" s="604" t="n">
        <x:v>0.9399999999999999</x:v>
      </x:c>
      <x:c r="AW563" s="604" t="n">
        <x:v>46295.48723729167</x:v>
      </x:c>
      <x:c r="AX563" s="604" t="inlineStr">
        <x:is>
          <x:t xml:space="preserve">https://simondongxiao.github.io/odds/v4/</x:t>
        </x:is>
      </x:c>
      <x:c r="AY563" s="604" t="inlineStr">
        <x:is>
          <x:t xml:space="preserve">V4 Shadow Only；real_money=false；P(EV&gt;0)不是比赛胜率</x:t>
        </x:is>
      </x:c>
    </x:row>
    <x:row r="564" ht="22" customHeight="1">
      <x:c r="A564" s="604" t="inlineStr">
        <x:is>
          <x:t xml:space="preserve">2026-09-30</x:t>
        </x:is>
      </x:c>
      <x:c r="B564" s="604" t="inlineStr">
        <x:is>
          <x:t xml:space="preserve">2026-10-01 00:00</x:t>
        </x:is>
      </x:c>
      <x:c r="C564" s="604" t="str">
        <x:v>其他系列</x:v>
      </x:c>
      <x:c r="D564" s="604" t="inlineStr">
        <x:is>
          <x:t xml:space="preserve">杯赛</x:t>
        </x:is>
      </x:c>
      <x:c r="E564" s="604" t="inlineStr">
        <x:is>
          <x:t xml:space="preserve">非洲U23杯</x:t>
        </x:is>
      </x:c>
      <x:c r="F564" s="604" t="inlineStr">
        <x:is>
          <x:t xml:space="preserve">卢旺达U23 vs 苏丹U23</x:t>
        </x:is>
      </x:c>
      <x:c r="G564" s="604" t="n">
        <x:v>0.76</x:v>
      </x:c>
      <x:c r="H564" s="604" t="n">
        <x:v>0</x:v>
      </x:c>
      <x:c r="I564" s="604" t="n">
        <x:v>1.06</x:v>
      </x:c>
      <x:c r="J564" s="604" t="inlineStr">
        <x:is>
          <x:t xml:space="preserve">0.76/0/1.06</x:t>
        </x:is>
      </x:c>
      <x:c r="K564" s="604" t="inlineStr">
        <x:is>
          <x:t xml:space="preserve">V4-C｜EV +0.0062</x:t>
        </x:is>
      </x:c>
      <x:c r="L564" s="604" t="str"/>
      <x:c r="M564" s="604" t="n">
        <x:v>0.5721846045993717</x:v>
      </x:c>
      <x:c r="N564" s="604" t="inlineStr">
        <x:is>
          <x:t xml:space="preserve">V4纸面入选-C</x:t>
        </x:is>
      </x:c>
      <x:c r="O564" s="604" t="inlineStr">
        <x:is>
          <x:t xml:space="preserve">3-0</x:t>
        </x:is>
      </x:c>
      <x:c r="P564" s="604" t="inlineStr">
        <x:is>
          <x:t xml:space="preserve">已结算</x:t>
        </x:is>
      </x:c>
      <x:c r="Q564" s="645" t="inlineStr">
        <x:is>
          <x:t xml:space="preserve">红</x:t>
        </x:is>
      </x:c>
      <x:c r="R564" s="604" t="n">
        <x:v>1.06</x:v>
      </x:c>
      <x:c r="S564" s="604" t="n">
        <x:f>IF(OR(Q564="",Q564="待结算"),"",IF(Q564="红",R564,IF(Q564="半红",R564*0.5,IF(Q564="走",0,IF(Q564="半黑",-0.5,-1)))))</x:f>
        <x:v>1.06</x:v>
      </x:c>
      <x:c r="T564" s="604" t="inlineStr">
        <x:is>
          <x:t xml:space="preserve">https://m.titan007.com/analy/Analysis/3094474.htm</x:t>
        </x:is>
      </x:c>
      <x:c r="U564" s="646" t="str">
        <x:f>IF(Q564="","",IF(Q564="待结算","待结算",IF(Q564="红","黑",IF(Q564="半红","半黑",IF(Q564="走","走",IF(Q564="半黑","半红","红"))))))</x:f>
        <x:v>黑</x:v>
      </x:c>
      <x:c r="V564" s="604" t="n">
        <x:f>IF(OR(Q564="",Q564="待结算"),"",IF(L564=LEFT(F564,FIND(" vs ",F564)-1),I564,G564))</x:f>
        <x:v>0.76</x:v>
      </x:c>
      <x:c r="W564" s="604" t="n">
        <x:f>IF(OR(U564="",U564="待结算"),"",IF(U564="红",V564,IF(U564="半红",V564*0.5,IF(U564="走",0,IF(U564="半黑",-0.5,-1)))))</x:f>
        <x:v>-1</x:v>
      </x:c>
      <x:c r="X564" s="604" t="inlineStr">
        <x:is>
          <x:t xml:space="preserve">3094474</x:t>
        </x:is>
      </x:c>
      <x:c r="Y564" s="604" t="inlineStr">
        <x:is>
          <x:t xml:space="preserve">V4</x:t>
        </x:is>
      </x:c>
      <x:c r="Z564" s="604" t="inlineStr">
        <x:is>
          <x:t xml:space="preserve">prior-2026-09-30-v1</x:t>
        </x:is>
      </x:c>
      <x:c r="AA564" s="604" t="inlineStr">
        <x:is>
          <x:t xml:space="preserve">C</x:t>
        </x:is>
      </x:c>
      <x:c r="AB564" s="604" t="n">
        <x:v>0.4998816460688159</x:v>
      </x:c>
      <x:c r="AC564" s="604" t="n"/>
      <x:c r="AD564" s="604" t="n"/>
      <x:c r="AE564" s="604" t="n">
        <x:v>0.2527259837100316</x:v>
      </x:c>
      <x:c r="AF564" s="604" t="n">
        <x:v>0.2473923702211525</x:v>
      </x:c>
      <x:c r="AG564" s="604" t="n">
        <x:v>0.006154688936131775</x:v>
      </x:c>
      <x:c r="AH564" s="604" t="n"/>
      <x:c r="AI564" s="604" t="n"/>
      <x:c r="AJ564" s="604" t="n">
        <x:v>0.006154688936131775</x:v>
      </x:c>
      <x:c r="AK564" s="604" t="n"/>
      <x:c r="AL564" s="604" t="n"/>
      <x:c r="AM564" s="604" t="n"/>
      <x:c r="AN564" s="604" t="inlineStr">
        <x:is>
          <x:t xml:space="preserve">EVALUATED</x:t>
        </x:is>
      </x:c>
      <x:c r="AO564" s="604" t="inlineStr">
        <x:is>
          <x:t xml:space="preserve">EDGE_BELOW_UNCERTAINTY_THRESHOLD、BUCKET_PRIOR_ONLY、INTENT_INTERPRETATION_ONLY、EXPERT_MARKET</x:t>
        </x:is>
      </x:c>
      <x:c r="AP564" s="604" t="inlineStr">
        <x:is>
          <x:t xml:space="preserve">c153c745c54038b7d552</x:t>
        </x:is>
      </x:c>
      <x:c r="AQ564" s="604" t="n">
        <x:v>0</x:v>
      </x:c>
      <x:c r="AR564" s="604" t="n"/>
      <x:c r="AS564" s="604" t="n">
        <x:v>0</x:v>
      </x:c>
      <x:c r="AT564" s="604" t="n">
        <x:v>0</x:v>
      </x:c>
      <x:c r="AU564" s="604" t="n">
        <x:v>0.76</x:v>
      </x:c>
      <x:c r="AV564" s="604" t="n">
        <x:v>1.06</x:v>
      </x:c>
      <x:c r="AW564" s="604" t="n">
        <x:v>46295.48723729167</x:v>
      </x:c>
      <x:c r="AX564" s="604" t="inlineStr">
        <x:is>
          <x:t xml:space="preserve">https://simondongxiao.github.io/odds/v4/</x:t>
        </x:is>
      </x:c>
      <x:c r="AY564" s="604" t="inlineStr">
        <x:is>
          <x:t xml:space="preserve">V4 Shadow Only；real_money=false；P(EV&gt;0)不是比赛胜率</x:t>
        </x:is>
      </x:c>
    </x:row>
    <x:row r="565" ht="22" customHeight="1">
      <x:c r="A565" s="604" t="inlineStr">
        <x:is>
          <x:t xml:space="preserve">2026-09-30</x:t>
        </x:is>
      </x:c>
      <x:c r="B565" s="604" t="inlineStr">
        <x:is>
          <x:t xml:space="preserve">2026-10-01 00:30</x:t>
        </x:is>
      </x:c>
      <x:c r="C565" s="604" t="str">
        <x:v>欧洲非五大系列</x:v>
      </x:c>
      <x:c r="D565" s="604" t="inlineStr">
        <x:is>
          <x:t xml:space="preserve">杯赛</x:t>
        </x:is>
      </x:c>
      <x:c r="E565" s="604" t="inlineStr">
        <x:is>
          <x:t xml:space="preserve">女欧罗巴杯</x:t>
        </x:is>
      </x:c>
      <x:c r="F565" s="604" t="inlineStr">
        <x:is>
          <x:t xml:space="preserve">法兰克福女足 vs 哈夫纳夫约杜尔女足</x:t>
        </x:is>
      </x:c>
      <x:c r="G565" s="604" t="n">
        <x:v>1</x:v>
      </x:c>
      <x:c r="H565" s="604" t="n">
        <x:v>3</x:v>
      </x:c>
      <x:c r="I565" s="604" t="n">
        <x:v>0.82</x:v>
      </x:c>
      <x:c r="J565" s="604" t="inlineStr">
        <x:is>
          <x:t xml:space="preserve">1/3/0.82</x:t>
        </x:is>
      </x:c>
      <x:c r="K565" s="604" t="inlineStr">
        <x:is>
          <x:t xml:space="preserve">V4-B｜EV +0.0864</x:t>
        </x:is>
      </x:c>
      <x:c r="L565" s="604" t="inlineStr">
        <x:is>
          <x:t xml:space="preserve">哈夫纳夫约杜尔女足</x:t>
        </x:is>
      </x:c>
      <x:c r="M565" s="604" t="n">
        <x:v>0.6101305797223812</x:v>
      </x:c>
      <x:c r="N565" s="604" t="inlineStr">
        <x:is>
          <x:t xml:space="preserve">V4纸面入选-B</x:t>
        </x:is>
      </x:c>
      <x:c r="O565" s="604" t="inlineStr">
        <x:is>
          <x:t xml:space="preserve">4-1</x:t>
        </x:is>
      </x:c>
      <x:c r="P565" s="604" t="inlineStr">
        <x:is>
          <x:t xml:space="preserve">已结算</x:t>
        </x:is>
      </x:c>
      <x:c r="Q565" s="645" t="inlineStr">
        <x:is>
          <x:t xml:space="preserve">红</x:t>
        </x:is>
      </x:c>
      <x:c r="R565" s="604" t="n">
        <x:v>0.82</x:v>
      </x:c>
      <x:c r="S565" s="604" t="n">
        <x:f>IF(OR(Q565="",Q565="待结算"),"",IF(Q565="红",R565,IF(Q565="半红",R565*0.5,IF(Q565="走",0,IF(Q565="半黑",-0.5,-1)))))</x:f>
        <x:v>0.82</x:v>
      </x:c>
      <x:c r="T565" s="604" t="inlineStr">
        <x:is>
          <x:t xml:space="preserve">https://m.titan007.com/analy/Analysis/3086453.htm</x:t>
        </x:is>
      </x:c>
      <x:c r="U565" s="646" t="str">
        <x:f>IF(Q565="","",IF(Q565="待结算","待结算",IF(Q565="红","黑",IF(Q565="半红","半黑",IF(Q565="走","走",IF(Q565="半黑","半红","红"))))))</x:f>
        <x:v>黑</x:v>
      </x:c>
      <x:c r="V565" s="604" t="n">
        <x:f>IF(OR(Q565="",Q565="待结算"),"",IF(L565=LEFT(F565,FIND(" vs ",F565)-1),I565,G565))</x:f>
        <x:v>1</x:v>
      </x:c>
      <x:c r="W565" s="604" t="n">
        <x:f>IF(OR(U565="",U565="待结算"),"",IF(U565="红",V565,IF(U565="半红",V565*0.5,IF(U565="走",0,IF(U565="半黑",-0.5,-1)))))</x:f>
        <x:v>-1</x:v>
      </x:c>
      <x:c r="X565" s="604" t="inlineStr">
        <x:is>
          <x:t xml:space="preserve">3086453</x:t>
        </x:is>
      </x:c>
      <x:c r="Y565" s="604" t="inlineStr">
        <x:is>
          <x:t xml:space="preserve">V4</x:t>
        </x:is>
      </x:c>
      <x:c r="Z565" s="604" t="inlineStr">
        <x:is>
          <x:t xml:space="preserve">prior-2026-09-30-v1</x:t>
        </x:is>
      </x:c>
      <x:c r="AA565" s="604" t="inlineStr">
        <x:is>
          <x:t xml:space="preserve">B</x:t>
        </x:is>
      </x:c>
      <x:c r="AB565" s="604" t="n">
        <x:v>0.4770724525822834</x:v>
      </x:c>
      <x:c r="AC565" s="604" t="n"/>
      <x:c r="AD565" s="604" t="n">
        <x:v>0.2180813936594382</x:v>
      </x:c>
      <x:c r="AE565" s="604" t="n"/>
      <x:c r="AF565" s="604" t="n">
        <x:v>0.3048461537582784</x:v>
      </x:c>
      <x:c r="AG565" s="604" t="n">
        <x:v>0.08635325735919391</x:v>
      </x:c>
      <x:c r="AH565" s="604" t="n"/>
      <x:c r="AI565" s="604" t="n"/>
      <x:c r="AJ565" s="604" t="n">
        <x:v>0.08635325735919391</x:v>
      </x:c>
      <x:c r="AK565" s="604" t="n"/>
      <x:c r="AL565" s="604" t="n"/>
      <x:c r="AM565" s="604" t="n"/>
      <x:c r="AN565" s="604" t="inlineStr">
        <x:is>
          <x:t xml:space="preserve">EVALUATED</x:t>
        </x:is>
      </x:c>
      <x:c r="AO565" s="604" t="inlineStr">
        <x:is>
          <x:t xml:space="preserve">RECEIVING_VALIDATED_EDGE、BUCKET_PRIOR_ONLY、INTENT_INTERPRETATION_ONLY、EXPERT_MARKET</x:t>
        </x:is>
      </x:c>
      <x:c r="AP565" s="604" t="inlineStr">
        <x:is>
          <x:t xml:space="preserve">c48a145c99be1244b133</x:t>
        </x:is>
      </x:c>
      <x:c r="AQ565" s="604" t="n">
        <x:v>3</x:v>
      </x:c>
      <x:c r="AR565" s="604" t="n">
        <x:v>0.82</x:v>
      </x:c>
      <x:c r="AS565" s="604" t="n">
        <x:v>3</x:v>
      </x:c>
      <x:c r="AT565" s="604" t="n">
        <x:v>-3</x:v>
      </x:c>
      <x:c r="AU565" s="604" t="n">
        <x:v>1</x:v>
      </x:c>
      <x:c r="AV565" s="604" t="n">
        <x:v>0.82</x:v>
      </x:c>
      <x:c r="AW565" s="604" t="n">
        <x:v>46295.48723729167</x:v>
      </x:c>
      <x:c r="AX565" s="604" t="inlineStr">
        <x:is>
          <x:t xml:space="preserve">https://simondongxiao.github.io/odds/v4/</x:t>
        </x:is>
      </x:c>
      <x:c r="AY565" s="604" t="inlineStr">
        <x:is>
          <x:t xml:space="preserve">V4 Shadow Only；real_money=false；P(EV&gt;0)不是比赛胜率</x:t>
        </x:is>
      </x:c>
    </x:row>
    <x:row r="566" ht="22" customHeight="1">
      <x:c r="A566" s="604" t="inlineStr">
        <x:is>
          <x:t xml:space="preserve">2026-09-30</x:t>
        </x:is>
      </x:c>
      <x:c r="B566" s="604" t="inlineStr">
        <x:is>
          <x:t xml:space="preserve">2026-10-01 00:45</x:t>
        </x:is>
      </x:c>
      <x:c r="C566" s="604" t="str">
        <x:v>欧洲非五大系列</x:v>
      </x:c>
      <x:c r="D566" s="604" t="inlineStr">
        <x:is>
          <x:t xml:space="preserve">杯赛</x:t>
        </x:is>
      </x:c>
      <x:c r="E566" s="604" t="inlineStr">
        <x:is>
          <x:t xml:space="preserve">欧女杯</x:t>
        </x:is>
      </x:c>
      <x:c r="F566" s="604" t="inlineStr">
        <x:is>
          <x:t xml:space="preserve">AS罗马女足 vs 巴塞罗那女足</x:t>
        </x:is>
      </x:c>
      <x:c r="G566" s="604" t="n">
        <x:v>0.76</x:v>
      </x:c>
      <x:c r="H566" s="604" t="n">
        <x:v>-3.25</x:v>
      </x:c>
      <x:c r="I566" s="604" t="n">
        <x:v>0.9399999999999999</x:v>
      </x:c>
      <x:c r="J566" s="604" t="inlineStr">
        <x:is>
          <x:t xml:space="preserve">0.76/-3.25/0.94</x:t>
        </x:is>
      </x:c>
      <x:c r="K566" s="604" t="inlineStr">
        <x:is>
          <x:t xml:space="preserve">V4-B｜EV +0.1152</x:t>
        </x:is>
      </x:c>
      <x:c r="L566" s="604" t="inlineStr">
        <x:is>
          <x:t xml:space="preserve">AS罗马女足</x:t>
        </x:is>
      </x:c>
      <x:c r="M566" s="604" t="n">
        <x:v>0.6416927603289572</x:v>
      </x:c>
      <x:c r="N566" s="604" t="inlineStr">
        <x:is>
          <x:t xml:space="preserve">V4纸面入选-B</x:t>
        </x:is>
      </x:c>
      <x:c r="O566" s="604" t="inlineStr">
        <x:is>
          <x:t xml:space="preserve">0-6</x:t>
        </x:is>
      </x:c>
      <x:c r="P566" s="604" t="inlineStr">
        <x:is>
          <x:t xml:space="preserve">已结算</x:t>
        </x:is>
      </x:c>
      <x:c r="Q566" s="646" t="inlineStr">
        <x:is>
          <x:t xml:space="preserve">黑</x:t>
        </x:is>
      </x:c>
      <x:c r="R566" s="604" t="n">
        <x:v>0.76</x:v>
      </x:c>
      <x:c r="S566" s="604" t="n">
        <x:f>IF(OR(Q566="",Q566="待结算"),"",IF(Q566="红",R566,IF(Q566="半红",R566*0.5,IF(Q566="走",0,IF(Q566="半黑",-0.5,-1)))))</x:f>
        <x:v>-1</x:v>
      </x:c>
      <x:c r="T566" s="604" t="inlineStr">
        <x:is>
          <x:t xml:space="preserve">https://m.titan007.com/analy/Analysis/3092357.htm</x:t>
        </x:is>
      </x:c>
      <x:c r="U566" s="645" t="str">
        <x:f>IF(Q566="","",IF(Q566="待结算","待结算",IF(Q566="红","黑",IF(Q566="半红","半黑",IF(Q566="走","走",IF(Q566="半黑","半红","红"))))))</x:f>
        <x:v>红</x:v>
      </x:c>
      <x:c r="V566" s="604" t="n">
        <x:f>IF(OR(Q566="",Q566="待结算"),"",IF(L566=LEFT(F566,FIND(" vs ",F566)-1),I566,G566))</x:f>
        <x:v>0.94</x:v>
      </x:c>
      <x:c r="W566" s="604" t="n">
        <x:f>IF(OR(U566="",U566="待结算"),"",IF(U566="红",V566,IF(U566="半红",V566*0.5,IF(U566="走",0,IF(U566="半黑",-0.5,-1)))))</x:f>
        <x:v>0.94</x:v>
      </x:c>
      <x:c r="X566" s="604" t="inlineStr">
        <x:is>
          <x:t xml:space="preserve">3092357</x:t>
        </x:is>
      </x:c>
      <x:c r="Y566" s="604" t="inlineStr">
        <x:is>
          <x:t xml:space="preserve">V4</x:t>
        </x:is>
      </x:c>
      <x:c r="Z566" s="604" t="inlineStr">
        <x:is>
          <x:t xml:space="preserve">prior-2026-09-30-v1</x:t>
        </x:is>
      </x:c>
      <x:c r="AA566" s="604" t="inlineStr">
        <x:is>
          <x:t xml:space="preserve">B</x:t>
        </x:is>
      </x:c>
      <x:c r="AB566" s="604" t="n">
        <x:v>0.4619207804963039</x:v>
      </x:c>
      <x:c r="AC566" s="604" t="n">
        <x:v>0.2190080679854264</x:v>
      </x:c>
      <x:c r="AD566" s="604" t="n"/>
      <x:c r="AE566" s="604" t="n"/>
      <x:c r="AF566" s="604" t="n">
        <x:v>0.3190711515182697</x:v>
      </x:c>
      <x:c r="AG566" s="604" t="n">
        <x:v>0.1152117074933833</x:v>
      </x:c>
      <x:c r="AH566" s="604" t="n"/>
      <x:c r="AI566" s="604" t="n"/>
      <x:c r="AJ566" s="604" t="n">
        <x:v>0.1152117074933833</x:v>
      </x:c>
      <x:c r="AK566" s="604" t="n"/>
      <x:c r="AL566" s="604" t="n"/>
      <x:c r="AM566" s="604" t="n"/>
      <x:c r="AN566" s="604" t="inlineStr">
        <x:is>
          <x:t xml:space="preserve">EVALUATED</x:t>
        </x:is>
      </x:c>
      <x:c r="AO566" s="604" t="inlineStr">
        <x:is>
          <x:t xml:space="preserve">RECEIVING_VALIDATED_EDGE、BUCKET_PRIOR_ONLY、INTENT_INTERPRETATION_ONLY、EXPERT_MARKET</x:t>
        </x:is>
      </x:c>
      <x:c r="AP566" s="604" t="inlineStr">
        <x:is>
          <x:t xml:space="preserve">e26e45985d3b91a78c2d</x:t>
        </x:is>
      </x:c>
      <x:c r="AQ566" s="604" t="n">
        <x:v>3.25</x:v>
      </x:c>
      <x:c r="AR566" s="604" t="n">
        <x:v>0.76</x:v>
      </x:c>
      <x:c r="AS566" s="604" t="n">
        <x:v>-3.25</x:v>
      </x:c>
      <x:c r="AT566" s="604" t="n">
        <x:v>3.25</x:v>
      </x:c>
      <x:c r="AU566" s="604" t="n">
        <x:v>0.76</x:v>
      </x:c>
      <x:c r="AV566" s="604" t="n">
        <x:v>0.9399999999999999</x:v>
      </x:c>
      <x:c r="AW566" s="604" t="n">
        <x:v>46295.47214138889</x:v>
      </x:c>
      <x:c r="AX566" s="604" t="inlineStr">
        <x:is>
          <x:t xml:space="preserve">https://simondongxiao.github.io/odds/v4/</x:t>
        </x:is>
      </x:c>
      <x:c r="AY566" s="604" t="inlineStr">
        <x:is>
          <x:t xml:space="preserve">V4 Shadow Only；real_money=false；P(EV&gt;0)不是比赛胜率</x:t>
        </x:is>
      </x:c>
    </x:row>
    <x:row r="567" ht="22" customHeight="1">
      <x:c r="A567" s="604" t="inlineStr">
        <x:is>
          <x:t xml:space="preserve">2026-09-30</x:t>
        </x:is>
      </x:c>
      <x:c r="B567" s="604" t="inlineStr">
        <x:is>
          <x:t xml:space="preserve">2026-10-01 00:45</x:t>
        </x:is>
      </x:c>
      <x:c r="C567" s="604" t="str">
        <x:v>欧洲非五大系列</x:v>
      </x:c>
      <x:c r="D567" s="604" t="inlineStr">
        <x:is>
          <x:t xml:space="preserve">杯赛</x:t>
        </x:is>
      </x:c>
      <x:c r="E567" s="604" t="inlineStr">
        <x:is>
          <x:t xml:space="preserve">欧女杯</x:t>
        </x:is>
      </x:c>
      <x:c r="F567" s="604" t="inlineStr">
        <x:is>
          <x:t xml:space="preserve">巴黎FC女足 vs 阿森纳女足</x:t>
        </x:is>
      </x:c>
      <x:c r="G567" s="604" t="n">
        <x:v>0.93</x:v>
      </x:c>
      <x:c r="H567" s="604" t="n">
        <x:v>0</x:v>
      </x:c>
      <x:c r="I567" s="604" t="n">
        <x:v>0.77</x:v>
      </x:c>
      <x:c r="J567" s="604" t="inlineStr">
        <x:is>
          <x:t xml:space="preserve">0.93/0/0.77</x:t>
        </x:is>
      </x:c>
      <x:c r="K567" s="604" t="inlineStr">
        <x:is>
          <x:t xml:space="preserve">V4-C｜EV +0.0095</x:t>
        </x:is>
      </x:c>
      <x:c r="L567" s="604" t="str"/>
      <x:c r="M567" s="604" t="n">
        <x:v>0.571114216870965</x:v>
      </x:c>
      <x:c r="N567" s="604" t="inlineStr">
        <x:is>
          <x:t xml:space="preserve">V4纸面入选-C</x:t>
        </x:is>
      </x:c>
      <x:c r="O567" s="604" t="inlineStr">
        <x:is>
          <x:t xml:space="preserve">2-2</x:t>
        </x:is>
      </x:c>
      <x:c r="P567" s="604" t="inlineStr">
        <x:is>
          <x:t xml:space="preserve">已结算</x:t>
        </x:is>
      </x:c>
      <x:c r="Q567" s="647" t="inlineStr">
        <x:is>
          <x:t xml:space="preserve">走</x:t>
        </x:is>
      </x:c>
      <x:c r="R567" s="604" t="n">
        <x:v>0.77</x:v>
      </x:c>
      <x:c r="S567" s="604" t="n">
        <x:f>IF(OR(Q567="",Q567="待结算"),"",IF(Q567="红",R567,IF(Q567="半红",R567*0.5,IF(Q567="走",0,IF(Q567="半黑",-0.5,-1)))))</x:f>
        <x:v>0</x:v>
      </x:c>
      <x:c r="T567" s="604" t="inlineStr">
        <x:is>
          <x:t xml:space="preserve">https://m.titan007.com/analy/Analysis/3092359.htm</x:t>
        </x:is>
      </x:c>
      <x:c r="U567" s="647" t="str">
        <x:f>IF(Q567="","",IF(Q567="待结算","待结算",IF(Q567="红","黑",IF(Q567="半红","半黑",IF(Q567="走","走",IF(Q567="半黑","半红","红"))))))</x:f>
        <x:v>走</x:v>
      </x:c>
      <x:c r="V567" s="604" t="n">
        <x:f>IF(OR(Q567="",Q567="待结算"),"",IF(L567=LEFT(F567,FIND(" vs ",F567)-1),I567,G567))</x:f>
        <x:v>0.93</x:v>
      </x:c>
      <x:c r="W567" s="604" t="n">
        <x:f>IF(OR(U567="",U567="待结算"),"",IF(U567="红",V567,IF(U567="半红",V567*0.5,IF(U567="走",0,IF(U567="半黑",-0.5,-1)))))</x:f>
        <x:v>0</x:v>
      </x:c>
      <x:c r="X567" s="604" t="inlineStr">
        <x:is>
          <x:t xml:space="preserve">3092359</x:t>
        </x:is>
      </x:c>
      <x:c r="Y567" s="604" t="inlineStr">
        <x:is>
          <x:t xml:space="preserve">V4</x:t>
        </x:is>
      </x:c>
      <x:c r="Z567" s="604" t="inlineStr">
        <x:is>
          <x:t xml:space="preserve">prior-2026-09-30-v1</x:t>
        </x:is>
      </x:c>
      <x:c r="AA567" s="604" t="inlineStr">
        <x:is>
          <x:t xml:space="preserve">C</x:t>
        </x:is>
      </x:c>
      <x:c r="AB567" s="604" t="n">
        <x:v>0.4999770658424094</x:v>
      </x:c>
      <x:c r="AC567" s="604" t="n"/>
      <x:c r="AD567" s="604" t="n"/>
      <x:c r="AE567" s="604" t="n">
        <x:v>0.2491170730026777</x:v>
      </x:c>
      <x:c r="AF567" s="604" t="n">
        <x:v>0.250905861154913</x:v>
      </x:c>
      <x:c r="AG567" s="604" t="n">
        <x:v>0.009517943042403387</x:v>
      </x:c>
      <x:c r="AH567" s="604" t="n"/>
      <x:c r="AI567" s="604" t="n"/>
      <x:c r="AJ567" s="604" t="n">
        <x:v>0.009517943042403387</x:v>
      </x:c>
      <x:c r="AK567" s="604" t="n"/>
      <x:c r="AL567" s="604" t="n"/>
      <x:c r="AM567" s="604" t="n"/>
      <x:c r="AN567" s="604" t="inlineStr">
        <x:is>
          <x:t xml:space="preserve">EVALUATED</x:t>
        </x:is>
      </x:c>
      <x:c r="AO567" s="604" t="inlineStr">
        <x:is>
          <x:t xml:space="preserve">EDGE_BELOW_UNCERTAINTY_THRESHOLD、BUCKET_PRIOR_ONLY、INTENT_INTERPRETATION_ONLY、EXPERT_MARKET</x:t>
        </x:is>
      </x:c>
      <x:c r="AP567" s="604" t="inlineStr">
        <x:is>
          <x:t xml:space="preserve">70578948906da40cceb2</x:t>
        </x:is>
      </x:c>
      <x:c r="AQ567" s="604" t="n">
        <x:v>0</x:v>
      </x:c>
      <x:c r="AR567" s="604" t="n"/>
      <x:c r="AS567" s="604" t="n">
        <x:v>0</x:v>
      </x:c>
      <x:c r="AT567" s="604" t="n">
        <x:v>0</x:v>
      </x:c>
      <x:c r="AU567" s="604" t="n">
        <x:v>0.93</x:v>
      </x:c>
      <x:c r="AV567" s="604" t="n">
        <x:v>0.77</x:v>
      </x:c>
      <x:c r="AW567" s="604" t="n">
        <x:v>46295.47214138889</x:v>
      </x:c>
      <x:c r="AX567" s="604" t="inlineStr">
        <x:is>
          <x:t xml:space="preserve">https://simondongxiao.github.io/odds/v4/</x:t>
        </x:is>
      </x:c>
      <x:c r="AY567" s="604" t="inlineStr">
        <x:is>
          <x:t xml:space="preserve">V4 Shadow Only；real_money=false；P(EV&gt;0)不是比赛胜率</x:t>
        </x:is>
      </x:c>
    </x:row>
    <x:row r="568" ht="22" customHeight="1">
      <x:c r="A568" s="604" t="inlineStr">
        <x:is>
          <x:t xml:space="preserve">2026-09-30</x:t>
        </x:is>
      </x:c>
      <x:c r="B568" s="604" t="inlineStr">
        <x:is>
          <x:t xml:space="preserve">2026-10-01 00:50</x:t>
        </x:is>
      </x:c>
      <x:c r="C568" s="604" t="str">
        <x:v>西亚/中亚系列</x:v>
      </x:c>
      <x:c r="D568" s="604" t="inlineStr">
        <x:is>
          <x:t xml:space="preserve">联赛</x:t>
        </x:is>
      </x:c>
      <x:c r="E568" s="604" t="inlineStr">
        <x:is>
          <x:t xml:space="preserve">以乙南</x:t>
        </x:is>
      </x:c>
      <x:c r="F568" s="604" t="inlineStr">
        <x:is>
          <x:t xml:space="preserve">阿古达 vs 哈迪拉</x:t>
        </x:is>
      </x:c>
      <x:c r="G568" s="604" t="n">
        <x:v>0.74</x:v>
      </x:c>
      <x:c r="H568" s="604" t="n">
        <x:v>0</x:v>
      </x:c>
      <x:c r="I568" s="604" t="n">
        <x:v>0.96</x:v>
      </x:c>
      <x:c r="J568" s="604" t="inlineStr">
        <x:is>
          <x:t xml:space="preserve">0.74/0/0.96</x:t>
        </x:is>
      </x:c>
      <x:c r="K568" s="604" t="inlineStr">
        <x:is>
          <x:t xml:space="preserve">V4-C｜EV +0.0167</x:t>
        </x:is>
      </x:c>
      <x:c r="L568" s="604" t="str"/>
      <x:c r="M568" s="604" t="n">
        <x:v>0.5216268517706647</x:v>
      </x:c>
      <x:c r="N568" s="604" t="inlineStr">
        <x:is>
          <x:t xml:space="preserve">V4纸面入选-C</x:t>
        </x:is>
      </x:c>
      <x:c r="O568" s="604" t="inlineStr">
        <x:is>
          <x:t xml:space="preserve">0-4</x:t>
        </x:is>
      </x:c>
      <x:c r="P568" s="604" t="inlineStr">
        <x:is>
          <x:t xml:space="preserve">已结算</x:t>
        </x:is>
      </x:c>
      <x:c r="Q568" s="646" t="inlineStr">
        <x:is>
          <x:t xml:space="preserve">黑</x:t>
        </x:is>
      </x:c>
      <x:c r="R568" s="604" t="n">
        <x:v>0.96</x:v>
      </x:c>
      <x:c r="S568" s="604" t="n">
        <x:f>IF(OR(Q568="",Q568="待结算"),"",IF(Q568="红",R568,IF(Q568="半红",R568*0.5,IF(Q568="走",0,IF(Q568="半黑",-0.5,-1)))))</x:f>
        <x:v>-1</x:v>
      </x:c>
      <x:c r="T568" s="604" t="inlineStr">
        <x:is>
          <x:t xml:space="preserve">https://m.titan007.com/analy/Analysis/3074950.htm</x:t>
        </x:is>
      </x:c>
      <x:c r="U568" s="645" t="str">
        <x:f>IF(Q568="","",IF(Q568="待结算","待结算",IF(Q568="红","黑",IF(Q568="半红","半黑",IF(Q568="走","走",IF(Q568="半黑","半红","红"))))))</x:f>
        <x:v>红</x:v>
      </x:c>
      <x:c r="V568" s="604" t="n">
        <x:f>IF(OR(Q568="",Q568="待结算"),"",IF(L568=LEFT(F568,FIND(" vs ",F568)-1),I568,G568))</x:f>
        <x:v>0.74</x:v>
      </x:c>
      <x:c r="W568" s="604" t="n">
        <x:f>IF(OR(U568="",U568="待结算"),"",IF(U568="红",V568,IF(U568="半红",V568*0.5,IF(U568="走",0,IF(U568="半黑",-0.5,-1)))))</x:f>
        <x:v>0.74</x:v>
      </x:c>
      <x:c r="X568" s="604" t="inlineStr">
        <x:is>
          <x:t xml:space="preserve">3074950</x:t>
        </x:is>
      </x:c>
      <x:c r="Y568" s="604" t="inlineStr">
        <x:is>
          <x:t xml:space="preserve">V4</x:t>
        </x:is>
      </x:c>
      <x:c r="Z568" s="604" t="inlineStr">
        <x:is>
          <x:t xml:space="preserve">prior-2026-09-30-v1</x:t>
        </x:is>
      </x:c>
      <x:c r="AA568" s="604" t="inlineStr">
        <x:is>
          <x:t xml:space="preserve">C</x:t>
        </x:is>
      </x:c>
      <x:c r="AB568" s="604" t="n">
        <x:v>0.3882617778567792</x:v>
      </x:c>
      <x:c r="AC568" s="604" t="n"/>
      <x:c r="AD568" s="604" t="n">
        <x:v>0.2556714123538256</x:v>
      </x:c>
      <x:c r="AE568" s="604" t="n"/>
      <x:c r="AF568" s="604" t="n">
        <x:v>0.3560668097893951</x:v>
      </x:c>
      <x:c r="AG568" s="604" t="n">
        <x:v>0.01666449695311284</x:v>
      </x:c>
      <x:c r="AH568" s="604" t="n"/>
      <x:c r="AI568" s="604" t="n"/>
      <x:c r="AJ568" s="604" t="n">
        <x:v>0.01666449695311284</x:v>
      </x:c>
      <x:c r="AK568" s="604" t="n"/>
      <x:c r="AL568" s="604" t="n"/>
      <x:c r="AM568" s="604" t="n"/>
      <x:c r="AN568" s="604" t="inlineStr">
        <x:is>
          <x:t xml:space="preserve">EVALUATED</x:t>
        </x:is>
      </x:c>
      <x:c r="AO568" s="604" t="inlineStr">
        <x:is>
          <x:t xml:space="preserve">EDGE_BELOW_UNCERTAINTY_THRESHOLD、BUCKET_PRIOR_ONLY、INTENT_INTERPRETATION_ONLY、EXPERT_MARKET</x:t>
        </x:is>
      </x:c>
      <x:c r="AP568" s="604" t="inlineStr">
        <x:is>
          <x:t xml:space="preserve">bbd82f805b536ece1d5b</x:t>
        </x:is>
      </x:c>
      <x:c r="AQ568" s="604" t="n">
        <x:v>0</x:v>
      </x:c>
      <x:c r="AR568" s="604" t="n"/>
      <x:c r="AS568" s="604" t="n">
        <x:v>0</x:v>
      </x:c>
      <x:c r="AT568" s="604" t="n">
        <x:v>0</x:v>
      </x:c>
      <x:c r="AU568" s="604" t="n">
        <x:v>0.74</x:v>
      </x:c>
      <x:c r="AV568" s="604" t="n">
        <x:v>0.96</x:v>
      </x:c>
      <x:c r="AW568" s="604" t="n">
        <x:v>46295.48723729167</x:v>
      </x:c>
      <x:c r="AX568" s="604" t="inlineStr">
        <x:is>
          <x:t xml:space="preserve">https://simondongxiao.github.io/odds/v4/</x:t>
        </x:is>
      </x:c>
      <x:c r="AY568" s="604" t="inlineStr">
        <x:is>
          <x:t xml:space="preserve">V4 Shadow Only；real_money=false；P(EV&gt;0)不是比赛胜率</x:t>
        </x:is>
      </x:c>
    </x:row>
    <x:row r="569" ht="22" customHeight="1">
      <x:c r="A569" s="604" t="inlineStr">
        <x:is>
          <x:t xml:space="preserve">2026-09-30</x:t>
        </x:is>
      </x:c>
      <x:c r="B569" s="604" t="inlineStr">
        <x:is>
          <x:t xml:space="preserve">2026-10-01 01:00</x:t>
        </x:is>
      </x:c>
      <x:c r="C569" s="604" t="str">
        <x:v>欧洲非五大系列</x:v>
      </x:c>
      <x:c r="D569" s="604" t="inlineStr">
        <x:is>
          <x:t xml:space="preserve">联赛</x:t>
        </x:is>
      </x:c>
      <x:c r="E569" s="604" t="inlineStr">
        <x:is>
          <x:t xml:space="preserve">欧青U21外</x:t>
        </x:is>
      </x:c>
      <x:c r="F569" s="604" t="inlineStr">
        <x:is>
          <x:t xml:space="preserve">科索沃U21 vs 塞浦路斯U21</x:t>
        </x:is>
      </x:c>
      <x:c r="G569" s="604" t="n">
        <x:v>0.99</x:v>
      </x:c>
      <x:c r="H569" s="604" t="n">
        <x:v>1.75</x:v>
      </x:c>
      <x:c r="I569" s="604" t="n">
        <x:v>0.83</x:v>
      </x:c>
      <x:c r="J569" s="604" t="inlineStr">
        <x:is>
          <x:t xml:space="preserve">0.99/1.75/0.83</x:t>
        </x:is>
      </x:c>
      <x:c r="K569" s="604" t="inlineStr">
        <x:is>
          <x:t xml:space="preserve">V4-C｜EV +0.0733</x:t>
        </x:is>
      </x:c>
      <x:c r="L569" s="604" t="inlineStr">
        <x:is>
          <x:t xml:space="preserve">科索沃U21</x:t>
        </x:is>
      </x:c>
      <x:c r="M569" s="604" t="n">
        <x:v>0.5444255267917284</x:v>
      </x:c>
      <x:c r="N569" s="604" t="inlineStr">
        <x:is>
          <x:t xml:space="preserve">V4纸面入选-C</x:t>
        </x:is>
      </x:c>
      <x:c r="O569" s="604" t="inlineStr">
        <x:is>
          <x:t xml:space="preserve">2-1</x:t>
        </x:is>
      </x:c>
      <x:c r="P569" s="604" t="inlineStr">
        <x:is>
          <x:t xml:space="preserve">已结算</x:t>
        </x:is>
      </x:c>
      <x:c r="Q569" s="646" t="inlineStr">
        <x:is>
          <x:t xml:space="preserve">黑</x:t>
        </x:is>
      </x:c>
      <x:c r="R569" s="604" t="n">
        <x:v>0.99</x:v>
      </x:c>
      <x:c r="S569" s="604" t="n">
        <x:f>IF(OR(Q569="",Q569="待结算"),"",IF(Q569="红",R569,IF(Q569="半红",R569*0.5,IF(Q569="走",0,IF(Q569="半黑",-0.5,-1)))))</x:f>
        <x:v>-1</x:v>
      </x:c>
      <x:c r="T569" s="604" t="inlineStr">
        <x:is>
          <x:t xml:space="preserve">https://m.titan007.com/analy/Analysis/2781226.htm</x:t>
        </x:is>
      </x:c>
      <x:c r="U569" s="645" t="str">
        <x:f>IF(Q569="","",IF(Q569="待结算","待结算",IF(Q569="红","黑",IF(Q569="半红","半黑",IF(Q569="走","走",IF(Q569="半黑","半红","红"))))))</x:f>
        <x:v>红</x:v>
      </x:c>
      <x:c r="V569" s="604" t="n">
        <x:f>IF(OR(Q569="",Q569="待结算"),"",IF(L569=LEFT(F569,FIND(" vs ",F569)-1),I569,G569))</x:f>
        <x:v>0.83</x:v>
      </x:c>
      <x:c r="W569" s="604" t="n">
        <x:f>IF(OR(U569="",U569="待结算"),"",IF(U569="红",V569,IF(U569="半红",V569*0.5,IF(U569="走",0,IF(U569="半黑",-0.5,-1)))))</x:f>
        <x:v>0.83</x:v>
      </x:c>
      <x:c r="X569" s="604" t="inlineStr">
        <x:is>
          <x:t xml:space="preserve">2781226</x:t>
        </x:is>
      </x:c>
      <x:c r="Y569" s="604" t="inlineStr">
        <x:is>
          <x:t xml:space="preserve">V4</x:t>
        </x:is>
      </x:c>
      <x:c r="Z569" s="604" t="inlineStr">
        <x:is>
          <x:t xml:space="preserve">prior-2026-09-30-v1</x:t>
        </x:is>
      </x:c>
      <x:c r="AA569" s="604" t="inlineStr">
        <x:is>
          <x:t xml:space="preserve">C</x:t>
        </x:is>
      </x:c>
      <x:c r="AB569" s="604" t="n">
        <x:v>0.3571487702628235</x:v>
      </x:c>
      <x:c r="AC569" s="604" t="n">
        <x:v>0.242519633715119</x:v>
      </x:c>
      <x:c r="AD569" s="604" t="n"/>
      <x:c r="AE569" s="604" t="n"/>
      <x:c r="AF569" s="604" t="n">
        <x:v>0.4003315960220574</x:v>
      </x:c>
      <x:c r="AG569" s="604" t="n">
        <x:v>0.07329290522712179</x:v>
      </x:c>
      <x:c r="AH569" s="604" t="n"/>
      <x:c r="AI569" s="604" t="n"/>
      <x:c r="AJ569" s="604" t="n">
        <x:v>0.07329290522712179</x:v>
      </x:c>
      <x:c r="AK569" s="604" t="n"/>
      <x:c r="AL569" s="604" t="n"/>
      <x:c r="AM569" s="604" t="n"/>
      <x:c r="AN569" s="604" t="inlineStr">
        <x:is>
          <x:t xml:space="preserve">EVALUATED</x:t>
        </x:is>
      </x:c>
      <x:c r="AO569" s="604" t="inlineStr">
        <x:is>
          <x:t xml:space="preserve">GIVING_VALIDATED_EDGE、BUCKET_PRIOR_ONLY、INTENT_INTERPRETATION_ONLY、EXPERT_MARKET</x:t>
        </x:is>
      </x:c>
      <x:c r="AP569" s="604" t="inlineStr">
        <x:is>
          <x:t xml:space="preserve">b764308262eccb80cf71</x:t>
        </x:is>
      </x:c>
      <x:c r="AQ569" s="604" t="n">
        <x:v>-1.75</x:v>
      </x:c>
      <x:c r="AR569" s="604" t="n">
        <x:v>0.99</x:v>
      </x:c>
      <x:c r="AS569" s="604" t="n">
        <x:v>1.75</x:v>
      </x:c>
      <x:c r="AT569" s="604" t="n">
        <x:v>-1.75</x:v>
      </x:c>
      <x:c r="AU569" s="604" t="n">
        <x:v>0.99</x:v>
      </x:c>
      <x:c r="AV569" s="604" t="n">
        <x:v>0.83</x:v>
      </x:c>
      <x:c r="AW569" s="604" t="n">
        <x:v>46295.47214138889</x:v>
      </x:c>
      <x:c r="AX569" s="604" t="inlineStr">
        <x:is>
          <x:t xml:space="preserve">https://simondongxiao.github.io/odds/v4/</x:t>
        </x:is>
      </x:c>
      <x:c r="AY569" s="604" t="inlineStr">
        <x:is>
          <x:t xml:space="preserve">V4 Shadow Only；real_money=false；P(EV&gt;0)不是比赛胜率</x:t>
        </x:is>
      </x:c>
    </x:row>
    <x:row r="570" ht="22" customHeight="1">
      <x:c r="A570" s="604" t="inlineStr">
        <x:is>
          <x:t xml:space="preserve">2026-09-30</x:t>
        </x:is>
      </x:c>
      <x:c r="B570" s="604" t="inlineStr">
        <x:is>
          <x:t xml:space="preserve">2026-10-01 01:00</x:t>
        </x:is>
      </x:c>
      <x:c r="C570" s="604" t="str">
        <x:v>其他系列</x:v>
      </x:c>
      <x:c r="D570" s="604" t="inlineStr">
        <x:is>
          <x:t xml:space="preserve">联赛</x:t>
        </x:is>
      </x:c>
      <x:c r="E570" s="604" t="inlineStr">
        <x:is>
          <x:t xml:space="preserve">阿后备</x:t>
        </x:is>
      </x:c>
      <x:c r="F570" s="604" t="inlineStr">
        <x:is>
          <x:t xml:space="preserve">梅洛后备队 vs 梅洛小阿根廷后备队</x:t>
        </x:is>
      </x:c>
      <x:c r="G570" s="604" t="n">
        <x:v>0.8</x:v>
      </x:c>
      <x:c r="H570" s="604" t="n">
        <x:v>0</x:v>
      </x:c>
      <x:c r="I570" s="604" t="n">
        <x:v>0.9</x:v>
      </x:c>
      <x:c r="J570" s="604" t="inlineStr">
        <x:is>
          <x:t xml:space="preserve">0.8/0/0.9</x:t>
        </x:is>
      </x:c>
      <x:c r="K570" s="604" t="inlineStr">
        <x:is>
          <x:t xml:space="preserve">V4-C｜EV +0.0124</x:t>
        </x:is>
      </x:c>
      <x:c r="L570" s="604" t="str"/>
      <x:c r="M570" s="604" t="n">
        <x:v>0.5634355185871955</x:v>
      </x:c>
      <x:c r="N570" s="604" t="inlineStr">
        <x:is>
          <x:t xml:space="preserve">V4纸面入选-C</x:t>
        </x:is>
      </x:c>
      <x:c r="O570" s="604" t="inlineStr">
        <x:is>
          <x:t xml:space="preserve">0-0</x:t>
        </x:is>
      </x:c>
      <x:c r="P570" s="604" t="inlineStr">
        <x:is>
          <x:t xml:space="preserve">已结算</x:t>
        </x:is>
      </x:c>
      <x:c r="Q570" s="647" t="inlineStr">
        <x:is>
          <x:t xml:space="preserve">走</x:t>
        </x:is>
      </x:c>
      <x:c r="R570" s="604" t="n">
        <x:v>0.9</x:v>
      </x:c>
      <x:c r="S570" s="604" t="n">
        <x:f>IF(OR(Q570="",Q570="待结算"),"",IF(Q570="红",R570,IF(Q570="半红",R570*0.5,IF(Q570="走",0,IF(Q570="半黑",-0.5,-1)))))</x:f>
        <x:v>0</x:v>
      </x:c>
      <x:c r="T570" s="604" t="inlineStr">
        <x:is>
          <x:t xml:space="preserve">https://m.titan007.com/analy/Analysis/3096684.htm</x:t>
        </x:is>
      </x:c>
      <x:c r="U570" s="647" t="str">
        <x:f>IF(Q570="","",IF(Q570="待结算","待结算",IF(Q570="红","黑",IF(Q570="半红","半黑",IF(Q570="走","走",IF(Q570="半黑","半红","红"))))))</x:f>
        <x:v>走</x:v>
      </x:c>
      <x:c r="V570" s="604" t="n">
        <x:f>IF(OR(Q570="",Q570="待结算"),"",IF(L570=LEFT(F570,FIND(" vs ",F570)-1),I570,G570))</x:f>
        <x:v>0.8</x:v>
      </x:c>
      <x:c r="W570" s="604" t="n">
        <x:f>IF(OR(U570="",U570="待结算"),"",IF(U570="红",V570,IF(U570="半红",V570*0.5,IF(U570="走",0,IF(U570="半黑",-0.5,-1)))))</x:f>
        <x:v>0</x:v>
      </x:c>
      <x:c r="X570" s="604" t="inlineStr">
        <x:is>
          <x:t xml:space="preserve">3096684</x:t>
        </x:is>
      </x:c>
      <x:c r="Y570" s="604" t="inlineStr">
        <x:is>
          <x:t xml:space="preserve">V4</x:t>
        </x:is>
      </x:c>
      <x:c r="Z570" s="604" t="inlineStr">
        <x:is>
          <x:t xml:space="preserve">prior-2026-09-30-v1</x:t>
        </x:is>
      </x:c>
      <x:c r="AA570" s="604" t="inlineStr">
        <x:is>
          <x:t xml:space="preserve">C</x:t>
        </x:is>
      </x:c>
      <x:c r="AB570" s="604" t="n">
        <x:v>0.3637786319494143</x:v>
      </x:c>
      <x:c r="AC570" s="604" t="n">
        <x:v>0.2554078940437555</x:v>
      </x:c>
      <x:c r="AD570" s="604" t="n"/>
      <x:c r="AE570" s="604" t="n"/>
      <x:c r="AF570" s="604" t="n">
        <x:v>0.3808134740068301</x:v>
      </x:c>
      <x:c r="AG570" s="604" t="n">
        <x:v>0.01237258917020362</x:v>
      </x:c>
      <x:c r="AH570" s="604" t="n"/>
      <x:c r="AI570" s="604" t="n"/>
      <x:c r="AJ570" s="604" t="n">
        <x:v>0.01237258917020362</x:v>
      </x:c>
      <x:c r="AK570" s="604" t="n"/>
      <x:c r="AL570" s="604" t="n"/>
      <x:c r="AM570" s="604" t="n"/>
      <x:c r="AN570" s="604" t="inlineStr">
        <x:is>
          <x:t xml:space="preserve">EVALUATED</x:t>
        </x:is>
      </x:c>
      <x:c r="AO570" s="604" t="inlineStr">
        <x:is>
          <x:t xml:space="preserve">EDGE_BELOW_UNCERTAINTY_THRESHOLD、BUCKET_PRIOR_ONLY、INTENT_INTERPRETATION_ONLY、EXPERT_MARKET</x:t>
        </x:is>
      </x:c>
      <x:c r="AP570" s="604" t="inlineStr">
        <x:is>
          <x:t xml:space="preserve">612647a41ab13688869c</x:t>
        </x:is>
      </x:c>
      <x:c r="AQ570" s="604" t="n">
        <x:v>0</x:v>
      </x:c>
      <x:c r="AR570" s="604" t="n"/>
      <x:c r="AS570" s="604" t="n">
        <x:v>0</x:v>
      </x:c>
      <x:c r="AT570" s="604" t="n">
        <x:v>0</x:v>
      </x:c>
      <x:c r="AU570" s="604" t="n">
        <x:v>0.8</x:v>
      </x:c>
      <x:c r="AV570" s="604" t="n">
        <x:v>0.9</x:v>
      </x:c>
      <x:c r="AW570" s="604" t="n">
        <x:v>46295.48723729167</x:v>
      </x:c>
      <x:c r="AX570" s="604" t="inlineStr">
        <x:is>
          <x:t xml:space="preserve">https://simondongxiao.github.io/odds/v4/</x:t>
        </x:is>
      </x:c>
      <x:c r="AY570" s="604" t="inlineStr">
        <x:is>
          <x:t xml:space="preserve">V4 Shadow Only；real_money=false；P(EV&gt;0)不是比赛胜率</x:t>
        </x:is>
      </x:c>
    </x:row>
    <x:row r="571" ht="22" customHeight="1">
      <x:c r="A571" s="604" t="inlineStr">
        <x:is>
          <x:t xml:space="preserve">2026-09-30</x:t>
        </x:is>
      </x:c>
      <x:c r="B571" s="604" t="inlineStr">
        <x:is>
          <x:t xml:space="preserve">2026-10-01 01:00</x:t>
        </x:is>
      </x:c>
      <x:c r="C571" s="604" t="str">
        <x:v>欧洲非五大系列</x:v>
      </x:c>
      <x:c r="D571" s="604" t="inlineStr">
        <x:is>
          <x:t xml:space="preserve">杯赛</x:t>
        </x:is>
      </x:c>
      <x:c r="E571" s="604" t="inlineStr">
        <x:is>
          <x:t xml:space="preserve">女欧罗巴杯</x:t>
        </x:is>
      </x:c>
      <x:c r="F571" s="604" t="inlineStr">
        <x:is>
          <x:t xml:space="preserve">皇家社会女足 vs 赫斯女足</x:t>
        </x:is>
      </x:c>
      <x:c r="G571" s="604" t="n">
        <x:v>0.76</x:v>
      </x:c>
      <x:c r="H571" s="604" t="n">
        <x:v>0</x:v>
      </x:c>
      <x:c r="I571" s="604" t="n">
        <x:v>1.06</x:v>
      </x:c>
      <x:c r="J571" s="604" t="inlineStr">
        <x:is>
          <x:t xml:space="preserve">0.76/0/1.06</x:t>
        </x:is>
      </x:c>
      <x:c r="K571" s="604" t="inlineStr">
        <x:is>
          <x:t xml:space="preserve">V4-C｜EV +0.0433</x:t>
        </x:is>
      </x:c>
      <x:c r="L571" s="604" t="str"/>
      <x:c r="M571" s="604" t="n">
        <x:v>0.4909321612041104</x:v>
      </x:c>
      <x:c r="N571" s="604" t="inlineStr">
        <x:is>
          <x:t xml:space="preserve">V4纸面入选-C</x:t>
        </x:is>
      </x:c>
      <x:c r="O571" s="604" t="inlineStr">
        <x:is>
          <x:t xml:space="preserve">4-0</x:t>
        </x:is>
      </x:c>
      <x:c r="P571" s="604" t="inlineStr">
        <x:is>
          <x:t xml:space="preserve">已结算</x:t>
        </x:is>
      </x:c>
      <x:c r="Q571" s="645" t="inlineStr">
        <x:is>
          <x:t xml:space="preserve">红</x:t>
        </x:is>
      </x:c>
      <x:c r="R571" s="604" t="n">
        <x:v>1.06</x:v>
      </x:c>
      <x:c r="S571" s="604" t="n">
        <x:f>IF(OR(Q571="",Q571="待结算"),"",IF(Q571="红",R571,IF(Q571="半红",R571*0.5,IF(Q571="走",0,IF(Q571="半黑",-0.5,-1)))))</x:f>
        <x:v>1.06</x:v>
      </x:c>
      <x:c r="T571" s="604" t="inlineStr">
        <x:is>
          <x:t xml:space="preserve">https://m.titan007.com/analy/Analysis/3086473.htm</x:t>
        </x:is>
      </x:c>
      <x:c r="U571" s="646" t="str">
        <x:f>IF(Q571="","",IF(Q571="待结算","待结算",IF(Q571="红","黑",IF(Q571="半红","半黑",IF(Q571="走","走",IF(Q571="半黑","半红","红"))))))</x:f>
        <x:v>黑</x:v>
      </x:c>
      <x:c r="V571" s="604" t="n">
        <x:f>IF(OR(Q571="",Q571="待结算"),"",IF(L571=LEFT(F571,FIND(" vs ",F571)-1),I571,G571))</x:f>
        <x:v>0.76</x:v>
      </x:c>
      <x:c r="W571" s="604" t="n">
        <x:f>IF(OR(U571="",U571="待结算"),"",IF(U571="红",V571,IF(U571="半红",V571*0.5,IF(U571="走",0,IF(U571="半黑",-0.5,-1)))))</x:f>
        <x:v>-1</x:v>
      </x:c>
      <x:c r="X571" s="604" t="inlineStr">
        <x:is>
          <x:t xml:space="preserve">3086473</x:t>
        </x:is>
      </x:c>
      <x:c r="Y571" s="604" t="inlineStr">
        <x:is>
          <x:t xml:space="preserve">V4</x:t>
        </x:is>
      </x:c>
      <x:c r="Z571" s="604" t="inlineStr">
        <x:is>
          <x:t xml:space="preserve">prior-2026-09-30-v1</x:t>
        </x:is>
      </x:c>
      <x:c r="AA571" s="604" t="inlineStr">
        <x:is>
          <x:t xml:space="preserve">C</x:t>
        </x:is>
      </x:c>
      <x:c r="AB571" s="604" t="n">
        <x:v>0.3273792314603337</x:v>
      </x:c>
      <x:c r="AC571" s="604" t="n">
        <x:v>0.2193968766649821</x:v>
      </x:c>
      <x:c r="AD571" s="604" t="n"/>
      <x:c r="AE571" s="604" t="n"/>
      <x:c r="AF571" s="604" t="n">
        <x:v>0.4532238918746842</x:v>
      </x:c>
      <x:c r="AG571" s="604" t="n">
        <x:v>0.04333965559434061</x:v>
      </x:c>
      <x:c r="AH571" s="604" t="n"/>
      <x:c r="AI571" s="604" t="n"/>
      <x:c r="AJ571" s="604" t="n">
        <x:v>0.04333965559434061</x:v>
      </x:c>
      <x:c r="AK571" s="604" t="n"/>
      <x:c r="AL571" s="604" t="n"/>
      <x:c r="AM571" s="604" t="n"/>
      <x:c r="AN571" s="604" t="inlineStr">
        <x:is>
          <x:t xml:space="preserve">EVALUATED</x:t>
        </x:is>
      </x:c>
      <x:c r="AO571" s="604" t="inlineStr">
        <x:is>
          <x:t xml:space="preserve">EDGE_BELOW_UNCERTAINTY_THRESHOLD、BUCKET_PRIOR_ONLY、INTENT_INTERPRETATION_ONLY、EXPERT_MARKET</x:t>
        </x:is>
      </x:c>
      <x:c r="AP571" s="604" t="inlineStr">
        <x:is>
          <x:t xml:space="preserve">e1d107740241efabc338</x:t>
        </x:is>
      </x:c>
      <x:c r="AQ571" s="604" t="n">
        <x:v>0</x:v>
      </x:c>
      <x:c r="AR571" s="604" t="n"/>
      <x:c r="AS571" s="604" t="n">
        <x:v>0</x:v>
      </x:c>
      <x:c r="AT571" s="604" t="n">
        <x:v>0</x:v>
      </x:c>
      <x:c r="AU571" s="604" t="n">
        <x:v>0.76</x:v>
      </x:c>
      <x:c r="AV571" s="604" t="n">
        <x:v>1.06</x:v>
      </x:c>
      <x:c r="AW571" s="604" t="n">
        <x:v>46295.48723729167</x:v>
      </x:c>
      <x:c r="AX571" s="604" t="inlineStr">
        <x:is>
          <x:t xml:space="preserve">https://simondongxiao.github.io/odds/v4/</x:t>
        </x:is>
      </x:c>
      <x:c r="AY571" s="604" t="inlineStr">
        <x:is>
          <x:t xml:space="preserve">V4 Shadow Only；real_money=false；P(EV&gt;0)不是比赛胜率</x:t>
        </x:is>
      </x:c>
    </x:row>
    <x:row r="572" ht="22" customHeight="1">
      <x:c r="A572" s="604" t="inlineStr">
        <x:is>
          <x:t xml:space="preserve">2026-09-30</x:t>
        </x:is>
      </x:c>
      <x:c r="B572" s="604" t="inlineStr">
        <x:is>
          <x:t xml:space="preserve">2026-10-01 01:00</x:t>
        </x:is>
      </x:c>
      <x:c r="C572" s="604" t="str">
        <x:v>欧洲非五大系列</x:v>
      </x:c>
      <x:c r="D572" s="604" t="inlineStr">
        <x:is>
          <x:t xml:space="preserve">杯赛</x:t>
        </x:is>
      </x:c>
      <x:c r="E572" s="604" t="inlineStr">
        <x:is>
          <x:t xml:space="preserve">女欧罗巴杯</x:t>
        </x:is>
      </x:c>
      <x:c r="F572" s="604" t="inlineStr">
        <x:is>
          <x:t xml:space="preserve">费内巴切女足 vs 明斯克女足</x:t>
        </x:is>
      </x:c>
      <x:c r="G572" s="604" t="n">
        <x:v>0.87</x:v>
      </x:c>
      <x:c r="H572" s="604" t="n">
        <x:v>0</x:v>
      </x:c>
      <x:c r="I572" s="604" t="n">
        <x:v>0.95</x:v>
      </x:c>
      <x:c r="J572" s="604" t="inlineStr">
        <x:is>
          <x:t xml:space="preserve">0.87/0/0.95</x:t>
        </x:is>
      </x:c>
      <x:c r="K572" s="604" t="inlineStr">
        <x:is>
          <x:t xml:space="preserve">V4-C｜EV +0.0463</x:t>
        </x:is>
      </x:c>
      <x:c r="L572" s="604" t="str"/>
      <x:c r="M572" s="604" t="n">
        <x:v>0.562940478729324</x:v>
      </x:c>
      <x:c r="N572" s="604" t="inlineStr">
        <x:is>
          <x:t xml:space="preserve">V4纸面入选-C</x:t>
        </x:is>
      </x:c>
      <x:c r="O572" s="604" t="inlineStr">
        <x:is>
          <x:t xml:space="preserve">1-0</x:t>
        </x:is>
      </x:c>
      <x:c r="P572" s="604" t="inlineStr">
        <x:is>
          <x:t xml:space="preserve">已结算</x:t>
        </x:is>
      </x:c>
      <x:c r="Q572" s="645" t="inlineStr">
        <x:is>
          <x:t xml:space="preserve">红</x:t>
        </x:is>
      </x:c>
      <x:c r="R572" s="604" t="n">
        <x:v>0.95</x:v>
      </x:c>
      <x:c r="S572" s="604" t="n">
        <x:f>IF(OR(Q572="",Q572="待结算"),"",IF(Q572="红",R572,IF(Q572="半红",R572*0.5,IF(Q572="走",0,IF(Q572="半黑",-0.5,-1)))))</x:f>
        <x:v>0.95</x:v>
      </x:c>
      <x:c r="T572" s="604" t="inlineStr">
        <x:is>
          <x:t xml:space="preserve">https://m.titan007.com/analy/Analysis/3086478.htm</x:t>
        </x:is>
      </x:c>
      <x:c r="U572" s="646" t="str">
        <x:f>IF(Q572="","",IF(Q572="待结算","待结算",IF(Q572="红","黑",IF(Q572="半红","半黑",IF(Q572="走","走",IF(Q572="半黑","半红","红"))))))</x:f>
        <x:v>黑</x:v>
      </x:c>
      <x:c r="V572" s="604" t="n">
        <x:f>IF(OR(Q572="",Q572="待结算"),"",IF(L572=LEFT(F572,FIND(" vs ",F572)-1),I572,G572))</x:f>
        <x:v>0.87</x:v>
      </x:c>
      <x:c r="W572" s="604" t="n">
        <x:f>IF(OR(U572="",U572="待结算"),"",IF(U572="红",V572,IF(U572="半红",V572*0.5,IF(U572="走",0,IF(U572="半黑",-0.5,-1)))))</x:f>
        <x:v>-1</x:v>
      </x:c>
      <x:c r="X572" s="604" t="inlineStr">
        <x:is>
          <x:t xml:space="preserve">3086478</x:t>
        </x:is>
      </x:c>
      <x:c r="Y572" s="604" t="inlineStr">
        <x:is>
          <x:t xml:space="preserve">V4</x:t>
        </x:is>
      </x:c>
      <x:c r="Z572" s="604" t="inlineStr">
        <x:is>
          <x:t xml:space="preserve">prior-2026-09-30-v1</x:t>
        </x:is>
      </x:c>
      <x:c r="AA572" s="604" t="inlineStr">
        <x:is>
          <x:t xml:space="preserve">C</x:t>
        </x:is>
      </x:c>
      <x:c r="AB572" s="604" t="n">
        <x:v>0.4949652525694472</x:v>
      </x:c>
      <x:c r="AC572" s="604" t="n"/>
      <x:c r="AD572" s="604" t="n"/>
      <x:c r="AE572" s="604" t="n">
        <x:v>0.2415005803573096</x:v>
      </x:c>
      <x:c r="AF572" s="604" t="n">
        <x:v>0.2635341670732431</x:v>
      </x:c>
      <x:c r="AG572" s="604" t="n">
        <x:v>0.04633531248352113</x:v>
      </x:c>
      <x:c r="AH572" s="604" t="n"/>
      <x:c r="AI572" s="604" t="n"/>
      <x:c r="AJ572" s="604" t="n">
        <x:v>0.04633531248352113</x:v>
      </x:c>
      <x:c r="AK572" s="604" t="n"/>
      <x:c r="AL572" s="604" t="n"/>
      <x:c r="AM572" s="604" t="n"/>
      <x:c r="AN572" s="604" t="inlineStr">
        <x:is>
          <x:t xml:space="preserve">EVALUATED</x:t>
        </x:is>
      </x:c>
      <x:c r="AO572" s="604" t="inlineStr">
        <x:is>
          <x:t xml:space="preserve">EDGE_BELOW_UNCERTAINTY_THRESHOLD、BUCKET_PRIOR_ONLY、INTENT_INTERPRETATION_ONLY、EXPERT_MARKET</x:t>
        </x:is>
      </x:c>
      <x:c r="AP572" s="604" t="inlineStr">
        <x:is>
          <x:t xml:space="preserve">37cda1ae8f6608222354</x:t>
        </x:is>
      </x:c>
      <x:c r="AQ572" s="604" t="n">
        <x:v>0</x:v>
      </x:c>
      <x:c r="AR572" s="604" t="n"/>
      <x:c r="AS572" s="604" t="n">
        <x:v>0</x:v>
      </x:c>
      <x:c r="AT572" s="604" t="n">
        <x:v>0</x:v>
      </x:c>
      <x:c r="AU572" s="604" t="n">
        <x:v>0.87</x:v>
      </x:c>
      <x:c r="AV572" s="604" t="n">
        <x:v>0.95</x:v>
      </x:c>
      <x:c r="AW572" s="604" t="n">
        <x:v>46295.48723729167</x:v>
      </x:c>
      <x:c r="AX572" s="604" t="inlineStr">
        <x:is>
          <x:t xml:space="preserve">https://simondongxiao.github.io/odds/v4/</x:t>
        </x:is>
      </x:c>
      <x:c r="AY572" s="604" t="inlineStr">
        <x:is>
          <x:t xml:space="preserve">V4 Shadow Only；real_money=false；P(EV&gt;0)不是比赛胜率</x:t>
        </x:is>
      </x:c>
    </x:row>
    <x:row r="573" ht="22" customHeight="1">
      <x:c r="A573" s="604" t="inlineStr">
        <x:is>
          <x:t xml:space="preserve">2026-09-30</x:t>
        </x:is>
      </x:c>
      <x:c r="B573" s="604" t="inlineStr">
        <x:is>
          <x:t xml:space="preserve">2026-10-01 01:00</x:t>
        </x:is>
      </x:c>
      <x:c r="C573" s="604" t="str">
        <x:v>欧洲非五大系列</x:v>
      </x:c>
      <x:c r="D573" s="604" t="inlineStr">
        <x:is>
          <x:t xml:space="preserve">杯赛</x:t>
        </x:is>
      </x:c>
      <x:c r="E573" s="604" t="inlineStr">
        <x:is>
          <x:t xml:space="preserve">女欧罗巴杯</x:t>
        </x:is>
      </x:c>
      <x:c r="F573" s="604" t="inlineStr">
        <x:is>
          <x:t xml:space="preserve">马模女足 vs 圣珀尔滕女足</x:t>
        </x:is>
      </x:c>
      <x:c r="G573" s="604" t="n">
        <x:v>0.82</x:v>
      </x:c>
      <x:c r="H573" s="604" t="n">
        <x:v>1</x:v>
      </x:c>
      <x:c r="I573" s="604" t="n">
        <x:v>1</x:v>
      </x:c>
      <x:c r="J573" s="604" t="inlineStr">
        <x:is>
          <x:t xml:space="preserve">0.82/1/1</x:t>
        </x:is>
      </x:c>
      <x:c r="K573" s="604" t="inlineStr">
        <x:is>
          <x:t xml:space="preserve">V4-B｜EV +0.0858</x:t>
        </x:is>
      </x:c>
      <x:c r="L573" s="604" t="inlineStr">
        <x:is>
          <x:t xml:space="preserve">马模女足</x:t>
        </x:is>
      </x:c>
      <x:c r="M573" s="604" t="n">
        <x:v>0.6127019213462809</x:v>
      </x:c>
      <x:c r="N573" s="604" t="inlineStr">
        <x:is>
          <x:t xml:space="preserve">V4纸面入选-B</x:t>
        </x:is>
      </x:c>
      <x:c r="O573" s="604" t="inlineStr">
        <x:is>
          <x:t xml:space="preserve">3-0</x:t>
        </x:is>
      </x:c>
      <x:c r="P573" s="604" t="inlineStr">
        <x:is>
          <x:t xml:space="preserve">已结算</x:t>
        </x:is>
      </x:c>
      <x:c r="Q573" s="645" t="inlineStr">
        <x:is>
          <x:t xml:space="preserve">红</x:t>
        </x:is>
      </x:c>
      <x:c r="R573" s="604" t="n">
        <x:v>0.82</x:v>
      </x:c>
      <x:c r="S573" s="604" t="n">
        <x:f>IF(OR(Q573="",Q573="待结算"),"",IF(Q573="红",R573,IF(Q573="半红",R573*0.5,IF(Q573="走",0,IF(Q573="半黑",-0.5,-1)))))</x:f>
        <x:v>0.82</x:v>
      </x:c>
      <x:c r="T573" s="604" t="inlineStr">
        <x:is>
          <x:t xml:space="preserve">https://m.titan007.com/analy/Analysis/3086482.htm</x:t>
        </x:is>
      </x:c>
      <x:c r="U573" s="646" t="str">
        <x:f>IF(Q573="","",IF(Q573="待结算","待结算",IF(Q573="红","黑",IF(Q573="半红","半黑",IF(Q573="走","走",IF(Q573="半黑","半红","红"))))))</x:f>
        <x:v>黑</x:v>
      </x:c>
      <x:c r="V573" s="604" t="n">
        <x:f>IF(OR(Q573="",Q573="待结算"),"",IF(L573=LEFT(F573,FIND(" vs ",F573)-1),I573,G573))</x:f>
        <x:v>1</x:v>
      </x:c>
      <x:c r="W573" s="604" t="n">
        <x:f>IF(OR(U573="",U573="待结算"),"",IF(U573="红",V573,IF(U573="半红",V573*0.5,IF(U573="走",0,IF(U573="半黑",-0.5,-1)))))</x:f>
        <x:v>-1</x:v>
      </x:c>
      <x:c r="X573" s="604" t="inlineStr">
        <x:is>
          <x:t xml:space="preserve">3086482</x:t>
        </x:is>
      </x:c>
      <x:c r="Y573" s="604" t="inlineStr">
        <x:is>
          <x:t xml:space="preserve">V4</x:t>
        </x:is>
      </x:c>
      <x:c r="Z573" s="604" t="inlineStr">
        <x:is>
          <x:t xml:space="preserve">prior-2026-09-30-v1</x:t>
        </x:is>
      </x:c>
      <x:c r="AA573" s="604" t="inlineStr">
        <x:is>
          <x:t xml:space="preserve">B</x:t>
        </x:is>
      </x:c>
      <x:c r="AB573" s="604" t="n">
        <x:v>0.4568085624348275</x:v>
      </x:c>
      <x:c r="AC573" s="604" t="n"/>
      <x:c r="AD573" s="604" t="n">
        <x:v>0.2544358904064005</x:v>
      </x:c>
      <x:c r="AE573" s="604" t="n"/>
      <x:c r="AF573" s="604" t="n">
        <x:v>0.288755547158772</x:v>
      </x:c>
      <x:c r="AG573" s="604" t="n">
        <x:v>0.08582747403778651</x:v>
      </x:c>
      <x:c r="AH573" s="604" t="n"/>
      <x:c r="AI573" s="604" t="n"/>
      <x:c r="AJ573" s="604" t="n">
        <x:v>0.08582747403778651</x:v>
      </x:c>
      <x:c r="AK573" s="604" t="n"/>
      <x:c r="AL573" s="604" t="n"/>
      <x:c r="AM573" s="604" t="n"/>
      <x:c r="AN573" s="604" t="inlineStr">
        <x:is>
          <x:t xml:space="preserve">EVALUATED</x:t>
        </x:is>
      </x:c>
      <x:c r="AO573" s="604" t="inlineStr">
        <x:is>
          <x:t xml:space="preserve">GIVING_VALIDATED_EDGE、BUCKET_PRIOR_ONLY、INTENT_INTERPRETATION_ONLY、EXPERT_MARKET</x:t>
        </x:is>
      </x:c>
      <x:c r="AP573" s="604" t="inlineStr">
        <x:is>
          <x:t xml:space="preserve">83a55957566887746b02</x:t>
        </x:is>
      </x:c>
      <x:c r="AQ573" s="604" t="n">
        <x:v>-1</x:v>
      </x:c>
      <x:c r="AR573" s="604" t="n">
        <x:v>0.82</x:v>
      </x:c>
      <x:c r="AS573" s="604" t="n">
        <x:v>1</x:v>
      </x:c>
      <x:c r="AT573" s="604" t="n">
        <x:v>-1</x:v>
      </x:c>
      <x:c r="AU573" s="604" t="n">
        <x:v>0.82</x:v>
      </x:c>
      <x:c r="AV573" s="604" t="n">
        <x:v>1</x:v>
      </x:c>
      <x:c r="AW573" s="604" t="n">
        <x:v>46295.48723729167</x:v>
      </x:c>
      <x:c r="AX573" s="604" t="inlineStr">
        <x:is>
          <x:t xml:space="preserve">https://simondongxiao.github.io/odds/v4/</x:t>
        </x:is>
      </x:c>
      <x:c r="AY573" s="604" t="inlineStr">
        <x:is>
          <x:t xml:space="preserve">V4 Shadow Only；real_money=false；P(EV&gt;0)不是比赛胜率</x:t>
        </x:is>
      </x:c>
    </x:row>
    <x:row r="574" ht="22" customHeight="1">
      <x:c r="A574" s="604" t="inlineStr">
        <x:is>
          <x:t xml:space="preserve">2026-09-30</x:t>
        </x:is>
      </x:c>
      <x:c r="B574" s="604" t="inlineStr">
        <x:is>
          <x:t xml:space="preserve">2026-10-01 01:30</x:t>
        </x:is>
      </x:c>
      <x:c r="C574" s="604" t="str">
        <x:v>西亚/中亚系列</x:v>
      </x:c>
      <x:c r="D574" s="604" t="inlineStr">
        <x:is>
          <x:t xml:space="preserve">联赛</x:t>
        </x:is>
      </x:c>
      <x:c r="E574" s="604" t="inlineStr">
        <x:is>
          <x:t xml:space="preserve">海湾运</x:t>
        </x:is>
      </x:c>
      <x:c r="F574" s="604" t="inlineStr">
        <x:is>
          <x:t xml:space="preserve">巴林(中) vs 也门</x:t>
        </x:is>
      </x:c>
      <x:c r="G574" s="604" t="n">
        <x:v>0.82</x:v>
      </x:c>
      <x:c r="H574" s="604" t="n">
        <x:v>0.75</x:v>
      </x:c>
      <x:c r="I574" s="604" t="n">
        <x:v>1</x:v>
      </x:c>
      <x:c r="J574" s="604" t="inlineStr">
        <x:is>
          <x:t xml:space="preserve">0.82/0.75/1</x:t>
        </x:is>
      </x:c>
      <x:c r="K574" s="604" t="inlineStr">
        <x:is>
          <x:t xml:space="preserve">V4-C｜EV +0.0998</x:t>
        </x:is>
      </x:c>
      <x:c r="L574" s="604" t="inlineStr">
        <x:is>
          <x:t xml:space="preserve">巴林(中)</x:t>
        </x:is>
      </x:c>
      <x:c r="M574" s="604" t="n">
        <x:v>0.6123669542639065</x:v>
      </x:c>
      <x:c r="N574" s="604" t="inlineStr">
        <x:is>
          <x:t xml:space="preserve">V4纸面入选-C</x:t>
        </x:is>
      </x:c>
      <x:c r="O574" s="604" t="inlineStr">
        <x:is>
          <x:t xml:space="preserve">2-5</x:t>
        </x:is>
      </x:c>
      <x:c r="P574" s="604" t="inlineStr">
        <x:is>
          <x:t xml:space="preserve">已结算</x:t>
        </x:is>
      </x:c>
      <x:c r="Q574" s="646" t="inlineStr">
        <x:is>
          <x:t xml:space="preserve">黑</x:t>
        </x:is>
      </x:c>
      <x:c r="R574" s="604" t="n">
        <x:v>0.82</x:v>
      </x:c>
      <x:c r="S574" s="604" t="n">
        <x:f>IF(OR(Q574="",Q574="待结算"),"",IF(Q574="红",R574,IF(Q574="半红",R574*0.5,IF(Q574="走",0,IF(Q574="半黑",-0.5,-1)))))</x:f>
        <x:v>-1</x:v>
      </x:c>
      <x:c r="T574" s="604" t="inlineStr">
        <x:is>
          <x:t xml:space="preserve">https://m.titan007.com/analy/Analysis/3092414.htm</x:t>
        </x:is>
      </x:c>
      <x:c r="U574" s="645" t="str">
        <x:f>IF(Q574="","",IF(Q574="待结算","待结算",IF(Q574="红","黑",IF(Q574="半红","半黑",IF(Q574="走","走",IF(Q574="半黑","半红","红"))))))</x:f>
        <x:v>红</x:v>
      </x:c>
      <x:c r="V574" s="604" t="n">
        <x:f>IF(OR(Q574="",Q574="待结算"),"",IF(L574=LEFT(F574,FIND(" vs ",F574)-1),I574,G574))</x:f>
        <x:v>1</x:v>
      </x:c>
      <x:c r="W574" s="604" t="n">
        <x:f>IF(OR(U574="",U574="待结算"),"",IF(U574="红",V574,IF(U574="半红",V574*0.5,IF(U574="走",0,IF(U574="半黑",-0.5,-1)))))</x:f>
        <x:v>1</x:v>
      </x:c>
      <x:c r="X574" s="604" t="inlineStr">
        <x:is>
          <x:t xml:space="preserve">3092414</x:t>
        </x:is>
      </x:c>
      <x:c r="Y574" s="604" t="inlineStr">
        <x:is>
          <x:t xml:space="preserve">V4</x:t>
        </x:is>
      </x:c>
      <x:c r="Z574" s="604" t="inlineStr">
        <x:is>
          <x:t xml:space="preserve">prior-2026-09-30-v1</x:t>
        </x:is>
      </x:c>
      <x:c r="AA574" s="604" t="inlineStr">
        <x:is>
          <x:t xml:space="preserve">C</x:t>
        </x:is>
      </x:c>
      <x:c r="AB574" s="604" t="n">
        <x:v>0.4048761930224332</x:v>
      </x:c>
      <x:c r="AC574" s="604" t="n">
        <x:v>0.2573741178368408</x:v>
      </x:c>
      <x:c r="AD574" s="604" t="n"/>
      <x:c r="AE574" s="604" t="n"/>
      <x:c r="AF574" s="604" t="n">
        <x:v>0.3377496891407261</x:v>
      </x:c>
      <x:c r="AG574" s="604" t="n">
        <x:v>0.09977217745077382</x:v>
      </x:c>
      <x:c r="AH574" s="604" t="n"/>
      <x:c r="AI574" s="604" t="n"/>
      <x:c r="AJ574" s="604" t="n">
        <x:v>0.09977217745077382</x:v>
      </x:c>
      <x:c r="AK574" s="604" t="n"/>
      <x:c r="AL574" s="604" t="n"/>
      <x:c r="AM574" s="604" t="n"/>
      <x:c r="AN574" s="604" t="inlineStr">
        <x:is>
          <x:t xml:space="preserve">EVALUATED</x:t>
        </x:is>
      </x:c>
      <x:c r="AO574" s="604" t="inlineStr">
        <x:is>
          <x:t xml:space="preserve">GIVING_VALIDATED_EDGE、BUCKET_PRIOR_ONLY、INTENT_INTERPRETATION_ONLY、EXPERT_MARKET</x:t>
        </x:is>
      </x:c>
      <x:c r="AP574" s="604" t="inlineStr">
        <x:is>
          <x:t xml:space="preserve">b32ddcdf5ee8ef51413c</x:t>
        </x:is>
      </x:c>
      <x:c r="AQ574" s="604" t="n">
        <x:v>-0.75</x:v>
      </x:c>
      <x:c r="AR574" s="604" t="n">
        <x:v>0.82</x:v>
      </x:c>
      <x:c r="AS574" s="604" t="n">
        <x:v>0.75</x:v>
      </x:c>
      <x:c r="AT574" s="604" t="n">
        <x:v>-0.75</x:v>
      </x:c>
      <x:c r="AU574" s="604" t="n">
        <x:v>0.82</x:v>
      </x:c>
      <x:c r="AV574" s="604" t="n">
        <x:v>1</x:v>
      </x:c>
      <x:c r="AW574" s="604" t="n">
        <x:v>46295.47214138889</x:v>
      </x:c>
      <x:c r="AX574" s="604" t="inlineStr">
        <x:is>
          <x:t xml:space="preserve">https://simondongxiao.github.io/odds/v4/</x:t>
        </x:is>
      </x:c>
      <x:c r="AY574" s="604" t="inlineStr">
        <x:is>
          <x:t xml:space="preserve">V4 Shadow Only；real_money=false；P(EV&gt;0)不是比赛胜率</x:t>
        </x:is>
      </x:c>
    </x:row>
    <x:row r="575" ht="22" customHeight="1">
      <x:c r="A575" s="604" t="inlineStr">
        <x:is>
          <x:t xml:space="preserve">2026-09-30</x:t>
        </x:is>
      </x:c>
      <x:c r="B575" s="604" t="inlineStr">
        <x:is>
          <x:t xml:space="preserve">2026-10-01 01:30</x:t>
        </x:is>
      </x:c>
      <x:c r="C575" s="604" t="str">
        <x:v>西亚/中亚系列</x:v>
      </x:c>
      <x:c r="D575" s="604" t="inlineStr">
        <x:is>
          <x:t xml:space="preserve">联赛</x:t>
        </x:is>
      </x:c>
      <x:c r="E575" s="604" t="inlineStr">
        <x:is>
          <x:t xml:space="preserve">海湾运</x:t>
        </x:is>
      </x:c>
      <x:c r="F575" s="604" t="inlineStr">
        <x:is>
          <x:t xml:space="preserve">阿联酋(中) vs 卡塔尔</x:t>
        </x:is>
      </x:c>
      <x:c r="G575" s="604" t="n">
        <x:v>1.02</x:v>
      </x:c>
      <x:c r="H575" s="604" t="n">
        <x:v>1</x:v>
      </x:c>
      <x:c r="I575" s="604" t="n">
        <x:v>0.8</x:v>
      </x:c>
      <x:c r="J575" s="604" t="inlineStr">
        <x:is>
          <x:t xml:space="preserve">1.02/1/0.8</x:t>
        </x:is>
      </x:c>
      <x:c r="K575" s="604" t="inlineStr">
        <x:is>
          <x:t xml:space="preserve">V4-C｜EV +0.1506</x:t>
        </x:is>
      </x:c>
      <x:c r="L575" s="604" t="inlineStr">
        <x:is>
          <x:t xml:space="preserve">阿联酋(中)</x:t>
        </x:is>
      </x:c>
      <x:c r="M575" s="604" t="n">
        <x:v>0.5951803201539179</x:v>
      </x:c>
      <x:c r="N575" s="604" t="inlineStr">
        <x:is>
          <x:t xml:space="preserve">V4纸面入选-C</x:t>
        </x:is>
      </x:c>
      <x:c r="O575" s="604" t="inlineStr">
        <x:is>
          <x:t xml:space="preserve">1-1</x:t>
        </x:is>
      </x:c>
      <x:c r="P575" s="604" t="inlineStr">
        <x:is>
          <x:t xml:space="preserve">已结算</x:t>
        </x:is>
      </x:c>
      <x:c r="Q575" s="646" t="inlineStr">
        <x:is>
          <x:t xml:space="preserve">黑</x:t>
        </x:is>
      </x:c>
      <x:c r="R575" s="604" t="n">
        <x:v>1.02</x:v>
      </x:c>
      <x:c r="S575" s="604" t="n">
        <x:f>IF(OR(Q575="",Q575="待结算"),"",IF(Q575="红",R575,IF(Q575="半红",R575*0.5,IF(Q575="走",0,IF(Q575="半黑",-0.5,-1)))))</x:f>
        <x:v>-1</x:v>
      </x:c>
      <x:c r="T575" s="604" t="inlineStr">
        <x:is>
          <x:t xml:space="preserve">https://m.titan007.com/analy/Analysis/3092415.htm</x:t>
        </x:is>
      </x:c>
      <x:c r="U575" s="645" t="str">
        <x:f>IF(Q575="","",IF(Q575="待结算","待结算",IF(Q575="红","黑",IF(Q575="半红","半黑",IF(Q575="走","走",IF(Q575="半黑","半红","红"))))))</x:f>
        <x:v>红</x:v>
      </x:c>
      <x:c r="V575" s="604" t="n">
        <x:f>IF(OR(Q575="",Q575="待结算"),"",IF(L575=LEFT(F575,FIND(" vs ",F575)-1),I575,G575))</x:f>
        <x:v>0.8</x:v>
      </x:c>
      <x:c r="W575" s="604" t="n">
        <x:f>IF(OR(U575="",U575="待结算"),"",IF(U575="红",V575,IF(U575="半红",V575*0.5,IF(U575="走",0,IF(U575="半黑",-0.5,-1)))))</x:f>
        <x:v>0.8</x:v>
      </x:c>
      <x:c r="X575" s="604" t="inlineStr">
        <x:is>
          <x:t xml:space="preserve">3092415</x:t>
        </x:is>
      </x:c>
      <x:c r="Y575" s="604" t="inlineStr">
        <x:is>
          <x:t xml:space="preserve">V4</x:t>
        </x:is>
      </x:c>
      <x:c r="Z575" s="604" t="inlineStr">
        <x:is>
          <x:t xml:space="preserve">prior-2026-09-30-v1</x:t>
        </x:is>
      </x:c>
      <x:c r="AA575" s="604" t="inlineStr">
        <x:is>
          <x:t xml:space="preserve">C</x:t>
        </x:is>
      </x:c>
      <x:c r="AB575" s="604" t="n">
        <x:v>0.443061012142321</x:v>
      </x:c>
      <x:c r="AC575" s="604" t="n"/>
      <x:c r="AD575" s="604" t="n">
        <x:v>0.2555852451106882</x:v>
      </x:c>
      <x:c r="AE575" s="604" t="n"/>
      <x:c r="AF575" s="604" t="n">
        <x:v>0.3013537427469908</x:v>
      </x:c>
      <x:c r="AG575" s="604" t="n">
        <x:v>0.1505684896381765</x:v>
      </x:c>
      <x:c r="AH575" s="604" t="n"/>
      <x:c r="AI575" s="604" t="n"/>
      <x:c r="AJ575" s="604" t="n">
        <x:v>0.1505684896381765</x:v>
      </x:c>
      <x:c r="AK575" s="604" t="n"/>
      <x:c r="AL575" s="604" t="n"/>
      <x:c r="AM575" s="604" t="n"/>
      <x:c r="AN575" s="604" t="inlineStr">
        <x:is>
          <x:t xml:space="preserve">EVALUATED</x:t>
        </x:is>
      </x:c>
      <x:c r="AO575" s="604" t="inlineStr">
        <x:is>
          <x:t xml:space="preserve">GIVING_VALIDATED_EDGE、BUCKET_PRIOR_ONLY、INTENT_INTERPRETATION_ONLY、EXPERT_MARKET</x:t>
        </x:is>
      </x:c>
      <x:c r="AP575" s="604" t="inlineStr">
        <x:is>
          <x:t xml:space="preserve">28deb18b1ffc22064829</x:t>
        </x:is>
      </x:c>
      <x:c r="AQ575" s="604" t="n">
        <x:v>-1</x:v>
      </x:c>
      <x:c r="AR575" s="604" t="n">
        <x:v>1.02</x:v>
      </x:c>
      <x:c r="AS575" s="604" t="n">
        <x:v>1</x:v>
      </x:c>
      <x:c r="AT575" s="604" t="n">
        <x:v>-1</x:v>
      </x:c>
      <x:c r="AU575" s="604" t="n">
        <x:v>1.02</x:v>
      </x:c>
      <x:c r="AV575" s="604" t="n">
        <x:v>0.8</x:v>
      </x:c>
      <x:c r="AW575" s="604" t="n">
        <x:v>46295.47214138889</x:v>
      </x:c>
      <x:c r="AX575" s="604" t="inlineStr">
        <x:is>
          <x:t xml:space="preserve">https://simondongxiao.github.io/odds/v4/</x:t>
        </x:is>
      </x:c>
      <x:c r="AY575" s="604" t="inlineStr">
        <x:is>
          <x:t xml:space="preserve">V4 Shadow Only；real_money=false；P(EV&gt;0)不是比赛胜率</x:t>
        </x:is>
      </x:c>
    </x:row>
    <x:row r="576" ht="22" customHeight="1">
      <x:c r="A576" s="604" t="inlineStr">
        <x:is>
          <x:t xml:space="preserve">2026-09-30</x:t>
        </x:is>
      </x:c>
      <x:c r="B576" s="604" t="inlineStr">
        <x:is>
          <x:t xml:space="preserve">2026-10-01 01:30</x:t>
        </x:is>
      </x:c>
      <x:c r="C576" s="604" t="str">
        <x:v>五大联赛杯赛</x:v>
      </x:c>
      <x:c r="D576" s="604" t="inlineStr">
        <x:is>
          <x:t xml:space="preserve">杯赛</x:t>
        </x:is>
      </x:c>
      <x:c r="E576" s="604" t="inlineStr">
        <x:is>
          <x:t xml:space="preserve">西联杯</x:t>
        </x:is>
      </x:c>
      <x:c r="F576" s="604" t="inlineStr">
        <x:is>
          <x:t xml:space="preserve">施斯达奥 vs 泰拿沙</x:t>
        </x:is>
      </x:c>
      <x:c r="G576" s="604" t="n">
        <x:v>0.93</x:v>
      </x:c>
      <x:c r="H576" s="604" t="n">
        <x:v>0</x:v>
      </x:c>
      <x:c r="I576" s="604" t="n">
        <x:v>0.89</x:v>
      </x:c>
      <x:c r="J576" s="604" t="inlineStr">
        <x:is>
          <x:t xml:space="preserve">0.93/0/0.89</x:t>
        </x:is>
      </x:c>
      <x:c r="K576" s="604" t="inlineStr">
        <x:is>
          <x:t xml:space="preserve">V4-C｜EV +0.0405</x:t>
        </x:is>
      </x:c>
      <x:c r="L576" s="604" t="str"/>
      <x:c r="M576" s="604" t="n">
        <x:v>0.5391197512514656</x:v>
      </x:c>
      <x:c r="N576" s="604" t="inlineStr">
        <x:is>
          <x:t xml:space="preserve">V4纸面入选-C</x:t>
        </x:is>
      </x:c>
      <x:c r="O576" s="604" t="inlineStr">
        <x:is>
          <x:t xml:space="preserve">4-1</x:t>
        </x:is>
      </x:c>
      <x:c r="P576" s="604" t="inlineStr">
        <x:is>
          <x:t xml:space="preserve">已结算</x:t>
        </x:is>
      </x:c>
      <x:c r="Q576" s="645" t="inlineStr">
        <x:is>
          <x:t xml:space="preserve">红</x:t>
        </x:is>
      </x:c>
      <x:c r="R576" s="604" t="n">
        <x:v>0.89</x:v>
      </x:c>
      <x:c r="S576" s="604" t="n">
        <x:f>IF(OR(Q576="",Q576="待结算"),"",IF(Q576="红",R576,IF(Q576="半红",R576*0.5,IF(Q576="走",0,IF(Q576="半黑",-0.5,-1)))))</x:f>
        <x:v>0.89</x:v>
      </x:c>
      <x:c r="T576" s="604" t="inlineStr">
        <x:is>
          <x:t xml:space="preserve">https://m.titan007.com/analy/Analysis/3095032.htm</x:t>
        </x:is>
      </x:c>
      <x:c r="U576" s="646" t="str">
        <x:f>IF(Q576="","",IF(Q576="待结算","待结算",IF(Q576="红","黑",IF(Q576="半红","半黑",IF(Q576="走","走",IF(Q576="半黑","半红","红"))))))</x:f>
        <x:v>黑</x:v>
      </x:c>
      <x:c r="V576" s="604" t="n">
        <x:f>IF(OR(Q576="",Q576="待结算"),"",IF(L576=LEFT(F576,FIND(" vs ",F576)-1),I576,G576))</x:f>
        <x:v>0.93</x:v>
      </x:c>
      <x:c r="W576" s="604" t="n">
        <x:f>IF(OR(U576="",U576="待结算"),"",IF(U576="红",V576,IF(U576="半红",V576*0.5,IF(U576="走",0,IF(U576="半黑",-0.5,-1)))))</x:f>
        <x:v>-1</x:v>
      </x:c>
      <x:c r="X576" s="604" t="inlineStr">
        <x:is>
          <x:t xml:space="preserve">3095032</x:t>
        </x:is>
      </x:c>
      <x:c r="Y576" s="604" t="inlineStr">
        <x:is>
          <x:t xml:space="preserve">V4</x:t>
        </x:is>
      </x:c>
      <x:c r="Z576" s="604" t="inlineStr">
        <x:is>
          <x:t xml:space="preserve">prior-2026-09-30-v1</x:t>
        </x:is>
      </x:c>
      <x:c r="AA576" s="604" t="inlineStr">
        <x:is>
          <x:t xml:space="preserve">C</x:t>
        </x:is>
      </x:c>
      <x:c r="AB576" s="604" t="n">
        <x:v>0.5391197512514656</x:v>
      </x:c>
      <x:c r="AC576" s="604" t="n"/>
      <x:c r="AD576" s="604" t="n"/>
      <x:c r="AE576" s="604" t="n"/>
      <x:c r="AF576" s="604" t="n">
        <x:v>0.4608802487485344</x:v>
      </x:c>
      <x:c r="AG576" s="604" t="n">
        <x:v>0.04050111991532868</x:v>
      </x:c>
      <x:c r="AH576" s="604" t="n"/>
      <x:c r="AI576" s="604" t="n"/>
      <x:c r="AJ576" s="604" t="n">
        <x:v>0.04050111991532868</x:v>
      </x:c>
      <x:c r="AK576" s="604" t="n"/>
      <x:c r="AL576" s="604" t="n"/>
      <x:c r="AM576" s="604" t="n"/>
      <x:c r="AN576" s="604" t="inlineStr">
        <x:is>
          <x:t xml:space="preserve">EVALUATED</x:t>
        </x:is>
      </x:c>
      <x:c r="AO576" s="604" t="inlineStr">
        <x:is>
          <x:t xml:space="preserve">EDGE_BELOW_UNCERTAINTY_THRESHOLD、BUCKET_PRIOR_ONLY、INTENT_INTERPRETATION_ONLY、EXPERT_MARKET</x:t>
        </x:is>
      </x:c>
      <x:c r="AP576" s="604" t="inlineStr">
        <x:is>
          <x:t xml:space="preserve">f0578c11ae884083fb40</x:t>
        </x:is>
      </x:c>
      <x:c r="AQ576" s="604" t="n">
        <x:v>0</x:v>
      </x:c>
      <x:c r="AR576" s="604" t="n"/>
      <x:c r="AS576" s="604" t="n">
        <x:v>0</x:v>
      </x:c>
      <x:c r="AT576" s="604" t="n">
        <x:v>0</x:v>
      </x:c>
      <x:c r="AU576" s="604" t="n">
        <x:v>0.93</x:v>
      </x:c>
      <x:c r="AV576" s="604" t="n">
        <x:v>0.89</x:v>
      </x:c>
      <x:c r="AW576" s="604" t="n">
        <x:v>46295.48723729167</x:v>
      </x:c>
      <x:c r="AX576" s="604" t="inlineStr">
        <x:is>
          <x:t xml:space="preserve">https://simondongxiao.github.io/odds/v4/</x:t>
        </x:is>
      </x:c>
      <x:c r="AY576" s="604" t="inlineStr">
        <x:is>
          <x:t xml:space="preserve">V4 Shadow Only；real_money=false；P(EV&gt;0)不是比赛胜率</x:t>
        </x:is>
      </x:c>
    </x:row>
    <x:row r="577" ht="22" customHeight="1">
      <x:c r="A577" s="604" t="inlineStr">
        <x:is>
          <x:t xml:space="preserve">2026-09-30</x:t>
        </x:is>
      </x:c>
      <x:c r="B577" s="604" t="inlineStr">
        <x:is>
          <x:t xml:space="preserve">2026-10-01 02:00</x:t>
        </x:is>
      </x:c>
      <x:c r="C577" s="604" t="str">
        <x:v>五大联赛杯赛</x:v>
      </x:c>
      <x:c r="D577" s="604" t="inlineStr">
        <x:is>
          <x:t xml:space="preserve">杯赛</x:t>
        </x:is>
      </x:c>
      <x:c r="E577" s="604" t="inlineStr">
        <x:is>
          <x:t xml:space="preserve">英女杯</x:t>
        </x:is>
      </x:c>
      <x:c r="F577" s="604" t="inlineStr">
        <x:is>
          <x:t xml:space="preserve">伯明翰城女足 vs 利物浦女足</x:t>
        </x:is>
      </x:c>
      <x:c r="G577" s="604" t="n">
        <x:v>1.04</x:v>
      </x:c>
      <x:c r="H577" s="604" t="n">
        <x:v>0</x:v>
      </x:c>
      <x:c r="I577" s="604" t="n">
        <x:v>0.66</x:v>
      </x:c>
      <x:c r="J577" s="604" t="inlineStr">
        <x:is>
          <x:t xml:space="preserve">1.04/0/0.66</x:t>
        </x:is>
      </x:c>
      <x:c r="K577" s="604" t="inlineStr">
        <x:is>
          <x:t xml:space="preserve">V4-C｜EV +0.0089</x:t>
        </x:is>
      </x:c>
      <x:c r="L577" s="604" t="str"/>
      <x:c r="M577" s="604" t="n">
        <x:v>0.6096118279097684</x:v>
      </x:c>
      <x:c r="N577" s="604" t="inlineStr">
        <x:is>
          <x:t xml:space="preserve">V4纸面入选-C</x:t>
        </x:is>
      </x:c>
      <x:c r="O577" s="604" t="inlineStr">
        <x:is>
          <x:t xml:space="preserve">3-4</x:t>
        </x:is>
      </x:c>
      <x:c r="P577" s="604" t="inlineStr">
        <x:is>
          <x:t xml:space="preserve">已结算</x:t>
        </x:is>
      </x:c>
      <x:c r="Q577" s="646" t="inlineStr">
        <x:is>
          <x:t xml:space="preserve">黑</x:t>
        </x:is>
      </x:c>
      <x:c r="R577" s="604" t="n">
        <x:v>0.66</x:v>
      </x:c>
      <x:c r="S577" s="604" t="n">
        <x:f>IF(OR(Q577="",Q577="待结算"),"",IF(Q577="红",R577,IF(Q577="半红",R577*0.5,IF(Q577="走",0,IF(Q577="半黑",-0.5,-1)))))</x:f>
        <x:v>-1</x:v>
      </x:c>
      <x:c r="T577" s="604" t="inlineStr">
        <x:is>
          <x:t xml:space="preserve">https://m.titan007.com/analy/Analysis/3058935.htm</x:t>
        </x:is>
      </x:c>
      <x:c r="U577" s="645" t="str">
        <x:f>IF(Q577="","",IF(Q577="待结算","待结算",IF(Q577="红","黑",IF(Q577="半红","半黑",IF(Q577="走","走",IF(Q577="半黑","半红","红"))))))</x:f>
        <x:v>红</x:v>
      </x:c>
      <x:c r="V577" s="604" t="n">
        <x:f>IF(OR(Q577="",Q577="待结算"),"",IF(L577=LEFT(F577,FIND(" vs ",F577)-1),I577,G577))</x:f>
        <x:v>1.04</x:v>
      </x:c>
      <x:c r="W577" s="604" t="n">
        <x:f>IF(OR(U577="",U577="待结算"),"",IF(U577="红",V577,IF(U577="半红",V577*0.5,IF(U577="走",0,IF(U577="半黑",-0.5,-1)))))</x:f>
        <x:v>1.04</x:v>
      </x:c>
      <x:c r="X577" s="604" t="inlineStr">
        <x:is>
          <x:t xml:space="preserve">3058935</x:t>
        </x:is>
      </x:c>
      <x:c r="Y577" s="604" t="inlineStr">
        <x:is>
          <x:t xml:space="preserve">V4</x:t>
        </x:is>
      </x:c>
      <x:c r="Z577" s="604" t="inlineStr">
        <x:is>
          <x:t xml:space="preserve">prior-2026-09-30-v1</x:t>
        </x:is>
      </x:c>
      <x:c r="AA577" s="604" t="inlineStr">
        <x:is>
          <x:t xml:space="preserve">C</x:t>
        </x:is>
      </x:c>
      <x:c r="AB577" s="604" t="n">
        <x:v>0.4550007687016968</x:v>
      </x:c>
      <x:c r="AC577" s="604" t="n"/>
      <x:c r="AD577" s="604" t="n">
        <x:v>0.2536221446657303</x:v>
      </x:c>
      <x:c r="AE577" s="604" t="n"/>
      <x:c r="AF577" s="604" t="n">
        <x:v>0.2913770866325729</x:v>
      </x:c>
      <x:c r="AG577" s="604" t="n">
        <x:v>0.008923420710547025</x:v>
      </x:c>
      <x:c r="AH577" s="604" t="n"/>
      <x:c r="AI577" s="604" t="n"/>
      <x:c r="AJ577" s="604" t="n">
        <x:v>0.008923420710547025</x:v>
      </x:c>
      <x:c r="AK577" s="604" t="n"/>
      <x:c r="AL577" s="604" t="n"/>
      <x:c r="AM577" s="604" t="n"/>
      <x:c r="AN577" s="604" t="inlineStr">
        <x:is>
          <x:t xml:space="preserve">EVALUATED</x:t>
        </x:is>
      </x:c>
      <x:c r="AO577" s="604" t="inlineStr">
        <x:is>
          <x:t xml:space="preserve">EDGE_BELOW_UNCERTAINTY_THRESHOLD、BUCKET_PRIOR_ONLY、INTENT_INTERPRETATION_ONLY、EXPERT_MARKET</x:t>
        </x:is>
      </x:c>
      <x:c r="AP577" s="604" t="inlineStr">
        <x:is>
          <x:t xml:space="preserve">b7daabb827bbbc7b33f0</x:t>
        </x:is>
      </x:c>
      <x:c r="AQ577" s="604" t="n">
        <x:v>0</x:v>
      </x:c>
      <x:c r="AR577" s="604" t="n"/>
      <x:c r="AS577" s="604" t="n">
        <x:v>0</x:v>
      </x:c>
      <x:c r="AT577" s="604" t="n">
        <x:v>0</x:v>
      </x:c>
      <x:c r="AU577" s="604" t="n">
        <x:v>1.04</x:v>
      </x:c>
      <x:c r="AV577" s="604" t="n">
        <x:v>0.66</x:v>
      </x:c>
      <x:c r="AW577" s="604" t="n">
        <x:v>46295.47214138889</x:v>
      </x:c>
      <x:c r="AX577" s="604" t="inlineStr">
        <x:is>
          <x:t xml:space="preserve">https://simondongxiao.github.io/odds/v4/</x:t>
        </x:is>
      </x:c>
      <x:c r="AY577" s="604" t="inlineStr">
        <x:is>
          <x:t xml:space="preserve">V4 Shadow Only；real_money=false；P(EV&gt;0)不是比赛胜率</x:t>
        </x:is>
      </x:c>
    </x:row>
    <x:row r="578" ht="22" customHeight="1">
      <x:c r="A578" s="604" t="inlineStr">
        <x:is>
          <x:t xml:space="preserve">2026-09-30</x:t>
        </x:is>
      </x:c>
      <x:c r="B578" s="604" t="inlineStr">
        <x:is>
          <x:t xml:space="preserve">2026-10-01 02:00</x:t>
        </x:is>
      </x:c>
      <x:c r="C578" s="604" t="str">
        <x:v>五大联赛杯赛</x:v>
      </x:c>
      <x:c r="D578" s="604" t="inlineStr">
        <x:is>
          <x:t xml:space="preserve">杯赛</x:t>
        </x:is>
      </x:c>
      <x:c r="E578" s="604" t="inlineStr">
        <x:is>
          <x:t xml:space="preserve">英女杯</x:t>
        </x:is>
      </x:c>
      <x:c r="F578" s="604" t="inlineStr">
        <x:is>
          <x:t xml:space="preserve">水晶宫女足 vs 查尔顿竞技女足</x:t>
        </x:is>
      </x:c>
      <x:c r="G578" s="604" t="n">
        <x:v>0.79</x:v>
      </x:c>
      <x:c r="H578" s="604" t="n">
        <x:v>0</x:v>
      </x:c>
      <x:c r="I578" s="604" t="n">
        <x:v>0.91</x:v>
      </x:c>
      <x:c r="J578" s="604" t="inlineStr">
        <x:is>
          <x:t xml:space="preserve">0.79/0/0.91</x:t>
        </x:is>
      </x:c>
      <x:c r="K578" s="604" t="inlineStr">
        <x:is>
          <x:t xml:space="preserve">V4-C｜EV +0.0158</x:t>
        </x:is>
      </x:c>
      <x:c r="L578" s="604" t="str"/>
      <x:c r="M578" s="604" t="n">
        <x:v>0.5687677652775496</x:v>
      </x:c>
      <x:c r="N578" s="604" t="inlineStr">
        <x:is>
          <x:t xml:space="preserve">V4纸面入选-C</x:t>
        </x:is>
      </x:c>
      <x:c r="O578" s="604" t="inlineStr">
        <x:is>
          <x:t xml:space="preserve">3-0</x:t>
        </x:is>
      </x:c>
      <x:c r="P578" s="604" t="inlineStr">
        <x:is>
          <x:t xml:space="preserve">已结算</x:t>
        </x:is>
      </x:c>
      <x:c r="Q578" s="645" t="inlineStr">
        <x:is>
          <x:t xml:space="preserve">红</x:t>
        </x:is>
      </x:c>
      <x:c r="R578" s="604" t="n">
        <x:v>0.91</x:v>
      </x:c>
      <x:c r="S578" s="604" t="n">
        <x:f>IF(OR(Q578="",Q578="待结算"),"",IF(Q578="红",R578,IF(Q578="半红",R578*0.5,IF(Q578="走",0,IF(Q578="半黑",-0.5,-1)))))</x:f>
        <x:v>0.91</x:v>
      </x:c>
      <x:c r="T578" s="604" t="inlineStr">
        <x:is>
          <x:t xml:space="preserve">https://m.titan007.com/analy/Analysis/3058936.htm</x:t>
        </x:is>
      </x:c>
      <x:c r="U578" s="646" t="str">
        <x:f>IF(Q578="","",IF(Q578="待结算","待结算",IF(Q578="红","黑",IF(Q578="半红","半黑",IF(Q578="走","走",IF(Q578="半黑","半红","红"))))))</x:f>
        <x:v>黑</x:v>
      </x:c>
      <x:c r="V578" s="604" t="n">
        <x:f>IF(OR(Q578="",Q578="待结算"),"",IF(L578=LEFT(F578,FIND(" vs ",F578)-1),I578,G578))</x:f>
        <x:v>0.79</x:v>
      </x:c>
      <x:c r="W578" s="604" t="n">
        <x:f>IF(OR(U578="",U578="待结算"),"",IF(U578="红",V578,IF(U578="半红",V578*0.5,IF(U578="走",0,IF(U578="半黑",-0.5,-1)))))</x:f>
        <x:v>-1</x:v>
      </x:c>
      <x:c r="X578" s="604" t="inlineStr">
        <x:is>
          <x:t xml:space="preserve">3058936</x:t>
        </x:is>
      </x:c>
      <x:c r="Y578" s="604" t="inlineStr">
        <x:is>
          <x:t xml:space="preserve">V4</x:t>
        </x:is>
      </x:c>
      <x:c r="Z578" s="604" t="inlineStr">
        <x:is>
          <x:t xml:space="preserve">prior-2026-09-30-v1</x:t>
        </x:is>
      </x:c>
      <x:c r="AA578" s="604" t="inlineStr">
        <x:is>
          <x:t xml:space="preserve">C</x:t>
        </x:is>
      </x:c>
      <x:c r="AB578" s="604" t="n">
        <x:v>0.3684569830030257</x:v>
      </x:c>
      <x:c r="AC578" s="604" t="n">
        <x:v>0.2553734041559486</x:v>
      </x:c>
      <x:c r="AD578" s="604" t="n"/>
      <x:c r="AE578" s="604" t="n"/>
      <x:c r="AF578" s="604" t="n">
        <x:v>0.3761696128410259</x:v>
      </x:c>
      <x:c r="AG578" s="604" t="n">
        <x:v>0.01578389837296407</x:v>
      </x:c>
      <x:c r="AH578" s="604" t="n"/>
      <x:c r="AI578" s="604" t="n"/>
      <x:c r="AJ578" s="604" t="n">
        <x:v>0.01578389837296407</x:v>
      </x:c>
      <x:c r="AK578" s="604" t="n"/>
      <x:c r="AL578" s="604" t="n"/>
      <x:c r="AM578" s="604" t="n"/>
      <x:c r="AN578" s="604" t="inlineStr">
        <x:is>
          <x:t xml:space="preserve">EVALUATED</x:t>
        </x:is>
      </x:c>
      <x:c r="AO578" s="604" t="inlineStr">
        <x:is>
          <x:t xml:space="preserve">EDGE_BELOW_UNCERTAINTY_THRESHOLD、BUCKET_PRIOR_ONLY、INTENT_INTERPRETATION_ONLY、EXPERT_MARKET</x:t>
        </x:is>
      </x:c>
      <x:c r="AP578" s="604" t="inlineStr">
        <x:is>
          <x:t xml:space="preserve">dc79c1e85464259fb86a</x:t>
        </x:is>
      </x:c>
      <x:c r="AQ578" s="604" t="n">
        <x:v>0</x:v>
      </x:c>
      <x:c r="AR578" s="604" t="n"/>
      <x:c r="AS578" s="604" t="n">
        <x:v>0</x:v>
      </x:c>
      <x:c r="AT578" s="604" t="n">
        <x:v>0</x:v>
      </x:c>
      <x:c r="AU578" s="604" t="n">
        <x:v>0.79</x:v>
      </x:c>
      <x:c r="AV578" s="604" t="n">
        <x:v>0.91</x:v>
      </x:c>
      <x:c r="AW578" s="604" t="n">
        <x:v>46295.47214138889</x:v>
      </x:c>
      <x:c r="AX578" s="604" t="inlineStr">
        <x:is>
          <x:t xml:space="preserve">https://simondongxiao.github.io/odds/v4/</x:t>
        </x:is>
      </x:c>
      <x:c r="AY578" s="604" t="inlineStr">
        <x:is>
          <x:t xml:space="preserve">V4 Shadow Only；real_money=false；P(EV&gt;0)不是比赛胜率</x:t>
        </x:is>
      </x:c>
    </x:row>
    <x:row r="579" ht="22" customHeight="1">
      <x:c r="A579" s="604" t="inlineStr">
        <x:is>
          <x:t xml:space="preserve">2026-09-30</x:t>
        </x:is>
      </x:c>
      <x:c r="B579" s="604" t="inlineStr">
        <x:is>
          <x:t xml:space="preserve">2026-10-01 02:00</x:t>
        </x:is>
      </x:c>
      <x:c r="C579" s="604" t="str">
        <x:v>五大联赛杯赛</x:v>
      </x:c>
      <x:c r="D579" s="604" t="inlineStr">
        <x:is>
          <x:t xml:space="preserve">杯赛</x:t>
        </x:is>
      </x:c>
      <x:c r="E579" s="604" t="inlineStr">
        <x:is>
          <x:t xml:space="preserve">英女杯</x:t>
        </x:is>
      </x:c>
      <x:c r="F579" s="604" t="inlineStr">
        <x:is>
          <x:t xml:space="preserve">达勒姆女足 vs 曼联女足</x:t>
        </x:is>
      </x:c>
      <x:c r="G579" s="604" t="n">
        <x:v>0.85</x:v>
      </x:c>
      <x:c r="H579" s="604" t="n">
        <x:v>-4.5</x:v>
      </x:c>
      <x:c r="I579" s="604" t="n">
        <x:v>0.85</x:v>
      </x:c>
      <x:c r="J579" s="604" t="inlineStr">
        <x:is>
          <x:t xml:space="preserve">0.85/-4.5/0.85</x:t>
        </x:is>
      </x:c>
      <x:c r="K579" s="604" t="inlineStr">
        <x:is>
          <x:t xml:space="preserve">V4-B｜EV +0.5421</x:t>
        </x:is>
      </x:c>
      <x:c r="L579" s="604" t="inlineStr">
        <x:is>
          <x:t xml:space="preserve">达勒姆女足</x:t>
        </x:is>
      </x:c>
      <x:c r="M579" s="604" t="n">
        <x:v>0.833564128152106</x:v>
      </x:c>
      <x:c r="N579" s="604" t="inlineStr">
        <x:is>
          <x:t xml:space="preserve">V4纸面入选-B</x:t>
        </x:is>
      </x:c>
      <x:c r="O579" s="604" t="inlineStr">
        <x:is>
          <x:t xml:space="preserve">1-5</x:t>
        </x:is>
      </x:c>
      <x:c r="P579" s="604" t="inlineStr">
        <x:is>
          <x:t xml:space="preserve">已结算</x:t>
        </x:is>
      </x:c>
      <x:c r="Q579" s="645" t="inlineStr">
        <x:is>
          <x:t xml:space="preserve">红</x:t>
        </x:is>
      </x:c>
      <x:c r="R579" s="604" t="n">
        <x:v>0.85</x:v>
      </x:c>
      <x:c r="S579" s="604" t="n">
        <x:f>IF(OR(Q579="",Q579="待结算"),"",IF(Q579="红",R579,IF(Q579="半红",R579*0.5,IF(Q579="走",0,IF(Q579="半黑",-0.5,-1)))))</x:f>
        <x:v>0.85</x:v>
      </x:c>
      <x:c r="T579" s="604" t="inlineStr">
        <x:is>
          <x:t xml:space="preserve">https://m.titan007.com/analy/Analysis/3058937.htm</x:t>
        </x:is>
      </x:c>
      <x:c r="U579" s="646" t="str">
        <x:f>IF(Q579="","",IF(Q579="待结算","待结算",IF(Q579="红","黑",IF(Q579="半红","半黑",IF(Q579="走","走",IF(Q579="半黑","半红","红"))))))</x:f>
        <x:v>黑</x:v>
      </x:c>
      <x:c r="V579" s="604" t="n">
        <x:f>IF(OR(Q579="",Q579="待结算"),"",IF(L579=LEFT(F579,FIND(" vs ",F579)-1),I579,G579))</x:f>
        <x:v>0.85</x:v>
      </x:c>
      <x:c r="W579" s="604" t="n">
        <x:f>IF(OR(U579="",U579="待结算"),"",IF(U579="红",V579,IF(U579="半红",V579*0.5,IF(U579="走",0,IF(U579="半黑",-0.5,-1)))))</x:f>
        <x:v>-1</x:v>
      </x:c>
      <x:c r="X579" s="604" t="inlineStr">
        <x:is>
          <x:t xml:space="preserve">3058937</x:t>
        </x:is>
      </x:c>
      <x:c r="Y579" s="604" t="inlineStr">
        <x:is>
          <x:t xml:space="preserve">V4</x:t>
        </x:is>
      </x:c>
      <x:c r="Z579" s="604" t="inlineStr">
        <x:is>
          <x:t xml:space="preserve">prior-2026-09-30-v1</x:t>
        </x:is>
      </x:c>
      <x:c r="AA579" s="604" t="inlineStr">
        <x:is>
          <x:t xml:space="preserve">B</x:t>
        </x:is>
      </x:c>
      <x:c r="AB579" s="604" t="n">
        <x:v>0.833564128152106</x:v>
      </x:c>
      <x:c r="AC579" s="604" t="n"/>
      <x:c r="AD579" s="604" t="n"/>
      <x:c r="AE579" s="604" t="n"/>
      <x:c r="AF579" s="604" t="n">
        <x:v>0.166435871847894</x:v>
      </x:c>
      <x:c r="AG579" s="604" t="n">
        <x:v>0.5420936370813961</x:v>
      </x:c>
      <x:c r="AH579" s="604" t="n"/>
      <x:c r="AI579" s="604" t="n"/>
      <x:c r="AJ579" s="604" t="n">
        <x:v>0.5420936370813961</x:v>
      </x:c>
      <x:c r="AK579" s="604" t="n"/>
      <x:c r="AL579" s="604" t="n"/>
      <x:c r="AM579" s="604" t="n"/>
      <x:c r="AN579" s="604" t="inlineStr">
        <x:is>
          <x:t xml:space="preserve">EVALUATED</x:t>
        </x:is>
      </x:c>
      <x:c r="AO579" s="604" t="inlineStr">
        <x:is>
          <x:t xml:space="preserve">RECEIVING_VALIDATED_EDGE、BUCKET_PRIOR_ONLY、INTENT_INTERPRETATION_ONLY、EXPERT_MARKET</x:t>
        </x:is>
      </x:c>
      <x:c r="AP579" s="604" t="inlineStr">
        <x:is>
          <x:t xml:space="preserve">1de04bc97c67e04161de</x:t>
        </x:is>
      </x:c>
      <x:c r="AQ579" s="604" t="n">
        <x:v>4.5</x:v>
      </x:c>
      <x:c r="AR579" s="604" t="n">
        <x:v>0.85</x:v>
      </x:c>
      <x:c r="AS579" s="604" t="n">
        <x:v>-4.5</x:v>
      </x:c>
      <x:c r="AT579" s="604" t="n">
        <x:v>4.5</x:v>
      </x:c>
      <x:c r="AU579" s="604" t="n">
        <x:v>0.85</x:v>
      </x:c>
      <x:c r="AV579" s="604" t="n">
        <x:v>0.85</x:v>
      </x:c>
      <x:c r="AW579" s="604" t="n">
        <x:v>46295.47214138889</x:v>
      </x:c>
      <x:c r="AX579" s="604" t="inlineStr">
        <x:is>
          <x:t xml:space="preserve">https://simondongxiao.github.io/odds/v4/</x:t>
        </x:is>
      </x:c>
      <x:c r="AY579" s="604" t="inlineStr">
        <x:is>
          <x:t xml:space="preserve">V4 Shadow Only；real_money=false；P(EV&gt;0)不是比赛胜率</x:t>
        </x:is>
      </x:c>
    </x:row>
    <x:row r="580" ht="22" customHeight="1">
      <x:c r="A580" s="604" t="inlineStr">
        <x:is>
          <x:t xml:space="preserve">2026-09-30</x:t>
        </x:is>
      </x:c>
      <x:c r="B580" s="604" t="inlineStr">
        <x:is>
          <x:t xml:space="preserve">2026-10-01 02:00</x:t>
        </x:is>
      </x:c>
      <x:c r="C580" s="604" t="str">
        <x:v>五大联赛杯赛</x:v>
      </x:c>
      <x:c r="D580" s="604" t="inlineStr">
        <x:is>
          <x:t xml:space="preserve">杯赛</x:t>
        </x:is>
      </x:c>
      <x:c r="E580" s="604" t="inlineStr">
        <x:is>
          <x:t xml:space="preserve">英女杯</x:t>
        </x:is>
      </x:c>
      <x:c r="F580" s="604" t="inlineStr">
        <x:is>
          <x:t xml:space="preserve">西汉姆联女足 vs 修咸顿女足</x:t>
        </x:is>
      </x:c>
      <x:c r="G580" s="604" t="n">
        <x:v>0.85</x:v>
      </x:c>
      <x:c r="H580" s="604" t="n">
        <x:v>0</x:v>
      </x:c>
      <x:c r="I580" s="604" t="n">
        <x:v>0.85</x:v>
      </x:c>
      <x:c r="J580" s="604" t="inlineStr">
        <x:is>
          <x:t xml:space="preserve">0.85/0/0.85</x:t>
        </x:is>
      </x:c>
      <x:c r="K580" s="604" t="inlineStr">
        <x:is>
          <x:t xml:space="preserve">V4-C｜EV +0.0295</x:t>
        </x:is>
      </x:c>
      <x:c r="L580" s="604" t="str"/>
      <x:c r="M580" s="604" t="n">
        <x:v>0.5587467952740279</x:v>
      </x:c>
      <x:c r="N580" s="604" t="inlineStr">
        <x:is>
          <x:t xml:space="preserve">V4纸面入选-C</x:t>
        </x:is>
      </x:c>
      <x:c r="O580" s="604" t="inlineStr">
        <x:is>
          <x:t xml:space="preserve">3-1</x:t>
        </x:is>
      </x:c>
      <x:c r="P580" s="604" t="inlineStr">
        <x:is>
          <x:t xml:space="preserve">已结算</x:t>
        </x:is>
      </x:c>
      <x:c r="Q580" s="645" t="inlineStr">
        <x:is>
          <x:t xml:space="preserve">红</x:t>
        </x:is>
      </x:c>
      <x:c r="R580" s="604" t="n">
        <x:v>0.85</x:v>
      </x:c>
      <x:c r="S580" s="604" t="n">
        <x:f>IF(OR(Q580="",Q580="待结算"),"",IF(Q580="红",R580,IF(Q580="半红",R580*0.5,IF(Q580="走",0,IF(Q580="半黑",-0.5,-1)))))</x:f>
        <x:v>0.85</x:v>
      </x:c>
      <x:c r="T580" s="604" t="inlineStr">
        <x:is>
          <x:t xml:space="preserve">https://m.titan007.com/analy/Analysis/3058938.htm</x:t>
        </x:is>
      </x:c>
      <x:c r="U580" s="646" t="str">
        <x:f>IF(Q580="","",IF(Q580="待结算","待结算",IF(Q580="红","黑",IF(Q580="半红","半黑",IF(Q580="走","走",IF(Q580="半黑","半红","红"))))))</x:f>
        <x:v>黑</x:v>
      </x:c>
      <x:c r="V580" s="604" t="n">
        <x:f>IF(OR(Q580="",Q580="待结算"),"",IF(L580=LEFT(F580,FIND(" vs ",F580)-1),I580,G580))</x:f>
        <x:v>0.85</x:v>
      </x:c>
      <x:c r="W580" s="604" t="n">
        <x:f>IF(OR(U580="",U580="待结算"),"",IF(U580="红",V580,IF(U580="半红",V580*0.5,IF(U580="走",0,IF(U580="半黑",-0.5,-1)))))</x:f>
        <x:v>-1</x:v>
      </x:c>
      <x:c r="X580" s="604" t="inlineStr">
        <x:is>
          <x:t xml:space="preserve">3058938</x:t>
        </x:is>
      </x:c>
      <x:c r="Y580" s="604" t="inlineStr">
        <x:is>
          <x:t xml:space="preserve">V4</x:t>
        </x:is>
      </x:c>
      <x:c r="Z580" s="604" t="inlineStr">
        <x:is>
          <x:t xml:space="preserve">prior-2026-09-30-v1</x:t>
        </x:is>
      </x:c>
      <x:c r="AA580" s="604" t="inlineStr">
        <x:is>
          <x:t xml:space="preserve">C</x:t>
        </x:is>
      </x:c>
      <x:c r="AB580" s="604" t="n">
        <x:v>0.4886719849815371</x:v>
      </x:c>
      <x:c r="AC580" s="604" t="n"/>
      <x:c r="AD580" s="604" t="n"/>
      <x:c r="AE580" s="604" t="n">
        <x:v>0.2508285000833833</x:v>
      </x:c>
      <x:c r="AF580" s="604" t="n">
        <x:v>0.2604995149350797</x:v>
      </x:c>
      <x:c r="AG580" s="604" t="n">
        <x:v>0.02945742225753523</x:v>
      </x:c>
      <x:c r="AH580" s="604" t="n"/>
      <x:c r="AI580" s="604" t="n"/>
      <x:c r="AJ580" s="604" t="n">
        <x:v>0.02945742225753523</x:v>
      </x:c>
      <x:c r="AK580" s="604" t="n"/>
      <x:c r="AL580" s="604" t="n"/>
      <x:c r="AM580" s="604" t="n"/>
      <x:c r="AN580" s="604" t="inlineStr">
        <x:is>
          <x:t xml:space="preserve">EVALUATED</x:t>
        </x:is>
      </x:c>
      <x:c r="AO580" s="604" t="inlineStr">
        <x:is>
          <x:t xml:space="preserve">EDGE_BELOW_UNCERTAINTY_THRESHOLD、BUCKET_PRIOR_ONLY、INTENT_INTERPRETATION_ONLY、EXPERT_MARKET</x:t>
        </x:is>
      </x:c>
      <x:c r="AP580" s="604" t="inlineStr">
        <x:is>
          <x:t xml:space="preserve">96f602de9509f2c6a2d9</x:t>
        </x:is>
      </x:c>
      <x:c r="AQ580" s="604" t="n">
        <x:v>0</x:v>
      </x:c>
      <x:c r="AR580" s="604" t="n"/>
      <x:c r="AS580" s="604" t="n">
        <x:v>0</x:v>
      </x:c>
      <x:c r="AT580" s="604" t="n">
        <x:v>0</x:v>
      </x:c>
      <x:c r="AU580" s="604" t="n">
        <x:v>0.85</x:v>
      </x:c>
      <x:c r="AV580" s="604" t="n">
        <x:v>0.85</x:v>
      </x:c>
      <x:c r="AW580" s="604" t="n">
        <x:v>46295.47214138889</x:v>
      </x:c>
      <x:c r="AX580" s="604" t="inlineStr">
        <x:is>
          <x:t xml:space="preserve">https://simondongxiao.github.io/odds/v4/</x:t>
        </x:is>
      </x:c>
      <x:c r="AY580" s="604" t="inlineStr">
        <x:is>
          <x:t xml:space="preserve">V4 Shadow Only；real_money=false；P(EV&gt;0)不是比赛胜率</x:t>
        </x:is>
      </x:c>
    </x:row>
    <x:row r="581" ht="22" customHeight="1">
      <x:c r="A581" s="604" t="inlineStr">
        <x:is>
          <x:t xml:space="preserve">2026-09-30</x:t>
        </x:is>
      </x:c>
      <x:c r="B581" s="604" t="inlineStr">
        <x:is>
          <x:t xml:space="preserve">2026-10-01 02:00</x:t>
        </x:is>
      </x:c>
      <x:c r="C581" s="604" t="str">
        <x:v>欧洲非五大系列</x:v>
      </x:c>
      <x:c r="D581" s="604" t="inlineStr">
        <x:is>
          <x:t xml:space="preserve">联赛</x:t>
        </x:is>
      </x:c>
      <x:c r="E581" s="604" t="inlineStr">
        <x:is>
          <x:t xml:space="preserve">比业余</x:t>
        </x:is>
      </x:c>
      <x:c r="F581" s="604" t="inlineStr">
        <x:is>
          <x:t xml:space="preserve">弗莱尼 vs ROC沙勒罗瓦</x:t>
        </x:is>
      </x:c>
      <x:c r="G581" s="604" t="n">
        <x:v>1.03</x:v>
      </x:c>
      <x:c r="H581" s="604" t="n">
        <x:v>0</x:v>
      </x:c>
      <x:c r="I581" s="604" t="n">
        <x:v>0.79</x:v>
      </x:c>
      <x:c r="J581" s="604" t="inlineStr">
        <x:is>
          <x:t xml:space="preserve">1.03/0/0.79</x:t>
        </x:is>
      </x:c>
      <x:c r="K581" s="604" t="inlineStr">
        <x:is>
          <x:t xml:space="preserve">V4-C｜EV +0.0134</x:t>
        </x:is>
      </x:c>
      <x:c r="L581" s="604" t="str"/>
      <x:c r="M581" s="604" t="n">
        <x:v>0.5672437356227131</x:v>
      </x:c>
      <x:c r="N581" s="604" t="inlineStr">
        <x:is>
          <x:t xml:space="preserve">V4纸面入选-C</x:t>
        </x:is>
      </x:c>
      <x:c r="O581" s="604" t="inlineStr">
        <x:is>
          <x:t xml:space="preserve">3-4</x:t>
        </x:is>
      </x:c>
      <x:c r="P581" s="604" t="inlineStr">
        <x:is>
          <x:t xml:space="preserve">已结算</x:t>
        </x:is>
      </x:c>
      <x:c r="Q581" s="646" t="inlineStr">
        <x:is>
          <x:t xml:space="preserve">黑</x:t>
        </x:is>
      </x:c>
      <x:c r="R581" s="604" t="n">
        <x:v>0.79</x:v>
      </x:c>
      <x:c r="S581" s="604" t="n">
        <x:f>IF(OR(Q581="",Q581="待结算"),"",IF(Q581="红",R581,IF(Q581="半红",R581*0.5,IF(Q581="走",0,IF(Q581="半黑",-0.5,-1)))))</x:f>
        <x:v>-1</x:v>
      </x:c>
      <x:c r="T581" s="604" t="inlineStr">
        <x:is>
          <x:t xml:space="preserve">https://m.titan007.com/analy/Analysis/3066743.htm</x:t>
        </x:is>
      </x:c>
      <x:c r="U581" s="645" t="str">
        <x:f>IF(Q581="","",IF(Q581="待结算","待结算",IF(Q581="红","黑",IF(Q581="半红","半黑",IF(Q581="走","走",IF(Q581="半黑","半红","红"))))))</x:f>
        <x:v>红</x:v>
      </x:c>
      <x:c r="V581" s="604" t="n">
        <x:f>IF(OR(Q581="",Q581="待结算"),"",IF(L581=LEFT(F581,FIND(" vs ",F581)-1),I581,G581))</x:f>
        <x:v>1.03</x:v>
      </x:c>
      <x:c r="W581" s="604" t="n">
        <x:f>IF(OR(U581="",U581="待结算"),"",IF(U581="红",V581,IF(U581="半红",V581*0.5,IF(U581="走",0,IF(U581="半黑",-0.5,-1)))))</x:f>
        <x:v>1.03</x:v>
      </x:c>
      <x:c r="X581" s="604" t="inlineStr">
        <x:is>
          <x:t xml:space="preserve">3066743</x:t>
        </x:is>
      </x:c>
      <x:c r="Y581" s="604" t="inlineStr">
        <x:is>
          <x:t xml:space="preserve">V4</x:t>
        </x:is>
      </x:c>
      <x:c r="Z581" s="604" t="inlineStr">
        <x:is>
          <x:t xml:space="preserve">prior-2026-09-30-v1</x:t>
        </x:is>
      </x:c>
      <x:c r="AA581" s="604" t="inlineStr">
        <x:is>
          <x:t xml:space="preserve">C</x:t>
        </x:is>
      </x:c>
      <x:c r="AB581" s="604" t="n">
        <x:v>0.3677811217822979</x:v>
      </x:c>
      <x:c r="AC581" s="604" t="n">
        <x:v>0.2545393665410477</x:v>
      </x:c>
      <x:c r="AD581" s="604" t="n"/>
      <x:c r="AE581" s="604" t="n"/>
      <x:c r="AF581" s="604" t="n">
        <x:v>0.3776795116766545</x:v>
      </x:c>
      <x:c r="AG581" s="604" t="n">
        <x:v>0.01341062431507462</x:v>
      </x:c>
      <x:c r="AH581" s="604" t="n"/>
      <x:c r="AI581" s="604" t="n"/>
      <x:c r="AJ581" s="604" t="n">
        <x:v>0.01341062431507462</x:v>
      </x:c>
      <x:c r="AK581" s="604" t="n"/>
      <x:c r="AL581" s="604" t="n"/>
      <x:c r="AM581" s="604" t="n"/>
      <x:c r="AN581" s="604" t="inlineStr">
        <x:is>
          <x:t xml:space="preserve">EVALUATED</x:t>
        </x:is>
      </x:c>
      <x:c r="AO581" s="604" t="inlineStr">
        <x:is>
          <x:t xml:space="preserve">EDGE_BELOW_UNCERTAINTY_THRESHOLD、BUCKET_PRIOR_ONLY、INTENT_INTERPRETATION_ONLY、EXPERT_MARKET</x:t>
        </x:is>
      </x:c>
      <x:c r="AP581" s="604" t="inlineStr">
        <x:is>
          <x:t xml:space="preserve">5b4782ca9f1d1ec0e8da</x:t>
        </x:is>
      </x:c>
      <x:c r="AQ581" s="604" t="n">
        <x:v>0</x:v>
      </x:c>
      <x:c r="AR581" s="604" t="n"/>
      <x:c r="AS581" s="604" t="n">
        <x:v>0</x:v>
      </x:c>
      <x:c r="AT581" s="604" t="n">
        <x:v>0</x:v>
      </x:c>
      <x:c r="AU581" s="604" t="n">
        <x:v>1.03</x:v>
      </x:c>
      <x:c r="AV581" s="604" t="n">
        <x:v>0.79</x:v>
      </x:c>
      <x:c r="AW581" s="604" t="n">
        <x:v>46295.48723729167</x:v>
      </x:c>
      <x:c r="AX581" s="604" t="inlineStr">
        <x:is>
          <x:t xml:space="preserve">https://simondongxiao.github.io/odds/v4/</x:t>
        </x:is>
      </x:c>
      <x:c r="AY581" s="604" t="inlineStr">
        <x:is>
          <x:t xml:space="preserve">V4 Shadow Only；real_money=false；P(EV&gt;0)不是比赛胜率</x:t>
        </x:is>
      </x:c>
    </x:row>
    <x:row r="582" ht="22" customHeight="1">
      <x:c r="A582" s="604" t="inlineStr">
        <x:is>
          <x:t xml:space="preserve">2026-09-30</x:t>
        </x:is>
      </x:c>
      <x:c r="B582" s="604" t="inlineStr">
        <x:is>
          <x:t xml:space="preserve">2026-10-01 02:00</x:t>
        </x:is>
      </x:c>
      <x:c r="C582" s="604" t="str">
        <x:v>其他系列</x:v>
      </x:c>
      <x:c r="D582" s="604" t="inlineStr">
        <x:is>
          <x:t xml:space="preserve">联赛</x:t>
        </x:is>
      </x:c>
      <x:c r="E582" s="604" t="inlineStr">
        <x:is>
          <x:t xml:space="preserve">阿后备</x:t>
        </x:is>
      </x:c>
      <x:c r="F582" s="604" t="inlineStr">
        <x:is>
          <x:t xml:space="preserve">基尔梅斯后备队 vs 里奥夸尔托后备队</x:t>
        </x:is>
      </x:c>
      <x:c r="G582" s="604" t="n">
        <x:v>0.8</x:v>
      </x:c>
      <x:c r="H582" s="604" t="n">
        <x:v>0</x:v>
      </x:c>
      <x:c r="I582" s="604" t="n">
        <x:v>1.02</x:v>
      </x:c>
      <x:c r="J582" s="604" t="inlineStr">
        <x:is>
          <x:t xml:space="preserve">0.8/0/1.02</x:t>
        </x:is>
      </x:c>
      <x:c r="K582" s="604" t="inlineStr">
        <x:is>
          <x:t xml:space="preserve">V4-C｜EV +0.0104</x:t>
        </x:is>
      </x:c>
      <x:c r="L582" s="604" t="str"/>
      <x:c r="M582" s="604" t="n">
        <x:v>0.561322550449225</x:v>
      </x:c>
      <x:c r="N582" s="604" t="inlineStr">
        <x:is>
          <x:t xml:space="preserve">V4纸面入选-C</x:t>
        </x:is>
      </x:c>
      <x:c r="O582" s="604" t="inlineStr">
        <x:is>
          <x:t xml:space="preserve">1-1</x:t>
        </x:is>
      </x:c>
      <x:c r="P582" s="604" t="inlineStr">
        <x:is>
          <x:t xml:space="preserve">已结算</x:t>
        </x:is>
      </x:c>
      <x:c r="Q582" s="647" t="inlineStr">
        <x:is>
          <x:t xml:space="preserve">走</x:t>
        </x:is>
      </x:c>
      <x:c r="R582" s="604" t="n">
        <x:v>1.02</x:v>
      </x:c>
      <x:c r="S582" s="604" t="n">
        <x:f>IF(OR(Q582="",Q582="待结算"),"",IF(Q582="红",R582,IF(Q582="半红",R582*0.5,IF(Q582="走",0,IF(Q582="半黑",-0.5,-1)))))</x:f>
        <x:v>0</x:v>
      </x:c>
      <x:c r="T582" s="604" t="inlineStr">
        <x:is>
          <x:t xml:space="preserve">https://m.titan007.com/analy/Analysis/3094992.htm</x:t>
        </x:is>
      </x:c>
      <x:c r="U582" s="647" t="str">
        <x:f>IF(Q582="","",IF(Q582="待结算","待结算",IF(Q582="红","黑",IF(Q582="半红","半黑",IF(Q582="走","走",IF(Q582="半黑","半红","红"))))))</x:f>
        <x:v>走</x:v>
      </x:c>
      <x:c r="V582" s="604" t="n">
        <x:f>IF(OR(Q582="",Q582="待结算"),"",IF(L582=LEFT(F582,FIND(" vs ",F582)-1),I582,G582))</x:f>
        <x:v>0.8</x:v>
      </x:c>
      <x:c r="W582" s="604" t="n">
        <x:f>IF(OR(U582="",U582="待结算"),"",IF(U582="红",V582,IF(U582="半红",V582*0.5,IF(U582="走",0,IF(U582="半黑",-0.5,-1)))))</x:f>
        <x:v>0</x:v>
      </x:c>
      <x:c r="X582" s="604" t="inlineStr">
        <x:is>
          <x:t xml:space="preserve">3094992</x:t>
        </x:is>
      </x:c>
      <x:c r="Y582" s="604" t="inlineStr">
        <x:is>
          <x:t xml:space="preserve">V4</x:t>
        </x:is>
      </x:c>
      <x:c r="Z582" s="604" t="inlineStr">
        <x:is>
          <x:t xml:space="preserve">prior-2026-09-30-v1</x:t>
        </x:is>
      </x:c>
      <x:c r="AA582" s="604" t="inlineStr">
        <x:is>
          <x:t xml:space="preserve">C</x:t>
        </x:is>
      </x:c>
      <x:c r="AB582" s="604" t="n">
        <x:v>0.561322550449225</x:v>
      </x:c>
      <x:c r="AC582" s="604" t="n"/>
      <x:c r="AD582" s="604" t="n"/>
      <x:c r="AE582" s="604" t="n"/>
      <x:c r="AF582" s="604" t="n">
        <x:v>0.438677449550775</x:v>
      </x:c>
      <x:c r="AG582" s="604" t="n">
        <x:v>0.01038059080860498</x:v>
      </x:c>
      <x:c r="AH582" s="604" t="n"/>
      <x:c r="AI582" s="604" t="n"/>
      <x:c r="AJ582" s="604" t="n">
        <x:v>0.01038059080860498</x:v>
      </x:c>
      <x:c r="AK582" s="604" t="n"/>
      <x:c r="AL582" s="604" t="n"/>
      <x:c r="AM582" s="604" t="n"/>
      <x:c r="AN582" s="604" t="inlineStr">
        <x:is>
          <x:t xml:space="preserve">EVALUATED</x:t>
        </x:is>
      </x:c>
      <x:c r="AO582" s="604" t="inlineStr">
        <x:is>
          <x:t xml:space="preserve">EDGE_BELOW_UNCERTAINTY_THRESHOLD、BUCKET_PRIOR_ONLY、INTENT_INTERPRETATION_ONLY、EXPERT_MARKET</x:t>
        </x:is>
      </x:c>
      <x:c r="AP582" s="604" t="inlineStr">
        <x:is>
          <x:t xml:space="preserve">1b7b039343f69b724d17</x:t>
        </x:is>
      </x:c>
      <x:c r="AQ582" s="604" t="n">
        <x:v>0</x:v>
      </x:c>
      <x:c r="AR582" s="604" t="n"/>
      <x:c r="AS582" s="604" t="n">
        <x:v>0</x:v>
      </x:c>
      <x:c r="AT582" s="604" t="n">
        <x:v>0</x:v>
      </x:c>
      <x:c r="AU582" s="604" t="n">
        <x:v>0.8</x:v>
      </x:c>
      <x:c r="AV582" s="604" t="n">
        <x:v>1.02</x:v>
      </x:c>
      <x:c r="AW582" s="604" t="n">
        <x:v>46295.48723729167</x:v>
      </x:c>
      <x:c r="AX582" s="604" t="inlineStr">
        <x:is>
          <x:t xml:space="preserve">https://simondongxiao.github.io/odds/v4/</x:t>
        </x:is>
      </x:c>
      <x:c r="AY582" s="604" t="inlineStr">
        <x:is>
          <x:t xml:space="preserve">V4 Shadow Only；real_money=false；P(EV&gt;0)不是比赛胜率</x:t>
        </x:is>
      </x:c>
    </x:row>
    <x:row r="583" ht="22" customHeight="1">
      <x:c r="A583" s="604" t="inlineStr">
        <x:is>
          <x:t xml:space="preserve">2026-09-30</x:t>
        </x:is>
      </x:c>
      <x:c r="B583" s="604" t="inlineStr">
        <x:is>
          <x:t xml:space="preserve">2026-10-01 02:00</x:t>
        </x:is>
      </x:c>
      <x:c r="C583" s="604" t="str">
        <x:v>其他系列</x:v>
      </x:c>
      <x:c r="D583" s="604" t="inlineStr">
        <x:is>
          <x:t xml:space="preserve">联赛</x:t>
        </x:is>
      </x:c>
      <x:c r="E583" s="604" t="inlineStr">
        <x:is>
          <x:t xml:space="preserve">阿后备</x:t>
        </x:is>
      </x:c>
      <x:c r="F583" s="604" t="inlineStr">
        <x:is>
          <x:t xml:space="preserve">罗沙里奥中央后备队 vs 圣塔菲联后备队</x:t>
        </x:is>
      </x:c>
      <x:c r="G583" s="604" t="n">
        <x:v>0.8100000000000001</x:v>
      </x:c>
      <x:c r="H583" s="604" t="n">
        <x:v>0</x:v>
      </x:c>
      <x:c r="I583" s="604" t="n">
        <x:v>1.01</x:v>
      </x:c>
      <x:c r="J583" s="604" t="inlineStr">
        <x:is>
          <x:t xml:space="preserve">0.81/0/1.01</x:t>
        </x:is>
      </x:c>
      <x:c r="K583" s="604" t="inlineStr">
        <x:is>
          <x:t xml:space="preserve">V4-C｜EV +0.0016</x:t>
        </x:is>
      </x:c>
      <x:c r="L583" s="604" t="str"/>
      <x:c r="M583" s="604" t="n">
        <x:v>0.5534924120340852</x:v>
      </x:c>
      <x:c r="N583" s="604" t="inlineStr">
        <x:is>
          <x:t xml:space="preserve">V4纸面入选-C</x:t>
        </x:is>
      </x:c>
      <x:c r="O583" s="604" t="inlineStr">
        <x:is>
          <x:t xml:space="preserve">2-0</x:t>
        </x:is>
      </x:c>
      <x:c r="P583" s="604" t="inlineStr">
        <x:is>
          <x:t xml:space="preserve">已结算</x:t>
        </x:is>
      </x:c>
      <x:c r="Q583" s="645" t="inlineStr">
        <x:is>
          <x:t xml:space="preserve">红</x:t>
        </x:is>
      </x:c>
      <x:c r="R583" s="604" t="n">
        <x:v>1.01</x:v>
      </x:c>
      <x:c r="S583" s="604" t="n">
        <x:f>IF(OR(Q583="",Q583="待结算"),"",IF(Q583="红",R583,IF(Q583="半红",R583*0.5,IF(Q583="走",0,IF(Q583="半黑",-0.5,-1)))))</x:f>
        <x:v>1.01</x:v>
      </x:c>
      <x:c r="T583" s="604" t="inlineStr">
        <x:is>
          <x:t xml:space="preserve">https://m.titan007.com/analy/Analysis/3094993.htm</x:t>
        </x:is>
      </x:c>
      <x:c r="U583" s="646" t="str">
        <x:f>IF(Q583="","",IF(Q583="待结算","待结算",IF(Q583="红","黑",IF(Q583="半红","半黑",IF(Q583="走","走",IF(Q583="半黑","半红","红"))))))</x:f>
        <x:v>黑</x:v>
      </x:c>
      <x:c r="V583" s="604" t="n">
        <x:f>IF(OR(Q583="",Q583="待结算"),"",IF(L583=LEFT(F583,FIND(" vs ",F583)-1),I583,G583))</x:f>
        <x:v>0.81</x:v>
      </x:c>
      <x:c r="W583" s="604" t="n">
        <x:f>IF(OR(U583="",U583="待结算"),"",IF(U583="红",V583,IF(U583="半红",V583*0.5,IF(U583="走",0,IF(U583="半黑",-0.5,-1)))))</x:f>
        <x:v>-1</x:v>
      </x:c>
      <x:c r="X583" s="604" t="inlineStr">
        <x:is>
          <x:t xml:space="preserve">3094993</x:t>
        </x:is>
      </x:c>
      <x:c r="Y583" s="604" t="inlineStr">
        <x:is>
          <x:t xml:space="preserve">V4</x:t>
        </x:is>
      </x:c>
      <x:c r="Z583" s="604" t="inlineStr">
        <x:is>
          <x:t xml:space="preserve">prior-2026-09-30-v1</x:t>
        </x:is>
      </x:c>
      <x:c r="AA583" s="604" t="inlineStr">
        <x:is>
          <x:t xml:space="preserve">C</x:t>
        </x:is>
      </x:c>
      <x:c r="AB583" s="604" t="n">
        <x:v>0.4828030473036299</x:v>
      </x:c>
      <x:c r="AC583" s="604" t="n"/>
      <x:c r="AD583" s="604" t="n"/>
      <x:c r="AE583" s="604" t="n">
        <x:v>0.2554302938704139</x:v>
      </x:c>
      <x:c r="AF583" s="604" t="n">
        <x:v>0.2617666588259562</x:v>
      </x:c>
      <x:c r="AG583" s="604" t="n">
        <x:v>0.001588662554777132</x:v>
      </x:c>
      <x:c r="AH583" s="604" t="n"/>
      <x:c r="AI583" s="604" t="n"/>
      <x:c r="AJ583" s="604" t="n">
        <x:v>0.001588662554777132</x:v>
      </x:c>
      <x:c r="AK583" s="604" t="n"/>
      <x:c r="AL583" s="604" t="n"/>
      <x:c r="AM583" s="604" t="n"/>
      <x:c r="AN583" s="604" t="inlineStr">
        <x:is>
          <x:t xml:space="preserve">EVALUATED</x:t>
        </x:is>
      </x:c>
      <x:c r="AO583" s="604" t="inlineStr">
        <x:is>
          <x:t xml:space="preserve">EDGE_BELOW_UNCERTAINTY_THRESHOLD、BUCKET_PRIOR_ONLY、INTENT_INTERPRETATION_ONLY、EXPERT_MARKET</x:t>
        </x:is>
      </x:c>
      <x:c r="AP583" s="604" t="inlineStr">
        <x:is>
          <x:t xml:space="preserve">8738962c972d553f7c42</x:t>
        </x:is>
      </x:c>
      <x:c r="AQ583" s="604" t="n">
        <x:v>0</x:v>
      </x:c>
      <x:c r="AR583" s="604" t="n"/>
      <x:c r="AS583" s="604" t="n">
        <x:v>0</x:v>
      </x:c>
      <x:c r="AT583" s="604" t="n">
        <x:v>0</x:v>
      </x:c>
      <x:c r="AU583" s="604" t="n">
        <x:v>0.8100000000000001</x:v>
      </x:c>
      <x:c r="AV583" s="604" t="n">
        <x:v>1.01</x:v>
      </x:c>
      <x:c r="AW583" s="604" t="n">
        <x:v>46295.47214138889</x:v>
      </x:c>
      <x:c r="AX583" s="604" t="inlineStr">
        <x:is>
          <x:t xml:space="preserve">https://simondongxiao.github.io/odds/v4/</x:t>
        </x:is>
      </x:c>
      <x:c r="AY583" s="604" t="inlineStr">
        <x:is>
          <x:t xml:space="preserve">V4 Shadow Only；real_money=false；P(EV&gt;0)不是比赛胜率</x:t>
        </x:is>
      </x:c>
    </x:row>
    <x:row r="584" ht="22" customHeight="1">
      <x:c r="A584" s="604" t="inlineStr">
        <x:is>
          <x:t xml:space="preserve">2026-09-30</x:t>
        </x:is>
      </x:c>
      <x:c r="B584" s="604" t="inlineStr">
        <x:is>
          <x:t xml:space="preserve">2026-10-01 02:00</x:t>
        </x:is>
      </x:c>
      <x:c r="C584" s="604" t="str">
        <x:v>南美系列</x:v>
      </x:c>
      <x:c r="D584" s="604" t="inlineStr">
        <x:is>
          <x:t xml:space="preserve">联赛</x:t>
        </x:is>
      </x:c>
      <x:c r="E584" s="604" t="inlineStr">
        <x:is>
          <x:t xml:space="preserve">巴拉丙</x:t>
        </x:is>
      </x:c>
      <x:c r="F584" s="604" t="inlineStr">
        <x:is>
          <x:t xml:space="preserve">克里斯托巴尔科隆JAS vs 巴拉圭河床</x:t>
        </x:is>
      </x:c>
      <x:c r="G584" s="604" t="n">
        <x:v>0.83</x:v>
      </x:c>
      <x:c r="H584" s="604" t="n">
        <x:v>-1</x:v>
      </x:c>
      <x:c r="I584" s="604" t="n">
        <x:v>0.87</x:v>
      </x:c>
      <x:c r="J584" s="604" t="inlineStr">
        <x:is>
          <x:t xml:space="preserve">0.83/-1/0.87</x:t>
        </x:is>
      </x:c>
      <x:c r="K584" s="604" t="inlineStr">
        <x:is>
          <x:t xml:space="preserve">V4-B｜EV +0.0713</x:t>
        </x:is>
      </x:c>
      <x:c r="L584" s="604" t="inlineStr">
        <x:is>
          <x:t xml:space="preserve">巴拉圭河床</x:t>
        </x:is>
      </x:c>
      <x:c r="M584" s="604" t="n">
        <x:v>0.5859874690211015</x:v>
      </x:c>
      <x:c r="N584" s="604" t="inlineStr">
        <x:is>
          <x:t xml:space="preserve">V4纸面入选-B</x:t>
        </x:is>
      </x:c>
      <x:c r="O584" s="604" t="inlineStr">
        <x:is>
          <x:t xml:space="preserve">0-3</x:t>
        </x:is>
      </x:c>
      <x:c r="P584" s="604" t="inlineStr">
        <x:is>
          <x:t xml:space="preserve">已结算</x:t>
        </x:is>
      </x:c>
      <x:c r="Q584" s="646" t="inlineStr">
        <x:is>
          <x:t xml:space="preserve">黑</x:t>
        </x:is>
      </x:c>
      <x:c r="R584" s="604" t="n">
        <x:v>0.87</x:v>
      </x:c>
      <x:c r="S584" s="604" t="n">
        <x:f>IF(OR(Q584="",Q584="待结算"),"",IF(Q584="红",R584,IF(Q584="半红",R584*0.5,IF(Q584="走",0,IF(Q584="半黑",-0.5,-1)))))</x:f>
        <x:v>-1</x:v>
      </x:c>
      <x:c r="T584" s="604" t="inlineStr">
        <x:is>
          <x:t xml:space="preserve">https://m.titan007.com/analy/Analysis/3096655.htm</x:t>
        </x:is>
      </x:c>
      <x:c r="U584" s="645" t="str">
        <x:f>IF(Q584="","",IF(Q584="待结算","待结算",IF(Q584="红","黑",IF(Q584="半红","半黑",IF(Q584="走","走",IF(Q584="半黑","半红","红"))))))</x:f>
        <x:v>红</x:v>
      </x:c>
      <x:c r="V584" s="604" t="n">
        <x:f>IF(OR(Q584="",Q584="待结算"),"",IF(L584=LEFT(F584,FIND(" vs ",F584)-1),I584,G584))</x:f>
        <x:v>0.83</x:v>
      </x:c>
      <x:c r="W584" s="604" t="n">
        <x:f>IF(OR(U584="",U584="待结算"),"",IF(U584="红",V584,IF(U584="半红",V584*0.5,IF(U584="走",0,IF(U584="半黑",-0.5,-1)))))</x:f>
        <x:v>0.83</x:v>
      </x:c>
      <x:c r="X584" s="604" t="inlineStr">
        <x:is>
          <x:t xml:space="preserve">3096655</x:t>
        </x:is>
      </x:c>
      <x:c r="Y584" s="604" t="inlineStr">
        <x:is>
          <x:t xml:space="preserve">V4</x:t>
        </x:is>
      </x:c>
      <x:c r="Z584" s="604" t="inlineStr">
        <x:is>
          <x:t xml:space="preserve">prior-2026-09-30-v1</x:t>
        </x:is>
      </x:c>
      <x:c r="AA584" s="604" t="inlineStr">
        <x:is>
          <x:t xml:space="preserve">B</x:t>
        </x:is>
      </x:c>
      <x:c r="AB584" s="604" t="n">
        <x:v>0.4360248020412991</x:v>
      </x:c>
      <x:c r="AC584" s="604" t="n"/>
      <x:c r="AD584" s="604" t="n">
        <x:v>0.2559144604752671</x:v>
      </x:c>
      <x:c r="AE584" s="604" t="n"/>
      <x:c r="AF584" s="604" t="n">
        <x:v>0.3080607374834338</x:v>
      </x:c>
      <x:c r="AG584" s="604" t="n">
        <x:v>0.07128084029249643</x:v>
      </x:c>
      <x:c r="AH584" s="604" t="n"/>
      <x:c r="AI584" s="604" t="n"/>
      <x:c r="AJ584" s="604" t="n">
        <x:v>0.07128084029249643</x:v>
      </x:c>
      <x:c r="AK584" s="604" t="n"/>
      <x:c r="AL584" s="604" t="n"/>
      <x:c r="AM584" s="604" t="n"/>
      <x:c r="AN584" s="604" t="inlineStr">
        <x:is>
          <x:t xml:space="preserve">EVALUATED</x:t>
        </x:is>
      </x:c>
      <x:c r="AO584" s="604" t="inlineStr">
        <x:is>
          <x:t xml:space="preserve">GIVING_VALIDATED_EDGE、BUCKET_PRIOR_ONLY、INTENT_INTERPRETATION_ONLY、EXPERT_MARKET</x:t>
        </x:is>
      </x:c>
      <x:c r="AP584" s="604" t="inlineStr">
        <x:is>
          <x:t xml:space="preserve">a847358d6334992eab6e</x:t>
        </x:is>
      </x:c>
      <x:c r="AQ584" s="604" t="n">
        <x:v>-1</x:v>
      </x:c>
      <x:c r="AR584" s="604" t="n">
        <x:v>0.87</x:v>
      </x:c>
      <x:c r="AS584" s="604" t="n">
        <x:v>-1</x:v>
      </x:c>
      <x:c r="AT584" s="604" t="n">
        <x:v>1</x:v>
      </x:c>
      <x:c r="AU584" s="604" t="n">
        <x:v>0.83</x:v>
      </x:c>
      <x:c r="AV584" s="604" t="n">
        <x:v>0.87</x:v>
      </x:c>
      <x:c r="AW584" s="604" t="n">
        <x:v>46295.47214138889</x:v>
      </x:c>
      <x:c r="AX584" s="604" t="inlineStr">
        <x:is>
          <x:t xml:space="preserve">https://simondongxiao.github.io/odds/v4/</x:t>
        </x:is>
      </x:c>
      <x:c r="AY584" s="604" t="inlineStr">
        <x:is>
          <x:t xml:space="preserve">V4 Shadow Only；real_money=false；P(EV&gt;0)不是比赛胜率</x:t>
        </x:is>
      </x:c>
    </x:row>
    <x:row r="585" ht="22" customHeight="1">
      <x:c r="A585" s="604" t="inlineStr">
        <x:is>
          <x:t xml:space="preserve">2026-09-30</x:t>
        </x:is>
      </x:c>
      <x:c r="B585" s="604" t="inlineStr">
        <x:is>
          <x:t xml:space="preserve">2026-10-01 02:00</x:t>
        </x:is>
      </x:c>
      <x:c r="C585" s="604" t="str">
        <x:v>南美系列</x:v>
      </x:c>
      <x:c r="D585" s="604" t="inlineStr">
        <x:is>
          <x:t xml:space="preserve">联赛</x:t>
        </x:is>
      </x:c>
      <x:c r="E585" s="604" t="inlineStr">
        <x:is>
          <x:t xml:space="preserve">巴拉丙</x:t>
        </x:is>
      </x:c>
      <x:c r="F585" s="604" t="inlineStr">
        <x:is>
          <x:t xml:space="preserve">费布雷诺 vs 林皮奥人体育</x:t>
        </x:is>
      </x:c>
      <x:c r="G585" s="604" t="n">
        <x:v>0.76</x:v>
      </x:c>
      <x:c r="H585" s="604" t="n">
        <x:v>0</x:v>
      </x:c>
      <x:c r="I585" s="604" t="n">
        <x:v>0.9399999999999999</x:v>
      </x:c>
      <x:c r="J585" s="604" t="inlineStr">
        <x:is>
          <x:t xml:space="preserve">0.76/0/0.94</x:t>
        </x:is>
      </x:c>
      <x:c r="K585" s="604" t="inlineStr">
        <x:is>
          <x:t xml:space="preserve">V4-C｜EV +0.0422</x:t>
        </x:is>
      </x:c>
      <x:c r="L585" s="604" t="str"/>
      <x:c r="M585" s="604" t="n">
        <x:v>0.6003212351199881</x:v>
      </x:c>
      <x:c r="N585" s="604" t="inlineStr">
        <x:is>
          <x:t xml:space="preserve">V4纸面入选-C</x:t>
        </x:is>
      </x:c>
      <x:c r="O585" s="604" t="inlineStr">
        <x:is>
          <x:t xml:space="preserve">2-2</x:t>
        </x:is>
      </x:c>
      <x:c r="P585" s="604" t="inlineStr">
        <x:is>
          <x:t xml:space="preserve">已结算</x:t>
        </x:is>
      </x:c>
      <x:c r="Q585" s="647" t="inlineStr">
        <x:is>
          <x:t xml:space="preserve">走</x:t>
        </x:is>
      </x:c>
      <x:c r="R585" s="604" t="n">
        <x:v>0.9399999999999999</x:v>
      </x:c>
      <x:c r="S585" s="604" t="n">
        <x:f>IF(OR(Q585="",Q585="待结算"),"",IF(Q585="红",R585,IF(Q585="半红",R585*0.5,IF(Q585="走",0,IF(Q585="半黑",-0.5,-1)))))</x:f>
        <x:v>0</x:v>
      </x:c>
      <x:c r="T585" s="604" t="inlineStr">
        <x:is>
          <x:t xml:space="preserve">https://m.titan007.com/analy/Analysis/3096660.htm</x:t>
        </x:is>
      </x:c>
      <x:c r="U585" s="647" t="str">
        <x:f>IF(Q585="","",IF(Q585="待结算","待结算",IF(Q585="红","黑",IF(Q585="半红","半黑",IF(Q585="走","走",IF(Q585="半黑","半红","红"))))))</x:f>
        <x:v>走</x:v>
      </x:c>
      <x:c r="V585" s="604" t="n">
        <x:f>IF(OR(Q585="",Q585="待结算"),"",IF(L585=LEFT(F585,FIND(" vs ",F585)-1),I585,G585))</x:f>
        <x:v>0.76</x:v>
      </x:c>
      <x:c r="W585" s="604" t="n">
        <x:f>IF(OR(U585="",U585="待结算"),"",IF(U585="红",V585,IF(U585="半红",V585*0.5,IF(U585="走",0,IF(U585="半黑",-0.5,-1)))))</x:f>
        <x:v>0</x:v>
      </x:c>
      <x:c r="X585" s="604" t="inlineStr">
        <x:is>
          <x:t xml:space="preserve">3096660</x:t>
        </x:is>
      </x:c>
      <x:c r="Y585" s="604" t="inlineStr">
        <x:is>
          <x:t xml:space="preserve">V4</x:t>
        </x:is>
      </x:c>
      <x:c r="Z585" s="604" t="inlineStr">
        <x:is>
          <x:t xml:space="preserve">prior-2026-09-30-v1</x:t>
        </x:is>
      </x:c>
      <x:c r="AA585" s="604" t="inlineStr">
        <x:is>
          <x:t xml:space="preserve">C</x:t>
        </x:is>
      </x:c>
      <x:c r="AB585" s="604" t="n">
        <x:v>0.447347828078304</x:v>
      </x:c>
      <x:c r="AC585" s="604" t="n"/>
      <x:c r="AD585" s="604" t="n">
        <x:v>0.2548192502487586</x:v>
      </x:c>
      <x:c r="AE585" s="604" t="n"/>
      <x:c r="AF585" s="604" t="n">
        <x:v>0.2978329216729373</x:v>
      </x:c>
      <x:c r="AG585" s="604" t="n">
        <x:v>0.0421514276665737</x:v>
      </x:c>
      <x:c r="AH585" s="604" t="n"/>
      <x:c r="AI585" s="604" t="n"/>
      <x:c r="AJ585" s="604" t="n">
        <x:v>0.0421514276665737</x:v>
      </x:c>
      <x:c r="AK585" s="604" t="n"/>
      <x:c r="AL585" s="604" t="n"/>
      <x:c r="AM585" s="604" t="n"/>
      <x:c r="AN585" s="604" t="inlineStr">
        <x:is>
          <x:t xml:space="preserve">EVALUATED</x:t>
        </x:is>
      </x:c>
      <x:c r="AO585" s="604" t="inlineStr">
        <x:is>
          <x:t xml:space="preserve">EDGE_BELOW_UNCERTAINTY_THRESHOLD、BUCKET_PRIOR_ONLY、INTENT_INTERPRETATION_ONLY、EXPERT_MARKET</x:t>
        </x:is>
      </x:c>
      <x:c r="AP585" s="604" t="inlineStr">
        <x:is>
          <x:t xml:space="preserve">443f84fdc6a642d960c5</x:t>
        </x:is>
      </x:c>
      <x:c r="AQ585" s="604" t="n">
        <x:v>0</x:v>
      </x:c>
      <x:c r="AR585" s="604" t="n"/>
      <x:c r="AS585" s="604" t="n">
        <x:v>0</x:v>
      </x:c>
      <x:c r="AT585" s="604" t="n">
        <x:v>0</x:v>
      </x:c>
      <x:c r="AU585" s="604" t="n">
        <x:v>0.76</x:v>
      </x:c>
      <x:c r="AV585" s="604" t="n">
        <x:v>0.9399999999999999</x:v>
      </x:c>
      <x:c r="AW585" s="604" t="n">
        <x:v>46295.47214138889</x:v>
      </x:c>
      <x:c r="AX585" s="604" t="inlineStr">
        <x:is>
          <x:t xml:space="preserve">https://simondongxiao.github.io/odds/v4/</x:t>
        </x:is>
      </x:c>
      <x:c r="AY585" s="604" t="inlineStr">
        <x:is>
          <x:t xml:space="preserve">V4 Shadow Only；real_money=false；P(EV&gt;0)不是比赛胜率</x:t>
        </x:is>
      </x:c>
    </x:row>
    <x:row r="586" ht="22" customHeight="1">
      <x:c r="A586" s="604" t="inlineStr">
        <x:is>
          <x:t xml:space="preserve">2026-09-30</x:t>
        </x:is>
      </x:c>
      <x:c r="B586" s="604" t="inlineStr">
        <x:is>
          <x:t xml:space="preserve">2026-10-01 02:00</x:t>
        </x:is>
      </x:c>
      <x:c r="C586" s="604" t="str">
        <x:v>欧洲非五大系列</x:v>
      </x:c>
      <x:c r="D586" s="604" t="inlineStr">
        <x:is>
          <x:t xml:space="preserve">杯赛</x:t>
        </x:is>
      </x:c>
      <x:c r="E586" s="604" t="inlineStr">
        <x:is>
          <x:t xml:space="preserve">女欧罗巴杯</x:t>
        </x:is>
      </x:c>
      <x:c r="F586" s="604" t="inlineStr">
        <x:is>
          <x:t xml:space="preserve">格拉斯哥流浪女足 vs 哈马比女足</x:t>
        </x:is>
      </x:c>
      <x:c r="G586" s="604" t="n">
        <x:v>1.14</x:v>
      </x:c>
      <x:c r="H586" s="604" t="n">
        <x:v>0</x:v>
      </x:c>
      <x:c r="I586" s="604" t="n">
        <x:v>0.6899999999999999</x:v>
      </x:c>
      <x:c r="J586" s="604" t="inlineStr">
        <x:is>
          <x:t xml:space="preserve">1.14/0/0.69</x:t>
        </x:is>
      </x:c>
      <x:c r="K586" s="604" t="inlineStr">
        <x:is>
          <x:t xml:space="preserve">V4-C｜EV +0.0198</x:t>
        </x:is>
      </x:c>
      <x:c r="L586" s="604" t="str"/>
      <x:c r="M586" s="604" t="n">
        <x:v>0.6034589536912273</x:v>
      </x:c>
      <x:c r="N586" s="604" t="inlineStr">
        <x:is>
          <x:t xml:space="preserve">V4纸面入选-C</x:t>
        </x:is>
      </x:c>
      <x:c r="O586" s="604" t="inlineStr">
        <x:is>
          <x:t xml:space="preserve">0-3</x:t>
        </x:is>
      </x:c>
      <x:c r="P586" s="604" t="inlineStr">
        <x:is>
          <x:t xml:space="preserve">已结算</x:t>
        </x:is>
      </x:c>
      <x:c r="Q586" s="646" t="inlineStr">
        <x:is>
          <x:t xml:space="preserve">黑</x:t>
        </x:is>
      </x:c>
      <x:c r="R586" s="604" t="n">
        <x:v>0.6899999999999999</x:v>
      </x:c>
      <x:c r="S586" s="604" t="n">
        <x:f>IF(OR(Q586="",Q586="待结算"),"",IF(Q586="红",R586,IF(Q586="半红",R586*0.5,IF(Q586="走",0,IF(Q586="半黑",-0.5,-1)))))</x:f>
        <x:v>-1</x:v>
      </x:c>
      <x:c r="T586" s="604" t="inlineStr">
        <x:is>
          <x:t xml:space="preserve">https://m.titan007.com/analy/Analysis/3086481.htm</x:t>
        </x:is>
      </x:c>
      <x:c r="U586" s="645" t="str">
        <x:f>IF(Q586="","",IF(Q586="待结算","待结算",IF(Q586="红","黑",IF(Q586="半红","半黑",IF(Q586="走","走",IF(Q586="半黑","半红","红"))))))</x:f>
        <x:v>红</x:v>
      </x:c>
      <x:c r="V586" s="604" t="n">
        <x:f>IF(OR(Q586="",Q586="待结算"),"",IF(L586=LEFT(F586,FIND(" vs ",F586)-1),I586,G586))</x:f>
        <x:v>1.14</x:v>
      </x:c>
      <x:c r="W586" s="604" t="n">
        <x:f>IF(OR(U586="",U586="待结算"),"",IF(U586="红",V586,IF(U586="半红",V586*0.5,IF(U586="走",0,IF(U586="半黑",-0.5,-1)))))</x:f>
        <x:v>1.14</x:v>
      </x:c>
      <x:c r="X586" s="604" t="inlineStr">
        <x:is>
          <x:t xml:space="preserve">3086481</x:t>
        </x:is>
      </x:c>
      <x:c r="Y586" s="604" t="inlineStr">
        <x:is>
          <x:t xml:space="preserve">V4</x:t>
        </x:is>
      </x:c>
      <x:c r="Z586" s="604" t="inlineStr">
        <x:is>
          <x:t xml:space="preserve">prior-2026-09-30-v1</x:t>
        </x:is>
      </x:c>
      <x:c r="AA586" s="604" t="inlineStr">
        <x:is>
          <x:t xml:space="preserve">C</x:t>
        </x:is>
      </x:c>
      <x:c r="AB586" s="604" t="n">
        <x:v>0.6034589536912273</x:v>
      </x:c>
      <x:c r="AC586" s="604" t="n"/>
      <x:c r="AD586" s="604" t="n"/>
      <x:c r="AE586" s="604" t="n"/>
      <x:c r="AF586" s="604" t="n">
        <x:v>0.3965410463087728</x:v>
      </x:c>
      <x:c r="AG586" s="604" t="n">
        <x:v>0.019845631738174</x:v>
      </x:c>
      <x:c r="AH586" s="604" t="n"/>
      <x:c r="AI586" s="604" t="n"/>
      <x:c r="AJ586" s="604" t="n">
        <x:v>0.019845631738174</x:v>
      </x:c>
      <x:c r="AK586" s="604" t="n"/>
      <x:c r="AL586" s="604" t="n"/>
      <x:c r="AM586" s="604" t="n"/>
      <x:c r="AN586" s="604" t="inlineStr">
        <x:is>
          <x:t xml:space="preserve">EVALUATED</x:t>
        </x:is>
      </x:c>
      <x:c r="AO586" s="604" t="inlineStr">
        <x:is>
          <x:t xml:space="preserve">EDGE_BELOW_UNCERTAINTY_THRESHOLD、BUCKET_PRIOR_ONLY、INTENT_INTERPRETATION_ONLY、EXPERT_MARKET</x:t>
        </x:is>
      </x:c>
      <x:c r="AP586" s="604" t="inlineStr">
        <x:is>
          <x:t xml:space="preserve">0881250f5876ca2884ea</x:t>
        </x:is>
      </x:c>
      <x:c r="AQ586" s="604" t="n">
        <x:v>0</x:v>
      </x:c>
      <x:c r="AR586" s="604" t="n"/>
      <x:c r="AS586" s="604" t="n">
        <x:v>0</x:v>
      </x:c>
      <x:c r="AT586" s="604" t="n">
        <x:v>0</x:v>
      </x:c>
      <x:c r="AU586" s="604" t="n">
        <x:v>1.14</x:v>
      </x:c>
      <x:c r="AV586" s="604" t="n">
        <x:v>0.6899999999999999</x:v>
      </x:c>
      <x:c r="AW586" s="604" t="n">
        <x:v>46295.48723729167</x:v>
      </x:c>
      <x:c r="AX586" s="604" t="inlineStr">
        <x:is>
          <x:t xml:space="preserve">https://simondongxiao.github.io/odds/v4/</x:t>
        </x:is>
      </x:c>
      <x:c r="AY586" s="604" t="inlineStr">
        <x:is>
          <x:t xml:space="preserve">V4 Shadow Only；real_money=false；P(EV&gt;0)不是比赛胜率</x:t>
        </x:is>
      </x:c>
    </x:row>
    <x:row r="587" ht="22" customHeight="1">
      <x:c r="A587" s="604" t="inlineStr">
        <x:is>
          <x:t xml:space="preserve">2026-09-30</x:t>
        </x:is>
      </x:c>
      <x:c r="B587" s="604" t="inlineStr">
        <x:is>
          <x:t xml:space="preserve">2026-10-01 02:30</x:t>
        </x:is>
      </x:c>
      <x:c r="C587" s="604" t="str">
        <x:v>欧洲非五大系列</x:v>
      </x:c>
      <x:c r="D587" s="604" t="inlineStr">
        <x:is>
          <x:t xml:space="preserve">联赛</x:t>
        </x:is>
      </x:c>
      <x:c r="E587" s="604" t="inlineStr">
        <x:is>
          <x:t xml:space="preserve">欧青U21外</x:t>
        </x:is>
      </x:c>
      <x:c r="F587" s="604" t="inlineStr">
        <x:is>
          <x:t xml:space="preserve">苏格兰U21 vs 阿塞拜疆U21</x:t>
        </x:is>
      </x:c>
      <x:c r="G587" s="604" t="n">
        <x:v>1.02</x:v>
      </x:c>
      <x:c r="H587" s="604" t="n">
        <x:v>2.25</x:v>
      </x:c>
      <x:c r="I587" s="604" t="n">
        <x:v>0.8</x:v>
      </x:c>
      <x:c r="J587" s="604" t="inlineStr">
        <x:is>
          <x:t xml:space="preserve">1.02/2.25/0.8</x:t>
        </x:is>
      </x:c>
      <x:c r="K587" s="604" t="inlineStr">
        <x:is>
          <x:t xml:space="preserve">V4-C｜EV +0.0874</x:t>
        </x:is>
      </x:c>
      <x:c r="L587" s="604" t="inlineStr">
        <x:is>
          <x:t xml:space="preserve">苏格兰U21</x:t>
        </x:is>
      </x:c>
      <x:c r="M587" s="604" t="n">
        <x:v>0.5443636217158012</x:v>
      </x:c>
      <x:c r="N587" s="604" t="inlineStr">
        <x:is>
          <x:t xml:space="preserve">V4纸面入选-C</x:t>
        </x:is>
      </x:c>
      <x:c r="O587" s="604" t="inlineStr">
        <x:is>
          <x:t xml:space="preserve">5-2</x:t>
        </x:is>
      </x:c>
      <x:c r="P587" s="604" t="inlineStr">
        <x:is>
          <x:t xml:space="preserve">已结算</x:t>
        </x:is>
      </x:c>
      <x:c r="Q587" s="645" t="inlineStr">
        <x:is>
          <x:t xml:space="preserve">红</x:t>
        </x:is>
      </x:c>
      <x:c r="R587" s="604" t="n">
        <x:v>1.02</x:v>
      </x:c>
      <x:c r="S587" s="604" t="n">
        <x:f>IF(OR(Q587="",Q587="待结算"),"",IF(Q587="红",R587,IF(Q587="半红",R587*0.5,IF(Q587="走",0,IF(Q587="半黑",-0.5,-1)))))</x:f>
        <x:v>1.02</x:v>
      </x:c>
      <x:c r="T587" s="604" t="inlineStr">
        <x:is>
          <x:t xml:space="preserve">https://m.titan007.com/analy/Analysis/2781257.htm</x:t>
        </x:is>
      </x:c>
      <x:c r="U587" s="646" t="str">
        <x:f>IF(Q587="","",IF(Q587="待结算","待结算",IF(Q587="红","黑",IF(Q587="半红","半黑",IF(Q587="走","走",IF(Q587="半黑","半红","红"))))))</x:f>
        <x:v>黑</x:v>
      </x:c>
      <x:c r="V587" s="604" t="n">
        <x:f>IF(OR(Q587="",Q587="待结算"),"",IF(L587=LEFT(F587,FIND(" vs ",F587)-1),I587,G587))</x:f>
        <x:v>0.8</x:v>
      </x:c>
      <x:c r="W587" s="604" t="n">
        <x:f>IF(OR(U587="",U587="待结算"),"",IF(U587="红",V587,IF(U587="半红",V587*0.5,IF(U587="走",0,IF(U587="半黑",-0.5,-1)))))</x:f>
        <x:v>-1</x:v>
      </x:c>
      <x:c r="X587" s="604" t="inlineStr">
        <x:is>
          <x:t xml:space="preserve">2781257</x:t>
        </x:is>
      </x:c>
      <x:c r="Y587" s="604" t="inlineStr">
        <x:is>
          <x:t xml:space="preserve">V4</x:t>
        </x:is>
      </x:c>
      <x:c r="Z587" s="604" t="inlineStr">
        <x:is>
          <x:t xml:space="preserve">prior-2026-09-30-v1</x:t>
        </x:is>
      </x:c>
      <x:c r="AA587" s="604" t="inlineStr">
        <x:is>
          <x:t xml:space="preserve">C</x:t>
        </x:is>
      </x:c>
      <x:c r="AB587" s="604" t="n">
        <x:v>0.4776951730591673</x:v>
      </x:c>
      <x:c r="AC587" s="604" t="n"/>
      <x:c r="AD587" s="604" t="n"/>
      <x:c r="AE587" s="604" t="n">
        <x:v>0.2449408667188269</x:v>
      </x:c>
      <x:c r="AF587" s="604" t="n">
        <x:v>0.2773639602220058</x:v>
      </x:c>
      <x:c r="AG587" s="604" t="n">
        <x:v>0.08741468293893134</x:v>
      </x:c>
      <x:c r="AH587" s="604" t="n"/>
      <x:c r="AI587" s="604" t="n"/>
      <x:c r="AJ587" s="604" t="n">
        <x:v>0.08741468293893134</x:v>
      </x:c>
      <x:c r="AK587" s="604" t="n"/>
      <x:c r="AL587" s="604" t="n"/>
      <x:c r="AM587" s="604" t="n"/>
      <x:c r="AN587" s="604" t="inlineStr">
        <x:is>
          <x:t xml:space="preserve">EVALUATED</x:t>
        </x:is>
      </x:c>
      <x:c r="AO587" s="604" t="inlineStr">
        <x:is>
          <x:t xml:space="preserve">GIVING_VALIDATED_EDGE、BUCKET_PRIOR_ONLY、INTENT_INTERPRETATION_ONLY、EXPERT_MARKET</x:t>
        </x:is>
      </x:c>
      <x:c r="AP587" s="604" t="inlineStr">
        <x:is>
          <x:t xml:space="preserve">401c1240af057ec74427</x:t>
        </x:is>
      </x:c>
      <x:c r="AQ587" s="604" t="n">
        <x:v>-2.25</x:v>
      </x:c>
      <x:c r="AR587" s="604" t="n">
        <x:v>1.02</x:v>
      </x:c>
      <x:c r="AS587" s="604" t="n">
        <x:v>2.25</x:v>
      </x:c>
      <x:c r="AT587" s="604" t="n">
        <x:v>-2.25</x:v>
      </x:c>
      <x:c r="AU587" s="604" t="n">
        <x:v>1.02</x:v>
      </x:c>
      <x:c r="AV587" s="604" t="n">
        <x:v>0.8</x:v>
      </x:c>
      <x:c r="AW587" s="604" t="n">
        <x:v>46295.47214138889</x:v>
      </x:c>
      <x:c r="AX587" s="604" t="inlineStr">
        <x:is>
          <x:t xml:space="preserve">https://simondongxiao.github.io/odds/v4/</x:t>
        </x:is>
      </x:c>
      <x:c r="AY587" s="604" t="inlineStr">
        <x:is>
          <x:t xml:space="preserve">V4 Shadow Only；real_money=false；P(EV&gt;0)不是比赛胜率</x:t>
        </x:is>
      </x:c>
    </x:row>
    <x:row r="588" ht="22" customHeight="1">
      <x:c r="A588" s="604" t="inlineStr">
        <x:is>
          <x:t xml:space="preserve">2026-09-30</x:t>
        </x:is>
      </x:c>
      <x:c r="B588" s="604" t="inlineStr">
        <x:is>
          <x:t xml:space="preserve">2026-10-01 02:30</x:t>
        </x:is>
      </x:c>
      <x:c r="C588" s="604" t="str">
        <x:v>五大联赛杯赛</x:v>
      </x:c>
      <x:c r="D588" s="604" t="inlineStr">
        <x:is>
          <x:t xml:space="preserve">杯赛</x:t>
        </x:is>
      </x:c>
      <x:c r="E588" s="604" t="inlineStr">
        <x:is>
          <x:t xml:space="preserve">英女杯</x:t>
        </x:is>
      </x:c>
      <x:c r="F588" s="604" t="inlineStr">
        <x:is>
          <x:t xml:space="preserve">叶士域治女足 vs 伦敦城雌狮女足</x:t>
        </x:is>
      </x:c>
      <x:c r="G588" s="604" t="n">
        <x:v>0.95</x:v>
      </x:c>
      <x:c r="H588" s="604" t="n">
        <x:v>-3</x:v>
      </x:c>
      <x:c r="I588" s="604" t="n">
        <x:v>0.75</x:v>
      </x:c>
      <x:c r="J588" s="604" t="inlineStr">
        <x:is>
          <x:t xml:space="preserve">0.95/-3/0.75</x:t>
        </x:is>
      </x:c>
      <x:c r="K588" s="604" t="inlineStr">
        <x:is>
          <x:t xml:space="preserve">V4-B｜EV +0.1060</x:t>
        </x:is>
      </x:c>
      <x:c r="L588" s="604" t="inlineStr">
        <x:is>
          <x:t xml:space="preserve">叶士域治女足</x:t>
        </x:is>
      </x:c>
      <x:c r="M588" s="604" t="n">
        <x:v>0.5824682162812959</x:v>
      </x:c>
      <x:c r="N588" s="604" t="inlineStr">
        <x:is>
          <x:t xml:space="preserve">V4纸面入选-B</x:t>
        </x:is>
      </x:c>
      <x:c r="O588" s="604" t="inlineStr">
        <x:is>
          <x:t xml:space="preserve">0-1</x:t>
        </x:is>
      </x:c>
      <x:c r="P588" s="604" t="inlineStr">
        <x:is>
          <x:t xml:space="preserve">已结算</x:t>
        </x:is>
      </x:c>
      <x:c r="Q588" s="645" t="inlineStr">
        <x:is>
          <x:t xml:space="preserve">红</x:t>
        </x:is>
      </x:c>
      <x:c r="R588" s="604" t="n">
        <x:v>0.95</x:v>
      </x:c>
      <x:c r="S588" s="604" t="n">
        <x:f>IF(OR(Q588="",Q588="待结算"),"",IF(Q588="红",R588,IF(Q588="半红",R588*0.5,IF(Q588="走",0,IF(Q588="半黑",-0.5,-1)))))</x:f>
        <x:v>0.95</x:v>
      </x:c>
      <x:c r="T588" s="604" t="inlineStr">
        <x:is>
          <x:t xml:space="preserve">https://m.titan007.com/analy/Analysis/3058940.htm</x:t>
        </x:is>
      </x:c>
      <x:c r="U588" s="646" t="str">
        <x:f>IF(Q588="","",IF(Q588="待结算","待结算",IF(Q588="红","黑",IF(Q588="半红","半黑",IF(Q588="走","走",IF(Q588="半黑","半红","红"))))))</x:f>
        <x:v>黑</x:v>
      </x:c>
      <x:c r="V588" s="604" t="n">
        <x:f>IF(OR(Q588="",Q588="待结算"),"",IF(L588=LEFT(F588,FIND(" vs ",F588)-1),I588,G588))</x:f>
        <x:v>0.75</x:v>
      </x:c>
      <x:c r="W588" s="604" t="n">
        <x:f>IF(OR(U588="",U588="待结算"),"",IF(U588="红",V588,IF(U588="半红",V588*0.5,IF(U588="走",0,IF(U588="半黑",-0.5,-1)))))</x:f>
        <x:v>-1</x:v>
      </x:c>
      <x:c r="X588" s="604" t="inlineStr">
        <x:is>
          <x:t xml:space="preserve">3058940</x:t>
        </x:is>
      </x:c>
      <x:c r="Y588" s="604" t="inlineStr">
        <x:is>
          <x:t xml:space="preserve">V4</x:t>
        </x:is>
      </x:c>
      <x:c r="Z588" s="604" t="inlineStr">
        <x:is>
          <x:t xml:space="preserve">prior-2026-09-30-v1</x:t>
        </x:is>
      </x:c>
      <x:c r="AA588" s="604" t="inlineStr">
        <x:is>
          <x:t xml:space="preserve">B</x:t>
        </x:is>
      </x:c>
      <x:c r="AB588" s="604" t="n">
        <x:v>0.4547108852117185</x:v>
      </x:c>
      <x:c r="AC588" s="604" t="n"/>
      <x:c r="AD588" s="604" t="n">
        <x:v>0.2193378582701559</x:v>
      </x:c>
      <x:c r="AE588" s="604" t="n"/>
      <x:c r="AF588" s="604" t="n">
        <x:v>0.3259512565181256</x:v>
      </x:c>
      <x:c r="AG588" s="604" t="n">
        <x:v>0.106024084433007</x:v>
      </x:c>
      <x:c r="AH588" s="604" t="n"/>
      <x:c r="AI588" s="604" t="n"/>
      <x:c r="AJ588" s="604" t="n">
        <x:v>0.106024084433007</x:v>
      </x:c>
      <x:c r="AK588" s="604" t="n"/>
      <x:c r="AL588" s="604" t="n"/>
      <x:c r="AM588" s="604" t="n"/>
      <x:c r="AN588" s="604" t="inlineStr">
        <x:is>
          <x:t xml:space="preserve">EVALUATED</x:t>
        </x:is>
      </x:c>
      <x:c r="AO588" s="604" t="inlineStr">
        <x:is>
          <x:t xml:space="preserve">RECEIVING_VALIDATED_EDGE、BUCKET_PRIOR_ONLY、INTENT_INTERPRETATION_ONLY、EXPERT_MARKET</x:t>
        </x:is>
      </x:c>
      <x:c r="AP588" s="604" t="inlineStr">
        <x:is>
          <x:t xml:space="preserve">7ec4551f96615317804f</x:t>
        </x:is>
      </x:c>
      <x:c r="AQ588" s="604" t="n">
        <x:v>3</x:v>
      </x:c>
      <x:c r="AR588" s="604" t="n">
        <x:v>0.95</x:v>
      </x:c>
      <x:c r="AS588" s="604" t="n">
        <x:v>-3</x:v>
      </x:c>
      <x:c r="AT588" s="604" t="n">
        <x:v>3</x:v>
      </x:c>
      <x:c r="AU588" s="604" t="n">
        <x:v>0.95</x:v>
      </x:c>
      <x:c r="AV588" s="604" t="n">
        <x:v>0.75</x:v>
      </x:c>
      <x:c r="AW588" s="604" t="n">
        <x:v>46295.47214138889</x:v>
      </x:c>
      <x:c r="AX588" s="604" t="inlineStr">
        <x:is>
          <x:t xml:space="preserve">https://simondongxiao.github.io/odds/v4/</x:t>
        </x:is>
      </x:c>
      <x:c r="AY588" s="604" t="inlineStr">
        <x:is>
          <x:t xml:space="preserve">V4 Shadow Only；real_money=false；P(EV&gt;0)不是比赛胜率</x:t>
        </x:is>
      </x:c>
    </x:row>
    <x:row r="589" ht="22" customHeight="1">
      <x:c r="A589" s="604" t="inlineStr">
        <x:is>
          <x:t xml:space="preserve">2026-09-30</x:t>
        </x:is>
      </x:c>
      <x:c r="B589" s="604" t="inlineStr">
        <x:is>
          <x:t xml:space="preserve">2026-10-01 02:45</x:t>
        </x:is>
      </x:c>
      <x:c r="C589" s="604" t="str">
        <x:v>五大联赛非顶级联赛</x:v>
      </x:c>
      <x:c r="D589" s="604" t="inlineStr">
        <x:is>
          <x:t xml:space="preserve">联赛</x:t>
        </x:is>
      </x:c>
      <x:c r="E589" s="604" t="inlineStr">
        <x:is>
          <x:t xml:space="preserve">英南甲</x:t>
        </x:is>
      </x:c>
      <x:c r="F589" s="604" t="inlineStr">
        <x:is>
          <x:t xml:space="preserve">埃克斯茅斯镇 vs 域茅夫</x:t>
        </x:is>
      </x:c>
      <x:c r="G589" s="604" t="n">
        <x:v>0.87</x:v>
      </x:c>
      <x:c r="H589" s="604" t="n">
        <x:v>0</x:v>
      </x:c>
      <x:c r="I589" s="604" t="n">
        <x:v>0.83</x:v>
      </x:c>
      <x:c r="J589" s="604" t="inlineStr">
        <x:is>
          <x:t xml:space="preserve">0.87/0/0.83</x:t>
        </x:is>
      </x:c>
      <x:c r="K589" s="604" t="inlineStr">
        <x:is>
          <x:t xml:space="preserve">V4-C｜EV +0.0533</x:t>
        </x:is>
      </x:c>
      <x:c r="L589" s="604" t="str"/>
      <x:c r="M589" s="604" t="n">
        <x:v>0.5798151871807075</x:v>
      </x:c>
      <x:c r="N589" s="604" t="inlineStr">
        <x:is>
          <x:t xml:space="preserve">V4纸面入选-C</x:t>
        </x:is>
      </x:c>
      <x:c r="O589" s="604" t="inlineStr">
        <x:is>
          <x:t xml:space="preserve">2-5</x:t>
        </x:is>
      </x:c>
      <x:c r="P589" s="604" t="inlineStr">
        <x:is>
          <x:t xml:space="preserve">已结算</x:t>
        </x:is>
      </x:c>
      <x:c r="Q589" s="646" t="inlineStr">
        <x:is>
          <x:t xml:space="preserve">黑</x:t>
        </x:is>
      </x:c>
      <x:c r="R589" s="604" t="n">
        <x:v>0.83</x:v>
      </x:c>
      <x:c r="S589" s="604" t="n">
        <x:f>IF(OR(Q589="",Q589="待结算"),"",IF(Q589="红",R589,IF(Q589="半红",R589*0.5,IF(Q589="走",0,IF(Q589="半黑",-0.5,-1)))))</x:f>
        <x:v>-1</x:v>
      </x:c>
      <x:c r="T589" s="604" t="inlineStr">
        <x:is>
          <x:t xml:space="preserve">https://m.titan007.com/analy/Analysis/3096722.htm</x:t>
        </x:is>
      </x:c>
      <x:c r="U589" s="645" t="str">
        <x:f>IF(Q589="","",IF(Q589="待结算","待结算",IF(Q589="红","黑",IF(Q589="半红","半黑",IF(Q589="走","走",IF(Q589="半黑","半红","红"))))))</x:f>
        <x:v>红</x:v>
      </x:c>
      <x:c r="V589" s="604" t="n">
        <x:f>IF(OR(Q589="",Q589="待结算"),"",IF(L589=LEFT(F589,FIND(" vs ",F589)-1),I589,G589))</x:f>
        <x:v>0.87</x:v>
      </x:c>
      <x:c r="W589" s="604" t="n">
        <x:f>IF(OR(U589="",U589="待结算"),"",IF(U589="红",V589,IF(U589="半红",V589*0.5,IF(U589="走",0,IF(U589="半黑",-0.5,-1)))))</x:f>
        <x:v>0.87</x:v>
      </x:c>
      <x:c r="X589" s="604" t="inlineStr">
        <x:is>
          <x:t xml:space="preserve">3096722</x:t>
        </x:is>
      </x:c>
      <x:c r="Y589" s="604" t="inlineStr">
        <x:is>
          <x:t xml:space="preserve">V4</x:t>
        </x:is>
      </x:c>
      <x:c r="Z589" s="604" t="inlineStr">
        <x:is>
          <x:t xml:space="preserve">prior-2026-09-30-v1</x:t>
        </x:is>
      </x:c>
      <x:c r="AA589" s="604" t="inlineStr">
        <x:is>
          <x:t xml:space="preserve">C</x:t>
        </x:is>
      </x:c>
      <x:c r="AB589" s="604" t="n">
        <x:v>0.3780572505843541</x:v>
      </x:c>
      <x:c r="AC589" s="604" t="n">
        <x:v>0.2554196696341484</x:v>
      </x:c>
      <x:c r="AD589" s="604" t="n"/>
      <x:c r="AE589" s="604" t="n"/>
      <x:c r="AF589" s="604" t="n">
        <x:v>0.3665230797814975</x:v>
      </x:c>
      <x:c r="AG589" s="604" t="n">
        <x:v>0.05326360110168799</x:v>
      </x:c>
      <x:c r="AH589" s="604" t="n"/>
      <x:c r="AI589" s="604" t="n"/>
      <x:c r="AJ589" s="604" t="n">
        <x:v>0.05326360110168799</x:v>
      </x:c>
      <x:c r="AK589" s="604" t="n"/>
      <x:c r="AL589" s="604" t="n"/>
      <x:c r="AM589" s="604" t="n"/>
      <x:c r="AN589" s="604" t="inlineStr">
        <x:is>
          <x:t xml:space="preserve">EVALUATED</x:t>
        </x:is>
      </x:c>
      <x:c r="AO589" s="604" t="inlineStr">
        <x:is>
          <x:t xml:space="preserve">EDGE_BELOW_UNCERTAINTY_THRESHOLD、BUCKET_PRIOR_ONLY、INTENT_INTERPRETATION_ONLY、EXPERT_MARKET</x:t>
        </x:is>
      </x:c>
      <x:c r="AP589" s="604" t="inlineStr">
        <x:is>
          <x:t xml:space="preserve">adeb49057c9d3faef55c</x:t>
        </x:is>
      </x:c>
      <x:c r="AQ589" s="604" t="n">
        <x:v>0</x:v>
      </x:c>
      <x:c r="AR589" s="604" t="n"/>
      <x:c r="AS589" s="604" t="n">
        <x:v>0</x:v>
      </x:c>
      <x:c r="AT589" s="604" t="n">
        <x:v>0</x:v>
      </x:c>
      <x:c r="AU589" s="604" t="n">
        <x:v>0.87</x:v>
      </x:c>
      <x:c r="AV589" s="604" t="n">
        <x:v>0.83</x:v>
      </x:c>
      <x:c r="AW589" s="604" t="n">
        <x:v>46295.48723729167</x:v>
      </x:c>
      <x:c r="AX589" s="604" t="inlineStr">
        <x:is>
          <x:t xml:space="preserve">https://simondongxiao.github.io/odds/v4/</x:t>
        </x:is>
      </x:c>
      <x:c r="AY589" s="604" t="inlineStr">
        <x:is>
          <x:t xml:space="preserve">V4 Shadow Only；real_money=false；P(EV&gt;0)不是比赛胜率</x:t>
        </x:is>
      </x:c>
    </x:row>
    <x:row r="590" ht="22" customHeight="1">
      <x:c r="A590" s="604" t="inlineStr">
        <x:is>
          <x:t xml:space="preserve">2026-09-30</x:t>
        </x:is>
      </x:c>
      <x:c r="B590" s="604" t="inlineStr">
        <x:is>
          <x:t xml:space="preserve">2026-10-01 03:00</x:t>
        </x:is>
      </x:c>
      <x:c r="C590" s="604" t="str">
        <x:v>欧洲非五大系列</x:v>
      </x:c>
      <x:c r="D590" s="604" t="inlineStr">
        <x:is>
          <x:t xml:space="preserve">杯赛</x:t>
        </x:is>
      </x:c>
      <x:c r="E590" s="604" t="inlineStr">
        <x:is>
          <x:t xml:space="preserve">欧女杯</x:t>
        </x:is>
      </x:c>
      <x:c r="F590" s="604" t="inlineStr">
        <x:is>
          <x:t xml:space="preserve">本菲卡女足 vs 拜仁慕尼黑女足</x:t>
        </x:is>
      </x:c>
      <x:c r="G590" s="604" t="n">
        <x:v>0.75</x:v>
      </x:c>
      <x:c r="H590" s="604" t="n">
        <x:v>0</x:v>
      </x:c>
      <x:c r="I590" s="604" t="n">
        <x:v>0.95</x:v>
      </x:c>
      <x:c r="J590" s="604" t="inlineStr">
        <x:is>
          <x:t xml:space="preserve">0.75/0/0.95</x:t>
        </x:is>
      </x:c>
      <x:c r="K590" s="604" t="inlineStr">
        <x:is>
          <x:t xml:space="preserve">V4-C｜EV +0.0338</x:t>
        </x:is>
      </x:c>
      <x:c r="L590" s="604" t="str"/>
      <x:c r="M590" s="604" t="n">
        <x:v>0.5325227702144421</x:v>
      </x:c>
      <x:c r="N590" s="604" t="inlineStr">
        <x:is>
          <x:t xml:space="preserve">V4纸面入选-C</x:t>
        </x:is>
      </x:c>
      <x:c r="O590" s="604" t="inlineStr">
        <x:is>
          <x:t xml:space="preserve">0-3</x:t>
        </x:is>
      </x:c>
      <x:c r="P590" s="604" t="inlineStr">
        <x:is>
          <x:t xml:space="preserve">已结算</x:t>
        </x:is>
      </x:c>
      <x:c r="Q590" s="646" t="inlineStr">
        <x:is>
          <x:t xml:space="preserve">黑</x:t>
        </x:is>
      </x:c>
      <x:c r="R590" s="604" t="n">
        <x:v>0.95</x:v>
      </x:c>
      <x:c r="S590" s="604" t="n">
        <x:f>IF(OR(Q590="",Q590="待结算"),"",IF(Q590="红",R590,IF(Q590="半红",R590*0.5,IF(Q590="走",0,IF(Q590="半黑",-0.5,-1)))))</x:f>
        <x:v>-1</x:v>
      </x:c>
      <x:c r="T590" s="604" t="inlineStr">
        <x:is>
          <x:t xml:space="preserve">https://m.titan007.com/analy/Analysis/3092361.htm</x:t>
        </x:is>
      </x:c>
      <x:c r="U590" s="645" t="str">
        <x:f>IF(Q590="","",IF(Q590="待结算","待结算",IF(Q590="红","黑",IF(Q590="半红","半黑",IF(Q590="走","走",IF(Q590="半黑","半红","红"))))))</x:f>
        <x:v>红</x:v>
      </x:c>
      <x:c r="V590" s="604" t="n">
        <x:f>IF(OR(Q590="",Q590="待结算"),"",IF(L590=LEFT(F590,FIND(" vs ",F590)-1),I590,G590))</x:f>
        <x:v>0.75</x:v>
      </x:c>
      <x:c r="W590" s="604" t="n">
        <x:f>IF(OR(U590="",U590="待结算"),"",IF(U590="红",V590,IF(U590="半红",V590*0.5,IF(U590="走",0,IF(U590="半黑",-0.5,-1)))))</x:f>
        <x:v>0.75</x:v>
      </x:c>
      <x:c r="X590" s="604" t="inlineStr">
        <x:is>
          <x:t xml:space="preserve">3092361</x:t>
        </x:is>
      </x:c>
      <x:c r="Y590" s="604" t="inlineStr">
        <x:is>
          <x:t xml:space="preserve">V4</x:t>
        </x:is>
      </x:c>
      <x:c r="Z590" s="604" t="inlineStr">
        <x:is>
          <x:t xml:space="preserve">prior-2026-09-30-v1</x:t>
        </x:is>
      </x:c>
      <x:c r="AA590" s="604" t="inlineStr">
        <x:is>
          <x:t xml:space="preserve">C</x:t>
        </x:is>
      </x:c>
      <x:c r="AB590" s="604" t="n">
        <x:v>0.3473429267556662</x:v>
      </x:c>
      <x:c r="AC590" s="604" t="n">
        <x:v>0.2416666780525082</x:v>
      </x:c>
      <x:c r="AD590" s="604" t="n"/>
      <x:c r="AE590" s="604" t="n"/>
      <x:c r="AF590" s="604" t="n">
        <x:v>0.4109903951918256</x:v>
      </x:c>
      <x:c r="AG590" s="604" t="n">
        <x:v>0.03377705730099878</x:v>
      </x:c>
      <x:c r="AH590" s="604" t="n"/>
      <x:c r="AI590" s="604" t="n"/>
      <x:c r="AJ590" s="604" t="n">
        <x:v>0.03377705730099878</x:v>
      </x:c>
      <x:c r="AK590" s="604" t="n"/>
      <x:c r="AL590" s="604" t="n"/>
      <x:c r="AM590" s="604" t="n"/>
      <x:c r="AN590" s="604" t="inlineStr">
        <x:is>
          <x:t xml:space="preserve">EVALUATED</x:t>
        </x:is>
      </x:c>
      <x:c r="AO590" s="604" t="inlineStr">
        <x:is>
          <x:t xml:space="preserve">EDGE_BELOW_UNCERTAINTY_THRESHOLD、BUCKET_PRIOR_ONLY、INTENT_INTERPRETATION_ONLY、EXPERT_MARKET</x:t>
        </x:is>
      </x:c>
      <x:c r="AP590" s="604" t="inlineStr">
        <x:is>
          <x:t xml:space="preserve">9b27cc41e523cf2018c8</x:t>
        </x:is>
      </x:c>
      <x:c r="AQ590" s="604" t="n">
        <x:v>0</x:v>
      </x:c>
      <x:c r="AR590" s="604" t="n"/>
      <x:c r="AS590" s="604" t="n">
        <x:v>0</x:v>
      </x:c>
      <x:c r="AT590" s="604" t="n">
        <x:v>0</x:v>
      </x:c>
      <x:c r="AU590" s="604" t="n">
        <x:v>0.75</x:v>
      </x:c>
      <x:c r="AV590" s="604" t="n">
        <x:v>0.95</x:v>
      </x:c>
      <x:c r="AW590" s="604" t="n">
        <x:v>46295.47214138889</x:v>
      </x:c>
      <x:c r="AX590" s="604" t="inlineStr">
        <x:is>
          <x:t xml:space="preserve">https://simondongxiao.github.io/odds/v4/</x:t>
        </x:is>
      </x:c>
      <x:c r="AY590" s="604" t="inlineStr">
        <x:is>
          <x:t xml:space="preserve">V4 Shadow Only；real_money=false；P(EV&gt;0)不是比赛胜率</x:t>
        </x:is>
      </x:c>
    </x:row>
    <x:row r="591" ht="22" customHeight="1">
      <x:c r="A591" s="604" t="inlineStr">
        <x:is>
          <x:t xml:space="preserve">2026-09-30</x:t>
        </x:is>
      </x:c>
      <x:c r="B591" s="604" t="inlineStr">
        <x:is>
          <x:t xml:space="preserve">2026-10-01 03:00</x:t>
        </x:is>
      </x:c>
      <x:c r="C591" s="604" t="str">
        <x:v>北美系列</x:v>
      </x:c>
      <x:c r="D591" s="604" t="inlineStr">
        <x:is>
          <x:t xml:space="preserve">联赛</x:t>
        </x:is>
      </x:c>
      <x:c r="E591" s="604" t="inlineStr">
        <x:is>
          <x:t xml:space="preserve">危地乙</x:t>
        </x:is>
      </x:c>
      <x:c r="F591" s="604" t="inlineStr">
        <x:is>
          <x:t xml:space="preserve">科特匹克 vs 奎赫FC</x:t>
        </x:is>
      </x:c>
      <x:c r="G591" s="604" t="n">
        <x:v>0.95</x:v>
      </x:c>
      <x:c r="H591" s="604" t="n">
        <x:v>0</x:v>
      </x:c>
      <x:c r="I591" s="604" t="n">
        <x:v>0.75</x:v>
      </x:c>
      <x:c r="J591" s="604" t="inlineStr">
        <x:is>
          <x:t xml:space="preserve">0.95/0/0.75</x:t>
        </x:is>
      </x:c>
      <x:c r="K591" s="604" t="inlineStr">
        <x:is>
          <x:t xml:space="preserve">V4-C｜EV +0.0370</x:t>
        </x:is>
      </x:c>
      <x:c r="L591" s="604" t="str"/>
      <x:c r="M591" s="604" t="n">
        <x:v>0.5345884026568279</x:v>
      </x:c>
      <x:c r="N591" s="604" t="inlineStr">
        <x:is>
          <x:t xml:space="preserve">V4纸面入选-C</x:t>
        </x:is>
      </x:c>
      <x:c r="O591" s="604" t="inlineStr">
        <x:is>
          <x:t xml:space="preserve">1-0</x:t>
        </x:is>
      </x:c>
      <x:c r="P591" s="604" t="inlineStr">
        <x:is>
          <x:t xml:space="preserve">已结算</x:t>
        </x:is>
      </x:c>
      <x:c r="Q591" s="645" t="inlineStr">
        <x:is>
          <x:t xml:space="preserve">红</x:t>
        </x:is>
      </x:c>
      <x:c r="R591" s="604" t="n">
        <x:v>0.75</x:v>
      </x:c>
      <x:c r="S591" s="604" t="n">
        <x:f>IF(OR(Q591="",Q591="待结算"),"",IF(Q591="红",R591,IF(Q591="半红",R591*0.5,IF(Q591="走",0,IF(Q591="半黑",-0.5,-1)))))</x:f>
        <x:v>0.75</x:v>
      </x:c>
      <x:c r="T591" s="604" t="inlineStr">
        <x:is>
          <x:t xml:space="preserve">https://m.titan007.com/analy/Analysis/3096663.htm</x:t>
        </x:is>
      </x:c>
      <x:c r="U591" s="646" t="str">
        <x:f>IF(Q591="","",IF(Q591="待结算","待结算",IF(Q591="红","黑",IF(Q591="半红","半黑",IF(Q591="走","走",IF(Q591="半黑","半红","红"))))))</x:f>
        <x:v>黑</x:v>
      </x:c>
      <x:c r="V591" s="604" t="n">
        <x:f>IF(OR(Q591="",Q591="待结算"),"",IF(L591=LEFT(F591,FIND(" vs ",F591)-1),I591,G591))</x:f>
        <x:v>0.95</x:v>
      </x:c>
      <x:c r="W591" s="604" t="n">
        <x:f>IF(OR(U591="",U591="待结算"),"",IF(U591="红",V591,IF(U591="半红",V591*0.5,IF(U591="走",0,IF(U591="半黑",-0.5,-1)))))</x:f>
        <x:v>-1</x:v>
      </x:c>
      <x:c r="X591" s="604" t="inlineStr">
        <x:is>
          <x:t xml:space="preserve">3096663</x:t>
        </x:is>
      </x:c>
      <x:c r="Y591" s="604" t="inlineStr">
        <x:is>
          <x:t xml:space="preserve">V4</x:t>
        </x:is>
      </x:c>
      <x:c r="Z591" s="604" t="inlineStr">
        <x:is>
          <x:t xml:space="preserve">prior-2026-09-30-v1</x:t>
        </x:is>
      </x:c>
      <x:c r="AA591" s="604" t="inlineStr">
        <x:is>
          <x:t xml:space="preserve">C</x:t>
        </x:is>
      </x:c>
      <x:c r="AB591" s="604" t="n">
        <x:v>0.3392089637293215</x:v>
      </x:c>
      <x:c r="AC591" s="604" t="n">
        <x:v>0.2546343222576773</x:v>
      </x:c>
      <x:c r="AD591" s="604" t="n"/>
      <x:c r="AE591" s="604" t="n"/>
      <x:c r="AF591" s="604" t="n">
        <x:v>0.4061567140130012</x:v>
      </x:c>
      <x:c r="AG591" s="604" t="n">
        <x:v>0.03704310460225091</x:v>
      </x:c>
      <x:c r="AH591" s="604" t="n"/>
      <x:c r="AI591" s="604" t="n"/>
      <x:c r="AJ591" s="604" t="n">
        <x:v>0.03704310460225091</x:v>
      </x:c>
      <x:c r="AK591" s="604" t="n"/>
      <x:c r="AL591" s="604" t="n"/>
      <x:c r="AM591" s="604" t="n"/>
      <x:c r="AN591" s="604" t="inlineStr">
        <x:is>
          <x:t xml:space="preserve">EVALUATED</x:t>
        </x:is>
      </x:c>
      <x:c r="AO591" s="604" t="inlineStr">
        <x:is>
          <x:t xml:space="preserve">EDGE_BELOW_UNCERTAINTY_THRESHOLD、BUCKET_PRIOR_ONLY、INTENT_INTERPRETATION_ONLY、EXPERT_MARKET</x:t>
        </x:is>
      </x:c>
      <x:c r="AP591" s="604" t="inlineStr">
        <x:is>
          <x:t xml:space="preserve">8383de47a7185f38caf0</x:t>
        </x:is>
      </x:c>
      <x:c r="AQ591" s="604" t="n">
        <x:v>0</x:v>
      </x:c>
      <x:c r="AR591" s="604" t="n"/>
      <x:c r="AS591" s="604" t="n">
        <x:v>0</x:v>
      </x:c>
      <x:c r="AT591" s="604" t="n">
        <x:v>0</x:v>
      </x:c>
      <x:c r="AU591" s="604" t="n">
        <x:v>0.95</x:v>
      </x:c>
      <x:c r="AV591" s="604" t="n">
        <x:v>0.75</x:v>
      </x:c>
      <x:c r="AW591" s="604" t="n">
        <x:v>46295.48723729167</x:v>
      </x:c>
      <x:c r="AX591" s="604" t="inlineStr">
        <x:is>
          <x:t xml:space="preserve">https://simondongxiao.github.io/odds/v4/</x:t>
        </x:is>
      </x:c>
      <x:c r="AY591" s="604" t="inlineStr">
        <x:is>
          <x:t xml:space="preserve">V4 Shadow Only；real_money=false；P(EV&gt;0)不是比赛胜率</x:t>
        </x:is>
      </x:c>
    </x:row>
    <x:row r="592" ht="22" customHeight="1">
      <x:c r="A592" s="604" t="inlineStr">
        <x:is>
          <x:t xml:space="preserve">2026-09-30</x:t>
        </x:is>
      </x:c>
      <x:c r="B592" s="604" t="inlineStr">
        <x:is>
          <x:t xml:space="preserve">2026-10-01 03:00</x:t>
        </x:is>
      </x:c>
      <x:c r="C592" s="604" t="str">
        <x:v>欧洲非五大系列</x:v>
      </x:c>
      <x:c r="D592" s="604" t="inlineStr">
        <x:is>
          <x:t xml:space="preserve">杯赛</x:t>
        </x:is>
      </x:c>
      <x:c r="E592" s="604" t="inlineStr">
        <x:is>
          <x:t xml:space="preserve">女欧罗巴杯</x:t>
        </x:is>
      </x:c>
      <x:c r="F592" s="604" t="inlineStr">
        <x:is>
          <x:t xml:space="preserve">杜连斯女足 vs 梅塔利斯特1925女足</x:t>
        </x:is>
      </x:c>
      <x:c r="G592" s="604" t="n">
        <x:v>1.09</x:v>
      </x:c>
      <x:c r="H592" s="604" t="n">
        <x:v>1.75</x:v>
      </x:c>
      <x:c r="I592" s="604" t="n">
        <x:v>0.73</x:v>
      </x:c>
      <x:c r="J592" s="604" t="inlineStr">
        <x:is>
          <x:t xml:space="preserve">1.09/1.75/0.73</x:t>
        </x:is>
      </x:c>
      <x:c r="K592" s="604" t="inlineStr">
        <x:is>
          <x:t xml:space="preserve">V4-C｜EV +0.0699</x:t>
        </x:is>
      </x:c>
      <x:c r="L592" s="604" t="inlineStr">
        <x:is>
          <x:t xml:space="preserve">杜连斯女足</x:t>
        </x:is>
      </x:c>
      <x:c r="M592" s="604" t="n">
        <x:v>0.516481758565545</x:v>
      </x:c>
      <x:c r="N592" s="604" t="inlineStr">
        <x:is>
          <x:t xml:space="preserve">V4纸面入选-C</x:t>
        </x:is>
      </x:c>
      <x:c r="O592" s="604" t="inlineStr">
        <x:is>
          <x:t xml:space="preserve">4-1</x:t>
        </x:is>
      </x:c>
      <x:c r="P592" s="604" t="inlineStr">
        <x:is>
          <x:t xml:space="preserve">已结算</x:t>
        </x:is>
      </x:c>
      <x:c r="Q592" s="645" t="inlineStr">
        <x:is>
          <x:t xml:space="preserve">红</x:t>
        </x:is>
      </x:c>
      <x:c r="R592" s="604" t="n">
        <x:v>1.09</x:v>
      </x:c>
      <x:c r="S592" s="604" t="n">
        <x:f>IF(OR(Q592="",Q592="待结算"),"",IF(Q592="红",R592,IF(Q592="半红",R592*0.5,IF(Q592="走",0,IF(Q592="半黑",-0.5,-1)))))</x:f>
        <x:v>1.09</x:v>
      </x:c>
      <x:c r="T592" s="604" t="inlineStr">
        <x:is>
          <x:t xml:space="preserve">https://m.titan007.com/analy/Analysis/3086476.htm</x:t>
        </x:is>
      </x:c>
      <x:c r="U592" s="646" t="str">
        <x:f>IF(Q592="","",IF(Q592="待结算","待结算",IF(Q592="红","黑",IF(Q592="半红","半黑",IF(Q592="走","走",IF(Q592="半黑","半红","红"))))))</x:f>
        <x:v>黑</x:v>
      </x:c>
      <x:c r="V592" s="604" t="n">
        <x:f>IF(OR(Q592="",Q592="待结算"),"",IF(L592=LEFT(F592,FIND(" vs ",F592)-1),I592,G592))</x:f>
        <x:v>0.73</x:v>
      </x:c>
      <x:c r="W592" s="604" t="n">
        <x:f>IF(OR(U592="",U592="待结算"),"",IF(U592="红",V592,IF(U592="半红",V592*0.5,IF(U592="走",0,IF(U592="半黑",-0.5,-1)))))</x:f>
        <x:v>-1</x:v>
      </x:c>
      <x:c r="X592" s="604" t="inlineStr">
        <x:is>
          <x:t xml:space="preserve">3086476</x:t>
        </x:is>
      </x:c>
      <x:c r="Y592" s="604" t="inlineStr">
        <x:is>
          <x:t xml:space="preserve">V4</x:t>
        </x:is>
      </x:c>
      <x:c r="Z592" s="604" t="inlineStr">
        <x:is>
          <x:t xml:space="preserve">prior-2026-09-30-v1</x:t>
        </x:is>
      </x:c>
      <x:c r="AA592" s="604" t="inlineStr">
        <x:is>
          <x:t xml:space="preserve">C</x:t>
        </x:is>
      </x:c>
      <x:c r="AB592" s="604" t="n">
        <x:v>0.3346501691543122</x:v>
      </x:c>
      <x:c r="AC592" s="604" t="n">
        <x:v>0.2398071567748089</x:v>
      </x:c>
      <x:c r="AD592" s="604" t="n"/>
      <x:c r="AE592" s="604" t="n"/>
      <x:c r="AF592" s="604" t="n">
        <x:v>0.4255426740708788</x:v>
      </x:c>
      <x:c r="AG592" s="604" t="n">
        <x:v>0.06992091074959245</x:v>
      </x:c>
      <x:c r="AH592" s="604" t="n"/>
      <x:c r="AI592" s="604" t="n"/>
      <x:c r="AJ592" s="604" t="n">
        <x:v>0.06992091074959245</x:v>
      </x:c>
      <x:c r="AK592" s="604" t="n"/>
      <x:c r="AL592" s="604" t="n"/>
      <x:c r="AM592" s="604" t="n"/>
      <x:c r="AN592" s="604" t="inlineStr">
        <x:is>
          <x:t xml:space="preserve">EVALUATED</x:t>
        </x:is>
      </x:c>
      <x:c r="AO592" s="604" t="inlineStr">
        <x:is>
          <x:t xml:space="preserve">GIVING_VALIDATED_EDGE、BUCKET_PRIOR_ONLY、INTENT_INTERPRETATION_ONLY、EXPERT_MARKET</x:t>
        </x:is>
      </x:c>
      <x:c r="AP592" s="604" t="inlineStr">
        <x:is>
          <x:t xml:space="preserve">9f4aef9b3974c29eee28</x:t>
        </x:is>
      </x:c>
      <x:c r="AQ592" s="604" t="n">
        <x:v>-1.75</x:v>
      </x:c>
      <x:c r="AR592" s="604" t="n">
        <x:v>1.09</x:v>
      </x:c>
      <x:c r="AS592" s="604" t="n">
        <x:v>1.75</x:v>
      </x:c>
      <x:c r="AT592" s="604" t="n">
        <x:v>-1.75</x:v>
      </x:c>
      <x:c r="AU592" s="604" t="n">
        <x:v>1.09</x:v>
      </x:c>
      <x:c r="AV592" s="604" t="n">
        <x:v>0.73</x:v>
      </x:c>
      <x:c r="AW592" s="604" t="n">
        <x:v>46295.48723729167</x:v>
      </x:c>
      <x:c r="AX592" s="604" t="inlineStr">
        <x:is>
          <x:t xml:space="preserve">https://simondongxiao.github.io/odds/v4/</x:t>
        </x:is>
      </x:c>
      <x:c r="AY592" s="604" t="inlineStr">
        <x:is>
          <x:t xml:space="preserve">V4 Shadow Only；real_money=false；P(EV&gt;0)不是比赛胜率</x:t>
        </x:is>
      </x:c>
    </x:row>
    <x:row r="593" ht="22" customHeight="1">
      <x:c r="A593" s="604" t="inlineStr">
        <x:is>
          <x:t xml:space="preserve">2026-09-30</x:t>
        </x:is>
      </x:c>
      <x:c r="B593" s="604" t="inlineStr">
        <x:is>
          <x:t xml:space="preserve">2026-10-01 04:00</x:t>
        </x:is>
      </x:c>
      <x:c r="C593" s="604" t="str">
        <x:v>南美系列</x:v>
      </x:c>
      <x:c r="D593" s="604" t="inlineStr">
        <x:is>
          <x:t xml:space="preserve">杯赛</x:t>
        </x:is>
      </x:c>
      <x:c r="E593" s="604" t="inlineStr">
        <x:is>
          <x:t xml:space="preserve">巴拉杯</x:t>
        </x:is>
      </x:c>
      <x:c r="F593" s="604" t="inlineStr">
        <x:is>
          <x:t xml:space="preserve">独立FBC vs 巴拉圭国民</x:t>
        </x:is>
      </x:c>
      <x:c r="G593" s="604" t="n">
        <x:v>0.77</x:v>
      </x:c>
      <x:c r="H593" s="604" t="n">
        <x:v>0</x:v>
      </x:c>
      <x:c r="I593" s="604" t="n">
        <x:v>0.99</x:v>
      </x:c>
      <x:c r="J593" s="604" t="inlineStr">
        <x:is>
          <x:t xml:space="preserve">0.77/0/0.99</x:t>
        </x:is>
      </x:c>
      <x:c r="K593" s="604" t="inlineStr">
        <x:is>
          <x:t xml:space="preserve">V4-C｜EV +0.0206</x:t>
        </x:is>
      </x:c>
      <x:c r="L593" s="604" t="str"/>
      <x:c r="M593" s="604" t="n">
        <x:v>0.5143638402389096</x:v>
      </x:c>
      <x:c r="N593" s="604" t="inlineStr">
        <x:is>
          <x:t xml:space="preserve">V4纸面入选-C</x:t>
        </x:is>
      </x:c>
      <x:c r="O593" s="604" t="inlineStr">
        <x:is>
          <x:t xml:space="preserve">2-2</x:t>
        </x:is>
      </x:c>
      <x:c r="P593" s="604" t="inlineStr">
        <x:is>
          <x:t xml:space="preserve">已结算</x:t>
        </x:is>
      </x:c>
      <x:c r="Q593" s="647" t="inlineStr">
        <x:is>
          <x:t xml:space="preserve">走</x:t>
        </x:is>
      </x:c>
      <x:c r="R593" s="604" t="n">
        <x:v>0.99</x:v>
      </x:c>
      <x:c r="S593" s="604" t="n">
        <x:f>IF(OR(Q593="",Q593="待结算"),"",IF(Q593="红",R593,IF(Q593="半红",R593*0.5,IF(Q593="走",0,IF(Q593="半黑",-0.5,-1)))))</x:f>
        <x:v>0</x:v>
      </x:c>
      <x:c r="T593" s="604" t="inlineStr">
        <x:is>
          <x:t xml:space="preserve">https://m.titan007.com/analy/Analysis/3091341.htm</x:t>
        </x:is>
      </x:c>
      <x:c r="U593" s="647" t="str">
        <x:f>IF(Q593="","",IF(Q593="待结算","待结算",IF(Q593="红","黑",IF(Q593="半红","半黑",IF(Q593="走","走",IF(Q593="半黑","半红","红"))))))</x:f>
        <x:v>走</x:v>
      </x:c>
      <x:c r="V593" s="604" t="n">
        <x:f>IF(OR(Q593="",Q593="待结算"),"",IF(L593=LEFT(F593,FIND(" vs ",F593)-1),I593,G593))</x:f>
        <x:v>0.77</x:v>
      </x:c>
      <x:c r="W593" s="604" t="n">
        <x:f>IF(OR(U593="",U593="待结算"),"",IF(U593="红",V593,IF(U593="半红",V593*0.5,IF(U593="走",0,IF(U593="半黑",-0.5,-1)))))</x:f>
        <x:v>0</x:v>
      </x:c>
      <x:c r="X593" s="604" t="inlineStr">
        <x:is>
          <x:t xml:space="preserve">3091341</x:t>
        </x:is>
      </x:c>
      <x:c r="Y593" s="604" t="inlineStr">
        <x:is>
          <x:t xml:space="preserve">V4</x:t>
        </x:is>
      </x:c>
      <x:c r="Z593" s="604" t="inlineStr">
        <x:is>
          <x:t xml:space="preserve">prior-2026-09-30-v1</x:t>
        </x:is>
      </x:c>
      <x:c r="AA593" s="604" t="inlineStr">
        <x:is>
          <x:t xml:space="preserve">C</x:t>
        </x:is>
      </x:c>
      <x:c r="AB593" s="604" t="n">
        <x:v>0.3239771994182095</x:v>
      </x:c>
      <x:c r="AC593" s="604" t="n">
        <x:v>0.25144108141233</x:v>
      </x:c>
      <x:c r="AD593" s="604" t="n"/>
      <x:c r="AE593" s="604" t="n"/>
      <x:c r="AF593" s="604" t="n">
        <x:v>0.4245817191694606</x:v>
      </x:c>
      <x:c r="AG593" s="604" t="n">
        <x:v>0.02061904355367006</x:v>
      </x:c>
      <x:c r="AH593" s="604" t="n"/>
      <x:c r="AI593" s="604" t="n"/>
      <x:c r="AJ593" s="604" t="n">
        <x:v>0.02061904355367006</x:v>
      </x:c>
      <x:c r="AK593" s="604" t="n"/>
      <x:c r="AL593" s="604" t="n"/>
      <x:c r="AM593" s="604" t="n"/>
      <x:c r="AN593" s="604" t="inlineStr">
        <x:is>
          <x:t xml:space="preserve">EVALUATED</x:t>
        </x:is>
      </x:c>
      <x:c r="AO593" s="604" t="inlineStr">
        <x:is>
          <x:t xml:space="preserve">EDGE_BELOW_UNCERTAINTY_THRESHOLD、BUCKET_PRIOR_ONLY、INTENT_INTERPRETATION_ONLY、EXPERT_MARKET</x:t>
        </x:is>
      </x:c>
      <x:c r="AP593" s="604" t="inlineStr">
        <x:is>
          <x:t xml:space="preserve">0dcc7065597a7284e038</x:t>
        </x:is>
      </x:c>
      <x:c r="AQ593" s="604" t="n">
        <x:v>0</x:v>
      </x:c>
      <x:c r="AR593" s="604" t="n"/>
      <x:c r="AS593" s="604" t="n">
        <x:v>0</x:v>
      </x:c>
      <x:c r="AT593" s="604" t="n">
        <x:v>0</x:v>
      </x:c>
      <x:c r="AU593" s="604" t="n">
        <x:v>0.77</x:v>
      </x:c>
      <x:c r="AV593" s="604" t="n">
        <x:v>0.99</x:v>
      </x:c>
      <x:c r="AW593" s="604" t="n">
        <x:v>46295.47214138889</x:v>
      </x:c>
      <x:c r="AX593" s="604" t="inlineStr">
        <x:is>
          <x:t xml:space="preserve">https://simondongxiao.github.io/odds/v4/</x:t>
        </x:is>
      </x:c>
      <x:c r="AY593" s="604" t="inlineStr">
        <x:is>
          <x:t xml:space="preserve">V4 Shadow Only；real_money=false；P(EV&gt;0)不是比赛胜率</x:t>
        </x:is>
      </x:c>
    </x:row>
    <x:row r="594" ht="22" customHeight="1">
      <x:c r="A594" s="604" t="inlineStr">
        <x:is>
          <x:t xml:space="preserve">2026-09-30</x:t>
        </x:is>
      </x:c>
      <x:c r="B594" s="604" t="inlineStr">
        <x:is>
          <x:t xml:space="preserve">2026-10-01 05:00</x:t>
        </x:is>
      </x:c>
      <x:c r="C594" s="604" t="str">
        <x:v>南美系列</x:v>
      </x:c>
      <x:c r="D594" s="604" t="inlineStr">
        <x:is>
          <x:t xml:space="preserve">联赛</x:t>
        </x:is>
      </x:c>
      <x:c r="E594" s="604" t="inlineStr">
        <x:is>
          <x:t xml:space="preserve">智利女甲</x:t>
        </x:is>
      </x:c>
      <x:c r="F594" s="604" t="inlineStr">
        <x:is>
          <x:t xml:space="preserve">艾斯潘诺拉女足 vs 天主教大学女足</x:t>
        </x:is>
      </x:c>
      <x:c r="G594" s="604" t="n">
        <x:v>0.77</x:v>
      </x:c>
      <x:c r="H594" s="604" t="n">
        <x:v>0</x:v>
      </x:c>
      <x:c r="I594" s="604" t="n">
        <x:v>0.93</x:v>
      </x:c>
      <x:c r="J594" s="604" t="inlineStr">
        <x:is>
          <x:t xml:space="preserve">0.77/0/0.93</x:t>
        </x:is>
      </x:c>
      <x:c r="K594" s="604" t="inlineStr">
        <x:is>
          <x:t xml:space="preserve">V4-C｜EV +0.0484</x:t>
        </x:is>
      </x:c>
      <x:c r="L594" s="604" t="str"/>
      <x:c r="M594" s="604" t="n">
        <x:v>0.5431890719367928</x:v>
      </x:c>
      <x:c r="N594" s="604" t="inlineStr">
        <x:is>
          <x:t xml:space="preserve">V4纸面入选-C</x:t>
        </x:is>
      </x:c>
      <x:c r="O594" s="604" t="inlineStr">
        <x:is>
          <x:t xml:space="preserve">0-1</x:t>
        </x:is>
      </x:c>
      <x:c r="P594" s="604" t="inlineStr">
        <x:is>
          <x:t xml:space="preserve">已结算</x:t>
        </x:is>
      </x:c>
      <x:c r="Q594" s="646" t="inlineStr">
        <x:is>
          <x:t xml:space="preserve">黑</x:t>
        </x:is>
      </x:c>
      <x:c r="R594" s="604" t="n">
        <x:v>0.93</x:v>
      </x:c>
      <x:c r="S594" s="604" t="n">
        <x:f>IF(OR(Q594="",Q594="待结算"),"",IF(Q594="红",R594,IF(Q594="半红",R594*0.5,IF(Q594="走",0,IF(Q594="半黑",-0.5,-1)))))</x:f>
        <x:v>-1</x:v>
      </x:c>
      <x:c r="T594" s="604" t="inlineStr">
        <x:is>
          <x:t xml:space="preserve">https://m.titan007.com/analy/Analysis/3095433.htm</x:t>
        </x:is>
      </x:c>
      <x:c r="U594" s="645" t="str">
        <x:f>IF(Q594="","",IF(Q594="待结算","待结算",IF(Q594="红","黑",IF(Q594="半红","半黑",IF(Q594="走","走",IF(Q594="半黑","半红","红"))))))</x:f>
        <x:v>红</x:v>
      </x:c>
      <x:c r="V594" s="604" t="n">
        <x:f>IF(OR(Q594="",Q594="待结算"),"",IF(L594=LEFT(F594,FIND(" vs ",F594)-1),I594,G594))</x:f>
        <x:v>0.77</x:v>
      </x:c>
      <x:c r="W594" s="604" t="n">
        <x:f>IF(OR(U594="",U594="待结算"),"",IF(U594="红",V594,IF(U594="半红",V594*0.5,IF(U594="走",0,IF(U594="半黑",-0.5,-1)))))</x:f>
        <x:v>0.77</x:v>
      </x:c>
      <x:c r="X594" s="604" t="inlineStr">
        <x:is>
          <x:t xml:space="preserve">3095433</x:t>
        </x:is>
      </x:c>
      <x:c r="Y594" s="604" t="inlineStr">
        <x:is>
          <x:t xml:space="preserve">V4</x:t>
        </x:is>
      </x:c>
      <x:c r="Z594" s="604" t="inlineStr">
        <x:is>
          <x:t xml:space="preserve">prior-2026-09-30-v1</x:t>
        </x:is>
      </x:c>
      <x:c r="AA594" s="604" t="inlineStr">
        <x:is>
          <x:t xml:space="preserve">C</x:t>
        </x:is>
      </x:c>
      <x:c r="AB594" s="604" t="n">
        <x:v>0.5431890719367928</x:v>
      </x:c>
      <x:c r="AC594" s="604" t="n"/>
      <x:c r="AD594" s="604" t="n"/>
      <x:c r="AE594" s="604" t="n"/>
      <x:c r="AF594" s="604" t="n">
        <x:v>0.4568109280632072</x:v>
      </x:c>
      <x:c r="AG594" s="604" t="n">
        <x:v>0.04835490883801008</x:v>
      </x:c>
      <x:c r="AH594" s="604" t="n"/>
      <x:c r="AI594" s="604" t="n"/>
      <x:c r="AJ594" s="604" t="n">
        <x:v>0.04835490883801008</x:v>
      </x:c>
      <x:c r="AK594" s="604" t="n"/>
      <x:c r="AL594" s="604" t="n"/>
      <x:c r="AM594" s="604" t="n"/>
      <x:c r="AN594" s="604" t="inlineStr">
        <x:is>
          <x:t xml:space="preserve">EVALUATED</x:t>
        </x:is>
      </x:c>
      <x:c r="AO594" s="604" t="inlineStr">
        <x:is>
          <x:t xml:space="preserve">EDGE_BELOW_UNCERTAINTY_THRESHOLD、BUCKET_PRIOR_ONLY、INTENT_INTERPRETATION_ONLY、EXPERT_MARKET</x:t>
        </x:is>
      </x:c>
      <x:c r="AP594" s="604" t="inlineStr">
        <x:is>
          <x:t xml:space="preserve">4a0a134d00683a31bc1f</x:t>
        </x:is>
      </x:c>
      <x:c r="AQ594" s="604" t="n">
        <x:v>0</x:v>
      </x:c>
      <x:c r="AR594" s="604" t="n"/>
      <x:c r="AS594" s="604" t="n">
        <x:v>0</x:v>
      </x:c>
      <x:c r="AT594" s="604" t="n">
        <x:v>0</x:v>
      </x:c>
      <x:c r="AU594" s="604" t="n">
        <x:v>0.77</x:v>
      </x:c>
      <x:c r="AV594" s="604" t="n">
        <x:v>0.93</x:v>
      </x:c>
      <x:c r="AW594" s="604" t="n">
        <x:v>46295.48723729167</x:v>
      </x:c>
      <x:c r="AX594" s="604" t="inlineStr">
        <x:is>
          <x:t xml:space="preserve">https://simondongxiao.github.io/odds/v4/</x:t>
        </x:is>
      </x:c>
      <x:c r="AY594" s="604" t="inlineStr">
        <x:is>
          <x:t xml:space="preserve">V4 Shadow Only；real_money=false；P(EV&gt;0)不是比赛胜率</x:t>
        </x:is>
      </x:c>
    </x:row>
    <x:row r="595" ht="22" customHeight="1">
      <x:c r="A595" s="604" t="inlineStr">
        <x:is>
          <x:t xml:space="preserve">2026-09-30</x:t>
        </x:is>
      </x:c>
      <x:c r="B595" s="604" t="inlineStr">
        <x:is>
          <x:t xml:space="preserve">2026-10-01 07:00</x:t>
        </x:is>
      </x:c>
      <x:c r="C595" s="604" t="str">
        <x:v>北美系列</x:v>
      </x:c>
      <x:c r="D595" s="604" t="inlineStr">
        <x:is>
          <x:t xml:space="preserve">联赛</x:t>
        </x:is>
      </x:c>
      <x:c r="E595" s="604" t="inlineStr">
        <x:is>
          <x:t xml:space="preserve">美冠联</x:t>
        </x:is>
      </x:c>
      <x:c r="F595" s="604" t="inlineStr">
        <x:is>
          <x:t xml:space="preserve">布鲁克林 vs 底特律城</x:t>
        </x:is>
      </x:c>
      <x:c r="G595" s="604" t="n">
        <x:v>0.85</x:v>
      </x:c>
      <x:c r="H595" s="604" t="n">
        <x:v>0</x:v>
      </x:c>
      <x:c r="I595" s="604" t="n">
        <x:v>0.91</x:v>
      </x:c>
      <x:c r="J595" s="604" t="inlineStr">
        <x:is>
          <x:t xml:space="preserve">0.85/0/0.91</x:t>
        </x:is>
      </x:c>
      <x:c r="K595" s="604" t="inlineStr">
        <x:is>
          <x:t xml:space="preserve">V4-C｜EV +0.0204</x:t>
        </x:is>
      </x:c>
      <x:c r="L595" s="604" t="str"/>
      <x:c r="M595" s="604" t="n">
        <x:v>0.5342228605730908</x:v>
      </x:c>
      <x:c r="N595" s="604" t="inlineStr">
        <x:is>
          <x:t xml:space="preserve">V4纸面入选-C</x:t>
        </x:is>
      </x:c>
      <x:c r="O595" s="604" t="inlineStr">
        <x:is>
          <x:t xml:space="preserve">1-2</x:t>
        </x:is>
      </x:c>
      <x:c r="P595" s="604" t="inlineStr">
        <x:is>
          <x:t xml:space="preserve">已结算</x:t>
        </x:is>
      </x:c>
      <x:c r="Q595" s="646" t="inlineStr">
        <x:is>
          <x:t xml:space="preserve">黑</x:t>
        </x:is>
      </x:c>
      <x:c r="R595" s="604" t="n">
        <x:v>0.91</x:v>
      </x:c>
      <x:c r="S595" s="604" t="n">
        <x:f>IF(OR(Q595="",Q595="待结算"),"",IF(Q595="红",R595,IF(Q595="半红",R595*0.5,IF(Q595="走",0,IF(Q595="半黑",-0.5,-1)))))</x:f>
        <x:v>-1</x:v>
      </x:c>
      <x:c r="T595" s="604" t="inlineStr">
        <x:is>
          <x:t xml:space="preserve">https://m.titan007.com/analy/Analysis/2942643.htm</x:t>
        </x:is>
      </x:c>
      <x:c r="U595" s="645" t="str">
        <x:f>IF(Q595="","",IF(Q595="待结算","待结算",IF(Q595="红","黑",IF(Q595="半红","半黑",IF(Q595="走","走",IF(Q595="半黑","半红","红"))))))</x:f>
        <x:v>红</x:v>
      </x:c>
      <x:c r="V595" s="604" t="n">
        <x:f>IF(OR(Q595="",Q595="待结算"),"",IF(L595=LEFT(F595,FIND(" vs ",F595)-1),I595,G595))</x:f>
        <x:v>0.85</x:v>
      </x:c>
      <x:c r="W595" s="604" t="n">
        <x:f>IF(OR(U595="",U595="待结算"),"",IF(U595="红",V595,IF(U595="半红",V595*0.5,IF(U595="走",0,IF(U595="半黑",-0.5,-1)))))</x:f>
        <x:v>0.85</x:v>
      </x:c>
      <x:c r="X595" s="604" t="inlineStr">
        <x:is>
          <x:t xml:space="preserve">2942643</x:t>
        </x:is>
      </x:c>
      <x:c r="Y595" s="604" t="inlineStr">
        <x:is>
          <x:t xml:space="preserve">V4</x:t>
        </x:is>
      </x:c>
      <x:c r="Z595" s="604" t="inlineStr">
        <x:is>
          <x:t xml:space="preserve">prior-2026-09-30-v1</x:t>
        </x:is>
      </x:c>
      <x:c r="AA595" s="604" t="inlineStr">
        <x:is>
          <x:t xml:space="preserve">C</x:t>
        </x:is>
      </x:c>
      <x:c r="AB595" s="604" t="n">
        <x:v>0.5342228605730908</x:v>
      </x:c>
      <x:c r="AC595" s="604" t="n"/>
      <x:c r="AD595" s="604" t="n"/>
      <x:c r="AE595" s="604" t="n"/>
      <x:c r="AF595" s="604" t="n">
        <x:v>0.4657771394269093</x:v>
      </x:c>
      <x:c r="AG595" s="604" t="n">
        <x:v>0.0203656636946033</x:v>
      </x:c>
      <x:c r="AH595" s="604" t="n"/>
      <x:c r="AI595" s="604" t="n"/>
      <x:c r="AJ595" s="604" t="n">
        <x:v>0.0203656636946033</x:v>
      </x:c>
      <x:c r="AK595" s="604" t="n"/>
      <x:c r="AL595" s="604" t="n"/>
      <x:c r="AM595" s="604" t="n"/>
      <x:c r="AN595" s="604" t="inlineStr">
        <x:is>
          <x:t xml:space="preserve">EVALUATED</x:t>
        </x:is>
      </x:c>
      <x:c r="AO595" s="604" t="inlineStr">
        <x:is>
          <x:t xml:space="preserve">EDGE_BELOW_UNCERTAINTY_THRESHOLD、BUCKET_PRIOR_ONLY、INTENT_INTERPRETATION_ONLY、EXPERT_MARKET</x:t>
        </x:is>
      </x:c>
      <x:c r="AP595" s="604" t="inlineStr">
        <x:is>
          <x:t xml:space="preserve">703d48115f023a81bd02</x:t>
        </x:is>
      </x:c>
      <x:c r="AQ595" s="604" t="n">
        <x:v>0</x:v>
      </x:c>
      <x:c r="AR595" s="604" t="n"/>
      <x:c r="AS595" s="604" t="n">
        <x:v>0</x:v>
      </x:c>
      <x:c r="AT595" s="604" t="n">
        <x:v>0</x:v>
      </x:c>
      <x:c r="AU595" s="604" t="n">
        <x:v>0.85</x:v>
      </x:c>
      <x:c r="AV595" s="604" t="n">
        <x:v>0.91</x:v>
      </x:c>
      <x:c r="AW595" s="604" t="n">
        <x:v>46295.47214138889</x:v>
      </x:c>
      <x:c r="AX595" s="604" t="inlineStr">
        <x:is>
          <x:t xml:space="preserve">https://simondongxiao.github.io/odds/v4/</x:t>
        </x:is>
      </x:c>
      <x:c r="AY595" s="604" t="inlineStr">
        <x:is>
          <x:t xml:space="preserve">V4 Shadow Only；real_money=false；P(EV&gt;0)不是比赛胜率</x:t>
        </x:is>
      </x:c>
    </x:row>
    <x:row r="596" ht="22" customHeight="1">
      <x:c r="A596" s="604" t="inlineStr">
        <x:is>
          <x:t xml:space="preserve">2026-09-30</x:t>
        </x:is>
      </x:c>
      <x:c r="B596" s="604" t="inlineStr">
        <x:is>
          <x:t xml:space="preserve">2026-10-01 07:00</x:t>
        </x:is>
      </x:c>
      <x:c r="C596" s="604" t="str">
        <x:v>北美系列</x:v>
      </x:c>
      <x:c r="D596" s="604" t="inlineStr">
        <x:is>
          <x:t xml:space="preserve">联赛</x:t>
        </x:is>
      </x:c>
      <x:c r="E596" s="604" t="inlineStr">
        <x:is>
          <x:t xml:space="preserve">美冠联</x:t>
        </x:is>
      </x:c>
      <x:c r="F596" s="604" t="inlineStr">
        <x:is>
          <x:t xml:space="preserve">迈阿密FC vs 运动Jax</x:t>
        </x:is>
      </x:c>
      <x:c r="G596" s="604" t="n">
        <x:v>1.02</x:v>
      </x:c>
      <x:c r="H596" s="604" t="n">
        <x:v>0</x:v>
      </x:c>
      <x:c r="I596" s="604" t="n">
        <x:v>0.8</x:v>
      </x:c>
      <x:c r="J596" s="604" t="inlineStr">
        <x:is>
          <x:t xml:space="preserve">1.02/0/0.8</x:t>
        </x:is>
      </x:c>
      <x:c r="K596" s="604" t="inlineStr">
        <x:is>
          <x:t xml:space="preserve">V4-C｜EV +0.0443</x:t>
        </x:is>
      </x:c>
      <x:c r="L596" s="604" t="str"/>
      <x:c r="M596" s="604" t="n">
        <x:v>0.524484150374781</x:v>
      </x:c>
      <x:c r="N596" s="604" t="inlineStr">
        <x:is>
          <x:t xml:space="preserve">V4纸面入选-C</x:t>
        </x:is>
      </x:c>
      <x:c r="O596" s="604" t="inlineStr">
        <x:is>
          <x:t xml:space="preserve">2-1</x:t>
        </x:is>
      </x:c>
      <x:c r="P596" s="604" t="inlineStr">
        <x:is>
          <x:t xml:space="preserve">已结算</x:t>
        </x:is>
      </x:c>
      <x:c r="Q596" s="645" t="inlineStr">
        <x:is>
          <x:t xml:space="preserve">红</x:t>
        </x:is>
      </x:c>
      <x:c r="R596" s="604" t="n">
        <x:v>0.8</x:v>
      </x:c>
      <x:c r="S596" s="604" t="n">
        <x:f>IF(OR(Q596="",Q596="待结算"),"",IF(Q596="红",R596,IF(Q596="半红",R596*0.5,IF(Q596="走",0,IF(Q596="半黑",-0.5,-1)))))</x:f>
        <x:v>0.8</x:v>
      </x:c>
      <x:c r="T596" s="604" t="inlineStr">
        <x:is>
          <x:t xml:space="preserve">https://m.titan007.com/analy/Analysis/2942645.htm</x:t>
        </x:is>
      </x:c>
      <x:c r="U596" s="646" t="str">
        <x:f>IF(Q596="","",IF(Q596="待结算","待结算",IF(Q596="红","黑",IF(Q596="半红","半黑",IF(Q596="走","走",IF(Q596="半黑","半红","红"))))))</x:f>
        <x:v>黑</x:v>
      </x:c>
      <x:c r="V596" s="604" t="n">
        <x:f>IF(OR(Q596="",Q596="待结算"),"",IF(L596=LEFT(F596,FIND(" vs ",F596)-1),I596,G596))</x:f>
        <x:v>1.02</x:v>
      </x:c>
      <x:c r="W596" s="604" t="n">
        <x:f>IF(OR(U596="",U596="待结算"),"",IF(U596="红",V596,IF(U596="半红",V596*0.5,IF(U596="走",0,IF(U596="半黑",-0.5,-1)))))</x:f>
        <x:v>-1</x:v>
      </x:c>
      <x:c r="X596" s="604" t="inlineStr">
        <x:is>
          <x:t xml:space="preserve">2942645</x:t>
        </x:is>
      </x:c>
      <x:c r="Y596" s="604" t="inlineStr">
        <x:is>
          <x:t xml:space="preserve">V4</x:t>
        </x:is>
      </x:c>
      <x:c r="Z596" s="604" t="inlineStr">
        <x:is>
          <x:t xml:space="preserve">prior-2026-09-30-v1</x:t>
        </x:is>
      </x:c>
      <x:c r="AA596" s="604" t="inlineStr">
        <x:is>
          <x:t xml:space="preserve">C</x:t>
        </x:is>
      </x:c>
      <x:c r="AB596" s="604" t="n">
        <x:v>0.3907472088141317</x:v>
      </x:c>
      <x:c r="AC596" s="604" t="n"/>
      <x:c r="AD596" s="604" t="n">
        <x:v>0.254987574867772</x:v>
      </x:c>
      <x:c r="AE596" s="604" t="n"/>
      <x:c r="AF596" s="604" t="n">
        <x:v>0.3542652163180963</x:v>
      </x:c>
      <x:c r="AG596" s="604" t="n">
        <x:v>0.0442969366723181</x:v>
      </x:c>
      <x:c r="AH596" s="604" t="n"/>
      <x:c r="AI596" s="604" t="n"/>
      <x:c r="AJ596" s="604" t="n">
        <x:v>0.0442969366723181</x:v>
      </x:c>
      <x:c r="AK596" s="604" t="n"/>
      <x:c r="AL596" s="604" t="n"/>
      <x:c r="AM596" s="604" t="n"/>
      <x:c r="AN596" s="604" t="inlineStr">
        <x:is>
          <x:t xml:space="preserve">EVALUATED</x:t>
        </x:is>
      </x:c>
      <x:c r="AO596" s="604" t="inlineStr">
        <x:is>
          <x:t xml:space="preserve">EDGE_BELOW_UNCERTAINTY_THRESHOLD、BUCKET_PRIOR_ONLY、INTENT_INTERPRETATION_ONLY、EXPERT_MARKET</x:t>
        </x:is>
      </x:c>
      <x:c r="AP596" s="604" t="inlineStr">
        <x:is>
          <x:t xml:space="preserve">240569230fd01b8eca8a</x:t>
        </x:is>
      </x:c>
      <x:c r="AQ596" s="604" t="n">
        <x:v>0</x:v>
      </x:c>
      <x:c r="AR596" s="604" t="n"/>
      <x:c r="AS596" s="604" t="n">
        <x:v>0</x:v>
      </x:c>
      <x:c r="AT596" s="604" t="n">
        <x:v>0</x:v>
      </x:c>
      <x:c r="AU596" s="604" t="n">
        <x:v>1.02</x:v>
      </x:c>
      <x:c r="AV596" s="604" t="n">
        <x:v>0.8</x:v>
      </x:c>
      <x:c r="AW596" s="604" t="n">
        <x:v>46295.47214138889</x:v>
      </x:c>
      <x:c r="AX596" s="604" t="inlineStr">
        <x:is>
          <x:t xml:space="preserve">https://simondongxiao.github.io/odds/v4/</x:t>
        </x:is>
      </x:c>
      <x:c r="AY596" s="604" t="inlineStr">
        <x:is>
          <x:t xml:space="preserve">V4 Shadow Only；real_money=false；P(EV&gt;0)不是比赛胜率</x:t>
        </x:is>
      </x:c>
    </x:row>
    <x:row r="597" ht="22" customHeight="1">
      <x:c r="A597" s="604" t="inlineStr">
        <x:is>
          <x:t xml:space="preserve">2026-09-30</x:t>
        </x:is>
      </x:c>
      <x:c r="B597" s="604" t="inlineStr">
        <x:is>
          <x:t xml:space="preserve">2026-10-01 08:00</x:t>
        </x:is>
      </x:c>
      <x:c r="C597" s="604" t="str">
        <x:v>北美系列</x:v>
      </x:c>
      <x:c r="D597" s="604" t="inlineStr">
        <x:is>
          <x:t xml:space="preserve">联赛</x:t>
        </x:is>
      </x:c>
      <x:c r="E597" s="604" t="inlineStr">
        <x:is>
          <x:t xml:space="preserve">萨尔超春</x:t>
        </x:is>
      </x:c>
      <x:c r="F597" s="604" t="inlineStr">
        <x:is>
          <x:t xml:space="preserve">FC阿里安沙 vs 萨卡特科卢卡</x:t>
        </x:is>
      </x:c>
      <x:c r="G597" s="604" t="n">
        <x:v>0.98</x:v>
      </x:c>
      <x:c r="H597" s="604" t="n">
        <x:v>0</x:v>
      </x:c>
      <x:c r="I597" s="604" t="n">
        <x:v>0.78</x:v>
      </x:c>
      <x:c r="J597" s="604" t="inlineStr">
        <x:is>
          <x:t xml:space="preserve">0.98/0/0.78</x:t>
        </x:is>
      </x:c>
      <x:c r="K597" s="604" t="inlineStr">
        <x:is>
          <x:t xml:space="preserve">V4-C｜EV +0.0180</x:t>
        </x:is>
      </x:c>
      <x:c r="L597" s="604" t="str"/>
      <x:c r="M597" s="604" t="n">
        <x:v>0.5154583386883347</x:v>
      </x:c>
      <x:c r="N597" s="604" t="inlineStr">
        <x:is>
          <x:t xml:space="preserve">V4纸面入选-C</x:t>
        </x:is>
      </x:c>
      <x:c r="O597" s="604" t="inlineStr">
        <x:is>
          <x:t xml:space="preserve">2-1</x:t>
        </x:is>
      </x:c>
      <x:c r="P597" s="604" t="inlineStr">
        <x:is>
          <x:t xml:space="preserve">已结算</x:t>
        </x:is>
      </x:c>
      <x:c r="Q597" s="645" t="inlineStr">
        <x:is>
          <x:t xml:space="preserve">红</x:t>
        </x:is>
      </x:c>
      <x:c r="R597" s="604" t="n">
        <x:v>0.78</x:v>
      </x:c>
      <x:c r="S597" s="604" t="n">
        <x:f>IF(OR(Q597="",Q597="待结算"),"",IF(Q597="红",R597,IF(Q597="半红",R597*0.5,IF(Q597="走",0,IF(Q597="半黑",-0.5,-1)))))</x:f>
        <x:v>0.78</x:v>
      </x:c>
      <x:c r="T597" s="604" t="inlineStr">
        <x:is>
          <x:t xml:space="preserve">https://m.titan007.com/analy/Analysis/3041927.htm</x:t>
        </x:is>
      </x:c>
      <x:c r="U597" s="646" t="str">
        <x:f>IF(Q597="","",IF(Q597="待结算","待结算",IF(Q597="红","黑",IF(Q597="半红","半黑",IF(Q597="走","走",IF(Q597="半黑","半红","红"))))))</x:f>
        <x:v>黑</x:v>
      </x:c>
      <x:c r="V597" s="604" t="n">
        <x:f>IF(OR(Q597="",Q597="待结算"),"",IF(L597=LEFT(F597,FIND(" vs ",F597)-1),I597,G597))</x:f>
        <x:v>0.98</x:v>
      </x:c>
      <x:c r="W597" s="604" t="n">
        <x:f>IF(OR(U597="",U597="待结算"),"",IF(U597="红",V597,IF(U597="半红",V597*0.5,IF(U597="走",0,IF(U597="半黑",-0.5,-1)))))</x:f>
        <x:v>-1</x:v>
      </x:c>
      <x:c r="X597" s="604" t="inlineStr">
        <x:is>
          <x:t xml:space="preserve">3041927</x:t>
        </x:is>
      </x:c>
      <x:c r="Y597" s="604" t="inlineStr">
        <x:is>
          <x:t xml:space="preserve">V4</x:t>
        </x:is>
      </x:c>
      <x:c r="Z597" s="604" t="inlineStr">
        <x:is>
          <x:t xml:space="preserve">prior-2026-09-30-v1</x:t>
        </x:is>
      </x:c>
      <x:c r="AA597" s="604" t="inlineStr">
        <x:is>
          <x:t xml:space="preserve">C</x:t>
        </x:is>
      </x:c>
      <x:c r="AB597" s="604" t="n">
        <x:v>0.3243607903708086</x:v>
      </x:c>
      <x:c r="AC597" s="604" t="n">
        <x:v>0.2521976928549888</x:v>
      </x:c>
      <x:c r="AD597" s="604" t="n"/>
      <x:c r="AE597" s="604" t="n"/>
      <x:c r="AF597" s="604" t="n">
        <x:v>0.4234415167742027</x:v>
      </x:c>
      <x:c r="AG597" s="604" t="n">
        <x:v>0.01800892728813419</x:v>
      </x:c>
      <x:c r="AH597" s="604" t="n"/>
      <x:c r="AI597" s="604" t="n"/>
      <x:c r="AJ597" s="604" t="n">
        <x:v>0.01800892728813419</x:v>
      </x:c>
      <x:c r="AK597" s="604" t="n"/>
      <x:c r="AL597" s="604" t="n"/>
      <x:c r="AM597" s="604" t="n"/>
      <x:c r="AN597" s="604" t="inlineStr">
        <x:is>
          <x:t xml:space="preserve">EVALUATED</x:t>
        </x:is>
      </x:c>
      <x:c r="AO597" s="604" t="inlineStr">
        <x:is>
          <x:t xml:space="preserve">EDGE_BELOW_UNCERTAINTY_THRESHOLD、BUCKET_PRIOR_ONLY、INTENT_INTERPRETATION_ONLY、EXPERT_MARKET</x:t>
        </x:is>
      </x:c>
      <x:c r="AP597" s="604" t="inlineStr">
        <x:is>
          <x:t xml:space="preserve">8d3f25201d97a23d0a8f</x:t>
        </x:is>
      </x:c>
      <x:c r="AQ597" s="604" t="n">
        <x:v>0</x:v>
      </x:c>
      <x:c r="AR597" s="604" t="n"/>
      <x:c r="AS597" s="604" t="n">
        <x:v>0</x:v>
      </x:c>
      <x:c r="AT597" s="604" t="n">
        <x:v>0</x:v>
      </x:c>
      <x:c r="AU597" s="604" t="n">
        <x:v>0.98</x:v>
      </x:c>
      <x:c r="AV597" s="604" t="n">
        <x:v>0.78</x:v>
      </x:c>
      <x:c r="AW597" s="604" t="n">
        <x:v>46295.47214138889</x:v>
      </x:c>
      <x:c r="AX597" s="604" t="inlineStr">
        <x:is>
          <x:t xml:space="preserve">https://simondongxiao.github.io/odds/v4/</x:t>
        </x:is>
      </x:c>
      <x:c r="AY597" s="604" t="inlineStr">
        <x:is>
          <x:t xml:space="preserve">V4 Shadow Only；real_money=false；P(EV&gt;0)不是比赛胜率</x:t>
        </x:is>
      </x:c>
    </x:row>
    <x:row r="598" ht="22" customHeight="1">
      <x:c r="A598" s="604" t="inlineStr">
        <x:is>
          <x:t xml:space="preserve">2026-09-30</x:t>
        </x:is>
      </x:c>
      <x:c r="B598" s="604" t="inlineStr">
        <x:is>
          <x:t xml:space="preserve">2026-10-01 08:00</x:t>
        </x:is>
      </x:c>
      <x:c r="C598" s="604" t="str">
        <x:v>其他系列</x:v>
      </x:c>
      <x:c r="D598" s="604" t="inlineStr">
        <x:is>
          <x:t xml:space="preserve">联赛</x:t>
        </x:is>
      </x:c>
      <x:c r="E598" s="604" t="inlineStr">
        <x:is>
          <x:t xml:space="preserve">国际友谊</x:t>
        </x:is>
      </x:c>
      <x:c r="F598" s="604" t="inlineStr">
        <x:is>
          <x:t xml:space="preserve">阿根廷 vs 玻利维亚</x:t>
        </x:is>
      </x:c>
      <x:c r="G598" s="604" t="n">
        <x:v>0.78</x:v>
      </x:c>
      <x:c r="H598" s="604" t="n">
        <x:v>0</x:v>
      </x:c>
      <x:c r="I598" s="604" t="n">
        <x:v>1.04</x:v>
      </x:c>
      <x:c r="J598" s="604" t="inlineStr">
        <x:is>
          <x:t xml:space="preserve">0.78/0/1.04</x:t>
        </x:is>
      </x:c>
      <x:c r="K598" s="604" t="inlineStr">
        <x:is>
          <x:t xml:space="preserve">V4-C｜EV +0.0310</x:t>
        </x:is>
      </x:c>
      <x:c r="L598" s="604" t="str"/>
      <x:c r="M598" s="604" t="n">
        <x:v>0.4927236912051719</x:v>
      </x:c>
      <x:c r="N598" s="604" t="inlineStr">
        <x:is>
          <x:t xml:space="preserve">V4纸面入选-C</x:t>
        </x:is>
      </x:c>
      <x:c r="O598" s="604" t="inlineStr">
        <x:is>
          <x:t xml:space="preserve">4-0</x:t>
        </x:is>
      </x:c>
      <x:c r="P598" s="604" t="inlineStr">
        <x:is>
          <x:t xml:space="preserve">已结算</x:t>
        </x:is>
      </x:c>
      <x:c r="Q598" s="645" t="inlineStr">
        <x:is>
          <x:t xml:space="preserve">红</x:t>
        </x:is>
      </x:c>
      <x:c r="R598" s="604" t="n">
        <x:v>1.04</x:v>
      </x:c>
      <x:c r="S598" s="604" t="n">
        <x:f>IF(OR(Q598="",Q598="待结算"),"",IF(Q598="红",R598,IF(Q598="半红",R598*0.5,IF(Q598="走",0,IF(Q598="半黑",-0.5,-1)))))</x:f>
        <x:v>1.04</x:v>
      </x:c>
      <x:c r="T598" s="604" t="inlineStr">
        <x:is>
          <x:t xml:space="preserve">https://m.titan007.com/analy/Analysis/3095418.htm</x:t>
        </x:is>
      </x:c>
      <x:c r="U598" s="646" t="str">
        <x:f>IF(Q598="","",IF(Q598="待结算","待结算",IF(Q598="红","黑",IF(Q598="半红","半黑",IF(Q598="走","走",IF(Q598="半黑","半红","红"))))))</x:f>
        <x:v>黑</x:v>
      </x:c>
      <x:c r="V598" s="604" t="n">
        <x:f>IF(OR(Q598="",Q598="待结算"),"",IF(L598=LEFT(F598,FIND(" vs ",F598)-1),I598,G598))</x:f>
        <x:v>0.78</x:v>
      </x:c>
      <x:c r="W598" s="604" t="n">
        <x:f>IF(OR(U598="",U598="待结算"),"",IF(U598="红",V598,IF(U598="半红",V598*0.5,IF(U598="走",0,IF(U598="半黑",-0.5,-1)))))</x:f>
        <x:v>-1</x:v>
      </x:c>
      <x:c r="X598" s="604" t="inlineStr">
        <x:is>
          <x:t xml:space="preserve">3095418</x:t>
        </x:is>
      </x:c>
      <x:c r="Y598" s="604" t="inlineStr">
        <x:is>
          <x:t xml:space="preserve">V4</x:t>
        </x:is>
      </x:c>
      <x:c r="Z598" s="604" t="inlineStr">
        <x:is>
          <x:t xml:space="preserve">prior-2026-09-30-v1</x:t>
        </x:is>
      </x:c>
      <x:c r="AA598" s="604" t="inlineStr">
        <x:is>
          <x:t xml:space="preserve">C</x:t>
        </x:is>
      </x:c>
      <x:c r="AB598" s="604" t="n">
        <x:v>0.3289291316981123</x:v>
      </x:c>
      <x:c r="AC598" s="604" t="n">
        <x:v>0.2194573054237756</x:v>
      </x:c>
      <x:c r="AD598" s="604" t="n"/>
      <x:c r="AE598" s="604" t="n"/>
      <x:c r="AF598" s="604" t="n">
        <x:v>0.4516135628781121</x:v>
      </x:c>
      <x:c r="AG598" s="604" t="n">
        <x:v>0.03102032098323643</x:v>
      </x:c>
      <x:c r="AH598" s="604" t="n"/>
      <x:c r="AI598" s="604" t="n"/>
      <x:c r="AJ598" s="604" t="n">
        <x:v>0.03102032098323643</x:v>
      </x:c>
      <x:c r="AK598" s="604" t="n"/>
      <x:c r="AL598" s="604" t="n"/>
      <x:c r="AM598" s="604" t="n"/>
      <x:c r="AN598" s="604" t="inlineStr">
        <x:is>
          <x:t xml:space="preserve">EVALUATED</x:t>
        </x:is>
      </x:c>
      <x:c r="AO598" s="604" t="inlineStr">
        <x:is>
          <x:t xml:space="preserve">EDGE_BELOW_UNCERTAINTY_THRESHOLD、BUCKET_PRIOR_ONLY、INTENT_INTERPRETATION_ONLY、EXPERT_MARKET</x:t>
        </x:is>
      </x:c>
      <x:c r="AP598" s="604" t="inlineStr">
        <x:is>
          <x:t xml:space="preserve">6ed907aec0beb4a2c80e</x:t>
        </x:is>
      </x:c>
      <x:c r="AQ598" s="604" t="n">
        <x:v>0</x:v>
      </x:c>
      <x:c r="AR598" s="604" t="n"/>
      <x:c r="AS598" s="604" t="n">
        <x:v>0</x:v>
      </x:c>
      <x:c r="AT598" s="604" t="n">
        <x:v>0</x:v>
      </x:c>
      <x:c r="AU598" s="604" t="n">
        <x:v>0.78</x:v>
      </x:c>
      <x:c r="AV598" s="604" t="n">
        <x:v>1.04</x:v>
      </x:c>
      <x:c r="AW598" s="604" t="n">
        <x:v>46295.47214138889</x:v>
      </x:c>
      <x:c r="AX598" s="604" t="inlineStr">
        <x:is>
          <x:t xml:space="preserve">https://simondongxiao.github.io/odds/v4/</x:t>
        </x:is>
      </x:c>
      <x:c r="AY598" s="604" t="inlineStr">
        <x:is>
          <x:t xml:space="preserve">V4 Shadow Only；real_money=false；P(EV&gt;0)不是比赛胜率</x:t>
        </x:is>
      </x:c>
    </x:row>
    <x:row r="599" ht="22" customHeight="1">
      <x:c r="A599" s="604" t="inlineStr">
        <x:is>
          <x:t xml:space="preserve">2026-09-30</x:t>
        </x:is>
      </x:c>
      <x:c r="B599" s="604" t="inlineStr">
        <x:is>
          <x:t xml:space="preserve">2026-10-01 09:00</x:t>
        </x:is>
      </x:c>
      <x:c r="C599" s="604" t="str">
        <x:v>南美系列</x:v>
      </x:c>
      <x:c r="D599" s="604" t="inlineStr">
        <x:is>
          <x:t xml:space="preserve">联赛</x:t>
        </x:is>
      </x:c>
      <x:c r="E599" s="604" t="inlineStr">
        <x:is>
          <x:t xml:space="preserve">哥伦甲秋</x:t>
        </x:is>
      </x:c>
      <x:c r="F599" s="604" t="inlineStr">
        <x:is>
          <x:t xml:space="preserve">国民竞技 vs 巴兰基亚青年</x:t>
        </x:is>
      </x:c>
      <x:c r="G599" s="604" t="n">
        <x:v>0.85</x:v>
      </x:c>
      <x:c r="H599" s="604" t="n">
        <x:v>1</x:v>
      </x:c>
      <x:c r="I599" s="604" t="n">
        <x:v>1.03</x:v>
      </x:c>
      <x:c r="J599" s="604" t="inlineStr">
        <x:is>
          <x:t xml:space="preserve">0.85/1/1.03</x:t>
        </x:is>
      </x:c>
      <x:c r="K599" s="604" t="inlineStr">
        <x:is>
          <x:t xml:space="preserve">V4-B｜EV +0.0863</x:t>
        </x:is>
      </x:c>
      <x:c r="L599" s="604" t="inlineStr">
        <x:is>
          <x:t xml:space="preserve">国民竞技</x:t>
        </x:is>
      </x:c>
      <x:c r="M599" s="604" t="n">
        <x:v>0.6030855022735823</x:v>
      </x:c>
      <x:c r="N599" s="604" t="inlineStr">
        <x:is>
          <x:t xml:space="preserve">V4纸面入选-B</x:t>
        </x:is>
      </x:c>
      <x:c r="O599" s="604" t="inlineStr">
        <x:is>
          <x:t xml:space="preserve">3-1</x:t>
        </x:is>
      </x:c>
      <x:c r="P599" s="604" t="inlineStr">
        <x:is>
          <x:t xml:space="preserve">已结算</x:t>
        </x:is>
      </x:c>
      <x:c r="Q599" s="645" t="inlineStr">
        <x:is>
          <x:t xml:space="preserve">红</x:t>
        </x:is>
      </x:c>
      <x:c r="R599" s="604" t="n">
        <x:v>0.85</x:v>
      </x:c>
      <x:c r="S599" s="604" t="n">
        <x:f>IF(OR(Q599="",Q599="待结算"),"",IF(Q599="红",R599,IF(Q599="半红",R599*0.5,IF(Q599="走",0,IF(Q599="半黑",-0.5,-1)))))</x:f>
        <x:v>0.85</x:v>
      </x:c>
      <x:c r="T599" s="604" t="inlineStr">
        <x:is>
          <x:t xml:space="preserve">https://m.titan007.com/analy/Analysis/3011777.htm</x:t>
        </x:is>
      </x:c>
      <x:c r="U599" s="646" t="str">
        <x:f>IF(Q599="","",IF(Q599="待结算","待结算",IF(Q599="红","黑",IF(Q599="半红","半黑",IF(Q599="走","走",IF(Q599="半黑","半红","红"))))))</x:f>
        <x:v>黑</x:v>
      </x:c>
      <x:c r="V599" s="604" t="n">
        <x:f>IF(OR(Q599="",Q599="待结算"),"",IF(L599=LEFT(F599,FIND(" vs ",F599)-1),I599,G599))</x:f>
        <x:v>1.03</x:v>
      </x:c>
      <x:c r="W599" s="604" t="n">
        <x:f>IF(OR(U599="",U599="待结算"),"",IF(U599="红",V599,IF(U599="半红",V599*0.5,IF(U599="走",0,IF(U599="半黑",-0.5,-1)))))</x:f>
        <x:v>-1</x:v>
      </x:c>
      <x:c r="X599" s="604" t="inlineStr">
        <x:is>
          <x:t xml:space="preserve">3011777</x:t>
        </x:is>
      </x:c>
      <x:c r="Y599" s="604" t="inlineStr">
        <x:is>
          <x:t xml:space="preserve">V4</x:t>
        </x:is>
      </x:c>
      <x:c r="Z599" s="604" t="inlineStr">
        <x:is>
          <x:t xml:space="preserve">prior-2026-09-30-v1</x:t>
        </x:is>
      </x:c>
      <x:c r="AA599" s="604" t="inlineStr">
        <x:is>
          <x:t xml:space="preserve">B</x:t>
        </x:is>
      </x:c>
      <x:c r="AB599" s="604" t="n">
        <x:v>0.4497636841280356</x:v>
      </x:c>
      <x:c r="AC599" s="604" t="n"/>
      <x:c r="AD599" s="604" t="n">
        <x:v>0.2542289900313243</x:v>
      </x:c>
      <x:c r="AE599" s="604" t="n"/>
      <x:c r="AF599" s="604" t="n">
        <x:v>0.2960073258406402</x:v>
      </x:c>
      <x:c r="AG599" s="604" t="n">
        <x:v>0.08629180566819</x:v>
      </x:c>
      <x:c r="AH599" s="604" t="n"/>
      <x:c r="AI599" s="604" t="n"/>
      <x:c r="AJ599" s="604" t="n">
        <x:v>0.08629180566819</x:v>
      </x:c>
      <x:c r="AK599" s="604" t="n"/>
      <x:c r="AL599" s="604" t="n"/>
      <x:c r="AM599" s="604" t="n"/>
      <x:c r="AN599" s="604" t="inlineStr">
        <x:is>
          <x:t xml:space="preserve">EVALUATED</x:t>
        </x:is>
      </x:c>
      <x:c r="AO599" s="604" t="inlineStr">
        <x:is>
          <x:t xml:space="preserve">GIVING_VALIDATED_EDGE、BUCKET_PRIOR_ONLY、INTENT_INTERPRETATION_ONLY、EXPERT_MARKET</x:t>
        </x:is>
      </x:c>
      <x:c r="AP599" s="604" t="inlineStr">
        <x:is>
          <x:t xml:space="preserve">f3ac758b8381b7c5aafb</x:t>
        </x:is>
      </x:c>
      <x:c r="AQ599" s="604" t="n">
        <x:v>-1</x:v>
      </x:c>
      <x:c r="AR599" s="604" t="n">
        <x:v>0.85</x:v>
      </x:c>
      <x:c r="AS599" s="604" t="n">
        <x:v>1</x:v>
      </x:c>
      <x:c r="AT599" s="604" t="n">
        <x:v>-1</x:v>
      </x:c>
      <x:c r="AU599" s="604" t="n">
        <x:v>0.85</x:v>
      </x:c>
      <x:c r="AV599" s="604" t="n">
        <x:v>1.03</x:v>
      </x:c>
      <x:c r="AW599" s="604" t="n">
        <x:v>46295.47214138889</x:v>
      </x:c>
      <x:c r="AX599" s="604" t="inlineStr">
        <x:is>
          <x:t xml:space="preserve">https://simondongxiao.github.io/odds/v4/</x:t>
        </x:is>
      </x:c>
      <x:c r="AY599" s="604" t="inlineStr">
        <x:is>
          <x:t xml:space="preserve">V4 Shadow Only；real_money=false；P(EV&gt;0)不是比赛胜率</x:t>
        </x:is>
      </x:c>
    </x:row>
    <x:row r="600" ht="22" customHeight="1">
      <x:c r="A600" s="604" t="inlineStr">
        <x:is>
          <x:t xml:space="preserve">2026-09-30</x:t>
        </x:is>
      </x:c>
      <x:c r="B600" s="604" t="inlineStr">
        <x:is>
          <x:t xml:space="preserve">2026-10-01 10:00</x:t>
        </x:is>
      </x:c>
      <x:c r="C600" s="604" t="str">
        <x:v>北美系列</x:v>
      </x:c>
      <x:c r="D600" s="604" t="inlineStr">
        <x:is>
          <x:t xml:space="preserve">联赛</x:t>
        </x:is>
      </x:c>
      <x:c r="E600" s="604" t="inlineStr">
        <x:is>
          <x:t xml:space="preserve">萨尔超春</x:t>
        </x:is>
      </x:c>
      <x:c r="F600" s="604" t="inlineStr">
        <x:is>
          <x:t xml:space="preserve">CD法斯 vs 梅塔帕</x:t>
        </x:is>
      </x:c>
      <x:c r="G600" s="604" t="n">
        <x:v>1.01</x:v>
      </x:c>
      <x:c r="H600" s="604" t="n">
        <x:v>0</x:v>
      </x:c>
      <x:c r="I600" s="604" t="n">
        <x:v>0.6899999999999999</x:v>
      </x:c>
      <x:c r="J600" s="604" t="inlineStr">
        <x:is>
          <x:t xml:space="preserve">1.01/0/0.69</x:t>
        </x:is>
      </x:c>
      <x:c r="K600" s="604" t="inlineStr">
        <x:is>
          <x:t xml:space="preserve">V4-C｜EV +0.0242</x:t>
        </x:is>
      </x:c>
      <x:c r="L600" s="604" t="str"/>
      <x:c r="M600" s="604" t="n">
        <x:v>0.5095416260631525</x:v>
      </x:c>
      <x:c r="N600" s="604" t="inlineStr">
        <x:is>
          <x:t xml:space="preserve">V4纸面入选-C</x:t>
        </x:is>
      </x:c>
      <x:c r="O600" s="604" t="inlineStr">
        <x:is>
          <x:t xml:space="preserve">0-0</x:t>
        </x:is>
      </x:c>
      <x:c r="P600" s="604" t="inlineStr">
        <x:is>
          <x:t xml:space="preserve">已结算</x:t>
        </x:is>
      </x:c>
      <x:c r="Q600" s="647" t="inlineStr">
        <x:is>
          <x:t xml:space="preserve">走</x:t>
        </x:is>
      </x:c>
      <x:c r="R600" s="604" t="n">
        <x:v>0.6899999999999999</x:v>
      </x:c>
      <x:c r="S600" s="604" t="n">
        <x:f>IF(OR(Q600="",Q600="待结算"),"",IF(Q600="红",R600,IF(Q600="半红",R600*0.5,IF(Q600="走",0,IF(Q600="半黑",-0.5,-1)))))</x:f>
        <x:v>0</x:v>
      </x:c>
      <x:c r="T600" s="604" t="inlineStr">
        <x:is>
          <x:t xml:space="preserve">https://m.titan007.com/analy/Analysis/3041928.htm</x:t>
        </x:is>
      </x:c>
      <x:c r="U600" s="647" t="str">
        <x:f>IF(Q600="","",IF(Q600="待结算","待结算",IF(Q600="红","黑",IF(Q600="半红","半黑",IF(Q600="走","走",IF(Q600="半黑","半红","红"))))))</x:f>
        <x:v>走</x:v>
      </x:c>
      <x:c r="V600" s="604" t="n">
        <x:f>IF(OR(Q600="",Q600="待结算"),"",IF(L600=LEFT(F600,FIND(" vs ",F600)-1),I600,G600))</x:f>
        <x:v>1.01</x:v>
      </x:c>
      <x:c r="W600" s="604" t="n">
        <x:f>IF(OR(U600="",U600="待结算"),"",IF(U600="红",V600,IF(U600="半红",V600*0.5,IF(U600="走",0,IF(U600="半黑",-0.5,-1)))))</x:f>
        <x:v>0</x:v>
      </x:c>
      <x:c r="X600" s="604" t="inlineStr">
        <x:is>
          <x:t xml:space="preserve">3041928</x:t>
        </x:is>
      </x:c>
      <x:c r="Y600" s="604" t="inlineStr">
        <x:is>
          <x:t xml:space="preserve">V4</x:t>
        </x:is>
      </x:c>
      <x:c r="Z600" s="604" t="inlineStr">
        <x:is>
          <x:t xml:space="preserve">prior-2026-09-30-v1</x:t>
        </x:is>
      </x:c>
      <x:c r="AA600" s="604" t="inlineStr">
        <x:is>
          <x:t xml:space="preserve">C</x:t>
        </x:is>
      </x:c>
      <x:c r="AB600" s="604" t="n">
        <x:v>0.5095416260631525</x:v>
      </x:c>
      <x:c r="AC600" s="604" t="n"/>
      <x:c r="AD600" s="604" t="n"/>
      <x:c r="AE600" s="604" t="n"/>
      <x:c r="AF600" s="604" t="n">
        <x:v>0.4904583739368475</x:v>
      </x:c>
      <x:c r="AG600" s="604" t="n">
        <x:v>0.02417866838693644</x:v>
      </x:c>
      <x:c r="AH600" s="604" t="n"/>
      <x:c r="AI600" s="604" t="n"/>
      <x:c r="AJ600" s="604" t="n">
        <x:v>0.02417866838693644</x:v>
      </x:c>
      <x:c r="AK600" s="604" t="n"/>
      <x:c r="AL600" s="604" t="n"/>
      <x:c r="AM600" s="604" t="n"/>
      <x:c r="AN600" s="604" t="inlineStr">
        <x:is>
          <x:t xml:space="preserve">EVALUATED</x:t>
        </x:is>
      </x:c>
      <x:c r="AO600" s="604" t="inlineStr">
        <x:is>
          <x:t xml:space="preserve">EDGE_BELOW_UNCERTAINTY_THRESHOLD、BUCKET_PRIOR_ONLY、INTENT_INTERPRETATION_ONLY、EXPERT_MARKET</x:t>
        </x:is>
      </x:c>
      <x:c r="AP600" s="604" t="inlineStr">
        <x:is>
          <x:t xml:space="preserve">99425cc741cf6c8a9fab</x:t>
        </x:is>
      </x:c>
      <x:c r="AQ600" s="604" t="n">
        <x:v>0</x:v>
      </x:c>
      <x:c r="AR600" s="604" t="n"/>
      <x:c r="AS600" s="604" t="n">
        <x:v>0</x:v>
      </x:c>
      <x:c r="AT600" s="604" t="n">
        <x:v>0</x:v>
      </x:c>
      <x:c r="AU600" s="604" t="n">
        <x:v>1.01</x:v>
      </x:c>
      <x:c r="AV600" s="604" t="n">
        <x:v>0.6899999999999999</x:v>
      </x:c>
      <x:c r="AW600" s="604" t="n">
        <x:v>46295.47214138889</x:v>
      </x:c>
      <x:c r="AX600" s="604" t="inlineStr">
        <x:is>
          <x:t xml:space="preserve">https://simondongxiao.github.io/odds/v4/</x:t>
        </x:is>
      </x:c>
      <x:c r="AY600" s="604" t="inlineStr">
        <x:is>
          <x:t xml:space="preserve">V4 Shadow Only；real_money=false；P(EV&gt;0)不是比赛胜率</x:t>
        </x:is>
      </x:c>
    </x:row>
    <x:row r="601" ht="22" customHeight="1">
      <x:c r="A601" s="604" t="inlineStr">
        <x:is>
          <x:t xml:space="preserve">2026-09-30</x:t>
        </x:is>
      </x:c>
      <x:c r="B601" s="604" t="inlineStr">
        <x:is>
          <x:t xml:space="preserve">2026-10-01 10:00</x:t>
        </x:is>
      </x:c>
      <x:c r="C601" s="604" t="str">
        <x:v>北美系列</x:v>
      </x:c>
      <x:c r="D601" s="604" t="inlineStr">
        <x:is>
          <x:t xml:space="preserve">联赛</x:t>
        </x:is>
      </x:c>
      <x:c r="E601" s="604" t="inlineStr">
        <x:is>
          <x:t xml:space="preserve">美冠联</x:t>
        </x:is>
      </x:c>
      <x:c r="F601" s="604" t="inlineStr">
        <x:is>
          <x:t xml:space="preserve">萨克拉门托 vs 拉斯维加斯之光</x:t>
        </x:is>
      </x:c>
      <x:c r="G601" s="604" t="n">
        <x:v>0.85</x:v>
      </x:c>
      <x:c r="H601" s="604" t="n">
        <x:v>0.75</x:v>
      </x:c>
      <x:c r="I601" s="604" t="n">
        <x:v>0.97</x:v>
      </x:c>
      <x:c r="J601" s="604" t="inlineStr">
        <x:is>
          <x:t xml:space="preserve">0.85/0.75/0.97</x:t>
        </x:is>
      </x:c>
      <x:c r="K601" s="604" t="inlineStr">
        <x:is>
          <x:t xml:space="preserve">V4-C｜EV +0.0662</x:t>
        </x:is>
      </x:c>
      <x:c r="L601" s="604" t="inlineStr">
        <x:is>
          <x:t xml:space="preserve">萨克拉门托</x:t>
        </x:is>
      </x:c>
      <x:c r="M601" s="604" t="n">
        <x:v>0.581611502521151</x:v>
      </x:c>
      <x:c r="N601" s="604" t="inlineStr">
        <x:is>
          <x:t xml:space="preserve">V4纸面入选-C</x:t>
        </x:is>
      </x:c>
      <x:c r="O601" s="604" t="inlineStr">
        <x:is>
          <x:t xml:space="preserve">3-2</x:t>
        </x:is>
      </x:c>
      <x:c r="P601" s="604" t="inlineStr">
        <x:is>
          <x:t xml:space="preserve">已结算</x:t>
        </x:is>
      </x:c>
      <x:c r="Q601" s="649" t="inlineStr">
        <x:is>
          <x:t xml:space="preserve">半红</x:t>
        </x:is>
      </x:c>
      <x:c r="R601" s="604" t="n">
        <x:v>0.85</x:v>
      </x:c>
      <x:c r="S601" s="604" t="n">
        <x:f>IF(OR(Q601="",Q601="待结算"),"",IF(Q601="红",R601,IF(Q601="半红",R601*0.5,IF(Q601="走",0,IF(Q601="半黑",-0.5,-1)))))</x:f>
        <x:v>0.425</x:v>
      </x:c>
      <x:c r="T601" s="604" t="inlineStr">
        <x:is>
          <x:t xml:space="preserve">https://m.titan007.com/analy/Analysis/2942647.htm</x:t>
        </x:is>
      </x:c>
      <x:c r="U601" s="648" t="str">
        <x:f>IF(Q601="","",IF(Q601="待结算","待结算",IF(Q601="红","黑",IF(Q601="半红","半黑",IF(Q601="走","走",IF(Q601="半黑","半红","红"))))))</x:f>
        <x:v>半黑</x:v>
      </x:c>
      <x:c r="V601" s="604" t="n">
        <x:f>IF(OR(Q601="",Q601="待结算"),"",IF(L601=LEFT(F601,FIND(" vs ",F601)-1),I601,G601))</x:f>
        <x:v>0.97</x:v>
      </x:c>
      <x:c r="W601" s="604" t="n">
        <x:f>IF(OR(U601="",U601="待结算"),"",IF(U601="红",V601,IF(U601="半红",V601*0.5,IF(U601="走",0,IF(U601="半黑",-0.5,-1)))))</x:f>
        <x:v>-0.5</x:v>
      </x:c>
      <x:c r="X601" s="604" t="inlineStr">
        <x:is>
          <x:t xml:space="preserve">2942647</x:t>
        </x:is>
      </x:c>
      <x:c r="Y601" s="604" t="inlineStr">
        <x:is>
          <x:t xml:space="preserve">V4</x:t>
        </x:is>
      </x:c>
      <x:c r="Z601" s="604" t="inlineStr">
        <x:is>
          <x:t xml:space="preserve">prior-2026-09-30-v1</x:t>
        </x:is>
      </x:c>
      <x:c r="AA601" s="604" t="inlineStr">
        <x:is>
          <x:t xml:space="preserve">C</x:t>
        </x:is>
      </x:c>
      <x:c r="AB601" s="604" t="n">
        <x:v>0.3787924122747143</x:v>
      </x:c>
      <x:c r="AC601" s="604" t="n">
        <x:v>0.2564714405821342</x:v>
      </x:c>
      <x:c r="AD601" s="604" t="n"/>
      <x:c r="AE601" s="604" t="n"/>
      <x:c r="AF601" s="604" t="n">
        <x:v>0.3647361471431516</x:v>
      </x:c>
      <x:c r="AG601" s="604" t="n">
        <x:v>0.06623776553776262</x:v>
      </x:c>
      <x:c r="AH601" s="604" t="n"/>
      <x:c r="AI601" s="604" t="n"/>
      <x:c r="AJ601" s="604" t="n">
        <x:v>0.06623776553776262</x:v>
      </x:c>
      <x:c r="AK601" s="604" t="n"/>
      <x:c r="AL601" s="604" t="n"/>
      <x:c r="AM601" s="604" t="n"/>
      <x:c r="AN601" s="604" t="inlineStr">
        <x:is>
          <x:t xml:space="preserve">EVALUATED</x:t>
        </x:is>
      </x:c>
      <x:c r="AO601" s="604" t="inlineStr">
        <x:is>
          <x:t xml:space="preserve">GIVING_VALIDATED_EDGE、BUCKET_PRIOR_ONLY、INTENT_INTERPRETATION_ONLY、EXPERT_MARKET</x:t>
        </x:is>
      </x:c>
      <x:c r="AP601" s="604" t="inlineStr">
        <x:is>
          <x:t xml:space="preserve">b2d124bc3e988c399a58</x:t>
        </x:is>
      </x:c>
      <x:c r="AQ601" s="604" t="n">
        <x:v>-0.75</x:v>
      </x:c>
      <x:c r="AR601" s="604" t="n">
        <x:v>0.85</x:v>
      </x:c>
      <x:c r="AS601" s="604" t="n">
        <x:v>0.75</x:v>
      </x:c>
      <x:c r="AT601" s="604" t="n">
        <x:v>-0.75</x:v>
      </x:c>
      <x:c r="AU601" s="604" t="n">
        <x:v>0.85</x:v>
      </x:c>
      <x:c r="AV601" s="604" t="n">
        <x:v>0.97</x:v>
      </x:c>
      <x:c r="AW601" s="604" t="n">
        <x:v>46295.47214138889</x:v>
      </x:c>
      <x:c r="AX601" s="604" t="inlineStr">
        <x:is>
          <x:t xml:space="preserve">https://simondongxiao.github.io/odds/v4/</x:t>
        </x:is>
      </x:c>
      <x:c r="AY601" s="604" t="inlineStr">
        <x:is>
          <x:t xml:space="preserve">V4 Shadow Only；real_money=false；P(EV&gt;0)不是比赛胜率</x:t>
        </x:is>
      </x:c>
    </x:row>
    <x:row r="602" ht="22" customHeight="1">
      <x:c r="A602" s="604" t="inlineStr">
        <x:is>
          <x:t xml:space="preserve">2026-10-01</x:t>
        </x:is>
      </x:c>
      <x:c r="B602" s="604" t="inlineStr">
        <x:is>
          <x:t xml:space="preserve">2026-10-01 17:30</x:t>
        </x:is>
      </x:c>
      <x:c r="C602" s="604" t="str">
        <x:v>其他系列</x:v>
      </x:c>
      <x:c r="D602" s="604" t="inlineStr">
        <x:is>
          <x:t xml:space="preserve">联赛</x:t>
        </x:is>
      </x:c>
      <x:c r="E602" s="604" t="inlineStr">
        <x:is>
          <x:t xml:space="preserve">国际友谊</x:t>
        </x:is>
      </x:c>
      <x:c r="F602" s="604" t="inlineStr">
        <x:is>
          <x:t xml:space="preserve">波兰U19 vs 哈萨克斯坦U19</x:t>
        </x:is>
      </x:c>
      <x:c r="G602" s="604" t="n">
        <x:v>0.78</x:v>
      </x:c>
      <x:c r="H602" s="604" t="n">
        <x:v>0</x:v>
      </x:c>
      <x:c r="I602" s="604" t="n">
        <x:v>0.92</x:v>
      </x:c>
      <x:c r="J602" s="604" t="inlineStr">
        <x:is>
          <x:t xml:space="preserve">0.78/0/0.92</x:t>
        </x:is>
      </x:c>
      <x:c r="K602" s="604" t="inlineStr">
        <x:is>
          <x:t xml:space="preserve">V4-C｜EV +0.0135</x:t>
        </x:is>
      </x:c>
      <x:c r="L602" s="604" t="str"/>
      <x:c r="M602" s="604" t="n">
        <x:v>0.5719564866166507</x:v>
      </x:c>
      <x:c r="N602" s="604" t="inlineStr">
        <x:is>
          <x:t xml:space="preserve">V4纸面入选-C</x:t>
        </x:is>
      </x:c>
      <x:c r="O602" s="604" t="inlineStr">
        <x:is>
          <x:t xml:space="preserve">3-0</x:t>
        </x:is>
      </x:c>
      <x:c r="P602" s="604" t="inlineStr">
        <x:is>
          <x:t xml:space="preserve">已结算</x:t>
        </x:is>
      </x:c>
      <x:c r="Q602" s="645" t="inlineStr">
        <x:is>
          <x:t xml:space="preserve">红</x:t>
        </x:is>
      </x:c>
      <x:c r="R602" s="604" t="n">
        <x:v>0.92</x:v>
      </x:c>
      <x:c r="S602" s="604" t="n">
        <x:f>IF(OR(Q602="",Q602="待结算"),"",IF(Q602="红",R602,IF(Q602="半红",R602*0.5,IF(Q602="走",0,IF(Q602="半黑",-0.5,-1)))))</x:f>
        <x:v>0.92</x:v>
      </x:c>
      <x:c r="T602" s="604" t="inlineStr">
        <x:is>
          <x:t xml:space="preserve">https://m.titan007.com/analy/Analysis/3095233.htm</x:t>
        </x:is>
      </x:c>
      <x:c r="U602" s="646" t="str">
        <x:f>IF(Q602="","",IF(Q602="待结算","待结算",IF(Q602="红","黑",IF(Q602="半红","半黑",IF(Q602="走","走",IF(Q602="半黑","半红","红"))))))</x:f>
        <x:v>黑</x:v>
      </x:c>
      <x:c r="V602" s="604" t="n">
        <x:f>IF(OR(Q602="",Q602="待结算"),"",IF(L602=LEFT(F602,FIND(" vs ",F602)-1),I602,G602))</x:f>
        <x:v>0.78</x:v>
      </x:c>
      <x:c r="W602" s="604" t="n">
        <x:f>IF(OR(U602="",U602="待结算"),"",IF(U602="红",V602,IF(U602="半红",V602*0.5,IF(U602="走",0,IF(U602="半黑",-0.5,-1)))))</x:f>
        <x:v>-1</x:v>
      </x:c>
      <x:c r="X602" s="604" t="inlineStr">
        <x:is>
          <x:t xml:space="preserve">3095233</x:t>
        </x:is>
      </x:c>
      <x:c r="Y602" s="604" t="inlineStr">
        <x:is>
          <x:t xml:space="preserve">V4</x:t>
        </x:is>
      </x:c>
      <x:c r="Z602" s="604" t="inlineStr">
        <x:is>
          <x:t xml:space="preserve">prior-2026-10-01-v1</x:t>
        </x:is>
      </x:c>
      <x:c r="AA602" s="604" t="inlineStr">
        <x:is>
          <x:t xml:space="preserve">C</x:t>
        </x:is>
      </x:c>
      <x:c r="AB602" s="604" t="n">
        <x:v>0.4257843217348892</x:v>
      </x:c>
      <x:c r="AC602" s="604" t="n"/>
      <x:c r="AD602" s="604" t="n">
        <x:v>0.2555651842440458</x:v>
      </x:c>
      <x:c r="AE602" s="604" t="n"/>
      <x:c r="AF602" s="604" t="n">
        <x:v>0.3186504940210649</x:v>
      </x:c>
      <x:c r="AG602" s="604" t="n">
        <x:v>0.01346127693214871</x:v>
      </x:c>
      <x:c r="AH602" s="604" t="n"/>
      <x:c r="AI602" s="604" t="n"/>
      <x:c r="AJ602" s="604" t="n">
        <x:v>0.01346127693214871</x:v>
      </x:c>
      <x:c r="AK602" s="604" t="n"/>
      <x:c r="AL602" s="604" t="n"/>
      <x:c r="AM602" s="604" t="n"/>
      <x:c r="AN602" s="604" t="inlineStr">
        <x:is>
          <x:t xml:space="preserve">EVALUATED</x:t>
        </x:is>
      </x:c>
      <x:c r="AO602" s="604" t="inlineStr">
        <x:is>
          <x:t xml:space="preserve">EDGE_BELOW_UNCERTAINTY_THRESHOLD、BUCKET_PRIOR_ONLY、INTENT_INTERPRETATION_ONLY、EXPERT_MARKET</x:t>
        </x:is>
      </x:c>
      <x:c r="AP602" s="604" t="inlineStr">
        <x:is>
          <x:t xml:space="preserve">4c227314478db7077d88</x:t>
        </x:is>
      </x:c>
      <x:c r="AQ602" s="604" t="n">
        <x:v>0</x:v>
      </x:c>
      <x:c r="AR602" s="604" t="n"/>
      <x:c r="AS602" s="604" t="n">
        <x:v>0</x:v>
      </x:c>
      <x:c r="AT602" s="604" t="n">
        <x:v>0</x:v>
      </x:c>
      <x:c r="AU602" s="604" t="n">
        <x:v>0.78</x:v>
      </x:c>
      <x:c r="AV602" s="604" t="n">
        <x:v>0.92</x:v>
      </x:c>
      <x:c r="AW602" s="604" t="n">
        <x:v>46296.03418765046</x:v>
      </x:c>
      <x:c r="AX602" s="604" t="inlineStr">
        <x:is>
          <x:t xml:space="preserve">https://simondongxiao.github.io/odds/v4/</x:t>
        </x:is>
      </x:c>
      <x:c r="AY602" s="604" t="inlineStr">
        <x:is>
          <x:t xml:space="preserve">V4 Shadow Only；real_money=false；P(EV&gt;0)不是比赛胜率</x:t>
        </x:is>
      </x:c>
    </x:row>
    <x:row r="603" ht="22" customHeight="1">
      <x:c r="A603" s="604" t="inlineStr">
        <x:is>
          <x:t xml:space="preserve">2026-10-01</x:t>
        </x:is>
      </x:c>
      <x:c r="B603" s="604" t="inlineStr">
        <x:is>
          <x:t xml:space="preserve">2026-10-01 18:45</x:t>
        </x:is>
      </x:c>
      <x:c r="C603" s="604" t="str">
        <x:v>其他系列</x:v>
      </x:c>
      <x:c r="D603" s="604" t="inlineStr">
        <x:is>
          <x:t xml:space="preserve">联赛</x:t>
        </x:is>
      </x:c>
      <x:c r="E603" s="604" t="inlineStr">
        <x:is>
          <x:t xml:space="preserve">国际友谊</x:t>
        </x:is>
      </x:c>
      <x:c r="F603" s="604" t="inlineStr">
        <x:is>
          <x:t xml:space="preserve">法国U19 vs 土耳其U19</x:t>
        </x:is>
      </x:c>
      <x:c r="G603" s="604" t="n">
        <x:v>0.86</x:v>
      </x:c>
      <x:c r="H603" s="604" t="n">
        <x:v>0</x:v>
      </x:c>
      <x:c r="I603" s="604" t="n">
        <x:v>0.84</x:v>
      </x:c>
      <x:c r="J603" s="604" t="inlineStr">
        <x:is>
          <x:t xml:space="preserve">0.86/0/0.84</x:t>
        </x:is>
      </x:c>
      <x:c r="K603" s="604" t="inlineStr">
        <x:is>
          <x:t xml:space="preserve">V4-C｜EV +0.0606</x:t>
        </x:is>
      </x:c>
      <x:c r="L603" s="604" t="str"/>
      <x:c r="M603" s="604" t="n">
        <x:v>0.5746579516232567</x:v>
      </x:c>
      <x:c r="N603" s="604" t="inlineStr">
        <x:is>
          <x:t xml:space="preserve">V4纸面入选-C</x:t>
        </x:is>
      </x:c>
      <x:c r="O603" s="604" t="inlineStr">
        <x:is>
          <x:t xml:space="preserve">2-1</x:t>
        </x:is>
      </x:c>
      <x:c r="P603" s="604" t="inlineStr">
        <x:is>
          <x:t xml:space="preserve">已结算</x:t>
        </x:is>
      </x:c>
      <x:c r="Q603" s="645" t="inlineStr">
        <x:is>
          <x:t xml:space="preserve">红</x:t>
        </x:is>
      </x:c>
      <x:c r="R603" s="604" t="n">
        <x:v>0.84</x:v>
      </x:c>
      <x:c r="S603" s="604" t="n">
        <x:f>IF(OR(Q603="",Q603="待结算"),"",IF(Q603="红",R603,IF(Q603="半红",R603*0.5,IF(Q603="走",0,IF(Q603="半黑",-0.5,-1)))))</x:f>
        <x:v>0.84</x:v>
      </x:c>
      <x:c r="T603" s="604" t="inlineStr">
        <x:is>
          <x:t xml:space="preserve">https://m.titan007.com/analy/Analysis/3095234.htm</x:t>
        </x:is>
      </x:c>
      <x:c r="U603" s="646" t="str">
        <x:f>IF(Q603="","",IF(Q603="待结算","待结算",IF(Q603="红","黑",IF(Q603="半红","半黑",IF(Q603="走","走",IF(Q603="半黑","半红","红"))))))</x:f>
        <x:v>黑</x:v>
      </x:c>
      <x:c r="V603" s="604" t="n">
        <x:f>IF(OR(Q603="",Q603="待结算"),"",IF(L603=LEFT(F603,FIND(" vs ",F603)-1),I603,G603))</x:f>
        <x:v>0.86</x:v>
      </x:c>
      <x:c r="W603" s="604" t="n">
        <x:f>IF(OR(U603="",U603="待结算"),"",IF(U603="红",V603,IF(U603="半红",V603*0.5,IF(U603="走",0,IF(U603="半黑",-0.5,-1)))))</x:f>
        <x:v>-1</x:v>
      </x:c>
      <x:c r="X603" s="604" t="inlineStr">
        <x:is>
          <x:t xml:space="preserve">3095234</x:t>
        </x:is>
      </x:c>
      <x:c r="Y603" s="604" t="inlineStr">
        <x:is>
          <x:t xml:space="preserve">V4</x:t>
        </x:is>
      </x:c>
      <x:c r="Z603" s="604" t="inlineStr">
        <x:is>
          <x:t xml:space="preserve">prior-2026-10-01-v1</x:t>
        </x:is>
      </x:c>
      <x:c r="AA603" s="604" t="inlineStr">
        <x:is>
          <x:t xml:space="preserve">C</x:t>
        </x:is>
      </x:c>
      <x:c r="AB603" s="604" t="n">
        <x:v>0.5060497504403438</x:v>
      </x:c>
      <x:c r="AC603" s="604" t="n"/>
      <x:c r="AD603" s="604" t="n"/>
      <x:c r="AE603" s="604" t="n">
        <x:v>0.2387792633482679</x:v>
      </x:c>
      <x:c r="AF603" s="604" t="n">
        <x:v>0.2551709862113882</x:v>
      </x:c>
      <x:c r="AG603" s="604" t="n">
        <x:v>0.06064216749317347</x:v>
      </x:c>
      <x:c r="AH603" s="604" t="n"/>
      <x:c r="AI603" s="604" t="n"/>
      <x:c r="AJ603" s="604" t="n">
        <x:v>0.06064216749317347</x:v>
      </x:c>
      <x:c r="AK603" s="604" t="n"/>
      <x:c r="AL603" s="604" t="n"/>
      <x:c r="AM603" s="604" t="n"/>
      <x:c r="AN603" s="604" t="inlineStr">
        <x:is>
          <x:t xml:space="preserve">EVALUATED</x:t>
        </x:is>
      </x:c>
      <x:c r="AO603" s="604" t="inlineStr">
        <x:is>
          <x:t xml:space="preserve">EDGE_BELOW_UNCERTAINTY_THRESHOLD、BUCKET_PRIOR_ONLY、INTENT_INTERPRETATION_ONLY、EXPERT_MARKET</x:t>
        </x:is>
      </x:c>
      <x:c r="AP603" s="604" t="inlineStr">
        <x:is>
          <x:t xml:space="preserve">d0998e902db9e4c3c52d</x:t>
        </x:is>
      </x:c>
      <x:c r="AQ603" s="604" t="n">
        <x:v>0</x:v>
      </x:c>
      <x:c r="AR603" s="604" t="n"/>
      <x:c r="AS603" s="604" t="n">
        <x:v>0</x:v>
      </x:c>
      <x:c r="AT603" s="604" t="n">
        <x:v>0</x:v>
      </x:c>
      <x:c r="AU603" s="604" t="n">
        <x:v>0.86</x:v>
      </x:c>
      <x:c r="AV603" s="604" t="n">
        <x:v>0.84</x:v>
      </x:c>
      <x:c r="AW603" s="604" t="n">
        <x:v>46296.03418765046</x:v>
      </x:c>
      <x:c r="AX603" s="604" t="inlineStr">
        <x:is>
          <x:t xml:space="preserve">https://simondongxiao.github.io/odds/v4/</x:t>
        </x:is>
      </x:c>
      <x:c r="AY603" s="604" t="inlineStr">
        <x:is>
          <x:t xml:space="preserve">V4 Shadow Only；real_money=false；P(EV&gt;0)不是比赛胜率</x:t>
        </x:is>
      </x:c>
    </x:row>
    <x:row r="604" ht="22" customHeight="1">
      <x:c r="A604" s="604" t="inlineStr">
        <x:is>
          <x:t xml:space="preserve">2026-10-01</x:t>
        </x:is>
      </x:c>
      <x:c r="B604" s="604" t="inlineStr">
        <x:is>
          <x:t xml:space="preserve">2026-10-01 20:30</x:t>
        </x:is>
      </x:c>
      <x:c r="C604" s="604" t="str">
        <x:v>其他系列</x:v>
      </x:c>
      <x:c r="D604" s="604" t="inlineStr">
        <x:is>
          <x:t xml:space="preserve">联赛</x:t>
        </x:is>
      </x:c>
      <x:c r="E604" s="604" t="inlineStr">
        <x:is>
          <x:t xml:space="preserve">埃及甲</x:t>
        </x:is>
      </x:c>
      <x:c r="F604" s="604" t="inlineStr">
        <x:is>
          <x:t xml:space="preserve">达雅洛特 vs 伊斯梅利</x:t>
        </x:is>
      </x:c>
      <x:c r="G604" s="604" t="n">
        <x:v>0.91</x:v>
      </x:c>
      <x:c r="H604" s="604" t="n">
        <x:v>0</x:v>
      </x:c>
      <x:c r="I604" s="604" t="n">
        <x:v>0.79</x:v>
      </x:c>
      <x:c r="J604" s="604" t="inlineStr">
        <x:is>
          <x:t xml:space="preserve">0.91/0/0.79</x:t>
        </x:is>
      </x:c>
      <x:c r="K604" s="604" t="inlineStr">
        <x:is>
          <x:t xml:space="preserve">V4-C｜EV +0.0490</x:t>
        </x:is>
      </x:c>
      <x:c r="L604" s="604" t="str"/>
      <x:c r="M604" s="604" t="n">
        <x:v>0.5860188460035235</x:v>
      </x:c>
      <x:c r="N604" s="604" t="inlineStr">
        <x:is>
          <x:t xml:space="preserve">V4纸面入选-C</x:t>
        </x:is>
      </x:c>
      <x:c r="O604" s="604" t="inlineStr">
        <x:is>
          <x:t xml:space="preserve">2-2</x:t>
        </x:is>
      </x:c>
      <x:c r="P604" s="604" t="inlineStr">
        <x:is>
          <x:t xml:space="preserve">已结算</x:t>
        </x:is>
      </x:c>
      <x:c r="Q604" s="647" t="inlineStr">
        <x:is>
          <x:t xml:space="preserve">走</x:t>
        </x:is>
      </x:c>
      <x:c r="R604" s="604" t="n">
        <x:v>0.79</x:v>
      </x:c>
      <x:c r="S604" s="604" t="n">
        <x:f>IF(OR(Q604="",Q604="待结算"),"",IF(Q604="红",R604,IF(Q604="半红",R604*0.5,IF(Q604="走",0,IF(Q604="半黑",-0.5,-1)))))</x:f>
        <x:v>0</x:v>
      </x:c>
      <x:c r="T604" s="604" t="inlineStr">
        <x:is>
          <x:t xml:space="preserve">https://m.titan007.com/analy/Analysis/3095213.htm</x:t>
        </x:is>
      </x:c>
      <x:c r="U604" s="647" t="str">
        <x:f>IF(Q604="","",IF(Q604="待结算","待结算",IF(Q604="红","黑",IF(Q604="半红","半黑",IF(Q604="走","走",IF(Q604="半黑","半红","红"))))))</x:f>
        <x:v>走</x:v>
      </x:c>
      <x:c r="V604" s="604" t="n">
        <x:f>IF(OR(Q604="",Q604="待结算"),"",IF(L604=LEFT(F604,FIND(" vs ",F604)-1),I604,G604))</x:f>
        <x:v>0.91</x:v>
      </x:c>
      <x:c r="W604" s="604" t="n">
        <x:f>IF(OR(U604="",U604="待结算"),"",IF(U604="红",V604,IF(U604="半红",V604*0.5,IF(U604="走",0,IF(U604="半黑",-0.5,-1)))))</x:f>
        <x:v>0</x:v>
      </x:c>
      <x:c r="X604" s="604" t="inlineStr">
        <x:is>
          <x:t xml:space="preserve">3095213</x:t>
        </x:is>
      </x:c>
      <x:c r="Y604" s="604" t="inlineStr">
        <x:is>
          <x:t xml:space="preserve">V4</x:t>
        </x:is>
      </x:c>
      <x:c r="Z604" s="604" t="inlineStr">
        <x:is>
          <x:t xml:space="preserve">prior-2026-10-01-v1</x:t>
        </x:is>
      </x:c>
      <x:c r="AA604" s="604" t="inlineStr">
        <x:is>
          <x:t xml:space="preserve">C</x:t>
        </x:is>
      </x:c>
      <x:c r="AB604" s="604" t="n">
        <x:v>0.5860188460035235</x:v>
      </x:c>
      <x:c r="AC604" s="604" t="n"/>
      <x:c r="AD604" s="604" t="n"/>
      <x:c r="AE604" s="604" t="n"/>
      <x:c r="AF604" s="604" t="n">
        <x:v>0.4139811539964765</x:v>
      </x:c>
      <x:c r="AG604" s="604" t="n">
        <x:v>0.04897373434630709</x:v>
      </x:c>
      <x:c r="AH604" s="604" t="n"/>
      <x:c r="AI604" s="604" t="n"/>
      <x:c r="AJ604" s="604" t="n">
        <x:v>0.04897373434630709</x:v>
      </x:c>
      <x:c r="AK604" s="604" t="n"/>
      <x:c r="AL604" s="604" t="n"/>
      <x:c r="AM604" s="604" t="n"/>
      <x:c r="AN604" s="604" t="inlineStr">
        <x:is>
          <x:t xml:space="preserve">EVALUATED</x:t>
        </x:is>
      </x:c>
      <x:c r="AO604" s="604" t="inlineStr">
        <x:is>
          <x:t xml:space="preserve">EDGE_BELOW_UNCERTAINTY_THRESHOLD、BUCKET_PRIOR_ONLY、INTENT_INTERPRETATION_ONLY、EXPERT_MARKET</x:t>
        </x:is>
      </x:c>
      <x:c r="AP604" s="604" t="inlineStr">
        <x:is>
          <x:t xml:space="preserve">10be3514330dbab82250</x:t>
        </x:is>
      </x:c>
      <x:c r="AQ604" s="604" t="n">
        <x:v>0</x:v>
      </x:c>
      <x:c r="AR604" s="604" t="n"/>
      <x:c r="AS604" s="604" t="n">
        <x:v>0</x:v>
      </x:c>
      <x:c r="AT604" s="604" t="n">
        <x:v>0</x:v>
      </x:c>
      <x:c r="AU604" s="604" t="n">
        <x:v>0.91</x:v>
      </x:c>
      <x:c r="AV604" s="604" t="n">
        <x:v>0.79</x:v>
      </x:c>
      <x:c r="AW604" s="604" t="n">
        <x:v>46296.03418765046</x:v>
      </x:c>
      <x:c r="AX604" s="604" t="inlineStr">
        <x:is>
          <x:t xml:space="preserve">https://simondongxiao.github.io/odds/v4/</x:t>
        </x:is>
      </x:c>
      <x:c r="AY604" s="604" t="inlineStr">
        <x:is>
          <x:t xml:space="preserve">V4 Shadow Only；real_money=false；P(EV&gt;0)不是比赛胜率</x:t>
        </x:is>
      </x:c>
    </x:row>
    <x:row r="605" ht="22" customHeight="1">
      <x:c r="A605" s="604" t="inlineStr">
        <x:is>
          <x:t xml:space="preserve">2026-10-01</x:t>
        </x:is>
      </x:c>
      <x:c r="B605" s="604" t="inlineStr">
        <x:is>
          <x:t xml:space="preserve">2026-10-01 20:30</x:t>
        </x:is>
      </x:c>
      <x:c r="C605" s="604" t="str">
        <x:v>其他系列</x:v>
      </x:c>
      <x:c r="D605" s="604" t="inlineStr">
        <x:is>
          <x:t xml:space="preserve">联赛</x:t>
        </x:is>
      </x:c>
      <x:c r="E605" s="604" t="inlineStr">
        <x:is>
          <x:t xml:space="preserve">埃及甲</x:t>
        </x:is>
      </x:c>
      <x:c r="F605" s="604" t="inlineStr">
        <x:is>
          <x:t xml:space="preserve">曼苏拉 vs 马萨尔FC</x:t>
        </x:is>
      </x:c>
      <x:c r="G605" s="604" t="n">
        <x:v>0.96</x:v>
      </x:c>
      <x:c r="H605" s="604" t="n">
        <x:v>0</x:v>
      </x:c>
      <x:c r="I605" s="604" t="n">
        <x:v>0.74</x:v>
      </x:c>
      <x:c r="J605" s="604" t="inlineStr">
        <x:is>
          <x:t xml:space="preserve">0.96/0/0.74</x:t>
        </x:is>
      </x:c>
      <x:c r="K605" s="604" t="inlineStr">
        <x:is>
          <x:t xml:space="preserve">V4-C｜EV +0.0256</x:t>
        </x:is>
      </x:c>
      <x:c r="L605" s="604" t="str"/>
      <x:c r="M605" s="604" t="n">
        <x:v>0.5915389526197273</x:v>
      </x:c>
      <x:c r="N605" s="604" t="inlineStr">
        <x:is>
          <x:t xml:space="preserve">V4纸面入选-C</x:t>
        </x:is>
      </x:c>
      <x:c r="O605" s="604" t="inlineStr">
        <x:is>
          <x:t xml:space="preserve">2-0</x:t>
        </x:is>
      </x:c>
      <x:c r="P605" s="604" t="inlineStr">
        <x:is>
          <x:t xml:space="preserve">已结算</x:t>
        </x:is>
      </x:c>
      <x:c r="Q605" s="645" t="inlineStr">
        <x:is>
          <x:t xml:space="preserve">红</x:t>
        </x:is>
      </x:c>
      <x:c r="R605" s="604" t="n">
        <x:v>0.74</x:v>
      </x:c>
      <x:c r="S605" s="604" t="n">
        <x:f>IF(OR(Q605="",Q605="待结算"),"",IF(Q605="红",R605,IF(Q605="半红",R605*0.5,IF(Q605="走",0,IF(Q605="半黑",-0.5,-1)))))</x:f>
        <x:v>0.74</x:v>
      </x:c>
      <x:c r="T605" s="604" t="inlineStr">
        <x:is>
          <x:t xml:space="preserve">https://m.titan007.com/analy/Analysis/3095214.htm</x:t>
        </x:is>
      </x:c>
      <x:c r="U605" s="646" t="str">
        <x:f>IF(Q605="","",IF(Q605="待结算","待结算",IF(Q605="红","黑",IF(Q605="半红","半黑",IF(Q605="走","走",IF(Q605="半黑","半红","红"))))))</x:f>
        <x:v>黑</x:v>
      </x:c>
      <x:c r="V605" s="604" t="n">
        <x:f>IF(OR(Q605="",Q605="待结算"),"",IF(L605=LEFT(F605,FIND(" vs ",F605)-1),I605,G605))</x:f>
        <x:v>0.96</x:v>
      </x:c>
      <x:c r="W605" s="604" t="n">
        <x:f>IF(OR(U605="",U605="待结算"),"",IF(U605="红",V605,IF(U605="半红",V605*0.5,IF(U605="走",0,IF(U605="半黑",-0.5,-1)))))</x:f>
        <x:v>-1</x:v>
      </x:c>
      <x:c r="X605" s="604" t="inlineStr">
        <x:is>
          <x:t xml:space="preserve">3095214</x:t>
        </x:is>
      </x:c>
      <x:c r="Y605" s="604" t="inlineStr">
        <x:is>
          <x:t xml:space="preserve">V4</x:t>
        </x:is>
      </x:c>
      <x:c r="Z605" s="604" t="inlineStr">
        <x:is>
          <x:t xml:space="preserve">prior-2026-10-01-v1</x:t>
        </x:is>
      </x:c>
      <x:c r="AA605" s="604" t="inlineStr">
        <x:is>
          <x:t xml:space="preserve">C</x:t>
        </x:is>
      </x:c>
      <x:c r="AB605" s="604" t="n">
        <x:v>0.5171768730590985</x:v>
      </x:c>
      <x:c r="AC605" s="604" t="n"/>
      <x:c r="AD605" s="604" t="n"/>
      <x:c r="AE605" s="604" t="n">
        <x:v>0.2514190459691766</x:v>
      </x:c>
      <x:c r="AF605" s="604" t="n">
        <x:v>0.2314040809717249</x:v>
      </x:c>
      <x:c r="AG605" s="604" t="n">
        <x:v>0.02559728210741974</x:v>
      </x:c>
      <x:c r="AH605" s="604" t="n"/>
      <x:c r="AI605" s="604" t="n"/>
      <x:c r="AJ605" s="604" t="n">
        <x:v>0.02559728210741974</x:v>
      </x:c>
      <x:c r="AK605" s="604" t="n"/>
      <x:c r="AL605" s="604" t="n"/>
      <x:c r="AM605" s="604" t="n"/>
      <x:c r="AN605" s="604" t="inlineStr">
        <x:is>
          <x:t xml:space="preserve">EVALUATED</x:t>
        </x:is>
      </x:c>
      <x:c r="AO605" s="604" t="inlineStr">
        <x:is>
          <x:t xml:space="preserve">EDGE_BELOW_UNCERTAINTY_THRESHOLD、BUCKET_PRIOR_ONLY、INTENT_INTERPRETATION_ONLY、EXPERT_MARKET</x:t>
        </x:is>
      </x:c>
      <x:c r="AP605" s="604" t="inlineStr">
        <x:is>
          <x:t xml:space="preserve">4419f542234f5884828a</x:t>
        </x:is>
      </x:c>
      <x:c r="AQ605" s="604" t="n">
        <x:v>0</x:v>
      </x:c>
      <x:c r="AR605" s="604" t="n"/>
      <x:c r="AS605" s="604" t="n">
        <x:v>0</x:v>
      </x:c>
      <x:c r="AT605" s="604" t="n">
        <x:v>0</x:v>
      </x:c>
      <x:c r="AU605" s="604" t="n">
        <x:v>0.96</x:v>
      </x:c>
      <x:c r="AV605" s="604" t="n">
        <x:v>0.74</x:v>
      </x:c>
      <x:c r="AW605" s="604" t="n">
        <x:v>46296.03418765046</x:v>
      </x:c>
      <x:c r="AX605" s="604" t="inlineStr">
        <x:is>
          <x:t xml:space="preserve">https://simondongxiao.github.io/odds/v4/</x:t>
        </x:is>
      </x:c>
      <x:c r="AY605" s="604" t="inlineStr">
        <x:is>
          <x:t xml:space="preserve">V4 Shadow Only；real_money=false；P(EV&gt;0)不是比赛胜率</x:t>
        </x:is>
      </x:c>
    </x:row>
    <x:row r="606" ht="22" customHeight="1">
      <x:c r="A606" s="604" t="inlineStr">
        <x:is>
          <x:t xml:space="preserve">2026-10-01</x:t>
        </x:is>
      </x:c>
      <x:c r="B606" s="604" t="inlineStr">
        <x:is>
          <x:t xml:space="preserve">2026-10-01 20:30</x:t>
        </x:is>
      </x:c>
      <x:c r="C606" s="604" t="str">
        <x:v>其他系列</x:v>
      </x:c>
      <x:c r="D606" s="604" t="inlineStr">
        <x:is>
          <x:t xml:space="preserve">联赛</x:t>
        </x:is>
      </x:c>
      <x:c r="E606" s="604" t="inlineStr">
        <x:is>
          <x:t xml:space="preserve">埃及甲</x:t>
        </x:is>
      </x:c>
      <x:c r="F606" s="604" t="inlineStr">
        <x:is>
          <x:t xml:space="preserve">佩哈亚克 vs 特萨纳体育</x:t>
        </x:is>
      </x:c>
      <x:c r="G606" s="604" t="n">
        <x:v>0.76</x:v>
      </x:c>
      <x:c r="H606" s="604" t="n">
        <x:v>0</x:v>
      </x:c>
      <x:c r="I606" s="604" t="n">
        <x:v>0.9399999999999999</x:v>
      </x:c>
      <x:c r="J606" s="604" t="inlineStr">
        <x:is>
          <x:t xml:space="preserve">0.76/0/0.94</x:t>
        </x:is>
      </x:c>
      <x:c r="K606" s="604" t="inlineStr">
        <x:is>
          <x:t xml:space="preserve">V4-C｜EV +0.0388</x:t>
        </x:is>
      </x:c>
      <x:c r="L606" s="604" t="str"/>
      <x:c r="M606" s="604" t="n">
        <x:v>0.5933821180120326</x:v>
      </x:c>
      <x:c r="N606" s="604" t="inlineStr">
        <x:is>
          <x:t xml:space="preserve">V4纸面入选-C</x:t>
        </x:is>
      </x:c>
      <x:c r="O606" s="604" t="inlineStr">
        <x:is>
          <x:t xml:space="preserve">0-1</x:t>
        </x:is>
      </x:c>
      <x:c r="P606" s="604" t="inlineStr">
        <x:is>
          <x:t xml:space="preserve">已结算</x:t>
        </x:is>
      </x:c>
      <x:c r="Q606" s="646" t="inlineStr">
        <x:is>
          <x:t xml:space="preserve">黑</x:t>
        </x:is>
      </x:c>
      <x:c r="R606" s="604" t="n">
        <x:v>0.9399999999999999</x:v>
      </x:c>
      <x:c r="S606" s="604" t="n">
        <x:f>IF(OR(Q606="",Q606="待结算"),"",IF(Q606="红",R606,IF(Q606="半红",R606*0.5,IF(Q606="走",0,IF(Q606="半黑",-0.5,-1)))))</x:f>
        <x:v>-1</x:v>
      </x:c>
      <x:c r="T606" s="604" t="inlineStr">
        <x:is>
          <x:t xml:space="preserve">https://m.titan007.com/analy/Analysis/3095216.htm</x:t>
        </x:is>
      </x:c>
      <x:c r="U606" s="645" t="str">
        <x:f>IF(Q606="","",IF(Q606="待结算","待结算",IF(Q606="红","黑",IF(Q606="半红","半黑",IF(Q606="走","走",IF(Q606="半黑","半红","红"))))))</x:f>
        <x:v>红</x:v>
      </x:c>
      <x:c r="V606" s="604" t="n">
        <x:f>IF(OR(Q606="",Q606="待结算"),"",IF(L606=LEFT(F606,FIND(" vs ",F606)-1),I606,G606))</x:f>
        <x:v>0.76</x:v>
      </x:c>
      <x:c r="W606" s="604" t="n">
        <x:f>IF(OR(U606="",U606="待结算"),"",IF(U606="红",V606,IF(U606="半红",V606*0.5,IF(U606="走",0,IF(U606="半黑",-0.5,-1)))))</x:f>
        <x:v>0.76</x:v>
      </x:c>
      <x:c r="X606" s="604" t="inlineStr">
        <x:is>
          <x:t xml:space="preserve">3095216</x:t>
        </x:is>
      </x:c>
      <x:c r="Y606" s="604" t="inlineStr">
        <x:is>
          <x:t xml:space="preserve">V4</x:t>
        </x:is>
      </x:c>
      <x:c r="Z606" s="604" t="inlineStr">
        <x:is>
          <x:t xml:space="preserve">prior-2026-10-01-v1</x:t>
        </x:is>
      </x:c>
      <x:c r="AA606" s="604" t="inlineStr">
        <x:is>
          <x:t xml:space="preserve">C</x:t>
        </x:is>
      </x:c>
      <x:c r="AB606" s="604" t="n">
        <x:v>0.5185637848405354</x:v>
      </x:c>
      <x:c r="AC606" s="604" t="n"/>
      <x:c r="AD606" s="604" t="n"/>
      <x:c r="AE606" s="604" t="n">
        <x:v>0.2521758944208022</x:v>
      </x:c>
      <x:c r="AF606" s="604" t="n">
        <x:v>0.2292603207386625</x:v>
      </x:c>
      <x:c r="AG606" s="604" t="n">
        <x:v>0.03876020852974332</x:v>
      </x:c>
      <x:c r="AH606" s="604" t="n"/>
      <x:c r="AI606" s="604" t="n"/>
      <x:c r="AJ606" s="604" t="n">
        <x:v>0.03876020852974332</x:v>
      </x:c>
      <x:c r="AK606" s="604" t="n"/>
      <x:c r="AL606" s="604" t="n"/>
      <x:c r="AM606" s="604" t="n"/>
      <x:c r="AN606" s="604" t="inlineStr">
        <x:is>
          <x:t xml:space="preserve">EVALUATED</x:t>
        </x:is>
      </x:c>
      <x:c r="AO606" s="604" t="inlineStr">
        <x:is>
          <x:t xml:space="preserve">EDGE_BELOW_UNCERTAINTY_THRESHOLD、BUCKET_PRIOR_ONLY、INTENT_INTERPRETATION_ONLY、EXPERT_MARKET</x:t>
        </x:is>
      </x:c>
      <x:c r="AP606" s="604" t="inlineStr">
        <x:is>
          <x:t xml:space="preserve">e27b1dd9dd8d8f0cb9ff</x:t>
        </x:is>
      </x:c>
      <x:c r="AQ606" s="604" t="n">
        <x:v>0</x:v>
      </x:c>
      <x:c r="AR606" s="604" t="n"/>
      <x:c r="AS606" s="604" t="n">
        <x:v>0</x:v>
      </x:c>
      <x:c r="AT606" s="604" t="n">
        <x:v>0</x:v>
      </x:c>
      <x:c r="AU606" s="604" t="n">
        <x:v>0.76</x:v>
      </x:c>
      <x:c r="AV606" s="604" t="n">
        <x:v>0.9399999999999999</x:v>
      </x:c>
      <x:c r="AW606" s="604" t="n">
        <x:v>46296.03418765046</x:v>
      </x:c>
      <x:c r="AX606" s="604" t="inlineStr">
        <x:is>
          <x:t xml:space="preserve">https://simondongxiao.github.io/odds/v4/</x:t>
        </x:is>
      </x:c>
      <x:c r="AY606" s="604" t="inlineStr">
        <x:is>
          <x:t xml:space="preserve">V4 Shadow Only；real_money=false；P(EV&gt;0)不是比赛胜率</x:t>
        </x:is>
      </x:c>
    </x:row>
    <x:row r="607" ht="22" customHeight="1">
      <x:c r="A607" s="604" t="inlineStr">
        <x:is>
          <x:t xml:space="preserve">2026-10-01</x:t>
        </x:is>
      </x:c>
      <x:c r="B607" s="604" t="inlineStr">
        <x:is>
          <x:t xml:space="preserve">2026-10-01 20:30</x:t>
        </x:is>
      </x:c>
      <x:c r="C607" s="604" t="str">
        <x:v>其他系列</x:v>
      </x:c>
      <x:c r="D607" s="604" t="inlineStr">
        <x:is>
          <x:t xml:space="preserve">杯赛</x:t>
        </x:is>
      </x:c>
      <x:c r="E607" s="604" t="inlineStr">
        <x:is>
          <x:t xml:space="preserve">东盟杯</x:t>
        </x:is>
      </x:c>
      <x:c r="F607" s="604" t="inlineStr">
        <x:is>
          <x:t xml:space="preserve">印度尼西亚 vs 孟加拉国</x:t>
        </x:is>
      </x:c>
      <x:c r="G607" s="604" t="n">
        <x:v>0.91</x:v>
      </x:c>
      <x:c r="H607" s="604" t="n">
        <x:v>3.25</x:v>
      </x:c>
      <x:c r="I607" s="604" t="n">
        <x:v>0.85</x:v>
      </x:c>
      <x:c r="J607" s="604" t="inlineStr">
        <x:is>
          <x:t xml:space="preserve">0.91/3.25/0.85</x:t>
        </x:is>
      </x:c>
      <x:c r="K607" s="604" t="inlineStr">
        <x:is>
          <x:t xml:space="preserve">V4-B｜EV +0.0708</x:t>
        </x:is>
      </x:c>
      <x:c r="L607" s="604" t="inlineStr">
        <x:is>
          <x:t xml:space="preserve">孟加拉国</x:t>
        </x:is>
      </x:c>
      <x:c r="M607" s="604" t="n">
        <x:v>0.5835250628162721</x:v>
      </x:c>
      <x:c r="N607" s="604" t="inlineStr">
        <x:is>
          <x:t xml:space="preserve">V4纸面入选-B</x:t>
        </x:is>
      </x:c>
      <x:c r="O607" s="604" t="inlineStr">
        <x:is>
          <x:t xml:space="preserve">9-2</x:t>
        </x:is>
      </x:c>
      <x:c r="P607" s="604" t="inlineStr">
        <x:is>
          <x:t xml:space="preserve">已结算</x:t>
        </x:is>
      </x:c>
      <x:c r="Q607" s="645" t="inlineStr">
        <x:is>
          <x:t xml:space="preserve">红</x:t>
        </x:is>
      </x:c>
      <x:c r="R607" s="604" t="n">
        <x:v>0.85</x:v>
      </x:c>
      <x:c r="S607" s="604" t="n">
        <x:f>IF(OR(Q607="",Q607="待结算"),"",IF(Q607="红",R607,IF(Q607="半红",R607*0.5,IF(Q607="走",0,IF(Q607="半黑",-0.5,-1)))))</x:f>
        <x:v>0.85</x:v>
      </x:c>
      <x:c r="T607" s="604" t="inlineStr">
        <x:is>
          <x:t xml:space="preserve">https://m.titan007.com/analy/Analysis/3088948.htm</x:t>
        </x:is>
      </x:c>
      <x:c r="U607" s="646" t="str">
        <x:f>IF(Q607="","",IF(Q607="待结算","待结算",IF(Q607="红","黑",IF(Q607="半红","半黑",IF(Q607="走","走",IF(Q607="半黑","半红","红"))))))</x:f>
        <x:v>黑</x:v>
      </x:c>
      <x:c r="V607" s="604" t="n">
        <x:f>IF(OR(Q607="",Q607="待结算"),"",IF(L607=LEFT(F607,FIND(" vs ",F607)-1),I607,G607))</x:f>
        <x:v>0.91</x:v>
      </x:c>
      <x:c r="W607" s="604" t="n">
        <x:f>IF(OR(U607="",U607="待结算"),"",IF(U607="红",V607,IF(U607="半红",V607*0.5,IF(U607="走",0,IF(U607="半黑",-0.5,-1)))))</x:f>
        <x:v>-1</x:v>
      </x:c>
      <x:c r="X607" s="604" t="inlineStr">
        <x:is>
          <x:t xml:space="preserve">3088948</x:t>
        </x:is>
      </x:c>
      <x:c r="Y607" s="604" t="inlineStr">
        <x:is>
          <x:t xml:space="preserve">V4</x:t>
        </x:is>
      </x:c>
      <x:c r="Z607" s="604" t="inlineStr">
        <x:is>
          <x:t xml:space="preserve">prior-2026-10-01-v1</x:t>
        </x:is>
      </x:c>
      <x:c r="AA607" s="604" t="inlineStr">
        <x:is>
          <x:t xml:space="preserve">B</x:t>
        </x:is>
      </x:c>
      <x:c r="AB607" s="604" t="n">
        <x:v>0.409553075649892</x:v>
      </x:c>
      <x:c r="AC607" s="604" t="n">
        <x:v>0.2197274817450304</x:v>
      </x:c>
      <x:c r="AD607" s="604" t="n"/>
      <x:c r="AE607" s="604" t="n"/>
      <x:c r="AF607" s="604" t="n">
        <x:v>0.3707194426050777</x:v>
      </x:c>
      <x:c r="AG607" s="604" t="n">
        <x:v>0.0707848514389684</x:v>
      </x:c>
      <x:c r="AH607" s="604" t="n"/>
      <x:c r="AI607" s="604" t="n"/>
      <x:c r="AJ607" s="604" t="n">
        <x:v>0.0707848514389684</x:v>
      </x:c>
      <x:c r="AK607" s="604" t="n"/>
      <x:c r="AL607" s="604" t="n"/>
      <x:c r="AM607" s="604" t="n"/>
      <x:c r="AN607" s="604" t="inlineStr">
        <x:is>
          <x:t xml:space="preserve">EVALUATED</x:t>
        </x:is>
      </x:c>
      <x:c r="AO607" s="604" t="inlineStr">
        <x:is>
          <x:t xml:space="preserve">RECEIVING_VALIDATED_EDGE、BUCKET_PRIOR_ONLY、INTENT_INTERPRETATION_ONLY、EXPERT_MARKET</x:t>
        </x:is>
      </x:c>
      <x:c r="AP607" s="604" t="inlineStr">
        <x:is>
          <x:t xml:space="preserve">f4750ad58a11865ed75a</x:t>
        </x:is>
      </x:c>
      <x:c r="AQ607" s="604" t="n">
        <x:v>3.25</x:v>
      </x:c>
      <x:c r="AR607" s="604" t="n">
        <x:v>0.85</x:v>
      </x:c>
      <x:c r="AS607" s="604" t="n">
        <x:v>3.25</x:v>
      </x:c>
      <x:c r="AT607" s="604" t="n">
        <x:v>-3.25</x:v>
      </x:c>
      <x:c r="AU607" s="604" t="n">
        <x:v>0.91</x:v>
      </x:c>
      <x:c r="AV607" s="604" t="n">
        <x:v>0.85</x:v>
      </x:c>
      <x:c r="AW607" s="604" t="n">
        <x:v>46296.03418765046</x:v>
      </x:c>
      <x:c r="AX607" s="604" t="inlineStr">
        <x:is>
          <x:t xml:space="preserve">https://simondongxiao.github.io/odds/v4/</x:t>
        </x:is>
      </x:c>
      <x:c r="AY607" s="604" t="inlineStr">
        <x:is>
          <x:t xml:space="preserve">V4 Shadow Only；real_money=false；P(EV&gt;0)不是比赛胜率</x:t>
        </x:is>
      </x:c>
    </x:row>
    <x:row r="608" ht="22" customHeight="1">
      <x:c r="A608" s="604" t="inlineStr">
        <x:is>
          <x:t xml:space="preserve">2026-10-01</x:t>
        </x:is>
      </x:c>
      <x:c r="B608" s="604" t="inlineStr">
        <x:is>
          <x:t xml:space="preserve">2026-10-01 20:30</x:t>
        </x:is>
      </x:c>
      <x:c r="C608" s="604" t="str">
        <x:v>其他系列</x:v>
      </x:c>
      <x:c r="D608" s="604" t="inlineStr">
        <x:is>
          <x:t xml:space="preserve">杯赛</x:t>
        </x:is>
      </x:c>
      <x:c r="E608" s="604" t="inlineStr">
        <x:is>
          <x:t xml:space="preserve">东盟杯</x:t>
        </x:is>
      </x:c>
      <x:c r="F608" s="604" t="inlineStr">
        <x:is>
          <x:t xml:space="preserve">马来西亚(中) vs 新加坡</x:t>
        </x:is>
      </x:c>
      <x:c r="G608" s="604" t="n">
        <x:v>0.99</x:v>
      </x:c>
      <x:c r="H608" s="604" t="n">
        <x:v>1.25</x:v>
      </x:c>
      <x:c r="I608" s="604" t="n">
        <x:v>0.77</x:v>
      </x:c>
      <x:c r="J608" s="604" t="inlineStr">
        <x:is>
          <x:t xml:space="preserve">0.99/1.25/0.77</x:t>
        </x:is>
      </x:c>
      <x:c r="K608" s="604" t="inlineStr">
        <x:is>
          <x:t xml:space="preserve">V4-B｜EV +0.1812</x:t>
        </x:is>
      </x:c>
      <x:c r="L608" s="604" t="inlineStr">
        <x:is>
          <x:t xml:space="preserve">马来西亚(中)</x:t>
        </x:is>
      </x:c>
      <x:c r="M608" s="604" t="n">
        <x:v>0.6062839603026728</x:v>
      </x:c>
      <x:c r="N608" s="604" t="inlineStr">
        <x:is>
          <x:t xml:space="preserve">V4纸面入选-B</x:t>
        </x:is>
      </x:c>
      <x:c r="O608" s="604" t="inlineStr">
        <x:is>
          <x:t xml:space="preserve">6-0</x:t>
        </x:is>
      </x:c>
      <x:c r="P608" s="604" t="inlineStr">
        <x:is>
          <x:t xml:space="preserve">已结算</x:t>
        </x:is>
      </x:c>
      <x:c r="Q608" s="645" t="inlineStr">
        <x:is>
          <x:t xml:space="preserve">红</x:t>
        </x:is>
      </x:c>
      <x:c r="R608" s="604" t="n">
        <x:v>0.99</x:v>
      </x:c>
      <x:c r="S608" s="604" t="n">
        <x:f>IF(OR(Q608="",Q608="待结算"),"",IF(Q608="红",R608,IF(Q608="半红",R608*0.5,IF(Q608="走",0,IF(Q608="半黑",-0.5,-1)))))</x:f>
        <x:v>0.99</x:v>
      </x:c>
      <x:c r="T608" s="604" t="inlineStr">
        <x:is>
          <x:t xml:space="preserve">https://m.titan007.com/analy/Analysis/3088949.htm</x:t>
        </x:is>
      </x:c>
      <x:c r="U608" s="646" t="str">
        <x:f>IF(Q608="","",IF(Q608="待结算","待结算",IF(Q608="红","黑",IF(Q608="半红","半黑",IF(Q608="走","走",IF(Q608="半黑","半红","红"))))))</x:f>
        <x:v>黑</x:v>
      </x:c>
      <x:c r="V608" s="604" t="n">
        <x:f>IF(OR(Q608="",Q608="待结算"),"",IF(L608=LEFT(F608,FIND(" vs ",F608)-1),I608,G608))</x:f>
        <x:v>0.77</x:v>
      </x:c>
      <x:c r="W608" s="604" t="n">
        <x:f>IF(OR(U608="",U608="待结算"),"",IF(U608="红",V608,IF(U608="半红",V608*0.5,IF(U608="走",0,IF(U608="半黑",-0.5,-1)))))</x:f>
        <x:v>-1</x:v>
      </x:c>
      <x:c r="X608" s="604" t="inlineStr">
        <x:is>
          <x:t xml:space="preserve">3088949</x:t>
        </x:is>
      </x:c>
      <x:c r="Y608" s="604" t="inlineStr">
        <x:is>
          <x:t xml:space="preserve">V4</x:t>
        </x:is>
      </x:c>
      <x:c r="Z608" s="604" t="inlineStr">
        <x:is>
          <x:t xml:space="preserve">prior-2026-10-01-v1</x:t>
        </x:is>
      </x:c>
      <x:c r="AA608" s="604" t="inlineStr">
        <x:is>
          <x:t xml:space="preserve">B</x:t>
        </x:is>
      </x:c>
      <x:c r="AB608" s="604" t="n">
        <x:v>0.5320484660128529</x:v>
      </x:c>
      <x:c r="AC608" s="604" t="n"/>
      <x:c r="AD608" s="604" t="n"/>
      <x:c r="AE608" s="604" t="n">
        <x:v>0.2448868818919755</x:v>
      </x:c>
      <x:c r="AF608" s="604" t="n">
        <x:v>0.2230646520951716</x:v>
      </x:c>
      <x:c r="AG608" s="604" t="n">
        <x:v>0.181219888311565</x:v>
      </x:c>
      <x:c r="AH608" s="604" t="n"/>
      <x:c r="AI608" s="604" t="n"/>
      <x:c r="AJ608" s="604" t="n">
        <x:v>0.181219888311565</x:v>
      </x:c>
      <x:c r="AK608" s="604" t="n"/>
      <x:c r="AL608" s="604" t="n"/>
      <x:c r="AM608" s="604" t="n"/>
      <x:c r="AN608" s="604" t="inlineStr">
        <x:is>
          <x:t xml:space="preserve">EVALUATED</x:t>
        </x:is>
      </x:c>
      <x:c r="AO608" s="604" t="inlineStr">
        <x:is>
          <x:t xml:space="preserve">GIVING_VALIDATED_EDGE、BUCKET_PRIOR_ONLY、INTENT_INTERPRETATION_ONLY、EXPERT_MARKET</x:t>
        </x:is>
      </x:c>
      <x:c r="AP608" s="604" t="inlineStr">
        <x:is>
          <x:t xml:space="preserve">75ac0a40a07acc0eb760</x:t>
        </x:is>
      </x:c>
      <x:c r="AQ608" s="604" t="n">
        <x:v>-1.25</x:v>
      </x:c>
      <x:c r="AR608" s="604" t="n">
        <x:v>0.99</x:v>
      </x:c>
      <x:c r="AS608" s="604" t="n">
        <x:v>1.25</x:v>
      </x:c>
      <x:c r="AT608" s="604" t="n">
        <x:v>-1.25</x:v>
      </x:c>
      <x:c r="AU608" s="604" t="n">
        <x:v>0.99</x:v>
      </x:c>
      <x:c r="AV608" s="604" t="n">
        <x:v>0.77</x:v>
      </x:c>
      <x:c r="AW608" s="604" t="n">
        <x:v>46296.03418765046</x:v>
      </x:c>
      <x:c r="AX608" s="604" t="inlineStr">
        <x:is>
          <x:t xml:space="preserve">https://simondongxiao.github.io/odds/v4/</x:t>
        </x:is>
      </x:c>
      <x:c r="AY608" s="604" t="inlineStr">
        <x:is>
          <x:t xml:space="preserve">V4 Shadow Only；real_money=false；P(EV&gt;0)不是比赛胜率</x:t>
        </x:is>
      </x:c>
    </x:row>
    <x:row r="609" ht="22" customHeight="1">
      <x:c r="A609" s="604" t="inlineStr">
        <x:is>
          <x:t xml:space="preserve">2026-10-01</x:t>
        </x:is>
      </x:c>
      <x:c r="B609" s="604" t="inlineStr">
        <x:is>
          <x:t xml:space="preserve">2026-10-01 21:15</x:t>
        </x:is>
      </x:c>
      <x:c r="C609" s="604" t="str">
        <x:v>西亚/中亚系列</x:v>
      </x:c>
      <x:c r="D609" s="604" t="inlineStr">
        <x:is>
          <x:t xml:space="preserve">杯赛</x:t>
        </x:is>
      </x:c>
      <x:c r="E609" s="604" t="inlineStr">
        <x:is>
          <x:t xml:space="preserve">阿联酋杯</x:t>
        </x:is>
      </x:c>
      <x:c r="F609" s="604" t="inlineStr">
        <x:is>
          <x:t xml:space="preserve">迪拜联合 vs 哈塔</x:t>
        </x:is>
      </x:c>
      <x:c r="G609" s="604" t="n">
        <x:v>0.75</x:v>
      </x:c>
      <x:c r="H609" s="604" t="n">
        <x:v>0</x:v>
      </x:c>
      <x:c r="I609" s="604" t="n">
        <x:v>0.95</x:v>
      </x:c>
      <x:c r="J609" s="604" t="inlineStr">
        <x:is>
          <x:t xml:space="preserve">0.75/0/0.95</x:t>
        </x:is>
      </x:c>
      <x:c r="K609" s="604" t="inlineStr">
        <x:is>
          <x:t xml:space="preserve">V4-C｜EV +0.0151</x:t>
        </x:is>
      </x:c>
      <x:c r="L609" s="604" t="str"/>
      <x:c r="M609" s="604" t="n">
        <x:v>0.5800345475375969</x:v>
      </x:c>
      <x:c r="N609" s="604" t="inlineStr">
        <x:is>
          <x:t xml:space="preserve">V4纸面入选-C</x:t>
        </x:is>
      </x:c>
      <x:c r="O609" s="604" t="inlineStr">
        <x:is>
          <x:t xml:space="preserve">3-2</x:t>
        </x:is>
      </x:c>
      <x:c r="P609" s="604" t="inlineStr">
        <x:is>
          <x:t xml:space="preserve">已结算</x:t>
        </x:is>
      </x:c>
      <x:c r="Q609" s="645" t="inlineStr">
        <x:is>
          <x:t xml:space="preserve">红</x:t>
        </x:is>
      </x:c>
      <x:c r="R609" s="604" t="n">
        <x:v>0.95</x:v>
      </x:c>
      <x:c r="S609" s="604" t="n">
        <x:f>IF(OR(Q609="",Q609="待结算"),"",IF(Q609="红",R609,IF(Q609="半红",R609*0.5,IF(Q609="走",0,IF(Q609="半黑",-0.5,-1)))))</x:f>
        <x:v>0.95</x:v>
      </x:c>
      <x:c r="T609" s="604" t="inlineStr">
        <x:is>
          <x:t xml:space="preserve">https://m.titan007.com/analy/Analysis/3084331.htm</x:t>
        </x:is>
      </x:c>
      <x:c r="U609" s="646" t="str">
        <x:f>IF(Q609="","",IF(Q609="待结算","待结算",IF(Q609="红","黑",IF(Q609="半红","半黑",IF(Q609="走","走",IF(Q609="半黑","半红","红"))))))</x:f>
        <x:v>黑</x:v>
      </x:c>
      <x:c r="V609" s="604" t="n">
        <x:f>IF(OR(Q609="",Q609="待结算"),"",IF(L609=LEFT(F609,FIND(" vs ",F609)-1),I609,G609))</x:f>
        <x:v>0.75</x:v>
      </x:c>
      <x:c r="W609" s="604" t="n">
        <x:f>IF(OR(U609="",U609="待结算"),"",IF(U609="红",V609,IF(U609="半红",V609*0.5,IF(U609="走",0,IF(U609="半黑",-0.5,-1)))))</x:f>
        <x:v>-1</x:v>
      </x:c>
      <x:c r="X609" s="604" t="inlineStr">
        <x:is>
          <x:t xml:space="preserve">3084331</x:t>
        </x:is>
      </x:c>
      <x:c r="Y609" s="604" t="inlineStr">
        <x:is>
          <x:t xml:space="preserve">V4</x:t>
        </x:is>
      </x:c>
      <x:c r="Z609" s="604" t="inlineStr">
        <x:is>
          <x:t xml:space="preserve">prior-2026-10-01-v1</x:t>
        </x:is>
      </x:c>
      <x:c r="AA609" s="604" t="inlineStr">
        <x:is>
          <x:t xml:space="preserve">C</x:t>
        </x:is>
      </x:c>
      <x:c r="AB609" s="604" t="n">
        <x:v>0.5800345475375969</x:v>
      </x:c>
      <x:c r="AC609" s="604" t="n"/>
      <x:c r="AD609" s="604" t="n"/>
      <x:c r="AE609" s="604" t="n"/>
      <x:c r="AF609" s="604" t="n">
        <x:v>0.4199654524624031</x:v>
      </x:c>
      <x:c r="AG609" s="604" t="n">
        <x:v>0.01506045819079449</x:v>
      </x:c>
      <x:c r="AH609" s="604" t="n"/>
      <x:c r="AI609" s="604" t="n"/>
      <x:c r="AJ609" s="604" t="n">
        <x:v>0.01506045819079449</x:v>
      </x:c>
      <x:c r="AK609" s="604" t="n"/>
      <x:c r="AL609" s="604" t="n"/>
      <x:c r="AM609" s="604" t="n"/>
      <x:c r="AN609" s="604" t="inlineStr">
        <x:is>
          <x:t xml:space="preserve">EVALUATED</x:t>
        </x:is>
      </x:c>
      <x:c r="AO609" s="604" t="inlineStr">
        <x:is>
          <x:t xml:space="preserve">EDGE_BELOW_UNCERTAINTY_THRESHOLD、BUCKET_PRIOR_ONLY、INTENT_INTERPRETATION_ONLY、EXPERT_MARKET</x:t>
        </x:is>
      </x:c>
      <x:c r="AP609" s="604" t="inlineStr">
        <x:is>
          <x:t xml:space="preserve">a015f084f1c334acef16</x:t>
        </x:is>
      </x:c>
      <x:c r="AQ609" s="604" t="n">
        <x:v>0</x:v>
      </x:c>
      <x:c r="AR609" s="604" t="n"/>
      <x:c r="AS609" s="604" t="n">
        <x:v>0</x:v>
      </x:c>
      <x:c r="AT609" s="604" t="n">
        <x:v>0</x:v>
      </x:c>
      <x:c r="AU609" s="604" t="n">
        <x:v>0.75</x:v>
      </x:c>
      <x:c r="AV609" s="604" t="n">
        <x:v>0.95</x:v>
      </x:c>
      <x:c r="AW609" s="604" t="n">
        <x:v>46296.03418765046</x:v>
      </x:c>
      <x:c r="AX609" s="604" t="inlineStr">
        <x:is>
          <x:t xml:space="preserve">https://simondongxiao.github.io/odds/v4/</x:t>
        </x:is>
      </x:c>
      <x:c r="AY609" s="604" t="inlineStr">
        <x:is>
          <x:t xml:space="preserve">V4 Shadow Only；real_money=false；P(EV&gt;0)不是比赛胜率</x:t>
        </x:is>
      </x:c>
    </x:row>
    <x:row r="610" ht="22" customHeight="1">
      <x:c r="A610" s="604" t="inlineStr">
        <x:is>
          <x:t xml:space="preserve">2026-10-01</x:t>
        </x:is>
      </x:c>
      <x:c r="B610" s="604" t="inlineStr">
        <x:is>
          <x:t xml:space="preserve">2026-10-01 21:15</x:t>
        </x:is>
      </x:c>
      <x:c r="C610" s="604" t="str">
        <x:v>西亚/中亚系列</x:v>
      </x:c>
      <x:c r="D610" s="604" t="inlineStr">
        <x:is>
          <x:t xml:space="preserve">杯赛</x:t>
        </x:is>
      </x:c>
      <x:c r="E610" s="604" t="inlineStr">
        <x:is>
          <x:t xml:space="preserve">阿联酋杯</x:t>
        </x:is>
      </x:c>
      <x:c r="F610" s="604" t="inlineStr">
        <x:is>
          <x:t xml:space="preserve">沙迦 vs 迪哈夫拉</x:t>
        </x:is>
      </x:c>
      <x:c r="G610" s="604" t="n">
        <x:v>0.92</x:v>
      </x:c>
      <x:c r="H610" s="604" t="n">
        <x:v>1</x:v>
      </x:c>
      <x:c r="I610" s="604" t="n">
        <x:v>0.78</x:v>
      </x:c>
      <x:c r="J610" s="604" t="inlineStr">
        <x:is>
          <x:t xml:space="preserve">0.92/1/0.78</x:t>
        </x:is>
      </x:c>
      <x:c r="K610" s="604" t="inlineStr">
        <x:is>
          <x:t xml:space="preserve">V4-B｜EV +0.1013</x:t>
        </x:is>
      </x:c>
      <x:c r="L610" s="604" t="inlineStr">
        <x:is>
          <x:t xml:space="preserve">沙迦</x:t>
        </x:is>
      </x:c>
      <x:c r="M610" s="604" t="n">
        <x:v>0.5916238062802777</x:v>
      </x:c>
      <x:c r="N610" s="604" t="inlineStr">
        <x:is>
          <x:t xml:space="preserve">V4纸面入选-B</x:t>
        </x:is>
      </x:c>
      <x:c r="O610" s="604" t="inlineStr">
        <x:is>
          <x:t xml:space="preserve">2-1</x:t>
        </x:is>
      </x:c>
      <x:c r="P610" s="604" t="inlineStr">
        <x:is>
          <x:t xml:space="preserve">已结算</x:t>
        </x:is>
      </x:c>
      <x:c r="Q610" s="647" t="inlineStr">
        <x:is>
          <x:t xml:space="preserve">走</x:t>
        </x:is>
      </x:c>
      <x:c r="R610" s="604" t="n">
        <x:v>0.92</x:v>
      </x:c>
      <x:c r="S610" s="604" t="n">
        <x:f>IF(OR(Q610="",Q610="待结算"),"",IF(Q610="红",R610,IF(Q610="半红",R610*0.5,IF(Q610="走",0,IF(Q610="半黑",-0.5,-1)))))</x:f>
        <x:v>0</x:v>
      </x:c>
      <x:c r="T610" s="604" t="inlineStr">
        <x:is>
          <x:t xml:space="preserve">https://m.titan007.com/analy/Analysis/3084332.htm</x:t>
        </x:is>
      </x:c>
      <x:c r="U610" s="647" t="str">
        <x:f>IF(Q610="","",IF(Q610="待结算","待结算",IF(Q610="红","黑",IF(Q610="半红","半黑",IF(Q610="走","走",IF(Q610="半黑","半红","红"))))))</x:f>
        <x:v>走</x:v>
      </x:c>
      <x:c r="V610" s="604" t="n">
        <x:f>IF(OR(Q610="",Q610="待结算"),"",IF(L610=LEFT(F610,FIND(" vs ",F610)-1),I610,G610))</x:f>
        <x:v>0.78</x:v>
      </x:c>
      <x:c r="W610" s="604" t="n">
        <x:f>IF(OR(U610="",U610="待结算"),"",IF(U610="红",V610,IF(U610="半红",V610*0.5,IF(U610="走",0,IF(U610="半黑",-0.5,-1)))))</x:f>
        <x:v>0</x:v>
      </x:c>
      <x:c r="X610" s="604" t="inlineStr">
        <x:is>
          <x:t xml:space="preserve">3084332</x:t>
        </x:is>
      </x:c>
      <x:c r="Y610" s="604" t="inlineStr">
        <x:is>
          <x:t xml:space="preserve">V4</x:t>
        </x:is>
      </x:c>
      <x:c r="Z610" s="604" t="inlineStr">
        <x:is>
          <x:t xml:space="preserve">prior-2026-10-01-v1</x:t>
        </x:is>
      </x:c>
      <x:c r="AA610" s="604" t="inlineStr">
        <x:is>
          <x:t xml:space="preserve">B</x:t>
        </x:is>
      </x:c>
      <x:c r="AB610" s="604" t="n">
        <x:v>0.4408397302962805</x:v>
      </x:c>
      <x:c r="AC610" s="604" t="n"/>
      <x:c r="AD610" s="604" t="n">
        <x:v>0.2548647880348552</x:v>
      </x:c>
      <x:c r="AE610" s="604" t="n"/>
      <x:c r="AF610" s="604" t="n">
        <x:v>0.3042954816688643</x:v>
      </x:c>
      <x:c r="AG610" s="604" t="n">
        <x:v>0.1012770702037137</x:v>
      </x:c>
      <x:c r="AH610" s="604" t="n"/>
      <x:c r="AI610" s="604" t="n"/>
      <x:c r="AJ610" s="604" t="n">
        <x:v>0.1012770702037137</x:v>
      </x:c>
      <x:c r="AK610" s="604" t="n"/>
      <x:c r="AL610" s="604" t="n"/>
      <x:c r="AM610" s="604" t="n"/>
      <x:c r="AN610" s="604" t="inlineStr">
        <x:is>
          <x:t xml:space="preserve">EVALUATED</x:t>
        </x:is>
      </x:c>
      <x:c r="AO610" s="604" t="inlineStr">
        <x:is>
          <x:t xml:space="preserve">GIVING_VALIDATED_EDGE、BUCKET_PRIOR_ONLY、INTENT_INTERPRETATION_ONLY、EXPERT_MARKET</x:t>
        </x:is>
      </x:c>
      <x:c r="AP610" s="604" t="inlineStr">
        <x:is>
          <x:t xml:space="preserve">e22df59d6561c3323ac0</x:t>
        </x:is>
      </x:c>
      <x:c r="AQ610" s="604" t="n">
        <x:v>-1</x:v>
      </x:c>
      <x:c r="AR610" s="604" t="n">
        <x:v>0.92</x:v>
      </x:c>
      <x:c r="AS610" s="604" t="n">
        <x:v>1</x:v>
      </x:c>
      <x:c r="AT610" s="604" t="n">
        <x:v>-1</x:v>
      </x:c>
      <x:c r="AU610" s="604" t="n">
        <x:v>0.92</x:v>
      </x:c>
      <x:c r="AV610" s="604" t="n">
        <x:v>0.78</x:v>
      </x:c>
      <x:c r="AW610" s="604" t="n">
        <x:v>46296.03418765046</x:v>
      </x:c>
      <x:c r="AX610" s="604" t="inlineStr">
        <x:is>
          <x:t xml:space="preserve">https://simondongxiao.github.io/odds/v4/</x:t>
        </x:is>
      </x:c>
      <x:c r="AY610" s="604" t="inlineStr">
        <x:is>
          <x:t xml:space="preserve">V4 Shadow Only；real_money=false；P(EV&gt;0)不是比赛胜率</x:t>
        </x:is>
      </x:c>
    </x:row>
    <x:row r="611" ht="22" customHeight="1">
      <x:c r="A611" s="604" t="inlineStr">
        <x:is>
          <x:t xml:space="preserve">2026-10-01</x:t>
        </x:is>
      </x:c>
      <x:c r="B611" s="604" t="inlineStr">
        <x:is>
          <x:t xml:space="preserve">2026-10-01 22:00</x:t>
        </x:is>
      </x:c>
      <x:c r="C611" s="604" t="str">
        <x:v>其他系列</x:v>
      </x:c>
      <x:c r="D611" s="604" t="inlineStr">
        <x:is>
          <x:t xml:space="preserve">联赛</x:t>
        </x:is>
      </x:c>
      <x:c r="E611" s="604" t="inlineStr">
        <x:is>
          <x:t xml:space="preserve">国际友谊</x:t>
        </x:is>
      </x:c>
      <x:c r="F611" s="604" t="inlineStr">
        <x:is>
          <x:t xml:space="preserve">乌兹别克斯坦 vs 叙利亚</x:t>
        </x:is>
      </x:c>
      <x:c r="G611" s="604" t="n">
        <x:v>0.95</x:v>
      </x:c>
      <x:c r="H611" s="604" t="n">
        <x:v>1.5</x:v>
      </x:c>
      <x:c r="I611" s="604" t="n">
        <x:v>0.75</x:v>
      </x:c>
      <x:c r="J611" s="604" t="inlineStr">
        <x:is>
          <x:t xml:space="preserve">0.95/1.5/0.75</x:t>
        </x:is>
      </x:c>
      <x:c r="K611" s="604" t="inlineStr">
        <x:is>
          <x:t xml:space="preserve">V4-C｜EV +0.1598</x:t>
        </x:is>
      </x:c>
      <x:c r="L611" s="604" t="inlineStr">
        <x:is>
          <x:t xml:space="preserve">乌兹别克斯坦</x:t>
        </x:is>
      </x:c>
      <x:c r="M611" s="604" t="n">
        <x:v>0.594748817510182</x:v>
      </x:c>
      <x:c r="N611" s="604" t="inlineStr">
        <x:is>
          <x:t xml:space="preserve">V4纸面入选-C</x:t>
        </x:is>
      </x:c>
      <x:c r="O611" s="604" t="inlineStr">
        <x:is>
          <x:t xml:space="preserve">4-1</x:t>
        </x:is>
      </x:c>
      <x:c r="P611" s="604" t="inlineStr">
        <x:is>
          <x:t xml:space="preserve">已结算</x:t>
        </x:is>
      </x:c>
      <x:c r="Q611" s="645" t="inlineStr">
        <x:is>
          <x:t xml:space="preserve">红</x:t>
        </x:is>
      </x:c>
      <x:c r="R611" s="604" t="n">
        <x:v>0.95</x:v>
      </x:c>
      <x:c r="S611" s="604" t="n">
        <x:f>IF(OR(Q611="",Q611="待结算"),"",IF(Q611="红",R611,IF(Q611="半红",R611*0.5,IF(Q611="走",0,IF(Q611="半黑",-0.5,-1)))))</x:f>
        <x:v>0.95</x:v>
      </x:c>
      <x:c r="T611" s="604" t="inlineStr">
        <x:is>
          <x:t xml:space="preserve">https://m.titan007.com/analy/Analysis/3095240.htm</x:t>
        </x:is>
      </x:c>
      <x:c r="U611" s="646" t="str">
        <x:f>IF(Q611="","",IF(Q611="待结算","待结算",IF(Q611="红","黑",IF(Q611="半红","半黑",IF(Q611="走","走",IF(Q611="半黑","半红","红"))))))</x:f>
        <x:v>黑</x:v>
      </x:c>
      <x:c r="V611" s="604" t="n">
        <x:f>IF(OR(Q611="",Q611="待结算"),"",IF(L611=LEFT(F611,FIND(" vs ",F611)-1),I611,G611))</x:f>
        <x:v>0.75</x:v>
      </x:c>
      <x:c r="W611" s="604" t="n">
        <x:f>IF(OR(U611="",U611="待结算"),"",IF(U611="红",V611,IF(U611="半红",V611*0.5,IF(U611="走",0,IF(U611="半黑",-0.5,-1)))))</x:f>
        <x:v>-1</x:v>
      </x:c>
      <x:c r="X611" s="604" t="inlineStr">
        <x:is>
          <x:t xml:space="preserve">3095240</x:t>
        </x:is>
      </x:c>
      <x:c r="Y611" s="604" t="inlineStr">
        <x:is>
          <x:t xml:space="preserve">V4</x:t>
        </x:is>
      </x:c>
      <x:c r="Z611" s="604" t="inlineStr">
        <x:is>
          <x:t xml:space="preserve">prior-2026-10-01-v1</x:t>
        </x:is>
      </x:c>
      <x:c r="AA611" s="604" t="inlineStr">
        <x:is>
          <x:t xml:space="preserve">C</x:t>
        </x:is>
      </x:c>
      <x:c r="AB611" s="604" t="n">
        <x:v>0.594748817510182</x:v>
      </x:c>
      <x:c r="AC611" s="604" t="n"/>
      <x:c r="AD611" s="604" t="n"/>
      <x:c r="AE611" s="604" t="n"/>
      <x:c r="AF611" s="604" t="n">
        <x:v>0.405251182489818</x:v>
      </x:c>
      <x:c r="AG611" s="604" t="n">
        <x:v>0.159760194144855</x:v>
      </x:c>
      <x:c r="AH611" s="604" t="n"/>
      <x:c r="AI611" s="604" t="n"/>
      <x:c r="AJ611" s="604" t="n">
        <x:v>0.159760194144855</x:v>
      </x:c>
      <x:c r="AK611" s="604" t="n"/>
      <x:c r="AL611" s="604" t="n"/>
      <x:c r="AM611" s="604" t="n"/>
      <x:c r="AN611" s="604" t="inlineStr">
        <x:is>
          <x:t xml:space="preserve">EVALUATED</x:t>
        </x:is>
      </x:c>
      <x:c r="AO611" s="604" t="inlineStr">
        <x:is>
          <x:t xml:space="preserve">GIVING_VALIDATED_EDGE、BUCKET_PRIOR_ONLY、INTENT_INTERPRETATION_ONLY、EXPERT_MARKET</x:t>
        </x:is>
      </x:c>
      <x:c r="AP611" s="604" t="inlineStr">
        <x:is>
          <x:t xml:space="preserve">77905c34d7b22989e192</x:t>
        </x:is>
      </x:c>
      <x:c r="AQ611" s="604" t="n">
        <x:v>-1.5</x:v>
      </x:c>
      <x:c r="AR611" s="604" t="n">
        <x:v>0.95</x:v>
      </x:c>
      <x:c r="AS611" s="604" t="n">
        <x:v>1.5</x:v>
      </x:c>
      <x:c r="AT611" s="604" t="n">
        <x:v>-1.5</x:v>
      </x:c>
      <x:c r="AU611" s="604" t="n">
        <x:v>0.95</x:v>
      </x:c>
      <x:c r="AV611" s="604" t="n">
        <x:v>0.75</x:v>
      </x:c>
      <x:c r="AW611" s="604" t="n">
        <x:v>46296.03418765046</x:v>
      </x:c>
      <x:c r="AX611" s="604" t="inlineStr">
        <x:is>
          <x:t xml:space="preserve">https://simondongxiao.github.io/odds/v4/</x:t>
        </x:is>
      </x:c>
      <x:c r="AY611" s="604" t="inlineStr">
        <x:is>
          <x:t xml:space="preserve">V4 Shadow Only；real_money=false；P(EV&gt;0)不是比赛胜率</x:t>
        </x:is>
      </x:c>
    </x:row>
    <x:row r="612" ht="22" customHeight="1">
      <x:c r="A612" s="604" t="inlineStr">
        <x:is>
          <x:t xml:space="preserve">2026-10-01</x:t>
        </x:is>
      </x:c>
      <x:c r="B612" s="604" t="inlineStr">
        <x:is>
          <x:t xml:space="preserve">2026-10-01 22:00</x:t>
        </x:is>
      </x:c>
      <x:c r="C612" s="604" t="str">
        <x:v>其他系列</x:v>
      </x:c>
      <x:c r="D612" s="604" t="inlineStr">
        <x:is>
          <x:t xml:space="preserve">联赛</x:t>
        </x:is>
      </x:c>
      <x:c r="E612" s="604" t="inlineStr">
        <x:is>
          <x:t xml:space="preserve">国际友谊</x:t>
        </x:is>
      </x:c>
      <x:c r="F612" s="604" t="inlineStr">
        <x:is>
          <x:t xml:space="preserve">卡塔尔U19 vs 爱尔兰U19</x:t>
        </x:is>
      </x:c>
      <x:c r="G612" s="604" t="n">
        <x:v>1.03</x:v>
      </x:c>
      <x:c r="H612" s="604" t="n">
        <x:v>0</x:v>
      </x:c>
      <x:c r="I612" s="604" t="n">
        <x:v>0.67</x:v>
      </x:c>
      <x:c r="J612" s="604" t="inlineStr">
        <x:is>
          <x:t xml:space="preserve">1.03/0/0.67</x:t>
        </x:is>
      </x:c>
      <x:c r="K612" s="604" t="inlineStr">
        <x:is>
          <x:t xml:space="preserve">V4-C｜EV +0.0335</x:t>
        </x:is>
      </x:c>
      <x:c r="L612" s="604" t="str"/>
      <x:c r="M612" s="604" t="n">
        <x:v>0.4885545383249592</x:v>
      </x:c>
      <x:c r="N612" s="604" t="inlineStr">
        <x:is>
          <x:t xml:space="preserve">V4纸面入选-C</x:t>
        </x:is>
      </x:c>
      <x:c r="O612" s="604" t="inlineStr">
        <x:is>
          <x:t xml:space="preserve">1-1</x:t>
        </x:is>
      </x:c>
      <x:c r="P612" s="604" t="inlineStr">
        <x:is>
          <x:t xml:space="preserve">已结算</x:t>
        </x:is>
      </x:c>
      <x:c r="Q612" s="647" t="inlineStr">
        <x:is>
          <x:t xml:space="preserve">走</x:t>
        </x:is>
      </x:c>
      <x:c r="R612" s="604" t="n">
        <x:v>0.67</x:v>
      </x:c>
      <x:c r="S612" s="604" t="n">
        <x:f>IF(OR(Q612="",Q612="待结算"),"",IF(Q612="红",R612,IF(Q612="半红",R612*0.5,IF(Q612="走",0,IF(Q612="半黑",-0.5,-1)))))</x:f>
        <x:v>0</x:v>
      </x:c>
      <x:c r="T612" s="604" t="inlineStr">
        <x:is>
          <x:t xml:space="preserve">https://m.titan007.com/analy/Analysis/3095241.htm</x:t>
        </x:is>
      </x:c>
      <x:c r="U612" s="647" t="str">
        <x:f>IF(Q612="","",IF(Q612="待结算","待结算",IF(Q612="红","黑",IF(Q612="半红","半黑",IF(Q612="走","走",IF(Q612="半黑","半红","红"))))))</x:f>
        <x:v>走</x:v>
      </x:c>
      <x:c r="V612" s="604" t="n">
        <x:f>IF(OR(Q612="",Q612="待结算"),"",IF(L612=LEFT(F612,FIND(" vs ",F612)-1),I612,G612))</x:f>
        <x:v>1.03</x:v>
      </x:c>
      <x:c r="W612" s="604" t="n">
        <x:f>IF(OR(U612="",U612="待结算"),"",IF(U612="红",V612,IF(U612="半红",V612*0.5,IF(U612="走",0,IF(U612="半黑",-0.5,-1)))))</x:f>
        <x:v>0</x:v>
      </x:c>
      <x:c r="X612" s="604" t="inlineStr">
        <x:is>
          <x:t xml:space="preserve">3095241</x:t>
        </x:is>
      </x:c>
      <x:c r="Y612" s="604" t="inlineStr">
        <x:is>
          <x:t xml:space="preserve">V4</x:t>
        </x:is>
      </x:c>
      <x:c r="Z612" s="604" t="inlineStr">
        <x:is>
          <x:t xml:space="preserve">prior-2026-10-01-v1</x:t>
        </x:is>
      </x:c>
      <x:c r="AA612" s="604" t="inlineStr">
        <x:is>
          <x:t xml:space="preserve">C</x:t>
        </x:is>
      </x:c>
      <x:c r="AB612" s="604" t="n">
        <x:v>0.3032471026560273</x:v>
      </x:c>
      <x:c r="AC612" s="604" t="n">
        <x:v>0.2489763470506827</x:v>
      </x:c>
      <x:c r="AD612" s="604" t="n"/>
      <x:c r="AE612" s="604" t="n"/>
      <x:c r="AF612" s="604" t="n">
        <x:v>0.44777655029329</x:v>
      </x:c>
      <x:c r="AG612" s="604" t="n">
        <x:v>0.03347457062072007</x:v>
      </x:c>
      <x:c r="AH612" s="604" t="n"/>
      <x:c r="AI612" s="604" t="n"/>
      <x:c r="AJ612" s="604" t="n">
        <x:v>0.03347457062072007</x:v>
      </x:c>
      <x:c r="AK612" s="604" t="n"/>
      <x:c r="AL612" s="604" t="n"/>
      <x:c r="AM612" s="604" t="n"/>
      <x:c r="AN612" s="604" t="inlineStr">
        <x:is>
          <x:t xml:space="preserve">EVALUATED</x:t>
        </x:is>
      </x:c>
      <x:c r="AO612" s="604" t="inlineStr">
        <x:is>
          <x:t xml:space="preserve">EDGE_BELOW_UNCERTAINTY_THRESHOLD、BUCKET_PRIOR_ONLY、INTENT_INTERPRETATION_ONLY、EXPERT_MARKET</x:t>
        </x:is>
      </x:c>
      <x:c r="AP612" s="604" t="inlineStr">
        <x:is>
          <x:t xml:space="preserve">ff1ee33778039fd62543</x:t>
        </x:is>
      </x:c>
      <x:c r="AQ612" s="604" t="n">
        <x:v>0</x:v>
      </x:c>
      <x:c r="AR612" s="604" t="n"/>
      <x:c r="AS612" s="604" t="n">
        <x:v>0</x:v>
      </x:c>
      <x:c r="AT612" s="604" t="n">
        <x:v>0</x:v>
      </x:c>
      <x:c r="AU612" s="604" t="n">
        <x:v>1.03</x:v>
      </x:c>
      <x:c r="AV612" s="604" t="n">
        <x:v>0.67</x:v>
      </x:c>
      <x:c r="AW612" s="604" t="n">
        <x:v>46296.03418765046</x:v>
      </x:c>
      <x:c r="AX612" s="604" t="inlineStr">
        <x:is>
          <x:t xml:space="preserve">https://simondongxiao.github.io/odds/v4/</x:t>
        </x:is>
      </x:c>
      <x:c r="AY612" s="604" t="inlineStr">
        <x:is>
          <x:t xml:space="preserve">V4 Shadow Only；real_money=false；P(EV&gt;0)不是比赛胜率</x:t>
        </x:is>
      </x:c>
    </x:row>
    <x:row r="613" ht="22" customHeight="1">
      <x:c r="A613" s="604" t="inlineStr">
        <x:is>
          <x:t xml:space="preserve">2026-10-01</x:t>
        </x:is>
      </x:c>
      <x:c r="B613" s="604" t="inlineStr">
        <x:is>
          <x:t xml:space="preserve">2026-10-01 23:00</x:t>
        </x:is>
      </x:c>
      <x:c r="C613" s="604" t="str">
        <x:v>西亚/中亚系列</x:v>
      </x:c>
      <x:c r="D613" s="604" t="inlineStr">
        <x:is>
          <x:t xml:space="preserve">杯赛</x:t>
        </x:is>
      </x:c>
      <x:c r="E613" s="604" t="inlineStr">
        <x:is>
          <x:t xml:space="preserve">卡塔杯</x:t>
        </x:is>
      </x:c>
      <x:c r="F613" s="604" t="inlineStr">
        <x:is>
          <x:t xml:space="preserve">加拉法 vs 米萨梅尔</x:t>
        </x:is>
      </x:c>
      <x:c r="G613" s="604" t="n">
        <x:v>0.92</x:v>
      </x:c>
      <x:c r="H613" s="604" t="n">
        <x:v>0</x:v>
      </x:c>
      <x:c r="I613" s="604" t="n">
        <x:v>0.78</x:v>
      </x:c>
      <x:c r="J613" s="604" t="inlineStr">
        <x:is>
          <x:t xml:space="preserve">0.92/0/0.78</x:t>
        </x:is>
      </x:c>
      <x:c r="K613" s="604" t="inlineStr">
        <x:is>
          <x:t xml:space="preserve">V4-C｜EV +0.0139</x:t>
        </x:is>
      </x:c>
      <x:c r="L613" s="604" t="str"/>
      <x:c r="M613" s="604" t="n">
        <x:v>0.5291487885668306</x:v>
      </x:c>
      <x:c r="N613" s="604" t="inlineStr">
        <x:is>
          <x:t xml:space="preserve">V4纸面入选-C</x:t>
        </x:is>
      </x:c>
      <x:c r="O613" s="604" t="inlineStr">
        <x:is>
          <x:t xml:space="preserve">4-2</x:t>
        </x:is>
      </x:c>
      <x:c r="P613" s="604" t="inlineStr">
        <x:is>
          <x:t xml:space="preserve">已结算</x:t>
        </x:is>
      </x:c>
      <x:c r="Q613" s="645" t="inlineStr">
        <x:is>
          <x:t xml:space="preserve">红</x:t>
        </x:is>
      </x:c>
      <x:c r="R613" s="604" t="n">
        <x:v>0.78</x:v>
      </x:c>
      <x:c r="S613" s="604" t="n">
        <x:f>IF(OR(Q613="",Q613="待结算"),"",IF(Q613="红",R613,IF(Q613="半红",R613*0.5,IF(Q613="走",0,IF(Q613="半黑",-0.5,-1)))))</x:f>
        <x:v>0.78</x:v>
      </x:c>
      <x:c r="T613" s="604" t="inlineStr">
        <x:is>
          <x:t xml:space="preserve">https://m.titan007.com/analy/Analysis/3089305.htm</x:t>
        </x:is>
      </x:c>
      <x:c r="U613" s="646" t="str">
        <x:f>IF(Q613="","",IF(Q613="待结算","待结算",IF(Q613="红","黑",IF(Q613="半红","半黑",IF(Q613="走","走",IF(Q613="半黑","半红","红"))))))</x:f>
        <x:v>黑</x:v>
      </x:c>
      <x:c r="V613" s="604" t="n">
        <x:f>IF(OR(Q613="",Q613="待结算"),"",IF(L613=LEFT(F613,FIND(" vs ",F613)-1),I613,G613))</x:f>
        <x:v>0.92</x:v>
      </x:c>
      <x:c r="W613" s="604" t="n">
        <x:f>IF(OR(U613="",U613="待结算"),"",IF(U613="红",V613,IF(U613="半红",V613*0.5,IF(U613="走",0,IF(U613="半黑",-0.5,-1)))))</x:f>
        <x:v>-1</x:v>
      </x:c>
      <x:c r="X613" s="604" t="inlineStr">
        <x:is>
          <x:t xml:space="preserve">3089305</x:t>
        </x:is>
      </x:c>
      <x:c r="Y613" s="604" t="inlineStr">
        <x:is>
          <x:t xml:space="preserve">V4</x:t>
        </x:is>
      </x:c>
      <x:c r="Z613" s="604" t="inlineStr">
        <x:is>
          <x:t xml:space="preserve">prior-2026-10-01-v1</x:t>
        </x:is>
      </x:c>
      <x:c r="AA613" s="604" t="inlineStr">
        <x:is>
          <x:t xml:space="preserve">C</x:t>
        </x:is>
      </x:c>
      <x:c r="AB613" s="604" t="n">
        <x:v>0.3360677510960755</x:v>
      </x:c>
      <x:c r="AC613" s="604" t="n">
        <x:v>0.25253400965869</x:v>
      </x:c>
      <x:c r="AD613" s="604" t="n"/>
      <x:c r="AE613" s="604" t="n"/>
      <x:c r="AF613" s="604" t="n">
        <x:v>0.4113982392452346</x:v>
      </x:c>
      <x:c r="AG613" s="604" t="n">
        <x:v>0.01394973620615236</x:v>
      </x:c>
      <x:c r="AH613" s="604" t="n"/>
      <x:c r="AI613" s="604" t="n"/>
      <x:c r="AJ613" s="604" t="n">
        <x:v>0.01394973620615236</x:v>
      </x:c>
      <x:c r="AK613" s="604" t="n"/>
      <x:c r="AL613" s="604" t="n"/>
      <x:c r="AM613" s="604" t="n"/>
      <x:c r="AN613" s="604" t="inlineStr">
        <x:is>
          <x:t xml:space="preserve">EVALUATED</x:t>
        </x:is>
      </x:c>
      <x:c r="AO613" s="604" t="inlineStr">
        <x:is>
          <x:t xml:space="preserve">EDGE_BELOW_UNCERTAINTY_THRESHOLD、BUCKET_PRIOR_ONLY、INTENT_INTERPRETATION_ONLY、EXPERT_MARKET</x:t>
        </x:is>
      </x:c>
      <x:c r="AP613" s="604" t="inlineStr">
        <x:is>
          <x:t xml:space="preserve">2a0fea9291e5a5c94a68</x:t>
        </x:is>
      </x:c>
      <x:c r="AQ613" s="604" t="n">
        <x:v>0</x:v>
      </x:c>
      <x:c r="AR613" s="604" t="n"/>
      <x:c r="AS613" s="604" t="n">
        <x:v>0</x:v>
      </x:c>
      <x:c r="AT613" s="604" t="n">
        <x:v>0</x:v>
      </x:c>
      <x:c r="AU613" s="604" t="n">
        <x:v>0.92</x:v>
      </x:c>
      <x:c r="AV613" s="604" t="n">
        <x:v>0.78</x:v>
      </x:c>
      <x:c r="AW613" s="604" t="n">
        <x:v>46296.03418765046</x:v>
      </x:c>
      <x:c r="AX613" s="604" t="inlineStr">
        <x:is>
          <x:t xml:space="preserve">https://simondongxiao.github.io/odds/v4/</x:t>
        </x:is>
      </x:c>
      <x:c r="AY613" s="604" t="inlineStr">
        <x:is>
          <x:t xml:space="preserve">V4 Shadow Only；real_money=false；P(EV&gt;0)不是比赛胜率</x:t>
        </x:is>
      </x:c>
    </x:row>
    <x:row r="614" ht="22" customHeight="1">
      <x:c r="A614" s="604" t="inlineStr">
        <x:is>
          <x:t xml:space="preserve">2026-10-01</x:t>
        </x:is>
      </x:c>
      <x:c r="B614" s="604" t="inlineStr">
        <x:is>
          <x:t xml:space="preserve">2026-10-02 00:00</x:t>
        </x:is>
      </x:c>
      <x:c r="C614" s="604" t="str">
        <x:v>欧洲非五大系列</x:v>
      </x:c>
      <x:c r="D614" s="604" t="inlineStr">
        <x:is>
          <x:t xml:space="preserve">联赛</x:t>
        </x:is>
      </x:c>
      <x:c r="E614" s="604" t="inlineStr">
        <x:is>
          <x:t xml:space="preserve">欧国联</x:t>
        </x:is>
      </x:c>
      <x:c r="F614" s="604" t="inlineStr">
        <x:is>
          <x:t xml:space="preserve">阿塞拜疆 vs 列支敦士登</x:t>
        </x:is>
      </x:c>
      <x:c r="G614" s="604" t="n">
        <x:v>1.04</x:v>
      </x:c>
      <x:c r="H614" s="604" t="n">
        <x:v>2.25</x:v>
      </x:c>
      <x:c r="I614" s="604" t="n">
        <x:v>0.84</x:v>
      </x:c>
      <x:c r="J614" s="604" t="inlineStr">
        <x:is>
          <x:t xml:space="preserve">1.04/2.25/0.84</x:t>
        </x:is>
      </x:c>
      <x:c r="K614" s="604" t="inlineStr">
        <x:is>
          <x:t xml:space="preserve">V4-B｜EV +0.2363</x:t>
        </x:is>
      </x:c>
      <x:c r="L614" s="604" t="inlineStr">
        <x:is>
          <x:t xml:space="preserve">阿塞拜疆</x:t>
        </x:is>
      </x:c>
      <x:c r="M614" s="604" t="n">
        <x:v>0.6208087511087264</x:v>
      </x:c>
      <x:c r="N614" s="604" t="inlineStr">
        <x:is>
          <x:t xml:space="preserve">V4纸面入选-B</x:t>
        </x:is>
      </x:c>
      <x:c r="O614" s="604" t="inlineStr">
        <x:is>
          <x:t xml:space="preserve">0-0</x:t>
        </x:is>
      </x:c>
      <x:c r="P614" s="604" t="inlineStr">
        <x:is>
          <x:t xml:space="preserve">已结算</x:t>
        </x:is>
      </x:c>
      <x:c r="Q614" s="646" t="inlineStr">
        <x:is>
          <x:t xml:space="preserve">黑</x:t>
        </x:is>
      </x:c>
      <x:c r="R614" s="604" t="n">
        <x:v>1.04</x:v>
      </x:c>
      <x:c r="S614" s="604" t="n">
        <x:f>IF(OR(Q614="",Q614="待结算"),"",IF(Q614="红",R614,IF(Q614="半红",R614*0.5,IF(Q614="走",0,IF(Q614="半黑",-0.5,-1)))))</x:f>
        <x:v>-1</x:v>
      </x:c>
      <x:c r="T614" s="604" t="inlineStr">
        <x:is>
          <x:t xml:space="preserve">https://m.titan007.com/analy/Analysis/2981575.htm</x:t>
        </x:is>
      </x:c>
      <x:c r="U614" s="645" t="str">
        <x:f>IF(Q614="","",IF(Q614="待结算","待结算",IF(Q614="红","黑",IF(Q614="半红","半黑",IF(Q614="走","走",IF(Q614="半黑","半红","红"))))))</x:f>
        <x:v>红</x:v>
      </x:c>
      <x:c r="V614" s="604" t="n">
        <x:f>IF(OR(Q614="",Q614="待结算"),"",IF(L614=LEFT(F614,FIND(" vs ",F614)-1),I614,G614))</x:f>
        <x:v>0.84</x:v>
      </x:c>
      <x:c r="W614" s="604" t="n">
        <x:f>IF(OR(U614="",U614="待结算"),"",IF(U614="红",V614,IF(U614="半红",V614*0.5,IF(U614="走",0,IF(U614="半黑",-0.5,-1)))))</x:f>
        <x:v>0.84</x:v>
      </x:c>
      <x:c r="X614" s="604" t="inlineStr">
        <x:is>
          <x:t xml:space="preserve">2981575</x:t>
        </x:is>
      </x:c>
      <x:c r="Y614" s="604" t="inlineStr">
        <x:is>
          <x:t xml:space="preserve">V4</x:t>
        </x:is>
      </x:c>
      <x:c r="Z614" s="604" t="inlineStr">
        <x:is>
          <x:t xml:space="preserve">prior-2026-10-01-v1</x:t>
        </x:is>
      </x:c>
      <x:c r="AA614" s="604" t="inlineStr">
        <x:is>
          <x:t xml:space="preserve">B</x:t>
        </x:is>
      </x:c>
      <x:c r="AB614" s="604" t="n">
        <x:v>0.5504856330551565</x:v>
      </x:c>
      <x:c r="AC614" s="604" t="n"/>
      <x:c r="AD614" s="604" t="n"/>
      <x:c r="AE614" s="604" t="n">
        <x:v>0.2265532434199005</x:v>
      </x:c>
      <x:c r="AF614" s="604" t="n">
        <x:v>0.222961123524943</x:v>
      </x:c>
      <x:c r="AG614" s="604" t="n">
        <x:v>0.2362673131424695</x:v>
      </x:c>
      <x:c r="AH614" s="604" t="n"/>
      <x:c r="AI614" s="604" t="n"/>
      <x:c r="AJ614" s="604" t="n">
        <x:v>0.2362673131424695</x:v>
      </x:c>
      <x:c r="AK614" s="604" t="n"/>
      <x:c r="AL614" s="604" t="n"/>
      <x:c r="AM614" s="604" t="n"/>
      <x:c r="AN614" s="604" t="inlineStr">
        <x:is>
          <x:t xml:space="preserve">EVALUATED</x:t>
        </x:is>
      </x:c>
      <x:c r="AO614" s="604" t="inlineStr">
        <x:is>
          <x:t xml:space="preserve">GIVING_VALIDATED_EDGE、BUCKET_PRIOR_ONLY、INTENT_INTERPRETATION_ONLY、EXPERT_MARKET</x:t>
        </x:is>
      </x:c>
      <x:c r="AP614" s="604" t="inlineStr">
        <x:is>
          <x:t xml:space="preserve">37612b291732b58e1591</x:t>
        </x:is>
      </x:c>
      <x:c r="AQ614" s="604" t="n">
        <x:v>-2.25</x:v>
      </x:c>
      <x:c r="AR614" s="604" t="n">
        <x:v>1.04</x:v>
      </x:c>
      <x:c r="AS614" s="604" t="n">
        <x:v>2.25</x:v>
      </x:c>
      <x:c r="AT614" s="604" t="n">
        <x:v>-2.25</x:v>
      </x:c>
      <x:c r="AU614" s="604" t="n">
        <x:v>1.04</x:v>
      </x:c>
      <x:c r="AV614" s="604" t="n">
        <x:v>0.84</x:v>
      </x:c>
      <x:c r="AW614" s="604" t="n">
        <x:v>46296.03418765046</x:v>
      </x:c>
      <x:c r="AX614" s="604" t="inlineStr">
        <x:is>
          <x:t xml:space="preserve">https://simondongxiao.github.io/odds/v4/</x:t>
        </x:is>
      </x:c>
      <x:c r="AY614" s="604" t="inlineStr">
        <x:is>
          <x:t xml:space="preserve">V4 Shadow Only；real_money=false；P(EV&gt;0)不是比赛胜率</x:t>
        </x:is>
      </x:c>
    </x:row>
    <x:row r="615" ht="22" customHeight="1">
      <x:c r="A615" s="604" t="inlineStr">
        <x:is>
          <x:t xml:space="preserve">2026-10-01</x:t>
        </x:is>
      </x:c>
      <x:c r="B615" s="604" t="inlineStr">
        <x:is>
          <x:t xml:space="preserve">2026-10-02 00:00</x:t>
        </x:is>
      </x:c>
      <x:c r="C615" s="604" t="str">
        <x:v>其他系列</x:v>
      </x:c>
      <x:c r="D615" s="604" t="inlineStr">
        <x:is>
          <x:t xml:space="preserve">杯赛</x:t>
        </x:is>
      </x:c>
      <x:c r="E615" s="604" t="inlineStr">
        <x:is>
          <x:t xml:space="preserve">非洲杯</x:t>
        </x:is>
      </x:c>
      <x:c r="F615" s="604" t="inlineStr">
        <x:is>
          <x:t xml:space="preserve">几内亚 vs 肯尼亚</x:t>
        </x:is>
      </x:c>
      <x:c r="G615" s="604" t="n">
        <x:v>0.78</x:v>
      </x:c>
      <x:c r="H615" s="604" t="n">
        <x:v>0.75</x:v>
      </x:c>
      <x:c r="I615" s="604" t="n">
        <x:v>0.92</x:v>
      </x:c>
      <x:c r="J615" s="604" t="inlineStr">
        <x:is>
          <x:t xml:space="preserve">0.78/0.75/0.92</x:t>
        </x:is>
      </x:c>
      <x:c r="K615" s="604" t="inlineStr">
        <x:is>
          <x:t xml:space="preserve">V4-B｜EV +0.1146</x:t>
        </x:is>
      </x:c>
      <x:c r="L615" s="604" t="inlineStr">
        <x:is>
          <x:t xml:space="preserve">几内亚</x:t>
        </x:is>
      </x:c>
      <x:c r="M615" s="604" t="n">
        <x:v>0.6357754737220082</x:v>
      </x:c>
      <x:c r="N615" s="604" t="inlineStr">
        <x:is>
          <x:t xml:space="preserve">V4纸面入选-B</x:t>
        </x:is>
      </x:c>
      <x:c r="O615" s="604" t="inlineStr">
        <x:is>
          <x:t xml:space="preserve">1-0</x:t>
        </x:is>
      </x:c>
      <x:c r="P615" s="604" t="inlineStr">
        <x:is>
          <x:t xml:space="preserve">已结算</x:t>
        </x:is>
      </x:c>
      <x:c r="Q615" s="649" t="inlineStr">
        <x:is>
          <x:t xml:space="preserve">半红</x:t>
        </x:is>
      </x:c>
      <x:c r="R615" s="604" t="n">
        <x:v>0.78</x:v>
      </x:c>
      <x:c r="S615" s="604" t="n">
        <x:f>IF(OR(Q615="",Q615="待结算"),"",IF(Q615="红",R615,IF(Q615="半红",R615*0.5,IF(Q615="走",0,IF(Q615="半黑",-0.5,-1)))))</x:f>
        <x:v>0.39</x:v>
      </x:c>
      <x:c r="T615" s="604" t="inlineStr">
        <x:is>
          <x:t xml:space="preserve">https://m.titan007.com/analy/Analysis/3001035.htm</x:t>
        </x:is>
      </x:c>
      <x:c r="U615" s="648" t="str">
        <x:f>IF(Q615="","",IF(Q615="待结算","待结算",IF(Q615="红","黑",IF(Q615="半红","半黑",IF(Q615="走","走",IF(Q615="半黑","半红","红"))))))</x:f>
        <x:v>半黑</x:v>
      </x:c>
      <x:c r="V615" s="604" t="n">
        <x:f>IF(OR(Q615="",Q615="待结算"),"",IF(L615=LEFT(F615,FIND(" vs ",F615)-1),I615,G615))</x:f>
        <x:v>0.92</x:v>
      </x:c>
      <x:c r="W615" s="604" t="n">
        <x:f>IF(OR(U615="",U615="待结算"),"",IF(U615="红",V615,IF(U615="半红",V615*0.5,IF(U615="走",0,IF(U615="半黑",-0.5,-1)))))</x:f>
        <x:v>-0.5</x:v>
      </x:c>
      <x:c r="X615" s="604" t="inlineStr">
        <x:is>
          <x:t xml:space="preserve">3001035</x:t>
        </x:is>
      </x:c>
      <x:c r="Y615" s="604" t="inlineStr">
        <x:is>
          <x:t xml:space="preserve">V4</x:t>
        </x:is>
      </x:c>
      <x:c r="Z615" s="604" t="inlineStr">
        <x:is>
          <x:t xml:space="preserve">prior-2026-10-01-v1</x:t>
        </x:is>
      </x:c>
      <x:c r="AA615" s="604" t="inlineStr">
        <x:is>
          <x:t xml:space="preserve">B</x:t>
        </x:is>
      </x:c>
      <x:c r="AB615" s="604" t="n">
        <x:v>0.424039393334078</x:v>
      </x:c>
      <x:c r="AC615" s="604" t="n">
        <x:v>0.2588815932129737</x:v>
      </x:c>
      <x:c r="AD615" s="604" t="n"/>
      <x:c r="AE615" s="604" t="n"/>
      <x:c r="AF615" s="604" t="n">
        <x:v>0.3170790134529483</x:v>
      </x:c>
      <x:c r="AG615" s="604" t="n">
        <x:v>0.1146355347006924</x:v>
      </x:c>
      <x:c r="AH615" s="604" t="n"/>
      <x:c r="AI615" s="604" t="n"/>
      <x:c r="AJ615" s="604" t="n">
        <x:v>0.1146355347006924</x:v>
      </x:c>
      <x:c r="AK615" s="604" t="n"/>
      <x:c r="AL615" s="604" t="n"/>
      <x:c r="AM615" s="604" t="n"/>
      <x:c r="AN615" s="604" t="inlineStr">
        <x:is>
          <x:t xml:space="preserve">EVALUATED</x:t>
        </x:is>
      </x:c>
      <x:c r="AO615" s="604" t="inlineStr">
        <x:is>
          <x:t xml:space="preserve">GIVING_VALIDATED_EDGE、BUCKET_PRIOR_ONLY、INTENT_INTERPRETATION_ONLY、EXPERT_MARKET</x:t>
        </x:is>
      </x:c>
      <x:c r="AP615" s="604" t="inlineStr">
        <x:is>
          <x:t xml:space="preserve">695a490673a8652d5088</x:t>
        </x:is>
      </x:c>
      <x:c r="AQ615" s="604" t="n">
        <x:v>-0.75</x:v>
      </x:c>
      <x:c r="AR615" s="604" t="n">
        <x:v>0.78</x:v>
      </x:c>
      <x:c r="AS615" s="604" t="n">
        <x:v>0.75</x:v>
      </x:c>
      <x:c r="AT615" s="604" t="n">
        <x:v>-0.75</x:v>
      </x:c>
      <x:c r="AU615" s="604" t="n">
        <x:v>0.78</x:v>
      </x:c>
      <x:c r="AV615" s="604" t="n">
        <x:v>0.92</x:v>
      </x:c>
      <x:c r="AW615" s="604" t="n">
        <x:v>46296.03418765046</x:v>
      </x:c>
      <x:c r="AX615" s="604" t="inlineStr">
        <x:is>
          <x:t xml:space="preserve">https://simondongxiao.github.io/odds/v4/</x:t>
        </x:is>
      </x:c>
      <x:c r="AY615" s="604" t="inlineStr">
        <x:is>
          <x:t xml:space="preserve">V4 Shadow Only；real_money=false；P(EV&gt;0)不是比赛胜率</x:t>
        </x:is>
      </x:c>
    </x:row>
    <x:row r="616" ht="22" customHeight="1">
      <x:c r="A616" s="604" t="inlineStr">
        <x:is>
          <x:t xml:space="preserve">2026-10-01</x:t>
        </x:is>
      </x:c>
      <x:c r="B616" s="604" t="inlineStr">
        <x:is>
          <x:t xml:space="preserve">2026-10-02 00:00</x:t>
        </x:is>
      </x:c>
      <x:c r="C616" s="604" t="str">
        <x:v>欧洲非五大系列</x:v>
      </x:c>
      <x:c r="D616" s="604" t="inlineStr">
        <x:is>
          <x:t xml:space="preserve">杯赛</x:t>
        </x:is>
      </x:c>
      <x:c r="E616" s="604" t="inlineStr">
        <x:is>
          <x:t xml:space="preserve">挪威杯</x:t>
        </x:is>
      </x:c>
      <x:c r="F616" s="604" t="inlineStr">
        <x:is>
          <x:t xml:space="preserve">玛达 vs 维京</x:t>
        </x:is>
      </x:c>
      <x:c r="G616" s="604" t="n">
        <x:v>0.78</x:v>
      </x:c>
      <x:c r="H616" s="604" t="n">
        <x:v>0</x:v>
      </x:c>
      <x:c r="I616" s="604" t="n">
        <x:v>0.92</x:v>
      </x:c>
      <x:c r="J616" s="604" t="inlineStr">
        <x:is>
          <x:t xml:space="preserve">0.78/0/0.92</x:t>
        </x:is>
      </x:c>
      <x:c r="K616" s="604" t="inlineStr">
        <x:is>
          <x:t xml:space="preserve">V4-C｜EV +0.0013</x:t>
        </x:is>
      </x:c>
      <x:c r="L616" s="604" t="str"/>
      <x:c r="M616" s="604" t="n">
        <x:v>0.4373826774002015</x:v>
      </x:c>
      <x:c r="N616" s="604" t="inlineStr">
        <x:is>
          <x:t xml:space="preserve">V4纸面入选-C</x:t>
        </x:is>
      </x:c>
      <x:c r="O616" s="604" t="inlineStr">
        <x:is>
          <x:t xml:space="preserve">0-3</x:t>
        </x:is>
      </x:c>
      <x:c r="P616" s="604" t="inlineStr">
        <x:is>
          <x:t xml:space="preserve">已结算</x:t>
        </x:is>
      </x:c>
      <x:c r="Q616" s="646" t="inlineStr">
        <x:is>
          <x:t xml:space="preserve">黑</x:t>
        </x:is>
      </x:c>
      <x:c r="R616" s="604" t="n">
        <x:v>0.92</x:v>
      </x:c>
      <x:c r="S616" s="604" t="n">
        <x:f>IF(OR(Q616="",Q616="待结算"),"",IF(Q616="红",R616,IF(Q616="半红",R616*0.5,IF(Q616="走",0,IF(Q616="半黑",-0.5,-1)))))</x:f>
        <x:v>-1</x:v>
      </x:c>
      <x:c r="T616" s="604" t="inlineStr">
        <x:is>
          <x:t xml:space="preserve">https://m.titan007.com/analy/Analysis/3085259.htm</x:t>
        </x:is>
      </x:c>
      <x:c r="U616" s="645" t="str">
        <x:f>IF(Q616="","",IF(Q616="待结算","待结算",IF(Q616="红","黑",IF(Q616="半红","半黑",IF(Q616="走","走",IF(Q616="半黑","半红","红"))))))</x:f>
        <x:v>红</x:v>
      </x:c>
      <x:c r="V616" s="604" t="n">
        <x:f>IF(OR(Q616="",Q616="待结算"),"",IF(L616=LEFT(F616,FIND(" vs ",F616)-1),I616,G616))</x:f>
        <x:v>0.78</x:v>
      </x:c>
      <x:c r="W616" s="604" t="n">
        <x:f>IF(OR(U616="",U616="待结算"),"",IF(U616="红",V616,IF(U616="半红",V616*0.5,IF(U616="走",0,IF(U616="半黑",-0.5,-1)))))</x:f>
        <x:v>0.78</x:v>
      </x:c>
      <x:c r="X616" s="604" t="inlineStr">
        <x:is>
          <x:t xml:space="preserve">3085259</x:t>
        </x:is>
      </x:c>
      <x:c r="Y616" s="604" t="inlineStr">
        <x:is>
          <x:t xml:space="preserve">V4</x:t>
        </x:is>
      </x:c>
      <x:c r="Z616" s="604" t="inlineStr">
        <x:is>
          <x:t xml:space="preserve">prior-2026-10-01-v1</x:t>
        </x:is>
      </x:c>
      <x:c r="AA616" s="604" t="inlineStr">
        <x:is>
          <x:t xml:space="preserve">C</x:t>
        </x:is>
      </x:c>
      <x:c r="AB616" s="604" t="n">
        <x:v>0.2822232461581859</x:v>
      </x:c>
      <x:c r="AC616" s="604" t="n">
        <x:v>0.2158916114428941</x:v>
      </x:c>
      <x:c r="AD616" s="604" t="n"/>
      <x:c r="AE616" s="604" t="n"/>
      <x:c r="AF616" s="604" t="n">
        <x:v>0.5018851423989199</x:v>
      </x:c>
      <x:c r="AG616" s="604" t="n">
        <x:v>0.00130135919152452</x:v>
      </x:c>
      <x:c r="AH616" s="604" t="n"/>
      <x:c r="AI616" s="604" t="n"/>
      <x:c r="AJ616" s="604" t="n">
        <x:v>0.00130135919152452</x:v>
      </x:c>
      <x:c r="AK616" s="604" t="n"/>
      <x:c r="AL616" s="604" t="n"/>
      <x:c r="AM616" s="604" t="n"/>
      <x:c r="AN616" s="604" t="inlineStr">
        <x:is>
          <x:t xml:space="preserve">EVALUATED</x:t>
        </x:is>
      </x:c>
      <x:c r="AO616" s="604" t="inlineStr">
        <x:is>
          <x:t xml:space="preserve">EDGE_BELOW_UNCERTAINTY_THRESHOLD、BUCKET_PRIOR_ONLY、INTENT_INTERPRETATION_ONLY、EXPERT_MARKET</x:t>
        </x:is>
      </x:c>
      <x:c r="AP616" s="604" t="inlineStr">
        <x:is>
          <x:t xml:space="preserve">b4340832cd1228b49a68</x:t>
        </x:is>
      </x:c>
      <x:c r="AQ616" s="604" t="n">
        <x:v>0</x:v>
      </x:c>
      <x:c r="AR616" s="604" t="n"/>
      <x:c r="AS616" s="604" t="n">
        <x:v>0</x:v>
      </x:c>
      <x:c r="AT616" s="604" t="n">
        <x:v>0</x:v>
      </x:c>
      <x:c r="AU616" s="604" t="n">
        <x:v>0.78</x:v>
      </x:c>
      <x:c r="AV616" s="604" t="n">
        <x:v>0.92</x:v>
      </x:c>
      <x:c r="AW616" s="604" t="n">
        <x:v>46296.03418765046</x:v>
      </x:c>
      <x:c r="AX616" s="604" t="inlineStr">
        <x:is>
          <x:t xml:space="preserve">https://simondongxiao.github.io/odds/v4/</x:t>
        </x:is>
      </x:c>
      <x:c r="AY616" s="604" t="inlineStr">
        <x:is>
          <x:t xml:space="preserve">V4 Shadow Only；real_money=false；P(EV&gt;0)不是比赛胜率</x:t>
        </x:is>
      </x:c>
    </x:row>
    <x:row r="617" ht="22" customHeight="1">
      <x:c r="A617" s="604" t="inlineStr">
        <x:is>
          <x:t xml:space="preserve">2026-10-01</x:t>
        </x:is>
      </x:c>
      <x:c r="B617" s="604" t="inlineStr">
        <x:is>
          <x:t xml:space="preserve">2026-10-02 00:00</x:t>
        </x:is>
      </x:c>
      <x:c r="C617" s="604" t="str">
        <x:v>西亚/中亚系列</x:v>
      </x:c>
      <x:c r="D617" s="604" t="inlineStr">
        <x:is>
          <x:t xml:space="preserve">联赛</x:t>
        </x:is>
      </x:c>
      <x:c r="E617" s="604" t="inlineStr">
        <x:is>
          <x:t xml:space="preserve">以甲</x:t>
        </x:is>
      </x:c>
      <x:c r="F617" s="604" t="inlineStr">
        <x:is>
          <x:t xml:space="preserve">奇亚亚蒙SC vs 法萨巴夏普尔</x:t>
        </x:is>
      </x:c>
      <x:c r="G617" s="604" t="n">
        <x:v>0.84</x:v>
      </x:c>
      <x:c r="H617" s="604" t="n">
        <x:v>0.75</x:v>
      </x:c>
      <x:c r="I617" s="604" t="n">
        <x:v>0.86</x:v>
      </x:c>
      <x:c r="J617" s="604" t="inlineStr">
        <x:is>
          <x:t xml:space="preserve">0.84/0.75/0.86</x:t>
        </x:is>
      </x:c>
      <x:c r="K617" s="604" t="inlineStr">
        <x:is>
          <x:t xml:space="preserve">V4-B｜EV +0.0731</x:t>
        </x:is>
      </x:c>
      <x:c r="L617" s="604" t="inlineStr">
        <x:is>
          <x:t xml:space="preserve">奇亚亚蒙SC</x:t>
        </x:is>
      </x:c>
      <x:c r="M617" s="604" t="n">
        <x:v>0.5890384232023504</x:v>
      </x:c>
      <x:c r="N617" s="604" t="inlineStr">
        <x:is>
          <x:t xml:space="preserve">V4纸面入选-B</x:t>
        </x:is>
      </x:c>
      <x:c r="O617" s="604" t="inlineStr">
        <x:is>
          <x:t xml:space="preserve">2-0</x:t>
        </x:is>
      </x:c>
      <x:c r="P617" s="604" t="inlineStr">
        <x:is>
          <x:t xml:space="preserve">已结算</x:t>
        </x:is>
      </x:c>
      <x:c r="Q617" s="645" t="inlineStr">
        <x:is>
          <x:t xml:space="preserve">红</x:t>
        </x:is>
      </x:c>
      <x:c r="R617" s="604" t="n">
        <x:v>0.84</x:v>
      </x:c>
      <x:c r="S617" s="604" t="n">
        <x:f>IF(OR(Q617="",Q617="待结算"),"",IF(Q617="红",R617,IF(Q617="半红",R617*0.5,IF(Q617="走",0,IF(Q617="半黑",-0.5,-1)))))</x:f>
        <x:v>0.84</x:v>
      </x:c>
      <x:c r="T617" s="604" t="inlineStr">
        <x:is>
          <x:t xml:space="preserve">https://m.titan007.com/analy/Analysis/3001846.htm</x:t>
        </x:is>
      </x:c>
      <x:c r="U617" s="646" t="str">
        <x:f>IF(Q617="","",IF(Q617="待结算","待结算",IF(Q617="红","黑",IF(Q617="半红","半黑",IF(Q617="走","走",IF(Q617="半黑","半红","红"))))))</x:f>
        <x:v>黑</x:v>
      </x:c>
      <x:c r="V617" s="604" t="n">
        <x:f>IF(OR(Q617="",Q617="待结算"),"",IF(L617=LEFT(F617,FIND(" vs ",F617)-1),I617,G617))</x:f>
        <x:v>0.86</x:v>
      </x:c>
      <x:c r="W617" s="604" t="n">
        <x:f>IF(OR(U617="",U617="待结算"),"",IF(U617="红",V617,IF(U617="半红",V617*0.5,IF(U617="走",0,IF(U617="半黑",-0.5,-1)))))</x:f>
        <x:v>-1</x:v>
      </x:c>
      <x:c r="X617" s="604" t="inlineStr">
        <x:is>
          <x:t xml:space="preserve">3001846</x:t>
        </x:is>
      </x:c>
      <x:c r="Y617" s="604" t="inlineStr">
        <x:is>
          <x:t xml:space="preserve">V4</x:t>
        </x:is>
      </x:c>
      <x:c r="Z617" s="604" t="inlineStr">
        <x:is>
          <x:t xml:space="preserve">prior-2026-10-01-v1</x:t>
        </x:is>
      </x:c>
      <x:c r="AA617" s="604" t="inlineStr">
        <x:is>
          <x:t xml:space="preserve">B</x:t>
        </x:is>
      </x:c>
      <x:c r="AB617" s="604" t="n">
        <x:v>0.3862602596918776</x:v>
      </x:c>
      <x:c r="AC617" s="604" t="n">
        <x:v>0.2552212212739564</x:v>
      </x:c>
      <x:c r="AD617" s="604" t="n"/>
      <x:c r="AE617" s="604" t="n"/>
      <x:c r="AF617" s="604" t="n">
        <x:v>0.3585185190341661</x:v>
      </x:c>
      <x:c r="AG617" s="604" t="n">
        <x:v>0.07313301204207273</x:v>
      </x:c>
      <x:c r="AH617" s="604" t="n"/>
      <x:c r="AI617" s="604" t="n"/>
      <x:c r="AJ617" s="604" t="n">
        <x:v>0.07313301204207273</x:v>
      </x:c>
      <x:c r="AK617" s="604" t="n"/>
      <x:c r="AL617" s="604" t="n"/>
      <x:c r="AM617" s="604" t="n"/>
      <x:c r="AN617" s="604" t="inlineStr">
        <x:is>
          <x:t xml:space="preserve">EVALUATED</x:t>
        </x:is>
      </x:c>
      <x:c r="AO617" s="604" t="inlineStr">
        <x:is>
          <x:t xml:space="preserve">GIVING_VALIDATED_EDGE、BUCKET_PRIOR_ONLY、INTENT_INTERPRETATION_ONLY、EXPERT_MARKET</x:t>
        </x:is>
      </x:c>
      <x:c r="AP617" s="604" t="inlineStr">
        <x:is>
          <x:t xml:space="preserve">2a0702445ea137dafcde</x:t>
        </x:is>
      </x:c>
      <x:c r="AQ617" s="604" t="n">
        <x:v>-0.75</x:v>
      </x:c>
      <x:c r="AR617" s="604" t="n">
        <x:v>0.84</x:v>
      </x:c>
      <x:c r="AS617" s="604" t="n">
        <x:v>0.75</x:v>
      </x:c>
      <x:c r="AT617" s="604" t="n">
        <x:v>-0.75</x:v>
      </x:c>
      <x:c r="AU617" s="604" t="n">
        <x:v>0.84</x:v>
      </x:c>
      <x:c r="AV617" s="604" t="n">
        <x:v>0.86</x:v>
      </x:c>
      <x:c r="AW617" s="604" t="n">
        <x:v>46296.03418765046</x:v>
      </x:c>
      <x:c r="AX617" s="604" t="inlineStr">
        <x:is>
          <x:t xml:space="preserve">https://simondongxiao.github.io/odds/v4/</x:t>
        </x:is>
      </x:c>
      <x:c r="AY617" s="604" t="inlineStr">
        <x:is>
          <x:t xml:space="preserve">V4 Shadow Only；real_money=false；P(EV&gt;0)不是比赛胜率</x:t>
        </x:is>
      </x:c>
    </x:row>
    <x:row r="618" ht="22" customHeight="1">
      <x:c r="A618" s="604" t="inlineStr">
        <x:is>
          <x:t xml:space="preserve">2026-10-01</x:t>
        </x:is>
      </x:c>
      <x:c r="B618" s="604" t="inlineStr">
        <x:is>
          <x:t xml:space="preserve">2026-10-02 00:00</x:t>
        </x:is>
      </x:c>
      <x:c r="C618" s="604" t="str">
        <x:v>西亚/中亚系列</x:v>
      </x:c>
      <x:c r="D618" s="604" t="inlineStr">
        <x:is>
          <x:t xml:space="preserve">联赛</x:t>
        </x:is>
      </x:c>
      <x:c r="E618" s="604" t="inlineStr">
        <x:is>
          <x:t xml:space="preserve">以甲</x:t>
        </x:is>
      </x:c>
      <x:c r="F618" s="604" t="inlineStr">
        <x:is>
          <x:t xml:space="preserve">麦卡比 vs 夏雷姆</x:t>
        </x:is>
      </x:c>
      <x:c r="G618" s="604" t="n">
        <x:v>0.95</x:v>
      </x:c>
      <x:c r="H618" s="604" t="n">
        <x:v>0</x:v>
      </x:c>
      <x:c r="I618" s="604" t="n">
        <x:v>0.75</x:v>
      </x:c>
      <x:c r="J618" s="604" t="inlineStr">
        <x:is>
          <x:t xml:space="preserve">0.95/0/0.75</x:t>
        </x:is>
      </x:c>
      <x:c r="K618" s="604" t="inlineStr">
        <x:is>
          <x:t xml:space="preserve">V4-C｜EV +0.0140</x:t>
        </x:is>
      </x:c>
      <x:c r="L618" s="604" t="str"/>
      <x:c r="M618" s="604" t="n">
        <x:v>0.5199885818807816</x:v>
      </x:c>
      <x:c r="N618" s="604" t="inlineStr">
        <x:is>
          <x:t xml:space="preserve">V4纸面入选-C</x:t>
        </x:is>
      </x:c>
      <x:c r="O618" s="604" t="inlineStr">
        <x:is>
          <x:t xml:space="preserve">1-2</x:t>
        </x:is>
      </x:c>
      <x:c r="P618" s="604" t="inlineStr">
        <x:is>
          <x:t xml:space="preserve">已结算</x:t>
        </x:is>
      </x:c>
      <x:c r="Q618" s="646" t="inlineStr">
        <x:is>
          <x:t xml:space="preserve">黑</x:t>
        </x:is>
      </x:c>
      <x:c r="R618" s="604" t="n">
        <x:v>0.75</x:v>
      </x:c>
      <x:c r="S618" s="604" t="n">
        <x:f>IF(OR(Q618="",Q618="待结算"),"",IF(Q618="红",R618,IF(Q618="半红",R618*0.5,IF(Q618="走",0,IF(Q618="半黑",-0.5,-1)))))</x:f>
        <x:v>-1</x:v>
      </x:c>
      <x:c r="T618" s="604" t="inlineStr">
        <x:is>
          <x:t xml:space="preserve">https://m.titan007.com/analy/Analysis/3001847.htm</x:t>
        </x:is>
      </x:c>
      <x:c r="U618" s="645" t="str">
        <x:f>IF(Q618="","",IF(Q618="待结算","待结算",IF(Q618="红","黑",IF(Q618="半红","半黑",IF(Q618="走","走",IF(Q618="半黑","半红","红"))))))</x:f>
        <x:v>红</x:v>
      </x:c>
      <x:c r="V618" s="604" t="n">
        <x:f>IF(OR(Q618="",Q618="待结算"),"",IF(L618=LEFT(F618,FIND(" vs ",F618)-1),I618,G618))</x:f>
        <x:v>0.95</x:v>
      </x:c>
      <x:c r="W618" s="604" t="n">
        <x:f>IF(OR(U618="",U618="待结算"),"",IF(U618="红",V618,IF(U618="半红",V618*0.5,IF(U618="走",0,IF(U618="半黑",-0.5,-1)))))</x:f>
        <x:v>0.95</x:v>
      </x:c>
      <x:c r="X618" s="604" t="inlineStr">
        <x:is>
          <x:t xml:space="preserve">3001847</x:t>
        </x:is>
      </x:c>
      <x:c r="Y618" s="604" t="inlineStr">
        <x:is>
          <x:t xml:space="preserve">V4</x:t>
        </x:is>
      </x:c>
      <x:c r="Z618" s="604" t="inlineStr">
        <x:is>
          <x:t xml:space="preserve">prior-2026-10-01-v1</x:t>
        </x:is>
      </x:c>
      <x:c r="AA618" s="604" t="inlineStr">
        <x:is>
          <x:t xml:space="preserve">C</x:t>
        </x:is>
      </x:c>
      <x:c r="AB618" s="604" t="n">
        <x:v>0.5199885818807816</x:v>
      </x:c>
      <x:c r="AC618" s="604" t="n"/>
      <x:c r="AD618" s="604" t="n"/>
      <x:c r="AE618" s="604" t="n"/>
      <x:c r="AF618" s="604" t="n">
        <x:v>0.4800114181192184</x:v>
      </x:c>
      <x:c r="AG618" s="604" t="n">
        <x:v>0.01397773466752406</x:v>
      </x:c>
      <x:c r="AH618" s="604" t="n"/>
      <x:c r="AI618" s="604" t="n"/>
      <x:c r="AJ618" s="604" t="n">
        <x:v>0.01397773466752406</x:v>
      </x:c>
      <x:c r="AK618" s="604" t="n"/>
      <x:c r="AL618" s="604" t="n"/>
      <x:c r="AM618" s="604" t="n"/>
      <x:c r="AN618" s="604" t="inlineStr">
        <x:is>
          <x:t xml:space="preserve">EVALUATED</x:t>
        </x:is>
      </x:c>
      <x:c r="AO618" s="604" t="inlineStr">
        <x:is>
          <x:t xml:space="preserve">EDGE_BELOW_UNCERTAINTY_THRESHOLD、BUCKET_PRIOR_ONLY、INTENT_INTERPRETATION_ONLY、EXPERT_MARKET</x:t>
        </x:is>
      </x:c>
      <x:c r="AP618" s="604" t="inlineStr">
        <x:is>
          <x:t xml:space="preserve">9a66fc20b85f72c7525e</x:t>
        </x:is>
      </x:c>
      <x:c r="AQ618" s="604" t="n">
        <x:v>0</x:v>
      </x:c>
      <x:c r="AR618" s="604" t="n"/>
      <x:c r="AS618" s="604" t="n">
        <x:v>0</x:v>
      </x:c>
      <x:c r="AT618" s="604" t="n">
        <x:v>0</x:v>
      </x:c>
      <x:c r="AU618" s="604" t="n">
        <x:v>0.95</x:v>
      </x:c>
      <x:c r="AV618" s="604" t="n">
        <x:v>0.75</x:v>
      </x:c>
      <x:c r="AW618" s="604" t="n">
        <x:v>46296.03418765046</x:v>
      </x:c>
      <x:c r="AX618" s="604" t="inlineStr">
        <x:is>
          <x:t xml:space="preserve">https://simondongxiao.github.io/odds/v4/</x:t>
        </x:is>
      </x:c>
      <x:c r="AY618" s="604" t="inlineStr">
        <x:is>
          <x:t xml:space="preserve">V4 Shadow Only；real_money=false；P(EV&gt;0)不是比赛胜率</x:t>
        </x:is>
      </x:c>
    </x:row>
    <x:row r="619" ht="22" customHeight="1">
      <x:c r="A619" s="604" t="inlineStr">
        <x:is>
          <x:t xml:space="preserve">2026-10-01</x:t>
        </x:is>
      </x:c>
      <x:c r="B619" s="604" t="inlineStr">
        <x:is>
          <x:t xml:space="preserve">2026-10-02 00:00</x:t>
        </x:is>
      </x:c>
      <x:c r="C619" s="604" t="str">
        <x:v>西亚/中亚系列</x:v>
      </x:c>
      <x:c r="D619" s="604" t="inlineStr">
        <x:is>
          <x:t xml:space="preserve">联赛</x:t>
        </x:is>
      </x:c>
      <x:c r="E619" s="604" t="inlineStr">
        <x:is>
          <x:t xml:space="preserve">以甲</x:t>
        </x:is>
      </x:c>
      <x:c r="F619" s="604" t="inlineStr">
        <x:is>
          <x:t xml:space="preserve">卡比利奥马卡比 vs 阿卡夏普尔</x:t>
        </x:is>
      </x:c>
      <x:c r="G619" s="604" t="n">
        <x:v>0.78</x:v>
      </x:c>
      <x:c r="H619" s="604" t="n">
        <x:v>0.5</x:v>
      </x:c>
      <x:c r="I619" s="604" t="n">
        <x:v>0.92</x:v>
      </x:c>
      <x:c r="J619" s="604" t="inlineStr">
        <x:is>
          <x:t xml:space="preserve">0.78/0.5/0.92</x:t>
        </x:is>
      </x:c>
      <x:c r="K619" s="604" t="inlineStr">
        <x:is>
          <x:t xml:space="preserve">V4-C｜EV +0.0547</x:t>
        </x:is>
      </x:c>
      <x:c r="L619" s="604" t="inlineStr">
        <x:is>
          <x:t xml:space="preserve">卡比利奥马卡比</x:t>
        </x:is>
      </x:c>
      <x:c r="M619" s="604" t="n">
        <x:v>0.5925318839284091</x:v>
      </x:c>
      <x:c r="N619" s="604" t="inlineStr">
        <x:is>
          <x:t xml:space="preserve">V4纸面入选-C</x:t>
        </x:is>
      </x:c>
      <x:c r="O619" s="604" t="inlineStr">
        <x:is>
          <x:t xml:space="preserve">1-0</x:t>
        </x:is>
      </x:c>
      <x:c r="P619" s="604" t="inlineStr">
        <x:is>
          <x:t xml:space="preserve">已结算</x:t>
        </x:is>
      </x:c>
      <x:c r="Q619" s="645" t="inlineStr">
        <x:is>
          <x:t xml:space="preserve">红</x:t>
        </x:is>
      </x:c>
      <x:c r="R619" s="604" t="n">
        <x:v>0.78</x:v>
      </x:c>
      <x:c r="S619" s="604" t="n">
        <x:f>IF(OR(Q619="",Q619="待结算"),"",IF(Q619="红",R619,IF(Q619="半红",R619*0.5,IF(Q619="走",0,IF(Q619="半黑",-0.5,-1)))))</x:f>
        <x:v>0.78</x:v>
      </x:c>
      <x:c r="T619" s="604" t="inlineStr">
        <x:is>
          <x:t xml:space="preserve">https://m.titan007.com/analy/Analysis/3001848.htm</x:t>
        </x:is>
      </x:c>
      <x:c r="U619" s="646" t="str">
        <x:f>IF(Q619="","",IF(Q619="待结算","待结算",IF(Q619="红","黑",IF(Q619="半红","半黑",IF(Q619="走","走",IF(Q619="半黑","半红","红"))))))</x:f>
        <x:v>黑</x:v>
      </x:c>
      <x:c r="V619" s="604" t="n">
        <x:f>IF(OR(Q619="",Q619="待结算"),"",IF(L619=LEFT(F619,FIND(" vs ",F619)-1),I619,G619))</x:f>
        <x:v>0.92</x:v>
      </x:c>
      <x:c r="W619" s="604" t="n">
        <x:f>IF(OR(U619="",U619="待结算"),"",IF(U619="红",V619,IF(U619="半红",V619*0.5,IF(U619="走",0,IF(U619="半黑",-0.5,-1)))))</x:f>
        <x:v>-1</x:v>
      </x:c>
      <x:c r="X619" s="604" t="inlineStr">
        <x:is>
          <x:t xml:space="preserve">3001848</x:t>
        </x:is>
      </x:c>
      <x:c r="Y619" s="604" t="inlineStr">
        <x:is>
          <x:t xml:space="preserve">V4</x:t>
        </x:is>
      </x:c>
      <x:c r="Z619" s="604" t="inlineStr">
        <x:is>
          <x:t xml:space="preserve">prior-2026-10-01-v1</x:t>
        </x:is>
      </x:c>
      <x:c r="AA619" s="604" t="inlineStr">
        <x:is>
          <x:t xml:space="preserve">C</x:t>
        </x:is>
      </x:c>
      <x:c r="AB619" s="604" t="n">
        <x:v>0.5925318839284091</x:v>
      </x:c>
      <x:c r="AC619" s="604" t="n"/>
      <x:c r="AD619" s="604" t="n"/>
      <x:c r="AE619" s="604" t="n"/>
      <x:c r="AF619" s="604" t="n">
        <x:v>0.4074681160715909</x:v>
      </x:c>
      <x:c r="AG619" s="604" t="n">
        <x:v>0.05470675339256814</x:v>
      </x:c>
      <x:c r="AH619" s="604" t="n"/>
      <x:c r="AI619" s="604" t="n"/>
      <x:c r="AJ619" s="604" t="n">
        <x:v>0.05470675339256814</x:v>
      </x:c>
      <x:c r="AK619" s="604" t="n"/>
      <x:c r="AL619" s="604" t="n"/>
      <x:c r="AM619" s="604" t="n"/>
      <x:c r="AN619" s="604" t="inlineStr">
        <x:is>
          <x:t xml:space="preserve">EVALUATED</x:t>
        </x:is>
      </x:c>
      <x:c r="AO619" s="604" t="inlineStr">
        <x:is>
          <x:t xml:space="preserve">GIVING_VALIDATED_EDGE、BUCKET_PRIOR_ONLY、INTENT_INTERPRETATION_ONLY、EXPERT_MARKET</x:t>
        </x:is>
      </x:c>
      <x:c r="AP619" s="604" t="inlineStr">
        <x:is>
          <x:t xml:space="preserve">5cb5d17d880403ec37b0</x:t>
        </x:is>
      </x:c>
      <x:c r="AQ619" s="604" t="n">
        <x:v>-0.5</x:v>
      </x:c>
      <x:c r="AR619" s="604" t="n">
        <x:v>0.78</x:v>
      </x:c>
      <x:c r="AS619" s="604" t="n">
        <x:v>0.5</x:v>
      </x:c>
      <x:c r="AT619" s="604" t="n">
        <x:v>-0.5</x:v>
      </x:c>
      <x:c r="AU619" s="604" t="n">
        <x:v>0.78</x:v>
      </x:c>
      <x:c r="AV619" s="604" t="n">
        <x:v>0.92</x:v>
      </x:c>
      <x:c r="AW619" s="604" t="n">
        <x:v>46296.03418765046</x:v>
      </x:c>
      <x:c r="AX619" s="604" t="inlineStr">
        <x:is>
          <x:t xml:space="preserve">https://simondongxiao.github.io/odds/v4/</x:t>
        </x:is>
      </x:c>
      <x:c r="AY619" s="604" t="inlineStr">
        <x:is>
          <x:t xml:space="preserve">V4 Shadow Only；real_money=false；P(EV&gt;0)不是比赛胜率</x:t>
        </x:is>
      </x:c>
    </x:row>
    <x:row r="620" ht="22" customHeight="1">
      <x:c r="A620" s="604" t="inlineStr">
        <x:is>
          <x:t xml:space="preserve">2026-10-01</x:t>
        </x:is>
      </x:c>
      <x:c r="B620" s="604" t="inlineStr">
        <x:is>
          <x:t xml:space="preserve">2026-10-02 00:00</x:t>
        </x:is>
      </x:c>
      <x:c r="C620" s="604" t="str">
        <x:v>西亚/中亚系列</x:v>
      </x:c>
      <x:c r="D620" s="604" t="inlineStr">
        <x:is>
          <x:t xml:space="preserve">联赛</x:t>
        </x:is>
      </x:c>
      <x:c r="E620" s="604" t="inlineStr">
        <x:is>
          <x:t xml:space="preserve">以甲</x:t>
        </x:is>
      </x:c>
      <x:c r="F620" s="604" t="inlineStr">
        <x:is>
          <x:t xml:space="preserve">阿基纳扎力 vs 莫迪恩</x:t>
        </x:is>
      </x:c>
      <x:c r="G620" s="604" t="n">
        <x:v>0.96</x:v>
      </x:c>
      <x:c r="H620" s="604" t="n">
        <x:v>0.25</x:v>
      </x:c>
      <x:c r="I620" s="604" t="n">
        <x:v>0.74</x:v>
      </x:c>
      <x:c r="J620" s="604" t="inlineStr">
        <x:is>
          <x:t xml:space="preserve">0.96/0.25/0.74</x:t>
        </x:is>
      </x:c>
      <x:c r="K620" s="604" t="inlineStr">
        <x:is>
          <x:t xml:space="preserve">V4-C｜EV +0.0548</x:t>
        </x:is>
      </x:c>
      <x:c r="L620" s="604" t="inlineStr">
        <x:is>
          <x:t xml:space="preserve">阿基纳扎力</x:t>
        </x:is>
      </x:c>
      <x:c r="M620" s="604" t="n">
        <x:v>0.5422955839024777</x:v>
      </x:c>
      <x:c r="N620" s="604" t="inlineStr">
        <x:is>
          <x:t xml:space="preserve">V4纸面入选-C</x:t>
        </x:is>
      </x:c>
      <x:c r="O620" s="604" t="inlineStr">
        <x:is>
          <x:t xml:space="preserve">1-2</x:t>
        </x:is>
      </x:c>
      <x:c r="P620" s="604" t="inlineStr">
        <x:is>
          <x:t xml:space="preserve">已结算</x:t>
        </x:is>
      </x:c>
      <x:c r="Q620" s="646" t="inlineStr">
        <x:is>
          <x:t xml:space="preserve">黑</x:t>
        </x:is>
      </x:c>
      <x:c r="R620" s="604" t="n">
        <x:v>0.96</x:v>
      </x:c>
      <x:c r="S620" s="604" t="n">
        <x:f>IF(OR(Q620="",Q620="待结算"),"",IF(Q620="红",R620,IF(Q620="半红",R620*0.5,IF(Q620="走",0,IF(Q620="半黑",-0.5,-1)))))</x:f>
        <x:v>-1</x:v>
      </x:c>
      <x:c r="T620" s="604" t="inlineStr">
        <x:is>
          <x:t xml:space="preserve">https://m.titan007.com/analy/Analysis/3001849.htm</x:t>
        </x:is>
      </x:c>
      <x:c r="U620" s="645" t="str">
        <x:f>IF(Q620="","",IF(Q620="待结算","待结算",IF(Q620="红","黑",IF(Q620="半红","半黑",IF(Q620="走","走",IF(Q620="半黑","半红","红"))))))</x:f>
        <x:v>红</x:v>
      </x:c>
      <x:c r="V620" s="604" t="n">
        <x:f>IF(OR(Q620="",Q620="待结算"),"",IF(L620=LEFT(F620,FIND(" vs ",F620)-1),I620,G620))</x:f>
        <x:v>0.74</x:v>
      </x:c>
      <x:c r="W620" s="604" t="n">
        <x:f>IF(OR(U620="",U620="待结算"),"",IF(U620="红",V620,IF(U620="半红",V620*0.5,IF(U620="走",0,IF(U620="半黑",-0.5,-1)))))</x:f>
        <x:v>0.74</x:v>
      </x:c>
      <x:c r="X620" s="604" t="inlineStr">
        <x:is>
          <x:t xml:space="preserve">3001849</x:t>
        </x:is>
      </x:c>
      <x:c r="Y620" s="604" t="inlineStr">
        <x:is>
          <x:t xml:space="preserve">V4</x:t>
        </x:is>
      </x:c>
      <x:c r="Z620" s="604" t="inlineStr">
        <x:is>
          <x:t xml:space="preserve">prior-2026-10-01-v1</x:t>
        </x:is>
      </x:c>
      <x:c r="AA620" s="604" t="inlineStr">
        <x:is>
          <x:t xml:space="preserve">C</x:t>
        </x:is>
      </x:c>
      <x:c r="AB620" s="604" t="n">
        <x:v>0.47282601989534</x:v>
      </x:c>
      <x:c r="AC620" s="604" t="n"/>
      <x:c r="AD620" s="604" t="n"/>
      <x:c r="AE620" s="604" t="n">
        <x:v>0.2562055309660444</x:v>
      </x:c>
      <x:c r="AF620" s="604" t="n">
        <x:v>0.2709684491386156</x:v>
      </x:c>
      <x:c r="AG620" s="604" t="n">
        <x:v>0.05484176447788852</x:v>
      </x:c>
      <x:c r="AH620" s="604" t="n"/>
      <x:c r="AI620" s="604" t="n"/>
      <x:c r="AJ620" s="604" t="n">
        <x:v>0.05484176447788852</x:v>
      </x:c>
      <x:c r="AK620" s="604" t="n"/>
      <x:c r="AL620" s="604" t="n"/>
      <x:c r="AM620" s="604" t="n"/>
      <x:c r="AN620" s="604" t="inlineStr">
        <x:is>
          <x:t xml:space="preserve">EVALUATED</x:t>
        </x:is>
      </x:c>
      <x:c r="AO620" s="604" t="inlineStr">
        <x:is>
          <x:t xml:space="preserve">GIVING_VALIDATED_EDGE、BUCKET_PRIOR_ONLY、INTENT_INTERPRETATION_ONLY、EXPERT_MARKET</x:t>
        </x:is>
      </x:c>
      <x:c r="AP620" s="604" t="inlineStr">
        <x:is>
          <x:t xml:space="preserve">c1bb30b3b4fe8083abad</x:t>
        </x:is>
      </x:c>
      <x:c r="AQ620" s="604" t="n">
        <x:v>-0.25</x:v>
      </x:c>
      <x:c r="AR620" s="604" t="n">
        <x:v>0.96</x:v>
      </x:c>
      <x:c r="AS620" s="604" t="n">
        <x:v>0.25</x:v>
      </x:c>
      <x:c r="AT620" s="604" t="n">
        <x:v>-0.25</x:v>
      </x:c>
      <x:c r="AU620" s="604" t="n">
        <x:v>0.96</x:v>
      </x:c>
      <x:c r="AV620" s="604" t="n">
        <x:v>0.74</x:v>
      </x:c>
      <x:c r="AW620" s="604" t="n">
        <x:v>46296.03418765046</x:v>
      </x:c>
      <x:c r="AX620" s="604" t="inlineStr">
        <x:is>
          <x:t xml:space="preserve">https://simondongxiao.github.io/odds/v4/</x:t>
        </x:is>
      </x:c>
      <x:c r="AY620" s="604" t="inlineStr">
        <x:is>
          <x:t xml:space="preserve">V4 Shadow Only；real_money=false；P(EV&gt;0)不是比赛胜率</x:t>
        </x:is>
      </x:c>
    </x:row>
    <x:row r="621" ht="22" customHeight="1">
      <x:c r="A621" s="604" t="inlineStr">
        <x:is>
          <x:t xml:space="preserve">2026-10-01</x:t>
        </x:is>
      </x:c>
      <x:c r="B621" s="604" t="inlineStr">
        <x:is>
          <x:t xml:space="preserve">2026-10-02 00:00</x:t>
        </x:is>
      </x:c>
      <x:c r="C621" s="604" t="str">
        <x:v>其他系列</x:v>
      </x:c>
      <x:c r="D621" s="604" t="inlineStr">
        <x:is>
          <x:t xml:space="preserve">联赛</x:t>
        </x:is>
      </x:c>
      <x:c r="E621" s="604" t="inlineStr">
        <x:is>
          <x:t xml:space="preserve">国际友谊</x:t>
        </x:is>
      </x:c>
      <x:c r="F621" s="604" t="inlineStr">
        <x:is>
          <x:t xml:space="preserve">美国U20 vs 巴西U20</x:t>
        </x:is>
      </x:c>
      <x:c r="G621" s="604" t="n">
        <x:v>0.86</x:v>
      </x:c>
      <x:c r="H621" s="604" t="n">
        <x:v>-0.5</x:v>
      </x:c>
      <x:c r="I621" s="604" t="n">
        <x:v>0.84</x:v>
      </x:c>
      <x:c r="J621" s="604" t="inlineStr">
        <x:is>
          <x:t xml:space="preserve">0.86/-0.5/0.84</x:t>
        </x:is>
      </x:c>
      <x:c r="K621" s="604" t="inlineStr">
        <x:is>
          <x:t xml:space="preserve">V4-C｜EV +0.0663</x:t>
        </x:is>
      </x:c>
      <x:c r="L621" s="604" t="inlineStr">
        <x:is>
          <x:t xml:space="preserve">巴西U20</x:t>
        </x:is>
      </x:c>
      <x:c r="M621" s="604" t="n">
        <x:v>0.5795006596702065</x:v>
      </x:c>
      <x:c r="N621" s="604" t="inlineStr">
        <x:is>
          <x:t xml:space="preserve">V4纸面入选-C</x:t>
        </x:is>
      </x:c>
      <x:c r="O621" s="604" t="inlineStr">
        <x:is>
          <x:t xml:space="preserve">0-2</x:t>
        </x:is>
      </x:c>
      <x:c r="P621" s="604" t="inlineStr">
        <x:is>
          <x:t xml:space="preserve">已结算</x:t>
        </x:is>
      </x:c>
      <x:c r="Q621" s="646" t="inlineStr">
        <x:is>
          <x:t xml:space="preserve">黑</x:t>
        </x:is>
      </x:c>
      <x:c r="R621" s="604" t="n">
        <x:v>0.84</x:v>
      </x:c>
      <x:c r="S621" s="604" t="n">
        <x:f>IF(OR(Q621="",Q621="待结算"),"",IF(Q621="红",R621,IF(Q621="半红",R621*0.5,IF(Q621="走",0,IF(Q621="半黑",-0.5,-1)))))</x:f>
        <x:v>-1</x:v>
      </x:c>
      <x:c r="T621" s="604" t="inlineStr">
        <x:is>
          <x:t xml:space="preserve">https://m.titan007.com/analy/Analysis/3095245.htm</x:t>
        </x:is>
      </x:c>
      <x:c r="U621" s="645" t="str">
        <x:f>IF(Q621="","",IF(Q621="待结算","待结算",IF(Q621="红","黑",IF(Q621="半红","半黑",IF(Q621="走","走",IF(Q621="半黑","半红","红"))))))</x:f>
        <x:v>红</x:v>
      </x:c>
      <x:c r="V621" s="604" t="n">
        <x:f>IF(OR(Q621="",Q621="待结算"),"",IF(L621=LEFT(F621,FIND(" vs ",F621)-1),I621,G621))</x:f>
        <x:v>0.86</x:v>
      </x:c>
      <x:c r="W621" s="604" t="n">
        <x:f>IF(OR(U621="",U621="待结算"),"",IF(U621="红",V621,IF(U621="半红",V621*0.5,IF(U621="走",0,IF(U621="半黑",-0.5,-1)))))</x:f>
        <x:v>0.86</x:v>
      </x:c>
      <x:c r="X621" s="604" t="inlineStr">
        <x:is>
          <x:t xml:space="preserve">3095245</x:t>
        </x:is>
      </x:c>
      <x:c r="Y621" s="604" t="inlineStr">
        <x:is>
          <x:t xml:space="preserve">V4</x:t>
        </x:is>
      </x:c>
      <x:c r="Z621" s="604" t="inlineStr">
        <x:is>
          <x:t xml:space="preserve">prior-2026-10-01-v1</x:t>
        </x:is>
      </x:c>
      <x:c r="AA621" s="604" t="inlineStr">
        <x:is>
          <x:t xml:space="preserve">C</x:t>
        </x:is>
      </x:c>
      <x:c r="AB621" s="604" t="n">
        <x:v>0.5795006596702065</x:v>
      </x:c>
      <x:c r="AC621" s="604" t="n"/>
      <x:c r="AD621" s="604" t="n"/>
      <x:c r="AE621" s="604" t="n"/>
      <x:c r="AF621" s="604" t="n">
        <x:v>0.4204993403297935</x:v>
      </x:c>
      <x:c r="AG621" s="604" t="n">
        <x:v>0.06628121379317997</x:v>
      </x:c>
      <x:c r="AH621" s="604" t="n"/>
      <x:c r="AI621" s="604" t="n"/>
      <x:c r="AJ621" s="604" t="n">
        <x:v>0.06628121379317997</x:v>
      </x:c>
      <x:c r="AK621" s="604" t="n"/>
      <x:c r="AL621" s="604" t="n"/>
      <x:c r="AM621" s="604" t="n"/>
      <x:c r="AN621" s="604" t="inlineStr">
        <x:is>
          <x:t xml:space="preserve">EVALUATED</x:t>
        </x:is>
      </x:c>
      <x:c r="AO621" s="604" t="inlineStr">
        <x:is>
          <x:t xml:space="preserve">GIVING_VALIDATED_EDGE、BUCKET_PRIOR_ONLY、INTENT_INTERPRETATION_ONLY、EXPERT_MARKET</x:t>
        </x:is>
      </x:c>
      <x:c r="AP621" s="604" t="inlineStr">
        <x:is>
          <x:t xml:space="preserve">57bb18558186d5da9f17</x:t>
        </x:is>
      </x:c>
      <x:c r="AQ621" s="604" t="n">
        <x:v>-0.5</x:v>
      </x:c>
      <x:c r="AR621" s="604" t="n">
        <x:v>0.84</x:v>
      </x:c>
      <x:c r="AS621" s="604" t="n">
        <x:v>-0.5</x:v>
      </x:c>
      <x:c r="AT621" s="604" t="n">
        <x:v>0.5</x:v>
      </x:c>
      <x:c r="AU621" s="604" t="n">
        <x:v>0.86</x:v>
      </x:c>
      <x:c r="AV621" s="604" t="n">
        <x:v>0.84</x:v>
      </x:c>
      <x:c r="AW621" s="604" t="n">
        <x:v>46296.03418765046</x:v>
      </x:c>
      <x:c r="AX621" s="604" t="inlineStr">
        <x:is>
          <x:t xml:space="preserve">https://simondongxiao.github.io/odds/v4/</x:t>
        </x:is>
      </x:c>
      <x:c r="AY621" s="604" t="inlineStr">
        <x:is>
          <x:t xml:space="preserve">V4 Shadow Only；real_money=false；P(EV&gt;0)不是比赛胜率</x:t>
        </x:is>
      </x:c>
    </x:row>
    <x:row r="622" ht="22" customHeight="1">
      <x:c r="A622" s="604" t="inlineStr">
        <x:is>
          <x:t xml:space="preserve">2026-10-01</x:t>
        </x:is>
      </x:c>
      <x:c r="B622" s="604" t="inlineStr">
        <x:is>
          <x:t xml:space="preserve">2026-10-02 00:30</x:t>
        </x:is>
      </x:c>
      <x:c r="C622" s="604" t="str">
        <x:v>欧洲非五大系列</x:v>
      </x:c>
      <x:c r="D622" s="604" t="inlineStr">
        <x:is>
          <x:t xml:space="preserve">联赛</x:t>
        </x:is>
      </x:c>
      <x:c r="E622" s="604" t="inlineStr">
        <x:is>
          <x:t xml:space="preserve">欧青U21外</x:t>
        </x:is>
      </x:c>
      <x:c r="F622" s="604" t="inlineStr">
        <x:is>
          <x:t xml:space="preserve">亚美尼亚U21 vs 意大利U21</x:t>
        </x:is>
      </x:c>
      <x:c r="G622" s="604" t="n">
        <x:v>0.8100000000000001</x:v>
      </x:c>
      <x:c r="H622" s="604" t="n">
        <x:v>0</x:v>
      </x:c>
      <x:c r="I622" s="604" t="n">
        <x:v>0.95</x:v>
      </x:c>
      <x:c r="J622" s="604" t="inlineStr">
        <x:is>
          <x:t xml:space="preserve">0.81/0/0.95</x:t>
        </x:is>
      </x:c>
      <x:c r="K622" s="604" t="inlineStr">
        <x:is>
          <x:t xml:space="preserve">V4-C｜EV +0.0207</x:t>
        </x:is>
      </x:c>
      <x:c r="L622" s="604" t="str"/>
      <x:c r="M622" s="604" t="n">
        <x:v>0.4328763276404621</x:v>
      </x:c>
      <x:c r="N622" s="604" t="inlineStr">
        <x:is>
          <x:t xml:space="preserve">V4纸面入选-C</x:t>
        </x:is>
      </x:c>
      <x:c r="O622" s="604" t="inlineStr">
        <x:is>
          <x:t xml:space="preserve">0-1</x:t>
        </x:is>
      </x:c>
      <x:c r="P622" s="604" t="inlineStr">
        <x:is>
          <x:t xml:space="preserve">已结算</x:t>
        </x:is>
      </x:c>
      <x:c r="Q622" s="646" t="inlineStr">
        <x:is>
          <x:t xml:space="preserve">黑</x:t>
        </x:is>
      </x:c>
      <x:c r="R622" s="604" t="n">
        <x:v>0.95</x:v>
      </x:c>
      <x:c r="S622" s="604" t="n">
        <x:f>IF(OR(Q622="",Q622="待结算"),"",IF(Q622="红",R622,IF(Q622="半红",R622*0.5,IF(Q622="走",0,IF(Q622="半黑",-0.5,-1)))))</x:f>
        <x:v>-1</x:v>
      </x:c>
      <x:c r="T622" s="604" t="inlineStr">
        <x:is>
          <x:t xml:space="preserve">https://m.titan007.com/analy/Analysis/2781316.htm</x:t>
        </x:is>
      </x:c>
      <x:c r="U622" s="645" t="str">
        <x:f>IF(Q622="","",IF(Q622="待结算","待结算",IF(Q622="红","黑",IF(Q622="半红","半黑",IF(Q622="走","走",IF(Q622="半黑","半红","红"))))))</x:f>
        <x:v>红</x:v>
      </x:c>
      <x:c r="V622" s="604" t="n">
        <x:f>IF(OR(Q622="",Q622="待结算"),"",IF(L622=LEFT(F622,FIND(" vs ",F622)-1),I622,G622))</x:f>
        <x:v>0.81</x:v>
      </x:c>
      <x:c r="W622" s="604" t="n">
        <x:f>IF(OR(U622="",U622="待结算"),"",IF(U622="红",V622,IF(U622="半红",V622*0.5,IF(U622="走",0,IF(U622="半黑",-0.5,-1)))))</x:f>
        <x:v>0.81</x:v>
      </x:c>
      <x:c r="X622" s="604" t="inlineStr">
        <x:is>
          <x:t xml:space="preserve">2781316</x:t>
        </x:is>
      </x:c>
      <x:c r="Y622" s="604" t="inlineStr">
        <x:is>
          <x:t xml:space="preserve">V4</x:t>
        </x:is>
      </x:c>
      <x:c r="Z622" s="604" t="inlineStr">
        <x:is>
          <x:t xml:space="preserve">prior-2026-10-01-v1</x:t>
        </x:is>
      </x:c>
      <x:c r="AA622" s="604" t="inlineStr">
        <x:is>
          <x:t xml:space="preserve">C</x:t>
        </x:is>
      </x:c>
      <x:c r="AB622" s="604" t="n">
        <x:v>0.3377602149711241</x:v>
      </x:c>
      <x:c r="AC622" s="604" t="n"/>
      <x:c r="AD622" s="604" t="n">
        <x:v>0.2197304555502037</x:v>
      </x:c>
      <x:c r="AE622" s="604" t="n"/>
      <x:c r="AF622" s="604" t="n">
        <x:v>0.4425093294786722</x:v>
      </x:c>
      <x:c r="AG622" s="604" t="n">
        <x:v>0.02067234190660039</x:v>
      </x:c>
      <x:c r="AH622" s="604" t="n"/>
      <x:c r="AI622" s="604" t="n"/>
      <x:c r="AJ622" s="604" t="n">
        <x:v>0.02067234190660039</x:v>
      </x:c>
      <x:c r="AK622" s="604" t="n"/>
      <x:c r="AL622" s="604" t="n"/>
      <x:c r="AM622" s="604" t="n"/>
      <x:c r="AN622" s="604" t="inlineStr">
        <x:is>
          <x:t xml:space="preserve">EVALUATED</x:t>
        </x:is>
      </x:c>
      <x:c r="AO622" s="604" t="inlineStr">
        <x:is>
          <x:t xml:space="preserve">EDGE_BELOW_UNCERTAINTY_THRESHOLD、BUCKET_PRIOR_ONLY、INTENT_INTERPRETATION_ONLY、EXPERT_MARKET</x:t>
        </x:is>
      </x:c>
      <x:c r="AP622" s="604" t="inlineStr">
        <x:is>
          <x:t xml:space="preserve">df22858a1c06ac5951b6</x:t>
        </x:is>
      </x:c>
      <x:c r="AQ622" s="604" t="n">
        <x:v>0</x:v>
      </x:c>
      <x:c r="AR622" s="604" t="n"/>
      <x:c r="AS622" s="604" t="n">
        <x:v>0</x:v>
      </x:c>
      <x:c r="AT622" s="604" t="n">
        <x:v>0</x:v>
      </x:c>
      <x:c r="AU622" s="604" t="n">
        <x:v>0.8100000000000001</x:v>
      </x:c>
      <x:c r="AV622" s="604" t="n">
        <x:v>0.95</x:v>
      </x:c>
      <x:c r="AW622" s="604" t="n">
        <x:v>46296.03418765046</x:v>
      </x:c>
      <x:c r="AX622" s="604" t="inlineStr">
        <x:is>
          <x:t xml:space="preserve">https://simondongxiao.github.io/odds/v4/</x:t>
        </x:is>
      </x:c>
      <x:c r="AY622" s="604" t="inlineStr">
        <x:is>
          <x:t xml:space="preserve">V4 Shadow Only；real_money=false；P(EV&gt;0)不是比赛胜率</x:t>
        </x:is>
      </x:c>
    </x:row>
    <x:row r="623" ht="22" customHeight="1">
      <x:c r="A623" s="604" t="inlineStr">
        <x:is>
          <x:t xml:space="preserve">2026-10-01</x:t>
        </x:is>
      </x:c>
      <x:c r="B623" s="604" t="inlineStr">
        <x:is>
          <x:t xml:space="preserve">2026-10-02 00:45</x:t>
        </x:is>
      </x:c>
      <x:c r="C623" s="604" t="str">
        <x:v>欧洲非五大系列</x:v>
      </x:c>
      <x:c r="D623" s="604" t="inlineStr">
        <x:is>
          <x:t xml:space="preserve">杯赛</x:t>
        </x:is>
      </x:c>
      <x:c r="E623" s="604" t="inlineStr">
        <x:is>
          <x:t xml:space="preserve">欧女杯</x:t>
        </x:is>
      </x:c>
      <x:c r="F623" s="604" t="inlineStr">
        <x:is>
          <x:t xml:space="preserve">靴尔科治女足 vs 塞尔维特女足</x:t>
        </x:is>
      </x:c>
      <x:c r="G623" s="604" t="n">
        <x:v>0.83</x:v>
      </x:c>
      <x:c r="H623" s="604" t="n">
        <x:v>1.5</x:v>
      </x:c>
      <x:c r="I623" s="604" t="n">
        <x:v>0.87</x:v>
      </x:c>
      <x:c r="J623" s="604" t="inlineStr">
        <x:is>
          <x:t xml:space="preserve">0.83/1.5/0.87</x:t>
        </x:is>
      </x:c>
      <x:c r="K623" s="604" t="inlineStr">
        <x:is>
          <x:t xml:space="preserve">V4-B｜EV +0.0819</x:t>
        </x:is>
      </x:c>
      <x:c r="L623" s="604" t="inlineStr">
        <x:is>
          <x:t xml:space="preserve">靴尔科治女足</x:t>
        </x:is>
      </x:c>
      <x:c r="M623" s="604" t="n">
        <x:v>0.5911995866863325</x:v>
      </x:c>
      <x:c r="N623" s="604" t="inlineStr">
        <x:is>
          <x:t xml:space="preserve">V4纸面入选-B</x:t>
        </x:is>
      </x:c>
      <x:c r="O623" s="604" t="inlineStr">
        <x:is>
          <x:t xml:space="preserve">5-1</x:t>
        </x:is>
      </x:c>
      <x:c r="P623" s="604" t="inlineStr">
        <x:is>
          <x:t xml:space="preserve">已结算</x:t>
        </x:is>
      </x:c>
      <x:c r="Q623" s="645" t="inlineStr">
        <x:is>
          <x:t xml:space="preserve">红</x:t>
        </x:is>
      </x:c>
      <x:c r="R623" s="604" t="n">
        <x:v>0.83</x:v>
      </x:c>
      <x:c r="S623" s="604" t="n">
        <x:f>IF(OR(Q623="",Q623="待结算"),"",IF(Q623="红",R623,IF(Q623="半红",R623*0.5,IF(Q623="走",0,IF(Q623="半黑",-0.5,-1)))))</x:f>
        <x:v>0.83</x:v>
      </x:c>
      <x:c r="T623" s="604" t="inlineStr">
        <x:is>
          <x:t xml:space="preserve">https://m.titan007.com/analy/Analysis/3092362.htm</x:t>
        </x:is>
      </x:c>
      <x:c r="U623" s="646" t="str">
        <x:f>IF(Q623="","",IF(Q623="待结算","待结算",IF(Q623="红","黑",IF(Q623="半红","半黑",IF(Q623="走","走",IF(Q623="半黑","半红","红"))))))</x:f>
        <x:v>黑</x:v>
      </x:c>
      <x:c r="V623" s="604" t="n">
        <x:f>IF(OR(Q623="",Q623="待结算"),"",IF(L623=LEFT(F623,FIND(" vs ",F623)-1),I623,G623))</x:f>
        <x:v>0.87</x:v>
      </x:c>
      <x:c r="W623" s="604" t="n">
        <x:f>IF(OR(U623="",U623="待结算"),"",IF(U623="红",V623,IF(U623="半红",V623*0.5,IF(U623="走",0,IF(U623="半黑",-0.5,-1)))))</x:f>
        <x:v>-1</x:v>
      </x:c>
      <x:c r="X623" s="604" t="inlineStr">
        <x:is>
          <x:t xml:space="preserve">3092362</x:t>
        </x:is>
      </x:c>
      <x:c r="Y623" s="604" t="inlineStr">
        <x:is>
          <x:t xml:space="preserve">V4</x:t>
        </x:is>
      </x:c>
      <x:c r="Z623" s="604" t="inlineStr">
        <x:is>
          <x:t xml:space="preserve">prior-2026-10-01-v1</x:t>
        </x:is>
      </x:c>
      <x:c r="AA623" s="604" t="inlineStr">
        <x:is>
          <x:t xml:space="preserve">B</x:t>
        </x:is>
      </x:c>
      <x:c r="AB623" s="604" t="n">
        <x:v>0.5911995866863325</x:v>
      </x:c>
      <x:c r="AC623" s="604" t="n"/>
      <x:c r="AD623" s="604" t="n"/>
      <x:c r="AE623" s="604" t="n"/>
      <x:c r="AF623" s="604" t="n">
        <x:v>0.4088004133136674</x:v>
      </x:c>
      <x:c r="AG623" s="604" t="n">
        <x:v>0.0818952436359886</x:v>
      </x:c>
      <x:c r="AH623" s="604" t="n"/>
      <x:c r="AI623" s="604" t="n"/>
      <x:c r="AJ623" s="604" t="n">
        <x:v>0.0818952436359886</x:v>
      </x:c>
      <x:c r="AK623" s="604" t="n"/>
      <x:c r="AL623" s="604" t="n"/>
      <x:c r="AM623" s="604" t="n"/>
      <x:c r="AN623" s="604" t="inlineStr">
        <x:is>
          <x:t xml:space="preserve">EVALUATED</x:t>
        </x:is>
      </x:c>
      <x:c r="AO623" s="604" t="inlineStr">
        <x:is>
          <x:t xml:space="preserve">GIVING_VALIDATED_EDGE、BUCKET_PRIOR_ONLY、INTENT_INTERPRETATION_ONLY、EXPERT_MARKET</x:t>
        </x:is>
      </x:c>
      <x:c r="AP623" s="604" t="inlineStr">
        <x:is>
          <x:t xml:space="preserve">213747e0d870f2fafa93</x:t>
        </x:is>
      </x:c>
      <x:c r="AQ623" s="604" t="n">
        <x:v>-1.5</x:v>
      </x:c>
      <x:c r="AR623" s="604" t="n">
        <x:v>0.83</x:v>
      </x:c>
      <x:c r="AS623" s="604" t="n">
        <x:v>1.5</x:v>
      </x:c>
      <x:c r="AT623" s="604" t="n">
        <x:v>-1.5</x:v>
      </x:c>
      <x:c r="AU623" s="604" t="n">
        <x:v>0.83</x:v>
      </x:c>
      <x:c r="AV623" s="604" t="n">
        <x:v>0.87</x:v>
      </x:c>
      <x:c r="AW623" s="604" t="n">
        <x:v>46296.03418765046</x:v>
      </x:c>
      <x:c r="AX623" s="604" t="inlineStr">
        <x:is>
          <x:t xml:space="preserve">https://simondongxiao.github.io/odds/v4/</x:t>
        </x:is>
      </x:c>
      <x:c r="AY623" s="604" t="inlineStr">
        <x:is>
          <x:t xml:space="preserve">V4 Shadow Only；real_money=false；P(EV&gt;0)不是比赛胜率</x:t>
        </x:is>
      </x:c>
    </x:row>
    <x:row r="624" ht="22" customHeight="1">
      <x:c r="A624" s="604" t="inlineStr">
        <x:is>
          <x:t xml:space="preserve">2026-10-01</x:t>
        </x:is>
      </x:c>
      <x:c r="B624" s="604" t="inlineStr">
        <x:is>
          <x:t xml:space="preserve">2026-10-02 00:45</x:t>
        </x:is>
      </x:c>
      <x:c r="C624" s="604" t="str">
        <x:v>欧洲非五大系列</x:v>
      </x:c>
      <x:c r="D624" s="604" t="inlineStr">
        <x:is>
          <x:t xml:space="preserve">杯赛</x:t>
        </x:is>
      </x:c>
      <x:c r="E624" s="604" t="inlineStr">
        <x:is>
          <x:t xml:space="preserve">欧女杯</x:t>
        </x:is>
      </x:c>
      <x:c r="F624" s="604" t="inlineStr">
        <x:is>
          <x:t xml:space="preserve">奥地利维也纳女足 vs 国际米兰女足</x:t>
        </x:is>
      </x:c>
      <x:c r="G624" s="604" t="n">
        <x:v>0.76</x:v>
      </x:c>
      <x:c r="H624" s="604" t="n">
        <x:v>-0.75</x:v>
      </x:c>
      <x:c r="I624" s="604" t="n">
        <x:v>0.9399999999999999</x:v>
      </x:c>
      <x:c r="J624" s="604" t="inlineStr">
        <x:is>
          <x:t xml:space="preserve">0.76/-0.75/0.94</x:t>
        </x:is>
      </x:c>
      <x:c r="K624" s="604" t="inlineStr">
        <x:is>
          <x:t xml:space="preserve">V4-B｜EV +0.0983</x:t>
        </x:is>
      </x:c>
      <x:c r="L624" s="604" t="inlineStr">
        <x:is>
          <x:t xml:space="preserve">国际米兰女足</x:t>
        </x:is>
      </x:c>
      <x:c r="M624" s="604" t="n">
        <x:v>0.5735602053194728</x:v>
      </x:c>
      <x:c r="N624" s="604" t="inlineStr">
        <x:is>
          <x:t xml:space="preserve">V4纸面入选-B</x:t>
        </x:is>
      </x:c>
      <x:c r="O624" s="604" t="inlineStr">
        <x:is>
          <x:t xml:space="preserve">1-1</x:t>
        </x:is>
      </x:c>
      <x:c r="P624" s="604" t="inlineStr">
        <x:is>
          <x:t xml:space="preserve">已结算</x:t>
        </x:is>
      </x:c>
      <x:c r="Q624" s="646" t="inlineStr">
        <x:is>
          <x:t xml:space="preserve">黑</x:t>
        </x:is>
      </x:c>
      <x:c r="R624" s="604" t="n">
        <x:v>0.9399999999999999</x:v>
      </x:c>
      <x:c r="S624" s="604" t="n">
        <x:f>IF(OR(Q624="",Q624="待结算"),"",IF(Q624="红",R624,IF(Q624="半红",R624*0.5,IF(Q624="走",0,IF(Q624="半黑",-0.5,-1)))))</x:f>
        <x:v>-1</x:v>
      </x:c>
      <x:c r="T624" s="604" t="inlineStr">
        <x:is>
          <x:t xml:space="preserve">https://m.titan007.com/analy/Analysis/3092363.htm</x:t>
        </x:is>
      </x:c>
      <x:c r="U624" s="645" t="str">
        <x:f>IF(Q624="","",IF(Q624="待结算","待结算",IF(Q624="红","黑",IF(Q624="半红","半黑",IF(Q624="走","走",IF(Q624="半黑","半红","红"))))))</x:f>
        <x:v>红</x:v>
      </x:c>
      <x:c r="V624" s="604" t="n">
        <x:f>IF(OR(Q624="",Q624="待结算"),"",IF(L624=LEFT(F624,FIND(" vs ",F624)-1),I624,G624))</x:f>
        <x:v>0.76</x:v>
      </x:c>
      <x:c r="W624" s="604" t="n">
        <x:f>IF(OR(U624="",U624="待结算"),"",IF(U624="红",V624,IF(U624="半红",V624*0.5,IF(U624="走",0,IF(U624="半黑",-0.5,-1)))))</x:f>
        <x:v>0.76</x:v>
      </x:c>
      <x:c r="X624" s="604" t="inlineStr">
        <x:is>
          <x:t xml:space="preserve">3092363</x:t>
        </x:is>
      </x:c>
      <x:c r="Y624" s="604" t="inlineStr">
        <x:is>
          <x:t xml:space="preserve">V4</x:t>
        </x:is>
      </x:c>
      <x:c r="Z624" s="604" t="inlineStr">
        <x:is>
          <x:t xml:space="preserve">prior-2026-10-01-v1</x:t>
        </x:is>
      </x:c>
      <x:c r="AA624" s="604" t="inlineStr">
        <x:is>
          <x:t xml:space="preserve">B</x:t>
        </x:is>
      </x:c>
      <x:c r="AB624" s="604" t="n">
        <x:v>0.372734095237836</x:v>
      </x:c>
      <x:c r="AC624" s="604" t="n">
        <x:v>0.2552506213651533</x:v>
      </x:c>
      <x:c r="AD624" s="604" t="n"/>
      <x:c r="AE624" s="604" t="n"/>
      <x:c r="AF624" s="604" t="n">
        <x:v>0.3720152833970107</x:v>
      </x:c>
      <x:c r="AG624" s="604" t="n">
        <x:v>0.09832255816817714</x:v>
      </x:c>
      <x:c r="AH624" s="604" t="n"/>
      <x:c r="AI624" s="604" t="n"/>
      <x:c r="AJ624" s="604" t="n">
        <x:v>0.09832255816817714</x:v>
      </x:c>
      <x:c r="AK624" s="604" t="n"/>
      <x:c r="AL624" s="604" t="n"/>
      <x:c r="AM624" s="604" t="n"/>
      <x:c r="AN624" s="604" t="inlineStr">
        <x:is>
          <x:t xml:space="preserve">EVALUATED</x:t>
        </x:is>
      </x:c>
      <x:c r="AO624" s="604" t="inlineStr">
        <x:is>
          <x:t xml:space="preserve">GIVING_VALIDATED_EDGE、BUCKET_PRIOR_ONLY、INTENT_INTERPRETATION_ONLY、EXPERT_MARKET</x:t>
        </x:is>
      </x:c>
      <x:c r="AP624" s="604" t="inlineStr">
        <x:is>
          <x:t xml:space="preserve">e416ba3f288a24adc8c0</x:t>
        </x:is>
      </x:c>
      <x:c r="AQ624" s="604" t="n">
        <x:v>-0.75</x:v>
      </x:c>
      <x:c r="AR624" s="604" t="n">
        <x:v>0.9399999999999999</x:v>
      </x:c>
      <x:c r="AS624" s="604" t="n">
        <x:v>-0.75</x:v>
      </x:c>
      <x:c r="AT624" s="604" t="n">
        <x:v>0.75</x:v>
      </x:c>
      <x:c r="AU624" s="604" t="n">
        <x:v>0.76</x:v>
      </x:c>
      <x:c r="AV624" s="604" t="n">
        <x:v>0.9399999999999999</x:v>
      </x:c>
      <x:c r="AW624" s="604" t="n">
        <x:v>46296.03418765046</x:v>
      </x:c>
      <x:c r="AX624" s="604" t="inlineStr">
        <x:is>
          <x:t xml:space="preserve">https://simondongxiao.github.io/odds/v4/</x:t>
        </x:is>
      </x:c>
      <x:c r="AY624" s="604" t="inlineStr">
        <x:is>
          <x:t xml:space="preserve">V4 Shadow Only；real_money=false；P(EV&gt;0)不是比赛胜率</x:t>
        </x:is>
      </x:c>
    </x:row>
    <x:row r="625" ht="22" customHeight="1">
      <x:c r="A625" s="604" t="inlineStr">
        <x:is>
          <x:t xml:space="preserve">2026-10-01</x:t>
        </x:is>
      </x:c>
      <x:c r="B625" s="604" t="inlineStr">
        <x:is>
          <x:t xml:space="preserve">2026-10-02 01:00</x:t>
        </x:is>
      </x:c>
      <x:c r="C625" s="604" t="str">
        <x:v>欧洲非五大系列</x:v>
      </x:c>
      <x:c r="D625" s="604" t="inlineStr">
        <x:is>
          <x:t xml:space="preserve">联赛</x:t>
        </x:is>
      </x:c>
      <x:c r="E625" s="604" t="inlineStr">
        <x:is>
          <x:t xml:space="preserve">欧青U21外</x:t>
        </x:is>
      </x:c>
      <x:c r="F625" s="604" t="inlineStr">
        <x:is>
          <x:t xml:space="preserve">匈牙利U21 vs 立陶宛U21</x:t>
        </x:is>
      </x:c>
      <x:c r="G625" s="604" t="n">
        <x:v>1.02</x:v>
      </x:c>
      <x:c r="H625" s="604" t="n">
        <x:v>1.25</x:v>
      </x:c>
      <x:c r="I625" s="604" t="n">
        <x:v>0.8</x:v>
      </x:c>
      <x:c r="J625" s="604" t="inlineStr">
        <x:is>
          <x:t xml:space="preserve">1.02/1.25/0.8</x:t>
        </x:is>
      </x:c>
      <x:c r="K625" s="604" t="inlineStr">
        <x:is>
          <x:t xml:space="preserve">V4-C｜EV +0.1157</x:t>
        </x:is>
      </x:c>
      <x:c r="L625" s="604" t="inlineStr">
        <x:is>
          <x:t xml:space="preserve">匈牙利U21</x:t>
        </x:is>
      </x:c>
      <x:c r="M625" s="604" t="n">
        <x:v>0.5605541561542606</x:v>
      </x:c>
      <x:c r="N625" s="604" t="inlineStr">
        <x:is>
          <x:t xml:space="preserve">V4纸面入选-C</x:t>
        </x:is>
      </x:c>
      <x:c r="O625" s="604" t="inlineStr">
        <x:is>
          <x:t xml:space="preserve">2-1</x:t>
        </x:is>
      </x:c>
      <x:c r="P625" s="604" t="inlineStr">
        <x:is>
          <x:t xml:space="preserve">已结算</x:t>
        </x:is>
      </x:c>
      <x:c r="Q625" s="648" t="inlineStr">
        <x:is>
          <x:t xml:space="preserve">半黑</x:t>
        </x:is>
      </x:c>
      <x:c r="R625" s="604" t="n">
        <x:v>1.02</x:v>
      </x:c>
      <x:c r="S625" s="604" t="n">
        <x:f>IF(OR(Q625="",Q625="待结算"),"",IF(Q625="红",R625,IF(Q625="半红",R625*0.5,IF(Q625="走",0,IF(Q625="半黑",-0.5,-1)))))</x:f>
        <x:v>-0.5</x:v>
      </x:c>
      <x:c r="T625" s="604" t="inlineStr">
        <x:is>
          <x:t xml:space="preserve">https://m.titan007.com/analy/Analysis/2781387.htm</x:t>
        </x:is>
      </x:c>
      <x:c r="U625" s="649" t="str">
        <x:f>IF(Q625="","",IF(Q625="待结算","待结算",IF(Q625="红","黑",IF(Q625="半红","半黑",IF(Q625="走","走",IF(Q625="半黑","半红","红"))))))</x:f>
        <x:v>半红</x:v>
      </x:c>
      <x:c r="V625" s="604" t="n">
        <x:f>IF(OR(Q625="",Q625="待结算"),"",IF(L625=LEFT(F625,FIND(" vs ",F625)-1),I625,G625))</x:f>
        <x:v>0.8</x:v>
      </x:c>
      <x:c r="W625" s="604" t="n">
        <x:f>IF(OR(U625="",U625="待结算"),"",IF(U625="红",V625,IF(U625="半红",V625*0.5,IF(U625="走",0,IF(U625="半黑",-0.5,-1)))))</x:f>
        <x:v>0.4</x:v>
      </x:c>
      <x:c r="X625" s="604" t="inlineStr">
        <x:is>
          <x:t xml:space="preserve">2781387</x:t>
        </x:is>
      </x:c>
      <x:c r="Y625" s="604" t="inlineStr">
        <x:is>
          <x:t xml:space="preserve">V4</x:t>
        </x:is>
      </x:c>
      <x:c r="Z625" s="604" t="inlineStr">
        <x:is>
          <x:t xml:space="preserve">prior-2026-10-01-v1</x:t>
        </x:is>
      </x:c>
      <x:c r="AA625" s="604" t="inlineStr">
        <x:is>
          <x:t xml:space="preserve">C</x:t>
        </x:is>
      </x:c>
      <x:c r="AB625" s="604" t="n">
        <x:v>0.490181776986937</x:v>
      </x:c>
      <x:c r="AC625" s="604" t="n"/>
      <x:c r="AD625" s="604" t="n"/>
      <x:c r="AE625" s="604" t="n">
        <x:v>0.2510814642785651</x:v>
      </x:c>
      <x:c r="AF625" s="604" t="n">
        <x:v>0.2587367587344979</x:v>
      </x:c>
      <x:c r="AG625" s="604" t="n">
        <x:v>0.1157079216528953</x:v>
      </x:c>
      <x:c r="AH625" s="604" t="n"/>
      <x:c r="AI625" s="604" t="n"/>
      <x:c r="AJ625" s="604" t="n">
        <x:v>0.1157079216528953</x:v>
      </x:c>
      <x:c r="AK625" s="604" t="n"/>
      <x:c r="AL625" s="604" t="n"/>
      <x:c r="AM625" s="604" t="n"/>
      <x:c r="AN625" s="604" t="inlineStr">
        <x:is>
          <x:t xml:space="preserve">EVALUATED</x:t>
        </x:is>
      </x:c>
      <x:c r="AO625" s="604" t="inlineStr">
        <x:is>
          <x:t xml:space="preserve">GIVING_VALIDATED_EDGE、BUCKET_PRIOR_ONLY、INTENT_INTERPRETATION_ONLY、EXPERT_MARKET</x:t>
        </x:is>
      </x:c>
      <x:c r="AP625" s="604" t="inlineStr">
        <x:is>
          <x:t xml:space="preserve">491938d9658a5892b4d3</x:t>
        </x:is>
      </x:c>
      <x:c r="AQ625" s="604" t="n">
        <x:v>-1.25</x:v>
      </x:c>
      <x:c r="AR625" s="604" t="n">
        <x:v>1.02</x:v>
      </x:c>
      <x:c r="AS625" s="604" t="n">
        <x:v>1.25</x:v>
      </x:c>
      <x:c r="AT625" s="604" t="n">
        <x:v>-1.25</x:v>
      </x:c>
      <x:c r="AU625" s="604" t="n">
        <x:v>1.02</x:v>
      </x:c>
      <x:c r="AV625" s="604" t="n">
        <x:v>0.8</x:v>
      </x:c>
      <x:c r="AW625" s="604" t="n">
        <x:v>46296.03418765046</x:v>
      </x:c>
      <x:c r="AX625" s="604" t="inlineStr">
        <x:is>
          <x:t xml:space="preserve">https://simondongxiao.github.io/odds/v4/</x:t>
        </x:is>
      </x:c>
      <x:c r="AY625" s="604" t="inlineStr">
        <x:is>
          <x:t xml:space="preserve">V4 Shadow Only；real_money=false；P(EV&gt;0)不是比赛胜率</x:t>
        </x:is>
      </x:c>
    </x:row>
    <x:row r="626" ht="22" customHeight="1">
      <x:c r="A626" s="604" t="inlineStr">
        <x:is>
          <x:t xml:space="preserve">2026-10-01</x:t>
        </x:is>
      </x:c>
      <x:c r="B626" s="604" t="inlineStr">
        <x:is>
          <x:t xml:space="preserve">2026-10-02 01:15</x:t>
        </x:is>
      </x:c>
      <x:c r="C626" s="604" t="str">
        <x:v>西亚/中亚系列</x:v>
      </x:c>
      <x:c r="D626" s="604" t="inlineStr">
        <x:is>
          <x:t xml:space="preserve">杯赛</x:t>
        </x:is>
      </x:c>
      <x:c r="E626" s="604" t="inlineStr">
        <x:is>
          <x:t xml:space="preserve">卡塔杯</x:t>
        </x:is>
      </x:c>
      <x:c r="F626" s="604" t="inlineStr">
        <x:is>
          <x:t xml:space="preserve">卡塔尔体育 vs 阿尔比达SC</x:t>
        </x:is>
      </x:c>
      <x:c r="G626" s="604" t="n">
        <x:v>0.92</x:v>
      </x:c>
      <x:c r="H626" s="604" t="n">
        <x:v>0</x:v>
      </x:c>
      <x:c r="I626" s="604" t="n">
        <x:v>0.78</x:v>
      </x:c>
      <x:c r="J626" s="604" t="inlineStr">
        <x:is>
          <x:t xml:space="preserve">0.92/0/0.78</x:t>
        </x:is>
      </x:c>
      <x:c r="K626" s="604" t="inlineStr">
        <x:is>
          <x:t xml:space="preserve">V4-C｜EV +0.0243</x:t>
        </x:is>
      </x:c>
      <x:c r="L626" s="604" t="str"/>
      <x:c r="M626" s="604" t="n">
        <x:v>0.5378040877597459</x:v>
      </x:c>
      <x:c r="N626" s="604" t="inlineStr">
        <x:is>
          <x:t xml:space="preserve">V4纸面入选-C</x:t>
        </x:is>
      </x:c>
      <x:c r="O626" s="604" t="inlineStr">
        <x:is>
          <x:t xml:space="preserve">1-0</x:t>
        </x:is>
      </x:c>
      <x:c r="P626" s="604" t="inlineStr">
        <x:is>
          <x:t xml:space="preserve">已结算</x:t>
        </x:is>
      </x:c>
      <x:c r="Q626" s="645" t="inlineStr">
        <x:is>
          <x:t xml:space="preserve">红</x:t>
        </x:is>
      </x:c>
      <x:c r="R626" s="604" t="n">
        <x:v>0.78</x:v>
      </x:c>
      <x:c r="S626" s="604" t="n">
        <x:f>IF(OR(Q626="",Q626="待结算"),"",IF(Q626="红",R626,IF(Q626="半红",R626*0.5,IF(Q626="走",0,IF(Q626="半黑",-0.5,-1)))))</x:f>
        <x:v>0.78</x:v>
      </x:c>
      <x:c r="T626" s="604" t="inlineStr">
        <x:is>
          <x:t xml:space="preserve">https://m.titan007.com/analy/Analysis/3089307.htm</x:t>
        </x:is>
      </x:c>
      <x:c r="U626" s="646" t="str">
        <x:f>IF(Q626="","",IF(Q626="待结算","待结算",IF(Q626="红","黑",IF(Q626="半红","半黑",IF(Q626="走","走",IF(Q626="半黑","半红","红"))))))</x:f>
        <x:v>黑</x:v>
      </x:c>
      <x:c r="V626" s="604" t="n">
        <x:f>IF(OR(Q626="",Q626="待结算"),"",IF(L626=LEFT(F626,FIND(" vs ",F626)-1),I626,G626))</x:f>
        <x:v>0.92</x:v>
      </x:c>
      <x:c r="W626" s="604" t="n">
        <x:f>IF(OR(U626="",U626="待结算"),"",IF(U626="红",V626,IF(U626="半红",V626*0.5,IF(U626="走",0,IF(U626="半黑",-0.5,-1)))))</x:f>
        <x:v>-1</x:v>
      </x:c>
      <x:c r="X626" s="604" t="inlineStr">
        <x:is>
          <x:t xml:space="preserve">3089307</x:t>
        </x:is>
      </x:c>
      <x:c r="Y626" s="604" t="inlineStr">
        <x:is>
          <x:t xml:space="preserve">V4</x:t>
        </x:is>
      </x:c>
      <x:c r="Z626" s="604" t="inlineStr">
        <x:is>
          <x:t xml:space="preserve">prior-2026-10-01-v1</x:t>
        </x:is>
      </x:c>
      <x:c r="AA626" s="604" t="inlineStr">
        <x:is>
          <x:t xml:space="preserve">C</x:t>
        </x:is>
      </x:c>
      <x:c r="AB626" s="604" t="n">
        <x:v>0.4003676531993587</x:v>
      </x:c>
      <x:c r="AC626" s="604" t="n"/>
      <x:c r="AD626" s="604" t="n">
        <x:v>0.2555511155240313</x:v>
      </x:c>
      <x:c r="AE626" s="604" t="n"/>
      <x:c r="AF626" s="604" t="n">
        <x:v>0.3440812312766099</x:v>
      </x:c>
      <x:c r="AG626" s="604" t="n">
        <x:v>0.02425700966680011</x:v>
      </x:c>
      <x:c r="AH626" s="604" t="n"/>
      <x:c r="AI626" s="604" t="n"/>
      <x:c r="AJ626" s="604" t="n">
        <x:v>0.02425700966680011</x:v>
      </x:c>
      <x:c r="AK626" s="604" t="n"/>
      <x:c r="AL626" s="604" t="n"/>
      <x:c r="AM626" s="604" t="n"/>
      <x:c r="AN626" s="604" t="inlineStr">
        <x:is>
          <x:t xml:space="preserve">EVALUATED</x:t>
        </x:is>
      </x:c>
      <x:c r="AO626" s="604" t="inlineStr">
        <x:is>
          <x:t xml:space="preserve">EDGE_BELOW_UNCERTAINTY_THRESHOLD、BUCKET_PRIOR_ONLY、INTENT_INTERPRETATION_ONLY、EXPERT_MARKET</x:t>
        </x:is>
      </x:c>
      <x:c r="AP626" s="604" t="inlineStr">
        <x:is>
          <x:t xml:space="preserve">9c1420d086349dc9dab1</x:t>
        </x:is>
      </x:c>
      <x:c r="AQ626" s="604" t="n">
        <x:v>0</x:v>
      </x:c>
      <x:c r="AR626" s="604" t="n"/>
      <x:c r="AS626" s="604" t="n">
        <x:v>0</x:v>
      </x:c>
      <x:c r="AT626" s="604" t="n">
        <x:v>0</x:v>
      </x:c>
      <x:c r="AU626" s="604" t="n">
        <x:v>0.92</x:v>
      </x:c>
      <x:c r="AV626" s="604" t="n">
        <x:v>0.78</x:v>
      </x:c>
      <x:c r="AW626" s="604" t="n">
        <x:v>46296.03418765046</x:v>
      </x:c>
      <x:c r="AX626" s="604" t="inlineStr">
        <x:is>
          <x:t xml:space="preserve">https://simondongxiao.github.io/odds/v4/</x:t>
        </x:is>
      </x:c>
      <x:c r="AY626" s="604" t="inlineStr">
        <x:is>
          <x:t xml:space="preserve">V4 Shadow Only；real_money=false；P(EV&gt;0)不是比赛胜率</x:t>
        </x:is>
      </x:c>
    </x:row>
    <x:row r="627" ht="22" customHeight="1">
      <x:c r="A627" s="604" t="inlineStr">
        <x:is>
          <x:t xml:space="preserve">2026-10-01</x:t>
        </x:is>
      </x:c>
      <x:c r="B627" s="604" t="inlineStr">
        <x:is>
          <x:t xml:space="preserve">2026-10-02 02:45</x:t>
        </x:is>
      </x:c>
      <x:c r="C627" s="604" t="str">
        <x:v>欧洲非五大系列</x:v>
      </x:c>
      <x:c r="D627" s="604" t="inlineStr">
        <x:is>
          <x:t xml:space="preserve">联赛</x:t>
        </x:is>
      </x:c>
      <x:c r="E627" s="604" t="inlineStr">
        <x:is>
          <x:t xml:space="preserve">欧国联</x:t>
        </x:is>
      </x:c>
      <x:c r="F627" s="604" t="inlineStr">
        <x:is>
          <x:t xml:space="preserve">希腊 vs 荷兰</x:t>
        </x:is>
      </x:c>
      <x:c r="G627" s="604" t="n">
        <x:v>0.8100000000000001</x:v>
      </x:c>
      <x:c r="H627" s="604" t="n">
        <x:v>-0.5</x:v>
      </x:c>
      <x:c r="I627" s="604" t="n">
        <x:v>1.07</x:v>
      </x:c>
      <x:c r="J627" s="604" t="inlineStr">
        <x:is>
          <x:t xml:space="preserve">0.81/-0.5/1.07</x:t>
        </x:is>
      </x:c>
      <x:c r="K627" s="604" t="inlineStr">
        <x:is>
          <x:t xml:space="preserve">V4-C｜EV +0.0672</x:t>
        </x:is>
      </x:c>
      <x:c r="L627" s="604" t="inlineStr">
        <x:is>
          <x:t xml:space="preserve">荷兰</x:t>
        </x:is>
      </x:c>
      <x:c r="M627" s="604" t="n">
        <x:v>0.5155602093080704</x:v>
      </x:c>
      <x:c r="N627" s="604" t="inlineStr">
        <x:is>
          <x:t xml:space="preserve">V4纸面入选-C</x:t>
        </x:is>
      </x:c>
      <x:c r="O627" s="604" t="inlineStr">
        <x:is>
          <x:t xml:space="preserve">2-2</x:t>
        </x:is>
      </x:c>
      <x:c r="P627" s="604" t="inlineStr">
        <x:is>
          <x:t xml:space="preserve">已结算</x:t>
        </x:is>
      </x:c>
      <x:c r="Q627" s="646" t="inlineStr">
        <x:is>
          <x:t xml:space="preserve">黑</x:t>
        </x:is>
      </x:c>
      <x:c r="R627" s="604" t="n">
        <x:v>1.07</x:v>
      </x:c>
      <x:c r="S627" s="604" t="n">
        <x:f>IF(OR(Q627="",Q627="待结算"),"",IF(Q627="红",R627,IF(Q627="半红",R627*0.5,IF(Q627="走",0,IF(Q627="半黑",-0.5,-1)))))</x:f>
        <x:v>-1</x:v>
      </x:c>
      <x:c r="T627" s="604" t="inlineStr">
        <x:is>
          <x:t xml:space="preserve">https://m.titan007.com/analy/Analysis/2981441.htm</x:t>
        </x:is>
      </x:c>
      <x:c r="U627" s="645" t="str">
        <x:f>IF(Q627="","",IF(Q627="待结算","待结算",IF(Q627="红","黑",IF(Q627="半红","半黑",IF(Q627="走","走",IF(Q627="半黑","半红","红"))))))</x:f>
        <x:v>红</x:v>
      </x:c>
      <x:c r="V627" s="604" t="n">
        <x:f>IF(OR(Q627="",Q627="待结算"),"",IF(L627=LEFT(F627,FIND(" vs ",F627)-1),I627,G627))</x:f>
        <x:v>0.81</x:v>
      </x:c>
      <x:c r="W627" s="604" t="n">
        <x:f>IF(OR(U627="",U627="待结算"),"",IF(U627="红",V627,IF(U627="半红",V627*0.5,IF(U627="走",0,IF(U627="半黑",-0.5,-1)))))</x:f>
        <x:v>0.81</x:v>
      </x:c>
      <x:c r="X627" s="604" t="inlineStr">
        <x:is>
          <x:t xml:space="preserve">2981441</x:t>
        </x:is>
      </x:c>
      <x:c r="Y627" s="604" t="inlineStr">
        <x:is>
          <x:t xml:space="preserve">V4</x:t>
        </x:is>
      </x:c>
      <x:c r="Z627" s="604" t="inlineStr">
        <x:is>
          <x:t xml:space="preserve">prior-2026-10-01-v1</x:t>
        </x:is>
      </x:c>
      <x:c r="AA627" s="604" t="inlineStr">
        <x:is>
          <x:t xml:space="preserve">C</x:t>
        </x:is>
      </x:c>
      <x:c r="AB627" s="604" t="n">
        <x:v>0.5155602093080704</x:v>
      </x:c>
      <x:c r="AC627" s="604" t="n"/>
      <x:c r="AD627" s="604" t="n"/>
      <x:c r="AE627" s="604" t="n"/>
      <x:c r="AF627" s="604" t="n">
        <x:v>0.4844397906919296</x:v>
      </x:c>
      <x:c r="AG627" s="604" t="n">
        <x:v>0.06720963326770585</x:v>
      </x:c>
      <x:c r="AH627" s="604" t="n"/>
      <x:c r="AI627" s="604" t="n"/>
      <x:c r="AJ627" s="604" t="n">
        <x:v>0.06720963326770585</x:v>
      </x:c>
      <x:c r="AK627" s="604" t="n"/>
      <x:c r="AL627" s="604" t="n"/>
      <x:c r="AM627" s="604" t="n"/>
      <x:c r="AN627" s="604" t="inlineStr">
        <x:is>
          <x:t xml:space="preserve">EVALUATED</x:t>
        </x:is>
      </x:c>
      <x:c r="AO627" s="604" t="inlineStr">
        <x:is>
          <x:t xml:space="preserve">GIVING_VALIDATED_EDGE、BUCKET_PRIOR_ONLY、INTENT_INTERPRETATION_ONLY、EXPERT_MARKET</x:t>
        </x:is>
      </x:c>
      <x:c r="AP627" s="604" t="inlineStr">
        <x:is>
          <x:t xml:space="preserve">4c776099edb9c3227d72</x:t>
        </x:is>
      </x:c>
      <x:c r="AQ627" s="604" t="n">
        <x:v>-0.5</x:v>
      </x:c>
      <x:c r="AR627" s="604" t="n">
        <x:v>1.07</x:v>
      </x:c>
      <x:c r="AS627" s="604" t="n">
        <x:v>-0.5</x:v>
      </x:c>
      <x:c r="AT627" s="604" t="n">
        <x:v>0.5</x:v>
      </x:c>
      <x:c r="AU627" s="604" t="n">
        <x:v>0.8100000000000001</x:v>
      </x:c>
      <x:c r="AV627" s="604" t="n">
        <x:v>1.07</x:v>
      </x:c>
      <x:c r="AW627" s="604" t="n">
        <x:v>46296.03418765046</x:v>
      </x:c>
      <x:c r="AX627" s="604" t="inlineStr">
        <x:is>
          <x:t xml:space="preserve">https://simondongxiao.github.io/odds/v4/</x:t>
        </x:is>
      </x:c>
      <x:c r="AY627" s="604" t="inlineStr">
        <x:is>
          <x:t xml:space="preserve">V4 Shadow Only；real_money=false；P(EV&gt;0)不是比赛胜率</x:t>
        </x:is>
      </x:c>
    </x:row>
    <x:row r="628" ht="22" customHeight="1">
      <x:c r="A628" s="604" t="inlineStr">
        <x:is>
          <x:t xml:space="preserve">2026-10-01</x:t>
        </x:is>
      </x:c>
      <x:c r="B628" s="604" t="inlineStr">
        <x:is>
          <x:t xml:space="preserve">2026-10-02 02:45</x:t>
        </x:is>
      </x:c>
      <x:c r="C628" s="604" t="str">
        <x:v>欧洲非五大系列</x:v>
      </x:c>
      <x:c r="D628" s="604" t="inlineStr">
        <x:is>
          <x:t xml:space="preserve">联赛</x:t>
        </x:is>
      </x:c>
      <x:c r="E628" s="604" t="inlineStr">
        <x:is>
          <x:t xml:space="preserve">欧国联</x:t>
        </x:is>
      </x:c>
      <x:c r="F628" s="604" t="inlineStr">
        <x:is>
          <x:t xml:space="preserve">德国 vs 塞尔维亚</x:t>
        </x:is>
      </x:c>
      <x:c r="G628" s="604" t="n">
        <x:v>0.95</x:v>
      </x:c>
      <x:c r="H628" s="604" t="n">
        <x:v>0</x:v>
      </x:c>
      <x:c r="I628" s="604" t="n">
        <x:v>0.93</x:v>
      </x:c>
      <x:c r="J628" s="604" t="inlineStr">
        <x:is>
          <x:t xml:space="preserve">0.95/0/0.93</x:t>
        </x:is>
      </x:c>
      <x:c r="K628" s="604" t="inlineStr">
        <x:is>
          <x:t xml:space="preserve">V4-C｜EV +0.0516</x:t>
        </x:is>
      </x:c>
      <x:c r="L628" s="604" t="str"/>
      <x:c r="M628" s="604" t="n">
        <x:v>0.5479431641625297</x:v>
      </x:c>
      <x:c r="N628" s="604" t="inlineStr">
        <x:is>
          <x:t xml:space="preserve">V4纸面入选-C</x:t>
        </x:is>
      </x:c>
      <x:c r="O628" s="604" t="inlineStr">
        <x:is>
          <x:t xml:space="preserve">2-0</x:t>
        </x:is>
      </x:c>
      <x:c r="P628" s="604" t="inlineStr">
        <x:is>
          <x:t xml:space="preserve">已结算</x:t>
        </x:is>
      </x:c>
      <x:c r="Q628" s="645" t="inlineStr">
        <x:is>
          <x:t xml:space="preserve">红</x:t>
        </x:is>
      </x:c>
      <x:c r="R628" s="604" t="n">
        <x:v>0.93</x:v>
      </x:c>
      <x:c r="S628" s="604" t="n">
        <x:f>IF(OR(Q628="",Q628="待结算"),"",IF(Q628="红",R628,IF(Q628="半红",R628*0.5,IF(Q628="走",0,IF(Q628="半黑",-0.5,-1)))))</x:f>
        <x:v>0.93</x:v>
      </x:c>
      <x:c r="T628" s="604" t="inlineStr">
        <x:is>
          <x:t xml:space="preserve">https://m.titan007.com/analy/Analysis/2981442.htm</x:t>
        </x:is>
      </x:c>
      <x:c r="U628" s="646" t="str">
        <x:f>IF(Q628="","",IF(Q628="待结算","待结算",IF(Q628="红","黑",IF(Q628="半红","半黑",IF(Q628="走","走",IF(Q628="半黑","半红","红"))))))</x:f>
        <x:v>黑</x:v>
      </x:c>
      <x:c r="V628" s="604" t="n">
        <x:f>IF(OR(Q628="",Q628="待结算"),"",IF(L628=LEFT(F628,FIND(" vs ",F628)-1),I628,G628))</x:f>
        <x:v>0.95</x:v>
      </x:c>
      <x:c r="W628" s="604" t="n">
        <x:f>IF(OR(U628="",U628="待结算"),"",IF(U628="红",V628,IF(U628="半红",V628*0.5,IF(U628="走",0,IF(U628="半黑",-0.5,-1)))))</x:f>
        <x:v>-1</x:v>
      </x:c>
      <x:c r="X628" s="604" t="inlineStr">
        <x:is>
          <x:t xml:space="preserve">2981442</x:t>
        </x:is>
      </x:c>
      <x:c r="Y628" s="604" t="inlineStr">
        <x:is>
          <x:t xml:space="preserve">V4</x:t>
        </x:is>
      </x:c>
      <x:c r="Z628" s="604" t="inlineStr">
        <x:is>
          <x:t xml:space="preserve">prior-2026-10-01-v1</x:t>
        </x:is>
      </x:c>
      <x:c r="AA628" s="604" t="inlineStr">
        <x:is>
          <x:t xml:space="preserve">C</x:t>
        </x:is>
      </x:c>
      <x:c r="AB628" s="604" t="n">
        <x:v>0.4127223716105489</x:v>
      </x:c>
      <x:c r="AC628" s="604" t="n"/>
      <x:c r="AD628" s="604" t="n">
        <x:v>0.2467788657581864</x:v>
      </x:c>
      <x:c r="AE628" s="604" t="n"/>
      <x:c r="AF628" s="604" t="n">
        <x:v>0.3404987626312647</x:v>
      </x:c>
      <x:c r="AG628" s="604" t="n">
        <x:v>0.05158749039875682</x:v>
      </x:c>
      <x:c r="AH628" s="604" t="n"/>
      <x:c r="AI628" s="604" t="n"/>
      <x:c r="AJ628" s="604" t="n">
        <x:v>0.05158749039875682</x:v>
      </x:c>
      <x:c r="AK628" s="604" t="n"/>
      <x:c r="AL628" s="604" t="n"/>
      <x:c r="AM628" s="604" t="n"/>
      <x:c r="AN628" s="604" t="inlineStr">
        <x:is>
          <x:t xml:space="preserve">EVALUATED</x:t>
        </x:is>
      </x:c>
      <x:c r="AO628" s="604" t="inlineStr">
        <x:is>
          <x:t xml:space="preserve">EDGE_BELOW_UNCERTAINTY_THRESHOLD、BUCKET_PRIOR_ONLY、INTENT_INTERPRETATION_ONLY、EXPERT_MARKET</x:t>
        </x:is>
      </x:c>
      <x:c r="AP628" s="604" t="inlineStr">
        <x:is>
          <x:t xml:space="preserve">fe4da734649b41209ca6</x:t>
        </x:is>
      </x:c>
      <x:c r="AQ628" s="604" t="n">
        <x:v>0</x:v>
      </x:c>
      <x:c r="AR628" s="604" t="n"/>
      <x:c r="AS628" s="604" t="n">
        <x:v>0</x:v>
      </x:c>
      <x:c r="AT628" s="604" t="n">
        <x:v>0</x:v>
      </x:c>
      <x:c r="AU628" s="604" t="n">
        <x:v>0.95</x:v>
      </x:c>
      <x:c r="AV628" s="604" t="n">
        <x:v>0.93</x:v>
      </x:c>
      <x:c r="AW628" s="604" t="n">
        <x:v>46296.03418765046</x:v>
      </x:c>
      <x:c r="AX628" s="604" t="inlineStr">
        <x:is>
          <x:t xml:space="preserve">https://simondongxiao.github.io/odds/v4/</x:t>
        </x:is>
      </x:c>
      <x:c r="AY628" s="604" t="inlineStr">
        <x:is>
          <x:t xml:space="preserve">V4 Shadow Only；real_money=false；P(EV&gt;0)不是比赛胜率</x:t>
        </x:is>
      </x:c>
    </x:row>
    <x:row r="629" ht="22" customHeight="1">
      <x:c r="A629" s="604" t="inlineStr">
        <x:is>
          <x:t xml:space="preserve">2026-10-01</x:t>
        </x:is>
      </x:c>
      <x:c r="B629" s="604" t="inlineStr">
        <x:is>
          <x:t xml:space="preserve">2026-10-02 02:45</x:t>
        </x:is>
      </x:c>
      <x:c r="C629" s="604" t="str">
        <x:v>欧洲非五大系列</x:v>
      </x:c>
      <x:c r="D629" s="604" t="inlineStr">
        <x:is>
          <x:t xml:space="preserve">联赛</x:t>
        </x:is>
      </x:c>
      <x:c r="E629" s="604" t="inlineStr">
        <x:is>
          <x:t xml:space="preserve">欧国联</x:t>
        </x:is>
      </x:c>
      <x:c r="F629" s="604" t="inlineStr">
        <x:is>
          <x:t xml:space="preserve">威尔士 vs 挪威</x:t>
        </x:is>
      </x:c>
      <x:c r="G629" s="604" t="n">
        <x:v>0.89</x:v>
      </x:c>
      <x:c r="H629" s="604" t="n">
        <x:v>0</x:v>
      </x:c>
      <x:c r="I629" s="604" t="n">
        <x:v>0.99</x:v>
      </x:c>
      <x:c r="J629" s="604" t="inlineStr">
        <x:is>
          <x:t xml:space="preserve">0.89/0/0.99</x:t>
        </x:is>
      </x:c>
      <x:c r="K629" s="604" t="inlineStr">
        <x:is>
          <x:t xml:space="preserve">V4-C｜EV +0.0063</x:t>
        </x:is>
      </x:c>
      <x:c r="L629" s="604" t="str"/>
      <x:c r="M629" s="604" t="n">
        <x:v>0.467100014687059</x:v>
      </x:c>
      <x:c r="N629" s="604" t="inlineStr">
        <x:is>
          <x:t xml:space="preserve">V4纸面入选-C</x:t>
        </x:is>
      </x:c>
      <x:c r="O629" s="604" t="inlineStr">
        <x:is>
          <x:t xml:space="preserve">2-1</x:t>
        </x:is>
      </x:c>
      <x:c r="P629" s="604" t="inlineStr">
        <x:is>
          <x:t xml:space="preserve">已结算</x:t>
        </x:is>
      </x:c>
      <x:c r="Q629" s="645" t="inlineStr">
        <x:is>
          <x:t xml:space="preserve">红</x:t>
        </x:is>
      </x:c>
      <x:c r="R629" s="604" t="n">
        <x:v>0.99</x:v>
      </x:c>
      <x:c r="S629" s="604" t="n">
        <x:f>IF(OR(Q629="",Q629="待结算"),"",IF(Q629="红",R629,IF(Q629="半红",R629*0.5,IF(Q629="走",0,IF(Q629="半黑",-0.5,-1)))))</x:f>
        <x:v>0.99</x:v>
      </x:c>
      <x:c r="T629" s="604" t="inlineStr">
        <x:is>
          <x:t xml:space="preserve">https://m.titan007.com/analy/Analysis/2981443.htm</x:t>
        </x:is>
      </x:c>
      <x:c r="U629" s="646" t="str">
        <x:f>IF(Q629="","",IF(Q629="待结算","待结算",IF(Q629="红","黑",IF(Q629="半红","半黑",IF(Q629="走","走",IF(Q629="半黑","半红","红"))))))</x:f>
        <x:v>黑</x:v>
      </x:c>
      <x:c r="V629" s="604" t="n">
        <x:f>IF(OR(Q629="",Q629="待结算"),"",IF(L629=LEFT(F629,FIND(" vs ",F629)-1),I629,G629))</x:f>
        <x:v>0.89</x:v>
      </x:c>
      <x:c r="W629" s="604" t="n">
        <x:f>IF(OR(U629="",U629="待结算"),"",IF(U629="红",V629,IF(U629="半红",V629*0.5,IF(U629="走",0,IF(U629="半黑",-0.5,-1)))))</x:f>
        <x:v>-1</x:v>
      </x:c>
      <x:c r="X629" s="604" t="inlineStr">
        <x:is>
          <x:t xml:space="preserve">2981443</x:t>
        </x:is>
      </x:c>
      <x:c r="Y629" s="604" t="inlineStr">
        <x:is>
          <x:t xml:space="preserve">V4</x:t>
        </x:is>
      </x:c>
      <x:c r="Z629" s="604" t="inlineStr">
        <x:is>
          <x:t xml:space="preserve">prior-2026-10-01-v1</x:t>
        </x:is>
      </x:c>
      <x:c r="AA629" s="604" t="inlineStr">
        <x:is>
          <x:t xml:space="preserve">C</x:t>
        </x:is>
      </x:c>
      <x:c r="AB629" s="604" t="n">
        <x:v>0.4071902787591458</x:v>
      </x:c>
      <x:c r="AC629" s="604" t="n"/>
      <x:c r="AD629" s="604" t="n"/>
      <x:c r="AE629" s="604" t="n">
        <x:v>0.2565178079390588</x:v>
      </x:c>
      <x:c r="AF629" s="604" t="n">
        <x:v>0.3362919133017955</x:v>
      </x:c>
      <x:c r="AG629" s="604" t="n">
        <x:v>0.006259948612333366</x:v>
      </x:c>
      <x:c r="AH629" s="604" t="n"/>
      <x:c r="AI629" s="604" t="n"/>
      <x:c r="AJ629" s="604" t="n">
        <x:v>0.006259948612333366</x:v>
      </x:c>
      <x:c r="AK629" s="604" t="n"/>
      <x:c r="AL629" s="604" t="n"/>
      <x:c r="AM629" s="604" t="n"/>
      <x:c r="AN629" s="604" t="inlineStr">
        <x:is>
          <x:t xml:space="preserve">EVALUATED</x:t>
        </x:is>
      </x:c>
      <x:c r="AO629" s="604" t="inlineStr">
        <x:is>
          <x:t xml:space="preserve">EDGE_BELOW_UNCERTAINTY_THRESHOLD、BUCKET_PRIOR_ONLY、INTENT_INTERPRETATION_ONLY、EXPERT_MARKET</x:t>
        </x:is>
      </x:c>
      <x:c r="AP629" s="604" t="inlineStr">
        <x:is>
          <x:t xml:space="preserve">a932c09958701dc31f66</x:t>
        </x:is>
      </x:c>
      <x:c r="AQ629" s="604" t="n">
        <x:v>0</x:v>
      </x:c>
      <x:c r="AR629" s="604" t="n"/>
      <x:c r="AS629" s="604" t="n">
        <x:v>0</x:v>
      </x:c>
      <x:c r="AT629" s="604" t="n">
        <x:v>0</x:v>
      </x:c>
      <x:c r="AU629" s="604" t="n">
        <x:v>0.89</x:v>
      </x:c>
      <x:c r="AV629" s="604" t="n">
        <x:v>0.99</x:v>
      </x:c>
      <x:c r="AW629" s="604" t="n">
        <x:v>46296.03418765046</x:v>
      </x:c>
      <x:c r="AX629" s="604" t="inlineStr">
        <x:is>
          <x:t xml:space="preserve">https://simondongxiao.github.io/odds/v4/</x:t>
        </x:is>
      </x:c>
      <x:c r="AY629" s="604" t="inlineStr">
        <x:is>
          <x:t xml:space="preserve">V4 Shadow Only；real_money=false；P(EV&gt;0)不是比赛胜率</x:t>
        </x:is>
      </x:c>
    </x:row>
    <x:row r="630" ht="22" customHeight="1">
      <x:c r="A630" s="604" t="inlineStr">
        <x:is>
          <x:t xml:space="preserve">2026-10-01</x:t>
        </x:is>
      </x:c>
      <x:c r="B630" s="604" t="inlineStr">
        <x:is>
          <x:t xml:space="preserve">2026-10-02 02:45</x:t>
        </x:is>
      </x:c>
      <x:c r="C630" s="604" t="str">
        <x:v>欧洲非五大系列</x:v>
      </x:c>
      <x:c r="D630" s="604" t="inlineStr">
        <x:is>
          <x:t xml:space="preserve">联赛</x:t>
        </x:is>
      </x:c>
      <x:c r="E630" s="604" t="inlineStr">
        <x:is>
          <x:t xml:space="preserve">欧国联</x:t>
        </x:is>
      </x:c>
      <x:c r="F630" s="604" t="inlineStr">
        <x:is>
          <x:t xml:space="preserve">丹麦 vs 葡萄牙</x:t>
        </x:is>
      </x:c>
      <x:c r="G630" s="604" t="n">
        <x:v>0.85</x:v>
      </x:c>
      <x:c r="H630" s="604" t="n">
        <x:v>0</x:v>
      </x:c>
      <x:c r="I630" s="604" t="n">
        <x:v>1.03</x:v>
      </x:c>
      <x:c r="J630" s="604" t="inlineStr">
        <x:is>
          <x:t xml:space="preserve">0.85/0/1.03</x:t>
        </x:is>
      </x:c>
      <x:c r="K630" s="604" t="inlineStr">
        <x:is>
          <x:t xml:space="preserve">V4-C｜EV +0.0352</x:t>
        </x:is>
      </x:c>
      <x:c r="L630" s="604" t="str"/>
      <x:c r="M630" s="604" t="n">
        <x:v>0.5099315929762311</x:v>
      </x:c>
      <x:c r="N630" s="604" t="inlineStr">
        <x:is>
          <x:t xml:space="preserve">V4纸面入选-C</x:t>
        </x:is>
      </x:c>
      <x:c r="O630" s="604" t="inlineStr">
        <x:is>
          <x:t xml:space="preserve">2-4</x:t>
        </x:is>
      </x:c>
      <x:c r="P630" s="604" t="inlineStr">
        <x:is>
          <x:t xml:space="preserve">已结算</x:t>
        </x:is>
      </x:c>
      <x:c r="Q630" s="646" t="inlineStr">
        <x:is>
          <x:t xml:space="preserve">黑</x:t>
        </x:is>
      </x:c>
      <x:c r="R630" s="604" t="n">
        <x:v>1.03</x:v>
      </x:c>
      <x:c r="S630" s="604" t="n">
        <x:f>IF(OR(Q630="",Q630="待结算"),"",IF(Q630="红",R630,IF(Q630="半红",R630*0.5,IF(Q630="走",0,IF(Q630="半黑",-0.5,-1)))))</x:f>
        <x:v>-1</x:v>
      </x:c>
      <x:c r="T630" s="604" t="inlineStr">
        <x:is>
          <x:t xml:space="preserve">https://m.titan007.com/analy/Analysis/2981444.htm</x:t>
        </x:is>
      </x:c>
      <x:c r="U630" s="645" t="str">
        <x:f>IF(Q630="","",IF(Q630="待结算","待结算",IF(Q630="红","黑",IF(Q630="半红","半黑",IF(Q630="走","走",IF(Q630="半黑","半红","红"))))))</x:f>
        <x:v>红</x:v>
      </x:c>
      <x:c r="V630" s="604" t="n">
        <x:f>IF(OR(Q630="",Q630="待结算"),"",IF(L630=LEFT(F630,FIND(" vs ",F630)-1),I630,G630))</x:f>
        <x:v>0.85</x:v>
      </x:c>
      <x:c r="W630" s="604" t="n">
        <x:f>IF(OR(U630="",U630="待结算"),"",IF(U630="红",V630,IF(U630="半红",V630*0.5,IF(U630="走",0,IF(U630="半黑",-0.5,-1)))))</x:f>
        <x:v>0.85</x:v>
      </x:c>
      <x:c r="X630" s="604" t="inlineStr">
        <x:is>
          <x:t xml:space="preserve">2981444</x:t>
        </x:is>
      </x:c>
      <x:c r="Y630" s="604" t="inlineStr">
        <x:is>
          <x:t xml:space="preserve">V4</x:t>
        </x:is>
      </x:c>
      <x:c r="Z630" s="604" t="inlineStr">
        <x:is>
          <x:t xml:space="preserve">prior-2026-10-01-v1</x:t>
        </x:is>
      </x:c>
      <x:c r="AA630" s="604" t="inlineStr">
        <x:is>
          <x:t xml:space="preserve">C</x:t>
        </x:is>
      </x:c>
      <x:c r="AB630" s="604" t="n">
        <x:v>0.5099315929762311</x:v>
      </x:c>
      <x:c r="AC630" s="604" t="n"/>
      <x:c r="AD630" s="604" t="n"/>
      <x:c r="AE630" s="604" t="n"/>
      <x:c r="AF630" s="604" t="n">
        <x:v>0.4900684070237689</x:v>
      </x:c>
      <x:c r="AG630" s="604" t="n">
        <x:v>0.03516113374174917</x:v>
      </x:c>
      <x:c r="AH630" s="604" t="n"/>
      <x:c r="AI630" s="604" t="n"/>
      <x:c r="AJ630" s="604" t="n">
        <x:v>0.03516113374174917</x:v>
      </x:c>
      <x:c r="AK630" s="604" t="n"/>
      <x:c r="AL630" s="604" t="n"/>
      <x:c r="AM630" s="604" t="n"/>
      <x:c r="AN630" s="604" t="inlineStr">
        <x:is>
          <x:t xml:space="preserve">EVALUATED</x:t>
        </x:is>
      </x:c>
      <x:c r="AO630" s="604" t="inlineStr">
        <x:is>
          <x:t xml:space="preserve">EDGE_BELOW_UNCERTAINTY_THRESHOLD、BUCKET_PRIOR_ONLY、INTENT_INTERPRETATION_ONLY、EXPERT_MARKET</x:t>
        </x:is>
      </x:c>
      <x:c r="AP630" s="604" t="inlineStr">
        <x:is>
          <x:t xml:space="preserve">f4d17b4c75703b5e305f</x:t>
        </x:is>
      </x:c>
      <x:c r="AQ630" s="604" t="n">
        <x:v>0</x:v>
      </x:c>
      <x:c r="AR630" s="604" t="n"/>
      <x:c r="AS630" s="604" t="n">
        <x:v>0</x:v>
      </x:c>
      <x:c r="AT630" s="604" t="n">
        <x:v>0</x:v>
      </x:c>
      <x:c r="AU630" s="604" t="n">
        <x:v>0.85</x:v>
      </x:c>
      <x:c r="AV630" s="604" t="n">
        <x:v>1.03</x:v>
      </x:c>
      <x:c r="AW630" s="604" t="n">
        <x:v>46296.03418765046</x:v>
      </x:c>
      <x:c r="AX630" s="604" t="inlineStr">
        <x:is>
          <x:t xml:space="preserve">https://simondongxiao.github.io/odds/v4/</x:t>
        </x:is>
      </x:c>
      <x:c r="AY630" s="604" t="inlineStr">
        <x:is>
          <x:t xml:space="preserve">V4 Shadow Only；real_money=false；P(EV&gt;0)不是比赛胜率</x:t>
        </x:is>
      </x:c>
    </x:row>
    <x:row r="631" ht="22" customHeight="1">
      <x:c r="A631" s="604" t="inlineStr">
        <x:is>
          <x:t xml:space="preserve">2026-10-01</x:t>
        </x:is>
      </x:c>
      <x:c r="B631" s="604" t="inlineStr">
        <x:is>
          <x:t xml:space="preserve">2026-10-02 02:45</x:t>
        </x:is>
      </x:c>
      <x:c r="C631" s="604" t="str">
        <x:v>欧洲非五大系列</x:v>
      </x:c>
      <x:c r="D631" s="604" t="inlineStr">
        <x:is>
          <x:t xml:space="preserve">联赛</x:t>
        </x:is>
      </x:c>
      <x:c r="E631" s="604" t="inlineStr">
        <x:is>
          <x:t xml:space="preserve">欧国联</x:t>
        </x:is>
      </x:c>
      <x:c r="F631" s="604" t="inlineStr">
        <x:is>
          <x:t xml:space="preserve">以色列(中) vs 科索沃</x:t>
        </x:is>
      </x:c>
      <x:c r="G631" s="604" t="n">
        <x:v>0.93</x:v>
      </x:c>
      <x:c r="H631" s="604" t="n">
        <x:v>0</x:v>
      </x:c>
      <x:c r="I631" s="604" t="n">
        <x:v>0.95</x:v>
      </x:c>
      <x:c r="J631" s="604" t="inlineStr">
        <x:is>
          <x:t xml:space="preserve">0.93/0/0.95</x:t>
        </x:is>
      </x:c>
      <x:c r="K631" s="604" t="inlineStr">
        <x:is>
          <x:t xml:space="preserve">V4-C｜EV +0.0029</x:t>
        </x:is>
      </x:c>
      <x:c r="L631" s="604" t="str"/>
      <x:c r="M631" s="604" t="n">
        <x:v>0.4801268668848051</x:v>
      </x:c>
      <x:c r="N631" s="604" t="inlineStr">
        <x:is>
          <x:t xml:space="preserve">V4纸面入选-C</x:t>
        </x:is>
      </x:c>
      <x:c r="O631" s="604" t="inlineStr">
        <x:is>
          <x:t xml:space="preserve">0-0</x:t>
        </x:is>
      </x:c>
      <x:c r="P631" s="604" t="inlineStr">
        <x:is>
          <x:t xml:space="preserve">已结算</x:t>
        </x:is>
      </x:c>
      <x:c r="Q631" s="647" t="inlineStr">
        <x:is>
          <x:t xml:space="preserve">走</x:t>
        </x:is>
      </x:c>
      <x:c r="R631" s="604" t="n">
        <x:v>0.95</x:v>
      </x:c>
      <x:c r="S631" s="604" t="n">
        <x:f>IF(OR(Q631="",Q631="待结算"),"",IF(Q631="红",R631,IF(Q631="半红",R631*0.5,IF(Q631="走",0,IF(Q631="半黑",-0.5,-1)))))</x:f>
        <x:v>0</x:v>
      </x:c>
      <x:c r="T631" s="604" t="inlineStr">
        <x:is>
          <x:t xml:space="preserve">https://m.titan007.com/analy/Analysis/2981491.htm</x:t>
        </x:is>
      </x:c>
      <x:c r="U631" s="647" t="str">
        <x:f>IF(Q631="","",IF(Q631="待结算","待结算",IF(Q631="红","黑",IF(Q631="半红","半黑",IF(Q631="走","走",IF(Q631="半黑","半红","红"))))))</x:f>
        <x:v>走</x:v>
      </x:c>
      <x:c r="V631" s="604" t="n">
        <x:f>IF(OR(Q631="",Q631="待结算"),"",IF(L631=LEFT(F631,FIND(" vs ",F631)-1),I631,G631))</x:f>
        <x:v>0.93</x:v>
      </x:c>
      <x:c r="W631" s="604" t="n">
        <x:f>IF(OR(U631="",U631="待结算"),"",IF(U631="红",V631,IF(U631="半红",V631*0.5,IF(U631="走",0,IF(U631="半黑",-0.5,-1)))))</x:f>
        <x:v>0</x:v>
      </x:c>
      <x:c r="X631" s="604" t="inlineStr">
        <x:is>
          <x:t xml:space="preserve">2981491</x:t>
        </x:is>
      </x:c>
      <x:c r="Y631" s="604" t="inlineStr">
        <x:is>
          <x:t xml:space="preserve">V4</x:t>
        </x:is>
      </x:c>
      <x:c r="Z631" s="604" t="inlineStr">
        <x:is>
          <x:t xml:space="preserve">prior-2026-10-01-v1</x:t>
        </x:is>
      </x:c>
      <x:c r="AA631" s="604" t="inlineStr">
        <x:is>
          <x:t xml:space="preserve">C</x:t>
        </x:is>
      </x:c>
      <x:c r="AB631" s="604" t="n">
        <x:v>0.4170196395861893</x:v>
      </x:c>
      <x:c r="AC631" s="604" t="n"/>
      <x:c r="AD631" s="604" t="n"/>
      <x:c r="AE631" s="604" t="n">
        <x:v>0.2628773003605186</x:v>
      </x:c>
      <x:c r="AF631" s="604" t="n">
        <x:v>0.3201030600532921</x:v>
      </x:c>
      <x:c r="AG631" s="604" t="n">
        <x:v>0.002914150931013604</x:v>
      </x:c>
      <x:c r="AH631" s="604" t="n"/>
      <x:c r="AI631" s="604" t="n"/>
      <x:c r="AJ631" s="604" t="n">
        <x:v>0.002914150931013604</x:v>
      </x:c>
      <x:c r="AK631" s="604" t="n"/>
      <x:c r="AL631" s="604" t="n"/>
      <x:c r="AM631" s="604" t="n"/>
      <x:c r="AN631" s="604" t="inlineStr">
        <x:is>
          <x:t xml:space="preserve">EVALUATED</x:t>
        </x:is>
      </x:c>
      <x:c r="AO631" s="604" t="inlineStr">
        <x:is>
          <x:t xml:space="preserve">EDGE_BELOW_UNCERTAINTY_THRESHOLD、BUCKET_PRIOR_ONLY、INTENT_INTERPRETATION_ONLY、EXPERT_MARKET</x:t>
        </x:is>
      </x:c>
      <x:c r="AP631" s="604" t="inlineStr">
        <x:is>
          <x:t xml:space="preserve">944154bb43908eefdb9e</x:t>
        </x:is>
      </x:c>
      <x:c r="AQ631" s="604" t="n">
        <x:v>0</x:v>
      </x:c>
      <x:c r="AR631" s="604" t="n"/>
      <x:c r="AS631" s="604" t="n">
        <x:v>0</x:v>
      </x:c>
      <x:c r="AT631" s="604" t="n">
        <x:v>0</x:v>
      </x:c>
      <x:c r="AU631" s="604" t="n">
        <x:v>0.93</x:v>
      </x:c>
      <x:c r="AV631" s="604" t="n">
        <x:v>0.95</x:v>
      </x:c>
      <x:c r="AW631" s="604" t="n">
        <x:v>46296.03418765046</x:v>
      </x:c>
      <x:c r="AX631" s="604" t="inlineStr">
        <x:is>
          <x:t xml:space="preserve">https://simondongxiao.github.io/odds/v4/</x:t>
        </x:is>
      </x:c>
      <x:c r="AY631" s="604" t="inlineStr">
        <x:is>
          <x:t xml:space="preserve">V4 Shadow Only；real_money=false；P(EV&gt;0)不是比赛胜率</x:t>
        </x:is>
      </x:c>
    </x:row>
    <x:row r="632" ht="22" customHeight="1">
      <x:c r="A632" s="604" t="inlineStr">
        <x:is>
          <x:t xml:space="preserve">2026-10-01</x:t>
        </x:is>
      </x:c>
      <x:c r="B632" s="604" t="inlineStr">
        <x:is>
          <x:t xml:space="preserve">2026-10-02 02:45</x:t>
        </x:is>
      </x:c>
      <x:c r="C632" s="604" t="str">
        <x:v>欧洲非五大系列</x:v>
      </x:c>
      <x:c r="D632" s="604" t="inlineStr">
        <x:is>
          <x:t xml:space="preserve">联赛</x:t>
        </x:is>
      </x:c>
      <x:c r="E632" s="604" t="inlineStr">
        <x:is>
          <x:t xml:space="preserve">欧国联</x:t>
        </x:is>
      </x:c>
      <x:c r="F632" s="604" t="inlineStr">
        <x:is>
          <x:t xml:space="preserve">马耳他 vs 直布罗陀</x:t>
        </x:is>
      </x:c>
      <x:c r="G632" s="604" t="n">
        <x:v>1.01</x:v>
      </x:c>
      <x:c r="H632" s="604" t="n">
        <x:v>1.5</x:v>
      </x:c>
      <x:c r="I632" s="604" t="n">
        <x:v>0.87</x:v>
      </x:c>
      <x:c r="J632" s="604" t="inlineStr">
        <x:is>
          <x:t xml:space="preserve">1.01/1.5/0.87</x:t>
        </x:is>
      </x:c>
      <x:c r="K632" s="604" t="inlineStr">
        <x:is>
          <x:t xml:space="preserve">V4-B｜EV +0.3443</x:t>
        </x:is>
      </x:c>
      <x:c r="L632" s="604" t="inlineStr">
        <x:is>
          <x:t xml:space="preserve">马耳他</x:t>
        </x:is>
      </x:c>
      <x:c r="M632" s="604" t="n">
        <x:v>0.6688295950853483</x:v>
      </x:c>
      <x:c r="N632" s="604" t="inlineStr">
        <x:is>
          <x:t xml:space="preserve">V4纸面入选-B</x:t>
        </x:is>
      </x:c>
      <x:c r="O632" s="604" t="inlineStr">
        <x:is>
          <x:t xml:space="preserve">1-1</x:t>
        </x:is>
      </x:c>
      <x:c r="P632" s="604" t="inlineStr">
        <x:is>
          <x:t xml:space="preserve">已结算</x:t>
        </x:is>
      </x:c>
      <x:c r="Q632" s="646" t="inlineStr">
        <x:is>
          <x:t xml:space="preserve">黑</x:t>
        </x:is>
      </x:c>
      <x:c r="R632" s="604" t="n">
        <x:v>1.01</x:v>
      </x:c>
      <x:c r="S632" s="604" t="n">
        <x:f>IF(OR(Q632="",Q632="待结算"),"",IF(Q632="红",R632,IF(Q632="半红",R632*0.5,IF(Q632="走",0,IF(Q632="半黑",-0.5,-1)))))</x:f>
        <x:v>-1</x:v>
      </x:c>
      <x:c r="T632" s="604" t="inlineStr">
        <x:is>
          <x:t xml:space="preserve">https://m.titan007.com/analy/Analysis/2981576.htm</x:t>
        </x:is>
      </x:c>
      <x:c r="U632" s="645" t="str">
        <x:f>IF(Q632="","",IF(Q632="待结算","待结算",IF(Q632="红","黑",IF(Q632="半红","半黑",IF(Q632="走","走",IF(Q632="半黑","半红","红"))))))</x:f>
        <x:v>红</x:v>
      </x:c>
      <x:c r="V632" s="604" t="n">
        <x:f>IF(OR(Q632="",Q632="待结算"),"",IF(L632=LEFT(F632,FIND(" vs ",F632)-1),I632,G632))</x:f>
        <x:v>0.87</x:v>
      </x:c>
      <x:c r="W632" s="604" t="n">
        <x:f>IF(OR(U632="",U632="待结算"),"",IF(U632="红",V632,IF(U632="半红",V632*0.5,IF(U632="走",0,IF(U632="半黑",-0.5,-1)))))</x:f>
        <x:v>0.87</x:v>
      </x:c>
      <x:c r="X632" s="604" t="inlineStr">
        <x:is>
          <x:t xml:space="preserve">2981576</x:t>
        </x:is>
      </x:c>
      <x:c r="Y632" s="604" t="inlineStr">
        <x:is>
          <x:t xml:space="preserve">V4</x:t>
        </x:is>
      </x:c>
      <x:c r="Z632" s="604" t="inlineStr">
        <x:is>
          <x:t xml:space="preserve">prior-2026-10-01-v1</x:t>
        </x:is>
      </x:c>
      <x:c r="AA632" s="604" t="inlineStr">
        <x:is>
          <x:t xml:space="preserve">B</x:t>
        </x:is>
      </x:c>
      <x:c r="AB632" s="604" t="n">
        <x:v>0.6688295950853483</x:v>
      </x:c>
      <x:c r="AC632" s="604" t="n"/>
      <x:c r="AD632" s="604" t="n"/>
      <x:c r="AE632" s="604" t="n"/>
      <x:c r="AF632" s="604" t="n">
        <x:v>0.3311704049146517</x:v>
      </x:c>
      <x:c r="AG632" s="604" t="n">
        <x:v>0.3443474861215502</x:v>
      </x:c>
      <x:c r="AH632" s="604" t="n"/>
      <x:c r="AI632" s="604" t="n"/>
      <x:c r="AJ632" s="604" t="n">
        <x:v>0.3443474861215502</x:v>
      </x:c>
      <x:c r="AK632" s="604" t="n"/>
      <x:c r="AL632" s="604" t="n"/>
      <x:c r="AM632" s="604" t="n"/>
      <x:c r="AN632" s="604" t="inlineStr">
        <x:is>
          <x:t xml:space="preserve">EVALUATED</x:t>
        </x:is>
      </x:c>
      <x:c r="AO632" s="604" t="inlineStr">
        <x:is>
          <x:t xml:space="preserve">GIVING_VALIDATED_EDGE、BUCKET_PRIOR_ONLY、INTENT_INTERPRETATION_ONLY、EXPERT_MARKET</x:t>
        </x:is>
      </x:c>
      <x:c r="AP632" s="604" t="inlineStr">
        <x:is>
          <x:t xml:space="preserve">285c4489f0193cbeb088</x:t>
        </x:is>
      </x:c>
      <x:c r="AQ632" s="604" t="n">
        <x:v>-1.5</x:v>
      </x:c>
      <x:c r="AR632" s="604" t="n">
        <x:v>1.01</x:v>
      </x:c>
      <x:c r="AS632" s="604" t="n">
        <x:v>1.5</x:v>
      </x:c>
      <x:c r="AT632" s="604" t="n">
        <x:v>-1.5</x:v>
      </x:c>
      <x:c r="AU632" s="604" t="n">
        <x:v>1.01</x:v>
      </x:c>
      <x:c r="AV632" s="604" t="n">
        <x:v>0.87</x:v>
      </x:c>
      <x:c r="AW632" s="604" t="n">
        <x:v>46296.03418765046</x:v>
      </x:c>
      <x:c r="AX632" s="604" t="inlineStr">
        <x:is>
          <x:t xml:space="preserve">https://simondongxiao.github.io/odds/v4/</x:t>
        </x:is>
      </x:c>
      <x:c r="AY632" s="604" t="inlineStr">
        <x:is>
          <x:t xml:space="preserve">V4 Shadow Only；real_money=false；P(EV&gt;0)不是比赛胜率</x:t>
        </x:is>
      </x:c>
    </x:row>
    <x:row r="633" ht="22" customHeight="1">
      <x:c r="A633" s="604" t="inlineStr">
        <x:is>
          <x:t xml:space="preserve">2026-10-01</x:t>
        </x:is>
      </x:c>
      <x:c r="B633" s="604" t="inlineStr">
        <x:is>
          <x:t xml:space="preserve">2026-10-02 02:45</x:t>
        </x:is>
      </x:c>
      <x:c r="C633" s="604" t="str">
        <x:v>其他系列</x:v>
      </x:c>
      <x:c r="D633" s="604" t="inlineStr">
        <x:is>
          <x:t xml:space="preserve">联赛</x:t>
        </x:is>
      </x:c>
      <x:c r="E633" s="604" t="inlineStr">
        <x:is>
          <x:t xml:space="preserve">阿后备</x:t>
        </x:is>
      </x:c>
      <x:c r="F633" s="604" t="inlineStr">
        <x:is>
          <x:t xml:space="preserve">沙士菲后备队 vs 阿根廷JRS后备队</x:t>
        </x:is>
      </x:c>
      <x:c r="G633" s="604" t="n">
        <x:v>0.88</x:v>
      </x:c>
      <x:c r="H633" s="604" t="n">
        <x:v>0</x:v>
      </x:c>
      <x:c r="I633" s="604" t="n">
        <x:v>0.82</x:v>
      </x:c>
      <x:c r="J633" s="604" t="inlineStr">
        <x:is>
          <x:t xml:space="preserve">0.88/0/0.82</x:t>
        </x:is>
      </x:c>
      <x:c r="K633" s="604" t="inlineStr">
        <x:is>
          <x:t xml:space="preserve">V4-C｜EV +0.0199</x:t>
        </x:is>
      </x:c>
      <x:c r="L633" s="604" t="str"/>
      <x:c r="M633" s="604" t="n">
        <x:v>0.5461823368441368</x:v>
      </x:c>
      <x:c r="N633" s="604" t="inlineStr">
        <x:is>
          <x:t xml:space="preserve">V4纸面入选-C</x:t>
        </x:is>
      </x:c>
      <x:c r="O633" s="604" t="inlineStr">
        <x:is>
          <x:t xml:space="preserve">1-1</x:t>
        </x:is>
      </x:c>
      <x:c r="P633" s="604" t="inlineStr">
        <x:is>
          <x:t xml:space="preserve">已结算</x:t>
        </x:is>
      </x:c>
      <x:c r="Q633" s="647" t="inlineStr">
        <x:is>
          <x:t xml:space="preserve">走</x:t>
        </x:is>
      </x:c>
      <x:c r="R633" s="604" t="n">
        <x:v>0.82</x:v>
      </x:c>
      <x:c r="S633" s="604" t="n">
        <x:f>IF(OR(Q633="",Q633="待结算"),"",IF(Q633="红",R633,IF(Q633="半红",R633*0.5,IF(Q633="走",0,IF(Q633="半黑",-0.5,-1)))))</x:f>
        <x:v>0</x:v>
      </x:c>
      <x:c r="T633" s="604" t="inlineStr">
        <x:is>
          <x:t xml:space="preserve">https://m.titan007.com/analy/Analysis/3095224.htm</x:t>
        </x:is>
      </x:c>
      <x:c r="U633" s="647" t="str">
        <x:f>IF(Q633="","",IF(Q633="待结算","待结算",IF(Q633="红","黑",IF(Q633="半红","半黑",IF(Q633="走","走",IF(Q633="半黑","半红","红"))))))</x:f>
        <x:v>走</x:v>
      </x:c>
      <x:c r="V633" s="604" t="n">
        <x:f>IF(OR(Q633="",Q633="待结算"),"",IF(L633=LEFT(F633,FIND(" vs ",F633)-1),I633,G633))</x:f>
        <x:v>0.88</x:v>
      </x:c>
      <x:c r="W633" s="604" t="n">
        <x:f>IF(OR(U633="",U633="待结算"),"",IF(U633="红",V633,IF(U633="半红",V633*0.5,IF(U633="走",0,IF(U633="半黑",-0.5,-1)))))</x:f>
        <x:v>0</x:v>
      </x:c>
      <x:c r="X633" s="604" t="inlineStr">
        <x:is>
          <x:t xml:space="preserve">3095224</x:t>
        </x:is>
      </x:c>
      <x:c r="Y633" s="604" t="inlineStr">
        <x:is>
          <x:t xml:space="preserve">V4</x:t>
        </x:is>
      </x:c>
      <x:c r="Z633" s="604" t="inlineStr">
        <x:is>
          <x:t xml:space="preserve">prior-2026-10-01-v1</x:t>
        </x:is>
      </x:c>
      <x:c r="AA633" s="604" t="inlineStr">
        <x:is>
          <x:t xml:space="preserve">C</x:t>
        </x:is>
      </x:c>
      <x:c r="AB633" s="604" t="n">
        <x:v>0.4056210437712747</x:v>
      </x:c>
      <x:c r="AC633" s="604" t="n"/>
      <x:c r="AD633" s="604" t="n">
        <x:v>0.2573523228250674</x:v>
      </x:c>
      <x:c r="AE633" s="604" t="n"/>
      <x:c r="AF633" s="604" t="n">
        <x:v>0.3370266334036578</x:v>
      </x:c>
      <x:c r="AG633" s="604" t="n">
        <x:v>0.01991988511506398</x:v>
      </x:c>
      <x:c r="AH633" s="604" t="n"/>
      <x:c r="AI633" s="604" t="n"/>
      <x:c r="AJ633" s="604" t="n">
        <x:v>0.01991988511506398</x:v>
      </x:c>
      <x:c r="AK633" s="604" t="n"/>
      <x:c r="AL633" s="604" t="n"/>
      <x:c r="AM633" s="604" t="n"/>
      <x:c r="AN633" s="604" t="inlineStr">
        <x:is>
          <x:t xml:space="preserve">EVALUATED</x:t>
        </x:is>
      </x:c>
      <x:c r="AO633" s="604" t="inlineStr">
        <x:is>
          <x:t xml:space="preserve">EDGE_BELOW_UNCERTAINTY_THRESHOLD、BUCKET_PRIOR_ONLY、INTENT_INTERPRETATION_ONLY、EXPERT_MARKET</x:t>
        </x:is>
      </x:c>
      <x:c r="AP633" s="604" t="inlineStr">
        <x:is>
          <x:t xml:space="preserve">458ac0f6e3c913eaee6c</x:t>
        </x:is>
      </x:c>
      <x:c r="AQ633" s="604" t="n">
        <x:v>0</x:v>
      </x:c>
      <x:c r="AR633" s="604" t="n"/>
      <x:c r="AS633" s="604" t="n">
        <x:v>0</x:v>
      </x:c>
      <x:c r="AT633" s="604" t="n">
        <x:v>0</x:v>
      </x:c>
      <x:c r="AU633" s="604" t="n">
        <x:v>0.88</x:v>
      </x:c>
      <x:c r="AV633" s="604" t="n">
        <x:v>0.82</x:v>
      </x:c>
      <x:c r="AW633" s="604" t="n">
        <x:v>46296.03418765046</x:v>
      </x:c>
      <x:c r="AX633" s="604" t="inlineStr">
        <x:is>
          <x:t xml:space="preserve">https://simondongxiao.github.io/odds/v4/</x:t>
        </x:is>
      </x:c>
      <x:c r="AY633" s="604" t="inlineStr">
        <x:is>
          <x:t xml:space="preserve">V4 Shadow Only；real_money=false；P(EV&gt;0)不是比赛胜率</x:t>
        </x:is>
      </x:c>
    </x:row>
    <x:row r="634" ht="22" customHeight="1">
      <x:c r="A634" s="604" t="inlineStr">
        <x:is>
          <x:t xml:space="preserve">2026-10-01</x:t>
        </x:is>
      </x:c>
      <x:c r="B634" s="604" t="inlineStr">
        <x:is>
          <x:t xml:space="preserve">2026-10-02 03:00</x:t>
        </x:is>
      </x:c>
      <x:c r="C634" s="604" t="str">
        <x:v>欧洲非五大系列</x:v>
      </x:c>
      <x:c r="D634" s="604" t="inlineStr">
        <x:is>
          <x:t xml:space="preserve">杯赛</x:t>
        </x:is>
      </x:c>
      <x:c r="E634" s="604" t="inlineStr">
        <x:is>
          <x:t xml:space="preserve">欧女杯</x:t>
        </x:is>
      </x:c>
      <x:c r="F634" s="604" t="inlineStr">
        <x:is>
          <x:t xml:space="preserve">巴黎圣日耳曼女足 vs 旧海弗莱鲁汶女足</x:t>
        </x:is>
      </x:c>
      <x:c r="G634" s="604" t="n">
        <x:v>0.65</x:v>
      </x:c>
      <x:c r="H634" s="604" t="n">
        <x:v>0</x:v>
      </x:c>
      <x:c r="I634" s="604" t="n">
        <x:v>1.05</x:v>
      </x:c>
      <x:c r="J634" s="604" t="inlineStr">
        <x:is>
          <x:t xml:space="preserve">0.65/0/1.05</x:t>
        </x:is>
      </x:c>
      <x:c r="K634" s="604" t="inlineStr">
        <x:is>
          <x:t xml:space="preserve">V4-C｜EV +0.0325</x:t>
        </x:is>
      </x:c>
      <x:c r="L634" s="604" t="str"/>
      <x:c r="M634" s="604" t="n">
        <x:v>0.6321838060922356</x:v>
      </x:c>
      <x:c r="N634" s="604" t="inlineStr">
        <x:is>
          <x:t xml:space="preserve">V4纸面入选-C</x:t>
        </x:is>
      </x:c>
      <x:c r="O634" s="604" t="inlineStr">
        <x:is>
          <x:t xml:space="preserve">5-0</x:t>
        </x:is>
      </x:c>
      <x:c r="P634" s="604" t="inlineStr">
        <x:is>
          <x:t xml:space="preserve">已结算</x:t>
        </x:is>
      </x:c>
      <x:c r="Q634" s="645" t="inlineStr">
        <x:is>
          <x:t xml:space="preserve">红</x:t>
        </x:is>
      </x:c>
      <x:c r="R634" s="604" t="n">
        <x:v>1.05</x:v>
      </x:c>
      <x:c r="S634" s="604" t="n">
        <x:f>IF(OR(Q634="",Q634="待结算"),"",IF(Q634="红",R634,IF(Q634="半红",R634*0.5,IF(Q634="走",0,IF(Q634="半黑",-0.5,-1)))))</x:f>
        <x:v>1.05</x:v>
      </x:c>
      <x:c r="T634" s="604" t="inlineStr">
        <x:is>
          <x:t xml:space="preserve">https://m.titan007.com/analy/Analysis/3092365.htm</x:t>
        </x:is>
      </x:c>
      <x:c r="U634" s="646" t="str">
        <x:f>IF(Q634="","",IF(Q634="待结算","待结算",IF(Q634="红","黑",IF(Q634="半红","半黑",IF(Q634="走","走",IF(Q634="半黑","半红","红"))))))</x:f>
        <x:v>黑</x:v>
      </x:c>
      <x:c r="V634" s="604" t="n">
        <x:f>IF(OR(Q634="",Q634="待结算"),"",IF(L634=LEFT(F634,FIND(" vs ",F634)-1),I634,G634))</x:f>
        <x:v>0.65</x:v>
      </x:c>
      <x:c r="W634" s="604" t="n">
        <x:f>IF(OR(U634="",U634="待结算"),"",IF(U634="红",V634,IF(U634="半红",V634*0.5,IF(U634="走",0,IF(U634="半黑",-0.5,-1)))))</x:f>
        <x:v>-1</x:v>
      </x:c>
      <x:c r="X634" s="604" t="inlineStr">
        <x:is>
          <x:t xml:space="preserve">3092365</x:t>
        </x:is>
      </x:c>
      <x:c r="Y634" s="604" t="inlineStr">
        <x:is>
          <x:t xml:space="preserve">V4</x:t>
        </x:is>
      </x:c>
      <x:c r="Z634" s="604" t="inlineStr">
        <x:is>
          <x:t xml:space="preserve">prior-2026-10-01-v1</x:t>
        </x:is>
      </x:c>
      <x:c r="AA634" s="604" t="inlineStr">
        <x:is>
          <x:t xml:space="preserve">C</x:t>
        </x:is>
      </x:c>
      <x:c r="AB634" s="604" t="n">
        <x:v>0.4769724382155398</x:v>
      </x:c>
      <x:c r="AC634" s="604" t="n"/>
      <x:c r="AD634" s="604" t="n">
        <x:v>0.2455162033271862</x:v>
      </x:c>
      <x:c r="AE634" s="604" t="n"/>
      <x:c r="AF634" s="604" t="n">
        <x:v>0.277511358457274</x:v>
      </x:c>
      <x:c r="AG634" s="604" t="n">
        <x:v>0.03252072638282683</x:v>
      </x:c>
      <x:c r="AH634" s="604" t="n"/>
      <x:c r="AI634" s="604" t="n"/>
      <x:c r="AJ634" s="604" t="n">
        <x:v>0.03252072638282683</x:v>
      </x:c>
      <x:c r="AK634" s="604" t="n"/>
      <x:c r="AL634" s="604" t="n"/>
      <x:c r="AM634" s="604" t="n"/>
      <x:c r="AN634" s="604" t="inlineStr">
        <x:is>
          <x:t xml:space="preserve">EVALUATED</x:t>
        </x:is>
      </x:c>
      <x:c r="AO634" s="604" t="inlineStr">
        <x:is>
          <x:t xml:space="preserve">EDGE_BELOW_UNCERTAINTY_THRESHOLD、BUCKET_PRIOR_ONLY、INTENT_INTERPRETATION_ONLY、EXPERT_MARKET</x:t>
        </x:is>
      </x:c>
      <x:c r="AP634" s="604" t="inlineStr">
        <x:is>
          <x:t xml:space="preserve">38c34d02c71c5e74520d</x:t>
        </x:is>
      </x:c>
      <x:c r="AQ634" s="604" t="n">
        <x:v>0</x:v>
      </x:c>
      <x:c r="AR634" s="604" t="n"/>
      <x:c r="AS634" s="604" t="n">
        <x:v>0</x:v>
      </x:c>
      <x:c r="AT634" s="604" t="n">
        <x:v>0</x:v>
      </x:c>
      <x:c r="AU634" s="604" t="n">
        <x:v>0.65</x:v>
      </x:c>
      <x:c r="AV634" s="604" t="n">
        <x:v>1.05</x:v>
      </x:c>
      <x:c r="AW634" s="604" t="n">
        <x:v>46296.03418765046</x:v>
      </x:c>
      <x:c r="AX634" s="604" t="inlineStr">
        <x:is>
          <x:t xml:space="preserve">https://simondongxiao.github.io/odds/v4/</x:t>
        </x:is>
      </x:c>
      <x:c r="AY634" s="604" t="inlineStr">
        <x:is>
          <x:t xml:space="preserve">V4 Shadow Only；real_money=false；P(EV&gt;0)不是比赛胜率</x:t>
        </x:is>
      </x:c>
    </x:row>
    <x:row r="635" ht="22" customHeight="1">
      <x:c r="A635" s="604" t="inlineStr">
        <x:is>
          <x:t xml:space="preserve">2026-10-01</x:t>
        </x:is>
      </x:c>
      <x:c r="B635" s="604" t="inlineStr">
        <x:is>
          <x:t xml:space="preserve">2026-10-02 04:00</x:t>
        </x:is>
      </x:c>
      <x:c r="C635" s="604" t="str">
        <x:v>南美系列</x:v>
      </x:c>
      <x:c r="D635" s="604" t="inlineStr">
        <x:is>
          <x:t xml:space="preserve">杯赛</x:t>
        </x:is>
      </x:c>
      <x:c r="E635" s="604" t="inlineStr">
        <x:is>
          <x:t xml:space="preserve">秘鲁联杯</x:t>
        </x:is>
      </x:c>
      <x:c r="F635" s="604" t="inlineStr">
        <x:is>
          <x:t xml:space="preserve">水晶竞技队 vs AD塔尔玛</x:t>
        </x:is>
      </x:c>
      <x:c r="G635" s="604" t="n">
        <x:v>0.85</x:v>
      </x:c>
      <x:c r="H635" s="604" t="n">
        <x:v>1</x:v>
      </x:c>
      <x:c r="I635" s="604" t="n">
        <x:v>0.97</x:v>
      </x:c>
      <x:c r="J635" s="604" t="inlineStr">
        <x:is>
          <x:t xml:space="preserve">0.85/1/0.97</x:t>
        </x:is>
      </x:c>
      <x:c r="K635" s="604" t="inlineStr">
        <x:is>
          <x:t xml:space="preserve">V4-B｜EV +0.0863</x:t>
        </x:is>
      </x:c>
      <x:c r="L635" s="604" t="inlineStr">
        <x:is>
          <x:t xml:space="preserve">水晶竞技队</x:t>
        </x:is>
      </x:c>
      <x:c r="M635" s="604" t="n">
        <x:v>0.6031538469141263</x:v>
      </x:c>
      <x:c r="N635" s="604" t="inlineStr">
        <x:is>
          <x:t xml:space="preserve">V4纸面入选-B</x:t>
        </x:is>
      </x:c>
      <x:c r="O635" s="604" t="inlineStr">
        <x:is>
          <x:t xml:space="preserve">5-0</x:t>
        </x:is>
      </x:c>
      <x:c r="P635" s="604" t="inlineStr">
        <x:is>
          <x:t xml:space="preserve">已结算</x:t>
        </x:is>
      </x:c>
      <x:c r="Q635" s="645" t="inlineStr">
        <x:is>
          <x:t xml:space="preserve">红</x:t>
        </x:is>
      </x:c>
      <x:c r="R635" s="604" t="n">
        <x:v>0.85</x:v>
      </x:c>
      <x:c r="S635" s="604" t="n">
        <x:f>IF(OR(Q635="",Q635="待结算"),"",IF(Q635="红",R635,IF(Q635="半红",R635*0.5,IF(Q635="走",0,IF(Q635="半黑",-0.5,-1)))))</x:f>
        <x:v>0.85</x:v>
      </x:c>
      <x:c r="T635" s="604" t="inlineStr">
        <x:is>
          <x:t xml:space="preserve">https://m.titan007.com/analy/Analysis/3096177.htm</x:t>
        </x:is>
      </x:c>
      <x:c r="U635" s="646" t="str">
        <x:f>IF(Q635="","",IF(Q635="待结算","待结算",IF(Q635="红","黑",IF(Q635="半红","半黑",IF(Q635="走","走",IF(Q635="半黑","半红","红"))))))</x:f>
        <x:v>黑</x:v>
      </x:c>
      <x:c r="V635" s="604" t="n">
        <x:f>IF(OR(Q635="",Q635="待结算"),"",IF(L635=LEFT(F635,FIND(" vs ",F635)-1),I635,G635))</x:f>
        <x:v>0.97</x:v>
      </x:c>
      <x:c r="W635" s="604" t="n">
        <x:f>IF(OR(U635="",U635="待结算"),"",IF(U635="红",V635,IF(U635="半红",V635*0.5,IF(U635="走",0,IF(U635="半黑",-0.5,-1)))))</x:f>
        <x:v>-1</x:v>
      </x:c>
      <x:c r="X635" s="604" t="inlineStr">
        <x:is>
          <x:t xml:space="preserve">3096177</x:t>
        </x:is>
      </x:c>
      <x:c r="Y635" s="604" t="inlineStr">
        <x:is>
          <x:t xml:space="preserve">V4</x:t>
        </x:is>
      </x:c>
      <x:c r="Z635" s="604" t="inlineStr">
        <x:is>
          <x:t xml:space="preserve">prior-2026-10-01-v1</x:t>
        </x:is>
      </x:c>
      <x:c r="AA635" s="604" t="inlineStr">
        <x:is>
          <x:t xml:space="preserve">B</x:t>
        </x:is>
      </x:c>
      <x:c r="AB635" s="604" t="n">
        <x:v>0.4492881286165132</x:v>
      </x:c>
      <x:c r="AC635" s="604" t="n"/>
      <x:c r="AD635" s="604" t="n">
        <x:v>0.2551019430363008</x:v>
      </x:c>
      <x:c r="AE635" s="604" t="n"/>
      <x:c r="AF635" s="604" t="n">
        <x:v>0.2956099283471859</x:v>
      </x:c>
      <x:c r="AG635" s="604" t="n">
        <x:v>0.08628498097685028</x:v>
      </x:c>
      <x:c r="AH635" s="604" t="n"/>
      <x:c r="AI635" s="604" t="n"/>
      <x:c r="AJ635" s="604" t="n">
        <x:v>0.08628498097685028</x:v>
      </x:c>
      <x:c r="AK635" s="604" t="n"/>
      <x:c r="AL635" s="604" t="n"/>
      <x:c r="AM635" s="604" t="n"/>
      <x:c r="AN635" s="604" t="inlineStr">
        <x:is>
          <x:t xml:space="preserve">EVALUATED</x:t>
        </x:is>
      </x:c>
      <x:c r="AO635" s="604" t="inlineStr">
        <x:is>
          <x:t xml:space="preserve">GIVING_VALIDATED_EDGE、BUCKET_PRIOR_ONLY、INTENT_INTERPRETATION_ONLY、EXPERT_MARKET</x:t>
        </x:is>
      </x:c>
      <x:c r="AP635" s="604" t="inlineStr">
        <x:is>
          <x:t xml:space="preserve">6c576e5952fef94764dc</x:t>
        </x:is>
      </x:c>
      <x:c r="AQ635" s="604" t="n">
        <x:v>-1</x:v>
      </x:c>
      <x:c r="AR635" s="604" t="n">
        <x:v>0.85</x:v>
      </x:c>
      <x:c r="AS635" s="604" t="n">
        <x:v>1</x:v>
      </x:c>
      <x:c r="AT635" s="604" t="n">
        <x:v>-1</x:v>
      </x:c>
      <x:c r="AU635" s="604" t="n">
        <x:v>0.85</x:v>
      </x:c>
      <x:c r="AV635" s="604" t="n">
        <x:v>0.97</x:v>
      </x:c>
      <x:c r="AW635" s="604" t="n">
        <x:v>46296.03418765046</x:v>
      </x:c>
      <x:c r="AX635" s="604" t="inlineStr">
        <x:is>
          <x:t xml:space="preserve">https://simondongxiao.github.io/odds/v4/</x:t>
        </x:is>
      </x:c>
      <x:c r="AY635" s="604" t="inlineStr">
        <x:is>
          <x:t xml:space="preserve">V4 Shadow Only；real_money=false；P(EV&gt;0)不是比赛胜率</x:t>
        </x:is>
      </x:c>
    </x:row>
    <x:row r="636" ht="22" customHeight="1">
      <x:c r="A636" s="604" t="inlineStr">
        <x:is>
          <x:t xml:space="preserve">2026-10-01</x:t>
        </x:is>
      </x:c>
      <x:c r="B636" s="604" t="inlineStr">
        <x:is>
          <x:t xml:space="preserve">2026-10-02 05:30</x:t>
        </x:is>
      </x:c>
      <x:c r="C636" s="604" t="str">
        <x:v>北美系列</x:v>
      </x:c>
      <x:c r="D636" s="604" t="inlineStr">
        <x:is>
          <x:t xml:space="preserve">联赛</x:t>
        </x:is>
      </x:c>
      <x:c r="E636" s="604" t="inlineStr">
        <x:is>
          <x:t xml:space="preserve">萨尔超春</x:t>
        </x:is>
      </x:c>
      <x:c r="F636" s="604" t="inlineStr">
        <x:is>
          <x:t xml:space="preserve">旧金山富尔特 vs 路斯天使</x:t>
        </x:is>
      </x:c>
      <x:c r="G636" s="604" t="n">
        <x:v>0.65</x:v>
      </x:c>
      <x:c r="H636" s="604" t="n">
        <x:v>-1</x:v>
      </x:c>
      <x:c r="I636" s="604" t="n">
        <x:v>1.05</x:v>
      </x:c>
      <x:c r="J636" s="604" t="inlineStr">
        <x:is>
          <x:t xml:space="preserve">0.65/-1/1.05</x:t>
        </x:is>
      </x:c>
      <x:c r="K636" s="604" t="inlineStr">
        <x:is>
          <x:t xml:space="preserve">V4-B｜EV +0.1484</x:t>
        </x:is>
      </x:c>
      <x:c r="L636" s="604" t="inlineStr">
        <x:is>
          <x:t xml:space="preserve">路斯天使</x:t>
        </x:is>
      </x:c>
      <x:c r="M636" s="604" t="n">
        <x:v>0.5852150246594274</x:v>
      </x:c>
      <x:c r="N636" s="604" t="inlineStr">
        <x:is>
          <x:t xml:space="preserve">V4纸面入选-B</x:t>
        </x:is>
      </x:c>
      <x:c r="O636" s="604" t="inlineStr">
        <x:is>
          <x:t xml:space="preserve">0-3</x:t>
        </x:is>
      </x:c>
      <x:c r="P636" s="604" t="inlineStr">
        <x:is>
          <x:t xml:space="preserve">已结算</x:t>
        </x:is>
      </x:c>
      <x:c r="Q636" s="646" t="inlineStr">
        <x:is>
          <x:t xml:space="preserve">黑</x:t>
        </x:is>
      </x:c>
      <x:c r="R636" s="604" t="n">
        <x:v>1.05</x:v>
      </x:c>
      <x:c r="S636" s="604" t="n">
        <x:f>IF(OR(Q636="",Q636="待结算"),"",IF(Q636="红",R636,IF(Q636="半红",R636*0.5,IF(Q636="走",0,IF(Q636="半黑",-0.5,-1)))))</x:f>
        <x:v>-1</x:v>
      </x:c>
      <x:c r="T636" s="604" t="inlineStr">
        <x:is>
          <x:t xml:space="preserve">https://m.titan007.com/analy/Analysis/3041929.htm</x:t>
        </x:is>
      </x:c>
      <x:c r="U636" s="645" t="str">
        <x:f>IF(Q636="","",IF(Q636="待结算","待结算",IF(Q636="红","黑",IF(Q636="半红","半黑",IF(Q636="走","走",IF(Q636="半黑","半红","红"))))))</x:f>
        <x:v>红</x:v>
      </x:c>
      <x:c r="V636" s="604" t="n">
        <x:f>IF(OR(Q636="",Q636="待结算"),"",IF(L636=LEFT(F636,FIND(" vs ",F636)-1),I636,G636))</x:f>
        <x:v>0.65</x:v>
      </x:c>
      <x:c r="W636" s="604" t="n">
        <x:f>IF(OR(U636="",U636="待结算"),"",IF(U636="红",V636,IF(U636="半红",V636*0.5,IF(U636="走",0,IF(U636="半黑",-0.5,-1)))))</x:f>
        <x:v>0.65</x:v>
      </x:c>
      <x:c r="X636" s="604" t="inlineStr">
        <x:is>
          <x:t xml:space="preserve">3041929</x:t>
        </x:is>
      </x:c>
      <x:c r="Y636" s="604" t="inlineStr">
        <x:is>
          <x:t xml:space="preserve">V4</x:t>
        </x:is>
      </x:c>
      <x:c r="Z636" s="604" t="inlineStr">
        <x:is>
          <x:t xml:space="preserve">prior-2026-10-01-v1</x:t>
        </x:is>
      </x:c>
      <x:c r="AA636" s="604" t="inlineStr">
        <x:is>
          <x:t xml:space="preserve">B</x:t>
        </x:is>
      </x:c>
      <x:c r="AB636" s="604" t="n">
        <x:v>0.4350420336645062</x:v>
      </x:c>
      <x:c r="AC636" s="604" t="n"/>
      <x:c r="AD636" s="604" t="n">
        <x:v>0.2566116464325503</x:v>
      </x:c>
      <x:c r="AE636" s="604" t="n"/>
      <x:c r="AF636" s="604" t="n">
        <x:v>0.3083463199029435</x:v>
      </x:c>
      <x:c r="AG636" s="604" t="n">
        <x:v>0.1484478154447881</x:v>
      </x:c>
      <x:c r="AH636" s="604" t="n"/>
      <x:c r="AI636" s="604" t="n"/>
      <x:c r="AJ636" s="604" t="n">
        <x:v>0.1484478154447881</x:v>
      </x:c>
      <x:c r="AK636" s="604" t="n"/>
      <x:c r="AL636" s="604" t="n"/>
      <x:c r="AM636" s="604" t="n"/>
      <x:c r="AN636" s="604" t="inlineStr">
        <x:is>
          <x:t xml:space="preserve">EVALUATED</x:t>
        </x:is>
      </x:c>
      <x:c r="AO636" s="604" t="inlineStr">
        <x:is>
          <x:t xml:space="preserve">GIVING_VALIDATED_EDGE、BUCKET_PRIOR_ONLY、INTENT_INTERPRETATION_ONLY、EXPERT_MARKET</x:t>
        </x:is>
      </x:c>
      <x:c r="AP636" s="604" t="inlineStr">
        <x:is>
          <x:t xml:space="preserve">a5d96593cc86c482f601</x:t>
        </x:is>
      </x:c>
      <x:c r="AQ636" s="604" t="n">
        <x:v>-1</x:v>
      </x:c>
      <x:c r="AR636" s="604" t="n">
        <x:v>1.05</x:v>
      </x:c>
      <x:c r="AS636" s="604" t="n">
        <x:v>-1</x:v>
      </x:c>
      <x:c r="AT636" s="604" t="n">
        <x:v>1</x:v>
      </x:c>
      <x:c r="AU636" s="604" t="n">
        <x:v>0.65</x:v>
      </x:c>
      <x:c r="AV636" s="604" t="n">
        <x:v>1.05</x:v>
      </x:c>
      <x:c r="AW636" s="604" t="n">
        <x:v>46296.03418765046</x:v>
      </x:c>
      <x:c r="AX636" s="604" t="inlineStr">
        <x:is>
          <x:t xml:space="preserve">https://simondongxiao.github.io/odds/v4/</x:t>
        </x:is>
      </x:c>
      <x:c r="AY636" s="604" t="inlineStr">
        <x:is>
          <x:t xml:space="preserve">V4 Shadow Only；real_money=false；P(EV&gt;0)不是比赛胜率</x:t>
        </x:is>
      </x:c>
    </x:row>
    <x:row r="637" ht="22" customHeight="1">
      <x:c r="A637" s="604" t="inlineStr">
        <x:is>
          <x:t xml:space="preserve">2026-10-01</x:t>
        </x:is>
      </x:c>
      <x:c r="B637" s="604" t="inlineStr">
        <x:is>
          <x:t xml:space="preserve">2026-10-02 06:00</x:t>
        </x:is>
      </x:c>
      <x:c r="C637" s="604" t="str">
        <x:v>其他系列</x:v>
      </x:c>
      <x:c r="D637" s="604" t="inlineStr">
        <x:is>
          <x:t xml:space="preserve">联赛</x:t>
        </x:is>
      </x:c>
      <x:c r="E637" s="604" t="inlineStr">
        <x:is>
          <x:t xml:space="preserve">阿后备</x:t>
        </x:is>
      </x:c>
      <x:c r="F637" s="604" t="inlineStr">
        <x:is>
          <x:t xml:space="preserve">河床后备队 vs 萨尔米安杜后备队</x:t>
        </x:is>
      </x:c>
      <x:c r="G637" s="604" t="n">
        <x:v>0.83</x:v>
      </x:c>
      <x:c r="H637" s="604" t="n">
        <x:v>0</x:v>
      </x:c>
      <x:c r="I637" s="604" t="n">
        <x:v>0.87</x:v>
      </x:c>
      <x:c r="J637" s="604" t="inlineStr">
        <x:is>
          <x:t xml:space="preserve">0.83/0/0.87</x:t>
        </x:is>
      </x:c>
      <x:c r="K637" s="604" t="inlineStr">
        <x:is>
          <x:t xml:space="preserve">V4-C｜EV +0.0512</x:t>
        </x:is>
      </x:c>
      <x:c r="L637" s="604" t="str"/>
      <x:c r="M637" s="604" t="n">
        <x:v>0.5784221745065724</x:v>
      </x:c>
      <x:c r="N637" s="604" t="inlineStr">
        <x:is>
          <x:t xml:space="preserve">V4纸面入选-C</x:t>
        </x:is>
      </x:c>
      <x:c r="O637" s="604" t="inlineStr">
        <x:is>
          <x:t xml:space="preserve">1-0</x:t>
        </x:is>
      </x:c>
      <x:c r="P637" s="604" t="inlineStr">
        <x:is>
          <x:t xml:space="preserve">已结算</x:t>
        </x:is>
      </x:c>
      <x:c r="Q637" s="645" t="inlineStr">
        <x:is>
          <x:t xml:space="preserve">红</x:t>
        </x:is>
      </x:c>
      <x:c r="R637" s="604" t="n">
        <x:v>0.87</x:v>
      </x:c>
      <x:c r="S637" s="604" t="n">
        <x:f>IF(OR(Q637="",Q637="待结算"),"",IF(Q637="红",R637,IF(Q637="半红",R637*0.5,IF(Q637="走",0,IF(Q637="半黑",-0.5,-1)))))</x:f>
        <x:v>0.87</x:v>
      </x:c>
      <x:c r="T637" s="604" t="inlineStr">
        <x:is>
          <x:t xml:space="preserve">https://m.titan007.com/analy/Analysis/3095221.htm</x:t>
        </x:is>
      </x:c>
      <x:c r="U637" s="646" t="str">
        <x:f>IF(Q637="","",IF(Q637="待结算","待结算",IF(Q637="红","黑",IF(Q637="半红","半黑",IF(Q637="走","走",IF(Q637="半黑","半红","红"))))))</x:f>
        <x:v>黑</x:v>
      </x:c>
      <x:c r="V637" s="604" t="n">
        <x:f>IF(OR(Q637="",Q637="待结算"),"",IF(L637=LEFT(F637,FIND(" vs ",F637)-1),I637,G637))</x:f>
        <x:v>0.83</x:v>
      </x:c>
      <x:c r="W637" s="604" t="n">
        <x:f>IF(OR(U637="",U637="待结算"),"",IF(U637="红",V637,IF(U637="半红",V637*0.5,IF(U637="走",0,IF(U637="半黑",-0.5,-1)))))</x:f>
        <x:v>-1</x:v>
      </x:c>
      <x:c r="X637" s="604" t="inlineStr">
        <x:is>
          <x:t xml:space="preserve">3095221</x:t>
        </x:is>
      </x:c>
      <x:c r="Y637" s="604" t="inlineStr">
        <x:is>
          <x:t xml:space="preserve">V4</x:t>
        </x:is>
      </x:c>
      <x:c r="Z637" s="604" t="inlineStr">
        <x:is>
          <x:t xml:space="preserve">prior-2026-10-01-v1</x:t>
        </x:is>
      </x:c>
      <x:c r="AA637" s="604" t="inlineStr">
        <x:is>
          <x:t xml:space="preserve">C</x:t>
        </x:is>
      </x:c>
      <x:c r="AB637" s="604" t="n">
        <x:v>0.5062493687557625</x:v>
      </x:c>
      <x:c r="AC637" s="604" t="n"/>
      <x:c r="AD637" s="604" t="n"/>
      <x:c r="AE637" s="604" t="n">
        <x:v>0.2495506186718289</x:v>
      </x:c>
      <x:c r="AF637" s="604" t="n">
        <x:v>0.2442000125724086</x:v>
      </x:c>
      <x:c r="AG637" s="604" t="n">
        <x:v>0.05121165415895984</x:v>
      </x:c>
      <x:c r="AH637" s="604" t="n"/>
      <x:c r="AI637" s="604" t="n"/>
      <x:c r="AJ637" s="604" t="n">
        <x:v>0.05121165415895984</x:v>
      </x:c>
      <x:c r="AK637" s="604" t="n"/>
      <x:c r="AL637" s="604" t="n"/>
      <x:c r="AM637" s="604" t="n"/>
      <x:c r="AN637" s="604" t="inlineStr">
        <x:is>
          <x:t xml:space="preserve">EVALUATED</x:t>
        </x:is>
      </x:c>
      <x:c r="AO637" s="604" t="inlineStr">
        <x:is>
          <x:t xml:space="preserve">EDGE_BELOW_UNCERTAINTY_THRESHOLD、BUCKET_PRIOR_ONLY、INTENT_INTERPRETATION_ONLY、EXPERT_MARKET</x:t>
        </x:is>
      </x:c>
      <x:c r="AP637" s="604" t="inlineStr">
        <x:is>
          <x:t xml:space="preserve">fddff40c19ab82ae3e9c</x:t>
        </x:is>
      </x:c>
      <x:c r="AQ637" s="604" t="n">
        <x:v>0</x:v>
      </x:c>
      <x:c r="AR637" s="604" t="n"/>
      <x:c r="AS637" s="604" t="n">
        <x:v>0</x:v>
      </x:c>
      <x:c r="AT637" s="604" t="n">
        <x:v>0</x:v>
      </x:c>
      <x:c r="AU637" s="604" t="n">
        <x:v>0.83</x:v>
      </x:c>
      <x:c r="AV637" s="604" t="n">
        <x:v>0.87</x:v>
      </x:c>
      <x:c r="AW637" s="604" t="n">
        <x:v>46296.03418765046</x:v>
      </x:c>
      <x:c r="AX637" s="604" t="inlineStr">
        <x:is>
          <x:t xml:space="preserve">https://simondongxiao.github.io/odds/v4/</x:t>
        </x:is>
      </x:c>
      <x:c r="AY637" s="604" t="inlineStr">
        <x:is>
          <x:t xml:space="preserve">V4 Shadow Only；real_money=false；P(EV&gt;0)不是比赛胜率</x:t>
        </x:is>
      </x:c>
    </x:row>
    <x:row r="638" ht="22" customHeight="1">
      <x:c r="A638" s="604" t="inlineStr">
        <x:is>
          <x:t xml:space="preserve">2026-10-01</x:t>
        </x:is>
      </x:c>
      <x:c r="B638" s="604" t="inlineStr">
        <x:is>
          <x:t xml:space="preserve">2026-10-02 06:00</x:t>
        </x:is>
      </x:c>
      <x:c r="C638" s="604" t="str">
        <x:v>北美系列</x:v>
      </x:c>
      <x:c r="D638" s="604" t="inlineStr">
        <x:is>
          <x:t xml:space="preserve">联赛</x:t>
        </x:is>
      </x:c>
      <x:c r="E638" s="604" t="inlineStr">
        <x:is>
          <x:t xml:space="preserve">中北美国联</x:t>
        </x:is>
      </x:c>
      <x:c r="F638" s="604" t="inlineStr">
        <x:is>
          <x:t xml:space="preserve">库拉索 vs 特立尼达和多巴哥</x:t>
        </x:is>
      </x:c>
      <x:c r="G638" s="604" t="n">
        <x:v>0.9399999999999999</x:v>
      </x:c>
      <x:c r="H638" s="604" t="n">
        <x:v>0</x:v>
      </x:c>
      <x:c r="I638" s="604" t="n">
        <x:v>0.88</x:v>
      </x:c>
      <x:c r="J638" s="604" t="inlineStr">
        <x:is>
          <x:t xml:space="preserve">0.94/0/0.88</x:t>
        </x:is>
      </x:c>
      <x:c r="K638" s="604" t="inlineStr">
        <x:is>
          <x:t xml:space="preserve">V4-C｜EV +0.0356</x:t>
        </x:is>
      </x:c>
      <x:c r="L638" s="604" t="str"/>
      <x:c r="M638" s="604" t="n">
        <x:v>0.5364634566455374</x:v>
      </x:c>
      <x:c r="N638" s="604" t="inlineStr">
        <x:is>
          <x:t xml:space="preserve">V4纸面入选-C</x:t>
        </x:is>
      </x:c>
      <x:c r="O638" s="604" t="inlineStr">
        <x:is>
          <x:t xml:space="preserve">1-0</x:t>
        </x:is>
      </x:c>
      <x:c r="P638" s="604" t="inlineStr">
        <x:is>
          <x:t xml:space="preserve">已结算</x:t>
        </x:is>
      </x:c>
      <x:c r="Q638" s="645" t="inlineStr">
        <x:is>
          <x:t xml:space="preserve">红</x:t>
        </x:is>
      </x:c>
      <x:c r="R638" s="604" t="n">
        <x:v>0.88</x:v>
      </x:c>
      <x:c r="S638" s="604" t="n">
        <x:f>IF(OR(Q638="",Q638="待结算"),"",IF(Q638="红",R638,IF(Q638="半红",R638*0.5,IF(Q638="走",0,IF(Q638="半黑",-0.5,-1)))))</x:f>
        <x:v>0.88</x:v>
      </x:c>
      <x:c r="T638" s="604" t="inlineStr">
        <x:is>
          <x:t xml:space="preserve">https://m.titan007.com/analy/Analysis/3092430.htm</x:t>
        </x:is>
      </x:c>
      <x:c r="U638" s="646" t="str">
        <x:f>IF(Q638="","",IF(Q638="待结算","待结算",IF(Q638="红","黑",IF(Q638="半红","半黑",IF(Q638="走","走",IF(Q638="半黑","半红","红"))))))</x:f>
        <x:v>黑</x:v>
      </x:c>
      <x:c r="V638" s="604" t="n">
        <x:f>IF(OR(Q638="",Q638="待结算"),"",IF(L638=LEFT(F638,FIND(" vs ",F638)-1),I638,G638))</x:f>
        <x:v>0.94</x:v>
      </x:c>
      <x:c r="W638" s="604" t="n">
        <x:f>IF(OR(U638="",U638="待结算"),"",IF(U638="红",V638,IF(U638="半红",V638*0.5,IF(U638="走",0,IF(U638="半黑",-0.5,-1)))))</x:f>
        <x:v>-1</x:v>
      </x:c>
      <x:c r="X638" s="604" t="inlineStr">
        <x:is>
          <x:t xml:space="preserve">3092430</x:t>
        </x:is>
      </x:c>
      <x:c r="Y638" s="604" t="inlineStr">
        <x:is>
          <x:t xml:space="preserve">V4</x:t>
        </x:is>
      </x:c>
      <x:c r="Z638" s="604" t="inlineStr">
        <x:is>
          <x:t xml:space="preserve">prior-2026-10-01-v1</x:t>
        </x:is>
      </x:c>
      <x:c r="AA638" s="604" t="inlineStr">
        <x:is>
          <x:t xml:space="preserve">C</x:t>
        </x:is>
      </x:c>
      <x:c r="AB638" s="604" t="n">
        <x:v>0.3411592451166449</x:v>
      </x:c>
      <x:c r="AC638" s="604" t="n">
        <x:v>0.2542256513608044</x:v>
      </x:c>
      <x:c r="AD638" s="604" t="n"/>
      <x:c r="AE638" s="604" t="n"/>
      <x:c r="AF638" s="604" t="n">
        <x:v>0.4046151035225506</x:v>
      </x:c>
      <x:c r="AG638" s="604" t="n">
        <x:v>0.03556064302667367</x:v>
      </x:c>
      <x:c r="AH638" s="604" t="n"/>
      <x:c r="AI638" s="604" t="n"/>
      <x:c r="AJ638" s="604" t="n">
        <x:v>0.03556064302667367</x:v>
      </x:c>
      <x:c r="AK638" s="604" t="n"/>
      <x:c r="AL638" s="604" t="n"/>
      <x:c r="AM638" s="604" t="n"/>
      <x:c r="AN638" s="604" t="inlineStr">
        <x:is>
          <x:t xml:space="preserve">EVALUATED</x:t>
        </x:is>
      </x:c>
      <x:c r="AO638" s="604" t="inlineStr">
        <x:is>
          <x:t xml:space="preserve">EDGE_BELOW_UNCERTAINTY_THRESHOLD、BUCKET_PRIOR_ONLY、INTENT_INTERPRETATION_ONLY、EXPERT_MARKET</x:t>
        </x:is>
      </x:c>
      <x:c r="AP638" s="604" t="inlineStr">
        <x:is>
          <x:t xml:space="preserve">7a2304160d1003958294</x:t>
        </x:is>
      </x:c>
      <x:c r="AQ638" s="604" t="n">
        <x:v>0</x:v>
      </x:c>
      <x:c r="AR638" s="604" t="n"/>
      <x:c r="AS638" s="604" t="n">
        <x:v>0</x:v>
      </x:c>
      <x:c r="AT638" s="604" t="n">
        <x:v>0</x:v>
      </x:c>
      <x:c r="AU638" s="604" t="n">
        <x:v>0.9399999999999999</x:v>
      </x:c>
      <x:c r="AV638" s="604" t="n">
        <x:v>0.88</x:v>
      </x:c>
      <x:c r="AW638" s="604" t="n">
        <x:v>46296.03418765046</x:v>
      </x:c>
      <x:c r="AX638" s="604" t="inlineStr">
        <x:is>
          <x:t xml:space="preserve">https://simondongxiao.github.io/odds/v4/</x:t>
        </x:is>
      </x:c>
      <x:c r="AY638" s="604" t="inlineStr">
        <x:is>
          <x:t xml:space="preserve">V4 Shadow Only；real_money=false；P(EV&gt;0)不是比赛胜率</x:t>
        </x:is>
      </x:c>
    </x:row>
    <x:row r="639" ht="22" customHeight="1">
      <x:c r="A639" s="604" t="inlineStr">
        <x:is>
          <x:t xml:space="preserve">2026-10-01</x:t>
        </x:is>
      </x:c>
      <x:c r="B639" s="604" t="inlineStr">
        <x:is>
          <x:t xml:space="preserve">2026-10-02 08:00</x:t>
        </x:is>
      </x:c>
      <x:c r="C639" s="604" t="str">
        <x:v>南美系列</x:v>
      </x:c>
      <x:c r="D639" s="604" t="inlineStr">
        <x:is>
          <x:t xml:space="preserve">联赛</x:t>
        </x:is>
      </x:c>
      <x:c r="E639" s="604" t="inlineStr">
        <x:is>
          <x:t xml:space="preserve">巴西乙</x:t>
        </x:is>
      </x:c>
      <x:c r="F639" s="604" t="inlineStr">
        <x:is>
          <x:t xml:space="preserve">诺瓦里桑蒂诺 vs 戈伊亚斯</x:t>
        </x:is>
      </x:c>
      <x:c r="G639" s="604" t="n">
        <x:v>0.86</x:v>
      </x:c>
      <x:c r="H639" s="604" t="n">
        <x:v>0.75</x:v>
      </x:c>
      <x:c r="I639" s="604" t="n">
        <x:v>1.02</x:v>
      </x:c>
      <x:c r="J639" s="604" t="inlineStr">
        <x:is>
          <x:t xml:space="preserve">0.86/0.75/1.02</x:t>
        </x:is>
      </x:c>
      <x:c r="K639" s="604" t="inlineStr">
        <x:is>
          <x:t xml:space="preserve">V4-B｜EV +0.1595</x:t>
        </x:is>
      </x:c>
      <x:c r="L639" s="604" t="inlineStr">
        <x:is>
          <x:t xml:space="preserve">诺瓦里桑蒂诺</x:t>
        </x:is>
      </x:c>
      <x:c r="M639" s="604" t="n">
        <x:v>0.6360892048449992</x:v>
      </x:c>
      <x:c r="N639" s="604" t="inlineStr">
        <x:is>
          <x:t xml:space="preserve">V4纸面入选-B</x:t>
        </x:is>
      </x:c>
      <x:c r="O639" s="604" t="inlineStr">
        <x:is>
          <x:t xml:space="preserve">3-0</x:t>
        </x:is>
      </x:c>
      <x:c r="P639" s="604" t="inlineStr">
        <x:is>
          <x:t xml:space="preserve">已结算</x:t>
        </x:is>
      </x:c>
      <x:c r="Q639" s="645" t="inlineStr">
        <x:is>
          <x:t xml:space="preserve">红</x:t>
        </x:is>
      </x:c>
      <x:c r="R639" s="604" t="n">
        <x:v>0.86</x:v>
      </x:c>
      <x:c r="S639" s="604" t="n">
        <x:f>IF(OR(Q639="",Q639="待结算"),"",IF(Q639="红",R639,IF(Q639="半红",R639*0.5,IF(Q639="走",0,IF(Q639="半黑",-0.5,-1)))))</x:f>
        <x:v>0.86</x:v>
      </x:c>
      <x:c r="T639" s="604" t="inlineStr">
        <x:is>
          <x:t xml:space="preserve">https://m.titan007.com/analy/Analysis/2940213.htm</x:t>
        </x:is>
      </x:c>
      <x:c r="U639" s="646" t="str">
        <x:f>IF(Q639="","",IF(Q639="待结算","待结算",IF(Q639="红","黑",IF(Q639="半红","半黑",IF(Q639="走","走",IF(Q639="半黑","半红","红"))))))</x:f>
        <x:v>黑</x:v>
      </x:c>
      <x:c r="V639" s="604" t="n">
        <x:f>IF(OR(Q639="",Q639="待结算"),"",IF(L639=LEFT(F639,FIND(" vs ",F639)-1),I639,G639))</x:f>
        <x:v>1.02</x:v>
      </x:c>
      <x:c r="W639" s="604" t="n">
        <x:f>IF(OR(U639="",U639="待结算"),"",IF(U639="红",V639,IF(U639="半红",V639*0.5,IF(U639="走",0,IF(U639="半黑",-0.5,-1)))))</x:f>
        <x:v>-1</x:v>
      </x:c>
      <x:c r="X639" s="604" t="inlineStr">
        <x:is>
          <x:t xml:space="preserve">2940213</x:t>
        </x:is>
      </x:c>
      <x:c r="Y639" s="604" t="inlineStr">
        <x:is>
          <x:t xml:space="preserve">V4</x:t>
        </x:is>
      </x:c>
      <x:c r="Z639" s="604" t="inlineStr">
        <x:is>
          <x:t xml:space="preserve">prior-2026-10-01-v1</x:t>
        </x:is>
      </x:c>
      <x:c r="AA639" s="604" t="inlineStr">
        <x:is>
          <x:t xml:space="preserve">B</x:t>
        </x:is>
      </x:c>
      <x:c r="AB639" s="604" t="n">
        <x:v>0.4251694280601393</x:v>
      </x:c>
      <x:c r="AC639" s="604" t="n">
        <x:v>0.2578340791691027</x:v>
      </x:c>
      <x:c r="AD639" s="604" t="n"/>
      <x:c r="AE639" s="604" t="n"/>
      <x:c r="AF639" s="604" t="n">
        <x:v>0.3169964927707581</x:v>
      </x:c>
      <x:c r="AG639" s="604" t="n">
        <x:v>0.1595178694036759</x:v>
      </x:c>
      <x:c r="AH639" s="604" t="n"/>
      <x:c r="AI639" s="604" t="n"/>
      <x:c r="AJ639" s="604" t="n">
        <x:v>0.1595178694036759</x:v>
      </x:c>
      <x:c r="AK639" s="604" t="n"/>
      <x:c r="AL639" s="604" t="n"/>
      <x:c r="AM639" s="604" t="n"/>
      <x:c r="AN639" s="604" t="inlineStr">
        <x:is>
          <x:t xml:space="preserve">EVALUATED</x:t>
        </x:is>
      </x:c>
      <x:c r="AO639" s="604" t="inlineStr">
        <x:is>
          <x:t xml:space="preserve">GIVING_VALIDATED_EDGE、BUCKET_PRIOR_ONLY、INTENT_INTERPRETATION_ONLY、EXPERT_MARKET</x:t>
        </x:is>
      </x:c>
      <x:c r="AP639" s="604" t="inlineStr">
        <x:is>
          <x:t xml:space="preserve">e0cc15e8646eecb39398</x:t>
        </x:is>
      </x:c>
      <x:c r="AQ639" s="604" t="n">
        <x:v>-0.75</x:v>
      </x:c>
      <x:c r="AR639" s="604" t="n">
        <x:v>0.86</x:v>
      </x:c>
      <x:c r="AS639" s="604" t="n">
        <x:v>0.75</x:v>
      </x:c>
      <x:c r="AT639" s="604" t="n">
        <x:v>-0.75</x:v>
      </x:c>
      <x:c r="AU639" s="604" t="n">
        <x:v>0.86</x:v>
      </x:c>
      <x:c r="AV639" s="604" t="n">
        <x:v>1.02</x:v>
      </x:c>
      <x:c r="AW639" s="604" t="n">
        <x:v>46296.03418765046</x:v>
      </x:c>
      <x:c r="AX639" s="604" t="inlineStr">
        <x:is>
          <x:t xml:space="preserve">https://simondongxiao.github.io/odds/v4/</x:t>
        </x:is>
      </x:c>
      <x:c r="AY639" s="604" t="inlineStr">
        <x:is>
          <x:t xml:space="preserve">V4 Shadow Only；real_money=false；P(EV&gt;0)不是比赛胜率</x:t>
        </x:is>
      </x:c>
    </x:row>
    <x:row r="640" ht="22" customHeight="1">
      <x:c r="A640" s="604" t="inlineStr">
        <x:is>
          <x:t xml:space="preserve">2026-10-01</x:t>
        </x:is>
      </x:c>
      <x:c r="B640" s="604" t="inlineStr">
        <x:is>
          <x:t xml:space="preserve">2026-10-02 08:00</x:t>
        </x:is>
      </x:c>
      <x:c r="C640" s="604" t="str">
        <x:v>北美系列</x:v>
      </x:c>
      <x:c r="D640" s="604" t="inlineStr">
        <x:is>
          <x:t xml:space="preserve">联赛</x:t>
        </x:is>
      </x:c>
      <x:c r="E640" s="604" t="inlineStr">
        <x:is>
          <x:t xml:space="preserve">萨尔超春</x:t>
        </x:is>
      </x:c>
      <x:c r="F640" s="604" t="inlineStr">
        <x:is>
          <x:t xml:space="preserve">印加阿鲁巴 vs 利梅诺</x:t>
        </x:is>
      </x:c>
      <x:c r="G640" s="604" t="n">
        <x:v>0.82</x:v>
      </x:c>
      <x:c r="H640" s="604" t="n">
        <x:v>-0.5</x:v>
      </x:c>
      <x:c r="I640" s="604" t="n">
        <x:v>0.88</x:v>
      </x:c>
      <x:c r="J640" s="604" t="inlineStr">
        <x:is>
          <x:t xml:space="preserve">0.82/-0.5/0.88</x:t>
        </x:is>
      </x:c>
      <x:c r="K640" s="604" t="inlineStr">
        <x:is>
          <x:t xml:space="preserve">V4-B｜EV +0.0942</x:t>
        </x:is>
      </x:c>
      <x:c r="L640" s="604" t="inlineStr">
        <x:is>
          <x:t xml:space="preserve">利梅诺</x:t>
        </x:is>
      </x:c>
      <x:c r="M640" s="604" t="n">
        <x:v>0.5820218510357393</x:v>
      </x:c>
      <x:c r="N640" s="604" t="inlineStr">
        <x:is>
          <x:t xml:space="preserve">V4纸面入选-B</x:t>
        </x:is>
      </x:c>
      <x:c r="O640" s="604" t="inlineStr">
        <x:is>
          <x:t xml:space="preserve">2-1</x:t>
        </x:is>
      </x:c>
      <x:c r="P640" s="604" t="inlineStr">
        <x:is>
          <x:t xml:space="preserve">已结算</x:t>
        </x:is>
      </x:c>
      <x:c r="Q640" s="645" t="inlineStr">
        <x:is>
          <x:t xml:space="preserve">红</x:t>
        </x:is>
      </x:c>
      <x:c r="R640" s="604" t="n">
        <x:v>0.88</x:v>
      </x:c>
      <x:c r="S640" s="604" t="n">
        <x:f>IF(OR(Q640="",Q640="待结算"),"",IF(Q640="红",R640,IF(Q640="半红",R640*0.5,IF(Q640="走",0,IF(Q640="半黑",-0.5,-1)))))</x:f>
        <x:v>0.88</x:v>
      </x:c>
      <x:c r="T640" s="604" t="inlineStr">
        <x:is>
          <x:t xml:space="preserve">https://m.titan007.com/analy/Analysis/3041930.htm</x:t>
        </x:is>
      </x:c>
      <x:c r="U640" s="646" t="str">
        <x:f>IF(Q640="","",IF(Q640="待结算","待结算",IF(Q640="红","黑",IF(Q640="半红","半黑",IF(Q640="走","走",IF(Q640="半黑","半红","红"))))))</x:f>
        <x:v>黑</x:v>
      </x:c>
      <x:c r="V640" s="604" t="n">
        <x:f>IF(OR(Q640="",Q640="待结算"),"",IF(L640=LEFT(F640,FIND(" vs ",F640)-1),I640,G640))</x:f>
        <x:v>0.82</x:v>
      </x:c>
      <x:c r="W640" s="604" t="n">
        <x:f>IF(OR(U640="",U640="待结算"),"",IF(U640="红",V640,IF(U640="半红",V640*0.5,IF(U640="走",0,IF(U640="半黑",-0.5,-1)))))</x:f>
        <x:v>-1</x:v>
      </x:c>
      <x:c r="X640" s="604" t="inlineStr">
        <x:is>
          <x:t xml:space="preserve">3041930</x:t>
        </x:is>
      </x:c>
      <x:c r="Y640" s="604" t="inlineStr">
        <x:is>
          <x:t xml:space="preserve">V4</x:t>
        </x:is>
      </x:c>
      <x:c r="Z640" s="604" t="inlineStr">
        <x:is>
          <x:t xml:space="preserve">prior-2026-10-01-v1</x:t>
        </x:is>
      </x:c>
      <x:c r="AA640" s="604" t="inlineStr">
        <x:is>
          <x:t xml:space="preserve">B</x:t>
        </x:is>
      </x:c>
      <x:c r="AB640" s="604" t="n">
        <x:v>0.5820218510357393</x:v>
      </x:c>
      <x:c r="AC640" s="604" t="n"/>
      <x:c r="AD640" s="604" t="n"/>
      <x:c r="AE640" s="604" t="n"/>
      <x:c r="AF640" s="604" t="n">
        <x:v>0.4179781489642607</x:v>
      </x:c>
      <x:c r="AG640" s="604" t="n">
        <x:v>0.09420107994718996</x:v>
      </x:c>
      <x:c r="AH640" s="604" t="n"/>
      <x:c r="AI640" s="604" t="n"/>
      <x:c r="AJ640" s="604" t="n">
        <x:v>0.09420107994718996</x:v>
      </x:c>
      <x:c r="AK640" s="604" t="n"/>
      <x:c r="AL640" s="604" t="n"/>
      <x:c r="AM640" s="604" t="n"/>
      <x:c r="AN640" s="604" t="inlineStr">
        <x:is>
          <x:t xml:space="preserve">EVALUATED</x:t>
        </x:is>
      </x:c>
      <x:c r="AO640" s="604" t="inlineStr">
        <x:is>
          <x:t xml:space="preserve">GIVING_VALIDATED_EDGE、BUCKET_PRIOR_ONLY、INTENT_INTERPRETATION_ONLY、EXPERT_MARKET</x:t>
        </x:is>
      </x:c>
      <x:c r="AP640" s="604" t="inlineStr">
        <x:is>
          <x:t xml:space="preserve">315bdf32b9e81fa1464b</x:t>
        </x:is>
      </x:c>
      <x:c r="AQ640" s="604" t="n">
        <x:v>-0.5</x:v>
      </x:c>
      <x:c r="AR640" s="604" t="n">
        <x:v>0.88</x:v>
      </x:c>
      <x:c r="AS640" s="604" t="n">
        <x:v>-0.5</x:v>
      </x:c>
      <x:c r="AT640" s="604" t="n">
        <x:v>0.5</x:v>
      </x:c>
      <x:c r="AU640" s="604" t="n">
        <x:v>0.82</x:v>
      </x:c>
      <x:c r="AV640" s="604" t="n">
        <x:v>0.88</x:v>
      </x:c>
      <x:c r="AW640" s="604" t="n">
        <x:v>46296.03418765046</x:v>
      </x:c>
      <x:c r="AX640" s="604" t="inlineStr">
        <x:is>
          <x:t xml:space="preserve">https://simondongxiao.github.io/odds/v4/</x:t>
        </x:is>
      </x:c>
      <x:c r="AY640" s="604" t="inlineStr">
        <x:is>
          <x:t xml:space="preserve">V4 Shadow Only；real_money=false；P(EV&gt;0)不是比赛胜率</x:t>
        </x:is>
      </x:c>
    </x:row>
    <x:row r="641" ht="22" customHeight="1">
      <x:c r="A641" s="604" t="inlineStr">
        <x:is>
          <x:t xml:space="preserve">2026-10-01</x:t>
        </x:is>
      </x:c>
      <x:c r="B641" s="604" t="inlineStr">
        <x:is>
          <x:t xml:space="preserve">2026-10-02 08:15</x:t>
        </x:is>
      </x:c>
      <x:c r="C641" s="604" t="str">
        <x:v>南美系列</x:v>
      </x:c>
      <x:c r="D641" s="604" t="inlineStr">
        <x:is>
          <x:t xml:space="preserve">杯赛</x:t>
        </x:is>
      </x:c>
      <x:c r="E641" s="604" t="inlineStr">
        <x:is>
          <x:t xml:space="preserve">阿根廷杯</x:t>
        </x:is>
      </x:c>
      <x:c r="F641" s="604" t="inlineStr">
        <x:is>
          <x:t xml:space="preserve">普拉腾斯(中) vs 拉普拉塔大学生</x:t>
        </x:is>
      </x:c>
      <x:c r="G641" s="604" t="n">
        <x:v>0.99</x:v>
      </x:c>
      <x:c r="H641" s="604" t="n">
        <x:v>-0.25</x:v>
      </x:c>
      <x:c r="I641" s="604" t="n">
        <x:v>0.89</x:v>
      </x:c>
      <x:c r="J641" s="604" t="inlineStr">
        <x:is>
          <x:t xml:space="preserve">0.99/-0.25/0.89</x:t>
        </x:is>
      </x:c>
      <x:c r="K641" s="604" t="inlineStr">
        <x:is>
          <x:t xml:space="preserve">V4-C｜EV +0.0660</x:t>
        </x:is>
      </x:c>
      <x:c r="L641" s="604" t="inlineStr">
        <x:is>
          <x:t xml:space="preserve">拉普拉塔大学生</x:t>
        </x:is>
      </x:c>
      <x:c r="M641" s="604" t="n">
        <x:v>0.5691406217761799</x:v>
      </x:c>
      <x:c r="N641" s="604" t="inlineStr">
        <x:is>
          <x:t xml:space="preserve">V4纸面入选-C</x:t>
        </x:is>
      </x:c>
      <x:c r="O641" s="604" t="inlineStr">
        <x:is>
          <x:t xml:space="preserve">1-0</x:t>
        </x:is>
      </x:c>
      <x:c r="P641" s="604" t="inlineStr">
        <x:is>
          <x:t xml:space="preserve">已结算</x:t>
        </x:is>
      </x:c>
      <x:c r="Q641" s="645" t="inlineStr">
        <x:is>
          <x:t xml:space="preserve">红</x:t>
        </x:is>
      </x:c>
      <x:c r="R641" s="604" t="n">
        <x:v>0.89</x:v>
      </x:c>
      <x:c r="S641" s="604" t="n">
        <x:f>IF(OR(Q641="",Q641="待结算"),"",IF(Q641="红",R641,IF(Q641="半红",R641*0.5,IF(Q641="走",0,IF(Q641="半黑",-0.5,-1)))))</x:f>
        <x:v>0.89</x:v>
      </x:c>
      <x:c r="T641" s="604" t="inlineStr">
        <x:is>
          <x:t xml:space="preserve">https://m.titan007.com/analy/Analysis/3085729.htm</x:t>
        </x:is>
      </x:c>
      <x:c r="U641" s="646" t="str">
        <x:f>IF(Q641="","",IF(Q641="待结算","待结算",IF(Q641="红","黑",IF(Q641="半红","半黑",IF(Q641="走","走",IF(Q641="半黑","半红","红"))))))</x:f>
        <x:v>黑</x:v>
      </x:c>
      <x:c r="V641" s="604" t="n">
        <x:f>IF(OR(Q641="",Q641="待结算"),"",IF(L641=LEFT(F641,FIND(" vs ",F641)-1),I641,G641))</x:f>
        <x:v>0.99</x:v>
      </x:c>
      <x:c r="W641" s="604" t="n">
        <x:f>IF(OR(U641="",U641="待结算"),"",IF(U641="红",V641,IF(U641="半红",V641*0.5,IF(U641="走",0,IF(U641="半黑",-0.5,-1)))))</x:f>
        <x:v>-1</x:v>
      </x:c>
      <x:c r="X641" s="604" t="inlineStr">
        <x:is>
          <x:t xml:space="preserve">3085729</x:t>
        </x:is>
      </x:c>
      <x:c r="Y641" s="604" t="inlineStr">
        <x:is>
          <x:t xml:space="preserve">V4</x:t>
        </x:is>
      </x:c>
      <x:c r="Z641" s="604" t="inlineStr">
        <x:is>
          <x:t xml:space="preserve">prior-2026-10-01-v1</x:t>
        </x:is>
      </x:c>
      <x:c r="AA641" s="604" t="inlineStr">
        <x:is>
          <x:t xml:space="preserve">C</x:t>
        </x:is>
      </x:c>
      <x:c r="AB641" s="604" t="n">
        <x:v>0.4962798269609524</x:v>
      </x:c>
      <x:c r="AC641" s="604" t="n"/>
      <x:c r="AD641" s="604" t="n"/>
      <x:c r="AE641" s="604" t="n">
        <x:v>0.256037935186713</x:v>
      </x:c>
      <x:c r="AF641" s="604" t="n">
        <x:v>0.2476822378523347</x:v>
      </x:c>
      <x:c r="AG641" s="604" t="n">
        <x:v>0.06598784054955653</x:v>
      </x:c>
      <x:c r="AH641" s="604" t="n"/>
      <x:c r="AI641" s="604" t="n"/>
      <x:c r="AJ641" s="604" t="n">
        <x:v>0.06598784054955653</x:v>
      </x:c>
      <x:c r="AK641" s="604" t="n"/>
      <x:c r="AL641" s="604" t="n"/>
      <x:c r="AM641" s="604" t="n"/>
      <x:c r="AN641" s="604" t="inlineStr">
        <x:is>
          <x:t xml:space="preserve">EVALUATED</x:t>
        </x:is>
      </x:c>
      <x:c r="AO641" s="604" t="inlineStr">
        <x:is>
          <x:t xml:space="preserve">GIVING_VALIDATED_EDGE、BUCKET_PRIOR_ONLY、INTENT_INTERPRETATION_ONLY、EXPERT_MARKET</x:t>
        </x:is>
      </x:c>
      <x:c r="AP641" s="604" t="inlineStr">
        <x:is>
          <x:t xml:space="preserve">60143c90dc7e33072ca2</x:t>
        </x:is>
      </x:c>
      <x:c r="AQ641" s="604" t="n">
        <x:v>-0.25</x:v>
      </x:c>
      <x:c r="AR641" s="604" t="n">
        <x:v>0.89</x:v>
      </x:c>
      <x:c r="AS641" s="604" t="n">
        <x:v>-0.25</x:v>
      </x:c>
      <x:c r="AT641" s="604" t="n">
        <x:v>0.25</x:v>
      </x:c>
      <x:c r="AU641" s="604" t="n">
        <x:v>0.99</x:v>
      </x:c>
      <x:c r="AV641" s="604" t="n">
        <x:v>0.89</x:v>
      </x:c>
      <x:c r="AW641" s="604" t="n">
        <x:v>46296.03418765046</x:v>
      </x:c>
      <x:c r="AX641" s="604" t="inlineStr">
        <x:is>
          <x:t xml:space="preserve">https://simondongxiao.github.io/odds/v4/</x:t>
        </x:is>
      </x:c>
      <x:c r="AY641" s="604" t="inlineStr">
        <x:is>
          <x:t xml:space="preserve">V4 Shadow Only；real_money=false；P(EV&gt;0)不是比赛胜率</x:t>
        </x:is>
      </x:c>
    </x:row>
    <x:row r="642" ht="22" customHeight="1">
      <x:c r="A642" s="604" t="inlineStr">
        <x:is>
          <x:t xml:space="preserve">2026-10-02</x:t>
        </x:is>
      </x:c>
      <x:c r="B642" s="604" t="inlineStr">
        <x:is>
          <x:t xml:space="preserve">2026-10-02 14:00</x:t>
        </x:is>
      </x:c>
      <x:c r="C642" s="604" t="str">
        <x:v>其他系列</x:v>
      </x:c>
      <x:c r="D642" s="604" t="inlineStr">
        <x:is>
          <x:t xml:space="preserve">联赛</x:t>
        </x:is>
      </x:c>
      <x:c r="E642" s="604" t="inlineStr">
        <x:is>
          <x:t xml:space="preserve">亚运女足</x:t>
        </x:is>
      </x:c>
      <x:c r="F642" s="604" t="inlineStr">
        <x:is>
          <x:t xml:space="preserve">中国女足(中) vs 韩国女足</x:t>
        </x:is>
      </x:c>
      <x:c r="G642" s="604" t="n">
        <x:v>0.4</x:v>
      </x:c>
      <x:c r="H642" s="604" t="n">
        <x:v>-1</x:v>
      </x:c>
      <x:c r="I642" s="604" t="n">
        <x:v>1.42</x:v>
      </x:c>
      <x:c r="J642" s="604" t="inlineStr">
        <x:is>
          <x:t xml:space="preserve">0.4/-1/1.42</x:t>
        </x:is>
      </x:c>
      <x:c r="K642" s="604" t="inlineStr">
        <x:is>
          <x:t xml:space="preserve">V4-B｜EV +0.4463</x:t>
        </x:is>
      </x:c>
      <x:c r="L642" s="604" t="inlineStr">
        <x:is>
          <x:t xml:space="preserve">韩国女足</x:t>
        </x:is>
      </x:c>
      <x:c r="M642" s="604" t="n">
        <x:v>0.6594862166434358</x:v>
      </x:c>
      <x:c r="N642" s="604" t="inlineStr">
        <x:is>
          <x:t xml:space="preserve">V4纸面入选-B</x:t>
        </x:is>
      </x:c>
      <x:c r="O642" s="604" t="inlineStr">
        <x:is>
          <x:t xml:space="preserve">0-1</x:t>
        </x:is>
      </x:c>
      <x:c r="P642" s="604" t="inlineStr">
        <x:is>
          <x:t xml:space="preserve">已结算</x:t>
        </x:is>
      </x:c>
      <x:c r="Q642" s="646" t="inlineStr">
        <x:is>
          <x:t xml:space="preserve">黑</x:t>
        </x:is>
      </x:c>
      <x:c r="R642" s="604" t="n">
        <x:v>1.42</x:v>
      </x:c>
      <x:c r="S642" s="604" t="n">
        <x:f>IF(OR(Q642="",Q642="待结算"),"",IF(Q642="红",R642,IF(Q642="半红",R642*0.5,IF(Q642="走",0,IF(Q642="半黑",-0.5,-1)))))</x:f>
        <x:v>-1</x:v>
      </x:c>
      <x:c r="T642" s="604" t="inlineStr">
        <x:is>
          <x:t xml:space="preserve">https://m.titan007.com/analy/Analysis/3096763.htm</x:t>
        </x:is>
      </x:c>
      <x:c r="U642" s="645" t="str">
        <x:f>IF(Q642="","",IF(Q642="待结算","待结算",IF(Q642="红","黑",IF(Q642="半红","半黑",IF(Q642="走","走",IF(Q642="半黑","半红","红"))))))</x:f>
        <x:v>红</x:v>
      </x:c>
      <x:c r="V642" s="604" t="n">
        <x:f>IF(OR(Q642="",Q642="待结算"),"",IF(L642=LEFT(F642,FIND(" vs ",F642)-1),I642,G642))</x:f>
        <x:v>0.4</x:v>
      </x:c>
      <x:c r="W642" s="604" t="n">
        <x:f>IF(OR(U642="",U642="待结算"),"",IF(U642="红",V642,IF(U642="半红",V642*0.5,IF(U642="走",0,IF(U642="半黑",-0.5,-1)))))</x:f>
        <x:v>0.4</x:v>
      </x:c>
      <x:c r="X642" s="604" t="inlineStr">
        <x:is>
          <x:t xml:space="preserve">3096763</x:t>
        </x:is>
      </x:c>
      <x:c r="Y642" s="604" t="inlineStr">
        <x:is>
          <x:t xml:space="preserve">V4</x:t>
        </x:is>
      </x:c>
      <x:c r="Z642" s="604" t="inlineStr">
        <x:is>
          <x:t xml:space="preserve">prior-2026-10-02-v1</x:t>
        </x:is>
      </x:c>
      <x:c r="AA642" s="604" t="inlineStr">
        <x:is>
          <x:t xml:space="preserve">B</x:t>
        </x:is>
      </x:c>
      <x:c r="AB642" s="604" t="n">
        <x:v>0.4938497555771875</x:v>
      </x:c>
      <x:c r="AC642" s="604" t="n"/>
      <x:c r="AD642" s="604" t="n">
        <x:v>0.2511598527551985</x:v>
      </x:c>
      <x:c r="AE642" s="604" t="n"/>
      <x:c r="AF642" s="604" t="n">
        <x:v>0.254990391667614</x:v>
      </x:c>
      <x:c r="AG642" s="604" t="n">
        <x:v>0.4462762612519922</x:v>
      </x:c>
      <x:c r="AH642" s="604" t="n"/>
      <x:c r="AI642" s="604" t="n"/>
      <x:c r="AJ642" s="604" t="n">
        <x:v>0.4462762612519922</x:v>
      </x:c>
      <x:c r="AK642" s="604" t="n"/>
      <x:c r="AL642" s="604" t="n"/>
      <x:c r="AM642" s="604" t="n"/>
      <x:c r="AN642" s="604" t="inlineStr">
        <x:is>
          <x:t xml:space="preserve">EVALUATED</x:t>
        </x:is>
      </x:c>
      <x:c r="AO642" s="604" t="inlineStr">
        <x:is>
          <x:t xml:space="preserve">GIVING_VALIDATED_EDGE、BUCKET_PRIOR_ONLY、INTENT_INTERPRETATION_ONLY、EXPERT_MARKET</x:t>
        </x:is>
      </x:c>
      <x:c r="AP642" s="604" t="inlineStr">
        <x:is>
          <x:t xml:space="preserve">574845c743374ba8fed8</x:t>
        </x:is>
      </x:c>
      <x:c r="AQ642" s="604" t="n">
        <x:v>-1</x:v>
      </x:c>
      <x:c r="AR642" s="604" t="n">
        <x:v>1.42</x:v>
      </x:c>
      <x:c r="AS642" s="604" t="n">
        <x:v>-1</x:v>
      </x:c>
      <x:c r="AT642" s="604" t="n">
        <x:v>1</x:v>
      </x:c>
      <x:c r="AU642" s="604" t="n">
        <x:v>0.4</x:v>
      </x:c>
      <x:c r="AV642" s="604" t="n">
        <x:v>1.42</x:v>
      </x:c>
      <x:c r="AW642" s="604" t="n">
        <x:v>46297.01241842593</x:v>
      </x:c>
      <x:c r="AX642" s="604" t="inlineStr">
        <x:is>
          <x:t xml:space="preserve">https://simondongxiao.github.io/odds/v4/</x:t>
        </x:is>
      </x:c>
      <x:c r="AY642" s="604" t="inlineStr">
        <x:is>
          <x:t xml:space="preserve">V4 Shadow Only；real_money=false；P(EV&gt;0)不是比赛胜率</x:t>
        </x:is>
      </x:c>
    </x:row>
    <x:row r="643" ht="22" customHeight="1">
      <x:c r="A643" s="604" t="inlineStr">
        <x:is>
          <x:t xml:space="preserve">2026-10-02</x:t>
        </x:is>
      </x:c>
      <x:c r="B643" s="604" t="inlineStr">
        <x:is>
          <x:t xml:space="preserve">2026-10-02 17:00</x:t>
        </x:is>
      </x:c>
      <x:c r="C643" s="604" t="str">
        <x:v>其他系列</x:v>
      </x:c>
      <x:c r="D643" s="604" t="inlineStr">
        <x:is>
          <x:t xml:space="preserve">杯赛</x:t>
        </x:is>
      </x:c>
      <x:c r="E643" s="604" t="inlineStr">
        <x:is>
          <x:t xml:space="preserve">东盟杯</x:t>
        </x:is>
      </x:c>
      <x:c r="F643" s="604" t="inlineStr">
        <x:is>
          <x:t xml:space="preserve">泰国(中) vs 菲律宾</x:t>
        </x:is>
      </x:c>
      <x:c r="G643" s="604" t="n">
        <x:v>0.8</x:v>
      </x:c>
      <x:c r="H643" s="604" t="n">
        <x:v>0</x:v>
      </x:c>
      <x:c r="I643" s="604" t="n">
        <x:v>0.9</x:v>
      </x:c>
      <x:c r="J643" s="604" t="inlineStr">
        <x:is>
          <x:t xml:space="preserve">0.8/0/0.9</x:t>
        </x:is>
      </x:c>
      <x:c r="K643" s="604" t="inlineStr">
        <x:is>
          <x:t xml:space="preserve">V4-C｜EV +0.0075</x:t>
        </x:is>
      </x:c>
      <x:c r="L643" s="604" t="str"/>
      <x:c r="M643" s="604" t="n">
        <x:v>0.5611665283305842</x:v>
      </x:c>
      <x:c r="N643" s="604" t="inlineStr">
        <x:is>
          <x:t xml:space="preserve">V4纸面入选-C</x:t>
        </x:is>
      </x:c>
      <x:c r="O643" s="604" t="inlineStr">
        <x:is>
          <x:t xml:space="preserve">1-2</x:t>
        </x:is>
      </x:c>
      <x:c r="P643" s="604" t="inlineStr">
        <x:is>
          <x:t xml:space="preserve">已结算</x:t>
        </x:is>
      </x:c>
      <x:c r="Q643" s="646" t="inlineStr">
        <x:is>
          <x:t xml:space="preserve">黑</x:t>
        </x:is>
      </x:c>
      <x:c r="R643" s="604" t="n">
        <x:v>0.9</x:v>
      </x:c>
      <x:c r="S643" s="604" t="n">
        <x:f>IF(OR(Q643="",Q643="待结算"),"",IF(Q643="红",R643,IF(Q643="半红",R643*0.5,IF(Q643="走",0,IF(Q643="半黑",-0.5,-1)))))</x:f>
        <x:v>-1</x:v>
      </x:c>
      <x:c r="T643" s="604" t="inlineStr">
        <x:is>
          <x:t xml:space="preserve">https://m.titan007.com/analy/Analysis/3088950.htm</x:t>
        </x:is>
      </x:c>
      <x:c r="U643" s="645" t="str">
        <x:f>IF(Q643="","",IF(Q643="待结算","待结算",IF(Q643="红","黑",IF(Q643="半红","半黑",IF(Q643="走","走",IF(Q643="半黑","半红","红"))))))</x:f>
        <x:v>红</x:v>
      </x:c>
      <x:c r="V643" s="604" t="n">
        <x:f>IF(OR(Q643="",Q643="待结算"),"",IF(L643=LEFT(F643,FIND(" vs ",F643)-1),I643,G643))</x:f>
        <x:v>0.8</x:v>
      </x:c>
      <x:c r="W643" s="604" t="n">
        <x:f>IF(OR(U643="",U643="待结算"),"",IF(U643="红",V643,IF(U643="半红",V643*0.5,IF(U643="走",0,IF(U643="半黑",-0.5,-1)))))</x:f>
        <x:v>0.8</x:v>
      </x:c>
      <x:c r="X643" s="604" t="inlineStr">
        <x:is>
          <x:t xml:space="preserve">3088950</x:t>
        </x:is>
      </x:c>
      <x:c r="Y643" s="604" t="inlineStr">
        <x:is>
          <x:t xml:space="preserve">V4</x:t>
        </x:is>
      </x:c>
      <x:c r="Z643" s="604" t="inlineStr">
        <x:is>
          <x:t xml:space="preserve">prior-2026-10-02-v1</x:t>
        </x:is>
      </x:c>
      <x:c r="AA643" s="604" t="inlineStr">
        <x:is>
          <x:t xml:space="preserve">C</x:t>
        </x:is>
      </x:c>
      <x:c r="AB643" s="604" t="n">
        <x:v>0.4174235260629171</x:v>
      </x:c>
      <x:c r="AC643" s="604" t="n"/>
      <x:c r="AD643" s="604" t="n">
        <x:v>0.2561503493362096</x:v>
      </x:c>
      <x:c r="AE643" s="604" t="n"/>
      <x:c r="AF643" s="604" t="n">
        <x:v>0.3264261246008733</x:v>
      </x:c>
      <x:c r="AG643" s="604" t="n">
        <x:v>0.007512696249460382</x:v>
      </x:c>
      <x:c r="AH643" s="604" t="n"/>
      <x:c r="AI643" s="604" t="n"/>
      <x:c r="AJ643" s="604" t="n">
        <x:v>0.007512696249460382</x:v>
      </x:c>
      <x:c r="AK643" s="604" t="n"/>
      <x:c r="AL643" s="604" t="n"/>
      <x:c r="AM643" s="604" t="n"/>
      <x:c r="AN643" s="604" t="inlineStr">
        <x:is>
          <x:t xml:space="preserve">EVALUATED</x:t>
        </x:is>
      </x:c>
      <x:c r="AO643" s="604" t="inlineStr">
        <x:is>
          <x:t xml:space="preserve">EDGE_BELOW_UNCERTAINTY_THRESHOLD、BUCKET_PRIOR_ONLY、INTENT_INTERPRETATION_ONLY、EXPERT_MARKET</x:t>
        </x:is>
      </x:c>
      <x:c r="AP643" s="604" t="inlineStr">
        <x:is>
          <x:t xml:space="preserve">300099cebfd8517b2103</x:t>
        </x:is>
      </x:c>
      <x:c r="AQ643" s="604" t="n">
        <x:v>0</x:v>
      </x:c>
      <x:c r="AR643" s="604" t="n"/>
      <x:c r="AS643" s="604" t="n">
        <x:v>0</x:v>
      </x:c>
      <x:c r="AT643" s="604" t="n">
        <x:v>0</x:v>
      </x:c>
      <x:c r="AU643" s="604" t="n">
        <x:v>0.8</x:v>
      </x:c>
      <x:c r="AV643" s="604" t="n">
        <x:v>0.9</x:v>
      </x:c>
      <x:c r="AW643" s="604" t="n">
        <x:v>46297.01241842593</x:v>
      </x:c>
      <x:c r="AX643" s="604" t="inlineStr">
        <x:is>
          <x:t xml:space="preserve">https://simondongxiao.github.io/odds/v4/</x:t>
        </x:is>
      </x:c>
      <x:c r="AY643" s="604" t="inlineStr">
        <x:is>
          <x:t xml:space="preserve">V4 Shadow Only；real_money=false；P(EV&gt;0)不是比赛胜率</x:t>
        </x:is>
      </x:c>
    </x:row>
    <x:row r="644" ht="22" customHeight="1">
      <x:c r="A644" s="604" t="inlineStr">
        <x:is>
          <x:t xml:space="preserve">2026-10-02</x:t>
        </x:is>
      </x:c>
      <x:c r="B644" s="604" t="inlineStr">
        <x:is>
          <x:t xml:space="preserve">2026-10-02 17:00</x:t>
        </x:is>
      </x:c>
      <x:c r="C644" s="604" t="str">
        <x:v>其他系列</x:v>
      </x:c>
      <x:c r="D644" s="604" t="inlineStr">
        <x:is>
          <x:t xml:space="preserve">杯赛</x:t>
        </x:is>
      </x:c>
      <x:c r="E644" s="604" t="inlineStr">
        <x:is>
          <x:t xml:space="preserve">东盟杯</x:t>
        </x:is>
      </x:c>
      <x:c r="F644" s="604" t="inlineStr">
        <x:is>
          <x:t xml:space="preserve">越南(中) vs 巴基斯坦</x:t>
        </x:is>
      </x:c>
      <x:c r="G644" s="604" t="n">
        <x:v>0.92</x:v>
      </x:c>
      <x:c r="H644" s="604" t="n">
        <x:v>0</x:v>
      </x:c>
      <x:c r="I644" s="604" t="n">
        <x:v>0.78</x:v>
      </x:c>
      <x:c r="J644" s="604" t="inlineStr">
        <x:is>
          <x:t xml:space="preserve">0.92/0/0.78</x:t>
        </x:is>
      </x:c>
      <x:c r="K644" s="604" t="inlineStr">
        <x:is>
          <x:t xml:space="preserve">V4-C｜EV +0.0213</x:t>
        </x:is>
      </x:c>
      <x:c r="L644" s="604" t="str"/>
      <x:c r="M644" s="604" t="n">
        <x:v>0.5319317438890758</x:v>
      </x:c>
      <x:c r="N644" s="604" t="inlineStr">
        <x:is>
          <x:t xml:space="preserve">V4纸面入选-C</x:t>
        </x:is>
      </x:c>
      <x:c r="O644" s="604" t="inlineStr">
        <x:is>
          <x:t xml:space="preserve">4-2</x:t>
        </x:is>
      </x:c>
      <x:c r="P644" s="604" t="inlineStr">
        <x:is>
          <x:t xml:space="preserve">已结算</x:t>
        </x:is>
      </x:c>
      <x:c r="Q644" s="645" t="inlineStr">
        <x:is>
          <x:t xml:space="preserve">红</x:t>
        </x:is>
      </x:c>
      <x:c r="R644" s="604" t="n">
        <x:v>0.78</x:v>
      </x:c>
      <x:c r="S644" s="604" t="n">
        <x:f>IF(OR(Q644="",Q644="待结算"),"",IF(Q644="红",R644,IF(Q644="半红",R644*0.5,IF(Q644="走",0,IF(Q644="半黑",-0.5,-1)))))</x:f>
        <x:v>0.78</x:v>
      </x:c>
      <x:c r="T644" s="604" t="inlineStr">
        <x:is>
          <x:t xml:space="preserve">https://m.titan007.com/analy/Analysis/3088951.htm</x:t>
        </x:is>
      </x:c>
      <x:c r="U644" s="646" t="str">
        <x:f>IF(Q644="","",IF(Q644="待结算","待结算",IF(Q644="红","黑",IF(Q644="半红","半黑",IF(Q644="走","走",IF(Q644="半黑","半红","红"))))))</x:f>
        <x:v>黑</x:v>
      </x:c>
      <x:c r="V644" s="604" t="n">
        <x:f>IF(OR(Q644="",Q644="待结算"),"",IF(L644=LEFT(F644,FIND(" vs ",F644)-1),I644,G644))</x:f>
        <x:v>0.92</x:v>
      </x:c>
      <x:c r="W644" s="604" t="n">
        <x:f>IF(OR(U644="",U644="待结算"),"",IF(U644="红",V644,IF(U644="半红",V644*0.5,IF(U644="走",0,IF(U644="半黑",-0.5,-1)))))</x:f>
        <x:v>-1</x:v>
      </x:c>
      <x:c r="X644" s="604" t="inlineStr">
        <x:is>
          <x:t xml:space="preserve">3088951</x:t>
        </x:is>
      </x:c>
      <x:c r="Y644" s="604" t="inlineStr">
        <x:is>
          <x:t xml:space="preserve">V4</x:t>
        </x:is>
      </x:c>
      <x:c r="Z644" s="604" t="inlineStr">
        <x:is>
          <x:t xml:space="preserve">prior-2026-10-02-v1</x:t>
        </x:is>
      </x:c>
      <x:c r="AA644" s="604" t="inlineStr">
        <x:is>
          <x:t xml:space="preserve">C</x:t>
        </x:is>
      </x:c>
      <x:c r="AB644" s="604" t="n">
        <x:v>0.5319317438890758</x:v>
      </x:c>
      <x:c r="AC644" s="604" t="n"/>
      <x:c r="AD644" s="604" t="n"/>
      <x:c r="AE644" s="604" t="n"/>
      <x:c r="AF644" s="604" t="n">
        <x:v>0.4680682561109242</x:v>
      </x:c>
      <x:c r="AG644" s="604" t="n">
        <x:v>0.02130894826702556</x:v>
      </x:c>
      <x:c r="AH644" s="604" t="n"/>
      <x:c r="AI644" s="604" t="n"/>
      <x:c r="AJ644" s="604" t="n">
        <x:v>0.02130894826702556</x:v>
      </x:c>
      <x:c r="AK644" s="604" t="n"/>
      <x:c r="AL644" s="604" t="n"/>
      <x:c r="AM644" s="604" t="n"/>
      <x:c r="AN644" s="604" t="inlineStr">
        <x:is>
          <x:t xml:space="preserve">EVALUATED</x:t>
        </x:is>
      </x:c>
      <x:c r="AO644" s="604" t="inlineStr">
        <x:is>
          <x:t xml:space="preserve">EDGE_BELOW_UNCERTAINTY_THRESHOLD、BUCKET_PRIOR_ONLY、INTENT_INTERPRETATION_ONLY、EXPERT_MARKET</x:t>
        </x:is>
      </x:c>
      <x:c r="AP644" s="604" t="inlineStr">
        <x:is>
          <x:t xml:space="preserve">1bf5601d5c795b69a3ba</x:t>
        </x:is>
      </x:c>
      <x:c r="AQ644" s="604" t="n">
        <x:v>0</x:v>
      </x:c>
      <x:c r="AR644" s="604" t="n"/>
      <x:c r="AS644" s="604" t="n">
        <x:v>0</x:v>
      </x:c>
      <x:c r="AT644" s="604" t="n">
        <x:v>0</x:v>
      </x:c>
      <x:c r="AU644" s="604" t="n">
        <x:v>0.92</x:v>
      </x:c>
      <x:c r="AV644" s="604" t="n">
        <x:v>0.78</x:v>
      </x:c>
      <x:c r="AW644" s="604" t="n">
        <x:v>46297.01241842593</x:v>
      </x:c>
      <x:c r="AX644" s="604" t="inlineStr">
        <x:is>
          <x:t xml:space="preserve">https://simondongxiao.github.io/odds/v4/</x:t>
        </x:is>
      </x:c>
      <x:c r="AY644" s="604" t="inlineStr">
        <x:is>
          <x:t xml:space="preserve">V4 Shadow Only；real_money=false；P(EV&gt;0)不是比赛胜率</x:t>
        </x:is>
      </x:c>
    </x:row>
    <x:row r="645" ht="22" customHeight="1">
      <x:c r="A645" s="604" t="inlineStr">
        <x:is>
          <x:t xml:space="preserve">2026-10-02</x:t>
        </x:is>
      </x:c>
      <x:c r="B645" s="604" t="inlineStr">
        <x:is>
          <x:t xml:space="preserve">2026-10-02 17:55</x:t>
        </x:is>
      </x:c>
      <x:c r="C645" s="604" t="str">
        <x:v>日韩系列</x:v>
      </x:c>
      <x:c r="D645" s="604" t="inlineStr">
        <x:is>
          <x:t xml:space="preserve">联赛</x:t>
        </x:is>
      </x:c>
      <x:c r="E645" s="604" t="inlineStr">
        <x:is>
          <x:t xml:space="preserve">韩女联</x:t>
        </x:is>
      </x:c>
      <x:c r="F645" s="604" t="inlineStr">
        <x:is>
          <x:t xml:space="preserve">世宗龟尾女足 vs 水原FCM女足</x:t>
        </x:is>
      </x:c>
      <x:c r="G645" s="604" t="n">
        <x:v>0.75</x:v>
      </x:c>
      <x:c r="H645" s="604" t="n">
        <x:v>0</x:v>
      </x:c>
      <x:c r="I645" s="604" t="n">
        <x:v>0.95</x:v>
      </x:c>
      <x:c r="J645" s="604" t="inlineStr">
        <x:is>
          <x:t xml:space="preserve">0.75/0/0.95</x:t>
        </x:is>
      </x:c>
      <x:c r="K645" s="604" t="inlineStr">
        <x:is>
          <x:t xml:space="preserve">V4-C｜EV +0.0561</x:t>
        </x:is>
      </x:c>
      <x:c r="L645" s="604" t="str"/>
      <x:c r="M645" s="604" t="n">
        <x:v>0.5457549244627229</x:v>
      </x:c>
      <x:c r="N645" s="604" t="inlineStr">
        <x:is>
          <x:t xml:space="preserve">V4纸面入选-C</x:t>
        </x:is>
      </x:c>
      <x:c r="O645" s="604" t="inlineStr">
        <x:is>
          <x:t xml:space="preserve">0-1</x:t>
        </x:is>
      </x:c>
      <x:c r="P645" s="604" t="inlineStr">
        <x:is>
          <x:t xml:space="preserve">已结算</x:t>
        </x:is>
      </x:c>
      <x:c r="Q645" s="646" t="inlineStr">
        <x:is>
          <x:t xml:space="preserve">黑</x:t>
        </x:is>
      </x:c>
      <x:c r="R645" s="604" t="n">
        <x:v>0.95</x:v>
      </x:c>
      <x:c r="S645" s="604" t="n">
        <x:f>IF(OR(Q645="",Q645="待结算"),"",IF(Q645="红",R645,IF(Q645="半红",R645*0.5,IF(Q645="走",0,IF(Q645="半黑",-0.5,-1)))))</x:f>
        <x:v>-1</x:v>
      </x:c>
      <x:c r="T645" s="604" t="inlineStr">
        <x:is>
          <x:t xml:space="preserve">https://m.titan007.com/analy/Analysis/2960378.htm</x:t>
        </x:is>
      </x:c>
      <x:c r="U645" s="645" t="str">
        <x:f>IF(Q645="","",IF(Q645="待结算","待结算",IF(Q645="红","黑",IF(Q645="半红","半黑",IF(Q645="走","走",IF(Q645="半黑","半红","红"))))))</x:f>
        <x:v>红</x:v>
      </x:c>
      <x:c r="V645" s="604" t="n">
        <x:f>IF(OR(Q645="",Q645="待结算"),"",IF(L645=LEFT(F645,FIND(" vs ",F645)-1),I645,G645))</x:f>
        <x:v>0.75</x:v>
      </x:c>
      <x:c r="W645" s="604" t="n">
        <x:f>IF(OR(U645="",U645="待结算"),"",IF(U645="红",V645,IF(U645="半红",V645*0.5,IF(U645="走",0,IF(U645="半黑",-0.5,-1)))))</x:f>
        <x:v>0.75</x:v>
      </x:c>
      <x:c r="X645" s="604" t="inlineStr">
        <x:is>
          <x:t xml:space="preserve">2960378</x:t>
        </x:is>
      </x:c>
      <x:c r="Y645" s="604" t="inlineStr">
        <x:is>
          <x:t xml:space="preserve">V4</x:t>
        </x:is>
      </x:c>
      <x:c r="Z645" s="604" t="inlineStr">
        <x:is>
          <x:t xml:space="preserve">prior-2026-10-02-v1</x:t>
        </x:is>
      </x:c>
      <x:c r="AA645" s="604" t="inlineStr">
        <x:is>
          <x:t xml:space="preserve">C</x:t>
        </x:is>
      </x:c>
      <x:c r="AB645" s="604" t="n">
        <x:v>0.4769127130156273</x:v>
      </x:c>
      <x:c r="AC645" s="604" t="n"/>
      <x:c r="AD645" s="604" t="n"/>
      <x:c r="AE645" s="604" t="n">
        <x:v>0.2522825112933923</x:v>
      </x:c>
      <x:c r="AF645" s="604" t="n">
        <x:v>0.2708047756909805</x:v>
      </x:c>
      <x:c r="AG645" s="604" t="n">
        <x:v>0.05612104602716922</x:v>
      </x:c>
      <x:c r="AH645" s="604" t="n"/>
      <x:c r="AI645" s="604" t="n"/>
      <x:c r="AJ645" s="604" t="n">
        <x:v>0.05612104602716922</x:v>
      </x:c>
      <x:c r="AK645" s="604" t="n"/>
      <x:c r="AL645" s="604" t="n"/>
      <x:c r="AM645" s="604" t="n"/>
      <x:c r="AN645" s="604" t="inlineStr">
        <x:is>
          <x:t xml:space="preserve">EVALUATED</x:t>
        </x:is>
      </x:c>
      <x:c r="AO645" s="604" t="inlineStr">
        <x:is>
          <x:t xml:space="preserve">EDGE_BELOW_UNCERTAINTY_THRESHOLD、BUCKET_PRIOR_ONLY、INTENT_INTERPRETATION_ONLY、EXPERT_MARKET</x:t>
        </x:is>
      </x:c>
      <x:c r="AP645" s="604" t="inlineStr">
        <x:is>
          <x:t xml:space="preserve">b5346b669ef761b6074f</x:t>
        </x:is>
      </x:c>
      <x:c r="AQ645" s="604" t="n">
        <x:v>0</x:v>
      </x:c>
      <x:c r="AR645" s="604" t="n"/>
      <x:c r="AS645" s="604" t="n">
        <x:v>0</x:v>
      </x:c>
      <x:c r="AT645" s="604" t="n">
        <x:v>0</x:v>
      </x:c>
      <x:c r="AU645" s="604" t="n">
        <x:v>0.75</x:v>
      </x:c>
      <x:c r="AV645" s="604" t="n">
        <x:v>0.95</x:v>
      </x:c>
      <x:c r="AW645" s="604" t="n">
        <x:v>46297.01241842593</x:v>
      </x:c>
      <x:c r="AX645" s="604" t="inlineStr">
        <x:is>
          <x:t xml:space="preserve">https://simondongxiao.github.io/odds/v4/</x:t>
        </x:is>
      </x:c>
      <x:c r="AY645" s="604" t="inlineStr">
        <x:is>
          <x:t xml:space="preserve">V4 Shadow Only；real_money=false；P(EV&gt;0)不是比赛胜率</x:t>
        </x:is>
      </x:c>
    </x:row>
    <x:row r="646" ht="22" customHeight="1">
      <x:c r="A646" s="604" t="inlineStr">
        <x:is>
          <x:t xml:space="preserve">2026-10-02</x:t>
        </x:is>
      </x:c>
      <x:c r="B646" s="604" t="inlineStr">
        <x:is>
          <x:t xml:space="preserve">2026-10-02 18:00</x:t>
        </x:is>
      </x:c>
      <x:c r="C646" s="604" t="str">
        <x:v>欧洲非五大系列</x:v>
      </x:c>
      <x:c r="D646" s="604" t="inlineStr">
        <x:is>
          <x:t xml:space="preserve">联赛</x:t>
        </x:is>
      </x:c>
      <x:c r="E646" s="604" t="inlineStr">
        <x:is>
          <x:t xml:space="preserve">波兰丙</x:t>
        </x:is>
      </x:c>
      <x:c r="F646" s="604" t="inlineStr">
        <x:is>
          <x:t xml:space="preserve">卢宾扎格勒比B队 vs 包尔科维切</x:t>
        </x:is>
      </x:c>
      <x:c r="G646" s="604" t="n">
        <x:v>0.85</x:v>
      </x:c>
      <x:c r="H646" s="604" t="n">
        <x:v>0</x:v>
      </x:c>
      <x:c r="I646" s="604" t="n">
        <x:v>0.85</x:v>
      </x:c>
      <x:c r="J646" s="604" t="inlineStr">
        <x:is>
          <x:t xml:space="preserve">0.85/0/0.85</x:t>
        </x:is>
      </x:c>
      <x:c r="K646" s="604" t="inlineStr">
        <x:is>
          <x:t xml:space="preserve">V4-C｜EV +0.0078</x:t>
        </x:is>
      </x:c>
      <x:c r="L646" s="604" t="str"/>
      <x:c r="M646" s="604" t="n">
        <x:v>0.5447300066398044</x:v>
      </x:c>
      <x:c r="N646" s="604" t="inlineStr">
        <x:is>
          <x:t xml:space="preserve">V4纸面入选-C</x:t>
        </x:is>
      </x:c>
      <x:c r="O646" s="604" t="inlineStr">
        <x:is>
          <x:t xml:space="preserve">1-1</x:t>
        </x:is>
      </x:c>
      <x:c r="P646" s="604" t="inlineStr">
        <x:is>
          <x:t xml:space="preserve">已结算</x:t>
        </x:is>
      </x:c>
      <x:c r="Q646" s="647" t="inlineStr">
        <x:is>
          <x:t xml:space="preserve">走</x:t>
        </x:is>
      </x:c>
      <x:c r="R646" s="604" t="n">
        <x:v>0.85</x:v>
      </x:c>
      <x:c r="S646" s="604" t="n">
        <x:f>IF(OR(Q646="",Q646="待结算"),"",IF(Q646="红",R646,IF(Q646="半红",R646*0.5,IF(Q646="走",0,IF(Q646="半黑",-0.5,-1)))))</x:f>
        <x:v>0</x:v>
      </x:c>
      <x:c r="T646" s="604" t="inlineStr">
        <x:is>
          <x:t xml:space="preserve">https://m.titan007.com/analy/Analysis/3095538.htm</x:t>
        </x:is>
      </x:c>
      <x:c r="U646" s="647" t="str">
        <x:f>IF(Q646="","",IF(Q646="待结算","待结算",IF(Q646="红","黑",IF(Q646="半红","半黑",IF(Q646="走","走",IF(Q646="半黑","半红","红"))))))</x:f>
        <x:v>走</x:v>
      </x:c>
      <x:c r="V646" s="604" t="n">
        <x:f>IF(OR(Q646="",Q646="待结算"),"",IF(L646=LEFT(F646,FIND(" vs ",F646)-1),I646,G646))</x:f>
        <x:v>0.85</x:v>
      </x:c>
      <x:c r="W646" s="604" t="n">
        <x:f>IF(OR(U646="",U646="待结算"),"",IF(U646="红",V646,IF(U646="半红",V646*0.5,IF(U646="走",0,IF(U646="半黑",-0.5,-1)))))</x:f>
        <x:v>0</x:v>
      </x:c>
      <x:c r="X646" s="604" t="inlineStr">
        <x:is>
          <x:t xml:space="preserve">3095538</x:t>
        </x:is>
      </x:c>
      <x:c r="Y646" s="604" t="inlineStr">
        <x:is>
          <x:t xml:space="preserve">V4</x:t>
        </x:is>
      </x:c>
      <x:c r="Z646" s="604" t="inlineStr">
        <x:is>
          <x:t xml:space="preserve">prior-2026-10-02-v1</x:t>
        </x:is>
      </x:c>
      <x:c r="AA646" s="604" t="inlineStr">
        <x:is>
          <x:t xml:space="preserve">C</x:t>
        </x:is>
      </x:c>
      <x:c r="AB646" s="604" t="n">
        <x:v>0.5447300066398044</x:v>
      </x:c>
      <x:c r="AC646" s="604" t="n"/>
      <x:c r="AD646" s="604" t="n"/>
      <x:c r="AE646" s="604" t="n"/>
      <x:c r="AF646" s="604" t="n">
        <x:v>0.4552699933601955</x:v>
      </x:c>
      <x:c r="AG646" s="604" t="n">
        <x:v>0.007750512283638211</x:v>
      </x:c>
      <x:c r="AH646" s="604" t="n"/>
      <x:c r="AI646" s="604" t="n"/>
      <x:c r="AJ646" s="604" t="n">
        <x:v>0.007750512283638211</x:v>
      </x:c>
      <x:c r="AK646" s="604" t="n"/>
      <x:c r="AL646" s="604" t="n"/>
      <x:c r="AM646" s="604" t="n"/>
      <x:c r="AN646" s="604" t="inlineStr">
        <x:is>
          <x:t xml:space="preserve">EVALUATED</x:t>
        </x:is>
      </x:c>
      <x:c r="AO646" s="604" t="inlineStr">
        <x:is>
          <x:t xml:space="preserve">EDGE_BELOW_UNCERTAINTY_THRESHOLD、BUCKET_PRIOR_ONLY、INTENT_INTERPRETATION_ONLY、EXPERT_MARKET</x:t>
        </x:is>
      </x:c>
      <x:c r="AP646" s="604" t="inlineStr">
        <x:is>
          <x:t xml:space="preserve">fd0a78bb02b34ee206bc</x:t>
        </x:is>
      </x:c>
      <x:c r="AQ646" s="604" t="n">
        <x:v>0</x:v>
      </x:c>
      <x:c r="AR646" s="604" t="n"/>
      <x:c r="AS646" s="604" t="n">
        <x:v>0</x:v>
      </x:c>
      <x:c r="AT646" s="604" t="n">
        <x:v>0</x:v>
      </x:c>
      <x:c r="AU646" s="604" t="n">
        <x:v>0.85</x:v>
      </x:c>
      <x:c r="AV646" s="604" t="n">
        <x:v>0.85</x:v>
      </x:c>
      <x:c r="AW646" s="604" t="n">
        <x:v>46297.01241842593</x:v>
      </x:c>
      <x:c r="AX646" s="604" t="inlineStr">
        <x:is>
          <x:t xml:space="preserve">https://simondongxiao.github.io/odds/v4/</x:t>
        </x:is>
      </x:c>
      <x:c r="AY646" s="604" t="inlineStr">
        <x:is>
          <x:t xml:space="preserve">V4 Shadow Only；real_money=false；P(EV&gt;0)不是比赛胜率</x:t>
        </x:is>
      </x:c>
    </x:row>
    <x:row r="647" ht="22" customHeight="1">
      <x:c r="A647" s="604" t="inlineStr">
        <x:is>
          <x:t xml:space="preserve">2026-10-02</x:t>
        </x:is>
      </x:c>
      <x:c r="B647" s="604" t="inlineStr">
        <x:is>
          <x:t xml:space="preserve">2026-10-02 19:00</x:t>
        </x:is>
      </x:c>
      <x:c r="C647" s="604" t="str">
        <x:v>其他系列</x:v>
      </x:c>
      <x:c r="D647" s="604" t="inlineStr">
        <x:is>
          <x:t xml:space="preserve">联赛</x:t>
        </x:is>
      </x:c>
      <x:c r="E647" s="604" t="inlineStr">
        <x:is>
          <x:t xml:space="preserve">国际友谊</x:t>
        </x:is>
      </x:c>
      <x:c r="F647" s="604" t="inlineStr">
        <x:is>
          <x:t xml:space="preserve">韩国 vs 委内瑞拉</x:t>
        </x:is>
      </x:c>
      <x:c r="G647" s="604" t="n">
        <x:v>0.89</x:v>
      </x:c>
      <x:c r="H647" s="604" t="n">
        <x:v>0</x:v>
      </x:c>
      <x:c r="I647" s="604" t="n">
        <x:v>0.93</x:v>
      </x:c>
      <x:c r="J647" s="604" t="inlineStr">
        <x:is>
          <x:t xml:space="preserve">0.89/0/0.93</x:t>
        </x:is>
      </x:c>
      <x:c r="K647" s="604" t="inlineStr">
        <x:is>
          <x:t xml:space="preserve">V4-C｜EV +0.0353</x:t>
        </x:is>
      </x:c>
      <x:c r="L647" s="604" t="str"/>
      <x:c r="M647" s="604" t="n">
        <x:v>0.5505272975263679</x:v>
      </x:c>
      <x:c r="N647" s="604" t="inlineStr">
        <x:is>
          <x:t xml:space="preserve">V4纸面入选-C</x:t>
        </x:is>
      </x:c>
      <x:c r="O647" s="604" t="inlineStr">
        <x:is>
          <x:t xml:space="preserve">0-0</x:t>
        </x:is>
      </x:c>
      <x:c r="P647" s="604" t="inlineStr">
        <x:is>
          <x:t xml:space="preserve">已结算</x:t>
        </x:is>
      </x:c>
      <x:c r="Q647" s="647" t="inlineStr">
        <x:is>
          <x:t xml:space="preserve">走</x:t>
        </x:is>
      </x:c>
      <x:c r="R647" s="604" t="n">
        <x:v>0.93</x:v>
      </x:c>
      <x:c r="S647" s="604" t="n">
        <x:f>IF(OR(Q647="",Q647="待结算"),"",IF(Q647="红",R647,IF(Q647="半红",R647*0.5,IF(Q647="走",0,IF(Q647="半黑",-0.5,-1)))))</x:f>
        <x:v>0</x:v>
      </x:c>
      <x:c r="T647" s="604" t="inlineStr">
        <x:is>
          <x:t xml:space="preserve">https://m.titan007.com/analy/Analysis/3095568.htm</x:t>
        </x:is>
      </x:c>
      <x:c r="U647" s="647" t="str">
        <x:f>IF(Q647="","",IF(Q647="待结算","待结算",IF(Q647="红","黑",IF(Q647="半红","半黑",IF(Q647="走","走",IF(Q647="半黑","半红","红"))))))</x:f>
        <x:v>走</x:v>
      </x:c>
      <x:c r="V647" s="604" t="n">
        <x:f>IF(OR(Q647="",Q647="待结算"),"",IF(L647=LEFT(F647,FIND(" vs ",F647)-1),I647,G647))</x:f>
        <x:v>0.89</x:v>
      </x:c>
      <x:c r="W647" s="604" t="n">
        <x:f>IF(OR(U647="",U647="待结算"),"",IF(U647="红",V647,IF(U647="半红",V647*0.5,IF(U647="走",0,IF(U647="半黑",-0.5,-1)))))</x:f>
        <x:v>0</x:v>
      </x:c>
      <x:c r="X647" s="604" t="inlineStr">
        <x:is>
          <x:t xml:space="preserve">3095568</x:t>
        </x:is>
      </x:c>
      <x:c r="Y647" s="604" t="inlineStr">
        <x:is>
          <x:t xml:space="preserve">V4</x:t>
        </x:is>
      </x:c>
      <x:c r="Z647" s="604" t="inlineStr">
        <x:is>
          <x:t xml:space="preserve">prior-2026-10-02-v1</x:t>
        </x:is>
      </x:c>
      <x:c r="AA647" s="604" t="inlineStr">
        <x:is>
          <x:t xml:space="preserve">C</x:t>
        </x:is>
      </x:c>
      <x:c r="AB647" s="604" t="n">
        <x:v>0.3524558980357024</x:v>
      </x:c>
      <x:c r="AC647" s="604" t="n">
        <x:v>0.2554890840124628</x:v>
      </x:c>
      <x:c r="AD647" s="604" t="n"/>
      <x:c r="AE647" s="604" t="n"/>
      <x:c r="AF647" s="604" t="n">
        <x:v>0.3920550179518349</x:v>
      </x:c>
      <x:c r="AG647" s="604" t="n">
        <x:v>0.03532337368548616</x:v>
      </x:c>
      <x:c r="AH647" s="604" t="n"/>
      <x:c r="AI647" s="604" t="n"/>
      <x:c r="AJ647" s="604" t="n">
        <x:v>0.03532337368548616</x:v>
      </x:c>
      <x:c r="AK647" s="604" t="n"/>
      <x:c r="AL647" s="604" t="n"/>
      <x:c r="AM647" s="604" t="n"/>
      <x:c r="AN647" s="604" t="inlineStr">
        <x:is>
          <x:t xml:space="preserve">EVALUATED</x:t>
        </x:is>
      </x:c>
      <x:c r="AO647" s="604" t="inlineStr">
        <x:is>
          <x:t xml:space="preserve">EDGE_BELOW_UNCERTAINTY_THRESHOLD、BUCKET_PRIOR_ONLY、INTENT_INTERPRETATION_ONLY、EXPERT_MARKET</x:t>
        </x:is>
      </x:c>
      <x:c r="AP647" s="604" t="inlineStr">
        <x:is>
          <x:t xml:space="preserve">1eac4ea520a66494e745</x:t>
        </x:is>
      </x:c>
      <x:c r="AQ647" s="604" t="n">
        <x:v>0</x:v>
      </x:c>
      <x:c r="AR647" s="604" t="n"/>
      <x:c r="AS647" s="604" t="n">
        <x:v>0</x:v>
      </x:c>
      <x:c r="AT647" s="604" t="n">
        <x:v>0</x:v>
      </x:c>
      <x:c r="AU647" s="604" t="n">
        <x:v>0.89</x:v>
      </x:c>
      <x:c r="AV647" s="604" t="n">
        <x:v>0.93</x:v>
      </x:c>
      <x:c r="AW647" s="604" t="n">
        <x:v>46297.01241842593</x:v>
      </x:c>
      <x:c r="AX647" s="604" t="inlineStr">
        <x:is>
          <x:t xml:space="preserve">https://simondongxiao.github.io/odds/v4/</x:t>
        </x:is>
      </x:c>
      <x:c r="AY647" s="604" t="inlineStr">
        <x:is>
          <x:t xml:space="preserve">V4 Shadow Only；real_money=false；P(EV&gt;0)不是比赛胜率</x:t>
        </x:is>
      </x:c>
    </x:row>
    <x:row r="648" ht="22" customHeight="1">
      <x:c r="A648" s="604" t="inlineStr">
        <x:is>
          <x:t xml:space="preserve">2026-10-02</x:t>
        </x:is>
      </x:c>
      <x:c r="B648" s="604" t="inlineStr">
        <x:is>
          <x:t xml:space="preserve">2026-10-02 20:30</x:t>
        </x:is>
      </x:c>
      <x:c r="C648" s="604" t="str">
        <x:v>其他系列</x:v>
      </x:c>
      <x:c r="D648" s="604" t="inlineStr">
        <x:is>
          <x:t xml:space="preserve">联赛</x:t>
        </x:is>
      </x:c>
      <x:c r="E648" s="604" t="inlineStr">
        <x:is>
          <x:t xml:space="preserve">埃及甲</x:t>
        </x:is>
      </x:c>
      <x:c r="F648" s="604" t="inlineStr">
        <x:is>
          <x:t xml:space="preserve">巴拉蒂耶 vs 开罗FC</x:t>
        </x:is>
      </x:c>
      <x:c r="G648" s="604" t="n">
        <x:v>0.8</x:v>
      </x:c>
      <x:c r="H648" s="604" t="n">
        <x:v>0</x:v>
      </x:c>
      <x:c r="I648" s="604" t="n">
        <x:v>0.9</x:v>
      </x:c>
      <x:c r="J648" s="604" t="inlineStr">
        <x:is>
          <x:t xml:space="preserve">0.8/0/0.9</x:t>
        </x:is>
      </x:c>
      <x:c r="K648" s="604" t="inlineStr">
        <x:is>
          <x:t xml:space="preserve">V4-C｜EV +0.0490</x:t>
        </x:is>
      </x:c>
      <x:c r="L648" s="604" t="str"/>
      <x:c r="M648" s="604" t="n">
        <x:v>0.5867553262056432</x:v>
      </x:c>
      <x:c r="N648" s="604" t="inlineStr">
        <x:is>
          <x:t xml:space="preserve">V4纸面入选-C</x:t>
        </x:is>
      </x:c>
      <x:c r="O648" s="604" t="inlineStr">
        <x:is>
          <x:t xml:space="preserve">3-1</x:t>
        </x:is>
      </x:c>
      <x:c r="P648" s="604" t="inlineStr">
        <x:is>
          <x:t xml:space="preserve">已结算</x:t>
        </x:is>
      </x:c>
      <x:c r="Q648" s="645" t="inlineStr">
        <x:is>
          <x:t xml:space="preserve">红</x:t>
        </x:is>
      </x:c>
      <x:c r="R648" s="604" t="n">
        <x:v>0.9</x:v>
      </x:c>
      <x:c r="S648" s="604" t="n">
        <x:f>IF(OR(Q648="",Q648="待结算"),"",IF(Q648="红",R648,IF(Q648="半红",R648*0.5,IF(Q648="走",0,IF(Q648="半黑",-0.5,-1)))))</x:f>
        <x:v>0.9</x:v>
      </x:c>
      <x:c r="T648" s="604" t="inlineStr">
        <x:is>
          <x:t xml:space="preserve">https://m.titan007.com/analy/Analysis/3095549.htm</x:t>
        </x:is>
      </x:c>
      <x:c r="U648" s="646" t="str">
        <x:f>IF(Q648="","",IF(Q648="待结算","待结算",IF(Q648="红","黑",IF(Q648="半红","半黑",IF(Q648="走","走",IF(Q648="半黑","半红","红"))))))</x:f>
        <x:v>黑</x:v>
      </x:c>
      <x:c r="V648" s="604" t="n">
        <x:f>IF(OR(Q648="",Q648="待结算"),"",IF(L648=LEFT(F648,FIND(" vs ",F648)-1),I648,G648))</x:f>
        <x:v>0.8</x:v>
      </x:c>
      <x:c r="W648" s="604" t="n">
        <x:f>IF(OR(U648="",U648="待结算"),"",IF(U648="红",V648,IF(U648="半红",V648*0.5,IF(U648="走",0,IF(U648="半黑",-0.5,-1)))))</x:f>
        <x:v>-1</x:v>
      </x:c>
      <x:c r="X648" s="604" t="inlineStr">
        <x:is>
          <x:t xml:space="preserve">3095549</x:t>
        </x:is>
      </x:c>
      <x:c r="Y648" s="604" t="inlineStr">
        <x:is>
          <x:t xml:space="preserve">V4</x:t>
        </x:is>
      </x:c>
      <x:c r="Z648" s="604" t="inlineStr">
        <x:is>
          <x:t xml:space="preserve">prior-2026-10-02-v1</x:t>
        </x:is>
      </x:c>
      <x:c r="AA648" s="604" t="inlineStr">
        <x:is>
          <x:t xml:space="preserve">C</x:t>
        </x:is>
      </x:c>
      <x:c r="AB648" s="604" t="n">
        <x:v>0.5123516454082535</x:v>
      </x:c>
      <x:c r="AC648" s="604" t="n"/>
      <x:c r="AD648" s="604" t="n"/>
      <x:c r="AE648" s="604" t="n">
        <x:v>0.2536105851089049</x:v>
      </x:c>
      <x:c r="AF648" s="604" t="n">
        <x:v>0.2340377694828416</x:v>
      </x:c>
      <x:c r="AG648" s="604" t="n">
        <x:v>0.04903825428930872</x:v>
      </x:c>
      <x:c r="AH648" s="604" t="n"/>
      <x:c r="AI648" s="604" t="n"/>
      <x:c r="AJ648" s="604" t="n">
        <x:v>0.04903825428930872</x:v>
      </x:c>
      <x:c r="AK648" s="604" t="n"/>
      <x:c r="AL648" s="604" t="n"/>
      <x:c r="AM648" s="604" t="n"/>
      <x:c r="AN648" s="604" t="inlineStr">
        <x:is>
          <x:t xml:space="preserve">EVALUATED</x:t>
        </x:is>
      </x:c>
      <x:c r="AO648" s="604" t="inlineStr">
        <x:is>
          <x:t xml:space="preserve">EDGE_BELOW_UNCERTAINTY_THRESHOLD、BUCKET_PRIOR_ONLY、INTENT_INTERPRETATION_ONLY、EXPERT_MARKET</x:t>
        </x:is>
      </x:c>
      <x:c r="AP648" s="604" t="inlineStr">
        <x:is>
          <x:t xml:space="preserve">ac3ae3c041f0b9ebb5ba</x:t>
        </x:is>
      </x:c>
      <x:c r="AQ648" s="604" t="n">
        <x:v>0</x:v>
      </x:c>
      <x:c r="AR648" s="604" t="n"/>
      <x:c r="AS648" s="604" t="n">
        <x:v>0</x:v>
      </x:c>
      <x:c r="AT648" s="604" t="n">
        <x:v>0</x:v>
      </x:c>
      <x:c r="AU648" s="604" t="n">
        <x:v>0.8</x:v>
      </x:c>
      <x:c r="AV648" s="604" t="n">
        <x:v>0.9</x:v>
      </x:c>
      <x:c r="AW648" s="604" t="n">
        <x:v>46297.01241842593</x:v>
      </x:c>
      <x:c r="AX648" s="604" t="inlineStr">
        <x:is>
          <x:t xml:space="preserve">https://simondongxiao.github.io/odds/v4/</x:t>
        </x:is>
      </x:c>
      <x:c r="AY648" s="604" t="inlineStr">
        <x:is>
          <x:t xml:space="preserve">V4 Shadow Only；real_money=false；P(EV&gt;0)不是比赛胜率</x:t>
        </x:is>
      </x:c>
    </x:row>
    <x:row r="649" ht="22" customHeight="1">
      <x:c r="A649" s="604" t="inlineStr">
        <x:is>
          <x:t xml:space="preserve">2026-10-02</x:t>
        </x:is>
      </x:c>
      <x:c r="B649" s="604" t="inlineStr">
        <x:is>
          <x:t xml:space="preserve">2026-10-02 20:30</x:t>
        </x:is>
      </x:c>
      <x:c r="C649" s="604" t="str">
        <x:v>其他系列</x:v>
      </x:c>
      <x:c r="D649" s="604" t="inlineStr">
        <x:is>
          <x:t xml:space="preserve">联赛</x:t>
        </x:is>
      </x:c>
      <x:c r="E649" s="604" t="inlineStr">
        <x:is>
          <x:t xml:space="preserve">埃及甲</x:t>
        </x:is>
      </x:c>
      <x:c r="F649" s="604" t="inlineStr">
        <x:is>
          <x:t xml:space="preserve">El达克尔野 vs 玛列亚特</x:t>
        </x:is>
      </x:c>
      <x:c r="G649" s="604" t="n">
        <x:v>0.8</x:v>
      </x:c>
      <x:c r="H649" s="604" t="n">
        <x:v>0</x:v>
      </x:c>
      <x:c r="I649" s="604" t="n">
        <x:v>0.9</x:v>
      </x:c>
      <x:c r="J649" s="604" t="inlineStr">
        <x:is>
          <x:t xml:space="preserve">0.8/0/0.9</x:t>
        </x:is>
      </x:c>
      <x:c r="K649" s="604" t="inlineStr">
        <x:is>
          <x:t xml:space="preserve">V4-C｜EV +0.0170</x:t>
        </x:is>
      </x:c>
      <x:c r="L649" s="604" t="str"/>
      <x:c r="M649" s="604" t="n">
        <x:v>0.5365800744512031</x:v>
      </x:c>
      <x:c r="N649" s="604" t="inlineStr">
        <x:is>
          <x:t xml:space="preserve">V4纸面入选-C</x:t>
        </x:is>
      </x:c>
      <x:c r="O649" s="604" t="inlineStr">
        <x:is>
          <x:t xml:space="preserve">2-1</x:t>
        </x:is>
      </x:c>
      <x:c r="P649" s="604" t="inlineStr">
        <x:is>
          <x:t xml:space="preserve">已结算</x:t>
        </x:is>
      </x:c>
      <x:c r="Q649" s="645" t="inlineStr">
        <x:is>
          <x:t xml:space="preserve">红</x:t>
        </x:is>
      </x:c>
      <x:c r="R649" s="604" t="n">
        <x:v>0.9</x:v>
      </x:c>
      <x:c r="S649" s="604" t="n">
        <x:f>IF(OR(Q649="",Q649="待结算"),"",IF(Q649="红",R649,IF(Q649="半红",R649*0.5,IF(Q649="走",0,IF(Q649="半黑",-0.5,-1)))))</x:f>
        <x:v>0.9</x:v>
      </x:c>
      <x:c r="T649" s="604" t="inlineStr">
        <x:is>
          <x:t xml:space="preserve">https://m.titan007.com/analy/Analysis/3095550.htm</x:t>
        </x:is>
      </x:c>
      <x:c r="U649" s="646" t="str">
        <x:f>IF(Q649="","",IF(Q649="待结算","待结算",IF(Q649="红","黑",IF(Q649="半红","半黑",IF(Q649="走","走",IF(Q649="半黑","半红","红"))))))</x:f>
        <x:v>黑</x:v>
      </x:c>
      <x:c r="V649" s="604" t="n">
        <x:f>IF(OR(Q649="",Q649="待结算"),"",IF(L649=LEFT(F649,FIND(" vs ",F649)-1),I649,G649))</x:f>
        <x:v>0.8</x:v>
      </x:c>
      <x:c r="W649" s="604" t="n">
        <x:f>IF(OR(U649="",U649="待结算"),"",IF(U649="红",V649,IF(U649="半红",V649*0.5,IF(U649="走",0,IF(U649="半黑",-0.5,-1)))))</x:f>
        <x:v>-1</x:v>
      </x:c>
      <x:c r="X649" s="604" t="inlineStr">
        <x:is>
          <x:t xml:space="preserve">3095550</x:t>
        </x:is>
      </x:c>
      <x:c r="Y649" s="604" t="inlineStr">
        <x:is>
          <x:t xml:space="preserve">V4</x:t>
        </x:is>
      </x:c>
      <x:c r="Z649" s="604" t="inlineStr">
        <x:is>
          <x:t xml:space="preserve">prior-2026-10-02-v1</x:t>
        </x:is>
      </x:c>
      <x:c r="AA649" s="604" t="inlineStr">
        <x:is>
          <x:t xml:space="preserve">C</x:t>
        </x:is>
      </x:c>
      <x:c r="AB649" s="604" t="n">
        <x:v>0.4664776787533545</x:v>
      </x:c>
      <x:c r="AC649" s="604" t="n"/>
      <x:c r="AD649" s="604" t="n"/>
      <x:c r="AE649" s="604" t="n">
        <x:v>0.2612933242798743</x:v>
      </x:c>
      <x:c r="AF649" s="604" t="n">
        <x:v>0.2722289969667712</x:v>
      </x:c>
      <x:c r="AG649" s="604" t="n">
        <x:v>0.01695425177131077</x:v>
      </x:c>
      <x:c r="AH649" s="604" t="n"/>
      <x:c r="AI649" s="604" t="n"/>
      <x:c r="AJ649" s="604" t="n">
        <x:v>0.01695425177131077</x:v>
      </x:c>
      <x:c r="AK649" s="604" t="n"/>
      <x:c r="AL649" s="604" t="n"/>
      <x:c r="AM649" s="604" t="n"/>
      <x:c r="AN649" s="604" t="inlineStr">
        <x:is>
          <x:t xml:space="preserve">EVALUATED</x:t>
        </x:is>
      </x:c>
      <x:c r="AO649" s="604" t="inlineStr">
        <x:is>
          <x:t xml:space="preserve">EDGE_BELOW_UNCERTAINTY_THRESHOLD、BUCKET_PRIOR_ONLY、INTENT_INTERPRETATION_ONLY、EXPERT_MARKET</x:t>
        </x:is>
      </x:c>
      <x:c r="AP649" s="604" t="inlineStr">
        <x:is>
          <x:t xml:space="preserve">71adeddaa58bc7f2ec2c</x:t>
        </x:is>
      </x:c>
      <x:c r="AQ649" s="604" t="n">
        <x:v>0</x:v>
      </x:c>
      <x:c r="AR649" s="604" t="n"/>
      <x:c r="AS649" s="604" t="n">
        <x:v>0</x:v>
      </x:c>
      <x:c r="AT649" s="604" t="n">
        <x:v>0</x:v>
      </x:c>
      <x:c r="AU649" s="604" t="n">
        <x:v>0.8</x:v>
      </x:c>
      <x:c r="AV649" s="604" t="n">
        <x:v>0.9</x:v>
      </x:c>
      <x:c r="AW649" s="604" t="n">
        <x:v>46297.01241842593</x:v>
      </x:c>
      <x:c r="AX649" s="604" t="inlineStr">
        <x:is>
          <x:t xml:space="preserve">https://simondongxiao.github.io/odds/v4/</x:t>
        </x:is>
      </x:c>
      <x:c r="AY649" s="604" t="inlineStr">
        <x:is>
          <x:t xml:space="preserve">V4 Shadow Only；real_money=false；P(EV&gt;0)不是比赛胜率</x:t>
        </x:is>
      </x:c>
    </x:row>
    <x:row r="650" ht="22" customHeight="1">
      <x:c r="A650" s="604" t="inlineStr">
        <x:is>
          <x:t xml:space="preserve">2026-10-02</x:t>
        </x:is>
      </x:c>
      <x:c r="B650" s="604" t="inlineStr">
        <x:is>
          <x:t xml:space="preserve">2026-10-02 20:30</x:t>
        </x:is>
      </x:c>
      <x:c r="C650" s="604" t="str">
        <x:v>其他系列</x:v>
      </x:c>
      <x:c r="D650" s="604" t="inlineStr">
        <x:is>
          <x:t xml:space="preserve">联赛</x:t>
        </x:is>
      </x:c>
      <x:c r="E650" s="604" t="inlineStr">
        <x:is>
          <x:t xml:space="preserve">埃及甲</x:t>
        </x:is>
      </x:c>
      <x:c r="F650" s="604" t="inlineStr">
        <x:is>
          <x:t xml:space="preserve">卡巴阿斯玛利 vs 三角洲联</x:t>
        </x:is>
      </x:c>
      <x:c r="G650" s="604" t="n">
        <x:v>0.95</x:v>
      </x:c>
      <x:c r="H650" s="604" t="n">
        <x:v>1.25</x:v>
      </x:c>
      <x:c r="I650" s="604" t="n">
        <x:v>0.75</x:v>
      </x:c>
      <x:c r="J650" s="604" t="inlineStr">
        <x:is>
          <x:t xml:space="preserve">0.95/1.25/0.75</x:t>
        </x:is>
      </x:c>
      <x:c r="K650" s="604" t="inlineStr">
        <x:is>
          <x:t xml:space="preserve">V4-B｜EV +0.2299</x:t>
        </x:is>
      </x:c>
      <x:c r="L650" s="604" t="inlineStr">
        <x:is>
          <x:t xml:space="preserve">卡巴阿斯玛利</x:t>
        </x:is>
      </x:c>
      <x:c r="M650" s="604" t="n">
        <x:v>0.6467995258493324</x:v>
      </x:c>
      <x:c r="N650" s="604" t="inlineStr">
        <x:is>
          <x:t xml:space="preserve">V4纸面入选-B</x:t>
        </x:is>
      </x:c>
      <x:c r="O650" s="604" t="inlineStr">
        <x:is>
          <x:t xml:space="preserve">2-0</x:t>
        </x:is>
      </x:c>
      <x:c r="P650" s="604" t="inlineStr">
        <x:is>
          <x:t xml:space="preserve">已结算</x:t>
        </x:is>
      </x:c>
      <x:c r="Q650" s="645" t="inlineStr">
        <x:is>
          <x:t xml:space="preserve">红</x:t>
        </x:is>
      </x:c>
      <x:c r="R650" s="604" t="n">
        <x:v>0.95</x:v>
      </x:c>
      <x:c r="S650" s="604" t="n">
        <x:f>IF(OR(Q650="",Q650="待结算"),"",IF(Q650="红",R650,IF(Q650="半红",R650*0.5,IF(Q650="走",0,IF(Q650="半黑",-0.5,-1)))))</x:f>
        <x:v>0.95</x:v>
      </x:c>
      <x:c r="T650" s="604" t="inlineStr">
        <x:is>
          <x:t xml:space="preserve">https://m.titan007.com/analy/Analysis/3095551.htm</x:t>
        </x:is>
      </x:c>
      <x:c r="U650" s="646" t="str">
        <x:f>IF(Q650="","",IF(Q650="待结算","待结算",IF(Q650="红","黑",IF(Q650="半红","半黑",IF(Q650="走","走",IF(Q650="半黑","半红","红"))))))</x:f>
        <x:v>黑</x:v>
      </x:c>
      <x:c r="V650" s="604" t="n">
        <x:f>IF(OR(Q650="",Q650="待结算"),"",IF(L650=LEFT(F650,FIND(" vs ",F650)-1),I650,G650))</x:f>
        <x:v>0.75</x:v>
      </x:c>
      <x:c r="W650" s="604" t="n">
        <x:f>IF(OR(U650="",U650="待结算"),"",IF(U650="红",V650,IF(U650="半红",V650*0.5,IF(U650="走",0,IF(U650="半黑",-0.5,-1)))))</x:f>
        <x:v>-1</x:v>
      </x:c>
      <x:c r="X650" s="604" t="inlineStr">
        <x:is>
          <x:t xml:space="preserve">3095551</x:t>
        </x:is>
      </x:c>
      <x:c r="Y650" s="604" t="inlineStr">
        <x:is>
          <x:t xml:space="preserve">V4</x:t>
        </x:is>
      </x:c>
      <x:c r="Z650" s="604" t="inlineStr">
        <x:is>
          <x:t xml:space="preserve">prior-2026-10-02-v1</x:t>
        </x:is>
      </x:c>
      <x:c r="AA650" s="604" t="inlineStr">
        <x:is>
          <x:t xml:space="preserve">B</x:t>
        </x:is>
      </x:c>
      <x:c r="AB650" s="604" t="n">
        <x:v>0.5691215999702264</x:v>
      </x:c>
      <x:c r="AC650" s="604" t="n"/>
      <x:c r="AD650" s="604" t="n"/>
      <x:c r="AE650" s="604" t="n">
        <x:v>0.2401916599339022</x:v>
      </x:c>
      <x:c r="AF650" s="604" t="n">
        <x:v>0.1906867400958714</x:v>
      </x:c>
      <x:c r="AG650" s="604" t="n">
        <x:v>0.2298829499088926</x:v>
      </x:c>
      <x:c r="AH650" s="604" t="n"/>
      <x:c r="AI650" s="604" t="n"/>
      <x:c r="AJ650" s="604" t="n">
        <x:v>0.2298829499088926</x:v>
      </x:c>
      <x:c r="AK650" s="604" t="n"/>
      <x:c r="AL650" s="604" t="n"/>
      <x:c r="AM650" s="604" t="n"/>
      <x:c r="AN650" s="604" t="inlineStr">
        <x:is>
          <x:t xml:space="preserve">EVALUATED</x:t>
        </x:is>
      </x:c>
      <x:c r="AO650" s="604" t="inlineStr">
        <x:is>
          <x:t xml:space="preserve">GIVING_VALIDATED_EDGE、BUCKET_PRIOR_ONLY、INTENT_INTERPRETATION_ONLY、EXPERT_MARKET</x:t>
        </x:is>
      </x:c>
      <x:c r="AP650" s="604" t="inlineStr">
        <x:is>
          <x:t xml:space="preserve">5abc8129895a29c16a78</x:t>
        </x:is>
      </x:c>
      <x:c r="AQ650" s="604" t="n">
        <x:v>-1.25</x:v>
      </x:c>
      <x:c r="AR650" s="604" t="n">
        <x:v>0.95</x:v>
      </x:c>
      <x:c r="AS650" s="604" t="n">
        <x:v>1.25</x:v>
      </x:c>
      <x:c r="AT650" s="604" t="n">
        <x:v>-1.25</x:v>
      </x:c>
      <x:c r="AU650" s="604" t="n">
        <x:v>0.95</x:v>
      </x:c>
      <x:c r="AV650" s="604" t="n">
        <x:v>0.75</x:v>
      </x:c>
      <x:c r="AW650" s="604" t="n">
        <x:v>46297.01241842593</x:v>
      </x:c>
      <x:c r="AX650" s="604" t="inlineStr">
        <x:is>
          <x:t xml:space="preserve">https://simondongxiao.github.io/odds/v4/</x:t>
        </x:is>
      </x:c>
      <x:c r="AY650" s="604" t="inlineStr">
        <x:is>
          <x:t xml:space="preserve">V4 Shadow Only；real_money=false；P(EV&gt;0)不是比赛胜率</x:t>
        </x:is>
      </x:c>
    </x:row>
    <x:row r="651" ht="22" customHeight="1">
      <x:c r="A651" s="604" t="inlineStr">
        <x:is>
          <x:t xml:space="preserve">2026-10-02</x:t>
        </x:is>
      </x:c>
      <x:c r="B651" s="604" t="inlineStr">
        <x:is>
          <x:t xml:space="preserve">2026-10-02 20:30</x:t>
        </x:is>
      </x:c>
      <x:c r="C651" s="604" t="str">
        <x:v>其他系列</x:v>
      </x:c>
      <x:c r="D651" s="604" t="inlineStr">
        <x:is>
          <x:t xml:space="preserve">联赛</x:t>
        </x:is>
      </x:c>
      <x:c r="E651" s="604" t="inlineStr">
        <x:is>
          <x:t xml:space="preserve">埃及甲</x:t>
        </x:is>
      </x:c>
      <x:c r="F651" s="604" t="inlineStr">
        <x:is>
          <x:t xml:space="preserve">坦塔 vs 哈伊赫多</x:t>
        </x:is>
      </x:c>
      <x:c r="G651" s="604" t="n">
        <x:v>0.7</x:v>
      </x:c>
      <x:c r="H651" s="604" t="n">
        <x:v>-0.25</x:v>
      </x:c>
      <x:c r="I651" s="604" t="n">
        <x:v>1</x:v>
      </x:c>
      <x:c r="J651" s="604" t="inlineStr">
        <x:is>
          <x:t xml:space="preserve">0.7/-0.25/1</x:t>
        </x:is>
      </x:c>
      <x:c r="K651" s="604" t="inlineStr">
        <x:is>
          <x:t xml:space="preserve">V4-B｜EV +0.0749</x:t>
        </x:is>
      </x:c>
      <x:c r="L651" s="604" t="inlineStr">
        <x:is>
          <x:t xml:space="preserve">哈伊赫多</x:t>
        </x:is>
      </x:c>
      <x:c r="M651" s="604" t="n">
        <x:v>0.5430594189676328</x:v>
      </x:c>
      <x:c r="N651" s="604" t="inlineStr">
        <x:is>
          <x:t xml:space="preserve">V4纸面入选-B</x:t>
        </x:is>
      </x:c>
      <x:c r="O651" s="604" t="inlineStr">
        <x:is>
          <x:t xml:space="preserve">0-2</x:t>
        </x:is>
      </x:c>
      <x:c r="P651" s="604" t="inlineStr">
        <x:is>
          <x:t xml:space="preserve">已结算</x:t>
        </x:is>
      </x:c>
      <x:c r="Q651" s="646" t="inlineStr">
        <x:is>
          <x:t xml:space="preserve">黑</x:t>
        </x:is>
      </x:c>
      <x:c r="R651" s="604" t="n">
        <x:v>1</x:v>
      </x:c>
      <x:c r="S651" s="604" t="n">
        <x:f>IF(OR(Q651="",Q651="待结算"),"",IF(Q651="红",R651,IF(Q651="半红",R651*0.5,IF(Q651="走",0,IF(Q651="半黑",-0.5,-1)))))</x:f>
        <x:v>-1</x:v>
      </x:c>
      <x:c r="T651" s="604" t="inlineStr">
        <x:is>
          <x:t xml:space="preserve">https://m.titan007.com/analy/Analysis/3095553.htm</x:t>
        </x:is>
      </x:c>
      <x:c r="U651" s="645" t="str">
        <x:f>IF(Q651="","",IF(Q651="待结算","待结算",IF(Q651="红","黑",IF(Q651="半红","半黑",IF(Q651="走","走",IF(Q651="半黑","半红","红"))))))</x:f>
        <x:v>红</x:v>
      </x:c>
      <x:c r="V651" s="604" t="n">
        <x:f>IF(OR(Q651="",Q651="待结算"),"",IF(L651=LEFT(F651,FIND(" vs ",F651)-1),I651,G651))</x:f>
        <x:v>0.7</x:v>
      </x:c>
      <x:c r="W651" s="604" t="n">
        <x:f>IF(OR(U651="",U651="待结算"),"",IF(U651="红",V651,IF(U651="半红",V651*0.5,IF(U651="走",0,IF(U651="半黑",-0.5,-1)))))</x:f>
        <x:v>0.7</x:v>
      </x:c>
      <x:c r="X651" s="604" t="inlineStr">
        <x:is>
          <x:t xml:space="preserve">3095553</x:t>
        </x:is>
      </x:c>
      <x:c r="Y651" s="604" t="inlineStr">
        <x:is>
          <x:t xml:space="preserve">V4</x:t>
        </x:is>
      </x:c>
      <x:c r="Z651" s="604" t="inlineStr">
        <x:is>
          <x:t xml:space="preserve">prior-2026-10-02-v1</x:t>
        </x:is>
      </x:c>
      <x:c r="AA651" s="604" t="inlineStr">
        <x:is>
          <x:t xml:space="preserve">B</x:t>
        </x:is>
      </x:c>
      <x:c r="AB651" s="604" t="n">
        <x:v>0.4722724637269708</x:v>
      </x:c>
      <x:c r="AC651" s="604" t="n"/>
      <x:c r="AD651" s="604" t="n"/>
      <x:c r="AE651" s="604" t="n">
        <x:v>0.2606969063356987</x:v>
      </x:c>
      <x:c r="AF651" s="604" t="n">
        <x:v>0.2670306299373305</x:v>
      </x:c>
      <x:c r="AG651" s="604" t="n">
        <x:v>0.07489338062179096</x:v>
      </x:c>
      <x:c r="AH651" s="604" t="n"/>
      <x:c r="AI651" s="604" t="n"/>
      <x:c r="AJ651" s="604" t="n">
        <x:v>0.07489338062179096</x:v>
      </x:c>
      <x:c r="AK651" s="604" t="n"/>
      <x:c r="AL651" s="604" t="n"/>
      <x:c r="AM651" s="604" t="n"/>
      <x:c r="AN651" s="604" t="inlineStr">
        <x:is>
          <x:t xml:space="preserve">EVALUATED</x:t>
        </x:is>
      </x:c>
      <x:c r="AO651" s="604" t="inlineStr">
        <x:is>
          <x:t xml:space="preserve">GIVING_VALIDATED_EDGE、BUCKET_PRIOR_ONLY、INTENT_INTERPRETATION_ONLY、EXPERT_MARKET</x:t>
        </x:is>
      </x:c>
      <x:c r="AP651" s="604" t="inlineStr">
        <x:is>
          <x:t xml:space="preserve">6c49036b575ec4b99d8e</x:t>
        </x:is>
      </x:c>
      <x:c r="AQ651" s="604" t="n">
        <x:v>-0.25</x:v>
      </x:c>
      <x:c r="AR651" s="604" t="n">
        <x:v>1</x:v>
      </x:c>
      <x:c r="AS651" s="604" t="n">
        <x:v>-0.25</x:v>
      </x:c>
      <x:c r="AT651" s="604" t="n">
        <x:v>0.25</x:v>
      </x:c>
      <x:c r="AU651" s="604" t="n">
        <x:v>0.7</x:v>
      </x:c>
      <x:c r="AV651" s="604" t="n">
        <x:v>1</x:v>
      </x:c>
      <x:c r="AW651" s="604" t="n">
        <x:v>46297.01241842593</x:v>
      </x:c>
      <x:c r="AX651" s="604" t="inlineStr">
        <x:is>
          <x:t xml:space="preserve">https://simondongxiao.github.io/odds/v4/</x:t>
        </x:is>
      </x:c>
      <x:c r="AY651" s="604" t="inlineStr">
        <x:is>
          <x:t xml:space="preserve">V4 Shadow Only；real_money=false；P(EV&gt;0)不是比赛胜率</x:t>
        </x:is>
      </x:c>
    </x:row>
    <x:row r="652" ht="22" customHeight="1">
      <x:c r="A652" s="604" t="inlineStr">
        <x:is>
          <x:t xml:space="preserve">2026-10-02</x:t>
        </x:is>
      </x:c>
      <x:c r="B652" s="604" t="inlineStr">
        <x:is>
          <x:t xml:space="preserve">2026-10-02 21:15</x:t>
        </x:is>
      </x:c>
      <x:c r="C652" s="604" t="str">
        <x:v>西亚/中亚系列</x:v>
      </x:c>
      <x:c r="D652" s="604" t="inlineStr">
        <x:is>
          <x:t xml:space="preserve">杯赛</x:t>
        </x:is>
      </x:c>
      <x:c r="E652" s="604" t="inlineStr">
        <x:is>
          <x:t xml:space="preserve">阿联酋杯</x:t>
        </x:is>
      </x:c>
      <x:c r="F652" s="604" t="inlineStr">
        <x:is>
          <x:t xml:space="preserve">艾因 vs 阿治曼</x:t>
        </x:is>
      </x:c>
      <x:c r="G652" s="604" t="n">
        <x:v>0.88</x:v>
      </x:c>
      <x:c r="H652" s="604" t="n">
        <x:v>1.5</x:v>
      </x:c>
      <x:c r="I652" s="604" t="n">
        <x:v>0.82</x:v>
      </x:c>
      <x:c r="J652" s="604" t="inlineStr">
        <x:is>
          <x:t xml:space="preserve">0.88/1.5/0.82</x:t>
        </x:is>
      </x:c>
      <x:c r="K652" s="604" t="inlineStr">
        <x:is>
          <x:t xml:space="preserve">V4-B｜EV +0.0895</x:t>
        </x:is>
      </x:c>
      <x:c r="L652" s="604" t="inlineStr">
        <x:is>
          <x:t xml:space="preserve">艾因</x:t>
        </x:is>
      </x:c>
      <x:c r="M652" s="604" t="n">
        <x:v>0.5795151678353504</x:v>
      </x:c>
      <x:c r="N652" s="604" t="inlineStr">
        <x:is>
          <x:t xml:space="preserve">V4纸面入选-B</x:t>
        </x:is>
      </x:c>
      <x:c r="O652" s="604" t="inlineStr">
        <x:is>
          <x:t xml:space="preserve">2-3</x:t>
        </x:is>
      </x:c>
      <x:c r="P652" s="604" t="inlineStr">
        <x:is>
          <x:t xml:space="preserve">已结算</x:t>
        </x:is>
      </x:c>
      <x:c r="Q652" s="646" t="inlineStr">
        <x:is>
          <x:t xml:space="preserve">黑</x:t>
        </x:is>
      </x:c>
      <x:c r="R652" s="604" t="n">
        <x:v>0.88</x:v>
      </x:c>
      <x:c r="S652" s="604" t="n">
        <x:f>IF(OR(Q652="",Q652="待结算"),"",IF(Q652="红",R652,IF(Q652="半红",R652*0.5,IF(Q652="走",0,IF(Q652="半黑",-0.5,-1)))))</x:f>
        <x:v>-1</x:v>
      </x:c>
      <x:c r="T652" s="604" t="inlineStr">
        <x:is>
          <x:t xml:space="preserve">https://m.titan007.com/analy/Analysis/3084334.htm</x:t>
        </x:is>
      </x:c>
      <x:c r="U652" s="645" t="str">
        <x:f>IF(Q652="","",IF(Q652="待结算","待结算",IF(Q652="红","黑",IF(Q652="半红","半黑",IF(Q652="走","走",IF(Q652="半黑","半红","红"))))))</x:f>
        <x:v>红</x:v>
      </x:c>
      <x:c r="V652" s="604" t="n">
        <x:f>IF(OR(Q652="",Q652="待结算"),"",IF(L652=LEFT(F652,FIND(" vs ",F652)-1),I652,G652))</x:f>
        <x:v>0.82</x:v>
      </x:c>
      <x:c r="W652" s="604" t="n">
        <x:f>IF(OR(U652="",U652="待结算"),"",IF(U652="红",V652,IF(U652="半红",V652*0.5,IF(U652="走",0,IF(U652="半黑",-0.5,-1)))))</x:f>
        <x:v>0.82</x:v>
      </x:c>
      <x:c r="X652" s="604" t="inlineStr">
        <x:is>
          <x:t xml:space="preserve">3084334</x:t>
        </x:is>
      </x:c>
      <x:c r="Y652" s="604" t="inlineStr">
        <x:is>
          <x:t xml:space="preserve">V4</x:t>
        </x:is>
      </x:c>
      <x:c r="Z652" s="604" t="inlineStr">
        <x:is>
          <x:t xml:space="preserve">prior-2026-10-02-v1</x:t>
        </x:is>
      </x:c>
      <x:c r="AA652" s="604" t="inlineStr">
        <x:is>
          <x:t xml:space="preserve">B</x:t>
        </x:is>
      </x:c>
      <x:c r="AB652" s="604" t="n">
        <x:v>0.5795151678353504</x:v>
      </x:c>
      <x:c r="AC652" s="604" t="n"/>
      <x:c r="AD652" s="604" t="n"/>
      <x:c r="AE652" s="604" t="n"/>
      <x:c r="AF652" s="604" t="n">
        <x:v>0.4204848321646495</x:v>
      </x:c>
      <x:c r="AG652" s="604" t="n">
        <x:v>0.08948851553045883</x:v>
      </x:c>
      <x:c r="AH652" s="604" t="n"/>
      <x:c r="AI652" s="604" t="n"/>
      <x:c r="AJ652" s="604" t="n">
        <x:v>0.08948851553045883</x:v>
      </x:c>
      <x:c r="AK652" s="604" t="n"/>
      <x:c r="AL652" s="604" t="n"/>
      <x:c r="AM652" s="604" t="n"/>
      <x:c r="AN652" s="604" t="inlineStr">
        <x:is>
          <x:t xml:space="preserve">EVALUATED</x:t>
        </x:is>
      </x:c>
      <x:c r="AO652" s="604" t="inlineStr">
        <x:is>
          <x:t xml:space="preserve">GIVING_VALIDATED_EDGE、BUCKET_PRIOR_ONLY、INTENT_INTERPRETATION_ONLY、EXPERT_MARKET</x:t>
        </x:is>
      </x:c>
      <x:c r="AP652" s="604" t="inlineStr">
        <x:is>
          <x:t xml:space="preserve">aa62fe1e7f5298e2bf7e</x:t>
        </x:is>
      </x:c>
      <x:c r="AQ652" s="604" t="n">
        <x:v>-1.5</x:v>
      </x:c>
      <x:c r="AR652" s="604" t="n">
        <x:v>0.88</x:v>
      </x:c>
      <x:c r="AS652" s="604" t="n">
        <x:v>1.5</x:v>
      </x:c>
      <x:c r="AT652" s="604" t="n">
        <x:v>-1.5</x:v>
      </x:c>
      <x:c r="AU652" s="604" t="n">
        <x:v>0.88</x:v>
      </x:c>
      <x:c r="AV652" s="604" t="n">
        <x:v>0.82</x:v>
      </x:c>
      <x:c r="AW652" s="604" t="n">
        <x:v>46297.01241842593</x:v>
      </x:c>
      <x:c r="AX652" s="604" t="inlineStr">
        <x:is>
          <x:t xml:space="preserve">https://simondongxiao.github.io/odds/v4/</x:t>
        </x:is>
      </x:c>
      <x:c r="AY652" s="604" t="inlineStr">
        <x:is>
          <x:t xml:space="preserve">V4 Shadow Only；real_money=false；P(EV&gt;0)不是比赛胜率</x:t>
        </x:is>
      </x:c>
    </x:row>
    <x:row r="653" ht="22" customHeight="1">
      <x:c r="A653" s="604" t="inlineStr">
        <x:is>
          <x:t xml:space="preserve">2026-10-02</x:t>
        </x:is>
      </x:c>
      <x:c r="B653" s="604" t="inlineStr">
        <x:is>
          <x:t xml:space="preserve">2026-10-02 21:15</x:t>
        </x:is>
      </x:c>
      <x:c r="C653" s="604" t="str">
        <x:v>西亚/中亚系列</x:v>
      </x:c>
      <x:c r="D653" s="604" t="inlineStr">
        <x:is>
          <x:t xml:space="preserve">杯赛</x:t>
        </x:is>
      </x:c>
      <x:c r="E653" s="604" t="inlineStr">
        <x:is>
          <x:t xml:space="preserve">阿联酋杯</x:t>
        </x:is>
      </x:c>
      <x:c r="F653" s="604" t="inlineStr">
        <x:is>
          <x:t xml:space="preserve">迪拜祈祷 vs 伊蒂哈德卡尔巴</x:t>
        </x:is>
      </x:c>
      <x:c r="G653" s="604" t="n">
        <x:v>0.9</x:v>
      </x:c>
      <x:c r="H653" s="604" t="n">
        <x:v>1.5</x:v>
      </x:c>
      <x:c r="I653" s="604" t="n">
        <x:v>0.8</x:v>
      </x:c>
      <x:c r="J653" s="604" t="inlineStr">
        <x:is>
          <x:t xml:space="preserve">0.9/1.5/0.8</x:t>
        </x:is>
      </x:c>
      <x:c r="K653" s="604" t="inlineStr">
        <x:is>
          <x:t xml:space="preserve">V4-C｜EV +0.0674</x:t>
        </x:is>
      </x:c>
      <x:c r="L653" s="604" t="inlineStr">
        <x:is>
          <x:t xml:space="preserve">迪拜祈祷</x:t>
        </x:is>
      </x:c>
      <x:c r="M653" s="604" t="n">
        <x:v>0.5617671273053835</x:v>
      </x:c>
      <x:c r="N653" s="604" t="inlineStr">
        <x:is>
          <x:t xml:space="preserve">V4纸面入选-C</x:t>
        </x:is>
      </x:c>
      <x:c r="O653" s="604" t="inlineStr">
        <x:is>
          <x:t xml:space="preserve">4-0</x:t>
        </x:is>
      </x:c>
      <x:c r="P653" s="604" t="inlineStr">
        <x:is>
          <x:t xml:space="preserve">已结算</x:t>
        </x:is>
      </x:c>
      <x:c r="Q653" s="645" t="inlineStr">
        <x:is>
          <x:t xml:space="preserve">红</x:t>
        </x:is>
      </x:c>
      <x:c r="R653" s="604" t="n">
        <x:v>0.9</x:v>
      </x:c>
      <x:c r="S653" s="604" t="n">
        <x:f>IF(OR(Q653="",Q653="待结算"),"",IF(Q653="红",R653,IF(Q653="半红",R653*0.5,IF(Q653="走",0,IF(Q653="半黑",-0.5,-1)))))</x:f>
        <x:v>0.9</x:v>
      </x:c>
      <x:c r="T653" s="604" t="inlineStr">
        <x:is>
          <x:t xml:space="preserve">https://m.titan007.com/analy/Analysis/3084335.htm</x:t>
        </x:is>
      </x:c>
      <x:c r="U653" s="646" t="str">
        <x:f>IF(Q653="","",IF(Q653="待结算","待结算",IF(Q653="红","黑",IF(Q653="半红","半黑",IF(Q653="走","走",IF(Q653="半黑","半红","红"))))))</x:f>
        <x:v>黑</x:v>
      </x:c>
      <x:c r="V653" s="604" t="n">
        <x:f>IF(OR(Q653="",Q653="待结算"),"",IF(L653=LEFT(F653,FIND(" vs ",F653)-1),I653,G653))</x:f>
        <x:v>0.8</x:v>
      </x:c>
      <x:c r="W653" s="604" t="n">
        <x:f>IF(OR(U653="",U653="待结算"),"",IF(U653="红",V653,IF(U653="半红",V653*0.5,IF(U653="走",0,IF(U653="半黑",-0.5,-1)))))</x:f>
        <x:v>-1</x:v>
      </x:c>
      <x:c r="X653" s="604" t="inlineStr">
        <x:is>
          <x:t xml:space="preserve">3084335</x:t>
        </x:is>
      </x:c>
      <x:c r="Y653" s="604" t="inlineStr">
        <x:is>
          <x:t xml:space="preserve">V4</x:t>
        </x:is>
      </x:c>
      <x:c r="Z653" s="604" t="inlineStr">
        <x:is>
          <x:t xml:space="preserve">prior-2026-10-02-v1</x:t>
        </x:is>
      </x:c>
      <x:c r="AA653" s="604" t="inlineStr">
        <x:is>
          <x:t xml:space="preserve">C</x:t>
        </x:is>
      </x:c>
      <x:c r="AB653" s="604" t="n">
        <x:v>0.5617671273053835</x:v>
      </x:c>
      <x:c r="AC653" s="604" t="n"/>
      <x:c r="AD653" s="604" t="n"/>
      <x:c r="AE653" s="604" t="n"/>
      <x:c r="AF653" s="604" t="n">
        <x:v>0.4382328726946165</x:v>
      </x:c>
      <x:c r="AG653" s="604" t="n">
        <x:v>0.06735754188022858</x:v>
      </x:c>
      <x:c r="AH653" s="604" t="n"/>
      <x:c r="AI653" s="604" t="n"/>
      <x:c r="AJ653" s="604" t="n">
        <x:v>0.06735754188022858</x:v>
      </x:c>
      <x:c r="AK653" s="604" t="n"/>
      <x:c r="AL653" s="604" t="n"/>
      <x:c r="AM653" s="604" t="n"/>
      <x:c r="AN653" s="604" t="inlineStr">
        <x:is>
          <x:t xml:space="preserve">EVALUATED</x:t>
        </x:is>
      </x:c>
      <x:c r="AO653" s="604" t="inlineStr">
        <x:is>
          <x:t xml:space="preserve">GIVING_VALIDATED_EDGE、BUCKET_PRIOR_ONLY、INTENT_INTERPRETATION_ONLY、EXPERT_MARKET</x:t>
        </x:is>
      </x:c>
      <x:c r="AP653" s="604" t="inlineStr">
        <x:is>
          <x:t xml:space="preserve">a535ffbf7a7b8aff4059</x:t>
        </x:is>
      </x:c>
      <x:c r="AQ653" s="604" t="n">
        <x:v>-1.5</x:v>
      </x:c>
      <x:c r="AR653" s="604" t="n">
        <x:v>0.9</x:v>
      </x:c>
      <x:c r="AS653" s="604" t="n">
        <x:v>1.5</x:v>
      </x:c>
      <x:c r="AT653" s="604" t="n">
        <x:v>-1.5</x:v>
      </x:c>
      <x:c r="AU653" s="604" t="n">
        <x:v>0.9</x:v>
      </x:c>
      <x:c r="AV653" s="604" t="n">
        <x:v>0.8</x:v>
      </x:c>
      <x:c r="AW653" s="604" t="n">
        <x:v>46297.01241842593</x:v>
      </x:c>
      <x:c r="AX653" s="604" t="inlineStr">
        <x:is>
          <x:t xml:space="preserve">https://simondongxiao.github.io/odds/v4/</x:t>
        </x:is>
      </x:c>
      <x:c r="AY653" s="604" t="inlineStr">
        <x:is>
          <x:t xml:space="preserve">V4 Shadow Only；real_money=false；P(EV&gt;0)不是比赛胜率</x:t>
        </x:is>
      </x:c>
    </x:row>
    <x:row r="654" ht="22" customHeight="1">
      <x:c r="A654" s="604" t="inlineStr">
        <x:is>
          <x:t xml:space="preserve">2026-10-02</x:t>
        </x:is>
      </x:c>
      <x:c r="B654" s="604" t="inlineStr">
        <x:is>
          <x:t xml:space="preserve">2026-10-02 22:00</x:t>
        </x:is>
      </x:c>
      <x:c r="C654" s="604" t="str">
        <x:v>欧洲非五大系列</x:v>
      </x:c>
      <x:c r="D654" s="604" t="inlineStr">
        <x:is>
          <x:t xml:space="preserve">联赛</x:t>
        </x:is>
      </x:c>
      <x:c r="E654" s="604" t="inlineStr">
        <x:is>
          <x:t xml:space="preserve">欧国联</x:t>
        </x:is>
      </x:c>
      <x:c r="F654" s="604" t="inlineStr">
        <x:is>
          <x:t xml:space="preserve">哈萨克斯坦 vs 摩尔多瓦</x:t>
        </x:is>
      </x:c>
      <x:c r="G654" s="604" t="n">
        <x:v>0.9</x:v>
      </x:c>
      <x:c r="H654" s="604" t="n">
        <x:v>0.5</x:v>
      </x:c>
      <x:c r="I654" s="604" t="n">
        <x:v>0.98</x:v>
      </x:c>
      <x:c r="J654" s="604" t="inlineStr">
        <x:is>
          <x:t xml:space="preserve">0.9/0.5/0.98</x:t>
        </x:is>
      </x:c>
      <x:c r="K654" s="604" t="inlineStr">
        <x:is>
          <x:t xml:space="preserve">V4-B｜EV +0.2021</x:t>
        </x:is>
      </x:c>
      <x:c r="L654" s="604" t="inlineStr">
        <x:is>
          <x:t xml:space="preserve">哈萨克斯坦</x:t>
        </x:is>
      </x:c>
      <x:c r="M654" s="604" t="n">
        <x:v>0.6326910434425945</x:v>
      </x:c>
      <x:c r="N654" s="604" t="inlineStr">
        <x:is>
          <x:t xml:space="preserve">V4纸面入选-B</x:t>
        </x:is>
      </x:c>
      <x:c r="O654" s="604" t="inlineStr">
        <x:is>
          <x:t xml:space="preserve">1-2</x:t>
        </x:is>
      </x:c>
      <x:c r="P654" s="604" t="inlineStr">
        <x:is>
          <x:t xml:space="preserve">已结算</x:t>
        </x:is>
      </x:c>
      <x:c r="Q654" s="646" t="inlineStr">
        <x:is>
          <x:t xml:space="preserve">黑</x:t>
        </x:is>
      </x:c>
      <x:c r="R654" s="604" t="n">
        <x:v>0.9</x:v>
      </x:c>
      <x:c r="S654" s="604" t="n">
        <x:f>IF(OR(Q654="",Q654="待结算"),"",IF(Q654="红",R654,IF(Q654="半红",R654*0.5,IF(Q654="走",0,IF(Q654="半黑",-0.5,-1)))))</x:f>
        <x:v>-1</x:v>
      </x:c>
      <x:c r="T654" s="604" t="inlineStr">
        <x:is>
          <x:t xml:space="preserve">https://m.titan007.com/analy/Analysis/2981539.htm</x:t>
        </x:is>
      </x:c>
      <x:c r="U654" s="645" t="str">
        <x:f>IF(Q654="","",IF(Q654="待结算","待结算",IF(Q654="红","黑",IF(Q654="半红","半黑",IF(Q654="走","走",IF(Q654="半黑","半红","红"))))))</x:f>
        <x:v>红</x:v>
      </x:c>
      <x:c r="V654" s="604" t="n">
        <x:f>IF(OR(Q654="",Q654="待结算"),"",IF(L654=LEFT(F654,FIND(" vs ",F654)-1),I654,G654))</x:f>
        <x:v>0.98</x:v>
      </x:c>
      <x:c r="W654" s="604" t="n">
        <x:f>IF(OR(U654="",U654="待结算"),"",IF(U654="红",V654,IF(U654="半红",V654*0.5,IF(U654="走",0,IF(U654="半黑",-0.5,-1)))))</x:f>
        <x:v>0.98</x:v>
      </x:c>
      <x:c r="X654" s="604" t="inlineStr">
        <x:is>
          <x:t xml:space="preserve">2981539</x:t>
        </x:is>
      </x:c>
      <x:c r="Y654" s="604" t="inlineStr">
        <x:is>
          <x:t xml:space="preserve">V4</x:t>
        </x:is>
      </x:c>
      <x:c r="Z654" s="604" t="inlineStr">
        <x:is>
          <x:t xml:space="preserve">prior-2026-10-02-v1</x:t>
        </x:is>
      </x:c>
      <x:c r="AA654" s="604" t="inlineStr">
        <x:is>
          <x:t xml:space="preserve">B</x:t>
        </x:is>
      </x:c>
      <x:c r="AB654" s="604" t="n">
        <x:v>0.6326910434425945</x:v>
      </x:c>
      <x:c r="AC654" s="604" t="n"/>
      <x:c r="AD654" s="604" t="n"/>
      <x:c r="AE654" s="604" t="n"/>
      <x:c r="AF654" s="604" t="n">
        <x:v>0.3673089565574055</x:v>
      </x:c>
      <x:c r="AG654" s="604" t="n">
        <x:v>0.2021129825409296</x:v>
      </x:c>
      <x:c r="AH654" s="604" t="n"/>
      <x:c r="AI654" s="604" t="n"/>
      <x:c r="AJ654" s="604" t="n">
        <x:v>0.2021129825409296</x:v>
      </x:c>
      <x:c r="AK654" s="604" t="n"/>
      <x:c r="AL654" s="604" t="n"/>
      <x:c r="AM654" s="604" t="n"/>
      <x:c r="AN654" s="604" t="inlineStr">
        <x:is>
          <x:t xml:space="preserve">EVALUATED</x:t>
        </x:is>
      </x:c>
      <x:c r="AO654" s="604" t="inlineStr">
        <x:is>
          <x:t xml:space="preserve">GIVING_VALIDATED_EDGE、BUCKET_PRIOR_ONLY、INTENT_INTERPRETATION_ONLY、EXPERT_MARKET</x:t>
        </x:is>
      </x:c>
      <x:c r="AP654" s="604" t="inlineStr">
        <x:is>
          <x:t xml:space="preserve">a2fda673ef805ac318eb</x:t>
        </x:is>
      </x:c>
      <x:c r="AQ654" s="604" t="n">
        <x:v>-0.5</x:v>
      </x:c>
      <x:c r="AR654" s="604" t="n">
        <x:v>0.9</x:v>
      </x:c>
      <x:c r="AS654" s="604" t="n">
        <x:v>0.5</x:v>
      </x:c>
      <x:c r="AT654" s="604" t="n">
        <x:v>-0.5</x:v>
      </x:c>
      <x:c r="AU654" s="604" t="n">
        <x:v>0.9</x:v>
      </x:c>
      <x:c r="AV654" s="604" t="n">
        <x:v>0.98</x:v>
      </x:c>
      <x:c r="AW654" s="604" t="n">
        <x:v>46297.01241842593</x:v>
      </x:c>
      <x:c r="AX654" s="604" t="inlineStr">
        <x:is>
          <x:t xml:space="preserve">https://simondongxiao.github.io/odds/v4/</x:t>
        </x:is>
      </x:c>
      <x:c r="AY654" s="604" t="inlineStr">
        <x:is>
          <x:t xml:space="preserve">V4 Shadow Only；real_money=false；P(EV&gt;0)不是比赛胜率</x:t>
        </x:is>
      </x:c>
    </x:row>
    <x:row r="655" ht="22" customHeight="1">
      <x:c r="A655" s="604" t="inlineStr">
        <x:is>
          <x:t xml:space="preserve">2026-10-02</x:t>
        </x:is>
      </x:c>
      <x:c r="B655" s="604" t="inlineStr">
        <x:is>
          <x:t xml:space="preserve">2026-10-02 23:45</x:t>
        </x:is>
      </x:c>
      <x:c r="C655" s="604" t="str">
        <x:v>西亚/中亚系列</x:v>
      </x:c>
      <x:c r="D655" s="604" t="inlineStr">
        <x:is>
          <x:t xml:space="preserve">杯赛</x:t>
        </x:is>
      </x:c>
      <x:c r="E655" s="604" t="inlineStr">
        <x:is>
          <x:t xml:space="preserve">阿联酋杯</x:t>
        </x:is>
      </x:c>
      <x:c r="F655" s="604" t="inlineStr">
        <x:is>
          <x:t xml:space="preserve">迪拜青年国民 vs 迪拜胜利</x:t>
        </x:is>
      </x:c>
      <x:c r="G655" s="604" t="n">
        <x:v>0.8</x:v>
      </x:c>
      <x:c r="H655" s="604" t="n">
        <x:v>0.75</x:v>
      </x:c>
      <x:c r="I655" s="604" t="n">
        <x:v>0.9</x:v>
      </x:c>
      <x:c r="J655" s="604" t="inlineStr">
        <x:is>
          <x:t xml:space="preserve">0.8/0.75/0.9</x:t>
        </x:is>
      </x:c>
      <x:c r="K655" s="604" t="inlineStr">
        <x:is>
          <x:t xml:space="preserve">V4-B｜EV +0.0884</x:t>
        </x:is>
      </x:c>
      <x:c r="L655" s="604" t="inlineStr">
        <x:is>
          <x:t xml:space="preserve">迪拜青年国民</x:t>
        </x:is>
      </x:c>
      <x:c r="M655" s="604" t="n">
        <x:v>0.611845942665904</x:v>
      </x:c>
      <x:c r="N655" s="604" t="inlineStr">
        <x:is>
          <x:t xml:space="preserve">V4纸面入选-B</x:t>
        </x:is>
      </x:c>
      <x:c r="O655" s="604" t="inlineStr">
        <x:is>
          <x:t xml:space="preserve">1-1</x:t>
        </x:is>
      </x:c>
      <x:c r="P655" s="604" t="inlineStr">
        <x:is>
          <x:t xml:space="preserve">已结算</x:t>
        </x:is>
      </x:c>
      <x:c r="Q655" s="646" t="inlineStr">
        <x:is>
          <x:t xml:space="preserve">黑</x:t>
        </x:is>
      </x:c>
      <x:c r="R655" s="604" t="n">
        <x:v>0.8</x:v>
      </x:c>
      <x:c r="S655" s="604" t="n">
        <x:f>IF(OR(Q655="",Q655="待结算"),"",IF(Q655="红",R655,IF(Q655="半红",R655*0.5,IF(Q655="走",0,IF(Q655="半黑",-0.5,-1)))))</x:f>
        <x:v>-1</x:v>
      </x:c>
      <x:c r="T655" s="604" t="inlineStr">
        <x:is>
          <x:t xml:space="preserve">https://m.titan007.com/analy/Analysis/3084336.htm</x:t>
        </x:is>
      </x:c>
      <x:c r="U655" s="645" t="str">
        <x:f>IF(Q655="","",IF(Q655="待结算","待结算",IF(Q655="红","黑",IF(Q655="半红","半黑",IF(Q655="走","走",IF(Q655="半黑","半红","红"))))))</x:f>
        <x:v>红</x:v>
      </x:c>
      <x:c r="V655" s="604" t="n">
        <x:f>IF(OR(Q655="",Q655="待结算"),"",IF(L655=LEFT(F655,FIND(" vs ",F655)-1),I655,G655))</x:f>
        <x:v>0.9</x:v>
      </x:c>
      <x:c r="W655" s="604" t="n">
        <x:f>IF(OR(U655="",U655="待结算"),"",IF(U655="红",V655,IF(U655="半红",V655*0.5,IF(U655="走",0,IF(U655="半黑",-0.5,-1)))))</x:f>
        <x:v>0.9</x:v>
      </x:c>
      <x:c r="X655" s="604" t="inlineStr">
        <x:is>
          <x:t xml:space="preserve">3084336</x:t>
        </x:is>
      </x:c>
      <x:c r="Y655" s="604" t="inlineStr">
        <x:is>
          <x:t xml:space="preserve">V4</x:t>
        </x:is>
      </x:c>
      <x:c r="Z655" s="604" t="inlineStr">
        <x:is>
          <x:t xml:space="preserve">prior-2026-10-02-v1</x:t>
        </x:is>
      </x:c>
      <x:c r="AA655" s="604" t="inlineStr">
        <x:is>
          <x:t xml:space="preserve">B</x:t>
        </x:is>
      </x:c>
      <x:c r="AB655" s="604" t="n">
        <x:v>0.4059817365917145</x:v>
      </x:c>
      <x:c r="AC655" s="604" t="n">
        <x:v>0.2554390598070452</x:v>
      </x:c>
      <x:c r="AD655" s="604" t="n"/>
      <x:c r="AE655" s="604" t="n"/>
      <x:c r="AF655" s="604" t="n">
        <x:v>0.3385792036012403</x:v>
      </x:c>
      <x:c r="AG655" s="604" t="n">
        <x:v>0.08838180959494946</x:v>
      </x:c>
      <x:c r="AH655" s="604" t="n"/>
      <x:c r="AI655" s="604" t="n"/>
      <x:c r="AJ655" s="604" t="n">
        <x:v>0.08838180959494946</x:v>
      </x:c>
      <x:c r="AK655" s="604" t="n"/>
      <x:c r="AL655" s="604" t="n"/>
      <x:c r="AM655" s="604" t="n"/>
      <x:c r="AN655" s="604" t="inlineStr">
        <x:is>
          <x:t xml:space="preserve">EVALUATED</x:t>
        </x:is>
      </x:c>
      <x:c r="AO655" s="604" t="inlineStr">
        <x:is>
          <x:t xml:space="preserve">GIVING_VALIDATED_EDGE、BUCKET_PRIOR_ONLY、INTENT_INTERPRETATION_ONLY、EXPERT_MARKET</x:t>
        </x:is>
      </x:c>
      <x:c r="AP655" s="604" t="inlineStr">
        <x:is>
          <x:t xml:space="preserve">4c27015154cfe5c5a115</x:t>
        </x:is>
      </x:c>
      <x:c r="AQ655" s="604" t="n">
        <x:v>-0.75</x:v>
      </x:c>
      <x:c r="AR655" s="604" t="n">
        <x:v>0.8</x:v>
      </x:c>
      <x:c r="AS655" s="604" t="n">
        <x:v>0.75</x:v>
      </x:c>
      <x:c r="AT655" s="604" t="n">
        <x:v>-0.75</x:v>
      </x:c>
      <x:c r="AU655" s="604" t="n">
        <x:v>0.8</x:v>
      </x:c>
      <x:c r="AV655" s="604" t="n">
        <x:v>0.9</x:v>
      </x:c>
      <x:c r="AW655" s="604" t="n">
        <x:v>46297.01241842593</x:v>
      </x:c>
      <x:c r="AX655" s="604" t="inlineStr">
        <x:is>
          <x:t xml:space="preserve">https://simondongxiao.github.io/odds/v4/</x:t>
        </x:is>
      </x:c>
      <x:c r="AY655" s="604" t="inlineStr">
        <x:is>
          <x:t xml:space="preserve">V4 Shadow Only；real_money=false；P(EV&gt;0)不是比赛胜率</x:t>
        </x:is>
      </x:c>
    </x:row>
    <x:row r="656" ht="22" customHeight="1">
      <x:c r="A656" s="604" t="inlineStr">
        <x:is>
          <x:t xml:space="preserve">2026-10-02</x:t>
        </x:is>
      </x:c>
      <x:c r="B656" s="604" t="inlineStr">
        <x:is>
          <x:t xml:space="preserve">2026-10-03 00:00</x:t>
        </x:is>
      </x:c>
      <x:c r="C656" s="604" t="str">
        <x:v>欧洲非五大系列</x:v>
      </x:c>
      <x:c r="D656" s="604" t="inlineStr">
        <x:is>
          <x:t xml:space="preserve">联赛</x:t>
        </x:is>
      </x:c>
      <x:c r="E656" s="604" t="inlineStr">
        <x:is>
          <x:t xml:space="preserve">欧国联</x:t>
        </x:is>
      </x:c>
      <x:c r="F656" s="604" t="inlineStr">
        <x:is>
          <x:t xml:space="preserve">拉脱维亚 vs 黑山</x:t>
        </x:is>
      </x:c>
      <x:c r="G656" s="604" t="n">
        <x:v>0.83</x:v>
      </x:c>
      <x:c r="H656" s="604" t="n">
        <x:v>-0.75</x:v>
      </x:c>
      <x:c r="I656" s="604" t="n">
        <x:v>1.05</x:v>
      </x:c>
      <x:c r="J656" s="604" t="inlineStr">
        <x:is>
          <x:t xml:space="preserve">0.83/-0.75/1.05</x:t>
        </x:is>
      </x:c>
      <x:c r="K656" s="604" t="inlineStr">
        <x:is>
          <x:t xml:space="preserve">V4-B｜EV +0.1181</x:t>
        </x:is>
      </x:c>
      <x:c r="L656" s="604" t="inlineStr">
        <x:is>
          <x:t xml:space="preserve">黑山</x:t>
        </x:is>
      </x:c>
      <x:c r="M656" s="604" t="n">
        <x:v>0.5538812049184368</x:v>
      </x:c>
      <x:c r="N656" s="604" t="inlineStr">
        <x:is>
          <x:t xml:space="preserve">V4纸面入选-B</x:t>
        </x:is>
      </x:c>
      <x:c r="O656" s="604" t="inlineStr">
        <x:is>
          <x:t xml:space="preserve">1-2</x:t>
        </x:is>
      </x:c>
      <x:c r="P656" s="604" t="inlineStr">
        <x:is>
          <x:t xml:space="preserve">已结算</x:t>
        </x:is>
      </x:c>
      <x:c r="Q656" s="646" t="inlineStr">
        <x:is>
          <x:t xml:space="preserve">黑</x:t>
        </x:is>
      </x:c>
      <x:c r="R656" s="604" t="n">
        <x:v>1.05</x:v>
      </x:c>
      <x:c r="S656" s="604" t="n">
        <x:f>IF(OR(Q656="",Q656="待结算"),"",IF(Q656="红",R656,IF(Q656="半红",R656*0.5,IF(Q656="走",0,IF(Q656="半黑",-0.5,-1)))))</x:f>
        <x:v>-1</x:v>
      </x:c>
      <x:c r="T656" s="604" t="inlineStr">
        <x:is>
          <x:t xml:space="preserve">https://m.titan007.com/analy/Analysis/2981540.htm</x:t>
        </x:is>
      </x:c>
      <x:c r="U656" s="645" t="str">
        <x:f>IF(Q656="","",IF(Q656="待结算","待结算",IF(Q656="红","黑",IF(Q656="半红","半黑",IF(Q656="走","走",IF(Q656="半黑","半红","红"))))))</x:f>
        <x:v>红</x:v>
      </x:c>
      <x:c r="V656" s="604" t="n">
        <x:f>IF(OR(Q656="",Q656="待结算"),"",IF(L656=LEFT(F656,FIND(" vs ",F656)-1),I656,G656))</x:f>
        <x:v>0.83</x:v>
      </x:c>
      <x:c r="W656" s="604" t="n">
        <x:f>IF(OR(U656="",U656="待结算"),"",IF(U656="红",V656,IF(U656="半红",V656*0.5,IF(U656="走",0,IF(U656="半黑",-0.5,-1)))))</x:f>
        <x:v>0.83</x:v>
      </x:c>
      <x:c r="X656" s="604" t="inlineStr">
        <x:is>
          <x:t xml:space="preserve">2981540</x:t>
        </x:is>
      </x:c>
      <x:c r="Y656" s="604" t="inlineStr">
        <x:is>
          <x:t xml:space="preserve">V4</x:t>
        </x:is>
      </x:c>
      <x:c r="Z656" s="604" t="inlineStr">
        <x:is>
          <x:t xml:space="preserve">prior-2026-10-02-v1</x:t>
        </x:is>
      </x:c>
      <x:c r="AA656" s="604" t="inlineStr">
        <x:is>
          <x:t xml:space="preserve">B</x:t>
        </x:is>
      </x:c>
      <x:c r="AB656" s="604" t="n">
        <x:v>0.3547090306716166</x:v>
      </x:c>
      <x:c r="AC656" s="604" t="n">
        <x:v>0.256354441531809</x:v>
      </x:c>
      <x:c r="AD656" s="604" t="n"/>
      <x:c r="AE656" s="604" t="n"/>
      <x:c r="AF656" s="604" t="n">
        <x:v>0.3889365277965743</x:v>
      </x:c>
      <x:c r="AG656" s="604" t="n">
        <x:v>0.1180940362128229</x:v>
      </x:c>
      <x:c r="AH656" s="604" t="n"/>
      <x:c r="AI656" s="604" t="n"/>
      <x:c r="AJ656" s="604" t="n">
        <x:v>0.1180940362128229</x:v>
      </x:c>
      <x:c r="AK656" s="604" t="n"/>
      <x:c r="AL656" s="604" t="n"/>
      <x:c r="AM656" s="604" t="n"/>
      <x:c r="AN656" s="604" t="inlineStr">
        <x:is>
          <x:t xml:space="preserve">EVALUATED</x:t>
        </x:is>
      </x:c>
      <x:c r="AO656" s="604" t="inlineStr">
        <x:is>
          <x:t xml:space="preserve">GIVING_VALIDATED_EDGE、BUCKET_PRIOR_ONLY、INTENT_INTERPRETATION_ONLY、EXPERT_MARKET</x:t>
        </x:is>
      </x:c>
      <x:c r="AP656" s="604" t="inlineStr">
        <x:is>
          <x:t xml:space="preserve">5da4b7f0677069749ee4</x:t>
        </x:is>
      </x:c>
      <x:c r="AQ656" s="604" t="n">
        <x:v>-0.75</x:v>
      </x:c>
      <x:c r="AR656" s="604" t="n">
        <x:v>1.05</x:v>
      </x:c>
      <x:c r="AS656" s="604" t="n">
        <x:v>-0.75</x:v>
      </x:c>
      <x:c r="AT656" s="604" t="n">
        <x:v>0.75</x:v>
      </x:c>
      <x:c r="AU656" s="604" t="n">
        <x:v>0.83</x:v>
      </x:c>
      <x:c r="AV656" s="604" t="n">
        <x:v>1.05</x:v>
      </x:c>
      <x:c r="AW656" s="604" t="n">
        <x:v>46297.01241842593</x:v>
      </x:c>
      <x:c r="AX656" s="604" t="inlineStr">
        <x:is>
          <x:t xml:space="preserve">https://simondongxiao.github.io/odds/v4/</x:t>
        </x:is>
      </x:c>
      <x:c r="AY656" s="604" t="inlineStr">
        <x:is>
          <x:t xml:space="preserve">V4 Shadow Only；real_money=false；P(EV&gt;0)不是比赛胜率</x:t>
        </x:is>
      </x:c>
    </x:row>
    <x:row r="657" ht="22" customHeight="1">
      <x:c r="A657" s="604" t="inlineStr">
        <x:is>
          <x:t xml:space="preserve">2026-10-02</x:t>
        </x:is>
      </x:c>
      <x:c r="B657" s="604" t="inlineStr">
        <x:is>
          <x:t xml:space="preserve">2026-10-03 00:00</x:t>
        </x:is>
      </x:c>
      <x:c r="C657" s="604" t="str">
        <x:v>欧洲非五大系列</x:v>
      </x:c>
      <x:c r="D657" s="604" t="inlineStr">
        <x:is>
          <x:t xml:space="preserve">联赛</x:t>
        </x:is>
      </x:c>
      <x:c r="E657" s="604" t="inlineStr">
        <x:is>
          <x:t xml:space="preserve">欧国联</x:t>
        </x:is>
      </x:c>
      <x:c r="F657" s="604" t="inlineStr">
        <x:is>
          <x:t xml:space="preserve">塞浦路斯 vs 亚美尼亚</x:t>
        </x:is>
      </x:c>
      <x:c r="G657" s="604" t="n">
        <x:v>1.02</x:v>
      </x:c>
      <x:c r="H657" s="604" t="n">
        <x:v>0</x:v>
      </x:c>
      <x:c r="I657" s="604" t="n">
        <x:v>0.86</x:v>
      </x:c>
      <x:c r="J657" s="604" t="inlineStr">
        <x:is>
          <x:t xml:space="preserve">1.02/0/0.86</x:t>
        </x:is>
      </x:c>
      <x:c r="K657" s="604" t="inlineStr">
        <x:is>
          <x:t xml:space="preserve">V4-C｜EV +0.0183</x:t>
        </x:is>
      </x:c>
      <x:c r="L657" s="604" t="str"/>
      <x:c r="M657" s="604" t="n">
        <x:v>0.5054543405521197</x:v>
      </x:c>
      <x:c r="N657" s="604" t="inlineStr">
        <x:is>
          <x:t xml:space="preserve">V4纸面入选-C</x:t>
        </x:is>
      </x:c>
      <x:c r="O657" s="604" t="inlineStr">
        <x:is>
          <x:t xml:space="preserve">2-0</x:t>
        </x:is>
      </x:c>
      <x:c r="P657" s="604" t="inlineStr">
        <x:is>
          <x:t xml:space="preserve">已结算</x:t>
        </x:is>
      </x:c>
      <x:c r="Q657" s="645" t="inlineStr">
        <x:is>
          <x:t xml:space="preserve">红</x:t>
        </x:is>
      </x:c>
      <x:c r="R657" s="604" t="n">
        <x:v>0.86</x:v>
      </x:c>
      <x:c r="S657" s="604" t="n">
        <x:f>IF(OR(Q657="",Q657="待结算"),"",IF(Q657="红",R657,IF(Q657="半红",R657*0.5,IF(Q657="走",0,IF(Q657="半黑",-0.5,-1)))))</x:f>
        <x:v>0.86</x:v>
      </x:c>
      <x:c r="T657" s="604" t="inlineStr">
        <x:is>
          <x:t xml:space="preserve">https://m.titan007.com/analy/Analysis/2981541.htm</x:t>
        </x:is>
      </x:c>
      <x:c r="U657" s="646" t="str">
        <x:f>IF(Q657="","",IF(Q657="待结算","待结算",IF(Q657="红","黑",IF(Q657="半红","半黑",IF(Q657="走","走",IF(Q657="半黑","半红","红"))))))</x:f>
        <x:v>黑</x:v>
      </x:c>
      <x:c r="V657" s="604" t="n">
        <x:f>IF(OR(Q657="",Q657="待结算"),"",IF(L657=LEFT(F657,FIND(" vs ",F657)-1),I657,G657))</x:f>
        <x:v>1.02</x:v>
      </x:c>
      <x:c r="W657" s="604" t="n">
        <x:f>IF(OR(U657="",U657="待结算"),"",IF(U657="红",V657,IF(U657="半红",V657*0.5,IF(U657="走",0,IF(U657="半黑",-0.5,-1)))))</x:f>
        <x:v>-1</x:v>
      </x:c>
      <x:c r="X657" s="604" t="inlineStr">
        <x:is>
          <x:t xml:space="preserve">2981541</x:t>
        </x:is>
      </x:c>
      <x:c r="Y657" s="604" t="inlineStr">
        <x:is>
          <x:t xml:space="preserve">V4</x:t>
        </x:is>
      </x:c>
      <x:c r="Z657" s="604" t="inlineStr">
        <x:is>
          <x:t xml:space="preserve">prior-2026-10-02-v1</x:t>
        </x:is>
      </x:c>
      <x:c r="AA657" s="604" t="inlineStr">
        <x:is>
          <x:t xml:space="preserve">C</x:t>
        </x:is>
      </x:c>
      <x:c r="AB657" s="604" t="n">
        <x:v>0.4393871606031193</x:v>
      </x:c>
      <x:c r="AC657" s="604" t="n"/>
      <x:c r="AD657" s="604" t="n"/>
      <x:c r="AE657" s="604" t="n">
        <x:v>0.2614170050526571</x:v>
      </x:c>
      <x:c r="AF657" s="604" t="n">
        <x:v>0.2991958343442237</x:v>
      </x:c>
      <x:c r="AG657" s="604" t="n">
        <x:v>0.01827056694462942</x:v>
      </x:c>
      <x:c r="AH657" s="604" t="n"/>
      <x:c r="AI657" s="604" t="n"/>
      <x:c r="AJ657" s="604" t="n">
        <x:v>0.01827056694462942</x:v>
      </x:c>
      <x:c r="AK657" s="604" t="n"/>
      <x:c r="AL657" s="604" t="n"/>
      <x:c r="AM657" s="604" t="n"/>
      <x:c r="AN657" s="604" t="inlineStr">
        <x:is>
          <x:t xml:space="preserve">EVALUATED</x:t>
        </x:is>
      </x:c>
      <x:c r="AO657" s="604" t="inlineStr">
        <x:is>
          <x:t xml:space="preserve">EDGE_BELOW_UNCERTAINTY_THRESHOLD、BUCKET_PRIOR_ONLY、INTENT_INTERPRETATION_ONLY、EXPERT_MARKET</x:t>
        </x:is>
      </x:c>
      <x:c r="AP657" s="604" t="inlineStr">
        <x:is>
          <x:t xml:space="preserve">c4a89928c2e1145bd1f4</x:t>
        </x:is>
      </x:c>
      <x:c r="AQ657" s="604" t="n">
        <x:v>0</x:v>
      </x:c>
      <x:c r="AR657" s="604" t="n"/>
      <x:c r="AS657" s="604" t="n">
        <x:v>0</x:v>
      </x:c>
      <x:c r="AT657" s="604" t="n">
        <x:v>0</x:v>
      </x:c>
      <x:c r="AU657" s="604" t="n">
        <x:v>1.02</x:v>
      </x:c>
      <x:c r="AV657" s="604" t="n">
        <x:v>0.86</x:v>
      </x:c>
      <x:c r="AW657" s="604" t="n">
        <x:v>46297.01241842593</x:v>
      </x:c>
      <x:c r="AX657" s="604" t="inlineStr">
        <x:is>
          <x:t xml:space="preserve">https://simondongxiao.github.io/odds/v4/</x:t>
        </x:is>
      </x:c>
      <x:c r="AY657" s="604" t="inlineStr">
        <x:is>
          <x:t xml:space="preserve">V4 Shadow Only；real_money=false；P(EV&gt;0)不是比赛胜率</x:t>
        </x:is>
      </x:c>
    </x:row>
    <x:row r="658" ht="22" customHeight="1">
      <x:c r="A658" s="604" t="inlineStr">
        <x:is>
          <x:t xml:space="preserve">2026-10-02</x:t>
        </x:is>
      </x:c>
      <x:c r="B658" s="604" t="inlineStr">
        <x:is>
          <x:t xml:space="preserve">2026-10-03 00:00</x:t>
        </x:is>
      </x:c>
      <x:c r="C658" s="604" t="str">
        <x:v>欧洲非五大系列</x:v>
      </x:c>
      <x:c r="D658" s="604" t="inlineStr">
        <x:is>
          <x:t xml:space="preserve">联赛</x:t>
        </x:is>
      </x:c>
      <x:c r="E658" s="604" t="inlineStr">
        <x:is>
          <x:t xml:space="preserve">欧青U21外</x:t>
        </x:is>
      </x:c>
      <x:c r="F658" s="604" t="inlineStr">
        <x:is>
          <x:t xml:space="preserve">斯洛文尼亚U21 vs 荷兰U21</x:t>
        </x:is>
      </x:c>
      <x:c r="G658" s="604" t="n">
        <x:v>0.9</x:v>
      </x:c>
      <x:c r="H658" s="604" t="n">
        <x:v>-1.5</x:v>
      </x:c>
      <x:c r="I658" s="604" t="n">
        <x:v>0.92</x:v>
      </x:c>
      <x:c r="J658" s="604" t="inlineStr">
        <x:is>
          <x:t xml:space="preserve">0.9/-1.5/0.92</x:t>
        </x:is>
      </x:c>
      <x:c r="K658" s="604" t="inlineStr">
        <x:is>
          <x:t xml:space="preserve">V4-C｜EV +0.0895</x:t>
        </x:is>
      </x:c>
      <x:c r="L658" s="604" t="inlineStr">
        <x:is>
          <x:t xml:space="preserve">荷兰U21</x:t>
        </x:is>
      </x:c>
      <x:c r="M658" s="604" t="n">
        <x:v>0.5674707359390522</x:v>
      </x:c>
      <x:c r="N658" s="604" t="inlineStr">
        <x:is>
          <x:t xml:space="preserve">V4纸面入选-C</x:t>
        </x:is>
      </x:c>
      <x:c r="O658" s="604" t="inlineStr">
        <x:is>
          <x:t xml:space="preserve">2-4</x:t>
        </x:is>
      </x:c>
      <x:c r="P658" s="604" t="inlineStr">
        <x:is>
          <x:t xml:space="preserve">已结算</x:t>
        </x:is>
      </x:c>
      <x:c r="Q658" s="646" t="inlineStr">
        <x:is>
          <x:t xml:space="preserve">黑</x:t>
        </x:is>
      </x:c>
      <x:c r="R658" s="604" t="n">
        <x:v>0.92</x:v>
      </x:c>
      <x:c r="S658" s="604" t="n">
        <x:f>IF(OR(Q658="",Q658="待结算"),"",IF(Q658="红",R658,IF(Q658="半红",R658*0.5,IF(Q658="走",0,IF(Q658="半黑",-0.5,-1)))))</x:f>
        <x:v>-1</x:v>
      </x:c>
      <x:c r="T658" s="604" t="inlineStr">
        <x:is>
          <x:t xml:space="preserve">https://m.titan007.com/analy/Analysis/2781368.htm</x:t>
        </x:is>
      </x:c>
      <x:c r="U658" s="645" t="str">
        <x:f>IF(Q658="","",IF(Q658="待结算","待结算",IF(Q658="红","黑",IF(Q658="半红","半黑",IF(Q658="走","走",IF(Q658="半黑","半红","红"))))))</x:f>
        <x:v>红</x:v>
      </x:c>
      <x:c r="V658" s="604" t="n">
        <x:f>IF(OR(Q658="",Q658="待结算"),"",IF(L658=LEFT(F658,FIND(" vs ",F658)-1),I658,G658))</x:f>
        <x:v>0.9</x:v>
      </x:c>
      <x:c r="W658" s="604" t="n">
        <x:f>IF(OR(U658="",U658="待结算"),"",IF(U658="红",V658,IF(U658="半红",V658*0.5,IF(U658="走",0,IF(U658="半黑",-0.5,-1)))))</x:f>
        <x:v>0.9</x:v>
      </x:c>
      <x:c r="X658" s="604" t="inlineStr">
        <x:is>
          <x:t xml:space="preserve">2781368</x:t>
        </x:is>
      </x:c>
      <x:c r="Y658" s="604" t="inlineStr">
        <x:is>
          <x:t xml:space="preserve">V4</x:t>
        </x:is>
      </x:c>
      <x:c r="Z658" s="604" t="inlineStr">
        <x:is>
          <x:t xml:space="preserve">prior-2026-10-02-v1</x:t>
        </x:is>
      </x:c>
      <x:c r="AA658" s="604" t="inlineStr">
        <x:is>
          <x:t xml:space="preserve">C</x:t>
        </x:is>
      </x:c>
      <x:c r="AB658" s="604" t="n">
        <x:v>0.5674707359390522</x:v>
      </x:c>
      <x:c r="AC658" s="604" t="n"/>
      <x:c r="AD658" s="604" t="n"/>
      <x:c r="AE658" s="604" t="n"/>
      <x:c r="AF658" s="604" t="n">
        <x:v>0.4325292640609478</x:v>
      </x:c>
      <x:c r="AG658" s="604" t="n">
        <x:v>0.0895438130029802</x:v>
      </x:c>
      <x:c r="AH658" s="604" t="n"/>
      <x:c r="AI658" s="604" t="n"/>
      <x:c r="AJ658" s="604" t="n">
        <x:v>0.0895438130029802</x:v>
      </x:c>
      <x:c r="AK658" s="604" t="n"/>
      <x:c r="AL658" s="604" t="n"/>
      <x:c r="AM658" s="604" t="n"/>
      <x:c r="AN658" s="604" t="inlineStr">
        <x:is>
          <x:t xml:space="preserve">EVALUATED</x:t>
        </x:is>
      </x:c>
      <x:c r="AO658" s="604" t="inlineStr">
        <x:is>
          <x:t xml:space="preserve">GIVING_VALIDATED_EDGE、BUCKET_PRIOR_ONLY、INTENT_INTERPRETATION_ONLY、EXPERT_MARKET</x:t>
        </x:is>
      </x:c>
      <x:c r="AP658" s="604" t="inlineStr">
        <x:is>
          <x:t xml:space="preserve">0f425035f7b2d6a6408b</x:t>
        </x:is>
      </x:c>
      <x:c r="AQ658" s="604" t="n">
        <x:v>-1.5</x:v>
      </x:c>
      <x:c r="AR658" s="604" t="n">
        <x:v>0.92</x:v>
      </x:c>
      <x:c r="AS658" s="604" t="n">
        <x:v>-1.5</x:v>
      </x:c>
      <x:c r="AT658" s="604" t="n">
        <x:v>1.5</x:v>
      </x:c>
      <x:c r="AU658" s="604" t="n">
        <x:v>0.9</x:v>
      </x:c>
      <x:c r="AV658" s="604" t="n">
        <x:v>0.92</x:v>
      </x:c>
      <x:c r="AW658" s="604" t="n">
        <x:v>46297.01241842593</x:v>
      </x:c>
      <x:c r="AX658" s="604" t="inlineStr">
        <x:is>
          <x:t xml:space="preserve">https://simondongxiao.github.io/odds/v4/</x:t>
        </x:is>
      </x:c>
      <x:c r="AY658" s="604" t="inlineStr">
        <x:is>
          <x:t xml:space="preserve">V4 Shadow Only；real_money=false；P(EV&gt;0)不是比赛胜率</x:t>
        </x:is>
      </x:c>
    </x:row>
    <x:row r="659" ht="22" customHeight="1">
      <x:c r="A659" s="604" t="inlineStr">
        <x:is>
          <x:t xml:space="preserve">2026-10-02</x:t>
        </x:is>
      </x:c>
      <x:c r="B659" s="604" t="inlineStr">
        <x:is>
          <x:t xml:space="preserve">2026-10-03 00:00</x:t>
        </x:is>
      </x:c>
      <x:c r="C659" s="604" t="str">
        <x:v>欧洲非五大系列</x:v>
      </x:c>
      <x:c r="D659" s="604" t="inlineStr">
        <x:is>
          <x:t xml:space="preserve">联赛</x:t>
        </x:is>
      </x:c>
      <x:c r="E659" s="604" t="inlineStr">
        <x:is>
          <x:t xml:space="preserve">捷丙</x:t>
        </x:is>
      </x:c>
      <x:c r="F659" s="604" t="inlineStr">
        <x:is>
          <x:t xml:space="preserve">赫拉尼斯 vs 利森B队</x:t>
        </x:is>
      </x:c>
      <x:c r="G659" s="604" t="n">
        <x:v>0.9</x:v>
      </x:c>
      <x:c r="H659" s="604" t="n">
        <x:v>-0.75</x:v>
      </x:c>
      <x:c r="I659" s="604" t="n">
        <x:v>0.8</x:v>
      </x:c>
      <x:c r="J659" s="604" t="inlineStr">
        <x:is>
          <x:t xml:space="preserve">0.9/-0.75/0.8</x:t>
        </x:is>
      </x:c>
      <x:c r="K659" s="604" t="inlineStr">
        <x:is>
          <x:t xml:space="preserve">V4-B｜EV +0.1215</x:t>
        </x:is>
      </x:c>
      <x:c r="L659" s="604" t="inlineStr">
        <x:is>
          <x:t xml:space="preserve">利森B队</x:t>
        </x:is>
      </x:c>
      <x:c r="M659" s="604" t="n">
        <x:v>0.6329559579279814</x:v>
      </x:c>
      <x:c r="N659" s="604" t="inlineStr">
        <x:is>
          <x:t xml:space="preserve">V4纸面入选-B</x:t>
        </x:is>
      </x:c>
      <x:c r="O659" s="604" t="inlineStr">
        <x:is>
          <x:t xml:space="preserve">1-1</x:t>
        </x:is>
      </x:c>
      <x:c r="P659" s="604" t="inlineStr">
        <x:is>
          <x:t xml:space="preserve">已结算</x:t>
        </x:is>
      </x:c>
      <x:c r="Q659" s="646" t="inlineStr">
        <x:is>
          <x:t xml:space="preserve">黑</x:t>
        </x:is>
      </x:c>
      <x:c r="R659" s="604" t="n">
        <x:v>0.8</x:v>
      </x:c>
      <x:c r="S659" s="604" t="n">
        <x:f>IF(OR(Q659="",Q659="待结算"),"",IF(Q659="红",R659,IF(Q659="半红",R659*0.5,IF(Q659="走",0,IF(Q659="半黑",-0.5,-1)))))</x:f>
        <x:v>-1</x:v>
      </x:c>
      <x:c r="T659" s="604" t="inlineStr">
        <x:is>
          <x:t xml:space="preserve">https://m.titan007.com/analy/Analysis/3043225.htm</x:t>
        </x:is>
      </x:c>
      <x:c r="U659" s="645" t="str">
        <x:f>IF(Q659="","",IF(Q659="待结算","待结算",IF(Q659="红","黑",IF(Q659="半红","半黑",IF(Q659="走","走",IF(Q659="半黑","半红","红"))))))</x:f>
        <x:v>红</x:v>
      </x:c>
      <x:c r="V659" s="604" t="n">
        <x:f>IF(OR(Q659="",Q659="待结算"),"",IF(L659=LEFT(F659,FIND(" vs ",F659)-1),I659,G659))</x:f>
        <x:v>0.9</x:v>
      </x:c>
      <x:c r="W659" s="604" t="n">
        <x:f>IF(OR(U659="",U659="待结算"),"",IF(U659="红",V659,IF(U659="半红",V659*0.5,IF(U659="走",0,IF(U659="半黑",-0.5,-1)))))</x:f>
        <x:v>0.9</x:v>
      </x:c>
      <x:c r="X659" s="604" t="inlineStr">
        <x:is>
          <x:t xml:space="preserve">3043225</x:t>
        </x:is>
      </x:c>
      <x:c r="Y659" s="604" t="inlineStr">
        <x:is>
          <x:t xml:space="preserve">V4</x:t>
        </x:is>
      </x:c>
      <x:c r="Z659" s="604" t="inlineStr">
        <x:is>
          <x:t xml:space="preserve">prior-2026-10-02-v1</x:t>
        </x:is>
      </x:c>
      <x:c r="AA659" s="604" t="inlineStr">
        <x:is>
          <x:t xml:space="preserve">B</x:t>
        </x:is>
      </x:c>
      <x:c r="AB659" s="604" t="n">
        <x:v>0.4245697041678781</x:v>
      </x:c>
      <x:c r="AC659" s="604" t="n">
        <x:v>0.2552258102839707</x:v>
      </x:c>
      <x:c r="AD659" s="604" t="n"/>
      <x:c r="AE659" s="604" t="n"/>
      <x:c r="AF659" s="604" t="n">
        <x:v>0.3202044855481512</x:v>
      </x:c>
      <x:c r="AG659" s="604" t="n">
        <x:v>0.1215416018997396</x:v>
      </x:c>
      <x:c r="AH659" s="604" t="n"/>
      <x:c r="AI659" s="604" t="n"/>
      <x:c r="AJ659" s="604" t="n">
        <x:v>0.1215416018997396</x:v>
      </x:c>
      <x:c r="AK659" s="604" t="n"/>
      <x:c r="AL659" s="604" t="n"/>
      <x:c r="AM659" s="604" t="n"/>
      <x:c r="AN659" s="604" t="inlineStr">
        <x:is>
          <x:t xml:space="preserve">EVALUATED</x:t>
        </x:is>
      </x:c>
      <x:c r="AO659" s="604" t="inlineStr">
        <x:is>
          <x:t xml:space="preserve">GIVING_VALIDATED_EDGE、BUCKET_PRIOR_ONLY、INTENT_INTERPRETATION_ONLY、EXPERT_MARKET</x:t>
        </x:is>
      </x:c>
      <x:c r="AP659" s="604" t="inlineStr">
        <x:is>
          <x:t xml:space="preserve">64c5c7e83d5f13e27789</x:t>
        </x:is>
      </x:c>
      <x:c r="AQ659" s="604" t="n">
        <x:v>-0.75</x:v>
      </x:c>
      <x:c r="AR659" s="604" t="n">
        <x:v>0.8</x:v>
      </x:c>
      <x:c r="AS659" s="604" t="n">
        <x:v>-0.75</x:v>
      </x:c>
      <x:c r="AT659" s="604" t="n">
        <x:v>0.75</x:v>
      </x:c>
      <x:c r="AU659" s="604" t="n">
        <x:v>0.9</x:v>
      </x:c>
      <x:c r="AV659" s="604" t="n">
        <x:v>0.8</x:v>
      </x:c>
      <x:c r="AW659" s="604" t="n">
        <x:v>46297.01241842593</x:v>
      </x:c>
      <x:c r="AX659" s="604" t="inlineStr">
        <x:is>
          <x:t xml:space="preserve">https://simondongxiao.github.io/odds/v4/</x:t>
        </x:is>
      </x:c>
      <x:c r="AY659" s="604" t="inlineStr">
        <x:is>
          <x:t xml:space="preserve">V4 Shadow Only；real_money=false；P(EV&gt;0)不是比赛胜率</x:t>
        </x:is>
      </x:c>
    </x:row>
    <x:row r="660" ht="22" customHeight="1">
      <x:c r="A660" s="604" t="inlineStr">
        <x:is>
          <x:t xml:space="preserve">2026-10-02</x:t>
        </x:is>
      </x:c>
      <x:c r="B660" s="604" t="inlineStr">
        <x:is>
          <x:t xml:space="preserve">2026-10-03 00:00</x:t>
        </x:is>
      </x:c>
      <x:c r="C660" s="604" t="str">
        <x:v>其他系列</x:v>
      </x:c>
      <x:c r="D660" s="604" t="inlineStr">
        <x:is>
          <x:t xml:space="preserve">联赛</x:t>
        </x:is>
      </x:c>
      <x:c r="E660" s="604" t="inlineStr">
        <x:is>
          <x:t xml:space="preserve">摩洛超</x:t>
        </x:is>
      </x:c>
      <x:c r="F660" s="604" t="inlineStr">
        <x:is>
          <x:t xml:space="preserve">FUS拉巴特 vs 阿迈勒提兹尼特</x:t>
        </x:is>
      </x:c>
      <x:c r="G660" s="604" t="n">
        <x:v>0.85</x:v>
      </x:c>
      <x:c r="H660" s="604" t="n">
        <x:v>0</x:v>
      </x:c>
      <x:c r="I660" s="604" t="n">
        <x:v>0.91</x:v>
      </x:c>
      <x:c r="J660" s="604" t="inlineStr">
        <x:is>
          <x:t xml:space="preserve">0.85/0/0.91</x:t>
        </x:is>
      </x:c>
      <x:c r="K660" s="604" t="inlineStr">
        <x:is>
          <x:t xml:space="preserve">V4-C｜EV +0.0253</x:t>
        </x:is>
      </x:c>
      <x:c r="L660" s="604" t="str"/>
      <x:c r="M660" s="604" t="n">
        <x:v>0.556235074400672</x:v>
      </x:c>
      <x:c r="N660" s="604" t="inlineStr">
        <x:is>
          <x:t xml:space="preserve">V4纸面入选-C</x:t>
        </x:is>
      </x:c>
      <x:c r="O660" s="604" t="inlineStr">
        <x:is>
          <x:t xml:space="preserve">0-1</x:t>
        </x:is>
      </x:c>
      <x:c r="P660" s="604" t="inlineStr">
        <x:is>
          <x:t xml:space="preserve">已结算</x:t>
        </x:is>
      </x:c>
      <x:c r="Q660" s="646" t="inlineStr">
        <x:is>
          <x:t xml:space="preserve">黑</x:t>
        </x:is>
      </x:c>
      <x:c r="R660" s="604" t="n">
        <x:v>0.91</x:v>
      </x:c>
      <x:c r="S660" s="604" t="n">
        <x:f>IF(OR(Q660="",Q660="待结算"),"",IF(Q660="红",R660,IF(Q660="半红",R660*0.5,IF(Q660="走",0,IF(Q660="半黑",-0.5,-1)))))</x:f>
        <x:v>-1</x:v>
      </x:c>
      <x:c r="T660" s="604" t="inlineStr">
        <x:is>
          <x:t xml:space="preserve">https://m.titan007.com/analy/Analysis/3076981.htm</x:t>
        </x:is>
      </x:c>
      <x:c r="U660" s="645" t="str">
        <x:f>IF(Q660="","",IF(Q660="待结算","待结算",IF(Q660="红","黑",IF(Q660="半红","半黑",IF(Q660="走","走",IF(Q660="半黑","半红","红"))))))</x:f>
        <x:v>红</x:v>
      </x:c>
      <x:c r="V660" s="604" t="n">
        <x:f>IF(OR(Q660="",Q660="待结算"),"",IF(L660=LEFT(F660,FIND(" vs ",F660)-1),I660,G660))</x:f>
        <x:v>0.85</x:v>
      </x:c>
      <x:c r="W660" s="604" t="n">
        <x:f>IF(OR(U660="",U660="待结算"),"",IF(U660="红",V660,IF(U660="半红",V660*0.5,IF(U660="走",0,IF(U660="半黑",-0.5,-1)))))</x:f>
        <x:v>0.85</x:v>
      </x:c>
      <x:c r="X660" s="604" t="inlineStr">
        <x:is>
          <x:t xml:space="preserve">3076981</x:t>
        </x:is>
      </x:c>
      <x:c r="Y660" s="604" t="inlineStr">
        <x:is>
          <x:t xml:space="preserve">V4</x:t>
        </x:is>
      </x:c>
      <x:c r="Z660" s="604" t="inlineStr">
        <x:is>
          <x:t xml:space="preserve">prior-2026-10-02-v1</x:t>
        </x:is>
      </x:c>
      <x:c r="AA660" s="604" t="inlineStr">
        <x:is>
          <x:t xml:space="preserve">C</x:t>
        </x:is>
      </x:c>
      <x:c r="AB660" s="604" t="n">
        <x:v>0.3564473991666905</x:v>
      </x:c>
      <x:c r="AC660" s="604" t="n">
        <x:v>0.2567577077787204</x:v>
      </x:c>
      <x:c r="AD660" s="604" t="n"/>
      <x:c r="AE660" s="604" t="n"/>
      <x:c r="AF660" s="604" t="n">
        <x:v>0.3867948930545891</x:v>
      </x:c>
      <x:c r="AG660" s="604" t="n">
        <x:v>0.02530742204305403</x:v>
      </x:c>
      <x:c r="AH660" s="604" t="n"/>
      <x:c r="AI660" s="604" t="n"/>
      <x:c r="AJ660" s="604" t="n">
        <x:v>0.02530742204305403</x:v>
      </x:c>
      <x:c r="AK660" s="604" t="n"/>
      <x:c r="AL660" s="604" t="n"/>
      <x:c r="AM660" s="604" t="n"/>
      <x:c r="AN660" s="604" t="inlineStr">
        <x:is>
          <x:t xml:space="preserve">EVALUATED</x:t>
        </x:is>
      </x:c>
      <x:c r="AO660" s="604" t="inlineStr">
        <x:is>
          <x:t xml:space="preserve">EDGE_BELOW_UNCERTAINTY_THRESHOLD、BUCKET_PRIOR_ONLY、INTENT_INTERPRETATION_ONLY、EXPERT_MARKET</x:t>
        </x:is>
      </x:c>
      <x:c r="AP660" s="604" t="inlineStr">
        <x:is>
          <x:t xml:space="preserve">efce53811c9d551a807e</x:t>
        </x:is>
      </x:c>
      <x:c r="AQ660" s="604" t="n">
        <x:v>0</x:v>
      </x:c>
      <x:c r="AR660" s="604" t="n"/>
      <x:c r="AS660" s="604" t="n">
        <x:v>0</x:v>
      </x:c>
      <x:c r="AT660" s="604" t="n">
        <x:v>0</x:v>
      </x:c>
      <x:c r="AU660" s="604" t="n">
        <x:v>0.85</x:v>
      </x:c>
      <x:c r="AV660" s="604" t="n">
        <x:v>0.91</x:v>
      </x:c>
      <x:c r="AW660" s="604" t="n">
        <x:v>46297.01241842593</x:v>
      </x:c>
      <x:c r="AX660" s="604" t="inlineStr">
        <x:is>
          <x:t xml:space="preserve">https://simondongxiao.github.io/odds/v4/</x:t>
        </x:is>
      </x:c>
      <x:c r="AY660" s="604" t="inlineStr">
        <x:is>
          <x:t xml:space="preserve">V4 Shadow Only；real_money=false；P(EV&gt;0)不是比赛胜率</x:t>
        </x:is>
      </x:c>
    </x:row>
    <x:row r="661" ht="22" customHeight="1">
      <x:c r="A661" s="604" t="inlineStr">
        <x:is>
          <x:t xml:space="preserve">2026-10-02</x:t>
        </x:is>
      </x:c>
      <x:c r="B661" s="604" t="inlineStr">
        <x:is>
          <x:t xml:space="preserve">2026-10-03 01:00</x:t>
        </x:is>
      </x:c>
      <x:c r="C661" s="604" t="str">
        <x:v>欧洲非五大系列</x:v>
      </x:c>
      <x:c r="D661" s="604" t="inlineStr">
        <x:is>
          <x:t xml:space="preserve">联赛</x:t>
        </x:is>
      </x:c>
      <x:c r="E661" s="604" t="inlineStr">
        <x:is>
          <x:t xml:space="preserve">丹麦乙</x:t>
        </x:is>
      </x:c>
      <x:c r="F661" s="604" t="inlineStr">
        <x:is>
          <x:t xml:space="preserve">VSK奥胡斯 vs 布拉布兰</x:t>
        </x:is>
      </x:c>
      <x:c r="G661" s="604" t="n">
        <x:v>0.95</x:v>
      </x:c>
      <x:c r="H661" s="604" t="n">
        <x:v>0.5</x:v>
      </x:c>
      <x:c r="I661" s="604" t="n">
        <x:v>0.75</x:v>
      </x:c>
      <x:c r="J661" s="604" t="inlineStr">
        <x:is>
          <x:t xml:space="preserve">0.95/0.5/0.75</x:t>
        </x:is>
      </x:c>
      <x:c r="K661" s="604" t="inlineStr">
        <x:is>
          <x:t xml:space="preserve">V4-B｜EV +0.1652</x:t>
        </x:is>
      </x:c>
      <x:c r="L661" s="604" t="inlineStr">
        <x:is>
          <x:t xml:space="preserve">VSK奥胡斯</x:t>
        </x:is>
      </x:c>
      <x:c r="M661" s="604" t="n">
        <x:v>0.5975287103627713</x:v>
      </x:c>
      <x:c r="N661" s="604" t="inlineStr">
        <x:is>
          <x:t xml:space="preserve">V4纸面入选-B</x:t>
        </x:is>
      </x:c>
      <x:c r="O661" s="604" t="inlineStr">
        <x:is>
          <x:t xml:space="preserve">0-2</x:t>
        </x:is>
      </x:c>
      <x:c r="P661" s="604" t="inlineStr">
        <x:is>
          <x:t xml:space="preserve">已结算</x:t>
        </x:is>
      </x:c>
      <x:c r="Q661" s="646" t="inlineStr">
        <x:is>
          <x:t xml:space="preserve">黑</x:t>
        </x:is>
      </x:c>
      <x:c r="R661" s="604" t="n">
        <x:v>0.95</x:v>
      </x:c>
      <x:c r="S661" s="604" t="n">
        <x:f>IF(OR(Q661="",Q661="待结算"),"",IF(Q661="红",R661,IF(Q661="半红",R661*0.5,IF(Q661="走",0,IF(Q661="半黑",-0.5,-1)))))</x:f>
        <x:v>-1</x:v>
      </x:c>
      <x:c r="T661" s="604" t="inlineStr">
        <x:is>
          <x:t xml:space="preserve">https://m.titan007.com/analy/Analysis/3020902.htm</x:t>
        </x:is>
      </x:c>
      <x:c r="U661" s="645" t="str">
        <x:f>IF(Q661="","",IF(Q661="待结算","待结算",IF(Q661="红","黑",IF(Q661="半红","半黑",IF(Q661="走","走",IF(Q661="半黑","半红","红"))))))</x:f>
        <x:v>红</x:v>
      </x:c>
      <x:c r="V661" s="604" t="n">
        <x:f>IF(OR(Q661="",Q661="待结算"),"",IF(L661=LEFT(F661,FIND(" vs ",F661)-1),I661,G661))</x:f>
        <x:v>0.75</x:v>
      </x:c>
      <x:c r="W661" s="604" t="n">
        <x:f>IF(OR(U661="",U661="待结算"),"",IF(U661="红",V661,IF(U661="半红",V661*0.5,IF(U661="走",0,IF(U661="半黑",-0.5,-1)))))</x:f>
        <x:v>0.75</x:v>
      </x:c>
      <x:c r="X661" s="604" t="inlineStr">
        <x:is>
          <x:t xml:space="preserve">3020902</x:t>
        </x:is>
      </x:c>
      <x:c r="Y661" s="604" t="inlineStr">
        <x:is>
          <x:t xml:space="preserve">V4</x:t>
        </x:is>
      </x:c>
      <x:c r="Z661" s="604" t="inlineStr">
        <x:is>
          <x:t xml:space="preserve">prior-2026-10-02-v1</x:t>
        </x:is>
      </x:c>
      <x:c r="AA661" s="604" t="inlineStr">
        <x:is>
          <x:t xml:space="preserve">B</x:t>
        </x:is>
      </x:c>
      <x:c r="AB661" s="604" t="n">
        <x:v>0.5975287103627713</x:v>
      </x:c>
      <x:c r="AC661" s="604" t="n"/>
      <x:c r="AD661" s="604" t="n"/>
      <x:c r="AE661" s="604" t="n"/>
      <x:c r="AF661" s="604" t="n">
        <x:v>0.4024712896372287</x:v>
      </x:c>
      <x:c r="AG661" s="604" t="n">
        <x:v>0.165180985207404</x:v>
      </x:c>
      <x:c r="AH661" s="604" t="n"/>
      <x:c r="AI661" s="604" t="n"/>
      <x:c r="AJ661" s="604" t="n">
        <x:v>0.165180985207404</x:v>
      </x:c>
      <x:c r="AK661" s="604" t="n"/>
      <x:c r="AL661" s="604" t="n"/>
      <x:c r="AM661" s="604" t="n"/>
      <x:c r="AN661" s="604" t="inlineStr">
        <x:is>
          <x:t xml:space="preserve">EVALUATED</x:t>
        </x:is>
      </x:c>
      <x:c r="AO661" s="604" t="inlineStr">
        <x:is>
          <x:t xml:space="preserve">GIVING_VALIDATED_EDGE、BUCKET_PRIOR_ONLY、INTENT_INTERPRETATION_ONLY、EXPERT_MARKET</x:t>
        </x:is>
      </x:c>
      <x:c r="AP661" s="604" t="inlineStr">
        <x:is>
          <x:t xml:space="preserve">a8645b5b0351a73a5b9f</x:t>
        </x:is>
      </x:c>
      <x:c r="AQ661" s="604" t="n">
        <x:v>-0.5</x:v>
      </x:c>
      <x:c r="AR661" s="604" t="n">
        <x:v>0.95</x:v>
      </x:c>
      <x:c r="AS661" s="604" t="n">
        <x:v>0.5</x:v>
      </x:c>
      <x:c r="AT661" s="604" t="n">
        <x:v>-0.5</x:v>
      </x:c>
      <x:c r="AU661" s="604" t="n">
        <x:v>0.95</x:v>
      </x:c>
      <x:c r="AV661" s="604" t="n">
        <x:v>0.75</x:v>
      </x:c>
      <x:c r="AW661" s="604" t="n">
        <x:v>46297.01241842593</x:v>
      </x:c>
      <x:c r="AX661" s="604" t="inlineStr">
        <x:is>
          <x:t xml:space="preserve">https://simondongxiao.github.io/odds/v4/</x:t>
        </x:is>
      </x:c>
      <x:c r="AY661" s="604" t="inlineStr">
        <x:is>
          <x:t xml:space="preserve">V4 Shadow Only；real_money=false；P(EV&gt;0)不是比赛胜率</x:t>
        </x:is>
      </x:c>
    </x:row>
    <x:row r="662" ht="22" customHeight="1">
      <x:c r="A662" s="604" t="inlineStr">
        <x:is>
          <x:t xml:space="preserve">2026-10-02</x:t>
        </x:is>
      </x:c>
      <x:c r="B662" s="604" t="inlineStr">
        <x:is>
          <x:t xml:space="preserve">2026-10-03 01:30</x:t>
        </x:is>
      </x:c>
      <x:c r="C662" s="604" t="str">
        <x:v>五大联赛非顶级联赛</x:v>
      </x:c>
      <x:c r="D662" s="604" t="inlineStr">
        <x:is>
          <x:t xml:space="preserve">联赛</x:t>
        </x:is>
      </x:c>
      <x:c r="E662" s="604" t="inlineStr">
        <x:is>
          <x:t xml:space="preserve">德地区西</x:t>
        </x:is>
      </x:c>
      <x:c r="F662" s="604" t="inlineStr">
        <x:is>
          <x:t xml:space="preserve">门兴格拉德巴赫青年队 vs 波鸿青年队</x:t>
        </x:is>
      </x:c>
      <x:c r="G662" s="604" t="n">
        <x:v>0.82</x:v>
      </x:c>
      <x:c r="H662" s="604" t="n">
        <x:v>0</x:v>
      </x:c>
      <x:c r="I662" s="604" t="n">
        <x:v>0.9399999999999999</x:v>
      </x:c>
      <x:c r="J662" s="604" t="inlineStr">
        <x:is>
          <x:t xml:space="preserve">0.82/0/0.94</x:t>
        </x:is>
      </x:c>
      <x:c r="K662" s="604" t="inlineStr">
        <x:is>
          <x:t xml:space="preserve">V4-C｜EV +0.0157</x:t>
        </x:is>
      </x:c>
      <x:c r="L662" s="604" t="str"/>
      <x:c r="M662" s="604" t="n">
        <x:v>0.5593265947341515</x:v>
      </x:c>
      <x:c r="N662" s="604" t="inlineStr">
        <x:is>
          <x:t xml:space="preserve">V4纸面入选-C</x:t>
        </x:is>
      </x:c>
      <x:c r="O662" s="604" t="inlineStr">
        <x:is>
          <x:t xml:space="preserve">2-3</x:t>
        </x:is>
      </x:c>
      <x:c r="P662" s="604" t="inlineStr">
        <x:is>
          <x:t xml:space="preserve">已结算</x:t>
        </x:is>
      </x:c>
      <x:c r="Q662" s="646" t="inlineStr">
        <x:is>
          <x:t xml:space="preserve">黑</x:t>
        </x:is>
      </x:c>
      <x:c r="R662" s="604" t="n">
        <x:v>0.9399999999999999</x:v>
      </x:c>
      <x:c r="S662" s="604" t="n">
        <x:f>IF(OR(Q662="",Q662="待结算"),"",IF(Q662="红",R662,IF(Q662="半红",R662*0.5,IF(Q662="走",0,IF(Q662="半黑",-0.5,-1)))))</x:f>
        <x:v>-1</x:v>
      </x:c>
      <x:c r="T662" s="604" t="inlineStr">
        <x:is>
          <x:t xml:space="preserve">https://m.titan007.com/analy/Analysis/3043695.htm</x:t>
        </x:is>
      </x:c>
      <x:c r="U662" s="645" t="str">
        <x:f>IF(Q662="","",IF(Q662="待结算","待结算",IF(Q662="红","黑",IF(Q662="半红","半黑",IF(Q662="走","走",IF(Q662="半黑","半红","红"))))))</x:f>
        <x:v>红</x:v>
      </x:c>
      <x:c r="V662" s="604" t="n">
        <x:f>IF(OR(Q662="",Q662="待结算"),"",IF(L662=LEFT(F662,FIND(" vs ",F662)-1),I662,G662))</x:f>
        <x:v>0.82</x:v>
      </x:c>
      <x:c r="W662" s="604" t="n">
        <x:f>IF(OR(U662="",U662="待结算"),"",IF(U662="红",V662,IF(U662="半红",V662*0.5,IF(U662="走",0,IF(U662="半黑",-0.5,-1)))))</x:f>
        <x:v>0.82</x:v>
      </x:c>
      <x:c r="X662" s="604" t="inlineStr">
        <x:is>
          <x:t xml:space="preserve">3043695</x:t>
        </x:is>
      </x:c>
      <x:c r="Y662" s="604" t="inlineStr">
        <x:is>
          <x:t xml:space="preserve">V4</x:t>
        </x:is>
      </x:c>
      <x:c r="Z662" s="604" t="inlineStr">
        <x:is>
          <x:t xml:space="preserve">prior-2026-10-02-v1</x:t>
        </x:is>
      </x:c>
      <x:c r="AA662" s="604" t="inlineStr">
        <x:is>
          <x:t xml:space="preserve">C</x:t>
        </x:is>
      </x:c>
      <x:c r="AB662" s="604" t="n">
        <x:v>0.3610043128958663</x:v>
      </x:c>
      <x:c r="AC662" s="604" t="n">
        <x:v>0.2543691392271765</x:v>
      </x:c>
      <x:c r="AD662" s="604" t="n"/>
      <x:c r="AE662" s="604" t="n"/>
      <x:c r="AF662" s="604" t="n">
        <x:v>0.3846265478769573</x:v>
      </x:c>
      <x:c r="AG662" s="604" t="n">
        <x:v>0.01568833578079543</x:v>
      </x:c>
      <x:c r="AH662" s="604" t="n"/>
      <x:c r="AI662" s="604" t="n"/>
      <x:c r="AJ662" s="604" t="n">
        <x:v>0.01568833578079543</x:v>
      </x:c>
      <x:c r="AK662" s="604" t="n"/>
      <x:c r="AL662" s="604" t="n"/>
      <x:c r="AM662" s="604" t="n"/>
      <x:c r="AN662" s="604" t="inlineStr">
        <x:is>
          <x:t xml:space="preserve">EVALUATED</x:t>
        </x:is>
      </x:c>
      <x:c r="AO662" s="604" t="inlineStr">
        <x:is>
          <x:t xml:space="preserve">EDGE_BELOW_UNCERTAINTY_THRESHOLD、BUCKET_PRIOR_ONLY、INTENT_INTERPRETATION_ONLY、EXPERT_MARKET</x:t>
        </x:is>
      </x:c>
      <x:c r="AP662" s="604" t="inlineStr">
        <x:is>
          <x:t xml:space="preserve">874413aa0231b372fd0d</x:t>
        </x:is>
      </x:c>
      <x:c r="AQ662" s="604" t="n">
        <x:v>0</x:v>
      </x:c>
      <x:c r="AR662" s="604" t="n"/>
      <x:c r="AS662" s="604" t="n">
        <x:v>0</x:v>
      </x:c>
      <x:c r="AT662" s="604" t="n">
        <x:v>0</x:v>
      </x:c>
      <x:c r="AU662" s="604" t="n">
        <x:v>0.82</x:v>
      </x:c>
      <x:c r="AV662" s="604" t="n">
        <x:v>0.9399999999999999</x:v>
      </x:c>
      <x:c r="AW662" s="604" t="n">
        <x:v>46297.01241842593</x:v>
      </x:c>
      <x:c r="AX662" s="604" t="inlineStr">
        <x:is>
          <x:t xml:space="preserve">https://simondongxiao.github.io/odds/v4/</x:t>
        </x:is>
      </x:c>
      <x:c r="AY662" s="604" t="inlineStr">
        <x:is>
          <x:t xml:space="preserve">V4 Shadow Only；real_money=false；P(EV&gt;0)不是比赛胜率</x:t>
        </x:is>
      </x:c>
    </x:row>
    <x:row r="663" ht="22" customHeight="1">
      <x:c r="A663" s="604" t="inlineStr">
        <x:is>
          <x:t xml:space="preserve">2026-10-02</x:t>
        </x:is>
      </x:c>
      <x:c r="B663" s="604" t="inlineStr">
        <x:is>
          <x:t xml:space="preserve">2026-10-03 02:00</x:t>
        </x:is>
      </x:c>
      <x:c r="C663" s="604" t="str">
        <x:v>欧洲非五大系列</x:v>
      </x:c>
      <x:c r="D663" s="604" t="inlineStr">
        <x:is>
          <x:t xml:space="preserve">联赛</x:t>
        </x:is>
      </x:c>
      <x:c r="E663" s="604" t="inlineStr">
        <x:is>
          <x:t xml:space="preserve">冰女超降</x:t>
        </x:is>
      </x:c>
      <x:c r="F663" s="604" t="inlineStr">
        <x:is>
          <x:t xml:space="preserve">弗拉姆女足 vs 瓦路尔女足</x:t>
        </x:is>
      </x:c>
      <x:c r="G663" s="604" t="n">
        <x:v>0.75</x:v>
      </x:c>
      <x:c r="H663" s="604" t="n">
        <x:v>0</x:v>
      </x:c>
      <x:c r="I663" s="604" t="n">
        <x:v>0.95</x:v>
      </x:c>
      <x:c r="J663" s="604" t="inlineStr">
        <x:is>
          <x:t xml:space="preserve">0.75/0/0.95</x:t>
        </x:is>
      </x:c>
      <x:c r="K663" s="604" t="inlineStr">
        <x:is>
          <x:t xml:space="preserve">V4-C｜EV +0.0023</x:t>
        </x:is>
      </x:c>
      <x:c r="L663" s="604" t="str"/>
      <x:c r="M663" s="604" t="n">
        <x:v>0.4270556782735412</x:v>
      </x:c>
      <x:c r="N663" s="604" t="inlineStr">
        <x:is>
          <x:t xml:space="preserve">V4纸面入选-C</x:t>
        </x:is>
      </x:c>
      <x:c r="O663" s="604" t="inlineStr">
        <x:is>
          <x:t xml:space="preserve">1-2</x:t>
        </x:is>
      </x:c>
      <x:c r="P663" s="604" t="inlineStr">
        <x:is>
          <x:t xml:space="preserve">已结算</x:t>
        </x:is>
      </x:c>
      <x:c r="Q663" s="646" t="inlineStr">
        <x:is>
          <x:t xml:space="preserve">黑</x:t>
        </x:is>
      </x:c>
      <x:c r="R663" s="604" t="n">
        <x:v>0.95</x:v>
      </x:c>
      <x:c r="S663" s="604" t="n">
        <x:f>IF(OR(Q663="",Q663="待结算"),"",IF(Q663="红",R663,IF(Q663="半红",R663*0.5,IF(Q663="走",0,IF(Q663="半黑",-0.5,-1)))))</x:f>
        <x:v>-1</x:v>
      </x:c>
      <x:c r="T663" s="604" t="inlineStr">
        <x:is>
          <x:t xml:space="preserve">https://m.titan007.com/analy/Analysis/3089794.htm</x:t>
        </x:is>
      </x:c>
      <x:c r="U663" s="645" t="str">
        <x:f>IF(Q663="","",IF(Q663="待结算","待结算",IF(Q663="红","黑",IF(Q663="半红","半黑",IF(Q663="走","走",IF(Q663="半黑","半红","红"))))))</x:f>
        <x:v>红</x:v>
      </x:c>
      <x:c r="V663" s="604" t="n">
        <x:f>IF(OR(Q663="",Q663="待结算"),"",IF(L663=LEFT(F663,FIND(" vs ",F663)-1),I663,G663))</x:f>
        <x:v>0.75</x:v>
      </x:c>
      <x:c r="W663" s="604" t="n">
        <x:f>IF(OR(U663="",U663="待结算"),"",IF(U663="红",V663,IF(U663="半红",V663*0.5,IF(U663="走",0,IF(U663="半黑",-0.5,-1)))))</x:f>
        <x:v>0.75</x:v>
      </x:c>
      <x:c r="X663" s="604" t="inlineStr">
        <x:is>
          <x:t xml:space="preserve">3089794</x:t>
        </x:is>
      </x:c>
      <x:c r="Y663" s="604" t="inlineStr">
        <x:is>
          <x:t xml:space="preserve">V4</x:t>
        </x:is>
      </x:c>
      <x:c r="Z663" s="604" t="inlineStr">
        <x:is>
          <x:t xml:space="preserve">prior-2026-10-02-v1</x:t>
        </x:is>
      </x:c>
      <x:c r="AA663" s="604" t="inlineStr">
        <x:is>
          <x:t xml:space="preserve">C</x:t>
        </x:is>
      </x:c>
      <x:c r="AB663" s="604" t="n">
        <x:v>0.2572134492540122</x:v>
      </x:c>
      <x:c r="AC663" s="604" t="n">
        <x:v>0.2380316782383781</x:v>
      </x:c>
      <x:c r="AD663" s="604" t="n"/>
      <x:c r="AE663" s="604" t="n"/>
      <x:c r="AF663" s="604" t="n">
        <x:v>0.5047548725076096</x:v>
      </x:c>
      <x:c r="AG663" s="604" t="n">
        <x:v>0.002336866007505989</x:v>
      </x:c>
      <x:c r="AH663" s="604" t="n"/>
      <x:c r="AI663" s="604" t="n"/>
      <x:c r="AJ663" s="604" t="n">
        <x:v>0.002336866007505989</x:v>
      </x:c>
      <x:c r="AK663" s="604" t="n"/>
      <x:c r="AL663" s="604" t="n"/>
      <x:c r="AM663" s="604" t="n"/>
      <x:c r="AN663" s="604" t="inlineStr">
        <x:is>
          <x:t xml:space="preserve">EVALUATED</x:t>
        </x:is>
      </x:c>
      <x:c r="AO663" s="604" t="inlineStr">
        <x:is>
          <x:t xml:space="preserve">EDGE_BELOW_UNCERTAINTY_THRESHOLD、BUCKET_PRIOR_ONLY、INTENT_INTERPRETATION_ONLY、EXPERT_MARKET</x:t>
        </x:is>
      </x:c>
      <x:c r="AP663" s="604" t="inlineStr">
        <x:is>
          <x:t xml:space="preserve">e3234b1d4bb6f6c75974</x:t>
        </x:is>
      </x:c>
      <x:c r="AQ663" s="604" t="n">
        <x:v>0</x:v>
      </x:c>
      <x:c r="AR663" s="604" t="n"/>
      <x:c r="AS663" s="604" t="n">
        <x:v>0</x:v>
      </x:c>
      <x:c r="AT663" s="604" t="n">
        <x:v>0</x:v>
      </x:c>
      <x:c r="AU663" s="604" t="n">
        <x:v>0.75</x:v>
      </x:c>
      <x:c r="AV663" s="604" t="n">
        <x:v>0.95</x:v>
      </x:c>
      <x:c r="AW663" s="604" t="n">
        <x:v>46297.01241842593</x:v>
      </x:c>
      <x:c r="AX663" s="604" t="inlineStr">
        <x:is>
          <x:t xml:space="preserve">https://simondongxiao.github.io/odds/v4/</x:t>
        </x:is>
      </x:c>
      <x:c r="AY663" s="604" t="inlineStr">
        <x:is>
          <x:t xml:space="preserve">V4 Shadow Only；real_money=false；P(EV&gt;0)不是比赛胜率</x:t>
        </x:is>
      </x:c>
    </x:row>
    <x:row r="664" ht="22" customHeight="1">
      <x:c r="A664" s="604" t="inlineStr">
        <x:is>
          <x:t xml:space="preserve">2026-10-02</x:t>
        </x:is>
      </x:c>
      <x:c r="B664" s="604" t="inlineStr">
        <x:is>
          <x:t xml:space="preserve">2026-10-03 02:00</x:t>
        </x:is>
      </x:c>
      <x:c r="C664" s="604" t="str">
        <x:v>南美系列</x:v>
      </x:c>
      <x:c r="D664" s="604" t="inlineStr">
        <x:is>
          <x:t xml:space="preserve">联赛</x:t>
        </x:is>
      </x:c>
      <x:c r="E664" s="604" t="inlineStr">
        <x:is>
          <x:t xml:space="preserve">阿女甲</x:t>
        </x:is>
      </x:c>
      <x:c r="F664" s="604" t="inlineStr">
        <x:is>
          <x:t xml:space="preserve">圣罗伦素女足 vs 飓风队女足</x:t>
        </x:is>
      </x:c>
      <x:c r="G664" s="604" t="n">
        <x:v>0.8</x:v>
      </x:c>
      <x:c r="H664" s="604" t="n">
        <x:v>1.25</x:v>
      </x:c>
      <x:c r="I664" s="604" t="n">
        <x:v>0.9</x:v>
      </x:c>
      <x:c r="J664" s="604" t="inlineStr">
        <x:is>
          <x:t xml:space="preserve">0.8/1.25/0.9</x:t>
        </x:is>
      </x:c>
      <x:c r="K664" s="604" t="inlineStr">
        <x:is>
          <x:t xml:space="preserve">V4-B｜EV +0.1959</x:t>
        </x:is>
      </x:c>
      <x:c r="L664" s="604" t="inlineStr">
        <x:is>
          <x:t xml:space="preserve">圣罗伦素女足</x:t>
        </x:is>
      </x:c>
      <x:c r="M664" s="604" t="n">
        <x:v>0.67867864332521</x:v>
      </x:c>
      <x:c r="N664" s="604" t="inlineStr">
        <x:is>
          <x:t xml:space="preserve">V4纸面入选-B</x:t>
        </x:is>
      </x:c>
      <x:c r="O664" s="604" t="inlineStr">
        <x:is>
          <x:t xml:space="preserve">3-1</x:t>
        </x:is>
      </x:c>
      <x:c r="P664" s="604" t="inlineStr">
        <x:is>
          <x:t xml:space="preserve">已结算</x:t>
        </x:is>
      </x:c>
      <x:c r="Q664" s="645" t="inlineStr">
        <x:is>
          <x:t xml:space="preserve">红</x:t>
        </x:is>
      </x:c>
      <x:c r="R664" s="604" t="n">
        <x:v>0.8</x:v>
      </x:c>
      <x:c r="S664" s="604" t="n">
        <x:f>IF(OR(Q664="",Q664="待结算"),"",IF(Q664="红",R664,IF(Q664="半红",R664*0.5,IF(Q664="走",0,IF(Q664="半黑",-0.5,-1)))))</x:f>
        <x:v>0.8</x:v>
      </x:c>
      <x:c r="T664" s="604" t="inlineStr">
        <x:is>
          <x:t xml:space="preserve">https://m.titan007.com/analy/Analysis/3096523.htm</x:t>
        </x:is>
      </x:c>
      <x:c r="U664" s="646" t="str">
        <x:f>IF(Q664="","",IF(Q664="待结算","待结算",IF(Q664="红","黑",IF(Q664="半红","半黑",IF(Q664="走","走",IF(Q664="半黑","半红","红"))))))</x:f>
        <x:v>黑</x:v>
      </x:c>
      <x:c r="V664" s="604" t="n">
        <x:f>IF(OR(Q664="",Q664="待结算"),"",IF(L664=LEFT(F664,FIND(" vs ",F664)-1),I664,G664))</x:f>
        <x:v>0.9</x:v>
      </x:c>
      <x:c r="W664" s="604" t="n">
        <x:f>IF(OR(U664="",U664="待结算"),"",IF(U664="红",V664,IF(U664="半红",V664*0.5,IF(U664="走",0,IF(U664="半黑",-0.5,-1)))))</x:f>
        <x:v>-1</x:v>
      </x:c>
      <x:c r="X664" s="604" t="inlineStr">
        <x:is>
          <x:t xml:space="preserve">3096523</x:t>
        </x:is>
      </x:c>
      <x:c r="Y664" s="604" t="inlineStr">
        <x:is>
          <x:t xml:space="preserve">V4</x:t>
        </x:is>
      </x:c>
      <x:c r="Z664" s="604" t="inlineStr">
        <x:is>
          <x:t xml:space="preserve">prior-2026-10-02-v1</x:t>
        </x:is>
      </x:c>
      <x:c r="AA664" s="604" t="inlineStr">
        <x:is>
          <x:t xml:space="preserve">B</x:t>
        </x:is>
      </x:c>
      <x:c r="AB664" s="604" t="n">
        <x:v>0.5998563526711784</x:v>
      </x:c>
      <x:c r="AC664" s="604" t="n"/>
      <x:c r="AD664" s="604" t="n"/>
      <x:c r="AE664" s="604" t="n">
        <x:v>0.2322816296910094</x:v>
      </x:c>
      <x:c r="AF664" s="604" t="n">
        <x:v>0.1678620176378122</x:v>
      </x:c>
      <x:c r="AG664" s="604" t="n">
        <x:v>0.1958822496536259</x:v>
      </x:c>
      <x:c r="AH664" s="604" t="n"/>
      <x:c r="AI664" s="604" t="n"/>
      <x:c r="AJ664" s="604" t="n">
        <x:v>0.1958822496536259</x:v>
      </x:c>
      <x:c r="AK664" s="604" t="n"/>
      <x:c r="AL664" s="604" t="n"/>
      <x:c r="AM664" s="604" t="n"/>
      <x:c r="AN664" s="604" t="inlineStr">
        <x:is>
          <x:t xml:space="preserve">EVALUATED</x:t>
        </x:is>
      </x:c>
      <x:c r="AO664" s="604" t="inlineStr">
        <x:is>
          <x:t xml:space="preserve">GIVING_VALIDATED_EDGE、BUCKET_PRIOR_ONLY、INTENT_INTERPRETATION_ONLY、EXPERT_MARKET</x:t>
        </x:is>
      </x:c>
      <x:c r="AP664" s="604" t="inlineStr">
        <x:is>
          <x:t xml:space="preserve">f3cc3ef30e01680d94b1</x:t>
        </x:is>
      </x:c>
      <x:c r="AQ664" s="604" t="n">
        <x:v>-1.25</x:v>
      </x:c>
      <x:c r="AR664" s="604" t="n">
        <x:v>0.8</x:v>
      </x:c>
      <x:c r="AS664" s="604" t="n">
        <x:v>1.25</x:v>
      </x:c>
      <x:c r="AT664" s="604" t="n">
        <x:v>-1.25</x:v>
      </x:c>
      <x:c r="AU664" s="604" t="n">
        <x:v>0.8</x:v>
      </x:c>
      <x:c r="AV664" s="604" t="n">
        <x:v>0.9</x:v>
      </x:c>
      <x:c r="AW664" s="604" t="n">
        <x:v>46297.01241842593</x:v>
      </x:c>
      <x:c r="AX664" s="604" t="inlineStr">
        <x:is>
          <x:t xml:space="preserve">https://simondongxiao.github.io/odds/v4/</x:t>
        </x:is>
      </x:c>
      <x:c r="AY664" s="604" t="inlineStr">
        <x:is>
          <x:t xml:space="preserve">V4 Shadow Only；real_money=false；P(EV&gt;0)不是比赛胜率</x:t>
        </x:is>
      </x:c>
    </x:row>
    <x:row r="665" ht="22" customHeight="1">
      <x:c r="A665" s="604" t="inlineStr">
        <x:is>
          <x:t xml:space="preserve">2026-10-02</x:t>
        </x:is>
      </x:c>
      <x:c r="B665" s="604" t="inlineStr">
        <x:is>
          <x:t xml:space="preserve">2026-10-03 02:30</x:t>
        </x:is>
      </x:c>
      <x:c r="C665" s="604" t="str">
        <x:v>欧洲非五大系列</x:v>
      </x:c>
      <x:c r="D665" s="604" t="inlineStr">
        <x:is>
          <x:t xml:space="preserve">杯赛</x:t>
        </x:is>
      </x:c>
      <x:c r="E665" s="604" t="inlineStr">
        <x:is>
          <x:t xml:space="preserve">苏总杯</x:t>
        </x:is>
      </x:c>
      <x:c r="F665" s="604" t="inlineStr">
        <x:is>
          <x:t xml:space="preserve">卡诺克少年 vs 奥治尼历克</x:t>
        </x:is>
      </x:c>
      <x:c r="G665" s="604" t="n">
        <x:v>0.98</x:v>
      </x:c>
      <x:c r="H665" s="604" t="n">
        <x:v>0</x:v>
      </x:c>
      <x:c r="I665" s="604" t="n">
        <x:v>0.84</x:v>
      </x:c>
      <x:c r="J665" s="604" t="inlineStr">
        <x:is>
          <x:t xml:space="preserve">0.98/0/0.84</x:t>
        </x:is>
      </x:c>
      <x:c r="K665" s="604" t="inlineStr">
        <x:is>
          <x:t xml:space="preserve">V4-C｜EV +0.0048</x:t>
        </x:is>
      </x:c>
      <x:c r="L665" s="604" t="str"/>
      <x:c r="M665" s="604" t="n">
        <x:v>0.4921681692510616</x:v>
      </x:c>
      <x:c r="N665" s="604" t="inlineStr">
        <x:is>
          <x:t xml:space="preserve">V4纸面入选-C</x:t>
        </x:is>
      </x:c>
      <x:c r="O665" s="604" t="inlineStr">
        <x:is>
          <x:t xml:space="preserve">2-0</x:t>
        </x:is>
      </x:c>
      <x:c r="P665" s="604" t="inlineStr">
        <x:is>
          <x:t xml:space="preserve">已结算</x:t>
        </x:is>
      </x:c>
      <x:c r="Q665" s="645" t="inlineStr">
        <x:is>
          <x:t xml:space="preserve">红</x:t>
        </x:is>
      </x:c>
      <x:c r="R665" s="604" t="n">
        <x:v>0.84</x:v>
      </x:c>
      <x:c r="S665" s="604" t="n">
        <x:f>IF(OR(Q665="",Q665="待结算"),"",IF(Q665="红",R665,IF(Q665="半红",R665*0.5,IF(Q665="走",0,IF(Q665="半黑",-0.5,-1)))))</x:f>
        <x:v>0.84</x:v>
      </x:c>
      <x:c r="T665" s="604" t="inlineStr">
        <x:is>
          <x:t xml:space="preserve">https://m.titan007.com/analy/Analysis/3094554.htm</x:t>
        </x:is>
      </x:c>
      <x:c r="U665" s="646" t="str">
        <x:f>IF(Q665="","",IF(Q665="待结算","待结算",IF(Q665="红","黑",IF(Q665="半红","半黑",IF(Q665="走","走",IF(Q665="半黑","半红","红"))))))</x:f>
        <x:v>黑</x:v>
      </x:c>
      <x:c r="V665" s="604" t="n">
        <x:f>IF(OR(Q665="",Q665="待结算"),"",IF(L665=LEFT(F665,FIND(" vs ",F665)-1),I665,G665))</x:f>
        <x:v>0.98</x:v>
      </x:c>
      <x:c r="W665" s="604" t="n">
        <x:f>IF(OR(U665="",U665="待结算"),"",IF(U665="红",V665,IF(U665="半红",V665*0.5,IF(U665="走",0,IF(U665="半黑",-0.5,-1)))))</x:f>
        <x:v>-1</x:v>
      </x:c>
      <x:c r="X665" s="604" t="inlineStr">
        <x:is>
          <x:t xml:space="preserve">3094554</x:t>
        </x:is>
      </x:c>
      <x:c r="Y665" s="604" t="inlineStr">
        <x:is>
          <x:t xml:space="preserve">V4</x:t>
        </x:is>
      </x:c>
      <x:c r="Z665" s="604" t="inlineStr">
        <x:is>
          <x:t xml:space="preserve">prior-2026-10-02-v1</x:t>
        </x:is>
      </x:c>
      <x:c r="AA665" s="604" t="inlineStr">
        <x:is>
          <x:t xml:space="preserve">C</x:t>
        </x:is>
      </x:c>
      <x:c r="AB665" s="604" t="n">
        <x:v>0.4284337882950745</x:v>
      </x:c>
      <x:c r="AC665" s="604" t="n"/>
      <x:c r="AD665" s="604" t="n"/>
      <x:c r="AE665" s="604" t="n">
        <x:v>0.2589943232329408</x:v>
      </x:c>
      <x:c r="AF665" s="604" t="n">
        <x:v>0.3125718884719847</x:v>
      </x:c>
      <x:c r="AG665" s="604" t="n">
        <x:v>0.004793880791611471</x:v>
      </x:c>
      <x:c r="AH665" s="604" t="n"/>
      <x:c r="AI665" s="604" t="n"/>
      <x:c r="AJ665" s="604" t="n">
        <x:v>0.004793880791611471</x:v>
      </x:c>
      <x:c r="AK665" s="604" t="n"/>
      <x:c r="AL665" s="604" t="n"/>
      <x:c r="AM665" s="604" t="n"/>
      <x:c r="AN665" s="604" t="inlineStr">
        <x:is>
          <x:t xml:space="preserve">EVALUATED</x:t>
        </x:is>
      </x:c>
      <x:c r="AO665" s="604" t="inlineStr">
        <x:is>
          <x:t xml:space="preserve">EDGE_BELOW_UNCERTAINTY_THRESHOLD、BUCKET_PRIOR_ONLY、INTENT_INTERPRETATION_ONLY、EXPERT_MARKET</x:t>
        </x:is>
      </x:c>
      <x:c r="AP665" s="604" t="inlineStr">
        <x:is>
          <x:t xml:space="preserve">7593d9c54a2f3973aa0f</x:t>
        </x:is>
      </x:c>
      <x:c r="AQ665" s="604" t="n">
        <x:v>0</x:v>
      </x:c>
      <x:c r="AR665" s="604" t="n"/>
      <x:c r="AS665" s="604" t="n">
        <x:v>0</x:v>
      </x:c>
      <x:c r="AT665" s="604" t="n">
        <x:v>0</x:v>
      </x:c>
      <x:c r="AU665" s="604" t="n">
        <x:v>0.98</x:v>
      </x:c>
      <x:c r="AV665" s="604" t="n">
        <x:v>0.84</x:v>
      </x:c>
      <x:c r="AW665" s="604" t="n">
        <x:v>46297.01241842593</x:v>
      </x:c>
      <x:c r="AX665" s="604" t="inlineStr">
        <x:is>
          <x:t xml:space="preserve">https://simondongxiao.github.io/odds/v4/</x:t>
        </x:is>
      </x:c>
      <x:c r="AY665" s="604" t="inlineStr">
        <x:is>
          <x:t xml:space="preserve">V4 Shadow Only；real_money=false；P(EV&gt;0)不是比赛胜率</x:t>
        </x:is>
      </x:c>
    </x:row>
    <x:row r="666" ht="22" customHeight="1">
      <x:c r="A666" s="604" t="inlineStr">
        <x:is>
          <x:t xml:space="preserve">2026-10-02</x:t>
        </x:is>
      </x:c>
      <x:c r="B666" s="604" t="inlineStr">
        <x:is>
          <x:t xml:space="preserve">2026-10-03 02:30</x:t>
        </x:is>
      </x:c>
      <x:c r="C666" s="604" t="str">
        <x:v>欧洲非五大系列</x:v>
      </x:c>
      <x:c r="D666" s="604" t="inlineStr">
        <x:is>
          <x:t xml:space="preserve">联赛</x:t>
        </x:is>
      </x:c>
      <x:c r="E666" s="604" t="inlineStr">
        <x:is>
          <x:t xml:space="preserve">威冠南</x:t>
        </x:is>
      </x:c>
      <x:c r="F666" s="604" t="inlineStr">
        <x:is>
          <x:t xml:space="preserve">卡马顿 vs 马奇奥</x:t>
        </x:is>
      </x:c>
      <x:c r="G666" s="604" t="n">
        <x:v>0.9</x:v>
      </x:c>
      <x:c r="H666" s="604" t="n">
        <x:v>1</x:v>
      </x:c>
      <x:c r="I666" s="604" t="n">
        <x:v>0.8</x:v>
      </x:c>
      <x:c r="J666" s="604" t="inlineStr">
        <x:is>
          <x:t xml:space="preserve">0.9/1/0.8</x:t>
        </x:is>
      </x:c>
      <x:c r="K666" s="604" t="inlineStr">
        <x:is>
          <x:t xml:space="preserve">V4-C｜EV +0.1327</x:t>
        </x:is>
      </x:c>
      <x:c r="L666" s="604" t="inlineStr">
        <x:is>
          <x:t xml:space="preserve">卡马顿</x:t>
        </x:is>
      </x:c>
      <x:c r="M666" s="604" t="n">
        <x:v>0.6197681607231985</x:v>
      </x:c>
      <x:c r="N666" s="604" t="inlineStr">
        <x:is>
          <x:t xml:space="preserve">V4纸面入选-C</x:t>
        </x:is>
      </x:c>
      <x:c r="O666" s="604" t="inlineStr">
        <x:is>
          <x:t xml:space="preserve">1-2</x:t>
        </x:is>
      </x:c>
      <x:c r="P666" s="604" t="inlineStr">
        <x:is>
          <x:t xml:space="preserve">已结算</x:t>
        </x:is>
      </x:c>
      <x:c r="Q666" s="646" t="inlineStr">
        <x:is>
          <x:t xml:space="preserve">黑</x:t>
        </x:is>
      </x:c>
      <x:c r="R666" s="604" t="n">
        <x:v>0.9</x:v>
      </x:c>
      <x:c r="S666" s="604" t="n">
        <x:f>IF(OR(Q666="",Q666="待结算"),"",IF(Q666="红",R666,IF(Q666="半红",R666*0.5,IF(Q666="走",0,IF(Q666="半黑",-0.5,-1)))))</x:f>
        <x:v>-1</x:v>
      </x:c>
      <x:c r="T666" s="604" t="inlineStr">
        <x:is>
          <x:t xml:space="preserve">https://m.titan007.com/analy/Analysis/3021423.htm</x:t>
        </x:is>
      </x:c>
      <x:c r="U666" s="645" t="str">
        <x:f>IF(Q666="","",IF(Q666="待结算","待结算",IF(Q666="红","黑",IF(Q666="半红","半黑",IF(Q666="走","走",IF(Q666="半黑","半红","红"))))))</x:f>
        <x:v>红</x:v>
      </x:c>
      <x:c r="V666" s="604" t="n">
        <x:f>IF(OR(Q666="",Q666="待结算"),"",IF(L666=LEFT(F666,FIND(" vs ",F666)-1),I666,G666))</x:f>
        <x:v>0.8</x:v>
      </x:c>
      <x:c r="W666" s="604" t="n">
        <x:f>IF(OR(U666="",U666="待结算"),"",IF(U666="红",V666,IF(U666="半红",V666*0.5,IF(U666="走",0,IF(U666="半黑",-0.5,-1)))))</x:f>
        <x:v>0.8</x:v>
      </x:c>
      <x:c r="X666" s="604" t="inlineStr">
        <x:is>
          <x:t xml:space="preserve">3021423</x:t>
        </x:is>
      </x:c>
      <x:c r="Y666" s="604" t="inlineStr">
        <x:is>
          <x:t xml:space="preserve">V4</x:t>
        </x:is>
      </x:c>
      <x:c r="Z666" s="604" t="inlineStr">
        <x:is>
          <x:t xml:space="preserve">prior-2026-10-02-v1</x:t>
        </x:is>
      </x:c>
      <x:c r="AA666" s="604" t="inlineStr">
        <x:is>
          <x:t xml:space="preserve">C</x:t>
        </x:is>
      </x:c>
      <x:c r="AB666" s="604" t="n">
        <x:v>0.4632233021687283</x:v>
      </x:c>
      <x:c r="AC666" s="604" t="n"/>
      <x:c r="AD666" s="604" t="n">
        <x:v>0.2525861579784937</x:v>
      </x:c>
      <x:c r="AE666" s="604" t="n"/>
      <x:c r="AF666" s="604" t="n">
        <x:v>0.2841905398527781</x:v>
      </x:c>
      <x:c r="AG666" s="604" t="n">
        <x:v>0.1327104320990773</x:v>
      </x:c>
      <x:c r="AH666" s="604" t="n"/>
      <x:c r="AI666" s="604" t="n"/>
      <x:c r="AJ666" s="604" t="n">
        <x:v>0.1327104320990773</x:v>
      </x:c>
      <x:c r="AK666" s="604" t="n"/>
      <x:c r="AL666" s="604" t="n"/>
      <x:c r="AM666" s="604" t="n"/>
      <x:c r="AN666" s="604" t="inlineStr">
        <x:is>
          <x:t xml:space="preserve">EVALUATED</x:t>
        </x:is>
      </x:c>
      <x:c r="AO666" s="604" t="inlineStr">
        <x:is>
          <x:t xml:space="preserve">GIVING_VALIDATED_EDGE、BUCKET_PRIOR_ONLY、INTENT_INTERPRETATION_ONLY、EXPERT_MARKET</x:t>
        </x:is>
      </x:c>
      <x:c r="AP666" s="604" t="inlineStr">
        <x:is>
          <x:t xml:space="preserve">f1b6268441c20c3646c5</x:t>
        </x:is>
      </x:c>
      <x:c r="AQ666" s="604" t="n">
        <x:v>-1</x:v>
      </x:c>
      <x:c r="AR666" s="604" t="n">
        <x:v>0.9</x:v>
      </x:c>
      <x:c r="AS666" s="604" t="n">
        <x:v>1</x:v>
      </x:c>
      <x:c r="AT666" s="604" t="n">
        <x:v>-1</x:v>
      </x:c>
      <x:c r="AU666" s="604" t="n">
        <x:v>0.9</x:v>
      </x:c>
      <x:c r="AV666" s="604" t="n">
        <x:v>0.8</x:v>
      </x:c>
      <x:c r="AW666" s="604" t="n">
        <x:v>46297.01241842593</x:v>
      </x:c>
      <x:c r="AX666" s="604" t="inlineStr">
        <x:is>
          <x:t xml:space="preserve">https://simondongxiao.github.io/odds/v4/</x:t>
        </x:is>
      </x:c>
      <x:c r="AY666" s="604" t="inlineStr">
        <x:is>
          <x:t xml:space="preserve">V4 Shadow Only；real_money=false；P(EV&gt;0)不是比赛胜率</x:t>
        </x:is>
      </x:c>
    </x:row>
    <x:row r="667" ht="22" customHeight="1">
      <x:c r="A667" s="604" t="inlineStr">
        <x:is>
          <x:t xml:space="preserve">2026-10-02</x:t>
        </x:is>
      </x:c>
      <x:c r="B667" s="604" t="inlineStr">
        <x:is>
          <x:t xml:space="preserve">2026-10-03 02:30</x:t>
        </x:is>
      </x:c>
      <x:c r="C667" s="604" t="str">
        <x:v>欧洲非五大系列</x:v>
      </x:c>
      <x:c r="D667" s="604" t="inlineStr">
        <x:is>
          <x:t xml:space="preserve">联赛</x:t>
        </x:is>
      </x:c>
      <x:c r="E667" s="604" t="inlineStr">
        <x:is>
          <x:t xml:space="preserve">威冠南</x:t>
        </x:is>
      </x:c>
      <x:c r="F667" s="604" t="inlineStr">
        <x:is>
          <x:t xml:space="preserve">兰内里 vs 巴格兰龙</x:t>
        </x:is>
      </x:c>
      <x:c r="G667" s="604" t="n">
        <x:v>0.9</x:v>
      </x:c>
      <x:c r="H667" s="604" t="n">
        <x:v>0</x:v>
      </x:c>
      <x:c r="I667" s="604" t="n">
        <x:v>0.8</x:v>
      </x:c>
      <x:c r="J667" s="604" t="inlineStr">
        <x:is>
          <x:t xml:space="preserve">0.9/0/0.8</x:t>
        </x:is>
      </x:c>
      <x:c r="K667" s="604" t="inlineStr">
        <x:is>
          <x:t xml:space="preserve">V4-C｜EV +0.0541</x:t>
        </x:is>
      </x:c>
      <x:c r="L667" s="604" t="str"/>
      <x:c r="M667" s="604" t="n">
        <x:v>0.5898720068366677</x:v>
      </x:c>
      <x:c r="N667" s="604" t="inlineStr">
        <x:is>
          <x:t xml:space="preserve">V4纸面入选-C</x:t>
        </x:is>
      </x:c>
      <x:c r="O667" s="604" t="inlineStr">
        <x:is>
          <x:t xml:space="preserve">1-2</x:t>
        </x:is>
      </x:c>
      <x:c r="P667" s="604" t="inlineStr">
        <x:is>
          <x:t xml:space="preserve">已结算</x:t>
        </x:is>
      </x:c>
      <x:c r="Q667" s="646" t="inlineStr">
        <x:is>
          <x:t xml:space="preserve">黑</x:t>
        </x:is>
      </x:c>
      <x:c r="R667" s="604" t="n">
        <x:v>0.8</x:v>
      </x:c>
      <x:c r="S667" s="604" t="n">
        <x:f>IF(OR(Q667="",Q667="待结算"),"",IF(Q667="红",R667,IF(Q667="半红",R667*0.5,IF(Q667="走",0,IF(Q667="半黑",-0.5,-1)))))</x:f>
        <x:v>-1</x:v>
      </x:c>
      <x:c r="T667" s="604" t="inlineStr">
        <x:is>
          <x:t xml:space="preserve">https://m.titan007.com/analy/Analysis/3021424.htm</x:t>
        </x:is>
      </x:c>
      <x:c r="U667" s="645" t="str">
        <x:f>IF(Q667="","",IF(Q667="待结算","待结算",IF(Q667="红","黑",IF(Q667="半红","半黑",IF(Q667="走","走",IF(Q667="半黑","半红","红"))))))</x:f>
        <x:v>红</x:v>
      </x:c>
      <x:c r="V667" s="604" t="n">
        <x:f>IF(OR(Q667="",Q667="待结算"),"",IF(L667=LEFT(F667,FIND(" vs ",F667)-1),I667,G667))</x:f>
        <x:v>0.9</x:v>
      </x:c>
      <x:c r="W667" s="604" t="n">
        <x:f>IF(OR(U667="",U667="待结算"),"",IF(U667="红",V667,IF(U667="半红",V667*0.5,IF(U667="走",0,IF(U667="半黑",-0.5,-1)))))</x:f>
        <x:v>0.9</x:v>
      </x:c>
      <x:c r="X667" s="604" t="inlineStr">
        <x:is>
          <x:t xml:space="preserve">3021424</x:t>
        </x:is>
      </x:c>
      <x:c r="Y667" s="604" t="inlineStr">
        <x:is>
          <x:t xml:space="preserve">V4</x:t>
        </x:is>
      </x:c>
      <x:c r="Z667" s="604" t="inlineStr">
        <x:is>
          <x:t xml:space="preserve">prior-2026-10-02-v1</x:t>
        </x:is>
      </x:c>
      <x:c r="AA667" s="604" t="inlineStr">
        <x:is>
          <x:t xml:space="preserve">C</x:t>
        </x:is>
      </x:c>
      <x:c r="AB667" s="604" t="n">
        <x:v>0.5167116247287462</x:v>
      </x:c>
      <x:c r="AC667" s="604" t="n"/>
      <x:c r="AD667" s="604" t="n"/>
      <x:c r="AE667" s="604" t="n">
        <x:v>0.2480551077521439</x:v>
      </x:c>
      <x:c r="AF667" s="604" t="n">
        <x:v>0.2352332675191098</x:v>
      </x:c>
      <x:c r="AG667" s="604" t="n">
        <x:v>0.05410847838781521</x:v>
      </x:c>
      <x:c r="AH667" s="604" t="n"/>
      <x:c r="AI667" s="604" t="n"/>
      <x:c r="AJ667" s="604" t="n">
        <x:v>0.05410847838781521</x:v>
      </x:c>
      <x:c r="AK667" s="604" t="n"/>
      <x:c r="AL667" s="604" t="n"/>
      <x:c r="AM667" s="604" t="n"/>
      <x:c r="AN667" s="604" t="inlineStr">
        <x:is>
          <x:t xml:space="preserve">EVALUATED</x:t>
        </x:is>
      </x:c>
      <x:c r="AO667" s="604" t="inlineStr">
        <x:is>
          <x:t xml:space="preserve">EDGE_BELOW_UNCERTAINTY_THRESHOLD、BUCKET_PRIOR_ONLY、INTENT_INTERPRETATION_ONLY、EXPERT_MARKET</x:t>
        </x:is>
      </x:c>
      <x:c r="AP667" s="604" t="inlineStr">
        <x:is>
          <x:t xml:space="preserve">a01aa287b6dee9caa812</x:t>
        </x:is>
      </x:c>
      <x:c r="AQ667" s="604" t="n">
        <x:v>0</x:v>
      </x:c>
      <x:c r="AR667" s="604" t="n"/>
      <x:c r="AS667" s="604" t="n">
        <x:v>0</x:v>
      </x:c>
      <x:c r="AT667" s="604" t="n">
        <x:v>0</x:v>
      </x:c>
      <x:c r="AU667" s="604" t="n">
        <x:v>0.9</x:v>
      </x:c>
      <x:c r="AV667" s="604" t="n">
        <x:v>0.8</x:v>
      </x:c>
      <x:c r="AW667" s="604" t="n">
        <x:v>46297.01241842593</x:v>
      </x:c>
      <x:c r="AX667" s="604" t="inlineStr">
        <x:is>
          <x:t xml:space="preserve">https://simondongxiao.github.io/odds/v4/</x:t>
        </x:is>
      </x:c>
      <x:c r="AY667" s="604" t="inlineStr">
        <x:is>
          <x:t xml:space="preserve">V4 Shadow Only；real_money=false；P(EV&gt;0)不是比赛胜率</x:t>
        </x:is>
      </x:c>
    </x:row>
    <x:row r="668" ht="22" customHeight="1">
      <x:c r="A668" s="604" t="inlineStr">
        <x:is>
          <x:t xml:space="preserve">2026-10-02</x:t>
        </x:is>
      </x:c>
      <x:c r="B668" s="604" t="inlineStr">
        <x:is>
          <x:t xml:space="preserve">2026-10-03 02:45</x:t>
        </x:is>
      </x:c>
      <x:c r="C668" s="604" t="str">
        <x:v>欧洲非五大系列</x:v>
      </x:c>
      <x:c r="D668" s="604" t="inlineStr">
        <x:is>
          <x:t xml:space="preserve">联赛</x:t>
        </x:is>
      </x:c>
      <x:c r="E668" s="604" t="inlineStr">
        <x:is>
          <x:t xml:space="preserve">欧国联</x:t>
        </x:is>
      </x:c>
      <x:c r="F668" s="604" t="inlineStr">
        <x:is>
          <x:t xml:space="preserve">法国 vs 意大利</x:t>
        </x:is>
      </x:c>
      <x:c r="G668" s="604" t="n">
        <x:v>0.98</x:v>
      </x:c>
      <x:c r="H668" s="604" t="n">
        <x:v>1.25</x:v>
      </x:c>
      <x:c r="I668" s="604" t="n">
        <x:v>0.9</x:v>
      </x:c>
      <x:c r="J668" s="604" t="inlineStr">
        <x:is>
          <x:t xml:space="preserve">0.98/1.25/0.9</x:t>
        </x:is>
      </x:c>
      <x:c r="K668" s="604" t="inlineStr">
        <x:is>
          <x:t xml:space="preserve">V4-B｜EV +0.1007</x:t>
        </x:is>
      </x:c>
      <x:c r="L668" s="604" t="inlineStr">
        <x:is>
          <x:t xml:space="preserve">法国</x:t>
        </x:is>
      </x:c>
      <x:c r="M668" s="604" t="n">
        <x:v>0.5631745490871477</x:v>
      </x:c>
      <x:c r="N668" s="604" t="inlineStr">
        <x:is>
          <x:t xml:space="preserve">V4纸面入选-B</x:t>
        </x:is>
      </x:c>
      <x:c r="O668" s="604" t="inlineStr">
        <x:is>
          <x:t xml:space="preserve">1-1</x:t>
        </x:is>
      </x:c>
      <x:c r="P668" s="604" t="inlineStr">
        <x:is>
          <x:t xml:space="preserve">已结算</x:t>
        </x:is>
      </x:c>
      <x:c r="Q668" s="646" t="inlineStr">
        <x:is>
          <x:t xml:space="preserve">黑</x:t>
        </x:is>
      </x:c>
      <x:c r="R668" s="604" t="n">
        <x:v>0.98</x:v>
      </x:c>
      <x:c r="S668" s="604" t="n">
        <x:f>IF(OR(Q668="",Q668="待结算"),"",IF(Q668="红",R668,IF(Q668="半红",R668*0.5,IF(Q668="走",0,IF(Q668="半黑",-0.5,-1)))))</x:f>
        <x:v>-1</x:v>
      </x:c>
      <x:c r="T668" s="604" t="inlineStr">
        <x:is>
          <x:t xml:space="preserve">https://m.titan007.com/analy/Analysis/2981445.htm</x:t>
        </x:is>
      </x:c>
      <x:c r="U668" s="645" t="str">
        <x:f>IF(Q668="","",IF(Q668="待结算","待结算",IF(Q668="红","黑",IF(Q668="半红","半黑",IF(Q668="走","走",IF(Q668="半黑","半红","红"))))))</x:f>
        <x:v>红</x:v>
      </x:c>
      <x:c r="V668" s="604" t="n">
        <x:f>IF(OR(Q668="",Q668="待结算"),"",IF(L668=LEFT(F668,FIND(" vs ",F668)-1),I668,G668))</x:f>
        <x:v>0.9</x:v>
      </x:c>
      <x:c r="W668" s="604" t="n">
        <x:f>IF(OR(U668="",U668="待结算"),"",IF(U668="红",V668,IF(U668="半红",V668*0.5,IF(U668="走",0,IF(U668="半黑",-0.5,-1)))))</x:f>
        <x:v>0.9</x:v>
      </x:c>
      <x:c r="X668" s="604" t="inlineStr">
        <x:is>
          <x:t xml:space="preserve">2981445</x:t>
        </x:is>
      </x:c>
      <x:c r="Y668" s="604" t="inlineStr">
        <x:is>
          <x:t xml:space="preserve">V4</x:t>
        </x:is>
      </x:c>
      <x:c r="Z668" s="604" t="inlineStr">
        <x:is>
          <x:t xml:space="preserve">prior-2026-10-02-v1</x:t>
        </x:is>
      </x:c>
      <x:c r="AA668" s="604" t="inlineStr">
        <x:is>
          <x:t xml:space="preserve">B</x:t>
        </x:is>
      </x:c>
      <x:c r="AB668" s="604" t="n">
        <x:v>0.4927250427431271</x:v>
      </x:c>
      <x:c r="AC668" s="604" t="n"/>
      <x:c r="AD668" s="604" t="n"/>
      <x:c r="AE668" s="604" t="n">
        <x:v>0.2501871096917025</x:v>
      </x:c>
      <x:c r="AF668" s="604" t="n">
        <x:v>0.2570878475651704</x:v>
      </x:c>
      <x:c r="AG668" s="604" t="n">
        <x:v>0.1006891394772428</x:v>
      </x:c>
      <x:c r="AH668" s="604" t="n"/>
      <x:c r="AI668" s="604" t="n"/>
      <x:c r="AJ668" s="604" t="n">
        <x:v>0.1006891394772428</x:v>
      </x:c>
      <x:c r="AK668" s="604" t="n"/>
      <x:c r="AL668" s="604" t="n"/>
      <x:c r="AM668" s="604" t="n"/>
      <x:c r="AN668" s="604" t="inlineStr">
        <x:is>
          <x:t xml:space="preserve">EVALUATED</x:t>
        </x:is>
      </x:c>
      <x:c r="AO668" s="604" t="inlineStr">
        <x:is>
          <x:t xml:space="preserve">GIVING_VALIDATED_EDGE、BUCKET_PRIOR_ONLY、INTENT_INTERPRETATION_ONLY、EXPERT_MARKET</x:t>
        </x:is>
      </x:c>
      <x:c r="AP668" s="604" t="inlineStr">
        <x:is>
          <x:t xml:space="preserve">6ef9720e409b316eca00</x:t>
        </x:is>
      </x:c>
      <x:c r="AQ668" s="604" t="n">
        <x:v>-1.25</x:v>
      </x:c>
      <x:c r="AR668" s="604" t="n">
        <x:v>0.98</x:v>
      </x:c>
      <x:c r="AS668" s="604" t="n">
        <x:v>1.25</x:v>
      </x:c>
      <x:c r="AT668" s="604" t="n">
        <x:v>-1.25</x:v>
      </x:c>
      <x:c r="AU668" s="604" t="n">
        <x:v>0.98</x:v>
      </x:c>
      <x:c r="AV668" s="604" t="n">
        <x:v>0.9</x:v>
      </x:c>
      <x:c r="AW668" s="604" t="n">
        <x:v>46297.01241842593</x:v>
      </x:c>
      <x:c r="AX668" s="604" t="inlineStr">
        <x:is>
          <x:t xml:space="preserve">https://simondongxiao.github.io/odds/v4/</x:t>
        </x:is>
      </x:c>
      <x:c r="AY668" s="604" t="inlineStr">
        <x:is>
          <x:t xml:space="preserve">V4 Shadow Only；real_money=false；P(EV&gt;0)不是比赛胜率</x:t>
        </x:is>
      </x:c>
    </x:row>
    <x:row r="669" ht="22" customHeight="1">
      <x:c r="A669" s="604" t="inlineStr">
        <x:is>
          <x:t xml:space="preserve">2026-10-02</x:t>
        </x:is>
      </x:c>
      <x:c r="B669" s="604" t="inlineStr">
        <x:is>
          <x:t xml:space="preserve">2026-10-03 02:45</x:t>
        </x:is>
      </x:c>
      <x:c r="C669" s="604" t="str">
        <x:v>欧洲非五大系列</x:v>
      </x:c>
      <x:c r="D669" s="604" t="inlineStr">
        <x:is>
          <x:t xml:space="preserve">联赛</x:t>
        </x:is>
      </x:c>
      <x:c r="E669" s="604" t="inlineStr">
        <x:is>
          <x:t xml:space="preserve">欧国联</x:t>
        </x:is>
      </x:c>
      <x:c r="F669" s="604" t="inlineStr">
        <x:is>
          <x:t xml:space="preserve">比利时 vs 土耳其</x:t>
        </x:is>
      </x:c>
      <x:c r="G669" s="604" t="n">
        <x:v>0.87</x:v>
      </x:c>
      <x:c r="H669" s="604" t="n">
        <x:v>1</x:v>
      </x:c>
      <x:c r="I669" s="604" t="n">
        <x:v>1.01</x:v>
      </x:c>
      <x:c r="J669" s="604" t="inlineStr">
        <x:is>
          <x:t xml:space="preserve">0.87/1/1.01</x:t>
        </x:is>
      </x:c>
      <x:c r="K669" s="604" t="inlineStr">
        <x:is>
          <x:t xml:space="preserve">V4-B｜EV +0.0995</x:t>
        </x:is>
      </x:c>
      <x:c r="L669" s="604" t="inlineStr">
        <x:is>
          <x:t xml:space="preserve">比利时</x:t>
        </x:is>
      </x:c>
      <x:c r="M669" s="604" t="n">
        <x:v>0.6060149258953826</x:v>
      </x:c>
      <x:c r="N669" s="604" t="inlineStr">
        <x:is>
          <x:t xml:space="preserve">V4纸面入选-B</x:t>
        </x:is>
      </x:c>
      <x:c r="O669" s="604" t="inlineStr">
        <x:is>
          <x:t xml:space="preserve">3-0</x:t>
        </x:is>
      </x:c>
      <x:c r="P669" s="604" t="inlineStr">
        <x:is>
          <x:t xml:space="preserve">已结算</x:t>
        </x:is>
      </x:c>
      <x:c r="Q669" s="645" t="inlineStr">
        <x:is>
          <x:t xml:space="preserve">红</x:t>
        </x:is>
      </x:c>
      <x:c r="R669" s="604" t="n">
        <x:v>0.87</x:v>
      </x:c>
      <x:c r="S669" s="604" t="n">
        <x:f>IF(OR(Q669="",Q669="待结算"),"",IF(Q669="红",R669,IF(Q669="半红",R669*0.5,IF(Q669="走",0,IF(Q669="半黑",-0.5,-1)))))</x:f>
        <x:v>0.87</x:v>
      </x:c>
      <x:c r="T669" s="604" t="inlineStr">
        <x:is>
          <x:t xml:space="preserve">https://m.titan007.com/analy/Analysis/2981446.htm</x:t>
        </x:is>
      </x:c>
      <x:c r="U669" s="646" t="str">
        <x:f>IF(Q669="","",IF(Q669="待结算","待结算",IF(Q669="红","黑",IF(Q669="半红","半黑",IF(Q669="走","走",IF(Q669="半黑","半红","红"))))))</x:f>
        <x:v>黑</x:v>
      </x:c>
      <x:c r="V669" s="604" t="n">
        <x:f>IF(OR(Q669="",Q669="待结算"),"",IF(L669=LEFT(F669,FIND(" vs ",F669)-1),I669,G669))</x:f>
        <x:v>1.01</x:v>
      </x:c>
      <x:c r="W669" s="604" t="n">
        <x:f>IF(OR(U669="",U669="待结算"),"",IF(U669="红",V669,IF(U669="半红",V669*0.5,IF(U669="走",0,IF(U669="半黑",-0.5,-1)))))</x:f>
        <x:v>-1</x:v>
      </x:c>
      <x:c r="X669" s="604" t="inlineStr">
        <x:is>
          <x:t xml:space="preserve">2981446</x:t>
        </x:is>
      </x:c>
      <x:c r="Y669" s="604" t="inlineStr">
        <x:is>
          <x:t xml:space="preserve">V4</x:t>
        </x:is>
      </x:c>
      <x:c r="Z669" s="604" t="inlineStr">
        <x:is>
          <x:t xml:space="preserve">prior-2026-10-02-v1</x:t>
        </x:is>
      </x:c>
      <x:c r="AA669" s="604" t="inlineStr">
        <x:is>
          <x:t xml:space="preserve">B</x:t>
        </x:is>
      </x:c>
      <x:c r="AB669" s="604" t="n">
        <x:v>0.4523318498403794</x:v>
      </x:c>
      <x:c r="AC669" s="604" t="n"/>
      <x:c r="AD669" s="604" t="n">
        <x:v>0.2535961896118939</x:v>
      </x:c>
      <x:c r="AE669" s="604" t="n"/>
      <x:c r="AF669" s="604" t="n">
        <x:v>0.2940719605477267</x:v>
      </x:c>
      <x:c r="AG669" s="604" t="n">
        <x:v>0.09945674881340338</x:v>
      </x:c>
      <x:c r="AH669" s="604" t="n"/>
      <x:c r="AI669" s="604" t="n"/>
      <x:c r="AJ669" s="604" t="n">
        <x:v>0.09945674881340338</x:v>
      </x:c>
      <x:c r="AK669" s="604" t="n"/>
      <x:c r="AL669" s="604" t="n"/>
      <x:c r="AM669" s="604" t="n"/>
      <x:c r="AN669" s="604" t="inlineStr">
        <x:is>
          <x:t xml:space="preserve">EVALUATED</x:t>
        </x:is>
      </x:c>
      <x:c r="AO669" s="604" t="inlineStr">
        <x:is>
          <x:t xml:space="preserve">GIVING_VALIDATED_EDGE、BUCKET_PRIOR_ONLY、INTENT_INTERPRETATION_ONLY、EXPERT_MARKET</x:t>
        </x:is>
      </x:c>
      <x:c r="AP669" s="604" t="inlineStr">
        <x:is>
          <x:t xml:space="preserve">64fe50e7aee4444a808c</x:t>
        </x:is>
      </x:c>
      <x:c r="AQ669" s="604" t="n">
        <x:v>-1</x:v>
      </x:c>
      <x:c r="AR669" s="604" t="n">
        <x:v>0.87</x:v>
      </x:c>
      <x:c r="AS669" s="604" t="n">
        <x:v>1</x:v>
      </x:c>
      <x:c r="AT669" s="604" t="n">
        <x:v>-1</x:v>
      </x:c>
      <x:c r="AU669" s="604" t="n">
        <x:v>0.87</x:v>
      </x:c>
      <x:c r="AV669" s="604" t="n">
        <x:v>1.01</x:v>
      </x:c>
      <x:c r="AW669" s="604" t="n">
        <x:v>46297.01241842593</x:v>
      </x:c>
      <x:c r="AX669" s="604" t="inlineStr">
        <x:is>
          <x:t xml:space="preserve">https://simondongxiao.github.io/odds/v4/</x:t>
        </x:is>
      </x:c>
      <x:c r="AY669" s="604" t="inlineStr">
        <x:is>
          <x:t xml:space="preserve">V4 Shadow Only；real_money=false；P(EV&gt;0)不是比赛胜率</x:t>
        </x:is>
      </x:c>
    </x:row>
    <x:row r="670" ht="22" customHeight="1">
      <x:c r="A670" s="604" t="inlineStr">
        <x:is>
          <x:t xml:space="preserve">2026-10-02</x:t>
        </x:is>
      </x:c>
      <x:c r="B670" s="604" t="inlineStr">
        <x:is>
          <x:t xml:space="preserve">2026-10-03 02:45</x:t>
        </x:is>
      </x:c>
      <x:c r="C670" s="604" t="str">
        <x:v>欧洲非五大系列</x:v>
      </x:c>
      <x:c r="D670" s="604" t="inlineStr">
        <x:is>
          <x:t xml:space="preserve">联赛</x:t>
        </x:is>
      </x:c>
      <x:c r="E670" s="604" t="inlineStr">
        <x:is>
          <x:t xml:space="preserve">欧国联</x:t>
        </x:is>
      </x:c>
      <x:c r="F670" s="604" t="inlineStr">
        <x:is>
          <x:t xml:space="preserve">乌克兰(中) vs 北爱尔兰</x:t>
        </x:is>
      </x:c>
      <x:c r="G670" s="604" t="n">
        <x:v>0.93</x:v>
      </x:c>
      <x:c r="H670" s="604" t="n">
        <x:v>0.5</x:v>
      </x:c>
      <x:c r="I670" s="604" t="n">
        <x:v>0.95</x:v>
      </x:c>
      <x:c r="J670" s="604" t="inlineStr">
        <x:is>
          <x:t xml:space="preserve">0.93/0.5/0.95</x:t>
        </x:is>
      </x:c>
      <x:c r="K670" s="604" t="inlineStr">
        <x:is>
          <x:t xml:space="preserve">V4-B｜EV +0.1006</x:t>
        </x:is>
      </x:c>
      <x:c r="L670" s="604" t="inlineStr">
        <x:is>
          <x:t xml:space="preserve">乌克兰(中)</x:t>
        </x:is>
      </x:c>
      <x:c r="M670" s="604" t="n">
        <x:v>0.5702599488531637</x:v>
      </x:c>
      <x:c r="N670" s="604" t="inlineStr">
        <x:is>
          <x:t xml:space="preserve">V4纸面入选-B</x:t>
        </x:is>
      </x:c>
      <x:c r="O670" s="604" t="inlineStr">
        <x:is>
          <x:t xml:space="preserve">0-3</x:t>
        </x:is>
      </x:c>
      <x:c r="P670" s="604" t="inlineStr">
        <x:is>
          <x:t xml:space="preserve">已结算</x:t>
        </x:is>
      </x:c>
      <x:c r="Q670" s="646" t="inlineStr">
        <x:is>
          <x:t xml:space="preserve">黑</x:t>
        </x:is>
      </x:c>
      <x:c r="R670" s="604" t="n">
        <x:v>0.93</x:v>
      </x:c>
      <x:c r="S670" s="604" t="n">
        <x:f>IF(OR(Q670="",Q670="待结算"),"",IF(Q670="红",R670,IF(Q670="半红",R670*0.5,IF(Q670="走",0,IF(Q670="半黑",-0.5,-1)))))</x:f>
        <x:v>-1</x:v>
      </x:c>
      <x:c r="T670" s="604" t="inlineStr">
        <x:is>
          <x:t xml:space="preserve">https://m.titan007.com/analy/Analysis/2981493.htm</x:t>
        </x:is>
      </x:c>
      <x:c r="U670" s="645" t="str">
        <x:f>IF(Q670="","",IF(Q670="待结算","待结算",IF(Q670="红","黑",IF(Q670="半红","半黑",IF(Q670="走","走",IF(Q670="半黑","半红","红"))))))</x:f>
        <x:v>红</x:v>
      </x:c>
      <x:c r="V670" s="604" t="n">
        <x:f>IF(OR(Q670="",Q670="待结算"),"",IF(L670=LEFT(F670,FIND(" vs ",F670)-1),I670,G670))</x:f>
        <x:v>0.95</x:v>
      </x:c>
      <x:c r="W670" s="604" t="n">
        <x:f>IF(OR(U670="",U670="待结算"),"",IF(U670="红",V670,IF(U670="半红",V670*0.5,IF(U670="走",0,IF(U670="半黑",-0.5,-1)))))</x:f>
        <x:v>0.95</x:v>
      </x:c>
      <x:c r="X670" s="604" t="inlineStr">
        <x:is>
          <x:t xml:space="preserve">2981493</x:t>
        </x:is>
      </x:c>
      <x:c r="Y670" s="604" t="inlineStr">
        <x:is>
          <x:t xml:space="preserve">V4</x:t>
        </x:is>
      </x:c>
      <x:c r="Z670" s="604" t="inlineStr">
        <x:is>
          <x:t xml:space="preserve">prior-2026-10-02-v1</x:t>
        </x:is>
      </x:c>
      <x:c r="AA670" s="604" t="inlineStr">
        <x:is>
          <x:t xml:space="preserve">B</x:t>
        </x:is>
      </x:c>
      <x:c r="AB670" s="604" t="n">
        <x:v>0.5702599488531637</x:v>
      </x:c>
      <x:c r="AC670" s="604" t="n"/>
      <x:c r="AD670" s="604" t="n"/>
      <x:c r="AE670" s="604" t="n"/>
      <x:c r="AF670" s="604" t="n">
        <x:v>0.4297400511468363</x:v>
      </x:c>
      <x:c r="AG670" s="604" t="n">
        <x:v>0.1006017012866059</x:v>
      </x:c>
      <x:c r="AH670" s="604" t="n"/>
      <x:c r="AI670" s="604" t="n"/>
      <x:c r="AJ670" s="604" t="n">
        <x:v>0.1006017012866059</x:v>
      </x:c>
      <x:c r="AK670" s="604" t="n"/>
      <x:c r="AL670" s="604" t="n"/>
      <x:c r="AM670" s="604" t="n"/>
      <x:c r="AN670" s="604" t="inlineStr">
        <x:is>
          <x:t xml:space="preserve">EVALUATED</x:t>
        </x:is>
      </x:c>
      <x:c r="AO670" s="604" t="inlineStr">
        <x:is>
          <x:t xml:space="preserve">GIVING_VALIDATED_EDGE、BUCKET_PRIOR_ONLY、INTENT_INTERPRETATION_ONLY、EXPERT_MARKET</x:t>
        </x:is>
      </x:c>
      <x:c r="AP670" s="604" t="inlineStr">
        <x:is>
          <x:t xml:space="preserve">cdfbc393f624e036e0d3</x:t>
        </x:is>
      </x:c>
      <x:c r="AQ670" s="604" t="n">
        <x:v>-0.5</x:v>
      </x:c>
      <x:c r="AR670" s="604" t="n">
        <x:v>0.93</x:v>
      </x:c>
      <x:c r="AS670" s="604" t="n">
        <x:v>0.5</x:v>
      </x:c>
      <x:c r="AT670" s="604" t="n">
        <x:v>-0.5</x:v>
      </x:c>
      <x:c r="AU670" s="604" t="n">
        <x:v>0.93</x:v>
      </x:c>
      <x:c r="AV670" s="604" t="n">
        <x:v>0.95</x:v>
      </x:c>
      <x:c r="AW670" s="604" t="n">
        <x:v>46297.01241842593</x:v>
      </x:c>
      <x:c r="AX670" s="604" t="inlineStr">
        <x:is>
          <x:t xml:space="preserve">https://simondongxiao.github.io/odds/v4/</x:t>
        </x:is>
      </x:c>
      <x:c r="AY670" s="604" t="inlineStr">
        <x:is>
          <x:t xml:space="preserve">V4 Shadow Only；real_money=false；P(EV&gt;0)不是比赛胜率</x:t>
        </x:is>
      </x:c>
    </x:row>
    <x:row r="671" ht="22" customHeight="1">
      <x:c r="A671" s="604" t="inlineStr">
        <x:is>
          <x:t xml:space="preserve">2026-10-02</x:t>
        </x:is>
      </x:c>
      <x:c r="B671" s="604" t="inlineStr">
        <x:is>
          <x:t xml:space="preserve">2026-10-03 02:45</x:t>
        </x:is>
      </x:c>
      <x:c r="C671" s="604" t="str">
        <x:v>欧洲非五大系列</x:v>
      </x:c>
      <x:c r="D671" s="604" t="inlineStr">
        <x:is>
          <x:t xml:space="preserve">联赛</x:t>
        </x:is>
      </x:c>
      <x:c r="E671" s="604" t="inlineStr">
        <x:is>
          <x:t xml:space="preserve">欧国联</x:t>
        </x:is>
      </x:c>
      <x:c r="F671" s="604" t="inlineStr">
        <x:is>
          <x:t xml:space="preserve">匈牙利 vs 格鲁吉亚</x:t>
        </x:is>
      </x:c>
      <x:c r="G671" s="604" t="n">
        <x:v>1.08</x:v>
      </x:c>
      <x:c r="H671" s="604" t="n">
        <x:v>0.5</x:v>
      </x:c>
      <x:c r="I671" s="604" t="n">
        <x:v>0.8</x:v>
      </x:c>
      <x:c r="J671" s="604" t="inlineStr">
        <x:is>
          <x:t xml:space="preserve">1.08/0.5/0.8</x:t>
        </x:is>
      </x:c>
      <x:c r="K671" s="604" t="inlineStr">
        <x:is>
          <x:t xml:space="preserve">V4-B｜EV +0.0924</x:t>
        </x:is>
      </x:c>
      <x:c r="L671" s="604" t="inlineStr">
        <x:is>
          <x:t xml:space="preserve">匈牙利</x:t>
        </x:is>
      </x:c>
      <x:c r="M671" s="604" t="n">
        <x:v>0.5251958010582364</x:v>
      </x:c>
      <x:c r="N671" s="604" t="inlineStr">
        <x:is>
          <x:t xml:space="preserve">V4纸面入选-B</x:t>
        </x:is>
      </x:c>
      <x:c r="O671" s="604" t="inlineStr">
        <x:is>
          <x:t xml:space="preserve">1-0</x:t>
        </x:is>
      </x:c>
      <x:c r="P671" s="604" t="inlineStr">
        <x:is>
          <x:t xml:space="preserve">已结算</x:t>
        </x:is>
      </x:c>
      <x:c r="Q671" s="645" t="inlineStr">
        <x:is>
          <x:t xml:space="preserve">红</x:t>
        </x:is>
      </x:c>
      <x:c r="R671" s="604" t="n">
        <x:v>1.08</x:v>
      </x:c>
      <x:c r="S671" s="604" t="n">
        <x:f>IF(OR(Q671="",Q671="待结算"),"",IF(Q671="红",R671,IF(Q671="半红",R671*0.5,IF(Q671="走",0,IF(Q671="半黑",-0.5,-1)))))</x:f>
        <x:v>1.08</x:v>
      </x:c>
      <x:c r="T671" s="604" t="inlineStr">
        <x:is>
          <x:t xml:space="preserve">https://m.titan007.com/analy/Analysis/2981494.htm</x:t>
        </x:is>
      </x:c>
      <x:c r="U671" s="646" t="str">
        <x:f>IF(Q671="","",IF(Q671="待结算","待结算",IF(Q671="红","黑",IF(Q671="半红","半黑",IF(Q671="走","走",IF(Q671="半黑","半红","红"))))))</x:f>
        <x:v>黑</x:v>
      </x:c>
      <x:c r="V671" s="604" t="n">
        <x:f>IF(OR(Q671="",Q671="待结算"),"",IF(L671=LEFT(F671,FIND(" vs ",F671)-1),I671,G671))</x:f>
        <x:v>0.8</x:v>
      </x:c>
      <x:c r="W671" s="604" t="n">
        <x:f>IF(OR(U671="",U671="待结算"),"",IF(U671="红",V671,IF(U671="半红",V671*0.5,IF(U671="走",0,IF(U671="半黑",-0.5,-1)))))</x:f>
        <x:v>-1</x:v>
      </x:c>
      <x:c r="X671" s="604" t="inlineStr">
        <x:is>
          <x:t xml:space="preserve">2981494</x:t>
        </x:is>
      </x:c>
      <x:c r="Y671" s="604" t="inlineStr">
        <x:is>
          <x:t xml:space="preserve">V4</x:t>
        </x:is>
      </x:c>
      <x:c r="Z671" s="604" t="inlineStr">
        <x:is>
          <x:t xml:space="preserve">prior-2026-10-02-v1</x:t>
        </x:is>
      </x:c>
      <x:c r="AA671" s="604" t="inlineStr">
        <x:is>
          <x:t xml:space="preserve">B</x:t>
        </x:is>
      </x:c>
      <x:c r="AB671" s="604" t="n">
        <x:v>0.5251958010582364</x:v>
      </x:c>
      <x:c r="AC671" s="604" t="n"/>
      <x:c r="AD671" s="604" t="n"/>
      <x:c r="AE671" s="604" t="n"/>
      <x:c r="AF671" s="604" t="n">
        <x:v>0.4748041989417637</x:v>
      </x:c>
      <x:c r="AG671" s="604" t="n">
        <x:v>0.09240726620113165</x:v>
      </x:c>
      <x:c r="AH671" s="604" t="n"/>
      <x:c r="AI671" s="604" t="n"/>
      <x:c r="AJ671" s="604" t="n">
        <x:v>0.09240726620113165</x:v>
      </x:c>
      <x:c r="AK671" s="604" t="n"/>
      <x:c r="AL671" s="604" t="n"/>
      <x:c r="AM671" s="604" t="n"/>
      <x:c r="AN671" s="604" t="inlineStr">
        <x:is>
          <x:t xml:space="preserve">EVALUATED</x:t>
        </x:is>
      </x:c>
      <x:c r="AO671" s="604" t="inlineStr">
        <x:is>
          <x:t xml:space="preserve">GIVING_VALIDATED_EDGE、BUCKET_PRIOR_ONLY、INTENT_INTERPRETATION_ONLY、EXPERT_MARKET</x:t>
        </x:is>
      </x:c>
      <x:c r="AP671" s="604" t="inlineStr">
        <x:is>
          <x:t xml:space="preserve">a945918921c34f15fc16</x:t>
        </x:is>
      </x:c>
      <x:c r="AQ671" s="604" t="n">
        <x:v>-0.5</x:v>
      </x:c>
      <x:c r="AR671" s="604" t="n">
        <x:v>1.08</x:v>
      </x:c>
      <x:c r="AS671" s="604" t="n">
        <x:v>0.5</x:v>
      </x:c>
      <x:c r="AT671" s="604" t="n">
        <x:v>-0.5</x:v>
      </x:c>
      <x:c r="AU671" s="604" t="n">
        <x:v>1.08</x:v>
      </x:c>
      <x:c r="AV671" s="604" t="n">
        <x:v>0.8</x:v>
      </x:c>
      <x:c r="AW671" s="604" t="n">
        <x:v>46297.01241842593</x:v>
      </x:c>
      <x:c r="AX671" s="604" t="inlineStr">
        <x:is>
          <x:t xml:space="preserve">https://simondongxiao.github.io/odds/v4/</x:t>
        </x:is>
      </x:c>
      <x:c r="AY671" s="604" t="inlineStr">
        <x:is>
          <x:t xml:space="preserve">V4 Shadow Only；real_money=false；P(EV&gt;0)不是比赛胜率</x:t>
        </x:is>
      </x:c>
    </x:row>
    <x:row r="672" ht="22" customHeight="1">
      <x:c r="A672" s="604" t="inlineStr">
        <x:is>
          <x:t xml:space="preserve">2026-10-02</x:t>
        </x:is>
      </x:c>
      <x:c r="B672" s="604" t="inlineStr">
        <x:is>
          <x:t xml:space="preserve">2026-10-03 02:45</x:t>
        </x:is>
      </x:c>
      <x:c r="C672" s="604" t="str">
        <x:v>欧洲非五大系列</x:v>
      </x:c>
      <x:c r="D672" s="604" t="inlineStr">
        <x:is>
          <x:t xml:space="preserve">联赛</x:t>
        </x:is>
      </x:c>
      <x:c r="E672" s="604" t="inlineStr">
        <x:is>
          <x:t xml:space="preserve">欧国联</x:t>
        </x:is>
      </x:c>
      <x:c r="F672" s="604" t="inlineStr">
        <x:is>
          <x:t xml:space="preserve">波兰 vs 罗马尼亚</x:t>
        </x:is>
      </x:c>
      <x:c r="G672" s="604" t="n">
        <x:v>0.89</x:v>
      </x:c>
      <x:c r="H672" s="604" t="n">
        <x:v>1</x:v>
      </x:c>
      <x:c r="I672" s="604" t="n">
        <x:v>0.99</x:v>
      </x:c>
      <x:c r="J672" s="604" t="inlineStr">
        <x:is>
          <x:t xml:space="preserve">0.89/1/0.99</x:t>
        </x:is>
      </x:c>
      <x:c r="K672" s="604" t="inlineStr">
        <x:is>
          <x:t xml:space="preserve">V4-B｜EV +0.0869</x:t>
        </x:is>
      </x:c>
      <x:c r="L672" s="604" t="inlineStr">
        <x:is>
          <x:t xml:space="preserve">波兰</x:t>
        </x:is>
      </x:c>
      <x:c r="M672" s="604" t="n">
        <x:v>0.5908756679825601</x:v>
      </x:c>
      <x:c r="N672" s="604" t="inlineStr">
        <x:is>
          <x:t xml:space="preserve">V4纸面入选-B</x:t>
        </x:is>
      </x:c>
      <x:c r="O672" s="604" t="inlineStr">
        <x:is>
          <x:t xml:space="preserve">6-0</x:t>
        </x:is>
      </x:c>
      <x:c r="P672" s="604" t="inlineStr">
        <x:is>
          <x:t xml:space="preserve">已结算</x:t>
        </x:is>
      </x:c>
      <x:c r="Q672" s="645" t="inlineStr">
        <x:is>
          <x:t xml:space="preserve">红</x:t>
        </x:is>
      </x:c>
      <x:c r="R672" s="604" t="n">
        <x:v>0.89</x:v>
      </x:c>
      <x:c r="S672" s="604" t="n">
        <x:f>IF(OR(Q672="",Q672="待结算"),"",IF(Q672="红",R672,IF(Q672="半红",R672*0.5,IF(Q672="走",0,IF(Q672="半黑",-0.5,-1)))))</x:f>
        <x:v>0.89</x:v>
      </x:c>
      <x:c r="T672" s="604" t="inlineStr">
        <x:is>
          <x:t xml:space="preserve">https://m.titan007.com/analy/Analysis/2981495.htm</x:t>
        </x:is>
      </x:c>
      <x:c r="U672" s="646" t="str">
        <x:f>IF(Q672="","",IF(Q672="待结算","待结算",IF(Q672="红","黑",IF(Q672="半红","半黑",IF(Q672="走","走",IF(Q672="半黑","半红","红"))))))</x:f>
        <x:v>黑</x:v>
      </x:c>
      <x:c r="V672" s="604" t="n">
        <x:f>IF(OR(Q672="",Q672="待结算"),"",IF(L672=LEFT(F672,FIND(" vs ",F672)-1),I672,G672))</x:f>
        <x:v>0.99</x:v>
      </x:c>
      <x:c r="W672" s="604" t="n">
        <x:f>IF(OR(U672="",U672="待结算"),"",IF(U672="红",V672,IF(U672="半红",V672*0.5,IF(U672="走",0,IF(U672="半黑",-0.5,-1)))))</x:f>
        <x:v>-1</x:v>
      </x:c>
      <x:c r="X672" s="604" t="inlineStr">
        <x:is>
          <x:t xml:space="preserve">2981495</x:t>
        </x:is>
      </x:c>
      <x:c r="Y672" s="604" t="inlineStr">
        <x:is>
          <x:t xml:space="preserve">V4</x:t>
        </x:is>
      </x:c>
      <x:c r="Z672" s="604" t="inlineStr">
        <x:is>
          <x:t xml:space="preserve">prior-2026-10-02-v1</x:t>
        </x:is>
      </x:c>
      <x:c r="AA672" s="604" t="inlineStr">
        <x:is>
          <x:t xml:space="preserve">B</x:t>
        </x:is>
      </x:c>
      <x:c r="AB672" s="604" t="n">
        <x:v>0.4397470435990605</x:v>
      </x:c>
      <x:c r="AC672" s="604" t="n"/>
      <x:c r="AD672" s="604" t="n">
        <x:v>0.2557706004369775</x:v>
      </x:c>
      <x:c r="AE672" s="604" t="n"/>
      <x:c r="AF672" s="604" t="n">
        <x:v>0.3044823559639619</x:v>
      </x:c>
      <x:c r="AG672" s="604" t="n">
        <x:v>0.08689251283920191</x:v>
      </x:c>
      <x:c r="AH672" s="604" t="n"/>
      <x:c r="AI672" s="604" t="n"/>
      <x:c r="AJ672" s="604" t="n">
        <x:v>0.08689251283920191</x:v>
      </x:c>
      <x:c r="AK672" s="604" t="n"/>
      <x:c r="AL672" s="604" t="n"/>
      <x:c r="AM672" s="604" t="n"/>
      <x:c r="AN672" s="604" t="inlineStr">
        <x:is>
          <x:t xml:space="preserve">EVALUATED</x:t>
        </x:is>
      </x:c>
      <x:c r="AO672" s="604" t="inlineStr">
        <x:is>
          <x:t xml:space="preserve">GIVING_VALIDATED_EDGE、BUCKET_PRIOR_ONLY、INTENT_INTERPRETATION_ONLY、EXPERT_MARKET</x:t>
        </x:is>
      </x:c>
      <x:c r="AP672" s="604" t="inlineStr">
        <x:is>
          <x:t xml:space="preserve">69efcc4d38f48be167f6</x:t>
        </x:is>
      </x:c>
      <x:c r="AQ672" s="604" t="n">
        <x:v>-1</x:v>
      </x:c>
      <x:c r="AR672" s="604" t="n">
        <x:v>0.89</x:v>
      </x:c>
      <x:c r="AS672" s="604" t="n">
        <x:v>1</x:v>
      </x:c>
      <x:c r="AT672" s="604" t="n">
        <x:v>-1</x:v>
      </x:c>
      <x:c r="AU672" s="604" t="n">
        <x:v>0.89</x:v>
      </x:c>
      <x:c r="AV672" s="604" t="n">
        <x:v>0.99</x:v>
      </x:c>
      <x:c r="AW672" s="604" t="n">
        <x:v>46297.01241842593</x:v>
      </x:c>
      <x:c r="AX672" s="604" t="inlineStr">
        <x:is>
          <x:t xml:space="preserve">https://simondongxiao.github.io/odds/v4/</x:t>
        </x:is>
      </x:c>
      <x:c r="AY672" s="604" t="inlineStr">
        <x:is>
          <x:t xml:space="preserve">V4 Shadow Only；real_money=false；P(EV&gt;0)不是比赛胜率</x:t>
        </x:is>
      </x:c>
    </x:row>
    <x:row r="673" ht="22" customHeight="1">
      <x:c r="A673" s="604" t="inlineStr">
        <x:is>
          <x:t xml:space="preserve">2026-10-02</x:t>
        </x:is>
      </x:c>
      <x:c r="B673" s="604" t="inlineStr">
        <x:is>
          <x:t xml:space="preserve">2026-10-03 02:45</x:t>
        </x:is>
      </x:c>
      <x:c r="C673" s="604" t="str">
        <x:v>欧洲非五大系列</x:v>
      </x:c>
      <x:c r="D673" s="604" t="inlineStr">
        <x:is>
          <x:t xml:space="preserve">联赛</x:t>
        </x:is>
      </x:c>
      <x:c r="E673" s="604" t="inlineStr">
        <x:is>
          <x:t xml:space="preserve">欧国联</x:t>
        </x:is>
      </x:c>
      <x:c r="F673" s="604" t="inlineStr">
        <x:is>
          <x:t xml:space="preserve">法罗群岛 vs 斯洛伐克</x:t>
        </x:is>
      </x:c>
      <x:c r="G673" s="604" t="n">
        <x:v>1.09</x:v>
      </x:c>
      <x:c r="H673" s="604" t="n">
        <x:v>-0.75</x:v>
      </x:c>
      <x:c r="I673" s="604" t="n">
        <x:v>0.79</x:v>
      </x:c>
      <x:c r="J673" s="604" t="inlineStr">
        <x:is>
          <x:t xml:space="preserve">1.09/-0.75/0.79</x:t>
        </x:is>
      </x:c>
      <x:c r="K673" s="604" t="inlineStr">
        <x:is>
          <x:t xml:space="preserve">V4-B｜EV +0.1356</x:t>
        </x:is>
      </x:c>
      <x:c r="L673" s="604" t="inlineStr">
        <x:is>
          <x:t xml:space="preserve">斯洛伐克</x:t>
        </x:is>
      </x:c>
      <x:c r="M673" s="604" t="n">
        <x:v>0.6455750881586092</x:v>
      </x:c>
      <x:c r="N673" s="604" t="inlineStr">
        <x:is>
          <x:t xml:space="preserve">V4纸面入选-B</x:t>
        </x:is>
      </x:c>
      <x:c r="O673" s="604" t="inlineStr">
        <x:is>
          <x:t xml:space="preserve">1-1</x:t>
        </x:is>
      </x:c>
      <x:c r="P673" s="604" t="inlineStr">
        <x:is>
          <x:t xml:space="preserve">已结算</x:t>
        </x:is>
      </x:c>
      <x:c r="Q673" s="646" t="inlineStr">
        <x:is>
          <x:t xml:space="preserve">黑</x:t>
        </x:is>
      </x:c>
      <x:c r="R673" s="604" t="n">
        <x:v>0.79</x:v>
      </x:c>
      <x:c r="S673" s="604" t="n">
        <x:f>IF(OR(Q673="",Q673="待结算"),"",IF(Q673="红",R673,IF(Q673="半红",R673*0.5,IF(Q673="走",0,IF(Q673="半黑",-0.5,-1)))))</x:f>
        <x:v>-1</x:v>
      </x:c>
      <x:c r="T673" s="604" t="inlineStr">
        <x:is>
          <x:t xml:space="preserve">https://m.titan007.com/analy/Analysis/2981542.htm</x:t>
        </x:is>
      </x:c>
      <x:c r="U673" s="645" t="str">
        <x:f>IF(Q673="","",IF(Q673="待结算","待结算",IF(Q673="红","黑",IF(Q673="半红","半黑",IF(Q673="走","走",IF(Q673="半黑","半红","红"))))))</x:f>
        <x:v>红</x:v>
      </x:c>
      <x:c r="V673" s="604" t="n">
        <x:f>IF(OR(Q673="",Q673="待结算"),"",IF(L673=LEFT(F673,FIND(" vs ",F673)-1),I673,G673))</x:f>
        <x:v>1.09</x:v>
      </x:c>
      <x:c r="W673" s="604" t="n">
        <x:f>IF(OR(U673="",U673="待结算"),"",IF(U673="红",V673,IF(U673="半红",V673*0.5,IF(U673="走",0,IF(U673="半黑",-0.5,-1)))))</x:f>
        <x:v>1.09</x:v>
      </x:c>
      <x:c r="X673" s="604" t="inlineStr">
        <x:is>
          <x:t xml:space="preserve">2981542</x:t>
        </x:is>
      </x:c>
      <x:c r="Y673" s="604" t="inlineStr">
        <x:is>
          <x:t xml:space="preserve">V4</x:t>
        </x:is>
      </x:c>
      <x:c r="Z673" s="604" t="inlineStr">
        <x:is>
          <x:t xml:space="preserve">prior-2026-10-02-v1</x:t>
        </x:is>
      </x:c>
      <x:c r="AA673" s="604" t="inlineStr">
        <x:is>
          <x:t xml:space="preserve">B</x:t>
        </x:is>
      </x:c>
      <x:c r="AB673" s="604" t="n">
        <x:v>0.4340351858148424</x:v>
      </x:c>
      <x:c r="AC673" s="604" t="n">
        <x:v>0.2571014885507036</x:v>
      </x:c>
      <x:c r="AD673" s="604" t="n"/>
      <x:c r="AE673" s="604" t="n"/>
      <x:c r="AF673" s="604" t="n">
        <x:v>0.3088633256344541</x:v>
      </x:c>
      <x:c r="AG673" s="604" t="n">
        <x:v>0.1355795591367994</x:v>
      </x:c>
      <x:c r="AH673" s="604" t="n"/>
      <x:c r="AI673" s="604" t="n"/>
      <x:c r="AJ673" s="604" t="n">
        <x:v>0.1355795591367994</x:v>
      </x:c>
      <x:c r="AK673" s="604" t="n"/>
      <x:c r="AL673" s="604" t="n"/>
      <x:c r="AM673" s="604" t="n"/>
      <x:c r="AN673" s="604" t="inlineStr">
        <x:is>
          <x:t xml:space="preserve">EVALUATED</x:t>
        </x:is>
      </x:c>
      <x:c r="AO673" s="604" t="inlineStr">
        <x:is>
          <x:t xml:space="preserve">GIVING_VALIDATED_EDGE、BUCKET_PRIOR_ONLY、INTENT_INTERPRETATION_ONLY、EXPERT_MARKET</x:t>
        </x:is>
      </x:c>
      <x:c r="AP673" s="604" t="inlineStr">
        <x:is>
          <x:t xml:space="preserve">2bfcb16d24ef639bb52b</x:t>
        </x:is>
      </x:c>
      <x:c r="AQ673" s="604" t="n">
        <x:v>-0.75</x:v>
      </x:c>
      <x:c r="AR673" s="604" t="n">
        <x:v>0.79</x:v>
      </x:c>
      <x:c r="AS673" s="604" t="n">
        <x:v>-0.75</x:v>
      </x:c>
      <x:c r="AT673" s="604" t="n">
        <x:v>0.75</x:v>
      </x:c>
      <x:c r="AU673" s="604" t="n">
        <x:v>1.09</x:v>
      </x:c>
      <x:c r="AV673" s="604" t="n">
        <x:v>0.79</x:v>
      </x:c>
      <x:c r="AW673" s="604" t="n">
        <x:v>46297.01241842593</x:v>
      </x:c>
      <x:c r="AX673" s="604" t="inlineStr">
        <x:is>
          <x:t xml:space="preserve">https://simondongxiao.github.io/odds/v4/</x:t>
        </x:is>
      </x:c>
      <x:c r="AY673" s="604" t="inlineStr">
        <x:is>
          <x:t xml:space="preserve">V4 Shadow Only；real_money=false；P(EV&gt;0)不是比赛胜率</x:t>
        </x:is>
      </x:c>
    </x:row>
    <x:row r="674" ht="22" customHeight="1">
      <x:c r="A674" s="604" t="inlineStr">
        <x:is>
          <x:t xml:space="preserve">2026-10-02</x:t>
        </x:is>
      </x:c>
      <x:c r="B674" s="604" t="inlineStr">
        <x:is>
          <x:t xml:space="preserve">2026-10-03 02:45</x:t>
        </x:is>
      </x:c>
      <x:c r="C674" s="604" t="str">
        <x:v>欧洲非五大系列</x:v>
      </x:c>
      <x:c r="D674" s="604" t="inlineStr">
        <x:is>
          <x:t xml:space="preserve">联赛</x:t>
        </x:is>
      </x:c>
      <x:c r="E674" s="604" t="inlineStr">
        <x:is>
          <x:t xml:space="preserve">欧青U21外</x:t>
        </x:is>
      </x:c>
      <x:c r="F674" s="604" t="inlineStr">
        <x:is>
          <x:t xml:space="preserve">英格兰U21 vs 斯洛伐克U21</x:t>
        </x:is>
      </x:c>
      <x:c r="G674" s="604" t="n">
        <x:v>0.91</x:v>
      </x:c>
      <x:c r="H674" s="604" t="n">
        <x:v>2</x:v>
      </x:c>
      <x:c r="I674" s="604" t="n">
        <x:v>0.91</x:v>
      </x:c>
      <x:c r="J674" s="604" t="inlineStr">
        <x:is>
          <x:t xml:space="preserve">0.91/2/0.91</x:t>
        </x:is>
      </x:c>
      <x:c r="K674" s="604" t="inlineStr">
        <x:is>
          <x:t xml:space="preserve">V4-C｜EV +0.0788</x:t>
        </x:is>
      </x:c>
      <x:c r="L674" s="604" t="inlineStr">
        <x:is>
          <x:t xml:space="preserve">英格兰U21</x:t>
        </x:is>
      </x:c>
      <x:c r="M674" s="604" t="n">
        <x:v>0.578254693225115</x:v>
      </x:c>
      <x:c r="N674" s="604" t="inlineStr">
        <x:is>
          <x:t xml:space="preserve">V4纸面入选-C</x:t>
        </x:is>
      </x:c>
      <x:c r="O674" s="604" t="inlineStr">
        <x:is>
          <x:t xml:space="preserve">0-0</x:t>
        </x:is>
      </x:c>
      <x:c r="P674" s="604" t="inlineStr">
        <x:is>
          <x:t xml:space="preserve">已结算</x:t>
        </x:is>
      </x:c>
      <x:c r="Q674" s="646" t="inlineStr">
        <x:is>
          <x:t xml:space="preserve">黑</x:t>
        </x:is>
      </x:c>
      <x:c r="R674" s="604" t="n">
        <x:v>0.91</x:v>
      </x:c>
      <x:c r="S674" s="604" t="n">
        <x:f>IF(OR(Q674="",Q674="待结算"),"",IF(Q674="红",R674,IF(Q674="半红",R674*0.5,IF(Q674="走",0,IF(Q674="半黑",-0.5,-1)))))</x:f>
        <x:v>-1</x:v>
      </x:c>
      <x:c r="T674" s="604" t="inlineStr">
        <x:is>
          <x:t xml:space="preserve">https://m.titan007.com/analy/Analysis/2781437.htm</x:t>
        </x:is>
      </x:c>
      <x:c r="U674" s="645" t="str">
        <x:f>IF(Q674="","",IF(Q674="待结算","待结算",IF(Q674="红","黑",IF(Q674="半红","半黑",IF(Q674="走","走",IF(Q674="半黑","半红","红"))))))</x:f>
        <x:v>红</x:v>
      </x:c>
      <x:c r="V674" s="604" t="n">
        <x:f>IF(OR(Q674="",Q674="待结算"),"",IF(L674=LEFT(F674,FIND(" vs ",F674)-1),I674,G674))</x:f>
        <x:v>0.91</x:v>
      </x:c>
      <x:c r="W674" s="604" t="n">
        <x:f>IF(OR(U674="",U674="待结算"),"",IF(U674="红",V674,IF(U674="半红",V674*0.5,IF(U674="走",0,IF(U674="半黑",-0.5,-1)))))</x:f>
        <x:v>0.91</x:v>
      </x:c>
      <x:c r="X674" s="604" t="inlineStr">
        <x:is>
          <x:t xml:space="preserve">2781437</x:t>
        </x:is>
      </x:c>
      <x:c r="Y674" s="604" t="inlineStr">
        <x:is>
          <x:t xml:space="preserve">V4</x:t>
        </x:is>
      </x:c>
      <x:c r="Z674" s="604" t="inlineStr">
        <x:is>
          <x:t xml:space="preserve">prior-2026-10-02-v1</x:t>
        </x:is>
      </x:c>
      <x:c r="AA674" s="604" t="inlineStr">
        <x:is>
          <x:t xml:space="preserve">C</x:t>
        </x:is>
      </x:c>
      <x:c r="AB674" s="604" t="n">
        <x:v>0.4359319280374241</x:v>
      </x:c>
      <x:c r="AC674" s="604" t="n"/>
      <x:c r="AD674" s="604" t="n">
        <x:v>0.2461247039672268</x:v>
      </x:c>
      <x:c r="AE674" s="604" t="n"/>
      <x:c r="AF674" s="604" t="n">
        <x:v>0.3179433679953491</x:v>
      </x:c>
      <x:c r="AG674" s="604" t="n">
        <x:v>0.07875468651870682</x:v>
      </x:c>
      <x:c r="AH674" s="604" t="n"/>
      <x:c r="AI674" s="604" t="n"/>
      <x:c r="AJ674" s="604" t="n">
        <x:v>0.07875468651870682</x:v>
      </x:c>
      <x:c r="AK674" s="604" t="n"/>
      <x:c r="AL674" s="604" t="n"/>
      <x:c r="AM674" s="604" t="n"/>
      <x:c r="AN674" s="604" t="inlineStr">
        <x:is>
          <x:t xml:space="preserve">EVALUATED</x:t>
        </x:is>
      </x:c>
      <x:c r="AO674" s="604" t="inlineStr">
        <x:is>
          <x:t xml:space="preserve">GIVING_VALIDATED_EDGE、BUCKET_PRIOR_ONLY、INTENT_INTERPRETATION_ONLY、EXPERT_MARKET</x:t>
        </x:is>
      </x:c>
      <x:c r="AP674" s="604" t="inlineStr">
        <x:is>
          <x:t xml:space="preserve">b2ed35f4cfa4bae463a3</x:t>
        </x:is>
      </x:c>
      <x:c r="AQ674" s="604" t="n">
        <x:v>-2</x:v>
      </x:c>
      <x:c r="AR674" s="604" t="n">
        <x:v>0.91</x:v>
      </x:c>
      <x:c r="AS674" s="604" t="n">
        <x:v>2</x:v>
      </x:c>
      <x:c r="AT674" s="604" t="n">
        <x:v>-2</x:v>
      </x:c>
      <x:c r="AU674" s="604" t="n">
        <x:v>0.91</x:v>
      </x:c>
      <x:c r="AV674" s="604" t="n">
        <x:v>0.91</x:v>
      </x:c>
      <x:c r="AW674" s="604" t="n">
        <x:v>46297.01241842593</x:v>
      </x:c>
      <x:c r="AX674" s="604" t="inlineStr">
        <x:is>
          <x:t xml:space="preserve">https://simondongxiao.github.io/odds/v4/</x:t>
        </x:is>
      </x:c>
      <x:c r="AY674" s="604" t="inlineStr">
        <x:is>
          <x:t xml:space="preserve">V4 Shadow Only；real_money=false；P(EV&gt;0)不是比赛胜率</x:t>
        </x:is>
      </x:c>
    </x:row>
    <x:row r="675" ht="22" customHeight="1">
      <x:c r="A675" s="604" t="inlineStr">
        <x:is>
          <x:t xml:space="preserve">2026-10-02</x:t>
        </x:is>
      </x:c>
      <x:c r="B675" s="604" t="inlineStr">
        <x:is>
          <x:t xml:space="preserve">2026-10-03 02:45</x:t>
        </x:is>
      </x:c>
      <x:c r="C675" s="604" t="str">
        <x:v>欧洲非五大系列</x:v>
      </x:c>
      <x:c r="D675" s="604" t="inlineStr">
        <x:is>
          <x:t xml:space="preserve">联赛</x:t>
        </x:is>
      </x:c>
      <x:c r="E675" s="604" t="inlineStr">
        <x:is>
          <x:t xml:space="preserve">爱甲</x:t>
        </x:is>
      </x:c>
      <x:c r="F675" s="604" t="inlineStr">
        <x:is>
          <x:t xml:space="preserve">阿斯隆城 vs 科克城</x:t>
        </x:is>
      </x:c>
      <x:c r="G675" s="604" t="n">
        <x:v>0.82</x:v>
      </x:c>
      <x:c r="H675" s="604" t="n">
        <x:v>0</x:v>
      </x:c>
      <x:c r="I675" s="604" t="n">
        <x:v>0.9399999999999999</x:v>
      </x:c>
      <x:c r="J675" s="604" t="inlineStr">
        <x:is>
          <x:t xml:space="preserve">0.82/0/0.94</x:t>
        </x:is>
      </x:c>
      <x:c r="K675" s="604" t="inlineStr">
        <x:is>
          <x:t xml:space="preserve">V4-C｜EV +0.0027</x:t>
        </x:is>
      </x:c>
      <x:c r="L675" s="604" t="str"/>
      <x:c r="M675" s="604" t="n">
        <x:v>0.5168431229424366</x:v>
      </x:c>
      <x:c r="N675" s="604" t="inlineStr">
        <x:is>
          <x:t xml:space="preserve">V4纸面入选-C</x:t>
        </x:is>
      </x:c>
      <x:c r="O675" s="604" t="inlineStr">
        <x:is>
          <x:t xml:space="preserve">2-1</x:t>
        </x:is>
      </x:c>
      <x:c r="P675" s="604" t="inlineStr">
        <x:is>
          <x:t xml:space="preserve">已结算</x:t>
        </x:is>
      </x:c>
      <x:c r="Q675" s="645" t="inlineStr">
        <x:is>
          <x:t xml:space="preserve">红</x:t>
        </x:is>
      </x:c>
      <x:c r="R675" s="604" t="n">
        <x:v>0.9399999999999999</x:v>
      </x:c>
      <x:c r="S675" s="604" t="n">
        <x:f>IF(OR(Q675="",Q675="待结算"),"",IF(Q675="红",R675,IF(Q675="半红",R675*0.5,IF(Q675="走",0,IF(Q675="半黑",-0.5,-1)))))</x:f>
        <x:v>0.94</x:v>
      </x:c>
      <x:c r="T675" s="604" t="inlineStr">
        <x:is>
          <x:t xml:space="preserve">https://m.titan007.com/analy/Analysis/2939063.htm</x:t>
        </x:is>
      </x:c>
      <x:c r="U675" s="646" t="str">
        <x:f>IF(Q675="","",IF(Q675="待结算","待结算",IF(Q675="红","黑",IF(Q675="半红","半黑",IF(Q675="走","走",IF(Q675="半黑","半红","红"))))))</x:f>
        <x:v>黑</x:v>
      </x:c>
      <x:c r="V675" s="604" t="n">
        <x:f>IF(OR(Q675="",Q675="待结算"),"",IF(L675=LEFT(F675,FIND(" vs ",F675)-1),I675,G675))</x:f>
        <x:v>0.82</x:v>
      </x:c>
      <x:c r="W675" s="604" t="n">
        <x:f>IF(OR(U675="",U675="待结算"),"",IF(U675="红",V675,IF(U675="半红",V675*0.5,IF(U675="走",0,IF(U675="半黑",-0.5,-1)))))</x:f>
        <x:v>-1</x:v>
      </x:c>
      <x:c r="X675" s="604" t="inlineStr">
        <x:is>
          <x:t xml:space="preserve">2939063</x:t>
        </x:is>
      </x:c>
      <x:c r="Y675" s="604" t="inlineStr">
        <x:is>
          <x:t xml:space="preserve">V4</x:t>
        </x:is>
      </x:c>
      <x:c r="Z675" s="604" t="inlineStr">
        <x:is>
          <x:t xml:space="preserve">prior-2026-10-02-v1</x:t>
        </x:is>
      </x:c>
      <x:c r="AA675" s="604" t="inlineStr">
        <x:is>
          <x:t xml:space="preserve">C</x:t>
        </x:is>
      </x:c>
      <x:c r="AB675" s="604" t="n">
        <x:v>0.5168431229424366</x:v>
      </x:c>
      <x:c r="AC675" s="604" t="n"/>
      <x:c r="AD675" s="604" t="n"/>
      <x:c r="AE675" s="604" t="n"/>
      <x:c r="AF675" s="604" t="n">
        <x:v>0.4831568770575634</x:v>
      </x:c>
      <x:c r="AG675" s="604" t="n">
        <x:v>0.002675658508326961</x:v>
      </x:c>
      <x:c r="AH675" s="604" t="n"/>
      <x:c r="AI675" s="604" t="n"/>
      <x:c r="AJ675" s="604" t="n">
        <x:v>0.002675658508326961</x:v>
      </x:c>
      <x:c r="AK675" s="604" t="n"/>
      <x:c r="AL675" s="604" t="n"/>
      <x:c r="AM675" s="604" t="n"/>
      <x:c r="AN675" s="604" t="inlineStr">
        <x:is>
          <x:t xml:space="preserve">EVALUATED</x:t>
        </x:is>
      </x:c>
      <x:c r="AO675" s="604" t="inlineStr">
        <x:is>
          <x:t xml:space="preserve">EDGE_BELOW_UNCERTAINTY_THRESHOLD、BUCKET_PRIOR_ONLY、INTENT_INTERPRETATION_ONLY、EXPERT_MARKET</x:t>
        </x:is>
      </x:c>
      <x:c r="AP675" s="604" t="inlineStr">
        <x:is>
          <x:t xml:space="preserve">dc2bf45e8c91ff0a9ef4</x:t>
        </x:is>
      </x:c>
      <x:c r="AQ675" s="604" t="n">
        <x:v>0</x:v>
      </x:c>
      <x:c r="AR675" s="604" t="n"/>
      <x:c r="AS675" s="604" t="n">
        <x:v>0</x:v>
      </x:c>
      <x:c r="AT675" s="604" t="n">
        <x:v>0</x:v>
      </x:c>
      <x:c r="AU675" s="604" t="n">
        <x:v>0.82</x:v>
      </x:c>
      <x:c r="AV675" s="604" t="n">
        <x:v>0.9399999999999999</x:v>
      </x:c>
      <x:c r="AW675" s="604" t="n">
        <x:v>46297.01241842593</x:v>
      </x:c>
      <x:c r="AX675" s="604" t="inlineStr">
        <x:is>
          <x:t xml:space="preserve">https://simondongxiao.github.io/odds/v4/</x:t>
        </x:is>
      </x:c>
      <x:c r="AY675" s="604" t="inlineStr">
        <x:is>
          <x:t xml:space="preserve">V4 Shadow Only；real_money=false；P(EV&gt;0)不是比赛胜率</x:t>
        </x:is>
      </x:c>
    </x:row>
    <x:row r="676" ht="22" customHeight="1">
      <x:c r="A676" s="604" t="inlineStr">
        <x:is>
          <x:t xml:space="preserve">2026-10-02</x:t>
        </x:is>
      </x:c>
      <x:c r="B676" s="604" t="inlineStr">
        <x:is>
          <x:t xml:space="preserve">2026-10-03 02:45</x:t>
        </x:is>
      </x:c>
      <x:c r="C676" s="604" t="str">
        <x:v>欧洲非五大系列</x:v>
      </x:c>
      <x:c r="D676" s="604" t="inlineStr">
        <x:is>
          <x:t xml:space="preserve">联赛</x:t>
        </x:is>
      </x:c>
      <x:c r="E676" s="604" t="inlineStr">
        <x:is>
          <x:t xml:space="preserve">爱甲</x:t>
        </x:is>
      </x:c>
      <x:c r="F676" s="604" t="inlineStr">
        <x:is>
          <x:t xml:space="preserve">布雷 vs 科布漫步者</x:t>
        </x:is>
      </x:c>
      <x:c r="G676" s="604" t="n">
        <x:v>0.78</x:v>
      </x:c>
      <x:c r="H676" s="604" t="n">
        <x:v>0</x:v>
      </x:c>
      <x:c r="I676" s="604" t="n">
        <x:v>0.98</x:v>
      </x:c>
      <x:c r="J676" s="604" t="inlineStr">
        <x:is>
          <x:t xml:space="preserve">0.78/0/0.98</x:t>
        </x:is>
      </x:c>
      <x:c r="K676" s="604" t="inlineStr">
        <x:is>
          <x:t xml:space="preserve">V4-C｜EV +0.0207</x:t>
        </x:is>
      </x:c>
      <x:c r="L676" s="604" t="str"/>
      <x:c r="M676" s="604" t="n">
        <x:v>0.5751125847351799</x:v>
      </x:c>
      <x:c r="N676" s="604" t="inlineStr">
        <x:is>
          <x:t xml:space="preserve">V4纸面入选-C</x:t>
        </x:is>
      </x:c>
      <x:c r="O676" s="604" t="inlineStr">
        <x:is>
          <x:t xml:space="preserve">1-4</x:t>
        </x:is>
      </x:c>
      <x:c r="P676" s="604" t="inlineStr">
        <x:is>
          <x:t xml:space="preserve">已结算</x:t>
        </x:is>
      </x:c>
      <x:c r="Q676" s="646" t="inlineStr">
        <x:is>
          <x:t xml:space="preserve">黑</x:t>
        </x:is>
      </x:c>
      <x:c r="R676" s="604" t="n">
        <x:v>0.98</x:v>
      </x:c>
      <x:c r="S676" s="604" t="n">
        <x:f>IF(OR(Q676="",Q676="待结算"),"",IF(Q676="红",R676,IF(Q676="半红",R676*0.5,IF(Q676="走",0,IF(Q676="半黑",-0.5,-1)))))</x:f>
        <x:v>-1</x:v>
      </x:c>
      <x:c r="T676" s="604" t="inlineStr">
        <x:is>
          <x:t xml:space="preserve">https://m.titan007.com/analy/Analysis/2939064.htm</x:t>
        </x:is>
      </x:c>
      <x:c r="U676" s="645" t="str">
        <x:f>IF(Q676="","",IF(Q676="待结算","待结算",IF(Q676="红","黑",IF(Q676="半红","半黑",IF(Q676="走","走",IF(Q676="半黑","半红","红"))))))</x:f>
        <x:v>红</x:v>
      </x:c>
      <x:c r="V676" s="604" t="n">
        <x:f>IF(OR(Q676="",Q676="待结算"),"",IF(L676=LEFT(F676,FIND(" vs ",F676)-1),I676,G676))</x:f>
        <x:v>0.78</x:v>
      </x:c>
      <x:c r="W676" s="604" t="n">
        <x:f>IF(OR(U676="",U676="待结算"),"",IF(U676="红",V676,IF(U676="半红",V676*0.5,IF(U676="走",0,IF(U676="半黑",-0.5,-1)))))</x:f>
        <x:v>0.78</x:v>
      </x:c>
      <x:c r="X676" s="604" t="inlineStr">
        <x:is>
          <x:t xml:space="preserve">2939064</x:t>
        </x:is>
      </x:c>
      <x:c r="Y676" s="604" t="inlineStr">
        <x:is>
          <x:t xml:space="preserve">V4</x:t>
        </x:is>
      </x:c>
      <x:c r="Z676" s="604" t="inlineStr">
        <x:is>
          <x:t xml:space="preserve">prior-2026-10-02-v1</x:t>
        </x:is>
      </x:c>
      <x:c r="AA676" s="604" t="inlineStr">
        <x:is>
          <x:t xml:space="preserve">C</x:t>
        </x:is>
      </x:c>
      <x:c r="AB676" s="604" t="n">
        <x:v>0.374154696167621</x:v>
      </x:c>
      <x:c r="AC676" s="604" t="n">
        <x:v>0.2551663805052329</x:v>
      </x:c>
      <x:c r="AD676" s="604" t="n"/>
      <x:c r="AE676" s="604" t="n"/>
      <x:c r="AF676" s="604" t="n">
        <x:v>0.3706789233271461</x:v>
      </x:c>
      <x:c r="AG676" s="604" t="n">
        <x:v>0.02067662808063903</x:v>
      </x:c>
      <x:c r="AH676" s="604" t="n"/>
      <x:c r="AI676" s="604" t="n"/>
      <x:c r="AJ676" s="604" t="n">
        <x:v>0.02067662808063903</x:v>
      </x:c>
      <x:c r="AK676" s="604" t="n"/>
      <x:c r="AL676" s="604" t="n"/>
      <x:c r="AM676" s="604" t="n"/>
      <x:c r="AN676" s="604" t="inlineStr">
        <x:is>
          <x:t xml:space="preserve">EVALUATED</x:t>
        </x:is>
      </x:c>
      <x:c r="AO676" s="604" t="inlineStr">
        <x:is>
          <x:t xml:space="preserve">EDGE_BELOW_UNCERTAINTY_THRESHOLD、BUCKET_PRIOR_ONLY、INTENT_INTERPRETATION_ONLY、EXPERT_MARKET</x:t>
        </x:is>
      </x:c>
      <x:c r="AP676" s="604" t="inlineStr">
        <x:is>
          <x:t xml:space="preserve">0dfd623815458df3b9a9</x:t>
        </x:is>
      </x:c>
      <x:c r="AQ676" s="604" t="n">
        <x:v>0</x:v>
      </x:c>
      <x:c r="AR676" s="604" t="n"/>
      <x:c r="AS676" s="604" t="n">
        <x:v>0</x:v>
      </x:c>
      <x:c r="AT676" s="604" t="n">
        <x:v>0</x:v>
      </x:c>
      <x:c r="AU676" s="604" t="n">
        <x:v>0.78</x:v>
      </x:c>
      <x:c r="AV676" s="604" t="n">
        <x:v>0.98</x:v>
      </x:c>
      <x:c r="AW676" s="604" t="n">
        <x:v>46297.01241842593</x:v>
      </x:c>
      <x:c r="AX676" s="604" t="inlineStr">
        <x:is>
          <x:t xml:space="preserve">https://simondongxiao.github.io/odds/v4/</x:t>
        </x:is>
      </x:c>
      <x:c r="AY676" s="604" t="inlineStr">
        <x:is>
          <x:t xml:space="preserve">V4 Shadow Only；real_money=false；P(EV&gt;0)不是比赛胜率</x:t>
        </x:is>
      </x:c>
    </x:row>
    <x:row r="677" ht="22" customHeight="1">
      <x:c r="A677" s="604" t="inlineStr">
        <x:is>
          <x:t xml:space="preserve">2026-10-02</x:t>
        </x:is>
      </x:c>
      <x:c r="B677" s="604" t="inlineStr">
        <x:is>
          <x:t xml:space="preserve">2026-10-03 02:45</x:t>
        </x:is>
      </x:c>
      <x:c r="C677" s="604" t="str">
        <x:v>欧洲非五大系列</x:v>
      </x:c>
      <x:c r="D677" s="604" t="inlineStr">
        <x:is>
          <x:t xml:space="preserve">联赛</x:t>
        </x:is>
      </x:c>
      <x:c r="E677" s="604" t="inlineStr">
        <x:is>
          <x:t xml:space="preserve">爱甲</x:t>
        </x:is>
      </x:c>
      <x:c r="F677" s="604" t="inlineStr">
        <x:is>
          <x:t xml:space="preserve">费恩哈普 vs 凯里FC</x:t>
        </x:is>
      </x:c>
      <x:c r="G677" s="604" t="n">
        <x:v>0.87</x:v>
      </x:c>
      <x:c r="H677" s="604" t="n">
        <x:v>0</x:v>
      </x:c>
      <x:c r="I677" s="604" t="n">
        <x:v>0.89</x:v>
      </x:c>
      <x:c r="J677" s="604" t="inlineStr">
        <x:is>
          <x:t xml:space="preserve">0.87/0/0.89</x:t>
        </x:is>
      </x:c>
      <x:c r="K677" s="604" t="inlineStr">
        <x:is>
          <x:t xml:space="preserve">V4-C｜EV +0.0315</x:t>
        </x:is>
      </x:c>
      <x:c r="L677" s="604" t="str"/>
      <x:c r="M677" s="604" t="n">
        <x:v>0.5457448849225928</x:v>
      </x:c>
      <x:c r="N677" s="604" t="inlineStr">
        <x:is>
          <x:t xml:space="preserve">V4纸面入选-C</x:t>
        </x:is>
      </x:c>
      <x:c r="O677" s="604" t="inlineStr">
        <x:is>
          <x:t xml:space="preserve">1-2</x:t>
        </x:is>
      </x:c>
      <x:c r="P677" s="604" t="inlineStr">
        <x:is>
          <x:t xml:space="preserve">已结算</x:t>
        </x:is>
      </x:c>
      <x:c r="Q677" s="646" t="inlineStr">
        <x:is>
          <x:t xml:space="preserve">黑</x:t>
        </x:is>
      </x:c>
      <x:c r="R677" s="604" t="n">
        <x:v>0.89</x:v>
      </x:c>
      <x:c r="S677" s="604" t="n">
        <x:f>IF(OR(Q677="",Q677="待结算"),"",IF(Q677="红",R677,IF(Q677="半红",R677*0.5,IF(Q677="走",0,IF(Q677="半黑",-0.5,-1)))))</x:f>
        <x:v>-1</x:v>
      </x:c>
      <x:c r="T677" s="604" t="inlineStr">
        <x:is>
          <x:t xml:space="preserve">https://m.titan007.com/analy/Analysis/2939065.htm</x:t>
        </x:is>
      </x:c>
      <x:c r="U677" s="645" t="str">
        <x:f>IF(Q677="","",IF(Q677="待结算","待结算",IF(Q677="红","黑",IF(Q677="半红","半黑",IF(Q677="走","走",IF(Q677="半黑","半红","红"))))))</x:f>
        <x:v>红</x:v>
      </x:c>
      <x:c r="V677" s="604" t="n">
        <x:f>IF(OR(Q677="",Q677="待结算"),"",IF(L677=LEFT(F677,FIND(" vs ",F677)-1),I677,G677))</x:f>
        <x:v>0.87</x:v>
      </x:c>
      <x:c r="W677" s="604" t="n">
        <x:f>IF(OR(U677="",U677="待结算"),"",IF(U677="红",V677,IF(U677="半红",V677*0.5,IF(U677="走",0,IF(U677="半黑",-0.5,-1)))))</x:f>
        <x:v>0.87</x:v>
      </x:c>
      <x:c r="X677" s="604" t="inlineStr">
        <x:is>
          <x:t xml:space="preserve">2939065</x:t>
        </x:is>
      </x:c>
      <x:c r="Y677" s="604" t="inlineStr">
        <x:is>
          <x:t xml:space="preserve">V4</x:t>
        </x:is>
      </x:c>
      <x:c r="Z677" s="604" t="inlineStr">
        <x:is>
          <x:t xml:space="preserve">prior-2026-10-02-v1</x:t>
        </x:is>
      </x:c>
      <x:c r="AA677" s="604" t="inlineStr">
        <x:is>
          <x:t xml:space="preserve">C</x:t>
        </x:is>
      </x:c>
      <x:c r="AB677" s="604" t="n">
        <x:v>0.5457448849225928</x:v>
      </x:c>
      <x:c r="AC677" s="604" t="n"/>
      <x:c r="AD677" s="604" t="n"/>
      <x:c r="AE677" s="604" t="n"/>
      <x:c r="AF677" s="604" t="n">
        <x:v>0.4542551150774072</x:v>
      </x:c>
      <x:c r="AG677" s="604" t="n">
        <x:v>0.03145783250370032</x:v>
      </x:c>
      <x:c r="AH677" s="604" t="n"/>
      <x:c r="AI677" s="604" t="n"/>
      <x:c r="AJ677" s="604" t="n">
        <x:v>0.03145783250370032</x:v>
      </x:c>
      <x:c r="AK677" s="604" t="n"/>
      <x:c r="AL677" s="604" t="n"/>
      <x:c r="AM677" s="604" t="n"/>
      <x:c r="AN677" s="604" t="inlineStr">
        <x:is>
          <x:t xml:space="preserve">EVALUATED</x:t>
        </x:is>
      </x:c>
      <x:c r="AO677" s="604" t="inlineStr">
        <x:is>
          <x:t xml:space="preserve">EDGE_BELOW_UNCERTAINTY_THRESHOLD、BUCKET_PRIOR_ONLY、INTENT_INTERPRETATION_ONLY、EXPERT_MARKET</x:t>
        </x:is>
      </x:c>
      <x:c r="AP677" s="604" t="inlineStr">
        <x:is>
          <x:t xml:space="preserve">3765839a0512538f2ad6</x:t>
        </x:is>
      </x:c>
      <x:c r="AQ677" s="604" t="n">
        <x:v>0</x:v>
      </x:c>
      <x:c r="AR677" s="604" t="n"/>
      <x:c r="AS677" s="604" t="n">
        <x:v>0</x:v>
      </x:c>
      <x:c r="AT677" s="604" t="n">
        <x:v>0</x:v>
      </x:c>
      <x:c r="AU677" s="604" t="n">
        <x:v>0.87</x:v>
      </x:c>
      <x:c r="AV677" s="604" t="n">
        <x:v>0.89</x:v>
      </x:c>
      <x:c r="AW677" s="604" t="n">
        <x:v>46297.01241842593</x:v>
      </x:c>
      <x:c r="AX677" s="604" t="inlineStr">
        <x:is>
          <x:t xml:space="preserve">https://simondongxiao.github.io/odds/v4/</x:t>
        </x:is>
      </x:c>
      <x:c r="AY677" s="604" t="inlineStr">
        <x:is>
          <x:t xml:space="preserve">V4 Shadow Only；real_money=false；P(EV&gt;0)不是比赛胜率</x:t>
        </x:is>
      </x:c>
    </x:row>
    <x:row r="678" ht="22" customHeight="1">
      <x:c r="A678" s="604" t="inlineStr">
        <x:is>
          <x:t xml:space="preserve">2026-10-02</x:t>
        </x:is>
      </x:c>
      <x:c r="B678" s="604" t="inlineStr">
        <x:is>
          <x:t xml:space="preserve">2026-10-03 03:00</x:t>
        </x:is>
      </x:c>
      <x:c r="C678" s="604" t="str">
        <x:v>欧洲非五大系列</x:v>
      </x:c>
      <x:c r="D678" s="604" t="inlineStr">
        <x:is>
          <x:t xml:space="preserve">联赛</x:t>
        </x:is>
      </x:c>
      <x:c r="E678" s="604" t="inlineStr">
        <x:is>
          <x:t xml:space="preserve">荷乙</x:t>
        </x:is>
      </x:c>
      <x:c r="F678" s="604" t="inlineStr">
        <x:is>
          <x:t xml:space="preserve">赫尔蒙德 vs 赫拉克勒斯</x:t>
        </x:is>
      </x:c>
      <x:c r="G678" s="604" t="n">
        <x:v>0.86</x:v>
      </x:c>
      <x:c r="H678" s="604" t="n">
        <x:v>0</x:v>
      </x:c>
      <x:c r="I678" s="604" t="n">
        <x:v>0.96</x:v>
      </x:c>
      <x:c r="J678" s="604" t="inlineStr">
        <x:is>
          <x:t xml:space="preserve">0.86/0/0.96</x:t>
        </x:is>
      </x:c>
      <x:c r="K678" s="604" t="inlineStr">
        <x:is>
          <x:t xml:space="preserve">V4-C｜EV +0.0370</x:t>
        </x:is>
      </x:c>
      <x:c r="L678" s="604" t="str"/>
      <x:c r="M678" s="604" t="n">
        <x:v>0.5290582702881026</x:v>
      </x:c>
      <x:c r="N678" s="604" t="inlineStr">
        <x:is>
          <x:t xml:space="preserve">V4纸面入选-C</x:t>
        </x:is>
      </x:c>
      <x:c r="O678" s="604" t="inlineStr">
        <x:is>
          <x:t xml:space="preserve">2-2</x:t>
        </x:is>
      </x:c>
      <x:c r="P678" s="604" t="inlineStr">
        <x:is>
          <x:t xml:space="preserve">已结算</x:t>
        </x:is>
      </x:c>
      <x:c r="Q678" s="647" t="inlineStr">
        <x:is>
          <x:t xml:space="preserve">走</x:t>
        </x:is>
      </x:c>
      <x:c r="R678" s="604" t="n">
        <x:v>0.96</x:v>
      </x:c>
      <x:c r="S678" s="604" t="n">
        <x:f>IF(OR(Q678="",Q678="待结算"),"",IF(Q678="红",R678,IF(Q678="半红",R678*0.5,IF(Q678="走",0,IF(Q678="半黑",-0.5,-1)))))</x:f>
        <x:v>0</x:v>
      </x:c>
      <x:c r="T678" s="604" t="inlineStr">
        <x:is>
          <x:t xml:space="preserve">https://m.titan007.com/analy/Analysis/2996486.htm</x:t>
        </x:is>
      </x:c>
      <x:c r="U678" s="647" t="str">
        <x:f>IF(Q678="","",IF(Q678="待结算","待结算",IF(Q678="红","黑",IF(Q678="半红","半黑",IF(Q678="走","走",IF(Q678="半黑","半红","红"))))))</x:f>
        <x:v>走</x:v>
      </x:c>
      <x:c r="V678" s="604" t="n">
        <x:f>IF(OR(Q678="",Q678="待结算"),"",IF(L678=LEFT(F678,FIND(" vs ",F678)-1),I678,G678))</x:f>
        <x:v>0.86</x:v>
      </x:c>
      <x:c r="W678" s="604" t="n">
        <x:f>IF(OR(U678="",U678="待结算"),"",IF(U678="红",V678,IF(U678="半红",V678*0.5,IF(U678="走",0,IF(U678="半黑",-0.5,-1)))))</x:f>
        <x:v>0</x:v>
      </x:c>
      <x:c r="X678" s="604" t="inlineStr">
        <x:is>
          <x:t xml:space="preserve">2996486</x:t>
        </x:is>
      </x:c>
      <x:c r="Y678" s="604" t="inlineStr">
        <x:is>
          <x:t xml:space="preserve">V4</x:t>
        </x:is>
      </x:c>
      <x:c r="Z678" s="604" t="inlineStr">
        <x:is>
          <x:t xml:space="preserve">prior-2026-10-02-v1</x:t>
        </x:is>
      </x:c>
      <x:c r="AA678" s="604" t="inlineStr">
        <x:is>
          <x:t xml:space="preserve">C</x:t>
        </x:is>
      </x:c>
      <x:c r="AB678" s="604" t="n">
        <x:v>0.5290582702881026</x:v>
      </x:c>
      <x:c r="AC678" s="604" t="n"/>
      <x:c r="AD678" s="604" t="n"/>
      <x:c r="AE678" s="604" t="n"/>
      <x:c r="AF678" s="604" t="n">
        <x:v>0.4709417297118973</x:v>
      </x:c>
      <x:c r="AG678" s="604" t="n">
        <x:v>0.03695420976468117</x:v>
      </x:c>
      <x:c r="AH678" s="604" t="n"/>
      <x:c r="AI678" s="604" t="n"/>
      <x:c r="AJ678" s="604" t="n">
        <x:v>0.03695420976468117</x:v>
      </x:c>
      <x:c r="AK678" s="604" t="n"/>
      <x:c r="AL678" s="604" t="n"/>
      <x:c r="AM678" s="604" t="n"/>
      <x:c r="AN678" s="604" t="inlineStr">
        <x:is>
          <x:t xml:space="preserve">EVALUATED</x:t>
        </x:is>
      </x:c>
      <x:c r="AO678" s="604" t="inlineStr">
        <x:is>
          <x:t xml:space="preserve">EDGE_BELOW_UNCERTAINTY_THRESHOLD、BUCKET_PRIOR_ONLY、INTENT_INTERPRETATION_ONLY、EXPERT_MARKET</x:t>
        </x:is>
      </x:c>
      <x:c r="AP678" s="604" t="inlineStr">
        <x:is>
          <x:t xml:space="preserve">775af8d959edcdafb604</x:t>
        </x:is>
      </x:c>
      <x:c r="AQ678" s="604" t="n">
        <x:v>0</x:v>
      </x:c>
      <x:c r="AR678" s="604" t="n"/>
      <x:c r="AS678" s="604" t="n">
        <x:v>0</x:v>
      </x:c>
      <x:c r="AT678" s="604" t="n">
        <x:v>0</x:v>
      </x:c>
      <x:c r="AU678" s="604" t="n">
        <x:v>0.86</x:v>
      </x:c>
      <x:c r="AV678" s="604" t="n">
        <x:v>0.96</x:v>
      </x:c>
      <x:c r="AW678" s="604" t="n">
        <x:v>46297.01241842593</x:v>
      </x:c>
      <x:c r="AX678" s="604" t="inlineStr">
        <x:is>
          <x:t xml:space="preserve">https://simondongxiao.github.io/odds/v4/</x:t>
        </x:is>
      </x:c>
      <x:c r="AY678" s="604" t="inlineStr">
        <x:is>
          <x:t xml:space="preserve">V4 Shadow Only；real_money=false；P(EV&gt;0)不是比赛胜率</x:t>
        </x:is>
      </x:c>
    </x:row>
    <x:row r="679" ht="22" customHeight="1">
      <x:c r="A679" s="604" t="inlineStr">
        <x:is>
          <x:t xml:space="preserve">2026-10-02</x:t>
        </x:is>
      </x:c>
      <x:c r="B679" s="604" t="inlineStr">
        <x:is>
          <x:t xml:space="preserve">2026-10-03 03:00</x:t>
        </x:is>
      </x:c>
      <x:c r="C679" s="604" t="str">
        <x:v>南美系列</x:v>
      </x:c>
      <x:c r="D679" s="604" t="inlineStr">
        <x:is>
          <x:t xml:space="preserve">杯赛</x:t>
        </x:is>
      </x:c>
      <x:c r="E679" s="604" t="inlineStr">
        <x:is>
          <x:t xml:space="preserve">玻利杯</x:t>
        </x:is>
      </x:c>
      <x:c r="F679" s="604" t="inlineStr">
        <x:is>
          <x:t xml:space="preserve">圣安东尼奥布鲁布鲁 vs 学术DB</x:t>
        </x:is>
      </x:c>
      <x:c r="G679" s="604" t="n">
        <x:v>0.86</x:v>
      </x:c>
      <x:c r="H679" s="604" t="n">
        <x:v>0</x:v>
      </x:c>
      <x:c r="I679" s="604" t="n">
        <x:v>0.84</x:v>
      </x:c>
      <x:c r="J679" s="604" t="inlineStr">
        <x:is>
          <x:t xml:space="preserve">0.86/0/0.84</x:t>
        </x:is>
      </x:c>
      <x:c r="K679" s="604" t="inlineStr">
        <x:is>
          <x:t xml:space="preserve">V4-C｜EV +0.0268</x:t>
        </x:is>
      </x:c>
      <x:c r="L679" s="604" t="str"/>
      <x:c r="M679" s="604" t="n">
        <x:v>0.5540973742438716</x:v>
      </x:c>
      <x:c r="N679" s="604" t="inlineStr">
        <x:is>
          <x:t xml:space="preserve">V4纸面入选-C</x:t>
        </x:is>
      </x:c>
      <x:c r="O679" s="604" t="inlineStr">
        <x:is>
          <x:t xml:space="preserve">0-2</x:t>
        </x:is>
      </x:c>
      <x:c r="P679" s="604" t="inlineStr">
        <x:is>
          <x:t xml:space="preserve">已结算</x:t>
        </x:is>
      </x:c>
      <x:c r="Q679" s="646" t="inlineStr">
        <x:is>
          <x:t xml:space="preserve">黑</x:t>
        </x:is>
      </x:c>
      <x:c r="R679" s="604" t="n">
        <x:v>0.84</x:v>
      </x:c>
      <x:c r="S679" s="604" t="n">
        <x:f>IF(OR(Q679="",Q679="待结算"),"",IF(Q679="红",R679,IF(Q679="半红",R679*0.5,IF(Q679="走",0,IF(Q679="半黑",-0.5,-1)))))</x:f>
        <x:v>-1</x:v>
      </x:c>
      <x:c r="T679" s="604" t="inlineStr">
        <x:is>
          <x:t xml:space="preserve">https://m.titan007.com/analy/Analysis/3061670.htm</x:t>
        </x:is>
      </x:c>
      <x:c r="U679" s="645" t="str">
        <x:f>IF(Q679="","",IF(Q679="待结算","待结算",IF(Q679="红","黑",IF(Q679="半红","半黑",IF(Q679="走","走",IF(Q679="半黑","半红","红"))))))</x:f>
        <x:v>红</x:v>
      </x:c>
      <x:c r="V679" s="604" t="n">
        <x:f>IF(OR(Q679="",Q679="待结算"),"",IF(L679=LEFT(F679,FIND(" vs ",F679)-1),I679,G679))</x:f>
        <x:v>0.86</x:v>
      </x:c>
      <x:c r="W679" s="604" t="n">
        <x:f>IF(OR(U679="",U679="待结算"),"",IF(U679="红",V679,IF(U679="半红",V679*0.5,IF(U679="走",0,IF(U679="半黑",-0.5,-1)))))</x:f>
        <x:v>0.86</x:v>
      </x:c>
      <x:c r="X679" s="604" t="inlineStr">
        <x:is>
          <x:t xml:space="preserve">3061670</x:t>
        </x:is>
      </x:c>
      <x:c r="Y679" s="604" t="inlineStr">
        <x:is>
          <x:t xml:space="preserve">V4</x:t>
        </x:is>
      </x:c>
      <x:c r="Z679" s="604" t="inlineStr">
        <x:is>
          <x:t xml:space="preserve">prior-2026-10-02-v1</x:t>
        </x:is>
      </x:c>
      <x:c r="AA679" s="604" t="inlineStr">
        <x:is>
          <x:t xml:space="preserve">C</x:t>
        </x:is>
      </x:c>
      <x:c r="AB679" s="604" t="n">
        <x:v>0.4845393840853225</x:v>
      </x:c>
      <x:c r="AC679" s="604" t="n"/>
      <x:c r="AD679" s="604" t="n"/>
      <x:c r="AE679" s="604" t="n">
        <x:v>0.2510677487092188</x:v>
      </x:c>
      <x:c r="AF679" s="604" t="n">
        <x:v>0.2643928672054587</x:v>
      </x:c>
      <x:c r="AG679" s="604" t="n">
        <x:v>0.02677712875330918</x:v>
      </x:c>
      <x:c r="AH679" s="604" t="n"/>
      <x:c r="AI679" s="604" t="n"/>
      <x:c r="AJ679" s="604" t="n">
        <x:v>0.02677712875330918</x:v>
      </x:c>
      <x:c r="AK679" s="604" t="n"/>
      <x:c r="AL679" s="604" t="n"/>
      <x:c r="AM679" s="604" t="n"/>
      <x:c r="AN679" s="604" t="inlineStr">
        <x:is>
          <x:t xml:space="preserve">EVALUATED</x:t>
        </x:is>
      </x:c>
      <x:c r="AO679" s="604" t="inlineStr">
        <x:is>
          <x:t xml:space="preserve">EDGE_BELOW_UNCERTAINTY_THRESHOLD、BUCKET_PRIOR_ONLY、INTENT_INTERPRETATION_ONLY、EXPERT_MARKET</x:t>
        </x:is>
      </x:c>
      <x:c r="AP679" s="604" t="inlineStr">
        <x:is>
          <x:t xml:space="preserve">d06831bac3d923f70c82</x:t>
        </x:is>
      </x:c>
      <x:c r="AQ679" s="604" t="n">
        <x:v>0</x:v>
      </x:c>
      <x:c r="AR679" s="604" t="n"/>
      <x:c r="AS679" s="604" t="n">
        <x:v>0</x:v>
      </x:c>
      <x:c r="AT679" s="604" t="n">
        <x:v>0</x:v>
      </x:c>
      <x:c r="AU679" s="604" t="n">
        <x:v>0.86</x:v>
      </x:c>
      <x:c r="AV679" s="604" t="n">
        <x:v>0.84</x:v>
      </x:c>
      <x:c r="AW679" s="604" t="n">
        <x:v>46297.01241842593</x:v>
      </x:c>
      <x:c r="AX679" s="604" t="inlineStr">
        <x:is>
          <x:t xml:space="preserve">https://simondongxiao.github.io/odds/v4/</x:t>
        </x:is>
      </x:c>
      <x:c r="AY679" s="604" t="inlineStr">
        <x:is>
          <x:t xml:space="preserve">V4 Shadow Only；real_money=false；P(EV&gt;0)不是比赛胜率</x:t>
        </x:is>
      </x:c>
    </x:row>
    <x:row r="680" ht="22" customHeight="1">
      <x:c r="A680" s="604" t="inlineStr">
        <x:is>
          <x:t xml:space="preserve">2026-10-02</x:t>
        </x:is>
      </x:c>
      <x:c r="B680" s="604" t="inlineStr">
        <x:is>
          <x:t xml:space="preserve">2026-10-03 04:30</x:t>
        </x:is>
      </x:c>
      <x:c r="C680" s="604" t="str">
        <x:v>南美系列</x:v>
      </x:c>
      <x:c r="D680" s="604" t="inlineStr">
        <x:is>
          <x:t xml:space="preserve">联赛</x:t>
        </x:is>
      </x:c>
      <x:c r="E680" s="604" t="inlineStr">
        <x:is>
          <x:t xml:space="preserve">厄瓜乙</x:t>
        </x:is>
      </x:c>
      <x:c r="F680" s="604" t="inlineStr">
        <x:is>
          <x:t xml:space="preserve">圣安东尼奥(ECU) vs 库尼布洛FC</x:t>
        </x:is>
      </x:c>
      <x:c r="G680" s="604" t="n">
        <x:v>0.74</x:v>
      </x:c>
      <x:c r="H680" s="604" t="n">
        <x:v>0</x:v>
      </x:c>
      <x:c r="I680" s="604" t="n">
        <x:v>0.96</x:v>
      </x:c>
      <x:c r="J680" s="604" t="inlineStr">
        <x:is>
          <x:t xml:space="preserve">0.74/0/0.96</x:t>
        </x:is>
      </x:c>
      <x:c r="K680" s="604" t="inlineStr">
        <x:is>
          <x:t xml:space="preserve">V4-C｜EV +0.0381</x:t>
        </x:is>
      </x:c>
      <x:c r="L680" s="604" t="str"/>
      <x:c r="M680" s="604" t="n">
        <x:v>0.5296545956877869</x:v>
      </x:c>
      <x:c r="N680" s="604" t="inlineStr">
        <x:is>
          <x:t xml:space="preserve">V4纸面入选-C</x:t>
        </x:is>
      </x:c>
      <x:c r="O680" s="604" t="inlineStr">
        <x:is>
          <x:t xml:space="preserve">0-0</x:t>
        </x:is>
      </x:c>
      <x:c r="P680" s="604" t="inlineStr">
        <x:is>
          <x:t xml:space="preserve">已结算</x:t>
        </x:is>
      </x:c>
      <x:c r="Q680" s="647" t="inlineStr">
        <x:is>
          <x:t xml:space="preserve">走</x:t>
        </x:is>
      </x:c>
      <x:c r="R680" s="604" t="n">
        <x:v>0.96</x:v>
      </x:c>
      <x:c r="S680" s="604" t="n">
        <x:f>IF(OR(Q680="",Q680="待结算"),"",IF(Q680="红",R680,IF(Q680="半红",R680*0.5,IF(Q680="走",0,IF(Q680="半黑",-0.5,-1)))))</x:f>
        <x:v>0</x:v>
      </x:c>
      <x:c r="T680" s="604" t="inlineStr">
        <x:is>
          <x:t xml:space="preserve">https://m.titan007.com/analy/Analysis/3071684.htm</x:t>
        </x:is>
      </x:c>
      <x:c r="U680" s="647" t="str">
        <x:f>IF(Q680="","",IF(Q680="待结算","待结算",IF(Q680="红","黑",IF(Q680="半红","半黑",IF(Q680="走","走",IF(Q680="半黑","半红","红"))))))</x:f>
        <x:v>走</x:v>
      </x:c>
      <x:c r="V680" s="604" t="n">
        <x:f>IF(OR(Q680="",Q680="待结算"),"",IF(L680=LEFT(F680,FIND(" vs ",F680)-1),I680,G680))</x:f>
        <x:v>0.74</x:v>
      </x:c>
      <x:c r="W680" s="604" t="n">
        <x:f>IF(OR(U680="",U680="待结算"),"",IF(U680="红",V680,IF(U680="半红",V680*0.5,IF(U680="走",0,IF(U680="半黑",-0.5,-1)))))</x:f>
        <x:v>0</x:v>
      </x:c>
      <x:c r="X680" s="604" t="inlineStr">
        <x:is>
          <x:t xml:space="preserve">3071684</x:t>
        </x:is>
      </x:c>
      <x:c r="Y680" s="604" t="inlineStr">
        <x:is>
          <x:t xml:space="preserve">V4</x:t>
        </x:is>
      </x:c>
      <x:c r="Z680" s="604" t="inlineStr">
        <x:is>
          <x:t xml:space="preserve">prior-2026-10-02-v1</x:t>
        </x:is>
      </x:c>
      <x:c r="AA680" s="604" t="inlineStr">
        <x:is>
          <x:t xml:space="preserve">C</x:t>
        </x:is>
      </x:c>
      <x:c r="AB680" s="604" t="n">
        <x:v>0.5296545956877869</x:v>
      </x:c>
      <x:c r="AC680" s="604" t="n"/>
      <x:c r="AD680" s="604" t="n"/>
      <x:c r="AE680" s="604" t="n"/>
      <x:c r="AF680" s="604" t="n">
        <x:v>0.4703454043122131</x:v>
      </x:c>
      <x:c r="AG680" s="604" t="n">
        <x:v>0.03812300754806236</x:v>
      </x:c>
      <x:c r="AH680" s="604" t="n"/>
      <x:c r="AI680" s="604" t="n"/>
      <x:c r="AJ680" s="604" t="n">
        <x:v>0.03812300754806236</x:v>
      </x:c>
      <x:c r="AK680" s="604" t="n"/>
      <x:c r="AL680" s="604" t="n"/>
      <x:c r="AM680" s="604" t="n"/>
      <x:c r="AN680" s="604" t="inlineStr">
        <x:is>
          <x:t xml:space="preserve">EVALUATED</x:t>
        </x:is>
      </x:c>
      <x:c r="AO680" s="604" t="inlineStr">
        <x:is>
          <x:t xml:space="preserve">EDGE_BELOW_UNCERTAINTY_THRESHOLD、BUCKET_PRIOR_ONLY、INTENT_INTERPRETATION_ONLY、EXPERT_MARKET</x:t>
        </x:is>
      </x:c>
      <x:c r="AP680" s="604" t="inlineStr">
        <x:is>
          <x:t xml:space="preserve">81bf67e3e20439ff4aa9</x:t>
        </x:is>
      </x:c>
      <x:c r="AQ680" s="604" t="n">
        <x:v>0</x:v>
      </x:c>
      <x:c r="AR680" s="604" t="n"/>
      <x:c r="AS680" s="604" t="n">
        <x:v>0</x:v>
      </x:c>
      <x:c r="AT680" s="604" t="n">
        <x:v>0</x:v>
      </x:c>
      <x:c r="AU680" s="604" t="n">
        <x:v>0.74</x:v>
      </x:c>
      <x:c r="AV680" s="604" t="n">
        <x:v>0.96</x:v>
      </x:c>
      <x:c r="AW680" s="604" t="n">
        <x:v>46297.01241842593</x:v>
      </x:c>
      <x:c r="AX680" s="604" t="inlineStr">
        <x:is>
          <x:t xml:space="preserve">https://simondongxiao.github.io/odds/v4/</x:t>
        </x:is>
      </x:c>
      <x:c r="AY680" s="604" t="inlineStr">
        <x:is>
          <x:t xml:space="preserve">V4 Shadow Only；real_money=false；P(EV&gt;0)不是比赛胜率</x:t>
        </x:is>
      </x:c>
    </x:row>
    <x:row r="681" ht="22" customHeight="1">
      <x:c r="A681" s="604" t="inlineStr">
        <x:is>
          <x:t xml:space="preserve">2026-10-02</x:t>
        </x:is>
      </x:c>
      <x:c r="B681" s="604" t="inlineStr">
        <x:is>
          <x:t xml:space="preserve">2026-10-03 06:00</x:t>
        </x:is>
      </x:c>
      <x:c r="C681" s="604" t="str">
        <x:v>南美系列</x:v>
      </x:c>
      <x:c r="D681" s="604" t="inlineStr">
        <x:is>
          <x:t xml:space="preserve">联赛</x:t>
        </x:is>
      </x:c>
      <x:c r="E681" s="604" t="inlineStr">
        <x:is>
          <x:t xml:space="preserve">阿乙</x:t>
        </x:is>
      </x:c>
      <x:c r="F681" s="604" t="inlineStr">
        <x:is>
          <x:t xml:space="preserve">费罗卡利 vs 玛德恩</x:t>
        </x:is>
      </x:c>
      <x:c r="G681" s="604" t="n">
        <x:v>0.77</x:v>
      </x:c>
      <x:c r="H681" s="604" t="n">
        <x:v>0.25</x:v>
      </x:c>
      <x:c r="I681" s="604" t="n">
        <x:v>0.99</x:v>
      </x:c>
      <x:c r="J681" s="604" t="inlineStr">
        <x:is>
          <x:t xml:space="preserve">0.77/0.25/0.99</x:t>
        </x:is>
      </x:c>
      <x:c r="K681" s="604" t="inlineStr">
        <x:is>
          <x:t xml:space="preserve">V4-B｜EV +0.0984</x:t>
        </x:is>
      </x:c>
      <x:c r="L681" s="604" t="inlineStr">
        <x:is>
          <x:t xml:space="preserve">费罗卡利</x:t>
        </x:is>
      </x:c>
      <x:c r="M681" s="604" t="n">
        <x:v>0.6283333496127956</x:v>
      </x:c>
      <x:c r="N681" s="604" t="inlineStr">
        <x:is>
          <x:t xml:space="preserve">V4纸面入选-B</x:t>
        </x:is>
      </x:c>
      <x:c r="O681" s="604" t="inlineStr">
        <x:is>
          <x:t xml:space="preserve">0-2</x:t>
        </x:is>
      </x:c>
      <x:c r="P681" s="604" t="inlineStr">
        <x:is>
          <x:t xml:space="preserve">已结算</x:t>
        </x:is>
      </x:c>
      <x:c r="Q681" s="646" t="inlineStr">
        <x:is>
          <x:t xml:space="preserve">黑</x:t>
        </x:is>
      </x:c>
      <x:c r="R681" s="604" t="n">
        <x:v>0.77</x:v>
      </x:c>
      <x:c r="S681" s="604" t="n">
        <x:f>IF(OR(Q681="",Q681="待结算"),"",IF(Q681="红",R681,IF(Q681="半红",R681*0.5,IF(Q681="走",0,IF(Q681="半黑",-0.5,-1)))))</x:f>
        <x:v>-1</x:v>
      </x:c>
      <x:c r="T681" s="604" t="inlineStr">
        <x:is>
          <x:t xml:space="preserve">https://m.titan007.com/analy/Analysis/2916726.htm</x:t>
        </x:is>
      </x:c>
      <x:c r="U681" s="645" t="str">
        <x:f>IF(Q681="","",IF(Q681="待结算","待结算",IF(Q681="红","黑",IF(Q681="半红","半黑",IF(Q681="走","走",IF(Q681="半黑","半红","红"))))))</x:f>
        <x:v>红</x:v>
      </x:c>
      <x:c r="V681" s="604" t="n">
        <x:f>IF(OR(Q681="",Q681="待结算"),"",IF(L681=LEFT(F681,FIND(" vs ",F681)-1),I681,G681))</x:f>
        <x:v>0.99</x:v>
      </x:c>
      <x:c r="W681" s="604" t="n">
        <x:f>IF(OR(U681="",U681="待结算"),"",IF(U681="红",V681,IF(U681="半红",V681*0.5,IF(U681="走",0,IF(U681="半黑",-0.5,-1)))))</x:f>
        <x:v>0.99</x:v>
      </x:c>
      <x:c r="X681" s="604" t="inlineStr">
        <x:is>
          <x:t xml:space="preserve">2916726</x:t>
        </x:is>
      </x:c>
      <x:c r="Y681" s="604" t="inlineStr">
        <x:is>
          <x:t xml:space="preserve">V4</x:t>
        </x:is>
      </x:c>
      <x:c r="Z681" s="604" t="inlineStr">
        <x:is>
          <x:t xml:space="preserve">prior-2026-10-02-v1</x:t>
        </x:is>
      </x:c>
      <x:c r="AA681" s="604" t="inlineStr">
        <x:is>
          <x:t xml:space="preserve">B</x:t>
        </x:is>
      </x:c>
      <x:c r="AB681" s="604" t="n">
        <x:v>0.5515643610932215</x:v>
      </x:c>
      <x:c r="AC681" s="604" t="n"/>
      <x:c r="AD681" s="604" t="n"/>
      <x:c r="AE681" s="604" t="n">
        <x:v>0.2443575168081793</x:v>
      </x:c>
      <x:c r="AF681" s="604" t="n">
        <x:v>0.2040781220985993</x:v>
      </x:c>
      <x:c r="AG681" s="604" t="n">
        <x:v>0.09844767753909162</x:v>
      </x:c>
      <x:c r="AH681" s="604" t="n"/>
      <x:c r="AI681" s="604" t="n"/>
      <x:c r="AJ681" s="604" t="n">
        <x:v>0.09844767753909162</x:v>
      </x:c>
      <x:c r="AK681" s="604" t="n"/>
      <x:c r="AL681" s="604" t="n"/>
      <x:c r="AM681" s="604" t="n"/>
      <x:c r="AN681" s="604" t="inlineStr">
        <x:is>
          <x:t xml:space="preserve">EVALUATED</x:t>
        </x:is>
      </x:c>
      <x:c r="AO681" s="604" t="inlineStr">
        <x:is>
          <x:t xml:space="preserve">GIVING_VALIDATED_EDGE、BUCKET_PRIOR_ONLY、INTENT_INTERPRETATION_ONLY、EXPERT_MARKET</x:t>
        </x:is>
      </x:c>
      <x:c r="AP681" s="604" t="inlineStr">
        <x:is>
          <x:t xml:space="preserve">232e2cb6de36ed0569ee</x:t>
        </x:is>
      </x:c>
      <x:c r="AQ681" s="604" t="n">
        <x:v>-0.25</x:v>
      </x:c>
      <x:c r="AR681" s="604" t="n">
        <x:v>0.77</x:v>
      </x:c>
      <x:c r="AS681" s="604" t="n">
        <x:v>0.25</x:v>
      </x:c>
      <x:c r="AT681" s="604" t="n">
        <x:v>-0.25</x:v>
      </x:c>
      <x:c r="AU681" s="604" t="n">
        <x:v>0.77</x:v>
      </x:c>
      <x:c r="AV681" s="604" t="n">
        <x:v>0.99</x:v>
      </x:c>
      <x:c r="AW681" s="604" t="n">
        <x:v>46297.01241842593</x:v>
      </x:c>
      <x:c r="AX681" s="604" t="inlineStr">
        <x:is>
          <x:t xml:space="preserve">https://simondongxiao.github.io/odds/v4/</x:t>
        </x:is>
      </x:c>
      <x:c r="AY681" s="604" t="inlineStr">
        <x:is>
          <x:t xml:space="preserve">V4 Shadow Only；real_money=false；P(EV&gt;0)不是比赛胜率</x:t>
        </x:is>
      </x:c>
    </x:row>
    <x:row r="682" ht="22" customHeight="1">
      <x:c r="A682" s="604" t="inlineStr">
        <x:is>
          <x:t xml:space="preserve">2026-10-02</x:t>
        </x:is>
      </x:c>
      <x:c r="B682" s="604" t="inlineStr">
        <x:is>
          <x:t xml:space="preserve">2026-10-03 06:00</x:t>
        </x:is>
      </x:c>
      <x:c r="C682" s="604" t="str">
        <x:v>南美系列</x:v>
      </x:c>
      <x:c r="D682" s="604" t="inlineStr">
        <x:is>
          <x:t xml:space="preserve">联赛</x:t>
        </x:is>
      </x:c>
      <x:c r="E682" s="604" t="inlineStr">
        <x:is>
          <x:t xml:space="preserve">哥伦乙秋</x:t>
        </x:is>
      </x:c>
      <x:c r="F682" s="604" t="inlineStr">
        <x:is>
          <x:t xml:space="preserve">卡利竞技 vs 索阿查</x:t>
        </x:is>
      </x:c>
      <x:c r="G682" s="604" t="n">
        <x:v>0.85</x:v>
      </x:c>
      <x:c r="H682" s="604" t="n">
        <x:v>0</x:v>
      </x:c>
      <x:c r="I682" s="604" t="n">
        <x:v>0.85</x:v>
      </x:c>
      <x:c r="J682" s="604" t="inlineStr">
        <x:is>
          <x:t xml:space="preserve">0.85/0/0.85</x:t>
        </x:is>
      </x:c>
      <x:c r="K682" s="604" t="inlineStr">
        <x:is>
          <x:t xml:space="preserve">V4-C｜EV +0.0477</x:t>
        </x:is>
      </x:c>
      <x:c r="L682" s="604" t="str"/>
      <x:c r="M682" s="604" t="n">
        <x:v>0.5663310551061006</x:v>
      </x:c>
      <x:c r="N682" s="604" t="inlineStr">
        <x:is>
          <x:t xml:space="preserve">V4纸面入选-C</x:t>
        </x:is>
      </x:c>
      <x:c r="O682" s="604" t="inlineStr">
        <x:is>
          <x:t xml:space="preserve">1-2</x:t>
        </x:is>
      </x:c>
      <x:c r="P682" s="604" t="inlineStr">
        <x:is>
          <x:t xml:space="preserve">已结算</x:t>
        </x:is>
      </x:c>
      <x:c r="Q682" s="646" t="inlineStr">
        <x:is>
          <x:t xml:space="preserve">黑</x:t>
        </x:is>
      </x:c>
      <x:c r="R682" s="604" t="n">
        <x:v>0.85</x:v>
      </x:c>
      <x:c r="S682" s="604" t="n">
        <x:f>IF(OR(Q682="",Q682="待结算"),"",IF(Q682="红",R682,IF(Q682="半红",R682*0.5,IF(Q682="走",0,IF(Q682="半黑",-0.5,-1)))))</x:f>
        <x:v>-1</x:v>
      </x:c>
      <x:c r="T682" s="604" t="inlineStr">
        <x:is>
          <x:t xml:space="preserve">https://m.titan007.com/analy/Analysis/3012215.htm</x:t>
        </x:is>
      </x:c>
      <x:c r="U682" s="645" t="str">
        <x:f>IF(Q682="","",IF(Q682="待结算","待结算",IF(Q682="红","黑",IF(Q682="半红","半黑",IF(Q682="走","走",IF(Q682="半黑","半红","红"))))))</x:f>
        <x:v>红</x:v>
      </x:c>
      <x:c r="V682" s="604" t="n">
        <x:f>IF(OR(Q682="",Q682="待结算"),"",IF(L682=LEFT(F682,FIND(" vs ",F682)-1),I682,G682))</x:f>
        <x:v>0.85</x:v>
      </x:c>
      <x:c r="W682" s="604" t="n">
        <x:f>IF(OR(U682="",U682="待结算"),"",IF(U682="红",V682,IF(U682="半红",V682*0.5,IF(U682="走",0,IF(U682="半黑",-0.5,-1)))))</x:f>
        <x:v>0.85</x:v>
      </x:c>
      <x:c r="X682" s="604" t="inlineStr">
        <x:is>
          <x:t xml:space="preserve">3012215</x:t>
        </x:is>
      </x:c>
      <x:c r="Y682" s="604" t="inlineStr">
        <x:is>
          <x:t xml:space="preserve">V4</x:t>
        </x:is>
      </x:c>
      <x:c r="Z682" s="604" t="inlineStr">
        <x:is>
          <x:t xml:space="preserve">prior-2026-10-02-v1</x:t>
        </x:is>
      </x:c>
      <x:c r="AA682" s="604" t="inlineStr">
        <x:is>
          <x:t xml:space="preserve">C</x:t>
        </x:is>
      </x:c>
      <x:c r="AB682" s="604" t="n">
        <x:v>0.5663310551061006</x:v>
      </x:c>
      <x:c r="AC682" s="604" t="n"/>
      <x:c r="AD682" s="604" t="n"/>
      <x:c r="AE682" s="604" t="n"/>
      <x:c r="AF682" s="604" t="n">
        <x:v>0.4336689448938995</x:v>
      </x:c>
      <x:c r="AG682" s="604" t="n">
        <x:v>0.04771245194628598</x:v>
      </x:c>
      <x:c r="AH682" s="604" t="n"/>
      <x:c r="AI682" s="604" t="n"/>
      <x:c r="AJ682" s="604" t="n">
        <x:v>0.04771245194628598</x:v>
      </x:c>
      <x:c r="AK682" s="604" t="n"/>
      <x:c r="AL682" s="604" t="n"/>
      <x:c r="AM682" s="604" t="n"/>
      <x:c r="AN682" s="604" t="inlineStr">
        <x:is>
          <x:t xml:space="preserve">EVALUATED</x:t>
        </x:is>
      </x:c>
      <x:c r="AO682" s="604" t="inlineStr">
        <x:is>
          <x:t xml:space="preserve">EDGE_BELOW_UNCERTAINTY_THRESHOLD、BUCKET_PRIOR_ONLY、INTENT_INTERPRETATION_ONLY、EXPERT_MARKET</x:t>
        </x:is>
      </x:c>
      <x:c r="AP682" s="604" t="inlineStr">
        <x:is>
          <x:t xml:space="preserve">d78585a663565380c662</x:t>
        </x:is>
      </x:c>
      <x:c r="AQ682" s="604" t="n">
        <x:v>0</x:v>
      </x:c>
      <x:c r="AR682" s="604" t="n"/>
      <x:c r="AS682" s="604" t="n">
        <x:v>0</x:v>
      </x:c>
      <x:c r="AT682" s="604" t="n">
        <x:v>0</x:v>
      </x:c>
      <x:c r="AU682" s="604" t="n">
        <x:v>0.85</x:v>
      </x:c>
      <x:c r="AV682" s="604" t="n">
        <x:v>0.85</x:v>
      </x:c>
      <x:c r="AW682" s="604" t="n">
        <x:v>46297.01241842593</x:v>
      </x:c>
      <x:c r="AX682" s="604" t="inlineStr">
        <x:is>
          <x:t xml:space="preserve">https://simondongxiao.github.io/odds/v4/</x:t>
        </x:is>
      </x:c>
      <x:c r="AY682" s="604" t="inlineStr">
        <x:is>
          <x:t xml:space="preserve">V4 Shadow Only；real_money=false；P(EV&gt;0)不是比赛胜率</x:t>
        </x:is>
      </x:c>
    </x:row>
    <x:row r="683" ht="22" customHeight="1">
      <x:c r="A683" s="604" t="inlineStr">
        <x:is>
          <x:t xml:space="preserve">2026-10-02</x:t>
        </x:is>
      </x:c>
      <x:c r="B683" s="604" t="inlineStr">
        <x:is>
          <x:t xml:space="preserve">2026-10-03 06:15</x:t>
        </x:is>
      </x:c>
      <x:c r="C683" s="604" t="str">
        <x:v>南美系列</x:v>
      </x:c>
      <x:c r="D683" s="604" t="inlineStr">
        <x:is>
          <x:t xml:space="preserve">联赛</x:t>
        </x:is>
      </x:c>
      <x:c r="E683" s="604" t="inlineStr">
        <x:is>
          <x:t xml:space="preserve">阿甲</x:t>
        </x:is>
      </x:c>
      <x:c r="F683" s="604" t="inlineStr">
        <x:is>
          <x:t xml:space="preserve">阿根廷独立 vs 科尔多瓦学院</x:t>
        </x:is>
      </x:c>
      <x:c r="G683" s="604" t="n">
        <x:v>1.03</x:v>
      </x:c>
      <x:c r="H683" s="604" t="n">
        <x:v>0.25</x:v>
      </x:c>
      <x:c r="I683" s="604" t="n">
        <x:v>0.85</x:v>
      </x:c>
      <x:c r="J683" s="604" t="inlineStr">
        <x:is>
          <x:t xml:space="preserve">1.03/0.25/0.85</x:t>
        </x:is>
      </x:c>
      <x:c r="K683" s="604" t="inlineStr">
        <x:is>
          <x:t xml:space="preserve">V4-C｜EV +0.0534</x:t>
        </x:is>
      </x:c>
      <x:c r="L683" s="604" t="inlineStr">
        <x:is>
          <x:t xml:space="preserve">阿根廷独立</x:t>
        </x:is>
      </x:c>
      <x:c r="M683" s="604" t="n">
        <x:v>0.5228765224256673</x:v>
      </x:c>
      <x:c r="N683" s="604" t="inlineStr">
        <x:is>
          <x:t xml:space="preserve">V4纸面入选-C</x:t>
        </x:is>
      </x:c>
      <x:c r="O683" s="604" t="inlineStr">
        <x:is>
          <x:t xml:space="preserve">1-4</x:t>
        </x:is>
      </x:c>
      <x:c r="P683" s="604" t="inlineStr">
        <x:is>
          <x:t xml:space="preserve">已结算</x:t>
        </x:is>
      </x:c>
      <x:c r="Q683" s="646" t="inlineStr">
        <x:is>
          <x:t xml:space="preserve">黑</x:t>
        </x:is>
      </x:c>
      <x:c r="R683" s="604" t="n">
        <x:v>1.03</x:v>
      </x:c>
      <x:c r="S683" s="604" t="n">
        <x:f>IF(OR(Q683="",Q683="待结算"),"",IF(Q683="红",R683,IF(Q683="半红",R683*0.5,IF(Q683="走",0,IF(Q683="半黑",-0.5,-1)))))</x:f>
        <x:v>-1</x:v>
      </x:c>
      <x:c r="T683" s="604" t="inlineStr">
        <x:is>
          <x:t xml:space="preserve">https://m.titan007.com/analy/Analysis/2962662.htm</x:t>
        </x:is>
      </x:c>
      <x:c r="U683" s="645" t="str">
        <x:f>IF(Q683="","",IF(Q683="待结算","待结算",IF(Q683="红","黑",IF(Q683="半红","半黑",IF(Q683="走","走",IF(Q683="半黑","半红","红"))))))</x:f>
        <x:v>红</x:v>
      </x:c>
      <x:c r="V683" s="604" t="n">
        <x:f>IF(OR(Q683="",Q683="待结算"),"",IF(L683=LEFT(F683,FIND(" vs ",F683)-1),I683,G683))</x:f>
        <x:v>0.85</x:v>
      </x:c>
      <x:c r="W683" s="604" t="n">
        <x:f>IF(OR(U683="",U683="待结算"),"",IF(U683="红",V683,IF(U683="半红",V683*0.5,IF(U683="走",0,IF(U683="半黑",-0.5,-1)))))</x:f>
        <x:v>0.85</x:v>
      </x:c>
      <x:c r="X683" s="604" t="inlineStr">
        <x:is>
          <x:t xml:space="preserve">2962662</x:t>
        </x:is>
      </x:c>
      <x:c r="Y683" s="604" t="inlineStr">
        <x:is>
          <x:t xml:space="preserve">V4</x:t>
        </x:is>
      </x:c>
      <x:c r="Z683" s="604" t="inlineStr">
        <x:is>
          <x:t xml:space="preserve">prior-2026-10-02-v1</x:t>
        </x:is>
      </x:c>
      <x:c r="AA683" s="604" t="inlineStr">
        <x:is>
          <x:t xml:space="preserve">C</x:t>
        </x:is>
      </x:c>
      <x:c r="AB683" s="604" t="n">
        <x:v>0.4545064944002318</x:v>
      </x:c>
      <x:c r="AC683" s="604" t="n"/>
      <x:c r="AD683" s="604" t="n"/>
      <x:c r="AE683" s="604" t="n">
        <x:v>0.2615150043771762</x:v>
      </x:c>
      <x:c r="AF683" s="604" t="n">
        <x:v>0.2839785012225919</x:v>
      </x:c>
      <x:c r="AG683" s="604" t="n">
        <x:v>0.05340568582105876</x:v>
      </x:c>
      <x:c r="AH683" s="604" t="n"/>
      <x:c r="AI683" s="604" t="n"/>
      <x:c r="AJ683" s="604" t="n">
        <x:v>0.05340568582105876</x:v>
      </x:c>
      <x:c r="AK683" s="604" t="n"/>
      <x:c r="AL683" s="604" t="n"/>
      <x:c r="AM683" s="604" t="n"/>
      <x:c r="AN683" s="604" t="inlineStr">
        <x:is>
          <x:t xml:space="preserve">EVALUATED</x:t>
        </x:is>
      </x:c>
      <x:c r="AO683" s="604" t="inlineStr">
        <x:is>
          <x:t xml:space="preserve">GIVING_VALIDATED_EDGE、BUCKET_PRIOR_ONLY、INTENT_INTERPRETATION_ONLY、EXPERT_MARKET</x:t>
        </x:is>
      </x:c>
      <x:c r="AP683" s="604" t="inlineStr">
        <x:is>
          <x:t xml:space="preserve">b2332839eecfbf1d0d6b</x:t>
        </x:is>
      </x:c>
      <x:c r="AQ683" s="604" t="n">
        <x:v>-0.25</x:v>
      </x:c>
      <x:c r="AR683" s="604" t="n">
        <x:v>1.03</x:v>
      </x:c>
      <x:c r="AS683" s="604" t="n">
        <x:v>0.25</x:v>
      </x:c>
      <x:c r="AT683" s="604" t="n">
        <x:v>-0.25</x:v>
      </x:c>
      <x:c r="AU683" s="604" t="n">
        <x:v>1.03</x:v>
      </x:c>
      <x:c r="AV683" s="604" t="n">
        <x:v>0.85</x:v>
      </x:c>
      <x:c r="AW683" s="604" t="n">
        <x:v>46297.01241842593</x:v>
      </x:c>
      <x:c r="AX683" s="604" t="inlineStr">
        <x:is>
          <x:t xml:space="preserve">https://simondongxiao.github.io/odds/v4/</x:t>
        </x:is>
      </x:c>
      <x:c r="AY683" s="604" t="inlineStr">
        <x:is>
          <x:t xml:space="preserve">V4 Shadow Only；real_money=false；P(EV&gt;0)不是比赛胜率</x:t>
        </x:is>
      </x:c>
    </x:row>
    <x:row r="684" ht="22" customHeight="1">
      <x:c r="A684" s="604" t="inlineStr">
        <x:is>
          <x:t xml:space="preserve">2026-10-02</x:t>
        </x:is>
      </x:c>
      <x:c r="B684" s="604" t="inlineStr">
        <x:is>
          <x:t xml:space="preserve">2026-10-03 06:30</x:t>
        </x:is>
      </x:c>
      <x:c r="C684" s="604" t="str">
        <x:v>南美系列</x:v>
      </x:c>
      <x:c r="D684" s="604" t="inlineStr">
        <x:is>
          <x:t xml:space="preserve">联赛</x:t>
        </x:is>
      </x:c>
      <x:c r="E684" s="604" t="inlineStr">
        <x:is>
          <x:t xml:space="preserve">巴西乙</x:t>
        </x:is>
      </x:c>
      <x:c r="F684" s="604" t="inlineStr">
        <x:is>
          <x:t xml:space="preserve">圣贝纳多 vs 雷加塔斯巴西</x:t>
        </x:is>
      </x:c>
      <x:c r="G684" s="604" t="n">
        <x:v>1.11</x:v>
      </x:c>
      <x:c r="H684" s="604" t="n">
        <x:v>0</x:v>
      </x:c>
      <x:c r="I684" s="604" t="n">
        <x:v>0.78</x:v>
      </x:c>
      <x:c r="J684" s="604" t="inlineStr">
        <x:is>
          <x:t xml:space="preserve">1.11/0/0.78</x:t>
        </x:is>
      </x:c>
      <x:c r="K684" s="604" t="inlineStr">
        <x:is>
          <x:t xml:space="preserve">V4-C｜EV +0.0316</x:t>
        </x:is>
      </x:c>
      <x:c r="L684" s="604" t="str"/>
      <x:c r="M684" s="604" t="n">
        <x:v>0.4911488416924299</x:v>
      </x:c>
      <x:c r="N684" s="604" t="inlineStr">
        <x:is>
          <x:t xml:space="preserve">V4纸面入选-C</x:t>
        </x:is>
      </x:c>
      <x:c r="O684" s="604" t="inlineStr">
        <x:is>
          <x:t xml:space="preserve">3-1</x:t>
        </x:is>
      </x:c>
      <x:c r="P684" s="604" t="inlineStr">
        <x:is>
          <x:t xml:space="preserve">已结算</x:t>
        </x:is>
      </x:c>
      <x:c r="Q684" s="645" t="inlineStr">
        <x:is>
          <x:t xml:space="preserve">红</x:t>
        </x:is>
      </x:c>
      <x:c r="R684" s="604" t="n">
        <x:v>0.78</x:v>
      </x:c>
      <x:c r="S684" s="604" t="n">
        <x:f>IF(OR(Q684="",Q684="待结算"),"",IF(Q684="红",R684,IF(Q684="半红",R684*0.5,IF(Q684="走",0,IF(Q684="半黑",-0.5,-1)))))</x:f>
        <x:v>0.78</x:v>
      </x:c>
      <x:c r="T684" s="604" t="inlineStr">
        <x:is>
          <x:t xml:space="preserve">https://m.titan007.com/analy/Analysis/2940214.htm</x:t>
        </x:is>
      </x:c>
      <x:c r="U684" s="646" t="str">
        <x:f>IF(Q684="","",IF(Q684="待结算","待结算",IF(Q684="红","黑",IF(Q684="半红","半黑",IF(Q684="走","走",IF(Q684="半黑","半红","红"))))))</x:f>
        <x:v>黑</x:v>
      </x:c>
      <x:c r="V684" s="604" t="n">
        <x:f>IF(OR(Q684="",Q684="待结算"),"",IF(L684=LEFT(F684,FIND(" vs ",F684)-1),I684,G684))</x:f>
        <x:v>1.11</x:v>
      </x:c>
      <x:c r="W684" s="604" t="n">
        <x:f>IF(OR(U684="",U684="待结算"),"",IF(U684="红",V684,IF(U684="半红",V684*0.5,IF(U684="走",0,IF(U684="半黑",-0.5,-1)))))</x:f>
        <x:v>-1</x:v>
      </x:c>
      <x:c r="X684" s="604" t="inlineStr">
        <x:is>
          <x:t xml:space="preserve">2940214</x:t>
        </x:is>
      </x:c>
      <x:c r="Y684" s="604" t="inlineStr">
        <x:is>
          <x:t xml:space="preserve">V4</x:t>
        </x:is>
      </x:c>
      <x:c r="Z684" s="604" t="inlineStr">
        <x:is>
          <x:t xml:space="preserve">prior-2026-10-02-v1</x:t>
        </x:is>
      </x:c>
      <x:c r="AA684" s="604" t="inlineStr">
        <x:is>
          <x:t xml:space="preserve">C</x:t>
        </x:is>
      </x:c>
      <x:c r="AB684" s="604" t="n">
        <x:v>0.4267281954607069</x:v>
      </x:c>
      <x:c r="AC684" s="604" t="n"/>
      <x:c r="AD684" s="604" t="n"/>
      <x:c r="AE684" s="604" t="n">
        <x:v>0.2623263693740518</x:v>
      </x:c>
      <x:c r="AF684" s="604" t="n">
        <x:v>0.3109454351652413</x:v>
      </x:c>
      <x:c r="AG684" s="604" t="n">
        <x:v>0.03155967710911745</x:v>
      </x:c>
      <x:c r="AH684" s="604" t="n"/>
      <x:c r="AI684" s="604" t="n"/>
      <x:c r="AJ684" s="604" t="n">
        <x:v>0.03155967710911745</x:v>
      </x:c>
      <x:c r="AK684" s="604" t="n"/>
      <x:c r="AL684" s="604" t="n"/>
      <x:c r="AM684" s="604" t="n"/>
      <x:c r="AN684" s="604" t="inlineStr">
        <x:is>
          <x:t xml:space="preserve">EVALUATED</x:t>
        </x:is>
      </x:c>
      <x:c r="AO684" s="604" t="inlineStr">
        <x:is>
          <x:t xml:space="preserve">EDGE_BELOW_UNCERTAINTY_THRESHOLD、BUCKET_PRIOR_ONLY、INTENT_INTERPRETATION_ONLY、EXPERT_MARKET</x:t>
        </x:is>
      </x:c>
      <x:c r="AP684" s="604" t="inlineStr">
        <x:is>
          <x:t xml:space="preserve">ac9de0a919d409b3df5c</x:t>
        </x:is>
      </x:c>
      <x:c r="AQ684" s="604" t="n">
        <x:v>0</x:v>
      </x:c>
      <x:c r="AR684" s="604" t="n"/>
      <x:c r="AS684" s="604" t="n">
        <x:v>0</x:v>
      </x:c>
      <x:c r="AT684" s="604" t="n">
        <x:v>0</x:v>
      </x:c>
      <x:c r="AU684" s="604" t="n">
        <x:v>1.11</x:v>
      </x:c>
      <x:c r="AV684" s="604" t="n">
        <x:v>0.78</x:v>
      </x:c>
      <x:c r="AW684" s="604" t="n">
        <x:v>46297.01241842593</x:v>
      </x:c>
      <x:c r="AX684" s="604" t="inlineStr">
        <x:is>
          <x:t xml:space="preserve">https://simondongxiao.github.io/odds/v4/</x:t>
        </x:is>
      </x:c>
      <x:c r="AY684" s="604" t="inlineStr">
        <x:is>
          <x:t xml:space="preserve">V4 Shadow Only；real_money=false；P(EV&gt;0)不是比赛胜率</x:t>
        </x:is>
      </x:c>
    </x:row>
    <x:row r="685" ht="22" customHeight="1">
      <x:c r="A685" s="604" t="inlineStr">
        <x:is>
          <x:t xml:space="preserve">2026-10-02</x:t>
        </x:is>
      </x:c>
      <x:c r="B685" s="604" t="inlineStr">
        <x:is>
          <x:t xml:space="preserve">2026-10-03 07:00</x:t>
        </x:is>
      </x:c>
      <x:c r="C685" s="604" t="str">
        <x:v>南美系列</x:v>
      </x:c>
      <x:c r="D685" s="604" t="inlineStr">
        <x:is>
          <x:t xml:space="preserve">联赛</x:t>
        </x:is>
      </x:c>
      <x:c r="E685" s="604" t="inlineStr">
        <x:is>
          <x:t xml:space="preserve">巴西甲</x:t>
        </x:is>
      </x:c>
      <x:c r="F685" s="604" t="inlineStr">
        <x:is>
          <x:t xml:space="preserve">圣保罗 vs 桑托斯</x:t>
        </x:is>
      </x:c>
      <x:c r="G685" s="604" t="n">
        <x:v>1.04</x:v>
      </x:c>
      <x:c r="H685" s="604" t="n">
        <x:v>0.5</x:v>
      </x:c>
      <x:c r="I685" s="604" t="n">
        <x:v>0.84</x:v>
      </x:c>
      <x:c r="J685" s="604" t="inlineStr">
        <x:is>
          <x:t xml:space="preserve">1.04/0.5/0.84</x:t>
        </x:is>
      </x:c>
      <x:c r="K685" s="604" t="inlineStr">
        <x:is>
          <x:t xml:space="preserve">V4-B｜EV +0.0906</x:t>
        </x:is>
      </x:c>
      <x:c r="L685" s="604" t="inlineStr">
        <x:is>
          <x:t xml:space="preserve">圣保罗</x:t>
        </x:is>
      </x:c>
      <x:c r="M685" s="604" t="n">
        <x:v>0.534624515852104</x:v>
      </x:c>
      <x:c r="N685" s="604" t="inlineStr">
        <x:is>
          <x:t xml:space="preserve">V4纸面入选-B</x:t>
        </x:is>
      </x:c>
      <x:c r="O685" s="604" t="inlineStr">
        <x:is>
          <x:t xml:space="preserve">1-2</x:t>
        </x:is>
      </x:c>
      <x:c r="P685" s="604" t="inlineStr">
        <x:is>
          <x:t xml:space="preserve">已结算</x:t>
        </x:is>
      </x:c>
      <x:c r="Q685" s="646" t="inlineStr">
        <x:is>
          <x:t xml:space="preserve">黑</x:t>
        </x:is>
      </x:c>
      <x:c r="R685" s="604" t="n">
        <x:v>1.04</x:v>
      </x:c>
      <x:c r="S685" s="604" t="n">
        <x:f>IF(OR(Q685="",Q685="待结算"),"",IF(Q685="红",R685,IF(Q685="半红",R685*0.5,IF(Q685="走",0,IF(Q685="半黑",-0.5,-1)))))</x:f>
        <x:v>-1</x:v>
      </x:c>
      <x:c r="T685" s="604" t="inlineStr">
        <x:is>
          <x:t xml:space="preserve">https://m.titan007.com/analy/Analysis/2910835.htm</x:t>
        </x:is>
      </x:c>
      <x:c r="U685" s="645" t="str">
        <x:f>IF(Q685="","",IF(Q685="待结算","待结算",IF(Q685="红","黑",IF(Q685="半红","半黑",IF(Q685="走","走",IF(Q685="半黑","半红","红"))))))</x:f>
        <x:v>红</x:v>
      </x:c>
      <x:c r="V685" s="604" t="n">
        <x:f>IF(OR(Q685="",Q685="待结算"),"",IF(L685=LEFT(F685,FIND(" vs ",F685)-1),I685,G685))</x:f>
        <x:v>0.84</x:v>
      </x:c>
      <x:c r="W685" s="604" t="n">
        <x:f>IF(OR(U685="",U685="待结算"),"",IF(U685="红",V685,IF(U685="半红",V685*0.5,IF(U685="走",0,IF(U685="半黑",-0.5,-1)))))</x:f>
        <x:v>0.84</x:v>
      </x:c>
      <x:c r="X685" s="604" t="inlineStr">
        <x:is>
          <x:t xml:space="preserve">2910835</x:t>
        </x:is>
      </x:c>
      <x:c r="Y685" s="604" t="inlineStr">
        <x:is>
          <x:t xml:space="preserve">V4</x:t>
        </x:is>
      </x:c>
      <x:c r="Z685" s="604" t="inlineStr">
        <x:is>
          <x:t xml:space="preserve">prior-2026-10-02-v1</x:t>
        </x:is>
      </x:c>
      <x:c r="AA685" s="604" t="inlineStr">
        <x:is>
          <x:t xml:space="preserve">B</x:t>
        </x:is>
      </x:c>
      <x:c r="AB685" s="604" t="n">
        <x:v>0.534624515852104</x:v>
      </x:c>
      <x:c r="AC685" s="604" t="n"/>
      <x:c r="AD685" s="604" t="n"/>
      <x:c r="AE685" s="604" t="n"/>
      <x:c r="AF685" s="604" t="n">
        <x:v>0.465375484147896</x:v>
      </x:c>
      <x:c r="AG685" s="604" t="n">
        <x:v>0.09063401233829221</x:v>
      </x:c>
      <x:c r="AH685" s="604" t="n"/>
      <x:c r="AI685" s="604" t="n"/>
      <x:c r="AJ685" s="604" t="n">
        <x:v>0.09063401233829221</x:v>
      </x:c>
      <x:c r="AK685" s="604" t="n"/>
      <x:c r="AL685" s="604" t="n"/>
      <x:c r="AM685" s="604" t="n"/>
      <x:c r="AN685" s="604" t="inlineStr">
        <x:is>
          <x:t xml:space="preserve">EVALUATED</x:t>
        </x:is>
      </x:c>
      <x:c r="AO685" s="604" t="inlineStr">
        <x:is>
          <x:t xml:space="preserve">GIVING_VALIDATED_EDGE、BUCKET_PRIOR_ONLY、INTENT_INTERPRETATION_ONLY、EXPERT_MARKET</x:t>
        </x:is>
      </x:c>
      <x:c r="AP685" s="604" t="inlineStr">
        <x:is>
          <x:t xml:space="preserve">f93214a2ce738a2cebdd</x:t>
        </x:is>
      </x:c>
      <x:c r="AQ685" s="604" t="n">
        <x:v>-0.5</x:v>
      </x:c>
      <x:c r="AR685" s="604" t="n">
        <x:v>1.04</x:v>
      </x:c>
      <x:c r="AS685" s="604" t="n">
        <x:v>0.5</x:v>
      </x:c>
      <x:c r="AT685" s="604" t="n">
        <x:v>-0.5</x:v>
      </x:c>
      <x:c r="AU685" s="604" t="n">
        <x:v>1.04</x:v>
      </x:c>
      <x:c r="AV685" s="604" t="n">
        <x:v>0.84</x:v>
      </x:c>
      <x:c r="AW685" s="604" t="n">
        <x:v>46297.01241842593</x:v>
      </x:c>
      <x:c r="AX685" s="604" t="inlineStr">
        <x:is>
          <x:t xml:space="preserve">https://simondongxiao.github.io/odds/v4/</x:t>
        </x:is>
      </x:c>
      <x:c r="AY685" s="604" t="inlineStr">
        <x:is>
          <x:t xml:space="preserve">V4 Shadow Only；real_money=false；P(EV&gt;0)不是比赛胜率</x:t>
        </x:is>
      </x:c>
    </x:row>
    <x:row r="686" ht="22" customHeight="1">
      <x:c r="A686" s="604" t="inlineStr">
        <x:is>
          <x:t xml:space="preserve">2026-10-02</x:t>
        </x:is>
      </x:c>
      <x:c r="B686" s="604" t="inlineStr">
        <x:is>
          <x:t xml:space="preserve">2026-10-03 07:00</x:t>
        </x:is>
      </x:c>
      <x:c r="C686" s="604" t="str">
        <x:v>北美系列</x:v>
      </x:c>
      <x:c r="D686" s="604" t="inlineStr">
        <x:is>
          <x:t xml:space="preserve">联赛</x:t>
        </x:is>
      </x:c>
      <x:c r="E686" s="604" t="inlineStr">
        <x:is>
          <x:t xml:space="preserve">墨西女超春</x:t>
        </x:is>
      </x:c>
      <x:c r="F686" s="604" t="inlineStr">
        <x:is>
          <x:t xml:space="preserve">拿根亚女足 vs 普埃布拉女足</x:t>
        </x:is>
      </x:c>
      <x:c r="G686" s="604" t="n">
        <x:v>0.85</x:v>
      </x:c>
      <x:c r="H686" s="604" t="n">
        <x:v>0</x:v>
      </x:c>
      <x:c r="I686" s="604" t="n">
        <x:v>0.85</x:v>
      </x:c>
      <x:c r="J686" s="604" t="inlineStr">
        <x:is>
          <x:t xml:space="preserve">0.85/0/0.85</x:t>
        </x:is>
      </x:c>
      <x:c r="K686" s="604" t="inlineStr">
        <x:is>
          <x:t xml:space="preserve">V4-C｜EV +0.0018</x:t>
        </x:is>
      </x:c>
      <x:c r="L686" s="604" t="str"/>
      <x:c r="M686" s="604" t="n">
        <x:v>0.5415200159824212</x:v>
      </x:c>
      <x:c r="N686" s="604" t="inlineStr">
        <x:is>
          <x:t xml:space="preserve">V4纸面入选-C</x:t>
        </x:is>
      </x:c>
      <x:c r="O686" s="604" t="inlineStr">
        <x:is>
          <x:t xml:space="preserve">1-0</x:t>
        </x:is>
      </x:c>
      <x:c r="P686" s="604" t="inlineStr">
        <x:is>
          <x:t xml:space="preserve">已结算</x:t>
        </x:is>
      </x:c>
      <x:c r="Q686" s="645" t="inlineStr">
        <x:is>
          <x:t xml:space="preserve">红</x:t>
        </x:is>
      </x:c>
      <x:c r="R686" s="604" t="n">
        <x:v>0.85</x:v>
      </x:c>
      <x:c r="S686" s="604" t="n">
        <x:f>IF(OR(Q686="",Q686="待结算"),"",IF(Q686="红",R686,IF(Q686="半红",R686*0.5,IF(Q686="走",0,IF(Q686="半黑",-0.5,-1)))))</x:f>
        <x:v>0.85</x:v>
      </x:c>
      <x:c r="T686" s="604" t="inlineStr">
        <x:is>
          <x:t xml:space="preserve">https://m.titan007.com/analy/Analysis/3046044.htm</x:t>
        </x:is>
      </x:c>
      <x:c r="U686" s="646" t="str">
        <x:f>IF(Q686="","",IF(Q686="待结算","待结算",IF(Q686="红","黑",IF(Q686="半红","半黑",IF(Q686="走","走",IF(Q686="半黑","半红","红"))))))</x:f>
        <x:v>黑</x:v>
      </x:c>
      <x:c r="V686" s="604" t="n">
        <x:f>IF(OR(Q686="",Q686="待结算"),"",IF(L686=LEFT(F686,FIND(" vs ",F686)-1),I686,G686))</x:f>
        <x:v>0.85</x:v>
      </x:c>
      <x:c r="W686" s="604" t="n">
        <x:f>IF(OR(U686="",U686="待结算"),"",IF(U686="红",V686,IF(U686="半红",V686*0.5,IF(U686="走",0,IF(U686="半黑",-0.5,-1)))))</x:f>
        <x:v>-1</x:v>
      </x:c>
      <x:c r="X686" s="604" t="inlineStr">
        <x:is>
          <x:t xml:space="preserve">3046044</x:t>
        </x:is>
      </x:c>
      <x:c r="Y686" s="604" t="inlineStr">
        <x:is>
          <x:t xml:space="preserve">V4</x:t>
        </x:is>
      </x:c>
      <x:c r="Z686" s="604" t="inlineStr">
        <x:is>
          <x:t xml:space="preserve">prior-2026-10-02-v1</x:t>
        </x:is>
      </x:c>
      <x:c r="AA686" s="604" t="inlineStr">
        <x:is>
          <x:t xml:space="preserve">C</x:t>
        </x:is>
      </x:c>
      <x:c r="AB686" s="604" t="n">
        <x:v>0.5415200159824212</x:v>
      </x:c>
      <x:c r="AC686" s="604" t="n"/>
      <x:c r="AD686" s="604" t="n"/>
      <x:c r="AE686" s="604" t="n"/>
      <x:c r="AF686" s="604" t="n">
        <x:v>0.4584799840175788</x:v>
      </x:c>
      <x:c r="AG686" s="604" t="n">
        <x:v>0.001812029567479168</x:v>
      </x:c>
      <x:c r="AH686" s="604" t="n"/>
      <x:c r="AI686" s="604" t="n"/>
      <x:c r="AJ686" s="604" t="n">
        <x:v>0.001812029567479168</x:v>
      </x:c>
      <x:c r="AK686" s="604" t="n"/>
      <x:c r="AL686" s="604" t="n"/>
      <x:c r="AM686" s="604" t="n"/>
      <x:c r="AN686" s="604" t="inlineStr">
        <x:is>
          <x:t xml:space="preserve">EVALUATED</x:t>
        </x:is>
      </x:c>
      <x:c r="AO686" s="604" t="inlineStr">
        <x:is>
          <x:t xml:space="preserve">EDGE_BELOW_UNCERTAINTY_THRESHOLD、BUCKET_PRIOR_ONLY、INTENT_INTERPRETATION_ONLY、EXPERT_MARKET</x:t>
        </x:is>
      </x:c>
      <x:c r="AP686" s="604" t="inlineStr">
        <x:is>
          <x:t xml:space="preserve">51a3f86ac24e66a98e94</x:t>
        </x:is>
      </x:c>
      <x:c r="AQ686" s="604" t="n">
        <x:v>0</x:v>
      </x:c>
      <x:c r="AR686" s="604" t="n"/>
      <x:c r="AS686" s="604" t="n">
        <x:v>0</x:v>
      </x:c>
      <x:c r="AT686" s="604" t="n">
        <x:v>0</x:v>
      </x:c>
      <x:c r="AU686" s="604" t="n">
        <x:v>0.85</x:v>
      </x:c>
      <x:c r="AV686" s="604" t="n">
        <x:v>0.85</x:v>
      </x:c>
      <x:c r="AW686" s="604" t="n">
        <x:v>46297.01241842593</x:v>
      </x:c>
      <x:c r="AX686" s="604" t="inlineStr">
        <x:is>
          <x:t xml:space="preserve">https://simondongxiao.github.io/odds/v4/</x:t>
        </x:is>
      </x:c>
      <x:c r="AY686" s="604" t="inlineStr">
        <x:is>
          <x:t xml:space="preserve">V4 Shadow Only；real_money=false；P(EV&gt;0)不是比赛胜率</x:t>
        </x:is>
      </x:c>
    </x:row>
    <x:row r="687" ht="22" customHeight="1">
      <x:c r="A687" s="604" t="inlineStr">
        <x:is>
          <x:t xml:space="preserve">2026-10-02</x:t>
        </x:is>
      </x:c>
      <x:c r="B687" s="604" t="inlineStr">
        <x:is>
          <x:t xml:space="preserve">2026-10-03 07:45</x:t>
        </x:is>
      </x:c>
      <x:c r="C687" s="604" t="str">
        <x:v>南美系列</x:v>
      </x:c>
      <x:c r="D687" s="604" t="inlineStr">
        <x:is>
          <x:t xml:space="preserve">联赛</x:t>
        </x:is>
      </x:c>
      <x:c r="E687" s="604" t="inlineStr">
        <x:is>
          <x:t xml:space="preserve">巴西乙</x:t>
        </x:is>
      </x:c>
      <x:c r="F687" s="604" t="inlineStr">
        <x:is>
          <x:t xml:space="preserve">尤文图德 vs 欧帕尔利奥</x:t>
        </x:is>
      </x:c>
      <x:c r="G687" s="604" t="n">
        <x:v>0.8100000000000001</x:v>
      </x:c>
      <x:c r="H687" s="604" t="n">
        <x:v>0.5</x:v>
      </x:c>
      <x:c r="I687" s="604" t="n">
        <x:v>1.07</x:v>
      </x:c>
      <x:c r="J687" s="604" t="inlineStr">
        <x:is>
          <x:t xml:space="preserve">0.81/0.5/1.07</x:t>
        </x:is>
      </x:c>
      <x:c r="K687" s="604" t="inlineStr">
        <x:is>
          <x:t xml:space="preserve">V4-B｜EV +0.1541</x:t>
        </x:is>
      </x:c>
      <x:c r="L687" s="604" t="inlineStr">
        <x:is>
          <x:t xml:space="preserve">尤文图德</x:t>
        </x:is>
      </x:c>
      <x:c r="M687" s="604" t="n">
        <x:v>0.6375977935331169</x:v>
      </x:c>
      <x:c r="N687" s="604" t="inlineStr">
        <x:is>
          <x:t xml:space="preserve">V4纸面入选-B</x:t>
        </x:is>
      </x:c>
      <x:c r="O687" s="604" t="inlineStr">
        <x:is>
          <x:t xml:space="preserve">3-0</x:t>
        </x:is>
      </x:c>
      <x:c r="P687" s="604" t="inlineStr">
        <x:is>
          <x:t xml:space="preserve">已结算</x:t>
        </x:is>
      </x:c>
      <x:c r="Q687" s="645" t="inlineStr">
        <x:is>
          <x:t xml:space="preserve">红</x:t>
        </x:is>
      </x:c>
      <x:c r="R687" s="604" t="n">
        <x:v>0.8100000000000001</x:v>
      </x:c>
      <x:c r="S687" s="604" t="n">
        <x:f>IF(OR(Q687="",Q687="待结算"),"",IF(Q687="红",R687,IF(Q687="半红",R687*0.5,IF(Q687="走",0,IF(Q687="半黑",-0.5,-1)))))</x:f>
        <x:v>0.81</x:v>
      </x:c>
      <x:c r="T687" s="604" t="inlineStr">
        <x:is>
          <x:t xml:space="preserve">https://m.titan007.com/analy/Analysis/2940211.htm</x:t>
        </x:is>
      </x:c>
      <x:c r="U687" s="646" t="str">
        <x:f>IF(Q687="","",IF(Q687="待结算","待结算",IF(Q687="红","黑",IF(Q687="半红","半黑",IF(Q687="走","走",IF(Q687="半黑","半红","红"))))))</x:f>
        <x:v>黑</x:v>
      </x:c>
      <x:c r="V687" s="604" t="n">
        <x:f>IF(OR(Q687="",Q687="待结算"),"",IF(L687=LEFT(F687,FIND(" vs ",F687)-1),I687,G687))</x:f>
        <x:v>1.07</x:v>
      </x:c>
      <x:c r="W687" s="604" t="n">
        <x:f>IF(OR(U687="",U687="待结算"),"",IF(U687="红",V687,IF(U687="半红",V687*0.5,IF(U687="走",0,IF(U687="半黑",-0.5,-1)))))</x:f>
        <x:v>-1</x:v>
      </x:c>
      <x:c r="X687" s="604" t="inlineStr">
        <x:is>
          <x:t xml:space="preserve">2940211</x:t>
        </x:is>
      </x:c>
      <x:c r="Y687" s="604" t="inlineStr">
        <x:is>
          <x:t xml:space="preserve">V4</x:t>
        </x:is>
      </x:c>
      <x:c r="Z687" s="604" t="inlineStr">
        <x:is>
          <x:t xml:space="preserve">prior-2026-10-02-v1</x:t>
        </x:is>
      </x:c>
      <x:c r="AA687" s="604" t="inlineStr">
        <x:is>
          <x:t xml:space="preserve">B</x:t>
        </x:is>
      </x:c>
      <x:c r="AB687" s="604" t="n">
        <x:v>0.6375977935331169</x:v>
      </x:c>
      <x:c r="AC687" s="604" t="n"/>
      <x:c r="AD687" s="604" t="n"/>
      <x:c r="AE687" s="604" t="n"/>
      <x:c r="AF687" s="604" t="n">
        <x:v>0.3624022064668831</x:v>
      </x:c>
      <x:c r="AG687" s="604" t="n">
        <x:v>0.1540520062949415</x:v>
      </x:c>
      <x:c r="AH687" s="604" t="n"/>
      <x:c r="AI687" s="604" t="n"/>
      <x:c r="AJ687" s="604" t="n">
        <x:v>0.1540520062949415</x:v>
      </x:c>
      <x:c r="AK687" s="604" t="n"/>
      <x:c r="AL687" s="604" t="n"/>
      <x:c r="AM687" s="604" t="n"/>
      <x:c r="AN687" s="604" t="inlineStr">
        <x:is>
          <x:t xml:space="preserve">EVALUATED</x:t>
        </x:is>
      </x:c>
      <x:c r="AO687" s="604" t="inlineStr">
        <x:is>
          <x:t xml:space="preserve">GIVING_VALIDATED_EDGE、BUCKET_PRIOR_ONLY、INTENT_INTERPRETATION_ONLY、EXPERT_MARKET</x:t>
        </x:is>
      </x:c>
      <x:c r="AP687" s="604" t="inlineStr">
        <x:is>
          <x:t xml:space="preserve">86ad676dd2841cb24c93</x:t>
        </x:is>
      </x:c>
      <x:c r="AQ687" s="604" t="n">
        <x:v>-0.5</x:v>
      </x:c>
      <x:c r="AR687" s="604" t="n">
        <x:v>0.8100000000000001</x:v>
      </x:c>
      <x:c r="AS687" s="604" t="n">
        <x:v>0.5</x:v>
      </x:c>
      <x:c r="AT687" s="604" t="n">
        <x:v>-0.5</x:v>
      </x:c>
      <x:c r="AU687" s="604" t="n">
        <x:v>0.8100000000000001</x:v>
      </x:c>
      <x:c r="AV687" s="604" t="n">
        <x:v>1.07</x:v>
      </x:c>
      <x:c r="AW687" s="604" t="n">
        <x:v>46297.01241842593</x:v>
      </x:c>
      <x:c r="AX687" s="604" t="inlineStr">
        <x:is>
          <x:t xml:space="preserve">https://simondongxiao.github.io/odds/v4/</x:t>
        </x:is>
      </x:c>
      <x:c r="AY687" s="604" t="inlineStr">
        <x:is>
          <x:t xml:space="preserve">V4 Shadow Only；real_money=false；P(EV&gt;0)不是比赛胜率</x:t>
        </x:is>
      </x:c>
    </x:row>
    <x:row r="688" ht="22" customHeight="1">
      <x:c r="A688" s="604" t="inlineStr">
        <x:is>
          <x:t xml:space="preserve">2026-10-02</x:t>
        </x:is>
      </x:c>
      <x:c r="B688" s="604" t="inlineStr">
        <x:is>
          <x:t xml:space="preserve">2026-10-03 08:00</x:t>
        </x:is>
      </x:c>
      <x:c r="C688" s="604" t="str">
        <x:v>北美系列</x:v>
      </x:c>
      <x:c r="D688" s="604" t="inlineStr">
        <x:is>
          <x:t xml:space="preserve">联赛</x:t>
        </x:is>
      </x:c>
      <x:c r="E688" s="604" t="inlineStr">
        <x:is>
          <x:t xml:space="preserve">美女职</x:t>
        </x:is>
      </x:c>
      <x:c r="F688" s="604" t="inlineStr">
        <x:is>
          <x:t xml:space="preserve">奥兰多荣耀女足 vs 圣地亚哥波浪女足</x:t>
        </x:is>
      </x:c>
      <x:c r="G688" s="604" t="n">
        <x:v>0.76</x:v>
      </x:c>
      <x:c r="H688" s="604" t="n">
        <x:v>0</x:v>
      </x:c>
      <x:c r="I688" s="604" t="n">
        <x:v>0.9399999999999999</x:v>
      </x:c>
      <x:c r="J688" s="604" t="inlineStr">
        <x:is>
          <x:t xml:space="preserve">0.76/0/0.94</x:t>
        </x:is>
      </x:c>
      <x:c r="K688" s="604" t="inlineStr">
        <x:is>
          <x:t xml:space="preserve">V4-C｜EV +0.0289</x:t>
        </x:is>
      </x:c>
      <x:c r="L688" s="604" t="str"/>
      <x:c r="M688" s="604" t="n">
        <x:v>0.5303846964046376</x:v>
      </x:c>
      <x:c r="N688" s="604" t="inlineStr">
        <x:is>
          <x:t xml:space="preserve">V4纸面入选-C</x:t>
        </x:is>
      </x:c>
      <x:c r="O688" s="604" t="inlineStr">
        <x:is>
          <x:t xml:space="preserve">1-2</x:t>
        </x:is>
      </x:c>
      <x:c r="P688" s="604" t="inlineStr">
        <x:is>
          <x:t xml:space="preserve">已结算</x:t>
        </x:is>
      </x:c>
      <x:c r="Q688" s="646" t="inlineStr">
        <x:is>
          <x:t xml:space="preserve">黑</x:t>
        </x:is>
      </x:c>
      <x:c r="R688" s="604" t="n">
        <x:v>0.9399999999999999</x:v>
      </x:c>
      <x:c r="S688" s="604" t="n">
        <x:f>IF(OR(Q688="",Q688="待结算"),"",IF(Q688="红",R688,IF(Q688="半红",R688*0.5,IF(Q688="走",0,IF(Q688="半黑",-0.5,-1)))))</x:f>
        <x:v>-1</x:v>
      </x:c>
      <x:c r="T688" s="604" t="inlineStr">
        <x:is>
          <x:t xml:space="preserve">https://m.titan007.com/analy/Analysis/2957065.htm</x:t>
        </x:is>
      </x:c>
      <x:c r="U688" s="645" t="str">
        <x:f>IF(Q688="","",IF(Q688="待结算","待结算",IF(Q688="红","黑",IF(Q688="半红","半黑",IF(Q688="走","走",IF(Q688="半黑","半红","红"))))))</x:f>
        <x:v>红</x:v>
      </x:c>
      <x:c r="V688" s="604" t="n">
        <x:f>IF(OR(Q688="",Q688="待结算"),"",IF(L688=LEFT(F688,FIND(" vs ",F688)-1),I688,G688))</x:f>
        <x:v>0.76</x:v>
      </x:c>
      <x:c r="W688" s="604" t="n">
        <x:f>IF(OR(U688="",U688="待结算"),"",IF(U688="红",V688,IF(U688="半红",V688*0.5,IF(U688="走",0,IF(U688="半黑",-0.5,-1)))))</x:f>
        <x:v>0.76</x:v>
      </x:c>
      <x:c r="X688" s="604" t="inlineStr">
        <x:is>
          <x:t xml:space="preserve">2957065</x:t>
        </x:is>
      </x:c>
      <x:c r="Y688" s="604" t="inlineStr">
        <x:is>
          <x:t xml:space="preserve">V4</x:t>
        </x:is>
      </x:c>
      <x:c r="Z688" s="604" t="inlineStr">
        <x:is>
          <x:t xml:space="preserve">prior-2026-10-02-v1</x:t>
        </x:is>
      </x:c>
      <x:c r="AA688" s="604" t="inlineStr">
        <x:is>
          <x:t xml:space="preserve">C</x:t>
        </x:is>
      </x:c>
      <x:c r="AB688" s="604" t="n">
        <x:v>0.5303846964046376</x:v>
      </x:c>
      <x:c r="AC688" s="604" t="n"/>
      <x:c r="AD688" s="604" t="n"/>
      <x:c r="AE688" s="604" t="n"/>
      <x:c r="AF688" s="604" t="n">
        <x:v>0.4696153035953625</x:v>
      </x:c>
      <x:c r="AG688" s="604" t="n">
        <x:v>0.02894631102499684</x:v>
      </x:c>
      <x:c r="AH688" s="604" t="n"/>
      <x:c r="AI688" s="604" t="n"/>
      <x:c r="AJ688" s="604" t="n">
        <x:v>0.02894631102499684</x:v>
      </x:c>
      <x:c r="AK688" s="604" t="n"/>
      <x:c r="AL688" s="604" t="n"/>
      <x:c r="AM688" s="604" t="n"/>
      <x:c r="AN688" s="604" t="inlineStr">
        <x:is>
          <x:t xml:space="preserve">EVALUATED</x:t>
        </x:is>
      </x:c>
      <x:c r="AO688" s="604" t="inlineStr">
        <x:is>
          <x:t xml:space="preserve">EDGE_BELOW_UNCERTAINTY_THRESHOLD、BUCKET_PRIOR_ONLY、INTENT_INTERPRETATION_ONLY、EXPERT_MARKET</x:t>
        </x:is>
      </x:c>
      <x:c r="AP688" s="604" t="inlineStr">
        <x:is>
          <x:t xml:space="preserve">df4c9babb52b534316d2</x:t>
        </x:is>
      </x:c>
      <x:c r="AQ688" s="604" t="n">
        <x:v>0</x:v>
      </x:c>
      <x:c r="AR688" s="604" t="n"/>
      <x:c r="AS688" s="604" t="n">
        <x:v>0</x:v>
      </x:c>
      <x:c r="AT688" s="604" t="n">
        <x:v>0</x:v>
      </x:c>
      <x:c r="AU688" s="604" t="n">
        <x:v>0.76</x:v>
      </x:c>
      <x:c r="AV688" s="604" t="n">
        <x:v>0.9399999999999999</x:v>
      </x:c>
      <x:c r="AW688" s="604" t="n">
        <x:v>46297.01241842593</x:v>
      </x:c>
      <x:c r="AX688" s="604" t="inlineStr">
        <x:is>
          <x:t xml:space="preserve">https://simondongxiao.github.io/odds/v4/</x:t>
        </x:is>
      </x:c>
      <x:c r="AY688" s="604" t="inlineStr">
        <x:is>
          <x:t xml:space="preserve">V4 Shadow Only；real_money=false；P(EV&gt;0)不是比赛胜率</x:t>
        </x:is>
      </x:c>
    </x:row>
    <x:row r="689" ht="22" customHeight="1">
      <x:c r="A689" s="604" t="inlineStr">
        <x:is>
          <x:t xml:space="preserve">2026-10-02</x:t>
        </x:is>
      </x:c>
      <x:c r="B689" s="604" t="inlineStr">
        <x:is>
          <x:t xml:space="preserve">2026-10-03 08:00</x:t>
        </x:is>
      </x:c>
      <x:c r="C689" s="604" t="str">
        <x:v>其他系列</x:v>
      </x:c>
      <x:c r="D689" s="604" t="inlineStr">
        <x:is>
          <x:t xml:space="preserve">联赛</x:t>
        </x:is>
      </x:c>
      <x:c r="E689" s="604" t="inlineStr">
        <x:is>
          <x:t xml:space="preserve">国际友谊</x:t>
        </x:is>
      </x:c>
      <x:c r="F689" s="604" t="inlineStr">
        <x:is>
          <x:t xml:space="preserve">哥伦比亚(中) vs 巴拉圭</x:t>
        </x:is>
      </x:c>
      <x:c r="G689" s="604" t="n">
        <x:v>0.92</x:v>
      </x:c>
      <x:c r="H689" s="604" t="n">
        <x:v>0</x:v>
      </x:c>
      <x:c r="I689" s="604" t="n">
        <x:v>0.9</x:v>
      </x:c>
      <x:c r="J689" s="604" t="inlineStr">
        <x:is>
          <x:t xml:space="preserve">0.92/0/0.9</x:t>
        </x:is>
      </x:c>
      <x:c r="K689" s="604" t="inlineStr">
        <x:is>
          <x:t xml:space="preserve">V4-C｜EV +0.0314</x:t>
        </x:is>
      </x:c>
      <x:c r="L689" s="604" t="str"/>
      <x:c r="M689" s="604" t="n">
        <x:v>0.5395738008661261</x:v>
      </x:c>
      <x:c r="N689" s="604" t="inlineStr">
        <x:is>
          <x:t xml:space="preserve">V4纸面入选-C</x:t>
        </x:is>
      </x:c>
      <x:c r="O689" s="604" t="inlineStr">
        <x:is>
          <x:t xml:space="preserve">0-1</x:t>
        </x:is>
      </x:c>
      <x:c r="P689" s="604" t="inlineStr">
        <x:is>
          <x:t xml:space="preserve">已结算</x:t>
        </x:is>
      </x:c>
      <x:c r="Q689" s="646" t="inlineStr">
        <x:is>
          <x:t xml:space="preserve">黑</x:t>
        </x:is>
      </x:c>
      <x:c r="R689" s="604" t="n">
        <x:v>0.9</x:v>
      </x:c>
      <x:c r="S689" s="604" t="n">
        <x:f>IF(OR(Q689="",Q689="待结算"),"",IF(Q689="红",R689,IF(Q689="半红",R689*0.5,IF(Q689="走",0,IF(Q689="半黑",-0.5,-1)))))</x:f>
        <x:v>-1</x:v>
      </x:c>
      <x:c r="T689" s="604" t="inlineStr">
        <x:is>
          <x:t xml:space="preserve">https://m.titan007.com/analy/Analysis/3095650.htm</x:t>
        </x:is>
      </x:c>
      <x:c r="U689" s="645" t="str">
        <x:f>IF(Q689="","",IF(Q689="待结算","待结算",IF(Q689="红","黑",IF(Q689="半红","半黑",IF(Q689="走","走",IF(Q689="半黑","半红","红"))))))</x:f>
        <x:v>红</x:v>
      </x:c>
      <x:c r="V689" s="604" t="n">
        <x:f>IF(OR(Q689="",Q689="待结算"),"",IF(L689=LEFT(F689,FIND(" vs ",F689)-1),I689,G689))</x:f>
        <x:v>0.92</x:v>
      </x:c>
      <x:c r="W689" s="604" t="n">
        <x:f>IF(OR(U689="",U689="待结算"),"",IF(U689="红",V689,IF(U689="半红",V689*0.5,IF(U689="走",0,IF(U689="半黑",-0.5,-1)))))</x:f>
        <x:v>0.92</x:v>
      </x:c>
      <x:c r="X689" s="604" t="inlineStr">
        <x:is>
          <x:t xml:space="preserve">3095650</x:t>
        </x:is>
      </x:c>
      <x:c r="Y689" s="604" t="inlineStr">
        <x:is>
          <x:t xml:space="preserve">V4</x:t>
        </x:is>
      </x:c>
      <x:c r="Z689" s="604" t="inlineStr">
        <x:is>
          <x:t xml:space="preserve">prior-2026-10-02-v1</x:t>
        </x:is>
      </x:c>
      <x:c r="AA689" s="604" t="inlineStr">
        <x:is>
          <x:t xml:space="preserve">C</x:t>
        </x:is>
      </x:c>
      <x:c r="AB689" s="604" t="n">
        <x:v>0.3432446054903938</x:v>
      </x:c>
      <x:c r="AC689" s="604" t="n">
        <x:v>0.2550435649986799</x:v>
      </x:c>
      <x:c r="AD689" s="604" t="n"/>
      <x:c r="AE689" s="604" t="n"/>
      <x:c r="AF689" s="604" t="n">
        <x:v>0.4017118295109263</x:v>
      </x:c>
      <x:c r="AG689" s="604" t="n">
        <x:v>0.03139324743962879</x:v>
      </x:c>
      <x:c r="AH689" s="604" t="n"/>
      <x:c r="AI689" s="604" t="n"/>
      <x:c r="AJ689" s="604" t="n">
        <x:v>0.03139324743962879</x:v>
      </x:c>
      <x:c r="AK689" s="604" t="n"/>
      <x:c r="AL689" s="604" t="n"/>
      <x:c r="AM689" s="604" t="n"/>
      <x:c r="AN689" s="604" t="inlineStr">
        <x:is>
          <x:t xml:space="preserve">EVALUATED</x:t>
        </x:is>
      </x:c>
      <x:c r="AO689" s="604" t="inlineStr">
        <x:is>
          <x:t xml:space="preserve">EDGE_BELOW_UNCERTAINTY_THRESHOLD、BUCKET_PRIOR_ONLY、INTENT_INTERPRETATION_ONLY、EXPERT_MARKET</x:t>
        </x:is>
      </x:c>
      <x:c r="AP689" s="604" t="inlineStr">
        <x:is>
          <x:t xml:space="preserve">78d89c07b678ea85680d</x:t>
        </x:is>
      </x:c>
      <x:c r="AQ689" s="604" t="n">
        <x:v>0</x:v>
      </x:c>
      <x:c r="AR689" s="604" t="n"/>
      <x:c r="AS689" s="604" t="n">
        <x:v>0</x:v>
      </x:c>
      <x:c r="AT689" s="604" t="n">
        <x:v>0</x:v>
      </x:c>
      <x:c r="AU689" s="604" t="n">
        <x:v>0.92</x:v>
      </x:c>
      <x:c r="AV689" s="604" t="n">
        <x:v>0.9</x:v>
      </x:c>
      <x:c r="AW689" s="604" t="n">
        <x:v>46297.01241842593</x:v>
      </x:c>
      <x:c r="AX689" s="604" t="inlineStr">
        <x:is>
          <x:t xml:space="preserve">https://simondongxiao.github.io/odds/v4/</x:t>
        </x:is>
      </x:c>
      <x:c r="AY689" s="604" t="inlineStr">
        <x:is>
          <x:t xml:space="preserve">V4 Shadow Only；real_money=false；P(EV&gt;0)不是比赛胜率</x:t>
        </x:is>
      </x:c>
    </x:row>
    <x:row r="690" ht="22" customHeight="1">
      <x:c r="A690" s="604" t="inlineStr">
        <x:is>
          <x:t xml:space="preserve">2026-10-02</x:t>
        </x:is>
      </x:c>
      <x:c r="B690" s="604" t="inlineStr">
        <x:is>
          <x:t xml:space="preserve">2026-10-03 08:30</x:t>
        </x:is>
      </x:c>
      <x:c r="C690" s="604" t="str">
        <x:v>南美系列</x:v>
      </x:c>
      <x:c r="D690" s="604" t="inlineStr">
        <x:is>
          <x:t xml:space="preserve">联赛</x:t>
        </x:is>
      </x:c>
      <x:c r="E690" s="604" t="inlineStr">
        <x:is>
          <x:t xml:space="preserve">阿甲</x:t>
        </x:is>
      </x:c>
      <x:c r="F690" s="604" t="inlineStr">
        <x:is>
          <x:t xml:space="preserve">博卡青年 vs 圣塔菲联</x:t>
        </x:is>
      </x:c>
      <x:c r="G690" s="604" t="n">
        <x:v>1.07</x:v>
      </x:c>
      <x:c r="H690" s="604" t="n">
        <x:v>1</x:v>
      </x:c>
      <x:c r="I690" s="604" t="n">
        <x:v>0.8100000000000001</x:v>
      </x:c>
      <x:c r="J690" s="604" t="inlineStr">
        <x:is>
          <x:t xml:space="preserve">1.07/1/0.81</x:t>
        </x:is>
      </x:c>
      <x:c r="K690" s="604" t="inlineStr">
        <x:is>
          <x:t xml:space="preserve">V4-A｜EV +0.2202</x:t>
        </x:is>
      </x:c>
      <x:c r="L690" s="604" t="inlineStr">
        <x:is>
          <x:t xml:space="preserve">博卡青年</x:t>
        </x:is>
      </x:c>
      <x:c r="M690" s="604" t="n">
        <x:v>0.6259893957685293</x:v>
      </x:c>
      <x:c r="N690" s="604" t="inlineStr">
        <x:is>
          <x:t xml:space="preserve">V4纸面入选-A</x:t>
        </x:is>
      </x:c>
      <x:c r="O690" s="604" t="inlineStr">
        <x:is>
          <x:t xml:space="preserve">3-0</x:t>
        </x:is>
      </x:c>
      <x:c r="P690" s="604" t="inlineStr">
        <x:is>
          <x:t xml:space="preserve">已结算</x:t>
        </x:is>
      </x:c>
      <x:c r="Q690" s="645" t="inlineStr">
        <x:is>
          <x:t xml:space="preserve">红</x:t>
        </x:is>
      </x:c>
      <x:c r="R690" s="604" t="n">
        <x:v>1.07</x:v>
      </x:c>
      <x:c r="S690" s="604" t="n">
        <x:f>IF(OR(Q690="",Q690="待结算"),"",IF(Q690="红",R690,IF(Q690="半红",R690*0.5,IF(Q690="走",0,IF(Q690="半黑",-0.5,-1)))))</x:f>
        <x:v>1.07</x:v>
      </x:c>
      <x:c r="T690" s="604" t="inlineStr">
        <x:is>
          <x:t xml:space="preserve">https://m.titan007.com/analy/Analysis/2962656.htm</x:t>
        </x:is>
      </x:c>
      <x:c r="U690" s="646" t="str">
        <x:f>IF(Q690="","",IF(Q690="待结算","待结算",IF(Q690="红","黑",IF(Q690="半红","半黑",IF(Q690="走","走",IF(Q690="半黑","半红","红"))))))</x:f>
        <x:v>黑</x:v>
      </x:c>
      <x:c r="V690" s="604" t="n">
        <x:f>IF(OR(Q690="",Q690="待结算"),"",IF(L690=LEFT(F690,FIND(" vs ",F690)-1),I690,G690))</x:f>
        <x:v>0.81</x:v>
      </x:c>
      <x:c r="W690" s="604" t="n">
        <x:f>IF(OR(U690="",U690="待结算"),"",IF(U690="红",V690,IF(U690="半红",V690*0.5,IF(U690="走",0,IF(U690="半黑",-0.5,-1)))))</x:f>
        <x:v>-1</x:v>
      </x:c>
      <x:c r="X690" s="604" t="inlineStr">
        <x:is>
          <x:t xml:space="preserve">2962656</x:t>
        </x:is>
      </x:c>
      <x:c r="Y690" s="604" t="inlineStr">
        <x:is>
          <x:t xml:space="preserve">V4</x:t>
        </x:is>
      </x:c>
      <x:c r="Z690" s="604" t="inlineStr">
        <x:is>
          <x:t xml:space="preserve">prior-2026-10-02-v1</x:t>
        </x:is>
      </x:c>
      <x:c r="AA690" s="604" t="inlineStr">
        <x:is>
          <x:t xml:space="preserve">A</x:t>
        </x:is>
      </x:c>
      <x:c r="AB690" s="604" t="n">
        <x:v>0.4661029172376738</x:v>
      </x:c>
      <x:c r="AC690" s="604" t="n"/>
      <x:c r="AD690" s="604" t="n">
        <x:v>0.2554140367418882</x:v>
      </x:c>
      <x:c r="AE690" s="604" t="n"/>
      <x:c r="AF690" s="604" t="n">
        <x:v>0.2784830460204381</x:v>
      </x:c>
      <x:c r="AG690" s="604" t="n">
        <x:v>0.220247075423873</x:v>
      </x:c>
      <x:c r="AH690" s="604" t="n"/>
      <x:c r="AI690" s="604" t="n"/>
      <x:c r="AJ690" s="604" t="n">
        <x:v>0.220247075423873</x:v>
      </x:c>
      <x:c r="AK690" s="604" t="n"/>
      <x:c r="AL690" s="604" t="n"/>
      <x:c r="AM690" s="604" t="n"/>
      <x:c r="AN690" s="604" t="inlineStr">
        <x:is>
          <x:t xml:space="preserve">EVALUATED</x:t>
        </x:is>
      </x:c>
      <x:c r="AO690" s="604" t="inlineStr">
        <x:is>
          <x:t xml:space="preserve">GIVING_VALIDATED_EDGE、BUCKET_PRIOR_ONLY、INTENT_INTERPRETATION_ONLY、EXPERT_MARKET</x:t>
        </x:is>
      </x:c>
      <x:c r="AP690" s="604" t="inlineStr">
        <x:is>
          <x:t xml:space="preserve">974f08e821430cf974d6</x:t>
        </x:is>
      </x:c>
      <x:c r="AQ690" s="604" t="n">
        <x:v>-1</x:v>
      </x:c>
      <x:c r="AR690" s="604" t="n">
        <x:v>1.07</x:v>
      </x:c>
      <x:c r="AS690" s="604" t="n">
        <x:v>1</x:v>
      </x:c>
      <x:c r="AT690" s="604" t="n">
        <x:v>-1</x:v>
      </x:c>
      <x:c r="AU690" s="604" t="n">
        <x:v>1.07</x:v>
      </x:c>
      <x:c r="AV690" s="604" t="n">
        <x:v>0.8100000000000001</x:v>
      </x:c>
      <x:c r="AW690" s="604" t="n">
        <x:v>46297.01241842593</x:v>
      </x:c>
      <x:c r="AX690" s="604" t="inlineStr">
        <x:is>
          <x:t xml:space="preserve">https://simondongxiao.github.io/odds/v4/</x:t>
        </x:is>
      </x:c>
      <x:c r="AY690" s="604" t="inlineStr">
        <x:is>
          <x:t xml:space="preserve">V4 Shadow Only；real_money=false；P(EV&gt;0)不是比赛胜率</x:t>
        </x:is>
      </x:c>
    </x:row>
    <x:row r="691" ht="22" customHeight="1">
      <x:c r="A691" s="604" t="inlineStr">
        <x:is>
          <x:t xml:space="preserve">2026-10-02</x:t>
        </x:is>
      </x:c>
      <x:c r="B691" s="604" t="inlineStr">
        <x:is>
          <x:t xml:space="preserve">2026-10-03 08:30</x:t>
        </x:is>
      </x:c>
      <x:c r="C691" s="604" t="str">
        <x:v>南美系列</x:v>
      </x:c>
      <x:c r="D691" s="604" t="inlineStr">
        <x:is>
          <x:t xml:space="preserve">联赛</x:t>
        </x:is>
      </x:c>
      <x:c r="E691" s="604" t="inlineStr">
        <x:is>
          <x:t xml:space="preserve">阿甲</x:t>
        </x:is>
      </x:c>
      <x:c r="F691" s="604" t="inlineStr">
        <x:is>
          <x:t xml:space="preserve">门多萨独立 vs 拉普拉塔体操</x:t>
        </x:is>
      </x:c>
      <x:c r="G691" s="604" t="n">
        <x:v>0.86</x:v>
      </x:c>
      <x:c r="H691" s="604" t="n">
        <x:v>0.5</x:v>
      </x:c>
      <x:c r="I691" s="604" t="n">
        <x:v>1.02</x:v>
      </x:c>
      <x:c r="J691" s="604" t="inlineStr">
        <x:is>
          <x:t xml:space="preserve">0.86/0.5/1.02</x:t>
        </x:is>
      </x:c>
      <x:c r="K691" s="604" t="inlineStr">
        <x:is>
          <x:t xml:space="preserve">V4-A｜EV +0.1714</x:t>
        </x:is>
      </x:c>
      <x:c r="L691" s="604" t="inlineStr">
        <x:is>
          <x:t xml:space="preserve">门多萨独立</x:t>
        </x:is>
      </x:c>
      <x:c r="M691" s="604" t="n">
        <x:v>0.629799575479485</x:v>
      </x:c>
      <x:c r="N691" s="604" t="inlineStr">
        <x:is>
          <x:t xml:space="preserve">V4纸面入选-A</x:t>
        </x:is>
      </x:c>
      <x:c r="O691" s="604" t="inlineStr">
        <x:is>
          <x:t xml:space="preserve">1-1</x:t>
        </x:is>
      </x:c>
      <x:c r="P691" s="604" t="inlineStr">
        <x:is>
          <x:t xml:space="preserve">已结算</x:t>
        </x:is>
      </x:c>
      <x:c r="Q691" s="646" t="inlineStr">
        <x:is>
          <x:t xml:space="preserve">黑</x:t>
        </x:is>
      </x:c>
      <x:c r="R691" s="604" t="n">
        <x:v>0.86</x:v>
      </x:c>
      <x:c r="S691" s="604" t="n">
        <x:f>IF(OR(Q691="",Q691="待结算"),"",IF(Q691="红",R691,IF(Q691="半红",R691*0.5,IF(Q691="走",0,IF(Q691="半黑",-0.5,-1)))))</x:f>
        <x:v>-1</x:v>
      </x:c>
      <x:c r="T691" s="604" t="inlineStr">
        <x:is>
          <x:t xml:space="preserve">https://m.titan007.com/analy/Analysis/2962663.htm</x:t>
        </x:is>
      </x:c>
      <x:c r="U691" s="645" t="str">
        <x:f>IF(Q691="","",IF(Q691="待结算","待结算",IF(Q691="红","黑",IF(Q691="半红","半黑",IF(Q691="走","走",IF(Q691="半黑","半红","红"))))))</x:f>
        <x:v>红</x:v>
      </x:c>
      <x:c r="V691" s="604" t="n">
        <x:f>IF(OR(Q691="",Q691="待结算"),"",IF(L691=LEFT(F691,FIND(" vs ",F691)-1),I691,G691))</x:f>
        <x:v>1.02</x:v>
      </x:c>
      <x:c r="W691" s="604" t="n">
        <x:f>IF(OR(U691="",U691="待结算"),"",IF(U691="红",V691,IF(U691="半红",V691*0.5,IF(U691="走",0,IF(U691="半黑",-0.5,-1)))))</x:f>
        <x:v>1.02</x:v>
      </x:c>
      <x:c r="X691" s="604" t="inlineStr">
        <x:is>
          <x:t xml:space="preserve">2962663</x:t>
        </x:is>
      </x:c>
      <x:c r="Y691" s="604" t="inlineStr">
        <x:is>
          <x:t xml:space="preserve">V4</x:t>
        </x:is>
      </x:c>
      <x:c r="Z691" s="604" t="inlineStr">
        <x:is>
          <x:t xml:space="preserve">prior-2026-10-02-v1</x:t>
        </x:is>
      </x:c>
      <x:c r="AA691" s="604" t="inlineStr">
        <x:is>
          <x:t xml:space="preserve">A</x:t>
        </x:is>
      </x:c>
      <x:c r="AB691" s="604" t="n">
        <x:v>0.629799575479485</x:v>
      </x:c>
      <x:c r="AC691" s="604" t="n"/>
      <x:c r="AD691" s="604" t="n"/>
      <x:c r="AE691" s="604" t="n"/>
      <x:c r="AF691" s="604" t="n">
        <x:v>0.3702004245205151</x:v>
      </x:c>
      <x:c r="AG691" s="604" t="n">
        <x:v>0.171427210391842</x:v>
      </x:c>
      <x:c r="AH691" s="604" t="n"/>
      <x:c r="AI691" s="604" t="n"/>
      <x:c r="AJ691" s="604" t="n">
        <x:v>0.171427210391842</x:v>
      </x:c>
      <x:c r="AK691" s="604" t="n"/>
      <x:c r="AL691" s="604" t="n"/>
      <x:c r="AM691" s="604" t="n"/>
      <x:c r="AN691" s="604" t="inlineStr">
        <x:is>
          <x:t xml:space="preserve">EVALUATED</x:t>
        </x:is>
      </x:c>
      <x:c r="AO691" s="604" t="inlineStr">
        <x:is>
          <x:t xml:space="preserve">GIVING_VALIDATED_EDGE、BUCKET_PRIOR_ONLY、INTENT_INTERPRETATION_ONLY、EXPERT_MARKET</x:t>
        </x:is>
      </x:c>
      <x:c r="AP691" s="604" t="inlineStr">
        <x:is>
          <x:t xml:space="preserve">ebc7ec1551b627eabc20</x:t>
        </x:is>
      </x:c>
      <x:c r="AQ691" s="604" t="n">
        <x:v>-0.5</x:v>
      </x:c>
      <x:c r="AR691" s="604" t="n">
        <x:v>0.86</x:v>
      </x:c>
      <x:c r="AS691" s="604" t="n">
        <x:v>0.5</x:v>
      </x:c>
      <x:c r="AT691" s="604" t="n">
        <x:v>-0.5</x:v>
      </x:c>
      <x:c r="AU691" s="604" t="n">
        <x:v>0.86</x:v>
      </x:c>
      <x:c r="AV691" s="604" t="n">
        <x:v>1.02</x:v>
      </x:c>
      <x:c r="AW691" s="604" t="n">
        <x:v>46297.01241842593</x:v>
      </x:c>
      <x:c r="AX691" s="604" t="inlineStr">
        <x:is>
          <x:t xml:space="preserve">https://simondongxiao.github.io/odds/v4/</x:t>
        </x:is>
      </x:c>
      <x:c r="AY691" s="604" t="inlineStr">
        <x:is>
          <x:t xml:space="preserve">V4 Shadow Only；real_money=false；P(EV&gt;0)不是比赛胜率</x:t>
        </x:is>
      </x:c>
    </x:row>
    <x:row r="692" ht="22" customHeight="1">
      <x:c r="A692" s="604" t="inlineStr">
        <x:is>
          <x:t xml:space="preserve">2026-10-02</x:t>
        </x:is>
      </x:c>
      <x:c r="B692" s="604" t="inlineStr">
        <x:is>
          <x:t xml:space="preserve">2026-10-03 08:35</x:t>
        </x:is>
      </x:c>
      <x:c r="C692" s="604" t="str">
        <x:v>南美系列</x:v>
      </x:c>
      <x:c r="D692" s="604" t="inlineStr">
        <x:is>
          <x:t xml:space="preserve">联赛</x:t>
        </x:is>
      </x:c>
      <x:c r="E692" s="604" t="inlineStr">
        <x:is>
          <x:t xml:space="preserve">巴西乙</x:t>
        </x:is>
      </x:c>
      <x:c r="F692" s="604" t="inlineStr">
        <x:is>
          <x:t xml:space="preserve">福塔雷萨 vs 累西腓航海</x:t>
        </x:is>
      </x:c>
      <x:c r="G692" s="604" t="n">
        <x:v>1.03</x:v>
      </x:c>
      <x:c r="H692" s="604" t="n">
        <x:v>0.75</x:v>
      </x:c>
      <x:c r="I692" s="604" t="n">
        <x:v>0.85</x:v>
      </x:c>
      <x:c r="J692" s="604" t="inlineStr">
        <x:is>
          <x:t xml:space="preserve">1.03/0.75/0.85</x:t>
        </x:is>
      </x:c>
      <x:c r="K692" s="604" t="inlineStr">
        <x:is>
          <x:t xml:space="preserve">V4-B｜EV +0.1208</x:t>
        </x:is>
      </x:c>
      <x:c r="L692" s="604" t="inlineStr">
        <x:is>
          <x:t xml:space="preserve">福塔雷萨</x:t>
        </x:is>
      </x:c>
      <x:c r="M692" s="604" t="n">
        <x:v>0.560855885937235</x:v>
      </x:c>
      <x:c r="N692" s="604" t="inlineStr">
        <x:is>
          <x:t xml:space="preserve">V4纸面入选-B</x:t>
        </x:is>
      </x:c>
      <x:c r="O692" s="604" t="inlineStr">
        <x:is>
          <x:t xml:space="preserve">1-1</x:t>
        </x:is>
      </x:c>
      <x:c r="P692" s="604" t="inlineStr">
        <x:is>
          <x:t xml:space="preserve">已结算</x:t>
        </x:is>
      </x:c>
      <x:c r="Q692" s="646" t="inlineStr">
        <x:is>
          <x:t xml:space="preserve">黑</x:t>
        </x:is>
      </x:c>
      <x:c r="R692" s="604" t="n">
        <x:v>1.03</x:v>
      </x:c>
      <x:c r="S692" s="604" t="n">
        <x:f>IF(OR(Q692="",Q692="待结算"),"",IF(Q692="红",R692,IF(Q692="半红",R692*0.5,IF(Q692="走",0,IF(Q692="半黑",-0.5,-1)))))</x:f>
        <x:v>-1</x:v>
      </x:c>
      <x:c r="T692" s="604" t="inlineStr">
        <x:is>
          <x:t xml:space="preserve">https://m.titan007.com/analy/Analysis/2940210.htm</x:t>
        </x:is>
      </x:c>
      <x:c r="U692" s="645" t="str">
        <x:f>IF(Q692="","",IF(Q692="待结算","待结算",IF(Q692="红","黑",IF(Q692="半红","半黑",IF(Q692="走","走",IF(Q692="半黑","半红","红"))))))</x:f>
        <x:v>红</x:v>
      </x:c>
      <x:c r="V692" s="604" t="n">
        <x:f>IF(OR(Q692="",Q692="待结算"),"",IF(L692=LEFT(F692,FIND(" vs ",F692)-1),I692,G692))</x:f>
        <x:v>0.85</x:v>
      </x:c>
      <x:c r="W692" s="604" t="n">
        <x:f>IF(OR(U692="",U692="待结算"),"",IF(U692="红",V692,IF(U692="半红",V692*0.5,IF(U692="走",0,IF(U692="半黑",-0.5,-1)))))</x:f>
        <x:v>0.85</x:v>
      </x:c>
      <x:c r="X692" s="604" t="inlineStr">
        <x:is>
          <x:t xml:space="preserve">2940210</x:t>
        </x:is>
      </x:c>
      <x:c r="Y692" s="604" t="inlineStr">
        <x:is>
          <x:t xml:space="preserve">V4</x:t>
        </x:is>
      </x:c>
      <x:c r="Z692" s="604" t="inlineStr">
        <x:is>
          <x:t xml:space="preserve">prior-2026-10-02-v1</x:t>
        </x:is>
      </x:c>
      <x:c r="AA692" s="604" t="inlineStr">
        <x:is>
          <x:t xml:space="preserve">B</x:t>
        </x:is>
      </x:c>
      <x:c r="AB692" s="604" t="n">
        <x:v>0.3606630796651047</x:v>
      </x:c>
      <x:c r="AC692" s="604" t="n">
        <x:v>0.2565167073729194</x:v>
      </x:c>
      <x:c r="AD692" s="604" t="n"/>
      <x:c r="AE692" s="604" t="n"/>
      <x:c r="AF692" s="604" t="n">
        <x:v>0.3828202129619759</x:v>
      </x:c>
      <x:c r="AG692" s="604" t="n">
        <x:v>0.1207688633901354</x:v>
      </x:c>
      <x:c r="AH692" s="604" t="n"/>
      <x:c r="AI692" s="604" t="n"/>
      <x:c r="AJ692" s="604" t="n">
        <x:v>0.1207688633901354</x:v>
      </x:c>
      <x:c r="AK692" s="604" t="n"/>
      <x:c r="AL692" s="604" t="n"/>
      <x:c r="AM692" s="604" t="n"/>
      <x:c r="AN692" s="604" t="inlineStr">
        <x:is>
          <x:t xml:space="preserve">EVALUATED</x:t>
        </x:is>
      </x:c>
      <x:c r="AO692" s="604" t="inlineStr">
        <x:is>
          <x:t xml:space="preserve">GIVING_VALIDATED_EDGE、BUCKET_PRIOR_ONLY、INTENT_INTERPRETATION_ONLY、EXPERT_MARKET</x:t>
        </x:is>
      </x:c>
      <x:c r="AP692" s="604" t="inlineStr">
        <x:is>
          <x:t xml:space="preserve">ecd123762bbba2303888</x:t>
        </x:is>
      </x:c>
      <x:c r="AQ692" s="604" t="n">
        <x:v>-0.75</x:v>
      </x:c>
      <x:c r="AR692" s="604" t="n">
        <x:v>1.03</x:v>
      </x:c>
      <x:c r="AS692" s="604" t="n">
        <x:v>0.75</x:v>
      </x:c>
      <x:c r="AT692" s="604" t="n">
        <x:v>-0.75</x:v>
      </x:c>
      <x:c r="AU692" s="604" t="n">
        <x:v>1.03</x:v>
      </x:c>
      <x:c r="AV692" s="604" t="n">
        <x:v>0.85</x:v>
      </x:c>
      <x:c r="AW692" s="604" t="n">
        <x:v>46297.01241842593</x:v>
      </x:c>
      <x:c r="AX692" s="604" t="inlineStr">
        <x:is>
          <x:t xml:space="preserve">https://simondongxiao.github.io/odds/v4/</x:t>
        </x:is>
      </x:c>
      <x:c r="AY692" s="604" t="inlineStr">
        <x:is>
          <x:t xml:space="preserve">V4 Shadow Only；real_money=false；P(EV&gt;0)不是比赛胜率</x:t>
        </x:is>
      </x:c>
    </x:row>
    <x:row r="693" ht="22" customHeight="1">
      <x:c r="A693" s="604" t="inlineStr">
        <x:is>
          <x:t xml:space="preserve">2026-10-02</x:t>
        </x:is>
      </x:c>
      <x:c r="B693" s="604" t="inlineStr">
        <x:is>
          <x:t xml:space="preserve">2026-10-03 08:45</x:t>
        </x:is>
      </x:c>
      <x:c r="C693" s="604" t="str">
        <x:v>南美系列</x:v>
      </x:c>
      <x:c r="D693" s="604" t="inlineStr">
        <x:is>
          <x:t xml:space="preserve">联赛</x:t>
        </x:is>
      </x:c>
      <x:c r="E693" s="604" t="inlineStr">
        <x:is>
          <x:t xml:space="preserve">哥伦甲秋</x:t>
        </x:is>
      </x:c>
      <x:c r="F693" s="604" t="inlineStr">
        <x:is>
          <x:t xml:space="preserve">卡利体育会 vs 阿利安萨</x:t>
        </x:is>
      </x:c>
      <x:c r="G693" s="604" t="n">
        <x:v>1</x:v>
      </x:c>
      <x:c r="H693" s="604" t="n">
        <x:v>1</x:v>
      </x:c>
      <x:c r="I693" s="604" t="n">
        <x:v>0.88</x:v>
      </x:c>
      <x:c r="J693" s="604" t="inlineStr">
        <x:is>
          <x:t xml:space="preserve">1/1/0.88</x:t>
        </x:is>
      </x:c>
      <x:c r="K693" s="604" t="inlineStr">
        <x:is>
          <x:t xml:space="preserve">V4-B｜EV +0.2088</x:t>
        </x:is>
      </x:c>
      <x:c r="L693" s="604" t="inlineStr">
        <x:is>
          <x:t xml:space="preserve">卡利体育会</x:t>
        </x:is>
      </x:c>
      <x:c r="M693" s="604" t="n">
        <x:v>0.6399473294418973</x:v>
      </x:c>
      <x:c r="N693" s="604" t="inlineStr">
        <x:is>
          <x:t xml:space="preserve">V4纸面入选-B</x:t>
        </x:is>
      </x:c>
      <x:c r="O693" s="604" t="inlineStr">
        <x:is>
          <x:t xml:space="preserve">3-1</x:t>
        </x:is>
      </x:c>
      <x:c r="P693" s="604" t="inlineStr">
        <x:is>
          <x:t xml:space="preserve">已结算</x:t>
        </x:is>
      </x:c>
      <x:c r="Q693" s="645" t="inlineStr">
        <x:is>
          <x:t xml:space="preserve">红</x:t>
        </x:is>
      </x:c>
      <x:c r="R693" s="604" t="n">
        <x:v>1</x:v>
      </x:c>
      <x:c r="S693" s="604" t="n">
        <x:f>IF(OR(Q693="",Q693="待结算"),"",IF(Q693="红",R693,IF(Q693="半红",R693*0.5,IF(Q693="走",0,IF(Q693="半黑",-0.5,-1)))))</x:f>
        <x:v>1</x:v>
      </x:c>
      <x:c r="T693" s="604" t="inlineStr">
        <x:is>
          <x:t xml:space="preserve">https://m.titan007.com/analy/Analysis/3011880.htm</x:t>
        </x:is>
      </x:c>
      <x:c r="U693" s="646" t="str">
        <x:f>IF(Q693="","",IF(Q693="待结算","待结算",IF(Q693="红","黑",IF(Q693="半红","半黑",IF(Q693="走","走",IF(Q693="半黑","半红","红"))))))</x:f>
        <x:v>黑</x:v>
      </x:c>
      <x:c r="V693" s="604" t="n">
        <x:f>IF(OR(Q693="",Q693="待结算"),"",IF(L693=LEFT(F693,FIND(" vs ",F693)-1),I693,G693))</x:f>
        <x:v>0.88</x:v>
      </x:c>
      <x:c r="W693" s="604" t="n">
        <x:f>IF(OR(U693="",U693="待结算"),"",IF(U693="红",V693,IF(U693="半红",V693*0.5,IF(U693="走",0,IF(U693="半黑",-0.5,-1)))))</x:f>
        <x:v>-1</x:v>
      </x:c>
      <x:c r="X693" s="604" t="inlineStr">
        <x:is>
          <x:t xml:space="preserve">3011880</x:t>
        </x:is>
      </x:c>
      <x:c r="Y693" s="604" t="inlineStr">
        <x:is>
          <x:t xml:space="preserve">V4</x:t>
        </x:is>
      </x:c>
      <x:c r="Z693" s="604" t="inlineStr">
        <x:is>
          <x:t xml:space="preserve">prior-2026-10-02-v1</x:t>
        </x:is>
      </x:c>
      <x:c r="AA693" s="604" t="inlineStr">
        <x:is>
          <x:t xml:space="preserve">B</x:t>
        </x:is>
      </x:c>
      <x:c r="AB693" s="604" t="n">
        <x:v>0.47742074466633</x:v>
      </x:c>
      <x:c r="AC693" s="604" t="n"/>
      <x:c r="AD693" s="604" t="n">
        <x:v>0.2539686897628087</x:v>
      </x:c>
      <x:c r="AE693" s="604" t="n"/>
      <x:c r="AF693" s="604" t="n">
        <x:v>0.2686105655708612</x:v>
      </x:c>
      <x:c r="AG693" s="604" t="n">
        <x:v>0.2088101790954688</x:v>
      </x:c>
      <x:c r="AH693" s="604" t="n"/>
      <x:c r="AI693" s="604" t="n"/>
      <x:c r="AJ693" s="604" t="n">
        <x:v>0.2088101790954688</x:v>
      </x:c>
      <x:c r="AK693" s="604" t="n"/>
      <x:c r="AL693" s="604" t="n"/>
      <x:c r="AM693" s="604" t="n"/>
      <x:c r="AN693" s="604" t="inlineStr">
        <x:is>
          <x:t xml:space="preserve">EVALUATED</x:t>
        </x:is>
      </x:c>
      <x:c r="AO693" s="604" t="inlineStr">
        <x:is>
          <x:t xml:space="preserve">GIVING_VALIDATED_EDGE、BUCKET_PRIOR_ONLY、INTENT_INTERPRETATION_ONLY、EXPERT_MARKET</x:t>
        </x:is>
      </x:c>
      <x:c r="AP693" s="604" t="inlineStr">
        <x:is>
          <x:t xml:space="preserve">b44edba58939493f40a3</x:t>
        </x:is>
      </x:c>
      <x:c r="AQ693" s="604" t="n">
        <x:v>-1</x:v>
      </x:c>
      <x:c r="AR693" s="604" t="n">
        <x:v>1</x:v>
      </x:c>
      <x:c r="AS693" s="604" t="n">
        <x:v>1</x:v>
      </x:c>
      <x:c r="AT693" s="604" t="n">
        <x:v>-1</x:v>
      </x:c>
      <x:c r="AU693" s="604" t="n">
        <x:v>1</x:v>
      </x:c>
      <x:c r="AV693" s="604" t="n">
        <x:v>0.88</x:v>
      </x:c>
      <x:c r="AW693" s="604" t="n">
        <x:v>46297.01241842593</x:v>
      </x:c>
      <x:c r="AX693" s="604" t="inlineStr">
        <x:is>
          <x:t xml:space="preserve">https://simondongxiao.github.io/odds/v4/</x:t>
        </x:is>
      </x:c>
      <x:c r="AY693" s="604" t="inlineStr">
        <x:is>
          <x:t xml:space="preserve">V4 Shadow Only；real_money=false；P(EV&gt;0)不是比赛胜率</x:t>
        </x:is>
      </x:c>
    </x:row>
    <x:row r="694" ht="22" customHeight="1">
      <x:c r="A694" s="604" t="inlineStr">
        <x:is>
          <x:t xml:space="preserve">2026-10-02</x:t>
        </x:is>
      </x:c>
      <x:c r="B694" s="604" t="inlineStr">
        <x:is>
          <x:t xml:space="preserve">2026-10-03 09:00</x:t>
        </x:is>
      </x:c>
      <x:c r="C694" s="604" t="str">
        <x:v>北美系列</x:v>
      </x:c>
      <x:c r="D694" s="604" t="inlineStr">
        <x:is>
          <x:t xml:space="preserve">联赛</x:t>
        </x:is>
      </x:c>
      <x:c r="E694" s="604" t="inlineStr">
        <x:is>
          <x:t xml:space="preserve">墨西甲春</x:t>
        </x:is>
      </x:c>
      <x:c r="F694" s="604" t="inlineStr">
        <x:is>
          <x:t xml:space="preserve">克雷卡米诺斯 vs 海德尔格</x:t>
        </x:is>
      </x:c>
      <x:c r="G694" s="604" t="n">
        <x:v>0.83</x:v>
      </x:c>
      <x:c r="H694" s="604" t="n">
        <x:v>0</x:v>
      </x:c>
      <x:c r="I694" s="604" t="n">
        <x:v>0.99</x:v>
      </x:c>
      <x:c r="J694" s="604" t="inlineStr">
        <x:is>
          <x:t xml:space="preserve">0.83/0/0.99</x:t>
        </x:is>
      </x:c>
      <x:c r="K694" s="604" t="inlineStr">
        <x:is>
          <x:t xml:space="preserve">V4-C｜EV +0.0192</x:t>
        </x:is>
      </x:c>
      <x:c r="L694" s="604" t="str"/>
      <x:c r="M694" s="604" t="n">
        <x:v>0.5584750938092704</x:v>
      </x:c>
      <x:c r="N694" s="604" t="inlineStr">
        <x:is>
          <x:t xml:space="preserve">V4纸面入选-C</x:t>
        </x:is>
      </x:c>
      <x:c r="O694" s="604" t="inlineStr">
        <x:is>
          <x:t xml:space="preserve">0-0</x:t>
        </x:is>
      </x:c>
      <x:c r="P694" s="604" t="inlineStr">
        <x:is>
          <x:t xml:space="preserve">已结算</x:t>
        </x:is>
      </x:c>
      <x:c r="Q694" s="647" t="inlineStr">
        <x:is>
          <x:t xml:space="preserve">走</x:t>
        </x:is>
      </x:c>
      <x:c r="R694" s="604" t="n">
        <x:v>0.99</x:v>
      </x:c>
      <x:c r="S694" s="604" t="n">
        <x:f>IF(OR(Q694="",Q694="待结算"),"",IF(Q694="红",R694,IF(Q694="半红",R694*0.5,IF(Q694="走",0,IF(Q694="半黑",-0.5,-1)))))</x:f>
        <x:v>0</x:v>
      </x:c>
      <x:c r="T694" s="604" t="inlineStr">
        <x:is>
          <x:t xml:space="preserve">https://m.titan007.com/analy/Analysis/3024470.htm</x:t>
        </x:is>
      </x:c>
      <x:c r="U694" s="647" t="str">
        <x:f>IF(Q694="","",IF(Q694="待结算","待结算",IF(Q694="红","黑",IF(Q694="半红","半黑",IF(Q694="走","走",IF(Q694="半黑","半红","红"))))))</x:f>
        <x:v>走</x:v>
      </x:c>
      <x:c r="V694" s="604" t="n">
        <x:f>IF(OR(Q694="",Q694="待结算"),"",IF(L694=LEFT(F694,FIND(" vs ",F694)-1),I694,G694))</x:f>
        <x:v>0.83</x:v>
      </x:c>
      <x:c r="W694" s="604" t="n">
        <x:f>IF(OR(U694="",U694="待结算"),"",IF(U694="红",V694,IF(U694="半红",V694*0.5,IF(U694="走",0,IF(U694="半黑",-0.5,-1)))))</x:f>
        <x:v>0</x:v>
      </x:c>
      <x:c r="X694" s="604" t="inlineStr">
        <x:is>
          <x:t xml:space="preserve">3024470</x:t>
        </x:is>
      </x:c>
      <x:c r="Y694" s="604" t="inlineStr">
        <x:is>
          <x:t xml:space="preserve">V4</x:t>
        </x:is>
      </x:c>
      <x:c r="Z694" s="604" t="inlineStr">
        <x:is>
          <x:t xml:space="preserve">prior-2026-10-02-v1</x:t>
        </x:is>
      </x:c>
      <x:c r="AA694" s="604" t="inlineStr">
        <x:is>
          <x:t xml:space="preserve">C</x:t>
        </x:is>
      </x:c>
      <x:c r="AB694" s="604" t="n">
        <x:v>0.3600332985808007</x:v>
      </x:c>
      <x:c r="AC694" s="604" t="n">
        <x:v>0.2546614906028847</x:v>
      </x:c>
      <x:c r="AD694" s="604" t="n"/>
      <x:c r="AE694" s="604" t="n"/>
      <x:c r="AF694" s="604" t="n">
        <x:v>0.3853052108163145</x:v>
      </x:c>
      <x:c r="AG694" s="604" t="n">
        <x:v>0.01920694560594721</x:v>
      </x:c>
      <x:c r="AH694" s="604" t="n"/>
      <x:c r="AI694" s="604" t="n"/>
      <x:c r="AJ694" s="604" t="n">
        <x:v>0.01920694560594721</x:v>
      </x:c>
      <x:c r="AK694" s="604" t="n"/>
      <x:c r="AL694" s="604" t="n"/>
      <x:c r="AM694" s="604" t="n"/>
      <x:c r="AN694" s="604" t="inlineStr">
        <x:is>
          <x:t xml:space="preserve">EVALUATED</x:t>
        </x:is>
      </x:c>
      <x:c r="AO694" s="604" t="inlineStr">
        <x:is>
          <x:t xml:space="preserve">EDGE_BELOW_UNCERTAINTY_THRESHOLD、BUCKET_PRIOR_ONLY、INTENT_INTERPRETATION_ONLY、EXPERT_MARKET</x:t>
        </x:is>
      </x:c>
      <x:c r="AP694" s="604" t="inlineStr">
        <x:is>
          <x:t xml:space="preserve">71661d57889e6ac2b0d0</x:t>
        </x:is>
      </x:c>
      <x:c r="AQ694" s="604" t="n">
        <x:v>0</x:v>
      </x:c>
      <x:c r="AR694" s="604" t="n"/>
      <x:c r="AS694" s="604" t="n">
        <x:v>0</x:v>
      </x:c>
      <x:c r="AT694" s="604" t="n">
        <x:v>0</x:v>
      </x:c>
      <x:c r="AU694" s="604" t="n">
        <x:v>0.83</x:v>
      </x:c>
      <x:c r="AV694" s="604" t="n">
        <x:v>0.99</x:v>
      </x:c>
      <x:c r="AW694" s="604" t="n">
        <x:v>46297.01241842593</x:v>
      </x:c>
      <x:c r="AX694" s="604" t="inlineStr">
        <x:is>
          <x:t xml:space="preserve">https://simondongxiao.github.io/odds/v4/</x:t>
        </x:is>
      </x:c>
      <x:c r="AY694" s="604" t="inlineStr">
        <x:is>
          <x:t xml:space="preserve">V4 Shadow Only；real_money=false；P(EV&gt;0)不是比赛胜率</x:t>
        </x:is>
      </x:c>
    </x:row>
    <x:row r="695" ht="22" customHeight="1">
      <x:c r="A695" s="604" t="inlineStr">
        <x:is>
          <x:t xml:space="preserve">2026-10-03</x:t>
        </x:is>
      </x:c>
      <x:c r="B695" s="604" t="inlineStr">
        <x:is>
          <x:t xml:space="preserve">2026-10-03 11:00</x:t>
        </x:is>
      </x:c>
      <x:c r="C695" s="604" t="str">
        <x:v>北美系列</x:v>
      </x:c>
      <x:c r="D695" s="604" t="inlineStr">
        <x:is>
          <x:t xml:space="preserve">联赛</x:t>
        </x:is>
      </x:c>
      <x:c r="E695" s="604" t="inlineStr">
        <x:is>
          <x:t xml:space="preserve">墨西甲春</x:t>
        </x:is>
      </x:c>
      <x:c r="F695" s="604" t="inlineStr">
        <x:is>
          <x:t xml:space="preserve">拉巴斯竞技 vs FC美利达</x:t>
        </x:is>
      </x:c>
      <x:c r="G695" s="604" t="n">
        <x:v>0.95</x:v>
      </x:c>
      <x:c r="H695" s="604" t="n">
        <x:v>1</x:v>
      </x:c>
      <x:c r="I695" s="604" t="n">
        <x:v>0.93</x:v>
      </x:c>
      <x:c r="J695" s="604" t="inlineStr">
        <x:is>
          <x:t xml:space="preserve">0.95/1/0.93</x:t>
        </x:is>
      </x:c>
      <x:c r="K695" s="604" t="inlineStr">
        <x:is>
          <x:t xml:space="preserve">V4-C｜EV +0.0533</x:t>
        </x:is>
      </x:c>
      <x:c r="L695" s="604" t="inlineStr">
        <x:is>
          <x:t xml:space="preserve">拉巴斯竞技</x:t>
        </x:is>
      </x:c>
      <x:c r="M695" s="604" t="n">
        <x:v>0.5495502635859918</x:v>
      </x:c>
      <x:c r="N695" s="604" t="inlineStr">
        <x:is>
          <x:t xml:space="preserve">V4纸面入选-C</x:t>
        </x:is>
      </x:c>
      <x:c r="O695" s="604" t="inlineStr">
        <x:is>
          <x:t xml:space="preserve">1-2</x:t>
        </x:is>
      </x:c>
      <x:c r="P695" s="604" t="inlineStr">
        <x:is>
          <x:t xml:space="preserve">已结算</x:t>
        </x:is>
      </x:c>
      <x:c r="Q695" s="646" t="inlineStr">
        <x:is>
          <x:t xml:space="preserve">黑</x:t>
        </x:is>
      </x:c>
      <x:c r="R695" s="604" t="n">
        <x:v>0.95</x:v>
      </x:c>
      <x:c r="S695" s="604" t="n">
        <x:f>IF(OR(Q695="",Q695="待结算"),"",IF(Q695="红",R695,IF(Q695="半红",R695*0.5,IF(Q695="走",0,IF(Q695="半黑",-0.5,-1)))))</x:f>
        <x:v>-1</x:v>
      </x:c>
      <x:c r="T695" s="604" t="inlineStr">
        <x:is>
          <x:t xml:space="preserve">https://m.titan007.com/analy/Analysis/3024473.htm</x:t>
        </x:is>
      </x:c>
      <x:c r="U695" s="645" t="str">
        <x:f>IF(Q695="","",IF(Q695="待结算","待结算",IF(Q695="红","黑",IF(Q695="半红","半黑",IF(Q695="走","走",IF(Q695="半黑","半红","红"))))))</x:f>
        <x:v>红</x:v>
      </x:c>
      <x:c r="V695" s="604" t="n">
        <x:f>IF(OR(Q695="",Q695="待结算"),"",IF(L695=LEFT(F695,FIND(" vs ",F695)-1),I695,G695))</x:f>
        <x:v>0.93</x:v>
      </x:c>
      <x:c r="W695" s="604" t="n">
        <x:f>IF(OR(U695="",U695="待结算"),"",IF(U695="红",V695,IF(U695="半红",V695*0.5,IF(U695="走",0,IF(U695="半黑",-0.5,-1)))))</x:f>
        <x:v>0.93</x:v>
      </x:c>
      <x:c r="X695" s="604" t="inlineStr">
        <x:is>
          <x:t xml:space="preserve">3024473</x:t>
        </x:is>
      </x:c>
      <x:c r="Y695" s="604" t="inlineStr">
        <x:is>
          <x:t xml:space="preserve">V4</x:t>
        </x:is>
      </x:c>
      <x:c r="Z695" s="604" t="inlineStr">
        <x:is>
          <x:t xml:space="preserve">prior-2026-10-03-v1</x:t>
        </x:is>
      </x:c>
      <x:c r="AA695" s="604" t="inlineStr">
        <x:is>
          <x:t xml:space="preserve">C</x:t>
        </x:is>
      </x:c>
      <x:c r="AB695" s="604" t="n">
        <x:v>0.4092125019073322</x:v>
      </x:c>
      <x:c r="AC695" s="604" t="n"/>
      <x:c r="AD695" s="604" t="n">
        <x:v>0.2553683820710241</x:v>
      </x:c>
      <x:c r="AE695" s="604" t="n"/>
      <x:c r="AF695" s="604" t="n">
        <x:v>0.3354191160216436</x:v>
      </x:c>
      <x:c r="AG695" s="604" t="n">
        <x:v>0.05333276079032195</x:v>
      </x:c>
      <x:c r="AH695" s="604" t="n"/>
      <x:c r="AI695" s="604" t="n"/>
      <x:c r="AJ695" s="604" t="n">
        <x:v>0.05333276079032195</x:v>
      </x:c>
      <x:c r="AK695" s="604" t="n"/>
      <x:c r="AL695" s="604" t="n"/>
      <x:c r="AM695" s="604" t="n"/>
      <x:c r="AN695" s="604" t="inlineStr">
        <x:is>
          <x:t xml:space="preserve">EVALUATED</x:t>
        </x:is>
      </x:c>
      <x:c r="AO695" s="604" t="inlineStr">
        <x:is>
          <x:t xml:space="preserve">GIVING_VALIDATED_EDGE、BUCKET_PRIOR_ONLY、INTENT_INTERPRETATION_ONLY、EXPERT_MARKET</x:t>
        </x:is>
      </x:c>
      <x:c r="AP695" s="604" t="inlineStr">
        <x:is>
          <x:t xml:space="preserve">747b1d9a75cd54fad87b</x:t>
        </x:is>
      </x:c>
      <x:c r="AQ695" s="604" t="n">
        <x:v>-1</x:v>
      </x:c>
      <x:c r="AR695" s="604" t="n">
        <x:v>0.95</x:v>
      </x:c>
      <x:c r="AS695" s="604" t="n">
        <x:v>1</x:v>
      </x:c>
      <x:c r="AT695" s="604" t="n">
        <x:v>-1</x:v>
      </x:c>
      <x:c r="AU695" s="604" t="n">
        <x:v>0.95</x:v>
      </x:c>
      <x:c r="AV695" s="604" t="n">
        <x:v>0.93</x:v>
      </x:c>
      <x:c r="AW695" s="604" t="n">
        <x:v>46298.06050486111</x:v>
      </x:c>
      <x:c r="AX695" s="604" t="inlineStr">
        <x:is>
          <x:t xml:space="preserve">https://simondongxiao.github.io/odds/v4/</x:t>
        </x:is>
      </x:c>
      <x:c r="AY695" s="604" t="inlineStr">
        <x:is>
          <x:t xml:space="preserve">V4 Shadow Only；real_money=false；P(EV&gt;0)不是比赛胜率</x:t>
        </x:is>
      </x:c>
    </x:row>
    <x:row r="696" ht="22" customHeight="1">
      <x:c r="A696" s="604" t="inlineStr">
        <x:is>
          <x:t xml:space="preserve">2026-10-03</x:t>
        </x:is>
      </x:c>
      <x:c r="B696" s="604" t="inlineStr">
        <x:is>
          <x:t xml:space="preserve">2026-10-03 12:00</x:t>
        </x:is>
      </x:c>
      <x:c r="C696" s="604" t="str">
        <x:v>日韩系列</x:v>
      </x:c>
      <x:c r="D696" s="604" t="inlineStr">
        <x:is>
          <x:t xml:space="preserve">联赛</x:t>
        </x:is>
      </x:c>
      <x:c r="E696" s="604" t="inlineStr">
        <x:is>
          <x:t xml:space="preserve">日职女甲</x:t>
        </x:is>
      </x:c>
      <x:c r="F696" s="604" t="inlineStr">
        <x:is>
          <x:t xml:space="preserve">NGU名古屋女足 vs 日本体育大学女足</x:t>
        </x:is>
      </x:c>
      <x:c r="G696" s="604" t="n">
        <x:v>0.88</x:v>
      </x:c>
      <x:c r="H696" s="604" t="n">
        <x:v>1.5</x:v>
      </x:c>
      <x:c r="I696" s="604" t="n">
        <x:v>0.88</x:v>
      </x:c>
      <x:c r="J696" s="604" t="inlineStr">
        <x:is>
          <x:t xml:space="preserve">0.88/1.5/0.88</x:t>
        </x:is>
      </x:c>
      <x:c r="K696" s="604" t="inlineStr">
        <x:is>
          <x:t xml:space="preserve">V4-A｜EV +0.3185</x:t>
        </x:is>
      </x:c>
      <x:c r="L696" s="604" t="inlineStr">
        <x:is>
          <x:t xml:space="preserve">NGU名古屋女足</x:t>
        </x:is>
      </x:c>
      <x:c r="M696" s="604" t="n">
        <x:v>0.7013149646495778</x:v>
      </x:c>
      <x:c r="N696" s="604" t="inlineStr">
        <x:is>
          <x:t xml:space="preserve">V4纸面入选-A</x:t>
        </x:is>
      </x:c>
      <x:c r="O696" s="604" t="inlineStr">
        <x:is>
          <x:t xml:space="preserve">3-1</x:t>
        </x:is>
      </x:c>
      <x:c r="P696" s="604" t="inlineStr">
        <x:is>
          <x:t xml:space="preserve">已结算</x:t>
        </x:is>
      </x:c>
      <x:c r="Q696" s="645" t="inlineStr">
        <x:is>
          <x:t xml:space="preserve">红</x:t>
        </x:is>
      </x:c>
      <x:c r="R696" s="604" t="n">
        <x:v>0.88</x:v>
      </x:c>
      <x:c r="S696" s="604" t="n">
        <x:f>IF(OR(Q696="",Q696="待结算"),"",IF(Q696="红",R696,IF(Q696="半红",R696*0.5,IF(Q696="走",0,IF(Q696="半黑",-0.5,-1)))))</x:f>
        <x:v>0.88</x:v>
      </x:c>
      <x:c r="T696" s="604" t="inlineStr">
        <x:is>
          <x:t xml:space="preserve">https://m.titan007.com/analy/Analysis/2956838.htm</x:t>
        </x:is>
      </x:c>
      <x:c r="U696" s="646" t="str">
        <x:f>IF(Q696="","",IF(Q696="待结算","待结算",IF(Q696="红","黑",IF(Q696="半红","半黑",IF(Q696="走","走",IF(Q696="半黑","半红","红"))))))</x:f>
        <x:v>黑</x:v>
      </x:c>
      <x:c r="V696" s="604" t="n">
        <x:f>IF(OR(Q696="",Q696="待结算"),"",IF(L696=LEFT(F696,FIND(" vs ",F696)-1),I696,G696))</x:f>
        <x:v>0.88</x:v>
      </x:c>
      <x:c r="W696" s="604" t="n">
        <x:f>IF(OR(U696="",U696="待结算"),"",IF(U696="红",V696,IF(U696="半红",V696*0.5,IF(U696="走",0,IF(U696="半黑",-0.5,-1)))))</x:f>
        <x:v>-1</x:v>
      </x:c>
      <x:c r="X696" s="604" t="inlineStr">
        <x:is>
          <x:t xml:space="preserve">2956838</x:t>
        </x:is>
      </x:c>
      <x:c r="Y696" s="604" t="inlineStr">
        <x:is>
          <x:t xml:space="preserve">V4</x:t>
        </x:is>
      </x:c>
      <x:c r="Z696" s="604" t="inlineStr">
        <x:is>
          <x:t xml:space="preserve">prior-2026-10-03-v1</x:t>
        </x:is>
      </x:c>
      <x:c r="AA696" s="604" t="inlineStr">
        <x:is>
          <x:t xml:space="preserve">A</x:t>
        </x:is>
      </x:c>
      <x:c r="AB696" s="604" t="n">
        <x:v>0.7013149646495778</x:v>
      </x:c>
      <x:c r="AC696" s="604" t="n"/>
      <x:c r="AD696" s="604" t="n"/>
      <x:c r="AE696" s="604" t="n"/>
      <x:c r="AF696" s="604" t="n">
        <x:v>0.2986850353504223</x:v>
      </x:c>
      <x:c r="AG696" s="604" t="n">
        <x:v>0.3184721335412061</x:v>
      </x:c>
      <x:c r="AH696" s="604" t="n"/>
      <x:c r="AI696" s="604" t="n"/>
      <x:c r="AJ696" s="604" t="n">
        <x:v>0.3184721335412061</x:v>
      </x:c>
      <x:c r="AK696" s="604" t="n"/>
      <x:c r="AL696" s="604" t="n"/>
      <x:c r="AM696" s="604" t="n"/>
      <x:c r="AN696" s="604" t="inlineStr">
        <x:is>
          <x:t xml:space="preserve">EVALUATED</x:t>
        </x:is>
      </x:c>
      <x:c r="AO696" s="604" t="inlineStr">
        <x:is>
          <x:t xml:space="preserve">GIVING_VALIDATED_EDGE、BUCKET_PRIOR_ONLY、INTENT_INTERPRETATION_ONLY、EXPERT_MARKET</x:t>
        </x:is>
      </x:c>
      <x:c r="AP696" s="604" t="inlineStr">
        <x:is>
          <x:t xml:space="preserve">1230024d4cf76a282e65</x:t>
        </x:is>
      </x:c>
      <x:c r="AQ696" s="604" t="n">
        <x:v>-1.5</x:v>
      </x:c>
      <x:c r="AR696" s="604" t="n">
        <x:v>0.88</x:v>
      </x:c>
      <x:c r="AS696" s="604" t="n">
        <x:v>1.5</x:v>
      </x:c>
      <x:c r="AT696" s="604" t="n">
        <x:v>-1.5</x:v>
      </x:c>
      <x:c r="AU696" s="604" t="n">
        <x:v>0.88</x:v>
      </x:c>
      <x:c r="AV696" s="604" t="n">
        <x:v>0.88</x:v>
      </x:c>
      <x:c r="AW696" s="604" t="n">
        <x:v>46298.06050486111</x:v>
      </x:c>
      <x:c r="AX696" s="604" t="inlineStr">
        <x:is>
          <x:t xml:space="preserve">https://simondongxiao.github.io/odds/v4/</x:t>
        </x:is>
      </x:c>
      <x:c r="AY696" s="604" t="inlineStr">
        <x:is>
          <x:t xml:space="preserve">V4 Shadow Only；real_money=false；P(EV&gt;0)不是比赛胜率</x:t>
        </x:is>
      </x:c>
    </x:row>
    <x:row r="697" ht="22" customHeight="1">
      <x:c r="A697" s="604" t="inlineStr">
        <x:is>
          <x:t xml:space="preserve">2026-10-03</x:t>
        </x:is>
      </x:c>
      <x:c r="B697" s="604" t="inlineStr">
        <x:is>
          <x:t xml:space="preserve">2026-10-03 13:00</x:t>
        </x:is>
      </x:c>
      <x:c r="C697" s="604" t="str">
        <x:v>日韩系列</x:v>
      </x:c>
      <x:c r="D697" s="604" t="inlineStr">
        <x:is>
          <x:t xml:space="preserve">联赛</x:t>
        </x:is>
      </x:c>
      <x:c r="E697" s="604" t="inlineStr">
        <x:is>
          <x:t xml:space="preserve">韩K3联</x:t>
        </x:is>
      </x:c>
      <x:c r="F697" s="604" t="inlineStr">
        <x:is>
          <x:t xml:space="preserve">抱川FC vs 春川市民</x:t>
        </x:is>
      </x:c>
      <x:c r="G697" s="604" t="n">
        <x:v>0.7</x:v>
      </x:c>
      <x:c r="H697" s="604" t="n">
        <x:v>0</x:v>
      </x:c>
      <x:c r="I697" s="604" t="n">
        <x:v>1.06</x:v>
      </x:c>
      <x:c r="J697" s="604" t="inlineStr">
        <x:is>
          <x:t xml:space="preserve">0.7/0/1.06</x:t>
        </x:is>
      </x:c>
      <x:c r="K697" s="604" t="inlineStr">
        <x:is>
          <x:t xml:space="preserve">V4-C｜EV +0.0202</x:t>
        </x:is>
      </x:c>
      <x:c r="L697" s="604" t="str"/>
      <x:c r="M697" s="604" t="n">
        <x:v>0.6018551364000233</x:v>
      </x:c>
      <x:c r="N697" s="604" t="inlineStr">
        <x:is>
          <x:t xml:space="preserve">V4纸面入选-C</x:t>
        </x:is>
      </x:c>
      <x:c r="O697" s="604" t="inlineStr">
        <x:is>
          <x:t xml:space="preserve">0-0</x:t>
        </x:is>
      </x:c>
      <x:c r="P697" s="604" t="inlineStr">
        <x:is>
          <x:t xml:space="preserve">已结算</x:t>
        </x:is>
      </x:c>
      <x:c r="Q697" s="647" t="inlineStr">
        <x:is>
          <x:t xml:space="preserve">走</x:t>
        </x:is>
      </x:c>
      <x:c r="R697" s="604" t="n">
        <x:v>1.06</x:v>
      </x:c>
      <x:c r="S697" s="604" t="n">
        <x:f>IF(OR(Q697="",Q697="待结算"),"",IF(Q697="红",R697,IF(Q697="半红",R697*0.5,IF(Q697="走",0,IF(Q697="半黑",-0.5,-1)))))</x:f>
        <x:v>0</x:v>
      </x:c>
      <x:c r="T697" s="604" t="inlineStr">
        <x:is>
          <x:t xml:space="preserve">https://m.titan007.com/analy/Analysis/2940441.htm</x:t>
        </x:is>
      </x:c>
      <x:c r="U697" s="647" t="str">
        <x:f>IF(Q697="","",IF(Q697="待结算","待结算",IF(Q697="红","黑",IF(Q697="半红","半黑",IF(Q697="走","走",IF(Q697="半黑","半红","红"))))))</x:f>
        <x:v>走</x:v>
      </x:c>
      <x:c r="V697" s="604" t="n">
        <x:f>IF(OR(Q697="",Q697="待结算"),"",IF(L697=LEFT(F697,FIND(" vs ",F697)-1),I697,G697))</x:f>
        <x:v>0.7</x:v>
      </x:c>
      <x:c r="W697" s="604" t="n">
        <x:f>IF(OR(U697="",U697="待结算"),"",IF(U697="红",V697,IF(U697="半红",V697*0.5,IF(U697="走",0,IF(U697="半黑",-0.5,-1)))))</x:f>
        <x:v>0</x:v>
      </x:c>
      <x:c r="X697" s="604" t="inlineStr">
        <x:is>
          <x:t xml:space="preserve">2940441</x:t>
        </x:is>
      </x:c>
      <x:c r="Y697" s="604" t="inlineStr">
        <x:is>
          <x:t xml:space="preserve">V4</x:t>
        </x:is>
      </x:c>
      <x:c r="Z697" s="604" t="inlineStr">
        <x:is>
          <x:t xml:space="preserve">prior-2026-10-03-v1</x:t>
        </x:is>
      </x:c>
      <x:c r="AA697" s="604" t="inlineStr">
        <x:is>
          <x:t xml:space="preserve">C</x:t>
        </x:is>
      </x:c>
      <x:c r="AB697" s="604" t="n">
        <x:v>0.3964941668211227</x:v>
      </x:c>
      <x:c r="AC697" s="604" t="n">
        <x:v>0.2564039218183295</x:v>
      </x:c>
      <x:c r="AD697" s="604" t="n"/>
      <x:c r="AE697" s="604" t="n"/>
      <x:c r="AF697" s="604" t="n">
        <x:v>0.3471019113605478</x:v>
      </x:c>
      <x:c r="AG697" s="604" t="n">
        <x:v>0.02018537805065335</x:v>
      </x:c>
      <x:c r="AH697" s="604" t="n"/>
      <x:c r="AI697" s="604" t="n"/>
      <x:c r="AJ697" s="604" t="n">
        <x:v>0.02018537805065335</x:v>
      </x:c>
      <x:c r="AK697" s="604" t="n"/>
      <x:c r="AL697" s="604" t="n"/>
      <x:c r="AM697" s="604" t="n"/>
      <x:c r="AN697" s="604" t="inlineStr">
        <x:is>
          <x:t xml:space="preserve">EVALUATED</x:t>
        </x:is>
      </x:c>
      <x:c r="AO697" s="604" t="inlineStr">
        <x:is>
          <x:t xml:space="preserve">EDGE_BELOW_UNCERTAINTY_THRESHOLD、BUCKET_PRIOR_ONLY、INTENT_INTERPRETATION_ONLY、EXPERT_MARKET</x:t>
        </x:is>
      </x:c>
      <x:c r="AP697" s="604" t="inlineStr">
        <x:is>
          <x:t xml:space="preserve">94c294c34b185ffdf8f6</x:t>
        </x:is>
      </x:c>
      <x:c r="AQ697" s="604" t="n">
        <x:v>0</x:v>
      </x:c>
      <x:c r="AR697" s="604" t="n"/>
      <x:c r="AS697" s="604" t="n">
        <x:v>0</x:v>
      </x:c>
      <x:c r="AT697" s="604" t="n">
        <x:v>0</x:v>
      </x:c>
      <x:c r="AU697" s="604" t="n">
        <x:v>0.7</x:v>
      </x:c>
      <x:c r="AV697" s="604" t="n">
        <x:v>1.06</x:v>
      </x:c>
      <x:c r="AW697" s="604" t="n">
        <x:v>46298.06050486111</x:v>
      </x:c>
      <x:c r="AX697" s="604" t="inlineStr">
        <x:is>
          <x:t xml:space="preserve">https://simondongxiao.github.io/odds/v4/</x:t>
        </x:is>
      </x:c>
      <x:c r="AY697" s="604" t="inlineStr">
        <x:is>
          <x:t xml:space="preserve">V4 Shadow Only；real_money=false；P(EV&gt;0)不是比赛胜率</x:t>
        </x:is>
      </x:c>
    </x:row>
    <x:row r="698" ht="22" customHeight="1">
      <x:c r="A698" s="604" t="inlineStr">
        <x:is>
          <x:t xml:space="preserve">2026-10-03</x:t>
        </x:is>
      </x:c>
      <x:c r="B698" s="604" t="inlineStr">
        <x:is>
          <x:t xml:space="preserve">2026-10-03 13:00</x:t>
        </x:is>
      </x:c>
      <x:c r="C698" s="604" t="str">
        <x:v>日韩系列</x:v>
      </x:c>
      <x:c r="D698" s="604" t="inlineStr">
        <x:is>
          <x:t xml:space="preserve">联赛</x:t>
        </x:is>
      </x:c>
      <x:c r="E698" s="604" t="inlineStr">
        <x:is>
          <x:t xml:space="preserve">韩K3联</x:t>
        </x:is>
      </x:c>
      <x:c r="F698" s="604" t="inlineStr">
        <x:is>
          <x:t xml:space="preserve">骊州世宗 vs 全北现代B队</x:t>
        </x:is>
      </x:c>
      <x:c r="G698" s="604" t="n">
        <x:v>0.98</x:v>
      </x:c>
      <x:c r="H698" s="604" t="n">
        <x:v>0</x:v>
      </x:c>
      <x:c r="I698" s="604" t="n">
        <x:v>0.78</x:v>
      </x:c>
      <x:c r="J698" s="604" t="inlineStr">
        <x:is>
          <x:t xml:space="preserve">0.98/0/0.78</x:t>
        </x:is>
      </x:c>
      <x:c r="K698" s="604" t="inlineStr">
        <x:is>
          <x:t xml:space="preserve">V4-C｜EV +0.0053</x:t>
        </x:is>
      </x:c>
      <x:c r="L698" s="604" t="str"/>
      <x:c r="M698" s="604" t="n">
        <x:v>0.5080908364316041</x:v>
      </x:c>
      <x:c r="N698" s="604" t="inlineStr">
        <x:is>
          <x:t xml:space="preserve">V4纸面入选-C</x:t>
        </x:is>
      </x:c>
      <x:c r="O698" s="604" t="inlineStr">
        <x:is>
          <x:t xml:space="preserve">2-1</x:t>
        </x:is>
      </x:c>
      <x:c r="P698" s="604" t="inlineStr">
        <x:is>
          <x:t xml:space="preserve">已结算</x:t>
        </x:is>
      </x:c>
      <x:c r="Q698" s="645" t="inlineStr">
        <x:is>
          <x:t xml:space="preserve">红</x:t>
        </x:is>
      </x:c>
      <x:c r="R698" s="604" t="n">
        <x:v>0.78</x:v>
      </x:c>
      <x:c r="S698" s="604" t="n">
        <x:f>IF(OR(Q698="",Q698="待结算"),"",IF(Q698="红",R698,IF(Q698="半红",R698*0.5,IF(Q698="走",0,IF(Q698="半黑",-0.5,-1)))))</x:f>
        <x:v>0.78</x:v>
      </x:c>
      <x:c r="T698" s="604" t="inlineStr">
        <x:is>
          <x:t xml:space="preserve">https://m.titan007.com/analy/Analysis/2940442.htm</x:t>
        </x:is>
      </x:c>
      <x:c r="U698" s="646" t="str">
        <x:f>IF(Q698="","",IF(Q698="待结算","待结算",IF(Q698="红","黑",IF(Q698="半红","半黑",IF(Q698="走","走",IF(Q698="半黑","半红","红"))))))</x:f>
        <x:v>黑</x:v>
      </x:c>
      <x:c r="V698" s="604" t="n">
        <x:f>IF(OR(Q698="",Q698="待结算"),"",IF(L698=LEFT(F698,FIND(" vs ",F698)-1),I698,G698))</x:f>
        <x:v>0.98</x:v>
      </x:c>
      <x:c r="W698" s="604" t="n">
        <x:f>IF(OR(U698="",U698="待结算"),"",IF(U698="红",V698,IF(U698="半红",V698*0.5,IF(U698="走",0,IF(U698="半黑",-0.5,-1)))))</x:f>
        <x:v>-1</x:v>
      </x:c>
      <x:c r="X698" s="604" t="inlineStr">
        <x:is>
          <x:t xml:space="preserve">2940442</x:t>
        </x:is>
      </x:c>
      <x:c r="Y698" s="604" t="inlineStr">
        <x:is>
          <x:t xml:space="preserve">V4</x:t>
        </x:is>
      </x:c>
      <x:c r="Z698" s="604" t="inlineStr">
        <x:is>
          <x:t xml:space="preserve">prior-2026-10-03-v1</x:t>
        </x:is>
      </x:c>
      <x:c r="AA698" s="604" t="inlineStr">
        <x:is>
          <x:t xml:space="preserve">C</x:t>
        </x:is>
      </x:c>
      <x:c r="AB698" s="604" t="n">
        <x:v>0.3187263601907437</x:v>
      </x:c>
      <x:c r="AC698" s="604" t="n">
        <x:v>0.2511313929722279</x:v>
      </x:c>
      <x:c r="AD698" s="604" t="n"/>
      <x:c r="AE698" s="604" t="n"/>
      <x:c r="AF698" s="604" t="n">
        <x:v>0.4301422468370285</x:v>
      </x:c>
      <x:c r="AG698" s="604" t="n">
        <x:v>0.005263968706291977</x:v>
      </x:c>
      <x:c r="AH698" s="604" t="n"/>
      <x:c r="AI698" s="604" t="n"/>
      <x:c r="AJ698" s="604" t="n">
        <x:v>0.005263968706291977</x:v>
      </x:c>
      <x:c r="AK698" s="604" t="n"/>
      <x:c r="AL698" s="604" t="n"/>
      <x:c r="AM698" s="604" t="n"/>
      <x:c r="AN698" s="604" t="inlineStr">
        <x:is>
          <x:t xml:space="preserve">EVALUATED</x:t>
        </x:is>
      </x:c>
      <x:c r="AO698" s="604" t="inlineStr">
        <x:is>
          <x:t xml:space="preserve">EDGE_BELOW_UNCERTAINTY_THRESHOLD、BUCKET_PRIOR_ONLY、INTENT_INTERPRETATION_ONLY、EXPERT_MARKET</x:t>
        </x:is>
      </x:c>
      <x:c r="AP698" s="604" t="inlineStr">
        <x:is>
          <x:t xml:space="preserve">7e67f0962b92b9a426c8</x:t>
        </x:is>
      </x:c>
      <x:c r="AQ698" s="604" t="n">
        <x:v>0</x:v>
      </x:c>
      <x:c r="AR698" s="604" t="n"/>
      <x:c r="AS698" s="604" t="n">
        <x:v>0</x:v>
      </x:c>
      <x:c r="AT698" s="604" t="n">
        <x:v>0</x:v>
      </x:c>
      <x:c r="AU698" s="604" t="n">
        <x:v>0.98</x:v>
      </x:c>
      <x:c r="AV698" s="604" t="n">
        <x:v>0.78</x:v>
      </x:c>
      <x:c r="AW698" s="604" t="n">
        <x:v>46298.06050486111</x:v>
      </x:c>
      <x:c r="AX698" s="604" t="inlineStr">
        <x:is>
          <x:t xml:space="preserve">https://simondongxiao.github.io/odds/v4/</x:t>
        </x:is>
      </x:c>
      <x:c r="AY698" s="604" t="inlineStr">
        <x:is>
          <x:t xml:space="preserve">V4 Shadow Only；real_money=false；P(EV&gt;0)不是比赛胜率</x:t>
        </x:is>
      </x:c>
    </x:row>
    <x:row r="699" ht="22" customHeight="1">
      <x:c r="A699" s="604" t="inlineStr">
        <x:is>
          <x:t xml:space="preserve">2026-10-03</x:t>
        </x:is>
      </x:c>
      <x:c r="B699" s="604" t="inlineStr">
        <x:is>
          <x:t xml:space="preserve">2026-10-03 13:00</x:t>
        </x:is>
      </x:c>
      <x:c r="C699" s="604" t="str">
        <x:v>日韩系列</x:v>
      </x:c>
      <x:c r="D699" s="604" t="inlineStr">
        <x:is>
          <x:t xml:space="preserve">杯赛</x:t>
        </x:is>
      </x:c>
      <x:c r="E699" s="604" t="inlineStr">
        <x:is>
          <x:t xml:space="preserve">女日联杯</x:t>
        </x:is>
      </x:c>
      <x:c r="F699" s="604" t="inlineStr">
        <x:is>
          <x:t xml:space="preserve">广岛三箭女足 vs AC长野女足</x:t>
        </x:is>
      </x:c>
      <x:c r="G699" s="604" t="n">
        <x:v>0.9</x:v>
      </x:c>
      <x:c r="H699" s="604" t="n">
        <x:v>1.25</x:v>
      </x:c>
      <x:c r="I699" s="604" t="n">
        <x:v>0.8</x:v>
      </x:c>
      <x:c r="J699" s="604" t="inlineStr">
        <x:is>
          <x:t xml:space="preserve">0.9/1.25/0.8</x:t>
        </x:is>
      </x:c>
      <x:c r="K699" s="604" t="inlineStr">
        <x:is>
          <x:t xml:space="preserve">V4-B｜EV +0.1431</x:t>
        </x:is>
      </x:c>
      <x:c r="L699" s="604" t="inlineStr">
        <x:is>
          <x:t xml:space="preserve">广岛三箭女足</x:t>
        </x:is>
      </x:c>
      <x:c r="M699" s="604" t="n">
        <x:v>0.6121211999671315</x:v>
      </x:c>
      <x:c r="N699" s="604" t="inlineStr">
        <x:is>
          <x:t xml:space="preserve">V4纸面入选-B</x:t>
        </x:is>
      </x:c>
      <x:c r="O699" s="604" t="inlineStr">
        <x:is>
          <x:t xml:space="preserve">3-0</x:t>
        </x:is>
      </x:c>
      <x:c r="P699" s="604" t="inlineStr">
        <x:is>
          <x:t xml:space="preserve">已结算</x:t>
        </x:is>
      </x:c>
      <x:c r="Q699" s="645" t="inlineStr">
        <x:is>
          <x:t xml:space="preserve">红</x:t>
        </x:is>
      </x:c>
      <x:c r="R699" s="604" t="n">
        <x:v>0.9</x:v>
      </x:c>
      <x:c r="S699" s="604" t="n">
        <x:f>IF(OR(Q699="",Q699="待结算"),"",IF(Q699="红",R699,IF(Q699="半红",R699*0.5,IF(Q699="走",0,IF(Q699="半黑",-0.5,-1)))))</x:f>
        <x:v>0.9</x:v>
      </x:c>
      <x:c r="T699" s="604" t="inlineStr">
        <x:is>
          <x:t xml:space="preserve">https://m.titan007.com/analy/Analysis/3086982.htm</x:t>
        </x:is>
      </x:c>
      <x:c r="U699" s="646" t="str">
        <x:f>IF(Q699="","",IF(Q699="待结算","待结算",IF(Q699="红","黑",IF(Q699="半红","半黑",IF(Q699="走","走",IF(Q699="半黑","半红","红"))))))</x:f>
        <x:v>黑</x:v>
      </x:c>
      <x:c r="V699" s="604" t="n">
        <x:f>IF(OR(Q699="",Q699="待结算"),"",IF(L699=LEFT(F699,FIND(" vs ",F699)-1),I699,G699))</x:f>
        <x:v>0.8</x:v>
      </x:c>
      <x:c r="W699" s="604" t="n">
        <x:f>IF(OR(U699="",U699="待结算"),"",IF(U699="红",V699,IF(U699="半红",V699*0.5,IF(U699="走",0,IF(U699="半黑",-0.5,-1)))))</x:f>
        <x:v>-1</x:v>
      </x:c>
      <x:c r="X699" s="604" t="inlineStr">
        <x:is>
          <x:t xml:space="preserve">3086982</x:t>
        </x:is>
      </x:c>
      <x:c r="Y699" s="604" t="inlineStr">
        <x:is>
          <x:t xml:space="preserve">V4</x:t>
        </x:is>
      </x:c>
      <x:c r="Z699" s="604" t="inlineStr">
        <x:is>
          <x:t xml:space="preserve">prior-2026-10-03-v1</x:t>
        </x:is>
      </x:c>
      <x:c r="AA699" s="604" t="inlineStr">
        <x:is>
          <x:t xml:space="preserve">B</x:t>
        </x:is>
      </x:c>
      <x:c r="AB699" s="604" t="n">
        <x:v>0.5374210017230753</x:v>
      </x:c>
      <x:c r="AC699" s="604" t="n"/>
      <x:c r="AD699" s="604" t="n"/>
      <x:c r="AE699" s="604" t="n">
        <x:v>0.2440699595049719</x:v>
      </x:c>
      <x:c r="AF699" s="604" t="n">
        <x:v>0.2185090387719529</x:v>
      </x:c>
      <x:c r="AG699" s="604" t="n">
        <x:v>0.1431348830263289</x:v>
      </x:c>
      <x:c r="AH699" s="604" t="n"/>
      <x:c r="AI699" s="604" t="n"/>
      <x:c r="AJ699" s="604" t="n">
        <x:v>0.1431348830263289</x:v>
      </x:c>
      <x:c r="AK699" s="604" t="n"/>
      <x:c r="AL699" s="604" t="n"/>
      <x:c r="AM699" s="604" t="n"/>
      <x:c r="AN699" s="604" t="inlineStr">
        <x:is>
          <x:t xml:space="preserve">EVALUATED</x:t>
        </x:is>
      </x:c>
      <x:c r="AO699" s="604" t="inlineStr">
        <x:is>
          <x:t xml:space="preserve">GIVING_VALIDATED_EDGE、BUCKET_PRIOR_ONLY、INTENT_INTERPRETATION_ONLY、EXPERT_MARKET</x:t>
        </x:is>
      </x:c>
      <x:c r="AP699" s="604" t="inlineStr">
        <x:is>
          <x:t xml:space="preserve">30aa808ac306d28a30ea</x:t>
        </x:is>
      </x:c>
      <x:c r="AQ699" s="604" t="n">
        <x:v>-1.25</x:v>
      </x:c>
      <x:c r="AR699" s="604" t="n">
        <x:v>0.9</x:v>
      </x:c>
      <x:c r="AS699" s="604" t="n">
        <x:v>1.25</x:v>
      </x:c>
      <x:c r="AT699" s="604" t="n">
        <x:v>-1.25</x:v>
      </x:c>
      <x:c r="AU699" s="604" t="n">
        <x:v>0.9</x:v>
      </x:c>
      <x:c r="AV699" s="604" t="n">
        <x:v>0.8</x:v>
      </x:c>
      <x:c r="AW699" s="604" t="n">
        <x:v>46298.06050486111</x:v>
      </x:c>
      <x:c r="AX699" s="604" t="inlineStr">
        <x:is>
          <x:t xml:space="preserve">https://simondongxiao.github.io/odds/v4/</x:t>
        </x:is>
      </x:c>
      <x:c r="AY699" s="604" t="inlineStr">
        <x:is>
          <x:t xml:space="preserve">V4 Shadow Only；real_money=false；P(EV&gt;0)不是比赛胜率</x:t>
        </x:is>
      </x:c>
    </x:row>
    <x:row r="700" ht="22" customHeight="1">
      <x:c r="A700" s="604" t="inlineStr">
        <x:is>
          <x:t xml:space="preserve">2026-10-03</x:t>
        </x:is>
      </x:c>
      <x:c r="B700" s="604" t="inlineStr">
        <x:is>
          <x:t xml:space="preserve">2026-10-03 14:00</x:t>
        </x:is>
      </x:c>
      <x:c r="C700" s="604" t="str">
        <x:v>日韩系列</x:v>
      </x:c>
      <x:c r="D700" s="604" t="inlineStr">
        <x:is>
          <x:t xml:space="preserve">联赛</x:t>
        </x:is>
      </x:c>
      <x:c r="E700" s="604" t="inlineStr">
        <x:is>
          <x:t xml:space="preserve">日职丙</x:t>
        </x:is>
      </x:c>
      <x:c r="F700" s="604" t="inlineStr">
        <x:is>
          <x:t xml:space="preserve">FC爱媛 vs 群马草津温泉</x:t>
        </x:is>
      </x:c>
      <x:c r="G700" s="604" t="n">
        <x:v>0.83</x:v>
      </x:c>
      <x:c r="H700" s="604" t="n">
        <x:v>0.75</x:v>
      </x:c>
      <x:c r="I700" s="604" t="n">
        <x:v>0.93</x:v>
      </x:c>
      <x:c r="J700" s="604" t="inlineStr">
        <x:is>
          <x:t xml:space="preserve">0.83/0.75/0.93</x:t>
        </x:is>
      </x:c>
      <x:c r="K700" s="604" t="inlineStr">
        <x:is>
          <x:t xml:space="preserve">V4-A｜EV +0.1488</x:t>
        </x:is>
      </x:c>
      <x:c r="L700" s="604" t="inlineStr">
        <x:is>
          <x:t xml:space="preserve">FC爱媛</x:t>
        </x:is>
      </x:c>
      <x:c r="M700" s="604" t="n">
        <x:v>0.6396409926582802</x:v>
      </x:c>
      <x:c r="N700" s="604" t="inlineStr">
        <x:is>
          <x:t xml:space="preserve">V4纸面入选-A</x:t>
        </x:is>
      </x:c>
      <x:c r="O700" s="604" t="inlineStr">
        <x:is>
          <x:t xml:space="preserve">3-1</x:t>
        </x:is>
      </x:c>
      <x:c r="P700" s="604" t="inlineStr">
        <x:is>
          <x:t xml:space="preserve">已结算</x:t>
        </x:is>
      </x:c>
      <x:c r="Q700" s="645" t="inlineStr">
        <x:is>
          <x:t xml:space="preserve">红</x:t>
        </x:is>
      </x:c>
      <x:c r="R700" s="604" t="n">
        <x:v>0.83</x:v>
      </x:c>
      <x:c r="S700" s="604" t="n">
        <x:f>IF(OR(Q700="",Q700="待结算"),"",IF(Q700="红",R700,IF(Q700="半红",R700*0.5,IF(Q700="走",0,IF(Q700="半黑",-0.5,-1)))))</x:f>
        <x:v>0.83</x:v>
      </x:c>
      <x:c r="T700" s="604" t="inlineStr">
        <x:is>
          <x:t xml:space="preserve">https://m.titan007.com/analy/Analysis/3001201.htm</x:t>
        </x:is>
      </x:c>
      <x:c r="U700" s="646" t="str">
        <x:f>IF(Q700="","",IF(Q700="待结算","待结算",IF(Q700="红","黑",IF(Q700="半红","半黑",IF(Q700="走","走",IF(Q700="半黑","半红","红"))))))</x:f>
        <x:v>黑</x:v>
      </x:c>
      <x:c r="V700" s="604" t="n">
        <x:f>IF(OR(Q700="",Q700="待结算"),"",IF(L700=LEFT(F700,FIND(" vs ",F700)-1),I700,G700))</x:f>
        <x:v>0.93</x:v>
      </x:c>
      <x:c r="W700" s="604" t="n">
        <x:f>IF(OR(U700="",U700="待结算"),"",IF(U700="红",V700,IF(U700="半红",V700*0.5,IF(U700="走",0,IF(U700="半黑",-0.5,-1)))))</x:f>
        <x:v>-1</x:v>
      </x:c>
      <x:c r="X700" s="604" t="inlineStr">
        <x:is>
          <x:t xml:space="preserve">3001201</x:t>
        </x:is>
      </x:c>
      <x:c r="Y700" s="604" t="inlineStr">
        <x:is>
          <x:t xml:space="preserve">V4</x:t>
        </x:is>
      </x:c>
      <x:c r="Z700" s="604" t="inlineStr">
        <x:is>
          <x:t xml:space="preserve">prior-2026-10-03-v1</x:t>
        </x:is>
      </x:c>
      <x:c r="AA700" s="604" t="inlineStr">
        <x:is>
          <x:t xml:space="preserve">A</x:t>
        </x:is>
      </x:c>
      <x:c r="AB700" s="604" t="n">
        <x:v>0.430160358302528</x:v>
      </x:c>
      <x:c r="AC700" s="604" t="n">
        <x:v>0.255520123360822</x:v>
      </x:c>
      <x:c r="AD700" s="604" t="n"/>
      <x:c r="AE700" s="604" t="n"/>
      <x:c r="AF700" s="604" t="n">
        <x:v>0.31431951833665</x:v>
      </x:c>
      <x:c r="AG700" s="604" t="n">
        <x:v>0.1487544302491894</x:v>
      </x:c>
      <x:c r="AH700" s="604" t="n"/>
      <x:c r="AI700" s="604" t="n"/>
      <x:c r="AJ700" s="604" t="n">
        <x:v>0.1487544302491894</x:v>
      </x:c>
      <x:c r="AK700" s="604" t="n"/>
      <x:c r="AL700" s="604" t="n"/>
      <x:c r="AM700" s="604" t="n"/>
      <x:c r="AN700" s="604" t="inlineStr">
        <x:is>
          <x:t xml:space="preserve">EVALUATED</x:t>
        </x:is>
      </x:c>
      <x:c r="AO700" s="604" t="inlineStr">
        <x:is>
          <x:t xml:space="preserve">GIVING_VALIDATED_EDGE、BUCKET_PRIOR_ONLY、INTENT_INTERPRETATION_ONLY、EXPERT_MARKET</x:t>
        </x:is>
      </x:c>
      <x:c r="AP700" s="604" t="inlineStr">
        <x:is>
          <x:t xml:space="preserve">a877bf7089a0f9b11f12</x:t>
        </x:is>
      </x:c>
      <x:c r="AQ700" s="604" t="n">
        <x:v>-0.75</x:v>
      </x:c>
      <x:c r="AR700" s="604" t="n">
        <x:v>0.83</x:v>
      </x:c>
      <x:c r="AS700" s="604" t="n">
        <x:v>0.75</x:v>
      </x:c>
      <x:c r="AT700" s="604" t="n">
        <x:v>-0.75</x:v>
      </x:c>
      <x:c r="AU700" s="604" t="n">
        <x:v>0.83</x:v>
      </x:c>
      <x:c r="AV700" s="604" t="n">
        <x:v>0.93</x:v>
      </x:c>
      <x:c r="AW700" s="604" t="n">
        <x:v>46298.06050486111</x:v>
      </x:c>
      <x:c r="AX700" s="604" t="inlineStr">
        <x:is>
          <x:t xml:space="preserve">https://simondongxiao.github.io/odds/v4/</x:t>
        </x:is>
      </x:c>
      <x:c r="AY700" s="604" t="inlineStr">
        <x:is>
          <x:t xml:space="preserve">V4 Shadow Only；real_money=false；P(EV&gt;0)不是比赛胜率</x:t>
        </x:is>
      </x:c>
    </x:row>
    <x:row r="701" ht="22" customHeight="1">
      <x:c r="A701" s="604" t="inlineStr">
        <x:is>
          <x:t xml:space="preserve">2026-10-03</x:t>
        </x:is>
      </x:c>
      <x:c r="B701" s="604" t="inlineStr">
        <x:is>
          <x:t xml:space="preserve">2026-10-03 14:00</x:t>
        </x:is>
      </x:c>
      <x:c r="C701" s="604" t="str">
        <x:v>其他系列</x:v>
      </x:c>
      <x:c r="D701" s="604" t="inlineStr">
        <x:is>
          <x:t xml:space="preserve">联赛</x:t>
        </x:is>
      </x:c>
      <x:c r="E701" s="604" t="inlineStr">
        <x:is>
          <x:t xml:space="preserve">球会友谊</x:t>
        </x:is>
      </x:c>
      <x:c r="F701" s="604" t="inlineStr">
        <x:is>
          <x:t xml:space="preserve">珀斯光荣(中) vs 阿德莱德联</x:t>
        </x:is>
      </x:c>
      <x:c r="G701" s="604" t="n">
        <x:v>0.95</x:v>
      </x:c>
      <x:c r="H701" s="604" t="n">
        <x:v>0.25</x:v>
      </x:c>
      <x:c r="I701" s="604" t="n">
        <x:v>0.8100000000000001</x:v>
      </x:c>
      <x:c r="J701" s="604" t="inlineStr">
        <x:is>
          <x:t xml:space="preserve">0.95/0.25/0.81</x:t>
        </x:is>
      </x:c>
      <x:c r="K701" s="604" t="inlineStr">
        <x:is>
          <x:t xml:space="preserve">V4-C｜EV +0.0926</x:t>
        </x:is>
      </x:c>
      <x:c r="L701" s="604" t="inlineStr">
        <x:is>
          <x:t xml:space="preserve">珀斯光荣(中)</x:t>
        </x:is>
      </x:c>
      <x:c r="M701" s="604" t="n">
        <x:v>0.567154281013444</x:v>
      </x:c>
      <x:c r="N701" s="604" t="inlineStr">
        <x:is>
          <x:t xml:space="preserve">V4纸面入选-C</x:t>
        </x:is>
      </x:c>
      <x:c r="O701" s="604" t="inlineStr">
        <x:is>
          <x:t xml:space="preserve">1-3</x:t>
        </x:is>
      </x:c>
      <x:c r="P701" s="604" t="inlineStr">
        <x:is>
          <x:t xml:space="preserve">已结算</x:t>
        </x:is>
      </x:c>
      <x:c r="Q701" s="646" t="inlineStr">
        <x:is>
          <x:t xml:space="preserve">黑</x:t>
        </x:is>
      </x:c>
      <x:c r="R701" s="604" t="n">
        <x:v>0.95</x:v>
      </x:c>
      <x:c r="S701" s="604" t="n">
        <x:f>IF(OR(Q701="",Q701="待结算"),"",IF(Q701="红",R701,IF(Q701="半红",R701*0.5,IF(Q701="走",0,IF(Q701="半黑",-0.5,-1)))))</x:f>
        <x:v>-1</x:v>
      </x:c>
      <x:c r="T701" s="604" t="inlineStr">
        <x:is>
          <x:t xml:space="preserve">https://m.titan007.com/analy/Analysis/3096093.htm</x:t>
        </x:is>
      </x:c>
      <x:c r="U701" s="645" t="str">
        <x:f>IF(Q701="","",IF(Q701="待结算","待结算",IF(Q701="红","黑",IF(Q701="半红","半黑",IF(Q701="走","走",IF(Q701="半黑","半红","红"))))))</x:f>
        <x:v>红</x:v>
      </x:c>
      <x:c r="V701" s="604" t="n">
        <x:f>IF(OR(Q701="",Q701="待结算"),"",IF(L701=LEFT(F701,FIND(" vs ",F701)-1),I701,G701))</x:f>
        <x:v>0.81</x:v>
      </x:c>
      <x:c r="W701" s="604" t="n">
        <x:f>IF(OR(U701="",U701="待结算"),"",IF(U701="红",V701,IF(U701="半红",V701*0.5,IF(U701="走",0,IF(U701="半黑",-0.5,-1)))))</x:f>
        <x:v>0.81</x:v>
      </x:c>
      <x:c r="X701" s="604" t="inlineStr">
        <x:is>
          <x:t xml:space="preserve">3096093</x:t>
        </x:is>
      </x:c>
      <x:c r="Y701" s="604" t="inlineStr">
        <x:is>
          <x:t xml:space="preserve">V4</x:t>
        </x:is>
      </x:c>
      <x:c r="Z701" s="604" t="inlineStr">
        <x:is>
          <x:t xml:space="preserve">prior-2026-10-03-v1</x:t>
        </x:is>
      </x:c>
      <x:c r="AA701" s="604" t="inlineStr">
        <x:is>
          <x:t xml:space="preserve">C</x:t>
        </x:is>
      </x:c>
      <x:c r="AB701" s="604" t="n">
        <x:v>0.4957952364680279</x:v>
      </x:c>
      <x:c r="AC701" s="604" t="n"/>
      <x:c r="AD701" s="604" t="n"/>
      <x:c r="AE701" s="604" t="n">
        <x:v>0.2516389170788064</x:v>
      </x:c>
      <x:c r="AF701" s="604" t="n">
        <x:v>0.2525658464531656</x:v>
      </x:c>
      <x:c r="AG701" s="604" t="n">
        <x:v>0.09262016965205766</x:v>
      </x:c>
      <x:c r="AH701" s="604" t="n"/>
      <x:c r="AI701" s="604" t="n"/>
      <x:c r="AJ701" s="604" t="n">
        <x:v>0.09262016965205766</x:v>
      </x:c>
      <x:c r="AK701" s="604" t="n"/>
      <x:c r="AL701" s="604" t="n"/>
      <x:c r="AM701" s="604" t="n"/>
      <x:c r="AN701" s="604" t="inlineStr">
        <x:is>
          <x:t xml:space="preserve">EVALUATED</x:t>
        </x:is>
      </x:c>
      <x:c r="AO701" s="604" t="inlineStr">
        <x:is>
          <x:t xml:space="preserve">GIVING_VALIDATED_EDGE、BUCKET_PRIOR_ONLY、INTENT_INTERPRETATION_ONLY、EXPERT_MARKET</x:t>
        </x:is>
      </x:c>
      <x:c r="AP701" s="604" t="inlineStr">
        <x:is>
          <x:t xml:space="preserve">32c24053526f40197df3</x:t>
        </x:is>
      </x:c>
      <x:c r="AQ701" s="604" t="n">
        <x:v>-0.25</x:v>
      </x:c>
      <x:c r="AR701" s="604" t="n">
        <x:v>0.95</x:v>
      </x:c>
      <x:c r="AS701" s="604" t="n">
        <x:v>0.25</x:v>
      </x:c>
      <x:c r="AT701" s="604" t="n">
        <x:v>-0.25</x:v>
      </x:c>
      <x:c r="AU701" s="604" t="n">
        <x:v>0.95</x:v>
      </x:c>
      <x:c r="AV701" s="604" t="n">
        <x:v>0.8100000000000001</x:v>
      </x:c>
      <x:c r="AW701" s="604" t="n">
        <x:v>46298.06050486111</x:v>
      </x:c>
      <x:c r="AX701" s="604" t="inlineStr">
        <x:is>
          <x:t xml:space="preserve">https://simondongxiao.github.io/odds/v4/</x:t>
        </x:is>
      </x:c>
      <x:c r="AY701" s="604" t="inlineStr">
        <x:is>
          <x:t xml:space="preserve">V4 Shadow Only；real_money=false；P(EV&gt;0)不是比赛胜率</x:t>
        </x:is>
      </x:c>
    </x:row>
    <x:row r="702" ht="22" customHeight="1">
      <x:c r="A702" s="604" t="inlineStr">
        <x:is>
          <x:t xml:space="preserve">2026-10-03</x:t>
        </x:is>
      </x:c>
      <x:c r="B702" s="604" t="inlineStr">
        <x:is>
          <x:t xml:space="preserve">2026-10-03 15:00</x:t>
        </x:is>
      </x:c>
      <x:c r="C702" s="604" t="str">
        <x:v>日韩系列</x:v>
      </x:c>
      <x:c r="D702" s="604" t="inlineStr">
        <x:is>
          <x:t xml:space="preserve">联赛</x:t>
        </x:is>
      </x:c>
      <x:c r="E702" s="604" t="inlineStr">
        <x:is>
          <x:t xml:space="preserve">日职乙</x:t>
        </x:is>
      </x:c>
      <x:c r="F702" s="604" t="inlineStr">
        <x:is>
          <x:t xml:space="preserve">甲府风林 vs 富山胜利</x:t>
        </x:is>
      </x:c>
      <x:c r="G702" s="604" t="n">
        <x:v>1.04</x:v>
      </x:c>
      <x:c r="H702" s="604" t="n">
        <x:v>-0.5</x:v>
      </x:c>
      <x:c r="I702" s="604" t="n">
        <x:v>0.84</x:v>
      </x:c>
      <x:c r="J702" s="604" t="inlineStr">
        <x:is>
          <x:t xml:space="preserve">1.04/-0.5/0.84</x:t>
        </x:is>
      </x:c>
      <x:c r="K702" s="604" t="inlineStr">
        <x:is>
          <x:t xml:space="preserve">V4-B｜EV +0.1045</x:t>
        </x:is>
      </x:c>
      <x:c r="L702" s="604" t="inlineStr">
        <x:is>
          <x:t xml:space="preserve">富山胜利</x:t>
        </x:is>
      </x:c>
      <x:c r="M702" s="604" t="n">
        <x:v>0.6002805059564366</x:v>
      </x:c>
      <x:c r="N702" s="604" t="inlineStr">
        <x:is>
          <x:t xml:space="preserve">V4纸面入选-B</x:t>
        </x:is>
      </x:c>
      <x:c r="O702" s="604" t="inlineStr">
        <x:is>
          <x:t xml:space="preserve">1-2</x:t>
        </x:is>
      </x:c>
      <x:c r="P702" s="604" t="inlineStr">
        <x:is>
          <x:t xml:space="preserve">已结算</x:t>
        </x:is>
      </x:c>
      <x:c r="Q702" s="646" t="inlineStr">
        <x:is>
          <x:t xml:space="preserve">黑</x:t>
        </x:is>
      </x:c>
      <x:c r="R702" s="604" t="n">
        <x:v>0.84</x:v>
      </x:c>
      <x:c r="S702" s="604" t="n">
        <x:f>IF(OR(Q702="",Q702="待结算"),"",IF(Q702="红",R702,IF(Q702="半红",R702*0.5,IF(Q702="走",0,IF(Q702="半黑",-0.5,-1)))))</x:f>
        <x:v>-1</x:v>
      </x:c>
      <x:c r="T702" s="604" t="inlineStr">
        <x:is>
          <x:t xml:space="preserve">https://m.titan007.com/analy/Analysis/3000097.htm</x:t>
        </x:is>
      </x:c>
      <x:c r="U702" s="645" t="str">
        <x:f>IF(Q702="","",IF(Q702="待结算","待结算",IF(Q702="红","黑",IF(Q702="半红","半黑",IF(Q702="走","走",IF(Q702="半黑","半红","红"))))))</x:f>
        <x:v>红</x:v>
      </x:c>
      <x:c r="V702" s="604" t="n">
        <x:f>IF(OR(Q702="",Q702="待结算"),"",IF(L702=LEFT(F702,FIND(" vs ",F702)-1),I702,G702))</x:f>
        <x:v>1.04</x:v>
      </x:c>
      <x:c r="W702" s="604" t="n">
        <x:f>IF(OR(U702="",U702="待结算"),"",IF(U702="红",V702,IF(U702="半红",V702*0.5,IF(U702="走",0,IF(U702="半黑",-0.5,-1)))))</x:f>
        <x:v>1.04</x:v>
      </x:c>
      <x:c r="X702" s="604" t="inlineStr">
        <x:is>
          <x:t xml:space="preserve">3000097</x:t>
        </x:is>
      </x:c>
      <x:c r="Y702" s="604" t="inlineStr">
        <x:is>
          <x:t xml:space="preserve">V4</x:t>
        </x:is>
      </x:c>
      <x:c r="Z702" s="604" t="inlineStr">
        <x:is>
          <x:t xml:space="preserve">prior-2026-10-03-v1</x:t>
        </x:is>
      </x:c>
      <x:c r="AA702" s="604" t="inlineStr">
        <x:is>
          <x:t xml:space="preserve">B</x:t>
        </x:is>
      </x:c>
      <x:c r="AB702" s="604" t="n">
        <x:v>0.6002805059564366</x:v>
      </x:c>
      <x:c r="AC702" s="604" t="n"/>
      <x:c r="AD702" s="604" t="n"/>
      <x:c r="AE702" s="604" t="n"/>
      <x:c r="AF702" s="604" t="n">
        <x:v>0.3997194940435634</x:v>
      </x:c>
      <x:c r="AG702" s="604" t="n">
        <x:v>0.1045161309598432</x:v>
      </x:c>
      <x:c r="AH702" s="604" t="n"/>
      <x:c r="AI702" s="604" t="n"/>
      <x:c r="AJ702" s="604" t="n">
        <x:v>0.1045161309598432</x:v>
      </x:c>
      <x:c r="AK702" s="604" t="n"/>
      <x:c r="AL702" s="604" t="n"/>
      <x:c r="AM702" s="604" t="n"/>
      <x:c r="AN702" s="604" t="inlineStr">
        <x:is>
          <x:t xml:space="preserve">EVALUATED</x:t>
        </x:is>
      </x:c>
      <x:c r="AO702" s="604" t="inlineStr">
        <x:is>
          <x:t xml:space="preserve">GIVING_VALIDATED_EDGE、BUCKET_PRIOR_ONLY、INTENT_INTERPRETATION_ONLY、EXPERT_MARKET</x:t>
        </x:is>
      </x:c>
      <x:c r="AP702" s="604" t="inlineStr">
        <x:is>
          <x:t xml:space="preserve">a1a95ee1073cec37c3af</x:t>
        </x:is>
      </x:c>
      <x:c r="AQ702" s="604" t="n">
        <x:v>-0.5</x:v>
      </x:c>
      <x:c r="AR702" s="604" t="n">
        <x:v>0.84</x:v>
      </x:c>
      <x:c r="AS702" s="604" t="n">
        <x:v>-0.5</x:v>
      </x:c>
      <x:c r="AT702" s="604" t="n">
        <x:v>0.5</x:v>
      </x:c>
      <x:c r="AU702" s="604" t="n">
        <x:v>1.04</x:v>
      </x:c>
      <x:c r="AV702" s="604" t="n">
        <x:v>0.84</x:v>
      </x:c>
      <x:c r="AW702" s="604" t="n">
        <x:v>46298.06050486111</x:v>
      </x:c>
      <x:c r="AX702" s="604" t="inlineStr">
        <x:is>
          <x:t xml:space="preserve">https://simondongxiao.github.io/odds/v4/</x:t>
        </x:is>
      </x:c>
      <x:c r="AY702" s="604" t="inlineStr">
        <x:is>
          <x:t xml:space="preserve">V4 Shadow Only；real_money=false；P(EV&gt;0)不是比赛胜率</x:t>
        </x:is>
      </x:c>
    </x:row>
    <x:row r="703" ht="22" customHeight="1">
      <x:c r="A703" s="604" t="inlineStr">
        <x:is>
          <x:t xml:space="preserve">2026-10-03</x:t>
        </x:is>
      </x:c>
      <x:c r="B703" s="604" t="inlineStr">
        <x:is>
          <x:t xml:space="preserve">2026-10-03 15:00</x:t>
        </x:is>
      </x:c>
      <x:c r="C703" s="604" t="str">
        <x:v>日韩系列</x:v>
      </x:c>
      <x:c r="D703" s="604" t="inlineStr">
        <x:is>
          <x:t xml:space="preserve">杯赛</x:t>
        </x:is>
      </x:c>
      <x:c r="E703" s="604" t="inlineStr">
        <x:is>
          <x:t xml:space="preserve">日联杯</x:t>
        </x:is>
      </x:c>
      <x:c r="F703" s="604" t="inlineStr">
        <x:is>
          <x:t xml:space="preserve">町田泽维亚 vs 京都不死鸟</x:t>
        </x:is>
      </x:c>
      <x:c r="G703" s="604" t="n">
        <x:v>0.9399999999999999</x:v>
      </x:c>
      <x:c r="H703" s="604" t="n">
        <x:v>0.75</x:v>
      </x:c>
      <x:c r="I703" s="604" t="n">
        <x:v>0.88</x:v>
      </x:c>
      <x:c r="J703" s="604" t="inlineStr">
        <x:is>
          <x:t xml:space="preserve">0.94/0.75/0.88</x:t>
        </x:is>
      </x:c>
      <x:c r="K703" s="604" t="inlineStr">
        <x:is>
          <x:t xml:space="preserve">V4-B｜EV +0.0847</x:t>
        </x:is>
      </x:c>
      <x:c r="L703" s="604" t="inlineStr">
        <x:is>
          <x:t xml:space="preserve">町田泽维亚</x:t>
        </x:is>
      </x:c>
      <x:c r="M703" s="604" t="n">
        <x:v>0.5655345895262051</x:v>
      </x:c>
      <x:c r="N703" s="604" t="inlineStr">
        <x:is>
          <x:t xml:space="preserve">V4纸面入选-B</x:t>
        </x:is>
      </x:c>
      <x:c r="O703" s="604" t="inlineStr">
        <x:is>
          <x:t xml:space="preserve">0-0</x:t>
        </x:is>
      </x:c>
      <x:c r="P703" s="604" t="inlineStr">
        <x:is>
          <x:t xml:space="preserve">已结算</x:t>
        </x:is>
      </x:c>
      <x:c r="Q703" s="646" t="inlineStr">
        <x:is>
          <x:t xml:space="preserve">黑</x:t>
        </x:is>
      </x:c>
      <x:c r="R703" s="604" t="n">
        <x:v>0.9399999999999999</x:v>
      </x:c>
      <x:c r="S703" s="604" t="n">
        <x:f>IF(OR(Q703="",Q703="待结算"),"",IF(Q703="红",R703,IF(Q703="半红",R703*0.5,IF(Q703="走",0,IF(Q703="半黑",-0.5,-1)))))</x:f>
        <x:v>-1</x:v>
      </x:c>
      <x:c r="T703" s="604" t="inlineStr">
        <x:is>
          <x:t xml:space="preserve">https://m.titan007.com/analy/Analysis/3008761.htm</x:t>
        </x:is>
      </x:c>
      <x:c r="U703" s="645" t="str">
        <x:f>IF(Q703="","",IF(Q703="待结算","待结算",IF(Q703="红","黑",IF(Q703="半红","半黑",IF(Q703="走","走",IF(Q703="半黑","半红","红"))))))</x:f>
        <x:v>红</x:v>
      </x:c>
      <x:c r="V703" s="604" t="n">
        <x:f>IF(OR(Q703="",Q703="待结算"),"",IF(L703=LEFT(F703,FIND(" vs ",F703)-1),I703,G703))</x:f>
        <x:v>0.88</x:v>
      </x:c>
      <x:c r="W703" s="604" t="n">
        <x:f>IF(OR(U703="",U703="待结算"),"",IF(U703="红",V703,IF(U703="半红",V703*0.5,IF(U703="走",0,IF(U703="半黑",-0.5,-1)))))</x:f>
        <x:v>0.88</x:v>
      </x:c>
      <x:c r="X703" s="604" t="inlineStr">
        <x:is>
          <x:t xml:space="preserve">3008761</x:t>
        </x:is>
      </x:c>
      <x:c r="Y703" s="604" t="inlineStr">
        <x:is>
          <x:t xml:space="preserve">V4</x:t>
        </x:is>
      </x:c>
      <x:c r="Z703" s="604" t="inlineStr">
        <x:is>
          <x:t xml:space="preserve">prior-2026-10-03-v1</x:t>
        </x:is>
      </x:c>
      <x:c r="AA703" s="604" t="inlineStr">
        <x:is>
          <x:t xml:space="preserve">B</x:t>
        </x:is>
      </x:c>
      <x:c r="AB703" s="604" t="n">
        <x:v>0.3657590240469172</x:v>
      </x:c>
      <x:c r="AC703" s="604" t="n">
        <x:v>0.2552170572478353</x:v>
      </x:c>
      <x:c r="AD703" s="604" t="n"/>
      <x:c r="AE703" s="604" t="n"/>
      <x:c r="AF703" s="604" t="n">
        <x:v>0.3790239187052475</x:v>
      </x:c>
      <x:c r="AG703" s="604" t="n">
        <x:v>0.08474158080533711</x:v>
      </x:c>
      <x:c r="AH703" s="604" t="n"/>
      <x:c r="AI703" s="604" t="n"/>
      <x:c r="AJ703" s="604" t="n">
        <x:v>0.08474158080533711</x:v>
      </x:c>
      <x:c r="AK703" s="604" t="n"/>
      <x:c r="AL703" s="604" t="n"/>
      <x:c r="AM703" s="604" t="n"/>
      <x:c r="AN703" s="604" t="inlineStr">
        <x:is>
          <x:t xml:space="preserve">EVALUATED</x:t>
        </x:is>
      </x:c>
      <x:c r="AO703" s="604" t="inlineStr">
        <x:is>
          <x:t xml:space="preserve">GIVING_VALIDATED_EDGE、BUCKET_PRIOR_ONLY、INTENT_INTERPRETATION_ONLY、EXPERT_MARKET</x:t>
        </x:is>
      </x:c>
      <x:c r="AP703" s="604" t="inlineStr">
        <x:is>
          <x:t xml:space="preserve">1e2981fe51404e183ea6</x:t>
        </x:is>
      </x:c>
      <x:c r="AQ703" s="604" t="n">
        <x:v>-0.75</x:v>
      </x:c>
      <x:c r="AR703" s="604" t="n">
        <x:v>0.9399999999999999</x:v>
      </x:c>
      <x:c r="AS703" s="604" t="n">
        <x:v>0.75</x:v>
      </x:c>
      <x:c r="AT703" s="604" t="n">
        <x:v>-0.75</x:v>
      </x:c>
      <x:c r="AU703" s="604" t="n">
        <x:v>0.9399999999999999</x:v>
      </x:c>
      <x:c r="AV703" s="604" t="n">
        <x:v>0.88</x:v>
      </x:c>
      <x:c r="AW703" s="604" t="n">
        <x:v>46298.06050486111</x:v>
      </x:c>
      <x:c r="AX703" s="604" t="inlineStr">
        <x:is>
          <x:t xml:space="preserve">https://simondongxiao.github.io/odds/v4/</x:t>
        </x:is>
      </x:c>
      <x:c r="AY703" s="604" t="inlineStr">
        <x:is>
          <x:t xml:space="preserve">V4 Shadow Only；real_money=false；P(EV&gt;0)不是比赛胜率</x:t>
        </x:is>
      </x:c>
    </x:row>
    <x:row r="704" ht="22" customHeight="1">
      <x:c r="A704" s="604" t="inlineStr">
        <x:is>
          <x:t xml:space="preserve">2026-10-03</x:t>
        </x:is>
      </x:c>
      <x:c r="B704" s="604" t="inlineStr">
        <x:is>
          <x:t xml:space="preserve">2026-10-03 16:00</x:t>
        </x:is>
      </x:c>
      <x:c r="C704" s="604" t="str">
        <x:v>日韩系列</x:v>
      </x:c>
      <x:c r="D704" s="604" t="inlineStr">
        <x:is>
          <x:t xml:space="preserve">联赛</x:t>
        </x:is>
      </x:c>
      <x:c r="E704" s="604" t="inlineStr">
        <x:is>
          <x:t xml:space="preserve">日职乙</x:t>
        </x:is>
      </x:c>
      <x:c r="F704" s="604" t="inlineStr">
        <x:is>
          <x:t xml:space="preserve">枥木市FC vs 今治</x:t>
        </x:is>
      </x:c>
      <x:c r="G704" s="604" t="n">
        <x:v>0.98</x:v>
      </x:c>
      <x:c r="H704" s="604" t="n">
        <x:v>0.5</x:v>
      </x:c>
      <x:c r="I704" s="604" t="n">
        <x:v>0.9</x:v>
      </x:c>
      <x:c r="J704" s="604" t="inlineStr">
        <x:is>
          <x:t xml:space="preserve">0.98/0.5/0.9</x:t>
        </x:is>
      </x:c>
      <x:c r="K704" s="604" t="inlineStr">
        <x:is>
          <x:t xml:space="preserve">V4-B｜EV +0.0750</x:t>
        </x:is>
      </x:c>
      <x:c r="L704" s="604" t="inlineStr">
        <x:is>
          <x:t xml:space="preserve">枥木市FC</x:t>
        </x:is>
      </x:c>
      <x:c r="M704" s="604" t="n">
        <x:v>0.5429160908341563</x:v>
      </x:c>
      <x:c r="N704" s="604" t="inlineStr">
        <x:is>
          <x:t xml:space="preserve">V4纸面入选-B</x:t>
        </x:is>
      </x:c>
      <x:c r="O704" s="604" t="inlineStr">
        <x:is>
          <x:t xml:space="preserve">1-2</x:t>
        </x:is>
      </x:c>
      <x:c r="P704" s="604" t="inlineStr">
        <x:is>
          <x:t xml:space="preserve">已结算</x:t>
        </x:is>
      </x:c>
      <x:c r="Q704" s="646" t="inlineStr">
        <x:is>
          <x:t xml:space="preserve">黑</x:t>
        </x:is>
      </x:c>
      <x:c r="R704" s="604" t="n">
        <x:v>0.98</x:v>
      </x:c>
      <x:c r="S704" s="604" t="n">
        <x:f>IF(OR(Q704="",Q704="待结算"),"",IF(Q704="红",R704,IF(Q704="半红",R704*0.5,IF(Q704="走",0,IF(Q704="半黑",-0.5,-1)))))</x:f>
        <x:v>-1</x:v>
      </x:c>
      <x:c r="T704" s="604" t="inlineStr">
        <x:is>
          <x:t xml:space="preserve">https://m.titan007.com/analy/Analysis/3000100.htm</x:t>
        </x:is>
      </x:c>
      <x:c r="U704" s="645" t="str">
        <x:f>IF(Q704="","",IF(Q704="待结算","待结算",IF(Q704="红","黑",IF(Q704="半红","半黑",IF(Q704="走","走",IF(Q704="半黑","半红","红"))))))</x:f>
        <x:v>红</x:v>
      </x:c>
      <x:c r="V704" s="604" t="n">
        <x:f>IF(OR(Q704="",Q704="待结算"),"",IF(L704=LEFT(F704,FIND(" vs ",F704)-1),I704,G704))</x:f>
        <x:v>0.9</x:v>
      </x:c>
      <x:c r="W704" s="604" t="n">
        <x:f>IF(OR(U704="",U704="待结算"),"",IF(U704="红",V704,IF(U704="半红",V704*0.5,IF(U704="走",0,IF(U704="半黑",-0.5,-1)))))</x:f>
        <x:v>0.9</x:v>
      </x:c>
      <x:c r="X704" s="604" t="inlineStr">
        <x:is>
          <x:t xml:space="preserve">3000100</x:t>
        </x:is>
      </x:c>
      <x:c r="Y704" s="604" t="inlineStr">
        <x:is>
          <x:t xml:space="preserve">V4</x:t>
        </x:is>
      </x:c>
      <x:c r="Z704" s="604" t="inlineStr">
        <x:is>
          <x:t xml:space="preserve">prior-2026-10-03-v1</x:t>
        </x:is>
      </x:c>
      <x:c r="AA704" s="604" t="inlineStr">
        <x:is>
          <x:t xml:space="preserve">B</x:t>
        </x:is>
      </x:c>
      <x:c r="AB704" s="604" t="n">
        <x:v>0.5429160908341563</x:v>
      </x:c>
      <x:c r="AC704" s="604" t="n"/>
      <x:c r="AD704" s="604" t="n"/>
      <x:c r="AE704" s="604" t="n"/>
      <x:c r="AF704" s="604" t="n">
        <x:v>0.4570839091658437</x:v>
      </x:c>
      <x:c r="AG704" s="604" t="n">
        <x:v>0.07497385985162941</x:v>
      </x:c>
      <x:c r="AH704" s="604" t="n"/>
      <x:c r="AI704" s="604" t="n"/>
      <x:c r="AJ704" s="604" t="n">
        <x:v>0.07497385985162941</x:v>
      </x:c>
      <x:c r="AK704" s="604" t="n"/>
      <x:c r="AL704" s="604" t="n"/>
      <x:c r="AM704" s="604" t="n"/>
      <x:c r="AN704" s="604" t="inlineStr">
        <x:is>
          <x:t xml:space="preserve">EVALUATED</x:t>
        </x:is>
      </x:c>
      <x:c r="AO704" s="604" t="inlineStr">
        <x:is>
          <x:t xml:space="preserve">GIVING_VALIDATED_EDGE、BUCKET_PRIOR_ONLY、INTENT_INTERPRETATION_ONLY、EXPERT_MARKET</x:t>
        </x:is>
      </x:c>
      <x:c r="AP704" s="604" t="inlineStr">
        <x:is>
          <x:t xml:space="preserve">33672035a52dfbf2cef6</x:t>
        </x:is>
      </x:c>
      <x:c r="AQ704" s="604" t="n">
        <x:v>-0.5</x:v>
      </x:c>
      <x:c r="AR704" s="604" t="n">
        <x:v>0.98</x:v>
      </x:c>
      <x:c r="AS704" s="604" t="n">
        <x:v>0.5</x:v>
      </x:c>
      <x:c r="AT704" s="604" t="n">
        <x:v>-0.5</x:v>
      </x:c>
      <x:c r="AU704" s="604" t="n">
        <x:v>0.98</x:v>
      </x:c>
      <x:c r="AV704" s="604" t="n">
        <x:v>0.9</x:v>
      </x:c>
      <x:c r="AW704" s="604" t="n">
        <x:v>46298.06050486111</x:v>
      </x:c>
      <x:c r="AX704" s="604" t="inlineStr">
        <x:is>
          <x:t xml:space="preserve">https://simondongxiao.github.io/odds/v4/</x:t>
        </x:is>
      </x:c>
      <x:c r="AY704" s="604" t="inlineStr">
        <x:is>
          <x:t xml:space="preserve">V4 Shadow Only；real_money=false；P(EV&gt;0)不是比赛胜率</x:t>
        </x:is>
      </x:c>
    </x:row>
    <x:row r="705" ht="22" customHeight="1">
      <x:c r="A705" s="604" t="inlineStr">
        <x:is>
          <x:t xml:space="preserve">2026-10-03</x:t>
        </x:is>
      </x:c>
      <x:c r="B705" s="604" t="inlineStr">
        <x:is>
          <x:t xml:space="preserve">2026-10-03 16:00</x:t>
        </x:is>
      </x:c>
      <x:c r="C705" s="604" t="str">
        <x:v>日韩系列</x:v>
      </x:c>
      <x:c r="D705" s="604" t="inlineStr">
        <x:is>
          <x:t xml:space="preserve">联赛</x:t>
        </x:is>
      </x:c>
      <x:c r="E705" s="604" t="inlineStr">
        <x:is>
          <x:t xml:space="preserve">日职丙</x:t>
        </x:is>
      </x:c>
      <x:c r="F705" s="604" t="inlineStr">
        <x:is>
          <x:t xml:space="preserve">FC琉球 vs 金泽</x:t>
        </x:is>
      </x:c>
      <x:c r="G705" s="604" t="n">
        <x:v>0.79</x:v>
      </x:c>
      <x:c r="H705" s="604" t="n">
        <x:v>0</x:v>
      </x:c>
      <x:c r="I705" s="604" t="n">
        <x:v>0.97</x:v>
      </x:c>
      <x:c r="J705" s="604" t="inlineStr">
        <x:is>
          <x:t xml:space="preserve">0.79/0/0.97</x:t>
        </x:is>
      </x:c>
      <x:c r="K705" s="604" t="inlineStr">
        <x:is>
          <x:t xml:space="preserve">V4-C｜EV +0.0101</x:t>
        </x:is>
      </x:c>
      <x:c r="L705" s="604" t="str"/>
      <x:c r="M705" s="604" t="n">
        <x:v>0.5135090522451677</x:v>
      </x:c>
      <x:c r="N705" s="604" t="inlineStr">
        <x:is>
          <x:t xml:space="preserve">V4纸面入选-C</x:t>
        </x:is>
      </x:c>
      <x:c r="O705" s="604" t="inlineStr">
        <x:is>
          <x:t xml:space="preserve">0-2</x:t>
        </x:is>
      </x:c>
      <x:c r="P705" s="604" t="inlineStr">
        <x:is>
          <x:t xml:space="preserve">已结算</x:t>
        </x:is>
      </x:c>
      <x:c r="Q705" s="646" t="inlineStr">
        <x:is>
          <x:t xml:space="preserve">黑</x:t>
        </x:is>
      </x:c>
      <x:c r="R705" s="604" t="n">
        <x:v>0.97</x:v>
      </x:c>
      <x:c r="S705" s="604" t="n">
        <x:f>IF(OR(Q705="",Q705="待结算"),"",IF(Q705="红",R705,IF(Q705="半红",R705*0.5,IF(Q705="走",0,IF(Q705="半黑",-0.5,-1)))))</x:f>
        <x:v>-1</x:v>
      </x:c>
      <x:c r="T705" s="604" t="inlineStr">
        <x:is>
          <x:t xml:space="preserve">https://m.titan007.com/analy/Analysis/3001208.htm</x:t>
        </x:is>
      </x:c>
      <x:c r="U705" s="645" t="str">
        <x:f>IF(Q705="","",IF(Q705="待结算","待结算",IF(Q705="红","黑",IF(Q705="半红","半黑",IF(Q705="走","走",IF(Q705="半黑","半红","红"))))))</x:f>
        <x:v>红</x:v>
      </x:c>
      <x:c r="V705" s="604" t="n">
        <x:f>IF(OR(Q705="",Q705="待结算"),"",IF(L705=LEFT(F705,FIND(" vs ",F705)-1),I705,G705))</x:f>
        <x:v>0.79</x:v>
      </x:c>
      <x:c r="W705" s="604" t="n">
        <x:f>IF(OR(U705="",U705="待结算"),"",IF(U705="红",V705,IF(U705="半红",V705*0.5,IF(U705="走",0,IF(U705="半黑",-0.5,-1)))))</x:f>
        <x:v>0.79</x:v>
      </x:c>
      <x:c r="X705" s="604" t="inlineStr">
        <x:is>
          <x:t xml:space="preserve">3001208</x:t>
        </x:is>
      </x:c>
      <x:c r="Y705" s="604" t="inlineStr">
        <x:is>
          <x:t xml:space="preserve">V4</x:t>
        </x:is>
      </x:c>
      <x:c r="Z705" s="604" t="inlineStr">
        <x:is>
          <x:t xml:space="preserve">prior-2026-10-03-v1</x:t>
        </x:is>
      </x:c>
      <x:c r="AA705" s="604" t="inlineStr">
        <x:is>
          <x:t xml:space="preserve">C</x:t>
        </x:is>
      </x:c>
      <x:c r="AB705" s="604" t="n">
        <x:v>0.4469191246076139</x:v>
      </x:c>
      <x:c r="AC705" s="604" t="n"/>
      <x:c r="AD705" s="604" t="n"/>
      <x:c r="AE705" s="604" t="n">
        <x:v>0.2593524976683818</x:v>
      </x:c>
      <x:c r="AF705" s="604" t="n">
        <x:v>0.2937283777240043</x:v>
      </x:c>
      <x:c r="AG705" s="604" t="n">
        <x:v>0.01010692431119026</x:v>
      </x:c>
      <x:c r="AH705" s="604" t="n"/>
      <x:c r="AI705" s="604" t="n"/>
      <x:c r="AJ705" s="604" t="n">
        <x:v>0.01010692431119026</x:v>
      </x:c>
      <x:c r="AK705" s="604" t="n"/>
      <x:c r="AL705" s="604" t="n"/>
      <x:c r="AM705" s="604" t="n"/>
      <x:c r="AN705" s="604" t="inlineStr">
        <x:is>
          <x:t xml:space="preserve">EVALUATED</x:t>
        </x:is>
      </x:c>
      <x:c r="AO705" s="604" t="inlineStr">
        <x:is>
          <x:t xml:space="preserve">EDGE_BELOW_UNCERTAINTY_THRESHOLD、BUCKET_PRIOR_ONLY、INTENT_INTERPRETATION_ONLY、EXPERT_MARKET</x:t>
        </x:is>
      </x:c>
      <x:c r="AP705" s="604" t="inlineStr">
        <x:is>
          <x:t xml:space="preserve">f0d84a05b01c6eb3de30</x:t>
        </x:is>
      </x:c>
      <x:c r="AQ705" s="604" t="n">
        <x:v>0</x:v>
      </x:c>
      <x:c r="AR705" s="604" t="n"/>
      <x:c r="AS705" s="604" t="n">
        <x:v>0</x:v>
      </x:c>
      <x:c r="AT705" s="604" t="n">
        <x:v>0</x:v>
      </x:c>
      <x:c r="AU705" s="604" t="n">
        <x:v>0.79</x:v>
      </x:c>
      <x:c r="AV705" s="604" t="n">
        <x:v>0.97</x:v>
      </x:c>
      <x:c r="AW705" s="604" t="n">
        <x:v>46298.06050486111</x:v>
      </x:c>
      <x:c r="AX705" s="604" t="inlineStr">
        <x:is>
          <x:t xml:space="preserve">https://simondongxiao.github.io/odds/v4/</x:t>
        </x:is>
      </x:c>
      <x:c r="AY705" s="604" t="inlineStr">
        <x:is>
          <x:t xml:space="preserve">V4 Shadow Only；real_money=false；P(EV&gt;0)不是比赛胜率</x:t>
        </x:is>
      </x:c>
    </x:row>
    <x:row r="706" ht="22" customHeight="1">
      <x:c r="A706" s="604" t="inlineStr">
        <x:is>
          <x:t xml:space="preserve">2026-10-03</x:t>
        </x:is>
      </x:c>
      <x:c r="B706" s="604" t="inlineStr">
        <x:is>
          <x:t xml:space="preserve">2026-10-03 16:00</x:t>
        </x:is>
      </x:c>
      <x:c r="C706" s="604" t="str">
        <x:v>日韩系列</x:v>
      </x:c>
      <x:c r="D706" s="604" t="inlineStr">
        <x:is>
          <x:t xml:space="preserve">联赛</x:t>
        </x:is>
      </x:c>
      <x:c r="E706" s="604" t="inlineStr">
        <x:is>
          <x:t xml:space="preserve">韩K3联</x:t>
        </x:is>
      </x:c>
      <x:c r="F706" s="604" t="inlineStr">
        <x:is>
          <x:t xml:space="preserve">蔚山市民 vs 始兴市民</x:t>
        </x:is>
      </x:c>
      <x:c r="G706" s="604" t="n">
        <x:v>0.88</x:v>
      </x:c>
      <x:c r="H706" s="604" t="n">
        <x:v>0</x:v>
      </x:c>
      <x:c r="I706" s="604" t="n">
        <x:v>0.88</x:v>
      </x:c>
      <x:c r="J706" s="604" t="inlineStr">
        <x:is>
          <x:t xml:space="preserve">0.88/0/0.88</x:t>
        </x:is>
      </x:c>
      <x:c r="K706" s="604" t="inlineStr">
        <x:is>
          <x:t xml:space="preserve">V4-C｜EV +0.0404</x:t>
        </x:is>
      </x:c>
      <x:c r="L706" s="604" t="str"/>
      <x:c r="M706" s="604" t="n">
        <x:v>0.556558953708896</x:v>
      </x:c>
      <x:c r="N706" s="604" t="inlineStr">
        <x:is>
          <x:t xml:space="preserve">V4纸面入选-C</x:t>
        </x:is>
      </x:c>
      <x:c r="O706" s="604" t="inlineStr">
        <x:is>
          <x:t xml:space="preserve">1-2</x:t>
        </x:is>
      </x:c>
      <x:c r="P706" s="604" t="inlineStr">
        <x:is>
          <x:t xml:space="preserve">已结算</x:t>
        </x:is>
      </x:c>
      <x:c r="Q706" s="646" t="inlineStr">
        <x:is>
          <x:t xml:space="preserve">黑</x:t>
        </x:is>
      </x:c>
      <x:c r="R706" s="604" t="n">
        <x:v>0.88</x:v>
      </x:c>
      <x:c r="S706" s="604" t="n">
        <x:f>IF(OR(Q706="",Q706="待结算"),"",IF(Q706="红",R706,IF(Q706="半红",R706*0.5,IF(Q706="走",0,IF(Q706="半黑",-0.5,-1)))))</x:f>
        <x:v>-1</x:v>
      </x:c>
      <x:c r="T706" s="604" t="inlineStr">
        <x:is>
          <x:t xml:space="preserve">https://m.titan007.com/analy/Analysis/2940443.htm</x:t>
        </x:is>
      </x:c>
      <x:c r="U706" s="645" t="str">
        <x:f>IF(Q706="","",IF(Q706="待结算","待结算",IF(Q706="红","黑",IF(Q706="半红","半黑",IF(Q706="走","走",IF(Q706="半黑","半红","红"))))))</x:f>
        <x:v>红</x:v>
      </x:c>
      <x:c r="V706" s="604" t="n">
        <x:f>IF(OR(Q706="",Q706="待结算"),"",IF(L706=LEFT(F706,FIND(" vs ",F706)-1),I706,G706))</x:f>
        <x:v>0.88</x:v>
      </x:c>
      <x:c r="W706" s="604" t="n">
        <x:f>IF(OR(U706="",U706="待结算"),"",IF(U706="红",V706,IF(U706="半红",V706*0.5,IF(U706="走",0,IF(U706="半黑",-0.5,-1)))))</x:f>
        <x:v>0.88</x:v>
      </x:c>
      <x:c r="X706" s="604" t="inlineStr">
        <x:is>
          <x:t xml:space="preserve">2940443</x:t>
        </x:is>
      </x:c>
      <x:c r="Y706" s="604" t="inlineStr">
        <x:is>
          <x:t xml:space="preserve">V4</x:t>
        </x:is>
      </x:c>
      <x:c r="Z706" s="604" t="inlineStr">
        <x:is>
          <x:t xml:space="preserve">prior-2026-10-03-v1</x:t>
        </x:is>
      </x:c>
      <x:c r="AA706" s="604" t="inlineStr">
        <x:is>
          <x:t xml:space="preserve">C</x:t>
        </x:is>
      </x:c>
      <x:c r="AB706" s="604" t="n">
        <x:v>0.3578125440484735</x:v>
      </x:c>
      <x:c r="AC706" s="604" t="n">
        <x:v>0.2553663761810741</x:v>
      </x:c>
      <x:c r="AD706" s="604" t="n"/>
      <x:c r="AE706" s="604" t="n"/>
      <x:c r="AF706" s="604" t="n">
        <x:v>0.3868210797704524</x:v>
      </x:c>
      <x:c r="AG706" s="604" t="n">
        <x:v>0.04041516451187682</x:v>
      </x:c>
      <x:c r="AH706" s="604" t="n"/>
      <x:c r="AI706" s="604" t="n"/>
      <x:c r="AJ706" s="604" t="n">
        <x:v>0.04041516451187682</x:v>
      </x:c>
      <x:c r="AK706" s="604" t="n"/>
      <x:c r="AL706" s="604" t="n"/>
      <x:c r="AM706" s="604" t="n"/>
      <x:c r="AN706" s="604" t="inlineStr">
        <x:is>
          <x:t xml:space="preserve">EVALUATED</x:t>
        </x:is>
      </x:c>
      <x:c r="AO706" s="604" t="inlineStr">
        <x:is>
          <x:t xml:space="preserve">EDGE_BELOW_UNCERTAINTY_THRESHOLD、BUCKET_PRIOR_ONLY、INTENT_INTERPRETATION_ONLY、EXPERT_MARKET</x:t>
        </x:is>
      </x:c>
      <x:c r="AP706" s="604" t="inlineStr">
        <x:is>
          <x:t xml:space="preserve">2064fd816c962092540d</x:t>
        </x:is>
      </x:c>
      <x:c r="AQ706" s="604" t="n">
        <x:v>0</x:v>
      </x:c>
      <x:c r="AR706" s="604" t="n"/>
      <x:c r="AS706" s="604" t="n">
        <x:v>0</x:v>
      </x:c>
      <x:c r="AT706" s="604" t="n">
        <x:v>0</x:v>
      </x:c>
      <x:c r="AU706" s="604" t="n">
        <x:v>0.88</x:v>
      </x:c>
      <x:c r="AV706" s="604" t="n">
        <x:v>0.88</x:v>
      </x:c>
      <x:c r="AW706" s="604" t="n">
        <x:v>46298.06050486111</x:v>
      </x:c>
      <x:c r="AX706" s="604" t="inlineStr">
        <x:is>
          <x:t xml:space="preserve">https://simondongxiao.github.io/odds/v4/</x:t>
        </x:is>
      </x:c>
      <x:c r="AY706" s="604" t="inlineStr">
        <x:is>
          <x:t xml:space="preserve">V4 Shadow Only；real_money=false；P(EV&gt;0)不是比赛胜率</x:t>
        </x:is>
      </x:c>
    </x:row>
    <x:row r="707" ht="22" customHeight="1">
      <x:c r="A707" s="604" t="inlineStr">
        <x:is>
          <x:t xml:space="preserve">2026-10-03</x:t>
        </x:is>
      </x:c>
      <x:c r="B707" s="604" t="inlineStr">
        <x:is>
          <x:t xml:space="preserve">2026-10-03 16:15</x:t>
        </x:is>
      </x:c>
      <x:c r="C707" s="604" t="str">
        <x:v>欧洲非五大系列</x:v>
      </x:c>
      <x:c r="D707" s="604" t="inlineStr">
        <x:is>
          <x:t xml:space="preserve">联赛</x:t>
        </x:is>
      </x:c>
      <x:c r="E707" s="604" t="inlineStr">
        <x:is>
          <x:t xml:space="preserve">捷丙</x:t>
        </x:is>
      </x:c>
      <x:c r="F707" s="604" t="inlineStr">
        <x:is>
          <x:t xml:space="preserve">奥林莫斯B队 vs 维特科维斯</x:t>
        </x:is>
      </x:c>
      <x:c r="G707" s="604" t="n">
        <x:v>0.93</x:v>
      </x:c>
      <x:c r="H707" s="604" t="n">
        <x:v>0.75</x:v>
      </x:c>
      <x:c r="I707" s="604" t="n">
        <x:v>0.77</x:v>
      </x:c>
      <x:c r="J707" s="604" t="inlineStr">
        <x:is>
          <x:t xml:space="preserve">0.93/0.75/0.77</x:t>
        </x:is>
      </x:c>
      <x:c r="K707" s="604" t="inlineStr">
        <x:is>
          <x:t xml:space="preserve">V4-B｜EV +0.1868</x:t>
        </x:is>
      </x:c>
      <x:c r="L707" s="604" t="inlineStr">
        <x:is>
          <x:t xml:space="preserve">奥林莫斯B队</x:t>
        </x:is>
      </x:c>
      <x:c r="M707" s="604" t="n">
        <x:v>0.6290943429209624</x:v>
      </x:c>
      <x:c r="N707" s="604" t="inlineStr">
        <x:is>
          <x:t xml:space="preserve">V4纸面入选-B</x:t>
        </x:is>
      </x:c>
      <x:c r="O707" s="604" t="inlineStr">
        <x:is>
          <x:t xml:space="preserve">2-1</x:t>
        </x:is>
      </x:c>
      <x:c r="P707" s="604" t="inlineStr">
        <x:is>
          <x:t xml:space="preserve">已结算</x:t>
        </x:is>
      </x:c>
      <x:c r="Q707" s="649" t="inlineStr">
        <x:is>
          <x:t xml:space="preserve">半红</x:t>
        </x:is>
      </x:c>
      <x:c r="R707" s="604" t="n">
        <x:v>0.93</x:v>
      </x:c>
      <x:c r="S707" s="604" t="n">
        <x:f>IF(OR(Q707="",Q707="待结算"),"",IF(Q707="红",R707,IF(Q707="半红",R707*0.5,IF(Q707="走",0,IF(Q707="半黑",-0.5,-1)))))</x:f>
        <x:v>0.465</x:v>
      </x:c>
      <x:c r="T707" s="604" t="inlineStr">
        <x:is>
          <x:t xml:space="preserve">https://m.titan007.com/analy/Analysis/3043226.htm</x:t>
        </x:is>
      </x:c>
      <x:c r="U707" s="648" t="str">
        <x:f>IF(Q707="","",IF(Q707="待结算","待结算",IF(Q707="红","黑",IF(Q707="半红","半黑",IF(Q707="走","走",IF(Q707="半黑","半红","红"))))))</x:f>
        <x:v>半黑</x:v>
      </x:c>
      <x:c r="V707" s="604" t="n">
        <x:f>IF(OR(Q707="",Q707="待结算"),"",IF(L707=LEFT(F707,FIND(" vs ",F707)-1),I707,G707))</x:f>
        <x:v>0.77</x:v>
      </x:c>
      <x:c r="W707" s="604" t="n">
        <x:f>IF(OR(U707="",U707="待结算"),"",IF(U707="红",V707,IF(U707="半红",V707*0.5,IF(U707="走",0,IF(U707="半黑",-0.5,-1)))))</x:f>
        <x:v>-0.5</x:v>
      </x:c>
      <x:c r="X707" s="604" t="inlineStr">
        <x:is>
          <x:t xml:space="preserve">3043226</x:t>
        </x:is>
      </x:c>
      <x:c r="Y707" s="604" t="inlineStr">
        <x:is>
          <x:t xml:space="preserve">V4</x:t>
        </x:is>
      </x:c>
      <x:c r="Z707" s="604" t="inlineStr">
        <x:is>
          <x:t xml:space="preserve">prior-2026-10-03-v1</x:t>
        </x:is>
      </x:c>
      <x:c r="AA707" s="604" t="inlineStr">
        <x:is>
          <x:t xml:space="preserve">B</x:t>
        </x:is>
      </x:c>
      <x:c r="AB707" s="604" t="n">
        <x:v>0.420951086502954</x:v>
      </x:c>
      <x:c r="AC707" s="604" t="n">
        <x:v>0.2555324770753399</x:v>
      </x:c>
      <x:c r="AD707" s="604" t="n"/>
      <x:c r="AE707" s="604" t="n"/>
      <x:c r="AF707" s="604" t="n">
        <x:v>0.323516436421706</x:v>
      </x:c>
      <x:c r="AG707" s="604" t="n">
        <x:v>0.1867906758660742</x:v>
      </x:c>
      <x:c r="AH707" s="604" t="n"/>
      <x:c r="AI707" s="604" t="n"/>
      <x:c r="AJ707" s="604" t="n">
        <x:v>0.1867906758660742</x:v>
      </x:c>
      <x:c r="AK707" s="604" t="n"/>
      <x:c r="AL707" s="604" t="n"/>
      <x:c r="AM707" s="604" t="n"/>
      <x:c r="AN707" s="604" t="inlineStr">
        <x:is>
          <x:t xml:space="preserve">EVALUATED</x:t>
        </x:is>
      </x:c>
      <x:c r="AO707" s="604" t="inlineStr">
        <x:is>
          <x:t xml:space="preserve">GIVING_VALIDATED_EDGE、BUCKET_PRIOR_ONLY、INTENT_INTERPRETATION_ONLY、EXPERT_MARKET</x:t>
        </x:is>
      </x:c>
      <x:c r="AP707" s="604" t="inlineStr">
        <x:is>
          <x:t xml:space="preserve">e7ff603952c5a65e8b03</x:t>
        </x:is>
      </x:c>
      <x:c r="AQ707" s="604" t="n">
        <x:v>-0.75</x:v>
      </x:c>
      <x:c r="AR707" s="604" t="n">
        <x:v>0.93</x:v>
      </x:c>
      <x:c r="AS707" s="604" t="n">
        <x:v>0.75</x:v>
      </x:c>
      <x:c r="AT707" s="604" t="n">
        <x:v>-0.75</x:v>
      </x:c>
      <x:c r="AU707" s="604" t="n">
        <x:v>0.93</x:v>
      </x:c>
      <x:c r="AV707" s="604" t="n">
        <x:v>0.77</x:v>
      </x:c>
      <x:c r="AW707" s="604" t="n">
        <x:v>46298.06050486111</x:v>
      </x:c>
      <x:c r="AX707" s="604" t="inlineStr">
        <x:is>
          <x:t xml:space="preserve">https://simondongxiao.github.io/odds/v4/</x:t>
        </x:is>
      </x:c>
      <x:c r="AY707" s="604" t="inlineStr">
        <x:is>
          <x:t xml:space="preserve">V4 Shadow Only；real_money=false；P(EV&gt;0)不是比赛胜率</x:t>
        </x:is>
      </x:c>
    </x:row>
    <x:row r="708" ht="22" customHeight="1">
      <x:c r="A708" s="604" t="inlineStr">
        <x:is>
          <x:t xml:space="preserve">2026-10-03</x:t>
        </x:is>
      </x:c>
      <x:c r="B708" s="604" t="inlineStr">
        <x:is>
          <x:t xml:space="preserve">2026-10-03 16:15</x:t>
        </x:is>
      </x:c>
      <x:c r="C708" s="604" t="str">
        <x:v>欧洲非五大系列</x:v>
      </x:c>
      <x:c r="D708" s="604" t="inlineStr">
        <x:is>
          <x:t xml:space="preserve">联赛</x:t>
        </x:is>
      </x:c>
      <x:c r="E708" s="604" t="inlineStr">
        <x:is>
          <x:t xml:space="preserve">捷丙</x:t>
        </x:is>
      </x:c>
      <x:c r="F708" s="604" t="inlineStr">
        <x:is>
          <x:t xml:space="preserve">莫托勒 vs 洛科维塔维恩</x:t>
        </x:is>
      </x:c>
      <x:c r="G708" s="604" t="n">
        <x:v>0.87</x:v>
      </x:c>
      <x:c r="H708" s="604" t="n">
        <x:v>0.75</x:v>
      </x:c>
      <x:c r="I708" s="604" t="n">
        <x:v>0.83</x:v>
      </x:c>
      <x:c r="J708" s="604" t="inlineStr">
        <x:is>
          <x:t xml:space="preserve">0.87/0.75/0.83</x:t>
        </x:is>
      </x:c>
      <x:c r="K708" s="604" t="inlineStr">
        <x:is>
          <x:t xml:space="preserve">V4-B｜EV +0.1100</x:t>
        </x:is>
      </x:c>
      <x:c r="L708" s="604" t="inlineStr">
        <x:is>
          <x:t xml:space="preserve">莫托勒</x:t>
        </x:is>
      </x:c>
      <x:c r="M708" s="604" t="n">
        <x:v>0.6022280143016612</x:v>
      </x:c>
      <x:c r="N708" s="604" t="inlineStr">
        <x:is>
          <x:t xml:space="preserve">V4纸面入选-B</x:t>
        </x:is>
      </x:c>
      <x:c r="O708" s="604" t="inlineStr">
        <x:is>
          <x:t xml:space="preserve">3-0</x:t>
        </x:is>
      </x:c>
      <x:c r="P708" s="604" t="inlineStr">
        <x:is>
          <x:t xml:space="preserve">已结算</x:t>
        </x:is>
      </x:c>
      <x:c r="Q708" s="645" t="inlineStr">
        <x:is>
          <x:t xml:space="preserve">红</x:t>
        </x:is>
      </x:c>
      <x:c r="R708" s="604" t="n">
        <x:v>0.87</x:v>
      </x:c>
      <x:c r="S708" s="604" t="n">
        <x:f>IF(OR(Q708="",Q708="待结算"),"",IF(Q708="红",R708,IF(Q708="半红",R708*0.5,IF(Q708="走",0,IF(Q708="半黑",-0.5,-1)))))</x:f>
        <x:v>0.87</x:v>
      </x:c>
      <x:c r="T708" s="604" t="inlineStr">
        <x:is>
          <x:t xml:space="preserve">https://m.titan007.com/analy/Analysis/3009394.htm</x:t>
        </x:is>
      </x:c>
      <x:c r="U708" s="646" t="str">
        <x:f>IF(Q708="","",IF(Q708="待结算","待结算",IF(Q708="红","黑",IF(Q708="半红","半黑",IF(Q708="走","走",IF(Q708="半黑","半红","红"))))))</x:f>
        <x:v>黑</x:v>
      </x:c>
      <x:c r="V708" s="604" t="n">
        <x:f>IF(OR(Q708="",Q708="待结算"),"",IF(L708=LEFT(F708,FIND(" vs ",F708)-1),I708,G708))</x:f>
        <x:v>0.83</x:v>
      </x:c>
      <x:c r="W708" s="604" t="n">
        <x:f>IF(OR(U708="",U708="待结算"),"",IF(U708="红",V708,IF(U708="半红",V708*0.5,IF(U708="走",0,IF(U708="半黑",-0.5,-1)))))</x:f>
        <x:v>-1</x:v>
      </x:c>
      <x:c r="X708" s="604" t="inlineStr">
        <x:is>
          <x:t xml:space="preserve">3009394</x:t>
        </x:is>
      </x:c>
      <x:c r="Y708" s="604" t="inlineStr">
        <x:is>
          <x:t xml:space="preserve">V4</x:t>
        </x:is>
      </x:c>
      <x:c r="Z708" s="604" t="inlineStr">
        <x:is>
          <x:t xml:space="preserve">prior-2026-10-03-v1</x:t>
        </x:is>
      </x:c>
      <x:c r="AA708" s="604" t="inlineStr">
        <x:is>
          <x:t xml:space="preserve">B</x:t>
        </x:is>
      </x:c>
      <x:c r="AB708" s="604" t="n">
        <x:v>0.397549744511269</x:v>
      </x:c>
      <x:c r="AC708" s="604" t="n">
        <x:v>0.255492062257571</x:v>
      </x:c>
      <x:c r="AD708" s="604" t="n"/>
      <x:c r="AE708" s="604" t="n"/>
      <x:c r="AF708" s="604" t="n">
        <x:v>0.3469581932311601</x:v>
      </x:c>
      <x:c r="AG708" s="604" t="n">
        <x:v>0.1100491315756874</x:v>
      </x:c>
      <x:c r="AH708" s="604" t="n"/>
      <x:c r="AI708" s="604" t="n"/>
      <x:c r="AJ708" s="604" t="n">
        <x:v>0.1100491315756874</x:v>
      </x:c>
      <x:c r="AK708" s="604" t="n"/>
      <x:c r="AL708" s="604" t="n"/>
      <x:c r="AM708" s="604" t="n"/>
      <x:c r="AN708" s="604" t="inlineStr">
        <x:is>
          <x:t xml:space="preserve">EVALUATED</x:t>
        </x:is>
      </x:c>
      <x:c r="AO708" s="604" t="inlineStr">
        <x:is>
          <x:t xml:space="preserve">GIVING_VALIDATED_EDGE、BUCKET_PRIOR_ONLY、INTENT_INTERPRETATION_ONLY、EXPERT_MARKET</x:t>
        </x:is>
      </x:c>
      <x:c r="AP708" s="604" t="inlineStr">
        <x:is>
          <x:t xml:space="preserve">0d98136a0fbbb5a8d231</x:t>
        </x:is>
      </x:c>
      <x:c r="AQ708" s="604" t="n">
        <x:v>-0.75</x:v>
      </x:c>
      <x:c r="AR708" s="604" t="n">
        <x:v>0.87</x:v>
      </x:c>
      <x:c r="AS708" s="604" t="n">
        <x:v>0.75</x:v>
      </x:c>
      <x:c r="AT708" s="604" t="n">
        <x:v>-0.75</x:v>
      </x:c>
      <x:c r="AU708" s="604" t="n">
        <x:v>0.87</x:v>
      </x:c>
      <x:c r="AV708" s="604" t="n">
        <x:v>0.83</x:v>
      </x:c>
      <x:c r="AW708" s="604" t="n">
        <x:v>46298.06050486111</x:v>
      </x:c>
      <x:c r="AX708" s="604" t="inlineStr">
        <x:is>
          <x:t xml:space="preserve">https://simondongxiao.github.io/odds/v4/</x:t>
        </x:is>
      </x:c>
      <x:c r="AY708" s="604" t="inlineStr">
        <x:is>
          <x:t xml:space="preserve">V4 Shadow Only；real_money=false；P(EV&gt;0)不是比赛胜率</x:t>
        </x:is>
      </x:c>
    </x:row>
    <x:row r="709" ht="22" customHeight="1">
      <x:c r="A709" s="604" t="inlineStr">
        <x:is>
          <x:t xml:space="preserve">2026-10-03</x:t>
        </x:is>
      </x:c>
      <x:c r="B709" s="604" t="inlineStr">
        <x:is>
          <x:t xml:space="preserve">2026-10-03 17:00</x:t>
        </x:is>
      </x:c>
      <x:c r="C709" s="604" t="str">
        <x:v>日韩系列</x:v>
      </x:c>
      <x:c r="D709" s="604" t="inlineStr">
        <x:is>
          <x:t xml:space="preserve">联赛</x:t>
        </x:is>
      </x:c>
      <x:c r="E709" s="604" t="inlineStr">
        <x:is>
          <x:t xml:space="preserve">日足联</x:t>
        </x:is>
      </x:c>
      <x:c r="F709" s="604" t="inlineStr">
        <x:is>
          <x:t xml:space="preserve">FC本田 vs 美蓓亚三美</x:t>
        </x:is>
      </x:c>
      <x:c r="G709" s="604" t="n">
        <x:v>0.82</x:v>
      </x:c>
      <x:c r="H709" s="604" t="n">
        <x:v>0.5</x:v>
      </x:c>
      <x:c r="I709" s="604" t="n">
        <x:v>0.9399999999999999</x:v>
      </x:c>
      <x:c r="J709" s="604" t="inlineStr">
        <x:is>
          <x:t xml:space="preserve">0.82/0.5/0.94</x:t>
        </x:is>
      </x:c>
      <x:c r="K709" s="604" t="inlineStr">
        <x:is>
          <x:t xml:space="preserve">V4-C｜EV +0.0709</x:t>
        </x:is>
      </x:c>
      <x:c r="L709" s="604" t="inlineStr">
        <x:is>
          <x:t xml:space="preserve">FC本田</x:t>
        </x:is>
      </x:c>
      <x:c r="M709" s="604" t="n">
        <x:v>0.5883848778433679</x:v>
      </x:c>
      <x:c r="N709" s="604" t="inlineStr">
        <x:is>
          <x:t xml:space="preserve">V4纸面入选-C</x:t>
        </x:is>
      </x:c>
      <x:c r="O709" s="604" t="inlineStr">
        <x:is>
          <x:t xml:space="preserve">0-1</x:t>
        </x:is>
      </x:c>
      <x:c r="P709" s="604" t="inlineStr">
        <x:is>
          <x:t xml:space="preserve">已结算</x:t>
        </x:is>
      </x:c>
      <x:c r="Q709" s="646" t="inlineStr">
        <x:is>
          <x:t xml:space="preserve">黑</x:t>
        </x:is>
      </x:c>
      <x:c r="R709" s="604" t="n">
        <x:v>0.82</x:v>
      </x:c>
      <x:c r="S709" s="604" t="n">
        <x:f>IF(OR(Q709="",Q709="待结算"),"",IF(Q709="红",R709,IF(Q709="半红",R709*0.5,IF(Q709="走",0,IF(Q709="半黑",-0.5,-1)))))</x:f>
        <x:v>-1</x:v>
      </x:c>
      <x:c r="T709" s="604" t="inlineStr">
        <x:is>
          <x:t xml:space="preserve">https://m.titan007.com/analy/Analysis/3071107.htm</x:t>
        </x:is>
      </x:c>
      <x:c r="U709" s="645" t="str">
        <x:f>IF(Q709="","",IF(Q709="待结算","待结算",IF(Q709="红","黑",IF(Q709="半红","半黑",IF(Q709="走","走",IF(Q709="半黑","半红","红"))))))</x:f>
        <x:v>红</x:v>
      </x:c>
      <x:c r="V709" s="604" t="n">
        <x:f>IF(OR(Q709="",Q709="待结算"),"",IF(L709=LEFT(F709,FIND(" vs ",F709)-1),I709,G709))</x:f>
        <x:v>0.94</x:v>
      </x:c>
      <x:c r="W709" s="604" t="n">
        <x:f>IF(OR(U709="",U709="待结算"),"",IF(U709="红",V709,IF(U709="半红",V709*0.5,IF(U709="走",0,IF(U709="半黑",-0.5,-1)))))</x:f>
        <x:v>0.94</x:v>
      </x:c>
      <x:c r="X709" s="604" t="inlineStr">
        <x:is>
          <x:t xml:space="preserve">3071107</x:t>
        </x:is>
      </x:c>
      <x:c r="Y709" s="604" t="inlineStr">
        <x:is>
          <x:t xml:space="preserve">V4</x:t>
        </x:is>
      </x:c>
      <x:c r="Z709" s="604" t="inlineStr">
        <x:is>
          <x:t xml:space="preserve">prior-2026-10-03-v1</x:t>
        </x:is>
      </x:c>
      <x:c r="AA709" s="604" t="inlineStr">
        <x:is>
          <x:t xml:space="preserve">C</x:t>
        </x:is>
      </x:c>
      <x:c r="AB709" s="604" t="n">
        <x:v>0.5883848778433679</x:v>
      </x:c>
      <x:c r="AC709" s="604" t="n"/>
      <x:c r="AD709" s="604" t="n"/>
      <x:c r="AE709" s="604" t="n"/>
      <x:c r="AF709" s="604" t="n">
        <x:v>0.4116151221566321</x:v>
      </x:c>
      <x:c r="AG709" s="604" t="n">
        <x:v>0.07086047767492953</x:v>
      </x:c>
      <x:c r="AH709" s="604" t="n"/>
      <x:c r="AI709" s="604" t="n"/>
      <x:c r="AJ709" s="604" t="n">
        <x:v>0.07086047767492953</x:v>
      </x:c>
      <x:c r="AK709" s="604" t="n"/>
      <x:c r="AL709" s="604" t="n"/>
      <x:c r="AM709" s="604" t="n"/>
      <x:c r="AN709" s="604" t="inlineStr">
        <x:is>
          <x:t xml:space="preserve">EVALUATED</x:t>
        </x:is>
      </x:c>
      <x:c r="AO709" s="604" t="inlineStr">
        <x:is>
          <x:t xml:space="preserve">GIVING_VALIDATED_EDGE、BUCKET_PRIOR_ONLY、INTENT_INTERPRETATION_ONLY、EXPERT_MARKET</x:t>
        </x:is>
      </x:c>
      <x:c r="AP709" s="604" t="inlineStr">
        <x:is>
          <x:t xml:space="preserve">ee5536fa6f81353308bf</x:t>
        </x:is>
      </x:c>
      <x:c r="AQ709" s="604" t="n">
        <x:v>-0.5</x:v>
      </x:c>
      <x:c r="AR709" s="604" t="n">
        <x:v>0.82</x:v>
      </x:c>
      <x:c r="AS709" s="604" t="n">
        <x:v>0.5</x:v>
      </x:c>
      <x:c r="AT709" s="604" t="n">
        <x:v>-0.5</x:v>
      </x:c>
      <x:c r="AU709" s="604" t="n">
        <x:v>0.82</x:v>
      </x:c>
      <x:c r="AV709" s="604" t="n">
        <x:v>0.9399999999999999</x:v>
      </x:c>
      <x:c r="AW709" s="604" t="n">
        <x:v>46298.06050486111</x:v>
      </x:c>
      <x:c r="AX709" s="604" t="inlineStr">
        <x:is>
          <x:t xml:space="preserve">https://simondongxiao.github.io/odds/v4/</x:t>
        </x:is>
      </x:c>
      <x:c r="AY709" s="604" t="inlineStr">
        <x:is>
          <x:t xml:space="preserve">V4 Shadow Only；real_money=false；P(EV&gt;0)不是比赛胜率</x:t>
        </x:is>
      </x:c>
    </x:row>
    <x:row r="710" ht="22" customHeight="1">
      <x:c r="A710" s="604" t="inlineStr">
        <x:is>
          <x:t xml:space="preserve">2026-10-03</x:t>
        </x:is>
      </x:c>
      <x:c r="B710" s="604" t="inlineStr">
        <x:is>
          <x:t xml:space="preserve">2026-10-03 17:00</x:t>
        </x:is>
      </x:c>
      <x:c r="C710" s="604" t="str">
        <x:v>其他系列</x:v>
      </x:c>
      <x:c r="D710" s="604" t="inlineStr">
        <x:is>
          <x:t xml:space="preserve">联赛</x:t>
        </x:is>
      </x:c>
      <x:c r="E710" s="604" t="inlineStr">
        <x:is>
          <x:t xml:space="preserve">南非女联</x:t>
        </x:is>
      </x:c>
      <x:c r="F710" s="604" t="inlineStr">
        <x:is>
          <x:t xml:space="preserve">埃泽姆维罗女足 vs JWW女足</x:t>
        </x:is>
      </x:c>
      <x:c r="G710" s="604" t="n">
        <x:v>0.93</x:v>
      </x:c>
      <x:c r="H710" s="604" t="n">
        <x:v>-1.5</x:v>
      </x:c>
      <x:c r="I710" s="604" t="n">
        <x:v>0.77</x:v>
      </x:c>
      <x:c r="J710" s="604" t="inlineStr">
        <x:is>
          <x:t xml:space="preserve">0.93/-1.5/0.77</x:t>
        </x:is>
      </x:c>
      <x:c r="K710" s="604" t="inlineStr">
        <x:is>
          <x:t xml:space="preserve">V4-C｜EV +0.1249</x:t>
        </x:is>
      </x:c>
      <x:c r="L710" s="604" t="inlineStr">
        <x:is>
          <x:t xml:space="preserve">JWW女足</x:t>
        </x:is>
      </x:c>
      <x:c r="M710" s="604" t="n">
        <x:v>0.6355478612582657</x:v>
      </x:c>
      <x:c r="N710" s="604" t="inlineStr">
        <x:is>
          <x:t xml:space="preserve">V4纸面入选-C</x:t>
        </x:is>
      </x:c>
      <x:c r="O710" s="604" t="inlineStr">
        <x:is>
          <x:t xml:space="preserve">1-1</x:t>
        </x:is>
      </x:c>
      <x:c r="P710" s="604" t="inlineStr">
        <x:is>
          <x:t xml:space="preserve">已结算</x:t>
        </x:is>
      </x:c>
      <x:c r="Q710" s="646" t="inlineStr">
        <x:is>
          <x:t xml:space="preserve">黑</x:t>
        </x:is>
      </x:c>
      <x:c r="R710" s="604" t="n">
        <x:v>0.77</x:v>
      </x:c>
      <x:c r="S710" s="604" t="n">
        <x:f>IF(OR(Q710="",Q710="待结算"),"",IF(Q710="红",R710,IF(Q710="半红",R710*0.5,IF(Q710="走",0,IF(Q710="半黑",-0.5,-1)))))</x:f>
        <x:v>-1</x:v>
      </x:c>
      <x:c r="T710" s="604" t="inlineStr">
        <x:is>
          <x:t xml:space="preserve">https://m.titan007.com/analy/Analysis/3097508.htm</x:t>
        </x:is>
      </x:c>
      <x:c r="U710" s="645" t="str">
        <x:f>IF(Q710="","",IF(Q710="待结算","待结算",IF(Q710="红","黑",IF(Q710="半红","半黑",IF(Q710="走","走",IF(Q710="半黑","半红","红"))))))</x:f>
        <x:v>红</x:v>
      </x:c>
      <x:c r="V710" s="604" t="n">
        <x:f>IF(OR(Q710="",Q710="待结算"),"",IF(L710=LEFT(F710,FIND(" vs ",F710)-1),I710,G710))</x:f>
        <x:v>0.93</x:v>
      </x:c>
      <x:c r="W710" s="604" t="n">
        <x:f>IF(OR(U710="",U710="待结算"),"",IF(U710="红",V710,IF(U710="半红",V710*0.5,IF(U710="走",0,IF(U710="半黑",-0.5,-1)))))</x:f>
        <x:v>0.93</x:v>
      </x:c>
      <x:c r="X710" s="604" t="inlineStr">
        <x:is>
          <x:t xml:space="preserve">3097508</x:t>
        </x:is>
      </x:c>
      <x:c r="Y710" s="604" t="inlineStr">
        <x:is>
          <x:t xml:space="preserve">V4</x:t>
        </x:is>
      </x:c>
      <x:c r="Z710" s="604" t="inlineStr">
        <x:is>
          <x:t xml:space="preserve">prior-2026-10-03-v1</x:t>
        </x:is>
      </x:c>
      <x:c r="AA710" s="604" t="inlineStr">
        <x:is>
          <x:t xml:space="preserve">C</x:t>
        </x:is>
      </x:c>
      <x:c r="AB710" s="604" t="n">
        <x:v>0.6355478612582657</x:v>
      </x:c>
      <x:c r="AC710" s="604" t="n"/>
      <x:c r="AD710" s="604" t="n"/>
      <x:c r="AE710" s="604" t="n"/>
      <x:c r="AF710" s="604" t="n">
        <x:v>0.3644521387417344</x:v>
      </x:c>
      <x:c r="AG710" s="604" t="n">
        <x:v>0.1249197144271302</x:v>
      </x:c>
      <x:c r="AH710" s="604" t="n"/>
      <x:c r="AI710" s="604" t="n"/>
      <x:c r="AJ710" s="604" t="n">
        <x:v>0.1249197144271302</x:v>
      </x:c>
      <x:c r="AK710" s="604" t="n"/>
      <x:c r="AL710" s="604" t="n"/>
      <x:c r="AM710" s="604" t="n"/>
      <x:c r="AN710" s="604" t="inlineStr">
        <x:is>
          <x:t xml:space="preserve">EVALUATED</x:t>
        </x:is>
      </x:c>
      <x:c r="AO710" s="604" t="inlineStr">
        <x:is>
          <x:t xml:space="preserve">GIVING_VALIDATED_EDGE、BUCKET_PRIOR_ONLY、INTENT_INTERPRETATION_ONLY、EXPERT_MARKET</x:t>
        </x:is>
      </x:c>
      <x:c r="AP710" s="604" t="inlineStr">
        <x:is>
          <x:t xml:space="preserve">079c9c705880be89b3bf</x:t>
        </x:is>
      </x:c>
      <x:c r="AQ710" s="604" t="n">
        <x:v>-1.5</x:v>
      </x:c>
      <x:c r="AR710" s="604" t="n">
        <x:v>0.77</x:v>
      </x:c>
      <x:c r="AS710" s="604" t="n">
        <x:v>-1.5</x:v>
      </x:c>
      <x:c r="AT710" s="604" t="n">
        <x:v>1.5</x:v>
      </x:c>
      <x:c r="AU710" s="604" t="n">
        <x:v>0.93</x:v>
      </x:c>
      <x:c r="AV710" s="604" t="n">
        <x:v>0.77</x:v>
      </x:c>
      <x:c r="AW710" s="604" t="n">
        <x:v>46298.06050486111</x:v>
      </x:c>
      <x:c r="AX710" s="604" t="inlineStr">
        <x:is>
          <x:t xml:space="preserve">https://simondongxiao.github.io/odds/v4/</x:t>
        </x:is>
      </x:c>
      <x:c r="AY710" s="604" t="inlineStr">
        <x:is>
          <x:t xml:space="preserve">V4 Shadow Only；real_money=false；P(EV&gt;0)不是比赛胜率</x:t>
        </x:is>
      </x:c>
    </x:row>
    <x:row r="711" ht="22" customHeight="1">
      <x:c r="A711" s="604" t="inlineStr">
        <x:is>
          <x:t xml:space="preserve">2026-10-03</x:t>
        </x:is>
      </x:c>
      <x:c r="B711" s="604" t="inlineStr">
        <x:is>
          <x:t xml:space="preserve">2026-10-03 17:00</x:t>
        </x:is>
      </x:c>
      <x:c r="C711" s="604" t="str">
        <x:v>欧洲非五大系列</x:v>
      </x:c>
      <x:c r="D711" s="604" t="inlineStr">
        <x:is>
          <x:t xml:space="preserve">联赛</x:t>
        </x:is>
      </x:c>
      <x:c r="E711" s="604" t="inlineStr">
        <x:is>
          <x:t xml:space="preserve">捷U19</x:t>
        </x:is>
      </x:c>
      <x:c r="F711" s="604" t="inlineStr">
        <x:is>
          <x:t xml:space="preserve">史洛特U19 vs 般奴U19</x:t>
        </x:is>
      </x:c>
      <x:c r="G711" s="604" t="n">
        <x:v>0.77</x:v>
      </x:c>
      <x:c r="H711" s="604" t="n">
        <x:v>0</x:v>
      </x:c>
      <x:c r="I711" s="604" t="n">
        <x:v>0.93</x:v>
      </x:c>
      <x:c r="J711" s="604" t="inlineStr">
        <x:is>
          <x:t xml:space="preserve">0.77/0/0.93</x:t>
        </x:is>
      </x:c>
      <x:c r="K711" s="604" t="inlineStr">
        <x:is>
          <x:t xml:space="preserve">V4-C｜EV +0.0006</x:t>
        </x:is>
      </x:c>
      <x:c r="L711" s="604" t="str"/>
      <x:c r="M711" s="604" t="n">
        <x:v>0.4815297913357036</x:v>
      </x:c>
      <x:c r="N711" s="604" t="inlineStr">
        <x:is>
          <x:t xml:space="preserve">V4纸面入选-C</x:t>
        </x:is>
      </x:c>
      <x:c r="O711" s="604" t="inlineStr">
        <x:is>
          <x:t xml:space="preserve">3-0</x:t>
        </x:is>
      </x:c>
      <x:c r="P711" s="604" t="inlineStr">
        <x:is>
          <x:t xml:space="preserve">已结算</x:t>
        </x:is>
      </x:c>
      <x:c r="Q711" s="645" t="inlineStr">
        <x:is>
          <x:t xml:space="preserve">红</x:t>
        </x:is>
      </x:c>
      <x:c r="R711" s="604" t="n">
        <x:v>0.93</x:v>
      </x:c>
      <x:c r="S711" s="604" t="n">
        <x:f>IF(OR(Q711="",Q711="待结算"),"",IF(Q711="红",R711,IF(Q711="半红",R711*0.5,IF(Q711="走",0,IF(Q711="半黑",-0.5,-1)))))</x:f>
        <x:v>0.93</x:v>
      </x:c>
      <x:c r="T711" s="604" t="inlineStr">
        <x:is>
          <x:t xml:space="preserve">https://m.titan007.com/analy/Analysis/3008848.htm</x:t>
        </x:is>
      </x:c>
      <x:c r="U711" s="646" t="str">
        <x:f>IF(Q711="","",IF(Q711="待结算","待结算",IF(Q711="红","黑",IF(Q711="半红","半黑",IF(Q711="走","走",IF(Q711="半黑","半红","红"))))))</x:f>
        <x:v>黑</x:v>
      </x:c>
      <x:c r="V711" s="604" t="n">
        <x:f>IF(OR(Q711="",Q711="待结算"),"",IF(L711=LEFT(F711,FIND(" vs ",F711)-1),I711,G711))</x:f>
        <x:v>0.77</x:v>
      </x:c>
      <x:c r="W711" s="604" t="n">
        <x:f>IF(OR(U711="",U711="待结算"),"",IF(U711="红",V711,IF(U711="半红",V711*0.5,IF(U711="走",0,IF(U711="半黑",-0.5,-1)))))</x:f>
        <x:v>-1</x:v>
      </x:c>
      <x:c r="X711" s="604" t="inlineStr">
        <x:is>
          <x:t xml:space="preserve">3008848</x:t>
        </x:is>
      </x:c>
      <x:c r="Y711" s="604" t="inlineStr">
        <x:is>
          <x:t xml:space="preserve">V4</x:t>
        </x:is>
      </x:c>
      <x:c r="Z711" s="604" t="inlineStr">
        <x:is>
          <x:t xml:space="preserve">prior-2026-10-03-v1</x:t>
        </x:is>
      </x:c>
      <x:c r="AA711" s="604" t="inlineStr">
        <x:is>
          <x:t xml:space="preserve">C</x:t>
        </x:is>
      </x:c>
      <x:c r="AB711" s="604" t="n">
        <x:v>0.4190680449932261</x:v>
      </x:c>
      <x:c r="AC711" s="604" t="n"/>
      <x:c r="AD711" s="604" t="n"/>
      <x:c r="AE711" s="604" t="n">
        <x:v>0.2594304546317534</x:v>
      </x:c>
      <x:c r="AF711" s="604" t="n">
        <x:v>0.3215015003750205</x:v>
      </x:c>
      <x:c r="AG711" s="604" t="n">
        <x:v>0.0005635117593082439</x:v>
      </x:c>
      <x:c r="AH711" s="604" t="n"/>
      <x:c r="AI711" s="604" t="n"/>
      <x:c r="AJ711" s="604" t="n">
        <x:v>0.0005635117593082439</x:v>
      </x:c>
      <x:c r="AK711" s="604" t="n"/>
      <x:c r="AL711" s="604" t="n"/>
      <x:c r="AM711" s="604" t="n"/>
      <x:c r="AN711" s="604" t="inlineStr">
        <x:is>
          <x:t xml:space="preserve">EVALUATED</x:t>
        </x:is>
      </x:c>
      <x:c r="AO711" s="604" t="inlineStr">
        <x:is>
          <x:t xml:space="preserve">EDGE_BELOW_UNCERTAINTY_THRESHOLD、BUCKET_PRIOR_ONLY、INTENT_INTERPRETATION_ONLY、EXPERT_MARKET</x:t>
        </x:is>
      </x:c>
      <x:c r="AP711" s="604" t="inlineStr">
        <x:is>
          <x:t xml:space="preserve">e0ffc6980d0671b4804a</x:t>
        </x:is>
      </x:c>
      <x:c r="AQ711" s="604" t="n">
        <x:v>0</x:v>
      </x:c>
      <x:c r="AR711" s="604" t="n"/>
      <x:c r="AS711" s="604" t="n">
        <x:v>0</x:v>
      </x:c>
      <x:c r="AT711" s="604" t="n">
        <x:v>0</x:v>
      </x:c>
      <x:c r="AU711" s="604" t="n">
        <x:v>0.77</x:v>
      </x:c>
      <x:c r="AV711" s="604" t="n">
        <x:v>0.93</x:v>
      </x:c>
      <x:c r="AW711" s="604" t="n">
        <x:v>46298.06050486111</x:v>
      </x:c>
      <x:c r="AX711" s="604" t="inlineStr">
        <x:is>
          <x:t xml:space="preserve">https://simondongxiao.github.io/odds/v4/</x:t>
        </x:is>
      </x:c>
      <x:c r="AY711" s="604" t="inlineStr">
        <x:is>
          <x:t xml:space="preserve">V4 Shadow Only；real_money=false；P(EV&gt;0)不是比赛胜率</x:t>
        </x:is>
      </x:c>
    </x:row>
    <x:row r="712" ht="22" customHeight="1">
      <x:c r="A712" s="604" t="inlineStr">
        <x:is>
          <x:t xml:space="preserve">2026-10-03</x:t>
        </x:is>
      </x:c>
      <x:c r="B712" s="604" t="inlineStr">
        <x:is>
          <x:t xml:space="preserve">2026-10-03 18:00</x:t>
        </x:is>
      </x:c>
      <x:c r="C712" s="604" t="str">
        <x:v>日韩系列</x:v>
      </x:c>
      <x:c r="D712" s="604" t="inlineStr">
        <x:is>
          <x:t xml:space="preserve">杯赛</x:t>
        </x:is>
      </x:c>
      <x:c r="E712" s="604" t="inlineStr">
        <x:is>
          <x:t xml:space="preserve">日联杯</x:t>
        </x:is>
      </x:c>
      <x:c r="F712" s="604" t="inlineStr">
        <x:is>
          <x:t xml:space="preserve">柏太阳神 vs 大阪钢巴</x:t>
        </x:is>
      </x:c>
      <x:c r="G712" s="604" t="n">
        <x:v>0.79</x:v>
      </x:c>
      <x:c r="H712" s="604" t="n">
        <x:v>0.75</x:v>
      </x:c>
      <x:c r="I712" s="604" t="n">
        <x:v>1.03</x:v>
      </x:c>
      <x:c r="J712" s="604" t="inlineStr">
        <x:is>
          <x:t xml:space="preserve">0.79/0.75/1.03</x:t>
        </x:is>
      </x:c>
      <x:c r="K712" s="604" t="inlineStr">
        <x:is>
          <x:t xml:space="preserve">V4-B｜EV +0.0870</x:t>
        </x:is>
      </x:c>
      <x:c r="L712" s="604" t="inlineStr">
        <x:is>
          <x:t xml:space="preserve">柏太阳神</x:t>
        </x:is>
      </x:c>
      <x:c r="M712" s="604" t="n">
        <x:v>0.614395509481775</x:v>
      </x:c>
      <x:c r="N712" s="604" t="inlineStr">
        <x:is>
          <x:t xml:space="preserve">V4纸面入选-B</x:t>
        </x:is>
      </x:c>
      <x:c r="O712" s="604" t="inlineStr">
        <x:is>
          <x:t xml:space="preserve">3-3</x:t>
        </x:is>
      </x:c>
      <x:c r="P712" s="604" t="inlineStr">
        <x:is>
          <x:t xml:space="preserve">已结算</x:t>
        </x:is>
      </x:c>
      <x:c r="Q712" s="646" t="inlineStr">
        <x:is>
          <x:t xml:space="preserve">黑</x:t>
        </x:is>
      </x:c>
      <x:c r="R712" s="604" t="n">
        <x:v>0.79</x:v>
      </x:c>
      <x:c r="S712" s="604" t="n">
        <x:f>IF(OR(Q712="",Q712="待结算"),"",IF(Q712="红",R712,IF(Q712="半红",R712*0.5,IF(Q712="走",0,IF(Q712="半黑",-0.5,-1)))))</x:f>
        <x:v>-1</x:v>
      </x:c>
      <x:c r="T712" s="604" t="inlineStr">
        <x:is>
          <x:t xml:space="preserve">https://m.titan007.com/analy/Analysis/3008760.htm</x:t>
        </x:is>
      </x:c>
      <x:c r="U712" s="645" t="str">
        <x:f>IF(Q712="","",IF(Q712="待结算","待结算",IF(Q712="红","黑",IF(Q712="半红","半黑",IF(Q712="走","走",IF(Q712="半黑","半红","红"))))))</x:f>
        <x:v>红</x:v>
      </x:c>
      <x:c r="V712" s="604" t="n">
        <x:f>IF(OR(Q712="",Q712="待结算"),"",IF(L712=LEFT(F712,FIND(" vs ",F712)-1),I712,G712))</x:f>
        <x:v>1.03</x:v>
      </x:c>
      <x:c r="W712" s="604" t="n">
        <x:f>IF(OR(U712="",U712="待结算"),"",IF(U712="红",V712,IF(U712="半红",V712*0.5,IF(U712="走",0,IF(U712="半黑",-0.5,-1)))))</x:f>
        <x:v>1.03</x:v>
      </x:c>
      <x:c r="X712" s="604" t="inlineStr">
        <x:is>
          <x:t xml:space="preserve">3008760</x:t>
        </x:is>
      </x:c>
      <x:c r="Y712" s="604" t="inlineStr">
        <x:is>
          <x:t xml:space="preserve">V4</x:t>
        </x:is>
      </x:c>
      <x:c r="Z712" s="604" t="inlineStr">
        <x:is>
          <x:t xml:space="preserve">prior-2026-10-03-v1</x:t>
        </x:is>
      </x:c>
      <x:c r="AA712" s="604" t="inlineStr">
        <x:is>
          <x:t xml:space="preserve">B</x:t>
        </x:is>
      </x:c>
      <x:c r="AB712" s="604" t="n">
        <x:v>0.4081818471500103</x:v>
      </x:c>
      <x:c r="AC712" s="604" t="n">
        <x:v>0.2554685777067849</x:v>
      </x:c>
      <x:c r="AD712" s="604" t="n"/>
      <x:c r="AE712" s="604" t="n"/>
      <x:c r="AF712" s="604" t="n">
        <x:v>0.3363495751432048</x:v>
      </x:c>
      <x:c r="AG712" s="604" t="n">
        <x:v>0.08702417229948345</x:v>
      </x:c>
      <x:c r="AH712" s="604" t="n"/>
      <x:c r="AI712" s="604" t="n"/>
      <x:c r="AJ712" s="604" t="n">
        <x:v>0.08702417229948345</x:v>
      </x:c>
      <x:c r="AK712" s="604" t="n"/>
      <x:c r="AL712" s="604" t="n"/>
      <x:c r="AM712" s="604" t="n"/>
      <x:c r="AN712" s="604" t="inlineStr">
        <x:is>
          <x:t xml:space="preserve">EVALUATED</x:t>
        </x:is>
      </x:c>
      <x:c r="AO712" s="604" t="inlineStr">
        <x:is>
          <x:t xml:space="preserve">GIVING_VALIDATED_EDGE、BUCKET_PRIOR_ONLY、INTENT_INTERPRETATION_ONLY、EXPERT_MARKET</x:t>
        </x:is>
      </x:c>
      <x:c r="AP712" s="604" t="inlineStr">
        <x:is>
          <x:t xml:space="preserve">d6d8555080eb58c2e918</x:t>
        </x:is>
      </x:c>
      <x:c r="AQ712" s="604" t="n">
        <x:v>-0.75</x:v>
      </x:c>
      <x:c r="AR712" s="604" t="n">
        <x:v>0.79</x:v>
      </x:c>
      <x:c r="AS712" s="604" t="n">
        <x:v>0.75</x:v>
      </x:c>
      <x:c r="AT712" s="604" t="n">
        <x:v>-0.75</x:v>
      </x:c>
      <x:c r="AU712" s="604" t="n">
        <x:v>0.79</x:v>
      </x:c>
      <x:c r="AV712" s="604" t="n">
        <x:v>1.03</x:v>
      </x:c>
      <x:c r="AW712" s="604" t="n">
        <x:v>46298.06050486111</x:v>
      </x:c>
      <x:c r="AX712" s="604" t="inlineStr">
        <x:is>
          <x:t xml:space="preserve">https://simondongxiao.github.io/odds/v4/</x:t>
        </x:is>
      </x:c>
      <x:c r="AY712" s="604" t="inlineStr">
        <x:is>
          <x:t xml:space="preserve">V4 Shadow Only；real_money=false；P(EV&gt;0)不是比赛胜率</x:t>
        </x:is>
      </x:c>
    </x:row>
    <x:row r="713" ht="22" customHeight="1">
      <x:c r="A713" s="604" t="inlineStr">
        <x:is>
          <x:t xml:space="preserve">2026-10-03</x:t>
        </x:is>
      </x:c>
      <x:c r="B713" s="604" t="inlineStr">
        <x:is>
          <x:t xml:space="preserve">2026-10-03 18:00</x:t>
        </x:is>
      </x:c>
      <x:c r="C713" s="604" t="str">
        <x:v>五大联赛非顶级联赛</x:v>
      </x:c>
      <x:c r="D713" s="604" t="inlineStr">
        <x:is>
          <x:t xml:space="preserve">联赛</x:t>
        </x:is>
      </x:c>
      <x:c r="E713" s="604" t="inlineStr">
        <x:is>
          <x:t xml:space="preserve">西青U19</x:t>
        </x:is>
      </x:c>
      <x:c r="F713" s="604" t="inlineStr">
        <x:is>
          <x:t xml:space="preserve">科尔多瓦U19 vs 梅利利亚U19</x:t>
        </x:is>
      </x:c>
      <x:c r="G713" s="604" t="n">
        <x:v>0.87</x:v>
      </x:c>
      <x:c r="H713" s="604" t="n">
        <x:v>0</x:v>
      </x:c>
      <x:c r="I713" s="604" t="n">
        <x:v>0.83</x:v>
      </x:c>
      <x:c r="J713" s="604" t="inlineStr">
        <x:is>
          <x:t xml:space="preserve">0.87/0/0.83</x:t>
        </x:is>
      </x:c>
      <x:c r="K713" s="604" t="inlineStr">
        <x:is>
          <x:t xml:space="preserve">V4-C｜EV +0.0341</x:t>
        </x:is>
      </x:c>
      <x:c r="L713" s="604" t="str"/>
      <x:c r="M713" s="604" t="n">
        <x:v>0.4325247211247386</x:v>
      </x:c>
      <x:c r="N713" s="604" t="inlineStr">
        <x:is>
          <x:t xml:space="preserve">V4纸面入选-C</x:t>
        </x:is>
      </x:c>
      <x:c r="O713" s="604" t="inlineStr">
        <x:is>
          <x:t xml:space="preserve">0-0</x:t>
        </x:is>
      </x:c>
      <x:c r="P713" s="604" t="inlineStr">
        <x:is>
          <x:t xml:space="preserve">已结算</x:t>
        </x:is>
      </x:c>
      <x:c r="Q713" s="647" t="inlineStr">
        <x:is>
          <x:t xml:space="preserve">走</x:t>
        </x:is>
      </x:c>
      <x:c r="R713" s="604" t="n">
        <x:v>0.83</x:v>
      </x:c>
      <x:c r="S713" s="604" t="n">
        <x:f>IF(OR(Q713="",Q713="待结算"),"",IF(Q713="红",R713,IF(Q713="半红",R713*0.5,IF(Q713="走",0,IF(Q713="半黑",-0.5,-1)))))</x:f>
        <x:v>0</x:v>
      </x:c>
      <x:c r="T713" s="604" t="inlineStr">
        <x:is>
          <x:t xml:space="preserve">https://m.titan007.com/analy/Analysis/3097398.htm</x:t>
        </x:is>
      </x:c>
      <x:c r="U713" s="647" t="str">
        <x:f>IF(Q713="","",IF(Q713="待结算","待结算",IF(Q713="红","黑",IF(Q713="半红","半黑",IF(Q713="走","走",IF(Q713="半黑","半红","红"))))))</x:f>
        <x:v>走</x:v>
      </x:c>
      <x:c r="V713" s="604" t="n">
        <x:f>IF(OR(Q713="",Q713="待结算"),"",IF(L713=LEFT(F713,FIND(" vs ",F713)-1),I713,G713))</x:f>
        <x:v>0.87</x:v>
      </x:c>
      <x:c r="W713" s="604" t="n">
        <x:f>IF(OR(U713="",U713="待结算"),"",IF(U713="红",V713,IF(U713="半红",V713*0.5,IF(U713="走",0,IF(U713="半黑",-0.5,-1)))))</x:f>
        <x:v>0</x:v>
      </x:c>
      <x:c r="X713" s="604" t="inlineStr">
        <x:is>
          <x:t xml:space="preserve">3097398</x:t>
        </x:is>
      </x:c>
      <x:c r="Y713" s="604" t="inlineStr">
        <x:is>
          <x:t xml:space="preserve">V4</x:t>
        </x:is>
      </x:c>
      <x:c r="Z713" s="604" t="inlineStr">
        <x:is>
          <x:t xml:space="preserve">prior-2026-10-03-v1</x:t>
        </x:is>
      </x:c>
      <x:c r="AA713" s="604" t="inlineStr">
        <x:is>
          <x:t xml:space="preserve">C</x:t>
        </x:is>
      </x:c>
      <x:c r="AB713" s="604" t="n">
        <x:v>0.2697806710705115</x:v>
      </x:c>
      <x:c r="AC713" s="604" t="n">
        <x:v>0.2272129027224738</x:v>
      </x:c>
      <x:c r="AD713" s="604" t="n"/>
      <x:c r="AE713" s="604" t="n"/>
      <x:c r="AF713" s="604" t="n">
        <x:v>0.5030064262070147</x:v>
      </x:c>
      <x:c r="AG713" s="604" t="n">
        <x:v>0.0341082113200738</x:v>
      </x:c>
      <x:c r="AH713" s="604" t="n"/>
      <x:c r="AI713" s="604" t="n"/>
      <x:c r="AJ713" s="604" t="n">
        <x:v>0.0341082113200738</x:v>
      </x:c>
      <x:c r="AK713" s="604" t="n"/>
      <x:c r="AL713" s="604" t="n"/>
      <x:c r="AM713" s="604" t="n"/>
      <x:c r="AN713" s="604" t="inlineStr">
        <x:is>
          <x:t xml:space="preserve">EVALUATED</x:t>
        </x:is>
      </x:c>
      <x:c r="AO713" s="604" t="inlineStr">
        <x:is>
          <x:t xml:space="preserve">EDGE_BELOW_UNCERTAINTY_THRESHOLD、BUCKET_PRIOR_ONLY、INTENT_INTERPRETATION_ONLY、EXPERT_MARKET</x:t>
        </x:is>
      </x:c>
      <x:c r="AP713" s="604" t="inlineStr">
        <x:is>
          <x:t xml:space="preserve">e0b296983b7e211b1d41</x:t>
        </x:is>
      </x:c>
      <x:c r="AQ713" s="604" t="n">
        <x:v>0</x:v>
      </x:c>
      <x:c r="AR713" s="604" t="n"/>
      <x:c r="AS713" s="604" t="n">
        <x:v>0</x:v>
      </x:c>
      <x:c r="AT713" s="604" t="n">
        <x:v>0</x:v>
      </x:c>
      <x:c r="AU713" s="604" t="n">
        <x:v>0.87</x:v>
      </x:c>
      <x:c r="AV713" s="604" t="n">
        <x:v>0.83</x:v>
      </x:c>
      <x:c r="AW713" s="604" t="n">
        <x:v>46298.06050486111</x:v>
      </x:c>
      <x:c r="AX713" s="604" t="inlineStr">
        <x:is>
          <x:t xml:space="preserve">https://simondongxiao.github.io/odds/v4/</x:t>
        </x:is>
      </x:c>
      <x:c r="AY713" s="604" t="inlineStr">
        <x:is>
          <x:t xml:space="preserve">V4 Shadow Only；real_money=false；P(EV&gt;0)不是比赛胜率</x:t>
        </x:is>
      </x:c>
    </x:row>
    <x:row r="714" ht="22" customHeight="1">
      <x:c r="A714" s="604" t="inlineStr">
        <x:is>
          <x:t xml:space="preserve">2026-10-03</x:t>
        </x:is>
      </x:c>
      <x:c r="B714" s="604" t="inlineStr">
        <x:is>
          <x:t xml:space="preserve">2026-10-03 18:00</x:t>
        </x:is>
      </x:c>
      <x:c r="C714" s="604" t="str">
        <x:v>欧洲非五大系列</x:v>
      </x:c>
      <x:c r="D714" s="604" t="inlineStr">
        <x:is>
          <x:t xml:space="preserve">联赛</x:t>
        </x:is>
      </x:c>
      <x:c r="E714" s="604" t="inlineStr">
        <x:is>
          <x:t xml:space="preserve">俄女超</x:t>
        </x:is>
      </x:c>
      <x:c r="F714" s="604" t="inlineStr">
        <x:is>
          <x:t xml:space="preserve">莫斯科戴拿模女足 vs 喀山鲁宾女足</x:t>
        </x:is>
      </x:c>
      <x:c r="G714" s="604" t="n">
        <x:v>0.75</x:v>
      </x:c>
      <x:c r="H714" s="604" t="n">
        <x:v>0</x:v>
      </x:c>
      <x:c r="I714" s="604" t="n">
        <x:v>0.95</x:v>
      </x:c>
      <x:c r="J714" s="604" t="inlineStr">
        <x:is>
          <x:t xml:space="preserve">0.75/0/0.95</x:t>
        </x:is>
      </x:c>
      <x:c r="K714" s="604" t="inlineStr">
        <x:is>
          <x:t xml:space="preserve">V4-C｜EV +0.0179</x:t>
        </x:is>
      </x:c>
      <x:c r="L714" s="604" t="str"/>
      <x:c r="M714" s="604" t="n">
        <x:v>0.4767044813312346</x:v>
      </x:c>
      <x:c r="N714" s="604" t="inlineStr">
        <x:is>
          <x:t xml:space="preserve">V4纸面入选-C</x:t>
        </x:is>
      </x:c>
      <x:c r="O714" s="604" t="inlineStr">
        <x:is>
          <x:t xml:space="preserve">1-0</x:t>
        </x:is>
      </x:c>
      <x:c r="P714" s="604" t="inlineStr">
        <x:is>
          <x:t xml:space="preserve">已结算</x:t>
        </x:is>
      </x:c>
      <x:c r="Q714" s="645" t="inlineStr">
        <x:is>
          <x:t xml:space="preserve">红</x:t>
        </x:is>
      </x:c>
      <x:c r="R714" s="604" t="n">
        <x:v>0.95</x:v>
      </x:c>
      <x:c r="S714" s="604" t="n">
        <x:f>IF(OR(Q714="",Q714="待结算"),"",IF(Q714="红",R714,IF(Q714="半红",R714*0.5,IF(Q714="走",0,IF(Q714="半黑",-0.5,-1)))))</x:f>
        <x:v>0.95</x:v>
      </x:c>
      <x:c r="T714" s="604" t="inlineStr">
        <x:is>
          <x:t xml:space="preserve">https://m.titan007.com/analy/Analysis/2957861.htm</x:t>
        </x:is>
      </x:c>
      <x:c r="U714" s="646" t="str">
        <x:f>IF(Q714="","",IF(Q714="待结算","待结算",IF(Q714="红","黑",IF(Q714="半红","半黑",IF(Q714="走","走",IF(Q714="半黑","半红","红"))))))</x:f>
        <x:v>黑</x:v>
      </x:c>
      <x:c r="V714" s="604" t="n">
        <x:f>IF(OR(Q714="",Q714="待结算"),"",IF(L714=LEFT(F714,FIND(" vs ",F714)-1),I714,G714))</x:f>
        <x:v>0.75</x:v>
      </x:c>
      <x:c r="W714" s="604" t="n">
        <x:f>IF(OR(U714="",U714="待结算"),"",IF(U714="红",V714,IF(U714="半红",V714*0.5,IF(U714="走",0,IF(U714="半黑",-0.5,-1)))))</x:f>
        <x:v>-1</x:v>
      </x:c>
      <x:c r="X714" s="604" t="inlineStr">
        <x:is>
          <x:t xml:space="preserve">2957861</x:t>
        </x:is>
      </x:c>
      <x:c r="Y714" s="604" t="inlineStr">
        <x:is>
          <x:t xml:space="preserve">V4</x:t>
        </x:is>
      </x:c>
      <x:c r="Z714" s="604" t="inlineStr">
        <x:is>
          <x:t xml:space="preserve">prior-2026-10-03-v1</x:t>
        </x:is>
      </x:c>
      <x:c r="AA714" s="604" t="inlineStr">
        <x:is>
          <x:t xml:space="preserve">C</x:t>
        </x:is>
      </x:c>
      <x:c r="AB714" s="604" t="n">
        <x:v>0.294046471757732</x:v>
      </x:c>
      <x:c r="AC714" s="604" t="n">
        <x:v>0.2473860029311188</x:v>
      </x:c>
      <x:c r="AD714" s="604" t="n"/>
      <x:c r="AE714" s="604" t="n"/>
      <x:c r="AF714" s="604" t="n">
        <x:v>0.4585675253111492</x:v>
      </x:c>
      <x:c r="AG714" s="604" t="n">
        <x:v>0.01789967582230029</x:v>
      </x:c>
      <x:c r="AH714" s="604" t="n"/>
      <x:c r="AI714" s="604" t="n"/>
      <x:c r="AJ714" s="604" t="n">
        <x:v>0.01789967582230029</x:v>
      </x:c>
      <x:c r="AK714" s="604" t="n"/>
      <x:c r="AL714" s="604" t="n"/>
      <x:c r="AM714" s="604" t="n"/>
      <x:c r="AN714" s="604" t="inlineStr">
        <x:is>
          <x:t xml:space="preserve">EVALUATED</x:t>
        </x:is>
      </x:c>
      <x:c r="AO714" s="604" t="inlineStr">
        <x:is>
          <x:t xml:space="preserve">EDGE_BELOW_UNCERTAINTY_THRESHOLD、BUCKET_PRIOR_ONLY、INTENT_INTERPRETATION_ONLY、EXPERT_MARKET</x:t>
        </x:is>
      </x:c>
      <x:c r="AP714" s="604" t="inlineStr">
        <x:is>
          <x:t xml:space="preserve">73c445725e4227986251</x:t>
        </x:is>
      </x:c>
      <x:c r="AQ714" s="604" t="n">
        <x:v>0</x:v>
      </x:c>
      <x:c r="AR714" s="604" t="n"/>
      <x:c r="AS714" s="604" t="n">
        <x:v>0</x:v>
      </x:c>
      <x:c r="AT714" s="604" t="n">
        <x:v>0</x:v>
      </x:c>
      <x:c r="AU714" s="604" t="n">
        <x:v>0.75</x:v>
      </x:c>
      <x:c r="AV714" s="604" t="n">
        <x:v>0.95</x:v>
      </x:c>
      <x:c r="AW714" s="604" t="n">
        <x:v>46298.06050486111</x:v>
      </x:c>
      <x:c r="AX714" s="604" t="inlineStr">
        <x:is>
          <x:t xml:space="preserve">https://simondongxiao.github.io/odds/v4/</x:t>
        </x:is>
      </x:c>
      <x:c r="AY714" s="604" t="inlineStr">
        <x:is>
          <x:t xml:space="preserve">V4 Shadow Only；real_money=false；P(EV&gt;0)不是比赛胜率</x:t>
        </x:is>
      </x:c>
    </x:row>
    <x:row r="715" ht="22" customHeight="1">
      <x:c r="A715" s="604" t="inlineStr">
        <x:is>
          <x:t xml:space="preserve">2026-10-03</x:t>
        </x:is>
      </x:c>
      <x:c r="B715" s="604" t="inlineStr">
        <x:is>
          <x:t xml:space="preserve">2026-10-03 18:30</x:t>
        </x:is>
      </x:c>
      <x:c r="C715" s="604" t="str">
        <x:v>五大联赛非顶级联赛</x:v>
      </x:c>
      <x:c r="D715" s="604" t="inlineStr">
        <x:is>
          <x:t xml:space="preserve">联赛</x:t>
        </x:is>
      </x:c>
      <x:c r="E715" s="604" t="inlineStr">
        <x:is>
          <x:t xml:space="preserve">意女甲</x:t>
        </x:is>
      </x:c>
      <x:c r="F715" s="604" t="inlineStr">
        <x:is>
          <x:t xml:space="preserve">帕尔马女足 vs 特拉纳女足</x:t>
        </x:is>
      </x:c>
      <x:c r="G715" s="604" t="n">
        <x:v>0.87</x:v>
      </x:c>
      <x:c r="H715" s="604" t="n">
        <x:v>0</x:v>
      </x:c>
      <x:c r="I715" s="604" t="n">
        <x:v>0.83</x:v>
      </x:c>
      <x:c r="J715" s="604" t="inlineStr">
        <x:is>
          <x:t xml:space="preserve">0.87/0/0.83</x:t>
        </x:is>
      </x:c>
      <x:c r="K715" s="604" t="inlineStr">
        <x:is>
          <x:t xml:space="preserve">V4-C｜EV +0.0083</x:t>
        </x:is>
      </x:c>
      <x:c r="L715" s="604" t="str"/>
      <x:c r="M715" s="604" t="n">
        <x:v>0.5392232755632864</x:v>
      </x:c>
      <x:c r="N715" s="604" t="inlineStr">
        <x:is>
          <x:t xml:space="preserve">V4纸面入选-C</x:t>
        </x:is>
      </x:c>
      <x:c r="O715" s="604" t="inlineStr">
        <x:is>
          <x:t xml:space="preserve">1-2</x:t>
        </x:is>
      </x:c>
      <x:c r="P715" s="604" t="inlineStr">
        <x:is>
          <x:t xml:space="preserve">已结算</x:t>
        </x:is>
      </x:c>
      <x:c r="Q715" s="646" t="inlineStr">
        <x:is>
          <x:t xml:space="preserve">黑</x:t>
        </x:is>
      </x:c>
      <x:c r="R715" s="604" t="n">
        <x:v>0.83</x:v>
      </x:c>
      <x:c r="S715" s="604" t="n">
        <x:f>IF(OR(Q715="",Q715="待结算"),"",IF(Q715="红",R715,IF(Q715="半红",R715*0.5,IF(Q715="走",0,IF(Q715="半黑",-0.5,-1)))))</x:f>
        <x:v>-1</x:v>
      </x:c>
      <x:c r="T715" s="604" t="inlineStr">
        <x:is>
          <x:t xml:space="preserve">https://m.titan007.com/analy/Analysis/3042389.htm</x:t>
        </x:is>
      </x:c>
      <x:c r="U715" s="645" t="str">
        <x:f>IF(Q715="","",IF(Q715="待结算","待结算",IF(Q715="红","黑",IF(Q715="半红","半黑",IF(Q715="走","走",IF(Q715="半黑","半红","红"))))))</x:f>
        <x:v>红</x:v>
      </x:c>
      <x:c r="V715" s="604" t="n">
        <x:f>IF(OR(Q715="",Q715="待结算"),"",IF(L715=LEFT(F715,FIND(" vs ",F715)-1),I715,G715))</x:f>
        <x:v>0.87</x:v>
      </x:c>
      <x:c r="W715" s="604" t="n">
        <x:f>IF(OR(U715="",U715="待结算"),"",IF(U715="红",V715,IF(U715="半红",V715*0.5,IF(U715="走",0,IF(U715="半黑",-0.5,-1)))))</x:f>
        <x:v>0.87</x:v>
      </x:c>
      <x:c r="X715" s="604" t="inlineStr">
        <x:is>
          <x:t xml:space="preserve">3042389</x:t>
        </x:is>
      </x:c>
      <x:c r="Y715" s="604" t="inlineStr">
        <x:is>
          <x:t xml:space="preserve">V4</x:t>
        </x:is>
      </x:c>
      <x:c r="Z715" s="604" t="inlineStr">
        <x:is>
          <x:t xml:space="preserve">prior-2026-10-03-v1</x:t>
        </x:is>
      </x:c>
      <x:c r="AA715" s="604" t="inlineStr">
        <x:is>
          <x:t xml:space="preserve">C</x:t>
        </x:is>
      </x:c>
      <x:c r="AB715" s="604" t="n">
        <x:v>0.5392232755632864</x:v>
      </x:c>
      <x:c r="AC715" s="604" t="n"/>
      <x:c r="AD715" s="604" t="n"/>
      <x:c r="AE715" s="604" t="n"/>
      <x:c r="AF715" s="604" t="n">
        <x:v>0.4607767244367136</x:v>
      </x:c>
      <x:c r="AG715" s="604" t="n">
        <x:v>0.008347525303345538</x:v>
      </x:c>
      <x:c r="AH715" s="604" t="n"/>
      <x:c r="AI715" s="604" t="n"/>
      <x:c r="AJ715" s="604" t="n">
        <x:v>0.008347525303345538</x:v>
      </x:c>
      <x:c r="AK715" s="604" t="n"/>
      <x:c r="AL715" s="604" t="n"/>
      <x:c r="AM715" s="604" t="n"/>
      <x:c r="AN715" s="604" t="inlineStr">
        <x:is>
          <x:t xml:space="preserve">EVALUATED</x:t>
        </x:is>
      </x:c>
      <x:c r="AO715" s="604" t="inlineStr">
        <x:is>
          <x:t xml:space="preserve">EDGE_BELOW_UNCERTAINTY_THRESHOLD、BUCKET_PRIOR_ONLY、INTENT_INTERPRETATION_ONLY、EXPERT_MARKET</x:t>
        </x:is>
      </x:c>
      <x:c r="AP715" s="604" t="inlineStr">
        <x:is>
          <x:t xml:space="preserve">bcbcd6228f7f87f0b4e9</x:t>
        </x:is>
      </x:c>
      <x:c r="AQ715" s="604" t="n">
        <x:v>0</x:v>
      </x:c>
      <x:c r="AR715" s="604" t="n"/>
      <x:c r="AS715" s="604" t="n">
        <x:v>0</x:v>
      </x:c>
      <x:c r="AT715" s="604" t="n">
        <x:v>0</x:v>
      </x:c>
      <x:c r="AU715" s="604" t="n">
        <x:v>0.87</x:v>
      </x:c>
      <x:c r="AV715" s="604" t="n">
        <x:v>0.83</x:v>
      </x:c>
      <x:c r="AW715" s="604" t="n">
        <x:v>46298.06050486111</x:v>
      </x:c>
      <x:c r="AX715" s="604" t="inlineStr">
        <x:is>
          <x:t xml:space="preserve">https://simondongxiao.github.io/odds/v4/</x:t>
        </x:is>
      </x:c>
      <x:c r="AY715" s="604" t="inlineStr">
        <x:is>
          <x:t xml:space="preserve">V4 Shadow Only；real_money=false；P(EV&gt;0)不是比赛胜率</x:t>
        </x:is>
      </x:c>
    </x:row>
    <x:row r="716" ht="22" customHeight="1">
      <x:c r="A716" s="604" t="inlineStr">
        <x:is>
          <x:t xml:space="preserve">2026-10-03</x:t>
        </x:is>
      </x:c>
      <x:c r="B716" s="604" t="inlineStr">
        <x:is>
          <x:t xml:space="preserve">2026-10-03 19:00</x:t>
        </x:is>
      </x:c>
      <x:c r="C716" s="604" t="str">
        <x:v>欧洲非五大系列</x:v>
      </x:c>
      <x:c r="D716" s="604" t="inlineStr">
        <x:is>
          <x:t xml:space="preserve">联赛</x:t>
        </x:is>
      </x:c>
      <x:c r="E716" s="604" t="inlineStr">
        <x:is>
          <x:t xml:space="preserve">瑞典乙北</x:t>
        </x:is>
      </x:c>
      <x:c r="F716" s="604" t="inlineStr">
        <x:is>
          <x:t xml:space="preserve">斯德哥尔摩国际 vs 阿西里斯卡</x:t>
        </x:is>
      </x:c>
      <x:c r="G716" s="604" t="n">
        <x:v>0.93</x:v>
      </x:c>
      <x:c r="H716" s="604" t="n">
        <x:v>0</x:v>
      </x:c>
      <x:c r="I716" s="604" t="n">
        <x:v>0.77</x:v>
      </x:c>
      <x:c r="J716" s="604" t="inlineStr">
        <x:is>
          <x:t xml:space="preserve">0.93/0/0.77</x:t>
        </x:is>
      </x:c>
      <x:c r="K716" s="604" t="inlineStr">
        <x:is>
          <x:t xml:space="preserve">V4-C｜EV +0.0431</x:t>
        </x:is>
      </x:c>
      <x:c r="L716" s="604" t="str"/>
      <x:c r="M716" s="604" t="n">
        <x:v>0.5404436696039469</x:v>
      </x:c>
      <x:c r="N716" s="604" t="inlineStr">
        <x:is>
          <x:t xml:space="preserve">V4纸面入选-C</x:t>
        </x:is>
      </x:c>
      <x:c r="O716" s="604" t="inlineStr">
        <x:is>
          <x:t xml:space="preserve">3-0</x:t>
        </x:is>
      </x:c>
      <x:c r="P716" s="604" t="inlineStr">
        <x:is>
          <x:t xml:space="preserve">已结算</x:t>
        </x:is>
      </x:c>
      <x:c r="Q716" s="645" t="inlineStr">
        <x:is>
          <x:t xml:space="preserve">红</x:t>
        </x:is>
      </x:c>
      <x:c r="R716" s="604" t="n">
        <x:v>0.77</x:v>
      </x:c>
      <x:c r="S716" s="604" t="n">
        <x:f>IF(OR(Q716="",Q716="待结算"),"",IF(Q716="红",R716,IF(Q716="半红",R716*0.5,IF(Q716="走",0,IF(Q716="半黑",-0.5,-1)))))</x:f>
        <x:v>0.77</x:v>
      </x:c>
      <x:c r="T716" s="604" t="inlineStr">
        <x:is>
          <x:t xml:space="preserve">https://m.titan007.com/analy/Analysis/2920168.htm</x:t>
        </x:is>
      </x:c>
      <x:c r="U716" s="646" t="str">
        <x:f>IF(Q716="","",IF(Q716="待结算","待结算",IF(Q716="红","黑",IF(Q716="半红","半黑",IF(Q716="走","走",IF(Q716="半黑","半红","红"))))))</x:f>
        <x:v>黑</x:v>
      </x:c>
      <x:c r="V716" s="604" t="n">
        <x:f>IF(OR(Q716="",Q716="待结算"),"",IF(L716=LEFT(F716,FIND(" vs ",F716)-1),I716,G716))</x:f>
        <x:v>0.93</x:v>
      </x:c>
      <x:c r="W716" s="604" t="n">
        <x:f>IF(OR(U716="",U716="待结算"),"",IF(U716="红",V716,IF(U716="半红",V716*0.5,IF(U716="走",0,IF(U716="半黑",-0.5,-1)))))</x:f>
        <x:v>-1</x:v>
      </x:c>
      <x:c r="X716" s="604" t="inlineStr">
        <x:is>
          <x:t xml:space="preserve">2920168</x:t>
        </x:is>
      </x:c>
      <x:c r="Y716" s="604" t="inlineStr">
        <x:is>
          <x:t xml:space="preserve">V4</x:t>
        </x:is>
      </x:c>
      <x:c r="Z716" s="604" t="inlineStr">
        <x:is>
          <x:t xml:space="preserve">prior-2026-10-03-v1</x:t>
        </x:is>
      </x:c>
      <x:c r="AA716" s="604" t="inlineStr">
        <x:is>
          <x:t xml:space="preserve">C</x:t>
        </x:is>
      </x:c>
      <x:c r="AB716" s="604" t="n">
        <x:v>0.5404436696039469</x:v>
      </x:c>
      <x:c r="AC716" s="604" t="n"/>
      <x:c r="AD716" s="604" t="n"/>
      <x:c r="AE716" s="604" t="n"/>
      <x:c r="AF716" s="604" t="n">
        <x:v>0.4595563303960531</x:v>
      </x:c>
      <x:c r="AG716" s="604" t="n">
        <x:v>0.04305628233561748</x:v>
      </x:c>
      <x:c r="AH716" s="604" t="n"/>
      <x:c r="AI716" s="604" t="n"/>
      <x:c r="AJ716" s="604" t="n">
        <x:v>0.04305628233561748</x:v>
      </x:c>
      <x:c r="AK716" s="604" t="n"/>
      <x:c r="AL716" s="604" t="n"/>
      <x:c r="AM716" s="604" t="n"/>
      <x:c r="AN716" s="604" t="inlineStr">
        <x:is>
          <x:t xml:space="preserve">EVALUATED</x:t>
        </x:is>
      </x:c>
      <x:c r="AO716" s="604" t="inlineStr">
        <x:is>
          <x:t xml:space="preserve">EDGE_BELOW_UNCERTAINTY_THRESHOLD、BUCKET_PRIOR_ONLY、INTENT_INTERPRETATION_ONLY、EXPERT_MARKET</x:t>
        </x:is>
      </x:c>
      <x:c r="AP716" s="604" t="inlineStr">
        <x:is>
          <x:t xml:space="preserve">6d102e4b59d9300fade2</x:t>
        </x:is>
      </x:c>
      <x:c r="AQ716" s="604" t="n">
        <x:v>0</x:v>
      </x:c>
      <x:c r="AR716" s="604" t="n"/>
      <x:c r="AS716" s="604" t="n">
        <x:v>0</x:v>
      </x:c>
      <x:c r="AT716" s="604" t="n">
        <x:v>0</x:v>
      </x:c>
      <x:c r="AU716" s="604" t="n">
        <x:v>0.93</x:v>
      </x:c>
      <x:c r="AV716" s="604" t="n">
        <x:v>0.77</x:v>
      </x:c>
      <x:c r="AW716" s="604" t="n">
        <x:v>46298.06050486111</x:v>
      </x:c>
      <x:c r="AX716" s="604" t="inlineStr">
        <x:is>
          <x:t xml:space="preserve">https://simondongxiao.github.io/odds/v4/</x:t>
        </x:is>
      </x:c>
      <x:c r="AY716" s="604" t="inlineStr">
        <x:is>
          <x:t xml:space="preserve">V4 Shadow Only；real_money=false；P(EV&gt;0)不是比赛胜率</x:t>
        </x:is>
      </x:c>
    </x:row>
    <x:row r="717" ht="22" customHeight="1">
      <x:c r="A717" s="604" t="inlineStr">
        <x:is>
          <x:t xml:space="preserve">2026-10-03</x:t>
        </x:is>
      </x:c>
      <x:c r="B717" s="604" t="inlineStr">
        <x:is>
          <x:t xml:space="preserve">2026-10-03 19:00</x:t>
        </x:is>
      </x:c>
      <x:c r="C717" s="604" t="str">
        <x:v>欧洲非五大系列</x:v>
      </x:c>
      <x:c r="D717" s="604" t="inlineStr">
        <x:is>
          <x:t xml:space="preserve">联赛</x:t>
        </x:is>
      </x:c>
      <x:c r="E717" s="604" t="inlineStr">
        <x:is>
          <x:t xml:space="preserve">丹麦丙</x:t>
        </x:is>
      </x:c>
      <x:c r="F717" s="604" t="inlineStr">
        <x:is>
          <x:t xml:space="preserve">霍尔贝克 vs ASA阿晓斯</x:t>
        </x:is>
      </x:c>
      <x:c r="G717" s="604" t="n">
        <x:v>0.79</x:v>
      </x:c>
      <x:c r="H717" s="604" t="n">
        <x:v>0</x:v>
      </x:c>
      <x:c r="I717" s="604" t="n">
        <x:v>0.91</x:v>
      </x:c>
      <x:c r="J717" s="604" t="inlineStr">
        <x:is>
          <x:t xml:space="preserve">0.79/0/0.91</x:t>
        </x:is>
      </x:c>
      <x:c r="K717" s="604" t="inlineStr">
        <x:is>
          <x:t xml:space="preserve">V4-C｜EV +0.0179</x:t>
        </x:is>
      </x:c>
      <x:c r="L717" s="604" t="str"/>
      <x:c r="M717" s="604" t="n">
        <x:v>0.4656771668142465</x:v>
      </x:c>
      <x:c r="N717" s="604" t="inlineStr">
        <x:is>
          <x:t xml:space="preserve">V4纸面入选-C</x:t>
        </x:is>
      </x:c>
      <x:c r="O717" s="604" t="inlineStr">
        <x:is>
          <x:t xml:space="preserve">2-1</x:t>
        </x:is>
      </x:c>
      <x:c r="P717" s="604" t="inlineStr">
        <x:is>
          <x:t xml:space="preserve">已结算</x:t>
        </x:is>
      </x:c>
      <x:c r="Q717" s="645" t="inlineStr">
        <x:is>
          <x:t xml:space="preserve">红</x:t>
        </x:is>
      </x:c>
      <x:c r="R717" s="604" t="n">
        <x:v>0.91</x:v>
      </x:c>
      <x:c r="S717" s="604" t="n">
        <x:f>IF(OR(Q717="",Q717="待结算"),"",IF(Q717="红",R717,IF(Q717="半红",R717*0.5,IF(Q717="走",0,IF(Q717="半黑",-0.5,-1)))))</x:f>
        <x:v>0.91</x:v>
      </x:c>
      <x:c r="T717" s="604" t="inlineStr">
        <x:is>
          <x:t xml:space="preserve">https://m.titan007.com/analy/Analysis/3021032.htm</x:t>
        </x:is>
      </x:c>
      <x:c r="U717" s="646" t="str">
        <x:f>IF(Q717="","",IF(Q717="待结算","待结算",IF(Q717="红","黑",IF(Q717="半红","半黑",IF(Q717="走","走",IF(Q717="半黑","半红","红"))))))</x:f>
        <x:v>黑</x:v>
      </x:c>
      <x:c r="V717" s="604" t="n">
        <x:f>IF(OR(Q717="",Q717="待结算"),"",IF(L717=LEFT(F717,FIND(" vs ",F717)-1),I717,G717))</x:f>
        <x:v>0.79</x:v>
      </x:c>
      <x:c r="W717" s="604" t="n">
        <x:f>IF(OR(U717="",U717="待结算"),"",IF(U717="红",V717,IF(U717="半红",V717*0.5,IF(U717="走",0,IF(U717="半黑",-0.5,-1)))))</x:f>
        <x:v>-1</x:v>
      </x:c>
      <x:c r="X717" s="604" t="inlineStr">
        <x:is>
          <x:t xml:space="preserve">3021032</x:t>
        </x:is>
      </x:c>
      <x:c r="Y717" s="604" t="inlineStr">
        <x:is>
          <x:t xml:space="preserve">V4</x:t>
        </x:is>
      </x:c>
      <x:c r="Z717" s="604" t="inlineStr">
        <x:is>
          <x:t xml:space="preserve">prior-2026-10-03-v1</x:t>
        </x:is>
      </x:c>
      <x:c r="AA717" s="604" t="inlineStr">
        <x:is>
          <x:t xml:space="preserve">C</x:t>
        </x:is>
      </x:c>
      <x:c r="AB717" s="604" t="n">
        <x:v>0.4061754321344082</x:v>
      </x:c>
      <x:c r="AC717" s="604" t="n"/>
      <x:c r="AD717" s="604" t="n"/>
      <x:c r="AE717" s="604" t="n">
        <x:v>0.255549290023803</x:v>
      </x:c>
      <x:c r="AF717" s="604" t="n">
        <x:v>0.3382752778417888</x:v>
      </x:c>
      <x:c r="AG717" s="604" t="n">
        <x:v>0.01792999766245001</x:v>
      </x:c>
      <x:c r="AH717" s="604" t="n"/>
      <x:c r="AI717" s="604" t="n"/>
      <x:c r="AJ717" s="604" t="n">
        <x:v>0.01792999766245001</x:v>
      </x:c>
      <x:c r="AK717" s="604" t="n"/>
      <x:c r="AL717" s="604" t="n"/>
      <x:c r="AM717" s="604" t="n"/>
      <x:c r="AN717" s="604" t="inlineStr">
        <x:is>
          <x:t xml:space="preserve">EVALUATED</x:t>
        </x:is>
      </x:c>
      <x:c r="AO717" s="604" t="inlineStr">
        <x:is>
          <x:t xml:space="preserve">EDGE_BELOW_UNCERTAINTY_THRESHOLD、BUCKET_PRIOR_ONLY、INTENT_INTERPRETATION_ONLY、EXPERT_MARKET</x:t>
        </x:is>
      </x:c>
      <x:c r="AP717" s="604" t="inlineStr">
        <x:is>
          <x:t xml:space="preserve">4db6484c1ec2eba1068b</x:t>
        </x:is>
      </x:c>
      <x:c r="AQ717" s="604" t="n">
        <x:v>0</x:v>
      </x:c>
      <x:c r="AR717" s="604" t="n"/>
      <x:c r="AS717" s="604" t="n">
        <x:v>0</x:v>
      </x:c>
      <x:c r="AT717" s="604" t="n">
        <x:v>0</x:v>
      </x:c>
      <x:c r="AU717" s="604" t="n">
        <x:v>0.79</x:v>
      </x:c>
      <x:c r="AV717" s="604" t="n">
        <x:v>0.91</x:v>
      </x:c>
      <x:c r="AW717" s="604" t="n">
        <x:v>46298.06050486111</x:v>
      </x:c>
      <x:c r="AX717" s="604" t="inlineStr">
        <x:is>
          <x:t xml:space="preserve">https://simondongxiao.github.io/odds/v4/</x:t>
        </x:is>
      </x:c>
      <x:c r="AY717" s="604" t="inlineStr">
        <x:is>
          <x:t xml:space="preserve">V4 Shadow Only；real_money=false；P(EV&gt;0)不是比赛胜率</x:t>
        </x:is>
      </x:c>
    </x:row>
    <x:row r="718" ht="22" customHeight="1">
      <x:c r="A718" s="604" t="inlineStr">
        <x:is>
          <x:t xml:space="preserve">2026-10-03</x:t>
        </x:is>
      </x:c>
      <x:c r="B718" s="604" t="inlineStr">
        <x:is>
          <x:t xml:space="preserve">2026-10-03 19:00</x:t>
        </x:is>
      </x:c>
      <x:c r="C718" s="604" t="str">
        <x:v>欧洲非五大系列</x:v>
      </x:c>
      <x:c r="D718" s="604" t="inlineStr">
        <x:is>
          <x:t xml:space="preserve">联赛</x:t>
        </x:is>
      </x:c>
      <x:c r="E718" s="604" t="inlineStr">
        <x:is>
          <x:t xml:space="preserve">瑞典丙NS</x:t>
        </x:is>
      </x:c>
      <x:c r="F718" s="604" t="inlineStr">
        <x:is>
          <x:t xml:space="preserve">安斯基德 vs 法鲁BS</x:t>
        </x:is>
      </x:c>
      <x:c r="G718" s="604" t="n">
        <x:v>0.79</x:v>
      </x:c>
      <x:c r="H718" s="604" t="n">
        <x:v>0</x:v>
      </x:c>
      <x:c r="I718" s="604" t="n">
        <x:v>0.91</x:v>
      </x:c>
      <x:c r="J718" s="604" t="inlineStr">
        <x:is>
          <x:t xml:space="preserve">0.79/0/0.91</x:t>
        </x:is>
      </x:c>
      <x:c r="K718" s="604" t="inlineStr">
        <x:is>
          <x:t xml:space="preserve">V4-C｜EV +0.0241</x:t>
        </x:is>
      </x:c>
      <x:c r="L718" s="604" t="str"/>
      <x:c r="M718" s="604" t="n">
        <x:v>0.4620583832876188</x:v>
      </x:c>
      <x:c r="N718" s="604" t="inlineStr">
        <x:is>
          <x:t xml:space="preserve">V4纸面入选-C</x:t>
        </x:is>
      </x:c>
      <x:c r="O718" s="604" t="inlineStr">
        <x:is>
          <x:t xml:space="preserve">2-0</x:t>
        </x:is>
      </x:c>
      <x:c r="P718" s="604" t="inlineStr">
        <x:is>
          <x:t xml:space="preserve">已结算</x:t>
        </x:is>
      </x:c>
      <x:c r="Q718" s="645" t="inlineStr">
        <x:is>
          <x:t xml:space="preserve">红</x:t>
        </x:is>
      </x:c>
      <x:c r="R718" s="604" t="n">
        <x:v>0.91</x:v>
      </x:c>
      <x:c r="S718" s="604" t="n">
        <x:f>IF(OR(Q718="",Q718="待结算"),"",IF(Q718="红",R718,IF(Q718="半红",R718*0.5,IF(Q718="走",0,IF(Q718="半黑",-0.5,-1)))))</x:f>
        <x:v>0.91</x:v>
      </x:c>
      <x:c r="T718" s="604" t="inlineStr">
        <x:is>
          <x:t xml:space="preserve">https://m.titan007.com/analy/Analysis/2927545.htm</x:t>
        </x:is>
      </x:c>
      <x:c r="U718" s="646" t="str">
        <x:f>IF(Q718="","",IF(Q718="待结算","待结算",IF(Q718="红","黑",IF(Q718="半红","半黑",IF(Q718="走","走",IF(Q718="半黑","半红","红"))))))</x:f>
        <x:v>黑</x:v>
      </x:c>
      <x:c r="V718" s="604" t="n">
        <x:f>IF(OR(Q718="",Q718="待结算"),"",IF(L718=LEFT(F718,FIND(" vs ",F718)-1),I718,G718))</x:f>
        <x:v>0.79</x:v>
      </x:c>
      <x:c r="W718" s="604" t="n">
        <x:f>IF(OR(U718="",U718="待结算"),"",IF(U718="红",V718,IF(U718="半红",V718*0.5,IF(U718="走",0,IF(U718="半黑",-0.5,-1)))))</x:f>
        <x:v>-1</x:v>
      </x:c>
      <x:c r="X718" s="604" t="inlineStr">
        <x:is>
          <x:t xml:space="preserve">2927545</x:t>
        </x:is>
      </x:c>
      <x:c r="Y718" s="604" t="inlineStr">
        <x:is>
          <x:t xml:space="preserve">V4</x:t>
        </x:is>
      </x:c>
      <x:c r="Z718" s="604" t="inlineStr">
        <x:is>
          <x:t xml:space="preserve">prior-2026-10-03-v1</x:t>
        </x:is>
      </x:c>
      <x:c r="AA718" s="604" t="inlineStr">
        <x:is>
          <x:t xml:space="preserve">C</x:t>
        </x:is>
      </x:c>
      <x:c r="AB718" s="604" t="n">
        <x:v>0.282984543593087</x:v>
      </x:c>
      <x:c r="AC718" s="604" t="n">
        <x:v>0.2449612706872377</x:v>
      </x:c>
      <x:c r="AD718" s="604" t="n"/>
      <x:c r="AE718" s="604" t="n"/>
      <x:c r="AF718" s="604" t="n">
        <x:v>0.4720541857196753</x:v>
      </x:c>
      <x:c r="AG718" s="604" t="n">
        <x:v>0.02410413006819867</x:v>
      </x:c>
      <x:c r="AH718" s="604" t="n"/>
      <x:c r="AI718" s="604" t="n"/>
      <x:c r="AJ718" s="604" t="n">
        <x:v>0.02410413006819867</x:v>
      </x:c>
      <x:c r="AK718" s="604" t="n"/>
      <x:c r="AL718" s="604" t="n"/>
      <x:c r="AM718" s="604" t="n"/>
      <x:c r="AN718" s="604" t="inlineStr">
        <x:is>
          <x:t xml:space="preserve">EVALUATED</x:t>
        </x:is>
      </x:c>
      <x:c r="AO718" s="604" t="inlineStr">
        <x:is>
          <x:t xml:space="preserve">EDGE_BELOW_UNCERTAINTY_THRESHOLD、BUCKET_PRIOR_ONLY、INTENT_INTERPRETATION_ONLY、EXPERT_MARKET</x:t>
        </x:is>
      </x:c>
      <x:c r="AP718" s="604" t="inlineStr">
        <x:is>
          <x:t xml:space="preserve">946b4db9349afaa1d38f</x:t>
        </x:is>
      </x:c>
      <x:c r="AQ718" s="604" t="n">
        <x:v>0</x:v>
      </x:c>
      <x:c r="AR718" s="604" t="n"/>
      <x:c r="AS718" s="604" t="n">
        <x:v>0</x:v>
      </x:c>
      <x:c r="AT718" s="604" t="n">
        <x:v>0</x:v>
      </x:c>
      <x:c r="AU718" s="604" t="n">
        <x:v>0.79</x:v>
      </x:c>
      <x:c r="AV718" s="604" t="n">
        <x:v>0.91</x:v>
      </x:c>
      <x:c r="AW718" s="604" t="n">
        <x:v>46298.06050486111</x:v>
      </x:c>
      <x:c r="AX718" s="604" t="inlineStr">
        <x:is>
          <x:t xml:space="preserve">https://simondongxiao.github.io/odds/v4/</x:t>
        </x:is>
      </x:c>
      <x:c r="AY718" s="604" t="inlineStr">
        <x:is>
          <x:t xml:space="preserve">V4 Shadow Only；real_money=false；P(EV&gt;0)不是比赛胜率</x:t>
        </x:is>
      </x:c>
    </x:row>
    <x:row r="719" ht="22" customHeight="1">
      <x:c r="A719" s="604" t="inlineStr">
        <x:is>
          <x:t xml:space="preserve">2026-10-03</x:t>
        </x:is>
      </x:c>
      <x:c r="B719" s="604" t="inlineStr">
        <x:is>
          <x:t xml:space="preserve">2026-10-03 19:00</x:t>
        </x:is>
      </x:c>
      <x:c r="C719" s="604" t="str">
        <x:v>欧洲非五大系列</x:v>
      </x:c>
      <x:c r="D719" s="604" t="inlineStr">
        <x:is>
          <x:t xml:space="preserve">联赛</x:t>
        </x:is>
      </x:c>
      <x:c r="E719" s="604" t="inlineStr">
        <x:is>
          <x:t xml:space="preserve">瑞典丙NS</x:t>
        </x:is>
      </x:c>
      <x:c r="F719" s="604" t="inlineStr">
        <x:is>
          <x:t xml:space="preserve">泰比 vs 维格比霍尔姆斯</x:t>
        </x:is>
      </x:c>
      <x:c r="G719" s="604" t="n">
        <x:v>0.88</x:v>
      </x:c>
      <x:c r="H719" s="604" t="n">
        <x:v>0</x:v>
      </x:c>
      <x:c r="I719" s="604" t="n">
        <x:v>0.82</x:v>
      </x:c>
      <x:c r="J719" s="604" t="inlineStr">
        <x:is>
          <x:t xml:space="preserve">0.88/0/0.82</x:t>
        </x:is>
      </x:c>
      <x:c r="K719" s="604" t="inlineStr">
        <x:is>
          <x:t xml:space="preserve">V4-C｜EV +0.0343</x:t>
        </x:is>
      </x:c>
      <x:c r="L719" s="604" t="str"/>
      <x:c r="M719" s="604" t="n">
        <x:v>0.5564203208394966</x:v>
      </x:c>
      <x:c r="N719" s="604" t="inlineStr">
        <x:is>
          <x:t xml:space="preserve">V4纸面入选-C</x:t>
        </x:is>
      </x:c>
      <x:c r="O719" s="604" t="inlineStr">
        <x:is>
          <x:t xml:space="preserve">3-0</x:t>
        </x:is>
      </x:c>
      <x:c r="P719" s="604" t="inlineStr">
        <x:is>
          <x:t xml:space="preserve">已结算</x:t>
        </x:is>
      </x:c>
      <x:c r="Q719" s="645" t="inlineStr">
        <x:is>
          <x:t xml:space="preserve">红</x:t>
        </x:is>
      </x:c>
      <x:c r="R719" s="604" t="n">
        <x:v>0.82</x:v>
      </x:c>
      <x:c r="S719" s="604" t="n">
        <x:f>IF(OR(Q719="",Q719="待结算"),"",IF(Q719="红",R719,IF(Q719="半红",R719*0.5,IF(Q719="走",0,IF(Q719="半黑",-0.5,-1)))))</x:f>
        <x:v>0.82</x:v>
      </x:c>
      <x:c r="T719" s="604" t="inlineStr">
        <x:is>
          <x:t xml:space="preserve">https://m.titan007.com/analy/Analysis/2927547.htm</x:t>
        </x:is>
      </x:c>
      <x:c r="U719" s="646" t="str">
        <x:f>IF(Q719="","",IF(Q719="待结算","待结算",IF(Q719="红","黑",IF(Q719="半红","半黑",IF(Q719="走","走",IF(Q719="半黑","半红","红"))))))</x:f>
        <x:v>黑</x:v>
      </x:c>
      <x:c r="V719" s="604" t="n">
        <x:f>IF(OR(Q719="",Q719="待结算"),"",IF(L719=LEFT(F719,FIND(" vs ",F719)-1),I719,G719))</x:f>
        <x:v>0.88</x:v>
      </x:c>
      <x:c r="W719" s="604" t="n">
        <x:f>IF(OR(U719="",U719="待结算"),"",IF(U719="红",V719,IF(U719="半红",V719*0.5,IF(U719="走",0,IF(U719="半黑",-0.5,-1)))))</x:f>
        <x:v>-1</x:v>
      </x:c>
      <x:c r="X719" s="604" t="inlineStr">
        <x:is>
          <x:t xml:space="preserve">2927547</x:t>
        </x:is>
      </x:c>
      <x:c r="Y719" s="604" t="inlineStr">
        <x:is>
          <x:t xml:space="preserve">V4</x:t>
        </x:is>
      </x:c>
      <x:c r="Z719" s="604" t="inlineStr">
        <x:is>
          <x:t xml:space="preserve">prior-2026-10-03-v1</x:t>
        </x:is>
      </x:c>
      <x:c r="AA719" s="604" t="inlineStr">
        <x:is>
          <x:t xml:space="preserve">C</x:t>
        </x:is>
      </x:c>
      <x:c r="AB719" s="604" t="n">
        <x:v>0.4144013024019053</x:v>
      </x:c>
      <x:c r="AC719" s="604" t="n"/>
      <x:c r="AD719" s="604" t="n">
        <x:v>0.2552369371113564</x:v>
      </x:c>
      <x:c r="AE719" s="604" t="n"/>
      <x:c r="AF719" s="604" t="n">
        <x:v>0.3303617604867384</x:v>
      </x:c>
      <x:c r="AG719" s="604" t="n">
        <x:v>0.03431138562693825</x:v>
      </x:c>
      <x:c r="AH719" s="604" t="n"/>
      <x:c r="AI719" s="604" t="n"/>
      <x:c r="AJ719" s="604" t="n">
        <x:v>0.03431138562693825</x:v>
      </x:c>
      <x:c r="AK719" s="604" t="n"/>
      <x:c r="AL719" s="604" t="n"/>
      <x:c r="AM719" s="604" t="n"/>
      <x:c r="AN719" s="604" t="inlineStr">
        <x:is>
          <x:t xml:space="preserve">EVALUATED</x:t>
        </x:is>
      </x:c>
      <x:c r="AO719" s="604" t="inlineStr">
        <x:is>
          <x:t xml:space="preserve">EDGE_BELOW_UNCERTAINTY_THRESHOLD、BUCKET_PRIOR_ONLY、INTENT_INTERPRETATION_ONLY、EXPERT_MARKET</x:t>
        </x:is>
      </x:c>
      <x:c r="AP719" s="604" t="inlineStr">
        <x:is>
          <x:t xml:space="preserve">6807646af69f9d7345b8</x:t>
        </x:is>
      </x:c>
      <x:c r="AQ719" s="604" t="n">
        <x:v>0</x:v>
      </x:c>
      <x:c r="AR719" s="604" t="n"/>
      <x:c r="AS719" s="604" t="n">
        <x:v>0</x:v>
      </x:c>
      <x:c r="AT719" s="604" t="n">
        <x:v>0</x:v>
      </x:c>
      <x:c r="AU719" s="604" t="n">
        <x:v>0.88</x:v>
      </x:c>
      <x:c r="AV719" s="604" t="n">
        <x:v>0.82</x:v>
      </x:c>
      <x:c r="AW719" s="604" t="n">
        <x:v>46298.06050486111</x:v>
      </x:c>
      <x:c r="AX719" s="604" t="inlineStr">
        <x:is>
          <x:t xml:space="preserve">https://simondongxiao.github.io/odds/v4/</x:t>
        </x:is>
      </x:c>
      <x:c r="AY719" s="604" t="inlineStr">
        <x:is>
          <x:t xml:space="preserve">V4 Shadow Only；real_money=false；P(EV&gt;0)不是比赛胜率</x:t>
        </x:is>
      </x:c>
    </x:row>
    <x:row r="720" ht="22" customHeight="1">
      <x:c r="A720" s="604" t="inlineStr">
        <x:is>
          <x:t xml:space="preserve">2026-10-03</x:t>
        </x:is>
      </x:c>
      <x:c r="B720" s="604" t="inlineStr">
        <x:is>
          <x:t xml:space="preserve">2026-10-03 19:00</x:t>
        </x:is>
      </x:c>
      <x:c r="C720" s="604" t="str">
        <x:v>欧洲非五大系列</x:v>
      </x:c>
      <x:c r="D720" s="604" t="inlineStr">
        <x:is>
          <x:t xml:space="preserve">联赛</x:t>
        </x:is>
      </x:c>
      <x:c r="E720" s="604" t="inlineStr">
        <x:is>
          <x:t xml:space="preserve">波女超</x:t>
        </x:is>
      </x:c>
      <x:c r="F720" s="604" t="inlineStr">
        <x:is>
          <x:t xml:space="preserve">APLG格但斯克女足 vs 莱赫波兹南女足</x:t>
        </x:is>
      </x:c>
      <x:c r="G720" s="604" t="n">
        <x:v>0.78</x:v>
      </x:c>
      <x:c r="H720" s="604" t="n">
        <x:v>0</x:v>
      </x:c>
      <x:c r="I720" s="604" t="n">
        <x:v>0.92</x:v>
      </x:c>
      <x:c r="J720" s="604" t="inlineStr">
        <x:is>
          <x:t xml:space="preserve">0.78/0/0.92</x:t>
        </x:is>
      </x:c>
      <x:c r="K720" s="604" t="inlineStr">
        <x:is>
          <x:t xml:space="preserve">V4-C｜EV +0.0246</x:t>
        </x:is>
      </x:c>
      <x:c r="L720" s="604" t="str"/>
      <x:c r="M720" s="604" t="n">
        <x:v>0.5775973335620643</x:v>
      </x:c>
      <x:c r="N720" s="604" t="inlineStr">
        <x:is>
          <x:t xml:space="preserve">V4纸面入选-C</x:t>
        </x:is>
      </x:c>
      <x:c r="O720" s="604" t="inlineStr">
        <x:is>
          <x:t xml:space="preserve">3-1</x:t>
        </x:is>
      </x:c>
      <x:c r="P720" s="604" t="inlineStr">
        <x:is>
          <x:t xml:space="preserve">已结算</x:t>
        </x:is>
      </x:c>
      <x:c r="Q720" s="645" t="inlineStr">
        <x:is>
          <x:t xml:space="preserve">红</x:t>
        </x:is>
      </x:c>
      <x:c r="R720" s="604" t="n">
        <x:v>0.92</x:v>
      </x:c>
      <x:c r="S720" s="604" t="n">
        <x:f>IF(OR(Q720="",Q720="待结算"),"",IF(Q720="红",R720,IF(Q720="半红",R720*0.5,IF(Q720="走",0,IF(Q720="半黑",-0.5,-1)))))</x:f>
        <x:v>0.92</x:v>
      </x:c>
      <x:c r="T720" s="604" t="inlineStr">
        <x:is>
          <x:t xml:space="preserve">https://m.titan007.com/analy/Analysis/3023382.htm</x:t>
        </x:is>
      </x:c>
      <x:c r="U720" s="646" t="str">
        <x:f>IF(Q720="","",IF(Q720="待结算","待结算",IF(Q720="红","黑",IF(Q720="半红","半黑",IF(Q720="走","走",IF(Q720="半黑","半红","红"))))))</x:f>
        <x:v>黑</x:v>
      </x:c>
      <x:c r="V720" s="604" t="n">
        <x:f>IF(OR(Q720="",Q720="待结算"),"",IF(L720=LEFT(F720,FIND(" vs ",F720)-1),I720,G720))</x:f>
        <x:v>0.78</x:v>
      </x:c>
      <x:c r="W720" s="604" t="n">
        <x:f>IF(OR(U720="",U720="待结算"),"",IF(U720="红",V720,IF(U720="半红",V720*0.5,IF(U720="走",0,IF(U720="半黑",-0.5,-1)))))</x:f>
        <x:v>-1</x:v>
      </x:c>
      <x:c r="X720" s="604" t="inlineStr">
        <x:is>
          <x:t xml:space="preserve">3023382</x:t>
        </x:is>
      </x:c>
      <x:c r="Y720" s="604" t="inlineStr">
        <x:is>
          <x:t xml:space="preserve">V4</x:t>
        </x:is>
      </x:c>
      <x:c r="Z720" s="604" t="inlineStr">
        <x:is>
          <x:t xml:space="preserve">prior-2026-10-03-v1</x:t>
        </x:is>
      </x:c>
      <x:c r="AA720" s="604" t="inlineStr">
        <x:is>
          <x:t xml:space="preserve">C</x:t>
        </x:is>
      </x:c>
      <x:c r="AB720" s="604" t="n">
        <x:v>0.5052508815106217</x:v>
      </x:c>
      <x:c r="AC720" s="604" t="n"/>
      <x:c r="AD720" s="604" t="n"/>
      <x:c r="AE720" s="604" t="n">
        <x:v>0.2505082618899205</x:v>
      </x:c>
      <x:c r="AF720" s="604" t="n">
        <x:v>0.2442408565994578</x:v>
      </x:c>
      <x:c r="AG720" s="604" t="n">
        <x:v>0.02460070003386688</x:v>
      </x:c>
      <x:c r="AH720" s="604" t="n"/>
      <x:c r="AI720" s="604" t="n"/>
      <x:c r="AJ720" s="604" t="n">
        <x:v>0.02460070003386688</x:v>
      </x:c>
      <x:c r="AK720" s="604" t="n"/>
      <x:c r="AL720" s="604" t="n"/>
      <x:c r="AM720" s="604" t="n"/>
      <x:c r="AN720" s="604" t="inlineStr">
        <x:is>
          <x:t xml:space="preserve">EVALUATED</x:t>
        </x:is>
      </x:c>
      <x:c r="AO720" s="604" t="inlineStr">
        <x:is>
          <x:t xml:space="preserve">EDGE_BELOW_UNCERTAINTY_THRESHOLD、BUCKET_PRIOR_ONLY、INTENT_INTERPRETATION_ONLY、EXPERT_MARKET</x:t>
        </x:is>
      </x:c>
      <x:c r="AP720" s="604" t="inlineStr">
        <x:is>
          <x:t xml:space="preserve">0e237a54e13d016e4a45</x:t>
        </x:is>
      </x:c>
      <x:c r="AQ720" s="604" t="n">
        <x:v>0</x:v>
      </x:c>
      <x:c r="AR720" s="604" t="n"/>
      <x:c r="AS720" s="604" t="n">
        <x:v>0</x:v>
      </x:c>
      <x:c r="AT720" s="604" t="n">
        <x:v>0</x:v>
      </x:c>
      <x:c r="AU720" s="604" t="n">
        <x:v>0.78</x:v>
      </x:c>
      <x:c r="AV720" s="604" t="n">
        <x:v>0.92</x:v>
      </x:c>
      <x:c r="AW720" s="604" t="n">
        <x:v>46298.06050486111</x:v>
      </x:c>
      <x:c r="AX720" s="604" t="inlineStr">
        <x:is>
          <x:t xml:space="preserve">https://simondongxiao.github.io/odds/v4/</x:t>
        </x:is>
      </x:c>
      <x:c r="AY720" s="604" t="inlineStr">
        <x:is>
          <x:t xml:space="preserve">V4 Shadow Only；real_money=false；P(EV&gt;0)不是比赛胜率</x:t>
        </x:is>
      </x:c>
    </x:row>
    <x:row r="721" ht="22" customHeight="1">
      <x:c r="A721" s="604" t="inlineStr">
        <x:is>
          <x:t xml:space="preserve">2026-10-03</x:t>
        </x:is>
      </x:c>
      <x:c r="B721" s="604" t="inlineStr">
        <x:is>
          <x:t xml:space="preserve">2026-10-03 19:30</x:t>
        </x:is>
      </x:c>
      <x:c r="C721" s="604" t="str">
        <x:v>五大联赛非顶级联赛</x:v>
      </x:c>
      <x:c r="D721" s="604" t="inlineStr">
        <x:is>
          <x:t xml:space="preserve">联赛</x:t>
        </x:is>
      </x:c>
      <x:c r="E721" s="604" t="inlineStr">
        <x:is>
          <x:t xml:space="preserve">英乙</x:t>
        </x:is>
      </x:c>
      <x:c r="F721" s="604" t="inlineStr">
        <x:is>
          <x:t xml:space="preserve">切斯特菲尔德 vs 特兰米尔</x:t>
        </x:is>
      </x:c>
      <x:c r="G721" s="604" t="n">
        <x:v>0.84</x:v>
      </x:c>
      <x:c r="H721" s="604" t="n">
        <x:v>0</x:v>
      </x:c>
      <x:c r="I721" s="604" t="n">
        <x:v>0.92</x:v>
      </x:c>
      <x:c r="J721" s="604" t="inlineStr">
        <x:is>
          <x:t xml:space="preserve">0.84/0/0.92</x:t>
        </x:is>
      </x:c>
      <x:c r="K721" s="604" t="inlineStr">
        <x:is>
          <x:t xml:space="preserve">V4-C｜EV +0.0475</x:t>
        </x:is>
      </x:c>
      <x:c r="L721" s="604" t="str"/>
      <x:c r="M721" s="604" t="n">
        <x:v>0.5730612626211001</x:v>
      </x:c>
      <x:c r="N721" s="604" t="inlineStr">
        <x:is>
          <x:t xml:space="preserve">V4纸面入选-C</x:t>
        </x:is>
      </x:c>
      <x:c r="O721" s="604" t="inlineStr">
        <x:is>
          <x:t xml:space="preserve">4-2</x:t>
        </x:is>
      </x:c>
      <x:c r="P721" s="604" t="inlineStr">
        <x:is>
          <x:t xml:space="preserve">已结算</x:t>
        </x:is>
      </x:c>
      <x:c r="Q721" s="645" t="inlineStr">
        <x:is>
          <x:t xml:space="preserve">红</x:t>
        </x:is>
      </x:c>
      <x:c r="R721" s="604" t="n">
        <x:v>0.92</x:v>
      </x:c>
      <x:c r="S721" s="604" t="n">
        <x:f>IF(OR(Q721="",Q721="待结算"),"",IF(Q721="红",R721,IF(Q721="半红",R721*0.5,IF(Q721="走",0,IF(Q721="半黑",-0.5,-1)))))</x:f>
        <x:v>0.92</x:v>
      </x:c>
      <x:c r="T721" s="604" t="inlineStr">
        <x:is>
          <x:t xml:space="preserve">https://m.titan007.com/analy/Analysis/3007688.htm</x:t>
        </x:is>
      </x:c>
      <x:c r="U721" s="646" t="str">
        <x:f>IF(Q721="","",IF(Q721="待结算","待结算",IF(Q721="红","黑",IF(Q721="半红","半黑",IF(Q721="走","走",IF(Q721="半黑","半红","红"))))))</x:f>
        <x:v>黑</x:v>
      </x:c>
      <x:c r="V721" s="604" t="n">
        <x:f>IF(OR(Q721="",Q721="待结算"),"",IF(L721=LEFT(F721,FIND(" vs ",F721)-1),I721,G721))</x:f>
        <x:v>0.84</x:v>
      </x:c>
      <x:c r="W721" s="604" t="n">
        <x:f>IF(OR(U721="",U721="待结算"),"",IF(U721="红",V721,IF(U721="半红",V721*0.5,IF(U721="走",0,IF(U721="半黑",-0.5,-1)))))</x:f>
        <x:v>-1</x:v>
      </x:c>
      <x:c r="X721" s="604" t="inlineStr">
        <x:is>
          <x:t xml:space="preserve">3007688</x:t>
        </x:is>
      </x:c>
      <x:c r="Y721" s="604" t="inlineStr">
        <x:is>
          <x:t xml:space="preserve">V4</x:t>
        </x:is>
      </x:c>
      <x:c r="Z721" s="604" t="inlineStr">
        <x:is>
          <x:t xml:space="preserve">prior-2026-10-03-v1</x:t>
        </x:is>
      </x:c>
      <x:c r="AA721" s="604" t="inlineStr">
        <x:is>
          <x:t xml:space="preserve">C</x:t>
        </x:is>
      </x:c>
      <x:c r="AB721" s="604" t="n">
        <x:v>0.3720820592004643</x:v>
      </x:c>
      <x:c r="AC721" s="604" t="n">
        <x:v>0.2555262254513291</x:v>
      </x:c>
      <x:c r="AD721" s="604" t="n"/>
      <x:c r="AE721" s="604" t="n"/>
      <x:c r="AF721" s="604" t="n">
        <x:v>0.3723917153482066</x:v>
      </x:c>
      <x:c r="AG721" s="604" t="n">
        <x:v>0.04747822906974164</x:v>
      </x:c>
      <x:c r="AH721" s="604" t="n"/>
      <x:c r="AI721" s="604" t="n"/>
      <x:c r="AJ721" s="604" t="n">
        <x:v>0.04747822906974164</x:v>
      </x:c>
      <x:c r="AK721" s="604" t="n"/>
      <x:c r="AL721" s="604" t="n"/>
      <x:c r="AM721" s="604" t="n"/>
      <x:c r="AN721" s="604" t="inlineStr">
        <x:is>
          <x:t xml:space="preserve">EVALUATED</x:t>
        </x:is>
      </x:c>
      <x:c r="AO721" s="604" t="inlineStr">
        <x:is>
          <x:t xml:space="preserve">EDGE_BELOW_UNCERTAINTY_THRESHOLD、BUCKET_PRIOR_ONLY、INTENT_INTERPRETATION_ONLY、EXPERT_MARKET</x:t>
        </x:is>
      </x:c>
      <x:c r="AP721" s="604" t="inlineStr">
        <x:is>
          <x:t xml:space="preserve">7cbf2b7481d29f3a7e15</x:t>
        </x:is>
      </x:c>
      <x:c r="AQ721" s="604" t="n">
        <x:v>0</x:v>
      </x:c>
      <x:c r="AR721" s="604" t="n"/>
      <x:c r="AS721" s="604" t="n">
        <x:v>0</x:v>
      </x:c>
      <x:c r="AT721" s="604" t="n">
        <x:v>0</x:v>
      </x:c>
      <x:c r="AU721" s="604" t="n">
        <x:v>0.84</x:v>
      </x:c>
      <x:c r="AV721" s="604" t="n">
        <x:v>0.92</x:v>
      </x:c>
      <x:c r="AW721" s="604" t="n">
        <x:v>46298.06050486111</x:v>
      </x:c>
      <x:c r="AX721" s="604" t="inlineStr">
        <x:is>
          <x:t xml:space="preserve">https://simondongxiao.github.io/odds/v4/</x:t>
        </x:is>
      </x:c>
      <x:c r="AY721" s="604" t="inlineStr">
        <x:is>
          <x:t xml:space="preserve">V4 Shadow Only；real_money=false；P(EV&gt;0)不是比赛胜率</x:t>
        </x:is>
      </x:c>
    </x:row>
    <x:row r="722" ht="22" customHeight="1">
      <x:c r="A722" s="604" t="inlineStr">
        <x:is>
          <x:t xml:space="preserve">2026-10-03</x:t>
        </x:is>
      </x:c>
      <x:c r="B722" s="604" t="inlineStr">
        <x:is>
          <x:t xml:space="preserve">2026-10-03 20:00</x:t>
        </x:is>
      </x:c>
      <x:c r="C722" s="604" t="str">
        <x:v>欧洲非五大系列</x:v>
      </x:c>
      <x:c r="D722" s="604" t="inlineStr">
        <x:is>
          <x:t xml:space="preserve">联赛</x:t>
        </x:is>
      </x:c>
      <x:c r="E722" s="604" t="inlineStr">
        <x:is>
          <x:t xml:space="preserve">丹麦乙</x:t>
        </x:is>
      </x:c>
      <x:c r="F722" s="604" t="inlineStr">
        <x:is>
          <x:t xml:space="preserve">米德法特 vs 法特列斯堡</x:t>
        </x:is>
      </x:c>
      <x:c r="G722" s="604" t="n">
        <x:v>0.8</x:v>
      </x:c>
      <x:c r="H722" s="604" t="n">
        <x:v>0</x:v>
      </x:c>
      <x:c r="I722" s="604" t="n">
        <x:v>0.9</x:v>
      </x:c>
      <x:c r="J722" s="604" t="inlineStr">
        <x:is>
          <x:t xml:space="preserve">0.8/0/0.9</x:t>
        </x:is>
      </x:c>
      <x:c r="K722" s="604" t="inlineStr">
        <x:is>
          <x:t xml:space="preserve">V4-C｜EV +0.0180</x:t>
        </x:is>
      </x:c>
      <x:c r="L722" s="604" t="str"/>
      <x:c r="M722" s="604" t="n">
        <x:v>0.5690204735319535</x:v>
      </x:c>
      <x:c r="N722" s="604" t="inlineStr">
        <x:is>
          <x:t xml:space="preserve">V4纸面入选-C</x:t>
        </x:is>
      </x:c>
      <x:c r="O722" s="604" t="inlineStr">
        <x:is>
          <x:t xml:space="preserve">1-0</x:t>
        </x:is>
      </x:c>
      <x:c r="P722" s="604" t="inlineStr">
        <x:is>
          <x:t xml:space="preserve">已结算</x:t>
        </x:is>
      </x:c>
      <x:c r="Q722" s="645" t="inlineStr">
        <x:is>
          <x:t xml:space="preserve">红</x:t>
        </x:is>
      </x:c>
      <x:c r="R722" s="604" t="n">
        <x:v>0.9</x:v>
      </x:c>
      <x:c r="S722" s="604" t="n">
        <x:f>IF(OR(Q722="",Q722="待结算"),"",IF(Q722="红",R722,IF(Q722="半红",R722*0.5,IF(Q722="走",0,IF(Q722="半黑",-0.5,-1)))))</x:f>
        <x:v>0.9</x:v>
      </x:c>
      <x:c r="T722" s="604" t="inlineStr">
        <x:is>
          <x:t xml:space="preserve">https://m.titan007.com/analy/Analysis/3020903.htm</x:t>
        </x:is>
      </x:c>
      <x:c r="U722" s="646" t="str">
        <x:f>IF(Q722="","",IF(Q722="待结算","待结算",IF(Q722="红","黑",IF(Q722="半红","半黑",IF(Q722="走","走",IF(Q722="半黑","半红","红"))))))</x:f>
        <x:v>黑</x:v>
      </x:c>
      <x:c r="V722" s="604" t="n">
        <x:f>IF(OR(Q722="",Q722="待结算"),"",IF(L722=LEFT(F722,FIND(" vs ",F722)-1),I722,G722))</x:f>
        <x:v>0.8</x:v>
      </x:c>
      <x:c r="W722" s="604" t="n">
        <x:f>IF(OR(U722="",U722="待结算"),"",IF(U722="红",V722,IF(U722="半红",V722*0.5,IF(U722="走",0,IF(U722="半黑",-0.5,-1)))))</x:f>
        <x:v>-1</x:v>
      </x:c>
      <x:c r="X722" s="604" t="inlineStr">
        <x:is>
          <x:t xml:space="preserve">3020903</x:t>
        </x:is>
      </x:c>
      <x:c r="Y722" s="604" t="inlineStr">
        <x:is>
          <x:t xml:space="preserve">V4</x:t>
        </x:is>
      </x:c>
      <x:c r="Z722" s="604" t="inlineStr">
        <x:is>
          <x:t xml:space="preserve">prior-2026-10-03-v1</x:t>
        </x:is>
      </x:c>
      <x:c r="AA722" s="604" t="inlineStr">
        <x:is>
          <x:t xml:space="preserve">C</x:t>
        </x:is>
      </x:c>
      <x:c r="AB722" s="604" t="n">
        <x:v>0.4232232390477125</x:v>
      </x:c>
      <x:c r="AC722" s="604" t="n"/>
      <x:c r="AD722" s="604" t="n">
        <x:v>0.2562249361244709</x:v>
      </x:c>
      <x:c r="AE722" s="604" t="n"/>
      <x:c r="AF722" s="604" t="n">
        <x:v>0.3205518248278166</x:v>
      </x:c>
      <x:c r="AG722" s="604" t="n">
        <x:v>0.01802676641035345</x:v>
      </x:c>
      <x:c r="AH722" s="604" t="n"/>
      <x:c r="AI722" s="604" t="n"/>
      <x:c r="AJ722" s="604" t="n">
        <x:v>0.01802676641035345</x:v>
      </x:c>
      <x:c r="AK722" s="604" t="n"/>
      <x:c r="AL722" s="604" t="n"/>
      <x:c r="AM722" s="604" t="n"/>
      <x:c r="AN722" s="604" t="inlineStr">
        <x:is>
          <x:t xml:space="preserve">EVALUATED</x:t>
        </x:is>
      </x:c>
      <x:c r="AO722" s="604" t="inlineStr">
        <x:is>
          <x:t xml:space="preserve">EDGE_BELOW_UNCERTAINTY_THRESHOLD、BUCKET_PRIOR_ONLY、INTENT_INTERPRETATION_ONLY、EXPERT_MARKET</x:t>
        </x:is>
      </x:c>
      <x:c r="AP722" s="604" t="inlineStr">
        <x:is>
          <x:t xml:space="preserve">79aa379933bdf7592ff3</x:t>
        </x:is>
      </x:c>
      <x:c r="AQ722" s="604" t="n">
        <x:v>0</x:v>
      </x:c>
      <x:c r="AR722" s="604" t="n"/>
      <x:c r="AS722" s="604" t="n">
        <x:v>0</x:v>
      </x:c>
      <x:c r="AT722" s="604" t="n">
        <x:v>0</x:v>
      </x:c>
      <x:c r="AU722" s="604" t="n">
        <x:v>0.8</x:v>
      </x:c>
      <x:c r="AV722" s="604" t="n">
        <x:v>0.9</x:v>
      </x:c>
      <x:c r="AW722" s="604" t="n">
        <x:v>46298.06050486111</x:v>
      </x:c>
      <x:c r="AX722" s="604" t="inlineStr">
        <x:is>
          <x:t xml:space="preserve">https://simondongxiao.github.io/odds/v4/</x:t>
        </x:is>
      </x:c>
      <x:c r="AY722" s="604" t="inlineStr">
        <x:is>
          <x:t xml:space="preserve">V4 Shadow Only；real_money=false；P(EV&gt;0)不是比赛胜率</x:t>
        </x:is>
      </x:c>
    </x:row>
    <x:row r="723" ht="22" customHeight="1">
      <x:c r="A723" s="604" t="inlineStr">
        <x:is>
          <x:t xml:space="preserve">2026-10-03</x:t>
        </x:is>
      </x:c>
      <x:c r="B723" s="604" t="inlineStr">
        <x:is>
          <x:t xml:space="preserve">2026-10-03 20:00</x:t>
        </x:is>
      </x:c>
      <x:c r="C723" s="604" t="str">
        <x:v>欧洲非五大系列</x:v>
      </x:c>
      <x:c r="D723" s="604" t="inlineStr">
        <x:is>
          <x:t xml:space="preserve">联赛</x:t>
        </x:is>
      </x:c>
      <x:c r="E723" s="604" t="inlineStr">
        <x:is>
          <x:t xml:space="preserve">丹麦乙</x:t>
        </x:is>
      </x:c>
      <x:c r="F723" s="604" t="inlineStr">
        <x:is>
          <x:t xml:space="preserve">斯基夫 vs 海勒鲁普</x:t>
        </x:is>
      </x:c>
      <x:c r="G723" s="604" t="n">
        <x:v>0.9</x:v>
      </x:c>
      <x:c r="H723" s="604" t="n">
        <x:v>0</x:v>
      </x:c>
      <x:c r="I723" s="604" t="n">
        <x:v>0.8</x:v>
      </x:c>
      <x:c r="J723" s="604" t="inlineStr">
        <x:is>
          <x:t xml:space="preserve">0.9/0/0.8</x:t>
        </x:is>
      </x:c>
      <x:c r="K723" s="604" t="inlineStr">
        <x:is>
          <x:t xml:space="preserve">V4-C｜EV +0.0116</x:t>
        </x:is>
      </x:c>
      <x:c r="L723" s="604" t="str"/>
      <x:c r="M723" s="604" t="n">
        <x:v>0.5332802480719551</x:v>
      </x:c>
      <x:c r="N723" s="604" t="inlineStr">
        <x:is>
          <x:t xml:space="preserve">V4纸面入选-C</x:t>
        </x:is>
      </x:c>
      <x:c r="O723" s="604" t="inlineStr">
        <x:is>
          <x:t xml:space="preserve">2-0</x:t>
        </x:is>
      </x:c>
      <x:c r="P723" s="604" t="inlineStr">
        <x:is>
          <x:t xml:space="preserve">已结算</x:t>
        </x:is>
      </x:c>
      <x:c r="Q723" s="645" t="inlineStr">
        <x:is>
          <x:t xml:space="preserve">红</x:t>
        </x:is>
      </x:c>
      <x:c r="R723" s="604" t="n">
        <x:v>0.8</x:v>
      </x:c>
      <x:c r="S723" s="604" t="n">
        <x:f>IF(OR(Q723="",Q723="待结算"),"",IF(Q723="红",R723,IF(Q723="半红",R723*0.5,IF(Q723="走",0,IF(Q723="半黑",-0.5,-1)))))</x:f>
        <x:v>0.8</x:v>
      </x:c>
      <x:c r="T723" s="604" t="inlineStr">
        <x:is>
          <x:t xml:space="preserve">https://m.titan007.com/analy/Analysis/3020904.htm</x:t>
        </x:is>
      </x:c>
      <x:c r="U723" s="646" t="str">
        <x:f>IF(Q723="","",IF(Q723="待结算","待结算",IF(Q723="红","黑",IF(Q723="半红","半黑",IF(Q723="走","走",IF(Q723="半黑","半红","红"))))))</x:f>
        <x:v>黑</x:v>
      </x:c>
      <x:c r="V723" s="604" t="n">
        <x:f>IF(OR(Q723="",Q723="待结算"),"",IF(L723=LEFT(F723,FIND(" vs ",F723)-1),I723,G723))</x:f>
        <x:v>0.9</x:v>
      </x:c>
      <x:c r="W723" s="604" t="n">
        <x:f>IF(OR(U723="",U723="待结算"),"",IF(U723="红",V723,IF(U723="半红",V723*0.5,IF(U723="走",0,IF(U723="半黑",-0.5,-1)))))</x:f>
        <x:v>-1</x:v>
      </x:c>
      <x:c r="X723" s="604" t="inlineStr">
        <x:is>
          <x:t xml:space="preserve">3020904</x:t>
        </x:is>
      </x:c>
      <x:c r="Y723" s="604" t="inlineStr">
        <x:is>
          <x:t xml:space="preserve">V4</x:t>
        </x:is>
      </x:c>
      <x:c r="Z723" s="604" t="inlineStr">
        <x:is>
          <x:t xml:space="preserve">prior-2026-10-03-v1</x:t>
        </x:is>
      </x:c>
      <x:c r="AA723" s="604" t="inlineStr">
        <x:is>
          <x:t xml:space="preserve">C</x:t>
        </x:is>
      </x:c>
      <x:c r="AB723" s="604" t="n">
        <x:v>0.3390083296602706</x:v>
      </x:c>
      <x:c r="AC723" s="604" t="n">
        <x:v>0.2534069276063192</x:v>
      </x:c>
      <x:c r="AD723" s="604" t="n"/>
      <x:c r="AE723" s="604" t="n"/>
      <x:c r="AF723" s="604" t="n">
        <x:v>0.4075847427334103</x:v>
      </x:c>
      <x:c r="AG723" s="604" t="n">
        <x:v>0.01155587138367697</x:v>
      </x:c>
      <x:c r="AH723" s="604" t="n"/>
      <x:c r="AI723" s="604" t="n"/>
      <x:c r="AJ723" s="604" t="n">
        <x:v>0.01155587138367697</x:v>
      </x:c>
      <x:c r="AK723" s="604" t="n"/>
      <x:c r="AL723" s="604" t="n"/>
      <x:c r="AM723" s="604" t="n"/>
      <x:c r="AN723" s="604" t="inlineStr">
        <x:is>
          <x:t xml:space="preserve">EVALUATED</x:t>
        </x:is>
      </x:c>
      <x:c r="AO723" s="604" t="inlineStr">
        <x:is>
          <x:t xml:space="preserve">EDGE_BELOW_UNCERTAINTY_THRESHOLD、BUCKET_PRIOR_ONLY、INTENT_INTERPRETATION_ONLY、EXPERT_MARKET</x:t>
        </x:is>
      </x:c>
      <x:c r="AP723" s="604" t="inlineStr">
        <x:is>
          <x:t xml:space="preserve">99cd7ee7aeb671b927af</x:t>
        </x:is>
      </x:c>
      <x:c r="AQ723" s="604" t="n">
        <x:v>0</x:v>
      </x:c>
      <x:c r="AR723" s="604" t="n"/>
      <x:c r="AS723" s="604" t="n">
        <x:v>0</x:v>
      </x:c>
      <x:c r="AT723" s="604" t="n">
        <x:v>0</x:v>
      </x:c>
      <x:c r="AU723" s="604" t="n">
        <x:v>0.9</x:v>
      </x:c>
      <x:c r="AV723" s="604" t="n">
        <x:v>0.8</x:v>
      </x:c>
      <x:c r="AW723" s="604" t="n">
        <x:v>46298.06050486111</x:v>
      </x:c>
      <x:c r="AX723" s="604" t="inlineStr">
        <x:is>
          <x:t xml:space="preserve">https://simondongxiao.github.io/odds/v4/</x:t>
        </x:is>
      </x:c>
      <x:c r="AY723" s="604" t="inlineStr">
        <x:is>
          <x:t xml:space="preserve">V4 Shadow Only；real_money=false；P(EV&gt;0)不是比赛胜率</x:t>
        </x:is>
      </x:c>
    </x:row>
    <x:row r="724" ht="22" customHeight="1">
      <x:c r="A724" s="604" t="inlineStr">
        <x:is>
          <x:t xml:space="preserve">2026-10-03</x:t>
        </x:is>
      </x:c>
      <x:c r="B724" s="604" t="inlineStr">
        <x:is>
          <x:t xml:space="preserve">2026-10-03 20:00</x:t>
        </x:is>
      </x:c>
      <x:c r="C724" s="604" t="str">
        <x:v>欧洲非五大系列</x:v>
      </x:c>
      <x:c r="D724" s="604" t="inlineStr">
        <x:is>
          <x:t xml:space="preserve">联赛</x:t>
        </x:is>
      </x:c>
      <x:c r="E724" s="604" t="inlineStr">
        <x:is>
          <x:t xml:space="preserve">丹麦丙</x:t>
        </x:is>
      </x:c>
      <x:c r="F724" s="604" t="inlineStr">
        <x:is>
          <x:t xml:space="preserve">布隆索伊 vs 弗雷姆</x:t>
        </x:is>
      </x:c>
      <x:c r="G724" s="604" t="n">
        <x:v>0.86</x:v>
      </x:c>
      <x:c r="H724" s="604" t="n">
        <x:v>0.5</x:v>
      </x:c>
      <x:c r="I724" s="604" t="n">
        <x:v>0.84</x:v>
      </x:c>
      <x:c r="J724" s="604" t="inlineStr">
        <x:is>
          <x:t xml:space="preserve">0.86/0.5/0.84</x:t>
        </x:is>
      </x:c>
      <x:c r="K724" s="604" t="inlineStr">
        <x:is>
          <x:t xml:space="preserve">V4-B｜EV +0.1265</x:t>
        </x:is>
      </x:c>
      <x:c r="L724" s="604" t="inlineStr">
        <x:is>
          <x:t xml:space="preserve">布隆索伊</x:t>
        </x:is>
      </x:c>
      <x:c r="M724" s="604" t="n">
        <x:v>0.6056645165574065</x:v>
      </x:c>
      <x:c r="N724" s="604" t="inlineStr">
        <x:is>
          <x:t xml:space="preserve">V4纸面入选-B</x:t>
        </x:is>
      </x:c>
      <x:c r="O724" s="604" t="inlineStr">
        <x:is>
          <x:t xml:space="preserve">1-1</x:t>
        </x:is>
      </x:c>
      <x:c r="P724" s="604" t="inlineStr">
        <x:is>
          <x:t xml:space="preserve">已结算</x:t>
        </x:is>
      </x:c>
      <x:c r="Q724" s="646" t="inlineStr">
        <x:is>
          <x:t xml:space="preserve">黑</x:t>
        </x:is>
      </x:c>
      <x:c r="R724" s="604" t="n">
        <x:v>0.86</x:v>
      </x:c>
      <x:c r="S724" s="604" t="n">
        <x:f>IF(OR(Q724="",Q724="待结算"),"",IF(Q724="红",R724,IF(Q724="半红",R724*0.5,IF(Q724="走",0,IF(Q724="半黑",-0.5,-1)))))</x:f>
        <x:v>-1</x:v>
      </x:c>
      <x:c r="T724" s="604" t="inlineStr">
        <x:is>
          <x:t xml:space="preserve">https://m.titan007.com/analy/Analysis/3021034.htm</x:t>
        </x:is>
      </x:c>
      <x:c r="U724" s="645" t="str">
        <x:f>IF(Q724="","",IF(Q724="待结算","待结算",IF(Q724="红","黑",IF(Q724="半红","半黑",IF(Q724="走","走",IF(Q724="半黑","半红","红"))))))</x:f>
        <x:v>红</x:v>
      </x:c>
      <x:c r="V724" s="604" t="n">
        <x:f>IF(OR(Q724="",Q724="待结算"),"",IF(L724=LEFT(F724,FIND(" vs ",F724)-1),I724,G724))</x:f>
        <x:v>0.84</x:v>
      </x:c>
      <x:c r="W724" s="604" t="n">
        <x:f>IF(OR(U724="",U724="待结算"),"",IF(U724="红",V724,IF(U724="半红",V724*0.5,IF(U724="走",0,IF(U724="半黑",-0.5,-1)))))</x:f>
        <x:v>0.84</x:v>
      </x:c>
      <x:c r="X724" s="604" t="inlineStr">
        <x:is>
          <x:t xml:space="preserve">3021034</x:t>
        </x:is>
      </x:c>
      <x:c r="Y724" s="604" t="inlineStr">
        <x:is>
          <x:t xml:space="preserve">V4</x:t>
        </x:is>
      </x:c>
      <x:c r="Z724" s="604" t="inlineStr">
        <x:is>
          <x:t xml:space="preserve">prior-2026-10-03-v1</x:t>
        </x:is>
      </x:c>
      <x:c r="AA724" s="604" t="inlineStr">
        <x:is>
          <x:t xml:space="preserve">B</x:t>
        </x:is>
      </x:c>
      <x:c r="AB724" s="604" t="n">
        <x:v>0.6056645165574065</x:v>
      </x:c>
      <x:c r="AC724" s="604" t="n"/>
      <x:c r="AD724" s="604" t="n"/>
      <x:c r="AE724" s="604" t="n"/>
      <x:c r="AF724" s="604" t="n">
        <x:v>0.3943354834425935</x:v>
      </x:c>
      <x:c r="AG724" s="604" t="n">
        <x:v>0.1265360007967761</x:v>
      </x:c>
      <x:c r="AH724" s="604" t="n"/>
      <x:c r="AI724" s="604" t="n"/>
      <x:c r="AJ724" s="604" t="n">
        <x:v>0.1265360007967761</x:v>
      </x:c>
      <x:c r="AK724" s="604" t="n"/>
      <x:c r="AL724" s="604" t="n"/>
      <x:c r="AM724" s="604" t="n"/>
      <x:c r="AN724" s="604" t="inlineStr">
        <x:is>
          <x:t xml:space="preserve">EVALUATED</x:t>
        </x:is>
      </x:c>
      <x:c r="AO724" s="604" t="inlineStr">
        <x:is>
          <x:t xml:space="preserve">GIVING_VALIDATED_EDGE、BUCKET_PRIOR_ONLY、INTENT_INTERPRETATION_ONLY、EXPERT_MARKET</x:t>
        </x:is>
      </x:c>
      <x:c r="AP724" s="604" t="inlineStr">
        <x:is>
          <x:t xml:space="preserve">e59098fe394523e8842e</x:t>
        </x:is>
      </x:c>
      <x:c r="AQ724" s="604" t="n">
        <x:v>-0.5</x:v>
      </x:c>
      <x:c r="AR724" s="604" t="n">
        <x:v>0.86</x:v>
      </x:c>
      <x:c r="AS724" s="604" t="n">
        <x:v>0.5</x:v>
      </x:c>
      <x:c r="AT724" s="604" t="n">
        <x:v>-0.5</x:v>
      </x:c>
      <x:c r="AU724" s="604" t="n">
        <x:v>0.86</x:v>
      </x:c>
      <x:c r="AV724" s="604" t="n">
        <x:v>0.84</x:v>
      </x:c>
      <x:c r="AW724" s="604" t="n">
        <x:v>46298.06050486111</x:v>
      </x:c>
      <x:c r="AX724" s="604" t="inlineStr">
        <x:is>
          <x:t xml:space="preserve">https://simondongxiao.github.io/odds/v4/</x:t>
        </x:is>
      </x:c>
      <x:c r="AY724" s="604" t="inlineStr">
        <x:is>
          <x:t xml:space="preserve">V4 Shadow Only；real_money=false；P(EV&gt;0)不是比赛胜率</x:t>
        </x:is>
      </x:c>
    </x:row>
    <x:row r="725" ht="22" customHeight="1">
      <x:c r="A725" s="604" t="inlineStr">
        <x:is>
          <x:t xml:space="preserve">2026-10-03</x:t>
        </x:is>
      </x:c>
      <x:c r="B725" s="604" t="inlineStr">
        <x:is>
          <x:t xml:space="preserve">2026-10-03 20:00</x:t>
        </x:is>
      </x:c>
      <x:c r="C725" s="604" t="str">
        <x:v>欧洲非五大系列</x:v>
      </x:c>
      <x:c r="D725" s="604" t="inlineStr">
        <x:is>
          <x:t xml:space="preserve">联赛</x:t>
        </x:is>
      </x:c>
      <x:c r="E725" s="604" t="inlineStr">
        <x:is>
          <x:t xml:space="preserve">丹麦丙</x:t>
        </x:is>
      </x:c>
      <x:c r="F725" s="604" t="inlineStr">
        <x:is>
          <x:t xml:space="preserve">赫斯霍尔姆 vs 希尔星格</x:t>
        </x:is>
      </x:c>
      <x:c r="G725" s="604" t="n">
        <x:v>0.77</x:v>
      </x:c>
      <x:c r="H725" s="604" t="n">
        <x:v>0</x:v>
      </x:c>
      <x:c r="I725" s="604" t="n">
        <x:v>0.93</x:v>
      </x:c>
      <x:c r="J725" s="604" t="inlineStr">
        <x:is>
          <x:t xml:space="preserve">0.77/0/0.93</x:t>
        </x:is>
      </x:c>
      <x:c r="K725" s="604" t="inlineStr">
        <x:is>
          <x:t xml:space="preserve">V4-C｜EV +0.0461</x:t>
        </x:is>
      </x:c>
      <x:c r="L725" s="604" t="str"/>
      <x:c r="M725" s="604" t="n">
        <x:v>0.5420050827066464</x:v>
      </x:c>
      <x:c r="N725" s="604" t="inlineStr">
        <x:is>
          <x:t xml:space="preserve">V4纸面入选-C</x:t>
        </x:is>
      </x:c>
      <x:c r="O725" s="604" t="inlineStr">
        <x:is>
          <x:t xml:space="preserve">3-1</x:t>
        </x:is>
      </x:c>
      <x:c r="P725" s="604" t="inlineStr">
        <x:is>
          <x:t xml:space="preserve">已结算</x:t>
        </x:is>
      </x:c>
      <x:c r="Q725" s="645" t="inlineStr">
        <x:is>
          <x:t xml:space="preserve">红</x:t>
        </x:is>
      </x:c>
      <x:c r="R725" s="604" t="n">
        <x:v>0.93</x:v>
      </x:c>
      <x:c r="S725" s="604" t="n">
        <x:f>IF(OR(Q725="",Q725="待结算"),"",IF(Q725="红",R725,IF(Q725="半红",R725*0.5,IF(Q725="走",0,IF(Q725="半黑",-0.5,-1)))))</x:f>
        <x:v>0.93</x:v>
      </x:c>
      <x:c r="T725" s="604" t="inlineStr">
        <x:is>
          <x:t xml:space="preserve">https://m.titan007.com/analy/Analysis/3021035.htm</x:t>
        </x:is>
      </x:c>
      <x:c r="U725" s="646" t="str">
        <x:f>IF(Q725="","",IF(Q725="待结算","待结算",IF(Q725="红","黑",IF(Q725="半红","半黑",IF(Q725="走","走",IF(Q725="半黑","半红","红"))))))</x:f>
        <x:v>黑</x:v>
      </x:c>
      <x:c r="V725" s="604" t="n">
        <x:f>IF(OR(Q725="",Q725="待结算"),"",IF(L725=LEFT(F725,FIND(" vs ",F725)-1),I725,G725))</x:f>
        <x:v>0.77</x:v>
      </x:c>
      <x:c r="W725" s="604" t="n">
        <x:f>IF(OR(U725="",U725="待结算"),"",IF(U725="红",V725,IF(U725="半红",V725*0.5,IF(U725="走",0,IF(U725="半黑",-0.5,-1)))))</x:f>
        <x:v>-1</x:v>
      </x:c>
      <x:c r="X725" s="604" t="inlineStr">
        <x:is>
          <x:t xml:space="preserve">3021035</x:t>
        </x:is>
      </x:c>
      <x:c r="Y725" s="604" t="inlineStr">
        <x:is>
          <x:t xml:space="preserve">V4</x:t>
        </x:is>
      </x:c>
      <x:c r="Z725" s="604" t="inlineStr">
        <x:is>
          <x:t xml:space="preserve">prior-2026-10-03-v1</x:t>
        </x:is>
      </x:c>
      <x:c r="AA725" s="604" t="inlineStr">
        <x:is>
          <x:t xml:space="preserve">C</x:t>
        </x:is>
      </x:c>
      <x:c r="AB725" s="604" t="n">
        <x:v>0.5420050827066464</x:v>
      </x:c>
      <x:c r="AC725" s="604" t="n"/>
      <x:c r="AD725" s="604" t="n"/>
      <x:c r="AE725" s="604" t="n"/>
      <x:c r="AF725" s="604" t="n">
        <x:v>0.4579949172933536</x:v>
      </x:c>
      <x:c r="AG725" s="604" t="n">
        <x:v>0.04606980962382762</x:v>
      </x:c>
      <x:c r="AH725" s="604" t="n"/>
      <x:c r="AI725" s="604" t="n"/>
      <x:c r="AJ725" s="604" t="n">
        <x:v>0.04606980962382762</x:v>
      </x:c>
      <x:c r="AK725" s="604" t="n"/>
      <x:c r="AL725" s="604" t="n"/>
      <x:c r="AM725" s="604" t="n"/>
      <x:c r="AN725" s="604" t="inlineStr">
        <x:is>
          <x:t xml:space="preserve">EVALUATED</x:t>
        </x:is>
      </x:c>
      <x:c r="AO725" s="604" t="inlineStr">
        <x:is>
          <x:t xml:space="preserve">EDGE_BELOW_UNCERTAINTY_THRESHOLD、BUCKET_PRIOR_ONLY、INTENT_INTERPRETATION_ONLY、EXPERT_MARKET</x:t>
        </x:is>
      </x:c>
      <x:c r="AP725" s="604" t="inlineStr">
        <x:is>
          <x:t xml:space="preserve">a5c5ebb1ab121d4e3036</x:t>
        </x:is>
      </x:c>
      <x:c r="AQ725" s="604" t="n">
        <x:v>0</x:v>
      </x:c>
      <x:c r="AR725" s="604" t="n"/>
      <x:c r="AS725" s="604" t="n">
        <x:v>0</x:v>
      </x:c>
      <x:c r="AT725" s="604" t="n">
        <x:v>0</x:v>
      </x:c>
      <x:c r="AU725" s="604" t="n">
        <x:v>0.77</x:v>
      </x:c>
      <x:c r="AV725" s="604" t="n">
        <x:v>0.93</x:v>
      </x:c>
      <x:c r="AW725" s="604" t="n">
        <x:v>46298.06050486111</x:v>
      </x:c>
      <x:c r="AX725" s="604" t="inlineStr">
        <x:is>
          <x:t xml:space="preserve">https://simondongxiao.github.io/odds/v4/</x:t>
        </x:is>
      </x:c>
      <x:c r="AY725" s="604" t="inlineStr">
        <x:is>
          <x:t xml:space="preserve">V4 Shadow Only；real_money=false；P(EV&gt;0)不是比赛胜率</x:t>
        </x:is>
      </x:c>
    </x:row>
    <x:row r="726" ht="22" customHeight="1">
      <x:c r="A726" s="604" t="inlineStr">
        <x:is>
          <x:t xml:space="preserve">2026-10-03</x:t>
        </x:is>
      </x:c>
      <x:c r="B726" s="604" t="inlineStr">
        <x:is>
          <x:t xml:space="preserve">2026-10-03 20:00</x:t>
        </x:is>
      </x:c>
      <x:c r="C726" s="604" t="str">
        <x:v>其他系列</x:v>
      </x:c>
      <x:c r="D726" s="604" t="inlineStr">
        <x:is>
          <x:t xml:space="preserve">联赛</x:t>
        </x:is>
      </x:c>
      <x:c r="E726" s="604" t="inlineStr">
        <x:is>
          <x:t xml:space="preserve">印尼甲</x:t>
        </x:is>
      </x:c>
      <x:c r="F726" s="604" t="inlineStr">
        <x:is>
          <x:t xml:space="preserve">棉兰 vs 佩斯卡德</x:t>
        </x:is>
      </x:c>
      <x:c r="G726" s="604" t="n">
        <x:v>0.96</x:v>
      </x:c>
      <x:c r="H726" s="604" t="n">
        <x:v>1.5</x:v>
      </x:c>
      <x:c r="I726" s="604" t="n">
        <x:v>0.74</x:v>
      </x:c>
      <x:c r="J726" s="604" t="inlineStr">
        <x:is>
          <x:t xml:space="preserve">0.96/1.5/0.74</x:t>
        </x:is>
      </x:c>
      <x:c r="K726" s="604" t="inlineStr">
        <x:is>
          <x:t xml:space="preserve">V4-C｜EV +0.0552</x:t>
        </x:is>
      </x:c>
      <x:c r="L726" s="604" t="inlineStr">
        <x:is>
          <x:t xml:space="preserve">棉兰</x:t>
        </x:is>
      </x:c>
      <x:c r="M726" s="604" t="n">
        <x:v>0.5383522195708779</x:v>
      </x:c>
      <x:c r="N726" s="604" t="inlineStr">
        <x:is>
          <x:t xml:space="preserve">V4纸面入选-C</x:t>
        </x:is>
      </x:c>
      <x:c r="O726" s="604" t="inlineStr">
        <x:is>
          <x:t xml:space="preserve">4-0</x:t>
        </x:is>
      </x:c>
      <x:c r="P726" s="604" t="inlineStr">
        <x:is>
          <x:t xml:space="preserve">已结算</x:t>
        </x:is>
      </x:c>
      <x:c r="Q726" s="645" t="inlineStr">
        <x:is>
          <x:t xml:space="preserve">红</x:t>
        </x:is>
      </x:c>
      <x:c r="R726" s="604" t="n">
        <x:v>0.96</x:v>
      </x:c>
      <x:c r="S726" s="604" t="n">
        <x:f>IF(OR(Q726="",Q726="待结算"),"",IF(Q726="红",R726,IF(Q726="半红",R726*0.5,IF(Q726="走",0,IF(Q726="半黑",-0.5,-1)))))</x:f>
        <x:v>0.96</x:v>
      </x:c>
      <x:c r="T726" s="604" t="inlineStr">
        <x:is>
          <x:t xml:space="preserve">https://m.titan007.com/analy/Analysis/3086193.htm</x:t>
        </x:is>
      </x:c>
      <x:c r="U726" s="646" t="str">
        <x:f>IF(Q726="","",IF(Q726="待结算","待结算",IF(Q726="红","黑",IF(Q726="半红","半黑",IF(Q726="走","走",IF(Q726="半黑","半红","红"))))))</x:f>
        <x:v>黑</x:v>
      </x:c>
      <x:c r="V726" s="604" t="n">
        <x:f>IF(OR(Q726="",Q726="待结算"),"",IF(L726=LEFT(F726,FIND(" vs ",F726)-1),I726,G726))</x:f>
        <x:v>0.74</x:v>
      </x:c>
      <x:c r="W726" s="604" t="n">
        <x:f>IF(OR(U726="",U726="待结算"),"",IF(U726="红",V726,IF(U726="半红",V726*0.5,IF(U726="走",0,IF(U726="半黑",-0.5,-1)))))</x:f>
        <x:v>-1</x:v>
      </x:c>
      <x:c r="X726" s="604" t="inlineStr">
        <x:is>
          <x:t xml:space="preserve">3086193</x:t>
        </x:is>
      </x:c>
      <x:c r="Y726" s="604" t="inlineStr">
        <x:is>
          <x:t xml:space="preserve">V4</x:t>
        </x:is>
      </x:c>
      <x:c r="Z726" s="604" t="inlineStr">
        <x:is>
          <x:t xml:space="preserve">prior-2026-10-03-v1</x:t>
        </x:is>
      </x:c>
      <x:c r="AA726" s="604" t="inlineStr">
        <x:is>
          <x:t xml:space="preserve">C</x:t>
        </x:is>
      </x:c>
      <x:c r="AB726" s="604" t="n">
        <x:v>0.5383522195708779</x:v>
      </x:c>
      <x:c r="AC726" s="604" t="n"/>
      <x:c r="AD726" s="604" t="n"/>
      <x:c r="AE726" s="604" t="n"/>
      <x:c r="AF726" s="604" t="n">
        <x:v>0.4616477804291221</x:v>
      </x:c>
      <x:c r="AG726" s="604" t="n">
        <x:v>0.05517035035892059</x:v>
      </x:c>
      <x:c r="AH726" s="604" t="n"/>
      <x:c r="AI726" s="604" t="n"/>
      <x:c r="AJ726" s="604" t="n">
        <x:v>0.05517035035892059</x:v>
      </x:c>
      <x:c r="AK726" s="604" t="n"/>
      <x:c r="AL726" s="604" t="n"/>
      <x:c r="AM726" s="604" t="n"/>
      <x:c r="AN726" s="604" t="inlineStr">
        <x:is>
          <x:t xml:space="preserve">EVALUATED</x:t>
        </x:is>
      </x:c>
      <x:c r="AO726" s="604" t="inlineStr">
        <x:is>
          <x:t xml:space="preserve">GIVING_VALIDATED_EDGE、BUCKET_PRIOR_ONLY、INTENT_INTERPRETATION_ONLY、EXPERT_MARKET</x:t>
        </x:is>
      </x:c>
      <x:c r="AP726" s="604" t="inlineStr">
        <x:is>
          <x:t xml:space="preserve">e389154d0bb79118accb</x:t>
        </x:is>
      </x:c>
      <x:c r="AQ726" s="604" t="n">
        <x:v>-1.5</x:v>
      </x:c>
      <x:c r="AR726" s="604" t="n">
        <x:v>0.96</x:v>
      </x:c>
      <x:c r="AS726" s="604" t="n">
        <x:v>1.5</x:v>
      </x:c>
      <x:c r="AT726" s="604" t="n">
        <x:v>-1.5</x:v>
      </x:c>
      <x:c r="AU726" s="604" t="n">
        <x:v>0.96</x:v>
      </x:c>
      <x:c r="AV726" s="604" t="n">
        <x:v>0.74</x:v>
      </x:c>
      <x:c r="AW726" s="604" t="n">
        <x:v>46298.06050486111</x:v>
      </x:c>
      <x:c r="AX726" s="604" t="inlineStr">
        <x:is>
          <x:t xml:space="preserve">https://simondongxiao.github.io/odds/v4/</x:t>
        </x:is>
      </x:c>
      <x:c r="AY726" s="604" t="inlineStr">
        <x:is>
          <x:t xml:space="preserve">V4 Shadow Only；real_money=false；P(EV&gt;0)不是比赛胜率</x:t>
        </x:is>
      </x:c>
    </x:row>
    <x:row r="727" ht="22" customHeight="1">
      <x:c r="A727" s="604" t="inlineStr">
        <x:is>
          <x:t xml:space="preserve">2026-10-03</x:t>
        </x:is>
      </x:c>
      <x:c r="B727" s="604" t="inlineStr">
        <x:is>
          <x:t xml:space="preserve">2026-10-03 20:00</x:t>
        </x:is>
      </x:c>
      <x:c r="C727" s="604" t="str">
        <x:v>其他系列</x:v>
      </x:c>
      <x:c r="D727" s="604" t="inlineStr">
        <x:is>
          <x:t xml:space="preserve">联赛</x:t>
        </x:is>
      </x:c>
      <x:c r="E727" s="604" t="inlineStr">
        <x:is>
          <x:t xml:space="preserve">印尼甲</x:t>
        </x:is>
      </x:c>
      <x:c r="F727" s="604" t="inlineStr">
        <x:is>
          <x:t xml:space="preserve">三宝珑 vs 普特拉锡纳</x:t>
        </x:is>
      </x:c>
      <x:c r="G727" s="604" t="n">
        <x:v>0.9399999999999999</x:v>
      </x:c>
      <x:c r="H727" s="604" t="n">
        <x:v>1.25</x:v>
      </x:c>
      <x:c r="I727" s="604" t="n">
        <x:v>0.76</x:v>
      </x:c>
      <x:c r="J727" s="604" t="inlineStr">
        <x:is>
          <x:t xml:space="preserve">0.94/1.25/0.76</x:t>
        </x:is>
      </x:c>
      <x:c r="K727" s="604" t="inlineStr">
        <x:is>
          <x:t xml:space="preserve">V4-B｜EV +0.1103</x:t>
        </x:is>
      </x:c>
      <x:c r="L727" s="604" t="inlineStr">
        <x:is>
          <x:t xml:space="preserve">三宝珑</x:t>
        </x:is>
      </x:c>
      <x:c r="M727" s="604" t="n">
        <x:v>0.580417205885571</x:v>
      </x:c>
      <x:c r="N727" s="604" t="inlineStr">
        <x:is>
          <x:t xml:space="preserve">V4纸面入选-B</x:t>
        </x:is>
      </x:c>
      <x:c r="O727" s="604" t="inlineStr">
        <x:is>
          <x:t xml:space="preserve">1-0</x:t>
        </x:is>
      </x:c>
      <x:c r="P727" s="604" t="inlineStr">
        <x:is>
          <x:t xml:space="preserve">已结算</x:t>
        </x:is>
      </x:c>
      <x:c r="Q727" s="648" t="inlineStr">
        <x:is>
          <x:t xml:space="preserve">半黑</x:t>
        </x:is>
      </x:c>
      <x:c r="R727" s="604" t="n">
        <x:v>0.9399999999999999</x:v>
      </x:c>
      <x:c r="S727" s="604" t="n">
        <x:f>IF(OR(Q727="",Q727="待结算"),"",IF(Q727="红",R727,IF(Q727="半红",R727*0.5,IF(Q727="走",0,IF(Q727="半黑",-0.5,-1)))))</x:f>
        <x:v>-0.5</x:v>
      </x:c>
      <x:c r="T727" s="604" t="inlineStr">
        <x:is>
          <x:t xml:space="preserve">https://m.titan007.com/analy/Analysis/3086194.htm</x:t>
        </x:is>
      </x:c>
      <x:c r="U727" s="649" t="str">
        <x:f>IF(Q727="","",IF(Q727="待结算","待结算",IF(Q727="红","黑",IF(Q727="半红","半黑",IF(Q727="走","走",IF(Q727="半黑","半红","红"))))))</x:f>
        <x:v>半红</x:v>
      </x:c>
      <x:c r="V727" s="604" t="n">
        <x:f>IF(OR(Q727="",Q727="待结算"),"",IF(L727=LEFT(F727,FIND(" vs ",F727)-1),I727,G727))</x:f>
        <x:v>0.76</x:v>
      </x:c>
      <x:c r="W727" s="604" t="n">
        <x:f>IF(OR(U727="",U727="待结算"),"",IF(U727="红",V727,IF(U727="半红",V727*0.5,IF(U727="走",0,IF(U727="半黑",-0.5,-1)))))</x:f>
        <x:v>0.38</x:v>
      </x:c>
      <x:c r="X727" s="604" t="inlineStr">
        <x:is>
          <x:t xml:space="preserve">3086194</x:t>
        </x:is>
      </x:c>
      <x:c r="Y727" s="604" t="inlineStr">
        <x:is>
          <x:t xml:space="preserve">V4</x:t>
        </x:is>
      </x:c>
      <x:c r="Z727" s="604" t="inlineStr">
        <x:is>
          <x:t xml:space="preserve">prior-2026-10-03-v1</x:t>
        </x:is>
      </x:c>
      <x:c r="AA727" s="604" t="inlineStr">
        <x:is>
          <x:t xml:space="preserve">B</x:t>
        </x:is>
      </x:c>
      <x:c r="AB727" s="604" t="n">
        <x:v>0.5079645059446346</x:v>
      </x:c>
      <x:c r="AC727" s="604" t="n"/>
      <x:c r="AD727" s="604" t="n"/>
      <x:c r="AE727" s="604" t="n">
        <x:v>0.2496573127269437</x:v>
      </x:c>
      <x:c r="AF727" s="604" t="n">
        <x:v>0.2423781813284217</x:v>
      </x:c>
      <x:c r="AG727" s="604" t="n">
        <x:v>0.1102797978960629</x:v>
      </x:c>
      <x:c r="AH727" s="604" t="n"/>
      <x:c r="AI727" s="604" t="n"/>
      <x:c r="AJ727" s="604" t="n">
        <x:v>0.1102797978960629</x:v>
      </x:c>
      <x:c r="AK727" s="604" t="n"/>
      <x:c r="AL727" s="604" t="n"/>
      <x:c r="AM727" s="604" t="n"/>
      <x:c r="AN727" s="604" t="inlineStr">
        <x:is>
          <x:t xml:space="preserve">EVALUATED</x:t>
        </x:is>
      </x:c>
      <x:c r="AO727" s="604" t="inlineStr">
        <x:is>
          <x:t xml:space="preserve">GIVING_VALIDATED_EDGE、BUCKET_PRIOR_ONLY、INTENT_INTERPRETATION_ONLY、EXPERT_MARKET</x:t>
        </x:is>
      </x:c>
      <x:c r="AP727" s="604" t="inlineStr">
        <x:is>
          <x:t xml:space="preserve">381565691266c3caac1f</x:t>
        </x:is>
      </x:c>
      <x:c r="AQ727" s="604" t="n">
        <x:v>-1.25</x:v>
      </x:c>
      <x:c r="AR727" s="604" t="n">
        <x:v>0.9399999999999999</x:v>
      </x:c>
      <x:c r="AS727" s="604" t="n">
        <x:v>1.25</x:v>
      </x:c>
      <x:c r="AT727" s="604" t="n">
        <x:v>-1.25</x:v>
      </x:c>
      <x:c r="AU727" s="604" t="n">
        <x:v>0.9399999999999999</x:v>
      </x:c>
      <x:c r="AV727" s="604" t="n">
        <x:v>0.76</x:v>
      </x:c>
      <x:c r="AW727" s="604" t="n">
        <x:v>46298.06050486111</x:v>
      </x:c>
      <x:c r="AX727" s="604" t="inlineStr">
        <x:is>
          <x:t xml:space="preserve">https://simondongxiao.github.io/odds/v4/</x:t>
        </x:is>
      </x:c>
      <x:c r="AY727" s="604" t="inlineStr">
        <x:is>
          <x:t xml:space="preserve">V4 Shadow Only；real_money=false；P(EV&gt;0)不是比赛胜率</x:t>
        </x:is>
      </x:c>
    </x:row>
    <x:row r="728" ht="22" customHeight="1">
      <x:c r="A728" s="604" t="inlineStr">
        <x:is>
          <x:t xml:space="preserve">2026-10-03</x:t>
        </x:is>
      </x:c>
      <x:c r="B728" s="604" t="inlineStr">
        <x:is>
          <x:t xml:space="preserve">2026-10-03 20:00</x:t>
        </x:is>
      </x:c>
      <x:c r="C728" s="604" t="str">
        <x:v>其他系列</x:v>
      </x:c>
      <x:c r="D728" s="604" t="inlineStr">
        <x:is>
          <x:t xml:space="preserve">联赛</x:t>
        </x:is>
      </x:c>
      <x:c r="E728" s="604" t="inlineStr">
        <x:is>
          <x:t xml:space="preserve">印尼甲</x:t>
        </x:is>
      </x:c>
      <x:c r="F728" s="604" t="inlineStr">
        <x:is>
          <x:t xml:space="preserve">伯希索罗 vs 北干巴鲁龙卷风</x:t>
        </x:is>
      </x:c>
      <x:c r="G728" s="604" t="n">
        <x:v>0.76</x:v>
      </x:c>
      <x:c r="H728" s="604" t="n">
        <x:v>0.5</x:v>
      </x:c>
      <x:c r="I728" s="604" t="n">
        <x:v>0.9399999999999999</x:v>
      </x:c>
      <x:c r="J728" s="604" t="inlineStr">
        <x:is>
          <x:t xml:space="preserve">0.76/0.5/0.94</x:t>
        </x:is>
      </x:c>
      <x:c r="K728" s="604" t="inlineStr">
        <x:is>
          <x:t xml:space="preserve">V4-C｜EV +0.0560</x:t>
        </x:is>
      </x:c>
      <x:c r="L728" s="604" t="inlineStr">
        <x:is>
          <x:t xml:space="preserve">伯希索罗</x:t>
        </x:is>
      </x:c>
      <x:c r="M728" s="604" t="n">
        <x:v>0.600012246988502</x:v>
      </x:c>
      <x:c r="N728" s="604" t="inlineStr">
        <x:is>
          <x:t xml:space="preserve">V4纸面入选-C</x:t>
        </x:is>
      </x:c>
      <x:c r="O728" s="604" t="inlineStr">
        <x:is>
          <x:t xml:space="preserve">0-2</x:t>
        </x:is>
      </x:c>
      <x:c r="P728" s="604" t="inlineStr">
        <x:is>
          <x:t xml:space="preserve">已结算</x:t>
        </x:is>
      </x:c>
      <x:c r="Q728" s="646" t="inlineStr">
        <x:is>
          <x:t xml:space="preserve">黑</x:t>
        </x:is>
      </x:c>
      <x:c r="R728" s="604" t="n">
        <x:v>0.76</x:v>
      </x:c>
      <x:c r="S728" s="604" t="n">
        <x:f>IF(OR(Q728="",Q728="待结算"),"",IF(Q728="红",R728,IF(Q728="半红",R728*0.5,IF(Q728="走",0,IF(Q728="半黑",-0.5,-1)))))</x:f>
        <x:v>-1</x:v>
      </x:c>
      <x:c r="T728" s="604" t="inlineStr">
        <x:is>
          <x:t xml:space="preserve">https://m.titan007.com/analy/Analysis/3086195.htm</x:t>
        </x:is>
      </x:c>
      <x:c r="U728" s="645" t="str">
        <x:f>IF(Q728="","",IF(Q728="待结算","待结算",IF(Q728="红","黑",IF(Q728="半红","半黑",IF(Q728="走","走",IF(Q728="半黑","半红","红"))))))</x:f>
        <x:v>红</x:v>
      </x:c>
      <x:c r="V728" s="604" t="n">
        <x:f>IF(OR(Q728="",Q728="待结算"),"",IF(L728=LEFT(F728,FIND(" vs ",F728)-1),I728,G728))</x:f>
        <x:v>0.94</x:v>
      </x:c>
      <x:c r="W728" s="604" t="n">
        <x:f>IF(OR(U728="",U728="待结算"),"",IF(U728="红",V728,IF(U728="半红",V728*0.5,IF(U728="走",0,IF(U728="半黑",-0.5,-1)))))</x:f>
        <x:v>0.94</x:v>
      </x:c>
      <x:c r="X728" s="604" t="inlineStr">
        <x:is>
          <x:t xml:space="preserve">3086195</x:t>
        </x:is>
      </x:c>
      <x:c r="Y728" s="604" t="inlineStr">
        <x:is>
          <x:t xml:space="preserve">V4</x:t>
        </x:is>
      </x:c>
      <x:c r="Z728" s="604" t="inlineStr">
        <x:is>
          <x:t xml:space="preserve">prior-2026-10-03-v1</x:t>
        </x:is>
      </x:c>
      <x:c r="AA728" s="604" t="inlineStr">
        <x:is>
          <x:t xml:space="preserve">C</x:t>
        </x:is>
      </x:c>
      <x:c r="AB728" s="604" t="n">
        <x:v>0.600012246988502</x:v>
      </x:c>
      <x:c r="AC728" s="604" t="n"/>
      <x:c r="AD728" s="604" t="n"/>
      <x:c r="AE728" s="604" t="n"/>
      <x:c r="AF728" s="604" t="n">
        <x:v>0.3999877530114981</x:v>
      </x:c>
      <x:c r="AG728" s="604" t="n">
        <x:v>0.05602155469976344</x:v>
      </x:c>
      <x:c r="AH728" s="604" t="n"/>
      <x:c r="AI728" s="604" t="n"/>
      <x:c r="AJ728" s="604" t="n">
        <x:v>0.05602155469976344</x:v>
      </x:c>
      <x:c r="AK728" s="604" t="n"/>
      <x:c r="AL728" s="604" t="n"/>
      <x:c r="AM728" s="604" t="n"/>
      <x:c r="AN728" s="604" t="inlineStr">
        <x:is>
          <x:t xml:space="preserve">EVALUATED</x:t>
        </x:is>
      </x:c>
      <x:c r="AO728" s="604" t="inlineStr">
        <x:is>
          <x:t xml:space="preserve">GIVING_VALIDATED_EDGE、BUCKET_PRIOR_ONLY、INTENT_INTERPRETATION_ONLY、EXPERT_MARKET</x:t>
        </x:is>
      </x:c>
      <x:c r="AP728" s="604" t="inlineStr">
        <x:is>
          <x:t xml:space="preserve">bee7f68bd61e82edb2d1</x:t>
        </x:is>
      </x:c>
      <x:c r="AQ728" s="604" t="n">
        <x:v>-0.5</x:v>
      </x:c>
      <x:c r="AR728" s="604" t="n">
        <x:v>0.76</x:v>
      </x:c>
      <x:c r="AS728" s="604" t="n">
        <x:v>0.5</x:v>
      </x:c>
      <x:c r="AT728" s="604" t="n">
        <x:v>-0.5</x:v>
      </x:c>
      <x:c r="AU728" s="604" t="n">
        <x:v>0.76</x:v>
      </x:c>
      <x:c r="AV728" s="604" t="n">
        <x:v>0.9399999999999999</x:v>
      </x:c>
      <x:c r="AW728" s="604" t="n">
        <x:v>46298.06050486111</x:v>
      </x:c>
      <x:c r="AX728" s="604" t="inlineStr">
        <x:is>
          <x:t xml:space="preserve">https://simondongxiao.github.io/odds/v4/</x:t>
        </x:is>
      </x:c>
      <x:c r="AY728" s="604" t="inlineStr">
        <x:is>
          <x:t xml:space="preserve">V4 Shadow Only；real_money=false；P(EV&gt;0)不是比赛胜率</x:t>
        </x:is>
      </x:c>
    </x:row>
    <x:row r="729" ht="22" customHeight="1">
      <x:c r="A729" s="604" t="inlineStr">
        <x:is>
          <x:t xml:space="preserve">2026-10-03</x:t>
        </x:is>
      </x:c>
      <x:c r="B729" s="604" t="inlineStr">
        <x:is>
          <x:t xml:space="preserve">2026-10-03 20:00</x:t>
        </x:is>
      </x:c>
      <x:c r="C729" s="604" t="str">
        <x:v>五大联赛非顶级联赛</x:v>
      </x:c>
      <x:c r="D729" s="604" t="inlineStr">
        <x:is>
          <x:t xml:space="preserve">联赛</x:t>
        </x:is>
      </x:c>
      <x:c r="E729" s="604" t="inlineStr">
        <x:is>
          <x:t xml:space="preserve">德女联</x:t>
        </x:is>
      </x:c>
      <x:c r="F729" s="604" t="inlineStr">
        <x:is>
          <x:t xml:space="preserve">RB莱比锡女足 vs 美因茨女足</x:t>
        </x:is>
      </x:c>
      <x:c r="G729" s="604" t="n">
        <x:v>0.79</x:v>
      </x:c>
      <x:c r="H729" s="604" t="n">
        <x:v>0</x:v>
      </x:c>
      <x:c r="I729" s="604" t="n">
        <x:v>0.91</x:v>
      </x:c>
      <x:c r="J729" s="604" t="inlineStr">
        <x:is>
          <x:t xml:space="preserve">0.79/0/0.91</x:t>
        </x:is>
      </x:c>
      <x:c r="K729" s="604" t="inlineStr">
        <x:is>
          <x:t xml:space="preserve">V4-C｜EV +0.0450</x:t>
        </x:is>
      </x:c>
      <x:c r="L729" s="604" t="str"/>
      <x:c r="M729" s="604" t="n">
        <x:v>0.5924143290501508</x:v>
      </x:c>
      <x:c r="N729" s="604" t="inlineStr">
        <x:is>
          <x:t xml:space="preserve">V4纸面入选-C</x:t>
        </x:is>
      </x:c>
      <x:c r="O729" s="604" t="inlineStr">
        <x:is>
          <x:t xml:space="preserve">5-0</x:t>
        </x:is>
      </x:c>
      <x:c r="P729" s="604" t="inlineStr">
        <x:is>
          <x:t xml:space="preserve">已结算</x:t>
        </x:is>
      </x:c>
      <x:c r="Q729" s="645" t="inlineStr">
        <x:is>
          <x:t xml:space="preserve">红</x:t>
        </x:is>
      </x:c>
      <x:c r="R729" s="604" t="n">
        <x:v>0.91</x:v>
      </x:c>
      <x:c r="S729" s="604" t="n">
        <x:f>IF(OR(Q729="",Q729="待结算"),"",IF(Q729="红",R729,IF(Q729="半红",R729*0.5,IF(Q729="走",0,IF(Q729="半黑",-0.5,-1)))))</x:f>
        <x:v>0.91</x:v>
      </x:c>
      <x:c r="T729" s="604" t="inlineStr">
        <x:is>
          <x:t xml:space="preserve">https://m.titan007.com/analy/Analysis/3034797.htm</x:t>
        </x:is>
      </x:c>
      <x:c r="U729" s="646" t="str">
        <x:f>IF(Q729="","",IF(Q729="待结算","待结算",IF(Q729="红","黑",IF(Q729="半红","半黑",IF(Q729="走","走",IF(Q729="半黑","半红","红"))))))</x:f>
        <x:v>黑</x:v>
      </x:c>
      <x:c r="V729" s="604" t="n">
        <x:f>IF(OR(Q729="",Q729="待结算"),"",IF(L729=LEFT(F729,FIND(" vs ",F729)-1),I729,G729))</x:f>
        <x:v>0.79</x:v>
      </x:c>
      <x:c r="W729" s="604" t="n">
        <x:f>IF(OR(U729="",U729="待结算"),"",IF(U729="红",V729,IF(U729="半红",V729*0.5,IF(U729="走",0,IF(U729="半黑",-0.5,-1)))))</x:f>
        <x:v>-1</x:v>
      </x:c>
      <x:c r="X729" s="604" t="inlineStr">
        <x:is>
          <x:t xml:space="preserve">3034797</x:t>
        </x:is>
      </x:c>
      <x:c r="Y729" s="604" t="inlineStr">
        <x:is>
          <x:t xml:space="preserve">V4</x:t>
        </x:is>
      </x:c>
      <x:c r="Z729" s="604" t="inlineStr">
        <x:is>
          <x:t xml:space="preserve">prior-2026-10-03-v1</x:t>
        </x:is>
      </x:c>
      <x:c r="AA729" s="604" t="inlineStr">
        <x:is>
          <x:t xml:space="preserve">C</x:t>
        </x:is>
      </x:c>
      <x:c r="AB729" s="604" t="n">
        <x:v>0.4415216430795412</x:v>
      </x:c>
      <x:c r="AC729" s="604" t="n"/>
      <x:c r="AD729" s="604" t="n">
        <x:v>0.2547080287753062</x:v>
      </x:c>
      <x:c r="AE729" s="604" t="n"/>
      <x:c r="AF729" s="604" t="n">
        <x:v>0.3037703281451526</x:v>
      </x:c>
      <x:c r="AG729" s="604" t="n">
        <x:v>0.04503176988768492</x:v>
      </x:c>
      <x:c r="AH729" s="604" t="n"/>
      <x:c r="AI729" s="604" t="n"/>
      <x:c r="AJ729" s="604" t="n">
        <x:v>0.04503176988768492</x:v>
      </x:c>
      <x:c r="AK729" s="604" t="n"/>
      <x:c r="AL729" s="604" t="n"/>
      <x:c r="AM729" s="604" t="n"/>
      <x:c r="AN729" s="604" t="inlineStr">
        <x:is>
          <x:t xml:space="preserve">EVALUATED</x:t>
        </x:is>
      </x:c>
      <x:c r="AO729" s="604" t="inlineStr">
        <x:is>
          <x:t xml:space="preserve">EDGE_BELOW_UNCERTAINTY_THRESHOLD、BUCKET_PRIOR_ONLY、INTENT_INTERPRETATION_ONLY、EXPERT_MARKET</x:t>
        </x:is>
      </x:c>
      <x:c r="AP729" s="604" t="inlineStr">
        <x:is>
          <x:t xml:space="preserve">fe69f52621098c120a79</x:t>
        </x:is>
      </x:c>
      <x:c r="AQ729" s="604" t="n">
        <x:v>0</x:v>
      </x:c>
      <x:c r="AR729" s="604" t="n"/>
      <x:c r="AS729" s="604" t="n">
        <x:v>0</x:v>
      </x:c>
      <x:c r="AT729" s="604" t="n">
        <x:v>0</x:v>
      </x:c>
      <x:c r="AU729" s="604" t="n">
        <x:v>0.79</x:v>
      </x:c>
      <x:c r="AV729" s="604" t="n">
        <x:v>0.91</x:v>
      </x:c>
      <x:c r="AW729" s="604" t="n">
        <x:v>46298.06050486111</x:v>
      </x:c>
      <x:c r="AX729" s="604" t="inlineStr">
        <x:is>
          <x:t xml:space="preserve">https://simondongxiao.github.io/odds/v4/</x:t>
        </x:is>
      </x:c>
      <x:c r="AY729" s="604" t="inlineStr">
        <x:is>
          <x:t xml:space="preserve">V4 Shadow Only；real_money=false；P(EV&gt;0)不是比赛胜率</x:t>
        </x:is>
      </x:c>
    </x:row>
    <x:row r="730" ht="22" customHeight="1">
      <x:c r="A730" s="604" t="inlineStr">
        <x:is>
          <x:t xml:space="preserve">2026-10-03</x:t>
        </x:is>
      </x:c>
      <x:c r="B730" s="604" t="inlineStr">
        <x:is>
          <x:t xml:space="preserve">2026-10-03 20:30</x:t>
        </x:is>
      </x:c>
      <x:c r="C730" s="604" t="str">
        <x:v>五大联赛非顶级联赛</x:v>
      </x:c>
      <x:c r="D730" s="604" t="inlineStr">
        <x:is>
          <x:t xml:space="preserve">联赛</x:t>
        </x:is>
      </x:c>
      <x:c r="E730" s="604" t="inlineStr">
        <x:is>
          <x:t xml:space="preserve">意丙</x:t>
        </x:is>
      </x:c>
      <x:c r="F730" s="604" t="inlineStr">
        <x:is>
          <x:t xml:space="preserve">奇塔代拉 vs 阿尔比诺勒菲</x:t>
        </x:is>
      </x:c>
      <x:c r="G730" s="604" t="n">
        <x:v>0.75</x:v>
      </x:c>
      <x:c r="H730" s="604" t="n">
        <x:v>0.75</x:v>
      </x:c>
      <x:c r="I730" s="604" t="n">
        <x:v>0.95</x:v>
      </x:c>
      <x:c r="J730" s="604" t="inlineStr">
        <x:is>
          <x:t xml:space="preserve">0.75/0.75/0.95</x:t>
        </x:is>
      </x:c>
      <x:c r="K730" s="604" t="inlineStr">
        <x:is>
          <x:t xml:space="preserve">V4-B｜EV +0.0760</x:t>
        </x:is>
      </x:c>
      <x:c r="L730" s="604" t="inlineStr">
        <x:is>
          <x:t xml:space="preserve">奇塔代拉</x:t>
        </x:is>
      </x:c>
      <x:c r="M730" s="604" t="n">
        <x:v>0.6212816479477169</x:v>
      </x:c>
      <x:c r="N730" s="604" t="inlineStr">
        <x:is>
          <x:t xml:space="preserve">V4纸面入选-B</x:t>
        </x:is>
      </x:c>
      <x:c r="O730" s="604" t="inlineStr">
        <x:is>
          <x:t xml:space="preserve">1-2</x:t>
        </x:is>
      </x:c>
      <x:c r="P730" s="604" t="inlineStr">
        <x:is>
          <x:t xml:space="preserve">已结算</x:t>
        </x:is>
      </x:c>
      <x:c r="Q730" s="646" t="inlineStr">
        <x:is>
          <x:t xml:space="preserve">黑</x:t>
        </x:is>
      </x:c>
      <x:c r="R730" s="604" t="n">
        <x:v>0.75</x:v>
      </x:c>
      <x:c r="S730" s="604" t="n">
        <x:f>IF(OR(Q730="",Q730="待结算"),"",IF(Q730="红",R730,IF(Q730="半红",R730*0.5,IF(Q730="走",0,IF(Q730="半黑",-0.5,-1)))))</x:f>
        <x:v>-1</x:v>
      </x:c>
      <x:c r="T730" s="604" t="inlineStr">
        <x:is>
          <x:t xml:space="preserve">https://m.titan007.com/analy/Analysis/3050573.htm</x:t>
        </x:is>
      </x:c>
      <x:c r="U730" s="645" t="str">
        <x:f>IF(Q730="","",IF(Q730="待结算","待结算",IF(Q730="红","黑",IF(Q730="半红","半黑",IF(Q730="走","走",IF(Q730="半黑","半红","红"))))))</x:f>
        <x:v>红</x:v>
      </x:c>
      <x:c r="V730" s="604" t="n">
        <x:f>IF(OR(Q730="",Q730="待结算"),"",IF(L730=LEFT(F730,FIND(" vs ",F730)-1),I730,G730))</x:f>
        <x:v>0.95</x:v>
      </x:c>
      <x:c r="W730" s="604" t="n">
        <x:f>IF(OR(U730="",U730="待结算"),"",IF(U730="红",V730,IF(U730="半红",V730*0.5,IF(U730="走",0,IF(U730="半黑",-0.5,-1)))))</x:f>
        <x:v>0.95</x:v>
      </x:c>
      <x:c r="X730" s="604" t="inlineStr">
        <x:is>
          <x:t xml:space="preserve">3050573</x:t>
        </x:is>
      </x:c>
      <x:c r="Y730" s="604" t="inlineStr">
        <x:is>
          <x:t xml:space="preserve">V4</x:t>
        </x:is>
      </x:c>
      <x:c r="Z730" s="604" t="inlineStr">
        <x:is>
          <x:t xml:space="preserve">prior-2026-10-03-v1</x:t>
        </x:is>
      </x:c>
      <x:c r="AA730" s="604" t="inlineStr">
        <x:is>
          <x:t xml:space="preserve">B</x:t>
        </x:is>
      </x:c>
      <x:c r="AB730" s="604" t="n">
        <x:v>0.4123453169025736</x:v>
      </x:c>
      <x:c r="AC730" s="604" t="n">
        <x:v>0.2577421773812381</x:v>
      </x:c>
      <x:c r="AD730" s="604" t="n"/>
      <x:c r="AE730" s="604" t="n"/>
      <x:c r="AF730" s="604" t="n">
        <x:v>0.3299125057161882</x:v>
      </x:c>
      <x:c r="AG730" s="604" t="n">
        <x:v>0.0759997984787063</x:v>
      </x:c>
      <x:c r="AH730" s="604" t="n"/>
      <x:c r="AI730" s="604" t="n"/>
      <x:c r="AJ730" s="604" t="n">
        <x:v>0.0759997984787063</x:v>
      </x:c>
      <x:c r="AK730" s="604" t="n"/>
      <x:c r="AL730" s="604" t="n"/>
      <x:c r="AM730" s="604" t="n"/>
      <x:c r="AN730" s="604" t="inlineStr">
        <x:is>
          <x:t xml:space="preserve">EVALUATED</x:t>
        </x:is>
      </x:c>
      <x:c r="AO730" s="604" t="inlineStr">
        <x:is>
          <x:t xml:space="preserve">GIVING_VALIDATED_EDGE、BUCKET_PRIOR_ONLY、INTENT_INTERPRETATION_ONLY、EXPERT_MARKET</x:t>
        </x:is>
      </x:c>
      <x:c r="AP730" s="604" t="inlineStr">
        <x:is>
          <x:t xml:space="preserve">1c708105f1eb806486bd</x:t>
        </x:is>
      </x:c>
      <x:c r="AQ730" s="604" t="n">
        <x:v>-0.75</x:v>
      </x:c>
      <x:c r="AR730" s="604" t="n">
        <x:v>0.75</x:v>
      </x:c>
      <x:c r="AS730" s="604" t="n">
        <x:v>0.75</x:v>
      </x:c>
      <x:c r="AT730" s="604" t="n">
        <x:v>-0.75</x:v>
      </x:c>
      <x:c r="AU730" s="604" t="n">
        <x:v>0.75</x:v>
      </x:c>
      <x:c r="AV730" s="604" t="n">
        <x:v>0.95</x:v>
      </x:c>
      <x:c r="AW730" s="604" t="n">
        <x:v>46298.06050486111</x:v>
      </x:c>
      <x:c r="AX730" s="604" t="inlineStr">
        <x:is>
          <x:t xml:space="preserve">https://simondongxiao.github.io/odds/v4/</x:t>
        </x:is>
      </x:c>
      <x:c r="AY730" s="604" t="inlineStr">
        <x:is>
          <x:t xml:space="preserve">V4 Shadow Only；real_money=false；P(EV&gt;0)不是比赛胜率</x:t>
        </x:is>
      </x:c>
    </x:row>
    <x:row r="731" ht="22" customHeight="1">
      <x:c r="A731" s="604" t="inlineStr">
        <x:is>
          <x:t xml:space="preserve">2026-10-03</x:t>
        </x:is>
      </x:c>
      <x:c r="B731" s="604" t="inlineStr">
        <x:is>
          <x:t xml:space="preserve">2026-10-03 21:00</x:t>
        </x:is>
      </x:c>
      <x:c r="C731" s="604" t="str">
        <x:v>欧洲非五大系列</x:v>
      </x:c>
      <x:c r="D731" s="604" t="inlineStr">
        <x:is>
          <x:t xml:space="preserve">联赛</x:t>
        </x:is>
      </x:c>
      <x:c r="E731" s="604" t="inlineStr">
        <x:is>
          <x:t xml:space="preserve">欧国联</x:t>
        </x:is>
      </x:c>
      <x:c r="F731" s="604" t="inlineStr">
        <x:is>
          <x:t xml:space="preserve">芬兰 vs 阿尔巴尼亚</x:t>
        </x:is>
      </x:c>
      <x:c r="G731" s="604" t="n">
        <x:v>1.07</x:v>
      </x:c>
      <x:c r="H731" s="604" t="n">
        <x:v>0.25</x:v>
      </x:c>
      <x:c r="I731" s="604" t="n">
        <x:v>0.8100000000000001</x:v>
      </x:c>
      <x:c r="J731" s="604" t="inlineStr">
        <x:is>
          <x:t xml:space="preserve">1.07/0.25/0.81</x:t>
        </x:is>
      </x:c>
      <x:c r="K731" s="604" t="inlineStr">
        <x:is>
          <x:t xml:space="preserve">V4-C｜EV +0.0658</x:t>
        </x:is>
      </x:c>
      <x:c r="L731" s="604" t="inlineStr">
        <x:is>
          <x:t xml:space="preserve">芬兰</x:t>
        </x:is>
      </x:c>
      <x:c r="M731" s="604" t="n">
        <x:v>0.5196140312026459</x:v>
      </x:c>
      <x:c r="N731" s="604" t="inlineStr">
        <x:is>
          <x:t xml:space="preserve">V4纸面入选-C</x:t>
        </x:is>
      </x:c>
      <x:c r="O731" s="604" t="inlineStr">
        <x:is>
          <x:t xml:space="preserve">2-1</x:t>
        </x:is>
      </x:c>
      <x:c r="P731" s="604" t="inlineStr">
        <x:is>
          <x:t xml:space="preserve">已结算</x:t>
        </x:is>
      </x:c>
      <x:c r="Q731" s="645" t="inlineStr">
        <x:is>
          <x:t xml:space="preserve">红</x:t>
        </x:is>
      </x:c>
      <x:c r="R731" s="604" t="n">
        <x:v>1.07</x:v>
      </x:c>
      <x:c r="S731" s="604" t="n">
        <x:f>IF(OR(Q731="",Q731="待结算"),"",IF(Q731="红",R731,IF(Q731="半红",R731*0.5,IF(Q731="走",0,IF(Q731="半黑",-0.5,-1)))))</x:f>
        <x:v>1.07</x:v>
      </x:c>
      <x:c r="T731" s="604" t="inlineStr">
        <x:is>
          <x:t xml:space="preserve">https://m.titan007.com/analy/Analysis/2981543.htm</x:t>
        </x:is>
      </x:c>
      <x:c r="U731" s="646" t="str">
        <x:f>IF(Q731="","",IF(Q731="待结算","待结算",IF(Q731="红","黑",IF(Q731="半红","半黑",IF(Q731="走","走",IF(Q731="半黑","半红","红"))))))</x:f>
        <x:v>黑</x:v>
      </x:c>
      <x:c r="V731" s="604" t="n">
        <x:f>IF(OR(Q731="",Q731="待结算"),"",IF(L731=LEFT(F731,FIND(" vs ",F731)-1),I731,G731))</x:f>
        <x:v>0.81</x:v>
      </x:c>
      <x:c r="W731" s="604" t="n">
        <x:f>IF(OR(U731="",U731="待结算"),"",IF(U731="红",V731,IF(U731="半红",V731*0.5,IF(U731="走",0,IF(U731="半黑",-0.5,-1)))))</x:f>
        <x:v>-1</x:v>
      </x:c>
      <x:c r="X731" s="604" t="inlineStr">
        <x:is>
          <x:t xml:space="preserve">2981543</x:t>
        </x:is>
      </x:c>
      <x:c r="Y731" s="604" t="inlineStr">
        <x:is>
          <x:t xml:space="preserve">V4</x:t>
        </x:is>
      </x:c>
      <x:c r="Z731" s="604" t="inlineStr">
        <x:is>
          <x:t xml:space="preserve">prior-2026-10-03-v1</x:t>
        </x:is>
      </x:c>
      <x:c r="AA731" s="604" t="inlineStr">
        <x:is>
          <x:t xml:space="preserve">C</x:t>
        </x:is>
      </x:c>
      <x:c r="AB731" s="604" t="n">
        <x:v>0.4519920360969518</x:v>
      </x:c>
      <x:c r="AC731" s="604" t="n"/>
      <x:c r="AD731" s="604" t="n"/>
      <x:c r="AE731" s="604" t="n">
        <x:v>0.2602777871459054</x:v>
      </x:c>
      <x:c r="AF731" s="604" t="n">
        <x:v>0.2877301767571428</x:v>
      </x:c>
      <x:c r="AG731" s="604" t="n">
        <x:v>0.06576240829364294</x:v>
      </x:c>
      <x:c r="AH731" s="604" t="n"/>
      <x:c r="AI731" s="604" t="n"/>
      <x:c r="AJ731" s="604" t="n">
        <x:v>0.06576240829364294</x:v>
      </x:c>
      <x:c r="AK731" s="604" t="n"/>
      <x:c r="AL731" s="604" t="n"/>
      <x:c r="AM731" s="604" t="n"/>
      <x:c r="AN731" s="604" t="inlineStr">
        <x:is>
          <x:t xml:space="preserve">EVALUATED</x:t>
        </x:is>
      </x:c>
      <x:c r="AO731" s="604" t="inlineStr">
        <x:is>
          <x:t xml:space="preserve">GIVING_VALIDATED_EDGE、BUCKET_PRIOR_ONLY、INTENT_INTERPRETATION_ONLY、EXPERT_MARKET</x:t>
        </x:is>
      </x:c>
      <x:c r="AP731" s="604" t="inlineStr">
        <x:is>
          <x:t xml:space="preserve">54ab56ab81fb9affa4f7</x:t>
        </x:is>
      </x:c>
      <x:c r="AQ731" s="604" t="n">
        <x:v>-0.25</x:v>
      </x:c>
      <x:c r="AR731" s="604" t="n">
        <x:v>1.07</x:v>
      </x:c>
      <x:c r="AS731" s="604" t="n">
        <x:v>0.25</x:v>
      </x:c>
      <x:c r="AT731" s="604" t="n">
        <x:v>-0.25</x:v>
      </x:c>
      <x:c r="AU731" s="604" t="n">
        <x:v>1.07</x:v>
      </x:c>
      <x:c r="AV731" s="604" t="n">
        <x:v>0.8100000000000001</x:v>
      </x:c>
      <x:c r="AW731" s="604" t="n">
        <x:v>46298.06050486111</x:v>
      </x:c>
      <x:c r="AX731" s="604" t="inlineStr">
        <x:is>
          <x:t xml:space="preserve">https://simondongxiao.github.io/odds/v4/</x:t>
        </x:is>
      </x:c>
      <x:c r="AY731" s="604" t="inlineStr">
        <x:is>
          <x:t xml:space="preserve">V4 Shadow Only；real_money=false；P(EV&gt;0)不是比赛胜率</x:t>
        </x:is>
      </x:c>
    </x:row>
    <x:row r="732" ht="22" customHeight="1">
      <x:c r="A732" s="604" t="inlineStr">
        <x:is>
          <x:t xml:space="preserve">2026-10-03</x:t>
        </x:is>
      </x:c>
      <x:c r="B732" s="604" t="inlineStr">
        <x:is>
          <x:t xml:space="preserve">2026-10-03 21:00</x:t>
        </x:is>
      </x:c>
      <x:c r="C732" s="604" t="str">
        <x:v>欧洲非五大系列</x:v>
      </x:c>
      <x:c r="D732" s="604" t="inlineStr">
        <x:is>
          <x:t xml:space="preserve">联赛</x:t>
        </x:is>
      </x:c>
      <x:c r="E732" s="604" t="inlineStr">
        <x:is>
          <x:t xml:space="preserve">挪乙</x:t>
        </x:is>
      </x:c>
      <x:c r="F732" s="604" t="inlineStr">
        <x:is>
          <x:t xml:space="preserve">哈尔登 vs 比查格</x:t>
        </x:is>
      </x:c>
      <x:c r="G732" s="604" t="n">
        <x:v>0.86</x:v>
      </x:c>
      <x:c r="H732" s="604" t="n">
        <x:v>-0.5</x:v>
      </x:c>
      <x:c r="I732" s="604" t="n">
        <x:v>0.84</x:v>
      </x:c>
      <x:c r="J732" s="604" t="inlineStr">
        <x:is>
          <x:t xml:space="preserve">0.86/-0.5/0.84</x:t>
        </x:is>
      </x:c>
      <x:c r="K732" s="604" t="inlineStr">
        <x:is>
          <x:t xml:space="preserve">V4-B｜EV +0.0721</x:t>
        </x:is>
      </x:c>
      <x:c r="L732" s="604" t="inlineStr">
        <x:is>
          <x:t xml:space="preserve">比查格</x:t>
        </x:is>
      </x:c>
      <x:c r="M732" s="604" t="n">
        <x:v>0.5826696493538422</x:v>
      </x:c>
      <x:c r="N732" s="604" t="inlineStr">
        <x:is>
          <x:t xml:space="preserve">V4纸面入选-B</x:t>
        </x:is>
      </x:c>
      <x:c r="O732" s="604" t="inlineStr">
        <x:is>
          <x:t xml:space="preserve">2-3</x:t>
        </x:is>
      </x:c>
      <x:c r="P732" s="604" t="inlineStr">
        <x:is>
          <x:t xml:space="preserve">已结算</x:t>
        </x:is>
      </x:c>
      <x:c r="Q732" s="646" t="inlineStr">
        <x:is>
          <x:t xml:space="preserve">黑</x:t>
        </x:is>
      </x:c>
      <x:c r="R732" s="604" t="n">
        <x:v>0.84</x:v>
      </x:c>
      <x:c r="S732" s="604" t="n">
        <x:f>IF(OR(Q732="",Q732="待结算"),"",IF(Q732="红",R732,IF(Q732="半红",R732*0.5,IF(Q732="走",0,IF(Q732="半黑",-0.5,-1)))))</x:f>
        <x:v>-1</x:v>
      </x:c>
      <x:c r="T732" s="604" t="inlineStr">
        <x:is>
          <x:t xml:space="preserve">https://m.titan007.com/analy/Analysis/2913358.htm</x:t>
        </x:is>
      </x:c>
      <x:c r="U732" s="645" t="str">
        <x:f>IF(Q732="","",IF(Q732="待结算","待结算",IF(Q732="红","黑",IF(Q732="半红","半黑",IF(Q732="走","走",IF(Q732="半黑","半红","红"))))))</x:f>
        <x:v>红</x:v>
      </x:c>
      <x:c r="V732" s="604" t="n">
        <x:f>IF(OR(Q732="",Q732="待结算"),"",IF(L732=LEFT(F732,FIND(" vs ",F732)-1),I732,G732))</x:f>
        <x:v>0.86</x:v>
      </x:c>
      <x:c r="W732" s="604" t="n">
        <x:f>IF(OR(U732="",U732="待结算"),"",IF(U732="红",V732,IF(U732="半红",V732*0.5,IF(U732="走",0,IF(U732="半黑",-0.5,-1)))))</x:f>
        <x:v>0.86</x:v>
      </x:c>
      <x:c r="X732" s="604" t="inlineStr">
        <x:is>
          <x:t xml:space="preserve">2913358</x:t>
        </x:is>
      </x:c>
      <x:c r="Y732" s="604" t="inlineStr">
        <x:is>
          <x:t xml:space="preserve">V4</x:t>
        </x:is>
      </x:c>
      <x:c r="Z732" s="604" t="inlineStr">
        <x:is>
          <x:t xml:space="preserve">prior-2026-10-03-v1</x:t>
        </x:is>
      </x:c>
      <x:c r="AA732" s="604" t="inlineStr">
        <x:is>
          <x:t xml:space="preserve">B</x:t>
        </x:is>
      </x:c>
      <x:c r="AB732" s="604" t="n">
        <x:v>0.5826696493538422</x:v>
      </x:c>
      <x:c r="AC732" s="604" t="n"/>
      <x:c r="AD732" s="604" t="n"/>
      <x:c r="AE732" s="604" t="n"/>
      <x:c r="AF732" s="604" t="n">
        <x:v>0.4173303506461578</x:v>
      </x:c>
      <x:c r="AG732" s="604" t="n">
        <x:v>0.07211215481106964</x:v>
      </x:c>
      <x:c r="AH732" s="604" t="n"/>
      <x:c r="AI732" s="604" t="n"/>
      <x:c r="AJ732" s="604" t="n">
        <x:v>0.07211215481106964</x:v>
      </x:c>
      <x:c r="AK732" s="604" t="n"/>
      <x:c r="AL732" s="604" t="n"/>
      <x:c r="AM732" s="604" t="n"/>
      <x:c r="AN732" s="604" t="inlineStr">
        <x:is>
          <x:t xml:space="preserve">EVALUATED</x:t>
        </x:is>
      </x:c>
      <x:c r="AO732" s="604" t="inlineStr">
        <x:is>
          <x:t xml:space="preserve">GIVING_VALIDATED_EDGE、BUCKET_PRIOR_ONLY、INTENT_INTERPRETATION_ONLY、EXPERT_MARKET</x:t>
        </x:is>
      </x:c>
      <x:c r="AP732" s="604" t="inlineStr">
        <x:is>
          <x:t xml:space="preserve">39360b1c525c49383361</x:t>
        </x:is>
      </x:c>
      <x:c r="AQ732" s="604" t="n">
        <x:v>-0.5</x:v>
      </x:c>
      <x:c r="AR732" s="604" t="n">
        <x:v>0.84</x:v>
      </x:c>
      <x:c r="AS732" s="604" t="n">
        <x:v>-0.5</x:v>
      </x:c>
      <x:c r="AT732" s="604" t="n">
        <x:v>0.5</x:v>
      </x:c>
      <x:c r="AU732" s="604" t="n">
        <x:v>0.86</x:v>
      </x:c>
      <x:c r="AV732" s="604" t="n">
        <x:v>0.84</x:v>
      </x:c>
      <x:c r="AW732" s="604" t="n">
        <x:v>46298.06050486111</x:v>
      </x:c>
      <x:c r="AX732" s="604" t="inlineStr">
        <x:is>
          <x:t xml:space="preserve">https://simondongxiao.github.io/odds/v4/</x:t>
        </x:is>
      </x:c>
      <x:c r="AY732" s="604" t="inlineStr">
        <x:is>
          <x:t xml:space="preserve">V4 Shadow Only；real_money=false；P(EV&gt;0)不是比赛胜率</x:t>
        </x:is>
      </x:c>
    </x:row>
    <x:row r="733" ht="22" customHeight="1">
      <x:c r="A733" s="604" t="inlineStr">
        <x:is>
          <x:t xml:space="preserve">2026-10-03</x:t>
        </x:is>
      </x:c>
      <x:c r="B733" s="604" t="inlineStr">
        <x:is>
          <x:t xml:space="preserve">2026-10-03 21:00</x:t>
        </x:is>
      </x:c>
      <x:c r="C733" s="604" t="str">
        <x:v>欧洲非五大系列</x:v>
      </x:c>
      <x:c r="D733" s="604" t="inlineStr">
        <x:is>
          <x:t xml:space="preserve">联赛</x:t>
        </x:is>
      </x:c>
      <x:c r="E733" s="604" t="inlineStr">
        <x:is>
          <x:t xml:space="preserve">挪乙</x:t>
        </x:is>
      </x:c>
      <x:c r="F733" s="604" t="inlineStr">
        <x:is>
          <x:t xml:space="preserve">诺托登 vs EIK通斯堡</x:t>
        </x:is>
      </x:c>
      <x:c r="G733" s="604" t="n">
        <x:v>0.86</x:v>
      </x:c>
      <x:c r="H733" s="604" t="n">
        <x:v>1.25</x:v>
      </x:c>
      <x:c r="I733" s="604" t="n">
        <x:v>0.84</x:v>
      </x:c>
      <x:c r="J733" s="604" t="inlineStr">
        <x:is>
          <x:t xml:space="preserve">0.86/1.25/0.84</x:t>
        </x:is>
      </x:c>
      <x:c r="K733" s="604" t="inlineStr">
        <x:is>
          <x:t xml:space="preserve">V4-C｜EV +0.0572</x:t>
        </x:is>
      </x:c>
      <x:c r="L733" s="604" t="inlineStr">
        <x:is>
          <x:t xml:space="preserve">诺托登</x:t>
        </x:is>
      </x:c>
      <x:c r="M733" s="604" t="n">
        <x:v>0.5727672803670451</x:v>
      </x:c>
      <x:c r="N733" s="604" t="inlineStr">
        <x:is>
          <x:t xml:space="preserve">V4纸面入选-C</x:t>
        </x:is>
      </x:c>
      <x:c r="O733" s="604" t="inlineStr">
        <x:is>
          <x:t xml:space="preserve">1-3</x:t>
        </x:is>
      </x:c>
      <x:c r="P733" s="604" t="inlineStr">
        <x:is>
          <x:t xml:space="preserve">已结算</x:t>
        </x:is>
      </x:c>
      <x:c r="Q733" s="646" t="inlineStr">
        <x:is>
          <x:t xml:space="preserve">黑</x:t>
        </x:is>
      </x:c>
      <x:c r="R733" s="604" t="n">
        <x:v>0.86</x:v>
      </x:c>
      <x:c r="S733" s="604" t="n">
        <x:f>IF(OR(Q733="",Q733="待结算"),"",IF(Q733="红",R733,IF(Q733="半红",R733*0.5,IF(Q733="走",0,IF(Q733="半黑",-0.5,-1)))))</x:f>
        <x:v>-1</x:v>
      </x:c>
      <x:c r="T733" s="604" t="inlineStr">
        <x:is>
          <x:t xml:space="preserve">https://m.titan007.com/analy/Analysis/2913361.htm</x:t>
        </x:is>
      </x:c>
      <x:c r="U733" s="645" t="str">
        <x:f>IF(Q733="","",IF(Q733="待结算","待结算",IF(Q733="红","黑",IF(Q733="半红","半黑",IF(Q733="走","走",IF(Q733="半黑","半红","红"))))))</x:f>
        <x:v>红</x:v>
      </x:c>
      <x:c r="V733" s="604" t="n">
        <x:f>IF(OR(Q733="",Q733="待结算"),"",IF(L733=LEFT(F733,FIND(" vs ",F733)-1),I733,G733))</x:f>
        <x:v>0.84</x:v>
      </x:c>
      <x:c r="W733" s="604" t="n">
        <x:f>IF(OR(U733="",U733="待结算"),"",IF(U733="红",V733,IF(U733="半红",V733*0.5,IF(U733="走",0,IF(U733="半黑",-0.5,-1)))))</x:f>
        <x:v>0.84</x:v>
      </x:c>
      <x:c r="X733" s="604" t="inlineStr">
        <x:is>
          <x:t xml:space="preserve">2913361</x:t>
        </x:is>
      </x:c>
      <x:c r="Y733" s="604" t="inlineStr">
        <x:is>
          <x:t xml:space="preserve">V4</x:t>
        </x:is>
      </x:c>
      <x:c r="Z733" s="604" t="inlineStr">
        <x:is>
          <x:t xml:space="preserve">prior-2026-10-03-v1</x:t>
        </x:is>
      </x:c>
      <x:c r="AA733" s="604" t="inlineStr">
        <x:is>
          <x:t xml:space="preserve">C</x:t>
        </x:is>
      </x:c>
      <x:c r="AB733" s="604" t="n">
        <x:v>0.5014557834824723</x:v>
      </x:c>
      <x:c r="AC733" s="604" t="n"/>
      <x:c r="AD733" s="604" t="n"/>
      <x:c r="AE733" s="604" t="n">
        <x:v>0.2490068805567052</x:v>
      </x:c>
      <x:c r="AF733" s="604" t="n">
        <x:v>0.2495373359608226</x:v>
      </x:c>
      <x:c r="AG733" s="604" t="n">
        <x:v>0.05721119755575102</x:v>
      </x:c>
      <x:c r="AH733" s="604" t="n"/>
      <x:c r="AI733" s="604" t="n"/>
      <x:c r="AJ733" s="604" t="n">
        <x:v>0.05721119755575102</x:v>
      </x:c>
      <x:c r="AK733" s="604" t="n"/>
      <x:c r="AL733" s="604" t="n"/>
      <x:c r="AM733" s="604" t="n"/>
      <x:c r="AN733" s="604" t="inlineStr">
        <x:is>
          <x:t xml:space="preserve">EVALUATED</x:t>
        </x:is>
      </x:c>
      <x:c r="AO733" s="604" t="inlineStr">
        <x:is>
          <x:t xml:space="preserve">GIVING_VALIDATED_EDGE、BUCKET_PRIOR_ONLY、INTENT_INTERPRETATION_ONLY、EXPERT_MARKET</x:t>
        </x:is>
      </x:c>
      <x:c r="AP733" s="604" t="inlineStr">
        <x:is>
          <x:t xml:space="preserve">be9edbbcf75a9c2ce6ff</x:t>
        </x:is>
      </x:c>
      <x:c r="AQ733" s="604" t="n">
        <x:v>-1.25</x:v>
      </x:c>
      <x:c r="AR733" s="604" t="n">
        <x:v>0.86</x:v>
      </x:c>
      <x:c r="AS733" s="604" t="n">
        <x:v>1.25</x:v>
      </x:c>
      <x:c r="AT733" s="604" t="n">
        <x:v>-1.25</x:v>
      </x:c>
      <x:c r="AU733" s="604" t="n">
        <x:v>0.86</x:v>
      </x:c>
      <x:c r="AV733" s="604" t="n">
        <x:v>0.84</x:v>
      </x:c>
      <x:c r="AW733" s="604" t="n">
        <x:v>46298.06050486111</x:v>
      </x:c>
      <x:c r="AX733" s="604" t="inlineStr">
        <x:is>
          <x:t xml:space="preserve">https://simondongxiao.github.io/odds/v4/</x:t>
        </x:is>
      </x:c>
      <x:c r="AY733" s="604" t="inlineStr">
        <x:is>
          <x:t xml:space="preserve">V4 Shadow Only；real_money=false；P(EV&gt;0)不是比赛胜率</x:t>
        </x:is>
      </x:c>
    </x:row>
    <x:row r="734" ht="22" customHeight="1">
      <x:c r="A734" s="604" t="inlineStr">
        <x:is>
          <x:t xml:space="preserve">2026-10-03</x:t>
        </x:is>
      </x:c>
      <x:c r="B734" s="604" t="inlineStr">
        <x:is>
          <x:t xml:space="preserve">2026-10-03 21:00</x:t>
        </x:is>
      </x:c>
      <x:c r="C734" s="604" t="str">
        <x:v>欧洲非五大系列</x:v>
      </x:c>
      <x:c r="D734" s="604" t="inlineStr">
        <x:is>
          <x:t xml:space="preserve">联赛</x:t>
        </x:is>
      </x:c>
      <x:c r="E734" s="604" t="inlineStr">
        <x:is>
          <x:t xml:space="preserve">瑞典女超</x:t>
        </x:is>
      </x:c>
      <x:c r="F734" s="604" t="inlineStr">
        <x:is>
          <x:t xml:space="preserve">韦克舍女足 vs 克里斯提斯塔女足</x:t>
        </x:is>
      </x:c>
      <x:c r="G734" s="604" t="n">
        <x:v>0.9399999999999999</x:v>
      </x:c>
      <x:c r="H734" s="604" t="n">
        <x:v>0</x:v>
      </x:c>
      <x:c r="I734" s="604" t="n">
        <x:v>0.76</x:v>
      </x:c>
      <x:c r="J734" s="604" t="inlineStr">
        <x:is>
          <x:t xml:space="preserve">0.94/0/0.76</x:t>
        </x:is>
      </x:c>
      <x:c r="K734" s="604" t="inlineStr">
        <x:is>
          <x:t xml:space="preserve">V4-C｜EV +0.0009</x:t>
        </x:is>
      </x:c>
      <x:c r="L734" s="604" t="str"/>
      <x:c r="M734" s="604" t="n">
        <x:v>0.5687988791405227</x:v>
      </x:c>
      <x:c r="N734" s="604" t="inlineStr">
        <x:is>
          <x:t xml:space="preserve">V4纸面入选-C</x:t>
        </x:is>
      </x:c>
      <x:c r="O734" s="604" t="inlineStr">
        <x:is>
          <x:t xml:space="preserve">0-2</x:t>
        </x:is>
      </x:c>
      <x:c r="P734" s="604" t="inlineStr">
        <x:is>
          <x:t xml:space="preserve">已结算</x:t>
        </x:is>
      </x:c>
      <x:c r="Q734" s="646" t="inlineStr">
        <x:is>
          <x:t xml:space="preserve">黑</x:t>
        </x:is>
      </x:c>
      <x:c r="R734" s="604" t="n">
        <x:v>0.76</x:v>
      </x:c>
      <x:c r="S734" s="604" t="n">
        <x:f>IF(OR(Q734="",Q734="待结算"),"",IF(Q734="红",R734,IF(Q734="半红",R734*0.5,IF(Q734="走",0,IF(Q734="半黑",-0.5,-1)))))</x:f>
        <x:v>-1</x:v>
      </x:c>
      <x:c r="T734" s="604" t="inlineStr">
        <x:is>
          <x:t xml:space="preserve">https://m.titan007.com/analy/Analysis/2911390.htm</x:t>
        </x:is>
      </x:c>
      <x:c r="U734" s="645" t="str">
        <x:f>IF(Q734="","",IF(Q734="待结算","待结算",IF(Q734="红","黑",IF(Q734="半红","半黑",IF(Q734="走","走",IF(Q734="半黑","半红","红"))))))</x:f>
        <x:v>红</x:v>
      </x:c>
      <x:c r="V734" s="604" t="n">
        <x:f>IF(OR(Q734="",Q734="待结算"),"",IF(L734=LEFT(F734,FIND(" vs ",F734)-1),I734,G734))</x:f>
        <x:v>0.94</x:v>
      </x:c>
      <x:c r="W734" s="604" t="n">
        <x:f>IF(OR(U734="",U734="待结算"),"",IF(U734="红",V734,IF(U734="半红",V734*0.5,IF(U734="走",0,IF(U734="半黑",-0.5,-1)))))</x:f>
        <x:v>0.94</x:v>
      </x:c>
      <x:c r="X734" s="604" t="inlineStr">
        <x:is>
          <x:t xml:space="preserve">2911390</x:t>
        </x:is>
      </x:c>
      <x:c r="Y734" s="604" t="inlineStr">
        <x:is>
          <x:t xml:space="preserve">V4</x:t>
        </x:is>
      </x:c>
      <x:c r="Z734" s="604" t="inlineStr">
        <x:is>
          <x:t xml:space="preserve">prior-2026-10-03-v1</x:t>
        </x:is>
      </x:c>
      <x:c r="AA734" s="604" t="inlineStr">
        <x:is>
          <x:t xml:space="preserve">C</x:t>
        </x:is>
      </x:c>
      <x:c r="AB734" s="604" t="n">
        <x:v>0.3685760972214663</x:v>
      </x:c>
      <x:c r="AC734" s="604" t="n">
        <x:v>0.2552561511629201</x:v>
      </x:c>
      <x:c r="AD734" s="604" t="n"/>
      <x:c r="AE734" s="604" t="n"/>
      <x:c r="AF734" s="604" t="n">
        <x:v>0.3761677516156136</x:v>
      </x:c>
      <x:c r="AG734" s="604" t="n">
        <x:v>0.0009474197146104313</x:v>
      </x:c>
      <x:c r="AH734" s="604" t="n"/>
      <x:c r="AI734" s="604" t="n"/>
      <x:c r="AJ734" s="604" t="n">
        <x:v>0.0009474197146104313</x:v>
      </x:c>
      <x:c r="AK734" s="604" t="n"/>
      <x:c r="AL734" s="604" t="n"/>
      <x:c r="AM734" s="604" t="n"/>
      <x:c r="AN734" s="604" t="inlineStr">
        <x:is>
          <x:t xml:space="preserve">EVALUATED</x:t>
        </x:is>
      </x:c>
      <x:c r="AO734" s="604" t="inlineStr">
        <x:is>
          <x:t xml:space="preserve">EDGE_BELOW_UNCERTAINTY_THRESHOLD、BUCKET_PRIOR_ONLY、INTENT_INTERPRETATION_ONLY、EXPERT_MARKET</x:t>
        </x:is>
      </x:c>
      <x:c r="AP734" s="604" t="inlineStr">
        <x:is>
          <x:t xml:space="preserve">814d5f17caca3446c3d0</x:t>
        </x:is>
      </x:c>
      <x:c r="AQ734" s="604" t="n">
        <x:v>0</x:v>
      </x:c>
      <x:c r="AR734" s="604" t="n"/>
      <x:c r="AS734" s="604" t="n">
        <x:v>0</x:v>
      </x:c>
      <x:c r="AT734" s="604" t="n">
        <x:v>0</x:v>
      </x:c>
      <x:c r="AU734" s="604" t="n">
        <x:v>0.9399999999999999</x:v>
      </x:c>
      <x:c r="AV734" s="604" t="n">
        <x:v>0.76</x:v>
      </x:c>
      <x:c r="AW734" s="604" t="n">
        <x:v>46298.06050486111</x:v>
      </x:c>
      <x:c r="AX734" s="604" t="inlineStr">
        <x:is>
          <x:t xml:space="preserve">https://simondongxiao.github.io/odds/v4/</x:t>
        </x:is>
      </x:c>
      <x:c r="AY734" s="604" t="inlineStr">
        <x:is>
          <x:t xml:space="preserve">V4 Shadow Only；real_money=false；P(EV&gt;0)不是比赛胜率</x:t>
        </x:is>
      </x:c>
    </x:row>
    <x:row r="735" ht="22" customHeight="1">
      <x:c r="A735" s="604" t="inlineStr">
        <x:is>
          <x:t xml:space="preserve">2026-10-03</x:t>
        </x:is>
      </x:c>
      <x:c r="B735" s="604" t="inlineStr">
        <x:is>
          <x:t xml:space="preserve">2026-10-03 21:00</x:t>
        </x:is>
      </x:c>
      <x:c r="C735" s="604" t="str">
        <x:v>五大联赛非顶级联赛</x:v>
      </x:c>
      <x:c r="D735" s="604" t="inlineStr">
        <x:is>
          <x:t xml:space="preserve">联赛</x:t>
        </x:is>
      </x:c>
      <x:c r="E735" s="604" t="inlineStr">
        <x:is>
          <x:t xml:space="preserve">意女甲</x:t>
        </x:is>
      </x:c>
      <x:c r="F735" s="604" t="inlineStr">
        <x:is>
          <x:t xml:space="preserve">佛罗伦萨女足 vs 森索罗女足</x:t>
        </x:is>
      </x:c>
      <x:c r="G735" s="604" t="n">
        <x:v>0.82</x:v>
      </x:c>
      <x:c r="H735" s="604" t="n">
        <x:v>0</x:v>
      </x:c>
      <x:c r="I735" s="604" t="n">
        <x:v>0.88</x:v>
      </x:c>
      <x:c r="J735" s="604" t="inlineStr">
        <x:is>
          <x:t xml:space="preserve">0.82/0/0.88</x:t>
        </x:is>
      </x:c>
      <x:c r="K735" s="604" t="inlineStr">
        <x:is>
          <x:t xml:space="preserve">V4-C｜EV +0.0271</x:t>
        </x:is>
      </x:c>
      <x:c r="L735" s="604" t="str"/>
      <x:c r="M735" s="604" t="n">
        <x:v>0.5694628435724322</x:v>
      </x:c>
      <x:c r="N735" s="604" t="inlineStr">
        <x:is>
          <x:t xml:space="preserve">V4纸面入选-C</x:t>
        </x:is>
      </x:c>
      <x:c r="O735" s="604" t="inlineStr">
        <x:is>
          <x:t xml:space="preserve">2-0</x:t>
        </x:is>
      </x:c>
      <x:c r="P735" s="604" t="inlineStr">
        <x:is>
          <x:t xml:space="preserve">已结算</x:t>
        </x:is>
      </x:c>
      <x:c r="Q735" s="645" t="inlineStr">
        <x:is>
          <x:t xml:space="preserve">红</x:t>
        </x:is>
      </x:c>
      <x:c r="R735" s="604" t="n">
        <x:v>0.88</x:v>
      </x:c>
      <x:c r="S735" s="604" t="n">
        <x:f>IF(OR(Q735="",Q735="待结算"),"",IF(Q735="红",R735,IF(Q735="半红",R735*0.5,IF(Q735="走",0,IF(Q735="半黑",-0.5,-1)))))</x:f>
        <x:v>0.88</x:v>
      </x:c>
      <x:c r="T735" s="604" t="inlineStr">
        <x:is>
          <x:t xml:space="preserve">https://m.titan007.com/analy/Analysis/3042387.htm</x:t>
        </x:is>
      </x:c>
      <x:c r="U735" s="646" t="str">
        <x:f>IF(Q735="","",IF(Q735="待结算","待结算",IF(Q735="红","黑",IF(Q735="半红","半黑",IF(Q735="走","走",IF(Q735="半黑","半红","红"))))))</x:f>
        <x:v>黑</x:v>
      </x:c>
      <x:c r="V735" s="604" t="n">
        <x:f>IF(OR(Q735="",Q735="待结算"),"",IF(L735=LEFT(F735,FIND(" vs ",F735)-1),I735,G735))</x:f>
        <x:v>0.82</x:v>
      </x:c>
      <x:c r="W735" s="604" t="n">
        <x:f>IF(OR(U735="",U735="待结算"),"",IF(U735="红",V735,IF(U735="半红",V735*0.5,IF(U735="走",0,IF(U735="半黑",-0.5,-1)))))</x:f>
        <x:v>-1</x:v>
      </x:c>
      <x:c r="X735" s="604" t="inlineStr">
        <x:is>
          <x:t xml:space="preserve">3042387</x:t>
        </x:is>
      </x:c>
      <x:c r="Y735" s="604" t="inlineStr">
        <x:is>
          <x:t xml:space="preserve">V4</x:t>
        </x:is>
      </x:c>
      <x:c r="Z735" s="604" t="inlineStr">
        <x:is>
          <x:t xml:space="preserve">prior-2026-10-03-v1</x:t>
        </x:is>
      </x:c>
      <x:c r="AA735" s="604" t="inlineStr">
        <x:is>
          <x:t xml:space="preserve">C</x:t>
        </x:is>
      </x:c>
      <x:c r="AB735" s="604" t="n">
        <x:v>0.4236400823679474</x:v>
      </x:c>
      <x:c r="AC735" s="604" t="n"/>
      <x:c r="AD735" s="604" t="n">
        <x:v>0.2560707214709383</x:v>
      </x:c>
      <x:c r="AE735" s="604" t="n"/>
      <x:c r="AF735" s="604" t="n">
        <x:v>0.3202891961611143</x:v>
      </x:c>
      <x:c r="AG735" s="604" t="n">
        <x:v>0.02709567138060254</x:v>
      </x:c>
      <x:c r="AH735" s="604" t="n"/>
      <x:c r="AI735" s="604" t="n"/>
      <x:c r="AJ735" s="604" t="n">
        <x:v>0.02709567138060254</x:v>
      </x:c>
      <x:c r="AK735" s="604" t="n"/>
      <x:c r="AL735" s="604" t="n"/>
      <x:c r="AM735" s="604" t="n"/>
      <x:c r="AN735" s="604" t="inlineStr">
        <x:is>
          <x:t xml:space="preserve">EVALUATED</x:t>
        </x:is>
      </x:c>
      <x:c r="AO735" s="604" t="inlineStr">
        <x:is>
          <x:t xml:space="preserve">EDGE_BELOW_UNCERTAINTY_THRESHOLD、BUCKET_PRIOR_ONLY、INTENT_INTERPRETATION_ONLY、EXPERT_MARKET</x:t>
        </x:is>
      </x:c>
      <x:c r="AP735" s="604" t="inlineStr">
        <x:is>
          <x:t xml:space="preserve">7ce1ec45b7a79cbdf87c</x:t>
        </x:is>
      </x:c>
      <x:c r="AQ735" s="604" t="n">
        <x:v>0</x:v>
      </x:c>
      <x:c r="AR735" s="604" t="n"/>
      <x:c r="AS735" s="604" t="n">
        <x:v>0</x:v>
      </x:c>
      <x:c r="AT735" s="604" t="n">
        <x:v>0</x:v>
      </x:c>
      <x:c r="AU735" s="604" t="n">
        <x:v>0.82</x:v>
      </x:c>
      <x:c r="AV735" s="604" t="n">
        <x:v>0.88</x:v>
      </x:c>
      <x:c r="AW735" s="604" t="n">
        <x:v>46298.06050486111</x:v>
      </x:c>
      <x:c r="AX735" s="604" t="inlineStr">
        <x:is>
          <x:t xml:space="preserve">https://simondongxiao.github.io/odds/v4/</x:t>
        </x:is>
      </x:c>
      <x:c r="AY735" s="604" t="inlineStr">
        <x:is>
          <x:t xml:space="preserve">V4 Shadow Only；real_money=false；P(EV&gt;0)不是比赛胜率</x:t>
        </x:is>
      </x:c>
    </x:row>
    <x:row r="736" ht="22" customHeight="1">
      <x:c r="A736" s="604" t="inlineStr">
        <x:is>
          <x:t xml:space="preserve">2026-10-03</x:t>
        </x:is>
      </x:c>
      <x:c r="B736" s="604" t="inlineStr">
        <x:is>
          <x:t xml:space="preserve">2026-10-03 21:30</x:t>
        </x:is>
      </x:c>
      <x:c r="C736" s="604" t="str">
        <x:v>欧洲非五大系列</x:v>
      </x:c>
      <x:c r="D736" s="604" t="inlineStr">
        <x:is>
          <x:t xml:space="preserve">联赛</x:t>
        </x:is>
      </x:c>
      <x:c r="E736" s="604" t="inlineStr">
        <x:is>
          <x:t xml:space="preserve">威超</x:t>
        </x:is>
      </x:c>
      <x:c r="F736" s="604" t="inlineStr">
        <x:is>
          <x:t xml:space="preserve">空中巴士 vs 特芬琳</x:t>
        </x:is>
      </x:c>
      <x:c r="G736" s="604" t="n">
        <x:v>0.7</x:v>
      </x:c>
      <x:c r="H736" s="604" t="n">
        <x:v>0</x:v>
      </x:c>
      <x:c r="I736" s="604" t="n">
        <x:v>1.06</x:v>
      </x:c>
      <x:c r="J736" s="604" t="inlineStr">
        <x:is>
          <x:t xml:space="preserve">0.7/0/1.06</x:t>
        </x:is>
      </x:c>
      <x:c r="K736" s="604" t="inlineStr">
        <x:is>
          <x:t xml:space="preserve">V4-C｜EV +0.0176</x:t>
        </x:is>
      </x:c>
      <x:c r="L736" s="604" t="str"/>
      <x:c r="M736" s="604" t="n">
        <x:v>0.6020940809720886</x:v>
      </x:c>
      <x:c r="N736" s="604" t="inlineStr">
        <x:is>
          <x:t xml:space="preserve">V4纸面入选-C</x:t>
        </x:is>
      </x:c>
      <x:c r="O736" s="604" t="inlineStr">
        <x:is>
          <x:t xml:space="preserve">3-0</x:t>
        </x:is>
      </x:c>
      <x:c r="P736" s="604" t="inlineStr">
        <x:is>
          <x:t xml:space="preserve">已结算</x:t>
        </x:is>
      </x:c>
      <x:c r="Q736" s="645" t="inlineStr">
        <x:is>
          <x:t xml:space="preserve">红</x:t>
        </x:is>
      </x:c>
      <x:c r="R736" s="604" t="n">
        <x:v>1.06</x:v>
      </x:c>
      <x:c r="S736" s="604" t="n">
        <x:f>IF(OR(Q736="",Q736="待结算"),"",IF(Q736="红",R736,IF(Q736="半红",R736*0.5,IF(Q736="走",0,IF(Q736="半黑",-0.5,-1)))))</x:f>
        <x:v>1.06</x:v>
      </x:c>
      <x:c r="T736" s="604" t="inlineStr">
        <x:is>
          <x:t xml:space="preserve">https://m.titan007.com/analy/Analysis/3019545.htm</x:t>
        </x:is>
      </x:c>
      <x:c r="U736" s="646" t="str">
        <x:f>IF(Q736="","",IF(Q736="待结算","待结算",IF(Q736="红","黑",IF(Q736="半红","半黑",IF(Q736="走","走",IF(Q736="半黑","半红","红"))))))</x:f>
        <x:v>黑</x:v>
      </x:c>
      <x:c r="V736" s="604" t="n">
        <x:f>IF(OR(Q736="",Q736="待结算"),"",IF(L736=LEFT(F736,FIND(" vs ",F736)-1),I736,G736))</x:f>
        <x:v>0.7</x:v>
      </x:c>
      <x:c r="W736" s="604" t="n">
        <x:f>IF(OR(U736="",U736="待结算"),"",IF(U736="红",V736,IF(U736="半红",V736*0.5,IF(U736="走",0,IF(U736="半黑",-0.5,-1)))))</x:f>
        <x:v>-1</x:v>
      </x:c>
      <x:c r="X736" s="604" t="inlineStr">
        <x:is>
          <x:t xml:space="preserve">3019545</x:t>
        </x:is>
      </x:c>
      <x:c r="Y736" s="604" t="inlineStr">
        <x:is>
          <x:t xml:space="preserve">V4</x:t>
        </x:is>
      </x:c>
      <x:c r="Z736" s="604" t="inlineStr">
        <x:is>
          <x:t xml:space="preserve">prior-2026-10-03-v1</x:t>
        </x:is>
      </x:c>
      <x:c r="AA736" s="604" t="inlineStr">
        <x:is>
          <x:t xml:space="preserve">C</x:t>
        </x:is>
      </x:c>
      <x:c r="AB736" s="604" t="n">
        <x:v>0.4492465862209565</x:v>
      </x:c>
      <x:c r="AC736" s="604" t="n"/>
      <x:c r="AD736" s="604" t="n">
        <x:v>0.2538598195557044</x:v>
      </x:c>
      <x:c r="AE736" s="604" t="n"/>
      <x:c r="AF736" s="604" t="n">
        <x:v>0.2968935942233391</x:v>
      </x:c>
      <x:c r="AG736" s="604" t="n">
        <x:v>0.01757901613133039</x:v>
      </x:c>
      <x:c r="AH736" s="604" t="n"/>
      <x:c r="AI736" s="604" t="n"/>
      <x:c r="AJ736" s="604" t="n">
        <x:v>0.01757901613133039</x:v>
      </x:c>
      <x:c r="AK736" s="604" t="n"/>
      <x:c r="AL736" s="604" t="n"/>
      <x:c r="AM736" s="604" t="n"/>
      <x:c r="AN736" s="604" t="inlineStr">
        <x:is>
          <x:t xml:space="preserve">EVALUATED</x:t>
        </x:is>
      </x:c>
      <x:c r="AO736" s="604" t="inlineStr">
        <x:is>
          <x:t xml:space="preserve">EDGE_BELOW_UNCERTAINTY_THRESHOLD、BUCKET_PRIOR_ONLY、INTENT_INTERPRETATION_ONLY、EXPERT_MARKET</x:t>
        </x:is>
      </x:c>
      <x:c r="AP736" s="604" t="inlineStr">
        <x:is>
          <x:t xml:space="preserve">61f16bf2c6338595e398</x:t>
        </x:is>
      </x:c>
      <x:c r="AQ736" s="604" t="n">
        <x:v>0</x:v>
      </x:c>
      <x:c r="AR736" s="604" t="n"/>
      <x:c r="AS736" s="604" t="n">
        <x:v>0</x:v>
      </x:c>
      <x:c r="AT736" s="604" t="n">
        <x:v>0</x:v>
      </x:c>
      <x:c r="AU736" s="604" t="n">
        <x:v>0.7</x:v>
      </x:c>
      <x:c r="AV736" s="604" t="n">
        <x:v>1.06</x:v>
      </x:c>
      <x:c r="AW736" s="604" t="n">
        <x:v>46298.06050486111</x:v>
      </x:c>
      <x:c r="AX736" s="604" t="inlineStr">
        <x:is>
          <x:t xml:space="preserve">https://simondongxiao.github.io/odds/v4/</x:t>
        </x:is>
      </x:c>
      <x:c r="AY736" s="604" t="inlineStr">
        <x:is>
          <x:t xml:space="preserve">V4 Shadow Only；real_money=false；P(EV&gt;0)不是比赛胜率</x:t>
        </x:is>
      </x:c>
    </x:row>
    <x:row r="737" ht="22" customHeight="1">
      <x:c r="A737" s="604" t="inlineStr">
        <x:is>
          <x:t xml:space="preserve">2026-10-03</x:t>
        </x:is>
      </x:c>
      <x:c r="B737" s="604" t="inlineStr">
        <x:is>
          <x:t xml:space="preserve">2026-10-03 21:55</x:t>
        </x:is>
      </x:c>
      <x:c r="C737" s="604" t="str">
        <x:v>南美系列</x:v>
      </x:c>
      <x:c r="D737" s="604" t="inlineStr">
        <x:is>
          <x:t xml:space="preserve">联赛</x:t>
        </x:is>
      </x:c>
      <x:c r="E737" s="604" t="inlineStr">
        <x:is>
          <x:t xml:space="preserve">乌拉甲秋</x:t>
        </x:is>
      </x:c>
      <x:c r="F737" s="604" t="inlineStr">
        <x:is>
          <x:t xml:space="preserve">利物浦蒙特维多 vs 普罗格雷索俱乐部</x:t>
        </x:is>
      </x:c>
      <x:c r="G737" s="604" t="n">
        <x:v>0.85</x:v>
      </x:c>
      <x:c r="H737" s="604" t="n">
        <x:v>0.75</x:v>
      </x:c>
      <x:c r="I737" s="604" t="n">
        <x:v>0.85</x:v>
      </x:c>
      <x:c r="J737" s="604" t="inlineStr">
        <x:is>
          <x:t xml:space="preserve">0.85/0.75/0.85</x:t>
        </x:is>
      </x:c>
      <x:c r="K737" s="604" t="inlineStr">
        <x:is>
          <x:t xml:space="preserve">V4-B｜EV +0.0972</x:t>
        </x:is>
      </x:c>
      <x:c r="L737" s="604" t="inlineStr">
        <x:is>
          <x:t xml:space="preserve">利物浦蒙特维多</x:t>
        </x:is>
      </x:c>
      <x:c r="M737" s="604" t="n">
        <x:v>0.6008016202495952</x:v>
      </x:c>
      <x:c r="N737" s="604" t="inlineStr">
        <x:is>
          <x:t xml:space="preserve">V4纸面入选-B</x:t>
        </x:is>
      </x:c>
      <x:c r="O737" s="604" t="inlineStr">
        <x:is>
          <x:t xml:space="preserve">3-2</x:t>
        </x:is>
      </x:c>
      <x:c r="P737" s="604" t="inlineStr">
        <x:is>
          <x:t xml:space="preserve">已结算</x:t>
        </x:is>
      </x:c>
      <x:c r="Q737" s="649" t="inlineStr">
        <x:is>
          <x:t xml:space="preserve">半红</x:t>
        </x:is>
      </x:c>
      <x:c r="R737" s="604" t="n">
        <x:v>0.85</x:v>
      </x:c>
      <x:c r="S737" s="604" t="n">
        <x:f>IF(OR(Q737="",Q737="待结算"),"",IF(Q737="红",R737,IF(Q737="半红",R737*0.5,IF(Q737="走",0,IF(Q737="半黑",-0.5,-1)))))</x:f>
        <x:v>0.425</x:v>
      </x:c>
      <x:c r="T737" s="604" t="inlineStr">
        <x:is>
          <x:t xml:space="preserve">https://m.titan007.com/analy/Analysis/3094914.htm</x:t>
        </x:is>
      </x:c>
      <x:c r="U737" s="648" t="str">
        <x:f>IF(Q737="","",IF(Q737="待结算","待结算",IF(Q737="红","黑",IF(Q737="半红","半黑",IF(Q737="走","走",IF(Q737="半黑","半红","红"))))))</x:f>
        <x:v>半黑</x:v>
      </x:c>
      <x:c r="V737" s="604" t="n">
        <x:f>IF(OR(Q737="",Q737="待结算"),"",IF(L737=LEFT(F737,FIND(" vs ",F737)-1),I737,G737))</x:f>
        <x:v>0.85</x:v>
      </x:c>
      <x:c r="W737" s="604" t="n">
        <x:f>IF(OR(U737="",U737="待结算"),"",IF(U737="红",V737,IF(U737="半红",V737*0.5,IF(U737="走",0,IF(U737="半黑",-0.5,-1)))))</x:f>
        <x:v>-0.5</x:v>
      </x:c>
      <x:c r="X737" s="604" t="inlineStr">
        <x:is>
          <x:t xml:space="preserve">3094914</x:t>
        </x:is>
      </x:c>
      <x:c r="Y737" s="604" t="inlineStr">
        <x:is>
          <x:t xml:space="preserve">V4</x:t>
        </x:is>
      </x:c>
      <x:c r="Z737" s="604" t="inlineStr">
        <x:is>
          <x:t xml:space="preserve">prior-2026-10-03-v1</x:t>
        </x:is>
      </x:c>
      <x:c r="AA737" s="604" t="inlineStr">
        <x:is>
          <x:t xml:space="preserve">B</x:t>
        </x:is>
      </x:c>
      <x:c r="AB737" s="604" t="n">
        <x:v>0.3951110845603807</x:v>
      </x:c>
      <x:c r="AC737" s="604" t="n">
        <x:v>0.2569844171661239</x:v>
      </x:c>
      <x:c r="AD737" s="604" t="n"/>
      <x:c r="AE737" s="604" t="n"/>
      <x:c r="AF737" s="604" t="n">
        <x:v>0.3479044982734955</x:v>
      </x:c>
      <x:c r="AG737" s="604" t="n">
        <x:v>0.09715830089843069</x:v>
      </x:c>
      <x:c r="AH737" s="604" t="n"/>
      <x:c r="AI737" s="604" t="n"/>
      <x:c r="AJ737" s="604" t="n">
        <x:v>0.09715830089843069</x:v>
      </x:c>
      <x:c r="AK737" s="604" t="n"/>
      <x:c r="AL737" s="604" t="n"/>
      <x:c r="AM737" s="604" t="n"/>
      <x:c r="AN737" s="604" t="inlineStr">
        <x:is>
          <x:t xml:space="preserve">EVALUATED</x:t>
        </x:is>
      </x:c>
      <x:c r="AO737" s="604" t="inlineStr">
        <x:is>
          <x:t xml:space="preserve">GIVING_VALIDATED_EDGE、BUCKET_PRIOR_ONLY、INTENT_INTERPRETATION_ONLY、EXPERT_MARKET</x:t>
        </x:is>
      </x:c>
      <x:c r="AP737" s="604" t="inlineStr">
        <x:is>
          <x:t xml:space="preserve">32846353db41522ce2ad</x:t>
        </x:is>
      </x:c>
      <x:c r="AQ737" s="604" t="n">
        <x:v>-0.75</x:v>
      </x:c>
      <x:c r="AR737" s="604" t="n">
        <x:v>0.85</x:v>
      </x:c>
      <x:c r="AS737" s="604" t="n">
        <x:v>0.75</x:v>
      </x:c>
      <x:c r="AT737" s="604" t="n">
        <x:v>-0.75</x:v>
      </x:c>
      <x:c r="AU737" s="604" t="n">
        <x:v>0.85</x:v>
      </x:c>
      <x:c r="AV737" s="604" t="n">
        <x:v>0.85</x:v>
      </x:c>
      <x:c r="AW737" s="604" t="n">
        <x:v>46298.06050486111</x:v>
      </x:c>
      <x:c r="AX737" s="604" t="inlineStr">
        <x:is>
          <x:t xml:space="preserve">https://simondongxiao.github.io/odds/v4/</x:t>
        </x:is>
      </x:c>
      <x:c r="AY737" s="604" t="inlineStr">
        <x:is>
          <x:t xml:space="preserve">V4 Shadow Only；real_money=false；P(EV&gt;0)不是比赛胜率</x:t>
        </x:is>
      </x:c>
    </x:row>
    <x:row r="738" ht="22" customHeight="1">
      <x:c r="A738" s="604" t="inlineStr">
        <x:is>
          <x:t xml:space="preserve">2026-10-03</x:t>
        </x:is>
      </x:c>
      <x:c r="B738" s="604" t="inlineStr">
        <x:is>
          <x:t xml:space="preserve">2026-10-03 22:00</x:t>
        </x:is>
      </x:c>
      <x:c r="C738" s="604" t="str">
        <x:v>五大联赛非顶级联赛</x:v>
      </x:c>
      <x:c r="D738" s="604" t="inlineStr">
        <x:is>
          <x:t xml:space="preserve">联赛</x:t>
        </x:is>
      </x:c>
      <x:c r="E738" s="604" t="inlineStr">
        <x:is>
          <x:t xml:space="preserve">英甲</x:t>
        </x:is>
      </x:c>
      <x:c r="F738" s="604" t="inlineStr">
        <x:is>
          <x:t xml:space="preserve">伯顿 vs 哈德斯菲尔德</x:t>
        </x:is>
      </x:c>
      <x:c r="G738" s="604" t="n">
        <x:v>0.93</x:v>
      </x:c>
      <x:c r="H738" s="604" t="n">
        <x:v>-0.5</x:v>
      </x:c>
      <x:c r="I738" s="604" t="n">
        <x:v>0.89</x:v>
      </x:c>
      <x:c r="J738" s="604" t="inlineStr">
        <x:is>
          <x:t xml:space="preserve">0.93/-0.5/0.89</x:t>
        </x:is>
      </x:c>
      <x:c r="K738" s="604" t="inlineStr">
        <x:is>
          <x:t xml:space="preserve">V4-B｜EV +0.0747</x:t>
        </x:is>
      </x:c>
      <x:c r="L738" s="604" t="inlineStr">
        <x:is>
          <x:t xml:space="preserve">哈德斯菲尔德</x:t>
        </x:is>
      </x:c>
      <x:c r="M738" s="604" t="n">
        <x:v>0.5686136713816158</x:v>
      </x:c>
      <x:c r="N738" s="604" t="inlineStr">
        <x:is>
          <x:t xml:space="preserve">V4纸面入选-B</x:t>
        </x:is>
      </x:c>
      <x:c r="O738" s="604" t="inlineStr">
        <x:is>
          <x:t xml:space="preserve">1-3</x:t>
        </x:is>
      </x:c>
      <x:c r="P738" s="604" t="inlineStr">
        <x:is>
          <x:t xml:space="preserve">已结算</x:t>
        </x:is>
      </x:c>
      <x:c r="Q738" s="646" t="inlineStr">
        <x:is>
          <x:t xml:space="preserve">黑</x:t>
        </x:is>
      </x:c>
      <x:c r="R738" s="604" t="n">
        <x:v>0.89</x:v>
      </x:c>
      <x:c r="S738" s="604" t="n">
        <x:f>IF(OR(Q738="",Q738="待结算"),"",IF(Q738="红",R738,IF(Q738="半红",R738*0.5,IF(Q738="走",0,IF(Q738="半黑",-0.5,-1)))))</x:f>
        <x:v>-1</x:v>
      </x:c>
      <x:c r="T738" s="604" t="inlineStr">
        <x:is>
          <x:t xml:space="preserve">https://m.titan007.com/analy/Analysis/3007131.htm</x:t>
        </x:is>
      </x:c>
      <x:c r="U738" s="645" t="str">
        <x:f>IF(Q738="","",IF(Q738="待结算","待结算",IF(Q738="红","黑",IF(Q738="半红","半黑",IF(Q738="走","走",IF(Q738="半黑","半红","红"))))))</x:f>
        <x:v>红</x:v>
      </x:c>
      <x:c r="V738" s="604" t="n">
        <x:f>IF(OR(Q738="",Q738="待结算"),"",IF(L738=LEFT(F738,FIND(" vs ",F738)-1),I738,G738))</x:f>
        <x:v>0.93</x:v>
      </x:c>
      <x:c r="W738" s="604" t="n">
        <x:f>IF(OR(U738="",U738="待结算"),"",IF(U738="红",V738,IF(U738="半红",V738*0.5,IF(U738="走",0,IF(U738="半黑",-0.5,-1)))))</x:f>
        <x:v>0.93</x:v>
      </x:c>
      <x:c r="X738" s="604" t="inlineStr">
        <x:is>
          <x:t xml:space="preserve">3007131</x:t>
        </x:is>
      </x:c>
      <x:c r="Y738" s="604" t="inlineStr">
        <x:is>
          <x:t xml:space="preserve">V4</x:t>
        </x:is>
      </x:c>
      <x:c r="Z738" s="604" t="inlineStr">
        <x:is>
          <x:t xml:space="preserve">prior-2026-10-03-v1</x:t>
        </x:is>
      </x:c>
      <x:c r="AA738" s="604" t="inlineStr">
        <x:is>
          <x:t xml:space="preserve">B</x:t>
        </x:is>
      </x:c>
      <x:c r="AB738" s="604" t="n">
        <x:v>0.5686136713816158</x:v>
      </x:c>
      <x:c r="AC738" s="604" t="n"/>
      <x:c r="AD738" s="604" t="n"/>
      <x:c r="AE738" s="604" t="n"/>
      <x:c r="AF738" s="604" t="n">
        <x:v>0.4313863286183842</x:v>
      </x:c>
      <x:c r="AG738" s="604" t="n">
        <x:v>0.07467983891125385</x:v>
      </x:c>
      <x:c r="AH738" s="604" t="n"/>
      <x:c r="AI738" s="604" t="n"/>
      <x:c r="AJ738" s="604" t="n">
        <x:v>0.07467983891125385</x:v>
      </x:c>
      <x:c r="AK738" s="604" t="n"/>
      <x:c r="AL738" s="604" t="n"/>
      <x:c r="AM738" s="604" t="n"/>
      <x:c r="AN738" s="604" t="inlineStr">
        <x:is>
          <x:t xml:space="preserve">EVALUATED</x:t>
        </x:is>
      </x:c>
      <x:c r="AO738" s="604" t="inlineStr">
        <x:is>
          <x:t xml:space="preserve">GIVING_VALIDATED_EDGE、BUCKET_PRIOR_ONLY、INTENT_INTERPRETATION_ONLY、EXPERT_MARKET</x:t>
        </x:is>
      </x:c>
      <x:c r="AP738" s="604" t="inlineStr">
        <x:is>
          <x:t xml:space="preserve">6fee8609faee746e1c62</x:t>
        </x:is>
      </x:c>
      <x:c r="AQ738" s="604" t="n">
        <x:v>-0.5</x:v>
      </x:c>
      <x:c r="AR738" s="604" t="n">
        <x:v>0.89</x:v>
      </x:c>
      <x:c r="AS738" s="604" t="n">
        <x:v>-0.5</x:v>
      </x:c>
      <x:c r="AT738" s="604" t="n">
        <x:v>0.5</x:v>
      </x:c>
      <x:c r="AU738" s="604" t="n">
        <x:v>0.93</x:v>
      </x:c>
      <x:c r="AV738" s="604" t="n">
        <x:v>0.89</x:v>
      </x:c>
      <x:c r="AW738" s="604" t="n">
        <x:v>46298.06050486111</x:v>
      </x:c>
      <x:c r="AX738" s="604" t="inlineStr">
        <x:is>
          <x:t xml:space="preserve">https://simondongxiao.github.io/odds/v4/</x:t>
        </x:is>
      </x:c>
      <x:c r="AY738" s="604" t="inlineStr">
        <x:is>
          <x:t xml:space="preserve">V4 Shadow Only；real_money=false；P(EV&gt;0)不是比赛胜率</x:t>
        </x:is>
      </x:c>
    </x:row>
    <x:row r="739" ht="22" customHeight="1">
      <x:c r="A739" s="604" t="inlineStr">
        <x:is>
          <x:t xml:space="preserve">2026-10-03</x:t>
        </x:is>
      </x:c>
      <x:c r="B739" s="604" t="inlineStr">
        <x:is>
          <x:t xml:space="preserve">2026-10-03 22:00</x:t>
        </x:is>
      </x:c>
      <x:c r="C739" s="604" t="str">
        <x:v>五大联赛非顶级联赛</x:v>
      </x:c>
      <x:c r="D739" s="604" t="inlineStr">
        <x:is>
          <x:t xml:space="preserve">联赛</x:t>
        </x:is>
      </x:c>
      <x:c r="E739" s="604" t="inlineStr">
        <x:is>
          <x:t xml:space="preserve">英甲</x:t>
        </x:is>
      </x:c>
      <x:c r="F739" s="604" t="inlineStr">
        <x:is>
          <x:t xml:space="preserve">雷丁 vs 布拉德福德</x:t>
        </x:is>
      </x:c>
      <x:c r="G739" s="604" t="n">
        <x:v>0.91</x:v>
      </x:c>
      <x:c r="H739" s="604" t="n">
        <x:v>0</x:v>
      </x:c>
      <x:c r="I739" s="604" t="n">
        <x:v>0.91</x:v>
      </x:c>
      <x:c r="J739" s="604" t="inlineStr">
        <x:is>
          <x:t xml:space="preserve">0.91/0/0.91</x:t>
        </x:is>
      </x:c>
      <x:c r="K739" s="604" t="inlineStr">
        <x:is>
          <x:t xml:space="preserve">V4-C｜EV +0.0071</x:t>
        </x:is>
      </x:c>
      <x:c r="L739" s="604" t="str"/>
      <x:c r="M739" s="604" t="n">
        <x:v>0.5278458403987625</x:v>
      </x:c>
      <x:c r="N739" s="604" t="inlineStr">
        <x:is>
          <x:t xml:space="preserve">V4纸面入选-C</x:t>
        </x:is>
      </x:c>
      <x:c r="O739" s="604" t="inlineStr">
        <x:is>
          <x:t xml:space="preserve">1-1</x:t>
        </x:is>
      </x:c>
      <x:c r="P739" s="604" t="inlineStr">
        <x:is>
          <x:t xml:space="preserve">已结算</x:t>
        </x:is>
      </x:c>
      <x:c r="Q739" s="647" t="inlineStr">
        <x:is>
          <x:t xml:space="preserve">走</x:t>
        </x:is>
      </x:c>
      <x:c r="R739" s="604" t="n">
        <x:v>0.91</x:v>
      </x:c>
      <x:c r="S739" s="604" t="n">
        <x:f>IF(OR(Q739="",Q739="待结算"),"",IF(Q739="红",R739,IF(Q739="半红",R739*0.5,IF(Q739="走",0,IF(Q739="半黑",-0.5,-1)))))</x:f>
        <x:v>0</x:v>
      </x:c>
      <x:c r="T739" s="604" t="inlineStr">
        <x:is>
          <x:t xml:space="preserve">https://m.titan007.com/analy/Analysis/3007136.htm</x:t>
        </x:is>
      </x:c>
      <x:c r="U739" s="647" t="str">
        <x:f>IF(Q739="","",IF(Q739="待结算","待结算",IF(Q739="红","黑",IF(Q739="半红","半黑",IF(Q739="走","走",IF(Q739="半黑","半红","红"))))))</x:f>
        <x:v>走</x:v>
      </x:c>
      <x:c r="V739" s="604" t="n">
        <x:f>IF(OR(Q739="",Q739="待结算"),"",IF(L739=LEFT(F739,FIND(" vs ",F739)-1),I739,G739))</x:f>
        <x:v>0.91</x:v>
      </x:c>
      <x:c r="W739" s="604" t="n">
        <x:f>IF(OR(U739="",U739="待结算"),"",IF(U739="红",V739,IF(U739="半红",V739*0.5,IF(U739="走",0,IF(U739="半黑",-0.5,-1)))))</x:f>
        <x:v>0</x:v>
      </x:c>
      <x:c r="X739" s="604" t="inlineStr">
        <x:is>
          <x:t xml:space="preserve">3007136</x:t>
        </x:is>
      </x:c>
      <x:c r="Y739" s="604" t="inlineStr">
        <x:is>
          <x:t xml:space="preserve">V4</x:t>
        </x:is>
      </x:c>
      <x:c r="Z739" s="604" t="inlineStr">
        <x:is>
          <x:t xml:space="preserve">prior-2026-10-03-v1</x:t>
        </x:is>
      </x:c>
      <x:c r="AA739" s="604" t="inlineStr">
        <x:is>
          <x:t xml:space="preserve">C</x:t>
        </x:is>
      </x:c>
      <x:c r="AB739" s="604" t="n">
        <x:v>0.4594426674136985</x:v>
      </x:c>
      <x:c r="AC739" s="604" t="n"/>
      <x:c r="AD739" s="604" t="n"/>
      <x:c r="AE739" s="604" t="n">
        <x:v>0.2591786000753125</x:v>
      </x:c>
      <x:c r="AF739" s="604" t="n">
        <x:v>0.2813787325109891</x:v>
      </x:c>
      <x:c r="AG739" s="604" t="n">
        <x:v>0.0071247947978203</x:v>
      </x:c>
      <x:c r="AH739" s="604" t="n"/>
      <x:c r="AI739" s="604" t="n"/>
      <x:c r="AJ739" s="604" t="n">
        <x:v>0.0071247947978203</x:v>
      </x:c>
      <x:c r="AK739" s="604" t="n"/>
      <x:c r="AL739" s="604" t="n"/>
      <x:c r="AM739" s="604" t="n"/>
      <x:c r="AN739" s="604" t="inlineStr">
        <x:is>
          <x:t xml:space="preserve">EVALUATED</x:t>
        </x:is>
      </x:c>
      <x:c r="AO739" s="604" t="inlineStr">
        <x:is>
          <x:t xml:space="preserve">EDGE_BELOW_UNCERTAINTY_THRESHOLD、BUCKET_PRIOR_ONLY、INTENT_INTERPRETATION_ONLY、EXPERT_MARKET</x:t>
        </x:is>
      </x:c>
      <x:c r="AP739" s="604" t="inlineStr">
        <x:is>
          <x:t xml:space="preserve">5346389c53b22a3764ba</x:t>
        </x:is>
      </x:c>
      <x:c r="AQ739" s="604" t="n">
        <x:v>0</x:v>
      </x:c>
      <x:c r="AR739" s="604" t="n"/>
      <x:c r="AS739" s="604" t="n">
        <x:v>0</x:v>
      </x:c>
      <x:c r="AT739" s="604" t="n">
        <x:v>0</x:v>
      </x:c>
      <x:c r="AU739" s="604" t="n">
        <x:v>0.91</x:v>
      </x:c>
      <x:c r="AV739" s="604" t="n">
        <x:v>0.91</x:v>
      </x:c>
      <x:c r="AW739" s="604" t="n">
        <x:v>46298.06050486111</x:v>
      </x:c>
      <x:c r="AX739" s="604" t="inlineStr">
        <x:is>
          <x:t xml:space="preserve">https://simondongxiao.github.io/odds/v4/</x:t>
        </x:is>
      </x:c>
      <x:c r="AY739" s="604" t="inlineStr">
        <x:is>
          <x:t xml:space="preserve">V4 Shadow Only；real_money=false；P(EV&gt;0)不是比赛胜率</x:t>
        </x:is>
      </x:c>
    </x:row>
    <x:row r="740" ht="22" customHeight="1">
      <x:c r="A740" s="604" t="inlineStr">
        <x:is>
          <x:t xml:space="preserve">2026-10-03</x:t>
        </x:is>
      </x:c>
      <x:c r="B740" s="604" t="inlineStr">
        <x:is>
          <x:t xml:space="preserve">2026-10-03 22:00</x:t>
        </x:is>
      </x:c>
      <x:c r="C740" s="604" t="str">
        <x:v>五大联赛非顶级联赛</x:v>
      </x:c>
      <x:c r="D740" s="604" t="inlineStr">
        <x:is>
          <x:t xml:space="preserve">联赛</x:t>
        </x:is>
      </x:c>
      <x:c r="E740" s="604" t="inlineStr">
        <x:is>
          <x:t xml:space="preserve">英乙</x:t>
        </x:is>
      </x:c>
      <x:c r="F740" s="604" t="inlineStr">
        <x:is>
          <x:t xml:space="preserve">阿克灵顿 vs 切尔滕汉姆</x:t>
        </x:is>
      </x:c>
      <x:c r="G740" s="604" t="n">
        <x:v>0.96</x:v>
      </x:c>
      <x:c r="H740" s="604" t="n">
        <x:v>0</x:v>
      </x:c>
      <x:c r="I740" s="604" t="n">
        <x:v>0.8</x:v>
      </x:c>
      <x:c r="J740" s="604" t="inlineStr">
        <x:is>
          <x:t xml:space="preserve">0.96/0/0.8</x:t>
        </x:is>
      </x:c>
      <x:c r="K740" s="604" t="inlineStr">
        <x:is>
          <x:t xml:space="preserve">V4-C｜EV +0.0110</x:t>
        </x:is>
      </x:c>
      <x:c r="L740" s="604" t="str"/>
      <x:c r="M740" s="604" t="n">
        <x:v>0.5166668940300357</x:v>
      </x:c>
      <x:c r="N740" s="604" t="inlineStr">
        <x:is>
          <x:t xml:space="preserve">V4纸面入选-C</x:t>
        </x:is>
      </x:c>
      <x:c r="O740" s="604" t="inlineStr">
        <x:is>
          <x:t xml:space="preserve">2-0</x:t>
        </x:is>
      </x:c>
      <x:c r="P740" s="604" t="inlineStr">
        <x:is>
          <x:t xml:space="preserve">已结算</x:t>
        </x:is>
      </x:c>
      <x:c r="Q740" s="645" t="inlineStr">
        <x:is>
          <x:t xml:space="preserve">红</x:t>
        </x:is>
      </x:c>
      <x:c r="R740" s="604" t="n">
        <x:v>0.8</x:v>
      </x:c>
      <x:c r="S740" s="604" t="n">
        <x:f>IF(OR(Q740="",Q740="待结算"),"",IF(Q740="红",R740,IF(Q740="半红",R740*0.5,IF(Q740="走",0,IF(Q740="半黑",-0.5,-1)))))</x:f>
        <x:v>0.8</x:v>
      </x:c>
      <x:c r="T740" s="604" t="inlineStr">
        <x:is>
          <x:t xml:space="preserve">https://m.titan007.com/analy/Analysis/3007686.htm</x:t>
        </x:is>
      </x:c>
      <x:c r="U740" s="646" t="str">
        <x:f>IF(Q740="","",IF(Q740="待结算","待结算",IF(Q740="红","黑",IF(Q740="半红","半黑",IF(Q740="走","走",IF(Q740="半黑","半红","红"))))))</x:f>
        <x:v>黑</x:v>
      </x:c>
      <x:c r="V740" s="604" t="n">
        <x:f>IF(OR(Q740="",Q740="待结算"),"",IF(L740=LEFT(F740,FIND(" vs ",F740)-1),I740,G740))</x:f>
        <x:v>0.96</x:v>
      </x:c>
      <x:c r="W740" s="604" t="n">
        <x:f>IF(OR(U740="",U740="待结算"),"",IF(U740="红",V740,IF(U740="半红",V740*0.5,IF(U740="走",0,IF(U740="半黑",-0.5,-1)))))</x:f>
        <x:v>-1</x:v>
      </x:c>
      <x:c r="X740" s="604" t="inlineStr">
        <x:is>
          <x:t xml:space="preserve">3007686</x:t>
        </x:is>
      </x:c>
      <x:c r="Y740" s="604" t="inlineStr">
        <x:is>
          <x:t xml:space="preserve">V4</x:t>
        </x:is>
      </x:c>
      <x:c r="Z740" s="604" t="inlineStr">
        <x:is>
          <x:t xml:space="preserve">prior-2026-10-03-v1</x:t>
        </x:is>
      </x:c>
      <x:c r="AA740" s="604" t="inlineStr">
        <x:is>
          <x:t xml:space="preserve">C</x:t>
        </x:is>
      </x:c>
      <x:c r="AB740" s="604" t="n">
        <x:v>0.4496991159618205</x:v>
      </x:c>
      <x:c r="AC740" s="604" t="n"/>
      <x:c r="AD740" s="604" t="n"/>
      <x:c r="AE740" s="604" t="n">
        <x:v>0.2592299945748882</x:v>
      </x:c>
      <x:c r="AF740" s="604" t="n">
        <x:v>0.2910708894632913</x:v>
      </x:c>
      <x:c r="AG740" s="604" t="n">
        <x:v>0.01102526457261221</x:v>
      </x:c>
      <x:c r="AH740" s="604" t="n"/>
      <x:c r="AI740" s="604" t="n"/>
      <x:c r="AJ740" s="604" t="n">
        <x:v>0.01102526457261221</x:v>
      </x:c>
      <x:c r="AK740" s="604" t="n"/>
      <x:c r="AL740" s="604" t="n"/>
      <x:c r="AM740" s="604" t="n"/>
      <x:c r="AN740" s="604" t="inlineStr">
        <x:is>
          <x:t xml:space="preserve">EVALUATED</x:t>
        </x:is>
      </x:c>
      <x:c r="AO740" s="604" t="inlineStr">
        <x:is>
          <x:t xml:space="preserve">EDGE_BELOW_UNCERTAINTY_THRESHOLD、BUCKET_PRIOR_ONLY、INTENT_INTERPRETATION_ONLY、EXPERT_MARKET</x:t>
        </x:is>
      </x:c>
      <x:c r="AP740" s="604" t="inlineStr">
        <x:is>
          <x:t xml:space="preserve">793b86f71198c7939fe3</x:t>
        </x:is>
      </x:c>
      <x:c r="AQ740" s="604" t="n">
        <x:v>0</x:v>
      </x:c>
      <x:c r="AR740" s="604" t="n"/>
      <x:c r="AS740" s="604" t="n">
        <x:v>0</x:v>
      </x:c>
      <x:c r="AT740" s="604" t="n">
        <x:v>0</x:v>
      </x:c>
      <x:c r="AU740" s="604" t="n">
        <x:v>0.96</x:v>
      </x:c>
      <x:c r="AV740" s="604" t="n">
        <x:v>0.8</x:v>
      </x:c>
      <x:c r="AW740" s="604" t="n">
        <x:v>46298.06050486111</x:v>
      </x:c>
      <x:c r="AX740" s="604" t="inlineStr">
        <x:is>
          <x:t xml:space="preserve">https://simondongxiao.github.io/odds/v4/</x:t>
        </x:is>
      </x:c>
      <x:c r="AY740" s="604" t="inlineStr">
        <x:is>
          <x:t xml:space="preserve">V4 Shadow Only；real_money=false；P(EV&gt;0)不是比赛胜率</x:t>
        </x:is>
      </x:c>
    </x:row>
    <x:row r="741" ht="22" customHeight="1">
      <x:c r="A741" s="604" t="inlineStr">
        <x:is>
          <x:t xml:space="preserve">2026-10-03</x:t>
        </x:is>
      </x:c>
      <x:c r="B741" s="604" t="inlineStr">
        <x:is>
          <x:t xml:space="preserve">2026-10-03 22:00</x:t>
        </x:is>
      </x:c>
      <x:c r="C741" s="604" t="str">
        <x:v>五大联赛非顶级联赛</x:v>
      </x:c>
      <x:c r="D741" s="604" t="inlineStr">
        <x:is>
          <x:t xml:space="preserve">联赛</x:t>
        </x:is>
      </x:c>
      <x:c r="E741" s="604" t="inlineStr">
        <x:is>
          <x:t xml:space="preserve">英乙</x:t>
        </x:is>
      </x:c>
      <x:c r="F741" s="604" t="inlineStr">
        <x:is>
          <x:t xml:space="preserve">格林斯比 vs 什鲁斯伯里</x:t>
        </x:is>
      </x:c>
      <x:c r="G741" s="604" t="n">
        <x:v>0.86</x:v>
      </x:c>
      <x:c r="H741" s="604" t="n">
        <x:v>0.75</x:v>
      </x:c>
      <x:c r="I741" s="604" t="n">
        <x:v>0.9</x:v>
      </x:c>
      <x:c r="J741" s="604" t="inlineStr">
        <x:is>
          <x:t xml:space="preserve">0.86/0.75/0.9</x:t>
        </x:is>
      </x:c>
      <x:c r="K741" s="604" t="inlineStr">
        <x:is>
          <x:t xml:space="preserve">V4-B｜EV +0.0853</x:t>
        </x:is>
      </x:c>
      <x:c r="L741" s="604" t="inlineStr">
        <x:is>
          <x:t xml:space="preserve">格林斯比</x:t>
        </x:is>
      </x:c>
      <x:c r="M741" s="604" t="n">
        <x:v>0.5902569291749368</x:v>
      </x:c>
      <x:c r="N741" s="604" t="inlineStr">
        <x:is>
          <x:t xml:space="preserve">V4纸面入选-B</x:t>
        </x:is>
      </x:c>
      <x:c r="O741" s="604" t="inlineStr">
        <x:is>
          <x:t xml:space="preserve">1-2</x:t>
        </x:is>
      </x:c>
      <x:c r="P741" s="604" t="inlineStr">
        <x:is>
          <x:t xml:space="preserve">已结算</x:t>
        </x:is>
      </x:c>
      <x:c r="Q741" s="646" t="inlineStr">
        <x:is>
          <x:t xml:space="preserve">黑</x:t>
        </x:is>
      </x:c>
      <x:c r="R741" s="604" t="n">
        <x:v>0.86</x:v>
      </x:c>
      <x:c r="S741" s="604" t="n">
        <x:f>IF(OR(Q741="",Q741="待结算"),"",IF(Q741="红",R741,IF(Q741="半红",R741*0.5,IF(Q741="走",0,IF(Q741="半黑",-0.5,-1)))))</x:f>
        <x:v>-1</x:v>
      </x:c>
      <x:c r="T741" s="604" t="inlineStr">
        <x:is>
          <x:t xml:space="preserve">https://m.titan007.com/analy/Analysis/3007692.htm</x:t>
        </x:is>
      </x:c>
      <x:c r="U741" s="645" t="str">
        <x:f>IF(Q741="","",IF(Q741="待结算","待结算",IF(Q741="红","黑",IF(Q741="半红","半黑",IF(Q741="走","走",IF(Q741="半黑","半红","红"))))))</x:f>
        <x:v>红</x:v>
      </x:c>
      <x:c r="V741" s="604" t="n">
        <x:f>IF(OR(Q741="",Q741="待结算"),"",IF(L741=LEFT(F741,FIND(" vs ",F741)-1),I741,G741))</x:f>
        <x:v>0.9</x:v>
      </x:c>
      <x:c r="W741" s="604" t="n">
        <x:f>IF(OR(U741="",U741="待结算"),"",IF(U741="红",V741,IF(U741="半红",V741*0.5,IF(U741="走",0,IF(U741="半黑",-0.5,-1)))))</x:f>
        <x:v>0.9</x:v>
      </x:c>
      <x:c r="X741" s="604" t="inlineStr">
        <x:is>
          <x:t xml:space="preserve">3007692</x:t>
        </x:is>
      </x:c>
      <x:c r="Y741" s="604" t="inlineStr">
        <x:is>
          <x:t xml:space="preserve">V4</x:t>
        </x:is>
      </x:c>
      <x:c r="Z741" s="604" t="inlineStr">
        <x:is>
          <x:t xml:space="preserve">prior-2026-10-03-v1</x:t>
        </x:is>
      </x:c>
      <x:c r="AA741" s="604" t="inlineStr">
        <x:is>
          <x:t xml:space="preserve">B</x:t>
        </x:is>
      </x:c>
      <x:c r="AB741" s="604" t="n">
        <x:v>0.3864614527268625</x:v>
      </x:c>
      <x:c r="AC741" s="604" t="n">
        <x:v>0.2563050947419021</x:v>
      </x:c>
      <x:c r="AD741" s="604" t="n"/>
      <x:c r="AE741" s="604" t="n"/>
      <x:c r="AF741" s="604" t="n">
        <x:v>0.3572334525312354</x:v>
      </x:c>
      <x:c r="AG741" s="604" t="n">
        <x:v>0.08533458755288426</x:v>
      </x:c>
      <x:c r="AH741" s="604" t="n"/>
      <x:c r="AI741" s="604" t="n"/>
      <x:c r="AJ741" s="604" t="n">
        <x:v>0.08533458755288426</x:v>
      </x:c>
      <x:c r="AK741" s="604" t="n"/>
      <x:c r="AL741" s="604" t="n"/>
      <x:c r="AM741" s="604" t="n"/>
      <x:c r="AN741" s="604" t="inlineStr">
        <x:is>
          <x:t xml:space="preserve">EVALUATED</x:t>
        </x:is>
      </x:c>
      <x:c r="AO741" s="604" t="inlineStr">
        <x:is>
          <x:t xml:space="preserve">GIVING_VALIDATED_EDGE、BUCKET_PRIOR_ONLY、INTENT_INTERPRETATION_ONLY、EXPERT_MARKET</x:t>
        </x:is>
      </x:c>
      <x:c r="AP741" s="604" t="inlineStr">
        <x:is>
          <x:t xml:space="preserve">b5b4a930b1be5e5ee7b1</x:t>
        </x:is>
      </x:c>
      <x:c r="AQ741" s="604" t="n">
        <x:v>-0.75</x:v>
      </x:c>
      <x:c r="AR741" s="604" t="n">
        <x:v>0.86</x:v>
      </x:c>
      <x:c r="AS741" s="604" t="n">
        <x:v>0.75</x:v>
      </x:c>
      <x:c r="AT741" s="604" t="n">
        <x:v>-0.75</x:v>
      </x:c>
      <x:c r="AU741" s="604" t="n">
        <x:v>0.86</x:v>
      </x:c>
      <x:c r="AV741" s="604" t="n">
        <x:v>0.9</x:v>
      </x:c>
      <x:c r="AW741" s="604" t="n">
        <x:v>46298.06050486111</x:v>
      </x:c>
      <x:c r="AX741" s="604" t="inlineStr">
        <x:is>
          <x:t xml:space="preserve">https://simondongxiao.github.io/odds/v4/</x:t>
        </x:is>
      </x:c>
      <x:c r="AY741" s="604" t="inlineStr">
        <x:is>
          <x:t xml:space="preserve">V4 Shadow Only；real_money=false；P(EV&gt;0)不是比赛胜率</x:t>
        </x:is>
      </x:c>
    </x:row>
    <x:row r="742" ht="22" customHeight="1">
      <x:c r="A742" s="604" t="inlineStr">
        <x:is>
          <x:t xml:space="preserve">2026-10-03</x:t>
        </x:is>
      </x:c>
      <x:c r="B742" s="604" t="inlineStr">
        <x:is>
          <x:t xml:space="preserve">2026-10-03 22:00</x:t>
        </x:is>
      </x:c>
      <x:c r="C742" s="604" t="str">
        <x:v>五大联赛非顶级联赛</x:v>
      </x:c>
      <x:c r="D742" s="604" t="inlineStr">
        <x:is>
          <x:t xml:space="preserve">联赛</x:t>
        </x:is>
      </x:c>
      <x:c r="E742" s="604" t="inlineStr">
        <x:is>
          <x:t xml:space="preserve">英乙</x:t>
        </x:is>
      </x:c>
      <x:c r="F742" s="604" t="inlineStr">
        <x:is>
          <x:t xml:space="preserve">索尔福德市 vs 弗利特伍德</x:t>
        </x:is>
      </x:c>
      <x:c r="G742" s="604" t="n">
        <x:v>0.8</x:v>
      </x:c>
      <x:c r="H742" s="604" t="n">
        <x:v>0</x:v>
      </x:c>
      <x:c r="I742" s="604" t="n">
        <x:v>0.96</x:v>
      </x:c>
      <x:c r="J742" s="604" t="inlineStr">
        <x:is>
          <x:t xml:space="preserve">0.8/0/0.96</x:t>
        </x:is>
      </x:c>
      <x:c r="K742" s="604" t="inlineStr">
        <x:is>
          <x:t xml:space="preserve">V4-C｜EV +0.0120</x:t>
        </x:is>
      </x:c>
      <x:c r="L742" s="604" t="str"/>
      <x:c r="M742" s="604" t="n">
        <x:v>0.5631863892804245</x:v>
      </x:c>
      <x:c r="N742" s="604" t="inlineStr">
        <x:is>
          <x:t xml:space="preserve">V4纸面入选-C</x:t>
        </x:is>
      </x:c>
      <x:c r="O742" s="604" t="inlineStr">
        <x:is>
          <x:t xml:space="preserve">1-0</x:t>
        </x:is>
      </x:c>
      <x:c r="P742" s="604" t="inlineStr">
        <x:is>
          <x:t xml:space="preserve">已结算</x:t>
        </x:is>
      </x:c>
      <x:c r="Q742" s="645" t="inlineStr">
        <x:is>
          <x:t xml:space="preserve">红</x:t>
        </x:is>
      </x:c>
      <x:c r="R742" s="604" t="n">
        <x:v>0.96</x:v>
      </x:c>
      <x:c r="S742" s="604" t="n">
        <x:f>IF(OR(Q742="",Q742="待结算"),"",IF(Q742="红",R742,IF(Q742="半红",R742*0.5,IF(Q742="走",0,IF(Q742="半黑",-0.5,-1)))))</x:f>
        <x:v>0.96</x:v>
      </x:c>
      <x:c r="T742" s="604" t="inlineStr">
        <x:is>
          <x:t xml:space="preserve">https://m.titan007.com/analy/Analysis/3007695.htm</x:t>
        </x:is>
      </x:c>
      <x:c r="U742" s="646" t="str">
        <x:f>IF(Q742="","",IF(Q742="待结算","待结算",IF(Q742="红","黑",IF(Q742="半红","半黑",IF(Q742="走","走",IF(Q742="半黑","半红","红"))))))</x:f>
        <x:v>黑</x:v>
      </x:c>
      <x:c r="V742" s="604" t="n">
        <x:f>IF(OR(Q742="",Q742="待结算"),"",IF(L742=LEFT(F742,FIND(" vs ",F742)-1),I742,G742))</x:f>
        <x:v>0.8</x:v>
      </x:c>
      <x:c r="W742" s="604" t="n">
        <x:f>IF(OR(U742="",U742="待结算"),"",IF(U742="红",V742,IF(U742="半红",V742*0.5,IF(U742="走",0,IF(U742="半黑",-0.5,-1)))))</x:f>
        <x:v>-1</x:v>
      </x:c>
      <x:c r="X742" s="604" t="inlineStr">
        <x:is>
          <x:t xml:space="preserve">3007695</x:t>
        </x:is>
      </x:c>
      <x:c r="Y742" s="604" t="inlineStr">
        <x:is>
          <x:t xml:space="preserve">V4</x:t>
        </x:is>
      </x:c>
      <x:c r="Z742" s="604" t="inlineStr">
        <x:is>
          <x:t xml:space="preserve">prior-2026-10-03-v1</x:t>
        </x:is>
      </x:c>
      <x:c r="AA742" s="604" t="inlineStr">
        <x:is>
          <x:t xml:space="preserve">C</x:t>
        </x:is>
      </x:c>
      <x:c r="AB742" s="604" t="n">
        <x:v>0.3635963904852009</x:v>
      </x:c>
      <x:c r="AC742" s="604" t="n">
        <x:v>0.255363020256465</x:v>
      </x:c>
      <x:c r="AD742" s="604" t="n"/>
      <x:c r="AE742" s="604" t="n"/>
      <x:c r="AF742" s="604" t="n">
        <x:v>0.3810405892583342</x:v>
      </x:c>
      <x:c r="AG742" s="604" t="n">
        <x:v>0.01198173123241253</x:v>
      </x:c>
      <x:c r="AH742" s="604" t="n"/>
      <x:c r="AI742" s="604" t="n"/>
      <x:c r="AJ742" s="604" t="n">
        <x:v>0.01198173123241253</x:v>
      </x:c>
      <x:c r="AK742" s="604" t="n"/>
      <x:c r="AL742" s="604" t="n"/>
      <x:c r="AM742" s="604" t="n"/>
      <x:c r="AN742" s="604" t="inlineStr">
        <x:is>
          <x:t xml:space="preserve">EVALUATED</x:t>
        </x:is>
      </x:c>
      <x:c r="AO742" s="604" t="inlineStr">
        <x:is>
          <x:t xml:space="preserve">EDGE_BELOW_UNCERTAINTY_THRESHOLD、BUCKET_PRIOR_ONLY、INTENT_INTERPRETATION_ONLY、EXPERT_MARKET</x:t>
        </x:is>
      </x:c>
      <x:c r="AP742" s="604" t="inlineStr">
        <x:is>
          <x:t xml:space="preserve">7e9ed5ebd4a91ac5a90b</x:t>
        </x:is>
      </x:c>
      <x:c r="AQ742" s="604" t="n">
        <x:v>0</x:v>
      </x:c>
      <x:c r="AR742" s="604" t="n"/>
      <x:c r="AS742" s="604" t="n">
        <x:v>0</x:v>
      </x:c>
      <x:c r="AT742" s="604" t="n">
        <x:v>0</x:v>
      </x:c>
      <x:c r="AU742" s="604" t="n">
        <x:v>0.8</x:v>
      </x:c>
      <x:c r="AV742" s="604" t="n">
        <x:v>0.96</x:v>
      </x:c>
      <x:c r="AW742" s="604" t="n">
        <x:v>46298.06050486111</x:v>
      </x:c>
      <x:c r="AX742" s="604" t="inlineStr">
        <x:is>
          <x:t xml:space="preserve">https://simondongxiao.github.io/odds/v4/</x:t>
        </x:is>
      </x:c>
      <x:c r="AY742" s="604" t="inlineStr">
        <x:is>
          <x:t xml:space="preserve">V4 Shadow Only；real_money=false；P(EV&gt;0)不是比赛胜率</x:t>
        </x:is>
      </x:c>
    </x:row>
    <x:row r="743" ht="22" customHeight="1">
      <x:c r="A743" s="604" t="inlineStr">
        <x:is>
          <x:t xml:space="preserve">2026-10-03</x:t>
        </x:is>
      </x:c>
      <x:c r="B743" s="604" t="inlineStr">
        <x:is>
          <x:t xml:space="preserve">2026-10-03 22:00</x:t>
        </x:is>
      </x:c>
      <x:c r="C743" s="604" t="str">
        <x:v>五大联赛非顶级联赛</x:v>
      </x:c>
      <x:c r="D743" s="604" t="inlineStr">
        <x:is>
          <x:t xml:space="preserve">联赛</x:t>
        </x:is>
      </x:c>
      <x:c r="E743" s="604" t="inlineStr">
        <x:is>
          <x:t xml:space="preserve">英议联</x:t>
        </x:is>
      </x:c>
      <x:c r="F743" s="604" t="inlineStr">
        <x:is>
          <x:t xml:space="preserve">格茨海德 vs 沃森</x:t>
        </x:is>
      </x:c>
      <x:c r="G743" s="604" t="n">
        <x:v>0.89</x:v>
      </x:c>
      <x:c r="H743" s="604" t="n">
        <x:v>-1.25</x:v>
      </x:c>
      <x:c r="I743" s="604" t="n">
        <x:v>0.8100000000000001</x:v>
      </x:c>
      <x:c r="J743" s="604" t="inlineStr">
        <x:is>
          <x:t xml:space="preserve">0.89/-1.25/0.81</x:t>
        </x:is>
      </x:c>
      <x:c r="K743" s="604" t="inlineStr">
        <x:is>
          <x:t xml:space="preserve">V4-C｜EV +0.0652</x:t>
        </x:is>
      </x:c>
      <x:c r="L743" s="604" t="inlineStr">
        <x:is>
          <x:t xml:space="preserve">格茨海德</x:t>
        </x:is>
      </x:c>
      <x:c r="M743" s="604" t="n">
        <x:v>0.5686560963584851</x:v>
      </x:c>
      <x:c r="N743" s="604" t="inlineStr">
        <x:is>
          <x:t xml:space="preserve">V4纸面入选-C</x:t>
        </x:is>
      </x:c>
      <x:c r="O743" s="604" t="inlineStr">
        <x:is>
          <x:t xml:space="preserve">1-2</x:t>
        </x:is>
      </x:c>
      <x:c r="P743" s="604" t="inlineStr">
        <x:is>
          <x:t xml:space="preserve">已结算</x:t>
        </x:is>
      </x:c>
      <x:c r="Q743" s="649" t="inlineStr">
        <x:is>
          <x:t xml:space="preserve">半红</x:t>
        </x:is>
      </x:c>
      <x:c r="R743" s="604" t="n">
        <x:v>0.89</x:v>
      </x:c>
      <x:c r="S743" s="604" t="n">
        <x:f>IF(OR(Q743="",Q743="待结算"),"",IF(Q743="红",R743,IF(Q743="半红",R743*0.5,IF(Q743="走",0,IF(Q743="半黑",-0.5,-1)))))</x:f>
        <x:v>0.445</x:v>
      </x:c>
      <x:c r="T743" s="604" t="inlineStr">
        <x:is>
          <x:t xml:space="preserve">https://m.titan007.com/analy/Analysis/3027807.htm</x:t>
        </x:is>
      </x:c>
      <x:c r="U743" s="648" t="str">
        <x:f>IF(Q743="","",IF(Q743="待结算","待结算",IF(Q743="红","黑",IF(Q743="半红","半黑",IF(Q743="走","走",IF(Q743="半黑","半红","红"))))))</x:f>
        <x:v>半黑</x:v>
      </x:c>
      <x:c r="V743" s="604" t="n">
        <x:f>IF(OR(Q743="",Q743="待结算"),"",IF(L743=LEFT(F743,FIND(" vs ",F743)-1),I743,G743))</x:f>
        <x:v>0.81</x:v>
      </x:c>
      <x:c r="W743" s="604" t="n">
        <x:f>IF(OR(U743="",U743="待结算"),"",IF(U743="红",V743,IF(U743="半红",V743*0.5,IF(U743="走",0,IF(U743="半黑",-0.5,-1)))))</x:f>
        <x:v>-0.5</x:v>
      </x:c>
      <x:c r="X743" s="604" t="inlineStr">
        <x:is>
          <x:t xml:space="preserve">3027807</x:t>
        </x:is>
      </x:c>
      <x:c r="Y743" s="604" t="inlineStr">
        <x:is>
          <x:t xml:space="preserve">V4</x:t>
        </x:is>
      </x:c>
      <x:c r="Z743" s="604" t="inlineStr">
        <x:is>
          <x:t xml:space="preserve">prior-2026-10-03-v1</x:t>
        </x:is>
      </x:c>
      <x:c r="AA743" s="604" t="inlineStr">
        <x:is>
          <x:t xml:space="preserve">C</x:t>
        </x:is>
      </x:c>
      <x:c r="AB743" s="604" t="n">
        <x:v>0.3683860833787521</x:v>
      </x:c>
      <x:c r="AC743" s="604" t="n">
        <x:v>0.2553396036832351</x:v>
      </x:c>
      <x:c r="AD743" s="604" t="n"/>
      <x:c r="AE743" s="604" t="n"/>
      <x:c r="AF743" s="604" t="n">
        <x:v>0.3762743129380129</x:v>
      </x:c>
      <x:c r="AG743" s="604" t="n">
        <x:v>0.06521542490811605</x:v>
      </x:c>
      <x:c r="AH743" s="604" t="n"/>
      <x:c r="AI743" s="604" t="n"/>
      <x:c r="AJ743" s="604" t="n">
        <x:v>0.06521542490811605</x:v>
      </x:c>
      <x:c r="AK743" s="604" t="n"/>
      <x:c r="AL743" s="604" t="n"/>
      <x:c r="AM743" s="604" t="n"/>
      <x:c r="AN743" s="604" t="inlineStr">
        <x:is>
          <x:t xml:space="preserve">EVALUATED</x:t>
        </x:is>
      </x:c>
      <x:c r="AO743" s="604" t="inlineStr">
        <x:is>
          <x:t xml:space="preserve">RECEIVING_VALIDATED_EDGE、BUCKET_PRIOR_ONLY、INTENT_INTERPRETATION_ONLY、EXPERT_MARKET</x:t>
        </x:is>
      </x:c>
      <x:c r="AP743" s="604" t="inlineStr">
        <x:is>
          <x:t xml:space="preserve">60edb4aa399b388e54ac</x:t>
        </x:is>
      </x:c>
      <x:c r="AQ743" s="604" t="n">
        <x:v>1.25</x:v>
      </x:c>
      <x:c r="AR743" s="604" t="n">
        <x:v>0.89</x:v>
      </x:c>
      <x:c r="AS743" s="604" t="n">
        <x:v>-1.25</x:v>
      </x:c>
      <x:c r="AT743" s="604" t="n">
        <x:v>1.25</x:v>
      </x:c>
      <x:c r="AU743" s="604" t="n">
        <x:v>0.89</x:v>
      </x:c>
      <x:c r="AV743" s="604" t="n">
        <x:v>0.8100000000000001</x:v>
      </x:c>
      <x:c r="AW743" s="604" t="n">
        <x:v>46298.06050486111</x:v>
      </x:c>
      <x:c r="AX743" s="604" t="inlineStr">
        <x:is>
          <x:t xml:space="preserve">https://simondongxiao.github.io/odds/v4/</x:t>
        </x:is>
      </x:c>
      <x:c r="AY743" s="604" t="inlineStr">
        <x:is>
          <x:t xml:space="preserve">V4 Shadow Only；real_money=false；P(EV&gt;0)不是比赛胜率</x:t>
        </x:is>
      </x:c>
    </x:row>
    <x:row r="744" ht="22" customHeight="1">
      <x:c r="A744" s="604" t="inlineStr">
        <x:is>
          <x:t xml:space="preserve">2026-10-03</x:t>
        </x:is>
      </x:c>
      <x:c r="B744" s="604" t="inlineStr">
        <x:is>
          <x:t xml:space="preserve">2026-10-03 22:00</x:t>
        </x:is>
      </x:c>
      <x:c r="C744" s="604" t="str">
        <x:v>五大联赛非顶级联赛</x:v>
      </x:c>
      <x:c r="D744" s="604" t="inlineStr">
        <x:is>
          <x:t xml:space="preserve">联赛</x:t>
        </x:is>
      </x:c>
      <x:c r="E744" s="604" t="inlineStr">
        <x:is>
          <x:t xml:space="preserve">英议联</x:t>
        </x:is>
      </x:c>
      <x:c r="F744" s="604" t="inlineStr">
        <x:is>
          <x:t xml:space="preserve">哈洛贾特 vs 侯恩乔奇</x:t>
        </x:is>
      </x:c>
      <x:c r="G744" s="604" t="n">
        <x:v>0.88</x:v>
      </x:c>
      <x:c r="H744" s="604" t="n">
        <x:v>0</x:v>
      </x:c>
      <x:c r="I744" s="604" t="n">
        <x:v>0.82</x:v>
      </x:c>
      <x:c r="J744" s="604" t="inlineStr">
        <x:is>
          <x:t xml:space="preserve">0.88/0/0.82</x:t>
        </x:is>
      </x:c>
      <x:c r="K744" s="604" t="inlineStr">
        <x:is>
          <x:t xml:space="preserve">V4-C｜EV +0.0110</x:t>
        </x:is>
      </x:c>
      <x:c r="L744" s="604" t="str"/>
      <x:c r="M744" s="604" t="n">
        <x:v>0.5397496701851949</x:v>
      </x:c>
      <x:c r="N744" s="604" t="inlineStr">
        <x:is>
          <x:t xml:space="preserve">V4纸面入选-C</x:t>
        </x:is>
      </x:c>
      <x:c r="O744" s="604" t="inlineStr">
        <x:is>
          <x:t xml:space="preserve">3-0</x:t>
        </x:is>
      </x:c>
      <x:c r="P744" s="604" t="inlineStr">
        <x:is>
          <x:t xml:space="preserve">已结算</x:t>
        </x:is>
      </x:c>
      <x:c r="Q744" s="645" t="inlineStr">
        <x:is>
          <x:t xml:space="preserve">红</x:t>
        </x:is>
      </x:c>
      <x:c r="R744" s="604" t="n">
        <x:v>0.82</x:v>
      </x:c>
      <x:c r="S744" s="604" t="n">
        <x:f>IF(OR(Q744="",Q744="待结算"),"",IF(Q744="红",R744,IF(Q744="半红",R744*0.5,IF(Q744="走",0,IF(Q744="半黑",-0.5,-1)))))</x:f>
        <x:v>0.82</x:v>
      </x:c>
      <x:c r="T744" s="604" t="inlineStr">
        <x:is>
          <x:t xml:space="preserve">https://m.titan007.com/analy/Analysis/3027808.htm</x:t>
        </x:is>
      </x:c>
      <x:c r="U744" s="646" t="str">
        <x:f>IF(Q744="","",IF(Q744="待结算","待结算",IF(Q744="红","黑",IF(Q744="半红","半黑",IF(Q744="走","走",IF(Q744="半黑","半红","红"))))))</x:f>
        <x:v>黑</x:v>
      </x:c>
      <x:c r="V744" s="604" t="n">
        <x:f>IF(OR(Q744="",Q744="待结算"),"",IF(L744=LEFT(F744,FIND(" vs ",F744)-1),I744,G744))</x:f>
        <x:v>0.88</x:v>
      </x:c>
      <x:c r="W744" s="604" t="n">
        <x:f>IF(OR(U744="",U744="待结算"),"",IF(U744="红",V744,IF(U744="半红",V744*0.5,IF(U744="走",0,IF(U744="半黑",-0.5,-1)))))</x:f>
        <x:v>-1</x:v>
      </x:c>
      <x:c r="X744" s="604" t="inlineStr">
        <x:is>
          <x:t xml:space="preserve">3027808</x:t>
        </x:is>
      </x:c>
      <x:c r="Y744" s="604" t="inlineStr">
        <x:is>
          <x:t xml:space="preserve">V4</x:t>
        </x:is>
      </x:c>
      <x:c r="Z744" s="604" t="inlineStr">
        <x:is>
          <x:t xml:space="preserve">prior-2026-10-03-v1</x:t>
        </x:is>
      </x:c>
      <x:c r="AA744" s="604" t="inlineStr">
        <x:is>
          <x:t xml:space="preserve">C</x:t>
        </x:is>
      </x:c>
      <x:c r="AB744" s="604" t="n">
        <x:v>0.4014073606065248</x:v>
      </x:c>
      <x:c r="AC744" s="604" t="n"/>
      <x:c r="AD744" s="604" t="n">
        <x:v>0.2563082799683845</x:v>
      </x:c>
      <x:c r="AE744" s="604" t="n"/>
      <x:c r="AF744" s="604" t="n">
        <x:v>0.3422843594250907</x:v>
      </x:c>
      <x:c r="AG744" s="604" t="n">
        <x:v>0.01095411790865114</x:v>
      </x:c>
      <x:c r="AH744" s="604" t="n"/>
      <x:c r="AI744" s="604" t="n"/>
      <x:c r="AJ744" s="604" t="n">
        <x:v>0.01095411790865114</x:v>
      </x:c>
      <x:c r="AK744" s="604" t="n"/>
      <x:c r="AL744" s="604" t="n"/>
      <x:c r="AM744" s="604" t="n"/>
      <x:c r="AN744" s="604" t="inlineStr">
        <x:is>
          <x:t xml:space="preserve">EVALUATED</x:t>
        </x:is>
      </x:c>
      <x:c r="AO744" s="604" t="inlineStr">
        <x:is>
          <x:t xml:space="preserve">EDGE_BELOW_UNCERTAINTY_THRESHOLD、BUCKET_PRIOR_ONLY、INTENT_INTERPRETATION_ONLY、EXPERT_MARKET</x:t>
        </x:is>
      </x:c>
      <x:c r="AP744" s="604" t="inlineStr">
        <x:is>
          <x:t xml:space="preserve">da22c158c2bb8ae4a36a</x:t>
        </x:is>
      </x:c>
      <x:c r="AQ744" s="604" t="n">
        <x:v>0</x:v>
      </x:c>
      <x:c r="AR744" s="604" t="n"/>
      <x:c r="AS744" s="604" t="n">
        <x:v>0</x:v>
      </x:c>
      <x:c r="AT744" s="604" t="n">
        <x:v>0</x:v>
      </x:c>
      <x:c r="AU744" s="604" t="n">
        <x:v>0.88</x:v>
      </x:c>
      <x:c r="AV744" s="604" t="n">
        <x:v>0.82</x:v>
      </x:c>
      <x:c r="AW744" s="604" t="n">
        <x:v>46298.06050486111</x:v>
      </x:c>
      <x:c r="AX744" s="604" t="inlineStr">
        <x:is>
          <x:t xml:space="preserve">https://simondongxiao.github.io/odds/v4/</x:t>
        </x:is>
      </x:c>
      <x:c r="AY744" s="604" t="inlineStr">
        <x:is>
          <x:t xml:space="preserve">V4 Shadow Only；real_money=false；P(EV&gt;0)不是比赛胜率</x:t>
        </x:is>
      </x:c>
    </x:row>
    <x:row r="745" ht="22" customHeight="1">
      <x:c r="A745" s="604" t="inlineStr">
        <x:is>
          <x:t xml:space="preserve">2026-10-03</x:t>
        </x:is>
      </x:c>
      <x:c r="B745" s="604" t="inlineStr">
        <x:is>
          <x:t xml:space="preserve">2026-10-03 22:00</x:t>
        </x:is>
      </x:c>
      <x:c r="C745" s="604" t="str">
        <x:v>五大联赛非顶级联赛</x:v>
      </x:c>
      <x:c r="D745" s="604" t="inlineStr">
        <x:is>
          <x:t xml:space="preserve">联赛</x:t>
        </x:is>
      </x:c>
      <x:c r="E745" s="604" t="inlineStr">
        <x:is>
          <x:t xml:space="preserve">英议联</x:t>
        </x:is>
      </x:c>
      <x:c r="F745" s="604" t="inlineStr">
        <x:is>
          <x:t xml:space="preserve">南安联 vs 菲尔德</x:t>
        </x:is>
      </x:c>
      <x:c r="G745" s="604" t="n">
        <x:v>0.91</x:v>
      </x:c>
      <x:c r="H745" s="604" t="n">
        <x:v>0.5</x:v>
      </x:c>
      <x:c r="I745" s="604" t="n">
        <x:v>0.79</x:v>
      </x:c>
      <x:c r="J745" s="604" t="inlineStr">
        <x:is>
          <x:t xml:space="preserve">0.91/0.5/0.79</x:t>
        </x:is>
      </x:c>
      <x:c r="K745" s="604" t="inlineStr">
        <x:is>
          <x:t xml:space="preserve">V4-C｜EV +0.0756</x:t>
        </x:is>
      </x:c>
      <x:c r="L745" s="604" t="inlineStr">
        <x:is>
          <x:t xml:space="preserve">南安联</x:t>
        </x:is>
      </x:c>
      <x:c r="M745" s="604" t="n">
        <x:v>0.5631206592775267</x:v>
      </x:c>
      <x:c r="N745" s="604" t="inlineStr">
        <x:is>
          <x:t xml:space="preserve">V4纸面入选-C</x:t>
        </x:is>
      </x:c>
      <x:c r="O745" s="604" t="inlineStr">
        <x:is>
          <x:t xml:space="preserve">3-1</x:t>
        </x:is>
      </x:c>
      <x:c r="P745" s="604" t="inlineStr">
        <x:is>
          <x:t xml:space="preserve">已结算</x:t>
        </x:is>
      </x:c>
      <x:c r="Q745" s="645" t="inlineStr">
        <x:is>
          <x:t xml:space="preserve">红</x:t>
        </x:is>
      </x:c>
      <x:c r="R745" s="604" t="n">
        <x:v>0.91</x:v>
      </x:c>
      <x:c r="S745" s="604" t="n">
        <x:f>IF(OR(Q745="",Q745="待结算"),"",IF(Q745="红",R745,IF(Q745="半红",R745*0.5,IF(Q745="走",0,IF(Q745="半黑",-0.5,-1)))))</x:f>
        <x:v>0.91</x:v>
      </x:c>
      <x:c r="T745" s="604" t="inlineStr">
        <x:is>
          <x:t xml:space="preserve">https://m.titan007.com/analy/Analysis/3027813.htm</x:t>
        </x:is>
      </x:c>
      <x:c r="U745" s="646" t="str">
        <x:f>IF(Q745="","",IF(Q745="待结算","待结算",IF(Q745="红","黑",IF(Q745="半红","半黑",IF(Q745="走","走",IF(Q745="半黑","半红","红"))))))</x:f>
        <x:v>黑</x:v>
      </x:c>
      <x:c r="V745" s="604" t="n">
        <x:f>IF(OR(Q745="",Q745="待结算"),"",IF(L745=LEFT(F745,FIND(" vs ",F745)-1),I745,G745))</x:f>
        <x:v>0.79</x:v>
      </x:c>
      <x:c r="W745" s="604" t="n">
        <x:f>IF(OR(U745="",U745="待结算"),"",IF(U745="红",V745,IF(U745="半红",V745*0.5,IF(U745="走",0,IF(U745="半黑",-0.5,-1)))))</x:f>
        <x:v>-1</x:v>
      </x:c>
      <x:c r="X745" s="604" t="inlineStr">
        <x:is>
          <x:t xml:space="preserve">3027813</x:t>
        </x:is>
      </x:c>
      <x:c r="Y745" s="604" t="inlineStr">
        <x:is>
          <x:t xml:space="preserve">V4</x:t>
        </x:is>
      </x:c>
      <x:c r="Z745" s="604" t="inlineStr">
        <x:is>
          <x:t xml:space="preserve">prior-2026-10-03-v1</x:t>
        </x:is>
      </x:c>
      <x:c r="AA745" s="604" t="inlineStr">
        <x:is>
          <x:t xml:space="preserve">C</x:t>
        </x:is>
      </x:c>
      <x:c r="AB745" s="604" t="n">
        <x:v>0.5631206592775267</x:v>
      </x:c>
      <x:c r="AC745" s="604" t="n"/>
      <x:c r="AD745" s="604" t="n"/>
      <x:c r="AE745" s="604" t="n"/>
      <x:c r="AF745" s="604" t="n">
        <x:v>0.4368793407224733</x:v>
      </x:c>
      <x:c r="AG745" s="604" t="n">
        <x:v>0.07556045922007615</x:v>
      </x:c>
      <x:c r="AH745" s="604" t="n"/>
      <x:c r="AI745" s="604" t="n"/>
      <x:c r="AJ745" s="604" t="n">
        <x:v>0.07556045922007615</x:v>
      </x:c>
      <x:c r="AK745" s="604" t="n"/>
      <x:c r="AL745" s="604" t="n"/>
      <x:c r="AM745" s="604" t="n"/>
      <x:c r="AN745" s="604" t="inlineStr">
        <x:is>
          <x:t xml:space="preserve">EVALUATED</x:t>
        </x:is>
      </x:c>
      <x:c r="AO745" s="604" t="inlineStr">
        <x:is>
          <x:t xml:space="preserve">GIVING_VALIDATED_EDGE、BUCKET_PRIOR_ONLY、INTENT_INTERPRETATION_ONLY、EXPERT_MARKET</x:t>
        </x:is>
      </x:c>
      <x:c r="AP745" s="604" t="inlineStr">
        <x:is>
          <x:t xml:space="preserve">4d81bfeb4872fc850e57</x:t>
        </x:is>
      </x:c>
      <x:c r="AQ745" s="604" t="n">
        <x:v>-0.5</x:v>
      </x:c>
      <x:c r="AR745" s="604" t="n">
        <x:v>0.91</x:v>
      </x:c>
      <x:c r="AS745" s="604" t="n">
        <x:v>0.5</x:v>
      </x:c>
      <x:c r="AT745" s="604" t="n">
        <x:v>-0.5</x:v>
      </x:c>
      <x:c r="AU745" s="604" t="n">
        <x:v>0.91</x:v>
      </x:c>
      <x:c r="AV745" s="604" t="n">
        <x:v>0.79</x:v>
      </x:c>
      <x:c r="AW745" s="604" t="n">
        <x:v>46298.06050486111</x:v>
      </x:c>
      <x:c r="AX745" s="604" t="inlineStr">
        <x:is>
          <x:t xml:space="preserve">https://simondongxiao.github.io/odds/v4/</x:t>
        </x:is>
      </x:c>
      <x:c r="AY745" s="604" t="inlineStr">
        <x:is>
          <x:t xml:space="preserve">V4 Shadow Only；real_money=false；P(EV&gt;0)不是比赛胜率</x:t>
        </x:is>
      </x:c>
    </x:row>
    <x:row r="746" ht="22" customHeight="1">
      <x:c r="A746" s="604" t="inlineStr">
        <x:is>
          <x:t xml:space="preserve">2026-10-03</x:t>
        </x:is>
      </x:c>
      <x:c r="B746" s="604" t="inlineStr">
        <x:is>
          <x:t xml:space="preserve">2026-10-03 22:00</x:t>
        </x:is>
      </x:c>
      <x:c r="C746" s="604" t="str">
        <x:v>五大联赛非顶级联赛</x:v>
      </x:c>
      <x:c r="D746" s="604" t="inlineStr">
        <x:is>
          <x:t xml:space="preserve">联赛</x:t>
        </x:is>
      </x:c>
      <x:c r="E746" s="604" t="inlineStr">
        <x:is>
          <x:t xml:space="preserve">西协乙3</x:t>
        </x:is>
      </x:c>
      <x:c r="F746" s="604" t="inlineStr">
        <x:is>
          <x:t xml:space="preserve">卡斯迪隆B队 vs 罗卡竞技</x:t>
        </x:is>
      </x:c>
      <x:c r="G746" s="604" t="n">
        <x:v>0.88</x:v>
      </x:c>
      <x:c r="H746" s="604" t="n">
        <x:v>0</x:v>
      </x:c>
      <x:c r="I746" s="604" t="n">
        <x:v>0.82</x:v>
      </x:c>
      <x:c r="J746" s="604" t="inlineStr">
        <x:is>
          <x:t xml:space="preserve">0.88/0/0.82</x:t>
        </x:is>
      </x:c>
      <x:c r="K746" s="604" t="inlineStr">
        <x:is>
          <x:t xml:space="preserve">V4-C｜EV +0.0001</x:t>
        </x:is>
      </x:c>
      <x:c r="L746" s="604" t="str"/>
      <x:c r="M746" s="604" t="n">
        <x:v>0.531971105475902</x:v>
      </x:c>
      <x:c r="N746" s="604" t="inlineStr">
        <x:is>
          <x:t xml:space="preserve">V4纸面入选-C</x:t>
        </x:is>
      </x:c>
      <x:c r="O746" s="604" t="inlineStr">
        <x:is>
          <x:t xml:space="preserve">2-1</x:t>
        </x:is>
      </x:c>
      <x:c r="P746" s="604" t="inlineStr">
        <x:is>
          <x:t xml:space="preserve">已结算</x:t>
        </x:is>
      </x:c>
      <x:c r="Q746" s="645" t="inlineStr">
        <x:is>
          <x:t xml:space="preserve">红</x:t>
        </x:is>
      </x:c>
      <x:c r="R746" s="604" t="n">
        <x:v>0.82</x:v>
      </x:c>
      <x:c r="S746" s="604" t="n">
        <x:f>IF(OR(Q746="",Q746="待结算"),"",IF(Q746="红",R746,IF(Q746="半红",R746*0.5,IF(Q746="走",0,IF(Q746="半黑",-0.5,-1)))))</x:f>
        <x:v>0.82</x:v>
      </x:c>
      <x:c r="T746" s="604" t="inlineStr">
        <x:is>
          <x:t xml:space="preserve">https://m.titan007.com/analy/Analysis/3015900.htm</x:t>
        </x:is>
      </x:c>
      <x:c r="U746" s="646" t="str">
        <x:f>IF(Q746="","",IF(Q746="待结算","待结算",IF(Q746="红","黑",IF(Q746="半红","半黑",IF(Q746="走","走",IF(Q746="半黑","半红","红"))))))</x:f>
        <x:v>黑</x:v>
      </x:c>
      <x:c r="V746" s="604" t="n">
        <x:f>IF(OR(Q746="",Q746="待结算"),"",IF(L746=LEFT(F746,FIND(" vs ",F746)-1),I746,G746))</x:f>
        <x:v>0.88</x:v>
      </x:c>
      <x:c r="W746" s="604" t="n">
        <x:f>IF(OR(U746="",U746="待结算"),"",IF(U746="红",V746,IF(U746="半红",V746*0.5,IF(U746="走",0,IF(U746="半黑",-0.5,-1)))))</x:f>
        <x:v>-1</x:v>
      </x:c>
      <x:c r="X746" s="604" t="inlineStr">
        <x:is>
          <x:t xml:space="preserve">3015900</x:t>
        </x:is>
      </x:c>
      <x:c r="Y746" s="604" t="inlineStr">
        <x:is>
          <x:t xml:space="preserve">V4</x:t>
        </x:is>
      </x:c>
      <x:c r="Z746" s="604" t="inlineStr">
        <x:is>
          <x:t xml:space="preserve">prior-2026-10-03-v1</x:t>
        </x:is>
      </x:c>
      <x:c r="AA746" s="604" t="inlineStr">
        <x:is>
          <x:t xml:space="preserve">C</x:t>
        </x:is>
      </x:c>
      <x:c r="AB746" s="604" t="n">
        <x:v>0.4635139356457383</x:v>
      </x:c>
      <x:c r="AC746" s="604" t="n"/>
      <x:c r="AD746" s="604" t="n"/>
      <x:c r="AE746" s="604" t="n">
        <x:v>0.2573717599527208</x:v>
      </x:c>
      <x:c r="AF746" s="604" t="n">
        <x:v>0.2791143044015409</x:v>
      </x:c>
      <x:c r="AG746" s="604" t="n">
        <x:v>9.207899034840983e-05</x:v>
      </x:c>
      <x:c r="AH746" s="604" t="n"/>
      <x:c r="AI746" s="604" t="n"/>
      <x:c r="AJ746" s="604" t="n">
        <x:v>9.207899034840983e-05</x:v>
      </x:c>
      <x:c r="AK746" s="604" t="n"/>
      <x:c r="AL746" s="604" t="n"/>
      <x:c r="AM746" s="604" t="n"/>
      <x:c r="AN746" s="604" t="inlineStr">
        <x:is>
          <x:t xml:space="preserve">EVALUATED</x:t>
        </x:is>
      </x:c>
      <x:c r="AO746" s="604" t="inlineStr">
        <x:is>
          <x:t xml:space="preserve">EDGE_BELOW_UNCERTAINTY_THRESHOLD、BUCKET_PRIOR_ONLY、INTENT_INTERPRETATION_ONLY、EXPERT_MARKET</x:t>
        </x:is>
      </x:c>
      <x:c r="AP746" s="604" t="inlineStr">
        <x:is>
          <x:t xml:space="preserve">db690b665dbf6795d6a1</x:t>
        </x:is>
      </x:c>
      <x:c r="AQ746" s="604" t="n">
        <x:v>0</x:v>
      </x:c>
      <x:c r="AR746" s="604" t="n"/>
      <x:c r="AS746" s="604" t="n">
        <x:v>0</x:v>
      </x:c>
      <x:c r="AT746" s="604" t="n">
        <x:v>0</x:v>
      </x:c>
      <x:c r="AU746" s="604" t="n">
        <x:v>0.88</x:v>
      </x:c>
      <x:c r="AV746" s="604" t="n">
        <x:v>0.82</x:v>
      </x:c>
      <x:c r="AW746" s="604" t="n">
        <x:v>46298.06050486111</x:v>
      </x:c>
      <x:c r="AX746" s="604" t="inlineStr">
        <x:is>
          <x:t xml:space="preserve">https://simondongxiao.github.io/odds/v4/</x:t>
        </x:is>
      </x:c>
      <x:c r="AY746" s="604" t="inlineStr">
        <x:is>
          <x:t xml:space="preserve">V4 Shadow Only；real_money=false；P(EV&gt;0)不是比赛胜率</x:t>
        </x:is>
      </x:c>
    </x:row>
    <x:row r="747" ht="22" customHeight="1">
      <x:c r="A747" s="604" t="inlineStr">
        <x:is>
          <x:t xml:space="preserve">2026-10-03</x:t>
        </x:is>
      </x:c>
      <x:c r="B747" s="604" t="inlineStr">
        <x:is>
          <x:t xml:space="preserve">2026-10-03 22:00</x:t>
        </x:is>
      </x:c>
      <x:c r="C747" s="604" t="str">
        <x:v>欧洲非五大系列</x:v>
      </x:c>
      <x:c r="D747" s="604" t="inlineStr">
        <x:is>
          <x:t xml:space="preserve">联赛</x:t>
        </x:is>
      </x:c>
      <x:c r="E747" s="604" t="inlineStr">
        <x:is>
          <x:t xml:space="preserve">苏冠</x:t>
        </x:is>
      </x:c>
      <x:c r="F747" s="604" t="inlineStr">
        <x:is>
          <x:t xml:space="preserve">摩顿 vs 拉茨流浪者</x:t>
        </x:is>
      </x:c>
      <x:c r="G747" s="604" t="n">
        <x:v>0.97</x:v>
      </x:c>
      <x:c r="H747" s="604" t="n">
        <x:v>0</x:v>
      </x:c>
      <x:c r="I747" s="604" t="n">
        <x:v>0.73</x:v>
      </x:c>
      <x:c r="J747" s="604" t="inlineStr">
        <x:is>
          <x:t xml:space="preserve">0.97/0/0.73</x:t>
        </x:is>
      </x:c>
      <x:c r="K747" s="604" t="inlineStr">
        <x:is>
          <x:t xml:space="preserve">V4-C｜EV +0.0535</x:t>
        </x:is>
      </x:c>
      <x:c r="L747" s="604" t="str"/>
      <x:c r="M747" s="604" t="n">
        <x:v>0.613531280222483</x:v>
      </x:c>
      <x:c r="N747" s="604" t="inlineStr">
        <x:is>
          <x:t xml:space="preserve">V4纸面入选-C</x:t>
        </x:is>
      </x:c>
      <x:c r="O747" s="604" t="inlineStr">
        <x:is>
          <x:t xml:space="preserve">1-2</x:t>
        </x:is>
      </x:c>
      <x:c r="P747" s="604" t="inlineStr">
        <x:is>
          <x:t xml:space="preserve">已结算</x:t>
        </x:is>
      </x:c>
      <x:c r="Q747" s="646" t="inlineStr">
        <x:is>
          <x:t xml:space="preserve">黑</x:t>
        </x:is>
      </x:c>
      <x:c r="R747" s="604" t="n">
        <x:v>0.73</x:v>
      </x:c>
      <x:c r="S747" s="604" t="n">
        <x:f>IF(OR(Q747="",Q747="待结算"),"",IF(Q747="红",R747,IF(Q747="半红",R747*0.5,IF(Q747="走",0,IF(Q747="半黑",-0.5,-1)))))</x:f>
        <x:v>-1</x:v>
      </x:c>
      <x:c r="T747" s="604" t="inlineStr">
        <x:is>
          <x:t xml:space="preserve">https://m.titan007.com/analy/Analysis/3002272.htm</x:t>
        </x:is>
      </x:c>
      <x:c r="U747" s="645" t="str">
        <x:f>IF(Q747="","",IF(Q747="待结算","待结算",IF(Q747="红","黑",IF(Q747="半红","半黑",IF(Q747="走","走",IF(Q747="半黑","半红","红"))))))</x:f>
        <x:v>红</x:v>
      </x:c>
      <x:c r="V747" s="604" t="n">
        <x:f>IF(OR(Q747="",Q747="待结算"),"",IF(L747=LEFT(F747,FIND(" vs ",F747)-1),I747,G747))</x:f>
        <x:v>0.97</x:v>
      </x:c>
      <x:c r="W747" s="604" t="n">
        <x:f>IF(OR(U747="",U747="待结算"),"",IF(U747="红",V747,IF(U747="半红",V747*0.5,IF(U747="走",0,IF(U747="半黑",-0.5,-1)))))</x:f>
        <x:v>0.97</x:v>
      </x:c>
      <x:c r="X747" s="604" t="inlineStr">
        <x:is>
          <x:t xml:space="preserve">3002272</x:t>
        </x:is>
      </x:c>
      <x:c r="Y747" s="604" t="inlineStr">
        <x:is>
          <x:t xml:space="preserve">V4</x:t>
        </x:is>
      </x:c>
      <x:c r="Z747" s="604" t="inlineStr">
        <x:is>
          <x:t xml:space="preserve">prior-2026-10-03-v1</x:t>
        </x:is>
      </x:c>
      <x:c r="AA747" s="604" t="inlineStr">
        <x:is>
          <x:t xml:space="preserve">C</x:t>
        </x:is>
      </x:c>
      <x:c r="AB747" s="604" t="n">
        <x:v>0.4062673622006668</x:v>
      </x:c>
      <x:c r="AC747" s="604" t="n">
        <x:v>0.2569072202842421</x:v>
      </x:c>
      <x:c r="AD747" s="604" t="n"/>
      <x:c r="AE747" s="604" t="n"/>
      <x:c r="AF747" s="604" t="n">
        <x:v>0.3368254175150912</x:v>
      </x:c>
      <x:c r="AG747" s="604" t="n">
        <x:v>0.0535208922951439</x:v>
      </x:c>
      <x:c r="AH747" s="604" t="n"/>
      <x:c r="AI747" s="604" t="n"/>
      <x:c r="AJ747" s="604" t="n">
        <x:v>0.0535208922951439</x:v>
      </x:c>
      <x:c r="AK747" s="604" t="n"/>
      <x:c r="AL747" s="604" t="n"/>
      <x:c r="AM747" s="604" t="n"/>
      <x:c r="AN747" s="604" t="inlineStr">
        <x:is>
          <x:t xml:space="preserve">EVALUATED</x:t>
        </x:is>
      </x:c>
      <x:c r="AO747" s="604" t="inlineStr">
        <x:is>
          <x:t xml:space="preserve">EDGE_BELOW_UNCERTAINTY_THRESHOLD、BUCKET_PRIOR_ONLY、INTENT_INTERPRETATION_ONLY、EXPERT_MARKET</x:t>
        </x:is>
      </x:c>
      <x:c r="AP747" s="604" t="inlineStr">
        <x:is>
          <x:t xml:space="preserve">3d6bc24911fadcdcb21d</x:t>
        </x:is>
      </x:c>
      <x:c r="AQ747" s="604" t="n">
        <x:v>0</x:v>
      </x:c>
      <x:c r="AR747" s="604" t="n"/>
      <x:c r="AS747" s="604" t="n">
        <x:v>0</x:v>
      </x:c>
      <x:c r="AT747" s="604" t="n">
        <x:v>0</x:v>
      </x:c>
      <x:c r="AU747" s="604" t="n">
        <x:v>0.97</x:v>
      </x:c>
      <x:c r="AV747" s="604" t="n">
        <x:v>0.73</x:v>
      </x:c>
      <x:c r="AW747" s="604" t="n">
        <x:v>46298.06050486111</x:v>
      </x:c>
      <x:c r="AX747" s="604" t="inlineStr">
        <x:is>
          <x:t xml:space="preserve">https://simondongxiao.github.io/odds/v4/</x:t>
        </x:is>
      </x:c>
      <x:c r="AY747" s="604" t="inlineStr">
        <x:is>
          <x:t xml:space="preserve">V4 Shadow Only；real_money=false；P(EV&gt;0)不是比赛胜率</x:t>
        </x:is>
      </x:c>
    </x:row>
    <x:row r="748" ht="22" customHeight="1">
      <x:c r="A748" s="604" t="inlineStr">
        <x:is>
          <x:t xml:space="preserve">2026-10-03</x:t>
        </x:is>
      </x:c>
      <x:c r="B748" s="604" t="inlineStr">
        <x:is>
          <x:t xml:space="preserve">2026-10-03 22:00</x:t>
        </x:is>
      </x:c>
      <x:c r="C748" s="604" t="str">
        <x:v>欧洲非五大系列</x:v>
      </x:c>
      <x:c r="D748" s="604" t="inlineStr">
        <x:is>
          <x:t xml:space="preserve">联赛</x:t>
        </x:is>
      </x:c>
      <x:c r="E748" s="604" t="inlineStr">
        <x:is>
          <x:t xml:space="preserve">苏冠</x:t>
        </x:is>
      </x:c>
      <x:c r="F748" s="604" t="inlineStr">
        <x:is>
          <x:t xml:space="preserve">利文斯顿 vs 艾尔联</x:t>
        </x:is>
      </x:c>
      <x:c r="G748" s="604" t="n">
        <x:v>0.92</x:v>
      </x:c>
      <x:c r="H748" s="604" t="n">
        <x:v>0</x:v>
      </x:c>
      <x:c r="I748" s="604" t="n">
        <x:v>0.78</x:v>
      </x:c>
      <x:c r="J748" s="604" t="inlineStr">
        <x:is>
          <x:t xml:space="preserve">0.92/0/0.78</x:t>
        </x:is>
      </x:c>
      <x:c r="K748" s="604" t="inlineStr">
        <x:is>
          <x:t xml:space="preserve">V4-C｜EV +0.0579</x:t>
        </x:is>
      </x:c>
      <x:c r="L748" s="604" t="str"/>
      <x:c r="M748" s="604" t="n">
        <x:v>0.5613778662237818</x:v>
      </x:c>
      <x:c r="N748" s="604" t="inlineStr">
        <x:is>
          <x:t xml:space="preserve">V4纸面入选-C</x:t>
        </x:is>
      </x:c>
      <x:c r="O748" s="604" t="inlineStr">
        <x:is>
          <x:t xml:space="preserve">1-2</x:t>
        </x:is>
      </x:c>
      <x:c r="P748" s="604" t="inlineStr">
        <x:is>
          <x:t xml:space="preserve">已结算</x:t>
        </x:is>
      </x:c>
      <x:c r="Q748" s="646" t="inlineStr">
        <x:is>
          <x:t xml:space="preserve">黑</x:t>
        </x:is>
      </x:c>
      <x:c r="R748" s="604" t="n">
        <x:v>0.78</x:v>
      </x:c>
      <x:c r="S748" s="604" t="n">
        <x:f>IF(OR(Q748="",Q748="待结算"),"",IF(Q748="红",R748,IF(Q748="半红",R748*0.5,IF(Q748="走",0,IF(Q748="半黑",-0.5,-1)))))</x:f>
        <x:v>-1</x:v>
      </x:c>
      <x:c r="T748" s="604" t="inlineStr">
        <x:is>
          <x:t xml:space="preserve">https://m.titan007.com/analy/Analysis/3002273.htm</x:t>
        </x:is>
      </x:c>
      <x:c r="U748" s="645" t="str">
        <x:f>IF(Q748="","",IF(Q748="待结算","待结算",IF(Q748="红","黑",IF(Q748="半红","半黑",IF(Q748="走","走",IF(Q748="半黑","半红","红"))))))</x:f>
        <x:v>红</x:v>
      </x:c>
      <x:c r="V748" s="604" t="n">
        <x:f>IF(OR(Q748="",Q748="待结算"),"",IF(L748=LEFT(F748,FIND(" vs ",F748)-1),I748,G748))</x:f>
        <x:v>0.92</x:v>
      </x:c>
      <x:c r="W748" s="604" t="n">
        <x:f>IF(OR(U748="",U748="待结算"),"",IF(U748="红",V748,IF(U748="半红",V748*0.5,IF(U748="走",0,IF(U748="半黑",-0.5,-1)))))</x:f>
        <x:v>0.92</x:v>
      </x:c>
      <x:c r="X748" s="604" t="inlineStr">
        <x:is>
          <x:t xml:space="preserve">3002273</x:t>
        </x:is>
      </x:c>
      <x:c r="Y748" s="604" t="inlineStr">
        <x:is>
          <x:t xml:space="preserve">V4</x:t>
        </x:is>
      </x:c>
      <x:c r="Z748" s="604" t="inlineStr">
        <x:is>
          <x:t xml:space="preserve">prior-2026-10-03-v1</x:t>
        </x:is>
      </x:c>
      <x:c r="AA748" s="604" t="inlineStr">
        <x:is>
          <x:t xml:space="preserve">C</x:t>
        </x:is>
      </x:c>
      <x:c r="AB748" s="604" t="n">
        <x:v>0.4174892945625848</x:v>
      </x:c>
      <x:c r="AC748" s="604" t="n"/>
      <x:c r="AD748" s="604" t="n">
        <x:v>0.2563132255802882</x:v>
      </x:c>
      <x:c r="AE748" s="604" t="n"/>
      <x:c r="AF748" s="604" t="n">
        <x:v>0.326197479857127</x:v>
      </x:c>
      <x:c r="AG748" s="604" t="n">
        <x:v>0.05789267114045094</x:v>
      </x:c>
      <x:c r="AH748" s="604" t="n"/>
      <x:c r="AI748" s="604" t="n"/>
      <x:c r="AJ748" s="604" t="n">
        <x:v>0.05789267114045094</x:v>
      </x:c>
      <x:c r="AK748" s="604" t="n"/>
      <x:c r="AL748" s="604" t="n"/>
      <x:c r="AM748" s="604" t="n"/>
      <x:c r="AN748" s="604" t="inlineStr">
        <x:is>
          <x:t xml:space="preserve">EVALUATED</x:t>
        </x:is>
      </x:c>
      <x:c r="AO748" s="604" t="inlineStr">
        <x:is>
          <x:t xml:space="preserve">EDGE_BELOW_UNCERTAINTY_THRESHOLD、BUCKET_PRIOR_ONLY、INTENT_INTERPRETATION_ONLY、EXPERT_MARKET</x:t>
        </x:is>
      </x:c>
      <x:c r="AP748" s="604" t="inlineStr">
        <x:is>
          <x:t xml:space="preserve">26552db5407b67d8bdec</x:t>
        </x:is>
      </x:c>
      <x:c r="AQ748" s="604" t="n">
        <x:v>0</x:v>
      </x:c>
      <x:c r="AR748" s="604" t="n"/>
      <x:c r="AS748" s="604" t="n">
        <x:v>0</x:v>
      </x:c>
      <x:c r="AT748" s="604" t="n">
        <x:v>0</x:v>
      </x:c>
      <x:c r="AU748" s="604" t="n">
        <x:v>0.92</x:v>
      </x:c>
      <x:c r="AV748" s="604" t="n">
        <x:v>0.78</x:v>
      </x:c>
      <x:c r="AW748" s="604" t="n">
        <x:v>46298.06050486111</x:v>
      </x:c>
      <x:c r="AX748" s="604" t="inlineStr">
        <x:is>
          <x:t xml:space="preserve">https://simondongxiao.github.io/odds/v4/</x:t>
        </x:is>
      </x:c>
      <x:c r="AY748" s="604" t="inlineStr">
        <x:is>
          <x:t xml:space="preserve">V4 Shadow Only；real_money=false；P(EV&gt;0)不是比赛胜率</x:t>
        </x:is>
      </x:c>
    </x:row>
    <x:row r="749" ht="22" customHeight="1">
      <x:c r="A749" s="604" t="inlineStr">
        <x:is>
          <x:t xml:space="preserve">2026-10-03</x:t>
        </x:is>
      </x:c>
      <x:c r="B749" s="604" t="inlineStr">
        <x:is>
          <x:t xml:space="preserve">2026-10-03 22:00</x:t>
        </x:is>
      </x:c>
      <x:c r="C749" s="604" t="str">
        <x:v>欧洲非五大系列</x:v>
      </x:c>
      <x:c r="D749" s="604" t="inlineStr">
        <x:is>
          <x:t xml:space="preserve">联赛</x:t>
        </x:is>
      </x:c>
      <x:c r="E749" s="604" t="inlineStr">
        <x:is>
          <x:t xml:space="preserve">苏冠</x:t>
        </x:is>
      </x:c>
      <x:c r="F749" s="604" t="inlineStr">
        <x:is>
          <x:t xml:space="preserve">帕尔蒂克 vs 阿布罗斯</x:t>
        </x:is>
      </x:c>
      <x:c r="G749" s="604" t="n">
        <x:v>0.93</x:v>
      </x:c>
      <x:c r="H749" s="604" t="n">
        <x:v>1.25</x:v>
      </x:c>
      <x:c r="I749" s="604" t="n">
        <x:v>0.77</x:v>
      </x:c>
      <x:c r="J749" s="604" t="inlineStr">
        <x:is>
          <x:t xml:space="preserve">0.93/1.25/0.77</x:t>
        </x:is>
      </x:c>
      <x:c r="K749" s="604" t="inlineStr">
        <x:is>
          <x:t xml:space="preserve">V4-C｜EV +0.0934</x:t>
        </x:is>
      </x:c>
      <x:c r="L749" s="604" t="inlineStr">
        <x:is>
          <x:t xml:space="preserve">帕尔蒂克</x:t>
        </x:is>
      </x:c>
      <x:c r="M749" s="604" t="n">
        <x:v>0.5734652758754443</x:v>
      </x:c>
      <x:c r="N749" s="604" t="inlineStr">
        <x:is>
          <x:t xml:space="preserve">V4纸面入选-C</x:t>
        </x:is>
      </x:c>
      <x:c r="O749" s="604" t="inlineStr">
        <x:is>
          <x:t xml:space="preserve">3-0</x:t>
        </x:is>
      </x:c>
      <x:c r="P749" s="604" t="inlineStr">
        <x:is>
          <x:t xml:space="preserve">已结算</x:t>
        </x:is>
      </x:c>
      <x:c r="Q749" s="645" t="inlineStr">
        <x:is>
          <x:t xml:space="preserve">红</x:t>
        </x:is>
      </x:c>
      <x:c r="R749" s="604" t="n">
        <x:v>0.93</x:v>
      </x:c>
      <x:c r="S749" s="604" t="n">
        <x:f>IF(OR(Q749="",Q749="待结算"),"",IF(Q749="红",R749,IF(Q749="半红",R749*0.5,IF(Q749="走",0,IF(Q749="半黑",-0.5,-1)))))</x:f>
        <x:v>0.93</x:v>
      </x:c>
      <x:c r="T749" s="604" t="inlineStr">
        <x:is>
          <x:t xml:space="preserve">https://m.titan007.com/analy/Analysis/3002274.htm</x:t>
        </x:is>
      </x:c>
      <x:c r="U749" s="646" t="str">
        <x:f>IF(Q749="","",IF(Q749="待结算","待结算",IF(Q749="红","黑",IF(Q749="半红","半黑",IF(Q749="走","走",IF(Q749="半黑","半红","红"))))))</x:f>
        <x:v>黑</x:v>
      </x:c>
      <x:c r="V749" s="604" t="n">
        <x:f>IF(OR(Q749="",Q749="待结算"),"",IF(L749=LEFT(F749,FIND(" vs ",F749)-1),I749,G749))</x:f>
        <x:v>0.77</x:v>
      </x:c>
      <x:c r="W749" s="604" t="n">
        <x:f>IF(OR(U749="",U749="待结算"),"",IF(U749="红",V749,IF(U749="半红",V749*0.5,IF(U749="走",0,IF(U749="半黑",-0.5,-1)))))</x:f>
        <x:v>-1</x:v>
      </x:c>
      <x:c r="X749" s="604" t="inlineStr">
        <x:is>
          <x:t xml:space="preserve">3002274</x:t>
        </x:is>
      </x:c>
      <x:c r="Y749" s="604" t="inlineStr">
        <x:is>
          <x:t xml:space="preserve">V4</x:t>
        </x:is>
      </x:c>
      <x:c r="Z749" s="604" t="inlineStr">
        <x:is>
          <x:t xml:space="preserve">prior-2026-10-03-v1</x:t>
        </x:is>
      </x:c>
      <x:c r="AA749" s="604" t="inlineStr">
        <x:is>
          <x:t xml:space="preserve">C</x:t>
        </x:is>
      </x:c>
      <x:c r="AB749" s="604" t="n">
        <x:v>0.5016965234162317</x:v>
      </x:c>
      <x:c r="AC749" s="604" t="n"/>
      <x:c r="AD749" s="604" t="n"/>
      <x:c r="AE749" s="604" t="n">
        <x:v>0.2502985114474503</x:v>
      </x:c>
      <x:c r="AF749" s="604" t="n">
        <x:v>0.248004965136318</x:v>
      </x:c>
      <x:c r="AG749" s="604" t="n">
        <x:v>0.09342354591705232</x:v>
      </x:c>
      <x:c r="AH749" s="604" t="n"/>
      <x:c r="AI749" s="604" t="n"/>
      <x:c r="AJ749" s="604" t="n">
        <x:v>0.09342354591705232</x:v>
      </x:c>
      <x:c r="AK749" s="604" t="n"/>
      <x:c r="AL749" s="604" t="n"/>
      <x:c r="AM749" s="604" t="n"/>
      <x:c r="AN749" s="604" t="inlineStr">
        <x:is>
          <x:t xml:space="preserve">EVALUATED</x:t>
        </x:is>
      </x:c>
      <x:c r="AO749" s="604" t="inlineStr">
        <x:is>
          <x:t xml:space="preserve">GIVING_VALIDATED_EDGE、BUCKET_PRIOR_ONLY、INTENT_INTERPRETATION_ONLY、EXPERT_MARKET</x:t>
        </x:is>
      </x:c>
      <x:c r="AP749" s="604" t="inlineStr">
        <x:is>
          <x:t xml:space="preserve">5a3e4070864c5be60719</x:t>
        </x:is>
      </x:c>
      <x:c r="AQ749" s="604" t="n">
        <x:v>-1.25</x:v>
      </x:c>
      <x:c r="AR749" s="604" t="n">
        <x:v>0.93</x:v>
      </x:c>
      <x:c r="AS749" s="604" t="n">
        <x:v>1.25</x:v>
      </x:c>
      <x:c r="AT749" s="604" t="n">
        <x:v>-1.25</x:v>
      </x:c>
      <x:c r="AU749" s="604" t="n">
        <x:v>0.93</x:v>
      </x:c>
      <x:c r="AV749" s="604" t="n">
        <x:v>0.77</x:v>
      </x:c>
      <x:c r="AW749" s="604" t="n">
        <x:v>46298.06050486111</x:v>
      </x:c>
      <x:c r="AX749" s="604" t="inlineStr">
        <x:is>
          <x:t xml:space="preserve">https://simondongxiao.github.io/odds/v4/</x:t>
        </x:is>
      </x:c>
      <x:c r="AY749" s="604" t="inlineStr">
        <x:is>
          <x:t xml:space="preserve">V4 Shadow Only；real_money=false；P(EV&gt;0)不是比赛胜率</x:t>
        </x:is>
      </x:c>
    </x:row>
    <x:row r="750" ht="22" customHeight="1">
      <x:c r="A750" s="604" t="inlineStr">
        <x:is>
          <x:t xml:space="preserve">2026-10-03</x:t>
        </x:is>
      </x:c>
      <x:c r="B750" s="604" t="inlineStr">
        <x:is>
          <x:t xml:space="preserve">2026-10-03 22:00</x:t>
        </x:is>
      </x:c>
      <x:c r="C750" s="604" t="str">
        <x:v>欧洲非五大系列</x:v>
      </x:c>
      <x:c r="D750" s="604" t="inlineStr">
        <x:is>
          <x:t xml:space="preserve">联赛</x:t>
        </x:is>
      </x:c>
      <x:c r="E750" s="604" t="inlineStr">
        <x:is>
          <x:t xml:space="preserve">苏甲</x:t>
        </x:is>
      </x:c>
      <x:c r="F750" s="604" t="inlineStr">
        <x:is>
          <x:t xml:space="preserve">东法夫郡 vs 东基尔布莱德</x:t>
        </x:is>
      </x:c>
      <x:c r="G750" s="604" t="n">
        <x:v>0.9399999999999999</x:v>
      </x:c>
      <x:c r="H750" s="604" t="n">
        <x:v>0</x:v>
      </x:c>
      <x:c r="I750" s="604" t="n">
        <x:v>0.76</x:v>
      </x:c>
      <x:c r="J750" s="604" t="inlineStr">
        <x:is>
          <x:t xml:space="preserve">0.94/0/0.76</x:t>
        </x:is>
      </x:c>
      <x:c r="K750" s="604" t="inlineStr">
        <x:is>
          <x:t xml:space="preserve">V4-C｜EV +0.0459</x:t>
        </x:is>
      </x:c>
      <x:c r="L750" s="604" t="str"/>
      <x:c r="M750" s="604" t="n">
        <x:v>0.5979561599449086</x:v>
      </x:c>
      <x:c r="N750" s="604" t="inlineStr">
        <x:is>
          <x:t xml:space="preserve">V4纸面入选-C</x:t>
        </x:is>
      </x:c>
      <x:c r="O750" s="604" t="inlineStr">
        <x:is>
          <x:t xml:space="preserve">0-3</x:t>
        </x:is>
      </x:c>
      <x:c r="P750" s="604" t="inlineStr">
        <x:is>
          <x:t xml:space="preserve">已结算</x:t>
        </x:is>
      </x:c>
      <x:c r="Q750" s="646" t="inlineStr">
        <x:is>
          <x:t xml:space="preserve">黑</x:t>
        </x:is>
      </x:c>
      <x:c r="R750" s="604" t="n">
        <x:v>0.76</x:v>
      </x:c>
      <x:c r="S750" s="604" t="n">
        <x:f>IF(OR(Q750="",Q750="待结算"),"",IF(Q750="红",R750,IF(Q750="半红",R750*0.5,IF(Q750="走",0,IF(Q750="半黑",-0.5,-1)))))</x:f>
        <x:v>-1</x:v>
      </x:c>
      <x:c r="T750" s="604" t="inlineStr">
        <x:is>
          <x:t xml:space="preserve">https://m.titan007.com/analy/Analysis/3002453.htm</x:t>
        </x:is>
      </x:c>
      <x:c r="U750" s="645" t="str">
        <x:f>IF(Q750="","",IF(Q750="待结算","待结算",IF(Q750="红","黑",IF(Q750="半红","半黑",IF(Q750="走","走",IF(Q750="半黑","半红","红"))))))</x:f>
        <x:v>红</x:v>
      </x:c>
      <x:c r="V750" s="604" t="n">
        <x:f>IF(OR(Q750="",Q750="待结算"),"",IF(L750=LEFT(F750,FIND(" vs ",F750)-1),I750,G750))</x:f>
        <x:v>0.94</x:v>
      </x:c>
      <x:c r="W750" s="604" t="n">
        <x:f>IF(OR(U750="",U750="待结算"),"",IF(U750="红",V750,IF(U750="半红",V750*0.5,IF(U750="走",0,IF(U750="半黑",-0.5,-1)))))</x:f>
        <x:v>0.94</x:v>
      </x:c>
      <x:c r="X750" s="604" t="inlineStr">
        <x:is>
          <x:t xml:space="preserve">3002453</x:t>
        </x:is>
      </x:c>
      <x:c r="Y750" s="604" t="inlineStr">
        <x:is>
          <x:t xml:space="preserve">V4</x:t>
        </x:is>
      </x:c>
      <x:c r="Z750" s="604" t="inlineStr">
        <x:is>
          <x:t xml:space="preserve">prior-2026-10-03-v1</x:t>
        </x:is>
      </x:c>
      <x:c r="AA750" s="604" t="inlineStr">
        <x:is>
          <x:t xml:space="preserve">C</x:t>
        </x:is>
      </x:c>
      <x:c r="AB750" s="604" t="n">
        <x:v>0.5240005755242821</x:v>
      </x:c>
      <x:c r="AC750" s="604" t="n"/>
      <x:c r="AD750" s="604" t="n"/>
      <x:c r="AE750" s="604" t="n">
        <x:v>0.2473612260385115</x:v>
      </x:c>
      <x:c r="AF750" s="604" t="n">
        <x:v>0.2286381984372063</x:v>
      </x:c>
      <x:c r="AG750" s="604" t="n">
        <x:v>0.04592162594199234</x:v>
      </x:c>
      <x:c r="AH750" s="604" t="n"/>
      <x:c r="AI750" s="604" t="n"/>
      <x:c r="AJ750" s="604" t="n">
        <x:v>0.04592162594199234</x:v>
      </x:c>
      <x:c r="AK750" s="604" t="n"/>
      <x:c r="AL750" s="604" t="n"/>
      <x:c r="AM750" s="604" t="n"/>
      <x:c r="AN750" s="604" t="inlineStr">
        <x:is>
          <x:t xml:space="preserve">EVALUATED</x:t>
        </x:is>
      </x:c>
      <x:c r="AO750" s="604" t="inlineStr">
        <x:is>
          <x:t xml:space="preserve">EDGE_BELOW_UNCERTAINTY_THRESHOLD、BUCKET_PRIOR_ONLY、INTENT_INTERPRETATION_ONLY、EXPERT_MARKET</x:t>
        </x:is>
      </x:c>
      <x:c r="AP750" s="604" t="inlineStr">
        <x:is>
          <x:t xml:space="preserve">ae97f205e94566b9ff7a</x:t>
        </x:is>
      </x:c>
      <x:c r="AQ750" s="604" t="n">
        <x:v>0</x:v>
      </x:c>
      <x:c r="AR750" s="604" t="n"/>
      <x:c r="AS750" s="604" t="n">
        <x:v>0</x:v>
      </x:c>
      <x:c r="AT750" s="604" t="n">
        <x:v>0</x:v>
      </x:c>
      <x:c r="AU750" s="604" t="n">
        <x:v>0.9399999999999999</x:v>
      </x:c>
      <x:c r="AV750" s="604" t="n">
        <x:v>0.76</x:v>
      </x:c>
      <x:c r="AW750" s="604" t="n">
        <x:v>46298.06050486111</x:v>
      </x:c>
      <x:c r="AX750" s="604" t="inlineStr">
        <x:is>
          <x:t xml:space="preserve">https://simondongxiao.github.io/odds/v4/</x:t>
        </x:is>
      </x:c>
      <x:c r="AY750" s="604" t="inlineStr">
        <x:is>
          <x:t xml:space="preserve">V4 Shadow Only；real_money=false；P(EV&gt;0)不是比赛胜率</x:t>
        </x:is>
      </x:c>
    </x:row>
    <x:row r="751" ht="22" customHeight="1">
      <x:c r="A751" s="604" t="inlineStr">
        <x:is>
          <x:t xml:space="preserve">2026-10-03</x:t>
        </x:is>
      </x:c>
      <x:c r="B751" s="604" t="inlineStr">
        <x:is>
          <x:t xml:space="preserve">2026-10-03 22:00</x:t>
        </x:is>
      </x:c>
      <x:c r="C751" s="604" t="str">
        <x:v>欧洲非五大系列</x:v>
      </x:c>
      <x:c r="D751" s="604" t="inlineStr">
        <x:is>
          <x:t xml:space="preserve">联赛</x:t>
        </x:is>
      </x:c>
      <x:c r="E751" s="604" t="inlineStr">
        <x:is>
          <x:t xml:space="preserve">苏甲</x:t>
        </x:is>
      </x:c>
      <x:c r="F751" s="604" t="inlineStr">
        <x:is>
          <x:t xml:space="preserve">罗斯郡 vs 艾洛亚</x:t>
        </x:is>
      </x:c>
      <x:c r="G751" s="604" t="n">
        <x:v>0.82</x:v>
      </x:c>
      <x:c r="H751" s="604" t="n">
        <x:v>1.5</x:v>
      </x:c>
      <x:c r="I751" s="604" t="n">
        <x:v>0.88</x:v>
      </x:c>
      <x:c r="J751" s="604" t="inlineStr">
        <x:is>
          <x:t xml:space="preserve">0.82/1.5/0.88</x:t>
        </x:is>
      </x:c>
      <x:c r="K751" s="604" t="inlineStr">
        <x:is>
          <x:t xml:space="preserve">V4-B｜EV +0.1665</x:t>
        </x:is>
      </x:c>
      <x:c r="L751" s="604" t="inlineStr">
        <x:is>
          <x:t xml:space="preserve">罗斯郡</x:t>
        </x:is>
      </x:c>
      <x:c r="M751" s="604" t="n">
        <x:v>0.6409116857591985</x:v>
      </x:c>
      <x:c r="N751" s="604" t="inlineStr">
        <x:is>
          <x:t xml:space="preserve">V4纸面入选-B</x:t>
        </x:is>
      </x:c>
      <x:c r="O751" s="604" t="inlineStr">
        <x:is>
          <x:t xml:space="preserve">4-1</x:t>
        </x:is>
      </x:c>
      <x:c r="P751" s="604" t="inlineStr">
        <x:is>
          <x:t xml:space="preserve">已结算</x:t>
        </x:is>
      </x:c>
      <x:c r="Q751" s="645" t="inlineStr">
        <x:is>
          <x:t xml:space="preserve">红</x:t>
        </x:is>
      </x:c>
      <x:c r="R751" s="604" t="n">
        <x:v>0.82</x:v>
      </x:c>
      <x:c r="S751" s="604" t="n">
        <x:f>IF(OR(Q751="",Q751="待结算"),"",IF(Q751="红",R751,IF(Q751="半红",R751*0.5,IF(Q751="走",0,IF(Q751="半黑",-0.5,-1)))))</x:f>
        <x:v>0.82</x:v>
      </x:c>
      <x:c r="T751" s="604" t="inlineStr">
        <x:is>
          <x:t xml:space="preserve">https://m.titan007.com/analy/Analysis/3002456.htm</x:t>
        </x:is>
      </x:c>
      <x:c r="U751" s="646" t="str">
        <x:f>IF(Q751="","",IF(Q751="待结算","待结算",IF(Q751="红","黑",IF(Q751="半红","半黑",IF(Q751="走","走",IF(Q751="半黑","半红","红"))))))</x:f>
        <x:v>黑</x:v>
      </x:c>
      <x:c r="V751" s="604" t="n">
        <x:f>IF(OR(Q751="",Q751="待结算"),"",IF(L751=LEFT(F751,FIND(" vs ",F751)-1),I751,G751))</x:f>
        <x:v>0.88</x:v>
      </x:c>
      <x:c r="W751" s="604" t="n">
        <x:f>IF(OR(U751="",U751="待结算"),"",IF(U751="红",V751,IF(U751="半红",V751*0.5,IF(U751="走",0,IF(U751="半黑",-0.5,-1)))))</x:f>
        <x:v>-1</x:v>
      </x:c>
      <x:c r="X751" s="604" t="inlineStr">
        <x:is>
          <x:t xml:space="preserve">3002456</x:t>
        </x:is>
      </x:c>
      <x:c r="Y751" s="604" t="inlineStr">
        <x:is>
          <x:t xml:space="preserve">V4</x:t>
        </x:is>
      </x:c>
      <x:c r="Z751" s="604" t="inlineStr">
        <x:is>
          <x:t xml:space="preserve">prior-2026-10-03-v1</x:t>
        </x:is>
      </x:c>
      <x:c r="AA751" s="604" t="inlineStr">
        <x:is>
          <x:t xml:space="preserve">B</x:t>
        </x:is>
      </x:c>
      <x:c r="AB751" s="604" t="n">
        <x:v>0.6409116857591985</x:v>
      </x:c>
      <x:c r="AC751" s="604" t="n"/>
      <x:c r="AD751" s="604" t="n"/>
      <x:c r="AE751" s="604" t="n"/>
      <x:c r="AF751" s="604" t="n">
        <x:v>0.3590883142408015</x:v>
      </x:c>
      <x:c r="AG751" s="604" t="n">
        <x:v>0.1664592680817413</x:v>
      </x:c>
      <x:c r="AH751" s="604" t="n"/>
      <x:c r="AI751" s="604" t="n"/>
      <x:c r="AJ751" s="604" t="n">
        <x:v>0.1664592680817413</x:v>
      </x:c>
      <x:c r="AK751" s="604" t="n"/>
      <x:c r="AL751" s="604" t="n"/>
      <x:c r="AM751" s="604" t="n"/>
      <x:c r="AN751" s="604" t="inlineStr">
        <x:is>
          <x:t xml:space="preserve">EVALUATED</x:t>
        </x:is>
      </x:c>
      <x:c r="AO751" s="604" t="inlineStr">
        <x:is>
          <x:t xml:space="preserve">GIVING_VALIDATED_EDGE、BUCKET_PRIOR_ONLY、INTENT_INTERPRETATION_ONLY、EXPERT_MARKET</x:t>
        </x:is>
      </x:c>
      <x:c r="AP751" s="604" t="inlineStr">
        <x:is>
          <x:t xml:space="preserve">82a8a2e0b8825e4ad748</x:t>
        </x:is>
      </x:c>
      <x:c r="AQ751" s="604" t="n">
        <x:v>-1.5</x:v>
      </x:c>
      <x:c r="AR751" s="604" t="n">
        <x:v>0.82</x:v>
      </x:c>
      <x:c r="AS751" s="604" t="n">
        <x:v>1.5</x:v>
      </x:c>
      <x:c r="AT751" s="604" t="n">
        <x:v>-1.5</x:v>
      </x:c>
      <x:c r="AU751" s="604" t="n">
        <x:v>0.82</x:v>
      </x:c>
      <x:c r="AV751" s="604" t="n">
        <x:v>0.88</x:v>
      </x:c>
      <x:c r="AW751" s="604" t="n">
        <x:v>46298.06050486111</x:v>
      </x:c>
      <x:c r="AX751" s="604" t="inlineStr">
        <x:is>
          <x:t xml:space="preserve">https://simondongxiao.github.io/odds/v4/</x:t>
        </x:is>
      </x:c>
      <x:c r="AY751" s="604" t="inlineStr">
        <x:is>
          <x:t xml:space="preserve">V4 Shadow Only；real_money=false；P(EV&gt;0)不是比赛胜率</x:t>
        </x:is>
      </x:c>
    </x:row>
    <x:row r="752" ht="22" customHeight="1">
      <x:c r="A752" s="604" t="inlineStr">
        <x:is>
          <x:t xml:space="preserve">2026-10-03</x:t>
        </x:is>
      </x:c>
      <x:c r="B752" s="604" t="inlineStr">
        <x:is>
          <x:t xml:space="preserve">2026-10-03 22:00</x:t>
        </x:is>
      </x:c>
      <x:c r="C752" s="604" t="str">
        <x:v>欧洲非五大系列</x:v>
      </x:c>
      <x:c r="D752" s="604" t="inlineStr">
        <x:is>
          <x:t xml:space="preserve">联赛</x:t>
        </x:is>
      </x:c>
      <x:c r="E752" s="604" t="inlineStr">
        <x:is>
          <x:t xml:space="preserve">苏乙</x:t>
        </x:is>
      </x:c>
      <x:c r="F752" s="604" t="inlineStr">
        <x:is>
          <x:t xml:space="preserve">安南竞技 vs 艾比安斯特宁</x:t>
        </x:is>
      </x:c>
      <x:c r="G752" s="604" t="n">
        <x:v>0.87</x:v>
      </x:c>
      <x:c r="H752" s="604" t="n">
        <x:v>0</x:v>
      </x:c>
      <x:c r="I752" s="604" t="n">
        <x:v>0.83</x:v>
      </x:c>
      <x:c r="J752" s="604" t="inlineStr">
        <x:is>
          <x:t xml:space="preserve">0.87/0/0.83</x:t>
        </x:is>
      </x:c>
      <x:c r="K752" s="604" t="inlineStr">
        <x:is>
          <x:t xml:space="preserve">V4-C｜EV +0.0215</x:t>
        </x:is>
      </x:c>
      <x:c r="L752" s="604" t="str"/>
      <x:c r="M752" s="604" t="n">
        <x:v>0.5479605663601241</x:v>
      </x:c>
      <x:c r="N752" s="604" t="inlineStr">
        <x:is>
          <x:t xml:space="preserve">V4纸面入选-C</x:t>
        </x:is>
      </x:c>
      <x:c r="O752" s="604" t="inlineStr">
        <x:is>
          <x:t xml:space="preserve">0-1</x:t>
        </x:is>
      </x:c>
      <x:c r="P752" s="604" t="inlineStr">
        <x:is>
          <x:t xml:space="preserve">已结算</x:t>
        </x:is>
      </x:c>
      <x:c r="Q752" s="646" t="inlineStr">
        <x:is>
          <x:t xml:space="preserve">黑</x:t>
        </x:is>
      </x:c>
      <x:c r="R752" s="604" t="n">
        <x:v>0.83</x:v>
      </x:c>
      <x:c r="S752" s="604" t="n">
        <x:f>IF(OR(Q752="",Q752="待结算"),"",IF(Q752="红",R752,IF(Q752="半红",R752*0.5,IF(Q752="走",0,IF(Q752="半黑",-0.5,-1)))))</x:f>
        <x:v>-1</x:v>
      </x:c>
      <x:c r="T752" s="604" t="inlineStr">
        <x:is>
          <x:t xml:space="preserve">https://m.titan007.com/analy/Analysis/3002632.htm</x:t>
        </x:is>
      </x:c>
      <x:c r="U752" s="645" t="str">
        <x:f>IF(Q752="","",IF(Q752="待结算","待结算",IF(Q752="红","黑",IF(Q752="半红","半黑",IF(Q752="走","走",IF(Q752="半黑","半红","红"))))))</x:f>
        <x:v>红</x:v>
      </x:c>
      <x:c r="V752" s="604" t="n">
        <x:f>IF(OR(Q752="",Q752="待结算"),"",IF(L752=LEFT(F752,FIND(" vs ",F752)-1),I752,G752))</x:f>
        <x:v>0.87</x:v>
      </x:c>
      <x:c r="W752" s="604" t="n">
        <x:f>IF(OR(U752="",U752="待结算"),"",IF(U752="红",V752,IF(U752="半红",V752*0.5,IF(U752="走",0,IF(U752="半黑",-0.5,-1)))))</x:f>
        <x:v>0.87</x:v>
      </x:c>
      <x:c r="X752" s="604" t="inlineStr">
        <x:is>
          <x:t xml:space="preserve">3002632</x:t>
        </x:is>
      </x:c>
      <x:c r="Y752" s="604" t="inlineStr">
        <x:is>
          <x:t xml:space="preserve">V4</x:t>
        </x:is>
      </x:c>
      <x:c r="Z752" s="604" t="inlineStr">
        <x:is>
          <x:t xml:space="preserve">prior-2026-10-03-v1</x:t>
        </x:is>
      </x:c>
      <x:c r="AA752" s="604" t="inlineStr">
        <x:is>
          <x:t xml:space="preserve">C</x:t>
        </x:is>
      </x:c>
      <x:c r="AB752" s="604" t="n">
        <x:v>0.3512727323849937</x:v>
      </x:c>
      <x:c r="AC752" s="604" t="n">
        <x:v>0.2541251221116342</x:v>
      </x:c>
      <x:c r="AD752" s="604" t="n"/>
      <x:c r="AE752" s="604" t="n"/>
      <x:c r="AF752" s="604" t="n">
        <x:v>0.3946021455033721</x:v>
      </x:c>
      <x:c r="AG752" s="604" t="n">
        <x:v>0.02154955979013329</x:v>
      </x:c>
      <x:c r="AH752" s="604" t="n"/>
      <x:c r="AI752" s="604" t="n"/>
      <x:c r="AJ752" s="604" t="n">
        <x:v>0.02154955979013329</x:v>
      </x:c>
      <x:c r="AK752" s="604" t="n"/>
      <x:c r="AL752" s="604" t="n"/>
      <x:c r="AM752" s="604" t="n"/>
      <x:c r="AN752" s="604" t="inlineStr">
        <x:is>
          <x:t xml:space="preserve">EVALUATED</x:t>
        </x:is>
      </x:c>
      <x:c r="AO752" s="604" t="inlineStr">
        <x:is>
          <x:t xml:space="preserve">EDGE_BELOW_UNCERTAINTY_THRESHOLD、BUCKET_PRIOR_ONLY、INTENT_INTERPRETATION_ONLY、EXPERT_MARKET</x:t>
        </x:is>
      </x:c>
      <x:c r="AP752" s="604" t="inlineStr">
        <x:is>
          <x:t xml:space="preserve">3609299820dd8883038b</x:t>
        </x:is>
      </x:c>
      <x:c r="AQ752" s="604" t="n">
        <x:v>0</x:v>
      </x:c>
      <x:c r="AR752" s="604" t="n"/>
      <x:c r="AS752" s="604" t="n">
        <x:v>0</x:v>
      </x:c>
      <x:c r="AT752" s="604" t="n">
        <x:v>0</x:v>
      </x:c>
      <x:c r="AU752" s="604" t="n">
        <x:v>0.87</x:v>
      </x:c>
      <x:c r="AV752" s="604" t="n">
        <x:v>0.83</x:v>
      </x:c>
      <x:c r="AW752" s="604" t="n">
        <x:v>46298.06050486111</x:v>
      </x:c>
      <x:c r="AX752" s="604" t="inlineStr">
        <x:is>
          <x:t xml:space="preserve">https://simondongxiao.github.io/odds/v4/</x:t>
        </x:is>
      </x:c>
      <x:c r="AY752" s="604" t="inlineStr">
        <x:is>
          <x:t xml:space="preserve">V4 Shadow Only；real_money=false；P(EV&gt;0)不是比赛胜率</x:t>
        </x:is>
      </x:c>
    </x:row>
    <x:row r="753" ht="22" customHeight="1">
      <x:c r="A753" s="604" t="inlineStr">
        <x:is>
          <x:t xml:space="preserve">2026-10-03</x:t>
        </x:is>
      </x:c>
      <x:c r="B753" s="604" t="inlineStr">
        <x:is>
          <x:t xml:space="preserve">2026-10-03 22:00</x:t>
        </x:is>
      </x:c>
      <x:c r="C753" s="604" t="str">
        <x:v>欧洲非五大系列</x:v>
      </x:c>
      <x:c r="D753" s="604" t="inlineStr">
        <x:is>
          <x:t xml:space="preserve">联赛</x:t>
        </x:is>
      </x:c>
      <x:c r="E753" s="604" t="inlineStr">
        <x:is>
          <x:t xml:space="preserve">苏乙</x:t>
        </x:is>
      </x:c>
      <x:c r="F753" s="604" t="inlineStr">
        <x:is>
          <x:t xml:space="preserve">埃尔金城 vs 加迪</x:t>
        </x:is>
      </x:c>
      <x:c r="G753" s="604" t="n">
        <x:v>0.87</x:v>
      </x:c>
      <x:c r="H753" s="604" t="n">
        <x:v>0</x:v>
      </x:c>
      <x:c r="I753" s="604" t="n">
        <x:v>0.83</x:v>
      </x:c>
      <x:c r="J753" s="604" t="inlineStr">
        <x:is>
          <x:t xml:space="preserve">0.87/0/0.83</x:t>
        </x:is>
      </x:c>
      <x:c r="K753" s="604" t="inlineStr">
        <x:is>
          <x:t xml:space="preserve">V4-C｜EV +0.0025</x:t>
        </x:is>
      </x:c>
      <x:c r="L753" s="604" t="str"/>
      <x:c r="M753" s="604" t="n">
        <x:v>0.4520012025799935</x:v>
      </x:c>
      <x:c r="N753" s="604" t="inlineStr">
        <x:is>
          <x:t xml:space="preserve">V4纸面入选-C</x:t>
        </x:is>
      </x:c>
      <x:c r="O753" s="604" t="inlineStr">
        <x:is>
          <x:t xml:space="preserve">6-2</x:t>
        </x:is>
      </x:c>
      <x:c r="P753" s="604" t="inlineStr">
        <x:is>
          <x:t xml:space="preserve">已结算</x:t>
        </x:is>
      </x:c>
      <x:c r="Q753" s="645" t="inlineStr">
        <x:is>
          <x:t xml:space="preserve">红</x:t>
        </x:is>
      </x:c>
      <x:c r="R753" s="604" t="n">
        <x:v>0.83</x:v>
      </x:c>
      <x:c r="S753" s="604" t="n">
        <x:f>IF(OR(Q753="",Q753="待结算"),"",IF(Q753="红",R753,IF(Q753="半红",R753*0.5,IF(Q753="走",0,IF(Q753="半黑",-0.5,-1)))))</x:f>
        <x:v>0.83</x:v>
      </x:c>
      <x:c r="T753" s="604" t="inlineStr">
        <x:is>
          <x:t xml:space="preserve">https://m.titan007.com/analy/Analysis/3002634.htm</x:t>
        </x:is>
      </x:c>
      <x:c r="U753" s="646" t="str">
        <x:f>IF(Q753="","",IF(Q753="待结算","待结算",IF(Q753="红","黑",IF(Q753="半红","半黑",IF(Q753="走","走",IF(Q753="半黑","半红","红"))))))</x:f>
        <x:v>黑</x:v>
      </x:c>
      <x:c r="V753" s="604" t="n">
        <x:f>IF(OR(Q753="",Q753="待结算"),"",IF(L753=LEFT(F753,FIND(" vs ",F753)-1),I753,G753))</x:f>
        <x:v>0.87</x:v>
      </x:c>
      <x:c r="W753" s="604" t="n">
        <x:f>IF(OR(U753="",U753="待结算"),"",IF(U753="红",V753,IF(U753="半红",V753*0.5,IF(U753="走",0,IF(U753="半黑",-0.5,-1)))))</x:f>
        <x:v>-1</x:v>
      </x:c>
      <x:c r="X753" s="604" t="inlineStr">
        <x:is>
          <x:t xml:space="preserve">3002634</x:t>
        </x:is>
      </x:c>
      <x:c r="Y753" s="604" t="inlineStr">
        <x:is>
          <x:t xml:space="preserve">V4</x:t>
        </x:is>
      </x:c>
      <x:c r="Z753" s="604" t="inlineStr">
        <x:is>
          <x:t xml:space="preserve">prior-2026-10-03-v1</x:t>
        </x:is>
      </x:c>
      <x:c r="AA753" s="604" t="inlineStr">
        <x:is>
          <x:t xml:space="preserve">C</x:t>
        </x:is>
      </x:c>
      <x:c r="AB753" s="604" t="n">
        <x:v>0.3926290971886446</x:v>
      </x:c>
      <x:c r="AC753" s="604" t="n"/>
      <x:c r="AD753" s="604" t="n"/>
      <x:c r="AE753" s="604" t="n">
        <x:v>0.262707731981494</x:v>
      </x:c>
      <x:c r="AF753" s="604" t="n">
        <x:v>0.3446631708298614</x:v>
      </x:c>
      <x:c r="AG753" s="604" t="n">
        <x:v>0.00246504337246034</x:v>
      </x:c>
      <x:c r="AH753" s="604" t="n"/>
      <x:c r="AI753" s="604" t="n"/>
      <x:c r="AJ753" s="604" t="n">
        <x:v>0.00246504337246034</x:v>
      </x:c>
      <x:c r="AK753" s="604" t="n"/>
      <x:c r="AL753" s="604" t="n"/>
      <x:c r="AM753" s="604" t="n"/>
      <x:c r="AN753" s="604" t="inlineStr">
        <x:is>
          <x:t xml:space="preserve">EVALUATED</x:t>
        </x:is>
      </x:c>
      <x:c r="AO753" s="604" t="inlineStr">
        <x:is>
          <x:t xml:space="preserve">EDGE_BELOW_UNCERTAINTY_THRESHOLD、BUCKET_PRIOR_ONLY、INTENT_INTERPRETATION_ONLY、EXPERT_MARKET</x:t>
        </x:is>
      </x:c>
      <x:c r="AP753" s="604" t="inlineStr">
        <x:is>
          <x:t xml:space="preserve">4ae88bda2223bca9d2fb</x:t>
        </x:is>
      </x:c>
      <x:c r="AQ753" s="604" t="n">
        <x:v>0</x:v>
      </x:c>
      <x:c r="AR753" s="604" t="n"/>
      <x:c r="AS753" s="604" t="n">
        <x:v>0</x:v>
      </x:c>
      <x:c r="AT753" s="604" t="n">
        <x:v>0</x:v>
      </x:c>
      <x:c r="AU753" s="604" t="n">
        <x:v>0.87</x:v>
      </x:c>
      <x:c r="AV753" s="604" t="n">
        <x:v>0.83</x:v>
      </x:c>
      <x:c r="AW753" s="604" t="n">
        <x:v>46298.06050486111</x:v>
      </x:c>
      <x:c r="AX753" s="604" t="inlineStr">
        <x:is>
          <x:t xml:space="preserve">https://simondongxiao.github.io/odds/v4/</x:t>
        </x:is>
      </x:c>
      <x:c r="AY753" s="604" t="inlineStr">
        <x:is>
          <x:t xml:space="preserve">V4 Shadow Only；real_money=false；P(EV&gt;0)不是比赛胜率</x:t>
        </x:is>
      </x:c>
    </x:row>
    <x:row r="754" ht="22" customHeight="1">
      <x:c r="A754" s="604" t="inlineStr">
        <x:is>
          <x:t xml:space="preserve">2026-10-03</x:t>
        </x:is>
      </x:c>
      <x:c r="B754" s="604" t="inlineStr">
        <x:is>
          <x:t xml:space="preserve">2026-10-03 22:00</x:t>
        </x:is>
      </x:c>
      <x:c r="C754" s="604" t="str">
        <x:v>欧洲非五大系列</x:v>
      </x:c>
      <x:c r="D754" s="604" t="inlineStr">
        <x:is>
          <x:t xml:space="preserve">联赛</x:t>
        </x:is>
      </x:c>
      <x:c r="E754" s="604" t="inlineStr">
        <x:is>
          <x:t xml:space="preserve">苏乙</x:t>
        </x:is>
      </x:c>
      <x:c r="F754" s="604" t="inlineStr">
        <x:is>
          <x:t xml:space="preserve">斯巴顿斯 vs 凯尔蒂赫斯</x:t>
        </x:is>
      </x:c>
      <x:c r="G754" s="604" t="n">
        <x:v>0.9</x:v>
      </x:c>
      <x:c r="H754" s="604" t="n">
        <x:v>0</x:v>
      </x:c>
      <x:c r="I754" s="604" t="n">
        <x:v>0.8</x:v>
      </x:c>
      <x:c r="J754" s="604" t="inlineStr">
        <x:is>
          <x:t xml:space="preserve">0.9/0/0.8</x:t>
        </x:is>
      </x:c>
      <x:c r="K754" s="604" t="inlineStr">
        <x:is>
          <x:t xml:space="preserve">V4-C｜EV +0.0174</x:t>
        </x:is>
      </x:c>
      <x:c r="L754" s="604" t="str"/>
      <x:c r="M754" s="604" t="n">
        <x:v>0.5367826898552908</x:v>
      </x:c>
      <x:c r="N754" s="604" t="inlineStr">
        <x:is>
          <x:t xml:space="preserve">V4纸面入选-C</x:t>
        </x:is>
      </x:c>
      <x:c r="O754" s="604" t="inlineStr">
        <x:is>
          <x:t xml:space="preserve">0-2</x:t>
        </x:is>
      </x:c>
      <x:c r="P754" s="604" t="inlineStr">
        <x:is>
          <x:t xml:space="preserve">已结算</x:t>
        </x:is>
      </x:c>
      <x:c r="Q754" s="646" t="inlineStr">
        <x:is>
          <x:t xml:space="preserve">黑</x:t>
        </x:is>
      </x:c>
      <x:c r="R754" s="604" t="n">
        <x:v>0.8</x:v>
      </x:c>
      <x:c r="S754" s="604" t="n">
        <x:f>IF(OR(Q754="",Q754="待结算"),"",IF(Q754="红",R754,IF(Q754="半红",R754*0.5,IF(Q754="走",0,IF(Q754="半黑",-0.5,-1)))))</x:f>
        <x:v>-1</x:v>
      </x:c>
      <x:c r="T754" s="604" t="inlineStr">
        <x:is>
          <x:t xml:space="preserve">https://m.titan007.com/analy/Analysis/3002636.htm</x:t>
        </x:is>
      </x:c>
      <x:c r="U754" s="645" t="str">
        <x:f>IF(Q754="","",IF(Q754="待结算","待结算",IF(Q754="红","黑",IF(Q754="半红","半黑",IF(Q754="走","走",IF(Q754="半黑","半红","红"))))))</x:f>
        <x:v>红</x:v>
      </x:c>
      <x:c r="V754" s="604" t="n">
        <x:f>IF(OR(Q754="",Q754="待结算"),"",IF(L754=LEFT(F754,FIND(" vs ",F754)-1),I754,G754))</x:f>
        <x:v>0.9</x:v>
      </x:c>
      <x:c r="W754" s="604" t="n">
        <x:f>IF(OR(U754="",U754="待结算"),"",IF(U754="红",V754,IF(U754="半红",V754*0.5,IF(U754="走",0,IF(U754="半黑",-0.5,-1)))))</x:f>
        <x:v>0.9</x:v>
      </x:c>
      <x:c r="X754" s="604" t="inlineStr">
        <x:is>
          <x:t xml:space="preserve">3002636</x:t>
        </x:is>
      </x:c>
      <x:c r="Y754" s="604" t="inlineStr">
        <x:is>
          <x:t xml:space="preserve">V4</x:t>
        </x:is>
      </x:c>
      <x:c r="Z754" s="604" t="inlineStr">
        <x:is>
          <x:t xml:space="preserve">prior-2026-10-03-v1</x:t>
        </x:is>
      </x:c>
      <x:c r="AA754" s="604" t="inlineStr">
        <x:is>
          <x:t xml:space="preserve">C</x:t>
        </x:is>
      </x:c>
      <x:c r="AB754" s="604" t="n">
        <x:v>0.3426517211106321</x:v>
      </x:c>
      <x:c r="AC754" s="604" t="n">
        <x:v>0.252645959674284</x:v>
      </x:c>
      <x:c r="AD754" s="604" t="n"/>
      <x:c r="AE754" s="604" t="n"/>
      <x:c r="AF754" s="604" t="n">
        <x:v>0.404702319215084</x:v>
      </x:c>
      <x:c r="AG754" s="604" t="n">
        <x:v>0.01737491163791266</x:v>
      </x:c>
      <x:c r="AH754" s="604" t="n"/>
      <x:c r="AI754" s="604" t="n"/>
      <x:c r="AJ754" s="604" t="n">
        <x:v>0.01737491163791266</x:v>
      </x:c>
      <x:c r="AK754" s="604" t="n"/>
      <x:c r="AL754" s="604" t="n"/>
      <x:c r="AM754" s="604" t="n"/>
      <x:c r="AN754" s="604" t="inlineStr">
        <x:is>
          <x:t xml:space="preserve">EVALUATED</x:t>
        </x:is>
      </x:c>
      <x:c r="AO754" s="604" t="inlineStr">
        <x:is>
          <x:t xml:space="preserve">EDGE_BELOW_UNCERTAINTY_THRESHOLD、BUCKET_PRIOR_ONLY、INTENT_INTERPRETATION_ONLY、EXPERT_MARKET</x:t>
        </x:is>
      </x:c>
      <x:c r="AP754" s="604" t="inlineStr">
        <x:is>
          <x:t xml:space="preserve">f838ef5a8f08067363e8</x:t>
        </x:is>
      </x:c>
      <x:c r="AQ754" s="604" t="n">
        <x:v>0</x:v>
      </x:c>
      <x:c r="AR754" s="604" t="n"/>
      <x:c r="AS754" s="604" t="n">
        <x:v>0</x:v>
      </x:c>
      <x:c r="AT754" s="604" t="n">
        <x:v>0</x:v>
      </x:c>
      <x:c r="AU754" s="604" t="n">
        <x:v>0.9</x:v>
      </x:c>
      <x:c r="AV754" s="604" t="n">
        <x:v>0.8</x:v>
      </x:c>
      <x:c r="AW754" s="604" t="n">
        <x:v>46298.06050486111</x:v>
      </x:c>
      <x:c r="AX754" s="604" t="inlineStr">
        <x:is>
          <x:t xml:space="preserve">https://simondongxiao.github.io/odds/v4/</x:t>
        </x:is>
      </x:c>
      <x:c r="AY754" s="604" t="inlineStr">
        <x:is>
          <x:t xml:space="preserve">V4 Shadow Only；real_money=false；P(EV&gt;0)不是比赛胜率</x:t>
        </x:is>
      </x:c>
    </x:row>
    <x:row r="755" ht="22" customHeight="1">
      <x:c r="A755" s="604" t="inlineStr">
        <x:is>
          <x:t xml:space="preserve">2026-10-03</x:t>
        </x:is>
      </x:c>
      <x:c r="B755" s="604" t="inlineStr">
        <x:is>
          <x:t xml:space="preserve">2026-10-03 22:00</x:t>
        </x:is>
      </x:c>
      <x:c r="C755" s="604" t="str">
        <x:v>欧洲非五大系列</x:v>
      </x:c>
      <x:c r="D755" s="604" t="inlineStr">
        <x:is>
          <x:t xml:space="preserve">联赛</x:t>
        </x:is>
      </x:c>
      <x:c r="E755" s="604" t="inlineStr">
        <x:is>
          <x:t xml:space="preserve">瑞典乙南</x:t>
        </x:is>
      </x:c>
      <x:c r="F755" s="604" t="inlineStr">
        <x:is>
          <x:t xml:space="preserve">阿特维达堡 vs 特罗尔海坦</x:t>
        </x:is>
      </x:c>
      <x:c r="G755" s="604" t="n">
        <x:v>0.85</x:v>
      </x:c>
      <x:c r="H755" s="604" t="n">
        <x:v>0</x:v>
      </x:c>
      <x:c r="I755" s="604" t="n">
        <x:v>0.85</x:v>
      </x:c>
      <x:c r="J755" s="604" t="inlineStr">
        <x:is>
          <x:t xml:space="preserve">0.85/0/0.85</x:t>
        </x:is>
      </x:c>
      <x:c r="K755" s="604" t="inlineStr">
        <x:is>
          <x:t xml:space="preserve">V4-C｜EV +0.0077</x:t>
        </x:is>
      </x:c>
      <x:c r="L755" s="604" t="str"/>
      <x:c r="M755" s="604" t="n">
        <x:v>0.544722661900915</x:v>
      </x:c>
      <x:c r="N755" s="604" t="inlineStr">
        <x:is>
          <x:t xml:space="preserve">V4纸面入选-C</x:t>
        </x:is>
      </x:c>
      <x:c r="O755" s="604" t="inlineStr">
        <x:is>
          <x:t xml:space="preserve">1-1</x:t>
        </x:is>
      </x:c>
      <x:c r="P755" s="604" t="inlineStr">
        <x:is>
          <x:t xml:space="preserve">已结算</x:t>
        </x:is>
      </x:c>
      <x:c r="Q755" s="647" t="inlineStr">
        <x:is>
          <x:t xml:space="preserve">走</x:t>
        </x:is>
      </x:c>
      <x:c r="R755" s="604" t="n">
        <x:v>0.85</x:v>
      </x:c>
      <x:c r="S755" s="604" t="n">
        <x:f>IF(OR(Q755="",Q755="待结算"),"",IF(Q755="红",R755,IF(Q755="半红",R755*0.5,IF(Q755="走",0,IF(Q755="半黑",-0.5,-1)))))</x:f>
        <x:v>0</x:v>
      </x:c>
      <x:c r="T755" s="604" t="inlineStr">
        <x:is>
          <x:t xml:space="preserve">https://m.titan007.com/analy/Analysis/2919925.htm</x:t>
        </x:is>
      </x:c>
      <x:c r="U755" s="647" t="str">
        <x:f>IF(Q755="","",IF(Q755="待结算","待结算",IF(Q755="红","黑",IF(Q755="半红","半黑",IF(Q755="走","走",IF(Q755="半黑","半红","红"))))))</x:f>
        <x:v>走</x:v>
      </x:c>
      <x:c r="V755" s="604" t="n">
        <x:f>IF(OR(Q755="",Q755="待结算"),"",IF(L755=LEFT(F755,FIND(" vs ",F755)-1),I755,G755))</x:f>
        <x:v>0.85</x:v>
      </x:c>
      <x:c r="W755" s="604" t="n">
        <x:f>IF(OR(U755="",U755="待结算"),"",IF(U755="红",V755,IF(U755="半红",V755*0.5,IF(U755="走",0,IF(U755="半黑",-0.5,-1)))))</x:f>
        <x:v>0</x:v>
      </x:c>
      <x:c r="X755" s="604" t="inlineStr">
        <x:is>
          <x:t xml:space="preserve">2919925</x:t>
        </x:is>
      </x:c>
      <x:c r="Y755" s="604" t="inlineStr">
        <x:is>
          <x:t xml:space="preserve">V4</x:t>
        </x:is>
      </x:c>
      <x:c r="Z755" s="604" t="inlineStr">
        <x:is>
          <x:t xml:space="preserve">prior-2026-10-03-v1</x:t>
        </x:is>
      </x:c>
      <x:c r="AA755" s="604" t="inlineStr">
        <x:is>
          <x:t xml:space="preserve">C</x:t>
        </x:is>
      </x:c>
      <x:c r="AB755" s="604" t="n">
        <x:v>0.544722661900915</x:v>
      </x:c>
      <x:c r="AC755" s="604" t="n"/>
      <x:c r="AD755" s="604" t="n"/>
      <x:c r="AE755" s="604" t="n"/>
      <x:c r="AF755" s="604" t="n">
        <x:v>0.455277338099085</x:v>
      </x:c>
      <x:c r="AG755" s="604" t="n">
        <x:v>0.007736924516692723</x:v>
      </x:c>
      <x:c r="AH755" s="604" t="n"/>
      <x:c r="AI755" s="604" t="n"/>
      <x:c r="AJ755" s="604" t="n">
        <x:v>0.007736924516692723</x:v>
      </x:c>
      <x:c r="AK755" s="604" t="n"/>
      <x:c r="AL755" s="604" t="n"/>
      <x:c r="AM755" s="604" t="n"/>
      <x:c r="AN755" s="604" t="inlineStr">
        <x:is>
          <x:t xml:space="preserve">EVALUATED</x:t>
        </x:is>
      </x:c>
      <x:c r="AO755" s="604" t="inlineStr">
        <x:is>
          <x:t xml:space="preserve">EDGE_BELOW_UNCERTAINTY_THRESHOLD、BUCKET_PRIOR_ONLY、INTENT_INTERPRETATION_ONLY、EXPERT_MARKET</x:t>
        </x:is>
      </x:c>
      <x:c r="AP755" s="604" t="inlineStr">
        <x:is>
          <x:t xml:space="preserve">859069f8f3d731de7285</x:t>
        </x:is>
      </x:c>
      <x:c r="AQ755" s="604" t="n">
        <x:v>0</x:v>
      </x:c>
      <x:c r="AR755" s="604" t="n"/>
      <x:c r="AS755" s="604" t="n">
        <x:v>0</x:v>
      </x:c>
      <x:c r="AT755" s="604" t="n">
        <x:v>0</x:v>
      </x:c>
      <x:c r="AU755" s="604" t="n">
        <x:v>0.85</x:v>
      </x:c>
      <x:c r="AV755" s="604" t="n">
        <x:v>0.85</x:v>
      </x:c>
      <x:c r="AW755" s="604" t="n">
        <x:v>46298.06050486111</x:v>
      </x:c>
      <x:c r="AX755" s="604" t="inlineStr">
        <x:is>
          <x:t xml:space="preserve">https://simondongxiao.github.io/odds/v4/</x:t>
        </x:is>
      </x:c>
      <x:c r="AY755" s="604" t="inlineStr">
        <x:is>
          <x:t xml:space="preserve">V4 Shadow Only；real_money=false；P(EV&gt;0)不是比赛胜率</x:t>
        </x:is>
      </x:c>
    </x:row>
    <x:row r="756" ht="22" customHeight="1">
      <x:c r="A756" s="604" t="inlineStr">
        <x:is>
          <x:t xml:space="preserve">2026-10-03</x:t>
        </x:is>
      </x:c>
      <x:c r="B756" s="604" t="inlineStr">
        <x:is>
          <x:t xml:space="preserve">2026-10-03 22:00</x:t>
        </x:is>
      </x:c>
      <x:c r="C756" s="604" t="str">
        <x:v>欧洲非五大系列</x:v>
      </x:c>
      <x:c r="D756" s="604" t="inlineStr">
        <x:is>
          <x:t xml:space="preserve">联赛</x:t>
        </x:is>
      </x:c>
      <x:c r="E756" s="604" t="inlineStr">
        <x:is>
          <x:t xml:space="preserve">瑞典乙南</x:t>
        </x:is>
      </x:c>
      <x:c r="F756" s="604" t="inlineStr">
        <x:is>
          <x:t xml:space="preserve">佐高平斯 vs 艾斯基斯迈</x:t>
        </x:is>
      </x:c>
      <x:c r="G756" s="604" t="n">
        <x:v>0.82</x:v>
      </x:c>
      <x:c r="H756" s="604" t="n">
        <x:v>0</x:v>
      </x:c>
      <x:c r="I756" s="604" t="n">
        <x:v>0.88</x:v>
      </x:c>
      <x:c r="J756" s="604" t="inlineStr">
        <x:is>
          <x:t xml:space="preserve">0.82/0/0.88</x:t>
        </x:is>
      </x:c>
      <x:c r="K756" s="604" t="inlineStr">
        <x:is>
          <x:t xml:space="preserve">V4-C｜EV +0.0150</x:t>
        </x:is>
      </x:c>
      <x:c r="L756" s="604" t="str"/>
      <x:c r="M756" s="604" t="n">
        <x:v>0.558911200295152</x:v>
      </x:c>
      <x:c r="N756" s="604" t="inlineStr">
        <x:is>
          <x:t xml:space="preserve">V4纸面入选-C</x:t>
        </x:is>
      </x:c>
      <x:c r="O756" s="604" t="inlineStr">
        <x:is>
          <x:t xml:space="preserve">0-1</x:t>
        </x:is>
      </x:c>
      <x:c r="P756" s="604" t="inlineStr">
        <x:is>
          <x:t xml:space="preserve">已结算</x:t>
        </x:is>
      </x:c>
      <x:c r="Q756" s="646" t="inlineStr">
        <x:is>
          <x:t xml:space="preserve">黑</x:t>
        </x:is>
      </x:c>
      <x:c r="R756" s="604" t="n">
        <x:v>0.88</x:v>
      </x:c>
      <x:c r="S756" s="604" t="n">
        <x:f>IF(OR(Q756="",Q756="待结算"),"",IF(Q756="红",R756,IF(Q756="半红",R756*0.5,IF(Q756="走",0,IF(Q756="半黑",-0.5,-1)))))</x:f>
        <x:v>-1</x:v>
      </x:c>
      <x:c r="T756" s="604" t="inlineStr">
        <x:is>
          <x:t xml:space="preserve">https://m.titan007.com/analy/Analysis/2919926.htm</x:t>
        </x:is>
      </x:c>
      <x:c r="U756" s="645" t="str">
        <x:f>IF(Q756="","",IF(Q756="待结算","待结算",IF(Q756="红","黑",IF(Q756="半红","半黑",IF(Q756="走","走",IF(Q756="半黑","半红","红"))))))</x:f>
        <x:v>红</x:v>
      </x:c>
      <x:c r="V756" s="604" t="n">
        <x:f>IF(OR(Q756="",Q756="待结算"),"",IF(L756=LEFT(F756,FIND(" vs ",F756)-1),I756,G756))</x:f>
        <x:v>0.82</x:v>
      </x:c>
      <x:c r="W756" s="604" t="n">
        <x:f>IF(OR(U756="",U756="待结算"),"",IF(U756="红",V756,IF(U756="半红",V756*0.5,IF(U756="走",0,IF(U756="半黑",-0.5,-1)))))</x:f>
        <x:v>0.82</x:v>
      </x:c>
      <x:c r="X756" s="604" t="inlineStr">
        <x:is>
          <x:t xml:space="preserve">2919926</x:t>
        </x:is>
      </x:c>
      <x:c r="Y756" s="604" t="inlineStr">
        <x:is>
          <x:t xml:space="preserve">V4</x:t>
        </x:is>
      </x:c>
      <x:c r="Z756" s="604" t="inlineStr">
        <x:is>
          <x:t xml:space="preserve">prior-2026-10-03-v1</x:t>
        </x:is>
      </x:c>
      <x:c r="AA756" s="604" t="inlineStr">
        <x:is>
          <x:t xml:space="preserve">C</x:t>
        </x:is>
      </x:c>
      <x:c r="AB756" s="604" t="n">
        <x:v>0.360277499824919</x:v>
      </x:c>
      <x:c r="AC756" s="604" t="n">
        <x:v>0.254836453073947</x:v>
      </x:c>
      <x:c r="AD756" s="604" t="n"/>
      <x:c r="AE756" s="604" t="n"/>
      <x:c r="AF756" s="604" t="n">
        <x:v>0.3848860471011339</x:v>
      </x:c>
      <x:c r="AG756" s="604" t="n">
        <x:v>0.01502444851561791</x:v>
      </x:c>
      <x:c r="AH756" s="604" t="n"/>
      <x:c r="AI756" s="604" t="n"/>
      <x:c r="AJ756" s="604" t="n">
        <x:v>0.01502444851561791</x:v>
      </x:c>
      <x:c r="AK756" s="604" t="n"/>
      <x:c r="AL756" s="604" t="n"/>
      <x:c r="AM756" s="604" t="n"/>
      <x:c r="AN756" s="604" t="inlineStr">
        <x:is>
          <x:t xml:space="preserve">EVALUATED</x:t>
        </x:is>
      </x:c>
      <x:c r="AO756" s="604" t="inlineStr">
        <x:is>
          <x:t xml:space="preserve">EDGE_BELOW_UNCERTAINTY_THRESHOLD、BUCKET_PRIOR_ONLY、INTENT_INTERPRETATION_ONLY、EXPERT_MARKET</x:t>
        </x:is>
      </x:c>
      <x:c r="AP756" s="604" t="inlineStr">
        <x:is>
          <x:t xml:space="preserve">12dfae5a16a64c427fb2</x:t>
        </x:is>
      </x:c>
      <x:c r="AQ756" s="604" t="n">
        <x:v>0</x:v>
      </x:c>
      <x:c r="AR756" s="604" t="n"/>
      <x:c r="AS756" s="604" t="n">
        <x:v>0</x:v>
      </x:c>
      <x:c r="AT756" s="604" t="n">
        <x:v>0</x:v>
      </x:c>
      <x:c r="AU756" s="604" t="n">
        <x:v>0.82</x:v>
      </x:c>
      <x:c r="AV756" s="604" t="n">
        <x:v>0.88</x:v>
      </x:c>
      <x:c r="AW756" s="604" t="n">
        <x:v>46298.06050486111</x:v>
      </x:c>
      <x:c r="AX756" s="604" t="inlineStr">
        <x:is>
          <x:t xml:space="preserve">https://simondongxiao.github.io/odds/v4/</x:t>
        </x:is>
      </x:c>
      <x:c r="AY756" s="604" t="inlineStr">
        <x:is>
          <x:t xml:space="preserve">V4 Shadow Only；real_money=false；P(EV&gt;0)不是比赛胜率</x:t>
        </x:is>
      </x:c>
    </x:row>
    <x:row r="757" ht="22" customHeight="1">
      <x:c r="A757" s="604" t="inlineStr">
        <x:is>
          <x:t xml:space="preserve">2026-10-03</x:t>
        </x:is>
      </x:c>
      <x:c r="B757" s="604" t="inlineStr">
        <x:is>
          <x:t xml:space="preserve">2026-10-03 22:00</x:t>
        </x:is>
      </x:c>
      <x:c r="C757" s="604" t="str">
        <x:v>欧洲非五大系列</x:v>
      </x:c>
      <x:c r="D757" s="604" t="inlineStr">
        <x:is>
          <x:t xml:space="preserve">联赛</x:t>
        </x:is>
      </x:c>
      <x:c r="E757" s="604" t="inlineStr">
        <x:is>
          <x:t xml:space="preserve">瑞典乙北</x:t>
        </x:is>
      </x:c>
      <x:c r="F757" s="604" t="inlineStr">
        <x:is>
          <x:t xml:space="preserve">派提亚 vs 卡尔斯塔德</x:t>
        </x:is>
      </x:c>
      <x:c r="G757" s="604" t="n">
        <x:v>0.97</x:v>
      </x:c>
      <x:c r="H757" s="604" t="n">
        <x:v>0</x:v>
      </x:c>
      <x:c r="I757" s="604" t="n">
        <x:v>0.73</x:v>
      </x:c>
      <x:c r="J757" s="604" t="inlineStr">
        <x:is>
          <x:t xml:space="preserve">0.97/0/0.73</x:t>
        </x:is>
      </x:c>
      <x:c r="K757" s="604" t="inlineStr">
        <x:is>
          <x:t xml:space="preserve">V4-C｜EV +0.0094</x:t>
        </x:is>
      </x:c>
      <x:c r="L757" s="604" t="str"/>
      <x:c r="M757" s="604" t="n">
        <x:v>0.5842754428033571</x:v>
      </x:c>
      <x:c r="N757" s="604" t="inlineStr">
        <x:is>
          <x:t xml:space="preserve">V4纸面入选-C</x:t>
        </x:is>
      </x:c>
      <x:c r="O757" s="604" t="inlineStr">
        <x:is>
          <x:t xml:space="preserve">1-1</x:t>
        </x:is>
      </x:c>
      <x:c r="P757" s="604" t="inlineStr">
        <x:is>
          <x:t xml:space="preserve">已结算</x:t>
        </x:is>
      </x:c>
      <x:c r="Q757" s="647" t="inlineStr">
        <x:is>
          <x:t xml:space="preserve">走</x:t>
        </x:is>
      </x:c>
      <x:c r="R757" s="604" t="n">
        <x:v>0.73</x:v>
      </x:c>
      <x:c r="S757" s="604" t="n">
        <x:f>IF(OR(Q757="",Q757="待结算"),"",IF(Q757="红",R757,IF(Q757="半红",R757*0.5,IF(Q757="走",0,IF(Q757="半黑",-0.5,-1)))))</x:f>
        <x:v>0</x:v>
      </x:c>
      <x:c r="T757" s="604" t="inlineStr">
        <x:is>
          <x:t xml:space="preserve">https://m.titan007.com/analy/Analysis/2920167.htm</x:t>
        </x:is>
      </x:c>
      <x:c r="U757" s="647" t="str">
        <x:f>IF(Q757="","",IF(Q757="待结算","待结算",IF(Q757="红","黑",IF(Q757="半红","半黑",IF(Q757="走","走",IF(Q757="半黑","半红","红"))))))</x:f>
        <x:v>走</x:v>
      </x:c>
      <x:c r="V757" s="604" t="n">
        <x:f>IF(OR(Q757="",Q757="待结算"),"",IF(L757=LEFT(F757,FIND(" vs ",F757)-1),I757,G757))</x:f>
        <x:v>0.97</x:v>
      </x:c>
      <x:c r="W757" s="604" t="n">
        <x:f>IF(OR(U757="",U757="待结算"),"",IF(U757="红",V757,IF(U757="半红",V757*0.5,IF(U757="走",0,IF(U757="半黑",-0.5,-1)))))</x:f>
        <x:v>0</x:v>
      </x:c>
      <x:c r="X757" s="604" t="inlineStr">
        <x:is>
          <x:t xml:space="preserve">2920167</x:t>
        </x:is>
      </x:c>
      <x:c r="Y757" s="604" t="inlineStr">
        <x:is>
          <x:t xml:space="preserve">V4</x:t>
        </x:is>
      </x:c>
      <x:c r="Z757" s="604" t="inlineStr">
        <x:is>
          <x:t xml:space="preserve">prior-2026-10-03-v1</x:t>
        </x:is>
      </x:c>
      <x:c r="AA757" s="604" t="inlineStr">
        <x:is>
          <x:t xml:space="preserve">C</x:t>
        </x:is>
      </x:c>
      <x:c r="AB757" s="604" t="n">
        <x:v>0.3814566180899675</x:v>
      </x:c>
      <x:c r="AC757" s="604" t="n">
        <x:v>0.2560398516996565</x:v>
      </x:c>
      <x:c r="AD757" s="604" t="n"/>
      <x:c r="AE757" s="604" t="n"/>
      <x:c r="AF757" s="604" t="n">
        <x:v>0.362503530210376</x:v>
      </x:c>
      <x:c r="AG757" s="604" t="n">
        <x:v>0.009414346865674939</x:v>
      </x:c>
      <x:c r="AH757" s="604" t="n"/>
      <x:c r="AI757" s="604" t="n"/>
      <x:c r="AJ757" s="604" t="n">
        <x:v>0.009414346865674939</x:v>
      </x:c>
      <x:c r="AK757" s="604" t="n"/>
      <x:c r="AL757" s="604" t="n"/>
      <x:c r="AM757" s="604" t="n"/>
      <x:c r="AN757" s="604" t="inlineStr">
        <x:is>
          <x:t xml:space="preserve">EVALUATED</x:t>
        </x:is>
      </x:c>
      <x:c r="AO757" s="604" t="inlineStr">
        <x:is>
          <x:t xml:space="preserve">EDGE_BELOW_UNCERTAINTY_THRESHOLD、BUCKET_PRIOR_ONLY、INTENT_INTERPRETATION_ONLY、EXPERT_MARKET</x:t>
        </x:is>
      </x:c>
      <x:c r="AP757" s="604" t="inlineStr">
        <x:is>
          <x:t xml:space="preserve">aa1ed4c927217a21add3</x:t>
        </x:is>
      </x:c>
      <x:c r="AQ757" s="604" t="n">
        <x:v>0</x:v>
      </x:c>
      <x:c r="AR757" s="604" t="n"/>
      <x:c r="AS757" s="604" t="n">
        <x:v>0</x:v>
      </x:c>
      <x:c r="AT757" s="604" t="n">
        <x:v>0</x:v>
      </x:c>
      <x:c r="AU757" s="604" t="n">
        <x:v>0.97</x:v>
      </x:c>
      <x:c r="AV757" s="604" t="n">
        <x:v>0.73</x:v>
      </x:c>
      <x:c r="AW757" s="604" t="n">
        <x:v>46298.06050486111</x:v>
      </x:c>
      <x:c r="AX757" s="604" t="inlineStr">
        <x:is>
          <x:t xml:space="preserve">https://simondongxiao.github.io/odds/v4/</x:t>
        </x:is>
      </x:c>
      <x:c r="AY757" s="604" t="inlineStr">
        <x:is>
          <x:t xml:space="preserve">V4 Shadow Only；real_money=false；P(EV&gt;0)不是比赛胜率</x:t>
        </x:is>
      </x:c>
    </x:row>
    <x:row r="758" ht="22" customHeight="1">
      <x:c r="A758" s="604" t="inlineStr">
        <x:is>
          <x:t xml:space="preserve">2026-10-03</x:t>
        </x:is>
      </x:c>
      <x:c r="B758" s="604" t="inlineStr">
        <x:is>
          <x:t xml:space="preserve">2026-10-03 22:00</x:t>
        </x:is>
      </x:c>
      <x:c r="C758" s="604" t="str">
        <x:v>欧洲非五大系列</x:v>
      </x:c>
      <x:c r="D758" s="604" t="inlineStr">
        <x:is>
          <x:t xml:space="preserve">联赛</x:t>
        </x:is>
      </x:c>
      <x:c r="E758" s="604" t="inlineStr">
        <x:is>
          <x:t xml:space="preserve">瑞典乙北</x:t>
        </x:is>
      </x:c>
      <x:c r="F758" s="604" t="inlineStr">
        <x:is>
          <x:t xml:space="preserve">斯托克松德 vs 贾法拉</x:t>
        </x:is>
      </x:c>
      <x:c r="G758" s="604" t="n">
        <x:v>0.82</x:v>
      </x:c>
      <x:c r="H758" s="604" t="n">
        <x:v>0</x:v>
      </x:c>
      <x:c r="I758" s="604" t="n">
        <x:v>0.88</x:v>
      </x:c>
      <x:c r="J758" s="604" t="inlineStr">
        <x:is>
          <x:t xml:space="preserve">0.82/0/0.88</x:t>
        </x:is>
      </x:c>
      <x:c r="K758" s="604" t="inlineStr">
        <x:is>
          <x:t xml:space="preserve">V4-C｜EV +0.0252</x:t>
        </x:is>
      </x:c>
      <x:c r="L758" s="604" t="str"/>
      <x:c r="M758" s="604" t="n">
        <x:v>0.5652933435838217</x:v>
      </x:c>
      <x:c r="N758" s="604" t="inlineStr">
        <x:is>
          <x:t xml:space="preserve">V4纸面入选-C</x:t>
        </x:is>
      </x:c>
      <x:c r="O758" s="604" t="inlineStr">
        <x:is>
          <x:t xml:space="preserve">1-1</x:t>
        </x:is>
      </x:c>
      <x:c r="P758" s="604" t="inlineStr">
        <x:is>
          <x:t xml:space="preserve">已结算</x:t>
        </x:is>
      </x:c>
      <x:c r="Q758" s="647" t="inlineStr">
        <x:is>
          <x:t xml:space="preserve">走</x:t>
        </x:is>
      </x:c>
      <x:c r="R758" s="604" t="n">
        <x:v>0.88</x:v>
      </x:c>
      <x:c r="S758" s="604" t="n">
        <x:f>IF(OR(Q758="",Q758="待结算"),"",IF(Q758="红",R758,IF(Q758="半红",R758*0.5,IF(Q758="走",0,IF(Q758="半黑",-0.5,-1)))))</x:f>
        <x:v>0</x:v>
      </x:c>
      <x:c r="T758" s="604" t="inlineStr">
        <x:is>
          <x:t xml:space="preserve">https://m.titan007.com/analy/Analysis/2920169.htm</x:t>
        </x:is>
      </x:c>
      <x:c r="U758" s="647" t="str">
        <x:f>IF(Q758="","",IF(Q758="待结算","待结算",IF(Q758="红","黑",IF(Q758="半红","半黑",IF(Q758="走","走",IF(Q758="半黑","半红","红"))))))</x:f>
        <x:v>走</x:v>
      </x:c>
      <x:c r="V758" s="604" t="n">
        <x:f>IF(OR(Q758="",Q758="待结算"),"",IF(L758=LEFT(F758,FIND(" vs ",F758)-1),I758,G758))</x:f>
        <x:v>0.82</x:v>
      </x:c>
      <x:c r="W758" s="604" t="n">
        <x:f>IF(OR(U758="",U758="待结算"),"",IF(U758="红",V758,IF(U758="半红",V758*0.5,IF(U758="走",0,IF(U758="半黑",-0.5,-1)))))</x:f>
        <x:v>0</x:v>
      </x:c>
      <x:c r="X758" s="604" t="inlineStr">
        <x:is>
          <x:t xml:space="preserve">2920169</x:t>
        </x:is>
      </x:c>
      <x:c r="Y758" s="604" t="inlineStr">
        <x:is>
          <x:t xml:space="preserve">V4</x:t>
        </x:is>
      </x:c>
      <x:c r="Z758" s="604" t="inlineStr">
        <x:is>
          <x:t xml:space="preserve">prior-2026-10-03-v1</x:t>
        </x:is>
      </x:c>
      <x:c r="AA758" s="604" t="inlineStr">
        <x:is>
          <x:t xml:space="preserve">C</x:t>
        </x:is>
      </x:c>
      <x:c r="AB758" s="604" t="n">
        <x:v>0.4942712492615972</x:v>
      </x:c>
      <x:c r="AC758" s="604" t="n"/>
      <x:c r="AD758" s="604" t="n"/>
      <x:c r="AE758" s="604" t="n">
        <x:v>0.2512751835072454</x:v>
      </x:c>
      <x:c r="AF758" s="604" t="n">
        <x:v>0.2544535672311574</x:v>
      </x:c>
      <x:c r="AG758" s="604" t="n">
        <x:v>0.02521126540972957</x:v>
      </x:c>
      <x:c r="AH758" s="604" t="n"/>
      <x:c r="AI758" s="604" t="n"/>
      <x:c r="AJ758" s="604" t="n">
        <x:v>0.02521126540972957</x:v>
      </x:c>
      <x:c r="AK758" s="604" t="n"/>
      <x:c r="AL758" s="604" t="n"/>
      <x:c r="AM758" s="604" t="n"/>
      <x:c r="AN758" s="604" t="inlineStr">
        <x:is>
          <x:t xml:space="preserve">EVALUATED</x:t>
        </x:is>
      </x:c>
      <x:c r="AO758" s="604" t="inlineStr">
        <x:is>
          <x:t xml:space="preserve">EDGE_BELOW_UNCERTAINTY_THRESHOLD、BUCKET_PRIOR_ONLY、INTENT_INTERPRETATION_ONLY、EXPERT_MARKET</x:t>
        </x:is>
      </x:c>
      <x:c r="AP758" s="604" t="inlineStr">
        <x:is>
          <x:t xml:space="preserve">9e59e6b4f4e1bb75b7ce</x:t>
        </x:is>
      </x:c>
      <x:c r="AQ758" s="604" t="n">
        <x:v>0</x:v>
      </x:c>
      <x:c r="AR758" s="604" t="n"/>
      <x:c r="AS758" s="604" t="n">
        <x:v>0</x:v>
      </x:c>
      <x:c r="AT758" s="604" t="n">
        <x:v>0</x:v>
      </x:c>
      <x:c r="AU758" s="604" t="n">
        <x:v>0.82</x:v>
      </x:c>
      <x:c r="AV758" s="604" t="n">
        <x:v>0.88</x:v>
      </x:c>
      <x:c r="AW758" s="604" t="n">
        <x:v>46298.06050486111</x:v>
      </x:c>
      <x:c r="AX758" s="604" t="inlineStr">
        <x:is>
          <x:t xml:space="preserve">https://simondongxiao.github.io/odds/v4/</x:t>
        </x:is>
      </x:c>
      <x:c r="AY758" s="604" t="inlineStr">
        <x:is>
          <x:t xml:space="preserve">V4 Shadow Only；real_money=false；P(EV&gt;0)不是比赛胜率</x:t>
        </x:is>
      </x:c>
    </x:row>
    <x:row r="759" ht="22" customHeight="1">
      <x:c r="A759" s="604" t="inlineStr">
        <x:is>
          <x:t xml:space="preserve">2026-10-03</x:t>
        </x:is>
      </x:c>
      <x:c r="B759" s="604" t="inlineStr">
        <x:is>
          <x:t xml:space="preserve">2026-10-03 22:00</x:t>
        </x:is>
      </x:c>
      <x:c r="C759" s="604" t="str">
        <x:v>欧洲非五大系列</x:v>
      </x:c>
      <x:c r="D759" s="604" t="inlineStr">
        <x:is>
          <x:t xml:space="preserve">联赛</x:t>
        </x:is>
      </x:c>
      <x:c r="E759" s="604" t="inlineStr">
        <x:is>
          <x:t xml:space="preserve">挪甲</x:t>
        </x:is>
      </x:c>
      <x:c r="F759" s="604" t="inlineStr">
        <x:is>
          <x:t xml:space="preserve">禾特 vs 奥德</x:t>
        </x:is>
      </x:c>
      <x:c r="G759" s="604" t="n">
        <x:v>0.7</x:v>
      </x:c>
      <x:c r="H759" s="604" t="n">
        <x:v>0</x:v>
      </x:c>
      <x:c r="I759" s="604" t="n">
        <x:v>1.06</x:v>
      </x:c>
      <x:c r="J759" s="604" t="inlineStr">
        <x:is>
          <x:t xml:space="preserve">0.7/0/1.06</x:t>
        </x:is>
      </x:c>
      <x:c r="K759" s="604" t="inlineStr">
        <x:is>
          <x:t xml:space="preserve">V4-C｜EV +0.0275</x:t>
        </x:is>
      </x:c>
      <x:c r="L759" s="604" t="str"/>
      <x:c r="M759" s="604" t="n">
        <x:v>0.5006895422121329</x:v>
      </x:c>
      <x:c r="N759" s="604" t="inlineStr">
        <x:is>
          <x:t xml:space="preserve">V4纸面入选-C</x:t>
        </x:is>
      </x:c>
      <x:c r="O759" s="604" t="inlineStr">
        <x:is>
          <x:t xml:space="preserve">2-3</x:t>
        </x:is>
      </x:c>
      <x:c r="P759" s="604" t="inlineStr">
        <x:is>
          <x:t xml:space="preserve">已结算</x:t>
        </x:is>
      </x:c>
      <x:c r="Q759" s="646" t="inlineStr">
        <x:is>
          <x:t xml:space="preserve">黑</x:t>
        </x:is>
      </x:c>
      <x:c r="R759" s="604" t="n">
        <x:v>1.06</x:v>
      </x:c>
      <x:c r="S759" s="604" t="n">
        <x:f>IF(OR(Q759="",Q759="待结算"),"",IF(Q759="红",R759,IF(Q759="半红",R759*0.5,IF(Q759="走",0,IF(Q759="半黑",-0.5,-1)))))</x:f>
        <x:v>-1</x:v>
      </x:c>
      <x:c r="T759" s="604" t="inlineStr">
        <x:is>
          <x:t xml:space="preserve">https://m.titan007.com/analy/Analysis/2913156.htm</x:t>
        </x:is>
      </x:c>
      <x:c r="U759" s="645" t="str">
        <x:f>IF(Q759="","",IF(Q759="待结算","待结算",IF(Q759="红","黑",IF(Q759="半红","半黑",IF(Q759="走","走",IF(Q759="半黑","半红","红"))))))</x:f>
        <x:v>红</x:v>
      </x:c>
      <x:c r="V759" s="604" t="n">
        <x:f>IF(OR(Q759="",Q759="待结算"),"",IF(L759=LEFT(F759,FIND(" vs ",F759)-1),I759,G759))</x:f>
        <x:v>0.7</x:v>
      </x:c>
      <x:c r="W759" s="604" t="n">
        <x:f>IF(OR(U759="",U759="待结算"),"",IF(U759="红",V759,IF(U759="半红",V759*0.5,IF(U759="走",0,IF(U759="半黑",-0.5,-1)))))</x:f>
        <x:v>0.7</x:v>
      </x:c>
      <x:c r="X759" s="604" t="inlineStr">
        <x:is>
          <x:t xml:space="preserve">2913156</x:t>
        </x:is>
      </x:c>
      <x:c r="Y759" s="604" t="inlineStr">
        <x:is>
          <x:t xml:space="preserve">V4</x:t>
        </x:is>
      </x:c>
      <x:c r="Z759" s="604" t="inlineStr">
        <x:is>
          <x:t xml:space="preserve">prior-2026-10-03-v1</x:t>
        </x:is>
      </x:c>
      <x:c r="AA759" s="604" t="inlineStr">
        <x:is>
          <x:t xml:space="preserve">C</x:t>
        </x:is>
      </x:c>
      <x:c r="AB759" s="604" t="n">
        <x:v>0.3139739471455006</x:v>
      </x:c>
      <x:c r="AC759" s="604" t="n">
        <x:v>0.248839736420631</x:v>
      </x:c>
      <x:c r="AD759" s="604" t="n"/>
      <x:c r="AE759" s="604" t="n"/>
      <x:c r="AF759" s="604" t="n">
        <x:v>0.4371863164338683</x:v>
      </x:c>
      <x:c r="AG759" s="604" t="n">
        <x:v>0.02751112784329679</x:v>
      </x:c>
      <x:c r="AH759" s="604" t="n"/>
      <x:c r="AI759" s="604" t="n"/>
      <x:c r="AJ759" s="604" t="n">
        <x:v>0.02751112784329679</x:v>
      </x:c>
      <x:c r="AK759" s="604" t="n"/>
      <x:c r="AL759" s="604" t="n"/>
      <x:c r="AM759" s="604" t="n"/>
      <x:c r="AN759" s="604" t="inlineStr">
        <x:is>
          <x:t xml:space="preserve">EVALUATED</x:t>
        </x:is>
      </x:c>
      <x:c r="AO759" s="604" t="inlineStr">
        <x:is>
          <x:t xml:space="preserve">EDGE_BELOW_UNCERTAINTY_THRESHOLD、BUCKET_PRIOR_ONLY、INTENT_INTERPRETATION_ONLY、EXPERT_MARKET</x:t>
        </x:is>
      </x:c>
      <x:c r="AP759" s="604" t="inlineStr">
        <x:is>
          <x:t xml:space="preserve">36f3f3bc28eaf76c7642</x:t>
        </x:is>
      </x:c>
      <x:c r="AQ759" s="604" t="n">
        <x:v>0</x:v>
      </x:c>
      <x:c r="AR759" s="604" t="n"/>
      <x:c r="AS759" s="604" t="n">
        <x:v>0</x:v>
      </x:c>
      <x:c r="AT759" s="604" t="n">
        <x:v>0</x:v>
      </x:c>
      <x:c r="AU759" s="604" t="n">
        <x:v>0.7</x:v>
      </x:c>
      <x:c r="AV759" s="604" t="n">
        <x:v>1.06</x:v>
      </x:c>
      <x:c r="AW759" s="604" t="n">
        <x:v>46298.06050486111</x:v>
      </x:c>
      <x:c r="AX759" s="604" t="inlineStr">
        <x:is>
          <x:t xml:space="preserve">https://simondongxiao.github.io/odds/v4/</x:t>
        </x:is>
      </x:c>
      <x:c r="AY759" s="604" t="inlineStr">
        <x:is>
          <x:t xml:space="preserve">V4 Shadow Only；real_money=false；P(EV&gt;0)不是比赛胜率</x:t>
        </x:is>
      </x:c>
    </x:row>
    <x:row r="760" ht="22" customHeight="1">
      <x:c r="A760" s="604" t="inlineStr">
        <x:is>
          <x:t xml:space="preserve">2026-10-03</x:t>
        </x:is>
      </x:c>
      <x:c r="B760" s="604" t="inlineStr">
        <x:is>
          <x:t xml:space="preserve">2026-10-03 22:00</x:t>
        </x:is>
      </x:c>
      <x:c r="C760" s="604" t="str">
        <x:v>欧洲非五大系列</x:v>
      </x:c>
      <x:c r="D760" s="604" t="inlineStr">
        <x:is>
          <x:t xml:space="preserve">联赛</x:t>
        </x:is>
      </x:c>
      <x:c r="E760" s="604" t="inlineStr">
        <x:is>
          <x:t xml:space="preserve">挪甲</x:t>
        </x:is>
      </x:c>
      <x:c r="F760" s="604" t="inlineStr">
        <x:is>
          <x:t xml:space="preserve">斯托姆加斯特 vs 阿萨纳</x:t>
        </x:is>
      </x:c>
      <x:c r="G760" s="604" t="n">
        <x:v>0.8</x:v>
      </x:c>
      <x:c r="H760" s="604" t="n">
        <x:v>0</x:v>
      </x:c>
      <x:c r="I760" s="604" t="n">
        <x:v>0.96</x:v>
      </x:c>
      <x:c r="J760" s="604" t="inlineStr">
        <x:is>
          <x:t xml:space="preserve">0.8/0/0.96</x:t>
        </x:is>
      </x:c>
      <x:c r="K760" s="604" t="inlineStr">
        <x:is>
          <x:t xml:space="preserve">V4-C｜EV +0.0246</x:t>
        </x:is>
      </x:c>
      <x:c r="L760" s="604" t="str"/>
      <x:c r="M760" s="604" t="n">
        <x:v>0.571054505775096</x:v>
      </x:c>
      <x:c r="N760" s="604" t="inlineStr">
        <x:is>
          <x:t xml:space="preserve">V4纸面入选-C</x:t>
        </x:is>
      </x:c>
      <x:c r="O760" s="604" t="inlineStr">
        <x:is>
          <x:t xml:space="preserve">1-0</x:t>
        </x:is>
      </x:c>
      <x:c r="P760" s="604" t="inlineStr">
        <x:is>
          <x:t xml:space="preserve">已结算</x:t>
        </x:is>
      </x:c>
      <x:c r="Q760" s="645" t="inlineStr">
        <x:is>
          <x:t xml:space="preserve">红</x:t>
        </x:is>
      </x:c>
      <x:c r="R760" s="604" t="n">
        <x:v>0.96</x:v>
      </x:c>
      <x:c r="S760" s="604" t="n">
        <x:f>IF(OR(Q760="",Q760="待结算"),"",IF(Q760="红",R760,IF(Q760="半红",R760*0.5,IF(Q760="走",0,IF(Q760="半黑",-0.5,-1)))))</x:f>
        <x:v>0.96</x:v>
      </x:c>
      <x:c r="T760" s="604" t="inlineStr">
        <x:is>
          <x:t xml:space="preserve">https://m.titan007.com/analy/Analysis/2913161.htm</x:t>
        </x:is>
      </x:c>
      <x:c r="U760" s="646" t="str">
        <x:f>IF(Q760="","",IF(Q760="待结算","待结算",IF(Q760="红","黑",IF(Q760="半红","半黑",IF(Q760="走","走",IF(Q760="半黑","半红","红"))))))</x:f>
        <x:v>黑</x:v>
      </x:c>
      <x:c r="V760" s="604" t="n">
        <x:f>IF(OR(Q760="",Q760="待结算"),"",IF(L760=LEFT(F760,FIND(" vs ",F760)-1),I760,G760))</x:f>
        <x:v>0.8</x:v>
      </x:c>
      <x:c r="W760" s="604" t="n">
        <x:f>IF(OR(U760="",U760="待结算"),"",IF(U760="红",V760,IF(U760="半红",V760*0.5,IF(U760="走",0,IF(U760="半黑",-0.5,-1)))))</x:f>
        <x:v>-1</x:v>
      </x:c>
      <x:c r="X760" s="604" t="inlineStr">
        <x:is>
          <x:t xml:space="preserve">2913161</x:t>
        </x:is>
      </x:c>
      <x:c r="Y760" s="604" t="inlineStr">
        <x:is>
          <x:t xml:space="preserve">V4</x:t>
        </x:is>
      </x:c>
      <x:c r="Z760" s="604" t="inlineStr">
        <x:is>
          <x:t xml:space="preserve">prior-2026-10-03-v1</x:t>
        </x:is>
      </x:c>
      <x:c r="AA760" s="604" t="inlineStr">
        <x:is>
          <x:t xml:space="preserve">C</x:t>
        </x:is>
      </x:c>
      <x:c r="AB760" s="604" t="n">
        <x:v>0.5026328846533832</x:v>
      </x:c>
      <x:c r="AC760" s="604" t="n"/>
      <x:c r="AD760" s="604" t="n"/>
      <x:c r="AE760" s="604" t="n">
        <x:v>0.2396325409562915</x:v>
      </x:c>
      <x:c r="AF760" s="604" t="n">
        <x:v>0.2577345743903253</x:v>
      </x:c>
      <x:c r="AG760" s="604" t="n">
        <x:v>0.02455546285423549</x:v>
      </x:c>
      <x:c r="AH760" s="604" t="n"/>
      <x:c r="AI760" s="604" t="n"/>
      <x:c r="AJ760" s="604" t="n">
        <x:v>0.02455546285423549</x:v>
      </x:c>
      <x:c r="AK760" s="604" t="n"/>
      <x:c r="AL760" s="604" t="n"/>
      <x:c r="AM760" s="604" t="n"/>
      <x:c r="AN760" s="604" t="inlineStr">
        <x:is>
          <x:t xml:space="preserve">EVALUATED</x:t>
        </x:is>
      </x:c>
      <x:c r="AO760" s="604" t="inlineStr">
        <x:is>
          <x:t xml:space="preserve">EDGE_BELOW_UNCERTAINTY_THRESHOLD、BUCKET_PRIOR_ONLY、INTENT_INTERPRETATION_ONLY、EXPERT_MARKET</x:t>
        </x:is>
      </x:c>
      <x:c r="AP760" s="604" t="inlineStr">
        <x:is>
          <x:t xml:space="preserve">3d718fd5de13036830f1</x:t>
        </x:is>
      </x:c>
      <x:c r="AQ760" s="604" t="n">
        <x:v>0</x:v>
      </x:c>
      <x:c r="AR760" s="604" t="n"/>
      <x:c r="AS760" s="604" t="n">
        <x:v>0</x:v>
      </x:c>
      <x:c r="AT760" s="604" t="n">
        <x:v>0</x:v>
      </x:c>
      <x:c r="AU760" s="604" t="n">
        <x:v>0.8</x:v>
      </x:c>
      <x:c r="AV760" s="604" t="n">
        <x:v>0.96</x:v>
      </x:c>
      <x:c r="AW760" s="604" t="n">
        <x:v>46298.06050486111</x:v>
      </x:c>
      <x:c r="AX760" s="604" t="inlineStr">
        <x:is>
          <x:t xml:space="preserve">https://simondongxiao.github.io/odds/v4/</x:t>
        </x:is>
      </x:c>
      <x:c r="AY760" s="604" t="inlineStr">
        <x:is>
          <x:t xml:space="preserve">V4 Shadow Only；real_money=false；P(EV&gt;0)不是比赛胜率</x:t>
        </x:is>
      </x:c>
    </x:row>
    <x:row r="761" ht="22" customHeight="1">
      <x:c r="A761" s="604" t="inlineStr">
        <x:is>
          <x:t xml:space="preserve">2026-10-03</x:t>
        </x:is>
      </x:c>
      <x:c r="B761" s="604" t="inlineStr">
        <x:is>
          <x:t xml:space="preserve">2026-10-03 22:00</x:t>
        </x:is>
      </x:c>
      <x:c r="C761" s="604" t="str">
        <x:v>欧洲非五大系列</x:v>
      </x:c>
      <x:c r="D761" s="604" t="inlineStr">
        <x:is>
          <x:t xml:space="preserve">联赛</x:t>
        </x:is>
      </x:c>
      <x:c r="E761" s="604" t="inlineStr">
        <x:is>
          <x:t xml:space="preserve">北爱超</x:t>
        </x:is>
      </x:c>
      <x:c r="F761" s="604" t="inlineStr">
        <x:is>
          <x:t xml:space="preserve">卡域克流浪 vs 克鲁萨德</x:t>
        </x:is>
      </x:c>
      <x:c r="G761" s="604" t="n">
        <x:v>0.9</x:v>
      </x:c>
      <x:c r="H761" s="604" t="n">
        <x:v>0</x:v>
      </x:c>
      <x:c r="I761" s="604" t="n">
        <x:v>0.8</x:v>
      </x:c>
      <x:c r="J761" s="604" t="inlineStr">
        <x:is>
          <x:t xml:space="preserve">0.9/0/0.8</x:t>
        </x:is>
      </x:c>
      <x:c r="K761" s="604" t="inlineStr">
        <x:is>
          <x:t xml:space="preserve">V4-C｜EV +0.0315</x:t>
        </x:is>
      </x:c>
      <x:c r="L761" s="604" t="str"/>
      <x:c r="M761" s="604" t="n">
        <x:v>0.5486025167571879</x:v>
      </x:c>
      <x:c r="N761" s="604" t="inlineStr">
        <x:is>
          <x:t xml:space="preserve">V4纸面入选-C</x:t>
        </x:is>
      </x:c>
      <x:c r="O761" s="604" t="inlineStr">
        <x:is>
          <x:t xml:space="preserve">4-0</x:t>
        </x:is>
      </x:c>
      <x:c r="P761" s="604" t="inlineStr">
        <x:is>
          <x:t xml:space="preserve">已结算</x:t>
        </x:is>
      </x:c>
      <x:c r="Q761" s="645" t="inlineStr">
        <x:is>
          <x:t xml:space="preserve">红</x:t>
        </x:is>
      </x:c>
      <x:c r="R761" s="604" t="n">
        <x:v>0.8</x:v>
      </x:c>
      <x:c r="S761" s="604" t="n">
        <x:f>IF(OR(Q761="",Q761="待结算"),"",IF(Q761="红",R761,IF(Q761="半红",R761*0.5,IF(Q761="走",0,IF(Q761="半黑",-0.5,-1)))))</x:f>
        <x:v>0.8</x:v>
      </x:c>
      <x:c r="T761" s="604" t="inlineStr">
        <x:is>
          <x:t xml:space="preserve">https://m.titan007.com/analy/Analysis/3011614.htm</x:t>
        </x:is>
      </x:c>
      <x:c r="U761" s="646" t="str">
        <x:f>IF(Q761="","",IF(Q761="待结算","待结算",IF(Q761="红","黑",IF(Q761="半红","半黑",IF(Q761="走","走",IF(Q761="半黑","半红","红"))))))</x:f>
        <x:v>黑</x:v>
      </x:c>
      <x:c r="V761" s="604" t="n">
        <x:f>IF(OR(Q761="",Q761="待结算"),"",IF(L761=LEFT(F761,FIND(" vs ",F761)-1),I761,G761))</x:f>
        <x:v>0.9</x:v>
      </x:c>
      <x:c r="W761" s="604" t="n">
        <x:f>IF(OR(U761="",U761="待结算"),"",IF(U761="红",V761,IF(U761="半红",V761*0.5,IF(U761="走",0,IF(U761="半黑",-0.5,-1)))))</x:f>
        <x:v>-1</x:v>
      </x:c>
      <x:c r="X761" s="604" t="inlineStr">
        <x:is>
          <x:t xml:space="preserve">3011614</x:t>
        </x:is>
      </x:c>
      <x:c r="Y761" s="604" t="inlineStr">
        <x:is>
          <x:t xml:space="preserve">V4</x:t>
        </x:is>
      </x:c>
      <x:c r="Z761" s="604" t="inlineStr">
        <x:is>
          <x:t xml:space="preserve">prior-2026-10-03-v1</x:t>
        </x:is>
      </x:c>
      <x:c r="AA761" s="604" t="inlineStr">
        <x:is>
          <x:t xml:space="preserve">C</x:t>
        </x:is>
      </x:c>
      <x:c r="AB761" s="604" t="n">
        <x:v>0.4085425346851709</x:v>
      </x:c>
      <x:c r="AC761" s="604" t="n"/>
      <x:c r="AD761" s="604" t="n">
        <x:v>0.255303207320151</x:v>
      </x:c>
      <x:c r="AE761" s="604" t="n"/>
      <x:c r="AF761" s="604" t="n">
        <x:v>0.3361542579946781</x:v>
      </x:c>
      <x:c r="AG761" s="604" t="n">
        <x:v>0.03153402322197568</x:v>
      </x:c>
      <x:c r="AH761" s="604" t="n"/>
      <x:c r="AI761" s="604" t="n"/>
      <x:c r="AJ761" s="604" t="n">
        <x:v>0.03153402322197568</x:v>
      </x:c>
      <x:c r="AK761" s="604" t="n"/>
      <x:c r="AL761" s="604" t="n"/>
      <x:c r="AM761" s="604" t="n"/>
      <x:c r="AN761" s="604" t="inlineStr">
        <x:is>
          <x:t xml:space="preserve">EVALUATED</x:t>
        </x:is>
      </x:c>
      <x:c r="AO761" s="604" t="inlineStr">
        <x:is>
          <x:t xml:space="preserve">EDGE_BELOW_UNCERTAINTY_THRESHOLD、BUCKET_PRIOR_ONLY、INTENT_INTERPRETATION_ONLY、EXPERT_MARKET</x:t>
        </x:is>
      </x:c>
      <x:c r="AP761" s="604" t="inlineStr">
        <x:is>
          <x:t xml:space="preserve">b96ce2ef70cc754e51de</x:t>
        </x:is>
      </x:c>
      <x:c r="AQ761" s="604" t="n">
        <x:v>0</x:v>
      </x:c>
      <x:c r="AR761" s="604" t="n"/>
      <x:c r="AS761" s="604" t="n">
        <x:v>0</x:v>
      </x:c>
      <x:c r="AT761" s="604" t="n">
        <x:v>0</x:v>
      </x:c>
      <x:c r="AU761" s="604" t="n">
        <x:v>0.9</x:v>
      </x:c>
      <x:c r="AV761" s="604" t="n">
        <x:v>0.8</x:v>
      </x:c>
      <x:c r="AW761" s="604" t="n">
        <x:v>46298.06050486111</x:v>
      </x:c>
      <x:c r="AX761" s="604" t="inlineStr">
        <x:is>
          <x:t xml:space="preserve">https://simondongxiao.github.io/odds/v4/</x:t>
        </x:is>
      </x:c>
      <x:c r="AY761" s="604" t="inlineStr">
        <x:is>
          <x:t xml:space="preserve">V4 Shadow Only；real_money=false；P(EV&gt;0)不是比赛胜率</x:t>
        </x:is>
      </x:c>
    </x:row>
    <x:row r="762" ht="22" customHeight="1">
      <x:c r="A762" s="604" t="inlineStr">
        <x:is>
          <x:t xml:space="preserve">2026-10-03</x:t>
        </x:is>
      </x:c>
      <x:c r="B762" s="604" t="inlineStr">
        <x:is>
          <x:t xml:space="preserve">2026-10-03 22:00</x:t>
        </x:is>
      </x:c>
      <x:c r="C762" s="604" t="str">
        <x:v>欧洲非五大系列</x:v>
      </x:c>
      <x:c r="D762" s="604" t="inlineStr">
        <x:is>
          <x:t xml:space="preserve">联赛</x:t>
        </x:is>
      </x:c>
      <x:c r="E762" s="604" t="inlineStr">
        <x:is>
          <x:t xml:space="preserve">北爱超</x:t>
        </x:is>
      </x:c>
      <x:c r="F762" s="604" t="inlineStr">
        <x:is>
          <x:t xml:space="preserve">格伦托兰 vs 邓甘嫩</x:t>
        </x:is>
      </x:c>
      <x:c r="G762" s="604" t="n">
        <x:v>0.85</x:v>
      </x:c>
      <x:c r="H762" s="604" t="n">
        <x:v>0</x:v>
      </x:c>
      <x:c r="I762" s="604" t="n">
        <x:v>0.85</x:v>
      </x:c>
      <x:c r="J762" s="604" t="inlineStr">
        <x:is>
          <x:t xml:space="preserve">0.85/0/0.85</x:t>
        </x:is>
      </x:c>
      <x:c r="K762" s="604" t="inlineStr">
        <x:is>
          <x:t xml:space="preserve">V4-C｜EV +0.0099</x:t>
        </x:is>
      </x:c>
      <x:c r="L762" s="604" t="str"/>
      <x:c r="M762" s="604" t="n">
        <x:v>0.5466402847756496</x:v>
      </x:c>
      <x:c r="N762" s="604" t="inlineStr">
        <x:is>
          <x:t xml:space="preserve">V4纸面入选-C</x:t>
        </x:is>
      </x:c>
      <x:c r="O762" s="604" t="inlineStr">
        <x:is>
          <x:t xml:space="preserve">2-0</x:t>
        </x:is>
      </x:c>
      <x:c r="P762" s="604" t="inlineStr">
        <x:is>
          <x:t xml:space="preserve">已结算</x:t>
        </x:is>
      </x:c>
      <x:c r="Q762" s="645" t="inlineStr">
        <x:is>
          <x:t xml:space="preserve">红</x:t>
        </x:is>
      </x:c>
      <x:c r="R762" s="604" t="n">
        <x:v>0.85</x:v>
      </x:c>
      <x:c r="S762" s="604" t="n">
        <x:f>IF(OR(Q762="",Q762="待结算"),"",IF(Q762="红",R762,IF(Q762="半红",R762*0.5,IF(Q762="走",0,IF(Q762="半黑",-0.5,-1)))))</x:f>
        <x:v>0.85</x:v>
      </x:c>
      <x:c r="T762" s="604" t="inlineStr">
        <x:is>
          <x:t xml:space="preserve">https://m.titan007.com/analy/Analysis/3011616.htm</x:t>
        </x:is>
      </x:c>
      <x:c r="U762" s="646" t="str">
        <x:f>IF(Q762="","",IF(Q762="待结算","待结算",IF(Q762="红","黑",IF(Q762="半红","半黑",IF(Q762="走","走",IF(Q762="半黑","半红","红"))))))</x:f>
        <x:v>黑</x:v>
      </x:c>
      <x:c r="V762" s="604" t="n">
        <x:f>IF(OR(Q762="",Q762="待结算"),"",IF(L762=LEFT(F762,FIND(" vs ",F762)-1),I762,G762))</x:f>
        <x:v>0.85</x:v>
      </x:c>
      <x:c r="W762" s="604" t="n">
        <x:f>IF(OR(U762="",U762="待结算"),"",IF(U762="红",V762,IF(U762="半红",V762*0.5,IF(U762="走",0,IF(U762="半黑",-0.5,-1)))))</x:f>
        <x:v>-1</x:v>
      </x:c>
      <x:c r="X762" s="604" t="inlineStr">
        <x:is>
          <x:t xml:space="preserve">3011616</x:t>
        </x:is>
      </x:c>
      <x:c r="Y762" s="604" t="inlineStr">
        <x:is>
          <x:t xml:space="preserve">V4</x:t>
        </x:is>
      </x:c>
      <x:c r="Z762" s="604" t="inlineStr">
        <x:is>
          <x:t xml:space="preserve">prior-2026-10-03-v1</x:t>
        </x:is>
      </x:c>
      <x:c r="AA762" s="604" t="inlineStr">
        <x:is>
          <x:t xml:space="preserve">C</x:t>
        </x:is>
      </x:c>
      <x:c r="AB762" s="604" t="n">
        <x:v>0.3502594281265765</x:v>
      </x:c>
      <x:c r="AC762" s="604" t="n">
        <x:v>0.2539450945150566</x:v>
      </x:c>
      <x:c r="AD762" s="604" t="n"/>
      <x:c r="AE762" s="604" t="n"/>
      <x:c r="AF762" s="604" t="n">
        <x:v>0.395795477358367</x:v>
      </x:c>
      <x:c r="AG762" s="604" t="n">
        <x:v>0.009851701718122052</x:v>
      </x:c>
      <x:c r="AH762" s="604" t="n"/>
      <x:c r="AI762" s="604" t="n"/>
      <x:c r="AJ762" s="604" t="n">
        <x:v>0.009851701718122052</x:v>
      </x:c>
      <x:c r="AK762" s="604" t="n"/>
      <x:c r="AL762" s="604" t="n"/>
      <x:c r="AM762" s="604" t="n"/>
      <x:c r="AN762" s="604" t="inlineStr">
        <x:is>
          <x:t xml:space="preserve">EVALUATED</x:t>
        </x:is>
      </x:c>
      <x:c r="AO762" s="604" t="inlineStr">
        <x:is>
          <x:t xml:space="preserve">EDGE_BELOW_UNCERTAINTY_THRESHOLD、BUCKET_PRIOR_ONLY、INTENT_INTERPRETATION_ONLY、EXPERT_MARKET</x:t>
        </x:is>
      </x:c>
      <x:c r="AP762" s="604" t="inlineStr">
        <x:is>
          <x:t xml:space="preserve">089c70e0e75a2781486f</x:t>
        </x:is>
      </x:c>
      <x:c r="AQ762" s="604" t="n">
        <x:v>0</x:v>
      </x:c>
      <x:c r="AR762" s="604" t="n"/>
      <x:c r="AS762" s="604" t="n">
        <x:v>0</x:v>
      </x:c>
      <x:c r="AT762" s="604" t="n">
        <x:v>0</x:v>
      </x:c>
      <x:c r="AU762" s="604" t="n">
        <x:v>0.85</x:v>
      </x:c>
      <x:c r="AV762" s="604" t="n">
        <x:v>0.85</x:v>
      </x:c>
      <x:c r="AW762" s="604" t="n">
        <x:v>46298.06050486111</x:v>
      </x:c>
      <x:c r="AX762" s="604" t="inlineStr">
        <x:is>
          <x:t xml:space="preserve">https://simondongxiao.github.io/odds/v4/</x:t>
        </x:is>
      </x:c>
      <x:c r="AY762" s="604" t="inlineStr">
        <x:is>
          <x:t xml:space="preserve">V4 Shadow Only；real_money=false；P(EV&gt;0)不是比赛胜率</x:t>
        </x:is>
      </x:c>
    </x:row>
    <x:row r="763" ht="22" customHeight="1">
      <x:c r="A763" s="604" t="inlineStr">
        <x:is>
          <x:t xml:space="preserve">2026-10-03</x:t>
        </x:is>
      </x:c>
      <x:c r="B763" s="604" t="inlineStr">
        <x:is>
          <x:t xml:space="preserve">2026-10-03 22:00</x:t>
        </x:is>
      </x:c>
      <x:c r="C763" s="604" t="str">
        <x:v>欧洲非五大系列</x:v>
      </x:c>
      <x:c r="D763" s="604" t="inlineStr">
        <x:is>
          <x:t xml:space="preserve">联赛</x:t>
        </x:is>
      </x:c>
      <x:c r="E763" s="604" t="inlineStr">
        <x:is>
          <x:t xml:space="preserve">北爱超</x:t>
        </x:is>
      </x:c>
      <x:c r="F763" s="604" t="inlineStr">
        <x:is>
          <x:t xml:space="preserve">波塔当 vs 利马瓦迪</x:t>
        </x:is>
      </x:c>
      <x:c r="G763" s="604" t="n">
        <x:v>0.85</x:v>
      </x:c>
      <x:c r="H763" s="604" t="n">
        <x:v>0</x:v>
      </x:c>
      <x:c r="I763" s="604" t="n">
        <x:v>0.85</x:v>
      </x:c>
      <x:c r="J763" s="604" t="inlineStr">
        <x:is>
          <x:t xml:space="preserve">0.85/0/0.85</x:t>
        </x:is>
      </x:c>
      <x:c r="K763" s="604" t="inlineStr">
        <x:is>
          <x:t xml:space="preserve">V4-C｜EV +0.0340</x:t>
        </x:is>
      </x:c>
      <x:c r="L763" s="604" t="str"/>
      <x:c r="M763" s="604" t="n">
        <x:v>0.4383261504739073</x:v>
      </x:c>
      <x:c r="N763" s="604" t="inlineStr">
        <x:is>
          <x:t xml:space="preserve">V4纸面入选-C</x:t>
        </x:is>
      </x:c>
      <x:c r="O763" s="604" t="inlineStr">
        <x:is>
          <x:t xml:space="preserve">3-1</x:t>
        </x:is>
      </x:c>
      <x:c r="P763" s="604" t="inlineStr">
        <x:is>
          <x:t xml:space="preserve">已结算</x:t>
        </x:is>
      </x:c>
      <x:c r="Q763" s="645" t="inlineStr">
        <x:is>
          <x:t xml:space="preserve">红</x:t>
        </x:is>
      </x:c>
      <x:c r="R763" s="604" t="n">
        <x:v>0.85</x:v>
      </x:c>
      <x:c r="S763" s="604" t="n">
        <x:f>IF(OR(Q763="",Q763="待结算"),"",IF(Q763="红",R763,IF(Q763="半红",R763*0.5,IF(Q763="走",0,IF(Q763="半黑",-0.5,-1)))))</x:f>
        <x:v>0.85</x:v>
      </x:c>
      <x:c r="T763" s="604" t="inlineStr">
        <x:is>
          <x:t xml:space="preserve">https://m.titan007.com/analy/Analysis/3011618.htm</x:t>
        </x:is>
      </x:c>
      <x:c r="U763" s="646" t="str">
        <x:f>IF(Q763="","",IF(Q763="待结算","待结算",IF(Q763="红","黑",IF(Q763="半红","半黑",IF(Q763="走","走",IF(Q763="半黑","半红","红"))))))</x:f>
        <x:v>黑</x:v>
      </x:c>
      <x:c r="V763" s="604" t="n">
        <x:f>IF(OR(Q763="",Q763="待结算"),"",IF(L763=LEFT(F763,FIND(" vs ",F763)-1),I763,G763))</x:f>
        <x:v>0.85</x:v>
      </x:c>
      <x:c r="W763" s="604" t="n">
        <x:f>IF(OR(U763="",U763="待结算"),"",IF(U763="红",V763,IF(U763="半红",V763*0.5,IF(U763="走",0,IF(U763="半黑",-0.5,-1)))))</x:f>
        <x:v>-1</x:v>
      </x:c>
      <x:c r="X763" s="604" t="inlineStr">
        <x:is>
          <x:t xml:space="preserve">3011618</x:t>
        </x:is>
      </x:c>
      <x:c r="Y763" s="604" t="inlineStr">
        <x:is>
          <x:t xml:space="preserve">V4</x:t>
        </x:is>
      </x:c>
      <x:c r="Z763" s="604" t="inlineStr">
        <x:is>
          <x:t xml:space="preserve">prior-2026-10-03-v1</x:t>
        </x:is>
      </x:c>
      <x:c r="AA763" s="604" t="inlineStr">
        <x:is>
          <x:t xml:space="preserve">C</x:t>
        </x:is>
      </x:c>
      <x:c r="AB763" s="604" t="n">
        <x:v>0.3806719237508439</x:v>
      </x:c>
      <x:c r="AC763" s="604" t="n"/>
      <x:c r="AD763" s="604" t="n"/>
      <x:c r="AE763" s="604" t="n">
        <x:v>0.2630654213111818</x:v>
      </x:c>
      <x:c r="AF763" s="604" t="n">
        <x:v>0.3562626549379743</x:v>
      </x:c>
      <x:c r="AG763" s="604" t="n">
        <x:v>0.03395413700368655</x:v>
      </x:c>
      <x:c r="AH763" s="604" t="n"/>
      <x:c r="AI763" s="604" t="n"/>
      <x:c r="AJ763" s="604" t="n">
        <x:v>0.03395413700368655</x:v>
      </x:c>
      <x:c r="AK763" s="604" t="n"/>
      <x:c r="AL763" s="604" t="n"/>
      <x:c r="AM763" s="604" t="n"/>
      <x:c r="AN763" s="604" t="inlineStr">
        <x:is>
          <x:t xml:space="preserve">EVALUATED</x:t>
        </x:is>
      </x:c>
      <x:c r="AO763" s="604" t="inlineStr">
        <x:is>
          <x:t xml:space="preserve">EDGE_BELOW_UNCERTAINTY_THRESHOLD、BUCKET_PRIOR_ONLY、INTENT_INTERPRETATION_ONLY、EXPERT_MARKET</x:t>
        </x:is>
      </x:c>
      <x:c r="AP763" s="604" t="inlineStr">
        <x:is>
          <x:t xml:space="preserve">5e8c579598f3e8f2bffc</x:t>
        </x:is>
      </x:c>
      <x:c r="AQ763" s="604" t="n">
        <x:v>0</x:v>
      </x:c>
      <x:c r="AR763" s="604" t="n"/>
      <x:c r="AS763" s="604" t="n">
        <x:v>0</x:v>
      </x:c>
      <x:c r="AT763" s="604" t="n">
        <x:v>0</x:v>
      </x:c>
      <x:c r="AU763" s="604" t="n">
        <x:v>0.85</x:v>
      </x:c>
      <x:c r="AV763" s="604" t="n">
        <x:v>0.85</x:v>
      </x:c>
      <x:c r="AW763" s="604" t="n">
        <x:v>46298.06050486111</x:v>
      </x:c>
      <x:c r="AX763" s="604" t="inlineStr">
        <x:is>
          <x:t xml:space="preserve">https://simondongxiao.github.io/odds/v4/</x:t>
        </x:is>
      </x:c>
      <x:c r="AY763" s="604" t="inlineStr">
        <x:is>
          <x:t xml:space="preserve">V4 Shadow Only；real_money=false；P(EV&gt;0)不是比赛胜率</x:t>
        </x:is>
      </x:c>
    </x:row>
    <x:row r="764" ht="22" customHeight="1">
      <x:c r="A764" s="604" t="inlineStr">
        <x:is>
          <x:t xml:space="preserve">2026-10-03</x:t>
        </x:is>
      </x:c>
      <x:c r="B764" s="604" t="inlineStr">
        <x:is>
          <x:t xml:space="preserve">2026-10-03 22:00</x:t>
        </x:is>
      </x:c>
      <x:c r="C764" s="604" t="str">
        <x:v>其他系列</x:v>
      </x:c>
      <x:c r="D764" s="604" t="inlineStr">
        <x:is>
          <x:t xml:space="preserve">联赛</x:t>
        </x:is>
      </x:c>
      <x:c r="E764" s="604" t="inlineStr">
        <x:is>
          <x:t xml:space="preserve">国际友谊</x:t>
        </x:is>
      </x:c>
      <x:c r="F764" s="604" t="inlineStr">
        <x:is>
          <x:t xml:space="preserve">印度 vs 巴西</x:t>
        </x:is>
      </x:c>
      <x:c r="G764" s="604" t="n">
        <x:v>1.06</x:v>
      </x:c>
      <x:c r="H764" s="604" t="n">
        <x:v>-3.75</x:v>
      </x:c>
      <x:c r="I764" s="604" t="n">
        <x:v>0.7</x:v>
      </x:c>
      <x:c r="J764" s="604" t="inlineStr">
        <x:is>
          <x:t xml:space="preserve">1.06/-3.75/0.7</x:t>
        </x:is>
      </x:c>
      <x:c r="K764" s="604" t="inlineStr">
        <x:is>
          <x:t xml:space="preserve">V4-C｜EV +0.3769</x:t>
        </x:is>
      </x:c>
      <x:c r="L764" s="604" t="inlineStr">
        <x:is>
          <x:t xml:space="preserve">印度</x:t>
        </x:is>
      </x:c>
      <x:c r="M764" s="604" t="n">
        <x:v>0.6855261777441385</x:v>
      </x:c>
      <x:c r="N764" s="604" t="inlineStr">
        <x:is>
          <x:t xml:space="preserve">V4纸面入选-C</x:t>
        </x:is>
      </x:c>
      <x:c r="O764" s="604" t="inlineStr">
        <x:is>
          <x:t xml:space="preserve">0-4</x:t>
        </x:is>
      </x:c>
      <x:c r="P764" s="604" t="inlineStr">
        <x:is>
          <x:t xml:space="preserve">已结算</x:t>
        </x:is>
      </x:c>
      <x:c r="Q764" s="648" t="inlineStr">
        <x:is>
          <x:t xml:space="preserve">半黑</x:t>
        </x:is>
      </x:c>
      <x:c r="R764" s="604" t="n">
        <x:v>1.06</x:v>
      </x:c>
      <x:c r="S764" s="604" t="n">
        <x:f>IF(OR(Q764="",Q764="待结算"),"",IF(Q764="红",R764,IF(Q764="半红",R764*0.5,IF(Q764="走",0,IF(Q764="半黑",-0.5,-1)))))</x:f>
        <x:v>-0.5</x:v>
      </x:c>
      <x:c r="T764" s="604" t="inlineStr">
        <x:is>
          <x:t xml:space="preserve">https://m.titan007.com/analy/Analysis/3096945.htm</x:t>
        </x:is>
      </x:c>
      <x:c r="U764" s="649" t="str">
        <x:f>IF(Q764="","",IF(Q764="待结算","待结算",IF(Q764="红","黑",IF(Q764="半红","半黑",IF(Q764="走","走",IF(Q764="半黑","半红","红"))))))</x:f>
        <x:v>半红</x:v>
      </x:c>
      <x:c r="V764" s="604" t="n">
        <x:f>IF(OR(Q764="",Q764="待结算"),"",IF(L764=LEFT(F764,FIND(" vs ",F764)-1),I764,G764))</x:f>
        <x:v>0.7</x:v>
      </x:c>
      <x:c r="W764" s="604" t="n">
        <x:f>IF(OR(U764="",U764="待结算"),"",IF(U764="红",V764,IF(U764="半红",V764*0.5,IF(U764="走",0,IF(U764="半黑",-0.5,-1)))))</x:f>
        <x:v>0.35</x:v>
      </x:c>
      <x:c r="X764" s="604" t="inlineStr">
        <x:is>
          <x:t xml:space="preserve">3096945</x:t>
        </x:is>
      </x:c>
      <x:c r="Y764" s="604" t="inlineStr">
        <x:is>
          <x:t xml:space="preserve">V4</x:t>
        </x:is>
      </x:c>
      <x:c r="Z764" s="604" t="inlineStr">
        <x:is>
          <x:t xml:space="preserve">prior-2026-10-03-v1</x:t>
        </x:is>
      </x:c>
      <x:c r="AA764" s="604" t="inlineStr">
        <x:is>
          <x:t xml:space="preserve">C</x:t>
        </x:is>
      </x:c>
      <x:c r="AB764" s="604" t="n">
        <x:v>0.6268269937176693</x:v>
      </x:c>
      <x:c r="AC764" s="604" t="n"/>
      <x:c r="AD764" s="604" t="n"/>
      <x:c r="AE764" s="604" t="n">
        <x:v>0.1712529322210004</x:v>
      </x:c>
      <x:c r="AF764" s="604" t="n">
        <x:v>0.2019200740613303</x:v>
      </x:c>
      <x:c r="AG764" s="604" t="n">
        <x:v>0.376890073168899</x:v>
      </x:c>
      <x:c r="AH764" s="604" t="n"/>
      <x:c r="AI764" s="604" t="n"/>
      <x:c r="AJ764" s="604" t="n">
        <x:v>0.376890073168899</x:v>
      </x:c>
      <x:c r="AK764" s="604" t="n"/>
      <x:c r="AL764" s="604" t="n"/>
      <x:c r="AM764" s="604" t="n"/>
      <x:c r="AN764" s="604" t="inlineStr">
        <x:is>
          <x:t xml:space="preserve">EVALUATED</x:t>
        </x:is>
      </x:c>
      <x:c r="AO764" s="604" t="inlineStr">
        <x:is>
          <x:t xml:space="preserve">RECEIVING_VALIDATED_EDGE、BUCKET_PRIOR_ONLY、INTENT_INTERPRETATION_ONLY、EXPERT_MARKET</x:t>
        </x:is>
      </x:c>
      <x:c r="AP764" s="604" t="inlineStr">
        <x:is>
          <x:t xml:space="preserve">8005a0ce466a2413d36b</x:t>
        </x:is>
      </x:c>
      <x:c r="AQ764" s="604" t="n">
        <x:v>3.75</x:v>
      </x:c>
      <x:c r="AR764" s="604" t="n">
        <x:v>1.06</x:v>
      </x:c>
      <x:c r="AS764" s="604" t="n">
        <x:v>-3.75</x:v>
      </x:c>
      <x:c r="AT764" s="604" t="n">
        <x:v>3.75</x:v>
      </x:c>
      <x:c r="AU764" s="604" t="n">
        <x:v>1.06</x:v>
      </x:c>
      <x:c r="AV764" s="604" t="n">
        <x:v>0.7</x:v>
      </x:c>
      <x:c r="AW764" s="604" t="n">
        <x:v>46298.06050486111</x:v>
      </x:c>
      <x:c r="AX764" s="604" t="inlineStr">
        <x:is>
          <x:t xml:space="preserve">https://simondongxiao.github.io/odds/v4/</x:t>
        </x:is>
      </x:c>
      <x:c r="AY764" s="604" t="inlineStr">
        <x:is>
          <x:t xml:space="preserve">V4 Shadow Only；real_money=false；P(EV&gt;0)不是比赛胜率</x:t>
        </x:is>
      </x:c>
    </x:row>
    <x:row r="765" ht="22" customHeight="1">
      <x:c r="A765" s="604" t="inlineStr">
        <x:is>
          <x:t xml:space="preserve">2026-10-03</x:t>
        </x:is>
      </x:c>
      <x:c r="B765" s="604" t="inlineStr">
        <x:is>
          <x:t xml:space="preserve">2026-10-03 22:00</x:t>
        </x:is>
      </x:c>
      <x:c r="C765" s="604" t="str">
        <x:v>五大联赛非顶级联赛</x:v>
      </x:c>
      <x:c r="D765" s="604" t="inlineStr">
        <x:is>
          <x:t xml:space="preserve">联赛</x:t>
        </x:is>
      </x:c>
      <x:c r="E765" s="604" t="inlineStr">
        <x:is>
          <x:t xml:space="preserve">德女联</x:t>
        </x:is>
      </x:c>
      <x:c r="F765" s="604" t="inlineStr">
        <x:is>
          <x:t xml:space="preserve">科隆女足 vs 费雷堡女足</x:t>
        </x:is>
      </x:c>
      <x:c r="G765" s="604" t="n">
        <x:v>0.88</x:v>
      </x:c>
      <x:c r="H765" s="604" t="n">
        <x:v>0</x:v>
      </x:c>
      <x:c r="I765" s="604" t="n">
        <x:v>0.82</x:v>
      </x:c>
      <x:c r="J765" s="604" t="inlineStr">
        <x:is>
          <x:t xml:space="preserve">0.88/0/0.82</x:t>
        </x:is>
      </x:c>
      <x:c r="K765" s="604" t="inlineStr">
        <x:is>
          <x:t xml:space="preserve">V4-C｜EV +0.0320</x:t>
        </x:is>
      </x:c>
      <x:c r="L765" s="604" t="str"/>
      <x:c r="M765" s="604" t="n">
        <x:v>0.4270843910787238</x:v>
      </x:c>
      <x:c r="N765" s="604" t="inlineStr">
        <x:is>
          <x:t xml:space="preserve">V4纸面入选-C</x:t>
        </x:is>
      </x:c>
      <x:c r="O765" s="604" t="inlineStr">
        <x:is>
          <x:t xml:space="preserve">0-1</x:t>
        </x:is>
      </x:c>
      <x:c r="P765" s="604" t="inlineStr">
        <x:is>
          <x:t xml:space="preserve">已结算</x:t>
        </x:is>
      </x:c>
      <x:c r="Q765" s="646" t="inlineStr">
        <x:is>
          <x:t xml:space="preserve">黑</x:t>
        </x:is>
      </x:c>
      <x:c r="R765" s="604" t="n">
        <x:v>0.82</x:v>
      </x:c>
      <x:c r="S765" s="604" t="n">
        <x:f>IF(OR(Q765="",Q765="待结算"),"",IF(Q765="红",R765,IF(Q765="半红",R765*0.5,IF(Q765="走",0,IF(Q765="半黑",-0.5,-1)))))</x:f>
        <x:v>-1</x:v>
      </x:c>
      <x:c r="T765" s="604" t="inlineStr">
        <x:is>
          <x:t xml:space="preserve">https://m.titan007.com/analy/Analysis/3034796.htm</x:t>
        </x:is>
      </x:c>
      <x:c r="U765" s="645" t="str">
        <x:f>IF(Q765="","",IF(Q765="待结算","待结算",IF(Q765="红","黑",IF(Q765="半红","半黑",IF(Q765="走","走",IF(Q765="半黑","半红","红"))))))</x:f>
        <x:v>红</x:v>
      </x:c>
      <x:c r="V765" s="604" t="n">
        <x:f>IF(OR(Q765="",Q765="待结算"),"",IF(L765=LEFT(F765,FIND(" vs ",F765)-1),I765,G765))</x:f>
        <x:v>0.88</x:v>
      </x:c>
      <x:c r="W765" s="604" t="n">
        <x:f>IF(OR(U765="",U765="待结算"),"",IF(U765="红",V765,IF(U765="半红",V765*0.5,IF(U765="走",0,IF(U765="半黑",-0.5,-1)))))</x:f>
        <x:v>0.88</x:v>
      </x:c>
      <x:c r="X765" s="604" t="inlineStr">
        <x:is>
          <x:t xml:space="preserve">3034796</x:t>
        </x:is>
      </x:c>
      <x:c r="Y765" s="604" t="inlineStr">
        <x:is>
          <x:t xml:space="preserve">V4</x:t>
        </x:is>
      </x:c>
      <x:c r="Z765" s="604" t="inlineStr">
        <x:is>
          <x:t xml:space="preserve">prior-2026-10-03-v1</x:t>
        </x:is>
      </x:c>
      <x:c r="AA765" s="604" t="inlineStr">
        <x:is>
          <x:t xml:space="preserve">C</x:t>
        </x:is>
      </x:c>
      <x:c r="AB765" s="604" t="n">
        <x:v>0.3199343033039611</x:v>
      </x:c>
      <x:c r="AC765" s="604" t="n"/>
      <x:c r="AD765" s="604" t="n">
        <x:v>0.2508873890336392</x:v>
      </x:c>
      <x:c r="AE765" s="604" t="n"/>
      <x:c r="AF765" s="604" t="n">
        <x:v>0.4291783076623998</x:v>
      </x:c>
      <x:c r="AG765" s="604" t="n">
        <x:v>0.03199190897920667</x:v>
      </x:c>
      <x:c r="AH765" s="604" t="n"/>
      <x:c r="AI765" s="604" t="n"/>
      <x:c r="AJ765" s="604" t="n">
        <x:v>0.03199190897920667</x:v>
      </x:c>
      <x:c r="AK765" s="604" t="n"/>
      <x:c r="AL765" s="604" t="n"/>
      <x:c r="AM765" s="604" t="n"/>
      <x:c r="AN765" s="604" t="inlineStr">
        <x:is>
          <x:t xml:space="preserve">EVALUATED</x:t>
        </x:is>
      </x:c>
      <x:c r="AO765" s="604" t="inlineStr">
        <x:is>
          <x:t xml:space="preserve">EDGE_BELOW_UNCERTAINTY_THRESHOLD、BUCKET_PRIOR_ONLY、INTENT_INTERPRETATION_ONLY、EXPERT_MARKET</x:t>
        </x:is>
      </x:c>
      <x:c r="AP765" s="604" t="inlineStr">
        <x:is>
          <x:t xml:space="preserve">9840888a3b5566e38034</x:t>
        </x:is>
      </x:c>
      <x:c r="AQ765" s="604" t="n">
        <x:v>0</x:v>
      </x:c>
      <x:c r="AR765" s="604" t="n"/>
      <x:c r="AS765" s="604" t="n">
        <x:v>0</x:v>
      </x:c>
      <x:c r="AT765" s="604" t="n">
        <x:v>0</x:v>
      </x:c>
      <x:c r="AU765" s="604" t="n">
        <x:v>0.88</x:v>
      </x:c>
      <x:c r="AV765" s="604" t="n">
        <x:v>0.82</x:v>
      </x:c>
      <x:c r="AW765" s="604" t="n">
        <x:v>46298.06050486111</x:v>
      </x:c>
      <x:c r="AX765" s="604" t="inlineStr">
        <x:is>
          <x:t xml:space="preserve">https://simondongxiao.github.io/odds/v4/</x:t>
        </x:is>
      </x:c>
      <x:c r="AY765" s="604" t="inlineStr">
        <x:is>
          <x:t xml:space="preserve">V4 Shadow Only；real_money=false；P(EV&gt;0)不是比赛胜率</x:t>
        </x:is>
      </x:c>
    </x:row>
    <x:row r="766" ht="22" customHeight="1">
      <x:c r="A766" s="604" t="inlineStr">
        <x:is>
          <x:t xml:space="preserve">2026-10-03</x:t>
        </x:is>
      </x:c>
      <x:c r="B766" s="604" t="inlineStr">
        <x:is>
          <x:t xml:space="preserve">2026-10-03 22:00</x:t>
        </x:is>
      </x:c>
      <x:c r="C766" s="604" t="str">
        <x:v>五大联赛非顶级联赛</x:v>
      </x:c>
      <x:c r="D766" s="604" t="inlineStr">
        <x:is>
          <x:t xml:space="preserve">联赛</x:t>
        </x:is>
      </x:c>
      <x:c r="E766" s="604" t="inlineStr">
        <x:is>
          <x:t xml:space="preserve">西女超</x:t>
        </x:is>
      </x:c>
      <x:c r="F766" s="604" t="inlineStr">
        <x:is>
          <x:t xml:space="preserve">拉科鲁尼亚女足 vs 马德里竞技女足</x:t>
        </x:is>
      </x:c>
      <x:c r="G766" s="604" t="n">
        <x:v>0.78</x:v>
      </x:c>
      <x:c r="H766" s="604" t="n">
        <x:v>-0.75</x:v>
      </x:c>
      <x:c r="I766" s="604" t="n">
        <x:v>0.92</x:v>
      </x:c>
      <x:c r="J766" s="604" t="inlineStr">
        <x:is>
          <x:t xml:space="preserve">0.78/-0.75/0.92</x:t>
        </x:is>
      </x:c>
      <x:c r="K766" s="604" t="inlineStr">
        <x:is>
          <x:t xml:space="preserve">V4-B｜EV +0.1271</x:t>
        </x:is>
      </x:c>
      <x:c r="L766" s="604" t="inlineStr">
        <x:is>
          <x:t xml:space="preserve">马德里竞技女足</x:t>
        </x:is>
      </x:c>
      <x:c r="M766" s="604" t="n">
        <x:v>0.5967626059194351</x:v>
      </x:c>
      <x:c r="N766" s="604" t="inlineStr">
        <x:is>
          <x:t xml:space="preserve">V4纸面入选-B</x:t>
        </x:is>
      </x:c>
      <x:c r="O766" s="604" t="inlineStr">
        <x:is>
          <x:t xml:space="preserve">1-2</x:t>
        </x:is>
      </x:c>
      <x:c r="P766" s="604" t="inlineStr">
        <x:is>
          <x:t xml:space="preserve">已结算</x:t>
        </x:is>
      </x:c>
      <x:c r="Q766" s="646" t="inlineStr">
        <x:is>
          <x:t xml:space="preserve">黑</x:t>
        </x:is>
      </x:c>
      <x:c r="R766" s="604" t="n">
        <x:v>0.92</x:v>
      </x:c>
      <x:c r="S766" s="604" t="n">
        <x:f>IF(OR(Q766="",Q766="待结算"),"",IF(Q766="红",R766,IF(Q766="半红",R766*0.5,IF(Q766="走",0,IF(Q766="半黑",-0.5,-1)))))</x:f>
        <x:v>-1</x:v>
      </x:c>
      <x:c r="T766" s="604" t="inlineStr">
        <x:is>
          <x:t xml:space="preserve">https://m.titan007.com/analy/Analysis/3057195.htm</x:t>
        </x:is>
      </x:c>
      <x:c r="U766" s="645" t="str">
        <x:f>IF(Q766="","",IF(Q766="待结算","待结算",IF(Q766="红","黑",IF(Q766="半红","半黑",IF(Q766="走","走",IF(Q766="半黑","半红","红"))))))</x:f>
        <x:v>红</x:v>
      </x:c>
      <x:c r="V766" s="604" t="n">
        <x:f>IF(OR(Q766="",Q766="待结算"),"",IF(L766=LEFT(F766,FIND(" vs ",F766)-1),I766,G766))</x:f>
        <x:v>0.78</x:v>
      </x:c>
      <x:c r="W766" s="604" t="n">
        <x:f>IF(OR(U766="",U766="待结算"),"",IF(U766="红",V766,IF(U766="半红",V766*0.5,IF(U766="走",0,IF(U766="半黑",-0.5,-1)))))</x:f>
        <x:v>0.78</x:v>
      </x:c>
      <x:c r="X766" s="604" t="inlineStr">
        <x:is>
          <x:t xml:space="preserve">3057195</x:t>
        </x:is>
      </x:c>
      <x:c r="Y766" s="604" t="inlineStr">
        <x:is>
          <x:t xml:space="preserve">V4</x:t>
        </x:is>
      </x:c>
      <x:c r="Z766" s="604" t="inlineStr">
        <x:is>
          <x:t xml:space="preserve">prior-2026-10-03-v1</x:t>
        </x:is>
      </x:c>
      <x:c r="AA766" s="604" t="inlineStr">
        <x:is>
          <x:t xml:space="preserve">B</x:t>
        </x:is>
      </x:c>
      <x:c r="AB766" s="604" t="n">
        <x:v>0.3924973106908018</x:v>
      </x:c>
      <x:c r="AC766" s="604" t="n">
        <x:v>0.2558492971608824</x:v>
      </x:c>
      <x:c r="AD766" s="604" t="n"/>
      <x:c r="AE766" s="604" t="n"/>
      <x:c r="AF766" s="604" t="n">
        <x:v>0.3516533921483158</x:v>
      </x:c>
      <x:c r="AG766" s="604" t="n">
        <x:v>0.1271348103812279</x:v>
      </x:c>
      <x:c r="AH766" s="604" t="n"/>
      <x:c r="AI766" s="604" t="n"/>
      <x:c r="AJ766" s="604" t="n">
        <x:v>0.1271348103812279</x:v>
      </x:c>
      <x:c r="AK766" s="604" t="n"/>
      <x:c r="AL766" s="604" t="n"/>
      <x:c r="AM766" s="604" t="n"/>
      <x:c r="AN766" s="604" t="inlineStr">
        <x:is>
          <x:t xml:space="preserve">EVALUATED</x:t>
        </x:is>
      </x:c>
      <x:c r="AO766" s="604" t="inlineStr">
        <x:is>
          <x:t xml:space="preserve">GIVING_VALIDATED_EDGE、BUCKET_PRIOR_ONLY、INTENT_INTERPRETATION_ONLY、EXPERT_MARKET</x:t>
        </x:is>
      </x:c>
      <x:c r="AP766" s="604" t="inlineStr">
        <x:is>
          <x:t xml:space="preserve">eeae50ea5c946b4f814a</x:t>
        </x:is>
      </x:c>
      <x:c r="AQ766" s="604" t="n">
        <x:v>-0.75</x:v>
      </x:c>
      <x:c r="AR766" s="604" t="n">
        <x:v>0.92</x:v>
      </x:c>
      <x:c r="AS766" s="604" t="n">
        <x:v>-0.75</x:v>
      </x:c>
      <x:c r="AT766" s="604" t="n">
        <x:v>0.75</x:v>
      </x:c>
      <x:c r="AU766" s="604" t="n">
        <x:v>0.78</x:v>
      </x:c>
      <x:c r="AV766" s="604" t="n">
        <x:v>0.92</x:v>
      </x:c>
      <x:c r="AW766" s="604" t="n">
        <x:v>46298.06050486111</x:v>
      </x:c>
      <x:c r="AX766" s="604" t="inlineStr">
        <x:is>
          <x:t xml:space="preserve">https://simondongxiao.github.io/odds/v4/</x:t>
        </x:is>
      </x:c>
      <x:c r="AY766" s="604" t="inlineStr">
        <x:is>
          <x:t xml:space="preserve">V4 Shadow Only；real_money=false；P(EV&gt;0)不是比赛胜率</x:t>
        </x:is>
      </x:c>
    </x:row>
    <x:row r="767" ht="22" customHeight="1">
      <x:c r="A767" s="604" t="inlineStr">
        <x:is>
          <x:t xml:space="preserve">2026-10-03</x:t>
        </x:is>
      </x:c>
      <x:c r="B767" s="604" t="inlineStr">
        <x:is>
          <x:t xml:space="preserve">2026-10-03 22:15</x:t>
        </x:is>
      </x:c>
      <x:c r="C767" s="604" t="str">
        <x:v>五大联赛非顶级联赛</x:v>
      </x:c>
      <x:c r="D767" s="604" t="inlineStr">
        <x:is>
          <x:t xml:space="preserve">联赛</x:t>
        </x:is>
      </x:c>
      <x:c r="E767" s="604" t="inlineStr">
        <x:is>
          <x:t xml:space="preserve">西乙</x:t>
        </x:is>
      </x:c>
      <x:c r="F767" s="604" t="inlineStr">
        <x:is>
          <x:t xml:space="preserve">阿尔梅里亚 vs 布尔戈斯</x:t>
        </x:is>
      </x:c>
      <x:c r="G767" s="604" t="n">
        <x:v>1.04</x:v>
      </x:c>
      <x:c r="H767" s="604" t="n">
        <x:v>1</x:v>
      </x:c>
      <x:c r="I767" s="604" t="n">
        <x:v>0.84</x:v>
      </x:c>
      <x:c r="J767" s="604" t="inlineStr">
        <x:is>
          <x:t xml:space="preserve">1.04/1/0.84</x:t>
        </x:is>
      </x:c>
      <x:c r="K767" s="604" t="inlineStr">
        <x:is>
          <x:t xml:space="preserve">V4-B｜EV +0.1183</x:t>
        </x:is>
      </x:c>
      <x:c r="L767" s="604" t="inlineStr">
        <x:is>
          <x:t xml:space="preserve">阿尔梅里亚</x:t>
        </x:is>
      </x:c>
      <x:c r="M767" s="604" t="n">
        <x:v>0.5682455518361097</x:v>
      </x:c>
      <x:c r="N767" s="604" t="inlineStr">
        <x:is>
          <x:t xml:space="preserve">V4纸面入选-B</x:t>
        </x:is>
      </x:c>
      <x:c r="O767" s="604" t="inlineStr">
        <x:is>
          <x:t xml:space="preserve">2-1</x:t>
        </x:is>
      </x:c>
      <x:c r="P767" s="604" t="inlineStr">
        <x:is>
          <x:t xml:space="preserve">已结算</x:t>
        </x:is>
      </x:c>
      <x:c r="Q767" s="647" t="inlineStr">
        <x:is>
          <x:t xml:space="preserve">走</x:t>
        </x:is>
      </x:c>
      <x:c r="R767" s="604" t="n">
        <x:v>1.04</x:v>
      </x:c>
      <x:c r="S767" s="604" t="n">
        <x:f>IF(OR(Q767="",Q767="待结算"),"",IF(Q767="红",R767,IF(Q767="半红",R767*0.5,IF(Q767="走",0,IF(Q767="半黑",-0.5,-1)))))</x:f>
        <x:v>0</x:v>
      </x:c>
      <x:c r="T767" s="604" t="inlineStr">
        <x:is>
          <x:t xml:space="preserve">https://m.titan007.com/analy/Analysis/3014100.htm</x:t>
        </x:is>
      </x:c>
      <x:c r="U767" s="647" t="str">
        <x:f>IF(Q767="","",IF(Q767="待结算","待结算",IF(Q767="红","黑",IF(Q767="半红","半黑",IF(Q767="走","走",IF(Q767="半黑","半红","红"))))))</x:f>
        <x:v>走</x:v>
      </x:c>
      <x:c r="V767" s="604" t="n">
        <x:f>IF(OR(Q767="",Q767="待结算"),"",IF(L767=LEFT(F767,FIND(" vs ",F767)-1),I767,G767))</x:f>
        <x:v>0.84</x:v>
      </x:c>
      <x:c r="W767" s="604" t="n">
        <x:f>IF(OR(U767="",U767="待结算"),"",IF(U767="红",V767,IF(U767="半红",V767*0.5,IF(U767="走",0,IF(U767="半黑",-0.5,-1)))))</x:f>
        <x:v>0</x:v>
      </x:c>
      <x:c r="X767" s="604" t="inlineStr">
        <x:is>
          <x:t xml:space="preserve">3014100</x:t>
        </x:is>
      </x:c>
      <x:c r="Y767" s="604" t="inlineStr">
        <x:is>
          <x:t xml:space="preserve">V4</x:t>
        </x:is>
      </x:c>
      <x:c r="Z767" s="604" t="inlineStr">
        <x:is>
          <x:t xml:space="preserve">prior-2026-10-03-v1</x:t>
        </x:is>
      </x:c>
      <x:c r="AA767" s="604" t="inlineStr">
        <x:is>
          <x:t xml:space="preserve">B</x:t>
        </x:is>
      </x:c>
      <x:c r="AB767" s="604" t="n">
        <x:v>0.422122341679145</x:v>
      </x:c>
      <x:c r="AC767" s="604" t="n"/>
      <x:c r="AD767" s="604" t="n">
        <x:v>0.2571480052678156</x:v>
      </x:c>
      <x:c r="AE767" s="604" t="n"/>
      <x:c r="AF767" s="604" t="n">
        <x:v>0.3207296530530394</x:v>
      </x:c>
      <x:c r="AG767" s="604" t="n">
        <x:v>0.1182775822932715</x:v>
      </x:c>
      <x:c r="AH767" s="604" t="n"/>
      <x:c r="AI767" s="604" t="n"/>
      <x:c r="AJ767" s="604" t="n">
        <x:v>0.1182775822932715</x:v>
      </x:c>
      <x:c r="AK767" s="604" t="n"/>
      <x:c r="AL767" s="604" t="n"/>
      <x:c r="AM767" s="604" t="n"/>
      <x:c r="AN767" s="604" t="inlineStr">
        <x:is>
          <x:t xml:space="preserve">EVALUATED</x:t>
        </x:is>
      </x:c>
      <x:c r="AO767" s="604" t="inlineStr">
        <x:is>
          <x:t xml:space="preserve">GIVING_VALIDATED_EDGE、BUCKET_PRIOR_ONLY、INTENT_INTERPRETATION_ONLY、EXPERT_MARKET</x:t>
        </x:is>
      </x:c>
      <x:c r="AP767" s="604" t="inlineStr">
        <x:is>
          <x:t xml:space="preserve">e1d5e4c6355e43f62e4b</x:t>
        </x:is>
      </x:c>
      <x:c r="AQ767" s="604" t="n">
        <x:v>-1</x:v>
      </x:c>
      <x:c r="AR767" s="604" t="n">
        <x:v>1.04</x:v>
      </x:c>
      <x:c r="AS767" s="604" t="n">
        <x:v>1</x:v>
      </x:c>
      <x:c r="AT767" s="604" t="n">
        <x:v>-1</x:v>
      </x:c>
      <x:c r="AU767" s="604" t="n">
        <x:v>1.04</x:v>
      </x:c>
      <x:c r="AV767" s="604" t="n">
        <x:v>0.84</x:v>
      </x:c>
      <x:c r="AW767" s="604" t="n">
        <x:v>46298.06050486111</x:v>
      </x:c>
      <x:c r="AX767" s="604" t="inlineStr">
        <x:is>
          <x:t xml:space="preserve">https://simondongxiao.github.io/odds/v4/</x:t>
        </x:is>
      </x:c>
      <x:c r="AY767" s="604" t="inlineStr">
        <x:is>
          <x:t xml:space="preserve">V4 Shadow Only；real_money=false；P(EV&gt;0)不是比赛胜率</x:t>
        </x:is>
      </x:c>
    </x:row>
    <x:row r="768" ht="22" customHeight="1">
      <x:c r="A768" s="604" t="inlineStr">
        <x:is>
          <x:t xml:space="preserve">2026-10-03</x:t>
        </x:is>
      </x:c>
      <x:c r="B768" s="604" t="inlineStr">
        <x:is>
          <x:t xml:space="preserve">2026-10-03 22:30</x:t>
        </x:is>
      </x:c>
      <x:c r="C768" s="604" t="str">
        <x:v>五大联赛非顶级联赛</x:v>
      </x:c>
      <x:c r="D768" s="604" t="inlineStr">
        <x:is>
          <x:t xml:space="preserve">联赛</x:t>
        </x:is>
      </x:c>
      <x:c r="E768" s="604" t="inlineStr">
        <x:is>
          <x:t xml:space="preserve">西协甲</x:t>
        </x:is>
      </x:c>
      <x:c r="F768" s="604" t="inlineStr">
        <x:is>
          <x:t xml:space="preserve">巴拉卡度 vs 亚勒那斯</x:t>
        </x:is>
      </x:c>
      <x:c r="G768" s="604" t="n">
        <x:v>0.74</x:v>
      </x:c>
      <x:c r="H768" s="604" t="n">
        <x:v>1</x:v>
      </x:c>
      <x:c r="I768" s="604" t="n">
        <x:v>0.96</x:v>
      </x:c>
      <x:c r="J768" s="604" t="inlineStr">
        <x:is>
          <x:t xml:space="preserve">0.74/1/0.96</x:t>
        </x:is>
      </x:c>
      <x:c r="K768" s="604" t="inlineStr">
        <x:is>
          <x:t xml:space="preserve">V4-B｜EV +0.1226</x:t>
        </x:is>
      </x:c>
      <x:c r="L768" s="604" t="inlineStr">
        <x:is>
          <x:t xml:space="preserve">巴拉卡度</x:t>
        </x:is>
      </x:c>
      <x:c r="M768" s="604" t="n">
        <x:v>0.6686829785445995</x:v>
      </x:c>
      <x:c r="N768" s="604" t="inlineStr">
        <x:is>
          <x:t xml:space="preserve">V4纸面入选-B</x:t>
        </x:is>
      </x:c>
      <x:c r="O768" s="604" t="inlineStr">
        <x:is>
          <x:t xml:space="preserve">1-1</x:t>
        </x:is>
      </x:c>
      <x:c r="P768" s="604" t="inlineStr">
        <x:is>
          <x:t xml:space="preserve">已结算</x:t>
        </x:is>
      </x:c>
      <x:c r="Q768" s="646" t="inlineStr">
        <x:is>
          <x:t xml:space="preserve">黑</x:t>
        </x:is>
      </x:c>
      <x:c r="R768" s="604" t="n">
        <x:v>0.74</x:v>
      </x:c>
      <x:c r="S768" s="604" t="n">
        <x:f>IF(OR(Q768="",Q768="待结算"),"",IF(Q768="红",R768,IF(Q768="半红",R768*0.5,IF(Q768="走",0,IF(Q768="半黑",-0.5,-1)))))</x:f>
        <x:v>-1</x:v>
      </x:c>
      <x:c r="T768" s="604" t="inlineStr">
        <x:is>
          <x:t xml:space="preserve">https://m.titan007.com/analy/Analysis/3014535.htm</x:t>
        </x:is>
      </x:c>
      <x:c r="U768" s="645" t="str">
        <x:f>IF(Q768="","",IF(Q768="待结算","待结算",IF(Q768="红","黑",IF(Q768="半红","半黑",IF(Q768="走","走",IF(Q768="半黑","半红","红"))))))</x:f>
        <x:v>红</x:v>
      </x:c>
      <x:c r="V768" s="604" t="n">
        <x:f>IF(OR(Q768="",Q768="待结算"),"",IF(L768=LEFT(F768,FIND(" vs ",F768)-1),I768,G768))</x:f>
        <x:v>0.96</x:v>
      </x:c>
      <x:c r="W768" s="604" t="n">
        <x:f>IF(OR(U768="",U768="待结算"),"",IF(U768="红",V768,IF(U768="半红",V768*0.5,IF(U768="走",0,IF(U768="半黑",-0.5,-1)))))</x:f>
        <x:v>0.96</x:v>
      </x:c>
      <x:c r="X768" s="604" t="inlineStr">
        <x:is>
          <x:t xml:space="preserve">3014535</x:t>
        </x:is>
      </x:c>
      <x:c r="Y768" s="604" t="inlineStr">
        <x:is>
          <x:t xml:space="preserve">V4</x:t>
        </x:is>
      </x:c>
      <x:c r="Z768" s="604" t="inlineStr">
        <x:is>
          <x:t xml:space="preserve">prior-2026-10-03-v1</x:t>
        </x:is>
      </x:c>
      <x:c r="AA768" s="604" t="inlineStr">
        <x:is>
          <x:t xml:space="preserve">B</x:t>
        </x:is>
      </x:c>
      <x:c r="AB768" s="604" t="n">
        <x:v>0.5013132085645186</x:v>
      </x:c>
      <x:c r="AC768" s="604" t="n"/>
      <x:c r="AD768" s="604" t="n">
        <x:v>0.2502976378198893</x:v>
      </x:c>
      <x:c r="AE768" s="604" t="n"/>
      <x:c r="AF768" s="604" t="n">
        <x:v>0.2483891536155922</x:v>
      </x:c>
      <x:c r="AG768" s="604" t="n">
        <x:v>0.1225826207221515</x:v>
      </x:c>
      <x:c r="AH768" s="604" t="n"/>
      <x:c r="AI768" s="604" t="n"/>
      <x:c r="AJ768" s="604" t="n">
        <x:v>0.1225826207221515</x:v>
      </x:c>
      <x:c r="AK768" s="604" t="n"/>
      <x:c r="AL768" s="604" t="n"/>
      <x:c r="AM768" s="604" t="n"/>
      <x:c r="AN768" s="604" t="inlineStr">
        <x:is>
          <x:t xml:space="preserve">EVALUATED</x:t>
        </x:is>
      </x:c>
      <x:c r="AO768" s="604" t="inlineStr">
        <x:is>
          <x:t xml:space="preserve">GIVING_VALIDATED_EDGE、BUCKET_PRIOR_ONLY、INTENT_INTERPRETATION_ONLY、EXPERT_MARKET</x:t>
        </x:is>
      </x:c>
      <x:c r="AP768" s="604" t="inlineStr">
        <x:is>
          <x:t xml:space="preserve">30df8441d15bb3b2ed3b</x:t>
        </x:is>
      </x:c>
      <x:c r="AQ768" s="604" t="n">
        <x:v>-1</x:v>
      </x:c>
      <x:c r="AR768" s="604" t="n">
        <x:v>0.74</x:v>
      </x:c>
      <x:c r="AS768" s="604" t="n">
        <x:v>1</x:v>
      </x:c>
      <x:c r="AT768" s="604" t="n">
        <x:v>-1</x:v>
      </x:c>
      <x:c r="AU768" s="604" t="n">
        <x:v>0.74</x:v>
      </x:c>
      <x:c r="AV768" s="604" t="n">
        <x:v>0.96</x:v>
      </x:c>
      <x:c r="AW768" s="604" t="n">
        <x:v>46298.06050486111</x:v>
      </x:c>
      <x:c r="AX768" s="604" t="inlineStr">
        <x:is>
          <x:t xml:space="preserve">https://simondongxiao.github.io/odds/v4/</x:t>
        </x:is>
      </x:c>
      <x:c r="AY768" s="604" t="inlineStr">
        <x:is>
          <x:t xml:space="preserve">V4 Shadow Only；real_money=false；P(EV&gt;0)不是比赛胜率</x:t>
        </x:is>
      </x:c>
    </x:row>
    <x:row r="769" ht="22" customHeight="1">
      <x:c r="A769" s="604" t="inlineStr">
        <x:is>
          <x:t xml:space="preserve">2026-10-03</x:t>
        </x:is>
      </x:c>
      <x:c r="B769" s="604" t="inlineStr">
        <x:is>
          <x:t xml:space="preserve">2026-10-03 22:30</x:t>
        </x:is>
      </x:c>
      <x:c r="C769" s="604" t="str">
        <x:v>五大联赛非顶级联赛</x:v>
      </x:c>
      <x:c r="D769" s="604" t="inlineStr">
        <x:is>
          <x:t xml:space="preserve">联赛</x:t>
        </x:is>
      </x:c>
      <x:c r="E769" s="604" t="inlineStr">
        <x:is>
          <x:t xml:space="preserve">西协甲</x:t>
        </x:is>
      </x:c>
      <x:c r="F769" s="604" t="inlineStr">
        <x:is>
          <x:t xml:space="preserve">皇家联邦 vs UD欧云斯</x:t>
        </x:is>
      </x:c>
      <x:c r="G769" s="604" t="n">
        <x:v>0.82</x:v>
      </x:c>
      <x:c r="H769" s="604" t="n">
        <x:v>0</x:v>
      </x:c>
      <x:c r="I769" s="604" t="n">
        <x:v>0.88</x:v>
      </x:c>
      <x:c r="J769" s="604" t="inlineStr">
        <x:is>
          <x:t xml:space="preserve">0.82/0/0.88</x:t>
        </x:is>
      </x:c>
      <x:c r="K769" s="604" t="inlineStr">
        <x:is>
          <x:t xml:space="preserve">V4-C｜EV +0.0079</x:t>
        </x:is>
      </x:c>
      <x:c r="L769" s="604" t="str"/>
      <x:c r="M769" s="604" t="n">
        <x:v>0.5544242861004727</x:v>
      </x:c>
      <x:c r="N769" s="604" t="inlineStr">
        <x:is>
          <x:t xml:space="preserve">V4纸面入选-C</x:t>
        </x:is>
      </x:c>
      <x:c r="O769" s="604" t="inlineStr">
        <x:is>
          <x:t xml:space="preserve">1-1</x:t>
        </x:is>
      </x:c>
      <x:c r="P769" s="604" t="inlineStr">
        <x:is>
          <x:t xml:space="preserve">已结算</x:t>
        </x:is>
      </x:c>
      <x:c r="Q769" s="647" t="inlineStr">
        <x:is>
          <x:t xml:space="preserve">走</x:t>
        </x:is>
      </x:c>
      <x:c r="R769" s="604" t="n">
        <x:v>0.88</x:v>
      </x:c>
      <x:c r="S769" s="604" t="n">
        <x:f>IF(OR(Q769="",Q769="待结算"),"",IF(Q769="红",R769,IF(Q769="半红",R769*0.5,IF(Q769="走",0,IF(Q769="半黑",-0.5,-1)))))</x:f>
        <x:v>0</x:v>
      </x:c>
      <x:c r="T769" s="604" t="inlineStr">
        <x:is>
          <x:t xml:space="preserve">https://m.titan007.com/analy/Analysis/3014539.htm</x:t>
        </x:is>
      </x:c>
      <x:c r="U769" s="647" t="str">
        <x:f>IF(Q769="","",IF(Q769="待结算","待结算",IF(Q769="红","黑",IF(Q769="半红","半黑",IF(Q769="走","走",IF(Q769="半黑","半红","红"))))))</x:f>
        <x:v>走</x:v>
      </x:c>
      <x:c r="V769" s="604" t="n">
        <x:f>IF(OR(Q769="",Q769="待结算"),"",IF(L769=LEFT(F769,FIND(" vs ",F769)-1),I769,G769))</x:f>
        <x:v>0.82</x:v>
      </x:c>
      <x:c r="W769" s="604" t="n">
        <x:f>IF(OR(U769="",U769="待结算"),"",IF(U769="红",V769,IF(U769="半红",V769*0.5,IF(U769="走",0,IF(U769="半黑",-0.5,-1)))))</x:f>
        <x:v>0</x:v>
      </x:c>
      <x:c r="X769" s="604" t="inlineStr">
        <x:is>
          <x:t xml:space="preserve">3014539</x:t>
        </x:is>
      </x:c>
      <x:c r="Y769" s="604" t="inlineStr">
        <x:is>
          <x:t xml:space="preserve">V4</x:t>
        </x:is>
      </x:c>
      <x:c r="Z769" s="604" t="inlineStr">
        <x:is>
          <x:t xml:space="preserve">prior-2026-10-03-v1</x:t>
        </x:is>
      </x:c>
      <x:c r="AA769" s="604" t="inlineStr">
        <x:is>
          <x:t xml:space="preserve">C</x:t>
        </x:is>
      </x:c>
      <x:c r="AB769" s="604" t="n">
        <x:v>0.4844764218323531</x:v>
      </x:c>
      <x:c r="AC769" s="604" t="n"/>
      <x:c r="AD769" s="604" t="n"/>
      <x:c r="AE769" s="604" t="n">
        <x:v>0.2523261192618231</x:v>
      </x:c>
      <x:c r="AF769" s="604" t="n">
        <x:v>0.2631974589058238</x:v>
      </x:c>
      <x:c r="AG769" s="604" t="n">
        <x:v>0.007910147365794151</x:v>
      </x:c>
      <x:c r="AH769" s="604" t="n"/>
      <x:c r="AI769" s="604" t="n"/>
      <x:c r="AJ769" s="604" t="n">
        <x:v>0.007910147365794151</x:v>
      </x:c>
      <x:c r="AK769" s="604" t="n"/>
      <x:c r="AL769" s="604" t="n"/>
      <x:c r="AM769" s="604" t="n"/>
      <x:c r="AN769" s="604" t="inlineStr">
        <x:is>
          <x:t xml:space="preserve">EVALUATED</x:t>
        </x:is>
      </x:c>
      <x:c r="AO769" s="604" t="inlineStr">
        <x:is>
          <x:t xml:space="preserve">EDGE_BELOW_UNCERTAINTY_THRESHOLD、BUCKET_PRIOR_ONLY、INTENT_INTERPRETATION_ONLY、EXPERT_MARKET</x:t>
        </x:is>
      </x:c>
      <x:c r="AP769" s="604" t="inlineStr">
        <x:is>
          <x:t xml:space="preserve">8c9f43e8aa4e5c33f1d6</x:t>
        </x:is>
      </x:c>
      <x:c r="AQ769" s="604" t="n">
        <x:v>0</x:v>
      </x:c>
      <x:c r="AR769" s="604" t="n"/>
      <x:c r="AS769" s="604" t="n">
        <x:v>0</x:v>
      </x:c>
      <x:c r="AT769" s="604" t="n">
        <x:v>0</x:v>
      </x:c>
      <x:c r="AU769" s="604" t="n">
        <x:v>0.82</x:v>
      </x:c>
      <x:c r="AV769" s="604" t="n">
        <x:v>0.88</x:v>
      </x:c>
      <x:c r="AW769" s="604" t="n">
        <x:v>46298.06050486111</x:v>
      </x:c>
      <x:c r="AX769" s="604" t="inlineStr">
        <x:is>
          <x:t xml:space="preserve">https://simondongxiao.github.io/odds/v4/</x:t>
        </x:is>
      </x:c>
      <x:c r="AY769" s="604" t="inlineStr">
        <x:is>
          <x:t xml:space="preserve">V4 Shadow Only；real_money=false；P(EV&gt;0)不是比赛胜率</x:t>
        </x:is>
      </x:c>
    </x:row>
    <x:row r="770" ht="22" customHeight="1">
      <x:c r="A770" s="604" t="inlineStr">
        <x:is>
          <x:t xml:space="preserve">2026-10-03</x:t>
        </x:is>
      </x:c>
      <x:c r="B770" s="604" t="inlineStr">
        <x:is>
          <x:t xml:space="preserve">2026-10-03 22:30</x:t>
        </x:is>
      </x:c>
      <x:c r="C770" s="604" t="str">
        <x:v>欧洲非五大系列</x:v>
      </x:c>
      <x:c r="D770" s="604" t="inlineStr">
        <x:is>
          <x:t xml:space="preserve">联赛</x:t>
        </x:is>
      </x:c>
      <x:c r="E770" s="604" t="inlineStr">
        <x:is>
          <x:t xml:space="preserve">荷乙</x:t>
        </x:is>
      </x:c>
      <x:c r="F770" s="604" t="inlineStr">
        <x:is>
          <x:t xml:space="preserve">奥斯 vs 马斯特里赫特</x:t>
        </x:is>
      </x:c>
      <x:c r="G770" s="604" t="n">
        <x:v>1.02</x:v>
      </x:c>
      <x:c r="H770" s="604" t="n">
        <x:v>0</x:v>
      </x:c>
      <x:c r="I770" s="604" t="n">
        <x:v>0.8</x:v>
      </x:c>
      <x:c r="J770" s="604" t="inlineStr">
        <x:is>
          <x:t xml:space="preserve">1.02/0/0.8</x:t>
        </x:is>
      </x:c>
      <x:c r="K770" s="604" t="inlineStr">
        <x:is>
          <x:t xml:space="preserve">V4-C｜EV +0.0198</x:t>
        </x:is>
      </x:c>
      <x:c r="L770" s="604" t="str"/>
      <x:c r="M770" s="604" t="n">
        <x:v>0.5062893429165787</x:v>
      </x:c>
      <x:c r="N770" s="604" t="inlineStr">
        <x:is>
          <x:t xml:space="preserve">V4纸面入选-C</x:t>
        </x:is>
      </x:c>
      <x:c r="O770" s="604" t="inlineStr">
        <x:is>
          <x:t xml:space="preserve">4-1</x:t>
        </x:is>
      </x:c>
      <x:c r="P770" s="604" t="inlineStr">
        <x:is>
          <x:t xml:space="preserve">已结算</x:t>
        </x:is>
      </x:c>
      <x:c r="Q770" s="645" t="inlineStr">
        <x:is>
          <x:t xml:space="preserve">红</x:t>
        </x:is>
      </x:c>
      <x:c r="R770" s="604" t="n">
        <x:v>0.8</x:v>
      </x:c>
      <x:c r="S770" s="604" t="n">
        <x:f>IF(OR(Q770="",Q770="待结算"),"",IF(Q770="红",R770,IF(Q770="半红",R770*0.5,IF(Q770="走",0,IF(Q770="半黑",-0.5,-1)))))</x:f>
        <x:v>0.8</x:v>
      </x:c>
      <x:c r="T770" s="604" t="inlineStr">
        <x:is>
          <x:t xml:space="preserve">https://m.titan007.com/analy/Analysis/2996491.htm</x:t>
        </x:is>
      </x:c>
      <x:c r="U770" s="646" t="str">
        <x:f>IF(Q770="","",IF(Q770="待结算","待结算",IF(Q770="红","黑",IF(Q770="半红","半黑",IF(Q770="走","走",IF(Q770="半黑","半红","红"))))))</x:f>
        <x:v>黑</x:v>
      </x:c>
      <x:c r="V770" s="604" t="n">
        <x:f>IF(OR(Q770="",Q770="待结算"),"",IF(L770=LEFT(F770,FIND(" vs ",F770)-1),I770,G770))</x:f>
        <x:v>1.02</x:v>
      </x:c>
      <x:c r="W770" s="604" t="n">
        <x:f>IF(OR(U770="",U770="待结算"),"",IF(U770="红",V770,IF(U770="半红",V770*0.5,IF(U770="走",0,IF(U770="半黑",-0.5,-1)))))</x:f>
        <x:v>-1</x:v>
      </x:c>
      <x:c r="X770" s="604" t="inlineStr">
        <x:is>
          <x:t xml:space="preserve">2996491</x:t>
        </x:is>
      </x:c>
      <x:c r="Y770" s="604" t="inlineStr">
        <x:is>
          <x:t xml:space="preserve">V4</x:t>
        </x:is>
      </x:c>
      <x:c r="Z770" s="604" t="inlineStr">
        <x:is>
          <x:t xml:space="preserve">prior-2026-10-03-v1</x:t>
        </x:is>
      </x:c>
      <x:c r="AA770" s="604" t="inlineStr">
        <x:is>
          <x:t xml:space="preserve">C</x:t>
        </x:is>
      </x:c>
      <x:c r="AB770" s="604" t="n">
        <x:v>0.4404691593204489</x:v>
      </x:c>
      <x:c r="AC770" s="604" t="n"/>
      <x:c r="AD770" s="604" t="n"/>
      <x:c r="AE770" s="604" t="n">
        <x:v>0.260010148414184</x:v>
      </x:c>
      <x:c r="AF770" s="604" t="n">
        <x:v>0.299520692265367</x:v>
      </x:c>
      <x:c r="AG770" s="604" t="n">
        <x:v>0.01975277603439896</x:v>
      </x:c>
      <x:c r="AH770" s="604" t="n"/>
      <x:c r="AI770" s="604" t="n"/>
      <x:c r="AJ770" s="604" t="n">
        <x:v>0.01975277603439896</x:v>
      </x:c>
      <x:c r="AK770" s="604" t="n"/>
      <x:c r="AL770" s="604" t="n"/>
      <x:c r="AM770" s="604" t="n"/>
      <x:c r="AN770" s="604" t="inlineStr">
        <x:is>
          <x:t xml:space="preserve">EVALUATED</x:t>
        </x:is>
      </x:c>
      <x:c r="AO770" s="604" t="inlineStr">
        <x:is>
          <x:t xml:space="preserve">EDGE_BELOW_UNCERTAINTY_THRESHOLD、BUCKET_PRIOR_ONLY、INTENT_INTERPRETATION_ONLY、EXPERT_MARKET</x:t>
        </x:is>
      </x:c>
      <x:c r="AP770" s="604" t="inlineStr">
        <x:is>
          <x:t xml:space="preserve">f94dc5d5ef60ace0819d</x:t>
        </x:is>
      </x:c>
      <x:c r="AQ770" s="604" t="n">
        <x:v>0</x:v>
      </x:c>
      <x:c r="AR770" s="604" t="n"/>
      <x:c r="AS770" s="604" t="n">
        <x:v>0</x:v>
      </x:c>
      <x:c r="AT770" s="604" t="n">
        <x:v>0</x:v>
      </x:c>
      <x:c r="AU770" s="604" t="n">
        <x:v>1.02</x:v>
      </x:c>
      <x:c r="AV770" s="604" t="n">
        <x:v>0.8</x:v>
      </x:c>
      <x:c r="AW770" s="604" t="n">
        <x:v>46298.06050486111</x:v>
      </x:c>
      <x:c r="AX770" s="604" t="inlineStr">
        <x:is>
          <x:t xml:space="preserve">https://simondongxiao.github.io/odds/v4/</x:t>
        </x:is>
      </x:c>
      <x:c r="AY770" s="604" t="inlineStr">
        <x:is>
          <x:t xml:space="preserve">V4 Shadow Only；real_money=false；P(EV&gt;0)不是比赛胜率</x:t>
        </x:is>
      </x:c>
    </x:row>
    <x:row r="771" ht="22" customHeight="1">
      <x:c r="A771" s="604" t="inlineStr">
        <x:is>
          <x:t xml:space="preserve">2026-10-03</x:t>
        </x:is>
      </x:c>
      <x:c r="B771" s="604" t="inlineStr">
        <x:is>
          <x:t xml:space="preserve">2026-10-03 23:00</x:t>
        </x:is>
      </x:c>
      <x:c r="C771" s="604" t="str">
        <x:v>五大联赛非顶级联赛</x:v>
      </x:c>
      <x:c r="D771" s="604" t="inlineStr">
        <x:is>
          <x:t xml:space="preserve">联赛</x:t>
        </x:is>
      </x:c>
      <x:c r="E771" s="604" t="inlineStr">
        <x:is>
          <x:t xml:space="preserve">西协乙1</x:t>
        </x:is>
      </x:c>
      <x:c r="F771" s="604" t="inlineStr">
        <x:is>
          <x:t xml:space="preserve">吉纳斯提卡 vs 马里诺卢安科</x:t>
        </x:is>
      </x:c>
      <x:c r="G771" s="604" t="n">
        <x:v>0.83</x:v>
      </x:c>
      <x:c r="H771" s="604" t="n">
        <x:v>0</x:v>
      </x:c>
      <x:c r="I771" s="604" t="n">
        <x:v>0.87</x:v>
      </x:c>
      <x:c r="J771" s="604" t="inlineStr">
        <x:is>
          <x:t xml:space="preserve">0.83/0/0.87</x:t>
        </x:is>
      </x:c>
      <x:c r="K771" s="604" t="inlineStr">
        <x:is>
          <x:t xml:space="preserve">V4-C｜EV +0.0217</x:t>
        </x:is>
      </x:c>
      <x:c r="L771" s="604" t="str"/>
      <x:c r="M771" s="604" t="n">
        <x:v>0.5600459287790533</x:v>
      </x:c>
      <x:c r="N771" s="604" t="inlineStr">
        <x:is>
          <x:t xml:space="preserve">V4纸面入选-C</x:t>
        </x:is>
      </x:c>
      <x:c r="O771" s="604" t="inlineStr">
        <x:is>
          <x:t xml:space="preserve">1-2</x:t>
        </x:is>
      </x:c>
      <x:c r="P771" s="604" t="inlineStr">
        <x:is>
          <x:t xml:space="preserve">已结算</x:t>
        </x:is>
      </x:c>
      <x:c r="Q771" s="646" t="inlineStr">
        <x:is>
          <x:t xml:space="preserve">黑</x:t>
        </x:is>
      </x:c>
      <x:c r="R771" s="604" t="n">
        <x:v>0.87</x:v>
      </x:c>
      <x:c r="S771" s="604" t="n">
        <x:f>IF(OR(Q771="",Q771="待结算"),"",IF(Q771="红",R771,IF(Q771="半红",R771*0.5,IF(Q771="走",0,IF(Q771="半黑",-0.5,-1)))))</x:f>
        <x:v>-1</x:v>
      </x:c>
      <x:c r="T771" s="604" t="inlineStr">
        <x:is>
          <x:t xml:space="preserve">https://m.titan007.com/analy/Analysis/3055075.htm</x:t>
        </x:is>
      </x:c>
      <x:c r="U771" s="645" t="str">
        <x:f>IF(Q771="","",IF(Q771="待结算","待结算",IF(Q771="红","黑",IF(Q771="半红","半黑",IF(Q771="走","走",IF(Q771="半黑","半红","红"))))))</x:f>
        <x:v>红</x:v>
      </x:c>
      <x:c r="V771" s="604" t="n">
        <x:f>IF(OR(Q771="",Q771="待结算"),"",IF(L771=LEFT(F771,FIND(" vs ",F771)-1),I771,G771))</x:f>
        <x:v>0.83</x:v>
      </x:c>
      <x:c r="W771" s="604" t="n">
        <x:f>IF(OR(U771="",U771="待结算"),"",IF(U771="红",V771,IF(U771="半红",V771*0.5,IF(U771="走",0,IF(U771="半黑",-0.5,-1)))))</x:f>
        <x:v>0.83</x:v>
      </x:c>
      <x:c r="X771" s="604" t="inlineStr">
        <x:is>
          <x:t xml:space="preserve">3055075</x:t>
        </x:is>
      </x:c>
      <x:c r="Y771" s="604" t="inlineStr">
        <x:is>
          <x:t xml:space="preserve">V4</x:t>
        </x:is>
      </x:c>
      <x:c r="Z771" s="604" t="inlineStr">
        <x:is>
          <x:t xml:space="preserve">prior-2026-10-03-v1</x:t>
        </x:is>
      </x:c>
      <x:c r="AA771" s="604" t="inlineStr">
        <x:is>
          <x:t xml:space="preserve">C</x:t>
        </x:is>
      </x:c>
      <x:c r="AB771" s="604" t="n">
        <x:v>0.4884921686028215</x:v>
      </x:c>
      <x:c r="AC771" s="604" t="n"/>
      <x:c r="AD771" s="604" t="n"/>
      <x:c r="AE771" s="604" t="n">
        <x:v>0.2555281861693917</x:v>
      </x:c>
      <x:c r="AF771" s="604" t="n">
        <x:v>0.2559796452277869</x:v>
      </x:c>
      <x:c r="AG771" s="604" t="n">
        <x:v>0.02170476162785906</x:v>
      </x:c>
      <x:c r="AH771" s="604" t="n"/>
      <x:c r="AI771" s="604" t="n"/>
      <x:c r="AJ771" s="604" t="n">
        <x:v>0.02170476162785906</x:v>
      </x:c>
      <x:c r="AK771" s="604" t="n"/>
      <x:c r="AL771" s="604" t="n"/>
      <x:c r="AM771" s="604" t="n"/>
      <x:c r="AN771" s="604" t="inlineStr">
        <x:is>
          <x:t xml:space="preserve">EVALUATED</x:t>
        </x:is>
      </x:c>
      <x:c r="AO771" s="604" t="inlineStr">
        <x:is>
          <x:t xml:space="preserve">EDGE_BELOW_UNCERTAINTY_THRESHOLD、BUCKET_PRIOR_ONLY、INTENT_INTERPRETATION_ONLY、EXPERT_MARKET</x:t>
        </x:is>
      </x:c>
      <x:c r="AP771" s="604" t="inlineStr">
        <x:is>
          <x:t xml:space="preserve">25d47f54f49f6a1869c9</x:t>
        </x:is>
      </x:c>
      <x:c r="AQ771" s="604" t="n">
        <x:v>0</x:v>
      </x:c>
      <x:c r="AR771" s="604" t="n"/>
      <x:c r="AS771" s="604" t="n">
        <x:v>0</x:v>
      </x:c>
      <x:c r="AT771" s="604" t="n">
        <x:v>0</x:v>
      </x:c>
      <x:c r="AU771" s="604" t="n">
        <x:v>0.83</x:v>
      </x:c>
      <x:c r="AV771" s="604" t="n">
        <x:v>0.87</x:v>
      </x:c>
      <x:c r="AW771" s="604" t="n">
        <x:v>46298.06050486111</x:v>
      </x:c>
      <x:c r="AX771" s="604" t="inlineStr">
        <x:is>
          <x:t xml:space="preserve">https://simondongxiao.github.io/odds/v4/</x:t>
        </x:is>
      </x:c>
      <x:c r="AY771" s="604" t="inlineStr">
        <x:is>
          <x:t xml:space="preserve">V4 Shadow Only；real_money=false；P(EV&gt;0)不是比赛胜率</x:t>
        </x:is>
      </x:c>
    </x:row>
    <x:row r="772" ht="22" customHeight="1">
      <x:c r="A772" s="604" t="inlineStr">
        <x:is>
          <x:t xml:space="preserve">2026-10-03</x:t>
        </x:is>
      </x:c>
      <x:c r="B772" s="604" t="inlineStr">
        <x:is>
          <x:t xml:space="preserve">2026-10-03 23:00</x:t>
        </x:is>
      </x:c>
      <x:c r="C772" s="604" t="str">
        <x:v>其他系列</x:v>
      </x:c>
      <x:c r="D772" s="604" t="inlineStr">
        <x:is>
          <x:t xml:space="preserve">联赛</x:t>
        </x:is>
      </x:c>
      <x:c r="E772" s="604" t="inlineStr">
        <x:is>
          <x:t xml:space="preserve">国际友谊</x:t>
        </x:is>
      </x:c>
      <x:c r="F772" s="604" t="inlineStr">
        <x:is>
          <x:t xml:space="preserve">俄罗斯 vs 纳米比亚</x:t>
        </x:is>
      </x:c>
      <x:c r="G772" s="604" t="n">
        <x:v>0.85</x:v>
      </x:c>
      <x:c r="H772" s="604" t="n">
        <x:v>2.25</x:v>
      </x:c>
      <x:c r="I772" s="604" t="n">
        <x:v>0.97</x:v>
      </x:c>
      <x:c r="J772" s="604" t="inlineStr">
        <x:is>
          <x:t xml:space="preserve">0.85/2.25/0.97</x:t>
        </x:is>
      </x:c>
      <x:c r="K772" s="604" t="inlineStr">
        <x:is>
          <x:t xml:space="preserve">V4-C｜EV +0.1502</x:t>
        </x:is>
      </x:c>
      <x:c r="L772" s="604" t="inlineStr">
        <x:is>
          <x:t xml:space="preserve">俄罗斯</x:t>
        </x:is>
      </x:c>
      <x:c r="M772" s="604" t="n">
        <x:v>0.6319066508158927</x:v>
      </x:c>
      <x:c r="N772" s="604" t="inlineStr">
        <x:is>
          <x:t xml:space="preserve">V4纸面入选-C</x:t>
        </x:is>
      </x:c>
      <x:c r="O772" s="604" t="inlineStr">
        <x:is>
          <x:t xml:space="preserve">6-0</x:t>
        </x:is>
      </x:c>
      <x:c r="P772" s="604" t="inlineStr">
        <x:is>
          <x:t xml:space="preserve">已结算</x:t>
        </x:is>
      </x:c>
      <x:c r="Q772" s="645" t="inlineStr">
        <x:is>
          <x:t xml:space="preserve">红</x:t>
        </x:is>
      </x:c>
      <x:c r="R772" s="604" t="n">
        <x:v>0.85</x:v>
      </x:c>
      <x:c r="S772" s="604" t="n">
        <x:f>IF(OR(Q772="",Q772="待结算"),"",IF(Q772="红",R772,IF(Q772="半红",R772*0.5,IF(Q772="走",0,IF(Q772="半黑",-0.5,-1)))))</x:f>
        <x:v>0.85</x:v>
      </x:c>
      <x:c r="T772" s="604" t="inlineStr">
        <x:is>
          <x:t xml:space="preserve">https://m.titan007.com/analy/Analysis/3096957.htm</x:t>
        </x:is>
      </x:c>
      <x:c r="U772" s="646" t="str">
        <x:f>IF(Q772="","",IF(Q772="待结算","待结算",IF(Q772="红","黑",IF(Q772="半红","半黑",IF(Q772="走","走",IF(Q772="半黑","半红","红"))))))</x:f>
        <x:v>黑</x:v>
      </x:c>
      <x:c r="V772" s="604" t="n">
        <x:f>IF(OR(Q772="",Q772="待结算"),"",IF(L772=LEFT(F772,FIND(" vs ",F772)-1),I772,G772))</x:f>
        <x:v>0.97</x:v>
      </x:c>
      <x:c r="W772" s="604" t="n">
        <x:f>IF(OR(U772="",U772="待结算"),"",IF(U772="红",V772,IF(U772="半红",V772*0.5,IF(U772="走",0,IF(U772="半黑",-0.5,-1)))))</x:f>
        <x:v>-1</x:v>
      </x:c>
      <x:c r="X772" s="604" t="inlineStr">
        <x:is>
          <x:t xml:space="preserve">3096957</x:t>
        </x:is>
      </x:c>
      <x:c r="Y772" s="604" t="inlineStr">
        <x:is>
          <x:t xml:space="preserve">V4</x:t>
        </x:is>
      </x:c>
      <x:c r="Z772" s="604" t="inlineStr">
        <x:is>
          <x:t xml:space="preserve">prior-2026-10-03-v1</x:t>
        </x:is>
      </x:c>
      <x:c r="AA772" s="604" t="inlineStr">
        <x:is>
          <x:t xml:space="preserve">C</x:t>
        </x:is>
      </x:c>
      <x:c r="AB772" s="604" t="n">
        <x:v>0.5613701232987555</x:v>
      </x:c>
      <x:c r="AC772" s="604" t="n"/>
      <x:c r="AD772" s="604" t="n"/>
      <x:c r="AE772" s="604" t="n">
        <x:v>0.2232498342154281</x:v>
      </x:c>
      <x:c r="AF772" s="604" t="n">
        <x:v>0.2153800424858165</x:v>
      </x:c>
      <x:c r="AG772" s="604" t="n">
        <x:v>0.1501596452104116</x:v>
      </x:c>
      <x:c r="AH772" s="604" t="n"/>
      <x:c r="AI772" s="604" t="n"/>
      <x:c r="AJ772" s="604" t="n">
        <x:v>0.1501596452104116</x:v>
      </x:c>
      <x:c r="AK772" s="604" t="n"/>
      <x:c r="AL772" s="604" t="n"/>
      <x:c r="AM772" s="604" t="n"/>
      <x:c r="AN772" s="604" t="inlineStr">
        <x:is>
          <x:t xml:space="preserve">EVALUATED</x:t>
        </x:is>
      </x:c>
      <x:c r="AO772" s="604" t="inlineStr">
        <x:is>
          <x:t xml:space="preserve">GIVING_VALIDATED_EDGE、BUCKET_PRIOR_ONLY、INTENT_INTERPRETATION_ONLY、EXPERT_MARKET</x:t>
        </x:is>
      </x:c>
      <x:c r="AP772" s="604" t="inlineStr">
        <x:is>
          <x:t xml:space="preserve">8aeb5b9c6c38e4edc7c7</x:t>
        </x:is>
      </x:c>
      <x:c r="AQ772" s="604" t="n">
        <x:v>-2.25</x:v>
      </x:c>
      <x:c r="AR772" s="604" t="n">
        <x:v>0.85</x:v>
      </x:c>
      <x:c r="AS772" s="604" t="n">
        <x:v>2.25</x:v>
      </x:c>
      <x:c r="AT772" s="604" t="n">
        <x:v>-2.25</x:v>
      </x:c>
      <x:c r="AU772" s="604" t="n">
        <x:v>0.85</x:v>
      </x:c>
      <x:c r="AV772" s="604" t="n">
        <x:v>0.97</x:v>
      </x:c>
      <x:c r="AW772" s="604" t="n">
        <x:v>46298.06050486111</x:v>
      </x:c>
      <x:c r="AX772" s="604" t="inlineStr">
        <x:is>
          <x:t xml:space="preserve">https://simondongxiao.github.io/odds/v4/</x:t>
        </x:is>
      </x:c>
      <x:c r="AY772" s="604" t="inlineStr">
        <x:is>
          <x:t xml:space="preserve">V4 Shadow Only；real_money=false；P(EV&gt;0)不是比赛胜率</x:t>
        </x:is>
      </x:c>
    </x:row>
    <x:row r="773" ht="22" customHeight="1">
      <x:c r="A773" s="604" t="inlineStr">
        <x:is>
          <x:t xml:space="preserve">2026-10-03</x:t>
        </x:is>
      </x:c>
      <x:c r="B773" s="604" t="inlineStr">
        <x:is>
          <x:t xml:space="preserve">2026-10-03 23:30</x:t>
        </x:is>
      </x:c>
      <x:c r="C773" s="604" t="str">
        <x:v>五大联赛非顶级联赛</x:v>
      </x:c>
      <x:c r="D773" s="604" t="inlineStr">
        <x:is>
          <x:t xml:space="preserve">联赛</x:t>
        </x:is>
      </x:c>
      <x:c r="E773" s="604" t="inlineStr">
        <x:is>
          <x:t xml:space="preserve">意丙</x:t>
        </x:is>
      </x:c>
      <x:c r="F773" s="604" t="inlineStr">
        <x:is>
          <x:t xml:space="preserve">阿济纳诺基安波 vs 帕格特斯</x:t>
        </x:is>
      </x:c>
      <x:c r="G773" s="604" t="n">
        <x:v>0.92</x:v>
      </x:c>
      <x:c r="H773" s="604" t="n">
        <x:v>0.5</x:v>
      </x:c>
      <x:c r="I773" s="604" t="n">
        <x:v>0.78</x:v>
      </x:c>
      <x:c r="J773" s="604" t="inlineStr">
        <x:is>
          <x:t xml:space="preserve">0.92/0.5/0.78</x:t>
        </x:is>
      </x:c>
      <x:c r="K773" s="604" t="inlineStr">
        <x:is>
          <x:t xml:space="preserve">V4-B｜EV +0.0793</x:t>
        </x:is>
      </x:c>
      <x:c r="L773" s="604" t="inlineStr">
        <x:is>
          <x:t xml:space="preserve">阿济纳诺基安波</x:t>
        </x:is>
      </x:c>
      <x:c r="M773" s="604" t="n">
        <x:v>0.5621451201912701</x:v>
      </x:c>
      <x:c r="N773" s="604" t="inlineStr">
        <x:is>
          <x:t xml:space="preserve">V4纸面入选-B</x:t>
        </x:is>
      </x:c>
      <x:c r="O773" s="604" t="inlineStr">
        <x:is>
          <x:t xml:space="preserve">2-2</x:t>
        </x:is>
      </x:c>
      <x:c r="P773" s="604" t="inlineStr">
        <x:is>
          <x:t xml:space="preserve">已结算</x:t>
        </x:is>
      </x:c>
      <x:c r="Q773" s="646" t="inlineStr">
        <x:is>
          <x:t xml:space="preserve">黑</x:t>
        </x:is>
      </x:c>
      <x:c r="R773" s="604" t="n">
        <x:v>0.92</x:v>
      </x:c>
      <x:c r="S773" s="604" t="n">
        <x:f>IF(OR(Q773="",Q773="待结算"),"",IF(Q773="红",R773,IF(Q773="半红",R773*0.5,IF(Q773="走",0,IF(Q773="半黑",-0.5,-1)))))</x:f>
        <x:v>-1</x:v>
      </x:c>
      <x:c r="T773" s="604" t="inlineStr">
        <x:is>
          <x:t xml:space="preserve">https://m.titan007.com/analy/Analysis/3050572.htm</x:t>
        </x:is>
      </x:c>
      <x:c r="U773" s="645" t="str">
        <x:f>IF(Q773="","",IF(Q773="待结算","待结算",IF(Q773="红","黑",IF(Q773="半红","半黑",IF(Q773="走","走",IF(Q773="半黑","半红","红"))))))</x:f>
        <x:v>红</x:v>
      </x:c>
      <x:c r="V773" s="604" t="n">
        <x:f>IF(OR(Q773="",Q773="待结算"),"",IF(L773=LEFT(F773,FIND(" vs ",F773)-1),I773,G773))</x:f>
        <x:v>0.78</x:v>
      </x:c>
      <x:c r="W773" s="604" t="n">
        <x:f>IF(OR(U773="",U773="待结算"),"",IF(U773="红",V773,IF(U773="半红",V773*0.5,IF(U773="走",0,IF(U773="半黑",-0.5,-1)))))</x:f>
        <x:v>0.78</x:v>
      </x:c>
      <x:c r="X773" s="604" t="inlineStr">
        <x:is>
          <x:t xml:space="preserve">3050572</x:t>
        </x:is>
      </x:c>
      <x:c r="Y773" s="604" t="inlineStr">
        <x:is>
          <x:t xml:space="preserve">V4</x:t>
        </x:is>
      </x:c>
      <x:c r="Z773" s="604" t="inlineStr">
        <x:is>
          <x:t xml:space="preserve">prior-2026-10-03-v1</x:t>
        </x:is>
      </x:c>
      <x:c r="AA773" s="604" t="inlineStr">
        <x:is>
          <x:t xml:space="preserve">B</x:t>
        </x:is>
      </x:c>
      <x:c r="AB773" s="604" t="n">
        <x:v>0.5621451201912701</x:v>
      </x:c>
      <x:c r="AC773" s="604" t="n"/>
      <x:c r="AD773" s="604" t="n"/>
      <x:c r="AE773" s="604" t="n"/>
      <x:c r="AF773" s="604" t="n">
        <x:v>0.4378548798087299</x:v>
      </x:c>
      <x:c r="AG773" s="604" t="n">
        <x:v>0.07931863076723861</x:v>
      </x:c>
      <x:c r="AH773" s="604" t="n"/>
      <x:c r="AI773" s="604" t="n"/>
      <x:c r="AJ773" s="604" t="n">
        <x:v>0.07931863076723861</x:v>
      </x:c>
      <x:c r="AK773" s="604" t="n"/>
      <x:c r="AL773" s="604" t="n"/>
      <x:c r="AM773" s="604" t="n"/>
      <x:c r="AN773" s="604" t="inlineStr">
        <x:is>
          <x:t xml:space="preserve">EVALUATED</x:t>
        </x:is>
      </x:c>
      <x:c r="AO773" s="604" t="inlineStr">
        <x:is>
          <x:t xml:space="preserve">GIVING_VALIDATED_EDGE、BUCKET_PRIOR_ONLY、INTENT_INTERPRETATION_ONLY、EXPERT_MARKET</x:t>
        </x:is>
      </x:c>
      <x:c r="AP773" s="604" t="inlineStr">
        <x:is>
          <x:t xml:space="preserve">e0c2e83cc05f05523cba</x:t>
        </x:is>
      </x:c>
      <x:c r="AQ773" s="604" t="n">
        <x:v>-0.5</x:v>
      </x:c>
      <x:c r="AR773" s="604" t="n">
        <x:v>0.92</x:v>
      </x:c>
      <x:c r="AS773" s="604" t="n">
        <x:v>0.5</x:v>
      </x:c>
      <x:c r="AT773" s="604" t="n">
        <x:v>-0.5</x:v>
      </x:c>
      <x:c r="AU773" s="604" t="n">
        <x:v>0.92</x:v>
      </x:c>
      <x:c r="AV773" s="604" t="n">
        <x:v>0.78</x:v>
      </x:c>
      <x:c r="AW773" s="604" t="n">
        <x:v>46298.06050486111</x:v>
      </x:c>
      <x:c r="AX773" s="604" t="inlineStr">
        <x:is>
          <x:t xml:space="preserve">https://simondongxiao.github.io/odds/v4/</x:t>
        </x:is>
      </x:c>
      <x:c r="AY773" s="604" t="inlineStr">
        <x:is>
          <x:t xml:space="preserve">V4 Shadow Only；real_money=false；P(EV&gt;0)不是比赛胜率</x:t>
        </x:is>
      </x:c>
    </x:row>
    <x:row r="774" ht="22" customHeight="1">
      <x:c r="A774" s="604" t="inlineStr">
        <x:is>
          <x:t xml:space="preserve">2026-10-03</x:t>
        </x:is>
      </x:c>
      <x:c r="B774" s="604" t="inlineStr">
        <x:is>
          <x:t xml:space="preserve">2026-10-03 23:30</x:t>
        </x:is>
      </x:c>
      <x:c r="C774" s="604" t="str">
        <x:v>五大联赛非顶级联赛</x:v>
      </x:c>
      <x:c r="D774" s="604" t="inlineStr">
        <x:is>
          <x:t xml:space="preserve">联赛</x:t>
        </x:is>
      </x:c>
      <x:c r="E774" s="604" t="inlineStr">
        <x:is>
          <x:t xml:space="preserve">意丙</x:t>
        </x:is>
      </x:c>
      <x:c r="F774" s="604" t="inlineStr">
        <x:is>
          <x:t xml:space="preserve">格罗瑟托 vs 萨比尼迪特斯</x:t>
        </x:is>
      </x:c>
      <x:c r="G774" s="604" t="n">
        <x:v>0.85</x:v>
      </x:c>
      <x:c r="H774" s="604" t="n">
        <x:v>0.75</x:v>
      </x:c>
      <x:c r="I774" s="604" t="n">
        <x:v>0.85</x:v>
      </x:c>
      <x:c r="J774" s="604" t="inlineStr">
        <x:is>
          <x:t xml:space="preserve">0.85/0.75/0.85</x:t>
        </x:is>
      </x:c>
      <x:c r="K774" s="604" t="inlineStr">
        <x:is>
          <x:t xml:space="preserve">V4-B｜EV +0.1017</x:t>
        </x:is>
      </x:c>
      <x:c r="L774" s="604" t="inlineStr">
        <x:is>
          <x:t xml:space="preserve">格罗瑟托</x:t>
        </x:is>
      </x:c>
      <x:c r="M774" s="604" t="n">
        <x:v>0.6036467975938922</x:v>
      </x:c>
      <x:c r="N774" s="604" t="inlineStr">
        <x:is>
          <x:t xml:space="preserve">V4纸面入选-B</x:t>
        </x:is>
      </x:c>
      <x:c r="O774" s="604" t="inlineStr">
        <x:is>
          <x:t xml:space="preserve">1-3</x:t>
        </x:is>
      </x:c>
      <x:c r="P774" s="604" t="inlineStr">
        <x:is>
          <x:t xml:space="preserve">已结算</x:t>
        </x:is>
      </x:c>
      <x:c r="Q774" s="646" t="inlineStr">
        <x:is>
          <x:t xml:space="preserve">黑</x:t>
        </x:is>
      </x:c>
      <x:c r="R774" s="604" t="n">
        <x:v>0.85</x:v>
      </x:c>
      <x:c r="S774" s="604" t="n">
        <x:f>IF(OR(Q774="",Q774="待结算"),"",IF(Q774="红",R774,IF(Q774="半红",R774*0.5,IF(Q774="走",0,IF(Q774="半黑",-0.5,-1)))))</x:f>
        <x:v>-1</x:v>
      </x:c>
      <x:c r="T774" s="604" t="inlineStr">
        <x:is>
          <x:t xml:space="preserve">https://m.titan007.com/analy/Analysis/3050953.htm</x:t>
        </x:is>
      </x:c>
      <x:c r="U774" s="645" t="str">
        <x:f>IF(Q774="","",IF(Q774="待结算","待结算",IF(Q774="红","黑",IF(Q774="半红","半黑",IF(Q774="走","走",IF(Q774="半黑","半红","红"))))))</x:f>
        <x:v>红</x:v>
      </x:c>
      <x:c r="V774" s="604" t="n">
        <x:f>IF(OR(Q774="",Q774="待结算"),"",IF(L774=LEFT(F774,FIND(" vs ",F774)-1),I774,G774))</x:f>
        <x:v>0.85</x:v>
      </x:c>
      <x:c r="W774" s="604" t="n">
        <x:f>IF(OR(U774="",U774="待结算"),"",IF(U774="红",V774,IF(U774="半红",V774*0.5,IF(U774="走",0,IF(U774="半黑",-0.5,-1)))))</x:f>
        <x:v>0.85</x:v>
      </x:c>
      <x:c r="X774" s="604" t="inlineStr">
        <x:is>
          <x:t xml:space="preserve">3050953</x:t>
        </x:is>
      </x:c>
      <x:c r="Y774" s="604" t="inlineStr">
        <x:is>
          <x:t xml:space="preserve">V4</x:t>
        </x:is>
      </x:c>
      <x:c r="Z774" s="604" t="inlineStr">
        <x:is>
          <x:t xml:space="preserve">prior-2026-10-03-v1</x:t>
        </x:is>
      </x:c>
      <x:c r="AA774" s="604" t="inlineStr">
        <x:is>
          <x:t xml:space="preserve">B</x:t>
        </x:is>
      </x:c>
      <x:c r="AB774" s="604" t="n">
        <x:v>0.3974850377446245</x:v>
      </x:c>
      <x:c r="AC774" s="604" t="n">
        <x:v>0.2571161681719345</x:v>
      </x:c>
      <x:c r="AD774" s="604" t="n"/>
      <x:c r="AE774" s="604" t="n"/>
      <x:c r="AF774" s="604" t="n">
        <x:v>0.345398794083441</x:v>
      </x:c>
      <x:c r="AG774" s="604" t="n">
        <x:v>0.101737859472562</x:v>
      </x:c>
      <x:c r="AH774" s="604" t="n"/>
      <x:c r="AI774" s="604" t="n"/>
      <x:c r="AJ774" s="604" t="n">
        <x:v>0.101737859472562</x:v>
      </x:c>
      <x:c r="AK774" s="604" t="n"/>
      <x:c r="AL774" s="604" t="n"/>
      <x:c r="AM774" s="604" t="n"/>
      <x:c r="AN774" s="604" t="inlineStr">
        <x:is>
          <x:t xml:space="preserve">EVALUATED</x:t>
        </x:is>
      </x:c>
      <x:c r="AO774" s="604" t="inlineStr">
        <x:is>
          <x:t xml:space="preserve">GIVING_VALIDATED_EDGE、BUCKET_PRIOR_ONLY、INTENT_INTERPRETATION_ONLY、EXPERT_MARKET</x:t>
        </x:is>
      </x:c>
      <x:c r="AP774" s="604" t="inlineStr">
        <x:is>
          <x:t xml:space="preserve">ce827f1121e1d105e9b0</x:t>
        </x:is>
      </x:c>
      <x:c r="AQ774" s="604" t="n">
        <x:v>-0.75</x:v>
      </x:c>
      <x:c r="AR774" s="604" t="n">
        <x:v>0.85</x:v>
      </x:c>
      <x:c r="AS774" s="604" t="n">
        <x:v>0.75</x:v>
      </x:c>
      <x:c r="AT774" s="604" t="n">
        <x:v>-0.75</x:v>
      </x:c>
      <x:c r="AU774" s="604" t="n">
        <x:v>0.85</x:v>
      </x:c>
      <x:c r="AV774" s="604" t="n">
        <x:v>0.85</x:v>
      </x:c>
      <x:c r="AW774" s="604" t="n">
        <x:v>46298.06050486111</x:v>
      </x:c>
      <x:c r="AX774" s="604" t="inlineStr">
        <x:is>
          <x:t xml:space="preserve">https://simondongxiao.github.io/odds/v4/</x:t>
        </x:is>
      </x:c>
      <x:c r="AY774" s="604" t="inlineStr">
        <x:is>
          <x:t xml:space="preserve">V4 Shadow Only；real_money=false；P(EV&gt;0)不是比赛胜率</x:t>
        </x:is>
      </x:c>
    </x:row>
    <x:row r="775" ht="22" customHeight="1">
      <x:c r="A775" s="604" t="inlineStr">
        <x:is>
          <x:t xml:space="preserve">2026-10-03</x:t>
        </x:is>
      </x:c>
      <x:c r="B775" s="604" t="inlineStr">
        <x:is>
          <x:t xml:space="preserve">2026-10-03 23:30</x:t>
        </x:is>
      </x:c>
      <x:c r="C775" s="604" t="str">
        <x:v>五大联赛非顶级联赛</x:v>
      </x:c>
      <x:c r="D775" s="604" t="inlineStr">
        <x:is>
          <x:t xml:space="preserve">联赛</x:t>
        </x:is>
      </x:c>
      <x:c r="E775" s="604" t="inlineStr">
        <x:is>
          <x:t xml:space="preserve">意丙</x:t>
        </x:is>
      </x:c>
      <x:c r="F775" s="604" t="inlineStr">
        <x:is>
          <x:t xml:space="preserve">摩诺波利 vs 萨沃亚</x:t>
        </x:is>
      </x:c>
      <x:c r="G775" s="604" t="n">
        <x:v>0.76</x:v>
      </x:c>
      <x:c r="H775" s="604" t="n">
        <x:v>0.5</x:v>
      </x:c>
      <x:c r="I775" s="604" t="n">
        <x:v>0.9399999999999999</x:v>
      </x:c>
      <x:c r="J775" s="604" t="inlineStr">
        <x:is>
          <x:t xml:space="preserve">0.76/0.5/0.94</x:t>
        </x:is>
      </x:c>
      <x:c r="K775" s="604" t="inlineStr">
        <x:is>
          <x:t xml:space="preserve">V4-B｜EV +0.0909</x:t>
        </x:is>
      </x:c>
      <x:c r="L775" s="604" t="inlineStr">
        <x:is>
          <x:t xml:space="preserve">摩诺波利</x:t>
        </x:is>
      </x:c>
      <x:c r="M775" s="604" t="n">
        <x:v>0.6198547718905562</x:v>
      </x:c>
      <x:c r="N775" s="604" t="inlineStr">
        <x:is>
          <x:t xml:space="preserve">V4纸面入选-B</x:t>
        </x:is>
      </x:c>
      <x:c r="O775" s="604" t="inlineStr">
        <x:is>
          <x:t xml:space="preserve">0-0</x:t>
        </x:is>
      </x:c>
      <x:c r="P775" s="604" t="inlineStr">
        <x:is>
          <x:t xml:space="preserve">已结算</x:t>
        </x:is>
      </x:c>
      <x:c r="Q775" s="646" t="inlineStr">
        <x:is>
          <x:t xml:space="preserve">黑</x:t>
        </x:is>
      </x:c>
      <x:c r="R775" s="604" t="n">
        <x:v>0.76</x:v>
      </x:c>
      <x:c r="S775" s="604" t="n">
        <x:f>IF(OR(Q775="",Q775="待结算"),"",IF(Q775="红",R775,IF(Q775="半红",R775*0.5,IF(Q775="走",0,IF(Q775="半黑",-0.5,-1)))))</x:f>
        <x:v>-1</x:v>
      </x:c>
      <x:c r="T775" s="604" t="inlineStr">
        <x:is>
          <x:t xml:space="preserve">https://m.titan007.com/analy/Analysis/3051337.htm</x:t>
        </x:is>
      </x:c>
      <x:c r="U775" s="645" t="str">
        <x:f>IF(Q775="","",IF(Q775="待结算","待结算",IF(Q775="红","黑",IF(Q775="半红","半黑",IF(Q775="走","走",IF(Q775="半黑","半红","红"))))))</x:f>
        <x:v>红</x:v>
      </x:c>
      <x:c r="V775" s="604" t="n">
        <x:f>IF(OR(Q775="",Q775="待结算"),"",IF(L775=LEFT(F775,FIND(" vs ",F775)-1),I775,G775))</x:f>
        <x:v>0.94</x:v>
      </x:c>
      <x:c r="W775" s="604" t="n">
        <x:f>IF(OR(U775="",U775="待结算"),"",IF(U775="红",V775,IF(U775="半红",V775*0.5,IF(U775="走",0,IF(U775="半黑",-0.5,-1)))))</x:f>
        <x:v>0.94</x:v>
      </x:c>
      <x:c r="X775" s="604" t="inlineStr">
        <x:is>
          <x:t xml:space="preserve">3051337</x:t>
        </x:is>
      </x:c>
      <x:c r="Y775" s="604" t="inlineStr">
        <x:is>
          <x:t xml:space="preserve">V4</x:t>
        </x:is>
      </x:c>
      <x:c r="Z775" s="604" t="inlineStr">
        <x:is>
          <x:t xml:space="preserve">prior-2026-10-03-v1</x:t>
        </x:is>
      </x:c>
      <x:c r="AA775" s="604" t="inlineStr">
        <x:is>
          <x:t xml:space="preserve">B</x:t>
        </x:is>
      </x:c>
      <x:c r="AB775" s="604" t="n">
        <x:v>0.6198547718905562</x:v>
      </x:c>
      <x:c r="AC775" s="604" t="n"/>
      <x:c r="AD775" s="604" t="n"/>
      <x:c r="AE775" s="604" t="n"/>
      <x:c r="AF775" s="604" t="n">
        <x:v>0.3801452281094438</x:v>
      </x:c>
      <x:c r="AG775" s="604" t="n">
        <x:v>0.0909443985273789</x:v>
      </x:c>
      <x:c r="AH775" s="604" t="n"/>
      <x:c r="AI775" s="604" t="n"/>
      <x:c r="AJ775" s="604" t="n">
        <x:v>0.0909443985273789</x:v>
      </x:c>
      <x:c r="AK775" s="604" t="n"/>
      <x:c r="AL775" s="604" t="n"/>
      <x:c r="AM775" s="604" t="n"/>
      <x:c r="AN775" s="604" t="inlineStr">
        <x:is>
          <x:t xml:space="preserve">EVALUATED</x:t>
        </x:is>
      </x:c>
      <x:c r="AO775" s="604" t="inlineStr">
        <x:is>
          <x:t xml:space="preserve">GIVING_VALIDATED_EDGE、BUCKET_PRIOR_ONLY、INTENT_INTERPRETATION_ONLY、EXPERT_MARKET</x:t>
        </x:is>
      </x:c>
      <x:c r="AP775" s="604" t="inlineStr">
        <x:is>
          <x:t xml:space="preserve">ca0a26c7433b2d57c720</x:t>
        </x:is>
      </x:c>
      <x:c r="AQ775" s="604" t="n">
        <x:v>-0.5</x:v>
      </x:c>
      <x:c r="AR775" s="604" t="n">
        <x:v>0.76</x:v>
      </x:c>
      <x:c r="AS775" s="604" t="n">
        <x:v>0.5</x:v>
      </x:c>
      <x:c r="AT775" s="604" t="n">
        <x:v>-0.5</x:v>
      </x:c>
      <x:c r="AU775" s="604" t="n">
        <x:v>0.76</x:v>
      </x:c>
      <x:c r="AV775" s="604" t="n">
        <x:v>0.9399999999999999</x:v>
      </x:c>
      <x:c r="AW775" s="604" t="n">
        <x:v>46298.06050486111</x:v>
      </x:c>
      <x:c r="AX775" s="604" t="inlineStr">
        <x:is>
          <x:t xml:space="preserve">https://simondongxiao.github.io/odds/v4/</x:t>
        </x:is>
      </x:c>
      <x:c r="AY775" s="604" t="inlineStr">
        <x:is>
          <x:t xml:space="preserve">V4 Shadow Only；real_money=false；P(EV&gt;0)不是比赛胜率</x:t>
        </x:is>
      </x:c>
    </x:row>
    <x:row r="776" ht="22" customHeight="1">
      <x:c r="A776" s="604" t="inlineStr">
        <x:is>
          <x:t xml:space="preserve">2026-10-03</x:t>
        </x:is>
      </x:c>
      <x:c r="B776" s="604" t="inlineStr">
        <x:is>
          <x:t xml:space="preserve">2026-10-04 00:00</x:t>
        </x:is>
      </x:c>
      <x:c r="C776" s="604" t="str">
        <x:v>欧洲非五大系列</x:v>
      </x:c>
      <x:c r="D776" s="604" t="inlineStr">
        <x:is>
          <x:t xml:space="preserve">联赛</x:t>
        </x:is>
      </x:c>
      <x:c r="E776" s="604" t="inlineStr">
        <x:is>
          <x:t xml:space="preserve">欧国联</x:t>
        </x:is>
      </x:c>
      <x:c r="F776" s="604" t="inlineStr">
        <x:is>
          <x:t xml:space="preserve">白俄罗斯 vs 圣马力诺</x:t>
        </x:is>
      </x:c>
      <x:c r="G776" s="604" t="n">
        <x:v>0.89</x:v>
      </x:c>
      <x:c r="H776" s="604" t="n">
        <x:v>0</x:v>
      </x:c>
      <x:c r="I776" s="604" t="n">
        <x:v>0.99</x:v>
      </x:c>
      <x:c r="J776" s="604" t="inlineStr">
        <x:is>
          <x:t xml:space="preserve">0.89/0/0.99</x:t>
        </x:is>
      </x:c>
      <x:c r="K776" s="604" t="inlineStr">
        <x:is>
          <x:t xml:space="preserve">V4-C｜EV +0.0475</x:t>
        </x:is>
      </x:c>
      <x:c r="L776" s="604" t="str"/>
      <x:c r="M776" s="604" t="n">
        <x:v>0.5542337012638059</x:v>
      </x:c>
      <x:c r="N776" s="604" t="inlineStr">
        <x:is>
          <x:t xml:space="preserve">V4纸面入选-C</x:t>
        </x:is>
      </x:c>
      <x:c r="O776" s="604" t="inlineStr">
        <x:is>
          <x:t xml:space="preserve">4-0</x:t>
        </x:is>
      </x:c>
      <x:c r="P776" s="604" t="inlineStr">
        <x:is>
          <x:t xml:space="preserve">已结算</x:t>
        </x:is>
      </x:c>
      <x:c r="Q776" s="645" t="inlineStr">
        <x:is>
          <x:t xml:space="preserve">红</x:t>
        </x:is>
      </x:c>
      <x:c r="R776" s="604" t="n">
        <x:v>0.99</x:v>
      </x:c>
      <x:c r="S776" s="604" t="n">
        <x:f>IF(OR(Q776="",Q776="待结算"),"",IF(Q776="红",R776,IF(Q776="半红",R776*0.5,IF(Q776="走",0,IF(Q776="半黑",-0.5,-1)))))</x:f>
        <x:v>0.99</x:v>
      </x:c>
      <x:c r="T776" s="604" t="inlineStr">
        <x:is>
          <x:t xml:space="preserve">https://m.titan007.com/analy/Analysis/2981544.htm</x:t>
        </x:is>
      </x:c>
      <x:c r="U776" s="646" t="str">
        <x:f>IF(Q776="","",IF(Q776="待结算","待结算",IF(Q776="红","黑",IF(Q776="半红","半黑",IF(Q776="走","走",IF(Q776="半黑","半红","红"))))))</x:f>
        <x:v>黑</x:v>
      </x:c>
      <x:c r="V776" s="604" t="n">
        <x:f>IF(OR(Q776="",Q776="待结算"),"",IF(L776=LEFT(F776,FIND(" vs ",F776)-1),I776,G776))</x:f>
        <x:v>0.89</x:v>
      </x:c>
      <x:c r="W776" s="604" t="n">
        <x:f>IF(OR(U776="",U776="待结算"),"",IF(U776="红",V776,IF(U776="半红",V776*0.5,IF(U776="走",0,IF(U776="半黑",-0.5,-1)))))</x:f>
        <x:v>-1</x:v>
      </x:c>
      <x:c r="X776" s="604" t="inlineStr">
        <x:is>
          <x:t xml:space="preserve">2981544</x:t>
        </x:is>
      </x:c>
      <x:c r="Y776" s="604" t="inlineStr">
        <x:is>
          <x:t xml:space="preserve">V4</x:t>
        </x:is>
      </x:c>
      <x:c r="Z776" s="604" t="inlineStr">
        <x:is>
          <x:t xml:space="preserve">prior-2026-10-03-v1</x:t>
        </x:is>
      </x:c>
      <x:c r="AA776" s="604" t="inlineStr">
        <x:is>
          <x:t xml:space="preserve">C</x:t>
        </x:is>
      </x:c>
      <x:c r="AB776" s="604" t="n">
        <x:v>0.5542337012638059</x:v>
      </x:c>
      <x:c r="AC776" s="604" t="n"/>
      <x:c r="AD776" s="604" t="n"/>
      <x:c r="AE776" s="604" t="n"/>
      <x:c r="AF776" s="604" t="n">
        <x:v>0.4457662987361942</x:v>
      </x:c>
      <x:c r="AG776" s="604" t="n">
        <x:v>0.04750169538859306</x:v>
      </x:c>
      <x:c r="AH776" s="604" t="n"/>
      <x:c r="AI776" s="604" t="n"/>
      <x:c r="AJ776" s="604" t="n">
        <x:v>0.04750169538859306</x:v>
      </x:c>
      <x:c r="AK776" s="604" t="n"/>
      <x:c r="AL776" s="604" t="n"/>
      <x:c r="AM776" s="604" t="n"/>
      <x:c r="AN776" s="604" t="inlineStr">
        <x:is>
          <x:t xml:space="preserve">EVALUATED</x:t>
        </x:is>
      </x:c>
      <x:c r="AO776" s="604" t="inlineStr">
        <x:is>
          <x:t xml:space="preserve">EDGE_BELOW_UNCERTAINTY_THRESHOLD、BUCKET_PRIOR_ONLY、INTENT_INTERPRETATION_ONLY、EXPERT_MARKET</x:t>
        </x:is>
      </x:c>
      <x:c r="AP776" s="604" t="inlineStr">
        <x:is>
          <x:t xml:space="preserve">6f9a80d244b21d6d0379</x:t>
        </x:is>
      </x:c>
      <x:c r="AQ776" s="604" t="n">
        <x:v>0</x:v>
      </x:c>
      <x:c r="AR776" s="604" t="n"/>
      <x:c r="AS776" s="604" t="n">
        <x:v>0</x:v>
      </x:c>
      <x:c r="AT776" s="604" t="n">
        <x:v>0</x:v>
      </x:c>
      <x:c r="AU776" s="604" t="n">
        <x:v>0.89</x:v>
      </x:c>
      <x:c r="AV776" s="604" t="n">
        <x:v>0.99</x:v>
      </x:c>
      <x:c r="AW776" s="604" t="n">
        <x:v>46298.06050486111</x:v>
      </x:c>
      <x:c r="AX776" s="604" t="inlineStr">
        <x:is>
          <x:t xml:space="preserve">https://simondongxiao.github.io/odds/v4/</x:t>
        </x:is>
      </x:c>
      <x:c r="AY776" s="604" t="inlineStr">
        <x:is>
          <x:t xml:space="preserve">V4 Shadow Only；real_money=false；P(EV&gt;0)不是比赛胜率</x:t>
        </x:is>
      </x:c>
    </x:row>
    <x:row r="777" ht="22" customHeight="1">
      <x:c r="A777" s="604" t="inlineStr">
        <x:is>
          <x:t xml:space="preserve">2026-10-03</x:t>
        </x:is>
      </x:c>
      <x:c r="B777" s="604" t="inlineStr">
        <x:is>
          <x:t xml:space="preserve">2026-10-04 00:00</x:t>
        </x:is>
      </x:c>
      <x:c r="C777" s="604" t="str">
        <x:v>五大联赛非顶级联赛</x:v>
      </x:c>
      <x:c r="D777" s="604" t="inlineStr">
        <x:is>
          <x:t xml:space="preserve">联赛</x:t>
        </x:is>
      </x:c>
      <x:c r="E777" s="604" t="inlineStr">
        <x:is>
          <x:t xml:space="preserve">西协乙2</x:t>
        </x:is>
      </x:c>
      <x:c r="F777" s="604" t="inlineStr">
        <x:is>
          <x:t xml:space="preserve">西班牙人B队 vs 纳塞拉</x:t>
        </x:is>
      </x:c>
      <x:c r="G777" s="604" t="n">
        <x:v>0.8100000000000001</x:v>
      </x:c>
      <x:c r="H777" s="604" t="n">
        <x:v>0</x:v>
      </x:c>
      <x:c r="I777" s="604" t="n">
        <x:v>0.89</x:v>
      </x:c>
      <x:c r="J777" s="604" t="inlineStr">
        <x:is>
          <x:t xml:space="preserve">0.81/0/0.89</x:t>
        </x:is>
      </x:c>
      <x:c r="K777" s="604" t="inlineStr">
        <x:is>
          <x:t xml:space="preserve">V4-C｜EV +0.0217</x:t>
        </x:is>
      </x:c>
      <x:c r="L777" s="604" t="str"/>
      <x:c r="M777" s="604" t="n">
        <x:v>0.5684145554560976</x:v>
      </x:c>
      <x:c r="N777" s="604" t="inlineStr">
        <x:is>
          <x:t xml:space="preserve">V4纸面入选-C</x:t>
        </x:is>
      </x:c>
      <x:c r="O777" s="604" t="inlineStr">
        <x:is>
          <x:t xml:space="preserve">0-0</x:t>
        </x:is>
      </x:c>
      <x:c r="P777" s="604" t="inlineStr">
        <x:is>
          <x:t xml:space="preserve">已结算</x:t>
        </x:is>
      </x:c>
      <x:c r="Q777" s="647" t="inlineStr">
        <x:is>
          <x:t xml:space="preserve">走</x:t>
        </x:is>
      </x:c>
      <x:c r="R777" s="604" t="n">
        <x:v>0.89</x:v>
      </x:c>
      <x:c r="S777" s="604" t="n">
        <x:f>IF(OR(Q777="",Q777="待结算"),"",IF(Q777="红",R777,IF(Q777="半红",R777*0.5,IF(Q777="走",0,IF(Q777="半黑",-0.5,-1)))))</x:f>
        <x:v>0</x:v>
      </x:c>
      <x:c r="T777" s="604" t="inlineStr">
        <x:is>
          <x:t xml:space="preserve">https://m.titan007.com/analy/Analysis/3083294.htm</x:t>
        </x:is>
      </x:c>
      <x:c r="U777" s="647" t="str">
        <x:f>IF(Q777="","",IF(Q777="待结算","待结算",IF(Q777="红","黑",IF(Q777="半红","半黑",IF(Q777="走","走",IF(Q777="半黑","半红","红"))))))</x:f>
        <x:v>走</x:v>
      </x:c>
      <x:c r="V777" s="604" t="n">
        <x:f>IF(OR(Q777="",Q777="待结算"),"",IF(L777=LEFT(F777,FIND(" vs ",F777)-1),I777,G777))</x:f>
        <x:v>0.81</x:v>
      </x:c>
      <x:c r="W777" s="604" t="n">
        <x:f>IF(OR(U777="",U777="待结算"),"",IF(U777="红",V777,IF(U777="半红",V777*0.5,IF(U777="走",0,IF(U777="半黑",-0.5,-1)))))</x:f>
        <x:v>0</x:v>
      </x:c>
      <x:c r="X777" s="604" t="inlineStr">
        <x:is>
          <x:t xml:space="preserve">3083294</x:t>
        </x:is>
      </x:c>
      <x:c r="Y777" s="604" t="inlineStr">
        <x:is>
          <x:t xml:space="preserve">V4</x:t>
        </x:is>
      </x:c>
      <x:c r="Z777" s="604" t="inlineStr">
        <x:is>
          <x:t xml:space="preserve">prior-2026-10-03-v1</x:t>
        </x:is>
      </x:c>
      <x:c r="AA777" s="604" t="inlineStr">
        <x:is>
          <x:t xml:space="preserve">C</x:t>
        </x:is>
      </x:c>
      <x:c r="AB777" s="604" t="n">
        <x:v>0.4273404527334762</x:v>
      </x:c>
      <x:c r="AC777" s="604" t="n"/>
      <x:c r="AD777" s="604" t="n">
        <x:v>0.2481887583076108</x:v>
      </x:c>
      <x:c r="AE777" s="604" t="n"/>
      <x:c r="AF777" s="604" t="n">
        <x:v>0.324470788958913</x:v>
      </x:c>
      <x:c r="AG777" s="604" t="n">
        <x:v>0.02167497775520272</x:v>
      </x:c>
      <x:c r="AH777" s="604" t="n"/>
      <x:c r="AI777" s="604" t="n"/>
      <x:c r="AJ777" s="604" t="n">
        <x:v>0.02167497775520272</x:v>
      </x:c>
      <x:c r="AK777" s="604" t="n"/>
      <x:c r="AL777" s="604" t="n"/>
      <x:c r="AM777" s="604" t="n"/>
      <x:c r="AN777" s="604" t="inlineStr">
        <x:is>
          <x:t xml:space="preserve">EVALUATED</x:t>
        </x:is>
      </x:c>
      <x:c r="AO777" s="604" t="inlineStr">
        <x:is>
          <x:t xml:space="preserve">EDGE_BELOW_UNCERTAINTY_THRESHOLD、BUCKET_PRIOR_ONLY、INTENT_INTERPRETATION_ONLY、EXPERT_MARKET</x:t>
        </x:is>
      </x:c>
      <x:c r="AP777" s="604" t="inlineStr">
        <x:is>
          <x:t xml:space="preserve">b24987401ddd920c4c3a</x:t>
        </x:is>
      </x:c>
      <x:c r="AQ777" s="604" t="n">
        <x:v>0</x:v>
      </x:c>
      <x:c r="AR777" s="604" t="n"/>
      <x:c r="AS777" s="604" t="n">
        <x:v>0</x:v>
      </x:c>
      <x:c r="AT777" s="604" t="n">
        <x:v>0</x:v>
      </x:c>
      <x:c r="AU777" s="604" t="n">
        <x:v>0.8100000000000001</x:v>
      </x:c>
      <x:c r="AV777" s="604" t="n">
        <x:v>0.89</x:v>
      </x:c>
      <x:c r="AW777" s="604" t="n">
        <x:v>46298.06050486111</x:v>
      </x:c>
      <x:c r="AX777" s="604" t="inlineStr">
        <x:is>
          <x:t xml:space="preserve">https://simondongxiao.github.io/odds/v4/</x:t>
        </x:is>
      </x:c>
      <x:c r="AY777" s="604" t="inlineStr">
        <x:is>
          <x:t xml:space="preserve">V4 Shadow Only；real_money=false；P(EV&gt;0)不是比赛胜率</x:t>
        </x:is>
      </x:c>
    </x:row>
    <x:row r="778" ht="22" customHeight="1">
      <x:c r="A778" s="604" t="inlineStr">
        <x:is>
          <x:t xml:space="preserve">2026-10-03</x:t>
        </x:is>
      </x:c>
      <x:c r="B778" s="604" t="inlineStr">
        <x:is>
          <x:t xml:space="preserve">2026-10-04 00:00</x:t>
        </x:is>
      </x:c>
      <x:c r="C778" s="604" t="str">
        <x:v>其他系列</x:v>
      </x:c>
      <x:c r="D778" s="604" t="inlineStr">
        <x:is>
          <x:t xml:space="preserve">联赛</x:t>
        </x:is>
      </x:c>
      <x:c r="E778" s="604" t="inlineStr">
        <x:is>
          <x:t xml:space="preserve">摩洛超</x:t>
        </x:is>
      </x:c>
      <x:c r="F778" s="604" t="inlineStr">
        <x:is>
          <x:t xml:space="preserve">哈斯沙尼亚 vs 马格里布菲斯</x:t>
        </x:is>
      </x:c>
      <x:c r="G778" s="604" t="n">
        <x:v>0.8100000000000001</x:v>
      </x:c>
      <x:c r="H778" s="604" t="n">
        <x:v>0</x:v>
      </x:c>
      <x:c r="I778" s="604" t="n">
        <x:v>0.95</x:v>
      </x:c>
      <x:c r="J778" s="604" t="inlineStr">
        <x:is>
          <x:t xml:space="preserve">0.81/0/0.95</x:t>
        </x:is>
      </x:c>
      <x:c r="K778" s="604" t="inlineStr">
        <x:is>
          <x:t xml:space="preserve">V4-C｜EV +0.0359</x:t>
        </x:is>
      </x:c>
      <x:c r="L778" s="604" t="str"/>
      <x:c r="M778" s="604" t="n">
        <x:v>0.5339777629693652</x:v>
      </x:c>
      <x:c r="N778" s="604" t="inlineStr">
        <x:is>
          <x:t xml:space="preserve">V4纸面入选-C</x:t>
        </x:is>
      </x:c>
      <x:c r="O778" s="604" t="inlineStr">
        <x:is>
          <x:t xml:space="preserve">1-2</x:t>
        </x:is>
      </x:c>
      <x:c r="P778" s="604" t="inlineStr">
        <x:is>
          <x:t xml:space="preserve">已结算</x:t>
        </x:is>
      </x:c>
      <x:c r="Q778" s="646" t="inlineStr">
        <x:is>
          <x:t xml:space="preserve">黑</x:t>
        </x:is>
      </x:c>
      <x:c r="R778" s="604" t="n">
        <x:v>0.95</x:v>
      </x:c>
      <x:c r="S778" s="604" t="n">
        <x:f>IF(OR(Q778="",Q778="待结算"),"",IF(Q778="红",R778,IF(Q778="半红",R778*0.5,IF(Q778="走",0,IF(Q778="半黑",-0.5,-1)))))</x:f>
        <x:v>-1</x:v>
      </x:c>
      <x:c r="T778" s="604" t="inlineStr">
        <x:is>
          <x:t xml:space="preserve">https://m.titan007.com/analy/Analysis/3076980.htm</x:t>
        </x:is>
      </x:c>
      <x:c r="U778" s="645" t="str">
        <x:f>IF(Q778="","",IF(Q778="待结算","待结算",IF(Q778="红","黑",IF(Q778="半红","半黑",IF(Q778="走","走",IF(Q778="半黑","半红","红"))))))</x:f>
        <x:v>红</x:v>
      </x:c>
      <x:c r="V778" s="604" t="n">
        <x:f>IF(OR(Q778="",Q778="待结算"),"",IF(L778=LEFT(F778,FIND(" vs ",F778)-1),I778,G778))</x:f>
        <x:v>0.81</x:v>
      </x:c>
      <x:c r="W778" s="604" t="n">
        <x:f>IF(OR(U778="",U778="待结算"),"",IF(U778="红",V778,IF(U778="半红",V778*0.5,IF(U778="走",0,IF(U778="半黑",-0.5,-1)))))</x:f>
        <x:v>0.81</x:v>
      </x:c>
      <x:c r="X778" s="604" t="inlineStr">
        <x:is>
          <x:t xml:space="preserve">3076980</x:t>
        </x:is>
      </x:c>
      <x:c r="Y778" s="604" t="inlineStr">
        <x:is>
          <x:t xml:space="preserve">V4</x:t>
        </x:is>
      </x:c>
      <x:c r="Z778" s="604" t="inlineStr">
        <x:is>
          <x:t xml:space="preserve">prior-2026-10-03-v1</x:t>
        </x:is>
      </x:c>
      <x:c r="AA778" s="604" t="inlineStr">
        <x:is>
          <x:t xml:space="preserve">C</x:t>
        </x:is>
      </x:c>
      <x:c r="AB778" s="604" t="n">
        <x:v>0.4644533866231673</x:v>
      </x:c>
      <x:c r="AC778" s="604" t="n"/>
      <x:c r="AD778" s="604" t="n"/>
      <x:c r="AE778" s="604" t="n">
        <x:v>0.2604017663941056</x:v>
      </x:c>
      <x:c r="AF778" s="604" t="n">
        <x:v>0.2751448469827271</x:v>
      </x:c>
      <x:c r="AG778" s="604" t="n">
        <x:v>0.03588498711222893</x:v>
      </x:c>
      <x:c r="AH778" s="604" t="n"/>
      <x:c r="AI778" s="604" t="n"/>
      <x:c r="AJ778" s="604" t="n">
        <x:v>0.03588498711222893</x:v>
      </x:c>
      <x:c r="AK778" s="604" t="n"/>
      <x:c r="AL778" s="604" t="n"/>
      <x:c r="AM778" s="604" t="n"/>
      <x:c r="AN778" s="604" t="inlineStr">
        <x:is>
          <x:t xml:space="preserve">EVALUATED</x:t>
        </x:is>
      </x:c>
      <x:c r="AO778" s="604" t="inlineStr">
        <x:is>
          <x:t xml:space="preserve">EDGE_BELOW_UNCERTAINTY_THRESHOLD、BUCKET_PRIOR_ONLY、INTENT_INTERPRETATION_ONLY、EXPERT_MARKET</x:t>
        </x:is>
      </x:c>
      <x:c r="AP778" s="604" t="inlineStr">
        <x:is>
          <x:t xml:space="preserve">ae53b4fc31984a641906</x:t>
        </x:is>
      </x:c>
      <x:c r="AQ778" s="604" t="n">
        <x:v>0</x:v>
      </x:c>
      <x:c r="AR778" s="604" t="n"/>
      <x:c r="AS778" s="604" t="n">
        <x:v>0</x:v>
      </x:c>
      <x:c r="AT778" s="604" t="n">
        <x:v>0</x:v>
      </x:c>
      <x:c r="AU778" s="604" t="n">
        <x:v>0.8100000000000001</x:v>
      </x:c>
      <x:c r="AV778" s="604" t="n">
        <x:v>0.95</x:v>
      </x:c>
      <x:c r="AW778" s="604" t="n">
        <x:v>46298.06050486111</x:v>
      </x:c>
      <x:c r="AX778" s="604" t="inlineStr">
        <x:is>
          <x:t xml:space="preserve">https://simondongxiao.github.io/odds/v4/</x:t>
        </x:is>
      </x:c>
      <x:c r="AY778" s="604" t="inlineStr">
        <x:is>
          <x:t xml:space="preserve">V4 Shadow Only；real_money=false；P(EV&gt;0)不是比赛胜率</x:t>
        </x:is>
      </x:c>
    </x:row>
    <x:row r="779" ht="22" customHeight="1">
      <x:c r="A779" s="604" t="inlineStr">
        <x:is>
          <x:t xml:space="preserve">2026-10-03</x:t>
        </x:is>
      </x:c>
      <x:c r="B779" s="604" t="inlineStr">
        <x:is>
          <x:t xml:space="preserve">2026-10-04 00:00</x:t>
        </x:is>
      </x:c>
      <x:c r="C779" s="604" t="str">
        <x:v>五大联赛非顶级联赛</x:v>
      </x:c>
      <x:c r="D779" s="604" t="inlineStr">
        <x:is>
          <x:t xml:space="preserve">联赛</x:t>
        </x:is>
      </x:c>
      <x:c r="E779" s="604" t="inlineStr">
        <x:is>
          <x:t xml:space="preserve">意女甲</x:t>
        </x:is>
      </x:c>
      <x:c r="F779" s="604" t="inlineStr">
        <x:is>
          <x:t xml:space="preserve">AS罗马女足 vs 拉素女足</x:t>
        </x:is>
      </x:c>
      <x:c r="G779" s="604" t="n">
        <x:v>0.83</x:v>
      </x:c>
      <x:c r="H779" s="604" t="n">
        <x:v>1.25</x:v>
      </x:c>
      <x:c r="I779" s="604" t="n">
        <x:v>0.87</x:v>
      </x:c>
      <x:c r="J779" s="604" t="inlineStr">
        <x:is>
          <x:t xml:space="preserve">0.83/1.25/0.87</x:t>
        </x:is>
      </x:c>
      <x:c r="K779" s="604" t="inlineStr">
        <x:is>
          <x:t xml:space="preserve">V4-B｜EV +0.1310</x:t>
        </x:is>
      </x:c>
      <x:c r="L779" s="604" t="inlineStr">
        <x:is>
          <x:t xml:space="preserve">AS罗马女足</x:t>
        </x:is>
      </x:c>
      <x:c r="M779" s="604" t="n">
        <x:v>0.6278639107174371</x:v>
      </x:c>
      <x:c r="N779" s="604" t="inlineStr">
        <x:is>
          <x:t xml:space="preserve">V4纸面入选-B</x:t>
        </x:is>
      </x:c>
      <x:c r="O779" s="604" t="inlineStr">
        <x:is>
          <x:t xml:space="preserve">3-1</x:t>
        </x:is>
      </x:c>
      <x:c r="P779" s="604" t="inlineStr">
        <x:is>
          <x:t xml:space="preserve">已结算</x:t>
        </x:is>
      </x:c>
      <x:c r="Q779" s="645" t="inlineStr">
        <x:is>
          <x:t xml:space="preserve">红</x:t>
        </x:is>
      </x:c>
      <x:c r="R779" s="604" t="n">
        <x:v>0.83</x:v>
      </x:c>
      <x:c r="S779" s="604" t="n">
        <x:f>IF(OR(Q779="",Q779="待结算"),"",IF(Q779="红",R779,IF(Q779="半红",R779*0.5,IF(Q779="走",0,IF(Q779="半黑",-0.5,-1)))))</x:f>
        <x:v>0.83</x:v>
      </x:c>
      <x:c r="T779" s="604" t="inlineStr">
        <x:is>
          <x:t xml:space="preserve">https://m.titan007.com/analy/Analysis/3042385.htm</x:t>
        </x:is>
      </x:c>
      <x:c r="U779" s="646" t="str">
        <x:f>IF(Q779="","",IF(Q779="待结算","待结算",IF(Q779="红","黑",IF(Q779="半红","半黑",IF(Q779="走","走",IF(Q779="半黑","半红","红"))))))</x:f>
        <x:v>黑</x:v>
      </x:c>
      <x:c r="V779" s="604" t="n">
        <x:f>IF(OR(Q779="",Q779="待结算"),"",IF(L779=LEFT(F779,FIND(" vs ",F779)-1),I779,G779))</x:f>
        <x:v>0.87</x:v>
      </x:c>
      <x:c r="W779" s="604" t="n">
        <x:f>IF(OR(U779="",U779="待结算"),"",IF(U779="红",V779,IF(U779="半红",V779*0.5,IF(U779="走",0,IF(U779="半黑",-0.5,-1)))))</x:f>
        <x:v>-1</x:v>
      </x:c>
      <x:c r="X779" s="604" t="inlineStr">
        <x:is>
          <x:t xml:space="preserve">3042385</x:t>
        </x:is>
      </x:c>
      <x:c r="Y779" s="604" t="inlineStr">
        <x:is>
          <x:t xml:space="preserve">V4</x:t>
        </x:is>
      </x:c>
      <x:c r="Z779" s="604" t="inlineStr">
        <x:is>
          <x:t xml:space="preserve">prior-2026-10-03-v1</x:t>
        </x:is>
      </x:c>
      <x:c r="AA779" s="604" t="inlineStr">
        <x:is>
          <x:t xml:space="preserve">B</x:t>
        </x:is>
      </x:c>
      <x:c r="AB779" s="604" t="n">
        <x:v>0.5520809374570219</x:v>
      </x:c>
      <x:c r="AC779" s="604" t="n"/>
      <x:c r="AD779" s="604" t="n"/>
      <x:c r="AE779" s="604" t="n">
        <x:v>0.241399360488233</x:v>
      </x:c>
      <x:c r="AF779" s="604" t="n">
        <x:v>0.2065197020547451</x:v>
      </x:c>
      <x:c r="AG779" s="604" t="n">
        <x:v>0.1310077957904666</x:v>
      </x:c>
      <x:c r="AH779" s="604" t="n"/>
      <x:c r="AI779" s="604" t="n"/>
      <x:c r="AJ779" s="604" t="n">
        <x:v>0.1310077957904666</x:v>
      </x:c>
      <x:c r="AK779" s="604" t="n"/>
      <x:c r="AL779" s="604" t="n"/>
      <x:c r="AM779" s="604" t="n"/>
      <x:c r="AN779" s="604" t="inlineStr">
        <x:is>
          <x:t xml:space="preserve">EVALUATED</x:t>
        </x:is>
      </x:c>
      <x:c r="AO779" s="604" t="inlineStr">
        <x:is>
          <x:t xml:space="preserve">GIVING_VALIDATED_EDGE、BUCKET_PRIOR_ONLY、INTENT_INTERPRETATION_ONLY、EXPERT_MARKET</x:t>
        </x:is>
      </x:c>
      <x:c r="AP779" s="604" t="inlineStr">
        <x:is>
          <x:t xml:space="preserve">de95bf72a1c58c97dc6c</x:t>
        </x:is>
      </x:c>
      <x:c r="AQ779" s="604" t="n">
        <x:v>-1.25</x:v>
      </x:c>
      <x:c r="AR779" s="604" t="n">
        <x:v>0.83</x:v>
      </x:c>
      <x:c r="AS779" s="604" t="n">
        <x:v>1.25</x:v>
      </x:c>
      <x:c r="AT779" s="604" t="n">
        <x:v>-1.25</x:v>
      </x:c>
      <x:c r="AU779" s="604" t="n">
        <x:v>0.83</x:v>
      </x:c>
      <x:c r="AV779" s="604" t="n">
        <x:v>0.87</x:v>
      </x:c>
      <x:c r="AW779" s="604" t="n">
        <x:v>46298.06050486111</x:v>
      </x:c>
      <x:c r="AX779" s="604" t="inlineStr">
        <x:is>
          <x:t xml:space="preserve">https://simondongxiao.github.io/odds/v4/</x:t>
        </x:is>
      </x:c>
      <x:c r="AY779" s="604" t="inlineStr">
        <x:is>
          <x:t xml:space="preserve">V4 Shadow Only；real_money=false；P(EV&gt;0)不是比赛胜率</x:t>
        </x:is>
      </x:c>
    </x:row>
    <x:row r="780" ht="22" customHeight="1">
      <x:c r="A780" s="604" t="inlineStr">
        <x:is>
          <x:t xml:space="preserve">2026-10-03</x:t>
        </x:is>
      </x:c>
      <x:c r="B780" s="604" t="inlineStr">
        <x:is>
          <x:t xml:space="preserve">2026-10-04 00:30</x:t>
        </x:is>
      </x:c>
      <x:c r="C780" s="604" t="str">
        <x:v>五大联赛非顶级联赛</x:v>
      </x:c>
      <x:c r="D780" s="604" t="inlineStr">
        <x:is>
          <x:t xml:space="preserve">联赛</x:t>
        </x:is>
      </x:c>
      <x:c r="E780" s="604" t="inlineStr">
        <x:is>
          <x:t xml:space="preserve">西乙</x:t>
        </x:is>
      </x:c>
      <x:c r="F780" s="604" t="inlineStr">
        <x:is>
          <x:t xml:space="preserve">萨瓦德尔 vs 安道尔FC</x:t>
        </x:is>
      </x:c>
      <x:c r="G780" s="604" t="n">
        <x:v>1.07</x:v>
      </x:c>
      <x:c r="H780" s="604" t="n">
        <x:v>0.5</x:v>
      </x:c>
      <x:c r="I780" s="604" t="n">
        <x:v>0.8100000000000001</x:v>
      </x:c>
      <x:c r="J780" s="604" t="inlineStr">
        <x:is>
          <x:t xml:space="preserve">1.07/0.5/0.81</x:t>
        </x:is>
      </x:c>
      <x:c r="K780" s="604" t="inlineStr">
        <x:is>
          <x:t xml:space="preserve">V4-B｜EV +0.0807</x:t>
        </x:is>
      </x:c>
      <x:c r="L780" s="604" t="inlineStr">
        <x:is>
          <x:t xml:space="preserve">萨瓦德尔</x:t>
        </x:is>
      </x:c>
      <x:c r="M780" s="604" t="n">
        <x:v>0.5220702847043345</x:v>
      </x:c>
      <x:c r="N780" s="604" t="inlineStr">
        <x:is>
          <x:t xml:space="preserve">V4纸面入选-B</x:t>
        </x:is>
      </x:c>
      <x:c r="O780" s="604" t="inlineStr">
        <x:is>
          <x:t xml:space="preserve">0-0</x:t>
        </x:is>
      </x:c>
      <x:c r="P780" s="604" t="inlineStr">
        <x:is>
          <x:t xml:space="preserve">已结算</x:t>
        </x:is>
      </x:c>
      <x:c r="Q780" s="646" t="inlineStr">
        <x:is>
          <x:t xml:space="preserve">黑</x:t>
        </x:is>
      </x:c>
      <x:c r="R780" s="604" t="n">
        <x:v>1.07</x:v>
      </x:c>
      <x:c r="S780" s="604" t="n">
        <x:f>IF(OR(Q780="",Q780="待结算"),"",IF(Q780="红",R780,IF(Q780="半红",R780*0.5,IF(Q780="走",0,IF(Q780="半黑",-0.5,-1)))))</x:f>
        <x:v>-1</x:v>
      </x:c>
      <x:c r="T780" s="604" t="inlineStr">
        <x:is>
          <x:t xml:space="preserve">https://m.titan007.com/analy/Analysis/3014109.htm</x:t>
        </x:is>
      </x:c>
      <x:c r="U780" s="645" t="str">
        <x:f>IF(Q780="","",IF(Q780="待结算","待结算",IF(Q780="红","黑",IF(Q780="半红","半黑",IF(Q780="走","走",IF(Q780="半黑","半红","红"))))))</x:f>
        <x:v>红</x:v>
      </x:c>
      <x:c r="V780" s="604" t="n">
        <x:f>IF(OR(Q780="",Q780="待结算"),"",IF(L780=LEFT(F780,FIND(" vs ",F780)-1),I780,G780))</x:f>
        <x:v>0.81</x:v>
      </x:c>
      <x:c r="W780" s="604" t="n">
        <x:f>IF(OR(U780="",U780="待结算"),"",IF(U780="红",V780,IF(U780="半红",V780*0.5,IF(U780="走",0,IF(U780="半黑",-0.5,-1)))))</x:f>
        <x:v>0.81</x:v>
      </x:c>
      <x:c r="X780" s="604" t="inlineStr">
        <x:is>
          <x:t xml:space="preserve">3014109</x:t>
        </x:is>
      </x:c>
      <x:c r="Y780" s="604" t="inlineStr">
        <x:is>
          <x:t xml:space="preserve">V4</x:t>
        </x:is>
      </x:c>
      <x:c r="Z780" s="604" t="inlineStr">
        <x:is>
          <x:t xml:space="preserve">prior-2026-10-03-v1</x:t>
        </x:is>
      </x:c>
      <x:c r="AA780" s="604" t="inlineStr">
        <x:is>
          <x:t xml:space="preserve">B</x:t>
        </x:is>
      </x:c>
      <x:c r="AB780" s="604" t="n">
        <x:v>0.5220702847043345</x:v>
      </x:c>
      <x:c r="AC780" s="604" t="n"/>
      <x:c r="AD780" s="604" t="n"/>
      <x:c r="AE780" s="604" t="n"/>
      <x:c r="AF780" s="604" t="n">
        <x:v>0.4779297152956655</x:v>
      </x:c>
      <x:c r="AG780" s="604" t="n">
        <x:v>0.08068548933797243</x:v>
      </x:c>
      <x:c r="AH780" s="604" t="n"/>
      <x:c r="AI780" s="604" t="n"/>
      <x:c r="AJ780" s="604" t="n">
        <x:v>0.08068548933797243</x:v>
      </x:c>
      <x:c r="AK780" s="604" t="n"/>
      <x:c r="AL780" s="604" t="n"/>
      <x:c r="AM780" s="604" t="n"/>
      <x:c r="AN780" s="604" t="inlineStr">
        <x:is>
          <x:t xml:space="preserve">EVALUATED</x:t>
        </x:is>
      </x:c>
      <x:c r="AO780" s="604" t="inlineStr">
        <x:is>
          <x:t xml:space="preserve">GIVING_VALIDATED_EDGE、BUCKET_PRIOR_ONLY、INTENT_INTERPRETATION_ONLY、EXPERT_MARKET</x:t>
        </x:is>
      </x:c>
      <x:c r="AP780" s="604" t="inlineStr">
        <x:is>
          <x:t xml:space="preserve">16e3ec9bb3eb50a2d5df</x:t>
        </x:is>
      </x:c>
      <x:c r="AQ780" s="604" t="n">
        <x:v>-0.5</x:v>
      </x:c>
      <x:c r="AR780" s="604" t="n">
        <x:v>1.07</x:v>
      </x:c>
      <x:c r="AS780" s="604" t="n">
        <x:v>0.5</x:v>
      </x:c>
      <x:c r="AT780" s="604" t="n">
        <x:v>-0.5</x:v>
      </x:c>
      <x:c r="AU780" s="604" t="n">
        <x:v>1.07</x:v>
      </x:c>
      <x:c r="AV780" s="604" t="n">
        <x:v>0.8100000000000001</x:v>
      </x:c>
      <x:c r="AW780" s="604" t="n">
        <x:v>46298.06050486111</x:v>
      </x:c>
      <x:c r="AX780" s="604" t="inlineStr">
        <x:is>
          <x:t xml:space="preserve">https://simondongxiao.github.io/odds/v4/</x:t>
        </x:is>
      </x:c>
      <x:c r="AY780" s="604" t="inlineStr">
        <x:is>
          <x:t xml:space="preserve">V4 Shadow Only；real_money=false；P(EV&gt;0)不是比赛胜率</x:t>
        </x:is>
      </x:c>
    </x:row>
    <x:row r="781" ht="22" customHeight="1">
      <x:c r="A781" s="604" t="inlineStr">
        <x:is>
          <x:t xml:space="preserve">2026-10-03</x:t>
        </x:is>
      </x:c>
      <x:c r="B781" s="604" t="inlineStr">
        <x:is>
          <x:t xml:space="preserve">2026-10-04 00:30</x:t>
        </x:is>
      </x:c>
      <x:c r="C781" s="604" t="str">
        <x:v>欧洲非五大系列</x:v>
      </x:c>
      <x:c r="D781" s="604" t="inlineStr">
        <x:is>
          <x:t xml:space="preserve">联赛</x:t>
        </x:is>
      </x:c>
      <x:c r="E781" s="604" t="inlineStr">
        <x:is>
          <x:t xml:space="preserve">苏甲</x:t>
        </x:is>
      </x:c>
      <x:c r="F781" s="604" t="inlineStr">
        <x:is>
          <x:t xml:space="preserve">哈密尔顿 vs 彼得黑德</x:t>
        </x:is>
      </x:c>
      <x:c r="G781" s="604" t="n">
        <x:v>0.96</x:v>
      </x:c>
      <x:c r="H781" s="604" t="n">
        <x:v>1.5</x:v>
      </x:c>
      <x:c r="I781" s="604" t="n">
        <x:v>0.74</x:v>
      </x:c>
      <x:c r="J781" s="604" t="inlineStr">
        <x:is>
          <x:t xml:space="preserve">0.96/1.5/0.74</x:t>
        </x:is>
      </x:c>
      <x:c r="K781" s="604" t="inlineStr">
        <x:is>
          <x:t xml:space="preserve">V4-B｜EV +0.1492</x:t>
        </x:is>
      </x:c>
      <x:c r="L781" s="604" t="inlineStr">
        <x:is>
          <x:t xml:space="preserve">哈密尔顿</x:t>
        </x:is>
      </x:c>
      <x:c r="M781" s="604" t="n">
        <x:v>0.5863393456251051</x:v>
      </x:c>
      <x:c r="N781" s="604" t="inlineStr">
        <x:is>
          <x:t xml:space="preserve">V4纸面入选-B</x:t>
        </x:is>
      </x:c>
      <x:c r="O781" s="604" t="inlineStr">
        <x:is>
          <x:t xml:space="preserve">2-1</x:t>
        </x:is>
      </x:c>
      <x:c r="P781" s="604" t="inlineStr">
        <x:is>
          <x:t xml:space="preserve">已结算</x:t>
        </x:is>
      </x:c>
      <x:c r="Q781" s="646" t="inlineStr">
        <x:is>
          <x:t xml:space="preserve">黑</x:t>
        </x:is>
      </x:c>
      <x:c r="R781" s="604" t="n">
        <x:v>0.96</x:v>
      </x:c>
      <x:c r="S781" s="604" t="n">
        <x:f>IF(OR(Q781="",Q781="待结算"),"",IF(Q781="红",R781,IF(Q781="半红",R781*0.5,IF(Q781="走",0,IF(Q781="半黑",-0.5,-1)))))</x:f>
        <x:v>-1</x:v>
      </x:c>
      <x:c r="T781" s="604" t="inlineStr">
        <x:is>
          <x:t xml:space="preserve">https://m.titan007.com/analy/Analysis/3002454.htm</x:t>
        </x:is>
      </x:c>
      <x:c r="U781" s="645" t="str">
        <x:f>IF(Q781="","",IF(Q781="待结算","待结算",IF(Q781="红","黑",IF(Q781="半红","半黑",IF(Q781="走","走",IF(Q781="半黑","半红","红"))))))</x:f>
        <x:v>红</x:v>
      </x:c>
      <x:c r="V781" s="604" t="n">
        <x:f>IF(OR(Q781="",Q781="待结算"),"",IF(L781=LEFT(F781,FIND(" vs ",F781)-1),I781,G781))</x:f>
        <x:v>0.74</x:v>
      </x:c>
      <x:c r="W781" s="604" t="n">
        <x:f>IF(OR(U781="",U781="待结算"),"",IF(U781="红",V781,IF(U781="半红",V781*0.5,IF(U781="走",0,IF(U781="半黑",-0.5,-1)))))</x:f>
        <x:v>0.74</x:v>
      </x:c>
      <x:c r="X781" s="604" t="inlineStr">
        <x:is>
          <x:t xml:space="preserve">3002454</x:t>
        </x:is>
      </x:c>
      <x:c r="Y781" s="604" t="inlineStr">
        <x:is>
          <x:t xml:space="preserve">V4</x:t>
        </x:is>
      </x:c>
      <x:c r="Z781" s="604" t="inlineStr">
        <x:is>
          <x:t xml:space="preserve">prior-2026-10-03-v1</x:t>
        </x:is>
      </x:c>
      <x:c r="AA781" s="604" t="inlineStr">
        <x:is>
          <x:t xml:space="preserve">B</x:t>
        </x:is>
      </x:c>
      <x:c r="AB781" s="604" t="n">
        <x:v>0.5863393456251051</x:v>
      </x:c>
      <x:c r="AC781" s="604" t="n"/>
      <x:c r="AD781" s="604" t="n"/>
      <x:c r="AE781" s="604" t="n"/>
      <x:c r="AF781" s="604" t="n">
        <x:v>0.4136606543748948</x:v>
      </x:c>
      <x:c r="AG781" s="604" t="n">
        <x:v>0.1492251174252061</x:v>
      </x:c>
      <x:c r="AH781" s="604" t="n"/>
      <x:c r="AI781" s="604" t="n"/>
      <x:c r="AJ781" s="604" t="n">
        <x:v>0.1492251174252061</x:v>
      </x:c>
      <x:c r="AK781" s="604" t="n"/>
      <x:c r="AL781" s="604" t="n"/>
      <x:c r="AM781" s="604" t="n"/>
      <x:c r="AN781" s="604" t="inlineStr">
        <x:is>
          <x:t xml:space="preserve">EVALUATED</x:t>
        </x:is>
      </x:c>
      <x:c r="AO781" s="604" t="inlineStr">
        <x:is>
          <x:t xml:space="preserve">GIVING_VALIDATED_EDGE、BUCKET_PRIOR_ONLY、INTENT_INTERPRETATION_ONLY、EXPERT_MARKET</x:t>
        </x:is>
      </x:c>
      <x:c r="AP781" s="604" t="inlineStr">
        <x:is>
          <x:t xml:space="preserve">068d4e3722af5f2daefc</x:t>
        </x:is>
      </x:c>
      <x:c r="AQ781" s="604" t="n">
        <x:v>-1.5</x:v>
      </x:c>
      <x:c r="AR781" s="604" t="n">
        <x:v>0.96</x:v>
      </x:c>
      <x:c r="AS781" s="604" t="n">
        <x:v>1.5</x:v>
      </x:c>
      <x:c r="AT781" s="604" t="n">
        <x:v>-1.5</x:v>
      </x:c>
      <x:c r="AU781" s="604" t="n">
        <x:v>0.96</x:v>
      </x:c>
      <x:c r="AV781" s="604" t="n">
        <x:v>0.74</x:v>
      </x:c>
      <x:c r="AW781" s="604" t="n">
        <x:v>46298.06050486111</x:v>
      </x:c>
      <x:c r="AX781" s="604" t="inlineStr">
        <x:is>
          <x:t xml:space="preserve">https://simondongxiao.github.io/odds/v4/</x:t>
        </x:is>
      </x:c>
      <x:c r="AY781" s="604" t="inlineStr">
        <x:is>
          <x:t xml:space="preserve">V4 Shadow Only；real_money=false；P(EV&gt;0)不是比赛胜率</x:t>
        </x:is>
      </x:c>
    </x:row>
    <x:row r="782" ht="22" customHeight="1">
      <x:c r="A782" s="604" t="inlineStr">
        <x:is>
          <x:t xml:space="preserve">2026-10-03</x:t>
        </x:is>
      </x:c>
      <x:c r="B782" s="604" t="inlineStr">
        <x:is>
          <x:t xml:space="preserve">2026-10-04 00:30</x:t>
        </x:is>
      </x:c>
      <x:c r="C782" s="604" t="str">
        <x:v>五大联赛非顶级联赛</x:v>
      </x:c>
      <x:c r="D782" s="604" t="inlineStr">
        <x:is>
          <x:t xml:space="preserve">联赛</x:t>
        </x:is>
      </x:c>
      <x:c r="E782" s="604" t="inlineStr">
        <x:is>
          <x:t xml:space="preserve">法女甲</x:t>
        </x:is>
      </x:c>
      <x:c r="F782" s="604" t="inlineStr">
        <x:is>
          <x:t xml:space="preserve">南特女足 vs 蒙彼利埃女足</x:t>
        </x:is>
      </x:c>
      <x:c r="G782" s="604" t="n">
        <x:v>0.9</x:v>
      </x:c>
      <x:c r="H782" s="604" t="n">
        <x:v>0</x:v>
      </x:c>
      <x:c r="I782" s="604" t="n">
        <x:v>0.8</x:v>
      </x:c>
      <x:c r="J782" s="604" t="inlineStr">
        <x:is>
          <x:t xml:space="preserve">0.9/0/0.8</x:t>
        </x:is>
      </x:c>
      <x:c r="K782" s="604" t="inlineStr">
        <x:is>
          <x:t xml:space="preserve">V4-C｜EV +0.0215</x:t>
        </x:is>
      </x:c>
      <x:c r="L782" s="604" t="str"/>
      <x:c r="M782" s="604" t="n">
        <x:v>0.5392739711969986</x:v>
      </x:c>
      <x:c r="N782" s="604" t="inlineStr">
        <x:is>
          <x:t xml:space="preserve">V4纸面入选-C</x:t>
        </x:is>
      </x:c>
      <x:c r="O782" s="604" t="inlineStr">
        <x:is>
          <x:t xml:space="preserve">1-1</x:t>
        </x:is>
      </x:c>
      <x:c r="P782" s="604" t="inlineStr">
        <x:is>
          <x:t xml:space="preserve">已结算</x:t>
        </x:is>
      </x:c>
      <x:c r="Q782" s="647" t="inlineStr">
        <x:is>
          <x:t xml:space="preserve">走</x:t>
        </x:is>
      </x:c>
      <x:c r="R782" s="604" t="n">
        <x:v>0.8</x:v>
      </x:c>
      <x:c r="S782" s="604" t="n">
        <x:f>IF(OR(Q782="",Q782="待结算"),"",IF(Q782="红",R782,IF(Q782="半红",R782*0.5,IF(Q782="走",0,IF(Q782="半黑",-0.5,-1)))))</x:f>
        <x:v>0</x:v>
      </x:c>
      <x:c r="T782" s="604" t="inlineStr">
        <x:is>
          <x:t xml:space="preserve">https://m.titan007.com/analy/Analysis/3088638.htm</x:t>
        </x:is>
      </x:c>
      <x:c r="U782" s="647" t="str">
        <x:f>IF(Q782="","",IF(Q782="待结算","待结算",IF(Q782="红","黑",IF(Q782="半红","半黑",IF(Q782="走","走",IF(Q782="半黑","半红","红"))))))</x:f>
        <x:v>走</x:v>
      </x:c>
      <x:c r="V782" s="604" t="n">
        <x:f>IF(OR(Q782="",Q782="待结算"),"",IF(L782=LEFT(F782,FIND(" vs ",F782)-1),I782,G782))</x:f>
        <x:v>0.9</x:v>
      </x:c>
      <x:c r="W782" s="604" t="n">
        <x:f>IF(OR(U782="",U782="待结算"),"",IF(U782="红",V782,IF(U782="半红",V782*0.5,IF(U782="走",0,IF(U782="半黑",-0.5,-1)))))</x:f>
        <x:v>0</x:v>
      </x:c>
      <x:c r="X782" s="604" t="inlineStr">
        <x:is>
          <x:t xml:space="preserve">3088638</x:t>
        </x:is>
      </x:c>
      <x:c r="Y782" s="604" t="inlineStr">
        <x:is>
          <x:t xml:space="preserve">V4</x:t>
        </x:is>
      </x:c>
      <x:c r="Z782" s="604" t="inlineStr">
        <x:is>
          <x:t xml:space="preserve">prior-2026-10-03-v1</x:t>
        </x:is>
      </x:c>
      <x:c r="AA782" s="604" t="inlineStr">
        <x:is>
          <x:t xml:space="preserve">C</x:t>
        </x:is>
      </x:c>
      <x:c r="AB782" s="604" t="n">
        <x:v>0.4700277156321382</x:v>
      </x:c>
      <x:c r="AC782" s="604" t="n"/>
      <x:c r="AD782" s="604" t="n"/>
      <x:c r="AE782" s="604" t="n">
        <x:v>0.2568128975747082</x:v>
      </x:c>
      <x:c r="AF782" s="604" t="n">
        <x:v>0.2731593867931537</x:v>
      </x:c>
      <x:c r="AG782" s="604" t="n">
        <x:v>0.02145910848841664</x:v>
      </x:c>
      <x:c r="AH782" s="604" t="n"/>
      <x:c r="AI782" s="604" t="n"/>
      <x:c r="AJ782" s="604" t="n">
        <x:v>0.02145910848841664</x:v>
      </x:c>
      <x:c r="AK782" s="604" t="n"/>
      <x:c r="AL782" s="604" t="n"/>
      <x:c r="AM782" s="604" t="n"/>
      <x:c r="AN782" s="604" t="inlineStr">
        <x:is>
          <x:t xml:space="preserve">EVALUATED</x:t>
        </x:is>
      </x:c>
      <x:c r="AO782" s="604" t="inlineStr">
        <x:is>
          <x:t xml:space="preserve">EDGE_BELOW_UNCERTAINTY_THRESHOLD、BUCKET_PRIOR_ONLY、INTENT_INTERPRETATION_ONLY、EXPERT_MARKET</x:t>
        </x:is>
      </x:c>
      <x:c r="AP782" s="604" t="inlineStr">
        <x:is>
          <x:t xml:space="preserve">35d687f862e68cd6d720</x:t>
        </x:is>
      </x:c>
      <x:c r="AQ782" s="604" t="n">
        <x:v>0</x:v>
      </x:c>
      <x:c r="AR782" s="604" t="n"/>
      <x:c r="AS782" s="604" t="n">
        <x:v>0</x:v>
      </x:c>
      <x:c r="AT782" s="604" t="n">
        <x:v>0</x:v>
      </x:c>
      <x:c r="AU782" s="604" t="n">
        <x:v>0.9</x:v>
      </x:c>
      <x:c r="AV782" s="604" t="n">
        <x:v>0.8</x:v>
      </x:c>
      <x:c r="AW782" s="604" t="n">
        <x:v>46298.06050486111</x:v>
      </x:c>
      <x:c r="AX782" s="604" t="inlineStr">
        <x:is>
          <x:t xml:space="preserve">https://simondongxiao.github.io/odds/v4/</x:t>
        </x:is>
      </x:c>
      <x:c r="AY782" s="604" t="inlineStr">
        <x:is>
          <x:t xml:space="preserve">V4 Shadow Only；real_money=false；P(EV&gt;0)不是比赛胜率</x:t>
        </x:is>
      </x:c>
    </x:row>
    <x:row r="783" ht="22" customHeight="1">
      <x:c r="A783" s="604" t="inlineStr">
        <x:is>
          <x:t xml:space="preserve">2026-10-03</x:t>
        </x:is>
      </x:c>
      <x:c r="B783" s="604" t="inlineStr">
        <x:is>
          <x:t xml:space="preserve">2026-10-04 00:45</x:t>
        </x:is>
      </x:c>
      <x:c r="C783" s="604" t="str">
        <x:v>五大联赛非顶级联赛</x:v>
      </x:c>
      <x:c r="D783" s="604" t="inlineStr">
        <x:is>
          <x:t xml:space="preserve">联赛</x:t>
        </x:is>
      </x:c>
      <x:c r="E783" s="604" t="inlineStr">
        <x:is>
          <x:t xml:space="preserve">西协甲</x:t>
        </x:is>
      </x:c>
      <x:c r="F783" s="604" t="inlineStr">
        <x:is>
          <x:t xml:space="preserve">艾科坎 vs 托雷莫利诺斯青年</x:t>
        </x:is>
      </x:c>
      <x:c r="G783" s="604" t="n">
        <x:v>0.7</x:v>
      </x:c>
      <x:c r="H783" s="604" t="n">
        <x:v>1.25</x:v>
      </x:c>
      <x:c r="I783" s="604" t="n">
        <x:v>1</x:v>
      </x:c>
      <x:c r="J783" s="604" t="inlineStr">
        <x:is>
          <x:t xml:space="preserve">0.7/1.25/1</x:t>
        </x:is>
      </x:c>
      <x:c r="K783" s="604" t="inlineStr">
        <x:is>
          <x:t xml:space="preserve">V4-B｜EV +0.0703</x:t>
        </x:is>
      </x:c>
      <x:c r="L783" s="604" t="inlineStr">
        <x:is>
          <x:t xml:space="preserve">艾科坎</x:t>
        </x:is>
      </x:c>
      <x:c r="M783" s="604" t="n">
        <x:v>0.6352824643305266</x:v>
      </x:c>
      <x:c r="N783" s="604" t="inlineStr">
        <x:is>
          <x:t xml:space="preserve">V4纸面入选-B</x:t>
        </x:is>
      </x:c>
      <x:c r="O783" s="604" t="inlineStr">
        <x:is>
          <x:t xml:space="preserve">5-0</x:t>
        </x:is>
      </x:c>
      <x:c r="P783" s="604" t="inlineStr">
        <x:is>
          <x:t xml:space="preserve">已结算</x:t>
        </x:is>
      </x:c>
      <x:c r="Q783" s="645" t="inlineStr">
        <x:is>
          <x:t xml:space="preserve">红</x:t>
        </x:is>
      </x:c>
      <x:c r="R783" s="604" t="n">
        <x:v>0.7</x:v>
      </x:c>
      <x:c r="S783" s="604" t="n">
        <x:f>IF(OR(Q783="",Q783="待结算"),"",IF(Q783="红",R783,IF(Q783="半红",R783*0.5,IF(Q783="走",0,IF(Q783="半黑",-0.5,-1)))))</x:f>
        <x:v>0.7</x:v>
      </x:c>
      <x:c r="T783" s="604" t="inlineStr">
        <x:is>
          <x:t xml:space="preserve">https://m.titan007.com/analy/Analysis/3014914.htm</x:t>
        </x:is>
      </x:c>
      <x:c r="U783" s="646" t="str">
        <x:f>IF(Q783="","",IF(Q783="待结算","待结算",IF(Q783="红","黑",IF(Q783="半红","半黑",IF(Q783="走","走",IF(Q783="半黑","半红","红"))))))</x:f>
        <x:v>黑</x:v>
      </x:c>
      <x:c r="V783" s="604" t="n">
        <x:f>IF(OR(Q783="",Q783="待结算"),"",IF(L783=LEFT(F783,FIND(" vs ",F783)-1),I783,G783))</x:f>
        <x:v>1</x:v>
      </x:c>
      <x:c r="W783" s="604" t="n">
        <x:f>IF(OR(U783="",U783="待结算"),"",IF(U783="红",V783,IF(U783="半红",V783*0.5,IF(U783="走",0,IF(U783="半黑",-0.5,-1)))))</x:f>
        <x:v>-1</x:v>
      </x:c>
      <x:c r="X783" s="604" t="inlineStr">
        <x:is>
          <x:t xml:space="preserve">3014914</x:t>
        </x:is>
      </x:c>
      <x:c r="Y783" s="604" t="inlineStr">
        <x:is>
          <x:t xml:space="preserve">V4</x:t>
        </x:is>
      </x:c>
      <x:c r="Z783" s="604" t="inlineStr">
        <x:is>
          <x:t xml:space="preserve">prior-2026-10-03-v1</x:t>
        </x:is>
      </x:c>
      <x:c r="AA783" s="604" t="inlineStr">
        <x:is>
          <x:t xml:space="preserve">B</x:t>
        </x:is>
      </x:c>
      <x:c r="AB783" s="604" t="n">
        <x:v>0.5586853772974534</x:v>
      </x:c>
      <x:c r="AC783" s="604" t="n"/>
      <x:c r="AD783" s="604" t="n"/>
      <x:c r="AE783" s="604" t="n">
        <x:v>0.2411434010343502</x:v>
      </x:c>
      <x:c r="AF783" s="604" t="n">
        <x:v>0.2001712216681963</x:v>
      </x:c>
      <x:c r="AG783" s="604" t="n">
        <x:v>0.07033684192284584</x:v>
      </x:c>
      <x:c r="AH783" s="604" t="n"/>
      <x:c r="AI783" s="604" t="n"/>
      <x:c r="AJ783" s="604" t="n">
        <x:v>0.07033684192284584</x:v>
      </x:c>
      <x:c r="AK783" s="604" t="n"/>
      <x:c r="AL783" s="604" t="n"/>
      <x:c r="AM783" s="604" t="n"/>
      <x:c r="AN783" s="604" t="inlineStr">
        <x:is>
          <x:t xml:space="preserve">EVALUATED</x:t>
        </x:is>
      </x:c>
      <x:c r="AO783" s="604" t="inlineStr">
        <x:is>
          <x:t xml:space="preserve">GIVING_VALIDATED_EDGE、BUCKET_PRIOR_ONLY、INTENT_INTERPRETATION_ONLY、EXPERT_MARKET</x:t>
        </x:is>
      </x:c>
      <x:c r="AP783" s="604" t="inlineStr">
        <x:is>
          <x:t xml:space="preserve">9ab812628ddbb2ef7a65</x:t>
        </x:is>
      </x:c>
      <x:c r="AQ783" s="604" t="n">
        <x:v>-1.25</x:v>
      </x:c>
      <x:c r="AR783" s="604" t="n">
        <x:v>0.7</x:v>
      </x:c>
      <x:c r="AS783" s="604" t="n">
        <x:v>1.25</x:v>
      </x:c>
      <x:c r="AT783" s="604" t="n">
        <x:v>-1.25</x:v>
      </x:c>
      <x:c r="AU783" s="604" t="n">
        <x:v>0.7</x:v>
      </x:c>
      <x:c r="AV783" s="604" t="n">
        <x:v>1</x:v>
      </x:c>
      <x:c r="AW783" s="604" t="n">
        <x:v>46298.06050486111</x:v>
      </x:c>
      <x:c r="AX783" s="604" t="inlineStr">
        <x:is>
          <x:t xml:space="preserve">https://simondongxiao.github.io/odds/v4/</x:t>
        </x:is>
      </x:c>
      <x:c r="AY783" s="604" t="inlineStr">
        <x:is>
          <x:t xml:space="preserve">V4 Shadow Only；real_money=false；P(EV&gt;0)不是比赛胜率</x:t>
        </x:is>
      </x:c>
    </x:row>
    <x:row r="784" ht="22" customHeight="1">
      <x:c r="A784" s="604" t="inlineStr">
        <x:is>
          <x:t xml:space="preserve">2026-10-03</x:t>
        </x:is>
      </x:c>
      <x:c r="B784" s="604" t="inlineStr">
        <x:is>
          <x:t xml:space="preserve">2026-10-04 00:45</x:t>
        </x:is>
      </x:c>
      <x:c r="C784" s="604" t="str">
        <x:v>五大联赛非顶级联赛</x:v>
      </x:c>
      <x:c r="D784" s="604" t="inlineStr">
        <x:is>
          <x:t xml:space="preserve">联赛</x:t>
        </x:is>
      </x:c>
      <x:c r="E784" s="604" t="inlineStr">
        <x:is>
          <x:t xml:space="preserve">西协甲</x:t>
        </x:is>
      </x:c>
      <x:c r="F784" s="604" t="inlineStr">
        <x:is>
          <x:t xml:space="preserve">卡塔赫纳 vs 亚古拉斯</x:t>
        </x:is>
      </x:c>
      <x:c r="G784" s="604" t="n">
        <x:v>0.92</x:v>
      </x:c>
      <x:c r="H784" s="604" t="n">
        <x:v>0.5</x:v>
      </x:c>
      <x:c r="I784" s="604" t="n">
        <x:v>0.78</x:v>
      </x:c>
      <x:c r="J784" s="604" t="inlineStr">
        <x:is>
          <x:t xml:space="preserve">0.92/0.5/0.78</x:t>
        </x:is>
      </x:c>
      <x:c r="K784" s="604" t="inlineStr">
        <x:is>
          <x:t xml:space="preserve">V4-C｜EV +0.0661</x:t>
        </x:is>
      </x:c>
      <x:c r="L784" s="604" t="inlineStr">
        <x:is>
          <x:t xml:space="preserve">卡塔赫纳</x:t>
        </x:is>
      </x:c>
      <x:c r="M784" s="604" t="n">
        <x:v>0.5552793843774941</x:v>
      </x:c>
      <x:c r="N784" s="604" t="inlineStr">
        <x:is>
          <x:t xml:space="preserve">V4纸面入选-C</x:t>
        </x:is>
      </x:c>
      <x:c r="O784" s="604" t="inlineStr">
        <x:is>
          <x:t xml:space="preserve">4-1</x:t>
        </x:is>
      </x:c>
      <x:c r="P784" s="604" t="inlineStr">
        <x:is>
          <x:t xml:space="preserve">已结算</x:t>
        </x:is>
      </x:c>
      <x:c r="Q784" s="645" t="inlineStr">
        <x:is>
          <x:t xml:space="preserve">红</x:t>
        </x:is>
      </x:c>
      <x:c r="R784" s="604" t="n">
        <x:v>0.92</x:v>
      </x:c>
      <x:c r="S784" s="604" t="n">
        <x:f>IF(OR(Q784="",Q784="待结算"),"",IF(Q784="红",R784,IF(Q784="半红",R784*0.5,IF(Q784="走",0,IF(Q784="半黑",-0.5,-1)))))</x:f>
        <x:v>0.92</x:v>
      </x:c>
      <x:c r="T784" s="604" t="inlineStr">
        <x:is>
          <x:t xml:space="preserve">https://m.titan007.com/analy/Analysis/3014916.htm</x:t>
        </x:is>
      </x:c>
      <x:c r="U784" s="646" t="str">
        <x:f>IF(Q784="","",IF(Q784="待结算","待结算",IF(Q784="红","黑",IF(Q784="半红","半黑",IF(Q784="走","走",IF(Q784="半黑","半红","红"))))))</x:f>
        <x:v>黑</x:v>
      </x:c>
      <x:c r="V784" s="604" t="n">
        <x:f>IF(OR(Q784="",Q784="待结算"),"",IF(L784=LEFT(F784,FIND(" vs ",F784)-1),I784,G784))</x:f>
        <x:v>0.78</x:v>
      </x:c>
      <x:c r="W784" s="604" t="n">
        <x:f>IF(OR(U784="",U784="待结算"),"",IF(U784="红",V784,IF(U784="半红",V784*0.5,IF(U784="走",0,IF(U784="半黑",-0.5,-1)))))</x:f>
        <x:v>-1</x:v>
      </x:c>
      <x:c r="X784" s="604" t="inlineStr">
        <x:is>
          <x:t xml:space="preserve">3014916</x:t>
        </x:is>
      </x:c>
      <x:c r="Y784" s="604" t="inlineStr">
        <x:is>
          <x:t xml:space="preserve">V4</x:t>
        </x:is>
      </x:c>
      <x:c r="Z784" s="604" t="inlineStr">
        <x:is>
          <x:t xml:space="preserve">prior-2026-10-03-v1</x:t>
        </x:is>
      </x:c>
      <x:c r="AA784" s="604" t="inlineStr">
        <x:is>
          <x:t xml:space="preserve">C</x:t>
        </x:is>
      </x:c>
      <x:c r="AB784" s="604" t="n">
        <x:v>0.5552793843774941</x:v>
      </x:c>
      <x:c r="AC784" s="604" t="n"/>
      <x:c r="AD784" s="604" t="n"/>
      <x:c r="AE784" s="604" t="n"/>
      <x:c r="AF784" s="604" t="n">
        <x:v>0.4447206156225058</x:v>
      </x:c>
      <x:c r="AG784" s="604" t="n">
        <x:v>0.06613641800478881</x:v>
      </x:c>
      <x:c r="AH784" s="604" t="n"/>
      <x:c r="AI784" s="604" t="n"/>
      <x:c r="AJ784" s="604" t="n">
        <x:v>0.06613641800478881</x:v>
      </x:c>
      <x:c r="AK784" s="604" t="n"/>
      <x:c r="AL784" s="604" t="n"/>
      <x:c r="AM784" s="604" t="n"/>
      <x:c r="AN784" s="604" t="inlineStr">
        <x:is>
          <x:t xml:space="preserve">EVALUATED</x:t>
        </x:is>
      </x:c>
      <x:c r="AO784" s="604" t="inlineStr">
        <x:is>
          <x:t xml:space="preserve">GIVING_VALIDATED_EDGE、BUCKET_PRIOR_ONLY、INTENT_INTERPRETATION_ONLY、EXPERT_MARKET</x:t>
        </x:is>
      </x:c>
      <x:c r="AP784" s="604" t="inlineStr">
        <x:is>
          <x:t xml:space="preserve">74b0b93834ebb898f6ad</x:t>
        </x:is>
      </x:c>
      <x:c r="AQ784" s="604" t="n">
        <x:v>-0.5</x:v>
      </x:c>
      <x:c r="AR784" s="604" t="n">
        <x:v>0.92</x:v>
      </x:c>
      <x:c r="AS784" s="604" t="n">
        <x:v>0.5</x:v>
      </x:c>
      <x:c r="AT784" s="604" t="n">
        <x:v>-0.5</x:v>
      </x:c>
      <x:c r="AU784" s="604" t="n">
        <x:v>0.92</x:v>
      </x:c>
      <x:c r="AV784" s="604" t="n">
        <x:v>0.78</x:v>
      </x:c>
      <x:c r="AW784" s="604" t="n">
        <x:v>46298.06050486111</x:v>
      </x:c>
      <x:c r="AX784" s="604" t="inlineStr">
        <x:is>
          <x:t xml:space="preserve">https://simondongxiao.github.io/odds/v4/</x:t>
        </x:is>
      </x:c>
      <x:c r="AY784" s="604" t="inlineStr">
        <x:is>
          <x:t xml:space="preserve">V4 Shadow Only；real_money=false；P(EV&gt;0)不是比赛胜率</x:t>
        </x:is>
      </x:c>
    </x:row>
    <x:row r="785" ht="22" customHeight="1">
      <x:c r="A785" s="604" t="inlineStr">
        <x:is>
          <x:t xml:space="preserve">2026-10-03</x:t>
        </x:is>
      </x:c>
      <x:c r="B785" s="604" t="inlineStr">
        <x:is>
          <x:t xml:space="preserve">2026-10-04 01:45</x:t>
        </x:is>
      </x:c>
      <x:c r="C785" s="604" t="str">
        <x:v>南美系列</x:v>
      </x:c>
      <x:c r="D785" s="604" t="inlineStr">
        <x:is>
          <x:t xml:space="preserve">联赛</x:t>
        </x:is>
      </x:c>
      <x:c r="E785" s="604" t="inlineStr">
        <x:is>
          <x:t xml:space="preserve">阿甲</x:t>
        </x:is>
      </x:c>
      <x:c r="F785" s="604" t="inlineStr">
        <x:is>
          <x:t xml:space="preserve">防卫者 vs 圣洛伦索</x:t>
        </x:is>
      </x:c>
      <x:c r="G785" s="604" t="n">
        <x:v>0.82</x:v>
      </x:c>
      <x:c r="H785" s="604" t="n">
        <x:v>0</x:v>
      </x:c>
      <x:c r="I785" s="604" t="n">
        <x:v>1.06</x:v>
      </x:c>
      <x:c r="J785" s="604" t="inlineStr">
        <x:is>
          <x:t xml:space="preserve">0.82/0/1.06</x:t>
        </x:is>
      </x:c>
      <x:c r="K785" s="604" t="inlineStr">
        <x:is>
          <x:t xml:space="preserve">V4-C｜EV +0.0399</x:t>
        </x:is>
      </x:c>
      <x:c r="L785" s="604" t="str"/>
      <x:c r="M785" s="604" t="n">
        <x:v>0.5745547308911952</x:v>
      </x:c>
      <x:c r="N785" s="604" t="inlineStr">
        <x:is>
          <x:t xml:space="preserve">V4纸面入选-C</x:t>
        </x:is>
      </x:c>
      <x:c r="O785" s="604" t="inlineStr">
        <x:is>
          <x:t xml:space="preserve">3-0</x:t>
        </x:is>
      </x:c>
      <x:c r="P785" s="604" t="inlineStr">
        <x:is>
          <x:t xml:space="preserve">已结算</x:t>
        </x:is>
      </x:c>
      <x:c r="Q785" s="645" t="inlineStr">
        <x:is>
          <x:t xml:space="preserve">红</x:t>
        </x:is>
      </x:c>
      <x:c r="R785" s="604" t="n">
        <x:v>1.06</x:v>
      </x:c>
      <x:c r="S785" s="604" t="n">
        <x:f>IF(OR(Q785="",Q785="待结算"),"",IF(Q785="红",R785,IF(Q785="半红",R785*0.5,IF(Q785="走",0,IF(Q785="半黑",-0.5,-1)))))</x:f>
        <x:v>1.06</x:v>
      </x:c>
      <x:c r="T785" s="604" t="inlineStr">
        <x:is>
          <x:t xml:space="preserve">https://m.titan007.com/analy/Analysis/2962657.htm</x:t>
        </x:is>
      </x:c>
      <x:c r="U785" s="646" t="str">
        <x:f>IF(Q785="","",IF(Q785="待结算","待结算",IF(Q785="红","黑",IF(Q785="半红","半黑",IF(Q785="走","走",IF(Q785="半黑","半红","红"))))))</x:f>
        <x:v>黑</x:v>
      </x:c>
      <x:c r="V785" s="604" t="n">
        <x:f>IF(OR(Q785="",Q785="待结算"),"",IF(L785=LEFT(F785,FIND(" vs ",F785)-1),I785,G785))</x:f>
        <x:v>0.82</x:v>
      </x:c>
      <x:c r="W785" s="604" t="n">
        <x:f>IF(OR(U785="",U785="待结算"),"",IF(U785="红",V785,IF(U785="半红",V785*0.5,IF(U785="走",0,IF(U785="半黑",-0.5,-1)))))</x:f>
        <x:v>-1</x:v>
      </x:c>
      <x:c r="X785" s="604" t="inlineStr">
        <x:is>
          <x:t xml:space="preserve">2962657</x:t>
        </x:is>
      </x:c>
      <x:c r="Y785" s="604" t="inlineStr">
        <x:is>
          <x:t xml:space="preserve">V4</x:t>
        </x:is>
      </x:c>
      <x:c r="Z785" s="604" t="inlineStr">
        <x:is>
          <x:t xml:space="preserve">prior-2026-10-03-v1</x:t>
        </x:is>
      </x:c>
      <x:c r="AA785" s="604" t="inlineStr">
        <x:is>
          <x:t xml:space="preserve">C</x:t>
        </x:is>
      </x:c>
      <x:c r="AB785" s="604" t="n">
        <x:v>0.5012977616588136</x:v>
      </x:c>
      <x:c r="AC785" s="604" t="n"/>
      <x:c r="AD785" s="604" t="n"/>
      <x:c r="AE785" s="604" t="n">
        <x:v>0.2550043200192689</x:v>
      </x:c>
      <x:c r="AF785" s="604" t="n">
        <x:v>0.2436979183219175</x:v>
      </x:c>
      <x:c r="AG785" s="604" t="n">
        <x:v>0.03986408622867516</x:v>
      </x:c>
      <x:c r="AH785" s="604" t="n"/>
      <x:c r="AI785" s="604" t="n"/>
      <x:c r="AJ785" s="604" t="n">
        <x:v>0.03986408622867516</x:v>
      </x:c>
      <x:c r="AK785" s="604" t="n"/>
      <x:c r="AL785" s="604" t="n"/>
      <x:c r="AM785" s="604" t="n"/>
      <x:c r="AN785" s="604" t="inlineStr">
        <x:is>
          <x:t xml:space="preserve">EVALUATED</x:t>
        </x:is>
      </x:c>
      <x:c r="AO785" s="604" t="inlineStr">
        <x:is>
          <x:t xml:space="preserve">EDGE_BELOW_UNCERTAINTY_THRESHOLD、BUCKET_PRIOR_ONLY、INTENT_INTERPRETATION_ONLY、EXPERT_MARKET</x:t>
        </x:is>
      </x:c>
      <x:c r="AP785" s="604" t="inlineStr">
        <x:is>
          <x:t xml:space="preserve">f912356dcefc725b8b34</x:t>
        </x:is>
      </x:c>
      <x:c r="AQ785" s="604" t="n">
        <x:v>0</x:v>
      </x:c>
      <x:c r="AR785" s="604" t="n"/>
      <x:c r="AS785" s="604" t="n">
        <x:v>0</x:v>
      </x:c>
      <x:c r="AT785" s="604" t="n">
        <x:v>0</x:v>
      </x:c>
      <x:c r="AU785" s="604" t="n">
        <x:v>0.82</x:v>
      </x:c>
      <x:c r="AV785" s="604" t="n">
        <x:v>1.06</x:v>
      </x:c>
      <x:c r="AW785" s="604" t="n">
        <x:v>46298.06050486111</x:v>
      </x:c>
      <x:c r="AX785" s="604" t="inlineStr">
        <x:is>
          <x:t xml:space="preserve">https://simondongxiao.github.io/odds/v4/</x:t>
        </x:is>
      </x:c>
      <x:c r="AY785" s="604" t="inlineStr">
        <x:is>
          <x:t xml:space="preserve">V4 Shadow Only；real_money=false；P(EV&gt;0)不是比赛胜率</x:t>
        </x:is>
      </x:c>
    </x:row>
    <x:row r="786" ht="22" customHeight="1">
      <x:c r="A786" s="604" t="inlineStr">
        <x:is>
          <x:t xml:space="preserve">2026-10-03</x:t>
        </x:is>
      </x:c>
      <x:c r="B786" s="604" t="inlineStr">
        <x:is>
          <x:t xml:space="preserve">2026-10-04 02:00</x:t>
        </x:is>
      </x:c>
      <x:c r="C786" s="604" t="str">
        <x:v>欧洲非五大系列</x:v>
      </x:c>
      <x:c r="D786" s="604" t="inlineStr">
        <x:is>
          <x:t xml:space="preserve">联赛</x:t>
        </x:is>
      </x:c>
      <x:c r="E786" s="604" t="inlineStr">
        <x:is>
          <x:t xml:space="preserve">荷乙</x:t>
        </x:is>
      </x:c>
      <x:c r="F786" s="604" t="inlineStr">
        <x:is>
          <x:t xml:space="preserve">邓伯什 vs 多德勒支</x:t>
        </x:is>
      </x:c>
      <x:c r="G786" s="604" t="n">
        <x:v>0.88</x:v>
      </x:c>
      <x:c r="H786" s="604" t="n">
        <x:v>0</x:v>
      </x:c>
      <x:c r="I786" s="604" t="n">
        <x:v>0.9399999999999999</x:v>
      </x:c>
      <x:c r="J786" s="604" t="inlineStr">
        <x:is>
          <x:t xml:space="preserve">0.88/0/0.94</x:t>
        </x:is>
      </x:c>
      <x:c r="K786" s="604" t="inlineStr">
        <x:is>
          <x:t xml:space="preserve">V4-C｜EV +0.0086</x:t>
        </x:is>
      </x:c>
      <x:c r="L786" s="604" t="str"/>
      <x:c r="M786" s="604" t="n">
        <x:v>0.5364667242619289</x:v>
      </x:c>
      <x:c r="N786" s="604" t="inlineStr">
        <x:is>
          <x:t xml:space="preserve">V4纸面入选-C</x:t>
        </x:is>
      </x:c>
      <x:c r="O786" s="604" t="inlineStr">
        <x:is>
          <x:t xml:space="preserve">1-1</x:t>
        </x:is>
      </x:c>
      <x:c r="P786" s="604" t="inlineStr">
        <x:is>
          <x:t xml:space="preserve">已结算</x:t>
        </x:is>
      </x:c>
      <x:c r="Q786" s="647" t="inlineStr">
        <x:is>
          <x:t xml:space="preserve">走</x:t>
        </x:is>
      </x:c>
      <x:c r="R786" s="604" t="n">
        <x:v>0.9399999999999999</x:v>
      </x:c>
      <x:c r="S786" s="604" t="n">
        <x:f>IF(OR(Q786="",Q786="待结算"),"",IF(Q786="红",R786,IF(Q786="半红",R786*0.5,IF(Q786="走",0,IF(Q786="半黑",-0.5,-1)))))</x:f>
        <x:v>0</x:v>
      </x:c>
      <x:c r="T786" s="604" t="inlineStr">
        <x:is>
          <x:t xml:space="preserve">https://m.titan007.com/analy/Analysis/2996489.htm</x:t>
        </x:is>
      </x:c>
      <x:c r="U786" s="647" t="str">
        <x:f>IF(Q786="","",IF(Q786="待结算","待结算",IF(Q786="红","黑",IF(Q786="半红","半黑",IF(Q786="走","走",IF(Q786="半黑","半红","红"))))))</x:f>
        <x:v>走</x:v>
      </x:c>
      <x:c r="V786" s="604" t="n">
        <x:f>IF(OR(Q786="",Q786="待结算"),"",IF(L786=LEFT(F786,FIND(" vs ",F786)-1),I786,G786))</x:f>
        <x:v>0.88</x:v>
      </x:c>
      <x:c r="W786" s="604" t="n">
        <x:f>IF(OR(U786="",U786="待结算"),"",IF(U786="红",V786,IF(U786="半红",V786*0.5,IF(U786="走",0,IF(U786="半黑",-0.5,-1)))))</x:f>
        <x:v>0</x:v>
      </x:c>
      <x:c r="X786" s="604" t="inlineStr">
        <x:is>
          <x:t xml:space="preserve">2996489</x:t>
        </x:is>
      </x:c>
      <x:c r="Y786" s="604" t="inlineStr">
        <x:is>
          <x:t xml:space="preserve">V4</x:t>
        </x:is>
      </x:c>
      <x:c r="Z786" s="604" t="inlineStr">
        <x:is>
          <x:t xml:space="preserve">prior-2026-10-03-v1</x:t>
        </x:is>
      </x:c>
      <x:c r="AA786" s="604" t="inlineStr">
        <x:is>
          <x:t xml:space="preserve">C</x:t>
        </x:is>
      </x:c>
      <x:c r="AB786" s="604" t="n">
        <x:v>0.5364667242619289</x:v>
      </x:c>
      <x:c r="AC786" s="604" t="n"/>
      <x:c r="AD786" s="604" t="n"/>
      <x:c r="AE786" s="604" t="n"/>
      <x:c r="AF786" s="604" t="n">
        <x:v>0.4635332757380712</x:v>
      </x:c>
      <x:c r="AG786" s="604" t="n">
        <x:v>0.00855744161242622</x:v>
      </x:c>
      <x:c r="AH786" s="604" t="n"/>
      <x:c r="AI786" s="604" t="n"/>
      <x:c r="AJ786" s="604" t="n">
        <x:v>0.00855744161242622</x:v>
      </x:c>
      <x:c r="AK786" s="604" t="n"/>
      <x:c r="AL786" s="604" t="n"/>
      <x:c r="AM786" s="604" t="n"/>
      <x:c r="AN786" s="604" t="inlineStr">
        <x:is>
          <x:t xml:space="preserve">EVALUATED</x:t>
        </x:is>
      </x:c>
      <x:c r="AO786" s="604" t="inlineStr">
        <x:is>
          <x:t xml:space="preserve">EDGE_BELOW_UNCERTAINTY_THRESHOLD、BUCKET_PRIOR_ONLY、INTENT_INTERPRETATION_ONLY、EXPERT_MARKET</x:t>
        </x:is>
      </x:c>
      <x:c r="AP786" s="604" t="inlineStr">
        <x:is>
          <x:t xml:space="preserve">589b0744323c7effbd84</x:t>
        </x:is>
      </x:c>
      <x:c r="AQ786" s="604" t="n">
        <x:v>0</x:v>
      </x:c>
      <x:c r="AR786" s="604" t="n"/>
      <x:c r="AS786" s="604" t="n">
        <x:v>0</x:v>
      </x:c>
      <x:c r="AT786" s="604" t="n">
        <x:v>0</x:v>
      </x:c>
      <x:c r="AU786" s="604" t="n">
        <x:v>0.88</x:v>
      </x:c>
      <x:c r="AV786" s="604" t="n">
        <x:v>0.9399999999999999</x:v>
      </x:c>
      <x:c r="AW786" s="604" t="n">
        <x:v>46298.06050486111</x:v>
      </x:c>
      <x:c r="AX786" s="604" t="inlineStr">
        <x:is>
          <x:t xml:space="preserve">https://simondongxiao.github.io/odds/v4/</x:t>
        </x:is>
      </x:c>
      <x:c r="AY786" s="604" t="inlineStr">
        <x:is>
          <x:t xml:space="preserve">V4 Shadow Only；real_money=false；P(EV&gt;0)不是比赛胜率</x:t>
        </x:is>
      </x:c>
    </x:row>
    <x:row r="787" ht="22" customHeight="1">
      <x:c r="A787" s="604" t="inlineStr">
        <x:is>
          <x:t xml:space="preserve">2026-10-03</x:t>
        </x:is>
      </x:c>
      <x:c r="B787" s="604" t="inlineStr">
        <x:is>
          <x:t xml:space="preserve">2026-10-04 02:00</x:t>
        </x:is>
      </x:c>
      <x:c r="C787" s="604" t="str">
        <x:v>欧洲非五大系列</x:v>
      </x:c>
      <x:c r="D787" s="604" t="inlineStr">
        <x:is>
          <x:t xml:space="preserve">联赛</x:t>
        </x:is>
      </x:c>
      <x:c r="E787" s="604" t="inlineStr">
        <x:is>
          <x:t xml:space="preserve">荷乙</x:t>
        </x:is>
      </x:c>
      <x:c r="F787" s="604" t="inlineStr">
        <x:is>
          <x:t xml:space="preserve">瓦尔韦克 vs 埃门</x:t>
        </x:is>
      </x:c>
      <x:c r="G787" s="604" t="n">
        <x:v>1.02</x:v>
      </x:c>
      <x:c r="H787" s="604" t="n">
        <x:v>0</x:v>
      </x:c>
      <x:c r="I787" s="604" t="n">
        <x:v>0.8</x:v>
      </x:c>
      <x:c r="J787" s="604" t="inlineStr">
        <x:is>
          <x:t xml:space="preserve">1.02/0/0.8</x:t>
        </x:is>
      </x:c>
      <x:c r="K787" s="604" t="inlineStr">
        <x:is>
          <x:t xml:space="preserve">V4-C｜EV +0.0357</x:t>
        </x:is>
      </x:c>
      <x:c r="L787" s="604" t="str"/>
      <x:c r="M787" s="604" t="n">
        <x:v>0.5126994133212465</x:v>
      </x:c>
      <x:c r="N787" s="604" t="inlineStr">
        <x:is>
          <x:t xml:space="preserve">V4纸面入选-C</x:t>
        </x:is>
      </x:c>
      <x:c r="O787" s="604" t="inlineStr">
        <x:is>
          <x:t xml:space="preserve">1-1</x:t>
        </x:is>
      </x:c>
      <x:c r="P787" s="604" t="inlineStr">
        <x:is>
          <x:t xml:space="preserve">已结算</x:t>
        </x:is>
      </x:c>
      <x:c r="Q787" s="647" t="inlineStr">
        <x:is>
          <x:t xml:space="preserve">走</x:t>
        </x:is>
      </x:c>
      <x:c r="R787" s="604" t="n">
        <x:v>0.8</x:v>
      </x:c>
      <x:c r="S787" s="604" t="n">
        <x:f>IF(OR(Q787="",Q787="待结算"),"",IF(Q787="红",R787,IF(Q787="半红",R787*0.5,IF(Q787="走",0,IF(Q787="半黑",-0.5,-1)))))</x:f>
        <x:v>0</x:v>
      </x:c>
      <x:c r="T787" s="604" t="inlineStr">
        <x:is>
          <x:t xml:space="preserve">https://m.titan007.com/analy/Analysis/2996492.htm</x:t>
        </x:is>
      </x:c>
      <x:c r="U787" s="647" t="str">
        <x:f>IF(Q787="","",IF(Q787="待结算","待结算",IF(Q787="红","黑",IF(Q787="半红","半黑",IF(Q787="走","走",IF(Q787="半黑","半红","红"))))))</x:f>
        <x:v>走</x:v>
      </x:c>
      <x:c r="V787" s="604" t="n">
        <x:f>IF(OR(Q787="",Q787="待结算"),"",IF(L787=LEFT(F787,FIND(" vs ",F787)-1),I787,G787))</x:f>
        <x:v>1.02</x:v>
      </x:c>
      <x:c r="W787" s="604" t="n">
        <x:f>IF(OR(U787="",U787="待结算"),"",IF(U787="红",V787,IF(U787="半红",V787*0.5,IF(U787="走",0,IF(U787="半黑",-0.5,-1)))))</x:f>
        <x:v>0</x:v>
      </x:c>
      <x:c r="X787" s="604" t="inlineStr">
        <x:is>
          <x:t xml:space="preserve">2996492</x:t>
        </x:is>
      </x:c>
      <x:c r="Y787" s="604" t="inlineStr">
        <x:is>
          <x:t xml:space="preserve">V4</x:t>
        </x:is>
      </x:c>
      <x:c r="Z787" s="604" t="inlineStr">
        <x:is>
          <x:t xml:space="preserve">prior-2026-10-03-v1</x:t>
        </x:is>
      </x:c>
      <x:c r="AA787" s="604" t="inlineStr">
        <x:is>
          <x:t xml:space="preserve">C</x:t>
        </x:is>
      </x:c>
      <x:c r="AB787" s="604" t="n">
        <x:v>0.5126994133212465</x:v>
      </x:c>
      <x:c r="AC787" s="604" t="n"/>
      <x:c r="AD787" s="604" t="n"/>
      <x:c r="AE787" s="604" t="n"/>
      <x:c r="AF787" s="604" t="n">
        <x:v>0.4873005866787536</x:v>
      </x:c>
      <x:c r="AG787" s="604" t="n">
        <x:v>0.03565281490891786</x:v>
      </x:c>
      <x:c r="AH787" s="604" t="n"/>
      <x:c r="AI787" s="604" t="n"/>
      <x:c r="AJ787" s="604" t="n">
        <x:v>0.03565281490891786</x:v>
      </x:c>
      <x:c r="AK787" s="604" t="n"/>
      <x:c r="AL787" s="604" t="n"/>
      <x:c r="AM787" s="604" t="n"/>
      <x:c r="AN787" s="604" t="inlineStr">
        <x:is>
          <x:t xml:space="preserve">EVALUATED</x:t>
        </x:is>
      </x:c>
      <x:c r="AO787" s="604" t="inlineStr">
        <x:is>
          <x:t xml:space="preserve">EDGE_BELOW_UNCERTAINTY_THRESHOLD、BUCKET_PRIOR_ONLY、INTENT_INTERPRETATION_ONLY、EXPERT_MARKET</x:t>
        </x:is>
      </x:c>
      <x:c r="AP787" s="604" t="inlineStr">
        <x:is>
          <x:t xml:space="preserve">1265b0b8cdb41954ef68</x:t>
        </x:is>
      </x:c>
      <x:c r="AQ787" s="604" t="n">
        <x:v>0</x:v>
      </x:c>
      <x:c r="AR787" s="604" t="n"/>
      <x:c r="AS787" s="604" t="n">
        <x:v>0</x:v>
      </x:c>
      <x:c r="AT787" s="604" t="n">
        <x:v>0</x:v>
      </x:c>
      <x:c r="AU787" s="604" t="n">
        <x:v>1.02</x:v>
      </x:c>
      <x:c r="AV787" s="604" t="n">
        <x:v>0.8</x:v>
      </x:c>
      <x:c r="AW787" s="604" t="n">
        <x:v>46298.06050486111</x:v>
      </x:c>
      <x:c r="AX787" s="604" t="inlineStr">
        <x:is>
          <x:t xml:space="preserve">https://simondongxiao.github.io/odds/v4/</x:t>
        </x:is>
      </x:c>
      <x:c r="AY787" s="604" t="inlineStr">
        <x:is>
          <x:t xml:space="preserve">V4 Shadow Only；real_money=false；P(EV&gt;0)不是比赛胜率</x:t>
        </x:is>
      </x:c>
    </x:row>
    <x:row r="788" ht="22" customHeight="1">
      <x:c r="A788" s="604" t="inlineStr">
        <x:is>
          <x:t xml:space="preserve">2026-10-03</x:t>
        </x:is>
      </x:c>
      <x:c r="B788" s="604" t="inlineStr">
        <x:is>
          <x:t xml:space="preserve">2026-10-04 02:00</x:t>
        </x:is>
      </x:c>
      <x:c r="C788" s="604" t="str">
        <x:v>其他系列</x:v>
      </x:c>
      <x:c r="D788" s="604" t="inlineStr">
        <x:is>
          <x:t xml:space="preserve">联赛</x:t>
        </x:is>
      </x:c>
      <x:c r="E788" s="604" t="inlineStr">
        <x:is>
          <x:t xml:space="preserve">摩洛超</x:t>
        </x:is>
      </x:c>
      <x:c r="F788" s="604" t="inlineStr">
        <x:is>
          <x:t xml:space="preserve">梅克内斯 vs 马拉肯查</x:t>
        </x:is>
      </x:c>
      <x:c r="G788" s="604" t="n">
        <x:v>1.01</x:v>
      </x:c>
      <x:c r="H788" s="604" t="n">
        <x:v>0.25</x:v>
      </x:c>
      <x:c r="I788" s="604" t="n">
        <x:v>0.75</x:v>
      </x:c>
      <x:c r="J788" s="604" t="inlineStr">
        <x:is>
          <x:t xml:space="preserve">1.01/0.25/0.75</x:t>
        </x:is>
      </x:c>
      <x:c r="K788" s="604" t="inlineStr">
        <x:is>
          <x:t xml:space="preserve">V4-B｜EV +0.1182</x:t>
        </x:is>
      </x:c>
      <x:c r="L788" s="604" t="inlineStr">
        <x:is>
          <x:t xml:space="preserve">梅克内斯</x:t>
        </x:is>
      </x:c>
      <x:c r="M788" s="604" t="n">
        <x:v>0.5649243372271837</x:v>
      </x:c>
      <x:c r="N788" s="604" t="inlineStr">
        <x:is>
          <x:t xml:space="preserve">V4纸面入选-B</x:t>
        </x:is>
      </x:c>
      <x:c r="O788" s="604" t="inlineStr">
        <x:is>
          <x:t xml:space="preserve">0-1</x:t>
        </x:is>
      </x:c>
      <x:c r="P788" s="604" t="inlineStr">
        <x:is>
          <x:t xml:space="preserve">已结算</x:t>
        </x:is>
      </x:c>
      <x:c r="Q788" s="646" t="inlineStr">
        <x:is>
          <x:t xml:space="preserve">黑</x:t>
        </x:is>
      </x:c>
      <x:c r="R788" s="604" t="n">
        <x:v>1.01</x:v>
      </x:c>
      <x:c r="S788" s="604" t="n">
        <x:f>IF(OR(Q788="",Q788="待结算"),"",IF(Q788="红",R788,IF(Q788="半红",R788*0.5,IF(Q788="走",0,IF(Q788="半黑",-0.5,-1)))))</x:f>
        <x:v>-1</x:v>
      </x:c>
      <x:c r="T788" s="604" t="inlineStr">
        <x:is>
          <x:t xml:space="preserve">https://m.titan007.com/analy/Analysis/3076977.htm</x:t>
        </x:is>
      </x:c>
      <x:c r="U788" s="645" t="str">
        <x:f>IF(Q788="","",IF(Q788="待结算","待结算",IF(Q788="红","黑",IF(Q788="半红","半黑",IF(Q788="走","走",IF(Q788="半黑","半红","红"))))))</x:f>
        <x:v>红</x:v>
      </x:c>
      <x:c r="V788" s="604" t="n">
        <x:f>IF(OR(Q788="",Q788="待结算"),"",IF(L788=LEFT(F788,FIND(" vs ",F788)-1),I788,G788))</x:f>
        <x:v>0.75</x:v>
      </x:c>
      <x:c r="W788" s="604" t="n">
        <x:f>IF(OR(U788="",U788="待结算"),"",IF(U788="红",V788,IF(U788="半红",V788*0.5,IF(U788="走",0,IF(U788="半黑",-0.5,-1)))))</x:f>
        <x:v>0.75</x:v>
      </x:c>
      <x:c r="X788" s="604" t="inlineStr">
        <x:is>
          <x:t xml:space="preserve">3076977</x:t>
        </x:is>
      </x:c>
      <x:c r="Y788" s="604" t="inlineStr">
        <x:is>
          <x:t xml:space="preserve">V4</x:t>
        </x:is>
      </x:c>
      <x:c r="Z788" s="604" t="inlineStr">
        <x:is>
          <x:t xml:space="preserve">prior-2026-10-03-v1</x:t>
        </x:is>
      </x:c>
      <x:c r="AA788" s="604" t="inlineStr">
        <x:is>
          <x:t xml:space="preserve">B</x:t>
        </x:is>
      </x:c>
      <x:c r="AB788" s="604" t="n">
        <x:v>0.4927605864454273</x:v>
      </x:c>
      <x:c r="AC788" s="604" t="n"/>
      <x:c r="AD788" s="604" t="n"/>
      <x:c r="AE788" s="604" t="n">
        <x:v>0.2554811185368913</x:v>
      </x:c>
      <x:c r="AF788" s="604" t="n">
        <x:v>0.2517582950176814</x:v>
      </x:c>
      <x:c r="AG788" s="604" t="n">
        <x:v>0.1181893380237546</x:v>
      </x:c>
      <x:c r="AH788" s="604" t="n"/>
      <x:c r="AI788" s="604" t="n"/>
      <x:c r="AJ788" s="604" t="n">
        <x:v>0.1181893380237546</x:v>
      </x:c>
      <x:c r="AK788" s="604" t="n"/>
      <x:c r="AL788" s="604" t="n"/>
      <x:c r="AM788" s="604" t="n"/>
      <x:c r="AN788" s="604" t="inlineStr">
        <x:is>
          <x:t xml:space="preserve">EVALUATED</x:t>
        </x:is>
      </x:c>
      <x:c r="AO788" s="604" t="inlineStr">
        <x:is>
          <x:t xml:space="preserve">GIVING_VALIDATED_EDGE、BUCKET_PRIOR_ONLY、INTENT_INTERPRETATION_ONLY、EXPERT_MARKET</x:t>
        </x:is>
      </x:c>
      <x:c r="AP788" s="604" t="inlineStr">
        <x:is>
          <x:t xml:space="preserve">ddbc39642362abc25bf9</x:t>
        </x:is>
      </x:c>
      <x:c r="AQ788" s="604" t="n">
        <x:v>-0.25</x:v>
      </x:c>
      <x:c r="AR788" s="604" t="n">
        <x:v>1.01</x:v>
      </x:c>
      <x:c r="AS788" s="604" t="n">
        <x:v>0.25</x:v>
      </x:c>
      <x:c r="AT788" s="604" t="n">
        <x:v>-0.25</x:v>
      </x:c>
      <x:c r="AU788" s="604" t="n">
        <x:v>1.01</x:v>
      </x:c>
      <x:c r="AV788" s="604" t="n">
        <x:v>0.75</x:v>
      </x:c>
      <x:c r="AW788" s="604" t="n">
        <x:v>46298.06050486111</x:v>
      </x:c>
      <x:c r="AX788" s="604" t="inlineStr">
        <x:is>
          <x:t xml:space="preserve">https://simondongxiao.github.io/odds/v4/</x:t>
        </x:is>
      </x:c>
      <x:c r="AY788" s="604" t="inlineStr">
        <x:is>
          <x:t xml:space="preserve">V4 Shadow Only；real_money=false；P(EV&gt;0)不是比赛胜率</x:t>
        </x:is>
      </x:c>
    </x:row>
    <x:row r="789" ht="22" customHeight="1">
      <x:c r="A789" s="604" t="inlineStr">
        <x:is>
          <x:t xml:space="preserve">2026-10-03</x:t>
        </x:is>
      </x:c>
      <x:c r="B789" s="604" t="inlineStr">
        <x:is>
          <x:t xml:space="preserve">2026-10-04 02:00</x:t>
        </x:is>
      </x:c>
      <x:c r="C789" s="604" t="str">
        <x:v>其他系列</x:v>
      </x:c>
      <x:c r="D789" s="604" t="inlineStr">
        <x:is>
          <x:t xml:space="preserve">联赛</x:t>
        </x:is>
      </x:c>
      <x:c r="E789" s="604" t="inlineStr">
        <x:is>
          <x:t xml:space="preserve">摩洛超</x:t>
        </x:is>
      </x:c>
      <x:c r="F789" s="604" t="inlineStr">
        <x:is>
          <x:t xml:space="preserve">DHJ哈斯沙尼亚 vs 卡萨布兰卡维达德</x:t>
        </x:is>
      </x:c>
      <x:c r="G789" s="604" t="n">
        <x:v>1.01</x:v>
      </x:c>
      <x:c r="H789" s="604" t="n">
        <x:v>0</x:v>
      </x:c>
      <x:c r="I789" s="604" t="n">
        <x:v>0.75</x:v>
      </x:c>
      <x:c r="J789" s="604" t="inlineStr">
        <x:is>
          <x:t xml:space="preserve">1.01/0/0.75</x:t>
        </x:is>
      </x:c>
      <x:c r="K789" s="604" t="inlineStr">
        <x:is>
          <x:t xml:space="preserve">V4-C｜EV +0.0182</x:t>
        </x:is>
      </x:c>
      <x:c r="L789" s="604" t="str"/>
      <x:c r="M789" s="604" t="n">
        <x:v>0.5833329792644969</x:v>
      </x:c>
      <x:c r="N789" s="604" t="inlineStr">
        <x:is>
          <x:t xml:space="preserve">V4纸面入选-C</x:t>
        </x:is>
      </x:c>
      <x:c r="O789" s="604" t="inlineStr">
        <x:is>
          <x:t xml:space="preserve">0-2</x:t>
        </x:is>
      </x:c>
      <x:c r="P789" s="604" t="inlineStr">
        <x:is>
          <x:t xml:space="preserve">已结算</x:t>
        </x:is>
      </x:c>
      <x:c r="Q789" s="646" t="inlineStr">
        <x:is>
          <x:t xml:space="preserve">黑</x:t>
        </x:is>
      </x:c>
      <x:c r="R789" s="604" t="n">
        <x:v>0.75</x:v>
      </x:c>
      <x:c r="S789" s="604" t="n">
        <x:f>IF(OR(Q789="",Q789="待结算"),"",IF(Q789="红",R789,IF(Q789="半红",R789*0.5,IF(Q789="走",0,IF(Q789="半黑",-0.5,-1)))))</x:f>
        <x:v>-1</x:v>
      </x:c>
      <x:c r="T789" s="604" t="inlineStr">
        <x:is>
          <x:t xml:space="preserve">https://m.titan007.com/analy/Analysis/3076978.htm</x:t>
        </x:is>
      </x:c>
      <x:c r="U789" s="645" t="str">
        <x:f>IF(Q789="","",IF(Q789="待结算","待结算",IF(Q789="红","黑",IF(Q789="半红","半黑",IF(Q789="走","走",IF(Q789="半黑","半红","红"))))))</x:f>
        <x:v>红</x:v>
      </x:c>
      <x:c r="V789" s="604" t="n">
        <x:f>IF(OR(Q789="",Q789="待结算"),"",IF(L789=LEFT(F789,FIND(" vs ",F789)-1),I789,G789))</x:f>
        <x:v>1.01</x:v>
      </x:c>
      <x:c r="W789" s="604" t="n">
        <x:f>IF(OR(U789="",U789="待结算"),"",IF(U789="红",V789,IF(U789="半红",V789*0.5,IF(U789="走",0,IF(U789="半黑",-0.5,-1)))))</x:f>
        <x:v>1.01</x:v>
      </x:c>
      <x:c r="X789" s="604" t="inlineStr">
        <x:is>
          <x:t xml:space="preserve">3076978</x:t>
        </x:is>
      </x:c>
      <x:c r="Y789" s="604" t="inlineStr">
        <x:is>
          <x:t xml:space="preserve">V4</x:t>
        </x:is>
      </x:c>
      <x:c r="Z789" s="604" t="inlineStr">
        <x:is>
          <x:t xml:space="preserve">prior-2026-10-03-v1</x:t>
        </x:is>
      </x:c>
      <x:c r="AA789" s="604" t="inlineStr">
        <x:is>
          <x:t xml:space="preserve">C</x:t>
        </x:is>
      </x:c>
      <x:c r="AB789" s="604" t="n">
        <x:v>0.5098388085345934</x:v>
      </x:c>
      <x:c r="AC789" s="604" t="n"/>
      <x:c r="AD789" s="604" t="n"/>
      <x:c r="AE789" s="604" t="n">
        <x:v>0.2519801668767973</x:v>
      </x:c>
      <x:c r="AF789" s="604" t="n">
        <x:v>0.2381810245886094</x:v>
      </x:c>
      <x:c r="AG789" s="604" t="n">
        <x:v>0.01820799837393702</x:v>
      </x:c>
      <x:c r="AH789" s="604" t="n"/>
      <x:c r="AI789" s="604" t="n"/>
      <x:c r="AJ789" s="604" t="n">
        <x:v>0.01820799837393702</x:v>
      </x:c>
      <x:c r="AK789" s="604" t="n"/>
      <x:c r="AL789" s="604" t="n"/>
      <x:c r="AM789" s="604" t="n"/>
      <x:c r="AN789" s="604" t="inlineStr">
        <x:is>
          <x:t xml:space="preserve">EVALUATED</x:t>
        </x:is>
      </x:c>
      <x:c r="AO789" s="604" t="inlineStr">
        <x:is>
          <x:t xml:space="preserve">EDGE_BELOW_UNCERTAINTY_THRESHOLD、BUCKET_PRIOR_ONLY、INTENT_INTERPRETATION_ONLY、EXPERT_MARKET</x:t>
        </x:is>
      </x:c>
      <x:c r="AP789" s="604" t="inlineStr">
        <x:is>
          <x:t xml:space="preserve">6cab1959070b2424714f</x:t>
        </x:is>
      </x:c>
      <x:c r="AQ789" s="604" t="n">
        <x:v>0</x:v>
      </x:c>
      <x:c r="AR789" s="604" t="n"/>
      <x:c r="AS789" s="604" t="n">
        <x:v>0</x:v>
      </x:c>
      <x:c r="AT789" s="604" t="n">
        <x:v>0</x:v>
      </x:c>
      <x:c r="AU789" s="604" t="n">
        <x:v>1.01</x:v>
      </x:c>
      <x:c r="AV789" s="604" t="n">
        <x:v>0.75</x:v>
      </x:c>
      <x:c r="AW789" s="604" t="n">
        <x:v>46298.06050486111</x:v>
      </x:c>
      <x:c r="AX789" s="604" t="inlineStr">
        <x:is>
          <x:t xml:space="preserve">https://simondongxiao.github.io/odds/v4/</x:t>
        </x:is>
      </x:c>
      <x:c r="AY789" s="604" t="inlineStr">
        <x:is>
          <x:t xml:space="preserve">V4 Shadow Only；real_money=false；P(EV&gt;0)不是比赛胜率</x:t>
        </x:is>
      </x:c>
    </x:row>
    <x:row r="790" ht="22" customHeight="1">
      <x:c r="A790" s="604" t="inlineStr">
        <x:is>
          <x:t xml:space="preserve">2026-10-03</x:t>
        </x:is>
      </x:c>
      <x:c r="B790" s="604" t="inlineStr">
        <x:is>
          <x:t xml:space="preserve">2026-10-04 02:00</x:t>
        </x:is>
      </x:c>
      <x:c r="C790" s="604" t="str">
        <x:v>南美系列</x:v>
      </x:c>
      <x:c r="D790" s="604" t="inlineStr">
        <x:is>
          <x:t xml:space="preserve">联赛</x:t>
        </x:is>
      </x:c>
      <x:c r="E790" s="604" t="inlineStr">
        <x:is>
          <x:t xml:space="preserve">阿乙</x:t>
        </x:is>
      </x:c>
      <x:c r="F790" s="604" t="inlineStr">
        <x:is>
          <x:t xml:space="preserve">阿卡苏索 vs 博利瓦尔</x:t>
        </x:is>
      </x:c>
      <x:c r="G790" s="604" t="n">
        <x:v>0.91</x:v>
      </x:c>
      <x:c r="H790" s="604" t="n">
        <x:v>0</x:v>
      </x:c>
      <x:c r="I790" s="604" t="n">
        <x:v>0.85</x:v>
      </x:c>
      <x:c r="J790" s="604" t="inlineStr">
        <x:is>
          <x:t xml:space="preserve">0.91/0/0.85</x:t>
        </x:is>
      </x:c>
      <x:c r="K790" s="604" t="inlineStr">
        <x:is>
          <x:t xml:space="preserve">V4-C｜EV +0.0338</x:t>
        </x:is>
      </x:c>
      <x:c r="L790" s="604" t="str"/>
      <x:c r="M790" s="604" t="n">
        <x:v>0.5438961368507347</x:v>
      </x:c>
      <x:c r="N790" s="604" t="inlineStr">
        <x:is>
          <x:t xml:space="preserve">V4纸面入选-C</x:t>
        </x:is>
      </x:c>
      <x:c r="O790" s="604" t="inlineStr">
        <x:is>
          <x:t xml:space="preserve">0-1</x:t>
        </x:is>
      </x:c>
      <x:c r="P790" s="604" t="inlineStr">
        <x:is>
          <x:t xml:space="preserve">已结算</x:t>
        </x:is>
      </x:c>
      <x:c r="Q790" s="646" t="inlineStr">
        <x:is>
          <x:t xml:space="preserve">黑</x:t>
        </x:is>
      </x:c>
      <x:c r="R790" s="604" t="n">
        <x:v>0.85</x:v>
      </x:c>
      <x:c r="S790" s="604" t="n">
        <x:f>IF(OR(Q790="",Q790="待结算"),"",IF(Q790="红",R790,IF(Q790="半红",R790*0.5,IF(Q790="走",0,IF(Q790="半黑",-0.5,-1)))))</x:f>
        <x:v>-1</x:v>
      </x:c>
      <x:c r="T790" s="604" t="inlineStr">
        <x:is>
          <x:t xml:space="preserve">https://m.titan007.com/analy/Analysis/2916717.htm</x:t>
        </x:is>
      </x:c>
      <x:c r="U790" s="645" t="str">
        <x:f>IF(Q790="","",IF(Q790="待结算","待结算",IF(Q790="红","黑",IF(Q790="半红","半黑",IF(Q790="走","走",IF(Q790="半黑","半红","红"))))))</x:f>
        <x:v>红</x:v>
      </x:c>
      <x:c r="V790" s="604" t="n">
        <x:f>IF(OR(Q790="",Q790="待结算"),"",IF(L790=LEFT(F790,FIND(" vs ",F790)-1),I790,G790))</x:f>
        <x:v>0.91</x:v>
      </x:c>
      <x:c r="W790" s="604" t="n">
        <x:f>IF(OR(U790="",U790="待结算"),"",IF(U790="红",V790,IF(U790="半红",V790*0.5,IF(U790="走",0,IF(U790="半黑",-0.5,-1)))))</x:f>
        <x:v>0.91</x:v>
      </x:c>
      <x:c r="X790" s="604" t="inlineStr">
        <x:is>
          <x:t xml:space="preserve">2916717</x:t>
        </x:is>
      </x:c>
      <x:c r="Y790" s="604" t="inlineStr">
        <x:is>
          <x:t xml:space="preserve">V4</x:t>
        </x:is>
      </x:c>
      <x:c r="Z790" s="604" t="inlineStr">
        <x:is>
          <x:t xml:space="preserve">prior-2026-10-03-v1</x:t>
        </x:is>
      </x:c>
      <x:c r="AA790" s="604" t="inlineStr">
        <x:is>
          <x:t xml:space="preserve">C</x:t>
        </x:is>
      </x:c>
      <x:c r="AB790" s="604" t="n">
        <x:v>0.4732437778284767</x:v>
      </x:c>
      <x:c r="AC790" s="604" t="n"/>
      <x:c r="AD790" s="604" t="n"/>
      <x:c r="AE790" s="604" t="n">
        <x:v>0.2598009224016518</x:v>
      </x:c>
      <x:c r="AF790" s="604" t="n">
        <x:v>0.2669552997698715</x:v>
      </x:c>
      <x:c r="AG790" s="604" t="n">
        <x:v>0.03379607685321639</x:v>
      </x:c>
      <x:c r="AH790" s="604" t="n"/>
      <x:c r="AI790" s="604" t="n"/>
      <x:c r="AJ790" s="604" t="n">
        <x:v>0.03379607685321639</x:v>
      </x:c>
      <x:c r="AK790" s="604" t="n"/>
      <x:c r="AL790" s="604" t="n"/>
      <x:c r="AM790" s="604" t="n"/>
      <x:c r="AN790" s="604" t="inlineStr">
        <x:is>
          <x:t xml:space="preserve">EVALUATED</x:t>
        </x:is>
      </x:c>
      <x:c r="AO790" s="604" t="inlineStr">
        <x:is>
          <x:t xml:space="preserve">EDGE_BELOW_UNCERTAINTY_THRESHOLD、BUCKET_PRIOR_ONLY、INTENT_INTERPRETATION_ONLY、EXPERT_MARKET</x:t>
        </x:is>
      </x:c>
      <x:c r="AP790" s="604" t="inlineStr">
        <x:is>
          <x:t xml:space="preserve">1ff31a02896b4dffb6a3</x:t>
        </x:is>
      </x:c>
      <x:c r="AQ790" s="604" t="n">
        <x:v>0</x:v>
      </x:c>
      <x:c r="AR790" s="604" t="n"/>
      <x:c r="AS790" s="604" t="n">
        <x:v>0</x:v>
      </x:c>
      <x:c r="AT790" s="604" t="n">
        <x:v>0</x:v>
      </x:c>
      <x:c r="AU790" s="604" t="n">
        <x:v>0.91</x:v>
      </x:c>
      <x:c r="AV790" s="604" t="n">
        <x:v>0.85</x:v>
      </x:c>
      <x:c r="AW790" s="604" t="n">
        <x:v>46298.06050486111</x:v>
      </x:c>
      <x:c r="AX790" s="604" t="inlineStr">
        <x:is>
          <x:t xml:space="preserve">https://simondongxiao.github.io/odds/v4/</x:t>
        </x:is>
      </x:c>
      <x:c r="AY790" s="604" t="inlineStr">
        <x:is>
          <x:t xml:space="preserve">V4 Shadow Only；real_money=false；P(EV&gt;0)不是比赛胜率</x:t>
        </x:is>
      </x:c>
    </x:row>
    <x:row r="791" ht="22" customHeight="1">
      <x:c r="A791" s="604" t="inlineStr">
        <x:is>
          <x:t xml:space="preserve">2026-10-03</x:t>
        </x:is>
      </x:c>
      <x:c r="B791" s="604" t="inlineStr">
        <x:is>
          <x:t xml:space="preserve">2026-10-04 02:00</x:t>
        </x:is>
      </x:c>
      <x:c r="C791" s="604" t="str">
        <x:v>南美系列</x:v>
      </x:c>
      <x:c r="D791" s="604" t="inlineStr">
        <x:is>
          <x:t xml:space="preserve">联赛</x:t>
        </x:is>
      </x:c>
      <x:c r="E791" s="604" t="inlineStr">
        <x:is>
          <x:t xml:space="preserve">阿乙</x:t>
        </x:is>
      </x:c>
      <x:c r="F791" s="604" t="inlineStr">
        <x:is>
          <x:t xml:space="preserve">科隆竞技 vs 卡塞罗斯学生队</x:t>
        </x:is>
      </x:c>
      <x:c r="G791" s="604" t="n">
        <x:v>0.92</x:v>
      </x:c>
      <x:c r="H791" s="604" t="n">
        <x:v>0.5</x:v>
      </x:c>
      <x:c r="I791" s="604" t="n">
        <x:v>0.84</x:v>
      </x:c>
      <x:c r="J791" s="604" t="inlineStr">
        <x:is>
          <x:t xml:space="preserve">0.92/0.5/0.84</x:t>
        </x:is>
      </x:c>
      <x:c r="K791" s="604" t="inlineStr">
        <x:is>
          <x:t xml:space="preserve">V4-B｜EV +0.0792</x:t>
        </x:is>
      </x:c>
      <x:c r="L791" s="604" t="inlineStr">
        <x:is>
          <x:t xml:space="preserve">科隆竞技</x:t>
        </x:is>
      </x:c>
      <x:c r="M791" s="604" t="n">
        <x:v>0.5621023708950554</x:v>
      </x:c>
      <x:c r="N791" s="604" t="inlineStr">
        <x:is>
          <x:t xml:space="preserve">V4纸面入选-B</x:t>
        </x:is>
      </x:c>
      <x:c r="O791" s="604" t="inlineStr">
        <x:is>
          <x:t xml:space="preserve">1-0</x:t>
        </x:is>
      </x:c>
      <x:c r="P791" s="604" t="inlineStr">
        <x:is>
          <x:t xml:space="preserve">已结算</x:t>
        </x:is>
      </x:c>
      <x:c r="Q791" s="645" t="inlineStr">
        <x:is>
          <x:t xml:space="preserve">红</x:t>
        </x:is>
      </x:c>
      <x:c r="R791" s="604" t="n">
        <x:v>0.92</x:v>
      </x:c>
      <x:c r="S791" s="604" t="n">
        <x:f>IF(OR(Q791="",Q791="待结算"),"",IF(Q791="红",R791,IF(Q791="半红",R791*0.5,IF(Q791="走",0,IF(Q791="半黑",-0.5,-1)))))</x:f>
        <x:v>0.92</x:v>
      </x:c>
      <x:c r="T791" s="604" t="inlineStr">
        <x:is>
          <x:t xml:space="preserve">https://m.titan007.com/analy/Analysis/2916724.htm</x:t>
        </x:is>
      </x:c>
      <x:c r="U791" s="646" t="str">
        <x:f>IF(Q791="","",IF(Q791="待结算","待结算",IF(Q791="红","黑",IF(Q791="半红","半黑",IF(Q791="走","走",IF(Q791="半黑","半红","红"))))))</x:f>
        <x:v>黑</x:v>
      </x:c>
      <x:c r="V791" s="604" t="n">
        <x:f>IF(OR(Q791="",Q791="待结算"),"",IF(L791=LEFT(F791,FIND(" vs ",F791)-1),I791,G791))</x:f>
        <x:v>0.84</x:v>
      </x:c>
      <x:c r="W791" s="604" t="n">
        <x:f>IF(OR(U791="",U791="待结算"),"",IF(U791="红",V791,IF(U791="半红",V791*0.5,IF(U791="走",0,IF(U791="半黑",-0.5,-1)))))</x:f>
        <x:v>-1</x:v>
      </x:c>
      <x:c r="X791" s="604" t="inlineStr">
        <x:is>
          <x:t xml:space="preserve">2916724</x:t>
        </x:is>
      </x:c>
      <x:c r="Y791" s="604" t="inlineStr">
        <x:is>
          <x:t xml:space="preserve">V4</x:t>
        </x:is>
      </x:c>
      <x:c r="Z791" s="604" t="inlineStr">
        <x:is>
          <x:t xml:space="preserve">prior-2026-10-03-v1</x:t>
        </x:is>
      </x:c>
      <x:c r="AA791" s="604" t="inlineStr">
        <x:is>
          <x:t xml:space="preserve">B</x:t>
        </x:is>
      </x:c>
      <x:c r="AB791" s="604" t="n">
        <x:v>0.5621023708950554</x:v>
      </x:c>
      <x:c r="AC791" s="604" t="n"/>
      <x:c r="AD791" s="604" t="n"/>
      <x:c r="AE791" s="604" t="n"/>
      <x:c r="AF791" s="604" t="n">
        <x:v>0.4378976291049446</x:v>
      </x:c>
      <x:c r="AG791" s="604" t="n">
        <x:v>0.07923655211850639</x:v>
      </x:c>
      <x:c r="AH791" s="604" t="n"/>
      <x:c r="AI791" s="604" t="n"/>
      <x:c r="AJ791" s="604" t="n">
        <x:v>0.07923655211850639</x:v>
      </x:c>
      <x:c r="AK791" s="604" t="n"/>
      <x:c r="AL791" s="604" t="n"/>
      <x:c r="AM791" s="604" t="n"/>
      <x:c r="AN791" s="604" t="inlineStr">
        <x:is>
          <x:t xml:space="preserve">EVALUATED</x:t>
        </x:is>
      </x:c>
      <x:c r="AO791" s="604" t="inlineStr">
        <x:is>
          <x:t xml:space="preserve">GIVING_VALIDATED_EDGE、BUCKET_PRIOR_ONLY、INTENT_INTERPRETATION_ONLY、EXPERT_MARKET</x:t>
        </x:is>
      </x:c>
      <x:c r="AP791" s="604" t="inlineStr">
        <x:is>
          <x:t xml:space="preserve">b6963dcec3ad03d28508</x:t>
        </x:is>
      </x:c>
      <x:c r="AQ791" s="604" t="n">
        <x:v>-0.5</x:v>
      </x:c>
      <x:c r="AR791" s="604" t="n">
        <x:v>0.92</x:v>
      </x:c>
      <x:c r="AS791" s="604" t="n">
        <x:v>0.5</x:v>
      </x:c>
      <x:c r="AT791" s="604" t="n">
        <x:v>-0.5</x:v>
      </x:c>
      <x:c r="AU791" s="604" t="n">
        <x:v>0.92</x:v>
      </x:c>
      <x:c r="AV791" s="604" t="n">
        <x:v>0.84</x:v>
      </x:c>
      <x:c r="AW791" s="604" t="n">
        <x:v>46298.06050486111</x:v>
      </x:c>
      <x:c r="AX791" s="604" t="inlineStr">
        <x:is>
          <x:t xml:space="preserve">https://simondongxiao.github.io/odds/v4/</x:t>
        </x:is>
      </x:c>
      <x:c r="AY791" s="604" t="inlineStr">
        <x:is>
          <x:t xml:space="preserve">V4 Shadow Only；real_money=false；P(EV&gt;0)不是比赛胜率</x:t>
        </x:is>
      </x:c>
    </x:row>
    <x:row r="792" ht="22" customHeight="1">
      <x:c r="A792" s="604" t="inlineStr">
        <x:is>
          <x:t xml:space="preserve">2026-10-03</x:t>
        </x:is>
      </x:c>
      <x:c r="B792" s="604" t="inlineStr">
        <x:is>
          <x:t xml:space="preserve">2026-10-04 02:00</x:t>
        </x:is>
      </x:c>
      <x:c r="C792" s="604" t="str">
        <x:v>南美系列</x:v>
      </x:c>
      <x:c r="D792" s="604" t="inlineStr">
        <x:is>
          <x:t xml:space="preserve">联赛</x:t>
        </x:is>
      </x:c>
      <x:c r="E792" s="604" t="inlineStr">
        <x:is>
          <x:t xml:space="preserve">阿乙</x:t>
        </x:is>
      </x:c>
      <x:c r="F792" s="604" t="inlineStr">
        <x:is>
          <x:t xml:space="preserve">玛伦 vs 全男孩竞技</x:t>
        </x:is>
      </x:c>
      <x:c r="G792" s="604" t="n">
        <x:v>0.98</x:v>
      </x:c>
      <x:c r="H792" s="604" t="n">
        <x:v>0.5</x:v>
      </x:c>
      <x:c r="I792" s="604" t="n">
        <x:v>0.78</x:v>
      </x:c>
      <x:c r="J792" s="604" t="inlineStr">
        <x:is>
          <x:t xml:space="preserve">0.98/0.5/0.78</x:t>
        </x:is>
      </x:c>
      <x:c r="K792" s="604" t="inlineStr">
        <x:is>
          <x:t xml:space="preserve">V4-B｜EV +0.2424</x:t>
        </x:is>
      </x:c>
      <x:c r="L792" s="604" t="inlineStr">
        <x:is>
          <x:t xml:space="preserve">玛伦</x:t>
        </x:is>
      </x:c>
      <x:c r="M792" s="604" t="n">
        <x:v>0.6274756042732726</x:v>
      </x:c>
      <x:c r="N792" s="604" t="inlineStr">
        <x:is>
          <x:t xml:space="preserve">V4纸面入选-B</x:t>
        </x:is>
      </x:c>
      <x:c r="O792" s="604" t="inlineStr">
        <x:is>
          <x:t xml:space="preserve">2-1</x:t>
        </x:is>
      </x:c>
      <x:c r="P792" s="604" t="inlineStr">
        <x:is>
          <x:t xml:space="preserve">已结算</x:t>
        </x:is>
      </x:c>
      <x:c r="Q792" s="645" t="inlineStr">
        <x:is>
          <x:t xml:space="preserve">红</x:t>
        </x:is>
      </x:c>
      <x:c r="R792" s="604" t="n">
        <x:v>0.98</x:v>
      </x:c>
      <x:c r="S792" s="604" t="n">
        <x:f>IF(OR(Q792="",Q792="待结算"),"",IF(Q792="红",R792,IF(Q792="半红",R792*0.5,IF(Q792="走",0,IF(Q792="半黑",-0.5,-1)))))</x:f>
        <x:v>0.98</x:v>
      </x:c>
      <x:c r="T792" s="604" t="inlineStr">
        <x:is>
          <x:t xml:space="preserve">https://m.titan007.com/analy/Analysis/2916725.htm</x:t>
        </x:is>
      </x:c>
      <x:c r="U792" s="646" t="str">
        <x:f>IF(Q792="","",IF(Q792="待结算","待结算",IF(Q792="红","黑",IF(Q792="半红","半黑",IF(Q792="走","走",IF(Q792="半黑","半红","红"))))))</x:f>
        <x:v>黑</x:v>
      </x:c>
      <x:c r="V792" s="604" t="n">
        <x:f>IF(OR(Q792="",Q792="待结算"),"",IF(L792=LEFT(F792,FIND(" vs ",F792)-1),I792,G792))</x:f>
        <x:v>0.78</x:v>
      </x:c>
      <x:c r="W792" s="604" t="n">
        <x:f>IF(OR(U792="",U792="待结算"),"",IF(U792="红",V792,IF(U792="半红",V792*0.5,IF(U792="走",0,IF(U792="半黑",-0.5,-1)))))</x:f>
        <x:v>-1</x:v>
      </x:c>
      <x:c r="X792" s="604" t="inlineStr">
        <x:is>
          <x:t xml:space="preserve">2916725</x:t>
        </x:is>
      </x:c>
      <x:c r="Y792" s="604" t="inlineStr">
        <x:is>
          <x:t xml:space="preserve">V4</x:t>
        </x:is>
      </x:c>
      <x:c r="Z792" s="604" t="inlineStr">
        <x:is>
          <x:t xml:space="preserve">prior-2026-10-03-v1</x:t>
        </x:is>
      </x:c>
      <x:c r="AA792" s="604" t="inlineStr">
        <x:is>
          <x:t xml:space="preserve">B</x:t>
        </x:is>
      </x:c>
      <x:c r="AB792" s="604" t="n">
        <x:v>0.6274756042732726</x:v>
      </x:c>
      <x:c r="AC792" s="604" t="n"/>
      <x:c r="AD792" s="604" t="n"/>
      <x:c r="AE792" s="604" t="n"/>
      <x:c r="AF792" s="604" t="n">
        <x:v>0.3725243957267274</x:v>
      </x:c>
      <x:c r="AG792" s="604" t="n">
        <x:v>0.2424016964610797</x:v>
      </x:c>
      <x:c r="AH792" s="604" t="n"/>
      <x:c r="AI792" s="604" t="n"/>
      <x:c r="AJ792" s="604" t="n">
        <x:v>0.2424016964610797</x:v>
      </x:c>
      <x:c r="AK792" s="604" t="n"/>
      <x:c r="AL792" s="604" t="n"/>
      <x:c r="AM792" s="604" t="n"/>
      <x:c r="AN792" s="604" t="inlineStr">
        <x:is>
          <x:t xml:space="preserve">EVALUATED</x:t>
        </x:is>
      </x:c>
      <x:c r="AO792" s="604" t="inlineStr">
        <x:is>
          <x:t xml:space="preserve">GIVING_VALIDATED_EDGE、BUCKET_PRIOR_ONLY、INTENT_INTERPRETATION_ONLY、EXPERT_MARKET</x:t>
        </x:is>
      </x:c>
      <x:c r="AP792" s="604" t="inlineStr">
        <x:is>
          <x:t xml:space="preserve">1325a0c9a546472ac896</x:t>
        </x:is>
      </x:c>
      <x:c r="AQ792" s="604" t="n">
        <x:v>-0.5</x:v>
      </x:c>
      <x:c r="AR792" s="604" t="n">
        <x:v>0.98</x:v>
      </x:c>
      <x:c r="AS792" s="604" t="n">
        <x:v>0.5</x:v>
      </x:c>
      <x:c r="AT792" s="604" t="n">
        <x:v>-0.5</x:v>
      </x:c>
      <x:c r="AU792" s="604" t="n">
        <x:v>0.98</x:v>
      </x:c>
      <x:c r="AV792" s="604" t="n">
        <x:v>0.78</x:v>
      </x:c>
      <x:c r="AW792" s="604" t="n">
        <x:v>46298.06050486111</x:v>
      </x:c>
      <x:c r="AX792" s="604" t="inlineStr">
        <x:is>
          <x:t xml:space="preserve">https://simondongxiao.github.io/odds/v4/</x:t>
        </x:is>
      </x:c>
      <x:c r="AY792" s="604" t="inlineStr">
        <x:is>
          <x:t xml:space="preserve">V4 Shadow Only；real_money=false；P(EV&gt;0)不是比赛胜率</x:t>
        </x:is>
      </x:c>
    </x:row>
    <x:row r="793" ht="22" customHeight="1">
      <x:c r="A793" s="604" t="inlineStr">
        <x:is>
          <x:t xml:space="preserve">2026-10-03</x:t>
        </x:is>
      </x:c>
      <x:c r="B793" s="604" t="inlineStr">
        <x:is>
          <x:t xml:space="preserve">2026-10-04 02:00</x:t>
        </x:is>
      </x:c>
      <x:c r="C793" s="604" t="str">
        <x:v>南美系列</x:v>
      </x:c>
      <x:c r="D793" s="604" t="inlineStr">
        <x:is>
          <x:t xml:space="preserve">联赛</x:t>
        </x:is>
      </x:c>
      <x:c r="E793" s="604" t="inlineStr">
        <x:is>
          <x:t xml:space="preserve">阿乙</x:t>
        </x:is>
      </x:c>
      <x:c r="F793" s="604" t="inlineStr">
        <x:is>
          <x:t xml:space="preserve">圣米格尔 vs 米特雷圣地亚哥竞技</x:t>
        </x:is>
      </x:c>
      <x:c r="G793" s="604" t="n">
        <x:v>0.91</x:v>
      </x:c>
      <x:c r="H793" s="604" t="n">
        <x:v>0</x:v>
      </x:c>
      <x:c r="I793" s="604" t="n">
        <x:v>0.85</x:v>
      </x:c>
      <x:c r="J793" s="604" t="inlineStr">
        <x:is>
          <x:t xml:space="preserve">0.91/0/0.85</x:t>
        </x:is>
      </x:c>
      <x:c r="K793" s="604" t="inlineStr">
        <x:is>
          <x:t xml:space="preserve">V4-C｜EV +0.0180</x:t>
        </x:is>
      </x:c>
      <x:c r="L793" s="604" t="str"/>
      <x:c r="M793" s="604" t="n">
        <x:v>0.5344090528012703</x:v>
      </x:c>
      <x:c r="N793" s="604" t="inlineStr">
        <x:is>
          <x:t xml:space="preserve">V4纸面入选-C</x:t>
        </x:is>
      </x:c>
      <x:c r="O793" s="604" t="inlineStr">
        <x:is>
          <x:t xml:space="preserve">0-2</x:t>
        </x:is>
      </x:c>
      <x:c r="P793" s="604" t="inlineStr">
        <x:is>
          <x:t xml:space="preserve">已结算</x:t>
        </x:is>
      </x:c>
      <x:c r="Q793" s="646" t="inlineStr">
        <x:is>
          <x:t xml:space="preserve">黑</x:t>
        </x:is>
      </x:c>
      <x:c r="R793" s="604" t="n">
        <x:v>0.85</x:v>
      </x:c>
      <x:c r="S793" s="604" t="n">
        <x:f>IF(OR(Q793="",Q793="待结算"),"",IF(Q793="红",R793,IF(Q793="半红",R793*0.5,IF(Q793="走",0,IF(Q793="半黑",-0.5,-1)))))</x:f>
        <x:v>-1</x:v>
      </x:c>
      <x:c r="T793" s="604" t="inlineStr">
        <x:is>
          <x:t xml:space="preserve">https://m.titan007.com/analy/Analysis/2916731.htm</x:t>
        </x:is>
      </x:c>
      <x:c r="U793" s="645" t="str">
        <x:f>IF(Q793="","",IF(Q793="待结算","待结算",IF(Q793="红","黑",IF(Q793="半红","半黑",IF(Q793="走","走",IF(Q793="半黑","半红","红"))))))</x:f>
        <x:v>红</x:v>
      </x:c>
      <x:c r="V793" s="604" t="n">
        <x:f>IF(OR(Q793="",Q793="待结算"),"",IF(L793=LEFT(F793,FIND(" vs ",F793)-1),I793,G793))</x:f>
        <x:v>0.91</x:v>
      </x:c>
      <x:c r="W793" s="604" t="n">
        <x:f>IF(OR(U793="",U793="待结算"),"",IF(U793="红",V793,IF(U793="半红",V793*0.5,IF(U793="走",0,IF(U793="半黑",-0.5,-1)))))</x:f>
        <x:v>0.91</x:v>
      </x:c>
      <x:c r="X793" s="604" t="inlineStr">
        <x:is>
          <x:t xml:space="preserve">2916731</x:t>
        </x:is>
      </x:c>
      <x:c r="Y793" s="604" t="inlineStr">
        <x:is>
          <x:t xml:space="preserve">V4</x:t>
        </x:is>
      </x:c>
      <x:c r="Z793" s="604" t="inlineStr">
        <x:is>
          <x:t xml:space="preserve">prior-2026-10-03-v1</x:t>
        </x:is>
      </x:c>
      <x:c r="AA793" s="604" t="inlineStr">
        <x:is>
          <x:t xml:space="preserve">C</x:t>
        </x:is>
      </x:c>
      <x:c r="AB793" s="604" t="n">
        <x:v>0.4646232740367382</x:v>
      </x:c>
      <x:c r="AC793" s="604" t="n"/>
      <x:c r="AD793" s="604" t="n"/>
      <x:c r="AE793" s="604" t="n">
        <x:v>0.2611698974735863</x:v>
      </x:c>
      <x:c r="AF793" s="604" t="n">
        <x:v>0.2742068284896754</x:v>
      </x:c>
      <x:c r="AG793" s="604" t="n">
        <x:v>0.01801540214696318</x:v>
      </x:c>
      <x:c r="AH793" s="604" t="n"/>
      <x:c r="AI793" s="604" t="n"/>
      <x:c r="AJ793" s="604" t="n">
        <x:v>0.01801540214696318</x:v>
      </x:c>
      <x:c r="AK793" s="604" t="n"/>
      <x:c r="AL793" s="604" t="n"/>
      <x:c r="AM793" s="604" t="n"/>
      <x:c r="AN793" s="604" t="inlineStr">
        <x:is>
          <x:t xml:space="preserve">EVALUATED</x:t>
        </x:is>
      </x:c>
      <x:c r="AO793" s="604" t="inlineStr">
        <x:is>
          <x:t xml:space="preserve">EDGE_BELOW_UNCERTAINTY_THRESHOLD、BUCKET_PRIOR_ONLY、INTENT_INTERPRETATION_ONLY、EXPERT_MARKET</x:t>
        </x:is>
      </x:c>
      <x:c r="AP793" s="604" t="inlineStr">
        <x:is>
          <x:t xml:space="preserve">e6c9388c99304a9d34c9</x:t>
        </x:is>
      </x:c>
      <x:c r="AQ793" s="604" t="n">
        <x:v>0</x:v>
      </x:c>
      <x:c r="AR793" s="604" t="n"/>
      <x:c r="AS793" s="604" t="n">
        <x:v>0</x:v>
      </x:c>
      <x:c r="AT793" s="604" t="n">
        <x:v>0</x:v>
      </x:c>
      <x:c r="AU793" s="604" t="n">
        <x:v>0.91</x:v>
      </x:c>
      <x:c r="AV793" s="604" t="n">
        <x:v>0.85</x:v>
      </x:c>
      <x:c r="AW793" s="604" t="n">
        <x:v>46298.06050486111</x:v>
      </x:c>
      <x:c r="AX793" s="604" t="inlineStr">
        <x:is>
          <x:t xml:space="preserve">https://simondongxiao.github.io/odds/v4/</x:t>
        </x:is>
      </x:c>
      <x:c r="AY793" s="604" t="inlineStr">
        <x:is>
          <x:t xml:space="preserve">V4 Shadow Only；real_money=false；P(EV&gt;0)不是比赛胜率</x:t>
        </x:is>
      </x:c>
    </x:row>
    <x:row r="794" ht="22" customHeight="1">
      <x:c r="A794" s="604" t="inlineStr">
        <x:is>
          <x:t xml:space="preserve">2026-10-03</x:t>
        </x:is>
      </x:c>
      <x:c r="B794" s="604" t="inlineStr">
        <x:is>
          <x:t xml:space="preserve">2026-10-04 02:00</x:t>
        </x:is>
      </x:c>
      <x:c r="C794" s="604" t="str">
        <x:v>南美系列</x:v>
      </x:c>
      <x:c r="D794" s="604" t="inlineStr">
        <x:is>
          <x:t xml:space="preserve">联赛</x:t>
        </x:is>
      </x:c>
      <x:c r="E794" s="604" t="inlineStr">
        <x:is>
          <x:t xml:space="preserve">阿乙</x:t>
        </x:is>
      </x:c>
      <x:c r="F794" s="604" t="inlineStr">
        <x:is>
          <x:t xml:space="preserve">CA坦波利 vs 祖祖尔甘拿斯亚</x:t>
        </x:is>
      </x:c>
      <x:c r="G794" s="604" t="n">
        <x:v>0.97</x:v>
      </x:c>
      <x:c r="H794" s="604" t="n">
        <x:v>0</x:v>
      </x:c>
      <x:c r="I794" s="604" t="n">
        <x:v>0.79</x:v>
      </x:c>
      <x:c r="J794" s="604" t="inlineStr">
        <x:is>
          <x:t xml:space="preserve">0.97/0/0.79</x:t>
        </x:is>
      </x:c>
      <x:c r="K794" s="604" t="inlineStr">
        <x:is>
          <x:t xml:space="preserve">V4-C｜EV +0.0191</x:t>
        </x:is>
      </x:c>
      <x:c r="L794" s="604" t="str"/>
      <x:c r="M794" s="604" t="n">
        <x:v>0.5172845350013314</x:v>
      </x:c>
      <x:c r="N794" s="604" t="inlineStr">
        <x:is>
          <x:t xml:space="preserve">V4纸面入选-C</x:t>
        </x:is>
      </x:c>
      <x:c r="O794" s="604" t="inlineStr">
        <x:is>
          <x:t xml:space="preserve">2-1</x:t>
        </x:is>
      </x:c>
      <x:c r="P794" s="604" t="inlineStr">
        <x:is>
          <x:t xml:space="preserve">已结算</x:t>
        </x:is>
      </x:c>
      <x:c r="Q794" s="645" t="inlineStr">
        <x:is>
          <x:t xml:space="preserve">红</x:t>
        </x:is>
      </x:c>
      <x:c r="R794" s="604" t="n">
        <x:v>0.79</x:v>
      </x:c>
      <x:c r="S794" s="604" t="n">
        <x:f>IF(OR(Q794="",Q794="待结算"),"",IF(Q794="红",R794,IF(Q794="半红",R794*0.5,IF(Q794="走",0,IF(Q794="半黑",-0.5,-1)))))</x:f>
        <x:v>0.79</x:v>
      </x:c>
      <x:c r="T794" s="604" t="inlineStr">
        <x:is>
          <x:t xml:space="preserve">https://m.titan007.com/analy/Analysis/2916733.htm</x:t>
        </x:is>
      </x:c>
      <x:c r="U794" s="646" t="str">
        <x:f>IF(Q794="","",IF(Q794="待结算","待结算",IF(Q794="红","黑",IF(Q794="半红","半黑",IF(Q794="走","走",IF(Q794="半黑","半红","红"))))))</x:f>
        <x:v>黑</x:v>
      </x:c>
      <x:c r="V794" s="604" t="n">
        <x:f>IF(OR(Q794="",Q794="待结算"),"",IF(L794=LEFT(F794,FIND(" vs ",F794)-1),I794,G794))</x:f>
        <x:v>0.97</x:v>
      </x:c>
      <x:c r="W794" s="604" t="n">
        <x:f>IF(OR(U794="",U794="待结算"),"",IF(U794="红",V794,IF(U794="半红",V794*0.5,IF(U794="走",0,IF(U794="半黑",-0.5,-1)))))</x:f>
        <x:v>-1</x:v>
      </x:c>
      <x:c r="X794" s="604" t="inlineStr">
        <x:is>
          <x:t xml:space="preserve">2916733</x:t>
        </x:is>
      </x:c>
      <x:c r="Y794" s="604" t="inlineStr">
        <x:is>
          <x:t xml:space="preserve">V4</x:t>
        </x:is>
      </x:c>
      <x:c r="Z794" s="604" t="inlineStr">
        <x:is>
          <x:t xml:space="preserve">prior-2026-10-03-v1</x:t>
        </x:is>
      </x:c>
      <x:c r="AA794" s="604" t="inlineStr">
        <x:is>
          <x:t xml:space="preserve">C</x:t>
        </x:is>
      </x:c>
      <x:c r="AB794" s="604" t="n">
        <x:v>0.5172845350013314</x:v>
      </x:c>
      <x:c r="AC794" s="604" t="n"/>
      <x:c r="AD794" s="604" t="n"/>
      <x:c r="AE794" s="604" t="n"/>
      <x:c r="AF794" s="604" t="n">
        <x:v>0.4827154649986686</x:v>
      </x:c>
      <x:c r="AG794" s="604" t="n">
        <x:v>0.01905053395262285</x:v>
      </x:c>
      <x:c r="AH794" s="604" t="n"/>
      <x:c r="AI794" s="604" t="n"/>
      <x:c r="AJ794" s="604" t="n">
        <x:v>0.01905053395262285</x:v>
      </x:c>
      <x:c r="AK794" s="604" t="n"/>
      <x:c r="AL794" s="604" t="n"/>
      <x:c r="AM794" s="604" t="n"/>
      <x:c r="AN794" s="604" t="inlineStr">
        <x:is>
          <x:t xml:space="preserve">EVALUATED</x:t>
        </x:is>
      </x:c>
      <x:c r="AO794" s="604" t="inlineStr">
        <x:is>
          <x:t xml:space="preserve">EDGE_BELOW_UNCERTAINTY_THRESHOLD、BUCKET_PRIOR_ONLY、INTENT_INTERPRETATION_ONLY、EXPERT_MARKET</x:t>
        </x:is>
      </x:c>
      <x:c r="AP794" s="604" t="inlineStr">
        <x:is>
          <x:t xml:space="preserve">7f1f6fde3b5493ca61ac</x:t>
        </x:is>
      </x:c>
      <x:c r="AQ794" s="604" t="n">
        <x:v>0</x:v>
      </x:c>
      <x:c r="AR794" s="604" t="n"/>
      <x:c r="AS794" s="604" t="n">
        <x:v>0</x:v>
      </x:c>
      <x:c r="AT794" s="604" t="n">
        <x:v>0</x:v>
      </x:c>
      <x:c r="AU794" s="604" t="n">
        <x:v>0.97</x:v>
      </x:c>
      <x:c r="AV794" s="604" t="n">
        <x:v>0.79</x:v>
      </x:c>
      <x:c r="AW794" s="604" t="n">
        <x:v>46298.06050486111</x:v>
      </x:c>
      <x:c r="AX794" s="604" t="inlineStr">
        <x:is>
          <x:t xml:space="preserve">https://simondongxiao.github.io/odds/v4/</x:t>
        </x:is>
      </x:c>
      <x:c r="AY794" s="604" t="inlineStr">
        <x:is>
          <x:t xml:space="preserve">V4 Shadow Only；real_money=false；P(EV&gt;0)不是比赛胜率</x:t>
        </x:is>
      </x:c>
    </x:row>
    <x:row r="795" ht="22" customHeight="1">
      <x:c r="A795" s="604" t="inlineStr">
        <x:is>
          <x:t xml:space="preserve">2026-10-03</x:t>
        </x:is>
      </x:c>
      <x:c r="B795" s="604" t="inlineStr">
        <x:is>
          <x:t xml:space="preserve">2026-10-04 02:00</x:t>
        </x:is>
      </x:c>
      <x:c r="C795" s="604" t="str">
        <x:v>南美系列</x:v>
      </x:c>
      <x:c r="D795" s="604" t="inlineStr">
        <x:is>
          <x:t xml:space="preserve">联赛</x:t>
        </x:is>
      </x:c>
      <x:c r="E795" s="604" t="inlineStr">
        <x:is>
          <x:t xml:space="preserve">阿乙</x:t>
        </x:is>
      </x:c>
      <x:c r="F795" s="604" t="inlineStr">
        <x:is>
          <x:t xml:space="preserve">特里斯顿 vs 基尔梅斯</x:t>
        </x:is>
      </x:c>
      <x:c r="G795" s="604" t="n">
        <x:v>0.8100000000000001</x:v>
      </x:c>
      <x:c r="H795" s="604" t="n">
        <x:v>0.25</x:v>
      </x:c>
      <x:c r="I795" s="604" t="n">
        <x:v>0.95</x:v>
      </x:c>
      <x:c r="J795" s="604" t="inlineStr">
        <x:is>
          <x:t xml:space="preserve">0.81/0.25/0.95</x:t>
        </x:is>
      </x:c>
      <x:c r="K795" s="604" t="inlineStr">
        <x:is>
          <x:t xml:space="preserve">V4-C｜EV +0.0613</x:t>
        </x:is>
      </x:c>
      <x:c r="L795" s="604" t="inlineStr">
        <x:is>
          <x:t xml:space="preserve">特里斯顿</x:t>
        </x:is>
      </x:c>
      <x:c r="M795" s="604" t="n">
        <x:v>0.5912739474216573</x:v>
      </x:c>
      <x:c r="N795" s="604" t="inlineStr">
        <x:is>
          <x:t xml:space="preserve">V4纸面入选-C</x:t>
        </x:is>
      </x:c>
      <x:c r="O795" s="604" t="inlineStr">
        <x:is>
          <x:t xml:space="preserve">0-0</x:t>
        </x:is>
      </x:c>
      <x:c r="P795" s="604" t="inlineStr">
        <x:is>
          <x:t xml:space="preserve">已结算</x:t>
        </x:is>
      </x:c>
      <x:c r="Q795" s="648" t="inlineStr">
        <x:is>
          <x:t xml:space="preserve">半黑</x:t>
        </x:is>
      </x:c>
      <x:c r="R795" s="604" t="n">
        <x:v>0.8100000000000001</x:v>
      </x:c>
      <x:c r="S795" s="604" t="n">
        <x:f>IF(OR(Q795="",Q795="待结算"),"",IF(Q795="红",R795,IF(Q795="半红",R795*0.5,IF(Q795="走",0,IF(Q795="半黑",-0.5,-1)))))</x:f>
        <x:v>-0.5</x:v>
      </x:c>
      <x:c r="T795" s="604" t="inlineStr">
        <x:is>
          <x:t xml:space="preserve">https://m.titan007.com/analy/Analysis/2916734.htm</x:t>
        </x:is>
      </x:c>
      <x:c r="U795" s="649" t="str">
        <x:f>IF(Q795="","",IF(Q795="待结算","待结算",IF(Q795="红","黑",IF(Q795="半红","半黑",IF(Q795="走","走",IF(Q795="半黑","半红","红"))))))</x:f>
        <x:v>半红</x:v>
      </x:c>
      <x:c r="V795" s="604" t="n">
        <x:f>IF(OR(Q795="",Q795="待结算"),"",IF(L795=LEFT(F795,FIND(" vs ",F795)-1),I795,G795))</x:f>
        <x:v>0.95</x:v>
      </x:c>
      <x:c r="W795" s="604" t="n">
        <x:f>IF(OR(U795="",U795="待结算"),"",IF(U795="红",V795,IF(U795="半红",V795*0.5,IF(U795="走",0,IF(U795="半黑",-0.5,-1)))))</x:f>
        <x:v>0.475</x:v>
      </x:c>
      <x:c r="X795" s="604" t="inlineStr">
        <x:is>
          <x:t xml:space="preserve">2916734</x:t>
        </x:is>
      </x:c>
      <x:c r="Y795" s="604" t="inlineStr">
        <x:is>
          <x:t xml:space="preserve">V4</x:t>
        </x:is>
      </x:c>
      <x:c r="Z795" s="604" t="inlineStr">
        <x:is>
          <x:t xml:space="preserve">prior-2026-10-03-v1</x:t>
        </x:is>
      </x:c>
      <x:c r="AA795" s="604" t="inlineStr">
        <x:is>
          <x:t xml:space="preserve">C</x:t>
        </x:is>
      </x:c>
      <x:c r="AB795" s="604" t="n">
        <x:v>0.5161304015491762</x:v>
      </x:c>
      <x:c r="AC795" s="604" t="n"/>
      <x:c r="AD795" s="604" t="n"/>
      <x:c r="AE795" s="604" t="n">
        <x:v>0.2541750611544996</x:v>
      </x:c>
      <x:c r="AF795" s="604" t="n">
        <x:v>0.2296945372963241</x:v>
      </x:c>
      <x:c r="AG795" s="604" t="n">
        <x:v>0.06128355738125882</x:v>
      </x:c>
      <x:c r="AH795" s="604" t="n"/>
      <x:c r="AI795" s="604" t="n"/>
      <x:c r="AJ795" s="604" t="n">
        <x:v>0.06128355738125882</x:v>
      </x:c>
      <x:c r="AK795" s="604" t="n"/>
      <x:c r="AL795" s="604" t="n"/>
      <x:c r="AM795" s="604" t="n"/>
      <x:c r="AN795" s="604" t="inlineStr">
        <x:is>
          <x:t xml:space="preserve">EVALUATED</x:t>
        </x:is>
      </x:c>
      <x:c r="AO795" s="604" t="inlineStr">
        <x:is>
          <x:t xml:space="preserve">GIVING_VALIDATED_EDGE、BUCKET_PRIOR_ONLY、INTENT_INTERPRETATION_ONLY、EXPERT_MARKET</x:t>
        </x:is>
      </x:c>
      <x:c r="AP795" s="604" t="inlineStr">
        <x:is>
          <x:t xml:space="preserve">1ef6b66019c03d7ae68d</x:t>
        </x:is>
      </x:c>
      <x:c r="AQ795" s="604" t="n">
        <x:v>-0.25</x:v>
      </x:c>
      <x:c r="AR795" s="604" t="n">
        <x:v>0.8100000000000001</x:v>
      </x:c>
      <x:c r="AS795" s="604" t="n">
        <x:v>0.25</x:v>
      </x:c>
      <x:c r="AT795" s="604" t="n">
        <x:v>-0.25</x:v>
      </x:c>
      <x:c r="AU795" s="604" t="n">
        <x:v>0.8100000000000001</x:v>
      </x:c>
      <x:c r="AV795" s="604" t="n">
        <x:v>0.95</x:v>
      </x:c>
      <x:c r="AW795" s="604" t="n">
        <x:v>46298.06050486111</x:v>
      </x:c>
      <x:c r="AX795" s="604" t="inlineStr">
        <x:is>
          <x:t xml:space="preserve">https://simondongxiao.github.io/odds/v4/</x:t>
        </x:is>
      </x:c>
      <x:c r="AY795" s="604" t="inlineStr">
        <x:is>
          <x:t xml:space="preserve">V4 Shadow Only；real_money=false；P(EV&gt;0)不是比赛胜率</x:t>
        </x:is>
      </x:c>
    </x:row>
    <x:row r="796" ht="22" customHeight="1">
      <x:c r="A796" s="604" t="inlineStr">
        <x:is>
          <x:t xml:space="preserve">2026-10-03</x:t>
        </x:is>
      </x:c>
      <x:c r="B796" s="604" t="inlineStr">
        <x:is>
          <x:t xml:space="preserve">2026-10-04 02:00</x:t>
        </x:is>
      </x:c>
      <x:c r="C796" s="604" t="str">
        <x:v>南美系列</x:v>
      </x:c>
      <x:c r="D796" s="604" t="inlineStr">
        <x:is>
          <x:t xml:space="preserve">联赛</x:t>
        </x:is>
      </x:c>
      <x:c r="E796" s="604" t="inlineStr">
        <x:is>
          <x:t xml:space="preserve">阿乙曼特秋</x:t>
        </x:is>
      </x:c>
      <x:c r="F796" s="604" t="inlineStr">
        <x:is>
          <x:t xml:space="preserve">联合防卫队 vs 基尔梅斯阿根廷</x:t>
        </x:is>
      </x:c>
      <x:c r="G796" s="604" t="n">
        <x:v>0.95</x:v>
      </x:c>
      <x:c r="H796" s="604" t="n">
        <x:v>0</x:v>
      </x:c>
      <x:c r="I796" s="604" t="n">
        <x:v>0.75</x:v>
      </x:c>
      <x:c r="J796" s="604" t="inlineStr">
        <x:is>
          <x:t xml:space="preserve">0.95/0/0.75</x:t>
        </x:is>
      </x:c>
      <x:c r="K796" s="604" t="inlineStr">
        <x:is>
          <x:t xml:space="preserve">V4-C｜EV +0.0173</x:t>
        </x:is>
      </x:c>
      <x:c r="L796" s="604" t="str"/>
      <x:c r="M796" s="604" t="n">
        <x:v>0.5230471986245091</x:v>
      </x:c>
      <x:c r="N796" s="604" t="inlineStr">
        <x:is>
          <x:t xml:space="preserve">V4纸面入选-C</x:t>
        </x:is>
      </x:c>
      <x:c r="O796" s="604" t="inlineStr">
        <x:is>
          <x:t xml:space="preserve">1-1</x:t>
        </x:is>
      </x:c>
      <x:c r="P796" s="604" t="inlineStr">
        <x:is>
          <x:t xml:space="preserve">已结算</x:t>
        </x:is>
      </x:c>
      <x:c r="Q796" s="647" t="inlineStr">
        <x:is>
          <x:t xml:space="preserve">走</x:t>
        </x:is>
      </x:c>
      <x:c r="R796" s="604" t="n">
        <x:v>0.75</x:v>
      </x:c>
      <x:c r="S796" s="604" t="n">
        <x:f>IF(OR(Q796="",Q796="待结算"),"",IF(Q796="红",R796,IF(Q796="半红",R796*0.5,IF(Q796="走",0,IF(Q796="半黑",-0.5,-1)))))</x:f>
        <x:v>0</x:v>
      </x:c>
      <x:c r="T796" s="604" t="inlineStr">
        <x:is>
          <x:t xml:space="preserve">https://m.titan007.com/analy/Analysis/2934828.htm</x:t>
        </x:is>
      </x:c>
      <x:c r="U796" s="647" t="str">
        <x:f>IF(Q796="","",IF(Q796="待结算","待结算",IF(Q796="红","黑",IF(Q796="半红","半黑",IF(Q796="走","走",IF(Q796="半黑","半红","红"))))))</x:f>
        <x:v>走</x:v>
      </x:c>
      <x:c r="V796" s="604" t="n">
        <x:f>IF(OR(Q796="",Q796="待结算"),"",IF(L796=LEFT(F796,FIND(" vs ",F796)-1),I796,G796))</x:f>
        <x:v>0.95</x:v>
      </x:c>
      <x:c r="W796" s="604" t="n">
        <x:f>IF(OR(U796="",U796="待结算"),"",IF(U796="红",V796,IF(U796="半红",V796*0.5,IF(U796="走",0,IF(U796="半黑",-0.5,-1)))))</x:f>
        <x:v>0</x:v>
      </x:c>
      <x:c r="X796" s="604" t="inlineStr">
        <x:is>
          <x:t xml:space="preserve">2934828</x:t>
        </x:is>
      </x:c>
      <x:c r="Y796" s="604" t="inlineStr">
        <x:is>
          <x:t xml:space="preserve">V4</x:t>
        </x:is>
      </x:c>
      <x:c r="Z796" s="604" t="inlineStr">
        <x:is>
          <x:t xml:space="preserve">prior-2026-10-03-v1</x:t>
        </x:is>
      </x:c>
      <x:c r="AA796" s="604" t="inlineStr">
        <x:is>
          <x:t xml:space="preserve">C</x:t>
        </x:is>
      </x:c>
      <x:c r="AB796" s="604" t="n">
        <x:v>0.454348647064506</x:v>
      </x:c>
      <x:c r="AC796" s="604" t="n"/>
      <x:c r="AD796" s="604" t="n"/>
      <x:c r="AE796" s="604" t="n">
        <x:v>0.2626858598637525</x:v>
      </x:c>
      <x:c r="AF796" s="604" t="n">
        <x:v>0.2829654930717415</x:v>
      </x:c>
      <x:c r="AG796" s="604" t="n">
        <x:v>0.01732279170766293</x:v>
      </x:c>
      <x:c r="AH796" s="604" t="n"/>
      <x:c r="AI796" s="604" t="n"/>
      <x:c r="AJ796" s="604" t="n">
        <x:v>0.01732279170766293</x:v>
      </x:c>
      <x:c r="AK796" s="604" t="n"/>
      <x:c r="AL796" s="604" t="n"/>
      <x:c r="AM796" s="604" t="n"/>
      <x:c r="AN796" s="604" t="inlineStr">
        <x:is>
          <x:t xml:space="preserve">EVALUATED</x:t>
        </x:is>
      </x:c>
      <x:c r="AO796" s="604" t="inlineStr">
        <x:is>
          <x:t xml:space="preserve">EDGE_BELOW_UNCERTAINTY_THRESHOLD、BUCKET_PRIOR_ONLY、INTENT_INTERPRETATION_ONLY、EXPERT_MARKET</x:t>
        </x:is>
      </x:c>
      <x:c r="AP796" s="604" t="inlineStr">
        <x:is>
          <x:t xml:space="preserve">d3404dfcb65eaa651937</x:t>
        </x:is>
      </x:c>
      <x:c r="AQ796" s="604" t="n">
        <x:v>0</x:v>
      </x:c>
      <x:c r="AR796" s="604" t="n"/>
      <x:c r="AS796" s="604" t="n">
        <x:v>0</x:v>
      </x:c>
      <x:c r="AT796" s="604" t="n">
        <x:v>0</x:v>
      </x:c>
      <x:c r="AU796" s="604" t="n">
        <x:v>0.95</x:v>
      </x:c>
      <x:c r="AV796" s="604" t="n">
        <x:v>0.75</x:v>
      </x:c>
      <x:c r="AW796" s="604" t="n">
        <x:v>46298.06050486111</x:v>
      </x:c>
      <x:c r="AX796" s="604" t="inlineStr">
        <x:is>
          <x:t xml:space="preserve">https://simondongxiao.github.io/odds/v4/</x:t>
        </x:is>
      </x:c>
      <x:c r="AY796" s="604" t="inlineStr">
        <x:is>
          <x:t xml:space="preserve">V4 Shadow Only；real_money=false；P(EV&gt;0)不是比赛胜率</x:t>
        </x:is>
      </x:c>
    </x:row>
    <x:row r="797" ht="22" customHeight="1">
      <x:c r="A797" s="604" t="inlineStr">
        <x:is>
          <x:t xml:space="preserve">2026-10-03</x:t>
        </x:is>
      </x:c>
      <x:c r="B797" s="604" t="inlineStr">
        <x:is>
          <x:t xml:space="preserve">2026-10-04 02:00</x:t>
        </x:is>
      </x:c>
      <x:c r="C797" s="604" t="str">
        <x:v>南美系列</x:v>
      </x:c>
      <x:c r="D797" s="604" t="inlineStr">
        <x:is>
          <x:t xml:space="preserve">联赛</x:t>
        </x:is>
      </x:c>
      <x:c r="E797" s="604" t="inlineStr">
        <x:is>
          <x:t xml:space="preserve">阿乙曼特秋</x:t>
        </x:is>
      </x:c>
      <x:c r="F797" s="604" t="inlineStr">
        <x:is>
          <x:t xml:space="preserve">卡米尼罗斯 vs 拉费雷尔</x:t>
        </x:is>
      </x:c>
      <x:c r="G797" s="604" t="n">
        <x:v>0.96</x:v>
      </x:c>
      <x:c r="H797" s="604" t="n">
        <x:v>0.25</x:v>
      </x:c>
      <x:c r="I797" s="604" t="n">
        <x:v>0.74</x:v>
      </x:c>
      <x:c r="J797" s="604" t="inlineStr">
        <x:is>
          <x:t xml:space="preserve">0.96/0.25/0.74</x:t>
        </x:is>
      </x:c>
      <x:c r="K797" s="604" t="inlineStr">
        <x:is>
          <x:t xml:space="preserve">V4-B｜EV +0.1443</x:t>
        </x:is>
      </x:c>
      <x:c r="L797" s="604" t="inlineStr">
        <x:is>
          <x:t xml:space="preserve">卡米尼罗斯</x:t>
        </x:is>
      </x:c>
      <x:c r="M797" s="604" t="n">
        <x:v>0.5943362453368302</x:v>
      </x:c>
      <x:c r="N797" s="604" t="inlineStr">
        <x:is>
          <x:t xml:space="preserve">V4纸面入选-B</x:t>
        </x:is>
      </x:c>
      <x:c r="O797" s="604" t="inlineStr">
        <x:is>
          <x:t xml:space="preserve">1-2</x:t>
        </x:is>
      </x:c>
      <x:c r="P797" s="604" t="inlineStr">
        <x:is>
          <x:t xml:space="preserve">已结算</x:t>
        </x:is>
      </x:c>
      <x:c r="Q797" s="646" t="inlineStr">
        <x:is>
          <x:t xml:space="preserve">黑</x:t>
        </x:is>
      </x:c>
      <x:c r="R797" s="604" t="n">
        <x:v>0.96</x:v>
      </x:c>
      <x:c r="S797" s="604" t="n">
        <x:f>IF(OR(Q797="",Q797="待结算"),"",IF(Q797="红",R797,IF(Q797="半红",R797*0.5,IF(Q797="走",0,IF(Q797="半黑",-0.5,-1)))))</x:f>
        <x:v>-1</x:v>
      </x:c>
      <x:c r="T797" s="604" t="inlineStr">
        <x:is>
          <x:t xml:space="preserve">https://m.titan007.com/analy/Analysis/2934830.htm</x:t>
        </x:is>
      </x:c>
      <x:c r="U797" s="645" t="str">
        <x:f>IF(Q797="","",IF(Q797="待结算","待结算",IF(Q797="红","黑",IF(Q797="半红","半黑",IF(Q797="走","走",IF(Q797="半黑","半红","红"))))))</x:f>
        <x:v>红</x:v>
      </x:c>
      <x:c r="V797" s="604" t="n">
        <x:f>IF(OR(Q797="",Q797="待结算"),"",IF(L797=LEFT(F797,FIND(" vs ",F797)-1),I797,G797))</x:f>
        <x:v>0.74</x:v>
      </x:c>
      <x:c r="W797" s="604" t="n">
        <x:f>IF(OR(U797="",U797="待结算"),"",IF(U797="红",V797,IF(U797="半红",V797*0.5,IF(U797="走",0,IF(U797="半黑",-0.5,-1)))))</x:f>
        <x:v>0.74</x:v>
      </x:c>
      <x:c r="X797" s="604" t="inlineStr">
        <x:is>
          <x:t xml:space="preserve">2934830</x:t>
        </x:is>
      </x:c>
      <x:c r="Y797" s="604" t="inlineStr">
        <x:is>
          <x:t xml:space="preserve">V4</x:t>
        </x:is>
      </x:c>
      <x:c r="Z797" s="604" t="inlineStr">
        <x:is>
          <x:t xml:space="preserve">prior-2026-10-03-v1</x:t>
        </x:is>
      </x:c>
      <x:c r="AA797" s="604" t="inlineStr">
        <x:is>
          <x:t xml:space="preserve">B</x:t>
        </x:is>
      </x:c>
      <x:c r="AB797" s="604" t="n">
        <x:v>0.5199434945728461</x:v>
      </x:c>
      <x:c r="AC797" s="604" t="n"/>
      <x:c r="AD797" s="604" t="n"/>
      <x:c r="AE797" s="604" t="n">
        <x:v>0.2503389330456307</x:v>
      </x:c>
      <x:c r="AF797" s="604" t="n">
        <x:v>0.2297175723815233</x:v>
      </x:c>
      <x:c r="AG797" s="604" t="n">
        <x:v>0.1442587158855935</x:v>
      </x:c>
      <x:c r="AH797" s="604" t="n"/>
      <x:c r="AI797" s="604" t="n"/>
      <x:c r="AJ797" s="604" t="n">
        <x:v>0.1442587158855935</x:v>
      </x:c>
      <x:c r="AK797" s="604" t="n"/>
      <x:c r="AL797" s="604" t="n"/>
      <x:c r="AM797" s="604" t="n"/>
      <x:c r="AN797" s="604" t="inlineStr">
        <x:is>
          <x:t xml:space="preserve">EVALUATED</x:t>
        </x:is>
      </x:c>
      <x:c r="AO797" s="604" t="inlineStr">
        <x:is>
          <x:t xml:space="preserve">GIVING_VALIDATED_EDGE、BUCKET_PRIOR_ONLY、INTENT_INTERPRETATION_ONLY、EXPERT_MARKET</x:t>
        </x:is>
      </x:c>
      <x:c r="AP797" s="604" t="inlineStr">
        <x:is>
          <x:t xml:space="preserve">04034e0b39d31679123d</x:t>
        </x:is>
      </x:c>
      <x:c r="AQ797" s="604" t="n">
        <x:v>-0.25</x:v>
      </x:c>
      <x:c r="AR797" s="604" t="n">
        <x:v>0.96</x:v>
      </x:c>
      <x:c r="AS797" s="604" t="n">
        <x:v>0.25</x:v>
      </x:c>
      <x:c r="AT797" s="604" t="n">
        <x:v>-0.25</x:v>
      </x:c>
      <x:c r="AU797" s="604" t="n">
        <x:v>0.96</x:v>
      </x:c>
      <x:c r="AV797" s="604" t="n">
        <x:v>0.74</x:v>
      </x:c>
      <x:c r="AW797" s="604" t="n">
        <x:v>46298.06050486111</x:v>
      </x:c>
      <x:c r="AX797" s="604" t="inlineStr">
        <x:is>
          <x:t xml:space="preserve">https://simondongxiao.github.io/odds/v4/</x:t>
        </x:is>
      </x:c>
      <x:c r="AY797" s="604" t="inlineStr">
        <x:is>
          <x:t xml:space="preserve">V4 Shadow Only；real_money=false；P(EV&gt;0)不是比赛胜率</x:t>
        </x:is>
      </x:c>
    </x:row>
    <x:row r="798" ht="22" customHeight="1">
      <x:c r="A798" s="604" t="inlineStr">
        <x:is>
          <x:t xml:space="preserve">2026-10-03</x:t>
        </x:is>
      </x:c>
      <x:c r="B798" s="604" t="inlineStr">
        <x:is>
          <x:t xml:space="preserve">2026-10-04 02:00</x:t>
        </x:is>
      </x:c>
      <x:c r="C798" s="604" t="str">
        <x:v>南美系列</x:v>
      </x:c>
      <x:c r="D798" s="604" t="inlineStr">
        <x:is>
          <x:t xml:space="preserve">联赛</x:t>
        </x:is>
      </x:c>
      <x:c r="E798" s="604" t="inlineStr">
        <x:is>
          <x:t xml:space="preserve">阿乙曼特秋</x:t>
        </x:is>
      </x:c>
      <x:c r="F798" s="604" t="inlineStr">
        <x:is>
          <x:t xml:space="preserve">圣马丁布萨科 vs 梅洛小阿根廷</x:t>
        </x:is>
      </x:c>
      <x:c r="G798" s="604" t="n">
        <x:v>0.85</x:v>
      </x:c>
      <x:c r="H798" s="604" t="n">
        <x:v>0.25</x:v>
      </x:c>
      <x:c r="I798" s="604" t="n">
        <x:v>0.85</x:v>
      </x:c>
      <x:c r="J798" s="604" t="inlineStr">
        <x:is>
          <x:t xml:space="preserve">0.85/0.25/0.85</x:t>
        </x:is>
      </x:c>
      <x:c r="K798" s="604" t="inlineStr">
        <x:is>
          <x:t xml:space="preserve">V4-B｜EV +0.2372</x:t>
        </x:is>
      </x:c>
      <x:c r="L798" s="604" t="inlineStr">
        <x:is>
          <x:t xml:space="preserve">圣马丁布萨科</x:t>
        </x:is>
      </x:c>
      <x:c r="M798" s="604" t="n">
        <x:v>0.6853021630296685</x:v>
      </x:c>
      <x:c r="N798" s="604" t="inlineStr">
        <x:is>
          <x:t xml:space="preserve">V4纸面入选-B</x:t>
        </x:is>
      </x:c>
      <x:c r="O798" s="604" t="inlineStr">
        <x:is>
          <x:t xml:space="preserve">2-1</x:t>
        </x:is>
      </x:c>
      <x:c r="P798" s="604" t="inlineStr">
        <x:is>
          <x:t xml:space="preserve">已结算</x:t>
        </x:is>
      </x:c>
      <x:c r="Q798" s="645" t="inlineStr">
        <x:is>
          <x:t xml:space="preserve">红</x:t>
        </x:is>
      </x:c>
      <x:c r="R798" s="604" t="n">
        <x:v>0.85</x:v>
      </x:c>
      <x:c r="S798" s="604" t="n">
        <x:f>IF(OR(Q798="",Q798="待结算"),"",IF(Q798="红",R798,IF(Q798="半红",R798*0.5,IF(Q798="走",0,IF(Q798="半黑",-0.5,-1)))))</x:f>
        <x:v>0.85</x:v>
      </x:c>
      <x:c r="T798" s="604" t="inlineStr">
        <x:is>
          <x:t xml:space="preserve">https://m.titan007.com/analy/Analysis/2934833.htm</x:t>
        </x:is>
      </x:c>
      <x:c r="U798" s="646" t="str">
        <x:f>IF(Q798="","",IF(Q798="待结算","待结算",IF(Q798="红","黑",IF(Q798="半红","半黑",IF(Q798="走","走",IF(Q798="半黑","半红","红"))))))</x:f>
        <x:v>黑</x:v>
      </x:c>
      <x:c r="V798" s="604" t="n">
        <x:f>IF(OR(Q798="",Q798="待结算"),"",IF(L798=LEFT(F798,FIND(" vs ",F798)-1),I798,G798))</x:f>
        <x:v>0.85</x:v>
      </x:c>
      <x:c r="W798" s="604" t="n">
        <x:f>IF(OR(U798="",U798="待结算"),"",IF(U798="红",V798,IF(U798="半红",V798*0.5,IF(U798="走",0,IF(U798="半黑",-0.5,-1)))))</x:f>
        <x:v>-1</x:v>
      </x:c>
      <x:c r="X798" s="604" t="inlineStr">
        <x:is>
          <x:t xml:space="preserve">2934833</x:t>
        </x:is>
      </x:c>
      <x:c r="Y798" s="604" t="inlineStr">
        <x:is>
          <x:t xml:space="preserve">V4</x:t>
        </x:is>
      </x:c>
      <x:c r="Z798" s="604" t="inlineStr">
        <x:is>
          <x:t xml:space="preserve">prior-2026-10-03-v1</x:t>
        </x:is>
      </x:c>
      <x:c r="AA798" s="604" t="inlineStr">
        <x:is>
          <x:t xml:space="preserve">B</x:t>
        </x:is>
      </x:c>
      <x:c r="AB798" s="604" t="n">
        <x:v>0.6068613313648382</x:v>
      </x:c>
      <x:c r="AC798" s="604" t="n"/>
      <x:c r="AD798" s="604" t="n"/>
      <x:c r="AE798" s="604" t="n">
        <x:v>0.2289233447565652</x:v>
      </x:c>
      <x:c r="AF798" s="604" t="n">
        <x:v>0.1642153238785966</x:v>
      </x:c>
      <x:c r="AG798" s="604" t="n">
        <x:v>0.2371551354032332</x:v>
      </x:c>
      <x:c r="AH798" s="604" t="n"/>
      <x:c r="AI798" s="604" t="n"/>
      <x:c r="AJ798" s="604" t="n">
        <x:v>0.2371551354032332</x:v>
      </x:c>
      <x:c r="AK798" s="604" t="n"/>
      <x:c r="AL798" s="604" t="n"/>
      <x:c r="AM798" s="604" t="n"/>
      <x:c r="AN798" s="604" t="inlineStr">
        <x:is>
          <x:t xml:space="preserve">EVALUATED</x:t>
        </x:is>
      </x:c>
      <x:c r="AO798" s="604" t="inlineStr">
        <x:is>
          <x:t xml:space="preserve">GIVING_VALIDATED_EDGE、BUCKET_PRIOR_ONLY、INTENT_INTERPRETATION_ONLY、EXPERT_MARKET</x:t>
        </x:is>
      </x:c>
      <x:c r="AP798" s="604" t="inlineStr">
        <x:is>
          <x:t xml:space="preserve">8003d460501abceac932</x:t>
        </x:is>
      </x:c>
      <x:c r="AQ798" s="604" t="n">
        <x:v>-0.25</x:v>
      </x:c>
      <x:c r="AR798" s="604" t="n">
        <x:v>0.85</x:v>
      </x:c>
      <x:c r="AS798" s="604" t="n">
        <x:v>0.25</x:v>
      </x:c>
      <x:c r="AT798" s="604" t="n">
        <x:v>-0.25</x:v>
      </x:c>
      <x:c r="AU798" s="604" t="n">
        <x:v>0.85</x:v>
      </x:c>
      <x:c r="AV798" s="604" t="n">
        <x:v>0.85</x:v>
      </x:c>
      <x:c r="AW798" s="604" t="n">
        <x:v>46298.06050486111</x:v>
      </x:c>
      <x:c r="AX798" s="604" t="inlineStr">
        <x:is>
          <x:t xml:space="preserve">https://simondongxiao.github.io/odds/v4/</x:t>
        </x:is>
      </x:c>
      <x:c r="AY798" s="604" t="inlineStr">
        <x:is>
          <x:t xml:space="preserve">V4 Shadow Only；real_money=false；P(EV&gt;0)不是比赛胜率</x:t>
        </x:is>
      </x:c>
    </x:row>
    <x:row r="799" ht="22" customHeight="1">
      <x:c r="A799" s="604" t="inlineStr">
        <x:is>
          <x:t xml:space="preserve">2026-10-03</x:t>
        </x:is>
      </x:c>
      <x:c r="B799" s="604" t="inlineStr">
        <x:is>
          <x:t xml:space="preserve">2026-10-04 02:00</x:t>
        </x:is>
      </x:c>
      <x:c r="C799" s="604" t="str">
        <x:v>南美系列</x:v>
      </x:c>
      <x:c r="D799" s="604" t="inlineStr">
        <x:is>
          <x:t xml:space="preserve">联赛</x:t>
        </x:is>
      </x:c>
      <x:c r="E799" s="604" t="inlineStr">
        <x:is>
          <x:t xml:space="preserve">阿乙曼特秋</x:t>
        </x:is>
      </x:c>
      <x:c r="F799" s="604" t="inlineStr">
        <x:is>
          <x:t xml:space="preserve">维拉圣卡罗斯 vs 萨兰迪兵工厂</x:t>
        </x:is>
      </x:c>
      <x:c r="G799" s="604" t="n">
        <x:v>0.87</x:v>
      </x:c>
      <x:c r="H799" s="604" t="n">
        <x:v>-0.25</x:v>
      </x:c>
      <x:c r="I799" s="604" t="n">
        <x:v>0.83</x:v>
      </x:c>
      <x:c r="J799" s="604" t="inlineStr">
        <x:is>
          <x:t xml:space="preserve">0.87/-0.25/0.83</x:t>
        </x:is>
      </x:c>
      <x:c r="K799" s="604" t="inlineStr">
        <x:is>
          <x:t xml:space="preserve">V4-B｜EV +0.1856</x:t>
        </x:is>
      </x:c>
      <x:c r="L799" s="604" t="inlineStr">
        <x:is>
          <x:t xml:space="preserve">萨兰迪兵工厂</x:t>
        </x:is>
      </x:c>
      <x:c r="M799" s="604" t="n">
        <x:v>0.6613750598503533</x:v>
      </x:c>
      <x:c r="N799" s="604" t="inlineStr">
        <x:is>
          <x:t xml:space="preserve">V4纸面入选-B</x:t>
        </x:is>
      </x:c>
      <x:c r="O799" s="604" t="inlineStr">
        <x:is>
          <x:t xml:space="preserve">1-0</x:t>
        </x:is>
      </x:c>
      <x:c r="P799" s="604" t="inlineStr">
        <x:is>
          <x:t xml:space="preserve">已结算</x:t>
        </x:is>
      </x:c>
      <x:c r="Q799" s="645" t="inlineStr">
        <x:is>
          <x:t xml:space="preserve">红</x:t>
        </x:is>
      </x:c>
      <x:c r="R799" s="604" t="n">
        <x:v>0.83</x:v>
      </x:c>
      <x:c r="S799" s="604" t="n">
        <x:f>IF(OR(Q799="",Q799="待结算"),"",IF(Q799="红",R799,IF(Q799="半红",R799*0.5,IF(Q799="走",0,IF(Q799="半黑",-0.5,-1)))))</x:f>
        <x:v>0.83</x:v>
      </x:c>
      <x:c r="T799" s="604" t="inlineStr">
        <x:is>
          <x:t xml:space="preserve">https://m.titan007.com/analy/Analysis/2934836.htm</x:t>
        </x:is>
      </x:c>
      <x:c r="U799" s="646" t="str">
        <x:f>IF(Q799="","",IF(Q799="待结算","待结算",IF(Q799="红","黑",IF(Q799="半红","半黑",IF(Q799="走","走",IF(Q799="半黑","半红","红"))))))</x:f>
        <x:v>黑</x:v>
      </x:c>
      <x:c r="V799" s="604" t="n">
        <x:f>IF(OR(Q799="",Q799="待结算"),"",IF(L799=LEFT(F799,FIND(" vs ",F799)-1),I799,G799))</x:f>
        <x:v>0.87</x:v>
      </x:c>
      <x:c r="W799" s="604" t="n">
        <x:f>IF(OR(U799="",U799="待结算"),"",IF(U799="红",V799,IF(U799="半红",V799*0.5,IF(U799="走",0,IF(U799="半黑",-0.5,-1)))))</x:f>
        <x:v>-1</x:v>
      </x:c>
      <x:c r="X799" s="604" t="inlineStr">
        <x:is>
          <x:t xml:space="preserve">2934836</x:t>
        </x:is>
      </x:c>
      <x:c r="Y799" s="604" t="inlineStr">
        <x:is>
          <x:t xml:space="preserve">V4</x:t>
        </x:is>
      </x:c>
      <x:c r="Z799" s="604" t="inlineStr">
        <x:is>
          <x:t xml:space="preserve">prior-2026-10-03-v1</x:t>
        </x:is>
      </x:c>
      <x:c r="AA799" s="604" t="inlineStr">
        <x:is>
          <x:t xml:space="preserve">B</x:t>
        </x:is>
      </x:c>
      <x:c r="AB799" s="604" t="n">
        <x:v>0.5835167582709204</x:v>
      </x:c>
      <x:c r="AC799" s="604" t="n"/>
      <x:c r="AD799" s="604" t="n"/>
      <x:c r="AE799" s="604" t="n">
        <x:v>0.235443718113742</x:v>
      </x:c>
      <x:c r="AF799" s="604" t="n">
        <x:v>0.1810395236153377</x:v>
      </x:c>
      <x:c r="AG799" s="604" t="n">
        <x:v>0.1855575266926553</x:v>
      </x:c>
      <x:c r="AH799" s="604" t="n"/>
      <x:c r="AI799" s="604" t="n"/>
      <x:c r="AJ799" s="604" t="n">
        <x:v>0.1855575266926553</x:v>
      </x:c>
      <x:c r="AK799" s="604" t="n"/>
      <x:c r="AL799" s="604" t="n"/>
      <x:c r="AM799" s="604" t="n"/>
      <x:c r="AN799" s="604" t="inlineStr">
        <x:is>
          <x:t xml:space="preserve">EVALUATED</x:t>
        </x:is>
      </x:c>
      <x:c r="AO799" s="604" t="inlineStr">
        <x:is>
          <x:t xml:space="preserve">GIVING_VALIDATED_EDGE、BUCKET_PRIOR_ONLY、INTENT_INTERPRETATION_ONLY、EXPERT_MARKET</x:t>
        </x:is>
      </x:c>
      <x:c r="AP799" s="604" t="inlineStr">
        <x:is>
          <x:t xml:space="preserve">624005a1d741ac7dde61</x:t>
        </x:is>
      </x:c>
      <x:c r="AQ799" s="604" t="n">
        <x:v>-0.25</x:v>
      </x:c>
      <x:c r="AR799" s="604" t="n">
        <x:v>0.83</x:v>
      </x:c>
      <x:c r="AS799" s="604" t="n">
        <x:v>-0.25</x:v>
      </x:c>
      <x:c r="AT799" s="604" t="n">
        <x:v>0.25</x:v>
      </x:c>
      <x:c r="AU799" s="604" t="n">
        <x:v>0.87</x:v>
      </x:c>
      <x:c r="AV799" s="604" t="n">
        <x:v>0.83</x:v>
      </x:c>
      <x:c r="AW799" s="604" t="n">
        <x:v>46298.06050486111</x:v>
      </x:c>
      <x:c r="AX799" s="604" t="inlineStr">
        <x:is>
          <x:t xml:space="preserve">https://simondongxiao.github.io/odds/v4/</x:t>
        </x:is>
      </x:c>
      <x:c r="AY799" s="604" t="inlineStr">
        <x:is>
          <x:t xml:space="preserve">V4 Shadow Only；real_money=false；P(EV&gt;0)不是比赛胜率</x:t>
        </x:is>
      </x:c>
    </x:row>
    <x:row r="800" ht="22" customHeight="1">
      <x:c r="A800" s="604" t="inlineStr">
        <x:is>
          <x:t xml:space="preserve">2026-10-03</x:t>
        </x:is>
      </x:c>
      <x:c r="B800" s="604" t="inlineStr">
        <x:is>
          <x:t xml:space="preserve">2026-10-04 02:00</x:t>
        </x:is>
      </x:c>
      <x:c r="C800" s="604" t="str">
        <x:v>南美系列</x:v>
      </x:c>
      <x:c r="D800" s="604" t="inlineStr">
        <x:is>
          <x:t xml:space="preserve">联赛</x:t>
        </x:is>
      </x:c>
      <x:c r="E800" s="604" t="inlineStr">
        <x:is>
          <x:t xml:space="preserve">阿乙曼特秋</x:t>
        </x:is>
      </x:c>
      <x:c r="F800" s="604" t="inlineStr">
        <x:is>
          <x:t xml:space="preserve">利涅尔斯 vs 伊希库斯尼斯塔史</x:t>
        </x:is>
      </x:c>
      <x:c r="G800" s="604" t="n">
        <x:v>0.77</x:v>
      </x:c>
      <x:c r="H800" s="604" t="n">
        <x:v>-0.5</x:v>
      </x:c>
      <x:c r="I800" s="604" t="n">
        <x:v>0.93</x:v>
      </x:c>
      <x:c r="J800" s="604" t="inlineStr">
        <x:is>
          <x:t xml:space="preserve">0.77/-0.5/0.93</x:t>
        </x:is>
      </x:c>
      <x:c r="K800" s="604" t="inlineStr">
        <x:is>
          <x:t xml:space="preserve">V4-B｜EV +0.1497</x:t>
        </x:is>
      </x:c>
      <x:c r="L800" s="604" t="inlineStr">
        <x:is>
          <x:t xml:space="preserve">伊希库斯尼斯塔史</x:t>
        </x:is>
      </x:c>
      <x:c r="M800" s="604" t="n">
        <x:v>0.5957249632079717</x:v>
      </x:c>
      <x:c r="N800" s="604" t="inlineStr">
        <x:is>
          <x:t xml:space="preserve">V4纸面入选-B</x:t>
        </x:is>
      </x:c>
      <x:c r="O800" s="604" t="inlineStr">
        <x:is>
          <x:t xml:space="preserve">1-0</x:t>
        </x:is>
      </x:c>
      <x:c r="P800" s="604" t="inlineStr">
        <x:is>
          <x:t xml:space="preserve">已结算</x:t>
        </x:is>
      </x:c>
      <x:c r="Q800" s="645" t="inlineStr">
        <x:is>
          <x:t xml:space="preserve">红</x:t>
        </x:is>
      </x:c>
      <x:c r="R800" s="604" t="n">
        <x:v>0.93</x:v>
      </x:c>
      <x:c r="S800" s="604" t="n">
        <x:f>IF(OR(Q800="",Q800="待结算"),"",IF(Q800="红",R800,IF(Q800="半红",R800*0.5,IF(Q800="走",0,IF(Q800="半黑",-0.5,-1)))))</x:f>
        <x:v>0.93</x:v>
      </x:c>
      <x:c r="T800" s="604" t="inlineStr">
        <x:is>
          <x:t xml:space="preserve">https://m.titan007.com/analy/Analysis/2934837.htm</x:t>
        </x:is>
      </x:c>
      <x:c r="U800" s="646" t="str">
        <x:f>IF(Q800="","",IF(Q800="待结算","待结算",IF(Q800="红","黑",IF(Q800="半红","半黑",IF(Q800="走","走",IF(Q800="半黑","半红","红"))))))</x:f>
        <x:v>黑</x:v>
      </x:c>
      <x:c r="V800" s="604" t="n">
        <x:f>IF(OR(Q800="",Q800="待结算"),"",IF(L800=LEFT(F800,FIND(" vs ",F800)-1),I800,G800))</x:f>
        <x:v>0.77</x:v>
      </x:c>
      <x:c r="W800" s="604" t="n">
        <x:f>IF(OR(U800="",U800="待结算"),"",IF(U800="红",V800,IF(U800="半红",V800*0.5,IF(U800="走",0,IF(U800="半黑",-0.5,-1)))))</x:f>
        <x:v>-1</x:v>
      </x:c>
      <x:c r="X800" s="604" t="inlineStr">
        <x:is>
          <x:t xml:space="preserve">2934837</x:t>
        </x:is>
      </x:c>
      <x:c r="Y800" s="604" t="inlineStr">
        <x:is>
          <x:t xml:space="preserve">V4</x:t>
        </x:is>
      </x:c>
      <x:c r="Z800" s="604" t="inlineStr">
        <x:is>
          <x:t xml:space="preserve">prior-2026-10-03-v1</x:t>
        </x:is>
      </x:c>
      <x:c r="AA800" s="604" t="inlineStr">
        <x:is>
          <x:t xml:space="preserve">B</x:t>
        </x:is>
      </x:c>
      <x:c r="AB800" s="604" t="n">
        <x:v>0.5957249632079717</x:v>
      </x:c>
      <x:c r="AC800" s="604" t="n"/>
      <x:c r="AD800" s="604" t="n"/>
      <x:c r="AE800" s="604" t="n"/>
      <x:c r="AF800" s="604" t="n">
        <x:v>0.4042750367920283</x:v>
      </x:c>
      <x:c r="AG800" s="604" t="n">
        <x:v>0.1497491789913855</x:v>
      </x:c>
      <x:c r="AH800" s="604" t="n"/>
      <x:c r="AI800" s="604" t="n"/>
      <x:c r="AJ800" s="604" t="n">
        <x:v>0.1497491789913855</x:v>
      </x:c>
      <x:c r="AK800" s="604" t="n"/>
      <x:c r="AL800" s="604" t="n"/>
      <x:c r="AM800" s="604" t="n"/>
      <x:c r="AN800" s="604" t="inlineStr">
        <x:is>
          <x:t xml:space="preserve">EVALUATED</x:t>
        </x:is>
      </x:c>
      <x:c r="AO800" s="604" t="inlineStr">
        <x:is>
          <x:t xml:space="preserve">GIVING_VALIDATED_EDGE、BUCKET_PRIOR_ONLY、INTENT_INTERPRETATION_ONLY、EXPERT_MARKET</x:t>
        </x:is>
      </x:c>
      <x:c r="AP800" s="604" t="inlineStr">
        <x:is>
          <x:t xml:space="preserve">533eb50757f4d79e194d</x:t>
        </x:is>
      </x:c>
      <x:c r="AQ800" s="604" t="n">
        <x:v>-0.5</x:v>
      </x:c>
      <x:c r="AR800" s="604" t="n">
        <x:v>0.93</x:v>
      </x:c>
      <x:c r="AS800" s="604" t="n">
        <x:v>-0.5</x:v>
      </x:c>
      <x:c r="AT800" s="604" t="n">
        <x:v>0.5</x:v>
      </x:c>
      <x:c r="AU800" s="604" t="n">
        <x:v>0.77</x:v>
      </x:c>
      <x:c r="AV800" s="604" t="n">
        <x:v>0.93</x:v>
      </x:c>
      <x:c r="AW800" s="604" t="n">
        <x:v>46298.06050486111</x:v>
      </x:c>
      <x:c r="AX800" s="604" t="inlineStr">
        <x:is>
          <x:t xml:space="preserve">https://simondongxiao.github.io/odds/v4/</x:t>
        </x:is>
      </x:c>
      <x:c r="AY800" s="604" t="inlineStr">
        <x:is>
          <x:t xml:space="preserve">V4 Shadow Only；real_money=false；P(EV&gt;0)不是比赛胜率</x:t>
        </x:is>
      </x:c>
    </x:row>
    <x:row r="801" ht="22" customHeight="1">
      <x:c r="A801" s="604" t="inlineStr">
        <x:is>
          <x:t xml:space="preserve">2026-10-03</x:t>
        </x:is>
      </x:c>
      <x:c r="B801" s="604" t="inlineStr">
        <x:is>
          <x:t xml:space="preserve">2026-10-04 02:00</x:t>
        </x:is>
      </x:c>
      <x:c r="C801" s="604" t="str">
        <x:v>其他系列</x:v>
      </x:c>
      <x:c r="D801" s="604" t="inlineStr">
        <x:is>
          <x:t xml:space="preserve">联赛</x:t>
        </x:is>
      </x:c>
      <x:c r="E801" s="604" t="inlineStr">
        <x:is>
          <x:t xml:space="preserve">国际友谊</x:t>
        </x:is>
      </x:c>
      <x:c r="F801" s="604" t="inlineStr">
        <x:is>
          <x:t xml:space="preserve">加拿大 vs 秘鲁</x:t>
        </x:is>
      </x:c>
      <x:c r="G801" s="604" t="n">
        <x:v>1.04</x:v>
      </x:c>
      <x:c r="H801" s="604" t="n">
        <x:v>1</x:v>
      </x:c>
      <x:c r="I801" s="604" t="n">
        <x:v>0.78</x:v>
      </x:c>
      <x:c r="J801" s="604" t="inlineStr">
        <x:is>
          <x:t xml:space="preserve">1.04/1/0.78</x:t>
        </x:is>
      </x:c>
      <x:c r="K801" s="604" t="inlineStr">
        <x:is>
          <x:t xml:space="preserve">V4-C｜EV +0.0883</x:t>
        </x:is>
      </x:c>
      <x:c r="L801" s="604" t="inlineStr">
        <x:is>
          <x:t xml:space="preserve">加拿大</x:t>
        </x:is>
      </x:c>
      <x:c r="M801" s="604" t="n">
        <x:v>0.5484283955108386</x:v>
      </x:c>
      <x:c r="N801" s="604" t="inlineStr">
        <x:is>
          <x:t xml:space="preserve">V4纸面入选-C</x:t>
        </x:is>
      </x:c>
      <x:c r="O801" s="604" t="inlineStr">
        <x:is>
          <x:t xml:space="preserve">2-0</x:t>
        </x:is>
      </x:c>
      <x:c r="P801" s="604" t="inlineStr">
        <x:is>
          <x:t xml:space="preserve">已结算</x:t>
        </x:is>
      </x:c>
      <x:c r="Q801" s="645" t="inlineStr">
        <x:is>
          <x:t xml:space="preserve">红</x:t>
        </x:is>
      </x:c>
      <x:c r="R801" s="604" t="n">
        <x:v>1.04</x:v>
      </x:c>
      <x:c r="S801" s="604" t="n">
        <x:f>IF(OR(Q801="",Q801="待结算"),"",IF(Q801="红",R801,IF(Q801="半红",R801*0.5,IF(Q801="走",0,IF(Q801="半黑",-0.5,-1)))))</x:f>
        <x:v>1.04</x:v>
      </x:c>
      <x:c r="T801" s="604" t="inlineStr">
        <x:is>
          <x:t xml:space="preserve">https://m.titan007.com/analy/Analysis/3096091.htm</x:t>
        </x:is>
      </x:c>
      <x:c r="U801" s="646" t="str">
        <x:f>IF(Q801="","",IF(Q801="待结算","待结算",IF(Q801="红","黑",IF(Q801="半红","半黑",IF(Q801="走","走",IF(Q801="半黑","半红","红"))))))</x:f>
        <x:v>黑</x:v>
      </x:c>
      <x:c r="V801" s="604" t="n">
        <x:f>IF(OR(Q801="",Q801="待结算"),"",IF(L801=LEFT(F801,FIND(" vs ",F801)-1),I801,G801))</x:f>
        <x:v>0.78</x:v>
      </x:c>
      <x:c r="W801" s="604" t="n">
        <x:f>IF(OR(U801="",U801="待结算"),"",IF(U801="红",V801,IF(U801="半红",V801*0.5,IF(U801="走",0,IF(U801="半黑",-0.5,-1)))))</x:f>
        <x:v>-1</x:v>
      </x:c>
      <x:c r="X801" s="604" t="inlineStr">
        <x:is>
          <x:t xml:space="preserve">3096091</x:t>
        </x:is>
      </x:c>
      <x:c r="Y801" s="604" t="inlineStr">
        <x:is>
          <x:t xml:space="preserve">V4</x:t>
        </x:is>
      </x:c>
      <x:c r="Z801" s="604" t="inlineStr">
        <x:is>
          <x:t xml:space="preserve">prior-2026-10-03-v1</x:t>
        </x:is>
      </x:c>
      <x:c r="AA801" s="604" t="inlineStr">
        <x:is>
          <x:t xml:space="preserve">C</x:t>
        </x:is>
      </x:c>
      <x:c r="AB801" s="604" t="n">
        <x:v>0.407596439164684</x:v>
      </x:c>
      <x:c r="AC801" s="604" t="n"/>
      <x:c r="AD801" s="604" t="n">
        <x:v>0.2567918756558462</x:v>
      </x:c>
      <x:c r="AE801" s="604" t="n"/>
      <x:c r="AF801" s="604" t="n">
        <x:v>0.3356116851794698</x:v>
      </x:c>
      <x:c r="AG801" s="604" t="n">
        <x:v>0.08828861155180162</x:v>
      </x:c>
      <x:c r="AH801" s="604" t="n"/>
      <x:c r="AI801" s="604" t="n"/>
      <x:c r="AJ801" s="604" t="n">
        <x:v>0.08828861155180162</x:v>
      </x:c>
      <x:c r="AK801" s="604" t="n"/>
      <x:c r="AL801" s="604" t="n"/>
      <x:c r="AM801" s="604" t="n"/>
      <x:c r="AN801" s="604" t="inlineStr">
        <x:is>
          <x:t xml:space="preserve">EVALUATED</x:t>
        </x:is>
      </x:c>
      <x:c r="AO801" s="604" t="inlineStr">
        <x:is>
          <x:t xml:space="preserve">GIVING_VALIDATED_EDGE、BUCKET_PRIOR_ONLY、INTENT_INTERPRETATION_ONLY、EXPERT_MARKET</x:t>
        </x:is>
      </x:c>
      <x:c r="AP801" s="604" t="inlineStr">
        <x:is>
          <x:t xml:space="preserve">172ff97b8547595ef238</x:t>
        </x:is>
      </x:c>
      <x:c r="AQ801" s="604" t="n">
        <x:v>-1</x:v>
      </x:c>
      <x:c r="AR801" s="604" t="n">
        <x:v>1.04</x:v>
      </x:c>
      <x:c r="AS801" s="604" t="n">
        <x:v>1</x:v>
      </x:c>
      <x:c r="AT801" s="604" t="n">
        <x:v>-1</x:v>
      </x:c>
      <x:c r="AU801" s="604" t="n">
        <x:v>1.04</x:v>
      </x:c>
      <x:c r="AV801" s="604" t="n">
        <x:v>0.78</x:v>
      </x:c>
      <x:c r="AW801" s="604" t="n">
        <x:v>46298.06050486111</x:v>
      </x:c>
      <x:c r="AX801" s="604" t="inlineStr">
        <x:is>
          <x:t xml:space="preserve">https://simondongxiao.github.io/odds/v4/</x:t>
        </x:is>
      </x:c>
      <x:c r="AY801" s="604" t="inlineStr">
        <x:is>
          <x:t xml:space="preserve">V4 Shadow Only；real_money=false；P(EV&gt;0)不是比赛胜率</x:t>
        </x:is>
      </x:c>
    </x:row>
    <x:row r="802" ht="22" customHeight="1">
      <x:c r="A802" s="604" t="inlineStr">
        <x:is>
          <x:t xml:space="preserve">2026-10-03</x:t>
        </x:is>
      </x:c>
      <x:c r="B802" s="604" t="inlineStr">
        <x:is>
          <x:t xml:space="preserve">2026-10-04 02:30</x:t>
        </x:is>
      </x:c>
      <x:c r="C802" s="604" t="str">
        <x:v>西亚/中亚系列</x:v>
      </x:c>
      <x:c r="D802" s="604" t="inlineStr">
        <x:is>
          <x:t xml:space="preserve">联赛</x:t>
        </x:is>
      </x:c>
      <x:c r="E802" s="604" t="inlineStr">
        <x:is>
          <x:t xml:space="preserve">海湾运</x:t>
        </x:is>
      </x:c>
      <x:c r="F802" s="604" t="inlineStr">
        <x:is>
          <x:t xml:space="preserve">阿联酋(中) vs 阿曼</x:t>
        </x:is>
      </x:c>
      <x:c r="G802" s="604" t="n">
        <x:v>1.05</x:v>
      </x:c>
      <x:c r="H802" s="604" t="n">
        <x:v>1</x:v>
      </x:c>
      <x:c r="I802" s="604" t="n">
        <x:v>0.77</x:v>
      </x:c>
      <x:c r="J802" s="604" t="inlineStr">
        <x:is>
          <x:t xml:space="preserve">1.05/1/0.77</x:t>
        </x:is>
      </x:c>
      <x:c r="K802" s="604" t="inlineStr">
        <x:is>
          <x:t xml:space="preserve">V4-C｜EV +0.0825</x:t>
        </x:is>
      </x:c>
      <x:c r="L802" s="604" t="inlineStr">
        <x:is>
          <x:t xml:space="preserve">阿联酋(中)</x:t>
        </x:is>
      </x:c>
      <x:c r="M802" s="604" t="n">
        <x:v>0.5419482024823381</x:v>
      </x:c>
      <x:c r="N802" s="604" t="inlineStr">
        <x:is>
          <x:t xml:space="preserve">V4纸面入选-C</x:t>
        </x:is>
      </x:c>
      <x:c r="O802" s="604" t="inlineStr">
        <x:is>
          <x:t xml:space="preserve">1-0</x:t>
        </x:is>
      </x:c>
      <x:c r="P802" s="604" t="inlineStr">
        <x:is>
          <x:t xml:space="preserve">已结算</x:t>
        </x:is>
      </x:c>
      <x:c r="Q802" s="647" t="inlineStr">
        <x:is>
          <x:t xml:space="preserve">走</x:t>
        </x:is>
      </x:c>
      <x:c r="R802" s="604" t="n">
        <x:v>1.05</x:v>
      </x:c>
      <x:c r="S802" s="604" t="n">
        <x:f>IF(OR(Q802="",Q802="待结算"),"",IF(Q802="红",R802,IF(Q802="半红",R802*0.5,IF(Q802="走",0,IF(Q802="半黑",-0.5,-1)))))</x:f>
        <x:v>0</x:v>
      </x:c>
      <x:c r="T802" s="604" t="inlineStr">
        <x:is>
          <x:t xml:space="preserve">https://m.titan007.com/analy/Analysis/3097208.htm</x:t>
        </x:is>
      </x:c>
      <x:c r="U802" s="647" t="str">
        <x:f>IF(Q802="","",IF(Q802="待结算","待结算",IF(Q802="红","黑",IF(Q802="半红","半黑",IF(Q802="走","走",IF(Q802="半黑","半红","红"))))))</x:f>
        <x:v>走</x:v>
      </x:c>
      <x:c r="V802" s="604" t="n">
        <x:f>IF(OR(Q802="",Q802="待结算"),"",IF(L802=LEFT(F802,FIND(" vs ",F802)-1),I802,G802))</x:f>
        <x:v>0.77</x:v>
      </x:c>
      <x:c r="W802" s="604" t="n">
        <x:f>IF(OR(U802="",U802="待结算"),"",IF(U802="红",V802,IF(U802="半红",V802*0.5,IF(U802="走",0,IF(U802="半黑",-0.5,-1)))))</x:f>
        <x:v>0</x:v>
      </x:c>
      <x:c r="X802" s="604" t="inlineStr">
        <x:is>
          <x:t xml:space="preserve">3097208</x:t>
        </x:is>
      </x:c>
      <x:c r="Y802" s="604" t="inlineStr">
        <x:is>
          <x:t xml:space="preserve">V4</x:t>
        </x:is>
      </x:c>
      <x:c r="Z802" s="604" t="inlineStr">
        <x:is>
          <x:t xml:space="preserve">prior-2026-10-03-v1</x:t>
        </x:is>
      </x:c>
      <x:c r="AA802" s="604" t="inlineStr">
        <x:is>
          <x:t xml:space="preserve">C</x:t>
        </x:is>
      </x:c>
      <x:c r="AB802" s="604" t="n">
        <x:v>0.4026812216399123</x:v>
      </x:c>
      <x:c r="AC802" s="604" t="n"/>
      <x:c r="AD802" s="604" t="n">
        <x:v>0.2569747075542048</x:v>
      </x:c>
      <x:c r="AE802" s="604" t="n"/>
      <x:c r="AF802" s="604" t="n">
        <x:v>0.3403440708058829</x:v>
      </x:c>
      <x:c r="AG802" s="604" t="n">
        <x:v>0.08247121191602502</x:v>
      </x:c>
      <x:c r="AH802" s="604" t="n"/>
      <x:c r="AI802" s="604" t="n"/>
      <x:c r="AJ802" s="604" t="n">
        <x:v>0.08247121191602502</x:v>
      </x:c>
      <x:c r="AK802" s="604" t="n"/>
      <x:c r="AL802" s="604" t="n"/>
      <x:c r="AM802" s="604" t="n"/>
      <x:c r="AN802" s="604" t="inlineStr">
        <x:is>
          <x:t xml:space="preserve">EVALUATED</x:t>
        </x:is>
      </x:c>
      <x:c r="AO802" s="604" t="inlineStr">
        <x:is>
          <x:t xml:space="preserve">GIVING_VALIDATED_EDGE、BUCKET_PRIOR_ONLY、INTENT_INTERPRETATION_ONLY、EXPERT_MARKET</x:t>
        </x:is>
      </x:c>
      <x:c r="AP802" s="604" t="inlineStr">
        <x:is>
          <x:t xml:space="preserve">ef397350e08866333931</x:t>
        </x:is>
      </x:c>
      <x:c r="AQ802" s="604" t="n">
        <x:v>-1</x:v>
      </x:c>
      <x:c r="AR802" s="604" t="n">
        <x:v>1.05</x:v>
      </x:c>
      <x:c r="AS802" s="604" t="n">
        <x:v>1</x:v>
      </x:c>
      <x:c r="AT802" s="604" t="n">
        <x:v>-1</x:v>
      </x:c>
      <x:c r="AU802" s="604" t="n">
        <x:v>1.05</x:v>
      </x:c>
      <x:c r="AV802" s="604" t="n">
        <x:v>0.77</x:v>
      </x:c>
      <x:c r="AW802" s="604" t="n">
        <x:v>46298.06050486111</x:v>
      </x:c>
      <x:c r="AX802" s="604" t="inlineStr">
        <x:is>
          <x:t xml:space="preserve">https://simondongxiao.github.io/odds/v4/</x:t>
        </x:is>
      </x:c>
      <x:c r="AY802" s="604" t="inlineStr">
        <x:is>
          <x:t xml:space="preserve">V4 Shadow Only；real_money=false；P(EV&gt;0)不是比赛胜率</x:t>
        </x:is>
      </x:c>
    </x:row>
    <x:row r="803" ht="22" customHeight="1">
      <x:c r="A803" s="604" t="inlineStr">
        <x:is>
          <x:t xml:space="preserve">2026-10-03</x:t>
        </x:is>
      </x:c>
      <x:c r="B803" s="604" t="inlineStr">
        <x:is>
          <x:t xml:space="preserve">2026-10-04 02:30</x:t>
        </x:is>
      </x:c>
      <x:c r="C803" s="604" t="str">
        <x:v>五大联赛非顶级联赛</x:v>
      </x:c>
      <x:c r="D803" s="604" t="inlineStr">
        <x:is>
          <x:t xml:space="preserve">联赛</x:t>
        </x:is>
      </x:c>
      <x:c r="E803" s="604" t="inlineStr">
        <x:is>
          <x:t xml:space="preserve">意丙</x:t>
        </x:is>
      </x:c>
      <x:c r="F803" s="604" t="inlineStr">
        <x:is>
          <x:t xml:space="preserve">卡塔尼亚 vs 克罗托内</x:t>
        </x:is>
      </x:c>
      <x:c r="G803" s="604" t="n">
        <x:v>0.93</x:v>
      </x:c>
      <x:c r="H803" s="604" t="n">
        <x:v>1</x:v>
      </x:c>
      <x:c r="I803" s="604" t="n">
        <x:v>0.77</x:v>
      </x:c>
      <x:c r="J803" s="604" t="inlineStr">
        <x:is>
          <x:t xml:space="preserve">0.93/1/0.77</x:t>
        </x:is>
      </x:c>
      <x:c r="K803" s="604" t="inlineStr">
        <x:is>
          <x:t xml:space="preserve">V4-B｜EV +0.1539</x:t>
        </x:is>
      </x:c>
      <x:c r="L803" s="604" t="inlineStr">
        <x:is>
          <x:t xml:space="preserve">卡塔尼亚</x:t>
        </x:is>
      </x:c>
      <x:c r="M803" s="604" t="n">
        <x:v>0.6251662093431098</x:v>
      </x:c>
      <x:c r="N803" s="604" t="inlineStr">
        <x:is>
          <x:t xml:space="preserve">V4纸面入选-B</x:t>
        </x:is>
      </x:c>
      <x:c r="O803" s="604" t="inlineStr">
        <x:is>
          <x:t xml:space="preserve">2-1</x:t>
        </x:is>
      </x:c>
      <x:c r="P803" s="604" t="inlineStr">
        <x:is>
          <x:t xml:space="preserve">已结算</x:t>
        </x:is>
      </x:c>
      <x:c r="Q803" s="647" t="inlineStr">
        <x:is>
          <x:t xml:space="preserve">走</x:t>
        </x:is>
      </x:c>
      <x:c r="R803" s="604" t="n">
        <x:v>0.93</x:v>
      </x:c>
      <x:c r="S803" s="604" t="n">
        <x:f>IF(OR(Q803="",Q803="待结算"),"",IF(Q803="红",R803,IF(Q803="半红",R803*0.5,IF(Q803="走",0,IF(Q803="半黑",-0.5,-1)))))</x:f>
        <x:v>0</x:v>
      </x:c>
      <x:c r="T803" s="604" t="inlineStr">
        <x:is>
          <x:t xml:space="preserve">https://m.titan007.com/analy/Analysis/3051332.htm</x:t>
        </x:is>
      </x:c>
      <x:c r="U803" s="647" t="str">
        <x:f>IF(Q803="","",IF(Q803="待结算","待结算",IF(Q803="红","黑",IF(Q803="半红","半黑",IF(Q803="走","走",IF(Q803="半黑","半红","红"))))))</x:f>
        <x:v>走</x:v>
      </x:c>
      <x:c r="V803" s="604" t="n">
        <x:f>IF(OR(Q803="",Q803="待结算"),"",IF(L803=LEFT(F803,FIND(" vs ",F803)-1),I803,G803))</x:f>
        <x:v>0.77</x:v>
      </x:c>
      <x:c r="W803" s="604" t="n">
        <x:f>IF(OR(U803="",U803="待结算"),"",IF(U803="红",V803,IF(U803="半红",V803*0.5,IF(U803="走",0,IF(U803="半黑",-0.5,-1)))))</x:f>
        <x:v>0</x:v>
      </x:c>
      <x:c r="X803" s="604" t="inlineStr">
        <x:is>
          <x:t xml:space="preserve">3051332</x:t>
        </x:is>
      </x:c>
      <x:c r="Y803" s="604" t="inlineStr">
        <x:is>
          <x:t xml:space="preserve">V4</x:t>
        </x:is>
      </x:c>
      <x:c r="Z803" s="604" t="inlineStr">
        <x:is>
          <x:t xml:space="preserve">prior-2026-10-03-v1</x:t>
        </x:is>
      </x:c>
      <x:c r="AA803" s="604" t="inlineStr">
        <x:is>
          <x:t xml:space="preserve">B</x:t>
        </x:is>
      </x:c>
      <x:c r="AB803" s="604" t="n">
        <x:v>0.4658084464455243</x:v>
      </x:c>
      <x:c r="AC803" s="604" t="n"/>
      <x:c r="AD803" s="604" t="n">
        <x:v>0.2549046325856764</x:v>
      </x:c>
      <x:c r="AE803" s="604" t="n"/>
      <x:c r="AF803" s="604" t="n">
        <x:v>0.2792869209687993</x:v>
      </x:c>
      <x:c r="AG803" s="604" t="n">
        <x:v>0.1539149342255384</x:v>
      </x:c>
      <x:c r="AH803" s="604" t="n"/>
      <x:c r="AI803" s="604" t="n"/>
      <x:c r="AJ803" s="604" t="n">
        <x:v>0.1539149342255384</x:v>
      </x:c>
      <x:c r="AK803" s="604" t="n"/>
      <x:c r="AL803" s="604" t="n"/>
      <x:c r="AM803" s="604" t="n"/>
      <x:c r="AN803" s="604" t="inlineStr">
        <x:is>
          <x:t xml:space="preserve">EVALUATED</x:t>
        </x:is>
      </x:c>
      <x:c r="AO803" s="604" t="inlineStr">
        <x:is>
          <x:t xml:space="preserve">GIVING_VALIDATED_EDGE、BUCKET_PRIOR_ONLY、INTENT_INTERPRETATION_ONLY、EXPERT_MARKET</x:t>
        </x:is>
      </x:c>
      <x:c r="AP803" s="604" t="inlineStr">
        <x:is>
          <x:t xml:space="preserve">d59fd29d4ea01b8b9bdf</x:t>
        </x:is>
      </x:c>
      <x:c r="AQ803" s="604" t="n">
        <x:v>-1</x:v>
      </x:c>
      <x:c r="AR803" s="604" t="n">
        <x:v>0.93</x:v>
      </x:c>
      <x:c r="AS803" s="604" t="n">
        <x:v>1</x:v>
      </x:c>
      <x:c r="AT803" s="604" t="n">
        <x:v>-1</x:v>
      </x:c>
      <x:c r="AU803" s="604" t="n">
        <x:v>0.93</x:v>
      </x:c>
      <x:c r="AV803" s="604" t="n">
        <x:v>0.77</x:v>
      </x:c>
      <x:c r="AW803" s="604" t="n">
        <x:v>46298.06050486111</x:v>
      </x:c>
      <x:c r="AX803" s="604" t="inlineStr">
        <x:is>
          <x:t xml:space="preserve">https://simondongxiao.github.io/odds/v4/</x:t>
        </x:is>
      </x:c>
      <x:c r="AY803" s="604" t="inlineStr">
        <x:is>
          <x:t xml:space="preserve">V4 Shadow Only；real_money=false；P(EV&gt;0)不是比赛胜率</x:t>
        </x:is>
      </x:c>
    </x:row>
    <x:row r="804" ht="22" customHeight="1">
      <x:c r="A804" s="604" t="inlineStr">
        <x:is>
          <x:t xml:space="preserve">2026-10-03</x:t>
        </x:is>
      </x:c>
      <x:c r="B804" s="604" t="inlineStr">
        <x:is>
          <x:t xml:space="preserve">2026-10-04 02:30</x:t>
        </x:is>
      </x:c>
      <x:c r="C804" s="604" t="str">
        <x:v>五大联赛非顶级联赛</x:v>
      </x:c>
      <x:c r="D804" s="604" t="inlineStr">
        <x:is>
          <x:t xml:space="preserve">联赛</x:t>
        </x:is>
      </x:c>
      <x:c r="E804" s="604" t="inlineStr">
        <x:is>
          <x:t xml:space="preserve">意丙</x:t>
        </x:is>
      </x:c>
      <x:c r="F804" s="604" t="inlineStr">
        <x:is>
          <x:t xml:space="preserve">奥斯皮塔莱托 vs AC雷纳特</x:t>
        </x:is>
      </x:c>
      <x:c r="G804" s="604" t="n">
        <x:v>0.86</x:v>
      </x:c>
      <x:c r="H804" s="604" t="n">
        <x:v>0.25</x:v>
      </x:c>
      <x:c r="I804" s="604" t="n">
        <x:v>0.84</x:v>
      </x:c>
      <x:c r="J804" s="604" t="inlineStr">
        <x:is>
          <x:t xml:space="preserve">0.86/0.25/0.84</x:t>
        </x:is>
      </x:c>
      <x:c r="K804" s="604" t="inlineStr">
        <x:is>
          <x:t xml:space="preserve">V4-B｜EV +0.0867</x:t>
        </x:is>
      </x:c>
      <x:c r="L804" s="604" t="inlineStr">
        <x:is>
          <x:t xml:space="preserve">奥斯皮塔莱托</x:t>
        </x:is>
      </x:c>
      <x:c r="M804" s="604" t="n">
        <x:v>0.5909089452885932</x:v>
      </x:c>
      <x:c r="N804" s="604" t="inlineStr">
        <x:is>
          <x:t xml:space="preserve">V4纸面入选-B</x:t>
        </x:is>
      </x:c>
      <x:c r="O804" s="604" t="inlineStr">
        <x:is>
          <x:t xml:space="preserve">1-1</x:t>
        </x:is>
      </x:c>
      <x:c r="P804" s="604" t="inlineStr">
        <x:is>
          <x:t xml:space="preserve">已结算</x:t>
        </x:is>
      </x:c>
      <x:c r="Q804" s="648" t="inlineStr">
        <x:is>
          <x:t xml:space="preserve">半黑</x:t>
        </x:is>
      </x:c>
      <x:c r="R804" s="604" t="n">
        <x:v>0.86</x:v>
      </x:c>
      <x:c r="S804" s="604" t="n">
        <x:f>IF(OR(Q804="",Q804="待结算"),"",IF(Q804="红",R804,IF(Q804="半红",R804*0.5,IF(Q804="走",0,IF(Q804="半黑",-0.5,-1)))))</x:f>
        <x:v>-0.5</x:v>
      </x:c>
      <x:c r="T804" s="604" t="inlineStr">
        <x:is>
          <x:t xml:space="preserve">https://m.titan007.com/analy/Analysis/3050578.htm</x:t>
        </x:is>
      </x:c>
      <x:c r="U804" s="649" t="str">
        <x:f>IF(Q804="","",IF(Q804="待结算","待结算",IF(Q804="红","黑",IF(Q804="半红","半黑",IF(Q804="走","走",IF(Q804="半黑","半红","红"))))))</x:f>
        <x:v>半红</x:v>
      </x:c>
      <x:c r="V804" s="604" t="n">
        <x:f>IF(OR(Q804="",Q804="待结算"),"",IF(L804=LEFT(F804,FIND(" vs ",F804)-1),I804,G804))</x:f>
        <x:v>0.84</x:v>
      </x:c>
      <x:c r="W804" s="604" t="n">
        <x:f>IF(OR(U804="",U804="待结算"),"",IF(U804="红",V804,IF(U804="半红",V804*0.5,IF(U804="走",0,IF(U804="半黑",-0.5,-1)))))</x:f>
        <x:v>0.42</x:v>
      </x:c>
      <x:c r="X804" s="604" t="inlineStr">
        <x:is>
          <x:t xml:space="preserve">3050578</x:t>
        </x:is>
      </x:c>
      <x:c r="Y804" s="604" t="inlineStr">
        <x:is>
          <x:t xml:space="preserve">V4</x:t>
        </x:is>
      </x:c>
      <x:c r="Z804" s="604" t="inlineStr">
        <x:is>
          <x:t xml:space="preserve">prior-2026-10-03-v1</x:t>
        </x:is>
      </x:c>
      <x:c r="AA804" s="604" t="inlineStr">
        <x:is>
          <x:t xml:space="preserve">B</x:t>
        </x:is>
      </x:c>
      <x:c r="AB804" s="604" t="n">
        <x:v>0.5169806387379571</x:v>
      </x:c>
      <x:c r="AC804" s="604" t="n"/>
      <x:c r="AD804" s="604" t="n"/>
      <x:c r="AE804" s="604" t="n">
        <x:v>0.2502189453724729</x:v>
      </x:c>
      <x:c r="AF804" s="604" t="n">
        <x:v>0.23280041588957</x:v>
      </x:c>
      <x:c r="AG804" s="604" t="n">
        <x:v>0.08669346073883663</x:v>
      </x:c>
      <x:c r="AH804" s="604" t="n"/>
      <x:c r="AI804" s="604" t="n"/>
      <x:c r="AJ804" s="604" t="n">
        <x:v>0.08669346073883663</x:v>
      </x:c>
      <x:c r="AK804" s="604" t="n"/>
      <x:c r="AL804" s="604" t="n"/>
      <x:c r="AM804" s="604" t="n"/>
      <x:c r="AN804" s="604" t="inlineStr">
        <x:is>
          <x:t xml:space="preserve">EVALUATED</x:t>
        </x:is>
      </x:c>
      <x:c r="AO804" s="604" t="inlineStr">
        <x:is>
          <x:t xml:space="preserve">GIVING_VALIDATED_EDGE、BUCKET_PRIOR_ONLY、INTENT_INTERPRETATION_ONLY、EXPERT_MARKET</x:t>
        </x:is>
      </x:c>
      <x:c r="AP804" s="604" t="inlineStr">
        <x:is>
          <x:t xml:space="preserve">6ebe6a8ab61eacf29bef</x:t>
        </x:is>
      </x:c>
      <x:c r="AQ804" s="604" t="n">
        <x:v>-0.25</x:v>
      </x:c>
      <x:c r="AR804" s="604" t="n">
        <x:v>0.86</x:v>
      </x:c>
      <x:c r="AS804" s="604" t="n">
        <x:v>0.25</x:v>
      </x:c>
      <x:c r="AT804" s="604" t="n">
        <x:v>-0.25</x:v>
      </x:c>
      <x:c r="AU804" s="604" t="n">
        <x:v>0.86</x:v>
      </x:c>
      <x:c r="AV804" s="604" t="n">
        <x:v>0.84</x:v>
      </x:c>
      <x:c r="AW804" s="604" t="n">
        <x:v>46298.06050486111</x:v>
      </x:c>
      <x:c r="AX804" s="604" t="inlineStr">
        <x:is>
          <x:t xml:space="preserve">https://simondongxiao.github.io/odds/v4/</x:t>
        </x:is>
      </x:c>
      <x:c r="AY804" s="604" t="inlineStr">
        <x:is>
          <x:t xml:space="preserve">V4 Shadow Only；real_money=false；P(EV&gt;0)不是比赛胜率</x:t>
        </x:is>
      </x:c>
    </x:row>
    <x:row r="805" ht="22" customHeight="1">
      <x:c r="A805" s="604" t="inlineStr">
        <x:is>
          <x:t xml:space="preserve">2026-10-03</x:t>
        </x:is>
      </x:c>
      <x:c r="B805" s="604" t="inlineStr">
        <x:is>
          <x:t xml:space="preserve">2026-10-04 02:45</x:t>
        </x:is>
      </x:c>
      <x:c r="C805" s="604" t="str">
        <x:v>欧洲非五大系列</x:v>
      </x:c>
      <x:c r="D805" s="604" t="inlineStr">
        <x:is>
          <x:t xml:space="preserve">联赛</x:t>
        </x:is>
      </x:c>
      <x:c r="E805" s="604" t="inlineStr">
        <x:is>
          <x:t xml:space="preserve">欧国联</x:t>
        </x:is>
      </x:c>
      <x:c r="F805" s="604" t="inlineStr">
        <x:is>
          <x:t xml:space="preserve">西班牙 vs 捷克</x:t>
        </x:is>
      </x:c>
      <x:c r="G805" s="604" t="n">
        <x:v>0.92</x:v>
      </x:c>
      <x:c r="H805" s="604" t="n">
        <x:v>0</x:v>
      </x:c>
      <x:c r="I805" s="604" t="n">
        <x:v>0.96</x:v>
      </x:c>
      <x:c r="J805" s="604" t="inlineStr">
        <x:is>
          <x:t xml:space="preserve">0.92/0/0.96</x:t>
        </x:is>
      </x:c>
      <x:c r="K805" s="604" t="inlineStr">
        <x:is>
          <x:t xml:space="preserve">V4-C｜EV +0.0005</x:t>
        </x:is>
      </x:c>
      <x:c r="L805" s="604" t="str"/>
      <x:c r="M805" s="604" t="n">
        <x:v>0.4895002080766863</x:v>
      </x:c>
      <x:c r="N805" s="604" t="inlineStr">
        <x:is>
          <x:t xml:space="preserve">V4纸面入选-C</x:t>
        </x:is>
      </x:c>
      <x:c r="O805" s="604" t="inlineStr">
        <x:is>
          <x:t xml:space="preserve">3-1</x:t>
        </x:is>
      </x:c>
      <x:c r="P805" s="604" t="inlineStr">
        <x:is>
          <x:t xml:space="preserve">已结算</x:t>
        </x:is>
      </x:c>
      <x:c r="Q805" s="645" t="inlineStr">
        <x:is>
          <x:t xml:space="preserve">红</x:t>
        </x:is>
      </x:c>
      <x:c r="R805" s="604" t="n">
        <x:v>0.96</x:v>
      </x:c>
      <x:c r="S805" s="604" t="n">
        <x:f>IF(OR(Q805="",Q805="待结算"),"",IF(Q805="红",R805,IF(Q805="半红",R805*0.5,IF(Q805="走",0,IF(Q805="半黑",-0.5,-1)))))</x:f>
        <x:v>0.96</x:v>
      </x:c>
      <x:c r="T805" s="604" t="inlineStr">
        <x:is>
          <x:t xml:space="preserve">https://m.titan007.com/analy/Analysis/2981448.htm</x:t>
        </x:is>
      </x:c>
      <x:c r="U805" s="646" t="str">
        <x:f>IF(Q805="","",IF(Q805="待结算","待结算",IF(Q805="红","黑",IF(Q805="半红","半黑",IF(Q805="走","走",IF(Q805="半黑","半红","红"))))))</x:f>
        <x:v>黑</x:v>
      </x:c>
      <x:c r="V805" s="604" t="n">
        <x:f>IF(OR(Q805="",Q805="待结算"),"",IF(L805=LEFT(F805,FIND(" vs ",F805)-1),I805,G805))</x:f>
        <x:v>0.92</x:v>
      </x:c>
      <x:c r="W805" s="604" t="n">
        <x:f>IF(OR(U805="",U805="待结算"),"",IF(U805="红",V805,IF(U805="半红",V805*0.5,IF(U805="走",0,IF(U805="半黑",-0.5,-1)))))</x:f>
        <x:v>-1</x:v>
      </x:c>
      <x:c r="X805" s="604" t="inlineStr">
        <x:is>
          <x:t xml:space="preserve">2981448</x:t>
        </x:is>
      </x:c>
      <x:c r="Y805" s="604" t="inlineStr">
        <x:is>
          <x:t xml:space="preserve">V4</x:t>
        </x:is>
      </x:c>
      <x:c r="Z805" s="604" t="inlineStr">
        <x:is>
          <x:t xml:space="preserve">prior-2026-10-03-v1</x:t>
        </x:is>
      </x:c>
      <x:c r="AA805" s="604" t="inlineStr">
        <x:is>
          <x:t xml:space="preserve">C</x:t>
        </x:is>
      </x:c>
      <x:c r="AB805" s="604" t="n">
        <x:v>0.3261422961985992</x:v>
      </x:c>
      <x:c r="AC805" s="604" t="n">
        <x:v>0.2193459403258797</x:v>
      </x:c>
      <x:c r="AD805" s="604" t="n"/>
      <x:c r="AE805" s="604" t="n"/>
      <x:c r="AF805" s="604" t="n">
        <x:v>0.4545117634755211</x:v>
      </x:c>
      <x:c r="AG805" s="604" t="n">
        <x:v>0.000516026574961248</x:v>
      </x:c>
      <x:c r="AH805" s="604" t="n"/>
      <x:c r="AI805" s="604" t="n"/>
      <x:c r="AJ805" s="604" t="n">
        <x:v>0.000516026574961248</x:v>
      </x:c>
      <x:c r="AK805" s="604" t="n"/>
      <x:c r="AL805" s="604" t="n"/>
      <x:c r="AM805" s="604" t="n"/>
      <x:c r="AN805" s="604" t="inlineStr">
        <x:is>
          <x:t xml:space="preserve">EVALUATED</x:t>
        </x:is>
      </x:c>
      <x:c r="AO805" s="604" t="inlineStr">
        <x:is>
          <x:t xml:space="preserve">EDGE_BELOW_UNCERTAINTY_THRESHOLD、BUCKET_PRIOR_ONLY、INTENT_INTERPRETATION_ONLY、EXPERT_MARKET</x:t>
        </x:is>
      </x:c>
      <x:c r="AP805" s="604" t="inlineStr">
        <x:is>
          <x:t xml:space="preserve">4d263c0bdbd130b14a35</x:t>
        </x:is>
      </x:c>
      <x:c r="AQ805" s="604" t="n">
        <x:v>0</x:v>
      </x:c>
      <x:c r="AR805" s="604" t="n"/>
      <x:c r="AS805" s="604" t="n">
        <x:v>0</x:v>
      </x:c>
      <x:c r="AT805" s="604" t="n">
        <x:v>0</x:v>
      </x:c>
      <x:c r="AU805" s="604" t="n">
        <x:v>0.92</x:v>
      </x:c>
      <x:c r="AV805" s="604" t="n">
        <x:v>0.96</x:v>
      </x:c>
      <x:c r="AW805" s="604" t="n">
        <x:v>46298.06050486111</x:v>
      </x:c>
      <x:c r="AX805" s="604" t="inlineStr">
        <x:is>
          <x:t xml:space="preserve">https://simondongxiao.github.io/odds/v4/</x:t>
        </x:is>
      </x:c>
      <x:c r="AY805" s="604" t="inlineStr">
        <x:is>
          <x:t xml:space="preserve">V4 Shadow Only；real_money=false；P(EV&gt;0)不是比赛胜率</x:t>
        </x:is>
      </x:c>
    </x:row>
    <x:row r="806" ht="22" customHeight="1">
      <x:c r="A806" s="604" t="inlineStr">
        <x:is>
          <x:t xml:space="preserve">2026-10-03</x:t>
        </x:is>
      </x:c>
      <x:c r="B806" s="604" t="inlineStr">
        <x:is>
          <x:t xml:space="preserve">2026-10-04 02:45</x:t>
        </x:is>
      </x:c>
      <x:c r="C806" s="604" t="str">
        <x:v>欧洲非五大系列</x:v>
      </x:c>
      <x:c r="D806" s="604" t="inlineStr">
        <x:is>
          <x:t xml:space="preserve">联赛</x:t>
        </x:is>
      </x:c>
      <x:c r="E806" s="604" t="inlineStr">
        <x:is>
          <x:t xml:space="preserve">欧国联</x:t>
        </x:is>
      </x:c>
      <x:c r="F806" s="604" t="inlineStr">
        <x:is>
          <x:t xml:space="preserve">瑞士 vs 斯洛文尼亚</x:t>
        </x:is>
      </x:c>
      <x:c r="G806" s="604" t="n">
        <x:v>0.97</x:v>
      </x:c>
      <x:c r="H806" s="604" t="n">
        <x:v>1.5</x:v>
      </x:c>
      <x:c r="I806" s="604" t="n">
        <x:v>0.91</x:v>
      </x:c>
      <x:c r="J806" s="604" t="inlineStr">
        <x:is>
          <x:t xml:space="preserve">0.97/1.5/0.91</x:t>
        </x:is>
      </x:c>
      <x:c r="K806" s="604" t="inlineStr">
        <x:is>
          <x:t xml:space="preserve">V4-B｜EV +0.1474</x:t>
        </x:is>
      </x:c>
      <x:c r="L806" s="604" t="inlineStr">
        <x:is>
          <x:t xml:space="preserve">瑞士</x:t>
        </x:is>
      </x:c>
      <x:c r="M806" s="604" t="n">
        <x:v>0.5824577090494499</x:v>
      </x:c>
      <x:c r="N806" s="604" t="inlineStr">
        <x:is>
          <x:t xml:space="preserve">V4纸面入选-B</x:t>
        </x:is>
      </x:c>
      <x:c r="O806" s="604" t="inlineStr">
        <x:is>
          <x:t xml:space="preserve">2-1</x:t>
        </x:is>
      </x:c>
      <x:c r="P806" s="604" t="inlineStr">
        <x:is>
          <x:t xml:space="preserve">已结算</x:t>
        </x:is>
      </x:c>
      <x:c r="Q806" s="646" t="inlineStr">
        <x:is>
          <x:t xml:space="preserve">黑</x:t>
        </x:is>
      </x:c>
      <x:c r="R806" s="604" t="n">
        <x:v>0.97</x:v>
      </x:c>
      <x:c r="S806" s="604" t="n">
        <x:f>IF(OR(Q806="",Q806="待结算"),"",IF(Q806="红",R806,IF(Q806="半红",R806*0.5,IF(Q806="走",0,IF(Q806="半黑",-0.5,-1)))))</x:f>
        <x:v>-1</x:v>
      </x:c>
      <x:c r="T806" s="604" t="inlineStr">
        <x:is>
          <x:t xml:space="preserve">https://m.titan007.com/analy/Analysis/2981497.htm</x:t>
        </x:is>
      </x:c>
      <x:c r="U806" s="645" t="str">
        <x:f>IF(Q806="","",IF(Q806="待结算","待结算",IF(Q806="红","黑",IF(Q806="半红","半黑",IF(Q806="走","走",IF(Q806="半黑","半红","红"))))))</x:f>
        <x:v>红</x:v>
      </x:c>
      <x:c r="V806" s="604" t="n">
        <x:f>IF(OR(Q806="",Q806="待结算"),"",IF(L806=LEFT(F806,FIND(" vs ",F806)-1),I806,G806))</x:f>
        <x:v>0.91</x:v>
      </x:c>
      <x:c r="W806" s="604" t="n">
        <x:f>IF(OR(U806="",U806="待结算"),"",IF(U806="红",V806,IF(U806="半红",V806*0.5,IF(U806="走",0,IF(U806="半黑",-0.5,-1)))))</x:f>
        <x:v>0.91</x:v>
      </x:c>
      <x:c r="X806" s="604" t="inlineStr">
        <x:is>
          <x:t xml:space="preserve">2981497</x:t>
        </x:is>
      </x:c>
      <x:c r="Y806" s="604" t="inlineStr">
        <x:is>
          <x:t xml:space="preserve">V4</x:t>
        </x:is>
      </x:c>
      <x:c r="Z806" s="604" t="inlineStr">
        <x:is>
          <x:t xml:space="preserve">prior-2026-10-03-v1</x:t>
        </x:is>
      </x:c>
      <x:c r="AA806" s="604" t="inlineStr">
        <x:is>
          <x:t xml:space="preserve">B</x:t>
        </x:is>
      </x:c>
      <x:c r="AB806" s="604" t="n">
        <x:v>0.5824577090494499</x:v>
      </x:c>
      <x:c r="AC806" s="604" t="n"/>
      <x:c r="AD806" s="604" t="n"/>
      <x:c r="AE806" s="604" t="n"/>
      <x:c r="AF806" s="604" t="n">
        <x:v>0.4175422909505501</x:v>
      </x:c>
      <x:c r="AG806" s="604" t="n">
        <x:v>0.1474416868274163</x:v>
      </x:c>
      <x:c r="AH806" s="604" t="n"/>
      <x:c r="AI806" s="604" t="n"/>
      <x:c r="AJ806" s="604" t="n">
        <x:v>0.1474416868274163</x:v>
      </x:c>
      <x:c r="AK806" s="604" t="n"/>
      <x:c r="AL806" s="604" t="n"/>
      <x:c r="AM806" s="604" t="n"/>
      <x:c r="AN806" s="604" t="inlineStr">
        <x:is>
          <x:t xml:space="preserve">EVALUATED</x:t>
        </x:is>
      </x:c>
      <x:c r="AO806" s="604" t="inlineStr">
        <x:is>
          <x:t xml:space="preserve">GIVING_VALIDATED_EDGE、BUCKET_PRIOR_ONLY、INTENT_INTERPRETATION_ONLY、EXPERT_MARKET</x:t>
        </x:is>
      </x:c>
      <x:c r="AP806" s="604" t="inlineStr">
        <x:is>
          <x:t xml:space="preserve">c9d558bda470fc271853</x:t>
        </x:is>
      </x:c>
      <x:c r="AQ806" s="604" t="n">
        <x:v>-1.5</x:v>
      </x:c>
      <x:c r="AR806" s="604" t="n">
        <x:v>0.97</x:v>
      </x:c>
      <x:c r="AS806" s="604" t="n">
        <x:v>1.5</x:v>
      </x:c>
      <x:c r="AT806" s="604" t="n">
        <x:v>-1.5</x:v>
      </x:c>
      <x:c r="AU806" s="604" t="n">
        <x:v>0.97</x:v>
      </x:c>
      <x:c r="AV806" s="604" t="n">
        <x:v>0.91</x:v>
      </x:c>
      <x:c r="AW806" s="604" t="n">
        <x:v>46298.06050486111</x:v>
      </x:c>
      <x:c r="AX806" s="604" t="inlineStr">
        <x:is>
          <x:t xml:space="preserve">https://simondongxiao.github.io/odds/v4/</x:t>
        </x:is>
      </x:c>
      <x:c r="AY806" s="604" t="inlineStr">
        <x:is>
          <x:t xml:space="preserve">V4 Shadow Only；real_money=false；P(EV&gt;0)不是比赛胜率</x:t>
        </x:is>
      </x:c>
    </x:row>
    <x:row r="807" ht="22" customHeight="1">
      <x:c r="A807" s="604" t="inlineStr">
        <x:is>
          <x:t xml:space="preserve">2026-10-03</x:t>
        </x:is>
      </x:c>
      <x:c r="B807" s="604" t="inlineStr">
        <x:is>
          <x:t xml:space="preserve">2026-10-04 02:45</x:t>
        </x:is>
      </x:c>
      <x:c r="C807" s="604" t="str">
        <x:v>欧洲非五大系列</x:v>
      </x:c>
      <x:c r="D807" s="604" t="inlineStr">
        <x:is>
          <x:t xml:space="preserve">联赛</x:t>
        </x:is>
      </x:c>
      <x:c r="E807" s="604" t="inlineStr">
        <x:is>
          <x:t xml:space="preserve">欧国联</x:t>
        </x:is>
      </x:c>
      <x:c r="F807" s="604" t="inlineStr">
        <x:is>
          <x:t xml:space="preserve">北马其顿 vs 苏格兰</x:t>
        </x:is>
      </x:c>
      <x:c r="G807" s="604" t="n">
        <x:v>0.86</x:v>
      </x:c>
      <x:c r="H807" s="604" t="n">
        <x:v>-0.75</x:v>
      </x:c>
      <x:c r="I807" s="604" t="n">
        <x:v>1.02</x:v>
      </x:c>
      <x:c r="J807" s="604" t="inlineStr">
        <x:is>
          <x:t xml:space="preserve">0.86/-0.75/1.02</x:t>
        </x:is>
      </x:c>
      <x:c r="K807" s="604" t="inlineStr">
        <x:is>
          <x:t xml:space="preserve">V4-B｜EV +0.1059</x:t>
        </x:is>
      </x:c>
      <x:c r="L807" s="604" t="inlineStr">
        <x:is>
          <x:t xml:space="preserve">苏格兰</x:t>
        </x:is>
      </x:c>
      <x:c r="M807" s="604" t="n">
        <x:v>0.5551447442829661</x:v>
      </x:c>
      <x:c r="N807" s="604" t="inlineStr">
        <x:is>
          <x:t xml:space="preserve">V4纸面入选-B</x:t>
        </x:is>
      </x:c>
      <x:c r="O807" s="604" t="inlineStr">
        <x:is>
          <x:t xml:space="preserve">0-2</x:t>
        </x:is>
      </x:c>
      <x:c r="P807" s="604" t="inlineStr">
        <x:is>
          <x:t xml:space="preserve">已结算</x:t>
        </x:is>
      </x:c>
      <x:c r="Q807" s="646" t="inlineStr">
        <x:is>
          <x:t xml:space="preserve">黑</x:t>
        </x:is>
      </x:c>
      <x:c r="R807" s="604" t="n">
        <x:v>1.02</x:v>
      </x:c>
      <x:c r="S807" s="604" t="n">
        <x:f>IF(OR(Q807="",Q807="待结算"),"",IF(Q807="红",R807,IF(Q807="半红",R807*0.5,IF(Q807="走",0,IF(Q807="半黑",-0.5,-1)))))</x:f>
        <x:v>-1</x:v>
      </x:c>
      <x:c r="T807" s="604" t="inlineStr">
        <x:is>
          <x:t xml:space="preserve">https://m.titan007.com/analy/Analysis/2981498.htm</x:t>
        </x:is>
      </x:c>
      <x:c r="U807" s="645" t="str">
        <x:f>IF(Q807="","",IF(Q807="待结算","待结算",IF(Q807="红","黑",IF(Q807="半红","半黑",IF(Q807="走","走",IF(Q807="半黑","半红","红"))))))</x:f>
        <x:v>红</x:v>
      </x:c>
      <x:c r="V807" s="604" t="n">
        <x:f>IF(OR(Q807="",Q807="待结算"),"",IF(L807=LEFT(F807,FIND(" vs ",F807)-1),I807,G807))</x:f>
        <x:v>0.86</x:v>
      </x:c>
      <x:c r="W807" s="604" t="n">
        <x:f>IF(OR(U807="",U807="待结算"),"",IF(U807="红",V807,IF(U807="半红",V807*0.5,IF(U807="走",0,IF(U807="半黑",-0.5,-1)))))</x:f>
        <x:v>0.86</x:v>
      </x:c>
      <x:c r="X807" s="604" t="inlineStr">
        <x:is>
          <x:t xml:space="preserve">2981498</x:t>
        </x:is>
      </x:c>
      <x:c r="Y807" s="604" t="inlineStr">
        <x:is>
          <x:t xml:space="preserve">V4</x:t>
        </x:is>
      </x:c>
      <x:c r="Z807" s="604" t="inlineStr">
        <x:is>
          <x:t xml:space="preserve">prior-2026-10-03-v1</x:t>
        </x:is>
      </x:c>
      <x:c r="AA807" s="604" t="inlineStr">
        <x:is>
          <x:t xml:space="preserve">B</x:t>
        </x:is>
      </x:c>
      <x:c r="AB807" s="604" t="n">
        <x:v>0.3563314488419901</x:v>
      </x:c>
      <x:c r="AC807" s="604" t="n">
        <x:v>0.2556846186464056</x:v>
      </x:c>
      <x:c r="AD807" s="604" t="n"/>
      <x:c r="AE807" s="604" t="n"/>
      <x:c r="AF807" s="604" t="n">
        <x:v>0.3879839325116043</x:v>
      </x:c>
      <x:c r="AG807" s="604" t="n">
        <x:v>0.1058733008168924</x:v>
      </x:c>
      <x:c r="AH807" s="604" t="n"/>
      <x:c r="AI807" s="604" t="n"/>
      <x:c r="AJ807" s="604" t="n">
        <x:v>0.1058733008168924</x:v>
      </x:c>
      <x:c r="AK807" s="604" t="n"/>
      <x:c r="AL807" s="604" t="n"/>
      <x:c r="AM807" s="604" t="n"/>
      <x:c r="AN807" s="604" t="inlineStr">
        <x:is>
          <x:t xml:space="preserve">EVALUATED</x:t>
        </x:is>
      </x:c>
      <x:c r="AO807" s="604" t="inlineStr">
        <x:is>
          <x:t xml:space="preserve">GIVING_VALIDATED_EDGE、BUCKET_PRIOR_ONLY、INTENT_INTERPRETATION_ONLY、EXPERT_MARKET</x:t>
        </x:is>
      </x:c>
      <x:c r="AP807" s="604" t="inlineStr">
        <x:is>
          <x:t xml:space="preserve">16417b033543ecc7e130</x:t>
        </x:is>
      </x:c>
      <x:c r="AQ807" s="604" t="n">
        <x:v>-0.75</x:v>
      </x:c>
      <x:c r="AR807" s="604" t="n">
        <x:v>1.02</x:v>
      </x:c>
      <x:c r="AS807" s="604" t="n">
        <x:v>-0.75</x:v>
      </x:c>
      <x:c r="AT807" s="604" t="n">
        <x:v>0.75</x:v>
      </x:c>
      <x:c r="AU807" s="604" t="n">
        <x:v>0.86</x:v>
      </x:c>
      <x:c r="AV807" s="604" t="n">
        <x:v>1.02</x:v>
      </x:c>
      <x:c r="AW807" s="604" t="n">
        <x:v>46298.06050486111</x:v>
      </x:c>
      <x:c r="AX807" s="604" t="inlineStr">
        <x:is>
          <x:t xml:space="preserve">https://simondongxiao.github.io/odds/v4/</x:t>
        </x:is>
      </x:c>
      <x:c r="AY807" s="604" t="inlineStr">
        <x:is>
          <x:t xml:space="preserve">V4 Shadow Only；real_money=false；P(EV&gt;0)不是比赛胜率</x:t>
        </x:is>
      </x:c>
    </x:row>
    <x:row r="808" ht="22" customHeight="1">
      <x:c r="A808" s="604" t="inlineStr">
        <x:is>
          <x:t xml:space="preserve">2026-10-03</x:t>
        </x:is>
      </x:c>
      <x:c r="B808" s="604" t="inlineStr">
        <x:is>
          <x:t xml:space="preserve">2026-10-04 02:45</x:t>
        </x:is>
      </x:c>
      <x:c r="C808" s="604" t="str">
        <x:v>五大联赛非顶级联赛</x:v>
      </x:c>
      <x:c r="D808" s="604" t="inlineStr">
        <x:is>
          <x:t xml:space="preserve">联赛</x:t>
        </x:is>
      </x:c>
      <x:c r="E808" s="604" t="inlineStr">
        <x:is>
          <x:t xml:space="preserve">法丙</x:t>
        </x:is>
      </x:c>
      <x:c r="F808" s="604" t="inlineStr">
        <x:is>
          <x:t xml:space="preserve">亚眠 vs 维利法兰</x:t>
        </x:is>
      </x:c>
      <x:c r="G808" s="604" t="n">
        <x:v>0.91</x:v>
      </x:c>
      <x:c r="H808" s="604" t="n">
        <x:v>0.75</x:v>
      </x:c>
      <x:c r="I808" s="604" t="n">
        <x:v>0.85</x:v>
      </x:c>
      <x:c r="J808" s="604" t="inlineStr">
        <x:is>
          <x:t xml:space="preserve">0.91/0.75/0.85</x:t>
        </x:is>
      </x:c>
      <x:c r="K808" s="604" t="inlineStr">
        <x:is>
          <x:t xml:space="preserve">V4-B｜EV +0.0983</x:t>
        </x:is>
      </x:c>
      <x:c r="L808" s="604" t="inlineStr">
        <x:is>
          <x:t xml:space="preserve">亚眠</x:t>
        </x:is>
      </x:c>
      <x:c r="M808" s="604" t="n">
        <x:v>0.5826136245874747</x:v>
      </x:c>
      <x:c r="N808" s="604" t="inlineStr">
        <x:is>
          <x:t xml:space="preserve">V4纸面入选-B</x:t>
        </x:is>
      </x:c>
      <x:c r="O808" s="604" t="inlineStr">
        <x:is>
          <x:t xml:space="preserve">3-0</x:t>
        </x:is>
      </x:c>
      <x:c r="P808" s="604" t="inlineStr">
        <x:is>
          <x:t xml:space="preserve">已结算</x:t>
        </x:is>
      </x:c>
      <x:c r="Q808" s="645" t="inlineStr">
        <x:is>
          <x:t xml:space="preserve">红</x:t>
        </x:is>
      </x:c>
      <x:c r="R808" s="604" t="n">
        <x:v>0.91</x:v>
      </x:c>
      <x:c r="S808" s="604" t="n">
        <x:f>IF(OR(Q808="",Q808="待结算"),"",IF(Q808="红",R808,IF(Q808="半红",R808*0.5,IF(Q808="走",0,IF(Q808="半黑",-0.5,-1)))))</x:f>
        <x:v>0.91</x:v>
      </x:c>
      <x:c r="T808" s="604" t="inlineStr">
        <x:is>
          <x:t xml:space="preserve">https://m.titan007.com/analy/Analysis/3020017.htm</x:t>
        </x:is>
      </x:c>
      <x:c r="U808" s="646" t="str">
        <x:f>IF(Q808="","",IF(Q808="待结算","待结算",IF(Q808="红","黑",IF(Q808="半红","半黑",IF(Q808="走","走",IF(Q808="半黑","半红","红"))))))</x:f>
        <x:v>黑</x:v>
      </x:c>
      <x:c r="V808" s="604" t="n">
        <x:f>IF(OR(Q808="",Q808="待结算"),"",IF(L808=LEFT(F808,FIND(" vs ",F808)-1),I808,G808))</x:f>
        <x:v>0.85</x:v>
      </x:c>
      <x:c r="W808" s="604" t="n">
        <x:f>IF(OR(U808="",U808="待结算"),"",IF(U808="红",V808,IF(U808="半红",V808*0.5,IF(U808="走",0,IF(U808="半黑",-0.5,-1)))))</x:f>
        <x:v>-1</x:v>
      </x:c>
      <x:c r="X808" s="604" t="inlineStr">
        <x:is>
          <x:t xml:space="preserve">3020017</x:t>
        </x:is>
      </x:c>
      <x:c r="Y808" s="604" t="inlineStr">
        <x:is>
          <x:t xml:space="preserve">V4</x:t>
        </x:is>
      </x:c>
      <x:c r="Z808" s="604" t="inlineStr">
        <x:is>
          <x:t xml:space="preserve">prior-2026-10-03-v1</x:t>
        </x:is>
      </x:c>
      <x:c r="AA808" s="604" t="inlineStr">
        <x:is>
          <x:t xml:space="preserve">B</x:t>
        </x:is>
      </x:c>
      <x:c r="AB808" s="604" t="n">
        <x:v>0.3792605540592919</x:v>
      </x:c>
      <x:c r="AC808" s="604" t="n">
        <x:v>0.256983849208538</x:v>
      </x:c>
      <x:c r="AD808" s="604" t="n"/>
      <x:c r="AE808" s="604" t="n"/>
      <x:c r="AF808" s="604" t="n">
        <x:v>0.3637555967321701</x:v>
      </x:c>
      <x:c r="AG808" s="604" t="n">
        <x:v>0.0982991588516704</x:v>
      </x:c>
      <x:c r="AH808" s="604" t="n"/>
      <x:c r="AI808" s="604" t="n"/>
      <x:c r="AJ808" s="604" t="n">
        <x:v>0.0982991588516704</x:v>
      </x:c>
      <x:c r="AK808" s="604" t="n"/>
      <x:c r="AL808" s="604" t="n"/>
      <x:c r="AM808" s="604" t="n"/>
      <x:c r="AN808" s="604" t="inlineStr">
        <x:is>
          <x:t xml:space="preserve">EVALUATED</x:t>
        </x:is>
      </x:c>
      <x:c r="AO808" s="604" t="inlineStr">
        <x:is>
          <x:t xml:space="preserve">GIVING_VALIDATED_EDGE、BUCKET_PRIOR_ONLY、INTENT_INTERPRETATION_ONLY、EXPERT_MARKET</x:t>
        </x:is>
      </x:c>
      <x:c r="AP808" s="604" t="inlineStr">
        <x:is>
          <x:t xml:space="preserve">59b6ab6c440dfaa367cb</x:t>
        </x:is>
      </x:c>
      <x:c r="AQ808" s="604" t="n">
        <x:v>-0.75</x:v>
      </x:c>
      <x:c r="AR808" s="604" t="n">
        <x:v>0.91</x:v>
      </x:c>
      <x:c r="AS808" s="604" t="n">
        <x:v>0.75</x:v>
      </x:c>
      <x:c r="AT808" s="604" t="n">
        <x:v>-0.75</x:v>
      </x:c>
      <x:c r="AU808" s="604" t="n">
        <x:v>0.91</x:v>
      </x:c>
      <x:c r="AV808" s="604" t="n">
        <x:v>0.85</x:v>
      </x:c>
      <x:c r="AW808" s="604" t="n">
        <x:v>46298.06050486111</x:v>
      </x:c>
      <x:c r="AX808" s="604" t="inlineStr">
        <x:is>
          <x:t xml:space="preserve">https://simondongxiao.github.io/odds/v4/</x:t>
        </x:is>
      </x:c>
      <x:c r="AY808" s="604" t="inlineStr">
        <x:is>
          <x:t xml:space="preserve">V4 Shadow Only；real_money=false；P(EV&gt;0)不是比赛胜率</x:t>
        </x:is>
      </x:c>
    </x:row>
    <x:row r="809" ht="22" customHeight="1">
      <x:c r="A809" s="604" t="inlineStr">
        <x:is>
          <x:t xml:space="preserve">2026-10-03</x:t>
        </x:is>
      </x:c>
      <x:c r="B809" s="604" t="inlineStr">
        <x:is>
          <x:t xml:space="preserve">2026-10-04 02:45</x:t>
        </x:is>
      </x:c>
      <x:c r="C809" s="604" t="str">
        <x:v>五大联赛非顶级联赛</x:v>
      </x:c>
      <x:c r="D809" s="604" t="inlineStr">
        <x:is>
          <x:t xml:space="preserve">联赛</x:t>
        </x:is>
      </x:c>
      <x:c r="E809" s="604" t="inlineStr">
        <x:is>
          <x:t xml:space="preserve">法丙</x:t>
        </x:is>
      </x:c>
      <x:c r="F809" s="604" t="inlineStr">
        <x:is>
          <x:t xml:space="preserve">戛纳 vs 克维伊</x:t>
        </x:is>
      </x:c>
      <x:c r="G809" s="604" t="n">
        <x:v>0.95</x:v>
      </x:c>
      <x:c r="H809" s="604" t="n">
        <x:v>0.75</x:v>
      </x:c>
      <x:c r="I809" s="604" t="n">
        <x:v>0.8100000000000001</x:v>
      </x:c>
      <x:c r="J809" s="604" t="inlineStr">
        <x:is>
          <x:t xml:space="preserve">0.95/0.75/0.81</x:t>
        </x:is>
      </x:c>
      <x:c r="K809" s="604" t="inlineStr">
        <x:is>
          <x:t xml:space="preserve">V4-B｜EV +0.1159</x:t>
        </x:is>
      </x:c>
      <x:c r="L809" s="604" t="inlineStr">
        <x:is>
          <x:t xml:space="preserve">戛纳</x:t>
        </x:is>
      </x:c>
      <x:c r="M809" s="604" t="n">
        <x:v>0.581046884008754</x:v>
      </x:c>
      <x:c r="N809" s="604" t="inlineStr">
        <x:is>
          <x:t xml:space="preserve">V4纸面入选-B</x:t>
        </x:is>
      </x:c>
      <x:c r="O809" s="604" t="inlineStr">
        <x:is>
          <x:t xml:space="preserve">3-1</x:t>
        </x:is>
      </x:c>
      <x:c r="P809" s="604" t="inlineStr">
        <x:is>
          <x:t xml:space="preserve">已结算</x:t>
        </x:is>
      </x:c>
      <x:c r="Q809" s="645" t="inlineStr">
        <x:is>
          <x:t xml:space="preserve">红</x:t>
        </x:is>
      </x:c>
      <x:c r="R809" s="604" t="n">
        <x:v>0.95</x:v>
      </x:c>
      <x:c r="S809" s="604" t="n">
        <x:f>IF(OR(Q809="",Q809="待结算"),"",IF(Q809="红",R809,IF(Q809="半红",R809*0.5,IF(Q809="走",0,IF(Q809="半黑",-0.5,-1)))))</x:f>
        <x:v>0.95</x:v>
      </x:c>
      <x:c r="T809" s="604" t="inlineStr">
        <x:is>
          <x:t xml:space="preserve">https://m.titan007.com/analy/Analysis/3020019.htm</x:t>
        </x:is>
      </x:c>
      <x:c r="U809" s="646" t="str">
        <x:f>IF(Q809="","",IF(Q809="待结算","待结算",IF(Q809="红","黑",IF(Q809="半红","半黑",IF(Q809="走","走",IF(Q809="半黑","半红","红"))))))</x:f>
        <x:v>黑</x:v>
      </x:c>
      <x:c r="V809" s="604" t="n">
        <x:f>IF(OR(Q809="",Q809="待结算"),"",IF(L809=LEFT(F809,FIND(" vs ",F809)-1),I809,G809))</x:f>
        <x:v>0.81</x:v>
      </x:c>
      <x:c r="W809" s="604" t="n">
        <x:f>IF(OR(U809="",U809="待结算"),"",IF(U809="红",V809,IF(U809="半红",V809*0.5,IF(U809="走",0,IF(U809="半黑",-0.5,-1)))))</x:f>
        <x:v>-1</x:v>
      </x:c>
      <x:c r="X809" s="604" t="inlineStr">
        <x:is>
          <x:t xml:space="preserve">3020019</x:t>
        </x:is>
      </x:c>
      <x:c r="Y809" s="604" t="inlineStr">
        <x:is>
          <x:t xml:space="preserve">V4</x:t>
        </x:is>
      </x:c>
      <x:c r="Z809" s="604" t="inlineStr">
        <x:is>
          <x:t xml:space="preserve">prior-2026-10-03-v1</x:t>
        </x:is>
      </x:c>
      <x:c r="AA809" s="604" t="inlineStr">
        <x:is>
          <x:t xml:space="preserve">B</x:t>
        </x:is>
      </x:c>
      <x:c r="AB809" s="604" t="n">
        <x:v>0.3777317564785932</x:v>
      </x:c>
      <x:c r="AC809" s="604" t="n">
        <x:v>0.2571905103973313</x:v>
      </x:c>
      <x:c r="AD809" s="604" t="n"/>
      <x:c r="AE809" s="604" t="n"/>
      <x:c r="AF809" s="604" t="n">
        <x:v>0.3650777331240755</x:v>
      </x:c>
      <x:c r="AG809" s="604" t="n">
        <x:v>0.1159329279693203</x:v>
      </x:c>
      <x:c r="AH809" s="604" t="n"/>
      <x:c r="AI809" s="604" t="n"/>
      <x:c r="AJ809" s="604" t="n">
        <x:v>0.1159329279693203</x:v>
      </x:c>
      <x:c r="AK809" s="604" t="n"/>
      <x:c r="AL809" s="604" t="n"/>
      <x:c r="AM809" s="604" t="n"/>
      <x:c r="AN809" s="604" t="inlineStr">
        <x:is>
          <x:t xml:space="preserve">EVALUATED</x:t>
        </x:is>
      </x:c>
      <x:c r="AO809" s="604" t="inlineStr">
        <x:is>
          <x:t xml:space="preserve">GIVING_VALIDATED_EDGE、BUCKET_PRIOR_ONLY、INTENT_INTERPRETATION_ONLY、EXPERT_MARKET</x:t>
        </x:is>
      </x:c>
      <x:c r="AP809" s="604" t="inlineStr">
        <x:is>
          <x:t xml:space="preserve">2b3e8b185ab113017760</x:t>
        </x:is>
      </x:c>
      <x:c r="AQ809" s="604" t="n">
        <x:v>-0.75</x:v>
      </x:c>
      <x:c r="AR809" s="604" t="n">
        <x:v>0.95</x:v>
      </x:c>
      <x:c r="AS809" s="604" t="n">
        <x:v>0.75</x:v>
      </x:c>
      <x:c r="AT809" s="604" t="n">
        <x:v>-0.75</x:v>
      </x:c>
      <x:c r="AU809" s="604" t="n">
        <x:v>0.95</x:v>
      </x:c>
      <x:c r="AV809" s="604" t="n">
        <x:v>0.8100000000000001</x:v>
      </x:c>
      <x:c r="AW809" s="604" t="n">
        <x:v>46298.06050486111</x:v>
      </x:c>
      <x:c r="AX809" s="604" t="inlineStr">
        <x:is>
          <x:t xml:space="preserve">https://simondongxiao.github.io/odds/v4/</x:t>
        </x:is>
      </x:c>
      <x:c r="AY809" s="604" t="inlineStr">
        <x:is>
          <x:t xml:space="preserve">V4 Shadow Only；real_money=false；P(EV&gt;0)不是比赛胜率</x:t>
        </x:is>
      </x:c>
    </x:row>
    <x:row r="810" ht="22" customHeight="1">
      <x:c r="A810" s="604" t="inlineStr">
        <x:is>
          <x:t xml:space="preserve">2026-10-03</x:t>
        </x:is>
      </x:c>
      <x:c r="B810" s="604" t="inlineStr">
        <x:is>
          <x:t xml:space="preserve">2026-10-04 02:45</x:t>
        </x:is>
      </x:c>
      <x:c r="C810" s="604" t="str">
        <x:v>五大联赛非顶级联赛</x:v>
      </x:c>
      <x:c r="D810" s="604" t="inlineStr">
        <x:is>
          <x:t xml:space="preserve">联赛</x:t>
        </x:is>
      </x:c>
      <x:c r="E810" s="604" t="inlineStr">
        <x:is>
          <x:t xml:space="preserve">法丙</x:t>
        </x:is>
      </x:c>
      <x:c r="F810" s="604" t="inlineStr">
        <x:is>
          <x:t xml:space="preserve">孔卡诺 vs 巴黎13区竞技</x:t>
        </x:is>
      </x:c>
      <x:c r="G810" s="604" t="n">
        <x:v>0.79</x:v>
      </x:c>
      <x:c r="H810" s="604" t="n">
        <x:v>0.5</x:v>
      </x:c>
      <x:c r="I810" s="604" t="n">
        <x:v>0.97</x:v>
      </x:c>
      <x:c r="J810" s="604" t="inlineStr">
        <x:is>
          <x:t xml:space="preserve">0.79/0.5/0.97</x:t>
        </x:is>
      </x:c>
      <x:c r="K810" s="604" t="inlineStr">
        <x:is>
          <x:t xml:space="preserve">V4-B｜EV +0.0787</x:t>
        </x:is>
      </x:c>
      <x:c r="L810" s="604" t="inlineStr">
        <x:is>
          <x:t xml:space="preserve">孔卡诺</x:t>
        </x:is>
      </x:c>
      <x:c r="M810" s="604" t="n">
        <x:v>0.6026506107482064</x:v>
      </x:c>
      <x:c r="N810" s="604" t="inlineStr">
        <x:is>
          <x:t xml:space="preserve">V4纸面入选-B</x:t>
        </x:is>
      </x:c>
      <x:c r="O810" s="604" t="inlineStr">
        <x:is>
          <x:t xml:space="preserve">2-1</x:t>
        </x:is>
      </x:c>
      <x:c r="P810" s="604" t="inlineStr">
        <x:is>
          <x:t xml:space="preserve">已结算</x:t>
        </x:is>
      </x:c>
      <x:c r="Q810" s="645" t="inlineStr">
        <x:is>
          <x:t xml:space="preserve">红</x:t>
        </x:is>
      </x:c>
      <x:c r="R810" s="604" t="n">
        <x:v>0.79</x:v>
      </x:c>
      <x:c r="S810" s="604" t="n">
        <x:f>IF(OR(Q810="",Q810="待结算"),"",IF(Q810="红",R810,IF(Q810="半红",R810*0.5,IF(Q810="走",0,IF(Q810="半黑",-0.5,-1)))))</x:f>
        <x:v>0.79</x:v>
      </x:c>
      <x:c r="T810" s="604" t="inlineStr">
        <x:is>
          <x:t xml:space="preserve">https://m.titan007.com/analy/Analysis/3020020.htm</x:t>
        </x:is>
      </x:c>
      <x:c r="U810" s="646" t="str">
        <x:f>IF(Q810="","",IF(Q810="待结算","待结算",IF(Q810="红","黑",IF(Q810="半红","半黑",IF(Q810="走","走",IF(Q810="半黑","半红","红"))))))</x:f>
        <x:v>黑</x:v>
      </x:c>
      <x:c r="V810" s="604" t="n">
        <x:f>IF(OR(Q810="",Q810="待结算"),"",IF(L810=LEFT(F810,FIND(" vs ",F810)-1),I810,G810))</x:f>
        <x:v>0.97</x:v>
      </x:c>
      <x:c r="W810" s="604" t="n">
        <x:f>IF(OR(U810="",U810="待结算"),"",IF(U810="红",V810,IF(U810="半红",V810*0.5,IF(U810="走",0,IF(U810="半黑",-0.5,-1)))))</x:f>
        <x:v>-1</x:v>
      </x:c>
      <x:c r="X810" s="604" t="inlineStr">
        <x:is>
          <x:t xml:space="preserve">3020020</x:t>
        </x:is>
      </x:c>
      <x:c r="Y810" s="604" t="inlineStr">
        <x:is>
          <x:t xml:space="preserve">V4</x:t>
        </x:is>
      </x:c>
      <x:c r="Z810" s="604" t="inlineStr">
        <x:is>
          <x:t xml:space="preserve">prior-2026-10-03-v1</x:t>
        </x:is>
      </x:c>
      <x:c r="AA810" s="604" t="inlineStr">
        <x:is>
          <x:t xml:space="preserve">B</x:t>
        </x:is>
      </x:c>
      <x:c r="AB810" s="604" t="n">
        <x:v>0.6026506107482064</x:v>
      </x:c>
      <x:c r="AC810" s="604" t="n"/>
      <x:c r="AD810" s="604" t="n"/>
      <x:c r="AE810" s="604" t="n"/>
      <x:c r="AF810" s="604" t="n">
        <x:v>0.3973493892517936</x:v>
      </x:c>
      <x:c r="AG810" s="604" t="n">
        <x:v>0.0787445932392894</x:v>
      </x:c>
      <x:c r="AH810" s="604" t="n"/>
      <x:c r="AI810" s="604" t="n"/>
      <x:c r="AJ810" s="604" t="n">
        <x:v>0.0787445932392894</x:v>
      </x:c>
      <x:c r="AK810" s="604" t="n"/>
      <x:c r="AL810" s="604" t="n"/>
      <x:c r="AM810" s="604" t="n"/>
      <x:c r="AN810" s="604" t="inlineStr">
        <x:is>
          <x:t xml:space="preserve">EVALUATED</x:t>
        </x:is>
      </x:c>
      <x:c r="AO810" s="604" t="inlineStr">
        <x:is>
          <x:t xml:space="preserve">GIVING_VALIDATED_EDGE、BUCKET_PRIOR_ONLY、INTENT_INTERPRETATION_ONLY、EXPERT_MARKET</x:t>
        </x:is>
      </x:c>
      <x:c r="AP810" s="604" t="inlineStr">
        <x:is>
          <x:t xml:space="preserve">fb5d422e93db1edd28c8</x:t>
        </x:is>
      </x:c>
      <x:c r="AQ810" s="604" t="n">
        <x:v>-0.5</x:v>
      </x:c>
      <x:c r="AR810" s="604" t="n">
        <x:v>0.79</x:v>
      </x:c>
      <x:c r="AS810" s="604" t="n">
        <x:v>0.5</x:v>
      </x:c>
      <x:c r="AT810" s="604" t="n">
        <x:v>-0.5</x:v>
      </x:c>
      <x:c r="AU810" s="604" t="n">
        <x:v>0.79</x:v>
      </x:c>
      <x:c r="AV810" s="604" t="n">
        <x:v>0.97</x:v>
      </x:c>
      <x:c r="AW810" s="604" t="n">
        <x:v>46298.06050486111</x:v>
      </x:c>
      <x:c r="AX810" s="604" t="inlineStr">
        <x:is>
          <x:t xml:space="preserve">https://simondongxiao.github.io/odds/v4/</x:t>
        </x:is>
      </x:c>
      <x:c r="AY810" s="604" t="inlineStr">
        <x:is>
          <x:t xml:space="preserve">V4 Shadow Only；real_money=false；P(EV&gt;0)不是比赛胜率</x:t>
        </x:is>
      </x:c>
    </x:row>
    <x:row r="811" ht="22" customHeight="1">
      <x:c r="A811" s="604" t="inlineStr">
        <x:is>
          <x:t xml:space="preserve">2026-10-03</x:t>
        </x:is>
      </x:c>
      <x:c r="B811" s="604" t="inlineStr">
        <x:is>
          <x:t xml:space="preserve">2026-10-04 02:45</x:t>
        </x:is>
      </x:c>
      <x:c r="C811" s="604" t="str">
        <x:v>五大联赛非顶级联赛</x:v>
      </x:c>
      <x:c r="D811" s="604" t="inlineStr">
        <x:is>
          <x:t xml:space="preserve">联赛</x:t>
        </x:is>
      </x:c>
      <x:c r="E811" s="604" t="inlineStr">
        <x:is>
          <x:t xml:space="preserve">法丙</x:t>
        </x:is>
      </x:c>
      <x:c r="F811" s="604" t="inlineStr">
        <x:is>
          <x:t xml:space="preserve">永河畔拉罗什 vs 欧巴涅</x:t>
        </x:is>
      </x:c>
      <x:c r="G811" s="604" t="n">
        <x:v>0.88</x:v>
      </x:c>
      <x:c r="H811" s="604" t="n">
        <x:v>0.75</x:v>
      </x:c>
      <x:c r="I811" s="604" t="n">
        <x:v>0.88</x:v>
      </x:c>
      <x:c r="J811" s="604" t="inlineStr">
        <x:is>
          <x:t xml:space="preserve">0.88/0.75/0.88</x:t>
        </x:is>
      </x:c>
      <x:c r="K811" s="604" t="inlineStr">
        <x:is>
          <x:t xml:space="preserve">V4-C｜EV +0.0685</x:t>
        </x:is>
      </x:c>
      <x:c r="L811" s="604" t="inlineStr">
        <x:is>
          <x:t xml:space="preserve">永河畔拉罗什</x:t>
        </x:is>
      </x:c>
      <x:c r="M811" s="604" t="n">
        <x:v>0.5737322418801816</x:v>
      </x:c>
      <x:c r="N811" s="604" t="inlineStr">
        <x:is>
          <x:t xml:space="preserve">V4纸面入选-C</x:t>
        </x:is>
      </x:c>
      <x:c r="O811" s="604" t="inlineStr">
        <x:is>
          <x:t xml:space="preserve">3-1</x:t>
        </x:is>
      </x:c>
      <x:c r="P811" s="604" t="inlineStr">
        <x:is>
          <x:t xml:space="preserve">已结算</x:t>
        </x:is>
      </x:c>
      <x:c r="Q811" s="645" t="inlineStr">
        <x:is>
          <x:t xml:space="preserve">红</x:t>
        </x:is>
      </x:c>
      <x:c r="R811" s="604" t="n">
        <x:v>0.88</x:v>
      </x:c>
      <x:c r="S811" s="604" t="n">
        <x:f>IF(OR(Q811="",Q811="待结算"),"",IF(Q811="红",R811,IF(Q811="半红",R811*0.5,IF(Q811="走",0,IF(Q811="半黑",-0.5,-1)))))</x:f>
        <x:v>0.88</x:v>
      </x:c>
      <x:c r="T811" s="604" t="inlineStr">
        <x:is>
          <x:t xml:space="preserve">https://m.titan007.com/analy/Analysis/3020022.htm</x:t>
        </x:is>
      </x:c>
      <x:c r="U811" s="646" t="str">
        <x:f>IF(Q811="","",IF(Q811="待结算","待结算",IF(Q811="红","黑",IF(Q811="半红","半黑",IF(Q811="走","走",IF(Q811="半黑","半红","红"))))))</x:f>
        <x:v>黑</x:v>
      </x:c>
      <x:c r="V811" s="604" t="n">
        <x:f>IF(OR(Q811="",Q811="待结算"),"",IF(L811=LEFT(F811,FIND(" vs ",F811)-1),I811,G811))</x:f>
        <x:v>0.88</x:v>
      </x:c>
      <x:c r="W811" s="604" t="n">
        <x:f>IF(OR(U811="",U811="待结算"),"",IF(U811="红",V811,IF(U811="半红",V811*0.5,IF(U811="走",0,IF(U811="半黑",-0.5,-1)))))</x:f>
        <x:v>-1</x:v>
      </x:c>
      <x:c r="X811" s="604" t="inlineStr">
        <x:is>
          <x:t xml:space="preserve">3020022</x:t>
        </x:is>
      </x:c>
      <x:c r="Y811" s="604" t="inlineStr">
        <x:is>
          <x:t xml:space="preserve">V4</x:t>
        </x:is>
      </x:c>
      <x:c r="Z811" s="604" t="inlineStr">
        <x:is>
          <x:t xml:space="preserve">prior-2026-10-03-v1</x:t>
        </x:is>
      </x:c>
      <x:c r="AA811" s="604" t="inlineStr">
        <x:is>
          <x:t xml:space="preserve">C</x:t>
        </x:is>
      </x:c>
      <x:c r="AB811" s="604" t="n">
        <x:v>0.3721462384257008</x:v>
      </x:c>
      <x:c r="AC811" s="604" t="n">
        <x:v>0.2561884392908421</x:v>
      </x:c>
      <x:c r="AD811" s="604" t="n"/>
      <x:c r="AE811" s="604" t="n"/>
      <x:c r="AF811" s="604" t="n">
        <x:v>0.3716653222834572</x:v>
      </x:c>
      <x:c r="AG811" s="604" t="n">
        <x:v>0.06854628081913006</x:v>
      </x:c>
      <x:c r="AH811" s="604" t="n"/>
      <x:c r="AI811" s="604" t="n"/>
      <x:c r="AJ811" s="604" t="n">
        <x:v>0.06854628081913006</x:v>
      </x:c>
      <x:c r="AK811" s="604" t="n"/>
      <x:c r="AL811" s="604" t="n"/>
      <x:c r="AM811" s="604" t="n"/>
      <x:c r="AN811" s="604" t="inlineStr">
        <x:is>
          <x:t xml:space="preserve">EVALUATED</x:t>
        </x:is>
      </x:c>
      <x:c r="AO811" s="604" t="inlineStr">
        <x:is>
          <x:t xml:space="preserve">GIVING_VALIDATED_EDGE、BUCKET_PRIOR_ONLY、INTENT_INTERPRETATION_ONLY、EXPERT_MARKET</x:t>
        </x:is>
      </x:c>
      <x:c r="AP811" s="604" t="inlineStr">
        <x:is>
          <x:t xml:space="preserve">42dc074e9204c71f5f09</x:t>
        </x:is>
      </x:c>
      <x:c r="AQ811" s="604" t="n">
        <x:v>-0.75</x:v>
      </x:c>
      <x:c r="AR811" s="604" t="n">
        <x:v>0.88</x:v>
      </x:c>
      <x:c r="AS811" s="604" t="n">
        <x:v>0.75</x:v>
      </x:c>
      <x:c r="AT811" s="604" t="n">
        <x:v>-0.75</x:v>
      </x:c>
      <x:c r="AU811" s="604" t="n">
        <x:v>0.88</x:v>
      </x:c>
      <x:c r="AV811" s="604" t="n">
        <x:v>0.88</x:v>
      </x:c>
      <x:c r="AW811" s="604" t="n">
        <x:v>46298.06050486111</x:v>
      </x:c>
      <x:c r="AX811" s="604" t="inlineStr">
        <x:is>
          <x:t xml:space="preserve">https://simondongxiao.github.io/odds/v4/</x:t>
        </x:is>
      </x:c>
      <x:c r="AY811" s="604" t="inlineStr">
        <x:is>
          <x:t xml:space="preserve">V4 Shadow Only；real_money=false；P(EV&gt;0)不是比赛胜率</x:t>
        </x:is>
      </x:c>
    </x:row>
    <x:row r="812" ht="22" customHeight="1">
      <x:c r="A812" s="604" t="inlineStr">
        <x:is>
          <x:t xml:space="preserve">2026-10-03</x:t>
        </x:is>
      </x:c>
      <x:c r="B812" s="604" t="inlineStr">
        <x:is>
          <x:t xml:space="preserve">2026-10-04 02:45</x:t>
        </x:is>
      </x:c>
      <x:c r="C812" s="604" t="str">
        <x:v>五大联赛非顶级联赛</x:v>
      </x:c>
      <x:c r="D812" s="604" t="inlineStr">
        <x:is>
          <x:t xml:space="preserve">联赛</x:t>
        </x:is>
      </x:c>
      <x:c r="E812" s="604" t="inlineStr">
        <x:is>
          <x:t xml:space="preserve">法丙</x:t>
        </x:is>
      </x:c>
      <x:c r="F812" s="604" t="inlineStr">
        <x:is>
          <x:t xml:space="preserve">奥维涅 vs 蒂翁维尔</x:t>
        </x:is>
      </x:c>
      <x:c r="G812" s="604" t="n">
        <x:v>0.93</x:v>
      </x:c>
      <x:c r="H812" s="604" t="n">
        <x:v>0.5</x:v>
      </x:c>
      <x:c r="I812" s="604" t="n">
        <x:v>0.83</x:v>
      </x:c>
      <x:c r="J812" s="604" t="inlineStr">
        <x:is>
          <x:t xml:space="preserve">0.93/0.5/0.83</x:t>
        </x:is>
      </x:c>
      <x:c r="K812" s="604" t="inlineStr">
        <x:is>
          <x:t xml:space="preserve">V4-C｜EV +0.0586</x:t>
        </x:is>
      </x:c>
      <x:c r="L812" s="604" t="inlineStr">
        <x:is>
          <x:t xml:space="preserve">奥维涅</x:t>
        </x:is>
      </x:c>
      <x:c r="M812" s="604" t="n">
        <x:v>0.5484937526459756</x:v>
      </x:c>
      <x:c r="N812" s="604" t="inlineStr">
        <x:is>
          <x:t xml:space="preserve">V4纸面入选-C</x:t>
        </x:is>
      </x:c>
      <x:c r="O812" s="604" t="inlineStr">
        <x:is>
          <x:t xml:space="preserve">1-0</x:t>
        </x:is>
      </x:c>
      <x:c r="P812" s="604" t="inlineStr">
        <x:is>
          <x:t xml:space="preserve">已结算</x:t>
        </x:is>
      </x:c>
      <x:c r="Q812" s="645" t="inlineStr">
        <x:is>
          <x:t xml:space="preserve">红</x:t>
        </x:is>
      </x:c>
      <x:c r="R812" s="604" t="n">
        <x:v>0.93</x:v>
      </x:c>
      <x:c r="S812" s="604" t="n">
        <x:f>IF(OR(Q812="",Q812="待结算"),"",IF(Q812="红",R812,IF(Q812="半红",R812*0.5,IF(Q812="走",0,IF(Q812="半黑",-0.5,-1)))))</x:f>
        <x:v>0.93</x:v>
      </x:c>
      <x:c r="T812" s="604" t="inlineStr">
        <x:is>
          <x:t xml:space="preserve">https://m.titan007.com/analy/Analysis/3020023.htm</x:t>
        </x:is>
      </x:c>
      <x:c r="U812" s="646" t="str">
        <x:f>IF(Q812="","",IF(Q812="待结算","待结算",IF(Q812="红","黑",IF(Q812="半红","半黑",IF(Q812="走","走",IF(Q812="半黑","半红","红"))))))</x:f>
        <x:v>黑</x:v>
      </x:c>
      <x:c r="V812" s="604" t="n">
        <x:f>IF(OR(Q812="",Q812="待结算"),"",IF(L812=LEFT(F812,FIND(" vs ",F812)-1),I812,G812))</x:f>
        <x:v>0.83</x:v>
      </x:c>
      <x:c r="W812" s="604" t="n">
        <x:f>IF(OR(U812="",U812="待结算"),"",IF(U812="红",V812,IF(U812="半红",V812*0.5,IF(U812="走",0,IF(U812="半黑",-0.5,-1)))))</x:f>
        <x:v>-1</x:v>
      </x:c>
      <x:c r="X812" s="604" t="inlineStr">
        <x:is>
          <x:t xml:space="preserve">3020023</x:t>
        </x:is>
      </x:c>
      <x:c r="Y812" s="604" t="inlineStr">
        <x:is>
          <x:t xml:space="preserve">V4</x:t>
        </x:is>
      </x:c>
      <x:c r="Z812" s="604" t="inlineStr">
        <x:is>
          <x:t xml:space="preserve">prior-2026-10-03-v1</x:t>
        </x:is>
      </x:c>
      <x:c r="AA812" s="604" t="inlineStr">
        <x:is>
          <x:t xml:space="preserve">C</x:t>
        </x:is>
      </x:c>
      <x:c r="AB812" s="604" t="n">
        <x:v>0.5484937526459756</x:v>
      </x:c>
      <x:c r="AC812" s="604" t="n"/>
      <x:c r="AD812" s="604" t="n"/>
      <x:c r="AE812" s="604" t="n"/>
      <x:c r="AF812" s="604" t="n">
        <x:v>0.4515062473540245</x:v>
      </x:c>
      <x:c r="AG812" s="604" t="n">
        <x:v>0.05859294260673281</x:v>
      </x:c>
      <x:c r="AH812" s="604" t="n"/>
      <x:c r="AI812" s="604" t="n"/>
      <x:c r="AJ812" s="604" t="n">
        <x:v>0.05859294260673281</x:v>
      </x:c>
      <x:c r="AK812" s="604" t="n"/>
      <x:c r="AL812" s="604" t="n"/>
      <x:c r="AM812" s="604" t="n"/>
      <x:c r="AN812" s="604" t="inlineStr">
        <x:is>
          <x:t xml:space="preserve">EVALUATED</x:t>
        </x:is>
      </x:c>
      <x:c r="AO812" s="604" t="inlineStr">
        <x:is>
          <x:t xml:space="preserve">GIVING_VALIDATED_EDGE、BUCKET_PRIOR_ONLY、INTENT_INTERPRETATION_ONLY、EXPERT_MARKET</x:t>
        </x:is>
      </x:c>
      <x:c r="AP812" s="604" t="inlineStr">
        <x:is>
          <x:t xml:space="preserve">0dffe2ebaffa02444223</x:t>
        </x:is>
      </x:c>
      <x:c r="AQ812" s="604" t="n">
        <x:v>-0.5</x:v>
      </x:c>
      <x:c r="AR812" s="604" t="n">
        <x:v>0.93</x:v>
      </x:c>
      <x:c r="AS812" s="604" t="n">
        <x:v>0.5</x:v>
      </x:c>
      <x:c r="AT812" s="604" t="n">
        <x:v>-0.5</x:v>
      </x:c>
      <x:c r="AU812" s="604" t="n">
        <x:v>0.93</x:v>
      </x:c>
      <x:c r="AV812" s="604" t="n">
        <x:v>0.83</x:v>
      </x:c>
      <x:c r="AW812" s="604" t="n">
        <x:v>46298.06050486111</x:v>
      </x:c>
      <x:c r="AX812" s="604" t="inlineStr">
        <x:is>
          <x:t xml:space="preserve">https://simondongxiao.github.io/odds/v4/</x:t>
        </x:is>
      </x:c>
      <x:c r="AY812" s="604" t="inlineStr">
        <x:is>
          <x:t xml:space="preserve">V4 Shadow Only；real_money=false；P(EV&gt;0)不是比赛胜率</x:t>
        </x:is>
      </x:c>
    </x:row>
    <x:row r="813" ht="22" customHeight="1">
      <x:c r="A813" s="604" t="inlineStr">
        <x:is>
          <x:t xml:space="preserve">2026-10-03</x:t>
        </x:is>
      </x:c>
      <x:c r="B813" s="604" t="inlineStr">
        <x:is>
          <x:t xml:space="preserve">2026-10-04 02:45</x:t>
        </x:is>
      </x:c>
      <x:c r="C813" s="604" t="str">
        <x:v>五大联赛非顶级联赛</x:v>
      </x:c>
      <x:c r="D813" s="604" t="inlineStr">
        <x:is>
          <x:t xml:space="preserve">联赛</x:t>
        </x:is>
      </x:c>
      <x:c r="E813" s="604" t="inlineStr">
        <x:is>
          <x:t xml:space="preserve">法丙</x:t>
        </x:is>
      </x:c>
      <x:c r="F813" s="604" t="inlineStr">
        <x:is>
          <x:t xml:space="preserve">鲁昂 vs 普瑞兰斯</x:t>
        </x:is>
      </x:c>
      <x:c r="G813" s="604" t="n">
        <x:v>0.76</x:v>
      </x:c>
      <x:c r="H813" s="604" t="n">
        <x:v>1</x:v>
      </x:c>
      <x:c r="I813" s="604" t="n">
        <x:v>1</x:v>
      </x:c>
      <x:c r="J813" s="604" t="inlineStr">
        <x:is>
          <x:t xml:space="preserve">0.76/1/1</x:t>
        </x:is>
      </x:c>
      <x:c r="K813" s="604" t="inlineStr">
        <x:is>
          <x:t xml:space="preserve">V4-B｜EV +0.1243</x:t>
        </x:is>
      </x:c>
      <x:c r="L813" s="604" t="inlineStr">
        <x:is>
          <x:t xml:space="preserve">鲁昂</x:t>
        </x:is>
      </x:c>
      <x:c r="M813" s="604" t="n">
        <x:v>0.6625307483136074</x:v>
      </x:c>
      <x:c r="N813" s="604" t="inlineStr">
        <x:is>
          <x:t xml:space="preserve">V4纸面入选-B</x:t>
        </x:is>
      </x:c>
      <x:c r="O813" s="604" t="inlineStr">
        <x:is>
          <x:t xml:space="preserve">2-0</x:t>
        </x:is>
      </x:c>
      <x:c r="P813" s="604" t="inlineStr">
        <x:is>
          <x:t xml:space="preserve">已结算</x:t>
        </x:is>
      </x:c>
      <x:c r="Q813" s="645" t="inlineStr">
        <x:is>
          <x:t xml:space="preserve">红</x:t>
        </x:is>
      </x:c>
      <x:c r="R813" s="604" t="n">
        <x:v>0.76</x:v>
      </x:c>
      <x:c r="S813" s="604" t="n">
        <x:f>IF(OR(Q813="",Q813="待结算"),"",IF(Q813="红",R813,IF(Q813="半红",R813*0.5,IF(Q813="走",0,IF(Q813="半黑",-0.5,-1)))))</x:f>
        <x:v>0.76</x:v>
      </x:c>
      <x:c r="T813" s="604" t="inlineStr">
        <x:is>
          <x:t xml:space="preserve">https://m.titan007.com/analy/Analysis/3020024.htm</x:t>
        </x:is>
      </x:c>
      <x:c r="U813" s="646" t="str">
        <x:f>IF(Q813="","",IF(Q813="待结算","待结算",IF(Q813="红","黑",IF(Q813="半红","半黑",IF(Q813="走","走",IF(Q813="半黑","半红","红"))))))</x:f>
        <x:v>黑</x:v>
      </x:c>
      <x:c r="V813" s="604" t="n">
        <x:f>IF(OR(Q813="",Q813="待结算"),"",IF(L813=LEFT(F813,FIND(" vs ",F813)-1),I813,G813))</x:f>
        <x:v>1</x:v>
      </x:c>
      <x:c r="W813" s="604" t="n">
        <x:f>IF(OR(U813="",U813="待结算"),"",IF(U813="红",V813,IF(U813="半红",V813*0.5,IF(U813="走",0,IF(U813="半黑",-0.5,-1)))))</x:f>
        <x:v>-1</x:v>
      </x:c>
      <x:c r="X813" s="604" t="inlineStr">
        <x:is>
          <x:t xml:space="preserve">3020024</x:t>
        </x:is>
      </x:c>
      <x:c r="Y813" s="604" t="inlineStr">
        <x:is>
          <x:t xml:space="preserve">V4</x:t>
        </x:is>
      </x:c>
      <x:c r="Z813" s="604" t="inlineStr">
        <x:is>
          <x:t xml:space="preserve">prior-2026-10-03-v1</x:t>
        </x:is>
      </x:c>
      <x:c r="AA813" s="604" t="inlineStr">
        <x:is>
          <x:t xml:space="preserve">B</x:t>
        </x:is>
      </x:c>
      <x:c r="AB813" s="604" t="n">
        <x:v>0.4960858850745754</x:v>
      </x:c>
      <x:c r="AC813" s="604" t="n"/>
      <x:c r="AD813" s="604" t="n">
        <x:v>0.2512258693844738</x:v>
      </x:c>
      <x:c r="AE813" s="604" t="n"/>
      <x:c r="AF813" s="604" t="n">
        <x:v>0.2526882455409508</x:v>
      </x:c>
      <x:c r="AG813" s="604" t="n">
        <x:v>0.1243370271157265</x:v>
      </x:c>
      <x:c r="AH813" s="604" t="n"/>
      <x:c r="AI813" s="604" t="n"/>
      <x:c r="AJ813" s="604" t="n">
        <x:v>0.1243370271157265</x:v>
      </x:c>
      <x:c r="AK813" s="604" t="n"/>
      <x:c r="AL813" s="604" t="n"/>
      <x:c r="AM813" s="604" t="n"/>
      <x:c r="AN813" s="604" t="inlineStr">
        <x:is>
          <x:t xml:space="preserve">EVALUATED</x:t>
        </x:is>
      </x:c>
      <x:c r="AO813" s="604" t="inlineStr">
        <x:is>
          <x:t xml:space="preserve">GIVING_VALIDATED_EDGE、BUCKET_PRIOR_ONLY、INTENT_INTERPRETATION_ONLY、EXPERT_MARKET</x:t>
        </x:is>
      </x:c>
      <x:c r="AP813" s="604" t="inlineStr">
        <x:is>
          <x:t xml:space="preserve">74ff8f0d0a168e73a5ed</x:t>
        </x:is>
      </x:c>
      <x:c r="AQ813" s="604" t="n">
        <x:v>-1</x:v>
      </x:c>
      <x:c r="AR813" s="604" t="n">
        <x:v>0.76</x:v>
      </x:c>
      <x:c r="AS813" s="604" t="n">
        <x:v>1</x:v>
      </x:c>
      <x:c r="AT813" s="604" t="n">
        <x:v>-1</x:v>
      </x:c>
      <x:c r="AU813" s="604" t="n">
        <x:v>0.76</x:v>
      </x:c>
      <x:c r="AV813" s="604" t="n">
        <x:v>1</x:v>
      </x:c>
      <x:c r="AW813" s="604" t="n">
        <x:v>46298.06050486111</x:v>
      </x:c>
      <x:c r="AX813" s="604" t="inlineStr">
        <x:is>
          <x:t xml:space="preserve">https://simondongxiao.github.io/odds/v4/</x:t>
        </x:is>
      </x:c>
      <x:c r="AY813" s="604" t="inlineStr">
        <x:is>
          <x:t xml:space="preserve">V4 Shadow Only；real_money=false；P(EV&gt;0)不是比赛胜率</x:t>
        </x:is>
      </x:c>
    </x:row>
    <x:row r="814" ht="22" customHeight="1">
      <x:c r="A814" s="604" t="inlineStr">
        <x:is>
          <x:t xml:space="preserve">2026-10-03</x:t>
        </x:is>
      </x:c>
      <x:c r="B814" s="604" t="inlineStr">
        <x:is>
          <x:t xml:space="preserve">2026-10-04 02:45</x:t>
        </x:is>
      </x:c>
      <x:c r="C814" s="604" t="str">
        <x:v>五大联赛非顶级联赛</x:v>
      </x:c>
      <x:c r="D814" s="604" t="inlineStr">
        <x:is>
          <x:t xml:space="preserve">联赛</x:t>
        </x:is>
      </x:c>
      <x:c r="E814" s="604" t="inlineStr">
        <x:is>
          <x:t xml:space="preserve">法丙</x:t>
        </x:is>
      </x:c>
      <x:c r="F814" s="604" t="inlineStr">
        <x:is>
          <x:t xml:space="preserve">维尔赛斯 vs 瓦朗谢纳</x:t>
        </x:is>
      </x:c>
      <x:c r="G814" s="604" t="n">
        <x:v>0.83</x:v>
      </x:c>
      <x:c r="H814" s="604" t="n">
        <x:v>0</x:v>
      </x:c>
      <x:c r="I814" s="604" t="n">
        <x:v>0.93</x:v>
      </x:c>
      <x:c r="J814" s="604" t="inlineStr">
        <x:is>
          <x:t xml:space="preserve">0.83/0/0.93</x:t>
        </x:is>
      </x:c>
      <x:c r="K814" s="604" t="inlineStr">
        <x:is>
          <x:t xml:space="preserve">V4-C｜EV +0.0071</x:t>
        </x:is>
      </x:c>
      <x:c r="L814" s="604" t="str"/>
      <x:c r="M814" s="604" t="n">
        <x:v>0.5503443172548568</x:v>
      </x:c>
      <x:c r="N814" s="604" t="inlineStr">
        <x:is>
          <x:t xml:space="preserve">V4纸面入选-C</x:t>
        </x:is>
      </x:c>
      <x:c r="O814" s="604" t="inlineStr">
        <x:is>
          <x:t xml:space="preserve">1-0</x:t>
        </x:is>
      </x:c>
      <x:c r="P814" s="604" t="inlineStr">
        <x:is>
          <x:t xml:space="preserve">已结算</x:t>
        </x:is>
      </x:c>
      <x:c r="Q814" s="645" t="inlineStr">
        <x:is>
          <x:t xml:space="preserve">红</x:t>
        </x:is>
      </x:c>
      <x:c r="R814" s="604" t="n">
        <x:v>0.93</x:v>
      </x:c>
      <x:c r="S814" s="604" t="n">
        <x:f>IF(OR(Q814="",Q814="待结算"),"",IF(Q814="红",R814,IF(Q814="半红",R814*0.5,IF(Q814="走",0,IF(Q814="半黑",-0.5,-1)))))</x:f>
        <x:v>0.93</x:v>
      </x:c>
      <x:c r="T814" s="604" t="inlineStr">
        <x:is>
          <x:t xml:space="preserve">https://m.titan007.com/analy/Analysis/3020025.htm</x:t>
        </x:is>
      </x:c>
      <x:c r="U814" s="646" t="str">
        <x:f>IF(Q814="","",IF(Q814="待结算","待结算",IF(Q814="红","黑",IF(Q814="半红","半黑",IF(Q814="走","走",IF(Q814="半黑","半红","红"))))))</x:f>
        <x:v>黑</x:v>
      </x:c>
      <x:c r="V814" s="604" t="n">
        <x:f>IF(OR(Q814="",Q814="待结算"),"",IF(L814=LEFT(F814,FIND(" vs ",F814)-1),I814,G814))</x:f>
        <x:v>0.83</x:v>
      </x:c>
      <x:c r="W814" s="604" t="n">
        <x:f>IF(OR(U814="",U814="待结算"),"",IF(U814="红",V814,IF(U814="半红",V814*0.5,IF(U814="走",0,IF(U814="半黑",-0.5,-1)))))</x:f>
        <x:v>-1</x:v>
      </x:c>
      <x:c r="X814" s="604" t="inlineStr">
        <x:is>
          <x:t xml:space="preserve">3020025</x:t>
        </x:is>
      </x:c>
      <x:c r="Y814" s="604" t="inlineStr">
        <x:is>
          <x:t xml:space="preserve">V4</x:t>
        </x:is>
      </x:c>
      <x:c r="Z814" s="604" t="inlineStr">
        <x:is>
          <x:t xml:space="preserve">prior-2026-10-03-v1</x:t>
        </x:is>
      </x:c>
      <x:c r="AA814" s="604" t="inlineStr">
        <x:is>
          <x:t xml:space="preserve">C</x:t>
        </x:is>
      </x:c>
      <x:c r="AB814" s="604" t="n">
        <x:v>0.5503443172548568</x:v>
      </x:c>
      <x:c r="AC814" s="604" t="n"/>
      <x:c r="AD814" s="604" t="n"/>
      <x:c r="AE814" s="604" t="n"/>
      <x:c r="AF814" s="604" t="n">
        <x:v>0.4496556827451433</x:v>
      </x:c>
      <x:c r="AG814" s="604" t="n">
        <x:v>0.007130100576387799</x:v>
      </x:c>
      <x:c r="AH814" s="604" t="n"/>
      <x:c r="AI814" s="604" t="n"/>
      <x:c r="AJ814" s="604" t="n">
        <x:v>0.007130100576387799</x:v>
      </x:c>
      <x:c r="AK814" s="604" t="n"/>
      <x:c r="AL814" s="604" t="n"/>
      <x:c r="AM814" s="604" t="n"/>
      <x:c r="AN814" s="604" t="inlineStr">
        <x:is>
          <x:t xml:space="preserve">EVALUATED</x:t>
        </x:is>
      </x:c>
      <x:c r="AO814" s="604" t="inlineStr">
        <x:is>
          <x:t xml:space="preserve">EDGE_BELOW_UNCERTAINTY_THRESHOLD、BUCKET_PRIOR_ONLY、INTENT_INTERPRETATION_ONLY、EXPERT_MARKET</x:t>
        </x:is>
      </x:c>
      <x:c r="AP814" s="604" t="inlineStr">
        <x:is>
          <x:t xml:space="preserve">b2af66e065c7308c1f9e</x:t>
        </x:is>
      </x:c>
      <x:c r="AQ814" s="604" t="n">
        <x:v>0</x:v>
      </x:c>
      <x:c r="AR814" s="604" t="n"/>
      <x:c r="AS814" s="604" t="n">
        <x:v>0</x:v>
      </x:c>
      <x:c r="AT814" s="604" t="n">
        <x:v>0</x:v>
      </x:c>
      <x:c r="AU814" s="604" t="n">
        <x:v>0.83</x:v>
      </x:c>
      <x:c r="AV814" s="604" t="n">
        <x:v>0.93</x:v>
      </x:c>
      <x:c r="AW814" s="604" t="n">
        <x:v>46298.06050486111</x:v>
      </x:c>
      <x:c r="AX814" s="604" t="inlineStr">
        <x:is>
          <x:t xml:space="preserve">https://simondongxiao.github.io/odds/v4/</x:t>
        </x:is>
      </x:c>
      <x:c r="AY814" s="604" t="inlineStr">
        <x:is>
          <x:t xml:space="preserve">V4 Shadow Only；real_money=false；P(EV&gt;0)不是比赛胜率</x:t>
        </x:is>
      </x:c>
    </x:row>
    <x:row r="815" ht="22" customHeight="1">
      <x:c r="A815" s="604" t="inlineStr">
        <x:is>
          <x:t xml:space="preserve">2026-10-03</x:t>
        </x:is>
      </x:c>
      <x:c r="B815" s="604" t="inlineStr">
        <x:is>
          <x:t xml:space="preserve">2026-10-04 03:00</x:t>
        </x:is>
      </x:c>
      <x:c r="C815" s="604" t="str">
        <x:v>南美系列</x:v>
      </x:c>
      <x:c r="D815" s="604" t="inlineStr">
        <x:is>
          <x:t xml:space="preserve">联赛</x:t>
        </x:is>
      </x:c>
      <x:c r="E815" s="604" t="inlineStr">
        <x:is>
          <x:t xml:space="preserve">巴西乙</x:t>
        </x:is>
      </x:c>
      <x:c r="F815" s="604" t="inlineStr">
        <x:is>
          <x:t xml:space="preserve">戈亚尼亚竞技 vs 米内罗美洲</x:t>
        </x:is>
      </x:c>
      <x:c r="G815" s="604" t="n">
        <x:v>0.85</x:v>
      </x:c>
      <x:c r="H815" s="604" t="n">
        <x:v>1.25</x:v>
      </x:c>
      <x:c r="I815" s="604" t="n">
        <x:v>1.03</x:v>
      </x:c>
      <x:c r="J815" s="604" t="inlineStr">
        <x:is>
          <x:t xml:space="preserve">0.85/1.25/1.03</x:t>
        </x:is>
      </x:c>
      <x:c r="K815" s="604" t="inlineStr">
        <x:is>
          <x:t xml:space="preserve">V4-B｜EV +0.1847</x:t>
        </x:is>
      </x:c>
      <x:c r="L815" s="604" t="inlineStr">
        <x:is>
          <x:t xml:space="preserve">戈亚尼亚竞技</x:t>
        </x:is>
      </x:c>
      <x:c r="M815" s="604" t="n">
        <x:v>0.6538681898814748</x:v>
      </x:c>
      <x:c r="N815" s="604" t="inlineStr">
        <x:is>
          <x:t xml:space="preserve">V4纸面入选-B</x:t>
        </x:is>
      </x:c>
      <x:c r="O815" s="604" t="inlineStr">
        <x:is>
          <x:t xml:space="preserve">2-0</x:t>
        </x:is>
      </x:c>
      <x:c r="P815" s="604" t="inlineStr">
        <x:is>
          <x:t xml:space="preserve">已结算</x:t>
        </x:is>
      </x:c>
      <x:c r="Q815" s="645" t="inlineStr">
        <x:is>
          <x:t xml:space="preserve">红</x:t>
        </x:is>
      </x:c>
      <x:c r="R815" s="604" t="n">
        <x:v>0.85</x:v>
      </x:c>
      <x:c r="S815" s="604" t="n">
        <x:f>IF(OR(Q815="",Q815="待结算"),"",IF(Q815="红",R815,IF(Q815="半红",R815*0.5,IF(Q815="走",0,IF(Q815="半黑",-0.5,-1)))))</x:f>
        <x:v>0.85</x:v>
      </x:c>
      <x:c r="T815" s="604" t="inlineStr">
        <x:is>
          <x:t xml:space="preserve">https://m.titan007.com/analy/Analysis/2940206.htm</x:t>
        </x:is>
      </x:c>
      <x:c r="U815" s="646" t="str">
        <x:f>IF(Q815="","",IF(Q815="待结算","待结算",IF(Q815="红","黑",IF(Q815="半红","半黑",IF(Q815="走","走",IF(Q815="半黑","半红","红"))))))</x:f>
        <x:v>黑</x:v>
      </x:c>
      <x:c r="V815" s="604" t="n">
        <x:f>IF(OR(Q815="",Q815="待结算"),"",IF(L815=LEFT(F815,FIND(" vs ",F815)-1),I815,G815))</x:f>
        <x:v>1.03</x:v>
      </x:c>
      <x:c r="W815" s="604" t="n">
        <x:f>IF(OR(U815="",U815="待结算"),"",IF(U815="红",V815,IF(U815="半红",V815*0.5,IF(U815="走",0,IF(U815="半黑",-0.5,-1)))))</x:f>
        <x:v>-1</x:v>
      </x:c>
      <x:c r="X815" s="604" t="inlineStr">
        <x:is>
          <x:t xml:space="preserve">2940206</x:t>
        </x:is>
      </x:c>
      <x:c r="Y815" s="604" t="inlineStr">
        <x:is>
          <x:t xml:space="preserve">V4</x:t>
        </x:is>
      </x:c>
      <x:c r="Z815" s="604" t="inlineStr">
        <x:is>
          <x:t xml:space="preserve">prior-2026-10-03-v1</x:t>
        </x:is>
      </x:c>
      <x:c r="AA815" s="604" t="inlineStr">
        <x:is>
          <x:t xml:space="preserve">B</x:t>
        </x:is>
      </x:c>
      <x:c r="AB815" s="604" t="n">
        <x:v>0.5761638586736301</x:v>
      </x:c>
      <x:c r="AC815" s="604" t="n"/>
      <x:c r="AD815" s="604" t="n"/>
      <x:c r="AE815" s="604" t="n">
        <x:v>0.2376758264442561</x:v>
      </x:c>
      <x:c r="AF815" s="604" t="n">
        <x:v>0.1861603148821138</x:v>
      </x:c>
      <x:c r="AG815" s="604" t="n">
        <x:v>0.1847410517683437</x:v>
      </x:c>
      <x:c r="AH815" s="604" t="n"/>
      <x:c r="AI815" s="604" t="n"/>
      <x:c r="AJ815" s="604" t="n">
        <x:v>0.1847410517683437</x:v>
      </x:c>
      <x:c r="AK815" s="604" t="n"/>
      <x:c r="AL815" s="604" t="n"/>
      <x:c r="AM815" s="604" t="n"/>
      <x:c r="AN815" s="604" t="inlineStr">
        <x:is>
          <x:t xml:space="preserve">EVALUATED</x:t>
        </x:is>
      </x:c>
      <x:c r="AO815" s="604" t="inlineStr">
        <x:is>
          <x:t xml:space="preserve">GIVING_VALIDATED_EDGE、BUCKET_PRIOR_ONLY、INTENT_INTERPRETATION_ONLY、EXPERT_MARKET</x:t>
        </x:is>
      </x:c>
      <x:c r="AP815" s="604" t="inlineStr">
        <x:is>
          <x:t xml:space="preserve">b10bb817f7be8bd104c7</x:t>
        </x:is>
      </x:c>
      <x:c r="AQ815" s="604" t="n">
        <x:v>-1.25</x:v>
      </x:c>
      <x:c r="AR815" s="604" t="n">
        <x:v>0.85</x:v>
      </x:c>
      <x:c r="AS815" s="604" t="n">
        <x:v>1.25</x:v>
      </x:c>
      <x:c r="AT815" s="604" t="n">
        <x:v>-1.25</x:v>
      </x:c>
      <x:c r="AU815" s="604" t="n">
        <x:v>0.85</x:v>
      </x:c>
      <x:c r="AV815" s="604" t="n">
        <x:v>1.03</x:v>
      </x:c>
      <x:c r="AW815" s="604" t="n">
        <x:v>46298.06050486111</x:v>
      </x:c>
      <x:c r="AX815" s="604" t="inlineStr">
        <x:is>
          <x:t xml:space="preserve">https://simondongxiao.github.io/odds/v4/</x:t>
        </x:is>
      </x:c>
      <x:c r="AY815" s="604" t="inlineStr">
        <x:is>
          <x:t xml:space="preserve">V4 Shadow Only；real_money=false；P(EV&gt;0)不是比赛胜率</x:t>
        </x:is>
      </x:c>
    </x:row>
    <x:row r="816" ht="22" customHeight="1">
      <x:c r="A816" s="604" t="inlineStr">
        <x:is>
          <x:t xml:space="preserve">2026-10-03</x:t>
        </x:is>
      </x:c>
      <x:c r="B816" s="604" t="inlineStr">
        <x:is>
          <x:t xml:space="preserve">2026-10-04 03:00</x:t>
        </x:is>
      </x:c>
      <x:c r="C816" s="604" t="str">
        <x:v>南美系列</x:v>
      </x:c>
      <x:c r="D816" s="604" t="inlineStr">
        <x:is>
          <x:t xml:space="preserve">联赛</x:t>
        </x:is>
      </x:c>
      <x:c r="E816" s="604" t="inlineStr">
        <x:is>
          <x:t xml:space="preserve">哥伦甲秋</x:t>
        </x:is>
      </x:c>
      <x:c r="F816" s="604" t="inlineStr">
        <x:is>
          <x:t xml:space="preserve">阿古拉斯多拉达斯 vs 贾奎斯科尔多巴</x:t>
        </x:is>
      </x:c>
      <x:c r="G816" s="604" t="n">
        <x:v>0.88</x:v>
      </x:c>
      <x:c r="H816" s="604" t="n">
        <x:v>1</x:v>
      </x:c>
      <x:c r="I816" s="604" t="n">
        <x:v>1</x:v>
      </x:c>
      <x:c r="J816" s="604" t="inlineStr">
        <x:is>
          <x:t xml:space="preserve">0.88/1/1</x:t>
        </x:is>
      </x:c>
      <x:c r="K816" s="604" t="inlineStr">
        <x:is>
          <x:t xml:space="preserve">V4-B｜EV +0.1212</x:t>
        </x:is>
      </x:c>
      <x:c r="L816" s="604" t="inlineStr">
        <x:is>
          <x:t xml:space="preserve">阿古拉斯多拉达斯</x:t>
        </x:is>
      </x:c>
      <x:c r="M816" s="604" t="n">
        <x:v>0.6184702788932286</x:v>
      </x:c>
      <x:c r="N816" s="604" t="inlineStr">
        <x:is>
          <x:t xml:space="preserve">V4纸面入选-B</x:t>
        </x:is>
      </x:c>
      <x:c r="O816" s="604" t="inlineStr">
        <x:is>
          <x:t xml:space="preserve">2-0</x:t>
        </x:is>
      </x:c>
      <x:c r="P816" s="604" t="inlineStr">
        <x:is>
          <x:t xml:space="preserve">已结算</x:t>
        </x:is>
      </x:c>
      <x:c r="Q816" s="645" t="inlineStr">
        <x:is>
          <x:t xml:space="preserve">红</x:t>
        </x:is>
      </x:c>
      <x:c r="R816" s="604" t="n">
        <x:v>0.88</x:v>
      </x:c>
      <x:c r="S816" s="604" t="n">
        <x:f>IF(OR(Q816="",Q816="待结算"),"",IF(Q816="红",R816,IF(Q816="半红",R816*0.5,IF(Q816="走",0,IF(Q816="半黑",-0.5,-1)))))</x:f>
        <x:v>0.88</x:v>
      </x:c>
      <x:c r="T816" s="604" t="inlineStr">
        <x:is>
          <x:t xml:space="preserve">https://m.titan007.com/analy/Analysis/3011877.htm</x:t>
        </x:is>
      </x:c>
      <x:c r="U816" s="646" t="str">
        <x:f>IF(Q816="","",IF(Q816="待结算","待结算",IF(Q816="红","黑",IF(Q816="半红","半黑",IF(Q816="走","走",IF(Q816="半黑","半红","红"))))))</x:f>
        <x:v>黑</x:v>
      </x:c>
      <x:c r="V816" s="604" t="n">
        <x:f>IF(OR(Q816="",Q816="待结算"),"",IF(L816=LEFT(F816,FIND(" vs ",F816)-1),I816,G816))</x:f>
        <x:v>1</x:v>
      </x:c>
      <x:c r="W816" s="604" t="n">
        <x:f>IF(OR(U816="",U816="待结算"),"",IF(U816="红",V816,IF(U816="半红",V816*0.5,IF(U816="走",0,IF(U816="半黑",-0.5,-1)))))</x:f>
        <x:v>-1</x:v>
      </x:c>
      <x:c r="X816" s="604" t="inlineStr">
        <x:is>
          <x:t xml:space="preserve">3011877</x:t>
        </x:is>
      </x:c>
      <x:c r="Y816" s="604" t="inlineStr">
        <x:is>
          <x:t xml:space="preserve">V4</x:t>
        </x:is>
      </x:c>
      <x:c r="Z816" s="604" t="inlineStr">
        <x:is>
          <x:t xml:space="preserve">prior-2026-10-03-v1</x:t>
        </x:is>
      </x:c>
      <x:c r="AA816" s="604" t="inlineStr">
        <x:is>
          <x:t xml:space="preserve">B</x:t>
        </x:is>
      </x:c>
      <x:c r="AB816" s="604" t="n">
        <x:v>0.4607214901591936</x:v>
      </x:c>
      <x:c r="AC816" s="604" t="n"/>
      <x:c r="AD816" s="604" t="n">
        <x:v>0.2550628447600283</x:v>
      </x:c>
      <x:c r="AE816" s="604" t="n"/>
      <x:c r="AF816" s="604" t="n">
        <x:v>0.2842156650807781</x:v>
      </x:c>
      <x:c r="AG816" s="604" t="n">
        <x:v>0.1212192462593123</x:v>
      </x:c>
      <x:c r="AH816" s="604" t="n"/>
      <x:c r="AI816" s="604" t="n"/>
      <x:c r="AJ816" s="604" t="n">
        <x:v>0.1212192462593123</x:v>
      </x:c>
      <x:c r="AK816" s="604" t="n"/>
      <x:c r="AL816" s="604" t="n"/>
      <x:c r="AM816" s="604" t="n"/>
      <x:c r="AN816" s="604" t="inlineStr">
        <x:is>
          <x:t xml:space="preserve">EVALUATED</x:t>
        </x:is>
      </x:c>
      <x:c r="AO816" s="604" t="inlineStr">
        <x:is>
          <x:t xml:space="preserve">GIVING_VALIDATED_EDGE、BUCKET_PRIOR_ONLY、INTENT_INTERPRETATION_ONLY、EXPERT_MARKET</x:t>
        </x:is>
      </x:c>
      <x:c r="AP816" s="604" t="inlineStr">
        <x:is>
          <x:t xml:space="preserve">aedf6dac5105b4257609</x:t>
        </x:is>
      </x:c>
      <x:c r="AQ816" s="604" t="n">
        <x:v>-1</x:v>
      </x:c>
      <x:c r="AR816" s="604" t="n">
        <x:v>0.88</x:v>
      </x:c>
      <x:c r="AS816" s="604" t="n">
        <x:v>1</x:v>
      </x:c>
      <x:c r="AT816" s="604" t="n">
        <x:v>-1</x:v>
      </x:c>
      <x:c r="AU816" s="604" t="n">
        <x:v>0.88</x:v>
      </x:c>
      <x:c r="AV816" s="604" t="n">
        <x:v>1</x:v>
      </x:c>
      <x:c r="AW816" s="604" t="n">
        <x:v>46298.06050486111</x:v>
      </x:c>
      <x:c r="AX816" s="604" t="inlineStr">
        <x:is>
          <x:t xml:space="preserve">https://simondongxiao.github.io/odds/v4/</x:t>
        </x:is>
      </x:c>
      <x:c r="AY816" s="604" t="inlineStr">
        <x:is>
          <x:t xml:space="preserve">V4 Shadow Only；real_money=false；P(EV&gt;0)不是比赛胜率</x:t>
        </x:is>
      </x:c>
    </x:row>
    <x:row r="817" ht="22" customHeight="1">
      <x:c r="A817" s="604" t="inlineStr">
        <x:is>
          <x:t xml:space="preserve">2026-10-03</x:t>
        </x:is>
      </x:c>
      <x:c r="B817" s="604" t="inlineStr">
        <x:is>
          <x:t xml:space="preserve">2026-10-04 03:00</x:t>
        </x:is>
      </x:c>
      <x:c r="C817" s="604" t="str">
        <x:v>五大联赛非顶级联赛</x:v>
      </x:c>
      <x:c r="D817" s="604" t="inlineStr">
        <x:is>
          <x:t xml:space="preserve">联赛</x:t>
        </x:is>
      </x:c>
      <x:c r="E817" s="604" t="inlineStr">
        <x:is>
          <x:t xml:space="preserve">法女甲</x:t>
        </x:is>
      </x:c>
      <x:c r="F817" s="604" t="inlineStr">
        <x:is>
          <x:t xml:space="preserve">巴黎FC女足 vs 伦斯女足</x:t>
        </x:is>
      </x:c>
      <x:c r="G817" s="604" t="n">
        <x:v>0.85</x:v>
      </x:c>
      <x:c r="H817" s="604" t="n">
        <x:v>2</x:v>
      </x:c>
      <x:c r="I817" s="604" t="n">
        <x:v>0.85</x:v>
      </x:c>
      <x:c r="J817" s="604" t="inlineStr">
        <x:is>
          <x:t xml:space="preserve">0.85/2/0.85</x:t>
        </x:is>
      </x:c>
      <x:c r="K817" s="604" t="inlineStr">
        <x:is>
          <x:t xml:space="preserve">V4-B｜EV +0.1333</x:t>
        </x:is>
      </x:c>
      <x:c r="L817" s="604" t="inlineStr">
        <x:is>
          <x:t xml:space="preserve">巴黎FC女足</x:t>
        </x:is>
      </x:c>
      <x:c r="M817" s="604" t="n">
        <x:v>0.635979529391115</x:v>
      </x:c>
      <x:c r="N817" s="604" t="inlineStr">
        <x:is>
          <x:t xml:space="preserve">V4纸面入选-B</x:t>
        </x:is>
      </x:c>
      <x:c r="O817" s="604" t="inlineStr">
        <x:is>
          <x:t xml:space="preserve">4-1</x:t>
        </x:is>
      </x:c>
      <x:c r="P817" s="604" t="inlineStr">
        <x:is>
          <x:t xml:space="preserve">已结算</x:t>
        </x:is>
      </x:c>
      <x:c r="Q817" s="645" t="inlineStr">
        <x:is>
          <x:t xml:space="preserve">红</x:t>
        </x:is>
      </x:c>
      <x:c r="R817" s="604" t="n">
        <x:v>0.85</x:v>
      </x:c>
      <x:c r="S817" s="604" t="n">
        <x:f>IF(OR(Q817="",Q817="待结算"),"",IF(Q817="红",R817,IF(Q817="半红",R817*0.5,IF(Q817="走",0,IF(Q817="半黑",-0.5,-1)))))</x:f>
        <x:v>0.85</x:v>
      </x:c>
      <x:c r="T817" s="604" t="inlineStr">
        <x:is>
          <x:t xml:space="preserve">https://m.titan007.com/analy/Analysis/3088640.htm</x:t>
        </x:is>
      </x:c>
      <x:c r="U817" s="646" t="str">
        <x:f>IF(Q817="","",IF(Q817="待结算","待结算",IF(Q817="红","黑",IF(Q817="半红","半黑",IF(Q817="走","走",IF(Q817="半黑","半红","红"))))))</x:f>
        <x:v>黑</x:v>
      </x:c>
      <x:c r="V817" s="604" t="n">
        <x:f>IF(OR(Q817="",Q817="待结算"),"",IF(L817=LEFT(F817,FIND(" vs ",F817)-1),I817,G817))</x:f>
        <x:v>0.85</x:v>
      </x:c>
      <x:c r="W817" s="604" t="n">
        <x:f>IF(OR(U817="",U817="待结算"),"",IF(U817="红",V817,IF(U817="半红",V817*0.5,IF(U817="走",0,IF(U817="半黑",-0.5,-1)))))</x:f>
        <x:v>-1</x:v>
      </x:c>
      <x:c r="X817" s="604" t="inlineStr">
        <x:is>
          <x:t xml:space="preserve">3088640</x:t>
        </x:is>
      </x:c>
      <x:c r="Y817" s="604" t="inlineStr">
        <x:is>
          <x:t xml:space="preserve">V4</x:t>
        </x:is>
      </x:c>
      <x:c r="Z817" s="604" t="inlineStr">
        <x:is>
          <x:t xml:space="preserve">prior-2026-10-03-v1</x:t>
        </x:is>
      </x:c>
      <x:c r="AA817" s="604" t="inlineStr">
        <x:is>
          <x:t xml:space="preserve">B</x:t>
        </x:is>
      </x:c>
      <x:c r="AB817" s="604" t="n">
        <x:v>0.4802236706093845</x:v>
      </x:c>
      <x:c r="AC817" s="604" t="n"/>
      <x:c r="AD817" s="604" t="n">
        <x:v>0.244907031726085</x:v>
      </x:c>
      <x:c r="AE817" s="604" t="n"/>
      <x:c r="AF817" s="604" t="n">
        <x:v>0.2748692976645304</x:v>
      </x:c>
      <x:c r="AG817" s="604" t="n">
        <x:v>0.1333208223534464</x:v>
      </x:c>
      <x:c r="AH817" s="604" t="n"/>
      <x:c r="AI817" s="604" t="n"/>
      <x:c r="AJ817" s="604" t="n">
        <x:v>0.1333208223534464</x:v>
      </x:c>
      <x:c r="AK817" s="604" t="n"/>
      <x:c r="AL817" s="604" t="n"/>
      <x:c r="AM817" s="604" t="n"/>
      <x:c r="AN817" s="604" t="inlineStr">
        <x:is>
          <x:t xml:space="preserve">EVALUATED</x:t>
        </x:is>
      </x:c>
      <x:c r="AO817" s="604" t="inlineStr">
        <x:is>
          <x:t xml:space="preserve">GIVING_VALIDATED_EDGE、BUCKET_PRIOR_ONLY、INTENT_INTERPRETATION_ONLY、EXPERT_MARKET</x:t>
        </x:is>
      </x:c>
      <x:c r="AP817" s="604" t="inlineStr">
        <x:is>
          <x:t xml:space="preserve">1e0e38de10ab78e501ea</x:t>
        </x:is>
      </x:c>
      <x:c r="AQ817" s="604" t="n">
        <x:v>-2</x:v>
      </x:c>
      <x:c r="AR817" s="604" t="n">
        <x:v>0.85</x:v>
      </x:c>
      <x:c r="AS817" s="604" t="n">
        <x:v>2</x:v>
      </x:c>
      <x:c r="AT817" s="604" t="n">
        <x:v>-2</x:v>
      </x:c>
      <x:c r="AU817" s="604" t="n">
        <x:v>0.85</x:v>
      </x:c>
      <x:c r="AV817" s="604" t="n">
        <x:v>0.85</x:v>
      </x:c>
      <x:c r="AW817" s="604" t="n">
        <x:v>46298.06050486111</x:v>
      </x:c>
      <x:c r="AX817" s="604" t="inlineStr">
        <x:is>
          <x:t xml:space="preserve">https://simondongxiao.github.io/odds/v4/</x:t>
        </x:is>
      </x:c>
      <x:c r="AY817" s="604" t="inlineStr">
        <x:is>
          <x:t xml:space="preserve">V4 Shadow Only；real_money=false；P(EV&gt;0)不是比赛胜率</x:t>
        </x:is>
      </x:c>
    </x:row>
    <x:row r="818" ht="22" customHeight="1">
      <x:c r="A818" s="604" t="inlineStr">
        <x:is>
          <x:t xml:space="preserve">2026-10-03</x:t>
        </x:is>
      </x:c>
      <x:c r="B818" s="604" t="inlineStr">
        <x:is>
          <x:t xml:space="preserve">2026-10-04 03:00</x:t>
        </x:is>
      </x:c>
      <x:c r="C818" s="604" t="str">
        <x:v>南美系列</x:v>
      </x:c>
      <x:c r="D818" s="604" t="inlineStr">
        <x:is>
          <x:t xml:space="preserve">联赛</x:t>
        </x:is>
      </x:c>
      <x:c r="E818" s="604" t="inlineStr">
        <x:is>
          <x:t xml:space="preserve">乌拉乙</x:t>
        </x:is>
      </x:c>
      <x:c r="F818" s="604" t="inlineStr">
        <x:is>
          <x:t xml:space="preserve">雷提斯塔 vs 胡拉肯FC</x:t>
        </x:is>
      </x:c>
      <x:c r="G818" s="604" t="n">
        <x:v>0.8100000000000001</x:v>
      </x:c>
      <x:c r="H818" s="604" t="n">
        <x:v>0</x:v>
      </x:c>
      <x:c r="I818" s="604" t="n">
        <x:v>0.89</x:v>
      </x:c>
      <x:c r="J818" s="604" t="inlineStr">
        <x:is>
          <x:t xml:space="preserve">0.81/0/0.89</x:t>
        </x:is>
      </x:c>
      <x:c r="K818" s="604" t="inlineStr">
        <x:is>
          <x:t xml:space="preserve">V4-C｜EV +0.0043</x:t>
        </x:is>
      </x:c>
      <x:c r="L818" s="604" t="str"/>
      <x:c r="M818" s="604" t="n">
        <x:v>0.5548671699859459</x:v>
      </x:c>
      <x:c r="N818" s="604" t="inlineStr">
        <x:is>
          <x:t xml:space="preserve">V4纸面入选-C</x:t>
        </x:is>
      </x:c>
      <x:c r="O818" s="604" t="inlineStr">
        <x:is>
          <x:t xml:space="preserve">2-1</x:t>
        </x:is>
      </x:c>
      <x:c r="P818" s="604" t="inlineStr">
        <x:is>
          <x:t xml:space="preserve">已结算</x:t>
        </x:is>
      </x:c>
      <x:c r="Q818" s="645" t="inlineStr">
        <x:is>
          <x:t xml:space="preserve">红</x:t>
        </x:is>
      </x:c>
      <x:c r="R818" s="604" t="n">
        <x:v>0.89</x:v>
      </x:c>
      <x:c r="S818" s="604" t="n">
        <x:f>IF(OR(Q818="",Q818="待结算"),"",IF(Q818="红",R818,IF(Q818="半红",R818*0.5,IF(Q818="走",0,IF(Q818="半黑",-0.5,-1)))))</x:f>
        <x:v>0.89</x:v>
      </x:c>
      <x:c r="T818" s="604" t="inlineStr">
        <x:is>
          <x:t xml:space="preserve">https://m.titan007.com/analy/Analysis/3096068.htm</x:t>
        </x:is>
      </x:c>
      <x:c r="U818" s="646" t="str">
        <x:f>IF(Q818="","",IF(Q818="待结算","待结算",IF(Q818="红","黑",IF(Q818="半红","半黑",IF(Q818="走","走",IF(Q818="半黑","半红","红"))))))</x:f>
        <x:v>黑</x:v>
      </x:c>
      <x:c r="V818" s="604" t="n">
        <x:f>IF(OR(Q818="",Q818="待结算"),"",IF(L818=LEFT(F818,FIND(" vs ",F818)-1),I818,G818))</x:f>
        <x:v>0.81</x:v>
      </x:c>
      <x:c r="W818" s="604" t="n">
        <x:f>IF(OR(U818="",U818="待结算"),"",IF(U818="红",V818,IF(U818="半红",V818*0.5,IF(U818="走",0,IF(U818="半黑",-0.5,-1)))))</x:f>
        <x:v>-1</x:v>
      </x:c>
      <x:c r="X818" s="604" t="inlineStr">
        <x:is>
          <x:t xml:space="preserve">3096068</x:t>
        </x:is>
      </x:c>
      <x:c r="Y818" s="604" t="inlineStr">
        <x:is>
          <x:t xml:space="preserve">V4</x:t>
        </x:is>
      </x:c>
      <x:c r="Z818" s="604" t="inlineStr">
        <x:is>
          <x:t xml:space="preserve">prior-2026-10-03-v1</x:t>
        </x:is>
      </x:c>
      <x:c r="AA818" s="604" t="inlineStr">
        <x:is>
          <x:t xml:space="preserve">C</x:t>
        </x:is>
      </x:c>
      <x:c r="AB818" s="604" t="n">
        <x:v>0.5548671699859459</x:v>
      </x:c>
      <x:c r="AC818" s="604" t="n"/>
      <x:c r="AD818" s="604" t="n"/>
      <x:c r="AE818" s="604" t="n"/>
      <x:c r="AF818" s="604" t="n">
        <x:v>0.4451328300140542</x:v>
      </x:c>
      <x:c r="AG818" s="604" t="n">
        <x:v>0.004309577674561971</x:v>
      </x:c>
      <x:c r="AH818" s="604" t="n"/>
      <x:c r="AI818" s="604" t="n"/>
      <x:c r="AJ818" s="604" t="n">
        <x:v>0.004309577674561971</x:v>
      </x:c>
      <x:c r="AK818" s="604" t="n"/>
      <x:c r="AL818" s="604" t="n"/>
      <x:c r="AM818" s="604" t="n"/>
      <x:c r="AN818" s="604" t="inlineStr">
        <x:is>
          <x:t xml:space="preserve">EVALUATED</x:t>
        </x:is>
      </x:c>
      <x:c r="AO818" s="604" t="inlineStr">
        <x:is>
          <x:t xml:space="preserve">EDGE_BELOW_UNCERTAINTY_THRESHOLD、BUCKET_PRIOR_ONLY、INTENT_INTERPRETATION_ONLY、EXPERT_MARKET</x:t>
        </x:is>
      </x:c>
      <x:c r="AP818" s="604" t="inlineStr">
        <x:is>
          <x:t xml:space="preserve">aca89adfc384493060e8</x:t>
        </x:is>
      </x:c>
      <x:c r="AQ818" s="604" t="n">
        <x:v>0</x:v>
      </x:c>
      <x:c r="AR818" s="604" t="n"/>
      <x:c r="AS818" s="604" t="n">
        <x:v>0</x:v>
      </x:c>
      <x:c r="AT818" s="604" t="n">
        <x:v>0</x:v>
      </x:c>
      <x:c r="AU818" s="604" t="n">
        <x:v>0.8100000000000001</x:v>
      </x:c>
      <x:c r="AV818" s="604" t="n">
        <x:v>0.89</x:v>
      </x:c>
      <x:c r="AW818" s="604" t="n">
        <x:v>46298.06050486111</x:v>
      </x:c>
      <x:c r="AX818" s="604" t="inlineStr">
        <x:is>
          <x:t xml:space="preserve">https://simondongxiao.github.io/odds/v4/</x:t>
        </x:is>
      </x:c>
      <x:c r="AY818" s="604" t="inlineStr">
        <x:is>
          <x:t xml:space="preserve">V4 Shadow Only；real_money=false；P(EV&gt;0)不是比赛胜率</x:t>
        </x:is>
      </x:c>
    </x:row>
    <x:row r="819" ht="22" customHeight="1">
      <x:c r="A819" s="604" t="inlineStr">
        <x:is>
          <x:t xml:space="preserve">2026-10-03</x:t>
        </x:is>
      </x:c>
      <x:c r="B819" s="604" t="inlineStr">
        <x:is>
          <x:t xml:space="preserve">2026-10-04 03:00</x:t>
        </x:is>
      </x:c>
      <x:c r="C819" s="604" t="str">
        <x:v>其他系列</x:v>
      </x:c>
      <x:c r="D819" s="604" t="inlineStr">
        <x:is>
          <x:t xml:space="preserve">联赛</x:t>
        </x:is>
      </x:c>
      <x:c r="E819" s="604" t="inlineStr">
        <x:is>
          <x:t xml:space="preserve">国际友谊</x:t>
        </x:is>
      </x:c>
      <x:c r="F819" s="604" t="inlineStr">
        <x:is>
          <x:t xml:space="preserve">科特迪瓦 vs 喀麦隆</x:t>
        </x:is>
      </x:c>
      <x:c r="G819" s="604" t="n">
        <x:v>1.02</x:v>
      </x:c>
      <x:c r="H819" s="604" t="n">
        <x:v>0.75</x:v>
      </x:c>
      <x:c r="I819" s="604" t="n">
        <x:v>0.8</x:v>
      </x:c>
      <x:c r="J819" s="604" t="inlineStr">
        <x:is>
          <x:t xml:space="preserve">1.02/0.75/0.8</x:t>
        </x:is>
      </x:c>
      <x:c r="K819" s="604" t="inlineStr">
        <x:is>
          <x:t xml:space="preserve">V4-C｜EV +0.0820</x:t>
        </x:is>
      </x:c>
      <x:c r="L819" s="604" t="inlineStr">
        <x:is>
          <x:t xml:space="preserve">科特迪瓦</x:t>
        </x:is>
      </x:c>
      <x:c r="M819" s="604" t="n">
        <x:v>0.5416277353515445</x:v>
      </x:c>
      <x:c r="N819" s="604" t="inlineStr">
        <x:is>
          <x:t xml:space="preserve">V4纸面入选-C</x:t>
        </x:is>
      </x:c>
      <x:c r="O819" s="604" t="inlineStr">
        <x:is>
          <x:t xml:space="preserve">0-1</x:t>
        </x:is>
      </x:c>
      <x:c r="P819" s="604" t="inlineStr">
        <x:is>
          <x:t xml:space="preserve">已结算</x:t>
        </x:is>
      </x:c>
      <x:c r="Q819" s="646" t="inlineStr">
        <x:is>
          <x:t xml:space="preserve">黑</x:t>
        </x:is>
      </x:c>
      <x:c r="R819" s="604" t="n">
        <x:v>1.02</x:v>
      </x:c>
      <x:c r="S819" s="604" t="n">
        <x:f>IF(OR(Q819="",Q819="待结算"),"",IF(Q819="红",R819,IF(Q819="半红",R819*0.5,IF(Q819="走",0,IF(Q819="半黑",-0.5,-1)))))</x:f>
        <x:v>-1</x:v>
      </x:c>
      <x:c r="T819" s="604" t="inlineStr">
        <x:is>
          <x:t xml:space="preserve">https://m.titan007.com/analy/Analysis/3096089.htm</x:t>
        </x:is>
      </x:c>
      <x:c r="U819" s="645" t="str">
        <x:f>IF(Q819="","",IF(Q819="待结算","待结算",IF(Q819="红","黑",IF(Q819="半红","半黑",IF(Q819="走","走",IF(Q819="半黑","半红","红"))))))</x:f>
        <x:v>红</x:v>
      </x:c>
      <x:c r="V819" s="604" t="n">
        <x:f>IF(OR(Q819="",Q819="待结算"),"",IF(L819=LEFT(F819,FIND(" vs ",F819)-1),I819,G819))</x:f>
        <x:v>0.8</x:v>
      </x:c>
      <x:c r="W819" s="604" t="n">
        <x:f>IF(OR(U819="",U819="待结算"),"",IF(U819="红",V819,IF(U819="半红",V819*0.5,IF(U819="走",0,IF(U819="半黑",-0.5,-1)))))</x:f>
        <x:v>0.8</x:v>
      </x:c>
      <x:c r="X819" s="604" t="inlineStr">
        <x:is>
          <x:t xml:space="preserve">3096089</x:t>
        </x:is>
      </x:c>
      <x:c r="Y819" s="604" t="inlineStr">
        <x:is>
          <x:t xml:space="preserve">V4</x:t>
        </x:is>
      </x:c>
      <x:c r="Z819" s="604" t="inlineStr">
        <x:is>
          <x:t xml:space="preserve">prior-2026-10-03-v1</x:t>
        </x:is>
      </x:c>
      <x:c r="AA819" s="604" t="inlineStr">
        <x:is>
          <x:t xml:space="preserve">C</x:t>
        </x:is>
      </x:c>
      <x:c r="AB819" s="604" t="n">
        <x:v>0.3441040765360578</x:v>
      </x:c>
      <x:c r="AC819" s="604" t="n">
        <x:v>0.2562533798348464</x:v>
      </x:c>
      <x:c r="AD819" s="604" t="n"/>
      <x:c r="AE819" s="604" t="n"/>
      <x:c r="AF819" s="604" t="n">
        <x:v>0.3996425436290958</x:v>
      </x:c>
      <x:c r="AG819" s="604" t="n">
        <x:v>0.08203283815345486</x:v>
      </x:c>
      <x:c r="AH819" s="604" t="n"/>
      <x:c r="AI819" s="604" t="n"/>
      <x:c r="AJ819" s="604" t="n">
        <x:v>0.08203283815345486</x:v>
      </x:c>
      <x:c r="AK819" s="604" t="n"/>
      <x:c r="AL819" s="604" t="n"/>
      <x:c r="AM819" s="604" t="n"/>
      <x:c r="AN819" s="604" t="inlineStr">
        <x:is>
          <x:t xml:space="preserve">EVALUATED</x:t>
        </x:is>
      </x:c>
      <x:c r="AO819" s="604" t="inlineStr">
        <x:is>
          <x:t xml:space="preserve">GIVING_VALIDATED_EDGE、BUCKET_PRIOR_ONLY、INTENT_INTERPRETATION_ONLY、EXPERT_MARKET</x:t>
        </x:is>
      </x:c>
      <x:c r="AP819" s="604" t="inlineStr">
        <x:is>
          <x:t xml:space="preserve">17694eae412457e9bc5c</x:t>
        </x:is>
      </x:c>
      <x:c r="AQ819" s="604" t="n">
        <x:v>-0.75</x:v>
      </x:c>
      <x:c r="AR819" s="604" t="n">
        <x:v>1.02</x:v>
      </x:c>
      <x:c r="AS819" s="604" t="n">
        <x:v>0.75</x:v>
      </x:c>
      <x:c r="AT819" s="604" t="n">
        <x:v>-0.75</x:v>
      </x:c>
      <x:c r="AU819" s="604" t="n">
        <x:v>1.02</x:v>
      </x:c>
      <x:c r="AV819" s="604" t="n">
        <x:v>0.8</x:v>
      </x:c>
      <x:c r="AW819" s="604" t="n">
        <x:v>46298.06050486111</x:v>
      </x:c>
      <x:c r="AX819" s="604" t="inlineStr">
        <x:is>
          <x:t xml:space="preserve">https://simondongxiao.github.io/odds/v4/</x:t>
        </x:is>
      </x:c>
      <x:c r="AY819" s="604" t="inlineStr">
        <x:is>
          <x:t xml:space="preserve">V4 Shadow Only；real_money=false；P(EV&gt;0)不是比赛胜率</x:t>
        </x:is>
      </x:c>
    </x:row>
    <x:row r="820" ht="22" customHeight="1">
      <x:c r="A820" s="604" t="inlineStr">
        <x:is>
          <x:t xml:space="preserve">2026-10-03</x:t>
        </x:is>
      </x:c>
      <x:c r="B820" s="604" t="inlineStr">
        <x:is>
          <x:t xml:space="preserve">2026-10-04 04:00</x:t>
        </x:is>
      </x:c>
      <x:c r="C820" s="604" t="str">
        <x:v>南美系列</x:v>
      </x:c>
      <x:c r="D820" s="604" t="inlineStr">
        <x:is>
          <x:t xml:space="preserve">联赛</x:t>
        </x:is>
      </x:c>
      <x:c r="E820" s="604" t="inlineStr">
        <x:is>
          <x:t xml:space="preserve">阿甲</x:t>
        </x:is>
      </x:c>
      <x:c r="F820" s="604" t="inlineStr">
        <x:is>
          <x:t xml:space="preserve">图库曼竞技 vs 巴拉卡斯中央队</x:t>
        </x:is>
      </x:c>
      <x:c r="G820" s="604" t="n">
        <x:v>0.95</x:v>
      </x:c>
      <x:c r="H820" s="604" t="n">
        <x:v>0.5</x:v>
      </x:c>
      <x:c r="I820" s="604" t="n">
        <x:v>0.93</x:v>
      </x:c>
      <x:c r="J820" s="604" t="inlineStr">
        <x:is>
          <x:t xml:space="preserve">0.95/0.5/0.93</x:t>
        </x:is>
      </x:c>
      <x:c r="K820" s="604" t="inlineStr">
        <x:is>
          <x:t xml:space="preserve">V4-A｜EV +0.1686</x:t>
        </x:is>
      </x:c>
      <x:c r="L820" s="604" t="inlineStr">
        <x:is>
          <x:t xml:space="preserve">图库曼竞技</x:t>
        </x:is>
      </x:c>
      <x:c r="M820" s="604" t="n">
        <x:v>0.5992906916779245</x:v>
      </x:c>
      <x:c r="N820" s="604" t="inlineStr">
        <x:is>
          <x:t xml:space="preserve">V4纸面入选-A</x:t>
        </x:is>
      </x:c>
      <x:c r="O820" s="604" t="inlineStr">
        <x:is>
          <x:t xml:space="preserve">2-3</x:t>
        </x:is>
      </x:c>
      <x:c r="P820" s="604" t="inlineStr">
        <x:is>
          <x:t xml:space="preserve">已结算</x:t>
        </x:is>
      </x:c>
      <x:c r="Q820" s="646" t="inlineStr">
        <x:is>
          <x:t xml:space="preserve">黑</x:t>
        </x:is>
      </x:c>
      <x:c r="R820" s="604" t="n">
        <x:v>0.95</x:v>
      </x:c>
      <x:c r="S820" s="604" t="n">
        <x:f>IF(OR(Q820="",Q820="待结算"),"",IF(Q820="红",R820,IF(Q820="半红",R820*0.5,IF(Q820="走",0,IF(Q820="半黑",-0.5,-1)))))</x:f>
        <x:v>-1</x:v>
      </x:c>
      <x:c r="T820" s="604" t="inlineStr">
        <x:is>
          <x:t xml:space="preserve">https://m.titan007.com/analy/Analysis/2962654.htm</x:t>
        </x:is>
      </x:c>
      <x:c r="U820" s="645" t="str">
        <x:f>IF(Q820="","",IF(Q820="待结算","待结算",IF(Q820="红","黑",IF(Q820="半红","半黑",IF(Q820="走","走",IF(Q820="半黑","半红","红"))))))</x:f>
        <x:v>红</x:v>
      </x:c>
      <x:c r="V820" s="604" t="n">
        <x:f>IF(OR(Q820="",Q820="待结算"),"",IF(L820=LEFT(F820,FIND(" vs ",F820)-1),I820,G820))</x:f>
        <x:v>0.93</x:v>
      </x:c>
      <x:c r="W820" s="604" t="n">
        <x:f>IF(OR(U820="",U820="待结算"),"",IF(U820="红",V820,IF(U820="半红",V820*0.5,IF(U820="走",0,IF(U820="半黑",-0.5,-1)))))</x:f>
        <x:v>0.93</x:v>
      </x:c>
      <x:c r="X820" s="604" t="inlineStr">
        <x:is>
          <x:t xml:space="preserve">2962654</x:t>
        </x:is>
      </x:c>
      <x:c r="Y820" s="604" t="inlineStr">
        <x:is>
          <x:t xml:space="preserve">V4</x:t>
        </x:is>
      </x:c>
      <x:c r="Z820" s="604" t="inlineStr">
        <x:is>
          <x:t xml:space="preserve">prior-2026-10-03-v1</x:t>
        </x:is>
      </x:c>
      <x:c r="AA820" s="604" t="inlineStr">
        <x:is>
          <x:t xml:space="preserve">A</x:t>
        </x:is>
      </x:c>
      <x:c r="AB820" s="604" t="n">
        <x:v>0.5992906916779245</x:v>
      </x:c>
      <x:c r="AC820" s="604" t="n"/>
      <x:c r="AD820" s="604" t="n"/>
      <x:c r="AE820" s="604" t="n"/>
      <x:c r="AF820" s="604" t="n">
        <x:v>0.4007093083220755</x:v>
      </x:c>
      <x:c r="AG820" s="604" t="n">
        <x:v>0.1686168487719528</x:v>
      </x:c>
      <x:c r="AH820" s="604" t="n"/>
      <x:c r="AI820" s="604" t="n"/>
      <x:c r="AJ820" s="604" t="n">
        <x:v>0.1686168487719528</x:v>
      </x:c>
      <x:c r="AK820" s="604" t="n"/>
      <x:c r="AL820" s="604" t="n"/>
      <x:c r="AM820" s="604" t="n"/>
      <x:c r="AN820" s="604" t="inlineStr">
        <x:is>
          <x:t xml:space="preserve">EVALUATED</x:t>
        </x:is>
      </x:c>
      <x:c r="AO820" s="604" t="inlineStr">
        <x:is>
          <x:t xml:space="preserve">GIVING_VALIDATED_EDGE、BUCKET_PRIOR_ONLY、INTENT_INTERPRETATION_ONLY、EXPERT_MARKET</x:t>
        </x:is>
      </x:c>
      <x:c r="AP820" s="604" t="inlineStr">
        <x:is>
          <x:t xml:space="preserve">19046dc40086397b6815</x:t>
        </x:is>
      </x:c>
      <x:c r="AQ820" s="604" t="n">
        <x:v>-0.5</x:v>
      </x:c>
      <x:c r="AR820" s="604" t="n">
        <x:v>0.95</x:v>
      </x:c>
      <x:c r="AS820" s="604" t="n">
        <x:v>0.5</x:v>
      </x:c>
      <x:c r="AT820" s="604" t="n">
        <x:v>-0.5</x:v>
      </x:c>
      <x:c r="AU820" s="604" t="n">
        <x:v>0.95</x:v>
      </x:c>
      <x:c r="AV820" s="604" t="n">
        <x:v>0.93</x:v>
      </x:c>
      <x:c r="AW820" s="604" t="n">
        <x:v>46298.06050486111</x:v>
      </x:c>
      <x:c r="AX820" s="604" t="inlineStr">
        <x:is>
          <x:t xml:space="preserve">https://simondongxiao.github.io/odds/v4/</x:t>
        </x:is>
      </x:c>
      <x:c r="AY820" s="604" t="inlineStr">
        <x:is>
          <x:t xml:space="preserve">V4 Shadow Only；real_money=false；P(EV&gt;0)不是比赛胜率</x:t>
        </x:is>
      </x:c>
    </x:row>
    <x:row r="821" ht="22" customHeight="1">
      <x:c r="A821" s="604" t="inlineStr">
        <x:is>
          <x:t xml:space="preserve">2026-10-03</x:t>
        </x:is>
      </x:c>
      <x:c r="B821" s="604" t="inlineStr">
        <x:is>
          <x:t xml:space="preserve">2026-10-04 04:00</x:t>
        </x:is>
      </x:c>
      <x:c r="C821" s="604" t="str">
        <x:v>南美系列</x:v>
      </x:c>
      <x:c r="D821" s="604" t="inlineStr">
        <x:is>
          <x:t xml:space="preserve">联赛</x:t>
        </x:is>
      </x:c>
      <x:c r="E821" s="604" t="inlineStr">
        <x:is>
          <x:t xml:space="preserve">巴西乙</x:t>
        </x:is>
      </x:c>
      <x:c r="F821" s="604" t="inlineStr">
        <x:is>
          <x:t xml:space="preserve">库亚巴 vs 庞特普雷塔</x:t>
        </x:is>
      </x:c>
      <x:c r="G821" s="604" t="n">
        <x:v>0.9</x:v>
      </x:c>
      <x:c r="H821" s="604" t="n">
        <x:v>2</x:v>
      </x:c>
      <x:c r="I821" s="604" t="n">
        <x:v>0.98</x:v>
      </x:c>
      <x:c r="J821" s="604" t="inlineStr">
        <x:is>
          <x:t xml:space="preserve">0.9/2/0.98</x:t>
        </x:is>
      </x:c>
      <x:c r="K821" s="604" t="inlineStr">
        <x:is>
          <x:t xml:space="preserve">V4-B｜EV +0.2106</x:t>
        </x:is>
      </x:c>
      <x:c r="L821" s="604" t="inlineStr">
        <x:is>
          <x:t xml:space="preserve">库亚巴</x:t>
        </x:is>
      </x:c>
      <x:c r="M821" s="604" t="n">
        <x:v>0.6715977363237919</x:v>
      </x:c>
      <x:c r="N821" s="604" t="inlineStr">
        <x:is>
          <x:t xml:space="preserve">V4纸面入选-B</x:t>
        </x:is>
      </x:c>
      <x:c r="O821" s="604" t="inlineStr">
        <x:is>
          <x:t xml:space="preserve">2-0</x:t>
        </x:is>
      </x:c>
      <x:c r="P821" s="604" t="inlineStr">
        <x:is>
          <x:t xml:space="preserve">已结算</x:t>
        </x:is>
      </x:c>
      <x:c r="Q821" s="647" t="inlineStr">
        <x:is>
          <x:t xml:space="preserve">走</x:t>
        </x:is>
      </x:c>
      <x:c r="R821" s="604" t="n">
        <x:v>0.9</x:v>
      </x:c>
      <x:c r="S821" s="604" t="n">
        <x:f>IF(OR(Q821="",Q821="待结算"),"",IF(Q821="红",R821,IF(Q821="半红",R821*0.5,IF(Q821="走",0,IF(Q821="半黑",-0.5,-1)))))</x:f>
        <x:v>0</x:v>
      </x:c>
      <x:c r="T821" s="604" t="inlineStr">
        <x:is>
          <x:t xml:space="preserve">https://m.titan007.com/analy/Analysis/2940209.htm</x:t>
        </x:is>
      </x:c>
      <x:c r="U821" s="647" t="str">
        <x:f>IF(Q821="","",IF(Q821="待结算","待结算",IF(Q821="红","黑",IF(Q821="半红","半黑",IF(Q821="走","走",IF(Q821="半黑","半红","红"))))))</x:f>
        <x:v>走</x:v>
      </x:c>
      <x:c r="V821" s="604" t="n">
        <x:f>IF(OR(Q821="",Q821="待结算"),"",IF(L821=LEFT(F821,FIND(" vs ",F821)-1),I821,G821))</x:f>
        <x:v>0.98</x:v>
      </x:c>
      <x:c r="W821" s="604" t="n">
        <x:f>IF(OR(U821="",U821="待结算"),"",IF(U821="红",V821,IF(U821="半红",V821*0.5,IF(U821="走",0,IF(U821="半黑",-0.5,-1)))))</x:f>
        <x:v>0</x:v>
      </x:c>
      <x:c r="X821" s="604" t="inlineStr">
        <x:is>
          <x:t xml:space="preserve">2940209</x:t>
        </x:is>
      </x:c>
      <x:c r="Y821" s="604" t="inlineStr">
        <x:is>
          <x:t xml:space="preserve">V4</x:t>
        </x:is>
      </x:c>
      <x:c r="Z821" s="604" t="inlineStr">
        <x:is>
          <x:t xml:space="preserve">prior-2026-10-03-v1</x:t>
        </x:is>
      </x:c>
      <x:c r="AA821" s="604" t="inlineStr">
        <x:is>
          <x:t xml:space="preserve">B</x:t>
        </x:is>
      </x:c>
      <x:c r="AB821" s="604" t="n">
        <x:v>0.5123053900320732</x:v>
      </x:c>
      <x:c r="AC821" s="604" t="n"/>
      <x:c r="AD821" s="604" t="n">
        <x:v>0.2371841620009875</x:v>
      </x:c>
      <x:c r="AE821" s="604" t="n"/>
      <x:c r="AF821" s="604" t="n">
        <x:v>0.2505104479669393</x:v>
      </x:c>
      <x:c r="AG821" s="604" t="n">
        <x:v>0.2105644030619266</x:v>
      </x:c>
      <x:c r="AH821" s="604" t="n"/>
      <x:c r="AI821" s="604" t="n"/>
      <x:c r="AJ821" s="604" t="n">
        <x:v>0.2105644030619266</x:v>
      </x:c>
      <x:c r="AK821" s="604" t="n"/>
      <x:c r="AL821" s="604" t="n"/>
      <x:c r="AM821" s="604" t="n"/>
      <x:c r="AN821" s="604" t="inlineStr">
        <x:is>
          <x:t xml:space="preserve">EVALUATED</x:t>
        </x:is>
      </x:c>
      <x:c r="AO821" s="604" t="inlineStr">
        <x:is>
          <x:t xml:space="preserve">GIVING_VALIDATED_EDGE、BUCKET_PRIOR_ONLY、INTENT_INTERPRETATION_ONLY、EXPERT_MARKET</x:t>
        </x:is>
      </x:c>
      <x:c r="AP821" s="604" t="inlineStr">
        <x:is>
          <x:t xml:space="preserve">a719c0b119d8beea0bd8</x:t>
        </x:is>
      </x:c>
      <x:c r="AQ821" s="604" t="n">
        <x:v>-2</x:v>
      </x:c>
      <x:c r="AR821" s="604" t="n">
        <x:v>0.9</x:v>
      </x:c>
      <x:c r="AS821" s="604" t="n">
        <x:v>2</x:v>
      </x:c>
      <x:c r="AT821" s="604" t="n">
        <x:v>-2</x:v>
      </x:c>
      <x:c r="AU821" s="604" t="n">
        <x:v>0.9</x:v>
      </x:c>
      <x:c r="AV821" s="604" t="n">
        <x:v>0.98</x:v>
      </x:c>
      <x:c r="AW821" s="604" t="n">
        <x:v>46298.06050486111</x:v>
      </x:c>
      <x:c r="AX821" s="604" t="inlineStr">
        <x:is>
          <x:t xml:space="preserve">https://simondongxiao.github.io/odds/v4/</x:t>
        </x:is>
      </x:c>
      <x:c r="AY821" s="604" t="inlineStr">
        <x:is>
          <x:t xml:space="preserve">V4 Shadow Only；real_money=false；P(EV&gt;0)不是比赛胜率</x:t>
        </x:is>
      </x:c>
    </x:row>
    <x:row r="822" ht="22" customHeight="1">
      <x:c r="A822" s="604" t="inlineStr">
        <x:is>
          <x:t xml:space="preserve">2026-10-03</x:t>
        </x:is>
      </x:c>
      <x:c r="B822" s="604" t="inlineStr">
        <x:is>
          <x:t xml:space="preserve">2026-10-04 04:00</x:t>
        </x:is>
      </x:c>
      <x:c r="C822" s="604" t="str">
        <x:v>其他系列</x:v>
      </x:c>
      <x:c r="D822" s="604" t="inlineStr">
        <x:is>
          <x:t xml:space="preserve">联赛</x:t>
        </x:is>
      </x:c>
      <x:c r="E822" s="604" t="inlineStr">
        <x:is>
          <x:t xml:space="preserve">摩洛超</x:t>
        </x:is>
      </x:c>
      <x:c r="F822" s="604" t="inlineStr">
        <x:is>
          <x:t xml:space="preserve">拉加竞技 vs 泽马拉</x:t>
        </x:is>
      </x:c>
      <x:c r="G822" s="604" t="n">
        <x:v>1.01</x:v>
      </x:c>
      <x:c r="H822" s="604" t="n">
        <x:v>1</x:v>
      </x:c>
      <x:c r="I822" s="604" t="n">
        <x:v>0.75</x:v>
      </x:c>
      <x:c r="J822" s="604" t="inlineStr">
        <x:is>
          <x:t xml:space="preserve">1.01/1/0.75</x:t>
        </x:is>
      </x:c>
      <x:c r="K822" s="604" t="inlineStr">
        <x:is>
          <x:t xml:space="preserve">V4-B｜EV +0.3483</x:t>
        </x:is>
      </x:c>
      <x:c r="L822" s="604" t="inlineStr">
        <x:is>
          <x:t xml:space="preserve">拉加竞技</x:t>
        </x:is>
      </x:c>
      <x:c r="M822" s="604" t="n">
        <x:v>0.7268306851566514</x:v>
      </x:c>
      <x:c r="N822" s="604" t="inlineStr">
        <x:is>
          <x:t xml:space="preserve">V4纸面入选-B</x:t>
        </x:is>
      </x:c>
      <x:c r="O822" s="604" t="inlineStr">
        <x:is>
          <x:t xml:space="preserve">1-0</x:t>
        </x:is>
      </x:c>
      <x:c r="P822" s="604" t="inlineStr">
        <x:is>
          <x:t xml:space="preserve">已结算</x:t>
        </x:is>
      </x:c>
      <x:c r="Q822" s="647" t="inlineStr">
        <x:is>
          <x:t xml:space="preserve">走</x:t>
        </x:is>
      </x:c>
      <x:c r="R822" s="604" t="n">
        <x:v>1.01</x:v>
      </x:c>
      <x:c r="S822" s="604" t="n">
        <x:f>IF(OR(Q822="",Q822="待结算"),"",IF(Q822="红",R822,IF(Q822="半红",R822*0.5,IF(Q822="走",0,IF(Q822="半黑",-0.5,-1)))))</x:f>
        <x:v>0</x:v>
      </x:c>
      <x:c r="T822" s="604" t="inlineStr">
        <x:is>
          <x:t xml:space="preserve">https://m.titan007.com/analy/Analysis/3076979.htm</x:t>
        </x:is>
      </x:c>
      <x:c r="U822" s="647" t="str">
        <x:f>IF(Q822="","",IF(Q822="待结算","待结算",IF(Q822="红","黑",IF(Q822="半红","半黑",IF(Q822="走","走",IF(Q822="半黑","半红","红"))))))</x:f>
        <x:v>走</x:v>
      </x:c>
      <x:c r="V822" s="604" t="n">
        <x:f>IF(OR(Q822="",Q822="待结算"),"",IF(L822=LEFT(F822,FIND(" vs ",F822)-1),I822,G822))</x:f>
        <x:v>0.75</x:v>
      </x:c>
      <x:c r="W822" s="604" t="n">
        <x:f>IF(OR(U822="",U822="待结算"),"",IF(U822="红",V822,IF(U822="半红",V822*0.5,IF(U822="走",0,IF(U822="半黑",-0.5,-1)))))</x:f>
        <x:v>0</x:v>
      </x:c>
      <x:c r="X822" s="604" t="inlineStr">
        <x:is>
          <x:t xml:space="preserve">3076979</x:t>
        </x:is>
      </x:c>
      <x:c r="Y822" s="604" t="inlineStr">
        <x:is>
          <x:t xml:space="preserve">V4</x:t>
        </x:is>
      </x:c>
      <x:c r="Z822" s="604" t="inlineStr">
        <x:is>
          <x:t xml:space="preserve">prior-2026-10-03-v1</x:t>
        </x:is>
      </x:c>
      <x:c r="AA822" s="604" t="inlineStr">
        <x:is>
          <x:t xml:space="preserve">B</x:t>
        </x:is>
      </x:c>
      <x:c r="AB822" s="604" t="n">
        <x:v>0.549209045089731</x:v>
      </x:c>
      <x:c r="AC822" s="604" t="n"/>
      <x:c r="AD822" s="604" t="n">
        <x:v>0.2443782901497041</x:v>
      </x:c>
      <x:c r="AE822" s="604" t="n"/>
      <x:c r="AF822" s="604" t="n">
        <x:v>0.2064126647605649</x:v>
      </x:c>
      <x:c r="AG822" s="604" t="n">
        <x:v>0.3482884707800634</x:v>
      </x:c>
      <x:c r="AH822" s="604" t="n"/>
      <x:c r="AI822" s="604" t="n"/>
      <x:c r="AJ822" s="604" t="n">
        <x:v>0.3482884707800634</x:v>
      </x:c>
      <x:c r="AK822" s="604" t="n"/>
      <x:c r="AL822" s="604" t="n"/>
      <x:c r="AM822" s="604" t="n"/>
      <x:c r="AN822" s="604" t="inlineStr">
        <x:is>
          <x:t xml:space="preserve">EVALUATED</x:t>
        </x:is>
      </x:c>
      <x:c r="AO822" s="604" t="inlineStr">
        <x:is>
          <x:t xml:space="preserve">GIVING_VALIDATED_EDGE、BUCKET_PRIOR_ONLY、INTENT_INTERPRETATION_ONLY、EXPERT_MARKET</x:t>
        </x:is>
      </x:c>
      <x:c r="AP822" s="604" t="inlineStr">
        <x:is>
          <x:t xml:space="preserve">f2e84d06a1d27440a8e5</x:t>
        </x:is>
      </x:c>
      <x:c r="AQ822" s="604" t="n">
        <x:v>-1</x:v>
      </x:c>
      <x:c r="AR822" s="604" t="n">
        <x:v>1.01</x:v>
      </x:c>
      <x:c r="AS822" s="604" t="n">
        <x:v>1</x:v>
      </x:c>
      <x:c r="AT822" s="604" t="n">
        <x:v>-1</x:v>
      </x:c>
      <x:c r="AU822" s="604" t="n">
        <x:v>1.01</x:v>
      </x:c>
      <x:c r="AV822" s="604" t="n">
        <x:v>0.75</x:v>
      </x:c>
      <x:c r="AW822" s="604" t="n">
        <x:v>46298.06050486111</x:v>
      </x:c>
      <x:c r="AX822" s="604" t="inlineStr">
        <x:is>
          <x:t xml:space="preserve">https://simondongxiao.github.io/odds/v4/</x:t>
        </x:is>
      </x:c>
      <x:c r="AY822" s="604" t="inlineStr">
        <x:is>
          <x:t xml:space="preserve">V4 Shadow Only；real_money=false；P(EV&gt;0)不是比赛胜率</x:t>
        </x:is>
      </x:c>
    </x:row>
    <x:row r="823" ht="22" customHeight="1">
      <x:c r="A823" s="604" t="inlineStr">
        <x:is>
          <x:t xml:space="preserve">2026-10-03</x:t>
        </x:is>
      </x:c>
      <x:c r="B823" s="604" t="inlineStr">
        <x:is>
          <x:t xml:space="preserve">2026-10-04 04:00</x:t>
        </x:is>
      </x:c>
      <x:c r="C823" s="604" t="str">
        <x:v>南美系列</x:v>
      </x:c>
      <x:c r="D823" s="604" t="inlineStr">
        <x:is>
          <x:t xml:space="preserve">联赛</x:t>
        </x:is>
      </x:c>
      <x:c r="E823" s="604" t="inlineStr">
        <x:is>
          <x:t xml:space="preserve">巴拉甲秋</x:t>
        </x:is>
      </x:c>
      <x:c r="F823" s="604" t="inlineStr">
        <x:is>
          <x:t xml:space="preserve">亚松森瓜拉尼 vs 圣罗伦素体育会</x:t>
        </x:is>
      </x:c>
      <x:c r="G823" s="604" t="n">
        <x:v>0.88</x:v>
      </x:c>
      <x:c r="H823" s="604" t="n">
        <x:v>1</x:v>
      </x:c>
      <x:c r="I823" s="604" t="n">
        <x:v>0.88</x:v>
      </x:c>
      <x:c r="J823" s="604" t="inlineStr">
        <x:is>
          <x:t xml:space="preserve">0.88/1/0.88</x:t>
        </x:is>
      </x:c>
      <x:c r="K823" s="604" t="inlineStr">
        <x:is>
          <x:t xml:space="preserve">V4-B｜EV +0.1738</x:t>
        </x:is>
      </x:c>
      <x:c r="L823" s="604" t="inlineStr">
        <x:is>
          <x:t xml:space="preserve">亚松森瓜拉尼</x:t>
        </x:is>
      </x:c>
      <x:c r="M823" s="604" t="n">
        <x:v>0.6554977190400841</x:v>
      </x:c>
      <x:c r="N823" s="604" t="inlineStr">
        <x:is>
          <x:t xml:space="preserve">V4纸面入选-B</x:t>
        </x:is>
      </x:c>
      <x:c r="O823" s="604" t="inlineStr">
        <x:is>
          <x:t xml:space="preserve">1-1</x:t>
        </x:is>
      </x:c>
      <x:c r="P823" s="604" t="inlineStr">
        <x:is>
          <x:t xml:space="preserve">已结算</x:t>
        </x:is>
      </x:c>
      <x:c r="Q823" s="646" t="inlineStr">
        <x:is>
          <x:t xml:space="preserve">黑</x:t>
        </x:is>
      </x:c>
      <x:c r="R823" s="604" t="n">
        <x:v>0.88</x:v>
      </x:c>
      <x:c r="S823" s="604" t="n">
        <x:f>IF(OR(Q823="",Q823="待结算"),"",IF(Q823="红",R823,IF(Q823="半红",R823*0.5,IF(Q823="走",0,IF(Q823="半黑",-0.5,-1)))))</x:f>
        <x:v>-1</x:v>
      </x:c>
      <x:c r="T823" s="604" t="inlineStr">
        <x:is>
          <x:t xml:space="preserve">https://m.titan007.com/analy/Analysis/3074195.htm</x:t>
        </x:is>
      </x:c>
      <x:c r="U823" s="645" t="str">
        <x:f>IF(Q823="","",IF(Q823="待结算","待结算",IF(Q823="红","黑",IF(Q823="半红","半黑",IF(Q823="走","走",IF(Q823="半黑","半红","红"))))))</x:f>
        <x:v>红</x:v>
      </x:c>
      <x:c r="V823" s="604" t="n">
        <x:f>IF(OR(Q823="",Q823="待结算"),"",IF(L823=LEFT(F823,FIND(" vs ",F823)-1),I823,G823))</x:f>
        <x:v>0.88</x:v>
      </x:c>
      <x:c r="W823" s="604" t="n">
        <x:f>IF(OR(U823="",U823="待结算"),"",IF(U823="红",V823,IF(U823="半红",V823*0.5,IF(U823="走",0,IF(U823="半黑",-0.5,-1)))))</x:f>
        <x:v>0.88</x:v>
      </x:c>
      <x:c r="X823" s="604" t="inlineStr">
        <x:is>
          <x:t xml:space="preserve">3074195</x:t>
        </x:is>
      </x:c>
      <x:c r="Y823" s="604" t="inlineStr">
        <x:is>
          <x:t xml:space="preserve">V4</x:t>
        </x:is>
      </x:c>
      <x:c r="Z823" s="604" t="inlineStr">
        <x:is>
          <x:t xml:space="preserve">prior-2026-10-03-v1</x:t>
        </x:is>
      </x:c>
      <x:c r="AA823" s="604" t="inlineStr">
        <x:is>
          <x:t xml:space="preserve">B</x:t>
        </x:is>
      </x:c>
      <x:c r="AB823" s="604" t="n">
        <x:v>0.4903332018048631</x:v>
      </x:c>
      <x:c r="AC823" s="604" t="n"/>
      <x:c r="AD823" s="604" t="n">
        <x:v>0.2519681036832429</x:v>
      </x:c>
      <x:c r="AE823" s="604" t="n"/>
      <x:c r="AF823" s="604" t="n">
        <x:v>0.257698694511894</x:v>
      </x:c>
      <x:c r="AG823" s="604" t="n">
        <x:v>0.1737945230763855</x:v>
      </x:c>
      <x:c r="AH823" s="604" t="n"/>
      <x:c r="AI823" s="604" t="n"/>
      <x:c r="AJ823" s="604" t="n">
        <x:v>0.1737945230763855</x:v>
      </x:c>
      <x:c r="AK823" s="604" t="n"/>
      <x:c r="AL823" s="604" t="n"/>
      <x:c r="AM823" s="604" t="n"/>
      <x:c r="AN823" s="604" t="inlineStr">
        <x:is>
          <x:t xml:space="preserve">EVALUATED</x:t>
        </x:is>
      </x:c>
      <x:c r="AO823" s="604" t="inlineStr">
        <x:is>
          <x:t xml:space="preserve">GIVING_VALIDATED_EDGE、BUCKET_PRIOR_ONLY、INTENT_INTERPRETATION_ONLY、EXPERT_MARKET</x:t>
        </x:is>
      </x:c>
      <x:c r="AP823" s="604" t="inlineStr">
        <x:is>
          <x:t xml:space="preserve">ce3a116fd174398aee4a</x:t>
        </x:is>
      </x:c>
      <x:c r="AQ823" s="604" t="n">
        <x:v>-1</x:v>
      </x:c>
      <x:c r="AR823" s="604" t="n">
        <x:v>0.88</x:v>
      </x:c>
      <x:c r="AS823" s="604" t="n">
        <x:v>1</x:v>
      </x:c>
      <x:c r="AT823" s="604" t="n">
        <x:v>-1</x:v>
      </x:c>
      <x:c r="AU823" s="604" t="n">
        <x:v>0.88</x:v>
      </x:c>
      <x:c r="AV823" s="604" t="n">
        <x:v>0.88</x:v>
      </x:c>
      <x:c r="AW823" s="604" t="n">
        <x:v>46298.06050486111</x:v>
      </x:c>
      <x:c r="AX823" s="604" t="inlineStr">
        <x:is>
          <x:t xml:space="preserve">https://simondongxiao.github.io/odds/v4/</x:t>
        </x:is>
      </x:c>
      <x:c r="AY823" s="604" t="inlineStr">
        <x:is>
          <x:t xml:space="preserve">V4 Shadow Only；real_money=false；P(EV&gt;0)不是比赛胜率</x:t>
        </x:is>
      </x:c>
    </x:row>
    <x:row r="824" ht="22" customHeight="1">
      <x:c r="A824" s="604" t="inlineStr">
        <x:is>
          <x:t xml:space="preserve">2026-10-03</x:t>
        </x:is>
      </x:c>
      <x:c r="B824" s="604" t="inlineStr">
        <x:is>
          <x:t xml:space="preserve">2026-10-04 04:00</x:t>
        </x:is>
      </x:c>
      <x:c r="C824" s="604" t="str">
        <x:v>南美系列</x:v>
      </x:c>
      <x:c r="D824" s="604" t="inlineStr">
        <x:is>
          <x:t xml:space="preserve">联赛</x:t>
        </x:is>
      </x:c>
      <x:c r="E824" s="604" t="inlineStr">
        <x:is>
          <x:t xml:space="preserve">智利丙</x:t>
        </x:is>
      </x:c>
      <x:c r="F824" s="604" t="inlineStr">
        <x:is>
          <x:t xml:space="preserve">奥瓦莱队 vs 体育联合会</x:t>
        </x:is>
      </x:c>
      <x:c r="G824" s="604" t="n">
        <x:v>0.91</x:v>
      </x:c>
      <x:c r="H824" s="604" t="n">
        <x:v>0</x:v>
      </x:c>
      <x:c r="I824" s="604" t="n">
        <x:v>0.79</x:v>
      </x:c>
      <x:c r="J824" s="604" t="inlineStr">
        <x:is>
          <x:t xml:space="preserve">0.91/0/0.79</x:t>
        </x:is>
      </x:c>
      <x:c r="K824" s="604" t="inlineStr">
        <x:is>
          <x:t xml:space="preserve">V4-C｜EV +0.0130</x:t>
        </x:is>
      </x:c>
      <x:c r="L824" s="604" t="str"/>
      <x:c r="M824" s="604" t="n">
        <x:v>0.4340782908935936</x:v>
      </x:c>
      <x:c r="N824" s="604" t="inlineStr">
        <x:is>
          <x:t xml:space="preserve">V4纸面入选-C</x:t>
        </x:is>
      </x:c>
      <x:c r="O824" s="604" t="inlineStr">
        <x:is>
          <x:t xml:space="preserve">1-5</x:t>
        </x:is>
      </x:c>
      <x:c r="P824" s="604" t="inlineStr">
        <x:is>
          <x:t xml:space="preserve">已结算</x:t>
        </x:is>
      </x:c>
      <x:c r="Q824" s="646" t="inlineStr">
        <x:is>
          <x:t xml:space="preserve">黑</x:t>
        </x:is>
      </x:c>
      <x:c r="R824" s="604" t="n">
        <x:v>0.79</x:v>
      </x:c>
      <x:c r="S824" s="604" t="n">
        <x:f>IF(OR(Q824="",Q824="待结算"),"",IF(Q824="红",R824,IF(Q824="半红",R824*0.5,IF(Q824="走",0,IF(Q824="半黑",-0.5,-1)))))</x:f>
        <x:v>-1</x:v>
      </x:c>
      <x:c r="T824" s="604" t="inlineStr">
        <x:is>
          <x:t xml:space="preserve">https://m.titan007.com/analy/Analysis/3096295.htm</x:t>
        </x:is>
      </x:c>
      <x:c r="U824" s="645" t="str">
        <x:f>IF(Q824="","",IF(Q824="待结算","待结算",IF(Q824="红","黑",IF(Q824="半红","半黑",IF(Q824="走","走",IF(Q824="半黑","半红","红"))))))</x:f>
        <x:v>红</x:v>
      </x:c>
      <x:c r="V824" s="604" t="n">
        <x:f>IF(OR(Q824="",Q824="待结算"),"",IF(L824=LEFT(F824,FIND(" vs ",F824)-1),I824,G824))</x:f>
        <x:v>0.91</x:v>
      </x:c>
      <x:c r="W824" s="604" t="n">
        <x:f>IF(OR(U824="",U824="待结算"),"",IF(U824="红",V824,IF(U824="半红",V824*0.5,IF(U824="走",0,IF(U824="半黑",-0.5,-1)))))</x:f>
        <x:v>0.91</x:v>
      </x:c>
      <x:c r="X824" s="604" t="inlineStr">
        <x:is>
          <x:t xml:space="preserve">3096295</x:t>
        </x:is>
      </x:c>
      <x:c r="Y824" s="604" t="inlineStr">
        <x:is>
          <x:t xml:space="preserve">V4</x:t>
        </x:is>
      </x:c>
      <x:c r="Z824" s="604" t="inlineStr">
        <x:is>
          <x:t xml:space="preserve">prior-2026-10-03-v1</x:t>
        </x:is>
      </x:c>
      <x:c r="AA824" s="604" t="inlineStr">
        <x:is>
          <x:t xml:space="preserve">C</x:t>
        </x:is>
      </x:c>
      <x:c r="AB824" s="604" t="n">
        <x:v>0.4340782908935936</x:v>
      </x:c>
      <x:c r="AC824" s="604" t="n"/>
      <x:c r="AD824" s="604" t="n"/>
      <x:c r="AE824" s="604" t="n"/>
      <x:c r="AF824" s="604" t="n">
        <x:v>0.5659217091064065</x:v>
      </x:c>
      <x:c r="AG824" s="604" t="n">
        <x:v>0.01299985930046754</x:v>
      </x:c>
      <x:c r="AH824" s="604" t="n"/>
      <x:c r="AI824" s="604" t="n"/>
      <x:c r="AJ824" s="604" t="n">
        <x:v>0.01299985930046754</x:v>
      </x:c>
      <x:c r="AK824" s="604" t="n"/>
      <x:c r="AL824" s="604" t="n"/>
      <x:c r="AM824" s="604" t="n"/>
      <x:c r="AN824" s="604" t="inlineStr">
        <x:is>
          <x:t xml:space="preserve">EVALUATED</x:t>
        </x:is>
      </x:c>
      <x:c r="AO824" s="604" t="inlineStr">
        <x:is>
          <x:t xml:space="preserve">EDGE_BELOW_UNCERTAINTY_THRESHOLD、BUCKET_PRIOR_ONLY、INTENT_INTERPRETATION_ONLY、EXPERT_MARKET</x:t>
        </x:is>
      </x:c>
      <x:c r="AP824" s="604" t="inlineStr">
        <x:is>
          <x:t xml:space="preserve">c4486db36d5ad1fe014f</x:t>
        </x:is>
      </x:c>
      <x:c r="AQ824" s="604" t="n">
        <x:v>0</x:v>
      </x:c>
      <x:c r="AR824" s="604" t="n"/>
      <x:c r="AS824" s="604" t="n">
        <x:v>0</x:v>
      </x:c>
      <x:c r="AT824" s="604" t="n">
        <x:v>0</x:v>
      </x:c>
      <x:c r="AU824" s="604" t="n">
        <x:v>0.91</x:v>
      </x:c>
      <x:c r="AV824" s="604" t="n">
        <x:v>0.79</x:v>
      </x:c>
      <x:c r="AW824" s="604" t="n">
        <x:v>46298.06050486111</x:v>
      </x:c>
      <x:c r="AX824" s="604" t="inlineStr">
        <x:is>
          <x:t xml:space="preserve">https://simondongxiao.github.io/odds/v4/</x:t>
        </x:is>
      </x:c>
      <x:c r="AY824" s="604" t="inlineStr">
        <x:is>
          <x:t xml:space="preserve">V4 Shadow Only；real_money=false；P(EV&gt;0)不是比赛胜率</x:t>
        </x:is>
      </x:c>
    </x:row>
    <x:row r="825" ht="22" customHeight="1">
      <x:c r="A825" s="604" t="inlineStr">
        <x:is>
          <x:t xml:space="preserve">2026-10-03</x:t>
        </x:is>
      </x:c>
      <x:c r="B825" s="604" t="inlineStr">
        <x:is>
          <x:t xml:space="preserve">2026-10-04 04:00</x:t>
        </x:is>
      </x:c>
      <x:c r="C825" s="604" t="str">
        <x:v>北美系列</x:v>
      </x:c>
      <x:c r="D825" s="604" t="inlineStr">
        <x:is>
          <x:t xml:space="preserve">联赛</x:t>
        </x:is>
      </x:c>
      <x:c r="E825" s="604" t="inlineStr">
        <x:is>
          <x:t xml:space="preserve">加拿职</x:t>
        </x:is>
      </x:c>
      <x:c r="F825" s="604" t="inlineStr">
        <x:is>
          <x:t xml:space="preserve">弗尔戈FC vs HFX流浪者</x:t>
        </x:is>
      </x:c>
      <x:c r="G825" s="604" t="n">
        <x:v>0.97</x:v>
      </x:c>
      <x:c r="H825" s="604" t="n">
        <x:v>0</x:v>
      </x:c>
      <x:c r="I825" s="604" t="n">
        <x:v>0.73</x:v>
      </x:c>
      <x:c r="J825" s="604" t="inlineStr">
        <x:is>
          <x:t xml:space="preserve">0.97/0/0.73</x:t>
        </x:is>
      </x:c>
      <x:c r="K825" s="604" t="inlineStr">
        <x:is>
          <x:t xml:space="preserve">V4-C｜EV +0.0514</x:t>
        </x:is>
      </x:c>
      <x:c r="L825" s="604" t="str"/>
      <x:c r="M825" s="604" t="n">
        <x:v>0.5374676386413341</x:v>
      </x:c>
      <x:c r="N825" s="604" t="inlineStr">
        <x:is>
          <x:t xml:space="preserve">V4纸面入选-C</x:t>
        </x:is>
      </x:c>
      <x:c r="O825" s="604" t="inlineStr">
        <x:is>
          <x:t xml:space="preserve">3-3</x:t>
        </x:is>
      </x:c>
      <x:c r="P825" s="604" t="inlineStr">
        <x:is>
          <x:t xml:space="preserve">已结算</x:t>
        </x:is>
      </x:c>
      <x:c r="Q825" s="647" t="inlineStr">
        <x:is>
          <x:t xml:space="preserve">走</x:t>
        </x:is>
      </x:c>
      <x:c r="R825" s="604" t="n">
        <x:v>0.73</x:v>
      </x:c>
      <x:c r="S825" s="604" t="n">
        <x:f>IF(OR(Q825="",Q825="待结算"),"",IF(Q825="红",R825,IF(Q825="半红",R825*0.5,IF(Q825="走",0,IF(Q825="半黑",-0.5,-1)))))</x:f>
        <x:v>0</x:v>
      </x:c>
      <x:c r="T825" s="604" t="inlineStr">
        <x:is>
          <x:t xml:space="preserve">https://m.titan007.com/analy/Analysis/2937623.htm</x:t>
        </x:is>
      </x:c>
      <x:c r="U825" s="647" t="str">
        <x:f>IF(Q825="","",IF(Q825="待结算","待结算",IF(Q825="红","黑",IF(Q825="半红","半黑",IF(Q825="走","走",IF(Q825="半黑","半红","红"))))))</x:f>
        <x:v>走</x:v>
      </x:c>
      <x:c r="V825" s="604" t="n">
        <x:f>IF(OR(Q825="",Q825="待结算"),"",IF(L825=LEFT(F825,FIND(" vs ",F825)-1),I825,G825))</x:f>
        <x:v>0.97</x:v>
      </x:c>
      <x:c r="W825" s="604" t="n">
        <x:f>IF(OR(U825="",U825="待结算"),"",IF(U825="红",V825,IF(U825="半红",V825*0.5,IF(U825="走",0,IF(U825="半黑",-0.5,-1)))))</x:f>
        <x:v>0</x:v>
      </x:c>
      <x:c r="X825" s="604" t="inlineStr">
        <x:is>
          <x:t xml:space="preserve">2937623</x:t>
        </x:is>
      </x:c>
      <x:c r="Y825" s="604" t="inlineStr">
        <x:is>
          <x:t xml:space="preserve">V4</x:t>
        </x:is>
      </x:c>
      <x:c r="Z825" s="604" t="inlineStr">
        <x:is>
          <x:t xml:space="preserve">prior-2026-10-03-v1</x:t>
        </x:is>
      </x:c>
      <x:c r="AA825" s="604" t="inlineStr">
        <x:is>
          <x:t xml:space="preserve">C</x:t>
        </x:is>
      </x:c>
      <x:c r="AB825" s="604" t="n">
        <x:v>0.4693897078765963</x:v>
      </x:c>
      <x:c r="AC825" s="604" t="n"/>
      <x:c r="AD825" s="604" t="n"/>
      <x:c r="AE825" s="604" t="n">
        <x:v>0.2533284829458093</x:v>
      </x:c>
      <x:c r="AF825" s="604" t="n">
        <x:v>0.2772818091775944</x:v>
      </x:c>
      <x:c r="AG825" s="604" t="n">
        <x:v>0.05136196598979931</x:v>
      </x:c>
      <x:c r="AH825" s="604" t="n"/>
      <x:c r="AI825" s="604" t="n"/>
      <x:c r="AJ825" s="604" t="n">
        <x:v>0.05136196598979931</x:v>
      </x:c>
      <x:c r="AK825" s="604" t="n"/>
      <x:c r="AL825" s="604" t="n"/>
      <x:c r="AM825" s="604" t="n"/>
      <x:c r="AN825" s="604" t="inlineStr">
        <x:is>
          <x:t xml:space="preserve">EVALUATED</x:t>
        </x:is>
      </x:c>
      <x:c r="AO825" s="604" t="inlineStr">
        <x:is>
          <x:t xml:space="preserve">EDGE_BELOW_UNCERTAINTY_THRESHOLD、BUCKET_PRIOR_ONLY、INTENT_INTERPRETATION_ONLY、EXPERT_MARKET</x:t>
        </x:is>
      </x:c>
      <x:c r="AP825" s="604" t="inlineStr">
        <x:is>
          <x:t xml:space="preserve">6b61b0fafa80808156d4</x:t>
        </x:is>
      </x:c>
      <x:c r="AQ825" s="604" t="n">
        <x:v>0</x:v>
      </x:c>
      <x:c r="AR825" s="604" t="n"/>
      <x:c r="AS825" s="604" t="n">
        <x:v>0</x:v>
      </x:c>
      <x:c r="AT825" s="604" t="n">
        <x:v>0</x:v>
      </x:c>
      <x:c r="AU825" s="604" t="n">
        <x:v>0.97</x:v>
      </x:c>
      <x:c r="AV825" s="604" t="n">
        <x:v>0.73</x:v>
      </x:c>
      <x:c r="AW825" s="604" t="n">
        <x:v>46298.06050486111</x:v>
      </x:c>
      <x:c r="AX825" s="604" t="inlineStr">
        <x:is>
          <x:t xml:space="preserve">https://simondongxiao.github.io/odds/v4/</x:t>
        </x:is>
      </x:c>
      <x:c r="AY825" s="604" t="inlineStr">
        <x:is>
          <x:t xml:space="preserve">V4 Shadow Only；real_money=false；P(EV&gt;0)不是比赛胜率</x:t>
        </x:is>
      </x:c>
    </x:row>
    <x:row r="826" ht="22" customHeight="1">
      <x:c r="A826" s="604" t="inlineStr">
        <x:is>
          <x:t xml:space="preserve">2026-10-03</x:t>
        </x:is>
      </x:c>
      <x:c r="B826" s="604" t="inlineStr">
        <x:is>
          <x:t xml:space="preserve">2026-10-04 04:30</x:t>
        </x:is>
      </x:c>
      <x:c r="C826" s="604" t="str">
        <x:v>南美系列</x:v>
      </x:c>
      <x:c r="D826" s="604" t="inlineStr">
        <x:is>
          <x:t xml:space="preserve">联赛</x:t>
        </x:is>
      </x:c>
      <x:c r="E826" s="604" t="inlineStr">
        <x:is>
          <x:t xml:space="preserve">哥伦乙秋</x:t>
        </x:is>
      </x:c>
      <x:c r="F826" s="604" t="inlineStr">
        <x:is>
          <x:t xml:space="preserve">帕特里奥坦斯 vs 尤姆博独立</x:t>
        </x:is>
      </x:c>
      <x:c r="G826" s="604" t="n">
        <x:v>0.88</x:v>
      </x:c>
      <x:c r="H826" s="604" t="n">
        <x:v>0.75</x:v>
      </x:c>
      <x:c r="I826" s="604" t="n">
        <x:v>0.82</x:v>
      </x:c>
      <x:c r="J826" s="604" t="inlineStr">
        <x:is>
          <x:t xml:space="preserve">0.88/0.75/0.82</x:t>
        </x:is>
      </x:c>
      <x:c r="K826" s="604" t="inlineStr">
        <x:is>
          <x:t xml:space="preserve">V4-C｜EV +0.0608</x:t>
        </x:is>
      </x:c>
      <x:c r="L826" s="604" t="inlineStr">
        <x:is>
          <x:t xml:space="preserve">帕特里奥坦斯</x:t>
        </x:is>
      </x:c>
      <x:c r="M826" s="604" t="n">
        <x:v>0.5690305947732406</x:v>
      </x:c>
      <x:c r="N826" s="604" t="inlineStr">
        <x:is>
          <x:t xml:space="preserve">V4纸面入选-C</x:t>
        </x:is>
      </x:c>
      <x:c r="O826" s="604" t="inlineStr">
        <x:is>
          <x:t xml:space="preserve">0-1</x:t>
        </x:is>
      </x:c>
      <x:c r="P826" s="604" t="inlineStr">
        <x:is>
          <x:t xml:space="preserve">已结算</x:t>
        </x:is>
      </x:c>
      <x:c r="Q826" s="646" t="inlineStr">
        <x:is>
          <x:t xml:space="preserve">黑</x:t>
        </x:is>
      </x:c>
      <x:c r="R826" s="604" t="n">
        <x:v>0.88</x:v>
      </x:c>
      <x:c r="S826" s="604" t="n">
        <x:f>IF(OR(Q826="",Q826="待结算"),"",IF(Q826="红",R826,IF(Q826="半红",R826*0.5,IF(Q826="走",0,IF(Q826="半黑",-0.5,-1)))))</x:f>
        <x:v>-1</x:v>
      </x:c>
      <x:c r="T826" s="604" t="inlineStr">
        <x:is>
          <x:t xml:space="preserve">https://m.titan007.com/analy/Analysis/3012210.htm</x:t>
        </x:is>
      </x:c>
      <x:c r="U826" s="645" t="str">
        <x:f>IF(Q826="","",IF(Q826="待结算","待结算",IF(Q826="红","黑",IF(Q826="半红","半黑",IF(Q826="走","走",IF(Q826="半黑","半红","红"))))))</x:f>
        <x:v>红</x:v>
      </x:c>
      <x:c r="V826" s="604" t="n">
        <x:f>IF(OR(Q826="",Q826="待结算"),"",IF(L826=LEFT(F826,FIND(" vs ",F826)-1),I826,G826))</x:f>
        <x:v>0.82</x:v>
      </x:c>
      <x:c r="W826" s="604" t="n">
        <x:f>IF(OR(U826="",U826="待结算"),"",IF(U826="红",V826,IF(U826="半红",V826*0.5,IF(U826="走",0,IF(U826="半黑",-0.5,-1)))))</x:f>
        <x:v>0.82</x:v>
      </x:c>
      <x:c r="X826" s="604" t="inlineStr">
        <x:is>
          <x:t xml:space="preserve">3012210</x:t>
        </x:is>
      </x:c>
      <x:c r="Y826" s="604" t="inlineStr">
        <x:is>
          <x:t xml:space="preserve">V4</x:t>
        </x:is>
      </x:c>
      <x:c r="Z826" s="604" t="inlineStr">
        <x:is>
          <x:t xml:space="preserve">prior-2026-10-03-v1</x:t>
        </x:is>
      </x:c>
      <x:c r="AA826" s="604" t="inlineStr">
        <x:is>
          <x:t xml:space="preserve">C</x:t>
        </x:is>
      </x:c>
      <x:c r="AB826" s="604" t="n">
        <x:v>0.3676145628106166</x:v>
      </x:c>
      <x:c r="AC826" s="604" t="n">
        <x:v>0.2567394576416568</x:v>
      </x:c>
      <x:c r="AD826" s="604" t="n"/>
      <x:c r="AE826" s="604" t="n"/>
      <x:c r="AF826" s="604" t="n">
        <x:v>0.3756459795477266</x:v>
      </x:c>
      <x:c r="AG826" s="604" t="n">
        <x:v>0.06082019708794495</x:v>
      </x:c>
      <x:c r="AH826" s="604" t="n"/>
      <x:c r="AI826" s="604" t="n"/>
      <x:c r="AJ826" s="604" t="n">
        <x:v>0.06082019708794495</x:v>
      </x:c>
      <x:c r="AK826" s="604" t="n"/>
      <x:c r="AL826" s="604" t="n"/>
      <x:c r="AM826" s="604" t="n"/>
      <x:c r="AN826" s="604" t="inlineStr">
        <x:is>
          <x:t xml:space="preserve">EVALUATED</x:t>
        </x:is>
      </x:c>
      <x:c r="AO826" s="604" t="inlineStr">
        <x:is>
          <x:t xml:space="preserve">GIVING_VALIDATED_EDGE、BUCKET_PRIOR_ONLY、INTENT_INTERPRETATION_ONLY、EXPERT_MARKET</x:t>
        </x:is>
      </x:c>
      <x:c r="AP826" s="604" t="inlineStr">
        <x:is>
          <x:t xml:space="preserve">ebda1ad7f157e02d0224</x:t>
        </x:is>
      </x:c>
      <x:c r="AQ826" s="604" t="n">
        <x:v>-0.75</x:v>
      </x:c>
      <x:c r="AR826" s="604" t="n">
        <x:v>0.88</x:v>
      </x:c>
      <x:c r="AS826" s="604" t="n">
        <x:v>0.75</x:v>
      </x:c>
      <x:c r="AT826" s="604" t="n">
        <x:v>-0.75</x:v>
      </x:c>
      <x:c r="AU826" s="604" t="n">
        <x:v>0.88</x:v>
      </x:c>
      <x:c r="AV826" s="604" t="n">
        <x:v>0.82</x:v>
      </x:c>
      <x:c r="AW826" s="604" t="n">
        <x:v>46298.06050486111</x:v>
      </x:c>
      <x:c r="AX826" s="604" t="inlineStr">
        <x:is>
          <x:t xml:space="preserve">https://simondongxiao.github.io/odds/v4/</x:t>
        </x:is>
      </x:c>
      <x:c r="AY826" s="604" t="inlineStr">
        <x:is>
          <x:t xml:space="preserve">V4 Shadow Only；real_money=false；P(EV&gt;0)不是比赛胜率</x:t>
        </x:is>
      </x:c>
    </x:row>
    <x:row r="827" ht="22" customHeight="1">
      <x:c r="A827" s="604" t="inlineStr">
        <x:is>
          <x:t xml:space="preserve">2026-10-03</x:t>
        </x:is>
      </x:c>
      <x:c r="B827" s="604" t="inlineStr">
        <x:is>
          <x:t xml:space="preserve">2026-10-04 04:55</x:t>
        </x:is>
      </x:c>
      <x:c r="C827" s="604" t="str">
        <x:v>南美系列</x:v>
      </x:c>
      <x:c r="D827" s="604" t="inlineStr">
        <x:is>
          <x:t xml:space="preserve">联赛</x:t>
        </x:is>
      </x:c>
      <x:c r="E827" s="604" t="inlineStr">
        <x:is>
          <x:t xml:space="preserve">乌拉甲秋</x:t>
        </x:is>
      </x:c>
      <x:c r="F827" s="604" t="inlineStr">
        <x:is>
          <x:t xml:space="preserve">马尔多纳多 vs 西班牙中心</x:t>
        </x:is>
      </x:c>
      <x:c r="G827" s="604" t="n">
        <x:v>0.78</x:v>
      </x:c>
      <x:c r="H827" s="604" t="n">
        <x:v>0.75</x:v>
      </x:c>
      <x:c r="I827" s="604" t="n">
        <x:v>0.92</x:v>
      </x:c>
      <x:c r="J827" s="604" t="inlineStr">
        <x:is>
          <x:t xml:space="preserve">0.78/0.75/0.92</x:t>
        </x:is>
      </x:c>
      <x:c r="K827" s="604" t="inlineStr">
        <x:is>
          <x:t xml:space="preserve">V4-C｜EV +0.0664</x:t>
        </x:is>
      </x:c>
      <x:c r="L827" s="604" t="inlineStr">
        <x:is>
          <x:t xml:space="preserve">马尔多纳多</x:t>
        </x:is>
      </x:c>
      <x:c r="M827" s="604" t="n">
        <x:v>0.6046324161269172</x:v>
      </x:c>
      <x:c r="N827" s="604" t="inlineStr">
        <x:is>
          <x:t xml:space="preserve">V4纸面入选-C</x:t>
        </x:is>
      </x:c>
      <x:c r="O827" s="604" t="inlineStr">
        <x:is>
          <x:t xml:space="preserve">3-0</x:t>
        </x:is>
      </x:c>
      <x:c r="P827" s="604" t="inlineStr">
        <x:is>
          <x:t xml:space="preserve">已结算</x:t>
        </x:is>
      </x:c>
      <x:c r="Q827" s="645" t="inlineStr">
        <x:is>
          <x:t xml:space="preserve">红</x:t>
        </x:is>
      </x:c>
      <x:c r="R827" s="604" t="n">
        <x:v>0.78</x:v>
      </x:c>
      <x:c r="S827" s="604" t="n">
        <x:f>IF(OR(Q827="",Q827="待结算"),"",IF(Q827="红",R827,IF(Q827="半红",R827*0.5,IF(Q827="走",0,IF(Q827="半黑",-0.5,-1)))))</x:f>
        <x:v>0.78</x:v>
      </x:c>
      <x:c r="T827" s="604" t="inlineStr">
        <x:is>
          <x:t xml:space="preserve">https://m.titan007.com/analy/Analysis/3094916.htm</x:t>
        </x:is>
      </x:c>
      <x:c r="U827" s="646" t="str">
        <x:f>IF(Q827="","",IF(Q827="待结算","待结算",IF(Q827="红","黑",IF(Q827="半红","半黑",IF(Q827="走","走",IF(Q827="半黑","半红","红"))))))</x:f>
        <x:v>黑</x:v>
      </x:c>
      <x:c r="V827" s="604" t="n">
        <x:f>IF(OR(Q827="",Q827="待结算"),"",IF(L827=LEFT(F827,FIND(" vs ",F827)-1),I827,G827))</x:f>
        <x:v>0.92</x:v>
      </x:c>
      <x:c r="W827" s="604" t="n">
        <x:f>IF(OR(U827="",U827="待结算"),"",IF(U827="红",V827,IF(U827="半红",V827*0.5,IF(U827="走",0,IF(U827="半黑",-0.5,-1)))))</x:f>
        <x:v>-1</x:v>
      </x:c>
      <x:c r="X827" s="604" t="inlineStr">
        <x:is>
          <x:t xml:space="preserve">3094916</x:t>
        </x:is>
      </x:c>
      <x:c r="Y827" s="604" t="inlineStr">
        <x:is>
          <x:t xml:space="preserve">V4</x:t>
        </x:is>
      </x:c>
      <x:c r="Z827" s="604" t="inlineStr">
        <x:is>
          <x:t xml:space="preserve">prior-2026-10-03-v1</x:t>
        </x:is>
      </x:c>
      <x:c r="AA827" s="604" t="inlineStr">
        <x:is>
          <x:t xml:space="preserve">C</x:t>
        </x:is>
      </x:c>
      <x:c r="AB827" s="604" t="n">
        <x:v>0.3979259189554823</x:v>
      </x:c>
      <x:c r="AC827" s="604" t="n">
        <x:v>0.2576371947793003</x:v>
      </x:c>
      <x:c r="AD827" s="604" t="n"/>
      <x:c r="AE827" s="604" t="n"/>
      <x:c r="AF827" s="604" t="n">
        <x:v>0.3444368862652174</x:v>
      </x:c>
      <x:c r="AG827" s="604" t="n">
        <x:v>0.06642383648398598</x:v>
      </x:c>
      <x:c r="AH827" s="604" t="n"/>
      <x:c r="AI827" s="604" t="n"/>
      <x:c r="AJ827" s="604" t="n">
        <x:v>0.06642383648398598</x:v>
      </x:c>
      <x:c r="AK827" s="604" t="n"/>
      <x:c r="AL827" s="604" t="n"/>
      <x:c r="AM827" s="604" t="n"/>
      <x:c r="AN827" s="604" t="inlineStr">
        <x:is>
          <x:t xml:space="preserve">EVALUATED</x:t>
        </x:is>
      </x:c>
      <x:c r="AO827" s="604" t="inlineStr">
        <x:is>
          <x:t xml:space="preserve">GIVING_VALIDATED_EDGE、BUCKET_PRIOR_ONLY、INTENT_INTERPRETATION_ONLY、EXPERT_MARKET</x:t>
        </x:is>
      </x:c>
      <x:c r="AP827" s="604" t="inlineStr">
        <x:is>
          <x:t xml:space="preserve">b01703f73eccbfda050e</x:t>
        </x:is>
      </x:c>
      <x:c r="AQ827" s="604" t="n">
        <x:v>-0.75</x:v>
      </x:c>
      <x:c r="AR827" s="604" t="n">
        <x:v>0.78</x:v>
      </x:c>
      <x:c r="AS827" s="604" t="n">
        <x:v>0.75</x:v>
      </x:c>
      <x:c r="AT827" s="604" t="n">
        <x:v>-0.75</x:v>
      </x:c>
      <x:c r="AU827" s="604" t="n">
        <x:v>0.78</x:v>
      </x:c>
      <x:c r="AV827" s="604" t="n">
        <x:v>0.92</x:v>
      </x:c>
      <x:c r="AW827" s="604" t="n">
        <x:v>46298.06050486111</x:v>
      </x:c>
      <x:c r="AX827" s="604" t="inlineStr">
        <x:is>
          <x:t xml:space="preserve">https://simondongxiao.github.io/odds/v4/</x:t>
        </x:is>
      </x:c>
      <x:c r="AY827" s="604" t="inlineStr">
        <x:is>
          <x:t xml:space="preserve">V4 Shadow Only；real_money=false；P(EV&gt;0)不是比赛胜率</x:t>
        </x:is>
      </x:c>
    </x:row>
    <x:row r="828" ht="22" customHeight="1">
      <x:c r="A828" s="604" t="inlineStr">
        <x:is>
          <x:t xml:space="preserve">2026-10-03</x:t>
        </x:is>
      </x:c>
      <x:c r="B828" s="604" t="inlineStr">
        <x:is>
          <x:t xml:space="preserve">2026-10-04 05:00</x:t>
        </x:is>
      </x:c>
      <x:c r="C828" s="604" t="str">
        <x:v>北美系列</x:v>
      </x:c>
      <x:c r="D828" s="604" t="inlineStr">
        <x:is>
          <x:t xml:space="preserve">联赛</x:t>
        </x:is>
      </x:c>
      <x:c r="E828" s="604" t="inlineStr">
        <x:is>
          <x:t xml:space="preserve">危地甲春</x:t>
        </x:is>
      </x:c>
      <x:c r="F828" s="604" t="inlineStr">
        <x:is>
          <x:t xml:space="preserve">科万英佩尔 vs 马拉卡特高</x:t>
        </x:is>
      </x:c>
      <x:c r="G828" s="604" t="n">
        <x:v>0.87</x:v>
      </x:c>
      <x:c r="H828" s="604" t="n">
        <x:v>0.75</x:v>
      </x:c>
      <x:c r="I828" s="604" t="n">
        <x:v>0.83</x:v>
      </x:c>
      <x:c r="J828" s="604" t="inlineStr">
        <x:is>
          <x:t xml:space="preserve">0.87/0.75/0.83</x:t>
        </x:is>
      </x:c>
      <x:c r="K828" s="604" t="inlineStr">
        <x:is>
          <x:t xml:space="preserve">V4-B｜EV +0.1482</x:t>
        </x:is>
      </x:c>
      <x:c r="L828" s="604" t="inlineStr">
        <x:is>
          <x:t xml:space="preserve">科万英佩尔</x:t>
        </x:is>
      </x:c>
      <x:c r="M828" s="604" t="n">
        <x:v>0.6256902188341541</x:v>
      </x:c>
      <x:c r="N828" s="604" t="inlineStr">
        <x:is>
          <x:t xml:space="preserve">V4纸面入选-B</x:t>
        </x:is>
      </x:c>
      <x:c r="O828" s="604" t="inlineStr">
        <x:is>
          <x:t xml:space="preserve">2-0</x:t>
        </x:is>
      </x:c>
      <x:c r="P828" s="604" t="inlineStr">
        <x:is>
          <x:t xml:space="preserve">已结算</x:t>
        </x:is>
      </x:c>
      <x:c r="Q828" s="645" t="inlineStr">
        <x:is>
          <x:t xml:space="preserve">红</x:t>
        </x:is>
      </x:c>
      <x:c r="R828" s="604" t="n">
        <x:v>0.87</x:v>
      </x:c>
      <x:c r="S828" s="604" t="n">
        <x:f>IF(OR(Q828="",Q828="待结算"),"",IF(Q828="红",R828,IF(Q828="半红",R828*0.5,IF(Q828="走",0,IF(Q828="半黑",-0.5,-1)))))</x:f>
        <x:v>0.87</x:v>
      </x:c>
      <x:c r="T828" s="604" t="inlineStr">
        <x:is>
          <x:t xml:space="preserve">https://m.titan007.com/analy/Analysis/3011296.htm</x:t>
        </x:is>
      </x:c>
      <x:c r="U828" s="646" t="str">
        <x:f>IF(Q828="","",IF(Q828="待结算","待结算",IF(Q828="红","黑",IF(Q828="半红","半黑",IF(Q828="走","走",IF(Q828="半黑","半红","红"))))))</x:f>
        <x:v>黑</x:v>
      </x:c>
      <x:c r="V828" s="604" t="n">
        <x:f>IF(OR(Q828="",Q828="待结算"),"",IF(L828=LEFT(F828,FIND(" vs ",F828)-1),I828,G828))</x:f>
        <x:v>0.83</x:v>
      </x:c>
      <x:c r="W828" s="604" t="n">
        <x:f>IF(OR(U828="",U828="待结算"),"",IF(U828="红",V828,IF(U828="半红",V828*0.5,IF(U828="走",0,IF(U828="半黑",-0.5,-1)))))</x:f>
        <x:v>-1</x:v>
      </x:c>
      <x:c r="X828" s="604" t="inlineStr">
        <x:is>
          <x:t xml:space="preserve">3011296</x:t>
        </x:is>
      </x:c>
      <x:c r="Y828" s="604" t="inlineStr">
        <x:is>
          <x:t xml:space="preserve">V4</x:t>
        </x:is>
      </x:c>
      <x:c r="Z828" s="604" t="inlineStr">
        <x:is>
          <x:t xml:space="preserve">prior-2026-10-03-v1</x:t>
        </x:is>
      </x:c>
      <x:c r="AA828" s="604" t="inlineStr">
        <x:is>
          <x:t xml:space="preserve">B</x:t>
        </x:is>
      </x:c>
      <x:c r="AB828" s="604" t="n">
        <x:v>0.4165401089145193</x:v>
      </x:c>
      <x:c r="AC828" s="604" t="n">
        <x:v>0.2573062290669677</x:v>
      </x:c>
      <x:c r="AD828" s="604" t="n"/>
      <x:c r="AE828" s="604" t="n"/>
      <x:c r="AF828" s="604" t="n">
        <x:v>0.3261536620185131</x:v>
      </x:c>
      <x:c r="AG828" s="604" t="n">
        <x:v>0.1481644423812496</x:v>
      </x:c>
      <x:c r="AH828" s="604" t="n"/>
      <x:c r="AI828" s="604" t="n"/>
      <x:c r="AJ828" s="604" t="n">
        <x:v>0.1481644423812496</x:v>
      </x:c>
      <x:c r="AK828" s="604" t="n"/>
      <x:c r="AL828" s="604" t="n"/>
      <x:c r="AM828" s="604" t="n"/>
      <x:c r="AN828" s="604" t="inlineStr">
        <x:is>
          <x:t xml:space="preserve">EVALUATED</x:t>
        </x:is>
      </x:c>
      <x:c r="AO828" s="604" t="inlineStr">
        <x:is>
          <x:t xml:space="preserve">GIVING_VALIDATED_EDGE、BUCKET_PRIOR_ONLY、INTENT_INTERPRETATION_ONLY、EXPERT_MARKET</x:t>
        </x:is>
      </x:c>
      <x:c r="AP828" s="604" t="inlineStr">
        <x:is>
          <x:t xml:space="preserve">524e354b8efd40e42794</x:t>
        </x:is>
      </x:c>
      <x:c r="AQ828" s="604" t="n">
        <x:v>-0.75</x:v>
      </x:c>
      <x:c r="AR828" s="604" t="n">
        <x:v>0.87</x:v>
      </x:c>
      <x:c r="AS828" s="604" t="n">
        <x:v>0.75</x:v>
      </x:c>
      <x:c r="AT828" s="604" t="n">
        <x:v>-0.75</x:v>
      </x:c>
      <x:c r="AU828" s="604" t="n">
        <x:v>0.87</x:v>
      </x:c>
      <x:c r="AV828" s="604" t="n">
        <x:v>0.83</x:v>
      </x:c>
      <x:c r="AW828" s="604" t="n">
        <x:v>46298.06050486111</x:v>
      </x:c>
      <x:c r="AX828" s="604" t="inlineStr">
        <x:is>
          <x:t xml:space="preserve">https://simondongxiao.github.io/odds/v4/</x:t>
        </x:is>
      </x:c>
      <x:c r="AY828" s="604" t="inlineStr">
        <x:is>
          <x:t xml:space="preserve">V4 Shadow Only；real_money=false；P(EV&gt;0)不是比赛胜率</x:t>
        </x:is>
      </x:c>
    </x:row>
    <x:row r="829" ht="22" customHeight="1">
      <x:c r="A829" s="604" t="inlineStr">
        <x:is>
          <x:t xml:space="preserve">2026-10-03</x:t>
        </x:is>
      </x:c>
      <x:c r="B829" s="604" t="inlineStr">
        <x:is>
          <x:t xml:space="preserve">2026-10-04 05:05</x:t>
        </x:is>
      </x:c>
      <x:c r="C829" s="604" t="str">
        <x:v>南美系列</x:v>
      </x:c>
      <x:c r="D829" s="604" t="inlineStr">
        <x:is>
          <x:t xml:space="preserve">联赛</x:t>
        </x:is>
      </x:c>
      <x:c r="E829" s="604" t="inlineStr">
        <x:is>
          <x:t xml:space="preserve">哥伦甲秋</x:t>
        </x:is>
      </x:c>
      <x:c r="F829" s="604" t="inlineStr">
        <x:is>
          <x:t xml:space="preserve">托利马体育 vs 茨高</x:t>
        </x:is>
      </x:c>
      <x:c r="G829" s="604" t="n">
        <x:v>0.82</x:v>
      </x:c>
      <x:c r="H829" s="604" t="n">
        <x:v>1.25</x:v>
      </x:c>
      <x:c r="I829" s="604" t="n">
        <x:v>1.06</x:v>
      </x:c>
      <x:c r="J829" s="604" t="inlineStr">
        <x:is>
          <x:t xml:space="preserve">0.82/1.25/1.06</x:t>
        </x:is>
      </x:c>
      <x:c r="K829" s="604" t="inlineStr">
        <x:is>
          <x:t xml:space="preserve">V4-B｜EV +0.2438</x:t>
        </x:is>
      </x:c>
      <x:c r="L829" s="604" t="inlineStr">
        <x:is>
          <x:t xml:space="preserve">托利马体育</x:t>
        </x:is>
      </x:c>
      <x:c r="M829" s="604" t="n">
        <x:v>0.7004990628553674</x:v>
      </x:c>
      <x:c r="N829" s="604" t="inlineStr">
        <x:is>
          <x:t xml:space="preserve">V4纸面入选-B</x:t>
        </x:is>
      </x:c>
      <x:c r="O829" s="604" t="inlineStr">
        <x:is>
          <x:t xml:space="preserve">0-0</x:t>
        </x:is>
      </x:c>
      <x:c r="P829" s="604" t="inlineStr">
        <x:is>
          <x:t xml:space="preserve">已结算</x:t>
        </x:is>
      </x:c>
      <x:c r="Q829" s="646" t="inlineStr">
        <x:is>
          <x:t xml:space="preserve">黑</x:t>
        </x:is>
      </x:c>
      <x:c r="R829" s="604" t="n">
        <x:v>0.82</x:v>
      </x:c>
      <x:c r="S829" s="604" t="n">
        <x:f>IF(OR(Q829="",Q829="待结算"),"",IF(Q829="红",R829,IF(Q829="半红",R829*0.5,IF(Q829="走",0,IF(Q829="半黑",-0.5,-1)))))</x:f>
        <x:v>-1</x:v>
      </x:c>
      <x:c r="T829" s="604" t="inlineStr">
        <x:is>
          <x:t xml:space="preserve">https://m.titan007.com/analy/Analysis/3011881.htm</x:t>
        </x:is>
      </x:c>
      <x:c r="U829" s="645" t="str">
        <x:f>IF(Q829="","",IF(Q829="待结算","待结算",IF(Q829="红","黑",IF(Q829="半红","半黑",IF(Q829="走","走",IF(Q829="半黑","半红","红"))))))</x:f>
        <x:v>红</x:v>
      </x:c>
      <x:c r="V829" s="604" t="n">
        <x:f>IF(OR(Q829="",Q829="待结算"),"",IF(L829=LEFT(F829,FIND(" vs ",F829)-1),I829,G829))</x:f>
        <x:v>1.06</x:v>
      </x:c>
      <x:c r="W829" s="604" t="n">
        <x:f>IF(OR(U829="",U829="待结算"),"",IF(U829="红",V829,IF(U829="半红",V829*0.5,IF(U829="走",0,IF(U829="半黑",-0.5,-1)))))</x:f>
        <x:v>1.06</x:v>
      </x:c>
      <x:c r="X829" s="604" t="inlineStr">
        <x:is>
          <x:t xml:space="preserve">3011881</x:t>
        </x:is>
      </x:c>
      <x:c r="Y829" s="604" t="inlineStr">
        <x:is>
          <x:t xml:space="preserve">V4</x:t>
        </x:is>
      </x:c>
      <x:c r="Z829" s="604" t="inlineStr">
        <x:is>
          <x:t xml:space="preserve">prior-2026-10-03-v1</x:t>
        </x:is>
      </x:c>
      <x:c r="AA829" s="604" t="inlineStr">
        <x:is>
          <x:t xml:space="preserve">B</x:t>
        </x:is>
      </x:c>
      <x:c r="AB829" s="604" t="n">
        <x:v>0.6211911292362112</x:v>
      </x:c>
      <x:c r="AC829" s="604" t="n"/>
      <x:c r="AD829" s="604" t="n"/>
      <x:c r="AE829" s="604" t="n">
        <x:v>0.2264326615823925</x:v>
      </x:c>
      <x:c r="AF829" s="604" t="n">
        <x:v>0.1523762091813963</x:v>
      </x:c>
      <x:c r="AG829" s="604" t="n">
        <x:v>0.2437841860011007</x:v>
      </x:c>
      <x:c r="AH829" s="604" t="n"/>
      <x:c r="AI829" s="604" t="n"/>
      <x:c r="AJ829" s="604" t="n">
        <x:v>0.2437841860011007</x:v>
      </x:c>
      <x:c r="AK829" s="604" t="n"/>
      <x:c r="AL829" s="604" t="n"/>
      <x:c r="AM829" s="604" t="n"/>
      <x:c r="AN829" s="604" t="inlineStr">
        <x:is>
          <x:t xml:space="preserve">EVALUATED</x:t>
        </x:is>
      </x:c>
      <x:c r="AO829" s="604" t="inlineStr">
        <x:is>
          <x:t xml:space="preserve">GIVING_VALIDATED_EDGE、BUCKET_PRIOR_ONLY、INTENT_INTERPRETATION_ONLY、EXPERT_MARKET</x:t>
        </x:is>
      </x:c>
      <x:c r="AP829" s="604" t="inlineStr">
        <x:is>
          <x:t xml:space="preserve">58a8b16971ca1debbd2a</x:t>
        </x:is>
      </x:c>
      <x:c r="AQ829" s="604" t="n">
        <x:v>-1.25</x:v>
      </x:c>
      <x:c r="AR829" s="604" t="n">
        <x:v>0.82</x:v>
      </x:c>
      <x:c r="AS829" s="604" t="n">
        <x:v>1.25</x:v>
      </x:c>
      <x:c r="AT829" s="604" t="n">
        <x:v>-1.25</x:v>
      </x:c>
      <x:c r="AU829" s="604" t="n">
        <x:v>0.82</x:v>
      </x:c>
      <x:c r="AV829" s="604" t="n">
        <x:v>1.06</x:v>
      </x:c>
      <x:c r="AW829" s="604" t="n">
        <x:v>46298.06050486111</x:v>
      </x:c>
      <x:c r="AX829" s="604" t="inlineStr">
        <x:is>
          <x:t xml:space="preserve">https://simondongxiao.github.io/odds/v4/</x:t>
        </x:is>
      </x:c>
      <x:c r="AY829" s="604" t="inlineStr">
        <x:is>
          <x:t xml:space="preserve">V4 Shadow Only；real_money=false；P(EV&gt;0)不是比赛胜率</x:t>
        </x:is>
      </x:c>
    </x:row>
    <x:row r="830" ht="22" customHeight="1">
      <x:c r="A830" s="604" t="inlineStr">
        <x:is>
          <x:t xml:space="preserve">2026-10-03</x:t>
        </x:is>
      </x:c>
      <x:c r="B830" s="604" t="inlineStr">
        <x:is>
          <x:t xml:space="preserve">2026-10-04 05:30</x:t>
        </x:is>
      </x:c>
      <x:c r="C830" s="604" t="str">
        <x:v>南美系列</x:v>
      </x:c>
      <x:c r="D830" s="604" t="inlineStr">
        <x:is>
          <x:t xml:space="preserve">联赛</x:t>
        </x:is>
      </x:c>
      <x:c r="E830" s="604" t="inlineStr">
        <x:is>
          <x:t xml:space="preserve">巴西甲</x:t>
        </x:is>
      </x:c>
      <x:c r="F830" s="604" t="inlineStr">
        <x:is>
          <x:t xml:space="preserve">米内罗竞技 vs 布拉干蒂诺RB</x:t>
        </x:is>
      </x:c>
      <x:c r="G830" s="604" t="n">
        <x:v>1.06</x:v>
      </x:c>
      <x:c r="H830" s="604" t="n">
        <x:v>0.5</x:v>
      </x:c>
      <x:c r="I830" s="604" t="n">
        <x:v>0.82</x:v>
      </x:c>
      <x:c r="J830" s="604" t="inlineStr">
        <x:is>
          <x:t xml:space="preserve">1.06/0.5/0.82</x:t>
        </x:is>
      </x:c>
      <x:c r="K830" s="604" t="inlineStr">
        <x:is>
          <x:t xml:space="preserve">V4-C｜EV +0.0475</x:t>
        </x:is>
      </x:c>
      <x:c r="L830" s="604" t="inlineStr">
        <x:is>
          <x:t xml:space="preserve">米内罗竞技</x:t>
        </x:is>
      </x:c>
      <x:c r="M830" s="604" t="n">
        <x:v>0.5085100034447603</x:v>
      </x:c>
      <x:c r="N830" s="604" t="inlineStr">
        <x:is>
          <x:t xml:space="preserve">V4纸面入选-C</x:t>
        </x:is>
      </x:c>
      <x:c r="O830" s="604" t="inlineStr">
        <x:is>
          <x:t xml:space="preserve">1-0</x:t>
        </x:is>
      </x:c>
      <x:c r="P830" s="604" t="inlineStr">
        <x:is>
          <x:t xml:space="preserve">已结算</x:t>
        </x:is>
      </x:c>
      <x:c r="Q830" s="645" t="inlineStr">
        <x:is>
          <x:t xml:space="preserve">红</x:t>
        </x:is>
      </x:c>
      <x:c r="R830" s="604" t="n">
        <x:v>1.06</x:v>
      </x:c>
      <x:c r="S830" s="604" t="n">
        <x:f>IF(OR(Q830="",Q830="待结算"),"",IF(Q830="红",R830,IF(Q830="半红",R830*0.5,IF(Q830="走",0,IF(Q830="半黑",-0.5,-1)))))</x:f>
        <x:v>1.06</x:v>
      </x:c>
      <x:c r="T830" s="604" t="inlineStr">
        <x:is>
          <x:t xml:space="preserve">https://m.titan007.com/analy/Analysis/2910827.htm</x:t>
        </x:is>
      </x:c>
      <x:c r="U830" s="646" t="str">
        <x:f>IF(Q830="","",IF(Q830="待结算","待结算",IF(Q830="红","黑",IF(Q830="半红","半黑",IF(Q830="走","走",IF(Q830="半黑","半红","红"))))))</x:f>
        <x:v>黑</x:v>
      </x:c>
      <x:c r="V830" s="604" t="n">
        <x:f>IF(OR(Q830="",Q830="待结算"),"",IF(L830=LEFT(F830,FIND(" vs ",F830)-1),I830,G830))</x:f>
        <x:v>0.82</x:v>
      </x:c>
      <x:c r="W830" s="604" t="n">
        <x:f>IF(OR(U830="",U830="待结算"),"",IF(U830="红",V830,IF(U830="半红",V830*0.5,IF(U830="走",0,IF(U830="半黑",-0.5,-1)))))</x:f>
        <x:v>-1</x:v>
      </x:c>
      <x:c r="X830" s="604" t="inlineStr">
        <x:is>
          <x:t xml:space="preserve">2910827</x:t>
        </x:is>
      </x:c>
      <x:c r="Y830" s="604" t="inlineStr">
        <x:is>
          <x:t xml:space="preserve">V4</x:t>
        </x:is>
      </x:c>
      <x:c r="Z830" s="604" t="inlineStr">
        <x:is>
          <x:t xml:space="preserve">prior-2026-10-03-v1</x:t>
        </x:is>
      </x:c>
      <x:c r="AA830" s="604" t="inlineStr">
        <x:is>
          <x:t xml:space="preserve">C</x:t>
        </x:is>
      </x:c>
      <x:c r="AB830" s="604" t="n">
        <x:v>0.5085100034447603</x:v>
      </x:c>
      <x:c r="AC830" s="604" t="n"/>
      <x:c r="AD830" s="604" t="n"/>
      <x:c r="AE830" s="604" t="n"/>
      <x:c r="AF830" s="604" t="n">
        <x:v>0.4914899965552397</x:v>
      </x:c>
      <x:c r="AG830" s="604" t="n">
        <x:v>0.04753060709620616</x:v>
      </x:c>
      <x:c r="AH830" s="604" t="n"/>
      <x:c r="AI830" s="604" t="n"/>
      <x:c r="AJ830" s="604" t="n">
        <x:v>0.04753060709620616</x:v>
      </x:c>
      <x:c r="AK830" s="604" t="n"/>
      <x:c r="AL830" s="604" t="n"/>
      <x:c r="AM830" s="604" t="n"/>
      <x:c r="AN830" s="604" t="inlineStr">
        <x:is>
          <x:t xml:space="preserve">EVALUATED</x:t>
        </x:is>
      </x:c>
      <x:c r="AO830" s="604" t="inlineStr">
        <x:is>
          <x:t xml:space="preserve">GIVING_VALIDATED_EDGE、BUCKET_PRIOR_ONLY、INTENT_INTERPRETATION_ONLY、EXPERT_MARKET</x:t>
        </x:is>
      </x:c>
      <x:c r="AP830" s="604" t="inlineStr">
        <x:is>
          <x:t xml:space="preserve">5b128de8691dffcc28d0</x:t>
        </x:is>
      </x:c>
      <x:c r="AQ830" s="604" t="n">
        <x:v>-0.5</x:v>
      </x:c>
      <x:c r="AR830" s="604" t="n">
        <x:v>1.06</x:v>
      </x:c>
      <x:c r="AS830" s="604" t="n">
        <x:v>0.5</x:v>
      </x:c>
      <x:c r="AT830" s="604" t="n">
        <x:v>-0.5</x:v>
      </x:c>
      <x:c r="AU830" s="604" t="n">
        <x:v>1.06</x:v>
      </x:c>
      <x:c r="AV830" s="604" t="n">
        <x:v>0.82</x:v>
      </x:c>
      <x:c r="AW830" s="604" t="n">
        <x:v>46298.06050486111</x:v>
      </x:c>
      <x:c r="AX830" s="604" t="inlineStr">
        <x:is>
          <x:t xml:space="preserve">https://simondongxiao.github.io/odds/v4/</x:t>
        </x:is>
      </x:c>
      <x:c r="AY830" s="604" t="inlineStr">
        <x:is>
          <x:t xml:space="preserve">V4 Shadow Only；real_money=false；P(EV&gt;0)不是比赛胜率</x:t>
        </x:is>
      </x:c>
    </x:row>
    <x:row r="831" ht="22" customHeight="1">
      <x:c r="A831" s="604" t="inlineStr">
        <x:is>
          <x:t xml:space="preserve">2026-10-03</x:t>
        </x:is>
      </x:c>
      <x:c r="B831" s="604" t="inlineStr">
        <x:is>
          <x:t xml:space="preserve">2026-10-04 05:30</x:t>
        </x:is>
      </x:c>
      <x:c r="C831" s="604" t="str">
        <x:v>南美系列</x:v>
      </x:c>
      <x:c r="D831" s="604" t="inlineStr">
        <x:is>
          <x:t xml:space="preserve">联赛</x:t>
        </x:is>
      </x:c>
      <x:c r="E831" s="604" t="inlineStr">
        <x:is>
          <x:t xml:space="preserve">巴西乙</x:t>
        </x:is>
      </x:c>
      <x:c r="F831" s="604" t="inlineStr">
        <x:is>
          <x:t xml:space="preserve">保地花高SP vs 维拉诺瓦</x:t>
        </x:is>
      </x:c>
      <x:c r="G831" s="604" t="n">
        <x:v>1.11</x:v>
      </x:c>
      <x:c r="H831" s="604" t="n">
        <x:v>0</x:v>
      </x:c>
      <x:c r="I831" s="604" t="n">
        <x:v>0.78</x:v>
      </x:c>
      <x:c r="J831" s="604" t="inlineStr">
        <x:is>
          <x:t xml:space="preserve">1.11/0/0.78</x:t>
        </x:is>
      </x:c>
      <x:c r="K831" s="604" t="inlineStr">
        <x:is>
          <x:t xml:space="preserve">V4-C｜EV +0.0368</x:t>
        </x:is>
      </x:c>
      <x:c r="L831" s="604" t="str"/>
      <x:c r="M831" s="604" t="n">
        <x:v>0.4939993104609421</x:v>
      </x:c>
      <x:c r="N831" s="604" t="inlineStr">
        <x:is>
          <x:t xml:space="preserve">V4纸面入选-C</x:t>
        </x:is>
      </x:c>
      <x:c r="O831" s="604" t="inlineStr">
        <x:is>
          <x:t xml:space="preserve">0-1</x:t>
        </x:is>
      </x:c>
      <x:c r="P831" s="604" t="inlineStr">
        <x:is>
          <x:t xml:space="preserve">已结算</x:t>
        </x:is>
      </x:c>
      <x:c r="Q831" s="646" t="inlineStr">
        <x:is>
          <x:t xml:space="preserve">黑</x:t>
        </x:is>
      </x:c>
      <x:c r="R831" s="604" t="n">
        <x:v>0.78</x:v>
      </x:c>
      <x:c r="S831" s="604" t="n">
        <x:f>IF(OR(Q831="",Q831="待结算"),"",IF(Q831="红",R831,IF(Q831="半红",R831*0.5,IF(Q831="走",0,IF(Q831="半黑",-0.5,-1)))))</x:f>
        <x:v>-1</x:v>
      </x:c>
      <x:c r="T831" s="604" t="inlineStr">
        <x:is>
          <x:t xml:space="preserve">https://m.titan007.com/analy/Analysis/2940208.htm</x:t>
        </x:is>
      </x:c>
      <x:c r="U831" s="645" t="str">
        <x:f>IF(Q831="","",IF(Q831="待结算","待结算",IF(Q831="红","黑",IF(Q831="半红","半黑",IF(Q831="走","走",IF(Q831="半黑","半红","红"))))))</x:f>
        <x:v>红</x:v>
      </x:c>
      <x:c r="V831" s="604" t="n">
        <x:f>IF(OR(Q831="",Q831="待结算"),"",IF(L831=LEFT(F831,FIND(" vs ",F831)-1),I831,G831))</x:f>
        <x:v>1.11</x:v>
      </x:c>
      <x:c r="W831" s="604" t="n">
        <x:f>IF(OR(U831="",U831="待结算"),"",IF(U831="红",V831,IF(U831="半红",V831*0.5,IF(U831="走",0,IF(U831="半黑",-0.5,-1)))))</x:f>
        <x:v>1.11</x:v>
      </x:c>
      <x:c r="X831" s="604" t="inlineStr">
        <x:is>
          <x:t xml:space="preserve">2940208</x:t>
        </x:is>
      </x:c>
      <x:c r="Y831" s="604" t="inlineStr">
        <x:is>
          <x:t xml:space="preserve">V4</x:t>
        </x:is>
      </x:c>
      <x:c r="Z831" s="604" t="inlineStr">
        <x:is>
          <x:t xml:space="preserve">prior-2026-10-03-v1</x:t>
        </x:is>
      </x:c>
      <x:c r="AA831" s="604" t="inlineStr">
        <x:is>
          <x:t xml:space="preserve">C</x:t>
        </x:is>
      </x:c>
      <x:c r="AB831" s="604" t="n">
        <x:v>0.4288391156125891</x:v>
      </x:c>
      <x:c r="AC831" s="604" t="n"/>
      <x:c r="AD831" s="604" t="n"/>
      <x:c r="AE831" s="604" t="n">
        <x:v>0.2638068251048901</x:v>
      </x:c>
      <x:c r="AF831" s="604" t="n">
        <x:v>0.3073540592825209</x:v>
      </x:c>
      <x:c r="AG831" s="604" t="n">
        <x:v>0.03675394649500802</x:v>
      </x:c>
      <x:c r="AH831" s="604" t="n"/>
      <x:c r="AI831" s="604" t="n"/>
      <x:c r="AJ831" s="604" t="n">
        <x:v>0.03675394649500802</x:v>
      </x:c>
      <x:c r="AK831" s="604" t="n"/>
      <x:c r="AL831" s="604" t="n"/>
      <x:c r="AM831" s="604" t="n"/>
      <x:c r="AN831" s="604" t="inlineStr">
        <x:is>
          <x:t xml:space="preserve">EVALUATED</x:t>
        </x:is>
      </x:c>
      <x:c r="AO831" s="604" t="inlineStr">
        <x:is>
          <x:t xml:space="preserve">EDGE_BELOW_UNCERTAINTY_THRESHOLD、BUCKET_PRIOR_ONLY、INTENT_INTERPRETATION_ONLY、EXPERT_MARKET</x:t>
        </x:is>
      </x:c>
      <x:c r="AP831" s="604" t="inlineStr">
        <x:is>
          <x:t xml:space="preserve">b022f7b3205edb2df725</x:t>
        </x:is>
      </x:c>
      <x:c r="AQ831" s="604" t="n">
        <x:v>0</x:v>
      </x:c>
      <x:c r="AR831" s="604" t="n"/>
      <x:c r="AS831" s="604" t="n">
        <x:v>0</x:v>
      </x:c>
      <x:c r="AT831" s="604" t="n">
        <x:v>0</x:v>
      </x:c>
      <x:c r="AU831" s="604" t="n">
        <x:v>1.11</x:v>
      </x:c>
      <x:c r="AV831" s="604" t="n">
        <x:v>0.78</x:v>
      </x:c>
      <x:c r="AW831" s="604" t="n">
        <x:v>46298.06050486111</x:v>
      </x:c>
      <x:c r="AX831" s="604" t="inlineStr">
        <x:is>
          <x:t xml:space="preserve">https://simondongxiao.github.io/odds/v4/</x:t>
        </x:is>
      </x:c>
      <x:c r="AY831" s="604" t="inlineStr">
        <x:is>
          <x:t xml:space="preserve">V4 Shadow Only；real_money=false；P(EV&gt;0)不是比赛胜率</x:t>
        </x:is>
      </x:c>
    </x:row>
    <x:row r="832" ht="22" customHeight="1">
      <x:c r="A832" s="604" t="inlineStr">
        <x:is>
          <x:t xml:space="preserve">2026-10-03</x:t>
        </x:is>
      </x:c>
      <x:c r="B832" s="604" t="inlineStr">
        <x:is>
          <x:t xml:space="preserve">2026-10-04 06:00</x:t>
        </x:is>
      </x:c>
      <x:c r="C832" s="604" t="str">
        <x:v>南美系列</x:v>
      </x:c>
      <x:c r="D832" s="604" t="inlineStr">
        <x:is>
          <x:t xml:space="preserve">联赛</x:t>
        </x:is>
      </x:c>
      <x:c r="E832" s="604" t="inlineStr">
        <x:is>
          <x:t xml:space="preserve">巴拉甲秋</x:t>
        </x:is>
      </x:c>
      <x:c r="F832" s="604" t="inlineStr">
        <x:is>
          <x:t xml:space="preserve">雷科莱塔 vs 亚松森自由</x:t>
        </x:is>
      </x:c>
      <x:c r="G832" s="604" t="n">
        <x:v>0.84</x:v>
      </x:c>
      <x:c r="H832" s="604" t="n">
        <x:v>0</x:v>
      </x:c>
      <x:c r="I832" s="604" t="n">
        <x:v>0.92</x:v>
      </x:c>
      <x:c r="J832" s="604" t="inlineStr">
        <x:is>
          <x:t xml:space="preserve">0.84/0/0.92</x:t>
        </x:is>
      </x:c>
      <x:c r="K832" s="604" t="inlineStr">
        <x:is>
          <x:t xml:space="preserve">V4-C｜EV +0.0115</x:t>
        </x:is>
      </x:c>
      <x:c r="L832" s="604" t="str"/>
      <x:c r="M832" s="604" t="n">
        <x:v>0.5276959437359422</x:v>
      </x:c>
      <x:c r="N832" s="604" t="inlineStr">
        <x:is>
          <x:t xml:space="preserve">V4纸面入选-C</x:t>
        </x:is>
      </x:c>
      <x:c r="O832" s="604" t="inlineStr">
        <x:is>
          <x:t xml:space="preserve">1-2</x:t>
        </x:is>
      </x:c>
      <x:c r="P832" s="604" t="inlineStr">
        <x:is>
          <x:t xml:space="preserve">已结算</x:t>
        </x:is>
      </x:c>
      <x:c r="Q832" s="646" t="inlineStr">
        <x:is>
          <x:t xml:space="preserve">黑</x:t>
        </x:is>
      </x:c>
      <x:c r="R832" s="604" t="n">
        <x:v>0.92</x:v>
      </x:c>
      <x:c r="S832" s="604" t="n">
        <x:f>IF(OR(Q832="",Q832="待结算"),"",IF(Q832="红",R832,IF(Q832="半红",R832*0.5,IF(Q832="走",0,IF(Q832="半黑",-0.5,-1)))))</x:f>
        <x:v>-1</x:v>
      </x:c>
      <x:c r="T832" s="604" t="inlineStr">
        <x:is>
          <x:t xml:space="preserve">https://m.titan007.com/analy/Analysis/3074197.htm</x:t>
        </x:is>
      </x:c>
      <x:c r="U832" s="645" t="str">
        <x:f>IF(Q832="","",IF(Q832="待结算","待结算",IF(Q832="红","黑",IF(Q832="半红","半黑",IF(Q832="走","走",IF(Q832="半黑","半红","红"))))))</x:f>
        <x:v>红</x:v>
      </x:c>
      <x:c r="V832" s="604" t="n">
        <x:f>IF(OR(Q832="",Q832="待结算"),"",IF(L832=LEFT(F832,FIND(" vs ",F832)-1),I832,G832))</x:f>
        <x:v>0.84</x:v>
      </x:c>
      <x:c r="W832" s="604" t="n">
        <x:f>IF(OR(U832="",U832="待结算"),"",IF(U832="红",V832,IF(U832="半红",V832*0.5,IF(U832="走",0,IF(U832="半黑",-0.5,-1)))))</x:f>
        <x:v>0.84</x:v>
      </x:c>
      <x:c r="X832" s="604" t="inlineStr">
        <x:is>
          <x:t xml:space="preserve">3074197</x:t>
        </x:is>
      </x:c>
      <x:c r="Y832" s="604" t="inlineStr">
        <x:is>
          <x:t xml:space="preserve">V4</x:t>
        </x:is>
      </x:c>
      <x:c r="Z832" s="604" t="inlineStr">
        <x:is>
          <x:t xml:space="preserve">prior-2026-10-03-v1</x:t>
        </x:is>
      </x:c>
      <x:c r="AA832" s="604" t="inlineStr">
        <x:is>
          <x:t xml:space="preserve">C</x:t>
        </x:is>
      </x:c>
      <x:c r="AB832" s="604" t="n">
        <x:v>0.3346386466737269</x:v>
      </x:c>
      <x:c r="AC832" s="604" t="n">
        <x:v>0.2527430904740094</x:v>
      </x:c>
      <x:c r="AD832" s="604" t="n"/>
      <x:c r="AE832" s="604" t="n"/>
      <x:c r="AF832" s="604" t="n">
        <x:v>0.4126182628522637</x:v>
      </x:c>
      <x:c r="AG832" s="604" t="n">
        <x:v>0.01151111370560953</x:v>
      </x:c>
      <x:c r="AH832" s="604" t="n"/>
      <x:c r="AI832" s="604" t="n"/>
      <x:c r="AJ832" s="604" t="n">
        <x:v>0.01151111370560953</x:v>
      </x:c>
      <x:c r="AK832" s="604" t="n"/>
      <x:c r="AL832" s="604" t="n"/>
      <x:c r="AM832" s="604" t="n"/>
      <x:c r="AN832" s="604" t="inlineStr">
        <x:is>
          <x:t xml:space="preserve">EVALUATED</x:t>
        </x:is>
      </x:c>
      <x:c r="AO832" s="604" t="inlineStr">
        <x:is>
          <x:t xml:space="preserve">EDGE_BELOW_UNCERTAINTY_THRESHOLD、BUCKET_PRIOR_ONLY、INTENT_INTERPRETATION_ONLY、EXPERT_MARKET</x:t>
        </x:is>
      </x:c>
      <x:c r="AP832" s="604" t="inlineStr">
        <x:is>
          <x:t xml:space="preserve">f99f5adbad8812c09789</x:t>
        </x:is>
      </x:c>
      <x:c r="AQ832" s="604" t="n">
        <x:v>0</x:v>
      </x:c>
      <x:c r="AR832" s="604" t="n"/>
      <x:c r="AS832" s="604" t="n">
        <x:v>0</x:v>
      </x:c>
      <x:c r="AT832" s="604" t="n">
        <x:v>0</x:v>
      </x:c>
      <x:c r="AU832" s="604" t="n">
        <x:v>0.84</x:v>
      </x:c>
      <x:c r="AV832" s="604" t="n">
        <x:v>0.92</x:v>
      </x:c>
      <x:c r="AW832" s="604" t="n">
        <x:v>46298.06050486111</x:v>
      </x:c>
      <x:c r="AX832" s="604" t="inlineStr">
        <x:is>
          <x:t xml:space="preserve">https://simondongxiao.github.io/odds/v4/</x:t>
        </x:is>
      </x:c>
      <x:c r="AY832" s="604" t="inlineStr">
        <x:is>
          <x:t xml:space="preserve">V4 Shadow Only；real_money=false；P(EV&gt;0)不是比赛胜率</x:t>
        </x:is>
      </x:c>
    </x:row>
    <x:row r="833" ht="22" customHeight="1">
      <x:c r="A833" s="604" t="inlineStr">
        <x:is>
          <x:t xml:space="preserve">2026-10-03</x:t>
        </x:is>
      </x:c>
      <x:c r="B833" s="604" t="inlineStr">
        <x:is>
          <x:t xml:space="preserve">2026-10-04 06:00</x:t>
        </x:is>
      </x:c>
      <x:c r="C833" s="604" t="str">
        <x:v>北美系列</x:v>
      </x:c>
      <x:c r="D833" s="604" t="inlineStr">
        <x:is>
          <x:t xml:space="preserve">联赛</x:t>
        </x:is>
      </x:c>
      <x:c r="E833" s="604" t="inlineStr">
        <x:is>
          <x:t xml:space="preserve">美冠联</x:t>
        </x:is>
      </x:c>
      <x:c r="F833" s="604" t="inlineStr">
        <x:is>
          <x:t xml:space="preserve">劳顿联 vs 印地十一</x:t>
        </x:is>
      </x:c>
      <x:c r="G833" s="604" t="n">
        <x:v>0.97</x:v>
      </x:c>
      <x:c r="H833" s="604" t="n">
        <x:v>0</x:v>
      </x:c>
      <x:c r="I833" s="604" t="n">
        <x:v>0.85</x:v>
      </x:c>
      <x:c r="J833" s="604" t="inlineStr">
        <x:is>
          <x:t xml:space="preserve">0.97/0/0.85</x:t>
        </x:is>
      </x:c>
      <x:c r="K833" s="604" t="inlineStr">
        <x:is>
          <x:t xml:space="preserve">V4-C｜EV +0.0101</x:t>
        </x:is>
      </x:c>
      <x:c r="L833" s="604" t="str"/>
      <x:c r="M833" s="604" t="n">
        <x:v>0.5135204068927206</x:v>
      </x:c>
      <x:c r="N833" s="604" t="inlineStr">
        <x:is>
          <x:t xml:space="preserve">V4纸面入选-C</x:t>
        </x:is>
      </x:c>
      <x:c r="O833" s="604" t="inlineStr">
        <x:is>
          <x:t xml:space="preserve">1-1</x:t>
        </x:is>
      </x:c>
      <x:c r="P833" s="604" t="inlineStr">
        <x:is>
          <x:t xml:space="preserve">已结算</x:t>
        </x:is>
      </x:c>
      <x:c r="Q833" s="647" t="inlineStr">
        <x:is>
          <x:t xml:space="preserve">走</x:t>
        </x:is>
      </x:c>
      <x:c r="R833" s="604" t="n">
        <x:v>0.85</x:v>
      </x:c>
      <x:c r="S833" s="604" t="n">
        <x:f>IF(OR(Q833="",Q833="待结算"),"",IF(Q833="红",R833,IF(Q833="半红",R833*0.5,IF(Q833="走",0,IF(Q833="半黑",-0.5,-1)))))</x:f>
        <x:v>0</x:v>
      </x:c>
      <x:c r="T833" s="604" t="inlineStr">
        <x:is>
          <x:t xml:space="preserve">https://m.titan007.com/analy/Analysis/2942655.htm</x:t>
        </x:is>
      </x:c>
      <x:c r="U833" s="647" t="str">
        <x:f>IF(Q833="","",IF(Q833="待结算","待结算",IF(Q833="红","黑",IF(Q833="半红","半黑",IF(Q833="走","走",IF(Q833="半黑","半红","红"))))))</x:f>
        <x:v>走</x:v>
      </x:c>
      <x:c r="V833" s="604" t="n">
        <x:f>IF(OR(Q833="",Q833="待结算"),"",IF(L833=LEFT(F833,FIND(" vs ",F833)-1),I833,G833))</x:f>
        <x:v>0.97</x:v>
      </x:c>
      <x:c r="W833" s="604" t="n">
        <x:f>IF(OR(U833="",U833="待结算"),"",IF(U833="红",V833,IF(U833="半红",V833*0.5,IF(U833="走",0,IF(U833="半黑",-0.5,-1)))))</x:f>
        <x:v>0</x:v>
      </x:c>
      <x:c r="X833" s="604" t="inlineStr">
        <x:is>
          <x:t xml:space="preserve">2942655</x:t>
        </x:is>
      </x:c>
      <x:c r="Y833" s="604" t="inlineStr">
        <x:is>
          <x:t xml:space="preserve">V4</x:t>
        </x:is>
      </x:c>
      <x:c r="Z833" s="604" t="inlineStr">
        <x:is>
          <x:t xml:space="preserve">prior-2026-10-03-v1</x:t>
        </x:is>
      </x:c>
      <x:c r="AA833" s="604" t="inlineStr">
        <x:is>
          <x:t xml:space="preserve">C</x:t>
        </x:is>
      </x:c>
      <x:c r="AB833" s="604" t="n">
        <x:v>0.4470869458462767</x:v>
      </x:c>
      <x:c r="AC833" s="604" t="n"/>
      <x:c r="AD833" s="604" t="n"/>
      <x:c r="AE833" s="604" t="n">
        <x:v>0.258737375008828</x:v>
      </x:c>
      <x:c r="AF833" s="604" t="n">
        <x:v>0.2941756791448952</x:v>
      </x:c>
      <x:c r="AG833" s="604" t="n">
        <x:v>0.01012997082157913</x:v>
      </x:c>
      <x:c r="AH833" s="604" t="n"/>
      <x:c r="AI833" s="604" t="n"/>
      <x:c r="AJ833" s="604" t="n">
        <x:v>0.01012997082157913</x:v>
      </x:c>
      <x:c r="AK833" s="604" t="n"/>
      <x:c r="AL833" s="604" t="n"/>
      <x:c r="AM833" s="604" t="n"/>
      <x:c r="AN833" s="604" t="inlineStr">
        <x:is>
          <x:t xml:space="preserve">EVALUATED</x:t>
        </x:is>
      </x:c>
      <x:c r="AO833" s="604" t="inlineStr">
        <x:is>
          <x:t xml:space="preserve">EDGE_BELOW_UNCERTAINTY_THRESHOLD、BUCKET_PRIOR_ONLY、INTENT_INTERPRETATION_ONLY、EXPERT_MARKET</x:t>
        </x:is>
      </x:c>
      <x:c r="AP833" s="604" t="inlineStr">
        <x:is>
          <x:t xml:space="preserve">f13b531d7cab534a7826</x:t>
        </x:is>
      </x:c>
      <x:c r="AQ833" s="604" t="n">
        <x:v>0</x:v>
      </x:c>
      <x:c r="AR833" s="604" t="n"/>
      <x:c r="AS833" s="604" t="n">
        <x:v>0</x:v>
      </x:c>
      <x:c r="AT833" s="604" t="n">
        <x:v>0</x:v>
      </x:c>
      <x:c r="AU833" s="604" t="n">
        <x:v>0.97</x:v>
      </x:c>
      <x:c r="AV833" s="604" t="n">
        <x:v>0.85</x:v>
      </x:c>
      <x:c r="AW833" s="604" t="n">
        <x:v>46298.06050486111</x:v>
      </x:c>
      <x:c r="AX833" s="604" t="inlineStr">
        <x:is>
          <x:t xml:space="preserve">https://simondongxiao.github.io/odds/v4/</x:t>
        </x:is>
      </x:c>
      <x:c r="AY833" s="604" t="inlineStr">
        <x:is>
          <x:t xml:space="preserve">V4 Shadow Only；real_money=false；P(EV&gt;0)不是比赛胜率</x:t>
        </x:is>
      </x:c>
    </x:row>
    <x:row r="834" ht="22" customHeight="1">
      <x:c r="A834" s="604" t="inlineStr">
        <x:is>
          <x:t xml:space="preserve">2026-10-03</x:t>
        </x:is>
      </x:c>
      <x:c r="B834" s="604" t="inlineStr">
        <x:is>
          <x:t xml:space="preserve">2026-10-04 06:30</x:t>
        </x:is>
      </x:c>
      <x:c r="C834" s="604" t="str">
        <x:v>南美系列</x:v>
      </x:c>
      <x:c r="D834" s="604" t="inlineStr">
        <x:is>
          <x:t xml:space="preserve">联赛</x:t>
        </x:is>
      </x:c>
      <x:c r="E834" s="604" t="inlineStr">
        <x:is>
          <x:t xml:space="preserve">巴丙</x:t>
        </x:is>
      </x:c>
      <x:c r="F834" s="604" t="inlineStr">
        <x:is>
          <x:t xml:space="preserve">国际里梅拉 vs 普拉斯哥野</x:t>
        </x:is>
      </x:c>
      <x:c r="G834" s="604" t="n">
        <x:v>0.97</x:v>
      </x:c>
      <x:c r="H834" s="604" t="n">
        <x:v>0</x:v>
      </x:c>
      <x:c r="I834" s="604" t="n">
        <x:v>0.79</x:v>
      </x:c>
      <x:c r="J834" s="604" t="inlineStr">
        <x:is>
          <x:t xml:space="preserve">0.97/0/0.79</x:t>
        </x:is>
      </x:c>
      <x:c r="K834" s="604" t="inlineStr">
        <x:is>
          <x:t xml:space="preserve">V4-C｜EV +0.0324</x:t>
        </x:is>
      </x:c>
      <x:c r="L834" s="604" t="str"/>
      <x:c r="M834" s="604" t="n">
        <x:v>0.5264636700575901</x:v>
      </x:c>
      <x:c r="N834" s="604" t="inlineStr">
        <x:is>
          <x:t xml:space="preserve">V4纸面入选-C</x:t>
        </x:is>
      </x:c>
      <x:c r="O834" s="604" t="inlineStr">
        <x:is>
          <x:t xml:space="preserve">2-2</x:t>
        </x:is>
      </x:c>
      <x:c r="P834" s="604" t="inlineStr">
        <x:is>
          <x:t xml:space="preserve">已结算</x:t>
        </x:is>
      </x:c>
      <x:c r="Q834" s="647" t="inlineStr">
        <x:is>
          <x:t xml:space="preserve">走</x:t>
        </x:is>
      </x:c>
      <x:c r="R834" s="604" t="n">
        <x:v>0.79</x:v>
      </x:c>
      <x:c r="S834" s="604" t="n">
        <x:f>IF(OR(Q834="",Q834="待结算"),"",IF(Q834="红",R834,IF(Q834="半红",R834*0.5,IF(Q834="走",0,IF(Q834="半黑",-0.5,-1)))))</x:f>
        <x:v>0</x:v>
      </x:c>
      <x:c r="T834" s="604" t="inlineStr">
        <x:is>
          <x:t xml:space="preserve">https://m.titan007.com/analy/Analysis/3084077.htm</x:t>
        </x:is>
      </x:c>
      <x:c r="U834" s="647" t="str">
        <x:f>IF(Q834="","",IF(Q834="待结算","待结算",IF(Q834="红","黑",IF(Q834="半红","半黑",IF(Q834="走","走",IF(Q834="半黑","半红","红"))))))</x:f>
        <x:v>走</x:v>
      </x:c>
      <x:c r="V834" s="604" t="n">
        <x:f>IF(OR(Q834="",Q834="待结算"),"",IF(L834=LEFT(F834,FIND(" vs ",F834)-1),I834,G834))</x:f>
        <x:v>0.97</x:v>
      </x:c>
      <x:c r="W834" s="604" t="n">
        <x:f>IF(OR(U834="",U834="待结算"),"",IF(U834="红",V834,IF(U834="半红",V834*0.5,IF(U834="走",0,IF(U834="半黑",-0.5,-1)))))</x:f>
        <x:v>0</x:v>
      </x:c>
      <x:c r="X834" s="604" t="inlineStr">
        <x:is>
          <x:t xml:space="preserve">3084077</x:t>
        </x:is>
      </x:c>
      <x:c r="Y834" s="604" t="inlineStr">
        <x:is>
          <x:t xml:space="preserve">V4</x:t>
        </x:is>
      </x:c>
      <x:c r="Z834" s="604" t="inlineStr">
        <x:is>
          <x:t xml:space="preserve">prior-2026-10-03-v1</x:t>
        </x:is>
      </x:c>
      <x:c r="AA834" s="604" t="inlineStr">
        <x:is>
          <x:t xml:space="preserve">C</x:t>
        </x:is>
      </x:c>
      <x:c r="AB834" s="604" t="n">
        <x:v>0.3324813741624109</x:v>
      </x:c>
      <x:c r="AC834" s="604" t="n">
        <x:v>0.254159073288473</x:v>
      </x:c>
      <x:c r="AD834" s="604" t="n"/>
      <x:c r="AE834" s="604" t="n"/>
      <x:c r="AF834" s="604" t="n">
        <x:v>0.4133595525491162</x:v>
      </x:c>
      <x:c r="AG834" s="604" t="n">
        <x:v>0.03241453093333174</x:v>
      </x:c>
      <x:c r="AH834" s="604" t="n"/>
      <x:c r="AI834" s="604" t="n"/>
      <x:c r="AJ834" s="604" t="n">
        <x:v>0.03241453093333174</x:v>
      </x:c>
      <x:c r="AK834" s="604" t="n"/>
      <x:c r="AL834" s="604" t="n"/>
      <x:c r="AM834" s="604" t="n"/>
      <x:c r="AN834" s="604" t="inlineStr">
        <x:is>
          <x:t xml:space="preserve">EVALUATED</x:t>
        </x:is>
      </x:c>
      <x:c r="AO834" s="604" t="inlineStr">
        <x:is>
          <x:t xml:space="preserve">EDGE_BELOW_UNCERTAINTY_THRESHOLD、BUCKET_PRIOR_ONLY、INTENT_INTERPRETATION_ONLY、EXPERT_MARKET</x:t>
        </x:is>
      </x:c>
      <x:c r="AP834" s="604" t="inlineStr">
        <x:is>
          <x:t xml:space="preserve">f47f619b4a8b87af9204</x:t>
        </x:is>
      </x:c>
      <x:c r="AQ834" s="604" t="n">
        <x:v>0</x:v>
      </x:c>
      <x:c r="AR834" s="604" t="n"/>
      <x:c r="AS834" s="604" t="n">
        <x:v>0</x:v>
      </x:c>
      <x:c r="AT834" s="604" t="n">
        <x:v>0</x:v>
      </x:c>
      <x:c r="AU834" s="604" t="n">
        <x:v>0.97</x:v>
      </x:c>
      <x:c r="AV834" s="604" t="n">
        <x:v>0.79</x:v>
      </x:c>
      <x:c r="AW834" s="604" t="n">
        <x:v>46298.06050486111</x:v>
      </x:c>
      <x:c r="AX834" s="604" t="inlineStr">
        <x:is>
          <x:t xml:space="preserve">https://simondongxiao.github.io/odds/v4/</x:t>
        </x:is>
      </x:c>
      <x:c r="AY834" s="604" t="inlineStr">
        <x:is>
          <x:t xml:space="preserve">V4 Shadow Only；real_money=false；P(EV&gt;0)不是比赛胜率</x:t>
        </x:is>
      </x:c>
    </x:row>
    <x:row r="835" ht="22" customHeight="1">
      <x:c r="A835" s="604" t="inlineStr">
        <x:is>
          <x:t xml:space="preserve">2026-10-03</x:t>
        </x:is>
      </x:c>
      <x:c r="B835" s="604" t="inlineStr">
        <x:is>
          <x:t xml:space="preserve">2026-10-04 06:30</x:t>
        </x:is>
      </x:c>
      <x:c r="C835" s="604" t="str">
        <x:v>南美系列</x:v>
      </x:c>
      <x:c r="D835" s="604" t="inlineStr">
        <x:is>
          <x:t xml:space="preserve">联赛</x:t>
        </x:is>
      </x:c>
      <x:c r="E835" s="604" t="inlineStr">
        <x:is>
          <x:t xml:space="preserve">巴丙</x:t>
        </x:is>
      </x:c>
      <x:c r="F835" s="604" t="inlineStr">
        <x:is>
          <x:t xml:space="preserve">帕桑度 vs 费罗维里亚</x:t>
        </x:is>
      </x:c>
      <x:c r="G835" s="604" t="n">
        <x:v>0.98</x:v>
      </x:c>
      <x:c r="H835" s="604" t="n">
        <x:v>0</x:v>
      </x:c>
      <x:c r="I835" s="604" t="n">
        <x:v>0.78</x:v>
      </x:c>
      <x:c r="J835" s="604" t="inlineStr">
        <x:is>
          <x:t xml:space="preserve">0.98/0/0.78</x:t>
        </x:is>
      </x:c>
      <x:c r="K835" s="604" t="inlineStr">
        <x:is>
          <x:t xml:space="preserve">V4-C｜EV +0.0081</x:t>
        </x:is>
      </x:c>
      <x:c r="L835" s="604" t="str"/>
      <x:c r="M835" s="604" t="n">
        <x:v>0.509764806942602</x:v>
      </x:c>
      <x:c r="N835" s="604" t="inlineStr">
        <x:is>
          <x:t xml:space="preserve">V4纸面入选-C</x:t>
        </x:is>
      </x:c>
      <x:c r="O835" s="604" t="inlineStr">
        <x:is>
          <x:t xml:space="preserve">1-0</x:t>
        </x:is>
      </x:c>
      <x:c r="P835" s="604" t="inlineStr">
        <x:is>
          <x:t xml:space="preserve">已结算</x:t>
        </x:is>
      </x:c>
      <x:c r="Q835" s="645" t="inlineStr">
        <x:is>
          <x:t xml:space="preserve">红</x:t>
        </x:is>
      </x:c>
      <x:c r="R835" s="604" t="n">
        <x:v>0.78</x:v>
      </x:c>
      <x:c r="S835" s="604" t="n">
        <x:f>IF(OR(Q835="",Q835="待结算"),"",IF(Q835="红",R835,IF(Q835="半红",R835*0.5,IF(Q835="走",0,IF(Q835="半黑",-0.5,-1)))))</x:f>
        <x:v>0.78</x:v>
      </x:c>
      <x:c r="T835" s="604" t="inlineStr">
        <x:is>
          <x:t xml:space="preserve">https://m.titan007.com/analy/Analysis/3084078.htm</x:t>
        </x:is>
      </x:c>
      <x:c r="U835" s="646" t="str">
        <x:f>IF(Q835="","",IF(Q835="待结算","待结算",IF(Q835="红","黑",IF(Q835="半红","半黑",IF(Q835="走","走",IF(Q835="半黑","半红","红"))))))</x:f>
        <x:v>黑</x:v>
      </x:c>
      <x:c r="V835" s="604" t="n">
        <x:f>IF(OR(Q835="",Q835="待结算"),"",IF(L835=LEFT(F835,FIND(" vs ",F835)-1),I835,G835))</x:f>
        <x:v>0.98</x:v>
      </x:c>
      <x:c r="W835" s="604" t="n">
        <x:f>IF(OR(U835="",U835="待结算"),"",IF(U835="红",V835,IF(U835="半红",V835*0.5,IF(U835="走",0,IF(U835="半黑",-0.5,-1)))))</x:f>
        <x:v>-1</x:v>
      </x:c>
      <x:c r="X835" s="604" t="inlineStr">
        <x:is>
          <x:t xml:space="preserve">3084078</x:t>
        </x:is>
      </x:c>
      <x:c r="Y835" s="604" t="inlineStr">
        <x:is>
          <x:t xml:space="preserve">V4</x:t>
        </x:is>
      </x:c>
      <x:c r="Z835" s="604" t="inlineStr">
        <x:is>
          <x:t xml:space="preserve">prior-2026-10-03-v1</x:t>
        </x:is>
      </x:c>
      <x:c r="AA835" s="604" t="inlineStr">
        <x:is>
          <x:t xml:space="preserve">C</x:t>
        </x:is>
      </x:c>
      <x:c r="AB835" s="604" t="n">
        <x:v>0.4431813577783877</x:v>
      </x:c>
      <x:c r="AC835" s="604" t="n"/>
      <x:c r="AD835" s="604" t="n"/>
      <x:c r="AE835" s="604" t="n">
        <x:v>0.2612320358620257</x:v>
      </x:c>
      <x:c r="AF835" s="604" t="n">
        <x:v>0.2955866063595866</x:v>
      </x:c>
      <x:c r="AG835" s="604" t="n">
        <x:v>0.008115106332220512</x:v>
      </x:c>
      <x:c r="AH835" s="604" t="n"/>
      <x:c r="AI835" s="604" t="n"/>
      <x:c r="AJ835" s="604" t="n">
        <x:v>0.008115106332220512</x:v>
      </x:c>
      <x:c r="AK835" s="604" t="n"/>
      <x:c r="AL835" s="604" t="n"/>
      <x:c r="AM835" s="604" t="n"/>
      <x:c r="AN835" s="604" t="inlineStr">
        <x:is>
          <x:t xml:space="preserve">EVALUATED</x:t>
        </x:is>
      </x:c>
      <x:c r="AO835" s="604" t="inlineStr">
        <x:is>
          <x:t xml:space="preserve">EDGE_BELOW_UNCERTAINTY_THRESHOLD、BUCKET_PRIOR_ONLY、INTENT_INTERPRETATION_ONLY、EXPERT_MARKET</x:t>
        </x:is>
      </x:c>
      <x:c r="AP835" s="604" t="inlineStr">
        <x:is>
          <x:t xml:space="preserve">b2cf54fc90b84ba876a4</x:t>
        </x:is>
      </x:c>
      <x:c r="AQ835" s="604" t="n">
        <x:v>0</x:v>
      </x:c>
      <x:c r="AR835" s="604" t="n"/>
      <x:c r="AS835" s="604" t="n">
        <x:v>0</x:v>
      </x:c>
      <x:c r="AT835" s="604" t="n">
        <x:v>0</x:v>
      </x:c>
      <x:c r="AU835" s="604" t="n">
        <x:v>0.98</x:v>
      </x:c>
      <x:c r="AV835" s="604" t="n">
        <x:v>0.78</x:v>
      </x:c>
      <x:c r="AW835" s="604" t="n">
        <x:v>46298.06050486111</x:v>
      </x:c>
      <x:c r="AX835" s="604" t="inlineStr">
        <x:is>
          <x:t xml:space="preserve">https://simondongxiao.github.io/odds/v4/</x:t>
        </x:is>
      </x:c>
      <x:c r="AY835" s="604" t="inlineStr">
        <x:is>
          <x:t xml:space="preserve">V4 Shadow Only；real_money=false；P(EV&gt;0)不是比赛胜率</x:t>
        </x:is>
      </x:c>
    </x:row>
    <x:row r="836" ht="22" customHeight="1">
      <x:c r="A836" s="604" t="inlineStr">
        <x:is>
          <x:t xml:space="preserve">2026-10-03</x:t>
        </x:is>
      </x:c>
      <x:c r="B836" s="604" t="inlineStr">
        <x:is>
          <x:t xml:space="preserve">2026-10-04 07:00</x:t>
        </x:is>
      </x:c>
      <x:c r="C836" s="604" t="str">
        <x:v>北美系列</x:v>
      </x:c>
      <x:c r="D836" s="604" t="inlineStr">
        <x:is>
          <x:t xml:space="preserve">联赛</x:t>
        </x:is>
      </x:c>
      <x:c r="E836" s="604" t="inlineStr">
        <x:is>
          <x:t xml:space="preserve">萨尔超春</x:t>
        </x:is>
      </x:c>
      <x:c r="F836" s="604" t="inlineStr">
        <x:is>
          <x:t xml:space="preserve">梅塔帕 vs 巴博亚竞技</x:t>
        </x:is>
      </x:c>
      <x:c r="G836" s="604" t="n">
        <x:v>0.96</x:v>
      </x:c>
      <x:c r="H836" s="604" t="n">
        <x:v>1</x:v>
      </x:c>
      <x:c r="I836" s="604" t="n">
        <x:v>0.8</x:v>
      </x:c>
      <x:c r="J836" s="604" t="inlineStr">
        <x:is>
          <x:t xml:space="preserve">0.96/1/0.8</x:t>
        </x:is>
      </x:c>
      <x:c r="K836" s="604" t="inlineStr">
        <x:is>
          <x:t xml:space="preserve">V4-B｜EV +0.1237</x:t>
        </x:is>
      </x:c>
      <x:c r="L836" s="604" t="inlineStr">
        <x:is>
          <x:t xml:space="preserve">梅塔帕</x:t>
        </x:is>
      </x:c>
      <x:c r="M836" s="604" t="n">
        <x:v>0.5950290018471999</x:v>
      </x:c>
      <x:c r="N836" s="604" t="inlineStr">
        <x:is>
          <x:t xml:space="preserve">V4纸面入选-B</x:t>
        </x:is>
      </x:c>
      <x:c r="O836" s="604" t="inlineStr">
        <x:is>
          <x:t xml:space="preserve">3-0</x:t>
        </x:is>
      </x:c>
      <x:c r="P836" s="604" t="inlineStr">
        <x:is>
          <x:t xml:space="preserve">已结算</x:t>
        </x:is>
      </x:c>
      <x:c r="Q836" s="645" t="inlineStr">
        <x:is>
          <x:t xml:space="preserve">红</x:t>
        </x:is>
      </x:c>
      <x:c r="R836" s="604" t="n">
        <x:v>0.96</x:v>
      </x:c>
      <x:c r="S836" s="604" t="n">
        <x:f>IF(OR(Q836="",Q836="待结算"),"",IF(Q836="红",R836,IF(Q836="半红",R836*0.5,IF(Q836="走",0,IF(Q836="半黑",-0.5,-1)))))</x:f>
        <x:v>0.96</x:v>
      </x:c>
      <x:c r="T836" s="604" t="inlineStr">
        <x:is>
          <x:t xml:space="preserve">https://m.titan007.com/analy/Analysis/3041932.htm</x:t>
        </x:is>
      </x:c>
      <x:c r="U836" s="646" t="str">
        <x:f>IF(Q836="","",IF(Q836="待结算","待结算",IF(Q836="红","黑",IF(Q836="半红","半黑",IF(Q836="走","走",IF(Q836="半黑","半红","红"))))))</x:f>
        <x:v>黑</x:v>
      </x:c>
      <x:c r="V836" s="604" t="n">
        <x:f>IF(OR(Q836="",Q836="待结算"),"",IF(L836=LEFT(F836,FIND(" vs ",F836)-1),I836,G836))</x:f>
        <x:v>0.8</x:v>
      </x:c>
      <x:c r="W836" s="604" t="n">
        <x:f>IF(OR(U836="",U836="待结算"),"",IF(U836="红",V836,IF(U836="半红",V836*0.5,IF(U836="走",0,IF(U836="半黑",-0.5,-1)))))</x:f>
        <x:v>-1</x:v>
      </x:c>
      <x:c r="X836" s="604" t="inlineStr">
        <x:is>
          <x:t xml:space="preserve">3041932</x:t>
        </x:is>
      </x:c>
      <x:c r="Y836" s="604" t="inlineStr">
        <x:is>
          <x:t xml:space="preserve">V4</x:t>
        </x:is>
      </x:c>
      <x:c r="Z836" s="604" t="inlineStr">
        <x:is>
          <x:t xml:space="preserve">prior-2026-10-03-v1</x:t>
        </x:is>
      </x:c>
      <x:c r="AA836" s="604" t="inlineStr">
        <x:is>
          <x:t xml:space="preserve">B</x:t>
        </x:is>
      </x:c>
      <x:c r="AB836" s="604" t="n">
        <x:v>0.4425957664066378</x:v>
      </x:c>
      <x:c r="AC836" s="604" t="n"/>
      <x:c r="AD836" s="604" t="n">
        <x:v>0.2561778248914765</x:v>
      </x:c>
      <x:c r="AE836" s="604" t="n"/>
      <x:c r="AF836" s="604" t="n">
        <x:v>0.3012264087018857</x:v>
      </x:c>
      <x:c r="AG836" s="604" t="n">
        <x:v>0.1236655270484867</x:v>
      </x:c>
      <x:c r="AH836" s="604" t="n"/>
      <x:c r="AI836" s="604" t="n"/>
      <x:c r="AJ836" s="604" t="n">
        <x:v>0.1236655270484867</x:v>
      </x:c>
      <x:c r="AK836" s="604" t="n"/>
      <x:c r="AL836" s="604" t="n"/>
      <x:c r="AM836" s="604" t="n"/>
      <x:c r="AN836" s="604" t="inlineStr">
        <x:is>
          <x:t xml:space="preserve">EVALUATED</x:t>
        </x:is>
      </x:c>
      <x:c r="AO836" s="604" t="inlineStr">
        <x:is>
          <x:t xml:space="preserve">GIVING_VALIDATED_EDGE、BUCKET_PRIOR_ONLY、INTENT_INTERPRETATION_ONLY、EXPERT_MARKET</x:t>
        </x:is>
      </x:c>
      <x:c r="AP836" s="604" t="inlineStr">
        <x:is>
          <x:t xml:space="preserve">1e5f6b3d959803eaa768</x:t>
        </x:is>
      </x:c>
      <x:c r="AQ836" s="604" t="n">
        <x:v>-1</x:v>
      </x:c>
      <x:c r="AR836" s="604" t="n">
        <x:v>0.96</x:v>
      </x:c>
      <x:c r="AS836" s="604" t="n">
        <x:v>1</x:v>
      </x:c>
      <x:c r="AT836" s="604" t="n">
        <x:v>-1</x:v>
      </x:c>
      <x:c r="AU836" s="604" t="n">
        <x:v>0.96</x:v>
      </x:c>
      <x:c r="AV836" s="604" t="n">
        <x:v>0.8</x:v>
      </x:c>
      <x:c r="AW836" s="604" t="n">
        <x:v>46298.06050486111</x:v>
      </x:c>
      <x:c r="AX836" s="604" t="inlineStr">
        <x:is>
          <x:t xml:space="preserve">https://simondongxiao.github.io/odds/v4/</x:t>
        </x:is>
      </x:c>
      <x:c r="AY836" s="604" t="inlineStr">
        <x:is>
          <x:t xml:space="preserve">V4 Shadow Only；real_money=false；P(EV&gt;0)不是比赛胜率</x:t>
        </x:is>
      </x:c>
    </x:row>
    <x:row r="837" ht="22" customHeight="1">
      <x:c r="A837" s="604" t="inlineStr">
        <x:is>
          <x:t xml:space="preserve">2026-10-03</x:t>
        </x:is>
      </x:c>
      <x:c r="B837" s="604" t="inlineStr">
        <x:is>
          <x:t xml:space="preserve">2026-10-04 07:00</x:t>
        </x:is>
      </x:c>
      <x:c r="C837" s="604" t="str">
        <x:v>北美系列</x:v>
      </x:c>
      <x:c r="D837" s="604" t="inlineStr">
        <x:is>
          <x:t xml:space="preserve">联赛</x:t>
        </x:is>
      </x:c>
      <x:c r="E837" s="604" t="inlineStr">
        <x:is>
          <x:t xml:space="preserve">美冠联</x:t>
        </x:is>
      </x:c>
      <x:c r="F837" s="604" t="inlineStr">
        <x:is>
          <x:t xml:space="preserve">布鲁克林 vs 罗德岛</x:t>
        </x:is>
      </x:c>
      <x:c r="G837" s="604" t="n">
        <x:v>0.9</x:v>
      </x:c>
      <x:c r="H837" s="604" t="n">
        <x:v>0</x:v>
      </x:c>
      <x:c r="I837" s="604" t="n">
        <x:v>0.92</x:v>
      </x:c>
      <x:c r="J837" s="604" t="inlineStr">
        <x:is>
          <x:t xml:space="preserve">0.9/0/0.92</x:t>
        </x:is>
      </x:c>
      <x:c r="K837" s="604" t="inlineStr">
        <x:is>
          <x:t xml:space="preserve">V4-C｜EV +0.0224</x:t>
        </x:is>
      </x:c>
      <x:c r="L837" s="604" t="str"/>
      <x:c r="M837" s="604" t="n">
        <x:v>0.5341806822273771</x:v>
      </x:c>
      <x:c r="N837" s="604" t="inlineStr">
        <x:is>
          <x:t xml:space="preserve">V4纸面入选-C</x:t>
        </x:is>
      </x:c>
      <x:c r="O837" s="604" t="inlineStr">
        <x:is>
          <x:t xml:space="preserve">0-3</x:t>
        </x:is>
      </x:c>
      <x:c r="P837" s="604" t="inlineStr">
        <x:is>
          <x:t xml:space="preserve">已结算</x:t>
        </x:is>
      </x:c>
      <x:c r="Q837" s="646" t="inlineStr">
        <x:is>
          <x:t xml:space="preserve">黑</x:t>
        </x:is>
      </x:c>
      <x:c r="R837" s="604" t="n">
        <x:v>0.92</x:v>
      </x:c>
      <x:c r="S837" s="604" t="n">
        <x:f>IF(OR(Q837="",Q837="待结算"),"",IF(Q837="红",R837,IF(Q837="半红",R837*0.5,IF(Q837="走",0,IF(Q837="半黑",-0.5,-1)))))</x:f>
        <x:v>-1</x:v>
      </x:c>
      <x:c r="T837" s="604" t="inlineStr">
        <x:is>
          <x:t xml:space="preserve">https://m.titan007.com/analy/Analysis/2942648.htm</x:t>
        </x:is>
      </x:c>
      <x:c r="U837" s="645" t="str">
        <x:f>IF(Q837="","",IF(Q837="待结算","待结算",IF(Q837="红","黑",IF(Q837="半红","半黑",IF(Q837="走","走",IF(Q837="半黑","半红","红"))))))</x:f>
        <x:v>红</x:v>
      </x:c>
      <x:c r="V837" s="604" t="n">
        <x:f>IF(OR(Q837="",Q837="待结算"),"",IF(L837=LEFT(F837,FIND(" vs ",F837)-1),I837,G837))</x:f>
        <x:v>0.9</x:v>
      </x:c>
      <x:c r="W837" s="604" t="n">
        <x:f>IF(OR(U837="",U837="待结算"),"",IF(U837="红",V837,IF(U837="半红",V837*0.5,IF(U837="走",0,IF(U837="半黑",-0.5,-1)))))</x:f>
        <x:v>0.9</x:v>
      </x:c>
      <x:c r="X837" s="604" t="inlineStr">
        <x:is>
          <x:t xml:space="preserve">2942648</x:t>
        </x:is>
      </x:c>
      <x:c r="Y837" s="604" t="inlineStr">
        <x:is>
          <x:t xml:space="preserve">V4</x:t>
        </x:is>
      </x:c>
      <x:c r="Z837" s="604" t="inlineStr">
        <x:is>
          <x:t xml:space="preserve">prior-2026-10-03-v1</x:t>
        </x:is>
      </x:c>
      <x:c r="AA837" s="604" t="inlineStr">
        <x:is>
          <x:t xml:space="preserve">C</x:t>
        </x:is>
      </x:c>
      <x:c r="AB837" s="604" t="n">
        <x:v>0.3398798430541292</x:v>
      </x:c>
      <x:c r="AC837" s="604" t="n">
        <x:v>0.2532959010944594</x:v>
      </x:c>
      <x:c r="AD837" s="604" t="n"/>
      <x:c r="AE837" s="604" t="n"/>
      <x:c r="AF837" s="604" t="n">
        <x:v>0.4068242558514115</x:v>
      </x:c>
      <x:c r="AG837" s="604" t="n">
        <x:v>0.02238131426183876</x:v>
      </x:c>
      <x:c r="AH837" s="604" t="n"/>
      <x:c r="AI837" s="604" t="n"/>
      <x:c r="AJ837" s="604" t="n">
        <x:v>0.02238131426183876</x:v>
      </x:c>
      <x:c r="AK837" s="604" t="n"/>
      <x:c r="AL837" s="604" t="n"/>
      <x:c r="AM837" s="604" t="n"/>
      <x:c r="AN837" s="604" t="inlineStr">
        <x:is>
          <x:t xml:space="preserve">EVALUATED</x:t>
        </x:is>
      </x:c>
      <x:c r="AO837" s="604" t="inlineStr">
        <x:is>
          <x:t xml:space="preserve">EDGE_BELOW_UNCERTAINTY_THRESHOLD、BUCKET_PRIOR_ONLY、INTENT_INTERPRETATION_ONLY、EXPERT_MARKET</x:t>
        </x:is>
      </x:c>
      <x:c r="AP837" s="604" t="inlineStr">
        <x:is>
          <x:t xml:space="preserve">b1b03b74e2790577fd96</x:t>
        </x:is>
      </x:c>
      <x:c r="AQ837" s="604" t="n">
        <x:v>0</x:v>
      </x:c>
      <x:c r="AR837" s="604" t="n"/>
      <x:c r="AS837" s="604" t="n">
        <x:v>0</x:v>
      </x:c>
      <x:c r="AT837" s="604" t="n">
        <x:v>0</x:v>
      </x:c>
      <x:c r="AU837" s="604" t="n">
        <x:v>0.9</x:v>
      </x:c>
      <x:c r="AV837" s="604" t="n">
        <x:v>0.92</x:v>
      </x:c>
      <x:c r="AW837" s="604" t="n">
        <x:v>46298.06050486111</x:v>
      </x:c>
      <x:c r="AX837" s="604" t="inlineStr">
        <x:is>
          <x:t xml:space="preserve">https://simondongxiao.github.io/odds/v4/</x:t>
        </x:is>
      </x:c>
      <x:c r="AY837" s="604" t="inlineStr">
        <x:is>
          <x:t xml:space="preserve">V4 Shadow Only；real_money=false；P(EV&gt;0)不是比赛胜率</x:t>
        </x:is>
      </x:c>
    </x:row>
    <x:row r="838" ht="22" customHeight="1">
      <x:c r="A838" s="604" t="inlineStr">
        <x:is>
          <x:t xml:space="preserve">2026-10-03</x:t>
        </x:is>
      </x:c>
      <x:c r="B838" s="604" t="inlineStr">
        <x:is>
          <x:t xml:space="preserve">2026-10-04 07:00</x:t>
        </x:is>
      </x:c>
      <x:c r="C838" s="604" t="str">
        <x:v>北美系列</x:v>
      </x:c>
      <x:c r="D838" s="604" t="inlineStr">
        <x:is>
          <x:t xml:space="preserve">联赛</x:t>
        </x:is>
      </x:c>
      <x:c r="E838" s="604" t="inlineStr">
        <x:is>
          <x:t xml:space="preserve">美冠联</x:t>
        </x:is>
      </x:c>
      <x:c r="F838" s="604" t="inlineStr">
        <x:is>
          <x:t xml:space="preserve">底特律城 vs 伯明翰军团</x:t>
        </x:is>
      </x:c>
      <x:c r="G838" s="604" t="n">
        <x:v>0.8100000000000001</x:v>
      </x:c>
      <x:c r="H838" s="604" t="n">
        <x:v>0.75</x:v>
      </x:c>
      <x:c r="I838" s="604" t="n">
        <x:v>1.01</x:v>
      </x:c>
      <x:c r="J838" s="604" t="inlineStr">
        <x:is>
          <x:t xml:space="preserve">0.81/0.75/1.01</x:t>
        </x:is>
      </x:c>
      <x:c r="K838" s="604" t="inlineStr">
        <x:is>
          <x:t xml:space="preserve">V4-B｜EV +0.1029</x:t>
        </x:is>
      </x:c>
      <x:c r="L838" s="604" t="inlineStr">
        <x:is>
          <x:t xml:space="preserve">底特律城</x:t>
        </x:is>
      </x:c>
      <x:c r="M838" s="604" t="n">
        <x:v>0.6177033952405175</x:v>
      </x:c>
      <x:c r="N838" s="604" t="inlineStr">
        <x:is>
          <x:t xml:space="preserve">V4纸面入选-B</x:t>
        </x:is>
      </x:c>
      <x:c r="O838" s="604" t="inlineStr">
        <x:is>
          <x:t xml:space="preserve">1-0</x:t>
        </x:is>
      </x:c>
      <x:c r="P838" s="604" t="inlineStr">
        <x:is>
          <x:t xml:space="preserve">已结算</x:t>
        </x:is>
      </x:c>
      <x:c r="Q838" s="649" t="inlineStr">
        <x:is>
          <x:t xml:space="preserve">半红</x:t>
        </x:is>
      </x:c>
      <x:c r="R838" s="604" t="n">
        <x:v>0.8100000000000001</x:v>
      </x:c>
      <x:c r="S838" s="604" t="n">
        <x:f>IF(OR(Q838="",Q838="待结算"),"",IF(Q838="红",R838,IF(Q838="半红",R838*0.5,IF(Q838="走",0,IF(Q838="半黑",-0.5,-1)))))</x:f>
        <x:v>0.405</x:v>
      </x:c>
      <x:c r="T838" s="604" t="inlineStr">
        <x:is>
          <x:t xml:space="preserve">https://m.titan007.com/analy/Analysis/2942650.htm</x:t>
        </x:is>
      </x:c>
      <x:c r="U838" s="648" t="str">
        <x:f>IF(Q838="","",IF(Q838="待结算","待结算",IF(Q838="红","黑",IF(Q838="半红","半黑",IF(Q838="走","走",IF(Q838="半黑","半红","红"))))))</x:f>
        <x:v>半黑</x:v>
      </x:c>
      <x:c r="V838" s="604" t="n">
        <x:f>IF(OR(Q838="",Q838="待结算"),"",IF(L838=LEFT(F838,FIND(" vs ",F838)-1),I838,G838))</x:f>
        <x:v>1.01</x:v>
      </x:c>
      <x:c r="W838" s="604" t="n">
        <x:f>IF(OR(U838="",U838="待结算"),"",IF(U838="红",V838,IF(U838="半红",V838*0.5,IF(U838="走",0,IF(U838="半黑",-0.5,-1)))))</x:f>
        <x:v>-0.5</x:v>
      </x:c>
      <x:c r="X838" s="604" t="inlineStr">
        <x:is>
          <x:t xml:space="preserve">2942650</x:t>
        </x:is>
      </x:c>
      <x:c r="Y838" s="604" t="inlineStr">
        <x:is>
          <x:t xml:space="preserve">V4</x:t>
        </x:is>
      </x:c>
      <x:c r="Z838" s="604" t="inlineStr">
        <x:is>
          <x:t xml:space="preserve">prior-2026-10-03-v1</x:t>
        </x:is>
      </x:c>
      <x:c r="AA838" s="604" t="inlineStr">
        <x:is>
          <x:t xml:space="preserve">B</x:t>
        </x:is>
      </x:c>
      <x:c r="AB838" s="604" t="n">
        <x:v>0.4100630551708891</x:v>
      </x:c>
      <x:c r="AC838" s="604" t="n">
        <x:v>0.2567100256827448</x:v>
      </x:c>
      <x:c r="AD838" s="604" t="n"/>
      <x:c r="AE838" s="604" t="n"/>
      <x:c r="AF838" s="604" t="n">
        <x:v>0.3332269191463661</x:v>
      </x:c>
      <x:c r="AG838" s="604" t="n">
        <x:v>0.1028917159435658</x:v>
      </x:c>
      <x:c r="AH838" s="604" t="n"/>
      <x:c r="AI838" s="604" t="n"/>
      <x:c r="AJ838" s="604" t="n">
        <x:v>0.1028917159435658</x:v>
      </x:c>
      <x:c r="AK838" s="604" t="n"/>
      <x:c r="AL838" s="604" t="n"/>
      <x:c r="AM838" s="604" t="n"/>
      <x:c r="AN838" s="604" t="inlineStr">
        <x:is>
          <x:t xml:space="preserve">EVALUATED</x:t>
        </x:is>
      </x:c>
      <x:c r="AO838" s="604" t="inlineStr">
        <x:is>
          <x:t xml:space="preserve">GIVING_VALIDATED_EDGE、BUCKET_PRIOR_ONLY、INTENT_INTERPRETATION_ONLY、EXPERT_MARKET</x:t>
        </x:is>
      </x:c>
      <x:c r="AP838" s="604" t="inlineStr">
        <x:is>
          <x:t xml:space="preserve">e9038d8fc594966511ef</x:t>
        </x:is>
      </x:c>
      <x:c r="AQ838" s="604" t="n">
        <x:v>-0.75</x:v>
      </x:c>
      <x:c r="AR838" s="604" t="n">
        <x:v>0.8100000000000001</x:v>
      </x:c>
      <x:c r="AS838" s="604" t="n">
        <x:v>0.75</x:v>
      </x:c>
      <x:c r="AT838" s="604" t="n">
        <x:v>-0.75</x:v>
      </x:c>
      <x:c r="AU838" s="604" t="n">
        <x:v>0.8100000000000001</x:v>
      </x:c>
      <x:c r="AV838" s="604" t="n">
        <x:v>1.01</x:v>
      </x:c>
      <x:c r="AW838" s="604" t="n">
        <x:v>46298.06050486111</x:v>
      </x:c>
      <x:c r="AX838" s="604" t="inlineStr">
        <x:is>
          <x:t xml:space="preserve">https://simondongxiao.github.io/odds/v4/</x:t>
        </x:is>
      </x:c>
      <x:c r="AY838" s="604" t="inlineStr">
        <x:is>
          <x:t xml:space="preserve">V4 Shadow Only；real_money=false；P(EV&gt;0)不是比赛胜率</x:t>
        </x:is>
      </x:c>
    </x:row>
    <x:row r="839" ht="22" customHeight="1">
      <x:c r="A839" s="604" t="inlineStr">
        <x:is>
          <x:t xml:space="preserve">2026-10-03</x:t>
        </x:is>
      </x:c>
      <x:c r="B839" s="604" t="inlineStr">
        <x:is>
          <x:t xml:space="preserve">2026-10-04 07:30</x:t>
        </x:is>
      </x:c>
      <x:c r="C839" s="604" t="str">
        <x:v>北美系列</x:v>
      </x:c>
      <x:c r="D839" s="604" t="inlineStr">
        <x:is>
          <x:t xml:space="preserve">联赛</x:t>
        </x:is>
      </x:c>
      <x:c r="E839" s="604" t="inlineStr">
        <x:is>
          <x:t xml:space="preserve">美冠联</x:t>
        </x:is>
      </x:c>
      <x:c r="F839" s="604" t="inlineStr">
        <x:is>
          <x:t xml:space="preserve">坦帕湾 vs 迈阿密FC</x:t>
        </x:is>
      </x:c>
      <x:c r="G839" s="604" t="n">
        <x:v>0.9399999999999999</x:v>
      </x:c>
      <x:c r="H839" s="604" t="n">
        <x:v>1.5</x:v>
      </x:c>
      <x:c r="I839" s="604" t="n">
        <x:v>0.88</x:v>
      </x:c>
      <x:c r="J839" s="604" t="inlineStr">
        <x:is>
          <x:t xml:space="preserve">0.94/1.5/0.88</x:t>
        </x:is>
      </x:c>
      <x:c r="K839" s="604" t="inlineStr">
        <x:is>
          <x:t xml:space="preserve">V4-B｜EV +0.0797</x:t>
        </x:is>
      </x:c>
      <x:c r="L839" s="604" t="inlineStr">
        <x:is>
          <x:t xml:space="preserve">坦帕湾</x:t>
        </x:is>
      </x:c>
      <x:c r="M839" s="604" t="n">
        <x:v>0.5565474591920733</x:v>
      </x:c>
      <x:c r="N839" s="604" t="inlineStr">
        <x:is>
          <x:t xml:space="preserve">V4纸面入选-B</x:t>
        </x:is>
      </x:c>
      <x:c r="O839" s="604" t="inlineStr">
        <x:is>
          <x:t xml:space="preserve">0-1</x:t>
        </x:is>
      </x:c>
      <x:c r="P839" s="604" t="inlineStr">
        <x:is>
          <x:t xml:space="preserve">已结算</x:t>
        </x:is>
      </x:c>
      <x:c r="Q839" s="646" t="inlineStr">
        <x:is>
          <x:t xml:space="preserve">黑</x:t>
        </x:is>
      </x:c>
      <x:c r="R839" s="604" t="n">
        <x:v>0.9399999999999999</x:v>
      </x:c>
      <x:c r="S839" s="604" t="n">
        <x:f>IF(OR(Q839="",Q839="待结算"),"",IF(Q839="红",R839,IF(Q839="半红",R839*0.5,IF(Q839="走",0,IF(Q839="半黑",-0.5,-1)))))</x:f>
        <x:v>-1</x:v>
      </x:c>
      <x:c r="T839" s="604" t="inlineStr">
        <x:is>
          <x:t xml:space="preserve">https://m.titan007.com/analy/Analysis/2942659.htm</x:t>
        </x:is>
      </x:c>
      <x:c r="U839" s="645" t="str">
        <x:f>IF(Q839="","",IF(Q839="待结算","待结算",IF(Q839="红","黑",IF(Q839="半红","半黑",IF(Q839="走","走",IF(Q839="半黑","半红","红"))))))</x:f>
        <x:v>红</x:v>
      </x:c>
      <x:c r="V839" s="604" t="n">
        <x:f>IF(OR(Q839="",Q839="待结算"),"",IF(L839=LEFT(F839,FIND(" vs ",F839)-1),I839,G839))</x:f>
        <x:v>0.88</x:v>
      </x:c>
      <x:c r="W839" s="604" t="n">
        <x:f>IF(OR(U839="",U839="待结算"),"",IF(U839="红",V839,IF(U839="半红",V839*0.5,IF(U839="走",0,IF(U839="半黑",-0.5,-1)))))</x:f>
        <x:v>0.88</x:v>
      </x:c>
      <x:c r="X839" s="604" t="inlineStr">
        <x:is>
          <x:t xml:space="preserve">2942659</x:t>
        </x:is>
      </x:c>
      <x:c r="Y839" s="604" t="inlineStr">
        <x:is>
          <x:t xml:space="preserve">V4</x:t>
        </x:is>
      </x:c>
      <x:c r="Z839" s="604" t="inlineStr">
        <x:is>
          <x:t xml:space="preserve">prior-2026-10-03-v1</x:t>
        </x:is>
      </x:c>
      <x:c r="AA839" s="604" t="inlineStr">
        <x:is>
          <x:t xml:space="preserve">B</x:t>
        </x:is>
      </x:c>
      <x:c r="AB839" s="604" t="n">
        <x:v>0.5565474591920733</x:v>
      </x:c>
      <x:c r="AC839" s="604" t="n"/>
      <x:c r="AD839" s="604" t="n"/>
      <x:c r="AE839" s="604" t="n"/>
      <x:c r="AF839" s="604" t="n">
        <x:v>0.4434525408079267</x:v>
      </x:c>
      <x:c r="AG839" s="604" t="n">
        <x:v>0.07970207083262221</x:v>
      </x:c>
      <x:c r="AH839" s="604" t="n"/>
      <x:c r="AI839" s="604" t="n"/>
      <x:c r="AJ839" s="604" t="n">
        <x:v>0.07970207083262221</x:v>
      </x:c>
      <x:c r="AK839" s="604" t="n"/>
      <x:c r="AL839" s="604" t="n"/>
      <x:c r="AM839" s="604" t="n"/>
      <x:c r="AN839" s="604" t="inlineStr">
        <x:is>
          <x:t xml:space="preserve">EVALUATED</x:t>
        </x:is>
      </x:c>
      <x:c r="AO839" s="604" t="inlineStr">
        <x:is>
          <x:t xml:space="preserve">GIVING_VALIDATED_EDGE、BUCKET_PRIOR_ONLY、INTENT_INTERPRETATION_ONLY、EXPERT_MARKET</x:t>
        </x:is>
      </x:c>
      <x:c r="AP839" s="604" t="inlineStr">
        <x:is>
          <x:t xml:space="preserve">3dfdb787f258d732a7b5</x:t>
        </x:is>
      </x:c>
      <x:c r="AQ839" s="604" t="n">
        <x:v>-1.5</x:v>
      </x:c>
      <x:c r="AR839" s="604" t="n">
        <x:v>0.9399999999999999</x:v>
      </x:c>
      <x:c r="AS839" s="604" t="n">
        <x:v>1.5</x:v>
      </x:c>
      <x:c r="AT839" s="604" t="n">
        <x:v>-1.5</x:v>
      </x:c>
      <x:c r="AU839" s="604" t="n">
        <x:v>0.9399999999999999</x:v>
      </x:c>
      <x:c r="AV839" s="604" t="n">
        <x:v>0.88</x:v>
      </x:c>
      <x:c r="AW839" s="604" t="n">
        <x:v>46298.06050486111</x:v>
      </x:c>
      <x:c r="AX839" s="604" t="inlineStr">
        <x:is>
          <x:t xml:space="preserve">https://simondongxiao.github.io/odds/v4/</x:t>
        </x:is>
      </x:c>
      <x:c r="AY839" s="604" t="inlineStr">
        <x:is>
          <x:t xml:space="preserve">V4 Shadow Only；real_money=false；P(EV&gt;0)不是比赛胜率</x:t>
        </x:is>
      </x:c>
    </x:row>
    <x:row r="840" ht="22" customHeight="1">
      <x:c r="A840" s="604" t="inlineStr">
        <x:is>
          <x:t xml:space="preserve">2026-10-03</x:t>
        </x:is>
      </x:c>
      <x:c r="B840" s="604" t="inlineStr">
        <x:is>
          <x:t xml:space="preserve">2026-10-04 07:30</x:t>
        </x:is>
      </x:c>
      <x:c r="C840" s="604" t="str">
        <x:v>北美系列</x:v>
      </x:c>
      <x:c r="D840" s="604" t="inlineStr">
        <x:is>
          <x:t xml:space="preserve">联赛</x:t>
        </x:is>
      </x:c>
      <x:c r="E840" s="604" t="inlineStr">
        <x:is>
          <x:t xml:space="preserve">美甲</x:t>
        </x:is>
      </x:c>
      <x:c r="F840" s="604" t="inlineStr">
        <x:is>
          <x:t xml:space="preserve">萨拉索塔天堂 vs 夏洛特独立</x:t>
        </x:is>
      </x:c>
      <x:c r="G840" s="604" t="n">
        <x:v>0.93</x:v>
      </x:c>
      <x:c r="H840" s="604" t="n">
        <x:v>0</x:v>
      </x:c>
      <x:c r="I840" s="604" t="n">
        <x:v>0.77</x:v>
      </x:c>
      <x:c r="J840" s="604" t="inlineStr">
        <x:is>
          <x:t xml:space="preserve">0.93/0/0.77</x:t>
        </x:is>
      </x:c>
      <x:c r="K840" s="604" t="inlineStr">
        <x:is>
          <x:t xml:space="preserve">V4-C｜EV +0.0210</x:t>
        </x:is>
      </x:c>
      <x:c r="L840" s="604" t="str"/>
      <x:c r="M840" s="604" t="n">
        <x:v>0.4213600677510834</x:v>
      </x:c>
      <x:c r="N840" s="604" t="inlineStr">
        <x:is>
          <x:t xml:space="preserve">V4纸面入选-C</x:t>
        </x:is>
      </x:c>
      <x:c r="O840" s="604" t="inlineStr">
        <x:is>
          <x:t xml:space="preserve">1-1</x:t>
        </x:is>
      </x:c>
      <x:c r="P840" s="604" t="inlineStr">
        <x:is>
          <x:t xml:space="preserve">已结算</x:t>
        </x:is>
      </x:c>
      <x:c r="Q840" s="647" t="inlineStr">
        <x:is>
          <x:t xml:space="preserve">走</x:t>
        </x:is>
      </x:c>
      <x:c r="R840" s="604" t="n">
        <x:v>0.77</x:v>
      </x:c>
      <x:c r="S840" s="604" t="n">
        <x:f>IF(OR(Q840="",Q840="待结算"),"",IF(Q840="红",R840,IF(Q840="半红",R840*0.5,IF(Q840="走",0,IF(Q840="半黑",-0.5,-1)))))</x:f>
        <x:v>0</x:v>
      </x:c>
      <x:c r="T840" s="604" t="inlineStr">
        <x:is>
          <x:t xml:space="preserve">https://m.titan007.com/analy/Analysis/2955401.htm</x:t>
        </x:is>
      </x:c>
      <x:c r="U840" s="647" t="str">
        <x:f>IF(Q840="","",IF(Q840="待结算","待结算",IF(Q840="红","黑",IF(Q840="半红","半黑",IF(Q840="走","走",IF(Q840="半黑","半红","红"))))))</x:f>
        <x:v>走</x:v>
      </x:c>
      <x:c r="V840" s="604" t="n">
        <x:f>IF(OR(Q840="",Q840="待结算"),"",IF(L840=LEFT(F840,FIND(" vs ",F840)-1),I840,G840))</x:f>
        <x:v>0.93</x:v>
      </x:c>
      <x:c r="W840" s="604" t="n">
        <x:f>IF(OR(U840="",U840="待结算"),"",IF(U840="红",V840,IF(U840="半红",V840*0.5,IF(U840="走",0,IF(U840="半黑",-0.5,-1)))))</x:f>
        <x:v>0</x:v>
      </x:c>
      <x:c r="X840" s="604" t="inlineStr">
        <x:is>
          <x:t xml:space="preserve">2955401</x:t>
        </x:is>
      </x:c>
      <x:c r="Y840" s="604" t="inlineStr">
        <x:is>
          <x:t xml:space="preserve">V4</x:t>
        </x:is>
      </x:c>
      <x:c r="Z840" s="604" t="inlineStr">
        <x:is>
          <x:t xml:space="preserve">prior-2026-10-03-v1</x:t>
        </x:is>
      </x:c>
      <x:c r="AA840" s="604" t="inlineStr">
        <x:is>
          <x:t xml:space="preserve">C</x:t>
        </x:is>
      </x:c>
      <x:c r="AB840" s="604" t="n">
        <x:v>0.3659939046202133</x:v>
      </x:c>
      <x:c r="AC840" s="604" t="n"/>
      <x:c r="AD840" s="604" t="n"/>
      <x:c r="AE840" s="604" t="n">
        <x:v>0.2627973904901562</x:v>
      </x:c>
      <x:c r="AF840" s="604" t="n">
        <x:v>0.3712087048896305</x:v>
      </x:c>
      <x:c r="AG840" s="604" t="n">
        <x:v>0.0210137934835124</x:v>
      </x:c>
      <x:c r="AH840" s="604" t="n"/>
      <x:c r="AI840" s="604" t="n"/>
      <x:c r="AJ840" s="604" t="n">
        <x:v>0.0210137934835124</x:v>
      </x:c>
      <x:c r="AK840" s="604" t="n"/>
      <x:c r="AL840" s="604" t="n"/>
      <x:c r="AM840" s="604" t="n"/>
      <x:c r="AN840" s="604" t="inlineStr">
        <x:is>
          <x:t xml:space="preserve">EVALUATED</x:t>
        </x:is>
      </x:c>
      <x:c r="AO840" s="604" t="inlineStr">
        <x:is>
          <x:t xml:space="preserve">EDGE_BELOW_UNCERTAINTY_THRESHOLD、BUCKET_PRIOR_ONLY、INTENT_INTERPRETATION_ONLY、EXPERT_MARKET</x:t>
        </x:is>
      </x:c>
      <x:c r="AP840" s="604" t="inlineStr">
        <x:is>
          <x:t xml:space="preserve">f32ce485a34532d8b76e</x:t>
        </x:is>
      </x:c>
      <x:c r="AQ840" s="604" t="n">
        <x:v>0</x:v>
      </x:c>
      <x:c r="AR840" s="604" t="n"/>
      <x:c r="AS840" s="604" t="n">
        <x:v>0</x:v>
      </x:c>
      <x:c r="AT840" s="604" t="n">
        <x:v>0</x:v>
      </x:c>
      <x:c r="AU840" s="604" t="n">
        <x:v>0.93</x:v>
      </x:c>
      <x:c r="AV840" s="604" t="n">
        <x:v>0.77</x:v>
      </x:c>
      <x:c r="AW840" s="604" t="n">
        <x:v>46298.06050486111</x:v>
      </x:c>
      <x:c r="AX840" s="604" t="inlineStr">
        <x:is>
          <x:t xml:space="preserve">https://simondongxiao.github.io/odds/v4/</x:t>
        </x:is>
      </x:c>
      <x:c r="AY840" s="604" t="inlineStr">
        <x:is>
          <x:t xml:space="preserve">V4 Shadow Only；real_money=false；P(EV&gt;0)不是比赛胜率</x:t>
        </x:is>
      </x:c>
    </x:row>
    <x:row r="841" ht="22" customHeight="1">
      <x:c r="A841" s="604" t="inlineStr">
        <x:is>
          <x:t xml:space="preserve">2026-10-03</x:t>
        </x:is>
      </x:c>
      <x:c r="B841" s="604" t="inlineStr">
        <x:is>
          <x:t xml:space="preserve">2026-10-04 09:00</x:t>
        </x:is>
      </x:c>
      <x:c r="C841" s="604" t="str">
        <x:v>北美系列</x:v>
      </x:c>
      <x:c r="D841" s="604" t="inlineStr">
        <x:is>
          <x:t xml:space="preserve">联赛</x:t>
        </x:is>
      </x:c>
      <x:c r="E841" s="604" t="inlineStr">
        <x:is>
          <x:t xml:space="preserve">美冠联</x:t>
        </x:is>
      </x:c>
      <x:c r="F841" s="604" t="inlineStr">
        <x:is>
          <x:t xml:space="preserve">科罗拉多跃泉 vs 奥克兰根</x:t>
        </x:is>
      </x:c>
      <x:c r="G841" s="604" t="n">
        <x:v>0.8</x:v>
      </x:c>
      <x:c r="H841" s="604" t="n">
        <x:v>0</x:v>
      </x:c>
      <x:c r="I841" s="604" t="n">
        <x:v>1.02</x:v>
      </x:c>
      <x:c r="J841" s="604" t="inlineStr">
        <x:is>
          <x:t xml:space="preserve">0.8/0/1.02</x:t>
        </x:is>
      </x:c>
      <x:c r="K841" s="604" t="inlineStr">
        <x:is>
          <x:t xml:space="preserve">V4-C｜EV +0.0270</x:t>
        </x:is>
      </x:c>
      <x:c r="L841" s="604" t="str"/>
      <x:c r="M841" s="604" t="n">
        <x:v>0.5727664754295874</x:v>
      </x:c>
      <x:c r="N841" s="604" t="inlineStr">
        <x:is>
          <x:t xml:space="preserve">V4纸面入选-C</x:t>
        </x:is>
      </x:c>
      <x:c r="O841" s="604" t="inlineStr">
        <x:is>
          <x:t xml:space="preserve">0-0</x:t>
        </x:is>
      </x:c>
      <x:c r="P841" s="604" t="inlineStr">
        <x:is>
          <x:t xml:space="preserve">已结算</x:t>
        </x:is>
      </x:c>
      <x:c r="Q841" s="647" t="inlineStr">
        <x:is>
          <x:t xml:space="preserve">走</x:t>
        </x:is>
      </x:c>
      <x:c r="R841" s="604" t="n">
        <x:v>1.02</x:v>
      </x:c>
      <x:c r="S841" s="604" t="n">
        <x:f>IF(OR(Q841="",Q841="待结算"),"",IF(Q841="红",R841,IF(Q841="半红",R841*0.5,IF(Q841="走",0,IF(Q841="半黑",-0.5,-1)))))</x:f>
        <x:v>0</x:v>
      </x:c>
      <x:c r="T841" s="604" t="inlineStr">
        <x:is>
          <x:t xml:space="preserve">https://m.titan007.com/analy/Analysis/2942649.htm</x:t>
        </x:is>
      </x:c>
      <x:c r="U841" s="647" t="str">
        <x:f>IF(Q841="","",IF(Q841="待结算","待结算",IF(Q841="红","黑",IF(Q841="半红","半黑",IF(Q841="走","走",IF(Q841="半黑","半红","红"))))))</x:f>
        <x:v>走</x:v>
      </x:c>
      <x:c r="V841" s="604" t="n">
        <x:f>IF(OR(Q841="",Q841="待结算"),"",IF(L841=LEFT(F841,FIND(" vs ",F841)-1),I841,G841))</x:f>
        <x:v>0.8</x:v>
      </x:c>
      <x:c r="W841" s="604" t="n">
        <x:f>IF(OR(U841="",U841="待结算"),"",IF(U841="红",V841,IF(U841="半红",V841*0.5,IF(U841="走",0,IF(U841="半黑",-0.5,-1)))))</x:f>
        <x:v>0</x:v>
      </x:c>
      <x:c r="X841" s="604" t="inlineStr">
        <x:is>
          <x:t xml:space="preserve">2942649</x:t>
        </x:is>
      </x:c>
      <x:c r="Y841" s="604" t="inlineStr">
        <x:is>
          <x:t xml:space="preserve">V4</x:t>
        </x:is>
      </x:c>
      <x:c r="Z841" s="604" t="inlineStr">
        <x:is>
          <x:t xml:space="preserve">prior-2026-10-03-v1</x:t>
        </x:is>
      </x:c>
      <x:c r="AA841" s="604" t="inlineStr">
        <x:is>
          <x:t xml:space="preserve">C</x:t>
        </x:is>
      </x:c>
      <x:c r="AB841" s="604" t="n">
        <x:v>0.3718754196642443</x:v>
      </x:c>
      <x:c r="AC841" s="604" t="n">
        <x:v>0.2554620268218415</x:v>
      </x:c>
      <x:c r="AD841" s="604" t="n"/>
      <x:c r="AE841" s="604" t="n"/>
      <x:c r="AF841" s="604" t="n">
        <x:v>0.3726625535139144</x:v>
      </x:c>
      <x:c r="AG841" s="604" t="n">
        <x:v>0.02702259294621762</x:v>
      </x:c>
      <x:c r="AH841" s="604" t="n"/>
      <x:c r="AI841" s="604" t="n"/>
      <x:c r="AJ841" s="604" t="n">
        <x:v>0.02702259294621762</x:v>
      </x:c>
      <x:c r="AK841" s="604" t="n"/>
      <x:c r="AL841" s="604" t="n"/>
      <x:c r="AM841" s="604" t="n"/>
      <x:c r="AN841" s="604" t="inlineStr">
        <x:is>
          <x:t xml:space="preserve">EVALUATED</x:t>
        </x:is>
      </x:c>
      <x:c r="AO841" s="604" t="inlineStr">
        <x:is>
          <x:t xml:space="preserve">EDGE_BELOW_UNCERTAINTY_THRESHOLD、BUCKET_PRIOR_ONLY、INTENT_INTERPRETATION_ONLY、EXPERT_MARKET</x:t>
        </x:is>
      </x:c>
      <x:c r="AP841" s="604" t="inlineStr">
        <x:is>
          <x:t xml:space="preserve">a72c89ebc7475749bb5f</x:t>
        </x:is>
      </x:c>
      <x:c r="AQ841" s="604" t="n">
        <x:v>0</x:v>
      </x:c>
      <x:c r="AR841" s="604" t="n"/>
      <x:c r="AS841" s="604" t="n">
        <x:v>0</x:v>
      </x:c>
      <x:c r="AT841" s="604" t="n">
        <x:v>0</x:v>
      </x:c>
      <x:c r="AU841" s="604" t="n">
        <x:v>0.8</x:v>
      </x:c>
      <x:c r="AV841" s="604" t="n">
        <x:v>1.02</x:v>
      </x:c>
      <x:c r="AW841" s="604" t="n">
        <x:v>46298.06050486111</x:v>
      </x:c>
      <x:c r="AX841" s="604" t="inlineStr">
        <x:is>
          <x:t xml:space="preserve">https://simondongxiao.github.io/odds/v4/</x:t>
        </x:is>
      </x:c>
      <x:c r="AY841" s="604" t="inlineStr">
        <x:is>
          <x:t xml:space="preserve">V4 Shadow Only；real_money=false；P(EV&gt;0)不是比赛胜率</x:t>
        </x:is>
      </x:c>
    </x:row>
    <x:row r="842" ht="22" customHeight="1">
      <x:c r="A842" s="604" t="inlineStr">
        <x:is>
          <x:t xml:space="preserve">2026-10-03</x:t>
        </x:is>
      </x:c>
      <x:c r="B842" s="604" t="inlineStr">
        <x:is>
          <x:t xml:space="preserve">2026-10-04 09:00</x:t>
        </x:is>
      </x:c>
      <x:c r="C842" s="604" t="str">
        <x:v>北美系列</x:v>
      </x:c>
      <x:c r="D842" s="604" t="inlineStr">
        <x:is>
          <x:t xml:space="preserve">联赛</x:t>
        </x:is>
      </x:c>
      <x:c r="E842" s="604" t="inlineStr">
        <x:is>
          <x:t xml:space="preserve">墨西甲春</x:t>
        </x:is>
      </x:c>
      <x:c r="F842" s="604" t="inlineStr">
        <x:is>
          <x:t xml:space="preserve">莫雷利亚 vs 特拉斯卡拉</x:t>
        </x:is>
      </x:c>
      <x:c r="G842" s="604" t="n">
        <x:v>0.8</x:v>
      </x:c>
      <x:c r="H842" s="604" t="n">
        <x:v>1</x:v>
      </x:c>
      <x:c r="I842" s="604" t="n">
        <x:v>1.02</x:v>
      </x:c>
      <x:c r="J842" s="604" t="inlineStr">
        <x:is>
          <x:t xml:space="preserve">0.8/1/1.02</x:t>
        </x:is>
      </x:c>
      <x:c r="K842" s="604" t="inlineStr">
        <x:is>
          <x:t xml:space="preserve">V4-B｜EV +0.0943</x:t>
        </x:is>
      </x:c>
      <x:c r="L842" s="604" t="inlineStr">
        <x:is>
          <x:t xml:space="preserve">莫雷利亚</x:t>
        </x:is>
      </x:c>
      <x:c r="M842" s="604" t="n">
        <x:v>0.6256920119911967</x:v>
      </x:c>
      <x:c r="N842" s="604" t="inlineStr">
        <x:is>
          <x:t xml:space="preserve">V4纸面入选-B</x:t>
        </x:is>
      </x:c>
      <x:c r="O842" s="604" t="inlineStr">
        <x:is>
          <x:t xml:space="preserve">1-1</x:t>
        </x:is>
      </x:c>
      <x:c r="P842" s="604" t="inlineStr">
        <x:is>
          <x:t xml:space="preserve">已结算</x:t>
        </x:is>
      </x:c>
      <x:c r="Q842" s="646" t="inlineStr">
        <x:is>
          <x:t xml:space="preserve">黑</x:t>
        </x:is>
      </x:c>
      <x:c r="R842" s="604" t="n">
        <x:v>0.8</x:v>
      </x:c>
      <x:c r="S842" s="604" t="n">
        <x:f>IF(OR(Q842="",Q842="待结算"),"",IF(Q842="红",R842,IF(Q842="半红",R842*0.5,IF(Q842="走",0,IF(Q842="半黑",-0.5,-1)))))</x:f>
        <x:v>-1</x:v>
      </x:c>
      <x:c r="T842" s="604" t="inlineStr">
        <x:is>
          <x:t xml:space="preserve">https://m.titan007.com/analy/Analysis/3024468.htm</x:t>
        </x:is>
      </x:c>
      <x:c r="U842" s="645" t="str">
        <x:f>IF(Q842="","",IF(Q842="待结算","待结算",IF(Q842="红","黑",IF(Q842="半红","半黑",IF(Q842="走","走",IF(Q842="半黑","半红","红"))))))</x:f>
        <x:v>红</x:v>
      </x:c>
      <x:c r="V842" s="604" t="n">
        <x:f>IF(OR(Q842="",Q842="待结算"),"",IF(L842=LEFT(F842,FIND(" vs ",F842)-1),I842,G842))</x:f>
        <x:v>1.02</x:v>
      </x:c>
      <x:c r="W842" s="604" t="n">
        <x:f>IF(OR(U842="",U842="待结算"),"",IF(U842="红",V842,IF(U842="半红",V842*0.5,IF(U842="走",0,IF(U842="半黑",-0.5,-1)))))</x:f>
        <x:v>1.02</x:v>
      </x:c>
      <x:c r="X842" s="604" t="inlineStr">
        <x:is>
          <x:t xml:space="preserve">3024468</x:t>
        </x:is>
      </x:c>
      <x:c r="Y842" s="604" t="inlineStr">
        <x:is>
          <x:t xml:space="preserve">V4</x:t>
        </x:is>
      </x:c>
      <x:c r="Z842" s="604" t="inlineStr">
        <x:is>
          <x:t xml:space="preserve">prior-2026-10-03-v1</x:t>
        </x:is>
      </x:c>
      <x:c r="AA842" s="604" t="inlineStr">
        <x:is>
          <x:t xml:space="preserve">B</x:t>
        </x:is>
      </x:c>
      <x:c r="AB842" s="604" t="n">
        <x:v>0.4672051899275896</x:v>
      </x:c>
      <x:c r="AC842" s="604" t="n"/>
      <x:c r="AD842" s="604" t="n">
        <x:v>0.2532984583888807</x:v>
      </x:c>
      <x:c r="AE842" s="604" t="n"/>
      <x:c r="AF842" s="604" t="n">
        <x:v>0.2794963516835298</x:v>
      </x:c>
      <x:c r="AG842" s="604" t="n">
        <x:v>0.09426780025854192</x:v>
      </x:c>
      <x:c r="AH842" s="604" t="n"/>
      <x:c r="AI842" s="604" t="n"/>
      <x:c r="AJ842" s="604" t="n">
        <x:v>0.09426780025854192</x:v>
      </x:c>
      <x:c r="AK842" s="604" t="n"/>
      <x:c r="AL842" s="604" t="n"/>
      <x:c r="AM842" s="604" t="n"/>
      <x:c r="AN842" s="604" t="inlineStr">
        <x:is>
          <x:t xml:space="preserve">EVALUATED</x:t>
        </x:is>
      </x:c>
      <x:c r="AO842" s="604" t="inlineStr">
        <x:is>
          <x:t xml:space="preserve">GIVING_VALIDATED_EDGE、BUCKET_PRIOR_ONLY、INTENT_INTERPRETATION_ONLY、EXPERT_MARKET</x:t>
        </x:is>
      </x:c>
      <x:c r="AP842" s="604" t="inlineStr">
        <x:is>
          <x:t xml:space="preserve">6345d20fbed01c5990ee</x:t>
        </x:is>
      </x:c>
      <x:c r="AQ842" s="604" t="n">
        <x:v>-1</x:v>
      </x:c>
      <x:c r="AR842" s="604" t="n">
        <x:v>0.8</x:v>
      </x:c>
      <x:c r="AS842" s="604" t="n">
        <x:v>1</x:v>
      </x:c>
      <x:c r="AT842" s="604" t="n">
        <x:v>-1</x:v>
      </x:c>
      <x:c r="AU842" s="604" t="n">
        <x:v>0.8</x:v>
      </x:c>
      <x:c r="AV842" s="604" t="n">
        <x:v>1.02</x:v>
      </x:c>
      <x:c r="AW842" s="604" t="n">
        <x:v>46298.06050486111</x:v>
      </x:c>
      <x:c r="AX842" s="604" t="inlineStr">
        <x:is>
          <x:t xml:space="preserve">https://simondongxiao.github.io/odds/v4/</x:t>
        </x:is>
      </x:c>
      <x:c r="AY842" s="604" t="inlineStr">
        <x:is>
          <x:t xml:space="preserve">V4 Shadow Only；real_money=false；P(EV&gt;0)不是比赛胜率</x:t>
        </x:is>
      </x:c>
    </x:row>
    <x:row r="843" ht="22" customHeight="1">
      <x:c r="A843" s="604" t="inlineStr">
        <x:is>
          <x:t xml:space="preserve">2026-10-03</x:t>
        </x:is>
      </x:c>
      <x:c r="B843" s="604" t="inlineStr">
        <x:is>
          <x:t xml:space="preserve">2026-10-04 09:00</x:t>
        </x:is>
      </x:c>
      <x:c r="C843" s="604" t="str">
        <x:v>北美系列</x:v>
      </x:c>
      <x:c r="D843" s="604" t="inlineStr">
        <x:is>
          <x:t xml:space="preserve">联赛</x:t>
        </x:is>
      </x:c>
      <x:c r="E843" s="604" t="inlineStr">
        <x:is>
          <x:t xml:space="preserve">墨西甲春</x:t>
        </x:is>
      </x:c>
      <x:c r="F843" s="604" t="inlineStr">
        <x:is>
          <x:t xml:space="preserve">坎昆 vs 塔巴蒂奥</x:t>
        </x:is>
      </x:c>
      <x:c r="G843" s="604" t="n">
        <x:v>0.92</x:v>
      </x:c>
      <x:c r="H843" s="604" t="n">
        <x:v>0.75</x:v>
      </x:c>
      <x:c r="I843" s="604" t="n">
        <x:v>0.9</x:v>
      </x:c>
      <x:c r="J843" s="604" t="inlineStr">
        <x:is>
          <x:t xml:space="preserve">0.92/0.75/0.9</x:t>
        </x:is>
      </x:c>
      <x:c r="K843" s="604" t="inlineStr">
        <x:is>
          <x:t xml:space="preserve">V4-A｜EV +0.1466</x:t>
        </x:is>
      </x:c>
      <x:c r="L843" s="604" t="inlineStr">
        <x:is>
          <x:t xml:space="preserve">坎昆</x:t>
        </x:is>
      </x:c>
      <x:c r="M843" s="604" t="n">
        <x:v>0.6084367753079671</x:v>
      </x:c>
      <x:c r="N843" s="604" t="inlineStr">
        <x:is>
          <x:t xml:space="preserve">V4纸面入选-A</x:t>
        </x:is>
      </x:c>
      <x:c r="O843" s="604" t="inlineStr">
        <x:is>
          <x:t xml:space="preserve">1-0</x:t>
        </x:is>
      </x:c>
      <x:c r="P843" s="604" t="inlineStr">
        <x:is>
          <x:t xml:space="preserve">已结算</x:t>
        </x:is>
      </x:c>
      <x:c r="Q843" s="649" t="inlineStr">
        <x:is>
          <x:t xml:space="preserve">半红</x:t>
        </x:is>
      </x:c>
      <x:c r="R843" s="604" t="n">
        <x:v>0.92</x:v>
      </x:c>
      <x:c r="S843" s="604" t="n">
        <x:f>IF(OR(Q843="",Q843="待结算"),"",IF(Q843="红",R843,IF(Q843="半红",R843*0.5,IF(Q843="走",0,IF(Q843="半黑",-0.5,-1)))))</x:f>
        <x:v>0.46</x:v>
      </x:c>
      <x:c r="T843" s="604" t="inlineStr">
        <x:is>
          <x:t xml:space="preserve">https://m.titan007.com/analy/Analysis/3024469.htm</x:t>
        </x:is>
      </x:c>
      <x:c r="U843" s="648" t="str">
        <x:f>IF(Q843="","",IF(Q843="待结算","待结算",IF(Q843="红","黑",IF(Q843="半红","半黑",IF(Q843="走","走",IF(Q843="半黑","半红","红"))))))</x:f>
        <x:v>半黑</x:v>
      </x:c>
      <x:c r="V843" s="604" t="n">
        <x:f>IF(OR(Q843="",Q843="待结算"),"",IF(L843=LEFT(F843,FIND(" vs ",F843)-1),I843,G843))</x:f>
        <x:v>0.9</x:v>
      </x:c>
      <x:c r="W843" s="604" t="n">
        <x:f>IF(OR(U843="",U843="待结算"),"",IF(U843="红",V843,IF(U843="半红",V843*0.5,IF(U843="走",0,IF(U843="半黑",-0.5,-1)))))</x:f>
        <x:v>-0.5</x:v>
      </x:c>
      <x:c r="X843" s="604" t="inlineStr">
        <x:is>
          <x:t xml:space="preserve">3024469</x:t>
        </x:is>
      </x:c>
      <x:c r="Y843" s="604" t="inlineStr">
        <x:is>
          <x:t xml:space="preserve">V4</x:t>
        </x:is>
      </x:c>
      <x:c r="Z843" s="604" t="inlineStr">
        <x:is>
          <x:t xml:space="preserve">prior-2026-10-03-v1</x:t>
        </x:is>
      </x:c>
      <x:c r="AA843" s="604" t="inlineStr">
        <x:is>
          <x:t xml:space="preserve">A</x:t>
        </x:is>
      </x:c>
      <x:c r="AB843" s="604" t="n">
        <x:v>0.4023038108092696</x:v>
      </x:c>
      <x:c r="AC843" s="604" t="n">
        <x:v>0.2563146623643062</x:v>
      </x:c>
      <x:c r="AD843" s="604" t="n"/>
      <x:c r="AE843" s="604" t="n"/>
      <x:c r="AF843" s="604" t="n">
        <x:v>0.3413815268264242</x:v>
      </x:c>
      <x:c r="AG843" s="604" t="n">
        <x:v>0.1466427238056847</x:v>
      </x:c>
      <x:c r="AH843" s="604" t="n"/>
      <x:c r="AI843" s="604" t="n"/>
      <x:c r="AJ843" s="604" t="n">
        <x:v>0.1466427238056847</x:v>
      </x:c>
      <x:c r="AK843" s="604" t="n"/>
      <x:c r="AL843" s="604" t="n"/>
      <x:c r="AM843" s="604" t="n"/>
      <x:c r="AN843" s="604" t="inlineStr">
        <x:is>
          <x:t xml:space="preserve">EVALUATED</x:t>
        </x:is>
      </x:c>
      <x:c r="AO843" s="604" t="inlineStr">
        <x:is>
          <x:t xml:space="preserve">GIVING_VALIDATED_EDGE、BUCKET_PRIOR_ONLY、INTENT_INTERPRETATION_ONLY、EXPERT_MARKET</x:t>
        </x:is>
      </x:c>
      <x:c r="AP843" s="604" t="inlineStr">
        <x:is>
          <x:t xml:space="preserve">eb8ed2fa504724d17b3a</x:t>
        </x:is>
      </x:c>
      <x:c r="AQ843" s="604" t="n">
        <x:v>-0.75</x:v>
      </x:c>
      <x:c r="AR843" s="604" t="n">
        <x:v>0.92</x:v>
      </x:c>
      <x:c r="AS843" s="604" t="n">
        <x:v>0.75</x:v>
      </x:c>
      <x:c r="AT843" s="604" t="n">
        <x:v>-0.75</x:v>
      </x:c>
      <x:c r="AU843" s="604" t="n">
        <x:v>0.92</x:v>
      </x:c>
      <x:c r="AV843" s="604" t="n">
        <x:v>0.9</x:v>
      </x:c>
      <x:c r="AW843" s="604" t="n">
        <x:v>46298.06050486111</x:v>
      </x:c>
      <x:c r="AX843" s="604" t="inlineStr">
        <x:is>
          <x:t xml:space="preserve">https://simondongxiao.github.io/odds/v4/</x:t>
        </x:is>
      </x:c>
      <x:c r="AY843" s="604" t="inlineStr">
        <x:is>
          <x:t xml:space="preserve">V4 Shadow Only；real_money=false；P(EV&gt;0)不是比赛胜率</x:t>
        </x:is>
      </x:c>
    </x:row>
    <x:row r="844" ht="22" customHeight="1">
      <x:c r="A844" s="604" t="inlineStr">
        <x:is>
          <x:t xml:space="preserve">2026-10-03</x:t>
        </x:is>
      </x:c>
      <x:c r="B844" s="604" t="inlineStr">
        <x:is>
          <x:t xml:space="preserve">2026-10-04 09:00</x:t>
        </x:is>
      </x:c>
      <x:c r="C844" s="604" t="str">
        <x:v>北美系列</x:v>
      </x:c>
      <x:c r="D844" s="604" t="inlineStr">
        <x:is>
          <x:t xml:space="preserve">联赛</x:t>
        </x:is>
      </x:c>
      <x:c r="E844" s="604" t="inlineStr">
        <x:is>
          <x:t xml:space="preserve">墨西甲春</x:t>
        </x:is>
      </x:c>
      <x:c r="F844" s="604" t="inlineStr">
        <x:is>
          <x:t xml:space="preserve">皮拉塔斯 vs 瓦哈卡</x:t>
        </x:is>
      </x:c>
      <x:c r="G844" s="604" t="n">
        <x:v>0.9</x:v>
      </x:c>
      <x:c r="H844" s="604" t="n">
        <x:v>1.5</x:v>
      </x:c>
      <x:c r="I844" s="604" t="n">
        <x:v>0.92</x:v>
      </x:c>
      <x:c r="J844" s="604" t="inlineStr">
        <x:is>
          <x:t xml:space="preserve">0.9/1.5/0.92</x:t>
        </x:is>
      </x:c>
      <x:c r="K844" s="604" t="inlineStr">
        <x:is>
          <x:t xml:space="preserve">V4-A｜EV +0.2577</x:t>
        </x:is>
      </x:c>
      <x:c r="L844" s="604" t="inlineStr">
        <x:is>
          <x:t xml:space="preserve">皮拉塔斯</x:t>
        </x:is>
      </x:c>
      <x:c r="M844" s="604" t="n">
        <x:v>0.6619244164537608</x:v>
      </x:c>
      <x:c r="N844" s="604" t="inlineStr">
        <x:is>
          <x:t xml:space="preserve">V4纸面入选-A</x:t>
        </x:is>
      </x:c>
      <x:c r="O844" s="604" t="inlineStr">
        <x:is>
          <x:t xml:space="preserve">4-0</x:t>
        </x:is>
      </x:c>
      <x:c r="P844" s="604" t="inlineStr">
        <x:is>
          <x:t xml:space="preserve">已结算</x:t>
        </x:is>
      </x:c>
      <x:c r="Q844" s="645" t="inlineStr">
        <x:is>
          <x:t xml:space="preserve">红</x:t>
        </x:is>
      </x:c>
      <x:c r="R844" s="604" t="n">
        <x:v>0.9</x:v>
      </x:c>
      <x:c r="S844" s="604" t="n">
        <x:f>IF(OR(Q844="",Q844="待结算"),"",IF(Q844="红",R844,IF(Q844="半红",R844*0.5,IF(Q844="走",0,IF(Q844="半黑",-0.5,-1)))))</x:f>
        <x:v>0.9</x:v>
      </x:c>
      <x:c r="T844" s="604" t="inlineStr">
        <x:is>
          <x:t xml:space="preserve">https://m.titan007.com/analy/Analysis/3024471.htm</x:t>
        </x:is>
      </x:c>
      <x:c r="U844" s="646" t="str">
        <x:f>IF(Q844="","",IF(Q844="待结算","待结算",IF(Q844="红","黑",IF(Q844="半红","半黑",IF(Q844="走","走",IF(Q844="半黑","半红","红"))))))</x:f>
        <x:v>黑</x:v>
      </x:c>
      <x:c r="V844" s="604" t="n">
        <x:f>IF(OR(Q844="",Q844="待结算"),"",IF(L844=LEFT(F844,FIND(" vs ",F844)-1),I844,G844))</x:f>
        <x:v>0.92</x:v>
      </x:c>
      <x:c r="W844" s="604" t="n">
        <x:f>IF(OR(U844="",U844="待结算"),"",IF(U844="红",V844,IF(U844="半红",V844*0.5,IF(U844="走",0,IF(U844="半黑",-0.5,-1)))))</x:f>
        <x:v>-1</x:v>
      </x:c>
      <x:c r="X844" s="604" t="inlineStr">
        <x:is>
          <x:t xml:space="preserve">3024471</x:t>
        </x:is>
      </x:c>
      <x:c r="Y844" s="604" t="inlineStr">
        <x:is>
          <x:t xml:space="preserve">V4</x:t>
        </x:is>
      </x:c>
      <x:c r="Z844" s="604" t="inlineStr">
        <x:is>
          <x:t xml:space="preserve">prior-2026-10-03-v1</x:t>
        </x:is>
      </x:c>
      <x:c r="AA844" s="604" t="inlineStr">
        <x:is>
          <x:t xml:space="preserve">A</x:t>
        </x:is>
      </x:c>
      <x:c r="AB844" s="604" t="n">
        <x:v>0.6619244164537608</x:v>
      </x:c>
      <x:c r="AC844" s="604" t="n"/>
      <x:c r="AD844" s="604" t="n"/>
      <x:c r="AE844" s="604" t="n"/>
      <x:c r="AF844" s="604" t="n">
        <x:v>0.3380755835462392</x:v>
      </x:c>
      <x:c r="AG844" s="604" t="n">
        <x:v>0.2576563912621455</x:v>
      </x:c>
      <x:c r="AH844" s="604" t="n"/>
      <x:c r="AI844" s="604" t="n"/>
      <x:c r="AJ844" s="604" t="n">
        <x:v>0.2576563912621455</x:v>
      </x:c>
      <x:c r="AK844" s="604" t="n"/>
      <x:c r="AL844" s="604" t="n"/>
      <x:c r="AM844" s="604" t="n"/>
      <x:c r="AN844" s="604" t="inlineStr">
        <x:is>
          <x:t xml:space="preserve">EVALUATED</x:t>
        </x:is>
      </x:c>
      <x:c r="AO844" s="604" t="inlineStr">
        <x:is>
          <x:t xml:space="preserve">GIVING_VALIDATED_EDGE、BUCKET_PRIOR_ONLY、INTENT_INTERPRETATION_ONLY、EXPERT_MARKET</x:t>
        </x:is>
      </x:c>
      <x:c r="AP844" s="604" t="inlineStr">
        <x:is>
          <x:t xml:space="preserve">7b80bd62956a142eeae3</x:t>
        </x:is>
      </x:c>
      <x:c r="AQ844" s="604" t="n">
        <x:v>-1.5</x:v>
      </x:c>
      <x:c r="AR844" s="604" t="n">
        <x:v>0.9</x:v>
      </x:c>
      <x:c r="AS844" s="604" t="n">
        <x:v>1.5</x:v>
      </x:c>
      <x:c r="AT844" s="604" t="n">
        <x:v>-1.5</x:v>
      </x:c>
      <x:c r="AU844" s="604" t="n">
        <x:v>0.9</x:v>
      </x:c>
      <x:c r="AV844" s="604" t="n">
        <x:v>0.92</x:v>
      </x:c>
      <x:c r="AW844" s="604" t="n">
        <x:v>46298.06050486111</x:v>
      </x:c>
      <x:c r="AX844" s="604" t="inlineStr">
        <x:is>
          <x:t xml:space="preserve">https://simondongxiao.github.io/odds/v4/</x:t>
        </x:is>
      </x:c>
      <x:c r="AY844" s="604" t="inlineStr">
        <x:is>
          <x:t xml:space="preserve">V4 Shadow Only；real_money=false；P(EV&gt;0)不是比赛胜率</x:t>
        </x:is>
      </x:c>
    </x:row>
    <x:row r="845" ht="22" customHeight="1">
      <x:c r="A845" s="604" t="inlineStr">
        <x:is>
          <x:t xml:space="preserve">2026-10-03</x:t>
        </x:is>
      </x:c>
      <x:c r="B845" s="604" t="inlineStr">
        <x:is>
          <x:t xml:space="preserve">2026-10-04 09:00</x:t>
        </x:is>
      </x:c>
      <x:c r="C845" s="604" t="str">
        <x:v>北美系列</x:v>
      </x:c>
      <x:c r="D845" s="604" t="inlineStr">
        <x:is>
          <x:t xml:space="preserve">联赛</x:t>
        </x:is>
      </x:c>
      <x:c r="E845" s="604" t="inlineStr">
        <x:is>
          <x:t xml:space="preserve">墨西女超春</x:t>
        </x:is>
      </x:c>
      <x:c r="F845" s="604" t="inlineStr">
        <x:is>
          <x:t xml:space="preserve">蒂华纳女足 vs 亚特兰特女足</x:t>
        </x:is>
      </x:c>
      <x:c r="G845" s="604" t="n">
        <x:v>0.97</x:v>
      </x:c>
      <x:c r="H845" s="604" t="n">
        <x:v>1</x:v>
      </x:c>
      <x:c r="I845" s="604" t="n">
        <x:v>0.79</x:v>
      </x:c>
      <x:c r="J845" s="604" t="inlineStr">
        <x:is>
          <x:t xml:space="preserve">0.97/1/0.79</x:t>
        </x:is>
      </x:c>
      <x:c r="K845" s="604" t="inlineStr">
        <x:is>
          <x:t xml:space="preserve">V4-B｜EV +0.0751</x:t>
        </x:is>
      </x:c>
      <x:c r="L845" s="604" t="inlineStr">
        <x:is>
          <x:t xml:space="preserve">蒂华纳女足</x:t>
        </x:is>
      </x:c>
      <x:c r="M845" s="604" t="n">
        <x:v>0.5588836082929037</x:v>
      </x:c>
      <x:c r="N845" s="604" t="inlineStr">
        <x:is>
          <x:t xml:space="preserve">V4纸面入选-B</x:t>
        </x:is>
      </x:c>
      <x:c r="O845" s="604" t="inlineStr">
        <x:is>
          <x:t xml:space="preserve">1-0</x:t>
        </x:is>
      </x:c>
      <x:c r="P845" s="604" t="inlineStr">
        <x:is>
          <x:t xml:space="preserve">已结算</x:t>
        </x:is>
      </x:c>
      <x:c r="Q845" s="647" t="inlineStr">
        <x:is>
          <x:t xml:space="preserve">走</x:t>
        </x:is>
      </x:c>
      <x:c r="R845" s="604" t="n">
        <x:v>0.97</x:v>
      </x:c>
      <x:c r="S845" s="604" t="n">
        <x:f>IF(OR(Q845="",Q845="待结算"),"",IF(Q845="红",R845,IF(Q845="半红",R845*0.5,IF(Q845="走",0,IF(Q845="半黑",-0.5,-1)))))</x:f>
        <x:v>0</x:v>
      </x:c>
      <x:c r="T845" s="604" t="inlineStr">
        <x:is>
          <x:t xml:space="preserve">https://m.titan007.com/analy/Analysis/3046049.htm</x:t>
        </x:is>
      </x:c>
      <x:c r="U845" s="647" t="str">
        <x:f>IF(Q845="","",IF(Q845="待结算","待结算",IF(Q845="红","黑",IF(Q845="半红","半黑",IF(Q845="走","走",IF(Q845="半黑","半红","红"))))))</x:f>
        <x:v>走</x:v>
      </x:c>
      <x:c r="V845" s="604" t="n">
        <x:f>IF(OR(Q845="",Q845="待结算"),"",IF(L845=LEFT(F845,FIND(" vs ",F845)-1),I845,G845))</x:f>
        <x:v>0.79</x:v>
      </x:c>
      <x:c r="W845" s="604" t="n">
        <x:f>IF(OR(U845="",U845="待结算"),"",IF(U845="红",V845,IF(U845="半红",V845*0.5,IF(U845="走",0,IF(U845="半黑",-0.5,-1)))))</x:f>
        <x:v>0</x:v>
      </x:c>
      <x:c r="X845" s="604" t="inlineStr">
        <x:is>
          <x:t xml:space="preserve">3046049</x:t>
        </x:is>
      </x:c>
      <x:c r="Y845" s="604" t="inlineStr">
        <x:is>
          <x:t xml:space="preserve">V4</x:t>
        </x:is>
      </x:c>
      <x:c r="Z845" s="604" t="inlineStr">
        <x:is>
          <x:t xml:space="preserve">prior-2026-10-03-v1</x:t>
        </x:is>
      </x:c>
      <x:c r="AA845" s="604" t="inlineStr">
        <x:is>
          <x:t xml:space="preserve">B</x:t>
        </x:is>
      </x:c>
      <x:c r="AB845" s="604" t="n">
        <x:v>0.4158246930857992</x:v>
      </x:c>
      <x:c r="AC845" s="604" t="n"/>
      <x:c r="AD845" s="604" t="n">
        <x:v>0.2559726445441378</x:v>
      </x:c>
      <x:c r="AE845" s="604" t="n"/>
      <x:c r="AF845" s="604" t="n">
        <x:v>0.328202662370063</x:v>
      </x:c>
      <x:c r="AG845" s="604" t="n">
        <x:v>0.07514728992316216</x:v>
      </x:c>
      <x:c r="AH845" s="604" t="n"/>
      <x:c r="AI845" s="604" t="n"/>
      <x:c r="AJ845" s="604" t="n">
        <x:v>0.07514728992316216</x:v>
      </x:c>
      <x:c r="AK845" s="604" t="n"/>
      <x:c r="AL845" s="604" t="n"/>
      <x:c r="AM845" s="604" t="n"/>
      <x:c r="AN845" s="604" t="inlineStr">
        <x:is>
          <x:t xml:space="preserve">EVALUATED</x:t>
        </x:is>
      </x:c>
      <x:c r="AO845" s="604" t="inlineStr">
        <x:is>
          <x:t xml:space="preserve">GIVING_VALIDATED_EDGE、BUCKET_PRIOR_ONLY、INTENT_INTERPRETATION_ONLY、EXPERT_MARKET</x:t>
        </x:is>
      </x:c>
      <x:c r="AP845" s="604" t="inlineStr">
        <x:is>
          <x:t xml:space="preserve">5908a10d18c4f7e7ad03</x:t>
        </x:is>
      </x:c>
      <x:c r="AQ845" s="604" t="n">
        <x:v>-1</x:v>
      </x:c>
      <x:c r="AR845" s="604" t="n">
        <x:v>0.97</x:v>
      </x:c>
      <x:c r="AS845" s="604" t="n">
        <x:v>1</x:v>
      </x:c>
      <x:c r="AT845" s="604" t="n">
        <x:v>-1</x:v>
      </x:c>
      <x:c r="AU845" s="604" t="n">
        <x:v>0.97</x:v>
      </x:c>
      <x:c r="AV845" s="604" t="n">
        <x:v>0.79</x:v>
      </x:c>
      <x:c r="AW845" s="604" t="n">
        <x:v>46298.06050486111</x:v>
      </x:c>
      <x:c r="AX845" s="604" t="inlineStr">
        <x:is>
          <x:t xml:space="preserve">https://simondongxiao.github.io/odds/v4/</x:t>
        </x:is>
      </x:c>
      <x:c r="AY845" s="604" t="inlineStr">
        <x:is>
          <x:t xml:space="preserve">V4 Shadow Only；real_money=false；P(EV&gt;0)不是比赛胜率</x:t>
        </x:is>
      </x:c>
    </x:row>
    <x:row r="846" ht="22" customHeight="1">
      <x:c r="A846" s="604" t="inlineStr">
        <x:is>
          <x:t xml:space="preserve">2026-10-03</x:t>
        </x:is>
      </x:c>
      <x:c r="B846" s="604" t="inlineStr">
        <x:is>
          <x:t xml:space="preserve">2026-10-04 09:00</x:t>
        </x:is>
      </x:c>
      <x:c r="C846" s="604" t="str">
        <x:v>北美系列</x:v>
      </x:c>
      <x:c r="D846" s="604" t="inlineStr">
        <x:is>
          <x:t xml:space="preserve">联赛</x:t>
        </x:is>
      </x:c>
      <x:c r="E846" s="604" t="inlineStr">
        <x:is>
          <x:t xml:space="preserve">美甲</x:t>
        </x:is>
      </x:c>
      <x:c r="F846" s="604" t="inlineStr">
        <x:is>
          <x:t xml:space="preserve">斯波坎速度 vs 波特兰松之心</x:t>
        </x:is>
      </x:c>
      <x:c r="G846" s="604" t="n">
        <x:v>0.77</x:v>
      </x:c>
      <x:c r="H846" s="604" t="n">
        <x:v>0</x:v>
      </x:c>
      <x:c r="I846" s="604" t="n">
        <x:v>0.93</x:v>
      </x:c>
      <x:c r="J846" s="604" t="inlineStr">
        <x:is>
          <x:t xml:space="preserve">0.77/0/0.93</x:t>
        </x:is>
      </x:c>
      <x:c r="K846" s="604" t="inlineStr">
        <x:is>
          <x:t xml:space="preserve">V4-C｜EV +0.0507</x:t>
        </x:is>
      </x:c>
      <x:c r="L846" s="604" t="str"/>
      <x:c r="M846" s="604" t="n">
        <x:v>0.597829178112748</x:v>
      </x:c>
      <x:c r="N846" s="604" t="inlineStr">
        <x:is>
          <x:t xml:space="preserve">V4纸面入选-C</x:t>
        </x:is>
      </x:c>
      <x:c r="O846" s="604" t="inlineStr">
        <x:is>
          <x:t xml:space="preserve">3-3</x:t>
        </x:is>
      </x:c>
      <x:c r="P846" s="604" t="inlineStr">
        <x:is>
          <x:t xml:space="preserve">已结算</x:t>
        </x:is>
      </x:c>
      <x:c r="Q846" s="647" t="inlineStr">
        <x:is>
          <x:t xml:space="preserve">走</x:t>
        </x:is>
      </x:c>
      <x:c r="R846" s="604" t="n">
        <x:v>0.93</x:v>
      </x:c>
      <x:c r="S846" s="604" t="n">
        <x:f>IF(OR(Q846="",Q846="待结算"),"",IF(Q846="红",R846,IF(Q846="半红",R846*0.5,IF(Q846="走",0,IF(Q846="半黑",-0.5,-1)))))</x:f>
        <x:v>0</x:v>
      </x:c>
      <x:c r="T846" s="604" t="inlineStr">
        <x:is>
          <x:t xml:space="preserve">https://m.titan007.com/analy/Analysis/2955402.htm</x:t>
        </x:is>
      </x:c>
      <x:c r="U846" s="647" t="str">
        <x:f>IF(Q846="","",IF(Q846="待结算","待结算",IF(Q846="红","黑",IF(Q846="半红","半黑",IF(Q846="走","走",IF(Q846="半黑","半红","红"))))))</x:f>
        <x:v>走</x:v>
      </x:c>
      <x:c r="V846" s="604" t="n">
        <x:f>IF(OR(Q846="",Q846="待结算"),"",IF(L846=LEFT(F846,FIND(" vs ",F846)-1),I846,G846))</x:f>
        <x:v>0.77</x:v>
      </x:c>
      <x:c r="W846" s="604" t="n">
        <x:f>IF(OR(U846="",U846="待结算"),"",IF(U846="红",V846,IF(U846="半红",V846*0.5,IF(U846="走",0,IF(U846="半黑",-0.5,-1)))))</x:f>
        <x:v>0</x:v>
      </x:c>
      <x:c r="X846" s="604" t="inlineStr">
        <x:is>
          <x:t xml:space="preserve">2955402</x:t>
        </x:is>
      </x:c>
      <x:c r="Y846" s="604" t="inlineStr">
        <x:is>
          <x:t xml:space="preserve">V4</x:t>
        </x:is>
      </x:c>
      <x:c r="Z846" s="604" t="inlineStr">
        <x:is>
          <x:t xml:space="preserve">prior-2026-10-03-v1</x:t>
        </x:is>
      </x:c>
      <x:c r="AA846" s="604" t="inlineStr">
        <x:is>
          <x:t xml:space="preserve">C</x:t>
        </x:is>
      </x:c>
      <x:c r="AB846" s="604" t="n">
        <x:v>0.3934989942001672</x:v>
      </x:c>
      <x:c r="AC846" s="604" t="n">
        <x:v>0.2557597354104177</x:v>
      </x:c>
      <x:c r="AD846" s="604" t="n"/>
      <x:c r="AE846" s="604" t="n"/>
      <x:c r="AF846" s="604" t="n">
        <x:v>0.350741270389415</x:v>
      </x:c>
      <x:c r="AG846" s="604" t="n">
        <x:v>0.05072045327772445</x:v>
      </x:c>
      <x:c r="AH846" s="604" t="n"/>
      <x:c r="AI846" s="604" t="n"/>
      <x:c r="AJ846" s="604" t="n">
        <x:v>0.05072045327772445</x:v>
      </x:c>
      <x:c r="AK846" s="604" t="n"/>
      <x:c r="AL846" s="604" t="n"/>
      <x:c r="AM846" s="604" t="n"/>
      <x:c r="AN846" s="604" t="inlineStr">
        <x:is>
          <x:t xml:space="preserve">EVALUATED</x:t>
        </x:is>
      </x:c>
      <x:c r="AO846" s="604" t="inlineStr">
        <x:is>
          <x:t xml:space="preserve">EDGE_BELOW_UNCERTAINTY_THRESHOLD、BUCKET_PRIOR_ONLY、INTENT_INTERPRETATION_ONLY、EXPERT_MARKET</x:t>
        </x:is>
      </x:c>
      <x:c r="AP846" s="604" t="inlineStr">
        <x:is>
          <x:t xml:space="preserve">b74b3fa92c0216263bd0</x:t>
        </x:is>
      </x:c>
      <x:c r="AQ846" s="604" t="n">
        <x:v>0</x:v>
      </x:c>
      <x:c r="AR846" s="604" t="n"/>
      <x:c r="AS846" s="604" t="n">
        <x:v>0</x:v>
      </x:c>
      <x:c r="AT846" s="604" t="n">
        <x:v>0</x:v>
      </x:c>
      <x:c r="AU846" s="604" t="n">
        <x:v>0.77</x:v>
      </x:c>
      <x:c r="AV846" s="604" t="n">
        <x:v>0.93</x:v>
      </x:c>
      <x:c r="AW846" s="604" t="n">
        <x:v>46298.06050486111</x:v>
      </x:c>
      <x:c r="AX846" s="604" t="inlineStr">
        <x:is>
          <x:t xml:space="preserve">https://simondongxiao.github.io/odds/v4/</x:t>
        </x:is>
      </x:c>
      <x:c r="AY846" s="604" t="inlineStr">
        <x:is>
          <x:t xml:space="preserve">V4 Shadow Only；real_money=false；P(EV&gt;0)不是比赛胜率</x:t>
        </x:is>
      </x:c>
    </x:row>
    <x:row r="847" ht="22" customHeight="1">
      <x:c r="A847" s="604" t="inlineStr">
        <x:is>
          <x:t xml:space="preserve">2026-10-03</x:t>
        </x:is>
      </x:c>
      <x:c r="B847" s="604" t="inlineStr">
        <x:is>
          <x:t xml:space="preserve">2026-10-04 09:20</x:t>
        </x:is>
      </x:c>
      <x:c r="C847" s="604" t="str">
        <x:v>南美系列</x:v>
      </x:c>
      <x:c r="D847" s="604" t="inlineStr">
        <x:is>
          <x:t xml:space="preserve">联赛</x:t>
        </x:is>
      </x:c>
      <x:c r="E847" s="604" t="inlineStr">
        <x:is>
          <x:t xml:space="preserve">哥伦乙秋</x:t>
        </x:is>
      </x:c>
      <x:c r="F847" s="604" t="inlineStr">
        <x:is>
          <x:t xml:space="preserve">卡达根拿 vs 卡利博卡青年</x:t>
        </x:is>
      </x:c>
      <x:c r="G847" s="604" t="n">
        <x:v>0.84</x:v>
      </x:c>
      <x:c r="H847" s="604" t="n">
        <x:v>1.25</x:v>
      </x:c>
      <x:c r="I847" s="604" t="n">
        <x:v>0.86</x:v>
      </x:c>
      <x:c r="J847" s="604" t="inlineStr">
        <x:is>
          <x:t xml:space="preserve">0.84/1.25/0.86</x:t>
        </x:is>
      </x:c>
      <x:c r="K847" s="604" t="inlineStr">
        <x:is>
          <x:t xml:space="preserve">V4-B｜EV +0.0847</x:t>
        </x:is>
      </x:c>
      <x:c r="L847" s="604" t="inlineStr">
        <x:is>
          <x:t xml:space="preserve">卡达根拿</x:t>
        </x:is>
      </x:c>
      <x:c r="M847" s="604" t="n">
        <x:v>0.5960019120527125</x:v>
      </x:c>
      <x:c r="N847" s="604" t="inlineStr">
        <x:is>
          <x:t xml:space="preserve">V4纸面入选-B</x:t>
        </x:is>
      </x:c>
      <x:c r="O847" s="604" t="inlineStr">
        <x:is>
          <x:t xml:space="preserve">2-3</x:t>
        </x:is>
      </x:c>
      <x:c r="P847" s="604" t="inlineStr">
        <x:is>
          <x:t xml:space="preserve">已结算</x:t>
        </x:is>
      </x:c>
      <x:c r="Q847" s="646" t="inlineStr">
        <x:is>
          <x:t xml:space="preserve">黑</x:t>
        </x:is>
      </x:c>
      <x:c r="R847" s="604" t="n">
        <x:v>0.84</x:v>
      </x:c>
      <x:c r="S847" s="604" t="n">
        <x:f>IF(OR(Q847="",Q847="待结算"),"",IF(Q847="红",R847,IF(Q847="半红",R847*0.5,IF(Q847="走",0,IF(Q847="半黑",-0.5,-1)))))</x:f>
        <x:v>-1</x:v>
      </x:c>
      <x:c r="T847" s="604" t="inlineStr">
        <x:is>
          <x:t xml:space="preserve">https://m.titan007.com/analy/Analysis/3012208.htm</x:t>
        </x:is>
      </x:c>
      <x:c r="U847" s="645" t="str">
        <x:f>IF(Q847="","",IF(Q847="待结算","待结算",IF(Q847="红","黑",IF(Q847="半红","半黑",IF(Q847="走","走",IF(Q847="半黑","半红","红"))))))</x:f>
        <x:v>红</x:v>
      </x:c>
      <x:c r="V847" s="604" t="n">
        <x:f>IF(OR(Q847="",Q847="待结算"),"",IF(L847=LEFT(F847,FIND(" vs ",F847)-1),I847,G847))</x:f>
        <x:v>0.86</x:v>
      </x:c>
      <x:c r="W847" s="604" t="n">
        <x:f>IF(OR(U847="",U847="待结算"),"",IF(U847="红",V847,IF(U847="半红",V847*0.5,IF(U847="走",0,IF(U847="半黑",-0.5,-1)))))</x:f>
        <x:v>0.86</x:v>
      </x:c>
      <x:c r="X847" s="604" t="inlineStr">
        <x:is>
          <x:t xml:space="preserve">3012208</x:t>
        </x:is>
      </x:c>
      <x:c r="Y847" s="604" t="inlineStr">
        <x:is>
          <x:t xml:space="preserve">V4</x:t>
        </x:is>
      </x:c>
      <x:c r="Z847" s="604" t="inlineStr">
        <x:is>
          <x:t xml:space="preserve">prior-2026-10-03-v1</x:t>
        </x:is>
      </x:c>
      <x:c r="AA847" s="604" t="inlineStr">
        <x:is>
          <x:t xml:space="preserve">B</x:t>
        </x:is>
      </x:c>
      <x:c r="AB847" s="604" t="n">
        <x:v>0.5224548536827445</x:v>
      </x:c>
      <x:c r="AC847" s="604" t="n"/>
      <x:c r="AD847" s="604" t="n"/>
      <x:c r="AE847" s="604" t="n">
        <x:v>0.2468014175211683</x:v>
      </x:c>
      <x:c r="AF847" s="604" t="n">
        <x:v>0.2307437287960873</x:v>
      </x:c>
      <x:c r="AG847" s="604" t="n">
        <x:v>0.08471763953683389</x:v>
      </x:c>
      <x:c r="AH847" s="604" t="n"/>
      <x:c r="AI847" s="604" t="n"/>
      <x:c r="AJ847" s="604" t="n">
        <x:v>0.08471763953683389</x:v>
      </x:c>
      <x:c r="AK847" s="604" t="n"/>
      <x:c r="AL847" s="604" t="n"/>
      <x:c r="AM847" s="604" t="n"/>
      <x:c r="AN847" s="604" t="inlineStr">
        <x:is>
          <x:t xml:space="preserve">EVALUATED</x:t>
        </x:is>
      </x:c>
      <x:c r="AO847" s="604" t="inlineStr">
        <x:is>
          <x:t xml:space="preserve">GIVING_VALIDATED_EDGE、BUCKET_PRIOR_ONLY、INTENT_INTERPRETATION_ONLY、EXPERT_MARKET</x:t>
        </x:is>
      </x:c>
      <x:c r="AP847" s="604" t="inlineStr">
        <x:is>
          <x:t xml:space="preserve">c1e5193ce29981948d5b</x:t>
        </x:is>
      </x:c>
      <x:c r="AQ847" s="604" t="n">
        <x:v>-1.25</x:v>
      </x:c>
      <x:c r="AR847" s="604" t="n">
        <x:v>0.84</x:v>
      </x:c>
      <x:c r="AS847" s="604" t="n">
        <x:v>1.25</x:v>
      </x:c>
      <x:c r="AT847" s="604" t="n">
        <x:v>-1.25</x:v>
      </x:c>
      <x:c r="AU847" s="604" t="n">
        <x:v>0.84</x:v>
      </x:c>
      <x:c r="AV847" s="604" t="n">
        <x:v>0.86</x:v>
      </x:c>
      <x:c r="AW847" s="604" t="n">
        <x:v>46298.06050486111</x:v>
      </x:c>
      <x:c r="AX847" s="604" t="inlineStr">
        <x:is>
          <x:t xml:space="preserve">https://simondongxiao.github.io/odds/v4/</x:t>
        </x:is>
      </x:c>
      <x:c r="AY847" s="604" t="inlineStr">
        <x:is>
          <x:t xml:space="preserve">V4 Shadow Only；real_money=false；P(EV&gt;0)不是比赛胜率</x:t>
        </x:is>
      </x:c>
    </x:row>
    <x:row r="848" ht="22" customHeight="1">
      <x:c r="A848" s="604" t="inlineStr">
        <x:is>
          <x:t xml:space="preserve">2026-10-03</x:t>
        </x:is>
      </x:c>
      <x:c r="B848" s="604" t="inlineStr">
        <x:is>
          <x:t xml:space="preserve">2026-10-04 10:00</x:t>
        </x:is>
      </x:c>
      <x:c r="C848" s="604" t="str">
        <x:v>北美系列</x:v>
      </x:c>
      <x:c r="D848" s="604" t="inlineStr">
        <x:is>
          <x:t xml:space="preserve">联赛</x:t>
        </x:is>
      </x:c>
      <x:c r="E848" s="604" t="inlineStr">
        <x:is>
          <x:t xml:space="preserve">危地甲春</x:t>
        </x:is>
      </x:c>
      <x:c r="F848" s="604" t="inlineStr">
        <x:is>
          <x:t xml:space="preserve">夏拉祖 vs 圣佩德罗体育</x:t>
        </x:is>
      </x:c>
      <x:c r="G848" s="604" t="n">
        <x:v>0.76</x:v>
      </x:c>
      <x:c r="H848" s="604" t="n">
        <x:v>1</x:v>
      </x:c>
      <x:c r="I848" s="604" t="n">
        <x:v>0.9399999999999999</x:v>
      </x:c>
      <x:c r="J848" s="604" t="inlineStr">
        <x:is>
          <x:t xml:space="preserve">0.76/1/0.94</x:t>
        </x:is>
      </x:c>
      <x:c r="K848" s="604" t="inlineStr">
        <x:is>
          <x:t xml:space="preserve">V4-B｜EV +0.1193</x:t>
        </x:is>
      </x:c>
      <x:c r="L848" s="604" t="inlineStr">
        <x:is>
          <x:t xml:space="preserve">夏拉祖</x:t>
        </x:is>
      </x:c>
      <x:c r="M848" s="604" t="n">
        <x:v>0.6587239143142192</x:v>
      </x:c>
      <x:c r="N848" s="604" t="inlineStr">
        <x:is>
          <x:t xml:space="preserve">V4纸面入选-B</x:t>
        </x:is>
      </x:c>
      <x:c r="O848" s="604" t="inlineStr">
        <x:is>
          <x:t xml:space="preserve">2-0</x:t>
        </x:is>
      </x:c>
      <x:c r="P848" s="604" t="inlineStr">
        <x:is>
          <x:t xml:space="preserve">已结算</x:t>
        </x:is>
      </x:c>
      <x:c r="Q848" s="645" t="inlineStr">
        <x:is>
          <x:t xml:space="preserve">红</x:t>
        </x:is>
      </x:c>
      <x:c r="R848" s="604" t="n">
        <x:v>0.76</x:v>
      </x:c>
      <x:c r="S848" s="604" t="n">
        <x:f>IF(OR(Q848="",Q848="待结算"),"",IF(Q848="红",R848,IF(Q848="半红",R848*0.5,IF(Q848="走",0,IF(Q848="半黑",-0.5,-1)))))</x:f>
        <x:v>0.76</x:v>
      </x:c>
      <x:c r="T848" s="604" t="inlineStr">
        <x:is>
          <x:t xml:space="preserve">https://m.titan007.com/analy/Analysis/3011298.htm</x:t>
        </x:is>
      </x:c>
      <x:c r="U848" s="646" t="str">
        <x:f>IF(Q848="","",IF(Q848="待结算","待结算",IF(Q848="红","黑",IF(Q848="半红","半黑",IF(Q848="走","走",IF(Q848="半黑","半红","红"))))))</x:f>
        <x:v>黑</x:v>
      </x:c>
      <x:c r="V848" s="604" t="n">
        <x:f>IF(OR(Q848="",Q848="待结算"),"",IF(L848=LEFT(F848,FIND(" vs ",F848)-1),I848,G848))</x:f>
        <x:v>0.94</x:v>
      </x:c>
      <x:c r="W848" s="604" t="n">
        <x:f>IF(OR(U848="",U848="待结算"),"",IF(U848="红",V848,IF(U848="半红",V848*0.5,IF(U848="走",0,IF(U848="半黑",-0.5,-1)))))</x:f>
        <x:v>-1</x:v>
      </x:c>
      <x:c r="X848" s="604" t="inlineStr">
        <x:is>
          <x:t xml:space="preserve">3011298</x:t>
        </x:is>
      </x:c>
      <x:c r="Y848" s="604" t="inlineStr">
        <x:is>
          <x:t xml:space="preserve">V4</x:t>
        </x:is>
      </x:c>
      <x:c r="Z848" s="604" t="inlineStr">
        <x:is>
          <x:t xml:space="preserve">prior-2026-10-03-v1</x:t>
        </x:is>
      </x:c>
      <x:c r="AA848" s="604" t="inlineStr">
        <x:is>
          <x:t xml:space="preserve">B</x:t>
        </x:is>
      </x:c>
      <x:c r="AB848" s="604" t="n">
        <x:v>0.4930145047005871</x:v>
      </x:c>
      <x:c r="AC848" s="604" t="n"/>
      <x:c r="AD848" s="604" t="n">
        <x:v>0.2515612474554653</x:v>
      </x:c>
      <x:c r="AE848" s="604" t="n"/>
      <x:c r="AF848" s="604" t="n">
        <x:v>0.2554242478439476</x:v>
      </x:c>
      <x:c r="AG848" s="604" t="n">
        <x:v>0.1192667757284986</x:v>
      </x:c>
      <x:c r="AH848" s="604" t="n"/>
      <x:c r="AI848" s="604" t="n"/>
      <x:c r="AJ848" s="604" t="n">
        <x:v>0.1192667757284986</x:v>
      </x:c>
      <x:c r="AK848" s="604" t="n"/>
      <x:c r="AL848" s="604" t="n"/>
      <x:c r="AM848" s="604" t="n"/>
      <x:c r="AN848" s="604" t="inlineStr">
        <x:is>
          <x:t xml:space="preserve">EVALUATED</x:t>
        </x:is>
      </x:c>
      <x:c r="AO848" s="604" t="inlineStr">
        <x:is>
          <x:t xml:space="preserve">GIVING_VALIDATED_EDGE、BUCKET_PRIOR_ONLY、INTENT_INTERPRETATION_ONLY、EXPERT_MARKET</x:t>
        </x:is>
      </x:c>
      <x:c r="AP848" s="604" t="inlineStr">
        <x:is>
          <x:t xml:space="preserve">4c42e6630fa7eaa69958</x:t>
        </x:is>
      </x:c>
      <x:c r="AQ848" s="604" t="n">
        <x:v>-1</x:v>
      </x:c>
      <x:c r="AR848" s="604" t="n">
        <x:v>0.76</x:v>
      </x:c>
      <x:c r="AS848" s="604" t="n">
        <x:v>1</x:v>
      </x:c>
      <x:c r="AT848" s="604" t="n">
        <x:v>-1</x:v>
      </x:c>
      <x:c r="AU848" s="604" t="n">
        <x:v>0.76</x:v>
      </x:c>
      <x:c r="AV848" s="604" t="n">
        <x:v>0.9399999999999999</x:v>
      </x:c>
      <x:c r="AW848" s="604" t="n">
        <x:v>46298.06050486111</x:v>
      </x:c>
      <x:c r="AX848" s="604" t="inlineStr">
        <x:is>
          <x:t xml:space="preserve">https://simondongxiao.github.io/odds/v4/</x:t>
        </x:is>
      </x:c>
      <x:c r="AY848" s="604" t="inlineStr">
        <x:is>
          <x:t xml:space="preserve">V4 Shadow Only；real_money=false；P(EV&gt;0)不是比赛胜率</x:t>
        </x:is>
      </x:c>
    </x:row>
    <x:row r="849" ht="22" customHeight="1">
      <x:c r="A849" s="604" t="inlineStr">
        <x:is>
          <x:t xml:space="preserve">2026-10-04</x:t>
        </x:is>
      </x:c>
      <x:c r="B849" s="604" t="inlineStr">
        <x:is>
          <x:t xml:space="preserve">2026-10-04 11:10</x:t>
        </x:is>
      </x:c>
      <x:c r="C849" s="604" t="str">
        <x:v>北美系列</x:v>
      </x:c>
      <x:c r="D849" s="604" t="inlineStr">
        <x:is>
          <x:t xml:space="preserve">联赛</x:t>
        </x:is>
      </x:c>
      <x:c r="E849" s="604" t="inlineStr">
        <x:is>
          <x:t xml:space="preserve">墨西女超春</x:t>
        </x:is>
      </x:c>
      <x:c r="F849" s="604" t="inlineStr">
        <x:is>
          <x:t xml:space="preserve">尼卡沙女足 vs 克鲁兹女足</x:t>
        </x:is>
      </x:c>
      <x:c r="G849" s="604" t="n">
        <x:v>0.9399999999999999</x:v>
      </x:c>
      <x:c r="H849" s="604" t="n">
        <x:v>-2.75</x:v>
      </x:c>
      <x:c r="I849" s="604" t="n">
        <x:v>0.82</x:v>
      </x:c>
      <x:c r="J849" s="604" t="inlineStr">
        <x:is>
          <x:t xml:space="preserve">0.94/-2.75/0.82</x:t>
        </x:is>
      </x:c>
      <x:c r="K849" s="604" t="inlineStr">
        <x:is>
          <x:t xml:space="preserve">V4-B｜EV +0.9400</x:t>
        </x:is>
      </x:c>
      <x:c r="L849" s="604" t="inlineStr">
        <x:is>
          <x:t xml:space="preserve">尼卡沙女足</x:t>
        </x:is>
      </x:c>
      <x:c r="M849" s="604" t="n">
        <x:v>0.999997841674064</x:v>
      </x:c>
      <x:c r="N849" s="604" t="inlineStr">
        <x:is>
          <x:t xml:space="preserve">V4纸面入选-B</x:t>
        </x:is>
      </x:c>
      <x:c r="O849" s="604" t="inlineStr">
        <x:is>
          <x:t xml:space="preserve">0-2</x:t>
        </x:is>
      </x:c>
      <x:c r="P849" s="604" t="inlineStr">
        <x:is>
          <x:t xml:space="preserve">已结算</x:t>
        </x:is>
      </x:c>
      <x:c r="Q849" s="645" t="inlineStr">
        <x:is>
          <x:t xml:space="preserve">红</x:t>
        </x:is>
      </x:c>
      <x:c r="R849" s="604" t="n">
        <x:v>0.9399999999999999</x:v>
      </x:c>
      <x:c r="S849" s="604" t="n">
        <x:f>IF(OR(Q849="",Q849="待结算"),"",IF(Q849="红",R849,IF(Q849="半红",R849*0.5,IF(Q849="走",0,IF(Q849="半黑",-0.5,-1)))))</x:f>
        <x:v>0.94</x:v>
      </x:c>
      <x:c r="T849" s="604" t="inlineStr">
        <x:is>
          <x:t xml:space="preserve">https://m.titan007.com/analy/Analysis/3046050.htm</x:t>
        </x:is>
      </x:c>
      <x:c r="U849" s="646" t="str">
        <x:f>IF(Q849="","",IF(Q849="待结算","待结算",IF(Q849="红","黑",IF(Q849="半红","半黑",IF(Q849="走","走",IF(Q849="半黑","半红","红"))))))</x:f>
        <x:v>黑</x:v>
      </x:c>
      <x:c r="V849" s="604" t="n">
        <x:f>IF(OR(Q849="",Q849="待结算"),"",IF(L849=LEFT(F849,FIND(" vs ",F849)-1),I849,G849))</x:f>
        <x:v>0.82</x:v>
      </x:c>
      <x:c r="W849" s="604" t="n">
        <x:f>IF(OR(U849="",U849="待结算"),"",IF(U849="红",V849,IF(U849="半红",V849*0.5,IF(U849="走",0,IF(U849="半黑",-0.5,-1)))))</x:f>
        <x:v>-1</x:v>
      </x:c>
      <x:c r="X849" s="604" t="inlineStr">
        <x:is>
          <x:t xml:space="preserve">3046050</x:t>
        </x:is>
      </x:c>
      <x:c r="Y849" s="604" t="inlineStr">
        <x:is>
          <x:t xml:space="preserve">V4</x:t>
        </x:is>
      </x:c>
      <x:c r="Z849" s="604" t="inlineStr">
        <x:is>
          <x:t xml:space="preserve">prior-2026-10-04-v1</x:t>
        </x:is>
      </x:c>
      <x:c r="AA849" s="604" t="inlineStr">
        <x:is>
          <x:t xml:space="preserve">B</x:t>
        </x:is>
      </x:c>
      <x:c r="AB849" s="604" t="n">
        <x:v>0.9999957666978819</x:v>
      </x:c>
      <x:c r="AC849" s="604" t="n"/>
      <x:c r="AD849" s="604" t="n"/>
      <x:c r="AE849" s="604" t="n">
        <x:v>4.149961321374211e-06</x:v>
      </x:c>
      <x:c r="AF849" s="604" t="n">
        <x:v>8.334079674169699e-08</x:v>
      </x:c>
      <x:c r="AG849" s="604" t="n">
        <x:v>0.9399938623745515</x:v>
      </x:c>
      <x:c r="AH849" s="604" t="n"/>
      <x:c r="AI849" s="604" t="n"/>
      <x:c r="AJ849" s="604" t="n">
        <x:v>0.9399938623745515</x:v>
      </x:c>
      <x:c r="AK849" s="604" t="n"/>
      <x:c r="AL849" s="604" t="n"/>
      <x:c r="AM849" s="604" t="n"/>
      <x:c r="AN849" s="604" t="inlineStr">
        <x:is>
          <x:t xml:space="preserve">FROZEN_PREMATCH_DECISION</x:t>
        </x:is>
      </x:c>
      <x:c r="AO849" s="604" t="inlineStr">
        <x:is>
          <x:t xml:space="preserve">STARTED_DECISION_LOCKED</x:t>
        </x:is>
      </x:c>
      <x:c r="AP849" s="604" t="inlineStr">
        <x:is>
          <x:t xml:space="preserve">25b9f66c03f64fb140a9</x:t>
        </x:is>
      </x:c>
      <x:c r="AQ849" s="604" t="n">
        <x:v>2.75</x:v>
      </x:c>
      <x:c r="AR849" s="604" t="n">
        <x:v>0.9399999999999999</x:v>
      </x:c>
      <x:c r="AS849" s="604" t="n">
        <x:v>-2.75</x:v>
      </x:c>
      <x:c r="AT849" s="604" t="n">
        <x:v>2.75</x:v>
      </x:c>
      <x:c r="AU849" s="604" t="n">
        <x:v>0.9399999999999999</x:v>
      </x:c>
      <x:c r="AV849" s="604" t="n">
        <x:v>0.82</x:v>
      </x:c>
      <x:c r="AW849" s="604" t="n">
        <x:v>46299.08204853009</x:v>
      </x:c>
      <x:c r="AX849" s="604" t="inlineStr">
        <x:is>
          <x:t xml:space="preserve">https://simondongxiao.github.io/odds/v4/</x:t>
        </x:is>
      </x:c>
      <x:c r="AY849" s="604" t="inlineStr">
        <x:is>
          <x:t xml:space="preserve">V4 Shadow Only；real_money=false；P(EV&gt;0)不是比赛胜率</x:t>
        </x:is>
      </x:c>
    </x:row>
    <x:row r="850" ht="22" customHeight="1">
      <x:c r="A850" s="604" t="inlineStr">
        <x:is>
          <x:t xml:space="preserve">2026-10-04</x:t>
        </x:is>
      </x:c>
      <x:c r="B850" s="604" t="inlineStr">
        <x:is>
          <x:t xml:space="preserve">2026-10-04 12:00</x:t>
        </x:is>
      </x:c>
      <x:c r="C850" s="604" t="str">
        <x:v>日韩系列</x:v>
      </x:c>
      <x:c r="D850" s="604" t="inlineStr">
        <x:is>
          <x:t xml:space="preserve">联赛</x:t>
        </x:is>
      </x:c>
      <x:c r="E850" s="604" t="inlineStr">
        <x:is>
          <x:t xml:space="preserve">日职乙</x:t>
        </x:is>
      </x:c>
      <x:c r="F850" s="604" t="inlineStr">
        <x:is>
          <x:t xml:space="preserve">札幌冈萨多 vs 磐城FC</x:t>
        </x:is>
      </x:c>
      <x:c r="G850" s="604" t="n">
        <x:v>1.11</x:v>
      </x:c>
      <x:c r="H850" s="604" t="n">
        <x:v>0</x:v>
      </x:c>
      <x:c r="I850" s="604" t="n">
        <x:v>0.78</x:v>
      </x:c>
      <x:c r="J850" s="604" t="inlineStr">
        <x:is>
          <x:t xml:space="preserve">1.11/0/0.78</x:t>
        </x:is>
      </x:c>
      <x:c r="K850" s="604" t="inlineStr">
        <x:is>
          <x:t xml:space="preserve">V4-C｜EV +0.0356</x:t>
        </x:is>
      </x:c>
      <x:c r="L850" s="604" t="str"/>
      <x:c r="M850" s="604" t="n">
        <x:v>0.493341794990845</x:v>
      </x:c>
      <x:c r="N850" s="604" t="inlineStr">
        <x:is>
          <x:t xml:space="preserve">V4纸面入选-C</x:t>
        </x:is>
      </x:c>
      <x:c r="O850" s="604" t="inlineStr">
        <x:is>
          <x:t xml:space="preserve">2-1</x:t>
        </x:is>
      </x:c>
      <x:c r="P850" s="604" t="inlineStr">
        <x:is>
          <x:t xml:space="preserve">已结算</x:t>
        </x:is>
      </x:c>
      <x:c r="Q850" s="645" t="inlineStr">
        <x:is>
          <x:t xml:space="preserve">红</x:t>
        </x:is>
      </x:c>
      <x:c r="R850" s="604" t="n">
        <x:v>0.78</x:v>
      </x:c>
      <x:c r="S850" s="604" t="n">
        <x:f>IF(OR(Q850="",Q850="待结算"),"",IF(Q850="红",R850,IF(Q850="半红",R850*0.5,IF(Q850="走",0,IF(Q850="半黑",-0.5,-1)))))</x:f>
        <x:v>0.78</x:v>
      </x:c>
      <x:c r="T850" s="604" t="inlineStr">
        <x:is>
          <x:t xml:space="preserve">https://m.titan007.com/analy/Analysis/3000096.htm</x:t>
        </x:is>
      </x:c>
      <x:c r="U850" s="646" t="str">
        <x:f>IF(Q850="","",IF(Q850="待结算","待结算",IF(Q850="红","黑",IF(Q850="半红","半黑",IF(Q850="走","走",IF(Q850="半黑","半红","红"))))))</x:f>
        <x:v>黑</x:v>
      </x:c>
      <x:c r="V850" s="604" t="n">
        <x:f>IF(OR(Q850="",Q850="待结算"),"",IF(L850=LEFT(F850,FIND(" vs ",F850)-1),I850,G850))</x:f>
        <x:v>1.11</x:v>
      </x:c>
      <x:c r="W850" s="604" t="n">
        <x:f>IF(OR(U850="",U850="待结算"),"",IF(U850="红",V850,IF(U850="半红",V850*0.5,IF(U850="走",0,IF(U850="半黑",-0.5,-1)))))</x:f>
        <x:v>-1</x:v>
      </x:c>
      <x:c r="X850" s="604" t="inlineStr">
        <x:is>
          <x:t xml:space="preserve">3000096</x:t>
        </x:is>
      </x:c>
      <x:c r="Y850" s="604" t="inlineStr">
        <x:is>
          <x:t xml:space="preserve">V4</x:t>
        </x:is>
      </x:c>
      <x:c r="Z850" s="604" t="inlineStr">
        <x:is>
          <x:t xml:space="preserve">prior-2026-10-04-v1</x:t>
        </x:is>
      </x:c>
      <x:c r="AA850" s="604" t="inlineStr">
        <x:is>
          <x:t xml:space="preserve">C</x:t>
        </x:is>
      </x:c>
      <x:c r="AB850" s="604" t="n">
        <x:v>0.4289049325649742</x:v>
      </x:c>
      <x:c r="AC850" s="604" t="n"/>
      <x:c r="AD850" s="604" t="n"/>
      <x:c r="AE850" s="604" t="n">
        <x:v>0.2612260427968265</x:v>
      </x:c>
      <x:c r="AF850" s="604" t="n">
        <x:v>0.3098690246381993</x:v>
      </x:c>
      <x:c r="AG850" s="604" t="n">
        <x:v>0.03560242911050882</x:v>
      </x:c>
      <x:c r="AH850" s="604" t="n"/>
      <x:c r="AI850" s="604" t="n"/>
      <x:c r="AJ850" s="604" t="n">
        <x:v>0.03560242911050882</x:v>
      </x:c>
      <x:c r="AK850" s="604" t="n"/>
      <x:c r="AL850" s="604" t="n"/>
      <x:c r="AM850" s="604" t="n"/>
      <x:c r="AN850" s="604" t="inlineStr">
        <x:is>
          <x:t xml:space="preserve">FROZEN_PREMATCH_DECISION</x:t>
        </x:is>
      </x:c>
      <x:c r="AO850" s="604" t="inlineStr">
        <x:is>
          <x:t xml:space="preserve">STARTED_DECISION_LOCKED</x:t>
        </x:is>
      </x:c>
      <x:c r="AP850" s="604" t="inlineStr">
        <x:is>
          <x:t xml:space="preserve">7760b28048c5f3a54045</x:t>
        </x:is>
      </x:c>
      <x:c r="AQ850" s="604" t="n">
        <x:v>0</x:v>
      </x:c>
      <x:c r="AR850" s="604" t="n"/>
      <x:c r="AS850" s="604" t="n">
        <x:v>0</x:v>
      </x:c>
      <x:c r="AT850" s="604" t="n">
        <x:v>0</x:v>
      </x:c>
      <x:c r="AU850" s="604" t="n">
        <x:v>1.11</x:v>
      </x:c>
      <x:c r="AV850" s="604" t="n">
        <x:v>0.78</x:v>
      </x:c>
      <x:c r="AW850" s="604" t="n">
        <x:v>46299.08204853009</x:v>
      </x:c>
      <x:c r="AX850" s="604" t="inlineStr">
        <x:is>
          <x:t xml:space="preserve">https://simondongxiao.github.io/odds/v4/</x:t>
        </x:is>
      </x:c>
      <x:c r="AY850" s="604" t="inlineStr">
        <x:is>
          <x:t xml:space="preserve">V4 Shadow Only；real_money=false；P(EV&gt;0)不是比赛胜率</x:t>
        </x:is>
      </x:c>
    </x:row>
    <x:row r="851" ht="22" customHeight="1">
      <x:c r="A851" s="604" t="inlineStr">
        <x:is>
          <x:t xml:space="preserve">2026-10-04</x:t>
        </x:is>
      </x:c>
      <x:c r="B851" s="604" t="inlineStr">
        <x:is>
          <x:t xml:space="preserve">2026-10-04 12:00</x:t>
        </x:is>
      </x:c>
      <x:c r="C851" s="604" t="str">
        <x:v>日韩系列</x:v>
      </x:c>
      <x:c r="D851" s="604" t="inlineStr">
        <x:is>
          <x:t xml:space="preserve">联赛</x:t>
        </x:is>
      </x:c>
      <x:c r="E851" s="604" t="inlineStr">
        <x:is>
          <x:t xml:space="preserve">日职乙</x:t>
        </x:is>
      </x:c>
      <x:c r="F851" s="604" t="inlineStr">
        <x:is>
          <x:t xml:space="preserve">八户云罗里 vs 横滨FC</x:t>
        </x:is>
      </x:c>
      <x:c r="G851" s="604" t="n">
        <x:v>1.04</x:v>
      </x:c>
      <x:c r="H851" s="604" t="n">
        <x:v>-0.5</x:v>
      </x:c>
      <x:c r="I851" s="604" t="n">
        <x:v>0.84</x:v>
      </x:c>
      <x:c r="J851" s="604" t="inlineStr">
        <x:is>
          <x:t xml:space="preserve">1.04/-0.5/0.84</x:t>
        </x:is>
      </x:c>
      <x:c r="K851" s="604" t="inlineStr">
        <x:is>
          <x:t xml:space="preserve">V4-B｜EV +0.7234</x:t>
        </x:is>
      </x:c>
      <x:c r="L851" s="604" t="inlineStr">
        <x:is>
          <x:t xml:space="preserve">八户云罗里</x:t>
        </x:is>
      </x:c>
      <x:c r="M851" s="604" t="n">
        <x:v>0.8448006437193292</x:v>
      </x:c>
      <x:c r="N851" s="604" t="inlineStr">
        <x:is>
          <x:t xml:space="preserve">V4纸面入选-B</x:t>
        </x:is>
      </x:c>
      <x:c r="O851" s="604" t="inlineStr">
        <x:is>
          <x:t xml:space="preserve">0-2</x:t>
        </x:is>
      </x:c>
      <x:c r="P851" s="604" t="inlineStr">
        <x:is>
          <x:t xml:space="preserve">已结算</x:t>
        </x:is>
      </x:c>
      <x:c r="Q851" s="646" t="inlineStr">
        <x:is>
          <x:t xml:space="preserve">黑</x:t>
        </x:is>
      </x:c>
      <x:c r="R851" s="604" t="n">
        <x:v>1.04</x:v>
      </x:c>
      <x:c r="S851" s="604" t="n">
        <x:f>IF(OR(Q851="",Q851="待结算"),"",IF(Q851="红",R851,IF(Q851="半红",R851*0.5,IF(Q851="走",0,IF(Q851="半黑",-0.5,-1)))))</x:f>
        <x:v>-1</x:v>
      </x:c>
      <x:c r="T851" s="604" t="inlineStr">
        <x:is>
          <x:t xml:space="preserve">https://m.titan007.com/analy/Analysis/3000101.htm</x:t>
        </x:is>
      </x:c>
      <x:c r="U851" s="645" t="str">
        <x:f>IF(Q851="","",IF(Q851="待结算","待结算",IF(Q851="红","黑",IF(Q851="半红","半黑",IF(Q851="走","走",IF(Q851="半黑","半红","红"))))))</x:f>
        <x:v>红</x:v>
      </x:c>
      <x:c r="V851" s="604" t="n">
        <x:f>IF(OR(Q851="",Q851="待结算"),"",IF(L851=LEFT(F851,FIND(" vs ",F851)-1),I851,G851))</x:f>
        <x:v>0.84</x:v>
      </x:c>
      <x:c r="W851" s="604" t="n">
        <x:f>IF(OR(U851="",U851="待结算"),"",IF(U851="红",V851,IF(U851="半红",V851*0.5,IF(U851="走",0,IF(U851="半黑",-0.5,-1)))))</x:f>
        <x:v>0.84</x:v>
      </x:c>
      <x:c r="X851" s="604" t="inlineStr">
        <x:is>
          <x:t xml:space="preserve">3000101</x:t>
        </x:is>
      </x:c>
      <x:c r="Y851" s="604" t="inlineStr">
        <x:is>
          <x:t xml:space="preserve">V4</x:t>
        </x:is>
      </x:c>
      <x:c r="Z851" s="604" t="inlineStr">
        <x:is>
          <x:t xml:space="preserve">prior-2026-10-04-v1</x:t>
        </x:is>
      </x:c>
      <x:c r="AA851" s="604" t="inlineStr">
        <x:is>
          <x:t xml:space="preserve">B</x:t>
        </x:is>
      </x:c>
      <x:c r="AB851" s="604" t="n">
        <x:v>0.8448006437193292</x:v>
      </x:c>
      <x:c r="AC851" s="604" t="n"/>
      <x:c r="AD851" s="604" t="n"/>
      <x:c r="AE851" s="604" t="n"/>
      <x:c r="AF851" s="604" t="n">
        <x:v>0.1551993562806709</x:v>
      </x:c>
      <x:c r="AG851" s="604" t="n">
        <x:v>0.7233933131874315</x:v>
      </x:c>
      <x:c r="AH851" s="604" t="n"/>
      <x:c r="AI851" s="604" t="n"/>
      <x:c r="AJ851" s="604" t="n">
        <x:v>0.7233933131874315</x:v>
      </x:c>
      <x:c r="AK851" s="604" t="n"/>
      <x:c r="AL851" s="604" t="n"/>
      <x:c r="AM851" s="604" t="n"/>
      <x:c r="AN851" s="604" t="inlineStr">
        <x:is>
          <x:t xml:space="preserve">FROZEN_PREMATCH_DECISION</x:t>
        </x:is>
      </x:c>
      <x:c r="AO851" s="604" t="inlineStr">
        <x:is>
          <x:t xml:space="preserve">STARTED_DECISION_LOCKED</x:t>
        </x:is>
      </x:c>
      <x:c r="AP851" s="604" t="inlineStr">
        <x:is>
          <x:t xml:space="preserve">7229e29acd11a473d64a</x:t>
        </x:is>
      </x:c>
      <x:c r="AQ851" s="604" t="n">
        <x:v>0.5</x:v>
      </x:c>
      <x:c r="AR851" s="604" t="n">
        <x:v>1.04</x:v>
      </x:c>
      <x:c r="AS851" s="604" t="n">
        <x:v>-0.5</x:v>
      </x:c>
      <x:c r="AT851" s="604" t="n">
        <x:v>0.5</x:v>
      </x:c>
      <x:c r="AU851" s="604" t="n">
        <x:v>1.04</x:v>
      </x:c>
      <x:c r="AV851" s="604" t="n">
        <x:v>0.84</x:v>
      </x:c>
      <x:c r="AW851" s="604" t="n">
        <x:v>46299.08204853009</x:v>
      </x:c>
      <x:c r="AX851" s="604" t="inlineStr">
        <x:is>
          <x:t xml:space="preserve">https://simondongxiao.github.io/odds/v4/</x:t>
        </x:is>
      </x:c>
      <x:c r="AY851" s="604" t="inlineStr">
        <x:is>
          <x:t xml:space="preserve">V4 Shadow Only；real_money=false；P(EV&gt;0)不是比赛胜率</x:t>
        </x:is>
      </x:c>
    </x:row>
    <x:row r="852" ht="22" customHeight="1">
      <x:c r="A852" s="604" t="inlineStr">
        <x:is>
          <x:t xml:space="preserve">2026-10-04</x:t>
        </x:is>
      </x:c>
      <x:c r="B852" s="604" t="inlineStr">
        <x:is>
          <x:t xml:space="preserve">2026-10-04 12:00</x:t>
        </x:is>
      </x:c>
      <x:c r="C852" s="604" t="str">
        <x:v>日韩系列</x:v>
      </x:c>
      <x:c r="D852" s="604" t="inlineStr">
        <x:is>
          <x:t xml:space="preserve">联赛</x:t>
        </x:is>
      </x:c>
      <x:c r="E852" s="604" t="inlineStr">
        <x:is>
          <x:t xml:space="preserve">日足联</x:t>
        </x:is>
      </x:c>
      <x:c r="F852" s="604" t="inlineStr">
        <x:is>
          <x:t xml:space="preserve">冲绳SV vs 布瑞欧碧卡浦安</x:t>
        </x:is>
      </x:c>
      <x:c r="G852" s="604" t="n">
        <x:v>0.65</x:v>
      </x:c>
      <x:c r="H852" s="604" t="n">
        <x:v>0</x:v>
      </x:c>
      <x:c r="I852" s="604" t="n">
        <x:v>1.12</x:v>
      </x:c>
      <x:c r="J852" s="604" t="inlineStr">
        <x:is>
          <x:t xml:space="preserve">0.65/0/1.12</x:t>
        </x:is>
      </x:c>
      <x:c r="K852" s="604" t="inlineStr">
        <x:is>
          <x:t xml:space="preserve">V4-C｜EV +0.0590</x:t>
        </x:is>
      </x:c>
      <x:c r="L852" s="604" t="str"/>
      <x:c r="M852" s="604" t="n">
        <x:v>0.6418148851677523</x:v>
      </x:c>
      <x:c r="N852" s="604" t="inlineStr">
        <x:is>
          <x:t xml:space="preserve">V4纸面入选-C</x:t>
        </x:is>
      </x:c>
      <x:c r="O852" s="604" t="inlineStr">
        <x:is>
          <x:t xml:space="preserve">0-2</x:t>
        </x:is>
      </x:c>
      <x:c r="P852" s="604" t="inlineStr">
        <x:is>
          <x:t xml:space="preserve">已结算</x:t>
        </x:is>
      </x:c>
      <x:c r="Q852" s="646" t="inlineStr">
        <x:is>
          <x:t xml:space="preserve">黑</x:t>
        </x:is>
      </x:c>
      <x:c r="R852" s="604" t="n">
        <x:v>1.12</x:v>
      </x:c>
      <x:c r="S852" s="604" t="n">
        <x:f>IF(OR(Q852="",Q852="待结算"),"",IF(Q852="红",R852,IF(Q852="半红",R852*0.5,IF(Q852="走",0,IF(Q852="半黑",-0.5,-1)))))</x:f>
        <x:v>-1</x:v>
      </x:c>
      <x:c r="T852" s="604" t="inlineStr">
        <x:is>
          <x:t xml:space="preserve">https://m.titan007.com/analy/Analysis/3071109.htm</x:t>
        </x:is>
      </x:c>
      <x:c r="U852" s="645" t="str">
        <x:f>IF(Q852="","",IF(Q852="待结算","待结算",IF(Q852="红","黑",IF(Q852="半红","半黑",IF(Q852="走","走",IF(Q852="半黑","半红","红"))))))</x:f>
        <x:v>红</x:v>
      </x:c>
      <x:c r="V852" s="604" t="n">
        <x:f>IF(OR(Q852="",Q852="待结算"),"",IF(L852=LEFT(F852,FIND(" vs ",F852)-1),I852,G852))</x:f>
        <x:v>0.65</x:v>
      </x:c>
      <x:c r="W852" s="604" t="n">
        <x:f>IF(OR(U852="",U852="待结算"),"",IF(U852="红",V852,IF(U852="半红",V852*0.5,IF(U852="走",0,IF(U852="半黑",-0.5,-1)))))</x:f>
        <x:v>0.65</x:v>
      </x:c>
      <x:c r="X852" s="604" t="inlineStr">
        <x:is>
          <x:t xml:space="preserve">3071109</x:t>
        </x:is>
      </x:c>
      <x:c r="Y852" s="604" t="inlineStr">
        <x:is>
          <x:t xml:space="preserve">V4</x:t>
        </x:is>
      </x:c>
      <x:c r="Z852" s="604" t="inlineStr">
        <x:is>
          <x:t xml:space="preserve">prior-2026-10-04-v1</x:t>
        </x:is>
      </x:c>
      <x:c r="AA852" s="604" t="inlineStr">
        <x:is>
          <x:t xml:space="preserve">C</x:t>
        </x:is>
      </x:c>
      <x:c r="AB852" s="604" t="n">
        <x:v>0.6418148851677523</x:v>
      </x:c>
      <x:c r="AC852" s="604" t="n"/>
      <x:c r="AD852" s="604" t="n"/>
      <x:c r="AE852" s="604" t="n"/>
      <x:c r="AF852" s="604" t="n">
        <x:v>0.3581851148322477</x:v>
      </x:c>
      <x:c r="AG852" s="604" t="n">
        <x:v>0.05899456052679131</x:v>
      </x:c>
      <x:c r="AH852" s="604" t="n"/>
      <x:c r="AI852" s="604" t="n"/>
      <x:c r="AJ852" s="604" t="n">
        <x:v>0.05899456052679131</x:v>
      </x:c>
      <x:c r="AK852" s="604" t="n"/>
      <x:c r="AL852" s="604" t="n"/>
      <x:c r="AM852" s="604" t="n"/>
      <x:c r="AN852" s="604" t="inlineStr">
        <x:is>
          <x:t xml:space="preserve">FROZEN_PREMATCH_DECISION</x:t>
        </x:is>
      </x:c>
      <x:c r="AO852" s="604" t="inlineStr">
        <x:is>
          <x:t xml:space="preserve">STARTED_DECISION_LOCKED</x:t>
        </x:is>
      </x:c>
      <x:c r="AP852" s="604" t="inlineStr">
        <x:is>
          <x:t xml:space="preserve">b0b692f039be92e02c7c</x:t>
        </x:is>
      </x:c>
      <x:c r="AQ852" s="604" t="n">
        <x:v>0</x:v>
      </x:c>
      <x:c r="AR852" s="604" t="n"/>
      <x:c r="AS852" s="604" t="n">
        <x:v>0</x:v>
      </x:c>
      <x:c r="AT852" s="604" t="n">
        <x:v>0</x:v>
      </x:c>
      <x:c r="AU852" s="604" t="n">
        <x:v>0.65</x:v>
      </x:c>
      <x:c r="AV852" s="604" t="n">
        <x:v>1.12</x:v>
      </x:c>
      <x:c r="AW852" s="604" t="n">
        <x:v>46299.08204853009</x:v>
      </x:c>
      <x:c r="AX852" s="604" t="inlineStr">
        <x:is>
          <x:t xml:space="preserve">https://simondongxiao.github.io/odds/v4/</x:t>
        </x:is>
      </x:c>
      <x:c r="AY852" s="604" t="inlineStr">
        <x:is>
          <x:t xml:space="preserve">V4 Shadow Only；real_money=false；P(EV&gt;0)不是比赛胜率</x:t>
        </x:is>
      </x:c>
    </x:row>
    <x:row r="853" ht="22" customHeight="1">
      <x:c r="A853" s="604" t="inlineStr">
        <x:is>
          <x:t xml:space="preserve">2026-10-04</x:t>
        </x:is>
      </x:c>
      <x:c r="B853" s="604" t="inlineStr">
        <x:is>
          <x:t xml:space="preserve">2026-10-04 12:00</x:t>
        </x:is>
      </x:c>
      <x:c r="C853" s="604" t="str">
        <x:v>日韩系列</x:v>
      </x:c>
      <x:c r="D853" s="604" t="inlineStr">
        <x:is>
          <x:t xml:space="preserve">联赛</x:t>
        </x:is>
      </x:c>
      <x:c r="E853" s="604" t="inlineStr">
        <x:is>
          <x:t xml:space="preserve">日职女甲</x:t>
        </x:is>
      </x:c>
      <x:c r="F853" s="604" t="inlineStr">
        <x:is>
          <x:t xml:space="preserve">FC爱媛女足 vs 维亚马特拉斯宫崎女足</x:t>
        </x:is>
      </x:c>
      <x:c r="G853" s="604" t="n">
        <x:v>0.95</x:v>
      </x:c>
      <x:c r="H853" s="604" t="n">
        <x:v>-0.5</x:v>
      </x:c>
      <x:c r="I853" s="604" t="n">
        <x:v>0.8100000000000001</x:v>
      </x:c>
      <x:c r="J853" s="604" t="inlineStr">
        <x:is>
          <x:t xml:space="preserve">0.95/-0.5/0.81</x:t>
        </x:is>
      </x:c>
      <x:c r="K853" s="604" t="inlineStr">
        <x:is>
          <x:t xml:space="preserve">V4-A｜EV +0.6011</x:t>
        </x:is>
      </x:c>
      <x:c r="L853" s="604" t="inlineStr">
        <x:is>
          <x:t xml:space="preserve">FC爱媛女足</x:t>
        </x:is>
      </x:c>
      <x:c r="M853" s="604" t="n">
        <x:v>0.8210643835719333</x:v>
      </x:c>
      <x:c r="N853" s="604" t="inlineStr">
        <x:is>
          <x:t xml:space="preserve">V4纸面入选-A</x:t>
        </x:is>
      </x:c>
      <x:c r="O853" s="604" t="inlineStr">
        <x:is>
          <x:t xml:space="preserve">0-3</x:t>
        </x:is>
      </x:c>
      <x:c r="P853" s="604" t="inlineStr">
        <x:is>
          <x:t xml:space="preserve">已结算</x:t>
        </x:is>
      </x:c>
      <x:c r="Q853" s="646" t="inlineStr">
        <x:is>
          <x:t xml:space="preserve">黑</x:t>
        </x:is>
      </x:c>
      <x:c r="R853" s="604" t="n">
        <x:v>0.95</x:v>
      </x:c>
      <x:c r="S853" s="604" t="n">
        <x:f>IF(OR(Q853="",Q853="待结算"),"",IF(Q853="红",R853,IF(Q853="半红",R853*0.5,IF(Q853="走",0,IF(Q853="半黑",-0.5,-1)))))</x:f>
        <x:v>-1</x:v>
      </x:c>
      <x:c r="T853" s="604" t="inlineStr">
        <x:is>
          <x:t xml:space="preserve">https://m.titan007.com/analy/Analysis/2956839.htm</x:t>
        </x:is>
      </x:c>
      <x:c r="U853" s="645" t="str">
        <x:f>IF(Q853="","",IF(Q853="待结算","待结算",IF(Q853="红","黑",IF(Q853="半红","半黑",IF(Q853="走","走",IF(Q853="半黑","半红","红"))))))</x:f>
        <x:v>红</x:v>
      </x:c>
      <x:c r="V853" s="604" t="n">
        <x:f>IF(OR(Q853="",Q853="待结算"),"",IF(L853=LEFT(F853,FIND(" vs ",F853)-1),I853,G853))</x:f>
        <x:v>0.81</x:v>
      </x:c>
      <x:c r="W853" s="604" t="n">
        <x:f>IF(OR(U853="",U853="待结算"),"",IF(U853="红",V853,IF(U853="半红",V853*0.5,IF(U853="走",0,IF(U853="半黑",-0.5,-1)))))</x:f>
        <x:v>0.81</x:v>
      </x:c>
      <x:c r="X853" s="604" t="inlineStr">
        <x:is>
          <x:t xml:space="preserve">2956839</x:t>
        </x:is>
      </x:c>
      <x:c r="Y853" s="604" t="inlineStr">
        <x:is>
          <x:t xml:space="preserve">V4</x:t>
        </x:is>
      </x:c>
      <x:c r="Z853" s="604" t="inlineStr">
        <x:is>
          <x:t xml:space="preserve">prior-2026-10-04-v1</x:t>
        </x:is>
      </x:c>
      <x:c r="AA853" s="604" t="inlineStr">
        <x:is>
          <x:t xml:space="preserve">A</x:t>
        </x:is>
      </x:c>
      <x:c r="AB853" s="604" t="n">
        <x:v>0.8210643835719333</x:v>
      </x:c>
      <x:c r="AC853" s="604" t="n"/>
      <x:c r="AD853" s="604" t="n"/>
      <x:c r="AE853" s="604" t="n"/>
      <x:c r="AF853" s="604" t="n">
        <x:v>0.1789356164280666</x:v>
      </x:c>
      <x:c r="AG853" s="604" t="n">
        <x:v>0.60107554796527</x:v>
      </x:c>
      <x:c r="AH853" s="604" t="n"/>
      <x:c r="AI853" s="604" t="n"/>
      <x:c r="AJ853" s="604" t="n">
        <x:v>0.60107554796527</x:v>
      </x:c>
      <x:c r="AK853" s="604" t="n"/>
      <x:c r="AL853" s="604" t="n"/>
      <x:c r="AM853" s="604" t="n"/>
      <x:c r="AN853" s="604" t="inlineStr">
        <x:is>
          <x:t xml:space="preserve">FROZEN_PREMATCH_DECISION</x:t>
        </x:is>
      </x:c>
      <x:c r="AO853" s="604" t="inlineStr">
        <x:is>
          <x:t xml:space="preserve">STARTED_DECISION_LOCKED</x:t>
        </x:is>
      </x:c>
      <x:c r="AP853" s="604" t="inlineStr">
        <x:is>
          <x:t xml:space="preserve">fcf79bd2c82cda049270</x:t>
        </x:is>
      </x:c>
      <x:c r="AQ853" s="604" t="n">
        <x:v>0.5</x:v>
      </x:c>
      <x:c r="AR853" s="604" t="n">
        <x:v>0.95</x:v>
      </x:c>
      <x:c r="AS853" s="604" t="n">
        <x:v>-0.5</x:v>
      </x:c>
      <x:c r="AT853" s="604" t="n">
        <x:v>0.5</x:v>
      </x:c>
      <x:c r="AU853" s="604" t="n">
        <x:v>0.95</x:v>
      </x:c>
      <x:c r="AV853" s="604" t="n">
        <x:v>0.8100000000000001</x:v>
      </x:c>
      <x:c r="AW853" s="604" t="n">
        <x:v>46299.08204853009</x:v>
      </x:c>
      <x:c r="AX853" s="604" t="inlineStr">
        <x:is>
          <x:t xml:space="preserve">https://simondongxiao.github.io/odds/v4/</x:t>
        </x:is>
      </x:c>
      <x:c r="AY853" s="604" t="inlineStr">
        <x:is>
          <x:t xml:space="preserve">V4 Shadow Only；real_money=false；P(EV&gt;0)不是比赛胜率</x:t>
        </x:is>
      </x:c>
    </x:row>
    <x:row r="854" ht="22" customHeight="1">
      <x:c r="A854" s="604" t="inlineStr">
        <x:is>
          <x:t xml:space="preserve">2026-10-04</x:t>
        </x:is>
      </x:c>
      <x:c r="B854" s="604" t="inlineStr">
        <x:is>
          <x:t xml:space="preserve">2026-10-04 12:00</x:t>
        </x:is>
      </x:c>
      <x:c r="C854" s="604" t="str">
        <x:v>日韩系列</x:v>
      </x:c>
      <x:c r="D854" s="604" t="inlineStr">
        <x:is>
          <x:t xml:space="preserve">联赛</x:t>
        </x:is>
      </x:c>
      <x:c r="E854" s="604" t="inlineStr">
        <x:is>
          <x:t xml:space="preserve">日职女甲</x:t>
        </x:is>
      </x:c>
      <x:c r="F854" s="604" t="inlineStr">
        <x:is>
          <x:t xml:space="preserve">伊贺FC女足 vs 播磨阿尔比恩女足</x:t>
        </x:is>
      </x:c>
      <x:c r="G854" s="604" t="n">
        <x:v>0.82</x:v>
      </x:c>
      <x:c r="H854" s="604" t="n">
        <x:v>0.75</x:v>
      </x:c>
      <x:c r="I854" s="604" t="n">
        <x:v>0.9399999999999999</x:v>
      </x:c>
      <x:c r="J854" s="604" t="inlineStr">
        <x:is>
          <x:t xml:space="preserve">0.82/0.75/0.94</x:t>
        </x:is>
      </x:c>
      <x:c r="K854" s="604" t="inlineStr">
        <x:is>
          <x:t xml:space="preserve">V4-C｜EV +0.0653</x:t>
        </x:is>
      </x:c>
      <x:c r="L854" s="604" t="inlineStr">
        <x:is>
          <x:t xml:space="preserve">伊贺FC女足</x:t>
        </x:is>
      </x:c>
      <x:c r="M854" s="604" t="n">
        <x:v>0.5906184402003457</x:v>
      </x:c>
      <x:c r="N854" s="604" t="inlineStr">
        <x:is>
          <x:t xml:space="preserve">V4纸面入选-C</x:t>
        </x:is>
      </x:c>
      <x:c r="O854" s="604" t="inlineStr">
        <x:is>
          <x:t xml:space="preserve">3-1</x:t>
        </x:is>
      </x:c>
      <x:c r="P854" s="604" t="inlineStr">
        <x:is>
          <x:t xml:space="preserve">已结算</x:t>
        </x:is>
      </x:c>
      <x:c r="Q854" s="645" t="inlineStr">
        <x:is>
          <x:t xml:space="preserve">红</x:t>
        </x:is>
      </x:c>
      <x:c r="R854" s="604" t="n">
        <x:v>0.82</x:v>
      </x:c>
      <x:c r="S854" s="604" t="n">
        <x:f>IF(OR(Q854="",Q854="待结算"),"",IF(Q854="红",R854,IF(Q854="半红",R854*0.5,IF(Q854="走",0,IF(Q854="半黑",-0.5,-1)))))</x:f>
        <x:v>0.82</x:v>
      </x:c>
      <x:c r="T854" s="604" t="inlineStr">
        <x:is>
          <x:t xml:space="preserve">https://m.titan007.com/analy/Analysis/2956840.htm</x:t>
        </x:is>
      </x:c>
      <x:c r="U854" s="646" t="str">
        <x:f>IF(Q854="","",IF(Q854="待结算","待结算",IF(Q854="红","黑",IF(Q854="半红","半黑",IF(Q854="走","走",IF(Q854="半黑","半红","红"))))))</x:f>
        <x:v>黑</x:v>
      </x:c>
      <x:c r="V854" s="604" t="n">
        <x:f>IF(OR(Q854="",Q854="待结算"),"",IF(L854=LEFT(F854,FIND(" vs ",F854)-1),I854,G854))</x:f>
        <x:v>0.94</x:v>
      </x:c>
      <x:c r="W854" s="604" t="n">
        <x:f>IF(OR(U854="",U854="待结算"),"",IF(U854="红",V854,IF(U854="半红",V854*0.5,IF(U854="走",0,IF(U854="半黑",-0.5,-1)))))</x:f>
        <x:v>-1</x:v>
      </x:c>
      <x:c r="X854" s="604" t="inlineStr">
        <x:is>
          <x:t xml:space="preserve">2956840</x:t>
        </x:is>
      </x:c>
      <x:c r="Y854" s="604" t="inlineStr">
        <x:is>
          <x:t xml:space="preserve">V4</x:t>
        </x:is>
      </x:c>
      <x:c r="Z854" s="604" t="inlineStr">
        <x:is>
          <x:t xml:space="preserve">prior-2026-10-04-v1</x:t>
        </x:is>
      </x:c>
      <x:c r="AA854" s="604" t="inlineStr">
        <x:is>
          <x:t xml:space="preserve">C</x:t>
        </x:is>
      </x:c>
      <x:c r="AB854" s="604" t="n">
        <x:v>0.3862779201419697</x:v>
      </x:c>
      <x:c r="AC854" s="604" t="n">
        <x:v>0.2569321653691358</x:v>
      </x:c>
      <x:c r="AD854" s="604" t="n"/>
      <x:c r="AE854" s="604" t="n"/>
      <x:c r="AF854" s="604" t="n">
        <x:v>0.3567899144888945</x:v>
      </x:c>
      <x:c r="AG854" s="604" t="n">
        <x:v>0.06530016782886633</x:v>
      </x:c>
      <x:c r="AH854" s="604" t="n"/>
      <x:c r="AI854" s="604" t="n"/>
      <x:c r="AJ854" s="604" t="n">
        <x:v>0.06530016782886633</x:v>
      </x:c>
      <x:c r="AK854" s="604" t="n"/>
      <x:c r="AL854" s="604" t="n"/>
      <x:c r="AM854" s="604" t="n"/>
      <x:c r="AN854" s="604" t="inlineStr">
        <x:is>
          <x:t xml:space="preserve">FROZEN_PREMATCH_DECISION</x:t>
        </x:is>
      </x:c>
      <x:c r="AO854" s="604" t="inlineStr">
        <x:is>
          <x:t xml:space="preserve">STARTED_DECISION_LOCKED</x:t>
        </x:is>
      </x:c>
      <x:c r="AP854" s="604" t="inlineStr">
        <x:is>
          <x:t xml:space="preserve">e11016d77b727b5054f9</x:t>
        </x:is>
      </x:c>
      <x:c r="AQ854" s="604" t="n">
        <x:v>-0.75</x:v>
      </x:c>
      <x:c r="AR854" s="604" t="n">
        <x:v>0.82</x:v>
      </x:c>
      <x:c r="AS854" s="604" t="n">
        <x:v>0.75</x:v>
      </x:c>
      <x:c r="AT854" s="604" t="n">
        <x:v>-0.75</x:v>
      </x:c>
      <x:c r="AU854" s="604" t="n">
        <x:v>0.82</x:v>
      </x:c>
      <x:c r="AV854" s="604" t="n">
        <x:v>0.9399999999999999</x:v>
      </x:c>
      <x:c r="AW854" s="604" t="n">
        <x:v>46299.08204853009</x:v>
      </x:c>
      <x:c r="AX854" s="604" t="inlineStr">
        <x:is>
          <x:t xml:space="preserve">https://simondongxiao.github.io/odds/v4/</x:t>
        </x:is>
      </x:c>
      <x:c r="AY854" s="604" t="inlineStr">
        <x:is>
          <x:t xml:space="preserve">V4 Shadow Only；real_money=false；P(EV&gt;0)不是比赛胜率</x:t>
        </x:is>
      </x:c>
    </x:row>
    <x:row r="855" ht="22" customHeight="1">
      <x:c r="A855" s="604" t="inlineStr">
        <x:is>
          <x:t xml:space="preserve">2026-10-04</x:t>
        </x:is>
      </x:c>
      <x:c r="B855" s="604" t="inlineStr">
        <x:is>
          <x:t xml:space="preserve">2026-10-04 12:00</x:t>
        </x:is>
      </x:c>
      <x:c r="C855" s="604" t="str">
        <x:v>日韩系列</x:v>
      </x:c>
      <x:c r="D855" s="604" t="inlineStr">
        <x:is>
          <x:t xml:space="preserve">联赛</x:t>
        </x:is>
      </x:c>
      <x:c r="E855" s="604" t="inlineStr">
        <x:is>
          <x:t xml:space="preserve">日职女甲</x:t>
        </x:is>
      </x:c>
      <x:c r="F855" s="604" t="inlineStr">
        <x:is>
          <x:t xml:space="preserve">汤乡贝勒女足 vs 静冈产大女足</x:t>
        </x:is>
      </x:c>
      <x:c r="G855" s="604" t="n">
        <x:v>0.92</x:v>
      </x:c>
      <x:c r="H855" s="604" t="n">
        <x:v>-1</x:v>
      </x:c>
      <x:c r="I855" s="604" t="n">
        <x:v>0.84</x:v>
      </x:c>
      <x:c r="J855" s="604" t="inlineStr">
        <x:is>
          <x:t xml:space="preserve">0.92/-1/0.84</x:t>
        </x:is>
      </x:c>
      <x:c r="K855" s="604" t="inlineStr">
        <x:is>
          <x:t xml:space="preserve">V4-A｜EV +0.8283</x:t>
        </x:is>
      </x:c>
      <x:c r="L855" s="604" t="inlineStr">
        <x:is>
          <x:t xml:space="preserve">汤乡贝勒女足</x:t>
        </x:is>
      </x:c>
      <x:c r="M855" s="604" t="n">
        <x:v>0.9815601265798811</x:v>
      </x:c>
      <x:c r="N855" s="604" t="inlineStr">
        <x:is>
          <x:t xml:space="preserve">V4纸面入选-A</x:t>
        </x:is>
      </x:c>
      <x:c r="O855" s="604" t="inlineStr">
        <x:is>
          <x:t xml:space="preserve">1-1</x:t>
        </x:is>
      </x:c>
      <x:c r="P855" s="604" t="inlineStr">
        <x:is>
          <x:t xml:space="preserve">已结算</x:t>
        </x:is>
      </x:c>
      <x:c r="Q855" s="645" t="inlineStr">
        <x:is>
          <x:t xml:space="preserve">红</x:t>
        </x:is>
      </x:c>
      <x:c r="R855" s="604" t="n">
        <x:v>0.92</x:v>
      </x:c>
      <x:c r="S855" s="604" t="n">
        <x:f>IF(OR(Q855="",Q855="待结算"),"",IF(Q855="红",R855,IF(Q855="半红",R855*0.5,IF(Q855="走",0,IF(Q855="半黑",-0.5,-1)))))</x:f>
        <x:v>0.92</x:v>
      </x:c>
      <x:c r="T855" s="604" t="inlineStr">
        <x:is>
          <x:t xml:space="preserve">https://m.titan007.com/analy/Analysis/2956841.htm</x:t>
        </x:is>
      </x:c>
      <x:c r="U855" s="646" t="str">
        <x:f>IF(Q855="","",IF(Q855="待结算","待结算",IF(Q855="红","黑",IF(Q855="半红","半黑",IF(Q855="走","走",IF(Q855="半黑","半红","红"))))))</x:f>
        <x:v>黑</x:v>
      </x:c>
      <x:c r="V855" s="604" t="n">
        <x:f>IF(OR(Q855="",Q855="待结算"),"",IF(L855=LEFT(F855,FIND(" vs ",F855)-1),I855,G855))</x:f>
        <x:v>0.84</x:v>
      </x:c>
      <x:c r="W855" s="604" t="n">
        <x:f>IF(OR(U855="",U855="待结算"),"",IF(U855="红",V855,IF(U855="半红",V855*0.5,IF(U855="走",0,IF(U855="半黑",-0.5,-1)))))</x:f>
        <x:v>-1</x:v>
      </x:c>
      <x:c r="X855" s="604" t="inlineStr">
        <x:is>
          <x:t xml:space="preserve">2956841</x:t>
        </x:is>
      </x:c>
      <x:c r="Y855" s="604" t="inlineStr">
        <x:is>
          <x:t xml:space="preserve">V4</x:t>
        </x:is>
      </x:c>
      <x:c r="Z855" s="604" t="inlineStr">
        <x:is>
          <x:t xml:space="preserve">prior-2026-10-04-v1</x:t>
        </x:is>
      </x:c>
      <x:c r="AA855" s="604" t="inlineStr">
        <x:is>
          <x:t xml:space="preserve">A</x:t>
        </x:is>
      </x:c>
      <x:c r="AB855" s="604" t="n">
        <x:v>0.9191118337695514</x:v>
      </x:c>
      <x:c r="AC855" s="604" t="n"/>
      <x:c r="AD855" s="604" t="n">
        <x:v>0.06362146456368671</x:v>
      </x:c>
      <x:c r="AE855" s="604" t="n"/>
      <x:c r="AF855" s="604" t="n">
        <x:v>0.01726670166676189</x:v>
      </x:c>
      <x:c r="AG855" s="604" t="n">
        <x:v>0.8283161854012254</x:v>
      </x:c>
      <x:c r="AH855" s="604" t="n"/>
      <x:c r="AI855" s="604" t="n"/>
      <x:c r="AJ855" s="604" t="n">
        <x:v>0.8283161854012254</x:v>
      </x:c>
      <x:c r="AK855" s="604" t="n"/>
      <x:c r="AL855" s="604" t="n"/>
      <x:c r="AM855" s="604" t="n"/>
      <x:c r="AN855" s="604" t="inlineStr">
        <x:is>
          <x:t xml:space="preserve">FROZEN_PREMATCH_DECISION</x:t>
        </x:is>
      </x:c>
      <x:c r="AO855" s="604" t="inlineStr">
        <x:is>
          <x:t xml:space="preserve">STARTED_DECISION_LOCKED</x:t>
        </x:is>
      </x:c>
      <x:c r="AP855" s="604" t="inlineStr">
        <x:is>
          <x:t xml:space="preserve">38edc63a731aa06729dc</x:t>
        </x:is>
      </x:c>
      <x:c r="AQ855" s="604" t="n">
        <x:v>1</x:v>
      </x:c>
      <x:c r="AR855" s="604" t="n">
        <x:v>0.92</x:v>
      </x:c>
      <x:c r="AS855" s="604" t="n">
        <x:v>-1</x:v>
      </x:c>
      <x:c r="AT855" s="604" t="n">
        <x:v>1</x:v>
      </x:c>
      <x:c r="AU855" s="604" t="n">
        <x:v>0.92</x:v>
      </x:c>
      <x:c r="AV855" s="604" t="n">
        <x:v>0.84</x:v>
      </x:c>
      <x:c r="AW855" s="604" t="n">
        <x:v>46299.08204853009</x:v>
      </x:c>
      <x:c r="AX855" s="604" t="inlineStr">
        <x:is>
          <x:t xml:space="preserve">https://simondongxiao.github.io/odds/v4/</x:t>
        </x:is>
      </x:c>
      <x:c r="AY855" s="604" t="inlineStr">
        <x:is>
          <x:t xml:space="preserve">V4 Shadow Only；real_money=false；P(EV&gt;0)不是比赛胜率</x:t>
        </x:is>
      </x:c>
    </x:row>
    <x:row r="856" ht="22" customHeight="1">
      <x:c r="A856" s="604" t="inlineStr">
        <x:is>
          <x:t xml:space="preserve">2026-10-04</x:t>
        </x:is>
      </x:c>
      <x:c r="B856" s="604" t="inlineStr">
        <x:is>
          <x:t xml:space="preserve">2026-10-04 12:00</x:t>
        </x:is>
      </x:c>
      <x:c r="C856" s="604" t="str">
        <x:v>日韩系列</x:v>
      </x:c>
      <x:c r="D856" s="604" t="inlineStr">
        <x:is>
          <x:t xml:space="preserve">联赛</x:t>
        </x:is>
      </x:c>
      <x:c r="E856" s="604" t="inlineStr">
        <x:is>
          <x:t xml:space="preserve">日职女乙</x:t>
        </x:is>
      </x:c>
      <x:c r="F856" s="604" t="inlineStr">
        <x:is>
          <x:t xml:space="preserve">威蒂恩三重女足 vs 冈马白星女足</x:t>
        </x:is>
      </x:c>
      <x:c r="G856" s="604" t="n">
        <x:v>0.76</x:v>
      </x:c>
      <x:c r="H856" s="604" t="n">
        <x:v>-0.25</x:v>
      </x:c>
      <x:c r="I856" s="604" t="n">
        <x:v>0.9399999999999999</x:v>
      </x:c>
      <x:c r="J856" s="604" t="inlineStr">
        <x:is>
          <x:t xml:space="preserve">0.76/-0.25/0.94</x:t>
        </x:is>
      </x:c>
      <x:c r="K856" s="604" t="inlineStr">
        <x:is>
          <x:t xml:space="preserve">V4-A｜EV +0.1286</x:t>
        </x:is>
      </x:c>
      <x:c r="L856" s="604" t="inlineStr">
        <x:is>
          <x:t xml:space="preserve">威蒂恩三重女足</x:t>
        </x:is>
      </x:c>
      <x:c r="M856" s="604" t="n">
        <x:v>0.6522584857878999</x:v>
      </x:c>
      <x:c r="N856" s="604" t="inlineStr">
        <x:is>
          <x:t xml:space="preserve">V4纸面入选-A</x:t>
        </x:is>
      </x:c>
      <x:c r="O856" s="604" t="inlineStr">
        <x:is>
          <x:t xml:space="preserve">2-1</x:t>
        </x:is>
      </x:c>
      <x:c r="P856" s="604" t="inlineStr">
        <x:is>
          <x:t xml:space="preserve">已结算</x:t>
        </x:is>
      </x:c>
      <x:c r="Q856" s="645" t="inlineStr">
        <x:is>
          <x:t xml:space="preserve">红</x:t>
        </x:is>
      </x:c>
      <x:c r="R856" s="604" t="n">
        <x:v>0.76</x:v>
      </x:c>
      <x:c r="S856" s="604" t="n">
        <x:f>IF(OR(Q856="",Q856="待结算"),"",IF(Q856="红",R856,IF(Q856="半红",R856*0.5,IF(Q856="走",0,IF(Q856="半黑",-0.5,-1)))))</x:f>
        <x:v>0.76</x:v>
      </x:c>
      <x:c r="T856" s="604" t="inlineStr">
        <x:is>
          <x:t xml:space="preserve">https://m.titan007.com/analy/Analysis/2990283.htm</x:t>
        </x:is>
      </x:c>
      <x:c r="U856" s="646" t="str">
        <x:f>IF(Q856="","",IF(Q856="待结算","待结算",IF(Q856="红","黑",IF(Q856="半红","半黑",IF(Q856="走","走",IF(Q856="半黑","半红","红"))))))</x:f>
        <x:v>黑</x:v>
      </x:c>
      <x:c r="V856" s="604" t="n">
        <x:f>IF(OR(Q856="",Q856="待结算"),"",IF(L856=LEFT(F856,FIND(" vs ",F856)-1),I856,G856))</x:f>
        <x:v>0.94</x:v>
      </x:c>
      <x:c r="W856" s="604" t="n">
        <x:f>IF(OR(U856="",U856="待结算"),"",IF(U856="红",V856,IF(U856="半红",V856*0.5,IF(U856="走",0,IF(U856="半黑",-0.5,-1)))))</x:f>
        <x:v>-1</x:v>
      </x:c>
      <x:c r="X856" s="604" t="inlineStr">
        <x:is>
          <x:t xml:space="preserve">2990283</x:t>
        </x:is>
      </x:c>
      <x:c r="Y856" s="604" t="inlineStr">
        <x:is>
          <x:t xml:space="preserve">V4</x:t>
        </x:is>
      </x:c>
      <x:c r="Z856" s="604" t="inlineStr">
        <x:is>
          <x:t xml:space="preserve">prior-2026-10-04-v1</x:t>
        </x:is>
      </x:c>
      <x:c r="AA856" s="604" t="inlineStr">
        <x:is>
          <x:t xml:space="preserve">A</x:t>
        </x:is>
      </x:c>
      <x:c r="AB856" s="604" t="n">
        <x:v>0.4356048895164652</x:v>
      </x:c>
      <x:c r="AC856" s="604" t="n">
        <x:v>0.2622514553685234</x:v>
      </x:c>
      <x:c r="AD856" s="604" t="n"/>
      <x:c r="AE856" s="604" t="n"/>
      <x:c r="AF856" s="604" t="n">
        <x:v>0.3021436551150114</x:v>
      </x:c>
      <x:c r="AG856" s="604" t="n">
        <x:v>0.128571613957541</x:v>
      </x:c>
      <x:c r="AH856" s="604" t="n"/>
      <x:c r="AI856" s="604" t="n"/>
      <x:c r="AJ856" s="604" t="n">
        <x:v>0.128571613957541</x:v>
      </x:c>
      <x:c r="AK856" s="604" t="n"/>
      <x:c r="AL856" s="604" t="n"/>
      <x:c r="AM856" s="604" t="n"/>
      <x:c r="AN856" s="604" t="inlineStr">
        <x:is>
          <x:t xml:space="preserve">FROZEN_PREMATCH_DECISION</x:t>
        </x:is>
      </x:c>
      <x:c r="AO856" s="604" t="inlineStr">
        <x:is>
          <x:t xml:space="preserve">STARTED_DECISION_LOCKED</x:t>
        </x:is>
      </x:c>
      <x:c r="AP856" s="604" t="inlineStr">
        <x:is>
          <x:t xml:space="preserve">461fcf4fec191f8d9407</x:t>
        </x:is>
      </x:c>
      <x:c r="AQ856" s="604" t="n">
        <x:v>0.25</x:v>
      </x:c>
      <x:c r="AR856" s="604" t="n">
        <x:v>0.76</x:v>
      </x:c>
      <x:c r="AS856" s="604" t="n">
        <x:v>-0.25</x:v>
      </x:c>
      <x:c r="AT856" s="604" t="n">
        <x:v>0.25</x:v>
      </x:c>
      <x:c r="AU856" s="604" t="n">
        <x:v>0.76</x:v>
      </x:c>
      <x:c r="AV856" s="604" t="n">
        <x:v>0.9399999999999999</x:v>
      </x:c>
      <x:c r="AW856" s="604" t="n">
        <x:v>46299.08204853009</x:v>
      </x:c>
      <x:c r="AX856" s="604" t="inlineStr">
        <x:is>
          <x:t xml:space="preserve">https://simondongxiao.github.io/odds/v4/</x:t>
        </x:is>
      </x:c>
      <x:c r="AY856" s="604" t="inlineStr">
        <x:is>
          <x:t xml:space="preserve">V4 Shadow Only；real_money=false；P(EV&gt;0)不是比赛胜率</x:t>
        </x:is>
      </x:c>
    </x:row>
    <x:row r="857" ht="22" customHeight="1">
      <x:c r="A857" s="604" t="inlineStr">
        <x:is>
          <x:t xml:space="preserve">2026-10-04</x:t>
        </x:is>
      </x:c>
      <x:c r="B857" s="604" t="inlineStr">
        <x:is>
          <x:t xml:space="preserve">2026-10-04 12:00</x:t>
        </x:is>
      </x:c>
      <x:c r="C857" s="604" t="str">
        <x:v>日韩系列</x:v>
      </x:c>
      <x:c r="D857" s="604" t="inlineStr">
        <x:is>
          <x:t xml:space="preserve">联赛</x:t>
        </x:is>
      </x:c>
      <x:c r="E857" s="604" t="inlineStr">
        <x:is>
          <x:t xml:space="preserve">日职女乙</x:t>
        </x:is>
      </x:c>
      <x:c r="F857" s="604" t="inlineStr">
        <x:is>
          <x:t xml:space="preserve">吉备国际大学女足 vs 大和西芙德女足</x:t>
        </x:is>
      </x:c>
      <x:c r="G857" s="604" t="n">
        <x:v>0.71</x:v>
      </x:c>
      <x:c r="H857" s="604" t="n">
        <x:v>1</x:v>
      </x:c>
      <x:c r="I857" s="604" t="n">
        <x:v>0.99</x:v>
      </x:c>
      <x:c r="J857" s="604" t="inlineStr">
        <x:is>
          <x:t xml:space="preserve">0.71/1/0.99</x:t>
        </x:is>
      </x:c>
      <x:c r="K857" s="604" t="inlineStr">
        <x:is>
          <x:t xml:space="preserve">V4-A｜EV +0.1556</x:t>
        </x:is>
      </x:c>
      <x:c r="L857" s="604" t="inlineStr">
        <x:is>
          <x:t xml:space="preserve">吉备国际大学女足</x:t>
        </x:is>
      </x:c>
      <x:c r="M857" s="604" t="n">
        <x:v>0.7055459572765945</x:v>
      </x:c>
      <x:c r="N857" s="604" t="inlineStr">
        <x:is>
          <x:t xml:space="preserve">V4纸面入选-A</x:t>
        </x:is>
      </x:c>
      <x:c r="O857" s="604" t="inlineStr">
        <x:is>
          <x:t xml:space="preserve">2-0</x:t>
        </x:is>
      </x:c>
      <x:c r="P857" s="604" t="inlineStr">
        <x:is>
          <x:t xml:space="preserve">已结算</x:t>
        </x:is>
      </x:c>
      <x:c r="Q857" s="645" t="inlineStr">
        <x:is>
          <x:t xml:space="preserve">红</x:t>
        </x:is>
      </x:c>
      <x:c r="R857" s="604" t="n">
        <x:v>0.71</x:v>
      </x:c>
      <x:c r="S857" s="604" t="n">
        <x:f>IF(OR(Q857="",Q857="待结算"),"",IF(Q857="红",R857,IF(Q857="半红",R857*0.5,IF(Q857="走",0,IF(Q857="半黑",-0.5,-1)))))</x:f>
        <x:v>0.71</x:v>
      </x:c>
      <x:c r="T857" s="604" t="inlineStr">
        <x:is>
          <x:t xml:space="preserve">https://m.titan007.com/analy/Analysis/2990284.htm</x:t>
        </x:is>
      </x:c>
      <x:c r="U857" s="646" t="str">
        <x:f>IF(Q857="","",IF(Q857="待结算","待结算",IF(Q857="红","黑",IF(Q857="半红","半黑",IF(Q857="走","走",IF(Q857="半黑","半红","红"))))))</x:f>
        <x:v>黑</x:v>
      </x:c>
      <x:c r="V857" s="604" t="n">
        <x:f>IF(OR(Q857="",Q857="待结算"),"",IF(L857=LEFT(F857,FIND(" vs ",F857)-1),I857,G857))</x:f>
        <x:v>0.99</x:v>
      </x:c>
      <x:c r="W857" s="604" t="n">
        <x:f>IF(OR(U857="",U857="待结算"),"",IF(U857="红",V857,IF(U857="半红",V857*0.5,IF(U857="走",0,IF(U857="半黑",-0.5,-1)))))</x:f>
        <x:v>-1</x:v>
      </x:c>
      <x:c r="X857" s="604" t="inlineStr">
        <x:is>
          <x:t xml:space="preserve">2990284</x:t>
        </x:is>
      </x:c>
      <x:c r="Y857" s="604" t="inlineStr">
        <x:is>
          <x:t xml:space="preserve">V4</x:t>
        </x:is>
      </x:c>
      <x:c r="Z857" s="604" t="inlineStr">
        <x:is>
          <x:t xml:space="preserve">prior-2026-10-04-v1</x:t>
        </x:is>
      </x:c>
      <x:c r="AA857" s="604" t="inlineStr">
        <x:is>
          <x:t xml:space="preserve">A</x:t>
        </x:is>
      </x:c>
      <x:c r="AB857" s="604" t="n">
        <x:v>0.5316635863789182</x:v>
      </x:c>
      <x:c r="AC857" s="604" t="n"/>
      <x:c r="AD857" s="604" t="n">
        <x:v>0.2464508074978727</x:v>
      </x:c>
      <x:c r="AE857" s="604" t="n"/>
      <x:c r="AF857" s="604" t="n">
        <x:v>0.2218856061232091</x:v>
      </x:c>
      <x:c r="AG857" s="604" t="n">
        <x:v>0.1555955402058228</x:v>
      </x:c>
      <x:c r="AH857" s="604" t="n"/>
      <x:c r="AI857" s="604" t="n"/>
      <x:c r="AJ857" s="604" t="n">
        <x:v>0.1555955402058228</x:v>
      </x:c>
      <x:c r="AK857" s="604" t="n"/>
      <x:c r="AL857" s="604" t="n"/>
      <x:c r="AM857" s="604" t="n"/>
      <x:c r="AN857" s="604" t="inlineStr">
        <x:is>
          <x:t xml:space="preserve">FROZEN_PREMATCH_DECISION</x:t>
        </x:is>
      </x:c>
      <x:c r="AO857" s="604" t="inlineStr">
        <x:is>
          <x:t xml:space="preserve">STARTED_DECISION_LOCKED</x:t>
        </x:is>
      </x:c>
      <x:c r="AP857" s="604" t="inlineStr">
        <x:is>
          <x:t xml:space="preserve">68dbabc74d6fc1922984</x:t>
        </x:is>
      </x:c>
      <x:c r="AQ857" s="604" t="n">
        <x:v>-1</x:v>
      </x:c>
      <x:c r="AR857" s="604" t="n">
        <x:v>0.71</x:v>
      </x:c>
      <x:c r="AS857" s="604" t="n">
        <x:v>1</x:v>
      </x:c>
      <x:c r="AT857" s="604" t="n">
        <x:v>-1</x:v>
      </x:c>
      <x:c r="AU857" s="604" t="n">
        <x:v>0.71</x:v>
      </x:c>
      <x:c r="AV857" s="604" t="n">
        <x:v>0.99</x:v>
      </x:c>
      <x:c r="AW857" s="604" t="n">
        <x:v>46299.08204853009</x:v>
      </x:c>
      <x:c r="AX857" s="604" t="inlineStr">
        <x:is>
          <x:t xml:space="preserve">https://simondongxiao.github.io/odds/v4/</x:t>
        </x:is>
      </x:c>
      <x:c r="AY857" s="604" t="inlineStr">
        <x:is>
          <x:t xml:space="preserve">V4 Shadow Only；real_money=false；P(EV&gt;0)不是比赛胜率</x:t>
        </x:is>
      </x:c>
    </x:row>
    <x:row r="858" ht="22" customHeight="1">
      <x:c r="A858" s="604" t="inlineStr">
        <x:is>
          <x:t xml:space="preserve">2026-10-04</x:t>
        </x:is>
      </x:c>
      <x:c r="B858" s="604" t="inlineStr">
        <x:is>
          <x:t xml:space="preserve">2026-10-04 12:00</x:t>
        </x:is>
      </x:c>
      <x:c r="C858" s="604" t="str">
        <x:v>日韩系列</x:v>
      </x:c>
      <x:c r="D858" s="604" t="inlineStr">
        <x:is>
          <x:t xml:space="preserve">杯赛</x:t>
        </x:is>
      </x:c>
      <x:c r="E858" s="604" t="inlineStr">
        <x:is>
          <x:t xml:space="preserve">女日联杯</x:t>
        </x:is>
      </x:c>
      <x:c r="F858" s="604" t="inlineStr">
        <x:is>
          <x:t xml:space="preserve">伊分埼玉女足 vs 千叶市原女足</x:t>
        </x:is>
      </x:c>
      <x:c r="G858" s="604" t="n">
        <x:v>0.8</x:v>
      </x:c>
      <x:c r="H858" s="604" t="n">
        <x:v>-0.25</x:v>
      </x:c>
      <x:c r="I858" s="604" t="n">
        <x:v>0.9</x:v>
      </x:c>
      <x:c r="J858" s="604" t="inlineStr">
        <x:is>
          <x:t xml:space="preserve">0.8/-0.25/0.9</x:t>
        </x:is>
      </x:c>
      <x:c r="K858" s="604" t="inlineStr">
        <x:is>
          <x:t xml:space="preserve">V4-C｜EV +0.0641</x:t>
        </x:is>
      </x:c>
      <x:c r="L858" s="604" t="inlineStr">
        <x:is>
          <x:t xml:space="preserve">伊分埼玉女足</x:t>
        </x:is>
      </x:c>
      <x:c r="M858" s="604" t="n">
        <x:v>0.596583942279424</x:v>
      </x:c>
      <x:c r="N858" s="604" t="inlineStr">
        <x:is>
          <x:t xml:space="preserve">V4纸面入选-C</x:t>
        </x:is>
      </x:c>
      <x:c r="O858" s="604" t="inlineStr">
        <x:is>
          <x:t xml:space="preserve">2-1</x:t>
        </x:is>
      </x:c>
      <x:c r="P858" s="604" t="inlineStr">
        <x:is>
          <x:t xml:space="preserve">已结算</x:t>
        </x:is>
      </x:c>
      <x:c r="Q858" s="645" t="inlineStr">
        <x:is>
          <x:t xml:space="preserve">红</x:t>
        </x:is>
      </x:c>
      <x:c r="R858" s="604" t="n">
        <x:v>0.8</x:v>
      </x:c>
      <x:c r="S858" s="604" t="n">
        <x:f>IF(OR(Q858="",Q858="待结算"),"",IF(Q858="红",R858,IF(Q858="半红",R858*0.5,IF(Q858="走",0,IF(Q858="半黑",-0.5,-1)))))</x:f>
        <x:v>0.8</x:v>
      </x:c>
      <x:c r="T858" s="604" t="inlineStr">
        <x:is>
          <x:t xml:space="preserve">https://m.titan007.com/analy/Analysis/3086985.htm</x:t>
        </x:is>
      </x:c>
      <x:c r="U858" s="646" t="str">
        <x:f>IF(Q858="","",IF(Q858="待结算","待结算",IF(Q858="红","黑",IF(Q858="半红","半黑",IF(Q858="走","走",IF(Q858="半黑","半红","红"))))))</x:f>
        <x:v>黑</x:v>
      </x:c>
      <x:c r="V858" s="604" t="n">
        <x:f>IF(OR(Q858="",Q858="待结算"),"",IF(L858=LEFT(F858,FIND(" vs ",F858)-1),I858,G858))</x:f>
        <x:v>0.9</x:v>
      </x:c>
      <x:c r="W858" s="604" t="n">
        <x:f>IF(OR(U858="",U858="待结算"),"",IF(U858="红",V858,IF(U858="半红",V858*0.5,IF(U858="走",0,IF(U858="半黑",-0.5,-1)))))</x:f>
        <x:v>-1</x:v>
      </x:c>
      <x:c r="X858" s="604" t="inlineStr">
        <x:is>
          <x:t xml:space="preserve">3086985</x:t>
        </x:is>
      </x:c>
      <x:c r="Y858" s="604" t="inlineStr">
        <x:is>
          <x:t xml:space="preserve">V4</x:t>
        </x:is>
      </x:c>
      <x:c r="Z858" s="604" t="inlineStr">
        <x:is>
          <x:t xml:space="preserve">prior-2026-10-04-v1</x:t>
        </x:is>
      </x:c>
      <x:c r="AA858" s="604" t="inlineStr">
        <x:is>
          <x:t xml:space="preserve">C</x:t>
        </x:is>
      </x:c>
      <x:c r="AB858" s="604" t="n">
        <x:v>0.3852262377254092</x:v>
      </x:c>
      <x:c r="AC858" s="604" t="n">
        <x:v>0.2647624079849656</x:v>
      </x:c>
      <x:c r="AD858" s="604" t="n"/>
      <x:c r="AE858" s="604" t="n"/>
      <x:c r="AF858" s="604" t="n">
        <x:v>0.3500113542896252</x:v>
      </x:c>
      <x:c r="AG858" s="604" t="n">
        <x:v>0.06407459908468849</x:v>
      </x:c>
      <x:c r="AH858" s="604" t="n"/>
      <x:c r="AI858" s="604" t="n"/>
      <x:c r="AJ858" s="604" t="n">
        <x:v>0.06407459908468849</x:v>
      </x:c>
      <x:c r="AK858" s="604" t="n"/>
      <x:c r="AL858" s="604" t="n"/>
      <x:c r="AM858" s="604" t="n"/>
      <x:c r="AN858" s="604" t="inlineStr">
        <x:is>
          <x:t xml:space="preserve">FROZEN_PREMATCH_DECISION</x:t>
        </x:is>
      </x:c>
      <x:c r="AO858" s="604" t="inlineStr">
        <x:is>
          <x:t xml:space="preserve">STARTED_DECISION_LOCKED</x:t>
        </x:is>
      </x:c>
      <x:c r="AP858" s="604" t="inlineStr">
        <x:is>
          <x:t xml:space="preserve">47c1b9e32a678c25c772</x:t>
        </x:is>
      </x:c>
      <x:c r="AQ858" s="604" t="n">
        <x:v>0.25</x:v>
      </x:c>
      <x:c r="AR858" s="604" t="n">
        <x:v>0.8</x:v>
      </x:c>
      <x:c r="AS858" s="604" t="n">
        <x:v>-0.25</x:v>
      </x:c>
      <x:c r="AT858" s="604" t="n">
        <x:v>0.25</x:v>
      </x:c>
      <x:c r="AU858" s="604" t="n">
        <x:v>0.8</x:v>
      </x:c>
      <x:c r="AV858" s="604" t="n">
        <x:v>0.9</x:v>
      </x:c>
      <x:c r="AW858" s="604" t="n">
        <x:v>46299.08204853009</x:v>
      </x:c>
      <x:c r="AX858" s="604" t="inlineStr">
        <x:is>
          <x:t xml:space="preserve">https://simondongxiao.github.io/odds/v4/</x:t>
        </x:is>
      </x:c>
      <x:c r="AY858" s="604" t="inlineStr">
        <x:is>
          <x:t xml:space="preserve">V4 Shadow Only；real_money=false；P(EV&gt;0)不是比赛胜率</x:t>
        </x:is>
      </x:c>
    </x:row>
    <x:row r="859" ht="22" customHeight="1">
      <x:c r="A859" s="604" t="inlineStr">
        <x:is>
          <x:t xml:space="preserve">2026-10-04</x:t>
        </x:is>
      </x:c>
      <x:c r="B859" s="604" t="inlineStr">
        <x:is>
          <x:t xml:space="preserve">2026-10-04 14:00</x:t>
        </x:is>
      </x:c>
      <x:c r="C859" s="604" t="str">
        <x:v>日韩系列</x:v>
      </x:c>
      <x:c r="D859" s="604" t="inlineStr">
        <x:is>
          <x:t xml:space="preserve">联赛</x:t>
        </x:is>
      </x:c>
      <x:c r="E859" s="604" t="inlineStr">
        <x:is>
          <x:t xml:space="preserve">日职乙</x:t>
        </x:is>
      </x:c>
      <x:c r="F859" s="604" t="inlineStr">
        <x:is>
          <x:t xml:space="preserve">仙台维加泰 vs 磐田喜悦</x:t>
        </x:is>
      </x:c>
      <x:c r="G859" s="604" t="n">
        <x:v>0.9399999999999999</x:v>
      </x:c>
      <x:c r="H859" s="604" t="n">
        <x:v>0</x:v>
      </x:c>
      <x:c r="I859" s="604" t="n">
        <x:v>0.9399999999999999</x:v>
      </x:c>
      <x:c r="J859" s="604" t="inlineStr">
        <x:is>
          <x:t xml:space="preserve">0.94/0/0.94</x:t>
        </x:is>
      </x:c>
      <x:c r="K859" s="604" t="inlineStr">
        <x:is>
          <x:t xml:space="preserve">V4-C｜EV +0.0010</x:t>
        </x:is>
      </x:c>
      <x:c r="L859" s="604" t="str"/>
      <x:c r="M859" s="604" t="n">
        <x:v>0.5160492155878187</x:v>
      </x:c>
      <x:c r="N859" s="604" t="inlineStr">
        <x:is>
          <x:t xml:space="preserve">V4纸面入选-C</x:t>
        </x:is>
      </x:c>
      <x:c r="O859" s="604" t="inlineStr">
        <x:is>
          <x:t xml:space="preserve">2-1</x:t>
        </x:is>
      </x:c>
      <x:c r="P859" s="604" t="inlineStr">
        <x:is>
          <x:t xml:space="preserve">已结算</x:t>
        </x:is>
      </x:c>
      <x:c r="Q859" s="645" t="inlineStr">
        <x:is>
          <x:t xml:space="preserve">红</x:t>
        </x:is>
      </x:c>
      <x:c r="R859" s="604" t="n">
        <x:v>0.9399999999999999</x:v>
      </x:c>
      <x:c r="S859" s="604" t="n">
        <x:f>IF(OR(Q859="",Q859="待结算"),"",IF(Q859="红",R859,IF(Q859="半红",R859*0.5,IF(Q859="走",0,IF(Q859="半黑",-0.5,-1)))))</x:f>
        <x:v>0.94</x:v>
      </x:c>
      <x:c r="T859" s="604" t="inlineStr">
        <x:is>
          <x:t xml:space="preserve">https://m.titan007.com/analy/Analysis/3000102.htm</x:t>
        </x:is>
      </x:c>
      <x:c r="U859" s="646" t="str">
        <x:f>IF(Q859="","",IF(Q859="待结算","待结算",IF(Q859="红","黑",IF(Q859="半红","半黑",IF(Q859="走","走",IF(Q859="半黑","半红","红"))))))</x:f>
        <x:v>黑</x:v>
      </x:c>
      <x:c r="V859" s="604" t="n">
        <x:f>IF(OR(Q859="",Q859="待结算"),"",IF(L859=LEFT(F859,FIND(" vs ",F859)-1),I859,G859))</x:f>
        <x:v>0.94</x:v>
      </x:c>
      <x:c r="W859" s="604" t="n">
        <x:f>IF(OR(U859="",U859="待结算"),"",IF(U859="红",V859,IF(U859="半红",V859*0.5,IF(U859="走",0,IF(U859="半黑",-0.5,-1)))))</x:f>
        <x:v>-1</x:v>
      </x:c>
      <x:c r="X859" s="604" t="inlineStr">
        <x:is>
          <x:t xml:space="preserve">3000102</x:t>
        </x:is>
      </x:c>
      <x:c r="Y859" s="604" t="inlineStr">
        <x:is>
          <x:t xml:space="preserve">V4</x:t>
        </x:is>
      </x:c>
      <x:c r="Z859" s="604" t="inlineStr">
        <x:is>
          <x:t xml:space="preserve">prior-2026-10-04-v1</x:t>
        </x:is>
      </x:c>
      <x:c r="AA859" s="604" t="inlineStr">
        <x:is>
          <x:t xml:space="preserve">C</x:t>
        </x:is>
      </x:c>
      <x:c r="AB859" s="604" t="n">
        <x:v>0.4490123701238354</x:v>
      </x:c>
      <x:c r="AC859" s="604" t="n"/>
      <x:c r="AD859" s="604" t="n"/>
      <x:c r="AE859" s="604" t="n">
        <x:v>0.2598079541216753</x:v>
      </x:c>
      <x:c r="AF859" s="604" t="n">
        <x:v>0.2911796757544893</x:v>
      </x:c>
      <x:c r="AG859" s="604" t="n">
        <x:v>0.0009879751010782867</x:v>
      </x:c>
      <x:c r="AH859" s="604" t="n"/>
      <x:c r="AI859" s="604" t="n"/>
      <x:c r="AJ859" s="604" t="n">
        <x:v>0.0009879751010782867</x:v>
      </x:c>
      <x:c r="AK859" s="604" t="n"/>
      <x:c r="AL859" s="604" t="n"/>
      <x:c r="AM859" s="604" t="n"/>
      <x:c r="AN859" s="604" t="inlineStr">
        <x:is>
          <x:t xml:space="preserve">EVALUATED</x:t>
        </x:is>
      </x:c>
      <x:c r="AO859" s="604" t="inlineStr">
        <x:is>
          <x:t xml:space="preserve">EDGE_BELOW_UNCERTAINTY_THRESHOLD、BUCKET_PRIOR_ONLY、INTENT_INTERPRETATION_ONLY、FFL_OPTIONAL、EXPERT_MARKET</x:t>
        </x:is>
      </x:c>
      <x:c r="AP859" s="604" t="inlineStr">
        <x:is>
          <x:t xml:space="preserve">b8881f7ec20ccd370d2c</x:t>
        </x:is>
      </x:c>
      <x:c r="AQ859" s="604" t="n">
        <x:v>0</x:v>
      </x:c>
      <x:c r="AR859" s="604" t="n"/>
      <x:c r="AS859" s="604" t="n">
        <x:v>0</x:v>
      </x:c>
      <x:c r="AT859" s="604" t="n">
        <x:v>0</x:v>
      </x:c>
      <x:c r="AU859" s="604" t="n">
        <x:v>0.9399999999999999</x:v>
      </x:c>
      <x:c r="AV859" s="604" t="n">
        <x:v>0.9399999999999999</x:v>
      </x:c>
      <x:c r="AW859" s="604" t="n">
        <x:v>46299.08204853009</x:v>
      </x:c>
      <x:c r="AX859" s="604" t="inlineStr">
        <x:is>
          <x:t xml:space="preserve">https://simondongxiao.github.io/odds/v4/</x:t>
        </x:is>
      </x:c>
      <x:c r="AY859" s="604" t="inlineStr">
        <x:is>
          <x:t xml:space="preserve">V4 Shadow Only；real_money=false；P(EV&gt;0)不是比赛胜率</x:t>
        </x:is>
      </x:c>
    </x:row>
    <x:row r="860" ht="22" customHeight="1">
      <x:c r="A860" s="604" t="inlineStr">
        <x:is>
          <x:t xml:space="preserve">2026-10-04</x:t>
        </x:is>
      </x:c>
      <x:c r="B860" s="604" t="inlineStr">
        <x:is>
          <x:t xml:space="preserve">2026-10-04 16:00</x:t>
        </x:is>
      </x:c>
      <x:c r="C860" s="604" t="str">
        <x:v>日韩系列</x:v>
      </x:c>
      <x:c r="D860" s="604" t="inlineStr">
        <x:is>
          <x:t xml:space="preserve">杯赛</x:t>
        </x:is>
      </x:c>
      <x:c r="E860" s="604" t="inlineStr">
        <x:is>
          <x:t xml:space="preserve">港联杯</x:t>
        </x:is>
      </x:c>
      <x:c r="F860" s="604" t="inlineStr">
        <x:is>
          <x:t xml:space="preserve">九龙城 vs 东区</x:t>
        </x:is>
      </x:c>
      <x:c r="G860" s="604" t="n">
        <x:v>0.86</x:v>
      </x:c>
      <x:c r="H860" s="604" t="n">
        <x:v>-0.25</x:v>
      </x:c>
      <x:c r="I860" s="604" t="n">
        <x:v>0.84</x:v>
      </x:c>
      <x:c r="J860" s="604" t="inlineStr">
        <x:is>
          <x:t xml:space="preserve">0.86/-0.25/0.84</x:t>
        </x:is>
      </x:c>
      <x:c r="K860" s="604" t="inlineStr">
        <x:is>
          <x:t xml:space="preserve">V4-B｜EV +0.0970</x:t>
        </x:is>
      </x:c>
      <x:c r="L860" s="604" t="inlineStr">
        <x:is>
          <x:t xml:space="preserve">九龙城</x:t>
        </x:is>
      </x:c>
      <x:c r="M860" s="604" t="n">
        <x:v>0.5976184670062974</x:v>
      </x:c>
      <x:c r="N860" s="604" t="inlineStr">
        <x:is>
          <x:t xml:space="preserve">V4纸面入选-B</x:t>
        </x:is>
      </x:c>
      <x:c r="O860" s="604" t="inlineStr">
        <x:is>
          <x:t xml:space="preserve">1-2</x:t>
        </x:is>
      </x:c>
      <x:c r="P860" s="604" t="inlineStr">
        <x:is>
          <x:t xml:space="preserve">已结算</x:t>
        </x:is>
      </x:c>
      <x:c r="Q860" s="646" t="inlineStr">
        <x:is>
          <x:t xml:space="preserve">黑</x:t>
        </x:is>
      </x:c>
      <x:c r="R860" s="604" t="n">
        <x:v>0.86</x:v>
      </x:c>
      <x:c r="S860" s="604" t="n">
        <x:f>IF(OR(Q860="",Q860="待结算"),"",IF(Q860="红",R860,IF(Q860="半红",R860*0.5,IF(Q860="走",0,IF(Q860="半黑",-0.5,-1)))))</x:f>
        <x:v>-1</x:v>
      </x:c>
      <x:c r="T860" s="604" t="inlineStr">
        <x:is>
          <x:t xml:space="preserve">https://m.titan007.com/analy/Analysis/3084341.htm</x:t>
        </x:is>
      </x:c>
      <x:c r="U860" s="645" t="str">
        <x:f>IF(Q860="","",IF(Q860="待结算","待结算",IF(Q860="红","黑",IF(Q860="半红","半黑",IF(Q860="走","走",IF(Q860="半黑","半红","红"))))))</x:f>
        <x:v>红</x:v>
      </x:c>
      <x:c r="V860" s="604" t="n">
        <x:f>IF(OR(Q860="",Q860="待结算"),"",IF(L860=LEFT(F860,FIND(" vs ",F860)-1),I860,G860))</x:f>
        <x:v>0.84</x:v>
      </x:c>
      <x:c r="W860" s="604" t="n">
        <x:f>IF(OR(U860="",U860="待结算"),"",IF(U860="红",V860,IF(U860="半红",V860*0.5,IF(U860="走",0,IF(U860="半黑",-0.5,-1)))))</x:f>
        <x:v>0.84</x:v>
      </x:c>
      <x:c r="X860" s="604" t="inlineStr">
        <x:is>
          <x:t xml:space="preserve">3084341</x:t>
        </x:is>
      </x:c>
      <x:c r="Y860" s="604" t="inlineStr">
        <x:is>
          <x:t xml:space="preserve">V4</x:t>
        </x:is>
      </x:c>
      <x:c r="Z860" s="604" t="inlineStr">
        <x:is>
          <x:t xml:space="preserve">prior-2026-10-04-v1</x:t>
        </x:is>
      </x:c>
      <x:c r="AA860" s="604" t="inlineStr">
        <x:is>
          <x:t xml:space="preserve">B</x:t>
        </x:is>
      </x:c>
      <x:c r="AB860" s="604" t="n">
        <x:v>0.3884234687803654</x:v>
      </x:c>
      <x:c r="AC860" s="604" t="n">
        <x:v>0.2618835504798999</x:v>
      </x:c>
      <x:c r="AD860" s="604" t="n"/>
      <x:c r="AE860" s="604" t="n"/>
      <x:c r="AF860" s="604" t="n">
        <x:v>0.3496929807397347</x:v>
      </x:c>
      <x:c r="AG860" s="604" t="n">
        <x:v>0.09696112911773652</x:v>
      </x:c>
      <x:c r="AH860" s="604" t="n"/>
      <x:c r="AI860" s="604" t="n"/>
      <x:c r="AJ860" s="604" t="n">
        <x:v>0.09696112911773652</x:v>
      </x:c>
      <x:c r="AK860" s="604" t="n"/>
      <x:c r="AL860" s="604" t="n"/>
      <x:c r="AM860" s="604" t="n"/>
      <x:c r="AN860" s="604" t="inlineStr">
        <x:is>
          <x:t xml:space="preserve">EVALUATED</x:t>
        </x:is>
      </x:c>
      <x:c r="AO860" s="604" t="inlineStr">
        <x:is>
          <x:t xml:space="preserve">RECEIVING_VALIDATED_EDGE、BUCKET_PRIOR_ONLY、INTENT_INTERPRETATION_ONLY、FFL_OPTIONAL、EXPERT_MARKET</x:t>
        </x:is>
      </x:c>
      <x:c r="AP860" s="604" t="inlineStr">
        <x:is>
          <x:t xml:space="preserve">f25e8b1c94ac35222d1d</x:t>
        </x:is>
      </x:c>
      <x:c r="AQ860" s="604" t="n">
        <x:v>0.25</x:v>
      </x:c>
      <x:c r="AR860" s="604" t="n">
        <x:v>0.86</x:v>
      </x:c>
      <x:c r="AS860" s="604" t="n">
        <x:v>-0.25</x:v>
      </x:c>
      <x:c r="AT860" s="604" t="n">
        <x:v>0.25</x:v>
      </x:c>
      <x:c r="AU860" s="604" t="n">
        <x:v>0.86</x:v>
      </x:c>
      <x:c r="AV860" s="604" t="n">
        <x:v>0.84</x:v>
      </x:c>
      <x:c r="AW860" s="604" t="n">
        <x:v>46299.08204853009</x:v>
      </x:c>
      <x:c r="AX860" s="604" t="inlineStr">
        <x:is>
          <x:t xml:space="preserve">https://simondongxiao.github.io/odds/v4/</x:t>
        </x:is>
      </x:c>
      <x:c r="AY860" s="604" t="inlineStr">
        <x:is>
          <x:t xml:space="preserve">V4 Shadow Only；real_money=false；P(EV&gt;0)不是比赛胜率</x:t>
        </x:is>
      </x:c>
    </x:row>
    <x:row r="861" ht="22" customHeight="1">
      <x:c r="A861" s="604" t="inlineStr">
        <x:is>
          <x:t xml:space="preserve">2026-10-04</x:t>
        </x:is>
      </x:c>
      <x:c r="B861" s="604" t="inlineStr">
        <x:is>
          <x:t xml:space="preserve">2026-10-04 16:00</x:t>
        </x:is>
      </x:c>
      <x:c r="C861" s="604" t="str">
        <x:v>日韩系列</x:v>
      </x:c>
      <x:c r="D861" s="604" t="inlineStr">
        <x:is>
          <x:t xml:space="preserve">杯赛</x:t>
        </x:is>
      </x:c>
      <x:c r="E861" s="604" t="inlineStr">
        <x:is>
          <x:t xml:space="preserve">港联杯</x:t>
        </x:is>
      </x:c>
      <x:c r="F861" s="604" t="inlineStr">
        <x:is>
          <x:t xml:space="preserve">标准流浪 vs 和富大埔</x:t>
        </x:is>
      </x:c>
      <x:c r="G861" s="604" t="n">
        <x:v>0.9399999999999999</x:v>
      </x:c>
      <x:c r="H861" s="604" t="n">
        <x:v>-0.75</x:v>
      </x:c>
      <x:c r="I861" s="604" t="n">
        <x:v>0.76</x:v>
      </x:c>
      <x:c r="J861" s="604" t="inlineStr">
        <x:is>
          <x:t xml:space="preserve">0.94/-0.75/0.76</x:t>
        </x:is>
      </x:c>
      <x:c r="K861" s="604" t="inlineStr">
        <x:is>
          <x:t xml:space="preserve">V4-B｜EV +0.7517</x:t>
        </x:is>
      </x:c>
      <x:c r="L861" s="604" t="inlineStr">
        <x:is>
          <x:t xml:space="preserve">标准流浪</x:t>
        </x:is>
      </x:c>
      <x:c r="M861" s="604" t="n">
        <x:v>0.9208794706513592</x:v>
      </x:c>
      <x:c r="N861" s="604" t="inlineStr">
        <x:is>
          <x:t xml:space="preserve">V4纸面入选-B</x:t>
        </x:is>
      </x:c>
      <x:c r="O861" s="604" t="inlineStr">
        <x:is>
          <x:t xml:space="preserve">1-3</x:t>
        </x:is>
      </x:c>
      <x:c r="P861" s="604" t="inlineStr">
        <x:is>
          <x:t xml:space="preserve">已结算</x:t>
        </x:is>
      </x:c>
      <x:c r="Q861" s="646" t="inlineStr">
        <x:is>
          <x:t xml:space="preserve">黑</x:t>
        </x:is>
      </x:c>
      <x:c r="R861" s="604" t="n">
        <x:v>0.9399999999999999</x:v>
      </x:c>
      <x:c r="S861" s="604" t="n">
        <x:f>IF(OR(Q861="",Q861="待结算"),"",IF(Q861="红",R861,IF(Q861="半红",R861*0.5,IF(Q861="走",0,IF(Q861="半黑",-0.5,-1)))))</x:f>
        <x:v>-1</x:v>
      </x:c>
      <x:c r="T861" s="604" t="inlineStr">
        <x:is>
          <x:t xml:space="preserve">https://m.titan007.com/analy/Analysis/3084342.htm</x:t>
        </x:is>
      </x:c>
      <x:c r="U861" s="645" t="str">
        <x:f>IF(Q861="","",IF(Q861="待结算","待结算",IF(Q861="红","黑",IF(Q861="半红","半黑",IF(Q861="走","走",IF(Q861="半黑","半红","红"))))))</x:f>
        <x:v>红</x:v>
      </x:c>
      <x:c r="V861" s="604" t="n">
        <x:f>IF(OR(Q861="",Q861="待结算"),"",IF(L861=LEFT(F861,FIND(" vs ",F861)-1),I861,G861))</x:f>
        <x:v>0.76</x:v>
      </x:c>
      <x:c r="W861" s="604" t="n">
        <x:f>IF(OR(U861="",U861="待结算"),"",IF(U861="红",V861,IF(U861="半红",V861*0.5,IF(U861="走",0,IF(U861="半黑",-0.5,-1)))))</x:f>
        <x:v>0.76</x:v>
      </x:c>
      <x:c r="X861" s="604" t="inlineStr">
        <x:is>
          <x:t xml:space="preserve">3084342</x:t>
        </x:is>
      </x:c>
      <x:c r="Y861" s="604" t="inlineStr">
        <x:is>
          <x:t xml:space="preserve">V4</x:t>
        </x:is>
      </x:c>
      <x:c r="Z861" s="604" t="inlineStr">
        <x:is>
          <x:t xml:space="preserve">prior-2026-10-04-v1</x:t>
        </x:is>
      </x:c>
      <x:c r="AA861" s="604" t="inlineStr">
        <x:is>
          <x:t xml:space="preserve">B</x:t>
        </x:is>
      </x:c>
      <x:c r="AB861" s="604" t="n">
        <x:v>0.8801296127244246</x:v>
      </x:c>
      <x:c r="AC861" s="604" t="n"/>
      <x:c r="AD861" s="604" t="n"/>
      <x:c r="AE861" s="604" t="n">
        <x:v>0.08850204445998015</x:v>
      </x:c>
      <x:c r="AF861" s="604" t="n">
        <x:v>0.03136834281559538</x:v>
      </x:c>
      <x:c r="AG861" s="604" t="n">
        <x:v>0.7517024709153736</x:v>
      </x:c>
      <x:c r="AH861" s="604" t="n"/>
      <x:c r="AI861" s="604" t="n"/>
      <x:c r="AJ861" s="604" t="n">
        <x:v>0.7517024709153736</x:v>
      </x:c>
      <x:c r="AK861" s="604" t="n"/>
      <x:c r="AL861" s="604" t="n"/>
      <x:c r="AM861" s="604" t="n"/>
      <x:c r="AN861" s="604" t="inlineStr">
        <x:is>
          <x:t xml:space="preserve">EVALUATED</x:t>
        </x:is>
      </x:c>
      <x:c r="AO861" s="604" t="inlineStr">
        <x:is>
          <x:t xml:space="preserve">RECEIVING_VALIDATED_EDGE、BUCKET_PRIOR_ONLY、INTENT_INTERPRETATION_ONLY、FFL_OPTIONAL、EXPERT_MARKET</x:t>
        </x:is>
      </x:c>
      <x:c r="AP861" s="604" t="inlineStr">
        <x:is>
          <x:t xml:space="preserve">c4ed77dad009d2bb8eb3</x:t>
        </x:is>
      </x:c>
      <x:c r="AQ861" s="604" t="n">
        <x:v>0.75</x:v>
      </x:c>
      <x:c r="AR861" s="604" t="n">
        <x:v>0.9399999999999999</x:v>
      </x:c>
      <x:c r="AS861" s="604" t="n">
        <x:v>-0.75</x:v>
      </x:c>
      <x:c r="AT861" s="604" t="n">
        <x:v>0.75</x:v>
      </x:c>
      <x:c r="AU861" s="604" t="n">
        <x:v>0.9399999999999999</x:v>
      </x:c>
      <x:c r="AV861" s="604" t="n">
        <x:v>0.76</x:v>
      </x:c>
      <x:c r="AW861" s="604" t="n">
        <x:v>46299.08204853009</x:v>
      </x:c>
      <x:c r="AX861" s="604" t="inlineStr">
        <x:is>
          <x:t xml:space="preserve">https://simondongxiao.github.io/odds/v4/</x:t>
        </x:is>
      </x:c>
      <x:c r="AY861" s="604" t="inlineStr">
        <x:is>
          <x:t xml:space="preserve">V4 Shadow Only；real_money=false；P(EV&gt;0)不是比赛胜率</x:t>
        </x:is>
      </x:c>
    </x:row>
    <x:row r="862" ht="22" customHeight="1">
      <x:c r="A862" s="604" t="inlineStr">
        <x:is>
          <x:t xml:space="preserve">2026-10-04</x:t>
        </x:is>
      </x:c>
      <x:c r="B862" s="604" t="inlineStr">
        <x:is>
          <x:t xml:space="preserve">2026-10-04 16:15</x:t>
        </x:is>
      </x:c>
      <x:c r="C862" s="604" t="str">
        <x:v>欧洲非五大系列</x:v>
      </x:c>
      <x:c r="D862" s="604" t="inlineStr">
        <x:is>
          <x:t xml:space="preserve">联赛</x:t>
        </x:is>
      </x:c>
      <x:c r="E862" s="604" t="inlineStr">
        <x:is>
          <x:t xml:space="preserve">捷丙</x:t>
        </x:is>
      </x:c>
      <x:c r="F862" s="604" t="inlineStr">
        <x:is>
          <x:t xml:space="preserve">艾德米拉布拉格 vs 多马日利采</x:t>
        </x:is>
      </x:c>
      <x:c r="G862" s="604" t="n">
        <x:v>0.9399999999999999</x:v>
      </x:c>
      <x:c r="H862" s="604" t="n">
        <x:v>-0.75</x:v>
      </x:c>
      <x:c r="I862" s="604" t="n">
        <x:v>0.76</x:v>
      </x:c>
      <x:c r="J862" s="604" t="inlineStr">
        <x:is>
          <x:t xml:space="preserve">0.94/-0.75/0.76</x:t>
        </x:is>
      </x:c>
      <x:c r="K862" s="604" t="inlineStr">
        <x:is>
          <x:t xml:space="preserve">V4-B｜EV +0.6870</x:t>
        </x:is>
      </x:c>
      <x:c r="L862" s="604" t="inlineStr">
        <x:is>
          <x:t xml:space="preserve">艾德米拉布拉格</x:t>
        </x:is>
      </x:c>
      <x:c r="M862" s="604" t="n">
        <x:v>0.8904836210572694</x:v>
      </x:c>
      <x:c r="N862" s="604" t="inlineStr">
        <x:is>
          <x:t xml:space="preserve">V4纸面入选-B</x:t>
        </x:is>
      </x:c>
      <x:c r="O862" s="604" t="inlineStr">
        <x:is>
          <x:t xml:space="preserve">4-4</x:t>
        </x:is>
      </x:c>
      <x:c r="P862" s="604" t="inlineStr">
        <x:is>
          <x:t xml:space="preserve">已结算</x:t>
        </x:is>
      </x:c>
      <x:c r="Q862" s="645" t="inlineStr">
        <x:is>
          <x:t xml:space="preserve">红</x:t>
        </x:is>
      </x:c>
      <x:c r="R862" s="604" t="n">
        <x:v>0.9399999999999999</x:v>
      </x:c>
      <x:c r="S862" s="604" t="n">
        <x:f>IF(OR(Q862="",Q862="待结算"),"",IF(Q862="红",R862,IF(Q862="半红",R862*0.5,IF(Q862="走",0,IF(Q862="半黑",-0.5,-1)))))</x:f>
        <x:v>0.94</x:v>
      </x:c>
      <x:c r="T862" s="604" t="inlineStr">
        <x:is>
          <x:t xml:space="preserve">https://m.titan007.com/analy/Analysis/3009390.htm</x:t>
        </x:is>
      </x:c>
      <x:c r="U862" s="646" t="str">
        <x:f>IF(Q862="","",IF(Q862="待结算","待结算",IF(Q862="红","黑",IF(Q862="半红","半黑",IF(Q862="走","走",IF(Q862="半黑","半红","红"))))))</x:f>
        <x:v>黑</x:v>
      </x:c>
      <x:c r="V862" s="604" t="n">
        <x:f>IF(OR(Q862="",Q862="待结算"),"",IF(L862=LEFT(F862,FIND(" vs ",F862)-1),I862,G862))</x:f>
        <x:v>0.76</x:v>
      </x:c>
      <x:c r="W862" s="604" t="n">
        <x:f>IF(OR(U862="",U862="待结算"),"",IF(U862="红",V862,IF(U862="半红",V862*0.5,IF(U862="走",0,IF(U862="半黑",-0.5,-1)))))</x:f>
        <x:v>-1</x:v>
      </x:c>
      <x:c r="X862" s="604" t="inlineStr">
        <x:is>
          <x:t xml:space="preserve">3009390</x:t>
        </x:is>
      </x:c>
      <x:c r="Y862" s="604" t="inlineStr">
        <x:is>
          <x:t xml:space="preserve">V4</x:t>
        </x:is>
      </x:c>
      <x:c r="Z862" s="604" t="inlineStr">
        <x:is>
          <x:t xml:space="preserve">prior-2026-10-04-v1</x:t>
        </x:is>
      </x:c>
      <x:c r="AA862" s="604" t="inlineStr">
        <x:is>
          <x:t xml:space="preserve">B</x:t>
        </x:is>
      </x:c>
      <x:c r="AB862" s="604" t="n">
        <x:v>0.840910203609575</x:v>
      </x:c>
      <x:c r="AC862" s="604" t="n"/>
      <x:c r="AD862" s="604" t="n"/>
      <x:c r="AE862" s="604" t="n">
        <x:v>0.1113404363099593</x:v>
      </x:c>
      <x:c r="AF862" s="604" t="n">
        <x:v>0.04774936008046576</x:v>
      </x:c>
      <x:c r="AG862" s="604" t="n">
        <x:v>0.687036013157555</x:v>
      </x:c>
      <x:c r="AH862" s="604" t="n"/>
      <x:c r="AI862" s="604" t="n"/>
      <x:c r="AJ862" s="604" t="n">
        <x:v>0.687036013157555</x:v>
      </x:c>
      <x:c r="AK862" s="604" t="n"/>
      <x:c r="AL862" s="604" t="n"/>
      <x:c r="AM862" s="604" t="n"/>
      <x:c r="AN862" s="604" t="inlineStr">
        <x:is>
          <x:t xml:space="preserve">EVALUATED</x:t>
        </x:is>
      </x:c>
      <x:c r="AO862" s="604" t="inlineStr">
        <x:is>
          <x:t xml:space="preserve">RECEIVING_VALIDATED_EDGE、BUCKET_PRIOR_ONLY、INTENT_INTERPRETATION_ONLY、FFL_OPTIONAL、EXPERT_MARKET</x:t>
        </x:is>
      </x:c>
      <x:c r="AP862" s="604" t="inlineStr">
        <x:is>
          <x:t xml:space="preserve">c009c6e3b012edc64457</x:t>
        </x:is>
      </x:c>
      <x:c r="AQ862" s="604" t="n">
        <x:v>0.75</x:v>
      </x:c>
      <x:c r="AR862" s="604" t="n">
        <x:v>0.9399999999999999</x:v>
      </x:c>
      <x:c r="AS862" s="604" t="n">
        <x:v>-0.75</x:v>
      </x:c>
      <x:c r="AT862" s="604" t="n">
        <x:v>0.75</x:v>
      </x:c>
      <x:c r="AU862" s="604" t="n">
        <x:v>0.9399999999999999</x:v>
      </x:c>
      <x:c r="AV862" s="604" t="n">
        <x:v>0.76</x:v>
      </x:c>
      <x:c r="AW862" s="604" t="n">
        <x:v>46299.08204853009</x:v>
      </x:c>
      <x:c r="AX862" s="604" t="inlineStr">
        <x:is>
          <x:t xml:space="preserve">https://simondongxiao.github.io/odds/v4/</x:t>
        </x:is>
      </x:c>
      <x:c r="AY862" s="604" t="inlineStr">
        <x:is>
          <x:t xml:space="preserve">V4 Shadow Only；real_money=false；P(EV&gt;0)不是比赛胜率</x:t>
        </x:is>
      </x:c>
    </x:row>
    <x:row r="863" ht="22" customHeight="1">
      <x:c r="A863" s="604" t="inlineStr">
        <x:is>
          <x:t xml:space="preserve">2026-10-04</x:t>
        </x:is>
      </x:c>
      <x:c r="B863" s="604" t="inlineStr">
        <x:is>
          <x:t xml:space="preserve">2026-10-04 16:15</x:t>
        </x:is>
      </x:c>
      <x:c r="C863" s="604" t="str">
        <x:v>欧洲非五大系列</x:v>
      </x:c>
      <x:c r="D863" s="604" t="inlineStr">
        <x:is>
          <x:t xml:space="preserve">联赛</x:t>
        </x:is>
      </x:c>
      <x:c r="E863" s="604" t="inlineStr">
        <x:is>
          <x:t xml:space="preserve">捷丙</x:t>
        </x:is>
      </x:c>
      <x:c r="F863" s="604" t="inlineStr">
        <x:is>
          <x:t xml:space="preserve">布尔诺B队 vs 布兰斯科</x:t>
        </x:is>
      </x:c>
      <x:c r="G863" s="604" t="n">
        <x:v>0.87</x:v>
      </x:c>
      <x:c r="H863" s="604" t="n">
        <x:v>1.75</x:v>
      </x:c>
      <x:c r="I863" s="604" t="n">
        <x:v>0.83</x:v>
      </x:c>
      <x:c r="J863" s="604" t="inlineStr">
        <x:is>
          <x:t xml:space="preserve">0.87/1.75/0.83</x:t>
        </x:is>
      </x:c>
      <x:c r="K863" s="604" t="inlineStr">
        <x:is>
          <x:t xml:space="preserve">V4-B｜EV +0.1938</x:t>
        </x:is>
      </x:c>
      <x:c r="L863" s="604" t="inlineStr">
        <x:is>
          <x:t xml:space="preserve">布尔诺B队</x:t>
        </x:is>
      </x:c>
      <x:c r="M863" s="604" t="n">
        <x:v>0.6529719221953431</x:v>
      </x:c>
      <x:c r="N863" s="604" t="inlineStr">
        <x:is>
          <x:t xml:space="preserve">V4纸面入选-B</x:t>
        </x:is>
      </x:c>
      <x:c r="O863" s="604" t="inlineStr">
        <x:is>
          <x:t xml:space="preserve">1-1</x:t>
        </x:is>
      </x:c>
      <x:c r="P863" s="604" t="inlineStr">
        <x:is>
          <x:t xml:space="preserve">已结算</x:t>
        </x:is>
      </x:c>
      <x:c r="Q863" s="646" t="inlineStr">
        <x:is>
          <x:t xml:space="preserve">黑</x:t>
        </x:is>
      </x:c>
      <x:c r="R863" s="604" t="n">
        <x:v>0.87</x:v>
      </x:c>
      <x:c r="S863" s="604" t="n">
        <x:f>IF(OR(Q863="",Q863="待结算"),"",IF(Q863="红",R863,IF(Q863="半红",R863*0.5,IF(Q863="走",0,IF(Q863="半黑",-0.5,-1)))))</x:f>
        <x:v>-1</x:v>
      </x:c>
      <x:c r="T863" s="604" t="inlineStr">
        <x:is>
          <x:t xml:space="preserve">https://m.titan007.com/analy/Analysis/3043231.htm</x:t>
        </x:is>
      </x:c>
      <x:c r="U863" s="645" t="str">
        <x:f>IF(Q863="","",IF(Q863="待结算","待结算",IF(Q863="红","黑",IF(Q863="半红","半黑",IF(Q863="走","走",IF(Q863="半黑","半红","红"))))))</x:f>
        <x:v>红</x:v>
      </x:c>
      <x:c r="V863" s="604" t="n">
        <x:f>IF(OR(Q863="",Q863="待结算"),"",IF(L863=LEFT(F863,FIND(" vs ",F863)-1),I863,G863))</x:f>
        <x:v>0.83</x:v>
      </x:c>
      <x:c r="W863" s="604" t="n">
        <x:f>IF(OR(U863="",U863="待结算"),"",IF(U863="红",V863,IF(U863="半红",V863*0.5,IF(U863="走",0,IF(U863="半黑",-0.5,-1)))))</x:f>
        <x:v>0.83</x:v>
      </x:c>
      <x:c r="X863" s="604" t="inlineStr">
        <x:is>
          <x:t xml:space="preserve">3043231</x:t>
        </x:is>
      </x:c>
      <x:c r="Y863" s="604" t="inlineStr">
        <x:is>
          <x:t xml:space="preserve">V4</x:t>
        </x:is>
      </x:c>
      <x:c r="Z863" s="604" t="inlineStr">
        <x:is>
          <x:t xml:space="preserve">prior-2026-10-04-v1</x:t>
        </x:is>
      </x:c>
      <x:c r="AA863" s="604" t="inlineStr">
        <x:is>
          <x:t xml:space="preserve">B</x:t>
        </x:is>
      </x:c>
      <x:c r="AB863" s="604" t="n">
        <x:v>0.4492223994184653</x:v>
      </x:c>
      <x:c r="AC863" s="604" t="n">
        <x:v>0.2465250861687648</x:v>
      </x:c>
      <x:c r="AD863" s="604" t="n"/>
      <x:c r="AE863" s="604" t="n"/>
      <x:c r="AF863" s="604" t="n">
        <x:v>0.30425251441277</x:v>
      </x:c>
      <x:c r="AG863" s="604" t="n">
        <x:v>0.1938093855647074</x:v>
      </x:c>
      <x:c r="AH863" s="604" t="n"/>
      <x:c r="AI863" s="604" t="n"/>
      <x:c r="AJ863" s="604" t="n">
        <x:v>0.1938093855647074</x:v>
      </x:c>
      <x:c r="AK863" s="604" t="n"/>
      <x:c r="AL863" s="604" t="n"/>
      <x:c r="AM863" s="604" t="n"/>
      <x:c r="AN863" s="604" t="inlineStr">
        <x:is>
          <x:t xml:space="preserve">EVALUATED</x:t>
        </x:is>
      </x:c>
      <x:c r="AO863" s="604" t="inlineStr">
        <x:is>
          <x:t xml:space="preserve">GIVING_VALIDATED_EDGE、BUCKET_PRIOR_ONLY、INTENT_INTERPRETATION_ONLY、FFL_OPTIONAL、EXPERT_MARKET</x:t>
        </x:is>
      </x:c>
      <x:c r="AP863" s="604" t="inlineStr">
        <x:is>
          <x:t xml:space="preserve">85becddc99b527bf1a08</x:t>
        </x:is>
      </x:c>
      <x:c r="AQ863" s="604" t="n">
        <x:v>-1.75</x:v>
      </x:c>
      <x:c r="AR863" s="604" t="n">
        <x:v>0.87</x:v>
      </x:c>
      <x:c r="AS863" s="604" t="n">
        <x:v>1.75</x:v>
      </x:c>
      <x:c r="AT863" s="604" t="n">
        <x:v>-1.75</x:v>
      </x:c>
      <x:c r="AU863" s="604" t="n">
        <x:v>0.87</x:v>
      </x:c>
      <x:c r="AV863" s="604" t="n">
        <x:v>0.83</x:v>
      </x:c>
      <x:c r="AW863" s="604" t="n">
        <x:v>46299.08204853009</x:v>
      </x:c>
      <x:c r="AX863" s="604" t="inlineStr">
        <x:is>
          <x:t xml:space="preserve">https://simondongxiao.github.io/odds/v4/</x:t>
        </x:is>
      </x:c>
      <x:c r="AY863" s="604" t="inlineStr">
        <x:is>
          <x:t xml:space="preserve">V4 Shadow Only；real_money=false；P(EV&gt;0)不是比赛胜率</x:t>
        </x:is>
      </x:c>
    </x:row>
    <x:row r="864" ht="22" customHeight="1">
      <x:c r="A864" s="604" t="inlineStr">
        <x:is>
          <x:t xml:space="preserve">2026-10-04</x:t>
        </x:is>
      </x:c>
      <x:c r="B864" s="604" t="inlineStr">
        <x:is>
          <x:t xml:space="preserve">2026-10-04 16:15</x:t>
        </x:is>
      </x:c>
      <x:c r="C864" s="604" t="str">
        <x:v>欧洲非五大系列</x:v>
      </x:c>
      <x:c r="D864" s="604" t="inlineStr">
        <x:is>
          <x:t xml:space="preserve">联赛</x:t>
        </x:is>
      </x:c>
      <x:c r="E864" s="604" t="inlineStr">
        <x:is>
          <x:t xml:space="preserve">捷丙</x:t>
        </x:is>
      </x:c>
      <x:c r="F864" s="604" t="inlineStr">
        <x:is>
          <x:t xml:space="preserve">乌尼邱夫 vs 波兰卡</x:t>
        </x:is>
      </x:c>
      <x:c r="G864" s="604" t="n">
        <x:v>0.86</x:v>
      </x:c>
      <x:c r="H864" s="604" t="n">
        <x:v>1.25</x:v>
      </x:c>
      <x:c r="I864" s="604" t="n">
        <x:v>0.84</x:v>
      </x:c>
      <x:c r="J864" s="604" t="inlineStr">
        <x:is>
          <x:t xml:space="preserve">0.86/1.25/0.84</x:t>
        </x:is>
      </x:c>
      <x:c r="K864" s="604" t="inlineStr">
        <x:is>
          <x:t xml:space="preserve">V4-B｜EV +0.1661</x:t>
        </x:is>
      </x:c>
      <x:c r="L864" s="604" t="inlineStr">
        <x:is>
          <x:t xml:space="preserve">乌尼邱夫</x:t>
        </x:is>
      </x:c>
      <x:c r="M864" s="604" t="n">
        <x:v>0.6390617582167475</x:v>
      </x:c>
      <x:c r="N864" s="604" t="inlineStr">
        <x:is>
          <x:t xml:space="preserve">V4纸面入选-B</x:t>
        </x:is>
      </x:c>
      <x:c r="O864" s="604" t="inlineStr">
        <x:is>
          <x:t xml:space="preserve">3-1</x:t>
        </x:is>
      </x:c>
      <x:c r="P864" s="604" t="inlineStr">
        <x:is>
          <x:t xml:space="preserve">已结算</x:t>
        </x:is>
      </x:c>
      <x:c r="Q864" s="645" t="inlineStr">
        <x:is>
          <x:t xml:space="preserve">红</x:t>
        </x:is>
      </x:c>
      <x:c r="R864" s="604" t="n">
        <x:v>0.86</x:v>
      </x:c>
      <x:c r="S864" s="604" t="n">
        <x:f>IF(OR(Q864="",Q864="待结算"),"",IF(Q864="红",R864,IF(Q864="半红",R864*0.5,IF(Q864="走",0,IF(Q864="半黑",-0.5,-1)))))</x:f>
        <x:v>0.86</x:v>
      </x:c>
      <x:c r="T864" s="604" t="inlineStr">
        <x:is>
          <x:t xml:space="preserve">https://m.titan007.com/analy/Analysis/3043233.htm</x:t>
        </x:is>
      </x:c>
      <x:c r="U864" s="646" t="str">
        <x:f>IF(Q864="","",IF(Q864="待结算","待结算",IF(Q864="红","黑",IF(Q864="半红","半黑",IF(Q864="走","走",IF(Q864="半黑","半红","红"))))))</x:f>
        <x:v>黑</x:v>
      </x:c>
      <x:c r="V864" s="604" t="n">
        <x:f>IF(OR(Q864="",Q864="待结算"),"",IF(L864=LEFT(F864,FIND(" vs ",F864)-1),I864,G864))</x:f>
        <x:v>0.84</x:v>
      </x:c>
      <x:c r="W864" s="604" t="n">
        <x:f>IF(OR(U864="",U864="待结算"),"",IF(U864="红",V864,IF(U864="半红",V864*0.5,IF(U864="走",0,IF(U864="半黑",-0.5,-1)))))</x:f>
        <x:v>-1</x:v>
      </x:c>
      <x:c r="X864" s="604" t="inlineStr">
        <x:is>
          <x:t xml:space="preserve">3043233</x:t>
        </x:is>
      </x:c>
      <x:c r="Y864" s="604" t="inlineStr">
        <x:is>
          <x:t xml:space="preserve">V4</x:t>
        </x:is>
      </x:c>
      <x:c r="Z864" s="604" t="inlineStr">
        <x:is>
          <x:t xml:space="preserve">prior-2026-10-04-v1</x:t>
        </x:is>
      </x:c>
      <x:c r="AA864" s="604" t="inlineStr">
        <x:is>
          <x:t xml:space="preserve">B</x:t>
        </x:is>
      </x:c>
      <x:c r="AB864" s="604" t="n">
        <x:v>0.5626833544579627</x:v>
      </x:c>
      <x:c r="AC864" s="604" t="n"/>
      <x:c r="AD864" s="604" t="n"/>
      <x:c r="AE864" s="604" t="n">
        <x:v>0.2390329346944897</x:v>
      </x:c>
      <x:c r="AF864" s="604" t="n">
        <x:v>0.1982837108475476</x:v>
      </x:c>
      <x:c r="AG864" s="604" t="n">
        <x:v>0.1661075066390554</x:v>
      </x:c>
      <x:c r="AH864" s="604" t="n"/>
      <x:c r="AI864" s="604" t="n"/>
      <x:c r="AJ864" s="604" t="n">
        <x:v>0.1661075066390554</x:v>
      </x:c>
      <x:c r="AK864" s="604" t="n"/>
      <x:c r="AL864" s="604" t="n"/>
      <x:c r="AM864" s="604" t="n"/>
      <x:c r="AN864" s="604" t="inlineStr">
        <x:is>
          <x:t xml:space="preserve">EVALUATED</x:t>
        </x:is>
      </x:c>
      <x:c r="AO864" s="604" t="inlineStr">
        <x:is>
          <x:t xml:space="preserve">GIVING_VALIDATED_EDGE、BUCKET_PRIOR_ONLY、INTENT_INTERPRETATION_ONLY、FFL_OPTIONAL、EXPERT_MARKET</x:t>
        </x:is>
      </x:c>
      <x:c r="AP864" s="604" t="inlineStr">
        <x:is>
          <x:t xml:space="preserve">76ff6ea47713f43963a0</x:t>
        </x:is>
      </x:c>
      <x:c r="AQ864" s="604" t="n">
        <x:v>-1.25</x:v>
      </x:c>
      <x:c r="AR864" s="604" t="n">
        <x:v>0.86</x:v>
      </x:c>
      <x:c r="AS864" s="604" t="n">
        <x:v>1.25</x:v>
      </x:c>
      <x:c r="AT864" s="604" t="n">
        <x:v>-1.25</x:v>
      </x:c>
      <x:c r="AU864" s="604" t="n">
        <x:v>0.86</x:v>
      </x:c>
      <x:c r="AV864" s="604" t="n">
        <x:v>0.84</x:v>
      </x:c>
      <x:c r="AW864" s="604" t="n">
        <x:v>46299.08204853009</x:v>
      </x:c>
      <x:c r="AX864" s="604" t="inlineStr">
        <x:is>
          <x:t xml:space="preserve">https://simondongxiao.github.io/odds/v4/</x:t>
        </x:is>
      </x:c>
      <x:c r="AY864" s="604" t="inlineStr">
        <x:is>
          <x:t xml:space="preserve">V4 Shadow Only；real_money=false；P(EV&gt;0)不是比赛胜率</x:t>
        </x:is>
      </x:c>
    </x:row>
    <x:row r="865" ht="22" customHeight="1">
      <x:c r="A865" s="604" t="inlineStr">
        <x:is>
          <x:t xml:space="preserve">2026-10-04</x:t>
        </x:is>
      </x:c>
      <x:c r="B865" s="604" t="inlineStr">
        <x:is>
          <x:t xml:space="preserve">2026-10-04 16:30</x:t>
        </x:is>
      </x:c>
      <x:c r="C865" s="604" t="str">
        <x:v>欧洲非五大系列</x:v>
      </x:c>
      <x:c r="D865" s="604" t="inlineStr">
        <x:is>
          <x:t xml:space="preserve">联赛</x:t>
        </x:is>
      </x:c>
      <x:c r="E865" s="604" t="inlineStr">
        <x:is>
          <x:t xml:space="preserve">捷丙</x:t>
        </x:is>
      </x:c>
      <x:c r="F865" s="604" t="inlineStr">
        <x:is>
          <x:t xml:space="preserve">皮耳森B队 vs 杜卡拉B队</x:t>
        </x:is>
      </x:c>
      <x:c r="G865" s="604" t="n">
        <x:v>0.9</x:v>
      </x:c>
      <x:c r="H865" s="604" t="n">
        <x:v>1</x:v>
      </x:c>
      <x:c r="I865" s="604" t="n">
        <x:v>0.8</x:v>
      </x:c>
      <x:c r="J865" s="604" t="inlineStr">
        <x:is>
          <x:t xml:space="preserve">0.9/1/0.8</x:t>
        </x:is>
      </x:c>
      <x:c r="K865" s="604" t="inlineStr">
        <x:is>
          <x:t xml:space="preserve">V4-B｜EV +0.0905</x:t>
        </x:is>
      </x:c>
      <x:c r="L865" s="604" t="inlineStr">
        <x:is>
          <x:t xml:space="preserve">皮耳森B队</x:t>
        </x:is>
      </x:c>
      <x:c r="M865" s="604" t="n">
        <x:v>0.5901788541510259</x:v>
      </x:c>
      <x:c r="N865" s="604" t="inlineStr">
        <x:is>
          <x:t xml:space="preserve">V4纸面入选-B</x:t>
        </x:is>
      </x:c>
      <x:c r="O865" s="604" t="inlineStr">
        <x:is>
          <x:t xml:space="preserve">3-0</x:t>
        </x:is>
      </x:c>
      <x:c r="P865" s="604" t="inlineStr">
        <x:is>
          <x:t xml:space="preserve">已结算</x:t>
        </x:is>
      </x:c>
      <x:c r="Q865" s="645" t="inlineStr">
        <x:is>
          <x:t xml:space="preserve">红</x:t>
        </x:is>
      </x:c>
      <x:c r="R865" s="604" t="n">
        <x:v>0.9</x:v>
      </x:c>
      <x:c r="S865" s="604" t="n">
        <x:f>IF(OR(Q865="",Q865="待结算"),"",IF(Q865="红",R865,IF(Q865="半红",R865*0.5,IF(Q865="走",0,IF(Q865="半黑",-0.5,-1)))))</x:f>
        <x:v>0.9</x:v>
      </x:c>
      <x:c r="T865" s="604" t="inlineStr">
        <x:is>
          <x:t xml:space="preserve">https://m.titan007.com/analy/Analysis/3009397.htm</x:t>
        </x:is>
      </x:c>
      <x:c r="U865" s="646" t="str">
        <x:f>IF(Q865="","",IF(Q865="待结算","待结算",IF(Q865="红","黑",IF(Q865="半红","半黑",IF(Q865="走","走",IF(Q865="半黑","半红","红"))))))</x:f>
        <x:v>黑</x:v>
      </x:c>
      <x:c r="V865" s="604" t="n">
        <x:f>IF(OR(Q865="",Q865="待结算"),"",IF(L865=LEFT(F865,FIND(" vs ",F865)-1),I865,G865))</x:f>
        <x:v>0.8</x:v>
      </x:c>
      <x:c r="W865" s="604" t="n">
        <x:f>IF(OR(U865="",U865="待结算"),"",IF(U865="红",V865,IF(U865="半红",V865*0.5,IF(U865="走",0,IF(U865="半黑",-0.5,-1)))))</x:f>
        <x:v>-1</x:v>
      </x:c>
      <x:c r="X865" s="604" t="inlineStr">
        <x:is>
          <x:t xml:space="preserve">3009397</x:t>
        </x:is>
      </x:c>
      <x:c r="Y865" s="604" t="inlineStr">
        <x:is>
          <x:t xml:space="preserve">V4</x:t>
        </x:is>
      </x:c>
      <x:c r="Z865" s="604" t="inlineStr">
        <x:is>
          <x:t xml:space="preserve">prior-2026-10-04-v1</x:t>
        </x:is>
      </x:c>
      <x:c r="AA865" s="604" t="inlineStr">
        <x:is>
          <x:t xml:space="preserve">B</x:t>
        </x:is>
      </x:c>
      <x:c r="AB865" s="604" t="n">
        <x:v>0.4400390090618958</x:v>
      </x:c>
      <x:c r="AC865" s="604" t="n"/>
      <x:c r="AD865" s="604" t="n">
        <x:v>0.2543971950759006</x:v>
      </x:c>
      <x:c r="AE865" s="604" t="n"/>
      <x:c r="AF865" s="604" t="n">
        <x:v>0.3055637958622036</x:v>
      </x:c>
      <x:c r="AG865" s="604" t="n">
        <x:v>0.09047131229350269</x:v>
      </x:c>
      <x:c r="AH865" s="604" t="n"/>
      <x:c r="AI865" s="604" t="n"/>
      <x:c r="AJ865" s="604" t="n">
        <x:v>0.09047131229350269</x:v>
      </x:c>
      <x:c r="AK865" s="604" t="n"/>
      <x:c r="AL865" s="604" t="n"/>
      <x:c r="AM865" s="604" t="n"/>
      <x:c r="AN865" s="604" t="inlineStr">
        <x:is>
          <x:t xml:space="preserve">EVALUATED</x:t>
        </x:is>
      </x:c>
      <x:c r="AO865" s="604" t="inlineStr">
        <x:is>
          <x:t xml:space="preserve">GIVING_VALIDATED_EDGE、BUCKET_PRIOR_ONLY、INTENT_INTERPRETATION_ONLY、FFL_OPTIONAL、EXPERT_MARKET</x:t>
        </x:is>
      </x:c>
      <x:c r="AP865" s="604" t="inlineStr">
        <x:is>
          <x:t xml:space="preserve">d10eb7e68bbbdcd31b83</x:t>
        </x:is>
      </x:c>
      <x:c r="AQ865" s="604" t="n">
        <x:v>-1</x:v>
      </x:c>
      <x:c r="AR865" s="604" t="n">
        <x:v>0.9</x:v>
      </x:c>
      <x:c r="AS865" s="604" t="n">
        <x:v>1</x:v>
      </x:c>
      <x:c r="AT865" s="604" t="n">
        <x:v>-1</x:v>
      </x:c>
      <x:c r="AU865" s="604" t="n">
        <x:v>0.9</x:v>
      </x:c>
      <x:c r="AV865" s="604" t="n">
        <x:v>0.8</x:v>
      </x:c>
      <x:c r="AW865" s="604" t="n">
        <x:v>46299.08204853009</x:v>
      </x:c>
      <x:c r="AX865" s="604" t="inlineStr">
        <x:is>
          <x:t xml:space="preserve">https://simondongxiao.github.io/odds/v4/</x:t>
        </x:is>
      </x:c>
      <x:c r="AY865" s="604" t="inlineStr">
        <x:is>
          <x:t xml:space="preserve">V4 Shadow Only；real_money=false；P(EV&gt;0)不是比赛胜率</x:t>
        </x:is>
      </x:c>
    </x:row>
    <x:row r="866" ht="22" customHeight="1">
      <x:c r="A866" s="604" t="inlineStr">
        <x:is>
          <x:t xml:space="preserve">2026-10-04</x:t>
        </x:is>
      </x:c>
      <x:c r="B866" s="604" t="inlineStr">
        <x:is>
          <x:t xml:space="preserve">2026-10-04 16:30</x:t>
        </x:is>
      </x:c>
      <x:c r="C866" s="604" t="str">
        <x:v>其他系列</x:v>
      </x:c>
      <x:c r="D866" s="604" t="inlineStr">
        <x:is>
          <x:t xml:space="preserve">联赛</x:t>
        </x:is>
      </x:c>
      <x:c r="E866" s="604" t="inlineStr">
        <x:is>
          <x:t xml:space="preserve">印尼甲</x:t>
        </x:is>
      </x:c>
      <x:c r="F866" s="604" t="inlineStr">
        <x:is>
          <x:t xml:space="preserve">巴日托 vs 帕森拉</x:t>
        </x:is>
      </x:c>
      <x:c r="G866" s="604" t="n">
        <x:v>1.11</x:v>
      </x:c>
      <x:c r="H866" s="604" t="n">
        <x:v>0.75</x:v>
      </x:c>
      <x:c r="I866" s="604" t="n">
        <x:v>0.6</x:v>
      </x:c>
      <x:c r="J866" s="604" t="inlineStr">
        <x:is>
          <x:t xml:space="preserve">1.11/0.75/0.6</x:t>
        </x:is>
      </x:c>
      <x:c r="K866" s="604" t="inlineStr">
        <x:is>
          <x:t xml:space="preserve">V4-B｜EV +0.1776</x:t>
        </x:is>
      </x:c>
      <x:c r="L866" s="604" t="inlineStr">
        <x:is>
          <x:t xml:space="preserve">巴日托</x:t>
        </x:is>
      </x:c>
      <x:c r="M866" s="604" t="n">
        <x:v>0.5704289545449646</x:v>
      </x:c>
      <x:c r="N866" s="604" t="inlineStr">
        <x:is>
          <x:t xml:space="preserve">V4纸面入选-B</x:t>
        </x:is>
      </x:c>
      <x:c r="O866" s="604" t="inlineStr">
        <x:is>
          <x:t xml:space="preserve">0-1</x:t>
        </x:is>
      </x:c>
      <x:c r="P866" s="604" t="inlineStr">
        <x:is>
          <x:t xml:space="preserve">已结算</x:t>
        </x:is>
      </x:c>
      <x:c r="Q866" s="646" t="inlineStr">
        <x:is>
          <x:t xml:space="preserve">黑</x:t>
        </x:is>
      </x:c>
      <x:c r="R866" s="604" t="n">
        <x:v>1.11</x:v>
      </x:c>
      <x:c r="S866" s="604" t="n">
        <x:f>IF(OR(Q866="",Q866="待结算"),"",IF(Q866="红",R866,IF(Q866="半红",R866*0.5,IF(Q866="走",0,IF(Q866="半黑",-0.5,-1)))))</x:f>
        <x:v>-1</x:v>
      </x:c>
      <x:c r="T866" s="604" t="inlineStr">
        <x:is>
          <x:t xml:space="preserve">https://m.titan007.com/analy/Analysis/3086197.htm</x:t>
        </x:is>
      </x:c>
      <x:c r="U866" s="645" t="str">
        <x:f>IF(Q866="","",IF(Q866="待结算","待结算",IF(Q866="红","黑",IF(Q866="半红","半黑",IF(Q866="走","走",IF(Q866="半黑","半红","红"))))))</x:f>
        <x:v>红</x:v>
      </x:c>
      <x:c r="V866" s="604" t="n">
        <x:f>IF(OR(Q866="",Q866="待结算"),"",IF(L866=LEFT(F866,FIND(" vs ",F866)-1),I866,G866))</x:f>
        <x:v>0.6</x:v>
      </x:c>
      <x:c r="W866" s="604" t="n">
        <x:f>IF(OR(U866="",U866="待结算"),"",IF(U866="红",V866,IF(U866="半红",V866*0.5,IF(U866="走",0,IF(U866="半黑",-0.5,-1)))))</x:f>
        <x:v>0.6</x:v>
      </x:c>
      <x:c r="X866" s="604" t="inlineStr">
        <x:is>
          <x:t xml:space="preserve">3086197</x:t>
        </x:is>
      </x:c>
      <x:c r="Y866" s="604" t="inlineStr">
        <x:is>
          <x:t xml:space="preserve">V4</x:t>
        </x:is>
      </x:c>
      <x:c r="Z866" s="604" t="inlineStr">
        <x:is>
          <x:t xml:space="preserve">prior-2026-10-04-v1</x:t>
        </x:is>
      </x:c>
      <x:c r="AA866" s="604" t="inlineStr">
        <x:is>
          <x:t xml:space="preserve">B</x:t>
        </x:is>
      </x:c>
      <x:c r="AB866" s="604" t="n">
        <x:v>0.3695465280915862</x:v>
      </x:c>
      <x:c r="AC866" s="604" t="n">
        <x:v>0.2558312821118158</x:v>
      </x:c>
      <x:c r="AD866" s="604" t="n"/>
      <x:c r="AE866" s="604" t="n"/>
      <x:c r="AF866" s="604" t="n">
        <x:v>0.374622189796598</x:v>
      </x:c>
      <x:c r="AG866" s="604" t="n">
        <x:v>0.1775608179571204</x:v>
      </x:c>
      <x:c r="AH866" s="604" t="n"/>
      <x:c r="AI866" s="604" t="n"/>
      <x:c r="AJ866" s="604" t="n">
        <x:v>0.1775608179571204</x:v>
      </x:c>
      <x:c r="AK866" s="604" t="n"/>
      <x:c r="AL866" s="604" t="n"/>
      <x:c r="AM866" s="604" t="n"/>
      <x:c r="AN866" s="604" t="inlineStr">
        <x:is>
          <x:t xml:space="preserve">EVALUATED</x:t>
        </x:is>
      </x:c>
      <x:c r="AO866" s="604" t="inlineStr">
        <x:is>
          <x:t xml:space="preserve">GIVING_VALIDATED_EDGE、BUCKET_PRIOR_ONLY、INTENT_INTERPRETATION_ONLY、FFL_OPTIONAL、EXPERT_MARKET</x:t>
        </x:is>
      </x:c>
      <x:c r="AP866" s="604" t="inlineStr">
        <x:is>
          <x:t xml:space="preserve">7756825bc9892b94b92a</x:t>
        </x:is>
      </x:c>
      <x:c r="AQ866" s="604" t="n">
        <x:v>-0.75</x:v>
      </x:c>
      <x:c r="AR866" s="604" t="n">
        <x:v>1.11</x:v>
      </x:c>
      <x:c r="AS866" s="604" t="n">
        <x:v>0.75</x:v>
      </x:c>
      <x:c r="AT866" s="604" t="n">
        <x:v>-0.75</x:v>
      </x:c>
      <x:c r="AU866" s="604" t="n">
        <x:v>1.11</x:v>
      </x:c>
      <x:c r="AV866" s="604" t="n">
        <x:v>0.6</x:v>
      </x:c>
      <x:c r="AW866" s="604" t="n">
        <x:v>46299.08204853009</x:v>
      </x:c>
      <x:c r="AX866" s="604" t="inlineStr">
        <x:is>
          <x:t xml:space="preserve">https://simondongxiao.github.io/odds/v4/</x:t>
        </x:is>
      </x:c>
      <x:c r="AY866" s="604" t="inlineStr">
        <x:is>
          <x:t xml:space="preserve">V4 Shadow Only；real_money=false；P(EV&gt;0)不是比赛胜率</x:t>
        </x:is>
      </x:c>
    </x:row>
    <x:row r="867" ht="22" customHeight="1">
      <x:c r="A867" s="604" t="inlineStr">
        <x:is>
          <x:t xml:space="preserve">2026-10-04</x:t>
        </x:is>
      </x:c>
      <x:c r="B867" s="604" t="inlineStr">
        <x:is>
          <x:t xml:space="preserve">2026-10-04 16:30</x:t>
        </x:is>
      </x:c>
      <x:c r="C867" s="604" t="str">
        <x:v>其他系列</x:v>
      </x:c>
      <x:c r="D867" s="604" t="inlineStr">
        <x:is>
          <x:t xml:space="preserve">联赛</x:t>
        </x:is>
      </x:c>
      <x:c r="E867" s="604" t="inlineStr">
        <x:is>
          <x:t xml:space="preserve">印尼甲</x:t>
        </x:is>
      </x:c>
      <x:c r="F867" s="604" t="inlineStr">
        <x:is>
          <x:t xml:space="preserve">德尔特雷斯 vs 巴厘巴板</x:t>
        </x:is>
      </x:c>
      <x:c r="G867" s="604" t="n">
        <x:v>0.77</x:v>
      </x:c>
      <x:c r="H867" s="604" t="n">
        <x:v>1.25</x:v>
      </x:c>
      <x:c r="I867" s="604" t="n">
        <x:v>0.93</x:v>
      </x:c>
      <x:c r="J867" s="604" t="inlineStr">
        <x:is>
          <x:t xml:space="preserve">0.77/1.25/0.93</x:t>
        </x:is>
      </x:c>
      <x:c r="K867" s="604" t="inlineStr">
        <x:is>
          <x:t xml:space="preserve">V4-B｜EV +0.1388</x:t>
        </x:is>
      </x:c>
      <x:c r="L867" s="604" t="inlineStr">
        <x:is>
          <x:t xml:space="preserve">德尔特雷斯</x:t>
        </x:is>
      </x:c>
      <x:c r="M867" s="604" t="n">
        <x:v>0.6539807742113863</x:v>
      </x:c>
      <x:c r="N867" s="604" t="inlineStr">
        <x:is>
          <x:t xml:space="preserve">V4纸面入选-B</x:t>
        </x:is>
      </x:c>
      <x:c r="O867" s="604" t="inlineStr">
        <x:is>
          <x:t xml:space="preserve">2-0</x:t>
        </x:is>
      </x:c>
      <x:c r="P867" s="604" t="inlineStr">
        <x:is>
          <x:t xml:space="preserve">已结算</x:t>
        </x:is>
      </x:c>
      <x:c r="Q867" s="645" t="inlineStr">
        <x:is>
          <x:t xml:space="preserve">红</x:t>
        </x:is>
      </x:c>
      <x:c r="R867" s="604" t="n">
        <x:v>0.77</x:v>
      </x:c>
      <x:c r="S867" s="604" t="n">
        <x:f>IF(OR(Q867="",Q867="待结算"),"",IF(Q867="红",R867,IF(Q867="半红",R867*0.5,IF(Q867="走",0,IF(Q867="半黑",-0.5,-1)))))</x:f>
        <x:v>0.77</x:v>
      </x:c>
      <x:c r="T867" s="604" t="inlineStr">
        <x:is>
          <x:t xml:space="preserve">https://m.titan007.com/analy/Analysis/3086198.htm</x:t>
        </x:is>
      </x:c>
      <x:c r="U867" s="646" t="str">
        <x:f>IF(Q867="","",IF(Q867="待结算","待结算",IF(Q867="红","黑",IF(Q867="半红","半黑",IF(Q867="走","走",IF(Q867="半黑","半红","红"))))))</x:f>
        <x:v>黑</x:v>
      </x:c>
      <x:c r="V867" s="604" t="n">
        <x:f>IF(OR(Q867="",Q867="待结算"),"",IF(L867=LEFT(F867,FIND(" vs ",F867)-1),I867,G867))</x:f>
        <x:v>0.93</x:v>
      </x:c>
      <x:c r="W867" s="604" t="n">
        <x:f>IF(OR(U867="",U867="待结算"),"",IF(U867="红",V867,IF(U867="半红",V867*0.5,IF(U867="走",0,IF(U867="半黑",-0.5,-1)))))</x:f>
        <x:v>-1</x:v>
      </x:c>
      <x:c r="X867" s="604" t="inlineStr">
        <x:is>
          <x:t xml:space="preserve">3086198</x:t>
        </x:is>
      </x:c>
      <x:c r="Y867" s="604" t="inlineStr">
        <x:is>
          <x:t xml:space="preserve">V4</x:t>
        </x:is>
      </x:c>
      <x:c r="Z867" s="604" t="inlineStr">
        <x:is>
          <x:t xml:space="preserve">prior-2026-10-04-v1</x:t>
        </x:is>
      </x:c>
      <x:c r="AA867" s="604" t="inlineStr">
        <x:is>
          <x:t xml:space="preserve">B</x:t>
        </x:is>
      </x:c>
      <x:c r="AB867" s="604" t="n">
        <x:v>0.5763729139771921</x:v>
      </x:c>
      <x:c r="AC867" s="604" t="n"/>
      <x:c r="AD867" s="604" t="n"/>
      <x:c r="AE867" s="604" t="n">
        <x:v>0.2373398830501674</x:v>
      </x:c>
      <x:c r="AF867" s="604" t="n">
        <x:v>0.1862872029726405</x:v>
      </x:c>
      <x:c r="AG867" s="604" t="n">
        <x:v>0.1388499992647138</x:v>
      </x:c>
      <x:c r="AH867" s="604" t="n"/>
      <x:c r="AI867" s="604" t="n"/>
      <x:c r="AJ867" s="604" t="n">
        <x:v>0.1388499992647138</x:v>
      </x:c>
      <x:c r="AK867" s="604" t="n"/>
      <x:c r="AL867" s="604" t="n"/>
      <x:c r="AM867" s="604" t="n"/>
      <x:c r="AN867" s="604" t="inlineStr">
        <x:is>
          <x:t xml:space="preserve">EVALUATED</x:t>
        </x:is>
      </x:c>
      <x:c r="AO867" s="604" t="inlineStr">
        <x:is>
          <x:t xml:space="preserve">GIVING_VALIDATED_EDGE、BUCKET_PRIOR_ONLY、INTENT_INTERPRETATION_ONLY、FFL_OPTIONAL、EXPERT_MARKET</x:t>
        </x:is>
      </x:c>
      <x:c r="AP867" s="604" t="inlineStr">
        <x:is>
          <x:t xml:space="preserve">e27ef159f59e3073281a</x:t>
        </x:is>
      </x:c>
      <x:c r="AQ867" s="604" t="n">
        <x:v>-1.25</x:v>
      </x:c>
      <x:c r="AR867" s="604" t="n">
        <x:v>0.77</x:v>
      </x:c>
      <x:c r="AS867" s="604" t="n">
        <x:v>1.25</x:v>
      </x:c>
      <x:c r="AT867" s="604" t="n">
        <x:v>-1.25</x:v>
      </x:c>
      <x:c r="AU867" s="604" t="n">
        <x:v>0.77</x:v>
      </x:c>
      <x:c r="AV867" s="604" t="n">
        <x:v>0.93</x:v>
      </x:c>
      <x:c r="AW867" s="604" t="n">
        <x:v>46299.08204853009</x:v>
      </x:c>
      <x:c r="AX867" s="604" t="inlineStr">
        <x:is>
          <x:t xml:space="preserve">https://simondongxiao.github.io/odds/v4/</x:t>
        </x:is>
      </x:c>
      <x:c r="AY867" s="604" t="inlineStr">
        <x:is>
          <x:t xml:space="preserve">V4 Shadow Only；real_money=false；P(EV&gt;0)不是比赛胜率</x:t>
        </x:is>
      </x:c>
    </x:row>
    <x:row r="868" ht="22" customHeight="1">
      <x:c r="A868" s="604" t="inlineStr">
        <x:is>
          <x:t xml:space="preserve">2026-10-04</x:t>
        </x:is>
      </x:c>
      <x:c r="B868" s="604" t="inlineStr">
        <x:is>
          <x:t xml:space="preserve">2026-10-04 17:00</x:t>
        </x:is>
      </x:c>
      <x:c r="C868" s="604" t="str">
        <x:v>欧洲非五大系列</x:v>
      </x:c>
      <x:c r="D868" s="604" t="inlineStr">
        <x:is>
          <x:t xml:space="preserve">联赛</x:t>
        </x:is>
      </x:c>
      <x:c r="E868" s="604" t="inlineStr">
        <x:is>
          <x:t xml:space="preserve">捷丙</x:t>
        </x:is>
      </x:c>
      <x:c r="F868" s="604" t="inlineStr">
        <x:is>
          <x:t xml:space="preserve">塔比历斯B队 vs 内拉托维斯</x:t>
        </x:is>
      </x:c>
      <x:c r="G868" s="604" t="n">
        <x:v>0.95</x:v>
      </x:c>
      <x:c r="H868" s="604" t="n">
        <x:v>1</x:v>
      </x:c>
      <x:c r="I868" s="604" t="n">
        <x:v>0.75</x:v>
      </x:c>
      <x:c r="J868" s="604" t="inlineStr">
        <x:is>
          <x:t xml:space="preserve">0.95/1/0.75</x:t>
        </x:is>
      </x:c>
      <x:c r="K868" s="604" t="inlineStr">
        <x:is>
          <x:t xml:space="preserve">V4-B｜EV +0.1657</x:t>
        </x:is>
      </x:c>
      <x:c r="L868" s="604" t="inlineStr">
        <x:is>
          <x:t xml:space="preserve">塔比历斯B队</x:t>
        </x:is>
      </x:c>
      <x:c r="M868" s="604" t="n">
        <x:v>0.6265629588608526</x:v>
      </x:c>
      <x:c r="N868" s="604" t="inlineStr">
        <x:is>
          <x:t xml:space="preserve">V4纸面入选-B</x:t>
        </x:is>
      </x:c>
      <x:c r="O868" s="604" t="inlineStr">
        <x:is>
          <x:t xml:space="preserve">0-2</x:t>
        </x:is>
      </x:c>
      <x:c r="P868" s="604" t="inlineStr">
        <x:is>
          <x:t xml:space="preserve">已结算</x:t>
        </x:is>
      </x:c>
      <x:c r="Q868" s="646" t="inlineStr">
        <x:is>
          <x:t xml:space="preserve">黑</x:t>
        </x:is>
      </x:c>
      <x:c r="R868" s="604" t="n">
        <x:v>0.95</x:v>
      </x:c>
      <x:c r="S868" s="604" t="n">
        <x:f>IF(OR(Q868="",Q868="待结算"),"",IF(Q868="红",R868,IF(Q868="半红",R868*0.5,IF(Q868="走",0,IF(Q868="半黑",-0.5,-1)))))</x:f>
        <x:v>-1</x:v>
      </x:c>
      <x:c r="T868" s="604" t="inlineStr">
        <x:is>
          <x:t xml:space="preserve">https://m.titan007.com/analy/Analysis/3009516.htm</x:t>
        </x:is>
      </x:c>
      <x:c r="U868" s="645" t="str">
        <x:f>IF(Q868="","",IF(Q868="待结算","待结算",IF(Q868="红","黑",IF(Q868="半红","半黑",IF(Q868="走","走",IF(Q868="半黑","半红","红"))))))</x:f>
        <x:v>红</x:v>
      </x:c>
      <x:c r="V868" s="604" t="n">
        <x:f>IF(OR(Q868="",Q868="待结算"),"",IF(L868=LEFT(F868,FIND(" vs ",F868)-1),I868,G868))</x:f>
        <x:v>0.75</x:v>
      </x:c>
      <x:c r="W868" s="604" t="n">
        <x:f>IF(OR(U868="",U868="待结算"),"",IF(U868="红",V868,IF(U868="半红",V868*0.5,IF(U868="走",0,IF(U868="半黑",-0.5,-1)))))</x:f>
        <x:v>0.75</x:v>
      </x:c>
      <x:c r="X868" s="604" t="inlineStr">
        <x:is>
          <x:t xml:space="preserve">3009516</x:t>
        </x:is>
      </x:c>
      <x:c r="Y868" s="604" t="inlineStr">
        <x:is>
          <x:t xml:space="preserve">V4</x:t>
        </x:is>
      </x:c>
      <x:c r="Z868" s="604" t="inlineStr">
        <x:is>
          <x:t xml:space="preserve">prior-2026-10-04-v1</x:t>
        </x:is>
      </x:c>
      <x:c r="AA868" s="604" t="inlineStr">
        <x:is>
          <x:t xml:space="preserve">B</x:t>
        </x:is>
      </x:c>
      <x:c r="AB868" s="604" t="n">
        <x:v>0.4681013236305909</x:v>
      </x:c>
      <x:c r="AC868" s="604" t="n"/>
      <x:c r="AD868" s="604" t="n">
        <x:v>0.2529061652772437</x:v>
      </x:c>
      <x:c r="AE868" s="604" t="n"/>
      <x:c r="AF868" s="604" t="n">
        <x:v>0.2789925110921654</x:v>
      </x:c>
      <x:c r="AG868" s="604" t="n">
        <x:v>0.1657037463568959</x:v>
      </x:c>
      <x:c r="AH868" s="604" t="n"/>
      <x:c r="AI868" s="604" t="n"/>
      <x:c r="AJ868" s="604" t="n">
        <x:v>0.1657037463568959</x:v>
      </x:c>
      <x:c r="AK868" s="604" t="n"/>
      <x:c r="AL868" s="604" t="n"/>
      <x:c r="AM868" s="604" t="n"/>
      <x:c r="AN868" s="604" t="inlineStr">
        <x:is>
          <x:t xml:space="preserve">EVALUATED</x:t>
        </x:is>
      </x:c>
      <x:c r="AO868" s="604" t="inlineStr">
        <x:is>
          <x:t xml:space="preserve">GIVING_VALIDATED_EDGE、BUCKET_PRIOR_ONLY、INTENT_INTERPRETATION_ONLY、FFL_OPTIONAL、EXPERT_MARKET</x:t>
        </x:is>
      </x:c>
      <x:c r="AP868" s="604" t="inlineStr">
        <x:is>
          <x:t xml:space="preserve">d716ecb475ca06236a23</x:t>
        </x:is>
      </x:c>
      <x:c r="AQ868" s="604" t="n">
        <x:v>-1</x:v>
      </x:c>
      <x:c r="AR868" s="604" t="n">
        <x:v>0.95</x:v>
      </x:c>
      <x:c r="AS868" s="604" t="n">
        <x:v>1</x:v>
      </x:c>
      <x:c r="AT868" s="604" t="n">
        <x:v>-1</x:v>
      </x:c>
      <x:c r="AU868" s="604" t="n">
        <x:v>0.95</x:v>
      </x:c>
      <x:c r="AV868" s="604" t="n">
        <x:v>0.75</x:v>
      </x:c>
      <x:c r="AW868" s="604" t="n">
        <x:v>46299.08204853009</x:v>
      </x:c>
      <x:c r="AX868" s="604" t="inlineStr">
        <x:is>
          <x:t xml:space="preserve">https://simondongxiao.github.io/odds/v4/</x:t>
        </x:is>
      </x:c>
      <x:c r="AY868" s="604" t="inlineStr">
        <x:is>
          <x:t xml:space="preserve">V4 Shadow Only；real_money=false；P(EV&gt;0)不是比赛胜率</x:t>
        </x:is>
      </x:c>
    </x:row>
    <x:row r="869" ht="22" customHeight="1">
      <x:c r="A869" s="604" t="inlineStr">
        <x:is>
          <x:t xml:space="preserve">2026-10-04</x:t>
        </x:is>
      </x:c>
      <x:c r="B869" s="604" t="inlineStr">
        <x:is>
          <x:t xml:space="preserve">2026-10-04 17:00</x:t>
        </x:is>
      </x:c>
      <x:c r="C869" s="604" t="str">
        <x:v>日韩系列</x:v>
      </x:c>
      <x:c r="D869" s="604" t="inlineStr">
        <x:is>
          <x:t xml:space="preserve">联赛</x:t>
        </x:is>
      </x:c>
      <x:c r="E869" s="604" t="inlineStr">
        <x:is>
          <x:t xml:space="preserve">日职丙</x:t>
        </x:is>
      </x:c>
      <x:c r="F869" s="604" t="inlineStr">
        <x:is>
          <x:t xml:space="preserve">鹿儿岛联 vs 福岛FC</x:t>
        </x:is>
      </x:c>
      <x:c r="G869" s="604" t="n">
        <x:v>0.97</x:v>
      </x:c>
      <x:c r="H869" s="604" t="n">
        <x:v>0</x:v>
      </x:c>
      <x:c r="I869" s="604" t="n">
        <x:v>0.79</x:v>
      </x:c>
      <x:c r="J869" s="604" t="inlineStr">
        <x:is>
          <x:t xml:space="preserve">0.97/0/0.79</x:t>
        </x:is>
      </x:c>
      <x:c r="K869" s="604" t="inlineStr">
        <x:is>
          <x:t xml:space="preserve">V4-C｜EV +0.0323</x:t>
        </x:is>
      </x:c>
      <x:c r="L869" s="604" t="str"/>
      <x:c r="M869" s="604" t="n">
        <x:v>0.5240040112956089</x:v>
      </x:c>
      <x:c r="N869" s="604" t="inlineStr">
        <x:is>
          <x:t xml:space="preserve">V4纸面入选-C</x:t>
        </x:is>
      </x:c>
      <x:c r="O869" s="604" t="inlineStr">
        <x:is>
          <x:t xml:space="preserve">3-2</x:t>
        </x:is>
      </x:c>
      <x:c r="P869" s="604" t="inlineStr">
        <x:is>
          <x:t xml:space="preserve">已结算</x:t>
        </x:is>
      </x:c>
      <x:c r="Q869" s="645" t="inlineStr">
        <x:is>
          <x:t xml:space="preserve">红</x:t>
        </x:is>
      </x:c>
      <x:c r="R869" s="604" t="n">
        <x:v>0.79</x:v>
      </x:c>
      <x:c r="S869" s="604" t="n">
        <x:f>IF(OR(Q869="",Q869="待结算"),"",IF(Q869="红",R869,IF(Q869="半红",R869*0.5,IF(Q869="走",0,IF(Q869="半黑",-0.5,-1)))))</x:f>
        <x:v>0.79</x:v>
      </x:c>
      <x:c r="T869" s="604" t="inlineStr">
        <x:is>
          <x:t xml:space="preserve">https://m.titan007.com/analy/Analysis/3001204.htm</x:t>
        </x:is>
      </x:c>
      <x:c r="U869" s="646" t="str">
        <x:f>IF(Q869="","",IF(Q869="待结算","待结算",IF(Q869="红","黑",IF(Q869="半红","半黑",IF(Q869="走","走",IF(Q869="半黑","半红","红"))))))</x:f>
        <x:v>黑</x:v>
      </x:c>
      <x:c r="V869" s="604" t="n">
        <x:f>IF(OR(Q869="",Q869="待结算"),"",IF(L869=LEFT(F869,FIND(" vs ",F869)-1),I869,G869))</x:f>
        <x:v>0.97</x:v>
      </x:c>
      <x:c r="W869" s="604" t="n">
        <x:f>IF(OR(U869="",U869="待结算"),"",IF(U869="红",V869,IF(U869="半红",V869*0.5,IF(U869="走",0,IF(U869="半黑",-0.5,-1)))))</x:f>
        <x:v>-1</x:v>
      </x:c>
      <x:c r="X869" s="604" t="inlineStr">
        <x:is>
          <x:t xml:space="preserve">3001204</x:t>
        </x:is>
      </x:c>
      <x:c r="Y869" s="604" t="inlineStr">
        <x:is>
          <x:t xml:space="preserve">V4</x:t>
        </x:is>
      </x:c>
      <x:c r="Z869" s="604" t="inlineStr">
        <x:is>
          <x:t xml:space="preserve">prior-2026-10-04-v1</x:t>
        </x:is>
      </x:c>
      <x:c r="AA869" s="604" t="inlineStr">
        <x:is>
          <x:t xml:space="preserve">C</x:t>
        </x:is>
      </x:c>
      <x:c r="AB869" s="604" t="n">
        <x:v>0.5240040112956089</x:v>
      </x:c>
      <x:c r="AC869" s="604" t="n"/>
      <x:c r="AD869" s="604" t="n"/>
      <x:c r="AE869" s="604" t="n"/>
      <x:c r="AF869" s="604" t="n">
        <x:v>0.4759959887043911</x:v>
      </x:c>
      <x:c r="AG869" s="604" t="n">
        <x:v>0.03228790225234951</x:v>
      </x:c>
      <x:c r="AH869" s="604" t="n"/>
      <x:c r="AI869" s="604" t="n"/>
      <x:c r="AJ869" s="604" t="n">
        <x:v>0.03228790225234951</x:v>
      </x:c>
      <x:c r="AK869" s="604" t="n"/>
      <x:c r="AL869" s="604" t="n"/>
      <x:c r="AM869" s="604" t="n"/>
      <x:c r="AN869" s="604" t="inlineStr">
        <x:is>
          <x:t xml:space="preserve">EVALUATED</x:t>
        </x:is>
      </x:c>
      <x:c r="AO869" s="604" t="inlineStr">
        <x:is>
          <x:t xml:space="preserve">EDGE_BELOW_UNCERTAINTY_THRESHOLD、BUCKET_PRIOR_ONLY、INTENT_INTERPRETATION_ONLY、FFL_OPTIONAL、EXPERT_MARKET</x:t>
        </x:is>
      </x:c>
      <x:c r="AP869" s="604" t="inlineStr">
        <x:is>
          <x:t xml:space="preserve">f0b78143daf1d40adb11</x:t>
        </x:is>
      </x:c>
      <x:c r="AQ869" s="604" t="n">
        <x:v>0</x:v>
      </x:c>
      <x:c r="AR869" s="604" t="n"/>
      <x:c r="AS869" s="604" t="n">
        <x:v>0</x:v>
      </x:c>
      <x:c r="AT869" s="604" t="n">
        <x:v>0</x:v>
      </x:c>
      <x:c r="AU869" s="604" t="n">
        <x:v>0.97</x:v>
      </x:c>
      <x:c r="AV869" s="604" t="n">
        <x:v>0.79</x:v>
      </x:c>
      <x:c r="AW869" s="604" t="n">
        <x:v>46299.08204853009</x:v>
      </x:c>
      <x:c r="AX869" s="604" t="inlineStr">
        <x:is>
          <x:t xml:space="preserve">https://simondongxiao.github.io/odds/v4/</x:t>
        </x:is>
      </x:c>
      <x:c r="AY869" s="604" t="inlineStr">
        <x:is>
          <x:t xml:space="preserve">V4 Shadow Only；real_money=false；P(EV&gt;0)不是比赛胜率</x:t>
        </x:is>
      </x:c>
    </x:row>
    <x:row r="870" ht="22" customHeight="1">
      <x:c r="A870" s="604" t="inlineStr">
        <x:is>
          <x:t xml:space="preserve">2026-10-04</x:t>
        </x:is>
      </x:c>
      <x:c r="B870" s="604" t="inlineStr">
        <x:is>
          <x:t xml:space="preserve">2026-10-04 17:00</x:t>
        </x:is>
      </x:c>
      <x:c r="C870" s="604" t="str">
        <x:v>五大联赛非顶级联赛</x:v>
      </x:c>
      <x:c r="D870" s="604" t="inlineStr">
        <x:is>
          <x:t xml:space="preserve">联赛</x:t>
        </x:is>
      </x:c>
      <x:c r="E870" s="604" t="inlineStr">
        <x:is>
          <x:t xml:space="preserve">西丁</x:t>
        </x:is>
      </x:c>
      <x:c r="F870" s="604" t="inlineStr">
        <x:is>
          <x:t xml:space="preserve">卡泰真拿B队 vs CD阿尔嘉德</x:t>
        </x:is>
      </x:c>
      <x:c r="G870" s="604" t="n">
        <x:v>0.88</x:v>
      </x:c>
      <x:c r="H870" s="604" t="n">
        <x:v>1.25</x:v>
      </x:c>
      <x:c r="I870" s="604" t="n">
        <x:v>0.82</x:v>
      </x:c>
      <x:c r="J870" s="604" t="inlineStr">
        <x:is>
          <x:t xml:space="preserve">0.88/1.25/0.82</x:t>
        </x:is>
      </x:c>
      <x:c r="K870" s="604" t="inlineStr">
        <x:is>
          <x:t xml:space="preserve">V4-C｜EV +0.1714</x:t>
        </x:is>
      </x:c>
      <x:c r="L870" s="604" t="inlineStr">
        <x:is>
          <x:t xml:space="preserve">卡泰真拿B队</x:t>
        </x:is>
      </x:c>
      <x:c r="M870" s="604" t="n">
        <x:v>0.6355919222601371</x:v>
      </x:c>
      <x:c r="N870" s="604" t="inlineStr">
        <x:is>
          <x:t xml:space="preserve">V4纸面入选-C</x:t>
        </x:is>
      </x:c>
      <x:c r="O870" s="604" t="inlineStr">
        <x:is>
          <x:t xml:space="preserve">1-2</x:t>
        </x:is>
      </x:c>
      <x:c r="P870" s="604" t="inlineStr">
        <x:is>
          <x:t xml:space="preserve">已结算</x:t>
        </x:is>
      </x:c>
      <x:c r="Q870" s="646" t="inlineStr">
        <x:is>
          <x:t xml:space="preserve">黑</x:t>
        </x:is>
      </x:c>
      <x:c r="R870" s="604" t="n">
        <x:v>0.88</x:v>
      </x:c>
      <x:c r="S870" s="604" t="n">
        <x:f>IF(OR(Q870="",Q870="待结算"),"",IF(Q870="红",R870,IF(Q870="半红",R870*0.5,IF(Q870="走",0,IF(Q870="半黑",-0.5,-1)))))</x:f>
        <x:v>-1</x:v>
      </x:c>
      <x:c r="T870" s="604" t="inlineStr">
        <x:is>
          <x:t xml:space="preserve">https://m.titan007.com/analy/Analysis/3060617.htm</x:t>
        </x:is>
      </x:c>
      <x:c r="U870" s="645" t="str">
        <x:f>IF(Q870="","",IF(Q870="待结算","待结算",IF(Q870="红","黑",IF(Q870="半红","半黑",IF(Q870="走","走",IF(Q870="半黑","半红","红"))))))</x:f>
        <x:v>红</x:v>
      </x:c>
      <x:c r="V870" s="604" t="n">
        <x:f>IF(OR(Q870="",Q870="待结算"),"",IF(L870=LEFT(F870,FIND(" vs ",F870)-1),I870,G870))</x:f>
        <x:v>0.82</x:v>
      </x:c>
      <x:c r="W870" s="604" t="n">
        <x:f>IF(OR(U870="",U870="待结算"),"",IF(U870="红",V870,IF(U870="半红",V870*0.5,IF(U870="走",0,IF(U870="半黑",-0.5,-1)))))</x:f>
        <x:v>0.82</x:v>
      </x:c>
      <x:c r="X870" s="604" t="inlineStr">
        <x:is>
          <x:t xml:space="preserve">3060617</x:t>
        </x:is>
      </x:c>
      <x:c r="Y870" s="604" t="inlineStr">
        <x:is>
          <x:t xml:space="preserve">V4</x:t>
        </x:is>
      </x:c>
      <x:c r="Z870" s="604" t="inlineStr">
        <x:is>
          <x:t xml:space="preserve">prior-2026-10-04-v1</x:t>
        </x:is>
      </x:c>
      <x:c r="AA870" s="604" t="inlineStr">
        <x:is>
          <x:t xml:space="preserve">C</x:t>
        </x:is>
      </x:c>
      <x:c r="AB870" s="604" t="n">
        <x:v>0.5588393187730756</x:v>
      </x:c>
      <x:c r="AC870" s="604" t="n"/>
      <x:c r="AD870" s="604" t="n"/>
      <x:c r="AE870" s="604" t="n">
        <x:v>0.2415153522220126</x:v>
      </x:c>
      <x:c r="AF870" s="604" t="n">
        <x:v>0.1996453290049118</x:v>
      </x:c>
      <x:c r="AG870" s="604" t="n">
        <x:v>0.1713755954043884</x:v>
      </x:c>
      <x:c r="AH870" s="604" t="n"/>
      <x:c r="AI870" s="604" t="n"/>
      <x:c r="AJ870" s="604" t="n">
        <x:v>0.1713755954043884</x:v>
      </x:c>
      <x:c r="AK870" s="604" t="n"/>
      <x:c r="AL870" s="604" t="n"/>
      <x:c r="AM870" s="604" t="n"/>
      <x:c r="AN870" s="604" t="inlineStr">
        <x:is>
          <x:t xml:space="preserve">EVALUATED</x:t>
        </x:is>
      </x:c>
      <x:c r="AO870" s="604" t="inlineStr">
        <x:is>
          <x:t xml:space="preserve">GIVING_VALIDATED_EDGE、BUCKET_PRIOR_ONLY、INTENT_INTERPRETATION_ONLY、FFL_OPTIONAL、EXPERT_MARKET</x:t>
        </x:is>
      </x:c>
      <x:c r="AP870" s="604" t="inlineStr">
        <x:is>
          <x:t xml:space="preserve">86e67aa6d37b6505ca7e</x:t>
        </x:is>
      </x:c>
      <x:c r="AQ870" s="604" t="n">
        <x:v>-1.25</x:v>
      </x:c>
      <x:c r="AR870" s="604" t="n">
        <x:v>0.88</x:v>
      </x:c>
      <x:c r="AS870" s="604" t="n">
        <x:v>1.25</x:v>
      </x:c>
      <x:c r="AT870" s="604" t="n">
        <x:v>-1.25</x:v>
      </x:c>
      <x:c r="AU870" s="604" t="n">
        <x:v>0.88</x:v>
      </x:c>
      <x:c r="AV870" s="604" t="n">
        <x:v>0.82</x:v>
      </x:c>
      <x:c r="AW870" s="604" t="n">
        <x:v>46299.08204853009</x:v>
      </x:c>
      <x:c r="AX870" s="604" t="inlineStr">
        <x:is>
          <x:t xml:space="preserve">https://simondongxiao.github.io/odds/v4/</x:t>
        </x:is>
      </x:c>
      <x:c r="AY870" s="604" t="inlineStr">
        <x:is>
          <x:t xml:space="preserve">V4 Shadow Only；real_money=false；P(EV&gt;0)不是比赛胜率</x:t>
        </x:is>
      </x:c>
    </x:row>
    <x:row r="871" ht="22" customHeight="1">
      <x:c r="A871" s="604" t="inlineStr">
        <x:is>
          <x:t xml:space="preserve">2026-10-04</x:t>
        </x:is>
      </x:c>
      <x:c r="B871" s="604" t="inlineStr">
        <x:is>
          <x:t xml:space="preserve">2026-10-04 17:00</x:t>
        </x:is>
      </x:c>
      <x:c r="C871" s="604" t="str">
        <x:v>其他系列</x:v>
      </x:c>
      <x:c r="D871" s="604" t="inlineStr">
        <x:is>
          <x:t xml:space="preserve">联赛</x:t>
        </x:is>
      </x:c>
      <x:c r="E871" s="604" t="inlineStr">
        <x:is>
          <x:t xml:space="preserve">国际友谊</x:t>
        </x:is>
      </x:c>
      <x:c r="F871" s="604" t="inlineStr">
        <x:is>
          <x:t xml:space="preserve">巴西U20 vs 墨西哥U20</x:t>
        </x:is>
      </x:c>
      <x:c r="G871" s="604" t="n">
        <x:v>0.98</x:v>
      </x:c>
      <x:c r="H871" s="604" t="n">
        <x:v>0.5</x:v>
      </x:c>
      <x:c r="I871" s="604" t="n">
        <x:v>0.84</x:v>
      </x:c>
      <x:c r="J871" s="604" t="inlineStr">
        <x:is>
          <x:t xml:space="preserve">0.98/0.5/0.84</x:t>
        </x:is>
      </x:c>
      <x:c r="K871" s="604" t="inlineStr">
        <x:is>
          <x:t xml:space="preserve">V4-C｜EV +0.1630</x:t>
        </x:is>
      </x:c>
      <x:c r="L871" s="604" t="inlineStr">
        <x:is>
          <x:t xml:space="preserve">巴西U20</x:t>
        </x:is>
      </x:c>
      <x:c r="M871" s="604" t="n">
        <x:v>0.5873763251803922</x:v>
      </x:c>
      <x:c r="N871" s="604" t="inlineStr">
        <x:is>
          <x:t xml:space="preserve">V4纸面入选-C</x:t>
        </x:is>
      </x:c>
      <x:c r="O871" s="604" t="inlineStr">
        <x:is>
          <x:t xml:space="preserve">4-0</x:t>
        </x:is>
      </x:c>
      <x:c r="P871" s="604" t="inlineStr">
        <x:is>
          <x:t xml:space="preserve">已结算</x:t>
        </x:is>
      </x:c>
      <x:c r="Q871" s="645" t="inlineStr">
        <x:is>
          <x:t xml:space="preserve">红</x:t>
        </x:is>
      </x:c>
      <x:c r="R871" s="604" t="n">
        <x:v>0.98</x:v>
      </x:c>
      <x:c r="S871" s="604" t="n">
        <x:f>IF(OR(Q871="",Q871="待结算"),"",IF(Q871="红",R871,IF(Q871="半红",R871*0.5,IF(Q871="走",0,IF(Q871="半黑",-0.5,-1)))))</x:f>
        <x:v>0.98</x:v>
      </x:c>
      <x:c r="T871" s="604" t="inlineStr">
        <x:is>
          <x:t xml:space="preserve">https://m.titan007.com/analy/Analysis/3096443.htm</x:t>
        </x:is>
      </x:c>
      <x:c r="U871" s="646" t="str">
        <x:f>IF(Q871="","",IF(Q871="待结算","待结算",IF(Q871="红","黑",IF(Q871="半红","半黑",IF(Q871="走","走",IF(Q871="半黑","半红","红"))))))</x:f>
        <x:v>黑</x:v>
      </x:c>
      <x:c r="V871" s="604" t="n">
        <x:f>IF(OR(Q871="",Q871="待结算"),"",IF(L871=LEFT(F871,FIND(" vs ",F871)-1),I871,G871))</x:f>
        <x:v>0.84</x:v>
      </x:c>
      <x:c r="W871" s="604" t="n">
        <x:f>IF(OR(U871="",U871="待结算"),"",IF(U871="红",V871,IF(U871="半红",V871*0.5,IF(U871="走",0,IF(U871="半黑",-0.5,-1)))))</x:f>
        <x:v>-1</x:v>
      </x:c>
      <x:c r="X871" s="604" t="inlineStr">
        <x:is>
          <x:t xml:space="preserve">3096443</x:t>
        </x:is>
      </x:c>
      <x:c r="Y871" s="604" t="inlineStr">
        <x:is>
          <x:t xml:space="preserve">V4</x:t>
        </x:is>
      </x:c>
      <x:c r="Z871" s="604" t="inlineStr">
        <x:is>
          <x:t xml:space="preserve">prior-2026-10-04-v1</x:t>
        </x:is>
      </x:c>
      <x:c r="AA871" s="604" t="inlineStr">
        <x:is>
          <x:t xml:space="preserve">C</x:t>
        </x:is>
      </x:c>
      <x:c r="AB871" s="604" t="n">
        <x:v>0.5873763251803922</x:v>
      </x:c>
      <x:c r="AC871" s="604" t="n"/>
      <x:c r="AD871" s="604" t="n"/>
      <x:c r="AE871" s="604" t="n"/>
      <x:c r="AF871" s="604" t="n">
        <x:v>0.4126236748196079</x:v>
      </x:c>
      <x:c r="AG871" s="604" t="n">
        <x:v>0.1630051238571764</x:v>
      </x:c>
      <x:c r="AH871" s="604" t="n"/>
      <x:c r="AI871" s="604" t="n"/>
      <x:c r="AJ871" s="604" t="n">
        <x:v>0.1630051238571764</x:v>
      </x:c>
      <x:c r="AK871" s="604" t="n"/>
      <x:c r="AL871" s="604" t="n"/>
      <x:c r="AM871" s="604" t="n"/>
      <x:c r="AN871" s="604" t="inlineStr">
        <x:is>
          <x:t xml:space="preserve">EVALUATED</x:t>
        </x:is>
      </x:c>
      <x:c r="AO871" s="604" t="inlineStr">
        <x:is>
          <x:t xml:space="preserve">GIVING_VALIDATED_EDGE、BUCKET_PRIOR_ONLY、INTENT_INTERPRETATION_ONLY、FFL_OPTIONAL、EXPERT_MARKET</x:t>
        </x:is>
      </x:c>
      <x:c r="AP871" s="604" t="inlineStr">
        <x:is>
          <x:t xml:space="preserve">3afdabbdb17433b06f0e</x:t>
        </x:is>
      </x:c>
      <x:c r="AQ871" s="604" t="n">
        <x:v>-0.5</x:v>
      </x:c>
      <x:c r="AR871" s="604" t="n">
        <x:v>0.98</x:v>
      </x:c>
      <x:c r="AS871" s="604" t="n">
        <x:v>0.5</x:v>
      </x:c>
      <x:c r="AT871" s="604" t="n">
        <x:v>-0.5</x:v>
      </x:c>
      <x:c r="AU871" s="604" t="n">
        <x:v>0.98</x:v>
      </x:c>
      <x:c r="AV871" s="604" t="n">
        <x:v>0.84</x:v>
      </x:c>
      <x:c r="AW871" s="604" t="n">
        <x:v>46299.08204853009</x:v>
      </x:c>
      <x:c r="AX871" s="604" t="inlineStr">
        <x:is>
          <x:t xml:space="preserve">https://simondongxiao.github.io/odds/v4/</x:t>
        </x:is>
      </x:c>
      <x:c r="AY871" s="604" t="inlineStr">
        <x:is>
          <x:t xml:space="preserve">V4 Shadow Only；real_money=false；P(EV&gt;0)不是比赛胜率</x:t>
        </x:is>
      </x:c>
    </x:row>
    <x:row r="872" ht="22" customHeight="1">
      <x:c r="A872" s="604" t="inlineStr">
        <x:is>
          <x:t xml:space="preserve">2026-10-04</x:t>
        </x:is>
      </x:c>
      <x:c r="B872" s="604" t="inlineStr">
        <x:is>
          <x:t xml:space="preserve">2026-10-04 17:00</x:t>
        </x:is>
      </x:c>
      <x:c r="C872" s="604" t="str">
        <x:v>欧洲非五大系列</x:v>
      </x:c>
      <x:c r="D872" s="604" t="inlineStr">
        <x:is>
          <x:t xml:space="preserve">联赛</x:t>
        </x:is>
      </x:c>
      <x:c r="E872" s="604" t="inlineStr">
        <x:is>
          <x:t xml:space="preserve">挪丙</x:t>
        </x:is>
      </x:c>
      <x:c r="F872" s="604" t="inlineStr">
        <x:is>
          <x:t xml:space="preserve">斯克捷沃 vs 佛克朴林特</x:t>
        </x:is>
      </x:c>
      <x:c r="G872" s="604" t="n">
        <x:v>0.88</x:v>
      </x:c>
      <x:c r="H872" s="604" t="n">
        <x:v>0</x:v>
      </x:c>
      <x:c r="I872" s="604" t="n">
        <x:v>0.82</x:v>
      </x:c>
      <x:c r="J872" s="604" t="inlineStr">
        <x:is>
          <x:t xml:space="preserve">0.88/0/0.82</x:t>
        </x:is>
      </x:c>
      <x:c r="K872" s="604" t="inlineStr">
        <x:is>
          <x:t xml:space="preserve">V4-C｜EV +0.0537</x:t>
        </x:is>
      </x:c>
      <x:c r="L872" s="604" t="str"/>
      <x:c r="M872" s="604" t="n">
        <x:v>0.5604570401005343</x:v>
      </x:c>
      <x:c r="N872" s="604" t="inlineStr">
        <x:is>
          <x:t xml:space="preserve">V4纸面入选-C</x:t>
        </x:is>
      </x:c>
      <x:c r="O872" s="604" t="inlineStr">
        <x:is>
          <x:t xml:space="preserve">3-0</x:t>
        </x:is>
      </x:c>
      <x:c r="P872" s="604" t="inlineStr">
        <x:is>
          <x:t xml:space="preserve">已结算</x:t>
        </x:is>
      </x:c>
      <x:c r="Q872" s="645" t="inlineStr">
        <x:is>
          <x:t xml:space="preserve">红</x:t>
        </x:is>
      </x:c>
      <x:c r="R872" s="604" t="n">
        <x:v>0.82</x:v>
      </x:c>
      <x:c r="S872" s="604" t="n">
        <x:f>IF(OR(Q872="",Q872="待结算"),"",IF(Q872="红",R872,IF(Q872="半红",R872*0.5,IF(Q872="走",0,IF(Q872="半黑",-0.5,-1)))))</x:f>
        <x:v>0.82</x:v>
      </x:c>
      <x:c r="T872" s="604" t="inlineStr">
        <x:is>
          <x:t xml:space="preserve">https://m.titan007.com/analy/Analysis/2968267.htm</x:t>
        </x:is>
      </x:c>
      <x:c r="U872" s="646" t="str">
        <x:f>IF(Q872="","",IF(Q872="待结算","待结算",IF(Q872="红","黑",IF(Q872="半红","半黑",IF(Q872="走","走",IF(Q872="半黑","半红","红"))))))</x:f>
        <x:v>黑</x:v>
      </x:c>
      <x:c r="V872" s="604" t="n">
        <x:f>IF(OR(Q872="",Q872="待结算"),"",IF(L872=LEFT(F872,FIND(" vs ",F872)-1),I872,G872))</x:f>
        <x:v>0.88</x:v>
      </x:c>
      <x:c r="W872" s="604" t="n">
        <x:f>IF(OR(U872="",U872="待结算"),"",IF(U872="红",V872,IF(U872="半红",V872*0.5,IF(U872="走",0,IF(U872="半黑",-0.5,-1)))))</x:f>
        <x:v>-1</x:v>
      </x:c>
      <x:c r="X872" s="604" t="inlineStr">
        <x:is>
          <x:t xml:space="preserve">2968267</x:t>
        </x:is>
      </x:c>
      <x:c r="Y872" s="604" t="inlineStr">
        <x:is>
          <x:t xml:space="preserve">V4</x:t>
        </x:is>
      </x:c>
      <x:c r="Z872" s="604" t="inlineStr">
        <x:is>
          <x:t xml:space="preserve">prior-2026-10-04-v1</x:t>
        </x:is>
      </x:c>
      <x:c r="AA872" s="604" t="inlineStr">
        <x:is>
          <x:t xml:space="preserve">C</x:t>
        </x:is>
      </x:c>
      <x:c r="AB872" s="604" t="n">
        <x:v>0.5604570401005343</x:v>
      </x:c>
      <x:c r="AC872" s="604" t="n"/>
      <x:c r="AD872" s="604" t="n"/>
      <x:c r="AE872" s="604" t="n"/>
      <x:c r="AF872" s="604" t="n">
        <x:v>0.4395429598994656</x:v>
      </x:c>
      <x:c r="AG872" s="604" t="n">
        <x:v>0.05365923538900458</x:v>
      </x:c>
      <x:c r="AH872" s="604" t="n"/>
      <x:c r="AI872" s="604" t="n"/>
      <x:c r="AJ872" s="604" t="n">
        <x:v>0.05365923538900458</x:v>
      </x:c>
      <x:c r="AK872" s="604" t="n"/>
      <x:c r="AL872" s="604" t="n"/>
      <x:c r="AM872" s="604" t="n"/>
      <x:c r="AN872" s="604" t="inlineStr">
        <x:is>
          <x:t xml:space="preserve">EVALUATED</x:t>
        </x:is>
      </x:c>
      <x:c r="AO872" s="604" t="inlineStr">
        <x:is>
          <x:t xml:space="preserve">EDGE_BELOW_UNCERTAINTY_THRESHOLD、BUCKET_PRIOR_ONLY、INTENT_INTERPRETATION_ONLY、FFL_OPTIONAL、EXPERT_MARKET</x:t>
        </x:is>
      </x:c>
      <x:c r="AP872" s="604" t="inlineStr">
        <x:is>
          <x:t xml:space="preserve">33645112505e73066c41</x:t>
        </x:is>
      </x:c>
      <x:c r="AQ872" s="604" t="n">
        <x:v>0</x:v>
      </x:c>
      <x:c r="AR872" s="604" t="n"/>
      <x:c r="AS872" s="604" t="n">
        <x:v>0</x:v>
      </x:c>
      <x:c r="AT872" s="604" t="n">
        <x:v>0</x:v>
      </x:c>
      <x:c r="AU872" s="604" t="n">
        <x:v>0.88</x:v>
      </x:c>
      <x:c r="AV872" s="604" t="n">
        <x:v>0.82</x:v>
      </x:c>
      <x:c r="AW872" s="604" t="n">
        <x:v>46299.08204853009</x:v>
      </x:c>
      <x:c r="AX872" s="604" t="inlineStr">
        <x:is>
          <x:t xml:space="preserve">https://simondongxiao.github.io/odds/v4/</x:t>
        </x:is>
      </x:c>
      <x:c r="AY872" s="604" t="inlineStr">
        <x:is>
          <x:t xml:space="preserve">V4 Shadow Only；real_money=false；P(EV&gt;0)不是比赛胜率</x:t>
        </x:is>
      </x:c>
    </x:row>
    <x:row r="873" ht="22" customHeight="1">
      <x:c r="A873" s="604" t="inlineStr">
        <x:is>
          <x:t xml:space="preserve">2026-10-04</x:t>
        </x:is>
      </x:c>
      <x:c r="B873" s="604" t="inlineStr">
        <x:is>
          <x:t xml:space="preserve">2026-10-04 17:15</x:t>
        </x:is>
      </x:c>
      <x:c r="C873" s="604" t="str">
        <x:v>欧洲非五大系列</x:v>
      </x:c>
      <x:c r="D873" s="604" t="inlineStr">
        <x:is>
          <x:t xml:space="preserve">联赛</x:t>
        </x:is>
      </x:c>
      <x:c r="E873" s="604" t="inlineStr">
        <x:is>
          <x:t xml:space="preserve">奥丁</x:t>
        </x:is>
      </x:c>
      <x:c r="F873" s="604" t="inlineStr">
        <x:is>
          <x:t xml:space="preserve">维瓦宾特 vs 赫福特</x:t>
        </x:is>
      </x:c>
      <x:c r="G873" s="604" t="n">
        <x:v>0.9399999999999999</x:v>
      </x:c>
      <x:c r="H873" s="604" t="n">
        <x:v>-1</x:v>
      </x:c>
      <x:c r="I873" s="604" t="n">
        <x:v>0.76</x:v>
      </x:c>
      <x:c r="J873" s="604" t="inlineStr">
        <x:is>
          <x:t xml:space="preserve">0.94/-1/0.76</x:t>
        </x:is>
      </x:c>
      <x:c r="K873" s="604" t="inlineStr">
        <x:is>
          <x:t xml:space="preserve">V4-C｜EV +0.7184</x:t>
        </x:is>
      </x:c>
      <x:c r="L873" s="604" t="inlineStr">
        <x:is>
          <x:t xml:space="preserve">维瓦宾特</x:t>
        </x:is>
      </x:c>
      <x:c r="M873" s="604" t="n">
        <x:v>0.9367115462695356</x:v>
      </x:c>
      <x:c r="N873" s="604" t="inlineStr">
        <x:is>
          <x:t xml:space="preserve">V4纸面入选-C</x:t>
        </x:is>
      </x:c>
      <x:c r="O873" s="604" t="inlineStr">
        <x:is>
          <x:t xml:space="preserve">0-1</x:t>
        </x:is>
      </x:c>
      <x:c r="P873" s="604" t="inlineStr">
        <x:is>
          <x:t xml:space="preserve">已结算</x:t>
        </x:is>
      </x:c>
      <x:c r="Q873" s="647" t="inlineStr">
        <x:is>
          <x:t xml:space="preserve">走</x:t>
        </x:is>
      </x:c>
      <x:c r="R873" s="604" t="n">
        <x:v>0.9399999999999999</x:v>
      </x:c>
      <x:c r="S873" s="604" t="n">
        <x:f>IF(OR(Q873="",Q873="待结算"),"",IF(Q873="红",R873,IF(Q873="半红",R873*0.5,IF(Q873="走",0,IF(Q873="半黑",-0.5,-1)))))</x:f>
        <x:v>0</x:v>
      </x:c>
      <x:c r="T873" s="604" t="inlineStr">
        <x:is>
          <x:t xml:space="preserve">https://m.titan007.com/analy/Analysis/3097573.htm</x:t>
        </x:is>
      </x:c>
      <x:c r="U873" s="647" t="str">
        <x:f>IF(Q873="","",IF(Q873="待结算","待结算",IF(Q873="红","黑",IF(Q873="半红","半黑",IF(Q873="走","走",IF(Q873="半黑","半红","红"))))))</x:f>
        <x:v>走</x:v>
      </x:c>
      <x:c r="V873" s="604" t="n">
        <x:f>IF(OR(Q873="",Q873="待结算"),"",IF(L873=LEFT(F873,FIND(" vs ",F873)-1),I873,G873))</x:f>
        <x:v>0.76</x:v>
      </x:c>
      <x:c r="W873" s="604" t="n">
        <x:f>IF(OR(U873="",U873="待结算"),"",IF(U873="红",V873,IF(U873="半红",V873*0.5,IF(U873="走",0,IF(U873="半黑",-0.5,-1)))))</x:f>
        <x:v>0</x:v>
      </x:c>
      <x:c r="X873" s="604" t="inlineStr">
        <x:is>
          <x:t xml:space="preserve">3097573</x:t>
        </x:is>
      </x:c>
      <x:c r="Y873" s="604" t="inlineStr">
        <x:is>
          <x:t xml:space="preserve">V4</x:t>
        </x:is>
      </x:c>
      <x:c r="Z873" s="604" t="inlineStr">
        <x:is>
          <x:t xml:space="preserve">prior-2026-10-04-v1</x:t>
        </x:is>
      </x:c>
      <x:c r="AA873" s="604" t="inlineStr">
        <x:is>
          <x:t xml:space="preserve">C</x:t>
        </x:is>
      </x:c>
      <x:c r="AB873" s="604" t="n">
        <x:v>0.8234459028380318</x:v>
      </x:c>
      <x:c r="AC873" s="604" t="n"/>
      <x:c r="AD873" s="604" t="n">
        <x:v>0.1209183807785711</x:v>
      </x:c>
      <x:c r="AE873" s="604" t="n"/>
      <x:c r="AF873" s="604" t="n">
        <x:v>0.05563571638339718</x:v>
      </x:c>
      <x:c r="AG873" s="604" t="n">
        <x:v>0.7184034322843527</x:v>
      </x:c>
      <x:c r="AH873" s="604" t="n"/>
      <x:c r="AI873" s="604" t="n"/>
      <x:c r="AJ873" s="604" t="n">
        <x:v>0.7184034322843527</x:v>
      </x:c>
      <x:c r="AK873" s="604" t="n"/>
      <x:c r="AL873" s="604" t="n"/>
      <x:c r="AM873" s="604" t="n"/>
      <x:c r="AN873" s="604" t="inlineStr">
        <x:is>
          <x:t xml:space="preserve">EVALUATED</x:t>
        </x:is>
      </x:c>
      <x:c r="AO873" s="604" t="inlineStr">
        <x:is>
          <x:t xml:space="preserve">RECEIVING_VALIDATED_EDGE、BUCKET_PRIOR_ONLY、INTENT_INTERPRETATION_ONLY、FFL_OPTIONAL、EXPERT_MARKET</x:t>
        </x:is>
      </x:c>
      <x:c r="AP873" s="604" t="inlineStr">
        <x:is>
          <x:t xml:space="preserve">3c8572cbe7d51d47a6c1</x:t>
        </x:is>
      </x:c>
      <x:c r="AQ873" s="604" t="n">
        <x:v>1</x:v>
      </x:c>
      <x:c r="AR873" s="604" t="n">
        <x:v>0.9399999999999999</x:v>
      </x:c>
      <x:c r="AS873" s="604" t="n">
        <x:v>-1</x:v>
      </x:c>
      <x:c r="AT873" s="604" t="n">
        <x:v>1</x:v>
      </x:c>
      <x:c r="AU873" s="604" t="n">
        <x:v>0.9399999999999999</x:v>
      </x:c>
      <x:c r="AV873" s="604" t="n">
        <x:v>0.76</x:v>
      </x:c>
      <x:c r="AW873" s="604" t="n">
        <x:v>46299.08204853009</x:v>
      </x:c>
      <x:c r="AX873" s="604" t="inlineStr">
        <x:is>
          <x:t xml:space="preserve">https://simondongxiao.github.io/odds/v4/</x:t>
        </x:is>
      </x:c>
      <x:c r="AY873" s="604" t="inlineStr">
        <x:is>
          <x:t xml:space="preserve">V4 Shadow Only；real_money=false；P(EV&gt;0)不是比赛胜率</x:t>
        </x:is>
      </x:c>
    </x:row>
    <x:row r="874" ht="22" customHeight="1">
      <x:c r="A874" s="604" t="inlineStr">
        <x:is>
          <x:t xml:space="preserve">2026-10-04</x:t>
        </x:is>
      </x:c>
      <x:c r="B874" s="604" t="inlineStr">
        <x:is>
          <x:t xml:space="preserve">2026-10-04 17:30</x:t>
        </x:is>
      </x:c>
      <x:c r="C874" s="604" t="str">
        <x:v>五大联赛非顶级联赛</x:v>
      </x:c>
      <x:c r="D874" s="604" t="inlineStr">
        <x:is>
          <x:t xml:space="preserve">联赛</x:t>
        </x:is>
      </x:c>
      <x:c r="E874" s="604" t="inlineStr">
        <x:is>
          <x:t xml:space="preserve">西协乙3</x:t>
        </x:is>
      </x:c>
      <x:c r="F874" s="604" t="inlineStr">
        <x:is>
          <x:t xml:space="preserve">华伦西亚梅斯塔拉 vs 彭拿迪坡缇瓦</x:t>
        </x:is>
      </x:c>
      <x:c r="G874" s="604" t="n">
        <x:v>0.8</x:v>
      </x:c>
      <x:c r="H874" s="604" t="n">
        <x:v>0.5</x:v>
      </x:c>
      <x:c r="I874" s="604" t="n">
        <x:v>0.9</x:v>
      </x:c>
      <x:c r="J874" s="604" t="inlineStr">
        <x:is>
          <x:t xml:space="preserve">0.8/0.5/0.9</x:t>
        </x:is>
      </x:c>
      <x:c r="K874" s="604" t="inlineStr">
        <x:is>
          <x:t xml:space="preserve">V4-B｜EV +0.1045</x:t>
        </x:is>
      </x:c>
      <x:c r="L874" s="604" t="inlineStr">
        <x:is>
          <x:t xml:space="preserve">华伦西亚梅斯塔拉</x:t>
        </x:is>
      </x:c>
      <x:c r="M874" s="604" t="n">
        <x:v>0.61361028889445</x:v>
      </x:c>
      <x:c r="N874" s="604" t="inlineStr">
        <x:is>
          <x:t xml:space="preserve">V4纸面入选-B</x:t>
        </x:is>
      </x:c>
      <x:c r="O874" s="604" t="inlineStr">
        <x:is>
          <x:t xml:space="preserve">3-2</x:t>
        </x:is>
      </x:c>
      <x:c r="P874" s="604" t="inlineStr">
        <x:is>
          <x:t xml:space="preserve">已结算</x:t>
        </x:is>
      </x:c>
      <x:c r="Q874" s="645" t="inlineStr">
        <x:is>
          <x:t xml:space="preserve">红</x:t>
        </x:is>
      </x:c>
      <x:c r="R874" s="604" t="n">
        <x:v>0.8</x:v>
      </x:c>
      <x:c r="S874" s="604" t="n">
        <x:f>IF(OR(Q874="",Q874="待结算"),"",IF(Q874="红",R874,IF(Q874="半红",R874*0.5,IF(Q874="走",0,IF(Q874="半黑",-0.5,-1)))))</x:f>
        <x:v>0.8</x:v>
      </x:c>
      <x:c r="T874" s="604" t="inlineStr">
        <x:is>
          <x:t xml:space="preserve">https://m.titan007.com/analy/Analysis/3015901.htm</x:t>
        </x:is>
      </x:c>
      <x:c r="U874" s="646" t="str">
        <x:f>IF(Q874="","",IF(Q874="待结算","待结算",IF(Q874="红","黑",IF(Q874="半红","半黑",IF(Q874="走","走",IF(Q874="半黑","半红","红"))))))</x:f>
        <x:v>黑</x:v>
      </x:c>
      <x:c r="V874" s="604" t="n">
        <x:f>IF(OR(Q874="",Q874="待结算"),"",IF(L874=LEFT(F874,FIND(" vs ",F874)-1),I874,G874))</x:f>
        <x:v>0.9</x:v>
      </x:c>
      <x:c r="W874" s="604" t="n">
        <x:f>IF(OR(U874="",U874="待结算"),"",IF(U874="红",V874,IF(U874="半红",V874*0.5,IF(U874="走",0,IF(U874="半黑",-0.5,-1)))))</x:f>
        <x:v>-1</x:v>
      </x:c>
      <x:c r="X874" s="604" t="inlineStr">
        <x:is>
          <x:t xml:space="preserve">3015901</x:t>
        </x:is>
      </x:c>
      <x:c r="Y874" s="604" t="inlineStr">
        <x:is>
          <x:t xml:space="preserve">V4</x:t>
        </x:is>
      </x:c>
      <x:c r="Z874" s="604" t="inlineStr">
        <x:is>
          <x:t xml:space="preserve">prior-2026-10-04-v1</x:t>
        </x:is>
      </x:c>
      <x:c r="AA874" s="604" t="inlineStr">
        <x:is>
          <x:t xml:space="preserve">B</x:t>
        </x:is>
      </x:c>
      <x:c r="AB874" s="604" t="n">
        <x:v>0.61361028889445</x:v>
      </x:c>
      <x:c r="AC874" s="604" t="n"/>
      <x:c r="AD874" s="604" t="n"/>
      <x:c r="AE874" s="604" t="n"/>
      <x:c r="AF874" s="604" t="n">
        <x:v>0.38638971110555</x:v>
      </x:c>
      <x:c r="AG874" s="604" t="n">
        <x:v>0.10449852001001</x:v>
      </x:c>
      <x:c r="AH874" s="604" t="n"/>
      <x:c r="AI874" s="604" t="n"/>
      <x:c r="AJ874" s="604" t="n">
        <x:v>0.10449852001001</x:v>
      </x:c>
      <x:c r="AK874" s="604" t="n"/>
      <x:c r="AL874" s="604" t="n"/>
      <x:c r="AM874" s="604" t="n"/>
      <x:c r="AN874" s="604" t="inlineStr">
        <x:is>
          <x:t xml:space="preserve">EVALUATED</x:t>
        </x:is>
      </x:c>
      <x:c r="AO874" s="604" t="inlineStr">
        <x:is>
          <x:t xml:space="preserve">GIVING_VALIDATED_EDGE、BUCKET_PRIOR_ONLY、INTENT_INTERPRETATION_ONLY、FFL_OPTIONAL、EXPERT_MARKET</x:t>
        </x:is>
      </x:c>
      <x:c r="AP874" s="604" t="inlineStr">
        <x:is>
          <x:t xml:space="preserve">cebb52e9e281cb39c9d0</x:t>
        </x:is>
      </x:c>
      <x:c r="AQ874" s="604" t="n">
        <x:v>-0.5</x:v>
      </x:c>
      <x:c r="AR874" s="604" t="n">
        <x:v>0.8</x:v>
      </x:c>
      <x:c r="AS874" s="604" t="n">
        <x:v>0.5</x:v>
      </x:c>
      <x:c r="AT874" s="604" t="n">
        <x:v>-0.5</x:v>
      </x:c>
      <x:c r="AU874" s="604" t="n">
        <x:v>0.8</x:v>
      </x:c>
      <x:c r="AV874" s="604" t="n">
        <x:v>0.9</x:v>
      </x:c>
      <x:c r="AW874" s="604" t="n">
        <x:v>46299.08204853009</x:v>
      </x:c>
      <x:c r="AX874" s="604" t="inlineStr">
        <x:is>
          <x:t xml:space="preserve">https://simondongxiao.github.io/odds/v4/</x:t>
        </x:is>
      </x:c>
      <x:c r="AY874" s="604" t="inlineStr">
        <x:is>
          <x:t xml:space="preserve">V4 Shadow Only；real_money=false；P(EV&gt;0)不是比赛胜率</x:t>
        </x:is>
      </x:c>
    </x:row>
    <x:row r="875" ht="22" customHeight="1">
      <x:c r="A875" s="604" t="inlineStr">
        <x:is>
          <x:t xml:space="preserve">2026-10-04</x:t>
        </x:is>
      </x:c>
      <x:c r="B875" s="604" t="inlineStr">
        <x:is>
          <x:t xml:space="preserve">2026-10-04 17:30</x:t>
        </x:is>
      </x:c>
      <x:c r="C875" s="604" t="str">
        <x:v>五大联赛非顶级联赛</x:v>
      </x:c>
      <x:c r="D875" s="604" t="inlineStr">
        <x:is>
          <x:t xml:space="preserve">联赛</x:t>
        </x:is>
      </x:c>
      <x:c r="E875" s="604" t="inlineStr">
        <x:is>
          <x:t xml:space="preserve">西协乙4</x:t>
        </x:is>
      </x:c>
      <x:c r="F875" s="604" t="inlineStr">
        <x:is>
          <x:t xml:space="preserve">塞维利亚体育会 vs 巴达祖斯</x:t>
        </x:is>
      </x:c>
      <x:c r="G875" s="604" t="n">
        <x:v>0.73</x:v>
      </x:c>
      <x:c r="H875" s="604" t="n">
        <x:v>0</x:v>
      </x:c>
      <x:c r="I875" s="604" t="n">
        <x:v>0.97</x:v>
      </x:c>
      <x:c r="J875" s="604" t="inlineStr">
        <x:is>
          <x:t xml:space="preserve">0.73/0/0.97</x:t>
        </x:is>
      </x:c>
      <x:c r="K875" s="604" t="inlineStr">
        <x:is>
          <x:t xml:space="preserve">V4-C｜EV +0.0004</x:t>
        </x:is>
      </x:c>
      <x:c r="L875" s="604" t="str"/>
      <x:c r="M875" s="604" t="n">
        <x:v>0.5782737287433853</x:v>
      </x:c>
      <x:c r="N875" s="604" t="inlineStr">
        <x:is>
          <x:t xml:space="preserve">V4纸面入选-C</x:t>
        </x:is>
      </x:c>
      <x:c r="O875" s="604" t="inlineStr">
        <x:is>
          <x:t xml:space="preserve">2-2</x:t>
        </x:is>
      </x:c>
      <x:c r="P875" s="604" t="inlineStr">
        <x:is>
          <x:t xml:space="preserve">已结算</x:t>
        </x:is>
      </x:c>
      <x:c r="Q875" s="647" t="inlineStr">
        <x:is>
          <x:t xml:space="preserve">走</x:t>
        </x:is>
      </x:c>
      <x:c r="R875" s="604" t="n">
        <x:v>0.97</x:v>
      </x:c>
      <x:c r="S875" s="604" t="n">
        <x:f>IF(OR(Q875="",Q875="待结算"),"",IF(Q875="红",R875,IF(Q875="半红",R875*0.5,IF(Q875="走",0,IF(Q875="半黑",-0.5,-1)))))</x:f>
        <x:v>0</x:v>
      </x:c>
      <x:c r="T875" s="604" t="inlineStr">
        <x:is>
          <x:t xml:space="preserve">https://m.titan007.com/analy/Analysis/3082992.htm</x:t>
        </x:is>
      </x:c>
      <x:c r="U875" s="647" t="str">
        <x:f>IF(Q875="","",IF(Q875="待结算","待结算",IF(Q875="红","黑",IF(Q875="半红","半黑",IF(Q875="走","走",IF(Q875="半黑","半红","红"))))))</x:f>
        <x:v>走</x:v>
      </x:c>
      <x:c r="V875" s="604" t="n">
        <x:f>IF(OR(Q875="",Q875="待结算"),"",IF(L875=LEFT(F875,FIND(" vs ",F875)-1),I875,G875))</x:f>
        <x:v>0.73</x:v>
      </x:c>
      <x:c r="W875" s="604" t="n">
        <x:f>IF(OR(U875="",U875="待结算"),"",IF(U875="红",V875,IF(U875="半红",V875*0.5,IF(U875="走",0,IF(U875="半黑",-0.5,-1)))))</x:f>
        <x:v>0</x:v>
      </x:c>
      <x:c r="X875" s="604" t="inlineStr">
        <x:is>
          <x:t xml:space="preserve">3082992</x:t>
        </x:is>
      </x:c>
      <x:c r="Y875" s="604" t="inlineStr">
        <x:is>
          <x:t xml:space="preserve">V4</x:t>
        </x:is>
      </x:c>
      <x:c r="Z875" s="604" t="inlineStr">
        <x:is>
          <x:t xml:space="preserve">prior-2026-10-04-v1</x:t>
        </x:is>
      </x:c>
      <x:c r="AA875" s="604" t="inlineStr">
        <x:is>
          <x:t xml:space="preserve">C</x:t>
        </x:is>
      </x:c>
      <x:c r="AB875" s="604" t="n">
        <x:v>0.5053729783731276</x:v>
      </x:c>
      <x:c r="AC875" s="604" t="n"/>
      <x:c r="AD875" s="604" t="n"/>
      <x:c r="AE875" s="604" t="n">
        <x:v>0.2521323267742921</x:v>
      </x:c>
      <x:c r="AF875" s="604" t="n">
        <x:v>0.2424946948525804</x:v>
      </x:c>
      <x:c r="AG875" s="604" t="n">
        <x:v>0.0003614159726566812</x:v>
      </x:c>
      <x:c r="AH875" s="604" t="n"/>
      <x:c r="AI875" s="604" t="n"/>
      <x:c r="AJ875" s="604" t="n">
        <x:v>0.0003614159726566812</x:v>
      </x:c>
      <x:c r="AK875" s="604" t="n"/>
      <x:c r="AL875" s="604" t="n"/>
      <x:c r="AM875" s="604" t="n"/>
      <x:c r="AN875" s="604" t="inlineStr">
        <x:is>
          <x:t xml:space="preserve">EVALUATED</x:t>
        </x:is>
      </x:c>
      <x:c r="AO875" s="604" t="inlineStr">
        <x:is>
          <x:t xml:space="preserve">EDGE_BELOW_UNCERTAINTY_THRESHOLD、BUCKET_PRIOR_ONLY、INTENT_INTERPRETATION_ONLY、FFL_OPTIONAL、EXPERT_MARKET</x:t>
        </x:is>
      </x:c>
      <x:c r="AP875" s="604" t="inlineStr">
        <x:is>
          <x:t xml:space="preserve">a9c2cecbf7e82b884931</x:t>
        </x:is>
      </x:c>
      <x:c r="AQ875" s="604" t="n">
        <x:v>0</x:v>
      </x:c>
      <x:c r="AR875" s="604" t="n"/>
      <x:c r="AS875" s="604" t="n">
        <x:v>0</x:v>
      </x:c>
      <x:c r="AT875" s="604" t="n">
        <x:v>0</x:v>
      </x:c>
      <x:c r="AU875" s="604" t="n">
        <x:v>0.73</x:v>
      </x:c>
      <x:c r="AV875" s="604" t="n">
        <x:v>0.97</x:v>
      </x:c>
      <x:c r="AW875" s="604" t="n">
        <x:v>46299.08204853009</x:v>
      </x:c>
      <x:c r="AX875" s="604" t="inlineStr">
        <x:is>
          <x:t xml:space="preserve">https://simondongxiao.github.io/odds/v4/</x:t>
        </x:is>
      </x:c>
      <x:c r="AY875" s="604" t="inlineStr">
        <x:is>
          <x:t xml:space="preserve">V4 Shadow Only；real_money=false；P(EV&gt;0)不是比赛胜率</x:t>
        </x:is>
      </x:c>
    </x:row>
    <x:row r="876" ht="22" customHeight="1">
      <x:c r="A876" s="604" t="inlineStr">
        <x:is>
          <x:t xml:space="preserve">2026-10-04</x:t>
        </x:is>
      </x:c>
      <x:c r="B876" s="604" t="inlineStr">
        <x:is>
          <x:t xml:space="preserve">2026-10-04 17:30</x:t>
        </x:is>
      </x:c>
      <x:c r="C876" s="604" t="str">
        <x:v>欧洲非五大系列</x:v>
      </x:c>
      <x:c r="D876" s="604" t="inlineStr">
        <x:is>
          <x:t xml:space="preserve">联赛</x:t>
        </x:is>
      </x:c>
      <x:c r="E876" s="604" t="inlineStr">
        <x:is>
          <x:t xml:space="preserve">丹女超</x:t>
        </x:is>
      </x:c>
      <x:c r="F876" s="604" t="inlineStr">
        <x:is>
          <x:t xml:space="preserve">欧登塞女足 vs 约灵女足</x:t>
        </x:is>
      </x:c>
      <x:c r="G876" s="604" t="n">
        <x:v>0.92</x:v>
      </x:c>
      <x:c r="H876" s="604" t="n">
        <x:v>-1.5</x:v>
      </x:c>
      <x:c r="I876" s="604" t="n">
        <x:v>0.78</x:v>
      </x:c>
      <x:c r="J876" s="604" t="inlineStr">
        <x:is>
          <x:t xml:space="preserve">0.92/-1.5/0.78</x:t>
        </x:is>
      </x:c>
      <x:c r="K876" s="604" t="inlineStr">
        <x:is>
          <x:t xml:space="preserve">V4-B｜EV +0.9117</x:t>
        </x:is>
      </x:c>
      <x:c r="L876" s="604" t="inlineStr">
        <x:is>
          <x:t xml:space="preserve">欧登塞女足</x:t>
        </x:is>
      </x:c>
      <x:c r="M876" s="604" t="n">
        <x:v>0.9956906601417642</x:v>
      </x:c>
      <x:c r="N876" s="604" t="inlineStr">
        <x:is>
          <x:t xml:space="preserve">V4纸面入选-B</x:t>
        </x:is>
      </x:c>
      <x:c r="O876" s="604" t="inlineStr">
        <x:is>
          <x:t xml:space="preserve">0-3</x:t>
        </x:is>
      </x:c>
      <x:c r="P876" s="604" t="inlineStr">
        <x:is>
          <x:t xml:space="preserve">已结算</x:t>
        </x:is>
      </x:c>
      <x:c r="Q876" s="646" t="inlineStr">
        <x:is>
          <x:t xml:space="preserve">黑</x:t>
        </x:is>
      </x:c>
      <x:c r="R876" s="604" t="n">
        <x:v>0.92</x:v>
      </x:c>
      <x:c r="S876" s="604" t="n">
        <x:f>IF(OR(Q876="",Q876="待结算"),"",IF(Q876="红",R876,IF(Q876="半红",R876*0.5,IF(Q876="走",0,IF(Q876="半黑",-0.5,-1)))))</x:f>
        <x:v>-1</x:v>
      </x:c>
      <x:c r="T876" s="604" t="inlineStr">
        <x:is>
          <x:t xml:space="preserve">https://m.titan007.com/analy/Analysis/3040407.htm</x:t>
        </x:is>
      </x:c>
      <x:c r="U876" s="645" t="str">
        <x:f>IF(Q876="","",IF(Q876="待结算","待结算",IF(Q876="红","黑",IF(Q876="半红","半黑",IF(Q876="走","走",IF(Q876="半黑","半红","红"))))))</x:f>
        <x:v>红</x:v>
      </x:c>
      <x:c r="V876" s="604" t="n">
        <x:f>IF(OR(Q876="",Q876="待结算"),"",IF(L876=LEFT(F876,FIND(" vs ",F876)-1),I876,G876))</x:f>
        <x:v>0.78</x:v>
      </x:c>
      <x:c r="W876" s="604" t="n">
        <x:f>IF(OR(U876="",U876="待结算"),"",IF(U876="红",V876,IF(U876="半红",V876*0.5,IF(U876="走",0,IF(U876="半黑",-0.5,-1)))))</x:f>
        <x:v>0.78</x:v>
      </x:c>
      <x:c r="X876" s="604" t="inlineStr">
        <x:is>
          <x:t xml:space="preserve">3040407</x:t>
        </x:is>
      </x:c>
      <x:c r="Y876" s="604" t="inlineStr">
        <x:is>
          <x:t xml:space="preserve">V4</x:t>
        </x:is>
      </x:c>
      <x:c r="Z876" s="604" t="inlineStr">
        <x:is>
          <x:t xml:space="preserve">prior-2026-10-04-v1</x:t>
        </x:is>
      </x:c>
      <x:c r="AA876" s="604" t="inlineStr">
        <x:is>
          <x:t xml:space="preserve">B</x:t>
        </x:is>
      </x:c>
      <x:c r="AB876" s="604" t="n">
        <x:v>0.9956906601417642</x:v>
      </x:c>
      <x:c r="AC876" s="604" t="n"/>
      <x:c r="AD876" s="604" t="n"/>
      <x:c r="AE876" s="604" t="n"/>
      <x:c r="AF876" s="604" t="n">
        <x:v>0.004309339858235816</x:v>
      </x:c>
      <x:c r="AG876" s="604" t="n">
        <x:v>0.9117260674721873</x:v>
      </x:c>
      <x:c r="AH876" s="604" t="n"/>
      <x:c r="AI876" s="604" t="n"/>
      <x:c r="AJ876" s="604" t="n">
        <x:v>0.9117260674721873</x:v>
      </x:c>
      <x:c r="AK876" s="604" t="n"/>
      <x:c r="AL876" s="604" t="n"/>
      <x:c r="AM876" s="604" t="n"/>
      <x:c r="AN876" s="604" t="inlineStr">
        <x:is>
          <x:t xml:space="preserve">EVALUATED</x:t>
        </x:is>
      </x:c>
      <x:c r="AO876" s="604" t="inlineStr">
        <x:is>
          <x:t xml:space="preserve">RECEIVING_VALIDATED_EDGE、BUCKET_PRIOR_ONLY、INTENT_INTERPRETATION_ONLY、FFL_OPTIONAL、EXPERT_MARKET</x:t>
        </x:is>
      </x:c>
      <x:c r="AP876" s="604" t="inlineStr">
        <x:is>
          <x:t xml:space="preserve">745dbf4a72b05f12140c</x:t>
        </x:is>
      </x:c>
      <x:c r="AQ876" s="604" t="n">
        <x:v>1.5</x:v>
      </x:c>
      <x:c r="AR876" s="604" t="n">
        <x:v>0.92</x:v>
      </x:c>
      <x:c r="AS876" s="604" t="n">
        <x:v>-1.5</x:v>
      </x:c>
      <x:c r="AT876" s="604" t="n">
        <x:v>1.5</x:v>
      </x:c>
      <x:c r="AU876" s="604" t="n">
        <x:v>0.92</x:v>
      </x:c>
      <x:c r="AV876" s="604" t="n">
        <x:v>0.78</x:v>
      </x:c>
      <x:c r="AW876" s="604" t="n">
        <x:v>46299.08204853009</x:v>
      </x:c>
      <x:c r="AX876" s="604" t="inlineStr">
        <x:is>
          <x:t xml:space="preserve">https://simondongxiao.github.io/odds/v4/</x:t>
        </x:is>
      </x:c>
      <x:c r="AY876" s="604" t="inlineStr">
        <x:is>
          <x:t xml:space="preserve">V4 Shadow Only；real_money=false；P(EV&gt;0)不是比赛胜率</x:t>
        </x:is>
      </x:c>
    </x:row>
    <x:row r="877" ht="22" customHeight="1">
      <x:c r="A877" s="604" t="inlineStr">
        <x:is>
          <x:t xml:space="preserve">2026-10-04</x:t>
        </x:is>
      </x:c>
      <x:c r="B877" s="604" t="inlineStr">
        <x:is>
          <x:t xml:space="preserve">2026-10-04 17:30</x:t>
        </x:is>
      </x:c>
      <x:c r="C877" s="604" t="str">
        <x:v>欧洲非五大系列</x:v>
      </x:c>
      <x:c r="D877" s="604" t="inlineStr">
        <x:is>
          <x:t xml:space="preserve">联赛</x:t>
        </x:is>
      </x:c>
      <x:c r="E877" s="604" t="inlineStr">
        <x:is>
          <x:t xml:space="preserve">乌克甲</x:t>
        </x:is>
      </x:c>
      <x:c r="F877" s="604" t="inlineStr">
        <x:is>
          <x:t xml:space="preserve">高华尤夫卡B队 vs 亚历山德里亚</x:t>
        </x:is>
      </x:c>
      <x:c r="G877" s="604" t="n">
        <x:v>0.8</x:v>
      </x:c>
      <x:c r="H877" s="604" t="n">
        <x:v>-0.75</x:v>
      </x:c>
      <x:c r="I877" s="604" t="n">
        <x:v>0.9</x:v>
      </x:c>
      <x:c r="J877" s="604" t="inlineStr">
        <x:is>
          <x:t xml:space="preserve">0.8/-0.75/0.9</x:t>
        </x:is>
      </x:c>
      <x:c r="K877" s="604" t="inlineStr">
        <x:is>
          <x:t xml:space="preserve">V4-B｜EV +0.6378</x:t>
        </x:is>
      </x:c>
      <x:c r="L877" s="604" t="inlineStr">
        <x:is>
          <x:t xml:space="preserve">高华尤夫卡B队</x:t>
        </x:is>
      </x:c>
      <x:c r="M877" s="604" t="n">
        <x:v>0.9256375528000305</x:v>
      </x:c>
      <x:c r="N877" s="604" t="inlineStr">
        <x:is>
          <x:t xml:space="preserve">V4纸面入选-B</x:t>
        </x:is>
      </x:c>
      <x:c r="O877" s="604" t="inlineStr">
        <x:is>
          <x:t xml:space="preserve">0-2</x:t>
        </x:is>
      </x:c>
      <x:c r="P877" s="604" t="inlineStr">
        <x:is>
          <x:t xml:space="preserve">已结算</x:t>
        </x:is>
      </x:c>
      <x:c r="Q877" s="646" t="inlineStr">
        <x:is>
          <x:t xml:space="preserve">黑</x:t>
        </x:is>
      </x:c>
      <x:c r="R877" s="604" t="n">
        <x:v>0.8</x:v>
      </x:c>
      <x:c r="S877" s="604" t="n">
        <x:f>IF(OR(Q877="",Q877="待结算"),"",IF(Q877="红",R877,IF(Q877="半红",R877*0.5,IF(Q877="走",0,IF(Q877="半黑",-0.5,-1)))))</x:f>
        <x:v>-1</x:v>
      </x:c>
      <x:c r="T877" s="604" t="inlineStr">
        <x:is>
          <x:t xml:space="preserve">https://m.titan007.com/analy/Analysis/3035665.htm</x:t>
        </x:is>
      </x:c>
      <x:c r="U877" s="645" t="str">
        <x:f>IF(Q877="","",IF(Q877="待结算","待结算",IF(Q877="红","黑",IF(Q877="半红","半黑",IF(Q877="走","走",IF(Q877="半黑","半红","红"))))))</x:f>
        <x:v>红</x:v>
      </x:c>
      <x:c r="V877" s="604" t="n">
        <x:f>IF(OR(Q877="",Q877="待结算"),"",IF(L877=LEFT(F877,FIND(" vs ",F877)-1),I877,G877))</x:f>
        <x:v>0.9</x:v>
      </x:c>
      <x:c r="W877" s="604" t="n">
        <x:f>IF(OR(U877="",U877="待结算"),"",IF(U877="红",V877,IF(U877="半红",V877*0.5,IF(U877="走",0,IF(U877="半黑",-0.5,-1)))))</x:f>
        <x:v>0.9</x:v>
      </x:c>
      <x:c r="X877" s="604" t="inlineStr">
        <x:is>
          <x:t xml:space="preserve">3035665</x:t>
        </x:is>
      </x:c>
      <x:c r="Y877" s="604" t="inlineStr">
        <x:is>
          <x:t xml:space="preserve">V4</x:t>
        </x:is>
      </x:c>
      <x:c r="Z877" s="604" t="inlineStr">
        <x:is>
          <x:t xml:space="preserve">prior-2026-10-04-v1</x:t>
        </x:is>
      </x:c>
      <x:c r="AA877" s="604" t="inlineStr">
        <x:is>
          <x:t xml:space="preserve">B</x:t>
        </x:is>
      </x:c>
      <x:c r="AB877" s="604" t="n">
        <x:v>0.8862802619118844</x:v>
      </x:c>
      <x:c r="AC877" s="604" t="n"/>
      <x:c r="AD877" s="604" t="n"/>
      <x:c r="AE877" s="604" t="n">
        <x:v>0.08503823287871444</x:v>
      </x:c>
      <x:c r="AF877" s="604" t="n">
        <x:v>0.02868150520940123</x:v>
      </x:c>
      <x:c r="AG877" s="604" t="n">
        <x:v>0.637823587880749</x:v>
      </x:c>
      <x:c r="AH877" s="604" t="n"/>
      <x:c r="AI877" s="604" t="n"/>
      <x:c r="AJ877" s="604" t="n">
        <x:v>0.637823587880749</x:v>
      </x:c>
      <x:c r="AK877" s="604" t="n"/>
      <x:c r="AL877" s="604" t="n"/>
      <x:c r="AM877" s="604" t="n"/>
      <x:c r="AN877" s="604" t="inlineStr">
        <x:is>
          <x:t xml:space="preserve">EVALUATED</x:t>
        </x:is>
      </x:c>
      <x:c r="AO877" s="604" t="inlineStr">
        <x:is>
          <x:t xml:space="preserve">RECEIVING_VALIDATED_EDGE、BUCKET_PRIOR_ONLY、INTENT_INTERPRETATION_ONLY、FFL_OPTIONAL、EXPERT_MARKET</x:t>
        </x:is>
      </x:c>
      <x:c r="AP877" s="604" t="inlineStr">
        <x:is>
          <x:t xml:space="preserve">1226a91053cf9a5a6750</x:t>
        </x:is>
      </x:c>
      <x:c r="AQ877" s="604" t="n">
        <x:v>0.75</x:v>
      </x:c>
      <x:c r="AR877" s="604" t="n">
        <x:v>0.8</x:v>
      </x:c>
      <x:c r="AS877" s="604" t="n">
        <x:v>-0.75</x:v>
      </x:c>
      <x:c r="AT877" s="604" t="n">
        <x:v>0.75</x:v>
      </x:c>
      <x:c r="AU877" s="604" t="n">
        <x:v>0.8</x:v>
      </x:c>
      <x:c r="AV877" s="604" t="n">
        <x:v>0.9</x:v>
      </x:c>
      <x:c r="AW877" s="604" t="n">
        <x:v>46299.08204853009</x:v>
      </x:c>
      <x:c r="AX877" s="604" t="inlineStr">
        <x:is>
          <x:t xml:space="preserve">https://simondongxiao.github.io/odds/v4/</x:t>
        </x:is>
      </x:c>
      <x:c r="AY877" s="604" t="inlineStr">
        <x:is>
          <x:t xml:space="preserve">V4 Shadow Only；real_money=false；P(EV&gt;0)不是比赛胜率</x:t>
        </x:is>
      </x:c>
    </x:row>
    <x:row r="878" ht="22" customHeight="1">
      <x:c r="A878" s="604" t="inlineStr">
        <x:is>
          <x:t xml:space="preserve">2026-10-04</x:t>
        </x:is>
      </x:c>
      <x:c r="B878" s="604" t="inlineStr">
        <x:is>
          <x:t xml:space="preserve">2026-10-04 17:30</x:t>
        </x:is>
      </x:c>
      <x:c r="C878" s="604" t="str">
        <x:v>五大联赛非顶级联赛</x:v>
      </x:c>
      <x:c r="D878" s="604" t="inlineStr">
        <x:is>
          <x:t xml:space="preserve">联赛</x:t>
        </x:is>
      </x:c>
      <x:c r="E878" s="604" t="inlineStr">
        <x:is>
          <x:t xml:space="preserve">西丁</x:t>
        </x:is>
      </x:c>
      <x:c r="F878" s="604" t="inlineStr">
        <x:is>
          <x:t xml:space="preserve">曼彻格城 vs 艾曼沙</x:t>
        </x:is>
      </x:c>
      <x:c r="G878" s="604" t="n">
        <x:v>0.76</x:v>
      </x:c>
      <x:c r="H878" s="604" t="n">
        <x:v>0.75</x:v>
      </x:c>
      <x:c r="I878" s="604" t="n">
        <x:v>0.9399999999999999</x:v>
      </x:c>
      <x:c r="J878" s="604" t="inlineStr">
        <x:is>
          <x:t xml:space="preserve">0.76/0.75/0.94</x:t>
        </x:is>
      </x:c>
      <x:c r="K878" s="604" t="inlineStr">
        <x:is>
          <x:t xml:space="preserve">V4-C｜EV +0.1063</x:t>
        </x:is>
      </x:c>
      <x:c r="L878" s="604" t="inlineStr">
        <x:is>
          <x:t xml:space="preserve">曼彻格城</x:t>
        </x:is>
      </x:c>
      <x:c r="M878" s="604" t="n">
        <x:v>0.6375036899361306</x:v>
      </x:c>
      <x:c r="N878" s="604" t="inlineStr">
        <x:is>
          <x:t xml:space="preserve">V4纸面入选-C</x:t>
        </x:is>
      </x:c>
      <x:c r="O878" s="604" t="inlineStr">
        <x:is>
          <x:t xml:space="preserve">1-0</x:t>
        </x:is>
      </x:c>
      <x:c r="P878" s="604" t="inlineStr">
        <x:is>
          <x:t xml:space="preserve">已结算</x:t>
        </x:is>
      </x:c>
      <x:c r="Q878" s="649" t="inlineStr">
        <x:is>
          <x:t xml:space="preserve">半红</x:t>
        </x:is>
      </x:c>
      <x:c r="R878" s="604" t="n">
        <x:v>0.76</x:v>
      </x:c>
      <x:c r="S878" s="604" t="n">
        <x:f>IF(OR(Q878="",Q878="待结算"),"",IF(Q878="红",R878,IF(Q878="半红",R878*0.5,IF(Q878="走",0,IF(Q878="半黑",-0.5,-1)))))</x:f>
        <x:v>0.38</x:v>
      </x:c>
      <x:c r="T878" s="604" t="inlineStr">
        <x:is>
          <x:t xml:space="preserve">https://m.titan007.com/analy/Analysis/3060307.htm</x:t>
        </x:is>
      </x:c>
      <x:c r="U878" s="648" t="str">
        <x:f>IF(Q878="","",IF(Q878="待结算","待结算",IF(Q878="红","黑",IF(Q878="半红","半黑",IF(Q878="走","走",IF(Q878="半黑","半红","红"))))))</x:f>
        <x:v>半黑</x:v>
      </x:c>
      <x:c r="V878" s="604" t="n">
        <x:f>IF(OR(Q878="",Q878="待结算"),"",IF(L878=LEFT(F878,FIND(" vs ",F878)-1),I878,G878))</x:f>
        <x:v>0.94</x:v>
      </x:c>
      <x:c r="W878" s="604" t="n">
        <x:f>IF(OR(U878="",U878="待结算"),"",IF(U878="红",V878,IF(U878="半红",V878*0.5,IF(U878="走",0,IF(U878="半黑",-0.5,-1)))))</x:f>
        <x:v>-0.5</x:v>
      </x:c>
      <x:c r="X878" s="604" t="inlineStr">
        <x:is>
          <x:t xml:space="preserve">3060307</x:t>
        </x:is>
      </x:c>
      <x:c r="Y878" s="604" t="inlineStr">
        <x:is>
          <x:t xml:space="preserve">V4</x:t>
        </x:is>
      </x:c>
      <x:c r="Z878" s="604" t="inlineStr">
        <x:is>
          <x:t xml:space="preserve">prior-2026-10-04-v1</x:t>
        </x:is>
      </x:c>
      <x:c r="AA878" s="604" t="inlineStr">
        <x:is>
          <x:t xml:space="preserve">C</x:t>
        </x:is>
      </x:c>
      <x:c r="AB878" s="604" t="n">
        <x:v>0.4268201180466504</x:v>
      </x:c>
      <x:c r="AC878" s="604" t="n">
        <x:v>0.2573228667322243</x:v>
      </x:c>
      <x:c r="AD878" s="604" t="n"/>
      <x:c r="AE878" s="604" t="n"/>
      <x:c r="AF878" s="604" t="n">
        <x:v>0.3158570152211254</x:v>
      </x:c>
      <x:c r="AG878" s="604" t="n">
        <x:v>0.1063089638525742</x:v>
      </x:c>
      <x:c r="AH878" s="604" t="n"/>
      <x:c r="AI878" s="604" t="n"/>
      <x:c r="AJ878" s="604" t="n">
        <x:v>0.1063089638525742</x:v>
      </x:c>
      <x:c r="AK878" s="604" t="n"/>
      <x:c r="AL878" s="604" t="n"/>
      <x:c r="AM878" s="604" t="n"/>
      <x:c r="AN878" s="604" t="inlineStr">
        <x:is>
          <x:t xml:space="preserve">EVALUATED</x:t>
        </x:is>
      </x:c>
      <x:c r="AO878" s="604" t="inlineStr">
        <x:is>
          <x:t xml:space="preserve">GIVING_VALIDATED_EDGE、BUCKET_PRIOR_ONLY、INTENT_INTERPRETATION_ONLY、FFL_OPTIONAL、EXPERT_MARKET</x:t>
        </x:is>
      </x:c>
      <x:c r="AP878" s="604" t="inlineStr">
        <x:is>
          <x:t xml:space="preserve">b61684fb23948546b63a</x:t>
        </x:is>
      </x:c>
      <x:c r="AQ878" s="604" t="n">
        <x:v>-0.75</x:v>
      </x:c>
      <x:c r="AR878" s="604" t="n">
        <x:v>0.76</x:v>
      </x:c>
      <x:c r="AS878" s="604" t="n">
        <x:v>0.75</x:v>
      </x:c>
      <x:c r="AT878" s="604" t="n">
        <x:v>-0.75</x:v>
      </x:c>
      <x:c r="AU878" s="604" t="n">
        <x:v>0.76</x:v>
      </x:c>
      <x:c r="AV878" s="604" t="n">
        <x:v>0.9399999999999999</x:v>
      </x:c>
      <x:c r="AW878" s="604" t="n">
        <x:v>46299.08204853009</x:v>
      </x:c>
      <x:c r="AX878" s="604" t="inlineStr">
        <x:is>
          <x:t xml:space="preserve">https://simondongxiao.github.io/odds/v4/</x:t>
        </x:is>
      </x:c>
      <x:c r="AY878" s="604" t="inlineStr">
        <x:is>
          <x:t xml:space="preserve">V4 Shadow Only；real_money=false；P(EV&gt;0)不是比赛胜率</x:t>
        </x:is>
      </x:c>
    </x:row>
    <x:row r="879" ht="22" customHeight="1">
      <x:c r="A879" s="604" t="inlineStr">
        <x:is>
          <x:t xml:space="preserve">2026-10-04</x:t>
        </x:is>
      </x:c>
      <x:c r="B879" s="604" t="inlineStr">
        <x:is>
          <x:t xml:space="preserve">2026-10-04 17:45</x:t>
        </x:is>
      </x:c>
      <x:c r="C879" s="604" t="str">
        <x:v>五大联赛非顶级联赛</x:v>
      </x:c>
      <x:c r="D879" s="604" t="inlineStr">
        <x:is>
          <x:t xml:space="preserve">联赛</x:t>
        </x:is>
      </x:c>
      <x:c r="E879" s="604" t="inlineStr">
        <x:is>
          <x:t xml:space="preserve">西协乙3</x:t>
        </x:is>
      </x:c>
      <x:c r="F879" s="604" t="inlineStr">
        <x:is>
          <x:t xml:space="preserve">乌德卡斯特罗尼 vs 穆尔西亚城B队</x:t>
        </x:is>
      </x:c>
      <x:c r="G879" s="604" t="n">
        <x:v>0.96</x:v>
      </x:c>
      <x:c r="H879" s="604" t="n">
        <x:v>0.5</x:v>
      </x:c>
      <x:c r="I879" s="604" t="n">
        <x:v>0.74</x:v>
      </x:c>
      <x:c r="J879" s="604" t="inlineStr">
        <x:is>
          <x:t xml:space="preserve">0.96/0.5/0.74</x:t>
        </x:is>
      </x:c>
      <x:c r="K879" s="604" t="inlineStr">
        <x:is>
          <x:t xml:space="preserve">V4-B｜EV +0.1896</x:t>
        </x:is>
      </x:c>
      <x:c r="L879" s="604" t="inlineStr">
        <x:is>
          <x:t xml:space="preserve">乌德卡斯特罗尼</x:t>
        </x:is>
      </x:c>
      <x:c r="M879" s="604" t="n">
        <x:v>0.6069221634224599</x:v>
      </x:c>
      <x:c r="N879" s="604" t="inlineStr">
        <x:is>
          <x:t xml:space="preserve">V4纸面入选-B</x:t>
        </x:is>
      </x:c>
      <x:c r="O879" s="604" t="inlineStr">
        <x:is>
          <x:t xml:space="preserve">3-0</x:t>
        </x:is>
      </x:c>
      <x:c r="P879" s="604" t="inlineStr">
        <x:is>
          <x:t xml:space="preserve">已结算</x:t>
        </x:is>
      </x:c>
      <x:c r="Q879" s="645" t="inlineStr">
        <x:is>
          <x:t xml:space="preserve">红</x:t>
        </x:is>
      </x:c>
      <x:c r="R879" s="604" t="n">
        <x:v>0.96</x:v>
      </x:c>
      <x:c r="S879" s="604" t="n">
        <x:f>IF(OR(Q879="",Q879="待结算"),"",IF(Q879="红",R879,IF(Q879="半红",R879*0.5,IF(Q879="走",0,IF(Q879="半黑",-0.5,-1)))))</x:f>
        <x:v>0.96</x:v>
      </x:c>
      <x:c r="T879" s="604" t="inlineStr">
        <x:is>
          <x:t xml:space="preserve">https://m.titan007.com/analy/Analysis/3015894.htm</x:t>
        </x:is>
      </x:c>
      <x:c r="U879" s="646" t="str">
        <x:f>IF(Q879="","",IF(Q879="待结算","待结算",IF(Q879="红","黑",IF(Q879="半红","半黑",IF(Q879="走","走",IF(Q879="半黑","半红","红"))))))</x:f>
        <x:v>黑</x:v>
      </x:c>
      <x:c r="V879" s="604" t="n">
        <x:f>IF(OR(Q879="",Q879="待结算"),"",IF(L879=LEFT(F879,FIND(" vs ",F879)-1),I879,G879))</x:f>
        <x:v>0.74</x:v>
      </x:c>
      <x:c r="W879" s="604" t="n">
        <x:f>IF(OR(U879="",U879="待结算"),"",IF(U879="红",V879,IF(U879="半红",V879*0.5,IF(U879="走",0,IF(U879="半黑",-0.5,-1)))))</x:f>
        <x:v>-1</x:v>
      </x:c>
      <x:c r="X879" s="604" t="inlineStr">
        <x:is>
          <x:t xml:space="preserve">3015894</x:t>
        </x:is>
      </x:c>
      <x:c r="Y879" s="604" t="inlineStr">
        <x:is>
          <x:t xml:space="preserve">V4</x:t>
        </x:is>
      </x:c>
      <x:c r="Z879" s="604" t="inlineStr">
        <x:is>
          <x:t xml:space="preserve">prior-2026-10-04-v1</x:t>
        </x:is>
      </x:c>
      <x:c r="AA879" s="604" t="inlineStr">
        <x:is>
          <x:t xml:space="preserve">B</x:t>
        </x:is>
      </x:c>
      <x:c r="AB879" s="604" t="n">
        <x:v>0.6069221634224599</x:v>
      </x:c>
      <x:c r="AC879" s="604" t="n"/>
      <x:c r="AD879" s="604" t="n"/>
      <x:c r="AE879" s="604" t="n"/>
      <x:c r="AF879" s="604" t="n">
        <x:v>0.3930778365775401</x:v>
      </x:c>
      <x:c r="AG879" s="604" t="n">
        <x:v>0.1895674403080213</x:v>
      </x:c>
      <x:c r="AH879" s="604" t="n"/>
      <x:c r="AI879" s="604" t="n"/>
      <x:c r="AJ879" s="604" t="n">
        <x:v>0.1895674403080213</x:v>
      </x:c>
      <x:c r="AK879" s="604" t="n"/>
      <x:c r="AL879" s="604" t="n"/>
      <x:c r="AM879" s="604" t="n"/>
      <x:c r="AN879" s="604" t="inlineStr">
        <x:is>
          <x:t xml:space="preserve">EVALUATED</x:t>
        </x:is>
      </x:c>
      <x:c r="AO879" s="604" t="inlineStr">
        <x:is>
          <x:t xml:space="preserve">GIVING_VALIDATED_EDGE、BUCKET_PRIOR_ONLY、INTENT_INTERPRETATION_ONLY、FFL_OPTIONAL、EXPERT_MARKET</x:t>
        </x:is>
      </x:c>
      <x:c r="AP879" s="604" t="inlineStr">
        <x:is>
          <x:t xml:space="preserve">fc4bf18de777b74fa586</x:t>
        </x:is>
      </x:c>
      <x:c r="AQ879" s="604" t="n">
        <x:v>-0.5</x:v>
      </x:c>
      <x:c r="AR879" s="604" t="n">
        <x:v>0.96</x:v>
      </x:c>
      <x:c r="AS879" s="604" t="n">
        <x:v>0.5</x:v>
      </x:c>
      <x:c r="AT879" s="604" t="n">
        <x:v>-0.5</x:v>
      </x:c>
      <x:c r="AU879" s="604" t="n">
        <x:v>0.96</x:v>
      </x:c>
      <x:c r="AV879" s="604" t="n">
        <x:v>0.74</x:v>
      </x:c>
      <x:c r="AW879" s="604" t="n">
        <x:v>46299.08204853009</x:v>
      </x:c>
      <x:c r="AX879" s="604" t="inlineStr">
        <x:is>
          <x:t xml:space="preserve">https://simondongxiao.github.io/odds/v4/</x:t>
        </x:is>
      </x:c>
      <x:c r="AY879" s="604" t="inlineStr">
        <x:is>
          <x:t xml:space="preserve">V4 Shadow Only；real_money=false；P(EV&gt;0)不是比赛胜率</x:t>
        </x:is>
      </x:c>
    </x:row>
    <x:row r="880" ht="22" customHeight="1">
      <x:c r="A880" s="604" t="inlineStr">
        <x:is>
          <x:t xml:space="preserve">2026-10-04</x:t>
        </x:is>
      </x:c>
      <x:c r="B880" s="604" t="inlineStr">
        <x:is>
          <x:t xml:space="preserve">2026-10-04 18:00</x:t>
        </x:is>
      </x:c>
      <x:c r="C880" s="604" t="str">
        <x:v>五大联赛非顶级联赛</x:v>
      </x:c>
      <x:c r="D880" s="604" t="inlineStr">
        <x:is>
          <x:t xml:space="preserve">联赛</x:t>
        </x:is>
      </x:c>
      <x:c r="E880" s="604" t="inlineStr">
        <x:is>
          <x:t xml:space="preserve">西协甲</x:t>
        </x:is>
      </x:c>
      <x:c r="F880" s="604" t="inlineStr">
        <x:is>
          <x:t xml:space="preserve">毕尔巴鄂竞技B队 vs 艾斯马度华</x:t>
        </x:is>
      </x:c>
      <x:c r="G880" s="604" t="n">
        <x:v>0.85</x:v>
      </x:c>
      <x:c r="H880" s="604" t="n">
        <x:v>0</x:v>
      </x:c>
      <x:c r="I880" s="604" t="n">
        <x:v>0.85</x:v>
      </x:c>
      <x:c r="J880" s="604" t="inlineStr">
        <x:is>
          <x:t xml:space="preserve">0.85/0/0.85</x:t>
        </x:is>
      </x:c>
      <x:c r="K880" s="604" t="inlineStr">
        <x:is>
          <x:t xml:space="preserve">V4-C｜EV +0.0127</x:t>
        </x:is>
      </x:c>
      <x:c r="L880" s="604" t="str"/>
      <x:c r="M880" s="604" t="n">
        <x:v>0.5474055885324637</x:v>
      </x:c>
      <x:c r="N880" s="604" t="inlineStr">
        <x:is>
          <x:t xml:space="preserve">V4纸面入选-C</x:t>
        </x:is>
      </x:c>
      <x:c r="O880" s="604" t="inlineStr">
        <x:is>
          <x:t xml:space="preserve">1-3</x:t>
        </x:is>
      </x:c>
      <x:c r="P880" s="604" t="inlineStr">
        <x:is>
          <x:t xml:space="preserve">已结算</x:t>
        </x:is>
      </x:c>
      <x:c r="Q880" s="646" t="inlineStr">
        <x:is>
          <x:t xml:space="preserve">黑</x:t>
        </x:is>
      </x:c>
      <x:c r="R880" s="604" t="n">
        <x:v>0.85</x:v>
      </x:c>
      <x:c r="S880" s="604" t="n">
        <x:f>IF(OR(Q880="",Q880="待结算"),"",IF(Q880="红",R880,IF(Q880="半红",R880*0.5,IF(Q880="走",0,IF(Q880="半黑",-0.5,-1)))))</x:f>
        <x:v>-1</x:v>
      </x:c>
      <x:c r="T880" s="604" t="inlineStr">
        <x:is>
          <x:t xml:space="preserve">https://m.titan007.com/analy/Analysis/3014534.htm</x:t>
        </x:is>
      </x:c>
      <x:c r="U880" s="645" t="str">
        <x:f>IF(Q880="","",IF(Q880="待结算","待结算",IF(Q880="红","黑",IF(Q880="半红","半黑",IF(Q880="走","走",IF(Q880="半黑","半红","红"))))))</x:f>
        <x:v>红</x:v>
      </x:c>
      <x:c r="V880" s="604" t="n">
        <x:f>IF(OR(Q880="",Q880="待结算"),"",IF(L880=LEFT(F880,FIND(" vs ",F880)-1),I880,G880))</x:f>
        <x:v>0.85</x:v>
      </x:c>
      <x:c r="W880" s="604" t="n">
        <x:f>IF(OR(U880="",U880="待结算"),"",IF(U880="红",V880,IF(U880="半红",V880*0.5,IF(U880="走",0,IF(U880="半黑",-0.5,-1)))))</x:f>
        <x:v>0.85</x:v>
      </x:c>
      <x:c r="X880" s="604" t="inlineStr">
        <x:is>
          <x:t xml:space="preserve">3014534</x:t>
        </x:is>
      </x:c>
      <x:c r="Y880" s="604" t="inlineStr">
        <x:is>
          <x:t xml:space="preserve">V4</x:t>
        </x:is>
      </x:c>
      <x:c r="Z880" s="604" t="inlineStr">
        <x:is>
          <x:t xml:space="preserve">prior-2026-10-04-v1</x:t>
        </x:is>
      </x:c>
      <x:c r="AA880" s="604" t="inlineStr">
        <x:is>
          <x:t xml:space="preserve">C</x:t>
        </x:is>
      </x:c>
      <x:c r="AB880" s="604" t="n">
        <x:v>0.5474055885324637</x:v>
      </x:c>
      <x:c r="AC880" s="604" t="n"/>
      <x:c r="AD880" s="604" t="n"/>
      <x:c r="AE880" s="604" t="n"/>
      <x:c r="AF880" s="604" t="n">
        <x:v>0.4525944114675363</x:v>
      </x:c>
      <x:c r="AG880" s="604" t="n">
        <x:v>0.01270033878505783</x:v>
      </x:c>
      <x:c r="AH880" s="604" t="n"/>
      <x:c r="AI880" s="604" t="n"/>
      <x:c r="AJ880" s="604" t="n">
        <x:v>0.01270033878505783</x:v>
      </x:c>
      <x:c r="AK880" s="604" t="n"/>
      <x:c r="AL880" s="604" t="n"/>
      <x:c r="AM880" s="604" t="n"/>
      <x:c r="AN880" s="604" t="inlineStr">
        <x:is>
          <x:t xml:space="preserve">EVALUATED</x:t>
        </x:is>
      </x:c>
      <x:c r="AO880" s="604" t="inlineStr">
        <x:is>
          <x:t xml:space="preserve">EDGE_BELOW_UNCERTAINTY_THRESHOLD、BUCKET_PRIOR_ONLY、INTENT_INTERPRETATION_ONLY、FFL_OPTIONAL、EXPERT_MARKET</x:t>
        </x:is>
      </x:c>
      <x:c r="AP880" s="604" t="inlineStr">
        <x:is>
          <x:t xml:space="preserve">b735f387e2de7d0ab484</x:t>
        </x:is>
      </x:c>
      <x:c r="AQ880" s="604" t="n">
        <x:v>0</x:v>
      </x:c>
      <x:c r="AR880" s="604" t="n"/>
      <x:c r="AS880" s="604" t="n">
        <x:v>0</x:v>
      </x:c>
      <x:c r="AT880" s="604" t="n">
        <x:v>0</x:v>
      </x:c>
      <x:c r="AU880" s="604" t="n">
        <x:v>0.85</x:v>
      </x:c>
      <x:c r="AV880" s="604" t="n">
        <x:v>0.85</x:v>
      </x:c>
      <x:c r="AW880" s="604" t="n">
        <x:v>46299.08204853009</x:v>
      </x:c>
      <x:c r="AX880" s="604" t="inlineStr">
        <x:is>
          <x:t xml:space="preserve">https://simondongxiao.github.io/odds/v4/</x:t>
        </x:is>
      </x:c>
      <x:c r="AY880" s="604" t="inlineStr">
        <x:is>
          <x:t xml:space="preserve">V4 Shadow Only；real_money=false；P(EV&gt;0)不是比赛胜率</x:t>
        </x:is>
      </x:c>
    </x:row>
    <x:row r="881" ht="22" customHeight="1">
      <x:c r="A881" s="604" t="inlineStr">
        <x:is>
          <x:t xml:space="preserve">2026-10-04</x:t>
        </x:is>
      </x:c>
      <x:c r="B881" s="604" t="inlineStr">
        <x:is>
          <x:t xml:space="preserve">2026-10-04 18:00</x:t>
        </x:is>
      </x:c>
      <x:c r="C881" s="604" t="str">
        <x:v>五大联赛非顶级联赛</x:v>
      </x:c>
      <x:c r="D881" s="604" t="inlineStr">
        <x:is>
          <x:t xml:space="preserve">联赛</x:t>
        </x:is>
      </x:c>
      <x:c r="E881" s="604" t="inlineStr">
        <x:is>
          <x:t xml:space="preserve">西协甲</x:t>
        </x:is>
      </x:c>
      <x:c r="F881" s="604" t="inlineStr">
        <x:is>
          <x:t xml:space="preserve">洛格朗尼斯 vs 拉科鲁尼亚B队</x:t>
        </x:is>
      </x:c>
      <x:c r="G881" s="604" t="n">
        <x:v>0.74</x:v>
      </x:c>
      <x:c r="H881" s="604" t="n">
        <x:v>0.75</x:v>
      </x:c>
      <x:c r="I881" s="604" t="n">
        <x:v>0.96</x:v>
      </x:c>
      <x:c r="J881" s="604" t="inlineStr">
        <x:is>
          <x:t xml:space="preserve">0.74/0.75/0.96</x:t>
        </x:is>
      </x:c>
      <x:c r="K881" s="604" t="inlineStr">
        <x:is>
          <x:t xml:space="preserve">V4-B｜EV +0.1246</x:t>
        </x:is>
      </x:c>
      <x:c r="L881" s="604" t="inlineStr">
        <x:is>
          <x:t xml:space="preserve">洛格朗尼斯</x:t>
        </x:is>
      </x:c>
      <x:c r="M881" s="604" t="n">
        <x:v>0.6568489938544674</x:v>
      </x:c>
      <x:c r="N881" s="604" t="inlineStr">
        <x:is>
          <x:t xml:space="preserve">V4纸面入选-B</x:t>
        </x:is>
      </x:c>
      <x:c r="O881" s="604" t="inlineStr">
        <x:is>
          <x:t xml:space="preserve">2-1</x:t>
        </x:is>
      </x:c>
      <x:c r="P881" s="604" t="inlineStr">
        <x:is>
          <x:t xml:space="preserve">已结算</x:t>
        </x:is>
      </x:c>
      <x:c r="Q881" s="649" t="inlineStr">
        <x:is>
          <x:t xml:space="preserve">半红</x:t>
        </x:is>
      </x:c>
      <x:c r="R881" s="604" t="n">
        <x:v>0.74</x:v>
      </x:c>
      <x:c r="S881" s="604" t="n">
        <x:f>IF(OR(Q881="",Q881="待结算"),"",IF(Q881="红",R881,IF(Q881="半红",R881*0.5,IF(Q881="走",0,IF(Q881="半黑",-0.5,-1)))))</x:f>
        <x:v>0.37</x:v>
      </x:c>
      <x:c r="T881" s="604" t="inlineStr">
        <x:is>
          <x:t xml:space="preserve">https://m.titan007.com/analy/Analysis/3014541.htm</x:t>
        </x:is>
      </x:c>
      <x:c r="U881" s="648" t="str">
        <x:f>IF(Q881="","",IF(Q881="待结算","待结算",IF(Q881="红","黑",IF(Q881="半红","半黑",IF(Q881="走","走",IF(Q881="半黑","半红","红"))))))</x:f>
        <x:v>半黑</x:v>
      </x:c>
      <x:c r="V881" s="604" t="n">
        <x:f>IF(OR(Q881="",Q881="待结算"),"",IF(L881=LEFT(F881,FIND(" vs ",F881)-1),I881,G881))</x:f>
        <x:v>0.96</x:v>
      </x:c>
      <x:c r="W881" s="604" t="n">
        <x:f>IF(OR(U881="",U881="待结算"),"",IF(U881="红",V881,IF(U881="半红",V881*0.5,IF(U881="走",0,IF(U881="半黑",-0.5,-1)))))</x:f>
        <x:v>-0.5</x:v>
      </x:c>
      <x:c r="X881" s="604" t="inlineStr">
        <x:is>
          <x:t xml:space="preserve">3014541</x:t>
        </x:is>
      </x:c>
      <x:c r="Y881" s="604" t="inlineStr">
        <x:is>
          <x:t xml:space="preserve">V4</x:t>
        </x:is>
      </x:c>
      <x:c r="Z881" s="604" t="inlineStr">
        <x:is>
          <x:t xml:space="preserve">prior-2026-10-04-v1</x:t>
        </x:is>
      </x:c>
      <x:c r="AA881" s="604" t="inlineStr">
        <x:is>
          <x:t xml:space="preserve">B</x:t>
        </x:is>
      </x:c>
      <x:c r="AB881" s="604" t="n">
        <x:v>0.4443786213735717</x:v>
      </x:c>
      <x:c r="AC881" s="604" t="n">
        <x:v>0.2564752409772819</x:v>
      </x:c>
      <x:c r="AD881" s="604" t="n"/>
      <x:c r="AE881" s="604" t="n"/>
      <x:c r="AF881" s="604" t="n">
        <x:v>0.2991461376491465</x:v>
      </x:c>
      <x:c r="AG881" s="604" t="n">
        <x:v>0.1245898813288908</x:v>
      </x:c>
      <x:c r="AH881" s="604" t="n"/>
      <x:c r="AI881" s="604" t="n"/>
      <x:c r="AJ881" s="604" t="n">
        <x:v>0.1245898813288908</x:v>
      </x:c>
      <x:c r="AK881" s="604" t="n"/>
      <x:c r="AL881" s="604" t="n"/>
      <x:c r="AM881" s="604" t="n"/>
      <x:c r="AN881" s="604" t="inlineStr">
        <x:is>
          <x:t xml:space="preserve">EVALUATED</x:t>
        </x:is>
      </x:c>
      <x:c r="AO881" s="604" t="inlineStr">
        <x:is>
          <x:t xml:space="preserve">GIVING_VALIDATED_EDGE、BUCKET_PRIOR_ONLY、INTENT_INTERPRETATION_ONLY、FFL_OPTIONAL、EXPERT_MARKET</x:t>
        </x:is>
      </x:c>
      <x:c r="AP881" s="604" t="inlineStr">
        <x:is>
          <x:t xml:space="preserve">381c2d4cf469f9128928</x:t>
        </x:is>
      </x:c>
      <x:c r="AQ881" s="604" t="n">
        <x:v>-0.75</x:v>
      </x:c>
      <x:c r="AR881" s="604" t="n">
        <x:v>0.74</x:v>
      </x:c>
      <x:c r="AS881" s="604" t="n">
        <x:v>0.75</x:v>
      </x:c>
      <x:c r="AT881" s="604" t="n">
        <x:v>-0.75</x:v>
      </x:c>
      <x:c r="AU881" s="604" t="n">
        <x:v>0.74</x:v>
      </x:c>
      <x:c r="AV881" s="604" t="n">
        <x:v>0.96</x:v>
      </x:c>
      <x:c r="AW881" s="604" t="n">
        <x:v>46299.08204853009</x:v>
      </x:c>
      <x:c r="AX881" s="604" t="inlineStr">
        <x:is>
          <x:t xml:space="preserve">https://simondongxiao.github.io/odds/v4/</x:t>
        </x:is>
      </x:c>
      <x:c r="AY881" s="604" t="inlineStr">
        <x:is>
          <x:t xml:space="preserve">V4 Shadow Only；real_money=false；P(EV&gt;0)不是比赛胜率</x:t>
        </x:is>
      </x:c>
    </x:row>
    <x:row r="882" ht="22" customHeight="1">
      <x:c r="A882" s="604" t="inlineStr">
        <x:is>
          <x:t xml:space="preserve">2026-10-04</x:t>
        </x:is>
      </x:c>
      <x:c r="B882" s="604" t="inlineStr">
        <x:is>
          <x:t xml:space="preserve">2026-10-04 18:00</x:t>
        </x:is>
      </x:c>
      <x:c r="C882" s="604" t="str">
        <x:v>五大联赛非顶级联赛</x:v>
      </x:c>
      <x:c r="D882" s="604" t="inlineStr">
        <x:is>
          <x:t xml:space="preserve">联赛</x:t>
        </x:is>
      </x:c>
      <x:c r="E882" s="604" t="inlineStr">
        <x:is>
          <x:t xml:space="preserve">西协甲</x:t>
        </x:is>
      </x:c>
      <x:c r="F882" s="604" t="inlineStr">
        <x:is>
          <x:t xml:space="preserve">穆尔西亚 vs 塔拉戈纳</x:t>
        </x:is>
      </x:c>
      <x:c r="G882" s="604" t="n">
        <x:v>0.88</x:v>
      </x:c>
      <x:c r="H882" s="604" t="n">
        <x:v>0</x:v>
      </x:c>
      <x:c r="I882" s="604" t="n">
        <x:v>0.82</x:v>
      </x:c>
      <x:c r="J882" s="604" t="inlineStr">
        <x:is>
          <x:t xml:space="preserve">0.88/0/0.82</x:t>
        </x:is>
      </x:c>
      <x:c r="K882" s="604" t="inlineStr">
        <x:is>
          <x:t xml:space="preserve">V4-C｜EV +0.0344</x:t>
        </x:is>
      </x:c>
      <x:c r="L882" s="604" t="str"/>
      <x:c r="M882" s="604" t="n">
        <x:v>0.5528731243074093</x:v>
      </x:c>
      <x:c r="N882" s="604" t="inlineStr">
        <x:is>
          <x:t xml:space="preserve">V4纸面入选-C</x:t>
        </x:is>
      </x:c>
      <x:c r="O882" s="604" t="inlineStr">
        <x:is>
          <x:t xml:space="preserve">2-0</x:t>
        </x:is>
      </x:c>
      <x:c r="P882" s="604" t="inlineStr">
        <x:is>
          <x:t xml:space="preserve">已结算</x:t>
        </x:is>
      </x:c>
      <x:c r="Q882" s="645" t="inlineStr">
        <x:is>
          <x:t xml:space="preserve">红</x:t>
        </x:is>
      </x:c>
      <x:c r="R882" s="604" t="n">
        <x:v>0.82</x:v>
      </x:c>
      <x:c r="S882" s="604" t="n">
        <x:f>IF(OR(Q882="",Q882="待结算"),"",IF(Q882="红",R882,IF(Q882="半红",R882*0.5,IF(Q882="走",0,IF(Q882="半黑",-0.5,-1)))))</x:f>
        <x:v>0.82</x:v>
      </x:c>
      <x:c r="T882" s="604" t="inlineStr">
        <x:is>
          <x:t xml:space="preserve">https://m.titan007.com/analy/Analysis/3014919.htm</x:t>
        </x:is>
      </x:c>
      <x:c r="U882" s="646" t="str">
        <x:f>IF(Q882="","",IF(Q882="待结算","待结算",IF(Q882="红","黑",IF(Q882="半红","半黑",IF(Q882="走","走",IF(Q882="半黑","半红","红"))))))</x:f>
        <x:v>黑</x:v>
      </x:c>
      <x:c r="V882" s="604" t="n">
        <x:f>IF(OR(Q882="",Q882="待结算"),"",IF(L882=LEFT(F882,FIND(" vs ",F882)-1),I882,G882))</x:f>
        <x:v>0.88</x:v>
      </x:c>
      <x:c r="W882" s="604" t="n">
        <x:f>IF(OR(U882="",U882="待结算"),"",IF(U882="红",V882,IF(U882="半红",V882*0.5,IF(U882="走",0,IF(U882="半黑",-0.5,-1)))))</x:f>
        <x:v>-1</x:v>
      </x:c>
      <x:c r="X882" s="604" t="inlineStr">
        <x:is>
          <x:t xml:space="preserve">3014919</x:t>
        </x:is>
      </x:c>
      <x:c r="Y882" s="604" t="inlineStr">
        <x:is>
          <x:t xml:space="preserve">V4</x:t>
        </x:is>
      </x:c>
      <x:c r="Z882" s="604" t="inlineStr">
        <x:is>
          <x:t xml:space="preserve">prior-2026-10-04-v1</x:t>
        </x:is>
      </x:c>
      <x:c r="AA882" s="604" t="inlineStr">
        <x:is>
          <x:t xml:space="preserve">C</x:t>
        </x:is>
      </x:c>
      <x:c r="AB882" s="604" t="n">
        <x:v>0.3543182486927572</x:v>
      </x:c>
      <x:c r="AC882" s="604" t="n">
        <x:v>0.2557258188149902</x:v>
      </x:c>
      <x:c r="AD882" s="604" t="n"/>
      <x:c r="AE882" s="604" t="n"/>
      <x:c r="AF882" s="604" t="n">
        <x:v>0.3899559324922526</x:v>
      </x:c>
      <x:c r="AG882" s="604" t="n">
        <x:v>0.03436348663596939</x:v>
      </x:c>
      <x:c r="AH882" s="604" t="n"/>
      <x:c r="AI882" s="604" t="n"/>
      <x:c r="AJ882" s="604" t="n">
        <x:v>0.03436348663596939</x:v>
      </x:c>
      <x:c r="AK882" s="604" t="n"/>
      <x:c r="AL882" s="604" t="n"/>
      <x:c r="AM882" s="604" t="n"/>
      <x:c r="AN882" s="604" t="inlineStr">
        <x:is>
          <x:t xml:space="preserve">EVALUATED</x:t>
        </x:is>
      </x:c>
      <x:c r="AO882" s="604" t="inlineStr">
        <x:is>
          <x:t xml:space="preserve">EDGE_BELOW_UNCERTAINTY_THRESHOLD、BUCKET_PRIOR_ONLY、INTENT_INTERPRETATION_ONLY、FFL_OPTIONAL、EXPERT_MARKET</x:t>
        </x:is>
      </x:c>
      <x:c r="AP882" s="604" t="inlineStr">
        <x:is>
          <x:t xml:space="preserve">395110d87fbd86ece407</x:t>
        </x:is>
      </x:c>
      <x:c r="AQ882" s="604" t="n">
        <x:v>0</x:v>
      </x:c>
      <x:c r="AR882" s="604" t="n"/>
      <x:c r="AS882" s="604" t="n">
        <x:v>0</x:v>
      </x:c>
      <x:c r="AT882" s="604" t="n">
        <x:v>0</x:v>
      </x:c>
      <x:c r="AU882" s="604" t="n">
        <x:v>0.88</x:v>
      </x:c>
      <x:c r="AV882" s="604" t="n">
        <x:v>0.82</x:v>
      </x:c>
      <x:c r="AW882" s="604" t="n">
        <x:v>46299.08204853009</x:v>
      </x:c>
      <x:c r="AX882" s="604" t="inlineStr">
        <x:is>
          <x:t xml:space="preserve">https://simondongxiao.github.io/odds/v4/</x:t>
        </x:is>
      </x:c>
      <x:c r="AY882" s="604" t="inlineStr">
        <x:is>
          <x:t xml:space="preserve">V4 Shadow Only；real_money=false；P(EV&gt;0)不是比赛胜率</x:t>
        </x:is>
      </x:c>
    </x:row>
    <x:row r="883" ht="22" customHeight="1">
      <x:c r="A883" s="604" t="inlineStr">
        <x:is>
          <x:t xml:space="preserve">2026-10-04</x:t>
        </x:is>
      </x:c>
      <x:c r="B883" s="604" t="inlineStr">
        <x:is>
          <x:t xml:space="preserve">2026-10-04 18:00</x:t>
        </x:is>
      </x:c>
      <x:c r="C883" s="604" t="str">
        <x:v>五大联赛非顶级联赛</x:v>
      </x:c>
      <x:c r="D883" s="604" t="inlineStr">
        <x:is>
          <x:t xml:space="preserve">联赛</x:t>
        </x:is>
      </x:c>
      <x:c r="E883" s="604" t="inlineStr">
        <x:is>
          <x:t xml:space="preserve">西协甲</x:t>
        </x:is>
      </x:c>
      <x:c r="F883" s="604" t="inlineStr">
        <x:is>
          <x:t xml:space="preserve">比利亚雷亚尔B队 vs 伊维萨</x:t>
        </x:is>
      </x:c>
      <x:c r="G883" s="604" t="n">
        <x:v>0.78</x:v>
      </x:c>
      <x:c r="H883" s="604" t="n">
        <x:v>0.25</x:v>
      </x:c>
      <x:c r="I883" s="604" t="n">
        <x:v>0.92</x:v>
      </x:c>
      <x:c r="J883" s="604" t="inlineStr">
        <x:is>
          <x:t xml:space="preserve">0.78/0.25/0.92</x:t>
        </x:is>
      </x:c>
      <x:c r="K883" s="604" t="inlineStr">
        <x:is>
          <x:t xml:space="preserve">V4-B｜EV +0.1261</x:t>
        </x:is>
      </x:c>
      <x:c r="L883" s="604" t="inlineStr">
        <x:is>
          <x:t xml:space="preserve">比利亚雷亚尔B队</x:t>
        </x:is>
      </x:c>
      <x:c r="M883" s="604" t="n">
        <x:v>0.6422339428650073</x:v>
      </x:c>
      <x:c r="N883" s="604" t="inlineStr">
        <x:is>
          <x:t xml:space="preserve">V4纸面入选-B</x:t>
        </x:is>
      </x:c>
      <x:c r="O883" s="604" t="inlineStr">
        <x:is>
          <x:t xml:space="preserve">0-1</x:t>
        </x:is>
      </x:c>
      <x:c r="P883" s="604" t="inlineStr">
        <x:is>
          <x:t xml:space="preserve">已结算</x:t>
        </x:is>
      </x:c>
      <x:c r="Q883" s="646" t="inlineStr">
        <x:is>
          <x:t xml:space="preserve">黑</x:t>
        </x:is>
      </x:c>
      <x:c r="R883" s="604" t="n">
        <x:v>0.78</x:v>
      </x:c>
      <x:c r="S883" s="604" t="n">
        <x:f>IF(OR(Q883="",Q883="待结算"),"",IF(Q883="红",R883,IF(Q883="半红",R883*0.5,IF(Q883="走",0,IF(Q883="半黑",-0.5,-1)))))</x:f>
        <x:v>-1</x:v>
      </x:c>
      <x:c r="T883" s="604" t="inlineStr">
        <x:is>
          <x:t xml:space="preserve">https://m.titan007.com/analy/Analysis/3014922.htm</x:t>
        </x:is>
      </x:c>
      <x:c r="U883" s="645" t="str">
        <x:f>IF(Q883="","",IF(Q883="待结算","待结算",IF(Q883="红","黑",IF(Q883="半红","半黑",IF(Q883="走","走",IF(Q883="半黑","半红","红"))))))</x:f>
        <x:v>红</x:v>
      </x:c>
      <x:c r="V883" s="604" t="n">
        <x:f>IF(OR(Q883="",Q883="待结算"),"",IF(L883=LEFT(F883,FIND(" vs ",F883)-1),I883,G883))</x:f>
        <x:v>0.92</x:v>
      </x:c>
      <x:c r="W883" s="604" t="n">
        <x:f>IF(OR(U883="",U883="待结算"),"",IF(U883="红",V883,IF(U883="半红",V883*0.5,IF(U883="走",0,IF(U883="半黑",-0.5,-1)))))</x:f>
        <x:v>0.92</x:v>
      </x:c>
      <x:c r="X883" s="604" t="inlineStr">
        <x:is>
          <x:t xml:space="preserve">3014922</x:t>
        </x:is>
      </x:c>
      <x:c r="Y883" s="604" t="inlineStr">
        <x:is>
          <x:t xml:space="preserve">V4</x:t>
        </x:is>
      </x:c>
      <x:c r="Z883" s="604" t="inlineStr">
        <x:is>
          <x:t xml:space="preserve">prior-2026-10-04-v1</x:t>
        </x:is>
      </x:c>
      <x:c r="AA883" s="604" t="inlineStr">
        <x:is>
          <x:t xml:space="preserve">B</x:t>
        </x:is>
      </x:c>
      <x:c r="AB883" s="604" t="n">
        <x:v>0.5655022268908332</x:v>
      </x:c>
      <x:c r="AC883" s="604" t="n"/>
      <x:c r="AD883" s="604" t="n"/>
      <x:c r="AE883" s="604" t="n">
        <x:v>0.2389525400413246</x:v>
      </x:c>
      <x:c r="AF883" s="604" t="n">
        <x:v>0.1955452330678423</x:v>
      </x:c>
      <x:c r="AG883" s="604" t="n">
        <x:v>0.1260702338863453</x:v>
      </x:c>
      <x:c r="AH883" s="604" t="n"/>
      <x:c r="AI883" s="604" t="n"/>
      <x:c r="AJ883" s="604" t="n">
        <x:v>0.1260702338863453</x:v>
      </x:c>
      <x:c r="AK883" s="604" t="n"/>
      <x:c r="AL883" s="604" t="n"/>
      <x:c r="AM883" s="604" t="n"/>
      <x:c r="AN883" s="604" t="inlineStr">
        <x:is>
          <x:t xml:space="preserve">EVALUATED</x:t>
        </x:is>
      </x:c>
      <x:c r="AO883" s="604" t="inlineStr">
        <x:is>
          <x:t xml:space="preserve">GIVING_VALIDATED_EDGE、BUCKET_PRIOR_ONLY、INTENT_INTERPRETATION_ONLY、FFL_OPTIONAL、EXPERT_MARKET</x:t>
        </x:is>
      </x:c>
      <x:c r="AP883" s="604" t="inlineStr">
        <x:is>
          <x:t xml:space="preserve">db98e991aa6ccb1d0d75</x:t>
        </x:is>
      </x:c>
      <x:c r="AQ883" s="604" t="n">
        <x:v>-0.25</x:v>
      </x:c>
      <x:c r="AR883" s="604" t="n">
        <x:v>0.78</x:v>
      </x:c>
      <x:c r="AS883" s="604" t="n">
        <x:v>0.25</x:v>
      </x:c>
      <x:c r="AT883" s="604" t="n">
        <x:v>-0.25</x:v>
      </x:c>
      <x:c r="AU883" s="604" t="n">
        <x:v>0.78</x:v>
      </x:c>
      <x:c r="AV883" s="604" t="n">
        <x:v>0.92</x:v>
      </x:c>
      <x:c r="AW883" s="604" t="n">
        <x:v>46299.08204853009</x:v>
      </x:c>
      <x:c r="AX883" s="604" t="inlineStr">
        <x:is>
          <x:t xml:space="preserve">https://simondongxiao.github.io/odds/v4/</x:t>
        </x:is>
      </x:c>
      <x:c r="AY883" s="604" t="inlineStr">
        <x:is>
          <x:t xml:space="preserve">V4 Shadow Only；real_money=false；P(EV&gt;0)不是比赛胜率</x:t>
        </x:is>
      </x:c>
    </x:row>
    <x:row r="884" ht="22" customHeight="1">
      <x:c r="A884" s="604" t="inlineStr">
        <x:is>
          <x:t xml:space="preserve">2026-10-04</x:t>
        </x:is>
      </x:c>
      <x:c r="B884" s="604" t="inlineStr">
        <x:is>
          <x:t xml:space="preserve">2026-10-04 18:00</x:t>
        </x:is>
      </x:c>
      <x:c r="C884" s="604" t="str">
        <x:v>五大联赛非顶级联赛</x:v>
      </x:c>
      <x:c r="D884" s="604" t="inlineStr">
        <x:is>
          <x:t xml:space="preserve">联赛</x:t>
        </x:is>
      </x:c>
      <x:c r="E884" s="604" t="inlineStr">
        <x:is>
          <x:t xml:space="preserve">西协乙5</x:t>
        </x:is>
      </x:c>
      <x:c r="F884" s="604" t="inlineStr">
        <x:is>
          <x:t xml:space="preserve">赫塔菲B队 vs 努曼西亚</x:t>
        </x:is>
      </x:c>
      <x:c r="G884" s="604" t="n">
        <x:v>0.74</x:v>
      </x:c>
      <x:c r="H884" s="604" t="n">
        <x:v>-0.25</x:v>
      </x:c>
      <x:c r="I884" s="604" t="n">
        <x:v>0.96</x:v>
      </x:c>
      <x:c r="J884" s="604" t="inlineStr">
        <x:is>
          <x:t xml:space="preserve">0.74/-0.25/0.96</x:t>
        </x:is>
      </x:c>
      <x:c r="K884" s="604" t="inlineStr">
        <x:is>
          <x:t xml:space="preserve">V4-B｜EV +0.1147</x:t>
        </x:is>
      </x:c>
      <x:c r="L884" s="604" t="inlineStr">
        <x:is>
          <x:t xml:space="preserve">赫塔菲B队</x:t>
        </x:is>
      </x:c>
      <x:c r="M884" s="604" t="n">
        <x:v>0.6506213358538613</x:v>
      </x:c>
      <x:c r="N884" s="604" t="inlineStr">
        <x:is>
          <x:t xml:space="preserve">V4纸面入选-B</x:t>
        </x:is>
      </x:c>
      <x:c r="O884" s="604" t="inlineStr">
        <x:is>
          <x:t xml:space="preserve">0-0</x:t>
        </x:is>
      </x:c>
      <x:c r="P884" s="604" t="inlineStr">
        <x:is>
          <x:t xml:space="preserve">已结算</x:t>
        </x:is>
      </x:c>
      <x:c r="Q884" s="649" t="inlineStr">
        <x:is>
          <x:t xml:space="preserve">半红</x:t>
        </x:is>
      </x:c>
      <x:c r="R884" s="604" t="n">
        <x:v>0.74</x:v>
      </x:c>
      <x:c r="S884" s="604" t="n">
        <x:f>IF(OR(Q884="",Q884="待结算"),"",IF(Q884="红",R884,IF(Q884="半红",R884*0.5,IF(Q884="走",0,IF(Q884="半黑",-0.5,-1)))))</x:f>
        <x:v>0.37</x:v>
      </x:c>
      <x:c r="T884" s="604" t="inlineStr">
        <x:is>
          <x:t xml:space="preserve">https://m.titan007.com/analy/Analysis/3083602.htm</x:t>
        </x:is>
      </x:c>
      <x:c r="U884" s="648" t="str">
        <x:f>IF(Q884="","",IF(Q884="待结算","待结算",IF(Q884="红","黑",IF(Q884="半红","半黑",IF(Q884="走","走",IF(Q884="半黑","半红","红"))))))</x:f>
        <x:v>半黑</x:v>
      </x:c>
      <x:c r="V884" s="604" t="n">
        <x:f>IF(OR(Q884="",Q884="待结算"),"",IF(L884=LEFT(F884,FIND(" vs ",F884)-1),I884,G884))</x:f>
        <x:v>0.96</x:v>
      </x:c>
      <x:c r="W884" s="604" t="n">
        <x:f>IF(OR(U884="",U884="待结算"),"",IF(U884="红",V884,IF(U884="半红",V884*0.5,IF(U884="走",0,IF(U884="半黑",-0.5,-1)))))</x:f>
        <x:v>-0.5</x:v>
      </x:c>
      <x:c r="X884" s="604" t="inlineStr">
        <x:is>
          <x:t xml:space="preserve">3083602</x:t>
        </x:is>
      </x:c>
      <x:c r="Y884" s="604" t="inlineStr">
        <x:is>
          <x:t xml:space="preserve">V4</x:t>
        </x:is>
      </x:c>
      <x:c r="Z884" s="604" t="inlineStr">
        <x:is>
          <x:t xml:space="preserve">prior-2026-10-04-v1</x:t>
        </x:is>
      </x:c>
      <x:c r="AA884" s="604" t="inlineStr">
        <x:is>
          <x:t xml:space="preserve">B</x:t>
        </x:is>
      </x:c>
      <x:c r="AB884" s="604" t="n">
        <x:v>0.4333099888186395</x:v>
      </x:c>
      <x:c r="AC884" s="604" t="n">
        <x:v>0.2633085400205461</x:v>
      </x:c>
      <x:c r="AD884" s="604" t="n"/>
      <x:c r="AE884" s="604" t="n"/>
      <x:c r="AF884" s="604" t="n">
        <x:v>0.3033814711608144</x:v>
      </x:c>
      <x:c r="AG884" s="604" t="n">
        <x:v>0.1146920803725808</x:v>
      </x:c>
      <x:c r="AH884" s="604" t="n"/>
      <x:c r="AI884" s="604" t="n"/>
      <x:c r="AJ884" s="604" t="n">
        <x:v>0.1146920803725808</x:v>
      </x:c>
      <x:c r="AK884" s="604" t="n"/>
      <x:c r="AL884" s="604" t="n"/>
      <x:c r="AM884" s="604" t="n"/>
      <x:c r="AN884" s="604" t="inlineStr">
        <x:is>
          <x:t xml:space="preserve">EVALUATED</x:t>
        </x:is>
      </x:c>
      <x:c r="AO884" s="604" t="inlineStr">
        <x:is>
          <x:t xml:space="preserve">RECEIVING_VALIDATED_EDGE、BUCKET_PRIOR_ONLY、INTENT_INTERPRETATION_ONLY、FFL_OPTIONAL、EXPERT_MARKET</x:t>
        </x:is>
      </x:c>
      <x:c r="AP884" s="604" t="inlineStr">
        <x:is>
          <x:t xml:space="preserve">be25734974e60be91abb</x:t>
        </x:is>
      </x:c>
      <x:c r="AQ884" s="604" t="n">
        <x:v>0.25</x:v>
      </x:c>
      <x:c r="AR884" s="604" t="n">
        <x:v>0.74</x:v>
      </x:c>
      <x:c r="AS884" s="604" t="n">
        <x:v>-0.25</x:v>
      </x:c>
      <x:c r="AT884" s="604" t="n">
        <x:v>0.25</x:v>
      </x:c>
      <x:c r="AU884" s="604" t="n">
        <x:v>0.74</x:v>
      </x:c>
      <x:c r="AV884" s="604" t="n">
        <x:v>0.96</x:v>
      </x:c>
      <x:c r="AW884" s="604" t="n">
        <x:v>46299.08204853009</x:v>
      </x:c>
      <x:c r="AX884" s="604" t="inlineStr">
        <x:is>
          <x:t xml:space="preserve">https://simondongxiao.github.io/odds/v4/</x:t>
        </x:is>
      </x:c>
      <x:c r="AY884" s="604" t="inlineStr">
        <x:is>
          <x:t xml:space="preserve">V4 Shadow Only；real_money=false；P(EV&gt;0)不是比赛胜率</x:t>
        </x:is>
      </x:c>
    </x:row>
    <x:row r="885" ht="22" customHeight="1">
      <x:c r="A885" s="604" t="inlineStr">
        <x:is>
          <x:t xml:space="preserve">2026-10-04</x:t>
        </x:is>
      </x:c>
      <x:c r="B885" s="604" t="inlineStr">
        <x:is>
          <x:t xml:space="preserve">2026-10-04 18:00</x:t>
        </x:is>
      </x:c>
      <x:c r="C885" s="604" t="str">
        <x:v>五大联赛非顶级联赛</x:v>
      </x:c>
      <x:c r="D885" s="604" t="inlineStr">
        <x:is>
          <x:t xml:space="preserve">联赛</x:t>
        </x:is>
      </x:c>
      <x:c r="E885" s="604" t="inlineStr">
        <x:is>
          <x:t xml:space="preserve">西协乙5</x:t>
        </x:is>
      </x:c>
      <x:c r="F885" s="604" t="inlineStr">
        <x:is>
          <x:t xml:space="preserve">圣瑟巴斯提安雷耶斯 vs 皇家阿维拉</x:t>
        </x:is>
      </x:c>
      <x:c r="G885" s="604" t="n">
        <x:v>0.78</x:v>
      </x:c>
      <x:c r="H885" s="604" t="n">
        <x:v>0.25</x:v>
      </x:c>
      <x:c r="I885" s="604" t="n">
        <x:v>0.92</x:v>
      </x:c>
      <x:c r="J885" s="604" t="inlineStr">
        <x:is>
          <x:t xml:space="preserve">0.78/0.25/0.92</x:t>
        </x:is>
      </x:c>
      <x:c r="K885" s="604" t="inlineStr">
        <x:is>
          <x:t xml:space="preserve">V4-B｜EV +0.0882</x:t>
        </x:is>
      </x:c>
      <x:c r="L885" s="604" t="inlineStr">
        <x:is>
          <x:t xml:space="preserve">圣瑟巴斯提安雷耶斯</x:t>
        </x:is>
      </x:c>
      <x:c r="M885" s="604" t="n">
        <x:v>0.6182697783822675</x:v>
      </x:c>
      <x:c r="N885" s="604" t="inlineStr">
        <x:is>
          <x:t xml:space="preserve">V4纸面入选-B</x:t>
        </x:is>
      </x:c>
      <x:c r="O885" s="604" t="inlineStr">
        <x:is>
          <x:t xml:space="preserve">3-0</x:t>
        </x:is>
      </x:c>
      <x:c r="P885" s="604" t="inlineStr">
        <x:is>
          <x:t xml:space="preserve">已结算</x:t>
        </x:is>
      </x:c>
      <x:c r="Q885" s="645" t="inlineStr">
        <x:is>
          <x:t xml:space="preserve">红</x:t>
        </x:is>
      </x:c>
      <x:c r="R885" s="604" t="n">
        <x:v>0.78</x:v>
      </x:c>
      <x:c r="S885" s="604" t="n">
        <x:f>IF(OR(Q885="",Q885="待结算"),"",IF(Q885="红",R885,IF(Q885="半红",R885*0.5,IF(Q885="走",0,IF(Q885="半黑",-0.5,-1)))))</x:f>
        <x:v>0.78</x:v>
      </x:c>
      <x:c r="T885" s="604" t="inlineStr">
        <x:is>
          <x:t xml:space="preserve">https://m.titan007.com/analy/Analysis/3083605.htm</x:t>
        </x:is>
      </x:c>
      <x:c r="U885" s="646" t="str">
        <x:f>IF(Q885="","",IF(Q885="待结算","待结算",IF(Q885="红","黑",IF(Q885="半红","半黑",IF(Q885="走","走",IF(Q885="半黑","半红","红"))))))</x:f>
        <x:v>黑</x:v>
      </x:c>
      <x:c r="V885" s="604" t="n">
        <x:f>IF(OR(Q885="",Q885="待结算"),"",IF(L885=LEFT(F885,FIND(" vs ",F885)-1),I885,G885))</x:f>
        <x:v>0.92</x:v>
      </x:c>
      <x:c r="W885" s="604" t="n">
        <x:f>IF(OR(U885="",U885="待结算"),"",IF(U885="红",V885,IF(U885="半红",V885*0.5,IF(U885="走",0,IF(U885="半黑",-0.5,-1)))))</x:f>
        <x:v>-1</x:v>
      </x:c>
      <x:c r="X885" s="604" t="inlineStr">
        <x:is>
          <x:t xml:space="preserve">3083605</x:t>
        </x:is>
      </x:c>
      <x:c r="Y885" s="604" t="inlineStr">
        <x:is>
          <x:t xml:space="preserve">V4</x:t>
        </x:is>
      </x:c>
      <x:c r="Z885" s="604" t="inlineStr">
        <x:is>
          <x:t xml:space="preserve">prior-2026-10-04-v1</x:t>
        </x:is>
      </x:c>
      <x:c r="AA885" s="604" t="inlineStr">
        <x:is>
          <x:t xml:space="preserve">B</x:t>
        </x:is>
      </x:c>
      <x:c r="AB885" s="604" t="n">
        <x:v>0.5425255209824208</x:v>
      </x:c>
      <x:c r="AC885" s="604" t="n"/>
      <x:c r="AD885" s="604" t="n"/>
      <x:c r="AE885" s="604" t="n">
        <x:v>0.2450200868560491</x:v>
      </x:c>
      <x:c r="AF885" s="604" t="n">
        <x:v>0.2124543921615301</x:v>
      </x:c>
      <x:c r="AG885" s="604" t="n">
        <x:v>0.08820547077673357</x:v>
      </x:c>
      <x:c r="AH885" s="604" t="n"/>
      <x:c r="AI885" s="604" t="n"/>
      <x:c r="AJ885" s="604" t="n">
        <x:v>0.08820547077673357</x:v>
      </x:c>
      <x:c r="AK885" s="604" t="n"/>
      <x:c r="AL885" s="604" t="n"/>
      <x:c r="AM885" s="604" t="n"/>
      <x:c r="AN885" s="604" t="inlineStr">
        <x:is>
          <x:t xml:space="preserve">EVALUATED</x:t>
        </x:is>
      </x:c>
      <x:c r="AO885" s="604" t="inlineStr">
        <x:is>
          <x:t xml:space="preserve">GIVING_VALIDATED_EDGE、BUCKET_PRIOR_ONLY、INTENT_INTERPRETATION_ONLY、FFL_OPTIONAL、EXPERT_MARKET</x:t>
        </x:is>
      </x:c>
      <x:c r="AP885" s="604" t="inlineStr">
        <x:is>
          <x:t xml:space="preserve">85eb6f944c787e1a96c9</x:t>
        </x:is>
      </x:c>
      <x:c r="AQ885" s="604" t="n">
        <x:v>-0.25</x:v>
      </x:c>
      <x:c r="AR885" s="604" t="n">
        <x:v>0.78</x:v>
      </x:c>
      <x:c r="AS885" s="604" t="n">
        <x:v>0.25</x:v>
      </x:c>
      <x:c r="AT885" s="604" t="n">
        <x:v>-0.25</x:v>
      </x:c>
      <x:c r="AU885" s="604" t="n">
        <x:v>0.78</x:v>
      </x:c>
      <x:c r="AV885" s="604" t="n">
        <x:v>0.92</x:v>
      </x:c>
      <x:c r="AW885" s="604" t="n">
        <x:v>46299.08204853009</x:v>
      </x:c>
      <x:c r="AX885" s="604" t="inlineStr">
        <x:is>
          <x:t xml:space="preserve">https://simondongxiao.github.io/odds/v4/</x:t>
        </x:is>
      </x:c>
      <x:c r="AY885" s="604" t="inlineStr">
        <x:is>
          <x:t xml:space="preserve">V4 Shadow Only；real_money=false；P(EV&gt;0)不是比赛胜率</x:t>
        </x:is>
      </x:c>
    </x:row>
    <x:row r="886" ht="22" customHeight="1">
      <x:c r="A886" s="604" t="inlineStr">
        <x:is>
          <x:t xml:space="preserve">2026-10-04</x:t>
        </x:is>
      </x:c>
      <x:c r="B886" s="604" t="inlineStr">
        <x:is>
          <x:t xml:space="preserve">2026-10-04 18:00</x:t>
        </x:is>
      </x:c>
      <x:c r="C886" s="604" t="str">
        <x:v>五大联赛非顶级联赛</x:v>
      </x:c>
      <x:c r="D886" s="604" t="inlineStr">
        <x:is>
          <x:t xml:space="preserve">联赛</x:t>
        </x:is>
      </x:c>
      <x:c r="E886" s="604" t="inlineStr">
        <x:is>
          <x:t xml:space="preserve">西协乙5</x:t>
        </x:is>
      </x:c>
      <x:c r="F886" s="604" t="inlineStr">
        <x:is>
          <x:t xml:space="preserve">巴拉多利德B队 vs 普尔托兰诺</x:t>
        </x:is>
      </x:c>
      <x:c r="G886" s="604" t="n">
        <x:v>0.88</x:v>
      </x:c>
      <x:c r="H886" s="604" t="n">
        <x:v>0.75</x:v>
      </x:c>
      <x:c r="I886" s="604" t="n">
        <x:v>0.82</x:v>
      </x:c>
      <x:c r="J886" s="604" t="inlineStr">
        <x:is>
          <x:t xml:space="preserve">0.88/0.75/0.82</x:t>
        </x:is>
      </x:c>
      <x:c r="K886" s="604" t="inlineStr">
        <x:is>
          <x:t xml:space="preserve">V4-C｜EV +0.0700</x:t>
        </x:is>
      </x:c>
      <x:c r="L886" s="604" t="inlineStr">
        <x:is>
          <x:t xml:space="preserve">巴拉多利德B队</x:t>
        </x:is>
      </x:c>
      <x:c r="M886" s="604" t="n">
        <x:v>0.5746126246538529</x:v>
      </x:c>
      <x:c r="N886" s="604" t="inlineStr">
        <x:is>
          <x:t xml:space="preserve">V4纸面入选-C</x:t>
        </x:is>
      </x:c>
      <x:c r="O886" s="604" t="inlineStr">
        <x:is>
          <x:t xml:space="preserve">3-0</x:t>
        </x:is>
      </x:c>
      <x:c r="P886" s="604" t="inlineStr">
        <x:is>
          <x:t xml:space="preserve">已结算</x:t>
        </x:is>
      </x:c>
      <x:c r="Q886" s="645" t="inlineStr">
        <x:is>
          <x:t xml:space="preserve">红</x:t>
        </x:is>
      </x:c>
      <x:c r="R886" s="604" t="n">
        <x:v>0.88</x:v>
      </x:c>
      <x:c r="S886" s="604" t="n">
        <x:f>IF(OR(Q886="",Q886="待结算"),"",IF(Q886="红",R886,IF(Q886="半红",R886*0.5,IF(Q886="走",0,IF(Q886="半黑",-0.5,-1)))))</x:f>
        <x:v>0.88</x:v>
      </x:c>
      <x:c r="T886" s="604" t="inlineStr">
        <x:is>
          <x:t xml:space="preserve">https://m.titan007.com/analy/Analysis/3083606.htm</x:t>
        </x:is>
      </x:c>
      <x:c r="U886" s="646" t="str">
        <x:f>IF(Q886="","",IF(Q886="待结算","待结算",IF(Q886="红","黑",IF(Q886="半红","半黑",IF(Q886="走","走",IF(Q886="半黑","半红","红"))))))</x:f>
        <x:v>黑</x:v>
      </x:c>
      <x:c r="V886" s="604" t="n">
        <x:f>IF(OR(Q886="",Q886="待结算"),"",IF(L886=LEFT(F886,FIND(" vs ",F886)-1),I886,G886))</x:f>
        <x:v>0.82</x:v>
      </x:c>
      <x:c r="W886" s="604" t="n">
        <x:f>IF(OR(U886="",U886="待结算"),"",IF(U886="红",V886,IF(U886="半红",V886*0.5,IF(U886="走",0,IF(U886="半黑",-0.5,-1)))))</x:f>
        <x:v>-1</x:v>
      </x:c>
      <x:c r="X886" s="604" t="inlineStr">
        <x:is>
          <x:t xml:space="preserve">3083606</x:t>
        </x:is>
      </x:c>
      <x:c r="Y886" s="604" t="inlineStr">
        <x:is>
          <x:t xml:space="preserve">V4</x:t>
        </x:is>
      </x:c>
      <x:c r="Z886" s="604" t="inlineStr">
        <x:is>
          <x:t xml:space="preserve">prior-2026-10-04-v1</x:t>
        </x:is>
      </x:c>
      <x:c r="AA886" s="604" t="inlineStr">
        <x:is>
          <x:t xml:space="preserve">C</x:t>
        </x:is>
      </x:c>
      <x:c r="AB886" s="604" t="n">
        <x:v>0.3728076339187063</x:v>
      </x:c>
      <x:c r="AC886" s="604" t="n">
        <x:v>0.2563233490897603</x:v>
      </x:c>
      <x:c r="AD886" s="604" t="n"/>
      <x:c r="AE886" s="604" t="n"/>
      <x:c r="AF886" s="604" t="n">
        <x:v>0.3708690169915334</x:v>
      </x:c>
      <x:c r="AG886" s="604" t="n">
        <x:v>0.06998397445642274</x:v>
      </x:c>
      <x:c r="AH886" s="604" t="n"/>
      <x:c r="AI886" s="604" t="n"/>
      <x:c r="AJ886" s="604" t="n">
        <x:v>0.06998397445642274</x:v>
      </x:c>
      <x:c r="AK886" s="604" t="n"/>
      <x:c r="AL886" s="604" t="n"/>
      <x:c r="AM886" s="604" t="n"/>
      <x:c r="AN886" s="604" t="inlineStr">
        <x:is>
          <x:t xml:space="preserve">EVALUATED</x:t>
        </x:is>
      </x:c>
      <x:c r="AO886" s="604" t="inlineStr">
        <x:is>
          <x:t xml:space="preserve">GIVING_VALIDATED_EDGE、BUCKET_PRIOR_ONLY、INTENT_INTERPRETATION_ONLY、FFL_OPTIONAL、EXPERT_MARKET</x:t>
        </x:is>
      </x:c>
      <x:c r="AP886" s="604" t="inlineStr">
        <x:is>
          <x:t xml:space="preserve">a3726fc8a1f311c4a905</x:t>
        </x:is>
      </x:c>
      <x:c r="AQ886" s="604" t="n">
        <x:v>-0.75</x:v>
      </x:c>
      <x:c r="AR886" s="604" t="n">
        <x:v>0.88</x:v>
      </x:c>
      <x:c r="AS886" s="604" t="n">
        <x:v>0.75</x:v>
      </x:c>
      <x:c r="AT886" s="604" t="n">
        <x:v>-0.75</x:v>
      </x:c>
      <x:c r="AU886" s="604" t="n">
        <x:v>0.88</x:v>
      </x:c>
      <x:c r="AV886" s="604" t="n">
        <x:v>0.82</x:v>
      </x:c>
      <x:c r="AW886" s="604" t="n">
        <x:v>46299.08204853009</x:v>
      </x:c>
      <x:c r="AX886" s="604" t="inlineStr">
        <x:is>
          <x:t xml:space="preserve">https://simondongxiao.github.io/odds/v4/</x:t>
        </x:is>
      </x:c>
      <x:c r="AY886" s="604" t="inlineStr">
        <x:is>
          <x:t xml:space="preserve">V4 Shadow Only；real_money=false；P(EV&gt;0)不是比赛胜率</x:t>
        </x:is>
      </x:c>
    </x:row>
    <x:row r="887" ht="22" customHeight="1">
      <x:c r="A887" s="604" t="inlineStr">
        <x:is>
          <x:t xml:space="preserve">2026-10-04</x:t>
        </x:is>
      </x:c>
      <x:c r="B887" s="604" t="inlineStr">
        <x:is>
          <x:t xml:space="preserve">2026-10-04 18:00</x:t>
        </x:is>
      </x:c>
      <x:c r="C887" s="604" t="str">
        <x:v>五大联赛非顶级联赛</x:v>
      </x:c>
      <x:c r="D887" s="604" t="inlineStr">
        <x:is>
          <x:t xml:space="preserve">联赛</x:t>
        </x:is>
      </x:c>
      <x:c r="E887" s="604" t="inlineStr">
        <x:is>
          <x:t xml:space="preserve">西协乙4</x:t>
        </x:is>
      </x:c>
      <x:c r="F887" s="604" t="inlineStr">
        <x:is>
          <x:t xml:space="preserve">维尔瓦 vs 拉斯彭马斯竞技</x:t>
        </x:is>
      </x:c>
      <x:c r="G887" s="604" t="n">
        <x:v>0.9</x:v>
      </x:c>
      <x:c r="H887" s="604" t="n">
        <x:v>1</x:v>
      </x:c>
      <x:c r="I887" s="604" t="n">
        <x:v>0.8</x:v>
      </x:c>
      <x:c r="J887" s="604" t="inlineStr">
        <x:is>
          <x:t xml:space="preserve">0.9/1/0.8</x:t>
        </x:is>
      </x:c>
      <x:c r="K887" s="604" t="inlineStr">
        <x:is>
          <x:t xml:space="preserve">V4-B｜EV +0.2003</x:t>
        </x:is>
      </x:c>
      <x:c r="L887" s="604" t="inlineStr">
        <x:is>
          <x:t xml:space="preserve">维尔瓦</x:t>
        </x:is>
      </x:c>
      <x:c r="M887" s="604" t="n">
        <x:v>0.6672329259844726</x:v>
      </x:c>
      <x:c r="N887" s="604" t="inlineStr">
        <x:is>
          <x:t xml:space="preserve">V4纸面入选-B</x:t>
        </x:is>
      </x:c>
      <x:c r="O887" s="604" t="inlineStr">
        <x:is>
          <x:t xml:space="preserve">4-0</x:t>
        </x:is>
      </x:c>
      <x:c r="P887" s="604" t="inlineStr">
        <x:is>
          <x:t xml:space="preserve">已结算</x:t>
        </x:is>
      </x:c>
      <x:c r="Q887" s="645" t="inlineStr">
        <x:is>
          <x:t xml:space="preserve">红</x:t>
        </x:is>
      </x:c>
      <x:c r="R887" s="604" t="n">
        <x:v>0.9</x:v>
      </x:c>
      <x:c r="S887" s="604" t="n">
        <x:f>IF(OR(Q887="",Q887="待结算"),"",IF(Q887="红",R887,IF(Q887="半红",R887*0.5,IF(Q887="走",0,IF(Q887="半黑",-0.5,-1)))))</x:f>
        <x:v>0.9</x:v>
      </x:c>
      <x:c r="T887" s="604" t="inlineStr">
        <x:is>
          <x:t xml:space="preserve">https://m.titan007.com/analy/Analysis/3082990.htm</x:t>
        </x:is>
      </x:c>
      <x:c r="U887" s="646" t="str">
        <x:f>IF(Q887="","",IF(Q887="待结算","待结算",IF(Q887="红","黑",IF(Q887="半红","半黑",IF(Q887="走","走",IF(Q887="半黑","半红","红"))))))</x:f>
        <x:v>黑</x:v>
      </x:c>
      <x:c r="V887" s="604" t="n">
        <x:f>IF(OR(Q887="",Q887="待结算"),"",IF(L887=LEFT(F887,FIND(" vs ",F887)-1),I887,G887))</x:f>
        <x:v>0.8</x:v>
      </x:c>
      <x:c r="W887" s="604" t="n">
        <x:f>IF(OR(U887="",U887="待结算"),"",IF(U887="红",V887,IF(U887="半红",V887*0.5,IF(U887="走",0,IF(U887="半黑",-0.5,-1)))))</x:f>
        <x:v>-1</x:v>
      </x:c>
      <x:c r="X887" s="604" t="inlineStr">
        <x:is>
          <x:t xml:space="preserve">3082990</x:t>
        </x:is>
      </x:c>
      <x:c r="Y887" s="604" t="inlineStr">
        <x:is>
          <x:t xml:space="preserve">V4</x:t>
        </x:is>
      </x:c>
      <x:c r="Z887" s="604" t="inlineStr">
        <x:is>
          <x:t xml:space="preserve">prior-2026-10-04-v1</x:t>
        </x:is>
      </x:c>
      <x:c r="AA887" s="604" t="inlineStr">
        <x:is>
          <x:t xml:space="preserve">B</x:t>
        </x:is>
      </x:c>
      <x:c r="AB887" s="604" t="n">
        <x:v>0.4990967616425331</x:v>
      </x:c>
      <x:c r="AC887" s="604" t="n"/>
      <x:c r="AD887" s="604" t="n">
        <x:v>0.2519902088073098</x:v>
      </x:c>
      <x:c r="AE887" s="604" t="n"/>
      <x:c r="AF887" s="604" t="n">
        <x:v>0.2489130295501571</x:v>
      </x:c>
      <x:c r="AG887" s="604" t="n">
        <x:v>0.2002740559281227</x:v>
      </x:c>
      <x:c r="AH887" s="604" t="n"/>
      <x:c r="AI887" s="604" t="n"/>
      <x:c r="AJ887" s="604" t="n">
        <x:v>0.2002740559281227</x:v>
      </x:c>
      <x:c r="AK887" s="604" t="n"/>
      <x:c r="AL887" s="604" t="n"/>
      <x:c r="AM887" s="604" t="n"/>
      <x:c r="AN887" s="604" t="inlineStr">
        <x:is>
          <x:t xml:space="preserve">EVALUATED</x:t>
        </x:is>
      </x:c>
      <x:c r="AO887" s="604" t="inlineStr">
        <x:is>
          <x:t xml:space="preserve">GIVING_VALIDATED_EDGE、BUCKET_PRIOR_ONLY、INTENT_INTERPRETATION_ONLY、FFL_OPTIONAL、EXPERT_MARKET</x:t>
        </x:is>
      </x:c>
      <x:c r="AP887" s="604" t="inlineStr">
        <x:is>
          <x:t xml:space="preserve">ae1865f2e57f80ef268a</x:t>
        </x:is>
      </x:c>
      <x:c r="AQ887" s="604" t="n">
        <x:v>-1</x:v>
      </x:c>
      <x:c r="AR887" s="604" t="n">
        <x:v>0.9</x:v>
      </x:c>
      <x:c r="AS887" s="604" t="n">
        <x:v>1</x:v>
      </x:c>
      <x:c r="AT887" s="604" t="n">
        <x:v>-1</x:v>
      </x:c>
      <x:c r="AU887" s="604" t="n">
        <x:v>0.9</x:v>
      </x:c>
      <x:c r="AV887" s="604" t="n">
        <x:v>0.8</x:v>
      </x:c>
      <x:c r="AW887" s="604" t="n">
        <x:v>46299.08204853009</x:v>
      </x:c>
      <x:c r="AX887" s="604" t="inlineStr">
        <x:is>
          <x:t xml:space="preserve">https://simondongxiao.github.io/odds/v4/</x:t>
        </x:is>
      </x:c>
      <x:c r="AY887" s="604" t="inlineStr">
        <x:is>
          <x:t xml:space="preserve">V4 Shadow Only；real_money=false；P(EV&gt;0)不是比赛胜率</x:t>
        </x:is>
      </x:c>
    </x:row>
    <x:row r="888" ht="22" customHeight="1">
      <x:c r="A888" s="604" t="inlineStr">
        <x:is>
          <x:t xml:space="preserve">2026-10-04</x:t>
        </x:is>
      </x:c>
      <x:c r="B888" s="604" t="inlineStr">
        <x:is>
          <x:t xml:space="preserve">2026-10-04 18:00</x:t>
        </x:is>
      </x:c>
      <x:c r="C888" s="604" t="str">
        <x:v>五大联赛非顶级联赛</x:v>
      </x:c>
      <x:c r="D888" s="604" t="inlineStr">
        <x:is>
          <x:t xml:space="preserve">联赛</x:t>
        </x:is>
      </x:c>
      <x:c r="E888" s="604" t="inlineStr">
        <x:is>
          <x:t xml:space="preserve">西协乙4</x:t>
        </x:is>
      </x:c>
      <x:c r="F888" s="604" t="inlineStr">
        <x:is>
          <x:t xml:space="preserve">桑鲁玖诺 vs 拉斯拉古纳斯</x:t>
        </x:is>
      </x:c>
      <x:c r="G888" s="604" t="n">
        <x:v>0.8</x:v>
      </x:c>
      <x:c r="H888" s="604" t="n">
        <x:v>0.25</x:v>
      </x:c>
      <x:c r="I888" s="604" t="n">
        <x:v>0.9</x:v>
      </x:c>
      <x:c r="J888" s="604" t="inlineStr">
        <x:is>
          <x:t xml:space="preserve">0.8/0.25/0.9</x:t>
        </x:is>
      </x:c>
      <x:c r="K888" s="604" t="inlineStr">
        <x:is>
          <x:t xml:space="preserve">V4-B｜EV +0.1440</x:t>
        </x:is>
      </x:c>
      <x:c r="L888" s="604" t="inlineStr">
        <x:is>
          <x:t xml:space="preserve">桑鲁玖诺</x:t>
        </x:is>
      </x:c>
      <x:c r="M888" s="604" t="n">
        <x:v>0.6463392630516159</x:v>
      </x:c>
      <x:c r="N888" s="604" t="inlineStr">
        <x:is>
          <x:t xml:space="preserve">V4纸面入选-B</x:t>
        </x:is>
      </x:c>
      <x:c r="O888" s="604" t="inlineStr">
        <x:is>
          <x:t xml:space="preserve">2-2</x:t>
        </x:is>
      </x:c>
      <x:c r="P888" s="604" t="inlineStr">
        <x:is>
          <x:t xml:space="preserve">已结算</x:t>
        </x:is>
      </x:c>
      <x:c r="Q888" s="648" t="inlineStr">
        <x:is>
          <x:t xml:space="preserve">半黑</x:t>
        </x:is>
      </x:c>
      <x:c r="R888" s="604" t="n">
        <x:v>0.8</x:v>
      </x:c>
      <x:c r="S888" s="604" t="n">
        <x:f>IF(OR(Q888="",Q888="待结算"),"",IF(Q888="红",R888,IF(Q888="半红",R888*0.5,IF(Q888="走",0,IF(Q888="半黑",-0.5,-1)))))</x:f>
        <x:v>-0.5</x:v>
      </x:c>
      <x:c r="T888" s="604" t="inlineStr">
        <x:is>
          <x:t xml:space="preserve">https://m.titan007.com/analy/Analysis/3082991.htm</x:t>
        </x:is>
      </x:c>
      <x:c r="U888" s="649" t="str">
        <x:f>IF(Q888="","",IF(Q888="待结算","待结算",IF(Q888="红","黑",IF(Q888="半红","半黑",IF(Q888="走","走",IF(Q888="半黑","半红","红"))))))</x:f>
        <x:v>半红</x:v>
      </x:c>
      <x:c r="V888" s="604" t="n">
        <x:f>IF(OR(Q888="",Q888="待结算"),"",IF(L888=LEFT(F888,FIND(" vs ",F888)-1),I888,G888))</x:f>
        <x:v>0.9</x:v>
      </x:c>
      <x:c r="W888" s="604" t="n">
        <x:f>IF(OR(U888="",U888="待结算"),"",IF(U888="红",V888,IF(U888="半红",V888*0.5,IF(U888="走",0,IF(U888="半黑",-0.5,-1)))))</x:f>
        <x:v>0.45</x:v>
      </x:c>
      <x:c r="X888" s="604" t="inlineStr">
        <x:is>
          <x:t xml:space="preserve">3082991</x:t>
        </x:is>
      </x:c>
      <x:c r="Y888" s="604" t="inlineStr">
        <x:is>
          <x:t xml:space="preserve">V4</x:t>
        </x:is>
      </x:c>
      <x:c r="Z888" s="604" t="inlineStr">
        <x:is>
          <x:t xml:space="preserve">prior-2026-10-04-v1</x:t>
        </x:is>
      </x:c>
      <x:c r="AA888" s="604" t="inlineStr">
        <x:is>
          <x:t xml:space="preserve">B</x:t>
        </x:is>
      </x:c>
      <x:c r="AB888" s="604" t="n">
        <x:v>0.5693733464502023</x:v>
      </x:c>
      <x:c r="AC888" s="604" t="n"/>
      <x:c r="AD888" s="604" t="n"/>
      <x:c r="AE888" s="604" t="n">
        <x:v>0.2381594961074405</x:v>
      </x:c>
      <x:c r="AF888" s="604" t="n">
        <x:v>0.1924671574423572</x:v>
      </x:c>
      <x:c r="AG888" s="604" t="n">
        <x:v>0.1439517716640844</x:v>
      </x:c>
      <x:c r="AH888" s="604" t="n"/>
      <x:c r="AI888" s="604" t="n"/>
      <x:c r="AJ888" s="604" t="n">
        <x:v>0.1439517716640844</x:v>
      </x:c>
      <x:c r="AK888" s="604" t="n"/>
      <x:c r="AL888" s="604" t="n"/>
      <x:c r="AM888" s="604" t="n"/>
      <x:c r="AN888" s="604" t="inlineStr">
        <x:is>
          <x:t xml:space="preserve">EVALUATED</x:t>
        </x:is>
      </x:c>
      <x:c r="AO888" s="604" t="inlineStr">
        <x:is>
          <x:t xml:space="preserve">GIVING_VALIDATED_EDGE、BUCKET_PRIOR_ONLY、INTENT_INTERPRETATION_ONLY、FFL_OPTIONAL、EXPERT_MARKET</x:t>
        </x:is>
      </x:c>
      <x:c r="AP888" s="604" t="inlineStr">
        <x:is>
          <x:t xml:space="preserve">15e294092a3a74c7d76e</x:t>
        </x:is>
      </x:c>
      <x:c r="AQ888" s="604" t="n">
        <x:v>-0.25</x:v>
      </x:c>
      <x:c r="AR888" s="604" t="n">
        <x:v>0.8</x:v>
      </x:c>
      <x:c r="AS888" s="604" t="n">
        <x:v>0.25</x:v>
      </x:c>
      <x:c r="AT888" s="604" t="n">
        <x:v>-0.25</x:v>
      </x:c>
      <x:c r="AU888" s="604" t="n">
        <x:v>0.8</x:v>
      </x:c>
      <x:c r="AV888" s="604" t="n">
        <x:v>0.9</x:v>
      </x:c>
      <x:c r="AW888" s="604" t="n">
        <x:v>46299.08204853009</x:v>
      </x:c>
      <x:c r="AX888" s="604" t="inlineStr">
        <x:is>
          <x:t xml:space="preserve">https://simondongxiao.github.io/odds/v4/</x:t>
        </x:is>
      </x:c>
      <x:c r="AY888" s="604" t="inlineStr">
        <x:is>
          <x:t xml:space="preserve">V4 Shadow Only；real_money=false；P(EV&gt;0)不是比赛胜率</x:t>
        </x:is>
      </x:c>
    </x:row>
    <x:row r="889" ht="22" customHeight="1">
      <x:c r="A889" s="604" t="inlineStr">
        <x:is>
          <x:t xml:space="preserve">2026-10-04</x:t>
        </x:is>
      </x:c>
      <x:c r="B889" s="604" t="inlineStr">
        <x:is>
          <x:t xml:space="preserve">2026-10-04 18:00</x:t>
        </x:is>
      </x:c>
      <x:c r="C889" s="604" t="str">
        <x:v>五大联赛非顶级联赛</x:v>
      </x:c>
      <x:c r="D889" s="604" t="inlineStr">
        <x:is>
          <x:t xml:space="preserve">联赛</x:t>
        </x:is>
      </x:c>
      <x:c r="E889" s="604" t="inlineStr">
        <x:is>
          <x:t xml:space="preserve">西协乙4</x:t>
        </x:is>
      </x:c>
      <x:c r="F889" s="604" t="inlineStr">
        <x:is>
          <x:t xml:space="preserve">萨雷斯 vs 特内里费B队</x:t>
        </x:is>
      </x:c>
      <x:c r="G889" s="604" t="n">
        <x:v>0.8100000000000001</x:v>
      </x:c>
      <x:c r="H889" s="604" t="n">
        <x:v>0</x:v>
      </x:c>
      <x:c r="I889" s="604" t="n">
        <x:v>0.89</x:v>
      </x:c>
      <x:c r="J889" s="604" t="inlineStr">
        <x:is>
          <x:t xml:space="preserve">0.81/0/0.89</x:t>
        </x:is>
      </x:c>
      <x:c r="K889" s="604" t="inlineStr">
        <x:is>
          <x:t xml:space="preserve">V4-C｜EV +0.0076</x:t>
        </x:is>
      </x:c>
      <x:c r="L889" s="604" t="str"/>
      <x:c r="M889" s="604" t="n">
        <x:v>0.5573217532264972</x:v>
      </x:c>
      <x:c r="N889" s="604" t="inlineStr">
        <x:is>
          <x:t xml:space="preserve">V4纸面入选-C</x:t>
        </x:is>
      </x:c>
      <x:c r="O889" s="604" t="inlineStr">
        <x:is>
          <x:t xml:space="preserve">2-1</x:t>
        </x:is>
      </x:c>
      <x:c r="P889" s="604" t="inlineStr">
        <x:is>
          <x:t xml:space="preserve">已结算</x:t>
        </x:is>
      </x:c>
      <x:c r="Q889" s="645" t="inlineStr">
        <x:is>
          <x:t xml:space="preserve">红</x:t>
        </x:is>
      </x:c>
      <x:c r="R889" s="604" t="n">
        <x:v>0.89</x:v>
      </x:c>
      <x:c r="S889" s="604" t="n">
        <x:f>IF(OR(Q889="",Q889="待结算"),"",IF(Q889="红",R889,IF(Q889="半红",R889*0.5,IF(Q889="走",0,IF(Q889="半黑",-0.5,-1)))))</x:f>
        <x:v>0.89</x:v>
      </x:c>
      <x:c r="T889" s="604" t="inlineStr">
        <x:is>
          <x:t xml:space="preserve">https://m.titan007.com/analy/Analysis/3082994.htm</x:t>
        </x:is>
      </x:c>
      <x:c r="U889" s="646" t="str">
        <x:f>IF(Q889="","",IF(Q889="待结算","待结算",IF(Q889="红","黑",IF(Q889="半红","半黑",IF(Q889="走","走",IF(Q889="半黑","半红","红"))))))</x:f>
        <x:v>黑</x:v>
      </x:c>
      <x:c r="V889" s="604" t="n">
        <x:f>IF(OR(Q889="",Q889="待结算"),"",IF(L889=LEFT(F889,FIND(" vs ",F889)-1),I889,G889))</x:f>
        <x:v>0.81</x:v>
      </x:c>
      <x:c r="W889" s="604" t="n">
        <x:f>IF(OR(U889="",U889="待结算"),"",IF(U889="红",V889,IF(U889="半红",V889*0.5,IF(U889="走",0,IF(U889="半黑",-0.5,-1)))))</x:f>
        <x:v>-1</x:v>
      </x:c>
      <x:c r="X889" s="604" t="inlineStr">
        <x:is>
          <x:t xml:space="preserve">3082994</x:t>
        </x:is>
      </x:c>
      <x:c r="Y889" s="604" t="inlineStr">
        <x:is>
          <x:t xml:space="preserve">V4</x:t>
        </x:is>
      </x:c>
      <x:c r="Z889" s="604" t="inlineStr">
        <x:is>
          <x:t xml:space="preserve">prior-2026-10-04-v1</x:t>
        </x:is>
      </x:c>
      <x:c r="AA889" s="604" t="inlineStr">
        <x:is>
          <x:t xml:space="preserve">C</x:t>
        </x:is>
      </x:c>
      <x:c r="AB889" s="604" t="n">
        <x:v>0.4859768145708153</x:v>
      </x:c>
      <x:c r="AC889" s="604" t="n"/>
      <x:c r="AD889" s="604" t="n"/>
      <x:c r="AE889" s="604" t="n">
        <x:v>0.2560278268079271</x:v>
      </x:c>
      <x:c r="AF889" s="604" t="n">
        <x:v>0.2579953586212577</x:v>
      </x:c>
      <x:c r="AG889" s="604" t="n">
        <x:v>0.007631947777139103</x:v>
      </x:c>
      <x:c r="AH889" s="604" t="n"/>
      <x:c r="AI889" s="604" t="n"/>
      <x:c r="AJ889" s="604" t="n">
        <x:v>0.007631947777139103</x:v>
      </x:c>
      <x:c r="AK889" s="604" t="n"/>
      <x:c r="AL889" s="604" t="n"/>
      <x:c r="AM889" s="604" t="n"/>
      <x:c r="AN889" s="604" t="inlineStr">
        <x:is>
          <x:t xml:space="preserve">EVALUATED</x:t>
        </x:is>
      </x:c>
      <x:c r="AO889" s="604" t="inlineStr">
        <x:is>
          <x:t xml:space="preserve">EDGE_BELOW_UNCERTAINTY_THRESHOLD、BUCKET_PRIOR_ONLY、INTENT_INTERPRETATION_ONLY、FFL_OPTIONAL、EXPERT_MARKET</x:t>
        </x:is>
      </x:c>
      <x:c r="AP889" s="604" t="inlineStr">
        <x:is>
          <x:t xml:space="preserve">1220fdeae8ed42ef0a6e</x:t>
        </x:is>
      </x:c>
      <x:c r="AQ889" s="604" t="n">
        <x:v>0</x:v>
      </x:c>
      <x:c r="AR889" s="604" t="n"/>
      <x:c r="AS889" s="604" t="n">
        <x:v>0</x:v>
      </x:c>
      <x:c r="AT889" s="604" t="n">
        <x:v>0</x:v>
      </x:c>
      <x:c r="AU889" s="604" t="n">
        <x:v>0.8100000000000001</x:v>
      </x:c>
      <x:c r="AV889" s="604" t="n">
        <x:v>0.89</x:v>
      </x:c>
      <x:c r="AW889" s="604" t="n">
        <x:v>46299.08204853009</x:v>
      </x:c>
      <x:c r="AX889" s="604" t="inlineStr">
        <x:is>
          <x:t xml:space="preserve">https://simondongxiao.github.io/odds/v4/</x:t>
        </x:is>
      </x:c>
      <x:c r="AY889" s="604" t="inlineStr">
        <x:is>
          <x:t xml:space="preserve">V4 Shadow Only；real_money=false；P(EV&gt;0)不是比赛胜率</x:t>
        </x:is>
      </x:c>
    </x:row>
    <x:row r="890" ht="22" customHeight="1">
      <x:c r="A890" s="604" t="inlineStr">
        <x:is>
          <x:t xml:space="preserve">2026-10-04</x:t>
        </x:is>
      </x:c>
      <x:c r="B890" s="604" t="inlineStr">
        <x:is>
          <x:t xml:space="preserve">2026-10-04 18:00</x:t>
        </x:is>
      </x:c>
      <x:c r="C890" s="604" t="str">
        <x:v>五大联赛非顶级联赛</x:v>
      </x:c>
      <x:c r="D890" s="604" t="inlineStr">
        <x:is>
          <x:t xml:space="preserve">联赛</x:t>
        </x:is>
      </x:c>
      <x:c r="E890" s="604" t="inlineStr">
        <x:is>
          <x:t xml:space="preserve">西协乙3</x:t>
        </x:is>
      </x:c>
      <x:c r="F890" s="604" t="inlineStr">
        <x:is>
          <x:t xml:space="preserve">巴利阿里 vs 珀布伦斯</x:t>
        </x:is>
      </x:c>
      <x:c r="G890" s="604" t="n">
        <x:v>0.88</x:v>
      </x:c>
      <x:c r="H890" s="604" t="n">
        <x:v>0.75</x:v>
      </x:c>
      <x:c r="I890" s="604" t="n">
        <x:v>0.82</x:v>
      </x:c>
      <x:c r="J890" s="604" t="inlineStr">
        <x:is>
          <x:t xml:space="preserve">0.88/0.75/0.82</x:t>
        </x:is>
      </x:c>
      <x:c r="K890" s="604" t="inlineStr">
        <x:is>
          <x:t xml:space="preserve">V4-B｜EV +0.0781</x:t>
        </x:is>
      </x:c>
      <x:c r="L890" s="604" t="inlineStr">
        <x:is>
          <x:t xml:space="preserve">巴利阿里</x:t>
        </x:is>
      </x:c>
      <x:c r="M890" s="604" t="n">
        <x:v>0.5795719160637233</x:v>
      </x:c>
      <x:c r="N890" s="604" t="inlineStr">
        <x:is>
          <x:t xml:space="preserve">V4纸面入选-B</x:t>
        </x:is>
      </x:c>
      <x:c r="O890" s="604" t="inlineStr">
        <x:is>
          <x:t xml:space="preserve">2-1</x:t>
        </x:is>
      </x:c>
      <x:c r="P890" s="604" t="inlineStr">
        <x:is>
          <x:t xml:space="preserve">已结算</x:t>
        </x:is>
      </x:c>
      <x:c r="Q890" s="649" t="inlineStr">
        <x:is>
          <x:t xml:space="preserve">半红</x:t>
        </x:is>
      </x:c>
      <x:c r="R890" s="604" t="n">
        <x:v>0.88</x:v>
      </x:c>
      <x:c r="S890" s="604" t="n">
        <x:f>IF(OR(Q890="",Q890="待结算"),"",IF(Q890="红",R890,IF(Q890="半红",R890*0.5,IF(Q890="走",0,IF(Q890="半黑",-0.5,-1)))))</x:f>
        <x:v>0.44</x:v>
      </x:c>
      <x:c r="T890" s="604" t="inlineStr">
        <x:is>
          <x:t xml:space="preserve">https://m.titan007.com/analy/Analysis/3015893.htm</x:t>
        </x:is>
      </x:c>
      <x:c r="U890" s="648" t="str">
        <x:f>IF(Q890="","",IF(Q890="待结算","待结算",IF(Q890="红","黑",IF(Q890="半红","半黑",IF(Q890="走","走",IF(Q890="半黑","半红","红"))))))</x:f>
        <x:v>半黑</x:v>
      </x:c>
      <x:c r="V890" s="604" t="n">
        <x:f>IF(OR(Q890="",Q890="待结算"),"",IF(L890=LEFT(F890,FIND(" vs ",F890)-1),I890,G890))</x:f>
        <x:v>0.82</x:v>
      </x:c>
      <x:c r="W890" s="604" t="n">
        <x:f>IF(OR(U890="",U890="待结算"),"",IF(U890="红",V890,IF(U890="半红",V890*0.5,IF(U890="走",0,IF(U890="半黑",-0.5,-1)))))</x:f>
        <x:v>-0.5</x:v>
      </x:c>
      <x:c r="X890" s="604" t="inlineStr">
        <x:is>
          <x:t xml:space="preserve">3015893</x:t>
        </x:is>
      </x:c>
      <x:c r="Y890" s="604" t="inlineStr">
        <x:is>
          <x:t xml:space="preserve">V4</x:t>
        </x:is>
      </x:c>
      <x:c r="Z890" s="604" t="inlineStr">
        <x:is>
          <x:t xml:space="preserve">prior-2026-10-04-v1</x:t>
        </x:is>
      </x:c>
      <x:c r="AA890" s="604" t="inlineStr">
        <x:is>
          <x:t xml:space="preserve">B</x:t>
        </x:is>
      </x:c>
      <x:c r="AB890" s="604" t="n">
        <x:v>0.3760663509217617</x:v>
      </x:c>
      <x:c r="AC890" s="604" t="n">
        <x:v>0.2576717945822883</x:v>
      </x:c>
      <x:c r="AD890" s="604" t="n"/>
      <x:c r="AE890" s="604" t="n"/>
      <x:c r="AF890" s="604" t="n">
        <x:v>0.36626185449595</x:v>
      </x:c>
      <x:c r="AG890" s="604" t="n">
        <x:v>0.07805212393140715</x:v>
      </x:c>
      <x:c r="AH890" s="604" t="n"/>
      <x:c r="AI890" s="604" t="n"/>
      <x:c r="AJ890" s="604" t="n">
        <x:v>0.07805212393140715</x:v>
      </x:c>
      <x:c r="AK890" s="604" t="n"/>
      <x:c r="AL890" s="604" t="n"/>
      <x:c r="AM890" s="604" t="n"/>
      <x:c r="AN890" s="604" t="inlineStr">
        <x:is>
          <x:t xml:space="preserve">EVALUATED</x:t>
        </x:is>
      </x:c>
      <x:c r="AO890" s="604" t="inlineStr">
        <x:is>
          <x:t xml:space="preserve">GIVING_VALIDATED_EDGE、BUCKET_PRIOR_ONLY、INTENT_INTERPRETATION_ONLY、FFL_OPTIONAL、EXPERT_MARKET</x:t>
        </x:is>
      </x:c>
      <x:c r="AP890" s="604" t="inlineStr">
        <x:is>
          <x:t xml:space="preserve">759809ee2fcc64c06f59</x:t>
        </x:is>
      </x:c>
      <x:c r="AQ890" s="604" t="n">
        <x:v>-0.75</x:v>
      </x:c>
      <x:c r="AR890" s="604" t="n">
        <x:v>0.88</x:v>
      </x:c>
      <x:c r="AS890" s="604" t="n">
        <x:v>0.75</x:v>
      </x:c>
      <x:c r="AT890" s="604" t="n">
        <x:v>-0.75</x:v>
      </x:c>
      <x:c r="AU890" s="604" t="n">
        <x:v>0.88</x:v>
      </x:c>
      <x:c r="AV890" s="604" t="n">
        <x:v>0.82</x:v>
      </x:c>
      <x:c r="AW890" s="604" t="n">
        <x:v>46299.08204853009</x:v>
      </x:c>
      <x:c r="AX890" s="604" t="inlineStr">
        <x:is>
          <x:t xml:space="preserve">https://simondongxiao.github.io/odds/v4/</x:t>
        </x:is>
      </x:c>
      <x:c r="AY890" s="604" t="inlineStr">
        <x:is>
          <x:t xml:space="preserve">V4 Shadow Only；real_money=false；P(EV&gt;0)不是比赛胜率</x:t>
        </x:is>
      </x:c>
    </x:row>
    <x:row r="891" ht="22" customHeight="1">
      <x:c r="A891" s="604" t="inlineStr">
        <x:is>
          <x:t xml:space="preserve">2026-10-04</x:t>
        </x:is>
      </x:c>
      <x:c r="B891" s="604" t="inlineStr">
        <x:is>
          <x:t xml:space="preserve">2026-10-04 18:00</x:t>
        </x:is>
      </x:c>
      <x:c r="C891" s="604" t="str">
        <x:v>五大联赛非顶级联赛</x:v>
      </x:c>
      <x:c r="D891" s="604" t="inlineStr">
        <x:is>
          <x:t xml:space="preserve">联赛</x:t>
        </x:is>
      </x:c>
      <x:c r="E891" s="604" t="inlineStr">
        <x:is>
          <x:t xml:space="preserve">西协乙3</x:t>
        </x:is>
      </x:c>
      <x:c r="F891" s="604" t="inlineStr">
        <x:is>
          <x:t xml:space="preserve">英特城 vs 耶克拉诺</x:t>
        </x:is>
      </x:c>
      <x:c r="G891" s="604" t="n">
        <x:v>0.85</x:v>
      </x:c>
      <x:c r="H891" s="604" t="n">
        <x:v>0.25</x:v>
      </x:c>
      <x:c r="I891" s="604" t="n">
        <x:v>0.85</x:v>
      </x:c>
      <x:c r="J891" s="604" t="inlineStr">
        <x:is>
          <x:t xml:space="preserve">0.85/0.25/0.85</x:t>
        </x:is>
      </x:c>
      <x:c r="K891" s="604" t="inlineStr">
        <x:is>
          <x:t xml:space="preserve">V4-B｜EV +0.1581</x:t>
        </x:is>
      </x:c>
      <x:c r="L891" s="604" t="inlineStr">
        <x:is>
          <x:t xml:space="preserve">英特城</x:t>
        </x:is>
      </x:c>
      <x:c r="M891" s="604" t="n">
        <x:v>0.6377754909731478</x:v>
      </x:c>
      <x:c r="N891" s="604" t="inlineStr">
        <x:is>
          <x:t xml:space="preserve">V4纸面入选-B</x:t>
        </x:is>
      </x:c>
      <x:c r="O891" s="604" t="inlineStr">
        <x:is>
          <x:t xml:space="preserve">1-1</x:t>
        </x:is>
      </x:c>
      <x:c r="P891" s="604" t="inlineStr">
        <x:is>
          <x:t xml:space="preserve">已结算</x:t>
        </x:is>
      </x:c>
      <x:c r="Q891" s="648" t="inlineStr">
        <x:is>
          <x:t xml:space="preserve">半黑</x:t>
        </x:is>
      </x:c>
      <x:c r="R891" s="604" t="n">
        <x:v>0.85</x:v>
      </x:c>
      <x:c r="S891" s="604" t="n">
        <x:f>IF(OR(Q891="",Q891="待结算"),"",IF(Q891="红",R891,IF(Q891="半红",R891*0.5,IF(Q891="走",0,IF(Q891="半黑",-0.5,-1)))))</x:f>
        <x:v>-0.5</x:v>
      </x:c>
      <x:c r="T891" s="604" t="inlineStr">
        <x:is>
          <x:t xml:space="preserve">https://m.titan007.com/analy/Analysis/3015896.htm</x:t>
        </x:is>
      </x:c>
      <x:c r="U891" s="649" t="str">
        <x:f>IF(Q891="","",IF(Q891="待结算","待结算",IF(Q891="红","黑",IF(Q891="半红","半黑",IF(Q891="走","走",IF(Q891="半黑","半红","红"))))))</x:f>
        <x:v>半红</x:v>
      </x:c>
      <x:c r="V891" s="604" t="n">
        <x:f>IF(OR(Q891="",Q891="待结算"),"",IF(L891=LEFT(F891,FIND(" vs ",F891)-1),I891,G891))</x:f>
        <x:v>0.85</x:v>
      </x:c>
      <x:c r="W891" s="604" t="n">
        <x:f>IF(OR(U891="",U891="待结算"),"",IF(U891="红",V891,IF(U891="半红",V891*0.5,IF(U891="走",0,IF(U891="半黑",-0.5,-1)))))</x:f>
        <x:v>0.425</x:v>
      </x:c>
      <x:c r="X891" s="604" t="inlineStr">
        <x:is>
          <x:t xml:space="preserve">3015896</x:t>
        </x:is>
      </x:c>
      <x:c r="Y891" s="604" t="inlineStr">
        <x:is>
          <x:t xml:space="preserve">V4</x:t>
        </x:is>
      </x:c>
      <x:c r="Z891" s="604" t="inlineStr">
        <x:is>
          <x:t xml:space="preserve">prior-2026-10-04-v1</x:t>
        </x:is>
      </x:c>
      <x:c r="AA891" s="604" t="inlineStr">
        <x:is>
          <x:t xml:space="preserve">B</x:t>
        </x:is>
      </x:c>
      <x:c r="AB891" s="604" t="n">
        <x:v>0.5605974667980579</x:v>
      </x:c>
      <x:c r="AC891" s="604" t="n"/>
      <x:c r="AD891" s="604" t="n"/>
      <x:c r="AE891" s="604" t="n">
        <x:v>0.2420225463895709</x:v>
      </x:c>
      <x:c r="AF891" s="604" t="n">
        <x:v>0.1973799868123713</x:v>
      </x:c>
      <x:c r="AG891" s="604" t="n">
        <x:v>0.1581165867711924</x:v>
      </x:c>
      <x:c r="AH891" s="604" t="n"/>
      <x:c r="AI891" s="604" t="n"/>
      <x:c r="AJ891" s="604" t="n">
        <x:v>0.1581165867711924</x:v>
      </x:c>
      <x:c r="AK891" s="604" t="n"/>
      <x:c r="AL891" s="604" t="n"/>
      <x:c r="AM891" s="604" t="n"/>
      <x:c r="AN891" s="604" t="inlineStr">
        <x:is>
          <x:t xml:space="preserve">EVALUATED</x:t>
        </x:is>
      </x:c>
      <x:c r="AO891" s="604" t="inlineStr">
        <x:is>
          <x:t xml:space="preserve">GIVING_VALIDATED_EDGE、BUCKET_PRIOR_ONLY、INTENT_INTERPRETATION_ONLY、FFL_OPTIONAL、EXPERT_MARKET</x:t>
        </x:is>
      </x:c>
      <x:c r="AP891" s="604" t="inlineStr">
        <x:is>
          <x:t xml:space="preserve">bcf48a613fec485f3c1d</x:t>
        </x:is>
      </x:c>
      <x:c r="AQ891" s="604" t="n">
        <x:v>-0.25</x:v>
      </x:c>
      <x:c r="AR891" s="604" t="n">
        <x:v>0.85</x:v>
      </x:c>
      <x:c r="AS891" s="604" t="n">
        <x:v>0.25</x:v>
      </x:c>
      <x:c r="AT891" s="604" t="n">
        <x:v>-0.25</x:v>
      </x:c>
      <x:c r="AU891" s="604" t="n">
        <x:v>0.85</x:v>
      </x:c>
      <x:c r="AV891" s="604" t="n">
        <x:v>0.85</x:v>
      </x:c>
      <x:c r="AW891" s="604" t="n">
        <x:v>46299.08204853009</x:v>
      </x:c>
      <x:c r="AX891" s="604" t="inlineStr">
        <x:is>
          <x:t xml:space="preserve">https://simondongxiao.github.io/odds/v4/</x:t>
        </x:is>
      </x:c>
      <x:c r="AY891" s="604" t="inlineStr">
        <x:is>
          <x:t xml:space="preserve">V4 Shadow Only；real_money=false；P(EV&gt;0)不是比赛胜率</x:t>
        </x:is>
      </x:c>
    </x:row>
    <x:row r="892" ht="22" customHeight="1">
      <x:c r="A892" s="604" t="inlineStr">
        <x:is>
          <x:t xml:space="preserve">2026-10-04</x:t>
        </x:is>
      </x:c>
      <x:c r="B892" s="604" t="inlineStr">
        <x:is>
          <x:t xml:space="preserve">2026-10-04 18:00</x:t>
        </x:is>
      </x:c>
      <x:c r="C892" s="604" t="str">
        <x:v>五大联赛非顶级联赛</x:v>
      </x:c>
      <x:c r="D892" s="604" t="inlineStr">
        <x:is>
          <x:t xml:space="preserve">联赛</x:t>
        </x:is>
      </x:c>
      <x:c r="E892" s="604" t="inlineStr">
        <x:is>
          <x:t xml:space="preserve">西协乙3</x:t>
        </x:is>
      </x:c>
      <x:c r="F892" s="604" t="inlineStr">
        <x:is>
          <x:t xml:space="preserve">皇家马洛卡B队 vs 艾高亚诺</x:t>
        </x:is>
      </x:c>
      <x:c r="G892" s="604" t="n">
        <x:v>0.8</x:v>
      </x:c>
      <x:c r="H892" s="604" t="n">
        <x:v>-0.25</x:v>
      </x:c>
      <x:c r="I892" s="604" t="n">
        <x:v>0.9</x:v>
      </x:c>
      <x:c r="J892" s="604" t="inlineStr">
        <x:is>
          <x:t xml:space="preserve">0.8/-0.25/0.9</x:t>
        </x:is>
      </x:c>
      <x:c r="K892" s="604" t="inlineStr">
        <x:is>
          <x:t xml:space="preserve">V4-B｜EV +0.2638</x:t>
        </x:is>
      </x:c>
      <x:c r="L892" s="604" t="inlineStr">
        <x:is>
          <x:t xml:space="preserve">皇家马洛卡B队</x:t>
        </x:is>
      </x:c>
      <x:c r="M892" s="604" t="n">
        <x:v>0.7234137843927473</x:v>
      </x:c>
      <x:c r="N892" s="604" t="inlineStr">
        <x:is>
          <x:t xml:space="preserve">V4纸面入选-B</x:t>
        </x:is>
      </x:c>
      <x:c r="O892" s="604" t="inlineStr">
        <x:is>
          <x:t xml:space="preserve">0-1</x:t>
        </x:is>
      </x:c>
      <x:c r="P892" s="604" t="inlineStr">
        <x:is>
          <x:t xml:space="preserve">已结算</x:t>
        </x:is>
      </x:c>
      <x:c r="Q892" s="646" t="inlineStr">
        <x:is>
          <x:t xml:space="preserve">黑</x:t>
        </x:is>
      </x:c>
      <x:c r="R892" s="604" t="n">
        <x:v>0.8</x:v>
      </x:c>
      <x:c r="S892" s="604" t="n">
        <x:f>IF(OR(Q892="",Q892="待结算"),"",IF(Q892="红",R892,IF(Q892="半红",R892*0.5,IF(Q892="走",0,IF(Q892="半黑",-0.5,-1)))))</x:f>
        <x:v>-1</x:v>
      </x:c>
      <x:c r="T892" s="604" t="inlineStr">
        <x:is>
          <x:t xml:space="preserve">https://m.titan007.com/analy/Analysis/3015897.htm</x:t>
        </x:is>
      </x:c>
      <x:c r="U892" s="645" t="str">
        <x:f>IF(Q892="","",IF(Q892="待结算","待结算",IF(Q892="红","黑",IF(Q892="半红","半黑",IF(Q892="走","走",IF(Q892="半黑","半红","红"))))))</x:f>
        <x:v>红</x:v>
      </x:c>
      <x:c r="V892" s="604" t="n">
        <x:f>IF(OR(Q892="",Q892="待结算"),"",IF(L892=LEFT(F892,FIND(" vs ",F892)-1),I892,G892))</x:f>
        <x:v>0.9</x:v>
      </x:c>
      <x:c r="W892" s="604" t="n">
        <x:f>IF(OR(U892="",U892="待结算"),"",IF(U892="红",V892,IF(U892="半红",V892*0.5,IF(U892="走",0,IF(U892="半黑",-0.5,-1)))))</x:f>
        <x:v>0.9</x:v>
      </x:c>
      <x:c r="X892" s="604" t="inlineStr">
        <x:is>
          <x:t xml:space="preserve">3015897</x:t>
        </x:is>
      </x:c>
      <x:c r="Y892" s="604" t="inlineStr">
        <x:is>
          <x:t xml:space="preserve">V4</x:t>
        </x:is>
      </x:c>
      <x:c r="Z892" s="604" t="inlineStr">
        <x:is>
          <x:t xml:space="preserve">prior-2026-10-04-v1</x:t>
        </x:is>
      </x:c>
      <x:c r="AA892" s="604" t="inlineStr">
        <x:is>
          <x:t xml:space="preserve">B</x:t>
        </x:is>
      </x:c>
      <x:c r="AB892" s="604" t="n">
        <x:v>0.5047488399311066</x:v>
      </x:c>
      <x:c r="AC892" s="604" t="n">
        <x:v>0.2537579151819169</x:v>
      </x:c>
      <x:c r="AD892" s="604" t="n"/>
      <x:c r="AE892" s="604" t="n"/>
      <x:c r="AF892" s="604" t="n">
        <x:v>0.2414932448869764</x:v>
      </x:c>
      <x:c r="AG892" s="604" t="n">
        <x:v>0.2638089931306756</x:v>
      </x:c>
      <x:c r="AH892" s="604" t="n"/>
      <x:c r="AI892" s="604" t="n"/>
      <x:c r="AJ892" s="604" t="n">
        <x:v>0.2638089931306756</x:v>
      </x:c>
      <x:c r="AK892" s="604" t="n"/>
      <x:c r="AL892" s="604" t="n"/>
      <x:c r="AM892" s="604" t="n"/>
      <x:c r="AN892" s="604" t="inlineStr">
        <x:is>
          <x:t xml:space="preserve">EVALUATED</x:t>
        </x:is>
      </x:c>
      <x:c r="AO892" s="604" t="inlineStr">
        <x:is>
          <x:t xml:space="preserve">RECEIVING_VALIDATED_EDGE、BUCKET_PRIOR_ONLY、INTENT_INTERPRETATION_ONLY、FFL_OPTIONAL、EXPERT_MARKET</x:t>
        </x:is>
      </x:c>
      <x:c r="AP892" s="604" t="inlineStr">
        <x:is>
          <x:t xml:space="preserve">97a953bea4274ce64950</x:t>
        </x:is>
      </x:c>
      <x:c r="AQ892" s="604" t="n">
        <x:v>0.25</x:v>
      </x:c>
      <x:c r="AR892" s="604" t="n">
        <x:v>0.8</x:v>
      </x:c>
      <x:c r="AS892" s="604" t="n">
        <x:v>-0.25</x:v>
      </x:c>
      <x:c r="AT892" s="604" t="n">
        <x:v>0.25</x:v>
      </x:c>
      <x:c r="AU892" s="604" t="n">
        <x:v>0.8</x:v>
      </x:c>
      <x:c r="AV892" s="604" t="n">
        <x:v>0.9</x:v>
      </x:c>
      <x:c r="AW892" s="604" t="n">
        <x:v>46299.08204853009</x:v>
      </x:c>
      <x:c r="AX892" s="604" t="inlineStr">
        <x:is>
          <x:t xml:space="preserve">https://simondongxiao.github.io/odds/v4/</x:t>
        </x:is>
      </x:c>
      <x:c r="AY892" s="604" t="inlineStr">
        <x:is>
          <x:t xml:space="preserve">V4 Shadow Only；real_money=false；P(EV&gt;0)不是比赛胜率</x:t>
        </x:is>
      </x:c>
    </x:row>
    <x:row r="893" ht="22" customHeight="1">
      <x:c r="A893" s="604" t="inlineStr">
        <x:is>
          <x:t xml:space="preserve">2026-10-04</x:t>
        </x:is>
      </x:c>
      <x:c r="B893" s="604" t="inlineStr">
        <x:is>
          <x:t xml:space="preserve">2026-10-04 18:00</x:t>
        </x:is>
      </x:c>
      <x:c r="C893" s="604" t="str">
        <x:v>欧洲非五大系列</x:v>
      </x:c>
      <x:c r="D893" s="604" t="inlineStr">
        <x:is>
          <x:t xml:space="preserve">联赛</x:t>
        </x:is>
      </x:c>
      <x:c r="E893" s="604" t="inlineStr">
        <x:is>
          <x:t xml:space="preserve">瑞典丙SS</x:t>
        </x:is>
      </x:c>
      <x:c r="F893" s="604" t="inlineStr">
        <x:is>
          <x:t xml:space="preserve">纳卡伊利里亚 vs 卡斯隆德</x:t>
        </x:is>
      </x:c>
      <x:c r="G893" s="604" t="n">
        <x:v>0.85</x:v>
      </x:c>
      <x:c r="H893" s="604" t="n">
        <x:v>0.5</x:v>
      </x:c>
      <x:c r="I893" s="604" t="n">
        <x:v>0.85</x:v>
      </x:c>
      <x:c r="J893" s="604" t="inlineStr">
        <x:is>
          <x:t xml:space="preserve">0.85/0.5/0.85</x:t>
        </x:is>
      </x:c>
      <x:c r="K893" s="604" t="inlineStr">
        <x:is>
          <x:t xml:space="preserve">V4-B｜EV +0.1466</x:t>
        </x:is>
      </x:c>
      <x:c r="L893" s="604" t="inlineStr">
        <x:is>
          <x:t xml:space="preserve">纳卡伊利里亚</x:t>
        </x:is>
      </x:c>
      <x:c r="M893" s="604" t="n">
        <x:v>0.6197681568558459</x:v>
      </x:c>
      <x:c r="N893" s="604" t="inlineStr">
        <x:is>
          <x:t xml:space="preserve">V4纸面入选-B</x:t>
        </x:is>
      </x:c>
      <x:c r="O893" s="604" t="inlineStr">
        <x:is>
          <x:t xml:space="preserve">1-4</x:t>
        </x:is>
      </x:c>
      <x:c r="P893" s="604" t="inlineStr">
        <x:is>
          <x:t xml:space="preserve">已结算</x:t>
        </x:is>
      </x:c>
      <x:c r="Q893" s="646" t="inlineStr">
        <x:is>
          <x:t xml:space="preserve">黑</x:t>
        </x:is>
      </x:c>
      <x:c r="R893" s="604" t="n">
        <x:v>0.85</x:v>
      </x:c>
      <x:c r="S893" s="604" t="n">
        <x:f>IF(OR(Q893="",Q893="待结算"),"",IF(Q893="红",R893,IF(Q893="半红",R893*0.5,IF(Q893="走",0,IF(Q893="半黑",-0.5,-1)))))</x:f>
        <x:v>-1</x:v>
      </x:c>
      <x:c r="T893" s="604" t="inlineStr">
        <x:is>
          <x:t xml:space="preserve">https://m.titan007.com/analy/Analysis/2926819.htm</x:t>
        </x:is>
      </x:c>
      <x:c r="U893" s="645" t="str">
        <x:f>IF(Q893="","",IF(Q893="待结算","待结算",IF(Q893="红","黑",IF(Q893="半红","半黑",IF(Q893="走","走",IF(Q893="半黑","半红","红"))))))</x:f>
        <x:v>红</x:v>
      </x:c>
      <x:c r="V893" s="604" t="n">
        <x:f>IF(OR(Q893="",Q893="待结算"),"",IF(L893=LEFT(F893,FIND(" vs ",F893)-1),I893,G893))</x:f>
        <x:v>0.85</x:v>
      </x:c>
      <x:c r="W893" s="604" t="n">
        <x:f>IF(OR(U893="",U893="待结算"),"",IF(U893="红",V893,IF(U893="半红",V893*0.5,IF(U893="走",0,IF(U893="半黑",-0.5,-1)))))</x:f>
        <x:v>0.85</x:v>
      </x:c>
      <x:c r="X893" s="604" t="inlineStr">
        <x:is>
          <x:t xml:space="preserve">2926819</x:t>
        </x:is>
      </x:c>
      <x:c r="Y893" s="604" t="inlineStr">
        <x:is>
          <x:t xml:space="preserve">V4</x:t>
        </x:is>
      </x:c>
      <x:c r="Z893" s="604" t="inlineStr">
        <x:is>
          <x:t xml:space="preserve">prior-2026-10-04-v1</x:t>
        </x:is>
      </x:c>
      <x:c r="AA893" s="604" t="inlineStr">
        <x:is>
          <x:t xml:space="preserve">B</x:t>
        </x:is>
      </x:c>
      <x:c r="AB893" s="604" t="n">
        <x:v>0.6197681568558459</x:v>
      </x:c>
      <x:c r="AC893" s="604" t="n"/>
      <x:c r="AD893" s="604" t="n"/>
      <x:c r="AE893" s="604" t="n"/>
      <x:c r="AF893" s="604" t="n">
        <x:v>0.3802318431441542</x:v>
      </x:c>
      <x:c r="AG893" s="604" t="n">
        <x:v>0.1465710901833148</x:v>
      </x:c>
      <x:c r="AH893" s="604" t="n"/>
      <x:c r="AI893" s="604" t="n"/>
      <x:c r="AJ893" s="604" t="n">
        <x:v>0.1465710901833148</x:v>
      </x:c>
      <x:c r="AK893" s="604" t="n"/>
      <x:c r="AL893" s="604" t="n"/>
      <x:c r="AM893" s="604" t="n"/>
      <x:c r="AN893" s="604" t="inlineStr">
        <x:is>
          <x:t xml:space="preserve">EVALUATED</x:t>
        </x:is>
      </x:c>
      <x:c r="AO893" s="604" t="inlineStr">
        <x:is>
          <x:t xml:space="preserve">GIVING_VALIDATED_EDGE、BUCKET_PRIOR_ONLY、INTENT_INTERPRETATION_ONLY、FFL_OPTIONAL、EXPERT_MARKET</x:t>
        </x:is>
      </x:c>
      <x:c r="AP893" s="604" t="inlineStr">
        <x:is>
          <x:t xml:space="preserve">e57b0c2c200440ba5485</x:t>
        </x:is>
      </x:c>
      <x:c r="AQ893" s="604" t="n">
        <x:v>-0.5</x:v>
      </x:c>
      <x:c r="AR893" s="604" t="n">
        <x:v>0.85</x:v>
      </x:c>
      <x:c r="AS893" s="604" t="n">
        <x:v>0.5</x:v>
      </x:c>
      <x:c r="AT893" s="604" t="n">
        <x:v>-0.5</x:v>
      </x:c>
      <x:c r="AU893" s="604" t="n">
        <x:v>0.85</x:v>
      </x:c>
      <x:c r="AV893" s="604" t="n">
        <x:v>0.85</x:v>
      </x:c>
      <x:c r="AW893" s="604" t="n">
        <x:v>46299.08204853009</x:v>
      </x:c>
      <x:c r="AX893" s="604" t="inlineStr">
        <x:is>
          <x:t xml:space="preserve">https://simondongxiao.github.io/odds/v4/</x:t>
        </x:is>
      </x:c>
      <x:c r="AY893" s="604" t="inlineStr">
        <x:is>
          <x:t xml:space="preserve">V4 Shadow Only；real_money=false；P(EV&gt;0)不是比赛胜率</x:t>
        </x:is>
      </x:c>
    </x:row>
    <x:row r="894" ht="22" customHeight="1">
      <x:c r="A894" s="604" t="inlineStr">
        <x:is>
          <x:t xml:space="preserve">2026-10-04</x:t>
        </x:is>
      </x:c>
      <x:c r="B894" s="604" t="inlineStr">
        <x:is>
          <x:t xml:space="preserve">2026-10-04 18:00</x:t>
        </x:is>
      </x:c>
      <x:c r="C894" s="604" t="str">
        <x:v>五大联赛非顶级联赛</x:v>
      </x:c>
      <x:c r="D894" s="604" t="inlineStr">
        <x:is>
          <x:t xml:space="preserve">联赛</x:t>
        </x:is>
      </x:c>
      <x:c r="E894" s="604" t="inlineStr">
        <x:is>
          <x:t xml:space="preserve">西丁</x:t>
        </x:is>
      </x:c>
      <x:c r="F894" s="604" t="inlineStr">
        <x:is>
          <x:t xml:space="preserve">希洪竞技B队 vs 兰格勒奥</x:t>
        </x:is>
      </x:c>
      <x:c r="G894" s="604" t="n">
        <x:v>0.78</x:v>
      </x:c>
      <x:c r="H894" s="604" t="n">
        <x:v>0</x:v>
      </x:c>
      <x:c r="I894" s="604" t="n">
        <x:v>0.92</x:v>
      </x:c>
      <x:c r="J894" s="604" t="inlineStr">
        <x:is>
          <x:t xml:space="preserve">0.78/0/0.92</x:t>
        </x:is>
      </x:c>
      <x:c r="K894" s="604" t="inlineStr">
        <x:is>
          <x:t xml:space="preserve">V4-C｜EV +0.0499</x:t>
        </x:is>
      </x:c>
      <x:c r="L894" s="604" t="str"/>
      <x:c r="M894" s="604" t="n">
        <x:v>0.59384755071182</x:v>
      </x:c>
      <x:c r="N894" s="604" t="inlineStr">
        <x:is>
          <x:t xml:space="preserve">V4纸面入选-C</x:t>
        </x:is>
      </x:c>
      <x:c r="O894" s="604" t="inlineStr">
        <x:is>
          <x:t xml:space="preserve">1-1</x:t>
        </x:is>
      </x:c>
      <x:c r="P894" s="604" t="inlineStr">
        <x:is>
          <x:t xml:space="preserve">已结算</x:t>
        </x:is>
      </x:c>
      <x:c r="Q894" s="647" t="inlineStr">
        <x:is>
          <x:t xml:space="preserve">走</x:t>
        </x:is>
      </x:c>
      <x:c r="R894" s="604" t="n">
        <x:v>0.92</x:v>
      </x:c>
      <x:c r="S894" s="604" t="n">
        <x:f>IF(OR(Q894="",Q894="待结算"),"",IF(Q894="红",R894,IF(Q894="半红",R894*0.5,IF(Q894="走",0,IF(Q894="半黑",-0.5,-1)))))</x:f>
        <x:v>0</x:v>
      </x:c>
      <x:c r="T894" s="604" t="inlineStr">
        <x:is>
          <x:t xml:space="preserve">https://m.titan007.com/analy/Analysis/3082309.htm</x:t>
        </x:is>
      </x:c>
      <x:c r="U894" s="647" t="str">
        <x:f>IF(Q894="","",IF(Q894="待结算","待结算",IF(Q894="红","黑",IF(Q894="半红","半黑",IF(Q894="走","走",IF(Q894="半黑","半红","红"))))))</x:f>
        <x:v>走</x:v>
      </x:c>
      <x:c r="V894" s="604" t="n">
        <x:f>IF(OR(Q894="",Q894="待结算"),"",IF(L894=LEFT(F894,FIND(" vs ",F894)-1),I894,G894))</x:f>
        <x:v>0.78</x:v>
      </x:c>
      <x:c r="W894" s="604" t="n">
        <x:f>IF(OR(U894="",U894="待结算"),"",IF(U894="红",V894,IF(U894="半红",V894*0.5,IF(U894="走",0,IF(U894="半黑",-0.5,-1)))))</x:f>
        <x:v>0</x:v>
      </x:c>
      <x:c r="X894" s="604" t="inlineStr">
        <x:is>
          <x:t xml:space="preserve">3082309</x:t>
        </x:is>
      </x:c>
      <x:c r="Y894" s="604" t="inlineStr">
        <x:is>
          <x:t xml:space="preserve">V4</x:t>
        </x:is>
      </x:c>
      <x:c r="Z894" s="604" t="inlineStr">
        <x:is>
          <x:t xml:space="preserve">prior-2026-10-04-v1</x:t>
        </x:is>
      </x:c>
      <x:c r="AA894" s="604" t="inlineStr">
        <x:is>
          <x:t xml:space="preserve">C</x:t>
        </x:is>
      </x:c>
      <x:c r="AB894" s="604" t="n">
        <x:v>0.5198610970175211</x:v>
      </x:c>
      <x:c r="AC894" s="604" t="n"/>
      <x:c r="AD894" s="604" t="n"/>
      <x:c r="AE894" s="604" t="n">
        <x:v>0.2491765895324972</x:v>
      </x:c>
      <x:c r="AF894" s="604" t="n">
        <x:v>0.2309623134499817</x:v>
      </x:c>
      <x:c r="AG894" s="604" t="n">
        <x:v>0.04994104745743622</x:v>
      </x:c>
      <x:c r="AH894" s="604" t="n"/>
      <x:c r="AI894" s="604" t="n"/>
      <x:c r="AJ894" s="604" t="n">
        <x:v>0.04994104745743622</x:v>
      </x:c>
      <x:c r="AK894" s="604" t="n"/>
      <x:c r="AL894" s="604" t="n"/>
      <x:c r="AM894" s="604" t="n"/>
      <x:c r="AN894" s="604" t="inlineStr">
        <x:is>
          <x:t xml:space="preserve">EVALUATED</x:t>
        </x:is>
      </x:c>
      <x:c r="AO894" s="604" t="inlineStr">
        <x:is>
          <x:t xml:space="preserve">EDGE_BELOW_UNCERTAINTY_THRESHOLD、BUCKET_PRIOR_ONLY、INTENT_INTERPRETATION_ONLY、FFL_OPTIONAL、EXPERT_MARKET</x:t>
        </x:is>
      </x:c>
      <x:c r="AP894" s="604" t="inlineStr">
        <x:is>
          <x:t xml:space="preserve">8b72b21d0e30df1212ec</x:t>
        </x:is>
      </x:c>
      <x:c r="AQ894" s="604" t="n">
        <x:v>0</x:v>
      </x:c>
      <x:c r="AR894" s="604" t="n"/>
      <x:c r="AS894" s="604" t="n">
        <x:v>0</x:v>
      </x:c>
      <x:c r="AT894" s="604" t="n">
        <x:v>0</x:v>
      </x:c>
      <x:c r="AU894" s="604" t="n">
        <x:v>0.78</x:v>
      </x:c>
      <x:c r="AV894" s="604" t="n">
        <x:v>0.92</x:v>
      </x:c>
      <x:c r="AW894" s="604" t="n">
        <x:v>46299.08204853009</x:v>
      </x:c>
      <x:c r="AX894" s="604" t="inlineStr">
        <x:is>
          <x:t xml:space="preserve">https://simondongxiao.github.io/odds/v4/</x:t>
        </x:is>
      </x:c>
      <x:c r="AY894" s="604" t="inlineStr">
        <x:is>
          <x:t xml:space="preserve">V4 Shadow Only；real_money=false；P(EV&gt;0)不是比赛胜率</x:t>
        </x:is>
      </x:c>
    </x:row>
    <x:row r="895" ht="22" customHeight="1">
      <x:c r="A895" s="604" t="inlineStr">
        <x:is>
          <x:t xml:space="preserve">2026-10-04</x:t>
        </x:is>
      </x:c>
      <x:c r="B895" s="604" t="inlineStr">
        <x:is>
          <x:t xml:space="preserve">2026-10-04 18:00</x:t>
        </x:is>
      </x:c>
      <x:c r="C895" s="604" t="str">
        <x:v>五大联赛非顶级联赛</x:v>
      </x:c>
      <x:c r="D895" s="604" t="inlineStr">
        <x:is>
          <x:t xml:space="preserve">联赛</x:t>
        </x:is>
      </x:c>
      <x:c r="E895" s="604" t="inlineStr">
        <x:is>
          <x:t xml:space="preserve">西丁</x:t>
        </x:is>
      </x:c>
      <x:c r="F895" s="604" t="inlineStr">
        <x:is>
          <x:t xml:space="preserve">利阿达 vs 阿维莱斯体育场</x:t>
        </x:is>
      </x:c>
      <x:c r="G895" s="604" t="n">
        <x:v>0.92</x:v>
      </x:c>
      <x:c r="H895" s="604" t="n">
        <x:v>1.25</x:v>
      </x:c>
      <x:c r="I895" s="604" t="n">
        <x:v>0.78</x:v>
      </x:c>
      <x:c r="J895" s="604" t="inlineStr">
        <x:is>
          <x:t xml:space="preserve">0.92/1.25/0.78</x:t>
        </x:is>
      </x:c>
      <x:c r="K895" s="604" t="inlineStr">
        <x:is>
          <x:t xml:space="preserve">V4-C｜EV +0.1618</x:t>
        </x:is>
      </x:c>
      <x:c r="L895" s="604" t="inlineStr">
        <x:is>
          <x:t xml:space="preserve">利阿达</x:t>
        </x:is>
      </x:c>
      <x:c r="M895" s="604" t="n">
        <x:v>0.6168473970365711</x:v>
      </x:c>
      <x:c r="N895" s="604" t="inlineStr">
        <x:is>
          <x:t xml:space="preserve">V4纸面入选-C</x:t>
        </x:is>
      </x:c>
      <x:c r="O895" s="604" t="inlineStr">
        <x:is>
          <x:t xml:space="preserve">2-0</x:t>
        </x:is>
      </x:c>
      <x:c r="P895" s="604" t="inlineStr">
        <x:is>
          <x:t xml:space="preserve">已结算</x:t>
        </x:is>
      </x:c>
      <x:c r="Q895" s="645" t="inlineStr">
        <x:is>
          <x:t xml:space="preserve">红</x:t>
        </x:is>
      </x:c>
      <x:c r="R895" s="604" t="n">
        <x:v>0.92</x:v>
      </x:c>
      <x:c r="S895" s="604" t="n">
        <x:f>IF(OR(Q895="",Q895="待结算"),"",IF(Q895="红",R895,IF(Q895="半红",R895*0.5,IF(Q895="走",0,IF(Q895="半黑",-0.5,-1)))))</x:f>
        <x:v>0.92</x:v>
      </x:c>
      <x:c r="T895" s="604" t="inlineStr">
        <x:is>
          <x:t xml:space="preserve">https://m.titan007.com/analy/Analysis/3082310.htm</x:t>
        </x:is>
      </x:c>
      <x:c r="U895" s="646" t="str">
        <x:f>IF(Q895="","",IF(Q895="待结算","待结算",IF(Q895="红","黑",IF(Q895="半红","半黑",IF(Q895="走","走",IF(Q895="半黑","半红","红"))))))</x:f>
        <x:v>黑</x:v>
      </x:c>
      <x:c r="V895" s="604" t="n">
        <x:f>IF(OR(Q895="",Q895="待结算"),"",IF(L895=LEFT(F895,FIND(" vs ",F895)-1),I895,G895))</x:f>
        <x:v>0.78</x:v>
      </x:c>
      <x:c r="W895" s="604" t="n">
        <x:f>IF(OR(U895="",U895="待结算"),"",IF(U895="红",V895,IF(U895="半红",V895*0.5,IF(U895="走",0,IF(U895="半黑",-0.5,-1)))))</x:f>
        <x:v>-1</x:v>
      </x:c>
      <x:c r="X895" s="604" t="inlineStr">
        <x:is>
          <x:t xml:space="preserve">3082310</x:t>
        </x:is>
      </x:c>
      <x:c r="Y895" s="604" t="inlineStr">
        <x:is>
          <x:t xml:space="preserve">V4</x:t>
        </x:is>
      </x:c>
      <x:c r="Z895" s="604" t="inlineStr">
        <x:is>
          <x:t xml:space="preserve">prior-2026-10-04-v1</x:t>
        </x:is>
      </x:c>
      <x:c r="AA895" s="604" t="inlineStr">
        <x:is>
          <x:t xml:space="preserve">C</x:t>
        </x:is>
      </x:c>
      <x:c r="AB895" s="604" t="n">
        <x:v>0.5414356580743933</x:v>
      </x:c>
      <x:c r="AC895" s="604" t="n"/>
      <x:c r="AD895" s="604" t="n"/>
      <x:c r="AE895" s="604" t="n">
        <x:v>0.2445069536629882</x:v>
      </x:c>
      <x:c r="AF895" s="604" t="n">
        <x:v>0.2140573882626186</x:v>
      </x:c>
      <x:c r="AG895" s="604" t="n">
        <x:v>0.1618099403343292</x:v>
      </x:c>
      <x:c r="AH895" s="604" t="n"/>
      <x:c r="AI895" s="604" t="n"/>
      <x:c r="AJ895" s="604" t="n">
        <x:v>0.1618099403343292</x:v>
      </x:c>
      <x:c r="AK895" s="604" t="n"/>
      <x:c r="AL895" s="604" t="n"/>
      <x:c r="AM895" s="604" t="n"/>
      <x:c r="AN895" s="604" t="inlineStr">
        <x:is>
          <x:t xml:space="preserve">EVALUATED</x:t>
        </x:is>
      </x:c>
      <x:c r="AO895" s="604" t="inlineStr">
        <x:is>
          <x:t xml:space="preserve">GIVING_VALIDATED_EDGE、BUCKET_PRIOR_ONLY、INTENT_INTERPRETATION_ONLY、FFL_OPTIONAL、EXPERT_MARKET</x:t>
        </x:is>
      </x:c>
      <x:c r="AP895" s="604" t="inlineStr">
        <x:is>
          <x:t xml:space="preserve">ab4e2dc8f41c821e4363</x:t>
        </x:is>
      </x:c>
      <x:c r="AQ895" s="604" t="n">
        <x:v>-1.25</x:v>
      </x:c>
      <x:c r="AR895" s="604" t="n">
        <x:v>0.92</x:v>
      </x:c>
      <x:c r="AS895" s="604" t="n">
        <x:v>1.25</x:v>
      </x:c>
      <x:c r="AT895" s="604" t="n">
        <x:v>-1.25</x:v>
      </x:c>
      <x:c r="AU895" s="604" t="n">
        <x:v>0.92</x:v>
      </x:c>
      <x:c r="AV895" s="604" t="n">
        <x:v>0.78</x:v>
      </x:c>
      <x:c r="AW895" s="604" t="n">
        <x:v>46299.08204853009</x:v>
      </x:c>
      <x:c r="AX895" s="604" t="inlineStr">
        <x:is>
          <x:t xml:space="preserve">https://simondongxiao.github.io/odds/v4/</x:t>
        </x:is>
      </x:c>
      <x:c r="AY895" s="604" t="inlineStr">
        <x:is>
          <x:t xml:space="preserve">V4 Shadow Only；real_money=false；P(EV&gt;0)不是比赛胜率</x:t>
        </x:is>
      </x:c>
    </x:row>
    <x:row r="896" ht="22" customHeight="1">
      <x:c r="A896" s="604" t="inlineStr">
        <x:is>
          <x:t xml:space="preserve">2026-10-04</x:t>
        </x:is>
      </x:c>
      <x:c r="B896" s="604" t="inlineStr">
        <x:is>
          <x:t xml:space="preserve">2026-10-04 18:00</x:t>
        </x:is>
      </x:c>
      <x:c r="C896" s="604" t="str">
        <x:v>五大联赛非顶级联赛</x:v>
      </x:c>
      <x:c r="D896" s="604" t="inlineStr">
        <x:is>
          <x:t xml:space="preserve">联赛</x:t>
        </x:is>
      </x:c>
      <x:c r="E896" s="604" t="inlineStr">
        <x:is>
          <x:t xml:space="preserve">西丁</x:t>
        </x:is>
      </x:c>
      <x:c r="F896" s="604" t="inlineStr">
        <x:is>
          <x:t xml:space="preserve">豪斯彼得利特 vs 莫列鲁萨</x:t>
        </x:is>
      </x:c>
      <x:c r="G896" s="604" t="n">
        <x:v>0.92</x:v>
      </x:c>
      <x:c r="H896" s="604" t="n">
        <x:v>1</x:v>
      </x:c>
      <x:c r="I896" s="604" t="n">
        <x:v>0.78</x:v>
      </x:c>
      <x:c r="J896" s="604" t="inlineStr">
        <x:is>
          <x:t xml:space="preserve">0.92/1/0.78</x:t>
        </x:is>
      </x:c>
      <x:c r="K896" s="604" t="inlineStr">
        <x:is>
          <x:t xml:space="preserve">V4-C｜EV +0.1012</x:t>
        </x:is>
      </x:c>
      <x:c r="L896" s="604" t="inlineStr">
        <x:is>
          <x:t xml:space="preserve">豪斯彼得利特</x:t>
        </x:is>
      </x:c>
      <x:c r="M896" s="604" t="n">
        <x:v>0.5916833732645381</x:v>
      </x:c>
      <x:c r="N896" s="604" t="inlineStr">
        <x:is>
          <x:t xml:space="preserve">V4纸面入选-C</x:t>
        </x:is>
      </x:c>
      <x:c r="O896" s="604" t="inlineStr">
        <x:is>
          <x:t xml:space="preserve">0-0</x:t>
        </x:is>
      </x:c>
      <x:c r="P896" s="604" t="inlineStr">
        <x:is>
          <x:t xml:space="preserve">已结算</x:t>
        </x:is>
      </x:c>
      <x:c r="Q896" s="646" t="inlineStr">
        <x:is>
          <x:t xml:space="preserve">黑</x:t>
        </x:is>
      </x:c>
      <x:c r="R896" s="604" t="n">
        <x:v>0.92</x:v>
      </x:c>
      <x:c r="S896" s="604" t="n">
        <x:f>IF(OR(Q896="",Q896="待结算"),"",IF(Q896="红",R896,IF(Q896="半红",R896*0.5,IF(Q896="走",0,IF(Q896="半黑",-0.5,-1)))))</x:f>
        <x:v>-1</x:v>
      </x:c>
      <x:c r="T896" s="604" t="inlineStr">
        <x:is>
          <x:t xml:space="preserve">https://m.titan007.com/analy/Analysis/3030687.htm</x:t>
        </x:is>
      </x:c>
      <x:c r="U896" s="645" t="str">
        <x:f>IF(Q896="","",IF(Q896="待结算","待结算",IF(Q896="红","黑",IF(Q896="半红","半黑",IF(Q896="走","走",IF(Q896="半黑","半红","红"))))))</x:f>
        <x:v>红</x:v>
      </x:c>
      <x:c r="V896" s="604" t="n">
        <x:f>IF(OR(Q896="",Q896="待结算"),"",IF(L896=LEFT(F896,FIND(" vs ",F896)-1),I896,G896))</x:f>
        <x:v>0.78</x:v>
      </x:c>
      <x:c r="W896" s="604" t="n">
        <x:f>IF(OR(U896="",U896="待结算"),"",IF(U896="红",V896,IF(U896="半红",V896*0.5,IF(U896="走",0,IF(U896="半黑",-0.5,-1)))))</x:f>
        <x:v>0.78</x:v>
      </x:c>
      <x:c r="X896" s="604" t="inlineStr">
        <x:is>
          <x:t xml:space="preserve">3030687</x:t>
        </x:is>
      </x:c>
      <x:c r="Y896" s="604" t="inlineStr">
        <x:is>
          <x:t xml:space="preserve">V4</x:t>
        </x:is>
      </x:c>
      <x:c r="Z896" s="604" t="inlineStr">
        <x:is>
          <x:t xml:space="preserve">prior-2026-10-04-v1</x:t>
        </x:is>
      </x:c>
      <x:c r="AA896" s="604" t="inlineStr">
        <x:is>
          <x:t xml:space="preserve">C</x:t>
        </x:is>
      </x:c>
      <x:c r="AB896" s="604" t="n">
        <x:v>0.4399751578550223</x:v>
      </x:c>
      <x:c r="AC896" s="604" t="n"/>
      <x:c r="AD896" s="604" t="n">
        <x:v>0.2564010115283195</x:v>
      </x:c>
      <x:c r="AE896" s="604" t="n"/>
      <x:c r="AF896" s="604" t="n">
        <x:v>0.3036238306166583</x:v>
      </x:c>
      <x:c r="AG896" s="604" t="n">
        <x:v>0.1011533146099623</x:v>
      </x:c>
      <x:c r="AH896" s="604" t="n"/>
      <x:c r="AI896" s="604" t="n"/>
      <x:c r="AJ896" s="604" t="n">
        <x:v>0.1011533146099623</x:v>
      </x:c>
      <x:c r="AK896" s="604" t="n"/>
      <x:c r="AL896" s="604" t="n"/>
      <x:c r="AM896" s="604" t="n"/>
      <x:c r="AN896" s="604" t="inlineStr">
        <x:is>
          <x:t xml:space="preserve">EVALUATED</x:t>
        </x:is>
      </x:c>
      <x:c r="AO896" s="604" t="inlineStr">
        <x:is>
          <x:t xml:space="preserve">GIVING_VALIDATED_EDGE、BUCKET_PRIOR_ONLY、INTENT_INTERPRETATION_ONLY、FFL_OPTIONAL、EXPERT_MARKET</x:t>
        </x:is>
      </x:c>
      <x:c r="AP896" s="604" t="inlineStr">
        <x:is>
          <x:t xml:space="preserve">de2ebcc0053618d2993f</x:t>
        </x:is>
      </x:c>
      <x:c r="AQ896" s="604" t="n">
        <x:v>-1</x:v>
      </x:c>
      <x:c r="AR896" s="604" t="n">
        <x:v>0.92</x:v>
      </x:c>
      <x:c r="AS896" s="604" t="n">
        <x:v>1</x:v>
      </x:c>
      <x:c r="AT896" s="604" t="n">
        <x:v>-1</x:v>
      </x:c>
      <x:c r="AU896" s="604" t="n">
        <x:v>0.92</x:v>
      </x:c>
      <x:c r="AV896" s="604" t="n">
        <x:v>0.78</x:v>
      </x:c>
      <x:c r="AW896" s="604" t="n">
        <x:v>46299.08204853009</x:v>
      </x:c>
      <x:c r="AX896" s="604" t="inlineStr">
        <x:is>
          <x:t xml:space="preserve">https://simondongxiao.github.io/odds/v4/</x:t>
        </x:is>
      </x:c>
      <x:c r="AY896" s="604" t="inlineStr">
        <x:is>
          <x:t xml:space="preserve">V4 Shadow Only；real_money=false；P(EV&gt;0)不是比赛胜率</x:t>
        </x:is>
      </x:c>
    </x:row>
    <x:row r="897" ht="22" customHeight="1">
      <x:c r="A897" s="604" t="inlineStr">
        <x:is>
          <x:t xml:space="preserve">2026-10-04</x:t>
        </x:is>
      </x:c>
      <x:c r="B897" s="604" t="inlineStr">
        <x:is>
          <x:t xml:space="preserve">2026-10-04 18:00</x:t>
        </x:is>
      </x:c>
      <x:c r="C897" s="604" t="str">
        <x:v>五大联赛非顶级联赛</x:v>
      </x:c>
      <x:c r="D897" s="604" t="inlineStr">
        <x:is>
          <x:t xml:space="preserve">联赛</x:t>
        </x:is>
      </x:c>
      <x:c r="E897" s="604" t="inlineStr">
        <x:is>
          <x:t xml:space="preserve">西丁</x:t>
        </x:is>
      </x:c>
      <x:c r="F897" s="604" t="inlineStr">
        <x:is>
          <x:t xml:space="preserve">蒙塔尼萨 vs 莱斯卡拉</x:t>
        </x:is>
      </x:c>
      <x:c r="G897" s="604" t="n">
        <x:v>0.78</x:v>
      </x:c>
      <x:c r="H897" s="604" t="n">
        <x:v>0.25</x:v>
      </x:c>
      <x:c r="I897" s="604" t="n">
        <x:v>0.92</x:v>
      </x:c>
      <x:c r="J897" s="604" t="inlineStr">
        <x:is>
          <x:t xml:space="preserve">0.78/0.25/0.92</x:t>
        </x:is>
      </x:c>
      <x:c r="K897" s="604" t="inlineStr">
        <x:is>
          <x:t xml:space="preserve">V4-C｜EV +0.0900</x:t>
        </x:is>
      </x:c>
      <x:c r="L897" s="604" t="inlineStr">
        <x:is>
          <x:t xml:space="preserve">蒙塔尼萨</x:t>
        </x:is>
      </x:c>
      <x:c r="M897" s="604" t="n">
        <x:v>0.6193890382373187</x:v>
      </x:c>
      <x:c r="N897" s="604" t="inlineStr">
        <x:is>
          <x:t xml:space="preserve">V4纸面入选-C</x:t>
        </x:is>
      </x:c>
      <x:c r="O897" s="604" t="inlineStr">
        <x:is>
          <x:t xml:space="preserve">0-0</x:t>
        </x:is>
      </x:c>
      <x:c r="P897" s="604" t="inlineStr">
        <x:is>
          <x:t xml:space="preserve">已结算</x:t>
        </x:is>
      </x:c>
      <x:c r="Q897" s="648" t="inlineStr">
        <x:is>
          <x:t xml:space="preserve">半黑</x:t>
        </x:is>
      </x:c>
      <x:c r="R897" s="604" t="n">
        <x:v>0.78</x:v>
      </x:c>
      <x:c r="S897" s="604" t="n">
        <x:f>IF(OR(Q897="",Q897="待结算"),"",IF(Q897="红",R897,IF(Q897="半红",R897*0.5,IF(Q897="走",0,IF(Q897="半黑",-0.5,-1)))))</x:f>
        <x:v>-0.5</x:v>
      </x:c>
      <x:c r="T897" s="604" t="inlineStr">
        <x:is>
          <x:t xml:space="preserve">https://m.titan007.com/analy/Analysis/3030688.htm</x:t>
        </x:is>
      </x:c>
      <x:c r="U897" s="649" t="str">
        <x:f>IF(Q897="","",IF(Q897="待结算","待结算",IF(Q897="红","黑",IF(Q897="半红","半黑",IF(Q897="走","走",IF(Q897="半黑","半红","红"))))))</x:f>
        <x:v>半红</x:v>
      </x:c>
      <x:c r="V897" s="604" t="n">
        <x:f>IF(OR(Q897="",Q897="待结算"),"",IF(L897=LEFT(F897,FIND(" vs ",F897)-1),I897,G897))</x:f>
        <x:v>0.92</x:v>
      </x:c>
      <x:c r="W897" s="604" t="n">
        <x:f>IF(OR(U897="",U897="待结算"),"",IF(U897="红",V897,IF(U897="半红",V897*0.5,IF(U897="走",0,IF(U897="半黑",-0.5,-1)))))</x:f>
        <x:v>0.46</x:v>
      </x:c>
      <x:c r="X897" s="604" t="inlineStr">
        <x:is>
          <x:t xml:space="preserve">3030688</x:t>
        </x:is>
      </x:c>
      <x:c r="Y897" s="604" t="inlineStr">
        <x:is>
          <x:t xml:space="preserve">V4</x:t>
        </x:is>
      </x:c>
      <x:c r="Z897" s="604" t="inlineStr">
        <x:is>
          <x:t xml:space="preserve">prior-2026-10-04-v1</x:t>
        </x:is>
      </x:c>
      <x:c r="AA897" s="604" t="inlineStr">
        <x:is>
          <x:t xml:space="preserve">C</x:t>
        </x:is>
      </x:c>
      <x:c r="AB897" s="604" t="n">
        <x:v>0.5437389824541499</x:v>
      </x:c>
      <x:c r="AC897" s="604" t="n"/>
      <x:c r="AD897" s="604" t="n"/>
      <x:c r="AE897" s="604" t="n">
        <x:v>0.2442731501947683</x:v>
      </x:c>
      <x:c r="AF897" s="604" t="n">
        <x:v>0.2119878673510819</x:v>
      </x:c>
      <x:c r="AG897" s="604" t="n">
        <x:v>0.08999196386577088</x:v>
      </x:c>
      <x:c r="AH897" s="604" t="n"/>
      <x:c r="AI897" s="604" t="n"/>
      <x:c r="AJ897" s="604" t="n">
        <x:v>0.08999196386577088</x:v>
      </x:c>
      <x:c r="AK897" s="604" t="n"/>
      <x:c r="AL897" s="604" t="n"/>
      <x:c r="AM897" s="604" t="n"/>
      <x:c r="AN897" s="604" t="inlineStr">
        <x:is>
          <x:t xml:space="preserve">EVALUATED</x:t>
        </x:is>
      </x:c>
      <x:c r="AO897" s="604" t="inlineStr">
        <x:is>
          <x:t xml:space="preserve">GIVING_VALIDATED_EDGE、BUCKET_PRIOR_ONLY、INTENT_INTERPRETATION_ONLY、FFL_OPTIONAL、EXPERT_MARKET</x:t>
        </x:is>
      </x:c>
      <x:c r="AP897" s="604" t="inlineStr">
        <x:is>
          <x:t xml:space="preserve">f36df0321820cf43c888</x:t>
        </x:is>
      </x:c>
      <x:c r="AQ897" s="604" t="n">
        <x:v>-0.25</x:v>
      </x:c>
      <x:c r="AR897" s="604" t="n">
        <x:v>0.78</x:v>
      </x:c>
      <x:c r="AS897" s="604" t="n">
        <x:v>0.25</x:v>
      </x:c>
      <x:c r="AT897" s="604" t="n">
        <x:v>-0.25</x:v>
      </x:c>
      <x:c r="AU897" s="604" t="n">
        <x:v>0.78</x:v>
      </x:c>
      <x:c r="AV897" s="604" t="n">
        <x:v>0.92</x:v>
      </x:c>
      <x:c r="AW897" s="604" t="n">
        <x:v>46299.08204853009</x:v>
      </x:c>
      <x:c r="AX897" s="604" t="inlineStr">
        <x:is>
          <x:t xml:space="preserve">https://simondongxiao.github.io/odds/v4/</x:t>
        </x:is>
      </x:c>
      <x:c r="AY897" s="604" t="inlineStr">
        <x:is>
          <x:t xml:space="preserve">V4 Shadow Only；real_money=false；P(EV&gt;0)不是比赛胜率</x:t>
        </x:is>
      </x:c>
    </x:row>
    <x:row r="898" ht="22" customHeight="1">
      <x:c r="A898" s="604" t="inlineStr">
        <x:is>
          <x:t xml:space="preserve">2026-10-04</x:t>
        </x:is>
      </x:c>
      <x:c r="B898" s="604" t="inlineStr">
        <x:is>
          <x:t xml:space="preserve">2026-10-04 18:00</x:t>
        </x:is>
      </x:c>
      <x:c r="C898" s="604" t="str">
        <x:v>五大联赛非顶级联赛</x:v>
      </x:c>
      <x:c r="D898" s="604" t="inlineStr">
        <x:is>
          <x:t xml:space="preserve">联赛</x:t>
        </x:is>
      </x:c>
      <x:c r="E898" s="604" t="inlineStr">
        <x:is>
          <x:t xml:space="preserve">西丁</x:t>
        </x:is>
      </x:c>
      <x:c r="F898" s="604" t="inlineStr">
        <x:is>
          <x:t xml:space="preserve">圣克里斯托瓦尔 vs 格拉马</x:t>
        </x:is>
      </x:c>
      <x:c r="G898" s="604" t="n">
        <x:v>0.73</x:v>
      </x:c>
      <x:c r="H898" s="604" t="n">
        <x:v>-0.25</x:v>
      </x:c>
      <x:c r="I898" s="604" t="n">
        <x:v>0.97</x:v>
      </x:c>
      <x:c r="J898" s="604" t="inlineStr">
        <x:is>
          <x:t xml:space="preserve">0.73/-0.25/0.97</x:t>
        </x:is>
      </x:c>
      <x:c r="K898" s="604" t="inlineStr">
        <x:is>
          <x:t xml:space="preserve">V4-C｜EV +0.1401</x:t>
        </x:is>
      </x:c>
      <x:c r="L898" s="604" t="inlineStr">
        <x:is>
          <x:t xml:space="preserve">圣克里斯托瓦尔</x:t>
        </x:is>
      </x:c>
      <x:c r="M898" s="604" t="n">
        <x:v>0.6711055046179113</x:v>
      </x:c>
      <x:c r="N898" s="604" t="inlineStr">
        <x:is>
          <x:t xml:space="preserve">V4纸面入选-C</x:t>
        </x:is>
      </x:c>
      <x:c r="O898" s="604" t="inlineStr">
        <x:is>
          <x:t xml:space="preserve">0-0</x:t>
        </x:is>
      </x:c>
      <x:c r="P898" s="604" t="inlineStr">
        <x:is>
          <x:t xml:space="preserve">已结算</x:t>
        </x:is>
      </x:c>
      <x:c r="Q898" s="649" t="inlineStr">
        <x:is>
          <x:t xml:space="preserve">半红</x:t>
        </x:is>
      </x:c>
      <x:c r="R898" s="604" t="n">
        <x:v>0.73</x:v>
      </x:c>
      <x:c r="S898" s="604" t="n">
        <x:f>IF(OR(Q898="",Q898="待结算"),"",IF(Q898="红",R898,IF(Q898="半红",R898*0.5,IF(Q898="走",0,IF(Q898="半黑",-0.5,-1)))))</x:f>
        <x:v>0.365</x:v>
      </x:c>
      <x:c r="T898" s="604" t="inlineStr">
        <x:is>
          <x:t xml:space="preserve">https://m.titan007.com/analy/Analysis/3030689.htm</x:t>
        </x:is>
      </x:c>
      <x:c r="U898" s="648" t="str">
        <x:f>IF(Q898="","",IF(Q898="待结算","待结算",IF(Q898="红","黑",IF(Q898="半红","半黑",IF(Q898="走","走",IF(Q898="半黑","半红","红"))))))</x:f>
        <x:v>半黑</x:v>
      </x:c>
      <x:c r="V898" s="604" t="n">
        <x:f>IF(OR(Q898="",Q898="待结算"),"",IF(L898=LEFT(F898,FIND(" vs ",F898)-1),I898,G898))</x:f>
        <x:v>0.97</x:v>
      </x:c>
      <x:c r="W898" s="604" t="n">
        <x:f>IF(OR(U898="",U898="待结算"),"",IF(U898="红",V898,IF(U898="半红",V898*0.5,IF(U898="走",0,IF(U898="半黑",-0.5,-1)))))</x:f>
        <x:v>-0.5</x:v>
      </x:c>
      <x:c r="X898" s="604" t="inlineStr">
        <x:is>
          <x:t xml:space="preserve">3030689</x:t>
        </x:is>
      </x:c>
      <x:c r="Y898" s="604" t="inlineStr">
        <x:is>
          <x:t xml:space="preserve">V4</x:t>
        </x:is>
      </x:c>
      <x:c r="Z898" s="604" t="inlineStr">
        <x:is>
          <x:t xml:space="preserve">prior-2026-10-04-v1</x:t>
        </x:is>
      </x:c>
      <x:c r="AA898" s="604" t="inlineStr">
        <x:is>
          <x:t xml:space="preserve">C</x:t>
        </x:is>
      </x:c>
      <x:c r="AB898" s="604" t="n">
        <x:v>0.4535519307129149</x:v>
      </x:c>
      <x:c r="AC898" s="604" t="n">
        <x:v>0.2603708423002758</x:v>
      </x:c>
      <x:c r="AD898" s="604" t="n"/>
      <x:c r="AE898" s="604" t="n"/>
      <x:c r="AF898" s="604" t="n">
        <x:v>0.2860772269868093</x:v>
      </x:c>
      <x:c r="AG898" s="604" t="n">
        <x:v>0.1400510398732192</x:v>
      </x:c>
      <x:c r="AH898" s="604" t="n"/>
      <x:c r="AI898" s="604" t="n"/>
      <x:c r="AJ898" s="604" t="n">
        <x:v>0.1400510398732192</x:v>
      </x:c>
      <x:c r="AK898" s="604" t="n"/>
      <x:c r="AL898" s="604" t="n"/>
      <x:c r="AM898" s="604" t="n"/>
      <x:c r="AN898" s="604" t="inlineStr">
        <x:is>
          <x:t xml:space="preserve">EVALUATED</x:t>
        </x:is>
      </x:c>
      <x:c r="AO898" s="604" t="inlineStr">
        <x:is>
          <x:t xml:space="preserve">RECEIVING_VALIDATED_EDGE、BUCKET_PRIOR_ONLY、INTENT_INTERPRETATION_ONLY、FFL_OPTIONAL、EXPERT_MARKET</x:t>
        </x:is>
      </x:c>
      <x:c r="AP898" s="604" t="inlineStr">
        <x:is>
          <x:t xml:space="preserve">d28f1195d28ef14c5e66</x:t>
        </x:is>
      </x:c>
      <x:c r="AQ898" s="604" t="n">
        <x:v>0.25</x:v>
      </x:c>
      <x:c r="AR898" s="604" t="n">
        <x:v>0.73</x:v>
      </x:c>
      <x:c r="AS898" s="604" t="n">
        <x:v>-0.25</x:v>
      </x:c>
      <x:c r="AT898" s="604" t="n">
        <x:v>0.25</x:v>
      </x:c>
      <x:c r="AU898" s="604" t="n">
        <x:v>0.73</x:v>
      </x:c>
      <x:c r="AV898" s="604" t="n">
        <x:v>0.97</x:v>
      </x:c>
      <x:c r="AW898" s="604" t="n">
        <x:v>46299.08204853009</x:v>
      </x:c>
      <x:c r="AX898" s="604" t="inlineStr">
        <x:is>
          <x:t xml:space="preserve">https://simondongxiao.github.io/odds/v4/</x:t>
        </x:is>
      </x:c>
      <x:c r="AY898" s="604" t="inlineStr">
        <x:is>
          <x:t xml:space="preserve">V4 Shadow Only；real_money=false；P(EV&gt;0)不是比赛胜率</x:t>
        </x:is>
      </x:c>
    </x:row>
    <x:row r="899" ht="22" customHeight="1">
      <x:c r="A899" s="604" t="inlineStr">
        <x:is>
          <x:t xml:space="preserve">2026-10-04</x:t>
        </x:is>
      </x:c>
      <x:c r="B899" s="604" t="inlineStr">
        <x:is>
          <x:t xml:space="preserve">2026-10-04 18:00</x:t>
        </x:is>
      </x:c>
      <x:c r="C899" s="604" t="str">
        <x:v>五大联赛非顶级联赛</x:v>
      </x:c>
      <x:c r="D899" s="604" t="inlineStr">
        <x:is>
          <x:t xml:space="preserve">联赛</x:t>
        </x:is>
      </x:c>
      <x:c r="E899" s="604" t="inlineStr">
        <x:is>
          <x:t xml:space="preserve">西丁</x:t>
        </x:is>
      </x:c>
      <x:c r="F899" s="604" t="inlineStr">
        <x:is>
          <x:t xml:space="preserve">克瑞斯图竞技 vs 尤尼恩斯塔斯CF B</x:t>
        </x:is>
      </x:c>
      <x:c r="G899" s="604" t="n">
        <x:v>0.83</x:v>
      </x:c>
      <x:c r="H899" s="604" t="n">
        <x:v>0.75</x:v>
      </x:c>
      <x:c r="I899" s="604" t="n">
        <x:v>0.87</x:v>
      </x:c>
      <x:c r="J899" s="604" t="inlineStr">
        <x:is>
          <x:t xml:space="preserve">0.83/0.75/0.87</x:t>
        </x:is>
      </x:c>
      <x:c r="K899" s="604" t="inlineStr">
        <x:is>
          <x:t xml:space="preserve">V4-C｜EV +0.1432</x:t>
        </x:is>
      </x:c>
      <x:c r="L899" s="604" t="inlineStr">
        <x:is>
          <x:t xml:space="preserve">克瑞斯图竞技</x:t>
        </x:is>
      </x:c>
      <x:c r="M899" s="604" t="n">
        <x:v>0.6362496528815302</x:v>
      </x:c>
      <x:c r="N899" s="604" t="inlineStr">
        <x:is>
          <x:t xml:space="preserve">V4纸面入选-C</x:t>
        </x:is>
      </x:c>
      <x:c r="O899" s="604" t="inlineStr">
        <x:is>
          <x:t xml:space="preserve">3-0</x:t>
        </x:is>
      </x:c>
      <x:c r="P899" s="604" t="inlineStr">
        <x:is>
          <x:t xml:space="preserve">已结算</x:t>
        </x:is>
      </x:c>
      <x:c r="Q899" s="645" t="inlineStr">
        <x:is>
          <x:t xml:space="preserve">红</x:t>
        </x:is>
      </x:c>
      <x:c r="R899" s="604" t="n">
        <x:v>0.83</x:v>
      </x:c>
      <x:c r="S899" s="604" t="n">
        <x:f>IF(OR(Q899="",Q899="待结算"),"",IF(Q899="红",R899,IF(Q899="半红",R899*0.5,IF(Q899="走",0,IF(Q899="半黑",-0.5,-1)))))</x:f>
        <x:v>0.83</x:v>
      </x:c>
      <x:c r="T899" s="604" t="inlineStr">
        <x:is>
          <x:t xml:space="preserve">https://m.titan007.com/analy/Analysis/3080241.htm</x:t>
        </x:is>
      </x:c>
      <x:c r="U899" s="646" t="str">
        <x:f>IF(Q899="","",IF(Q899="待结算","待结算",IF(Q899="红","黑",IF(Q899="半红","半黑",IF(Q899="走","走",IF(Q899="半黑","半红","红"))))))</x:f>
        <x:v>黑</x:v>
      </x:c>
      <x:c r="V899" s="604" t="n">
        <x:f>IF(OR(Q899="",Q899="待结算"),"",IF(L899=LEFT(F899,FIND(" vs ",F899)-1),I899,G899))</x:f>
        <x:v>0.87</x:v>
      </x:c>
      <x:c r="W899" s="604" t="n">
        <x:f>IF(OR(U899="",U899="待结算"),"",IF(U899="红",V899,IF(U899="半红",V899*0.5,IF(U899="走",0,IF(U899="半黑",-0.5,-1)))))</x:f>
        <x:v>-1</x:v>
      </x:c>
      <x:c r="X899" s="604" t="inlineStr">
        <x:is>
          <x:t xml:space="preserve">3080241</x:t>
        </x:is>
      </x:c>
      <x:c r="Y899" s="604" t="inlineStr">
        <x:is>
          <x:t xml:space="preserve">V4</x:t>
        </x:is>
      </x:c>
      <x:c r="Z899" s="604" t="inlineStr">
        <x:is>
          <x:t xml:space="preserve">prior-2026-10-04-v1</x:t>
        </x:is>
      </x:c>
      <x:c r="AA899" s="604" t="inlineStr">
        <x:is>
          <x:t xml:space="preserve">C</x:t>
        </x:is>
      </x:c>
      <x:c r="AB899" s="604" t="n">
        <x:v>0.4256425073324015</x:v>
      </x:c>
      <x:c r="AC899" s="604" t="n">
        <x:v>0.2574266649080565</x:v>
      </x:c>
      <x:c r="AD899" s="604" t="n"/>
      <x:c r="AE899" s="604" t="n"/>
      <x:c r="AF899" s="604" t="n">
        <x:v>0.3169308277595421</x:v>
      </x:c>
      <x:c r="AG899" s="604" t="n">
        <x:v>0.1431845192631946</x:v>
      </x:c>
      <x:c r="AH899" s="604" t="n"/>
      <x:c r="AI899" s="604" t="n"/>
      <x:c r="AJ899" s="604" t="n">
        <x:v>0.1431845192631946</x:v>
      </x:c>
      <x:c r="AK899" s="604" t="n"/>
      <x:c r="AL899" s="604" t="n"/>
      <x:c r="AM899" s="604" t="n"/>
      <x:c r="AN899" s="604" t="inlineStr">
        <x:is>
          <x:t xml:space="preserve">EVALUATED</x:t>
        </x:is>
      </x:c>
      <x:c r="AO899" s="604" t="inlineStr">
        <x:is>
          <x:t xml:space="preserve">GIVING_VALIDATED_EDGE、BUCKET_PRIOR_ONLY、INTENT_INTERPRETATION_ONLY、FFL_OPTIONAL、EXPERT_MARKET</x:t>
        </x:is>
      </x:c>
      <x:c r="AP899" s="604" t="inlineStr">
        <x:is>
          <x:t xml:space="preserve">ee20a8d76b5fbe64ee50</x:t>
        </x:is>
      </x:c>
      <x:c r="AQ899" s="604" t="n">
        <x:v>-0.75</x:v>
      </x:c>
      <x:c r="AR899" s="604" t="n">
        <x:v>0.83</x:v>
      </x:c>
      <x:c r="AS899" s="604" t="n">
        <x:v>0.75</x:v>
      </x:c>
      <x:c r="AT899" s="604" t="n">
        <x:v>-0.75</x:v>
      </x:c>
      <x:c r="AU899" s="604" t="n">
        <x:v>0.83</x:v>
      </x:c>
      <x:c r="AV899" s="604" t="n">
        <x:v>0.87</x:v>
      </x:c>
      <x:c r="AW899" s="604" t="n">
        <x:v>46299.08204853009</x:v>
      </x:c>
      <x:c r="AX899" s="604" t="inlineStr">
        <x:is>
          <x:t xml:space="preserve">https://simondongxiao.github.io/odds/v4/</x:t>
        </x:is>
      </x:c>
      <x:c r="AY899" s="604" t="inlineStr">
        <x:is>
          <x:t xml:space="preserve">V4 Shadow Only；real_money=false；P(EV&gt;0)不是比赛胜率</x:t>
        </x:is>
      </x:c>
    </x:row>
    <x:row r="900" ht="22" customHeight="1">
      <x:c r="A900" s="604" t="inlineStr">
        <x:is>
          <x:t xml:space="preserve">2026-10-04</x:t>
        </x:is>
      </x:c>
      <x:c r="B900" s="604" t="inlineStr">
        <x:is>
          <x:t xml:space="preserve">2026-10-04 18:00</x:t>
        </x:is>
      </x:c>
      <x:c r="C900" s="604" t="str">
        <x:v>五大联赛非顶级联赛</x:v>
      </x:c>
      <x:c r="D900" s="604" t="inlineStr">
        <x:is>
          <x:t xml:space="preserve">联赛</x:t>
        </x:is>
      </x:c>
      <x:c r="E900" s="604" t="inlineStr">
        <x:is>
          <x:t xml:space="preserve">西丁</x:t>
        </x:is>
      </x:c>
      <x:c r="F900" s="604" t="inlineStr">
        <x:is>
          <x:t xml:space="preserve">伊比萨岛 vs 缚汶特拉</x:t>
        </x:is>
      </x:c>
      <x:c r="G900" s="604" t="n">
        <x:v>0.85</x:v>
      </x:c>
      <x:c r="H900" s="604" t="n">
        <x:v>0</x:v>
      </x:c>
      <x:c r="I900" s="604" t="n">
        <x:v>0.85</x:v>
      </x:c>
      <x:c r="J900" s="604" t="inlineStr">
        <x:is>
          <x:t xml:space="preserve">0.85/0/0.85</x:t>
        </x:is>
      </x:c>
      <x:c r="K900" s="604" t="inlineStr">
        <x:is>
          <x:t xml:space="preserve">V4-C｜EV +0.0516</x:t>
        </x:is>
      </x:c>
      <x:c r="L900" s="604" t="str"/>
      <x:c r="M900" s="604" t="n">
        <x:v>0.5684085338666651</x:v>
      </x:c>
      <x:c r="N900" s="604" t="inlineStr">
        <x:is>
          <x:t xml:space="preserve">V4纸面入选-C</x:t>
        </x:is>
      </x:c>
      <x:c r="O900" s="604" t="inlineStr">
        <x:is>
          <x:t xml:space="preserve">2-0</x:t>
        </x:is>
      </x:c>
      <x:c r="P900" s="604" t="inlineStr">
        <x:is>
          <x:t xml:space="preserve">已结算</x:t>
        </x:is>
      </x:c>
      <x:c r="Q900" s="645" t="inlineStr">
        <x:is>
          <x:t xml:space="preserve">红</x:t>
        </x:is>
      </x:c>
      <x:c r="R900" s="604" t="n">
        <x:v>0.85</x:v>
      </x:c>
      <x:c r="S900" s="604" t="n">
        <x:f>IF(OR(Q900="",Q900="待结算"),"",IF(Q900="红",R900,IF(Q900="半红",R900*0.5,IF(Q900="走",0,IF(Q900="半黑",-0.5,-1)))))</x:f>
        <x:v>0.85</x:v>
      </x:c>
      <x:c r="T900" s="604" t="inlineStr">
        <x:is>
          <x:t xml:space="preserve">https://m.titan007.com/analy/Analysis/3078385.htm</x:t>
        </x:is>
      </x:c>
      <x:c r="U900" s="646" t="str">
        <x:f>IF(Q900="","",IF(Q900="待结算","待结算",IF(Q900="红","黑",IF(Q900="半红","半黑",IF(Q900="走","走",IF(Q900="半黑","半红","红"))))))</x:f>
        <x:v>黑</x:v>
      </x:c>
      <x:c r="V900" s="604" t="n">
        <x:f>IF(OR(Q900="",Q900="待结算"),"",IF(L900=LEFT(F900,FIND(" vs ",F900)-1),I900,G900))</x:f>
        <x:v>0.85</x:v>
      </x:c>
      <x:c r="W900" s="604" t="n">
        <x:f>IF(OR(U900="",U900="待结算"),"",IF(U900="红",V900,IF(U900="半红",V900*0.5,IF(U900="走",0,IF(U900="半黑",-0.5,-1)))))</x:f>
        <x:v>-1</x:v>
      </x:c>
      <x:c r="X900" s="604" t="inlineStr">
        <x:is>
          <x:t xml:space="preserve">3078385</x:t>
        </x:is>
      </x:c>
      <x:c r="Y900" s="604" t="inlineStr">
        <x:is>
          <x:t xml:space="preserve">V4</x:t>
        </x:is>
      </x:c>
      <x:c r="Z900" s="604" t="inlineStr">
        <x:is>
          <x:t xml:space="preserve">prior-2026-10-04-v1</x:t>
        </x:is>
      </x:c>
      <x:c r="AA900" s="604" t="inlineStr">
        <x:is>
          <x:t xml:space="preserve">C</x:t>
        </x:is>
      </x:c>
      <x:c r="AB900" s="604" t="n">
        <x:v>0.5684085338666651</x:v>
      </x:c>
      <x:c r="AC900" s="604" t="n"/>
      <x:c r="AD900" s="604" t="n"/>
      <x:c r="AE900" s="604" t="n"/>
      <x:c r="AF900" s="604" t="n">
        <x:v>0.4315914661333349</x:v>
      </x:c>
      <x:c r="AG900" s="604" t="n">
        <x:v>0.05155578765333046</x:v>
      </x:c>
      <x:c r="AH900" s="604" t="n"/>
      <x:c r="AI900" s="604" t="n"/>
      <x:c r="AJ900" s="604" t="n">
        <x:v>0.05155578765333046</x:v>
      </x:c>
      <x:c r="AK900" s="604" t="n"/>
      <x:c r="AL900" s="604" t="n"/>
      <x:c r="AM900" s="604" t="n"/>
      <x:c r="AN900" s="604" t="inlineStr">
        <x:is>
          <x:t xml:space="preserve">EVALUATED</x:t>
        </x:is>
      </x:c>
      <x:c r="AO900" s="604" t="inlineStr">
        <x:is>
          <x:t xml:space="preserve">EDGE_BELOW_UNCERTAINTY_THRESHOLD、BUCKET_PRIOR_ONLY、INTENT_INTERPRETATION_ONLY、FFL_OPTIONAL、EXPERT_MARKET</x:t>
        </x:is>
      </x:c>
      <x:c r="AP900" s="604" t="inlineStr">
        <x:is>
          <x:t xml:space="preserve">affb17456bee52fa6e28</x:t>
        </x:is>
      </x:c>
      <x:c r="AQ900" s="604" t="n">
        <x:v>0</x:v>
      </x:c>
      <x:c r="AR900" s="604" t="n"/>
      <x:c r="AS900" s="604" t="n">
        <x:v>0</x:v>
      </x:c>
      <x:c r="AT900" s="604" t="n">
        <x:v>0</x:v>
      </x:c>
      <x:c r="AU900" s="604" t="n">
        <x:v>0.85</x:v>
      </x:c>
      <x:c r="AV900" s="604" t="n">
        <x:v>0.85</x:v>
      </x:c>
      <x:c r="AW900" s="604" t="n">
        <x:v>46299.08204853009</x:v>
      </x:c>
      <x:c r="AX900" s="604" t="inlineStr">
        <x:is>
          <x:t xml:space="preserve">https://simondongxiao.github.io/odds/v4/</x:t>
        </x:is>
      </x:c>
      <x:c r="AY900" s="604" t="inlineStr">
        <x:is>
          <x:t xml:space="preserve">V4 Shadow Only；real_money=false；P(EV&gt;0)不是比赛胜率</x:t>
        </x:is>
      </x:c>
    </x:row>
    <x:row r="901" ht="22" customHeight="1">
      <x:c r="A901" s="604" t="inlineStr">
        <x:is>
          <x:t xml:space="preserve">2026-10-04</x:t>
        </x:is>
      </x:c>
      <x:c r="B901" s="604" t="inlineStr">
        <x:is>
          <x:t xml:space="preserve">2026-10-04 18:30</x:t>
        </x:is>
      </x:c>
      <x:c r="C901" s="604" t="str">
        <x:v>五大联赛非顶级联赛</x:v>
      </x:c>
      <x:c r="D901" s="604" t="inlineStr">
        <x:is>
          <x:t xml:space="preserve">联赛</x:t>
        </x:is>
      </x:c>
      <x:c r="E901" s="604" t="inlineStr">
        <x:is>
          <x:t xml:space="preserve">意丙</x:t>
        </x:is>
      </x:c>
      <x:c r="F901" s="604" t="inlineStr">
        <x:is>
          <x:t xml:space="preserve">莱科 vs 布雷西亚</x:t>
        </x:is>
      </x:c>
      <x:c r="G901" s="604" t="n">
        <x:v>0.88</x:v>
      </x:c>
      <x:c r="H901" s="604" t="n">
        <x:v>-0.5</x:v>
      </x:c>
      <x:c r="I901" s="604" t="n">
        <x:v>0.82</x:v>
      </x:c>
      <x:c r="J901" s="604" t="inlineStr">
        <x:is>
          <x:t xml:space="preserve">0.88/-0.5/0.82</x:t>
        </x:is>
      </x:c>
      <x:c r="K901" s="604" t="inlineStr">
        <x:is>
          <x:t xml:space="preserve">V4-B｜EV +0.5354</x:t>
        </x:is>
      </x:c>
      <x:c r="L901" s="604" t="inlineStr">
        <x:is>
          <x:t xml:space="preserve">莱科</x:t>
        </x:is>
      </x:c>
      <x:c r="M901" s="604" t="n">
        <x:v>0.8167279926177218</x:v>
      </x:c>
      <x:c r="N901" s="604" t="inlineStr">
        <x:is>
          <x:t xml:space="preserve">V4纸面入选-B</x:t>
        </x:is>
      </x:c>
      <x:c r="O901" s="604" t="inlineStr">
        <x:is>
          <x:t xml:space="preserve">2-2</x:t>
        </x:is>
      </x:c>
      <x:c r="P901" s="604" t="inlineStr">
        <x:is>
          <x:t xml:space="preserve">已结算</x:t>
        </x:is>
      </x:c>
      <x:c r="Q901" s="645" t="inlineStr">
        <x:is>
          <x:t xml:space="preserve">红</x:t>
        </x:is>
      </x:c>
      <x:c r="R901" s="604" t="n">
        <x:v>0.88</x:v>
      </x:c>
      <x:c r="S901" s="604" t="n">
        <x:f>IF(OR(Q901="",Q901="待结算"),"",IF(Q901="红",R901,IF(Q901="半红",R901*0.5,IF(Q901="走",0,IF(Q901="半黑",-0.5,-1)))))</x:f>
        <x:v>0.88</x:v>
      </x:c>
      <x:c r="T901" s="604" t="inlineStr">
        <x:is>
          <x:t xml:space="preserve">https://m.titan007.com/analy/Analysis/3050577.htm</x:t>
        </x:is>
      </x:c>
      <x:c r="U901" s="646" t="str">
        <x:f>IF(Q901="","",IF(Q901="待结算","待结算",IF(Q901="红","黑",IF(Q901="半红","半黑",IF(Q901="走","走",IF(Q901="半黑","半红","红"))))))</x:f>
        <x:v>黑</x:v>
      </x:c>
      <x:c r="V901" s="604" t="n">
        <x:f>IF(OR(Q901="",Q901="待结算"),"",IF(L901=LEFT(F901,FIND(" vs ",F901)-1),I901,G901))</x:f>
        <x:v>0.82</x:v>
      </x:c>
      <x:c r="W901" s="604" t="n">
        <x:f>IF(OR(U901="",U901="待结算"),"",IF(U901="红",V901,IF(U901="半红",V901*0.5,IF(U901="走",0,IF(U901="半黑",-0.5,-1)))))</x:f>
        <x:v>-1</x:v>
      </x:c>
      <x:c r="X901" s="604" t="inlineStr">
        <x:is>
          <x:t xml:space="preserve">3050577</x:t>
        </x:is>
      </x:c>
      <x:c r="Y901" s="604" t="inlineStr">
        <x:is>
          <x:t xml:space="preserve">V4</x:t>
        </x:is>
      </x:c>
      <x:c r="Z901" s="604" t="inlineStr">
        <x:is>
          <x:t xml:space="preserve">prior-2026-10-04-v1</x:t>
        </x:is>
      </x:c>
      <x:c r="AA901" s="604" t="inlineStr">
        <x:is>
          <x:t xml:space="preserve">B</x:t>
        </x:is>
      </x:c>
      <x:c r="AB901" s="604" t="n">
        <x:v>0.8167279926177218</x:v>
      </x:c>
      <x:c r="AC901" s="604" t="n"/>
      <x:c r="AD901" s="604" t="n"/>
      <x:c r="AE901" s="604" t="n"/>
      <x:c r="AF901" s="604" t="n">
        <x:v>0.1832720073822782</x:v>
      </x:c>
      <x:c r="AG901" s="604" t="n">
        <x:v>0.5354486261213169</x:v>
      </x:c>
      <x:c r="AH901" s="604" t="n"/>
      <x:c r="AI901" s="604" t="n"/>
      <x:c r="AJ901" s="604" t="n">
        <x:v>0.5354486261213169</x:v>
      </x:c>
      <x:c r="AK901" s="604" t="n"/>
      <x:c r="AL901" s="604" t="n"/>
      <x:c r="AM901" s="604" t="n"/>
      <x:c r="AN901" s="604" t="inlineStr">
        <x:is>
          <x:t xml:space="preserve">EVALUATED</x:t>
        </x:is>
      </x:c>
      <x:c r="AO901" s="604" t="inlineStr">
        <x:is>
          <x:t xml:space="preserve">RECEIVING_VALIDATED_EDGE、BUCKET_PRIOR_ONLY、INTENT_INTERPRETATION_ONLY、FFL_OPTIONAL、EXPERT_MARKET</x:t>
        </x:is>
      </x:c>
      <x:c r="AP901" s="604" t="inlineStr">
        <x:is>
          <x:t xml:space="preserve">0050934aee3a41426b5a</x:t>
        </x:is>
      </x:c>
      <x:c r="AQ901" s="604" t="n">
        <x:v>0.5</x:v>
      </x:c>
      <x:c r="AR901" s="604" t="n">
        <x:v>0.88</x:v>
      </x:c>
      <x:c r="AS901" s="604" t="n">
        <x:v>-0.5</x:v>
      </x:c>
      <x:c r="AT901" s="604" t="n">
        <x:v>0.5</x:v>
      </x:c>
      <x:c r="AU901" s="604" t="n">
        <x:v>0.88</x:v>
      </x:c>
      <x:c r="AV901" s="604" t="n">
        <x:v>0.82</x:v>
      </x:c>
      <x:c r="AW901" s="604" t="n">
        <x:v>46299.08204853009</x:v>
      </x:c>
      <x:c r="AX901" s="604" t="inlineStr">
        <x:is>
          <x:t xml:space="preserve">https://simondongxiao.github.io/odds/v4/</x:t>
        </x:is>
      </x:c>
      <x:c r="AY901" s="604" t="inlineStr">
        <x:is>
          <x:t xml:space="preserve">V4 Shadow Only；real_money=false；P(EV&gt;0)不是比赛胜率</x:t>
        </x:is>
      </x:c>
    </x:row>
    <x:row r="902" ht="22" customHeight="1">
      <x:c r="A902" s="604" t="inlineStr">
        <x:is>
          <x:t xml:space="preserve">2026-10-04</x:t>
        </x:is>
      </x:c>
      <x:c r="B902" s="604" t="inlineStr">
        <x:is>
          <x:t xml:space="preserve">2026-10-04 18:30</x:t>
        </x:is>
      </x:c>
      <x:c r="C902" s="604" t="str">
        <x:v>五大联赛非顶级联赛</x:v>
      </x:c>
      <x:c r="D902" s="604" t="inlineStr">
        <x:is>
          <x:t xml:space="preserve">联赛</x:t>
        </x:is>
      </x:c>
      <x:c r="E902" s="604" t="inlineStr">
        <x:is>
          <x:t xml:space="preserve">意丙</x:t>
        </x:is>
      </x:c>
      <x:c r="F902" s="604" t="inlineStr">
        <x:is>
          <x:t xml:space="preserve">特雷维索 vs 吉安纳</x:t>
        </x:is>
      </x:c>
      <x:c r="G902" s="604" t="n">
        <x:v>0.79</x:v>
      </x:c>
      <x:c r="H902" s="604" t="n">
        <x:v>0.5</x:v>
      </x:c>
      <x:c r="I902" s="604" t="n">
        <x:v>0.91</x:v>
      </x:c>
      <x:c r="J902" s="604" t="inlineStr">
        <x:is>
          <x:t xml:space="preserve">0.79/0.5/0.91</x:t>
        </x:is>
      </x:c>
      <x:c r="K902" s="604" t="inlineStr">
        <x:is>
          <x:t xml:space="preserve">V4-B｜EV +0.1545</x:t>
        </x:is>
      </x:c>
      <x:c r="L902" s="604" t="inlineStr">
        <x:is>
          <x:t xml:space="preserve">特雷维索</x:t>
        </x:is>
      </x:c>
      <x:c r="M902" s="604" t="n">
        <x:v>0.6449762686552454</x:v>
      </x:c>
      <x:c r="N902" s="604" t="inlineStr">
        <x:is>
          <x:t xml:space="preserve">V4纸面入选-B</x:t>
        </x:is>
      </x:c>
      <x:c r="O902" s="604" t="inlineStr">
        <x:is>
          <x:t xml:space="preserve">0-0</x:t>
        </x:is>
      </x:c>
      <x:c r="P902" s="604" t="inlineStr">
        <x:is>
          <x:t xml:space="preserve">已结算</x:t>
        </x:is>
      </x:c>
      <x:c r="Q902" s="646" t="inlineStr">
        <x:is>
          <x:t xml:space="preserve">黑</x:t>
        </x:is>
      </x:c>
      <x:c r="R902" s="604" t="n">
        <x:v>0.79</x:v>
      </x:c>
      <x:c r="S902" s="604" t="n">
        <x:f>IF(OR(Q902="",Q902="待结算"),"",IF(Q902="红",R902,IF(Q902="半红",R902*0.5,IF(Q902="走",0,IF(Q902="半黑",-0.5,-1)))))</x:f>
        <x:v>-1</x:v>
      </x:c>
      <x:c r="T902" s="604" t="inlineStr">
        <x:is>
          <x:t xml:space="preserve">https://m.titan007.com/analy/Analysis/3050580.htm</x:t>
        </x:is>
      </x:c>
      <x:c r="U902" s="645" t="str">
        <x:f>IF(Q902="","",IF(Q902="待结算","待结算",IF(Q902="红","黑",IF(Q902="半红","半黑",IF(Q902="走","走",IF(Q902="半黑","半红","红"))))))</x:f>
        <x:v>红</x:v>
      </x:c>
      <x:c r="V902" s="604" t="n">
        <x:f>IF(OR(Q902="",Q902="待结算"),"",IF(L902=LEFT(F902,FIND(" vs ",F902)-1),I902,G902))</x:f>
        <x:v>0.91</x:v>
      </x:c>
      <x:c r="W902" s="604" t="n">
        <x:f>IF(OR(U902="",U902="待结算"),"",IF(U902="红",V902,IF(U902="半红",V902*0.5,IF(U902="走",0,IF(U902="半黑",-0.5,-1)))))</x:f>
        <x:v>0.91</x:v>
      </x:c>
      <x:c r="X902" s="604" t="inlineStr">
        <x:is>
          <x:t xml:space="preserve">3050580</x:t>
        </x:is>
      </x:c>
      <x:c r="Y902" s="604" t="inlineStr">
        <x:is>
          <x:t xml:space="preserve">V4</x:t>
        </x:is>
      </x:c>
      <x:c r="Z902" s="604" t="inlineStr">
        <x:is>
          <x:t xml:space="preserve">prior-2026-10-04-v1</x:t>
        </x:is>
      </x:c>
      <x:c r="AA902" s="604" t="inlineStr">
        <x:is>
          <x:t xml:space="preserve">B</x:t>
        </x:is>
      </x:c>
      <x:c r="AB902" s="604" t="n">
        <x:v>0.6449762686552454</x:v>
      </x:c>
      <x:c r="AC902" s="604" t="n"/>
      <x:c r="AD902" s="604" t="n"/>
      <x:c r="AE902" s="604" t="n"/>
      <x:c r="AF902" s="604" t="n">
        <x:v>0.3550237313447546</x:v>
      </x:c>
      <x:c r="AG902" s="604" t="n">
        <x:v>0.1545075208928893</x:v>
      </x:c>
      <x:c r="AH902" s="604" t="n"/>
      <x:c r="AI902" s="604" t="n"/>
      <x:c r="AJ902" s="604" t="n">
        <x:v>0.1545075208928893</x:v>
      </x:c>
      <x:c r="AK902" s="604" t="n"/>
      <x:c r="AL902" s="604" t="n"/>
      <x:c r="AM902" s="604" t="n"/>
      <x:c r="AN902" s="604" t="inlineStr">
        <x:is>
          <x:t xml:space="preserve">EVALUATED</x:t>
        </x:is>
      </x:c>
      <x:c r="AO902" s="604" t="inlineStr">
        <x:is>
          <x:t xml:space="preserve">GIVING_VALIDATED_EDGE、BUCKET_PRIOR_ONLY、INTENT_INTERPRETATION_ONLY、FFL_OPTIONAL、EXPERT_MARKET</x:t>
        </x:is>
      </x:c>
      <x:c r="AP902" s="604" t="inlineStr">
        <x:is>
          <x:t xml:space="preserve">0ab6ead17d89078c3651</x:t>
        </x:is>
      </x:c>
      <x:c r="AQ902" s="604" t="n">
        <x:v>-0.5</x:v>
      </x:c>
      <x:c r="AR902" s="604" t="n">
        <x:v>0.79</x:v>
      </x:c>
      <x:c r="AS902" s="604" t="n">
        <x:v>0.5</x:v>
      </x:c>
      <x:c r="AT902" s="604" t="n">
        <x:v>-0.5</x:v>
      </x:c>
      <x:c r="AU902" s="604" t="n">
        <x:v>0.79</x:v>
      </x:c>
      <x:c r="AV902" s="604" t="n">
        <x:v>0.91</x:v>
      </x:c>
      <x:c r="AW902" s="604" t="n">
        <x:v>46299.08204853009</x:v>
      </x:c>
      <x:c r="AX902" s="604" t="inlineStr">
        <x:is>
          <x:t xml:space="preserve">https://simondongxiao.github.io/odds/v4/</x:t>
        </x:is>
      </x:c>
      <x:c r="AY902" s="604" t="inlineStr">
        <x:is>
          <x:t xml:space="preserve">V4 Shadow Only；real_money=false；P(EV&gt;0)不是比赛胜率</x:t>
        </x:is>
      </x:c>
    </x:row>
    <x:row r="903" ht="22" customHeight="1">
      <x:c r="A903" s="604" t="inlineStr">
        <x:is>
          <x:t xml:space="preserve">2026-10-04</x:t>
        </x:is>
      </x:c>
      <x:c r="B903" s="604" t="inlineStr">
        <x:is>
          <x:t xml:space="preserve">2026-10-04 18:30</x:t>
        </x:is>
      </x:c>
      <x:c r="C903" s="604" t="str">
        <x:v>欧洲非五大系列</x:v>
      </x:c>
      <x:c r="D903" s="604" t="inlineStr">
        <x:is>
          <x:t xml:space="preserve">联赛</x:t>
        </x:is>
      </x:c>
      <x:c r="E903" s="604" t="inlineStr">
        <x:is>
          <x:t xml:space="preserve">乌克甲</x:t>
        </x:is>
      </x:c>
      <x:c r="F903" s="604" t="inlineStr">
        <x:is>
          <x:t xml:space="preserve">罗姆内 vs 基督教体育</x:t>
        </x:is>
      </x:c>
      <x:c r="G903" s="604" t="n">
        <x:v>0.76</x:v>
      </x:c>
      <x:c r="H903" s="604" t="n">
        <x:v>0</x:v>
      </x:c>
      <x:c r="I903" s="604" t="n">
        <x:v>0.9399999999999999</x:v>
      </x:c>
      <x:c r="J903" s="604" t="inlineStr">
        <x:is>
          <x:t xml:space="preserve">0.76/0/0.94</x:t>
        </x:is>
      </x:c>
      <x:c r="K903" s="604" t="inlineStr">
        <x:is>
          <x:t xml:space="preserve">V4-C｜EV +0.0393</x:t>
        </x:is>
      </x:c>
      <x:c r="L903" s="604" t="str"/>
      <x:c r="M903" s="604" t="n">
        <x:v>0.590511475905827</x:v>
      </x:c>
      <x:c r="N903" s="604" t="inlineStr">
        <x:is>
          <x:t xml:space="preserve">V4纸面入选-C</x:t>
        </x:is>
      </x:c>
      <x:c r="O903" s="604" t="inlineStr">
        <x:is>
          <x:t xml:space="preserve">3-2</x:t>
        </x:is>
      </x:c>
      <x:c r="P903" s="604" t="inlineStr">
        <x:is>
          <x:t xml:space="preserve">已结算</x:t>
        </x:is>
      </x:c>
      <x:c r="Q903" s="645" t="inlineStr">
        <x:is>
          <x:t xml:space="preserve">红</x:t>
        </x:is>
      </x:c>
      <x:c r="R903" s="604" t="n">
        <x:v>0.9399999999999999</x:v>
      </x:c>
      <x:c r="S903" s="604" t="n">
        <x:f>IF(OR(Q903="",Q903="待结算"),"",IF(Q903="红",R903,IF(Q903="半红",R903*0.5,IF(Q903="走",0,IF(Q903="半黑",-0.5,-1)))))</x:f>
        <x:v>0.94</x:v>
      </x:c>
      <x:c r="T903" s="604" t="inlineStr">
        <x:is>
          <x:t xml:space="preserve">https://m.titan007.com/analy/Analysis/3035663.htm</x:t>
        </x:is>
      </x:c>
      <x:c r="U903" s="646" t="str">
        <x:f>IF(Q903="","",IF(Q903="待结算","待结算",IF(Q903="红","黑",IF(Q903="半红","半黑",IF(Q903="走","走",IF(Q903="半黑","半红","红"))))))</x:f>
        <x:v>黑</x:v>
      </x:c>
      <x:c r="V903" s="604" t="n">
        <x:f>IF(OR(Q903="",Q903="待结算"),"",IF(L903=LEFT(F903,FIND(" vs ",F903)-1),I903,G903))</x:f>
        <x:v>0.76</x:v>
      </x:c>
      <x:c r="W903" s="604" t="n">
        <x:f>IF(OR(U903="",U903="待结算"),"",IF(U903="红",V903,IF(U903="半红",V903*0.5,IF(U903="走",0,IF(U903="半黑",-0.5,-1)))))</x:f>
        <x:v>-1</x:v>
      </x:c>
      <x:c r="X903" s="604" t="inlineStr">
        <x:is>
          <x:t xml:space="preserve">3035663</x:t>
        </x:is>
      </x:c>
      <x:c r="Y903" s="604" t="inlineStr">
        <x:is>
          <x:t xml:space="preserve">V4</x:t>
        </x:is>
      </x:c>
      <x:c r="Z903" s="604" t="inlineStr">
        <x:is>
          <x:t xml:space="preserve">prior-2026-10-04-v1</x:t>
        </x:is>
      </x:c>
      <x:c r="AA903" s="604" t="inlineStr">
        <x:is>
          <x:t xml:space="preserve">C</x:t>
        </x:is>
      </x:c>
      <x:c r="AB903" s="604" t="n">
        <x:v>0.590511475905827</x:v>
      </x:c>
      <x:c r="AC903" s="604" t="n"/>
      <x:c r="AD903" s="604" t="n"/>
      <x:c r="AE903" s="604" t="n"/>
      <x:c r="AF903" s="604" t="n">
        <x:v>0.4094885240941731</x:v>
      </x:c>
      <x:c r="AG903" s="604" t="n">
        <x:v>0.0393001975942554</x:v>
      </x:c>
      <x:c r="AH903" s="604" t="n"/>
      <x:c r="AI903" s="604" t="n"/>
      <x:c r="AJ903" s="604" t="n">
        <x:v>0.0393001975942554</x:v>
      </x:c>
      <x:c r="AK903" s="604" t="n"/>
      <x:c r="AL903" s="604" t="n"/>
      <x:c r="AM903" s="604" t="n"/>
      <x:c r="AN903" s="604" t="inlineStr">
        <x:is>
          <x:t xml:space="preserve">EVALUATED</x:t>
        </x:is>
      </x:c>
      <x:c r="AO903" s="604" t="inlineStr">
        <x:is>
          <x:t xml:space="preserve">EDGE_BELOW_UNCERTAINTY_THRESHOLD、BUCKET_PRIOR_ONLY、INTENT_INTERPRETATION_ONLY、FFL_OPTIONAL、EXPERT_MARKET</x:t>
        </x:is>
      </x:c>
      <x:c r="AP903" s="604" t="inlineStr">
        <x:is>
          <x:t xml:space="preserve">0a8c1cecc1aff7027e93</x:t>
        </x:is>
      </x:c>
      <x:c r="AQ903" s="604" t="n">
        <x:v>0</x:v>
      </x:c>
      <x:c r="AR903" s="604" t="n"/>
      <x:c r="AS903" s="604" t="n">
        <x:v>0</x:v>
      </x:c>
      <x:c r="AT903" s="604" t="n">
        <x:v>0</x:v>
      </x:c>
      <x:c r="AU903" s="604" t="n">
        <x:v>0.76</x:v>
      </x:c>
      <x:c r="AV903" s="604" t="n">
        <x:v>0.9399999999999999</x:v>
      </x:c>
      <x:c r="AW903" s="604" t="n">
        <x:v>46299.08204853009</x:v>
      </x:c>
      <x:c r="AX903" s="604" t="inlineStr">
        <x:is>
          <x:t xml:space="preserve">https://simondongxiao.github.io/odds/v4/</x:t>
        </x:is>
      </x:c>
      <x:c r="AY903" s="604" t="inlineStr">
        <x:is>
          <x:t xml:space="preserve">V4 Shadow Only；real_money=false；P(EV&gt;0)不是比赛胜率</x:t>
        </x:is>
      </x:c>
    </x:row>
    <x:row r="904" ht="22" customHeight="1">
      <x:c r="A904" s="604" t="inlineStr">
        <x:is>
          <x:t xml:space="preserve">2026-10-04</x:t>
        </x:is>
      </x:c>
      <x:c r="B904" s="604" t="inlineStr">
        <x:is>
          <x:t xml:space="preserve">2026-10-04 19:00</x:t>
        </x:is>
      </x:c>
      <x:c r="C904" s="604" t="str">
        <x:v>欧洲非五大系列</x:v>
      </x:c>
      <x:c r="D904" s="604" t="inlineStr">
        <x:is>
          <x:t xml:space="preserve">联赛</x:t>
        </x:is>
      </x:c>
      <x:c r="E904" s="604" t="inlineStr">
        <x:is>
          <x:t xml:space="preserve">瑞典乙南</x:t>
        </x:is>
      </x:c>
      <x:c r="F904" s="604" t="inlineStr">
        <x:is>
          <x:t xml:space="preserve">BK奥林匹克 vs 特雷勒堡</x:t>
        </x:is>
      </x:c>
      <x:c r="G904" s="604" t="n">
        <x:v>0.9</x:v>
      </x:c>
      <x:c r="H904" s="604" t="n">
        <x:v>-0.25</x:v>
      </x:c>
      <x:c r="I904" s="604" t="n">
        <x:v>0.8</x:v>
      </x:c>
      <x:c r="J904" s="604" t="inlineStr">
        <x:is>
          <x:t xml:space="preserve">0.9/-0.25/0.8</x:t>
        </x:is>
      </x:c>
      <x:c r="K904" s="604" t="inlineStr">
        <x:is>
          <x:t xml:space="preserve">V4-B｜EV +0.3195</x:t>
        </x:is>
      </x:c>
      <x:c r="L904" s="604" t="inlineStr">
        <x:is>
          <x:t xml:space="preserve">BK奥林匹克</x:t>
        </x:is>
      </x:c>
      <x:c r="M904" s="604" t="n">
        <x:v>0.7185416767247378</x:v>
      </x:c>
      <x:c r="N904" s="604" t="inlineStr">
        <x:is>
          <x:t xml:space="preserve">V4纸面入选-B</x:t>
        </x:is>
      </x:c>
      <x:c r="O904" s="604" t="inlineStr">
        <x:is>
          <x:t xml:space="preserve">0-2</x:t>
        </x:is>
      </x:c>
      <x:c r="P904" s="604" t="inlineStr">
        <x:is>
          <x:t xml:space="preserve">已结算</x:t>
        </x:is>
      </x:c>
      <x:c r="Q904" s="646" t="inlineStr">
        <x:is>
          <x:t xml:space="preserve">黑</x:t>
        </x:is>
      </x:c>
      <x:c r="R904" s="604" t="n">
        <x:v>0.9</x:v>
      </x:c>
      <x:c r="S904" s="604" t="n">
        <x:f>IF(OR(Q904="",Q904="待结算"),"",IF(Q904="红",R904,IF(Q904="半红",R904*0.5,IF(Q904="走",0,IF(Q904="半黑",-0.5,-1)))))</x:f>
        <x:v>-1</x:v>
      </x:c>
      <x:c r="T904" s="604" t="inlineStr">
        <x:is>
          <x:t xml:space="preserve">https://m.titan007.com/analy/Analysis/2919929.htm</x:t>
        </x:is>
      </x:c>
      <x:c r="U904" s="645" t="str">
        <x:f>IF(Q904="","",IF(Q904="待结算","待结算",IF(Q904="红","黑",IF(Q904="半红","半黑",IF(Q904="走","走",IF(Q904="半黑","半红","红"))))))</x:f>
        <x:v>红</x:v>
      </x:c>
      <x:c r="V904" s="604" t="n">
        <x:f>IF(OR(Q904="",Q904="待结算"),"",IF(L904=LEFT(F904,FIND(" vs ",F904)-1),I904,G904))</x:f>
        <x:v>0.8</x:v>
      </x:c>
      <x:c r="W904" s="604" t="n">
        <x:f>IF(OR(U904="",U904="待结算"),"",IF(U904="红",V904,IF(U904="半红",V904*0.5,IF(U904="走",0,IF(U904="半黑",-0.5,-1)))))</x:f>
        <x:v>0.8</x:v>
      </x:c>
      <x:c r="X904" s="604" t="inlineStr">
        <x:is>
          <x:t xml:space="preserve">2919929</x:t>
        </x:is>
      </x:c>
      <x:c r="Y904" s="604" t="inlineStr">
        <x:is>
          <x:t xml:space="preserve">V4</x:t>
        </x:is>
      </x:c>
      <x:c r="Z904" s="604" t="inlineStr">
        <x:is>
          <x:t xml:space="preserve">prior-2026-10-04-v1</x:t>
        </x:is>
      </x:c>
      <x:c r="AA904" s="604" t="inlineStr">
        <x:is>
          <x:t xml:space="preserve">B</x:t>
        </x:is>
      </x:c>
      <x:c r="AB904" s="604" t="n">
        <x:v>0.5033168974407364</x:v>
      </x:c>
      <x:c r="AC904" s="604" t="n">
        <x:v>0.2504737385178636</x:v>
      </x:c>
      <x:c r="AD904" s="604" t="n"/>
      <x:c r="AE904" s="604" t="n"/>
      <x:c r="AF904" s="604" t="n">
        <x:v>0.2462093640414</x:v>
      </x:c>
      <x:c r="AG904" s="604" t="n">
        <x:v>0.3194890259883014</x:v>
      </x:c>
      <x:c r="AH904" s="604" t="n"/>
      <x:c r="AI904" s="604" t="n"/>
      <x:c r="AJ904" s="604" t="n">
        <x:v>0.3194890259883014</x:v>
      </x:c>
      <x:c r="AK904" s="604" t="n"/>
      <x:c r="AL904" s="604" t="n"/>
      <x:c r="AM904" s="604" t="n"/>
      <x:c r="AN904" s="604" t="inlineStr">
        <x:is>
          <x:t xml:space="preserve">EVALUATED</x:t>
        </x:is>
      </x:c>
      <x:c r="AO904" s="604" t="inlineStr">
        <x:is>
          <x:t xml:space="preserve">RECEIVING_VALIDATED_EDGE、BUCKET_PRIOR_ONLY、INTENT_INTERPRETATION_ONLY、FFL_OPTIONAL、EXPERT_MARKET</x:t>
        </x:is>
      </x:c>
      <x:c r="AP904" s="604" t="inlineStr">
        <x:is>
          <x:t xml:space="preserve">a663db1cd1188cc27f7d</x:t>
        </x:is>
      </x:c>
      <x:c r="AQ904" s="604" t="n">
        <x:v>0.25</x:v>
      </x:c>
      <x:c r="AR904" s="604" t="n">
        <x:v>0.9</x:v>
      </x:c>
      <x:c r="AS904" s="604" t="n">
        <x:v>-0.25</x:v>
      </x:c>
      <x:c r="AT904" s="604" t="n">
        <x:v>0.25</x:v>
      </x:c>
      <x:c r="AU904" s="604" t="n">
        <x:v>0.9</x:v>
      </x:c>
      <x:c r="AV904" s="604" t="n">
        <x:v>0.8</x:v>
      </x:c>
      <x:c r="AW904" s="604" t="n">
        <x:v>46299.08204853009</x:v>
      </x:c>
      <x:c r="AX904" s="604" t="inlineStr">
        <x:is>
          <x:t xml:space="preserve">https://simondongxiao.github.io/odds/v4/</x:t>
        </x:is>
      </x:c>
      <x:c r="AY904" s="604" t="inlineStr">
        <x:is>
          <x:t xml:space="preserve">V4 Shadow Only；real_money=false；P(EV&gt;0)不是比赛胜率</x:t>
        </x:is>
      </x:c>
    </x:row>
    <x:row r="905" ht="22" customHeight="1">
      <x:c r="A905" s="604" t="inlineStr">
        <x:is>
          <x:t xml:space="preserve">2026-10-04</x:t>
        </x:is>
      </x:c>
      <x:c r="B905" s="604" t="inlineStr">
        <x:is>
          <x:t xml:space="preserve">2026-10-04 19:00</x:t>
        </x:is>
      </x:c>
      <x:c r="C905" s="604" t="str">
        <x:v>欧洲非五大系列</x:v>
      </x:c>
      <x:c r="D905" s="604" t="inlineStr">
        <x:is>
          <x:t xml:space="preserve">联赛</x:t>
        </x:is>
      </x:c>
      <x:c r="E905" s="604" t="inlineStr">
        <x:is>
          <x:t xml:space="preserve">挪乙</x:t>
        </x:is>
      </x:c>
      <x:c r="F905" s="604" t="inlineStr">
        <x:is>
          <x:t xml:space="preserve">拉纳 vs 伊斯沃德</x:t>
        </x:is>
      </x:c>
      <x:c r="G905" s="604" t="n">
        <x:v>0.86</x:v>
      </x:c>
      <x:c r="H905" s="604" t="n">
        <x:v>-1.25</x:v>
      </x:c>
      <x:c r="I905" s="604" t="n">
        <x:v>0.84</x:v>
      </x:c>
      <x:c r="J905" s="604" t="inlineStr">
        <x:is>
          <x:t xml:space="preserve">0.86/-1.25/0.84</x:t>
        </x:is>
      </x:c>
      <x:c r="K905" s="604" t="inlineStr">
        <x:is>
          <x:t xml:space="preserve">V4-B｜EV +0.8079</x:t>
        </x:is>
      </x:c>
      <x:c r="L905" s="604" t="inlineStr">
        <x:is>
          <x:t xml:space="preserve">拉纳</x:t>
        </x:is>
      </x:c>
      <x:c r="M905" s="604" t="n">
        <x:v>0.9848669397809885</x:v>
      </x:c>
      <x:c r="N905" s="604" t="inlineStr">
        <x:is>
          <x:t xml:space="preserve">V4纸面入选-B</x:t>
        </x:is>
      </x:c>
      <x:c r="O905" s="604" t="inlineStr">
        <x:is>
          <x:t xml:space="preserve">2-1</x:t>
        </x:is>
      </x:c>
      <x:c r="P905" s="604" t="inlineStr">
        <x:is>
          <x:t xml:space="preserve">已结算</x:t>
        </x:is>
      </x:c>
      <x:c r="Q905" s="645" t="inlineStr">
        <x:is>
          <x:t xml:space="preserve">红</x:t>
        </x:is>
      </x:c>
      <x:c r="R905" s="604" t="n">
        <x:v>0.86</x:v>
      </x:c>
      <x:c r="S905" s="604" t="n">
        <x:f>IF(OR(Q905="",Q905="待结算"),"",IF(Q905="红",R905,IF(Q905="半红",R905*0.5,IF(Q905="走",0,IF(Q905="半黑",-0.5,-1)))))</x:f>
        <x:v>0.86</x:v>
      </x:c>
      <x:c r="T905" s="604" t="inlineStr">
        <x:is>
          <x:t xml:space="preserve">https://m.titan007.com/analy/Analysis/2913541.htm</x:t>
        </x:is>
      </x:c>
      <x:c r="U905" s="646" t="str">
        <x:f>IF(Q905="","",IF(Q905="待结算","待结算",IF(Q905="红","黑",IF(Q905="半红","半黑",IF(Q905="走","走",IF(Q905="半黑","半红","红"))))))</x:f>
        <x:v>黑</x:v>
      </x:c>
      <x:c r="V905" s="604" t="n">
        <x:f>IF(OR(Q905="",Q905="待结算"),"",IF(L905=LEFT(F905,FIND(" vs ",F905)-1),I905,G905))</x:f>
        <x:v>0.84</x:v>
      </x:c>
      <x:c r="W905" s="604" t="n">
        <x:f>IF(OR(U905="",U905="待结算"),"",IF(U905="红",V905,IF(U905="半红",V905*0.5,IF(U905="走",0,IF(U905="半黑",-0.5,-1)))))</x:f>
        <x:v>-1</x:v>
      </x:c>
      <x:c r="X905" s="604" t="inlineStr">
        <x:is>
          <x:t xml:space="preserve">2913541</x:t>
        </x:is>
      </x:c>
      <x:c r="Y905" s="604" t="inlineStr">
        <x:is>
          <x:t xml:space="preserve">V4</x:t>
        </x:is>
      </x:c>
      <x:c r="Z905" s="604" t="inlineStr">
        <x:is>
          <x:t xml:space="preserve">prior-2026-10-04-v1</x:t>
        </x:is>
      </x:c>
      <x:c r="AA905" s="604" t="inlineStr">
        <x:is>
          <x:t xml:space="preserve">B</x:t>
        </x:is>
      </x:c>
      <x:c r="AB905" s="604" t="n">
        <x:v>0.9276878923790153</x:v>
      </x:c>
      <x:c r="AC905" s="604" t="n">
        <x:v>0.05761499298112389</x:v>
      </x:c>
      <x:c r="AD905" s="604" t="n"/>
      <x:c r="AE905" s="604" t="n"/>
      <x:c r="AF905" s="604" t="n">
        <x:v>0.01469711463986088</x:v>
      </x:c>
      <x:c r="AG905" s="604" t="n">
        <x:v>0.8078889197879755</x:v>
      </x:c>
      <x:c r="AH905" s="604" t="n"/>
      <x:c r="AI905" s="604" t="n"/>
      <x:c r="AJ905" s="604" t="n">
        <x:v>0.8078889197879755</x:v>
      </x:c>
      <x:c r="AK905" s="604" t="n"/>
      <x:c r="AL905" s="604" t="n"/>
      <x:c r="AM905" s="604" t="n"/>
      <x:c r="AN905" s="604" t="inlineStr">
        <x:is>
          <x:t xml:space="preserve">EVALUATED</x:t>
        </x:is>
      </x:c>
      <x:c r="AO905" s="604" t="inlineStr">
        <x:is>
          <x:t xml:space="preserve">RECEIVING_VALIDATED_EDGE、BUCKET_PRIOR_ONLY、INTENT_INTERPRETATION_ONLY、FFL_OPTIONAL、EXPERT_MARKET</x:t>
        </x:is>
      </x:c>
      <x:c r="AP905" s="604" t="inlineStr">
        <x:is>
          <x:t xml:space="preserve">f7e378e95399c0981dbc</x:t>
        </x:is>
      </x:c>
      <x:c r="AQ905" s="604" t="n">
        <x:v>1.25</x:v>
      </x:c>
      <x:c r="AR905" s="604" t="n">
        <x:v>0.86</x:v>
      </x:c>
      <x:c r="AS905" s="604" t="n">
        <x:v>-1.25</x:v>
      </x:c>
      <x:c r="AT905" s="604" t="n">
        <x:v>1.25</x:v>
      </x:c>
      <x:c r="AU905" s="604" t="n">
        <x:v>0.86</x:v>
      </x:c>
      <x:c r="AV905" s="604" t="n">
        <x:v>0.84</x:v>
      </x:c>
      <x:c r="AW905" s="604" t="n">
        <x:v>46299.08204853009</x:v>
      </x:c>
      <x:c r="AX905" s="604" t="inlineStr">
        <x:is>
          <x:t xml:space="preserve">https://simondongxiao.github.io/odds/v4/</x:t>
        </x:is>
      </x:c>
      <x:c r="AY905" s="604" t="inlineStr">
        <x:is>
          <x:t xml:space="preserve">V4 Shadow Only；real_money=false；P(EV&gt;0)不是比赛胜率</x:t>
        </x:is>
      </x:c>
    </x:row>
    <x:row r="906" ht="22" customHeight="1">
      <x:c r="A906" s="604" t="inlineStr">
        <x:is>
          <x:t xml:space="preserve">2026-10-04</x:t>
        </x:is>
      </x:c>
      <x:c r="B906" s="604" t="inlineStr">
        <x:is>
          <x:t xml:space="preserve">2026-10-04 19:00</x:t>
        </x:is>
      </x:c>
      <x:c r="C906" s="604" t="str">
        <x:v>欧洲非五大系列</x:v>
      </x:c>
      <x:c r="D906" s="604" t="inlineStr">
        <x:is>
          <x:t xml:space="preserve">联赛</x:t>
        </x:is>
      </x:c>
      <x:c r="E906" s="604" t="inlineStr">
        <x:is>
          <x:t xml:space="preserve">波兰乙</x:t>
        </x:is>
      </x:c>
      <x:c r="F906" s="604" t="inlineStr">
        <x:is>
          <x:t xml:space="preserve">萨尼克 vs 斯塔沃拉</x:t>
        </x:is>
      </x:c>
      <x:c r="G906" s="604" t="n">
        <x:v>0.87</x:v>
      </x:c>
      <x:c r="H906" s="604" t="n">
        <x:v>0</x:v>
      </x:c>
      <x:c r="I906" s="604" t="n">
        <x:v>0.89</x:v>
      </x:c>
      <x:c r="J906" s="604" t="inlineStr">
        <x:is>
          <x:t xml:space="preserve">0.87/0/0.89</x:t>
        </x:is>
      </x:c>
      <x:c r="K906" s="604" t="inlineStr">
        <x:is>
          <x:t xml:space="preserve">V4-C｜EV +0.0401</x:t>
        </x:is>
      </x:c>
      <x:c r="L906" s="604" t="str"/>
      <x:c r="M906" s="604" t="n">
        <x:v>0.5562073038500825</x:v>
      </x:c>
      <x:c r="N906" s="604" t="inlineStr">
        <x:is>
          <x:t xml:space="preserve">V4纸面入选-C</x:t>
        </x:is>
      </x:c>
      <x:c r="O906" s="604" t="inlineStr">
        <x:is>
          <x:t xml:space="preserve">4-2</x:t>
        </x:is>
      </x:c>
      <x:c r="P906" s="604" t="inlineStr">
        <x:is>
          <x:t xml:space="preserve">已结算</x:t>
        </x:is>
      </x:c>
      <x:c r="Q906" s="645" t="inlineStr">
        <x:is>
          <x:t xml:space="preserve">红</x:t>
        </x:is>
      </x:c>
      <x:c r="R906" s="604" t="n">
        <x:v>0.89</x:v>
      </x:c>
      <x:c r="S906" s="604" t="n">
        <x:f>IF(OR(Q906="",Q906="待结算"),"",IF(Q906="红",R906,IF(Q906="半红",R906*0.5,IF(Q906="走",0,IF(Q906="半黑",-0.5,-1)))))</x:f>
        <x:v>0.89</x:v>
      </x:c>
      <x:c r="T906" s="604" t="inlineStr">
        <x:is>
          <x:t xml:space="preserve">https://m.titan007.com/analy/Analysis/3035922.htm</x:t>
        </x:is>
      </x:c>
      <x:c r="U906" s="646" t="str">
        <x:f>IF(Q906="","",IF(Q906="待结算","待结算",IF(Q906="红","黑",IF(Q906="半红","半黑",IF(Q906="走","走",IF(Q906="半黑","半红","红"))))))</x:f>
        <x:v>黑</x:v>
      </x:c>
      <x:c r="V906" s="604" t="n">
        <x:f>IF(OR(Q906="",Q906="待结算"),"",IF(L906=LEFT(F906,FIND(" vs ",F906)-1),I906,G906))</x:f>
        <x:v>0.87</x:v>
      </x:c>
      <x:c r="W906" s="604" t="n">
        <x:f>IF(OR(U906="",U906="待结算"),"",IF(U906="红",V906,IF(U906="半红",V906*0.5,IF(U906="走",0,IF(U906="半黑",-0.5,-1)))))</x:f>
        <x:v>-1</x:v>
      </x:c>
      <x:c r="X906" s="604" t="inlineStr">
        <x:is>
          <x:t xml:space="preserve">3035922</x:t>
        </x:is>
      </x:c>
      <x:c r="Y906" s="604" t="inlineStr">
        <x:is>
          <x:t xml:space="preserve">V4</x:t>
        </x:is>
      </x:c>
      <x:c r="Z906" s="604" t="inlineStr">
        <x:is>
          <x:t xml:space="preserve">prior-2026-10-04-v1</x:t>
        </x:is>
      </x:c>
      <x:c r="AA906" s="604" t="inlineStr">
        <x:is>
          <x:t xml:space="preserve">C</x:t>
        </x:is>
      </x:c>
      <x:c r="AB906" s="604" t="n">
        <x:v>0.5562073038500825</x:v>
      </x:c>
      <x:c r="AC906" s="604" t="n"/>
      <x:c r="AD906" s="604" t="n"/>
      <x:c r="AE906" s="604" t="n"/>
      <x:c r="AF906" s="604" t="n">
        <x:v>0.4437926961499175</x:v>
      </x:c>
      <x:c r="AG906" s="604" t="n">
        <x:v>0.04010765819965428</x:v>
      </x:c>
      <x:c r="AH906" s="604" t="n"/>
      <x:c r="AI906" s="604" t="n"/>
      <x:c r="AJ906" s="604" t="n">
        <x:v>0.04010765819965428</x:v>
      </x:c>
      <x:c r="AK906" s="604" t="n"/>
      <x:c r="AL906" s="604" t="n"/>
      <x:c r="AM906" s="604" t="n"/>
      <x:c r="AN906" s="604" t="inlineStr">
        <x:is>
          <x:t xml:space="preserve">EVALUATED</x:t>
        </x:is>
      </x:c>
      <x:c r="AO906" s="604" t="inlineStr">
        <x:is>
          <x:t xml:space="preserve">EDGE_BELOW_UNCERTAINTY_THRESHOLD、BUCKET_PRIOR_ONLY、INTENT_INTERPRETATION_ONLY、FFL_OPTIONAL、EXPERT_MARKET</x:t>
        </x:is>
      </x:c>
      <x:c r="AP906" s="604" t="inlineStr">
        <x:is>
          <x:t xml:space="preserve">9fc0a4df2ff906cdcec3</x:t>
        </x:is>
      </x:c>
      <x:c r="AQ906" s="604" t="n">
        <x:v>0</x:v>
      </x:c>
      <x:c r="AR906" s="604" t="n"/>
      <x:c r="AS906" s="604" t="n">
        <x:v>0</x:v>
      </x:c>
      <x:c r="AT906" s="604" t="n">
        <x:v>0</x:v>
      </x:c>
      <x:c r="AU906" s="604" t="n">
        <x:v>0.87</x:v>
      </x:c>
      <x:c r="AV906" s="604" t="n">
        <x:v>0.89</x:v>
      </x:c>
      <x:c r="AW906" s="604" t="n">
        <x:v>46299.08204853009</x:v>
      </x:c>
      <x:c r="AX906" s="604" t="inlineStr">
        <x:is>
          <x:t xml:space="preserve">https://simondongxiao.github.io/odds/v4/</x:t>
        </x:is>
      </x:c>
      <x:c r="AY906" s="604" t="inlineStr">
        <x:is>
          <x:t xml:space="preserve">V4 Shadow Only；real_money=false；P(EV&gt;0)不是比赛胜率</x:t>
        </x:is>
      </x:c>
    </x:row>
    <x:row r="907" ht="22" customHeight="1">
      <x:c r="A907" s="604" t="inlineStr">
        <x:is>
          <x:t xml:space="preserve">2026-10-04</x:t>
        </x:is>
      </x:c>
      <x:c r="B907" s="604" t="inlineStr">
        <x:is>
          <x:t xml:space="preserve">2026-10-04 19:00</x:t>
        </x:is>
      </x:c>
      <x:c r="C907" s="604" t="str">
        <x:v>欧洲非五大系列</x:v>
      </x:c>
      <x:c r="D907" s="604" t="inlineStr">
        <x:is>
          <x:t xml:space="preserve">联赛</x:t>
        </x:is>
      </x:c>
      <x:c r="E907" s="604" t="inlineStr">
        <x:is>
          <x:t xml:space="preserve">瑞典丙NS</x:t>
        </x:is>
      </x:c>
      <x:c r="F907" s="604" t="inlineStr">
        <x:is>
          <x:t xml:space="preserve">安格比 vs 赫尔格斯</x:t>
        </x:is>
      </x:c>
      <x:c r="G907" s="604" t="n">
        <x:v>0.9</x:v>
      </x:c>
      <x:c r="H907" s="604" t="n">
        <x:v>0</x:v>
      </x:c>
      <x:c r="I907" s="604" t="n">
        <x:v>0.8</x:v>
      </x:c>
      <x:c r="J907" s="604" t="inlineStr">
        <x:is>
          <x:t xml:space="preserve">0.9/0/0.8</x:t>
        </x:is>
      </x:c>
      <x:c r="K907" s="604" t="inlineStr">
        <x:is>
          <x:t xml:space="preserve">V4-C｜EV +0.0078</x:t>
        </x:is>
      </x:c>
      <x:c r="L907" s="604" t="str"/>
      <x:c r="M907" s="604" t="n">
        <x:v>0.5309976592146128</x:v>
      </x:c>
      <x:c r="N907" s="604" t="inlineStr">
        <x:is>
          <x:t xml:space="preserve">V4纸面入选-C</x:t>
        </x:is>
      </x:c>
      <x:c r="O907" s="604" t="inlineStr">
        <x:is>
          <x:t xml:space="preserve">9-0</x:t>
        </x:is>
      </x:c>
      <x:c r="P907" s="604" t="inlineStr">
        <x:is>
          <x:t xml:space="preserve">已结算</x:t>
        </x:is>
      </x:c>
      <x:c r="Q907" s="645" t="inlineStr">
        <x:is>
          <x:t xml:space="preserve">红</x:t>
        </x:is>
      </x:c>
      <x:c r="R907" s="604" t="n">
        <x:v>0.8</x:v>
      </x:c>
      <x:c r="S907" s="604" t="n">
        <x:f>IF(OR(Q907="",Q907="待结算"),"",IF(Q907="红",R907,IF(Q907="半红",R907*0.5,IF(Q907="走",0,IF(Q907="半黑",-0.5,-1)))))</x:f>
        <x:v>0.8</x:v>
      </x:c>
      <x:c r="T907" s="604" t="inlineStr">
        <x:is>
          <x:t xml:space="preserve">https://m.titan007.com/analy/Analysis/2927548.htm</x:t>
        </x:is>
      </x:c>
      <x:c r="U907" s="646" t="str">
        <x:f>IF(Q907="","",IF(Q907="待结算","待结算",IF(Q907="红","黑",IF(Q907="半红","半黑",IF(Q907="走","走",IF(Q907="半黑","半红","红"))))))</x:f>
        <x:v>黑</x:v>
      </x:c>
      <x:c r="V907" s="604" t="n">
        <x:f>IF(OR(Q907="",Q907="待结算"),"",IF(L907=LEFT(F907,FIND(" vs ",F907)-1),I907,G907))</x:f>
        <x:v>0.9</x:v>
      </x:c>
      <x:c r="W907" s="604" t="n">
        <x:f>IF(OR(U907="",U907="待结算"),"",IF(U907="红",V907,IF(U907="半红",V907*0.5,IF(U907="走",0,IF(U907="半黑",-0.5,-1)))))</x:f>
        <x:v>-1</x:v>
      </x:c>
      <x:c r="X907" s="604" t="inlineStr">
        <x:is>
          <x:t xml:space="preserve">2927548</x:t>
        </x:is>
      </x:c>
      <x:c r="Y907" s="604" t="inlineStr">
        <x:is>
          <x:t xml:space="preserve">V4</x:t>
        </x:is>
      </x:c>
      <x:c r="Z907" s="604" t="inlineStr">
        <x:is>
          <x:t xml:space="preserve">prior-2026-10-04-v1</x:t>
        </x:is>
      </x:c>
      <x:c r="AA907" s="604" t="inlineStr">
        <x:is>
          <x:t xml:space="preserve">C</x:t>
        </x:is>
      </x:c>
      <x:c r="AB907" s="604" t="n">
        <x:v>0.4656571573639614</x:v>
      </x:c>
      <x:c r="AC907" s="604" t="n"/>
      <x:c r="AD907" s="604" t="n"/>
      <x:c r="AE907" s="604" t="n">
        <x:v>0.2461046700179252</x:v>
      </x:c>
      <x:c r="AF907" s="604" t="n">
        <x:v>0.2882381726181135</x:v>
      </x:c>
      <x:c r="AG907" s="604" t="n">
        <x:v>0.007800934000489201</x:v>
      </x:c>
      <x:c r="AH907" s="604" t="n"/>
      <x:c r="AI907" s="604" t="n"/>
      <x:c r="AJ907" s="604" t="n">
        <x:v>0.007800934000489201</x:v>
      </x:c>
      <x:c r="AK907" s="604" t="n"/>
      <x:c r="AL907" s="604" t="n"/>
      <x:c r="AM907" s="604" t="n"/>
      <x:c r="AN907" s="604" t="inlineStr">
        <x:is>
          <x:t xml:space="preserve">EVALUATED</x:t>
        </x:is>
      </x:c>
      <x:c r="AO907" s="604" t="inlineStr">
        <x:is>
          <x:t xml:space="preserve">EDGE_BELOW_UNCERTAINTY_THRESHOLD、BUCKET_PRIOR_ONLY、INTENT_INTERPRETATION_ONLY、FFL_OPTIONAL、EXPERT_MARKET</x:t>
        </x:is>
      </x:c>
      <x:c r="AP907" s="604" t="inlineStr">
        <x:is>
          <x:t xml:space="preserve">b8d6b07e5615fbe6a20d</x:t>
        </x:is>
      </x:c>
      <x:c r="AQ907" s="604" t="n">
        <x:v>0</x:v>
      </x:c>
      <x:c r="AR907" s="604" t="n"/>
      <x:c r="AS907" s="604" t="n">
        <x:v>0</x:v>
      </x:c>
      <x:c r="AT907" s="604" t="n">
        <x:v>0</x:v>
      </x:c>
      <x:c r="AU907" s="604" t="n">
        <x:v>0.9</x:v>
      </x:c>
      <x:c r="AV907" s="604" t="n">
        <x:v>0.8</x:v>
      </x:c>
      <x:c r="AW907" s="604" t="n">
        <x:v>46299.08204853009</x:v>
      </x:c>
      <x:c r="AX907" s="604" t="inlineStr">
        <x:is>
          <x:t xml:space="preserve">https://simondongxiao.github.io/odds/v4/</x:t>
        </x:is>
      </x:c>
      <x:c r="AY907" s="604" t="inlineStr">
        <x:is>
          <x:t xml:space="preserve">V4 Shadow Only；real_money=false；P(EV&gt;0)不是比赛胜率</x:t>
        </x:is>
      </x:c>
    </x:row>
    <x:row r="908" ht="22" customHeight="1">
      <x:c r="A908" s="604" t="inlineStr">
        <x:is>
          <x:t xml:space="preserve">2026-10-04</x:t>
        </x:is>
      </x:c>
      <x:c r="B908" s="604" t="inlineStr">
        <x:is>
          <x:t xml:space="preserve">2026-10-04 19:00</x:t>
        </x:is>
      </x:c>
      <x:c r="C908" s="604" t="str">
        <x:v>欧洲非五大系列</x:v>
      </x:c>
      <x:c r="D908" s="604" t="inlineStr">
        <x:is>
          <x:t xml:space="preserve">联赛</x:t>
        </x:is>
      </x:c>
      <x:c r="E908" s="604" t="inlineStr">
        <x:is>
          <x:t xml:space="preserve">瑞典丙VG</x:t>
        </x:is>
      </x:c>
      <x:c r="F908" s="604" t="inlineStr">
        <x:is>
          <x:t xml:space="preserve">阿斯特里 vs 瓦斯特拉弗罗伦达</x:t>
        </x:is>
      </x:c>
      <x:c r="G908" s="604" t="n">
        <x:v>0.77</x:v>
      </x:c>
      <x:c r="H908" s="604" t="n">
        <x:v>-1.25</x:v>
      </x:c>
      <x:c r="I908" s="604" t="n">
        <x:v>0.93</x:v>
      </x:c>
      <x:c r="J908" s="604" t="inlineStr">
        <x:is>
          <x:t xml:space="preserve">0.77/-1.25/0.93</x:t>
        </x:is>
      </x:c>
      <x:c r="K908" s="604" t="inlineStr">
        <x:is>
          <x:t xml:space="preserve">V4-B｜EV +0.6903</x:t>
        </x:is>
      </x:c>
      <x:c r="L908" s="604" t="inlineStr">
        <x:is>
          <x:t xml:space="preserve">阿斯特里</x:t>
        </x:is>
      </x:c>
      <x:c r="M908" s="604" t="n">
        <x:v>0.971576506756121</x:v>
      </x:c>
      <x:c r="N908" s="604" t="inlineStr">
        <x:is>
          <x:t xml:space="preserve">V4纸面入选-B</x:t>
        </x:is>
      </x:c>
      <x:c r="O908" s="604" t="inlineStr">
        <x:is>
          <x:t xml:space="preserve">1-1</x:t>
        </x:is>
      </x:c>
      <x:c r="P908" s="604" t="inlineStr">
        <x:is>
          <x:t xml:space="preserve">已结算</x:t>
        </x:is>
      </x:c>
      <x:c r="Q908" s="645" t="inlineStr">
        <x:is>
          <x:t xml:space="preserve">红</x:t>
        </x:is>
      </x:c>
      <x:c r="R908" s="604" t="n">
        <x:v>0.77</x:v>
      </x:c>
      <x:c r="S908" s="604" t="n">
        <x:f>IF(OR(Q908="",Q908="待结算"),"",IF(Q908="红",R908,IF(Q908="半红",R908*0.5,IF(Q908="走",0,IF(Q908="半黑",-0.5,-1)))))</x:f>
        <x:v>0.77</x:v>
      </x:c>
      <x:c r="T908" s="604" t="inlineStr">
        <x:is>
          <x:t xml:space="preserve">https://m.titan007.com/analy/Analysis/2927003.htm</x:t>
        </x:is>
      </x:c>
      <x:c r="U908" s="646" t="str">
        <x:f>IF(Q908="","",IF(Q908="待结算","待结算",IF(Q908="红","黑",IF(Q908="半红","半黑",IF(Q908="走","走",IF(Q908="半黑","半红","红"))))))</x:f>
        <x:v>黑</x:v>
      </x:c>
      <x:c r="V908" s="604" t="n">
        <x:f>IF(OR(Q908="",Q908="待结算"),"",IF(L908=LEFT(F908,FIND(" vs ",F908)-1),I908,G908))</x:f>
        <x:v>0.93</x:v>
      </x:c>
      <x:c r="W908" s="604" t="n">
        <x:f>IF(OR(U908="",U908="待结算"),"",IF(U908="红",V908,IF(U908="半红",V908*0.5,IF(U908="走",0,IF(U908="半黑",-0.5,-1)))))</x:f>
        <x:v>-1</x:v>
      </x:c>
      <x:c r="X908" s="604" t="inlineStr">
        <x:is>
          <x:t xml:space="preserve">2927003</x:t>
        </x:is>
      </x:c>
      <x:c r="Y908" s="604" t="inlineStr">
        <x:is>
          <x:t xml:space="preserve">V4</x:t>
        </x:is>
      </x:c>
      <x:c r="Z908" s="604" t="inlineStr">
        <x:is>
          <x:t xml:space="preserve">prior-2026-10-04-v1</x:t>
        </x:is>
      </x:c>
      <x:c r="AA908" s="604" t="inlineStr">
        <x:is>
          <x:t xml:space="preserve">B</x:t>
        </x:is>
      </x:c>
      <x:c r="AB908" s="604" t="n">
        <x:v>0.8909893917989492</x:v>
      </x:c>
      <x:c r="AC908" s="604" t="n">
        <x:v>0.08174890974914642</x:v>
      </x:c>
      <x:c r="AD908" s="604" t="n"/>
      <x:c r="AE908" s="604" t="n"/>
      <x:c r="AF908" s="604" t="n">
        <x:v>0.02726169845190445</x:v>
      </x:c>
      <x:c r="AG908" s="604" t="n">
        <x:v>0.6902734634867078</x:v>
      </x:c>
      <x:c r="AH908" s="604" t="n"/>
      <x:c r="AI908" s="604" t="n"/>
      <x:c r="AJ908" s="604" t="n">
        <x:v>0.6902734634867078</x:v>
      </x:c>
      <x:c r="AK908" s="604" t="n"/>
      <x:c r="AL908" s="604" t="n"/>
      <x:c r="AM908" s="604" t="n"/>
      <x:c r="AN908" s="604" t="inlineStr">
        <x:is>
          <x:t xml:space="preserve">EVALUATED</x:t>
        </x:is>
      </x:c>
      <x:c r="AO908" s="604" t="inlineStr">
        <x:is>
          <x:t xml:space="preserve">RECEIVING_VALIDATED_EDGE、BUCKET_PRIOR_ONLY、INTENT_INTERPRETATION_ONLY、FFL_OPTIONAL、EXPERT_MARKET</x:t>
        </x:is>
      </x:c>
      <x:c r="AP908" s="604" t="inlineStr">
        <x:is>
          <x:t xml:space="preserve">fbac43682cca106c38b0</x:t>
        </x:is>
      </x:c>
      <x:c r="AQ908" s="604" t="n">
        <x:v>1.25</x:v>
      </x:c>
      <x:c r="AR908" s="604" t="n">
        <x:v>0.77</x:v>
      </x:c>
      <x:c r="AS908" s="604" t="n">
        <x:v>-1.25</x:v>
      </x:c>
      <x:c r="AT908" s="604" t="n">
        <x:v>1.25</x:v>
      </x:c>
      <x:c r="AU908" s="604" t="n">
        <x:v>0.77</x:v>
      </x:c>
      <x:c r="AV908" s="604" t="n">
        <x:v>0.93</x:v>
      </x:c>
      <x:c r="AW908" s="604" t="n">
        <x:v>46299.08204853009</x:v>
      </x:c>
      <x:c r="AX908" s="604" t="inlineStr">
        <x:is>
          <x:t xml:space="preserve">https://simondongxiao.github.io/odds/v4/</x:t>
        </x:is>
      </x:c>
      <x:c r="AY908" s="604" t="inlineStr">
        <x:is>
          <x:t xml:space="preserve">V4 Shadow Only；real_money=false；P(EV&gt;0)不是比赛胜率</x:t>
        </x:is>
      </x:c>
    </x:row>
    <x:row r="909" ht="22" customHeight="1">
      <x:c r="A909" s="604" t="inlineStr">
        <x:is>
          <x:t xml:space="preserve">2026-10-04</x:t>
        </x:is>
      </x:c>
      <x:c r="B909" s="604" t="inlineStr">
        <x:is>
          <x:t xml:space="preserve">2026-10-04 19:00</x:t>
        </x:is>
      </x:c>
      <x:c r="C909" s="604" t="str">
        <x:v>欧洲非五大系列</x:v>
      </x:c>
      <x:c r="D909" s="604" t="inlineStr">
        <x:is>
          <x:t xml:space="preserve">联赛</x:t>
        </x:is>
      </x:c>
      <x:c r="E909" s="604" t="inlineStr">
        <x:is>
          <x:t xml:space="preserve">瑞典女甲</x:t>
        </x:is>
      </x:c>
      <x:c r="F909" s="604" t="inlineStr">
        <x:is>
          <x:t xml:space="preserve">哥德堡女足 vs 艾林格萨斯女足</x:t>
        </x:is>
      </x:c>
      <x:c r="G909" s="604" t="n">
        <x:v>0.75</x:v>
      </x:c>
      <x:c r="H909" s="604" t="n">
        <x:v>1.25</x:v>
      </x:c>
      <x:c r="I909" s="604" t="n">
        <x:v>0.95</x:v>
      </x:c>
      <x:c r="J909" s="604" t="inlineStr">
        <x:is>
          <x:t xml:space="preserve">0.75/1.25/0.95</x:t>
        </x:is>
      </x:c>
      <x:c r="K909" s="604" t="inlineStr">
        <x:is>
          <x:t xml:space="preserve">V4-B｜EV +0.2426</x:t>
        </x:is>
      </x:c>
      <x:c r="L909" s="604" t="inlineStr">
        <x:is>
          <x:t xml:space="preserve">哥德堡女足</x:t>
        </x:is>
      </x:c>
      <x:c r="M909" s="604" t="n">
        <x:v>0.7269882749774212</x:v>
      </x:c>
      <x:c r="N909" s="604" t="inlineStr">
        <x:is>
          <x:t xml:space="preserve">V4纸面入选-B</x:t>
        </x:is>
      </x:c>
      <x:c r="O909" s="604" t="inlineStr">
        <x:is>
          <x:t xml:space="preserve">2-1</x:t>
        </x:is>
      </x:c>
      <x:c r="P909" s="604" t="inlineStr">
        <x:is>
          <x:t xml:space="preserve">已结算</x:t>
        </x:is>
      </x:c>
      <x:c r="Q909" s="648" t="inlineStr">
        <x:is>
          <x:t xml:space="preserve">半黑</x:t>
        </x:is>
      </x:c>
      <x:c r="R909" s="604" t="n">
        <x:v>0.75</x:v>
      </x:c>
      <x:c r="S909" s="604" t="n">
        <x:f>IF(OR(Q909="",Q909="待结算"),"",IF(Q909="红",R909,IF(Q909="半红",R909*0.5,IF(Q909="走",0,IF(Q909="半黑",-0.5,-1)))))</x:f>
        <x:v>-0.5</x:v>
      </x:c>
      <x:c r="T909" s="604" t="inlineStr">
        <x:is>
          <x:t xml:space="preserve">https://m.titan007.com/analy/Analysis/2917136.htm</x:t>
        </x:is>
      </x:c>
      <x:c r="U909" s="649" t="str">
        <x:f>IF(Q909="","",IF(Q909="待结算","待结算",IF(Q909="红","黑",IF(Q909="半红","半黑",IF(Q909="走","走",IF(Q909="半黑","半红","红"))))))</x:f>
        <x:v>半红</x:v>
      </x:c>
      <x:c r="V909" s="604" t="n">
        <x:f>IF(OR(Q909="",Q909="待结算"),"",IF(L909=LEFT(F909,FIND(" vs ",F909)-1),I909,G909))</x:f>
        <x:v>0.95</x:v>
      </x:c>
      <x:c r="W909" s="604" t="n">
        <x:f>IF(OR(U909="",U909="待结算"),"",IF(U909="红",V909,IF(U909="半红",V909*0.5,IF(U909="走",0,IF(U909="半黑",-0.5,-1)))))</x:f>
        <x:v>0.475</x:v>
      </x:c>
      <x:c r="X909" s="604" t="inlineStr">
        <x:is>
          <x:t xml:space="preserve">2917136</x:t>
        </x:is>
      </x:c>
      <x:c r="Y909" s="604" t="inlineStr">
        <x:is>
          <x:t xml:space="preserve">V4</x:t>
        </x:is>
      </x:c>
      <x:c r="Z909" s="604" t="inlineStr">
        <x:is>
          <x:t xml:space="preserve">prior-2026-10-04-v1</x:t>
        </x:is>
      </x:c>
      <x:c r="AA909" s="604" t="inlineStr">
        <x:is>
          <x:t xml:space="preserve">B</x:t>
        </x:is>
      </x:c>
      <x:c r="AB909" s="604" t="n">
        <x:v>0.647752134015131</x:v>
      </x:c>
      <x:c r="AC909" s="604" t="n"/>
      <x:c r="AD909" s="604" t="n"/>
      <x:c r="AE909" s="604" t="n">
        <x:v>0.2179846462166152</x:v>
      </x:c>
      <x:c r="AF909" s="604" t="n">
        <x:v>0.1342632197682539</x:v>
      </x:c>
      <x:c r="AG909" s="604" t="n">
        <x:v>0.2425585576347868</x:v>
      </x:c>
      <x:c r="AH909" s="604" t="n"/>
      <x:c r="AI909" s="604" t="n"/>
      <x:c r="AJ909" s="604" t="n">
        <x:v>0.2425585576347868</x:v>
      </x:c>
      <x:c r="AK909" s="604" t="n"/>
      <x:c r="AL909" s="604" t="n"/>
      <x:c r="AM909" s="604" t="n"/>
      <x:c r="AN909" s="604" t="inlineStr">
        <x:is>
          <x:t xml:space="preserve">EVALUATED</x:t>
        </x:is>
      </x:c>
      <x:c r="AO909" s="604" t="inlineStr">
        <x:is>
          <x:t xml:space="preserve">GIVING_VALIDATED_EDGE、BUCKET_PRIOR_ONLY、INTENT_INTERPRETATION_ONLY、FFL_OPTIONAL、EXPERT_MARKET</x:t>
        </x:is>
      </x:c>
      <x:c r="AP909" s="604" t="inlineStr">
        <x:is>
          <x:t xml:space="preserve">e19028e3a780a868c9d7</x:t>
        </x:is>
      </x:c>
      <x:c r="AQ909" s="604" t="n">
        <x:v>-1.25</x:v>
      </x:c>
      <x:c r="AR909" s="604" t="n">
        <x:v>0.75</x:v>
      </x:c>
      <x:c r="AS909" s="604" t="n">
        <x:v>1.25</x:v>
      </x:c>
      <x:c r="AT909" s="604" t="n">
        <x:v>-1.25</x:v>
      </x:c>
      <x:c r="AU909" s="604" t="n">
        <x:v>0.75</x:v>
      </x:c>
      <x:c r="AV909" s="604" t="n">
        <x:v>0.95</x:v>
      </x:c>
      <x:c r="AW909" s="604" t="n">
        <x:v>46299.08204853009</x:v>
      </x:c>
      <x:c r="AX909" s="604" t="inlineStr">
        <x:is>
          <x:t xml:space="preserve">https://simondongxiao.github.io/odds/v4/</x:t>
        </x:is>
      </x:c>
      <x:c r="AY909" s="604" t="inlineStr">
        <x:is>
          <x:t xml:space="preserve">V4 Shadow Only；real_money=false；P(EV&gt;0)不是比赛胜率</x:t>
        </x:is>
      </x:c>
    </x:row>
    <x:row r="910" ht="22" customHeight="1">
      <x:c r="A910" s="604" t="inlineStr">
        <x:is>
          <x:t xml:space="preserve">2026-10-04</x:t>
        </x:is>
      </x:c>
      <x:c r="B910" s="604" t="inlineStr">
        <x:is>
          <x:t xml:space="preserve">2026-10-04 19:00</x:t>
        </x:is>
      </x:c>
      <x:c r="C910" s="604" t="str">
        <x:v>五大联赛非顶级联赛</x:v>
      </x:c>
      <x:c r="D910" s="604" t="inlineStr">
        <x:is>
          <x:t xml:space="preserve">联赛</x:t>
        </x:is>
      </x:c>
      <x:c r="E910" s="604" t="inlineStr">
        <x:is>
          <x:t xml:space="preserve">英女冠</x:t>
        </x:is>
      </x:c>
      <x:c r="F910" s="604" t="inlineStr">
        <x:is>
          <x:t xml:space="preserve">达勒姆女足 vs 纽卡斯尔联女足</x:t>
        </x:is>
      </x:c>
      <x:c r="G910" s="604" t="n">
        <x:v>0.84</x:v>
      </x:c>
      <x:c r="H910" s="604" t="n">
        <x:v>-1.75</x:v>
      </x:c>
      <x:c r="I910" s="604" t="n">
        <x:v>0.86</x:v>
      </x:c>
      <x:c r="J910" s="604" t="inlineStr">
        <x:is>
          <x:t xml:space="preserve">0.84/-1.75/0.86</x:t>
        </x:is>
      </x:c>
      <x:c r="K910" s="604" t="inlineStr">
        <x:is>
          <x:t xml:space="preserve">V4-C｜EV +0.8389</x:t>
        </x:is>
      </x:c>
      <x:c r="L910" s="604" t="inlineStr">
        <x:is>
          <x:t xml:space="preserve">达勒姆女足</x:t>
        </x:is>
      </x:c>
      <x:c r="M910" s="604" t="n">
        <x:v>0.9995680571093983</x:v>
      </x:c>
      <x:c r="N910" s="604" t="inlineStr">
        <x:is>
          <x:t xml:space="preserve">V4纸面入选-C</x:t>
        </x:is>
      </x:c>
      <x:c r="O910" s="604" t="inlineStr">
        <x:is>
          <x:t xml:space="preserve">0-3</x:t>
        </x:is>
      </x:c>
      <x:c r="P910" s="604" t="inlineStr">
        <x:is>
          <x:t xml:space="preserve">已结算</x:t>
        </x:is>
      </x:c>
      <x:c r="Q910" s="646" t="inlineStr">
        <x:is>
          <x:t xml:space="preserve">黑</x:t>
        </x:is>
      </x:c>
      <x:c r="R910" s="604" t="n">
        <x:v>0.84</x:v>
      </x:c>
      <x:c r="S910" s="604" t="n">
        <x:f>IF(OR(Q910="",Q910="待结算"),"",IF(Q910="红",R910,IF(Q910="半红",R910*0.5,IF(Q910="走",0,IF(Q910="半黑",-0.5,-1)))))</x:f>
        <x:v>-1</x:v>
      </x:c>
      <x:c r="T910" s="604" t="inlineStr">
        <x:is>
          <x:t xml:space="preserve">https://m.titan007.com/analy/Analysis/3052153.htm</x:t>
        </x:is>
      </x:c>
      <x:c r="U910" s="645" t="str">
        <x:f>IF(Q910="","",IF(Q910="待结算","待结算",IF(Q910="红","黑",IF(Q910="半红","半黑",IF(Q910="走","走",IF(Q910="半黑","半红","红"))))))</x:f>
        <x:v>红</x:v>
      </x:c>
      <x:c r="V910" s="604" t="n">
        <x:f>IF(OR(Q910="",Q910="待结算"),"",IF(L910=LEFT(F910,FIND(" vs ",F910)-1),I910,G910))</x:f>
        <x:v>0.86</x:v>
      </x:c>
      <x:c r="W910" s="604" t="n">
        <x:f>IF(OR(U910="",U910="待结算"),"",IF(U910="红",V910,IF(U910="半红",V910*0.5,IF(U910="走",0,IF(U910="半黑",-0.5,-1)))))</x:f>
        <x:v>0.86</x:v>
      </x:c>
      <x:c r="X910" s="604" t="inlineStr">
        <x:is>
          <x:t xml:space="preserve">3052153</x:t>
        </x:is>
      </x:c>
      <x:c r="Y910" s="604" t="inlineStr">
        <x:is>
          <x:t xml:space="preserve">V4</x:t>
        </x:is>
      </x:c>
      <x:c r="Z910" s="604" t="inlineStr">
        <x:is>
          <x:t xml:space="preserve">prior-2026-10-04-v1</x:t>
        </x:is>
      </x:c>
      <x:c r="AA910" s="604" t="inlineStr">
        <x:is>
          <x:t xml:space="preserve">C</x:t>
        </x:is>
      </x:c>
      <x:c r="AB910" s="604" t="n">
        <x:v>0.9991748199752897</x:v>
      </x:c>
      <x:c r="AC910" s="604" t="n"/>
      <x:c r="AD910" s="604" t="n"/>
      <x:c r="AE910" s="604" t="n">
        <x:v>0.0007868141269856734</x:v>
      </x:c>
      <x:c r="AF910" s="604" t="n">
        <x:v>3.8365897724599e-05</x:v>
      </x:c>
      <x:c r="AG910" s="604" t="n">
        <x:v>0.8388750758180259</x:v>
      </x:c>
      <x:c r="AH910" s="604" t="n"/>
      <x:c r="AI910" s="604" t="n"/>
      <x:c r="AJ910" s="604" t="n">
        <x:v>0.8388750758180259</x:v>
      </x:c>
      <x:c r="AK910" s="604" t="n"/>
      <x:c r="AL910" s="604" t="n"/>
      <x:c r="AM910" s="604" t="n"/>
      <x:c r="AN910" s="604" t="inlineStr">
        <x:is>
          <x:t xml:space="preserve">EVALUATED</x:t>
        </x:is>
      </x:c>
      <x:c r="AO910" s="604" t="inlineStr">
        <x:is>
          <x:t xml:space="preserve">RECEIVING_VALIDATED_EDGE、BUCKET_PRIOR_ONLY、INTENT_INTERPRETATION_ONLY、FFL_OPTIONAL、EXPERT_MARKET</x:t>
        </x:is>
      </x:c>
      <x:c r="AP910" s="604" t="inlineStr">
        <x:is>
          <x:t xml:space="preserve">314fd340b96d35f531e7</x:t>
        </x:is>
      </x:c>
      <x:c r="AQ910" s="604" t="n">
        <x:v>1.75</x:v>
      </x:c>
      <x:c r="AR910" s="604" t="n">
        <x:v>0.84</x:v>
      </x:c>
      <x:c r="AS910" s="604" t="n">
        <x:v>-1.75</x:v>
      </x:c>
      <x:c r="AT910" s="604" t="n">
        <x:v>1.75</x:v>
      </x:c>
      <x:c r="AU910" s="604" t="n">
        <x:v>0.84</x:v>
      </x:c>
      <x:c r="AV910" s="604" t="n">
        <x:v>0.86</x:v>
      </x:c>
      <x:c r="AW910" s="604" t="n">
        <x:v>46299.08204853009</x:v>
      </x:c>
      <x:c r="AX910" s="604" t="inlineStr">
        <x:is>
          <x:t xml:space="preserve">https://simondongxiao.github.io/odds/v4/</x:t>
        </x:is>
      </x:c>
      <x:c r="AY910" s="604" t="inlineStr">
        <x:is>
          <x:t xml:space="preserve">V4 Shadow Only；real_money=false；P(EV&gt;0)不是比赛胜率</x:t>
        </x:is>
      </x:c>
    </x:row>
    <x:row r="911" ht="22" customHeight="1">
      <x:c r="A911" s="604" t="inlineStr">
        <x:is>
          <x:t xml:space="preserve">2026-10-04</x:t>
        </x:is>
      </x:c>
      <x:c r="B911" s="604" t="inlineStr">
        <x:is>
          <x:t xml:space="preserve">2026-10-04 19:00</x:t>
        </x:is>
      </x:c>
      <x:c r="C911" s="604" t="str">
        <x:v>欧洲非五大系列</x:v>
      </x:c>
      <x:c r="D911" s="604" t="inlineStr">
        <x:is>
          <x:t xml:space="preserve">联赛</x:t>
        </x:is>
      </x:c>
      <x:c r="E911" s="604" t="inlineStr">
        <x:is>
          <x:t xml:space="preserve">挪丙</x:t>
        </x:is>
      </x:c>
      <x:c r="F911" s="604" t="inlineStr">
        <x:is>
          <x:t xml:space="preserve">斯塔贝克B队 vs 侯格辛特B队</x:t>
        </x:is>
      </x:c>
      <x:c r="G911" s="604" t="n">
        <x:v>0.84</x:v>
      </x:c>
      <x:c r="H911" s="604" t="n">
        <x:v>1</x:v>
      </x:c>
      <x:c r="I911" s="604" t="n">
        <x:v>0.86</x:v>
      </x:c>
      <x:c r="J911" s="604" t="inlineStr">
        <x:is>
          <x:t xml:space="preserve">0.84/1/0.86</x:t>
        </x:is>
      </x:c>
      <x:c r="K911" s="604" t="inlineStr">
        <x:is>
          <x:t xml:space="preserve">V4-B｜EV +0.2535</x:t>
        </x:is>
      </x:c>
      <x:c r="L911" s="604" t="inlineStr">
        <x:is>
          <x:t xml:space="preserve">侯格辛特B队</x:t>
        </x:is>
      </x:c>
      <x:c r="M911" s="604" t="n">
        <x:v>0.7138651863943342</x:v>
      </x:c>
      <x:c r="N911" s="604" t="inlineStr">
        <x:is>
          <x:t xml:space="preserve">V4纸面入选-B</x:t>
        </x:is>
      </x:c>
      <x:c r="O911" s="604" t="inlineStr">
        <x:is>
          <x:t xml:space="preserve">4-1</x:t>
        </x:is>
      </x:c>
      <x:c r="P911" s="604" t="inlineStr">
        <x:is>
          <x:t xml:space="preserve">已结算</x:t>
        </x:is>
      </x:c>
      <x:c r="Q911" s="645" t="inlineStr">
        <x:is>
          <x:t xml:space="preserve">红</x:t>
        </x:is>
      </x:c>
      <x:c r="R911" s="604" t="n">
        <x:v>0.86</x:v>
      </x:c>
      <x:c r="S911" s="604" t="n">
        <x:f>IF(OR(Q911="",Q911="待结算"),"",IF(Q911="红",R911,IF(Q911="半红",R911*0.5,IF(Q911="走",0,IF(Q911="半黑",-0.5,-1)))))</x:f>
        <x:v>0.86</x:v>
      </x:c>
      <x:c r="T911" s="604" t="inlineStr">
        <x:is>
          <x:t xml:space="preserve">https://m.titan007.com/analy/Analysis/2968086.htm</x:t>
        </x:is>
      </x:c>
      <x:c r="U911" s="646" t="str">
        <x:f>IF(Q911="","",IF(Q911="待结算","待结算",IF(Q911="红","黑",IF(Q911="半红","半黑",IF(Q911="走","走",IF(Q911="半黑","半红","红"))))))</x:f>
        <x:v>黑</x:v>
      </x:c>
      <x:c r="V911" s="604" t="n">
        <x:f>IF(OR(Q911="",Q911="待结算"),"",IF(L911=LEFT(F911,FIND(" vs ",F911)-1),I911,G911))</x:f>
        <x:v>0.84</x:v>
      </x:c>
      <x:c r="W911" s="604" t="n">
        <x:f>IF(OR(U911="",U911="待结算"),"",IF(U911="红",V911,IF(U911="半红",V911*0.5,IF(U911="走",0,IF(U911="半黑",-0.5,-1)))))</x:f>
        <x:v>-1</x:v>
      </x:c>
      <x:c r="X911" s="604" t="inlineStr">
        <x:is>
          <x:t xml:space="preserve">2968086</x:t>
        </x:is>
      </x:c>
      <x:c r="Y911" s="604" t="inlineStr">
        <x:is>
          <x:t xml:space="preserve">V4</x:t>
        </x:is>
      </x:c>
      <x:c r="Z911" s="604" t="inlineStr">
        <x:is>
          <x:t xml:space="preserve">prior-2026-10-04-v1</x:t>
        </x:is>
      </x:c>
      <x:c r="AA911" s="604" t="inlineStr">
        <x:is>
          <x:t xml:space="preserve">B</x:t>
        </x:is>
      </x:c>
      <x:c r="AB911" s="604" t="n">
        <x:v>0.5520637426975858</x:v>
      </x:c>
      <x:c r="AC911" s="604" t="n"/>
      <x:c r="AD911" s="604" t="n">
        <x:v>0.2266554620964108</x:v>
      </x:c>
      <x:c r="AE911" s="604" t="n"/>
      <x:c r="AF911" s="604" t="n">
        <x:v>0.2212807952060033</x:v>
      </x:c>
      <x:c r="AG911" s="604" t="n">
        <x:v>0.2534940235139205</x:v>
      </x:c>
      <x:c r="AH911" s="604" t="n"/>
      <x:c r="AI911" s="604" t="n"/>
      <x:c r="AJ911" s="604" t="n">
        <x:v>0.2534940235139205</x:v>
      </x:c>
      <x:c r="AK911" s="604" t="n"/>
      <x:c r="AL911" s="604" t="n"/>
      <x:c r="AM911" s="604" t="n"/>
      <x:c r="AN911" s="604" t="inlineStr">
        <x:is>
          <x:t xml:space="preserve">EVALUATED</x:t>
        </x:is>
      </x:c>
      <x:c r="AO911" s="604" t="inlineStr">
        <x:is>
          <x:t xml:space="preserve">RECEIVING_VALIDATED_EDGE、BUCKET_PRIOR_ONLY、INTENT_INTERPRETATION_ONLY、FFL_OPTIONAL、EXPERT_MARKET</x:t>
        </x:is>
      </x:c>
      <x:c r="AP911" s="604" t="inlineStr">
        <x:is>
          <x:t xml:space="preserve">b9b6052b6c6a112d1d41</x:t>
        </x:is>
      </x:c>
      <x:c r="AQ911" s="604" t="n">
        <x:v>1</x:v>
      </x:c>
      <x:c r="AR911" s="604" t="n">
        <x:v>0.86</x:v>
      </x:c>
      <x:c r="AS911" s="604" t="n">
        <x:v>1</x:v>
      </x:c>
      <x:c r="AT911" s="604" t="n">
        <x:v>-1</x:v>
      </x:c>
      <x:c r="AU911" s="604" t="n">
        <x:v>0.84</x:v>
      </x:c>
      <x:c r="AV911" s="604" t="n">
        <x:v>0.86</x:v>
      </x:c>
      <x:c r="AW911" s="604" t="n">
        <x:v>46299.08204853009</x:v>
      </x:c>
      <x:c r="AX911" s="604" t="inlineStr">
        <x:is>
          <x:t xml:space="preserve">https://simondongxiao.github.io/odds/v4/</x:t>
        </x:is>
      </x:c>
      <x:c r="AY911" s="604" t="inlineStr">
        <x:is>
          <x:t xml:space="preserve">V4 Shadow Only；real_money=false；P(EV&gt;0)不是比赛胜率</x:t>
        </x:is>
      </x:c>
    </x:row>
    <x:row r="912" ht="22" customHeight="1">
      <x:c r="A912" s="604" t="inlineStr">
        <x:is>
          <x:t xml:space="preserve">2026-10-04</x:t>
        </x:is>
      </x:c>
      <x:c r="B912" s="604" t="inlineStr">
        <x:is>
          <x:t xml:space="preserve">2026-10-04 19:45</x:t>
        </x:is>
      </x:c>
      <x:c r="C912" s="604" t="str">
        <x:v>欧洲非五大系列</x:v>
      </x:c>
      <x:c r="D912" s="604" t="inlineStr">
        <x:is>
          <x:t xml:space="preserve">联赛</x:t>
        </x:is>
      </x:c>
      <x:c r="E912" s="604" t="inlineStr">
        <x:is>
          <x:t xml:space="preserve">希腊甲</x:t>
        </x:is>
      </x:c>
      <x:c r="F912" s="604" t="inlineStr">
        <x:is>
          <x:t xml:space="preserve">皮尔戈斯 vs 帕尼奥尼奥斯</x:t>
        </x:is>
      </x:c>
      <x:c r="G912" s="604" t="n">
        <x:v>0.93</x:v>
      </x:c>
      <x:c r="H912" s="604" t="n">
        <x:v>-1</x:v>
      </x:c>
      <x:c r="I912" s="604" t="n">
        <x:v>0.77</x:v>
      </x:c>
      <x:c r="J912" s="604" t="inlineStr">
        <x:is>
          <x:t xml:space="preserve">0.93/-1/0.77</x:t>
        </x:is>
      </x:c>
      <x:c r="K912" s="604" t="inlineStr">
        <x:is>
          <x:t xml:space="preserve">V4-B｜EV +0.8841</x:t>
        </x:is>
      </x:c>
      <x:c r="L912" s="604" t="inlineStr">
        <x:is>
          <x:t xml:space="preserve">皮尔戈斯</x:t>
        </x:is>
      </x:c>
      <x:c r="M912" s="604" t="n">
        <x:v>0.9934660839590289</x:v>
      </x:c>
      <x:c r="N912" s="604" t="inlineStr">
        <x:is>
          <x:t xml:space="preserve">V4纸面入选-B</x:t>
        </x:is>
      </x:c>
      <x:c r="O912" s="604" t="inlineStr">
        <x:is>
          <x:t xml:space="preserve">2-0</x:t>
        </x:is>
      </x:c>
      <x:c r="P912" s="604" t="inlineStr">
        <x:is>
          <x:t xml:space="preserve">已结算</x:t>
        </x:is>
      </x:c>
      <x:c r="Q912" s="645" t="inlineStr">
        <x:is>
          <x:t xml:space="preserve">红</x:t>
        </x:is>
      </x:c>
      <x:c r="R912" s="604" t="n">
        <x:v>0.93</x:v>
      </x:c>
      <x:c r="S912" s="604" t="n">
        <x:f>IF(OR(Q912="",Q912="待结算"),"",IF(Q912="红",R912,IF(Q912="半红",R912*0.5,IF(Q912="走",0,IF(Q912="半黑",-0.5,-1)))))</x:f>
        <x:v>0.93</x:v>
      </x:c>
      <x:c r="T912" s="604" t="inlineStr">
        <x:is>
          <x:t xml:space="preserve">https://m.titan007.com/analy/Analysis/3077268.htm</x:t>
        </x:is>
      </x:c>
      <x:c r="U912" s="646" t="str">
        <x:f>IF(Q912="","",IF(Q912="待结算","待结算",IF(Q912="红","黑",IF(Q912="半红","半黑",IF(Q912="走","走",IF(Q912="半黑","半红","红"))))))</x:f>
        <x:v>黑</x:v>
      </x:c>
      <x:c r="V912" s="604" t="n">
        <x:f>IF(OR(Q912="",Q912="待结算"),"",IF(L912=LEFT(F912,FIND(" vs ",F912)-1),I912,G912))</x:f>
        <x:v>0.77</x:v>
      </x:c>
      <x:c r="W912" s="604" t="n">
        <x:f>IF(OR(U912="",U912="待结算"),"",IF(U912="红",V912,IF(U912="半红",V912*0.5,IF(U912="走",0,IF(U912="半黑",-0.5,-1)))))</x:f>
        <x:v>-1</x:v>
      </x:c>
      <x:c r="X912" s="604" t="inlineStr">
        <x:is>
          <x:t xml:space="preserve">3077268</x:t>
        </x:is>
      </x:c>
      <x:c r="Y912" s="604" t="inlineStr">
        <x:is>
          <x:t xml:space="preserve">V4</x:t>
        </x:is>
      </x:c>
      <x:c r="Z912" s="604" t="inlineStr">
        <x:is>
          <x:t xml:space="preserve">prior-2026-10-04-v1</x:t>
        </x:is>
      </x:c>
      <x:c r="AA912" s="604" t="inlineStr">
        <x:is>
          <x:t xml:space="preserve">B</x:t>
        </x:is>
      </x:c>
      <x:c r="AB912" s="604" t="n">
        <x:v>0.957365490218716</x:v>
      </x:c>
      <x:c r="AC912" s="604" t="n"/>
      <x:c r="AD912" s="604" t="n">
        <x:v>0.0363380233338712</x:v>
      </x:c>
      <x:c r="AE912" s="604" t="n"/>
      <x:c r="AF912" s="604" t="n">
        <x:v>0.006296486447412802</x:v>
      </x:c>
      <x:c r="AG912" s="604" t="n">
        <x:v>0.8840534194559931</x:v>
      </x:c>
      <x:c r="AH912" s="604" t="n"/>
      <x:c r="AI912" s="604" t="n"/>
      <x:c r="AJ912" s="604" t="n">
        <x:v>0.8840534194559931</x:v>
      </x:c>
      <x:c r="AK912" s="604" t="n"/>
      <x:c r="AL912" s="604" t="n"/>
      <x:c r="AM912" s="604" t="n"/>
      <x:c r="AN912" s="604" t="inlineStr">
        <x:is>
          <x:t xml:space="preserve">EVALUATED</x:t>
        </x:is>
      </x:c>
      <x:c r="AO912" s="604" t="inlineStr">
        <x:is>
          <x:t xml:space="preserve">RECEIVING_VALIDATED_EDGE、BUCKET_PRIOR_ONLY、INTENT_INTERPRETATION_ONLY、FFL_OPTIONAL、EXPERT_MARKET</x:t>
        </x:is>
      </x:c>
      <x:c r="AP912" s="604" t="inlineStr">
        <x:is>
          <x:t xml:space="preserve">087f8587eca5927d3676</x:t>
        </x:is>
      </x:c>
      <x:c r="AQ912" s="604" t="n">
        <x:v>1</x:v>
      </x:c>
      <x:c r="AR912" s="604" t="n">
        <x:v>0.93</x:v>
      </x:c>
      <x:c r="AS912" s="604" t="n">
        <x:v>-1</x:v>
      </x:c>
      <x:c r="AT912" s="604" t="n">
        <x:v>1</x:v>
      </x:c>
      <x:c r="AU912" s="604" t="n">
        <x:v>0.93</x:v>
      </x:c>
      <x:c r="AV912" s="604" t="n">
        <x:v>0.77</x:v>
      </x:c>
      <x:c r="AW912" s="604" t="n">
        <x:v>46299.08204853009</x:v>
      </x:c>
      <x:c r="AX912" s="604" t="inlineStr">
        <x:is>
          <x:t xml:space="preserve">https://simondongxiao.github.io/odds/v4/</x:t>
        </x:is>
      </x:c>
      <x:c r="AY912" s="604" t="inlineStr">
        <x:is>
          <x:t xml:space="preserve">V4 Shadow Only；real_money=false；P(EV&gt;0)不是比赛胜率</x:t>
        </x:is>
      </x:c>
    </x:row>
    <x:row r="913" ht="22" customHeight="1">
      <x:c r="A913" s="604" t="inlineStr">
        <x:is>
          <x:t xml:space="preserve">2026-10-04</x:t>
        </x:is>
      </x:c>
      <x:c r="B913" s="604" t="inlineStr">
        <x:is>
          <x:t xml:space="preserve">2026-10-04 19:45</x:t>
        </x:is>
      </x:c>
      <x:c r="C913" s="604" t="str">
        <x:v>五大联赛非顶级联赛</x:v>
      </x:c>
      <x:c r="D913" s="604" t="inlineStr">
        <x:is>
          <x:t xml:space="preserve">联赛</x:t>
        </x:is>
      </x:c>
      <x:c r="E913" s="604" t="inlineStr">
        <x:is>
          <x:t xml:space="preserve">德女联</x:t>
        </x:is>
      </x:c>
      <x:c r="F913" s="604" t="inlineStr">
        <x:is>
          <x:t xml:space="preserve">沃尔夫斯堡女足 vs 汉堡女足</x:t>
        </x:is>
      </x:c>
      <x:c r="G913" s="604" t="n">
        <x:v>0.98</x:v>
      </x:c>
      <x:c r="H913" s="604" t="n">
        <x:v>0</x:v>
      </x:c>
      <x:c r="I913" s="604" t="n">
        <x:v>0.72</x:v>
      </x:c>
      <x:c r="J913" s="604" t="inlineStr">
        <x:is>
          <x:t xml:space="preserve">0.98/0/0.72</x:t>
        </x:is>
      </x:c>
      <x:c r="K913" s="604" t="inlineStr">
        <x:is>
          <x:t xml:space="preserve">V4-C｜EV +0.0563</x:t>
        </x:is>
      </x:c>
      <x:c r="L913" s="604" t="str"/>
      <x:c r="M913" s="604" t="n">
        <x:v>0.5334883683879951</x:v>
      </x:c>
      <x:c r="N913" s="604" t="inlineStr">
        <x:is>
          <x:t xml:space="preserve">V4纸面入选-C</x:t>
        </x:is>
      </x:c>
      <x:c r="O913" s="604" t="inlineStr">
        <x:is>
          <x:t xml:space="preserve">2-1</x:t>
        </x:is>
      </x:c>
      <x:c r="P913" s="604" t="inlineStr">
        <x:is>
          <x:t xml:space="preserve">已结算</x:t>
        </x:is>
      </x:c>
      <x:c r="Q913" s="645" t="inlineStr">
        <x:is>
          <x:t xml:space="preserve">红</x:t>
        </x:is>
      </x:c>
      <x:c r="R913" s="604" t="n">
        <x:v>0.72</x:v>
      </x:c>
      <x:c r="S913" s="604" t="n">
        <x:f>IF(OR(Q913="",Q913="待结算"),"",IF(Q913="红",R913,IF(Q913="半红",R913*0.5,IF(Q913="走",0,IF(Q913="半黑",-0.5,-1)))))</x:f>
        <x:v>0.72</x:v>
      </x:c>
      <x:c r="T913" s="604" t="inlineStr">
        <x:is>
          <x:t xml:space="preserve">https://m.titan007.com/analy/Analysis/3034799.htm</x:t>
        </x:is>
      </x:c>
      <x:c r="U913" s="646" t="str">
        <x:f>IF(Q913="","",IF(Q913="待结算","待结算",IF(Q913="红","黑",IF(Q913="半红","半黑",IF(Q913="走","走",IF(Q913="半黑","半红","红"))))))</x:f>
        <x:v>黑</x:v>
      </x:c>
      <x:c r="V913" s="604" t="n">
        <x:f>IF(OR(Q913="",Q913="待结算"),"",IF(L913=LEFT(F913,FIND(" vs ",F913)-1),I913,G913))</x:f>
        <x:v>0.98</x:v>
      </x:c>
      <x:c r="W913" s="604" t="n">
        <x:f>IF(OR(U913="",U913="待结算"),"",IF(U913="红",V913,IF(U913="半红",V913*0.5,IF(U913="走",0,IF(U913="半黑",-0.5,-1)))))</x:f>
        <x:v>-1</x:v>
      </x:c>
      <x:c r="X913" s="604" t="inlineStr">
        <x:is>
          <x:t xml:space="preserve">3034799</x:t>
        </x:is>
      </x:c>
      <x:c r="Y913" s="604" t="inlineStr">
        <x:is>
          <x:t xml:space="preserve">V4</x:t>
        </x:is>
      </x:c>
      <x:c r="Z913" s="604" t="inlineStr">
        <x:is>
          <x:t xml:space="preserve">prior-2026-10-04-v1</x:t>
        </x:is>
      </x:c>
      <x:c r="AA913" s="604" t="inlineStr">
        <x:is>
          <x:t xml:space="preserve">C</x:t>
        </x:is>
      </x:c>
      <x:c r="AB913" s="604" t="n">
        <x:v>0.5334883683879951</x:v>
      </x:c>
      <x:c r="AC913" s="604" t="n"/>
      <x:c r="AD913" s="604" t="n"/>
      <x:c r="AE913" s="604" t="n"/>
      <x:c r="AF913" s="604" t="n">
        <x:v>0.4665116316120049</x:v>
      </x:c>
      <x:c r="AG913" s="604" t="n">
        <x:v>0.05630696940823021</x:v>
      </x:c>
      <x:c r="AH913" s="604" t="n"/>
      <x:c r="AI913" s="604" t="n"/>
      <x:c r="AJ913" s="604" t="n">
        <x:v>0.05630696940823021</x:v>
      </x:c>
      <x:c r="AK913" s="604" t="n"/>
      <x:c r="AL913" s="604" t="n"/>
      <x:c r="AM913" s="604" t="n"/>
      <x:c r="AN913" s="604" t="inlineStr">
        <x:is>
          <x:t xml:space="preserve">EVALUATED</x:t>
        </x:is>
      </x:c>
      <x:c r="AO913" s="604" t="inlineStr">
        <x:is>
          <x:t xml:space="preserve">EDGE_BELOW_UNCERTAINTY_THRESHOLD、BUCKET_PRIOR_ONLY、INTENT_INTERPRETATION_ONLY、FFL_OPTIONAL、EXPERT_MARKET</x:t>
        </x:is>
      </x:c>
      <x:c r="AP913" s="604" t="inlineStr">
        <x:is>
          <x:t xml:space="preserve">255e4563bcbfa35348d9</x:t>
        </x:is>
      </x:c>
      <x:c r="AQ913" s="604" t="n">
        <x:v>0</x:v>
      </x:c>
      <x:c r="AR913" s="604" t="n"/>
      <x:c r="AS913" s="604" t="n">
        <x:v>0</x:v>
      </x:c>
      <x:c r="AT913" s="604" t="n">
        <x:v>0</x:v>
      </x:c>
      <x:c r="AU913" s="604" t="n">
        <x:v>0.98</x:v>
      </x:c>
      <x:c r="AV913" s="604" t="n">
        <x:v>0.72</x:v>
      </x:c>
      <x:c r="AW913" s="604" t="n">
        <x:v>46299.08204853009</x:v>
      </x:c>
      <x:c r="AX913" s="604" t="inlineStr">
        <x:is>
          <x:t xml:space="preserve">https://simondongxiao.github.io/odds/v4/</x:t>
        </x:is>
      </x:c>
      <x:c r="AY913" s="604" t="inlineStr">
        <x:is>
          <x:t xml:space="preserve">V4 Shadow Only；real_money=false；P(EV&gt;0)不是比赛胜率</x:t>
        </x:is>
      </x:c>
    </x:row>
    <x:row r="914" ht="22" customHeight="1">
      <x:c r="A914" s="604" t="inlineStr">
        <x:is>
          <x:t xml:space="preserve">2026-10-04</x:t>
        </x:is>
      </x:c>
      <x:c r="B914" s="604" t="inlineStr">
        <x:is>
          <x:t xml:space="preserve">2026-10-04 20:00</x:t>
        </x:is>
      </x:c>
      <x:c r="C914" s="604" t="str">
        <x:v>五大联赛非顶级联赛</x:v>
      </x:c>
      <x:c r="D914" s="604" t="inlineStr">
        <x:is>
          <x:t xml:space="preserve">联赛</x:t>
        </x:is>
      </x:c>
      <x:c r="E914" s="604" t="inlineStr">
        <x:is>
          <x:t xml:space="preserve">德地区北</x:t>
        </x:is>
      </x:c>
      <x:c r="F914" s="604" t="inlineStr">
        <x:is>
          <x:t xml:space="preserve">HSC汉诺威 vs 舒宁根</x:t>
        </x:is>
      </x:c>
      <x:c r="G914" s="604" t="n">
        <x:v>0.8100000000000001</x:v>
      </x:c>
      <x:c r="H914" s="604" t="n">
        <x:v>-0.75</x:v>
      </x:c>
      <x:c r="I914" s="604" t="n">
        <x:v>0.95</x:v>
      </x:c>
      <x:c r="J914" s="604" t="inlineStr">
        <x:is>
          <x:t xml:space="preserve">0.81/-0.75/0.95</x:t>
        </x:is>
      </x:c>
      <x:c r="K914" s="604" t="inlineStr">
        <x:is>
          <x:t xml:space="preserve">V4-C｜EV +0.5324</x:t>
        </x:is>
      </x:c>
      <x:c r="L914" s="604" t="inlineStr">
        <x:is>
          <x:t xml:space="preserve">HSC汉诺威</x:t>
        </x:is>
      </x:c>
      <x:c r="M914" s="604" t="n">
        <x:v>0.8666470001009003</x:v>
      </x:c>
      <x:c r="N914" s="604" t="inlineStr">
        <x:is>
          <x:t xml:space="preserve">V4纸面入选-C</x:t>
        </x:is>
      </x:c>
      <x:c r="O914" s="604" t="inlineStr">
        <x:is>
          <x:t xml:space="preserve">2-0</x:t>
        </x:is>
      </x:c>
      <x:c r="P914" s="604" t="inlineStr">
        <x:is>
          <x:t xml:space="preserve">已结算</x:t>
        </x:is>
      </x:c>
      <x:c r="Q914" s="645" t="inlineStr">
        <x:is>
          <x:t xml:space="preserve">红</x:t>
        </x:is>
      </x:c>
      <x:c r="R914" s="604" t="n">
        <x:v>0.8100000000000001</x:v>
      </x:c>
      <x:c r="S914" s="604" t="n">
        <x:f>IF(OR(Q914="",Q914="待结算"),"",IF(Q914="红",R914,IF(Q914="半红",R914*0.5,IF(Q914="走",0,IF(Q914="半黑",-0.5,-1)))))</x:f>
        <x:v>0.81</x:v>
      </x:c>
      <x:c r="T914" s="604" t="inlineStr">
        <x:is>
          <x:t xml:space="preserve">https://m.titan007.com/analy/Analysis/3043402.htm</x:t>
        </x:is>
      </x:c>
      <x:c r="U914" s="646" t="str">
        <x:f>IF(Q914="","",IF(Q914="待结算","待结算",IF(Q914="红","黑",IF(Q914="半红","半黑",IF(Q914="走","走",IF(Q914="半黑","半红","红"))))))</x:f>
        <x:v>黑</x:v>
      </x:c>
      <x:c r="V914" s="604" t="n">
        <x:f>IF(OR(Q914="",Q914="待结算"),"",IF(L914=LEFT(F914,FIND(" vs ",F914)-1),I914,G914))</x:f>
        <x:v>0.95</x:v>
      </x:c>
      <x:c r="W914" s="604" t="n">
        <x:f>IF(OR(U914="",U914="待结算"),"",IF(U914="红",V914,IF(U914="半红",V914*0.5,IF(U914="走",0,IF(U914="半黑",-0.5,-1)))))</x:f>
        <x:v>-1</x:v>
      </x:c>
      <x:c r="X914" s="604" t="inlineStr">
        <x:is>
          <x:t xml:space="preserve">3043402</x:t>
        </x:is>
      </x:c>
      <x:c r="Y914" s="604" t="inlineStr">
        <x:is>
          <x:t xml:space="preserve">V4</x:t>
        </x:is>
      </x:c>
      <x:c r="Z914" s="604" t="inlineStr">
        <x:is>
          <x:t xml:space="preserve">prior-2026-10-04-v1</x:t>
        </x:is>
      </x:c>
      <x:c r="AA914" s="604" t="inlineStr">
        <x:is>
          <x:t xml:space="preserve">C</x:t>
        </x:is>
      </x:c>
      <x:c r="AB914" s="604" t="n">
        <x:v>0.8115007821124779</x:v>
      </x:c>
      <x:c r="AC914" s="604" t="n"/>
      <x:c r="AD914" s="604" t="n"/>
      <x:c r="AE914" s="604" t="n">
        <x:v>0.1272633909354144</x:v>
      </x:c>
      <x:c r="AF914" s="604" t="n">
        <x:v>0.06123582695210768</x:v>
      </x:c>
      <x:c r="AG914" s="604" t="n">
        <x:v>0.5324481110912922</x:v>
      </x:c>
      <x:c r="AH914" s="604" t="n"/>
      <x:c r="AI914" s="604" t="n"/>
      <x:c r="AJ914" s="604" t="n">
        <x:v>0.5324481110912922</x:v>
      </x:c>
      <x:c r="AK914" s="604" t="n"/>
      <x:c r="AL914" s="604" t="n"/>
      <x:c r="AM914" s="604" t="n"/>
      <x:c r="AN914" s="604" t="inlineStr">
        <x:is>
          <x:t xml:space="preserve">EVALUATED</x:t>
        </x:is>
      </x:c>
      <x:c r="AO914" s="604" t="inlineStr">
        <x:is>
          <x:t xml:space="preserve">RECEIVING_VALIDATED_EDGE、BUCKET_PRIOR_ONLY、INTENT_INTERPRETATION_ONLY、FFL_OPTIONAL、EXPERT_MARKET</x:t>
        </x:is>
      </x:c>
      <x:c r="AP914" s="604" t="inlineStr">
        <x:is>
          <x:t xml:space="preserve">ffa1f7593e8181ccff9a</x:t>
        </x:is>
      </x:c>
      <x:c r="AQ914" s="604" t="n">
        <x:v>0.75</x:v>
      </x:c>
      <x:c r="AR914" s="604" t="n">
        <x:v>0.8100000000000001</x:v>
      </x:c>
      <x:c r="AS914" s="604" t="n">
        <x:v>-0.75</x:v>
      </x:c>
      <x:c r="AT914" s="604" t="n">
        <x:v>0.75</x:v>
      </x:c>
      <x:c r="AU914" s="604" t="n">
        <x:v>0.8100000000000001</x:v>
      </x:c>
      <x:c r="AV914" s="604" t="n">
        <x:v>0.95</x:v>
      </x:c>
      <x:c r="AW914" s="604" t="n">
        <x:v>46299.08204853009</x:v>
      </x:c>
      <x:c r="AX914" s="604" t="inlineStr">
        <x:is>
          <x:t xml:space="preserve">https://simondongxiao.github.io/odds/v4/</x:t>
        </x:is>
      </x:c>
      <x:c r="AY914" s="604" t="inlineStr">
        <x:is>
          <x:t xml:space="preserve">V4 Shadow Only；real_money=false；P(EV&gt;0)不是比赛胜率</x:t>
        </x:is>
      </x:c>
    </x:row>
    <x:row r="915" ht="22" customHeight="1">
      <x:c r="A915" s="604" t="inlineStr">
        <x:is>
          <x:t xml:space="preserve">2026-10-04</x:t>
        </x:is>
      </x:c>
      <x:c r="B915" s="604" t="inlineStr">
        <x:is>
          <x:t xml:space="preserve">2026-10-04 20:00</x:t>
        </x:is>
      </x:c>
      <x:c r="C915" s="604" t="str">
        <x:v>欧洲非五大系列</x:v>
      </x:c>
      <x:c r="D915" s="604" t="inlineStr">
        <x:is>
          <x:t xml:space="preserve">联赛</x:t>
        </x:is>
      </x:c>
      <x:c r="E915" s="604" t="inlineStr">
        <x:is>
          <x:t xml:space="preserve">挪乙</x:t>
        </x:is>
      </x:c>
      <x:c r="F915" s="604" t="inlineStr">
        <x:is>
          <x:t xml:space="preserve">特罗姆斯达伦 vs 利云格尔</x:t>
        </x:is>
      </x:c>
      <x:c r="G915" s="604" t="n">
        <x:v>0.82</x:v>
      </x:c>
      <x:c r="H915" s="604" t="n">
        <x:v>-0.75</x:v>
      </x:c>
      <x:c r="I915" s="604" t="n">
        <x:v>0.88</x:v>
      </x:c>
      <x:c r="J915" s="604" t="inlineStr">
        <x:is>
          <x:t xml:space="preserve">0.82/-0.75/0.88</x:t>
        </x:is>
      </x:c>
      <x:c r="K915" s="604" t="inlineStr">
        <x:is>
          <x:t xml:space="preserve">V4-B｜EV +0.4668</x:t>
        </x:is>
      </x:c>
      <x:c r="L915" s="604" t="inlineStr">
        <x:is>
          <x:t xml:space="preserve">特罗姆斯达伦</x:t>
        </x:is>
      </x:c>
      <x:c r="M915" s="604" t="n">
        <x:v>0.826777513031566</x:v>
      </x:c>
      <x:c r="N915" s="604" t="inlineStr">
        <x:is>
          <x:t xml:space="preserve">V4纸面入选-B</x:t>
        </x:is>
      </x:c>
      <x:c r="O915" s="604" t="inlineStr">
        <x:is>
          <x:t xml:space="preserve">4-2</x:t>
        </x:is>
      </x:c>
      <x:c r="P915" s="604" t="inlineStr">
        <x:is>
          <x:t xml:space="preserve">已结算</x:t>
        </x:is>
      </x:c>
      <x:c r="Q915" s="645" t="inlineStr">
        <x:is>
          <x:t xml:space="preserve">红</x:t>
        </x:is>
      </x:c>
      <x:c r="R915" s="604" t="n">
        <x:v>0.82</x:v>
      </x:c>
      <x:c r="S915" s="604" t="n">
        <x:f>IF(OR(Q915="",Q915="待结算"),"",IF(Q915="红",R915,IF(Q915="半红",R915*0.5,IF(Q915="走",0,IF(Q915="半黑",-0.5,-1)))))</x:f>
        <x:v>0.82</x:v>
      </x:c>
      <x:c r="T915" s="604" t="inlineStr">
        <x:is>
          <x:t xml:space="preserve">https://m.titan007.com/analy/Analysis/2913543.htm</x:t>
        </x:is>
      </x:c>
      <x:c r="U915" s="646" t="str">
        <x:f>IF(Q915="","",IF(Q915="待结算","待结算",IF(Q915="红","黑",IF(Q915="半红","半黑",IF(Q915="走","走",IF(Q915="半黑","半红","红"))))))</x:f>
        <x:v>黑</x:v>
      </x:c>
      <x:c r="V915" s="604" t="n">
        <x:f>IF(OR(Q915="",Q915="待结算"),"",IF(L915=LEFT(F915,FIND(" vs ",F915)-1),I915,G915))</x:f>
        <x:v>0.88</x:v>
      </x:c>
      <x:c r="W915" s="604" t="n">
        <x:f>IF(OR(U915="",U915="待结算"),"",IF(U915="红",V915,IF(U915="半红",V915*0.5,IF(U915="走",0,IF(U915="半黑",-0.5,-1)))))</x:f>
        <x:v>-1</x:v>
      </x:c>
      <x:c r="X915" s="604" t="inlineStr">
        <x:is>
          <x:t xml:space="preserve">2913543</x:t>
        </x:is>
      </x:c>
      <x:c r="Y915" s="604" t="inlineStr">
        <x:is>
          <x:t xml:space="preserve">V4</x:t>
        </x:is>
      </x:c>
      <x:c r="Z915" s="604" t="inlineStr">
        <x:is>
          <x:t xml:space="preserve">prior-2026-10-04-v1</x:t>
        </x:is>
      </x:c>
      <x:c r="AA915" s="604" t="inlineStr">
        <x:is>
          <x:t xml:space="preserve">B</x:t>
        </x:is>
      </x:c>
      <x:c r="AB915" s="604" t="n">
        <x:v>0.7646550109509417</x:v>
      </x:c>
      <x:c r="AC915" s="604" t="n"/>
      <x:c r="AD915" s="604" t="n"/>
      <x:c r="AE915" s="604" t="n">
        <x:v>0.1502762257111668</x:v>
      </x:c>
      <x:c r="AF915" s="604" t="n">
        <x:v>0.08506876333789154</x:v>
      </x:c>
      <x:c r="AG915" s="604" t="n">
        <x:v>0.4668102327862972</x:v>
      </x:c>
      <x:c r="AH915" s="604" t="n"/>
      <x:c r="AI915" s="604" t="n"/>
      <x:c r="AJ915" s="604" t="n">
        <x:v>0.4668102327862972</x:v>
      </x:c>
      <x:c r="AK915" s="604" t="n"/>
      <x:c r="AL915" s="604" t="n"/>
      <x:c r="AM915" s="604" t="n"/>
      <x:c r="AN915" s="604" t="inlineStr">
        <x:is>
          <x:t xml:space="preserve">EVALUATED</x:t>
        </x:is>
      </x:c>
      <x:c r="AO915" s="604" t="inlineStr">
        <x:is>
          <x:t xml:space="preserve">RECEIVING_VALIDATED_EDGE、BUCKET_PRIOR_ONLY、INTENT_INTERPRETATION_ONLY、FFL_OPTIONAL、EXPERT_MARKET</x:t>
        </x:is>
      </x:c>
      <x:c r="AP915" s="604" t="inlineStr">
        <x:is>
          <x:t xml:space="preserve">a91af157209fc3e373d3</x:t>
        </x:is>
      </x:c>
      <x:c r="AQ915" s="604" t="n">
        <x:v>0.75</x:v>
      </x:c>
      <x:c r="AR915" s="604" t="n">
        <x:v>0.82</x:v>
      </x:c>
      <x:c r="AS915" s="604" t="n">
        <x:v>-0.75</x:v>
      </x:c>
      <x:c r="AT915" s="604" t="n">
        <x:v>0.75</x:v>
      </x:c>
      <x:c r="AU915" s="604" t="n">
        <x:v>0.82</x:v>
      </x:c>
      <x:c r="AV915" s="604" t="n">
        <x:v>0.88</x:v>
      </x:c>
      <x:c r="AW915" s="604" t="n">
        <x:v>46299.08204853009</x:v>
      </x:c>
      <x:c r="AX915" s="604" t="inlineStr">
        <x:is>
          <x:t xml:space="preserve">https://simondongxiao.github.io/odds/v4/</x:t>
        </x:is>
      </x:c>
      <x:c r="AY915" s="604" t="inlineStr">
        <x:is>
          <x:t xml:space="preserve">V4 Shadow Only；real_money=false；P(EV&gt;0)不是比赛胜率</x:t>
        </x:is>
      </x:c>
    </x:row>
    <x:row r="916" ht="22" customHeight="1">
      <x:c r="A916" s="604" t="inlineStr">
        <x:is>
          <x:t xml:space="preserve">2026-10-04</x:t>
        </x:is>
      </x:c>
      <x:c r="B916" s="604" t="inlineStr">
        <x:is>
          <x:t xml:space="preserve">2026-10-04 20:00</x:t>
        </x:is>
      </x:c>
      <x:c r="C916" s="604" t="str">
        <x:v>欧洲非五大系列</x:v>
      </x:c>
      <x:c r="D916" s="604" t="inlineStr">
        <x:is>
          <x:t xml:space="preserve">联赛</x:t>
        </x:is>
      </x:c>
      <x:c r="E916" s="604" t="inlineStr">
        <x:is>
          <x:t xml:space="preserve">丹麦乙</x:t>
        </x:is>
      </x:c>
      <x:c r="F916" s="604" t="inlineStr">
        <x:is>
          <x:t xml:space="preserve">齐斯泰兹 vs 罗斯基德</x:t>
        </x:is>
      </x:c>
      <x:c r="G916" s="604" t="n">
        <x:v>1</x:v>
      </x:c>
      <x:c r="H916" s="604" t="n">
        <x:v>-0.5</x:v>
      </x:c>
      <x:c r="I916" s="604" t="n">
        <x:v>0.7</x:v>
      </x:c>
      <x:c r="J916" s="604" t="inlineStr">
        <x:is>
          <x:t xml:space="preserve">1/-0.5/0.7</x:t>
        </x:is>
      </x:c>
      <x:c r="K916" s="604" t="inlineStr">
        <x:is>
          <x:t xml:space="preserve">V4-B｜EV +0.6226</x:t>
        </x:is>
      </x:c>
      <x:c r="L916" s="604" t="inlineStr">
        <x:is>
          <x:t xml:space="preserve">齐斯泰兹</x:t>
        </x:is>
      </x:c>
      <x:c r="M916" s="604" t="n">
        <x:v>0.8112824502720863</x:v>
      </x:c>
      <x:c r="N916" s="604" t="inlineStr">
        <x:is>
          <x:t xml:space="preserve">V4纸面入选-B</x:t>
        </x:is>
      </x:c>
      <x:c r="O916" s="604" t="inlineStr">
        <x:is>
          <x:t xml:space="preserve">0-2</x:t>
        </x:is>
      </x:c>
      <x:c r="P916" s="604" t="inlineStr">
        <x:is>
          <x:t xml:space="preserve">已结算</x:t>
        </x:is>
      </x:c>
      <x:c r="Q916" s="646" t="inlineStr">
        <x:is>
          <x:t xml:space="preserve">黑</x:t>
        </x:is>
      </x:c>
      <x:c r="R916" s="604" t="n">
        <x:v>1</x:v>
      </x:c>
      <x:c r="S916" s="604" t="n">
        <x:f>IF(OR(Q916="",Q916="待结算"),"",IF(Q916="红",R916,IF(Q916="半红",R916*0.5,IF(Q916="走",0,IF(Q916="半黑",-0.5,-1)))))</x:f>
        <x:v>-1</x:v>
      </x:c>
      <x:c r="T916" s="604" t="inlineStr">
        <x:is>
          <x:t xml:space="preserve">https://m.titan007.com/analy/Analysis/3020905.htm</x:t>
        </x:is>
      </x:c>
      <x:c r="U916" s="645" t="str">
        <x:f>IF(Q916="","",IF(Q916="待结算","待结算",IF(Q916="红","黑",IF(Q916="半红","半黑",IF(Q916="走","走",IF(Q916="半黑","半红","红"))))))</x:f>
        <x:v>红</x:v>
      </x:c>
      <x:c r="V916" s="604" t="n">
        <x:f>IF(OR(Q916="",Q916="待结算"),"",IF(L916=LEFT(F916,FIND(" vs ",F916)-1),I916,G916))</x:f>
        <x:v>0.7</x:v>
      </x:c>
      <x:c r="W916" s="604" t="n">
        <x:f>IF(OR(U916="",U916="待结算"),"",IF(U916="红",V916,IF(U916="半红",V916*0.5,IF(U916="走",0,IF(U916="半黑",-0.5,-1)))))</x:f>
        <x:v>0.7</x:v>
      </x:c>
      <x:c r="X916" s="604" t="inlineStr">
        <x:is>
          <x:t xml:space="preserve">3020905</x:t>
        </x:is>
      </x:c>
      <x:c r="Y916" s="604" t="inlineStr">
        <x:is>
          <x:t xml:space="preserve">V4</x:t>
        </x:is>
      </x:c>
      <x:c r="Z916" s="604" t="inlineStr">
        <x:is>
          <x:t xml:space="preserve">prior-2026-10-04-v1</x:t>
        </x:is>
      </x:c>
      <x:c r="AA916" s="604" t="inlineStr">
        <x:is>
          <x:t xml:space="preserve">B</x:t>
        </x:is>
      </x:c>
      <x:c r="AB916" s="604" t="n">
        <x:v>0.8112824502720863</x:v>
      </x:c>
      <x:c r="AC916" s="604" t="n"/>
      <x:c r="AD916" s="604" t="n"/>
      <x:c r="AE916" s="604" t="n"/>
      <x:c r="AF916" s="604" t="n">
        <x:v>0.1887175497279137</x:v>
      </x:c>
      <x:c r="AG916" s="604" t="n">
        <x:v>0.6225649005441726</x:v>
      </x:c>
      <x:c r="AH916" s="604" t="n"/>
      <x:c r="AI916" s="604" t="n"/>
      <x:c r="AJ916" s="604" t="n">
        <x:v>0.6225649005441726</x:v>
      </x:c>
      <x:c r="AK916" s="604" t="n"/>
      <x:c r="AL916" s="604" t="n"/>
      <x:c r="AM916" s="604" t="n"/>
      <x:c r="AN916" s="604" t="inlineStr">
        <x:is>
          <x:t xml:space="preserve">EVALUATED</x:t>
        </x:is>
      </x:c>
      <x:c r="AO916" s="604" t="inlineStr">
        <x:is>
          <x:t xml:space="preserve">RECEIVING_VALIDATED_EDGE、BUCKET_PRIOR_ONLY、INTENT_INTERPRETATION_ONLY、FFL_OPTIONAL、EXPERT_MARKET</x:t>
        </x:is>
      </x:c>
      <x:c r="AP916" s="604" t="inlineStr">
        <x:is>
          <x:t xml:space="preserve">947f8107b943f7764134</x:t>
        </x:is>
      </x:c>
      <x:c r="AQ916" s="604" t="n">
        <x:v>0.5</x:v>
      </x:c>
      <x:c r="AR916" s="604" t="n">
        <x:v>1</x:v>
      </x:c>
      <x:c r="AS916" s="604" t="n">
        <x:v>-0.5</x:v>
      </x:c>
      <x:c r="AT916" s="604" t="n">
        <x:v>0.5</x:v>
      </x:c>
      <x:c r="AU916" s="604" t="n">
        <x:v>1</x:v>
      </x:c>
      <x:c r="AV916" s="604" t="n">
        <x:v>0.7</x:v>
      </x:c>
      <x:c r="AW916" s="604" t="n">
        <x:v>46299.08204853009</x:v>
      </x:c>
      <x:c r="AX916" s="604" t="inlineStr">
        <x:is>
          <x:t xml:space="preserve">https://simondongxiao.github.io/odds/v4/</x:t>
        </x:is>
      </x:c>
      <x:c r="AY916" s="604" t="inlineStr">
        <x:is>
          <x:t xml:space="preserve">V4 Shadow Only；real_money=false；P(EV&gt;0)不是比赛胜率</x:t>
        </x:is>
      </x:c>
    </x:row>
    <x:row r="917" ht="22" customHeight="1">
      <x:c r="A917" s="604" t="inlineStr">
        <x:is>
          <x:t xml:space="preserve">2026-10-04</x:t>
        </x:is>
      </x:c>
      <x:c r="B917" s="604" t="inlineStr">
        <x:is>
          <x:t xml:space="preserve">2026-10-04 20:00</x:t>
        </x:is>
      </x:c>
      <x:c r="C917" s="604" t="str">
        <x:v>欧洲非五大系列</x:v>
      </x:c>
      <x:c r="D917" s="604" t="inlineStr">
        <x:is>
          <x:t xml:space="preserve">联赛</x:t>
        </x:is>
      </x:c>
      <x:c r="E917" s="604" t="inlineStr">
        <x:is>
          <x:t xml:space="preserve">瑞典女超</x:t>
        </x:is>
      </x:c>
      <x:c r="F917" s="604" t="inlineStr">
        <x:is>
          <x:t xml:space="preserve">佐加顿斯女足 vs AIK索尔纳女足</x:t>
        </x:is>
      </x:c>
      <x:c r="G917" s="604" t="n">
        <x:v>0.95</x:v>
      </x:c>
      <x:c r="H917" s="604" t="n">
        <x:v>-0.25</x:v>
      </x:c>
      <x:c r="I917" s="604" t="n">
        <x:v>0.75</x:v>
      </x:c>
      <x:c r="J917" s="604" t="inlineStr">
        <x:is>
          <x:t xml:space="preserve">0.95/-0.25/0.75</x:t>
        </x:is>
      </x:c>
      <x:c r="K917" s="604" t="inlineStr">
        <x:is>
          <x:t xml:space="preserve">V4-B｜EV +0.2691</x:t>
        </x:is>
      </x:c>
      <x:c r="L917" s="604" t="inlineStr">
        <x:is>
          <x:t xml:space="preserve">佐加顿斯女足</x:t>
        </x:is>
      </x:c>
      <x:c r="M917" s="604" t="n">
        <x:v>0.6713341522681455</x:v>
      </x:c>
      <x:c r="N917" s="604" t="inlineStr">
        <x:is>
          <x:t xml:space="preserve">V4纸面入选-B</x:t>
        </x:is>
      </x:c>
      <x:c r="O917" s="604" t="inlineStr">
        <x:is>
          <x:t xml:space="preserve">2-1</x:t>
        </x:is>
      </x:c>
      <x:c r="P917" s="604" t="inlineStr">
        <x:is>
          <x:t xml:space="preserve">已结算</x:t>
        </x:is>
      </x:c>
      <x:c r="Q917" s="645" t="inlineStr">
        <x:is>
          <x:t xml:space="preserve">红</x:t>
        </x:is>
      </x:c>
      <x:c r="R917" s="604" t="n">
        <x:v>0.95</x:v>
      </x:c>
      <x:c r="S917" s="604" t="n">
        <x:f>IF(OR(Q917="",Q917="待结算"),"",IF(Q917="红",R917,IF(Q917="半红",R917*0.5,IF(Q917="走",0,IF(Q917="半黑",-0.5,-1)))))</x:f>
        <x:v>0.95</x:v>
      </x:c>
      <x:c r="T917" s="604" t="inlineStr">
        <x:is>
          <x:t xml:space="preserve">https://m.titan007.com/analy/Analysis/2911385.htm</x:t>
        </x:is>
      </x:c>
      <x:c r="U917" s="646" t="str">
        <x:f>IF(Q917="","",IF(Q917="待结算","待结算",IF(Q917="红","黑",IF(Q917="半红","半黑",IF(Q917="走","走",IF(Q917="半黑","半红","红"))))))</x:f>
        <x:v>黑</x:v>
      </x:c>
      <x:c r="V917" s="604" t="n">
        <x:f>IF(OR(Q917="",Q917="待结算"),"",IF(L917=LEFT(F917,FIND(" vs ",F917)-1),I917,G917))</x:f>
        <x:v>0.75</x:v>
      </x:c>
      <x:c r="W917" s="604" t="n">
        <x:f>IF(OR(U917="",U917="待结算"),"",IF(U917="红",V917,IF(U917="半红",V917*0.5,IF(U917="走",0,IF(U917="半黑",-0.5,-1)))))</x:f>
        <x:v>-1</x:v>
      </x:c>
      <x:c r="X917" s="604" t="inlineStr">
        <x:is>
          <x:t xml:space="preserve">2911385</x:t>
        </x:is>
      </x:c>
      <x:c r="Y917" s="604" t="inlineStr">
        <x:is>
          <x:t xml:space="preserve">V4</x:t>
        </x:is>
      </x:c>
      <x:c r="Z917" s="604" t="inlineStr">
        <x:is>
          <x:t xml:space="preserve">prior-2026-10-04-v1</x:t>
        </x:is>
      </x:c>
      <x:c r="AA917" s="604" t="inlineStr">
        <x:is>
          <x:t xml:space="preserve">B</x:t>
        </x:is>
      </x:c>
      <x:c r="AB917" s="604" t="n">
        <x:v>0.4551155483144477</x:v>
      </x:c>
      <x:c r="AC917" s="604" t="n">
        <x:v>0.2587377319613441</x:v>
      </x:c>
      <x:c r="AD917" s="604" t="n"/>
      <x:c r="AE917" s="604" t="n"/>
      <x:c r="AF917" s="604" t="n">
        <x:v>0.2861467197242082</x:v>
      </x:c>
      <x:c r="AG917" s="604" t="n">
        <x:v>0.2691134738561555</x:v>
      </x:c>
      <x:c r="AH917" s="604" t="n"/>
      <x:c r="AI917" s="604" t="n"/>
      <x:c r="AJ917" s="604" t="n">
        <x:v>0.2691134738561555</x:v>
      </x:c>
      <x:c r="AK917" s="604" t="n"/>
      <x:c r="AL917" s="604" t="n"/>
      <x:c r="AM917" s="604" t="n"/>
      <x:c r="AN917" s="604" t="inlineStr">
        <x:is>
          <x:t xml:space="preserve">EVALUATED</x:t>
        </x:is>
      </x:c>
      <x:c r="AO917" s="604" t="inlineStr">
        <x:is>
          <x:t xml:space="preserve">RECEIVING_VALIDATED_EDGE、BUCKET_PRIOR_ONLY、INTENT_INTERPRETATION_ONLY、FFL_OPTIONAL、EXPERT_MARKET</x:t>
        </x:is>
      </x:c>
      <x:c r="AP917" s="604" t="inlineStr">
        <x:is>
          <x:t xml:space="preserve">3bc76b89d65facf9303f</x:t>
        </x:is>
      </x:c>
      <x:c r="AQ917" s="604" t="n">
        <x:v>0.25</x:v>
      </x:c>
      <x:c r="AR917" s="604" t="n">
        <x:v>0.95</x:v>
      </x:c>
      <x:c r="AS917" s="604" t="n">
        <x:v>-0.25</x:v>
      </x:c>
      <x:c r="AT917" s="604" t="n">
        <x:v>0.25</x:v>
      </x:c>
      <x:c r="AU917" s="604" t="n">
        <x:v>0.95</x:v>
      </x:c>
      <x:c r="AV917" s="604" t="n">
        <x:v>0.75</x:v>
      </x:c>
      <x:c r="AW917" s="604" t="n">
        <x:v>46299.08204853009</x:v>
      </x:c>
      <x:c r="AX917" s="604" t="inlineStr">
        <x:is>
          <x:t xml:space="preserve">https://simondongxiao.github.io/odds/v4/</x:t>
        </x:is>
      </x:c>
      <x:c r="AY917" s="604" t="inlineStr">
        <x:is>
          <x:t xml:space="preserve">V4 Shadow Only；real_money=false；P(EV&gt;0)不是比赛胜率</x:t>
        </x:is>
      </x:c>
    </x:row>
    <x:row r="918" ht="22" customHeight="1">
      <x:c r="A918" s="604" t="inlineStr">
        <x:is>
          <x:t xml:space="preserve">2026-10-04</x:t>
        </x:is>
      </x:c>
      <x:c r="B918" s="604" t="inlineStr">
        <x:is>
          <x:t xml:space="preserve">2026-10-04 20:00</x:t>
        </x:is>
      </x:c>
      <x:c r="C918" s="604" t="str">
        <x:v>欧洲非五大系列</x:v>
      </x:c>
      <x:c r="D918" s="604" t="inlineStr">
        <x:is>
          <x:t xml:space="preserve">联赛</x:t>
        </x:is>
      </x:c>
      <x:c r="E918" s="604" t="inlineStr">
        <x:is>
          <x:t xml:space="preserve">丹女超</x:t>
        </x:is>
      </x:c>
      <x:c r="F918" s="604" t="inlineStr">
        <x:is>
          <x:t xml:space="preserve">北西兰女足 vs 靴尔科治女足</x:t>
        </x:is>
      </x:c>
      <x:c r="G918" s="604" t="n">
        <x:v>0.82</x:v>
      </x:c>
      <x:c r="H918" s="604" t="n">
        <x:v>-0.25</x:v>
      </x:c>
      <x:c r="I918" s="604" t="n">
        <x:v>0.88</x:v>
      </x:c>
      <x:c r="J918" s="604" t="inlineStr">
        <x:is>
          <x:t xml:space="preserve">0.82/-0.25/0.88</x:t>
        </x:is>
      </x:c>
      <x:c r="K918" s="604" t="inlineStr">
        <x:is>
          <x:t xml:space="preserve">V4-B｜EV +0.1369</x:t>
        </x:is>
      </x:c>
      <x:c r="L918" s="604" t="inlineStr">
        <x:is>
          <x:t xml:space="preserve">北西兰女足</x:t>
        </x:is>
      </x:c>
      <x:c r="M918" s="604" t="n">
        <x:v>0.6359065444118424</x:v>
      </x:c>
      <x:c r="N918" s="604" t="inlineStr">
        <x:is>
          <x:t xml:space="preserve">V4纸面入选-B</x:t>
        </x:is>
      </x:c>
      <x:c r="O918" s="604" t="inlineStr">
        <x:is>
          <x:t xml:space="preserve">2-2</x:t>
        </x:is>
      </x:c>
      <x:c r="P918" s="604" t="inlineStr">
        <x:is>
          <x:t xml:space="preserve">已结算</x:t>
        </x:is>
      </x:c>
      <x:c r="Q918" s="649" t="inlineStr">
        <x:is>
          <x:t xml:space="preserve">半红</x:t>
        </x:is>
      </x:c>
      <x:c r="R918" s="604" t="n">
        <x:v>0.82</x:v>
      </x:c>
      <x:c r="S918" s="604" t="n">
        <x:f>IF(OR(Q918="",Q918="待结算"),"",IF(Q918="红",R918,IF(Q918="半红",R918*0.5,IF(Q918="走",0,IF(Q918="半黑",-0.5,-1)))))</x:f>
        <x:v>0.41</x:v>
      </x:c>
      <x:c r="T918" s="604" t="inlineStr">
        <x:is>
          <x:t xml:space="preserve">https://m.titan007.com/analy/Analysis/3040406.htm</x:t>
        </x:is>
      </x:c>
      <x:c r="U918" s="648" t="str">
        <x:f>IF(Q918="","",IF(Q918="待结算","待结算",IF(Q918="红","黑",IF(Q918="半红","半黑",IF(Q918="走","走",IF(Q918="半黑","半红","红"))))))</x:f>
        <x:v>半黑</x:v>
      </x:c>
      <x:c r="V918" s="604" t="n">
        <x:f>IF(OR(Q918="",Q918="待结算"),"",IF(L918=LEFT(F918,FIND(" vs ",F918)-1),I918,G918))</x:f>
        <x:v>0.88</x:v>
      </x:c>
      <x:c r="W918" s="604" t="n">
        <x:f>IF(OR(U918="",U918="待结算"),"",IF(U918="红",V918,IF(U918="半红",V918*0.5,IF(U918="走",0,IF(U918="半黑",-0.5,-1)))))</x:f>
        <x:v>-0.5</x:v>
      </x:c>
      <x:c r="X918" s="604" t="inlineStr">
        <x:is>
          <x:t xml:space="preserve">3040406</x:t>
        </x:is>
      </x:c>
      <x:c r="Y918" s="604" t="inlineStr">
        <x:is>
          <x:t xml:space="preserve">V4</x:t>
        </x:is>
      </x:c>
      <x:c r="Z918" s="604" t="inlineStr">
        <x:is>
          <x:t xml:space="preserve">prior-2026-10-04-v1</x:t>
        </x:is>
      </x:c>
      <x:c r="AA918" s="604" t="inlineStr">
        <x:is>
          <x:t xml:space="preserve">B</x:t>
        </x:is>
      </x:c>
      <x:c r="AB918" s="604" t="n">
        <x:v>0.4230350249523519</x:v>
      </x:c>
      <x:c r="AC918" s="604" t="n">
        <x:v>0.2602489979475254</x:v>
      </x:c>
      <x:c r="AD918" s="604" t="n"/>
      <x:c r="AE918" s="604" t="n"/>
      <x:c r="AF918" s="604" t="n">
        <x:v>0.3167159771001227</x:v>
      </x:c>
      <x:c r="AG918" s="604" t="n">
        <x:v>0.1368748325192913</x:v>
      </x:c>
      <x:c r="AH918" s="604" t="n"/>
      <x:c r="AI918" s="604" t="n"/>
      <x:c r="AJ918" s="604" t="n">
        <x:v>0.1368748325192913</x:v>
      </x:c>
      <x:c r="AK918" s="604" t="n"/>
      <x:c r="AL918" s="604" t="n"/>
      <x:c r="AM918" s="604" t="n"/>
      <x:c r="AN918" s="604" t="inlineStr">
        <x:is>
          <x:t xml:space="preserve">EVALUATED</x:t>
        </x:is>
      </x:c>
      <x:c r="AO918" s="604" t="inlineStr">
        <x:is>
          <x:t xml:space="preserve">RECEIVING_VALIDATED_EDGE、BUCKET_PRIOR_ONLY、INTENT_INTERPRETATION_ONLY、FFL_OPTIONAL、EXPERT_MARKET</x:t>
        </x:is>
      </x:c>
      <x:c r="AP918" s="604" t="inlineStr">
        <x:is>
          <x:t xml:space="preserve">6ab87529cf631d41067a</x:t>
        </x:is>
      </x:c>
      <x:c r="AQ918" s="604" t="n">
        <x:v>0.25</x:v>
      </x:c>
      <x:c r="AR918" s="604" t="n">
        <x:v>0.82</x:v>
      </x:c>
      <x:c r="AS918" s="604" t="n">
        <x:v>-0.25</x:v>
      </x:c>
      <x:c r="AT918" s="604" t="n">
        <x:v>0.25</x:v>
      </x:c>
      <x:c r="AU918" s="604" t="n">
        <x:v>0.82</x:v>
      </x:c>
      <x:c r="AV918" s="604" t="n">
        <x:v>0.88</x:v>
      </x:c>
      <x:c r="AW918" s="604" t="n">
        <x:v>46299.08204853009</x:v>
      </x:c>
      <x:c r="AX918" s="604" t="inlineStr">
        <x:is>
          <x:t xml:space="preserve">https://simondongxiao.github.io/odds/v4/</x:t>
        </x:is>
      </x:c>
      <x:c r="AY918" s="604" t="inlineStr">
        <x:is>
          <x:t xml:space="preserve">V4 Shadow Only；real_money=false；P(EV&gt;0)不是比赛胜率</x:t>
        </x:is>
      </x:c>
    </x:row>
    <x:row r="919" ht="22" customHeight="1">
      <x:c r="A919" s="604" t="inlineStr">
        <x:is>
          <x:t xml:space="preserve">2026-10-04</x:t>
        </x:is>
      </x:c>
      <x:c r="B919" s="604" t="inlineStr">
        <x:is>
          <x:t xml:space="preserve">2026-10-04 20:00</x:t>
        </x:is>
      </x:c>
      <x:c r="C919" s="604" t="str">
        <x:v>其他系列</x:v>
      </x:c>
      <x:c r="D919" s="604" t="inlineStr">
        <x:is>
          <x:t xml:space="preserve">联赛</x:t>
        </x:is>
      </x:c>
      <x:c r="E919" s="604" t="inlineStr">
        <x:is>
          <x:t xml:space="preserve">印尼甲</x:t>
        </x:is>
      </x:c>
      <x:c r="F919" s="604" t="inlineStr">
        <x:is>
          <x:t xml:space="preserve">塞曼巴东 vs 北干巴鲁</x:t>
        </x:is>
      </x:c>
      <x:c r="G919" s="604" t="n">
        <x:v>0.95</x:v>
      </x:c>
      <x:c r="H919" s="604" t="n">
        <x:v>0.75</x:v>
      </x:c>
      <x:c r="I919" s="604" t="n">
        <x:v>0.75</x:v>
      </x:c>
      <x:c r="J919" s="604" t="inlineStr">
        <x:is>
          <x:t xml:space="preserve">0.95/0.75/0.75</x:t>
        </x:is>
      </x:c>
      <x:c r="K919" s="604" t="inlineStr">
        <x:is>
          <x:t xml:space="preserve">V4-B｜EV +0.2436</x:t>
        </x:is>
      </x:c>
      <x:c r="L919" s="604" t="inlineStr">
        <x:is>
          <x:t xml:space="preserve">塞曼巴东</x:t>
        </x:is>
      </x:c>
      <x:c r="M919" s="604" t="n">
        <x:v>0.6560596279185835</x:v>
      </x:c>
      <x:c r="N919" s="604" t="inlineStr">
        <x:is>
          <x:t xml:space="preserve">V4纸面入选-B</x:t>
        </x:is>
      </x:c>
      <x:c r="O919" s="604" t="inlineStr">
        <x:is>
          <x:t xml:space="preserve">0-1</x:t>
        </x:is>
      </x:c>
      <x:c r="P919" s="604" t="inlineStr">
        <x:is>
          <x:t xml:space="preserve">已结算</x:t>
        </x:is>
      </x:c>
      <x:c r="Q919" s="646" t="inlineStr">
        <x:is>
          <x:t xml:space="preserve">黑</x:t>
        </x:is>
      </x:c>
      <x:c r="R919" s="604" t="n">
        <x:v>0.95</x:v>
      </x:c>
      <x:c r="S919" s="604" t="n">
        <x:f>IF(OR(Q919="",Q919="待结算"),"",IF(Q919="红",R919,IF(Q919="半红",R919*0.5,IF(Q919="走",0,IF(Q919="半黑",-0.5,-1)))))</x:f>
        <x:v>-1</x:v>
      </x:c>
      <x:c r="T919" s="604" t="inlineStr">
        <x:is>
          <x:t xml:space="preserve">https://m.titan007.com/analy/Analysis/3086199.htm</x:t>
        </x:is>
      </x:c>
      <x:c r="U919" s="645" t="str">
        <x:f>IF(Q919="","",IF(Q919="待结算","待结算",IF(Q919="红","黑",IF(Q919="半红","半黑",IF(Q919="走","走",IF(Q919="半黑","半红","红"))))))</x:f>
        <x:v>红</x:v>
      </x:c>
      <x:c r="V919" s="604" t="n">
        <x:f>IF(OR(Q919="",Q919="待结算"),"",IF(L919=LEFT(F919,FIND(" vs ",F919)-1),I919,G919))</x:f>
        <x:v>0.75</x:v>
      </x:c>
      <x:c r="W919" s="604" t="n">
        <x:f>IF(OR(U919="",U919="待结算"),"",IF(U919="红",V919,IF(U919="半红",V919*0.5,IF(U919="走",0,IF(U919="半黑",-0.5,-1)))))</x:f>
        <x:v>0.75</x:v>
      </x:c>
      <x:c r="X919" s="604" t="inlineStr">
        <x:is>
          <x:t xml:space="preserve">3086199</x:t>
        </x:is>
      </x:c>
      <x:c r="Y919" s="604" t="inlineStr">
        <x:is>
          <x:t xml:space="preserve">V4</x:t>
        </x:is>
      </x:c>
      <x:c r="Z919" s="604" t="inlineStr">
        <x:is>
          <x:t xml:space="preserve">prior-2026-10-04-v1</x:t>
        </x:is>
      </x:c>
      <x:c r="AA919" s="604" t="inlineStr">
        <x:is>
          <x:t xml:space="preserve">B</x:t>
        </x:is>
      </x:c>
      <x:c r="AB919" s="604" t="n">
        <x:v>0.4442247556228151</x:v>
      </x:c>
      <x:c r="AC919" s="604" t="n">
        <x:v>0.2558300060270327</x:v>
      </x:c>
      <x:c r="AD919" s="604" t="n"/>
      <x:c r="AE919" s="604" t="n"/>
      <x:c r="AF919" s="604" t="n">
        <x:v>0.2999452383501522</x:v>
      </x:c>
      <x:c r="AG919" s="604" t="n">
        <x:v>0.2435875323543626</x:v>
      </x:c>
      <x:c r="AH919" s="604" t="n"/>
      <x:c r="AI919" s="604" t="n"/>
      <x:c r="AJ919" s="604" t="n">
        <x:v>0.2435875323543626</x:v>
      </x:c>
      <x:c r="AK919" s="604" t="n"/>
      <x:c r="AL919" s="604" t="n"/>
      <x:c r="AM919" s="604" t="n"/>
      <x:c r="AN919" s="604" t="inlineStr">
        <x:is>
          <x:t xml:space="preserve">EVALUATED</x:t>
        </x:is>
      </x:c>
      <x:c r="AO919" s="604" t="inlineStr">
        <x:is>
          <x:t xml:space="preserve">GIVING_VALIDATED_EDGE、BUCKET_PRIOR_ONLY、INTENT_INTERPRETATION_ONLY、FFL_OPTIONAL、EXPERT_MARKET</x:t>
        </x:is>
      </x:c>
      <x:c r="AP919" s="604" t="inlineStr">
        <x:is>
          <x:t xml:space="preserve">2e5016dade1ed8e5d519</x:t>
        </x:is>
      </x:c>
      <x:c r="AQ919" s="604" t="n">
        <x:v>-0.75</x:v>
      </x:c>
      <x:c r="AR919" s="604" t="n">
        <x:v>0.95</x:v>
      </x:c>
      <x:c r="AS919" s="604" t="n">
        <x:v>0.75</x:v>
      </x:c>
      <x:c r="AT919" s="604" t="n">
        <x:v>-0.75</x:v>
      </x:c>
      <x:c r="AU919" s="604" t="n">
        <x:v>0.95</x:v>
      </x:c>
      <x:c r="AV919" s="604" t="n">
        <x:v>0.75</x:v>
      </x:c>
      <x:c r="AW919" s="604" t="n">
        <x:v>46299.08204853009</x:v>
      </x:c>
      <x:c r="AX919" s="604" t="inlineStr">
        <x:is>
          <x:t xml:space="preserve">https://simondongxiao.github.io/odds/v4/</x:t>
        </x:is>
      </x:c>
      <x:c r="AY919" s="604" t="inlineStr">
        <x:is>
          <x:t xml:space="preserve">V4 Shadow Only；real_money=false；P(EV&gt;0)不是比赛胜率</x:t>
        </x:is>
      </x:c>
    </x:row>
    <x:row r="920" ht="22" customHeight="1">
      <x:c r="A920" s="604" t="inlineStr">
        <x:is>
          <x:t xml:space="preserve">2026-10-04</x:t>
        </x:is>
      </x:c>
      <x:c r="B920" s="604" t="inlineStr">
        <x:is>
          <x:t xml:space="preserve">2026-10-04 20:00</x:t>
        </x:is>
      </x:c>
      <x:c r="C920" s="604" t="str">
        <x:v>其他系列</x:v>
      </x:c>
      <x:c r="D920" s="604" t="inlineStr">
        <x:is>
          <x:t xml:space="preserve">联赛</x:t>
        </x:is>
      </x:c>
      <x:c r="E920" s="604" t="inlineStr">
        <x:is>
          <x:t xml:space="preserve">国际友谊</x:t>
        </x:is>
      </x:c>
      <x:c r="F920" s="604" t="inlineStr">
        <x:is>
          <x:t xml:space="preserve">丹麦U20 vs 美国U20</x:t>
        </x:is>
      </x:c>
      <x:c r="G920" s="604" t="n">
        <x:v>0.9</x:v>
      </x:c>
      <x:c r="H920" s="604" t="n">
        <x:v>-0.25</x:v>
      </x:c>
      <x:c r="I920" s="604" t="n">
        <x:v>0.92</x:v>
      </x:c>
      <x:c r="J920" s="604" t="inlineStr">
        <x:is>
          <x:t xml:space="preserve">0.9/-0.25/0.92</x:t>
        </x:is>
      </x:c>
      <x:c r="K920" s="604" t="inlineStr">
        <x:is>
          <x:t xml:space="preserve">V4-C｜EV +0.2413</x:t>
        </x:is>
      </x:c>
      <x:c r="L920" s="604" t="inlineStr">
        <x:is>
          <x:t xml:space="preserve">丹麦U20</x:t>
        </x:is>
      </x:c>
      <x:c r="M920" s="604" t="n">
        <x:v>0.6721783150098075</x:v>
      </x:c>
      <x:c r="N920" s="604" t="inlineStr">
        <x:is>
          <x:t xml:space="preserve">V4纸面入选-C</x:t>
        </x:is>
      </x:c>
      <x:c r="O920" s="604" t="inlineStr">
        <x:is>
          <x:t xml:space="preserve">3-3</x:t>
        </x:is>
      </x:c>
      <x:c r="P920" s="604" t="inlineStr">
        <x:is>
          <x:t xml:space="preserve">已结算</x:t>
        </x:is>
      </x:c>
      <x:c r="Q920" s="649" t="inlineStr">
        <x:is>
          <x:t xml:space="preserve">半红</x:t>
        </x:is>
      </x:c>
      <x:c r="R920" s="604" t="n">
        <x:v>0.9</x:v>
      </x:c>
      <x:c r="S920" s="604" t="n">
        <x:f>IF(OR(Q920="",Q920="待结算"),"",IF(Q920="红",R920,IF(Q920="半红",R920*0.5,IF(Q920="走",0,IF(Q920="半黑",-0.5,-1)))))</x:f>
        <x:v>0.45</x:v>
      </x:c>
      <x:c r="T920" s="604" t="inlineStr">
        <x:is>
          <x:t xml:space="preserve">https://m.titan007.com/analy/Analysis/3096449.htm</x:t>
        </x:is>
      </x:c>
      <x:c r="U920" s="648" t="str">
        <x:f>IF(Q920="","",IF(Q920="待结算","待结算",IF(Q920="红","黑",IF(Q920="半红","半黑",IF(Q920="走","走",IF(Q920="半黑","半红","红"))))))</x:f>
        <x:v>半黑</x:v>
      </x:c>
      <x:c r="V920" s="604" t="n">
        <x:f>IF(OR(Q920="",Q920="待结算"),"",IF(L920=LEFT(F920,FIND(" vs ",F920)-1),I920,G920))</x:f>
        <x:v>0.92</x:v>
      </x:c>
      <x:c r="W920" s="604" t="n">
        <x:f>IF(OR(U920="",U920="待结算"),"",IF(U920="红",V920,IF(U920="半红",V920*0.5,IF(U920="走",0,IF(U920="半黑",-0.5,-1)))))</x:f>
        <x:v>-0.5</x:v>
      </x:c>
      <x:c r="X920" s="604" t="inlineStr">
        <x:is>
          <x:t xml:space="preserve">3096449</x:t>
        </x:is>
      </x:c>
      <x:c r="Y920" s="604" t="inlineStr">
        <x:is>
          <x:t xml:space="preserve">V4</x:t>
        </x:is>
      </x:c>
      <x:c r="Z920" s="604" t="inlineStr">
        <x:is>
          <x:t xml:space="preserve">prior-2026-10-04-v1</x:t>
        </x:is>
      </x:c>
      <x:c r="AA920" s="604" t="inlineStr">
        <x:is>
          <x:t xml:space="preserve">C</x:t>
        </x:is>
      </x:c>
      <x:c r="AB920" s="604" t="n">
        <x:v>0.4560465841642418</x:v>
      </x:c>
      <x:c r="AC920" s="604" t="n">
        <x:v>0.258503209742076</x:v>
      </x:c>
      <x:c r="AD920" s="604" t="n"/>
      <x:c r="AE920" s="604" t="n"/>
      <x:c r="AF920" s="604" t="n">
        <x:v>0.2854502060936822</x:v>
      </x:c>
      <x:c r="AG920" s="604" t="n">
        <x:v>0.2413181640380696</x:v>
      </x:c>
      <x:c r="AH920" s="604" t="n"/>
      <x:c r="AI920" s="604" t="n"/>
      <x:c r="AJ920" s="604" t="n">
        <x:v>0.2413181640380696</x:v>
      </x:c>
      <x:c r="AK920" s="604" t="n"/>
      <x:c r="AL920" s="604" t="n"/>
      <x:c r="AM920" s="604" t="n"/>
      <x:c r="AN920" s="604" t="inlineStr">
        <x:is>
          <x:t xml:space="preserve">EVALUATED</x:t>
        </x:is>
      </x:c>
      <x:c r="AO920" s="604" t="inlineStr">
        <x:is>
          <x:t xml:space="preserve">RECEIVING_VALIDATED_EDGE、BUCKET_PRIOR_ONLY、INTENT_INTERPRETATION_ONLY、FFL_OPTIONAL、EXPERT_MARKET</x:t>
        </x:is>
      </x:c>
      <x:c r="AP920" s="604" t="inlineStr">
        <x:is>
          <x:t xml:space="preserve">fef544beb873c0467c60</x:t>
        </x:is>
      </x:c>
      <x:c r="AQ920" s="604" t="n">
        <x:v>0.25</x:v>
      </x:c>
      <x:c r="AR920" s="604" t="n">
        <x:v>0.9</x:v>
      </x:c>
      <x:c r="AS920" s="604" t="n">
        <x:v>-0.25</x:v>
      </x:c>
      <x:c r="AT920" s="604" t="n">
        <x:v>0.25</x:v>
      </x:c>
      <x:c r="AU920" s="604" t="n">
        <x:v>0.9</x:v>
      </x:c>
      <x:c r="AV920" s="604" t="n">
        <x:v>0.92</x:v>
      </x:c>
      <x:c r="AW920" s="604" t="n">
        <x:v>46299.08204853009</x:v>
      </x:c>
      <x:c r="AX920" s="604" t="inlineStr">
        <x:is>
          <x:t xml:space="preserve">https://simondongxiao.github.io/odds/v4/</x:t>
        </x:is>
      </x:c>
      <x:c r="AY920" s="604" t="inlineStr">
        <x:is>
          <x:t xml:space="preserve">V4 Shadow Only；real_money=false；P(EV&gt;0)不是比赛胜率</x:t>
        </x:is>
      </x:c>
    </x:row>
    <x:row r="921" ht="22" customHeight="1">
      <x:c r="A921" s="604" t="inlineStr">
        <x:is>
          <x:t xml:space="preserve">2026-10-04</x:t>
        </x:is>
      </x:c>
      <x:c r="B921" s="604" t="inlineStr">
        <x:is>
          <x:t xml:space="preserve">2026-10-04 20:15</x:t>
        </x:is>
      </x:c>
      <x:c r="C921" s="604" t="str">
        <x:v>五大联赛非顶级联赛</x:v>
      </x:c>
      <x:c r="D921" s="604" t="inlineStr">
        <x:is>
          <x:t xml:space="preserve">联赛</x:t>
        </x:is>
      </x:c>
      <x:c r="E921" s="604" t="inlineStr">
        <x:is>
          <x:t xml:space="preserve">西协甲</x:t>
        </x:is>
      </x:c>
      <x:c r="F921" s="604" t="inlineStr">
        <x:is>
          <x:t xml:space="preserve">韦斯卡 vs CE欧罗巴</x:t>
        </x:is>
      </x:c>
      <x:c r="G921" s="604" t="n">
        <x:v>0.76</x:v>
      </x:c>
      <x:c r="H921" s="604" t="n">
        <x:v>0.75</x:v>
      </x:c>
      <x:c r="I921" s="604" t="n">
        <x:v>0.9399999999999999</x:v>
      </x:c>
      <x:c r="J921" s="604" t="inlineStr">
        <x:is>
          <x:t xml:space="preserve">0.76/0.75/0.94</x:t>
        </x:is>
      </x:c>
      <x:c r="K921" s="604" t="inlineStr">
        <x:is>
          <x:t xml:space="preserve">V4-B｜EV +0.2119</x:t>
        </x:is>
      </x:c>
      <x:c r="L921" s="604" t="inlineStr">
        <x:is>
          <x:t xml:space="preserve">韦斯卡</x:t>
        </x:is>
      </x:c>
      <x:c r="M921" s="604" t="n">
        <x:v>0.7059663840265419</x:v>
      </x:c>
      <x:c r="N921" s="604" t="inlineStr">
        <x:is>
          <x:t xml:space="preserve">V4纸面入选-B</x:t>
        </x:is>
      </x:c>
      <x:c r="O921" s="604" t="inlineStr">
        <x:is>
          <x:t xml:space="preserve">3-1</x:t>
        </x:is>
      </x:c>
      <x:c r="P921" s="604" t="inlineStr">
        <x:is>
          <x:t xml:space="preserve">已结算</x:t>
        </x:is>
      </x:c>
      <x:c r="Q921" s="645" t="inlineStr">
        <x:is>
          <x:t xml:space="preserve">红</x:t>
        </x:is>
      </x:c>
      <x:c r="R921" s="604" t="n">
        <x:v>0.76</x:v>
      </x:c>
      <x:c r="S921" s="604" t="n">
        <x:f>IF(OR(Q921="",Q921="待结算"),"",IF(Q921="红",R921,IF(Q921="半红",R921*0.5,IF(Q921="走",0,IF(Q921="半黑",-0.5,-1)))))</x:f>
        <x:v>0.76</x:v>
      </x:c>
      <x:c r="T921" s="604" t="inlineStr">
        <x:is>
          <x:t xml:space="preserve">https://m.titan007.com/analy/Analysis/3014918.htm</x:t>
        </x:is>
      </x:c>
      <x:c r="U921" s="646" t="str">
        <x:f>IF(Q921="","",IF(Q921="待结算","待结算",IF(Q921="红","黑",IF(Q921="半红","半黑",IF(Q921="走","走",IF(Q921="半黑","半红","红"))))))</x:f>
        <x:v>黑</x:v>
      </x:c>
      <x:c r="V921" s="604" t="n">
        <x:f>IF(OR(Q921="",Q921="待结算"),"",IF(L921=LEFT(F921,FIND(" vs ",F921)-1),I921,G921))</x:f>
        <x:v>0.94</x:v>
      </x:c>
      <x:c r="W921" s="604" t="n">
        <x:f>IF(OR(U921="",U921="待结算"),"",IF(U921="红",V921,IF(U921="半红",V921*0.5,IF(U921="走",0,IF(U921="半黑",-0.5,-1)))))</x:f>
        <x:v>-1</x:v>
      </x:c>
      <x:c r="X921" s="604" t="inlineStr">
        <x:is>
          <x:t xml:space="preserve">3014918</x:t>
        </x:is>
      </x:c>
      <x:c r="Y921" s="604" t="inlineStr">
        <x:is>
          <x:t xml:space="preserve">V4</x:t>
        </x:is>
      </x:c>
      <x:c r="Z921" s="604" t="inlineStr">
        <x:is>
          <x:t xml:space="preserve">prior-2026-10-04-v1</x:t>
        </x:is>
      </x:c>
      <x:c r="AA921" s="604" t="inlineStr">
        <x:is>
          <x:t xml:space="preserve">B</x:t>
        </x:is>
      </x:c>
      <x:c r="AB921" s="604" t="n">
        <x:v>0.4904372116583277</x:v>
      </x:c>
      <x:c r="AC921" s="604" t="n">
        <x:v>0.2526769277358292</x:v>
      </x:c>
      <x:c r="AD921" s="604" t="n"/>
      <x:c r="AE921" s="604" t="n"/>
      <x:c r="AF921" s="604" t="n">
        <x:v>0.2568858606058431</x:v>
      </x:c>
      <x:c r="AG921" s="604" t="n">
        <x:v>0.211863652794101</x:v>
      </x:c>
      <x:c r="AH921" s="604" t="n"/>
      <x:c r="AI921" s="604" t="n"/>
      <x:c r="AJ921" s="604" t="n">
        <x:v>0.211863652794101</x:v>
      </x:c>
      <x:c r="AK921" s="604" t="n"/>
      <x:c r="AL921" s="604" t="n"/>
      <x:c r="AM921" s="604" t="n"/>
      <x:c r="AN921" s="604" t="inlineStr">
        <x:is>
          <x:t xml:space="preserve">EVALUATED</x:t>
        </x:is>
      </x:c>
      <x:c r="AO921" s="604" t="inlineStr">
        <x:is>
          <x:t xml:space="preserve">GIVING_VALIDATED_EDGE、BUCKET_PRIOR_ONLY、INTENT_INTERPRETATION_ONLY、FFL_OPTIONAL、EXPERT_MARKET</x:t>
        </x:is>
      </x:c>
      <x:c r="AP921" s="604" t="inlineStr">
        <x:is>
          <x:t xml:space="preserve">131e5dc67c3e05f11b2b</x:t>
        </x:is>
      </x:c>
      <x:c r="AQ921" s="604" t="n">
        <x:v>-0.75</x:v>
      </x:c>
      <x:c r="AR921" s="604" t="n">
        <x:v>0.76</x:v>
      </x:c>
      <x:c r="AS921" s="604" t="n">
        <x:v>0.75</x:v>
      </x:c>
      <x:c r="AT921" s="604" t="n">
        <x:v>-0.75</x:v>
      </x:c>
      <x:c r="AU921" s="604" t="n">
        <x:v>0.76</x:v>
      </x:c>
      <x:c r="AV921" s="604" t="n">
        <x:v>0.9399999999999999</x:v>
      </x:c>
      <x:c r="AW921" s="604" t="n">
        <x:v>46299.08204853009</x:v>
      </x:c>
      <x:c r="AX921" s="604" t="inlineStr">
        <x:is>
          <x:t xml:space="preserve">https://simondongxiao.github.io/odds/v4/</x:t>
        </x:is>
      </x:c>
      <x:c r="AY921" s="604" t="inlineStr">
        <x:is>
          <x:t xml:space="preserve">V4 Shadow Only；real_money=false；P(EV&gt;0)不是比赛胜率</x:t>
        </x:is>
      </x:c>
    </x:row>
    <x:row r="922" ht="22" customHeight="1">
      <x:c r="A922" s="604" t="inlineStr">
        <x:is>
          <x:t xml:space="preserve">2026-10-04</x:t>
        </x:is>
      </x:c>
      <x:c r="B922" s="604" t="inlineStr">
        <x:is>
          <x:t xml:space="preserve">2026-10-04 20:30</x:t>
        </x:is>
      </x:c>
      <x:c r="C922" s="604" t="str">
        <x:v>欧洲非五大系列</x:v>
      </x:c>
      <x:c r="D922" s="604" t="inlineStr">
        <x:is>
          <x:t xml:space="preserve">联赛</x:t>
        </x:is>
      </x:c>
      <x:c r="E922" s="604" t="inlineStr">
        <x:is>
          <x:t xml:space="preserve">挪甲</x:t>
        </x:is>
      </x:c>
      <x:c r="F922" s="604" t="inlineStr">
        <x:is>
          <x:t xml:space="preserve">布莱尼 vs 利恩</x:t>
        </x:is>
      </x:c>
      <x:c r="G922" s="604" t="n">
        <x:v>0.98</x:v>
      </x:c>
      <x:c r="H922" s="604" t="n">
        <x:v>0</x:v>
      </x:c>
      <x:c r="I922" s="604" t="n">
        <x:v>0.78</x:v>
      </x:c>
      <x:c r="J922" s="604" t="inlineStr">
        <x:is>
          <x:t xml:space="preserve">0.98/0/0.78</x:t>
        </x:is>
      </x:c>
      <x:c r="K922" s="604" t="inlineStr">
        <x:is>
          <x:t xml:space="preserve">V4-C｜EV +0.0075</x:t>
        </x:is>
      </x:c>
      <x:c r="L922" s="604" t="str"/>
      <x:c r="M922" s="604" t="n">
        <x:v>0.5094082871558427</x:v>
      </x:c>
      <x:c r="N922" s="604" t="inlineStr">
        <x:is>
          <x:t xml:space="preserve">V4纸面入选-C</x:t>
        </x:is>
      </x:c>
      <x:c r="O922" s="604" t="inlineStr">
        <x:is>
          <x:t xml:space="preserve">1-0</x:t>
        </x:is>
      </x:c>
      <x:c r="P922" s="604" t="inlineStr">
        <x:is>
          <x:t xml:space="preserve">已结算</x:t>
        </x:is>
      </x:c>
      <x:c r="Q922" s="645" t="inlineStr">
        <x:is>
          <x:t xml:space="preserve">红</x:t>
        </x:is>
      </x:c>
      <x:c r="R922" s="604" t="n">
        <x:v>0.78</x:v>
      </x:c>
      <x:c r="S922" s="604" t="n">
        <x:f>IF(OR(Q922="",Q922="待结算"),"",IF(Q922="红",R922,IF(Q922="半红",R922*0.5,IF(Q922="走",0,IF(Q922="半黑",-0.5,-1)))))</x:f>
        <x:v>0.78</x:v>
      </x:c>
      <x:c r="T922" s="604" t="inlineStr">
        <x:is>
          <x:t xml:space="preserve">https://m.titan007.com/analy/Analysis/2913154.htm</x:t>
        </x:is>
      </x:c>
      <x:c r="U922" s="646" t="str">
        <x:f>IF(Q922="","",IF(Q922="待结算","待结算",IF(Q922="红","黑",IF(Q922="半红","半黑",IF(Q922="走","走",IF(Q922="半黑","半红","红"))))))</x:f>
        <x:v>黑</x:v>
      </x:c>
      <x:c r="V922" s="604" t="n">
        <x:f>IF(OR(Q922="",Q922="待结算"),"",IF(L922=LEFT(F922,FIND(" vs ",F922)-1),I922,G922))</x:f>
        <x:v>0.98</x:v>
      </x:c>
      <x:c r="W922" s="604" t="n">
        <x:f>IF(OR(U922="",U922="待结算"),"",IF(U922="红",V922,IF(U922="半红",V922*0.5,IF(U922="走",0,IF(U922="半黑",-0.5,-1)))))</x:f>
        <x:v>-1</x:v>
      </x:c>
      <x:c r="X922" s="604" t="inlineStr">
        <x:is>
          <x:t xml:space="preserve">2913154</x:t>
        </x:is>
      </x:c>
      <x:c r="Y922" s="604" t="inlineStr">
        <x:is>
          <x:t xml:space="preserve">V4</x:t>
        </x:is>
      </x:c>
      <x:c r="Z922" s="604" t="inlineStr">
        <x:is>
          <x:t xml:space="preserve">prior-2026-10-04-v1</x:t>
        </x:is>
      </x:c>
      <x:c r="AA922" s="604" t="inlineStr">
        <x:is>
          <x:t xml:space="preserve">C</x:t>
        </x:is>
      </x:c>
      <x:c r="AB922" s="604" t="n">
        <x:v>0.3202171441565096</x:v>
      </x:c>
      <x:c r="AC922" s="604" t="n">
        <x:v>0.2506825285235759</x:v>
      </x:c>
      <x:c r="AD922" s="604" t="n"/>
      <x:c r="AE922" s="604" t="n"/>
      <x:c r="AF922" s="604" t="n">
        <x:v>0.4291003273199146</x:v>
      </x:c>
      <x:c r="AG922" s="604" t="n">
        <x:v>0.007546912930016969</x:v>
      </x:c>
      <x:c r="AH922" s="604" t="n"/>
      <x:c r="AI922" s="604" t="n"/>
      <x:c r="AJ922" s="604" t="n">
        <x:v>0.007546912930016969</x:v>
      </x:c>
      <x:c r="AK922" s="604" t="n"/>
      <x:c r="AL922" s="604" t="n"/>
      <x:c r="AM922" s="604" t="n"/>
      <x:c r="AN922" s="604" t="inlineStr">
        <x:is>
          <x:t xml:space="preserve">EVALUATED</x:t>
        </x:is>
      </x:c>
      <x:c r="AO922" s="604" t="inlineStr">
        <x:is>
          <x:t xml:space="preserve">EDGE_BELOW_UNCERTAINTY_THRESHOLD、BUCKET_PRIOR_ONLY、INTENT_INTERPRETATION_ONLY、FFL_OPTIONAL、EXPERT_MARKET</x:t>
        </x:is>
      </x:c>
      <x:c r="AP922" s="604" t="inlineStr">
        <x:is>
          <x:t xml:space="preserve">4296af452e674ccb7331</x:t>
        </x:is>
      </x:c>
      <x:c r="AQ922" s="604" t="n">
        <x:v>0</x:v>
      </x:c>
      <x:c r="AR922" s="604" t="n"/>
      <x:c r="AS922" s="604" t="n">
        <x:v>0</x:v>
      </x:c>
      <x:c r="AT922" s="604" t="n">
        <x:v>0</x:v>
      </x:c>
      <x:c r="AU922" s="604" t="n">
        <x:v>0.98</x:v>
      </x:c>
      <x:c r="AV922" s="604" t="n">
        <x:v>0.78</x:v>
      </x:c>
      <x:c r="AW922" s="604" t="n">
        <x:v>46299.08204853009</x:v>
      </x:c>
      <x:c r="AX922" s="604" t="inlineStr">
        <x:is>
          <x:t xml:space="preserve">https://simondongxiao.github.io/odds/v4/</x:t>
        </x:is>
      </x:c>
      <x:c r="AY922" s="604" t="inlineStr">
        <x:is>
          <x:t xml:space="preserve">V4 Shadow Only；real_money=false；P(EV&gt;0)不是比赛胜率</x:t>
        </x:is>
      </x:c>
    </x:row>
    <x:row r="923" ht="22" customHeight="1">
      <x:c r="A923" s="604" t="inlineStr">
        <x:is>
          <x:t xml:space="preserve">2026-10-04</x:t>
        </x:is>
      </x:c>
      <x:c r="B923" s="604" t="inlineStr">
        <x:is>
          <x:t xml:space="preserve">2026-10-04 20:30</x:t>
        </x:is>
      </x:c>
      <x:c r="C923" s="604" t="str">
        <x:v>五大联赛非顶级联赛</x:v>
      </x:c>
      <x:c r="D923" s="604" t="inlineStr">
        <x:is>
          <x:t xml:space="preserve">联赛</x:t>
        </x:is>
      </x:c>
      <x:c r="E923" s="604" t="inlineStr">
        <x:is>
          <x:t xml:space="preserve">意丙</x:t>
        </x:is>
      </x:c>
      <x:c r="F923" s="604" t="inlineStr">
        <x:is>
          <x:t xml:space="preserve">圭多尼亚 vs 皮内托</x:t>
        </x:is>
      </x:c>
      <x:c r="G923" s="604" t="n">
        <x:v>0.89</x:v>
      </x:c>
      <x:c r="H923" s="604" t="n">
        <x:v>0.25</x:v>
      </x:c>
      <x:c r="I923" s="604" t="n">
        <x:v>0.8100000000000001</x:v>
      </x:c>
      <x:c r="J923" s="604" t="inlineStr">
        <x:is>
          <x:t xml:space="preserve">0.89/0.25/0.81</x:t>
        </x:is>
      </x:c>
      <x:c r="K923" s="604" t="inlineStr">
        <x:is>
          <x:t xml:space="preserve">V4-B｜EV +0.0842</x:t>
        </x:is>
      </x:c>
      <x:c r="L923" s="604" t="inlineStr">
        <x:is>
          <x:t xml:space="preserve">圭多尼亚</x:t>
        </x:is>
      </x:c>
      <x:c r="M923" s="604" t="n">
        <x:v>0.5800588542800457</x:v>
      </x:c>
      <x:c r="N923" s="604" t="inlineStr">
        <x:is>
          <x:t xml:space="preserve">V4纸面入选-B</x:t>
        </x:is>
      </x:c>
      <x:c r="O923" s="604" t="inlineStr">
        <x:is>
          <x:t xml:space="preserve">1-0</x:t>
        </x:is>
      </x:c>
      <x:c r="P923" s="604" t="inlineStr">
        <x:is>
          <x:t xml:space="preserve">已结算</x:t>
        </x:is>
      </x:c>
      <x:c r="Q923" s="645" t="inlineStr">
        <x:is>
          <x:t xml:space="preserve">红</x:t>
        </x:is>
      </x:c>
      <x:c r="R923" s="604" t="n">
        <x:v>0.89</x:v>
      </x:c>
      <x:c r="S923" s="604" t="n">
        <x:f>IF(OR(Q923="",Q923="待结算"),"",IF(Q923="红",R923,IF(Q923="半红",R923*0.5,IF(Q923="走",0,IF(Q923="半黑",-0.5,-1)))))</x:f>
        <x:v>0.89</x:v>
      </x:c>
      <x:c r="T923" s="604" t="inlineStr">
        <x:is>
          <x:t xml:space="preserve">https://m.titan007.com/analy/Analysis/3050955.htm</x:t>
        </x:is>
      </x:c>
      <x:c r="U923" s="646" t="str">
        <x:f>IF(Q923="","",IF(Q923="待结算","待结算",IF(Q923="红","黑",IF(Q923="半红","半黑",IF(Q923="走","走",IF(Q923="半黑","半红","红"))))))</x:f>
        <x:v>黑</x:v>
      </x:c>
      <x:c r="V923" s="604" t="n">
        <x:f>IF(OR(Q923="",Q923="待结算"),"",IF(L923=LEFT(F923,FIND(" vs ",F923)-1),I923,G923))</x:f>
        <x:v>0.81</x:v>
      </x:c>
      <x:c r="W923" s="604" t="n">
        <x:f>IF(OR(U923="",U923="待结算"),"",IF(U923="红",V923,IF(U923="半红",V923*0.5,IF(U923="走",0,IF(U923="半黑",-0.5,-1)))))</x:f>
        <x:v>-1</x:v>
      </x:c>
      <x:c r="X923" s="604" t="inlineStr">
        <x:is>
          <x:t xml:space="preserve">3050955</x:t>
        </x:is>
      </x:c>
      <x:c r="Y923" s="604" t="inlineStr">
        <x:is>
          <x:t xml:space="preserve">V4</x:t>
        </x:is>
      </x:c>
      <x:c r="Z923" s="604" t="inlineStr">
        <x:is>
          <x:t xml:space="preserve">prior-2026-10-04-v1</x:t>
        </x:is>
      </x:c>
      <x:c r="AA923" s="604" t="inlineStr">
        <x:is>
          <x:t xml:space="preserve">B</x:t>
        </x:is>
      </x:c>
      <x:c r="AB923" s="604" t="n">
        <x:v>0.5068672638593258</x:v>
      </x:c>
      <x:c r="AC923" s="604" t="n"/>
      <x:c r="AD923" s="604" t="n"/>
      <x:c r="AE923" s="604" t="n">
        <x:v>0.2523591869365165</x:v>
      </x:c>
      <x:c r="AF923" s="604" t="n">
        <x:v>0.2407735492041576</x:v>
      </x:c>
      <x:c r="AG923" s="604" t="n">
        <x:v>0.08415872216238404</x:v>
      </x:c>
      <x:c r="AH923" s="604" t="n"/>
      <x:c r="AI923" s="604" t="n"/>
      <x:c r="AJ923" s="604" t="n">
        <x:v>0.08415872216238404</x:v>
      </x:c>
      <x:c r="AK923" s="604" t="n"/>
      <x:c r="AL923" s="604" t="n"/>
      <x:c r="AM923" s="604" t="n"/>
      <x:c r="AN923" s="604" t="inlineStr">
        <x:is>
          <x:t xml:space="preserve">EVALUATED</x:t>
        </x:is>
      </x:c>
      <x:c r="AO923" s="604" t="inlineStr">
        <x:is>
          <x:t xml:space="preserve">GIVING_VALIDATED_EDGE、BUCKET_PRIOR_ONLY、INTENT_INTERPRETATION_ONLY、FFL_OPTIONAL、EXPERT_MARKET</x:t>
        </x:is>
      </x:c>
      <x:c r="AP923" s="604" t="inlineStr">
        <x:is>
          <x:t xml:space="preserve">2303447fd3abb931a972</x:t>
        </x:is>
      </x:c>
      <x:c r="AQ923" s="604" t="n">
        <x:v>-0.25</x:v>
      </x:c>
      <x:c r="AR923" s="604" t="n">
        <x:v>0.89</x:v>
      </x:c>
      <x:c r="AS923" s="604" t="n">
        <x:v>0.25</x:v>
      </x:c>
      <x:c r="AT923" s="604" t="n">
        <x:v>-0.25</x:v>
      </x:c>
      <x:c r="AU923" s="604" t="n">
        <x:v>0.89</x:v>
      </x:c>
      <x:c r="AV923" s="604" t="n">
        <x:v>0.8100000000000001</x:v>
      </x:c>
      <x:c r="AW923" s="604" t="n">
        <x:v>46299.08204853009</x:v>
      </x:c>
      <x:c r="AX923" s="604" t="inlineStr">
        <x:is>
          <x:t xml:space="preserve">https://simondongxiao.github.io/odds/v4/</x:t>
        </x:is>
      </x:c>
      <x:c r="AY923" s="604" t="inlineStr">
        <x:is>
          <x:t xml:space="preserve">V4 Shadow Only；real_money=false；P(EV&gt;0)不是比赛胜率</x:t>
        </x:is>
      </x:c>
    </x:row>
    <x:row r="924" ht="22" customHeight="1">
      <x:c r="A924" s="604" t="inlineStr">
        <x:is>
          <x:t xml:space="preserve">2026-10-04</x:t>
        </x:is>
      </x:c>
      <x:c r="B924" s="604" t="inlineStr">
        <x:is>
          <x:t xml:space="preserve">2026-10-04 20:30</x:t>
        </x:is>
      </x:c>
      <x:c r="C924" s="604" t="str">
        <x:v>五大联赛非顶级联赛</x:v>
      </x:c>
      <x:c r="D924" s="604" t="inlineStr">
        <x:is>
          <x:t xml:space="preserve">联赛</x:t>
        </x:is>
      </x:c>
      <x:c r="E924" s="604" t="inlineStr">
        <x:is>
          <x:t xml:space="preserve">意丙</x:t>
        </x:is>
      </x:c>
      <x:c r="F924" s="604" t="inlineStr">
        <x:is>
          <x:t xml:space="preserve">皮阿尼斯 vs 拉维纳</x:t>
        </x:is>
      </x:c>
      <x:c r="G924" s="604" t="n">
        <x:v>0.85</x:v>
      </x:c>
      <x:c r="H924" s="604" t="n">
        <x:v>-0.75</x:v>
      </x:c>
      <x:c r="I924" s="604" t="n">
        <x:v>0.85</x:v>
      </x:c>
      <x:c r="J924" s="604" t="inlineStr">
        <x:is>
          <x:t xml:space="preserve">0.85/-0.75/0.85</x:t>
        </x:is>
      </x:c>
      <x:c r="K924" s="604" t="inlineStr">
        <x:is>
          <x:t xml:space="preserve">V4-B｜EV +0.6175</x:t>
        </x:is>
      </x:c>
      <x:c r="L924" s="604" t="inlineStr">
        <x:is>
          <x:t xml:space="preserve">皮阿尼斯</x:t>
        </x:is>
      </x:c>
      <x:c r="M924" s="604" t="n">
        <x:v>0.8937489559522183</x:v>
      </x:c>
      <x:c r="N924" s="604" t="inlineStr">
        <x:is>
          <x:t xml:space="preserve">V4纸面入选-B</x:t>
        </x:is>
      </x:c>
      <x:c r="O924" s="604" t="inlineStr">
        <x:is>
          <x:t xml:space="preserve">2-1</x:t>
        </x:is>
      </x:c>
      <x:c r="P924" s="604" t="inlineStr">
        <x:is>
          <x:t xml:space="preserve">已结算</x:t>
        </x:is>
      </x:c>
      <x:c r="Q924" s="645" t="inlineStr">
        <x:is>
          <x:t xml:space="preserve">红</x:t>
        </x:is>
      </x:c>
      <x:c r="R924" s="604" t="n">
        <x:v>0.85</x:v>
      </x:c>
      <x:c r="S924" s="604" t="n">
        <x:f>IF(OR(Q924="",Q924="待结算"),"",IF(Q924="红",R924,IF(Q924="半红",R924*0.5,IF(Q924="走",0,IF(Q924="半黑",-0.5,-1)))))</x:f>
        <x:v>0.85</x:v>
      </x:c>
      <x:c r="T924" s="604" t="inlineStr">
        <x:is>
          <x:t xml:space="preserve">https://m.titan007.com/analy/Analysis/3050958.htm</x:t>
        </x:is>
      </x:c>
      <x:c r="U924" s="646" t="str">
        <x:f>IF(Q924="","",IF(Q924="待结算","待结算",IF(Q924="红","黑",IF(Q924="半红","半黑",IF(Q924="走","走",IF(Q924="半黑","半红","红"))))))</x:f>
        <x:v>黑</x:v>
      </x:c>
      <x:c r="V924" s="604" t="n">
        <x:f>IF(OR(Q924="",Q924="待结算"),"",IF(L924=LEFT(F924,FIND(" vs ",F924)-1),I924,G924))</x:f>
        <x:v>0.85</x:v>
      </x:c>
      <x:c r="W924" s="604" t="n">
        <x:f>IF(OR(U924="",U924="待结算"),"",IF(U924="红",V924,IF(U924="半红",V924*0.5,IF(U924="走",0,IF(U924="半黑",-0.5,-1)))))</x:f>
        <x:v>-1</x:v>
      </x:c>
      <x:c r="X924" s="604" t="inlineStr">
        <x:is>
          <x:t xml:space="preserve">3050958</x:t>
        </x:is>
      </x:c>
      <x:c r="Y924" s="604" t="inlineStr">
        <x:is>
          <x:t xml:space="preserve">V4</x:t>
        </x:is>
      </x:c>
      <x:c r="Z924" s="604" t="inlineStr">
        <x:is>
          <x:t xml:space="preserve">prior-2026-10-04-v1</x:t>
        </x:is>
      </x:c>
      <x:c r="AA924" s="604" t="inlineStr">
        <x:is>
          <x:t xml:space="preserve">B</x:t>
        </x:is>
      </x:c>
      <x:c r="AB924" s="604" t="n">
        <x:v>0.8446127646161412</x:v>
      </x:c>
      <x:c r="AC924" s="604" t="n"/>
      <x:c r="AD924" s="604" t="n"/>
      <x:c r="AE924" s="604" t="n">
        <x:v>0.1099552419252369</x:v>
      </x:c>
      <x:c r="AF924" s="604" t="n">
        <x:v>0.04543199345862185</x:v>
      </x:c>
      <x:c r="AG924" s="604" t="n">
        <x:v>0.6175112355024797</x:v>
      </x:c>
      <x:c r="AH924" s="604" t="n"/>
      <x:c r="AI924" s="604" t="n"/>
      <x:c r="AJ924" s="604" t="n">
        <x:v>0.6175112355024797</x:v>
      </x:c>
      <x:c r="AK924" s="604" t="n"/>
      <x:c r="AL924" s="604" t="n"/>
      <x:c r="AM924" s="604" t="n"/>
      <x:c r="AN924" s="604" t="inlineStr">
        <x:is>
          <x:t xml:space="preserve">EVALUATED</x:t>
        </x:is>
      </x:c>
      <x:c r="AO924" s="604" t="inlineStr">
        <x:is>
          <x:t xml:space="preserve">RECEIVING_VALIDATED_EDGE、BUCKET_PRIOR_ONLY、INTENT_INTERPRETATION_ONLY、FFL_OPTIONAL、EXPERT_MARKET</x:t>
        </x:is>
      </x:c>
      <x:c r="AP924" s="604" t="inlineStr">
        <x:is>
          <x:t xml:space="preserve">5129b3dd4bed523c8cf8</x:t>
        </x:is>
      </x:c>
      <x:c r="AQ924" s="604" t="n">
        <x:v>0.75</x:v>
      </x:c>
      <x:c r="AR924" s="604" t="n">
        <x:v>0.85</x:v>
      </x:c>
      <x:c r="AS924" s="604" t="n">
        <x:v>-0.75</x:v>
      </x:c>
      <x:c r="AT924" s="604" t="n">
        <x:v>0.75</x:v>
      </x:c>
      <x:c r="AU924" s="604" t="n">
        <x:v>0.85</x:v>
      </x:c>
      <x:c r="AV924" s="604" t="n">
        <x:v>0.85</x:v>
      </x:c>
      <x:c r="AW924" s="604" t="n">
        <x:v>46299.08204853009</x:v>
      </x:c>
      <x:c r="AX924" s="604" t="inlineStr">
        <x:is>
          <x:t xml:space="preserve">https://simondongxiao.github.io/odds/v4/</x:t>
        </x:is>
      </x:c>
      <x:c r="AY924" s="604" t="inlineStr">
        <x:is>
          <x:t xml:space="preserve">V4 Shadow Only；real_money=false；P(EV&gt;0)不是比赛胜率</x:t>
        </x:is>
      </x:c>
    </x:row>
    <x:row r="925" ht="22" customHeight="1">
      <x:c r="A925" s="604" t="inlineStr">
        <x:is>
          <x:t xml:space="preserve">2026-10-04</x:t>
        </x:is>
      </x:c>
      <x:c r="B925" s="604" t="inlineStr">
        <x:is>
          <x:t xml:space="preserve">2026-10-04 21:00</x:t>
        </x:is>
      </x:c>
      <x:c r="C925" s="604" t="str">
        <x:v>欧洲非五大系列</x:v>
      </x:c>
      <x:c r="D925" s="604" t="inlineStr">
        <x:is>
          <x:t xml:space="preserve">联赛</x:t>
        </x:is>
      </x:c>
      <x:c r="E925" s="604" t="inlineStr">
        <x:is>
          <x:t xml:space="preserve">欧国联</x:t>
        </x:is>
      </x:c>
      <x:c r="F925" s="604" t="inlineStr">
        <x:is>
          <x:t xml:space="preserve">阿塞拜疆 vs 立陶宛</x:t>
        </x:is>
      </x:c>
      <x:c r="G925" s="604" t="n">
        <x:v>1.04</x:v>
      </x:c>
      <x:c r="H925" s="604" t="n">
        <x:v>0.25</x:v>
      </x:c>
      <x:c r="I925" s="604" t="n">
        <x:v>0.84</x:v>
      </x:c>
      <x:c r="J925" s="604" t="inlineStr">
        <x:is>
          <x:t xml:space="preserve">1.04/0.25/0.84</x:t>
        </x:is>
      </x:c>
      <x:c r="K925" s="604" t="inlineStr">
        <x:is>
          <x:t xml:space="preserve">V4-B｜EV +0.1090</x:t>
        </x:is>
      </x:c>
      <x:c r="L925" s="604" t="inlineStr">
        <x:is>
          <x:t xml:space="preserve">阿塞拜疆</x:t>
        </x:is>
      </x:c>
      <x:c r="M925" s="604" t="n">
        <x:v>0.551549357946135</x:v>
      </x:c>
      <x:c r="N925" s="604" t="inlineStr">
        <x:is>
          <x:t xml:space="preserve">V4纸面入选-B</x:t>
        </x:is>
      </x:c>
      <x:c r="O925" s="604" t="inlineStr">
        <x:is>
          <x:t xml:space="preserve">1-0</x:t>
        </x:is>
      </x:c>
      <x:c r="P925" s="604" t="inlineStr">
        <x:is>
          <x:t xml:space="preserve">已结算</x:t>
        </x:is>
      </x:c>
      <x:c r="Q925" s="645" t="inlineStr">
        <x:is>
          <x:t xml:space="preserve">红</x:t>
        </x:is>
      </x:c>
      <x:c r="R925" s="604" t="n">
        <x:v>1.04</x:v>
      </x:c>
      <x:c r="S925" s="604" t="n">
        <x:f>IF(OR(Q925="",Q925="待结算"),"",IF(Q925="红",R925,IF(Q925="半红",R925*0.5,IF(Q925="走",0,IF(Q925="半黑",-0.5,-1)))))</x:f>
        <x:v>1.04</x:v>
      </x:c>
      <x:c r="T925" s="604" t="inlineStr">
        <x:is>
          <x:t xml:space="preserve">https://m.titan007.com/analy/Analysis/2981577.htm</x:t>
        </x:is>
      </x:c>
      <x:c r="U925" s="646" t="str">
        <x:f>IF(Q925="","",IF(Q925="待结算","待结算",IF(Q925="红","黑",IF(Q925="半红","半黑",IF(Q925="走","走",IF(Q925="半黑","半红","红"))))))</x:f>
        <x:v>黑</x:v>
      </x:c>
      <x:c r="V925" s="604" t="n">
        <x:f>IF(OR(Q925="",Q925="待结算"),"",IF(L925=LEFT(F925,FIND(" vs ",F925)-1),I925,G925))</x:f>
        <x:v>0.84</x:v>
      </x:c>
      <x:c r="W925" s="604" t="n">
        <x:f>IF(OR(U925="",U925="待结算"),"",IF(U925="红",V925,IF(U925="半红",V925*0.5,IF(U925="走",0,IF(U925="半黑",-0.5,-1)))))</x:f>
        <x:v>-1</x:v>
      </x:c>
      <x:c r="X925" s="604" t="inlineStr">
        <x:is>
          <x:t xml:space="preserve">2981577</x:t>
        </x:is>
      </x:c>
      <x:c r="Y925" s="604" t="inlineStr">
        <x:is>
          <x:t xml:space="preserve">V4</x:t>
        </x:is>
      </x:c>
      <x:c r="Z925" s="604" t="inlineStr">
        <x:is>
          <x:t xml:space="preserve">prior-2026-10-04-v1</x:t>
        </x:is>
      </x:c>
      <x:c r="AA925" s="604" t="inlineStr">
        <x:is>
          <x:t xml:space="preserve">B</x:t>
        </x:is>
      </x:c>
      <x:c r="AB925" s="604" t="n">
        <x:v>0.4805233005469962</x:v>
      </x:c>
      <x:c r="AC925" s="604" t="n"/>
      <x:c r="AD925" s="604" t="n"/>
      <x:c r="AE925" s="604" t="n">
        <x:v>0.2575510473391769</x:v>
      </x:c>
      <x:c r="AF925" s="604" t="n">
        <x:v>0.261925652113827</x:v>
      </x:c>
      <x:c r="AG925" s="604" t="n">
        <x:v>0.1090430567854607</x:v>
      </x:c>
      <x:c r="AH925" s="604" t="n"/>
      <x:c r="AI925" s="604" t="n"/>
      <x:c r="AJ925" s="604" t="n">
        <x:v>0.1090430567854607</x:v>
      </x:c>
      <x:c r="AK925" s="604" t="n"/>
      <x:c r="AL925" s="604" t="n"/>
      <x:c r="AM925" s="604" t="n"/>
      <x:c r="AN925" s="604" t="inlineStr">
        <x:is>
          <x:t xml:space="preserve">EVALUATED</x:t>
        </x:is>
      </x:c>
      <x:c r="AO925" s="604" t="inlineStr">
        <x:is>
          <x:t xml:space="preserve">GIVING_VALIDATED_EDGE、BUCKET_PRIOR_ONLY、INTENT_INTERPRETATION_ONLY、FFL_OPTIONAL、EXPERT_MARKET</x:t>
        </x:is>
      </x:c>
      <x:c r="AP925" s="604" t="inlineStr">
        <x:is>
          <x:t xml:space="preserve">5558e517cf71a5f44d78</x:t>
        </x:is>
      </x:c>
      <x:c r="AQ925" s="604" t="n">
        <x:v>-0.25</x:v>
      </x:c>
      <x:c r="AR925" s="604" t="n">
        <x:v>1.04</x:v>
      </x:c>
      <x:c r="AS925" s="604" t="n">
        <x:v>0.25</x:v>
      </x:c>
      <x:c r="AT925" s="604" t="n">
        <x:v>-0.25</x:v>
      </x:c>
      <x:c r="AU925" s="604" t="n">
        <x:v>1.04</x:v>
      </x:c>
      <x:c r="AV925" s="604" t="n">
        <x:v>0.84</x:v>
      </x:c>
      <x:c r="AW925" s="604" t="n">
        <x:v>46299.08204853009</x:v>
      </x:c>
      <x:c r="AX925" s="604" t="inlineStr">
        <x:is>
          <x:t xml:space="preserve">https://simondongxiao.github.io/odds/v4/</x:t>
        </x:is>
      </x:c>
      <x:c r="AY925" s="604" t="inlineStr">
        <x:is>
          <x:t xml:space="preserve">V4 Shadow Only；real_money=false；P(EV&gt;0)不是比赛胜率</x:t>
        </x:is>
      </x:c>
    </x:row>
    <x:row r="926" ht="22" customHeight="1">
      <x:c r="A926" s="604" t="inlineStr">
        <x:is>
          <x:t xml:space="preserve">2026-10-04</x:t>
        </x:is>
      </x:c>
      <x:c r="B926" s="604" t="inlineStr">
        <x:is>
          <x:t xml:space="preserve">2026-10-04 21:00</x:t>
        </x:is>
      </x:c>
      <x:c r="C926" s="604" t="str">
        <x:v>五大联赛非顶级联赛</x:v>
      </x:c>
      <x:c r="D926" s="604" t="inlineStr">
        <x:is>
          <x:t xml:space="preserve">联赛</x:t>
        </x:is>
      </x:c>
      <x:c r="E926" s="604" t="inlineStr">
        <x:is>
          <x:t xml:space="preserve">英总女超</x:t>
        </x:is>
      </x:c>
      <x:c r="F926" s="604" t="inlineStr">
        <x:is>
          <x:t xml:space="preserve">阿斯顿维拉女足 vs 水晶宫女足</x:t>
        </x:is>
      </x:c>
      <x:c r="G926" s="604" t="n">
        <x:v>1.11</x:v>
      </x:c>
      <x:c r="H926" s="604" t="n">
        <x:v>1</x:v>
      </x:c>
      <x:c r="I926" s="604" t="n">
        <x:v>0.6</x:v>
      </x:c>
      <x:c r="J926" s="604" t="inlineStr">
        <x:is>
          <x:t xml:space="preserve">1.11/1/0.6</x:t>
        </x:is>
      </x:c>
      <x:c r="K926" s="604" t="inlineStr">
        <x:is>
          <x:t xml:space="preserve">V4-B｜EV +0.0746</x:t>
        </x:is>
      </x:c>
      <x:c r="L926" s="604" t="inlineStr">
        <x:is>
          <x:t xml:space="preserve">阿斯顿维拉女足</x:t>
        </x:is>
      </x:c>
      <x:c r="M926" s="604" t="n">
        <x:v>0.5214332584475058</x:v>
      </x:c>
      <x:c r="N926" s="604" t="inlineStr">
        <x:is>
          <x:t xml:space="preserve">V4纸面入选-B</x:t>
        </x:is>
      </x:c>
      <x:c r="O926" s="604" t="inlineStr">
        <x:is>
          <x:t xml:space="preserve">1-1</x:t>
        </x:is>
      </x:c>
      <x:c r="P926" s="604" t="inlineStr">
        <x:is>
          <x:t xml:space="preserve">已结算</x:t>
        </x:is>
      </x:c>
      <x:c r="Q926" s="646" t="inlineStr">
        <x:is>
          <x:t xml:space="preserve">黑</x:t>
        </x:is>
      </x:c>
      <x:c r="R926" s="604" t="n">
        <x:v>1.11</x:v>
      </x:c>
      <x:c r="S926" s="604" t="n">
        <x:f>IF(OR(Q926="",Q926="待结算"),"",IF(Q926="红",R926,IF(Q926="半红",R926*0.5,IF(Q926="走",0,IF(Q926="半黑",-0.5,-1)))))</x:f>
        <x:v>-1</x:v>
      </x:c>
      <x:c r="T926" s="604" t="inlineStr">
        <x:is>
          <x:t xml:space="preserve">https://m.titan007.com/analy/Analysis/3051977.htm</x:t>
        </x:is>
      </x:c>
      <x:c r="U926" s="645" t="str">
        <x:f>IF(Q926="","",IF(Q926="待结算","待结算",IF(Q926="红","黑",IF(Q926="半红","半黑",IF(Q926="走","走",IF(Q926="半黑","半红","红"))))))</x:f>
        <x:v>红</x:v>
      </x:c>
      <x:c r="V926" s="604" t="n">
        <x:f>IF(OR(Q926="",Q926="待结算"),"",IF(L926=LEFT(F926,FIND(" vs ",F926)-1),I926,G926))</x:f>
        <x:v>0.6</x:v>
      </x:c>
      <x:c r="W926" s="604" t="n">
        <x:f>IF(OR(U926="",U926="待结算"),"",IF(U926="红",V926,IF(U926="半红",V926*0.5,IF(U926="走",0,IF(U926="半黑",-0.5,-1)))))</x:f>
        <x:v>0.6</x:v>
      </x:c>
      <x:c r="X926" s="604" t="inlineStr">
        <x:is>
          <x:t xml:space="preserve">3051977</x:t>
        </x:is>
      </x:c>
      <x:c r="Y926" s="604" t="inlineStr">
        <x:is>
          <x:t xml:space="preserve">V4</x:t>
        </x:is>
      </x:c>
      <x:c r="Z926" s="604" t="inlineStr">
        <x:is>
          <x:t xml:space="preserve">prior-2026-10-04-v1</x:t>
        </x:is>
      </x:c>
      <x:c r="AA926" s="604" t="inlineStr">
        <x:is>
          <x:t xml:space="preserve">B</x:t>
        </x:is>
      </x:c>
      <x:c r="AB926" s="604" t="n">
        <x:v>0.3880616179117783</x:v>
      </x:c>
      <x:c r="AC926" s="604" t="n"/>
      <x:c r="AD926" s="604" t="n">
        <x:v>0.2557789292781644</x:v>
      </x:c>
      <x:c r="AE926" s="604" t="n"/>
      <x:c r="AF926" s="604" t="n">
        <x:v>0.3561594528100573</x:v>
      </x:c>
      <x:c r="AG926" s="604" t="n">
        <x:v>0.07458894307201669</x:v>
      </x:c>
      <x:c r="AH926" s="604" t="n"/>
      <x:c r="AI926" s="604" t="n"/>
      <x:c r="AJ926" s="604" t="n">
        <x:v>0.07458894307201669</x:v>
      </x:c>
      <x:c r="AK926" s="604" t="n"/>
      <x:c r="AL926" s="604" t="n"/>
      <x:c r="AM926" s="604" t="n"/>
      <x:c r="AN926" s="604" t="inlineStr">
        <x:is>
          <x:t xml:space="preserve">EVALUATED</x:t>
        </x:is>
      </x:c>
      <x:c r="AO926" s="604" t="inlineStr">
        <x:is>
          <x:t xml:space="preserve">GIVING_VALIDATED_EDGE、BUCKET_PRIOR_ONLY、INTENT_INTERPRETATION_ONLY、FFL_OPTIONAL、EXPERT_MARKET</x:t>
        </x:is>
      </x:c>
      <x:c r="AP926" s="604" t="inlineStr">
        <x:is>
          <x:t xml:space="preserve">8c42289c0122ab38dc7d</x:t>
        </x:is>
      </x:c>
      <x:c r="AQ926" s="604" t="n">
        <x:v>-1</x:v>
      </x:c>
      <x:c r="AR926" s="604" t="n">
        <x:v>1.11</x:v>
      </x:c>
      <x:c r="AS926" s="604" t="n">
        <x:v>1</x:v>
      </x:c>
      <x:c r="AT926" s="604" t="n">
        <x:v>-1</x:v>
      </x:c>
      <x:c r="AU926" s="604" t="n">
        <x:v>1.11</x:v>
      </x:c>
      <x:c r="AV926" s="604" t="n">
        <x:v>0.6</x:v>
      </x:c>
      <x:c r="AW926" s="604" t="n">
        <x:v>46299.08204853009</x:v>
      </x:c>
      <x:c r="AX926" s="604" t="inlineStr">
        <x:is>
          <x:t xml:space="preserve">https://simondongxiao.github.io/odds/v4/</x:t>
        </x:is>
      </x:c>
      <x:c r="AY926" s="604" t="inlineStr">
        <x:is>
          <x:t xml:space="preserve">V4 Shadow Only；real_money=false；P(EV&gt;0)不是比赛胜率</x:t>
        </x:is>
      </x:c>
    </x:row>
    <x:row r="927" ht="22" customHeight="1">
      <x:c r="A927" s="604" t="inlineStr">
        <x:is>
          <x:t xml:space="preserve">2026-10-04</x:t>
        </x:is>
      </x:c>
      <x:c r="B927" s="604" t="inlineStr">
        <x:is>
          <x:t xml:space="preserve">2026-10-04 21:00</x:t>
        </x:is>
      </x:c>
      <x:c r="C927" s="604" t="str">
        <x:v>五大联赛非顶级联赛</x:v>
      </x:c>
      <x:c r="D927" s="604" t="inlineStr">
        <x:is>
          <x:t xml:space="preserve">联赛</x:t>
        </x:is>
      </x:c>
      <x:c r="E927" s="604" t="inlineStr">
        <x:is>
          <x:t xml:space="preserve">英总女超</x:t>
        </x:is>
      </x:c>
      <x:c r="F927" s="604" t="inlineStr">
        <x:is>
          <x:t xml:space="preserve">布莱顿女足 vs 查尔顿竞技女足</x:t>
        </x:is>
      </x:c>
      <x:c r="G927" s="604" t="n">
        <x:v>0.88</x:v>
      </x:c>
      <x:c r="H927" s="604" t="n">
        <x:v>2</x:v>
      </x:c>
      <x:c r="I927" s="604" t="n">
        <x:v>0.82</x:v>
      </x:c>
      <x:c r="J927" s="604" t="inlineStr">
        <x:is>
          <x:t xml:space="preserve">0.88/2/0.82</x:t>
        </x:is>
      </x:c>
      <x:c r="K927" s="604" t="inlineStr">
        <x:is>
          <x:t xml:space="preserve">V4-B｜EV +0.1586</x:t>
        </x:is>
      </x:c>
      <x:c r="L927" s="604" t="inlineStr">
        <x:is>
          <x:t xml:space="preserve">布莱顿女足</x:t>
        </x:is>
      </x:c>
      <x:c r="M927" s="604" t="n">
        <x:v>0.6434291197596096</x:v>
      </x:c>
      <x:c r="N927" s="604" t="inlineStr">
        <x:is>
          <x:t xml:space="preserve">V4纸面入选-B</x:t>
        </x:is>
      </x:c>
      <x:c r="O927" s="604" t="inlineStr">
        <x:is>
          <x:t xml:space="preserve">5-1</x:t>
        </x:is>
      </x:c>
      <x:c r="P927" s="604" t="inlineStr">
        <x:is>
          <x:t xml:space="preserve">已结算</x:t>
        </x:is>
      </x:c>
      <x:c r="Q927" s="645" t="inlineStr">
        <x:is>
          <x:t xml:space="preserve">红</x:t>
        </x:is>
      </x:c>
      <x:c r="R927" s="604" t="n">
        <x:v>0.88</x:v>
      </x:c>
      <x:c r="S927" s="604" t="n">
        <x:f>IF(OR(Q927="",Q927="待结算"),"",IF(Q927="红",R927,IF(Q927="半红",R927*0.5,IF(Q927="走",0,IF(Q927="半黑",-0.5,-1)))))</x:f>
        <x:v>0.88</x:v>
      </x:c>
      <x:c r="T927" s="604" t="inlineStr">
        <x:is>
          <x:t xml:space="preserve">https://m.titan007.com/analy/Analysis/3051978.htm</x:t>
        </x:is>
      </x:c>
      <x:c r="U927" s="646" t="str">
        <x:f>IF(Q927="","",IF(Q927="待结算","待结算",IF(Q927="红","黑",IF(Q927="半红","半黑",IF(Q927="走","走",IF(Q927="半黑","半红","红"))))))</x:f>
        <x:v>黑</x:v>
      </x:c>
      <x:c r="V927" s="604" t="n">
        <x:f>IF(OR(Q927="",Q927="待结算"),"",IF(L927=LEFT(F927,FIND(" vs ",F927)-1),I927,G927))</x:f>
        <x:v>0.82</x:v>
      </x:c>
      <x:c r="W927" s="604" t="n">
        <x:f>IF(OR(U927="",U927="待结算"),"",IF(U927="红",V927,IF(U927="半红",V927*0.5,IF(U927="走",0,IF(U927="半黑",-0.5,-1)))))</x:f>
        <x:v>-1</x:v>
      </x:c>
      <x:c r="X927" s="604" t="inlineStr">
        <x:is>
          <x:t xml:space="preserve">3051978</x:t>
        </x:is>
      </x:c>
      <x:c r="Y927" s="604" t="inlineStr">
        <x:is>
          <x:t xml:space="preserve">V4</x:t>
        </x:is>
      </x:c>
      <x:c r="Z927" s="604" t="inlineStr">
        <x:is>
          <x:t xml:space="preserve">prior-2026-10-04-v1</x:t>
        </x:is>
      </x:c>
      <x:c r="AA927" s="604" t="inlineStr">
        <x:is>
          <x:t xml:space="preserve">B</x:t>
        </x:is>
      </x:c>
      <x:c r="AB927" s="604" t="n">
        <x:v>0.4868082472622985</x:v>
      </x:c>
      <x:c r="AC927" s="604" t="n"/>
      <x:c r="AD927" s="604" t="n">
        <x:v>0.2434158910243694</x:v>
      </x:c>
      <x:c r="AE927" s="604" t="n"/>
      <x:c r="AF927" s="604" t="n">
        <x:v>0.2697758617133321</x:v>
      </x:c>
      <x:c r="AG927" s="604" t="n">
        <x:v>0.1586153958774906</x:v>
      </x:c>
      <x:c r="AH927" s="604" t="n"/>
      <x:c r="AI927" s="604" t="n"/>
      <x:c r="AJ927" s="604" t="n">
        <x:v>0.1586153958774906</x:v>
      </x:c>
      <x:c r="AK927" s="604" t="n"/>
      <x:c r="AL927" s="604" t="n"/>
      <x:c r="AM927" s="604" t="n"/>
      <x:c r="AN927" s="604" t="inlineStr">
        <x:is>
          <x:t xml:space="preserve">EVALUATED</x:t>
        </x:is>
      </x:c>
      <x:c r="AO927" s="604" t="inlineStr">
        <x:is>
          <x:t xml:space="preserve">GIVING_VALIDATED_EDGE、BUCKET_PRIOR_ONLY、INTENT_INTERPRETATION_ONLY、FFL_OPTIONAL、EXPERT_MARKET</x:t>
        </x:is>
      </x:c>
      <x:c r="AP927" s="604" t="inlineStr">
        <x:is>
          <x:t xml:space="preserve">aedeb5daeb8a87ea7b72</x:t>
        </x:is>
      </x:c>
      <x:c r="AQ927" s="604" t="n">
        <x:v>-2</x:v>
      </x:c>
      <x:c r="AR927" s="604" t="n">
        <x:v>0.88</x:v>
      </x:c>
      <x:c r="AS927" s="604" t="n">
        <x:v>2</x:v>
      </x:c>
      <x:c r="AT927" s="604" t="n">
        <x:v>-2</x:v>
      </x:c>
      <x:c r="AU927" s="604" t="n">
        <x:v>0.88</x:v>
      </x:c>
      <x:c r="AV927" s="604" t="n">
        <x:v>0.82</x:v>
      </x:c>
      <x:c r="AW927" s="604" t="n">
        <x:v>46299.08204853009</x:v>
      </x:c>
      <x:c r="AX927" s="604" t="inlineStr">
        <x:is>
          <x:t xml:space="preserve">https://simondongxiao.github.io/odds/v4/</x:t>
        </x:is>
      </x:c>
      <x:c r="AY927" s="604" t="inlineStr">
        <x:is>
          <x:t xml:space="preserve">V4 Shadow Only；real_money=false；P(EV&gt;0)不是比赛胜率</x:t>
        </x:is>
      </x:c>
    </x:row>
    <x:row r="928" ht="22" customHeight="1">
      <x:c r="A928" s="604" t="inlineStr">
        <x:is>
          <x:t xml:space="preserve">2026-10-04</x:t>
        </x:is>
      </x:c>
      <x:c r="B928" s="604" t="inlineStr">
        <x:is>
          <x:t xml:space="preserve">2026-10-04 21:00</x:t>
        </x:is>
      </x:c>
      <x:c r="C928" s="604" t="str">
        <x:v>五大联赛非顶级联赛</x:v>
      </x:c>
      <x:c r="D928" s="604" t="inlineStr">
        <x:is>
          <x:t xml:space="preserve">联赛</x:t>
        </x:is>
      </x:c>
      <x:c r="E928" s="604" t="inlineStr">
        <x:is>
          <x:t xml:space="preserve">英总女超</x:t>
        </x:is>
      </x:c>
      <x:c r="F928" s="604" t="inlineStr">
        <x:is>
          <x:t xml:space="preserve">埃弗顿女足 vs 伯明翰城女足</x:t>
        </x:is>
      </x:c>
      <x:c r="G928" s="604" t="n">
        <x:v>0.95</x:v>
      </x:c>
      <x:c r="H928" s="604" t="n">
        <x:v>0</x:v>
      </x:c>
      <x:c r="I928" s="604" t="n">
        <x:v>0.75</x:v>
      </x:c>
      <x:c r="J928" s="604" t="inlineStr">
        <x:is>
          <x:t xml:space="preserve">0.95/0/0.75</x:t>
        </x:is>
      </x:c>
      <x:c r="K928" s="604" t="inlineStr">
        <x:is>
          <x:t xml:space="preserve">V4-C｜EV +0.0045</x:t>
        </x:is>
      </x:c>
      <x:c r="L928" s="604" t="str"/>
      <x:c r="M928" s="604" t="n">
        <x:v>0.5154595546432064</x:v>
      </x:c>
      <x:c r="N928" s="604" t="inlineStr">
        <x:is>
          <x:t xml:space="preserve">V4纸面入选-C</x:t>
        </x:is>
      </x:c>
      <x:c r="O928" s="604" t="inlineStr">
        <x:is>
          <x:t xml:space="preserve">2-1</x:t>
        </x:is>
      </x:c>
      <x:c r="P928" s="604" t="inlineStr">
        <x:is>
          <x:t xml:space="preserve">已结算</x:t>
        </x:is>
      </x:c>
      <x:c r="Q928" s="645" t="inlineStr">
        <x:is>
          <x:t xml:space="preserve">红</x:t>
        </x:is>
      </x:c>
      <x:c r="R928" s="604" t="n">
        <x:v>0.75</x:v>
      </x:c>
      <x:c r="S928" s="604" t="n">
        <x:f>IF(OR(Q928="",Q928="待结算"),"",IF(Q928="红",R928,IF(Q928="半红",R928*0.5,IF(Q928="走",0,IF(Q928="半黑",-0.5,-1)))))</x:f>
        <x:v>0.75</x:v>
      </x:c>
      <x:c r="T928" s="604" t="inlineStr">
        <x:is>
          <x:t xml:space="preserve">https://m.titan007.com/analy/Analysis/3051979.htm</x:t>
        </x:is>
      </x:c>
      <x:c r="U928" s="646" t="str">
        <x:f>IF(Q928="","",IF(Q928="待结算","待结算",IF(Q928="红","黑",IF(Q928="半红","半黑",IF(Q928="走","走",IF(Q928="半黑","半红","红"))))))</x:f>
        <x:v>黑</x:v>
      </x:c>
      <x:c r="V928" s="604" t="n">
        <x:f>IF(OR(Q928="",Q928="待结算"),"",IF(L928=LEFT(F928,FIND(" vs ",F928)-1),I928,G928))</x:f>
        <x:v>0.95</x:v>
      </x:c>
      <x:c r="W928" s="604" t="n">
        <x:f>IF(OR(U928="",U928="待结算"),"",IF(U928="红",V928,IF(U928="半红",V928*0.5,IF(U928="走",0,IF(U928="半黑",-0.5,-1)))))</x:f>
        <x:v>-1</x:v>
      </x:c>
      <x:c r="X928" s="604" t="inlineStr">
        <x:is>
          <x:t xml:space="preserve">3051979</x:t>
        </x:is>
      </x:c>
      <x:c r="Y928" s="604" t="inlineStr">
        <x:is>
          <x:t xml:space="preserve">V4</x:t>
        </x:is>
      </x:c>
      <x:c r="Z928" s="604" t="inlineStr">
        <x:is>
          <x:t xml:space="preserve">prior-2026-10-04-v1</x:t>
        </x:is>
      </x:c>
      <x:c r="AA928" s="604" t="inlineStr">
        <x:is>
          <x:t xml:space="preserve">C</x:t>
        </x:is>
      </x:c>
      <x:c r="AB928" s="604" t="n">
        <x:v>0.3248134049098855</x:v>
      </x:c>
      <x:c r="AC928" s="604" t="n">
        <x:v>0.2516017654832177</x:v>
      </x:c>
      <x:c r="AD928" s="604" t="n"/>
      <x:c r="AE928" s="604" t="n"/>
      <x:c r="AF928" s="604" t="n">
        <x:v>0.4235848296068967</x:v>
      </x:c>
      <x:c r="AG928" s="604" t="n">
        <x:v>0.004498743662022964</x:v>
      </x:c>
      <x:c r="AH928" s="604" t="n"/>
      <x:c r="AI928" s="604" t="n"/>
      <x:c r="AJ928" s="604" t="n">
        <x:v>0.004498743662022964</x:v>
      </x:c>
      <x:c r="AK928" s="604" t="n"/>
      <x:c r="AL928" s="604" t="n"/>
      <x:c r="AM928" s="604" t="n"/>
      <x:c r="AN928" s="604" t="inlineStr">
        <x:is>
          <x:t xml:space="preserve">EVALUATED</x:t>
        </x:is>
      </x:c>
      <x:c r="AO928" s="604" t="inlineStr">
        <x:is>
          <x:t xml:space="preserve">EDGE_BELOW_UNCERTAINTY_THRESHOLD、BUCKET_PRIOR_ONLY、INTENT_INTERPRETATION_ONLY、FFL_OPTIONAL、EXPERT_MARKET</x:t>
        </x:is>
      </x:c>
      <x:c r="AP928" s="604" t="inlineStr">
        <x:is>
          <x:t xml:space="preserve">d4db6948abf618a83f44</x:t>
        </x:is>
      </x:c>
      <x:c r="AQ928" s="604" t="n">
        <x:v>0</x:v>
      </x:c>
      <x:c r="AR928" s="604" t="n"/>
      <x:c r="AS928" s="604" t="n">
        <x:v>0</x:v>
      </x:c>
      <x:c r="AT928" s="604" t="n">
        <x:v>0</x:v>
      </x:c>
      <x:c r="AU928" s="604" t="n">
        <x:v>0.95</x:v>
      </x:c>
      <x:c r="AV928" s="604" t="n">
        <x:v>0.75</x:v>
      </x:c>
      <x:c r="AW928" s="604" t="n">
        <x:v>46299.08204853009</x:v>
      </x:c>
      <x:c r="AX928" s="604" t="inlineStr">
        <x:is>
          <x:t xml:space="preserve">https://simondongxiao.github.io/odds/v4/</x:t>
        </x:is>
      </x:c>
      <x:c r="AY928" s="604" t="inlineStr">
        <x:is>
          <x:t xml:space="preserve">V4 Shadow Only；real_money=false；P(EV&gt;0)不是比赛胜率</x:t>
        </x:is>
      </x:c>
    </x:row>
    <x:row r="929" ht="22" customHeight="1">
      <x:c r="A929" s="604" t="inlineStr">
        <x:is>
          <x:t xml:space="preserve">2026-10-04</x:t>
        </x:is>
      </x:c>
      <x:c r="B929" s="604" t="inlineStr">
        <x:is>
          <x:t xml:space="preserve">2026-10-04 21:00</x:t>
        </x:is>
      </x:c>
      <x:c r="C929" s="604" t="str">
        <x:v>五大联赛非顶级联赛</x:v>
      </x:c>
      <x:c r="D929" s="604" t="inlineStr">
        <x:is>
          <x:t xml:space="preserve">联赛</x:t>
        </x:is>
      </x:c>
      <x:c r="E929" s="604" t="inlineStr">
        <x:is>
          <x:t xml:space="preserve">英总女超</x:t>
        </x:is>
      </x:c>
      <x:c r="F929" s="604" t="inlineStr">
        <x:is>
          <x:t xml:space="preserve">西汉姆联女足 vs 切尔西女足</x:t>
        </x:is>
      </x:c>
      <x:c r="G929" s="604" t="n">
        <x:v>0.9399999999999999</x:v>
      </x:c>
      <x:c r="H929" s="604" t="n">
        <x:v>-2</x:v>
      </x:c>
      <x:c r="I929" s="604" t="n">
        <x:v>0.76</x:v>
      </x:c>
      <x:c r="J929" s="604" t="inlineStr">
        <x:is>
          <x:t xml:space="preserve">0.94/-2/0.76</x:t>
        </x:is>
      </x:c>
      <x:c r="K929" s="604" t="inlineStr">
        <x:is>
          <x:t xml:space="preserve">V4-B｜EV +0.9398</x:t>
        </x:is>
      </x:c>
      <x:c r="L929" s="604" t="inlineStr">
        <x:is>
          <x:t xml:space="preserve">西汉姆联女足</x:t>
        </x:is>
      </x:c>
      <x:c r="M929" s="604" t="n">
        <x:v>0.9999946424420152</x:v>
      </x:c>
      <x:c r="N929" s="604" t="inlineStr">
        <x:is>
          <x:t xml:space="preserve">V4纸面入选-B</x:t>
        </x:is>
      </x:c>
      <x:c r="O929" s="604" t="inlineStr">
        <x:is>
          <x:t xml:space="preserve">0-3</x:t>
        </x:is>
      </x:c>
      <x:c r="P929" s="604" t="inlineStr">
        <x:is>
          <x:t xml:space="preserve">已结算</x:t>
        </x:is>
      </x:c>
      <x:c r="Q929" s="646" t="inlineStr">
        <x:is>
          <x:t xml:space="preserve">黑</x:t>
        </x:is>
      </x:c>
      <x:c r="R929" s="604" t="n">
        <x:v>0.9399999999999999</x:v>
      </x:c>
      <x:c r="S929" s="604" t="n">
        <x:f>IF(OR(Q929="",Q929="待结算"),"",IF(Q929="红",R929,IF(Q929="半红",R929*0.5,IF(Q929="走",0,IF(Q929="半黑",-0.5,-1)))))</x:f>
        <x:v>-1</x:v>
      </x:c>
      <x:c r="T929" s="604" t="inlineStr">
        <x:is>
          <x:t xml:space="preserve">https://m.titan007.com/analy/Analysis/3051980.htm</x:t>
        </x:is>
      </x:c>
      <x:c r="U929" s="645" t="str">
        <x:f>IF(Q929="","",IF(Q929="待结算","待结算",IF(Q929="红","黑",IF(Q929="半红","半黑",IF(Q929="走","走",IF(Q929="半黑","半红","红"))))))</x:f>
        <x:v>红</x:v>
      </x:c>
      <x:c r="V929" s="604" t="n">
        <x:f>IF(OR(Q929="",Q929="待结算"),"",IF(L929=LEFT(F929,FIND(" vs ",F929)-1),I929,G929))</x:f>
        <x:v>0.76</x:v>
      </x:c>
      <x:c r="W929" s="604" t="n">
        <x:f>IF(OR(U929="",U929="待结算"),"",IF(U929="红",V929,IF(U929="半红",V929*0.5,IF(U929="走",0,IF(U929="半黑",-0.5,-1)))))</x:f>
        <x:v>0.76</x:v>
      </x:c>
      <x:c r="X929" s="604" t="inlineStr">
        <x:is>
          <x:t xml:space="preserve">3051980</x:t>
        </x:is>
      </x:c>
      <x:c r="Y929" s="604" t="inlineStr">
        <x:is>
          <x:t xml:space="preserve">V4</x:t>
        </x:is>
      </x:c>
      <x:c r="Z929" s="604" t="inlineStr">
        <x:is>
          <x:t xml:space="preserve">prior-2026-10-04-v1</x:t>
        </x:is>
      </x:c>
      <x:c r="AA929" s="604" t="inlineStr">
        <x:is>
          <x:t xml:space="preserve">B</x:t>
        </x:is>
      </x:c>
      <x:c r="AB929" s="604" t="n">
        <x:v>0.9997941449156835</x:v>
      </x:c>
      <x:c r="AC929" s="604" t="n"/>
      <x:c r="AD929" s="604" t="n">
        <x:v>0.000200498600514514</x:v>
      </x:c>
      <x:c r="AE929" s="604" t="n"/>
      <x:c r="AF929" s="604" t="n">
        <x:v>5.356483801945142e-06</x:v>
      </x:c>
      <x:c r="AG929" s="604" t="n">
        <x:v>0.9398011397369405</x:v>
      </x:c>
      <x:c r="AH929" s="604" t="n"/>
      <x:c r="AI929" s="604" t="n"/>
      <x:c r="AJ929" s="604" t="n">
        <x:v>0.9398011397369405</x:v>
      </x:c>
      <x:c r="AK929" s="604" t="n"/>
      <x:c r="AL929" s="604" t="n"/>
      <x:c r="AM929" s="604" t="n"/>
      <x:c r="AN929" s="604" t="inlineStr">
        <x:is>
          <x:t xml:space="preserve">EVALUATED</x:t>
        </x:is>
      </x:c>
      <x:c r="AO929" s="604" t="inlineStr">
        <x:is>
          <x:t xml:space="preserve">RECEIVING_VALIDATED_EDGE、BUCKET_PRIOR_ONLY、INTENT_INTERPRETATION_ONLY、FFL_OPTIONAL、EXPERT_MARKET</x:t>
        </x:is>
      </x:c>
      <x:c r="AP929" s="604" t="inlineStr">
        <x:is>
          <x:t xml:space="preserve">45a7fa195cb9c28de52e</x:t>
        </x:is>
      </x:c>
      <x:c r="AQ929" s="604" t="n">
        <x:v>2</x:v>
      </x:c>
      <x:c r="AR929" s="604" t="n">
        <x:v>0.9399999999999999</x:v>
      </x:c>
      <x:c r="AS929" s="604" t="n">
        <x:v>-2</x:v>
      </x:c>
      <x:c r="AT929" s="604" t="n">
        <x:v>2</x:v>
      </x:c>
      <x:c r="AU929" s="604" t="n">
        <x:v>0.9399999999999999</x:v>
      </x:c>
      <x:c r="AV929" s="604" t="n">
        <x:v>0.76</x:v>
      </x:c>
      <x:c r="AW929" s="604" t="n">
        <x:v>46299.08204853009</x:v>
      </x:c>
      <x:c r="AX929" s="604" t="inlineStr">
        <x:is>
          <x:t xml:space="preserve">https://simondongxiao.github.io/odds/v4/</x:t>
        </x:is>
      </x:c>
      <x:c r="AY929" s="604" t="inlineStr">
        <x:is>
          <x:t xml:space="preserve">V4 Shadow Only；real_money=false；P(EV&gt;0)不是比赛胜率</x:t>
        </x:is>
      </x:c>
    </x:row>
    <x:row r="930" ht="22" customHeight="1">
      <x:c r="A930" s="604" t="inlineStr">
        <x:is>
          <x:t xml:space="preserve">2026-10-04</x:t>
        </x:is>
      </x:c>
      <x:c r="B930" s="604" t="inlineStr">
        <x:is>
          <x:t xml:space="preserve">2026-10-04 21:00</x:t>
        </x:is>
      </x:c>
      <x:c r="C930" s="604" t="str">
        <x:v>五大联赛非顶级联赛</x:v>
      </x:c>
      <x:c r="D930" s="604" t="inlineStr">
        <x:is>
          <x:t xml:space="preserve">联赛</x:t>
        </x:is>
      </x:c>
      <x:c r="E930" s="604" t="inlineStr">
        <x:is>
          <x:t xml:space="preserve">法女甲</x:t>
        </x:is>
      </x:c>
      <x:c r="F930" s="604" t="inlineStr">
        <x:is>
          <x:t xml:space="preserve">弗勒里91女足 vs 巴黎圣日耳曼女足</x:t>
        </x:is>
      </x:c>
      <x:c r="G930" s="604" t="n">
        <x:v>0.9</x:v>
      </x:c>
      <x:c r="H930" s="604" t="n">
        <x:v>-1.25</x:v>
      </x:c>
      <x:c r="I930" s="604" t="n">
        <x:v>0.8</x:v>
      </x:c>
      <x:c r="J930" s="604" t="inlineStr">
        <x:is>
          <x:t xml:space="preserve">0.9/-1.25/0.8</x:t>
        </x:is>
      </x:c>
      <x:c r="K930" s="604" t="inlineStr">
        <x:is>
          <x:t xml:space="preserve">V4-B｜EV +0.8768</x:t>
        </x:is>
      </x:c>
      <x:c r="L930" s="604" t="inlineStr">
        <x:is>
          <x:t xml:space="preserve">弗勒里91女足</x:t>
        </x:is>
      </x:c>
      <x:c r="M930" s="604" t="n">
        <x:v>0.9950716762670755</x:v>
      </x:c>
      <x:c r="N930" s="604" t="inlineStr">
        <x:is>
          <x:t xml:space="preserve">V4纸面入选-B</x:t>
        </x:is>
      </x:c>
      <x:c r="O930" s="604" t="inlineStr">
        <x:is>
          <x:t xml:space="preserve">1-3</x:t>
        </x:is>
      </x:c>
      <x:c r="P930" s="604" t="inlineStr">
        <x:is>
          <x:t xml:space="preserve">已结算</x:t>
        </x:is>
      </x:c>
      <x:c r="Q930" s="646" t="inlineStr">
        <x:is>
          <x:t xml:space="preserve">黑</x:t>
        </x:is>
      </x:c>
      <x:c r="R930" s="604" t="n">
        <x:v>0.9</x:v>
      </x:c>
      <x:c r="S930" s="604" t="n">
        <x:f>IF(OR(Q930="",Q930="待结算"),"",IF(Q930="红",R930,IF(Q930="半红",R930*0.5,IF(Q930="走",0,IF(Q930="半黑",-0.5,-1)))))</x:f>
        <x:v>-1</x:v>
      </x:c>
      <x:c r="T930" s="604" t="inlineStr">
        <x:is>
          <x:t xml:space="preserve">https://m.titan007.com/analy/Analysis/3088635.htm</x:t>
        </x:is>
      </x:c>
      <x:c r="U930" s="645" t="str">
        <x:f>IF(Q930="","",IF(Q930="待结算","待结算",IF(Q930="红","黑",IF(Q930="半红","半黑",IF(Q930="走","走",IF(Q930="半黑","半红","红"))))))</x:f>
        <x:v>红</x:v>
      </x:c>
      <x:c r="V930" s="604" t="n">
        <x:f>IF(OR(Q930="",Q930="待结算"),"",IF(L930=LEFT(F930,FIND(" vs ",F930)-1),I930,G930))</x:f>
        <x:v>0.8</x:v>
      </x:c>
      <x:c r="W930" s="604" t="n">
        <x:f>IF(OR(U930="",U930="待结算"),"",IF(U930="红",V930,IF(U930="半红",V930*0.5,IF(U930="走",0,IF(U930="半黑",-0.5,-1)))))</x:f>
        <x:v>0.8</x:v>
      </x:c>
      <x:c r="X930" s="604" t="inlineStr">
        <x:is>
          <x:t xml:space="preserve">3088635</x:t>
        </x:is>
      </x:c>
      <x:c r="Y930" s="604" t="inlineStr">
        <x:is>
          <x:t xml:space="preserve">V4</x:t>
        </x:is>
      </x:c>
      <x:c r="Z930" s="604" t="inlineStr">
        <x:is>
          <x:t xml:space="preserve">prior-2026-10-04-v1</x:t>
        </x:is>
      </x:c>
      <x:c r="AA930" s="604" t="inlineStr">
        <x:is>
          <x:t xml:space="preserve">B</x:t>
        </x:is>
      </x:c>
      <x:c r="AB930" s="604" t="n">
        <x:v>0.9641260844785432</x:v>
      </x:c>
      <x:c r="AC930" s="604" t="n">
        <x:v>0.03102203510445681</x:v>
      </x:c>
      <x:c r="AD930" s="604" t="n"/>
      <x:c r="AE930" s="604" t="n"/>
      <x:c r="AF930" s="604" t="n">
        <x:v>0.004851880417000022</x:v>
      </x:c>
      <x:c r="AG930" s="604" t="n">
        <x:v>0.8768215114106945</x:v>
      </x:c>
      <x:c r="AH930" s="604" t="n"/>
      <x:c r="AI930" s="604" t="n"/>
      <x:c r="AJ930" s="604" t="n">
        <x:v>0.8768215114106945</x:v>
      </x:c>
      <x:c r="AK930" s="604" t="n"/>
      <x:c r="AL930" s="604" t="n"/>
      <x:c r="AM930" s="604" t="n"/>
      <x:c r="AN930" s="604" t="inlineStr">
        <x:is>
          <x:t xml:space="preserve">EVALUATED</x:t>
        </x:is>
      </x:c>
      <x:c r="AO930" s="604" t="inlineStr">
        <x:is>
          <x:t xml:space="preserve">RECEIVING_VALIDATED_EDGE、BUCKET_PRIOR_ONLY、INTENT_INTERPRETATION_ONLY、FFL_OPTIONAL、EXPERT_MARKET</x:t>
        </x:is>
      </x:c>
      <x:c r="AP930" s="604" t="inlineStr">
        <x:is>
          <x:t xml:space="preserve">431bf3750a6e4c8d90ac</x:t>
        </x:is>
      </x:c>
      <x:c r="AQ930" s="604" t="n">
        <x:v>1.25</x:v>
      </x:c>
      <x:c r="AR930" s="604" t="n">
        <x:v>0.9</x:v>
      </x:c>
      <x:c r="AS930" s="604" t="n">
        <x:v>-1.25</x:v>
      </x:c>
      <x:c r="AT930" s="604" t="n">
        <x:v>1.25</x:v>
      </x:c>
      <x:c r="AU930" s="604" t="n">
        <x:v>0.9</x:v>
      </x:c>
      <x:c r="AV930" s="604" t="n">
        <x:v>0.8</x:v>
      </x:c>
      <x:c r="AW930" s="604" t="n">
        <x:v>46299.08204853009</x:v>
      </x:c>
      <x:c r="AX930" s="604" t="inlineStr">
        <x:is>
          <x:t xml:space="preserve">https://simondongxiao.github.io/odds/v4/</x:t>
        </x:is>
      </x:c>
      <x:c r="AY930" s="604" t="inlineStr">
        <x:is>
          <x:t xml:space="preserve">V4 Shadow Only；real_money=false；P(EV&gt;0)不是比赛胜率</x:t>
        </x:is>
      </x:c>
    </x:row>
    <x:row r="931" ht="22" customHeight="1">
      <x:c r="A931" s="604" t="inlineStr">
        <x:is>
          <x:t xml:space="preserve">2026-10-04</x:t>
        </x:is>
      </x:c>
      <x:c r="B931" s="604" t="inlineStr">
        <x:is>
          <x:t xml:space="preserve">2026-10-04 21:00</x:t>
        </x:is>
      </x:c>
      <x:c r="C931" s="604" t="str">
        <x:v>五大联赛非顶级联赛</x:v>
      </x:c>
      <x:c r="D931" s="604" t="inlineStr">
        <x:is>
          <x:t xml:space="preserve">联赛</x:t>
        </x:is>
      </x:c>
      <x:c r="E931" s="604" t="inlineStr">
        <x:is>
          <x:t xml:space="preserve">英女冠</x:t>
        </x:is>
      </x:c>
      <x:c r="F931" s="604" t="inlineStr">
        <x:is>
          <x:t xml:space="preserve">布里斯托学院女足 vs 修咸顿女足</x:t>
        </x:is>
      </x:c>
      <x:c r="G931" s="604" t="n">
        <x:v>0.96</x:v>
      </x:c>
      <x:c r="H931" s="604" t="n">
        <x:v>0</x:v>
      </x:c>
      <x:c r="I931" s="604" t="n">
        <x:v>0.74</x:v>
      </x:c>
      <x:c r="J931" s="604" t="inlineStr">
        <x:is>
          <x:t xml:space="preserve">0.96/0/0.74</x:t>
        </x:is>
      </x:c>
      <x:c r="K931" s="604" t="inlineStr">
        <x:is>
          <x:t xml:space="preserve">V4-C｜EV +0.0572</x:t>
        </x:is>
      </x:c>
      <x:c r="L931" s="604" t="str"/>
      <x:c r="M931" s="604" t="n">
        <x:v>0.5436931345966727</x:v>
      </x:c>
      <x:c r="N931" s="604" t="inlineStr">
        <x:is>
          <x:t xml:space="preserve">V4纸面入选-C</x:t>
        </x:is>
      </x:c>
      <x:c r="O931" s="604" t="inlineStr">
        <x:is>
          <x:t xml:space="preserve">2-1</x:t>
        </x:is>
      </x:c>
      <x:c r="P931" s="604" t="inlineStr">
        <x:is>
          <x:t xml:space="preserve">已结算</x:t>
        </x:is>
      </x:c>
      <x:c r="Q931" s="645" t="inlineStr">
        <x:is>
          <x:t xml:space="preserve">红</x:t>
        </x:is>
      </x:c>
      <x:c r="R931" s="604" t="n">
        <x:v>0.74</x:v>
      </x:c>
      <x:c r="S931" s="604" t="n">
        <x:f>IF(OR(Q931="",Q931="待结算"),"",IF(Q931="红",R931,IF(Q931="半红",R931*0.5,IF(Q931="走",0,IF(Q931="半黑",-0.5,-1)))))</x:f>
        <x:v>0.74</x:v>
      </x:c>
      <x:c r="T931" s="604" t="inlineStr">
        <x:is>
          <x:t xml:space="preserve">https://m.titan007.com/analy/Analysis/3052154.htm</x:t>
        </x:is>
      </x:c>
      <x:c r="U931" s="646" t="str">
        <x:f>IF(Q931="","",IF(Q931="待结算","待结算",IF(Q931="红","黑",IF(Q931="半红","半黑",IF(Q931="走","走",IF(Q931="半黑","半红","红"))))))</x:f>
        <x:v>黑</x:v>
      </x:c>
      <x:c r="V931" s="604" t="n">
        <x:f>IF(OR(Q931="",Q931="待结算"),"",IF(L931=LEFT(F931,FIND(" vs ",F931)-1),I931,G931))</x:f>
        <x:v>0.96</x:v>
      </x:c>
      <x:c r="W931" s="604" t="n">
        <x:f>IF(OR(U931="",U931="待结算"),"",IF(U931="红",V931,IF(U931="半红",V931*0.5,IF(U931="走",0,IF(U931="半黑",-0.5,-1)))))</x:f>
        <x:v>-1</x:v>
      </x:c>
      <x:c r="X931" s="604" t="inlineStr">
        <x:is>
          <x:t xml:space="preserve">3052154</x:t>
        </x:is>
      </x:c>
      <x:c r="Y931" s="604" t="inlineStr">
        <x:is>
          <x:t xml:space="preserve">V4</x:t>
        </x:is>
      </x:c>
      <x:c r="Z931" s="604" t="inlineStr">
        <x:is>
          <x:t xml:space="preserve">prior-2026-10-04-v1</x:t>
        </x:is>
      </x:c>
      <x:c r="AA931" s="604" t="inlineStr">
        <x:is>
          <x:t xml:space="preserve">C</x:t>
        </x:is>
      </x:c>
      <x:c r="AB931" s="604" t="n">
        <x:v>0.4741985733179941</x:v>
      </x:c>
      <x:c r="AC931" s="604" t="n"/>
      <x:c r="AD931" s="604" t="n"/>
      <x:c r="AE931" s="604" t="n">
        <x:v>0.2556389141467888</x:v>
      </x:c>
      <x:c r="AF931" s="604" t="n">
        <x:v>0.2701625125352171</x:v>
      </x:c>
      <x:c r="AG931" s="604" t="n">
        <x:v>0.05724866077666274</x:v>
      </x:c>
      <x:c r="AH931" s="604" t="n"/>
      <x:c r="AI931" s="604" t="n"/>
      <x:c r="AJ931" s="604" t="n">
        <x:v>0.05724866077666274</x:v>
      </x:c>
      <x:c r="AK931" s="604" t="n"/>
      <x:c r="AL931" s="604" t="n"/>
      <x:c r="AM931" s="604" t="n"/>
      <x:c r="AN931" s="604" t="inlineStr">
        <x:is>
          <x:t xml:space="preserve">EVALUATED</x:t>
        </x:is>
      </x:c>
      <x:c r="AO931" s="604" t="inlineStr">
        <x:is>
          <x:t xml:space="preserve">EDGE_BELOW_UNCERTAINTY_THRESHOLD、BUCKET_PRIOR_ONLY、INTENT_INTERPRETATION_ONLY、FFL_OPTIONAL、EXPERT_MARKET</x:t>
        </x:is>
      </x:c>
      <x:c r="AP931" s="604" t="inlineStr">
        <x:is>
          <x:t xml:space="preserve">0d7ad473b496846e774b</x:t>
        </x:is>
      </x:c>
      <x:c r="AQ931" s="604" t="n">
        <x:v>0</x:v>
      </x:c>
      <x:c r="AR931" s="604" t="n"/>
      <x:c r="AS931" s="604" t="n">
        <x:v>0</x:v>
      </x:c>
      <x:c r="AT931" s="604" t="n">
        <x:v>0</x:v>
      </x:c>
      <x:c r="AU931" s="604" t="n">
        <x:v>0.96</x:v>
      </x:c>
      <x:c r="AV931" s="604" t="n">
        <x:v>0.74</x:v>
      </x:c>
      <x:c r="AW931" s="604" t="n">
        <x:v>46299.08204853009</x:v>
      </x:c>
      <x:c r="AX931" s="604" t="inlineStr">
        <x:is>
          <x:t xml:space="preserve">https://simondongxiao.github.io/odds/v4/</x:t>
        </x:is>
      </x:c>
      <x:c r="AY931" s="604" t="inlineStr">
        <x:is>
          <x:t xml:space="preserve">V4 Shadow Only；real_money=false；P(EV&gt;0)不是比赛胜率</x:t>
        </x:is>
      </x:c>
    </x:row>
    <x:row r="932" ht="22" customHeight="1">
      <x:c r="A932" s="604" t="inlineStr">
        <x:is>
          <x:t xml:space="preserve">2026-10-04</x:t>
        </x:is>
      </x:c>
      <x:c r="B932" s="604" t="inlineStr">
        <x:is>
          <x:t xml:space="preserve">2026-10-04 21:00</x:t>
        </x:is>
      </x:c>
      <x:c r="C932" s="604" t="str">
        <x:v>五大联赛非顶级联赛</x:v>
      </x:c>
      <x:c r="D932" s="604" t="inlineStr">
        <x:is>
          <x:t xml:space="preserve">联赛</x:t>
        </x:is>
      </x:c>
      <x:c r="E932" s="604" t="inlineStr">
        <x:is>
          <x:t xml:space="preserve">英女冠</x:t>
        </x:is>
      </x:c>
      <x:c r="F932" s="604" t="inlineStr">
        <x:is>
          <x:t xml:space="preserve">锡菲联女足 vs 叶士域治女足</x:t>
        </x:is>
      </x:c>
      <x:c r="G932" s="604" t="n">
        <x:v>0.9399999999999999</x:v>
      </x:c>
      <x:c r="H932" s="604" t="n">
        <x:v>-0.25</x:v>
      </x:c>
      <x:c r="I932" s="604" t="n">
        <x:v>0.76</x:v>
      </x:c>
      <x:c r="J932" s="604" t="inlineStr">
        <x:is>
          <x:t xml:space="preserve">0.94/-0.25/0.76</x:t>
        </x:is>
      </x:c>
      <x:c r="K932" s="604" t="inlineStr">
        <x:is>
          <x:t xml:space="preserve">V4-C｜EV +0.2761</x:t>
        </x:is>
      </x:c>
      <x:c r="L932" s="604" t="inlineStr">
        <x:is>
          <x:t xml:space="preserve">锡菲联女足</x:t>
        </x:is>
      </x:c>
      <x:c r="M932" s="604" t="n">
        <x:v>0.6788104361593971</x:v>
      </x:c>
      <x:c r="N932" s="604" t="inlineStr">
        <x:is>
          <x:t xml:space="preserve">V4纸面入选-C</x:t>
        </x:is>
      </x:c>
      <x:c r="O932" s="604" t="inlineStr">
        <x:is>
          <x:t xml:space="preserve">1-2</x:t>
        </x:is>
      </x:c>
      <x:c r="P932" s="604" t="inlineStr">
        <x:is>
          <x:t xml:space="preserve">已结算</x:t>
        </x:is>
      </x:c>
      <x:c r="Q932" s="646" t="inlineStr">
        <x:is>
          <x:t xml:space="preserve">黑</x:t>
        </x:is>
      </x:c>
      <x:c r="R932" s="604" t="n">
        <x:v>0.9399999999999999</x:v>
      </x:c>
      <x:c r="S932" s="604" t="n">
        <x:f>IF(OR(Q932="",Q932="待结算"),"",IF(Q932="红",R932,IF(Q932="半红",R932*0.5,IF(Q932="走",0,IF(Q932="半黑",-0.5,-1)))))</x:f>
        <x:v>-1</x:v>
      </x:c>
      <x:c r="T932" s="604" t="inlineStr">
        <x:is>
          <x:t xml:space="preserve">https://m.titan007.com/analy/Analysis/3052156.htm</x:t>
        </x:is>
      </x:c>
      <x:c r="U932" s="645" t="str">
        <x:f>IF(Q932="","",IF(Q932="待结算","待结算",IF(Q932="红","黑",IF(Q932="半红","半黑",IF(Q932="走","走",IF(Q932="半黑","半红","红"))))))</x:f>
        <x:v>红</x:v>
      </x:c>
      <x:c r="V932" s="604" t="n">
        <x:f>IF(OR(Q932="",Q932="待结算"),"",IF(L932=LEFT(F932,FIND(" vs ",F932)-1),I932,G932))</x:f>
        <x:v>0.76</x:v>
      </x:c>
      <x:c r="W932" s="604" t="n">
        <x:f>IF(OR(U932="",U932="待结算"),"",IF(U932="红",V932,IF(U932="半红",V932*0.5,IF(U932="走",0,IF(U932="半黑",-0.5,-1)))))</x:f>
        <x:v>0.76</x:v>
      </x:c>
      <x:c r="X932" s="604" t="inlineStr">
        <x:is>
          <x:t xml:space="preserve">3052156</x:t>
        </x:is>
      </x:c>
      <x:c r="Y932" s="604" t="inlineStr">
        <x:is>
          <x:t xml:space="preserve">V4</x:t>
        </x:is>
      </x:c>
      <x:c r="Z932" s="604" t="inlineStr">
        <x:is>
          <x:t xml:space="preserve">prior-2026-10-04-v1</x:t>
        </x:is>
      </x:c>
      <x:c r="AA932" s="604" t="inlineStr">
        <x:is>
          <x:t xml:space="preserve">C</x:t>
        </x:is>
      </x:c>
      <x:c r="AB932" s="604" t="n">
        <x:v>0.4628772613847605</x:v>
      </x:c>
      <x:c r="AC932" s="604" t="n">
        <x:v>0.2572454520459443</x:v>
      </x:c>
      <x:c r="AD932" s="604" t="n"/>
      <x:c r="AE932" s="604" t="n"/>
      <x:c r="AF932" s="604" t="n">
        <x:v>0.2798772865692951</x:v>
      </x:c>
      <x:c r="AG932" s="604" t="n">
        <x:v>0.2761327015939736</x:v>
      </x:c>
      <x:c r="AH932" s="604" t="n"/>
      <x:c r="AI932" s="604" t="n"/>
      <x:c r="AJ932" s="604" t="n">
        <x:v>0.2761327015939736</x:v>
      </x:c>
      <x:c r="AK932" s="604" t="n"/>
      <x:c r="AL932" s="604" t="n"/>
      <x:c r="AM932" s="604" t="n"/>
      <x:c r="AN932" s="604" t="inlineStr">
        <x:is>
          <x:t xml:space="preserve">EVALUATED</x:t>
        </x:is>
      </x:c>
      <x:c r="AO932" s="604" t="inlineStr">
        <x:is>
          <x:t xml:space="preserve">RECEIVING_VALIDATED_EDGE、BUCKET_PRIOR_ONLY、INTENT_INTERPRETATION_ONLY、FFL_OPTIONAL、EXPERT_MARKET</x:t>
        </x:is>
      </x:c>
      <x:c r="AP932" s="604" t="inlineStr">
        <x:is>
          <x:t xml:space="preserve">af5b3c4715c98d8ef1fc</x:t>
        </x:is>
      </x:c>
      <x:c r="AQ932" s="604" t="n">
        <x:v>0.25</x:v>
      </x:c>
      <x:c r="AR932" s="604" t="n">
        <x:v>0.9399999999999999</x:v>
      </x:c>
      <x:c r="AS932" s="604" t="n">
        <x:v>-0.25</x:v>
      </x:c>
      <x:c r="AT932" s="604" t="n">
        <x:v>0.25</x:v>
      </x:c>
      <x:c r="AU932" s="604" t="n">
        <x:v>0.9399999999999999</x:v>
      </x:c>
      <x:c r="AV932" s="604" t="n">
        <x:v>0.76</x:v>
      </x:c>
      <x:c r="AW932" s="604" t="n">
        <x:v>46299.08204853009</x:v>
      </x:c>
      <x:c r="AX932" s="604" t="inlineStr">
        <x:is>
          <x:t xml:space="preserve">https://simondongxiao.github.io/odds/v4/</x:t>
        </x:is>
      </x:c>
      <x:c r="AY932" s="604" t="inlineStr">
        <x:is>
          <x:t xml:space="preserve">V4 Shadow Only；real_money=false；P(EV&gt;0)不是比赛胜率</x:t>
        </x:is>
      </x:c>
    </x:row>
    <x:row r="933" ht="22" customHeight="1">
      <x:c r="A933" s="604" t="inlineStr">
        <x:is>
          <x:t xml:space="preserve">2026-10-04</x:t>
        </x:is>
      </x:c>
      <x:c r="B933" s="604" t="inlineStr">
        <x:is>
          <x:t xml:space="preserve">2026-10-04 21:00</x:t>
        </x:is>
      </x:c>
      <x:c r="C933" s="604" t="str">
        <x:v>五大联赛非顶级联赛</x:v>
      </x:c>
      <x:c r="D933" s="604" t="inlineStr">
        <x:is>
          <x:t xml:space="preserve">联赛</x:t>
        </x:is>
      </x:c>
      <x:c r="E933" s="604" t="inlineStr">
        <x:is>
          <x:t xml:space="preserve">意女甲</x:t>
        </x:is>
      </x:c>
      <x:c r="F933" s="604" t="inlineStr">
        <x:is>
          <x:t xml:space="preserve">AC米兰女足 vs 尤文图斯女足</x:t>
        </x:is>
      </x:c>
      <x:c r="G933" s="604" t="n">
        <x:v>0.95</x:v>
      </x:c>
      <x:c r="H933" s="604" t="n">
        <x:v>-0.75</x:v>
      </x:c>
      <x:c r="I933" s="604" t="n">
        <x:v>0.75</x:v>
      </x:c>
      <x:c r="J933" s="604" t="inlineStr">
        <x:is>
          <x:t xml:space="preserve">0.95/-0.75/0.75</x:t>
        </x:is>
      </x:c>
      <x:c r="K933" s="604" t="inlineStr">
        <x:is>
          <x:t xml:space="preserve">V4-B｜EV +0.6745</x:t>
        </x:is>
      </x:c>
      <x:c r="L933" s="604" t="inlineStr">
        <x:is>
          <x:t xml:space="preserve">AC米兰女足</x:t>
        </x:is>
      </x:c>
      <x:c r="M933" s="604" t="n">
        <x:v>0.8805683169881878</x:v>
      </x:c>
      <x:c r="N933" s="604" t="inlineStr">
        <x:is>
          <x:t xml:space="preserve">V4纸面入选-B</x:t>
        </x:is>
      </x:c>
      <x:c r="O933" s="604" t="inlineStr">
        <x:is>
          <x:t xml:space="preserve">2-1</x:t>
        </x:is>
      </x:c>
      <x:c r="P933" s="604" t="inlineStr">
        <x:is>
          <x:t xml:space="preserve">已结算</x:t>
        </x:is>
      </x:c>
      <x:c r="Q933" s="645" t="inlineStr">
        <x:is>
          <x:t xml:space="preserve">红</x:t>
        </x:is>
      </x:c>
      <x:c r="R933" s="604" t="n">
        <x:v>0.95</x:v>
      </x:c>
      <x:c r="S933" s="604" t="n">
        <x:f>IF(OR(Q933="",Q933="待结算"),"",IF(Q933="红",R933,IF(Q933="半红",R933*0.5,IF(Q933="走",0,IF(Q933="半黑",-0.5,-1)))))</x:f>
        <x:v>0.95</x:v>
      </x:c>
      <x:c r="T933" s="604" t="inlineStr">
        <x:is>
          <x:t xml:space="preserve">https://m.titan007.com/analy/Analysis/3042384.htm</x:t>
        </x:is>
      </x:c>
      <x:c r="U933" s="646" t="str">
        <x:f>IF(Q933="","",IF(Q933="待结算","待结算",IF(Q933="红","黑",IF(Q933="半红","半黑",IF(Q933="走","走",IF(Q933="半黑","半红","红"))))))</x:f>
        <x:v>黑</x:v>
      </x:c>
      <x:c r="V933" s="604" t="n">
        <x:f>IF(OR(Q933="",Q933="待结算"),"",IF(L933=LEFT(F933,FIND(" vs ",F933)-1),I933,G933))</x:f>
        <x:v>0.75</x:v>
      </x:c>
      <x:c r="W933" s="604" t="n">
        <x:f>IF(OR(U933="",U933="待结算"),"",IF(U933="红",V933,IF(U933="半红",V933*0.5,IF(U933="走",0,IF(U933="半黑",-0.5,-1)))))</x:f>
        <x:v>-1</x:v>
      </x:c>
      <x:c r="X933" s="604" t="inlineStr">
        <x:is>
          <x:t xml:space="preserve">3042384</x:t>
        </x:is>
      </x:c>
      <x:c r="Y933" s="604" t="inlineStr">
        <x:is>
          <x:t xml:space="preserve">V4</x:t>
        </x:is>
      </x:c>
      <x:c r="Z933" s="604" t="inlineStr">
        <x:is>
          <x:t xml:space="preserve">prior-2026-10-04-v1</x:t>
        </x:is>
      </x:c>
      <x:c r="AA933" s="604" t="inlineStr">
        <x:is>
          <x:t xml:space="preserve">B</x:t>
        </x:is>
      </x:c>
      <x:c r="AB933" s="604" t="n">
        <x:v>0.8282631579937051</x:v>
      </x:c>
      <x:c r="AC933" s="604" t="n"/>
      <x:c r="AD933" s="604" t="n"/>
      <x:c r="AE933" s="604" t="n">
        <x:v>0.1187986394363642</x:v>
      </x:c>
      <x:c r="AF933" s="604" t="n">
        <x:v>0.05293820256993084</x:v>
      </x:c>
      <x:c r="AG933" s="604" t="n">
        <x:v>0.674512477805907</x:v>
      </x:c>
      <x:c r="AH933" s="604" t="n"/>
      <x:c r="AI933" s="604" t="n"/>
      <x:c r="AJ933" s="604" t="n">
        <x:v>0.674512477805907</x:v>
      </x:c>
      <x:c r="AK933" s="604" t="n"/>
      <x:c r="AL933" s="604" t="n"/>
      <x:c r="AM933" s="604" t="n"/>
      <x:c r="AN933" s="604" t="inlineStr">
        <x:is>
          <x:t xml:space="preserve">EVALUATED</x:t>
        </x:is>
      </x:c>
      <x:c r="AO933" s="604" t="inlineStr">
        <x:is>
          <x:t xml:space="preserve">RECEIVING_VALIDATED_EDGE、BUCKET_PRIOR_ONLY、INTENT_INTERPRETATION_ONLY、FFL_OPTIONAL、EXPERT_MARKET</x:t>
        </x:is>
      </x:c>
      <x:c r="AP933" s="604" t="inlineStr">
        <x:is>
          <x:t xml:space="preserve">2198038306432c2782ba</x:t>
        </x:is>
      </x:c>
      <x:c r="AQ933" s="604" t="n">
        <x:v>0.75</x:v>
      </x:c>
      <x:c r="AR933" s="604" t="n">
        <x:v>0.95</x:v>
      </x:c>
      <x:c r="AS933" s="604" t="n">
        <x:v>-0.75</x:v>
      </x:c>
      <x:c r="AT933" s="604" t="n">
        <x:v>0.75</x:v>
      </x:c>
      <x:c r="AU933" s="604" t="n">
        <x:v>0.95</x:v>
      </x:c>
      <x:c r="AV933" s="604" t="n">
        <x:v>0.75</x:v>
      </x:c>
      <x:c r="AW933" s="604" t="n">
        <x:v>46299.08204853009</x:v>
      </x:c>
      <x:c r="AX933" s="604" t="inlineStr">
        <x:is>
          <x:t xml:space="preserve">https://simondongxiao.github.io/odds/v4/</x:t>
        </x:is>
      </x:c>
      <x:c r="AY933" s="604" t="inlineStr">
        <x:is>
          <x:t xml:space="preserve">V4 Shadow Only；real_money=false；P(EV&gt;0)不是比赛胜率</x:t>
        </x:is>
      </x:c>
    </x:row>
    <x:row r="934" ht="22" customHeight="1">
      <x:c r="A934" s="604" t="inlineStr">
        <x:is>
          <x:t xml:space="preserve">2026-10-04</x:t>
        </x:is>
      </x:c>
      <x:c r="B934" s="604" t="inlineStr">
        <x:is>
          <x:t xml:space="preserve">2026-10-04 22:00</x:t>
        </x:is>
      </x:c>
      <x:c r="C934" s="604" t="str">
        <x:v>欧洲非五大系列</x:v>
      </x:c>
      <x:c r="D934" s="604" t="inlineStr">
        <x:is>
          <x:t xml:space="preserve">联赛</x:t>
        </x:is>
      </x:c>
      <x:c r="E934" s="604" t="inlineStr">
        <x:is>
          <x:t xml:space="preserve">挪乙</x:t>
        </x:is>
      </x:c>
      <x:c r="F934" s="604" t="inlineStr">
        <x:is>
          <x:t xml:space="preserve">巴提维格 vs 索特拉</x:t>
        </x:is>
      </x:c>
      <x:c r="G934" s="604" t="n">
        <x:v>0.95</x:v>
      </x:c>
      <x:c r="H934" s="604" t="n">
        <x:v>0</x:v>
      </x:c>
      <x:c r="I934" s="604" t="n">
        <x:v>0.75</x:v>
      </x:c>
      <x:c r="J934" s="604" t="inlineStr">
        <x:is>
          <x:t xml:space="preserve">0.95/0/0.75</x:t>
        </x:is>
      </x:c>
      <x:c r="K934" s="604" t="inlineStr">
        <x:is>
          <x:t xml:space="preserve">V4-C｜EV +0.0442</x:t>
        </x:is>
      </x:c>
      <x:c r="L934" s="604" t="str"/>
      <x:c r="M934" s="604" t="n">
        <x:v>0.5387961156559108</x:v>
      </x:c>
      <x:c r="N934" s="604" t="inlineStr">
        <x:is>
          <x:t xml:space="preserve">V4纸面入选-C</x:t>
        </x:is>
      </x:c>
      <x:c r="O934" s="604" t="inlineStr">
        <x:is>
          <x:t xml:space="preserve">3-2</x:t>
        </x:is>
      </x:c>
      <x:c r="P934" s="604" t="inlineStr">
        <x:is>
          <x:t xml:space="preserve">已结算</x:t>
        </x:is>
      </x:c>
      <x:c r="Q934" s="645" t="inlineStr">
        <x:is>
          <x:t xml:space="preserve">红</x:t>
        </x:is>
      </x:c>
      <x:c r="R934" s="604" t="n">
        <x:v>0.75</x:v>
      </x:c>
      <x:c r="S934" s="604" t="n">
        <x:f>IF(OR(Q934="",Q934="待结算"),"",IF(Q934="红",R934,IF(Q934="半红",R934*0.5,IF(Q934="走",0,IF(Q934="半黑",-0.5,-1)))))</x:f>
        <x:v>0.75</x:v>
      </x:c>
      <x:c r="T934" s="604" t="inlineStr">
        <x:is>
          <x:t xml:space="preserve">https://m.titan007.com/analy/Analysis/2913357.htm</x:t>
        </x:is>
      </x:c>
      <x:c r="U934" s="646" t="str">
        <x:f>IF(Q934="","",IF(Q934="待结算","待结算",IF(Q934="红","黑",IF(Q934="半红","半黑",IF(Q934="走","走",IF(Q934="半黑","半红","红"))))))</x:f>
        <x:v>黑</x:v>
      </x:c>
      <x:c r="V934" s="604" t="n">
        <x:f>IF(OR(Q934="",Q934="待结算"),"",IF(L934=LEFT(F934,FIND(" vs ",F934)-1),I934,G934))</x:f>
        <x:v>0.95</x:v>
      </x:c>
      <x:c r="W934" s="604" t="n">
        <x:f>IF(OR(U934="",U934="待结算"),"",IF(U934="红",V934,IF(U934="半红",V934*0.5,IF(U934="走",0,IF(U934="半黑",-0.5,-1)))))</x:f>
        <x:v>-1</x:v>
      </x:c>
      <x:c r="X934" s="604" t="inlineStr">
        <x:is>
          <x:t xml:space="preserve">2913357</x:t>
        </x:is>
      </x:c>
      <x:c r="Y934" s="604" t="inlineStr">
        <x:is>
          <x:t xml:space="preserve">V4</x:t>
        </x:is>
      </x:c>
      <x:c r="Z934" s="604" t="inlineStr">
        <x:is>
          <x:t xml:space="preserve">prior-2026-10-04-v1</x:t>
        </x:is>
      </x:c>
      <x:c r="AA934" s="604" t="inlineStr">
        <x:is>
          <x:t xml:space="preserve">C</x:t>
        </x:is>
      </x:c>
      <x:c r="AB934" s="604" t="n">
        <x:v>0.4698814473496861</x:v>
      </x:c>
      <x:c r="AC934" s="604" t="n"/>
      <x:c r="AD934" s="604" t="n"/>
      <x:c r="AE934" s="604" t="n">
        <x:v>0.2558098186076581</x:v>
      </x:c>
      <x:c r="AF934" s="604" t="n">
        <x:v>0.2743087340426557</x:v>
      </x:c>
      <x:c r="AG934" s="604" t="n">
        <x:v>0.04417373163571697</x:v>
      </x:c>
      <x:c r="AH934" s="604" t="n"/>
      <x:c r="AI934" s="604" t="n"/>
      <x:c r="AJ934" s="604" t="n">
        <x:v>0.04417373163571697</x:v>
      </x:c>
      <x:c r="AK934" s="604" t="n"/>
      <x:c r="AL934" s="604" t="n"/>
      <x:c r="AM934" s="604" t="n"/>
      <x:c r="AN934" s="604" t="inlineStr">
        <x:is>
          <x:t xml:space="preserve">EVALUATED</x:t>
        </x:is>
      </x:c>
      <x:c r="AO934" s="604" t="inlineStr">
        <x:is>
          <x:t xml:space="preserve">EDGE_BELOW_UNCERTAINTY_THRESHOLD、BUCKET_PRIOR_ONLY、INTENT_INTERPRETATION_ONLY、FFL_OPTIONAL、EXPERT_MARKET</x:t>
        </x:is>
      </x:c>
      <x:c r="AP934" s="604" t="inlineStr">
        <x:is>
          <x:t xml:space="preserve">fd31903463da434aed92</x:t>
        </x:is>
      </x:c>
      <x:c r="AQ934" s="604" t="n">
        <x:v>0</x:v>
      </x:c>
      <x:c r="AR934" s="604" t="n"/>
      <x:c r="AS934" s="604" t="n">
        <x:v>0</x:v>
      </x:c>
      <x:c r="AT934" s="604" t="n">
        <x:v>0</x:v>
      </x:c>
      <x:c r="AU934" s="604" t="n">
        <x:v>0.95</x:v>
      </x:c>
      <x:c r="AV934" s="604" t="n">
        <x:v>0.75</x:v>
      </x:c>
      <x:c r="AW934" s="604" t="n">
        <x:v>46299.08204853009</x:v>
      </x:c>
      <x:c r="AX934" s="604" t="inlineStr">
        <x:is>
          <x:t xml:space="preserve">https://simondongxiao.github.io/odds/v4/</x:t>
        </x:is>
      </x:c>
      <x:c r="AY934" s="604" t="inlineStr">
        <x:is>
          <x:t xml:space="preserve">V4 Shadow Only；real_money=false；P(EV&gt;0)不是比赛胜率</x:t>
        </x:is>
      </x:c>
    </x:row>
    <x:row r="935" ht="22" customHeight="1">
      <x:c r="A935" s="604" t="inlineStr">
        <x:is>
          <x:t xml:space="preserve">2026-10-04</x:t>
        </x:is>
      </x:c>
      <x:c r="B935" s="604" t="inlineStr">
        <x:is>
          <x:t xml:space="preserve">2026-10-04 22:00</x:t>
        </x:is>
      </x:c>
      <x:c r="C935" s="604" t="str">
        <x:v>欧洲非五大系列</x:v>
      </x:c>
      <x:c r="D935" s="604" t="inlineStr">
        <x:is>
          <x:t xml:space="preserve">联赛</x:t>
        </x:is>
      </x:c>
      <x:c r="E935" s="604" t="inlineStr">
        <x:is>
          <x:t xml:space="preserve">挪乙</x:t>
        </x:is>
      </x:c>
      <x:c r="F935" s="604" t="inlineStr">
        <x:is>
          <x:t xml:space="preserve">特里格拉德 vs 祖克伦</x:t>
        </x:is>
      </x:c>
      <x:c r="G935" s="604" t="n">
        <x:v>0.82</x:v>
      </x:c>
      <x:c r="H935" s="604" t="n">
        <x:v>-0.25</x:v>
      </x:c>
      <x:c r="I935" s="604" t="n">
        <x:v>0.88</x:v>
      </x:c>
      <x:c r="J935" s="604" t="inlineStr">
        <x:is>
          <x:t xml:space="preserve">0.82/-0.25/0.88</x:t>
        </x:is>
      </x:c>
      <x:c r="K935" s="604" t="inlineStr">
        <x:is>
          <x:t xml:space="preserve">V4-B｜EV +0.0949</x:t>
        </x:is>
      </x:c>
      <x:c r="L935" s="604" t="inlineStr">
        <x:is>
          <x:t xml:space="preserve">特里格拉德</x:t>
        </x:is>
      </x:c>
      <x:c r="M935" s="604" t="n">
        <x:v>0.6094401404221178</x:v>
      </x:c>
      <x:c r="N935" s="604" t="inlineStr">
        <x:is>
          <x:t xml:space="preserve">V4纸面入选-B</x:t>
        </x:is>
      </x:c>
      <x:c r="O935" s="604" t="inlineStr">
        <x:is>
          <x:t xml:space="preserve">1-2</x:t>
        </x:is>
      </x:c>
      <x:c r="P935" s="604" t="inlineStr">
        <x:is>
          <x:t xml:space="preserve">已结算</x:t>
        </x:is>
      </x:c>
      <x:c r="Q935" s="646" t="inlineStr">
        <x:is>
          <x:t xml:space="preserve">黑</x:t>
        </x:is>
      </x:c>
      <x:c r="R935" s="604" t="n">
        <x:v>0.82</x:v>
      </x:c>
      <x:c r="S935" s="604" t="n">
        <x:f>IF(OR(Q935="",Q935="待结算"),"",IF(Q935="红",R935,IF(Q935="半红",R935*0.5,IF(Q935="走",0,IF(Q935="半黑",-0.5,-1)))))</x:f>
        <x:v>-1</x:v>
      </x:c>
      <x:c r="T935" s="604" t="inlineStr">
        <x:is>
          <x:t xml:space="preserve">https://m.titan007.com/analy/Analysis/2913544.htm</x:t>
        </x:is>
      </x:c>
      <x:c r="U935" s="645" t="str">
        <x:f>IF(Q935="","",IF(Q935="待结算","待结算",IF(Q935="红","黑",IF(Q935="半红","半黑",IF(Q935="走","走",IF(Q935="半黑","半红","红"))))))</x:f>
        <x:v>红</x:v>
      </x:c>
      <x:c r="V935" s="604" t="n">
        <x:f>IF(OR(Q935="",Q935="待结算"),"",IF(L935=LEFT(F935,FIND(" vs ",F935)-1),I935,G935))</x:f>
        <x:v>0.88</x:v>
      </x:c>
      <x:c r="W935" s="604" t="n">
        <x:f>IF(OR(U935="",U935="待结算"),"",IF(U935="红",V935,IF(U935="半红",V935*0.5,IF(U935="走",0,IF(U935="半黑",-0.5,-1)))))</x:f>
        <x:v>0.88</x:v>
      </x:c>
      <x:c r="X935" s="604" t="inlineStr">
        <x:is>
          <x:t xml:space="preserve">2913544</x:t>
        </x:is>
      </x:c>
      <x:c r="Y935" s="604" t="inlineStr">
        <x:is>
          <x:t xml:space="preserve">V4</x:t>
        </x:is>
      </x:c>
      <x:c r="Z935" s="604" t="inlineStr">
        <x:is>
          <x:t xml:space="preserve">prior-2026-10-04-v1</x:t>
        </x:is>
      </x:c>
      <x:c r="AA935" s="604" t="inlineStr">
        <x:is>
          <x:t xml:space="preserve">B</x:t>
        </x:is>
      </x:c>
      <x:c r="AB935" s="604" t="n">
        <x:v>0.3991093065279065</x:v>
      </x:c>
      <x:c r="AC935" s="604" t="n">
        <x:v>0.2613714280035871</x:v>
      </x:c>
      <x:c r="AD935" s="604" t="n"/>
      <x:c r="AE935" s="604" t="n"/>
      <x:c r="AF935" s="604" t="n">
        <x:v>0.3395192654685064</x:v>
      </x:c>
      <x:c r="AG935" s="604" t="n">
        <x:v>0.09491265136584759</x:v>
      </x:c>
      <x:c r="AH935" s="604" t="n"/>
      <x:c r="AI935" s="604" t="n"/>
      <x:c r="AJ935" s="604" t="n">
        <x:v>0.09491265136584759</x:v>
      </x:c>
      <x:c r="AK935" s="604" t="n"/>
      <x:c r="AL935" s="604" t="n"/>
      <x:c r="AM935" s="604" t="n"/>
      <x:c r="AN935" s="604" t="inlineStr">
        <x:is>
          <x:t xml:space="preserve">EVALUATED</x:t>
        </x:is>
      </x:c>
      <x:c r="AO935" s="604" t="inlineStr">
        <x:is>
          <x:t xml:space="preserve">RECEIVING_VALIDATED_EDGE、BUCKET_PRIOR_ONLY、INTENT_INTERPRETATION_ONLY、FFL_OPTIONAL、EXPERT_MARKET</x:t>
        </x:is>
      </x:c>
      <x:c r="AP935" s="604" t="inlineStr">
        <x:is>
          <x:t xml:space="preserve">3ea7658c0a4d6dc7a7cd</x:t>
        </x:is>
      </x:c>
      <x:c r="AQ935" s="604" t="n">
        <x:v>0.25</x:v>
      </x:c>
      <x:c r="AR935" s="604" t="n">
        <x:v>0.82</x:v>
      </x:c>
      <x:c r="AS935" s="604" t="n">
        <x:v>-0.25</x:v>
      </x:c>
      <x:c r="AT935" s="604" t="n">
        <x:v>0.25</x:v>
      </x:c>
      <x:c r="AU935" s="604" t="n">
        <x:v>0.82</x:v>
      </x:c>
      <x:c r="AV935" s="604" t="n">
        <x:v>0.88</x:v>
      </x:c>
      <x:c r="AW935" s="604" t="n">
        <x:v>46299.08204853009</x:v>
      </x:c>
      <x:c r="AX935" s="604" t="inlineStr">
        <x:is>
          <x:t xml:space="preserve">https://simondongxiao.github.io/odds/v4/</x:t>
        </x:is>
      </x:c>
      <x:c r="AY935" s="604" t="inlineStr">
        <x:is>
          <x:t xml:space="preserve">V4 Shadow Only；real_money=false；P(EV&gt;0)不是比赛胜率</x:t>
        </x:is>
      </x:c>
    </x:row>
    <x:row r="936" ht="22" customHeight="1">
      <x:c r="A936" s="604" t="inlineStr">
        <x:is>
          <x:t xml:space="preserve">2026-10-04</x:t>
        </x:is>
      </x:c>
      <x:c r="B936" s="604" t="inlineStr">
        <x:is>
          <x:t xml:space="preserve">2026-10-04 22:00</x:t>
        </x:is>
      </x:c>
      <x:c r="C936" s="604" t="str">
        <x:v>欧洲非五大系列</x:v>
      </x:c>
      <x:c r="D936" s="604" t="inlineStr">
        <x:is>
          <x:t xml:space="preserve">联赛</x:t>
        </x:is>
      </x:c>
      <x:c r="E936" s="604" t="inlineStr">
        <x:is>
          <x:t xml:space="preserve">北爱超</x:t>
        </x:is>
      </x:c>
      <x:c r="F936" s="604" t="inlineStr">
        <x:is>
          <x:t xml:space="preserve">FC宾高 vs 科尔雷恩</x:t>
        </x:is>
      </x:c>
      <x:c r="G936" s="604" t="n">
        <x:v>0.9399999999999999</x:v>
      </x:c>
      <x:c r="H936" s="604" t="n">
        <x:v>-1.75</x:v>
      </x:c>
      <x:c r="I936" s="604" t="n">
        <x:v>0.76</x:v>
      </x:c>
      <x:c r="J936" s="604" t="inlineStr">
        <x:is>
          <x:t xml:space="preserve">0.94/-1.75/0.76</x:t>
        </x:is>
      </x:c>
      <x:c r="K936" s="604" t="inlineStr">
        <x:is>
          <x:t xml:space="preserve">V4-B｜EV +0.9394</x:t>
        </x:is>
      </x:c>
      <x:c r="L936" s="604" t="inlineStr">
        <x:is>
          <x:t xml:space="preserve">FC宾高</x:t>
        </x:is>
      </x:c>
      <x:c r="M936" s="604" t="n">
        <x:v>0.9997832408684776</x:v>
      </x:c>
      <x:c r="N936" s="604" t="inlineStr">
        <x:is>
          <x:t xml:space="preserve">V4纸面入选-B</x:t>
        </x:is>
      </x:c>
      <x:c r="O936" s="604" t="inlineStr">
        <x:is>
          <x:t xml:space="preserve">2-3</x:t>
        </x:is>
      </x:c>
      <x:c r="P936" s="604" t="inlineStr">
        <x:is>
          <x:t xml:space="preserve">已结算</x:t>
        </x:is>
      </x:c>
      <x:c r="Q936" s="645" t="inlineStr">
        <x:is>
          <x:t xml:space="preserve">红</x:t>
        </x:is>
      </x:c>
      <x:c r="R936" s="604" t="n">
        <x:v>0.9399999999999999</x:v>
      </x:c>
      <x:c r="S936" s="604" t="n">
        <x:f>IF(OR(Q936="",Q936="待结算"),"",IF(Q936="红",R936,IF(Q936="半红",R936*0.5,IF(Q936="走",0,IF(Q936="半黑",-0.5,-1)))))</x:f>
        <x:v>0.94</x:v>
      </x:c>
      <x:c r="T936" s="604" t="inlineStr">
        <x:is>
          <x:t xml:space="preserve">https://m.titan007.com/analy/Analysis/3011613.htm</x:t>
        </x:is>
      </x:c>
      <x:c r="U936" s="646" t="str">
        <x:f>IF(Q936="","",IF(Q936="待结算","待结算",IF(Q936="红","黑",IF(Q936="半红","半黑",IF(Q936="走","走",IF(Q936="半黑","半红","红"))))))</x:f>
        <x:v>黑</x:v>
      </x:c>
      <x:c r="V936" s="604" t="n">
        <x:f>IF(OR(Q936="",Q936="待结算"),"",IF(L936=LEFT(F936,FIND(" vs ",F936)-1),I936,G936))</x:f>
        <x:v>0.76</x:v>
      </x:c>
      <x:c r="W936" s="604" t="n">
        <x:f>IF(OR(U936="",U936="待结算"),"",IF(U936="红",V936,IF(U936="半红",V936*0.5,IF(U936="走",0,IF(U936="半黑",-0.5,-1)))))</x:f>
        <x:v>-1</x:v>
      </x:c>
      <x:c r="X936" s="604" t="inlineStr">
        <x:is>
          <x:t xml:space="preserve">3011613</x:t>
        </x:is>
      </x:c>
      <x:c r="Y936" s="604" t="inlineStr">
        <x:is>
          <x:t xml:space="preserve">V4</x:t>
        </x:is>
      </x:c>
      <x:c r="Z936" s="604" t="inlineStr">
        <x:is>
          <x:t xml:space="preserve">prior-2026-10-04-v1</x:t>
        </x:is>
      </x:c>
      <x:c r="AA936" s="604" t="inlineStr">
        <x:is>
          <x:t xml:space="preserve">B</x:t>
        </x:is>
      </x:c>
      <x:c r="AB936" s="604" t="n">
        <x:v>0.9995809357366855</x:v>
      </x:c>
      <x:c r="AC936" s="604" t="n"/>
      <x:c r="AD936" s="604" t="n"/>
      <x:c r="AE936" s="604" t="n">
        <x:v>0.0004046979855681713</x:v>
      </x:c>
      <x:c r="AF936" s="604" t="n">
        <x:v>1.436627774642869e-05</x:v>
      </x:c>
      <x:c r="AG936" s="604" t="n">
        <x:v>0.9393893643219539</x:v>
      </x:c>
      <x:c r="AH936" s="604" t="n"/>
      <x:c r="AI936" s="604" t="n"/>
      <x:c r="AJ936" s="604" t="n">
        <x:v>0.9393893643219539</x:v>
      </x:c>
      <x:c r="AK936" s="604" t="n"/>
      <x:c r="AL936" s="604" t="n"/>
      <x:c r="AM936" s="604" t="n"/>
      <x:c r="AN936" s="604" t="inlineStr">
        <x:is>
          <x:t xml:space="preserve">EVALUATED</x:t>
        </x:is>
      </x:c>
      <x:c r="AO936" s="604" t="inlineStr">
        <x:is>
          <x:t xml:space="preserve">RECEIVING_VALIDATED_EDGE、BUCKET_PRIOR_ONLY、INTENT_INTERPRETATION_ONLY、FFL_OPTIONAL、EXPERT_MARKET</x:t>
        </x:is>
      </x:c>
      <x:c r="AP936" s="604" t="inlineStr">
        <x:is>
          <x:t xml:space="preserve">0e753b08298a18cd83f9</x:t>
        </x:is>
      </x:c>
      <x:c r="AQ936" s="604" t="n">
        <x:v>1.75</x:v>
      </x:c>
      <x:c r="AR936" s="604" t="n">
        <x:v>0.9399999999999999</x:v>
      </x:c>
      <x:c r="AS936" s="604" t="n">
        <x:v>-1.75</x:v>
      </x:c>
      <x:c r="AT936" s="604" t="n">
        <x:v>1.75</x:v>
      </x:c>
      <x:c r="AU936" s="604" t="n">
        <x:v>0.9399999999999999</x:v>
      </x:c>
      <x:c r="AV936" s="604" t="n">
        <x:v>0.76</x:v>
      </x:c>
      <x:c r="AW936" s="604" t="n">
        <x:v>46299.08204853009</x:v>
      </x:c>
      <x:c r="AX936" s="604" t="inlineStr">
        <x:is>
          <x:t xml:space="preserve">https://simondongxiao.github.io/odds/v4/</x:t>
        </x:is>
      </x:c>
      <x:c r="AY936" s="604" t="inlineStr">
        <x:is>
          <x:t xml:space="preserve">V4 Shadow Only；real_money=false；P(EV&gt;0)不是比赛胜率</x:t>
        </x:is>
      </x:c>
    </x:row>
    <x:row r="937" ht="22" customHeight="1">
      <x:c r="A937" s="604" t="inlineStr">
        <x:is>
          <x:t xml:space="preserve">2026-10-04</x:t>
        </x:is>
      </x:c>
      <x:c r="B937" s="604" t="inlineStr">
        <x:is>
          <x:t xml:space="preserve">2026-10-04 22:00</x:t>
        </x:is>
      </x:c>
      <x:c r="C937" s="604" t="str">
        <x:v>欧洲非五大系列</x:v>
      </x:c>
      <x:c r="D937" s="604" t="inlineStr">
        <x:is>
          <x:t xml:space="preserve">联赛</x:t>
        </x:is>
      </x:c>
      <x:c r="E937" s="604" t="inlineStr">
        <x:is>
          <x:t xml:space="preserve">捷丙</x:t>
        </x:is>
      </x:c>
      <x:c r="F937" s="604" t="inlineStr">
        <x:is>
          <x:t xml:space="preserve">布拉格斯拉维亚C队 vs 波夫塔维</x:t>
        </x:is>
      </x:c>
      <x:c r="G937" s="604" t="n">
        <x:v>0.95</x:v>
      </x:c>
      <x:c r="H937" s="604" t="n">
        <x:v>1</x:v>
      </x:c>
      <x:c r="I937" s="604" t="n">
        <x:v>0.75</x:v>
      </x:c>
      <x:c r="J937" s="604" t="inlineStr">
        <x:is>
          <x:t xml:space="preserve">0.95/1/0.75</x:t>
        </x:is>
      </x:c>
      <x:c r="K937" s="604" t="inlineStr">
        <x:is>
          <x:t xml:space="preserve">V4-B｜EV +0.1854</x:t>
        </x:is>
      </x:c>
      <x:c r="L937" s="604" t="inlineStr">
        <x:is>
          <x:t xml:space="preserve">布拉格斯拉维亚C队</x:t>
        </x:is>
      </x:c>
      <x:c r="M937" s="604" t="n">
        <x:v>0.639868744067682</x:v>
      </x:c>
      <x:c r="N937" s="604" t="inlineStr">
        <x:is>
          <x:t xml:space="preserve">V4纸面入选-B</x:t>
        </x:is>
      </x:c>
      <x:c r="O937" s="604" t="inlineStr">
        <x:is>
          <x:t xml:space="preserve">4-0</x:t>
        </x:is>
      </x:c>
      <x:c r="P937" s="604" t="inlineStr">
        <x:is>
          <x:t xml:space="preserve">已结算</x:t>
        </x:is>
      </x:c>
      <x:c r="Q937" s="645" t="inlineStr">
        <x:is>
          <x:t xml:space="preserve">红</x:t>
        </x:is>
      </x:c>
      <x:c r="R937" s="604" t="n">
        <x:v>0.95</x:v>
      </x:c>
      <x:c r="S937" s="604" t="n">
        <x:f>IF(OR(Q937="",Q937="待结算"),"",IF(Q937="红",R937,IF(Q937="半红",R937*0.5,IF(Q937="走",0,IF(Q937="半黑",-0.5,-1)))))</x:f>
        <x:v>0.95</x:v>
      </x:c>
      <x:c r="T937" s="604" t="inlineStr">
        <x:is>
          <x:t xml:space="preserve">https://m.titan007.com/analy/Analysis/3009396.htm</x:t>
        </x:is>
      </x:c>
      <x:c r="U937" s="646" t="str">
        <x:f>IF(Q937="","",IF(Q937="待结算","待结算",IF(Q937="红","黑",IF(Q937="半红","半黑",IF(Q937="走","走",IF(Q937="半黑","半红","红"))))))</x:f>
        <x:v>黑</x:v>
      </x:c>
      <x:c r="V937" s="604" t="n">
        <x:f>IF(OR(Q937="",Q937="待结算"),"",IF(L937=LEFT(F937,FIND(" vs ",F937)-1),I937,G937))</x:f>
        <x:v>0.75</x:v>
      </x:c>
      <x:c r="W937" s="604" t="n">
        <x:f>IF(OR(U937="",U937="待结算"),"",IF(U937="红",V937,IF(U937="半红",V937*0.5,IF(U937="走",0,IF(U937="半黑",-0.5,-1)))))</x:f>
        <x:v>-1</x:v>
      </x:c>
      <x:c r="X937" s="604" t="inlineStr">
        <x:is>
          <x:t xml:space="preserve">3009396</x:t>
        </x:is>
      </x:c>
      <x:c r="Y937" s="604" t="inlineStr">
        <x:is>
          <x:t xml:space="preserve">V4</x:t>
        </x:is>
      </x:c>
      <x:c r="Z937" s="604" t="inlineStr">
        <x:is>
          <x:t xml:space="preserve">prior-2026-10-04-v1</x:t>
        </x:is>
      </x:c>
      <x:c r="AA937" s="604" t="inlineStr">
        <x:is>
          <x:t xml:space="preserve">B</x:t>
        </x:is>
      </x:c>
      <x:c r="AB937" s="604" t="n">
        <x:v>0.4789083132028273</x:v>
      </x:c>
      <x:c r="AC937" s="604" t="n"/>
      <x:c r="AD937" s="604" t="n">
        <x:v>0.251552263424558</x:v>
      </x:c>
      <x:c r="AE937" s="604" t="n"/>
      <x:c r="AF937" s="604" t="n">
        <x:v>0.2695394233726146</x:v>
      </x:c>
      <x:c r="AG937" s="604" t="n">
        <x:v>0.1854234741700713</x:v>
      </x:c>
      <x:c r="AH937" s="604" t="n"/>
      <x:c r="AI937" s="604" t="n"/>
      <x:c r="AJ937" s="604" t="n">
        <x:v>0.1854234741700713</x:v>
      </x:c>
      <x:c r="AK937" s="604" t="n"/>
      <x:c r="AL937" s="604" t="n"/>
      <x:c r="AM937" s="604" t="n"/>
      <x:c r="AN937" s="604" t="inlineStr">
        <x:is>
          <x:t xml:space="preserve">EVALUATED</x:t>
        </x:is>
      </x:c>
      <x:c r="AO937" s="604" t="inlineStr">
        <x:is>
          <x:t xml:space="preserve">GIVING_VALIDATED_EDGE、BUCKET_PRIOR_ONLY、INTENT_INTERPRETATION_ONLY、FFL_OPTIONAL、EXPERT_MARKET</x:t>
        </x:is>
      </x:c>
      <x:c r="AP937" s="604" t="inlineStr">
        <x:is>
          <x:t xml:space="preserve">801b2880ceff768b73e8</x:t>
        </x:is>
      </x:c>
      <x:c r="AQ937" s="604" t="n">
        <x:v>-1</x:v>
      </x:c>
      <x:c r="AR937" s="604" t="n">
        <x:v>0.95</x:v>
      </x:c>
      <x:c r="AS937" s="604" t="n">
        <x:v>1</x:v>
      </x:c>
      <x:c r="AT937" s="604" t="n">
        <x:v>-1</x:v>
      </x:c>
      <x:c r="AU937" s="604" t="n">
        <x:v>0.95</x:v>
      </x:c>
      <x:c r="AV937" s="604" t="n">
        <x:v>0.75</x:v>
      </x:c>
      <x:c r="AW937" s="604" t="n">
        <x:v>46299.08204853009</x:v>
      </x:c>
      <x:c r="AX937" s="604" t="inlineStr">
        <x:is>
          <x:t xml:space="preserve">https://simondongxiao.github.io/odds/v4/</x:t>
        </x:is>
      </x:c>
      <x:c r="AY937" s="604" t="inlineStr">
        <x:is>
          <x:t xml:space="preserve">V4 Shadow Only；real_money=false；P(EV&gt;0)不是比赛胜率</x:t>
        </x:is>
      </x:c>
    </x:row>
    <x:row r="938" ht="22" customHeight="1">
      <x:c r="A938" s="604" t="inlineStr">
        <x:is>
          <x:t xml:space="preserve">2026-10-04</x:t>
        </x:is>
      </x:c>
      <x:c r="B938" s="604" t="inlineStr">
        <x:is>
          <x:t xml:space="preserve">2026-10-04 22:00</x:t>
        </x:is>
      </x:c>
      <x:c r="C938" s="604" t="str">
        <x:v>欧洲非五大系列</x:v>
      </x:c>
      <x:c r="D938" s="604" t="inlineStr">
        <x:is>
          <x:t xml:space="preserve">联赛</x:t>
        </x:is>
      </x:c>
      <x:c r="E938" s="604" t="inlineStr">
        <x:is>
          <x:t xml:space="preserve">捷丙</x:t>
        </x:is>
      </x:c>
      <x:c r="F938" s="604" t="inlineStr">
        <x:is>
          <x:t xml:space="preserve">本纳特凯 vs 治鲁迪</x:t>
        </x:is>
      </x:c>
      <x:c r="G938" s="604" t="n">
        <x:v>0.83</x:v>
      </x:c>
      <x:c r="H938" s="604" t="n">
        <x:v>0</x:v>
      </x:c>
      <x:c r="I938" s="604" t="n">
        <x:v>0.87</x:v>
      </x:c>
      <x:c r="J938" s="604" t="inlineStr">
        <x:is>
          <x:t xml:space="preserve">0.83/0/0.87</x:t>
        </x:is>
      </x:c>
      <x:c r="K938" s="604" t="inlineStr">
        <x:is>
          <x:t xml:space="preserve">V4-C｜EV +0.0479</x:t>
        </x:is>
      </x:c>
      <x:c r="L938" s="604" t="str"/>
      <x:c r="M938" s="604" t="n">
        <x:v>0.576361334451521</x:v>
      </x:c>
      <x:c r="N938" s="604" t="inlineStr">
        <x:is>
          <x:t xml:space="preserve">V4纸面入选-C</x:t>
        </x:is>
      </x:c>
      <x:c r="O938" s="604" t="inlineStr">
        <x:is>
          <x:t xml:space="preserve">3-3</x:t>
        </x:is>
      </x:c>
      <x:c r="P938" s="604" t="inlineStr">
        <x:is>
          <x:t xml:space="preserve">已结算</x:t>
        </x:is>
      </x:c>
      <x:c r="Q938" s="647" t="inlineStr">
        <x:is>
          <x:t xml:space="preserve">走</x:t>
        </x:is>
      </x:c>
      <x:c r="R938" s="604" t="n">
        <x:v>0.87</x:v>
      </x:c>
      <x:c r="S938" s="604" t="n">
        <x:f>IF(OR(Q938="",Q938="待结算"),"",IF(Q938="红",R938,IF(Q938="半红",R938*0.5,IF(Q938="走",0,IF(Q938="半黑",-0.5,-1)))))</x:f>
        <x:v>0</x:v>
      </x:c>
      <x:c r="T938" s="604" t="inlineStr">
        <x:is>
          <x:t xml:space="preserve">https://m.titan007.com/analy/Analysis/3009511.htm</x:t>
        </x:is>
      </x:c>
      <x:c r="U938" s="647" t="str">
        <x:f>IF(Q938="","",IF(Q938="待结算","待结算",IF(Q938="红","黑",IF(Q938="半红","半黑",IF(Q938="走","走",IF(Q938="半黑","半红","红"))))))</x:f>
        <x:v>走</x:v>
      </x:c>
      <x:c r="V938" s="604" t="n">
        <x:f>IF(OR(Q938="",Q938="待结算"),"",IF(L938=LEFT(F938,FIND(" vs ",F938)-1),I938,G938))</x:f>
        <x:v>0.83</x:v>
      </x:c>
      <x:c r="W938" s="604" t="n">
        <x:f>IF(OR(U938="",U938="待结算"),"",IF(U938="红",V938,IF(U938="半红",V938*0.5,IF(U938="走",0,IF(U938="半黑",-0.5,-1)))))</x:f>
        <x:v>0</x:v>
      </x:c>
      <x:c r="X938" s="604" t="inlineStr">
        <x:is>
          <x:t xml:space="preserve">3009511</x:t>
        </x:is>
      </x:c>
      <x:c r="Y938" s="604" t="inlineStr">
        <x:is>
          <x:t xml:space="preserve">V4</x:t>
        </x:is>
      </x:c>
      <x:c r="Z938" s="604" t="inlineStr">
        <x:is>
          <x:t xml:space="preserve">prior-2026-10-04-v1</x:t>
        </x:is>
      </x:c>
      <x:c r="AA938" s="604" t="inlineStr">
        <x:is>
          <x:t xml:space="preserve">C</x:t>
        </x:is>
      </x:c>
      <x:c r="AB938" s="604" t="n">
        <x:v>0.5045928043417082</x:v>
      </x:c>
      <x:c r="AC938" s="604" t="n"/>
      <x:c r="AD938" s="604" t="n"/>
      <x:c r="AE938" s="604" t="n">
        <x:v>0.2490400581021264</x:v>
      </x:c>
      <x:c r="AF938" s="604" t="n">
        <x:v>0.2463671375561656</x:v>
      </x:c>
      <x:c r="AG938" s="604" t="n">
        <x:v>0.04792486099638898</x:v>
      </x:c>
      <x:c r="AH938" s="604" t="n"/>
      <x:c r="AI938" s="604" t="n"/>
      <x:c r="AJ938" s="604" t="n">
        <x:v>0.04792486099638898</x:v>
      </x:c>
      <x:c r="AK938" s="604" t="n"/>
      <x:c r="AL938" s="604" t="n"/>
      <x:c r="AM938" s="604" t="n"/>
      <x:c r="AN938" s="604" t="inlineStr">
        <x:is>
          <x:t xml:space="preserve">EVALUATED</x:t>
        </x:is>
      </x:c>
      <x:c r="AO938" s="604" t="inlineStr">
        <x:is>
          <x:t xml:space="preserve">EDGE_BELOW_UNCERTAINTY_THRESHOLD、BUCKET_PRIOR_ONLY、INTENT_INTERPRETATION_ONLY、FFL_OPTIONAL、EXPERT_MARKET</x:t>
        </x:is>
      </x:c>
      <x:c r="AP938" s="604" t="inlineStr">
        <x:is>
          <x:t xml:space="preserve">fa0c47c298a771975b80</x:t>
        </x:is>
      </x:c>
      <x:c r="AQ938" s="604" t="n">
        <x:v>0</x:v>
      </x:c>
      <x:c r="AR938" s="604" t="n"/>
      <x:c r="AS938" s="604" t="n">
        <x:v>0</x:v>
      </x:c>
      <x:c r="AT938" s="604" t="n">
        <x:v>0</x:v>
      </x:c>
      <x:c r="AU938" s="604" t="n">
        <x:v>0.83</x:v>
      </x:c>
      <x:c r="AV938" s="604" t="n">
        <x:v>0.87</x:v>
      </x:c>
      <x:c r="AW938" s="604" t="n">
        <x:v>46299.08204853009</x:v>
      </x:c>
      <x:c r="AX938" s="604" t="inlineStr">
        <x:is>
          <x:t xml:space="preserve">https://simondongxiao.github.io/odds/v4/</x:t>
        </x:is>
      </x:c>
      <x:c r="AY938" s="604" t="inlineStr">
        <x:is>
          <x:t xml:space="preserve">V4 Shadow Only；real_money=false；P(EV&gt;0)不是比赛胜率</x:t>
        </x:is>
      </x:c>
    </x:row>
    <x:row r="939" ht="22" customHeight="1">
      <x:c r="A939" s="604" t="inlineStr">
        <x:is>
          <x:t xml:space="preserve">2026-10-04</x:t>
        </x:is>
      </x:c>
      <x:c r="B939" s="604" t="inlineStr">
        <x:is>
          <x:t xml:space="preserve">2026-10-04 22:00</x:t>
        </x:is>
      </x:c>
      <x:c r="C939" s="604" t="str">
        <x:v>欧洲非五大系列</x:v>
      </x:c>
      <x:c r="D939" s="604" t="inlineStr">
        <x:is>
          <x:t xml:space="preserve">联赛</x:t>
        </x:is>
      </x:c>
      <x:c r="E939" s="604" t="inlineStr">
        <x:is>
          <x:t xml:space="preserve">捷丙</x:t>
        </x:is>
      </x:c>
      <x:c r="F939" s="604" t="inlineStr">
        <x:is>
          <x:t xml:space="preserve">索科尔布洛赞尼 vs 索史尔扎普</x:t>
        </x:is>
      </x:c>
      <x:c r="G939" s="604" t="n">
        <x:v>0.9399999999999999</x:v>
      </x:c>
      <x:c r="H939" s="604" t="n">
        <x:v>-1</x:v>
      </x:c>
      <x:c r="I939" s="604" t="n">
        <x:v>0.76</x:v>
      </x:c>
      <x:c r="J939" s="604" t="inlineStr">
        <x:is>
          <x:t xml:space="preserve">0.94/-1/0.76</x:t>
        </x:is>
      </x:c>
      <x:c r="K939" s="604" t="inlineStr">
        <x:is>
          <x:t xml:space="preserve">V4-B｜EV +0.8058</x:t>
        </x:is>
      </x:c>
      <x:c r="L939" s="604" t="inlineStr">
        <x:is>
          <x:t xml:space="preserve">索科尔布洛赞尼</x:t>
        </x:is>
      </x:c>
      <x:c r="M939" s="604" t="n">
        <x:v>0.9689110232239184</x:v>
      </x:c>
      <x:c r="N939" s="604" t="inlineStr">
        <x:is>
          <x:t xml:space="preserve">V4纸面入选-B</x:t>
        </x:is>
      </x:c>
      <x:c r="O939" s="604" t="inlineStr">
        <x:is>
          <x:t xml:space="preserve">0-0</x:t>
        </x:is>
      </x:c>
      <x:c r="P939" s="604" t="inlineStr">
        <x:is>
          <x:t xml:space="preserve">已结算</x:t>
        </x:is>
      </x:c>
      <x:c r="Q939" s="645" t="inlineStr">
        <x:is>
          <x:t xml:space="preserve">红</x:t>
        </x:is>
      </x:c>
      <x:c r="R939" s="604" t="n">
        <x:v>0.9399999999999999</x:v>
      </x:c>
      <x:c r="S939" s="604" t="n">
        <x:f>IF(OR(Q939="",Q939="待结算"),"",IF(Q939="红",R939,IF(Q939="半红",R939*0.5,IF(Q939="走",0,IF(Q939="半黑",-0.5,-1)))))</x:f>
        <x:v>0.94</x:v>
      </x:c>
      <x:c r="T939" s="604" t="inlineStr">
        <x:is>
          <x:t xml:space="preserve">https://m.titan007.com/analy/Analysis/3009512.htm</x:t>
        </x:is>
      </x:c>
      <x:c r="U939" s="646" t="str">
        <x:f>IF(Q939="","",IF(Q939="待结算","待结算",IF(Q939="红","黑",IF(Q939="半红","半黑",IF(Q939="走","走",IF(Q939="半黑","半红","红"))))))</x:f>
        <x:v>黑</x:v>
      </x:c>
      <x:c r="V939" s="604" t="n">
        <x:f>IF(OR(Q939="",Q939="待结算"),"",IF(L939=LEFT(F939,FIND(" vs ",F939)-1),I939,G939))</x:f>
        <x:v>0.76</x:v>
      </x:c>
      <x:c r="W939" s="604" t="n">
        <x:f>IF(OR(U939="",U939="待结算"),"",IF(U939="红",V939,IF(U939="半红",V939*0.5,IF(U939="走",0,IF(U939="半黑",-0.5,-1)))))</x:f>
        <x:v>-1</x:v>
      </x:c>
      <x:c r="X939" s="604" t="inlineStr">
        <x:is>
          <x:t xml:space="preserve">3009512</x:t>
        </x:is>
      </x:c>
      <x:c r="Y939" s="604" t="inlineStr">
        <x:is>
          <x:t xml:space="preserve">V4</x:t>
        </x:is>
      </x:c>
      <x:c r="Z939" s="604" t="inlineStr">
        <x:is>
          <x:t xml:space="preserve">prior-2026-10-04-v1</x:t>
        </x:is>
      </x:c>
      <x:c r="AA939" s="604" t="inlineStr">
        <x:is>
          <x:t xml:space="preserve">B</x:t>
        </x:is>
      </x:c>
      <x:c r="AB939" s="604" t="n">
        <x:v>0.8875405357224991</x:v>
      </x:c>
      <x:c r="AC939" s="604" t="n"/>
      <x:c r="AD939" s="604" t="n">
        <x:v>0.08398138275965765</x:v>
      </x:c>
      <x:c r="AE939" s="604" t="n"/>
      <x:c r="AF939" s="604" t="n">
        <x:v>0.02847808151784332</x:v>
      </x:c>
      <x:c r="AG939" s="604" t="n">
        <x:v>0.8058100220613058</x:v>
      </x:c>
      <x:c r="AH939" s="604" t="n"/>
      <x:c r="AI939" s="604" t="n"/>
      <x:c r="AJ939" s="604" t="n">
        <x:v>0.8058100220613058</x:v>
      </x:c>
      <x:c r="AK939" s="604" t="n"/>
      <x:c r="AL939" s="604" t="n"/>
      <x:c r="AM939" s="604" t="n"/>
      <x:c r="AN939" s="604" t="inlineStr">
        <x:is>
          <x:t xml:space="preserve">EVALUATED</x:t>
        </x:is>
      </x:c>
      <x:c r="AO939" s="604" t="inlineStr">
        <x:is>
          <x:t xml:space="preserve">RECEIVING_VALIDATED_EDGE、BUCKET_PRIOR_ONLY、INTENT_INTERPRETATION_ONLY、FFL_OPTIONAL、EXPERT_MARKET</x:t>
        </x:is>
      </x:c>
      <x:c r="AP939" s="604" t="inlineStr">
        <x:is>
          <x:t xml:space="preserve">4251d4ba4615aed76d1c</x:t>
        </x:is>
      </x:c>
      <x:c r="AQ939" s="604" t="n">
        <x:v>1</x:v>
      </x:c>
      <x:c r="AR939" s="604" t="n">
        <x:v>0.9399999999999999</x:v>
      </x:c>
      <x:c r="AS939" s="604" t="n">
        <x:v>-1</x:v>
      </x:c>
      <x:c r="AT939" s="604" t="n">
        <x:v>1</x:v>
      </x:c>
      <x:c r="AU939" s="604" t="n">
        <x:v>0.9399999999999999</x:v>
      </x:c>
      <x:c r="AV939" s="604" t="n">
        <x:v>0.76</x:v>
      </x:c>
      <x:c r="AW939" s="604" t="n">
        <x:v>46299.08204853009</x:v>
      </x:c>
      <x:c r="AX939" s="604" t="inlineStr">
        <x:is>
          <x:t xml:space="preserve">https://simondongxiao.github.io/odds/v4/</x:t>
        </x:is>
      </x:c>
      <x:c r="AY939" s="604" t="inlineStr">
        <x:is>
          <x:t xml:space="preserve">V4 Shadow Only；real_money=false；P(EV&gt;0)不是比赛胜率</x:t>
        </x:is>
      </x:c>
    </x:row>
    <x:row r="940" ht="22" customHeight="1">
      <x:c r="A940" s="604" t="inlineStr">
        <x:is>
          <x:t xml:space="preserve">2026-10-04</x:t>
        </x:is>
      </x:c>
      <x:c r="B940" s="604" t="inlineStr">
        <x:is>
          <x:t xml:space="preserve">2026-10-04 22:00</x:t>
        </x:is>
      </x:c>
      <x:c r="C940" s="604" t="str">
        <x:v>欧洲非五大系列</x:v>
      </x:c>
      <x:c r="D940" s="604" t="inlineStr">
        <x:is>
          <x:t xml:space="preserve">联赛</x:t>
        </x:is>
      </x:c>
      <x:c r="E940" s="604" t="inlineStr">
        <x:is>
          <x:t xml:space="preserve">捷丙</x:t>
        </x:is>
      </x:c>
      <x:c r="F940" s="604" t="inlineStr">
        <x:is>
          <x:t xml:space="preserve">泽尼特卡斯拉夫 vs 韦尔科哈姆雷</x:t>
        </x:is>
      </x:c>
      <x:c r="G940" s="604" t="n">
        <x:v>0.76</x:v>
      </x:c>
      <x:c r="H940" s="604" t="n">
        <x:v>0.5</x:v>
      </x:c>
      <x:c r="I940" s="604" t="n">
        <x:v>0.9399999999999999</x:v>
      </x:c>
      <x:c r="J940" s="604" t="inlineStr">
        <x:is>
          <x:t xml:space="preserve">0.76/0.5/0.94</x:t>
        </x:is>
      </x:c>
      <x:c r="K940" s="604" t="inlineStr">
        <x:is>
          <x:t xml:space="preserve">V4-C｜EV +0.0649</x:t>
        </x:is>
      </x:c>
      <x:c r="L940" s="604" t="inlineStr">
        <x:is>
          <x:t xml:space="preserve">泽尼特卡斯拉夫</x:t>
        </x:is>
      </x:c>
      <x:c r="M940" s="604" t="n">
        <x:v>0.6050780380644013</x:v>
      </x:c>
      <x:c r="N940" s="604" t="inlineStr">
        <x:is>
          <x:t xml:space="preserve">V4纸面入选-C</x:t>
        </x:is>
      </x:c>
      <x:c r="O940" s="604" t="inlineStr">
        <x:is>
          <x:t xml:space="preserve">2-1</x:t>
        </x:is>
      </x:c>
      <x:c r="P940" s="604" t="inlineStr">
        <x:is>
          <x:t xml:space="preserve">已结算</x:t>
        </x:is>
      </x:c>
      <x:c r="Q940" s="645" t="inlineStr">
        <x:is>
          <x:t xml:space="preserve">红</x:t>
        </x:is>
      </x:c>
      <x:c r="R940" s="604" t="n">
        <x:v>0.76</x:v>
      </x:c>
      <x:c r="S940" s="604" t="n">
        <x:f>IF(OR(Q940="",Q940="待结算"),"",IF(Q940="红",R940,IF(Q940="半红",R940*0.5,IF(Q940="走",0,IF(Q940="半黑",-0.5,-1)))))</x:f>
        <x:v>0.76</x:v>
      </x:c>
      <x:c r="T940" s="604" t="inlineStr">
        <x:is>
          <x:t xml:space="preserve">https://m.titan007.com/analy/Analysis/3009513.htm</x:t>
        </x:is>
      </x:c>
      <x:c r="U940" s="646" t="str">
        <x:f>IF(Q940="","",IF(Q940="待结算","待结算",IF(Q940="红","黑",IF(Q940="半红","半黑",IF(Q940="走","走",IF(Q940="半黑","半红","红"))))))</x:f>
        <x:v>黑</x:v>
      </x:c>
      <x:c r="V940" s="604" t="n">
        <x:f>IF(OR(Q940="",Q940="待结算"),"",IF(L940=LEFT(F940,FIND(" vs ",F940)-1),I940,G940))</x:f>
        <x:v>0.94</x:v>
      </x:c>
      <x:c r="W940" s="604" t="n">
        <x:f>IF(OR(U940="",U940="待结算"),"",IF(U940="红",V940,IF(U940="半红",V940*0.5,IF(U940="走",0,IF(U940="半黑",-0.5,-1)))))</x:f>
        <x:v>-1</x:v>
      </x:c>
      <x:c r="X940" s="604" t="inlineStr">
        <x:is>
          <x:t xml:space="preserve">3009513</x:t>
        </x:is>
      </x:c>
      <x:c r="Y940" s="604" t="inlineStr">
        <x:is>
          <x:t xml:space="preserve">V4</x:t>
        </x:is>
      </x:c>
      <x:c r="Z940" s="604" t="inlineStr">
        <x:is>
          <x:t xml:space="preserve">prior-2026-10-04-v1</x:t>
        </x:is>
      </x:c>
      <x:c r="AA940" s="604" t="inlineStr">
        <x:is>
          <x:t xml:space="preserve">C</x:t>
        </x:is>
      </x:c>
      <x:c r="AB940" s="604" t="n">
        <x:v>0.6050780380644013</x:v>
      </x:c>
      <x:c r="AC940" s="604" t="n"/>
      <x:c r="AD940" s="604" t="n"/>
      <x:c r="AE940" s="604" t="n"/>
      <x:c r="AF940" s="604" t="n">
        <x:v>0.3949219619355988</x:v>
      </x:c>
      <x:c r="AG940" s="604" t="n">
        <x:v>0.06493734699334625</x:v>
      </x:c>
      <x:c r="AH940" s="604" t="n"/>
      <x:c r="AI940" s="604" t="n"/>
      <x:c r="AJ940" s="604" t="n">
        <x:v>0.06493734699334625</x:v>
      </x:c>
      <x:c r="AK940" s="604" t="n"/>
      <x:c r="AL940" s="604" t="n"/>
      <x:c r="AM940" s="604" t="n"/>
      <x:c r="AN940" s="604" t="inlineStr">
        <x:is>
          <x:t xml:space="preserve">EVALUATED</x:t>
        </x:is>
      </x:c>
      <x:c r="AO940" s="604" t="inlineStr">
        <x:is>
          <x:t xml:space="preserve">GIVING_VALIDATED_EDGE、BUCKET_PRIOR_ONLY、INTENT_INTERPRETATION_ONLY、FFL_OPTIONAL、EXPERT_MARKET</x:t>
        </x:is>
      </x:c>
      <x:c r="AP940" s="604" t="inlineStr">
        <x:is>
          <x:t xml:space="preserve">595694edc54383cd4a29</x:t>
        </x:is>
      </x:c>
      <x:c r="AQ940" s="604" t="n">
        <x:v>-0.5</x:v>
      </x:c>
      <x:c r="AR940" s="604" t="n">
        <x:v>0.76</x:v>
      </x:c>
      <x:c r="AS940" s="604" t="n">
        <x:v>0.5</x:v>
      </x:c>
      <x:c r="AT940" s="604" t="n">
        <x:v>-0.5</x:v>
      </x:c>
      <x:c r="AU940" s="604" t="n">
        <x:v>0.76</x:v>
      </x:c>
      <x:c r="AV940" s="604" t="n">
        <x:v>0.9399999999999999</x:v>
      </x:c>
      <x:c r="AW940" s="604" t="n">
        <x:v>46299.08204853009</x:v>
      </x:c>
      <x:c r="AX940" s="604" t="inlineStr">
        <x:is>
          <x:t xml:space="preserve">https://simondongxiao.github.io/odds/v4/</x:t>
        </x:is>
      </x:c>
      <x:c r="AY940" s="604" t="inlineStr">
        <x:is>
          <x:t xml:space="preserve">V4 Shadow Only；real_money=false；P(EV&gt;0)不是比赛胜率</x:t>
        </x:is>
      </x:c>
    </x:row>
    <x:row r="941" ht="22" customHeight="1">
      <x:c r="A941" s="604" t="inlineStr">
        <x:is>
          <x:t xml:space="preserve">2026-10-04</x:t>
        </x:is>
      </x:c>
      <x:c r="B941" s="604" t="inlineStr">
        <x:is>
          <x:t xml:space="preserve">2026-10-04 22:00</x:t>
        </x:is>
      </x:c>
      <x:c r="C941" s="604" t="str">
        <x:v>欧洲非五大系列</x:v>
      </x:c>
      <x:c r="D941" s="604" t="inlineStr">
        <x:is>
          <x:t xml:space="preserve">联赛</x:t>
        </x:is>
      </x:c>
      <x:c r="E941" s="604" t="inlineStr">
        <x:is>
          <x:t xml:space="preserve">捷丙</x:t>
        </x:is>
      </x:c>
      <x:c r="F941" s="604" t="inlineStr">
        <x:is>
          <x:t xml:space="preserve">渥恩斯多夫 vs 利巴域B队</x:t>
        </x:is>
      </x:c>
      <x:c r="G941" s="604" t="n">
        <x:v>0.9399999999999999</x:v>
      </x:c>
      <x:c r="H941" s="604" t="n">
        <x:v>0</x:v>
      </x:c>
      <x:c r="I941" s="604" t="n">
        <x:v>0.76</x:v>
      </x:c>
      <x:c r="J941" s="604" t="inlineStr">
        <x:is>
          <x:t xml:space="preserve">0.94/0/0.76</x:t>
        </x:is>
      </x:c>
      <x:c r="K941" s="604" t="inlineStr">
        <x:is>
          <x:t xml:space="preserve">V4-C｜EV +0.0137</x:t>
        </x:is>
      </x:c>
      <x:c r="L941" s="604" t="str"/>
      <x:c r="M941" s="604" t="n">
        <x:v>0.5225266076723087</x:v>
      </x:c>
      <x:c r="N941" s="604" t="inlineStr">
        <x:is>
          <x:t xml:space="preserve">V4纸面入选-C</x:t>
        </x:is>
      </x:c>
      <x:c r="O941" s="604" t="inlineStr">
        <x:is>
          <x:t xml:space="preserve">1-1</x:t>
        </x:is>
      </x:c>
      <x:c r="P941" s="604" t="inlineStr">
        <x:is>
          <x:t xml:space="preserve">已结算</x:t>
        </x:is>
      </x:c>
      <x:c r="Q941" s="647" t="inlineStr">
        <x:is>
          <x:t xml:space="preserve">走</x:t>
        </x:is>
      </x:c>
      <x:c r="R941" s="604" t="n">
        <x:v>0.76</x:v>
      </x:c>
      <x:c r="S941" s="604" t="n">
        <x:f>IF(OR(Q941="",Q941="待结算"),"",IF(Q941="红",R941,IF(Q941="半红",R941*0.5,IF(Q941="走",0,IF(Q941="半黑",-0.5,-1)))))</x:f>
        <x:v>0</x:v>
      </x:c>
      <x:c r="T941" s="604" t="inlineStr">
        <x:is>
          <x:t xml:space="preserve">https://m.titan007.com/analy/Analysis/3009517.htm</x:t>
        </x:is>
      </x:c>
      <x:c r="U941" s="647" t="str">
        <x:f>IF(Q941="","",IF(Q941="待结算","待结算",IF(Q941="红","黑",IF(Q941="半红","半黑",IF(Q941="走","走",IF(Q941="半黑","半红","红"))))))</x:f>
        <x:v>走</x:v>
      </x:c>
      <x:c r="V941" s="604" t="n">
        <x:f>IF(OR(Q941="",Q941="待结算"),"",IF(L941=LEFT(F941,FIND(" vs ",F941)-1),I941,G941))</x:f>
        <x:v>0.94</x:v>
      </x:c>
      <x:c r="W941" s="604" t="n">
        <x:f>IF(OR(U941="",U941="待结算"),"",IF(U941="红",V941,IF(U941="半红",V941*0.5,IF(U941="走",0,IF(U941="半黑",-0.5,-1)))))</x:f>
        <x:v>0</x:v>
      </x:c>
      <x:c r="X941" s="604" t="inlineStr">
        <x:is>
          <x:t xml:space="preserve">3009517</x:t>
        </x:is>
      </x:c>
      <x:c r="Y941" s="604" t="inlineStr">
        <x:is>
          <x:t xml:space="preserve">V4</x:t>
        </x:is>
      </x:c>
      <x:c r="Z941" s="604" t="inlineStr">
        <x:is>
          <x:t xml:space="preserve">prior-2026-10-04-v1</x:t>
        </x:is>
      </x:c>
      <x:c r="AA941" s="604" t="inlineStr">
        <x:is>
          <x:t xml:space="preserve">C</x:t>
        </x:is>
      </x:c>
      <x:c r="AB941" s="604" t="n">
        <x:v>0.5225266076723087</x:v>
      </x:c>
      <x:c r="AC941" s="604" t="n"/>
      <x:c r="AD941" s="604" t="n"/>
      <x:c r="AE941" s="604" t="n"/>
      <x:c r="AF941" s="604" t="n">
        <x:v>0.4774733923276912</x:v>
      </x:c>
      <x:c r="AG941" s="604" t="n">
        <x:v>0.01370161888427901</x:v>
      </x:c>
      <x:c r="AH941" s="604" t="n"/>
      <x:c r="AI941" s="604" t="n"/>
      <x:c r="AJ941" s="604" t="n">
        <x:v>0.01370161888427901</x:v>
      </x:c>
      <x:c r="AK941" s="604" t="n"/>
      <x:c r="AL941" s="604" t="n"/>
      <x:c r="AM941" s="604" t="n"/>
      <x:c r="AN941" s="604" t="inlineStr">
        <x:is>
          <x:t xml:space="preserve">EVALUATED</x:t>
        </x:is>
      </x:c>
      <x:c r="AO941" s="604" t="inlineStr">
        <x:is>
          <x:t xml:space="preserve">EDGE_BELOW_UNCERTAINTY_THRESHOLD、BUCKET_PRIOR_ONLY、INTENT_INTERPRETATION_ONLY、FFL_OPTIONAL、EXPERT_MARKET</x:t>
        </x:is>
      </x:c>
      <x:c r="AP941" s="604" t="inlineStr">
        <x:is>
          <x:t xml:space="preserve">66c3394ef09ce4aaa2a4</x:t>
        </x:is>
      </x:c>
      <x:c r="AQ941" s="604" t="n">
        <x:v>0</x:v>
      </x:c>
      <x:c r="AR941" s="604" t="n"/>
      <x:c r="AS941" s="604" t="n">
        <x:v>0</x:v>
      </x:c>
      <x:c r="AT941" s="604" t="n">
        <x:v>0</x:v>
      </x:c>
      <x:c r="AU941" s="604" t="n">
        <x:v>0.9399999999999999</x:v>
      </x:c>
      <x:c r="AV941" s="604" t="n">
        <x:v>0.76</x:v>
      </x:c>
      <x:c r="AW941" s="604" t="n">
        <x:v>46299.08204853009</x:v>
      </x:c>
      <x:c r="AX941" s="604" t="inlineStr">
        <x:is>
          <x:t xml:space="preserve">https://simondongxiao.github.io/odds/v4/</x:t>
        </x:is>
      </x:c>
      <x:c r="AY941" s="604" t="inlineStr">
        <x:is>
          <x:t xml:space="preserve">V4 Shadow Only；real_money=false；P(EV&gt;0)不是比赛胜率</x:t>
        </x:is>
      </x:c>
    </x:row>
    <x:row r="942" ht="22" customHeight="1">
      <x:c r="A942" s="604" t="inlineStr">
        <x:is>
          <x:t xml:space="preserve">2026-10-04</x:t>
        </x:is>
      </x:c>
      <x:c r="B942" s="604" t="inlineStr">
        <x:is>
          <x:t xml:space="preserve">2026-10-04 22:00</x:t>
        </x:is>
      </x:c>
      <x:c r="C942" s="604" t="str">
        <x:v>五大联赛非顶级联赛</x:v>
      </x:c>
      <x:c r="D942" s="604" t="inlineStr">
        <x:is>
          <x:t xml:space="preserve">联赛</x:t>
        </x:is>
      </x:c>
      <x:c r="E942" s="604" t="inlineStr">
        <x:is>
          <x:t xml:space="preserve">西丁</x:t>
        </x:is>
      </x:c>
      <x:c r="F942" s="604" t="inlineStr">
        <x:is>
          <x:t xml:space="preserve">莱万特体育会 vs 克维伦特</x:t>
        </x:is>
      </x:c>
      <x:c r="G942" s="604" t="n">
        <x:v>0.77</x:v>
      </x:c>
      <x:c r="H942" s="604" t="n">
        <x:v>0.75</x:v>
      </x:c>
      <x:c r="I942" s="604" t="n">
        <x:v>0.93</x:v>
      </x:c>
      <x:c r="J942" s="604" t="inlineStr">
        <x:is>
          <x:t xml:space="preserve">0.77/0.75/0.93</x:t>
        </x:is>
      </x:c>
      <x:c r="K942" s="604" t="inlineStr">
        <x:is>
          <x:t xml:space="preserve">V4-C｜EV +0.1007</x:t>
        </x:is>
      </x:c>
      <x:c r="L942" s="604" t="inlineStr">
        <x:is>
          <x:t xml:space="preserve">莱万特体育会</x:t>
        </x:is>
      </x:c>
      <x:c r="M942" s="604" t="n">
        <x:v>0.6302825145775393</x:v>
      </x:c>
      <x:c r="N942" s="604" t="inlineStr">
        <x:is>
          <x:t xml:space="preserve">V4纸面入选-C</x:t>
        </x:is>
      </x:c>
      <x:c r="O942" s="604" t="inlineStr">
        <x:is>
          <x:t xml:space="preserve">0-0</x:t>
        </x:is>
      </x:c>
      <x:c r="P942" s="604" t="inlineStr">
        <x:is>
          <x:t xml:space="preserve">已结算</x:t>
        </x:is>
      </x:c>
      <x:c r="Q942" s="646" t="inlineStr">
        <x:is>
          <x:t xml:space="preserve">黑</x:t>
        </x:is>
      </x:c>
      <x:c r="R942" s="604" t="n">
        <x:v>0.77</x:v>
      </x:c>
      <x:c r="S942" s="604" t="n">
        <x:f>IF(OR(Q942="",Q942="待结算"),"",IF(Q942="红",R942,IF(Q942="半红",R942*0.5,IF(Q942="走",0,IF(Q942="半黑",-0.5,-1)))))</x:f>
        <x:v>-1</x:v>
      </x:c>
      <x:c r="T942" s="604" t="inlineStr">
        <x:is>
          <x:t xml:space="preserve">https://m.titan007.com/analy/Analysis/3079930.htm</x:t>
        </x:is>
      </x:c>
      <x:c r="U942" s="645" t="str">
        <x:f>IF(Q942="","",IF(Q942="待结算","待结算",IF(Q942="红","黑",IF(Q942="半红","半黑",IF(Q942="走","走",IF(Q942="半黑","半红","红"))))))</x:f>
        <x:v>红</x:v>
      </x:c>
      <x:c r="V942" s="604" t="n">
        <x:f>IF(OR(Q942="",Q942="待结算"),"",IF(L942=LEFT(F942,FIND(" vs ",F942)-1),I942,G942))</x:f>
        <x:v>0.93</x:v>
      </x:c>
      <x:c r="W942" s="604" t="n">
        <x:f>IF(OR(U942="",U942="待结算"),"",IF(U942="红",V942,IF(U942="半红",V942*0.5,IF(U942="走",0,IF(U942="半黑",-0.5,-1)))))</x:f>
        <x:v>0.93</x:v>
      </x:c>
      <x:c r="X942" s="604" t="inlineStr">
        <x:is>
          <x:t xml:space="preserve">3079930</x:t>
        </x:is>
      </x:c>
      <x:c r="Y942" s="604" t="inlineStr">
        <x:is>
          <x:t xml:space="preserve">V4</x:t>
        </x:is>
      </x:c>
      <x:c r="Z942" s="604" t="inlineStr">
        <x:is>
          <x:t xml:space="preserve">prior-2026-10-04-v1</x:t>
        </x:is>
      </x:c>
      <x:c r="AA942" s="604" t="inlineStr">
        <x:is>
          <x:t xml:space="preserve">C</x:t>
        </x:is>
      </x:c>
      <x:c r="AB942" s="604" t="n">
        <x:v>0.420759417050056</x:v>
      </x:c>
      <x:c r="AC942" s="604" t="n">
        <x:v>0.2570390047786015</x:v>
      </x:c>
      <x:c r="AD942" s="604" t="n"/>
      <x:c r="AE942" s="604" t="n"/>
      <x:c r="AF942" s="604" t="n">
        <x:v>0.3222015781713425</x:v>
      </x:c>
      <x:c r="AG942" s="604" t="n">
        <x:v>0.1007431897969622</x:v>
      </x:c>
      <x:c r="AH942" s="604" t="n"/>
      <x:c r="AI942" s="604" t="n"/>
      <x:c r="AJ942" s="604" t="n">
        <x:v>0.1007431897969622</x:v>
      </x:c>
      <x:c r="AK942" s="604" t="n"/>
      <x:c r="AL942" s="604" t="n"/>
      <x:c r="AM942" s="604" t="n"/>
      <x:c r="AN942" s="604" t="inlineStr">
        <x:is>
          <x:t xml:space="preserve">EVALUATED</x:t>
        </x:is>
      </x:c>
      <x:c r="AO942" s="604" t="inlineStr">
        <x:is>
          <x:t xml:space="preserve">GIVING_VALIDATED_EDGE、BUCKET_PRIOR_ONLY、INTENT_INTERPRETATION_ONLY、FFL_OPTIONAL、EXPERT_MARKET</x:t>
        </x:is>
      </x:c>
      <x:c r="AP942" s="604" t="inlineStr">
        <x:is>
          <x:t xml:space="preserve">7dd95df492bf50b34750</x:t>
        </x:is>
      </x:c>
      <x:c r="AQ942" s="604" t="n">
        <x:v>-0.75</x:v>
      </x:c>
      <x:c r="AR942" s="604" t="n">
        <x:v>0.77</x:v>
      </x:c>
      <x:c r="AS942" s="604" t="n">
        <x:v>0.75</x:v>
      </x:c>
      <x:c r="AT942" s="604" t="n">
        <x:v>-0.75</x:v>
      </x:c>
      <x:c r="AU942" s="604" t="n">
        <x:v>0.77</x:v>
      </x:c>
      <x:c r="AV942" s="604" t="n">
        <x:v>0.93</x:v>
      </x:c>
      <x:c r="AW942" s="604" t="n">
        <x:v>46299.08204853009</x:v>
      </x:c>
      <x:c r="AX942" s="604" t="inlineStr">
        <x:is>
          <x:t xml:space="preserve">https://simondongxiao.github.io/odds/v4/</x:t>
        </x:is>
      </x:c>
      <x:c r="AY942" s="604" t="inlineStr">
        <x:is>
          <x:t xml:space="preserve">V4 Shadow Only；real_money=false；P(EV&gt;0)不是比赛胜率</x:t>
        </x:is>
      </x:c>
    </x:row>
    <x:row r="943" ht="22" customHeight="1">
      <x:c r="A943" s="604" t="inlineStr">
        <x:is>
          <x:t xml:space="preserve">2026-10-04</x:t>
        </x:is>
      </x:c>
      <x:c r="B943" s="604" t="inlineStr">
        <x:is>
          <x:t xml:space="preserve">2026-10-04 22:00</x:t>
        </x:is>
      </x:c>
      <x:c r="C943" s="604" t="str">
        <x:v>欧洲非五大系列</x:v>
      </x:c>
      <x:c r="D943" s="604" t="inlineStr">
        <x:is>
          <x:t xml:space="preserve">联赛</x:t>
        </x:is>
      </x:c>
      <x:c r="E943" s="604" t="inlineStr">
        <x:is>
          <x:t xml:space="preserve">冰女超冠</x:t>
        </x:is>
      </x:c>
      <x:c r="F943" s="604" t="inlineStr">
        <x:is>
          <x:t xml:space="preserve">贝雷达比历克女足 vs 图罗杜尔女足</x:t>
        </x:is>
      </x:c>
      <x:c r="G943" s="604" t="n">
        <x:v>0.9</x:v>
      </x:c>
      <x:c r="H943" s="604" t="n">
        <x:v>0</x:v>
      </x:c>
      <x:c r="I943" s="604" t="n">
        <x:v>0.8</x:v>
      </x:c>
      <x:c r="J943" s="604" t="inlineStr">
        <x:is>
          <x:t xml:space="preserve">0.9/0/0.8</x:t>
        </x:is>
      </x:c>
      <x:c r="K943" s="604" t="inlineStr">
        <x:is>
          <x:t xml:space="preserve">V4-C｜EV +0.0510</x:t>
        </x:is>
      </x:c>
      <x:c r="L943" s="604" t="str"/>
      <x:c r="M943" s="604" t="n">
        <x:v>0.5568766615227749</x:v>
      </x:c>
      <x:c r="N943" s="604" t="inlineStr">
        <x:is>
          <x:t xml:space="preserve">V4纸面入选-C</x:t>
        </x:is>
      </x:c>
      <x:c r="O943" s="604" t="inlineStr">
        <x:is>
          <x:t xml:space="preserve">5-4</x:t>
        </x:is>
      </x:c>
      <x:c r="P943" s="604" t="inlineStr">
        <x:is>
          <x:t xml:space="preserve">已结算</x:t>
        </x:is>
      </x:c>
      <x:c r="Q943" s="645" t="inlineStr">
        <x:is>
          <x:t xml:space="preserve">红</x:t>
        </x:is>
      </x:c>
      <x:c r="R943" s="604" t="n">
        <x:v>0.8</x:v>
      </x:c>
      <x:c r="S943" s="604" t="n">
        <x:f>IF(OR(Q943="",Q943="待结算"),"",IF(Q943="红",R943,IF(Q943="半红",R943*0.5,IF(Q943="走",0,IF(Q943="半黑",-0.5,-1)))))</x:f>
        <x:v>0.8</x:v>
      </x:c>
      <x:c r="T943" s="604" t="inlineStr">
        <x:is>
          <x:t xml:space="preserve">https://m.titan007.com/analy/Analysis/3089782.htm</x:t>
        </x:is>
      </x:c>
      <x:c r="U943" s="646" t="str">
        <x:f>IF(Q943="","",IF(Q943="待结算","待结算",IF(Q943="红","黑",IF(Q943="半红","半黑",IF(Q943="走","走",IF(Q943="半黑","半红","红"))))))</x:f>
        <x:v>黑</x:v>
      </x:c>
      <x:c r="V943" s="604" t="n">
        <x:f>IF(OR(Q943="",Q943="待结算"),"",IF(L943=LEFT(F943,FIND(" vs ",F943)-1),I943,G943))</x:f>
        <x:v>0.9</x:v>
      </x:c>
      <x:c r="W943" s="604" t="n">
        <x:f>IF(OR(U943="",U943="待结算"),"",IF(U943="红",V943,IF(U943="半红",V943*0.5,IF(U943="走",0,IF(U943="半黑",-0.5,-1)))))</x:f>
        <x:v>-1</x:v>
      </x:c>
      <x:c r="X943" s="604" t="inlineStr">
        <x:is>
          <x:t xml:space="preserve">3089782</x:t>
        </x:is>
      </x:c>
      <x:c r="Y943" s="604" t="inlineStr">
        <x:is>
          <x:t xml:space="preserve">V4</x:t>
        </x:is>
      </x:c>
      <x:c r="Z943" s="604" t="inlineStr">
        <x:is>
          <x:t xml:space="preserve">prior-2026-10-04-v1</x:t>
        </x:is>
      </x:c>
      <x:c r="AA943" s="604" t="inlineStr">
        <x:is>
          <x:t xml:space="preserve">C</x:t>
        </x:is>
      </x:c>
      <x:c r="AB943" s="604" t="n">
        <x:v>0.3671753879020312</x:v>
      </x:c>
      <x:c r="AC943" s="604" t="n">
        <x:v>0.2436946719147265</x:v>
      </x:c>
      <x:c r="AD943" s="604" t="n"/>
      <x:c r="AE943" s="604" t="n"/>
      <x:c r="AF943" s="604" t="n">
        <x:v>0.3891299401832422</x:v>
      </x:c>
      <x:c r="AG943" s="604" t="n">
        <x:v>0.05099051129021281</x:v>
      </x:c>
      <x:c r="AH943" s="604" t="n"/>
      <x:c r="AI943" s="604" t="n"/>
      <x:c r="AJ943" s="604" t="n">
        <x:v>0.05099051129021281</x:v>
      </x:c>
      <x:c r="AK943" s="604" t="n"/>
      <x:c r="AL943" s="604" t="n"/>
      <x:c r="AM943" s="604" t="n"/>
      <x:c r="AN943" s="604" t="inlineStr">
        <x:is>
          <x:t xml:space="preserve">EVALUATED</x:t>
        </x:is>
      </x:c>
      <x:c r="AO943" s="604" t="inlineStr">
        <x:is>
          <x:t xml:space="preserve">EDGE_BELOW_UNCERTAINTY_THRESHOLD、BUCKET_PRIOR_ONLY、INTENT_INTERPRETATION_ONLY、FFL_OPTIONAL、EXPERT_MARKET</x:t>
        </x:is>
      </x:c>
      <x:c r="AP943" s="604" t="inlineStr">
        <x:is>
          <x:t xml:space="preserve">8fa80bf4e44aebaef5cd</x:t>
        </x:is>
      </x:c>
      <x:c r="AQ943" s="604" t="n">
        <x:v>0</x:v>
      </x:c>
      <x:c r="AR943" s="604" t="n"/>
      <x:c r="AS943" s="604" t="n">
        <x:v>0</x:v>
      </x:c>
      <x:c r="AT943" s="604" t="n">
        <x:v>0</x:v>
      </x:c>
      <x:c r="AU943" s="604" t="n">
        <x:v>0.9</x:v>
      </x:c>
      <x:c r="AV943" s="604" t="n">
        <x:v>0.8</x:v>
      </x:c>
      <x:c r="AW943" s="604" t="n">
        <x:v>46299.08204853009</x:v>
      </x:c>
      <x:c r="AX943" s="604" t="inlineStr">
        <x:is>
          <x:t xml:space="preserve">https://simondongxiao.github.io/odds/v4/</x:t>
        </x:is>
      </x:c>
      <x:c r="AY943" s="604" t="inlineStr">
        <x:is>
          <x:t xml:space="preserve">V4 Shadow Only；real_money=false；P(EV&gt;0)不是比赛胜率</x:t>
        </x:is>
      </x:c>
    </x:row>
    <x:row r="944" ht="22" customHeight="1">
      <x:c r="A944" s="604" t="inlineStr">
        <x:is>
          <x:t xml:space="preserve">2026-10-04</x:t>
        </x:is>
      </x:c>
      <x:c r="B944" s="604" t="inlineStr">
        <x:is>
          <x:t xml:space="preserve">2026-10-04 22:00</x:t>
        </x:is>
      </x:c>
      <x:c r="C944" s="604" t="str">
        <x:v>欧洲非五大系列</x:v>
      </x:c>
      <x:c r="D944" s="604" t="inlineStr">
        <x:is>
          <x:t xml:space="preserve">联赛</x:t>
        </x:is>
      </x:c>
      <x:c r="E944" s="604" t="inlineStr">
        <x:is>
          <x:t xml:space="preserve">冰女超冠</x:t>
        </x:is>
      </x:c>
      <x:c r="F944" s="604" t="inlineStr">
        <x:is>
          <x:t xml:space="preserve">哈夫纳夫约杜尔女足 vs 韦斯特曼纳埃亚尔女足</x:t>
        </x:is>
      </x:c>
      <x:c r="G944" s="604" t="n">
        <x:v>0.8</x:v>
      </x:c>
      <x:c r="H944" s="604" t="n">
        <x:v>0</x:v>
      </x:c>
      <x:c r="I944" s="604" t="n">
        <x:v>0.9</x:v>
      </x:c>
      <x:c r="J944" s="604" t="inlineStr">
        <x:is>
          <x:t xml:space="preserve">0.8/0/0.9</x:t>
        </x:is>
      </x:c>
      <x:c r="K944" s="604" t="inlineStr">
        <x:is>
          <x:t xml:space="preserve">V4-C｜EV +0.0487</x:t>
        </x:is>
      </x:c>
      <x:c r="L944" s="604" t="str"/>
      <x:c r="M944" s="604" t="n">
        <x:v>0.5864135271670374</x:v>
      </x:c>
      <x:c r="N944" s="604" t="inlineStr">
        <x:is>
          <x:t xml:space="preserve">V4纸面入选-C</x:t>
        </x:is>
      </x:c>
      <x:c r="O944" s="604" t="inlineStr">
        <x:is>
          <x:t xml:space="preserve">5-0</x:t>
        </x:is>
      </x:c>
      <x:c r="P944" s="604" t="inlineStr">
        <x:is>
          <x:t xml:space="preserve">已结算</x:t>
        </x:is>
      </x:c>
      <x:c r="Q944" s="645" t="inlineStr">
        <x:is>
          <x:t xml:space="preserve">红</x:t>
        </x:is>
      </x:c>
      <x:c r="R944" s="604" t="n">
        <x:v>0.9</x:v>
      </x:c>
      <x:c r="S944" s="604" t="n">
        <x:f>IF(OR(Q944="",Q944="待结算"),"",IF(Q944="红",R944,IF(Q944="半红",R944*0.5,IF(Q944="走",0,IF(Q944="半黑",-0.5,-1)))))</x:f>
        <x:v>0.9</x:v>
      </x:c>
      <x:c r="T944" s="604" t="inlineStr">
        <x:is>
          <x:t xml:space="preserve">https://m.titan007.com/analy/Analysis/3089783.htm</x:t>
        </x:is>
      </x:c>
      <x:c r="U944" s="646" t="str">
        <x:f>IF(Q944="","",IF(Q944="待结算","待结算",IF(Q944="红","黑",IF(Q944="半红","半黑",IF(Q944="走","走",IF(Q944="半黑","半红","红"))))))</x:f>
        <x:v>黑</x:v>
      </x:c>
      <x:c r="V944" s="604" t="n">
        <x:f>IF(OR(Q944="",Q944="待结算"),"",IF(L944=LEFT(F944,FIND(" vs ",F944)-1),I944,G944))</x:f>
        <x:v>0.8</x:v>
      </x:c>
      <x:c r="W944" s="604" t="n">
        <x:f>IF(OR(U944="",U944="待结算"),"",IF(U944="红",V944,IF(U944="半红",V944*0.5,IF(U944="走",0,IF(U944="半黑",-0.5,-1)))))</x:f>
        <x:v>-1</x:v>
      </x:c>
      <x:c r="X944" s="604" t="inlineStr">
        <x:is>
          <x:t xml:space="preserve">3089783</x:t>
        </x:is>
      </x:c>
      <x:c r="Y944" s="604" t="inlineStr">
        <x:is>
          <x:t xml:space="preserve">V4</x:t>
        </x:is>
      </x:c>
      <x:c r="Z944" s="604" t="inlineStr">
        <x:is>
          <x:t xml:space="preserve">prior-2026-10-04-v1</x:t>
        </x:is>
      </x:c>
      <x:c r="AA944" s="604" t="inlineStr">
        <x:is>
          <x:t xml:space="preserve">C</x:t>
        </x:is>
      </x:c>
      <x:c r="AB944" s="604" t="n">
        <x:v>0.391968306185798</x:v>
      </x:c>
      <x:c r="AC944" s="604" t="n">
        <x:v>0.2451381277975774</x:v>
      </x:c>
      <x:c r="AD944" s="604" t="n"/>
      <x:c r="AE944" s="604" t="n"/>
      <x:c r="AF944" s="604" t="n">
        <x:v>0.3628935660166246</x:v>
      </x:c>
      <x:c r="AG944" s="604" t="n">
        <x:v>0.04873633005104483</x:v>
      </x:c>
      <x:c r="AH944" s="604" t="n"/>
      <x:c r="AI944" s="604" t="n"/>
      <x:c r="AJ944" s="604" t="n">
        <x:v>0.04873633005104483</x:v>
      </x:c>
      <x:c r="AK944" s="604" t="n"/>
      <x:c r="AL944" s="604" t="n"/>
      <x:c r="AM944" s="604" t="n"/>
      <x:c r="AN944" s="604" t="inlineStr">
        <x:is>
          <x:t xml:space="preserve">EVALUATED</x:t>
        </x:is>
      </x:c>
      <x:c r="AO944" s="604" t="inlineStr">
        <x:is>
          <x:t xml:space="preserve">EDGE_BELOW_UNCERTAINTY_THRESHOLD、BUCKET_PRIOR_ONLY、INTENT_INTERPRETATION_ONLY、FFL_OPTIONAL、EXPERT_MARKET</x:t>
        </x:is>
      </x:c>
      <x:c r="AP944" s="604" t="inlineStr">
        <x:is>
          <x:t xml:space="preserve">a107d1453f9f65cae5ae</x:t>
        </x:is>
      </x:c>
      <x:c r="AQ944" s="604" t="n">
        <x:v>0</x:v>
      </x:c>
      <x:c r="AR944" s="604" t="n"/>
      <x:c r="AS944" s="604" t="n">
        <x:v>0</x:v>
      </x:c>
      <x:c r="AT944" s="604" t="n">
        <x:v>0</x:v>
      </x:c>
      <x:c r="AU944" s="604" t="n">
        <x:v>0.8</x:v>
      </x:c>
      <x:c r="AV944" s="604" t="n">
        <x:v>0.9</x:v>
      </x:c>
      <x:c r="AW944" s="604" t="n">
        <x:v>46299.08204853009</x:v>
      </x:c>
      <x:c r="AX944" s="604" t="inlineStr">
        <x:is>
          <x:t xml:space="preserve">https://simondongxiao.github.io/odds/v4/</x:t>
        </x:is>
      </x:c>
      <x:c r="AY944" s="604" t="inlineStr">
        <x:is>
          <x:t xml:space="preserve">V4 Shadow Only；real_money=false；P(EV&gt;0)不是比赛胜率</x:t>
        </x:is>
      </x:c>
    </x:row>
    <x:row r="945" ht="22" customHeight="1">
      <x:c r="A945" s="604" t="inlineStr">
        <x:is>
          <x:t xml:space="preserve">2026-10-04</x:t>
        </x:is>
      </x:c>
      <x:c r="B945" s="604" t="inlineStr">
        <x:is>
          <x:t xml:space="preserve">2026-10-04 22:00</x:t>
        </x:is>
      </x:c>
      <x:c r="C945" s="604" t="str">
        <x:v>五大联赛非顶级联赛</x:v>
      </x:c>
      <x:c r="D945" s="604" t="inlineStr">
        <x:is>
          <x:t xml:space="preserve">联赛</x:t>
        </x:is>
      </x:c>
      <x:c r="E945" s="604" t="inlineStr">
        <x:is>
          <x:t xml:space="preserve">德女联</x:t>
        </x:is>
      </x:c>
      <x:c r="F945" s="604" t="inlineStr">
        <x:is>
          <x:t xml:space="preserve">斯图加特女足 vs 柏林联女足</x:t>
        </x:is>
      </x:c>
      <x:c r="G945" s="604" t="n">
        <x:v>0.73</x:v>
      </x:c>
      <x:c r="H945" s="604" t="n">
        <x:v>0</x:v>
      </x:c>
      <x:c r="I945" s="604" t="n">
        <x:v>0.97</x:v>
      </x:c>
      <x:c r="J945" s="604" t="inlineStr">
        <x:is>
          <x:t xml:space="preserve">0.73/0/0.97</x:t>
        </x:is>
      </x:c>
      <x:c r="K945" s="604" t="inlineStr">
        <x:is>
          <x:t xml:space="preserve">V4-C｜EV +0.0081</x:t>
        </x:is>
      </x:c>
      <x:c r="L945" s="604" t="str"/>
      <x:c r="M945" s="604" t="n">
        <x:v>0.4165518836569105</x:v>
      </x:c>
      <x:c r="N945" s="604" t="inlineStr">
        <x:is>
          <x:t xml:space="preserve">V4纸面入选-C</x:t>
        </x:is>
      </x:c>
      <x:c r="O945" s="604" t="inlineStr">
        <x:is>
          <x:t xml:space="preserve">0-4</x:t>
        </x:is>
      </x:c>
      <x:c r="P945" s="604" t="inlineStr">
        <x:is>
          <x:t xml:space="preserve">已结算</x:t>
        </x:is>
      </x:c>
      <x:c r="Q945" s="646" t="inlineStr">
        <x:is>
          <x:t xml:space="preserve">黑</x:t>
        </x:is>
      </x:c>
      <x:c r="R945" s="604" t="n">
        <x:v>0.97</x:v>
      </x:c>
      <x:c r="S945" s="604" t="n">
        <x:f>IF(OR(Q945="",Q945="待结算"),"",IF(Q945="红",R945,IF(Q945="半红",R945*0.5,IF(Q945="走",0,IF(Q945="半黑",-0.5,-1)))))</x:f>
        <x:v>-1</x:v>
      </x:c>
      <x:c r="T945" s="604" t="inlineStr">
        <x:is>
          <x:t xml:space="preserve">https://m.titan007.com/analy/Analysis/3034798.htm</x:t>
        </x:is>
      </x:c>
      <x:c r="U945" s="645" t="str">
        <x:f>IF(Q945="","",IF(Q945="待结算","待结算",IF(Q945="红","黑",IF(Q945="半红","半黑",IF(Q945="走","走",IF(Q945="半黑","半红","红"))))))</x:f>
        <x:v>红</x:v>
      </x:c>
      <x:c r="V945" s="604" t="n">
        <x:f>IF(OR(Q945="",Q945="待结算"),"",IF(L945=LEFT(F945,FIND(" vs ",F945)-1),I945,G945))</x:f>
        <x:v>0.73</x:v>
      </x:c>
      <x:c r="W945" s="604" t="n">
        <x:f>IF(OR(U945="",U945="待结算"),"",IF(U945="红",V945,IF(U945="半红",V945*0.5,IF(U945="走",0,IF(U945="半黑",-0.5,-1)))))</x:f>
        <x:v>0.73</x:v>
      </x:c>
      <x:c r="X945" s="604" t="inlineStr">
        <x:is>
          <x:t xml:space="preserve">3034798</x:t>
        </x:is>
      </x:c>
      <x:c r="Y945" s="604" t="inlineStr">
        <x:is>
          <x:t xml:space="preserve">V4</x:t>
        </x:is>
      </x:c>
      <x:c r="Z945" s="604" t="inlineStr">
        <x:is>
          <x:t xml:space="preserve">prior-2026-10-04-v1</x:t>
        </x:is>
      </x:c>
      <x:c r="AA945" s="604" t="inlineStr">
        <x:is>
          <x:t xml:space="preserve">C</x:t>
        </x:is>
      </x:c>
      <x:c r="AB945" s="604" t="n">
        <x:v>0.3618505775218481</x:v>
      </x:c>
      <x:c r="AC945" s="604" t="n"/>
      <x:c r="AD945" s="604" t="n"/>
      <x:c r="AE945" s="604" t="n">
        <x:v>0.2626386209316325</x:v>
      </x:c>
      <x:c r="AF945" s="604" t="n">
        <x:v>0.3755108015465194</x:v>
      </x:c>
      <x:c r="AG945" s="604" t="n">
        <x:v>0.008135404247156919</x:v>
      </x:c>
      <x:c r="AH945" s="604" t="n"/>
      <x:c r="AI945" s="604" t="n"/>
      <x:c r="AJ945" s="604" t="n">
        <x:v>0.008135404247156919</x:v>
      </x:c>
      <x:c r="AK945" s="604" t="n"/>
      <x:c r="AL945" s="604" t="n"/>
      <x:c r="AM945" s="604" t="n"/>
      <x:c r="AN945" s="604" t="inlineStr">
        <x:is>
          <x:t xml:space="preserve">EVALUATED</x:t>
        </x:is>
      </x:c>
      <x:c r="AO945" s="604" t="inlineStr">
        <x:is>
          <x:t xml:space="preserve">EDGE_BELOW_UNCERTAINTY_THRESHOLD、BUCKET_PRIOR_ONLY、INTENT_INTERPRETATION_ONLY、FFL_OPTIONAL、EXPERT_MARKET</x:t>
        </x:is>
      </x:c>
      <x:c r="AP945" s="604" t="inlineStr">
        <x:is>
          <x:t xml:space="preserve">06a579238dcf413d3d13</x:t>
        </x:is>
      </x:c>
      <x:c r="AQ945" s="604" t="n">
        <x:v>0</x:v>
      </x:c>
      <x:c r="AR945" s="604" t="n"/>
      <x:c r="AS945" s="604" t="n">
        <x:v>0</x:v>
      </x:c>
      <x:c r="AT945" s="604" t="n">
        <x:v>0</x:v>
      </x:c>
      <x:c r="AU945" s="604" t="n">
        <x:v>0.73</x:v>
      </x:c>
      <x:c r="AV945" s="604" t="n">
        <x:v>0.97</x:v>
      </x:c>
      <x:c r="AW945" s="604" t="n">
        <x:v>46299.08204853009</x:v>
      </x:c>
      <x:c r="AX945" s="604" t="inlineStr">
        <x:is>
          <x:t xml:space="preserve">https://simondongxiao.github.io/odds/v4/</x:t>
        </x:is>
      </x:c>
      <x:c r="AY945" s="604" t="inlineStr">
        <x:is>
          <x:t xml:space="preserve">V4 Shadow Only；real_money=false；P(EV&gt;0)不是比赛胜率</x:t>
        </x:is>
      </x:c>
    </x:row>
    <x:row r="946" ht="22" customHeight="1">
      <x:c r="A946" s="604" t="inlineStr">
        <x:is>
          <x:t xml:space="preserve">2026-10-04</x:t>
        </x:is>
      </x:c>
      <x:c r="B946" s="604" t="inlineStr">
        <x:is>
          <x:t xml:space="preserve">2026-10-04 22:15</x:t>
        </x:is>
      </x:c>
      <x:c r="C946" s="604" t="str">
        <x:v>五大联赛非顶级联赛</x:v>
      </x:c>
      <x:c r="D946" s="604" t="inlineStr">
        <x:is>
          <x:t xml:space="preserve">联赛</x:t>
        </x:is>
      </x:c>
      <x:c r="E946" s="604" t="inlineStr">
        <x:is>
          <x:t xml:space="preserve">西乙</x:t>
        </x:is>
      </x:c>
      <x:c r="F946" s="604" t="inlineStr">
        <x:is>
          <x:t xml:space="preserve">希洪竞技 vs 塞尔塔B队</x:t>
        </x:is>
      </x:c>
      <x:c r="G946" s="604" t="n">
        <x:v>0.96</x:v>
      </x:c>
      <x:c r="H946" s="604" t="n">
        <x:v>1</x:v>
      </x:c>
      <x:c r="I946" s="604" t="n">
        <x:v>0.92</x:v>
      </x:c>
      <x:c r="J946" s="604" t="inlineStr">
        <x:is>
          <x:t xml:space="preserve">0.96/1/0.92</x:t>
        </x:is>
      </x:c>
      <x:c r="K946" s="604" t="inlineStr">
        <x:is>
          <x:t xml:space="preserve">V4-B｜EV +0.1637</x:t>
        </x:is>
      </x:c>
      <x:c r="L946" s="604" t="inlineStr">
        <x:is>
          <x:t xml:space="preserve">希洪竞技</x:t>
        </x:is>
      </x:c>
      <x:c r="M946" s="604" t="n">
        <x:v>0.6222331254124814</x:v>
      </x:c>
      <x:c r="N946" s="604" t="inlineStr">
        <x:is>
          <x:t xml:space="preserve">V4纸面入选-B</x:t>
        </x:is>
      </x:c>
      <x:c r="O946" s="604" t="inlineStr">
        <x:is>
          <x:t xml:space="preserve">3-2</x:t>
        </x:is>
      </x:c>
      <x:c r="P946" s="604" t="inlineStr">
        <x:is>
          <x:t xml:space="preserve">已结算</x:t>
        </x:is>
      </x:c>
      <x:c r="Q946" s="647" t="inlineStr">
        <x:is>
          <x:t xml:space="preserve">走</x:t>
        </x:is>
      </x:c>
      <x:c r="R946" s="604" t="n">
        <x:v>0.96</x:v>
      </x:c>
      <x:c r="S946" s="604" t="n">
        <x:f>IF(OR(Q946="",Q946="待结算"),"",IF(Q946="红",R946,IF(Q946="半红",R946*0.5,IF(Q946="走",0,IF(Q946="半黑",-0.5,-1)))))</x:f>
        <x:v>0</x:v>
      </x:c>
      <x:c r="T946" s="604" t="inlineStr">
        <x:is>
          <x:t xml:space="preserve">https://m.titan007.com/analy/Analysis/3014108.htm</x:t>
        </x:is>
      </x:c>
      <x:c r="U946" s="647" t="str">
        <x:f>IF(Q946="","",IF(Q946="待结算","待结算",IF(Q946="红","黑",IF(Q946="半红","半黑",IF(Q946="走","走",IF(Q946="半黑","半红","红"))))))</x:f>
        <x:v>走</x:v>
      </x:c>
      <x:c r="V946" s="604" t="n">
        <x:f>IF(OR(Q946="",Q946="待结算"),"",IF(L946=LEFT(F946,FIND(" vs ",F946)-1),I946,G946))</x:f>
        <x:v>0.92</x:v>
      </x:c>
      <x:c r="W946" s="604" t="n">
        <x:f>IF(OR(U946="",U946="待结算"),"",IF(U946="红",V946,IF(U946="半红",V946*0.5,IF(U946="走",0,IF(U946="半黑",-0.5,-1)))))</x:f>
        <x:v>0</x:v>
      </x:c>
      <x:c r="X946" s="604" t="inlineStr">
        <x:is>
          <x:t xml:space="preserve">3014108</x:t>
        </x:is>
      </x:c>
      <x:c r="Y946" s="604" t="inlineStr">
        <x:is>
          <x:t xml:space="preserve">V4</x:t>
        </x:is>
      </x:c>
      <x:c r="Z946" s="604" t="inlineStr">
        <x:is>
          <x:t xml:space="preserve">prior-2026-10-04-v1</x:t>
        </x:is>
      </x:c>
      <x:c r="AA946" s="604" t="inlineStr">
        <x:is>
          <x:t xml:space="preserve">B</x:t>
        </x:is>
      </x:c>
      <x:c r="AB946" s="604" t="n">
        <x:v>0.4639867510453507</x:v>
      </x:c>
      <x:c r="AC946" s="604" t="n"/>
      <x:c r="AD946" s="604" t="n">
        <x:v>0.254320073786217</x:v>
      </x:c>
      <x:c r="AE946" s="604" t="n"/>
      <x:c r="AF946" s="604" t="n">
        <x:v>0.2816931751684323</x:v>
      </x:c>
      <x:c r="AG946" s="604" t="n">
        <x:v>0.1637341058351043</x:v>
      </x:c>
      <x:c r="AH946" s="604" t="n"/>
      <x:c r="AI946" s="604" t="n"/>
      <x:c r="AJ946" s="604" t="n">
        <x:v>0.1637341058351043</x:v>
      </x:c>
      <x:c r="AK946" s="604" t="n"/>
      <x:c r="AL946" s="604" t="n"/>
      <x:c r="AM946" s="604" t="n"/>
      <x:c r="AN946" s="604" t="inlineStr">
        <x:is>
          <x:t xml:space="preserve">EVALUATED</x:t>
        </x:is>
      </x:c>
      <x:c r="AO946" s="604" t="inlineStr">
        <x:is>
          <x:t xml:space="preserve">GIVING_VALIDATED_EDGE、BUCKET_PRIOR_ONLY、INTENT_INTERPRETATION_ONLY、FFL_OPTIONAL、EXPERT_MARKET</x:t>
        </x:is>
      </x:c>
      <x:c r="AP946" s="604" t="inlineStr">
        <x:is>
          <x:t xml:space="preserve">80d8d3a698a8e5e89796</x:t>
        </x:is>
      </x:c>
      <x:c r="AQ946" s="604" t="n">
        <x:v>-1</x:v>
      </x:c>
      <x:c r="AR946" s="604" t="n">
        <x:v>0.96</x:v>
      </x:c>
      <x:c r="AS946" s="604" t="n">
        <x:v>1</x:v>
      </x:c>
      <x:c r="AT946" s="604" t="n">
        <x:v>-1</x:v>
      </x:c>
      <x:c r="AU946" s="604" t="n">
        <x:v>0.96</x:v>
      </x:c>
      <x:c r="AV946" s="604" t="n">
        <x:v>0.92</x:v>
      </x:c>
      <x:c r="AW946" s="604" t="n">
        <x:v>46299.08204853009</x:v>
      </x:c>
      <x:c r="AX946" s="604" t="inlineStr">
        <x:is>
          <x:t xml:space="preserve">https://simondongxiao.github.io/odds/v4/</x:t>
        </x:is>
      </x:c>
      <x:c r="AY946" s="604" t="inlineStr">
        <x:is>
          <x:t xml:space="preserve">V4 Shadow Only；real_money=false；P(EV&gt;0)不是比赛胜率</x:t>
        </x:is>
      </x:c>
    </x:row>
    <x:row r="947" ht="22" customHeight="1">
      <x:c r="A947" s="604" t="inlineStr">
        <x:is>
          <x:t xml:space="preserve">2026-10-04</x:t>
        </x:is>
      </x:c>
      <x:c r="B947" s="604" t="inlineStr">
        <x:is>
          <x:t xml:space="preserve">2026-10-04 22:30</x:t>
        </x:is>
      </x:c>
      <x:c r="C947" s="604" t="str">
        <x:v>五大联赛非顶级联赛</x:v>
      </x:c>
      <x:c r="D947" s="604" t="inlineStr">
        <x:is>
          <x:t xml:space="preserve">联赛</x:t>
        </x:is>
      </x:c>
      <x:c r="E947" s="604" t="inlineStr">
        <x:is>
          <x:t xml:space="preserve">西协甲</x:t>
        </x:is>
      </x:c>
      <x:c r="F947" s="604" t="inlineStr">
        <x:is>
          <x:t xml:space="preserve">萨莫拉 vs CD科瑞亚</x:t>
        </x:is>
      </x:c>
      <x:c r="G947" s="604" t="n">
        <x:v>0.82</x:v>
      </x:c>
      <x:c r="H947" s="604" t="n">
        <x:v>0.75</x:v>
      </x:c>
      <x:c r="I947" s="604" t="n">
        <x:v>0.88</x:v>
      </x:c>
      <x:c r="J947" s="604" t="inlineStr">
        <x:is>
          <x:t xml:space="preserve">0.82/0.75/0.88</x:t>
        </x:is>
      </x:c>
      <x:c r="K947" s="604" t="inlineStr">
        <x:is>
          <x:t xml:space="preserve">V4-C｜EV +0.0639</x:t>
        </x:is>
      </x:c>
      <x:c r="L947" s="604" t="inlineStr">
        <x:is>
          <x:t xml:space="preserve">萨莫拉</x:t>
        </x:is>
      </x:c>
      <x:c r="M947" s="604" t="n">
        <x:v>0.5897703918733328</x:v>
      </x:c>
      <x:c r="N947" s="604" t="inlineStr">
        <x:is>
          <x:t xml:space="preserve">V4纸面入选-C</x:t>
        </x:is>
      </x:c>
      <x:c r="O947" s="604" t="inlineStr">
        <x:is>
          <x:t xml:space="preserve">2-0</x:t>
        </x:is>
      </x:c>
      <x:c r="P947" s="604" t="inlineStr">
        <x:is>
          <x:t xml:space="preserve">已结算</x:t>
        </x:is>
      </x:c>
      <x:c r="Q947" s="645" t="inlineStr">
        <x:is>
          <x:t xml:space="preserve">红</x:t>
        </x:is>
      </x:c>
      <x:c r="R947" s="604" t="n">
        <x:v>0.82</x:v>
      </x:c>
      <x:c r="S947" s="604" t="n">
        <x:f>IF(OR(Q947="",Q947="待结算"),"",IF(Q947="红",R947,IF(Q947="半红",R947*0.5,IF(Q947="走",0,IF(Q947="半黑",-0.5,-1)))))</x:f>
        <x:v>0.82</x:v>
      </x:c>
      <x:c r="T947" s="604" t="inlineStr">
        <x:is>
          <x:t xml:space="preserve">https://m.titan007.com/analy/Analysis/3014543.htm</x:t>
        </x:is>
      </x:c>
      <x:c r="U947" s="646" t="str">
        <x:f>IF(Q947="","",IF(Q947="待结算","待结算",IF(Q947="红","黑",IF(Q947="半红","半黑",IF(Q947="走","走",IF(Q947="半黑","半红","红"))))))</x:f>
        <x:v>黑</x:v>
      </x:c>
      <x:c r="V947" s="604" t="n">
        <x:f>IF(OR(Q947="",Q947="待结算"),"",IF(L947=LEFT(F947,FIND(" vs ",F947)-1),I947,G947))</x:f>
        <x:v>0.88</x:v>
      </x:c>
      <x:c r="W947" s="604" t="n">
        <x:f>IF(OR(U947="",U947="待结算"),"",IF(U947="红",V947,IF(U947="半红",V947*0.5,IF(U947="走",0,IF(U947="半黑",-0.5,-1)))))</x:f>
        <x:v>-1</x:v>
      </x:c>
      <x:c r="X947" s="604" t="inlineStr">
        <x:is>
          <x:t xml:space="preserve">3014543</x:t>
        </x:is>
      </x:c>
      <x:c r="Y947" s="604" t="inlineStr">
        <x:is>
          <x:t xml:space="preserve">V4</x:t>
        </x:is>
      </x:c>
      <x:c r="Z947" s="604" t="inlineStr">
        <x:is>
          <x:t xml:space="preserve">prior-2026-10-04-v1</x:t>
        </x:is>
      </x:c>
      <x:c r="AA947" s="604" t="inlineStr">
        <x:is>
          <x:t xml:space="preserve">C</x:t>
        </x:is>
      </x:c>
      <x:c r="AB947" s="604" t="n">
        <x:v>0.3854087644355992</x:v>
      </x:c>
      <x:c r="AC947" s="604" t="n">
        <x:v>0.2570957774561654</x:v>
      </x:c>
      <x:c r="AD947" s="604" t="n"/>
      <x:c r="AE947" s="604" t="n"/>
      <x:c r="AF947" s="604" t="n">
        <x:v>0.3574954581082355</x:v>
      </x:c>
      <x:c r="AG947" s="604" t="n">
        <x:v>0.06394899748598359</x:v>
      </x:c>
      <x:c r="AH947" s="604" t="n"/>
      <x:c r="AI947" s="604" t="n"/>
      <x:c r="AJ947" s="604" t="n">
        <x:v>0.06394899748598359</x:v>
      </x:c>
      <x:c r="AK947" s="604" t="n"/>
      <x:c r="AL947" s="604" t="n"/>
      <x:c r="AM947" s="604" t="n"/>
      <x:c r="AN947" s="604" t="inlineStr">
        <x:is>
          <x:t xml:space="preserve">EVALUATED</x:t>
        </x:is>
      </x:c>
      <x:c r="AO947" s="604" t="inlineStr">
        <x:is>
          <x:t xml:space="preserve">GIVING_VALIDATED_EDGE、BUCKET_PRIOR_ONLY、INTENT_INTERPRETATION_ONLY、FFL_OPTIONAL、EXPERT_MARKET</x:t>
        </x:is>
      </x:c>
      <x:c r="AP947" s="604" t="inlineStr">
        <x:is>
          <x:t xml:space="preserve">b1505fdc4c27dfa0a958</x:t>
        </x:is>
      </x:c>
      <x:c r="AQ947" s="604" t="n">
        <x:v>-0.75</x:v>
      </x:c>
      <x:c r="AR947" s="604" t="n">
        <x:v>0.82</x:v>
      </x:c>
      <x:c r="AS947" s="604" t="n">
        <x:v>0.75</x:v>
      </x:c>
      <x:c r="AT947" s="604" t="n">
        <x:v>-0.75</x:v>
      </x:c>
      <x:c r="AU947" s="604" t="n">
        <x:v>0.82</x:v>
      </x:c>
      <x:c r="AV947" s="604" t="n">
        <x:v>0.88</x:v>
      </x:c>
      <x:c r="AW947" s="604" t="n">
        <x:v>46299.08204853009</x:v>
      </x:c>
      <x:c r="AX947" s="604" t="inlineStr">
        <x:is>
          <x:t xml:space="preserve">https://simondongxiao.github.io/odds/v4/</x:t>
        </x:is>
      </x:c>
      <x:c r="AY947" s="604" t="inlineStr">
        <x:is>
          <x:t xml:space="preserve">V4 Shadow Only；real_money=false；P(EV&gt;0)不是比赛胜率</x:t>
        </x:is>
      </x:c>
    </x:row>
    <x:row r="948" ht="22" customHeight="1">
      <x:c r="A948" s="604" t="inlineStr">
        <x:is>
          <x:t xml:space="preserve">2026-10-04</x:t>
        </x:is>
      </x:c>
      <x:c r="B948" s="604" t="inlineStr">
        <x:is>
          <x:t xml:space="preserve">2026-10-04 22:30</x:t>
        </x:is>
      </x:c>
      <x:c r="C948" s="604" t="str">
        <x:v>五大联赛非顶级联赛</x:v>
      </x:c>
      <x:c r="D948" s="604" t="inlineStr">
        <x:is>
          <x:t xml:space="preserve">联赛</x:t>
        </x:is>
      </x:c>
      <x:c r="E948" s="604" t="inlineStr">
        <x:is>
          <x:t xml:space="preserve">西丁</x:t>
        </x:is>
      </x:c>
      <x:c r="F948" s="604" t="inlineStr">
        <x:is>
          <x:t xml:space="preserve">CD 加拉帕加尔 vs 卡拉波苏埃洛</x:t>
        </x:is>
      </x:c>
      <x:c r="G948" s="604" t="n">
        <x:v>0.83</x:v>
      </x:c>
      <x:c r="H948" s="604" t="n">
        <x:v>0</x:v>
      </x:c>
      <x:c r="I948" s="604" t="n">
        <x:v>0.87</x:v>
      </x:c>
      <x:c r="J948" s="604" t="inlineStr">
        <x:is>
          <x:t xml:space="preserve">0.83/0/0.87</x:t>
        </x:is>
      </x:c>
      <x:c r="K948" s="604" t="inlineStr">
        <x:is>
          <x:t xml:space="preserve">V4-C｜EV +0.0099</x:t>
        </x:is>
      </x:c>
      <x:c r="L948" s="604" t="str"/>
      <x:c r="M948" s="604" t="n">
        <x:v>0.552668260455601</x:v>
      </x:c>
      <x:c r="N948" s="604" t="inlineStr">
        <x:is>
          <x:t xml:space="preserve">V4纸面入选-C</x:t>
        </x:is>
      </x:c>
      <x:c r="O948" s="604" t="inlineStr">
        <x:is>
          <x:t xml:space="preserve">1-3</x:t>
        </x:is>
      </x:c>
      <x:c r="P948" s="604" t="inlineStr">
        <x:is>
          <x:t xml:space="preserve">已结算</x:t>
        </x:is>
      </x:c>
      <x:c r="Q948" s="646" t="inlineStr">
        <x:is>
          <x:t xml:space="preserve">黑</x:t>
        </x:is>
      </x:c>
      <x:c r="R948" s="604" t="n">
        <x:v>0.87</x:v>
      </x:c>
      <x:c r="S948" s="604" t="n">
        <x:f>IF(OR(Q948="",Q948="待结算"),"",IF(Q948="红",R948,IF(Q948="半红",R948*0.5,IF(Q948="走",0,IF(Q948="半黑",-0.5,-1)))))</x:f>
        <x:v>-1</x:v>
      </x:c>
      <x:c r="T948" s="604" t="inlineStr">
        <x:is>
          <x:t xml:space="preserve">https://m.titan007.com/analy/Analysis/3078074.htm</x:t>
        </x:is>
      </x:c>
      <x:c r="U948" s="645" t="str">
        <x:f>IF(Q948="","",IF(Q948="待结算","待结算",IF(Q948="红","黑",IF(Q948="半红","半黑",IF(Q948="走","走",IF(Q948="半黑","半红","红"))))))</x:f>
        <x:v>红</x:v>
      </x:c>
      <x:c r="V948" s="604" t="n">
        <x:f>IF(OR(Q948="",Q948="待结算"),"",IF(L948=LEFT(F948,FIND(" vs ",F948)-1),I948,G948))</x:f>
        <x:v>0.83</x:v>
      </x:c>
      <x:c r="W948" s="604" t="n">
        <x:f>IF(OR(U948="",U948="待结算"),"",IF(U948="红",V948,IF(U948="半红",V948*0.5,IF(U948="走",0,IF(U948="半黑",-0.5,-1)))))</x:f>
        <x:v>0.83</x:v>
      </x:c>
      <x:c r="X948" s="604" t="inlineStr">
        <x:is>
          <x:t xml:space="preserve">3078074</x:t>
        </x:is>
      </x:c>
      <x:c r="Y948" s="604" t="inlineStr">
        <x:is>
          <x:t xml:space="preserve">V4</x:t>
        </x:is>
      </x:c>
      <x:c r="Z948" s="604" t="inlineStr">
        <x:is>
          <x:t xml:space="preserve">prior-2026-10-04-v1</x:t>
        </x:is>
      </x:c>
      <x:c r="AA948" s="604" t="inlineStr">
        <x:is>
          <x:t xml:space="preserve">C</x:t>
        </x:is>
      </x:c>
      <x:c r="AB948" s="604" t="n">
        <x:v>0.4820582687264341</x:v>
      </x:c>
      <x:c r="AC948" s="604" t="n"/>
      <x:c r="AD948" s="604" t="n"/>
      <x:c r="AE948" s="604" t="n">
        <x:v>0.2555239617739524</x:v>
      </x:c>
      <x:c r="AF948" s="604" t="n">
        <x:v>0.2624177694996134</x:v>
      </x:c>
      <x:c r="AG948" s="604" t="n">
        <x:v>0.009928612656350699</x:v>
      </x:c>
      <x:c r="AH948" s="604" t="n"/>
      <x:c r="AI948" s="604" t="n"/>
      <x:c r="AJ948" s="604" t="n">
        <x:v>0.009928612656350699</x:v>
      </x:c>
      <x:c r="AK948" s="604" t="n"/>
      <x:c r="AL948" s="604" t="n"/>
      <x:c r="AM948" s="604" t="n"/>
      <x:c r="AN948" s="604" t="inlineStr">
        <x:is>
          <x:t xml:space="preserve">EVALUATED</x:t>
        </x:is>
      </x:c>
      <x:c r="AO948" s="604" t="inlineStr">
        <x:is>
          <x:t xml:space="preserve">EDGE_BELOW_UNCERTAINTY_THRESHOLD、BUCKET_PRIOR_ONLY、INTENT_INTERPRETATION_ONLY、FFL_OPTIONAL、EXPERT_MARKET</x:t>
        </x:is>
      </x:c>
      <x:c r="AP948" s="604" t="inlineStr">
        <x:is>
          <x:t xml:space="preserve">47afd9960a5636b81561</x:t>
        </x:is>
      </x:c>
      <x:c r="AQ948" s="604" t="n">
        <x:v>0</x:v>
      </x:c>
      <x:c r="AR948" s="604" t="n"/>
      <x:c r="AS948" s="604" t="n">
        <x:v>0</x:v>
      </x:c>
      <x:c r="AT948" s="604" t="n">
        <x:v>0</x:v>
      </x:c>
      <x:c r="AU948" s="604" t="n">
        <x:v>0.83</x:v>
      </x:c>
      <x:c r="AV948" s="604" t="n">
        <x:v>0.87</x:v>
      </x:c>
      <x:c r="AW948" s="604" t="n">
        <x:v>46299.08204853009</x:v>
      </x:c>
      <x:c r="AX948" s="604" t="inlineStr">
        <x:is>
          <x:t xml:space="preserve">https://simondongxiao.github.io/odds/v4/</x:t>
        </x:is>
      </x:c>
      <x:c r="AY948" s="604" t="inlineStr">
        <x:is>
          <x:t xml:space="preserve">V4 Shadow Only；real_money=false；P(EV&gt;0)不是比赛胜率</x:t>
        </x:is>
      </x:c>
    </x:row>
    <x:row r="949" ht="22" customHeight="1">
      <x:c r="A949" s="604" t="inlineStr">
        <x:is>
          <x:t xml:space="preserve">2026-10-04</x:t>
        </x:is>
      </x:c>
      <x:c r="B949" s="604" t="inlineStr">
        <x:is>
          <x:t xml:space="preserve">2026-10-04 22:45</x:t>
        </x:is>
      </x:c>
      <x:c r="C949" s="604" t="str">
        <x:v>欧洲非五大系列</x:v>
      </x:c>
      <x:c r="D949" s="604" t="inlineStr">
        <x:is>
          <x:t xml:space="preserve">联赛</x:t>
        </x:is>
      </x:c>
      <x:c r="E949" s="604" t="inlineStr">
        <x:is>
          <x:t xml:space="preserve">荷女甲</x:t>
        </x:is>
      </x:c>
      <x:c r="F949" s="604" t="inlineStr">
        <x:is>
          <x:t xml:space="preserve">ADO海牙女足 vs PSV埃因霍温女足</x:t>
        </x:is>
      </x:c>
      <x:c r="G949" s="604" t="n">
        <x:v>0.92</x:v>
      </x:c>
      <x:c r="H949" s="604" t="n">
        <x:v>-2</x:v>
      </x:c>
      <x:c r="I949" s="604" t="n">
        <x:v>0.78</x:v>
      </x:c>
      <x:c r="J949" s="604" t="inlineStr">
        <x:is>
          <x:t xml:space="preserve">0.92/-2/0.78</x:t>
        </x:is>
      </x:c>
      <x:c r="K949" s="604" t="inlineStr">
        <x:is>
          <x:t xml:space="preserve">V4-B｜EV +0.9198</x:t>
        </x:is>
      </x:c>
      <x:c r="L949" s="604" t="inlineStr">
        <x:is>
          <x:t xml:space="preserve">ADO海牙女足</x:t>
        </x:is>
      </x:c>
      <x:c r="M949" s="604" t="n">
        <x:v>0.9999944855816512</x:v>
      </x:c>
      <x:c r="N949" s="604" t="inlineStr">
        <x:is>
          <x:t xml:space="preserve">V4纸面入选-B</x:t>
        </x:is>
      </x:c>
      <x:c r="O949" s="604" t="inlineStr">
        <x:is>
          <x:t xml:space="preserve">0-3</x:t>
        </x:is>
      </x:c>
      <x:c r="P949" s="604" t="inlineStr">
        <x:is>
          <x:t xml:space="preserve">已结算</x:t>
        </x:is>
      </x:c>
      <x:c r="Q949" s="646" t="inlineStr">
        <x:is>
          <x:t xml:space="preserve">黑</x:t>
        </x:is>
      </x:c>
      <x:c r="R949" s="604" t="n">
        <x:v>0.92</x:v>
      </x:c>
      <x:c r="S949" s="604" t="n">
        <x:f>IF(OR(Q949="",Q949="待结算"),"",IF(Q949="红",R949,IF(Q949="半红",R949*0.5,IF(Q949="走",0,IF(Q949="半黑",-0.5,-1)))))</x:f>
        <x:v>-1</x:v>
      </x:c>
      <x:c r="T949" s="604" t="inlineStr">
        <x:is>
          <x:t xml:space="preserve">https://m.titan007.com/analy/Analysis/3017418.htm</x:t>
        </x:is>
      </x:c>
      <x:c r="U949" s="645" t="str">
        <x:f>IF(Q949="","",IF(Q949="待结算","待结算",IF(Q949="红","黑",IF(Q949="半红","半黑",IF(Q949="走","走",IF(Q949="半黑","半红","红"))))))</x:f>
        <x:v>红</x:v>
      </x:c>
      <x:c r="V949" s="604" t="n">
        <x:f>IF(OR(Q949="",Q949="待结算"),"",IF(L949=LEFT(F949,FIND(" vs ",F949)-1),I949,G949))</x:f>
        <x:v>0.78</x:v>
      </x:c>
      <x:c r="W949" s="604" t="n">
        <x:f>IF(OR(U949="",U949="待结算"),"",IF(U949="红",V949,IF(U949="半红",V949*0.5,IF(U949="走",0,IF(U949="半黑",-0.5,-1)))))</x:f>
        <x:v>0.78</x:v>
      </x:c>
      <x:c r="X949" s="604" t="inlineStr">
        <x:is>
          <x:t xml:space="preserve">3017418</x:t>
        </x:is>
      </x:c>
      <x:c r="Y949" s="604" t="inlineStr">
        <x:is>
          <x:t xml:space="preserve">V4</x:t>
        </x:is>
      </x:c>
      <x:c r="Z949" s="604" t="inlineStr">
        <x:is>
          <x:t xml:space="preserve">prior-2026-10-04-v1</x:t>
        </x:is>
      </x:c>
      <x:c r="AA949" s="604" t="inlineStr">
        <x:is>
          <x:t xml:space="preserve">B</x:t>
        </x:is>
      </x:c>
      <x:c r="AB949" s="604" t="n">
        <x:v>0.9997881585056012</x:v>
      </x:c>
      <x:c r="AC949" s="604" t="n"/>
      <x:c r="AD949" s="604" t="n">
        <x:v>0.0002063282138301276</x:v>
      </x:c>
      <x:c r="AE949" s="604" t="n"/>
      <x:c r="AF949" s="604" t="n">
        <x:v>5.513280568701121e-06</x:v>
      </x:c>
      <x:c r="AG949" s="604" t="n">
        <x:v>0.9197995925445844</x:v>
      </x:c>
      <x:c r="AH949" s="604" t="n"/>
      <x:c r="AI949" s="604" t="n"/>
      <x:c r="AJ949" s="604" t="n">
        <x:v>0.9197995925445844</x:v>
      </x:c>
      <x:c r="AK949" s="604" t="n"/>
      <x:c r="AL949" s="604" t="n"/>
      <x:c r="AM949" s="604" t="n"/>
      <x:c r="AN949" s="604" t="inlineStr">
        <x:is>
          <x:t xml:space="preserve">EVALUATED</x:t>
        </x:is>
      </x:c>
      <x:c r="AO949" s="604" t="inlineStr">
        <x:is>
          <x:t xml:space="preserve">RECEIVING_VALIDATED_EDGE、BUCKET_PRIOR_ONLY、INTENT_INTERPRETATION_ONLY、FFL_OPTIONAL、EXPERT_MARKET</x:t>
        </x:is>
      </x:c>
      <x:c r="AP949" s="604" t="inlineStr">
        <x:is>
          <x:t xml:space="preserve">12df68f2d03fac787de7</x:t>
        </x:is>
      </x:c>
      <x:c r="AQ949" s="604" t="n">
        <x:v>2</x:v>
      </x:c>
      <x:c r="AR949" s="604" t="n">
        <x:v>0.92</x:v>
      </x:c>
      <x:c r="AS949" s="604" t="n">
        <x:v>-2</x:v>
      </x:c>
      <x:c r="AT949" s="604" t="n">
        <x:v>2</x:v>
      </x:c>
      <x:c r="AU949" s="604" t="n">
        <x:v>0.92</x:v>
      </x:c>
      <x:c r="AV949" s="604" t="n">
        <x:v>0.78</x:v>
      </x:c>
      <x:c r="AW949" s="604" t="n">
        <x:v>46299.08204853009</x:v>
      </x:c>
      <x:c r="AX949" s="604" t="inlineStr">
        <x:is>
          <x:t xml:space="preserve">https://simondongxiao.github.io/odds/v4/</x:t>
        </x:is>
      </x:c>
      <x:c r="AY949" s="604" t="inlineStr">
        <x:is>
          <x:t xml:space="preserve">V4 Shadow Only；real_money=false；P(EV&gt;0)不是比赛胜率</x:t>
        </x:is>
      </x:c>
    </x:row>
    <x:row r="950" ht="22" customHeight="1">
      <x:c r="A950" s="604" t="inlineStr">
        <x:is>
          <x:t xml:space="preserve">2026-10-04</x:t>
        </x:is>
      </x:c>
      <x:c r="B950" s="604" t="inlineStr">
        <x:is>
          <x:t xml:space="preserve">2026-10-04 22:45</x:t>
        </x:is>
      </x:c>
      <x:c r="C950" s="604" t="str">
        <x:v>欧洲非五大系列</x:v>
      </x:c>
      <x:c r="D950" s="604" t="inlineStr">
        <x:is>
          <x:t xml:space="preserve">联赛</x:t>
        </x:is>
      </x:c>
      <x:c r="E950" s="604" t="inlineStr">
        <x:is>
          <x:t xml:space="preserve">荷女甲</x:t>
        </x:is>
      </x:c>
      <x:c r="F950" s="604" t="inlineStr">
        <x:is>
          <x:t xml:space="preserve">费耶诺德女足 vs 阿贾克斯女足</x:t>
        </x:is>
      </x:c>
      <x:c r="G950" s="604" t="n">
        <x:v>0.8</x:v>
      </x:c>
      <x:c r="H950" s="604" t="n">
        <x:v>-1</x:v>
      </x:c>
      <x:c r="I950" s="604" t="n">
        <x:v>0.9</x:v>
      </x:c>
      <x:c r="J950" s="604" t="inlineStr">
        <x:is>
          <x:t xml:space="preserve">0.8/-1/0.9</x:t>
        </x:is>
      </x:c>
      <x:c r="K950" s="604" t="inlineStr">
        <x:is>
          <x:t xml:space="preserve">V4-B｜EV +0.7004</x:t>
        </x:is>
      </x:c>
      <x:c r="L950" s="604" t="inlineStr">
        <x:is>
          <x:t xml:space="preserve">费耶诺德女足</x:t>
        </x:is>
      </x:c>
      <x:c r="M950" s="604" t="n">
        <x:v>0.975651711570643</x:v>
      </x:c>
      <x:c r="N950" s="604" t="inlineStr">
        <x:is>
          <x:t xml:space="preserve">V4纸面入选-B</x:t>
        </x:is>
      </x:c>
      <x:c r="O950" s="604" t="inlineStr">
        <x:is>
          <x:t xml:space="preserve">1-4</x:t>
        </x:is>
      </x:c>
      <x:c r="P950" s="604" t="inlineStr">
        <x:is>
          <x:t xml:space="preserve">已结算</x:t>
        </x:is>
      </x:c>
      <x:c r="Q950" s="646" t="inlineStr">
        <x:is>
          <x:t xml:space="preserve">黑</x:t>
        </x:is>
      </x:c>
      <x:c r="R950" s="604" t="n">
        <x:v>0.8</x:v>
      </x:c>
      <x:c r="S950" s="604" t="n">
        <x:f>IF(OR(Q950="",Q950="待结算"),"",IF(Q950="红",R950,IF(Q950="半红",R950*0.5,IF(Q950="走",0,IF(Q950="半黑",-0.5,-1)))))</x:f>
        <x:v>-1</x:v>
      </x:c>
      <x:c r="T950" s="604" t="inlineStr">
        <x:is>
          <x:t xml:space="preserve">https://m.titan007.com/analy/Analysis/3017419.htm</x:t>
        </x:is>
      </x:c>
      <x:c r="U950" s="645" t="str">
        <x:f>IF(Q950="","",IF(Q950="待结算","待结算",IF(Q950="红","黑",IF(Q950="半红","半黑",IF(Q950="走","走",IF(Q950="半黑","半红","红"))))))</x:f>
        <x:v>红</x:v>
      </x:c>
      <x:c r="V950" s="604" t="n">
        <x:f>IF(OR(Q950="",Q950="待结算"),"",IF(L950=LEFT(F950,FIND(" vs ",F950)-1),I950,G950))</x:f>
        <x:v>0.9</x:v>
      </x:c>
      <x:c r="W950" s="604" t="n">
        <x:f>IF(OR(U950="",U950="待结算"),"",IF(U950="红",V950,IF(U950="半红",V950*0.5,IF(U950="走",0,IF(U950="半黑",-0.5,-1)))))</x:f>
        <x:v>0.9</x:v>
      </x:c>
      <x:c r="X950" s="604" t="inlineStr">
        <x:is>
          <x:t xml:space="preserve">3017419</x:t>
        </x:is>
      </x:c>
      <x:c r="Y950" s="604" t="inlineStr">
        <x:is>
          <x:t xml:space="preserve">V4</x:t>
        </x:is>
      </x:c>
      <x:c r="Z950" s="604" t="inlineStr">
        <x:is>
          <x:t xml:space="preserve">prior-2026-10-04-v1</x:t>
        </x:is>
      </x:c>
      <x:c r="AA950" s="604" t="inlineStr">
        <x:is>
          <x:t xml:space="preserve">B</x:t>
        </x:is>
      </x:c>
      <x:c r="AB950" s="604" t="n">
        <x:v>0.9036474000852717</x:v>
      </x:c>
      <x:c r="AC950" s="604" t="n"/>
      <x:c r="AD950" s="604" t="n">
        <x:v>0.07380124549718249</x:v>
      </x:c>
      <x:c r="AE950" s="604" t="n"/>
      <x:c r="AF950" s="604" t="n">
        <x:v>0.02255135441754583</x:v>
      </x:c>
      <x:c r="AG950" s="604" t="n">
        <x:v>0.7003665656506716</x:v>
      </x:c>
      <x:c r="AH950" s="604" t="n"/>
      <x:c r="AI950" s="604" t="n"/>
      <x:c r="AJ950" s="604" t="n">
        <x:v>0.7003665656506716</x:v>
      </x:c>
      <x:c r="AK950" s="604" t="n"/>
      <x:c r="AL950" s="604" t="n"/>
      <x:c r="AM950" s="604" t="n"/>
      <x:c r="AN950" s="604" t="inlineStr">
        <x:is>
          <x:t xml:space="preserve">EVALUATED</x:t>
        </x:is>
      </x:c>
      <x:c r="AO950" s="604" t="inlineStr">
        <x:is>
          <x:t xml:space="preserve">RECEIVING_VALIDATED_EDGE、BUCKET_PRIOR_ONLY、INTENT_INTERPRETATION_ONLY、FFL_OPTIONAL、EXPERT_MARKET</x:t>
        </x:is>
      </x:c>
      <x:c r="AP950" s="604" t="inlineStr">
        <x:is>
          <x:t xml:space="preserve">0e4e1e206a6ea8c27f2b</x:t>
        </x:is>
      </x:c>
      <x:c r="AQ950" s="604" t="n">
        <x:v>1</x:v>
      </x:c>
      <x:c r="AR950" s="604" t="n">
        <x:v>0.8</x:v>
      </x:c>
      <x:c r="AS950" s="604" t="n">
        <x:v>-1</x:v>
      </x:c>
      <x:c r="AT950" s="604" t="n">
        <x:v>1</x:v>
      </x:c>
      <x:c r="AU950" s="604" t="n">
        <x:v>0.8</x:v>
      </x:c>
      <x:c r="AV950" s="604" t="n">
        <x:v>0.9</x:v>
      </x:c>
      <x:c r="AW950" s="604" t="n">
        <x:v>46299.08204853009</x:v>
      </x:c>
      <x:c r="AX950" s="604" t="inlineStr">
        <x:is>
          <x:t xml:space="preserve">https://simondongxiao.github.io/odds/v4/</x:t>
        </x:is>
      </x:c>
      <x:c r="AY950" s="604" t="inlineStr">
        <x:is>
          <x:t xml:space="preserve">V4 Shadow Only；real_money=false；P(EV&gt;0)不是比赛胜率</x:t>
        </x:is>
      </x:c>
    </x:row>
    <x:row r="951" ht="22" customHeight="1">
      <x:c r="A951" s="604" t="inlineStr">
        <x:is>
          <x:t xml:space="preserve">2026-10-04</x:t>
        </x:is>
      </x:c>
      <x:c r="B951" s="604" t="inlineStr">
        <x:is>
          <x:t xml:space="preserve">2026-10-04 23:00</x:t>
        </x:is>
      </x:c>
      <x:c r="C951" s="604" t="str">
        <x:v>五大联赛非顶级联赛</x:v>
      </x:c>
      <x:c r="D951" s="604" t="inlineStr">
        <x:is>
          <x:t xml:space="preserve">联赛</x:t>
        </x:is>
      </x:c>
      <x:c r="E951" s="604" t="inlineStr">
        <x:is>
          <x:t xml:space="preserve">西协乙4</x:t>
        </x:is>
      </x:c>
      <x:c r="F951" s="604" t="inlineStr">
        <x:is>
          <x:t xml:space="preserve">马贝尔拉 vs 皇家贝蒂斯B队</x:t>
        </x:is>
      </x:c>
      <x:c r="G951" s="604" t="n">
        <x:v>0.73</x:v>
      </x:c>
      <x:c r="H951" s="604" t="n">
        <x:v>-0.25</x:v>
      </x:c>
      <x:c r="I951" s="604" t="n">
        <x:v>0.97</x:v>
      </x:c>
      <x:c r="J951" s="604" t="inlineStr">
        <x:is>
          <x:t xml:space="preserve">0.73/-0.25/0.97</x:t>
        </x:is>
      </x:c>
      <x:c r="K951" s="604" t="inlineStr">
        <x:is>
          <x:t xml:space="preserve">V4-B｜EV +0.1604</x:t>
        </x:is>
      </x:c>
      <x:c r="L951" s="604" t="inlineStr">
        <x:is>
          <x:t xml:space="preserve">马贝尔拉</x:t>
        </x:is>
      </x:c>
      <x:c r="M951" s="604" t="n">
        <x:v>0.6844505452316806</x:v>
      </x:c>
      <x:c r="N951" s="604" t="inlineStr">
        <x:is>
          <x:t xml:space="preserve">V4纸面入选-B</x:t>
        </x:is>
      </x:c>
      <x:c r="O951" s="604" t="inlineStr">
        <x:is>
          <x:t xml:space="preserve">0-2</x:t>
        </x:is>
      </x:c>
      <x:c r="P951" s="604" t="inlineStr">
        <x:is>
          <x:t xml:space="preserve">已结算</x:t>
        </x:is>
      </x:c>
      <x:c r="Q951" s="646" t="inlineStr">
        <x:is>
          <x:t xml:space="preserve">黑</x:t>
        </x:is>
      </x:c>
      <x:c r="R951" s="604" t="n">
        <x:v>0.73</x:v>
      </x:c>
      <x:c r="S951" s="604" t="n">
        <x:f>IF(OR(Q951="",Q951="待结算"),"",IF(Q951="红",R951,IF(Q951="半红",R951*0.5,IF(Q951="走",0,IF(Q951="半黑",-0.5,-1)))))</x:f>
        <x:v>-1</x:v>
      </x:c>
      <x:c r="T951" s="604" t="inlineStr">
        <x:is>
          <x:t xml:space="preserve">https://m.titan007.com/analy/Analysis/3082989.htm</x:t>
        </x:is>
      </x:c>
      <x:c r="U951" s="645" t="str">
        <x:f>IF(Q951="","",IF(Q951="待结算","待结算",IF(Q951="红","黑",IF(Q951="半红","半黑",IF(Q951="走","走",IF(Q951="半黑","半红","红"))))))</x:f>
        <x:v>红</x:v>
      </x:c>
      <x:c r="V951" s="604" t="n">
        <x:f>IF(OR(Q951="",Q951="待结算"),"",IF(L951=LEFT(F951,FIND(" vs ",F951)-1),I951,G951))</x:f>
        <x:v>0.97</x:v>
      </x:c>
      <x:c r="W951" s="604" t="n">
        <x:f>IF(OR(U951="",U951="待结算"),"",IF(U951="红",V951,IF(U951="半红",V951*0.5,IF(U951="走",0,IF(U951="半黑",-0.5,-1)))))</x:f>
        <x:v>0.97</x:v>
      </x:c>
      <x:c r="X951" s="604" t="inlineStr">
        <x:is>
          <x:t xml:space="preserve">3082989</x:t>
        </x:is>
      </x:c>
      <x:c r="Y951" s="604" t="inlineStr">
        <x:is>
          <x:t xml:space="preserve">V4</x:t>
        </x:is>
      </x:c>
      <x:c r="Z951" s="604" t="inlineStr">
        <x:is>
          <x:t xml:space="preserve">prior-2026-10-04-v1</x:t>
        </x:is>
      </x:c>
      <x:c r="AA951" s="604" t="inlineStr">
        <x:is>
          <x:t xml:space="preserve">B</x:t>
        </x:is>
      </x:c>
      <x:c r="AB951" s="604" t="n">
        <x:v>0.4671856219751561</x:v>
      </x:c>
      <x:c r="AC951" s="604" t="n">
        <x:v>0.2579653334098231</x:v>
      </x:c>
      <x:c r="AD951" s="604" t="n"/>
      <x:c r="AE951" s="604" t="n"/>
      <x:c r="AF951" s="604" t="n">
        <x:v>0.2748490446150207</x:v>
      </x:c>
      <x:c r="AG951" s="604" t="n">
        <x:v>0.1603538061214286</x:v>
      </x:c>
      <x:c r="AH951" s="604" t="n"/>
      <x:c r="AI951" s="604" t="n"/>
      <x:c r="AJ951" s="604" t="n">
        <x:v>0.1603538061214286</x:v>
      </x:c>
      <x:c r="AK951" s="604" t="n"/>
      <x:c r="AL951" s="604" t="n"/>
      <x:c r="AM951" s="604" t="n"/>
      <x:c r="AN951" s="604" t="inlineStr">
        <x:is>
          <x:t xml:space="preserve">EVALUATED</x:t>
        </x:is>
      </x:c>
      <x:c r="AO951" s="604" t="inlineStr">
        <x:is>
          <x:t xml:space="preserve">RECEIVING_VALIDATED_EDGE、BUCKET_PRIOR_ONLY、INTENT_INTERPRETATION_ONLY、FFL_OPTIONAL、EXPERT_MARKET</x:t>
        </x:is>
      </x:c>
      <x:c r="AP951" s="604" t="inlineStr">
        <x:is>
          <x:t xml:space="preserve">c0dc99edbc8cdb72f25f</x:t>
        </x:is>
      </x:c>
      <x:c r="AQ951" s="604" t="n">
        <x:v>0.25</x:v>
      </x:c>
      <x:c r="AR951" s="604" t="n">
        <x:v>0.73</x:v>
      </x:c>
      <x:c r="AS951" s="604" t="n">
        <x:v>-0.25</x:v>
      </x:c>
      <x:c r="AT951" s="604" t="n">
        <x:v>0.25</x:v>
      </x:c>
      <x:c r="AU951" s="604" t="n">
        <x:v>0.73</x:v>
      </x:c>
      <x:c r="AV951" s="604" t="n">
        <x:v>0.97</x:v>
      </x:c>
      <x:c r="AW951" s="604" t="n">
        <x:v>46299.08204853009</x:v>
      </x:c>
      <x:c r="AX951" s="604" t="inlineStr">
        <x:is>
          <x:t xml:space="preserve">https://simondongxiao.github.io/odds/v4/</x:t>
        </x:is>
      </x:c>
      <x:c r="AY951" s="604" t="inlineStr">
        <x:is>
          <x:t xml:space="preserve">V4 Shadow Only；real_money=false；P(EV&gt;0)不是比赛胜率</x:t>
        </x:is>
      </x:c>
    </x:row>
    <x:row r="952" ht="22" customHeight="1">
      <x:c r="A952" s="604" t="inlineStr">
        <x:is>
          <x:t xml:space="preserve">2026-10-04</x:t>
        </x:is>
      </x:c>
      <x:c r="B952" s="604" t="inlineStr">
        <x:is>
          <x:t xml:space="preserve">2026-10-04 23:00</x:t>
        </x:is>
      </x:c>
      <x:c r="C952" s="604" t="str">
        <x:v>五大联赛非顶级联赛</x:v>
      </x:c>
      <x:c r="D952" s="604" t="inlineStr">
        <x:is>
          <x:t xml:space="preserve">联赛</x:t>
        </x:is>
      </x:c>
      <x:c r="E952" s="604" t="inlineStr">
        <x:is>
          <x:t xml:space="preserve">西协乙2</x:t>
        </x:is>
      </x:c>
      <x:c r="F952" s="604" t="inlineStr">
        <x:is>
          <x:t xml:space="preserve">阿尔内多 vs 伊波罗</x:t>
        </x:is>
      </x:c>
      <x:c r="G952" s="604" t="n">
        <x:v>0.84</x:v>
      </x:c>
      <x:c r="H952" s="604" t="n">
        <x:v>-1</x:v>
      </x:c>
      <x:c r="I952" s="604" t="n">
        <x:v>0.86</x:v>
      </x:c>
      <x:c r="J952" s="604" t="inlineStr">
        <x:is>
          <x:t xml:space="preserve">0.84/-1/0.86</x:t>
        </x:is>
      </x:c>
      <x:c r="K952" s="604" t="inlineStr">
        <x:is>
          <x:t xml:space="preserve">V4-B｜EV +0.7852</x:t>
        </x:is>
      </x:c>
      <x:c r="L952" s="604" t="inlineStr">
        <x:is>
          <x:t xml:space="preserve">阿尔内多</x:t>
        </x:is>
      </x:c>
      <x:c r="M952" s="604" t="n">
        <x:v>0.9903216156254491</x:v>
      </x:c>
      <x:c r="N952" s="604" t="inlineStr">
        <x:is>
          <x:t xml:space="preserve">V4纸面入选-B</x:t>
        </x:is>
      </x:c>
      <x:c r="O952" s="604" t="inlineStr">
        <x:is>
          <x:t xml:space="preserve">1-2</x:t>
        </x:is>
      </x:c>
      <x:c r="P952" s="604" t="inlineStr">
        <x:is>
          <x:t xml:space="preserve">已结算</x:t>
        </x:is>
      </x:c>
      <x:c r="Q952" s="647" t="inlineStr">
        <x:is>
          <x:t xml:space="preserve">走</x:t>
        </x:is>
      </x:c>
      <x:c r="R952" s="604" t="n">
        <x:v>0.84</x:v>
      </x:c>
      <x:c r="S952" s="604" t="n">
        <x:f>IF(OR(Q952="",Q952="待结算"),"",IF(Q952="红",R952,IF(Q952="半红",R952*0.5,IF(Q952="走",0,IF(Q952="半黑",-0.5,-1)))))</x:f>
        <x:v>0</x:v>
      </x:c>
      <x:c r="T952" s="604" t="inlineStr">
        <x:is>
          <x:t xml:space="preserve">https://m.titan007.com/analy/Analysis/3083292.htm</x:t>
        </x:is>
      </x:c>
      <x:c r="U952" s="647" t="str">
        <x:f>IF(Q952="","",IF(Q952="待结算","待结算",IF(Q952="红","黑",IF(Q952="半红","半黑",IF(Q952="走","走",IF(Q952="半黑","半红","红"))))))</x:f>
        <x:v>走</x:v>
      </x:c>
      <x:c r="V952" s="604" t="n">
        <x:f>IF(OR(Q952="",Q952="待结算"),"",IF(L952=LEFT(F952,FIND(" vs ",F952)-1),I952,G952))</x:f>
        <x:v>0.86</x:v>
      </x:c>
      <x:c r="W952" s="604" t="n">
        <x:f>IF(OR(U952="",U952="待结算"),"",IF(U952="红",V952,IF(U952="半红",V952*0.5,IF(U952="走",0,IF(U952="半黑",-0.5,-1)))))</x:f>
        <x:v>0</x:v>
      </x:c>
      <x:c r="X952" s="604" t="inlineStr">
        <x:is>
          <x:t xml:space="preserve">3083292</x:t>
        </x:is>
      </x:c>
      <x:c r="Y952" s="604" t="inlineStr">
        <x:is>
          <x:t xml:space="preserve">V4</x:t>
        </x:is>
      </x:c>
      <x:c r="Z952" s="604" t="inlineStr">
        <x:is>
          <x:t xml:space="preserve">prior-2026-10-04-v1</x:t>
        </x:is>
      </x:c>
      <x:c r="AA952" s="604" t="inlineStr">
        <x:is>
          <x:t xml:space="preserve">B</x:t>
        </x:is>
      </x:c>
      <x:c r="AB952" s="604" t="n">
        <x:v>0.9457188655485194</x:v>
      </x:c>
      <x:c r="AC952" s="604" t="n"/>
      <x:c r="AD952" s="604" t="n">
        <x:v>0.04503865145744626</x:v>
      </x:c>
      <x:c r="AE952" s="604" t="n"/>
      <x:c r="AF952" s="604" t="n">
        <x:v>0.009242482994034275</x:v>
      </x:c>
      <x:c r="AG952" s="604" t="n">
        <x:v>0.785161364066722</x:v>
      </x:c>
      <x:c r="AH952" s="604" t="n"/>
      <x:c r="AI952" s="604" t="n"/>
      <x:c r="AJ952" s="604" t="n">
        <x:v>0.785161364066722</x:v>
      </x:c>
      <x:c r="AK952" s="604" t="n"/>
      <x:c r="AL952" s="604" t="n"/>
      <x:c r="AM952" s="604" t="n"/>
      <x:c r="AN952" s="604" t="inlineStr">
        <x:is>
          <x:t xml:space="preserve">EVALUATED</x:t>
        </x:is>
      </x:c>
      <x:c r="AO952" s="604" t="inlineStr">
        <x:is>
          <x:t xml:space="preserve">RECEIVING_VALIDATED_EDGE、BUCKET_PRIOR_ONLY、INTENT_INTERPRETATION_ONLY、FFL_OPTIONAL、EXPERT_MARKET</x:t>
        </x:is>
      </x:c>
      <x:c r="AP952" s="604" t="inlineStr">
        <x:is>
          <x:t xml:space="preserve">3f72562b30eee74bfc9c</x:t>
        </x:is>
      </x:c>
      <x:c r="AQ952" s="604" t="n">
        <x:v>1</x:v>
      </x:c>
      <x:c r="AR952" s="604" t="n">
        <x:v>0.84</x:v>
      </x:c>
      <x:c r="AS952" s="604" t="n">
        <x:v>-1</x:v>
      </x:c>
      <x:c r="AT952" s="604" t="n">
        <x:v>1</x:v>
      </x:c>
      <x:c r="AU952" s="604" t="n">
        <x:v>0.84</x:v>
      </x:c>
      <x:c r="AV952" s="604" t="n">
        <x:v>0.86</x:v>
      </x:c>
      <x:c r="AW952" s="604" t="n">
        <x:v>46299.08204853009</x:v>
      </x:c>
      <x:c r="AX952" s="604" t="inlineStr">
        <x:is>
          <x:t xml:space="preserve">https://simondongxiao.github.io/odds/v4/</x:t>
        </x:is>
      </x:c>
      <x:c r="AY952" s="604" t="inlineStr">
        <x:is>
          <x:t xml:space="preserve">V4 Shadow Only；real_money=false；P(EV&gt;0)不是比赛胜率</x:t>
        </x:is>
      </x:c>
    </x:row>
    <x:row r="953" ht="22" customHeight="1">
      <x:c r="A953" s="604" t="inlineStr">
        <x:is>
          <x:t xml:space="preserve">2026-10-04</x:t>
        </x:is>
      </x:c>
      <x:c r="B953" s="604" t="inlineStr">
        <x:is>
          <x:t xml:space="preserve">2026-10-04 23:00</x:t>
        </x:is>
      </x:c>
      <x:c r="C953" s="604" t="str">
        <x:v>五大联赛非顶级联赛</x:v>
      </x:c>
      <x:c r="D953" s="604" t="inlineStr">
        <x:is>
          <x:t xml:space="preserve">联赛</x:t>
        </x:is>
      </x:c>
      <x:c r="E953" s="604" t="inlineStr">
        <x:is>
          <x:t xml:space="preserve">西协乙2</x:t>
        </x:is>
      </x:c>
      <x:c r="F953" s="604" t="inlineStr">
        <x:is>
          <x:t xml:space="preserve">列乌斯 vs CE曼雷萨</x:t>
        </x:is>
      </x:c>
      <x:c r="G953" s="604" t="n">
        <x:v>0.88</x:v>
      </x:c>
      <x:c r="H953" s="604" t="n">
        <x:v>0.5</x:v>
      </x:c>
      <x:c r="I953" s="604" t="n">
        <x:v>0.82</x:v>
      </x:c>
      <x:c r="J953" s="604" t="inlineStr">
        <x:is>
          <x:t xml:space="preserve">0.88/0.5/0.82</x:t>
        </x:is>
      </x:c>
      <x:c r="K953" s="604" t="inlineStr">
        <x:is>
          <x:t xml:space="preserve">V4-C｜EV +0.0538</x:t>
        </x:is>
      </x:c>
      <x:c r="L953" s="604" t="inlineStr">
        <x:is>
          <x:t xml:space="preserve">列乌斯</x:t>
        </x:is>
      </x:c>
      <x:c r="M953" s="604" t="n">
        <x:v>0.5605054201878467</x:v>
      </x:c>
      <x:c r="N953" s="604" t="inlineStr">
        <x:is>
          <x:t xml:space="preserve">V4纸面入选-C</x:t>
        </x:is>
      </x:c>
      <x:c r="O953" s="604" t="inlineStr">
        <x:is>
          <x:t xml:space="preserve">1-4</x:t>
        </x:is>
      </x:c>
      <x:c r="P953" s="604" t="inlineStr">
        <x:is>
          <x:t xml:space="preserve">已结算</x:t>
        </x:is>
      </x:c>
      <x:c r="Q953" s="646" t="inlineStr">
        <x:is>
          <x:t xml:space="preserve">黑</x:t>
        </x:is>
      </x:c>
      <x:c r="R953" s="604" t="n">
        <x:v>0.88</x:v>
      </x:c>
      <x:c r="S953" s="604" t="n">
        <x:f>IF(OR(Q953="",Q953="待结算"),"",IF(Q953="红",R953,IF(Q953="半红",R953*0.5,IF(Q953="走",0,IF(Q953="半黑",-0.5,-1)))))</x:f>
        <x:v>-1</x:v>
      </x:c>
      <x:c r="T953" s="604" t="inlineStr">
        <x:is>
          <x:t xml:space="preserve">https://m.titan007.com/analy/Analysis/3083297.htm</x:t>
        </x:is>
      </x:c>
      <x:c r="U953" s="645" t="str">
        <x:f>IF(Q953="","",IF(Q953="待结算","待结算",IF(Q953="红","黑",IF(Q953="半红","半黑",IF(Q953="走","走",IF(Q953="半黑","半红","红"))))))</x:f>
        <x:v>红</x:v>
      </x:c>
      <x:c r="V953" s="604" t="n">
        <x:f>IF(OR(Q953="",Q953="待结算"),"",IF(L953=LEFT(F953,FIND(" vs ",F953)-1),I953,G953))</x:f>
        <x:v>0.82</x:v>
      </x:c>
      <x:c r="W953" s="604" t="n">
        <x:f>IF(OR(U953="",U953="待结算"),"",IF(U953="红",V953,IF(U953="半红",V953*0.5,IF(U953="走",0,IF(U953="半黑",-0.5,-1)))))</x:f>
        <x:v>0.82</x:v>
      </x:c>
      <x:c r="X953" s="604" t="inlineStr">
        <x:is>
          <x:t xml:space="preserve">3083297</x:t>
        </x:is>
      </x:c>
      <x:c r="Y953" s="604" t="inlineStr">
        <x:is>
          <x:t xml:space="preserve">V4</x:t>
        </x:is>
      </x:c>
      <x:c r="Z953" s="604" t="inlineStr">
        <x:is>
          <x:t xml:space="preserve">prior-2026-10-04-v1</x:t>
        </x:is>
      </x:c>
      <x:c r="AA953" s="604" t="inlineStr">
        <x:is>
          <x:t xml:space="preserve">C</x:t>
        </x:is>
      </x:c>
      <x:c r="AB953" s="604" t="n">
        <x:v>0.5605054201878467</x:v>
      </x:c>
      <x:c r="AC953" s="604" t="n"/>
      <x:c r="AD953" s="604" t="n"/>
      <x:c r="AE953" s="604" t="n"/>
      <x:c r="AF953" s="604" t="n">
        <x:v>0.4394945798121534</x:v>
      </x:c>
      <x:c r="AG953" s="604" t="n">
        <x:v>0.05375018995315167</x:v>
      </x:c>
      <x:c r="AH953" s="604" t="n"/>
      <x:c r="AI953" s="604" t="n"/>
      <x:c r="AJ953" s="604" t="n">
        <x:v>0.05375018995315167</x:v>
      </x:c>
      <x:c r="AK953" s="604" t="n"/>
      <x:c r="AL953" s="604" t="n"/>
      <x:c r="AM953" s="604" t="n"/>
      <x:c r="AN953" s="604" t="inlineStr">
        <x:is>
          <x:t xml:space="preserve">EVALUATED</x:t>
        </x:is>
      </x:c>
      <x:c r="AO953" s="604" t="inlineStr">
        <x:is>
          <x:t xml:space="preserve">GIVING_VALIDATED_EDGE、BUCKET_PRIOR_ONLY、INTENT_INTERPRETATION_ONLY、FFL_OPTIONAL、EXPERT_MARKET</x:t>
        </x:is>
      </x:c>
      <x:c r="AP953" s="604" t="inlineStr">
        <x:is>
          <x:t xml:space="preserve">5654c78eba92625c59a8</x:t>
        </x:is>
      </x:c>
      <x:c r="AQ953" s="604" t="n">
        <x:v>-0.5</x:v>
      </x:c>
      <x:c r="AR953" s="604" t="n">
        <x:v>0.88</x:v>
      </x:c>
      <x:c r="AS953" s="604" t="n">
        <x:v>0.5</x:v>
      </x:c>
      <x:c r="AT953" s="604" t="n">
        <x:v>-0.5</x:v>
      </x:c>
      <x:c r="AU953" s="604" t="n">
        <x:v>0.88</x:v>
      </x:c>
      <x:c r="AV953" s="604" t="n">
        <x:v>0.82</x:v>
      </x:c>
      <x:c r="AW953" s="604" t="n">
        <x:v>46299.08204853009</x:v>
      </x:c>
      <x:c r="AX953" s="604" t="inlineStr">
        <x:is>
          <x:t xml:space="preserve">https://simondongxiao.github.io/odds/v4/</x:t>
        </x:is>
      </x:c>
      <x:c r="AY953" s="604" t="inlineStr">
        <x:is>
          <x:t xml:space="preserve">V4 Shadow Only；real_money=false；P(EV&gt;0)不是比赛胜率</x:t>
        </x:is>
      </x:c>
    </x:row>
    <x:row r="954" ht="22" customHeight="1">
      <x:c r="A954" s="604" t="inlineStr">
        <x:is>
          <x:t xml:space="preserve">2026-10-04</x:t>
        </x:is>
      </x:c>
      <x:c r="B954" s="604" t="inlineStr">
        <x:is>
          <x:t xml:space="preserve">2026-10-04 23:00</x:t>
        </x:is>
      </x:c>
      <x:c r="C954" s="604" t="str">
        <x:v>五大联赛非顶级联赛</x:v>
      </x:c>
      <x:c r="D954" s="604" t="inlineStr">
        <x:is>
          <x:t xml:space="preserve">联赛</x:t>
        </x:is>
      </x:c>
      <x:c r="E954" s="604" t="inlineStr">
        <x:is>
          <x:t xml:space="preserve">西协乙5</x:t>
        </x:is>
      </x:c>
      <x:c r="F954" s="604" t="inlineStr">
        <x:is>
          <x:t xml:space="preserve">马德里体育会C队 vs 干昆斯</x:t>
        </x:is>
      </x:c>
      <x:c r="G954" s="604" t="n">
        <x:v>0.9</x:v>
      </x:c>
      <x:c r="H954" s="604" t="n">
        <x:v>-0.25</x:v>
      </x:c>
      <x:c r="I954" s="604" t="n">
        <x:v>0.8</x:v>
      </x:c>
      <x:c r="J954" s="604" t="inlineStr">
        <x:is>
          <x:t xml:space="preserve">0.9/-0.25/0.8</x:t>
        </x:is>
      </x:c>
      <x:c r="K954" s="604" t="inlineStr">
        <x:is>
          <x:t xml:space="preserve">V4-B｜EV +0.1457</x:t>
        </x:is>
      </x:c>
      <x:c r="L954" s="604" t="inlineStr">
        <x:is>
          <x:t xml:space="preserve">马德里体育会C队</x:t>
        </x:is>
      </x:c>
      <x:c r="M954" s="604" t="n">
        <x:v>0.6146623660531596</x:v>
      </x:c>
      <x:c r="N954" s="604" t="inlineStr">
        <x:is>
          <x:t xml:space="preserve">V4纸面入选-B</x:t>
        </x:is>
      </x:c>
      <x:c r="O954" s="604" t="inlineStr">
        <x:is>
          <x:t xml:space="preserve">3-2</x:t>
        </x:is>
      </x:c>
      <x:c r="P954" s="604" t="inlineStr">
        <x:is>
          <x:t xml:space="preserve">已结算</x:t>
        </x:is>
      </x:c>
      <x:c r="Q954" s="645" t="inlineStr">
        <x:is>
          <x:t xml:space="preserve">红</x:t>
        </x:is>
      </x:c>
      <x:c r="R954" s="604" t="n">
        <x:v>0.9</x:v>
      </x:c>
      <x:c r="S954" s="604" t="n">
        <x:f>IF(OR(Q954="",Q954="待结算"),"",IF(Q954="红",R954,IF(Q954="半红",R954*0.5,IF(Q954="走",0,IF(Q954="半黑",-0.5,-1)))))</x:f>
        <x:v>0.9</x:v>
      </x:c>
      <x:c r="T954" s="604" t="inlineStr">
        <x:is>
          <x:t xml:space="preserve">https://m.titan007.com/analy/Analysis/3083599.htm</x:t>
        </x:is>
      </x:c>
      <x:c r="U954" s="646" t="str">
        <x:f>IF(Q954="","",IF(Q954="待结算","待结算",IF(Q954="红","黑",IF(Q954="半红","半黑",IF(Q954="走","走",IF(Q954="半黑","半红","红"))))))</x:f>
        <x:v>黑</x:v>
      </x:c>
      <x:c r="V954" s="604" t="n">
        <x:f>IF(OR(Q954="",Q954="待结算"),"",IF(L954=LEFT(F954,FIND(" vs ",F954)-1),I954,G954))</x:f>
        <x:v>0.8</x:v>
      </x:c>
      <x:c r="W954" s="604" t="n">
        <x:f>IF(OR(U954="",U954="待结算"),"",IF(U954="红",V954,IF(U954="半红",V954*0.5,IF(U954="走",0,IF(U954="半黑",-0.5,-1)))))</x:f>
        <x:v>-1</x:v>
      </x:c>
      <x:c r="X954" s="604" t="inlineStr">
        <x:is>
          <x:t xml:space="preserve">3083599</x:t>
        </x:is>
      </x:c>
      <x:c r="Y954" s="604" t="inlineStr">
        <x:is>
          <x:t xml:space="preserve">V4</x:t>
        </x:is>
      </x:c>
      <x:c r="Z954" s="604" t="inlineStr">
        <x:is>
          <x:t xml:space="preserve">prior-2026-10-04-v1</x:t>
        </x:is>
      </x:c>
      <x:c r="AA954" s="604" t="inlineStr">
        <x:is>
          <x:t xml:space="preserve">B</x:t>
        </x:is>
      </x:c>
      <x:c r="AB954" s="604" t="n">
        <x:v>0.4017524082649835</x:v>
      </x:c>
      <x:c r="AC954" s="604" t="n">
        <x:v>0.2637207161873821</x:v>
      </x:c>
      <x:c r="AD954" s="604" t="n"/>
      <x:c r="AE954" s="604" t="n"/>
      <x:c r="AF954" s="604" t="n">
        <x:v>0.3345268755476344</x:v>
      </x:c>
      <x:c r="AG954" s="604" t="n">
        <x:v>0.1457246141751727</x:v>
      </x:c>
      <x:c r="AH954" s="604" t="n"/>
      <x:c r="AI954" s="604" t="n"/>
      <x:c r="AJ954" s="604" t="n">
        <x:v>0.1457246141751727</x:v>
      </x:c>
      <x:c r="AK954" s="604" t="n"/>
      <x:c r="AL954" s="604" t="n"/>
      <x:c r="AM954" s="604" t="n"/>
      <x:c r="AN954" s="604" t="inlineStr">
        <x:is>
          <x:t xml:space="preserve">EVALUATED</x:t>
        </x:is>
      </x:c>
      <x:c r="AO954" s="604" t="inlineStr">
        <x:is>
          <x:t xml:space="preserve">RECEIVING_VALIDATED_EDGE、BUCKET_PRIOR_ONLY、INTENT_INTERPRETATION_ONLY、FFL_OPTIONAL、EXPERT_MARKET</x:t>
        </x:is>
      </x:c>
      <x:c r="AP954" s="604" t="inlineStr">
        <x:is>
          <x:t xml:space="preserve">ba017f9b588c315b7b9a</x:t>
        </x:is>
      </x:c>
      <x:c r="AQ954" s="604" t="n">
        <x:v>0.25</x:v>
      </x:c>
      <x:c r="AR954" s="604" t="n">
        <x:v>0.9</x:v>
      </x:c>
      <x:c r="AS954" s="604" t="n">
        <x:v>-0.25</x:v>
      </x:c>
      <x:c r="AT954" s="604" t="n">
        <x:v>0.25</x:v>
      </x:c>
      <x:c r="AU954" s="604" t="n">
        <x:v>0.9</x:v>
      </x:c>
      <x:c r="AV954" s="604" t="n">
        <x:v>0.8</x:v>
      </x:c>
      <x:c r="AW954" s="604" t="n">
        <x:v>46299.08204853009</x:v>
      </x:c>
      <x:c r="AX954" s="604" t="inlineStr">
        <x:is>
          <x:t xml:space="preserve">https://simondongxiao.github.io/odds/v4/</x:t>
        </x:is>
      </x:c>
      <x:c r="AY954" s="604" t="inlineStr">
        <x:is>
          <x:t xml:space="preserve">V4 Shadow Only；real_money=false；P(EV&gt;0)不是比赛胜率</x:t>
        </x:is>
      </x:c>
    </x:row>
    <x:row r="955" ht="22" customHeight="1">
      <x:c r="A955" s="604" t="inlineStr">
        <x:is>
          <x:t xml:space="preserve">2026-10-04</x:t>
        </x:is>
      </x:c>
      <x:c r="B955" s="604" t="inlineStr">
        <x:is>
          <x:t xml:space="preserve">2026-10-04 23:00</x:t>
        </x:is>
      </x:c>
      <x:c r="C955" s="604" t="str">
        <x:v>五大联赛非顶级联赛</x:v>
      </x:c>
      <x:c r="D955" s="604" t="inlineStr">
        <x:is>
          <x:t xml:space="preserve">联赛</x:t>
        </x:is>
      </x:c>
      <x:c r="E955" s="604" t="inlineStr">
        <x:is>
          <x:t xml:space="preserve">西协乙5</x:t>
        </x:is>
      </x:c>
      <x:c r="F955" s="604" t="inlineStr">
        <x:is>
          <x:t xml:space="preserve">托尔德西利亚斯 vs 叁蔓堤罗</x:t>
        </x:is>
      </x:c>
      <x:c r="G955" s="604" t="n">
        <x:v>0.73</x:v>
      </x:c>
      <x:c r="H955" s="604" t="n">
        <x:v>-0.25</x:v>
      </x:c>
      <x:c r="I955" s="604" t="n">
        <x:v>0.97</x:v>
      </x:c>
      <x:c r="J955" s="604" t="inlineStr">
        <x:is>
          <x:t xml:space="preserve">0.73/-0.25/0.97</x:t>
        </x:is>
      </x:c>
      <x:c r="K955" s="604" t="inlineStr">
        <x:is>
          <x:t xml:space="preserve">V4-C｜EV +0.0553</x:t>
        </x:is>
      </x:c>
      <x:c r="L955" s="604" t="inlineStr">
        <x:is>
          <x:t xml:space="preserve">托尔德西利亚斯</x:t>
        </x:is>
      </x:c>
      <x:c r="M955" s="604" t="n">
        <x:v>0.6148433072022633</x:v>
      </x:c>
      <x:c r="N955" s="604" t="inlineStr">
        <x:is>
          <x:t xml:space="preserve">V4纸面入选-C</x:t>
        </x:is>
      </x:c>
      <x:c r="O955" s="604" t="inlineStr">
        <x:is>
          <x:t xml:space="preserve">2-0</x:t>
        </x:is>
      </x:c>
      <x:c r="P955" s="604" t="inlineStr">
        <x:is>
          <x:t xml:space="preserve">已结算</x:t>
        </x:is>
      </x:c>
      <x:c r="Q955" s="645" t="inlineStr">
        <x:is>
          <x:t xml:space="preserve">红</x:t>
        </x:is>
      </x:c>
      <x:c r="R955" s="604" t="n">
        <x:v>0.73</x:v>
      </x:c>
      <x:c r="S955" s="604" t="n">
        <x:f>IF(OR(Q955="",Q955="待结算"),"",IF(Q955="红",R955,IF(Q955="半红",R955*0.5,IF(Q955="走",0,IF(Q955="半黑",-0.5,-1)))))</x:f>
        <x:v>0.73</x:v>
      </x:c>
      <x:c r="T955" s="604" t="inlineStr">
        <x:is>
          <x:t xml:space="preserve">https://m.titan007.com/analy/Analysis/3083600.htm</x:t>
        </x:is>
      </x:c>
      <x:c r="U955" s="646" t="str">
        <x:f>IF(Q955="","",IF(Q955="待结算","待结算",IF(Q955="红","黑",IF(Q955="半红","半黑",IF(Q955="走","走",IF(Q955="半黑","半红","红"))))))</x:f>
        <x:v>黑</x:v>
      </x:c>
      <x:c r="V955" s="604" t="n">
        <x:f>IF(OR(Q955="",Q955="待结算"),"",IF(L955=LEFT(F955,FIND(" vs ",F955)-1),I955,G955))</x:f>
        <x:v>0.97</x:v>
      </x:c>
      <x:c r="W955" s="604" t="n">
        <x:f>IF(OR(U955="",U955="待结算"),"",IF(U955="红",V955,IF(U955="半红",V955*0.5,IF(U955="走",0,IF(U955="半黑",-0.5,-1)))))</x:f>
        <x:v>-1</x:v>
      </x:c>
      <x:c r="X955" s="604" t="inlineStr">
        <x:is>
          <x:t xml:space="preserve">3083600</x:t>
        </x:is>
      </x:c>
      <x:c r="Y955" s="604" t="inlineStr">
        <x:is>
          <x:t xml:space="preserve">V4</x:t>
        </x:is>
      </x:c>
      <x:c r="Z955" s="604" t="inlineStr">
        <x:is>
          <x:t xml:space="preserve">prior-2026-10-04-v1</x:t>
        </x:is>
      </x:c>
      <x:c r="AA955" s="604" t="inlineStr">
        <x:is>
          <x:t xml:space="preserve">C</x:t>
        </x:is>
      </x:c>
      <x:c r="AB955" s="604" t="n">
        <x:v>0.4015946199731888</x:v>
      </x:c>
      <x:c r="AC955" s="604" t="n">
        <x:v>0.2641106865018756</x:v>
      </x:c>
      <x:c r="AD955" s="604" t="n"/>
      <x:c r="AE955" s="604" t="n"/>
      <x:c r="AF955" s="604" t="n">
        <x:v>0.3342946935249355</x:v>
      </x:c>
      <x:c r="AG955" s="604" t="n">
        <x:v>0.05526977962867696</x:v>
      </x:c>
      <x:c r="AH955" s="604" t="n"/>
      <x:c r="AI955" s="604" t="n"/>
      <x:c r="AJ955" s="604" t="n">
        <x:v>0.05526977962867696</x:v>
      </x:c>
      <x:c r="AK955" s="604" t="n"/>
      <x:c r="AL955" s="604" t="n"/>
      <x:c r="AM955" s="604" t="n"/>
      <x:c r="AN955" s="604" t="inlineStr">
        <x:is>
          <x:t xml:space="preserve">EVALUATED</x:t>
        </x:is>
      </x:c>
      <x:c r="AO955" s="604" t="inlineStr">
        <x:is>
          <x:t xml:space="preserve">RECEIVING_VALIDATED_EDGE、BUCKET_PRIOR_ONLY、INTENT_INTERPRETATION_ONLY、FFL_OPTIONAL、EXPERT_MARKET</x:t>
        </x:is>
      </x:c>
      <x:c r="AP955" s="604" t="inlineStr">
        <x:is>
          <x:t xml:space="preserve">9bddf62b6b1cf3691086</x:t>
        </x:is>
      </x:c>
      <x:c r="AQ955" s="604" t="n">
        <x:v>0.25</x:v>
      </x:c>
      <x:c r="AR955" s="604" t="n">
        <x:v>0.73</x:v>
      </x:c>
      <x:c r="AS955" s="604" t="n">
        <x:v>-0.25</x:v>
      </x:c>
      <x:c r="AT955" s="604" t="n">
        <x:v>0.25</x:v>
      </x:c>
      <x:c r="AU955" s="604" t="n">
        <x:v>0.73</x:v>
      </x:c>
      <x:c r="AV955" s="604" t="n">
        <x:v>0.97</x:v>
      </x:c>
      <x:c r="AW955" s="604" t="n">
        <x:v>46299.08204853009</x:v>
      </x:c>
      <x:c r="AX955" s="604" t="inlineStr">
        <x:is>
          <x:t xml:space="preserve">https://simondongxiao.github.io/odds/v4/</x:t>
        </x:is>
      </x:c>
      <x:c r="AY955" s="604" t="inlineStr">
        <x:is>
          <x:t xml:space="preserve">V4 Shadow Only；real_money=false；P(EV&gt;0)不是比赛胜率</x:t>
        </x:is>
      </x:c>
    </x:row>
    <x:row r="956" ht="22" customHeight="1">
      <x:c r="A956" s="604" t="inlineStr">
        <x:is>
          <x:t xml:space="preserve">2026-10-04</x:t>
        </x:is>
      </x:c>
      <x:c r="B956" s="604" t="inlineStr">
        <x:is>
          <x:t xml:space="preserve">2026-10-04 23:00</x:t>
        </x:is>
      </x:c>
      <x:c r="C956" s="604" t="str">
        <x:v>欧洲非五大系列</x:v>
      </x:c>
      <x:c r="D956" s="604" t="inlineStr">
        <x:is>
          <x:t xml:space="preserve">联赛</x:t>
        </x:is>
      </x:c>
      <x:c r="E956" s="604" t="inlineStr">
        <x:is>
          <x:t xml:space="preserve">瑞典乙北</x:t>
        </x:is>
      </x:c>
      <x:c r="F956" s="604" t="inlineStr">
        <x:is>
          <x:t xml:space="preserve">于默奥 vs 哈马比TFF</x:t>
        </x:is>
      </x:c>
      <x:c r="G956" s="604" t="n">
        <x:v>0.9399999999999999</x:v>
      </x:c>
      <x:c r="H956" s="604" t="n">
        <x:v>-0.75</x:v>
      </x:c>
      <x:c r="I956" s="604" t="n">
        <x:v>0.76</x:v>
      </x:c>
      <x:c r="J956" s="604" t="inlineStr">
        <x:is>
          <x:t xml:space="preserve">0.94/-0.75/0.76</x:t>
        </x:is>
      </x:c>
      <x:c r="K956" s="604" t="inlineStr">
        <x:is>
          <x:t xml:space="preserve">V4-B｜EV +0.7050</x:t>
        </x:is>
      </x:c>
      <x:c r="L956" s="604" t="inlineStr">
        <x:is>
          <x:t xml:space="preserve">于默奥</x:t>
        </x:is>
      </x:c>
      <x:c r="M956" s="604" t="n">
        <x:v>0.8991004128714223</x:v>
      </x:c>
      <x:c r="N956" s="604" t="inlineStr">
        <x:is>
          <x:t xml:space="preserve">V4纸面入选-B</x:t>
        </x:is>
      </x:c>
      <x:c r="O956" s="604" t="inlineStr">
        <x:is>
          <x:t xml:space="preserve">2-1</x:t>
        </x:is>
      </x:c>
      <x:c r="P956" s="604" t="inlineStr">
        <x:is>
          <x:t xml:space="preserve">已结算</x:t>
        </x:is>
      </x:c>
      <x:c r="Q956" s="645" t="inlineStr">
        <x:is>
          <x:t xml:space="preserve">红</x:t>
        </x:is>
      </x:c>
      <x:c r="R956" s="604" t="n">
        <x:v>0.9399999999999999</x:v>
      </x:c>
      <x:c r="S956" s="604" t="n">
        <x:f>IF(OR(Q956="",Q956="待结算"),"",IF(Q956="红",R956,IF(Q956="半红",R956*0.5,IF(Q956="走",0,IF(Q956="半黑",-0.5,-1)))))</x:f>
        <x:v>0.94</x:v>
      </x:c>
      <x:c r="T956" s="604" t="inlineStr">
        <x:is>
          <x:t xml:space="preserve">https://m.titan007.com/analy/Analysis/2920170.htm</x:t>
        </x:is>
      </x:c>
      <x:c r="U956" s="646" t="str">
        <x:f>IF(Q956="","",IF(Q956="待结算","待结算",IF(Q956="红","黑",IF(Q956="半红","半黑",IF(Q956="走","走",IF(Q956="半黑","半红","红"))))))</x:f>
        <x:v>黑</x:v>
      </x:c>
      <x:c r="V956" s="604" t="n">
        <x:f>IF(OR(Q956="",Q956="待结算"),"",IF(L956=LEFT(F956,FIND(" vs ",F956)-1),I956,G956))</x:f>
        <x:v>0.76</x:v>
      </x:c>
      <x:c r="W956" s="604" t="n">
        <x:f>IF(OR(U956="",U956="待结算"),"",IF(U956="红",V956,IF(U956="半红",V956*0.5,IF(U956="走",0,IF(U956="半黑",-0.5,-1)))))</x:f>
        <x:v>-1</x:v>
      </x:c>
      <x:c r="X956" s="604" t="inlineStr">
        <x:is>
          <x:t xml:space="preserve">2920170</x:t>
        </x:is>
      </x:c>
      <x:c r="Y956" s="604" t="inlineStr">
        <x:is>
          <x:t xml:space="preserve">V4</x:t>
        </x:is>
      </x:c>
      <x:c r="Z956" s="604" t="inlineStr">
        <x:is>
          <x:t xml:space="preserve">prior-2026-10-04-v1</x:t>
        </x:is>
      </x:c>
      <x:c r="AA956" s="604" t="inlineStr">
        <x:is>
          <x:t xml:space="preserve">B</x:t>
        </x:is>
      </x:c>
      <x:c r="AB956" s="604" t="n">
        <x:v>0.8516957347472163</x:v>
      </x:c>
      <x:c r="AC956" s="604" t="n"/>
      <x:c r="AD956" s="604" t="n"/>
      <x:c r="AE956" s="604" t="n">
        <x:v>0.1054491299204535</x:v>
      </x:c>
      <x:c r="AF956" s="604" t="n">
        <x:v>0.04285513533233021</x:v>
      </x:c>
      <x:c r="AG956" s="604" t="n">
        <x:v>0.7050142903698263</x:v>
      </x:c>
      <x:c r="AH956" s="604" t="n"/>
      <x:c r="AI956" s="604" t="n"/>
      <x:c r="AJ956" s="604" t="n">
        <x:v>0.7050142903698263</x:v>
      </x:c>
      <x:c r="AK956" s="604" t="n"/>
      <x:c r="AL956" s="604" t="n"/>
      <x:c r="AM956" s="604" t="n"/>
      <x:c r="AN956" s="604" t="inlineStr">
        <x:is>
          <x:t xml:space="preserve">EVALUATED</x:t>
        </x:is>
      </x:c>
      <x:c r="AO956" s="604" t="inlineStr">
        <x:is>
          <x:t xml:space="preserve">RECEIVING_VALIDATED_EDGE、BUCKET_PRIOR_ONLY、INTENT_INTERPRETATION_ONLY、FFL_OPTIONAL、EXPERT_MARKET</x:t>
        </x:is>
      </x:c>
      <x:c r="AP956" s="604" t="inlineStr">
        <x:is>
          <x:t xml:space="preserve">5ddd50c51424d54eff96</x:t>
        </x:is>
      </x:c>
      <x:c r="AQ956" s="604" t="n">
        <x:v>0.75</x:v>
      </x:c>
      <x:c r="AR956" s="604" t="n">
        <x:v>0.9399999999999999</x:v>
      </x:c>
      <x:c r="AS956" s="604" t="n">
        <x:v>-0.75</x:v>
      </x:c>
      <x:c r="AT956" s="604" t="n">
        <x:v>0.75</x:v>
      </x:c>
      <x:c r="AU956" s="604" t="n">
        <x:v>0.9399999999999999</x:v>
      </x:c>
      <x:c r="AV956" s="604" t="n">
        <x:v>0.76</x:v>
      </x:c>
      <x:c r="AW956" s="604" t="n">
        <x:v>46299.08204853009</x:v>
      </x:c>
      <x:c r="AX956" s="604" t="inlineStr">
        <x:is>
          <x:t xml:space="preserve">https://simondongxiao.github.io/odds/v4/</x:t>
        </x:is>
      </x:c>
      <x:c r="AY956" s="604" t="inlineStr">
        <x:is>
          <x:t xml:space="preserve">V4 Shadow Only；real_money=false；P(EV&gt;0)不是比赛胜率</x:t>
        </x:is>
      </x:c>
    </x:row>
    <x:row r="957" ht="22" customHeight="1">
      <x:c r="A957" s="604" t="inlineStr">
        <x:is>
          <x:t xml:space="preserve">2026-10-04</x:t>
        </x:is>
      </x:c>
      <x:c r="B957" s="604" t="inlineStr">
        <x:is>
          <x:t xml:space="preserve">2026-10-04 23:30</x:t>
        </x:is>
      </x:c>
      <x:c r="C957" s="604" t="str">
        <x:v>五大联赛非顶级联赛</x:v>
      </x:c>
      <x:c r="D957" s="604" t="inlineStr">
        <x:is>
          <x:t xml:space="preserve">联赛</x:t>
        </x:is>
      </x:c>
      <x:c r="E957" s="604" t="inlineStr">
        <x:is>
          <x:t xml:space="preserve">西丁</x:t>
        </x:is>
      </x:c>
      <x:c r="F957" s="604" t="inlineStr">
        <x:is>
          <x:t xml:space="preserve">拉卡扎达 vs 科米利亚斯</x:t>
        </x:is>
      </x:c>
      <x:c r="G957" s="604" t="n">
        <x:v>0.75</x:v>
      </x:c>
      <x:c r="H957" s="604" t="n">
        <x:v>0.75</x:v>
      </x:c>
      <x:c r="I957" s="604" t="n">
        <x:v>0.95</x:v>
      </x:c>
      <x:c r="J957" s="604" t="inlineStr">
        <x:is>
          <x:t xml:space="preserve">0.75/0.75/0.95</x:t>
        </x:is>
      </x:c>
      <x:c r="K957" s="604" t="inlineStr">
        <x:is>
          <x:t xml:space="preserve">V4-C｜EV +0.0866</x:t>
        </x:is>
      </x:c>
      <x:c r="L957" s="604" t="inlineStr">
        <x:is>
          <x:t xml:space="preserve">拉卡扎达</x:t>
        </x:is>
      </x:c>
      <x:c r="M957" s="604" t="n">
        <x:v>0.6282305677070543</x:v>
      </x:c>
      <x:c r="N957" s="604" t="inlineStr">
        <x:is>
          <x:t xml:space="preserve">V4纸面入选-C</x:t>
        </x:is>
      </x:c>
      <x:c r="O957" s="604" t="inlineStr">
        <x:is>
          <x:t xml:space="preserve">1-0</x:t>
        </x:is>
      </x:c>
      <x:c r="P957" s="604" t="inlineStr">
        <x:is>
          <x:t xml:space="preserve">已结算</x:t>
        </x:is>
      </x:c>
      <x:c r="Q957" s="649" t="inlineStr">
        <x:is>
          <x:t xml:space="preserve">半红</x:t>
        </x:is>
      </x:c>
      <x:c r="R957" s="604" t="n">
        <x:v>0.75</x:v>
      </x:c>
      <x:c r="S957" s="604" t="n">
        <x:f>IF(OR(Q957="",Q957="待结算"),"",IF(Q957="红",R957,IF(Q957="半红",R957*0.5,IF(Q957="走",0,IF(Q957="半黑",-0.5,-1)))))</x:f>
        <x:v>0.375</x:v>
      </x:c>
      <x:c r="T957" s="604" t="inlineStr">
        <x:is>
          <x:t xml:space="preserve">https://m.titan007.com/analy/Analysis/3079621.htm</x:t>
        </x:is>
      </x:c>
      <x:c r="U957" s="648" t="str">
        <x:f>IF(Q957="","",IF(Q957="待结算","待结算",IF(Q957="红","黑",IF(Q957="半红","半黑",IF(Q957="走","走",IF(Q957="半黑","半红","红"))))))</x:f>
        <x:v>半黑</x:v>
      </x:c>
      <x:c r="V957" s="604" t="n">
        <x:f>IF(OR(Q957="",Q957="待结算"),"",IF(L957=LEFT(F957,FIND(" vs ",F957)-1),I957,G957))</x:f>
        <x:v>0.95</x:v>
      </x:c>
      <x:c r="W957" s="604" t="n">
        <x:f>IF(OR(U957="",U957="待结算"),"",IF(U957="红",V957,IF(U957="半红",V957*0.5,IF(U957="走",0,IF(U957="半黑",-0.5,-1)))))</x:f>
        <x:v>-0.5</x:v>
      </x:c>
      <x:c r="X957" s="604" t="inlineStr">
        <x:is>
          <x:t xml:space="preserve">3079621</x:t>
        </x:is>
      </x:c>
      <x:c r="Y957" s="604" t="inlineStr">
        <x:is>
          <x:t xml:space="preserve">V4</x:t>
        </x:is>
      </x:c>
      <x:c r="Z957" s="604" t="inlineStr">
        <x:is>
          <x:t xml:space="preserve">prior-2026-10-04-v1</x:t>
        </x:is>
      </x:c>
      <x:c r="AA957" s="604" t="inlineStr">
        <x:is>
          <x:t xml:space="preserve">C</x:t>
        </x:is>
      </x:c>
      <x:c r="AB957" s="604" t="n">
        <x:v>0.4191374303912482</x:v>
      </x:c>
      <x:c r="AC957" s="604" t="n">
        <x:v>0.2568348014866963</x:v>
      </x:c>
      <x:c r="AD957" s="604" t="n"/>
      <x:c r="AE957" s="604" t="n"/>
      <x:c r="AF957" s="604" t="n">
        <x:v>0.3240277681220555</x:v>
      </x:c>
      <x:c r="AG957" s="604" t="n">
        <x:v>0.08663835522889179</x:v>
      </x:c>
      <x:c r="AH957" s="604" t="n"/>
      <x:c r="AI957" s="604" t="n"/>
      <x:c r="AJ957" s="604" t="n">
        <x:v>0.08663835522889179</x:v>
      </x:c>
      <x:c r="AK957" s="604" t="n"/>
      <x:c r="AL957" s="604" t="n"/>
      <x:c r="AM957" s="604" t="n"/>
      <x:c r="AN957" s="604" t="inlineStr">
        <x:is>
          <x:t xml:space="preserve">EVALUATED</x:t>
        </x:is>
      </x:c>
      <x:c r="AO957" s="604" t="inlineStr">
        <x:is>
          <x:t xml:space="preserve">GIVING_VALIDATED_EDGE、BUCKET_PRIOR_ONLY、INTENT_INTERPRETATION_ONLY、FFL_OPTIONAL、EXPERT_MARKET</x:t>
        </x:is>
      </x:c>
      <x:c r="AP957" s="604" t="inlineStr">
        <x:is>
          <x:t xml:space="preserve">2b5607751a320a361a7a</x:t>
        </x:is>
      </x:c>
      <x:c r="AQ957" s="604" t="n">
        <x:v>-0.75</x:v>
      </x:c>
      <x:c r="AR957" s="604" t="n">
        <x:v>0.75</x:v>
      </x:c>
      <x:c r="AS957" s="604" t="n">
        <x:v>0.75</x:v>
      </x:c>
      <x:c r="AT957" s="604" t="n">
        <x:v>-0.75</x:v>
      </x:c>
      <x:c r="AU957" s="604" t="n">
        <x:v>0.75</x:v>
      </x:c>
      <x:c r="AV957" s="604" t="n">
        <x:v>0.95</x:v>
      </x:c>
      <x:c r="AW957" s="604" t="n">
        <x:v>46299.08204853009</x:v>
      </x:c>
      <x:c r="AX957" s="604" t="inlineStr">
        <x:is>
          <x:t xml:space="preserve">https://simondongxiao.github.io/odds/v4/</x:t>
        </x:is>
      </x:c>
      <x:c r="AY957" s="604" t="inlineStr">
        <x:is>
          <x:t xml:space="preserve">V4 Shadow Only；real_money=false；P(EV&gt;0)不是比赛胜率</x:t>
        </x:is>
      </x:c>
    </x:row>
    <x:row r="958" ht="22" customHeight="1">
      <x:c r="A958" s="604" t="inlineStr">
        <x:is>
          <x:t xml:space="preserve">2026-10-04</x:t>
        </x:is>
      </x:c>
      <x:c r="B958" s="604" t="inlineStr">
        <x:is>
          <x:t xml:space="preserve">2026-10-04 23:30</x:t>
        </x:is>
      </x:c>
      <x:c r="C958" s="604" t="str">
        <x:v>五大联赛非顶级联赛</x:v>
      </x:c>
      <x:c r="D958" s="604" t="inlineStr">
        <x:is>
          <x:t xml:space="preserve">联赛</x:t>
        </x:is>
      </x:c>
      <x:c r="E958" s="604" t="inlineStr">
        <x:is>
          <x:t xml:space="preserve">西丁</x:t>
        </x:is>
      </x:c>
      <x:c r="F958" s="604" t="inlineStr">
        <x:is>
          <x:t xml:space="preserve">昆坦拿 vs 比利亚体育</x:t>
        </x:is>
      </x:c>
      <x:c r="G958" s="604" t="n">
        <x:v>0.83</x:v>
      </x:c>
      <x:c r="H958" s="604" t="n">
        <x:v>0.75</x:v>
      </x:c>
      <x:c r="I958" s="604" t="n">
        <x:v>0.87</x:v>
      </x:c>
      <x:c r="J958" s="604" t="inlineStr">
        <x:is>
          <x:t xml:space="preserve">0.83/0.75/0.87</x:t>
        </x:is>
      </x:c>
      <x:c r="K958" s="604" t="inlineStr">
        <x:is>
          <x:t xml:space="preserve">V4-C｜EV +0.0880</x:t>
        </x:is>
      </x:c>
      <x:c r="L958" s="604" t="inlineStr">
        <x:is>
          <x:t xml:space="preserve">昆坦拿</x:t>
        </x:is>
      </x:c>
      <x:c r="M958" s="604" t="n">
        <x:v>0.6016560717082341</x:v>
      </x:c>
      <x:c r="N958" s="604" t="inlineStr">
        <x:is>
          <x:t xml:space="preserve">V4纸面入选-C</x:t>
        </x:is>
      </x:c>
      <x:c r="O958" s="604" t="inlineStr">
        <x:is>
          <x:t xml:space="preserve">0-2</x:t>
        </x:is>
      </x:c>
      <x:c r="P958" s="604" t="inlineStr">
        <x:is>
          <x:t xml:space="preserve">已结算</x:t>
        </x:is>
      </x:c>
      <x:c r="Q958" s="646" t="inlineStr">
        <x:is>
          <x:t xml:space="preserve">黑</x:t>
        </x:is>
      </x:c>
      <x:c r="R958" s="604" t="n">
        <x:v>0.83</x:v>
      </x:c>
      <x:c r="S958" s="604" t="n">
        <x:f>IF(OR(Q958="",Q958="待结算"),"",IF(Q958="红",R958,IF(Q958="半红",R958*0.5,IF(Q958="走",0,IF(Q958="半黑",-0.5,-1)))))</x:f>
        <x:v>-1</x:v>
      </x:c>
      <x:c r="T958" s="604" t="inlineStr">
        <x:is>
          <x:t xml:space="preserve">https://m.titan007.com/analy/Analysis/3060312.htm</x:t>
        </x:is>
      </x:c>
      <x:c r="U958" s="645" t="str">
        <x:f>IF(Q958="","",IF(Q958="待结算","待结算",IF(Q958="红","黑",IF(Q958="半红","半黑",IF(Q958="走","走",IF(Q958="半黑","半红","红"))))))</x:f>
        <x:v>红</x:v>
      </x:c>
      <x:c r="V958" s="604" t="n">
        <x:f>IF(OR(Q958="",Q958="待结算"),"",IF(L958=LEFT(F958,FIND(" vs ",F958)-1),I958,G958))</x:f>
        <x:v>0.87</x:v>
      </x:c>
      <x:c r="W958" s="604" t="n">
        <x:f>IF(OR(U958="",U958="待结算"),"",IF(U958="红",V958,IF(U958="半红",V958*0.5,IF(U958="走",0,IF(U958="半黑",-0.5,-1)))))</x:f>
        <x:v>0.87</x:v>
      </x:c>
      <x:c r="X958" s="604" t="inlineStr">
        <x:is>
          <x:t xml:space="preserve">3060312</x:t>
        </x:is>
      </x:c>
      <x:c r="Y958" s="604" t="inlineStr">
        <x:is>
          <x:t xml:space="preserve">V4</x:t>
        </x:is>
      </x:c>
      <x:c r="Z958" s="604" t="inlineStr">
        <x:is>
          <x:t xml:space="preserve">prior-2026-10-04-v1</x:t>
        </x:is>
      </x:c>
      <x:c r="AA958" s="604" t="inlineStr">
        <x:is>
          <x:t xml:space="preserve">C</x:t>
        </x:is>
      </x:c>
      <x:c r="AB958" s="604" t="n">
        <x:v>0.3955224407605724</x:v>
      </x:c>
      <x:c r="AC958" s="604" t="n">
        <x:v>0.2574006175093652</x:v>
      </x:c>
      <x:c r="AD958" s="604" t="n"/>
      <x:c r="AE958" s="604" t="n"/>
      <x:c r="AF958" s="604" t="n">
        <x:v>0.3470769417300624</x:v>
      </x:c>
      <x:c r="AG958" s="604" t="n">
        <x:v>0.08802794036759914</x:v>
      </x:c>
      <x:c r="AH958" s="604" t="n"/>
      <x:c r="AI958" s="604" t="n"/>
      <x:c r="AJ958" s="604" t="n">
        <x:v>0.08802794036759914</x:v>
      </x:c>
      <x:c r="AK958" s="604" t="n"/>
      <x:c r="AL958" s="604" t="n"/>
      <x:c r="AM958" s="604" t="n"/>
      <x:c r="AN958" s="604" t="inlineStr">
        <x:is>
          <x:t xml:space="preserve">EVALUATED</x:t>
        </x:is>
      </x:c>
      <x:c r="AO958" s="604" t="inlineStr">
        <x:is>
          <x:t xml:space="preserve">GIVING_VALIDATED_EDGE、BUCKET_PRIOR_ONLY、INTENT_INTERPRETATION_ONLY、FFL_OPTIONAL、EXPERT_MARKET</x:t>
        </x:is>
      </x:c>
      <x:c r="AP958" s="604" t="inlineStr">
        <x:is>
          <x:t xml:space="preserve">3b645d605524869b5b04</x:t>
        </x:is>
      </x:c>
      <x:c r="AQ958" s="604" t="n">
        <x:v>-0.75</x:v>
      </x:c>
      <x:c r="AR958" s="604" t="n">
        <x:v>0.83</x:v>
      </x:c>
      <x:c r="AS958" s="604" t="n">
        <x:v>0.75</x:v>
      </x:c>
      <x:c r="AT958" s="604" t="n">
        <x:v>-0.75</x:v>
      </x:c>
      <x:c r="AU958" s="604" t="n">
        <x:v>0.83</x:v>
      </x:c>
      <x:c r="AV958" s="604" t="n">
        <x:v>0.87</x:v>
      </x:c>
      <x:c r="AW958" s="604" t="n">
        <x:v>46299.08204853009</x:v>
      </x:c>
      <x:c r="AX958" s="604" t="inlineStr">
        <x:is>
          <x:t xml:space="preserve">https://simondongxiao.github.io/odds/v4/</x:t>
        </x:is>
      </x:c>
      <x:c r="AY958" s="604" t="inlineStr">
        <x:is>
          <x:t xml:space="preserve">V4 Shadow Only；real_money=false；P(EV&gt;0)不是比赛胜率</x:t>
        </x:is>
      </x:c>
    </x:row>
    <x:row r="959" ht="22" customHeight="1">
      <x:c r="A959" s="604" t="inlineStr">
        <x:is>
          <x:t xml:space="preserve">2026-10-04</x:t>
        </x:is>
      </x:c>
      <x:c r="B959" s="604" t="inlineStr">
        <x:is>
          <x:t xml:space="preserve">2026-10-05 00:00</x:t>
        </x:is>
      </x:c>
      <x:c r="C959" s="604" t="str">
        <x:v>欧洲非五大系列</x:v>
      </x:c>
      <x:c r="D959" s="604" t="inlineStr">
        <x:is>
          <x:t xml:space="preserve">联赛</x:t>
        </x:is>
      </x:c>
      <x:c r="E959" s="604" t="inlineStr">
        <x:is>
          <x:t xml:space="preserve">欧国联</x:t>
        </x:is>
      </x:c>
      <x:c r="F959" s="604" t="inlineStr">
        <x:is>
          <x:t xml:space="preserve">科索沃 vs 奥地利</x:t>
        </x:is>
      </x:c>
      <x:c r="G959" s="604" t="n">
        <x:v>0.99</x:v>
      </x:c>
      <x:c r="H959" s="604" t="n">
        <x:v>-0.25</x:v>
      </x:c>
      <x:c r="I959" s="604" t="n">
        <x:v>0.89</x:v>
      </x:c>
      <x:c r="J959" s="604" t="inlineStr">
        <x:is>
          <x:t xml:space="preserve">0.99/-0.25/0.89</x:t>
        </x:is>
      </x:c>
      <x:c r="K959" s="604" t="inlineStr">
        <x:is>
          <x:t xml:space="preserve">V4-B｜EV +0.3833</x:t>
        </x:is>
      </x:c>
      <x:c r="L959" s="604" t="inlineStr">
        <x:is>
          <x:t xml:space="preserve">科索沃</x:t>
        </x:is>
      </x:c>
      <x:c r="M959" s="604" t="n">
        <x:v>0.722756356260236</x:v>
      </x:c>
      <x:c r="N959" s="604" t="inlineStr">
        <x:is>
          <x:t xml:space="preserve">V4纸面入选-B</x:t>
        </x:is>
      </x:c>
      <x:c r="O959" s="604" t="inlineStr">
        <x:is>
          <x:t xml:space="preserve">1-1</x:t>
        </x:is>
      </x:c>
      <x:c r="P959" s="604" t="inlineStr">
        <x:is>
          <x:t xml:space="preserve">已结算</x:t>
        </x:is>
      </x:c>
      <x:c r="Q959" s="649" t="inlineStr">
        <x:is>
          <x:t xml:space="preserve">半红</x:t>
        </x:is>
      </x:c>
      <x:c r="R959" s="604" t="n">
        <x:v>0.99</x:v>
      </x:c>
      <x:c r="S959" s="604" t="n">
        <x:f>IF(OR(Q959="",Q959="待结算"),"",IF(Q959="红",R959,IF(Q959="半红",R959*0.5,IF(Q959="走",0,IF(Q959="半黑",-0.5,-1)))))</x:f>
        <x:v>0.495</x:v>
      </x:c>
      <x:c r="T959" s="604" t="inlineStr">
        <x:is>
          <x:t xml:space="preserve">https://m.titan007.com/analy/Analysis/2981499.htm</x:t>
        </x:is>
      </x:c>
      <x:c r="U959" s="648" t="str">
        <x:f>IF(Q959="","",IF(Q959="待结算","待结算",IF(Q959="红","黑",IF(Q959="半红","半黑",IF(Q959="走","走",IF(Q959="半黑","半红","红"))))))</x:f>
        <x:v>半黑</x:v>
      </x:c>
      <x:c r="V959" s="604" t="n">
        <x:f>IF(OR(Q959="",Q959="待结算"),"",IF(L959=LEFT(F959,FIND(" vs ",F959)-1),I959,G959))</x:f>
        <x:v>0.89</x:v>
      </x:c>
      <x:c r="W959" s="604" t="n">
        <x:f>IF(OR(U959="",U959="待结算"),"",IF(U959="红",V959,IF(U959="半红",V959*0.5,IF(U959="走",0,IF(U959="半黑",-0.5,-1)))))</x:f>
        <x:v>-0.5</x:v>
      </x:c>
      <x:c r="X959" s="604" t="inlineStr">
        <x:is>
          <x:t xml:space="preserve">2981499</x:t>
        </x:is>
      </x:c>
      <x:c r="Y959" s="604" t="inlineStr">
        <x:is>
          <x:t xml:space="preserve">V4</x:t>
        </x:is>
      </x:c>
      <x:c r="Z959" s="604" t="inlineStr">
        <x:is>
          <x:t xml:space="preserve">prior-2026-10-04-v1</x:t>
        </x:is>
      </x:c>
      <x:c r="AA959" s="604" t="inlineStr">
        <x:is>
          <x:t xml:space="preserve">B</x:t>
        </x:is>
      </x:c>
      <x:c r="AB959" s="604" t="n">
        <x:v>0.5066823090325753</x:v>
      </x:c>
      <x:c r="AC959" s="604" t="n">
        <x:v>0.250846901760055</x:v>
      </x:c>
      <x:c r="AD959" s="604" t="n"/>
      <x:c r="AE959" s="604" t="n"/>
      <x:c r="AF959" s="604" t="n">
        <x:v>0.2424707892073699</x:v>
      </x:c>
      <x:c r="AG959" s="604" t="n">
        <x:v>0.3833139131061069</x:v>
      </x:c>
      <x:c r="AH959" s="604" t="n"/>
      <x:c r="AI959" s="604" t="n"/>
      <x:c r="AJ959" s="604" t="n">
        <x:v>0.3833139131061069</x:v>
      </x:c>
      <x:c r="AK959" s="604" t="n"/>
      <x:c r="AL959" s="604" t="n"/>
      <x:c r="AM959" s="604" t="n"/>
      <x:c r="AN959" s="604" t="inlineStr">
        <x:is>
          <x:t xml:space="preserve">EVALUATED</x:t>
        </x:is>
      </x:c>
      <x:c r="AO959" s="604" t="inlineStr">
        <x:is>
          <x:t xml:space="preserve">RECEIVING_VALIDATED_EDGE、BUCKET_PRIOR_ONLY、INTENT_INTERPRETATION_ONLY、FFL_OPTIONAL、EXPERT_MARKET</x:t>
        </x:is>
      </x:c>
      <x:c r="AP959" s="604" t="inlineStr">
        <x:is>
          <x:t xml:space="preserve">efd528eaf18f15201417</x:t>
        </x:is>
      </x:c>
      <x:c r="AQ959" s="604" t="n">
        <x:v>0.25</x:v>
      </x:c>
      <x:c r="AR959" s="604" t="n">
        <x:v>0.99</x:v>
      </x:c>
      <x:c r="AS959" s="604" t="n">
        <x:v>-0.25</x:v>
      </x:c>
      <x:c r="AT959" s="604" t="n">
        <x:v>0.25</x:v>
      </x:c>
      <x:c r="AU959" s="604" t="n">
        <x:v>0.99</x:v>
      </x:c>
      <x:c r="AV959" s="604" t="n">
        <x:v>0.89</x:v>
      </x:c>
      <x:c r="AW959" s="604" t="n">
        <x:v>46299.08204853009</x:v>
      </x:c>
      <x:c r="AX959" s="604" t="inlineStr">
        <x:is>
          <x:t xml:space="preserve">https://simondongxiao.github.io/odds/v4/</x:t>
        </x:is>
      </x:c>
      <x:c r="AY959" s="604" t="inlineStr">
        <x:is>
          <x:t xml:space="preserve">V4 Shadow Only；real_money=false；P(EV&gt;0)不是比赛胜率</x:t>
        </x:is>
      </x:c>
    </x:row>
    <x:row r="960" ht="22" customHeight="1">
      <x:c r="A960" s="604" t="inlineStr">
        <x:is>
          <x:t xml:space="preserve">2026-10-04</x:t>
        </x:is>
      </x:c>
      <x:c r="B960" s="604" t="inlineStr">
        <x:is>
          <x:t xml:space="preserve">2026-10-05 00:00</x:t>
        </x:is>
      </x:c>
      <x:c r="C960" s="604" t="str">
        <x:v>欧洲非五大系列</x:v>
      </x:c>
      <x:c r="D960" s="604" t="inlineStr">
        <x:is>
          <x:t xml:space="preserve">联赛</x:t>
        </x:is>
      </x:c>
      <x:c r="E960" s="604" t="inlineStr">
        <x:is>
          <x:t xml:space="preserve">欧国联</x:t>
        </x:is>
      </x:c>
      <x:c r="F960" s="604" t="inlineStr">
        <x:is>
          <x:t xml:space="preserve">马耳他 vs 安道尔</x:t>
        </x:is>
      </x:c>
      <x:c r="G960" s="604" t="n">
        <x:v>0.89</x:v>
      </x:c>
      <x:c r="H960" s="604" t="n">
        <x:v>0.75</x:v>
      </x:c>
      <x:c r="I960" s="604" t="n">
        <x:v>0.99</x:v>
      </x:c>
      <x:c r="J960" s="604" t="inlineStr">
        <x:is>
          <x:t xml:space="preserve">0.89/0.75/0.99</x:t>
        </x:is>
      </x:c>
      <x:c r="K960" s="604" t="inlineStr">
        <x:is>
          <x:t xml:space="preserve">V4-B｜EV +0.2601</x:t>
        </x:is>
      </x:c>
      <x:c r="L960" s="604" t="inlineStr">
        <x:is>
          <x:t xml:space="preserve">马耳他</x:t>
        </x:is>
      </x:c>
      <x:c r="M960" s="604" t="n">
        <x:v>0.6870024539800558</x:v>
      </x:c>
      <x:c r="N960" s="604" t="inlineStr">
        <x:is>
          <x:t xml:space="preserve">V4纸面入选-B</x:t>
        </x:is>
      </x:c>
      <x:c r="O960" s="604" t="inlineStr">
        <x:is>
          <x:t xml:space="preserve">1-0</x:t>
        </x:is>
      </x:c>
      <x:c r="P960" s="604" t="inlineStr">
        <x:is>
          <x:t xml:space="preserve">已结算</x:t>
        </x:is>
      </x:c>
      <x:c r="Q960" s="649" t="inlineStr">
        <x:is>
          <x:t xml:space="preserve">半红</x:t>
        </x:is>
      </x:c>
      <x:c r="R960" s="604" t="n">
        <x:v>0.89</x:v>
      </x:c>
      <x:c r="S960" s="604" t="n">
        <x:f>IF(OR(Q960="",Q960="待结算"),"",IF(Q960="红",R960,IF(Q960="半红",R960*0.5,IF(Q960="走",0,IF(Q960="半黑",-0.5,-1)))))</x:f>
        <x:v>0.445</x:v>
      </x:c>
      <x:c r="T960" s="604" t="inlineStr">
        <x:is>
          <x:t xml:space="preserve">https://m.titan007.com/analy/Analysis/2981578.htm</x:t>
        </x:is>
      </x:c>
      <x:c r="U960" s="648" t="str">
        <x:f>IF(Q960="","",IF(Q960="待结算","待结算",IF(Q960="红","黑",IF(Q960="半红","半黑",IF(Q960="走","走",IF(Q960="半黑","半红","红"))))))</x:f>
        <x:v>半黑</x:v>
      </x:c>
      <x:c r="V960" s="604" t="n">
        <x:f>IF(OR(Q960="",Q960="待结算"),"",IF(L960=LEFT(F960,FIND(" vs ",F960)-1),I960,G960))</x:f>
        <x:v>0.99</x:v>
      </x:c>
      <x:c r="W960" s="604" t="n">
        <x:f>IF(OR(U960="",U960="待结算"),"",IF(U960="红",V960,IF(U960="半红",V960*0.5,IF(U960="走",0,IF(U960="半黑",-0.5,-1)))))</x:f>
        <x:v>-0.5</x:v>
      </x:c>
      <x:c r="X960" s="604" t="inlineStr">
        <x:is>
          <x:t xml:space="preserve">2981578</x:t>
        </x:is>
      </x:c>
      <x:c r="Y960" s="604" t="inlineStr">
        <x:is>
          <x:t xml:space="preserve">V4</x:t>
        </x:is>
      </x:c>
      <x:c r="Z960" s="604" t="inlineStr">
        <x:is>
          <x:t xml:space="preserve">prior-2026-10-04-v1</x:t>
        </x:is>
      </x:c>
      <x:c r="AA960" s="604" t="inlineStr">
        <x:is>
          <x:t xml:space="preserve">B</x:t>
        </x:is>
      </x:c>
      <x:c r="AB960" s="604" t="n">
        <x:v>0.4703161443301062</x:v>
      </x:c>
      <x:c r="AC960" s="604" t="n">
        <x:v>0.2568891457611493</x:v>
      </x:c>
      <x:c r="AD960" s="604" t="n"/>
      <x:c r="AE960" s="604" t="n"/>
      <x:c r="AF960" s="604" t="n">
        <x:v>0.2727947099087445</x:v>
      </x:c>
      <x:c r="AG960" s="604" t="n">
        <x:v>0.2601023284087615</x:v>
      </x:c>
      <x:c r="AH960" s="604" t="n"/>
      <x:c r="AI960" s="604" t="n"/>
      <x:c r="AJ960" s="604" t="n">
        <x:v>0.2601023284087615</x:v>
      </x:c>
      <x:c r="AK960" s="604" t="n"/>
      <x:c r="AL960" s="604" t="n"/>
      <x:c r="AM960" s="604" t="n"/>
      <x:c r="AN960" s="604" t="inlineStr">
        <x:is>
          <x:t xml:space="preserve">EVALUATED</x:t>
        </x:is>
      </x:c>
      <x:c r="AO960" s="604" t="inlineStr">
        <x:is>
          <x:t xml:space="preserve">GIVING_VALIDATED_EDGE、BUCKET_PRIOR_ONLY、INTENT_INTERPRETATION_ONLY、FFL_OPTIONAL、EXPERT_MARKET</x:t>
        </x:is>
      </x:c>
      <x:c r="AP960" s="604" t="inlineStr">
        <x:is>
          <x:t xml:space="preserve">51a4242fdfb252cbf9c7</x:t>
        </x:is>
      </x:c>
      <x:c r="AQ960" s="604" t="n">
        <x:v>-0.75</x:v>
      </x:c>
      <x:c r="AR960" s="604" t="n">
        <x:v>0.89</x:v>
      </x:c>
      <x:c r="AS960" s="604" t="n">
        <x:v>0.75</x:v>
      </x:c>
      <x:c r="AT960" s="604" t="n">
        <x:v>-0.75</x:v>
      </x:c>
      <x:c r="AU960" s="604" t="n">
        <x:v>0.89</x:v>
      </x:c>
      <x:c r="AV960" s="604" t="n">
        <x:v>0.99</x:v>
      </x:c>
      <x:c r="AW960" s="604" t="n">
        <x:v>46299.08204853009</x:v>
      </x:c>
      <x:c r="AX960" s="604" t="inlineStr">
        <x:is>
          <x:t xml:space="preserve">https://simondongxiao.github.io/odds/v4/</x:t>
        </x:is>
      </x:c>
      <x:c r="AY960" s="604" t="inlineStr">
        <x:is>
          <x:t xml:space="preserve">V4 Shadow Only；real_money=false；P(EV&gt;0)不是比赛胜率</x:t>
        </x:is>
      </x:c>
    </x:row>
    <x:row r="961" ht="22" customHeight="1">
      <x:c r="A961" s="604" t="inlineStr">
        <x:is>
          <x:t xml:space="preserve">2026-10-04</x:t>
        </x:is>
      </x:c>
      <x:c r="B961" s="604" t="inlineStr">
        <x:is>
          <x:t xml:space="preserve">2026-10-05 00:00</x:t>
        </x:is>
      </x:c>
      <x:c r="C961" s="604" t="str">
        <x:v>五大联赛非顶级联赛</x:v>
      </x:c>
      <x:c r="D961" s="604" t="inlineStr">
        <x:is>
          <x:t xml:space="preserve">联赛</x:t>
        </x:is>
      </x:c>
      <x:c r="E961" s="604" t="inlineStr">
        <x:is>
          <x:t xml:space="preserve">西协乙2</x:t>
        </x:is>
      </x:c>
      <x:c r="F961" s="604" t="inlineStr">
        <x:is>
          <x:t xml:space="preserve">图德拉诺 vs 巴塞罗那B队</x:t>
        </x:is>
      </x:c>
      <x:c r="G961" s="604" t="n">
        <x:v>0.85</x:v>
      </x:c>
      <x:c r="H961" s="604" t="n">
        <x:v>-0.5</x:v>
      </x:c>
      <x:c r="I961" s="604" t="n">
        <x:v>0.85</x:v>
      </x:c>
      <x:c r="J961" s="604" t="inlineStr">
        <x:is>
          <x:t xml:space="preserve">0.85/-0.5/0.85</x:t>
        </x:is>
      </x:c>
      <x:c r="K961" s="604" t="inlineStr">
        <x:is>
          <x:t xml:space="preserve">V4-B｜EV +0.5114</x:t>
        </x:is>
      </x:c>
      <x:c r="L961" s="604" t="inlineStr">
        <x:is>
          <x:t xml:space="preserve">图德拉诺</x:t>
        </x:is>
      </x:c>
      <x:c r="M961" s="604" t="n">
        <x:v>0.8169915267474086</x:v>
      </x:c>
      <x:c r="N961" s="604" t="inlineStr">
        <x:is>
          <x:t xml:space="preserve">V4纸面入选-B</x:t>
        </x:is>
      </x:c>
      <x:c r="O961" s="604" t="inlineStr">
        <x:is>
          <x:t xml:space="preserve">1-2</x:t>
        </x:is>
      </x:c>
      <x:c r="P961" s="604" t="inlineStr">
        <x:is>
          <x:t xml:space="preserve">已结算</x:t>
        </x:is>
      </x:c>
      <x:c r="Q961" s="646" t="inlineStr">
        <x:is>
          <x:t xml:space="preserve">黑</x:t>
        </x:is>
      </x:c>
      <x:c r="R961" s="604" t="n">
        <x:v>0.85</x:v>
      </x:c>
      <x:c r="S961" s="604" t="n">
        <x:f>IF(OR(Q961="",Q961="待结算"),"",IF(Q961="红",R961,IF(Q961="半红",R961*0.5,IF(Q961="走",0,IF(Q961="半黑",-0.5,-1)))))</x:f>
        <x:v>-1</x:v>
      </x:c>
      <x:c r="T961" s="604" t="inlineStr">
        <x:is>
          <x:t xml:space="preserve">https://m.titan007.com/analy/Analysis/3083299.htm</x:t>
        </x:is>
      </x:c>
      <x:c r="U961" s="645" t="str">
        <x:f>IF(Q961="","",IF(Q961="待结算","待结算",IF(Q961="红","黑",IF(Q961="半红","半黑",IF(Q961="走","走",IF(Q961="半黑","半红","红"))))))</x:f>
        <x:v>红</x:v>
      </x:c>
      <x:c r="V961" s="604" t="n">
        <x:f>IF(OR(Q961="",Q961="待结算"),"",IF(L961=LEFT(F961,FIND(" vs ",F961)-1),I961,G961))</x:f>
        <x:v>0.85</x:v>
      </x:c>
      <x:c r="W961" s="604" t="n">
        <x:f>IF(OR(U961="",U961="待结算"),"",IF(U961="红",V961,IF(U961="半红",V961*0.5,IF(U961="走",0,IF(U961="半黑",-0.5,-1)))))</x:f>
        <x:v>0.85</x:v>
      </x:c>
      <x:c r="X961" s="604" t="inlineStr">
        <x:is>
          <x:t xml:space="preserve">3083299</x:t>
        </x:is>
      </x:c>
      <x:c r="Y961" s="604" t="inlineStr">
        <x:is>
          <x:t xml:space="preserve">V4</x:t>
        </x:is>
      </x:c>
      <x:c r="Z961" s="604" t="inlineStr">
        <x:is>
          <x:t xml:space="preserve">prior-2026-10-04-v1</x:t>
        </x:is>
      </x:c>
      <x:c r="AA961" s="604" t="inlineStr">
        <x:is>
          <x:t xml:space="preserve">B</x:t>
        </x:is>
      </x:c>
      <x:c r="AB961" s="604" t="n">
        <x:v>0.8169915267474086</x:v>
      </x:c>
      <x:c r="AC961" s="604" t="n"/>
      <x:c r="AD961" s="604" t="n"/>
      <x:c r="AE961" s="604" t="n"/>
      <x:c r="AF961" s="604" t="n">
        <x:v>0.1830084732525914</x:v>
      </x:c>
      <x:c r="AG961" s="604" t="n">
        <x:v>0.5114343244827059</x:v>
      </x:c>
      <x:c r="AH961" s="604" t="n"/>
      <x:c r="AI961" s="604" t="n"/>
      <x:c r="AJ961" s="604" t="n">
        <x:v>0.5114343244827059</x:v>
      </x:c>
      <x:c r="AK961" s="604" t="n"/>
      <x:c r="AL961" s="604" t="n"/>
      <x:c r="AM961" s="604" t="n"/>
      <x:c r="AN961" s="604" t="inlineStr">
        <x:is>
          <x:t xml:space="preserve">EVALUATED</x:t>
        </x:is>
      </x:c>
      <x:c r="AO961" s="604" t="inlineStr">
        <x:is>
          <x:t xml:space="preserve">RECEIVING_VALIDATED_EDGE、BUCKET_PRIOR_ONLY、INTENT_INTERPRETATION_ONLY、FFL_OPTIONAL、EXPERT_MARKET</x:t>
        </x:is>
      </x:c>
      <x:c r="AP961" s="604" t="inlineStr">
        <x:is>
          <x:t xml:space="preserve">7a5ff28f7be314cf9099</x:t>
        </x:is>
      </x:c>
      <x:c r="AQ961" s="604" t="n">
        <x:v>0.5</x:v>
      </x:c>
      <x:c r="AR961" s="604" t="n">
        <x:v>0.85</x:v>
      </x:c>
      <x:c r="AS961" s="604" t="n">
        <x:v>-0.5</x:v>
      </x:c>
      <x:c r="AT961" s="604" t="n">
        <x:v>0.5</x:v>
      </x:c>
      <x:c r="AU961" s="604" t="n">
        <x:v>0.85</x:v>
      </x:c>
      <x:c r="AV961" s="604" t="n">
        <x:v>0.85</x:v>
      </x:c>
      <x:c r="AW961" s="604" t="n">
        <x:v>46299.08204853009</x:v>
      </x:c>
      <x:c r="AX961" s="604" t="inlineStr">
        <x:is>
          <x:t xml:space="preserve">https://simondongxiao.github.io/odds/v4/</x:t>
        </x:is>
      </x:c>
      <x:c r="AY961" s="604" t="inlineStr">
        <x:is>
          <x:t xml:space="preserve">V4 Shadow Only；real_money=false；P(EV&gt;0)不是比赛胜率</x:t>
        </x:is>
      </x:c>
    </x:row>
    <x:row r="962" ht="22" customHeight="1">
      <x:c r="A962" s="604" t="inlineStr">
        <x:is>
          <x:t xml:space="preserve">2026-10-04</x:t>
        </x:is>
      </x:c>
      <x:c r="B962" s="604" t="inlineStr">
        <x:is>
          <x:t xml:space="preserve">2026-10-05 00:00</x:t>
        </x:is>
      </x:c>
      <x:c r="C962" s="604" t="str">
        <x:v>五大联赛非顶级联赛</x:v>
      </x:c>
      <x:c r="D962" s="604" t="inlineStr">
        <x:is>
          <x:t xml:space="preserve">联赛</x:t>
        </x:is>
      </x:c>
      <x:c r="E962" s="604" t="inlineStr">
        <x:is>
          <x:t xml:space="preserve">西丁</x:t>
        </x:is>
      </x:c>
      <x:c r="F962" s="604" t="inlineStr">
        <x:is>
          <x:t xml:space="preserve">奇克拉纳 vs 塞维利亚C队</x:t>
        </x:is>
      </x:c>
      <x:c r="G962" s="604" t="n">
        <x:v>0.8</x:v>
      </x:c>
      <x:c r="H962" s="604" t="n">
        <x:v>0</x:v>
      </x:c>
      <x:c r="I962" s="604" t="n">
        <x:v>0.9</x:v>
      </x:c>
      <x:c r="J962" s="604" t="inlineStr">
        <x:is>
          <x:t xml:space="preserve">0.8/0/0.9</x:t>
        </x:is>
      </x:c>
      <x:c r="K962" s="604" t="inlineStr">
        <x:is>
          <x:t xml:space="preserve">V4-C｜EV +0.0285</x:t>
        </x:is>
      </x:c>
      <x:c r="L962" s="604" t="str"/>
      <x:c r="M962" s="604" t="n">
        <x:v>0.5736910063903805</x:v>
      </x:c>
      <x:c r="N962" s="604" t="inlineStr">
        <x:is>
          <x:t xml:space="preserve">V4纸面入选-C</x:t>
        </x:is>
      </x:c>
      <x:c r="O962" s="604" t="inlineStr">
        <x:is>
          <x:t xml:space="preserve">1-1</x:t>
        </x:is>
      </x:c>
      <x:c r="P962" s="604" t="inlineStr">
        <x:is>
          <x:t xml:space="preserve">已结算</x:t>
        </x:is>
      </x:c>
      <x:c r="Q962" s="647" t="inlineStr">
        <x:is>
          <x:t xml:space="preserve">走</x:t>
        </x:is>
      </x:c>
      <x:c r="R962" s="604" t="n">
        <x:v>0.9</x:v>
      </x:c>
      <x:c r="S962" s="604" t="n">
        <x:f>IF(OR(Q962="",Q962="待结算"),"",IF(Q962="红",R962,IF(Q962="半红",R962*0.5,IF(Q962="走",0,IF(Q962="半黑",-0.5,-1)))))</x:f>
        <x:v>0</x:v>
      </x:c>
      <x:c r="T962" s="604" t="inlineStr">
        <x:is>
          <x:t xml:space="preserve">https://m.titan007.com/analy/Analysis/3082682.htm</x:t>
        </x:is>
      </x:c>
      <x:c r="U962" s="647" t="str">
        <x:f>IF(Q962="","",IF(Q962="待结算","待结算",IF(Q962="红","黑",IF(Q962="半红","半黑",IF(Q962="走","走",IF(Q962="半黑","半红","红"))))))</x:f>
        <x:v>走</x:v>
      </x:c>
      <x:c r="V962" s="604" t="n">
        <x:f>IF(OR(Q962="",Q962="待结算"),"",IF(L962=LEFT(F962,FIND(" vs ",F962)-1),I962,G962))</x:f>
        <x:v>0.8</x:v>
      </x:c>
      <x:c r="W962" s="604" t="n">
        <x:f>IF(OR(U962="",U962="待结算"),"",IF(U962="红",V962,IF(U962="半红",V962*0.5,IF(U962="走",0,IF(U962="半黑",-0.5,-1)))))</x:f>
        <x:v>0</x:v>
      </x:c>
      <x:c r="X962" s="604" t="inlineStr">
        <x:is>
          <x:t xml:space="preserve">3082682</x:t>
        </x:is>
      </x:c>
      <x:c r="Y962" s="604" t="inlineStr">
        <x:is>
          <x:t xml:space="preserve">V4</x:t>
        </x:is>
      </x:c>
      <x:c r="Z962" s="604" t="inlineStr">
        <x:is>
          <x:t xml:space="preserve">prior-2026-10-04-v1</x:t>
        </x:is>
      </x:c>
      <x:c r="AA962" s="604" t="inlineStr">
        <x:is>
          <x:t xml:space="preserve">C</x:t>
        </x:is>
      </x:c>
      <x:c r="AB962" s="604" t="n">
        <x:v>0.5010951948425315</x:v>
      </x:c>
      <x:c r="AC962" s="604" t="n"/>
      <x:c r="AD962" s="604" t="n"/>
      <x:c r="AE962" s="604" t="n">
        <x:v>0.2530833174625353</x:v>
      </x:c>
      <x:c r="AF962" s="604" t="n">
        <x:v>0.2458214876949332</x:v>
      </x:c>
      <x:c r="AG962" s="604" t="n">
        <x:v>0.02851300944782442</x:v>
      </x:c>
      <x:c r="AH962" s="604" t="n"/>
      <x:c r="AI962" s="604" t="n"/>
      <x:c r="AJ962" s="604" t="n">
        <x:v>0.02851300944782442</x:v>
      </x:c>
      <x:c r="AK962" s="604" t="n"/>
      <x:c r="AL962" s="604" t="n"/>
      <x:c r="AM962" s="604" t="n"/>
      <x:c r="AN962" s="604" t="inlineStr">
        <x:is>
          <x:t xml:space="preserve">EVALUATED</x:t>
        </x:is>
      </x:c>
      <x:c r="AO962" s="604" t="inlineStr">
        <x:is>
          <x:t xml:space="preserve">EDGE_BELOW_UNCERTAINTY_THRESHOLD、BUCKET_PRIOR_ONLY、INTENT_INTERPRETATION_ONLY、FFL_OPTIONAL、EXPERT_MARKET</x:t>
        </x:is>
      </x:c>
      <x:c r="AP962" s="604" t="inlineStr">
        <x:is>
          <x:t xml:space="preserve">150ced2930ce811425fd</x:t>
        </x:is>
      </x:c>
      <x:c r="AQ962" s="604" t="n">
        <x:v>0</x:v>
      </x:c>
      <x:c r="AR962" s="604" t="n"/>
      <x:c r="AS962" s="604" t="n">
        <x:v>0</x:v>
      </x:c>
      <x:c r="AT962" s="604" t="n">
        <x:v>0</x:v>
      </x:c>
      <x:c r="AU962" s="604" t="n">
        <x:v>0.8</x:v>
      </x:c>
      <x:c r="AV962" s="604" t="n">
        <x:v>0.9</x:v>
      </x:c>
      <x:c r="AW962" s="604" t="n">
        <x:v>46299.08204853009</x:v>
      </x:c>
      <x:c r="AX962" s="604" t="inlineStr">
        <x:is>
          <x:t xml:space="preserve">https://simondongxiao.github.io/odds/v4/</x:t>
        </x:is>
      </x:c>
      <x:c r="AY962" s="604" t="inlineStr">
        <x:is>
          <x:t xml:space="preserve">V4 Shadow Only；real_money=false；P(EV&gt;0)不是比赛胜率</x:t>
        </x:is>
      </x:c>
    </x:row>
    <x:row r="963" ht="22" customHeight="1">
      <x:c r="A963" s="604" t="inlineStr">
        <x:is>
          <x:t xml:space="preserve">2026-10-04</x:t>
        </x:is>
      </x:c>
      <x:c r="B963" s="604" t="inlineStr">
        <x:is>
          <x:t xml:space="preserve">2026-10-05 00:00</x:t>
        </x:is>
      </x:c>
      <x:c r="C963" s="604" t="str">
        <x:v>五大联赛非顶级联赛</x:v>
      </x:c>
      <x:c r="D963" s="604" t="inlineStr">
        <x:is>
          <x:t xml:space="preserve">联赛</x:t>
        </x:is>
      </x:c>
      <x:c r="E963" s="604" t="inlineStr">
        <x:is>
          <x:t xml:space="preserve">意女甲</x:t>
        </x:is>
      </x:c>
      <x:c r="F963" s="604" t="inlineStr">
        <x:is>
          <x:t xml:space="preserve">FC科莫女足 vs 国际米兰女足</x:t>
        </x:is>
      </x:c>
      <x:c r="G963" s="604" t="n">
        <x:v>0.86</x:v>
      </x:c>
      <x:c r="H963" s="604" t="n">
        <x:v>-0.75</x:v>
      </x:c>
      <x:c r="I963" s="604" t="n">
        <x:v>0.84</x:v>
      </x:c>
      <x:c r="J963" s="604" t="inlineStr">
        <x:is>
          <x:t xml:space="preserve">0.86/-0.75/0.84</x:t>
        </x:is>
      </x:c>
      <x:c r="K963" s="604" t="inlineStr">
        <x:is>
          <x:t xml:space="preserve">V4-B｜EV +0.6577</x:t>
        </x:is>
      </x:c>
      <x:c r="L963" s="604" t="inlineStr">
        <x:is>
          <x:t xml:space="preserve">FC科莫女足</x:t>
        </x:is>
      </x:c>
      <x:c r="M963" s="604" t="n">
        <x:v>0.9094393396594271</x:v>
      </x:c>
      <x:c r="N963" s="604" t="inlineStr">
        <x:is>
          <x:t xml:space="preserve">V4纸面入选-B</x:t>
        </x:is>
      </x:c>
      <x:c r="O963" s="604" t="inlineStr">
        <x:is>
          <x:t xml:space="preserve">0-2</x:t>
        </x:is>
      </x:c>
      <x:c r="P963" s="604" t="inlineStr">
        <x:is>
          <x:t xml:space="preserve">已结算</x:t>
        </x:is>
      </x:c>
      <x:c r="Q963" s="646" t="inlineStr">
        <x:is>
          <x:t xml:space="preserve">黑</x:t>
        </x:is>
      </x:c>
      <x:c r="R963" s="604" t="n">
        <x:v>0.86</x:v>
      </x:c>
      <x:c r="S963" s="604" t="n">
        <x:f>IF(OR(Q963="",Q963="待结算"),"",IF(Q963="红",R963,IF(Q963="半红",R963*0.5,IF(Q963="走",0,IF(Q963="半黑",-0.5,-1)))))</x:f>
        <x:v>-1</x:v>
      </x:c>
      <x:c r="T963" s="604" t="inlineStr">
        <x:is>
          <x:t xml:space="preserve">https://m.titan007.com/analy/Analysis/3042386.htm</x:t>
        </x:is>
      </x:c>
      <x:c r="U963" s="645" t="str">
        <x:f>IF(Q963="","",IF(Q963="待结算","待结算",IF(Q963="红","黑",IF(Q963="半红","半黑",IF(Q963="走","走",IF(Q963="半黑","半红","红"))))))</x:f>
        <x:v>红</x:v>
      </x:c>
      <x:c r="V963" s="604" t="n">
        <x:f>IF(OR(Q963="",Q963="待结算"),"",IF(L963=LEFT(F963,FIND(" vs ",F963)-1),I963,G963))</x:f>
        <x:v>0.84</x:v>
      </x:c>
      <x:c r="W963" s="604" t="n">
        <x:f>IF(OR(U963="",U963="待结算"),"",IF(U963="红",V963,IF(U963="半红",V963*0.5,IF(U963="走",0,IF(U963="半黑",-0.5,-1)))))</x:f>
        <x:v>0.84</x:v>
      </x:c>
      <x:c r="X963" s="604" t="inlineStr">
        <x:is>
          <x:t xml:space="preserve">3042386</x:t>
        </x:is>
      </x:c>
      <x:c r="Y963" s="604" t="inlineStr">
        <x:is>
          <x:t xml:space="preserve">V4</x:t>
        </x:is>
      </x:c>
      <x:c r="Z963" s="604" t="inlineStr">
        <x:is>
          <x:t xml:space="preserve">prior-2026-10-04-v1</x:t>
        </x:is>
      </x:c>
      <x:c r="AA963" s="604" t="inlineStr">
        <x:is>
          <x:t xml:space="preserve">B</x:t>
        </x:is>
      </x:c>
      <x:c r="AB963" s="604" t="n">
        <x:v>0.8649106049306413</x:v>
      </x:c>
      <x:c r="AC963" s="604" t="n"/>
      <x:c r="AD963" s="604" t="n"/>
      <x:c r="AE963" s="604" t="n">
        <x:v>0.09792568407137797</x:v>
      </x:c>
      <x:c r="AF963" s="604" t="n">
        <x:v>0.03716371099798071</x:v>
      </x:c>
      <x:c r="AG963" s="604" t="n">
        <x:v>0.6576965672066817</x:v>
      </x:c>
      <x:c r="AH963" s="604" t="n"/>
      <x:c r="AI963" s="604" t="n"/>
      <x:c r="AJ963" s="604" t="n">
        <x:v>0.6576965672066817</x:v>
      </x:c>
      <x:c r="AK963" s="604" t="n"/>
      <x:c r="AL963" s="604" t="n"/>
      <x:c r="AM963" s="604" t="n"/>
      <x:c r="AN963" s="604" t="inlineStr">
        <x:is>
          <x:t xml:space="preserve">EVALUATED</x:t>
        </x:is>
      </x:c>
      <x:c r="AO963" s="604" t="inlineStr">
        <x:is>
          <x:t xml:space="preserve">RECEIVING_VALIDATED_EDGE、BUCKET_PRIOR_ONLY、INTENT_INTERPRETATION_ONLY、FFL_OPTIONAL、EXPERT_MARKET</x:t>
        </x:is>
      </x:c>
      <x:c r="AP963" s="604" t="inlineStr">
        <x:is>
          <x:t xml:space="preserve">23f99f64f93597a537d7</x:t>
        </x:is>
      </x:c>
      <x:c r="AQ963" s="604" t="n">
        <x:v>0.75</x:v>
      </x:c>
      <x:c r="AR963" s="604" t="n">
        <x:v>0.86</x:v>
      </x:c>
      <x:c r="AS963" s="604" t="n">
        <x:v>-0.75</x:v>
      </x:c>
      <x:c r="AT963" s="604" t="n">
        <x:v>0.75</x:v>
      </x:c>
      <x:c r="AU963" s="604" t="n">
        <x:v>0.86</x:v>
      </x:c>
      <x:c r="AV963" s="604" t="n">
        <x:v>0.84</x:v>
      </x:c>
      <x:c r="AW963" s="604" t="n">
        <x:v>46299.08204853009</x:v>
      </x:c>
      <x:c r="AX963" s="604" t="inlineStr">
        <x:is>
          <x:t xml:space="preserve">https://simondongxiao.github.io/odds/v4/</x:t>
        </x:is>
      </x:c>
      <x:c r="AY963" s="604" t="inlineStr">
        <x:is>
          <x:t xml:space="preserve">V4 Shadow Only；real_money=false；P(EV&gt;0)不是比赛胜率</x:t>
        </x:is>
      </x:c>
    </x:row>
    <x:row r="964" ht="22" customHeight="1">
      <x:c r="A964" s="604" t="inlineStr">
        <x:is>
          <x:t xml:space="preserve">2026-10-04</x:t>
        </x:is>
      </x:c>
      <x:c r="B964" s="604" t="inlineStr">
        <x:is>
          <x:t xml:space="preserve">2026-10-05 00:00</x:t>
        </x:is>
      </x:c>
      <x:c r="C964" s="604" t="str">
        <x:v>南美系列</x:v>
      </x:c>
      <x:c r="D964" s="604" t="inlineStr">
        <x:is>
          <x:t xml:space="preserve">联赛</x:t>
        </x:is>
      </x:c>
      <x:c r="E964" s="604" t="inlineStr">
        <x:is>
          <x:t xml:space="preserve">乌拉乙</x:t>
        </x:is>
      </x:c>
      <x:c r="F964" s="604" t="inlineStr">
        <x:is>
          <x:t xml:space="preserve">芬斯 vs 蒙特维迪奥</x:t>
        </x:is>
      </x:c>
      <x:c r="G964" s="604" t="n">
        <x:v>0.71</x:v>
      </x:c>
      <x:c r="H964" s="604" t="n">
        <x:v>0.75</x:v>
      </x:c>
      <x:c r="I964" s="604" t="n">
        <x:v>0.99</x:v>
      </x:c>
      <x:c r="J964" s="604" t="inlineStr">
        <x:is>
          <x:t xml:space="preserve">0.71/0.75/0.99</x:t>
        </x:is>
      </x:c>
      <x:c r="K964" s="604" t="inlineStr">
        <x:is>
          <x:t xml:space="preserve">V4-B｜EV +0.0731</x:t>
        </x:is>
      </x:c>
      <x:c r="L964" s="604" t="inlineStr">
        <x:is>
          <x:t xml:space="preserve">芬斯</x:t>
        </x:is>
      </x:c>
      <x:c r="M964" s="604" t="n">
        <x:v>0.6338660156791163</x:v>
      </x:c>
      <x:c r="N964" s="604" t="inlineStr">
        <x:is>
          <x:t xml:space="preserve">V4纸面入选-B</x:t>
        </x:is>
      </x:c>
      <x:c r="O964" s="604" t="inlineStr">
        <x:is>
          <x:t xml:space="preserve">2-0</x:t>
        </x:is>
      </x:c>
      <x:c r="P964" s="604" t="inlineStr">
        <x:is>
          <x:t xml:space="preserve">已结算</x:t>
        </x:is>
      </x:c>
      <x:c r="Q964" s="645" t="inlineStr">
        <x:is>
          <x:t xml:space="preserve">红</x:t>
        </x:is>
      </x:c>
      <x:c r="R964" s="604" t="n">
        <x:v>0.71</x:v>
      </x:c>
      <x:c r="S964" s="604" t="n">
        <x:f>IF(OR(Q964="",Q964="待结算"),"",IF(Q964="红",R964,IF(Q964="半红",R964*0.5,IF(Q964="走",0,IF(Q964="半黑",-0.5,-1)))))</x:f>
        <x:v>0.71</x:v>
      </x:c>
      <x:c r="T964" s="604" t="inlineStr">
        <x:is>
          <x:t xml:space="preserve">https://m.titan007.com/analy/Analysis/3096435.htm</x:t>
        </x:is>
      </x:c>
      <x:c r="U964" s="646" t="str">
        <x:f>IF(Q964="","",IF(Q964="待结算","待结算",IF(Q964="红","黑",IF(Q964="半红","半黑",IF(Q964="走","走",IF(Q964="半黑","半红","红"))))))</x:f>
        <x:v>黑</x:v>
      </x:c>
      <x:c r="V964" s="604" t="n">
        <x:f>IF(OR(Q964="",Q964="待结算"),"",IF(L964=LEFT(F964,FIND(" vs ",F964)-1),I964,G964))</x:f>
        <x:v>0.99</x:v>
      </x:c>
      <x:c r="W964" s="604" t="n">
        <x:f>IF(OR(U964="",U964="待结算"),"",IF(U964="红",V964,IF(U964="半红",V964*0.5,IF(U964="走",0,IF(U964="半黑",-0.5,-1)))))</x:f>
        <x:v>-1</x:v>
      </x:c>
      <x:c r="X964" s="604" t="inlineStr">
        <x:is>
          <x:t xml:space="preserve">3096435</x:t>
        </x:is>
      </x:c>
      <x:c r="Y964" s="604" t="inlineStr">
        <x:is>
          <x:t xml:space="preserve">V4</x:t>
        </x:is>
      </x:c>
      <x:c r="Z964" s="604" t="inlineStr">
        <x:is>
          <x:t xml:space="preserve">prior-2026-10-04-v1</x:t>
        </x:is>
      </x:c>
      <x:c r="AA964" s="604" t="inlineStr">
        <x:is>
          <x:t xml:space="preserve">B</x:t>
        </x:is>
      </x:c>
      <x:c r="AB964" s="604" t="n">
        <x:v>0.4232122716085005</x:v>
      </x:c>
      <x:c r="AC964" s="604" t="n">
        <x:v>0.2578592639165183</x:v>
      </x:c>
      <x:c r="AD964" s="604" t="n"/>
      <x:c r="AE964" s="604" t="n"/>
      <x:c r="AF964" s="604" t="n">
        <x:v>0.3189284644749811</x:v>
      </x:c>
      <x:c r="AG964" s="604" t="n">
        <x:v>0.07309228705741816</x:v>
      </x:c>
      <x:c r="AH964" s="604" t="n"/>
      <x:c r="AI964" s="604" t="n"/>
      <x:c r="AJ964" s="604" t="n">
        <x:v>0.07309228705741816</x:v>
      </x:c>
      <x:c r="AK964" s="604" t="n"/>
      <x:c r="AL964" s="604" t="n"/>
      <x:c r="AM964" s="604" t="n"/>
      <x:c r="AN964" s="604" t="inlineStr">
        <x:is>
          <x:t xml:space="preserve">EVALUATED</x:t>
        </x:is>
      </x:c>
      <x:c r="AO964" s="604" t="inlineStr">
        <x:is>
          <x:t xml:space="preserve">GIVING_VALIDATED_EDGE、BUCKET_PRIOR_ONLY、INTENT_INTERPRETATION_ONLY、FFL_OPTIONAL、EXPERT_MARKET</x:t>
        </x:is>
      </x:c>
      <x:c r="AP964" s="604" t="inlineStr">
        <x:is>
          <x:t xml:space="preserve">5f428a7238ca984025be</x:t>
        </x:is>
      </x:c>
      <x:c r="AQ964" s="604" t="n">
        <x:v>-0.75</x:v>
      </x:c>
      <x:c r="AR964" s="604" t="n">
        <x:v>0.71</x:v>
      </x:c>
      <x:c r="AS964" s="604" t="n">
        <x:v>0.75</x:v>
      </x:c>
      <x:c r="AT964" s="604" t="n">
        <x:v>-0.75</x:v>
      </x:c>
      <x:c r="AU964" s="604" t="n">
        <x:v>0.71</x:v>
      </x:c>
      <x:c r="AV964" s="604" t="n">
        <x:v>0.99</x:v>
      </x:c>
      <x:c r="AW964" s="604" t="n">
        <x:v>46299.08204853009</x:v>
      </x:c>
      <x:c r="AX964" s="604" t="inlineStr">
        <x:is>
          <x:t xml:space="preserve">https://simondongxiao.github.io/odds/v4/</x:t>
        </x:is>
      </x:c>
      <x:c r="AY964" s="604" t="inlineStr">
        <x:is>
          <x:t xml:space="preserve">V4 Shadow Only；real_money=false；P(EV&gt;0)不是比赛胜率</x:t>
        </x:is>
      </x:c>
    </x:row>
    <x:row r="965" ht="22" customHeight="1">
      <x:c r="A965" s="604" t="inlineStr">
        <x:is>
          <x:t xml:space="preserve">2026-10-04</x:t>
        </x:is>
      </x:c>
      <x:c r="B965" s="604" t="inlineStr">
        <x:is>
          <x:t xml:space="preserve">2026-10-05 00:30</x:t>
        </x:is>
      </x:c>
      <x:c r="C965" s="604" t="str">
        <x:v>五大联赛非顶级联赛</x:v>
      </x:c>
      <x:c r="D965" s="604" t="inlineStr">
        <x:is>
          <x:t xml:space="preserve">联赛</x:t>
        </x:is>
      </x:c>
      <x:c r="E965" s="604" t="inlineStr">
        <x:is>
          <x:t xml:space="preserve">西乙</x:t>
        </x:is>
      </x:c>
      <x:c r="F965" s="604" t="inlineStr">
        <x:is>
          <x:t xml:space="preserve">卡斯迪隆 vs 休达</x:t>
        </x:is>
      </x:c>
      <x:c r="G965" s="604" t="n">
        <x:v>0.84</x:v>
      </x:c>
      <x:c r="H965" s="604" t="n">
        <x:v>1.75</x:v>
      </x:c>
      <x:c r="I965" s="604" t="n">
        <x:v>1.04</x:v>
      </x:c>
      <x:c r="J965" s="604" t="inlineStr">
        <x:is>
          <x:t xml:space="preserve">0.84/1.75/1.04</x:t>
        </x:is>
      </x:c>
      <x:c r="K965" s="604" t="inlineStr">
        <x:is>
          <x:t xml:space="preserve">V4-B｜EV +0.1614</x:t>
        </x:is>
      </x:c>
      <x:c r="L965" s="604" t="inlineStr">
        <x:is>
          <x:t xml:space="preserve">卡斯迪隆</x:t>
        </x:is>
      </x:c>
      <x:c r="M965" s="604" t="n">
        <x:v>0.6435633314185548</x:v>
      </x:c>
      <x:c r="N965" s="604" t="inlineStr">
        <x:is>
          <x:t xml:space="preserve">V4纸面入选-B</x:t>
        </x:is>
      </x:c>
      <x:c r="O965" s="604" t="inlineStr">
        <x:is>
          <x:t xml:space="preserve">1-1</x:t>
        </x:is>
      </x:c>
      <x:c r="P965" s="604" t="inlineStr">
        <x:is>
          <x:t xml:space="preserve">已结算</x:t>
        </x:is>
      </x:c>
      <x:c r="Q965" s="646" t="inlineStr">
        <x:is>
          <x:t xml:space="preserve">黑</x:t>
        </x:is>
      </x:c>
      <x:c r="R965" s="604" t="n">
        <x:v>0.84</x:v>
      </x:c>
      <x:c r="S965" s="604" t="n">
        <x:f>IF(OR(Q965="",Q965="待结算"),"",IF(Q965="红",R965,IF(Q965="半红",R965*0.5,IF(Q965="走",0,IF(Q965="半黑",-0.5,-1)))))</x:f>
        <x:v>-1</x:v>
      </x:c>
      <x:c r="T965" s="604" t="inlineStr">
        <x:is>
          <x:t xml:space="preserve">https://m.titan007.com/analy/Analysis/3014102.htm</x:t>
        </x:is>
      </x:c>
      <x:c r="U965" s="645" t="str">
        <x:f>IF(Q965="","",IF(Q965="待结算","待结算",IF(Q965="红","黑",IF(Q965="半红","半黑",IF(Q965="走","走",IF(Q965="半黑","半红","红"))))))</x:f>
        <x:v>红</x:v>
      </x:c>
      <x:c r="V965" s="604" t="n">
        <x:f>IF(OR(Q965="",Q965="待结算"),"",IF(L965=LEFT(F965,FIND(" vs ",F965)-1),I965,G965))</x:f>
        <x:v>1.04</x:v>
      </x:c>
      <x:c r="W965" s="604" t="n">
        <x:f>IF(OR(U965="",U965="待结算"),"",IF(U965="红",V965,IF(U965="半红",V965*0.5,IF(U965="走",0,IF(U965="半黑",-0.5,-1)))))</x:f>
        <x:v>1.04</x:v>
      </x:c>
      <x:c r="X965" s="604" t="inlineStr">
        <x:is>
          <x:t xml:space="preserve">3014102</x:t>
        </x:is>
      </x:c>
      <x:c r="Y965" s="604" t="inlineStr">
        <x:is>
          <x:t xml:space="preserve">V4</x:t>
        </x:is>
      </x:c>
      <x:c r="Z965" s="604" t="inlineStr">
        <x:is>
          <x:t xml:space="preserve">prior-2026-10-04-v1</x:t>
        </x:is>
      </x:c>
      <x:c r="AA965" s="604" t="inlineStr">
        <x:is>
          <x:t xml:space="preserve">B</x:t>
        </x:is>
      </x:c>
      <x:c r="AB965" s="604" t="n">
        <x:v>0.4405069645267892</x:v>
      </x:c>
      <x:c r="AC965" s="604" t="n">
        <x:v>0.24709284152319</x:v>
      </x:c>
      <x:c r="AD965" s="604" t="n"/>
      <x:c r="AE965" s="604" t="n"/>
      <x:c r="AF965" s="604" t="n">
        <x:v>0.3124001939500208</x:v>
      </x:c>
      <x:c r="AG965" s="604" t="n">
        <x:v>0.1614046496922219</x:v>
      </x:c>
      <x:c r="AH965" s="604" t="n"/>
      <x:c r="AI965" s="604" t="n"/>
      <x:c r="AJ965" s="604" t="n">
        <x:v>0.1614046496922219</x:v>
      </x:c>
      <x:c r="AK965" s="604" t="n"/>
      <x:c r="AL965" s="604" t="n"/>
      <x:c r="AM965" s="604" t="n"/>
      <x:c r="AN965" s="604" t="inlineStr">
        <x:is>
          <x:t xml:space="preserve">EVALUATED</x:t>
        </x:is>
      </x:c>
      <x:c r="AO965" s="604" t="inlineStr">
        <x:is>
          <x:t xml:space="preserve">GIVING_VALIDATED_EDGE、BUCKET_PRIOR_ONLY、INTENT_INTERPRETATION_ONLY、FFL_OPTIONAL、EXPERT_MARKET</x:t>
        </x:is>
      </x:c>
      <x:c r="AP965" s="604" t="inlineStr">
        <x:is>
          <x:t xml:space="preserve">62ef9a7a815f7e6c376f</x:t>
        </x:is>
      </x:c>
      <x:c r="AQ965" s="604" t="n">
        <x:v>-1.75</x:v>
      </x:c>
      <x:c r="AR965" s="604" t="n">
        <x:v>0.84</x:v>
      </x:c>
      <x:c r="AS965" s="604" t="n">
        <x:v>1.75</x:v>
      </x:c>
      <x:c r="AT965" s="604" t="n">
        <x:v>-1.75</x:v>
      </x:c>
      <x:c r="AU965" s="604" t="n">
        <x:v>0.84</x:v>
      </x:c>
      <x:c r="AV965" s="604" t="n">
        <x:v>1.04</x:v>
      </x:c>
      <x:c r="AW965" s="604" t="n">
        <x:v>46299.08204853009</x:v>
      </x:c>
      <x:c r="AX965" s="604" t="inlineStr">
        <x:is>
          <x:t xml:space="preserve">https://simondongxiao.github.io/odds/v4/</x:t>
        </x:is>
      </x:c>
      <x:c r="AY965" s="604" t="inlineStr">
        <x:is>
          <x:t xml:space="preserve">V4 Shadow Only；real_money=false；P(EV&gt;0)不是比赛胜率</x:t>
        </x:is>
      </x:c>
    </x:row>
    <x:row r="966" ht="22" customHeight="1">
      <x:c r="A966" s="604" t="inlineStr">
        <x:is>
          <x:t xml:space="preserve">2026-10-04</x:t>
        </x:is>
      </x:c>
      <x:c r="B966" s="604" t="inlineStr">
        <x:is>
          <x:t xml:space="preserve">2026-10-05 00:30</x:t>
        </x:is>
      </x:c>
      <x:c r="C966" s="604" t="str">
        <x:v>五大联赛非顶级联赛</x:v>
      </x:c>
      <x:c r="D966" s="604" t="inlineStr">
        <x:is>
          <x:t xml:space="preserve">联赛</x:t>
        </x:is>
      </x:c>
      <x:c r="E966" s="604" t="inlineStr">
        <x:is>
          <x:t xml:space="preserve">西乙</x:t>
        </x:is>
      </x:c>
      <x:c r="F966" s="604" t="inlineStr">
        <x:is>
          <x:t xml:space="preserve">拉斯帕尔马斯 vs 巴拉多利德</x:t>
        </x:is>
      </x:c>
      <x:c r="G966" s="604" t="n">
        <x:v>0.96</x:v>
      </x:c>
      <x:c r="H966" s="604" t="n">
        <x:v>0.25</x:v>
      </x:c>
      <x:c r="I966" s="604" t="n">
        <x:v>0.92</x:v>
      </x:c>
      <x:c r="J966" s="604" t="inlineStr">
        <x:is>
          <x:t xml:space="preserve">0.96/0.25/0.92</x:t>
        </x:is>
      </x:c>
      <x:c r="K966" s="604" t="inlineStr">
        <x:is>
          <x:t xml:space="preserve">V4-B｜EV +0.0880</x:t>
        </x:is>
      </x:c>
      <x:c r="L966" s="604" t="inlineStr">
        <x:is>
          <x:t xml:space="preserve">拉斯帕尔马斯</x:t>
        </x:is>
      </x:c>
      <x:c r="M966" s="604" t="n">
        <x:v>0.561677167975331</x:v>
      </x:c>
      <x:c r="N966" s="604" t="inlineStr">
        <x:is>
          <x:t xml:space="preserve">V4纸面入选-B</x:t>
        </x:is>
      </x:c>
      <x:c r="O966" s="604" t="inlineStr">
        <x:is>
          <x:t xml:space="preserve">2-2</x:t>
        </x:is>
      </x:c>
      <x:c r="P966" s="604" t="inlineStr">
        <x:is>
          <x:t xml:space="preserve">已结算</x:t>
        </x:is>
      </x:c>
      <x:c r="Q966" s="648" t="inlineStr">
        <x:is>
          <x:t xml:space="preserve">半黑</x:t>
        </x:is>
      </x:c>
      <x:c r="R966" s="604" t="n">
        <x:v>0.96</x:v>
      </x:c>
      <x:c r="S966" s="604" t="n">
        <x:f>IF(OR(Q966="",Q966="待结算"),"",IF(Q966="红",R966,IF(Q966="半红",R966*0.5,IF(Q966="走",0,IF(Q966="半黑",-0.5,-1)))))</x:f>
        <x:v>-0.5</x:v>
      </x:c>
      <x:c r="T966" s="604" t="inlineStr">
        <x:is>
          <x:t xml:space="preserve">https://m.titan007.com/analy/Analysis/3014106.htm</x:t>
        </x:is>
      </x:c>
      <x:c r="U966" s="649" t="str">
        <x:f>IF(Q966="","",IF(Q966="待结算","待结算",IF(Q966="红","黑",IF(Q966="半红","半黑",IF(Q966="走","走",IF(Q966="半黑","半红","红"))))))</x:f>
        <x:v>半红</x:v>
      </x:c>
      <x:c r="V966" s="604" t="n">
        <x:f>IF(OR(Q966="",Q966="待结算"),"",IF(L966=LEFT(F966,FIND(" vs ",F966)-1),I966,G966))</x:f>
        <x:v>0.92</x:v>
      </x:c>
      <x:c r="W966" s="604" t="n">
        <x:f>IF(OR(U966="",U966="待结算"),"",IF(U966="红",V966,IF(U966="半红",V966*0.5,IF(U966="走",0,IF(U966="半黑",-0.5,-1)))))</x:f>
        <x:v>0.46</x:v>
      </x:c>
      <x:c r="X966" s="604" t="inlineStr">
        <x:is>
          <x:t xml:space="preserve">3014106</x:t>
        </x:is>
      </x:c>
      <x:c r="Y966" s="604" t="inlineStr">
        <x:is>
          <x:t xml:space="preserve">V4</x:t>
        </x:is>
      </x:c>
      <x:c r="Z966" s="604" t="inlineStr">
        <x:is>
          <x:t xml:space="preserve">prior-2026-10-04-v1</x:t>
        </x:is>
      </x:c>
      <x:c r="AA966" s="604" t="inlineStr">
        <x:is>
          <x:t xml:space="preserve">B</x:t>
        </x:is>
      </x:c>
      <x:c r="AB966" s="604" t="n">
        <x:v>0.4899914787763539</x:v>
      </x:c>
      <x:c r="AC966" s="604" t="n"/>
      <x:c r="AD966" s="604" t="n"/>
      <x:c r="AE966" s="604" t="n">
        <x:v>0.2552558419185218</x:v>
      </x:c>
      <x:c r="AF966" s="604" t="n">
        <x:v>0.2547526793051242</x:v>
      </x:c>
      <x:c r="AG966" s="604" t="n">
        <x:v>0.08801121936091461</x:v>
      </x:c>
      <x:c r="AH966" s="604" t="n"/>
      <x:c r="AI966" s="604" t="n"/>
      <x:c r="AJ966" s="604" t="n">
        <x:v>0.08801121936091461</x:v>
      </x:c>
      <x:c r="AK966" s="604" t="n"/>
      <x:c r="AL966" s="604" t="n"/>
      <x:c r="AM966" s="604" t="n"/>
      <x:c r="AN966" s="604" t="inlineStr">
        <x:is>
          <x:t xml:space="preserve">EVALUATED</x:t>
        </x:is>
      </x:c>
      <x:c r="AO966" s="604" t="inlineStr">
        <x:is>
          <x:t xml:space="preserve">GIVING_VALIDATED_EDGE、BUCKET_PRIOR_ONLY、INTENT_INTERPRETATION_ONLY、FFL_OPTIONAL、EXPERT_MARKET</x:t>
        </x:is>
      </x:c>
      <x:c r="AP966" s="604" t="inlineStr">
        <x:is>
          <x:t xml:space="preserve">0cd9d52d432568458447</x:t>
        </x:is>
      </x:c>
      <x:c r="AQ966" s="604" t="n">
        <x:v>-0.25</x:v>
      </x:c>
      <x:c r="AR966" s="604" t="n">
        <x:v>0.96</x:v>
      </x:c>
      <x:c r="AS966" s="604" t="n">
        <x:v>0.25</x:v>
      </x:c>
      <x:c r="AT966" s="604" t="n">
        <x:v>-0.25</x:v>
      </x:c>
      <x:c r="AU966" s="604" t="n">
        <x:v>0.96</x:v>
      </x:c>
      <x:c r="AV966" s="604" t="n">
        <x:v>0.92</x:v>
      </x:c>
      <x:c r="AW966" s="604" t="n">
        <x:v>46299.08204853009</x:v>
      </x:c>
      <x:c r="AX966" s="604" t="inlineStr">
        <x:is>
          <x:t xml:space="preserve">https://simondongxiao.github.io/odds/v4/</x:t>
        </x:is>
      </x:c>
      <x:c r="AY966" s="604" t="inlineStr">
        <x:is>
          <x:t xml:space="preserve">V4 Shadow Only；real_money=false；P(EV&gt;0)不是比赛胜率</x:t>
        </x:is>
      </x:c>
    </x:row>
    <x:row r="967" ht="22" customHeight="1">
      <x:c r="A967" s="604" t="inlineStr">
        <x:is>
          <x:t xml:space="preserve">2026-10-04</x:t>
        </x:is>
      </x:c>
      <x:c r="B967" s="604" t="inlineStr">
        <x:is>
          <x:t xml:space="preserve">2026-10-05 00:30</x:t>
        </x:is>
      </x:c>
      <x:c r="C967" s="604" t="str">
        <x:v>五大联赛非顶级联赛</x:v>
      </x:c>
      <x:c r="D967" s="604" t="inlineStr">
        <x:is>
          <x:t xml:space="preserve">联赛</x:t>
        </x:is>
      </x:c>
      <x:c r="E967" s="604" t="inlineStr">
        <x:is>
          <x:t xml:space="preserve">德女联</x:t>
        </x:is>
      </x:c>
      <x:c r="F967" s="604" t="inlineStr">
        <x:is>
          <x:t xml:space="preserve">纽伦堡女足 vs 霍芬海姆女足</x:t>
        </x:is>
      </x:c>
      <x:c r="G967" s="604" t="n">
        <x:v>0.93</x:v>
      </x:c>
      <x:c r="H967" s="604" t="n">
        <x:v>-0.5</x:v>
      </x:c>
      <x:c r="I967" s="604" t="n">
        <x:v>0.77</x:v>
      </x:c>
      <x:c r="J967" s="604" t="inlineStr">
        <x:is>
          <x:t xml:space="preserve">0.93/-0.5/0.77</x:t>
        </x:is>
      </x:c>
      <x:c r="K967" s="604" t="inlineStr">
        <x:is>
          <x:t xml:space="preserve">V4-C｜EV +0.6085</x:t>
        </x:is>
      </x:c>
      <x:c r="L967" s="604" t="inlineStr">
        <x:is>
          <x:t xml:space="preserve">纽伦堡女足</x:t>
        </x:is>
      </x:c>
      <x:c r="M967" s="604" t="n">
        <x:v>0.8334336387158052</x:v>
      </x:c>
      <x:c r="N967" s="604" t="inlineStr">
        <x:is>
          <x:t xml:space="preserve">V4纸面入选-C</x:t>
        </x:is>
      </x:c>
      <x:c r="O967" s="604" t="inlineStr">
        <x:is>
          <x:t xml:space="preserve">1-2</x:t>
        </x:is>
      </x:c>
      <x:c r="P967" s="604" t="inlineStr">
        <x:is>
          <x:t xml:space="preserve">已结算</x:t>
        </x:is>
      </x:c>
      <x:c r="Q967" s="646" t="inlineStr">
        <x:is>
          <x:t xml:space="preserve">黑</x:t>
        </x:is>
      </x:c>
      <x:c r="R967" s="604" t="n">
        <x:v>0.93</x:v>
      </x:c>
      <x:c r="S967" s="604" t="n">
        <x:f>IF(OR(Q967="",Q967="待结算"),"",IF(Q967="红",R967,IF(Q967="半红",R967*0.5,IF(Q967="走",0,IF(Q967="半黑",-0.5,-1)))))</x:f>
        <x:v>-1</x:v>
      </x:c>
      <x:c r="T967" s="604" t="inlineStr">
        <x:is>
          <x:t xml:space="preserve">https://m.titan007.com/analy/Analysis/3034793.htm</x:t>
        </x:is>
      </x:c>
      <x:c r="U967" s="645" t="str">
        <x:f>IF(Q967="","",IF(Q967="待结算","待结算",IF(Q967="红","黑",IF(Q967="半红","半黑",IF(Q967="走","走",IF(Q967="半黑","半红","红"))))))</x:f>
        <x:v>红</x:v>
      </x:c>
      <x:c r="V967" s="604" t="n">
        <x:f>IF(OR(Q967="",Q967="待结算"),"",IF(L967=LEFT(F967,FIND(" vs ",F967)-1),I967,G967))</x:f>
        <x:v>0.77</x:v>
      </x:c>
      <x:c r="W967" s="604" t="n">
        <x:f>IF(OR(U967="",U967="待结算"),"",IF(U967="红",V967,IF(U967="半红",V967*0.5,IF(U967="走",0,IF(U967="半黑",-0.5,-1)))))</x:f>
        <x:v>0.77</x:v>
      </x:c>
      <x:c r="X967" s="604" t="inlineStr">
        <x:is>
          <x:t xml:space="preserve">3034793</x:t>
        </x:is>
      </x:c>
      <x:c r="Y967" s="604" t="inlineStr">
        <x:is>
          <x:t xml:space="preserve">V4</x:t>
        </x:is>
      </x:c>
      <x:c r="Z967" s="604" t="inlineStr">
        <x:is>
          <x:t xml:space="preserve">prior-2026-10-04-v1</x:t>
        </x:is>
      </x:c>
      <x:c r="AA967" s="604" t="inlineStr">
        <x:is>
          <x:t xml:space="preserve">C</x:t>
        </x:is>
      </x:c>
      <x:c r="AB967" s="604" t="n">
        <x:v>0.8334336387158052</x:v>
      </x:c>
      <x:c r="AC967" s="604" t="n"/>
      <x:c r="AD967" s="604" t="n"/>
      <x:c r="AE967" s="604" t="n"/>
      <x:c r="AF967" s="604" t="n">
        <x:v>0.1665663612841947</x:v>
      </x:c>
      <x:c r="AG967" s="604" t="n">
        <x:v>0.6085269227215041</x:v>
      </x:c>
      <x:c r="AH967" s="604" t="n"/>
      <x:c r="AI967" s="604" t="n"/>
      <x:c r="AJ967" s="604" t="n">
        <x:v>0.6085269227215041</x:v>
      </x:c>
      <x:c r="AK967" s="604" t="n"/>
      <x:c r="AL967" s="604" t="n"/>
      <x:c r="AM967" s="604" t="n"/>
      <x:c r="AN967" s="604" t="inlineStr">
        <x:is>
          <x:t xml:space="preserve">EVALUATED</x:t>
        </x:is>
      </x:c>
      <x:c r="AO967" s="604" t="inlineStr">
        <x:is>
          <x:t xml:space="preserve">RECEIVING_VALIDATED_EDGE、BUCKET_PRIOR_ONLY、INTENT_INTERPRETATION_ONLY、FFL_OPTIONAL、EXPERT_MARKET</x:t>
        </x:is>
      </x:c>
      <x:c r="AP967" s="604" t="inlineStr">
        <x:is>
          <x:t xml:space="preserve">a41c126b9a0f552a9805</x:t>
        </x:is>
      </x:c>
      <x:c r="AQ967" s="604" t="n">
        <x:v>0.5</x:v>
      </x:c>
      <x:c r="AR967" s="604" t="n">
        <x:v>0.93</x:v>
      </x:c>
      <x:c r="AS967" s="604" t="n">
        <x:v>-0.5</x:v>
      </x:c>
      <x:c r="AT967" s="604" t="n">
        <x:v>0.5</x:v>
      </x:c>
      <x:c r="AU967" s="604" t="n">
        <x:v>0.93</x:v>
      </x:c>
      <x:c r="AV967" s="604" t="n">
        <x:v>0.77</x:v>
      </x:c>
      <x:c r="AW967" s="604" t="n">
        <x:v>46299.08204853009</x:v>
      </x:c>
      <x:c r="AX967" s="604" t="inlineStr">
        <x:is>
          <x:t xml:space="preserve">https://simondongxiao.github.io/odds/v4/</x:t>
        </x:is>
      </x:c>
      <x:c r="AY967" s="604" t="inlineStr">
        <x:is>
          <x:t xml:space="preserve">V4 Shadow Only；real_money=false；P(EV&gt;0)不是比赛胜率</x:t>
        </x:is>
      </x:c>
    </x:row>
    <x:row r="968" ht="22" customHeight="1">
      <x:c r="A968" s="604" t="inlineStr">
        <x:is>
          <x:t xml:space="preserve">2026-10-04</x:t>
        </x:is>
      </x:c>
      <x:c r="B968" s="604" t="inlineStr">
        <x:is>
          <x:t xml:space="preserve">2026-10-05 00:45</x:t>
        </x:is>
      </x:c>
      <x:c r="C968" s="604" t="str">
        <x:v>五大联赛非顶级联赛</x:v>
      </x:c>
      <x:c r="D968" s="604" t="inlineStr">
        <x:is>
          <x:t xml:space="preserve">联赛</x:t>
        </x:is>
      </x:c>
      <x:c r="E968" s="604" t="inlineStr">
        <x:is>
          <x:t xml:space="preserve">西协甲</x:t>
        </x:is>
      </x:c>
      <x:c r="F968" s="604" t="inlineStr">
        <x:is>
          <x:t xml:space="preserve">艾基史拉斯 vs 瑞欧马加达宏达</x:t>
        </x:is>
      </x:c>
      <x:c r="G968" s="604" t="n">
        <x:v>0.82</x:v>
      </x:c>
      <x:c r="H968" s="604" t="n">
        <x:v>0.5</x:v>
      </x:c>
      <x:c r="I968" s="604" t="n">
        <x:v>0.88</x:v>
      </x:c>
      <x:c r="J968" s="604" t="inlineStr">
        <x:is>
          <x:t xml:space="preserve">0.82/0.5/0.88</x:t>
        </x:is>
      </x:c>
      <x:c r="K968" s="604" t="inlineStr">
        <x:is>
          <x:t xml:space="preserve">V4-C｜EV +0.0510</x:t>
        </x:is>
      </x:c>
      <x:c r="L968" s="604" t="inlineStr">
        <x:is>
          <x:t xml:space="preserve">艾基史拉斯</x:t>
        </x:is>
      </x:c>
      <x:c r="M968" s="604" t="n">
        <x:v>0.5774971208733481</x:v>
      </x:c>
      <x:c r="N968" s="604" t="inlineStr">
        <x:is>
          <x:t xml:space="preserve">V4纸面入选-C</x:t>
        </x:is>
      </x:c>
      <x:c r="O968" s="604" t="inlineStr">
        <x:is>
          <x:t xml:space="preserve">1-0</x:t>
        </x:is>
      </x:c>
      <x:c r="P968" s="604" t="inlineStr">
        <x:is>
          <x:t xml:space="preserve">已结算</x:t>
        </x:is>
      </x:c>
      <x:c r="Q968" s="645" t="inlineStr">
        <x:is>
          <x:t xml:space="preserve">红</x:t>
        </x:is>
      </x:c>
      <x:c r="R968" s="604" t="n">
        <x:v>0.82</x:v>
      </x:c>
      <x:c r="S968" s="604" t="n">
        <x:f>IF(OR(Q968="",Q968="待结算"),"",IF(Q968="红",R968,IF(Q968="半红",R968*0.5,IF(Q968="走",0,IF(Q968="半黑",-0.5,-1)))))</x:f>
        <x:v>0.82</x:v>
      </x:c>
      <x:c r="T968" s="604" t="inlineStr">
        <x:is>
          <x:t xml:space="preserve">https://m.titan007.com/analy/Analysis/3014915.htm</x:t>
        </x:is>
      </x:c>
      <x:c r="U968" s="646" t="str">
        <x:f>IF(Q968="","",IF(Q968="待结算","待结算",IF(Q968="红","黑",IF(Q968="半红","半黑",IF(Q968="走","走",IF(Q968="半黑","半红","红"))))))</x:f>
        <x:v>黑</x:v>
      </x:c>
      <x:c r="V968" s="604" t="n">
        <x:f>IF(OR(Q968="",Q968="待结算"),"",IF(L968=LEFT(F968,FIND(" vs ",F968)-1),I968,G968))</x:f>
        <x:v>0.88</x:v>
      </x:c>
      <x:c r="W968" s="604" t="n">
        <x:f>IF(OR(U968="",U968="待结算"),"",IF(U968="红",V968,IF(U968="半红",V968*0.5,IF(U968="走",0,IF(U968="半黑",-0.5,-1)))))</x:f>
        <x:v>-1</x:v>
      </x:c>
      <x:c r="X968" s="604" t="inlineStr">
        <x:is>
          <x:t xml:space="preserve">3014915</x:t>
        </x:is>
      </x:c>
      <x:c r="Y968" s="604" t="inlineStr">
        <x:is>
          <x:t xml:space="preserve">V4</x:t>
        </x:is>
      </x:c>
      <x:c r="Z968" s="604" t="inlineStr">
        <x:is>
          <x:t xml:space="preserve">prior-2026-10-04-v1</x:t>
        </x:is>
      </x:c>
      <x:c r="AA968" s="604" t="inlineStr">
        <x:is>
          <x:t xml:space="preserve">C</x:t>
        </x:is>
      </x:c>
      <x:c r="AB968" s="604" t="n">
        <x:v>0.5774971208733481</x:v>
      </x:c>
      <x:c r="AC968" s="604" t="n"/>
      <x:c r="AD968" s="604" t="n"/>
      <x:c r="AE968" s="604" t="n"/>
      <x:c r="AF968" s="604" t="n">
        <x:v>0.4225028791266519</x:v>
      </x:c>
      <x:c r="AG968" s="604" t="n">
        <x:v>0.05104475998949359</x:v>
      </x:c>
      <x:c r="AH968" s="604" t="n"/>
      <x:c r="AI968" s="604" t="n"/>
      <x:c r="AJ968" s="604" t="n">
        <x:v>0.05104475998949359</x:v>
      </x:c>
      <x:c r="AK968" s="604" t="n"/>
      <x:c r="AL968" s="604" t="n"/>
      <x:c r="AM968" s="604" t="n"/>
      <x:c r="AN968" s="604" t="inlineStr">
        <x:is>
          <x:t xml:space="preserve">EVALUATED</x:t>
        </x:is>
      </x:c>
      <x:c r="AO968" s="604" t="inlineStr">
        <x:is>
          <x:t xml:space="preserve">GIVING_VALIDATED_EDGE、BUCKET_PRIOR_ONLY、INTENT_INTERPRETATION_ONLY、FFL_OPTIONAL、EXPERT_MARKET</x:t>
        </x:is>
      </x:c>
      <x:c r="AP968" s="604" t="inlineStr">
        <x:is>
          <x:t xml:space="preserve">8f08c3ace70317e1d43b</x:t>
        </x:is>
      </x:c>
      <x:c r="AQ968" s="604" t="n">
        <x:v>-0.5</x:v>
      </x:c>
      <x:c r="AR968" s="604" t="n">
        <x:v>0.82</x:v>
      </x:c>
      <x:c r="AS968" s="604" t="n">
        <x:v>0.5</x:v>
      </x:c>
      <x:c r="AT968" s="604" t="n">
        <x:v>-0.5</x:v>
      </x:c>
      <x:c r="AU968" s="604" t="n">
        <x:v>0.82</x:v>
      </x:c>
      <x:c r="AV968" s="604" t="n">
        <x:v>0.88</x:v>
      </x:c>
      <x:c r="AW968" s="604" t="n">
        <x:v>46299.08204853009</x:v>
      </x:c>
      <x:c r="AX968" s="604" t="inlineStr">
        <x:is>
          <x:t xml:space="preserve">https://simondongxiao.github.io/odds/v4/</x:t>
        </x:is>
      </x:c>
      <x:c r="AY968" s="604" t="inlineStr">
        <x:is>
          <x:t xml:space="preserve">V4 Shadow Only；real_money=false；P(EV&gt;0)不是比赛胜率</x:t>
        </x:is>
      </x:c>
    </x:row>
    <x:row r="969" ht="22" customHeight="1">
      <x:c r="A969" s="604" t="inlineStr">
        <x:is>
          <x:t xml:space="preserve">2026-10-04</x:t>
        </x:is>
      </x:c>
      <x:c r="B969" s="604" t="inlineStr">
        <x:is>
          <x:t xml:space="preserve">2026-10-05 01:00</x:t>
        </x:is>
      </x:c>
      <x:c r="C969" s="604" t="str">
        <x:v>北美系列</x:v>
      </x:c>
      <x:c r="D969" s="604" t="inlineStr">
        <x:is>
          <x:t xml:space="preserve">联赛</x:t>
        </x:is>
      </x:c>
      <x:c r="E969" s="604" t="inlineStr">
        <x:is>
          <x:t xml:space="preserve">美女职</x:t>
        </x:is>
      </x:c>
      <x:c r="F969" s="604" t="inlineStr">
        <x:is>
          <x:t xml:space="preserve">哥谭女足 vs 天使城女足</x:t>
        </x:is>
      </x:c>
      <x:c r="G969" s="604" t="n">
        <x:v>0.8</x:v>
      </x:c>
      <x:c r="H969" s="604" t="n">
        <x:v>0</x:v>
      </x:c>
      <x:c r="I969" s="604" t="n">
        <x:v>0.9</x:v>
      </x:c>
      <x:c r="J969" s="604" t="inlineStr">
        <x:is>
          <x:t xml:space="preserve">0.8/0/0.9</x:t>
        </x:is>
      </x:c>
      <x:c r="K969" s="604" t="inlineStr">
        <x:is>
          <x:t xml:space="preserve">V4-C｜EV +0.0441</x:t>
        </x:is>
      </x:c>
      <x:c r="L969" s="604" t="str"/>
      <x:c r="M969" s="604" t="n">
        <x:v>0.5800703145071956</x:v>
      </x:c>
      <x:c r="N969" s="604" t="inlineStr">
        <x:is>
          <x:t xml:space="preserve">V4纸面入选-C</x:t>
        </x:is>
      </x:c>
      <x:c r="O969" s="604" t="inlineStr">
        <x:is>
          <x:t xml:space="preserve">1-1</x:t>
        </x:is>
      </x:c>
      <x:c r="P969" s="604" t="inlineStr">
        <x:is>
          <x:t xml:space="preserve">已结算</x:t>
        </x:is>
      </x:c>
      <x:c r="Q969" s="647" t="inlineStr">
        <x:is>
          <x:t xml:space="preserve">走</x:t>
        </x:is>
      </x:c>
      <x:c r="R969" s="604" t="n">
        <x:v>0.9</x:v>
      </x:c>
      <x:c r="S969" s="604" t="n">
        <x:f>IF(OR(Q969="",Q969="待结算"),"",IF(Q969="红",R969,IF(Q969="半红",R969*0.5,IF(Q969="走",0,IF(Q969="半黑",-0.5,-1)))))</x:f>
        <x:v>0</x:v>
      </x:c>
      <x:c r="T969" s="604" t="inlineStr">
        <x:is>
          <x:t xml:space="preserve">https://m.titan007.com/analy/Analysis/2957070.htm</x:t>
        </x:is>
      </x:c>
      <x:c r="U969" s="647" t="str">
        <x:f>IF(Q969="","",IF(Q969="待结算","待结算",IF(Q969="红","黑",IF(Q969="半红","半黑",IF(Q969="走","走",IF(Q969="半黑","半红","红"))))))</x:f>
        <x:v>走</x:v>
      </x:c>
      <x:c r="V969" s="604" t="n">
        <x:f>IF(OR(Q969="",Q969="待结算"),"",IF(L969=LEFT(F969,FIND(" vs ",F969)-1),I969,G969))</x:f>
        <x:v>0.8</x:v>
      </x:c>
      <x:c r="W969" s="604" t="n">
        <x:f>IF(OR(U969="",U969="待结算"),"",IF(U969="红",V969,IF(U969="半红",V969*0.5,IF(U969="走",0,IF(U969="半黑",-0.5,-1)))))</x:f>
        <x:v>0</x:v>
      </x:c>
      <x:c r="X969" s="604" t="inlineStr">
        <x:is>
          <x:t xml:space="preserve">2957070</x:t>
        </x:is>
      </x:c>
      <x:c r="Y969" s="604" t="inlineStr">
        <x:is>
          <x:t xml:space="preserve">V4</x:t>
        </x:is>
      </x:c>
      <x:c r="Z969" s="604" t="inlineStr">
        <x:is>
          <x:t xml:space="preserve">prior-2026-10-04-v1</x:t>
        </x:is>
      </x:c>
      <x:c r="AA969" s="604" t="inlineStr">
        <x:is>
          <x:t xml:space="preserve">C</x:t>
        </x:is>
      </x:c>
      <x:c r="AB969" s="604" t="n">
        <x:v>0.5800703145071956</x:v>
      </x:c>
      <x:c r="AC969" s="604" t="n"/>
      <x:c r="AD969" s="604" t="n"/>
      <x:c r="AE969" s="604" t="n"/>
      <x:c r="AF969" s="604" t="n">
        <x:v>0.4199296854928045</x:v>
      </x:c>
      <x:c r="AG969" s="604" t="n">
        <x:v>0.04412656611295201</x:v>
      </x:c>
      <x:c r="AH969" s="604" t="n"/>
      <x:c r="AI969" s="604" t="n"/>
      <x:c r="AJ969" s="604" t="n">
        <x:v>0.04412656611295201</x:v>
      </x:c>
      <x:c r="AK969" s="604" t="n"/>
      <x:c r="AL969" s="604" t="n"/>
      <x:c r="AM969" s="604" t="n"/>
      <x:c r="AN969" s="604" t="inlineStr">
        <x:is>
          <x:t xml:space="preserve">EVALUATED</x:t>
        </x:is>
      </x:c>
      <x:c r="AO969" s="604" t="inlineStr">
        <x:is>
          <x:t xml:space="preserve">EDGE_BELOW_UNCERTAINTY_THRESHOLD、BUCKET_PRIOR_ONLY、INTENT_INTERPRETATION_ONLY、FFL_OPTIONAL、EXPERT_MARKET</x:t>
        </x:is>
      </x:c>
      <x:c r="AP969" s="604" t="inlineStr">
        <x:is>
          <x:t xml:space="preserve">e86130fcc9417340e353</x:t>
        </x:is>
      </x:c>
      <x:c r="AQ969" s="604" t="n">
        <x:v>0</x:v>
      </x:c>
      <x:c r="AR969" s="604" t="n"/>
      <x:c r="AS969" s="604" t="n">
        <x:v>0</x:v>
      </x:c>
      <x:c r="AT969" s="604" t="n">
        <x:v>0</x:v>
      </x:c>
      <x:c r="AU969" s="604" t="n">
        <x:v>0.8</x:v>
      </x:c>
      <x:c r="AV969" s="604" t="n">
        <x:v>0.9</x:v>
      </x:c>
      <x:c r="AW969" s="604" t="n">
        <x:v>46299.08204853009</x:v>
      </x:c>
      <x:c r="AX969" s="604" t="inlineStr">
        <x:is>
          <x:t xml:space="preserve">https://simondongxiao.github.io/odds/v4/</x:t>
        </x:is>
      </x:c>
      <x:c r="AY969" s="604" t="inlineStr">
        <x:is>
          <x:t xml:space="preserve">V4 Shadow Only；real_money=false；P(EV&gt;0)不是比赛胜率</x:t>
        </x:is>
      </x:c>
    </x:row>
    <x:row r="970" ht="22" customHeight="1">
      <x:c r="A970" s="604" t="inlineStr">
        <x:is>
          <x:t xml:space="preserve">2026-10-04</x:t>
        </x:is>
      </x:c>
      <x:c r="B970" s="604" t="inlineStr">
        <x:is>
          <x:t xml:space="preserve">2026-10-05 01:00</x:t>
        </x:is>
      </x:c>
      <x:c r="C970" s="604" t="str">
        <x:v>北美系列</x:v>
      </x:c>
      <x:c r="D970" s="604" t="inlineStr">
        <x:is>
          <x:t xml:space="preserve">联赛</x:t>
        </x:is>
      </x:c>
      <x:c r="E970" s="604" t="inlineStr">
        <x:is>
          <x:t xml:space="preserve">哥斯乙</x:t>
        </x:is>
      </x:c>
      <x:c r="F970" s="604" t="inlineStr">
        <x:is>
          <x:t xml:space="preserve">FC阿塞里 vs 瓜达卢普</x:t>
        </x:is>
      </x:c>
      <x:c r="G970" s="604" t="n">
        <x:v>0.74</x:v>
      </x:c>
      <x:c r="H970" s="604" t="n">
        <x:v>0</x:v>
      </x:c>
      <x:c r="I970" s="604" t="n">
        <x:v>0.96</x:v>
      </x:c>
      <x:c r="J970" s="604" t="inlineStr">
        <x:is>
          <x:t xml:space="preserve">0.74/0/0.96</x:t>
        </x:is>
      </x:c>
      <x:c r="K970" s="604" t="inlineStr">
        <x:is>
          <x:t xml:space="preserve">V4-C｜EV +0.0146</x:t>
        </x:is>
      </x:c>
      <x:c r="L970" s="604" t="str"/>
      <x:c r="M970" s="604" t="n">
        <x:v>0.5843172245307057</x:v>
      </x:c>
      <x:c r="N970" s="604" t="inlineStr">
        <x:is>
          <x:t xml:space="preserve">V4纸面入选-C</x:t>
        </x:is>
      </x:c>
      <x:c r="O970" s="604" t="inlineStr">
        <x:is>
          <x:t xml:space="preserve">2-3</x:t>
        </x:is>
      </x:c>
      <x:c r="P970" s="604" t="inlineStr">
        <x:is>
          <x:t xml:space="preserve">已结算</x:t>
        </x:is>
      </x:c>
      <x:c r="Q970" s="646" t="inlineStr">
        <x:is>
          <x:t xml:space="preserve">黑</x:t>
        </x:is>
      </x:c>
      <x:c r="R970" s="604" t="n">
        <x:v>0.96</x:v>
      </x:c>
      <x:c r="S970" s="604" t="n">
        <x:f>IF(OR(Q970="",Q970="待结算"),"",IF(Q970="红",R970,IF(Q970="半红",R970*0.5,IF(Q970="走",0,IF(Q970="半黑",-0.5,-1)))))</x:f>
        <x:v>-1</x:v>
      </x:c>
      <x:c r="T970" s="604" t="inlineStr">
        <x:is>
          <x:t xml:space="preserve">https://m.titan007.com/analy/Analysis/3096297.htm</x:t>
        </x:is>
      </x:c>
      <x:c r="U970" s="645" t="str">
        <x:f>IF(Q970="","",IF(Q970="待结算","待结算",IF(Q970="红","黑",IF(Q970="半红","半黑",IF(Q970="走","走",IF(Q970="半黑","半红","红"))))))</x:f>
        <x:v>红</x:v>
      </x:c>
      <x:c r="V970" s="604" t="n">
        <x:f>IF(OR(Q970="",Q970="待结算"),"",IF(L970=LEFT(F970,FIND(" vs ",F970)-1),I970,G970))</x:f>
        <x:v>0.74</x:v>
      </x:c>
      <x:c r="W970" s="604" t="n">
        <x:f>IF(OR(U970="",U970="待结算"),"",IF(U970="红",V970,IF(U970="半红",V970*0.5,IF(U970="走",0,IF(U970="半黑",-0.5,-1)))))</x:f>
        <x:v>0.74</x:v>
      </x:c>
      <x:c r="X970" s="604" t="inlineStr">
        <x:is>
          <x:t xml:space="preserve">3096297</x:t>
        </x:is>
      </x:c>
      <x:c r="Y970" s="604" t="inlineStr">
        <x:is>
          <x:t xml:space="preserve">V4</x:t>
        </x:is>
      </x:c>
      <x:c r="Z970" s="604" t="inlineStr">
        <x:is>
          <x:t xml:space="preserve">prior-2026-10-04-v1</x:t>
        </x:is>
      </x:c>
      <x:c r="AA970" s="604" t="inlineStr">
        <x:is>
          <x:t xml:space="preserve">C</x:t>
        </x:is>
      </x:c>
      <x:c r="AB970" s="604" t="n">
        <x:v>0.5112104631471672</x:v>
      </x:c>
      <x:c r="AC970" s="604" t="n"/>
      <x:c r="AD970" s="604" t="n"/>
      <x:c r="AE970" s="604" t="n">
        <x:v>0.2502296982337088</x:v>
      </x:c>
      <x:c r="AF970" s="604" t="n">
        <x:v>0.2385598386191239</x:v>
      </x:c>
      <x:c r="AG970" s="604" t="n">
        <x:v>0.01462105499292543</x:v>
      </x:c>
      <x:c r="AH970" s="604" t="n"/>
      <x:c r="AI970" s="604" t="n"/>
      <x:c r="AJ970" s="604" t="n">
        <x:v>0.01462105499292543</x:v>
      </x:c>
      <x:c r="AK970" s="604" t="n"/>
      <x:c r="AL970" s="604" t="n"/>
      <x:c r="AM970" s="604" t="n"/>
      <x:c r="AN970" s="604" t="inlineStr">
        <x:is>
          <x:t xml:space="preserve">EVALUATED</x:t>
        </x:is>
      </x:c>
      <x:c r="AO970" s="604" t="inlineStr">
        <x:is>
          <x:t xml:space="preserve">EDGE_BELOW_UNCERTAINTY_THRESHOLD、BUCKET_PRIOR_ONLY、INTENT_INTERPRETATION_ONLY、FFL_OPTIONAL、EXPERT_MARKET</x:t>
        </x:is>
      </x:c>
      <x:c r="AP970" s="604" t="inlineStr">
        <x:is>
          <x:t xml:space="preserve">ab8cc90941291e288a6a</x:t>
        </x:is>
      </x:c>
      <x:c r="AQ970" s="604" t="n">
        <x:v>0</x:v>
      </x:c>
      <x:c r="AR970" s="604" t="n"/>
      <x:c r="AS970" s="604" t="n">
        <x:v>0</x:v>
      </x:c>
      <x:c r="AT970" s="604" t="n">
        <x:v>0</x:v>
      </x:c>
      <x:c r="AU970" s="604" t="n">
        <x:v>0.74</x:v>
      </x:c>
      <x:c r="AV970" s="604" t="n">
        <x:v>0.96</x:v>
      </x:c>
      <x:c r="AW970" s="604" t="n">
        <x:v>46299.08204853009</x:v>
      </x:c>
      <x:c r="AX970" s="604" t="inlineStr">
        <x:is>
          <x:t xml:space="preserve">https://simondongxiao.github.io/odds/v4/</x:t>
        </x:is>
      </x:c>
      <x:c r="AY970" s="604" t="inlineStr">
        <x:is>
          <x:t xml:space="preserve">V4 Shadow Only；real_money=false；P(EV&gt;0)不是比赛胜率</x:t>
        </x:is>
      </x:c>
    </x:row>
    <x:row r="971" ht="22" customHeight="1">
      <x:c r="A971" s="604" t="inlineStr">
        <x:is>
          <x:t xml:space="preserve">2026-10-04</x:t>
        </x:is>
      </x:c>
      <x:c r="B971" s="604" t="inlineStr">
        <x:is>
          <x:t xml:space="preserve">2026-10-05 01:45</x:t>
        </x:is>
      </x:c>
      <x:c r="C971" s="604" t="str">
        <x:v>南美系列</x:v>
      </x:c>
      <x:c r="D971" s="604" t="inlineStr">
        <x:is>
          <x:t xml:space="preserve">联赛</x:t>
        </x:is>
      </x:c>
      <x:c r="E971" s="604" t="inlineStr">
        <x:is>
          <x:t xml:space="preserve">阿甲</x:t>
        </x:is>
      </x:c>
      <x:c r="F971" s="604" t="inlineStr">
        <x:is>
          <x:t xml:space="preserve">飓风队 vs 阿尔多斯维</x:t>
        </x:is>
      </x:c>
      <x:c r="G971" s="604" t="n">
        <x:v>0.95</x:v>
      </x:c>
      <x:c r="H971" s="604" t="n">
        <x:v>0.75</x:v>
      </x:c>
      <x:c r="I971" s="604" t="n">
        <x:v>0.93</x:v>
      </x:c>
      <x:c r="J971" s="604" t="inlineStr">
        <x:is>
          <x:t xml:space="preserve">0.95/0.75/0.93</x:t>
        </x:is>
      </x:c>
      <x:c r="K971" s="604" t="inlineStr">
        <x:is>
          <x:t xml:space="preserve">V4-A｜EV +0.2244</x:t>
        </x:is>
      </x:c>
      <x:c r="L971" s="604" t="inlineStr">
        <x:is>
          <x:t xml:space="preserve">飓风队</x:t>
        </x:is>
      </x:c>
      <x:c r="M971" s="604" t="n">
        <x:v>0.6450157623695701</x:v>
      </x:c>
      <x:c r="N971" s="604" t="inlineStr">
        <x:is>
          <x:t xml:space="preserve">V4纸面入选-A</x:t>
        </x:is>
      </x:c>
      <x:c r="O971" s="604" t="inlineStr">
        <x:is>
          <x:t xml:space="preserve">1-0</x:t>
        </x:is>
      </x:c>
      <x:c r="P971" s="604" t="inlineStr">
        <x:is>
          <x:t xml:space="preserve">已结算</x:t>
        </x:is>
      </x:c>
      <x:c r="Q971" s="649" t="inlineStr">
        <x:is>
          <x:t xml:space="preserve">半红</x:t>
        </x:is>
      </x:c>
      <x:c r="R971" s="604" t="n">
        <x:v>0.95</x:v>
      </x:c>
      <x:c r="S971" s="604" t="n">
        <x:f>IF(OR(Q971="",Q971="待结算"),"",IF(Q971="红",R971,IF(Q971="半红",R971*0.5,IF(Q971="走",0,IF(Q971="半黑",-0.5,-1)))))</x:f>
        <x:v>0.475</x:v>
      </x:c>
      <x:c r="T971" s="604" t="inlineStr">
        <x:is>
          <x:t xml:space="preserve">https://m.titan007.com/analy/Analysis/2962661.htm</x:t>
        </x:is>
      </x:c>
      <x:c r="U971" s="648" t="str">
        <x:f>IF(Q971="","",IF(Q971="待结算","待结算",IF(Q971="红","黑",IF(Q971="半红","半黑",IF(Q971="走","走",IF(Q971="半黑","半红","红"))))))</x:f>
        <x:v>半黑</x:v>
      </x:c>
      <x:c r="V971" s="604" t="n">
        <x:f>IF(OR(Q971="",Q971="待结算"),"",IF(L971=LEFT(F971,FIND(" vs ",F971)-1),I971,G971))</x:f>
        <x:v>0.93</x:v>
      </x:c>
      <x:c r="W971" s="604" t="n">
        <x:f>IF(OR(U971="",U971="待结算"),"",IF(U971="红",V971,IF(U971="半红",V971*0.5,IF(U971="走",0,IF(U971="半黑",-0.5,-1)))))</x:f>
        <x:v>-0.5</x:v>
      </x:c>
      <x:c r="X971" s="604" t="inlineStr">
        <x:is>
          <x:t xml:space="preserve">2962661</x:t>
        </x:is>
      </x:c>
      <x:c r="Y971" s="604" t="inlineStr">
        <x:is>
          <x:t xml:space="preserve">V4</x:t>
        </x:is>
      </x:c>
      <x:c r="Z971" s="604" t="inlineStr">
        <x:is>
          <x:t xml:space="preserve">prior-2026-10-04-v1</x:t>
        </x:is>
      </x:c>
      <x:c r="AA971" s="604" t="inlineStr">
        <x:is>
          <x:t xml:space="preserve">A</x:t>
        </x:is>
      </x:c>
      <x:c r="AB971" s="604" t="n">
        <x:v>0.4321930198985339</x:v>
      </x:c>
      <x:c r="AC971" s="604" t="n">
        <x:v>0.2587485753503965</x:v>
      </x:c>
      <x:c r="AD971" s="604" t="n"/>
      <x:c r="AE971" s="604" t="n"/>
      <x:c r="AF971" s="604" t="n">
        <x:v>0.3090584047510697</x:v>
      </x:c>
      <x:c r="AG971" s="604" t="n">
        <x:v>0.2244305374439758</x:v>
      </x:c>
      <x:c r="AH971" s="604" t="n"/>
      <x:c r="AI971" s="604" t="n"/>
      <x:c r="AJ971" s="604" t="n">
        <x:v>0.2244305374439758</x:v>
      </x:c>
      <x:c r="AK971" s="604" t="n"/>
      <x:c r="AL971" s="604" t="n"/>
      <x:c r="AM971" s="604" t="n"/>
      <x:c r="AN971" s="604" t="inlineStr">
        <x:is>
          <x:t xml:space="preserve">EVALUATED</x:t>
        </x:is>
      </x:c>
      <x:c r="AO971" s="604" t="inlineStr">
        <x:is>
          <x:t xml:space="preserve">GIVING_VALIDATED_EDGE、BUCKET_PRIOR_ONLY、INTENT_INTERPRETATION_ONLY、FFL_OPTIONAL、EXPERT_MARKET</x:t>
        </x:is>
      </x:c>
      <x:c r="AP971" s="604" t="inlineStr">
        <x:is>
          <x:t xml:space="preserve">ec2d1ccec61a4bba3aed</x:t>
        </x:is>
      </x:c>
      <x:c r="AQ971" s="604" t="n">
        <x:v>-0.75</x:v>
      </x:c>
      <x:c r="AR971" s="604" t="n">
        <x:v>0.95</x:v>
      </x:c>
      <x:c r="AS971" s="604" t="n">
        <x:v>0.75</x:v>
      </x:c>
      <x:c r="AT971" s="604" t="n">
        <x:v>-0.75</x:v>
      </x:c>
      <x:c r="AU971" s="604" t="n">
        <x:v>0.95</x:v>
      </x:c>
      <x:c r="AV971" s="604" t="n">
        <x:v>0.93</x:v>
      </x:c>
      <x:c r="AW971" s="604" t="n">
        <x:v>46299.08204853009</x:v>
      </x:c>
      <x:c r="AX971" s="604" t="inlineStr">
        <x:is>
          <x:t xml:space="preserve">https://simondongxiao.github.io/odds/v4/</x:t>
        </x:is>
      </x:c>
      <x:c r="AY971" s="604" t="inlineStr">
        <x:is>
          <x:t xml:space="preserve">V4 Shadow Only；real_money=false；P(EV&gt;0)不是比赛胜率</x:t>
        </x:is>
      </x:c>
    </x:row>
    <x:row r="972" ht="22" customHeight="1">
      <x:c r="A972" s="604" t="inlineStr">
        <x:is>
          <x:t xml:space="preserve">2026-10-04</x:t>
        </x:is>
      </x:c>
      <x:c r="B972" s="604" t="inlineStr">
        <x:is>
          <x:t xml:space="preserve">2026-10-05 02:00</x:t>
        </x:is>
      </x:c>
      <x:c r="C972" s="604" t="str">
        <x:v>南美系列</x:v>
      </x:c>
      <x:c r="D972" s="604" t="inlineStr">
        <x:is>
          <x:t xml:space="preserve">联赛</x:t>
        </x:is>
      </x:c>
      <x:c r="E972" s="604" t="inlineStr">
        <x:is>
          <x:t xml:space="preserve">阿乙</x:t>
        </x:is>
      </x:c>
      <x:c r="F972" s="604" t="inlineStr">
        <x:is>
          <x:t xml:space="preserve">卡洛斯卡萨雷斯农业 vs 米德兰</x:t>
        </x:is>
      </x:c>
      <x:c r="G972" s="604" t="n">
        <x:v>0.91</x:v>
      </x:c>
      <x:c r="H972" s="604" t="n">
        <x:v>0</x:v>
      </x:c>
      <x:c r="I972" s="604" t="n">
        <x:v>0.85</x:v>
      </x:c>
      <x:c r="J972" s="604" t="inlineStr">
        <x:is>
          <x:t xml:space="preserve">0.91/0/0.85</x:t>
        </x:is>
      </x:c>
      <x:c r="K972" s="604" t="inlineStr">
        <x:is>
          <x:t xml:space="preserve">V4-C｜EV +0.0019</x:t>
        </x:is>
      </x:c>
      <x:c r="L972" s="604" t="str"/>
      <x:c r="M972" s="604" t="n">
        <x:v>0.5247087880716658</x:v>
      </x:c>
      <x:c r="N972" s="604" t="inlineStr">
        <x:is>
          <x:t xml:space="preserve">V4纸面入选-C</x:t>
        </x:is>
      </x:c>
      <x:c r="O972" s="604" t="inlineStr">
        <x:is>
          <x:t xml:space="preserve">0-0</x:t>
        </x:is>
      </x:c>
      <x:c r="P972" s="604" t="inlineStr">
        <x:is>
          <x:t xml:space="preserve">已结算</x:t>
        </x:is>
      </x:c>
      <x:c r="Q972" s="647" t="inlineStr">
        <x:is>
          <x:t xml:space="preserve">走</x:t>
        </x:is>
      </x:c>
      <x:c r="R972" s="604" t="n">
        <x:v>0.85</x:v>
      </x:c>
      <x:c r="S972" s="604" t="n">
        <x:f>IF(OR(Q972="",Q972="待结算"),"",IF(Q972="红",R972,IF(Q972="半红",R972*0.5,IF(Q972="走",0,IF(Q972="半黑",-0.5,-1)))))</x:f>
        <x:v>0</x:v>
      </x:c>
      <x:c r="T972" s="604" t="inlineStr">
        <x:is>
          <x:t xml:space="preserve">https://m.titan007.com/analy/Analysis/2916718.htm</x:t>
        </x:is>
      </x:c>
      <x:c r="U972" s="647" t="str">
        <x:f>IF(Q972="","",IF(Q972="待结算","待结算",IF(Q972="红","黑",IF(Q972="半红","半黑",IF(Q972="走","走",IF(Q972="半黑","半红","红"))))))</x:f>
        <x:v>走</x:v>
      </x:c>
      <x:c r="V972" s="604" t="n">
        <x:f>IF(OR(Q972="",Q972="待结算"),"",IF(L972=LEFT(F972,FIND(" vs ",F972)-1),I972,G972))</x:f>
        <x:v>0.91</x:v>
      </x:c>
      <x:c r="W972" s="604" t="n">
        <x:f>IF(OR(U972="",U972="待结算"),"",IF(U972="红",V972,IF(U972="半红",V972*0.5,IF(U972="走",0,IF(U972="半黑",-0.5,-1)))))</x:f>
        <x:v>0</x:v>
      </x:c>
      <x:c r="X972" s="604" t="inlineStr">
        <x:is>
          <x:t xml:space="preserve">2916718</x:t>
        </x:is>
      </x:c>
      <x:c r="Y972" s="604" t="inlineStr">
        <x:is>
          <x:t xml:space="preserve">V4</x:t>
        </x:is>
      </x:c>
      <x:c r="Z972" s="604" t="inlineStr">
        <x:is>
          <x:t xml:space="preserve">prior-2026-10-04-v1</x:t>
        </x:is>
      </x:c>
      <x:c r="AA972" s="604" t="inlineStr">
        <x:is>
          <x:t xml:space="preserve">C</x:t>
        </x:is>
      </x:c>
      <x:c r="AB972" s="604" t="n">
        <x:v>0.4561395727072869</x:v>
      </x:c>
      <x:c r="AC972" s="604" t="n"/>
      <x:c r="AD972" s="604" t="n"/>
      <x:c r="AE972" s="604" t="n">
        <x:v>0.2613610327220727</x:v>
      </x:c>
      <x:c r="AF972" s="604" t="n">
        <x:v>0.2824993945706404</x:v>
      </x:c>
      <x:c r="AG972" s="604" t="n">
        <x:v>0.001907100231954284</x:v>
      </x:c>
      <x:c r="AH972" s="604" t="n"/>
      <x:c r="AI972" s="604" t="n"/>
      <x:c r="AJ972" s="604" t="n">
        <x:v>0.001907100231954284</x:v>
      </x:c>
      <x:c r="AK972" s="604" t="n"/>
      <x:c r="AL972" s="604" t="n"/>
      <x:c r="AM972" s="604" t="n"/>
      <x:c r="AN972" s="604" t="inlineStr">
        <x:is>
          <x:t xml:space="preserve">EVALUATED</x:t>
        </x:is>
      </x:c>
      <x:c r="AO972" s="604" t="inlineStr">
        <x:is>
          <x:t xml:space="preserve">EDGE_BELOW_UNCERTAINTY_THRESHOLD、BUCKET_PRIOR_ONLY、INTENT_INTERPRETATION_ONLY、FFL_OPTIONAL、EXPERT_MARKET</x:t>
        </x:is>
      </x:c>
      <x:c r="AP972" s="604" t="inlineStr">
        <x:is>
          <x:t xml:space="preserve">d63715202abab3038dea</x:t>
        </x:is>
      </x:c>
      <x:c r="AQ972" s="604" t="n">
        <x:v>0</x:v>
      </x:c>
      <x:c r="AR972" s="604" t="n"/>
      <x:c r="AS972" s="604" t="n">
        <x:v>0</x:v>
      </x:c>
      <x:c r="AT972" s="604" t="n">
        <x:v>0</x:v>
      </x:c>
      <x:c r="AU972" s="604" t="n">
        <x:v>0.91</x:v>
      </x:c>
      <x:c r="AV972" s="604" t="n">
        <x:v>0.85</x:v>
      </x:c>
      <x:c r="AW972" s="604" t="n">
        <x:v>46299.08204853009</x:v>
      </x:c>
      <x:c r="AX972" s="604" t="inlineStr">
        <x:is>
          <x:t xml:space="preserve">https://simondongxiao.github.io/odds/v4/</x:t>
        </x:is>
      </x:c>
      <x:c r="AY972" s="604" t="inlineStr">
        <x:is>
          <x:t xml:space="preserve">V4 Shadow Only；real_money=false；P(EV&gt;0)不是比赛胜率</x:t>
        </x:is>
      </x:c>
    </x:row>
    <x:row r="973" ht="22" customHeight="1">
      <x:c r="A973" s="604" t="inlineStr">
        <x:is>
          <x:t xml:space="preserve">2026-10-04</x:t>
        </x:is>
      </x:c>
      <x:c r="B973" s="604" t="inlineStr">
        <x:is>
          <x:t xml:space="preserve">2026-10-05 02:00</x:t>
        </x:is>
      </x:c>
      <x:c r="C973" s="604" t="str">
        <x:v>南美系列</x:v>
      </x:c>
      <x:c r="D973" s="604" t="inlineStr">
        <x:is>
          <x:t xml:space="preserve">联赛</x:t>
        </x:is>
      </x:c>
      <x:c r="E973" s="604" t="inlineStr">
        <x:is>
          <x:t xml:space="preserve">智利乙</x:t>
        </x:is>
      </x:c>
      <x:c r="F973" s="604" t="inlineStr">
        <x:is>
          <x:t xml:space="preserve">圣菲利浦联 vs 伊基克体育</x:t>
        </x:is>
      </x:c>
      <x:c r="G973" s="604" t="n">
        <x:v>0.82</x:v>
      </x:c>
      <x:c r="H973" s="604" t="n">
        <x:v>-0.25</x:v>
      </x:c>
      <x:c r="I973" s="604" t="n">
        <x:v>0.88</x:v>
      </x:c>
      <x:c r="J973" s="604" t="inlineStr">
        <x:is>
          <x:t xml:space="preserve">0.82/-0.25/0.88</x:t>
        </x:is>
      </x:c>
      <x:c r="K973" s="604" t="inlineStr">
        <x:is>
          <x:t xml:space="preserve">V4-B｜EV +0.1229</x:t>
        </x:is>
      </x:c>
      <x:c r="L973" s="604" t="inlineStr">
        <x:is>
          <x:t xml:space="preserve">圣菲利浦联</x:t>
        </x:is>
      </x:c>
      <x:c r="M973" s="604" t="n">
        <x:v>0.6271971291457392</x:v>
      </x:c>
      <x:c r="N973" s="604" t="inlineStr">
        <x:is>
          <x:t xml:space="preserve">V4纸面入选-B</x:t>
        </x:is>
      </x:c>
      <x:c r="O973" s="604" t="inlineStr">
        <x:is>
          <x:t xml:space="preserve">0-2</x:t>
        </x:is>
      </x:c>
      <x:c r="P973" s="604" t="inlineStr">
        <x:is>
          <x:t xml:space="preserve">已结算</x:t>
        </x:is>
      </x:c>
      <x:c r="Q973" s="646" t="inlineStr">
        <x:is>
          <x:t xml:space="preserve">黑</x:t>
        </x:is>
      </x:c>
      <x:c r="R973" s="604" t="n">
        <x:v>0.82</x:v>
      </x:c>
      <x:c r="S973" s="604" t="n">
        <x:f>IF(OR(Q973="",Q973="待结算"),"",IF(Q973="红",R973,IF(Q973="半红",R973*0.5,IF(Q973="走",0,IF(Q973="半黑",-0.5,-1)))))</x:f>
        <x:v>-1</x:v>
      </x:c>
      <x:c r="T973" s="604" t="inlineStr">
        <x:is>
          <x:t xml:space="preserve">https://m.titan007.com/analy/Analysis/2926248.htm</x:t>
        </x:is>
      </x:c>
      <x:c r="U973" s="645" t="str">
        <x:f>IF(Q973="","",IF(Q973="待结算","待结算",IF(Q973="红","黑",IF(Q973="半红","半黑",IF(Q973="走","走",IF(Q973="半黑","半红","红"))))))</x:f>
        <x:v>红</x:v>
      </x:c>
      <x:c r="V973" s="604" t="n">
        <x:f>IF(OR(Q973="",Q973="待结算"),"",IF(L973=LEFT(F973,FIND(" vs ",F973)-1),I973,G973))</x:f>
        <x:v>0.88</x:v>
      </x:c>
      <x:c r="W973" s="604" t="n">
        <x:f>IF(OR(U973="",U973="待结算"),"",IF(U973="红",V973,IF(U973="半红",V973*0.5,IF(U973="走",0,IF(U973="半黑",-0.5,-1)))))</x:f>
        <x:v>0.88</x:v>
      </x:c>
      <x:c r="X973" s="604" t="inlineStr">
        <x:is>
          <x:t xml:space="preserve">2926248</x:t>
        </x:is>
      </x:c>
      <x:c r="Y973" s="604" t="inlineStr">
        <x:is>
          <x:t xml:space="preserve">V4</x:t>
        </x:is>
      </x:c>
      <x:c r="Z973" s="604" t="inlineStr">
        <x:is>
          <x:t xml:space="preserve">prior-2026-10-04-v1</x:t>
        </x:is>
      </x:c>
      <x:c r="AA973" s="604" t="inlineStr">
        <x:is>
          <x:t xml:space="preserve">B</x:t>
        </x:is>
      </x:c>
      <x:c r="AB973" s="604" t="n">
        <x:v>0.4130525128110174</x:v>
      </x:c>
      <x:c r="AC973" s="604" t="n">
        <x:v>0.2632067283048188</x:v>
      </x:c>
      <x:c r="AD973" s="604" t="n"/>
      <x:c r="AE973" s="604" t="n"/>
      <x:c r="AF973" s="604" t="n">
        <x:v>0.3237407588841639</x:v>
      </x:c>
      <x:c r="AG973" s="604" t="n">
        <x:v>0.122877060225846</x:v>
      </x:c>
      <x:c r="AH973" s="604" t="n"/>
      <x:c r="AI973" s="604" t="n"/>
      <x:c r="AJ973" s="604" t="n">
        <x:v>0.122877060225846</x:v>
      </x:c>
      <x:c r="AK973" s="604" t="n"/>
      <x:c r="AL973" s="604" t="n"/>
      <x:c r="AM973" s="604" t="n"/>
      <x:c r="AN973" s="604" t="inlineStr">
        <x:is>
          <x:t xml:space="preserve">EVALUATED</x:t>
        </x:is>
      </x:c>
      <x:c r="AO973" s="604" t="inlineStr">
        <x:is>
          <x:t xml:space="preserve">RECEIVING_VALIDATED_EDGE、BUCKET_PRIOR_ONLY、INTENT_INTERPRETATION_ONLY、FFL_OPTIONAL、EXPERT_MARKET</x:t>
        </x:is>
      </x:c>
      <x:c r="AP973" s="604" t="inlineStr">
        <x:is>
          <x:t xml:space="preserve">9e92323e381dbf5dfb44</x:t>
        </x:is>
      </x:c>
      <x:c r="AQ973" s="604" t="n">
        <x:v>0.25</x:v>
      </x:c>
      <x:c r="AR973" s="604" t="n">
        <x:v>0.82</x:v>
      </x:c>
      <x:c r="AS973" s="604" t="n">
        <x:v>-0.25</x:v>
      </x:c>
      <x:c r="AT973" s="604" t="n">
        <x:v>0.25</x:v>
      </x:c>
      <x:c r="AU973" s="604" t="n">
        <x:v>0.82</x:v>
      </x:c>
      <x:c r="AV973" s="604" t="n">
        <x:v>0.88</x:v>
      </x:c>
      <x:c r="AW973" s="604" t="n">
        <x:v>46299.08204853009</x:v>
      </x:c>
      <x:c r="AX973" s="604" t="inlineStr">
        <x:is>
          <x:t xml:space="preserve">https://simondongxiao.github.io/odds/v4/</x:t>
        </x:is>
      </x:c>
      <x:c r="AY973" s="604" t="inlineStr">
        <x:is>
          <x:t xml:space="preserve">V4 Shadow Only；real_money=false；P(EV&gt;0)不是比赛胜率</x:t>
        </x:is>
      </x:c>
    </x:row>
    <x:row r="974" ht="22" customHeight="1">
      <x:c r="A974" s="604" t="inlineStr">
        <x:is>
          <x:t xml:space="preserve">2026-10-04</x:t>
        </x:is>
      </x:c>
      <x:c r="B974" s="604" t="inlineStr">
        <x:is>
          <x:t xml:space="preserve">2026-10-05 02:00</x:t>
        </x:is>
      </x:c>
      <x:c r="C974" s="604" t="str">
        <x:v>南美系列</x:v>
      </x:c>
      <x:c r="D974" s="604" t="inlineStr">
        <x:is>
          <x:t xml:space="preserve">联赛</x:t>
        </x:is>
      </x:c>
      <x:c r="E974" s="604" t="inlineStr">
        <x:is>
          <x:t xml:space="preserve">阿乙曼特秋</x:t>
        </x:is>
      </x:c>
      <x:c r="F974" s="604" t="inlineStr">
        <x:is>
          <x:t xml:space="preserve">BsAs交流会 vs 弗朗德里亚</x:t>
        </x:is>
      </x:c>
      <x:c r="G974" s="604" t="n">
        <x:v>0.82</x:v>
      </x:c>
      <x:c r="H974" s="604" t="n">
        <x:v>0.25</x:v>
      </x:c>
      <x:c r="I974" s="604" t="n">
        <x:v>0.88</x:v>
      </x:c>
      <x:c r="J974" s="604" t="inlineStr">
        <x:is>
          <x:t xml:space="preserve">0.82/0.25/0.88</x:t>
        </x:is>
      </x:c>
      <x:c r="K974" s="604" t="inlineStr">
        <x:is>
          <x:t xml:space="preserve">V4-B｜EV +0.1514</x:t>
        </x:is>
      </x:c>
      <x:c r="L974" s="604" t="inlineStr">
        <x:is>
          <x:t xml:space="preserve">BsAs交流会</x:t>
        </x:is>
      </x:c>
      <x:c r="M974" s="604" t="n">
        <x:v>0.6440278360303022</x:v>
      </x:c>
      <x:c r="N974" s="604" t="inlineStr">
        <x:is>
          <x:t xml:space="preserve">V4纸面入选-B</x:t>
        </x:is>
      </x:c>
      <x:c r="O974" s="604" t="inlineStr">
        <x:is>
          <x:t xml:space="preserve">1-1</x:t>
        </x:is>
      </x:c>
      <x:c r="P974" s="604" t="inlineStr">
        <x:is>
          <x:t xml:space="preserve">已结算</x:t>
        </x:is>
      </x:c>
      <x:c r="Q974" s="648" t="inlineStr">
        <x:is>
          <x:t xml:space="preserve">半黑</x:t>
        </x:is>
      </x:c>
      <x:c r="R974" s="604" t="n">
        <x:v>0.82</x:v>
      </x:c>
      <x:c r="S974" s="604" t="n">
        <x:f>IF(OR(Q974="",Q974="待结算"),"",IF(Q974="红",R974,IF(Q974="半红",R974*0.5,IF(Q974="走",0,IF(Q974="半黑",-0.5,-1)))))</x:f>
        <x:v>-0.5</x:v>
      </x:c>
      <x:c r="T974" s="604" t="inlineStr">
        <x:is>
          <x:t xml:space="preserve">https://m.titan007.com/analy/Analysis/2934827.htm</x:t>
        </x:is>
      </x:c>
      <x:c r="U974" s="649" t="str">
        <x:f>IF(Q974="","",IF(Q974="待结算","待结算",IF(Q974="红","黑",IF(Q974="半红","半黑",IF(Q974="走","走",IF(Q974="半黑","半红","红"))))))</x:f>
        <x:v>半红</x:v>
      </x:c>
      <x:c r="V974" s="604" t="n">
        <x:f>IF(OR(Q974="",Q974="待结算"),"",IF(L974=LEFT(F974,FIND(" vs ",F974)-1),I974,G974))</x:f>
        <x:v>0.88</x:v>
      </x:c>
      <x:c r="W974" s="604" t="n">
        <x:f>IF(OR(U974="",U974="待结算"),"",IF(U974="红",V974,IF(U974="半红",V974*0.5,IF(U974="走",0,IF(U974="半黑",-0.5,-1)))))</x:f>
        <x:v>0.44</x:v>
      </x:c>
      <x:c r="X974" s="604" t="inlineStr">
        <x:is>
          <x:t xml:space="preserve">2934827</x:t>
        </x:is>
      </x:c>
      <x:c r="Y974" s="604" t="inlineStr">
        <x:is>
          <x:t xml:space="preserve">V4</x:t>
        </x:is>
      </x:c>
      <x:c r="Z974" s="604" t="inlineStr">
        <x:is>
          <x:t xml:space="preserve">prior-2026-10-04-v1</x:t>
        </x:is>
      </x:c>
      <x:c r="AA974" s="604" t="inlineStr">
        <x:is>
          <x:t xml:space="preserve">B</x:t>
        </x:is>
      </x:c>
      <x:c r="AB974" s="604" t="n">
        <x:v>0.5665620019767698</x:v>
      </x:c>
      <x:c r="AC974" s="604" t="n"/>
      <x:c r="AD974" s="604" t="n"/>
      <x:c r="AE974" s="604" t="n">
        <x:v>0.240566726217988</x:v>
      </x:c>
      <x:c r="AF974" s="604" t="n">
        <x:v>0.1928712718052423</x:v>
      </x:c>
      <x:c r="AG974" s="604" t="n">
        <x:v>0.1514262067067149</x:v>
      </x:c>
      <x:c r="AH974" s="604" t="n"/>
      <x:c r="AI974" s="604" t="n"/>
      <x:c r="AJ974" s="604" t="n">
        <x:v>0.1514262067067149</x:v>
      </x:c>
      <x:c r="AK974" s="604" t="n"/>
      <x:c r="AL974" s="604" t="n"/>
      <x:c r="AM974" s="604" t="n"/>
      <x:c r="AN974" s="604" t="inlineStr">
        <x:is>
          <x:t xml:space="preserve">EVALUATED</x:t>
        </x:is>
      </x:c>
      <x:c r="AO974" s="604" t="inlineStr">
        <x:is>
          <x:t xml:space="preserve">GIVING_VALIDATED_EDGE、BUCKET_PRIOR_ONLY、INTENT_INTERPRETATION_ONLY、FFL_OPTIONAL、EXPERT_MARKET</x:t>
        </x:is>
      </x:c>
      <x:c r="AP974" s="604" t="inlineStr">
        <x:is>
          <x:t xml:space="preserve">2b6047fdacf51c4ff72d</x:t>
        </x:is>
      </x:c>
      <x:c r="AQ974" s="604" t="n">
        <x:v>-0.25</x:v>
      </x:c>
      <x:c r="AR974" s="604" t="n">
        <x:v>0.82</x:v>
      </x:c>
      <x:c r="AS974" s="604" t="n">
        <x:v>0.25</x:v>
      </x:c>
      <x:c r="AT974" s="604" t="n">
        <x:v>-0.25</x:v>
      </x:c>
      <x:c r="AU974" s="604" t="n">
        <x:v>0.82</x:v>
      </x:c>
      <x:c r="AV974" s="604" t="n">
        <x:v>0.88</x:v>
      </x:c>
      <x:c r="AW974" s="604" t="n">
        <x:v>46299.08204853009</x:v>
      </x:c>
      <x:c r="AX974" s="604" t="inlineStr">
        <x:is>
          <x:t xml:space="preserve">https://simondongxiao.github.io/odds/v4/</x:t>
        </x:is>
      </x:c>
      <x:c r="AY974" s="604" t="inlineStr">
        <x:is>
          <x:t xml:space="preserve">V4 Shadow Only；real_money=false；P(EV&gt;0)不是比赛胜率</x:t>
        </x:is>
      </x:c>
    </x:row>
    <x:row r="975" ht="22" customHeight="1">
      <x:c r="A975" s="604" t="inlineStr">
        <x:is>
          <x:t xml:space="preserve">2026-10-04</x:t>
        </x:is>
      </x:c>
      <x:c r="B975" s="604" t="inlineStr">
        <x:is>
          <x:t xml:space="preserve">2026-10-05 02:00</x:t>
        </x:is>
      </x:c>
      <x:c r="C975" s="604" t="str">
        <x:v>其他系列</x:v>
      </x:c>
      <x:c r="D975" s="604" t="inlineStr">
        <x:is>
          <x:t xml:space="preserve">联赛</x:t>
        </x:is>
      </x:c>
      <x:c r="E975" s="604" t="inlineStr">
        <x:is>
          <x:t xml:space="preserve">国际友谊</x:t>
        </x:is>
      </x:c>
      <x:c r="F975" s="604" t="inlineStr">
        <x:is>
          <x:t xml:space="preserve">埃及 vs 南非</x:t>
        </x:is>
      </x:c>
      <x:c r="G975" s="604" t="n">
        <x:v>0.79</x:v>
      </x:c>
      <x:c r="H975" s="604" t="n">
        <x:v>0.5</x:v>
      </x:c>
      <x:c r="I975" s="604" t="n">
        <x:v>1.03</x:v>
      </x:c>
      <x:c r="J975" s="604" t="inlineStr">
        <x:is>
          <x:t xml:space="preserve">0.79/0.5/1.03</x:t>
        </x:is>
      </x:c>
      <x:c r="K975" s="604" t="inlineStr">
        <x:is>
          <x:t xml:space="preserve">V4-C｜EV +0.2193</x:t>
        </x:is>
      </x:c>
      <x:c r="L975" s="604" t="inlineStr">
        <x:is>
          <x:t xml:space="preserve">埃及</x:t>
        </x:is>
      </x:c>
      <x:c r="M975" s="604" t="n">
        <x:v>0.6811874775064398</x:v>
      </x:c>
      <x:c r="N975" s="604" t="inlineStr">
        <x:is>
          <x:t xml:space="preserve">V4纸面入选-C</x:t>
        </x:is>
      </x:c>
      <x:c r="O975" s="604" t="inlineStr">
        <x:is>
          <x:t xml:space="preserve">0-1</x:t>
        </x:is>
      </x:c>
      <x:c r="P975" s="604" t="inlineStr">
        <x:is>
          <x:t xml:space="preserve">已结算</x:t>
        </x:is>
      </x:c>
      <x:c r="Q975" s="646" t="inlineStr">
        <x:is>
          <x:t xml:space="preserve">黑</x:t>
        </x:is>
      </x:c>
      <x:c r="R975" s="604" t="n">
        <x:v>0.79</x:v>
      </x:c>
      <x:c r="S975" s="604" t="n">
        <x:f>IF(OR(Q975="",Q975="待结算"),"",IF(Q975="红",R975,IF(Q975="半红",R975*0.5,IF(Q975="走",0,IF(Q975="半黑",-0.5,-1)))))</x:f>
        <x:v>-1</x:v>
      </x:c>
      <x:c r="T975" s="604" t="inlineStr">
        <x:is>
          <x:t xml:space="preserve">https://m.titan007.com/analy/Analysis/3097227.htm</x:t>
        </x:is>
      </x:c>
      <x:c r="U975" s="645" t="str">
        <x:f>IF(Q975="","",IF(Q975="待结算","待结算",IF(Q975="红","黑",IF(Q975="半红","半黑",IF(Q975="走","走",IF(Q975="半黑","半红","红"))))))</x:f>
        <x:v>红</x:v>
      </x:c>
      <x:c r="V975" s="604" t="n">
        <x:f>IF(OR(Q975="",Q975="待结算"),"",IF(L975=LEFT(F975,FIND(" vs ",F975)-1),I975,G975))</x:f>
        <x:v>1.03</x:v>
      </x:c>
      <x:c r="W975" s="604" t="n">
        <x:f>IF(OR(U975="",U975="待结算"),"",IF(U975="红",V975,IF(U975="半红",V975*0.5,IF(U975="走",0,IF(U975="半黑",-0.5,-1)))))</x:f>
        <x:v>1.03</x:v>
      </x:c>
      <x:c r="X975" s="604" t="inlineStr">
        <x:is>
          <x:t xml:space="preserve">3097227</x:t>
        </x:is>
      </x:c>
      <x:c r="Y975" s="604" t="inlineStr">
        <x:is>
          <x:t xml:space="preserve">V4</x:t>
        </x:is>
      </x:c>
      <x:c r="Z975" s="604" t="inlineStr">
        <x:is>
          <x:t xml:space="preserve">prior-2026-10-04-v1</x:t>
        </x:is>
      </x:c>
      <x:c r="AA975" s="604" t="inlineStr">
        <x:is>
          <x:t xml:space="preserve">C</x:t>
        </x:is>
      </x:c>
      <x:c r="AB975" s="604" t="n">
        <x:v>0.6811874775064398</x:v>
      </x:c>
      <x:c r="AC975" s="604" t="n"/>
      <x:c r="AD975" s="604" t="n"/>
      <x:c r="AE975" s="604" t="n"/>
      <x:c r="AF975" s="604" t="n">
        <x:v>0.3188125224935602</x:v>
      </x:c>
      <x:c r="AG975" s="604" t="n">
        <x:v>0.2193255847365272</x:v>
      </x:c>
      <x:c r="AH975" s="604" t="n"/>
      <x:c r="AI975" s="604" t="n"/>
      <x:c r="AJ975" s="604" t="n">
        <x:v>0.2193255847365272</x:v>
      </x:c>
      <x:c r="AK975" s="604" t="n"/>
      <x:c r="AL975" s="604" t="n"/>
      <x:c r="AM975" s="604" t="n"/>
      <x:c r="AN975" s="604" t="inlineStr">
        <x:is>
          <x:t xml:space="preserve">EVALUATED</x:t>
        </x:is>
      </x:c>
      <x:c r="AO975" s="604" t="inlineStr">
        <x:is>
          <x:t xml:space="preserve">GIVING_VALIDATED_EDGE、BUCKET_PRIOR_ONLY、INTENT_INTERPRETATION_ONLY、FFL_OPTIONAL、EXPERT_MARKET</x:t>
        </x:is>
      </x:c>
      <x:c r="AP975" s="604" t="inlineStr">
        <x:is>
          <x:t xml:space="preserve">c42d2ccbfe8aad0d38ac</x:t>
        </x:is>
      </x:c>
      <x:c r="AQ975" s="604" t="n">
        <x:v>-0.5</x:v>
      </x:c>
      <x:c r="AR975" s="604" t="n">
        <x:v>0.79</x:v>
      </x:c>
      <x:c r="AS975" s="604" t="n">
        <x:v>0.5</x:v>
      </x:c>
      <x:c r="AT975" s="604" t="n">
        <x:v>-0.5</x:v>
      </x:c>
      <x:c r="AU975" s="604" t="n">
        <x:v>0.79</x:v>
      </x:c>
      <x:c r="AV975" s="604" t="n">
        <x:v>1.03</x:v>
      </x:c>
      <x:c r="AW975" s="604" t="n">
        <x:v>46299.08204853009</x:v>
      </x:c>
      <x:c r="AX975" s="604" t="inlineStr">
        <x:is>
          <x:t xml:space="preserve">https://simondongxiao.github.io/odds/v4/</x:t>
        </x:is>
      </x:c>
      <x:c r="AY975" s="604" t="inlineStr">
        <x:is>
          <x:t xml:space="preserve">V4 Shadow Only；real_money=false；P(EV&gt;0)不是比赛胜率</x:t>
        </x:is>
      </x:c>
    </x:row>
    <x:row r="976" ht="22" customHeight="1">
      <x:c r="A976" s="604" t="inlineStr">
        <x:is>
          <x:t xml:space="preserve">2026-10-04</x:t>
        </x:is>
      </x:c>
      <x:c r="B976" s="604" t="inlineStr">
        <x:is>
          <x:t xml:space="preserve">2026-10-05 02:00</x:t>
        </x:is>
      </x:c>
      <x:c r="C976" s="604" t="str">
        <x:v>其他系列</x:v>
      </x:c>
      <x:c r="D976" s="604" t="inlineStr">
        <x:is>
          <x:t xml:space="preserve">联赛</x:t>
        </x:is>
      </x:c>
      <x:c r="E976" s="604" t="inlineStr">
        <x:is>
          <x:t xml:space="preserve">国际友谊</x:t>
        </x:is>
      </x:c>
      <x:c r="F976" s="604" t="inlineStr">
        <x:is>
          <x:t xml:space="preserve">摩洛哥 vs 马里</x:t>
        </x:is>
      </x:c>
      <x:c r="G976" s="604" t="n">
        <x:v>0.9</x:v>
      </x:c>
      <x:c r="H976" s="604" t="n">
        <x:v>1.25</x:v>
      </x:c>
      <x:c r="I976" s="604" t="n">
        <x:v>0.92</x:v>
      </x:c>
      <x:c r="J976" s="604" t="inlineStr">
        <x:is>
          <x:t xml:space="preserve">0.9/1.25/0.92</x:t>
        </x:is>
      </x:c>
      <x:c r="K976" s="604" t="inlineStr">
        <x:is>
          <x:t xml:space="preserve">V4-C｜EV +0.2522</x:t>
        </x:is>
      </x:c>
      <x:c r="L976" s="604" t="inlineStr">
        <x:is>
          <x:t xml:space="preserve">摩洛哥</x:t>
        </x:is>
      </x:c>
      <x:c r="M976" s="604" t="n">
        <x:v>0.6766167453160825</x:v>
      </x:c>
      <x:c r="N976" s="604" t="inlineStr">
        <x:is>
          <x:t xml:space="preserve">V4纸面入选-C</x:t>
        </x:is>
      </x:c>
      <x:c r="O976" s="604" t="inlineStr">
        <x:is>
          <x:t xml:space="preserve">1-1</x:t>
        </x:is>
      </x:c>
      <x:c r="P976" s="604" t="inlineStr">
        <x:is>
          <x:t xml:space="preserve">已结算</x:t>
        </x:is>
      </x:c>
      <x:c r="Q976" s="646" t="inlineStr">
        <x:is>
          <x:t xml:space="preserve">黑</x:t>
        </x:is>
      </x:c>
      <x:c r="R976" s="604" t="n">
        <x:v>0.9</x:v>
      </x:c>
      <x:c r="S976" s="604" t="n">
        <x:f>IF(OR(Q976="",Q976="待结算"),"",IF(Q976="红",R976,IF(Q976="半红",R976*0.5,IF(Q976="走",0,IF(Q976="半黑",-0.5,-1)))))</x:f>
        <x:v>-1</x:v>
      </x:c>
      <x:c r="T976" s="604" t="inlineStr">
        <x:is>
          <x:t xml:space="preserve">https://m.titan007.com/analy/Analysis/3097230.htm</x:t>
        </x:is>
      </x:c>
      <x:c r="U976" s="645" t="str">
        <x:f>IF(Q976="","",IF(Q976="待结算","待结算",IF(Q976="红","黑",IF(Q976="半红","半黑",IF(Q976="走","走",IF(Q976="半黑","半红","红"))))))</x:f>
        <x:v>红</x:v>
      </x:c>
      <x:c r="V976" s="604" t="n">
        <x:f>IF(OR(Q976="",Q976="待结算"),"",IF(L976=LEFT(F976,FIND(" vs ",F976)-1),I976,G976))</x:f>
        <x:v>0.92</x:v>
      </x:c>
      <x:c r="W976" s="604" t="n">
        <x:f>IF(OR(U976="",U976="待结算"),"",IF(U976="红",V976,IF(U976="半红",V976*0.5,IF(U976="走",0,IF(U976="半黑",-0.5,-1)))))</x:f>
        <x:v>0.92</x:v>
      </x:c>
      <x:c r="X976" s="604" t="inlineStr">
        <x:is>
          <x:t xml:space="preserve">3097230</x:t>
        </x:is>
      </x:c>
      <x:c r="Y976" s="604" t="inlineStr">
        <x:is>
          <x:t xml:space="preserve">V4</x:t>
        </x:is>
      </x:c>
      <x:c r="Z976" s="604" t="inlineStr">
        <x:is>
          <x:t xml:space="preserve">prior-2026-10-04-v1</x:t>
        </x:is>
      </x:c>
      <x:c r="AA976" s="604" t="inlineStr">
        <x:is>
          <x:t xml:space="preserve">C</x:t>
        </x:is>
      </x:c>
      <x:c r="AB976" s="604" t="n">
        <x:v>0.5974658013721553</x:v>
      </x:c>
      <x:c r="AC976" s="604" t="n"/>
      <x:c r="AD976" s="604" t="n"/>
      <x:c r="AE976" s="604" t="n">
        <x:v>0.2339609372421065</x:v>
      </x:c>
      <x:c r="AF976" s="604" t="n">
        <x:v>0.1685732613857382</x:v>
      </x:c>
      <x:c r="AG976" s="604" t="n">
        <x:v>0.2521654912281484</x:v>
      </x:c>
      <x:c r="AH976" s="604" t="n"/>
      <x:c r="AI976" s="604" t="n"/>
      <x:c r="AJ976" s="604" t="n">
        <x:v>0.2521654912281484</x:v>
      </x:c>
      <x:c r="AK976" s="604" t="n"/>
      <x:c r="AL976" s="604" t="n"/>
      <x:c r="AM976" s="604" t="n"/>
      <x:c r="AN976" s="604" t="inlineStr">
        <x:is>
          <x:t xml:space="preserve">EVALUATED</x:t>
        </x:is>
      </x:c>
      <x:c r="AO976" s="604" t="inlineStr">
        <x:is>
          <x:t xml:space="preserve">GIVING_VALIDATED_EDGE、BUCKET_PRIOR_ONLY、INTENT_INTERPRETATION_ONLY、FFL_OPTIONAL、EXPERT_MARKET</x:t>
        </x:is>
      </x:c>
      <x:c r="AP976" s="604" t="inlineStr">
        <x:is>
          <x:t xml:space="preserve">70222350df96ff1290fb</x:t>
        </x:is>
      </x:c>
      <x:c r="AQ976" s="604" t="n">
        <x:v>-1.25</x:v>
      </x:c>
      <x:c r="AR976" s="604" t="n">
        <x:v>0.9</x:v>
      </x:c>
      <x:c r="AS976" s="604" t="n">
        <x:v>1.25</x:v>
      </x:c>
      <x:c r="AT976" s="604" t="n">
        <x:v>-1.25</x:v>
      </x:c>
      <x:c r="AU976" s="604" t="n">
        <x:v>0.9</x:v>
      </x:c>
      <x:c r="AV976" s="604" t="n">
        <x:v>0.92</x:v>
      </x:c>
      <x:c r="AW976" s="604" t="n">
        <x:v>46299.08204853009</x:v>
      </x:c>
      <x:c r="AX976" s="604" t="inlineStr">
        <x:is>
          <x:t xml:space="preserve">https://simondongxiao.github.io/odds/v4/</x:t>
        </x:is>
      </x:c>
      <x:c r="AY976" s="604" t="inlineStr">
        <x:is>
          <x:t xml:space="preserve">V4 Shadow Only；real_money=false；P(EV&gt;0)不是比赛胜率</x:t>
        </x:is>
      </x:c>
    </x:row>
    <x:row r="977" ht="22" customHeight="1">
      <x:c r="A977" s="604" t="inlineStr">
        <x:is>
          <x:t xml:space="preserve">2026-10-04</x:t>
        </x:is>
      </x:c>
      <x:c r="B977" s="604" t="inlineStr">
        <x:is>
          <x:t xml:space="preserve">2026-10-05 02:30</x:t>
        </x:is>
      </x:c>
      <x:c r="C977" s="604" t="str">
        <x:v>五大联赛非顶级联赛</x:v>
      </x:c>
      <x:c r="D977" s="604" t="inlineStr">
        <x:is>
          <x:t xml:space="preserve">联赛</x:t>
        </x:is>
      </x:c>
      <x:c r="E977" s="604" t="inlineStr">
        <x:is>
          <x:t xml:space="preserve">意丙</x:t>
        </x:is>
      </x:c>
      <x:c r="F977" s="604" t="inlineStr">
        <x:is>
          <x:t xml:space="preserve">阿尔希欧蕾 vs 特伦托</x:t>
        </x:is>
      </x:c>
      <x:c r="G977" s="604" t="n">
        <x:v>0.96</x:v>
      </x:c>
      <x:c r="H977" s="604" t="n">
        <x:v>-0.25</x:v>
      </x:c>
      <x:c r="I977" s="604" t="n">
        <x:v>0.74</x:v>
      </x:c>
      <x:c r="J977" s="604" t="inlineStr">
        <x:is>
          <x:t xml:space="preserve">0.96/-0.25/0.74</x:t>
        </x:is>
      </x:c>
      <x:c r="K977" s="604" t="inlineStr">
        <x:is>
          <x:t xml:space="preserve">V4-B｜EV +0.2465</x:t>
        </x:is>
      </x:c>
      <x:c r="L977" s="604" t="inlineStr">
        <x:is>
          <x:t xml:space="preserve">阿尔希欧蕾</x:t>
        </x:is>
      </x:c>
      <x:c r="M977" s="604" t="n">
        <x:v>0.6549061565724454</x:v>
      </x:c>
      <x:c r="N977" s="604" t="inlineStr">
        <x:is>
          <x:t xml:space="preserve">V4纸面入选-B</x:t>
        </x:is>
      </x:c>
      <x:c r="O977" s="604" t="inlineStr">
        <x:is>
          <x:t xml:space="preserve">2-2</x:t>
        </x:is>
      </x:c>
      <x:c r="P977" s="604" t="inlineStr">
        <x:is>
          <x:t xml:space="preserve">已结算</x:t>
        </x:is>
      </x:c>
      <x:c r="Q977" s="649" t="inlineStr">
        <x:is>
          <x:t xml:space="preserve">半红</x:t>
        </x:is>
      </x:c>
      <x:c r="R977" s="604" t="n">
        <x:v>0.96</x:v>
      </x:c>
      <x:c r="S977" s="604" t="n">
        <x:f>IF(OR(Q977="",Q977="待结算"),"",IF(Q977="红",R977,IF(Q977="半红",R977*0.5,IF(Q977="走",0,IF(Q977="半黑",-0.5,-1)))))</x:f>
        <x:v>0.48</x:v>
      </x:c>
      <x:c r="T977" s="604" t="inlineStr">
        <x:is>
          <x:t xml:space="preserve">https://m.titan007.com/analy/Analysis/3050571.htm</x:t>
        </x:is>
      </x:c>
      <x:c r="U977" s="648" t="str">
        <x:f>IF(Q977="","",IF(Q977="待结算","待结算",IF(Q977="红","黑",IF(Q977="半红","半黑",IF(Q977="走","走",IF(Q977="半黑","半红","红"))))))</x:f>
        <x:v>半黑</x:v>
      </x:c>
      <x:c r="V977" s="604" t="n">
        <x:f>IF(OR(Q977="",Q977="待结算"),"",IF(L977=LEFT(F977,FIND(" vs ",F977)-1),I977,G977))</x:f>
        <x:v>0.74</x:v>
      </x:c>
      <x:c r="W977" s="604" t="n">
        <x:f>IF(OR(U977="",U977="待结算"),"",IF(U977="红",V977,IF(U977="半红",V977*0.5,IF(U977="走",0,IF(U977="半黑",-0.5,-1)))))</x:f>
        <x:v>-0.5</x:v>
      </x:c>
      <x:c r="X977" s="604" t="inlineStr">
        <x:is>
          <x:t xml:space="preserve">3050571</x:t>
        </x:is>
      </x:c>
      <x:c r="Y977" s="604" t="inlineStr">
        <x:is>
          <x:t xml:space="preserve">V4</x:t>
        </x:is>
      </x:c>
      <x:c r="Z977" s="604" t="inlineStr">
        <x:is>
          <x:t xml:space="preserve">prior-2026-10-04-v1</x:t>
        </x:is>
      </x:c>
      <x:c r="AA977" s="604" t="inlineStr">
        <x:is>
          <x:t xml:space="preserve">B</x:t>
        </x:is>
      </x:c>
      <x:c r="AB977" s="604" t="n">
        <x:v>0.4381172911425846</x:v>
      </x:c>
      <x:c r="AC977" s="604" t="n">
        <x:v>0.2619953579468973</x:v>
      </x:c>
      <x:c r="AD977" s="604" t="n"/>
      <x:c r="AE977" s="604" t="n"/>
      <x:c r="AF977" s="604" t="n">
        <x:v>0.2998873509105182</x:v>
      </x:c>
      <x:c r="AG977" s="604" t="n">
        <x:v>0.2464630204008737</x:v>
      </x:c>
      <x:c r="AH977" s="604" t="n"/>
      <x:c r="AI977" s="604" t="n"/>
      <x:c r="AJ977" s="604" t="n">
        <x:v>0.2464630204008737</x:v>
      </x:c>
      <x:c r="AK977" s="604" t="n"/>
      <x:c r="AL977" s="604" t="n"/>
      <x:c r="AM977" s="604" t="n"/>
      <x:c r="AN977" s="604" t="inlineStr">
        <x:is>
          <x:t xml:space="preserve">EVALUATED</x:t>
        </x:is>
      </x:c>
      <x:c r="AO977" s="604" t="inlineStr">
        <x:is>
          <x:t xml:space="preserve">RECEIVING_VALIDATED_EDGE、BUCKET_PRIOR_ONLY、INTENT_INTERPRETATION_ONLY、FFL_OPTIONAL、EXPERT_MARKET</x:t>
        </x:is>
      </x:c>
      <x:c r="AP977" s="604" t="inlineStr">
        <x:is>
          <x:t xml:space="preserve">b8e45c3ba27f3afb4ca0</x:t>
        </x:is>
      </x:c>
      <x:c r="AQ977" s="604" t="n">
        <x:v>0.25</x:v>
      </x:c>
      <x:c r="AR977" s="604" t="n">
        <x:v>0.96</x:v>
      </x:c>
      <x:c r="AS977" s="604" t="n">
        <x:v>-0.25</x:v>
      </x:c>
      <x:c r="AT977" s="604" t="n">
        <x:v>0.25</x:v>
      </x:c>
      <x:c r="AU977" s="604" t="n">
        <x:v>0.96</x:v>
      </x:c>
      <x:c r="AV977" s="604" t="n">
        <x:v>0.74</x:v>
      </x:c>
      <x:c r="AW977" s="604" t="n">
        <x:v>46299.08204853009</x:v>
      </x:c>
      <x:c r="AX977" s="604" t="inlineStr">
        <x:is>
          <x:t xml:space="preserve">https://simondongxiao.github.io/odds/v4/</x:t>
        </x:is>
      </x:c>
      <x:c r="AY977" s="604" t="inlineStr">
        <x:is>
          <x:t xml:space="preserve">V4 Shadow Only；real_money=false；P(EV&gt;0)不是比赛胜率</x:t>
        </x:is>
      </x:c>
    </x:row>
    <x:row r="978" ht="22" customHeight="1">
      <x:c r="A978" s="604" t="inlineStr">
        <x:is>
          <x:t xml:space="preserve">2026-10-04</x:t>
        </x:is>
      </x:c>
      <x:c r="B978" s="604" t="inlineStr">
        <x:is>
          <x:t xml:space="preserve">2026-10-05 02:30</x:t>
        </x:is>
      </x:c>
      <x:c r="C978" s="604" t="str">
        <x:v>五大联赛非顶级联赛</x:v>
      </x:c>
      <x:c r="D978" s="604" t="inlineStr">
        <x:is>
          <x:t xml:space="preserve">联赛</x:t>
        </x:is>
      </x:c>
      <x:c r="E978" s="604" t="inlineStr">
        <x:is>
          <x:t xml:space="preserve">意丙</x:t>
        </x:is>
      </x:c>
      <x:c r="F978" s="604" t="inlineStr">
        <x:is>
          <x:t xml:space="preserve">切里尼奥拉 vs 阿尔塔穆拉</x:t>
        </x:is>
      </x:c>
      <x:c r="G978" s="604" t="n">
        <x:v>0.93</x:v>
      </x:c>
      <x:c r="H978" s="604" t="n">
        <x:v>0.75</x:v>
      </x:c>
      <x:c r="I978" s="604" t="n">
        <x:v>0.77</x:v>
      </x:c>
      <x:c r="J978" s="604" t="inlineStr">
        <x:is>
          <x:t xml:space="preserve">0.93/0.75/0.77</x:t>
        </x:is>
      </x:c>
      <x:c r="K978" s="604" t="inlineStr">
        <x:is>
          <x:t xml:space="preserve">V4-B｜EV +0.0958</x:t>
        </x:is>
      </x:c>
      <x:c r="L978" s="604" t="inlineStr">
        <x:is>
          <x:t xml:space="preserve">切里尼奥拉</x:t>
        </x:is>
      </x:c>
      <x:c r="M978" s="604" t="n">
        <x:v>0.5750921810856102</x:v>
      </x:c>
      <x:c r="N978" s="604" t="inlineStr">
        <x:is>
          <x:t xml:space="preserve">V4纸面入选-B</x:t>
        </x:is>
      </x:c>
      <x:c r="O978" s="604" t="inlineStr">
        <x:is>
          <x:t xml:space="preserve">0-0</x:t>
        </x:is>
      </x:c>
      <x:c r="P978" s="604" t="inlineStr">
        <x:is>
          <x:t xml:space="preserve">已结算</x:t>
        </x:is>
      </x:c>
      <x:c r="Q978" s="646" t="inlineStr">
        <x:is>
          <x:t xml:space="preserve">黑</x:t>
        </x:is>
      </x:c>
      <x:c r="R978" s="604" t="n">
        <x:v>0.93</x:v>
      </x:c>
      <x:c r="S978" s="604" t="n">
        <x:f>IF(OR(Q978="",Q978="待结算"),"",IF(Q978="红",R978,IF(Q978="半红",R978*0.5,IF(Q978="走",0,IF(Q978="半黑",-0.5,-1)))))</x:f>
        <x:v>-1</x:v>
      </x:c>
      <x:c r="T978" s="604" t="inlineStr">
        <x:is>
          <x:t xml:space="preserve">https://m.titan007.com/analy/Analysis/3051331.htm</x:t>
        </x:is>
      </x:c>
      <x:c r="U978" s="645" t="str">
        <x:f>IF(Q978="","",IF(Q978="待结算","待结算",IF(Q978="红","黑",IF(Q978="半红","半黑",IF(Q978="走","走",IF(Q978="半黑","半红","红"))))))</x:f>
        <x:v>红</x:v>
      </x:c>
      <x:c r="V978" s="604" t="n">
        <x:f>IF(OR(Q978="",Q978="待结算"),"",IF(L978=LEFT(F978,FIND(" vs ",F978)-1),I978,G978))</x:f>
        <x:v>0.77</x:v>
      </x:c>
      <x:c r="W978" s="604" t="n">
        <x:f>IF(OR(U978="",U978="待结算"),"",IF(U978="红",V978,IF(U978="半红",V978*0.5,IF(U978="走",0,IF(U978="半黑",-0.5,-1)))))</x:f>
        <x:v>0.77</x:v>
      </x:c>
      <x:c r="X978" s="604" t="inlineStr">
        <x:is>
          <x:t xml:space="preserve">3051331</x:t>
        </x:is>
      </x:c>
      <x:c r="Y978" s="604" t="inlineStr">
        <x:is>
          <x:t xml:space="preserve">V4</x:t>
        </x:is>
      </x:c>
      <x:c r="Z978" s="604" t="inlineStr">
        <x:is>
          <x:t xml:space="preserve">prior-2026-10-04-v1</x:t>
        </x:is>
      </x:c>
      <x:c r="AA978" s="604" t="inlineStr">
        <x:is>
          <x:t xml:space="preserve">B</x:t>
        </x:is>
      </x:c>
      <x:c r="AB978" s="604" t="n">
        <x:v>0.3727917384483007</x:v>
      </x:c>
      <x:c r="AC978" s="604" t="n">
        <x:v>0.2568744167060455</x:v>
      </x:c>
      <x:c r="AD978" s="604" t="n"/>
      <x:c r="AE978" s="604" t="n"/>
      <x:c r="AF978" s="604" t="n">
        <x:v>0.3703338448456538</x:v>
      </x:c>
      <x:c r="AG978" s="604" t="n">
        <x:v>0.09580907567957708</x:v>
      </x:c>
      <x:c r="AH978" s="604" t="n"/>
      <x:c r="AI978" s="604" t="n"/>
      <x:c r="AJ978" s="604" t="n">
        <x:v>0.09580907567957708</x:v>
      </x:c>
      <x:c r="AK978" s="604" t="n"/>
      <x:c r="AL978" s="604" t="n"/>
      <x:c r="AM978" s="604" t="n"/>
      <x:c r="AN978" s="604" t="inlineStr">
        <x:is>
          <x:t xml:space="preserve">EVALUATED</x:t>
        </x:is>
      </x:c>
      <x:c r="AO978" s="604" t="inlineStr">
        <x:is>
          <x:t xml:space="preserve">GIVING_VALIDATED_EDGE、BUCKET_PRIOR_ONLY、INTENT_INTERPRETATION_ONLY、FFL_OPTIONAL、EXPERT_MARKET</x:t>
        </x:is>
      </x:c>
      <x:c r="AP978" s="604" t="inlineStr">
        <x:is>
          <x:t xml:space="preserve">9bfa30af71288225b991</x:t>
        </x:is>
      </x:c>
      <x:c r="AQ978" s="604" t="n">
        <x:v>-0.75</x:v>
      </x:c>
      <x:c r="AR978" s="604" t="n">
        <x:v>0.93</x:v>
      </x:c>
      <x:c r="AS978" s="604" t="n">
        <x:v>0.75</x:v>
      </x:c>
      <x:c r="AT978" s="604" t="n">
        <x:v>-0.75</x:v>
      </x:c>
      <x:c r="AU978" s="604" t="n">
        <x:v>0.93</x:v>
      </x:c>
      <x:c r="AV978" s="604" t="n">
        <x:v>0.77</x:v>
      </x:c>
      <x:c r="AW978" s="604" t="n">
        <x:v>46299.08204853009</x:v>
      </x:c>
      <x:c r="AX978" s="604" t="inlineStr">
        <x:is>
          <x:t xml:space="preserve">https://simondongxiao.github.io/odds/v4/</x:t>
        </x:is>
      </x:c>
      <x:c r="AY978" s="604" t="inlineStr">
        <x:is>
          <x:t xml:space="preserve">V4 Shadow Only；real_money=false；P(EV&gt;0)不是比赛胜率</x:t>
        </x:is>
      </x:c>
    </x:row>
    <x:row r="979" ht="22" customHeight="1">
      <x:c r="A979" s="604" t="inlineStr">
        <x:is>
          <x:t xml:space="preserve">2026-10-04</x:t>
        </x:is>
      </x:c>
      <x:c r="B979" s="604" t="inlineStr">
        <x:is>
          <x:t xml:space="preserve">2026-10-05 02:30</x:t>
        </x:is>
      </x:c>
      <x:c r="C979" s="604" t="str">
        <x:v>南美系列</x:v>
      </x:c>
      <x:c r="D979" s="604" t="inlineStr">
        <x:is>
          <x:t xml:space="preserve">联赛</x:t>
        </x:is>
      </x:c>
      <x:c r="E979" s="604" t="inlineStr">
        <x:is>
          <x:t xml:space="preserve">阿乙</x:t>
        </x:is>
      </x:c>
      <x:c r="F979" s="604" t="inlineStr">
        <x:is>
          <x:t xml:space="preserve">查卡里塔青年 vs 帕特罗纳图</x:t>
        </x:is>
      </x:c>
      <x:c r="G979" s="604" t="n">
        <x:v>0.96</x:v>
      </x:c>
      <x:c r="H979" s="604" t="n">
        <x:v>0.5</x:v>
      </x:c>
      <x:c r="I979" s="604" t="n">
        <x:v>0.8</x:v>
      </x:c>
      <x:c r="J979" s="604" t="inlineStr">
        <x:is>
          <x:t xml:space="preserve">0.96/0.5/0.8</x:t>
        </x:is>
      </x:c>
      <x:c r="K979" s="604" t="inlineStr">
        <x:is>
          <x:t xml:space="preserve">V4-B｜EV +0.0796</x:t>
        </x:is>
      </x:c>
      <x:c r="L979" s="604" t="inlineStr">
        <x:is>
          <x:t xml:space="preserve">查卡里塔青年</x:t>
        </x:is>
      </x:c>
      <x:c r="M979" s="604" t="n">
        <x:v>0.5507923412660749</x:v>
      </x:c>
      <x:c r="N979" s="604" t="inlineStr">
        <x:is>
          <x:t xml:space="preserve">V4纸面入选-B</x:t>
        </x:is>
      </x:c>
      <x:c r="O979" s="604" t="inlineStr">
        <x:is>
          <x:t xml:space="preserve">1-0</x:t>
        </x:is>
      </x:c>
      <x:c r="P979" s="604" t="inlineStr">
        <x:is>
          <x:t xml:space="preserve">已结算</x:t>
        </x:is>
      </x:c>
      <x:c r="Q979" s="645" t="inlineStr">
        <x:is>
          <x:t xml:space="preserve">红</x:t>
        </x:is>
      </x:c>
      <x:c r="R979" s="604" t="n">
        <x:v>0.96</x:v>
      </x:c>
      <x:c r="S979" s="604" t="n">
        <x:f>IF(OR(Q979="",Q979="待结算"),"",IF(Q979="红",R979,IF(Q979="半红",R979*0.5,IF(Q979="走",0,IF(Q979="半黑",-0.5,-1)))))</x:f>
        <x:v>0.96</x:v>
      </x:c>
      <x:c r="T979" s="604" t="inlineStr">
        <x:is>
          <x:t xml:space="preserve">https://m.titan007.com/analy/Analysis/2916721.htm</x:t>
        </x:is>
      </x:c>
      <x:c r="U979" s="646" t="str">
        <x:f>IF(Q979="","",IF(Q979="待结算","待结算",IF(Q979="红","黑",IF(Q979="半红","半黑",IF(Q979="走","走",IF(Q979="半黑","半红","红"))))))</x:f>
        <x:v>黑</x:v>
      </x:c>
      <x:c r="V979" s="604" t="n">
        <x:f>IF(OR(Q979="",Q979="待结算"),"",IF(L979=LEFT(F979,FIND(" vs ",F979)-1),I979,G979))</x:f>
        <x:v>0.8</x:v>
      </x:c>
      <x:c r="W979" s="604" t="n">
        <x:f>IF(OR(U979="",U979="待结算"),"",IF(U979="红",V979,IF(U979="半红",V979*0.5,IF(U979="走",0,IF(U979="半黑",-0.5,-1)))))</x:f>
        <x:v>-1</x:v>
      </x:c>
      <x:c r="X979" s="604" t="inlineStr">
        <x:is>
          <x:t xml:space="preserve">2916721</x:t>
        </x:is>
      </x:c>
      <x:c r="Y979" s="604" t="inlineStr">
        <x:is>
          <x:t xml:space="preserve">V4</x:t>
        </x:is>
      </x:c>
      <x:c r="Z979" s="604" t="inlineStr">
        <x:is>
          <x:t xml:space="preserve">prior-2026-10-04-v1</x:t>
        </x:is>
      </x:c>
      <x:c r="AA979" s="604" t="inlineStr">
        <x:is>
          <x:t xml:space="preserve">B</x:t>
        </x:is>
      </x:c>
      <x:c r="AB979" s="604" t="n">
        <x:v>0.5507923412660749</x:v>
      </x:c>
      <x:c r="AC979" s="604" t="n"/>
      <x:c r="AD979" s="604" t="n"/>
      <x:c r="AE979" s="604" t="n"/>
      <x:c r="AF979" s="604" t="n">
        <x:v>0.4492076587339251</x:v>
      </x:c>
      <x:c r="AG979" s="604" t="n">
        <x:v>0.07955298888150675</x:v>
      </x:c>
      <x:c r="AH979" s="604" t="n"/>
      <x:c r="AI979" s="604" t="n"/>
      <x:c r="AJ979" s="604" t="n">
        <x:v>0.07955298888150675</x:v>
      </x:c>
      <x:c r="AK979" s="604" t="n"/>
      <x:c r="AL979" s="604" t="n"/>
      <x:c r="AM979" s="604" t="n"/>
      <x:c r="AN979" s="604" t="inlineStr">
        <x:is>
          <x:t xml:space="preserve">EVALUATED</x:t>
        </x:is>
      </x:c>
      <x:c r="AO979" s="604" t="inlineStr">
        <x:is>
          <x:t xml:space="preserve">GIVING_VALIDATED_EDGE、BUCKET_PRIOR_ONLY、INTENT_INTERPRETATION_ONLY、FFL_OPTIONAL、EXPERT_MARKET</x:t>
        </x:is>
      </x:c>
      <x:c r="AP979" s="604" t="inlineStr">
        <x:is>
          <x:t xml:space="preserve">762f59329b031faf6db7</x:t>
        </x:is>
      </x:c>
      <x:c r="AQ979" s="604" t="n">
        <x:v>-0.5</x:v>
      </x:c>
      <x:c r="AR979" s="604" t="n">
        <x:v>0.96</x:v>
      </x:c>
      <x:c r="AS979" s="604" t="n">
        <x:v>0.5</x:v>
      </x:c>
      <x:c r="AT979" s="604" t="n">
        <x:v>-0.5</x:v>
      </x:c>
      <x:c r="AU979" s="604" t="n">
        <x:v>0.96</x:v>
      </x:c>
      <x:c r="AV979" s="604" t="n">
        <x:v>0.8</x:v>
      </x:c>
      <x:c r="AW979" s="604" t="n">
        <x:v>46299.08204853009</x:v>
      </x:c>
      <x:c r="AX979" s="604" t="inlineStr">
        <x:is>
          <x:t xml:space="preserve">https://simondongxiao.github.io/odds/v4/</x:t>
        </x:is>
      </x:c>
      <x:c r="AY979" s="604" t="inlineStr">
        <x:is>
          <x:t xml:space="preserve">V4 Shadow Only；real_money=false；P(EV&gt;0)不是比赛胜率</x:t>
        </x:is>
      </x:c>
    </x:row>
    <x:row r="980" ht="22" customHeight="1">
      <x:c r="A980" s="604" t="inlineStr">
        <x:is>
          <x:t xml:space="preserve">2026-10-04</x:t>
        </x:is>
      </x:c>
      <x:c r="B980" s="604" t="inlineStr">
        <x:is>
          <x:t xml:space="preserve">2026-10-05 02:45</x:t>
        </x:is>
      </x:c>
      <x:c r="C980" s="604" t="str">
        <x:v>欧洲非五大系列</x:v>
      </x:c>
      <x:c r="D980" s="604" t="inlineStr">
        <x:is>
          <x:t xml:space="preserve">联赛</x:t>
        </x:is>
      </x:c>
      <x:c r="E980" s="604" t="inlineStr">
        <x:is>
          <x:t xml:space="preserve">欧国联</x:t>
        </x:is>
      </x:c>
      <x:c r="F980" s="604" t="inlineStr">
        <x:is>
          <x:t xml:space="preserve">荷兰 vs 塞尔维亚</x:t>
        </x:is>
      </x:c>
      <x:c r="G980" s="604" t="n">
        <x:v>0.99</x:v>
      </x:c>
      <x:c r="H980" s="604" t="n">
        <x:v>2.25</x:v>
      </x:c>
      <x:c r="I980" s="604" t="n">
        <x:v>0.89</x:v>
      </x:c>
      <x:c r="J980" s="604" t="inlineStr">
        <x:is>
          <x:t xml:space="preserve">0.99/2.25/0.89</x:t>
        </x:is>
      </x:c>
      <x:c r="K980" s="604" t="inlineStr">
        <x:is>
          <x:t xml:space="preserve">V4-B｜EV +0.1000</x:t>
        </x:is>
      </x:c>
      <x:c r="L980" s="604" t="inlineStr">
        <x:is>
          <x:t xml:space="preserve">荷兰</x:t>
        </x:is>
      </x:c>
      <x:c r="M980" s="604" t="n">
        <x:v>0.5596814030618364</x:v>
      </x:c>
      <x:c r="N980" s="604" t="inlineStr">
        <x:is>
          <x:t xml:space="preserve">V4纸面入选-B</x:t>
        </x:is>
      </x:c>
      <x:c r="O980" s="604" t="inlineStr">
        <x:is>
          <x:t xml:space="preserve">2-1</x:t>
        </x:is>
      </x:c>
      <x:c r="P980" s="604" t="inlineStr">
        <x:is>
          <x:t xml:space="preserve">已结算</x:t>
        </x:is>
      </x:c>
      <x:c r="Q980" s="646" t="inlineStr">
        <x:is>
          <x:t xml:space="preserve">黑</x:t>
        </x:is>
      </x:c>
      <x:c r="R980" s="604" t="n">
        <x:v>0.99</x:v>
      </x:c>
      <x:c r="S980" s="604" t="n">
        <x:f>IF(OR(Q980="",Q980="待结算"),"",IF(Q980="红",R980,IF(Q980="半红",R980*0.5,IF(Q980="走",0,IF(Q980="半黑",-0.5,-1)))))</x:f>
        <x:v>-1</x:v>
      </x:c>
      <x:c r="T980" s="604" t="inlineStr">
        <x:is>
          <x:t xml:space="preserve">https://m.titan007.com/analy/Analysis/2981449.htm</x:t>
        </x:is>
      </x:c>
      <x:c r="U980" s="645" t="str">
        <x:f>IF(Q980="","",IF(Q980="待结算","待结算",IF(Q980="红","黑",IF(Q980="半红","半黑",IF(Q980="走","走",IF(Q980="半黑","半红","红"))))))</x:f>
        <x:v>红</x:v>
      </x:c>
      <x:c r="V980" s="604" t="n">
        <x:f>IF(OR(Q980="",Q980="待结算"),"",IF(L980=LEFT(F980,FIND(" vs ",F980)-1),I980,G980))</x:f>
        <x:v>0.89</x:v>
      </x:c>
      <x:c r="W980" s="604" t="n">
        <x:f>IF(OR(U980="",U980="待结算"),"",IF(U980="红",V980,IF(U980="半红",V980*0.5,IF(U980="走",0,IF(U980="半黑",-0.5,-1)))))</x:f>
        <x:v>0.89</x:v>
      </x:c>
      <x:c r="X980" s="604" t="inlineStr">
        <x:is>
          <x:t xml:space="preserve">2981449</x:t>
        </x:is>
      </x:c>
      <x:c r="Y980" s="604" t="inlineStr">
        <x:is>
          <x:t xml:space="preserve">V4</x:t>
        </x:is>
      </x:c>
      <x:c r="Z980" s="604" t="inlineStr">
        <x:is>
          <x:t xml:space="preserve">prior-2026-10-04-v1</x:t>
        </x:is>
      </x:c>
      <x:c r="AA980" s="604" t="inlineStr">
        <x:is>
          <x:t xml:space="preserve">B</x:t>
        </x:is>
      </x:c>
      <x:c r="AB980" s="604" t="n">
        <x:v>0.4918955528936094</x:v>
      </x:c>
      <x:c r="AC980" s="604" t="n"/>
      <x:c r="AD980" s="604" t="n"/>
      <x:c r="AE980" s="604" t="n">
        <x:v>0.2422301323481276</x:v>
      </x:c>
      <x:c r="AF980" s="604" t="n">
        <x:v>0.2658743147582631</x:v>
      </x:c>
      <x:c r="AG980" s="604" t="n">
        <x:v>0.09998721643234637</x:v>
      </x:c>
      <x:c r="AH980" s="604" t="n"/>
      <x:c r="AI980" s="604" t="n"/>
      <x:c r="AJ980" s="604" t="n">
        <x:v>0.09998721643234637</x:v>
      </x:c>
      <x:c r="AK980" s="604" t="n"/>
      <x:c r="AL980" s="604" t="n"/>
      <x:c r="AM980" s="604" t="n"/>
      <x:c r="AN980" s="604" t="inlineStr">
        <x:is>
          <x:t xml:space="preserve">EVALUATED</x:t>
        </x:is>
      </x:c>
      <x:c r="AO980" s="604" t="inlineStr">
        <x:is>
          <x:t xml:space="preserve">GIVING_VALIDATED_EDGE、BUCKET_PRIOR_ONLY、INTENT_INTERPRETATION_ONLY、FFL_OPTIONAL、EXPERT_MARKET</x:t>
        </x:is>
      </x:c>
      <x:c r="AP980" s="604" t="inlineStr">
        <x:is>
          <x:t xml:space="preserve">b8b63bf5a23d3e70d1cd</x:t>
        </x:is>
      </x:c>
      <x:c r="AQ980" s="604" t="n">
        <x:v>-2.25</x:v>
      </x:c>
      <x:c r="AR980" s="604" t="n">
        <x:v>0.99</x:v>
      </x:c>
      <x:c r="AS980" s="604" t="n">
        <x:v>2.25</x:v>
      </x:c>
      <x:c r="AT980" s="604" t="n">
        <x:v>-2.25</x:v>
      </x:c>
      <x:c r="AU980" s="604" t="n">
        <x:v>0.99</x:v>
      </x:c>
      <x:c r="AV980" s="604" t="n">
        <x:v>0.89</x:v>
      </x:c>
      <x:c r="AW980" s="604" t="n">
        <x:v>46299.08204853009</x:v>
      </x:c>
      <x:c r="AX980" s="604" t="inlineStr">
        <x:is>
          <x:t xml:space="preserve">https://simondongxiao.github.io/odds/v4/</x:t>
        </x:is>
      </x:c>
      <x:c r="AY980" s="604" t="inlineStr">
        <x:is>
          <x:t xml:space="preserve">V4 Shadow Only；real_money=false；P(EV&gt;0)不是比赛胜率</x:t>
        </x:is>
      </x:c>
    </x:row>
    <x:row r="981" ht="22" customHeight="1">
      <x:c r="A981" s="604" t="inlineStr">
        <x:is>
          <x:t xml:space="preserve">2026-10-04</x:t>
        </x:is>
      </x:c>
      <x:c r="B981" s="604" t="inlineStr">
        <x:is>
          <x:t xml:space="preserve">2026-10-05 02:45</x:t>
        </x:is>
      </x:c>
      <x:c r="C981" s="604" t="str">
        <x:v>欧洲非五大系列</x:v>
      </x:c>
      <x:c r="D981" s="604" t="inlineStr">
        <x:is>
          <x:t xml:space="preserve">联赛</x:t>
        </x:is>
      </x:c>
      <x:c r="E981" s="604" t="inlineStr">
        <x:is>
          <x:t xml:space="preserve">欧国联</x:t>
        </x:is>
      </x:c>
      <x:c r="F981" s="604" t="inlineStr">
        <x:is>
          <x:t xml:space="preserve">希腊 vs 德国</x:t>
        </x:is>
      </x:c>
      <x:c r="G981" s="604" t="n">
        <x:v>1.05</x:v>
      </x:c>
      <x:c r="H981" s="604" t="n">
        <x:v>-0.5</x:v>
      </x:c>
      <x:c r="I981" s="604" t="n">
        <x:v>0.83</x:v>
      </x:c>
      <x:c r="J981" s="604" t="inlineStr">
        <x:is>
          <x:t xml:space="preserve">1.05/-0.5/0.83</x:t>
        </x:is>
      </x:c>
      <x:c r="K981" s="604" t="inlineStr">
        <x:is>
          <x:t xml:space="preserve">V4-B｜EV +0.5814</x:t>
        </x:is>
      </x:c>
      <x:c r="L981" s="604" t="inlineStr">
        <x:is>
          <x:t xml:space="preserve">希腊</x:t>
        </x:is>
      </x:c>
      <x:c r="M981" s="604" t="n">
        <x:v>0.7713956877042415</x:v>
      </x:c>
      <x:c r="N981" s="604" t="inlineStr">
        <x:is>
          <x:t xml:space="preserve">V4纸面入选-B</x:t>
        </x:is>
      </x:c>
      <x:c r="O981" s="604" t="inlineStr">
        <x:is>
          <x:t xml:space="preserve">0-0</x:t>
        </x:is>
      </x:c>
      <x:c r="P981" s="604" t="inlineStr">
        <x:is>
          <x:t xml:space="preserve">已结算</x:t>
        </x:is>
      </x:c>
      <x:c r="Q981" s="645" t="inlineStr">
        <x:is>
          <x:t xml:space="preserve">红</x:t>
        </x:is>
      </x:c>
      <x:c r="R981" s="604" t="n">
        <x:v>1.05</x:v>
      </x:c>
      <x:c r="S981" s="604" t="n">
        <x:f>IF(OR(Q981="",Q981="待结算"),"",IF(Q981="红",R981,IF(Q981="半红",R981*0.5,IF(Q981="走",0,IF(Q981="半黑",-0.5,-1)))))</x:f>
        <x:v>1.05</x:v>
      </x:c>
      <x:c r="T981" s="604" t="inlineStr">
        <x:is>
          <x:t xml:space="preserve">https://m.titan007.com/analy/Analysis/2981450.htm</x:t>
        </x:is>
      </x:c>
      <x:c r="U981" s="646" t="str">
        <x:f>IF(Q981="","",IF(Q981="待结算","待结算",IF(Q981="红","黑",IF(Q981="半红","半黑",IF(Q981="走","走",IF(Q981="半黑","半红","红"))))))</x:f>
        <x:v>黑</x:v>
      </x:c>
      <x:c r="V981" s="604" t="n">
        <x:f>IF(OR(Q981="",Q981="待结算"),"",IF(L981=LEFT(F981,FIND(" vs ",F981)-1),I981,G981))</x:f>
        <x:v>0.83</x:v>
      </x:c>
      <x:c r="W981" s="604" t="n">
        <x:f>IF(OR(U981="",U981="待结算"),"",IF(U981="红",V981,IF(U981="半红",V981*0.5,IF(U981="走",0,IF(U981="半黑",-0.5,-1)))))</x:f>
        <x:v>-1</x:v>
      </x:c>
      <x:c r="X981" s="604" t="inlineStr">
        <x:is>
          <x:t xml:space="preserve">2981450</x:t>
        </x:is>
      </x:c>
      <x:c r="Y981" s="604" t="inlineStr">
        <x:is>
          <x:t xml:space="preserve">V4</x:t>
        </x:is>
      </x:c>
      <x:c r="Z981" s="604" t="inlineStr">
        <x:is>
          <x:t xml:space="preserve">prior-2026-10-04-v1</x:t>
        </x:is>
      </x:c>
      <x:c r="AA981" s="604" t="inlineStr">
        <x:is>
          <x:t xml:space="preserve">B</x:t>
        </x:is>
      </x:c>
      <x:c r="AB981" s="604" t="n">
        <x:v>0.7713956877042415</x:v>
      </x:c>
      <x:c r="AC981" s="604" t="n"/>
      <x:c r="AD981" s="604" t="n"/>
      <x:c r="AE981" s="604" t="n"/>
      <x:c r="AF981" s="604" t="n">
        <x:v>0.2286043122957585</x:v>
      </x:c>
      <x:c r="AG981" s="604" t="n">
        <x:v>0.5813611597936951</x:v>
      </x:c>
      <x:c r="AH981" s="604" t="n"/>
      <x:c r="AI981" s="604" t="n"/>
      <x:c r="AJ981" s="604" t="n">
        <x:v>0.5813611597936951</x:v>
      </x:c>
      <x:c r="AK981" s="604" t="n"/>
      <x:c r="AL981" s="604" t="n"/>
      <x:c r="AM981" s="604" t="n"/>
      <x:c r="AN981" s="604" t="inlineStr">
        <x:is>
          <x:t xml:space="preserve">EVALUATED</x:t>
        </x:is>
      </x:c>
      <x:c r="AO981" s="604" t="inlineStr">
        <x:is>
          <x:t xml:space="preserve">RECEIVING_VALIDATED_EDGE、BUCKET_PRIOR_ONLY、INTENT_INTERPRETATION_ONLY、FFL_OPTIONAL、EXPERT_MARKET</x:t>
        </x:is>
      </x:c>
      <x:c r="AP981" s="604" t="inlineStr">
        <x:is>
          <x:t xml:space="preserve">aa6a0af8976e03184f11</x:t>
        </x:is>
      </x:c>
      <x:c r="AQ981" s="604" t="n">
        <x:v>0.5</x:v>
      </x:c>
      <x:c r="AR981" s="604" t="n">
        <x:v>1.05</x:v>
      </x:c>
      <x:c r="AS981" s="604" t="n">
        <x:v>-0.5</x:v>
      </x:c>
      <x:c r="AT981" s="604" t="n">
        <x:v>0.5</x:v>
      </x:c>
      <x:c r="AU981" s="604" t="n">
        <x:v>1.05</x:v>
      </x:c>
      <x:c r="AV981" s="604" t="n">
        <x:v>0.83</x:v>
      </x:c>
      <x:c r="AW981" s="604" t="n">
        <x:v>46299.08204853009</x:v>
      </x:c>
      <x:c r="AX981" s="604" t="inlineStr">
        <x:is>
          <x:t xml:space="preserve">https://simondongxiao.github.io/odds/v4/</x:t>
        </x:is>
      </x:c>
      <x:c r="AY981" s="604" t="inlineStr">
        <x:is>
          <x:t xml:space="preserve">V4 Shadow Only；real_money=false；P(EV&gt;0)不是比赛胜率</x:t>
        </x:is>
      </x:c>
    </x:row>
    <x:row r="982" ht="22" customHeight="1">
      <x:c r="A982" s="604" t="inlineStr">
        <x:is>
          <x:t xml:space="preserve">2026-10-04</x:t>
        </x:is>
      </x:c>
      <x:c r="B982" s="604" t="inlineStr">
        <x:is>
          <x:t xml:space="preserve">2026-10-05 02:45</x:t>
        </x:is>
      </x:c>
      <x:c r="C982" s="604" t="str">
        <x:v>欧洲非五大系列</x:v>
      </x:c>
      <x:c r="D982" s="604" t="inlineStr">
        <x:is>
          <x:t xml:space="preserve">联赛</x:t>
        </x:is>
      </x:c>
      <x:c r="E982" s="604" t="inlineStr">
        <x:is>
          <x:t xml:space="preserve">欧国联</x:t>
        </x:is>
      </x:c>
      <x:c r="F982" s="604" t="inlineStr">
        <x:is>
          <x:t xml:space="preserve">威尔士 vs 丹麦</x:t>
        </x:is>
      </x:c>
      <x:c r="G982" s="604" t="n">
        <x:v>0.88</x:v>
      </x:c>
      <x:c r="H982" s="604" t="n">
        <x:v>-0.5</x:v>
      </x:c>
      <x:c r="I982" s="604" t="n">
        <x:v>1</x:v>
      </x:c>
      <x:c r="J982" s="604" t="inlineStr">
        <x:is>
          <x:t xml:space="preserve">0.88/-0.5/1</x:t>
        </x:is>
      </x:c>
      <x:c r="K982" s="604" t="inlineStr">
        <x:is>
          <x:t xml:space="preserve">V4-B｜EV +0.5226</x:t>
        </x:is>
      </x:c>
      <x:c r="L982" s="604" t="inlineStr">
        <x:is>
          <x:t xml:space="preserve">威尔士</x:t>
        </x:is>
      </x:c>
      <x:c r="M982" s="604" t="n">
        <x:v>0.8099148513207001</x:v>
      </x:c>
      <x:c r="N982" s="604" t="inlineStr">
        <x:is>
          <x:t xml:space="preserve">V4纸面入选-B</x:t>
        </x:is>
      </x:c>
      <x:c r="O982" s="604" t="inlineStr">
        <x:is>
          <x:t xml:space="preserve">0-1</x:t>
        </x:is>
      </x:c>
      <x:c r="P982" s="604" t="inlineStr">
        <x:is>
          <x:t xml:space="preserve">已结算</x:t>
        </x:is>
      </x:c>
      <x:c r="Q982" s="646" t="inlineStr">
        <x:is>
          <x:t xml:space="preserve">黑</x:t>
        </x:is>
      </x:c>
      <x:c r="R982" s="604" t="n">
        <x:v>0.88</x:v>
      </x:c>
      <x:c r="S982" s="604" t="n">
        <x:f>IF(OR(Q982="",Q982="待结算"),"",IF(Q982="红",R982,IF(Q982="半红",R982*0.5,IF(Q982="走",0,IF(Q982="半黑",-0.5,-1)))))</x:f>
        <x:v>-1</x:v>
      </x:c>
      <x:c r="T982" s="604" t="inlineStr">
        <x:is>
          <x:t xml:space="preserve">https://m.titan007.com/analy/Analysis/2981452.htm</x:t>
        </x:is>
      </x:c>
      <x:c r="U982" s="645" t="str">
        <x:f>IF(Q982="","",IF(Q982="待结算","待结算",IF(Q982="红","黑",IF(Q982="半红","半黑",IF(Q982="走","走",IF(Q982="半黑","半红","红"))))))</x:f>
        <x:v>红</x:v>
      </x:c>
      <x:c r="V982" s="604" t="n">
        <x:f>IF(OR(Q982="",Q982="待结算"),"",IF(L982=LEFT(F982,FIND(" vs ",F982)-1),I982,G982))</x:f>
        <x:v>1</x:v>
      </x:c>
      <x:c r="W982" s="604" t="n">
        <x:f>IF(OR(U982="",U982="待结算"),"",IF(U982="红",V982,IF(U982="半红",V982*0.5,IF(U982="走",0,IF(U982="半黑",-0.5,-1)))))</x:f>
        <x:v>1</x:v>
      </x:c>
      <x:c r="X982" s="604" t="inlineStr">
        <x:is>
          <x:t xml:space="preserve">2981452</x:t>
        </x:is>
      </x:c>
      <x:c r="Y982" s="604" t="inlineStr">
        <x:is>
          <x:t xml:space="preserve">V4</x:t>
        </x:is>
      </x:c>
      <x:c r="Z982" s="604" t="inlineStr">
        <x:is>
          <x:t xml:space="preserve">prior-2026-10-04-v1</x:t>
        </x:is>
      </x:c>
      <x:c r="AA982" s="604" t="inlineStr">
        <x:is>
          <x:t xml:space="preserve">B</x:t>
        </x:is>
      </x:c>
      <x:c r="AB982" s="604" t="n">
        <x:v>0.8099148513207001</x:v>
      </x:c>
      <x:c r="AC982" s="604" t="n"/>
      <x:c r="AD982" s="604" t="n"/>
      <x:c r="AE982" s="604" t="n"/>
      <x:c r="AF982" s="604" t="n">
        <x:v>0.1900851486793</x:v>
      </x:c>
      <x:c r="AG982" s="604" t="n">
        <x:v>0.5226399204829162</x:v>
      </x:c>
      <x:c r="AH982" s="604" t="n"/>
      <x:c r="AI982" s="604" t="n"/>
      <x:c r="AJ982" s="604" t="n">
        <x:v>0.5226399204829162</x:v>
      </x:c>
      <x:c r="AK982" s="604" t="n"/>
      <x:c r="AL982" s="604" t="n"/>
      <x:c r="AM982" s="604" t="n"/>
      <x:c r="AN982" s="604" t="inlineStr">
        <x:is>
          <x:t xml:space="preserve">EVALUATED</x:t>
        </x:is>
      </x:c>
      <x:c r="AO982" s="604" t="inlineStr">
        <x:is>
          <x:t xml:space="preserve">RECEIVING_VALIDATED_EDGE、BUCKET_PRIOR_ONLY、INTENT_INTERPRETATION_ONLY、FFL_OPTIONAL、EXPERT_MARKET</x:t>
        </x:is>
      </x:c>
      <x:c r="AP982" s="604" t="inlineStr">
        <x:is>
          <x:t xml:space="preserve">bdff23dd2653b49ba061</x:t>
        </x:is>
      </x:c>
      <x:c r="AQ982" s="604" t="n">
        <x:v>0.5</x:v>
      </x:c>
      <x:c r="AR982" s="604" t="n">
        <x:v>0.88</x:v>
      </x:c>
      <x:c r="AS982" s="604" t="n">
        <x:v>-0.5</x:v>
      </x:c>
      <x:c r="AT982" s="604" t="n">
        <x:v>0.5</x:v>
      </x:c>
      <x:c r="AU982" s="604" t="n">
        <x:v>0.88</x:v>
      </x:c>
      <x:c r="AV982" s="604" t="n">
        <x:v>1</x:v>
      </x:c>
      <x:c r="AW982" s="604" t="n">
        <x:v>46299.08204853009</x:v>
      </x:c>
      <x:c r="AX982" s="604" t="inlineStr">
        <x:is>
          <x:t xml:space="preserve">https://simondongxiao.github.io/odds/v4/</x:t>
        </x:is>
      </x:c>
      <x:c r="AY982" s="604" t="inlineStr">
        <x:is>
          <x:t xml:space="preserve">V4 Shadow Only；real_money=false；P(EV&gt;0)不是比赛胜率</x:t>
        </x:is>
      </x:c>
    </x:row>
    <x:row r="983" ht="22" customHeight="1">
      <x:c r="A983" s="604" t="inlineStr">
        <x:is>
          <x:t xml:space="preserve">2026-10-04</x:t>
        </x:is>
      </x:c>
      <x:c r="B983" s="604" t="inlineStr">
        <x:is>
          <x:t xml:space="preserve">2026-10-05 02:45</x:t>
        </x:is>
      </x:c>
      <x:c r="C983" s="604" t="str">
        <x:v>欧洲非五大系列</x:v>
      </x:c>
      <x:c r="D983" s="604" t="inlineStr">
        <x:is>
          <x:t xml:space="preserve">联赛</x:t>
        </x:is>
      </x:c>
      <x:c r="E983" s="604" t="inlineStr">
        <x:is>
          <x:t xml:space="preserve">欧国联</x:t>
        </x:is>
      </x:c>
      <x:c r="F983" s="604" t="inlineStr">
        <x:is>
          <x:t xml:space="preserve">爱尔兰(中) vs 以色列</x:t>
        </x:is>
      </x:c>
      <x:c r="G983" s="604" t="n">
        <x:v>0.84</x:v>
      </x:c>
      <x:c r="H983" s="604" t="n">
        <x:v>0.25</x:v>
      </x:c>
      <x:c r="I983" s="604" t="n">
        <x:v>1.04</x:v>
      </x:c>
      <x:c r="J983" s="604" t="inlineStr">
        <x:is>
          <x:t xml:space="preserve">0.84/0.25/1.04</x:t>
        </x:is>
      </x:c>
      <x:c r="K983" s="604" t="inlineStr">
        <x:is>
          <x:t xml:space="preserve">V4-B｜EV +0.1167</x:t>
        </x:is>
      </x:c>
      <x:c r="L983" s="604" t="inlineStr">
        <x:is>
          <x:t xml:space="preserve">爱尔兰(中)</x:t>
        </x:is>
      </x:c>
      <x:c r="M983" s="604" t="n">
        <x:v>0.6157180651937826</x:v>
      </x:c>
      <x:c r="N983" s="604" t="inlineStr">
        <x:is>
          <x:t xml:space="preserve">V4纸面入选-B</x:t>
        </x:is>
      </x:c>
      <x:c r="O983" s="604" t="inlineStr">
        <x:is>
          <x:t xml:space="preserve">1-1</x:t>
        </x:is>
      </x:c>
      <x:c r="P983" s="604" t="inlineStr">
        <x:is>
          <x:t xml:space="preserve">已结算</x:t>
        </x:is>
      </x:c>
      <x:c r="Q983" s="648" t="inlineStr">
        <x:is>
          <x:t xml:space="preserve">半黑</x:t>
        </x:is>
      </x:c>
      <x:c r="R983" s="604" t="n">
        <x:v>0.84</x:v>
      </x:c>
      <x:c r="S983" s="604" t="n">
        <x:f>IF(OR(Q983="",Q983="待结算"),"",IF(Q983="红",R983,IF(Q983="半红",R983*0.5,IF(Q983="走",0,IF(Q983="半黑",-0.5,-1)))))</x:f>
        <x:v>-0.5</x:v>
      </x:c>
      <x:c r="T983" s="604" t="inlineStr">
        <x:is>
          <x:t xml:space="preserve">https://m.titan007.com/analy/Analysis/2981500.htm</x:t>
        </x:is>
      </x:c>
      <x:c r="U983" s="649" t="str">
        <x:f>IF(Q983="","",IF(Q983="待结算","待结算",IF(Q983="红","黑",IF(Q983="半红","半黑",IF(Q983="走","走",IF(Q983="半黑","半红","红"))))))</x:f>
        <x:v>半红</x:v>
      </x:c>
      <x:c r="V983" s="604" t="n">
        <x:f>IF(OR(Q983="",Q983="待结算"),"",IF(L983=LEFT(F983,FIND(" vs ",F983)-1),I983,G983))</x:f>
        <x:v>1.04</x:v>
      </x:c>
      <x:c r="W983" s="604" t="n">
        <x:f>IF(OR(U983="",U983="待结算"),"",IF(U983="红",V983,IF(U983="半红",V983*0.5,IF(U983="走",0,IF(U983="半黑",-0.5,-1)))))</x:f>
        <x:v>0.52</x:v>
      </x:c>
      <x:c r="X983" s="604" t="inlineStr">
        <x:is>
          <x:t xml:space="preserve">2981500</x:t>
        </x:is>
      </x:c>
      <x:c r="Y983" s="604" t="inlineStr">
        <x:is>
          <x:t xml:space="preserve">V4</x:t>
        </x:is>
      </x:c>
      <x:c r="Z983" s="604" t="inlineStr">
        <x:is>
          <x:t xml:space="preserve">prior-2026-10-04-v1</x:t>
        </x:is>
      </x:c>
      <x:c r="AA983" s="604" t="inlineStr">
        <x:is>
          <x:t xml:space="preserve">B</x:t>
        </x:is>
      </x:c>
      <x:c r="AB983" s="604" t="n">
        <x:v>0.5403654959544127</x:v>
      </x:c>
      <x:c r="AC983" s="604" t="n"/>
      <x:c r="AD983" s="604" t="n"/>
      <x:c r="AE983" s="604" t="n">
        <x:v>0.2447632236213645</x:v>
      </x:c>
      <x:c r="AF983" s="604" t="n">
        <x:v>0.2148712804242228</x:v>
      </x:c>
      <x:c r="AG983" s="604" t="n">
        <x:v>0.1166541243668017</x:v>
      </x:c>
      <x:c r="AH983" s="604" t="n"/>
      <x:c r="AI983" s="604" t="n"/>
      <x:c r="AJ983" s="604" t="n">
        <x:v>0.1166541243668017</x:v>
      </x:c>
      <x:c r="AK983" s="604" t="n"/>
      <x:c r="AL983" s="604" t="n"/>
      <x:c r="AM983" s="604" t="n"/>
      <x:c r="AN983" s="604" t="inlineStr">
        <x:is>
          <x:t xml:space="preserve">EVALUATED</x:t>
        </x:is>
      </x:c>
      <x:c r="AO983" s="604" t="inlineStr">
        <x:is>
          <x:t xml:space="preserve">GIVING_VALIDATED_EDGE、BUCKET_PRIOR_ONLY、INTENT_INTERPRETATION_ONLY、FFL_OPTIONAL、EXPERT_MARKET</x:t>
        </x:is>
      </x:c>
      <x:c r="AP983" s="604" t="inlineStr">
        <x:is>
          <x:t xml:space="preserve">e76b3ec52b6e28d20923</x:t>
        </x:is>
      </x:c>
      <x:c r="AQ983" s="604" t="n">
        <x:v>-0.25</x:v>
      </x:c>
      <x:c r="AR983" s="604" t="n">
        <x:v>0.84</x:v>
      </x:c>
      <x:c r="AS983" s="604" t="n">
        <x:v>0.25</x:v>
      </x:c>
      <x:c r="AT983" s="604" t="n">
        <x:v>-0.25</x:v>
      </x:c>
      <x:c r="AU983" s="604" t="n">
        <x:v>0.84</x:v>
      </x:c>
      <x:c r="AV983" s="604" t="n">
        <x:v>1.04</x:v>
      </x:c>
      <x:c r="AW983" s="604" t="n">
        <x:v>46299.08204853009</x:v>
      </x:c>
      <x:c r="AX983" s="604" t="inlineStr">
        <x:is>
          <x:t xml:space="preserve">https://simondongxiao.github.io/odds/v4/</x:t>
        </x:is>
      </x:c>
      <x:c r="AY983" s="604" t="inlineStr">
        <x:is>
          <x:t xml:space="preserve">V4 Shadow Only；real_money=false；P(EV&gt;0)不是比赛胜率</x:t>
        </x:is>
      </x:c>
    </x:row>
    <x:row r="984" ht="22" customHeight="1">
      <x:c r="A984" s="604" t="inlineStr">
        <x:is>
          <x:t xml:space="preserve">2026-10-04</x:t>
        </x:is>
      </x:c>
      <x:c r="B984" s="604" t="inlineStr">
        <x:is>
          <x:t xml:space="preserve">2026-10-05 02:55</x:t>
        </x:is>
      </x:c>
      <x:c r="C984" s="604" t="str">
        <x:v>南美系列</x:v>
      </x:c>
      <x:c r="D984" s="604" t="inlineStr">
        <x:is>
          <x:t xml:space="preserve">联赛</x:t>
        </x:is>
      </x:c>
      <x:c r="E984" s="604" t="inlineStr">
        <x:is>
          <x:t xml:space="preserve">乌拉甲秋</x:t>
        </x:is>
      </x:c>
      <x:c r="F984" s="604" t="inlineStr">
        <x:is>
          <x:t xml:space="preserve">塞路 vs 漫游者</x:t>
        </x:is>
      </x:c>
      <x:c r="G984" s="604" t="n">
        <x:v>0.7</x:v>
      </x:c>
      <x:c r="H984" s="604" t="n">
        <x:v>0</x:v>
      </x:c>
      <x:c r="I984" s="604" t="n">
        <x:v>1</x:v>
      </x:c>
      <x:c r="J984" s="604" t="inlineStr">
        <x:is>
          <x:t xml:space="preserve">0.7/0/1</x:t>
        </x:is>
      </x:c>
      <x:c r="K984" s="604" t="inlineStr">
        <x:is>
          <x:t xml:space="preserve">V4-C｜EV +0.0208</x:t>
        </x:is>
      </x:c>
      <x:c r="L984" s="604" t="str"/>
      <x:c r="M984" s="604" t="n">
        <x:v>0.3976696362012735</x:v>
      </x:c>
      <x:c r="N984" s="604" t="inlineStr">
        <x:is>
          <x:t xml:space="preserve">V4纸面入选-C</x:t>
        </x:is>
      </x:c>
      <x:c r="O984" s="604" t="inlineStr">
        <x:is>
          <x:t xml:space="preserve">0-2</x:t>
        </x:is>
      </x:c>
      <x:c r="P984" s="604" t="inlineStr">
        <x:is>
          <x:t xml:space="preserve">已结算</x:t>
        </x:is>
      </x:c>
      <x:c r="Q984" s="646" t="inlineStr">
        <x:is>
          <x:t xml:space="preserve">黑</x:t>
        </x:is>
      </x:c>
      <x:c r="R984" s="604" t="n">
        <x:v>1</x:v>
      </x:c>
      <x:c r="S984" s="604" t="n">
        <x:f>IF(OR(Q984="",Q984="待结算"),"",IF(Q984="红",R984,IF(Q984="半红",R984*0.5,IF(Q984="走",0,IF(Q984="半黑",-0.5,-1)))))</x:f>
        <x:v>-1</x:v>
      </x:c>
      <x:c r="T984" s="604" t="inlineStr">
        <x:is>
          <x:t xml:space="preserve">https://m.titan007.com/analy/Analysis/3094919.htm</x:t>
        </x:is>
      </x:c>
      <x:c r="U984" s="645" t="str">
        <x:f>IF(Q984="","",IF(Q984="待结算","待结算",IF(Q984="红","黑",IF(Q984="半红","半黑",IF(Q984="走","走",IF(Q984="半黑","半红","红"))))))</x:f>
        <x:v>红</x:v>
      </x:c>
      <x:c r="V984" s="604" t="n">
        <x:f>IF(OR(Q984="",Q984="待结算"),"",IF(L984=LEFT(F984,FIND(" vs ",F984)-1),I984,G984))</x:f>
        <x:v>0.7</x:v>
      </x:c>
      <x:c r="W984" s="604" t="n">
        <x:f>IF(OR(U984="",U984="待结算"),"",IF(U984="红",V984,IF(U984="半红",V984*0.5,IF(U984="走",0,IF(U984="半黑",-0.5,-1)))))</x:f>
        <x:v>0.7</x:v>
      </x:c>
      <x:c r="X984" s="604" t="inlineStr">
        <x:is>
          <x:t xml:space="preserve">3094919</x:t>
        </x:is>
      </x:c>
      <x:c r="Y984" s="604" t="inlineStr">
        <x:is>
          <x:t xml:space="preserve">V4</x:t>
        </x:is>
      </x:c>
      <x:c r="Z984" s="604" t="inlineStr">
        <x:is>
          <x:t xml:space="preserve">prior-2026-10-04-v1</x:t>
        </x:is>
      </x:c>
      <x:c r="AA984" s="604" t="inlineStr">
        <x:is>
          <x:t xml:space="preserve">C</x:t>
        </x:is>
      </x:c>
      <x:c r="AB984" s="604" t="n">
        <x:v>0.3449014388861777</x:v>
      </x:c>
      <x:c r="AC984" s="604" t="n"/>
      <x:c r="AD984" s="604" t="n"/>
      <x:c r="AE984" s="604" t="n">
        <x:v>0.2653871078474195</x:v>
      </x:c>
      <x:c r="AF984" s="604" t="n">
        <x:v>0.3897114532664027</x:v>
      </x:c>
      <x:c r="AG984" s="604" t="n">
        <x:v>0.02078206614690092</x:v>
      </x:c>
      <x:c r="AH984" s="604" t="n"/>
      <x:c r="AI984" s="604" t="n"/>
      <x:c r="AJ984" s="604" t="n">
        <x:v>0.02078206614690092</x:v>
      </x:c>
      <x:c r="AK984" s="604" t="n"/>
      <x:c r="AL984" s="604" t="n"/>
      <x:c r="AM984" s="604" t="n"/>
      <x:c r="AN984" s="604" t="inlineStr">
        <x:is>
          <x:t xml:space="preserve">EVALUATED</x:t>
        </x:is>
      </x:c>
      <x:c r="AO984" s="604" t="inlineStr">
        <x:is>
          <x:t xml:space="preserve">EDGE_BELOW_UNCERTAINTY_THRESHOLD、BUCKET_PRIOR_ONLY、INTENT_INTERPRETATION_ONLY、FFL_OPTIONAL、EXPERT_MARKET</x:t>
        </x:is>
      </x:c>
      <x:c r="AP984" s="604" t="inlineStr">
        <x:is>
          <x:t xml:space="preserve">d4058cb0a03f1e81de82</x:t>
        </x:is>
      </x:c>
      <x:c r="AQ984" s="604" t="n">
        <x:v>0</x:v>
      </x:c>
      <x:c r="AR984" s="604" t="n"/>
      <x:c r="AS984" s="604" t="n">
        <x:v>0</x:v>
      </x:c>
      <x:c r="AT984" s="604" t="n">
        <x:v>0</x:v>
      </x:c>
      <x:c r="AU984" s="604" t="n">
        <x:v>0.7</x:v>
      </x:c>
      <x:c r="AV984" s="604" t="n">
        <x:v>1</x:v>
      </x:c>
      <x:c r="AW984" s="604" t="n">
        <x:v>46299.08204853009</x:v>
      </x:c>
      <x:c r="AX984" s="604" t="inlineStr">
        <x:is>
          <x:t xml:space="preserve">https://simondongxiao.github.io/odds/v4/</x:t>
        </x:is>
      </x:c>
      <x:c r="AY984" s="604" t="inlineStr">
        <x:is>
          <x:t xml:space="preserve">V4 Shadow Only；real_money=false；P(EV&gt;0)不是比赛胜率</x:t>
        </x:is>
      </x:c>
    </x:row>
    <x:row r="985" ht="22" customHeight="1">
      <x:c r="A985" s="604" t="inlineStr">
        <x:is>
          <x:t xml:space="preserve">2026-10-04</x:t>
        </x:is>
      </x:c>
      <x:c r="B985" s="604" t="inlineStr">
        <x:is>
          <x:t xml:space="preserve">2026-10-05 03:00</x:t>
        </x:is>
      </x:c>
      <x:c r="C985" s="604" t="str">
        <x:v>五大联赛非顶级联赛</x:v>
      </x:c>
      <x:c r="D985" s="604" t="inlineStr">
        <x:is>
          <x:t xml:space="preserve">联赛</x:t>
        </x:is>
      </x:c>
      <x:c r="E985" s="604" t="inlineStr">
        <x:is>
          <x:t xml:space="preserve">西乙</x:t>
        </x:is>
      </x:c>
      <x:c r="F985" s="604" t="inlineStr">
        <x:is>
          <x:t xml:space="preserve">赫罗纳 vs 马洛卡</x:t>
        </x:is>
      </x:c>
      <x:c r="G985" s="604" t="n">
        <x:v>1</x:v>
      </x:c>
      <x:c r="H985" s="604" t="n">
        <x:v>0.25</x:v>
      </x:c>
      <x:c r="I985" s="604" t="n">
        <x:v>0.88</x:v>
      </x:c>
      <x:c r="J985" s="604" t="inlineStr">
        <x:is>
          <x:t xml:space="preserve">1/0.25/0.88</x:t>
        </x:is>
      </x:c>
      <x:c r="K985" s="604" t="inlineStr">
        <x:is>
          <x:t xml:space="preserve">V4-B｜EV +0.0910</x:t>
        </x:is>
      </x:c>
      <x:c r="L985" s="604" t="inlineStr">
        <x:is>
          <x:t xml:space="preserve">赫罗纳</x:t>
        </x:is>
      </x:c>
      <x:c r="M985" s="604" t="n">
        <x:v>0.5521750242326899</x:v>
      </x:c>
      <x:c r="N985" s="604" t="inlineStr">
        <x:is>
          <x:t xml:space="preserve">V4纸面入选-B</x:t>
        </x:is>
      </x:c>
      <x:c r="O985" s="604" t="inlineStr">
        <x:is>
          <x:t xml:space="preserve">0-0</x:t>
        </x:is>
      </x:c>
      <x:c r="P985" s="604" t="inlineStr">
        <x:is>
          <x:t xml:space="preserve">已结算</x:t>
        </x:is>
      </x:c>
      <x:c r="Q985" s="648" t="inlineStr">
        <x:is>
          <x:t xml:space="preserve">半黑</x:t>
        </x:is>
      </x:c>
      <x:c r="R985" s="604" t="n">
        <x:v>1</x:v>
      </x:c>
      <x:c r="S985" s="604" t="n">
        <x:f>IF(OR(Q985="",Q985="待结算"),"",IF(Q985="红",R985,IF(Q985="半红",R985*0.5,IF(Q985="走",0,IF(Q985="半黑",-0.5,-1)))))</x:f>
        <x:v>-0.5</x:v>
      </x:c>
      <x:c r="T985" s="604" t="inlineStr">
        <x:is>
          <x:t xml:space="preserve">https://m.titan007.com/analy/Analysis/3014105.htm</x:t>
        </x:is>
      </x:c>
      <x:c r="U985" s="649" t="str">
        <x:f>IF(Q985="","",IF(Q985="待结算","待结算",IF(Q985="红","黑",IF(Q985="半红","半黑",IF(Q985="走","走",IF(Q985="半黑","半红","红"))))))</x:f>
        <x:v>半红</x:v>
      </x:c>
      <x:c r="V985" s="604" t="n">
        <x:f>IF(OR(Q985="",Q985="待结算"),"",IF(L985=LEFT(F985,FIND(" vs ",F985)-1),I985,G985))</x:f>
        <x:v>0.88</x:v>
      </x:c>
      <x:c r="W985" s="604" t="n">
        <x:f>IF(OR(U985="",U985="待结算"),"",IF(U985="红",V985,IF(U985="半红",V985*0.5,IF(U985="走",0,IF(U985="半黑",-0.5,-1)))))</x:f>
        <x:v>0.44</x:v>
      </x:c>
      <x:c r="X985" s="604" t="inlineStr">
        <x:is>
          <x:t xml:space="preserve">3014105</x:t>
        </x:is>
      </x:c>
      <x:c r="Y985" s="604" t="inlineStr">
        <x:is>
          <x:t xml:space="preserve">V4</x:t>
        </x:is>
      </x:c>
      <x:c r="Z985" s="604" t="inlineStr">
        <x:is>
          <x:t xml:space="preserve">prior-2026-10-04-v1</x:t>
        </x:is>
      </x:c>
      <x:c r="AA985" s="604" t="inlineStr">
        <x:is>
          <x:t xml:space="preserve">B</x:t>
        </x:is>
      </x:c>
      <x:c r="AB985" s="604" t="n">
        <x:v>0.4816333083261221</x:v>
      </x:c>
      <x:c r="AC985" s="604" t="n"/>
      <x:c r="AD985" s="604" t="n"/>
      <x:c r="AE985" s="604" t="n">
        <x:v>0.2555049135175703</x:v>
      </x:c>
      <x:c r="AF985" s="604" t="n">
        <x:v>0.2628617781563077</x:v>
      </x:c>
      <x:c r="AG985" s="604" t="n">
        <x:v>0.09101907341102922</x:v>
      </x:c>
      <x:c r="AH985" s="604" t="n"/>
      <x:c r="AI985" s="604" t="n"/>
      <x:c r="AJ985" s="604" t="n">
        <x:v>0.09101907341102922</x:v>
      </x:c>
      <x:c r="AK985" s="604" t="n"/>
      <x:c r="AL985" s="604" t="n"/>
      <x:c r="AM985" s="604" t="n"/>
      <x:c r="AN985" s="604" t="inlineStr">
        <x:is>
          <x:t xml:space="preserve">EVALUATED</x:t>
        </x:is>
      </x:c>
      <x:c r="AO985" s="604" t="inlineStr">
        <x:is>
          <x:t xml:space="preserve">GIVING_VALIDATED_EDGE、BUCKET_PRIOR_ONLY、INTENT_INTERPRETATION_ONLY、FFL_OPTIONAL、EXPERT_MARKET</x:t>
        </x:is>
      </x:c>
      <x:c r="AP985" s="604" t="inlineStr">
        <x:is>
          <x:t xml:space="preserve">723df91db561a23e78fb</x:t>
        </x:is>
      </x:c>
      <x:c r="AQ985" s="604" t="n">
        <x:v>-0.25</x:v>
      </x:c>
      <x:c r="AR985" s="604" t="n">
        <x:v>1</x:v>
      </x:c>
      <x:c r="AS985" s="604" t="n">
        <x:v>0.25</x:v>
      </x:c>
      <x:c r="AT985" s="604" t="n">
        <x:v>-0.25</x:v>
      </x:c>
      <x:c r="AU985" s="604" t="n">
        <x:v>1</x:v>
      </x:c>
      <x:c r="AV985" s="604" t="n">
        <x:v>0.88</x:v>
      </x:c>
      <x:c r="AW985" s="604" t="n">
        <x:v>46299.08204853009</x:v>
      </x:c>
      <x:c r="AX985" s="604" t="inlineStr">
        <x:is>
          <x:t xml:space="preserve">https://simondongxiao.github.io/odds/v4/</x:t>
        </x:is>
      </x:c>
      <x:c r="AY985" s="604" t="inlineStr">
        <x:is>
          <x:t xml:space="preserve">V4 Shadow Only；real_money=false；P(EV&gt;0)不是比赛胜率</x:t>
        </x:is>
      </x:c>
    </x:row>
    <x:row r="986" ht="22" customHeight="1">
      <x:c r="A986" s="604" t="inlineStr">
        <x:is>
          <x:t xml:space="preserve">2026-10-04</x:t>
        </x:is>
      </x:c>
      <x:c r="B986" s="604" t="inlineStr">
        <x:is>
          <x:t xml:space="preserve">2026-10-05 03:00</x:t>
        </x:is>
      </x:c>
      <x:c r="C986" s="604" t="str">
        <x:v>五大联赛非顶级联赛</x:v>
      </x:c>
      <x:c r="D986" s="604" t="inlineStr">
        <x:is>
          <x:t xml:space="preserve">联赛</x:t>
        </x:is>
      </x:c>
      <x:c r="E986" s="604" t="inlineStr">
        <x:is>
          <x:t xml:space="preserve">西协甲</x:t>
        </x:is>
      </x:c>
      <x:c r="F986" s="604" t="inlineStr">
        <x:is>
          <x:t xml:space="preserve">萨拉戈萨 vs 特鲁埃尔</x:t>
        </x:is>
      </x:c>
      <x:c r="G986" s="604" t="n">
        <x:v>0.74</x:v>
      </x:c>
      <x:c r="H986" s="604" t="n">
        <x:v>1.25</x:v>
      </x:c>
      <x:c r="I986" s="604" t="n">
        <x:v>0.96</x:v>
      </x:c>
      <x:c r="J986" s="604" t="inlineStr">
        <x:is>
          <x:t xml:space="preserve">0.74/1.25/0.96</x:t>
        </x:is>
      </x:c>
      <x:c r="K986" s="604" t="inlineStr">
        <x:is>
          <x:t xml:space="preserve">V4-B｜EV +0.1225</x:t>
        </x:is>
      </x:c>
      <x:c r="L986" s="604" t="inlineStr">
        <x:is>
          <x:t xml:space="preserve">萨拉戈萨</x:t>
        </x:is>
      </x:c>
      <x:c r="M986" s="604" t="n">
        <x:v>0.6546669537347489</x:v>
      </x:c>
      <x:c r="N986" s="604" t="inlineStr">
        <x:is>
          <x:t xml:space="preserve">V4纸面入选-B</x:t>
        </x:is>
      </x:c>
      <x:c r="O986" s="604" t="inlineStr">
        <x:is>
          <x:t xml:space="preserve">4-1</x:t>
        </x:is>
      </x:c>
      <x:c r="P986" s="604" t="inlineStr">
        <x:is>
          <x:t xml:space="preserve">已结算</x:t>
        </x:is>
      </x:c>
      <x:c r="Q986" s="645" t="inlineStr">
        <x:is>
          <x:t xml:space="preserve">红</x:t>
        </x:is>
      </x:c>
      <x:c r="R986" s="604" t="n">
        <x:v>0.74</x:v>
      </x:c>
      <x:c r="S986" s="604" t="n">
        <x:f>IF(OR(Q986="",Q986="待结算"),"",IF(Q986="红",R986,IF(Q986="半红",R986*0.5,IF(Q986="走",0,IF(Q986="半黑",-0.5,-1)))))</x:f>
        <x:v>0.74</x:v>
      </x:c>
      <x:c r="T986" s="604" t="inlineStr">
        <x:is>
          <x:t xml:space="preserve">https://m.titan007.com/analy/Analysis/3014923.htm</x:t>
        </x:is>
      </x:c>
      <x:c r="U986" s="646" t="str">
        <x:f>IF(Q986="","",IF(Q986="待结算","待结算",IF(Q986="红","黑",IF(Q986="半红","半黑",IF(Q986="走","走",IF(Q986="半黑","半红","红"))))))</x:f>
        <x:v>黑</x:v>
      </x:c>
      <x:c r="V986" s="604" t="n">
        <x:f>IF(OR(Q986="",Q986="待结算"),"",IF(L986=LEFT(F986,FIND(" vs ",F986)-1),I986,G986))</x:f>
        <x:v>0.96</x:v>
      </x:c>
      <x:c r="W986" s="604" t="n">
        <x:f>IF(OR(U986="",U986="待结算"),"",IF(U986="红",V986,IF(U986="半红",V986*0.5,IF(U986="走",0,IF(U986="半黑",-0.5,-1)))))</x:f>
        <x:v>-1</x:v>
      </x:c>
      <x:c r="X986" s="604" t="inlineStr">
        <x:is>
          <x:t xml:space="preserve">3014923</x:t>
        </x:is>
      </x:c>
      <x:c r="Y986" s="604" t="inlineStr">
        <x:is>
          <x:t xml:space="preserve">V4</x:t>
        </x:is>
      </x:c>
      <x:c r="Z986" s="604" t="inlineStr">
        <x:is>
          <x:t xml:space="preserve">prior-2026-10-04-v1</x:t>
        </x:is>
      </x:c>
      <x:c r="AA986" s="604" t="inlineStr">
        <x:is>
          <x:t xml:space="preserve">B</x:t>
        </x:is>
      </x:c>
      <x:c r="AB986" s="604" t="n">
        <x:v>0.5766476102174896</x:v>
      </x:c>
      <x:c r="AC986" s="604" t="n"/>
      <x:c r="AD986" s="604" t="n"/>
      <x:c r="AE986" s="604" t="n">
        <x:v>0.2383481954363943</x:v>
      </x:c>
      <x:c r="AF986" s="604" t="n">
        <x:v>0.1850041943461161</x:v>
      </x:c>
      <x:c r="AG986" s="604" t="n">
        <x:v>0.122540939496629</x:v>
      </x:c>
      <x:c r="AH986" s="604" t="n"/>
      <x:c r="AI986" s="604" t="n"/>
      <x:c r="AJ986" s="604" t="n">
        <x:v>0.122540939496629</x:v>
      </x:c>
      <x:c r="AK986" s="604" t="n"/>
      <x:c r="AL986" s="604" t="n"/>
      <x:c r="AM986" s="604" t="n"/>
      <x:c r="AN986" s="604" t="inlineStr">
        <x:is>
          <x:t xml:space="preserve">EVALUATED</x:t>
        </x:is>
      </x:c>
      <x:c r="AO986" s="604" t="inlineStr">
        <x:is>
          <x:t xml:space="preserve">GIVING_VALIDATED_EDGE、BUCKET_PRIOR_ONLY、INTENT_INTERPRETATION_ONLY、FFL_OPTIONAL、EXPERT_MARKET</x:t>
        </x:is>
      </x:c>
      <x:c r="AP986" s="604" t="inlineStr">
        <x:is>
          <x:t xml:space="preserve">ebc5011c4ce8106dd610</x:t>
        </x:is>
      </x:c>
      <x:c r="AQ986" s="604" t="n">
        <x:v>-1.25</x:v>
      </x:c>
      <x:c r="AR986" s="604" t="n">
        <x:v>0.74</x:v>
      </x:c>
      <x:c r="AS986" s="604" t="n">
        <x:v>1.25</x:v>
      </x:c>
      <x:c r="AT986" s="604" t="n">
        <x:v>-1.25</x:v>
      </x:c>
      <x:c r="AU986" s="604" t="n">
        <x:v>0.74</x:v>
      </x:c>
      <x:c r="AV986" s="604" t="n">
        <x:v>0.96</x:v>
      </x:c>
      <x:c r="AW986" s="604" t="n">
        <x:v>46299.08204853009</x:v>
      </x:c>
      <x:c r="AX986" s="604" t="inlineStr">
        <x:is>
          <x:t xml:space="preserve">https://simondongxiao.github.io/odds/v4/</x:t>
        </x:is>
      </x:c>
      <x:c r="AY986" s="604" t="inlineStr">
        <x:is>
          <x:t xml:space="preserve">V4 Shadow Only；real_money=false；P(EV&gt;0)不是比赛胜率</x:t>
        </x:is>
      </x:c>
    </x:row>
    <x:row r="987" ht="22" customHeight="1">
      <x:c r="A987" s="604" t="inlineStr">
        <x:is>
          <x:t xml:space="preserve">2026-10-04</x:t>
        </x:is>
      </x:c>
      <x:c r="B987" s="604" t="inlineStr">
        <x:is>
          <x:t xml:space="preserve">2026-10-05 03:00</x:t>
        </x:is>
      </x:c>
      <x:c r="C987" s="604" t="str">
        <x:v>南美系列</x:v>
      </x:c>
      <x:c r="D987" s="604" t="inlineStr">
        <x:is>
          <x:t xml:space="preserve">联赛</x:t>
        </x:is>
      </x:c>
      <x:c r="E987" s="604" t="inlineStr">
        <x:is>
          <x:t xml:space="preserve">哥伦甲秋</x:t>
        </x:is>
      </x:c>
      <x:c r="F987" s="604" t="inlineStr">
        <x:is>
          <x:t xml:space="preserve">帕斯托 vs 福塔雷绍查</x:t>
        </x:is>
      </x:c>
      <x:c r="G987" s="604" t="n">
        <x:v>0.9</x:v>
      </x:c>
      <x:c r="H987" s="604" t="n">
        <x:v>0.25</x:v>
      </x:c>
      <x:c r="I987" s="604" t="n">
        <x:v>0.98</x:v>
      </x:c>
      <x:c r="J987" s="604" t="inlineStr">
        <x:is>
          <x:t xml:space="preserve">0.9/0.25/0.98</x:t>
        </x:is>
      </x:c>
      <x:c r="K987" s="604" t="inlineStr">
        <x:is>
          <x:t xml:space="preserve">V4-B｜EV +0.1576</x:t>
        </x:is>
      </x:c>
      <x:c r="L987" s="604" t="inlineStr">
        <x:is>
          <x:t xml:space="preserve">帕斯托</x:t>
        </x:is>
      </x:c>
      <x:c r="M987" s="604" t="n">
        <x:v>0.6208341596853134</x:v>
      </x:c>
      <x:c r="N987" s="604" t="inlineStr">
        <x:is>
          <x:t xml:space="preserve">V4纸面入选-B</x:t>
        </x:is>
      </x:c>
      <x:c r="O987" s="604" t="inlineStr">
        <x:is>
          <x:t xml:space="preserve">0-0</x:t>
        </x:is>
      </x:c>
      <x:c r="P987" s="604" t="inlineStr">
        <x:is>
          <x:t xml:space="preserve">已结算</x:t>
        </x:is>
      </x:c>
      <x:c r="Q987" s="648" t="inlineStr">
        <x:is>
          <x:t xml:space="preserve">半黑</x:t>
        </x:is>
      </x:c>
      <x:c r="R987" s="604" t="n">
        <x:v>0.9</x:v>
      </x:c>
      <x:c r="S987" s="604" t="n">
        <x:f>IF(OR(Q987="",Q987="待结算"),"",IF(Q987="红",R987,IF(Q987="半红",R987*0.5,IF(Q987="走",0,IF(Q987="半黑",-0.5,-1)))))</x:f>
        <x:v>-0.5</x:v>
      </x:c>
      <x:c r="T987" s="604" t="inlineStr">
        <x:is>
          <x:t xml:space="preserve">https://m.titan007.com/analy/Analysis/3011882.htm</x:t>
        </x:is>
      </x:c>
      <x:c r="U987" s="649" t="str">
        <x:f>IF(Q987="","",IF(Q987="待结算","待结算",IF(Q987="红","黑",IF(Q987="半红","半黑",IF(Q987="走","走",IF(Q987="半黑","半红","红"))))))</x:f>
        <x:v>半红</x:v>
      </x:c>
      <x:c r="V987" s="604" t="n">
        <x:f>IF(OR(Q987="",Q987="待结算"),"",IF(L987=LEFT(F987,FIND(" vs ",F987)-1),I987,G987))</x:f>
        <x:v>0.98</x:v>
      </x:c>
      <x:c r="W987" s="604" t="n">
        <x:f>IF(OR(U987="",U987="待结算"),"",IF(U987="红",V987,IF(U987="半红",V987*0.5,IF(U987="走",0,IF(U987="半黑",-0.5,-1)))))</x:f>
        <x:v>0.49</x:v>
      </x:c>
      <x:c r="X987" s="604" t="inlineStr">
        <x:is>
          <x:t xml:space="preserve">3011882</x:t>
        </x:is>
      </x:c>
      <x:c r="Y987" s="604" t="inlineStr">
        <x:is>
          <x:t xml:space="preserve">V4</x:t>
        </x:is>
      </x:c>
      <x:c r="Z987" s="604" t="inlineStr">
        <x:is>
          <x:t xml:space="preserve">prior-2026-10-04-v1</x:t>
        </x:is>
      </x:c>
      <x:c r="AA987" s="604" t="inlineStr">
        <x:is>
          <x:t xml:space="preserve">B</x:t>
        </x:is>
      </x:c>
      <x:c r="AB987" s="604" t="n">
        <x:v>0.544930574476272</x:v>
      </x:c>
      <x:c r="AC987" s="604" t="n"/>
      <x:c r="AD987" s="604" t="n"/>
      <x:c r="AE987" s="604" t="n">
        <x:v>0.2445212913139804</x:v>
      </x:c>
      <x:c r="AF987" s="604" t="n">
        <x:v>0.2105481342097475</x:v>
      </x:c>
      <x:c r="AG987" s="604" t="n">
        <x:v>0.1576287371619071</x:v>
      </x:c>
      <x:c r="AH987" s="604" t="n"/>
      <x:c r="AI987" s="604" t="n"/>
      <x:c r="AJ987" s="604" t="n">
        <x:v>0.1576287371619071</x:v>
      </x:c>
      <x:c r="AK987" s="604" t="n"/>
      <x:c r="AL987" s="604" t="n"/>
      <x:c r="AM987" s="604" t="n"/>
      <x:c r="AN987" s="604" t="inlineStr">
        <x:is>
          <x:t xml:space="preserve">EVALUATED</x:t>
        </x:is>
      </x:c>
      <x:c r="AO987" s="604" t="inlineStr">
        <x:is>
          <x:t xml:space="preserve">GIVING_VALIDATED_EDGE、BUCKET_PRIOR_ONLY、INTENT_INTERPRETATION_ONLY、FFL_OPTIONAL、EXPERT_MARKET</x:t>
        </x:is>
      </x:c>
      <x:c r="AP987" s="604" t="inlineStr">
        <x:is>
          <x:t xml:space="preserve">49fbfa7c7f04a24f83c2</x:t>
        </x:is>
      </x:c>
      <x:c r="AQ987" s="604" t="n">
        <x:v>-0.25</x:v>
      </x:c>
      <x:c r="AR987" s="604" t="n">
        <x:v>0.9</x:v>
      </x:c>
      <x:c r="AS987" s="604" t="n">
        <x:v>0.25</x:v>
      </x:c>
      <x:c r="AT987" s="604" t="n">
        <x:v>-0.25</x:v>
      </x:c>
      <x:c r="AU987" s="604" t="n">
        <x:v>0.9</x:v>
      </x:c>
      <x:c r="AV987" s="604" t="n">
        <x:v>0.98</x:v>
      </x:c>
      <x:c r="AW987" s="604" t="n">
        <x:v>46299.08204853009</x:v>
      </x:c>
      <x:c r="AX987" s="604" t="inlineStr">
        <x:is>
          <x:t xml:space="preserve">https://simondongxiao.github.io/odds/v4/</x:t>
        </x:is>
      </x:c>
      <x:c r="AY987" s="604" t="inlineStr">
        <x:is>
          <x:t xml:space="preserve">V4 Shadow Only；real_money=false；P(EV&gt;0)不是比赛胜率</x:t>
        </x:is>
      </x:c>
    </x:row>
    <x:row r="988" ht="22" customHeight="1">
      <x:c r="A988" s="604" t="inlineStr">
        <x:is>
          <x:t xml:space="preserve">2026-10-04</x:t>
        </x:is>
      </x:c>
      <x:c r="B988" s="604" t="inlineStr">
        <x:is>
          <x:t xml:space="preserve">2026-10-05 03:30</x:t>
        </x:is>
      </x:c>
      <x:c r="C988" s="604" t="str">
        <x:v>南美系列</x:v>
      </x:c>
      <x:c r="D988" s="604" t="inlineStr">
        <x:is>
          <x:t xml:space="preserve">联赛</x:t>
        </x:is>
      </x:c>
      <x:c r="E988" s="604" t="inlineStr">
        <x:is>
          <x:t xml:space="preserve">阿乙</x:t>
        </x:is>
      </x:c>
      <x:c r="F988" s="604" t="inlineStr">
        <x:is>
          <x:t xml:space="preserve">北索尔塔中央 vs 科多巴竞赛会</x:t>
        </x:is>
      </x:c>
      <x:c r="G988" s="604" t="n">
        <x:v>0.92</x:v>
      </x:c>
      <x:c r="H988" s="604" t="n">
        <x:v>0.5</x:v>
      </x:c>
      <x:c r="I988" s="604" t="n">
        <x:v>0.84</x:v>
      </x:c>
      <x:c r="J988" s="604" t="inlineStr">
        <x:is>
          <x:t xml:space="preserve">0.92/0.5/0.84</x:t>
        </x:is>
      </x:c>
      <x:c r="K988" s="604" t="inlineStr">
        <x:is>
          <x:t xml:space="preserve">V4-B｜EV +0.1230</x:t>
        </x:is>
      </x:c>
      <x:c r="L988" s="604" t="inlineStr">
        <x:is>
          <x:t xml:space="preserve">北索尔塔中央</x:t>
        </x:is>
      </x:c>
      <x:c r="M988" s="604" t="n">
        <x:v>0.5849150679035385</x:v>
      </x:c>
      <x:c r="N988" s="604" t="inlineStr">
        <x:is>
          <x:t xml:space="preserve">V4纸面入选-B</x:t>
        </x:is>
      </x:c>
      <x:c r="O988" s="604" t="inlineStr">
        <x:is>
          <x:t xml:space="preserve">1-1</x:t>
        </x:is>
      </x:c>
      <x:c r="P988" s="604" t="inlineStr">
        <x:is>
          <x:t xml:space="preserve">已结算</x:t>
        </x:is>
      </x:c>
      <x:c r="Q988" s="646" t="inlineStr">
        <x:is>
          <x:t xml:space="preserve">黑</x:t>
        </x:is>
      </x:c>
      <x:c r="R988" s="604" t="n">
        <x:v>0.92</x:v>
      </x:c>
      <x:c r="S988" s="604" t="n">
        <x:f>IF(OR(Q988="",Q988="待结算"),"",IF(Q988="红",R988,IF(Q988="半红",R988*0.5,IF(Q988="走",0,IF(Q988="半黑",-0.5,-1)))))</x:f>
        <x:v>-1</x:v>
      </x:c>
      <x:c r="T988" s="604" t="inlineStr">
        <x:is>
          <x:t xml:space="preserve">https://m.titan007.com/analy/Analysis/2916720.htm</x:t>
        </x:is>
      </x:c>
      <x:c r="U988" s="645" t="str">
        <x:f>IF(Q988="","",IF(Q988="待结算","待结算",IF(Q988="红","黑",IF(Q988="半红","半黑",IF(Q988="走","走",IF(Q988="半黑","半红","红"))))))</x:f>
        <x:v>红</x:v>
      </x:c>
      <x:c r="V988" s="604" t="n">
        <x:f>IF(OR(Q988="",Q988="待结算"),"",IF(L988=LEFT(F988,FIND(" vs ",F988)-1),I988,G988))</x:f>
        <x:v>0.84</x:v>
      </x:c>
      <x:c r="W988" s="604" t="n">
        <x:f>IF(OR(U988="",U988="待结算"),"",IF(U988="红",V988,IF(U988="半红",V988*0.5,IF(U988="走",0,IF(U988="半黑",-0.5,-1)))))</x:f>
        <x:v>0.84</x:v>
      </x:c>
      <x:c r="X988" s="604" t="inlineStr">
        <x:is>
          <x:t xml:space="preserve">2916720</x:t>
        </x:is>
      </x:c>
      <x:c r="Y988" s="604" t="inlineStr">
        <x:is>
          <x:t xml:space="preserve">V4</x:t>
        </x:is>
      </x:c>
      <x:c r="Z988" s="604" t="inlineStr">
        <x:is>
          <x:t xml:space="preserve">prior-2026-10-04-v1</x:t>
        </x:is>
      </x:c>
      <x:c r="AA988" s="604" t="inlineStr">
        <x:is>
          <x:t xml:space="preserve">B</x:t>
        </x:is>
      </x:c>
      <x:c r="AB988" s="604" t="n">
        <x:v>0.5849150679035385</x:v>
      </x:c>
      <x:c r="AC988" s="604" t="n"/>
      <x:c r="AD988" s="604" t="n"/>
      <x:c r="AE988" s="604" t="n"/>
      <x:c r="AF988" s="604" t="n">
        <x:v>0.4150849320964615</x:v>
      </x:c>
      <x:c r="AG988" s="604" t="n">
        <x:v>0.123036930374794</x:v>
      </x:c>
      <x:c r="AH988" s="604" t="n"/>
      <x:c r="AI988" s="604" t="n"/>
      <x:c r="AJ988" s="604" t="n">
        <x:v>0.123036930374794</x:v>
      </x:c>
      <x:c r="AK988" s="604" t="n"/>
      <x:c r="AL988" s="604" t="n"/>
      <x:c r="AM988" s="604" t="n"/>
      <x:c r="AN988" s="604" t="inlineStr">
        <x:is>
          <x:t xml:space="preserve">EVALUATED</x:t>
        </x:is>
      </x:c>
      <x:c r="AO988" s="604" t="inlineStr">
        <x:is>
          <x:t xml:space="preserve">GIVING_VALIDATED_EDGE、BUCKET_PRIOR_ONLY、INTENT_INTERPRETATION_ONLY、FFL_OPTIONAL、EXPERT_MARKET</x:t>
        </x:is>
      </x:c>
      <x:c r="AP988" s="604" t="inlineStr">
        <x:is>
          <x:t xml:space="preserve">af787a9c6ab7b4ca48df</x:t>
        </x:is>
      </x:c>
      <x:c r="AQ988" s="604" t="n">
        <x:v>-0.5</x:v>
      </x:c>
      <x:c r="AR988" s="604" t="n">
        <x:v>0.92</x:v>
      </x:c>
      <x:c r="AS988" s="604" t="n">
        <x:v>0.5</x:v>
      </x:c>
      <x:c r="AT988" s="604" t="n">
        <x:v>-0.5</x:v>
      </x:c>
      <x:c r="AU988" s="604" t="n">
        <x:v>0.92</x:v>
      </x:c>
      <x:c r="AV988" s="604" t="n">
        <x:v>0.84</x:v>
      </x:c>
      <x:c r="AW988" s="604" t="n">
        <x:v>46299.08204853009</x:v>
      </x:c>
      <x:c r="AX988" s="604" t="inlineStr">
        <x:is>
          <x:t xml:space="preserve">https://simondongxiao.github.io/odds/v4/</x:t>
        </x:is>
      </x:c>
      <x:c r="AY988" s="604" t="inlineStr">
        <x:is>
          <x:t xml:space="preserve">V4 Shadow Only；real_money=false；P(EV&gt;0)不是比赛胜率</x:t>
        </x:is>
      </x:c>
    </x:row>
    <x:row r="989" ht="22" customHeight="1">
      <x:c r="A989" s="604" t="inlineStr">
        <x:is>
          <x:t xml:space="preserve">2026-10-04</x:t>
        </x:is>
      </x:c>
      <x:c r="B989" s="604" t="inlineStr">
        <x:is>
          <x:t xml:space="preserve">2026-10-05 04:00</x:t>
        </x:is>
      </x:c>
      <x:c r="C989" s="604" t="str">
        <x:v>南美系列</x:v>
      </x:c>
      <x:c r="D989" s="604" t="inlineStr">
        <x:is>
          <x:t xml:space="preserve">联赛</x:t>
        </x:is>
      </x:c>
      <x:c r="E989" s="604" t="inlineStr">
        <x:is>
          <x:t xml:space="preserve">阿乙</x:t>
        </x:is>
      </x:c>
      <x:c r="F989" s="604" t="inlineStr">
        <x:is>
          <x:t xml:space="preserve">查克佛伊维 vs 贝尔格拉诺防卫队</x:t>
        </x:is>
      </x:c>
      <x:c r="G989" s="604" t="n">
        <x:v>1</x:v>
      </x:c>
      <x:c r="H989" s="604" t="n">
        <x:v>0</x:v>
      </x:c>
      <x:c r="I989" s="604" t="n">
        <x:v>0.76</x:v>
      </x:c>
      <x:c r="J989" s="604" t="inlineStr">
        <x:is>
          <x:t xml:space="preserve">1/0/0.76</x:t>
        </x:is>
      </x:c>
      <x:c r="K989" s="604" t="inlineStr">
        <x:is>
          <x:t xml:space="preserve">V4-C｜EV +0.0349</x:t>
        </x:is>
      </x:c>
      <x:c r="L989" s="604" t="str"/>
      <x:c r="M989" s="604" t="n">
        <x:v>0.5174401456768351</x:v>
      </x:c>
      <x:c r="N989" s="604" t="inlineStr">
        <x:is>
          <x:t xml:space="preserve">V4纸面入选-C</x:t>
        </x:is>
      </x:c>
      <x:c r="O989" s="604" t="inlineStr">
        <x:is>
          <x:t xml:space="preserve">2-2</x:t>
        </x:is>
      </x:c>
      <x:c r="P989" s="604" t="inlineStr">
        <x:is>
          <x:t xml:space="preserve">已结算</x:t>
        </x:is>
      </x:c>
      <x:c r="Q989" s="647" t="inlineStr">
        <x:is>
          <x:t xml:space="preserve">走</x:t>
        </x:is>
      </x:c>
      <x:c r="R989" s="604" t="n">
        <x:v>0.76</x:v>
      </x:c>
      <x:c r="S989" s="604" t="n">
        <x:f>IF(OR(Q989="",Q989="待结算"),"",IF(Q989="红",R989,IF(Q989="半红",R989*0.5,IF(Q989="走",0,IF(Q989="半黑",-0.5,-1)))))</x:f>
        <x:v>0</x:v>
      </x:c>
      <x:c r="T989" s="604" t="inlineStr">
        <x:is>
          <x:t xml:space="preserve">https://m.titan007.com/analy/Analysis/2916722.htm</x:t>
        </x:is>
      </x:c>
      <x:c r="U989" s="647" t="str">
        <x:f>IF(Q989="","",IF(Q989="待结算","待结算",IF(Q989="红","黑",IF(Q989="半红","半黑",IF(Q989="走","走",IF(Q989="半黑","半红","红"))))))</x:f>
        <x:v>走</x:v>
      </x:c>
      <x:c r="V989" s="604" t="n">
        <x:f>IF(OR(Q989="",Q989="待结算"),"",IF(L989=LEFT(F989,FIND(" vs ",F989)-1),I989,G989))</x:f>
        <x:v>1</x:v>
      </x:c>
      <x:c r="W989" s="604" t="n">
        <x:f>IF(OR(U989="",U989="待结算"),"",IF(U989="红",V989,IF(U989="半红",V989*0.5,IF(U989="走",0,IF(U989="半黑",-0.5,-1)))))</x:f>
        <x:v>0</x:v>
      </x:c>
      <x:c r="X989" s="604" t="inlineStr">
        <x:is>
          <x:t xml:space="preserve">2916722</x:t>
        </x:is>
      </x:c>
      <x:c r="Y989" s="604" t="inlineStr">
        <x:is>
          <x:t xml:space="preserve">V4</x:t>
        </x:is>
      </x:c>
      <x:c r="Z989" s="604" t="inlineStr">
        <x:is>
          <x:t xml:space="preserve">prior-2026-10-04-v1</x:t>
        </x:is>
      </x:c>
      <x:c r="AA989" s="604" t="inlineStr">
        <x:is>
          <x:t xml:space="preserve">C</x:t>
        </x:is>
      </x:c>
      <x:c r="AB989" s="604" t="n">
        <x:v>0.5174401456768351</x:v>
      </x:c>
      <x:c r="AC989" s="604" t="n"/>
      <x:c r="AD989" s="604" t="n"/>
      <x:c r="AE989" s="604" t="n"/>
      <x:c r="AF989" s="604" t="n">
        <x:v>0.482559854323165</x:v>
      </x:c>
      <x:c r="AG989" s="604" t="n">
        <x:v>0.03488029135367005</x:v>
      </x:c>
      <x:c r="AH989" s="604" t="n"/>
      <x:c r="AI989" s="604" t="n"/>
      <x:c r="AJ989" s="604" t="n">
        <x:v>0.03488029135367005</x:v>
      </x:c>
      <x:c r="AK989" s="604" t="n"/>
      <x:c r="AL989" s="604" t="n"/>
      <x:c r="AM989" s="604" t="n"/>
      <x:c r="AN989" s="604" t="inlineStr">
        <x:is>
          <x:t xml:space="preserve">EVALUATED</x:t>
        </x:is>
      </x:c>
      <x:c r="AO989" s="604" t="inlineStr">
        <x:is>
          <x:t xml:space="preserve">EDGE_BELOW_UNCERTAINTY_THRESHOLD、BUCKET_PRIOR_ONLY、INTENT_INTERPRETATION_ONLY、FFL_OPTIONAL、EXPERT_MARKET</x:t>
        </x:is>
      </x:c>
      <x:c r="AP989" s="604" t="inlineStr">
        <x:is>
          <x:t xml:space="preserve">0d174c0d34a96b6d5c45</x:t>
        </x:is>
      </x:c>
      <x:c r="AQ989" s="604" t="n">
        <x:v>0</x:v>
      </x:c>
      <x:c r="AR989" s="604" t="n"/>
      <x:c r="AS989" s="604" t="n">
        <x:v>0</x:v>
      </x:c>
      <x:c r="AT989" s="604" t="n">
        <x:v>0</x:v>
      </x:c>
      <x:c r="AU989" s="604" t="n">
        <x:v>1</x:v>
      </x:c>
      <x:c r="AV989" s="604" t="n">
        <x:v>0.76</x:v>
      </x:c>
      <x:c r="AW989" s="604" t="n">
        <x:v>46299.08204853009</x:v>
      </x:c>
      <x:c r="AX989" s="604" t="inlineStr">
        <x:is>
          <x:t xml:space="preserve">https://simondongxiao.github.io/odds/v4/</x:t>
        </x:is>
      </x:c>
      <x:c r="AY989" s="604" t="inlineStr">
        <x:is>
          <x:t xml:space="preserve">V4 Shadow Only；real_money=false；P(EV&gt;0)不是比赛胜率</x:t>
        </x:is>
      </x:c>
    </x:row>
    <x:row r="990" ht="22" customHeight="1">
      <x:c r="A990" s="604" t="inlineStr">
        <x:is>
          <x:t xml:space="preserve">2026-10-04</x:t>
        </x:is>
      </x:c>
      <x:c r="B990" s="604" t="inlineStr">
        <x:is>
          <x:t xml:space="preserve">2026-10-05 04:00</x:t>
        </x:is>
      </x:c>
      <x:c r="C990" s="604" t="str">
        <x:v>南美系列</x:v>
      </x:c>
      <x:c r="D990" s="604" t="inlineStr">
        <x:is>
          <x:t xml:space="preserve">联赛</x:t>
        </x:is>
      </x:c>
      <x:c r="E990" s="604" t="inlineStr">
        <x:is>
          <x:t xml:space="preserve">阿乙</x:t>
        </x:is>
      </x:c>
      <x:c r="F990" s="604" t="inlineStr">
        <x:is>
          <x:t xml:space="preserve">圭梅斯竞技 vs 科勒加勒斯</x:t>
        </x:is>
      </x:c>
      <x:c r="G990" s="604" t="n">
        <x:v>0.89</x:v>
      </x:c>
      <x:c r="H990" s="604" t="n">
        <x:v>-0.25</x:v>
      </x:c>
      <x:c r="I990" s="604" t="n">
        <x:v>0.87</x:v>
      </x:c>
      <x:c r="J990" s="604" t="inlineStr">
        <x:is>
          <x:t xml:space="preserve">0.89/-0.25/0.87</x:t>
        </x:is>
      </x:c>
      <x:c r="K990" s="604" t="inlineStr">
        <x:is>
          <x:t xml:space="preserve">V4-B｜EV +0.2853</x:t>
        </x:is>
      </x:c>
      <x:c r="L990" s="604" t="inlineStr">
        <x:is>
          <x:t xml:space="preserve">圭梅斯竞技</x:t>
        </x:is>
      </x:c>
      <x:c r="M990" s="604" t="n">
        <x:v>0.7024003530243909</x:v>
      </x:c>
      <x:c r="N990" s="604" t="inlineStr">
        <x:is>
          <x:t xml:space="preserve">V4纸面入选-B</x:t>
        </x:is>
      </x:c>
      <x:c r="O990" s="604" t="inlineStr">
        <x:is>
          <x:t xml:space="preserve">0-1</x:t>
        </x:is>
      </x:c>
      <x:c r="P990" s="604" t="inlineStr">
        <x:is>
          <x:t xml:space="preserve">已结算</x:t>
        </x:is>
      </x:c>
      <x:c r="Q990" s="646" t="inlineStr">
        <x:is>
          <x:t xml:space="preserve">黑</x:t>
        </x:is>
      </x:c>
      <x:c r="R990" s="604" t="n">
        <x:v>0.89</x:v>
      </x:c>
      <x:c r="S990" s="604" t="n">
        <x:f>IF(OR(Q990="",Q990="待结算"),"",IF(Q990="红",R990,IF(Q990="半红",R990*0.5,IF(Q990="走",0,IF(Q990="半黑",-0.5,-1)))))</x:f>
        <x:v>-1</x:v>
      </x:c>
      <x:c r="T990" s="604" t="inlineStr">
        <x:is>
          <x:t xml:space="preserve">https://m.titan007.com/analy/Analysis/2916723.htm</x:t>
        </x:is>
      </x:c>
      <x:c r="U990" s="645" t="str">
        <x:f>IF(Q990="","",IF(Q990="待结算","待结算",IF(Q990="红","黑",IF(Q990="半红","半黑",IF(Q990="走","走",IF(Q990="半黑","半红","红"))))))</x:f>
        <x:v>红</x:v>
      </x:c>
      <x:c r="V990" s="604" t="n">
        <x:f>IF(OR(Q990="",Q990="待结算"),"",IF(L990=LEFT(F990,FIND(" vs ",F990)-1),I990,G990))</x:f>
        <x:v>0.87</x:v>
      </x:c>
      <x:c r="W990" s="604" t="n">
        <x:f>IF(OR(U990="",U990="待结算"),"",IF(U990="红",V990,IF(U990="半红",V990*0.5,IF(U990="走",0,IF(U990="半黑",-0.5,-1)))))</x:f>
        <x:v>0.87</x:v>
      </x:c>
      <x:c r="X990" s="604" t="inlineStr">
        <x:is>
          <x:t xml:space="preserve">2916723</x:t>
        </x:is>
      </x:c>
      <x:c r="Y990" s="604" t="inlineStr">
        <x:is>
          <x:t xml:space="preserve">V4</x:t>
        </x:is>
      </x:c>
      <x:c r="Z990" s="604" t="inlineStr">
        <x:is>
          <x:t xml:space="preserve">prior-2026-10-04-v1</x:t>
        </x:is>
      </x:c>
      <x:c r="AA990" s="604" t="inlineStr">
        <x:is>
          <x:t xml:space="preserve">B</x:t>
        </x:is>
      </x:c>
      <x:c r="AB990" s="604" t="n">
        <x:v>0.4830545785249685</x:v>
      </x:c>
      <x:c r="AC990" s="604" t="n">
        <x:v>0.257690001191253</x:v>
      </x:c>
      <x:c r="AD990" s="604" t="n"/>
      <x:c r="AE990" s="604" t="n"/>
      <x:c r="AF990" s="604" t="n">
        <x:v>0.2592554202837786</x:v>
      </x:c>
      <x:c r="AG990" s="604" t="n">
        <x:v>0.285335205133551</x:v>
      </x:c>
      <x:c r="AH990" s="604" t="n"/>
      <x:c r="AI990" s="604" t="n"/>
      <x:c r="AJ990" s="604" t="n">
        <x:v>0.285335205133551</x:v>
      </x:c>
      <x:c r="AK990" s="604" t="n"/>
      <x:c r="AL990" s="604" t="n"/>
      <x:c r="AM990" s="604" t="n"/>
      <x:c r="AN990" s="604" t="inlineStr">
        <x:is>
          <x:t xml:space="preserve">EVALUATED</x:t>
        </x:is>
      </x:c>
      <x:c r="AO990" s="604" t="inlineStr">
        <x:is>
          <x:t xml:space="preserve">RECEIVING_VALIDATED_EDGE、BUCKET_PRIOR_ONLY、INTENT_INTERPRETATION_ONLY、FFL_OPTIONAL、EXPERT_MARKET</x:t>
        </x:is>
      </x:c>
      <x:c r="AP990" s="604" t="inlineStr">
        <x:is>
          <x:t xml:space="preserve">a336b1e8830e0fe9b42c</x:t>
        </x:is>
      </x:c>
      <x:c r="AQ990" s="604" t="n">
        <x:v>0.25</x:v>
      </x:c>
      <x:c r="AR990" s="604" t="n">
        <x:v>0.89</x:v>
      </x:c>
      <x:c r="AS990" s="604" t="n">
        <x:v>-0.25</x:v>
      </x:c>
      <x:c r="AT990" s="604" t="n">
        <x:v>0.25</x:v>
      </x:c>
      <x:c r="AU990" s="604" t="n">
        <x:v>0.89</x:v>
      </x:c>
      <x:c r="AV990" s="604" t="n">
        <x:v>0.87</x:v>
      </x:c>
      <x:c r="AW990" s="604" t="n">
        <x:v>46299.08204853009</x:v>
      </x:c>
      <x:c r="AX990" s="604" t="inlineStr">
        <x:is>
          <x:t xml:space="preserve">https://simondongxiao.github.io/odds/v4/</x:t>
        </x:is>
      </x:c>
      <x:c r="AY990" s="604" t="inlineStr">
        <x:is>
          <x:t xml:space="preserve">V4 Shadow Only；real_money=false；P(EV&gt;0)不是比赛胜率</x:t>
        </x:is>
      </x:c>
    </x:row>
    <x:row r="991" ht="22" customHeight="1">
      <x:c r="A991" s="604" t="inlineStr">
        <x:is>
          <x:t xml:space="preserve">2026-10-04</x:t>
        </x:is>
      </x:c>
      <x:c r="B991" s="604" t="inlineStr">
        <x:is>
          <x:t xml:space="preserve">2026-10-05 04:00</x:t>
        </x:is>
      </x:c>
      <x:c r="C991" s="604" t="str">
        <x:v>南美系列</x:v>
      </x:c>
      <x:c r="D991" s="604" t="inlineStr">
        <x:is>
          <x:t xml:space="preserve">联赛</x:t>
        </x:is>
      </x:c>
      <x:c r="E991" s="604" t="inlineStr">
        <x:is>
          <x:t xml:space="preserve">阿乙</x:t>
        </x:is>
      </x:c>
      <x:c r="F991" s="604" t="inlineStr">
        <x:is>
          <x:t xml:space="preserve">圣胡安圣马丁 vs 阿马格罗</x:t>
        </x:is>
      </x:c>
      <x:c r="G991" s="604" t="n">
        <x:v>0.8100000000000001</x:v>
      </x:c>
      <x:c r="H991" s="604" t="n">
        <x:v>0.75</x:v>
      </x:c>
      <x:c r="I991" s="604" t="n">
        <x:v>0.95</x:v>
      </x:c>
      <x:c r="J991" s="604" t="inlineStr">
        <x:is>
          <x:t xml:space="preserve">0.81/0.75/0.95</x:t>
        </x:is>
      </x:c>
      <x:c r="K991" s="604" t="inlineStr">
        <x:is>
          <x:t xml:space="preserve">V4-B｜EV +0.2305</x:t>
        </x:is>
      </x:c>
      <x:c r="L991" s="604" t="inlineStr">
        <x:is>
          <x:t xml:space="preserve">圣胡安圣马丁</x:t>
        </x:is>
      </x:c>
      <x:c r="M991" s="604" t="n">
        <x:v>0.6984515142285185</x:v>
      </x:c>
      <x:c r="N991" s="604" t="inlineStr">
        <x:is>
          <x:t xml:space="preserve">V4纸面入选-B</x:t>
        </x:is>
      </x:c>
      <x:c r="O991" s="604" t="inlineStr">
        <x:is>
          <x:t xml:space="preserve">1-2</x:t>
        </x:is>
      </x:c>
      <x:c r="P991" s="604" t="inlineStr">
        <x:is>
          <x:t xml:space="preserve">已结算</x:t>
        </x:is>
      </x:c>
      <x:c r="Q991" s="646" t="inlineStr">
        <x:is>
          <x:t xml:space="preserve">黑</x:t>
        </x:is>
      </x:c>
      <x:c r="R991" s="604" t="n">
        <x:v>0.8100000000000001</x:v>
      </x:c>
      <x:c r="S991" s="604" t="n">
        <x:f>IF(OR(Q991="",Q991="待结算"),"",IF(Q991="红",R991,IF(Q991="半红",R991*0.5,IF(Q991="走",0,IF(Q991="半黑",-0.5,-1)))))</x:f>
        <x:v>-1</x:v>
      </x:c>
      <x:c r="T991" s="604" t="inlineStr">
        <x:is>
          <x:t xml:space="preserve">https://m.titan007.com/analy/Analysis/2916729.htm</x:t>
        </x:is>
      </x:c>
      <x:c r="U991" s="645" t="str">
        <x:f>IF(Q991="","",IF(Q991="待结算","待结算",IF(Q991="红","黑",IF(Q991="半红","半黑",IF(Q991="走","走",IF(Q991="半黑","半红","红"))))))</x:f>
        <x:v>红</x:v>
      </x:c>
      <x:c r="V991" s="604" t="n">
        <x:f>IF(OR(Q991="",Q991="待结算"),"",IF(L991=LEFT(F991,FIND(" vs ",F991)-1),I991,G991))</x:f>
        <x:v>0.95</x:v>
      </x:c>
      <x:c r="W991" s="604" t="n">
        <x:f>IF(OR(U991="",U991="待结算"),"",IF(U991="红",V991,IF(U991="半红",V991*0.5,IF(U991="走",0,IF(U991="半黑",-0.5,-1)))))</x:f>
        <x:v>0.95</x:v>
      </x:c>
      <x:c r="X991" s="604" t="inlineStr">
        <x:is>
          <x:t xml:space="preserve">2916729</x:t>
        </x:is>
      </x:c>
      <x:c r="Y991" s="604" t="inlineStr">
        <x:is>
          <x:t xml:space="preserve">V4</x:t>
        </x:is>
      </x:c>
      <x:c r="Z991" s="604" t="inlineStr">
        <x:is>
          <x:t xml:space="preserve">prior-2026-10-04-v1</x:t>
        </x:is>
      </x:c>
      <x:c r="AA991" s="604" t="inlineStr">
        <x:is>
          <x:t xml:space="preserve">B</x:t>
        </x:is>
      </x:c>
      <x:c r="AB991" s="604" t="n">
        <x:v>0.4820156279886995</x:v>
      </x:c>
      <x:c r="AC991" s="604" t="n">
        <x:v>0.2548626021133488</x:v>
      </x:c>
      <x:c r="AD991" s="604" t="n"/>
      <x:c r="AE991" s="604" t="n"/>
      <x:c r="AF991" s="604" t="n">
        <x:v>0.2631217698979516</x:v>
      </x:c>
      <x:c r="AG991" s="604" t="n">
        <x:v>0.2305302426288013</x:v>
      </x:c>
      <x:c r="AH991" s="604" t="n"/>
      <x:c r="AI991" s="604" t="n"/>
      <x:c r="AJ991" s="604" t="n">
        <x:v>0.2305302426288013</x:v>
      </x:c>
      <x:c r="AK991" s="604" t="n"/>
      <x:c r="AL991" s="604" t="n"/>
      <x:c r="AM991" s="604" t="n"/>
      <x:c r="AN991" s="604" t="inlineStr">
        <x:is>
          <x:t xml:space="preserve">EVALUATED</x:t>
        </x:is>
      </x:c>
      <x:c r="AO991" s="604" t="inlineStr">
        <x:is>
          <x:t xml:space="preserve">GIVING_VALIDATED_EDGE、BUCKET_PRIOR_ONLY、INTENT_INTERPRETATION_ONLY、FFL_OPTIONAL、EXPERT_MARKET</x:t>
        </x:is>
      </x:c>
      <x:c r="AP991" s="604" t="inlineStr">
        <x:is>
          <x:t xml:space="preserve">3cd988a55a3ed0cc74d0</x:t>
        </x:is>
      </x:c>
      <x:c r="AQ991" s="604" t="n">
        <x:v>-0.75</x:v>
      </x:c>
      <x:c r="AR991" s="604" t="n">
        <x:v>0.8100000000000001</x:v>
      </x:c>
      <x:c r="AS991" s="604" t="n">
        <x:v>0.75</x:v>
      </x:c>
      <x:c r="AT991" s="604" t="n">
        <x:v>-0.75</x:v>
      </x:c>
      <x:c r="AU991" s="604" t="n">
        <x:v>0.8100000000000001</x:v>
      </x:c>
      <x:c r="AV991" s="604" t="n">
        <x:v>0.95</x:v>
      </x:c>
      <x:c r="AW991" s="604" t="n">
        <x:v>46299.08204853009</x:v>
      </x:c>
      <x:c r="AX991" s="604" t="inlineStr">
        <x:is>
          <x:t xml:space="preserve">https://simondongxiao.github.io/odds/v4/</x:t>
        </x:is>
      </x:c>
      <x:c r="AY991" s="604" t="inlineStr">
        <x:is>
          <x:t xml:space="preserve">V4 Shadow Only；real_money=false；P(EV&gt;0)不是比赛胜率</x:t>
        </x:is>
      </x:c>
    </x:row>
    <x:row r="992" ht="22" customHeight="1">
      <x:c r="A992" s="604" t="inlineStr">
        <x:is>
          <x:t xml:space="preserve">2026-10-04</x:t>
        </x:is>
      </x:c>
      <x:c r="B992" s="604" t="inlineStr">
        <x:is>
          <x:t xml:space="preserve">2026-10-05 04:00</x:t>
        </x:is>
      </x:c>
      <x:c r="C992" s="604" t="str">
        <x:v>北美系列</x:v>
      </x:c>
      <x:c r="D992" s="604" t="inlineStr">
        <x:is>
          <x:t xml:space="preserve">联赛</x:t>
        </x:is>
      </x:c>
      <x:c r="E992" s="604" t="inlineStr">
        <x:is>
          <x:t xml:space="preserve">美女职</x:t>
        </x:is>
      </x:c>
      <x:c r="F992" s="604" t="inlineStr">
        <x:is>
          <x:t xml:space="preserve">芝加哥红星女足 vs 丹佛峰会女足</x:t>
        </x:is>
      </x:c>
      <x:c r="G992" s="604" t="n">
        <x:v>0.95</x:v>
      </x:c>
      <x:c r="H992" s="604" t="n">
        <x:v>-1.25</x:v>
      </x:c>
      <x:c r="I992" s="604" t="n">
        <x:v>0.75</x:v>
      </x:c>
      <x:c r="J992" s="604" t="inlineStr">
        <x:is>
          <x:t xml:space="preserve">0.95/-1.25/0.75</x:t>
        </x:is>
      </x:c>
      <x:c r="K992" s="604" t="inlineStr">
        <x:is>
          <x:t xml:space="preserve">V4-C｜EV +0.9085</x:t>
        </x:is>
      </x:c>
      <x:c r="L992" s="604" t="inlineStr">
        <x:is>
          <x:t xml:space="preserve">芝加哥红星女足</x:t>
        </x:is>
      </x:c>
      <x:c r="M992" s="604" t="n">
        <x:v>0.9897431980367921</x:v>
      </x:c>
      <x:c r="N992" s="604" t="inlineStr">
        <x:is>
          <x:t xml:space="preserve">V4纸面入选-C</x:t>
        </x:is>
      </x:c>
      <x:c r="O992" s="604" t="inlineStr">
        <x:is>
          <x:t xml:space="preserve">0-3</x:t>
        </x:is>
      </x:c>
      <x:c r="P992" s="604" t="inlineStr">
        <x:is>
          <x:t xml:space="preserve">已结算</x:t>
        </x:is>
      </x:c>
      <x:c r="Q992" s="646" t="inlineStr">
        <x:is>
          <x:t xml:space="preserve">黑</x:t>
        </x:is>
      </x:c>
      <x:c r="R992" s="604" t="n">
        <x:v>0.95</x:v>
      </x:c>
      <x:c r="S992" s="604" t="n">
        <x:f>IF(OR(Q992="",Q992="待结算"),"",IF(Q992="红",R992,IF(Q992="半红",R992*0.5,IF(Q992="走",0,IF(Q992="半黑",-0.5,-1)))))</x:f>
        <x:v>-1</x:v>
      </x:c>
      <x:c r="T992" s="604" t="inlineStr">
        <x:is>
          <x:t xml:space="preserve">https://m.titan007.com/analy/Analysis/2957071.htm</x:t>
        </x:is>
      </x:c>
      <x:c r="U992" s="645" t="str">
        <x:f>IF(Q992="","",IF(Q992="待结算","待结算",IF(Q992="红","黑",IF(Q992="半红","半黑",IF(Q992="走","走",IF(Q992="半黑","半红","红"))))))</x:f>
        <x:v>红</x:v>
      </x:c>
      <x:c r="V992" s="604" t="n">
        <x:f>IF(OR(Q992="",Q992="待结算"),"",IF(L992=LEFT(F992,FIND(" vs ",F992)-1),I992,G992))</x:f>
        <x:v>0.75</x:v>
      </x:c>
      <x:c r="W992" s="604" t="n">
        <x:f>IF(OR(U992="",U992="待结算"),"",IF(U992="红",V992,IF(U992="半红",V992*0.5,IF(U992="走",0,IF(U992="半黑",-0.5,-1)))))</x:f>
        <x:v>0.75</x:v>
      </x:c>
      <x:c r="X992" s="604" t="inlineStr">
        <x:is>
          <x:t xml:space="preserve">2957071</x:t>
        </x:is>
      </x:c>
      <x:c r="Y992" s="604" t="inlineStr">
        <x:is>
          <x:t xml:space="preserve">V4</x:t>
        </x:is>
      </x:c>
      <x:c r="Z992" s="604" t="inlineStr">
        <x:is>
          <x:t xml:space="preserve">prior-2026-10-04-v1</x:t>
        </x:is>
      </x:c>
      <x:c r="AA992" s="604" t="inlineStr">
        <x:is>
          <x:t xml:space="preserve">C</x:t>
        </x:is>
      </x:c>
      <x:c r="AB992" s="604" t="n">
        <x:v>0.9436467851622667</x:v>
      </x:c>
      <x:c r="AC992" s="604" t="n">
        <x:v>0.04633403237162179</x:v>
      </x:c>
      <x:c r="AD992" s="604" t="n"/>
      <x:c r="AE992" s="604" t="n"/>
      <x:c r="AF992" s="604" t="n">
        <x:v>0.01001918246611158</x:v>
      </x:c>
      <x:c r="AG992" s="604" t="n">
        <x:v>0.9084539288145622</x:v>
      </x:c>
      <x:c r="AH992" s="604" t="n"/>
      <x:c r="AI992" s="604" t="n"/>
      <x:c r="AJ992" s="604" t="n">
        <x:v>0.9084539288145622</x:v>
      </x:c>
      <x:c r="AK992" s="604" t="n"/>
      <x:c r="AL992" s="604" t="n"/>
      <x:c r="AM992" s="604" t="n"/>
      <x:c r="AN992" s="604" t="inlineStr">
        <x:is>
          <x:t xml:space="preserve">EVALUATED</x:t>
        </x:is>
      </x:c>
      <x:c r="AO992" s="604" t="inlineStr">
        <x:is>
          <x:t xml:space="preserve">RECEIVING_VALIDATED_EDGE、BUCKET_PRIOR_ONLY、INTENT_INTERPRETATION_ONLY、FFL_OPTIONAL、EXPERT_MARKET</x:t>
        </x:is>
      </x:c>
      <x:c r="AP992" s="604" t="inlineStr">
        <x:is>
          <x:t xml:space="preserve">69bad59306cccac83c30</x:t>
        </x:is>
      </x:c>
      <x:c r="AQ992" s="604" t="n">
        <x:v>1.25</x:v>
      </x:c>
      <x:c r="AR992" s="604" t="n">
        <x:v>0.95</x:v>
      </x:c>
      <x:c r="AS992" s="604" t="n">
        <x:v>-1.25</x:v>
      </x:c>
      <x:c r="AT992" s="604" t="n">
        <x:v>1.25</x:v>
      </x:c>
      <x:c r="AU992" s="604" t="n">
        <x:v>0.95</x:v>
      </x:c>
      <x:c r="AV992" s="604" t="n">
        <x:v>0.75</x:v>
      </x:c>
      <x:c r="AW992" s="604" t="n">
        <x:v>46299.08204853009</x:v>
      </x:c>
      <x:c r="AX992" s="604" t="inlineStr">
        <x:is>
          <x:t xml:space="preserve">https://simondongxiao.github.io/odds/v4/</x:t>
        </x:is>
      </x:c>
      <x:c r="AY992" s="604" t="inlineStr">
        <x:is>
          <x:t xml:space="preserve">V4 Shadow Only；real_money=false；P(EV&gt;0)不是比赛胜率</x:t>
        </x:is>
      </x:c>
    </x:row>
    <x:row r="993" ht="22" customHeight="1">
      <x:c r="A993" s="604" t="inlineStr">
        <x:is>
          <x:t xml:space="preserve">2026-10-04</x:t>
        </x:is>
      </x:c>
      <x:c r="B993" s="604" t="inlineStr">
        <x:is>
          <x:t xml:space="preserve">2026-10-05 04:00</x:t>
        </x:is>
      </x:c>
      <x:c r="C993" s="604" t="str">
        <x:v>南美系列</x:v>
      </x:c>
      <x:c r="D993" s="604" t="inlineStr">
        <x:is>
          <x:t xml:space="preserve">联赛</x:t>
        </x:is>
      </x:c>
      <x:c r="E993" s="604" t="inlineStr">
        <x:is>
          <x:t xml:space="preserve">智利丙</x:t>
        </x:is>
      </x:c>
      <x:c r="F993" s="604" t="inlineStr">
        <x:is>
          <x:t xml:space="preserve">维拉斯克斯 vs AC科林纳</x:t>
        </x:is>
      </x:c>
      <x:c r="G993" s="604" t="n">
        <x:v>0.99</x:v>
      </x:c>
      <x:c r="H993" s="604" t="n">
        <x:v>0.25</x:v>
      </x:c>
      <x:c r="I993" s="604" t="n">
        <x:v>0.71</x:v>
      </x:c>
      <x:c r="J993" s="604" t="inlineStr">
        <x:is>
          <x:t xml:space="preserve">0.99/0.25/0.71</x:t>
        </x:is>
      </x:c>
      <x:c r="K993" s="604" t="inlineStr">
        <x:is>
          <x:t xml:space="preserve">V4-C｜EV +0.0587</x:t>
        </x:is>
      </x:c>
      <x:c r="L993" s="604" t="inlineStr">
        <x:is>
          <x:t xml:space="preserve">维拉斯克斯</x:t>
        </x:is>
      </x:c>
      <x:c r="M993" s="604" t="n">
        <x:v>0.536352423074606</x:v>
      </x:c>
      <x:c r="N993" s="604" t="inlineStr">
        <x:is>
          <x:t xml:space="preserve">V4纸面入选-C</x:t>
        </x:is>
      </x:c>
      <x:c r="O993" s="604" t="inlineStr">
        <x:is>
          <x:t xml:space="preserve">2-3</x:t>
        </x:is>
      </x:c>
      <x:c r="P993" s="604" t="inlineStr">
        <x:is>
          <x:t xml:space="preserve">已结算</x:t>
        </x:is>
      </x:c>
      <x:c r="Q993" s="646" t="inlineStr">
        <x:is>
          <x:t xml:space="preserve">黑</x:t>
        </x:is>
      </x:c>
      <x:c r="R993" s="604" t="n">
        <x:v>0.99</x:v>
      </x:c>
      <x:c r="S993" s="604" t="n">
        <x:f>IF(OR(Q993="",Q993="待结算"),"",IF(Q993="红",R993,IF(Q993="半红",R993*0.5,IF(Q993="走",0,IF(Q993="半黑",-0.5,-1)))))</x:f>
        <x:v>-1</x:v>
      </x:c>
      <x:c r="T993" s="604" t="inlineStr">
        <x:is>
          <x:t xml:space="preserve">https://m.titan007.com/analy/Analysis/3096315.htm</x:t>
        </x:is>
      </x:c>
      <x:c r="U993" s="645" t="str">
        <x:f>IF(Q993="","",IF(Q993="待结算","待结算",IF(Q993="红","黑",IF(Q993="半红","半黑",IF(Q993="走","走",IF(Q993="半黑","半红","红"))))))</x:f>
        <x:v>红</x:v>
      </x:c>
      <x:c r="V993" s="604" t="n">
        <x:f>IF(OR(Q993="",Q993="待结算"),"",IF(L993=LEFT(F993,FIND(" vs ",F993)-1),I993,G993))</x:f>
        <x:v>0.71</x:v>
      </x:c>
      <x:c r="W993" s="604" t="n">
        <x:f>IF(OR(U993="",U993="待结算"),"",IF(U993="红",V993,IF(U993="半红",V993*0.5,IF(U993="走",0,IF(U993="半黑",-0.5,-1)))))</x:f>
        <x:v>0.71</x:v>
      </x:c>
      <x:c r="X993" s="604" t="inlineStr">
        <x:is>
          <x:t xml:space="preserve">3096315</x:t>
        </x:is>
      </x:c>
      <x:c r="Y993" s="604" t="inlineStr">
        <x:is>
          <x:t xml:space="preserve">V4</x:t>
        </x:is>
      </x:c>
      <x:c r="Z993" s="604" t="inlineStr">
        <x:is>
          <x:t xml:space="preserve">prior-2026-10-04-v1</x:t>
        </x:is>
      </x:c>
      <x:c r="AA993" s="604" t="inlineStr">
        <x:is>
          <x:t xml:space="preserve">C</x:t>
        </x:is>
      </x:c>
      <x:c r="AB993" s="604" t="n">
        <x:v>0.4672407707186808</x:v>
      </x:c>
      <x:c r="AC993" s="604" t="n"/>
      <x:c r="AD993" s="604" t="n"/>
      <x:c r="AE993" s="604" t="n">
        <x:v>0.2577098541281757</x:v>
      </x:c>
      <x:c r="AF993" s="604" t="n">
        <x:v>0.2750493751531435</x:v>
      </x:c>
      <x:c r="AG993" s="604" t="n">
        <x:v>0.05866406079426262</x:v>
      </x:c>
      <x:c r="AH993" s="604" t="n"/>
      <x:c r="AI993" s="604" t="n"/>
      <x:c r="AJ993" s="604" t="n">
        <x:v>0.05866406079426262</x:v>
      </x:c>
      <x:c r="AK993" s="604" t="n"/>
      <x:c r="AL993" s="604" t="n"/>
      <x:c r="AM993" s="604" t="n"/>
      <x:c r="AN993" s="604" t="inlineStr">
        <x:is>
          <x:t xml:space="preserve">EVALUATED</x:t>
        </x:is>
      </x:c>
      <x:c r="AO993" s="604" t="inlineStr">
        <x:is>
          <x:t xml:space="preserve">GIVING_VALIDATED_EDGE、BUCKET_PRIOR_ONLY、INTENT_INTERPRETATION_ONLY、FFL_OPTIONAL、EXPERT_MARKET</x:t>
        </x:is>
      </x:c>
      <x:c r="AP993" s="604" t="inlineStr">
        <x:is>
          <x:t xml:space="preserve">3619e899c245ba7cf5ff</x:t>
        </x:is>
      </x:c>
      <x:c r="AQ993" s="604" t="n">
        <x:v>-0.25</x:v>
      </x:c>
      <x:c r="AR993" s="604" t="n">
        <x:v>0.99</x:v>
      </x:c>
      <x:c r="AS993" s="604" t="n">
        <x:v>0.25</x:v>
      </x:c>
      <x:c r="AT993" s="604" t="n">
        <x:v>-0.25</x:v>
      </x:c>
      <x:c r="AU993" s="604" t="n">
        <x:v>0.99</x:v>
      </x:c>
      <x:c r="AV993" s="604" t="n">
        <x:v>0.71</x:v>
      </x:c>
      <x:c r="AW993" s="604" t="n">
        <x:v>46299.08204853009</x:v>
      </x:c>
      <x:c r="AX993" s="604" t="inlineStr">
        <x:is>
          <x:t xml:space="preserve">https://simondongxiao.github.io/odds/v4/</x:t>
        </x:is>
      </x:c>
      <x:c r="AY993" s="604" t="inlineStr">
        <x:is>
          <x:t xml:space="preserve">V4 Shadow Only；real_money=false；P(EV&gt;0)不是比赛胜率</x:t>
        </x:is>
      </x:c>
    </x:row>
    <x:row r="994" ht="22" customHeight="1">
      <x:c r="A994" s="604" t="inlineStr">
        <x:is>
          <x:t xml:space="preserve">2026-10-04</x:t>
        </x:is>
      </x:c>
      <x:c r="B994" s="604" t="inlineStr">
        <x:is>
          <x:t xml:space="preserve">2026-10-05 04:00</x:t>
        </x:is>
      </x:c>
      <x:c r="C994" s="604" t="str">
        <x:v>北美系列</x:v>
      </x:c>
      <x:c r="D994" s="604" t="inlineStr">
        <x:is>
          <x:t xml:space="preserve">联赛</x:t>
        </x:is>
      </x:c>
      <x:c r="E994" s="604" t="inlineStr">
        <x:is>
          <x:t xml:space="preserve">中北美国联</x:t>
        </x:is>
      </x:c>
      <x:c r="F994" s="604" t="inlineStr">
        <x:is>
          <x:t xml:space="preserve">巴哈马 vs 美属维尔京群岛</x:t>
        </x:is>
      </x:c>
      <x:c r="G994" s="604" t="n">
        <x:v>0.8</x:v>
      </x:c>
      <x:c r="H994" s="604" t="n">
        <x:v>-1.25</x:v>
      </x:c>
      <x:c r="I994" s="604" t="n">
        <x:v>0.9</x:v>
      </x:c>
      <x:c r="J994" s="604" t="inlineStr">
        <x:is>
          <x:t xml:space="preserve">0.8/-1.25/0.9</x:t>
        </x:is>
      </x:c>
      <x:c r="K994" s="604" t="inlineStr">
        <x:is>
          <x:t xml:space="preserve">V4-B｜EV +0.7977</x:t>
        </x:is>
      </x:c>
      <x:c r="L994" s="604" t="inlineStr">
        <x:is>
          <x:t xml:space="preserve">巴哈马</x:t>
        </x:is>
      </x:c>
      <x:c r="M994" s="604" t="n">
        <x:v>0.999810480156556</x:v>
      </x:c>
      <x:c r="N994" s="604" t="inlineStr">
        <x:is>
          <x:t xml:space="preserve">V4纸面入选-B</x:t>
        </x:is>
      </x:c>
      <x:c r="O994" s="604" t="inlineStr">
        <x:is>
          <x:t xml:space="preserve">2-3</x:t>
        </x:is>
      </x:c>
      <x:c r="P994" s="604" t="inlineStr">
        <x:is>
          <x:t xml:space="preserve">已结算</x:t>
        </x:is>
      </x:c>
      <x:c r="Q994" s="649" t="inlineStr">
        <x:is>
          <x:t xml:space="preserve">半红</x:t>
        </x:is>
      </x:c>
      <x:c r="R994" s="604" t="n">
        <x:v>0.8</x:v>
      </x:c>
      <x:c r="S994" s="604" t="n">
        <x:f>IF(OR(Q994="",Q994="待结算"),"",IF(Q994="红",R994,IF(Q994="半红",R994*0.5,IF(Q994="走",0,IF(Q994="半黑",-0.5,-1)))))</x:f>
        <x:v>0.4</x:v>
      </x:c>
      <x:c r="T994" s="604" t="inlineStr">
        <x:is>
          <x:t xml:space="preserve">https://m.titan007.com/analy/Analysis/3092512.htm</x:t>
        </x:is>
      </x:c>
      <x:c r="U994" s="648" t="str">
        <x:f>IF(Q994="","",IF(Q994="待结算","待结算",IF(Q994="红","黑",IF(Q994="半红","半黑",IF(Q994="走","走",IF(Q994="半黑","半红","红"))))))</x:f>
        <x:v>半黑</x:v>
      </x:c>
      <x:c r="V994" s="604" t="n">
        <x:f>IF(OR(Q994="",Q994="待结算"),"",IF(L994=LEFT(F994,FIND(" vs ",F994)-1),I994,G994))</x:f>
        <x:v>0.9</x:v>
      </x:c>
      <x:c r="W994" s="604" t="n">
        <x:f>IF(OR(U994="",U994="待结算"),"",IF(U994="红",V994,IF(U994="半红",V994*0.5,IF(U994="走",0,IF(U994="半黑",-0.5,-1)))))</x:f>
        <x:v>-0.5</x:v>
      </x:c>
      <x:c r="X994" s="604" t="inlineStr">
        <x:is>
          <x:t xml:space="preserve">3092512</x:t>
        </x:is>
      </x:c>
      <x:c r="Y994" s="604" t="inlineStr">
        <x:is>
          <x:t xml:space="preserve">V4</x:t>
        </x:is>
      </x:c>
      <x:c r="Z994" s="604" t="inlineStr">
        <x:is>
          <x:t xml:space="preserve">prior-2026-10-04-v1</x:t>
        </x:is>
      </x:c>
      <x:c r="AA994" s="604" t="inlineStr">
        <x:is>
          <x:t xml:space="preserve">B</x:t>
        </x:is>
      </x:c>
      <x:c r="AB994" s="604" t="n">
        <x:v>0.9950353862476928</x:v>
      </x:c>
      <x:c r="AC994" s="604" t="n">
        <x:v>0.004775546439270138</x:v>
      </x:c>
      <x:c r="AD994" s="604" t="n"/>
      <x:c r="AE994" s="604" t="n"/>
      <x:c r="AF994" s="604" t="n">
        <x:v>0.000189067313037109</x:v>
      </x:c>
      <x:c r="AG994" s="604" t="n">
        <x:v>0.7977494602608253</x:v>
      </x:c>
      <x:c r="AH994" s="604" t="n"/>
      <x:c r="AI994" s="604" t="n"/>
      <x:c r="AJ994" s="604" t="n">
        <x:v>0.7977494602608253</x:v>
      </x:c>
      <x:c r="AK994" s="604" t="n"/>
      <x:c r="AL994" s="604" t="n"/>
      <x:c r="AM994" s="604" t="n"/>
      <x:c r="AN994" s="604" t="inlineStr">
        <x:is>
          <x:t xml:space="preserve">EVALUATED</x:t>
        </x:is>
      </x:c>
      <x:c r="AO994" s="604" t="inlineStr">
        <x:is>
          <x:t xml:space="preserve">RECEIVING_VALIDATED_EDGE、BUCKET_PRIOR_ONLY、INTENT_INTERPRETATION_ONLY、FFL_OPTIONAL、EXPERT_MARKET</x:t>
        </x:is>
      </x:c>
      <x:c r="AP994" s="604" t="inlineStr">
        <x:is>
          <x:t xml:space="preserve">908170d19ed968b0f261</x:t>
        </x:is>
      </x:c>
      <x:c r="AQ994" s="604" t="n">
        <x:v>1.25</x:v>
      </x:c>
      <x:c r="AR994" s="604" t="n">
        <x:v>0.8</x:v>
      </x:c>
      <x:c r="AS994" s="604" t="n">
        <x:v>-1.25</x:v>
      </x:c>
      <x:c r="AT994" s="604" t="n">
        <x:v>1.25</x:v>
      </x:c>
      <x:c r="AU994" s="604" t="n">
        <x:v>0.8</x:v>
      </x:c>
      <x:c r="AV994" s="604" t="n">
        <x:v>0.9</x:v>
      </x:c>
      <x:c r="AW994" s="604" t="n">
        <x:v>46299.08204853009</x:v>
      </x:c>
      <x:c r="AX994" s="604" t="inlineStr">
        <x:is>
          <x:t xml:space="preserve">https://simondongxiao.github.io/odds/v4/</x:t>
        </x:is>
      </x:c>
      <x:c r="AY994" s="604" t="inlineStr">
        <x:is>
          <x:t xml:space="preserve">V4 Shadow Only；real_money=false；P(EV&gt;0)不是比赛胜率</x:t>
        </x:is>
      </x:c>
    </x:row>
    <x:row r="995" ht="22" customHeight="1">
      <x:c r="A995" s="604" t="inlineStr">
        <x:is>
          <x:t xml:space="preserve">2026-10-04</x:t>
        </x:is>
      </x:c>
      <x:c r="B995" s="604" t="inlineStr">
        <x:is>
          <x:t xml:space="preserve">2026-10-05 04:00</x:t>
        </x:is>
      </x:c>
      <x:c r="C995" s="604" t="str">
        <x:v>北美系列</x:v>
      </x:c>
      <x:c r="D995" s="604" t="inlineStr">
        <x:is>
          <x:t xml:space="preserve">联赛</x:t>
        </x:is>
      </x:c>
      <x:c r="E995" s="604" t="inlineStr">
        <x:is>
          <x:t xml:space="preserve">加拿职</x:t>
        </x:is>
      </x:c>
      <x:c r="F995" s="604" t="inlineStr">
        <x:is>
          <x:t xml:space="preserve">魁北克苏普拉 vs 太平洋FC</x:t>
        </x:is>
      </x:c>
      <x:c r="G995" s="604" t="n">
        <x:v>1.05</x:v>
      </x:c>
      <x:c r="H995" s="604" t="n">
        <x:v>0</x:v>
      </x:c>
      <x:c r="I995" s="604" t="n">
        <x:v>0.65</x:v>
      </x:c>
      <x:c r="J995" s="604" t="inlineStr">
        <x:is>
          <x:t xml:space="preserve">1.05/0/0.65</x:t>
        </x:is>
      </x:c>
      <x:c r="K995" s="604" t="inlineStr">
        <x:is>
          <x:t xml:space="preserve">V4-C｜EV +0.0456</x:t>
        </x:is>
      </x:c>
      <x:c r="L995" s="604" t="str"/>
      <x:c r="M995" s="604" t="n">
        <x:v>0.517703901410525</x:v>
      </x:c>
      <x:c r="N995" s="604" t="inlineStr">
        <x:is>
          <x:t xml:space="preserve">V4纸面入选-C</x:t>
        </x:is>
      </x:c>
      <x:c r="O995" s="604" t="inlineStr">
        <x:is>
          <x:t xml:space="preserve">5-0</x:t>
        </x:is>
      </x:c>
      <x:c r="P995" s="604" t="inlineStr">
        <x:is>
          <x:t xml:space="preserve">已结算</x:t>
        </x:is>
      </x:c>
      <x:c r="Q995" s="645" t="inlineStr">
        <x:is>
          <x:t xml:space="preserve">红</x:t>
        </x:is>
      </x:c>
      <x:c r="R995" s="604" t="n">
        <x:v>0.65</x:v>
      </x:c>
      <x:c r="S995" s="604" t="n">
        <x:f>IF(OR(Q995="",Q995="待结算"),"",IF(Q995="红",R995,IF(Q995="半红",R995*0.5,IF(Q995="走",0,IF(Q995="半黑",-0.5,-1)))))</x:f>
        <x:v>0.65</x:v>
      </x:c>
      <x:c r="T995" s="604" t="inlineStr">
        <x:is>
          <x:t xml:space="preserve">https://m.titan007.com/analy/Analysis/2937624.htm</x:t>
        </x:is>
      </x:c>
      <x:c r="U995" s="646" t="str">
        <x:f>IF(Q995="","",IF(Q995="待结算","待结算",IF(Q995="红","黑",IF(Q995="半红","半黑",IF(Q995="走","走",IF(Q995="半黑","半红","红"))))))</x:f>
        <x:v>黑</x:v>
      </x:c>
      <x:c r="V995" s="604" t="n">
        <x:f>IF(OR(Q995="",Q995="待结算"),"",IF(L995=LEFT(F995,FIND(" vs ",F995)-1),I995,G995))</x:f>
        <x:v>1.05</x:v>
      </x:c>
      <x:c r="W995" s="604" t="n">
        <x:f>IF(OR(U995="",U995="待结算"),"",IF(U995="红",V995,IF(U995="半红",V995*0.5,IF(U995="走",0,IF(U995="半黑",-0.5,-1)))))</x:f>
        <x:v>-1</x:v>
      </x:c>
      <x:c r="X995" s="604" t="inlineStr">
        <x:is>
          <x:t xml:space="preserve">2937624</x:t>
        </x:is>
      </x:c>
      <x:c r="Y995" s="604" t="inlineStr">
        <x:is>
          <x:t xml:space="preserve">V4</x:t>
        </x:is>
      </x:c>
      <x:c r="Z995" s="604" t="inlineStr">
        <x:is>
          <x:t xml:space="preserve">prior-2026-10-04-v1</x:t>
        </x:is>
      </x:c>
      <x:c r="AA995" s="604" t="inlineStr">
        <x:is>
          <x:t xml:space="preserve">C</x:t>
        </x:is>
      </x:c>
      <x:c r="AB995" s="604" t="n">
        <x:v>0.3853776849452776</x:v>
      </x:c>
      <x:c r="AC995" s="604" t="n"/>
      <x:c r="AD995" s="604" t="n">
        <x:v>0.2556021233464038</x:v>
      </x:c>
      <x:c r="AE995" s="604" t="n"/>
      <x:c r="AF995" s="604" t="n">
        <x:v>0.3590201917083187</x:v>
      </x:c>
      <x:c r="AG995" s="604" t="n">
        <x:v>0.04562637748422282</x:v>
      </x:c>
      <x:c r="AH995" s="604" t="n"/>
      <x:c r="AI995" s="604" t="n"/>
      <x:c r="AJ995" s="604" t="n">
        <x:v>0.04562637748422282</x:v>
      </x:c>
      <x:c r="AK995" s="604" t="n"/>
      <x:c r="AL995" s="604" t="n"/>
      <x:c r="AM995" s="604" t="n"/>
      <x:c r="AN995" s="604" t="inlineStr">
        <x:is>
          <x:t xml:space="preserve">EVALUATED</x:t>
        </x:is>
      </x:c>
      <x:c r="AO995" s="604" t="inlineStr">
        <x:is>
          <x:t xml:space="preserve">EDGE_BELOW_UNCERTAINTY_THRESHOLD、BUCKET_PRIOR_ONLY、INTENT_INTERPRETATION_ONLY、FFL_OPTIONAL、EXPERT_MARKET</x:t>
        </x:is>
      </x:c>
      <x:c r="AP995" s="604" t="inlineStr">
        <x:is>
          <x:t xml:space="preserve">38c46c3ed4fea22f49d7</x:t>
        </x:is>
      </x:c>
      <x:c r="AQ995" s="604" t="n">
        <x:v>0</x:v>
      </x:c>
      <x:c r="AR995" s="604" t="n"/>
      <x:c r="AS995" s="604" t="n">
        <x:v>0</x:v>
      </x:c>
      <x:c r="AT995" s="604" t="n">
        <x:v>0</x:v>
      </x:c>
      <x:c r="AU995" s="604" t="n">
        <x:v>1.05</x:v>
      </x:c>
      <x:c r="AV995" s="604" t="n">
        <x:v>0.65</x:v>
      </x:c>
      <x:c r="AW995" s="604" t="n">
        <x:v>46299.08204853009</x:v>
      </x:c>
      <x:c r="AX995" s="604" t="inlineStr">
        <x:is>
          <x:t xml:space="preserve">https://simondongxiao.github.io/odds/v4/</x:t>
        </x:is>
      </x:c>
      <x:c r="AY995" s="604" t="inlineStr">
        <x:is>
          <x:t xml:space="preserve">V4 Shadow Only；real_money=false；P(EV&gt;0)不是比赛胜率</x:t>
        </x:is>
      </x:c>
    </x:row>
    <x:row r="996" ht="22" customHeight="1">
      <x:c r="A996" s="604" t="inlineStr">
        <x:is>
          <x:t xml:space="preserve">2026-10-04</x:t>
        </x:is>
      </x:c>
      <x:c r="B996" s="604" t="inlineStr">
        <x:is>
          <x:t xml:space="preserve">2026-10-05 05:00</x:t>
        </x:is>
      </x:c>
      <x:c r="C996" s="604" t="str">
        <x:v>北美系列</x:v>
      </x:c>
      <x:c r="D996" s="604" t="inlineStr">
        <x:is>
          <x:t xml:space="preserve">联赛</x:t>
        </x:is>
      </x:c>
      <x:c r="E996" s="604" t="inlineStr">
        <x:is>
          <x:t xml:space="preserve">萨尔超春</x:t>
        </x:is>
      </x:c>
      <x:c r="F996" s="604" t="inlineStr">
        <x:is>
          <x:t xml:space="preserve">萨卡特科卢卡 vs 利梅诺</x:t>
        </x:is>
      </x:c>
      <x:c r="G996" s="604" t="n">
        <x:v>0.73</x:v>
      </x:c>
      <x:c r="H996" s="604" t="n">
        <x:v>-0.25</x:v>
      </x:c>
      <x:c r="I996" s="604" t="n">
        <x:v>1.03</x:v>
      </x:c>
      <x:c r="J996" s="604" t="inlineStr">
        <x:is>
          <x:t xml:space="preserve">0.73/-0.25/1.03</x:t>
        </x:is>
      </x:c>
      <x:c r="K996" s="604" t="inlineStr">
        <x:is>
          <x:t xml:space="preserve">V4-B｜EV +0.1288</x:t>
        </x:is>
      </x:c>
      <x:c r="L996" s="604" t="inlineStr">
        <x:is>
          <x:t xml:space="preserve">萨卡特科卢卡</x:t>
        </x:is>
      </x:c>
      <x:c r="M996" s="604" t="n">
        <x:v>0.6636346684741621</x:v>
      </x:c>
      <x:c r="N996" s="604" t="inlineStr">
        <x:is>
          <x:t xml:space="preserve">V4纸面入选-B</x:t>
        </x:is>
      </x:c>
      <x:c r="O996" s="604" t="inlineStr">
        <x:is>
          <x:t xml:space="preserve">2-1</x:t>
        </x:is>
      </x:c>
      <x:c r="P996" s="604" t="inlineStr">
        <x:is>
          <x:t xml:space="preserve">已结算</x:t>
        </x:is>
      </x:c>
      <x:c r="Q996" s="645" t="inlineStr">
        <x:is>
          <x:t xml:space="preserve">红</x:t>
        </x:is>
      </x:c>
      <x:c r="R996" s="604" t="n">
        <x:v>0.73</x:v>
      </x:c>
      <x:c r="S996" s="604" t="n">
        <x:f>IF(OR(Q996="",Q996="待结算"),"",IF(Q996="红",R996,IF(Q996="半红",R996*0.5,IF(Q996="走",0,IF(Q996="半黑",-0.5,-1)))))</x:f>
        <x:v>0.73</x:v>
      </x:c>
      <x:c r="T996" s="604" t="inlineStr">
        <x:is>
          <x:t xml:space="preserve">https://m.titan007.com/analy/Analysis/3041934.htm</x:t>
        </x:is>
      </x:c>
      <x:c r="U996" s="646" t="str">
        <x:f>IF(Q996="","",IF(Q996="待结算","待结算",IF(Q996="红","黑",IF(Q996="半红","半黑",IF(Q996="走","走",IF(Q996="半黑","半红","红"))))))</x:f>
        <x:v>黑</x:v>
      </x:c>
      <x:c r="V996" s="604" t="n">
        <x:f>IF(OR(Q996="",Q996="待结算"),"",IF(L996=LEFT(F996,FIND(" vs ",F996)-1),I996,G996))</x:f>
        <x:v>1.03</x:v>
      </x:c>
      <x:c r="W996" s="604" t="n">
        <x:f>IF(OR(U996="",U996="待结算"),"",IF(U996="红",V996,IF(U996="半红",V996*0.5,IF(U996="走",0,IF(U996="半黑",-0.5,-1)))))</x:f>
        <x:v>-1</x:v>
      </x:c>
      <x:c r="X996" s="604" t="inlineStr">
        <x:is>
          <x:t xml:space="preserve">3041934</x:t>
        </x:is>
      </x:c>
      <x:c r="Y996" s="604" t="inlineStr">
        <x:is>
          <x:t xml:space="preserve">V4</x:t>
        </x:is>
      </x:c>
      <x:c r="Z996" s="604" t="inlineStr">
        <x:is>
          <x:t xml:space="preserve">prior-2026-10-04-v1</x:t>
        </x:is>
      </x:c>
      <x:c r="AA996" s="604" t="inlineStr">
        <x:is>
          <x:t xml:space="preserve">B</x:t>
        </x:is>
      </x:c>
      <x:c r="AB996" s="604" t="n">
        <x:v>0.4469305695361005</x:v>
      </x:c>
      <x:c r="AC996" s="604" t="n">
        <x:v>0.2605188543429627</x:v>
      </x:c>
      <x:c r="AD996" s="604" t="n"/>
      <x:c r="AE996" s="604" t="n"/>
      <x:c r="AF996" s="604" t="n">
        <x:v>0.2925505761209369</x:v>
      </x:c>
      <x:c r="AG996" s="604" t="n">
        <x:v>0.1287981214755978</x:v>
      </x:c>
      <x:c r="AH996" s="604" t="n"/>
      <x:c r="AI996" s="604" t="n"/>
      <x:c r="AJ996" s="604" t="n">
        <x:v>0.1287981214755978</x:v>
      </x:c>
      <x:c r="AK996" s="604" t="n"/>
      <x:c r="AL996" s="604" t="n"/>
      <x:c r="AM996" s="604" t="n"/>
      <x:c r="AN996" s="604" t="inlineStr">
        <x:is>
          <x:t xml:space="preserve">EVALUATED</x:t>
        </x:is>
      </x:c>
      <x:c r="AO996" s="604" t="inlineStr">
        <x:is>
          <x:t xml:space="preserve">RECEIVING_VALIDATED_EDGE、BUCKET_PRIOR_ONLY、INTENT_INTERPRETATION_ONLY、FFL_OPTIONAL、EXPERT_MARKET</x:t>
        </x:is>
      </x:c>
      <x:c r="AP996" s="604" t="inlineStr">
        <x:is>
          <x:t xml:space="preserve">5cd211aa278b90be6f3b</x:t>
        </x:is>
      </x:c>
      <x:c r="AQ996" s="604" t="n">
        <x:v>0.25</x:v>
      </x:c>
      <x:c r="AR996" s="604" t="n">
        <x:v>0.73</x:v>
      </x:c>
      <x:c r="AS996" s="604" t="n">
        <x:v>-0.25</x:v>
      </x:c>
      <x:c r="AT996" s="604" t="n">
        <x:v>0.25</x:v>
      </x:c>
      <x:c r="AU996" s="604" t="n">
        <x:v>0.73</x:v>
      </x:c>
      <x:c r="AV996" s="604" t="n">
        <x:v>1.03</x:v>
      </x:c>
      <x:c r="AW996" s="604" t="n">
        <x:v>46299.08204853009</x:v>
      </x:c>
      <x:c r="AX996" s="604" t="inlineStr">
        <x:is>
          <x:t xml:space="preserve">https://simondongxiao.github.io/odds/v4/</x:t>
        </x:is>
      </x:c>
      <x:c r="AY996" s="604" t="inlineStr">
        <x:is>
          <x:t xml:space="preserve">V4 Shadow Only；real_money=false；P(EV&gt;0)不是比赛胜率</x:t>
        </x:is>
      </x:c>
    </x:row>
    <x:row r="997" ht="22" customHeight="1">
      <x:c r="A997" s="604" t="inlineStr">
        <x:is>
          <x:t xml:space="preserve">2026-10-04</x:t>
        </x:is>
      </x:c>
      <x:c r="B997" s="604" t="inlineStr">
        <x:is>
          <x:t xml:space="preserve">2026-10-05 05:00</x:t>
        </x:is>
      </x:c>
      <x:c r="C997" s="604" t="str">
        <x:v>南美系列</x:v>
      </x:c>
      <x:c r="D997" s="604" t="inlineStr">
        <x:is>
          <x:t xml:space="preserve">联赛</x:t>
        </x:is>
      </x:c>
      <x:c r="E997" s="604" t="inlineStr">
        <x:is>
          <x:t xml:space="preserve">阿乙</x:t>
        </x:is>
      </x:c>
      <x:c r="F997" s="604" t="inlineStr">
        <x:is>
          <x:t xml:space="preserve">戈多伊克鲁斯 vs 洛斯安第斯</x:t>
        </x:is>
      </x:c>
      <x:c r="G997" s="604" t="n">
        <x:v>0.87</x:v>
      </x:c>
      <x:c r="H997" s="604" t="n">
        <x:v>0.75</x:v>
      </x:c>
      <x:c r="I997" s="604" t="n">
        <x:v>0.89</x:v>
      </x:c>
      <x:c r="J997" s="604" t="inlineStr">
        <x:is>
          <x:t xml:space="preserve">0.87/0.75/0.89</x:t>
        </x:is>
      </x:c>
      <x:c r="K997" s="604" t="inlineStr">
        <x:is>
          <x:t xml:space="preserve">V4-B｜EV +0.2040</x:t>
        </x:is>
      </x:c>
      <x:c r="L997" s="604" t="inlineStr">
        <x:is>
          <x:t xml:space="preserve">戈多伊克鲁斯</x:t>
        </x:is>
      </x:c>
      <x:c r="M997" s="604" t="n">
        <x:v>0.6600548518257722</x:v>
      </x:c>
      <x:c r="N997" s="604" t="inlineStr">
        <x:is>
          <x:t xml:space="preserve">V4纸面入选-B</x:t>
        </x:is>
      </x:c>
      <x:c r="O997" s="604" t="inlineStr">
        <x:is>
          <x:t xml:space="preserve">2-1</x:t>
        </x:is>
      </x:c>
      <x:c r="P997" s="604" t="inlineStr">
        <x:is>
          <x:t xml:space="preserve">已结算</x:t>
        </x:is>
      </x:c>
      <x:c r="Q997" s="649" t="inlineStr">
        <x:is>
          <x:t xml:space="preserve">半红</x:t>
        </x:is>
      </x:c>
      <x:c r="R997" s="604" t="n">
        <x:v>0.87</x:v>
      </x:c>
      <x:c r="S997" s="604" t="n">
        <x:f>IF(OR(Q997="",Q997="待结算"),"",IF(Q997="红",R997,IF(Q997="半红",R997*0.5,IF(Q997="走",0,IF(Q997="半黑",-0.5,-1)))))</x:f>
        <x:v>0.435</x:v>
      </x:c>
      <x:c r="T997" s="604" t="inlineStr">
        <x:is>
          <x:t xml:space="preserve">https://m.titan007.com/analy/Analysis/2916727.htm</x:t>
        </x:is>
      </x:c>
      <x:c r="U997" s="648" t="str">
        <x:f>IF(Q997="","",IF(Q997="待结算","待结算",IF(Q997="红","黑",IF(Q997="半红","半黑",IF(Q997="走","走",IF(Q997="半黑","半红","红"))))))</x:f>
        <x:v>半黑</x:v>
      </x:c>
      <x:c r="V997" s="604" t="n">
        <x:f>IF(OR(Q997="",Q997="待结算"),"",IF(L997=LEFT(F997,FIND(" vs ",F997)-1),I997,G997))</x:f>
        <x:v>0.89</x:v>
      </x:c>
      <x:c r="W997" s="604" t="n">
        <x:f>IF(OR(U997="",U997="待结算"),"",IF(U997="红",V997,IF(U997="半红",V997*0.5,IF(U997="走",0,IF(U997="半黑",-0.5,-1)))))</x:f>
        <x:v>-0.5</x:v>
      </x:c>
      <x:c r="X997" s="604" t="inlineStr">
        <x:is>
          <x:t xml:space="preserve">2916727</x:t>
        </x:is>
      </x:c>
      <x:c r="Y997" s="604" t="inlineStr">
        <x:is>
          <x:t xml:space="preserve">V4</x:t>
        </x:is>
      </x:c>
      <x:c r="Z997" s="604" t="inlineStr">
        <x:is>
          <x:t xml:space="preserve">prior-2026-10-04-v1</x:t>
        </x:is>
      </x:c>
      <x:c r="AA997" s="604" t="inlineStr">
        <x:is>
          <x:t xml:space="preserve">B</x:t>
        </x:is>
      </x:c>
      <x:c r="AB997" s="604" t="n">
        <x:v>0.4452981291959253</x:v>
      </x:c>
      <x:c r="AC997" s="604" t="n">
        <x:v>0.2587344898798395</x:v>
      </x:c>
      <x:c r="AD997" s="604" t="n"/>
      <x:c r="AE997" s="604" t="n"/>
      <x:c r="AF997" s="604" t="n">
        <x:v>0.2959673809242352</x:v>
      </x:c>
      <x:c r="AG997" s="604" t="n">
        <x:v>0.20399149457395</x:v>
      </x:c>
      <x:c r="AH997" s="604" t="n"/>
      <x:c r="AI997" s="604" t="n"/>
      <x:c r="AJ997" s="604" t="n">
        <x:v>0.20399149457395</x:v>
      </x:c>
      <x:c r="AK997" s="604" t="n"/>
      <x:c r="AL997" s="604" t="n"/>
      <x:c r="AM997" s="604" t="n"/>
      <x:c r="AN997" s="604" t="inlineStr">
        <x:is>
          <x:t xml:space="preserve">EVALUATED</x:t>
        </x:is>
      </x:c>
      <x:c r="AO997" s="604" t="inlineStr">
        <x:is>
          <x:t xml:space="preserve">GIVING_VALIDATED_EDGE、BUCKET_PRIOR_ONLY、INTENT_INTERPRETATION_ONLY、FFL_OPTIONAL、EXPERT_MARKET</x:t>
        </x:is>
      </x:c>
      <x:c r="AP997" s="604" t="inlineStr">
        <x:is>
          <x:t xml:space="preserve">9cb33b5a11e13170ef39</x:t>
        </x:is>
      </x:c>
      <x:c r="AQ997" s="604" t="n">
        <x:v>-0.75</x:v>
      </x:c>
      <x:c r="AR997" s="604" t="n">
        <x:v>0.87</x:v>
      </x:c>
      <x:c r="AS997" s="604" t="n">
        <x:v>0.75</x:v>
      </x:c>
      <x:c r="AT997" s="604" t="n">
        <x:v>-0.75</x:v>
      </x:c>
      <x:c r="AU997" s="604" t="n">
        <x:v>0.87</x:v>
      </x:c>
      <x:c r="AV997" s="604" t="n">
        <x:v>0.89</x:v>
      </x:c>
      <x:c r="AW997" s="604" t="n">
        <x:v>46299.08204853009</x:v>
      </x:c>
      <x:c r="AX997" s="604" t="inlineStr">
        <x:is>
          <x:t xml:space="preserve">https://simondongxiao.github.io/odds/v4/</x:t>
        </x:is>
      </x:c>
      <x:c r="AY997" s="604" t="inlineStr">
        <x:is>
          <x:t xml:space="preserve">V4 Shadow Only；real_money=false；P(EV&gt;0)不是比赛胜率</x:t>
        </x:is>
      </x:c>
    </x:row>
    <x:row r="998" ht="22" customHeight="1">
      <x:c r="A998" s="604" t="inlineStr">
        <x:is>
          <x:t xml:space="preserve">2026-10-04</x:t>
        </x:is>
      </x:c>
      <x:c r="B998" s="604" t="inlineStr">
        <x:is>
          <x:t xml:space="preserve">2026-10-05 05:05</x:t>
        </x:is>
      </x:c>
      <x:c r="C998" s="604" t="str">
        <x:v>南美系列</x:v>
      </x:c>
      <x:c r="D998" s="604" t="inlineStr">
        <x:is>
          <x:t xml:space="preserve">联赛</x:t>
        </x:is>
      </x:c>
      <x:c r="E998" s="604" t="inlineStr">
        <x:is>
          <x:t xml:space="preserve">哥伦甲秋</x:t>
        </x:is>
      </x:c>
      <x:c r="F998" s="604" t="inlineStr">
        <x:is>
          <x:t xml:space="preserve">侨卡巴 vs 佩雷拉</x:t>
        </x:is>
      </x:c>
      <x:c r="G998" s="604" t="n">
        <x:v>1.01</x:v>
      </x:c>
      <x:c r="H998" s="604" t="n">
        <x:v>0.75</x:v>
      </x:c>
      <x:c r="I998" s="604" t="n">
        <x:v>0.87</x:v>
      </x:c>
      <x:c r="J998" s="604" t="inlineStr">
        <x:is>
          <x:t xml:space="preserve">1.01/0.75/0.87</x:t>
        </x:is>
      </x:c>
      <x:c r="K998" s="604" t="inlineStr">
        <x:is>
          <x:t xml:space="preserve">V4-B｜EV +0.2216</x:t>
        </x:is>
      </x:c>
      <x:c r="L998" s="604" t="inlineStr">
        <x:is>
          <x:t xml:space="preserve">侨卡巴</x:t>
        </x:is>
      </x:c>
      <x:c r="M998" s="604" t="n">
        <x:v>0.6240686077505563</x:v>
      </x:c>
      <x:c r="N998" s="604" t="inlineStr">
        <x:is>
          <x:t xml:space="preserve">V4纸面入选-B</x:t>
        </x:is>
      </x:c>
      <x:c r="O998" s="604" t="inlineStr">
        <x:is>
          <x:t xml:space="preserve">4-0</x:t>
        </x:is>
      </x:c>
      <x:c r="P998" s="604" t="inlineStr">
        <x:is>
          <x:t xml:space="preserve">已结算</x:t>
        </x:is>
      </x:c>
      <x:c r="Q998" s="645" t="inlineStr">
        <x:is>
          <x:t xml:space="preserve">红</x:t>
        </x:is>
      </x:c>
      <x:c r="R998" s="604" t="n">
        <x:v>1.01</x:v>
      </x:c>
      <x:c r="S998" s="604" t="n">
        <x:f>IF(OR(Q998="",Q998="待结算"),"",IF(Q998="红",R998,IF(Q998="半红",R998*0.5,IF(Q998="走",0,IF(Q998="半黑",-0.5,-1)))))</x:f>
        <x:v>1.01</x:v>
      </x:c>
      <x:c r="T998" s="604" t="inlineStr">
        <x:is>
          <x:t xml:space="preserve">https://m.titan007.com/analy/Analysis/3011879.htm</x:t>
        </x:is>
      </x:c>
      <x:c r="U998" s="646" t="str">
        <x:f>IF(Q998="","",IF(Q998="待结算","待结算",IF(Q998="红","黑",IF(Q998="半红","半黑",IF(Q998="走","走",IF(Q998="半黑","半红","红"))))))</x:f>
        <x:v>黑</x:v>
      </x:c>
      <x:c r="V998" s="604" t="n">
        <x:f>IF(OR(Q998="",Q998="待结算"),"",IF(L998=LEFT(F998,FIND(" vs ",F998)-1),I998,G998))</x:f>
        <x:v>0.87</x:v>
      </x:c>
      <x:c r="W998" s="604" t="n">
        <x:f>IF(OR(U998="",U998="待结算"),"",IF(U998="红",V998,IF(U998="半红",V998*0.5,IF(U998="走",0,IF(U998="半黑",-0.5,-1)))))</x:f>
        <x:v>-1</x:v>
      </x:c>
      <x:c r="X998" s="604" t="inlineStr">
        <x:is>
          <x:t xml:space="preserve">3011879</x:t>
        </x:is>
      </x:c>
      <x:c r="Y998" s="604" t="inlineStr">
        <x:is>
          <x:t xml:space="preserve">V4</x:t>
        </x:is>
      </x:c>
      <x:c r="Z998" s="604" t="inlineStr">
        <x:is>
          <x:t xml:space="preserve">prior-2026-10-04-v1</x:t>
        </x:is>
      </x:c>
      <x:c r="AA998" s="604" t="inlineStr">
        <x:is>
          <x:t xml:space="preserve">B</x:t>
        </x:is>
      </x:c>
      <x:c r="AB998" s="604" t="n">
        <x:v>0.4149463771564086</x:v>
      </x:c>
      <x:c r="AC998" s="604" t="n">
        <x:v>0.2575288132485929</x:v>
      </x:c>
      <x:c r="AD998" s="604" t="n"/>
      <x:c r="AE998" s="604" t="n"/>
      <x:c r="AF998" s="604" t="n">
        <x:v>0.3275248095949985</x:v>
      </x:c>
      <x:c r="AG998" s="604" t="n">
        <x:v>0.2216230820235137</x:v>
      </x:c>
      <x:c r="AH998" s="604" t="n"/>
      <x:c r="AI998" s="604" t="n"/>
      <x:c r="AJ998" s="604" t="n">
        <x:v>0.2216230820235137</x:v>
      </x:c>
      <x:c r="AK998" s="604" t="n"/>
      <x:c r="AL998" s="604" t="n"/>
      <x:c r="AM998" s="604" t="n"/>
      <x:c r="AN998" s="604" t="inlineStr">
        <x:is>
          <x:t xml:space="preserve">EVALUATED</x:t>
        </x:is>
      </x:c>
      <x:c r="AO998" s="604" t="inlineStr">
        <x:is>
          <x:t xml:space="preserve">GIVING_VALIDATED_EDGE、BUCKET_PRIOR_ONLY、INTENT_INTERPRETATION_ONLY、FFL_OPTIONAL、EXPERT_MARKET</x:t>
        </x:is>
      </x:c>
      <x:c r="AP998" s="604" t="inlineStr">
        <x:is>
          <x:t xml:space="preserve">e74d66423748ac0b7ee3</x:t>
        </x:is>
      </x:c>
      <x:c r="AQ998" s="604" t="n">
        <x:v>-0.75</x:v>
      </x:c>
      <x:c r="AR998" s="604" t="n">
        <x:v>1.01</x:v>
      </x:c>
      <x:c r="AS998" s="604" t="n">
        <x:v>0.75</x:v>
      </x:c>
      <x:c r="AT998" s="604" t="n">
        <x:v>-0.75</x:v>
      </x:c>
      <x:c r="AU998" s="604" t="n">
        <x:v>1.01</x:v>
      </x:c>
      <x:c r="AV998" s="604" t="n">
        <x:v>0.87</x:v>
      </x:c>
      <x:c r="AW998" s="604" t="n">
        <x:v>46299.08204853009</x:v>
      </x:c>
      <x:c r="AX998" s="604" t="inlineStr">
        <x:is>
          <x:t xml:space="preserve">https://simondongxiao.github.io/odds/v4/</x:t>
        </x:is>
      </x:c>
      <x:c r="AY998" s="604" t="inlineStr">
        <x:is>
          <x:t xml:space="preserve">V4 Shadow Only；real_money=false；P(EV&gt;0)不是比赛胜率</x:t>
        </x:is>
      </x:c>
    </x:row>
    <x:row r="999" ht="22" customHeight="1">
      <x:c r="A999" s="604" t="inlineStr">
        <x:is>
          <x:t xml:space="preserve">2026-10-04</x:t>
        </x:is>
      </x:c>
      <x:c r="B999" s="604" t="inlineStr">
        <x:is>
          <x:t xml:space="preserve">2026-10-05 05:15</x:t>
        </x:is>
      </x:c>
      <x:c r="C999" s="604" t="str">
        <x:v>南美系列</x:v>
      </x:c>
      <x:c r="D999" s="604" t="inlineStr">
        <x:is>
          <x:t xml:space="preserve">杯赛</x:t>
        </x:is>
      </x:c>
      <x:c r="E999" s="604" t="inlineStr">
        <x:is>
          <x:t xml:space="preserve">玻利杯</x:t>
        </x:is>
      </x:c>
      <x:c r="F999" s="604" t="inlineStr">
        <x:is>
          <x:t xml:space="preserve">瓜比拉 vs 奥利恩特</x:t>
        </x:is>
      </x:c>
      <x:c r="G999" s="604" t="n">
        <x:v>0.75</x:v>
      </x:c>
      <x:c r="H999" s="604" t="n">
        <x:v>0</x:v>
      </x:c>
      <x:c r="I999" s="604" t="n">
        <x:v>0.95</x:v>
      </x:c>
      <x:c r="J999" s="604" t="inlineStr">
        <x:is>
          <x:t xml:space="preserve">0.75/0/0.95</x:t>
        </x:is>
      </x:c>
      <x:c r="K999" s="604" t="inlineStr">
        <x:is>
          <x:t xml:space="preserve">V4-C｜EV +0.0083</x:t>
        </x:is>
      </x:c>
      <x:c r="L999" s="604" t="str"/>
      <x:c r="M999" s="604" t="n">
        <x:v>0.5761674867705063</x:v>
      </x:c>
      <x:c r="N999" s="604" t="inlineStr">
        <x:is>
          <x:t xml:space="preserve">V4纸面入选-C</x:t>
        </x:is>
      </x:c>
      <x:c r="O999" s="604" t="inlineStr">
        <x:is>
          <x:t xml:space="preserve">2-1</x:t>
        </x:is>
      </x:c>
      <x:c r="P999" s="604" t="inlineStr">
        <x:is>
          <x:t xml:space="preserve">已结算</x:t>
        </x:is>
      </x:c>
      <x:c r="Q999" s="645" t="inlineStr">
        <x:is>
          <x:t xml:space="preserve">红</x:t>
        </x:is>
      </x:c>
      <x:c r="R999" s="604" t="n">
        <x:v>0.95</x:v>
      </x:c>
      <x:c r="S999" s="604" t="n">
        <x:f>IF(OR(Q999="",Q999="待结算"),"",IF(Q999="红",R999,IF(Q999="半红",R999*0.5,IF(Q999="走",0,IF(Q999="半黑",-0.5,-1)))))</x:f>
        <x:v>0.95</x:v>
      </x:c>
      <x:c r="T999" s="604" t="inlineStr">
        <x:is>
          <x:t xml:space="preserve">https://m.titan007.com/analy/Analysis/3061676.htm</x:t>
        </x:is>
      </x:c>
      <x:c r="U999" s="646" t="str">
        <x:f>IF(Q999="","",IF(Q999="待结算","待结算",IF(Q999="红","黑",IF(Q999="半红","半黑",IF(Q999="走","走",IF(Q999="半黑","半红","红"))))))</x:f>
        <x:v>黑</x:v>
      </x:c>
      <x:c r="V999" s="604" t="n">
        <x:f>IF(OR(Q999="",Q999="待结算"),"",IF(L999=LEFT(F999,FIND(" vs ",F999)-1),I999,G999))</x:f>
        <x:v>0.75</x:v>
      </x:c>
      <x:c r="W999" s="604" t="n">
        <x:f>IF(OR(U999="",U999="待结算"),"",IF(U999="红",V999,IF(U999="半红",V999*0.5,IF(U999="走",0,IF(U999="半黑",-0.5,-1)))))</x:f>
        <x:v>-1</x:v>
      </x:c>
      <x:c r="X999" s="604" t="inlineStr">
        <x:is>
          <x:t xml:space="preserve">3061676</x:t>
        </x:is>
      </x:c>
      <x:c r="Y999" s="604" t="inlineStr">
        <x:is>
          <x:t xml:space="preserve">V4</x:t>
        </x:is>
      </x:c>
      <x:c r="Z999" s="604" t="inlineStr">
        <x:is>
          <x:t xml:space="preserve">prior-2026-10-04-v1</x:t>
        </x:is>
      </x:c>
      <x:c r="AA999" s="604" t="inlineStr">
        <x:is>
          <x:t xml:space="preserve">C</x:t>
        </x:is>
      </x:c>
      <x:c r="AB999" s="604" t="n">
        <x:v>0.5761674867705063</x:v>
      </x:c>
      <x:c r="AC999" s="604" t="n"/>
      <x:c r="AD999" s="604" t="n"/>
      <x:c r="AE999" s="604" t="n"/>
      <x:c r="AF999" s="604" t="n">
        <x:v>0.4238325132294937</x:v>
      </x:c>
      <x:c r="AG999" s="604" t="n">
        <x:v>0.008293101848385998</x:v>
      </x:c>
      <x:c r="AH999" s="604" t="n"/>
      <x:c r="AI999" s="604" t="n"/>
      <x:c r="AJ999" s="604" t="n">
        <x:v>0.008293101848385998</x:v>
      </x:c>
      <x:c r="AK999" s="604" t="n"/>
      <x:c r="AL999" s="604" t="n"/>
      <x:c r="AM999" s="604" t="n"/>
      <x:c r="AN999" s="604" t="inlineStr">
        <x:is>
          <x:t xml:space="preserve">EVALUATED</x:t>
        </x:is>
      </x:c>
      <x:c r="AO999" s="604" t="inlineStr">
        <x:is>
          <x:t xml:space="preserve">EDGE_BELOW_UNCERTAINTY_THRESHOLD、BUCKET_PRIOR_ONLY、INTENT_INTERPRETATION_ONLY、FFL_OPTIONAL、EXPERT_MARKET</x:t>
        </x:is>
      </x:c>
      <x:c r="AP999" s="604" t="inlineStr">
        <x:is>
          <x:t xml:space="preserve">d3951fa002e16a07c433</x:t>
        </x:is>
      </x:c>
      <x:c r="AQ999" s="604" t="n">
        <x:v>0</x:v>
      </x:c>
      <x:c r="AR999" s="604" t="n"/>
      <x:c r="AS999" s="604" t="n">
        <x:v>0</x:v>
      </x:c>
      <x:c r="AT999" s="604" t="n">
        <x:v>0</x:v>
      </x:c>
      <x:c r="AU999" s="604" t="n">
        <x:v>0.75</x:v>
      </x:c>
      <x:c r="AV999" s="604" t="n">
        <x:v>0.95</x:v>
      </x:c>
      <x:c r="AW999" s="604" t="n">
        <x:v>46299.08204853009</x:v>
      </x:c>
      <x:c r="AX999" s="604" t="inlineStr">
        <x:is>
          <x:t xml:space="preserve">https://simondongxiao.github.io/odds/v4/</x:t>
        </x:is>
      </x:c>
      <x:c r="AY999" s="604" t="inlineStr">
        <x:is>
          <x:t xml:space="preserve">V4 Shadow Only；real_money=false；P(EV&gt;0)不是比赛胜率</x:t>
        </x:is>
      </x:c>
    </x:row>
    <x:row r="1000" ht="22" customHeight="1">
      <x:c r="A1000" s="604" t="inlineStr">
        <x:is>
          <x:t xml:space="preserve">2026-10-04</x:t>
        </x:is>
      </x:c>
      <x:c r="B1000" s="604" t="inlineStr">
        <x:is>
          <x:t xml:space="preserve">2026-10-05 05:30</x:t>
        </x:is>
      </x:c>
      <x:c r="C1000" s="604" t="str">
        <x:v>南美系列</x:v>
      </x:c>
      <x:c r="D1000" s="604" t="inlineStr">
        <x:is>
          <x:t xml:space="preserve">联赛</x:t>
        </x:is>
      </x:c>
      <x:c r="E1000" s="604" t="inlineStr">
        <x:is>
          <x:t xml:space="preserve">阿乙</x:t>
        </x:is>
      </x:c>
      <x:c r="F1000" s="604" t="inlineStr">
        <x:is>
          <x:t xml:space="preserve">图库曼圣马丁 vs 甘拿斯亚迪罗</x:t>
        </x:is>
      </x:c>
      <x:c r="G1000" s="604" t="n">
        <x:v>0.92</x:v>
      </x:c>
      <x:c r="H1000" s="604" t="n">
        <x:v>0.5</x:v>
      </x:c>
      <x:c r="I1000" s="604" t="n">
        <x:v>0.84</x:v>
      </x:c>
      <x:c r="J1000" s="604" t="inlineStr">
        <x:is>
          <x:t xml:space="preserve">0.92/0.5/0.84</x:t>
        </x:is>
      </x:c>
      <x:c r="K1000" s="604" t="inlineStr">
        <x:is>
          <x:t xml:space="preserve">V4-B｜EV +0.1479</x:t>
        </x:is>
      </x:c>
      <x:c r="L1000" s="604" t="inlineStr">
        <x:is>
          <x:t xml:space="preserve">图库曼圣马丁</x:t>
        </x:is>
      </x:c>
      <x:c r="M1000" s="604" t="n">
        <x:v>0.5978716294414141</x:v>
      </x:c>
      <x:c r="N1000" s="604" t="inlineStr">
        <x:is>
          <x:t xml:space="preserve">V4纸面入选-B</x:t>
        </x:is>
      </x:c>
      <x:c r="O1000" s="604" t="inlineStr">
        <x:is>
          <x:t xml:space="preserve">1-0</x:t>
        </x:is>
      </x:c>
      <x:c r="P1000" s="604" t="inlineStr">
        <x:is>
          <x:t xml:space="preserve">已结算</x:t>
        </x:is>
      </x:c>
      <x:c r="Q1000" s="645" t="inlineStr">
        <x:is>
          <x:t xml:space="preserve">红</x:t>
        </x:is>
      </x:c>
      <x:c r="R1000" s="604" t="n">
        <x:v>0.92</x:v>
      </x:c>
      <x:c r="S1000" s="604" t="n">
        <x:f>IF(OR(Q1000="",Q1000="待结算"),"",IF(Q1000="红",R1000,IF(Q1000="半红",R1000*0.5,IF(Q1000="走",0,IF(Q1000="半黑",-0.5,-1)))))</x:f>
        <x:v>0.92</x:v>
      </x:c>
      <x:c r="T1000" s="604" t="inlineStr">
        <x:is>
          <x:t xml:space="preserve">https://m.titan007.com/analy/Analysis/2916730.htm</x:t>
        </x:is>
      </x:c>
      <x:c r="U1000" s="646" t="str">
        <x:f>IF(Q1000="","",IF(Q1000="待结算","待结算",IF(Q1000="红","黑",IF(Q1000="半红","半黑",IF(Q1000="走","走",IF(Q1000="半黑","半红","红"))))))</x:f>
        <x:v>黑</x:v>
      </x:c>
      <x:c r="V1000" s="604" t="n">
        <x:f>IF(OR(Q1000="",Q1000="待结算"),"",IF(L1000=LEFT(F1000,FIND(" vs ",F1000)-1),I1000,G1000))</x:f>
        <x:v>0.84</x:v>
      </x:c>
      <x:c r="W1000" s="604" t="n">
        <x:f>IF(OR(U1000="",U1000="待结算"),"",IF(U1000="红",V1000,IF(U1000="半红",V1000*0.5,IF(U1000="走",0,IF(U1000="半黑",-0.5,-1)))))</x:f>
        <x:v>-1</x:v>
      </x:c>
      <x:c r="X1000" s="604" t="inlineStr">
        <x:is>
          <x:t xml:space="preserve">2916730</x:t>
        </x:is>
      </x:c>
      <x:c r="Y1000" s="604" t="inlineStr">
        <x:is>
          <x:t xml:space="preserve">V4</x:t>
        </x:is>
      </x:c>
      <x:c r="Z1000" s="604" t="inlineStr">
        <x:is>
          <x:t xml:space="preserve">prior-2026-10-04-v1</x:t>
        </x:is>
      </x:c>
      <x:c r="AA1000" s="604" t="inlineStr">
        <x:is>
          <x:t xml:space="preserve">B</x:t>
        </x:is>
      </x:c>
      <x:c r="AB1000" s="604" t="n">
        <x:v>0.5978716294414141</x:v>
      </x:c>
      <x:c r="AC1000" s="604" t="n"/>
      <x:c r="AD1000" s="604" t="n"/>
      <x:c r="AE1000" s="604" t="n"/>
      <x:c r="AF1000" s="604" t="n">
        <x:v>0.4021283705585859</x:v>
      </x:c>
      <x:c r="AG1000" s="604" t="n">
        <x:v>0.1479135285275152</x:v>
      </x:c>
      <x:c r="AH1000" s="604" t="n"/>
      <x:c r="AI1000" s="604" t="n"/>
      <x:c r="AJ1000" s="604" t="n">
        <x:v>0.1479135285275152</x:v>
      </x:c>
      <x:c r="AK1000" s="604" t="n"/>
      <x:c r="AL1000" s="604" t="n"/>
      <x:c r="AM1000" s="604" t="n"/>
      <x:c r="AN1000" s="604" t="inlineStr">
        <x:is>
          <x:t xml:space="preserve">EVALUATED</x:t>
        </x:is>
      </x:c>
      <x:c r="AO1000" s="604" t="inlineStr">
        <x:is>
          <x:t xml:space="preserve">GIVING_VALIDATED_EDGE、BUCKET_PRIOR_ONLY、INTENT_INTERPRETATION_ONLY、FFL_OPTIONAL、EXPERT_MARKET</x:t>
        </x:is>
      </x:c>
      <x:c r="AP1000" s="604" t="inlineStr">
        <x:is>
          <x:t xml:space="preserve">957973c754b6d8cf81e1</x:t>
        </x:is>
      </x:c>
      <x:c r="AQ1000" s="604" t="n">
        <x:v>-0.5</x:v>
      </x:c>
      <x:c r="AR1000" s="604" t="n">
        <x:v>0.92</x:v>
      </x:c>
      <x:c r="AS1000" s="604" t="n">
        <x:v>0.5</x:v>
      </x:c>
      <x:c r="AT1000" s="604" t="n">
        <x:v>-0.5</x:v>
      </x:c>
      <x:c r="AU1000" s="604" t="n">
        <x:v>0.92</x:v>
      </x:c>
      <x:c r="AV1000" s="604" t="n">
        <x:v>0.84</x:v>
      </x:c>
      <x:c r="AW1000" s="604" t="n">
        <x:v>46299.08204853009</x:v>
      </x:c>
      <x:c r="AX1000" s="604" t="inlineStr">
        <x:is>
          <x:t xml:space="preserve">https://simondongxiao.github.io/odds/v4/</x:t>
        </x:is>
      </x:c>
      <x:c r="AY1000" s="604" t="inlineStr">
        <x:is>
          <x:t xml:space="preserve">V4 Shadow Only；real_money=false；P(EV&gt;0)不是比赛胜率</x:t>
        </x:is>
      </x:c>
    </x:row>
    <x:row r="1001" ht="22" customHeight="1">
      <x:c r="A1001" s="604" t="inlineStr">
        <x:is>
          <x:t xml:space="preserve">2026-10-04</x:t>
        </x:is>
      </x:c>
      <x:c r="B1001" s="604" t="inlineStr">
        <x:is>
          <x:t xml:space="preserve">2026-10-05 06:00</x:t>
        </x:is>
      </x:c>
      <x:c r="C1001" s="604" t="str">
        <x:v>北美系列</x:v>
      </x:c>
      <x:c r="D1001" s="604" t="inlineStr">
        <x:is>
          <x:t xml:space="preserve">联赛</x:t>
        </x:is>
      </x:c>
      <x:c r="E1001" s="604" t="inlineStr">
        <x:is>
          <x:t xml:space="preserve">美冠联</x:t>
        </x:is>
      </x:c>
      <x:c r="F1001" s="604" t="inlineStr">
        <x:is>
          <x:t xml:space="preserve">新墨西哥联 vs 凤凰重生</x:t>
        </x:is>
      </x:c>
      <x:c r="G1001" s="604" t="n">
        <x:v>1.02</x:v>
      </x:c>
      <x:c r="H1001" s="604" t="n">
        <x:v>0.25</x:v>
      </x:c>
      <x:c r="I1001" s="604" t="n">
        <x:v>0.8</x:v>
      </x:c>
      <x:c r="J1001" s="604" t="inlineStr">
        <x:is>
          <x:t xml:space="preserve">1.02/0.25/0.8</x:t>
        </x:is>
      </x:c>
      <x:c r="K1001" s="604" t="inlineStr">
        <x:is>
          <x:t xml:space="preserve">V4-B｜EV +0.0741</x:t>
        </x:is>
      </x:c>
      <x:c r="L1001" s="604" t="inlineStr">
        <x:is>
          <x:t xml:space="preserve">新墨西哥联</x:t>
        </x:is>
      </x:c>
      <x:c r="M1001" s="604" t="n">
        <x:v>0.5370962954498315</x:v>
      </x:c>
      <x:c r="N1001" s="604" t="inlineStr">
        <x:is>
          <x:t xml:space="preserve">V4纸面入选-B</x:t>
        </x:is>
      </x:c>
      <x:c r="O1001" s="604" t="inlineStr">
        <x:is>
          <x:t xml:space="preserve">2-1</x:t>
        </x:is>
      </x:c>
      <x:c r="P1001" s="604" t="inlineStr">
        <x:is>
          <x:t xml:space="preserve">已结算</x:t>
        </x:is>
      </x:c>
      <x:c r="Q1001" s="645" t="inlineStr">
        <x:is>
          <x:t xml:space="preserve">红</x:t>
        </x:is>
      </x:c>
      <x:c r="R1001" s="604" t="n">
        <x:v>1.02</x:v>
      </x:c>
      <x:c r="S1001" s="604" t="n">
        <x:f>IF(OR(Q1001="",Q1001="待结算"),"",IF(Q1001="红",R1001,IF(Q1001="半红",R1001*0.5,IF(Q1001="走",0,IF(Q1001="半黑",-0.5,-1)))))</x:f>
        <x:v>1.02</x:v>
      </x:c>
      <x:c r="T1001" s="604" t="inlineStr">
        <x:is>
          <x:t xml:space="preserve">https://m.titan007.com/analy/Analysis/2942656.htm</x:t>
        </x:is>
      </x:c>
      <x:c r="U1001" s="646" t="str">
        <x:f>IF(Q1001="","",IF(Q1001="待结算","待结算",IF(Q1001="红","黑",IF(Q1001="半红","半黑",IF(Q1001="走","走",IF(Q1001="半黑","半红","红"))))))</x:f>
        <x:v>黑</x:v>
      </x:c>
      <x:c r="V1001" s="604" t="n">
        <x:f>IF(OR(Q1001="",Q1001="待结算"),"",IF(L1001=LEFT(F1001,FIND(" vs ",F1001)-1),I1001,G1001))</x:f>
        <x:v>0.8</x:v>
      </x:c>
      <x:c r="W1001" s="604" t="n">
        <x:f>IF(OR(U1001="",U1001="待结算"),"",IF(U1001="红",V1001,IF(U1001="半红",V1001*0.5,IF(U1001="走",0,IF(U1001="半黑",-0.5,-1)))))</x:f>
        <x:v>-1</x:v>
      </x:c>
      <x:c r="X1001" s="604" t="inlineStr">
        <x:is>
          <x:t xml:space="preserve">2942656</x:t>
        </x:is>
      </x:c>
      <x:c r="Y1001" s="604" t="inlineStr">
        <x:is>
          <x:t xml:space="preserve">V4</x:t>
        </x:is>
      </x:c>
      <x:c r="Z1001" s="604" t="inlineStr">
        <x:is>
          <x:t xml:space="preserve">prior-2026-10-04-v1</x:t>
        </x:is>
      </x:c>
      <x:c r="AA1001" s="604" t="inlineStr">
        <x:is>
          <x:t xml:space="preserve">B</x:t>
        </x:is>
      </x:c>
      <x:c r="AB1001" s="604" t="n">
        <x:v>0.4683252310354681</x:v>
      </x:c>
      <x:c r="AC1001" s="604" t="n"/>
      <x:c r="AD1001" s="604" t="n"/>
      <x:c r="AE1001" s="604" t="n">
        <x:v>0.2560846723277658</x:v>
      </x:c>
      <x:c r="AF1001" s="604" t="n">
        <x:v>0.2755900966367661</x:v>
      </x:c>
      <x:c r="AG1001" s="604" t="n">
        <x:v>0.07405930285552842</x:v>
      </x:c>
      <x:c r="AH1001" s="604" t="n"/>
      <x:c r="AI1001" s="604" t="n"/>
      <x:c r="AJ1001" s="604" t="n">
        <x:v>0.07405930285552842</x:v>
      </x:c>
      <x:c r="AK1001" s="604" t="n"/>
      <x:c r="AL1001" s="604" t="n"/>
      <x:c r="AM1001" s="604" t="n"/>
      <x:c r="AN1001" s="604" t="inlineStr">
        <x:is>
          <x:t xml:space="preserve">EVALUATED</x:t>
        </x:is>
      </x:c>
      <x:c r="AO1001" s="604" t="inlineStr">
        <x:is>
          <x:t xml:space="preserve">GIVING_VALIDATED_EDGE、BUCKET_PRIOR_ONLY、INTENT_INTERPRETATION_ONLY、FFL_OPTIONAL、EXPERT_MARKET</x:t>
        </x:is>
      </x:c>
      <x:c r="AP1001" s="604" t="inlineStr">
        <x:is>
          <x:t xml:space="preserve">8f339057b71b929212eb</x:t>
        </x:is>
      </x:c>
      <x:c r="AQ1001" s="604" t="n">
        <x:v>-0.25</x:v>
      </x:c>
      <x:c r="AR1001" s="604" t="n">
        <x:v>1.02</x:v>
      </x:c>
      <x:c r="AS1001" s="604" t="n">
        <x:v>0.25</x:v>
      </x:c>
      <x:c r="AT1001" s="604" t="n">
        <x:v>-0.25</x:v>
      </x:c>
      <x:c r="AU1001" s="604" t="n">
        <x:v>1.02</x:v>
      </x:c>
      <x:c r="AV1001" s="604" t="n">
        <x:v>0.8</x:v>
      </x:c>
      <x:c r="AW1001" s="604" t="n">
        <x:v>46299.08204853009</x:v>
      </x:c>
      <x:c r="AX1001" s="604" t="inlineStr">
        <x:is>
          <x:t xml:space="preserve">https://simondongxiao.github.io/odds/v4/</x:t>
        </x:is>
      </x:c>
      <x:c r="AY1001" s="604" t="inlineStr">
        <x:is>
          <x:t xml:space="preserve">V4 Shadow Only；real_money=false；P(EV&gt;0)不是比赛胜率</x:t>
        </x:is>
      </x:c>
    </x:row>
    <x:row r="1002" ht="22" customHeight="1">
      <x:c r="A1002" s="604" t="inlineStr">
        <x:is>
          <x:t xml:space="preserve">2026-10-04</x:t>
        </x:is>
      </x:c>
      <x:c r="B1002" s="604" t="inlineStr">
        <x:is>
          <x:t xml:space="preserve">2026-10-05 06:00</x:t>
        </x:is>
      </x:c>
      <x:c r="C1002" s="604" t="str">
        <x:v>北美系列</x:v>
      </x:c>
      <x:c r="D1002" s="604" t="inlineStr">
        <x:is>
          <x:t xml:space="preserve">联赛</x:t>
        </x:is>
      </x:c>
      <x:c r="E1002" s="604" t="inlineStr">
        <x:is>
          <x:t xml:space="preserve">中北美国联</x:t>
        </x:is>
      </x:c>
      <x:c r="F1002" s="604" t="inlineStr">
        <x:is>
          <x:t xml:space="preserve">特立尼达和多巴哥 vs 库拉索</x:t>
        </x:is>
      </x:c>
      <x:c r="G1002" s="604" t="n">
        <x:v>0.8</x:v>
      </x:c>
      <x:c r="H1002" s="604" t="n">
        <x:v>-1.25</x:v>
      </x:c>
      <x:c r="I1002" s="604" t="n">
        <x:v>0.96</x:v>
      </x:c>
      <x:c r="J1002" s="604" t="inlineStr">
        <x:is>
          <x:t xml:space="preserve">0.8/-1.25/0.96</x:t>
        </x:is>
      </x:c>
      <x:c r="K1002" s="604" t="inlineStr">
        <x:is>
          <x:t xml:space="preserve">V4-B｜EV +0.7715</x:t>
        </x:is>
      </x:c>
      <x:c r="L1002" s="604" t="inlineStr">
        <x:is>
          <x:t xml:space="preserve">特立尼达和多巴哥</x:t>
        </x:is>
      </x:c>
      <x:c r="M1002" s="604" t="n">
        <x:v>0.9926031912610277</x:v>
      </x:c>
      <x:c r="N1002" s="604" t="inlineStr">
        <x:is>
          <x:t xml:space="preserve">V4纸面入选-B</x:t>
        </x:is>
      </x:c>
      <x:c r="O1002" s="604" t="inlineStr">
        <x:is>
          <x:t xml:space="preserve">1-1</x:t>
        </x:is>
      </x:c>
      <x:c r="P1002" s="604" t="inlineStr">
        <x:is>
          <x:t xml:space="preserve">已结算</x:t>
        </x:is>
      </x:c>
      <x:c r="Q1002" s="645" t="inlineStr">
        <x:is>
          <x:t xml:space="preserve">红</x:t>
        </x:is>
      </x:c>
      <x:c r="R1002" s="604" t="n">
        <x:v>0.8</x:v>
      </x:c>
      <x:c r="S1002" s="604" t="n">
        <x:f>IF(OR(Q1002="",Q1002="待结算"),"",IF(Q1002="红",R1002,IF(Q1002="半红",R1002*0.5,IF(Q1002="走",0,IF(Q1002="半黑",-0.5,-1)))))</x:f>
        <x:v>0.8</x:v>
      </x:c>
      <x:c r="T1002" s="604" t="inlineStr">
        <x:is>
          <x:t xml:space="preserve">https://m.titan007.com/analy/Analysis/3092433.htm</x:t>
        </x:is>
      </x:c>
      <x:c r="U1002" s="646" t="str">
        <x:f>IF(Q1002="","",IF(Q1002="待结算","待结算",IF(Q1002="红","黑",IF(Q1002="半红","半黑",IF(Q1002="走","走",IF(Q1002="半黑","半红","红"))))))</x:f>
        <x:v>黑</x:v>
      </x:c>
      <x:c r="V1002" s="604" t="n">
        <x:f>IF(OR(Q1002="",Q1002="待结算"),"",IF(L1002=LEFT(F1002,FIND(" vs ",F1002)-1),I1002,G1002))</x:f>
        <x:v>0.96</x:v>
      </x:c>
      <x:c r="W1002" s="604" t="n">
        <x:f>IF(OR(U1002="",U1002="待结算"),"",IF(U1002="红",V1002,IF(U1002="半红",V1002*0.5,IF(U1002="走",0,IF(U1002="半黑",-0.5,-1)))))</x:f>
        <x:v>-1</x:v>
      </x:c>
      <x:c r="X1002" s="604" t="inlineStr">
        <x:is>
          <x:t xml:space="preserve">3092433</x:t>
        </x:is>
      </x:c>
      <x:c r="Y1002" s="604" t="inlineStr">
        <x:is>
          <x:t xml:space="preserve">V4</x:t>
        </x:is>
      </x:c>
      <x:c r="Z1002" s="604" t="inlineStr">
        <x:is>
          <x:t xml:space="preserve">prior-2026-10-04-v1</x:t>
        </x:is>
      </x:c>
      <x:c r="AA1002" s="604" t="inlineStr">
        <x:is>
          <x:t xml:space="preserve">B</x:t>
        </x:is>
      </x:c>
      <x:c r="AB1002" s="604" t="n">
        <x:v>0.9540700753636269</x:v>
      </x:c>
      <x:c r="AC1002" s="604" t="n">
        <x:v>0.03867615596160413</x:v>
      </x:c>
      <x:c r="AD1002" s="604" t="n"/>
      <x:c r="AE1002" s="604" t="n"/>
      <x:c r="AF1002" s="604" t="n">
        <x:v>0.00725376867476906</x:v>
      </x:c>
      <x:c r="AG1002" s="604" t="n">
        <x:v>0.7714727540007742</x:v>
      </x:c>
      <x:c r="AH1002" s="604" t="n"/>
      <x:c r="AI1002" s="604" t="n"/>
      <x:c r="AJ1002" s="604" t="n">
        <x:v>0.7714727540007742</x:v>
      </x:c>
      <x:c r="AK1002" s="604" t="n"/>
      <x:c r="AL1002" s="604" t="n"/>
      <x:c r="AM1002" s="604" t="n"/>
      <x:c r="AN1002" s="604" t="inlineStr">
        <x:is>
          <x:t xml:space="preserve">EVALUATED</x:t>
        </x:is>
      </x:c>
      <x:c r="AO1002" s="604" t="inlineStr">
        <x:is>
          <x:t xml:space="preserve">RECEIVING_VALIDATED_EDGE、BUCKET_PRIOR_ONLY、INTENT_INTERPRETATION_ONLY、FFL_OPTIONAL、EXPERT_MARKET</x:t>
        </x:is>
      </x:c>
      <x:c r="AP1002" s="604" t="inlineStr">
        <x:is>
          <x:t xml:space="preserve">8c864a565ff78a579c11</x:t>
        </x:is>
      </x:c>
      <x:c r="AQ1002" s="604" t="n">
        <x:v>1.25</x:v>
      </x:c>
      <x:c r="AR1002" s="604" t="n">
        <x:v>0.8</x:v>
      </x:c>
      <x:c r="AS1002" s="604" t="n">
        <x:v>-1.25</x:v>
      </x:c>
      <x:c r="AT1002" s="604" t="n">
        <x:v>1.25</x:v>
      </x:c>
      <x:c r="AU1002" s="604" t="n">
        <x:v>0.8</x:v>
      </x:c>
      <x:c r="AV1002" s="604" t="n">
        <x:v>0.96</x:v>
      </x:c>
      <x:c r="AW1002" s="604" t="n">
        <x:v>46299.08204853009</x:v>
      </x:c>
      <x:c r="AX1002" s="604" t="inlineStr">
        <x:is>
          <x:t xml:space="preserve">https://simondongxiao.github.io/odds/v4/</x:t>
        </x:is>
      </x:c>
      <x:c r="AY1002" s="604" t="inlineStr">
        <x:is>
          <x:t xml:space="preserve">V4 Shadow Only；real_money=false；P(EV&gt;0)不是比赛胜率</x:t>
        </x:is>
      </x:c>
    </x:row>
    <x:row r="1003" ht="22" customHeight="1">
      <x:c r="A1003" s="604" t="inlineStr">
        <x:is>
          <x:t xml:space="preserve">2026-10-04</x:t>
        </x:is>
      </x:c>
      <x:c r="B1003" s="604" t="inlineStr">
        <x:is>
          <x:t xml:space="preserve">2026-10-05 06:00</x:t>
        </x:is>
      </x:c>
      <x:c r="C1003" s="604" t="str">
        <x:v>其他系列</x:v>
      </x:c>
      <x:c r="D1003" s="604" t="inlineStr">
        <x:is>
          <x:t xml:space="preserve">联赛</x:t>
        </x:is>
      </x:c>
      <x:c r="E1003" s="604" t="inlineStr">
        <x:is>
          <x:t xml:space="preserve">牙买超</x:t>
        </x:is>
      </x:c>
      <x:c r="F1003" s="604" t="inlineStr">
        <x:is>
          <x:t xml:space="preserve">磨力尼斯联 vs 竞技联队</x:t>
        </x:is>
      </x:c>
      <x:c r="G1003" s="604" t="n">
        <x:v>0.74</x:v>
      </x:c>
      <x:c r="H1003" s="604" t="n">
        <x:v>-0.25</x:v>
      </x:c>
      <x:c r="I1003" s="604" t="n">
        <x:v>0.96</x:v>
      </x:c>
      <x:c r="J1003" s="604" t="inlineStr">
        <x:is>
          <x:t xml:space="preserve">0.74/-0.25/0.96</x:t>
        </x:is>
      </x:c>
      <x:c r="K1003" s="604" t="inlineStr">
        <x:is>
          <x:t xml:space="preserve">V4-B｜EV +0.1134</x:t>
        </x:is>
      </x:c>
      <x:c r="L1003" s="604" t="inlineStr">
        <x:is>
          <x:t xml:space="preserve">磨力尼斯联</x:t>
        </x:is>
      </x:c>
      <x:c r="M1003" s="604" t="n">
        <x:v>0.6496232709751008</x:v>
      </x:c>
      <x:c r="N1003" s="604" t="inlineStr">
        <x:is>
          <x:t xml:space="preserve">V4纸面入选-B</x:t>
        </x:is>
      </x:c>
      <x:c r="O1003" s="604" t="inlineStr">
        <x:is>
          <x:t xml:space="preserve">0-6</x:t>
        </x:is>
      </x:c>
      <x:c r="P1003" s="604" t="inlineStr">
        <x:is>
          <x:t xml:space="preserve">已结算</x:t>
        </x:is>
      </x:c>
      <x:c r="Q1003" s="646" t="inlineStr">
        <x:is>
          <x:t xml:space="preserve">黑</x:t>
        </x:is>
      </x:c>
      <x:c r="R1003" s="604" t="n">
        <x:v>0.74</x:v>
      </x:c>
      <x:c r="S1003" s="604" t="n">
        <x:f>IF(OR(Q1003="",Q1003="待结算"),"",IF(Q1003="红",R1003,IF(Q1003="半红",R1003*0.5,IF(Q1003="走",0,IF(Q1003="半黑",-0.5,-1)))))</x:f>
        <x:v>-1</x:v>
      </x:c>
      <x:c r="T1003" s="604" t="inlineStr">
        <x:is>
          <x:t xml:space="preserve">https://m.titan007.com/analy/Analysis/3094000.htm</x:t>
        </x:is>
      </x:c>
      <x:c r="U1003" s="645" t="str">
        <x:f>IF(Q1003="","",IF(Q1003="待结算","待结算",IF(Q1003="红","黑",IF(Q1003="半红","半黑",IF(Q1003="走","走",IF(Q1003="半黑","半红","红"))))))</x:f>
        <x:v>红</x:v>
      </x:c>
      <x:c r="V1003" s="604" t="n">
        <x:f>IF(OR(Q1003="",Q1003="待结算"),"",IF(L1003=LEFT(F1003,FIND(" vs ",F1003)-1),I1003,G1003))</x:f>
        <x:v>0.96</x:v>
      </x:c>
      <x:c r="W1003" s="604" t="n">
        <x:f>IF(OR(U1003="",U1003="待结算"),"",IF(U1003="红",V1003,IF(U1003="半红",V1003*0.5,IF(U1003="走",0,IF(U1003="半黑",-0.5,-1)))))</x:f>
        <x:v>0.96</x:v>
      </x:c>
      <x:c r="X1003" s="604" t="inlineStr">
        <x:is>
          <x:t xml:space="preserve">3094000</x:t>
        </x:is>
      </x:c>
      <x:c r="Y1003" s="604" t="inlineStr">
        <x:is>
          <x:t xml:space="preserve">V4</x:t>
        </x:is>
      </x:c>
      <x:c r="Z1003" s="604" t="inlineStr">
        <x:is>
          <x:t xml:space="preserve">prior-2026-10-04-v1</x:t>
        </x:is>
      </x:c>
      <x:c r="AA1003" s="604" t="inlineStr">
        <x:is>
          <x:t xml:space="preserve">B</x:t>
        </x:is>
      </x:c>
      <x:c r="AB1003" s="604" t="n">
        <x:v>0.4349557830475078</x:v>
      </x:c>
      <x:c r="AC1003" s="604" t="n">
        <x:v>0.2602624389515333</x:v>
      </x:c>
      <x:c r="AD1003" s="604" t="n"/>
      <x:c r="AE1003" s="604" t="n"/>
      <x:c r="AF1003" s="604" t="n">
        <x:v>0.3047817780009588</x:v>
      </x:c>
      <x:c r="AG1003" s="604" t="n">
        <x:v>0.1133826038662643</x:v>
      </x:c>
      <x:c r="AH1003" s="604" t="n"/>
      <x:c r="AI1003" s="604" t="n"/>
      <x:c r="AJ1003" s="604" t="n">
        <x:v>0.1133826038662643</x:v>
      </x:c>
      <x:c r="AK1003" s="604" t="n"/>
      <x:c r="AL1003" s="604" t="n"/>
      <x:c r="AM1003" s="604" t="n"/>
      <x:c r="AN1003" s="604" t="inlineStr">
        <x:is>
          <x:t xml:space="preserve">EVALUATED</x:t>
        </x:is>
      </x:c>
      <x:c r="AO1003" s="604" t="inlineStr">
        <x:is>
          <x:t xml:space="preserve">RECEIVING_VALIDATED_EDGE、BUCKET_PRIOR_ONLY、INTENT_INTERPRETATION_ONLY、FFL_OPTIONAL、EXPERT_MARKET</x:t>
        </x:is>
      </x:c>
      <x:c r="AP1003" s="604" t="inlineStr">
        <x:is>
          <x:t xml:space="preserve">b3787f28db853e24ae45</x:t>
        </x:is>
      </x:c>
      <x:c r="AQ1003" s="604" t="n">
        <x:v>0.25</x:v>
      </x:c>
      <x:c r="AR1003" s="604" t="n">
        <x:v>0.74</x:v>
      </x:c>
      <x:c r="AS1003" s="604" t="n">
        <x:v>-0.25</x:v>
      </x:c>
      <x:c r="AT1003" s="604" t="n">
        <x:v>0.25</x:v>
      </x:c>
      <x:c r="AU1003" s="604" t="n">
        <x:v>0.74</x:v>
      </x:c>
      <x:c r="AV1003" s="604" t="n">
        <x:v>0.96</x:v>
      </x:c>
      <x:c r="AW1003" s="604" t="n">
        <x:v>46299.08204853009</x:v>
      </x:c>
      <x:c r="AX1003" s="604" t="inlineStr">
        <x:is>
          <x:t xml:space="preserve">https://simondongxiao.github.io/odds/v4/</x:t>
        </x:is>
      </x:c>
      <x:c r="AY1003" s="604" t="inlineStr">
        <x:is>
          <x:t xml:space="preserve">V4 Shadow Only；real_money=false；P(EV&gt;0)不是比赛胜率</x:t>
        </x:is>
      </x:c>
    </x:row>
    <x:row r="1004" ht="22" customHeight="1">
      <x:c r="A1004" s="604" t="inlineStr">
        <x:is>
          <x:t xml:space="preserve">2026-10-04</x:t>
        </x:is>
      </x:c>
      <x:c r="B1004" s="604" t="inlineStr">
        <x:is>
          <x:t xml:space="preserve">2026-10-05 06:15</x:t>
        </x:is>
      </x:c>
      <x:c r="C1004" s="604" t="str">
        <x:v>南美系列</x:v>
      </x:c>
      <x:c r="D1004" s="604" t="inlineStr">
        <x:is>
          <x:t xml:space="preserve">联赛</x:t>
        </x:is>
      </x:c>
      <x:c r="E1004" s="604" t="inlineStr">
        <x:is>
          <x:t xml:space="preserve">阿甲</x:t>
        </x:is>
      </x:c>
      <x:c r="F1004" s="604" t="inlineStr">
        <x:is>
          <x:t xml:space="preserve">阿根廷青年人 vs 泰格雷</x:t>
        </x:is>
      </x:c>
      <x:c r="G1004" s="604" t="n">
        <x:v>0.82</x:v>
      </x:c>
      <x:c r="H1004" s="604" t="n">
        <x:v>0.5</x:v>
      </x:c>
      <x:c r="I1004" s="604" t="n">
        <x:v>1.06</x:v>
      </x:c>
      <x:c r="J1004" s="604" t="inlineStr">
        <x:is>
          <x:t xml:space="preserve">0.82/0.5/1.06</x:t>
        </x:is>
      </x:c>
      <x:c r="K1004" s="604" t="inlineStr">
        <x:is>
          <x:t xml:space="preserve">V4-A｜EV +0.1948</x:t>
        </x:is>
      </x:c>
      <x:c r="L1004" s="604" t="inlineStr">
        <x:is>
          <x:t xml:space="preserve">阿根廷青年人</x:t>
        </x:is>
      </x:c>
      <x:c r="M1004" s="604" t="n">
        <x:v>0.6564574098681505</x:v>
      </x:c>
      <x:c r="N1004" s="604" t="inlineStr">
        <x:is>
          <x:t xml:space="preserve">V4纸面入选-A</x:t>
        </x:is>
      </x:c>
      <x:c r="O1004" s="604" t="inlineStr">
        <x:is>
          <x:t xml:space="preserve">2-1</x:t>
        </x:is>
      </x:c>
      <x:c r="P1004" s="604" t="inlineStr">
        <x:is>
          <x:t xml:space="preserve">已结算</x:t>
        </x:is>
      </x:c>
      <x:c r="Q1004" s="645" t="inlineStr">
        <x:is>
          <x:t xml:space="preserve">红</x:t>
        </x:is>
      </x:c>
      <x:c r="R1004" s="604" t="n">
        <x:v>0.82</x:v>
      </x:c>
      <x:c r="S1004" s="604" t="n">
        <x:f>IF(OR(Q1004="",Q1004="待结算"),"",IF(Q1004="红",R1004,IF(Q1004="半红",R1004*0.5,IF(Q1004="走",0,IF(Q1004="半黑",-0.5,-1)))))</x:f>
        <x:v>0.82</x:v>
      </x:c>
      <x:c r="T1004" s="604" t="inlineStr">
        <x:is>
          <x:t xml:space="preserve">https://m.titan007.com/analy/Analysis/2962653.htm</x:t>
        </x:is>
      </x:c>
      <x:c r="U1004" s="646" t="str">
        <x:f>IF(Q1004="","",IF(Q1004="待结算","待结算",IF(Q1004="红","黑",IF(Q1004="半红","半黑",IF(Q1004="走","走",IF(Q1004="半黑","半红","红"))))))</x:f>
        <x:v>黑</x:v>
      </x:c>
      <x:c r="V1004" s="604" t="n">
        <x:f>IF(OR(Q1004="",Q1004="待结算"),"",IF(L1004=LEFT(F1004,FIND(" vs ",F1004)-1),I1004,G1004))</x:f>
        <x:v>1.06</x:v>
      </x:c>
      <x:c r="W1004" s="604" t="n">
        <x:f>IF(OR(U1004="",U1004="待结算"),"",IF(U1004="红",V1004,IF(U1004="半红",V1004*0.5,IF(U1004="走",0,IF(U1004="半黑",-0.5,-1)))))</x:f>
        <x:v>-1</x:v>
      </x:c>
      <x:c r="X1004" s="604" t="inlineStr">
        <x:is>
          <x:t xml:space="preserve">2962653</x:t>
        </x:is>
      </x:c>
      <x:c r="Y1004" s="604" t="inlineStr">
        <x:is>
          <x:t xml:space="preserve">V4</x:t>
        </x:is>
      </x:c>
      <x:c r="Z1004" s="604" t="inlineStr">
        <x:is>
          <x:t xml:space="preserve">prior-2026-10-04-v1</x:t>
        </x:is>
      </x:c>
      <x:c r="AA1004" s="604" t="inlineStr">
        <x:is>
          <x:t xml:space="preserve">A</x:t>
        </x:is>
      </x:c>
      <x:c r="AB1004" s="604" t="n">
        <x:v>0.6564574098681505</x:v>
      </x:c>
      <x:c r="AC1004" s="604" t="n"/>
      <x:c r="AD1004" s="604" t="n"/>
      <x:c r="AE1004" s="604" t="n"/>
      <x:c r="AF1004" s="604" t="n">
        <x:v>0.3435425901318496</x:v>
      </x:c>
      <x:c r="AG1004" s="604" t="n">
        <x:v>0.1947524859600337</x:v>
      </x:c>
      <x:c r="AH1004" s="604" t="n"/>
      <x:c r="AI1004" s="604" t="n"/>
      <x:c r="AJ1004" s="604" t="n">
        <x:v>0.1947524859600337</x:v>
      </x:c>
      <x:c r="AK1004" s="604" t="n"/>
      <x:c r="AL1004" s="604" t="n"/>
      <x:c r="AM1004" s="604" t="n"/>
      <x:c r="AN1004" s="604" t="inlineStr">
        <x:is>
          <x:t xml:space="preserve">EVALUATED</x:t>
        </x:is>
      </x:c>
      <x:c r="AO1004" s="604" t="inlineStr">
        <x:is>
          <x:t xml:space="preserve">GIVING_VALIDATED_EDGE、BUCKET_PRIOR_ONLY、INTENT_INTERPRETATION_ONLY、FFL_OPTIONAL、EXPERT_MARKET</x:t>
        </x:is>
      </x:c>
      <x:c r="AP1004" s="604" t="inlineStr">
        <x:is>
          <x:t xml:space="preserve">4cf86207a485f3f5ee77</x:t>
        </x:is>
      </x:c>
      <x:c r="AQ1004" s="604" t="n">
        <x:v>-0.5</x:v>
      </x:c>
      <x:c r="AR1004" s="604" t="n">
        <x:v>0.82</x:v>
      </x:c>
      <x:c r="AS1004" s="604" t="n">
        <x:v>0.5</x:v>
      </x:c>
      <x:c r="AT1004" s="604" t="n">
        <x:v>-0.5</x:v>
      </x:c>
      <x:c r="AU1004" s="604" t="n">
        <x:v>0.82</x:v>
      </x:c>
      <x:c r="AV1004" s="604" t="n">
        <x:v>1.06</x:v>
      </x:c>
      <x:c r="AW1004" s="604" t="n">
        <x:v>46299.08204853009</x:v>
      </x:c>
      <x:c r="AX1004" s="604" t="inlineStr">
        <x:is>
          <x:t xml:space="preserve">https://simondongxiao.github.io/odds/v4/</x:t>
        </x:is>
      </x:c>
      <x:c r="AY1004" s="604" t="inlineStr">
        <x:is>
          <x:t xml:space="preserve">V4 Shadow Only；real_money=false；P(EV&gt;0)不是比赛胜率</x:t>
        </x:is>
      </x:c>
    </x:row>
    <x:row r="1005" ht="22" customHeight="1">
      <x:c r="A1005" s="604" t="inlineStr">
        <x:is>
          <x:t xml:space="preserve">2026-10-04</x:t>
        </x:is>
      </x:c>
      <x:c r="B1005" s="604" t="inlineStr">
        <x:is>
          <x:t xml:space="preserve">2026-10-05 06:25</x:t>
        </x:is>
      </x:c>
      <x:c r="C1005" s="604" t="str">
        <x:v>南美系列</x:v>
      </x:c>
      <x:c r="D1005" s="604" t="inlineStr">
        <x:is>
          <x:t xml:space="preserve">联赛</x:t>
        </x:is>
      </x:c>
      <x:c r="E1005" s="604" t="inlineStr">
        <x:is>
          <x:t xml:space="preserve">乌拉甲秋</x:t>
        </x:is>
      </x:c>
      <x:c r="F1005" s="604" t="inlineStr">
        <x:is>
          <x:t xml:space="preserve">蒙特维多竞技 vs 佩纳罗尔</x:t>
        </x:is>
      </x:c>
      <x:c r="G1005" s="604" t="n">
        <x:v>0.72</x:v>
      </x:c>
      <x:c r="H1005" s="604" t="n">
        <x:v>-0.5</x:v>
      </x:c>
      <x:c r="I1005" s="604" t="n">
        <x:v>0.98</x:v>
      </x:c>
      <x:c r="J1005" s="604" t="inlineStr">
        <x:is>
          <x:t xml:space="preserve">0.72/-0.5/0.98</x:t>
        </x:is>
      </x:c>
      <x:c r="K1005" s="604" t="inlineStr">
        <x:is>
          <x:t xml:space="preserve">V4-B｜EV +0.3004</x:t>
        </x:is>
      </x:c>
      <x:c r="L1005" s="604" t="inlineStr">
        <x:is>
          <x:t xml:space="preserve">蒙特维多竞技</x:t>
        </x:is>
      </x:c>
      <x:c r="M1005" s="604" t="n">
        <x:v>0.7560639229115425</x:v>
      </x:c>
      <x:c r="N1005" s="604" t="inlineStr">
        <x:is>
          <x:t xml:space="preserve">V4纸面入选-B</x:t>
        </x:is>
      </x:c>
      <x:c r="O1005" s="604" t="inlineStr">
        <x:is>
          <x:t xml:space="preserve">0-1</x:t>
        </x:is>
      </x:c>
      <x:c r="P1005" s="604" t="inlineStr">
        <x:is>
          <x:t xml:space="preserve">已结算</x:t>
        </x:is>
      </x:c>
      <x:c r="Q1005" s="646" t="inlineStr">
        <x:is>
          <x:t xml:space="preserve">黑</x:t>
        </x:is>
      </x:c>
      <x:c r="R1005" s="604" t="n">
        <x:v>0.72</x:v>
      </x:c>
      <x:c r="S1005" s="604" t="n">
        <x:f>IF(OR(Q1005="",Q1005="待结算"),"",IF(Q1005="红",R1005,IF(Q1005="半红",R1005*0.5,IF(Q1005="走",0,IF(Q1005="半黑",-0.5,-1)))))</x:f>
        <x:v>-1</x:v>
      </x:c>
      <x:c r="T1005" s="604" t="inlineStr">
        <x:is>
          <x:t xml:space="preserve">https://m.titan007.com/analy/Analysis/3094920.htm</x:t>
        </x:is>
      </x:c>
      <x:c r="U1005" s="645" t="str">
        <x:f>IF(Q1005="","",IF(Q1005="待结算","待结算",IF(Q1005="红","黑",IF(Q1005="半红","半黑",IF(Q1005="走","走",IF(Q1005="半黑","半红","红"))))))</x:f>
        <x:v>红</x:v>
      </x:c>
      <x:c r="V1005" s="604" t="n">
        <x:f>IF(OR(Q1005="",Q1005="待结算"),"",IF(L1005=LEFT(F1005,FIND(" vs ",F1005)-1),I1005,G1005))</x:f>
        <x:v>0.98</x:v>
      </x:c>
      <x:c r="W1005" s="604" t="n">
        <x:f>IF(OR(U1005="",U1005="待结算"),"",IF(U1005="红",V1005,IF(U1005="半红",V1005*0.5,IF(U1005="走",0,IF(U1005="半黑",-0.5,-1)))))</x:f>
        <x:v>0.98</x:v>
      </x:c>
      <x:c r="X1005" s="604" t="inlineStr">
        <x:is>
          <x:t xml:space="preserve">3094920</x:t>
        </x:is>
      </x:c>
      <x:c r="Y1005" s="604" t="inlineStr">
        <x:is>
          <x:t xml:space="preserve">V4</x:t>
        </x:is>
      </x:c>
      <x:c r="Z1005" s="604" t="inlineStr">
        <x:is>
          <x:t xml:space="preserve">prior-2026-10-04-v1</x:t>
        </x:is>
      </x:c>
      <x:c r="AA1005" s="604" t="inlineStr">
        <x:is>
          <x:t xml:space="preserve">B</x:t>
        </x:is>
      </x:c>
      <x:c r="AB1005" s="604" t="n">
        <x:v>0.7560639229115425</x:v>
      </x:c>
      <x:c r="AC1005" s="604" t="n"/>
      <x:c r="AD1005" s="604" t="n"/>
      <x:c r="AE1005" s="604" t="n"/>
      <x:c r="AF1005" s="604" t="n">
        <x:v>0.2439360770884575</x:v>
      </x:c>
      <x:c r="AG1005" s="604" t="n">
        <x:v>0.300429947407853</x:v>
      </x:c>
      <x:c r="AH1005" s="604" t="n"/>
      <x:c r="AI1005" s="604" t="n"/>
      <x:c r="AJ1005" s="604" t="n">
        <x:v>0.300429947407853</x:v>
      </x:c>
      <x:c r="AK1005" s="604" t="n"/>
      <x:c r="AL1005" s="604" t="n"/>
      <x:c r="AM1005" s="604" t="n"/>
      <x:c r="AN1005" s="604" t="inlineStr">
        <x:is>
          <x:t xml:space="preserve">EVALUATED</x:t>
        </x:is>
      </x:c>
      <x:c r="AO1005" s="604" t="inlineStr">
        <x:is>
          <x:t xml:space="preserve">RECEIVING_VALIDATED_EDGE、BUCKET_PRIOR_ONLY、INTENT_INTERPRETATION_ONLY、FFL_OPTIONAL、EXPERT_MARKET</x:t>
        </x:is>
      </x:c>
      <x:c r="AP1005" s="604" t="inlineStr">
        <x:is>
          <x:t xml:space="preserve">aaade532a457ad66d4c3</x:t>
        </x:is>
      </x:c>
      <x:c r="AQ1005" s="604" t="n">
        <x:v>0.5</x:v>
      </x:c>
      <x:c r="AR1005" s="604" t="n">
        <x:v>0.72</x:v>
      </x:c>
      <x:c r="AS1005" s="604" t="n">
        <x:v>-0.5</x:v>
      </x:c>
      <x:c r="AT1005" s="604" t="n">
        <x:v>0.5</x:v>
      </x:c>
      <x:c r="AU1005" s="604" t="n">
        <x:v>0.72</x:v>
      </x:c>
      <x:c r="AV1005" s="604" t="n">
        <x:v>0.98</x:v>
      </x:c>
      <x:c r="AW1005" s="604" t="n">
        <x:v>46299.08204853009</x:v>
      </x:c>
      <x:c r="AX1005" s="604" t="inlineStr">
        <x:is>
          <x:t xml:space="preserve">https://simondongxiao.github.io/odds/v4/</x:t>
        </x:is>
      </x:c>
      <x:c r="AY1005" s="604" t="inlineStr">
        <x:is>
          <x:t xml:space="preserve">V4 Shadow Only；real_money=false；P(EV&gt;0)不是比赛胜率</x:t>
        </x:is>
      </x:c>
    </x:row>
    <x:row r="1006" ht="22" customHeight="1">
      <x:c r="A1006" s="604" t="inlineStr">
        <x:is>
          <x:t xml:space="preserve">2026-10-04</x:t>
        </x:is>
      </x:c>
      <x:c r="B1006" s="604" t="inlineStr">
        <x:is>
          <x:t xml:space="preserve">2026-10-05 07:00</x:t>
        </x:is>
      </x:c>
      <x:c r="C1006" s="604" t="str">
        <x:v>北美系列</x:v>
      </x:c>
      <x:c r="D1006" s="604" t="inlineStr">
        <x:is>
          <x:t xml:space="preserve">联赛</x:t>
        </x:is>
      </x:c>
      <x:c r="E1006" s="604" t="inlineStr">
        <x:is>
          <x:t xml:space="preserve">危地甲春</x:t>
        </x:is>
      </x:c>
      <x:c r="F1006" s="604" t="inlineStr">
        <x:is>
          <x:t xml:space="preserve">瓜斯塔托亚 vs 奥罗拉</x:t>
        </x:is>
      </x:c>
      <x:c r="G1006" s="604" t="n">
        <x:v>0.9399999999999999</x:v>
      </x:c>
      <x:c r="H1006" s="604" t="n">
        <x:v>1.25</x:v>
      </x:c>
      <x:c r="I1006" s="604" t="n">
        <x:v>0.76</x:v>
      </x:c>
      <x:c r="J1006" s="604" t="inlineStr">
        <x:is>
          <x:t xml:space="preserve">0.94/1.25/0.76</x:t>
        </x:is>
      </x:c>
      <x:c r="K1006" s="604" t="inlineStr">
        <x:is>
          <x:t xml:space="preserve">V4-B｜EV +0.1800</x:t>
        </x:is>
      </x:c>
      <x:c r="L1006" s="604" t="inlineStr">
        <x:is>
          <x:t xml:space="preserve">瓜斯塔托亚</x:t>
        </x:is>
      </x:c>
      <x:c r="M1006" s="604" t="n">
        <x:v>0.6211741625524164</x:v>
      </x:c>
      <x:c r="N1006" s="604" t="inlineStr">
        <x:is>
          <x:t xml:space="preserve">V4纸面入选-B</x:t>
        </x:is>
      </x:c>
      <x:c r="O1006" s="604" t="inlineStr">
        <x:is>
          <x:t xml:space="preserve">2-1</x:t>
        </x:is>
      </x:c>
      <x:c r="P1006" s="604" t="inlineStr">
        <x:is>
          <x:t xml:space="preserve">已结算</x:t>
        </x:is>
      </x:c>
      <x:c r="Q1006" s="648" t="inlineStr">
        <x:is>
          <x:t xml:space="preserve">半黑</x:t>
        </x:is>
      </x:c>
      <x:c r="R1006" s="604" t="n">
        <x:v>0.9399999999999999</x:v>
      </x:c>
      <x:c r="S1006" s="604" t="n">
        <x:f>IF(OR(Q1006="",Q1006="待结算"),"",IF(Q1006="红",R1006,IF(Q1006="半红",R1006*0.5,IF(Q1006="走",0,IF(Q1006="半黑",-0.5,-1)))))</x:f>
        <x:v>-0.5</x:v>
      </x:c>
      <x:c r="T1006" s="604" t="inlineStr">
        <x:is>
          <x:t xml:space="preserve">https://m.titan007.com/analy/Analysis/3011297.htm</x:t>
        </x:is>
      </x:c>
      <x:c r="U1006" s="649" t="str">
        <x:f>IF(Q1006="","",IF(Q1006="待结算","待结算",IF(Q1006="红","黑",IF(Q1006="半红","半黑",IF(Q1006="走","走",IF(Q1006="半黑","半红","红"))))))</x:f>
        <x:v>半红</x:v>
      </x:c>
      <x:c r="V1006" s="604" t="n">
        <x:f>IF(OR(Q1006="",Q1006="待结算"),"",IF(L1006=LEFT(F1006,FIND(" vs ",F1006)-1),I1006,G1006))</x:f>
        <x:v>0.76</x:v>
      </x:c>
      <x:c r="W1006" s="604" t="n">
        <x:f>IF(OR(U1006="",U1006="待结算"),"",IF(U1006="红",V1006,IF(U1006="半红",V1006*0.5,IF(U1006="走",0,IF(U1006="半黑",-0.5,-1)))))</x:f>
        <x:v>0.38</x:v>
      </x:c>
      <x:c r="X1006" s="604" t="inlineStr">
        <x:is>
          <x:t xml:space="preserve">3011297</x:t>
        </x:is>
      </x:c>
      <x:c r="Y1006" s="604" t="inlineStr">
        <x:is>
          <x:t xml:space="preserve">V4</x:t>
        </x:is>
      </x:c>
      <x:c r="Z1006" s="604" t="inlineStr">
        <x:is>
          <x:t xml:space="preserve">prior-2026-10-04-v1</x:t>
        </x:is>
      </x:c>
      <x:c r="AA1006" s="604" t="inlineStr">
        <x:is>
          <x:t xml:space="preserve">B</x:t>
        </x:is>
      </x:c>
      <x:c r="AB1006" s="604" t="n">
        <x:v>0.5452283808283944</x:v>
      </x:c>
      <x:c r="AC1006" s="604" t="n"/>
      <x:c r="AD1006" s="604" t="n"/>
      <x:c r="AE1006" s="604" t="n">
        <x:v>0.2445233118259759</x:v>
      </x:c>
      <x:c r="AF1006" s="604" t="n">
        <x:v>0.2102483073456297</x:v>
      </x:c>
      <x:c r="AG1006" s="604" t="n">
        <x:v>0.1800047147200731</x:v>
      </x:c>
      <x:c r="AH1006" s="604" t="n"/>
      <x:c r="AI1006" s="604" t="n"/>
      <x:c r="AJ1006" s="604" t="n">
        <x:v>0.1800047147200731</x:v>
      </x:c>
      <x:c r="AK1006" s="604" t="n"/>
      <x:c r="AL1006" s="604" t="n"/>
      <x:c r="AM1006" s="604" t="n"/>
      <x:c r="AN1006" s="604" t="inlineStr">
        <x:is>
          <x:t xml:space="preserve">EVALUATED</x:t>
        </x:is>
      </x:c>
      <x:c r="AO1006" s="604" t="inlineStr">
        <x:is>
          <x:t xml:space="preserve">GIVING_VALIDATED_EDGE、BUCKET_PRIOR_ONLY、INTENT_INTERPRETATION_ONLY、FFL_OPTIONAL、EXPERT_MARKET</x:t>
        </x:is>
      </x:c>
      <x:c r="AP1006" s="604" t="inlineStr">
        <x:is>
          <x:t xml:space="preserve">84c0885e8dc1b97dcc05</x:t>
        </x:is>
      </x:c>
      <x:c r="AQ1006" s="604" t="n">
        <x:v>-1.25</x:v>
      </x:c>
      <x:c r="AR1006" s="604" t="n">
        <x:v>0.9399999999999999</x:v>
      </x:c>
      <x:c r="AS1006" s="604" t="n">
        <x:v>1.25</x:v>
      </x:c>
      <x:c r="AT1006" s="604" t="n">
        <x:v>-1.25</x:v>
      </x:c>
      <x:c r="AU1006" s="604" t="n">
        <x:v>0.9399999999999999</x:v>
      </x:c>
      <x:c r="AV1006" s="604" t="n">
        <x:v>0.76</x:v>
      </x:c>
      <x:c r="AW1006" s="604" t="n">
        <x:v>46299.08204853009</x:v>
      </x:c>
      <x:c r="AX1006" s="604" t="inlineStr">
        <x:is>
          <x:t xml:space="preserve">https://simondongxiao.github.io/odds/v4/</x:t>
        </x:is>
      </x:c>
      <x:c r="AY1006" s="604" t="inlineStr">
        <x:is>
          <x:t xml:space="preserve">V4 Shadow Only；real_money=false；P(EV&gt;0)不是比赛胜率</x:t>
        </x:is>
      </x:c>
    </x:row>
    <x:row r="1007" ht="22" customHeight="1">
      <x:c r="A1007" s="604" t="inlineStr">
        <x:is>
          <x:t xml:space="preserve">2026-10-04</x:t>
        </x:is>
      </x:c>
      <x:c r="B1007" s="604" t="inlineStr">
        <x:is>
          <x:t xml:space="preserve">2026-10-05 07:00</x:t>
        </x:is>
      </x:c>
      <x:c r="C1007" s="604" t="str">
        <x:v>北美系列</x:v>
      </x:c>
      <x:c r="D1007" s="604" t="inlineStr">
        <x:is>
          <x:t xml:space="preserve">联赛</x:t>
        </x:is>
      </x:c>
      <x:c r="E1007" s="604" t="inlineStr">
        <x:is>
          <x:t xml:space="preserve">美女职</x:t>
        </x:is>
      </x:c>
      <x:c r="F1007" s="604" t="inlineStr">
        <x:is>
          <x:t xml:space="preserve">休斯顿达斯女足 vs 华盛顿精神女足</x:t>
        </x:is>
      </x:c>
      <x:c r="G1007" s="604" t="n">
        <x:v>0.85</x:v>
      </x:c>
      <x:c r="H1007" s="604" t="n">
        <x:v>-0.5</x:v>
      </x:c>
      <x:c r="I1007" s="604" t="n">
        <x:v>0.85</x:v>
      </x:c>
      <x:c r="J1007" s="604" t="inlineStr">
        <x:is>
          <x:t xml:space="preserve">0.85/-0.5/0.85</x:t>
        </x:is>
      </x:c>
      <x:c r="K1007" s="604" t="inlineStr">
        <x:is>
          <x:t xml:space="preserve">V4-C｜EV +0.4920</x:t>
        </x:is>
      </x:c>
      <x:c r="L1007" s="604" t="inlineStr">
        <x:is>
          <x:t xml:space="preserve">休斯顿达斯女足</x:t>
        </x:is>
      </x:c>
      <x:c r="M1007" s="604" t="n">
        <x:v>0.8065009131648421</x:v>
      </x:c>
      <x:c r="N1007" s="604" t="inlineStr">
        <x:is>
          <x:t xml:space="preserve">V4纸面入选-C</x:t>
        </x:is>
      </x:c>
      <x:c r="O1007" s="604" t="inlineStr">
        <x:is>
          <x:t xml:space="preserve">2-3</x:t>
        </x:is>
      </x:c>
      <x:c r="P1007" s="604" t="inlineStr">
        <x:is>
          <x:t xml:space="preserve">已结算</x:t>
        </x:is>
      </x:c>
      <x:c r="Q1007" s="646" t="inlineStr">
        <x:is>
          <x:t xml:space="preserve">黑</x:t>
        </x:is>
      </x:c>
      <x:c r="R1007" s="604" t="n">
        <x:v>0.85</x:v>
      </x:c>
      <x:c r="S1007" s="604" t="n">
        <x:f>IF(OR(Q1007="",Q1007="待结算"),"",IF(Q1007="红",R1007,IF(Q1007="半红",R1007*0.5,IF(Q1007="走",0,IF(Q1007="半黑",-0.5,-1)))))</x:f>
        <x:v>-1</x:v>
      </x:c>
      <x:c r="T1007" s="604" t="inlineStr">
        <x:is>
          <x:t xml:space="preserve">https://m.titan007.com/analy/Analysis/2957072.htm</x:t>
        </x:is>
      </x:c>
      <x:c r="U1007" s="645" t="str">
        <x:f>IF(Q1007="","",IF(Q1007="待结算","待结算",IF(Q1007="红","黑",IF(Q1007="半红","半黑",IF(Q1007="走","走",IF(Q1007="半黑","半红","红"))))))</x:f>
        <x:v>红</x:v>
      </x:c>
      <x:c r="V1007" s="604" t="n">
        <x:f>IF(OR(Q1007="",Q1007="待结算"),"",IF(L1007=LEFT(F1007,FIND(" vs ",F1007)-1),I1007,G1007))</x:f>
        <x:v>0.85</x:v>
      </x:c>
      <x:c r="W1007" s="604" t="n">
        <x:f>IF(OR(U1007="",U1007="待结算"),"",IF(U1007="红",V1007,IF(U1007="半红",V1007*0.5,IF(U1007="走",0,IF(U1007="半黑",-0.5,-1)))))</x:f>
        <x:v>0.85</x:v>
      </x:c>
      <x:c r="X1007" s="604" t="inlineStr">
        <x:is>
          <x:t xml:space="preserve">2957072</x:t>
        </x:is>
      </x:c>
      <x:c r="Y1007" s="604" t="inlineStr">
        <x:is>
          <x:t xml:space="preserve">V4</x:t>
        </x:is>
      </x:c>
      <x:c r="Z1007" s="604" t="inlineStr">
        <x:is>
          <x:t xml:space="preserve">prior-2026-10-04-v1</x:t>
        </x:is>
      </x:c>
      <x:c r="AA1007" s="604" t="inlineStr">
        <x:is>
          <x:t xml:space="preserve">C</x:t>
        </x:is>
      </x:c>
      <x:c r="AB1007" s="604" t="n">
        <x:v>0.8065009131648421</x:v>
      </x:c>
      <x:c r="AC1007" s="604" t="n"/>
      <x:c r="AD1007" s="604" t="n"/>
      <x:c r="AE1007" s="604" t="n"/>
      <x:c r="AF1007" s="604" t="n">
        <x:v>0.1934990868351579</x:v>
      </x:c>
      <x:c r="AG1007" s="604" t="n">
        <x:v>0.4920266893549579</x:v>
      </x:c>
      <x:c r="AH1007" s="604" t="n"/>
      <x:c r="AI1007" s="604" t="n"/>
      <x:c r="AJ1007" s="604" t="n">
        <x:v>0.4920266893549579</x:v>
      </x:c>
      <x:c r="AK1007" s="604" t="n"/>
      <x:c r="AL1007" s="604" t="n"/>
      <x:c r="AM1007" s="604" t="n"/>
      <x:c r="AN1007" s="604" t="inlineStr">
        <x:is>
          <x:t xml:space="preserve">EVALUATED</x:t>
        </x:is>
      </x:c>
      <x:c r="AO1007" s="604" t="inlineStr">
        <x:is>
          <x:t xml:space="preserve">RECEIVING_VALIDATED_EDGE、BUCKET_PRIOR_ONLY、INTENT_INTERPRETATION_ONLY、FFL_OPTIONAL、EXPERT_MARKET</x:t>
        </x:is>
      </x:c>
      <x:c r="AP1007" s="604" t="inlineStr">
        <x:is>
          <x:t xml:space="preserve">6a0caf748cac00e4c74f</x:t>
        </x:is>
      </x:c>
      <x:c r="AQ1007" s="604" t="n">
        <x:v>0.5</x:v>
      </x:c>
      <x:c r="AR1007" s="604" t="n">
        <x:v>0.85</x:v>
      </x:c>
      <x:c r="AS1007" s="604" t="n">
        <x:v>-0.5</x:v>
      </x:c>
      <x:c r="AT1007" s="604" t="n">
        <x:v>0.5</x:v>
      </x:c>
      <x:c r="AU1007" s="604" t="n">
        <x:v>0.85</x:v>
      </x:c>
      <x:c r="AV1007" s="604" t="n">
        <x:v>0.85</x:v>
      </x:c>
      <x:c r="AW1007" s="604" t="n">
        <x:v>46299.08204853009</x:v>
      </x:c>
      <x:c r="AX1007" s="604" t="inlineStr">
        <x:is>
          <x:t xml:space="preserve">https://simondongxiao.github.io/odds/v4/</x:t>
        </x:is>
      </x:c>
      <x:c r="AY1007" s="604" t="inlineStr">
        <x:is>
          <x:t xml:space="preserve">V4 Shadow Only；real_money=false；P(EV&gt;0)不是比赛胜率</x:t>
        </x:is>
      </x:c>
    </x:row>
    <x:row r="1008" ht="22" customHeight="1">
      <x:c r="A1008" s="604" t="inlineStr">
        <x:is>
          <x:t xml:space="preserve">2026-10-04</x:t>
        </x:is>
      </x:c>
      <x:c r="B1008" s="604" t="inlineStr">
        <x:is>
          <x:t xml:space="preserve">2026-10-05 07:00</x:t>
        </x:is>
      </x:c>
      <x:c r="C1008" s="604" t="str">
        <x:v>北美系列</x:v>
      </x:c>
      <x:c r="D1008" s="604" t="inlineStr">
        <x:is>
          <x:t xml:space="preserve">联赛</x:t>
        </x:is>
      </x:c>
      <x:c r="E1008" s="604" t="inlineStr">
        <x:is>
          <x:t xml:space="preserve">中北美国联</x:t>
        </x:is>
      </x:c>
      <x:c r="F1008" s="604" t="inlineStr">
        <x:is>
          <x:t xml:space="preserve">阿鲁巴 vs 安圭拉</x:t>
        </x:is>
      </x:c>
      <x:c r="G1008" s="604" t="n">
        <x:v>0.93</x:v>
      </x:c>
      <x:c r="H1008" s="604" t="n">
        <x:v>0</x:v>
      </x:c>
      <x:c r="I1008" s="604" t="n">
        <x:v>0.77</x:v>
      </x:c>
      <x:c r="J1008" s="604" t="inlineStr">
        <x:is>
          <x:t xml:space="preserve">0.93/0/0.77</x:t>
        </x:is>
      </x:c>
      <x:c r="K1008" s="604" t="inlineStr">
        <x:is>
          <x:t xml:space="preserve">V4-C｜EV +0.0518</x:t>
        </x:is>
      </x:c>
      <x:c r="L1008" s="604" t="str"/>
      <x:c r="M1008" s="604" t="n">
        <x:v>0.3975765245094062</x:v>
      </x:c>
      <x:c r="N1008" s="604" t="inlineStr">
        <x:is>
          <x:t xml:space="preserve">V4纸面入选-C</x:t>
        </x:is>
      </x:c>
      <x:c r="O1008" s="604" t="inlineStr">
        <x:is>
          <x:t xml:space="preserve">3-2</x:t>
        </x:is>
      </x:c>
      <x:c r="P1008" s="604" t="inlineStr">
        <x:is>
          <x:t xml:space="preserve">已结算</x:t>
        </x:is>
      </x:c>
      <x:c r="Q1008" s="645" t="inlineStr">
        <x:is>
          <x:t xml:space="preserve">红</x:t>
        </x:is>
      </x:c>
      <x:c r="R1008" s="604" t="n">
        <x:v>0.77</x:v>
      </x:c>
      <x:c r="S1008" s="604" t="n">
        <x:f>IF(OR(Q1008="",Q1008="待结算"),"",IF(Q1008="红",R1008,IF(Q1008="半红",R1008*0.5,IF(Q1008="走",0,IF(Q1008="半黑",-0.5,-1)))))</x:f>
        <x:v>0.77</x:v>
      </x:c>
      <x:c r="T1008" s="604" t="inlineStr">
        <x:is>
          <x:t xml:space="preserve">https://m.titan007.com/analy/Analysis/3092506.htm</x:t>
        </x:is>
      </x:c>
      <x:c r="U1008" s="646" t="str">
        <x:f>IF(Q1008="","",IF(Q1008="待结算","待结算",IF(Q1008="红","黑",IF(Q1008="半红","半黑",IF(Q1008="走","走",IF(Q1008="半黑","半红","红"))))))</x:f>
        <x:v>黑</x:v>
      </x:c>
      <x:c r="V1008" s="604" t="n">
        <x:f>IF(OR(Q1008="",Q1008="待结算"),"",IF(L1008=LEFT(F1008,FIND(" vs ",F1008)-1),I1008,G1008))</x:f>
        <x:v>0.93</x:v>
      </x:c>
      <x:c r="W1008" s="604" t="n">
        <x:f>IF(OR(U1008="",U1008="待结算"),"",IF(U1008="红",V1008,IF(U1008="半红",V1008*0.5,IF(U1008="走",0,IF(U1008="半黑",-0.5,-1)))))</x:f>
        <x:v>-1</x:v>
      </x:c>
      <x:c r="X1008" s="604" t="inlineStr">
        <x:is>
          <x:t xml:space="preserve">3092506</x:t>
        </x:is>
      </x:c>
      <x:c r="Y1008" s="604" t="inlineStr">
        <x:is>
          <x:t xml:space="preserve">V4</x:t>
        </x:is>
      </x:c>
      <x:c r="Z1008" s="604" t="inlineStr">
        <x:is>
          <x:t xml:space="preserve">prior-2026-10-04-v1</x:t>
        </x:is>
      </x:c>
      <x:c r="AA1008" s="604" t="inlineStr">
        <x:is>
          <x:t xml:space="preserve">C</x:t>
        </x:is>
      </x:c>
      <x:c r="AB1008" s="604" t="n">
        <x:v>0.3107045794426017</x:v>
      </x:c>
      <x:c r="AC1008" s="604" t="n"/>
      <x:c r="AD1008" s="604" t="n">
        <x:v>0.2185037086231413</x:v>
      </x:c>
      <x:c r="AE1008" s="604" t="n"/>
      <x:c r="AF1008" s="604" t="n">
        <x:v>0.470791711934257</x:v>
      </x:c>
      <x:c r="AG1008" s="604" t="n">
        <x:v>0.05180503874677617</x:v>
      </x:c>
      <x:c r="AH1008" s="604" t="n"/>
      <x:c r="AI1008" s="604" t="n"/>
      <x:c r="AJ1008" s="604" t="n">
        <x:v>0.05180503874677617</x:v>
      </x:c>
      <x:c r="AK1008" s="604" t="n"/>
      <x:c r="AL1008" s="604" t="n"/>
      <x:c r="AM1008" s="604" t="n"/>
      <x:c r="AN1008" s="604" t="inlineStr">
        <x:is>
          <x:t xml:space="preserve">EVALUATED</x:t>
        </x:is>
      </x:c>
      <x:c r="AO1008" s="604" t="inlineStr">
        <x:is>
          <x:t xml:space="preserve">EDGE_BELOW_UNCERTAINTY_THRESHOLD、BUCKET_PRIOR_ONLY、INTENT_INTERPRETATION_ONLY、FFL_OPTIONAL、EXPERT_MARKET</x:t>
        </x:is>
      </x:c>
      <x:c r="AP1008" s="604" t="inlineStr">
        <x:is>
          <x:t xml:space="preserve">b68234b51a936dcdde32</x:t>
        </x:is>
      </x:c>
      <x:c r="AQ1008" s="604" t="n">
        <x:v>0</x:v>
      </x:c>
      <x:c r="AR1008" s="604" t="n"/>
      <x:c r="AS1008" s="604" t="n">
        <x:v>0</x:v>
      </x:c>
      <x:c r="AT1008" s="604" t="n">
        <x:v>0</x:v>
      </x:c>
      <x:c r="AU1008" s="604" t="n">
        <x:v>0.93</x:v>
      </x:c>
      <x:c r="AV1008" s="604" t="n">
        <x:v>0.77</x:v>
      </x:c>
      <x:c r="AW1008" s="604" t="n">
        <x:v>46299.08204853009</x:v>
      </x:c>
      <x:c r="AX1008" s="604" t="inlineStr">
        <x:is>
          <x:t xml:space="preserve">https://simondongxiao.github.io/odds/v4/</x:t>
        </x:is>
      </x:c>
      <x:c r="AY1008" s="604" t="inlineStr">
        <x:is>
          <x:t xml:space="preserve">V4 Shadow Only；real_money=false；P(EV&gt;0)不是比赛胜率</x:t>
        </x:is>
      </x:c>
    </x:row>
    <x:row r="1009" ht="22" customHeight="1">
      <x:c r="A1009" s="604" t="inlineStr">
        <x:is>
          <x:t xml:space="preserve">2026-10-04</x:t>
        </x:is>
      </x:c>
      <x:c r="B1009" s="604" t="inlineStr">
        <x:is>
          <x:t xml:space="preserve">2026-10-05 07:10</x:t>
        </x:is>
      </x:c>
      <x:c r="C1009" s="604" t="str">
        <x:v>南美系列</x:v>
      </x:c>
      <x:c r="D1009" s="604" t="inlineStr">
        <x:is>
          <x:t xml:space="preserve">联赛</x:t>
        </x:is>
      </x:c>
      <x:c r="E1009" s="604" t="inlineStr">
        <x:is>
          <x:t xml:space="preserve">哥伦甲秋</x:t>
        </x:is>
      </x:c>
      <x:c r="F1009" s="604" t="inlineStr">
        <x:is>
          <x:t xml:space="preserve">布卡拉曼加竞技 vs 巴兰基亚青年</x:t>
        </x:is>
      </x:c>
      <x:c r="G1009" s="604" t="n">
        <x:v>1</x:v>
      </x:c>
      <x:c r="H1009" s="604" t="n">
        <x:v>0.5</x:v>
      </x:c>
      <x:c r="I1009" s="604" t="n">
        <x:v>0.88</x:v>
      </x:c>
      <x:c r="J1009" s="604" t="inlineStr">
        <x:is>
          <x:t xml:space="preserve">1/0.5/0.88</x:t>
        </x:is>
      </x:c>
      <x:c r="K1009" s="604" t="inlineStr">
        <x:is>
          <x:t xml:space="preserve">V4-B｜EV +0.0934</x:t>
        </x:is>
      </x:c>
      <x:c r="L1009" s="604" t="inlineStr">
        <x:is>
          <x:t xml:space="preserve">布卡拉曼加竞技</x:t>
        </x:is>
      </x:c>
      <x:c r="M1009" s="604" t="n">
        <x:v>0.5467047380185502</x:v>
      </x:c>
      <x:c r="N1009" s="604" t="inlineStr">
        <x:is>
          <x:t xml:space="preserve">V4纸面入选-B</x:t>
        </x:is>
      </x:c>
      <x:c r="O1009" s="604" t="inlineStr">
        <x:is>
          <x:t xml:space="preserve">3-1</x:t>
        </x:is>
      </x:c>
      <x:c r="P1009" s="604" t="inlineStr">
        <x:is>
          <x:t xml:space="preserve">已结算</x:t>
        </x:is>
      </x:c>
      <x:c r="Q1009" s="645" t="inlineStr">
        <x:is>
          <x:t xml:space="preserve">红</x:t>
        </x:is>
      </x:c>
      <x:c r="R1009" s="604" t="n">
        <x:v>1</x:v>
      </x:c>
      <x:c r="S1009" s="604" t="n">
        <x:f>IF(OR(Q1009="",Q1009="待结算"),"",IF(Q1009="红",R1009,IF(Q1009="半红",R1009*0.5,IF(Q1009="走",0,IF(Q1009="半黑",-0.5,-1)))))</x:f>
        <x:v>1</x:v>
      </x:c>
      <x:c r="T1009" s="604" t="inlineStr">
        <x:is>
          <x:t xml:space="preserve">https://m.titan007.com/analy/Analysis/3011878.htm</x:t>
        </x:is>
      </x:c>
      <x:c r="U1009" s="646" t="str">
        <x:f>IF(Q1009="","",IF(Q1009="待结算","待结算",IF(Q1009="红","黑",IF(Q1009="半红","半黑",IF(Q1009="走","走",IF(Q1009="半黑","半红","红"))))))</x:f>
        <x:v>黑</x:v>
      </x:c>
      <x:c r="V1009" s="604" t="n">
        <x:f>IF(OR(Q1009="",Q1009="待结算"),"",IF(L1009=LEFT(F1009,FIND(" vs ",F1009)-1),I1009,G1009))</x:f>
        <x:v>0.88</x:v>
      </x:c>
      <x:c r="W1009" s="604" t="n">
        <x:f>IF(OR(U1009="",U1009="待结算"),"",IF(U1009="红",V1009,IF(U1009="半红",V1009*0.5,IF(U1009="走",0,IF(U1009="半黑",-0.5,-1)))))</x:f>
        <x:v>-1</x:v>
      </x:c>
      <x:c r="X1009" s="604" t="inlineStr">
        <x:is>
          <x:t xml:space="preserve">3011878</x:t>
        </x:is>
      </x:c>
      <x:c r="Y1009" s="604" t="inlineStr">
        <x:is>
          <x:t xml:space="preserve">V4</x:t>
        </x:is>
      </x:c>
      <x:c r="Z1009" s="604" t="inlineStr">
        <x:is>
          <x:t xml:space="preserve">prior-2026-10-04-v1</x:t>
        </x:is>
      </x:c>
      <x:c r="AA1009" s="604" t="inlineStr">
        <x:is>
          <x:t xml:space="preserve">B</x:t>
        </x:is>
      </x:c>
      <x:c r="AB1009" s="604" t="n">
        <x:v>0.5467047380185502</x:v>
      </x:c>
      <x:c r="AC1009" s="604" t="n"/>
      <x:c r="AD1009" s="604" t="n"/>
      <x:c r="AE1009" s="604" t="n"/>
      <x:c r="AF1009" s="604" t="n">
        <x:v>0.4532952619814499</x:v>
      </x:c>
      <x:c r="AG1009" s="604" t="n">
        <x:v>0.09340947603710037</x:v>
      </x:c>
      <x:c r="AH1009" s="604" t="n"/>
      <x:c r="AI1009" s="604" t="n"/>
      <x:c r="AJ1009" s="604" t="n">
        <x:v>0.09340947603710037</x:v>
      </x:c>
      <x:c r="AK1009" s="604" t="n"/>
      <x:c r="AL1009" s="604" t="n"/>
      <x:c r="AM1009" s="604" t="n"/>
      <x:c r="AN1009" s="604" t="inlineStr">
        <x:is>
          <x:t xml:space="preserve">EVALUATED</x:t>
        </x:is>
      </x:c>
      <x:c r="AO1009" s="604" t="inlineStr">
        <x:is>
          <x:t xml:space="preserve">GIVING_VALIDATED_EDGE、BUCKET_PRIOR_ONLY、INTENT_INTERPRETATION_ONLY、FFL_OPTIONAL、EXPERT_MARKET</x:t>
        </x:is>
      </x:c>
      <x:c r="AP1009" s="604" t="inlineStr">
        <x:is>
          <x:t xml:space="preserve">1c3cb15abac14f6dc1e4</x:t>
        </x:is>
      </x:c>
      <x:c r="AQ1009" s="604" t="n">
        <x:v>-0.5</x:v>
      </x:c>
      <x:c r="AR1009" s="604" t="n">
        <x:v>1</x:v>
      </x:c>
      <x:c r="AS1009" s="604" t="n">
        <x:v>0.5</x:v>
      </x:c>
      <x:c r="AT1009" s="604" t="n">
        <x:v>-0.5</x:v>
      </x:c>
      <x:c r="AU1009" s="604" t="n">
        <x:v>1</x:v>
      </x:c>
      <x:c r="AV1009" s="604" t="n">
        <x:v>0.88</x:v>
      </x:c>
      <x:c r="AW1009" s="604" t="n">
        <x:v>46299.08204853009</x:v>
      </x:c>
      <x:c r="AX1009" s="604" t="inlineStr">
        <x:is>
          <x:t xml:space="preserve">https://simondongxiao.github.io/odds/v4/</x:t>
        </x:is>
      </x:c>
      <x:c r="AY1009" s="604" t="inlineStr">
        <x:is>
          <x:t xml:space="preserve">V4 Shadow Only；real_money=false；P(EV&gt;0)不是比赛胜率</x:t>
        </x:is>
      </x:c>
    </x:row>
    <x:row r="1010" ht="22" customHeight="1">
      <x:c r="A1010" s="604" t="inlineStr">
        <x:is>
          <x:t xml:space="preserve">2026-10-04</x:t>
        </x:is>
      </x:c>
      <x:c r="B1010" s="604" t="inlineStr">
        <x:is>
          <x:t xml:space="preserve">2026-10-05 07:30</x:t>
        </x:is>
      </x:c>
      <x:c r="C1010" s="604" t="str">
        <x:v>南美系列</x:v>
      </x:c>
      <x:c r="D1010" s="604" t="inlineStr">
        <x:is>
          <x:t xml:space="preserve">杯赛</x:t>
        </x:is>
      </x:c>
      <x:c r="E1010" s="604" t="inlineStr">
        <x:is>
          <x:t xml:space="preserve">玻利杯</x:t>
        </x:is>
      </x:c>
      <x:c r="F1010" s="604" t="inlineStr">
        <x:is>
          <x:t xml:space="preserve">石油独立 vs 玻利瓦尔</x:t>
        </x:is>
      </x:c>
      <x:c r="G1010" s="604" t="n">
        <x:v>0.92</x:v>
      </x:c>
      <x:c r="H1010" s="604" t="n">
        <x:v>-0.25</x:v>
      </x:c>
      <x:c r="I1010" s="604" t="n">
        <x:v>0.78</x:v>
      </x:c>
      <x:c r="J1010" s="604" t="inlineStr">
        <x:is>
          <x:t xml:space="preserve">0.92/-0.25/0.78</x:t>
        </x:is>
      </x:c>
      <x:c r="K1010" s="604" t="inlineStr">
        <x:is>
          <x:t xml:space="preserve">V4-B｜EV +0.2987</x:t>
        </x:is>
      </x:c>
      <x:c r="L1010" s="604" t="inlineStr">
        <x:is>
          <x:t xml:space="preserve">石油独立</x:t>
        </x:is>
      </x:c>
      <x:c r="M1010" s="604" t="n">
        <x:v>0.6989757901546748</x:v>
      </x:c>
      <x:c r="N1010" s="604" t="inlineStr">
        <x:is>
          <x:t xml:space="preserve">V4纸面入选-B</x:t>
        </x:is>
      </x:c>
      <x:c r="O1010" s="604" t="inlineStr">
        <x:is>
          <x:t xml:space="preserve">0-3</x:t>
        </x:is>
      </x:c>
      <x:c r="P1010" s="604" t="inlineStr">
        <x:is>
          <x:t xml:space="preserve">已结算</x:t>
        </x:is>
      </x:c>
      <x:c r="Q1010" s="646" t="inlineStr">
        <x:is>
          <x:t xml:space="preserve">黑</x:t>
        </x:is>
      </x:c>
      <x:c r="R1010" s="604" t="n">
        <x:v>0.92</x:v>
      </x:c>
      <x:c r="S1010" s="604" t="n">
        <x:f>IF(OR(Q1010="",Q1010="待结算"),"",IF(Q1010="红",R1010,IF(Q1010="半红",R1010*0.5,IF(Q1010="走",0,IF(Q1010="半黑",-0.5,-1)))))</x:f>
        <x:v>-1</x:v>
      </x:c>
      <x:c r="T1010" s="604" t="inlineStr">
        <x:is>
          <x:t xml:space="preserve">https://m.titan007.com/analy/Analysis/3061677.htm</x:t>
        </x:is>
      </x:c>
      <x:c r="U1010" s="645" t="str">
        <x:f>IF(Q1010="","",IF(Q1010="待结算","待结算",IF(Q1010="红","黑",IF(Q1010="半红","半黑",IF(Q1010="走","走",IF(Q1010="半黑","半红","红"))))))</x:f>
        <x:v>红</x:v>
      </x:c>
      <x:c r="V1010" s="604" t="n">
        <x:f>IF(OR(Q1010="",Q1010="待结算"),"",IF(L1010=LEFT(F1010,FIND(" vs ",F1010)-1),I1010,G1010))</x:f>
        <x:v>0.78</x:v>
      </x:c>
      <x:c r="W1010" s="604" t="n">
        <x:f>IF(OR(U1010="",U1010="待结算"),"",IF(U1010="红",V1010,IF(U1010="半红",V1010*0.5,IF(U1010="走",0,IF(U1010="半黑",-0.5,-1)))))</x:f>
        <x:v>0.78</x:v>
      </x:c>
      <x:c r="X1010" s="604" t="inlineStr">
        <x:is>
          <x:t xml:space="preserve">3061677</x:t>
        </x:is>
      </x:c>
      <x:c r="Y1010" s="604" t="inlineStr">
        <x:is>
          <x:t xml:space="preserve">V4</x:t>
        </x:is>
      </x:c>
      <x:c r="Z1010" s="604" t="inlineStr">
        <x:is>
          <x:t xml:space="preserve">prior-2026-10-04-v1</x:t>
        </x:is>
      </x:c>
      <x:c r="AA1010" s="604" t="inlineStr">
        <x:is>
          <x:t xml:space="preserve">B</x:t>
        </x:is>
      </x:c>
      <x:c r="AB1010" s="604" t="n">
        <x:v>0.4837789761371913</x:v>
      </x:c>
      <x:c r="AC1010" s="604" t="n">
        <x:v>0.2533253449101732</x:v>
      </x:c>
      <x:c r="AD1010" s="604" t="n"/>
      <x:c r="AE1010" s="604" t="n"/>
      <x:c r="AF1010" s="604" t="n">
        <x:v>0.2628956789526355</x:v>
      </x:c>
      <x:c r="AG1010" s="604" t="n">
        <x:v>0.2987106377522601</x:v>
      </x:c>
      <x:c r="AH1010" s="604" t="n"/>
      <x:c r="AI1010" s="604" t="n"/>
      <x:c r="AJ1010" s="604" t="n">
        <x:v>0.2987106377522601</x:v>
      </x:c>
      <x:c r="AK1010" s="604" t="n"/>
      <x:c r="AL1010" s="604" t="n"/>
      <x:c r="AM1010" s="604" t="n"/>
      <x:c r="AN1010" s="604" t="inlineStr">
        <x:is>
          <x:t xml:space="preserve">EVALUATED</x:t>
        </x:is>
      </x:c>
      <x:c r="AO1010" s="604" t="inlineStr">
        <x:is>
          <x:t xml:space="preserve">RECEIVING_VALIDATED_EDGE、BUCKET_PRIOR_ONLY、INTENT_INTERPRETATION_ONLY、FFL_OPTIONAL、EXPERT_MARKET</x:t>
        </x:is>
      </x:c>
      <x:c r="AP1010" s="604" t="inlineStr">
        <x:is>
          <x:t xml:space="preserve">617eb97c070bb0b3f3e2</x:t>
        </x:is>
      </x:c>
      <x:c r="AQ1010" s="604" t="n">
        <x:v>0.25</x:v>
      </x:c>
      <x:c r="AR1010" s="604" t="n">
        <x:v>0.92</x:v>
      </x:c>
      <x:c r="AS1010" s="604" t="n">
        <x:v>-0.25</x:v>
      </x:c>
      <x:c r="AT1010" s="604" t="n">
        <x:v>0.25</x:v>
      </x:c>
      <x:c r="AU1010" s="604" t="n">
        <x:v>0.92</x:v>
      </x:c>
      <x:c r="AV1010" s="604" t="n">
        <x:v>0.78</x:v>
      </x:c>
      <x:c r="AW1010" s="604" t="n">
        <x:v>46299.08204853009</x:v>
      </x:c>
      <x:c r="AX1010" s="604" t="inlineStr">
        <x:is>
          <x:t xml:space="preserve">https://simondongxiao.github.io/odds/v4/</x:t>
        </x:is>
      </x:c>
      <x:c r="AY1010" s="604" t="inlineStr">
        <x:is>
          <x:t xml:space="preserve">V4 Shadow Only；real_money=false；P(EV&gt;0)不是比赛胜率</x:t>
        </x:is>
      </x:c>
    </x:row>
    <x:row r="1011" ht="22" customHeight="1">
      <x:c r="A1011" s="604" t="inlineStr">
        <x:is>
          <x:t xml:space="preserve">2026-10-04</x:t>
        </x:is>
      </x:c>
      <x:c r="B1011" s="604" t="inlineStr">
        <x:is>
          <x:t xml:space="preserve">2026-10-05 08:00</x:t>
        </x:is>
      </x:c>
      <x:c r="C1011" s="604" t="str">
        <x:v>北美系列</x:v>
      </x:c>
      <x:c r="D1011" s="604" t="inlineStr">
        <x:is>
          <x:t xml:space="preserve">联赛</x:t>
        </x:is>
      </x:c>
      <x:c r="E1011" s="604" t="inlineStr">
        <x:is>
          <x:t xml:space="preserve">中北美国联</x:t>
        </x:is>
      </x:c>
      <x:c r="F1011" s="604" t="inlineStr">
        <x:is>
          <x:t xml:space="preserve">哥斯达黎加 vs 海地</x:t>
        </x:is>
      </x:c>
      <x:c r="G1011" s="604" t="n">
        <x:v>0.82</x:v>
      </x:c>
      <x:c r="H1011" s="604" t="n">
        <x:v>0</x:v>
      </x:c>
      <x:c r="I1011" s="604" t="n">
        <x:v>0.9399999999999999</x:v>
      </x:c>
      <x:c r="J1011" s="604" t="inlineStr">
        <x:is>
          <x:t xml:space="preserve">0.82/0/0.94</x:t>
        </x:is>
      </x:c>
      <x:c r="K1011" s="604" t="inlineStr">
        <x:is>
          <x:t xml:space="preserve">V4-C｜EV +0.0525</x:t>
        </x:is>
      </x:c>
      <x:c r="L1011" s="604" t="str"/>
      <x:c r="M1011" s="604" t="n">
        <x:v>0.5824350433957882</x:v>
      </x:c>
      <x:c r="N1011" s="604" t="inlineStr">
        <x:is>
          <x:t xml:space="preserve">V4纸面入选-C</x:t>
        </x:is>
      </x:c>
      <x:c r="O1011" s="604" t="inlineStr">
        <x:is>
          <x:t xml:space="preserve">2-0</x:t>
        </x:is>
      </x:c>
      <x:c r="P1011" s="604" t="inlineStr">
        <x:is>
          <x:t xml:space="preserve">已结算</x:t>
        </x:is>
      </x:c>
      <x:c r="Q1011" s="645" t="inlineStr">
        <x:is>
          <x:t xml:space="preserve">红</x:t>
        </x:is>
      </x:c>
      <x:c r="R1011" s="604" t="n">
        <x:v>0.9399999999999999</x:v>
      </x:c>
      <x:c r="S1011" s="604" t="n">
        <x:f>IF(OR(Q1011="",Q1011="待结算"),"",IF(Q1011="红",R1011,IF(Q1011="半红",R1011*0.5,IF(Q1011="走",0,IF(Q1011="半黑",-0.5,-1)))))</x:f>
        <x:v>0.94</x:v>
      </x:c>
      <x:c r="T1011" s="604" t="inlineStr">
        <x:is>
          <x:t xml:space="preserve">https://m.titan007.com/analy/Analysis/3092434.htm</x:t>
        </x:is>
      </x:c>
      <x:c r="U1011" s="646" t="str">
        <x:f>IF(Q1011="","",IF(Q1011="待结算","待结算",IF(Q1011="红","黑",IF(Q1011="半红","半黑",IF(Q1011="走","走",IF(Q1011="半黑","半红","红"))))))</x:f>
        <x:v>黑</x:v>
      </x:c>
      <x:c r="V1011" s="604" t="n">
        <x:f>IF(OR(Q1011="",Q1011="待结算"),"",IF(L1011=LEFT(F1011,FIND(" vs ",F1011)-1),I1011,G1011))</x:f>
        <x:v>0.82</x:v>
      </x:c>
      <x:c r="W1011" s="604" t="n">
        <x:f>IF(OR(U1011="",U1011="待结算"),"",IF(U1011="红",V1011,IF(U1011="半红",V1011*0.5,IF(U1011="走",0,IF(U1011="半黑",-0.5,-1)))))</x:f>
        <x:v>-1</x:v>
      </x:c>
      <x:c r="X1011" s="604" t="inlineStr">
        <x:is>
          <x:t xml:space="preserve">3092434</x:t>
        </x:is>
      </x:c>
      <x:c r="Y1011" s="604" t="inlineStr">
        <x:is>
          <x:t xml:space="preserve">V4</x:t>
        </x:is>
      </x:c>
      <x:c r="Z1011" s="604" t="inlineStr">
        <x:is>
          <x:t xml:space="preserve">prior-2026-10-04-v1</x:t>
        </x:is>
      </x:c>
      <x:c r="AA1011" s="604" t="inlineStr">
        <x:is>
          <x:t xml:space="preserve">C</x:t>
        </x:is>
      </x:c>
      <x:c r="AB1011" s="604" t="n">
        <x:v>0.5091962928097102</x:v>
      </x:c>
      <x:c r="AC1011" s="604" t="n"/>
      <x:c r="AD1011" s="604" t="n"/>
      <x:c r="AE1011" s="604" t="n">
        <x:v>0.2514915660262196</x:v>
      </x:c>
      <x:c r="AF1011" s="604" t="n">
        <x:v>0.2393121411640702</x:v>
      </x:c>
      <x:c r="AG1011" s="604" t="n">
        <x:v>0.05248303592678238</x:v>
      </x:c>
      <x:c r="AH1011" s="604" t="n"/>
      <x:c r="AI1011" s="604" t="n"/>
      <x:c r="AJ1011" s="604" t="n">
        <x:v>0.05248303592678238</x:v>
      </x:c>
      <x:c r="AK1011" s="604" t="n"/>
      <x:c r="AL1011" s="604" t="n"/>
      <x:c r="AM1011" s="604" t="n"/>
      <x:c r="AN1011" s="604" t="inlineStr">
        <x:is>
          <x:t xml:space="preserve">EVALUATED</x:t>
        </x:is>
      </x:c>
      <x:c r="AO1011" s="604" t="inlineStr">
        <x:is>
          <x:t xml:space="preserve">EDGE_BELOW_UNCERTAINTY_THRESHOLD、BUCKET_PRIOR_ONLY、INTENT_INTERPRETATION_ONLY、FFL_OPTIONAL、EXPERT_MARKET</x:t>
        </x:is>
      </x:c>
      <x:c r="AP1011" s="604" t="inlineStr">
        <x:is>
          <x:t xml:space="preserve">23457a6c88fce0e52f07</x:t>
        </x:is>
      </x:c>
      <x:c r="AQ1011" s="604" t="n">
        <x:v>0</x:v>
      </x:c>
      <x:c r="AR1011" s="604" t="n"/>
      <x:c r="AS1011" s="604" t="n">
        <x:v>0</x:v>
      </x:c>
      <x:c r="AT1011" s="604" t="n">
        <x:v>0</x:v>
      </x:c>
      <x:c r="AU1011" s="604" t="n">
        <x:v>0.82</x:v>
      </x:c>
      <x:c r="AV1011" s="604" t="n">
        <x:v>0.9399999999999999</x:v>
      </x:c>
      <x:c r="AW1011" s="604" t="n">
        <x:v>46299.08204853009</x:v>
      </x:c>
      <x:c r="AX1011" s="604" t="inlineStr">
        <x:is>
          <x:t xml:space="preserve">https://simondongxiao.github.io/odds/v4/</x:t>
        </x:is>
      </x:c>
      <x:c r="AY1011" s="604" t="inlineStr">
        <x:is>
          <x:t xml:space="preserve">V4 Shadow Only；real_money=false；P(EV&gt;0)不是比赛胜率</x:t>
        </x:is>
      </x:c>
    </x:row>
    <x:row r="1012" ht="22" customHeight="1">
      <x:c r="A1012" s="604" t="inlineStr">
        <x:is>
          <x:t xml:space="preserve">2026-10-04</x:t>
        </x:is>
      </x:c>
      <x:c r="B1012" s="604" t="inlineStr">
        <x:is>
          <x:t xml:space="preserve">2026-10-05 08:30</x:t>
        </x:is>
      </x:c>
      <x:c r="C1012" s="604" t="str">
        <x:v>南美系列</x:v>
      </x:c>
      <x:c r="D1012" s="604" t="inlineStr">
        <x:is>
          <x:t xml:space="preserve">联赛</x:t>
        </x:is>
      </x:c>
      <x:c r="E1012" s="604" t="inlineStr">
        <x:is>
          <x:t xml:space="preserve">阿甲</x:t>
        </x:is>
      </x:c>
      <x:c r="F1012" s="604" t="inlineStr">
        <x:is>
          <x:t xml:space="preserve">里奥夸尔托学生队 vs 竞技俱乐部</x:t>
        </x:is>
      </x:c>
      <x:c r="G1012" s="604" t="n">
        <x:v>0.95</x:v>
      </x:c>
      <x:c r="H1012" s="604" t="n">
        <x:v>-0.5</x:v>
      </x:c>
      <x:c r="I1012" s="604" t="n">
        <x:v>0.93</x:v>
      </x:c>
      <x:c r="J1012" s="604" t="inlineStr">
        <x:is>
          <x:t xml:space="preserve">0.95/-0.5/0.93</x:t>
        </x:is>
      </x:c>
      <x:c r="K1012" s="604" t="inlineStr">
        <x:is>
          <x:t xml:space="preserve">V4-A｜EV +0.5883</x:t>
        </x:is>
      </x:c>
      <x:c r="L1012" s="604" t="inlineStr">
        <x:is>
          <x:t xml:space="preserve">里奥夸尔托学生队</x:t>
        </x:is>
      </x:c>
      <x:c r="M1012" s="604" t="n">
        <x:v>0.8145019493274904</x:v>
      </x:c>
      <x:c r="N1012" s="604" t="inlineStr">
        <x:is>
          <x:t xml:space="preserve">V4纸面入选-A</x:t>
        </x:is>
      </x:c>
      <x:c r="O1012" s="604" t="inlineStr">
        <x:is>
          <x:t xml:space="preserve">1-2</x:t>
        </x:is>
      </x:c>
      <x:c r="P1012" s="604" t="inlineStr">
        <x:is>
          <x:t xml:space="preserve">已结算</x:t>
        </x:is>
      </x:c>
      <x:c r="Q1012" s="646" t="inlineStr">
        <x:is>
          <x:t xml:space="preserve">黑</x:t>
        </x:is>
      </x:c>
      <x:c r="R1012" s="604" t="n">
        <x:v>0.95</x:v>
      </x:c>
      <x:c r="S1012" s="604" t="n">
        <x:f>IF(OR(Q1012="",Q1012="待结算"),"",IF(Q1012="红",R1012,IF(Q1012="半红",R1012*0.5,IF(Q1012="走",0,IF(Q1012="半黑",-0.5,-1)))))</x:f>
        <x:v>-1</x:v>
      </x:c>
      <x:c r="T1012" s="604" t="inlineStr">
        <x:is>
          <x:t xml:space="preserve">https://m.titan007.com/analy/Analysis/2962660.htm</x:t>
        </x:is>
      </x:c>
      <x:c r="U1012" s="645" t="str">
        <x:f>IF(Q1012="","",IF(Q1012="待结算","待结算",IF(Q1012="红","黑",IF(Q1012="半红","半黑",IF(Q1012="走","走",IF(Q1012="半黑","半红","红"))))))</x:f>
        <x:v>红</x:v>
      </x:c>
      <x:c r="V1012" s="604" t="n">
        <x:f>IF(OR(Q1012="",Q1012="待结算"),"",IF(L1012=LEFT(F1012,FIND(" vs ",F1012)-1),I1012,G1012))</x:f>
        <x:v>0.93</x:v>
      </x:c>
      <x:c r="W1012" s="604" t="n">
        <x:f>IF(OR(U1012="",U1012="待结算"),"",IF(U1012="红",V1012,IF(U1012="半红",V1012*0.5,IF(U1012="走",0,IF(U1012="半黑",-0.5,-1)))))</x:f>
        <x:v>0.93</x:v>
      </x:c>
      <x:c r="X1012" s="604" t="inlineStr">
        <x:is>
          <x:t xml:space="preserve">2962660</x:t>
        </x:is>
      </x:c>
      <x:c r="Y1012" s="604" t="inlineStr">
        <x:is>
          <x:t xml:space="preserve">V4</x:t>
        </x:is>
      </x:c>
      <x:c r="Z1012" s="604" t="inlineStr">
        <x:is>
          <x:t xml:space="preserve">prior-2026-10-04-v1</x:t>
        </x:is>
      </x:c>
      <x:c r="AA1012" s="604" t="inlineStr">
        <x:is>
          <x:t xml:space="preserve">A</x:t>
        </x:is>
      </x:c>
      <x:c r="AB1012" s="604" t="n">
        <x:v>0.8145019493274904</x:v>
      </x:c>
      <x:c r="AC1012" s="604" t="n"/>
      <x:c r="AD1012" s="604" t="n"/>
      <x:c r="AE1012" s="604" t="n"/>
      <x:c r="AF1012" s="604" t="n">
        <x:v>0.1854980506725096</x:v>
      </x:c>
      <x:c r="AG1012" s="604" t="n">
        <x:v>0.5882788011886063</x:v>
      </x:c>
      <x:c r="AH1012" s="604" t="n"/>
      <x:c r="AI1012" s="604" t="n"/>
      <x:c r="AJ1012" s="604" t="n">
        <x:v>0.5882788011886063</x:v>
      </x:c>
      <x:c r="AK1012" s="604" t="n"/>
      <x:c r="AL1012" s="604" t="n"/>
      <x:c r="AM1012" s="604" t="n"/>
      <x:c r="AN1012" s="604" t="inlineStr">
        <x:is>
          <x:t xml:space="preserve">EVALUATED</x:t>
        </x:is>
      </x:c>
      <x:c r="AO1012" s="604" t="inlineStr">
        <x:is>
          <x:t xml:space="preserve">RECEIVING_VALIDATED_EDGE、BUCKET_PRIOR_ONLY、INTENT_INTERPRETATION_ONLY、FFL_OPTIONAL、EXPERT_MARKET</x:t>
        </x:is>
      </x:c>
      <x:c r="AP1012" s="604" t="inlineStr">
        <x:is>
          <x:t xml:space="preserve">fb02237636d8b4d4bc29</x:t>
        </x:is>
      </x:c>
      <x:c r="AQ1012" s="604" t="n">
        <x:v>0.5</x:v>
      </x:c>
      <x:c r="AR1012" s="604" t="n">
        <x:v>0.95</x:v>
      </x:c>
      <x:c r="AS1012" s="604" t="n">
        <x:v>-0.5</x:v>
      </x:c>
      <x:c r="AT1012" s="604" t="n">
        <x:v>0.5</x:v>
      </x:c>
      <x:c r="AU1012" s="604" t="n">
        <x:v>0.95</x:v>
      </x:c>
      <x:c r="AV1012" s="604" t="n">
        <x:v>0.93</x:v>
      </x:c>
      <x:c r="AW1012" s="604" t="n">
        <x:v>46299.08204853009</x:v>
      </x:c>
      <x:c r="AX1012" s="604" t="inlineStr">
        <x:is>
          <x:t xml:space="preserve">https://simondongxiao.github.io/odds/v4/</x:t>
        </x:is>
      </x:c>
      <x:c r="AY1012" s="604" t="inlineStr">
        <x:is>
          <x:t xml:space="preserve">V4 Shadow Only；real_money=false；P(EV&gt;0)不是比赛胜率</x:t>
        </x:is>
      </x:c>
    </x:row>
    <x:row r="1013" ht="22" customHeight="1">
      <x:c r="A1013" s="604" t="inlineStr">
        <x:is>
          <x:t xml:space="preserve">2026-10-04</x:t>
        </x:is>
      </x:c>
      <x:c r="B1013" s="604" t="inlineStr">
        <x:is>
          <x:t xml:space="preserve">2026-10-05 08:30</x:t>
        </x:is>
      </x:c>
      <x:c r="C1013" s="604" t="str">
        <x:v>其他系列</x:v>
      </x:c>
      <x:c r="D1013" s="604" t="inlineStr">
        <x:is>
          <x:t xml:space="preserve">联赛</x:t>
        </x:is>
      </x:c>
      <x:c r="E1013" s="604" t="inlineStr">
        <x:is>
          <x:t xml:space="preserve">牙买超</x:t>
        </x:is>
      </x:c>
      <x:c r="F1013" s="604" t="inlineStr">
        <x:is>
          <x:t xml:space="preserve">普莱森特法山 vs 卡瓦立尔</x:t>
        </x:is>
      </x:c>
      <x:c r="G1013" s="604" t="n">
        <x:v>0.9399999999999999</x:v>
      </x:c>
      <x:c r="H1013" s="604" t="n">
        <x:v>0</x:v>
      </x:c>
      <x:c r="I1013" s="604" t="n">
        <x:v>0.76</x:v>
      </x:c>
      <x:c r="J1013" s="604" t="inlineStr">
        <x:is>
          <x:t xml:space="preserve">0.94/0/0.76</x:t>
        </x:is>
      </x:c>
      <x:c r="K1013" s="604" t="inlineStr">
        <x:is>
          <x:t xml:space="preserve">V4-C｜EV +0.0149</x:t>
        </x:is>
      </x:c>
      <x:c r="L1013" s="604" t="str"/>
      <x:c r="M1013" s="604" t="n">
        <x:v>0.5231546807668594</x:v>
      </x:c>
      <x:c r="N1013" s="604" t="inlineStr">
        <x:is>
          <x:t xml:space="preserve">V4纸面入选-C</x:t>
        </x:is>
      </x:c>
      <x:c r="O1013" s="604" t="inlineStr">
        <x:is>
          <x:t xml:space="preserve">1-1</x:t>
        </x:is>
      </x:c>
      <x:c r="P1013" s="604" t="inlineStr">
        <x:is>
          <x:t xml:space="preserve">已结算</x:t>
        </x:is>
      </x:c>
      <x:c r="Q1013" s="647" t="inlineStr">
        <x:is>
          <x:t xml:space="preserve">走</x:t>
        </x:is>
      </x:c>
      <x:c r="R1013" s="604" t="n">
        <x:v>0.76</x:v>
      </x:c>
      <x:c r="S1013" s="604" t="n">
        <x:f>IF(OR(Q1013="",Q1013="待结算"),"",IF(Q1013="红",R1013,IF(Q1013="半红",R1013*0.5,IF(Q1013="走",0,IF(Q1013="半黑",-0.5,-1)))))</x:f>
        <x:v>0</x:v>
      </x:c>
      <x:c r="T1013" s="604" t="inlineStr">
        <x:is>
          <x:t xml:space="preserve">https://m.titan007.com/analy/Analysis/3094002.htm</x:t>
        </x:is>
      </x:c>
      <x:c r="U1013" s="647" t="str">
        <x:f>IF(Q1013="","",IF(Q1013="待结算","待结算",IF(Q1013="红","黑",IF(Q1013="半红","半黑",IF(Q1013="走","走",IF(Q1013="半黑","半红","红"))))))</x:f>
        <x:v>走</x:v>
      </x:c>
      <x:c r="V1013" s="604" t="n">
        <x:f>IF(OR(Q1013="",Q1013="待结算"),"",IF(L1013=LEFT(F1013,FIND(" vs ",F1013)-1),I1013,G1013))</x:f>
        <x:v>0.94</x:v>
      </x:c>
      <x:c r="W1013" s="604" t="n">
        <x:f>IF(OR(U1013="",U1013="待结算"),"",IF(U1013="红",V1013,IF(U1013="半红",V1013*0.5,IF(U1013="走",0,IF(U1013="半黑",-0.5,-1)))))</x:f>
        <x:v>0</x:v>
      </x:c>
      <x:c r="X1013" s="604" t="inlineStr">
        <x:is>
          <x:t xml:space="preserve">3094002</x:t>
        </x:is>
      </x:c>
      <x:c r="Y1013" s="604" t="inlineStr">
        <x:is>
          <x:t xml:space="preserve">V4</x:t>
        </x:is>
      </x:c>
      <x:c r="Z1013" s="604" t="inlineStr">
        <x:is>
          <x:t xml:space="preserve">prior-2026-10-04-v1</x:t>
        </x:is>
      </x:c>
      <x:c r="AA1013" s="604" t="inlineStr">
        <x:is>
          <x:t xml:space="preserve">C</x:t>
        </x:is>
      </x:c>
      <x:c r="AB1013" s="604" t="n">
        <x:v>0.5231546807668594</x:v>
      </x:c>
      <x:c r="AC1013" s="604" t="n"/>
      <x:c r="AD1013" s="604" t="n"/>
      <x:c r="AE1013" s="604" t="n"/>
      <x:c r="AF1013" s="604" t="n">
        <x:v>0.4768453192331407</x:v>
      </x:c>
      <x:c r="AG1013" s="604" t="n">
        <x:v>0.01492008068770717</x:v>
      </x:c>
      <x:c r="AH1013" s="604" t="n"/>
      <x:c r="AI1013" s="604" t="n"/>
      <x:c r="AJ1013" s="604" t="n">
        <x:v>0.01492008068770717</x:v>
      </x:c>
      <x:c r="AK1013" s="604" t="n"/>
      <x:c r="AL1013" s="604" t="n"/>
      <x:c r="AM1013" s="604" t="n"/>
      <x:c r="AN1013" s="604" t="inlineStr">
        <x:is>
          <x:t xml:space="preserve">EVALUATED</x:t>
        </x:is>
      </x:c>
      <x:c r="AO1013" s="604" t="inlineStr">
        <x:is>
          <x:t xml:space="preserve">EDGE_BELOW_UNCERTAINTY_THRESHOLD、BUCKET_PRIOR_ONLY、INTENT_INTERPRETATION_ONLY、FFL_OPTIONAL、EXPERT_MARKET</x:t>
        </x:is>
      </x:c>
      <x:c r="AP1013" s="604" t="inlineStr">
        <x:is>
          <x:t xml:space="preserve">f77b33ac05bd4d8dd14f</x:t>
        </x:is>
      </x:c>
      <x:c r="AQ1013" s="604" t="n">
        <x:v>0</x:v>
      </x:c>
      <x:c r="AR1013" s="604" t="n"/>
      <x:c r="AS1013" s="604" t="n">
        <x:v>0</x:v>
      </x:c>
      <x:c r="AT1013" s="604" t="n">
        <x:v>0</x:v>
      </x:c>
      <x:c r="AU1013" s="604" t="n">
        <x:v>0.9399999999999999</x:v>
      </x:c>
      <x:c r="AV1013" s="604" t="n">
        <x:v>0.76</x:v>
      </x:c>
      <x:c r="AW1013" s="604" t="n">
        <x:v>46299.08204853009</x:v>
      </x:c>
      <x:c r="AX1013" s="604" t="inlineStr">
        <x:is>
          <x:t xml:space="preserve">https://simondongxiao.github.io/odds/v4/</x:t>
        </x:is>
      </x:c>
      <x:c r="AY1013" s="604" t="inlineStr">
        <x:is>
          <x:t xml:space="preserve">V4 Shadow Only；real_money=false；P(EV&gt;0)不是比赛胜率</x:t>
        </x:is>
      </x:c>
    </x:row>
    <x:row r="1014" ht="22" customHeight="1">
      <x:c r="A1014" s="604" t="inlineStr">
        <x:is>
          <x:t xml:space="preserve">2026-10-04</x:t>
        </x:is>
      </x:c>
      <x:c r="B1014" s="604" t="inlineStr">
        <x:is>
          <x:t xml:space="preserve">2026-10-05 09:00</x:t>
        </x:is>
      </x:c>
      <x:c r="C1014" s="604" t="str">
        <x:v>北美系列</x:v>
      </x:c>
      <x:c r="D1014" s="604" t="inlineStr">
        <x:is>
          <x:t xml:space="preserve">联赛</x:t>
        </x:is>
      </x:c>
      <x:c r="E1014" s="604" t="inlineStr">
        <x:is>
          <x:t xml:space="preserve">萨尔超春</x:t>
        </x:is>
      </x:c>
      <x:c r="F1014" s="604" t="inlineStr">
        <x:is>
          <x:t xml:space="preserve">CD法斯 vs 印加阿鲁巴</x:t>
        </x:is>
      </x:c>
      <x:c r="G1014" s="604" t="n">
        <x:v>0.9</x:v>
      </x:c>
      <x:c r="H1014" s="604" t="n">
        <x:v>1.5</x:v>
      </x:c>
      <x:c r="I1014" s="604" t="n">
        <x:v>0.86</x:v>
      </x:c>
      <x:c r="J1014" s="604" t="inlineStr">
        <x:is>
          <x:t xml:space="preserve">0.9/1.5/0.86</x:t>
        </x:is>
      </x:c>
      <x:c r="K1014" s="604" t="inlineStr">
        <x:is>
          <x:t xml:space="preserve">V4-B｜EV +0.2498</x:t>
        </x:is>
      </x:c>
      <x:c r="L1014" s="604" t="inlineStr">
        <x:is>
          <x:t xml:space="preserve">CD法斯</x:t>
        </x:is>
      </x:c>
      <x:c r="M1014" s="604" t="n">
        <x:v>0.6577797599306979</x:v>
      </x:c>
      <x:c r="N1014" s="604" t="inlineStr">
        <x:is>
          <x:t xml:space="preserve">V4纸面入选-B</x:t>
        </x:is>
      </x:c>
      <x:c r="O1014" s="604" t="inlineStr">
        <x:is>
          <x:t xml:space="preserve">1-1</x:t>
        </x:is>
      </x:c>
      <x:c r="P1014" s="604" t="inlineStr">
        <x:is>
          <x:t xml:space="preserve">已结算</x:t>
        </x:is>
      </x:c>
      <x:c r="Q1014" s="646" t="inlineStr">
        <x:is>
          <x:t xml:space="preserve">黑</x:t>
        </x:is>
      </x:c>
      <x:c r="R1014" s="604" t="n">
        <x:v>0.9</x:v>
      </x:c>
      <x:c r="S1014" s="604" t="n">
        <x:f>IF(OR(Q1014="",Q1014="待结算"),"",IF(Q1014="红",R1014,IF(Q1014="半红",R1014*0.5,IF(Q1014="走",0,IF(Q1014="半黑",-0.5,-1)))))</x:f>
        <x:v>-1</x:v>
      </x:c>
      <x:c r="T1014" s="604" t="inlineStr">
        <x:is>
          <x:t xml:space="preserve">https://m.titan007.com/analy/Analysis/3041936.htm</x:t>
        </x:is>
      </x:c>
      <x:c r="U1014" s="645" t="str">
        <x:f>IF(Q1014="","",IF(Q1014="待结算","待结算",IF(Q1014="红","黑",IF(Q1014="半红","半黑",IF(Q1014="走","走",IF(Q1014="半黑","半红","红"))))))</x:f>
        <x:v>红</x:v>
      </x:c>
      <x:c r="V1014" s="604" t="n">
        <x:f>IF(OR(Q1014="",Q1014="待结算"),"",IF(L1014=LEFT(F1014,FIND(" vs ",F1014)-1),I1014,G1014))</x:f>
        <x:v>0.86</x:v>
      </x:c>
      <x:c r="W1014" s="604" t="n">
        <x:f>IF(OR(U1014="",U1014="待结算"),"",IF(U1014="红",V1014,IF(U1014="半红",V1014*0.5,IF(U1014="走",0,IF(U1014="半黑",-0.5,-1)))))</x:f>
        <x:v>0.86</x:v>
      </x:c>
      <x:c r="X1014" s="604" t="inlineStr">
        <x:is>
          <x:t xml:space="preserve">3041936</x:t>
        </x:is>
      </x:c>
      <x:c r="Y1014" s="604" t="inlineStr">
        <x:is>
          <x:t xml:space="preserve">V4</x:t>
        </x:is>
      </x:c>
      <x:c r="Z1014" s="604" t="inlineStr">
        <x:is>
          <x:t xml:space="preserve">prior-2026-10-04-v1</x:t>
        </x:is>
      </x:c>
      <x:c r="AA1014" s="604" t="inlineStr">
        <x:is>
          <x:t xml:space="preserve">B</x:t>
        </x:is>
      </x:c>
      <x:c r="AB1014" s="604" t="n">
        <x:v>0.6577797599306979</x:v>
      </x:c>
      <x:c r="AC1014" s="604" t="n"/>
      <x:c r="AD1014" s="604" t="n"/>
      <x:c r="AE1014" s="604" t="n"/>
      <x:c r="AF1014" s="604" t="n">
        <x:v>0.3422202400693021</x:v>
      </x:c>
      <x:c r="AG1014" s="604" t="n">
        <x:v>0.249781543868326</x:v>
      </x:c>
      <x:c r="AH1014" s="604" t="n"/>
      <x:c r="AI1014" s="604" t="n"/>
      <x:c r="AJ1014" s="604" t="n">
        <x:v>0.249781543868326</x:v>
      </x:c>
      <x:c r="AK1014" s="604" t="n"/>
      <x:c r="AL1014" s="604" t="n"/>
      <x:c r="AM1014" s="604" t="n"/>
      <x:c r="AN1014" s="604" t="inlineStr">
        <x:is>
          <x:t xml:space="preserve">EVALUATED</x:t>
        </x:is>
      </x:c>
      <x:c r="AO1014" s="604" t="inlineStr">
        <x:is>
          <x:t xml:space="preserve">GIVING_VALIDATED_EDGE、BUCKET_PRIOR_ONLY、INTENT_INTERPRETATION_ONLY、FFL_OPTIONAL、EXPERT_MARKET</x:t>
        </x:is>
      </x:c>
      <x:c r="AP1014" s="604" t="inlineStr">
        <x:is>
          <x:t xml:space="preserve">f010ce32ddb51104cab4</x:t>
        </x:is>
      </x:c>
      <x:c r="AQ1014" s="604" t="n">
        <x:v>-1.5</x:v>
      </x:c>
      <x:c r="AR1014" s="604" t="n">
        <x:v>0.9</x:v>
      </x:c>
      <x:c r="AS1014" s="604" t="n">
        <x:v>1.5</x:v>
      </x:c>
      <x:c r="AT1014" s="604" t="n">
        <x:v>-1.5</x:v>
      </x:c>
      <x:c r="AU1014" s="604" t="n">
        <x:v>0.9</x:v>
      </x:c>
      <x:c r="AV1014" s="604" t="n">
        <x:v>0.86</x:v>
      </x:c>
      <x:c r="AW1014" s="604" t="n">
        <x:v>46299.08204853009</x:v>
      </x:c>
      <x:c r="AX1014" s="604" t="inlineStr">
        <x:is>
          <x:t xml:space="preserve">https://simondongxiao.github.io/odds/v4/</x:t>
        </x:is>
      </x:c>
      <x:c r="AY1014" s="604" t="inlineStr">
        <x:is>
          <x:t xml:space="preserve">V4 Shadow Only；real_money=false；P(EV&gt;0)不是比赛胜率</x:t>
        </x:is>
      </x:c>
    </x:row>
    <x:row r="1015" ht="22" customHeight="1">
      <x:c r="A1015" s="604" t="inlineStr">
        <x:is>
          <x:t xml:space="preserve">2026-10-04</x:t>
        </x:is>
      </x:c>
      <x:c r="B1015" s="604" t="inlineStr">
        <x:is>
          <x:t xml:space="preserve">2026-10-05 09:00</x:t>
        </x:is>
      </x:c>
      <x:c r="C1015" s="604" t="str">
        <x:v>北美系列</x:v>
      </x:c>
      <x:c r="D1015" s="604" t="inlineStr">
        <x:is>
          <x:t xml:space="preserve">联赛</x:t>
        </x:is>
      </x:c>
      <x:c r="E1015" s="604" t="inlineStr">
        <x:is>
          <x:t xml:space="preserve">危地甲春</x:t>
        </x:is>
      </x:c>
      <x:c r="F1015" s="604" t="inlineStr">
        <x:is>
          <x:t xml:space="preserve">齐奥内斯交流会 vs 苏奇特佩基</x:t>
        </x:is>
      </x:c>
      <x:c r="G1015" s="604" t="n">
        <x:v>0.9399999999999999</x:v>
      </x:c>
      <x:c r="H1015" s="604" t="n">
        <x:v>1.25</x:v>
      </x:c>
      <x:c r="I1015" s="604" t="n">
        <x:v>0.76</x:v>
      </x:c>
      <x:c r="J1015" s="604" t="inlineStr">
        <x:is>
          <x:t xml:space="preserve">0.94/1.25/0.76</x:t>
        </x:is>
      </x:c>
      <x:c r="K1015" s="604" t="inlineStr">
        <x:is>
          <x:t xml:space="preserve">V4-B｜EV +0.0991</x:t>
        </x:is>
      </x:c>
      <x:c r="L1015" s="604" t="inlineStr">
        <x:is>
          <x:t xml:space="preserve">齐奥内斯交流会</x:t>
        </x:is>
      </x:c>
      <x:c r="M1015" s="604" t="n">
        <x:v>0.5738700565805145</x:v>
      </x:c>
      <x:c r="N1015" s="604" t="inlineStr">
        <x:is>
          <x:t xml:space="preserve">V4纸面入选-B</x:t>
        </x:is>
      </x:c>
      <x:c r="O1015" s="604" t="inlineStr">
        <x:is>
          <x:t xml:space="preserve">3-0</x:t>
        </x:is>
      </x:c>
      <x:c r="P1015" s="604" t="inlineStr">
        <x:is>
          <x:t xml:space="preserve">已结算</x:t>
        </x:is>
      </x:c>
      <x:c r="Q1015" s="645" t="inlineStr">
        <x:is>
          <x:t xml:space="preserve">红</x:t>
        </x:is>
      </x:c>
      <x:c r="R1015" s="604" t="n">
        <x:v>0.9399999999999999</x:v>
      </x:c>
      <x:c r="S1015" s="604" t="n">
        <x:f>IF(OR(Q1015="",Q1015="待结算"),"",IF(Q1015="红",R1015,IF(Q1015="半红",R1015*0.5,IF(Q1015="走",0,IF(Q1015="半黑",-0.5,-1)))))</x:f>
        <x:v>0.94</x:v>
      </x:c>
      <x:c r="T1015" s="604" t="inlineStr">
        <x:is>
          <x:t xml:space="preserve">https://m.titan007.com/analy/Analysis/3011295.htm</x:t>
        </x:is>
      </x:c>
      <x:c r="U1015" s="646" t="str">
        <x:f>IF(Q1015="","",IF(Q1015="待结算","待结算",IF(Q1015="红","黑",IF(Q1015="半红","半黑",IF(Q1015="走","走",IF(Q1015="半黑","半红","红"))))))</x:f>
        <x:v>黑</x:v>
      </x:c>
      <x:c r="V1015" s="604" t="n">
        <x:f>IF(OR(Q1015="",Q1015="待结算"),"",IF(L1015=LEFT(F1015,FIND(" vs ",F1015)-1),I1015,G1015))</x:f>
        <x:v>0.76</x:v>
      </x:c>
      <x:c r="W1015" s="604" t="n">
        <x:f>IF(OR(U1015="",U1015="待结算"),"",IF(U1015="红",V1015,IF(U1015="半红",V1015*0.5,IF(U1015="走",0,IF(U1015="半黑",-0.5,-1)))))</x:f>
        <x:v>-1</x:v>
      </x:c>
      <x:c r="X1015" s="604" t="inlineStr">
        <x:is>
          <x:t xml:space="preserve">3011295</x:t>
        </x:is>
      </x:c>
      <x:c r="Y1015" s="604" t="inlineStr">
        <x:is>
          <x:t xml:space="preserve">V4</x:t>
        </x:is>
      </x:c>
      <x:c r="Z1015" s="604" t="inlineStr">
        <x:is>
          <x:t xml:space="preserve">prior-2026-10-04-v1</x:t>
        </x:is>
      </x:c>
      <x:c r="AA1015" s="604" t="inlineStr">
        <x:is>
          <x:t xml:space="preserve">B</x:t>
        </x:is>
      </x:c>
      <x:c r="AB1015" s="604" t="n">
        <x:v>0.5019322427789393</x:v>
      </x:c>
      <x:c r="AC1015" s="604" t="n"/>
      <x:c r="AD1015" s="604" t="n"/>
      <x:c r="AE1015" s="604" t="n">
        <x:v>0.250711160049809</x:v>
      </x:c>
      <x:c r="AF1015" s="604" t="n">
        <x:v>0.2473565971712516</x:v>
      </x:c>
      <x:c r="AG1015" s="604" t="n">
        <x:v>0.09910413101604681</x:v>
      </x:c>
      <x:c r="AH1015" s="604" t="n"/>
      <x:c r="AI1015" s="604" t="n"/>
      <x:c r="AJ1015" s="604" t="n">
        <x:v>0.09910413101604681</x:v>
      </x:c>
      <x:c r="AK1015" s="604" t="n"/>
      <x:c r="AL1015" s="604" t="n"/>
      <x:c r="AM1015" s="604" t="n"/>
      <x:c r="AN1015" s="604" t="inlineStr">
        <x:is>
          <x:t xml:space="preserve">EVALUATED</x:t>
        </x:is>
      </x:c>
      <x:c r="AO1015" s="604" t="inlineStr">
        <x:is>
          <x:t xml:space="preserve">GIVING_VALIDATED_EDGE、BUCKET_PRIOR_ONLY、INTENT_INTERPRETATION_ONLY、FFL_OPTIONAL、EXPERT_MARKET</x:t>
        </x:is>
      </x:c>
      <x:c r="AP1015" s="604" t="inlineStr">
        <x:is>
          <x:t xml:space="preserve">ca24c50f8be10f898c48</x:t>
        </x:is>
      </x:c>
      <x:c r="AQ1015" s="604" t="n">
        <x:v>-1.25</x:v>
      </x:c>
      <x:c r="AR1015" s="604" t="n">
        <x:v>0.9399999999999999</x:v>
      </x:c>
      <x:c r="AS1015" s="604" t="n">
        <x:v>1.25</x:v>
      </x:c>
      <x:c r="AT1015" s="604" t="n">
        <x:v>-1.25</x:v>
      </x:c>
      <x:c r="AU1015" s="604" t="n">
        <x:v>0.9399999999999999</x:v>
      </x:c>
      <x:c r="AV1015" s="604" t="n">
        <x:v>0.76</x:v>
      </x:c>
      <x:c r="AW1015" s="604" t="n">
        <x:v>46299.08204853009</x:v>
      </x:c>
      <x:c r="AX1015" s="604" t="inlineStr">
        <x:is>
          <x:t xml:space="preserve">https://simondongxiao.github.io/odds/v4/</x:t>
        </x:is>
      </x:c>
      <x:c r="AY1015" s="604" t="inlineStr">
        <x:is>
          <x:t xml:space="preserve">V4 Shadow Only；real_money=false；P(EV&gt;0)不是比赛胜率</x:t>
        </x:is>
      </x:c>
    </x:row>
    <x:row r="1016" ht="22" customHeight="1">
      <x:c r="A1016" s="604" t="inlineStr">
        <x:is>
          <x:t xml:space="preserve">2026-10-04</x:t>
        </x:is>
      </x:c>
      <x:c r="B1016" s="604" t="inlineStr">
        <x:is>
          <x:t xml:space="preserve">2026-10-05 09:15</x:t>
        </x:is>
      </x:c>
      <x:c r="C1016" s="604" t="str">
        <x:v>南美系列</x:v>
      </x:c>
      <x:c r="D1016" s="604" t="inlineStr">
        <x:is>
          <x:t xml:space="preserve">联赛</x:t>
        </x:is>
      </x:c>
      <x:c r="E1016" s="604" t="inlineStr">
        <x:is>
          <x:t xml:space="preserve">哥伦甲秋</x:t>
        </x:is>
      </x:c>
      <x:c r="F1016" s="604" t="inlineStr">
        <x:is>
          <x:t xml:space="preserve">拉尼洛斯 vs 卡利美洲</x:t>
        </x:is>
      </x:c>
      <x:c r="G1016" s="604" t="n">
        <x:v>0.99</x:v>
      </x:c>
      <x:c r="H1016" s="604" t="n">
        <x:v>-0.25</x:v>
      </x:c>
      <x:c r="I1016" s="604" t="n">
        <x:v>0.89</x:v>
      </x:c>
      <x:c r="J1016" s="604" t="inlineStr">
        <x:is>
          <x:t xml:space="preserve">0.99/-0.25/0.89</x:t>
        </x:is>
      </x:c>
      <x:c r="K1016" s="604" t="inlineStr">
        <x:is>
          <x:t xml:space="preserve">V4-B｜EV +0.3756</x:t>
        </x:is>
      </x:c>
      <x:c r="L1016" s="604" t="inlineStr">
        <x:is>
          <x:t xml:space="preserve">拉尼洛斯</x:t>
        </x:is>
      </x:c>
      <x:c r="M1016" s="604" t="n">
        <x:v>0.7186579285284775</x:v>
      </x:c>
      <x:c r="N1016" s="604" t="inlineStr">
        <x:is>
          <x:t xml:space="preserve">V4纸面入选-B</x:t>
        </x:is>
      </x:c>
      <x:c r="O1016" s="604" t="inlineStr">
        <x:is>
          <x:t xml:space="preserve">1-2</x:t>
        </x:is>
      </x:c>
      <x:c r="P1016" s="604" t="inlineStr">
        <x:is>
          <x:t xml:space="preserve">已结算</x:t>
        </x:is>
      </x:c>
      <x:c r="Q1016" s="646" t="inlineStr">
        <x:is>
          <x:t xml:space="preserve">黑</x:t>
        </x:is>
      </x:c>
      <x:c r="R1016" s="604" t="n">
        <x:v>0.99</x:v>
      </x:c>
      <x:c r="S1016" s="604" t="n">
        <x:f>IF(OR(Q1016="",Q1016="待结算"),"",IF(Q1016="红",R1016,IF(Q1016="半红",R1016*0.5,IF(Q1016="走",0,IF(Q1016="半黑",-0.5,-1)))))</x:f>
        <x:v>-1</x:v>
      </x:c>
      <x:c r="T1016" s="604" t="inlineStr">
        <x:is>
          <x:t xml:space="preserve">https://m.titan007.com/analy/Analysis/3011885.htm</x:t>
        </x:is>
      </x:c>
      <x:c r="U1016" s="645" t="str">
        <x:f>IF(Q1016="","",IF(Q1016="待结算","待结算",IF(Q1016="红","黑",IF(Q1016="半红","半黑",IF(Q1016="走","走",IF(Q1016="半黑","半红","红"))))))</x:f>
        <x:v>红</x:v>
      </x:c>
      <x:c r="V1016" s="604" t="n">
        <x:f>IF(OR(Q1016="",Q1016="待结算"),"",IF(L1016=LEFT(F1016,FIND(" vs ",F1016)-1),I1016,G1016))</x:f>
        <x:v>0.89</x:v>
      </x:c>
      <x:c r="W1016" s="604" t="n">
        <x:f>IF(OR(U1016="",U1016="待结算"),"",IF(U1016="红",V1016,IF(U1016="半红",V1016*0.5,IF(U1016="走",0,IF(U1016="半黑",-0.5,-1)))))</x:f>
        <x:v>0.89</x:v>
      </x:c>
      <x:c r="X1016" s="604" t="inlineStr">
        <x:is>
          <x:t xml:space="preserve">3011885</x:t>
        </x:is>
      </x:c>
      <x:c r="Y1016" s="604" t="inlineStr">
        <x:is>
          <x:t xml:space="preserve">V4</x:t>
        </x:is>
      </x:c>
      <x:c r="Z1016" s="604" t="inlineStr">
        <x:is>
          <x:t xml:space="preserve">prior-2026-10-04-v1</x:t>
        </x:is>
      </x:c>
      <x:c r="AA1016" s="604" t="inlineStr">
        <x:is>
          <x:t xml:space="preserve">B</x:t>
        </x:is>
      </x:c>
      <x:c r="AB1016" s="604" t="n">
        <x:v>0.5007149816936801</x:v>
      </x:c>
      <x:c r="AC1016" s="604" t="n">
        <x:v>0.2536199242642788</x:v>
      </x:c>
      <x:c r="AD1016" s="604" t="n"/>
      <x:c r="AE1016" s="604" t="n"/>
      <x:c r="AF1016" s="604" t="n">
        <x:v>0.2456650940420411</x:v>
      </x:c>
      <x:c r="AG1016" s="604" t="n">
        <x:v>0.3755846003455203</x:v>
      </x:c>
      <x:c r="AH1016" s="604" t="n"/>
      <x:c r="AI1016" s="604" t="n"/>
      <x:c r="AJ1016" s="604" t="n">
        <x:v>0.3755846003455203</x:v>
      </x:c>
      <x:c r="AK1016" s="604" t="n"/>
      <x:c r="AL1016" s="604" t="n"/>
      <x:c r="AM1016" s="604" t="n"/>
      <x:c r="AN1016" s="604" t="inlineStr">
        <x:is>
          <x:t xml:space="preserve">EVALUATED</x:t>
        </x:is>
      </x:c>
      <x:c r="AO1016" s="604" t="inlineStr">
        <x:is>
          <x:t xml:space="preserve">RECEIVING_VALIDATED_EDGE、BUCKET_PRIOR_ONLY、INTENT_INTERPRETATION_ONLY、FFL_OPTIONAL、EXPERT_MARKET</x:t>
        </x:is>
      </x:c>
      <x:c r="AP1016" s="604" t="inlineStr">
        <x:is>
          <x:t xml:space="preserve">d14c988b602aaee4bd7f</x:t>
        </x:is>
      </x:c>
      <x:c r="AQ1016" s="604" t="n">
        <x:v>0.25</x:v>
      </x:c>
      <x:c r="AR1016" s="604" t="n">
        <x:v>0.99</x:v>
      </x:c>
      <x:c r="AS1016" s="604" t="n">
        <x:v>-0.25</x:v>
      </x:c>
      <x:c r="AT1016" s="604" t="n">
        <x:v>0.25</x:v>
      </x:c>
      <x:c r="AU1016" s="604" t="n">
        <x:v>0.99</x:v>
      </x:c>
      <x:c r="AV1016" s="604" t="n">
        <x:v>0.89</x:v>
      </x:c>
      <x:c r="AW1016" s="604" t="n">
        <x:v>46299.08204853009</x:v>
      </x:c>
      <x:c r="AX1016" s="604" t="inlineStr">
        <x:is>
          <x:t xml:space="preserve">https://simondongxiao.github.io/odds/v4/</x:t>
        </x:is>
      </x:c>
      <x:c r="AY1016" s="604" t="inlineStr">
        <x:is>
          <x:t xml:space="preserve">V4 Shadow Only；real_money=false；P(EV&gt;0)不是比赛胜率</x:t>
        </x:is>
      </x:c>
    </x:row>
    <x:row r="1017" ht="22" customHeight="1">
      <x:c r="A1017" s="604" t="inlineStr">
        <x:is>
          <x:t xml:space="preserve">2026-10-04</x:t>
        </x:is>
      </x:c>
      <x:c r="B1017" s="604" t="inlineStr">
        <x:is>
          <x:t xml:space="preserve">2026-10-05 10:00</x:t>
        </x:is>
      </x:c>
      <x:c r="C1017" s="604" t="str">
        <x:v>北美系列</x:v>
      </x:c>
      <x:c r="D1017" s="604" t="inlineStr">
        <x:is>
          <x:t xml:space="preserve">联赛</x:t>
        </x:is>
      </x:c>
      <x:c r="E1017" s="604" t="inlineStr">
        <x:is>
          <x:t xml:space="preserve">中北美国联</x:t>
        </x:is>
      </x:c>
      <x:c r="F1017" s="604" t="inlineStr">
        <x:is>
          <x:t xml:space="preserve">尼加拉瓜 vs 多米尼加共和国</x:t>
        </x:is>
      </x:c>
      <x:c r="G1017" s="604" t="n">
        <x:v>0.7</x:v>
      </x:c>
      <x:c r="H1017" s="604" t="n">
        <x:v>-1</x:v>
      </x:c>
      <x:c r="I1017" s="604" t="n">
        <x:v>1.06</x:v>
      </x:c>
      <x:c r="J1017" s="604" t="inlineStr">
        <x:is>
          <x:t xml:space="preserve">0.7/-1/1.06</x:t>
        </x:is>
      </x:c>
      <x:c r="K1017" s="604" t="inlineStr">
        <x:is>
          <x:t xml:space="preserve">V4-B｜EV +0.5721</x:t>
        </x:is>
      </x:c>
      <x:c r="L1017" s="604" t="inlineStr">
        <x:is>
          <x:t xml:space="preserve">尼加拉瓜</x:t>
        </x:is>
      </x:c>
      <x:c r="M1017" s="604" t="n">
        <x:v>0.9605388914434001</x:v>
      </x:c>
      <x:c r="N1017" s="604" t="inlineStr">
        <x:is>
          <x:t xml:space="preserve">V4纸面入选-B</x:t>
        </x:is>
      </x:c>
      <x:c r="O1017" s="604" t="inlineStr">
        <x:is>
          <x:t xml:space="preserve">1-2</x:t>
        </x:is>
      </x:c>
      <x:c r="P1017" s="604" t="inlineStr">
        <x:is>
          <x:t xml:space="preserve">已结算</x:t>
        </x:is>
      </x:c>
      <x:c r="Q1017" s="647" t="inlineStr">
        <x:is>
          <x:t xml:space="preserve">走</x:t>
        </x:is>
      </x:c>
      <x:c r="R1017" s="604" t="n">
        <x:v>0.7</x:v>
      </x:c>
      <x:c r="S1017" s="604" t="n">
        <x:f>IF(OR(Q1017="",Q1017="待结算"),"",IF(Q1017="红",R1017,IF(Q1017="半红",R1017*0.5,IF(Q1017="走",0,IF(Q1017="半黑",-0.5,-1)))))</x:f>
        <x:v>0</x:v>
      </x:c>
      <x:c r="T1017" s="604" t="inlineStr">
        <x:is>
          <x:t xml:space="preserve">https://m.titan007.com/analy/Analysis/3092435.htm</x:t>
        </x:is>
      </x:c>
      <x:c r="U1017" s="647" t="str">
        <x:f>IF(Q1017="","",IF(Q1017="待结算","待结算",IF(Q1017="红","黑",IF(Q1017="半红","半黑",IF(Q1017="走","走",IF(Q1017="半黑","半红","红"))))))</x:f>
        <x:v>走</x:v>
      </x:c>
      <x:c r="V1017" s="604" t="n">
        <x:f>IF(OR(Q1017="",Q1017="待结算"),"",IF(L1017=LEFT(F1017,FIND(" vs ",F1017)-1),I1017,G1017))</x:f>
        <x:v>1.06</x:v>
      </x:c>
      <x:c r="W1017" s="604" t="n">
        <x:f>IF(OR(U1017="",U1017="待结算"),"",IF(U1017="红",V1017,IF(U1017="半红",V1017*0.5,IF(U1017="走",0,IF(U1017="半黑",-0.5,-1)))))</x:f>
        <x:v>0</x:v>
      </x:c>
      <x:c r="X1017" s="604" t="inlineStr">
        <x:is>
          <x:t xml:space="preserve">3092435</x:t>
        </x:is>
      </x:c>
      <x:c r="Y1017" s="604" t="inlineStr">
        <x:is>
          <x:t xml:space="preserve">V4</x:t>
        </x:is>
      </x:c>
      <x:c r="Z1017" s="604" t="inlineStr">
        <x:is>
          <x:t xml:space="preserve">prior-2026-10-04-v1</x:t>
        </x:is>
      </x:c>
      <x:c r="AA1017" s="604" t="inlineStr">
        <x:is>
          <x:t xml:space="preserve">B</x:t>
        </x:is>
      </x:c>
      <x:c r="AB1017" s="604" t="n">
        <x:v>0.8682164241551845</x:v>
      </x:c>
      <x:c r="AC1017" s="604" t="n"/>
      <x:c r="AD1017" s="604" t="n">
        <x:v>0.09611528290070877</x:v>
      </x:c>
      <x:c r="AE1017" s="604" t="n"/>
      <x:c r="AF1017" s="604" t="n">
        <x:v>0.03566829294410667</x:v>
      </x:c>
      <x:c r="AG1017" s="604" t="n">
        <x:v>0.5720832039645225</x:v>
      </x:c>
      <x:c r="AH1017" s="604" t="n"/>
      <x:c r="AI1017" s="604" t="n"/>
      <x:c r="AJ1017" s="604" t="n">
        <x:v>0.5720832039645225</x:v>
      </x:c>
      <x:c r="AK1017" s="604" t="n"/>
      <x:c r="AL1017" s="604" t="n"/>
      <x:c r="AM1017" s="604" t="n"/>
      <x:c r="AN1017" s="604" t="inlineStr">
        <x:is>
          <x:t xml:space="preserve">EVALUATED</x:t>
        </x:is>
      </x:c>
      <x:c r="AO1017" s="604" t="inlineStr">
        <x:is>
          <x:t xml:space="preserve">RECEIVING_VALIDATED_EDGE、BUCKET_PRIOR_ONLY、INTENT_INTERPRETATION_ONLY、FFL_OPTIONAL、EXPERT_MARKET</x:t>
        </x:is>
      </x:c>
      <x:c r="AP1017" s="604" t="inlineStr">
        <x:is>
          <x:t xml:space="preserve">69917c36929ab152e6d5</x:t>
        </x:is>
      </x:c>
      <x:c r="AQ1017" s="604" t="n">
        <x:v>1</x:v>
      </x:c>
      <x:c r="AR1017" s="604" t="n">
        <x:v>0.7</x:v>
      </x:c>
      <x:c r="AS1017" s="604" t="n">
        <x:v>-1</x:v>
      </x:c>
      <x:c r="AT1017" s="604" t="n">
        <x:v>1</x:v>
      </x:c>
      <x:c r="AU1017" s="604" t="n">
        <x:v>0.7</x:v>
      </x:c>
      <x:c r="AV1017" s="604" t="n">
        <x:v>1.06</x:v>
      </x:c>
      <x:c r="AW1017" s="604" t="n">
        <x:v>46299.08204853009</x:v>
      </x:c>
      <x:c r="AX1017" s="604" t="inlineStr">
        <x:is>
          <x:t xml:space="preserve">https://simondongxiao.github.io/odds/v4/</x:t>
        </x:is>
      </x:c>
      <x:c r="AY1017" s="604" t="inlineStr">
        <x:is>
          <x:t xml:space="preserve">V4 Shadow Only；real_money=false；P(EV&gt;0)不是比赛胜率</x:t>
        </x:is>
      </x:c>
    </x:row>
    <x:row r="1018" ht="22" customHeight="1">
      <x:c r="A1018" s="604" t="inlineStr">
        <x:is>
          <x:t xml:space="preserve">2026-10-05</x:t>
        </x:is>
      </x:c>
      <x:c r="B1018" s="604" t="inlineStr">
        <x:is>
          <x:t xml:space="preserve">2026-10-05 13:30</x:t>
        </x:is>
      </x:c>
      <x:c r="C1018" s="604" t="str">
        <x:v>其他系列</x:v>
      </x:c>
      <x:c r="D1018" s="604" t="inlineStr">
        <x:is>
          <x:t xml:space="preserve">联赛</x:t>
        </x:is>
      </x:c>
      <x:c r="E1018" s="604" t="inlineStr">
        <x:is>
          <x:t xml:space="preserve">印班超</x:t>
        </x:is>
      </x:c>
      <x:c r="F1018" s="604" t="inlineStr">
        <x:is>
          <x:t xml:space="preserve">南部联队 vs 麦格</x:t>
        </x:is>
      </x:c>
      <x:c r="G1018" s="604" t="n">
        <x:v>1</x:v>
      </x:c>
      <x:c r="H1018" s="604" t="n">
        <x:v>0</x:v>
      </x:c>
      <x:c r="I1018" s="604" t="n">
        <x:v>0.8</x:v>
      </x:c>
      <x:c r="J1018" s="604" t="inlineStr">
        <x:is>
          <x:t xml:space="preserve">1/0/0.8</x:t>
        </x:is>
      </x:c>
      <x:c r="K1018" s="604" t="inlineStr">
        <x:is>
          <x:t xml:space="preserve">V4-C｜EV +0.0117</x:t>
        </x:is>
      </x:c>
      <x:c r="L1018" s="604" t="str"/>
      <x:c r="M1018" s="604" t="n">
        <x:v>0.4357790836228966</x:v>
      </x:c>
      <x:c r="N1018" s="604" t="inlineStr">
        <x:is>
          <x:t xml:space="preserve">V4纸面入选-C</x:t>
        </x:is>
      </x:c>
      <x:c r="O1018" s="604" t="inlineStr">
        <x:is>
          <x:t xml:space="preserve">2-2</x:t>
        </x:is>
      </x:c>
      <x:c r="P1018" s="604" t="inlineStr">
        <x:is>
          <x:t xml:space="preserve">已结算</x:t>
        </x:is>
      </x:c>
      <x:c r="Q1018" s="647" t="inlineStr">
        <x:is>
          <x:t xml:space="preserve">走</x:t>
        </x:is>
      </x:c>
      <x:c r="R1018" s="604" t="n">
        <x:v>0.8</x:v>
      </x:c>
      <x:c r="S1018" s="604" t="n">
        <x:f>IF(OR(Q1018="",Q1018="待结算"),"",IF(Q1018="红",R1018,IF(Q1018="半红",R1018*0.5,IF(Q1018="走",0,IF(Q1018="半黑",-0.5,-1)))))</x:f>
        <x:v>0</x:v>
      </x:c>
      <x:c r="T1018" s="604" t="inlineStr">
        <x:is>
          <x:t xml:space="preserve">https://m.titan007.com/analy/Analysis/3098107.htm</x:t>
        </x:is>
      </x:c>
      <x:c r="U1018" s="647" t="str">
        <x:f>IF(Q1018="","",IF(Q1018="待结算","待结算",IF(Q1018="红","黑",IF(Q1018="半红","半黑",IF(Q1018="走","走",IF(Q1018="半黑","半红","红"))))))</x:f>
        <x:v>走</x:v>
      </x:c>
      <x:c r="V1018" s="604" t="n">
        <x:f>IF(OR(Q1018="",Q1018="待结算"),"",IF(L1018=LEFT(F1018,FIND(" vs ",F1018)-1),I1018,G1018))</x:f>
        <x:v>1</x:v>
      </x:c>
      <x:c r="W1018" s="604" t="n">
        <x:f>IF(OR(U1018="",U1018="待结算"),"",IF(U1018="红",V1018,IF(U1018="半红",V1018*0.5,IF(U1018="走",0,IF(U1018="半黑",-0.5,-1)))))</x:f>
        <x:v>0</x:v>
      </x:c>
      <x:c r="X1018" s="604" t="inlineStr">
        <x:is>
          <x:t xml:space="preserve">3098107</x:t>
        </x:is>
      </x:c>
      <x:c r="Y1018" s="604" t="inlineStr">
        <x:is>
          <x:t xml:space="preserve">V4</x:t>
        </x:is>
      </x:c>
      <x:c r="Z1018" s="604" t="inlineStr">
        <x:is>
          <x:t xml:space="preserve">prior-2026-10-05-v1</x:t>
        </x:is>
      </x:c>
      <x:c r="AA1018" s="604" t="inlineStr">
        <x:is>
          <x:t xml:space="preserve">C</x:t>
        </x:is>
      </x:c>
      <x:c r="AB1018" s="604" t="n">
        <x:v>0.3272010406322152</x:v>
      </x:c>
      <x:c r="AC1018" s="604" t="n"/>
      <x:c r="AD1018" s="604" t="n">
        <x:v>0.2491584545270189</x:v>
      </x:c>
      <x:c r="AE1018" s="604" t="n"/>
      <x:c r="AF1018" s="604" t="n">
        <x:v>0.4236405048407659</x:v>
      </x:c>
      <x:c r="AG1018" s="604" t="n">
        <x:v>0.01171136324039762</x:v>
      </x:c>
      <x:c r="AH1018" s="604" t="n"/>
      <x:c r="AI1018" s="604" t="n"/>
      <x:c r="AJ1018" s="604" t="n">
        <x:v>0.01171136324039762</x:v>
      </x:c>
      <x:c r="AK1018" s="604" t="n"/>
      <x:c r="AL1018" s="604" t="n"/>
      <x:c r="AM1018" s="604" t="n"/>
      <x:c r="AN1018" s="604" t="inlineStr">
        <x:is>
          <x:t xml:space="preserve">EVALUATED</x:t>
        </x:is>
      </x:c>
      <x:c r="AO1018" s="604" t="inlineStr">
        <x:is>
          <x:t xml:space="preserve">EDGE_BELOW_UNCERTAINTY_THRESHOLD、BUCKET_PRIOR_ONLY、INTENT_INTERPRETATION_ONLY、FFL_OPTIONAL、EXPERT_MARKET</x:t>
        </x:is>
      </x:c>
      <x:c r="AP1018" s="604" t="inlineStr">
        <x:is>
          <x:t xml:space="preserve">7dac60d0c3e0cb23744f</x:t>
        </x:is>
      </x:c>
      <x:c r="AQ1018" s="604" t="n">
        <x:v>0</x:v>
      </x:c>
      <x:c r="AR1018" s="604" t="n"/>
      <x:c r="AS1018" s="604" t="n">
        <x:v>0</x:v>
      </x:c>
      <x:c r="AT1018" s="604" t="n">
        <x:v>0</x:v>
      </x:c>
      <x:c r="AU1018" s="604" t="n">
        <x:v>1</x:v>
      </x:c>
      <x:c r="AV1018" s="604" t="n">
        <x:v>0.8</x:v>
      </x:c>
      <x:c r="AW1018" s="604" t="n">
        <x:v>46300.07479607639</x:v>
      </x:c>
      <x:c r="AX1018" s="604" t="inlineStr">
        <x:is>
          <x:t xml:space="preserve">https://simondongxiao.github.io/odds/v4/</x:t>
        </x:is>
      </x:c>
      <x:c r="AY1018" s="604" t="inlineStr">
        <x:is>
          <x:t xml:space="preserve">V4 Shadow Only；real_money=false；P(EV&gt;0)不是比赛胜率</x:t>
        </x:is>
      </x:c>
    </x:row>
    <x:row r="1019" ht="22" customHeight="1">
      <x:c r="A1019" s="604" t="inlineStr">
        <x:is>
          <x:t xml:space="preserve">2026-10-05</x:t>
        </x:is>
      </x:c>
      <x:c r="B1019" s="604" t="inlineStr">
        <x:is>
          <x:t xml:space="preserve">2026-10-05 14:30</x:t>
        </x:is>
      </x:c>
      <x:c r="C1019" s="604" t="str">
        <x:v>其他系列</x:v>
      </x:c>
      <x:c r="D1019" s="604" t="inlineStr">
        <x:is>
          <x:t xml:space="preserve">联赛</x:t>
        </x:is>
      </x:c>
      <x:c r="E1019" s="604" t="inlineStr">
        <x:is>
          <x:t xml:space="preserve">国际友谊</x:t>
        </x:is>
      </x:c>
      <x:c r="F1019" s="604" t="inlineStr">
        <x:is>
          <x:t xml:space="preserve">巴拿马 vs 厄瓜多尔</x:t>
        </x:is>
      </x:c>
      <x:c r="G1019" s="604" t="n">
        <x:v>0.99</x:v>
      </x:c>
      <x:c r="H1019" s="604" t="n">
        <x:v>-0.75</x:v>
      </x:c>
      <x:c r="I1019" s="604" t="n">
        <x:v>0.83</x:v>
      </x:c>
      <x:c r="J1019" s="604" t="inlineStr">
        <x:is>
          <x:t xml:space="preserve">0.99/-0.75/0.83</x:t>
        </x:is>
      </x:c>
      <x:c r="K1019" s="604" t="inlineStr">
        <x:is>
          <x:t xml:space="preserve">V4-C｜EV +0.8043</x:t>
        </x:is>
      </x:c>
      <x:c r="L1019" s="604" t="inlineStr">
        <x:is>
          <x:t xml:space="preserve">巴拿马</x:t>
        </x:is>
      </x:c>
      <x:c r="M1019" s="604" t="n">
        <x:v>0.9247927310368692</x:v>
      </x:c>
      <x:c r="N1019" s="604" t="inlineStr">
        <x:is>
          <x:t xml:space="preserve">V4纸面入选-C</x:t>
        </x:is>
      </x:c>
      <x:c r="O1019" s="604" t="inlineStr">
        <x:is>
          <x:t xml:space="preserve">1-1</x:t>
        </x:is>
      </x:c>
      <x:c r="P1019" s="604" t="inlineStr">
        <x:is>
          <x:t xml:space="preserve">已结算</x:t>
        </x:is>
      </x:c>
      <x:c r="Q1019" s="645" t="inlineStr">
        <x:is>
          <x:t xml:space="preserve">红</x:t>
        </x:is>
      </x:c>
      <x:c r="R1019" s="604" t="n">
        <x:v>0.99</x:v>
      </x:c>
      <x:c r="S1019" s="604" t="n">
        <x:f>IF(OR(Q1019="",Q1019="待结算"),"",IF(Q1019="红",R1019,IF(Q1019="半红",R1019*0.5,IF(Q1019="走",0,IF(Q1019="半黑",-0.5,-1)))))</x:f>
        <x:v>0.99</x:v>
      </x:c>
      <x:c r="T1019" s="604" t="inlineStr">
        <x:is>
          <x:t xml:space="preserve">https://m.titan007.com/analy/Analysis/3097300.htm</x:t>
        </x:is>
      </x:c>
      <x:c r="U1019" s="646" t="str">
        <x:f>IF(Q1019="","",IF(Q1019="待结算","待结算",IF(Q1019="红","黑",IF(Q1019="半红","半黑",IF(Q1019="走","走",IF(Q1019="半黑","半红","红"))))))</x:f>
        <x:v>黑</x:v>
      </x:c>
      <x:c r="V1019" s="604" t="n">
        <x:f>IF(OR(Q1019="",Q1019="待结算"),"",IF(L1019=LEFT(F1019,FIND(" vs ",F1019)-1),I1019,G1019))</x:f>
        <x:v>0.83</x:v>
      </x:c>
      <x:c r="W1019" s="604" t="n">
        <x:f>IF(OR(U1019="",U1019="待结算"),"",IF(U1019="红",V1019,IF(U1019="半红",V1019*0.5,IF(U1019="走",0,IF(U1019="半黑",-0.5,-1)))))</x:f>
        <x:v>-1</x:v>
      </x:c>
      <x:c r="X1019" s="604" t="inlineStr">
        <x:is>
          <x:t xml:space="preserve">3097300</x:t>
        </x:is>
      </x:c>
      <x:c r="Y1019" s="604" t="inlineStr">
        <x:is>
          <x:t xml:space="preserve">V4</x:t>
        </x:is>
      </x:c>
      <x:c r="Z1019" s="604" t="inlineStr">
        <x:is>
          <x:t xml:space="preserve">prior-2026-10-05-v1</x:t>
        </x:is>
      </x:c>
      <x:c r="AA1019" s="604" t="inlineStr">
        <x:is>
          <x:t xml:space="preserve">C</x:t>
        </x:is>
      </x:c>
      <x:c r="AB1019" s="604" t="n">
        <x:v>0.8850848611673693</x:v>
      </x:c>
      <x:c r="AC1019" s="604" t="n"/>
      <x:c r="AD1019" s="604" t="n"/>
      <x:c r="AE1019" s="604" t="n">
        <x:v>0.08587409597171008</x:v>
      </x:c>
      <x:c r="AF1019" s="604" t="n">
        <x:v>0.02904104286092064</x:v>
      </x:c>
      <x:c r="AG1019" s="604" t="n">
        <x:v>0.8042559217089198</x:v>
      </x:c>
      <x:c r="AH1019" s="604" t="n"/>
      <x:c r="AI1019" s="604" t="n"/>
      <x:c r="AJ1019" s="604" t="n">
        <x:v>0.8042559217089198</x:v>
      </x:c>
      <x:c r="AK1019" s="604" t="n"/>
      <x:c r="AL1019" s="604" t="n"/>
      <x:c r="AM1019" s="604" t="n"/>
      <x:c r="AN1019" s="604" t="inlineStr">
        <x:is>
          <x:t xml:space="preserve">EVALUATED</x:t>
        </x:is>
      </x:c>
      <x:c r="AO1019" s="604" t="inlineStr">
        <x:is>
          <x:t xml:space="preserve">RECEIVING_VALIDATED_EDGE、BUCKET_PRIOR_ONLY、INTENT_INTERPRETATION_ONLY、FFL_OPTIONAL、EXPERT_MARKET</x:t>
        </x:is>
      </x:c>
      <x:c r="AP1019" s="604" t="inlineStr">
        <x:is>
          <x:t xml:space="preserve">fa820b482f88387dd08d</x:t>
        </x:is>
      </x:c>
      <x:c r="AQ1019" s="604" t="n">
        <x:v>0.75</x:v>
      </x:c>
      <x:c r="AR1019" s="604" t="n">
        <x:v>0.99</x:v>
      </x:c>
      <x:c r="AS1019" s="604" t="n">
        <x:v>-0.75</x:v>
      </x:c>
      <x:c r="AT1019" s="604" t="n">
        <x:v>0.75</x:v>
      </x:c>
      <x:c r="AU1019" s="604" t="n">
        <x:v>0.99</x:v>
      </x:c>
      <x:c r="AV1019" s="604" t="n">
        <x:v>0.83</x:v>
      </x:c>
      <x:c r="AW1019" s="604" t="n">
        <x:v>46300.07479607639</x:v>
      </x:c>
      <x:c r="AX1019" s="604" t="inlineStr">
        <x:is>
          <x:t xml:space="preserve">https://simondongxiao.github.io/odds/v4/</x:t>
        </x:is>
      </x:c>
      <x:c r="AY1019" s="604" t="inlineStr">
        <x:is>
          <x:t xml:space="preserve">V4 Shadow Only；real_money=false；P(EV&gt;0)不是比赛胜率</x:t>
        </x:is>
      </x:c>
    </x:row>
    <x:row r="1020" ht="22" customHeight="1">
      <x:c r="A1020" s="604" t="inlineStr">
        <x:is>
          <x:t xml:space="preserve">2026-10-05</x:t>
        </x:is>
      </x:c>
      <x:c r="B1020" s="604" t="inlineStr">
        <x:is>
          <x:t xml:space="preserve">2026-10-05 15:30</x:t>
        </x:is>
      </x:c>
      <x:c r="C1020" s="604" t="str">
        <x:v>日韩系列</x:v>
      </x:c>
      <x:c r="D1020" s="604" t="inlineStr">
        <x:is>
          <x:t xml:space="preserve">联赛</x:t>
        </x:is>
      </x:c>
      <x:c r="E1020" s="604" t="inlineStr">
        <x:is>
          <x:t xml:space="preserve">中U21</x:t>
        </x:is>
      </x:c>
      <x:c r="F1020" s="604" t="inlineStr">
        <x:is>
          <x:t xml:space="preserve">武汉三镇U21 vs 上海海港U21</x:t>
        </x:is>
      </x:c>
      <x:c r="G1020" s="604" t="n">
        <x:v>0.95</x:v>
      </x:c>
      <x:c r="H1020" s="604" t="n">
        <x:v>-1</x:v>
      </x:c>
      <x:c r="I1020" s="604" t="n">
        <x:v>0.85</x:v>
      </x:c>
      <x:c r="J1020" s="604" t="inlineStr">
        <x:is>
          <x:t xml:space="preserve">0.95/-1/0.85</x:t>
        </x:is>
      </x:c>
      <x:c r="K1020" s="604" t="inlineStr">
        <x:is>
          <x:t xml:space="preserve">V4-C｜EV +0.8239</x:t>
        </x:is>
      </x:c>
      <x:c r="L1020" s="604" t="inlineStr">
        <x:is>
          <x:t xml:space="preserve">武汉三镇U21</x:t>
        </x:is>
      </x:c>
      <x:c r="M1020" s="604" t="n">
        <x:v>0.9718623472065514</x:v>
      </x:c>
      <x:c r="N1020" s="604" t="inlineStr">
        <x:is>
          <x:t xml:space="preserve">V4纸面入选-C</x:t>
        </x:is>
      </x:c>
      <x:c r="O1020" s="604" t="inlineStr">
        <x:is>
          <x:t xml:space="preserve">0-0</x:t>
        </x:is>
      </x:c>
      <x:c r="P1020" s="604" t="inlineStr">
        <x:is>
          <x:t xml:space="preserve">已结算</x:t>
        </x:is>
      </x:c>
      <x:c r="Q1020" s="645" t="inlineStr">
        <x:is>
          <x:t xml:space="preserve">红</x:t>
        </x:is>
      </x:c>
      <x:c r="R1020" s="604" t="n">
        <x:v>0.95</x:v>
      </x:c>
      <x:c r="S1020" s="604" t="n">
        <x:f>IF(OR(Q1020="",Q1020="待结算"),"",IF(Q1020="红",R1020,IF(Q1020="半红",R1020*0.5,IF(Q1020="走",0,IF(Q1020="半黑",-0.5,-1)))))</x:f>
        <x:v>0.95</x:v>
      </x:c>
      <x:c r="T1020" s="604" t="inlineStr">
        <x:is>
          <x:t xml:space="preserve">https://m.titan007.com/analy/Analysis/3087368.htm</x:t>
        </x:is>
      </x:c>
      <x:c r="U1020" s="646" t="str">
        <x:f>IF(Q1020="","",IF(Q1020="待结算","待结算",IF(Q1020="红","黑",IF(Q1020="半红","半黑",IF(Q1020="走","走",IF(Q1020="半黑","半红","红"))))))</x:f>
        <x:v>黑</x:v>
      </x:c>
      <x:c r="V1020" s="604" t="n">
        <x:f>IF(OR(Q1020="",Q1020="待结算"),"",IF(L1020=LEFT(F1020,FIND(" vs ",F1020)-1),I1020,G1020))</x:f>
        <x:v>0.85</x:v>
      </x:c>
      <x:c r="W1020" s="604" t="n">
        <x:f>IF(OR(U1020="",U1020="待结算"),"",IF(U1020="红",V1020,IF(U1020="半红",V1020*0.5,IF(U1020="走",0,IF(U1020="半黑",-0.5,-1)))))</x:f>
        <x:v>-1</x:v>
      </x:c>
      <x:c r="X1020" s="604" t="inlineStr">
        <x:is>
          <x:t xml:space="preserve">3087368</x:t>
        </x:is>
      </x:c>
      <x:c r="Y1020" s="604" t="inlineStr">
        <x:is>
          <x:t xml:space="preserve">V4</x:t>
        </x:is>
      </x:c>
      <x:c r="Z1020" s="604" t="inlineStr">
        <x:is>
          <x:t xml:space="preserve">prior-2026-10-05-v1</x:t>
        </x:is>
      </x:c>
      <x:c r="AA1020" s="604" t="inlineStr">
        <x:is>
          <x:t xml:space="preserve">C</x:t>
        </x:is>
      </x:c>
      <x:c r="AB1020" s="604" t="n">
        <x:v>0.8945368995294677</x:v>
      </x:c>
      <x:c r="AC1020" s="604" t="n"/>
      <x:c r="AD1020" s="604" t="n">
        <x:v>0.07956419743942364</x:v>
      </x:c>
      <x:c r="AE1020" s="604" t="n"/>
      <x:c r="AF1020" s="604" t="n">
        <x:v>0.02589890303110871</x:v>
      </x:c>
      <x:c r="AG1020" s="604" t="n">
        <x:v>0.8239111515218855</x:v>
      </x:c>
      <x:c r="AH1020" s="604" t="n"/>
      <x:c r="AI1020" s="604" t="n"/>
      <x:c r="AJ1020" s="604" t="n">
        <x:v>0.8239111515218855</x:v>
      </x:c>
      <x:c r="AK1020" s="604" t="n"/>
      <x:c r="AL1020" s="604" t="n"/>
      <x:c r="AM1020" s="604" t="n"/>
      <x:c r="AN1020" s="604" t="inlineStr">
        <x:is>
          <x:t xml:space="preserve">EVALUATED</x:t>
        </x:is>
      </x:c>
      <x:c r="AO1020" s="604" t="inlineStr">
        <x:is>
          <x:t xml:space="preserve">RECEIVING_VALIDATED_EDGE、BUCKET_PRIOR_ONLY、INTENT_INTERPRETATION_ONLY、FFL_OPTIONAL、EXPERT_MARKET</x:t>
        </x:is>
      </x:c>
      <x:c r="AP1020" s="604" t="inlineStr">
        <x:is>
          <x:t xml:space="preserve">760787f972c3654c9959</x:t>
        </x:is>
      </x:c>
      <x:c r="AQ1020" s="604" t="n">
        <x:v>1</x:v>
      </x:c>
      <x:c r="AR1020" s="604" t="n">
        <x:v>0.95</x:v>
      </x:c>
      <x:c r="AS1020" s="604" t="n">
        <x:v>-1</x:v>
      </x:c>
      <x:c r="AT1020" s="604" t="n">
        <x:v>1</x:v>
      </x:c>
      <x:c r="AU1020" s="604" t="n">
        <x:v>0.95</x:v>
      </x:c>
      <x:c r="AV1020" s="604" t="n">
        <x:v>0.85</x:v>
      </x:c>
      <x:c r="AW1020" s="604" t="n">
        <x:v>46300.07479607639</x:v>
      </x:c>
      <x:c r="AX1020" s="604" t="inlineStr">
        <x:is>
          <x:t xml:space="preserve">https://simondongxiao.github.io/odds/v4/</x:t>
        </x:is>
      </x:c>
      <x:c r="AY1020" s="604" t="inlineStr">
        <x:is>
          <x:t xml:space="preserve">V4 Shadow Only；real_money=false；P(EV&gt;0)不是比赛胜率</x:t>
        </x:is>
      </x:c>
    </x:row>
    <x:row r="1021" ht="22" customHeight="1">
      <x:c r="A1021" s="604" t="inlineStr">
        <x:is>
          <x:t xml:space="preserve">2026-10-05</x:t>
        </x:is>
      </x:c>
      <x:c r="B1021" s="604" t="inlineStr">
        <x:is>
          <x:t xml:space="preserve">2026-10-05 17:00</x:t>
        </x:is>
      </x:c>
      <x:c r="C1021" s="604" t="str">
        <x:v>欧洲非五大系列</x:v>
      </x:c>
      <x:c r="D1021" s="604" t="inlineStr">
        <x:is>
          <x:t xml:space="preserve">联赛</x:t>
        </x:is>
      </x:c>
      <x:c r="E1021" s="604" t="inlineStr">
        <x:is>
          <x:t xml:space="preserve">科索沃乙</x:t>
        </x:is>
      </x:c>
      <x:c r="F1021" s="604" t="inlineStr">
        <x:is>
          <x:t xml:space="preserve">TOP足球 vs 达尔达尼亚</x:t>
        </x:is>
      </x:c>
      <x:c r="G1021" s="604" t="n">
        <x:v>0.95</x:v>
      </x:c>
      <x:c r="H1021" s="604" t="n">
        <x:v>0</x:v>
      </x:c>
      <x:c r="I1021" s="604" t="n">
        <x:v>0.85</x:v>
      </x:c>
      <x:c r="J1021" s="604" t="inlineStr">
        <x:is>
          <x:t xml:space="preserve">0.95/0/0.85</x:t>
        </x:is>
      </x:c>
      <x:c r="K1021" s="604" t="inlineStr">
        <x:is>
          <x:t xml:space="preserve">V4-C｜EV +0.0053</x:t>
        </x:is>
      </x:c>
      <x:c r="L1021" s="604" t="str"/>
      <x:c r="M1021" s="604" t="n">
        <x:v>0.5159069269748023</x:v>
      </x:c>
      <x:c r="N1021" s="604" t="inlineStr">
        <x:is>
          <x:t xml:space="preserve">V4纸面入选-C</x:t>
        </x:is>
      </x:c>
      <x:c r="O1021" s="604" t="inlineStr">
        <x:is>
          <x:t xml:space="preserve">2-1</x:t>
        </x:is>
      </x:c>
      <x:c r="P1021" s="604" t="inlineStr">
        <x:is>
          <x:t xml:space="preserve">已结算</x:t>
        </x:is>
      </x:c>
      <x:c r="Q1021" s="645" t="inlineStr">
        <x:is>
          <x:t xml:space="preserve">红</x:t>
        </x:is>
      </x:c>
      <x:c r="R1021" s="604" t="n">
        <x:v>0.85</x:v>
      </x:c>
      <x:c r="S1021" s="604" t="n">
        <x:f>IF(OR(Q1021="",Q1021="待结算"),"",IF(Q1021="红",R1021,IF(Q1021="半红",R1021*0.5,IF(Q1021="走",0,IF(Q1021="半黑",-0.5,-1)))))</x:f>
        <x:v>0.85</x:v>
      </x:c>
      <x:c r="T1021" s="604" t="inlineStr">
        <x:is>
          <x:t xml:space="preserve">https://m.titan007.com/analy/Analysis/3099107.htm</x:t>
        </x:is>
      </x:c>
      <x:c r="U1021" s="646" t="str">
        <x:f>IF(Q1021="","",IF(Q1021="待结算","待结算",IF(Q1021="红","黑",IF(Q1021="半红","半黑",IF(Q1021="走","走",IF(Q1021="半黑","半红","红"))))))</x:f>
        <x:v>黑</x:v>
      </x:c>
      <x:c r="V1021" s="604" t="n">
        <x:f>IF(OR(Q1021="",Q1021="待结算"),"",IF(L1021=LEFT(F1021,FIND(" vs ",F1021)-1),I1021,G1021))</x:f>
        <x:v>0.95</x:v>
      </x:c>
      <x:c r="W1021" s="604" t="n">
        <x:f>IF(OR(U1021="",U1021="待结算"),"",IF(U1021="红",V1021,IF(U1021="半红",V1021*0.5,IF(U1021="走",0,IF(U1021="半黑",-0.5,-1)))))</x:f>
        <x:v>-1</x:v>
      </x:c>
      <x:c r="X1021" s="604" t="inlineStr">
        <x:is>
          <x:t xml:space="preserve">3099107</x:t>
        </x:is>
      </x:c>
      <x:c r="Y1021" s="604" t="inlineStr">
        <x:is>
          <x:t xml:space="preserve">V4</x:t>
        </x:is>
      </x:c>
      <x:c r="Z1021" s="604" t="inlineStr">
        <x:is>
          <x:t xml:space="preserve">prior-2026-10-05-v1</x:t>
        </x:is>
      </x:c>
      <x:c r="AA1021" s="604" t="inlineStr">
        <x:is>
          <x:t xml:space="preserve">C</x:t>
        </x:is>
      </x:c>
      <x:c r="AB1021" s="604" t="n">
        <x:v>0.326371276924338</x:v>
      </x:c>
      <x:c r="AC1021" s="604" t="n">
        <x:v>0.2500623840128608</x:v>
      </x:c>
      <x:c r="AD1021" s="604" t="n"/>
      <x:c r="AE1021" s="604" t="n"/>
      <x:c r="AF1021" s="604" t="n">
        <x:v>0.4235663390628013</x:v>
      </x:c>
      <x:c r="AG1021" s="604" t="n">
        <x:v>0.005266006421428715</x:v>
      </x:c>
      <x:c r="AH1021" s="604" t="n"/>
      <x:c r="AI1021" s="604" t="n"/>
      <x:c r="AJ1021" s="604" t="n">
        <x:v>0.005266006421428715</x:v>
      </x:c>
      <x:c r="AK1021" s="604" t="n"/>
      <x:c r="AL1021" s="604" t="n"/>
      <x:c r="AM1021" s="604" t="n"/>
      <x:c r="AN1021" s="604" t="inlineStr">
        <x:is>
          <x:t xml:space="preserve">EVALUATED</x:t>
        </x:is>
      </x:c>
      <x:c r="AO1021" s="604" t="inlineStr">
        <x:is>
          <x:t xml:space="preserve">EDGE_BELOW_UNCERTAINTY_THRESHOLD、BUCKET_PRIOR_ONLY、INTENT_INTERPRETATION_ONLY、FFL_OPTIONAL、EXPERT_MARKET</x:t>
        </x:is>
      </x:c>
      <x:c r="AP1021" s="604" t="inlineStr">
        <x:is>
          <x:t xml:space="preserve">8f965c7cb35615659c1b</x:t>
        </x:is>
      </x:c>
      <x:c r="AQ1021" s="604" t="n">
        <x:v>0</x:v>
      </x:c>
      <x:c r="AR1021" s="604" t="n"/>
      <x:c r="AS1021" s="604" t="n">
        <x:v>0</x:v>
      </x:c>
      <x:c r="AT1021" s="604" t="n">
        <x:v>0</x:v>
      </x:c>
      <x:c r="AU1021" s="604" t="n">
        <x:v>0.95</x:v>
      </x:c>
      <x:c r="AV1021" s="604" t="n">
        <x:v>0.85</x:v>
      </x:c>
      <x:c r="AW1021" s="604" t="n">
        <x:v>46300.07479607639</x:v>
      </x:c>
      <x:c r="AX1021" s="604" t="inlineStr">
        <x:is>
          <x:t xml:space="preserve">https://simondongxiao.github.io/odds/v4/</x:t>
        </x:is>
      </x:c>
      <x:c r="AY1021" s="604" t="inlineStr">
        <x:is>
          <x:t xml:space="preserve">V4 Shadow Only；real_money=false；P(EV&gt;0)不是比赛胜率</x:t>
        </x:is>
      </x:c>
    </x:row>
    <x:row r="1022" ht="22" customHeight="1">
      <x:c r="A1022" s="604" t="inlineStr">
        <x:is>
          <x:t xml:space="preserve">2026-10-05</x:t>
        </x:is>
      </x:c>
      <x:c r="B1022" s="604" t="inlineStr">
        <x:is>
          <x:t xml:space="preserve">2026-10-05 18:30</x:t>
        </x:is>
      </x:c>
      <x:c r="C1022" s="604" t="str">
        <x:v>其他系列</x:v>
      </x:c>
      <x:c r="D1022" s="604" t="inlineStr">
        <x:is>
          <x:t xml:space="preserve">联赛</x:t>
        </x:is>
      </x:c>
      <x:c r="E1022" s="604" t="inlineStr">
        <x:is>
          <x:t xml:space="preserve">国际友谊</x:t>
        </x:is>
      </x:c>
      <x:c r="F1022" s="604" t="inlineStr">
        <x:is>
          <x:t xml:space="preserve">日本 vs 新西兰</x:t>
        </x:is>
      </x:c>
      <x:c r="G1022" s="604" t="n">
        <x:v>1</x:v>
      </x:c>
      <x:c r="H1022" s="604" t="n">
        <x:v>2</x:v>
      </x:c>
      <x:c r="I1022" s="604" t="n">
        <x:v>0.82</x:v>
      </x:c>
      <x:c r="J1022" s="604" t="inlineStr">
        <x:is>
          <x:t xml:space="preserve">1/2/0.82</x:t>
        </x:is>
      </x:c>
      <x:c r="K1022" s="604" t="inlineStr">
        <x:is>
          <x:t xml:space="preserve">V4-C｜EV +0.2025</x:t>
        </x:is>
      </x:c>
      <x:c r="L1022" s="604" t="inlineStr">
        <x:is>
          <x:t xml:space="preserve">日本</x:t>
        </x:is>
      </x:c>
      <x:c r="M1022" s="604" t="n">
        <x:v>0.6341398648784953</x:v>
      </x:c>
      <x:c r="N1022" s="604" t="inlineStr">
        <x:is>
          <x:t xml:space="preserve">V4纸面入选-C</x:t>
        </x:is>
      </x:c>
      <x:c r="O1022" s="604" t="inlineStr">
        <x:is>
          <x:t xml:space="preserve">2-1</x:t>
        </x:is>
      </x:c>
      <x:c r="P1022" s="604" t="inlineStr">
        <x:is>
          <x:t xml:space="preserve">已结算</x:t>
        </x:is>
      </x:c>
      <x:c r="Q1022" s="646" t="inlineStr">
        <x:is>
          <x:t xml:space="preserve">黑</x:t>
        </x:is>
      </x:c>
      <x:c r="R1022" s="604" t="n">
        <x:v>1</x:v>
      </x:c>
      <x:c r="S1022" s="604" t="n">
        <x:f>IF(OR(Q1022="",Q1022="待结算"),"",IF(Q1022="红",R1022,IF(Q1022="半红",R1022*0.5,IF(Q1022="走",0,IF(Q1022="半黑",-0.5,-1)))))</x:f>
        <x:v>-1</x:v>
      </x:c>
      <x:c r="T1022" s="604" t="inlineStr">
        <x:is>
          <x:t xml:space="preserve">https://m.titan007.com/analy/Analysis/3097301.htm</x:t>
        </x:is>
      </x:c>
      <x:c r="U1022" s="645" t="str">
        <x:f>IF(Q1022="","",IF(Q1022="待结算","待结算",IF(Q1022="红","黑",IF(Q1022="半红","半黑",IF(Q1022="走","走",IF(Q1022="半黑","半红","红"))))))</x:f>
        <x:v>红</x:v>
      </x:c>
      <x:c r="V1022" s="604" t="n">
        <x:f>IF(OR(Q1022="",Q1022="待结算"),"",IF(L1022=LEFT(F1022,FIND(" vs ",F1022)-1),I1022,G1022))</x:f>
        <x:v>0.82</x:v>
      </x:c>
      <x:c r="W1022" s="604" t="n">
        <x:f>IF(OR(U1022="",U1022="待结算"),"",IF(U1022="红",V1022,IF(U1022="半红",V1022*0.5,IF(U1022="走",0,IF(U1022="半黑",-0.5,-1)))))</x:f>
        <x:v>0.82</x:v>
      </x:c>
      <x:c r="X1022" s="604" t="inlineStr">
        <x:is>
          <x:t xml:space="preserve">3097301</x:t>
        </x:is>
      </x:c>
      <x:c r="Y1022" s="604" t="inlineStr">
        <x:is>
          <x:t xml:space="preserve">V4</x:t>
        </x:is>
      </x:c>
      <x:c r="Z1022" s="604" t="inlineStr">
        <x:is>
          <x:t xml:space="preserve">prior-2026-10-05-v1</x:t>
        </x:is>
      </x:c>
      <x:c r="AA1022" s="604" t="inlineStr">
        <x:is>
          <x:t xml:space="preserve">C</x:t>
        </x:is>
      </x:c>
      <x:c r="AB1022" s="604" t="n">
        <x:v>0.4786072361746441</x:v>
      </x:c>
      <x:c r="AC1022" s="604" t="n"/>
      <x:c r="AD1022" s="604" t="n">
        <x:v>0.2452654963328193</x:v>
      </x:c>
      <x:c r="AE1022" s="604" t="n"/>
      <x:c r="AF1022" s="604" t="n">
        <x:v>0.2761272674925366</x:v>
      </x:c>
      <x:c r="AG1022" s="604" t="n">
        <x:v>0.2024799686821075</x:v>
      </x:c>
      <x:c r="AH1022" s="604" t="n"/>
      <x:c r="AI1022" s="604" t="n"/>
      <x:c r="AJ1022" s="604" t="n">
        <x:v>0.2024799686821075</x:v>
      </x:c>
      <x:c r="AK1022" s="604" t="n"/>
      <x:c r="AL1022" s="604" t="n"/>
      <x:c r="AM1022" s="604" t="n"/>
      <x:c r="AN1022" s="604" t="inlineStr">
        <x:is>
          <x:t xml:space="preserve">EVALUATED</x:t>
        </x:is>
      </x:c>
      <x:c r="AO1022" s="604" t="inlineStr">
        <x:is>
          <x:t xml:space="preserve">GIVING_VALIDATED_EDGE、BUCKET_PRIOR_ONLY、INTENT_INTERPRETATION_ONLY、FFL_OPTIONAL、EXPERT_MARKET</x:t>
        </x:is>
      </x:c>
      <x:c r="AP1022" s="604" t="inlineStr">
        <x:is>
          <x:t xml:space="preserve">562c15f2a3e6879e5256</x:t>
        </x:is>
      </x:c>
      <x:c r="AQ1022" s="604" t="n">
        <x:v>-2</x:v>
      </x:c>
      <x:c r="AR1022" s="604" t="n">
        <x:v>1</x:v>
      </x:c>
      <x:c r="AS1022" s="604" t="n">
        <x:v>2</x:v>
      </x:c>
      <x:c r="AT1022" s="604" t="n">
        <x:v>-2</x:v>
      </x:c>
      <x:c r="AU1022" s="604" t="n">
        <x:v>1</x:v>
      </x:c>
      <x:c r="AV1022" s="604" t="n">
        <x:v>0.82</x:v>
      </x:c>
      <x:c r="AW1022" s="604" t="n">
        <x:v>46300.07479607639</x:v>
      </x:c>
      <x:c r="AX1022" s="604" t="inlineStr">
        <x:is>
          <x:t xml:space="preserve">https://simondongxiao.github.io/odds/v4/</x:t>
        </x:is>
      </x:c>
      <x:c r="AY1022" s="604" t="inlineStr">
        <x:is>
          <x:t xml:space="preserve">V4 Shadow Only；real_money=false；P(EV&gt;0)不是比赛胜率</x:t>
        </x:is>
      </x:c>
    </x:row>
    <x:row r="1023" ht="22" customHeight="1">
      <x:c r="A1023" s="604" t="inlineStr">
        <x:is>
          <x:t xml:space="preserve">2026-10-05</x:t>
        </x:is>
      </x:c>
      <x:c r="B1023" s="604" t="inlineStr">
        <x:is>
          <x:t xml:space="preserve">2026-10-05 19:00</x:t>
        </x:is>
      </x:c>
      <x:c r="C1023" s="604" t="str">
        <x:v>南美系列</x:v>
      </x:c>
      <x:c r="D1023" s="604" t="inlineStr">
        <x:is>
          <x:t xml:space="preserve">联赛</x:t>
        </x:is>
      </x:c>
      <x:c r="E1023" s="604" t="inlineStr">
        <x:is>
          <x:t xml:space="preserve">巴拉后备</x:t>
        </x:is>
      </x:c>
      <x:c r="F1023" s="604" t="inlineStr">
        <x:is>
          <x:t xml:space="preserve">波特诺山丘后备队 vs 马约后备队</x:t>
        </x:is>
      </x:c>
      <x:c r="G1023" s="604" t="n">
        <x:v>1</x:v>
      </x:c>
      <x:c r="H1023" s="604" t="n">
        <x:v>2</x:v>
      </x:c>
      <x:c r="I1023" s="604" t="n">
        <x:v>0.8</x:v>
      </x:c>
      <x:c r="J1023" s="604" t="inlineStr">
        <x:is>
          <x:t xml:space="preserve">1/2/0.8</x:t>
        </x:is>
      </x:c>
      <x:c r="K1023" s="604" t="inlineStr">
        <x:is>
          <x:t xml:space="preserve">V4-C｜EV +0.0924</x:t>
        </x:is>
      </x:c>
      <x:c r="L1023" s="604" t="inlineStr">
        <x:is>
          <x:t xml:space="preserve">波特诺山丘后备队</x:t>
        </x:is>
      </x:c>
      <x:c r="M1023" s="604" t="n">
        <x:v>0.5613315772381064</x:v>
      </x:c>
      <x:c r="N1023" s="604" t="inlineStr">
        <x:is>
          <x:t xml:space="preserve">V4纸面入选-C</x:t>
        </x:is>
      </x:c>
      <x:c r="O1023" s="604" t="inlineStr">
        <x:is>
          <x:t xml:space="preserve">4-0</x:t>
        </x:is>
      </x:c>
      <x:c r="P1023" s="604" t="inlineStr">
        <x:is>
          <x:t xml:space="preserve">已结算</x:t>
        </x:is>
      </x:c>
      <x:c r="Q1023" s="645" t="inlineStr">
        <x:is>
          <x:t xml:space="preserve">红</x:t>
        </x:is>
      </x:c>
      <x:c r="R1023" s="604" t="n">
        <x:v>1</x:v>
      </x:c>
      <x:c r="S1023" s="604" t="n">
        <x:f>IF(OR(Q1023="",Q1023="待结算"),"",IF(Q1023="红",R1023,IF(Q1023="半红",R1023*0.5,IF(Q1023="走",0,IF(Q1023="半黑",-0.5,-1)))))</x:f>
        <x:v>1</x:v>
      </x:c>
      <x:c r="T1023" s="604" t="inlineStr">
        <x:is>
          <x:t xml:space="preserve">https://m.titan007.com/analy/Analysis/3099073.htm</x:t>
        </x:is>
      </x:c>
      <x:c r="U1023" s="646" t="str">
        <x:f>IF(Q1023="","",IF(Q1023="待结算","待结算",IF(Q1023="红","黑",IF(Q1023="半红","半黑",IF(Q1023="走","走",IF(Q1023="半黑","半红","红"))))))</x:f>
        <x:v>黑</x:v>
      </x:c>
      <x:c r="V1023" s="604" t="n">
        <x:f>IF(OR(Q1023="",Q1023="待结算"),"",IF(L1023=LEFT(F1023,FIND(" vs ",F1023)-1),I1023,G1023))</x:f>
        <x:v>0.8</x:v>
      </x:c>
      <x:c r="W1023" s="604" t="n">
        <x:f>IF(OR(U1023="",U1023="待结算"),"",IF(U1023="红",V1023,IF(U1023="半红",V1023*0.5,IF(U1023="走",0,IF(U1023="半黑",-0.5,-1)))))</x:f>
        <x:v>-1</x:v>
      </x:c>
      <x:c r="X1023" s="604" t="inlineStr">
        <x:is>
          <x:t xml:space="preserve">3099073</x:t>
        </x:is>
      </x:c>
      <x:c r="Y1023" s="604" t="inlineStr">
        <x:is>
          <x:t xml:space="preserve">V4</x:t>
        </x:is>
      </x:c>
      <x:c r="Z1023" s="604" t="inlineStr">
        <x:is>
          <x:t xml:space="preserve">prior-2026-10-05-v1</x:t>
        </x:is>
      </x:c>
      <x:c r="AA1023" s="604" t="inlineStr">
        <x:is>
          <x:t xml:space="preserve">C</x:t>
        </x:is>
      </x:c>
      <x:c r="AB1023" s="604" t="n">
        <x:v>0.422687217706875</x:v>
      </x:c>
      <x:c r="AC1023" s="604" t="n"/>
      <x:c r="AD1023" s="604" t="n">
        <x:v>0.2469919120057289</x:v>
      </x:c>
      <x:c r="AE1023" s="604" t="n"/>
      <x:c r="AF1023" s="604" t="n">
        <x:v>0.3303208702873962</x:v>
      </x:c>
      <x:c r="AG1023" s="604" t="n">
        <x:v>0.09236634741947886</x:v>
      </x:c>
      <x:c r="AH1023" s="604" t="n"/>
      <x:c r="AI1023" s="604" t="n"/>
      <x:c r="AJ1023" s="604" t="n">
        <x:v>0.09236634741947886</x:v>
      </x:c>
      <x:c r="AK1023" s="604" t="n"/>
      <x:c r="AL1023" s="604" t="n"/>
      <x:c r="AM1023" s="604" t="n"/>
      <x:c r="AN1023" s="604" t="inlineStr">
        <x:is>
          <x:t xml:space="preserve">EVALUATED</x:t>
        </x:is>
      </x:c>
      <x:c r="AO1023" s="604" t="inlineStr">
        <x:is>
          <x:t xml:space="preserve">GIVING_VALIDATED_EDGE、BUCKET_PRIOR_ONLY、INTENT_INTERPRETATION_ONLY、FFL_OPTIONAL、EXPERT_MARKET</x:t>
        </x:is>
      </x:c>
      <x:c r="AP1023" s="604" t="inlineStr">
        <x:is>
          <x:t xml:space="preserve">1e3eb5f364065ae6060b</x:t>
        </x:is>
      </x:c>
      <x:c r="AQ1023" s="604" t="n">
        <x:v>-2</x:v>
      </x:c>
      <x:c r="AR1023" s="604" t="n">
        <x:v>1</x:v>
      </x:c>
      <x:c r="AS1023" s="604" t="n">
        <x:v>2</x:v>
      </x:c>
      <x:c r="AT1023" s="604" t="n">
        <x:v>-2</x:v>
      </x:c>
      <x:c r="AU1023" s="604" t="n">
        <x:v>1</x:v>
      </x:c>
      <x:c r="AV1023" s="604" t="n">
        <x:v>0.8</x:v>
      </x:c>
      <x:c r="AW1023" s="604" t="n">
        <x:v>46300.07479607639</x:v>
      </x:c>
      <x:c r="AX1023" s="604" t="inlineStr">
        <x:is>
          <x:t xml:space="preserve">https://simondongxiao.github.io/odds/v4/</x:t>
        </x:is>
      </x:c>
      <x:c r="AY1023" s="604" t="inlineStr">
        <x:is>
          <x:t xml:space="preserve">V4 Shadow Only；real_money=false；P(EV&gt;0)不是比赛胜率</x:t>
        </x:is>
      </x:c>
    </x:row>
    <x:row r="1024" ht="22" customHeight="1">
      <x:c r="A1024" s="604" t="inlineStr">
        <x:is>
          <x:t xml:space="preserve">2026-10-05</x:t>
        </x:is>
      </x:c>
      <x:c r="B1024" s="604" t="inlineStr">
        <x:is>
          <x:t xml:space="preserve">2026-10-05 19:00</x:t>
        </x:is>
      </x:c>
      <x:c r="C1024" s="604" t="str">
        <x:v>其他系列</x:v>
      </x:c>
      <x:c r="D1024" s="604" t="inlineStr">
        <x:is>
          <x:t xml:space="preserve">联赛</x:t>
        </x:is>
      </x:c>
      <x:c r="E1024" s="604" t="inlineStr">
        <x:is>
          <x:t xml:space="preserve">国际友谊</x:t>
        </x:is>
      </x:c>
      <x:c r="F1024" s="604" t="inlineStr">
        <x:is>
          <x:t xml:space="preserve">英格兰U19 vs 比利时U19</x:t>
        </x:is>
      </x:c>
      <x:c r="G1024" s="604" t="n">
        <x:v>0.85</x:v>
      </x:c>
      <x:c r="H1024" s="604" t="n">
        <x:v>1.25</x:v>
      </x:c>
      <x:c r="I1024" s="604" t="n">
        <x:v>0.95</x:v>
      </x:c>
      <x:c r="J1024" s="604" t="inlineStr">
        <x:is>
          <x:t xml:space="preserve">0.85/1.25/0.95</x:t>
        </x:is>
      </x:c>
      <x:c r="K1024" s="604" t="inlineStr">
        <x:is>
          <x:t xml:space="preserve">V4-C｜EV +0.0820</x:t>
        </x:is>
      </x:c>
      <x:c r="L1024" s="604" t="inlineStr">
        <x:is>
          <x:t xml:space="preserve">英格兰U19</x:t>
        </x:is>
      </x:c>
      <x:c r="M1024" s="604" t="n">
        <x:v>0.5910791914350672</x:v>
      </x:c>
      <x:c r="N1024" s="604" t="inlineStr">
        <x:is>
          <x:t xml:space="preserve">V4纸面入选-C</x:t>
        </x:is>
      </x:c>
      <x:c r="O1024" s="604" t="inlineStr">
        <x:is>
          <x:t xml:space="preserve">0-1</x:t>
        </x:is>
      </x:c>
      <x:c r="P1024" s="604" t="inlineStr">
        <x:is>
          <x:t xml:space="preserve">已结算</x:t>
        </x:is>
      </x:c>
      <x:c r="Q1024" s="646" t="inlineStr">
        <x:is>
          <x:t xml:space="preserve">黑</x:t>
        </x:is>
      </x:c>
      <x:c r="R1024" s="604" t="n">
        <x:v>0.85</x:v>
      </x:c>
      <x:c r="S1024" s="604" t="n">
        <x:f>IF(OR(Q1024="",Q1024="待结算"),"",IF(Q1024="红",R1024,IF(Q1024="半红",R1024*0.5,IF(Q1024="走",0,IF(Q1024="半黑",-0.5,-1)))))</x:f>
        <x:v>-1</x:v>
      </x:c>
      <x:c r="T1024" s="604" t="inlineStr">
        <x:is>
          <x:t xml:space="preserve">https://m.titan007.com/analy/Analysis/3097293.htm</x:t>
        </x:is>
      </x:c>
      <x:c r="U1024" s="645" t="str">
        <x:f>IF(Q1024="","",IF(Q1024="待结算","待结算",IF(Q1024="红","黑",IF(Q1024="半红","半黑",IF(Q1024="走","走",IF(Q1024="半黑","半红","红"))))))</x:f>
        <x:v>红</x:v>
      </x:c>
      <x:c r="V1024" s="604" t="n">
        <x:f>IF(OR(Q1024="",Q1024="待结算"),"",IF(L1024=LEFT(F1024,FIND(" vs ",F1024)-1),I1024,G1024))</x:f>
        <x:v>0.95</x:v>
      </x:c>
      <x:c r="W1024" s="604" t="n">
        <x:f>IF(OR(U1024="",U1024="待结算"),"",IF(U1024="红",V1024,IF(U1024="半红",V1024*0.5,IF(U1024="走",0,IF(U1024="半黑",-0.5,-1)))))</x:f>
        <x:v>0.95</x:v>
      </x:c>
      <x:c r="X1024" s="604" t="inlineStr">
        <x:is>
          <x:t xml:space="preserve">3097293</x:t>
        </x:is>
      </x:c>
      <x:c r="Y1024" s="604" t="inlineStr">
        <x:is>
          <x:t xml:space="preserve">V4</x:t>
        </x:is>
      </x:c>
      <x:c r="Z1024" s="604" t="inlineStr">
        <x:is>
          <x:t xml:space="preserve">prior-2026-10-05-v1</x:t>
        </x:is>
      </x:c>
      <x:c r="AA1024" s="604" t="inlineStr">
        <x:is>
          <x:t xml:space="preserve">C</x:t>
        </x:is>
      </x:c>
      <x:c r="AB1024" s="604" t="n">
        <x:v>0.5181576512382395</x:v>
      </x:c>
      <x:c r="AC1024" s="604" t="n"/>
      <x:c r="AD1024" s="604" t="n"/>
      <x:c r="AE1024" s="604" t="n">
        <x:v>0.2467403395466626</x:v>
      </x:c>
      <x:c r="AF1024" s="604" t="n">
        <x:v>0.2351020092150979</x:v>
      </x:c>
      <x:c r="AG1024" s="604" t="n">
        <x:v>0.08196182456407441</x:v>
      </x:c>
      <x:c r="AH1024" s="604" t="n"/>
      <x:c r="AI1024" s="604" t="n"/>
      <x:c r="AJ1024" s="604" t="n">
        <x:v>0.08196182456407441</x:v>
      </x:c>
      <x:c r="AK1024" s="604" t="n"/>
      <x:c r="AL1024" s="604" t="n"/>
      <x:c r="AM1024" s="604" t="n"/>
      <x:c r="AN1024" s="604" t="inlineStr">
        <x:is>
          <x:t xml:space="preserve">EVALUATED</x:t>
        </x:is>
      </x:c>
      <x:c r="AO1024" s="604" t="inlineStr">
        <x:is>
          <x:t xml:space="preserve">GIVING_VALIDATED_EDGE、BUCKET_PRIOR_ONLY、INTENT_INTERPRETATION_ONLY、FFL_OPTIONAL、EXPERT_MARKET</x:t>
        </x:is>
      </x:c>
      <x:c r="AP1024" s="604" t="inlineStr">
        <x:is>
          <x:t xml:space="preserve">0e4981f4702f8e57f2c2</x:t>
        </x:is>
      </x:c>
      <x:c r="AQ1024" s="604" t="n">
        <x:v>-1.25</x:v>
      </x:c>
      <x:c r="AR1024" s="604" t="n">
        <x:v>0.85</x:v>
      </x:c>
      <x:c r="AS1024" s="604" t="n">
        <x:v>1.25</x:v>
      </x:c>
      <x:c r="AT1024" s="604" t="n">
        <x:v>-1.25</x:v>
      </x:c>
      <x:c r="AU1024" s="604" t="n">
        <x:v>0.85</x:v>
      </x:c>
      <x:c r="AV1024" s="604" t="n">
        <x:v>0.95</x:v>
      </x:c>
      <x:c r="AW1024" s="604" t="n">
        <x:v>46300.07479607639</x:v>
      </x:c>
      <x:c r="AX1024" s="604" t="inlineStr">
        <x:is>
          <x:t xml:space="preserve">https://simondongxiao.github.io/odds/v4/</x:t>
        </x:is>
      </x:c>
      <x:c r="AY1024" s="604" t="inlineStr">
        <x:is>
          <x:t xml:space="preserve">V4 Shadow Only；real_money=false；P(EV&gt;0)不是比赛胜率</x:t>
        </x:is>
      </x:c>
    </x:row>
    <x:row r="1025" ht="22" customHeight="1">
      <x:c r="A1025" s="604" t="inlineStr">
        <x:is>
          <x:t xml:space="preserve">2026-10-05</x:t>
        </x:is>
      </x:c>
      <x:c r="B1025" s="604" t="inlineStr">
        <x:is>
          <x:t xml:space="preserve">2026-10-05 19:00</x:t>
        </x:is>
      </x:c>
      <x:c r="C1025" s="604" t="str">
        <x:v>日韩系列</x:v>
      </x:c>
      <x:c r="D1025" s="604" t="inlineStr">
        <x:is>
          <x:t xml:space="preserve">联赛</x:t>
        </x:is>
      </x:c>
      <x:c r="E1025" s="604" t="inlineStr">
        <x:is>
          <x:t xml:space="preserve">中U21</x:t>
        </x:is>
      </x:c>
      <x:c r="F1025" s="604" t="inlineStr">
        <x:is>
          <x:t xml:space="preserve">深圳新鹏城U21 vs 天津津门虎U21</x:t>
        </x:is>
      </x:c>
      <x:c r="G1025" s="604" t="n">
        <x:v>0.98</x:v>
      </x:c>
      <x:c r="H1025" s="604" t="n">
        <x:v>-1.25</x:v>
      </x:c>
      <x:c r="I1025" s="604" t="n">
        <x:v>0.83</x:v>
      </x:c>
      <x:c r="J1025" s="604" t="inlineStr">
        <x:is>
          <x:t xml:space="preserve">0.98/-1.25/0.83</x:t>
        </x:is>
      </x:c>
      <x:c r="K1025" s="604" t="inlineStr">
        <x:is>
          <x:t xml:space="preserve">V4-C｜EV +0.9195</x:t>
        </x:is>
      </x:c>
      <x:c r="L1025" s="604" t="inlineStr">
        <x:is>
          <x:t xml:space="preserve">深圳新鹏城U21</x:t>
        </x:is>
      </x:c>
      <x:c r="M1025" s="604" t="n">
        <x:v>0.9837806865204928</x:v>
      </x:c>
      <x:c r="N1025" s="604" t="inlineStr">
        <x:is>
          <x:t xml:space="preserve">V4纸面入选-C</x:t>
        </x:is>
      </x:c>
      <x:c r="O1025" s="604" t="inlineStr">
        <x:is>
          <x:t xml:space="preserve">0-0</x:t>
        </x:is>
      </x:c>
      <x:c r="P1025" s="604" t="inlineStr">
        <x:is>
          <x:t xml:space="preserve">已结算</x:t>
        </x:is>
      </x:c>
      <x:c r="Q1025" s="645" t="inlineStr">
        <x:is>
          <x:t xml:space="preserve">红</x:t>
        </x:is>
      </x:c>
      <x:c r="R1025" s="604" t="n">
        <x:v>0.98</x:v>
      </x:c>
      <x:c r="S1025" s="604" t="n">
        <x:f>IF(OR(Q1025="",Q1025="待结算"),"",IF(Q1025="红",R1025,IF(Q1025="半红",R1025*0.5,IF(Q1025="走",0,IF(Q1025="半黑",-0.5,-1)))))</x:f>
        <x:v>0.98</x:v>
      </x:c>
      <x:c r="T1025" s="604" t="inlineStr">
        <x:is>
          <x:t xml:space="preserve">https://m.titan007.com/analy/Analysis/3087366.htm</x:t>
        </x:is>
      </x:c>
      <x:c r="U1025" s="646" t="str">
        <x:f>IF(Q1025="","",IF(Q1025="待结算","待结算",IF(Q1025="红","黑",IF(Q1025="半红","半黑",IF(Q1025="走","走",IF(Q1025="半黑","半红","红"))))))</x:f>
        <x:v>黑</x:v>
      </x:c>
      <x:c r="V1025" s="604" t="n">
        <x:f>IF(OR(Q1025="",Q1025="待结算"),"",IF(L1025=LEFT(F1025,FIND(" vs ",F1025)-1),I1025,G1025))</x:f>
        <x:v>0.83</x:v>
      </x:c>
      <x:c r="W1025" s="604" t="n">
        <x:f>IF(OR(U1025="",U1025="待结算"),"",IF(U1025="红",V1025,IF(U1025="半红",V1025*0.5,IF(U1025="走",0,IF(U1025="半黑",-0.5,-1)))))</x:f>
        <x:v>-1</x:v>
      </x:c>
      <x:c r="X1025" s="604" t="inlineStr">
        <x:is>
          <x:t xml:space="preserve">3087366</x:t>
        </x:is>
      </x:c>
      <x:c r="Y1025" s="604" t="inlineStr">
        <x:is>
          <x:t xml:space="preserve">V4</x:t>
        </x:is>
      </x:c>
      <x:c r="Z1025" s="604" t="inlineStr">
        <x:is>
          <x:t xml:space="preserve">prior-2026-10-05-v1</x:t>
        </x:is>
      </x:c>
      <x:c r="AA1025" s="604" t="inlineStr">
        <x:is>
          <x:t xml:space="preserve">C</x:t>
        </x:is>
      </x:c>
      <x:c r="AB1025" s="604" t="n">
        <x:v>0.9243938398825424</x:v>
      </x:c>
      <x:c r="AC1025" s="604" t="n">
        <x:v>0.05987239117859708</x:v>
      </x:c>
      <x:c r="AD1025" s="604" t="n"/>
      <x:c r="AE1025" s="604" t="n"/>
      <x:c r="AF1025" s="604" t="n">
        <x:v>0.01573376893886061</x:v>
      </x:c>
      <x:c r="AG1025" s="604" t="n">
        <x:v>0.9195096658235435</x:v>
      </x:c>
      <x:c r="AH1025" s="604" t="n"/>
      <x:c r="AI1025" s="604" t="n"/>
      <x:c r="AJ1025" s="604" t="n">
        <x:v>0.9195096658235435</x:v>
      </x:c>
      <x:c r="AK1025" s="604" t="n"/>
      <x:c r="AL1025" s="604" t="n"/>
      <x:c r="AM1025" s="604" t="n"/>
      <x:c r="AN1025" s="604" t="inlineStr">
        <x:is>
          <x:t xml:space="preserve">EVALUATED</x:t>
        </x:is>
      </x:c>
      <x:c r="AO1025" s="604" t="inlineStr">
        <x:is>
          <x:t xml:space="preserve">RECEIVING_VALIDATED_EDGE、BUCKET_PRIOR_ONLY、INTENT_INTERPRETATION_ONLY、FFL_OPTIONAL、EXPERT_MARKET</x:t>
        </x:is>
      </x:c>
      <x:c r="AP1025" s="604" t="inlineStr">
        <x:is>
          <x:t xml:space="preserve">adf0a9429ebfbc461e09</x:t>
        </x:is>
      </x:c>
      <x:c r="AQ1025" s="604" t="n">
        <x:v>1.25</x:v>
      </x:c>
      <x:c r="AR1025" s="604" t="n">
        <x:v>0.98</x:v>
      </x:c>
      <x:c r="AS1025" s="604" t="n">
        <x:v>-1.25</x:v>
      </x:c>
      <x:c r="AT1025" s="604" t="n">
        <x:v>1.25</x:v>
      </x:c>
      <x:c r="AU1025" s="604" t="n">
        <x:v>0.98</x:v>
      </x:c>
      <x:c r="AV1025" s="604" t="n">
        <x:v>0.83</x:v>
      </x:c>
      <x:c r="AW1025" s="604" t="n">
        <x:v>46300.07479607639</x:v>
      </x:c>
      <x:c r="AX1025" s="604" t="inlineStr">
        <x:is>
          <x:t xml:space="preserve">https://simondongxiao.github.io/odds/v4/</x:t>
        </x:is>
      </x:c>
      <x:c r="AY1025" s="604" t="inlineStr">
        <x:is>
          <x:t xml:space="preserve">V4 Shadow Only；real_money=false；P(EV&gt;0)不是比赛胜率</x:t>
        </x:is>
      </x:c>
    </x:row>
    <x:row r="1026" ht="22" customHeight="1">
      <x:c r="A1026" s="604" t="inlineStr">
        <x:is>
          <x:t xml:space="preserve">2026-10-05</x:t>
        </x:is>
      </x:c>
      <x:c r="B1026" s="604" t="inlineStr">
        <x:is>
          <x:t xml:space="preserve">2026-10-05 19:30</x:t>
        </x:is>
      </x:c>
      <x:c r="C1026" s="604" t="str">
        <x:v>其他系列</x:v>
      </x:c>
      <x:c r="D1026" s="604" t="inlineStr">
        <x:is>
          <x:t xml:space="preserve">联赛</x:t>
        </x:is>
      </x:c>
      <x:c r="E1026" s="604" t="inlineStr">
        <x:is>
          <x:t xml:space="preserve">印盾联</x:t>
        </x:is>
      </x:c>
      <x:c r="F1026" s="604" t="inlineStr">
        <x:is>
          <x:t xml:space="preserve">东孟加拉 vs 东北联</x:t>
        </x:is>
      </x:c>
      <x:c r="G1026" s="604" t="n">
        <x:v>1</x:v>
      </x:c>
      <x:c r="H1026" s="604" t="n">
        <x:v>0</x:v>
      </x:c>
      <x:c r="I1026" s="604" t="n">
        <x:v>0.8</x:v>
      </x:c>
      <x:c r="J1026" s="604" t="inlineStr">
        <x:is>
          <x:t xml:space="preserve">1/0/0.8</x:t>
        </x:is>
      </x:c>
      <x:c r="K1026" s="604" t="inlineStr">
        <x:is>
          <x:t xml:space="preserve">V4-C｜EV +0.0377</x:t>
        </x:is>
      </x:c>
      <x:c r="L1026" s="604" t="str"/>
      <x:c r="M1026" s="604" t="n">
        <x:v>0.518873681221427</x:v>
      </x:c>
      <x:c r="N1026" s="604" t="inlineStr">
        <x:is>
          <x:t xml:space="preserve">V4纸面入选-C</x:t>
        </x:is>
      </x:c>
      <x:c r="O1026" s="604" t="inlineStr">
        <x:is>
          <x:t xml:space="preserve">7-2</x:t>
        </x:is>
      </x:c>
      <x:c r="P1026" s="604" t="inlineStr">
        <x:is>
          <x:t xml:space="preserve">已结算</x:t>
        </x:is>
      </x:c>
      <x:c r="Q1026" s="645" t="inlineStr">
        <x:is>
          <x:t xml:space="preserve">红</x:t>
        </x:is>
      </x:c>
      <x:c r="R1026" s="604" t="n">
        <x:v>0.8</x:v>
      </x:c>
      <x:c r="S1026" s="604" t="n">
        <x:f>IF(OR(Q1026="",Q1026="待结算"),"",IF(Q1026="红",R1026,IF(Q1026="半红",R1026*0.5,IF(Q1026="走",0,IF(Q1026="半黑",-0.5,-1)))))</x:f>
        <x:v>0.8</x:v>
      </x:c>
      <x:c r="T1026" s="604" t="inlineStr">
        <x:is>
          <x:t xml:space="preserve">https://m.titan007.com/analy/Analysis/3098009.htm</x:t>
        </x:is>
      </x:c>
      <x:c r="U1026" s="646" t="str">
        <x:f>IF(Q1026="","",IF(Q1026="待结算","待结算",IF(Q1026="红","黑",IF(Q1026="半红","半黑",IF(Q1026="走","走",IF(Q1026="半黑","半红","红"))))))</x:f>
        <x:v>黑</x:v>
      </x:c>
      <x:c r="V1026" s="604" t="n">
        <x:f>IF(OR(Q1026="",Q1026="待结算"),"",IF(L1026=LEFT(F1026,FIND(" vs ",F1026)-1),I1026,G1026))</x:f>
        <x:v>1</x:v>
      </x:c>
      <x:c r="W1026" s="604" t="n">
        <x:f>IF(OR(U1026="",U1026="待结算"),"",IF(U1026="红",V1026,IF(U1026="半红",V1026*0.5,IF(U1026="走",0,IF(U1026="半黑",-0.5,-1)))))</x:f>
        <x:v>-1</x:v>
      </x:c>
      <x:c r="X1026" s="604" t="inlineStr">
        <x:is>
          <x:t xml:space="preserve">3098009</x:t>
        </x:is>
      </x:c>
      <x:c r="Y1026" s="604" t="inlineStr">
        <x:is>
          <x:t xml:space="preserve">V4</x:t>
        </x:is>
      </x:c>
      <x:c r="Z1026" s="604" t="inlineStr">
        <x:is>
          <x:t xml:space="preserve">prior-2026-10-05-v1</x:t>
        </x:is>
      </x:c>
      <x:c r="AA1026" s="604" t="inlineStr">
        <x:is>
          <x:t xml:space="preserve">C</x:t>
        </x:is>
      </x:c>
      <x:c r="AB1026" s="604" t="n">
        <x:v>0.518873681221427</x:v>
      </x:c>
      <x:c r="AC1026" s="604" t="n"/>
      <x:c r="AD1026" s="604" t="n"/>
      <x:c r="AE1026" s="604" t="n"/>
      <x:c r="AF1026" s="604" t="n">
        <x:v>0.481126318778573</x:v>
      </x:c>
      <x:c r="AG1026" s="604" t="n">
        <x:v>0.03774736244285393</x:v>
      </x:c>
      <x:c r="AH1026" s="604" t="n"/>
      <x:c r="AI1026" s="604" t="n"/>
      <x:c r="AJ1026" s="604" t="n">
        <x:v>0.03774736244285393</x:v>
      </x:c>
      <x:c r="AK1026" s="604" t="n"/>
      <x:c r="AL1026" s="604" t="n"/>
      <x:c r="AM1026" s="604" t="n"/>
      <x:c r="AN1026" s="604" t="inlineStr">
        <x:is>
          <x:t xml:space="preserve">EVALUATED</x:t>
        </x:is>
      </x:c>
      <x:c r="AO1026" s="604" t="inlineStr">
        <x:is>
          <x:t xml:space="preserve">EDGE_BELOW_UNCERTAINTY_THRESHOLD、BUCKET_PRIOR_ONLY、INTENT_INTERPRETATION_ONLY、FFL_OPTIONAL、EXPERT_MARKET</x:t>
        </x:is>
      </x:c>
      <x:c r="AP1026" s="604" t="inlineStr">
        <x:is>
          <x:t xml:space="preserve">1922719269e111b0e760</x:t>
        </x:is>
      </x:c>
      <x:c r="AQ1026" s="604" t="n">
        <x:v>0</x:v>
      </x:c>
      <x:c r="AR1026" s="604" t="n"/>
      <x:c r="AS1026" s="604" t="n">
        <x:v>0</x:v>
      </x:c>
      <x:c r="AT1026" s="604" t="n">
        <x:v>0</x:v>
      </x:c>
      <x:c r="AU1026" s="604" t="n">
        <x:v>1</x:v>
      </x:c>
      <x:c r="AV1026" s="604" t="n">
        <x:v>0.8</x:v>
      </x:c>
      <x:c r="AW1026" s="604" t="n">
        <x:v>46300.07479607639</x:v>
      </x:c>
      <x:c r="AX1026" s="604" t="inlineStr">
        <x:is>
          <x:t xml:space="preserve">https://simondongxiao.github.io/odds/v4/</x:t>
        </x:is>
      </x:c>
      <x:c r="AY1026" s="604" t="inlineStr">
        <x:is>
          <x:t xml:space="preserve">V4 Shadow Only；real_money=false；P(EV&gt;0)不是比赛胜率</x:t>
        </x:is>
      </x:c>
    </x:row>
    <x:row r="1027" ht="22" customHeight="1">
      <x:c r="A1027" s="604" t="inlineStr">
        <x:is>
          <x:t xml:space="preserve">2026-10-05</x:t>
        </x:is>
      </x:c>
      <x:c r="B1027" s="604" t="inlineStr">
        <x:is>
          <x:t xml:space="preserve">2026-10-05 20:00</x:t>
        </x:is>
      </x:c>
      <x:c r="C1027" s="604" t="str">
        <x:v>南美系列</x:v>
      </x:c>
      <x:c r="D1027" s="604" t="inlineStr">
        <x:is>
          <x:t xml:space="preserve">联赛</x:t>
        </x:is>
      </x:c>
      <x:c r="E1027" s="604" t="inlineStr">
        <x:is>
          <x:t xml:space="preserve">阿青联</x:t>
        </x:is>
      </x:c>
      <x:c r="F1027" s="604" t="inlineStr">
        <x:is>
          <x:t xml:space="preserve">萨卡兹斯帕斯U20 vs El波韦尼尔U20</x:t>
        </x:is>
      </x:c>
      <x:c r="G1027" s="604" t="n">
        <x:v>0.9</x:v>
      </x:c>
      <x:c r="H1027" s="604" t="n">
        <x:v>0</x:v>
      </x:c>
      <x:c r="I1027" s="604" t="n">
        <x:v>0.9</x:v>
      </x:c>
      <x:c r="J1027" s="604" t="inlineStr">
        <x:is>
          <x:t xml:space="preserve">0.9/0/0.9</x:t>
        </x:is>
      </x:c>
      <x:c r="K1027" s="604" t="inlineStr">
        <x:is>
          <x:t xml:space="preserve">V4-C｜EV +0.0334</x:t>
        </x:is>
      </x:c>
      <x:c r="L1027" s="604" t="str"/>
      <x:c r="M1027" s="604" t="n">
        <x:v>0.5438963905395748</x:v>
      </x:c>
      <x:c r="N1027" s="604" t="inlineStr">
        <x:is>
          <x:t xml:space="preserve">V4纸面入选-C</x:t>
        </x:is>
      </x:c>
      <x:c r="O1027" s="604" t="inlineStr">
        <x:is>
          <x:t xml:space="preserve">0-0</x:t>
        </x:is>
      </x:c>
      <x:c r="P1027" s="604" t="inlineStr">
        <x:is>
          <x:t xml:space="preserve">已结算</x:t>
        </x:is>
      </x:c>
      <x:c r="Q1027" s="647" t="inlineStr">
        <x:is>
          <x:t xml:space="preserve">走</x:t>
        </x:is>
      </x:c>
      <x:c r="R1027" s="604" t="n">
        <x:v>0.9</x:v>
      </x:c>
      <x:c r="S1027" s="604" t="n">
        <x:f>IF(OR(Q1027="",Q1027="待结算"),"",IF(Q1027="红",R1027,IF(Q1027="半红",R1027*0.5,IF(Q1027="走",0,IF(Q1027="半黑",-0.5,-1)))))</x:f>
        <x:v>0</x:v>
      </x:c>
      <x:c r="T1027" s="604" t="inlineStr">
        <x:is>
          <x:t xml:space="preserve">https://m.titan007.com/analy/Analysis/3099072.htm</x:t>
        </x:is>
      </x:c>
      <x:c r="U1027" s="647" t="str">
        <x:f>IF(Q1027="","",IF(Q1027="待结算","待结算",IF(Q1027="红","黑",IF(Q1027="半红","半黑",IF(Q1027="走","走",IF(Q1027="半黑","半红","红"))))))</x:f>
        <x:v>走</x:v>
      </x:c>
      <x:c r="V1027" s="604" t="n">
        <x:f>IF(OR(Q1027="",Q1027="待结算"),"",IF(L1027=LEFT(F1027,FIND(" vs ",F1027)-1),I1027,G1027))</x:f>
        <x:v>0.9</x:v>
      </x:c>
      <x:c r="W1027" s="604" t="n">
        <x:f>IF(OR(U1027="",U1027="待结算"),"",IF(U1027="红",V1027,IF(U1027="半红",V1027*0.5,IF(U1027="走",0,IF(U1027="半黑",-0.5,-1)))))</x:f>
        <x:v>0</x:v>
      </x:c>
      <x:c r="X1027" s="604" t="inlineStr">
        <x:is>
          <x:t xml:space="preserve">3099072</x:t>
        </x:is>
      </x:c>
      <x:c r="Y1027" s="604" t="inlineStr">
        <x:is>
          <x:t xml:space="preserve">V4</x:t>
        </x:is>
      </x:c>
      <x:c r="Z1027" s="604" t="inlineStr">
        <x:is>
          <x:t xml:space="preserve">prior-2026-10-05-v1</x:t>
        </x:is>
      </x:c>
      <x:c r="AA1027" s="604" t="inlineStr">
        <x:is>
          <x:t xml:space="preserve">C</x:t>
        </x:is>
      </x:c>
      <x:c r="AB1027" s="604" t="n">
        <x:v>0.5438963905395748</x:v>
      </x:c>
      <x:c r="AC1027" s="604" t="n"/>
      <x:c r="AD1027" s="604" t="n"/>
      <x:c r="AE1027" s="604" t="n"/>
      <x:c r="AF1027" s="604" t="n">
        <x:v>0.4561036094604252</x:v>
      </x:c>
      <x:c r="AG1027" s="604" t="n">
        <x:v>0.03340314202519212</x:v>
      </x:c>
      <x:c r="AH1027" s="604" t="n"/>
      <x:c r="AI1027" s="604" t="n"/>
      <x:c r="AJ1027" s="604" t="n">
        <x:v>0.03340314202519212</x:v>
      </x:c>
      <x:c r="AK1027" s="604" t="n"/>
      <x:c r="AL1027" s="604" t="n"/>
      <x:c r="AM1027" s="604" t="n"/>
      <x:c r="AN1027" s="604" t="inlineStr">
        <x:is>
          <x:t xml:space="preserve">EVALUATED</x:t>
        </x:is>
      </x:c>
      <x:c r="AO1027" s="604" t="inlineStr">
        <x:is>
          <x:t xml:space="preserve">EDGE_BELOW_UNCERTAINTY_THRESHOLD、BUCKET_PRIOR_ONLY、INTENT_INTERPRETATION_ONLY、FFL_OPTIONAL、EXPERT_MARKET</x:t>
        </x:is>
      </x:c>
      <x:c r="AP1027" s="604" t="inlineStr">
        <x:is>
          <x:t xml:space="preserve">055a1c6f29eee707dd9a</x:t>
        </x:is>
      </x:c>
      <x:c r="AQ1027" s="604" t="n">
        <x:v>0</x:v>
      </x:c>
      <x:c r="AR1027" s="604" t="n"/>
      <x:c r="AS1027" s="604" t="n">
        <x:v>0</x:v>
      </x:c>
      <x:c r="AT1027" s="604" t="n">
        <x:v>0</x:v>
      </x:c>
      <x:c r="AU1027" s="604" t="n">
        <x:v>0.9</x:v>
      </x:c>
      <x:c r="AV1027" s="604" t="n">
        <x:v>0.9</x:v>
      </x:c>
      <x:c r="AW1027" s="604" t="n">
        <x:v>46300.07479607639</x:v>
      </x:c>
      <x:c r="AX1027" s="604" t="inlineStr">
        <x:is>
          <x:t xml:space="preserve">https://simondongxiao.github.io/odds/v4/</x:t>
        </x:is>
      </x:c>
      <x:c r="AY1027" s="604" t="inlineStr">
        <x:is>
          <x:t xml:space="preserve">V4 Shadow Only；real_money=false；P(EV&gt;0)不是比赛胜率</x:t>
        </x:is>
      </x:c>
    </x:row>
    <x:row r="1028" ht="22" customHeight="1">
      <x:c r="A1028" s="604" t="inlineStr">
        <x:is>
          <x:t xml:space="preserve">2026-10-05</x:t>
        </x:is>
      </x:c>
      <x:c r="B1028" s="604" t="inlineStr">
        <x:is>
          <x:t xml:space="preserve">2026-10-05 20:30</x:t>
        </x:is>
      </x:c>
      <x:c r="C1028" s="604" t="str">
        <x:v>欧洲非五大系列</x:v>
      </x:c>
      <x:c r="D1028" s="604" t="inlineStr">
        <x:is>
          <x:t xml:space="preserve">联赛</x:t>
        </x:is>
      </x:c>
      <x:c r="E1028" s="604" t="inlineStr">
        <x:is>
          <x:t xml:space="preserve">克亚丙</x:t>
        </x:is>
      </x:c>
      <x:c r="F1028" s="604" t="inlineStr">
        <x:is>
          <x:t xml:space="preserve">NK普里莫拉茨 vs NK内雷特瓦</x:t>
        </x:is>
      </x:c>
      <x:c r="G1028" s="604" t="n">
        <x:v>1</x:v>
      </x:c>
      <x:c r="H1028" s="604" t="n">
        <x:v>-0.5</x:v>
      </x:c>
      <x:c r="I1028" s="604" t="n">
        <x:v>0.8</x:v>
      </x:c>
      <x:c r="J1028" s="604" t="inlineStr">
        <x:is>
          <x:t xml:space="preserve">1/-0.5/0.8</x:t>
        </x:is>
      </x:c>
      <x:c r="K1028" s="604" t="inlineStr">
        <x:is>
          <x:t xml:space="preserve">V4-B｜EV +0.6234</x:t>
        </x:is>
      </x:c>
      <x:c r="L1028" s="604" t="inlineStr">
        <x:is>
          <x:t xml:space="preserve">NK普里莫拉茨</x:t>
        </x:is>
      </x:c>
      <x:c r="M1028" s="604" t="n">
        <x:v>0.8116926741909811</x:v>
      </x:c>
      <x:c r="N1028" s="604" t="inlineStr">
        <x:is>
          <x:t xml:space="preserve">V4纸面入选-B</x:t>
        </x:is>
      </x:c>
      <x:c r="O1028" s="604" t="inlineStr">
        <x:is>
          <x:t xml:space="preserve">0-0</x:t>
        </x:is>
      </x:c>
      <x:c r="P1028" s="604" t="inlineStr">
        <x:is>
          <x:t xml:space="preserve">已结算</x:t>
        </x:is>
      </x:c>
      <x:c r="Q1028" s="645" t="inlineStr">
        <x:is>
          <x:t xml:space="preserve">红</x:t>
        </x:is>
      </x:c>
      <x:c r="R1028" s="604" t="n">
        <x:v>1</x:v>
      </x:c>
      <x:c r="S1028" s="604" t="n">
        <x:f>IF(OR(Q1028="",Q1028="待结算"),"",IF(Q1028="红",R1028,IF(Q1028="半红",R1028*0.5,IF(Q1028="走",0,IF(Q1028="半黑",-0.5,-1)))))</x:f>
        <x:v>1</x:v>
      </x:c>
      <x:c r="T1028" s="604" t="inlineStr">
        <x:is>
          <x:t xml:space="preserve">https://m.titan007.com/analy/Analysis/3099082.htm</x:t>
        </x:is>
      </x:c>
      <x:c r="U1028" s="646" t="str">
        <x:f>IF(Q1028="","",IF(Q1028="待结算","待结算",IF(Q1028="红","黑",IF(Q1028="半红","半黑",IF(Q1028="走","走",IF(Q1028="半黑","半红","红"))))))</x:f>
        <x:v>黑</x:v>
      </x:c>
      <x:c r="V1028" s="604" t="n">
        <x:f>IF(OR(Q1028="",Q1028="待结算"),"",IF(L1028=LEFT(F1028,FIND(" vs ",F1028)-1),I1028,G1028))</x:f>
        <x:v>0.8</x:v>
      </x:c>
      <x:c r="W1028" s="604" t="n">
        <x:f>IF(OR(U1028="",U1028="待结算"),"",IF(U1028="红",V1028,IF(U1028="半红",V1028*0.5,IF(U1028="走",0,IF(U1028="半黑",-0.5,-1)))))</x:f>
        <x:v>-1</x:v>
      </x:c>
      <x:c r="X1028" s="604" t="inlineStr">
        <x:is>
          <x:t xml:space="preserve">3099082</x:t>
        </x:is>
      </x:c>
      <x:c r="Y1028" s="604" t="inlineStr">
        <x:is>
          <x:t xml:space="preserve">V4</x:t>
        </x:is>
      </x:c>
      <x:c r="Z1028" s="604" t="inlineStr">
        <x:is>
          <x:t xml:space="preserve">prior-2026-10-05-v1</x:t>
        </x:is>
      </x:c>
      <x:c r="AA1028" s="604" t="inlineStr">
        <x:is>
          <x:t xml:space="preserve">B</x:t>
        </x:is>
      </x:c>
      <x:c r="AB1028" s="604" t="n">
        <x:v>0.8116926741909811</x:v>
      </x:c>
      <x:c r="AC1028" s="604" t="n"/>
      <x:c r="AD1028" s="604" t="n"/>
      <x:c r="AE1028" s="604" t="n"/>
      <x:c r="AF1028" s="604" t="n">
        <x:v>0.1883073258090189</x:v>
      </x:c>
      <x:c r="AG1028" s="604" t="n">
        <x:v>0.6233853483819622</x:v>
      </x:c>
      <x:c r="AH1028" s="604" t="n"/>
      <x:c r="AI1028" s="604" t="n"/>
      <x:c r="AJ1028" s="604" t="n">
        <x:v>0.6233853483819622</x:v>
      </x:c>
      <x:c r="AK1028" s="604" t="n"/>
      <x:c r="AL1028" s="604" t="n"/>
      <x:c r="AM1028" s="604" t="n"/>
      <x:c r="AN1028" s="604" t="inlineStr">
        <x:is>
          <x:t xml:space="preserve">EVALUATED</x:t>
        </x:is>
      </x:c>
      <x:c r="AO1028" s="604" t="inlineStr">
        <x:is>
          <x:t xml:space="preserve">RECEIVING_VALIDATED_EDGE、BUCKET_PRIOR_ONLY、INTENT_INTERPRETATION_ONLY、FFL_OPTIONAL、EXPERT_MARKET</x:t>
        </x:is>
      </x:c>
      <x:c r="AP1028" s="604" t="inlineStr">
        <x:is>
          <x:t xml:space="preserve">94d20c0ccf809432026c</x:t>
        </x:is>
      </x:c>
      <x:c r="AQ1028" s="604" t="n">
        <x:v>0.5</x:v>
      </x:c>
      <x:c r="AR1028" s="604" t="n">
        <x:v>1</x:v>
      </x:c>
      <x:c r="AS1028" s="604" t="n">
        <x:v>-0.5</x:v>
      </x:c>
      <x:c r="AT1028" s="604" t="n">
        <x:v>0.5</x:v>
      </x:c>
      <x:c r="AU1028" s="604" t="n">
        <x:v>1</x:v>
      </x:c>
      <x:c r="AV1028" s="604" t="n">
        <x:v>0.8</x:v>
      </x:c>
      <x:c r="AW1028" s="604" t="n">
        <x:v>46300.07479607639</x:v>
      </x:c>
      <x:c r="AX1028" s="604" t="inlineStr">
        <x:is>
          <x:t xml:space="preserve">https://simondongxiao.github.io/odds/v4/</x:t>
        </x:is>
      </x:c>
      <x:c r="AY1028" s="604" t="inlineStr">
        <x:is>
          <x:t xml:space="preserve">V4 Shadow Only；real_money=false；P(EV&gt;0)不是比赛胜率</x:t>
        </x:is>
      </x:c>
    </x:row>
    <x:row r="1029" ht="22" customHeight="1">
      <x:c r="A1029" s="604" t="inlineStr">
        <x:is>
          <x:t xml:space="preserve">2026-10-05</x:t>
        </x:is>
      </x:c>
      <x:c r="B1029" s="604" t="inlineStr">
        <x:is>
          <x:t xml:space="preserve">2026-10-05 20:30</x:t>
        </x:is>
      </x:c>
      <x:c r="C1029" s="604" t="str">
        <x:v>其他系列</x:v>
      </x:c>
      <x:c r="D1029" s="604" t="inlineStr">
        <x:is>
          <x:t xml:space="preserve">联赛</x:t>
        </x:is>
      </x:c>
      <x:c r="E1029" s="604" t="inlineStr">
        <x:is>
          <x:t xml:space="preserve">莫桑冠</x:t>
        </x:is>
      </x:c>
      <x:c r="F1029" s="604" t="inlineStr">
        <x:is>
          <x:t xml:space="preserve">费罗瓦里奥利欣加 vs 纳马普拉铁路</x:t>
        </x:is>
      </x:c>
      <x:c r="G1029" s="604" t="n">
        <x:v>0.85</x:v>
      </x:c>
      <x:c r="H1029" s="604" t="n">
        <x:v>0.5</x:v>
      </x:c>
      <x:c r="I1029" s="604" t="n">
        <x:v>0.95</x:v>
      </x:c>
      <x:c r="J1029" s="604" t="inlineStr">
        <x:is>
          <x:t xml:space="preserve">0.85/0.5/0.95</x:t>
        </x:is>
      </x:c>
      <x:c r="K1029" s="604" t="inlineStr">
        <x:is>
          <x:t xml:space="preserve">V4-C｜EV +0.1406</x:t>
        </x:is>
      </x:c>
      <x:c r="L1029" s="604" t="inlineStr">
        <x:is>
          <x:t xml:space="preserve">费罗瓦里奥利欣加</x:t>
        </x:is>
      </x:c>
      <x:c r="M1029" s="604" t="n">
        <x:v>0.6165381546202323</x:v>
      </x:c>
      <x:c r="N1029" s="604" t="inlineStr">
        <x:is>
          <x:t xml:space="preserve">V4纸面入选-C</x:t>
        </x:is>
      </x:c>
      <x:c r="O1029" s="604" t="inlineStr">
        <x:is>
          <x:t xml:space="preserve">0-0</x:t>
        </x:is>
      </x:c>
      <x:c r="P1029" s="604" t="inlineStr">
        <x:is>
          <x:t xml:space="preserve">已结算</x:t>
        </x:is>
      </x:c>
      <x:c r="Q1029" s="646" t="inlineStr">
        <x:is>
          <x:t xml:space="preserve">黑</x:t>
        </x:is>
      </x:c>
      <x:c r="R1029" s="604" t="n">
        <x:v>0.85</x:v>
      </x:c>
      <x:c r="S1029" s="604" t="n">
        <x:f>IF(OR(Q1029="",Q1029="待结算"),"",IF(Q1029="红",R1029,IF(Q1029="半红",R1029*0.5,IF(Q1029="走",0,IF(Q1029="半黑",-0.5,-1)))))</x:f>
        <x:v>-1</x:v>
      </x:c>
      <x:c r="T1029" s="604" t="inlineStr">
        <x:is>
          <x:t xml:space="preserve">https://m.titan007.com/analy/Analysis/3099051.htm</x:t>
        </x:is>
      </x:c>
      <x:c r="U1029" s="645" t="str">
        <x:f>IF(Q1029="","",IF(Q1029="待结算","待结算",IF(Q1029="红","黑",IF(Q1029="半红","半黑",IF(Q1029="走","走",IF(Q1029="半黑","半红","红"))))))</x:f>
        <x:v>红</x:v>
      </x:c>
      <x:c r="V1029" s="604" t="n">
        <x:f>IF(OR(Q1029="",Q1029="待结算"),"",IF(L1029=LEFT(F1029,FIND(" vs ",F1029)-1),I1029,G1029))</x:f>
        <x:v>0.95</x:v>
      </x:c>
      <x:c r="W1029" s="604" t="n">
        <x:f>IF(OR(U1029="",U1029="待结算"),"",IF(U1029="红",V1029,IF(U1029="半红",V1029*0.5,IF(U1029="走",0,IF(U1029="半黑",-0.5,-1)))))</x:f>
        <x:v>0.95</x:v>
      </x:c>
      <x:c r="X1029" s="604" t="inlineStr">
        <x:is>
          <x:t xml:space="preserve">3099051</x:t>
        </x:is>
      </x:c>
      <x:c r="Y1029" s="604" t="inlineStr">
        <x:is>
          <x:t xml:space="preserve">V4</x:t>
        </x:is>
      </x:c>
      <x:c r="Z1029" s="604" t="inlineStr">
        <x:is>
          <x:t xml:space="preserve">prior-2026-10-05-v1</x:t>
        </x:is>
      </x:c>
      <x:c r="AA1029" s="604" t="inlineStr">
        <x:is>
          <x:t xml:space="preserve">C</x:t>
        </x:is>
      </x:c>
      <x:c r="AB1029" s="604" t="n">
        <x:v>0.6165381546202323</x:v>
      </x:c>
      <x:c r="AC1029" s="604" t="n"/>
      <x:c r="AD1029" s="604" t="n"/>
      <x:c r="AE1029" s="604" t="n"/>
      <x:c r="AF1029" s="604" t="n">
        <x:v>0.3834618453797677</x:v>
      </x:c>
      <x:c r="AG1029" s="604" t="n">
        <x:v>0.1405955860474297</x:v>
      </x:c>
      <x:c r="AH1029" s="604" t="n"/>
      <x:c r="AI1029" s="604" t="n"/>
      <x:c r="AJ1029" s="604" t="n">
        <x:v>0.1405955860474297</x:v>
      </x:c>
      <x:c r="AK1029" s="604" t="n"/>
      <x:c r="AL1029" s="604" t="n"/>
      <x:c r="AM1029" s="604" t="n"/>
      <x:c r="AN1029" s="604" t="inlineStr">
        <x:is>
          <x:t xml:space="preserve">EVALUATED</x:t>
        </x:is>
      </x:c>
      <x:c r="AO1029" s="604" t="inlineStr">
        <x:is>
          <x:t xml:space="preserve">GIVING_VALIDATED_EDGE、BUCKET_PRIOR_ONLY、INTENT_INTERPRETATION_ONLY、FFL_OPTIONAL、EXPERT_MARKET</x:t>
        </x:is>
      </x:c>
      <x:c r="AP1029" s="604" t="inlineStr">
        <x:is>
          <x:t xml:space="preserve">64d03801c57ef928f8d0</x:t>
        </x:is>
      </x:c>
      <x:c r="AQ1029" s="604" t="n">
        <x:v>-0.5</x:v>
      </x:c>
      <x:c r="AR1029" s="604" t="n">
        <x:v>0.85</x:v>
      </x:c>
      <x:c r="AS1029" s="604" t="n">
        <x:v>0.5</x:v>
      </x:c>
      <x:c r="AT1029" s="604" t="n">
        <x:v>-0.5</x:v>
      </x:c>
      <x:c r="AU1029" s="604" t="n">
        <x:v>0.85</x:v>
      </x:c>
      <x:c r="AV1029" s="604" t="n">
        <x:v>0.95</x:v>
      </x:c>
      <x:c r="AW1029" s="604" t="n">
        <x:v>46300.07479607639</x:v>
      </x:c>
      <x:c r="AX1029" s="604" t="inlineStr">
        <x:is>
          <x:t xml:space="preserve">https://simondongxiao.github.io/odds/v4/</x:t>
        </x:is>
      </x:c>
      <x:c r="AY1029" s="604" t="inlineStr">
        <x:is>
          <x:t xml:space="preserve">V4 Shadow Only；real_money=false；P(EV&gt;0)不是比赛胜率</x:t>
        </x:is>
      </x:c>
    </x:row>
    <x:row r="1030" ht="22" customHeight="1">
      <x:c r="A1030" s="604" t="inlineStr">
        <x:is>
          <x:t xml:space="preserve">2026-10-05</x:t>
        </x:is>
      </x:c>
      <x:c r="B1030" s="604" t="inlineStr">
        <x:is>
          <x:t xml:space="preserve">2026-10-05 21:00</x:t>
        </x:is>
      </x:c>
      <x:c r="C1030" s="604" t="str">
        <x:v>欧洲非五大系列</x:v>
      </x:c>
      <x:c r="D1030" s="604" t="inlineStr">
        <x:is>
          <x:t xml:space="preserve">联赛</x:t>
        </x:is>
      </x:c>
      <x:c r="E1030" s="604" t="inlineStr">
        <x:is>
          <x:t xml:space="preserve">塞尔甲</x:t>
        </x:is>
      </x:c>
      <x:c r="F1030" s="604" t="inlineStr">
        <x:is>
          <x:t xml:space="preserve">塞门德里亚1924 vs 沃日多瓦茨</x:t>
        </x:is>
      </x:c>
      <x:c r="G1030" s="604" t="n">
        <x:v>0.85</x:v>
      </x:c>
      <x:c r="H1030" s="604" t="n">
        <x:v>0</x:v>
      </x:c>
      <x:c r="I1030" s="604" t="n">
        <x:v>0.85</x:v>
      </x:c>
      <x:c r="J1030" s="604" t="inlineStr">
        <x:is>
          <x:t xml:space="preserve">0.85/0/0.85</x:t>
        </x:is>
      </x:c>
      <x:c r="K1030" s="604" t="inlineStr">
        <x:is>
          <x:t xml:space="preserve">V4-C｜EV +0.0492</x:t>
        </x:is>
      </x:c>
      <x:c r="L1030" s="604" t="str"/>
      <x:c r="M1030" s="604" t="n">
        <x:v>0.5671477302171554</x:v>
      </x:c>
      <x:c r="N1030" s="604" t="inlineStr">
        <x:is>
          <x:t xml:space="preserve">V4纸面入选-C</x:t>
        </x:is>
      </x:c>
      <x:c r="O1030" s="604" t="inlineStr">
        <x:is>
          <x:t xml:space="preserve">1-0</x:t>
        </x:is>
      </x:c>
      <x:c r="P1030" s="604" t="inlineStr">
        <x:is>
          <x:t xml:space="preserve">已结算</x:t>
        </x:is>
      </x:c>
      <x:c r="Q1030" s="645" t="inlineStr">
        <x:is>
          <x:t xml:space="preserve">红</x:t>
        </x:is>
      </x:c>
      <x:c r="R1030" s="604" t="n">
        <x:v>0.85</x:v>
      </x:c>
      <x:c r="S1030" s="604" t="n">
        <x:f>IF(OR(Q1030="",Q1030="待结算"),"",IF(Q1030="红",R1030,IF(Q1030="半红",R1030*0.5,IF(Q1030="走",0,IF(Q1030="半黑",-0.5,-1)))))</x:f>
        <x:v>0.85</x:v>
      </x:c>
      <x:c r="T1030" s="604" t="inlineStr">
        <x:is>
          <x:t xml:space="preserve">https://m.titan007.com/analy/Analysis/3050281.htm</x:t>
        </x:is>
      </x:c>
      <x:c r="U1030" s="646" t="str">
        <x:f>IF(Q1030="","",IF(Q1030="待结算","待结算",IF(Q1030="红","黑",IF(Q1030="半红","半黑",IF(Q1030="走","走",IF(Q1030="半黑","半红","红"))))))</x:f>
        <x:v>黑</x:v>
      </x:c>
      <x:c r="V1030" s="604" t="n">
        <x:f>IF(OR(Q1030="",Q1030="待结算"),"",IF(L1030=LEFT(F1030,FIND(" vs ",F1030)-1),I1030,G1030))</x:f>
        <x:v>0.85</x:v>
      </x:c>
      <x:c r="W1030" s="604" t="n">
        <x:f>IF(OR(U1030="",U1030="待结算"),"",IF(U1030="红",V1030,IF(U1030="半红",V1030*0.5,IF(U1030="走",0,IF(U1030="半黑",-0.5,-1)))))</x:f>
        <x:v>-1</x:v>
      </x:c>
      <x:c r="X1030" s="604" t="inlineStr">
        <x:is>
          <x:t xml:space="preserve">3050281</x:t>
        </x:is>
      </x:c>
      <x:c r="Y1030" s="604" t="inlineStr">
        <x:is>
          <x:t xml:space="preserve">V4</x:t>
        </x:is>
      </x:c>
      <x:c r="Z1030" s="604" t="inlineStr">
        <x:is>
          <x:t xml:space="preserve">prior-2026-10-05-v1</x:t>
        </x:is>
      </x:c>
      <x:c r="AA1030" s="604" t="inlineStr">
        <x:is>
          <x:t xml:space="preserve">C</x:t>
        </x:is>
      </x:c>
      <x:c r="AB1030" s="604" t="n">
        <x:v>0.5671477302171554</x:v>
      </x:c>
      <x:c r="AC1030" s="604" t="n"/>
      <x:c r="AD1030" s="604" t="n"/>
      <x:c r="AE1030" s="604" t="n"/>
      <x:c r="AF1030" s="604" t="n">
        <x:v>0.4328522697828447</x:v>
      </x:c>
      <x:c r="AG1030" s="604" t="n">
        <x:v>0.04922330090173738</x:v>
      </x:c>
      <x:c r="AH1030" s="604" t="n"/>
      <x:c r="AI1030" s="604" t="n"/>
      <x:c r="AJ1030" s="604" t="n">
        <x:v>0.04922330090173738</x:v>
      </x:c>
      <x:c r="AK1030" s="604" t="n"/>
      <x:c r="AL1030" s="604" t="n"/>
      <x:c r="AM1030" s="604" t="n"/>
      <x:c r="AN1030" s="604" t="inlineStr">
        <x:is>
          <x:t xml:space="preserve">EVALUATED</x:t>
        </x:is>
      </x:c>
      <x:c r="AO1030" s="604" t="inlineStr">
        <x:is>
          <x:t xml:space="preserve">EDGE_BELOW_UNCERTAINTY_THRESHOLD、BUCKET_PRIOR_ONLY、INTENT_INTERPRETATION_ONLY、FFL_OPTIONAL、EXPERT_MARKET</x:t>
        </x:is>
      </x:c>
      <x:c r="AP1030" s="604" t="inlineStr">
        <x:is>
          <x:t xml:space="preserve">a97d1a19c3e8d9b37b3d</x:t>
        </x:is>
      </x:c>
      <x:c r="AQ1030" s="604" t="n">
        <x:v>0</x:v>
      </x:c>
      <x:c r="AR1030" s="604" t="n"/>
      <x:c r="AS1030" s="604" t="n">
        <x:v>0</x:v>
      </x:c>
      <x:c r="AT1030" s="604" t="n">
        <x:v>0</x:v>
      </x:c>
      <x:c r="AU1030" s="604" t="n">
        <x:v>0.85</x:v>
      </x:c>
      <x:c r="AV1030" s="604" t="n">
        <x:v>0.85</x:v>
      </x:c>
      <x:c r="AW1030" s="604" t="n">
        <x:v>46300.07479607639</x:v>
      </x:c>
      <x:c r="AX1030" s="604" t="inlineStr">
        <x:is>
          <x:t xml:space="preserve">https://simondongxiao.github.io/odds/v4/</x:t>
        </x:is>
      </x:c>
      <x:c r="AY1030" s="604" t="inlineStr">
        <x:is>
          <x:t xml:space="preserve">V4 Shadow Only；real_money=false；P(EV&gt;0)不是比赛胜率</x:t>
        </x:is>
      </x:c>
    </x:row>
    <x:row r="1031" ht="22" customHeight="1">
      <x:c r="A1031" s="604" t="inlineStr">
        <x:is>
          <x:t xml:space="preserve">2026-10-05</x:t>
        </x:is>
      </x:c>
      <x:c r="B1031" s="604" t="inlineStr">
        <x:is>
          <x:t xml:space="preserve">2026-10-05 21:00</x:t>
        </x:is>
      </x:c>
      <x:c r="C1031" s="604" t="str">
        <x:v>其他系列</x:v>
      </x:c>
      <x:c r="D1031" s="604" t="inlineStr">
        <x:is>
          <x:t xml:space="preserve">联赛</x:t>
        </x:is>
      </x:c>
      <x:c r="E1031" s="604" t="inlineStr">
        <x:is>
          <x:t xml:space="preserve">国际友谊</x:t>
        </x:is>
      </x:c>
      <x:c r="F1031" s="604" t="inlineStr">
        <x:is>
          <x:t xml:space="preserve">乌干达 vs 刚果民主共和国</x:t>
        </x:is>
      </x:c>
      <x:c r="G1031" s="604" t="n">
        <x:v>0.95</x:v>
      </x:c>
      <x:c r="H1031" s="604" t="n">
        <x:v>-0.5</x:v>
      </x:c>
      <x:c r="I1031" s="604" t="n">
        <x:v>0.85</x:v>
      </x:c>
      <x:c r="J1031" s="604" t="inlineStr">
        <x:is>
          <x:t xml:space="preserve">0.95/-0.5/0.85</x:t>
        </x:is>
      </x:c>
      <x:c r="K1031" s="604" t="inlineStr">
        <x:is>
          <x:t xml:space="preserve">V4-C｜EV +0.6375</x:t>
        </x:is>
      </x:c>
      <x:c r="L1031" s="604" t="inlineStr">
        <x:is>
          <x:t xml:space="preserve">乌干达</x:t>
        </x:is>
      </x:c>
      <x:c r="M1031" s="604" t="n">
        <x:v>0.8397651447209346</x:v>
      </x:c>
      <x:c r="N1031" s="604" t="inlineStr">
        <x:is>
          <x:t xml:space="preserve">V4纸面入选-C</x:t>
        </x:is>
      </x:c>
      <x:c r="O1031" s="604" t="inlineStr">
        <x:is>
          <x:t xml:space="preserve">1-1</x:t>
        </x:is>
      </x:c>
      <x:c r="P1031" s="604" t="inlineStr">
        <x:is>
          <x:t xml:space="preserve">已结算</x:t>
        </x:is>
      </x:c>
      <x:c r="Q1031" s="645" t="inlineStr">
        <x:is>
          <x:t xml:space="preserve">红</x:t>
        </x:is>
      </x:c>
      <x:c r="R1031" s="604" t="n">
        <x:v>0.95</x:v>
      </x:c>
      <x:c r="S1031" s="604" t="n">
        <x:f>IF(OR(Q1031="",Q1031="待结算"),"",IF(Q1031="红",R1031,IF(Q1031="半红",R1031*0.5,IF(Q1031="走",0,IF(Q1031="半黑",-0.5,-1)))))</x:f>
        <x:v>0.95</x:v>
      </x:c>
      <x:c r="T1031" s="604" t="inlineStr">
        <x:is>
          <x:t xml:space="preserve">https://m.titan007.com/analy/Analysis/3097741.htm</x:t>
        </x:is>
      </x:c>
      <x:c r="U1031" s="646" t="str">
        <x:f>IF(Q1031="","",IF(Q1031="待结算","待结算",IF(Q1031="红","黑",IF(Q1031="半红","半黑",IF(Q1031="走","走",IF(Q1031="半黑","半红","红"))))))</x:f>
        <x:v>黑</x:v>
      </x:c>
      <x:c r="V1031" s="604" t="n">
        <x:f>IF(OR(Q1031="",Q1031="待结算"),"",IF(L1031=LEFT(F1031,FIND(" vs ",F1031)-1),I1031,G1031))</x:f>
        <x:v>0.85</x:v>
      </x:c>
      <x:c r="W1031" s="604" t="n">
        <x:f>IF(OR(U1031="",U1031="待结算"),"",IF(U1031="红",V1031,IF(U1031="半红",V1031*0.5,IF(U1031="走",0,IF(U1031="半黑",-0.5,-1)))))</x:f>
        <x:v>-1</x:v>
      </x:c>
      <x:c r="X1031" s="604" t="inlineStr">
        <x:is>
          <x:t xml:space="preserve">3097741</x:t>
        </x:is>
      </x:c>
      <x:c r="Y1031" s="604" t="inlineStr">
        <x:is>
          <x:t xml:space="preserve">V4</x:t>
        </x:is>
      </x:c>
      <x:c r="Z1031" s="604" t="inlineStr">
        <x:is>
          <x:t xml:space="preserve">prior-2026-10-05-v1</x:t>
        </x:is>
      </x:c>
      <x:c r="AA1031" s="604" t="inlineStr">
        <x:is>
          <x:t xml:space="preserve">C</x:t>
        </x:is>
      </x:c>
      <x:c r="AB1031" s="604" t="n">
        <x:v>0.8397651447209346</x:v>
      </x:c>
      <x:c r="AC1031" s="604" t="n"/>
      <x:c r="AD1031" s="604" t="n"/>
      <x:c r="AE1031" s="604" t="n"/>
      <x:c r="AF1031" s="604" t="n">
        <x:v>0.1602348552790655</x:v>
      </x:c>
      <x:c r="AG1031" s="604" t="n">
        <x:v>0.6375420322058224</x:v>
      </x:c>
      <x:c r="AH1031" s="604" t="n"/>
      <x:c r="AI1031" s="604" t="n"/>
      <x:c r="AJ1031" s="604" t="n">
        <x:v>0.6375420322058224</x:v>
      </x:c>
      <x:c r="AK1031" s="604" t="n"/>
      <x:c r="AL1031" s="604" t="n"/>
      <x:c r="AM1031" s="604" t="n"/>
      <x:c r="AN1031" s="604" t="inlineStr">
        <x:is>
          <x:t xml:space="preserve">EVALUATED</x:t>
        </x:is>
      </x:c>
      <x:c r="AO1031" s="604" t="inlineStr">
        <x:is>
          <x:t xml:space="preserve">RECEIVING_VALIDATED_EDGE、BUCKET_PRIOR_ONLY、INTENT_INTERPRETATION_ONLY、FFL_OPTIONAL、EXPERT_MARKET</x:t>
        </x:is>
      </x:c>
      <x:c r="AP1031" s="604" t="inlineStr">
        <x:is>
          <x:t xml:space="preserve">d27c81d335544e3dafd0</x:t>
        </x:is>
      </x:c>
      <x:c r="AQ1031" s="604" t="n">
        <x:v>0.5</x:v>
      </x:c>
      <x:c r="AR1031" s="604" t="n">
        <x:v>0.95</x:v>
      </x:c>
      <x:c r="AS1031" s="604" t="n">
        <x:v>-0.5</x:v>
      </x:c>
      <x:c r="AT1031" s="604" t="n">
        <x:v>0.5</x:v>
      </x:c>
      <x:c r="AU1031" s="604" t="n">
        <x:v>0.95</x:v>
      </x:c>
      <x:c r="AV1031" s="604" t="n">
        <x:v>0.85</x:v>
      </x:c>
      <x:c r="AW1031" s="604" t="n">
        <x:v>46300.07479607639</x:v>
      </x:c>
      <x:c r="AX1031" s="604" t="inlineStr">
        <x:is>
          <x:t xml:space="preserve">https://simondongxiao.github.io/odds/v4/</x:t>
        </x:is>
      </x:c>
      <x:c r="AY1031" s="604" t="inlineStr">
        <x:is>
          <x:t xml:space="preserve">V4 Shadow Only；real_money=false；P(EV&gt;0)不是比赛胜率</x:t>
        </x:is>
      </x:c>
    </x:row>
    <x:row r="1032" ht="22" customHeight="1">
      <x:c r="A1032" s="604" t="inlineStr">
        <x:is>
          <x:t xml:space="preserve">2026-10-05</x:t>
        </x:is>
      </x:c>
      <x:c r="B1032" s="604" t="inlineStr">
        <x:is>
          <x:t xml:space="preserve">2026-10-05 21:00</x:t>
        </x:is>
      </x:c>
      <x:c r="C1032" s="604" t="str">
        <x:v>南美系列</x:v>
      </x:c>
      <x:c r="D1032" s="604" t="inlineStr">
        <x:is>
          <x:t xml:space="preserve">联赛</x:t>
        </x:is>
      </x:c>
      <x:c r="E1032" s="604" t="inlineStr">
        <x:is>
          <x:t xml:space="preserve">巴拉丙</x:t>
        </x:is>
      </x:c>
      <x:c r="F1032" s="604" t="inlineStr">
        <x:is>
          <x:t xml:space="preserve">锡尔维奥佩蒂罗西 vs 克里斯托巴尔科隆JAS</x:t>
        </x:is>
      </x:c>
      <x:c r="G1032" s="604" t="n">
        <x:v>1.03</x:v>
      </x:c>
      <x:c r="H1032" s="604" t="n">
        <x:v>0</x:v>
      </x:c>
      <x:c r="I1032" s="604" t="n">
        <x:v>0.78</x:v>
      </x:c>
      <x:c r="J1032" s="604" t="inlineStr">
        <x:is>
          <x:t xml:space="preserve">1.03/0/0.78</x:t>
        </x:is>
      </x:c>
      <x:c r="K1032" s="604" t="inlineStr">
        <x:is>
          <x:t xml:space="preserve">V4-C｜EV +0.0209</x:t>
        </x:is>
      </x:c>
      <x:c r="L1032" s="604" t="str"/>
      <x:c r="M1032" s="604" t="n">
        <x:v>0.5029278205080346</x:v>
      </x:c>
      <x:c r="N1032" s="604" t="inlineStr">
        <x:is>
          <x:t xml:space="preserve">V4纸面入选-C</x:t>
        </x:is>
      </x:c>
      <x:c r="O1032" s="604" t="inlineStr">
        <x:is>
          <x:t xml:space="preserve">2-1</x:t>
        </x:is>
      </x:c>
      <x:c r="P1032" s="604" t="inlineStr">
        <x:is>
          <x:t xml:space="preserve">已结算</x:t>
        </x:is>
      </x:c>
      <x:c r="Q1032" s="645" t="inlineStr">
        <x:is>
          <x:t xml:space="preserve">红</x:t>
        </x:is>
      </x:c>
      <x:c r="R1032" s="604" t="n">
        <x:v>0.78</x:v>
      </x:c>
      <x:c r="S1032" s="604" t="n">
        <x:f>IF(OR(Q1032="",Q1032="待结算"),"",IF(Q1032="红",R1032,IF(Q1032="半红",R1032*0.5,IF(Q1032="走",0,IF(Q1032="半黑",-0.5,-1)))))</x:f>
        <x:v>0.78</x:v>
      </x:c>
      <x:c r="T1032" s="604" t="inlineStr">
        <x:is>
          <x:t xml:space="preserve">https://m.titan007.com/analy/Analysis/3099075.htm</x:t>
        </x:is>
      </x:c>
      <x:c r="U1032" s="646" t="str">
        <x:f>IF(Q1032="","",IF(Q1032="待结算","待结算",IF(Q1032="红","黑",IF(Q1032="半红","半黑",IF(Q1032="走","走",IF(Q1032="半黑","半红","红"))))))</x:f>
        <x:v>黑</x:v>
      </x:c>
      <x:c r="V1032" s="604" t="n">
        <x:f>IF(OR(Q1032="",Q1032="待结算"),"",IF(L1032=LEFT(F1032,FIND(" vs ",F1032)-1),I1032,G1032))</x:f>
        <x:v>1.03</x:v>
      </x:c>
      <x:c r="W1032" s="604" t="n">
        <x:f>IF(OR(U1032="",U1032="待结算"),"",IF(U1032="红",V1032,IF(U1032="半红",V1032*0.5,IF(U1032="走",0,IF(U1032="半黑",-0.5,-1)))))</x:f>
        <x:v>-1</x:v>
      </x:c>
      <x:c r="X1032" s="604" t="inlineStr">
        <x:is>
          <x:t xml:space="preserve">3099075</x:t>
        </x:is>
      </x:c>
      <x:c r="Y1032" s="604" t="inlineStr">
        <x:is>
          <x:t xml:space="preserve">V4</x:t>
        </x:is>
      </x:c>
      <x:c r="Z1032" s="604" t="inlineStr">
        <x:is>
          <x:t xml:space="preserve">prior-2026-10-05-v1</x:t>
        </x:is>
      </x:c>
      <x:c r="AA1032" s="604" t="inlineStr">
        <x:is>
          <x:t xml:space="preserve">C</x:t>
        </x:is>
      </x:c>
      <x:c r="AB1032" s="604" t="n">
        <x:v>0.5029278205080346</x:v>
      </x:c>
      <x:c r="AC1032" s="604" t="n"/>
      <x:c r="AD1032" s="604" t="n"/>
      <x:c r="AE1032" s="604" t="n"/>
      <x:c r="AF1032" s="604" t="n">
        <x:v>0.4970721794919653</x:v>
      </x:c>
      <x:c r="AG1032" s="604" t="n">
        <x:v>0.02094347563131044</x:v>
      </x:c>
      <x:c r="AH1032" s="604" t="n"/>
      <x:c r="AI1032" s="604" t="n"/>
      <x:c r="AJ1032" s="604" t="n">
        <x:v>0.02094347563131044</x:v>
      </x:c>
      <x:c r="AK1032" s="604" t="n"/>
      <x:c r="AL1032" s="604" t="n"/>
      <x:c r="AM1032" s="604" t="n"/>
      <x:c r="AN1032" s="604" t="inlineStr">
        <x:is>
          <x:t xml:space="preserve">EVALUATED</x:t>
        </x:is>
      </x:c>
      <x:c r="AO1032" s="604" t="inlineStr">
        <x:is>
          <x:t xml:space="preserve">EDGE_BELOW_UNCERTAINTY_THRESHOLD、BUCKET_PRIOR_ONLY、INTENT_INTERPRETATION_ONLY、FFL_OPTIONAL、EXPERT_MARKET</x:t>
        </x:is>
      </x:c>
      <x:c r="AP1032" s="604" t="inlineStr">
        <x:is>
          <x:t xml:space="preserve">9a5c1c44f4bf27032715</x:t>
        </x:is>
      </x:c>
      <x:c r="AQ1032" s="604" t="n">
        <x:v>0</x:v>
      </x:c>
      <x:c r="AR1032" s="604" t="n"/>
      <x:c r="AS1032" s="604" t="n">
        <x:v>0</x:v>
      </x:c>
      <x:c r="AT1032" s="604" t="n">
        <x:v>0</x:v>
      </x:c>
      <x:c r="AU1032" s="604" t="n">
        <x:v>1.03</x:v>
      </x:c>
      <x:c r="AV1032" s="604" t="n">
        <x:v>0.78</x:v>
      </x:c>
      <x:c r="AW1032" s="604" t="n">
        <x:v>46300.07479607639</x:v>
      </x:c>
      <x:c r="AX1032" s="604" t="inlineStr">
        <x:is>
          <x:t xml:space="preserve">https://simondongxiao.github.io/odds/v4/</x:t>
        </x:is>
      </x:c>
      <x:c r="AY1032" s="604" t="inlineStr">
        <x:is>
          <x:t xml:space="preserve">V4 Shadow Only；real_money=false；P(EV&gt;0)不是比赛胜率</x:t>
        </x:is>
      </x:c>
    </x:row>
    <x:row r="1033" ht="22" customHeight="1">
      <x:c r="A1033" s="604" t="inlineStr">
        <x:is>
          <x:t xml:space="preserve">2026-10-05</x:t>
        </x:is>
      </x:c>
      <x:c r="B1033" s="604" t="inlineStr">
        <x:is>
          <x:t xml:space="preserve">2026-10-05 21:00</x:t>
        </x:is>
      </x:c>
      <x:c r="C1033" s="604" t="str">
        <x:v>欧洲非五大系列</x:v>
      </x:c>
      <x:c r="D1033" s="604" t="inlineStr">
        <x:is>
          <x:t xml:space="preserve">联赛</x:t>
        </x:is>
      </x:c>
      <x:c r="E1033" s="604" t="inlineStr">
        <x:is>
          <x:t xml:space="preserve">科索沃乙</x:t>
        </x:is>
      </x:c>
      <x:c r="F1033" s="604" t="inlineStr">
        <x:is>
          <x:t xml:space="preserve">KF科索沃布利斯丁 vs 法拿莫达利(KOS)</x:t>
        </x:is>
      </x:c>
      <x:c r="G1033" s="604" t="n">
        <x:v>0.95</x:v>
      </x:c>
      <x:c r="H1033" s="604" t="n">
        <x:v>0</x:v>
      </x:c>
      <x:c r="I1033" s="604" t="n">
        <x:v>0.85</x:v>
      </x:c>
      <x:c r="J1033" s="604" t="inlineStr">
        <x:is>
          <x:t xml:space="preserve">0.95/0/0.85</x:t>
        </x:is>
      </x:c>
      <x:c r="K1033" s="604" t="inlineStr">
        <x:is>
          <x:t xml:space="preserve">V4-C｜EV +0.0216</x:t>
        </x:is>
      </x:c>
      <x:c r="L1033" s="604" t="str"/>
      <x:c r="M1033" s="604" t="n">
        <x:v>0.527641825681098</x:v>
      </x:c>
      <x:c r="N1033" s="604" t="inlineStr">
        <x:is>
          <x:t xml:space="preserve">V4纸面入选-C</x:t>
        </x:is>
      </x:c>
      <x:c r="O1033" s="604" t="inlineStr">
        <x:is>
          <x:t xml:space="preserve">2-0</x:t>
        </x:is>
      </x:c>
      <x:c r="P1033" s="604" t="inlineStr">
        <x:is>
          <x:t xml:space="preserve">已结算</x:t>
        </x:is>
      </x:c>
      <x:c r="Q1033" s="645" t="inlineStr">
        <x:is>
          <x:t xml:space="preserve">红</x:t>
        </x:is>
      </x:c>
      <x:c r="R1033" s="604" t="n">
        <x:v>0.85</x:v>
      </x:c>
      <x:c r="S1033" s="604" t="n">
        <x:f>IF(OR(Q1033="",Q1033="待结算"),"",IF(Q1033="红",R1033,IF(Q1033="半红",R1033*0.5,IF(Q1033="走",0,IF(Q1033="半黑",-0.5,-1)))))</x:f>
        <x:v>0.85</x:v>
      </x:c>
      <x:c r="T1033" s="604" t="inlineStr">
        <x:is>
          <x:t xml:space="preserve">https://m.titan007.com/analy/Analysis/3099056.htm</x:t>
        </x:is>
      </x:c>
      <x:c r="U1033" s="646" t="str">
        <x:f>IF(Q1033="","",IF(Q1033="待结算","待结算",IF(Q1033="红","黑",IF(Q1033="半红","半黑",IF(Q1033="走","走",IF(Q1033="半黑","半红","红"))))))</x:f>
        <x:v>黑</x:v>
      </x:c>
      <x:c r="V1033" s="604" t="n">
        <x:f>IF(OR(Q1033="",Q1033="待结算"),"",IF(L1033=LEFT(F1033,FIND(" vs ",F1033)-1),I1033,G1033))</x:f>
        <x:v>0.95</x:v>
      </x:c>
      <x:c r="W1033" s="604" t="n">
        <x:f>IF(OR(U1033="",U1033="待结算"),"",IF(U1033="红",V1033,IF(U1033="半红",V1033*0.5,IF(U1033="走",0,IF(U1033="半黑",-0.5,-1)))))</x:f>
        <x:v>-1</x:v>
      </x:c>
      <x:c r="X1033" s="604" t="inlineStr">
        <x:is>
          <x:t xml:space="preserve">3099056</x:t>
        </x:is>
      </x:c>
      <x:c r="Y1033" s="604" t="inlineStr">
        <x:is>
          <x:t xml:space="preserve">V4</x:t>
        </x:is>
      </x:c>
      <x:c r="Z1033" s="604" t="inlineStr">
        <x:is>
          <x:t xml:space="preserve">prior-2026-10-05-v1</x:t>
        </x:is>
      </x:c>
      <x:c r="AA1033" s="604" t="inlineStr">
        <x:is>
          <x:t xml:space="preserve">C</x:t>
        </x:is>
      </x:c>
      <x:c r="AB1033" s="604" t="n">
        <x:v>0.3937486996000357</x:v>
      </x:c>
      <x:c r="AC1033" s="604" t="n"/>
      <x:c r="AD1033" s="604" t="n">
        <x:v>0.2537576051864888</x:v>
      </x:c>
      <x:c r="AE1033" s="604" t="n"/>
      <x:c r="AF1033" s="604" t="n">
        <x:v>0.3524936952134755</x:v>
      </x:c>
      <x:c r="AG1033" s="604" t="n">
        <x:v>0.02156756940655841</x:v>
      </x:c>
      <x:c r="AH1033" s="604" t="n"/>
      <x:c r="AI1033" s="604" t="n"/>
      <x:c r="AJ1033" s="604" t="n">
        <x:v>0.02156756940655841</x:v>
      </x:c>
      <x:c r="AK1033" s="604" t="n"/>
      <x:c r="AL1033" s="604" t="n"/>
      <x:c r="AM1033" s="604" t="n"/>
      <x:c r="AN1033" s="604" t="inlineStr">
        <x:is>
          <x:t xml:space="preserve">EVALUATED</x:t>
        </x:is>
      </x:c>
      <x:c r="AO1033" s="604" t="inlineStr">
        <x:is>
          <x:t xml:space="preserve">EDGE_BELOW_UNCERTAINTY_THRESHOLD、BUCKET_PRIOR_ONLY、INTENT_INTERPRETATION_ONLY、FFL_OPTIONAL、EXPERT_MARKET</x:t>
        </x:is>
      </x:c>
      <x:c r="AP1033" s="604" t="inlineStr">
        <x:is>
          <x:t xml:space="preserve">0092781f68e590dc3e5d</x:t>
        </x:is>
      </x:c>
      <x:c r="AQ1033" s="604" t="n">
        <x:v>0</x:v>
      </x:c>
      <x:c r="AR1033" s="604" t="n"/>
      <x:c r="AS1033" s="604" t="n">
        <x:v>0</x:v>
      </x:c>
      <x:c r="AT1033" s="604" t="n">
        <x:v>0</x:v>
      </x:c>
      <x:c r="AU1033" s="604" t="n">
        <x:v>0.95</x:v>
      </x:c>
      <x:c r="AV1033" s="604" t="n">
        <x:v>0.85</x:v>
      </x:c>
      <x:c r="AW1033" s="604" t="n">
        <x:v>46300.07479607639</x:v>
      </x:c>
      <x:c r="AX1033" s="604" t="inlineStr">
        <x:is>
          <x:t xml:space="preserve">https://simondongxiao.github.io/odds/v4/</x:t>
        </x:is>
      </x:c>
      <x:c r="AY1033" s="604" t="inlineStr">
        <x:is>
          <x:t xml:space="preserve">V4 Shadow Only；real_money=false；P(EV&gt;0)不是比赛胜率</x:t>
        </x:is>
      </x:c>
    </x:row>
    <x:row r="1034" ht="22" customHeight="1">
      <x:c r="A1034" s="604" t="inlineStr">
        <x:is>
          <x:t xml:space="preserve">2026-10-05</x:t>
        </x:is>
      </x:c>
      <x:c r="B1034" s="604" t="inlineStr">
        <x:is>
          <x:t xml:space="preserve">2026-10-05 21:00</x:t>
        </x:is>
      </x:c>
      <x:c r="C1034" s="604" t="str">
        <x:v>其他系列</x:v>
      </x:c>
      <x:c r="D1034" s="604" t="inlineStr">
        <x:is>
          <x:t xml:space="preserve">杯赛</x:t>
        </x:is>
      </x:c>
      <x:c r="E1034" s="604" t="inlineStr">
        <x:is>
          <x:t xml:space="preserve">东盟杯</x:t>
        </x:is>
      </x:c>
      <x:c r="F1034" s="604" t="inlineStr">
        <x:is>
          <x:t xml:space="preserve">印度尼西亚 vs 泰国</x:t>
        </x:is>
      </x:c>
      <x:c r="G1034" s="604" t="n">
        <x:v>0.93</x:v>
      </x:c>
      <x:c r="H1034" s="604" t="n">
        <x:v>0</x:v>
      </x:c>
      <x:c r="I1034" s="604" t="n">
        <x:v>0.89</x:v>
      </x:c>
      <x:c r="J1034" s="604" t="inlineStr">
        <x:is>
          <x:t xml:space="preserve">0.93/0/0.89</x:t>
        </x:is>
      </x:c>
      <x:c r="K1034" s="604" t="inlineStr">
        <x:is>
          <x:t xml:space="preserve">V4-C｜EV +0.0379</x:t>
        </x:is>
      </x:c>
      <x:c r="L1034" s="604" t="str"/>
      <x:c r="M1034" s="604" t="n">
        <x:v>0.5377598850115863</x:v>
      </x:c>
      <x:c r="N1034" s="604" t="inlineStr">
        <x:is>
          <x:t xml:space="preserve">V4纸面入选-C</x:t>
        </x:is>
      </x:c>
      <x:c r="O1034" s="604" t="inlineStr">
        <x:is>
          <x:t xml:space="preserve">1-1</x:t>
        </x:is>
      </x:c>
      <x:c r="P1034" s="604" t="inlineStr">
        <x:is>
          <x:t xml:space="preserve">已结算</x:t>
        </x:is>
      </x:c>
      <x:c r="Q1034" s="647" t="inlineStr">
        <x:is>
          <x:t xml:space="preserve">走</x:t>
        </x:is>
      </x:c>
      <x:c r="R1034" s="604" t="n">
        <x:v>0.89</x:v>
      </x:c>
      <x:c r="S1034" s="604" t="n">
        <x:f>IF(OR(Q1034="",Q1034="待结算"),"",IF(Q1034="红",R1034,IF(Q1034="半红",R1034*0.5,IF(Q1034="走",0,IF(Q1034="半黑",-0.5,-1)))))</x:f>
        <x:v>0</x:v>
      </x:c>
      <x:c r="T1034" s="604" t="inlineStr">
        <x:is>
          <x:t xml:space="preserve">https://m.titan007.com/analy/Analysis/3097750.htm</x:t>
        </x:is>
      </x:c>
      <x:c r="U1034" s="647" t="str">
        <x:f>IF(Q1034="","",IF(Q1034="待结算","待结算",IF(Q1034="红","黑",IF(Q1034="半红","半黑",IF(Q1034="走","走",IF(Q1034="半黑","半红","红"))))))</x:f>
        <x:v>走</x:v>
      </x:c>
      <x:c r="V1034" s="604" t="n">
        <x:f>IF(OR(Q1034="",Q1034="待结算"),"",IF(L1034=LEFT(F1034,FIND(" vs ",F1034)-1),I1034,G1034))</x:f>
        <x:v>0.93</x:v>
      </x:c>
      <x:c r="W1034" s="604" t="n">
        <x:f>IF(OR(U1034="",U1034="待结算"),"",IF(U1034="红",V1034,IF(U1034="半红",V1034*0.5,IF(U1034="走",0,IF(U1034="半黑",-0.5,-1)))))</x:f>
        <x:v>0</x:v>
      </x:c>
      <x:c r="X1034" s="604" t="inlineStr">
        <x:is>
          <x:t xml:space="preserve">3097750</x:t>
        </x:is>
      </x:c>
      <x:c r="Y1034" s="604" t="inlineStr">
        <x:is>
          <x:t xml:space="preserve">V4</x:t>
        </x:is>
      </x:c>
      <x:c r="Z1034" s="604" t="inlineStr">
        <x:is>
          <x:t xml:space="preserve">prior-2026-10-05-v1</x:t>
        </x:is>
      </x:c>
      <x:c r="AA1034" s="604" t="inlineStr">
        <x:is>
          <x:t xml:space="preserve">C</x:t>
        </x:is>
      </x:c>
      <x:c r="AB1034" s="604" t="n">
        <x:v>0.5377598850115863</x:v>
      </x:c>
      <x:c r="AC1034" s="604" t="n"/>
      <x:c r="AD1034" s="604" t="n"/>
      <x:c r="AE1034" s="604" t="n"/>
      <x:c r="AF1034" s="604" t="n">
        <x:v>0.4622401149884137</x:v>
      </x:c>
      <x:c r="AG1034" s="604" t="n">
        <x:v>0.03787657807236161</x:v>
      </x:c>
      <x:c r="AH1034" s="604" t="n"/>
      <x:c r="AI1034" s="604" t="n"/>
      <x:c r="AJ1034" s="604" t="n">
        <x:v>0.03787657807236161</x:v>
      </x:c>
      <x:c r="AK1034" s="604" t="n"/>
      <x:c r="AL1034" s="604" t="n"/>
      <x:c r="AM1034" s="604" t="n"/>
      <x:c r="AN1034" s="604" t="inlineStr">
        <x:is>
          <x:t xml:space="preserve">EVALUATED</x:t>
        </x:is>
      </x:c>
      <x:c r="AO1034" s="604" t="inlineStr">
        <x:is>
          <x:t xml:space="preserve">EDGE_BELOW_UNCERTAINTY_THRESHOLD、BUCKET_PRIOR_ONLY、INTENT_INTERPRETATION_ONLY、FFL_OPTIONAL、EXPERT_MARKET</x:t>
        </x:is>
      </x:c>
      <x:c r="AP1034" s="604" t="inlineStr">
        <x:is>
          <x:t xml:space="preserve">0fc3870c3c312bb16011</x:t>
        </x:is>
      </x:c>
      <x:c r="AQ1034" s="604" t="n">
        <x:v>0</x:v>
      </x:c>
      <x:c r="AR1034" s="604" t="n"/>
      <x:c r="AS1034" s="604" t="n">
        <x:v>0</x:v>
      </x:c>
      <x:c r="AT1034" s="604" t="n">
        <x:v>0</x:v>
      </x:c>
      <x:c r="AU1034" s="604" t="n">
        <x:v>0.93</x:v>
      </x:c>
      <x:c r="AV1034" s="604" t="n">
        <x:v>0.89</x:v>
      </x:c>
      <x:c r="AW1034" s="604" t="n">
        <x:v>46300.07479607639</x:v>
      </x:c>
      <x:c r="AX1034" s="604" t="inlineStr">
        <x:is>
          <x:t xml:space="preserve">https://simondongxiao.github.io/odds/v4/</x:t>
        </x:is>
      </x:c>
      <x:c r="AY1034" s="604" t="inlineStr">
        <x:is>
          <x:t xml:space="preserve">V4 Shadow Only；real_money=false；P(EV&gt;0)不是比赛胜率</x:t>
        </x:is>
      </x:c>
    </x:row>
    <x:row r="1035" ht="22" customHeight="1">
      <x:c r="A1035" s="604" t="inlineStr">
        <x:is>
          <x:t xml:space="preserve">2026-10-05</x:t>
        </x:is>
      </x:c>
      <x:c r="B1035" s="604" t="inlineStr">
        <x:is>
          <x:t xml:space="preserve">2026-10-05 21:30</x:t>
        </x:is>
      </x:c>
      <x:c r="C1035" s="604" t="str">
        <x:v>西亚/中亚系列</x:v>
      </x:c>
      <x:c r="D1035" s="604" t="inlineStr">
        <x:is>
          <x:t xml:space="preserve">联赛</x:t>
        </x:is>
      </x:c>
      <x:c r="E1035" s="604" t="inlineStr">
        <x:is>
          <x:t xml:space="preserve">伊朗甲</x:t>
        </x:is>
      </x:c>
      <x:c r="F1035" s="604" t="inlineStr">
        <x:is>
          <x:t xml:space="preserve">哈瓦达尔 vs 帕尔斯布什尔</x:t>
        </x:is>
      </x:c>
      <x:c r="G1035" s="604" t="n">
        <x:v>0.77</x:v>
      </x:c>
      <x:c r="H1035" s="604" t="n">
        <x:v>-0.5</x:v>
      </x:c>
      <x:c r="I1035" s="604" t="n">
        <x:v>1.01</x:v>
      </x:c>
      <x:c r="J1035" s="604" t="inlineStr">
        <x:is>
          <x:t xml:space="preserve">0.77/-0.5/1.01</x:t>
        </x:is>
      </x:c>
      <x:c r="K1035" s="604" t="inlineStr">
        <x:is>
          <x:t xml:space="preserve">V4-B｜EV +0.4651</x:t>
        </x:is>
      </x:c>
      <x:c r="L1035" s="604" t="inlineStr">
        <x:is>
          <x:t xml:space="preserve">哈瓦达尔</x:t>
        </x:is>
      </x:c>
      <x:c r="M1035" s="604" t="n">
        <x:v>0.8277674728214196</x:v>
      </x:c>
      <x:c r="N1035" s="604" t="inlineStr">
        <x:is>
          <x:t xml:space="preserve">V4纸面入选-B</x:t>
        </x:is>
      </x:c>
      <x:c r="O1035" s="604" t="inlineStr">
        <x:is>
          <x:t xml:space="preserve">0-1</x:t>
        </x:is>
      </x:c>
      <x:c r="P1035" s="604" t="inlineStr">
        <x:is>
          <x:t xml:space="preserve">已结算</x:t>
        </x:is>
      </x:c>
      <x:c r="Q1035" s="646" t="inlineStr">
        <x:is>
          <x:t xml:space="preserve">黑</x:t>
        </x:is>
      </x:c>
      <x:c r="R1035" s="604" t="n">
        <x:v>0.77</x:v>
      </x:c>
      <x:c r="S1035" s="604" t="n">
        <x:f>IF(OR(Q1035="",Q1035="待结算"),"",IF(Q1035="红",R1035,IF(Q1035="半红",R1035*0.5,IF(Q1035="走",0,IF(Q1035="半黑",-0.5,-1)))))</x:f>
        <x:v>-1</x:v>
      </x:c>
      <x:c r="T1035" s="604" t="inlineStr">
        <x:is>
          <x:t xml:space="preserve">https://m.titan007.com/analy/Analysis/3089248.htm</x:t>
        </x:is>
      </x:c>
      <x:c r="U1035" s="645" t="str">
        <x:f>IF(Q1035="","",IF(Q1035="待结算","待结算",IF(Q1035="红","黑",IF(Q1035="半红","半黑",IF(Q1035="走","走",IF(Q1035="半黑","半红","红"))))))</x:f>
        <x:v>红</x:v>
      </x:c>
      <x:c r="V1035" s="604" t="n">
        <x:f>IF(OR(Q1035="",Q1035="待结算"),"",IF(L1035=LEFT(F1035,FIND(" vs ",F1035)-1),I1035,G1035))</x:f>
        <x:v>1.01</x:v>
      </x:c>
      <x:c r="W1035" s="604" t="n">
        <x:f>IF(OR(U1035="",U1035="待结算"),"",IF(U1035="红",V1035,IF(U1035="半红",V1035*0.5,IF(U1035="走",0,IF(U1035="半黑",-0.5,-1)))))</x:f>
        <x:v>1.01</x:v>
      </x:c>
      <x:c r="X1035" s="604" t="inlineStr">
        <x:is>
          <x:t xml:space="preserve">3089248</x:t>
        </x:is>
      </x:c>
      <x:c r="Y1035" s="604" t="inlineStr">
        <x:is>
          <x:t xml:space="preserve">V4</x:t>
        </x:is>
      </x:c>
      <x:c r="Z1035" s="604" t="inlineStr">
        <x:is>
          <x:t xml:space="preserve">prior-2026-10-05-v1</x:t>
        </x:is>
      </x:c>
      <x:c r="AA1035" s="604" t="inlineStr">
        <x:is>
          <x:t xml:space="preserve">B</x:t>
        </x:is>
      </x:c>
      <x:c r="AB1035" s="604" t="n">
        <x:v>0.8277674728214196</x:v>
      </x:c>
      <x:c r="AC1035" s="604" t="n"/>
      <x:c r="AD1035" s="604" t="n"/>
      <x:c r="AE1035" s="604" t="n"/>
      <x:c r="AF1035" s="604" t="n">
        <x:v>0.1722325271785804</x:v>
      </x:c>
      <x:c r="AG1035" s="604" t="n">
        <x:v>0.4651484268939127</x:v>
      </x:c>
      <x:c r="AH1035" s="604" t="n"/>
      <x:c r="AI1035" s="604" t="n"/>
      <x:c r="AJ1035" s="604" t="n">
        <x:v>0.4651484268939127</x:v>
      </x:c>
      <x:c r="AK1035" s="604" t="n"/>
      <x:c r="AL1035" s="604" t="n"/>
      <x:c r="AM1035" s="604" t="n"/>
      <x:c r="AN1035" s="604" t="inlineStr">
        <x:is>
          <x:t xml:space="preserve">EVALUATED</x:t>
        </x:is>
      </x:c>
      <x:c r="AO1035" s="604" t="inlineStr">
        <x:is>
          <x:t xml:space="preserve">RECEIVING_VALIDATED_EDGE、BUCKET_PRIOR_ONLY、INTENT_INTERPRETATION_ONLY、FFL_OPTIONAL、EXPERT_MARKET</x:t>
        </x:is>
      </x:c>
      <x:c r="AP1035" s="604" t="inlineStr">
        <x:is>
          <x:t xml:space="preserve">3d857bf521667b47ea63</x:t>
        </x:is>
      </x:c>
      <x:c r="AQ1035" s="604" t="n">
        <x:v>0.5</x:v>
      </x:c>
      <x:c r="AR1035" s="604" t="n">
        <x:v>0.77</x:v>
      </x:c>
      <x:c r="AS1035" s="604" t="n">
        <x:v>-0.5</x:v>
      </x:c>
      <x:c r="AT1035" s="604" t="n">
        <x:v>0.5</x:v>
      </x:c>
      <x:c r="AU1035" s="604" t="n">
        <x:v>0.77</x:v>
      </x:c>
      <x:c r="AV1035" s="604" t="n">
        <x:v>1.01</x:v>
      </x:c>
      <x:c r="AW1035" s="604" t="n">
        <x:v>46300.07479607639</x:v>
      </x:c>
      <x:c r="AX1035" s="604" t="inlineStr">
        <x:is>
          <x:t xml:space="preserve">https://simondongxiao.github.io/odds/v4/</x:t>
        </x:is>
      </x:c>
      <x:c r="AY1035" s="604" t="inlineStr">
        <x:is>
          <x:t xml:space="preserve">V4 Shadow Only；real_money=false；P(EV&gt;0)不是比赛胜率</x:t>
        </x:is>
      </x:c>
    </x:row>
    <x:row r="1036" ht="22" customHeight="1">
      <x:c r="A1036" s="604" t="inlineStr">
        <x:is>
          <x:t xml:space="preserve">2026-10-05</x:t>
        </x:is>
      </x:c>
      <x:c r="B1036" s="604" t="inlineStr">
        <x:is>
          <x:t xml:space="preserve">2026-10-05 22:00</x:t>
        </x:is>
      </x:c>
      <x:c r="C1036" s="604" t="str">
        <x:v>欧洲非五大系列</x:v>
      </x:c>
      <x:c r="D1036" s="604" t="inlineStr">
        <x:is>
          <x:t xml:space="preserve">联赛</x:t>
        </x:is>
      </x:c>
      <x:c r="E1036" s="604" t="inlineStr">
        <x:is>
          <x:t xml:space="preserve">塞尔甲</x:t>
        </x:is>
      </x:c>
      <x:c r="F1036" s="604" t="inlineStr">
        <x:is>
          <x:t xml:space="preserve">纳普里达克 vs 洛兹尼察</x:t>
        </x:is>
      </x:c>
      <x:c r="G1036" s="604" t="n">
        <x:v>0.95</x:v>
      </x:c>
      <x:c r="H1036" s="604" t="n">
        <x:v>0</x:v>
      </x:c>
      <x:c r="I1036" s="604" t="n">
        <x:v>0.75</x:v>
      </x:c>
      <x:c r="J1036" s="604" t="inlineStr">
        <x:is>
          <x:t xml:space="preserve">0.95/0/0.75</x:t>
        </x:is>
      </x:c>
      <x:c r="K1036" s="604" t="inlineStr">
        <x:is>
          <x:t xml:space="preserve">V4-C｜EV +0.0051</x:t>
        </x:is>
      </x:c>
      <x:c r="L1036" s="604" t="str"/>
      <x:c r="M1036" s="604" t="n">
        <x:v>0.5158328990138599</x:v>
      </x:c>
      <x:c r="N1036" s="604" t="inlineStr">
        <x:is>
          <x:t xml:space="preserve">V4纸面入选-C</x:t>
        </x:is>
      </x:c>
      <x:c r="O1036" s="604" t="inlineStr">
        <x:is>
          <x:t xml:space="preserve">3-0</x:t>
        </x:is>
      </x:c>
      <x:c r="P1036" s="604" t="inlineStr">
        <x:is>
          <x:t xml:space="preserve">已结算</x:t>
        </x:is>
      </x:c>
      <x:c r="Q1036" s="645" t="inlineStr">
        <x:is>
          <x:t xml:space="preserve">红</x:t>
        </x:is>
      </x:c>
      <x:c r="R1036" s="604" t="n">
        <x:v>0.75</x:v>
      </x:c>
      <x:c r="S1036" s="604" t="n">
        <x:f>IF(OR(Q1036="",Q1036="待结算"),"",IF(Q1036="红",R1036,IF(Q1036="半红",R1036*0.5,IF(Q1036="走",0,IF(Q1036="半黑",-0.5,-1)))))</x:f>
        <x:v>0.75</x:v>
      </x:c>
      <x:c r="T1036" s="604" t="inlineStr">
        <x:is>
          <x:t xml:space="preserve">https://m.titan007.com/analy/Analysis/3050280.htm</x:t>
        </x:is>
      </x:c>
      <x:c r="U1036" s="646" t="str">
        <x:f>IF(Q1036="","",IF(Q1036="待结算","待结算",IF(Q1036="红","黑",IF(Q1036="半红","半黑",IF(Q1036="走","走",IF(Q1036="半黑","半红","红"))))))</x:f>
        <x:v>黑</x:v>
      </x:c>
      <x:c r="V1036" s="604" t="n">
        <x:f>IF(OR(Q1036="",Q1036="待结算"),"",IF(L1036=LEFT(F1036,FIND(" vs ",F1036)-1),I1036,G1036))</x:f>
        <x:v>0.95</x:v>
      </x:c>
      <x:c r="W1036" s="604" t="n">
        <x:f>IF(OR(U1036="",U1036="待结算"),"",IF(U1036="红",V1036,IF(U1036="半红",V1036*0.5,IF(U1036="走",0,IF(U1036="半黑",-0.5,-1)))))</x:f>
        <x:v>-1</x:v>
      </x:c>
      <x:c r="X1036" s="604" t="inlineStr">
        <x:is>
          <x:t xml:space="preserve">3050280</x:t>
        </x:is>
      </x:c>
      <x:c r="Y1036" s="604" t="inlineStr">
        <x:is>
          <x:t xml:space="preserve">V4</x:t>
        </x:is>
      </x:c>
      <x:c r="Z1036" s="604" t="inlineStr">
        <x:is>
          <x:t xml:space="preserve">prior-2026-10-05-v1</x:t>
        </x:is>
      </x:c>
      <x:c r="AA1036" s="604" t="inlineStr">
        <x:is>
          <x:t xml:space="preserve">C</x:t>
        </x:is>
      </x:c>
      <x:c r="AB1036" s="604" t="n">
        <x:v>0.4485415544443298</x:v>
      </x:c>
      <x:c r="AC1036" s="604" t="n"/>
      <x:c r="AD1036" s="604" t="n"/>
      <x:c r="AE1036" s="604" t="n">
        <x:v>0.2609036558085915</x:v>
      </x:c>
      <x:c r="AF1036" s="604" t="n">
        <x:v>0.2905547897470787</x:v>
      </x:c>
      <x:c r="AG1036" s="604" t="n">
        <x:v>0.005107859070738852</x:v>
      </x:c>
      <x:c r="AH1036" s="604" t="n"/>
      <x:c r="AI1036" s="604" t="n"/>
      <x:c r="AJ1036" s="604" t="n">
        <x:v>0.005107859070738852</x:v>
      </x:c>
      <x:c r="AK1036" s="604" t="n"/>
      <x:c r="AL1036" s="604" t="n"/>
      <x:c r="AM1036" s="604" t="n"/>
      <x:c r="AN1036" s="604" t="inlineStr">
        <x:is>
          <x:t xml:space="preserve">EVALUATED</x:t>
        </x:is>
      </x:c>
      <x:c r="AO1036" s="604" t="inlineStr">
        <x:is>
          <x:t xml:space="preserve">EDGE_BELOW_UNCERTAINTY_THRESHOLD、BUCKET_PRIOR_ONLY、INTENT_INTERPRETATION_ONLY、FFL_OPTIONAL、EXPERT_MARKET</x:t>
        </x:is>
      </x:c>
      <x:c r="AP1036" s="604" t="inlineStr">
        <x:is>
          <x:t xml:space="preserve">6b8b9c7600d646960ce4</x:t>
        </x:is>
      </x:c>
      <x:c r="AQ1036" s="604" t="n">
        <x:v>0</x:v>
      </x:c>
      <x:c r="AR1036" s="604" t="n"/>
      <x:c r="AS1036" s="604" t="n">
        <x:v>0</x:v>
      </x:c>
      <x:c r="AT1036" s="604" t="n">
        <x:v>0</x:v>
      </x:c>
      <x:c r="AU1036" s="604" t="n">
        <x:v>0.95</x:v>
      </x:c>
      <x:c r="AV1036" s="604" t="n">
        <x:v>0.75</x:v>
      </x:c>
      <x:c r="AW1036" s="604" t="n">
        <x:v>46300.07479607639</x:v>
      </x:c>
      <x:c r="AX1036" s="604" t="inlineStr">
        <x:is>
          <x:t xml:space="preserve">https://simondongxiao.github.io/odds/v4/</x:t>
        </x:is>
      </x:c>
      <x:c r="AY1036" s="604" t="inlineStr">
        <x:is>
          <x:t xml:space="preserve">V4 Shadow Only；real_money=false；P(EV&gt;0)不是比赛胜率</x:t>
        </x:is>
      </x:c>
    </x:row>
    <x:row r="1037" ht="22" customHeight="1">
      <x:c r="A1037" s="604" t="inlineStr">
        <x:is>
          <x:t xml:space="preserve">2026-10-05</x:t>
        </x:is>
      </x:c>
      <x:c r="B1037" s="604" t="inlineStr">
        <x:is>
          <x:t xml:space="preserve">2026-10-05 22:00</x:t>
        </x:is>
      </x:c>
      <x:c r="C1037" s="604" t="str">
        <x:v>其他系列</x:v>
      </x:c>
      <x:c r="D1037" s="604" t="inlineStr">
        <x:is>
          <x:t xml:space="preserve">联赛</x:t>
        </x:is>
      </x:c>
      <x:c r="E1037" s="604" t="inlineStr">
        <x:is>
          <x:t xml:space="preserve">国际友谊</x:t>
        </x:is>
      </x:c>
      <x:c r="F1037" s="604" t="inlineStr">
        <x:is>
          <x:t xml:space="preserve">黑山U19 vs 以色列U19</x:t>
        </x:is>
      </x:c>
      <x:c r="G1037" s="604" t="n">
        <x:v>0.78</x:v>
      </x:c>
      <x:c r="H1037" s="604" t="n">
        <x:v>-0.5</x:v>
      </x:c>
      <x:c r="I1037" s="604" t="n">
        <x:v>1.03</x:v>
      </x:c>
      <x:c r="J1037" s="604" t="inlineStr">
        <x:is>
          <x:t xml:space="preserve">0.78/-0.5/1.03</x:t>
        </x:is>
      </x:c>
      <x:c r="K1037" s="604" t="inlineStr">
        <x:is>
          <x:t xml:space="preserve">V4-C｜EV +0.2622</x:t>
        </x:is>
      </x:c>
      <x:c r="L1037" s="604" t="inlineStr">
        <x:is>
          <x:t xml:space="preserve">黑山U19</x:t>
        </x:is>
      </x:c>
      <x:c r="M1037" s="604" t="n">
        <x:v>0.7090987032537736</x:v>
      </x:c>
      <x:c r="N1037" s="604" t="inlineStr">
        <x:is>
          <x:t xml:space="preserve">V4纸面入选-C</x:t>
        </x:is>
      </x:c>
      <x:c r="O1037" s="604" t="inlineStr">
        <x:is>
          <x:t xml:space="preserve">0-1</x:t>
        </x:is>
      </x:c>
      <x:c r="P1037" s="604" t="inlineStr">
        <x:is>
          <x:t xml:space="preserve">已结算</x:t>
        </x:is>
      </x:c>
      <x:c r="Q1037" s="646" t="inlineStr">
        <x:is>
          <x:t xml:space="preserve">黑</x:t>
        </x:is>
      </x:c>
      <x:c r="R1037" s="604" t="n">
        <x:v>0.78</x:v>
      </x:c>
      <x:c r="S1037" s="604" t="n">
        <x:f>IF(OR(Q1037="",Q1037="待结算"),"",IF(Q1037="红",R1037,IF(Q1037="半红",R1037*0.5,IF(Q1037="走",0,IF(Q1037="半黑",-0.5,-1)))))</x:f>
        <x:v>-1</x:v>
      </x:c>
      <x:c r="T1037" s="604" t="inlineStr">
        <x:is>
          <x:t xml:space="preserve">https://m.titan007.com/analy/Analysis/3097742.htm</x:t>
        </x:is>
      </x:c>
      <x:c r="U1037" s="645" t="str">
        <x:f>IF(Q1037="","",IF(Q1037="待结算","待结算",IF(Q1037="红","黑",IF(Q1037="半红","半黑",IF(Q1037="走","走",IF(Q1037="半黑","半红","红"))))))</x:f>
        <x:v>红</x:v>
      </x:c>
      <x:c r="V1037" s="604" t="n">
        <x:f>IF(OR(Q1037="",Q1037="待结算"),"",IF(L1037=LEFT(F1037,FIND(" vs ",F1037)-1),I1037,G1037))</x:f>
        <x:v>1.03</x:v>
      </x:c>
      <x:c r="W1037" s="604" t="n">
        <x:f>IF(OR(U1037="",U1037="待结算"),"",IF(U1037="红",V1037,IF(U1037="半红",V1037*0.5,IF(U1037="走",0,IF(U1037="半黑",-0.5,-1)))))</x:f>
        <x:v>1.03</x:v>
      </x:c>
      <x:c r="X1037" s="604" t="inlineStr">
        <x:is>
          <x:t xml:space="preserve">3097742</x:t>
        </x:is>
      </x:c>
      <x:c r="Y1037" s="604" t="inlineStr">
        <x:is>
          <x:t xml:space="preserve">V4</x:t>
        </x:is>
      </x:c>
      <x:c r="Z1037" s="604" t="inlineStr">
        <x:is>
          <x:t xml:space="preserve">prior-2026-10-05-v1</x:t>
        </x:is>
      </x:c>
      <x:c r="AA1037" s="604" t="inlineStr">
        <x:is>
          <x:t xml:space="preserve">C</x:t>
        </x:is>
      </x:c>
      <x:c r="AB1037" s="604" t="n">
        <x:v>0.7090987032537736</x:v>
      </x:c>
      <x:c r="AC1037" s="604" t="n"/>
      <x:c r="AD1037" s="604" t="n"/>
      <x:c r="AE1037" s="604" t="n"/>
      <x:c r="AF1037" s="604" t="n">
        <x:v>0.2909012967462264</x:v>
      </x:c>
      <x:c r="AG1037" s="604" t="n">
        <x:v>0.262195691791717</x:v>
      </x:c>
      <x:c r="AH1037" s="604" t="n"/>
      <x:c r="AI1037" s="604" t="n"/>
      <x:c r="AJ1037" s="604" t="n">
        <x:v>0.262195691791717</x:v>
      </x:c>
      <x:c r="AK1037" s="604" t="n"/>
      <x:c r="AL1037" s="604" t="n"/>
      <x:c r="AM1037" s="604" t="n"/>
      <x:c r="AN1037" s="604" t="inlineStr">
        <x:is>
          <x:t xml:space="preserve">EVALUATED</x:t>
        </x:is>
      </x:c>
      <x:c r="AO1037" s="604" t="inlineStr">
        <x:is>
          <x:t xml:space="preserve">RECEIVING_VALIDATED_EDGE、BUCKET_PRIOR_ONLY、INTENT_INTERPRETATION_ONLY、FFL_OPTIONAL、EXPERT_MARKET</x:t>
        </x:is>
      </x:c>
      <x:c r="AP1037" s="604" t="inlineStr">
        <x:is>
          <x:t xml:space="preserve">ae0fe073dca3211d5e72</x:t>
        </x:is>
      </x:c>
      <x:c r="AQ1037" s="604" t="n">
        <x:v>0.5</x:v>
      </x:c>
      <x:c r="AR1037" s="604" t="n">
        <x:v>0.78</x:v>
      </x:c>
      <x:c r="AS1037" s="604" t="n">
        <x:v>-0.5</x:v>
      </x:c>
      <x:c r="AT1037" s="604" t="n">
        <x:v>0.5</x:v>
      </x:c>
      <x:c r="AU1037" s="604" t="n">
        <x:v>0.78</x:v>
      </x:c>
      <x:c r="AV1037" s="604" t="n">
        <x:v>1.03</x:v>
      </x:c>
      <x:c r="AW1037" s="604" t="n">
        <x:v>46300.07479607639</x:v>
      </x:c>
      <x:c r="AX1037" s="604" t="inlineStr">
        <x:is>
          <x:t xml:space="preserve">https://simondongxiao.github.io/odds/v4/</x:t>
        </x:is>
      </x:c>
      <x:c r="AY1037" s="604" t="inlineStr">
        <x:is>
          <x:t xml:space="preserve">V4 Shadow Only；real_money=false；P(EV&gt;0)不是比赛胜率</x:t>
        </x:is>
      </x:c>
    </x:row>
    <x:row r="1038" ht="22" customHeight="1">
      <x:c r="A1038" s="604" t="inlineStr">
        <x:is>
          <x:t xml:space="preserve">2026-10-05</x:t>
        </x:is>
      </x:c>
      <x:c r="B1038" s="604" t="inlineStr">
        <x:is>
          <x:t xml:space="preserve">2026-10-05 22:00</x:t>
        </x:is>
      </x:c>
      <x:c r="C1038" s="604" t="str">
        <x:v>其他系列</x:v>
      </x:c>
      <x:c r="D1038" s="604" t="inlineStr">
        <x:is>
          <x:t xml:space="preserve">联赛</x:t>
        </x:is>
      </x:c>
      <x:c r="E1038" s="604" t="inlineStr">
        <x:is>
          <x:t xml:space="preserve">国际友谊</x:t>
        </x:is>
      </x:c>
      <x:c r="F1038" s="604" t="inlineStr">
        <x:is>
          <x:t xml:space="preserve">格鲁吉亚U19 vs 拉脱维亚U19</x:t>
        </x:is>
      </x:c>
      <x:c r="G1038" s="604" t="n">
        <x:v>1.05</x:v>
      </x:c>
      <x:c r="H1038" s="604" t="n">
        <x:v>0</x:v>
      </x:c>
      <x:c r="I1038" s="604" t="n">
        <x:v>0.75</x:v>
      </x:c>
      <x:c r="J1038" s="604" t="inlineStr">
        <x:is>
          <x:t xml:space="preserve">1.05/0/0.75</x:t>
        </x:is>
      </x:c>
      <x:c r="K1038" s="604" t="inlineStr">
        <x:is>
          <x:t xml:space="preserve">V4-C｜EV +0.0581</x:t>
        </x:is>
      </x:c>
      <x:c r="L1038" s="604" t="str"/>
      <x:c r="M1038" s="604" t="n">
        <x:v>0.5203859575276752</x:v>
      </x:c>
      <x:c r="N1038" s="604" t="inlineStr">
        <x:is>
          <x:t xml:space="preserve">V4纸面入选-C</x:t>
        </x:is>
      </x:c>
      <x:c r="O1038" s="604" t="inlineStr">
        <x:is>
          <x:t xml:space="preserve">1-1</x:t>
        </x:is>
      </x:c>
      <x:c r="P1038" s="604" t="inlineStr">
        <x:is>
          <x:t xml:space="preserve">已结算</x:t>
        </x:is>
      </x:c>
      <x:c r="Q1038" s="647" t="inlineStr">
        <x:is>
          <x:t xml:space="preserve">走</x:t>
        </x:is>
      </x:c>
      <x:c r="R1038" s="604" t="n">
        <x:v>0.75</x:v>
      </x:c>
      <x:c r="S1038" s="604" t="n">
        <x:f>IF(OR(Q1038="",Q1038="待结算"),"",IF(Q1038="红",R1038,IF(Q1038="半红",R1038*0.5,IF(Q1038="走",0,IF(Q1038="半黑",-0.5,-1)))))</x:f>
        <x:v>0</x:v>
      </x:c>
      <x:c r="T1038" s="604" t="inlineStr">
        <x:is>
          <x:t xml:space="preserve">https://m.titan007.com/analy/Analysis/3097745.htm</x:t>
        </x:is>
      </x:c>
      <x:c r="U1038" s="647" t="str">
        <x:f>IF(Q1038="","",IF(Q1038="待结算","待结算",IF(Q1038="红","黑",IF(Q1038="半红","半黑",IF(Q1038="走","走",IF(Q1038="半黑","半红","红"))))))</x:f>
        <x:v>走</x:v>
      </x:c>
      <x:c r="V1038" s="604" t="n">
        <x:f>IF(OR(Q1038="",Q1038="待结算"),"",IF(L1038=LEFT(F1038,FIND(" vs ",F1038)-1),I1038,G1038))</x:f>
        <x:v>1.05</x:v>
      </x:c>
      <x:c r="W1038" s="604" t="n">
        <x:f>IF(OR(U1038="",U1038="待结算"),"",IF(U1038="红",V1038,IF(U1038="半红",V1038*0.5,IF(U1038="走",0,IF(U1038="半黑",-0.5,-1)))))</x:f>
        <x:v>0</x:v>
      </x:c>
      <x:c r="X1038" s="604" t="inlineStr">
        <x:is>
          <x:t xml:space="preserve">3097745</x:t>
        </x:is>
      </x:c>
      <x:c r="Y1038" s="604" t="inlineStr">
        <x:is>
          <x:t xml:space="preserve">V4</x:t>
        </x:is>
      </x:c>
      <x:c r="Z1038" s="604" t="inlineStr">
        <x:is>
          <x:t xml:space="preserve">prior-2026-10-05-v1</x:t>
        </x:is>
      </x:c>
      <x:c r="AA1038" s="604" t="inlineStr">
        <x:is>
          <x:t xml:space="preserve">C</x:t>
        </x:is>
      </x:c>
      <x:c r="AB1038" s="604" t="n">
        <x:v>0.4530485031040359</x:v>
      </x:c>
      <x:c r="AC1038" s="604" t="n"/>
      <x:c r="AD1038" s="604" t="n"/>
      <x:c r="AE1038" s="604" t="n">
        <x:v>0.2587981226225083</x:v>
      </x:c>
      <x:c r="AF1038" s="604" t="n">
        <x:v>0.2881533742734559</x:v>
      </x:c>
      <x:c r="AG1038" s="604" t="n">
        <x:v>0.05814849267452771</x:v>
      </x:c>
      <x:c r="AH1038" s="604" t="n"/>
      <x:c r="AI1038" s="604" t="n"/>
      <x:c r="AJ1038" s="604" t="n">
        <x:v>0.05814849267452771</x:v>
      </x:c>
      <x:c r="AK1038" s="604" t="n"/>
      <x:c r="AL1038" s="604" t="n"/>
      <x:c r="AM1038" s="604" t="n"/>
      <x:c r="AN1038" s="604" t="inlineStr">
        <x:is>
          <x:t xml:space="preserve">EVALUATED</x:t>
        </x:is>
      </x:c>
      <x:c r="AO1038" s="604" t="inlineStr">
        <x:is>
          <x:t xml:space="preserve">EDGE_BELOW_UNCERTAINTY_THRESHOLD、BUCKET_PRIOR_ONLY、INTENT_INTERPRETATION_ONLY、FFL_OPTIONAL、EXPERT_MARKET</x:t>
        </x:is>
      </x:c>
      <x:c r="AP1038" s="604" t="inlineStr">
        <x:is>
          <x:t xml:space="preserve">c0e1665a261e5de2fa5f</x:t>
        </x:is>
      </x:c>
      <x:c r="AQ1038" s="604" t="n">
        <x:v>0</x:v>
      </x:c>
      <x:c r="AR1038" s="604" t="n"/>
      <x:c r="AS1038" s="604" t="n">
        <x:v>0</x:v>
      </x:c>
      <x:c r="AT1038" s="604" t="n">
        <x:v>0</x:v>
      </x:c>
      <x:c r="AU1038" s="604" t="n">
        <x:v>1.05</x:v>
      </x:c>
      <x:c r="AV1038" s="604" t="n">
        <x:v>0.75</x:v>
      </x:c>
      <x:c r="AW1038" s="604" t="n">
        <x:v>46300.07479607639</x:v>
      </x:c>
      <x:c r="AX1038" s="604" t="inlineStr">
        <x:is>
          <x:t xml:space="preserve">https://simondongxiao.github.io/odds/v4/</x:t>
        </x:is>
      </x:c>
      <x:c r="AY1038" s="604" t="inlineStr">
        <x:is>
          <x:t xml:space="preserve">V4 Shadow Only；real_money=false；P(EV&gt;0)不是比赛胜率</x:t>
        </x:is>
      </x:c>
    </x:row>
    <x:row r="1039" ht="22" customHeight="1">
      <x:c r="A1039" s="604" t="inlineStr">
        <x:is>
          <x:t xml:space="preserve">2026-10-05</x:t>
        </x:is>
      </x:c>
      <x:c r="B1039" s="604" t="inlineStr">
        <x:is>
          <x:t xml:space="preserve">2026-10-05 22:00</x:t>
        </x:is>
      </x:c>
      <x:c r="C1039" s="604" t="str">
        <x:v>西亚/中亚系列</x:v>
      </x:c>
      <x:c r="D1039" s="604" t="inlineStr">
        <x:is>
          <x:t xml:space="preserve">联赛</x:t>
        </x:is>
      </x:c>
      <x:c r="E1039" s="604" t="inlineStr">
        <x:is>
          <x:t xml:space="preserve">约旦U20</x:t>
        </x:is>
      </x:c>
      <x:c r="F1039" s="604" t="inlineStr">
        <x:is>
          <x:t xml:space="preserve">巴卡U20 vs 艾尔利U20</x:t>
        </x:is>
      </x:c>
      <x:c r="G1039" s="604" t="n">
        <x:v>0.9</x:v>
      </x:c>
      <x:c r="H1039" s="604" t="n">
        <x:v>-3</x:v>
      </x:c>
      <x:c r="I1039" s="604" t="n">
        <x:v>0.9</x:v>
      </x:c>
      <x:c r="J1039" s="604" t="inlineStr">
        <x:is>
          <x:t xml:space="preserve">0.9/-3/0.9</x:t>
        </x:is>
      </x:c>
      <x:c r="K1039" s="604" t="inlineStr">
        <x:is>
          <x:t xml:space="preserve">V4-C｜EV +0.9000</x:t>
        </x:is>
      </x:c>
      <x:c r="L1039" s="604" t="inlineStr">
        <x:is>
          <x:t xml:space="preserve">巴卡U20</x:t>
        </x:is>
      </x:c>
      <x:c r="M1039" s="604" t="n">
        <x:v>0.9999999275100575</x:v>
      </x:c>
      <x:c r="N1039" s="604" t="inlineStr">
        <x:is>
          <x:t xml:space="preserve">V4纸面入选-C</x:t>
        </x:is>
      </x:c>
      <x:c r="O1039" s="604" t="inlineStr">
        <x:is>
          <x:t xml:space="preserve">2-1</x:t>
        </x:is>
      </x:c>
      <x:c r="P1039" s="604" t="inlineStr">
        <x:is>
          <x:t xml:space="preserve">已结算</x:t>
        </x:is>
      </x:c>
      <x:c r="Q1039" s="645" t="inlineStr">
        <x:is>
          <x:t xml:space="preserve">红</x:t>
        </x:is>
      </x:c>
      <x:c r="R1039" s="604" t="n">
        <x:v>0.9</x:v>
      </x:c>
      <x:c r="S1039" s="604" t="n">
        <x:f>IF(OR(Q1039="",Q1039="待结算"),"",IF(Q1039="红",R1039,IF(Q1039="半红",R1039*0.5,IF(Q1039="走",0,IF(Q1039="半黑",-0.5,-1)))))</x:f>
        <x:v>0.9</x:v>
      </x:c>
      <x:c r="T1039" s="604" t="inlineStr">
        <x:is>
          <x:t xml:space="preserve">https://m.titan007.com/analy/Analysis/3099091.htm</x:t>
        </x:is>
      </x:c>
      <x:c r="U1039" s="646" t="str">
        <x:f>IF(Q1039="","",IF(Q1039="待结算","待结算",IF(Q1039="红","黑",IF(Q1039="半红","半黑",IF(Q1039="走","走",IF(Q1039="半黑","半红","红"))))))</x:f>
        <x:v>黑</x:v>
      </x:c>
      <x:c r="V1039" s="604" t="n">
        <x:f>IF(OR(Q1039="",Q1039="待结算"),"",IF(L1039=LEFT(F1039,FIND(" vs ",F1039)-1),I1039,G1039))</x:f>
        <x:v>0.9</x:v>
      </x:c>
      <x:c r="W1039" s="604" t="n">
        <x:f>IF(OR(U1039="",U1039="待结算"),"",IF(U1039="红",V1039,IF(U1039="半红",V1039*0.5,IF(U1039="走",0,IF(U1039="半黑",-0.5,-1)))))</x:f>
        <x:v>-1</x:v>
      </x:c>
      <x:c r="X1039" s="604" t="inlineStr">
        <x:is>
          <x:t xml:space="preserve">3099091</x:t>
        </x:is>
      </x:c>
      <x:c r="Y1039" s="604" t="inlineStr">
        <x:is>
          <x:t xml:space="preserve">V4</x:t>
        </x:is>
      </x:c>
      <x:c r="Z1039" s="604" t="inlineStr">
        <x:is>
          <x:t xml:space="preserve">prior-2026-10-05-v1</x:t>
        </x:is>
      </x:c>
      <x:c r="AA1039" s="604" t="inlineStr">
        <x:is>
          <x:t xml:space="preserve">C</x:t>
        </x:is>
      </x:c>
      <x:c r="AB1039" s="604" t="n">
        <x:v>0.9999963158637797</x:v>
      </x:c>
      <x:c r="AC1039" s="604" t="n"/>
      <x:c r="AD1039" s="604" t="n">
        <x:v>3.611646539526571e-06</x:v>
      </x:c>
      <x:c r="AE1039" s="604" t="n"/>
      <x:c r="AF1039" s="604" t="n">
        <x:v>7.248968074923777e-08</x:v>
      </x:c>
      <x:c r="AG1039" s="604" t="n">
        <x:v>0.8999966117877211</x:v>
      </x:c>
      <x:c r="AH1039" s="604" t="n"/>
      <x:c r="AI1039" s="604" t="n"/>
      <x:c r="AJ1039" s="604" t="n">
        <x:v>0.8999966117877211</x:v>
      </x:c>
      <x:c r="AK1039" s="604" t="n"/>
      <x:c r="AL1039" s="604" t="n"/>
      <x:c r="AM1039" s="604" t="n"/>
      <x:c r="AN1039" s="604" t="inlineStr">
        <x:is>
          <x:t xml:space="preserve">EVALUATED</x:t>
        </x:is>
      </x:c>
      <x:c r="AO1039" s="604" t="inlineStr">
        <x:is>
          <x:t xml:space="preserve">RECEIVING_VALIDATED_EDGE、BUCKET_PRIOR_ONLY、INTENT_INTERPRETATION_ONLY、FFL_OPTIONAL、EXPERT_MARKET</x:t>
        </x:is>
      </x:c>
      <x:c r="AP1039" s="604" t="inlineStr">
        <x:is>
          <x:t xml:space="preserve">1b3b3f35ec664ce83057</x:t>
        </x:is>
      </x:c>
      <x:c r="AQ1039" s="604" t="n">
        <x:v>3</x:v>
      </x:c>
      <x:c r="AR1039" s="604" t="n">
        <x:v>0.9</x:v>
      </x:c>
      <x:c r="AS1039" s="604" t="n">
        <x:v>-3</x:v>
      </x:c>
      <x:c r="AT1039" s="604" t="n">
        <x:v>3</x:v>
      </x:c>
      <x:c r="AU1039" s="604" t="n">
        <x:v>0.9</x:v>
      </x:c>
      <x:c r="AV1039" s="604" t="n">
        <x:v>0.9</x:v>
      </x:c>
      <x:c r="AW1039" s="604" t="n">
        <x:v>46300.07479607639</x:v>
      </x:c>
      <x:c r="AX1039" s="604" t="inlineStr">
        <x:is>
          <x:t xml:space="preserve">https://simondongxiao.github.io/odds/v4/</x:t>
        </x:is>
      </x:c>
      <x:c r="AY1039" s="604" t="inlineStr">
        <x:is>
          <x:t xml:space="preserve">V4 Shadow Only；real_money=false；P(EV&gt;0)不是比赛胜率</x:t>
        </x:is>
      </x:c>
    </x:row>
    <x:row r="1040" ht="22" customHeight="1">
      <x:c r="A1040" s="604" t="inlineStr">
        <x:is>
          <x:t xml:space="preserve">2026-10-05</x:t>
        </x:is>
      </x:c>
      <x:c r="B1040" s="604" t="inlineStr">
        <x:is>
          <x:t xml:space="preserve">2026-10-05 22:00</x:t>
        </x:is>
      </x:c>
      <x:c r="C1040" s="604" t="str">
        <x:v>西亚/中亚系列</x:v>
      </x:c>
      <x:c r="D1040" s="604" t="inlineStr">
        <x:is>
          <x:t xml:space="preserve">联赛</x:t>
        </x:is>
      </x:c>
      <x:c r="E1040" s="604" t="inlineStr">
        <x:is>
          <x:t xml:space="preserve">约旦U20</x:t>
        </x:is>
      </x:c>
      <x:c r="F1040" s="604" t="inlineStr">
        <x:is>
          <x:t xml:space="preserve">安曼团结U20 vs 亚吉拉安曼U20</x:t>
        </x:is>
      </x:c>
      <x:c r="G1040" s="604" t="n">
        <x:v>0.95</x:v>
      </x:c>
      <x:c r="H1040" s="604" t="n">
        <x:v>0</x:v>
      </x:c>
      <x:c r="I1040" s="604" t="n">
        <x:v>0.85</x:v>
      </x:c>
      <x:c r="J1040" s="604" t="inlineStr">
        <x:is>
          <x:t xml:space="preserve">0.95/0/0.85</x:t>
        </x:is>
      </x:c>
      <x:c r="K1040" s="604" t="inlineStr">
        <x:is>
          <x:t xml:space="preserve">V4-C｜EV +0.0348</x:t>
        </x:is>
      </x:c>
      <x:c r="L1040" s="604" t="str"/>
      <x:c r="M1040" s="604" t="n">
        <x:v>0.5332615439400741</x:v>
      </x:c>
      <x:c r="N1040" s="604" t="inlineStr">
        <x:is>
          <x:t xml:space="preserve">V4纸面入选-C</x:t>
        </x:is>
      </x:c>
      <x:c r="O1040" s="604" t="inlineStr">
        <x:is>
          <x:t xml:space="preserve">5-0</x:t>
        </x:is>
      </x:c>
      <x:c r="P1040" s="604" t="inlineStr">
        <x:is>
          <x:t xml:space="preserve">已结算</x:t>
        </x:is>
      </x:c>
      <x:c r="Q1040" s="645" t="inlineStr">
        <x:is>
          <x:t xml:space="preserve">红</x:t>
        </x:is>
      </x:c>
      <x:c r="R1040" s="604" t="n">
        <x:v>0.85</x:v>
      </x:c>
      <x:c r="S1040" s="604" t="n">
        <x:f>IF(OR(Q1040="",Q1040="待结算"),"",IF(Q1040="红",R1040,IF(Q1040="半红",R1040*0.5,IF(Q1040="走",0,IF(Q1040="半黑",-0.5,-1)))))</x:f>
        <x:v>0.85</x:v>
      </x:c>
      <x:c r="T1040" s="604" t="inlineStr">
        <x:is>
          <x:t xml:space="preserve">https://m.titan007.com/analy/Analysis/3099106.htm</x:t>
        </x:is>
      </x:c>
      <x:c r="U1040" s="646" t="str">
        <x:f>IF(Q1040="","",IF(Q1040="待结算","待结算",IF(Q1040="红","黑",IF(Q1040="半红","半黑",IF(Q1040="走","走",IF(Q1040="半黑","半红","红"))))))</x:f>
        <x:v>黑</x:v>
      </x:c>
      <x:c r="V1040" s="604" t="n">
        <x:f>IF(OR(Q1040="",Q1040="待结算"),"",IF(L1040=LEFT(F1040,FIND(" vs ",F1040)-1),I1040,G1040))</x:f>
        <x:v>0.95</x:v>
      </x:c>
      <x:c r="W1040" s="604" t="n">
        <x:f>IF(OR(U1040="",U1040="待结算"),"",IF(U1040="红",V1040,IF(U1040="半红",V1040*0.5,IF(U1040="走",0,IF(U1040="半黑",-0.5,-1)))))</x:f>
        <x:v>-1</x:v>
      </x:c>
      <x:c r="X1040" s="604" t="inlineStr">
        <x:is>
          <x:t xml:space="preserve">3099106</x:t>
        </x:is>
      </x:c>
      <x:c r="Y1040" s="604" t="inlineStr">
        <x:is>
          <x:t xml:space="preserve">V4</x:t>
        </x:is>
      </x:c>
      <x:c r="Z1040" s="604" t="inlineStr">
        <x:is>
          <x:t xml:space="preserve">prior-2026-10-05-v1</x:t>
        </x:is>
      </x:c>
      <x:c r="AA1040" s="604" t="inlineStr">
        <x:is>
          <x:t xml:space="preserve">C</x:t>
        </x:is>
      </x:c>
      <x:c r="AB1040" s="604" t="n">
        <x:v>0.4658136706939086</x:v>
      </x:c>
      <x:c r="AC1040" s="604" t="n"/>
      <x:c r="AD1040" s="604" t="n"/>
      <x:c r="AE1040" s="604" t="n">
        <x:v>0.2529635748635387</x:v>
      </x:c>
      <x:c r="AF1040" s="604" t="n">
        <x:v>0.2812227544425528</x:v>
      </x:c>
      <x:c r="AG1040" s="604" t="n">
        <x:v>0.03481844528489092</x:v>
      </x:c>
      <x:c r="AH1040" s="604" t="n"/>
      <x:c r="AI1040" s="604" t="n"/>
      <x:c r="AJ1040" s="604" t="n">
        <x:v>0.03481844528489092</x:v>
      </x:c>
      <x:c r="AK1040" s="604" t="n"/>
      <x:c r="AL1040" s="604" t="n"/>
      <x:c r="AM1040" s="604" t="n"/>
      <x:c r="AN1040" s="604" t="inlineStr">
        <x:is>
          <x:t xml:space="preserve">EVALUATED</x:t>
        </x:is>
      </x:c>
      <x:c r="AO1040" s="604" t="inlineStr">
        <x:is>
          <x:t xml:space="preserve">EDGE_BELOW_UNCERTAINTY_THRESHOLD、BUCKET_PRIOR_ONLY、INTENT_INTERPRETATION_ONLY、FFL_OPTIONAL、EXPERT_MARKET</x:t>
        </x:is>
      </x:c>
      <x:c r="AP1040" s="604" t="inlineStr">
        <x:is>
          <x:t xml:space="preserve">6a46706862ea28ddcc1e</x:t>
        </x:is>
      </x:c>
      <x:c r="AQ1040" s="604" t="n">
        <x:v>0</x:v>
      </x:c>
      <x:c r="AR1040" s="604" t="n"/>
      <x:c r="AS1040" s="604" t="n">
        <x:v>0</x:v>
      </x:c>
      <x:c r="AT1040" s="604" t="n">
        <x:v>0</x:v>
      </x:c>
      <x:c r="AU1040" s="604" t="n">
        <x:v>0.95</x:v>
      </x:c>
      <x:c r="AV1040" s="604" t="n">
        <x:v>0.85</x:v>
      </x:c>
      <x:c r="AW1040" s="604" t="n">
        <x:v>46300.07479607639</x:v>
      </x:c>
      <x:c r="AX1040" s="604" t="inlineStr">
        <x:is>
          <x:t xml:space="preserve">https://simondongxiao.github.io/odds/v4/</x:t>
        </x:is>
      </x:c>
      <x:c r="AY1040" s="604" t="inlineStr">
        <x:is>
          <x:t xml:space="preserve">V4 Shadow Only；real_money=false；P(EV&gt;0)不是比赛胜率</x:t>
        </x:is>
      </x:c>
    </x:row>
    <x:row r="1041" ht="22" customHeight="1">
      <x:c r="A1041" s="604" t="inlineStr">
        <x:is>
          <x:t xml:space="preserve">2026-10-05</x:t>
        </x:is>
      </x:c>
      <x:c r="B1041" s="604" t="inlineStr">
        <x:is>
          <x:t xml:space="preserve">2026-10-05 22:00</x:t>
        </x:is>
      </x:c>
      <x:c r="C1041" s="604" t="str">
        <x:v>西亚/中亚系列</x:v>
      </x:c>
      <x:c r="D1041" s="604" t="inlineStr">
        <x:is>
          <x:t xml:space="preserve">联赛</x:t>
        </x:is>
      </x:c>
      <x:c r="E1041" s="604" t="inlineStr">
        <x:is>
          <x:t xml:space="preserve">约旦U20</x:t>
        </x:is>
      </x:c>
      <x:c r="F1041" s="604" t="inlineStr">
        <x:is>
          <x:t xml:space="preserve">活赛恩U20 vs 阿尔费萨里U20</x:t>
        </x:is>
      </x:c>
      <x:c r="G1041" s="604" t="n">
        <x:v>0.88</x:v>
      </x:c>
      <x:c r="H1041" s="604" t="n">
        <x:v>-0.25</x:v>
      </x:c>
      <x:c r="I1041" s="604" t="n">
        <x:v>0.93</x:v>
      </x:c>
      <x:c r="J1041" s="604" t="inlineStr">
        <x:is>
          <x:t xml:space="preserve">0.88/-0.25/0.93</x:t>
        </x:is>
      </x:c>
      <x:c r="K1041" s="604" t="inlineStr">
        <x:is>
          <x:t xml:space="preserve">V4-C｜EV +0.1987</x:t>
        </x:is>
      </x:c>
      <x:c r="L1041" s="604" t="inlineStr">
        <x:is>
          <x:t xml:space="preserve">活赛恩U20</x:t>
        </x:is>
      </x:c>
      <x:c r="M1041" s="604" t="n">
        <x:v>0.6532896587849153</x:v>
      </x:c>
      <x:c r="N1041" s="604" t="inlineStr">
        <x:is>
          <x:t xml:space="preserve">V4纸面入选-C</x:t>
        </x:is>
      </x:c>
      <x:c r="O1041" s="604" t="inlineStr">
        <x:is>
          <x:t xml:space="preserve">0-0</x:t>
        </x:is>
      </x:c>
      <x:c r="P1041" s="604" t="inlineStr">
        <x:is>
          <x:t xml:space="preserve">已结算</x:t>
        </x:is>
      </x:c>
      <x:c r="Q1041" s="604" t="inlineStr">
        <x:is>
          <x:t xml:space="preserve">半红</x:t>
        </x:is>
      </x:c>
      <x:c r="R1041" s="604" t="n">
        <x:v>0.88</x:v>
      </x:c>
      <x:c r="S1041" s="604" t="n">
        <x:v>0.44</x:v>
      </x:c>
      <x:c r="T1041" s="604" t="inlineStr">
        <x:is>
          <x:t xml:space="preserve">https://m.titan007.com/analy/Analysis/3099108.htm</x:t>
        </x:is>
      </x:c>
      <x:c r="U1041" s="604" t="str">
        <x:f>IF(Q1041="","",IF(Q1041="待结算","待结算",IF(Q1041="红","黑",IF(Q1041="半红","半黑",IF(Q1041="走","走",IF(Q1041="半黑","半红","红"))))))</x:f>
        <x:v>半黑</x:v>
      </x:c>
      <x:c r="V1041" s="604" t="n">
        <x:f>IF(OR(Q1041="",Q1041="待结算"),"",IF(L1041=LEFT(F1041,FIND(" vs ",F1041)-1),I1041,G1041))</x:f>
        <x:v>0.93</x:v>
      </x:c>
      <x:c r="W1041" s="604" t="n">
        <x:f>IF(OR(U1041="",U1041="待结算"),"",IF(U1041="红",V1041,IF(U1041="半红",V1041*0.5,IF(U1041="走",0,IF(U1041="半黑",-0.5,-1)))))</x:f>
        <x:v>-0.5</x:v>
      </x:c>
      <x:c r="X1041" s="604" t="inlineStr">
        <x:is>
          <x:t xml:space="preserve">3099108</x:t>
        </x:is>
      </x:c>
      <x:c r="Y1041" s="604" t="inlineStr">
        <x:is>
          <x:t xml:space="preserve">V4</x:t>
        </x:is>
      </x:c>
      <x:c r="Z1041" s="604" t="inlineStr">
        <x:is>
          <x:t xml:space="preserve">prior-2026-10-05-v1</x:t>
        </x:is>
      </x:c>
      <x:c r="AA1041" s="604" t="inlineStr">
        <x:is>
          <x:t xml:space="preserve">C</x:t>
        </x:is>
      </x:c>
      <x:c r="AB1041" s="604" t="n">
        <x:v>0.4395526466870767</x:v>
      </x:c>
      <x:c r="AC1041" s="604" t="n">
        <x:v>0.2585596673421699</x:v>
      </x:c>
      <x:c r="AD1041" s="604" t="n"/>
      <x:c r="AE1041" s="604" t="n"/>
      <x:c r="AF1041" s="604" t="n">
        <x:v>0.3018876859707534</x:v>
      </x:c>
      <x:c r="AG1041" s="604" t="n">
        <x:v>0.1986848967444288</x:v>
      </x:c>
      <x:c r="AH1041" s="604" t="n"/>
      <x:c r="AI1041" s="604" t="n"/>
      <x:c r="AJ1041" s="604" t="n">
        <x:v>0.1986848967444288</x:v>
      </x:c>
      <x:c r="AK1041" s="604" t="n"/>
      <x:c r="AL1041" s="604" t="n"/>
      <x:c r="AM1041" s="604" t="n"/>
      <x:c r="AN1041" s="604" t="inlineStr">
        <x:is>
          <x:t xml:space="preserve">EVALUATED</x:t>
        </x:is>
      </x:c>
      <x:c r="AO1041" s="604" t="inlineStr">
        <x:is>
          <x:t xml:space="preserve">RECEIVING_VALIDATED_EDGE、BUCKET_PRIOR_ONLY、INTENT_INTERPRETATION_ONLY、FFL_OPTIONAL、EXPERT_MARKET</x:t>
        </x:is>
      </x:c>
      <x:c r="AP1041" s="604" t="inlineStr">
        <x:is>
          <x:t xml:space="preserve">b4b72075ad5f5e713b6e</x:t>
        </x:is>
      </x:c>
      <x:c r="AQ1041" s="604" t="n">
        <x:v>0.25</x:v>
      </x:c>
      <x:c r="AR1041" s="604" t="n">
        <x:v>0.88</x:v>
      </x:c>
      <x:c r="AS1041" s="604" t="n">
        <x:v>-0.25</x:v>
      </x:c>
      <x:c r="AT1041" s="604" t="n">
        <x:v>0.25</x:v>
      </x:c>
      <x:c r="AU1041" s="604" t="n">
        <x:v>0.88</x:v>
      </x:c>
      <x:c r="AV1041" s="604" t="n">
        <x:v>0.93</x:v>
      </x:c>
      <x:c r="AW1041" s="604" t="n">
        <x:v>46300.07479607639</x:v>
      </x:c>
      <x:c r="AX1041" s="604" t="inlineStr">
        <x:is>
          <x:t xml:space="preserve">https://simondongxiao.github.io/odds/v4/</x:t>
        </x:is>
      </x:c>
      <x:c r="AY1041" s="604" t="inlineStr">
        <x:is>
          <x:t xml:space="preserve">V4 Shadow Only；real_money=false；P(EV&gt;0)不是比赛胜率</x:t>
        </x:is>
      </x:c>
    </x:row>
    <x:row r="1042" ht="22" customHeight="1">
      <x:c r="A1042" s="604" t="inlineStr">
        <x:is>
          <x:t xml:space="preserve">2026-10-05</x:t>
        </x:is>
      </x:c>
      <x:c r="B1042" s="604" t="inlineStr">
        <x:is>
          <x:t xml:space="preserve">2026-10-05 22:30</x:t>
        </x:is>
      </x:c>
      <x:c r="C1042" s="604" t="str">
        <x:v>欧洲非五大系列</x:v>
      </x:c>
      <x:c r="D1042" s="604" t="inlineStr">
        <x:is>
          <x:t xml:space="preserve">联赛</x:t>
        </x:is>
      </x:c>
      <x:c r="E1042" s="604" t="inlineStr">
        <x:is>
          <x:t xml:space="preserve">欧青U21外</x:t>
        </x:is>
      </x:c>
      <x:c r="F1042" s="604" t="inlineStr">
        <x:is>
          <x:t xml:space="preserve">黑山U21 vs 亚美尼亚U21</x:t>
        </x:is>
      </x:c>
      <x:c r="G1042" s="604" t="n">
        <x:v>0.87</x:v>
      </x:c>
      <x:c r="H1042" s="604" t="n">
        <x:v>1.25</x:v>
      </x:c>
      <x:c r="I1042" s="604" t="n">
        <x:v>0.95</x:v>
      </x:c>
      <x:c r="J1042" s="604" t="inlineStr">
        <x:is>
          <x:t xml:space="preserve">0.87/1.25/0.95</x:t>
        </x:is>
      </x:c>
      <x:c r="K1042" s="604" t="inlineStr">
        <x:is>
          <x:t xml:space="preserve">V4-C｜EV +0.2117</x:t>
        </x:is>
      </x:c>
      <x:c r="L1042" s="604" t="inlineStr">
        <x:is>
          <x:t xml:space="preserve">黑山U21</x:t>
        </x:is>
      </x:c>
      <x:c r="M1042" s="604" t="n">
        <x:v>0.6630181015470739</x:v>
      </x:c>
      <x:c r="N1042" s="604" t="inlineStr">
        <x:is>
          <x:t xml:space="preserve">V4纸面入选-C</x:t>
        </x:is>
      </x:c>
      <x:c r="O1042" s="604" t="inlineStr">
        <x:is>
          <x:t xml:space="preserve">1-1</x:t>
        </x:is>
      </x:c>
      <x:c r="P1042" s="604" t="inlineStr">
        <x:is>
          <x:t xml:space="preserve">已结算</x:t>
        </x:is>
      </x:c>
      <x:c r="Q1042" s="646" t="inlineStr">
        <x:is>
          <x:t xml:space="preserve">黑</x:t>
        </x:is>
      </x:c>
      <x:c r="R1042" s="604" t="n">
        <x:v>0.87</x:v>
      </x:c>
      <x:c r="S1042" s="604" t="n">
        <x:f>IF(OR(Q1042="",Q1042="待结算"),"",IF(Q1042="红",R1042,IF(Q1042="半红",R1042*0.5,IF(Q1042="走",0,IF(Q1042="半黑",-0.5,-1)))))</x:f>
        <x:v>-1</x:v>
      </x:c>
      <x:c r="T1042" s="604" t="inlineStr">
        <x:is>
          <x:t xml:space="preserve">https://m.titan007.com/analy/Analysis/2781318.htm</x:t>
        </x:is>
      </x:c>
      <x:c r="U1042" s="645" t="str">
        <x:f>IF(Q1042="","",IF(Q1042="待结算","待结算",IF(Q1042="红","黑",IF(Q1042="半红","半黑",IF(Q1042="走","走",IF(Q1042="半黑","半红","红"))))))</x:f>
        <x:v>红</x:v>
      </x:c>
      <x:c r="V1042" s="604" t="n">
        <x:f>IF(OR(Q1042="",Q1042="待结算"),"",IF(L1042=LEFT(F1042,FIND(" vs ",F1042)-1),I1042,G1042))</x:f>
        <x:v>0.95</x:v>
      </x:c>
      <x:c r="W1042" s="604" t="n">
        <x:f>IF(OR(U1042="",U1042="待结算"),"",IF(U1042="红",V1042,IF(U1042="半红",V1042*0.5,IF(U1042="走",0,IF(U1042="半黑",-0.5,-1)))))</x:f>
        <x:v>0.95</x:v>
      </x:c>
      <x:c r="X1042" s="604" t="inlineStr">
        <x:is>
          <x:t xml:space="preserve">2781318</x:t>
        </x:is>
      </x:c>
      <x:c r="Y1042" s="604" t="inlineStr">
        <x:is>
          <x:t xml:space="preserve">V4</x:t>
        </x:is>
      </x:c>
      <x:c r="Z1042" s="604" t="inlineStr">
        <x:is>
          <x:t xml:space="preserve">prior-2026-10-05-v1</x:t>
        </x:is>
      </x:c>
      <x:c r="AA1042" s="604" t="inlineStr">
        <x:is>
          <x:t xml:space="preserve">C</x:t>
        </x:is>
      </x:c>
      <x:c r="AB1042" s="604" t="n">
        <x:v>0.5850952080141414</x:v>
      </x:c>
      <x:c r="AC1042" s="604" t="n"/>
      <x:c r="AD1042" s="604" t="n"/>
      <x:c r="AE1042" s="604" t="n">
        <x:v>0.2350551013648306</x:v>
      </x:c>
      <x:c r="AF1042" s="604" t="n">
        <x:v>0.179849690621028</x:v>
      </x:c>
      <x:c r="AG1042" s="604" t="n">
        <x:v>0.2116555896688597</x:v>
      </x:c>
      <x:c r="AH1042" s="604" t="n"/>
      <x:c r="AI1042" s="604" t="n"/>
      <x:c r="AJ1042" s="604" t="n">
        <x:v>0.2116555896688597</x:v>
      </x:c>
      <x:c r="AK1042" s="604" t="n"/>
      <x:c r="AL1042" s="604" t="n"/>
      <x:c r="AM1042" s="604" t="n"/>
      <x:c r="AN1042" s="604" t="inlineStr">
        <x:is>
          <x:t xml:space="preserve">EVALUATED</x:t>
        </x:is>
      </x:c>
      <x:c r="AO1042" s="604" t="inlineStr">
        <x:is>
          <x:t xml:space="preserve">GIVING_VALIDATED_EDGE、BUCKET_PRIOR_ONLY、INTENT_INTERPRETATION_ONLY、FFL_OPTIONAL、EXPERT_MARKET</x:t>
        </x:is>
      </x:c>
      <x:c r="AP1042" s="604" t="inlineStr">
        <x:is>
          <x:t xml:space="preserve">1e0f62c0ed00aa7fd2ca</x:t>
        </x:is>
      </x:c>
      <x:c r="AQ1042" s="604" t="n">
        <x:v>-1.25</x:v>
      </x:c>
      <x:c r="AR1042" s="604" t="n">
        <x:v>0.87</x:v>
      </x:c>
      <x:c r="AS1042" s="604" t="n">
        <x:v>1.25</x:v>
      </x:c>
      <x:c r="AT1042" s="604" t="n">
        <x:v>-1.25</x:v>
      </x:c>
      <x:c r="AU1042" s="604" t="n">
        <x:v>0.87</x:v>
      </x:c>
      <x:c r="AV1042" s="604" t="n">
        <x:v>0.95</x:v>
      </x:c>
      <x:c r="AW1042" s="604" t="n">
        <x:v>46300.07479607639</x:v>
      </x:c>
      <x:c r="AX1042" s="604" t="inlineStr">
        <x:is>
          <x:t xml:space="preserve">https://simondongxiao.github.io/odds/v4/</x:t>
        </x:is>
      </x:c>
      <x:c r="AY1042" s="604" t="inlineStr">
        <x:is>
          <x:t xml:space="preserve">V4 Shadow Only；real_money=false；P(EV&gt;0)不是比赛胜率</x:t>
        </x:is>
      </x:c>
    </x:row>
    <x:row r="1043" ht="22" customHeight="1">
      <x:c r="A1043" s="604" t="inlineStr">
        <x:is>
          <x:t xml:space="preserve">2026-10-05</x:t>
        </x:is>
      </x:c>
      <x:c r="B1043" s="604" t="inlineStr">
        <x:is>
          <x:t xml:space="preserve">2026-10-05 23:00</x:t>
        </x:is>
      </x:c>
      <x:c r="C1043" s="604" t="str">
        <x:v>欧洲非五大系列</x:v>
      </x:c>
      <x:c r="D1043" s="604" t="inlineStr">
        <x:is>
          <x:t xml:space="preserve">联赛</x:t>
        </x:is>
      </x:c>
      <x:c r="E1043" s="604" t="inlineStr">
        <x:is>
          <x:t xml:space="preserve">斯伐甲</x:t>
        </x:is>
      </x:c>
      <x:c r="F1043" s="604" t="inlineStr">
        <x:is>
          <x:t xml:space="preserve">塔特拉 vs 沙莫林</x:t>
        </x:is>
      </x:c>
      <x:c r="G1043" s="604" t="n">
        <x:v>0.95</x:v>
      </x:c>
      <x:c r="H1043" s="604" t="n">
        <x:v>0</x:v>
      </x:c>
      <x:c r="I1043" s="604" t="n">
        <x:v>0.85</x:v>
      </x:c>
      <x:c r="J1043" s="604" t="inlineStr">
        <x:is>
          <x:t xml:space="preserve">0.95/0/0.85</x:t>
        </x:is>
      </x:c>
      <x:c r="K1043" s="604" t="inlineStr">
        <x:is>
          <x:t xml:space="preserve">V4-C｜EV +0.0031</x:t>
        </x:is>
      </x:c>
      <x:c r="L1043" s="604" t="str"/>
      <x:c r="M1043" s="604" t="n">
        <x:v>0.5146496299762475</x:v>
      </x:c>
      <x:c r="N1043" s="604" t="inlineStr">
        <x:is>
          <x:t xml:space="preserve">V4纸面入选-C</x:t>
        </x:is>
      </x:c>
      <x:c r="O1043" s="604" t="inlineStr">
        <x:is>
          <x:t xml:space="preserve">2-0</x:t>
        </x:is>
      </x:c>
      <x:c r="P1043" s="604" t="inlineStr">
        <x:is>
          <x:t xml:space="preserve">已结算</x:t>
        </x:is>
      </x:c>
      <x:c r="Q1043" s="645" t="inlineStr">
        <x:is>
          <x:t xml:space="preserve">红</x:t>
        </x:is>
      </x:c>
      <x:c r="R1043" s="604" t="n">
        <x:v>0.85</x:v>
      </x:c>
      <x:c r="S1043" s="604" t="n">
        <x:f>IF(OR(Q1043="",Q1043="待结算"),"",IF(Q1043="红",R1043,IF(Q1043="半红",R1043*0.5,IF(Q1043="走",0,IF(Q1043="半黑",-0.5,-1)))))</x:f>
        <x:v>0.85</x:v>
      </x:c>
      <x:c r="T1043" s="604" t="inlineStr">
        <x:is>
          <x:t xml:space="preserve">https://m.titan007.com/analy/Analysis/3037929.htm</x:t>
        </x:is>
      </x:c>
      <x:c r="U1043" s="646" t="str">
        <x:f>IF(Q1043="","",IF(Q1043="待结算","待结算",IF(Q1043="红","黑",IF(Q1043="半红","半黑",IF(Q1043="走","走",IF(Q1043="半黑","半红","红"))))))</x:f>
        <x:v>黑</x:v>
      </x:c>
      <x:c r="V1043" s="604" t="n">
        <x:f>IF(OR(Q1043="",Q1043="待结算"),"",IF(L1043=LEFT(F1043,FIND(" vs ",F1043)-1),I1043,G1043))</x:f>
        <x:v>0.95</x:v>
      </x:c>
      <x:c r="W1043" s="604" t="n">
        <x:f>IF(OR(U1043="",U1043="待结算"),"",IF(U1043="红",V1043,IF(U1043="半红",V1043*0.5,IF(U1043="走",0,IF(U1043="半黑",-0.5,-1)))))</x:f>
        <x:v>-1</x:v>
      </x:c>
      <x:c r="X1043" s="604" t="inlineStr">
        <x:is>
          <x:t xml:space="preserve">3037929</x:t>
        </x:is>
      </x:c>
      <x:c r="Y1043" s="604" t="inlineStr">
        <x:is>
          <x:t xml:space="preserve">V4</x:t>
        </x:is>
      </x:c>
      <x:c r="Z1043" s="604" t="inlineStr">
        <x:is>
          <x:t xml:space="preserve">prior-2026-10-05-v1</x:t>
        </x:is>
      </x:c>
      <x:c r="AA1043" s="604" t="inlineStr">
        <x:is>
          <x:t xml:space="preserve">C</x:t>
        </x:is>
      </x:c>
      <x:c r="AB1043" s="604" t="n">
        <x:v>0.4480810053625336</x:v>
      </x:c>
      <x:c r="AC1043" s="604" t="n"/>
      <x:c r="AD1043" s="604" t="n"/>
      <x:c r="AE1043" s="604" t="n">
        <x:v>0.2586949284964462</x:v>
      </x:c>
      <x:c r="AF1043" s="604" t="n">
        <x:v>0.2932240661410203</x:v>
      </x:c>
      <x:c r="AG1043" s="604" t="n">
        <x:v>0.003105424705163451</x:v>
      </x:c>
      <x:c r="AH1043" s="604" t="n"/>
      <x:c r="AI1043" s="604" t="n"/>
      <x:c r="AJ1043" s="604" t="n">
        <x:v>0.003105424705163451</x:v>
      </x:c>
      <x:c r="AK1043" s="604" t="n"/>
      <x:c r="AL1043" s="604" t="n"/>
      <x:c r="AM1043" s="604" t="n"/>
      <x:c r="AN1043" s="604" t="inlineStr">
        <x:is>
          <x:t xml:space="preserve">EVALUATED</x:t>
        </x:is>
      </x:c>
      <x:c r="AO1043" s="604" t="inlineStr">
        <x:is>
          <x:t xml:space="preserve">EDGE_BELOW_UNCERTAINTY_THRESHOLD、BUCKET_PRIOR_ONLY、INTENT_INTERPRETATION_ONLY、FFL_OPTIONAL、EXPERT_MARKET</x:t>
        </x:is>
      </x:c>
      <x:c r="AP1043" s="604" t="inlineStr">
        <x:is>
          <x:t xml:space="preserve">c6639982b47f56bd6621</x:t>
        </x:is>
      </x:c>
      <x:c r="AQ1043" s="604" t="n">
        <x:v>0</x:v>
      </x:c>
      <x:c r="AR1043" s="604" t="n"/>
      <x:c r="AS1043" s="604" t="n">
        <x:v>0</x:v>
      </x:c>
      <x:c r="AT1043" s="604" t="n">
        <x:v>0</x:v>
      </x:c>
      <x:c r="AU1043" s="604" t="n">
        <x:v>0.95</x:v>
      </x:c>
      <x:c r="AV1043" s="604" t="n">
        <x:v>0.85</x:v>
      </x:c>
      <x:c r="AW1043" s="604" t="n">
        <x:v>46300.07479607639</x:v>
      </x:c>
      <x:c r="AX1043" s="604" t="inlineStr">
        <x:is>
          <x:t xml:space="preserve">https://simondongxiao.github.io/odds/v4/</x:t>
        </x:is>
      </x:c>
      <x:c r="AY1043" s="604" t="inlineStr">
        <x:is>
          <x:t xml:space="preserve">V4 Shadow Only；real_money=false；P(EV&gt;0)不是比赛胜率</x:t>
        </x:is>
      </x:c>
    </x:row>
    <x:row r="1044" ht="22" customHeight="1">
      <x:c r="A1044" s="604" t="inlineStr">
        <x:is>
          <x:t xml:space="preserve">2026-10-05</x:t>
        </x:is>
      </x:c>
      <x:c r="B1044" s="604" t="inlineStr">
        <x:is>
          <x:t xml:space="preserve">2026-10-05 23:00</x:t>
        </x:is>
      </x:c>
      <x:c r="C1044" s="604" t="str">
        <x:v>其他系列</x:v>
      </x:c>
      <x:c r="D1044" s="604" t="inlineStr">
        <x:is>
          <x:t xml:space="preserve">联赛</x:t>
        </x:is>
      </x:c>
      <x:c r="E1044" s="604" t="inlineStr">
        <x:is>
          <x:t xml:space="preserve">加纳联</x:t>
        </x:is>
      </x:c>
      <x:c r="F1044" s="604" t="inlineStr">
        <x:is>
          <x:t xml:space="preserve">多玛团结SC vs 胜利俱乐部勇士</x:t>
        </x:is>
      </x:c>
      <x:c r="G1044" s="604" t="n">
        <x:v>0.8</x:v>
      </x:c>
      <x:c r="H1044" s="604" t="n">
        <x:v>0.75</x:v>
      </x:c>
      <x:c r="I1044" s="604" t="n">
        <x:v>1</x:v>
      </x:c>
      <x:c r="J1044" s="604" t="inlineStr">
        <x:is>
          <x:t xml:space="preserve">0.8/0.75/1</x:t>
        </x:is>
      </x:c>
      <x:c r="K1044" s="604" t="inlineStr">
        <x:is>
          <x:t xml:space="preserve">V4-C｜EV +0.1194</x:t>
        </x:is>
      </x:c>
      <x:c r="L1044" s="604" t="inlineStr">
        <x:is>
          <x:t xml:space="preserve">多玛团结SC</x:t>
        </x:is>
      </x:c>
      <x:c r="M1044" s="604" t="n">
        <x:v>0.6316747841041986</x:v>
      </x:c>
      <x:c r="N1044" s="604" t="inlineStr">
        <x:is>
          <x:t xml:space="preserve">V4纸面入选-C</x:t>
        </x:is>
      </x:c>
      <x:c r="O1044" s="604" t="inlineStr">
        <x:is>
          <x:t xml:space="preserve">0-0</x:t>
        </x:is>
      </x:c>
      <x:c r="P1044" s="604" t="inlineStr">
        <x:is>
          <x:t xml:space="preserve">已结算</x:t>
        </x:is>
      </x:c>
      <x:c r="Q1044" s="646" t="inlineStr">
        <x:is>
          <x:t xml:space="preserve">黑</x:t>
        </x:is>
      </x:c>
      <x:c r="R1044" s="604" t="n">
        <x:v>0.8</x:v>
      </x:c>
      <x:c r="S1044" s="604" t="n">
        <x:f>IF(OR(Q1044="",Q1044="待结算"),"",IF(Q1044="红",R1044,IF(Q1044="半红",R1044*0.5,IF(Q1044="走",0,IF(Q1044="半黑",-0.5,-1)))))</x:f>
        <x:v>-1</x:v>
      </x:c>
      <x:c r="T1044" s="604" t="inlineStr">
        <x:is>
          <x:t xml:space="preserve">https://m.titan007.com/analy/Analysis/3097814.htm</x:t>
        </x:is>
      </x:c>
      <x:c r="U1044" s="645" t="str">
        <x:f>IF(Q1044="","",IF(Q1044="待结算","待结算",IF(Q1044="红","黑",IF(Q1044="半红","半黑",IF(Q1044="走","走",IF(Q1044="半黑","半红","红"))))))</x:f>
        <x:v>红</x:v>
      </x:c>
      <x:c r="V1044" s="604" t="n">
        <x:f>IF(OR(Q1044="",Q1044="待结算"),"",IF(L1044=LEFT(F1044,FIND(" vs ",F1044)-1),I1044,G1044))</x:f>
        <x:v>1</x:v>
      </x:c>
      <x:c r="W1044" s="604" t="n">
        <x:f>IF(OR(U1044="",U1044="待结算"),"",IF(U1044="红",V1044,IF(U1044="半红",V1044*0.5,IF(U1044="走",0,IF(U1044="半黑",-0.5,-1)))))</x:f>
        <x:v>1</x:v>
      </x:c>
      <x:c r="X1044" s="604" t="inlineStr">
        <x:is>
          <x:t xml:space="preserve">3097814</x:t>
        </x:is>
      </x:c>
      <x:c r="Y1044" s="604" t="inlineStr">
        <x:is>
          <x:t xml:space="preserve">V4</x:t>
        </x:is>
      </x:c>
      <x:c r="Z1044" s="604" t="inlineStr">
        <x:is>
          <x:t xml:space="preserve">prior-2026-10-05-v1</x:t>
        </x:is>
      </x:c>
      <x:c r="AA1044" s="604" t="inlineStr">
        <x:is>
          <x:t xml:space="preserve">C</x:t>
        </x:is>
      </x:c>
      <x:c r="AB1044" s="604" t="n">
        <x:v>0.4214878087038711</x:v>
      </x:c>
      <x:c r="AC1044" s="604" t="n">
        <x:v>0.2576334174530027</x:v>
      </x:c>
      <x:c r="AD1044" s="604" t="n"/>
      <x:c r="AE1044" s="604" t="n"/>
      <x:c r="AF1044" s="604" t="n">
        <x:v>0.3208787738431262</x:v>
      </x:c>
      <x:c r="AG1044" s="604" t="n">
        <x:v>0.1193648401011718</x:v>
      </x:c>
      <x:c r="AH1044" s="604" t="n"/>
      <x:c r="AI1044" s="604" t="n"/>
      <x:c r="AJ1044" s="604" t="n">
        <x:v>0.1193648401011718</x:v>
      </x:c>
      <x:c r="AK1044" s="604" t="n"/>
      <x:c r="AL1044" s="604" t="n"/>
      <x:c r="AM1044" s="604" t="n"/>
      <x:c r="AN1044" s="604" t="inlineStr">
        <x:is>
          <x:t xml:space="preserve">EVALUATED</x:t>
        </x:is>
      </x:c>
      <x:c r="AO1044" s="604" t="inlineStr">
        <x:is>
          <x:t xml:space="preserve">GIVING_VALIDATED_EDGE、BUCKET_PRIOR_ONLY、INTENT_INTERPRETATION_ONLY、FFL_OPTIONAL、EXPERT_MARKET</x:t>
        </x:is>
      </x:c>
      <x:c r="AP1044" s="604" t="inlineStr">
        <x:is>
          <x:t xml:space="preserve">e0c22be387635f887c07</x:t>
        </x:is>
      </x:c>
      <x:c r="AQ1044" s="604" t="n">
        <x:v>-0.75</x:v>
      </x:c>
      <x:c r="AR1044" s="604" t="n">
        <x:v>0.8</x:v>
      </x:c>
      <x:c r="AS1044" s="604" t="n">
        <x:v>0.75</x:v>
      </x:c>
      <x:c r="AT1044" s="604" t="n">
        <x:v>-0.75</x:v>
      </x:c>
      <x:c r="AU1044" s="604" t="n">
        <x:v>0.8</x:v>
      </x:c>
      <x:c r="AV1044" s="604" t="n">
        <x:v>1</x:v>
      </x:c>
      <x:c r="AW1044" s="604" t="n">
        <x:v>46300.07479607639</x:v>
      </x:c>
      <x:c r="AX1044" s="604" t="inlineStr">
        <x:is>
          <x:t xml:space="preserve">https://simondongxiao.github.io/odds/v4/</x:t>
        </x:is>
      </x:c>
      <x:c r="AY1044" s="604" t="inlineStr">
        <x:is>
          <x:t xml:space="preserve">V4 Shadow Only；real_money=false；P(EV&gt;0)不是比赛胜率</x:t>
        </x:is>
      </x:c>
    </x:row>
    <x:row r="1045" ht="22" customHeight="1">
      <x:c r="A1045" s="604" t="inlineStr">
        <x:is>
          <x:t xml:space="preserve">2026-10-05</x:t>
        </x:is>
      </x:c>
      <x:c r="B1045" s="604" t="inlineStr">
        <x:is>
          <x:t xml:space="preserve">2026-10-05 23:30</x:t>
        </x:is>
      </x:c>
      <x:c r="C1045" s="604" t="str">
        <x:v>其他系列</x:v>
      </x:c>
      <x:c r="D1045" s="604" t="inlineStr">
        <x:is>
          <x:t xml:space="preserve">联赛</x:t>
        </x:is>
      </x:c>
      <x:c r="E1045" s="604" t="inlineStr">
        <x:is>
          <x:t xml:space="preserve">科特超</x:t>
        </x:is>
      </x:c>
      <x:c r="F1045" s="604" t="inlineStr">
        <x:is>
          <x:t xml:space="preserve">穆纳阿库普 vs 亚穆苏克罗FC</x:t>
        </x:is>
      </x:c>
      <x:c r="G1045" s="604" t="n">
        <x:v>0.88</x:v>
      </x:c>
      <x:c r="H1045" s="604" t="n">
        <x:v>0.5</x:v>
      </x:c>
      <x:c r="I1045" s="604" t="n">
        <x:v>0.93</x:v>
      </x:c>
      <x:c r="J1045" s="604" t="inlineStr">
        <x:is>
          <x:t xml:space="preserve">0.88/0.5/0.93</x:t>
        </x:is>
      </x:c>
      <x:c r="K1045" s="604" t="inlineStr">
        <x:is>
          <x:t xml:space="preserve">V4-B｜EV +0.1432</x:t>
        </x:is>
      </x:c>
      <x:c r="L1045" s="604" t="inlineStr">
        <x:is>
          <x:t xml:space="preserve">穆纳阿库普</x:t>
        </x:is>
      </x:c>
      <x:c r="M1045" s="604" t="n">
        <x:v>0.6080680703752783</x:v>
      </x:c>
      <x:c r="N1045" s="604" t="inlineStr">
        <x:is>
          <x:t xml:space="preserve">V4纸面入选-B</x:t>
        </x:is>
      </x:c>
      <x:c r="O1045" s="604" t="inlineStr">
        <x:is>
          <x:t xml:space="preserve">0-2</x:t>
        </x:is>
      </x:c>
      <x:c r="P1045" s="604" t="inlineStr">
        <x:is>
          <x:t xml:space="preserve">已结算</x:t>
        </x:is>
      </x:c>
      <x:c r="Q1045" s="646" t="inlineStr">
        <x:is>
          <x:t xml:space="preserve">黑</x:t>
        </x:is>
      </x:c>
      <x:c r="R1045" s="604" t="n">
        <x:v>0.88</x:v>
      </x:c>
      <x:c r="S1045" s="604" t="n">
        <x:f>IF(OR(Q1045="",Q1045="待结算"),"",IF(Q1045="红",R1045,IF(Q1045="半红",R1045*0.5,IF(Q1045="走",0,IF(Q1045="半黑",-0.5,-1)))))</x:f>
        <x:v>-1</x:v>
      </x:c>
      <x:c r="T1045" s="604" t="inlineStr">
        <x:is>
          <x:t xml:space="preserve">https://m.titan007.com/analy/Analysis/3097326.htm</x:t>
        </x:is>
      </x:c>
      <x:c r="U1045" s="645" t="str">
        <x:f>IF(Q1045="","",IF(Q1045="待结算","待结算",IF(Q1045="红","黑",IF(Q1045="半红","半黑",IF(Q1045="走","走",IF(Q1045="半黑","半红","红"))))))</x:f>
        <x:v>红</x:v>
      </x:c>
      <x:c r="V1045" s="604" t="n">
        <x:f>IF(OR(Q1045="",Q1045="待结算"),"",IF(L1045=LEFT(F1045,FIND(" vs ",F1045)-1),I1045,G1045))</x:f>
        <x:v>0.93</x:v>
      </x:c>
      <x:c r="W1045" s="604" t="n">
        <x:f>IF(OR(U1045="",U1045="待结算"),"",IF(U1045="红",V1045,IF(U1045="半红",V1045*0.5,IF(U1045="走",0,IF(U1045="半黑",-0.5,-1)))))</x:f>
        <x:v>0.93</x:v>
      </x:c>
      <x:c r="X1045" s="604" t="inlineStr">
        <x:is>
          <x:t xml:space="preserve">3097326</x:t>
        </x:is>
      </x:c>
      <x:c r="Y1045" s="604" t="inlineStr">
        <x:is>
          <x:t xml:space="preserve">V4</x:t>
        </x:is>
      </x:c>
      <x:c r="Z1045" s="604" t="inlineStr">
        <x:is>
          <x:t xml:space="preserve">prior-2026-10-05-v1</x:t>
        </x:is>
      </x:c>
      <x:c r="AA1045" s="604" t="inlineStr">
        <x:is>
          <x:t xml:space="preserve">B</x:t>
        </x:is>
      </x:c>
      <x:c r="AB1045" s="604" t="n">
        <x:v>0.6080680703752783</x:v>
      </x:c>
      <x:c r="AC1045" s="604" t="n"/>
      <x:c r="AD1045" s="604" t="n"/>
      <x:c r="AE1045" s="604" t="n"/>
      <x:c r="AF1045" s="604" t="n">
        <x:v>0.3919319296247217</x:v>
      </x:c>
      <x:c r="AG1045" s="604" t="n">
        <x:v>0.1431679723055233</x:v>
      </x:c>
      <x:c r="AH1045" s="604" t="n"/>
      <x:c r="AI1045" s="604" t="n"/>
      <x:c r="AJ1045" s="604" t="n">
        <x:v>0.1431679723055233</x:v>
      </x:c>
      <x:c r="AK1045" s="604" t="n"/>
      <x:c r="AL1045" s="604" t="n"/>
      <x:c r="AM1045" s="604" t="n"/>
      <x:c r="AN1045" s="604" t="inlineStr">
        <x:is>
          <x:t xml:space="preserve">EVALUATED</x:t>
        </x:is>
      </x:c>
      <x:c r="AO1045" s="604" t="inlineStr">
        <x:is>
          <x:t xml:space="preserve">GIVING_VALIDATED_EDGE、BUCKET_PRIOR_ONLY、INTENT_INTERPRETATION_ONLY、FFL_OPTIONAL、EXPERT_MARKET</x:t>
        </x:is>
      </x:c>
      <x:c r="AP1045" s="604" t="inlineStr">
        <x:is>
          <x:t xml:space="preserve">6b332a2ebef98117d777</x:t>
        </x:is>
      </x:c>
      <x:c r="AQ1045" s="604" t="n">
        <x:v>-0.5</x:v>
      </x:c>
      <x:c r="AR1045" s="604" t="n">
        <x:v>0.88</x:v>
      </x:c>
      <x:c r="AS1045" s="604" t="n">
        <x:v>0.5</x:v>
      </x:c>
      <x:c r="AT1045" s="604" t="n">
        <x:v>-0.5</x:v>
      </x:c>
      <x:c r="AU1045" s="604" t="n">
        <x:v>0.88</x:v>
      </x:c>
      <x:c r="AV1045" s="604" t="n">
        <x:v>0.93</x:v>
      </x:c>
      <x:c r="AW1045" s="604" t="n">
        <x:v>46300.07479607639</x:v>
      </x:c>
      <x:c r="AX1045" s="604" t="inlineStr">
        <x:is>
          <x:t xml:space="preserve">https://simondongxiao.github.io/odds/v4/</x:t>
        </x:is>
      </x:c>
      <x:c r="AY1045" s="604" t="inlineStr">
        <x:is>
          <x:t xml:space="preserve">V4 Shadow Only；real_money=false；P(EV&gt;0)不是比赛胜率</x:t>
        </x:is>
      </x:c>
    </x:row>
    <x:row r="1046" ht="22" customHeight="1">
      <x:c r="A1046" s="604" t="inlineStr">
        <x:is>
          <x:t xml:space="preserve">2026-10-05</x:t>
        </x:is>
      </x:c>
      <x:c r="B1046" s="604" t="inlineStr">
        <x:is>
          <x:t xml:space="preserve">2026-10-06 00:00</x:t>
        </x:is>
      </x:c>
      <x:c r="C1046" s="604" t="str">
        <x:v>欧洲非五大系列</x:v>
      </x:c>
      <x:c r="D1046" s="604" t="inlineStr">
        <x:is>
          <x:t xml:space="preserve">联赛</x:t>
        </x:is>
      </x:c>
      <x:c r="E1046" s="604" t="inlineStr">
        <x:is>
          <x:t xml:space="preserve">欧国联</x:t>
        </x:is>
      </x:c>
      <x:c r="F1046" s="604" t="inlineStr">
        <x:is>
          <x:t xml:space="preserve">塞浦路斯 vs 拉脱维亚</x:t>
        </x:is>
      </x:c>
      <x:c r="G1046" s="604" t="n">
        <x:v>0.79</x:v>
      </x:c>
      <x:c r="H1046" s="604" t="n">
        <x:v>0.75</x:v>
      </x:c>
      <x:c r="I1046" s="604" t="n">
        <x:v>1.03</x:v>
      </x:c>
      <x:c r="J1046" s="604" t="inlineStr">
        <x:is>
          <x:t xml:space="preserve">0.79/0.75/1.03</x:t>
        </x:is>
      </x:c>
      <x:c r="K1046" s="604" t="inlineStr">
        <x:is>
          <x:t xml:space="preserve">V4-B｜EV +0.1703</x:t>
        </x:is>
      </x:c>
      <x:c r="L1046" s="604" t="inlineStr">
        <x:is>
          <x:t xml:space="preserve">塞浦路斯</x:t>
        </x:is>
      </x:c>
      <x:c r="M1046" s="604" t="n">
        <x:v>0.6677879205764249</x:v>
      </x:c>
      <x:c r="N1046" s="604" t="inlineStr">
        <x:is>
          <x:t xml:space="preserve">V4纸面入选-B</x:t>
        </x:is>
      </x:c>
      <x:c r="O1046" s="604" t="inlineStr">
        <x:is>
          <x:t xml:space="preserve">2-1</x:t>
        </x:is>
      </x:c>
      <x:c r="P1046" s="604" t="inlineStr">
        <x:is>
          <x:t xml:space="preserve">已结算</x:t>
        </x:is>
      </x:c>
      <x:c r="Q1046" s="649" t="inlineStr">
        <x:is>
          <x:t xml:space="preserve">半红</x:t>
        </x:is>
      </x:c>
      <x:c r="R1046" s="604" t="n">
        <x:v>0.79</x:v>
      </x:c>
      <x:c r="S1046" s="604" t="n">
        <x:f>IF(OR(Q1046="",Q1046="待结算"),"",IF(Q1046="红",R1046,IF(Q1046="半红",R1046*0.5,IF(Q1046="走",0,IF(Q1046="半黑",-0.5,-1)))))</x:f>
        <x:v>0.395</x:v>
      </x:c>
      <x:c r="T1046" s="604" t="inlineStr">
        <x:is>
          <x:t xml:space="preserve">https://m.titan007.com/analy/Analysis/2981548.htm</x:t>
        </x:is>
      </x:c>
      <x:c r="U1046" s="648" t="str">
        <x:f>IF(Q1046="","",IF(Q1046="待结算","待结算",IF(Q1046="红","黑",IF(Q1046="半红","半黑",IF(Q1046="走","走",IF(Q1046="半黑","半红","红"))))))</x:f>
        <x:v>半黑</x:v>
      </x:c>
      <x:c r="V1046" s="604" t="n">
        <x:f>IF(OR(Q1046="",Q1046="待结算"),"",IF(L1046=LEFT(F1046,FIND(" vs ",F1046)-1),I1046,G1046))</x:f>
        <x:v>1.03</x:v>
      </x:c>
      <x:c r="W1046" s="604" t="n">
        <x:f>IF(OR(U1046="",U1046="待结算"),"",IF(U1046="红",V1046,IF(U1046="半红",V1046*0.5,IF(U1046="走",0,IF(U1046="半黑",-0.5,-1)))))</x:f>
        <x:v>-0.5</x:v>
      </x:c>
      <x:c r="X1046" s="604" t="inlineStr">
        <x:is>
          <x:t xml:space="preserve">2981548</x:t>
        </x:is>
      </x:c>
      <x:c r="Y1046" s="604" t="inlineStr">
        <x:is>
          <x:t xml:space="preserve">V4</x:t>
        </x:is>
      </x:c>
      <x:c r="Z1046" s="604" t="inlineStr">
        <x:is>
          <x:t xml:space="preserve">prior-2026-10-05-v1</x:t>
        </x:is>
      </x:c>
      <x:c r="AA1046" s="604" t="inlineStr">
        <x:is>
          <x:t xml:space="preserve">B</x:t>
        </x:is>
      </x:c>
      <x:c r="AB1046" s="604" t="n">
        <x:v>0.4541661940622099</x:v>
      </x:c>
      <x:c r="AC1046" s="604" t="n">
        <x:v>0.2561737303390259</x:v>
      </x:c>
      <x:c r="AD1046" s="604" t="n"/>
      <x:c r="AE1046" s="604" t="n"/>
      <x:c r="AF1046" s="604" t="n">
        <x:v>0.2896600755987642</x:v>
      </x:c>
      <x:c r="AG1046" s="604" t="n">
        <x:v>0.1703198411942969</x:v>
      </x:c>
      <x:c r="AH1046" s="604" t="n"/>
      <x:c r="AI1046" s="604" t="n"/>
      <x:c r="AJ1046" s="604" t="n">
        <x:v>0.1703198411942969</x:v>
      </x:c>
      <x:c r="AK1046" s="604" t="n"/>
      <x:c r="AL1046" s="604" t="n"/>
      <x:c r="AM1046" s="604" t="n"/>
      <x:c r="AN1046" s="604" t="inlineStr">
        <x:is>
          <x:t xml:space="preserve">EVALUATED</x:t>
        </x:is>
      </x:c>
      <x:c r="AO1046" s="604" t="inlineStr">
        <x:is>
          <x:t xml:space="preserve">GIVING_VALIDATED_EDGE、BUCKET_PRIOR_ONLY、INTENT_INTERPRETATION_ONLY、FFL_OPTIONAL、EXPERT_MARKET</x:t>
        </x:is>
      </x:c>
      <x:c r="AP1046" s="604" t="inlineStr">
        <x:is>
          <x:t xml:space="preserve">b65deb3f62f5bb93e225</x:t>
        </x:is>
      </x:c>
      <x:c r="AQ1046" s="604" t="n">
        <x:v>-0.75</x:v>
      </x:c>
      <x:c r="AR1046" s="604" t="n">
        <x:v>0.79</x:v>
      </x:c>
      <x:c r="AS1046" s="604" t="n">
        <x:v>0.75</x:v>
      </x:c>
      <x:c r="AT1046" s="604" t="n">
        <x:v>-0.75</x:v>
      </x:c>
      <x:c r="AU1046" s="604" t="n">
        <x:v>0.79</x:v>
      </x:c>
      <x:c r="AV1046" s="604" t="n">
        <x:v>1.03</x:v>
      </x:c>
      <x:c r="AW1046" s="604" t="n">
        <x:v>46300.07479607639</x:v>
      </x:c>
      <x:c r="AX1046" s="604" t="inlineStr">
        <x:is>
          <x:t xml:space="preserve">https://simondongxiao.github.io/odds/v4/</x:t>
        </x:is>
      </x:c>
      <x:c r="AY1046" s="604" t="inlineStr">
        <x:is>
          <x:t xml:space="preserve">V4 Shadow Only；real_money=false；P(EV&gt;0)不是比赛胜率</x:t>
        </x:is>
      </x:c>
    </x:row>
    <x:row r="1047" ht="22" customHeight="1">
      <x:c r="A1047" s="604" t="inlineStr">
        <x:is>
          <x:t xml:space="preserve">2026-10-05</x:t>
        </x:is>
      </x:c>
      <x:c r="B1047" s="604" t="inlineStr">
        <x:is>
          <x:t xml:space="preserve">2026-10-06 00:00</x:t>
        </x:is>
      </x:c>
      <x:c r="C1047" s="604" t="str">
        <x:v>欧洲非五大系列</x:v>
      </x:c>
      <x:c r="D1047" s="604" t="inlineStr">
        <x:is>
          <x:t xml:space="preserve">联赛</x:t>
        </x:is>
      </x:c>
      <x:c r="E1047" s="604" t="inlineStr">
        <x:is>
          <x:t xml:space="preserve">塞尔甲</x:t>
        </x:is>
      </x:c>
      <x:c r="F1047" s="604" t="inlineStr">
        <x:is>
          <x:t xml:space="preserve">巴奇卡托波拉 vs 格拉菲卡贝尔格莱德</x:t>
        </x:is>
      </x:c>
      <x:c r="G1047" s="604" t="n">
        <x:v>0.8</x:v>
      </x:c>
      <x:c r="H1047" s="604" t="n">
        <x:v>1.5</x:v>
      </x:c>
      <x:c r="I1047" s="604" t="n">
        <x:v>0.9</x:v>
      </x:c>
      <x:c r="J1047" s="604" t="inlineStr">
        <x:is>
          <x:t xml:space="preserve">0.8/1.5/0.9</x:t>
        </x:is>
      </x:c>
      <x:c r="K1047" s="604" t="inlineStr">
        <x:is>
          <x:t xml:space="preserve">V4-B｜EV +0.1817</x:t>
        </x:is>
      </x:c>
      <x:c r="L1047" s="604" t="inlineStr">
        <x:is>
          <x:t xml:space="preserve">巴奇卡托波拉</x:t>
        </x:is>
      </x:c>
      <x:c r="M1047" s="604" t="n">
        <x:v>0.6564909381273087</x:v>
      </x:c>
      <x:c r="N1047" s="604" t="inlineStr">
        <x:is>
          <x:t xml:space="preserve">V4纸面入选-B</x:t>
        </x:is>
      </x:c>
      <x:c r="O1047" s="604" t="inlineStr">
        <x:is>
          <x:t xml:space="preserve">4-1</x:t>
        </x:is>
      </x:c>
      <x:c r="P1047" s="604" t="inlineStr">
        <x:is>
          <x:t xml:space="preserve">已结算</x:t>
        </x:is>
      </x:c>
      <x:c r="Q1047" s="645" t="inlineStr">
        <x:is>
          <x:t xml:space="preserve">红</x:t>
        </x:is>
      </x:c>
      <x:c r="R1047" s="604" t="n">
        <x:v>0.8</x:v>
      </x:c>
      <x:c r="S1047" s="604" t="n">
        <x:f>IF(OR(Q1047="",Q1047="待结算"),"",IF(Q1047="红",R1047,IF(Q1047="半红",R1047*0.5,IF(Q1047="走",0,IF(Q1047="半黑",-0.5,-1)))))</x:f>
        <x:v>0.8</x:v>
      </x:c>
      <x:c r="T1047" s="604" t="inlineStr">
        <x:is>
          <x:t xml:space="preserve">https://m.titan007.com/analy/Analysis/3050284.htm</x:t>
        </x:is>
      </x:c>
      <x:c r="U1047" s="646" t="str">
        <x:f>IF(Q1047="","",IF(Q1047="待结算","待结算",IF(Q1047="红","黑",IF(Q1047="半红","半黑",IF(Q1047="走","走",IF(Q1047="半黑","半红","红"))))))</x:f>
        <x:v>黑</x:v>
      </x:c>
      <x:c r="V1047" s="604" t="n">
        <x:f>IF(OR(Q1047="",Q1047="待结算"),"",IF(L1047=LEFT(F1047,FIND(" vs ",F1047)-1),I1047,G1047))</x:f>
        <x:v>0.9</x:v>
      </x:c>
      <x:c r="W1047" s="604" t="n">
        <x:f>IF(OR(U1047="",U1047="待结算"),"",IF(U1047="红",V1047,IF(U1047="半红",V1047*0.5,IF(U1047="走",0,IF(U1047="半黑",-0.5,-1)))))</x:f>
        <x:v>-1</x:v>
      </x:c>
      <x:c r="X1047" s="604" t="inlineStr">
        <x:is>
          <x:t xml:space="preserve">3050284</x:t>
        </x:is>
      </x:c>
      <x:c r="Y1047" s="604" t="inlineStr">
        <x:is>
          <x:t xml:space="preserve">V4</x:t>
        </x:is>
      </x:c>
      <x:c r="Z1047" s="604" t="inlineStr">
        <x:is>
          <x:t xml:space="preserve">prior-2026-10-05-v1</x:t>
        </x:is>
      </x:c>
      <x:c r="AA1047" s="604" t="inlineStr">
        <x:is>
          <x:t xml:space="preserve">B</x:t>
        </x:is>
      </x:c>
      <x:c r="AB1047" s="604" t="n">
        <x:v>0.6564909381273087</x:v>
      </x:c>
      <x:c r="AC1047" s="604" t="n"/>
      <x:c r="AD1047" s="604" t="n"/>
      <x:c r="AE1047" s="604" t="n"/>
      <x:c r="AF1047" s="604" t="n">
        <x:v>0.3435090618726913</x:v>
      </x:c>
      <x:c r="AG1047" s="604" t="n">
        <x:v>0.1816836886291557</x:v>
      </x:c>
      <x:c r="AH1047" s="604" t="n"/>
      <x:c r="AI1047" s="604" t="n"/>
      <x:c r="AJ1047" s="604" t="n">
        <x:v>0.1816836886291557</x:v>
      </x:c>
      <x:c r="AK1047" s="604" t="n"/>
      <x:c r="AL1047" s="604" t="n"/>
      <x:c r="AM1047" s="604" t="n"/>
      <x:c r="AN1047" s="604" t="inlineStr">
        <x:is>
          <x:t xml:space="preserve">EVALUATED</x:t>
        </x:is>
      </x:c>
      <x:c r="AO1047" s="604" t="inlineStr">
        <x:is>
          <x:t xml:space="preserve">GIVING_VALIDATED_EDGE、BUCKET_PRIOR_ONLY、INTENT_INTERPRETATION_ONLY、FFL_OPTIONAL、EXPERT_MARKET</x:t>
        </x:is>
      </x:c>
      <x:c r="AP1047" s="604" t="inlineStr">
        <x:is>
          <x:t xml:space="preserve">84563fa6ceaa320de27d</x:t>
        </x:is>
      </x:c>
      <x:c r="AQ1047" s="604" t="n">
        <x:v>-1.5</x:v>
      </x:c>
      <x:c r="AR1047" s="604" t="n">
        <x:v>0.8</x:v>
      </x:c>
      <x:c r="AS1047" s="604" t="n">
        <x:v>1.5</x:v>
      </x:c>
      <x:c r="AT1047" s="604" t="n">
        <x:v>-1.5</x:v>
      </x:c>
      <x:c r="AU1047" s="604" t="n">
        <x:v>0.8</x:v>
      </x:c>
      <x:c r="AV1047" s="604" t="n">
        <x:v>0.9</x:v>
      </x:c>
      <x:c r="AW1047" s="604" t="n">
        <x:v>46300.07479607639</x:v>
      </x:c>
      <x:c r="AX1047" s="604" t="inlineStr">
        <x:is>
          <x:t xml:space="preserve">https://simondongxiao.github.io/odds/v4/</x:t>
        </x:is>
      </x:c>
      <x:c r="AY1047" s="604" t="inlineStr">
        <x:is>
          <x:t xml:space="preserve">V4 Shadow Only；real_money=false；P(EV&gt;0)不是比赛胜率</x:t>
        </x:is>
      </x:c>
    </x:row>
    <x:row r="1048" ht="22" customHeight="1">
      <x:c r="A1048" s="604" t="inlineStr">
        <x:is>
          <x:t xml:space="preserve">2026-10-05</x:t>
        </x:is>
      </x:c>
      <x:c r="B1048" s="604" t="inlineStr">
        <x:is>
          <x:t xml:space="preserve">2026-10-06 00:00</x:t>
        </x:is>
      </x:c>
      <x:c r="C1048" s="604" t="str">
        <x:v>其他系列</x:v>
      </x:c>
      <x:c r="D1048" s="604" t="inlineStr">
        <x:is>
          <x:t xml:space="preserve">联赛</x:t>
        </x:is>
      </x:c>
      <x:c r="E1048" s="604" t="inlineStr">
        <x:is>
          <x:t xml:space="preserve">国际友谊</x:t>
        </x:is>
      </x:c>
      <x:c r="F1048" s="604" t="inlineStr">
        <x:is>
          <x:t xml:space="preserve">塞尔维亚U21 vs 俄罗斯U21</x:t>
        </x:is>
      </x:c>
      <x:c r="G1048" s="604" t="n">
        <x:v>0.8</x:v>
      </x:c>
      <x:c r="H1048" s="604" t="n">
        <x:v>-0.25</x:v>
      </x:c>
      <x:c r="I1048" s="604" t="n">
        <x:v>0.97</x:v>
      </x:c>
      <x:c r="J1048" s="604" t="inlineStr">
        <x:is>
          <x:t xml:space="preserve">0.8/-0.25/0.97</x:t>
        </x:is>
      </x:c>
      <x:c r="K1048" s="604" t="inlineStr">
        <x:is>
          <x:t xml:space="preserve">V4-C｜EV +0.1294</x:t>
        </x:is>
      </x:c>
      <x:c r="L1048" s="604" t="inlineStr">
        <x:is>
          <x:t xml:space="preserve">塞尔维亚U21</x:t>
        </x:is>
      </x:c>
      <x:c r="M1048" s="604" t="n">
        <x:v>0.6382707120858245</x:v>
      </x:c>
      <x:c r="N1048" s="604" t="inlineStr">
        <x:is>
          <x:t xml:space="preserve">V4纸面入选-C</x:t>
        </x:is>
      </x:c>
      <x:c r="O1048" s="604" t="inlineStr">
        <x:is>
          <x:t xml:space="preserve">2-1</x:t>
        </x:is>
      </x:c>
      <x:c r="P1048" s="604" t="inlineStr">
        <x:is>
          <x:t xml:space="preserve">已结算</x:t>
        </x:is>
      </x:c>
      <x:c r="Q1048" s="645" t="inlineStr">
        <x:is>
          <x:t xml:space="preserve">红</x:t>
        </x:is>
      </x:c>
      <x:c r="R1048" s="604" t="n">
        <x:v>0.8</x:v>
      </x:c>
      <x:c r="S1048" s="604" t="n">
        <x:f>IF(OR(Q1048="",Q1048="待结算"),"",IF(Q1048="红",R1048,IF(Q1048="半红",R1048*0.5,IF(Q1048="走",0,IF(Q1048="半黑",-0.5,-1)))))</x:f>
        <x:v>0.8</x:v>
      </x:c>
      <x:c r="T1048" s="604" t="inlineStr">
        <x:is>
          <x:t xml:space="preserve">https://m.titan007.com/analy/Analysis/3097747.htm</x:t>
        </x:is>
      </x:c>
      <x:c r="U1048" s="646" t="str">
        <x:f>IF(Q1048="","",IF(Q1048="待结算","待结算",IF(Q1048="红","黑",IF(Q1048="半红","半黑",IF(Q1048="走","走",IF(Q1048="半黑","半红","红"))))))</x:f>
        <x:v>黑</x:v>
      </x:c>
      <x:c r="V1048" s="604" t="n">
        <x:f>IF(OR(Q1048="",Q1048="待结算"),"",IF(L1048=LEFT(F1048,FIND(" vs ",F1048)-1),I1048,G1048))</x:f>
        <x:v>0.97</x:v>
      </x:c>
      <x:c r="W1048" s="604" t="n">
        <x:f>IF(OR(U1048="",U1048="待结算"),"",IF(U1048="红",V1048,IF(U1048="半红",V1048*0.5,IF(U1048="走",0,IF(U1048="半黑",-0.5,-1)))))</x:f>
        <x:v>-1</x:v>
      </x:c>
      <x:c r="X1048" s="604" t="inlineStr">
        <x:is>
          <x:t xml:space="preserve">3097747</x:t>
        </x:is>
      </x:c>
      <x:c r="Y1048" s="604" t="inlineStr">
        <x:is>
          <x:t xml:space="preserve">V4</x:t>
        </x:is>
      </x:c>
      <x:c r="Z1048" s="604" t="inlineStr">
        <x:is>
          <x:t xml:space="preserve">prior-2026-10-05-v1</x:t>
        </x:is>
      </x:c>
      <x:c r="AA1048" s="604" t="inlineStr">
        <x:is>
          <x:t xml:space="preserve">C</x:t>
        </x:is>
      </x:c>
      <x:c r="AB1048" s="604" t="n">
        <x:v>0.4241926868171954</x:v>
      </x:c>
      <x:c r="AC1048" s="604" t="n">
        <x:v>0.2613463375611078</x:v>
      </x:c>
      <x:c r="AD1048" s="604" t="n"/>
      <x:c r="AE1048" s="604" t="n"/>
      <x:c r="AF1048" s="604" t="n">
        <x:v>0.3144609756216968</x:v>
      </x:c>
      <x:c r="AG1048" s="604" t="n">
        <x:v>0.1294317088565027</x:v>
      </x:c>
      <x:c r="AH1048" s="604" t="n"/>
      <x:c r="AI1048" s="604" t="n"/>
      <x:c r="AJ1048" s="604" t="n">
        <x:v>0.1294317088565027</x:v>
      </x:c>
      <x:c r="AK1048" s="604" t="n"/>
      <x:c r="AL1048" s="604" t="n"/>
      <x:c r="AM1048" s="604" t="n"/>
      <x:c r="AN1048" s="604" t="inlineStr">
        <x:is>
          <x:t xml:space="preserve">EVALUATED</x:t>
        </x:is>
      </x:c>
      <x:c r="AO1048" s="604" t="inlineStr">
        <x:is>
          <x:t xml:space="preserve">RECEIVING_VALIDATED_EDGE、BUCKET_PRIOR_ONLY、INTENT_INTERPRETATION_ONLY、FFL_OPTIONAL、EXPERT_MARKET</x:t>
        </x:is>
      </x:c>
      <x:c r="AP1048" s="604" t="inlineStr">
        <x:is>
          <x:t xml:space="preserve">cb077fc4201c7c5cab79</x:t>
        </x:is>
      </x:c>
      <x:c r="AQ1048" s="604" t="n">
        <x:v>0.25</x:v>
      </x:c>
      <x:c r="AR1048" s="604" t="n">
        <x:v>0.8</x:v>
      </x:c>
      <x:c r="AS1048" s="604" t="n">
        <x:v>-0.25</x:v>
      </x:c>
      <x:c r="AT1048" s="604" t="n">
        <x:v>0.25</x:v>
      </x:c>
      <x:c r="AU1048" s="604" t="n">
        <x:v>0.8</x:v>
      </x:c>
      <x:c r="AV1048" s="604" t="n">
        <x:v>0.97</x:v>
      </x:c>
      <x:c r="AW1048" s="604" t="n">
        <x:v>46300.07479607639</x:v>
      </x:c>
      <x:c r="AX1048" s="604" t="inlineStr">
        <x:is>
          <x:t xml:space="preserve">https://simondongxiao.github.io/odds/v4/</x:t>
        </x:is>
      </x:c>
      <x:c r="AY1048" s="604" t="inlineStr">
        <x:is>
          <x:t xml:space="preserve">V4 Shadow Only；real_money=false；P(EV&gt;0)不是比赛胜率</x:t>
        </x:is>
      </x:c>
    </x:row>
    <x:row r="1049" ht="22" customHeight="1">
      <x:c r="A1049" s="604" t="inlineStr">
        <x:is>
          <x:t xml:space="preserve">2026-10-05</x:t>
        </x:is>
      </x:c>
      <x:c r="B1049" s="604" t="inlineStr">
        <x:is>
          <x:t xml:space="preserve">2026-10-06 00:15</x:t>
        </x:is>
      </x:c>
      <x:c r="C1049" s="604" t="str">
        <x:v>欧洲非五大系列</x:v>
      </x:c>
      <x:c r="D1049" s="604" t="inlineStr">
        <x:is>
          <x:t xml:space="preserve">联赛</x:t>
        </x:is>
      </x:c>
      <x:c r="E1049" s="604" t="inlineStr">
        <x:is>
          <x:t xml:space="preserve">欧青U21外</x:t>
        </x:is>
      </x:c>
      <x:c r="F1049" s="604" t="inlineStr">
        <x:is>
          <x:t xml:space="preserve">意大利U21 vs 波兰U21</x:t>
        </x:is>
      </x:c>
      <x:c r="G1049" s="604" t="n">
        <x:v>0.84</x:v>
      </x:c>
      <x:c r="H1049" s="604" t="n">
        <x:v>0.5</x:v>
      </x:c>
      <x:c r="I1049" s="604" t="n">
        <x:v>0.98</x:v>
      </x:c>
      <x:c r="J1049" s="604" t="inlineStr">
        <x:is>
          <x:t xml:space="preserve">0.84/0.5/0.98</x:t>
        </x:is>
      </x:c>
      <x:c r="K1049" s="604" t="inlineStr">
        <x:is>
          <x:t xml:space="preserve">V4-C｜EV +0.0816</x:t>
        </x:is>
      </x:c>
      <x:c r="L1049" s="604" t="inlineStr">
        <x:is>
          <x:t xml:space="preserve">意大利U21</x:t>
        </x:is>
      </x:c>
      <x:c r="M1049" s="604" t="n">
        <x:v>0.5878193179574905</x:v>
      </x:c>
      <x:c r="N1049" s="604" t="inlineStr">
        <x:is>
          <x:t xml:space="preserve">V4纸面入选-C</x:t>
        </x:is>
      </x:c>
      <x:c r="O1049" s="604" t="inlineStr">
        <x:is>
          <x:t xml:space="preserve">6-2</x:t>
        </x:is>
      </x:c>
      <x:c r="P1049" s="604" t="inlineStr">
        <x:is>
          <x:t xml:space="preserve">已结算</x:t>
        </x:is>
      </x:c>
      <x:c r="Q1049" s="645" t="inlineStr">
        <x:is>
          <x:t xml:space="preserve">红</x:t>
        </x:is>
      </x:c>
      <x:c r="R1049" s="604" t="n">
        <x:v>0.84</x:v>
      </x:c>
      <x:c r="S1049" s="604" t="n">
        <x:f>IF(OR(Q1049="",Q1049="待结算"),"",IF(Q1049="红",R1049,IF(Q1049="半红",R1049*0.5,IF(Q1049="走",0,IF(Q1049="半黑",-0.5,-1)))))</x:f>
        <x:v>0.84</x:v>
      </x:c>
      <x:c r="T1049" s="604" t="inlineStr">
        <x:is>
          <x:t xml:space="preserve">https://m.titan007.com/analy/Analysis/2781319.htm</x:t>
        </x:is>
      </x:c>
      <x:c r="U1049" s="646" t="str">
        <x:f>IF(Q1049="","",IF(Q1049="待结算","待结算",IF(Q1049="红","黑",IF(Q1049="半红","半黑",IF(Q1049="走","走",IF(Q1049="半黑","半红","红"))))))</x:f>
        <x:v>黑</x:v>
      </x:c>
      <x:c r="V1049" s="604" t="n">
        <x:f>IF(OR(Q1049="",Q1049="待结算"),"",IF(L1049=LEFT(F1049,FIND(" vs ",F1049)-1),I1049,G1049))</x:f>
        <x:v>0.98</x:v>
      </x:c>
      <x:c r="W1049" s="604" t="n">
        <x:f>IF(OR(U1049="",U1049="待结算"),"",IF(U1049="红",V1049,IF(U1049="半红",V1049*0.5,IF(U1049="走",0,IF(U1049="半黑",-0.5,-1)))))</x:f>
        <x:v>-1</x:v>
      </x:c>
      <x:c r="X1049" s="604" t="inlineStr">
        <x:is>
          <x:t xml:space="preserve">2781319</x:t>
        </x:is>
      </x:c>
      <x:c r="Y1049" s="604" t="inlineStr">
        <x:is>
          <x:t xml:space="preserve">V4</x:t>
        </x:is>
      </x:c>
      <x:c r="Z1049" s="604" t="inlineStr">
        <x:is>
          <x:t xml:space="preserve">prior-2026-10-05-v1</x:t>
        </x:is>
      </x:c>
      <x:c r="AA1049" s="604" t="inlineStr">
        <x:is>
          <x:t xml:space="preserve">C</x:t>
        </x:is>
      </x:c>
      <x:c r="AB1049" s="604" t="n">
        <x:v>0.5878193179574905</x:v>
      </x:c>
      <x:c r="AC1049" s="604" t="n"/>
      <x:c r="AD1049" s="604" t="n"/>
      <x:c r="AE1049" s="604" t="n"/>
      <x:c r="AF1049" s="604" t="n">
        <x:v>0.4121806820425095</x:v>
      </x:c>
      <x:c r="AG1049" s="604" t="n">
        <x:v>0.08158754504178251</x:v>
      </x:c>
      <x:c r="AH1049" s="604" t="n"/>
      <x:c r="AI1049" s="604" t="n"/>
      <x:c r="AJ1049" s="604" t="n">
        <x:v>0.08158754504178251</x:v>
      </x:c>
      <x:c r="AK1049" s="604" t="n"/>
      <x:c r="AL1049" s="604" t="n"/>
      <x:c r="AM1049" s="604" t="n"/>
      <x:c r="AN1049" s="604" t="inlineStr">
        <x:is>
          <x:t xml:space="preserve">EVALUATED</x:t>
        </x:is>
      </x:c>
      <x:c r="AO1049" s="604" t="inlineStr">
        <x:is>
          <x:t xml:space="preserve">GIVING_VALIDATED_EDGE、BUCKET_PRIOR_ONLY、INTENT_INTERPRETATION_ONLY、FFL_OPTIONAL、EXPERT_MARKET</x:t>
        </x:is>
      </x:c>
      <x:c r="AP1049" s="604" t="inlineStr">
        <x:is>
          <x:t xml:space="preserve">3839d11c92ccc3ffe119</x:t>
        </x:is>
      </x:c>
      <x:c r="AQ1049" s="604" t="n">
        <x:v>-0.5</x:v>
      </x:c>
      <x:c r="AR1049" s="604" t="n">
        <x:v>0.84</x:v>
      </x:c>
      <x:c r="AS1049" s="604" t="n">
        <x:v>0.5</x:v>
      </x:c>
      <x:c r="AT1049" s="604" t="n">
        <x:v>-0.5</x:v>
      </x:c>
      <x:c r="AU1049" s="604" t="n">
        <x:v>0.84</x:v>
      </x:c>
      <x:c r="AV1049" s="604" t="n">
        <x:v>0.98</x:v>
      </x:c>
      <x:c r="AW1049" s="604" t="n">
        <x:v>46300.07479607639</x:v>
      </x:c>
      <x:c r="AX1049" s="604" t="inlineStr">
        <x:is>
          <x:t xml:space="preserve">https://simondongxiao.github.io/odds/v4/</x:t>
        </x:is>
      </x:c>
      <x:c r="AY1049" s="604" t="inlineStr">
        <x:is>
          <x:t xml:space="preserve">V4 Shadow Only；real_money=false；P(EV&gt;0)不是比赛胜率</x:t>
        </x:is>
      </x:c>
    </x:row>
    <x:row r="1050" ht="22" customHeight="1">
      <x:c r="A1050" s="604" t="inlineStr">
        <x:is>
          <x:t xml:space="preserve">2026-10-05</x:t>
        </x:is>
      </x:c>
      <x:c r="B1050" s="604" t="inlineStr">
        <x:is>
          <x:t xml:space="preserve">2026-10-06 00:30</x:t>
        </x:is>
      </x:c>
      <x:c r="C1050" s="604" t="str">
        <x:v>欧洲非五大系列</x:v>
      </x:c>
      <x:c r="D1050" s="604" t="inlineStr">
        <x:is>
          <x:t xml:space="preserve">联赛</x:t>
        </x:is>
      </x:c>
      <x:c r="E1050" s="604" t="inlineStr">
        <x:is>
          <x:t xml:space="preserve">欧青U21外</x:t>
        </x:is>
      </x:c>
      <x:c r="F1050" s="604" t="inlineStr">
        <x:is>
          <x:t xml:space="preserve">瑞典U21 vs 北马其顿U21</x:t>
        </x:is>
      </x:c>
      <x:c r="G1050" s="604" t="n">
        <x:v>0.87</x:v>
      </x:c>
      <x:c r="H1050" s="604" t="n">
        <x:v>1.5</x:v>
      </x:c>
      <x:c r="I1050" s="604" t="n">
        <x:v>0.95</x:v>
      </x:c>
      <x:c r="J1050" s="604" t="inlineStr">
        <x:is>
          <x:t xml:space="preserve">0.87/1.5/0.95</x:t>
        </x:is>
      </x:c>
      <x:c r="K1050" s="604" t="inlineStr">
        <x:is>
          <x:t xml:space="preserve">V4-C｜EV +0.2424</x:t>
        </x:is>
      </x:c>
      <x:c r="L1050" s="604" t="inlineStr">
        <x:is>
          <x:t xml:space="preserve">瑞典U21</x:t>
        </x:is>
      </x:c>
      <x:c r="M1050" s="604" t="n">
        <x:v>0.6643696907781583</x:v>
      </x:c>
      <x:c r="N1050" s="604" t="inlineStr">
        <x:is>
          <x:t xml:space="preserve">V4纸面入选-C</x:t>
        </x:is>
      </x:c>
      <x:c r="O1050" s="604" t="inlineStr">
        <x:is>
          <x:t xml:space="preserve">2-0</x:t>
        </x:is>
      </x:c>
      <x:c r="P1050" s="604" t="inlineStr">
        <x:is>
          <x:t xml:space="preserve">已结算</x:t>
        </x:is>
      </x:c>
      <x:c r="Q1050" s="645" t="inlineStr">
        <x:is>
          <x:t xml:space="preserve">红</x:t>
        </x:is>
      </x:c>
      <x:c r="R1050" s="604" t="n">
        <x:v>0.87</x:v>
      </x:c>
      <x:c r="S1050" s="604" t="n">
        <x:f>IF(OR(Q1050="",Q1050="待结算"),"",IF(Q1050="红",R1050,IF(Q1050="半红",R1050*0.5,IF(Q1050="走",0,IF(Q1050="半黑",-0.5,-1)))))</x:f>
        <x:v>0.87</x:v>
      </x:c>
      <x:c r="T1050" s="604" t="inlineStr">
        <x:is>
          <x:t xml:space="preserve">https://m.titan007.com/analy/Analysis/2781320.htm</x:t>
        </x:is>
      </x:c>
      <x:c r="U1050" s="646" t="str">
        <x:f>IF(Q1050="","",IF(Q1050="待结算","待结算",IF(Q1050="红","黑",IF(Q1050="半红","半黑",IF(Q1050="走","走",IF(Q1050="半黑","半红","红"))))))</x:f>
        <x:v>黑</x:v>
      </x:c>
      <x:c r="V1050" s="604" t="n">
        <x:f>IF(OR(Q1050="",Q1050="待结算"),"",IF(L1050=LEFT(F1050,FIND(" vs ",F1050)-1),I1050,G1050))</x:f>
        <x:v>0.95</x:v>
      </x:c>
      <x:c r="W1050" s="604" t="n">
        <x:f>IF(OR(U1050="",U1050="待结算"),"",IF(U1050="红",V1050,IF(U1050="半红",V1050*0.5,IF(U1050="走",0,IF(U1050="半黑",-0.5,-1)))))</x:f>
        <x:v>-1</x:v>
      </x:c>
      <x:c r="X1050" s="604" t="inlineStr">
        <x:is>
          <x:t xml:space="preserve">2781320</x:t>
        </x:is>
      </x:c>
      <x:c r="Y1050" s="604" t="inlineStr">
        <x:is>
          <x:t xml:space="preserve">V4</x:t>
        </x:is>
      </x:c>
      <x:c r="Z1050" s="604" t="inlineStr">
        <x:is>
          <x:t xml:space="preserve">prior-2026-10-05-v1</x:t>
        </x:is>
      </x:c>
      <x:c r="AA1050" s="604" t="inlineStr">
        <x:is>
          <x:t xml:space="preserve">C</x:t>
        </x:is>
      </x:c>
      <x:c r="AB1050" s="604" t="n">
        <x:v>0.6643696907781583</x:v>
      </x:c>
      <x:c r="AC1050" s="604" t="n"/>
      <x:c r="AD1050" s="604" t="n"/>
      <x:c r="AE1050" s="604" t="n"/>
      <x:c r="AF1050" s="604" t="n">
        <x:v>0.3356303092218417</x:v>
      </x:c>
      <x:c r="AG1050" s="604" t="n">
        <x:v>0.2423713217551561</x:v>
      </x:c>
      <x:c r="AH1050" s="604" t="n"/>
      <x:c r="AI1050" s="604" t="n"/>
      <x:c r="AJ1050" s="604" t="n">
        <x:v>0.2423713217551561</x:v>
      </x:c>
      <x:c r="AK1050" s="604" t="n"/>
      <x:c r="AL1050" s="604" t="n"/>
      <x:c r="AM1050" s="604" t="n"/>
      <x:c r="AN1050" s="604" t="inlineStr">
        <x:is>
          <x:t xml:space="preserve">EVALUATED</x:t>
        </x:is>
      </x:c>
      <x:c r="AO1050" s="604" t="inlineStr">
        <x:is>
          <x:t xml:space="preserve">GIVING_VALIDATED_EDGE、BUCKET_PRIOR_ONLY、INTENT_INTERPRETATION_ONLY、FFL_OPTIONAL、EXPERT_MARKET</x:t>
        </x:is>
      </x:c>
      <x:c r="AP1050" s="604" t="inlineStr">
        <x:is>
          <x:t xml:space="preserve">530ae9208e7788fab034</x:t>
        </x:is>
      </x:c>
      <x:c r="AQ1050" s="604" t="n">
        <x:v>-1.5</x:v>
      </x:c>
      <x:c r="AR1050" s="604" t="n">
        <x:v>0.87</x:v>
      </x:c>
      <x:c r="AS1050" s="604" t="n">
        <x:v>1.5</x:v>
      </x:c>
      <x:c r="AT1050" s="604" t="n">
        <x:v>-1.5</x:v>
      </x:c>
      <x:c r="AU1050" s="604" t="n">
        <x:v>0.87</x:v>
      </x:c>
      <x:c r="AV1050" s="604" t="n">
        <x:v>0.95</x:v>
      </x:c>
      <x:c r="AW1050" s="604" t="n">
        <x:v>46300.07479607639</x:v>
      </x:c>
      <x:c r="AX1050" s="604" t="inlineStr">
        <x:is>
          <x:t xml:space="preserve">https://simondongxiao.github.io/odds/v4/</x:t>
        </x:is>
      </x:c>
      <x:c r="AY1050" s="604" t="inlineStr">
        <x:is>
          <x:t xml:space="preserve">V4 Shadow Only；real_money=false；P(EV&gt;0)不是比赛胜率</x:t>
        </x:is>
      </x:c>
    </x:row>
    <x:row r="1051" ht="22" customHeight="1">
      <x:c r="A1051" s="604" t="inlineStr">
        <x:is>
          <x:t xml:space="preserve">2026-10-05</x:t>
        </x:is>
      </x:c>
      <x:c r="B1051" s="604" t="inlineStr">
        <x:is>
          <x:t xml:space="preserve">2026-10-06 01:00</x:t>
        </x:is>
      </x:c>
      <x:c r="C1051" s="604" t="str">
        <x:v>欧洲非五大系列</x:v>
      </x:c>
      <x:c r="D1051" s="604" t="inlineStr">
        <x:is>
          <x:t xml:space="preserve">联赛</x:t>
        </x:is>
      </x:c>
      <x:c r="E1051" s="604" t="inlineStr">
        <x:is>
          <x:t xml:space="preserve">挪甲</x:t>
        </x:is>
      </x:c>
      <x:c r="F1051" s="604" t="inlineStr">
        <x:is>
          <x:t xml:space="preserve">莫斯 vs 康斯文格</x:t>
        </x:is>
      </x:c>
      <x:c r="G1051" s="604" t="n">
        <x:v>0.97</x:v>
      </x:c>
      <x:c r="H1051" s="604" t="n">
        <x:v>-0.75</x:v>
      </x:c>
      <x:c r="I1051" s="604" t="n">
        <x:v>0.79</x:v>
      </x:c>
      <x:c r="J1051" s="604" t="inlineStr">
        <x:is>
          <x:t xml:space="preserve">0.97/-0.75/0.79</x:t>
        </x:is>
      </x:c>
      <x:c r="K1051" s="604" t="inlineStr">
        <x:is>
          <x:t xml:space="preserve">V4-B｜EV +0.6806</x:t>
        </x:is>
      </x:c>
      <x:c r="L1051" s="604" t="inlineStr">
        <x:is>
          <x:t xml:space="preserve">莫斯</x:t>
        </x:is>
      </x:c>
      <x:c r="M1051" s="604" t="n">
        <x:v>0.8754266430980874</x:v>
      </x:c>
      <x:c r="N1051" s="604" t="inlineStr">
        <x:is>
          <x:t xml:space="preserve">V4纸面入选-B</x:t>
        </x:is>
      </x:c>
      <x:c r="O1051" s="604" t="inlineStr">
        <x:is>
          <x:t xml:space="preserve">0-2</x:t>
        </x:is>
      </x:c>
      <x:c r="P1051" s="604" t="inlineStr">
        <x:is>
          <x:t xml:space="preserve">已结算</x:t>
        </x:is>
      </x:c>
      <x:c r="Q1051" s="646" t="inlineStr">
        <x:is>
          <x:t xml:space="preserve">黑</x:t>
        </x:is>
      </x:c>
      <x:c r="R1051" s="604" t="n">
        <x:v>0.97</x:v>
      </x:c>
      <x:c r="S1051" s="604" t="n">
        <x:f>IF(OR(Q1051="",Q1051="待结算"),"",IF(Q1051="红",R1051,IF(Q1051="半红",R1051*0.5,IF(Q1051="走",0,IF(Q1051="半黑",-0.5,-1)))))</x:f>
        <x:v>-1</x:v>
      </x:c>
      <x:c r="T1051" s="604" t="inlineStr">
        <x:is>
          <x:t xml:space="preserve">https://m.titan007.com/analy/Analysis/2913157.htm</x:t>
        </x:is>
      </x:c>
      <x:c r="U1051" s="645" t="str">
        <x:f>IF(Q1051="","",IF(Q1051="待结算","待结算",IF(Q1051="红","黑",IF(Q1051="半红","半黑",IF(Q1051="走","走",IF(Q1051="半黑","半红","红"))))))</x:f>
        <x:v>红</x:v>
      </x:c>
      <x:c r="V1051" s="604" t="n">
        <x:f>IF(OR(Q1051="",Q1051="待结算"),"",IF(L1051=LEFT(F1051,FIND(" vs ",F1051)-1),I1051,G1051))</x:f>
        <x:v>0.79</x:v>
      </x:c>
      <x:c r="W1051" s="604" t="n">
        <x:f>IF(OR(U1051="",U1051="待结算"),"",IF(U1051="红",V1051,IF(U1051="半红",V1051*0.5,IF(U1051="走",0,IF(U1051="半黑",-0.5,-1)))))</x:f>
        <x:v>0.79</x:v>
      </x:c>
      <x:c r="X1051" s="604" t="inlineStr">
        <x:is>
          <x:t xml:space="preserve">2913157</x:t>
        </x:is>
      </x:c>
      <x:c r="Y1051" s="604" t="inlineStr">
        <x:is>
          <x:t xml:space="preserve">V4</x:t>
        </x:is>
      </x:c>
      <x:c r="Z1051" s="604" t="inlineStr">
        <x:is>
          <x:t xml:space="preserve">prior-2026-10-05-v1</x:t>
        </x:is>
      </x:c>
      <x:c r="AA1051" s="604" t="inlineStr">
        <x:is>
          <x:t xml:space="preserve">B</x:t>
        </x:is>
      </x:c>
      <x:c r="AB1051" s="604" t="n">
        <x:v>0.8223300407325251</x:v>
      </x:c>
      <x:c r="AC1051" s="604" t="n"/>
      <x:c r="AD1051" s="604" t="n"/>
      <x:c r="AE1051" s="604" t="n">
        <x:v>0.1213045154249734</x:v>
      </x:c>
      <x:c r="AF1051" s="604" t="n">
        <x:v>0.05636544384250151</x:v>
      </x:c>
      <x:c r="AG1051" s="604" t="n">
        <x:v>0.6806424379555611</x:v>
      </x:c>
      <x:c r="AH1051" s="604" t="n"/>
      <x:c r="AI1051" s="604" t="n"/>
      <x:c r="AJ1051" s="604" t="n">
        <x:v>0.6806424379555611</x:v>
      </x:c>
      <x:c r="AK1051" s="604" t="n"/>
      <x:c r="AL1051" s="604" t="n"/>
      <x:c r="AM1051" s="604" t="n"/>
      <x:c r="AN1051" s="604" t="inlineStr">
        <x:is>
          <x:t xml:space="preserve">EVALUATED</x:t>
        </x:is>
      </x:c>
      <x:c r="AO1051" s="604" t="inlineStr">
        <x:is>
          <x:t xml:space="preserve">RECEIVING_VALIDATED_EDGE、BUCKET_PRIOR_ONLY、INTENT_INTERPRETATION_ONLY、FFL_OPTIONAL、EXPERT_MARKET</x:t>
        </x:is>
      </x:c>
      <x:c r="AP1051" s="604" t="inlineStr">
        <x:is>
          <x:t xml:space="preserve">8e9bdfec0b2255fd0b30</x:t>
        </x:is>
      </x:c>
      <x:c r="AQ1051" s="604" t="n">
        <x:v>0.75</x:v>
      </x:c>
      <x:c r="AR1051" s="604" t="n">
        <x:v>0.97</x:v>
      </x:c>
      <x:c r="AS1051" s="604" t="n">
        <x:v>-0.75</x:v>
      </x:c>
      <x:c r="AT1051" s="604" t="n">
        <x:v>0.75</x:v>
      </x:c>
      <x:c r="AU1051" s="604" t="n">
        <x:v>0.97</x:v>
      </x:c>
      <x:c r="AV1051" s="604" t="n">
        <x:v>0.79</x:v>
      </x:c>
      <x:c r="AW1051" s="604" t="n">
        <x:v>46300.07479607639</x:v>
      </x:c>
      <x:c r="AX1051" s="604" t="inlineStr">
        <x:is>
          <x:t xml:space="preserve">https://simondongxiao.github.io/odds/v4/</x:t>
        </x:is>
      </x:c>
      <x:c r="AY1051" s="604" t="inlineStr">
        <x:is>
          <x:t xml:space="preserve">V4 Shadow Only；real_money=false；P(EV&gt;0)不是比赛胜率</x:t>
        </x:is>
      </x:c>
    </x:row>
    <x:row r="1052" ht="22" customHeight="1">
      <x:c r="A1052" s="604" t="inlineStr">
        <x:is>
          <x:t xml:space="preserve">2026-10-05</x:t>
        </x:is>
      </x:c>
      <x:c r="B1052" s="604" t="inlineStr">
        <x:is>
          <x:t xml:space="preserve">2026-10-06 01:00</x:t>
        </x:is>
      </x:c>
      <x:c r="C1052" s="604" t="str">
        <x:v>南美系列</x:v>
      </x:c>
      <x:c r="D1052" s="604" t="inlineStr">
        <x:is>
          <x:t xml:space="preserve">联赛</x:t>
        </x:is>
      </x:c>
      <x:c r="E1052" s="604" t="inlineStr">
        <x:is>
          <x:t xml:space="preserve">哥伦U19</x:t>
        </x:is>
      </x:c>
      <x:c r="F1052" s="604" t="inlineStr">
        <x:is>
          <x:t xml:space="preserve">卡利阿美利加U19 vs 当卡尔U19</x:t>
        </x:is>
      </x:c>
      <x:c r="G1052" s="604" t="n">
        <x:v>1</x:v>
      </x:c>
      <x:c r="H1052" s="604" t="n">
        <x:v>0</x:v>
      </x:c>
      <x:c r="I1052" s="604" t="n">
        <x:v>0.8</x:v>
      </x:c>
      <x:c r="J1052" s="604" t="inlineStr">
        <x:is>
          <x:t xml:space="preserve">1/0/0.8</x:t>
        </x:is>
      </x:c>
      <x:c r="K1052" s="604" t="inlineStr">
        <x:is>
          <x:t xml:space="preserve">V4-C｜EV +0.0557</x:t>
        </x:is>
      </x:c>
      <x:c r="L1052" s="604" t="str"/>
      <x:c r="M1052" s="604" t="n">
        <x:v>0.5319018160205428</x:v>
      </x:c>
      <x:c r="N1052" s="604" t="inlineStr">
        <x:is>
          <x:t xml:space="preserve">V4纸面入选-C</x:t>
        </x:is>
      </x:c>
      <x:c r="O1052" s="604" t="inlineStr">
        <x:is>
          <x:t xml:space="preserve">4-2</x:t>
        </x:is>
      </x:c>
      <x:c r="P1052" s="604" t="inlineStr">
        <x:is>
          <x:t xml:space="preserve">已结算</x:t>
        </x:is>
      </x:c>
      <x:c r="Q1052" s="645" t="inlineStr">
        <x:is>
          <x:t xml:space="preserve">红</x:t>
        </x:is>
      </x:c>
      <x:c r="R1052" s="604" t="n">
        <x:v>0.8</x:v>
      </x:c>
      <x:c r="S1052" s="604" t="n">
        <x:f>IF(OR(Q1052="",Q1052="待结算"),"",IF(Q1052="红",R1052,IF(Q1052="半红",R1052*0.5,IF(Q1052="走",0,IF(Q1052="半黑",-0.5,-1)))))</x:f>
        <x:v>0.8</x:v>
      </x:c>
      <x:c r="T1052" s="604" t="inlineStr">
        <x:is>
          <x:t xml:space="preserve">https://m.titan007.com/analy/Analysis/3099071.htm</x:t>
        </x:is>
      </x:c>
      <x:c r="U1052" s="646" t="str">
        <x:f>IF(Q1052="","",IF(Q1052="待结算","待结算",IF(Q1052="红","黑",IF(Q1052="半红","半黑",IF(Q1052="走","走",IF(Q1052="半黑","半红","红"))))))</x:f>
        <x:v>黑</x:v>
      </x:c>
      <x:c r="V1052" s="604" t="n">
        <x:f>IF(OR(Q1052="",Q1052="待结算"),"",IF(L1052=LEFT(F1052,FIND(" vs ",F1052)-1),I1052,G1052))</x:f>
        <x:v>1</x:v>
      </x:c>
      <x:c r="W1052" s="604" t="n">
        <x:f>IF(OR(U1052="",U1052="待结算"),"",IF(U1052="红",V1052,IF(U1052="半红",V1052*0.5,IF(U1052="走",0,IF(U1052="半黑",-0.5,-1)))))</x:f>
        <x:v>-1</x:v>
      </x:c>
      <x:c r="X1052" s="604" t="inlineStr">
        <x:is>
          <x:t xml:space="preserve">3099071</x:t>
        </x:is>
      </x:c>
      <x:c r="Y1052" s="604" t="inlineStr">
        <x:is>
          <x:t xml:space="preserve">V4</x:t>
        </x:is>
      </x:c>
      <x:c r="Z1052" s="604" t="inlineStr">
        <x:is>
          <x:t xml:space="preserve">prior-2026-10-05-v1</x:t>
        </x:is>
      </x:c>
      <x:c r="AA1052" s="604" t="inlineStr">
        <x:is>
          <x:t xml:space="preserve">C</x:t>
        </x:is>
      </x:c>
      <x:c r="AB1052" s="604" t="n">
        <x:v>0.3379398886259913</x:v>
      </x:c>
      <x:c r="AC1052" s="604" t="n">
        <x:v>0.2532302336430555</x:v>
      </x:c>
      <x:c r="AD1052" s="604" t="n"/>
      <x:c r="AE1052" s="604" t="n"/>
      <x:c r="AF1052" s="604" t="n">
        <x:v>0.4088298777309532</x:v>
      </x:c>
      <x:c r="AG1052" s="604" t="n">
        <x:v>0.05572512771656585</x:v>
      </x:c>
      <x:c r="AH1052" s="604" t="n"/>
      <x:c r="AI1052" s="604" t="n"/>
      <x:c r="AJ1052" s="604" t="n">
        <x:v>0.05572512771656585</x:v>
      </x:c>
      <x:c r="AK1052" s="604" t="n"/>
      <x:c r="AL1052" s="604" t="n"/>
      <x:c r="AM1052" s="604" t="n"/>
      <x:c r="AN1052" s="604" t="inlineStr">
        <x:is>
          <x:t xml:space="preserve">EVALUATED</x:t>
        </x:is>
      </x:c>
      <x:c r="AO1052" s="604" t="inlineStr">
        <x:is>
          <x:t xml:space="preserve">EDGE_BELOW_UNCERTAINTY_THRESHOLD、BUCKET_PRIOR_ONLY、INTENT_INTERPRETATION_ONLY、FFL_OPTIONAL、EXPERT_MARKET</x:t>
        </x:is>
      </x:c>
      <x:c r="AP1052" s="604" t="inlineStr">
        <x:is>
          <x:t xml:space="preserve">9f503c5cbae94ba32d36</x:t>
        </x:is>
      </x:c>
      <x:c r="AQ1052" s="604" t="n">
        <x:v>0</x:v>
      </x:c>
      <x:c r="AR1052" s="604" t="n"/>
      <x:c r="AS1052" s="604" t="n">
        <x:v>0</x:v>
      </x:c>
      <x:c r="AT1052" s="604" t="n">
        <x:v>0</x:v>
      </x:c>
      <x:c r="AU1052" s="604" t="n">
        <x:v>1</x:v>
      </x:c>
      <x:c r="AV1052" s="604" t="n">
        <x:v>0.8</x:v>
      </x:c>
      <x:c r="AW1052" s="604" t="n">
        <x:v>46300.07479607639</x:v>
      </x:c>
      <x:c r="AX1052" s="604" t="inlineStr">
        <x:is>
          <x:t xml:space="preserve">https://simondongxiao.github.io/odds/v4/</x:t>
        </x:is>
      </x:c>
      <x:c r="AY1052" s="604" t="inlineStr">
        <x:is>
          <x:t xml:space="preserve">V4 Shadow Only；real_money=false；P(EV&gt;0)不是比赛胜率</x:t>
        </x:is>
      </x:c>
    </x:row>
    <x:row r="1053" ht="22" customHeight="1">
      <x:c r="A1053" s="604" t="inlineStr">
        <x:is>
          <x:t xml:space="preserve">2026-10-05</x:t>
        </x:is>
      </x:c>
      <x:c r="B1053" s="604" t="inlineStr">
        <x:is>
          <x:t xml:space="preserve">2026-10-06 01:00</x:t>
        </x:is>
      </x:c>
      <x:c r="C1053" s="604" t="str">
        <x:v>欧洲非五大系列</x:v>
      </x:c>
      <x:c r="D1053" s="604" t="inlineStr">
        <x:is>
          <x:t xml:space="preserve">联赛</x:t>
        </x:is>
      </x:c>
      <x:c r="E1053" s="604" t="inlineStr">
        <x:is>
          <x:t xml:space="preserve">塞内甲</x:t>
        </x:is>
      </x:c>
      <x:c r="F1053" s="604" t="inlineStr">
        <x:is>
          <x:t xml:space="preserve">特兰加体育俱乐部 vs 国贸</x:t>
        </x:is>
      </x:c>
      <x:c r="G1053" s="604" t="n">
        <x:v>0.98</x:v>
      </x:c>
      <x:c r="H1053" s="604" t="n">
        <x:v>-0.25</x:v>
      </x:c>
      <x:c r="I1053" s="604" t="n">
        <x:v>0.83</x:v>
      </x:c>
      <x:c r="J1053" s="604" t="inlineStr">
        <x:is>
          <x:t xml:space="preserve">0.98/-0.25/0.83</x:t>
        </x:is>
      </x:c>
      <x:c r="K1053" s="604" t="inlineStr">
        <x:is>
          <x:t xml:space="preserve">V4-B｜EV +0.3958</x:t>
        </x:is>
      </x:c>
      <x:c r="L1053" s="604" t="inlineStr">
        <x:is>
          <x:t xml:space="preserve">特兰加体育俱乐部</x:t>
        </x:is>
      </x:c>
      <x:c r="M1053" s="604" t="n">
        <x:v>0.7338040290389242</x:v>
      </x:c>
      <x:c r="N1053" s="604" t="inlineStr">
        <x:is>
          <x:t xml:space="preserve">V4纸面入选-B</x:t>
        </x:is>
      </x:c>
      <x:c r="O1053" s="604" t="inlineStr">
        <x:is>
          <x:t xml:space="preserve">0-0</x:t>
        </x:is>
      </x:c>
      <x:c r="P1053" s="604" t="inlineStr">
        <x:is>
          <x:t xml:space="preserve">已结算</x:t>
        </x:is>
      </x:c>
      <x:c r="Q1053" s="649" t="inlineStr">
        <x:is>
          <x:t xml:space="preserve">半红</x:t>
        </x:is>
      </x:c>
      <x:c r="R1053" s="604" t="n">
        <x:v>0.98</x:v>
      </x:c>
      <x:c r="S1053" s="604" t="n">
        <x:f>IF(OR(Q1053="",Q1053="待结算"),"",IF(Q1053="红",R1053,IF(Q1053="半红",R1053*0.5,IF(Q1053="走",0,IF(Q1053="半黑",-0.5,-1)))))</x:f>
        <x:v>0.49</x:v>
      </x:c>
      <x:c r="T1053" s="604" t="inlineStr">
        <x:is>
          <x:t xml:space="preserve">https://m.titan007.com/analy/Analysis/3099090.htm</x:t>
        </x:is>
      </x:c>
      <x:c r="U1053" s="648" t="str">
        <x:f>IF(Q1053="","",IF(Q1053="待结算","待结算",IF(Q1053="红","黑",IF(Q1053="半红","半黑",IF(Q1053="走","走",IF(Q1053="半黑","半红","红"))))))</x:f>
        <x:v>半黑</x:v>
      </x:c>
      <x:c r="V1053" s="604" t="n">
        <x:f>IF(OR(Q1053="",Q1053="待结算"),"",IF(L1053=LEFT(F1053,FIND(" vs ",F1053)-1),I1053,G1053))</x:f>
        <x:v>0.83</x:v>
      </x:c>
      <x:c r="W1053" s="604" t="n">
        <x:f>IF(OR(U1053="",U1053="待结算"),"",IF(U1053="红",V1053,IF(U1053="半红",V1053*0.5,IF(U1053="走",0,IF(U1053="半黑",-0.5,-1)))))</x:f>
        <x:v>-0.5</x:v>
      </x:c>
      <x:c r="X1053" s="604" t="inlineStr">
        <x:is>
          <x:t xml:space="preserve">3099090</x:t>
        </x:is>
      </x:c>
      <x:c r="Y1053" s="604" t="inlineStr">
        <x:is>
          <x:t xml:space="preserve">V4</x:t>
        </x:is>
      </x:c>
      <x:c r="Z1053" s="604" t="inlineStr">
        <x:is>
          <x:t xml:space="preserve">prior-2026-10-05-v1</x:t>
        </x:is>
      </x:c>
      <x:c r="AA1053" s="604" t="inlineStr">
        <x:is>
          <x:t xml:space="preserve">B</x:t>
        </x:is>
      </x:c>
      <x:c r="AB1053" s="604" t="n">
        <x:v>0.5150435477863627</x:v>
      </x:c>
      <x:c r="AC1053" s="604" t="n">
        <x:v>0.2523474136506926</x:v>
      </x:c>
      <x:c r="AD1053" s="604" t="n"/>
      <x:c r="AE1053" s="604" t="n"/>
      <x:c r="AF1053" s="604" t="n">
        <x:v>0.2326090385629447</x:v>
      </x:c>
      <x:c r="AG1053" s="604" t="n">
        <x:v>0.3957838709565301</x:v>
      </x:c>
      <x:c r="AH1053" s="604" t="n"/>
      <x:c r="AI1053" s="604" t="n"/>
      <x:c r="AJ1053" s="604" t="n">
        <x:v>0.3957838709565301</x:v>
      </x:c>
      <x:c r="AK1053" s="604" t="n"/>
      <x:c r="AL1053" s="604" t="n"/>
      <x:c r="AM1053" s="604" t="n"/>
      <x:c r="AN1053" s="604" t="inlineStr">
        <x:is>
          <x:t xml:space="preserve">EVALUATED</x:t>
        </x:is>
      </x:c>
      <x:c r="AO1053" s="604" t="inlineStr">
        <x:is>
          <x:t xml:space="preserve">RECEIVING_VALIDATED_EDGE、BUCKET_PRIOR_ONLY、INTENT_INTERPRETATION_ONLY、FFL_OPTIONAL、EXPERT_MARKET</x:t>
        </x:is>
      </x:c>
      <x:c r="AP1053" s="604" t="inlineStr">
        <x:is>
          <x:t xml:space="preserve">65d611e28cd9bac890dd</x:t>
        </x:is>
      </x:c>
      <x:c r="AQ1053" s="604" t="n">
        <x:v>0.25</x:v>
      </x:c>
      <x:c r="AR1053" s="604" t="n">
        <x:v>0.98</x:v>
      </x:c>
      <x:c r="AS1053" s="604" t="n">
        <x:v>-0.25</x:v>
      </x:c>
      <x:c r="AT1053" s="604" t="n">
        <x:v>0.25</x:v>
      </x:c>
      <x:c r="AU1053" s="604" t="n">
        <x:v>0.98</x:v>
      </x:c>
      <x:c r="AV1053" s="604" t="n">
        <x:v>0.83</x:v>
      </x:c>
      <x:c r="AW1053" s="604" t="n">
        <x:v>46300.07479607639</x:v>
      </x:c>
      <x:c r="AX1053" s="604" t="inlineStr">
        <x:is>
          <x:t xml:space="preserve">https://simondongxiao.github.io/odds/v4/</x:t>
        </x:is>
      </x:c>
      <x:c r="AY1053" s="604" t="inlineStr">
        <x:is>
          <x:t xml:space="preserve">V4 Shadow Only；real_money=false；P(EV&gt;0)不是比赛胜率</x:t>
        </x:is>
      </x:c>
    </x:row>
    <x:row r="1054" ht="22" customHeight="1">
      <x:c r="A1054" s="604" t="inlineStr">
        <x:is>
          <x:t xml:space="preserve">2026-10-05</x:t>
        </x:is>
      </x:c>
      <x:c r="B1054" s="604" t="inlineStr">
        <x:is>
          <x:t xml:space="preserve">2026-10-06 02:00</x:t>
        </x:is>
      </x:c>
      <x:c r="C1054" s="604" t="str">
        <x:v>南美系列</x:v>
      </x:c>
      <x:c r="D1054" s="604" t="inlineStr">
        <x:is>
          <x:t xml:space="preserve">联赛</x:t>
        </x:is>
      </x:c>
      <x:c r="E1054" s="604" t="inlineStr">
        <x:is>
          <x:t xml:space="preserve">阿乙曼特秋</x:t>
        </x:is>
      </x:c>
      <x:c r="F1054" s="604" t="inlineStr">
        <x:is>
          <x:t xml:space="preserve">乌尔基萨大学 vs 意杜萨高</x:t>
        </x:is>
      </x:c>
      <x:c r="G1054" s="604" t="n">
        <x:v>0.85</x:v>
      </x:c>
      <x:c r="H1054" s="604" t="n">
        <x:v>0.75</x:v>
      </x:c>
      <x:c r="I1054" s="604" t="n">
        <x:v>0.85</x:v>
      </x:c>
      <x:c r="J1054" s="604" t="inlineStr">
        <x:is>
          <x:t xml:space="preserve">0.85/0.75/0.85</x:t>
        </x:is>
      </x:c>
      <x:c r="K1054" s="604" t="inlineStr">
        <x:is>
          <x:t xml:space="preserve">V4-B｜EV +0.1865</x:t>
        </x:is>
      </x:c>
      <x:c r="L1054" s="604" t="inlineStr">
        <x:is>
          <x:t xml:space="preserve">乌尔基萨大学</x:t>
        </x:is>
      </x:c>
      <x:c r="M1054" s="604" t="n">
        <x:v>0.6562862012748942</x:v>
      </x:c>
      <x:c r="N1054" s="604" t="inlineStr">
        <x:is>
          <x:t xml:space="preserve">V4纸面入选-B</x:t>
        </x:is>
      </x:c>
      <x:c r="O1054" s="604" t="inlineStr">
        <x:is>
          <x:t xml:space="preserve">3-2</x:t>
        </x:is>
      </x:c>
      <x:c r="P1054" s="604" t="inlineStr">
        <x:is>
          <x:t xml:space="preserve">已结算</x:t>
        </x:is>
      </x:c>
      <x:c r="Q1054" s="649" t="inlineStr">
        <x:is>
          <x:t xml:space="preserve">半红</x:t>
        </x:is>
      </x:c>
      <x:c r="R1054" s="604" t="n">
        <x:v>0.85</x:v>
      </x:c>
      <x:c r="S1054" s="604" t="n">
        <x:f>IF(OR(Q1054="",Q1054="待结算"),"",IF(Q1054="红",R1054,IF(Q1054="半红",R1054*0.5,IF(Q1054="走",0,IF(Q1054="半黑",-0.5,-1)))))</x:f>
        <x:v>0.425</x:v>
      </x:c>
      <x:c r="T1054" s="604" t="inlineStr">
        <x:is>
          <x:t xml:space="preserve">https://m.titan007.com/analy/Analysis/2934835.htm</x:t>
        </x:is>
      </x:c>
      <x:c r="U1054" s="648" t="str">
        <x:f>IF(Q1054="","",IF(Q1054="待结算","待结算",IF(Q1054="红","黑",IF(Q1054="半红","半黑",IF(Q1054="走","走",IF(Q1054="半黑","半红","红"))))))</x:f>
        <x:v>半黑</x:v>
      </x:c>
      <x:c r="V1054" s="604" t="n">
        <x:f>IF(OR(Q1054="",Q1054="待结算"),"",IF(L1054=LEFT(F1054,FIND(" vs ",F1054)-1),I1054,G1054))</x:f>
        <x:v>0.85</x:v>
      </x:c>
      <x:c r="W1054" s="604" t="n">
        <x:f>IF(OR(U1054="",U1054="待结算"),"",IF(U1054="红",V1054,IF(U1054="半红",V1054*0.5,IF(U1054="走",0,IF(U1054="半黑",-0.5,-1)))))</x:f>
        <x:v>-0.5</x:v>
      </x:c>
      <x:c r="X1054" s="604" t="inlineStr">
        <x:is>
          <x:t xml:space="preserve">2934835</x:t>
        </x:is>
      </x:c>
      <x:c r="Y1054" s="604" t="inlineStr">
        <x:is>
          <x:t xml:space="preserve">V4</x:t>
        </x:is>
      </x:c>
      <x:c r="Z1054" s="604" t="inlineStr">
        <x:is>
          <x:t xml:space="preserve">prior-2026-10-05-v1</x:t>
        </x:is>
      </x:c>
      <x:c r="AA1054" s="604" t="inlineStr">
        <x:is>
          <x:t xml:space="preserve">B</x:t>
        </x:is>
      </x:c>
      <x:c r="AB1054" s="604" t="n">
        <x:v>0.4428588791300093</x:v>
      </x:c>
      <x:c r="AC1054" s="604" t="n">
        <x:v>0.257717925779498</x:v>
      </x:c>
      <x:c r="AD1054" s="604" t="n"/>
      <x:c r="AE1054" s="604" t="n"/>
      <x:c r="AF1054" s="604" t="n">
        <x:v>0.2994231950904928</x:v>
      </x:c>
      <x:c r="AG1054" s="604" t="n">
        <x:v>0.1865369706263018</x:v>
      </x:c>
      <x:c r="AH1054" s="604" t="n"/>
      <x:c r="AI1054" s="604" t="n"/>
      <x:c r="AJ1054" s="604" t="n">
        <x:v>0.1865369706263018</x:v>
      </x:c>
      <x:c r="AK1054" s="604" t="n"/>
      <x:c r="AL1054" s="604" t="n"/>
      <x:c r="AM1054" s="604" t="n"/>
      <x:c r="AN1054" s="604" t="inlineStr">
        <x:is>
          <x:t xml:space="preserve">EVALUATED</x:t>
        </x:is>
      </x:c>
      <x:c r="AO1054" s="604" t="inlineStr">
        <x:is>
          <x:t xml:space="preserve">GIVING_VALIDATED_EDGE、BUCKET_PRIOR_ONLY、INTENT_INTERPRETATION_ONLY、FFL_OPTIONAL、EXPERT_MARKET</x:t>
        </x:is>
      </x:c>
      <x:c r="AP1054" s="604" t="inlineStr">
        <x:is>
          <x:t xml:space="preserve">bd62026a2bbc30df65ed</x:t>
        </x:is>
      </x:c>
      <x:c r="AQ1054" s="604" t="n">
        <x:v>-0.75</x:v>
      </x:c>
      <x:c r="AR1054" s="604" t="n">
        <x:v>0.85</x:v>
      </x:c>
      <x:c r="AS1054" s="604" t="n">
        <x:v>0.75</x:v>
      </x:c>
      <x:c r="AT1054" s="604" t="n">
        <x:v>-0.75</x:v>
      </x:c>
      <x:c r="AU1054" s="604" t="n">
        <x:v>0.85</x:v>
      </x:c>
      <x:c r="AV1054" s="604" t="n">
        <x:v>0.85</x:v>
      </x:c>
      <x:c r="AW1054" s="604" t="n">
        <x:v>46300.07479607639</x:v>
      </x:c>
      <x:c r="AX1054" s="604" t="inlineStr">
        <x:is>
          <x:t xml:space="preserve">https://simondongxiao.github.io/odds/v4/</x:t>
        </x:is>
      </x:c>
      <x:c r="AY1054" s="604" t="inlineStr">
        <x:is>
          <x:t xml:space="preserve">V4 Shadow Only；real_money=false；P(EV&gt;0)不是比赛胜率</x:t>
        </x:is>
      </x:c>
    </x:row>
    <x:row r="1055" ht="22" customHeight="1">
      <x:c r="A1055" s="604" t="inlineStr">
        <x:is>
          <x:t xml:space="preserve">2026-10-05</x:t>
        </x:is>
      </x:c>
      <x:c r="B1055" s="604" t="inlineStr">
        <x:is>
          <x:t xml:space="preserve">2026-10-06 02:00</x:t>
        </x:is>
      </x:c>
      <x:c r="C1055" s="604" t="str">
        <x:v>南美系列</x:v>
      </x:c>
      <x:c r="D1055" s="604" t="inlineStr">
        <x:is>
          <x:t xml:space="preserve">联赛</x:t>
        </x:is>
      </x:c>
      <x:c r="E1055" s="604" t="inlineStr">
        <x:is>
          <x:t xml:space="preserve">阿丙曼特</x:t>
        </x:is>
      </x:c>
      <x:c r="F1055" s="604" t="inlineStr">
        <x:is>
          <x:t xml:space="preserve">鲁祖尼 vs 拉马德里</x:t>
        </x:is>
      </x:c>
      <x:c r="G1055" s="604" t="n">
        <x:v>0.9</x:v>
      </x:c>
      <x:c r="H1055" s="604" t="n">
        <x:v>0.75</x:v>
      </x:c>
      <x:c r="I1055" s="604" t="n">
        <x:v>0.9</x:v>
      </x:c>
      <x:c r="J1055" s="604" t="inlineStr">
        <x:is>
          <x:t xml:space="preserve">0.9/0.75/0.9</x:t>
        </x:is>
      </x:c>
      <x:c r="K1055" s="604" t="inlineStr">
        <x:is>
          <x:t xml:space="preserve">V4-B｜EV +0.1918</x:t>
        </x:is>
      </x:c>
      <x:c r="L1055" s="604" t="inlineStr">
        <x:is>
          <x:t xml:space="preserve">鲁祖尼</x:t>
        </x:is>
      </x:c>
      <x:c r="M1055" s="604" t="n">
        <x:v>0.6422287704894099</x:v>
      </x:c>
      <x:c r="N1055" s="604" t="inlineStr">
        <x:is>
          <x:t xml:space="preserve">V4纸面入选-B</x:t>
        </x:is>
      </x:c>
      <x:c r="O1055" s="604" t="inlineStr">
        <x:is>
          <x:t xml:space="preserve">1-0</x:t>
        </x:is>
      </x:c>
      <x:c r="P1055" s="604" t="inlineStr">
        <x:is>
          <x:t xml:space="preserve">已结算</x:t>
        </x:is>
      </x:c>
      <x:c r="Q1055" s="649" t="inlineStr">
        <x:is>
          <x:t xml:space="preserve">半红</x:t>
        </x:is>
      </x:c>
      <x:c r="R1055" s="604" t="n">
        <x:v>0.9</x:v>
      </x:c>
      <x:c r="S1055" s="604" t="n">
        <x:f>IF(OR(Q1055="",Q1055="待结算"),"",IF(Q1055="红",R1055,IF(Q1055="半红",R1055*0.5,IF(Q1055="走",0,IF(Q1055="半黑",-0.5,-1)))))</x:f>
        <x:v>0.45</x:v>
      </x:c>
      <x:c r="T1055" s="604" t="inlineStr">
        <x:is>
          <x:t xml:space="preserve">https://m.titan007.com/analy/Analysis/2935306.htm</x:t>
        </x:is>
      </x:c>
      <x:c r="U1055" s="648" t="str">
        <x:f>IF(Q1055="","",IF(Q1055="待结算","待结算",IF(Q1055="红","黑",IF(Q1055="半红","半黑",IF(Q1055="走","走",IF(Q1055="半黑","半红","红"))))))</x:f>
        <x:v>半黑</x:v>
      </x:c>
      <x:c r="V1055" s="604" t="n">
        <x:f>IF(OR(Q1055="",Q1055="待结算"),"",IF(L1055=LEFT(F1055,FIND(" vs ",F1055)-1),I1055,G1055))</x:f>
        <x:v>0.9</x:v>
      </x:c>
      <x:c r="W1055" s="604" t="n">
        <x:f>IF(OR(U1055="",U1055="待结算"),"",IF(U1055="红",V1055,IF(U1055="半红",V1055*0.5,IF(U1055="走",0,IF(U1055="半黑",-0.5,-1)))))</x:f>
        <x:v>-0.5</x:v>
      </x:c>
      <x:c r="X1055" s="604" t="inlineStr">
        <x:is>
          <x:t xml:space="preserve">2935306</x:t>
        </x:is>
      </x:c>
      <x:c r="Y1055" s="604" t="inlineStr">
        <x:is>
          <x:t xml:space="preserve">V4</x:t>
        </x:is>
      </x:c>
      <x:c r="Z1055" s="604" t="inlineStr">
        <x:is>
          <x:t xml:space="preserve">prior-2026-10-05-v1</x:t>
        </x:is>
      </x:c>
      <x:c r="AA1055" s="604" t="inlineStr">
        <x:is>
          <x:t xml:space="preserve">B</x:t>
        </x:is>
      </x:c>
      <x:c r="AB1055" s="604" t="n">
        <x:v>0.4298525898049946</x:v>
      </x:c>
      <x:c r="AC1055" s="604" t="n">
        <x:v>0.2586438436602518</x:v>
      </x:c>
      <x:c r="AD1055" s="604" t="n"/>
      <x:c r="AE1055" s="604" t="n"/>
      <x:c r="AF1055" s="604" t="n">
        <x:v>0.3115035665347535</x:v>
      </x:c>
      <x:c r="AG1055" s="604" t="n">
        <x:v>0.191753493936855</x:v>
      </x:c>
      <x:c r="AH1055" s="604" t="n"/>
      <x:c r="AI1055" s="604" t="n"/>
      <x:c r="AJ1055" s="604" t="n">
        <x:v>0.191753493936855</x:v>
      </x:c>
      <x:c r="AK1055" s="604" t="n"/>
      <x:c r="AL1055" s="604" t="n"/>
      <x:c r="AM1055" s="604" t="n"/>
      <x:c r="AN1055" s="604" t="inlineStr">
        <x:is>
          <x:t xml:space="preserve">EVALUATED</x:t>
        </x:is>
      </x:c>
      <x:c r="AO1055" s="604" t="inlineStr">
        <x:is>
          <x:t xml:space="preserve">GIVING_VALIDATED_EDGE、BUCKET_PRIOR_ONLY、INTENT_INTERPRETATION_ONLY、FFL_OPTIONAL、EXPERT_MARKET</x:t>
        </x:is>
      </x:c>
      <x:c r="AP1055" s="604" t="inlineStr">
        <x:is>
          <x:t xml:space="preserve">86387467a9af6ef06f84</x:t>
        </x:is>
      </x:c>
      <x:c r="AQ1055" s="604" t="n">
        <x:v>-0.75</x:v>
      </x:c>
      <x:c r="AR1055" s="604" t="n">
        <x:v>0.9</x:v>
      </x:c>
      <x:c r="AS1055" s="604" t="n">
        <x:v>0.75</x:v>
      </x:c>
      <x:c r="AT1055" s="604" t="n">
        <x:v>-0.75</x:v>
      </x:c>
      <x:c r="AU1055" s="604" t="n">
        <x:v>0.9</x:v>
      </x:c>
      <x:c r="AV1055" s="604" t="n">
        <x:v>0.9</x:v>
      </x:c>
      <x:c r="AW1055" s="604" t="n">
        <x:v>46300.07479607639</x:v>
      </x:c>
      <x:c r="AX1055" s="604" t="inlineStr">
        <x:is>
          <x:t xml:space="preserve">https://simondongxiao.github.io/odds/v4/</x:t>
        </x:is>
      </x:c>
      <x:c r="AY1055" s="604" t="inlineStr">
        <x:is>
          <x:t xml:space="preserve">V4 Shadow Only；real_money=false；P(EV&gt;0)不是比赛胜率</x:t>
        </x:is>
      </x:c>
    </x:row>
    <x:row r="1056" ht="22" customHeight="1">
      <x:c r="A1056" s="604" t="inlineStr">
        <x:is>
          <x:t xml:space="preserve">2026-10-05</x:t>
        </x:is>
      </x:c>
      <x:c r="B1056" s="604" t="inlineStr">
        <x:is>
          <x:t xml:space="preserve">2026-10-06 02:00</x:t>
        </x:is>
      </x:c>
      <x:c r="C1056" s="604" t="str">
        <x:v>其他系列</x:v>
      </x:c>
      <x:c r="D1056" s="604" t="inlineStr">
        <x:is>
          <x:t xml:space="preserve">联赛</x:t>
        </x:is>
      </x:c>
      <x:c r="E1056" s="604" t="inlineStr">
        <x:is>
          <x:t xml:space="preserve">里约乙</x:t>
        </x:is>
      </x:c>
      <x:c r="F1056" s="604" t="inlineStr">
        <x:is>
          <x:t xml:space="preserve">巴拉曼萨 vs 卡多佐莫雷拉RJ</x:t>
        </x:is>
      </x:c>
      <x:c r="G1056" s="604" t="n">
        <x:v>0.93</x:v>
      </x:c>
      <x:c r="H1056" s="604" t="n">
        <x:v>-0.5</x:v>
      </x:c>
      <x:c r="I1056" s="604" t="n">
        <x:v>0.88</x:v>
      </x:c>
      <x:c r="J1056" s="604" t="inlineStr">
        <x:is>
          <x:t xml:space="preserve">0.93/-0.5/0.88</x:t>
        </x:is>
      </x:c>
      <x:c r="K1056" s="604" t="inlineStr">
        <x:is>
          <x:t xml:space="preserve">V4-B｜EV +0.5455</x:t>
        </x:is>
      </x:c>
      <x:c r="L1056" s="604" t="inlineStr">
        <x:is>
          <x:t xml:space="preserve">巴拉曼萨</x:t>
        </x:is>
      </x:c>
      <x:c r="M1056" s="604" t="n">
        <x:v>0.8007625736782453</x:v>
      </x:c>
      <x:c r="N1056" s="604" t="inlineStr">
        <x:is>
          <x:t xml:space="preserve">V4纸面入选-B</x:t>
        </x:is>
      </x:c>
      <x:c r="O1056" s="604" t="inlineStr">
        <x:is>
          <x:t xml:space="preserve">0-0</x:t>
        </x:is>
      </x:c>
      <x:c r="P1056" s="604" t="inlineStr">
        <x:is>
          <x:t xml:space="preserve">已结算</x:t>
        </x:is>
      </x:c>
      <x:c r="Q1056" s="645" t="inlineStr">
        <x:is>
          <x:t xml:space="preserve">红</x:t>
        </x:is>
      </x:c>
      <x:c r="R1056" s="604" t="n">
        <x:v>0.93</x:v>
      </x:c>
      <x:c r="S1056" s="604" t="n">
        <x:f>IF(OR(Q1056="",Q1056="待结算"),"",IF(Q1056="红",R1056,IF(Q1056="半红",R1056*0.5,IF(Q1056="走",0,IF(Q1056="半黑",-0.5,-1)))))</x:f>
        <x:v>0.93</x:v>
      </x:c>
      <x:c r="T1056" s="604" t="inlineStr">
        <x:is>
          <x:t xml:space="preserve">https://m.titan007.com/analy/Analysis/3097272.htm</x:t>
        </x:is>
      </x:c>
      <x:c r="U1056" s="646" t="str">
        <x:f>IF(Q1056="","",IF(Q1056="待结算","待结算",IF(Q1056="红","黑",IF(Q1056="半红","半黑",IF(Q1056="走","走",IF(Q1056="半黑","半红","红"))))))</x:f>
        <x:v>黑</x:v>
      </x:c>
      <x:c r="V1056" s="604" t="n">
        <x:f>IF(OR(Q1056="",Q1056="待结算"),"",IF(L1056=LEFT(F1056,FIND(" vs ",F1056)-1),I1056,G1056))</x:f>
        <x:v>0.88</x:v>
      </x:c>
      <x:c r="W1056" s="604" t="n">
        <x:f>IF(OR(U1056="",U1056="待结算"),"",IF(U1056="红",V1056,IF(U1056="半红",V1056*0.5,IF(U1056="走",0,IF(U1056="半黑",-0.5,-1)))))</x:f>
        <x:v>-1</x:v>
      </x:c>
      <x:c r="X1056" s="604" t="inlineStr">
        <x:is>
          <x:t xml:space="preserve">3097272</x:t>
        </x:is>
      </x:c>
      <x:c r="Y1056" s="604" t="inlineStr">
        <x:is>
          <x:t xml:space="preserve">V4</x:t>
        </x:is>
      </x:c>
      <x:c r="Z1056" s="604" t="inlineStr">
        <x:is>
          <x:t xml:space="preserve">prior-2026-10-05-v1</x:t>
        </x:is>
      </x:c>
      <x:c r="AA1056" s="604" t="inlineStr">
        <x:is>
          <x:t xml:space="preserve">B</x:t>
        </x:is>
      </x:c>
      <x:c r="AB1056" s="604" t="n">
        <x:v>0.8007625736782453</x:v>
      </x:c>
      <x:c r="AC1056" s="604" t="n"/>
      <x:c r="AD1056" s="604" t="n"/>
      <x:c r="AE1056" s="604" t="n"/>
      <x:c r="AF1056" s="604" t="n">
        <x:v>0.1992374263217546</x:v>
      </x:c>
      <x:c r="AG1056" s="604" t="n">
        <x:v>0.5454717671990135</x:v>
      </x:c>
      <x:c r="AH1056" s="604" t="n"/>
      <x:c r="AI1056" s="604" t="n"/>
      <x:c r="AJ1056" s="604" t="n">
        <x:v>0.5454717671990135</x:v>
      </x:c>
      <x:c r="AK1056" s="604" t="n"/>
      <x:c r="AL1056" s="604" t="n"/>
      <x:c r="AM1056" s="604" t="n"/>
      <x:c r="AN1056" s="604" t="inlineStr">
        <x:is>
          <x:t xml:space="preserve">EVALUATED</x:t>
        </x:is>
      </x:c>
      <x:c r="AO1056" s="604" t="inlineStr">
        <x:is>
          <x:t xml:space="preserve">RECEIVING_VALIDATED_EDGE、BUCKET_PRIOR_ONLY、INTENT_INTERPRETATION_ONLY、FFL_OPTIONAL、EXPERT_MARKET</x:t>
        </x:is>
      </x:c>
      <x:c r="AP1056" s="604" t="inlineStr">
        <x:is>
          <x:t xml:space="preserve">899094cd280e684ef70f</x:t>
        </x:is>
      </x:c>
      <x:c r="AQ1056" s="604" t="n">
        <x:v>0.5</x:v>
      </x:c>
      <x:c r="AR1056" s="604" t="n">
        <x:v>0.93</x:v>
      </x:c>
      <x:c r="AS1056" s="604" t="n">
        <x:v>-0.5</x:v>
      </x:c>
      <x:c r="AT1056" s="604" t="n">
        <x:v>0.5</x:v>
      </x:c>
      <x:c r="AU1056" s="604" t="n">
        <x:v>0.93</x:v>
      </x:c>
      <x:c r="AV1056" s="604" t="n">
        <x:v>0.88</x:v>
      </x:c>
      <x:c r="AW1056" s="604" t="n">
        <x:v>46300.07479607639</x:v>
      </x:c>
      <x:c r="AX1056" s="604" t="inlineStr">
        <x:is>
          <x:t xml:space="preserve">https://simondongxiao.github.io/odds/v4/</x:t>
        </x:is>
      </x:c>
      <x:c r="AY1056" s="604" t="inlineStr">
        <x:is>
          <x:t xml:space="preserve">V4 Shadow Only；real_money=false；P(EV&gt;0)不是比赛胜率</x:t>
        </x:is>
      </x:c>
    </x:row>
    <x:row r="1057" ht="22" customHeight="1">
      <x:c r="A1057" s="604" t="inlineStr">
        <x:is>
          <x:t xml:space="preserve">2026-10-05</x:t>
        </x:is>
      </x:c>
      <x:c r="B1057" s="604" t="inlineStr">
        <x:is>
          <x:t xml:space="preserve">2026-10-06 02:00</x:t>
        </x:is>
      </x:c>
      <x:c r="C1057" s="604" t="str">
        <x:v>其他系列</x:v>
      </x:c>
      <x:c r="D1057" s="604" t="inlineStr">
        <x:is>
          <x:t xml:space="preserve">联赛</x:t>
        </x:is>
      </x:c>
      <x:c r="E1057" s="604" t="inlineStr">
        <x:is>
          <x:t xml:space="preserve">里约乙</x:t>
        </x:is>
      </x:c>
      <x:c r="F1057" s="604" t="inlineStr">
        <x:is>
          <x:t xml:space="preserve">坎波斯AA vs 布奥斯</x:t>
        </x:is>
      </x:c>
      <x:c r="G1057" s="604" t="n">
        <x:v>1</x:v>
      </x:c>
      <x:c r="H1057" s="604" t="n">
        <x:v>0.75</x:v>
      </x:c>
      <x:c r="I1057" s="604" t="n">
        <x:v>0.8</x:v>
      </x:c>
      <x:c r="J1057" s="604" t="inlineStr">
        <x:is>
          <x:t xml:space="preserve">1/0.75/0.8</x:t>
        </x:is>
      </x:c>
      <x:c r="K1057" s="604" t="inlineStr">
        <x:is>
          <x:t xml:space="preserve">V4-C｜EV +0.0661</x:t>
        </x:is>
      </x:c>
      <x:c r="L1057" s="604" t="inlineStr">
        <x:is>
          <x:t xml:space="preserve">坎波斯AA</x:t>
        </x:is>
      </x:c>
      <x:c r="M1057" s="604" t="n">
        <x:v>0.5378345344272862</x:v>
      </x:c>
      <x:c r="N1057" s="604" t="inlineStr">
        <x:is>
          <x:t xml:space="preserve">V4纸面入选-C</x:t>
        </x:is>
      </x:c>
      <x:c r="O1057" s="604" t="inlineStr">
        <x:is>
          <x:t xml:space="preserve">3-1</x:t>
        </x:is>
      </x:c>
      <x:c r="P1057" s="604" t="inlineStr">
        <x:is>
          <x:t xml:space="preserve">已结算</x:t>
        </x:is>
      </x:c>
      <x:c r="Q1057" s="645" t="inlineStr">
        <x:is>
          <x:t xml:space="preserve">红</x:t>
        </x:is>
      </x:c>
      <x:c r="R1057" s="604" t="n">
        <x:v>1</x:v>
      </x:c>
      <x:c r="S1057" s="604" t="n">
        <x:f>IF(OR(Q1057="",Q1057="待结算"),"",IF(Q1057="红",R1057,IF(Q1057="半红",R1057*0.5,IF(Q1057="走",0,IF(Q1057="半黑",-0.5,-1)))))</x:f>
        <x:v>1</x:v>
      </x:c>
      <x:c r="T1057" s="604" t="inlineStr">
        <x:is>
          <x:t xml:space="preserve">https://m.titan007.com/analy/Analysis/3097273.htm</x:t>
        </x:is>
      </x:c>
      <x:c r="U1057" s="646" t="str">
        <x:f>IF(Q1057="","",IF(Q1057="待结算","待结算",IF(Q1057="红","黑",IF(Q1057="半红","半黑",IF(Q1057="走","走",IF(Q1057="半黑","半红","红"))))))</x:f>
        <x:v>黑</x:v>
      </x:c>
      <x:c r="V1057" s="604" t="n">
        <x:f>IF(OR(Q1057="",Q1057="待结算"),"",IF(L1057=LEFT(F1057,FIND(" vs ",F1057)-1),I1057,G1057))</x:f>
        <x:v>0.8</x:v>
      </x:c>
      <x:c r="W1057" s="604" t="n">
        <x:f>IF(OR(U1057="",U1057="待结算"),"",IF(U1057="红",V1057,IF(U1057="半红",V1057*0.5,IF(U1057="走",0,IF(U1057="半黑",-0.5,-1)))))</x:f>
        <x:v>-1</x:v>
      </x:c>
      <x:c r="X1057" s="604" t="inlineStr">
        <x:is>
          <x:t xml:space="preserve">3097273</x:t>
        </x:is>
      </x:c>
      <x:c r="Y1057" s="604" t="inlineStr">
        <x:is>
          <x:t xml:space="preserve">V4</x:t>
        </x:is>
      </x:c>
      <x:c r="Z1057" s="604" t="inlineStr">
        <x:is>
          <x:t xml:space="preserve">prior-2026-10-05-v1</x:t>
        </x:is>
      </x:c>
      <x:c r="AA1057" s="604" t="inlineStr">
        <x:is>
          <x:t xml:space="preserve">C</x:t>
        </x:is>
      </x:c>
      <x:c r="AB1057" s="604" t="n">
        <x:v>0.3429540534569311</x:v>
      </x:c>
      <x:c r="AC1057" s="604" t="n">
        <x:v>0.2534479186253047</x:v>
      </x:c>
      <x:c r="AD1057" s="604" t="n"/>
      <x:c r="AE1057" s="604" t="n"/>
      <x:c r="AF1057" s="604" t="n">
        <x:v>0.4035980279177641</x:v>
      </x:c>
      <x:c r="AG1057" s="604" t="n">
        <x:v>0.06607998485181937</x:v>
      </x:c>
      <x:c r="AH1057" s="604" t="n"/>
      <x:c r="AI1057" s="604" t="n"/>
      <x:c r="AJ1057" s="604" t="n">
        <x:v>0.06607998485181937</x:v>
      </x:c>
      <x:c r="AK1057" s="604" t="n"/>
      <x:c r="AL1057" s="604" t="n"/>
      <x:c r="AM1057" s="604" t="n"/>
      <x:c r="AN1057" s="604" t="inlineStr">
        <x:is>
          <x:t xml:space="preserve">EVALUATED</x:t>
        </x:is>
      </x:c>
      <x:c r="AO1057" s="604" t="inlineStr">
        <x:is>
          <x:t xml:space="preserve">GIVING_VALIDATED_EDGE、BUCKET_PRIOR_ONLY、INTENT_INTERPRETATION_ONLY、FFL_OPTIONAL、EXPERT_MARKET</x:t>
        </x:is>
      </x:c>
      <x:c r="AP1057" s="604" t="inlineStr">
        <x:is>
          <x:t xml:space="preserve">e9372ba9924834ec0f4a</x:t>
        </x:is>
      </x:c>
      <x:c r="AQ1057" s="604" t="n">
        <x:v>-0.75</x:v>
      </x:c>
      <x:c r="AR1057" s="604" t="n">
        <x:v>1</x:v>
      </x:c>
      <x:c r="AS1057" s="604" t="n">
        <x:v>0.75</x:v>
      </x:c>
      <x:c r="AT1057" s="604" t="n">
        <x:v>-0.75</x:v>
      </x:c>
      <x:c r="AU1057" s="604" t="n">
        <x:v>1</x:v>
      </x:c>
      <x:c r="AV1057" s="604" t="n">
        <x:v>0.8</x:v>
      </x:c>
      <x:c r="AW1057" s="604" t="n">
        <x:v>46300.07479607639</x:v>
      </x:c>
      <x:c r="AX1057" s="604" t="inlineStr">
        <x:is>
          <x:t xml:space="preserve">https://simondongxiao.github.io/odds/v4/</x:t>
        </x:is>
      </x:c>
      <x:c r="AY1057" s="604" t="inlineStr">
        <x:is>
          <x:t xml:space="preserve">V4 Shadow Only；real_money=false；P(EV&gt;0)不是比赛胜率</x:t>
        </x:is>
      </x:c>
    </x:row>
    <x:row r="1058" ht="22" customHeight="1">
      <x:c r="A1058" s="604" t="inlineStr">
        <x:is>
          <x:t xml:space="preserve">2026-10-05</x:t>
        </x:is>
      </x:c>
      <x:c r="B1058" s="604" t="inlineStr">
        <x:is>
          <x:t xml:space="preserve">2026-10-06 02:00</x:t>
        </x:is>
      </x:c>
      <x:c r="C1058" s="604" t="str">
        <x:v>其他系列</x:v>
      </x:c>
      <x:c r="D1058" s="604" t="inlineStr">
        <x:is>
          <x:t xml:space="preserve">联赛</x:t>
        </x:is>
      </x:c>
      <x:c r="E1058" s="604" t="inlineStr">
        <x:is>
          <x:t xml:space="preserve">里约乙</x:t>
        </x:is>
      </x:c>
      <x:c r="F1058" s="604" t="inlineStr">
        <x:is>
          <x:t xml:space="preserve">帕拉蒂RJ vs 里约热内卢</x:t>
        </x:is>
      </x:c>
      <x:c r="G1058" s="604" t="n">
        <x:v>1</x:v>
      </x:c>
      <x:c r="H1058" s="604" t="n">
        <x:v>-0.25</x:v>
      </x:c>
      <x:c r="I1058" s="604" t="n">
        <x:v>0.8</x:v>
      </x:c>
      <x:c r="J1058" s="604" t="inlineStr">
        <x:is>
          <x:t xml:space="preserve">1/-0.25/0.8</x:t>
        </x:is>
      </x:c>
      <x:c r="K1058" s="604" t="inlineStr">
        <x:is>
          <x:t xml:space="preserve">V4-B｜EV +0.3625</x:t>
        </x:is>
      </x:c>
      <x:c r="L1058" s="604" t="inlineStr">
        <x:is>
          <x:t xml:space="preserve">帕拉蒂RJ</x:t>
        </x:is>
      </x:c>
      <x:c r="M1058" s="604" t="n">
        <x:v>0.7074644605513688</x:v>
      </x:c>
      <x:c r="N1058" s="604" t="inlineStr">
        <x:is>
          <x:t xml:space="preserve">V4纸面入选-B</x:t>
        </x:is>
      </x:c>
      <x:c r="O1058" s="604" t="inlineStr">
        <x:is>
          <x:t xml:space="preserve">0-4</x:t>
        </x:is>
      </x:c>
      <x:c r="P1058" s="604" t="inlineStr">
        <x:is>
          <x:t xml:space="preserve">已结算</x:t>
        </x:is>
      </x:c>
      <x:c r="Q1058" s="646" t="inlineStr">
        <x:is>
          <x:t xml:space="preserve">黑</x:t>
        </x:is>
      </x:c>
      <x:c r="R1058" s="604" t="n">
        <x:v>1</x:v>
      </x:c>
      <x:c r="S1058" s="604" t="n">
        <x:f>IF(OR(Q1058="",Q1058="待结算"),"",IF(Q1058="红",R1058,IF(Q1058="半红",R1058*0.5,IF(Q1058="走",0,IF(Q1058="半黑",-0.5,-1)))))</x:f>
        <x:v>-1</x:v>
      </x:c>
      <x:c r="T1058" s="604" t="inlineStr">
        <x:is>
          <x:t xml:space="preserve">https://m.titan007.com/analy/Analysis/3097275.htm</x:t>
        </x:is>
      </x:c>
      <x:c r="U1058" s="645" t="str">
        <x:f>IF(Q1058="","",IF(Q1058="待结算","待结算",IF(Q1058="红","黑",IF(Q1058="半红","半黑",IF(Q1058="走","走",IF(Q1058="半黑","半红","红"))))))</x:f>
        <x:v>红</x:v>
      </x:c>
      <x:c r="V1058" s="604" t="n">
        <x:f>IF(OR(Q1058="",Q1058="待结算"),"",IF(L1058=LEFT(F1058,FIND(" vs ",F1058)-1),I1058,G1058))</x:f>
        <x:v>0.8</x:v>
      </x:c>
      <x:c r="W1058" s="604" t="n">
        <x:f>IF(OR(U1058="",U1058="待结算"),"",IF(U1058="红",V1058,IF(U1058="半红",V1058*0.5,IF(U1058="走",0,IF(U1058="半黑",-0.5,-1)))))</x:f>
        <x:v>0.8</x:v>
      </x:c>
      <x:c r="X1058" s="604" t="inlineStr">
        <x:is>
          <x:t xml:space="preserve">3097275</x:t>
        </x:is>
      </x:c>
      <x:c r="Y1058" s="604" t="inlineStr">
        <x:is>
          <x:t xml:space="preserve">V4</x:t>
        </x:is>
      </x:c>
      <x:c r="Z1058" s="604" t="inlineStr">
        <x:is>
          <x:t xml:space="preserve">prior-2026-10-05-v1</x:t>
        </x:is>
      </x:c>
      <x:c r="AA1058" s="604" t="inlineStr">
        <x:is>
          <x:t xml:space="preserve">B</x:t>
        </x:is>
      </x:c>
      <x:c r="AB1058" s="604" t="n">
        <x:v>0.4916271985220977</x:v>
      </x:c>
      <x:c r="AC1058" s="604" t="n">
        <x:v>0.2528161106903199</x:v>
      </x:c>
      <x:c r="AD1058" s="604" t="n"/>
      <x:c r="AE1058" s="604" t="n"/>
      <x:c r="AF1058" s="604" t="n">
        <x:v>0.2555566907875825</x:v>
      </x:c>
      <x:c r="AG1058" s="604" t="n">
        <x:v>0.3624785630796752</x:v>
      </x:c>
      <x:c r="AH1058" s="604" t="n"/>
      <x:c r="AI1058" s="604" t="n"/>
      <x:c r="AJ1058" s="604" t="n">
        <x:v>0.3624785630796752</x:v>
      </x:c>
      <x:c r="AK1058" s="604" t="n"/>
      <x:c r="AL1058" s="604" t="n"/>
      <x:c r="AM1058" s="604" t="n"/>
      <x:c r="AN1058" s="604" t="inlineStr">
        <x:is>
          <x:t xml:space="preserve">EVALUATED</x:t>
        </x:is>
      </x:c>
      <x:c r="AO1058" s="604" t="inlineStr">
        <x:is>
          <x:t xml:space="preserve">RECEIVING_VALIDATED_EDGE、BUCKET_PRIOR_ONLY、INTENT_INTERPRETATION_ONLY、FFL_OPTIONAL、EXPERT_MARKET</x:t>
        </x:is>
      </x:c>
      <x:c r="AP1058" s="604" t="inlineStr">
        <x:is>
          <x:t xml:space="preserve">100678a626f5eeea4b94</x:t>
        </x:is>
      </x:c>
      <x:c r="AQ1058" s="604" t="n">
        <x:v>0.25</x:v>
      </x:c>
      <x:c r="AR1058" s="604" t="n">
        <x:v>1</x:v>
      </x:c>
      <x:c r="AS1058" s="604" t="n">
        <x:v>-0.25</x:v>
      </x:c>
      <x:c r="AT1058" s="604" t="n">
        <x:v>0.25</x:v>
      </x:c>
      <x:c r="AU1058" s="604" t="n">
        <x:v>1</x:v>
      </x:c>
      <x:c r="AV1058" s="604" t="n">
        <x:v>0.8</x:v>
      </x:c>
      <x:c r="AW1058" s="604" t="n">
        <x:v>46300.07479607639</x:v>
      </x:c>
      <x:c r="AX1058" s="604" t="inlineStr">
        <x:is>
          <x:t xml:space="preserve">https://simondongxiao.github.io/odds/v4/</x:t>
        </x:is>
      </x:c>
      <x:c r="AY1058" s="604" t="inlineStr">
        <x:is>
          <x:t xml:space="preserve">V4 Shadow Only；real_money=false；P(EV&gt;0)不是比赛胜率</x:t>
        </x:is>
      </x:c>
    </x:row>
    <x:row r="1059" ht="22" customHeight="1">
      <x:c r="A1059" s="604" t="inlineStr">
        <x:is>
          <x:t xml:space="preserve">2026-10-05</x:t>
        </x:is>
      </x:c>
      <x:c r="B1059" s="604" t="inlineStr">
        <x:is>
          <x:t xml:space="preserve">2026-10-06 02:30</x:t>
        </x:is>
      </x:c>
      <x:c r="C1059" s="604" t="str">
        <x:v>五大联赛非顶级联赛</x:v>
      </x:c>
      <x:c r="D1059" s="604" t="inlineStr">
        <x:is>
          <x:t xml:space="preserve">联赛</x:t>
        </x:is>
      </x:c>
      <x:c r="E1059" s="604" t="inlineStr">
        <x:is>
          <x:t xml:space="preserve">西乙</x:t>
        </x:is>
      </x:c>
      <x:c r="F1059" s="604" t="inlineStr">
        <x:is>
          <x:t xml:space="preserve">科尔多瓦 vs 特内里费</x:t>
        </x:is>
      </x:c>
      <x:c r="G1059" s="604" t="n">
        <x:v>0.93</x:v>
      </x:c>
      <x:c r="H1059" s="604" t="n">
        <x:v>0.5</x:v>
      </x:c>
      <x:c r="I1059" s="604" t="n">
        <x:v>0.95</x:v>
      </x:c>
      <x:c r="J1059" s="604" t="inlineStr">
        <x:is>
          <x:t xml:space="preserve">0.93/0.5/0.95</x:t>
        </x:is>
      </x:c>
      <x:c r="K1059" s="604" t="inlineStr">
        <x:is>
          <x:t xml:space="preserve">V4-B｜EV +0.0900</x:t>
        </x:is>
      </x:c>
      <x:c r="L1059" s="604" t="inlineStr">
        <x:is>
          <x:t xml:space="preserve">科尔多瓦</x:t>
        </x:is>
      </x:c>
      <x:c r="M1059" s="604" t="n">
        <x:v>0.5647804734631759</x:v>
      </x:c>
      <x:c r="N1059" s="604" t="inlineStr">
        <x:is>
          <x:t xml:space="preserve">V4纸面入选-B</x:t>
        </x:is>
      </x:c>
      <x:c r="O1059" s="604" t="inlineStr">
        <x:is>
          <x:t xml:space="preserve">3-2</x:t>
        </x:is>
      </x:c>
      <x:c r="P1059" s="604" t="inlineStr">
        <x:is>
          <x:t xml:space="preserve">已结算</x:t>
        </x:is>
      </x:c>
      <x:c r="Q1059" s="645" t="inlineStr">
        <x:is>
          <x:t xml:space="preserve">红</x:t>
        </x:is>
      </x:c>
      <x:c r="R1059" s="604" t="n">
        <x:v>0.93</x:v>
      </x:c>
      <x:c r="S1059" s="604" t="n">
        <x:f>IF(OR(Q1059="",Q1059="待结算"),"",IF(Q1059="红",R1059,IF(Q1059="半红",R1059*0.5,IF(Q1059="走",0,IF(Q1059="半黑",-0.5,-1)))))</x:f>
        <x:v>0.93</x:v>
      </x:c>
      <x:c r="T1059" s="604" t="inlineStr">
        <x:is>
          <x:t xml:space="preserve">https://m.titan007.com/analy/Analysis/3014103.htm</x:t>
        </x:is>
      </x:c>
      <x:c r="U1059" s="646" t="str">
        <x:f>IF(Q1059="","",IF(Q1059="待结算","待结算",IF(Q1059="红","黑",IF(Q1059="半红","半黑",IF(Q1059="走","走",IF(Q1059="半黑","半红","红"))))))</x:f>
        <x:v>黑</x:v>
      </x:c>
      <x:c r="V1059" s="604" t="n">
        <x:f>IF(OR(Q1059="",Q1059="待结算"),"",IF(L1059=LEFT(F1059,FIND(" vs ",F1059)-1),I1059,G1059))</x:f>
        <x:v>0.95</x:v>
      </x:c>
      <x:c r="W1059" s="604" t="n">
        <x:f>IF(OR(U1059="",U1059="待结算"),"",IF(U1059="红",V1059,IF(U1059="半红",V1059*0.5,IF(U1059="走",0,IF(U1059="半黑",-0.5,-1)))))</x:f>
        <x:v>-1</x:v>
      </x:c>
      <x:c r="X1059" s="604" t="inlineStr">
        <x:is>
          <x:t xml:space="preserve">3014103</x:t>
        </x:is>
      </x:c>
      <x:c r="Y1059" s="604" t="inlineStr">
        <x:is>
          <x:t xml:space="preserve">V4</x:t>
        </x:is>
      </x:c>
      <x:c r="Z1059" s="604" t="inlineStr">
        <x:is>
          <x:t xml:space="preserve">prior-2026-10-05-v1</x:t>
        </x:is>
      </x:c>
      <x:c r="AA1059" s="604" t="inlineStr">
        <x:is>
          <x:t xml:space="preserve">B</x:t>
        </x:is>
      </x:c>
      <x:c r="AB1059" s="604" t="n">
        <x:v>0.5647804734631759</x:v>
      </x:c>
      <x:c r="AC1059" s="604" t="n"/>
      <x:c r="AD1059" s="604" t="n"/>
      <x:c r="AE1059" s="604" t="n"/>
      <x:c r="AF1059" s="604" t="n">
        <x:v>0.435219526536824</x:v>
      </x:c>
      <x:c r="AG1059" s="604" t="n">
        <x:v>0.09002631378392961</x:v>
      </x:c>
      <x:c r="AH1059" s="604" t="n"/>
      <x:c r="AI1059" s="604" t="n"/>
      <x:c r="AJ1059" s="604" t="n">
        <x:v>0.09002631378392961</x:v>
      </x:c>
      <x:c r="AK1059" s="604" t="n"/>
      <x:c r="AL1059" s="604" t="n"/>
      <x:c r="AM1059" s="604" t="n"/>
      <x:c r="AN1059" s="604" t="inlineStr">
        <x:is>
          <x:t xml:space="preserve">EVALUATED</x:t>
        </x:is>
      </x:c>
      <x:c r="AO1059" s="604" t="inlineStr">
        <x:is>
          <x:t xml:space="preserve">GIVING_VALIDATED_EDGE、BUCKET_PRIOR_ONLY、INTENT_INTERPRETATION_ONLY、FFL_OPTIONAL、EXPERT_MARKET</x:t>
        </x:is>
      </x:c>
      <x:c r="AP1059" s="604" t="inlineStr">
        <x:is>
          <x:t xml:space="preserve">7fe49eddfe71b928b946</x:t>
        </x:is>
      </x:c>
      <x:c r="AQ1059" s="604" t="n">
        <x:v>-0.5</x:v>
      </x:c>
      <x:c r="AR1059" s="604" t="n">
        <x:v>0.93</x:v>
      </x:c>
      <x:c r="AS1059" s="604" t="n">
        <x:v>0.5</x:v>
      </x:c>
      <x:c r="AT1059" s="604" t="n">
        <x:v>-0.5</x:v>
      </x:c>
      <x:c r="AU1059" s="604" t="n">
        <x:v>0.93</x:v>
      </x:c>
      <x:c r="AV1059" s="604" t="n">
        <x:v>0.95</x:v>
      </x:c>
      <x:c r="AW1059" s="604" t="n">
        <x:v>46300.07479607639</x:v>
      </x:c>
      <x:c r="AX1059" s="604" t="inlineStr">
        <x:is>
          <x:t xml:space="preserve">https://simondongxiao.github.io/odds/v4/</x:t>
        </x:is>
      </x:c>
      <x:c r="AY1059" s="604" t="inlineStr">
        <x:is>
          <x:t xml:space="preserve">V4 Shadow Only；real_money=false；P(EV&gt;0)不是比赛胜率</x:t>
        </x:is>
      </x:c>
    </x:row>
    <x:row r="1060" ht="22" customHeight="1">
      <x:c r="A1060" s="604" t="inlineStr">
        <x:is>
          <x:t xml:space="preserve">2026-10-05</x:t>
        </x:is>
      </x:c>
      <x:c r="B1060" s="604" t="inlineStr">
        <x:is>
          <x:t xml:space="preserve">2026-10-06 02:30</x:t>
        </x:is>
      </x:c>
      <x:c r="C1060" s="604" t="str">
        <x:v>南美系列</x:v>
      </x:c>
      <x:c r="D1060" s="604" t="inlineStr">
        <x:is>
          <x:t xml:space="preserve">杯赛</x:t>
        </x:is>
      </x:c>
      <x:c r="E1060" s="604" t="inlineStr">
        <x:is>
          <x:t xml:space="preserve">巴U20杯</x:t>
        </x:is>
      </x:c>
      <x:c r="F1060" s="604" t="inlineStr">
        <x:is>
          <x:t xml:space="preserve">路易兹U20 vs 戈亚尼亚青年队</x:t>
        </x:is>
      </x:c>
      <x:c r="G1060" s="604" t="n">
        <x:v>0.85</x:v>
      </x:c>
      <x:c r="H1060" s="604" t="n">
        <x:v>-0.5</x:v>
      </x:c>
      <x:c r="I1060" s="604" t="n">
        <x:v>0.95</x:v>
      </x:c>
      <x:c r="J1060" s="604" t="inlineStr">
        <x:is>
          <x:t xml:space="preserve">0.85/-0.5/0.95</x:t>
        </x:is>
      </x:c>
      <x:c r="K1060" s="604" t="inlineStr">
        <x:is>
          <x:t xml:space="preserve">V4-C｜EV +0.4426</x:t>
        </x:is>
      </x:c>
      <x:c r="L1060" s="604" t="inlineStr">
        <x:is>
          <x:t xml:space="preserve">路易兹U20</x:t>
        </x:is>
      </x:c>
      <x:c r="M1060" s="604" t="n">
        <x:v>0.7797587501521176</x:v>
      </x:c>
      <x:c r="N1060" s="604" t="inlineStr">
        <x:is>
          <x:t xml:space="preserve">V4纸面入选-C</x:t>
        </x:is>
      </x:c>
      <x:c r="O1060" s="604" t="inlineStr">
        <x:is>
          <x:t xml:space="preserve">1-0</x:t>
        </x:is>
      </x:c>
      <x:c r="P1060" s="604" t="inlineStr">
        <x:is>
          <x:t xml:space="preserve">已结算</x:t>
        </x:is>
      </x:c>
      <x:c r="Q1060" s="645" t="inlineStr">
        <x:is>
          <x:t xml:space="preserve">红</x:t>
        </x:is>
      </x:c>
      <x:c r="R1060" s="604" t="n">
        <x:v>0.85</x:v>
      </x:c>
      <x:c r="S1060" s="604" t="n">
        <x:f>IF(OR(Q1060="",Q1060="待结算"),"",IF(Q1060="红",R1060,IF(Q1060="半红",R1060*0.5,IF(Q1060="走",0,IF(Q1060="半黑",-0.5,-1)))))</x:f>
        <x:v>0.85</x:v>
      </x:c>
      <x:c r="T1060" s="604" t="inlineStr">
        <x:is>
          <x:t xml:space="preserve">https://m.titan007.com/analy/Analysis/3099076.htm</x:t>
        </x:is>
      </x:c>
      <x:c r="U1060" s="646" t="str">
        <x:f>IF(Q1060="","",IF(Q1060="待结算","待结算",IF(Q1060="红","黑",IF(Q1060="半红","半黑",IF(Q1060="走","走",IF(Q1060="半黑","半红","红"))))))</x:f>
        <x:v>黑</x:v>
      </x:c>
      <x:c r="V1060" s="604" t="n">
        <x:f>IF(OR(Q1060="",Q1060="待结算"),"",IF(L1060=LEFT(F1060,FIND(" vs ",F1060)-1),I1060,G1060))</x:f>
        <x:v>0.95</x:v>
      </x:c>
      <x:c r="W1060" s="604" t="n">
        <x:f>IF(OR(U1060="",U1060="待结算"),"",IF(U1060="红",V1060,IF(U1060="半红",V1060*0.5,IF(U1060="走",0,IF(U1060="半黑",-0.5,-1)))))</x:f>
        <x:v>-1</x:v>
      </x:c>
      <x:c r="X1060" s="604" t="inlineStr">
        <x:is>
          <x:t xml:space="preserve">3099076</x:t>
        </x:is>
      </x:c>
      <x:c r="Y1060" s="604" t="inlineStr">
        <x:is>
          <x:t xml:space="preserve">V4</x:t>
        </x:is>
      </x:c>
      <x:c r="Z1060" s="604" t="inlineStr">
        <x:is>
          <x:t xml:space="preserve">prior-2026-10-05-v1</x:t>
        </x:is>
      </x:c>
      <x:c r="AA1060" s="604" t="inlineStr">
        <x:is>
          <x:t xml:space="preserve">C</x:t>
        </x:is>
      </x:c>
      <x:c r="AB1060" s="604" t="n">
        <x:v>0.7797587501521176</x:v>
      </x:c>
      <x:c r="AC1060" s="604" t="n"/>
      <x:c r="AD1060" s="604" t="n"/>
      <x:c r="AE1060" s="604" t="n"/>
      <x:c r="AF1060" s="604" t="n">
        <x:v>0.2202412498478825</x:v>
      </x:c>
      <x:c r="AG1060" s="604" t="n">
        <x:v>0.4425536877814175</x:v>
      </x:c>
      <x:c r="AH1060" s="604" t="n"/>
      <x:c r="AI1060" s="604" t="n"/>
      <x:c r="AJ1060" s="604" t="n">
        <x:v>0.4425536877814175</x:v>
      </x:c>
      <x:c r="AK1060" s="604" t="n"/>
      <x:c r="AL1060" s="604" t="n"/>
      <x:c r="AM1060" s="604" t="n"/>
      <x:c r="AN1060" s="604" t="inlineStr">
        <x:is>
          <x:t xml:space="preserve">EVALUATED</x:t>
        </x:is>
      </x:c>
      <x:c r="AO1060" s="604" t="inlineStr">
        <x:is>
          <x:t xml:space="preserve">RECEIVING_VALIDATED_EDGE、BUCKET_PRIOR_ONLY、INTENT_INTERPRETATION_ONLY、FFL_OPTIONAL、EXPERT_MARKET</x:t>
        </x:is>
      </x:c>
      <x:c r="AP1060" s="604" t="inlineStr">
        <x:is>
          <x:t xml:space="preserve">d5f7c6ee890f4afaaf2a</x:t>
        </x:is>
      </x:c>
      <x:c r="AQ1060" s="604" t="n">
        <x:v>0.5</x:v>
      </x:c>
      <x:c r="AR1060" s="604" t="n">
        <x:v>0.85</x:v>
      </x:c>
      <x:c r="AS1060" s="604" t="n">
        <x:v>-0.5</x:v>
      </x:c>
      <x:c r="AT1060" s="604" t="n">
        <x:v>0.5</x:v>
      </x:c>
      <x:c r="AU1060" s="604" t="n">
        <x:v>0.85</x:v>
      </x:c>
      <x:c r="AV1060" s="604" t="n">
        <x:v>0.95</x:v>
      </x:c>
      <x:c r="AW1060" s="604" t="n">
        <x:v>46300.07479607639</x:v>
      </x:c>
      <x:c r="AX1060" s="604" t="inlineStr">
        <x:is>
          <x:t xml:space="preserve">https://simondongxiao.github.io/odds/v4/</x:t>
        </x:is>
      </x:c>
      <x:c r="AY1060" s="604" t="inlineStr">
        <x:is>
          <x:t xml:space="preserve">V4 Shadow Only；real_money=false；P(EV&gt;0)不是比赛胜率</x:t>
        </x:is>
      </x:c>
    </x:row>
    <x:row r="1061" ht="22" customHeight="1">
      <x:c r="A1061" s="604" t="inlineStr">
        <x:is>
          <x:t xml:space="preserve">2026-10-05</x:t>
        </x:is>
      </x:c>
      <x:c r="B1061" s="604" t="inlineStr">
        <x:is>
          <x:t xml:space="preserve">2026-10-06 02:45</x:t>
        </x:is>
      </x:c>
      <x:c r="C1061" s="604" t="str">
        <x:v>欧洲非五大系列</x:v>
      </x:c>
      <x:c r="D1061" s="604" t="inlineStr">
        <x:is>
          <x:t xml:space="preserve">联赛</x:t>
        </x:is>
      </x:c>
      <x:c r="E1061" s="604" t="inlineStr">
        <x:is>
          <x:t xml:space="preserve">欧国联</x:t>
        </x:is>
      </x:c>
      <x:c r="F1061" s="604" t="inlineStr">
        <x:is>
          <x:t xml:space="preserve">法国 vs 比利时</x:t>
        </x:is>
      </x:c>
      <x:c r="G1061" s="604" t="n">
        <x:v>0.83</x:v>
      </x:c>
      <x:c r="H1061" s="604" t="n">
        <x:v>1</x:v>
      </x:c>
      <x:c r="I1061" s="604" t="n">
        <x:v>1.05</x:v>
      </x:c>
      <x:c r="J1061" s="604" t="inlineStr">
        <x:is>
          <x:t xml:space="preserve">0.83/1/1.05</x:t>
        </x:is>
      </x:c>
      <x:c r="K1061" s="604" t="inlineStr">
        <x:is>
          <x:t xml:space="preserve">V4-B｜EV +0.1248</x:t>
        </x:is>
      </x:c>
      <x:c r="L1061" s="604" t="inlineStr">
        <x:is>
          <x:t xml:space="preserve">法国</x:t>
        </x:is>
      </x:c>
      <x:c r="M1061" s="604" t="n">
        <x:v>0.6375974747106236</x:v>
      </x:c>
      <x:c r="N1061" s="604" t="inlineStr">
        <x:is>
          <x:t xml:space="preserve">V4纸面入选-B</x:t>
        </x:is>
      </x:c>
      <x:c r="O1061" s="604" t="inlineStr">
        <x:is>
          <x:t xml:space="preserve">4-1</x:t>
        </x:is>
      </x:c>
      <x:c r="P1061" s="604" t="inlineStr">
        <x:is>
          <x:t xml:space="preserve">已结算</x:t>
        </x:is>
      </x:c>
      <x:c r="Q1061" s="645" t="inlineStr">
        <x:is>
          <x:t xml:space="preserve">红</x:t>
        </x:is>
      </x:c>
      <x:c r="R1061" s="604" t="n">
        <x:v>0.83</x:v>
      </x:c>
      <x:c r="S1061" s="604" t="n">
        <x:f>IF(OR(Q1061="",Q1061="待结算"),"",IF(Q1061="红",R1061,IF(Q1061="半红",R1061*0.5,IF(Q1061="走",0,IF(Q1061="半黑",-0.5,-1)))))</x:f>
        <x:v>0.83</x:v>
      </x:c>
      <x:c r="T1061" s="604" t="inlineStr">
        <x:is>
          <x:t xml:space="preserve">https://m.titan007.com/analy/Analysis/2981453.htm</x:t>
        </x:is>
      </x:c>
      <x:c r="U1061" s="646" t="str">
        <x:f>IF(Q1061="","",IF(Q1061="待结算","待结算",IF(Q1061="红","黑",IF(Q1061="半红","半黑",IF(Q1061="走","走",IF(Q1061="半黑","半红","红"))))))</x:f>
        <x:v>黑</x:v>
      </x:c>
      <x:c r="V1061" s="604" t="n">
        <x:f>IF(OR(Q1061="",Q1061="待结算"),"",IF(L1061=LEFT(F1061,FIND(" vs ",F1061)-1),I1061,G1061))</x:f>
        <x:v>1.05</x:v>
      </x:c>
      <x:c r="W1061" s="604" t="n">
        <x:f>IF(OR(U1061="",U1061="待结算"),"",IF(U1061="红",V1061,IF(U1061="半红",V1061*0.5,IF(U1061="走",0,IF(U1061="半黑",-0.5,-1)))))</x:f>
        <x:v>-1</x:v>
      </x:c>
      <x:c r="X1061" s="604" t="inlineStr">
        <x:is>
          <x:t xml:space="preserve">2981453</x:t>
        </x:is>
      </x:c>
      <x:c r="Y1061" s="604" t="inlineStr">
        <x:is>
          <x:t xml:space="preserve">V4</x:t>
        </x:is>
      </x:c>
      <x:c r="Z1061" s="604" t="inlineStr">
        <x:is>
          <x:t xml:space="preserve">prior-2026-10-05-v1</x:t>
        </x:is>
      </x:c>
      <x:c r="AA1061" s="604" t="inlineStr">
        <x:is>
          <x:t xml:space="preserve">B</x:t>
        </x:is>
      </x:c>
      <x:c r="AB1061" s="604" t="n">
        <x:v>0.4768666691342301</x:v>
      </x:c>
      <x:c r="AC1061" s="604" t="n"/>
      <x:c r="AD1061" s="604" t="n">
        <x:v>0.252088209178278</x:v>
      </x:c>
      <x:c r="AE1061" s="604" t="n"/>
      <x:c r="AF1061" s="604" t="n">
        <x:v>0.271045121687492</x:v>
      </x:c>
      <x:c r="AG1061" s="604" t="n">
        <x:v>0.124754213693919</x:v>
      </x:c>
      <x:c r="AH1061" s="604" t="n"/>
      <x:c r="AI1061" s="604" t="n"/>
      <x:c r="AJ1061" s="604" t="n">
        <x:v>0.124754213693919</x:v>
      </x:c>
      <x:c r="AK1061" s="604" t="n"/>
      <x:c r="AL1061" s="604" t="n"/>
      <x:c r="AM1061" s="604" t="n"/>
      <x:c r="AN1061" s="604" t="inlineStr">
        <x:is>
          <x:t xml:space="preserve">EVALUATED</x:t>
        </x:is>
      </x:c>
      <x:c r="AO1061" s="604" t="inlineStr">
        <x:is>
          <x:t xml:space="preserve">GIVING_VALIDATED_EDGE、BUCKET_PRIOR_ONLY、INTENT_INTERPRETATION_ONLY、FFL_OPTIONAL、EXPERT_MARKET</x:t>
        </x:is>
      </x:c>
      <x:c r="AP1061" s="604" t="inlineStr">
        <x:is>
          <x:t xml:space="preserve">b532385dc812bc816e94</x:t>
        </x:is>
      </x:c>
      <x:c r="AQ1061" s="604" t="n">
        <x:v>-1</x:v>
      </x:c>
      <x:c r="AR1061" s="604" t="n">
        <x:v>0.83</x:v>
      </x:c>
      <x:c r="AS1061" s="604" t="n">
        <x:v>1</x:v>
      </x:c>
      <x:c r="AT1061" s="604" t="n">
        <x:v>-1</x:v>
      </x:c>
      <x:c r="AU1061" s="604" t="n">
        <x:v>0.83</x:v>
      </x:c>
      <x:c r="AV1061" s="604" t="n">
        <x:v>1.05</x:v>
      </x:c>
      <x:c r="AW1061" s="604" t="n">
        <x:v>46300.07479607639</x:v>
      </x:c>
      <x:c r="AX1061" s="604" t="inlineStr">
        <x:is>
          <x:t xml:space="preserve">https://simondongxiao.github.io/odds/v4/</x:t>
        </x:is>
      </x:c>
      <x:c r="AY1061" s="604" t="inlineStr">
        <x:is>
          <x:t xml:space="preserve">V4 Shadow Only；real_money=false；P(EV&gt;0)不是比赛胜率</x:t>
        </x:is>
      </x:c>
    </x:row>
    <x:row r="1062" ht="22" customHeight="1">
      <x:c r="A1062" s="604" t="inlineStr">
        <x:is>
          <x:t xml:space="preserve">2026-10-05</x:t>
        </x:is>
      </x:c>
      <x:c r="B1062" s="604" t="inlineStr">
        <x:is>
          <x:t xml:space="preserve">2026-10-06 02:45</x:t>
        </x:is>
      </x:c>
      <x:c r="C1062" s="604" t="str">
        <x:v>欧洲非五大系列</x:v>
      </x:c>
      <x:c r="D1062" s="604" t="inlineStr">
        <x:is>
          <x:t xml:space="preserve">联赛</x:t>
        </x:is>
      </x:c>
      <x:c r="E1062" s="604" t="inlineStr">
        <x:is>
          <x:t xml:space="preserve">欧国联</x:t>
        </x:is>
      </x:c>
      <x:c r="F1062" s="604" t="inlineStr">
        <x:is>
          <x:t xml:space="preserve">意大利 vs 土耳其</x:t>
        </x:is>
      </x:c>
      <x:c r="G1062" s="604" t="n">
        <x:v>0.89</x:v>
      </x:c>
      <x:c r="H1062" s="604" t="n">
        <x:v>1.25</x:v>
      </x:c>
      <x:c r="I1062" s="604" t="n">
        <x:v>0.99</x:v>
      </x:c>
      <x:c r="J1062" s="604" t="inlineStr">
        <x:is>
          <x:t xml:space="preserve">0.89/1.25/0.99</x:t>
        </x:is>
      </x:c>
      <x:c r="K1062" s="604" t="inlineStr">
        <x:is>
          <x:t xml:space="preserve">V4-B｜EV +0.1595</x:t>
        </x:is>
      </x:c>
      <x:c r="L1062" s="604" t="inlineStr">
        <x:is>
          <x:t xml:space="preserve">意大利</x:t>
        </x:is>
      </x:c>
      <x:c r="M1062" s="604" t="n">
        <x:v>0.6250970703097799</x:v>
      </x:c>
      <x:c r="N1062" s="604" t="inlineStr">
        <x:is>
          <x:t xml:space="preserve">V4纸面入选-B</x:t>
        </x:is>
      </x:c>
      <x:c r="O1062" s="604" t="inlineStr">
        <x:is>
          <x:t xml:space="preserve">3-1</x:t>
        </x:is>
      </x:c>
      <x:c r="P1062" s="604" t="inlineStr">
        <x:is>
          <x:t xml:space="preserve">已结算</x:t>
        </x:is>
      </x:c>
      <x:c r="Q1062" s="645" t="inlineStr">
        <x:is>
          <x:t xml:space="preserve">红</x:t>
        </x:is>
      </x:c>
      <x:c r="R1062" s="604" t="n">
        <x:v>0.89</x:v>
      </x:c>
      <x:c r="S1062" s="604" t="n">
        <x:f>IF(OR(Q1062="",Q1062="待结算"),"",IF(Q1062="红",R1062,IF(Q1062="半红",R1062*0.5,IF(Q1062="走",0,IF(Q1062="半黑",-0.5,-1)))))</x:f>
        <x:v>0.89</x:v>
      </x:c>
      <x:c r="T1062" s="604" t="inlineStr">
        <x:is>
          <x:t xml:space="preserve">https://m.titan007.com/analy/Analysis/2981454.htm</x:t>
        </x:is>
      </x:c>
      <x:c r="U1062" s="646" t="str">
        <x:f>IF(Q1062="","",IF(Q1062="待结算","待结算",IF(Q1062="红","黑",IF(Q1062="半红","半黑",IF(Q1062="走","走",IF(Q1062="半黑","半红","红"))))))</x:f>
        <x:v>黑</x:v>
      </x:c>
      <x:c r="V1062" s="604" t="n">
        <x:f>IF(OR(Q1062="",Q1062="待结算"),"",IF(L1062=LEFT(F1062,FIND(" vs ",F1062)-1),I1062,G1062))</x:f>
        <x:v>0.99</x:v>
      </x:c>
      <x:c r="W1062" s="604" t="n">
        <x:f>IF(OR(U1062="",U1062="待结算"),"",IF(U1062="红",V1062,IF(U1062="半红",V1062*0.5,IF(U1062="走",0,IF(U1062="半黑",-0.5,-1)))))</x:f>
        <x:v>-1</x:v>
      </x:c>
      <x:c r="X1062" s="604" t="inlineStr">
        <x:is>
          <x:t xml:space="preserve">2981454</x:t>
        </x:is>
      </x:c>
      <x:c r="Y1062" s="604" t="inlineStr">
        <x:is>
          <x:t xml:space="preserve">V4</x:t>
        </x:is>
      </x:c>
      <x:c r="Z1062" s="604" t="inlineStr">
        <x:is>
          <x:t xml:space="preserve">prior-2026-10-05-v1</x:t>
        </x:is>
      </x:c>
      <x:c r="AA1062" s="604" t="inlineStr">
        <x:is>
          <x:t xml:space="preserve">B</x:t>
        </x:is>
      </x:c>
      <x:c r="AB1062" s="604" t="n">
        <x:v>0.5495173973137363</x:v>
      </x:c>
      <x:c r="AC1062" s="604" t="n"/>
      <x:c r="AD1062" s="604" t="n"/>
      <x:c r="AE1062" s="604" t="n">
        <x:v>0.2418173963240256</x:v>
      </x:c>
      <x:c r="AF1062" s="604" t="n">
        <x:v>0.2086652063622381</x:v>
      </x:c>
      <x:c r="AG1062" s="604" t="n">
        <x:v>0.1594965790849744</x:v>
      </x:c>
      <x:c r="AH1062" s="604" t="n"/>
      <x:c r="AI1062" s="604" t="n"/>
      <x:c r="AJ1062" s="604" t="n">
        <x:v>0.1594965790849744</x:v>
      </x:c>
      <x:c r="AK1062" s="604" t="n"/>
      <x:c r="AL1062" s="604" t="n"/>
      <x:c r="AM1062" s="604" t="n"/>
      <x:c r="AN1062" s="604" t="inlineStr">
        <x:is>
          <x:t xml:space="preserve">EVALUATED</x:t>
        </x:is>
      </x:c>
      <x:c r="AO1062" s="604" t="inlineStr">
        <x:is>
          <x:t xml:space="preserve">GIVING_VALIDATED_EDGE、BUCKET_PRIOR_ONLY、INTENT_INTERPRETATION_ONLY、FFL_OPTIONAL、EXPERT_MARKET</x:t>
        </x:is>
      </x:c>
      <x:c r="AP1062" s="604" t="inlineStr">
        <x:is>
          <x:t xml:space="preserve">71f18289e612b8f2d113</x:t>
        </x:is>
      </x:c>
      <x:c r="AQ1062" s="604" t="n">
        <x:v>-1.25</x:v>
      </x:c>
      <x:c r="AR1062" s="604" t="n">
        <x:v>0.89</x:v>
      </x:c>
      <x:c r="AS1062" s="604" t="n">
        <x:v>1.25</x:v>
      </x:c>
      <x:c r="AT1062" s="604" t="n">
        <x:v>-1.25</x:v>
      </x:c>
      <x:c r="AU1062" s="604" t="n">
        <x:v>0.89</x:v>
      </x:c>
      <x:c r="AV1062" s="604" t="n">
        <x:v>0.99</x:v>
      </x:c>
      <x:c r="AW1062" s="604" t="n">
        <x:v>46300.07479607639</x:v>
      </x:c>
      <x:c r="AX1062" s="604" t="inlineStr">
        <x:is>
          <x:t xml:space="preserve">https://simondongxiao.github.io/odds/v4/</x:t>
        </x:is>
      </x:c>
      <x:c r="AY1062" s="604" t="inlineStr">
        <x:is>
          <x:t xml:space="preserve">V4 Shadow Only；real_money=false；P(EV&gt;0)不是比赛胜率</x:t>
        </x:is>
      </x:c>
    </x:row>
    <x:row r="1063" ht="22" customHeight="1">
      <x:c r="A1063" s="604" t="inlineStr">
        <x:is>
          <x:t xml:space="preserve">2026-10-05</x:t>
        </x:is>
      </x:c>
      <x:c r="B1063" s="604" t="inlineStr">
        <x:is>
          <x:t xml:space="preserve">2026-10-06 02:45</x:t>
        </x:is>
      </x:c>
      <x:c r="C1063" s="604" t="str">
        <x:v>欧洲非五大系列</x:v>
      </x:c>
      <x:c r="D1063" s="604" t="inlineStr">
        <x:is>
          <x:t xml:space="preserve">联赛</x:t>
        </x:is>
      </x:c>
      <x:c r="E1063" s="604" t="inlineStr">
        <x:is>
          <x:t xml:space="preserve">欧国联</x:t>
        </x:is>
      </x:c>
      <x:c r="F1063" s="604" t="inlineStr">
        <x:is>
          <x:t xml:space="preserve">北爱尔兰 vs 格鲁吉亚</x:t>
        </x:is>
      </x:c>
      <x:c r="G1063" s="604" t="n">
        <x:v>1.06</x:v>
      </x:c>
      <x:c r="H1063" s="604" t="n">
        <x:v>0</x:v>
      </x:c>
      <x:c r="I1063" s="604" t="n">
        <x:v>0.82</x:v>
      </x:c>
      <x:c r="J1063" s="604" t="inlineStr">
        <x:is>
          <x:t xml:space="preserve">1.06/0/0.82</x:t>
        </x:is>
      </x:c>
      <x:c r="K1063" s="604" t="inlineStr">
        <x:is>
          <x:t xml:space="preserve">V4-C｜EV +0.0449</x:t>
        </x:is>
      </x:c>
      <x:c r="L1063" s="604" t="str"/>
      <x:c r="M1063" s="604" t="n">
        <x:v>0.5105059689775876</x:v>
      </x:c>
      <x:c r="N1063" s="604" t="inlineStr">
        <x:is>
          <x:t xml:space="preserve">V4纸面入选-C</x:t>
        </x:is>
      </x:c>
      <x:c r="O1063" s="604" t="inlineStr">
        <x:is>
          <x:t xml:space="preserve">0-0</x:t>
        </x:is>
      </x:c>
      <x:c r="P1063" s="604" t="inlineStr">
        <x:is>
          <x:t xml:space="preserve">已结算</x:t>
        </x:is>
      </x:c>
      <x:c r="Q1063" s="647" t="inlineStr">
        <x:is>
          <x:t xml:space="preserve">走</x:t>
        </x:is>
      </x:c>
      <x:c r="R1063" s="604" t="n">
        <x:v>0.82</x:v>
      </x:c>
      <x:c r="S1063" s="604" t="n">
        <x:f>IF(OR(Q1063="",Q1063="待结算"),"",IF(Q1063="红",R1063,IF(Q1063="半红",R1063*0.5,IF(Q1063="走",0,IF(Q1063="半黑",-0.5,-1)))))</x:f>
        <x:v>0</x:v>
      </x:c>
      <x:c r="T1063" s="604" t="inlineStr">
        <x:is>
          <x:t xml:space="preserve">https://m.titan007.com/analy/Analysis/2981502.htm</x:t>
        </x:is>
      </x:c>
      <x:c r="U1063" s="647" t="str">
        <x:f>IF(Q1063="","",IF(Q1063="待结算","待结算",IF(Q1063="红","黑",IF(Q1063="半红","半黑",IF(Q1063="走","走",IF(Q1063="半黑","半红","红"))))))</x:f>
        <x:v>走</x:v>
      </x:c>
      <x:c r="V1063" s="604" t="n">
        <x:f>IF(OR(Q1063="",Q1063="待结算"),"",IF(L1063=LEFT(F1063,FIND(" vs ",F1063)-1),I1063,G1063))</x:f>
        <x:v>1.06</x:v>
      </x:c>
      <x:c r="W1063" s="604" t="n">
        <x:f>IF(OR(U1063="",U1063="待结算"),"",IF(U1063="红",V1063,IF(U1063="半红",V1063*0.5,IF(U1063="走",0,IF(U1063="半黑",-0.5,-1)))))</x:f>
        <x:v>0</x:v>
      </x:c>
      <x:c r="X1063" s="604" t="inlineStr">
        <x:is>
          <x:t xml:space="preserve">2981502</x:t>
        </x:is>
      </x:c>
      <x:c r="Y1063" s="604" t="inlineStr">
        <x:is>
          <x:t xml:space="preserve">V4</x:t>
        </x:is>
      </x:c>
      <x:c r="Z1063" s="604" t="inlineStr">
        <x:is>
          <x:t xml:space="preserve">prior-2026-10-05-v1</x:t>
        </x:is>
      </x:c>
      <x:c r="AA1063" s="604" t="inlineStr">
        <x:is>
          <x:t xml:space="preserve">C</x:t>
        </x:is>
      </x:c>
      <x:c r="AB1063" s="604" t="n">
        <x:v>0.4435669053261876</x:v>
      </x:c>
      <x:c r="AC1063" s="604" t="n"/>
      <x:c r="AD1063" s="604" t="n"/>
      <x:c r="AE1063" s="604" t="n">
        <x:v>0.2622459587904986</x:v>
      </x:c>
      <x:c r="AF1063" s="604" t="n">
        <x:v>0.2941871358833138</x:v>
      </x:c>
      <x:c r="AG1063" s="604" t="n">
        <x:v>0.04487080436719582</x:v>
      </x:c>
      <x:c r="AH1063" s="604" t="n"/>
      <x:c r="AI1063" s="604" t="n"/>
      <x:c r="AJ1063" s="604" t="n">
        <x:v>0.04487080436719582</x:v>
      </x:c>
      <x:c r="AK1063" s="604" t="n"/>
      <x:c r="AL1063" s="604" t="n"/>
      <x:c r="AM1063" s="604" t="n"/>
      <x:c r="AN1063" s="604" t="inlineStr">
        <x:is>
          <x:t xml:space="preserve">EVALUATED</x:t>
        </x:is>
      </x:c>
      <x:c r="AO1063" s="604" t="inlineStr">
        <x:is>
          <x:t xml:space="preserve">EDGE_BELOW_UNCERTAINTY_THRESHOLD、BUCKET_PRIOR_ONLY、INTENT_INTERPRETATION_ONLY、FFL_OPTIONAL、EXPERT_MARKET</x:t>
        </x:is>
      </x:c>
      <x:c r="AP1063" s="604" t="inlineStr">
        <x:is>
          <x:t xml:space="preserve">53168b2e2121ccef0af9</x:t>
        </x:is>
      </x:c>
      <x:c r="AQ1063" s="604" t="n">
        <x:v>0</x:v>
      </x:c>
      <x:c r="AR1063" s="604" t="n"/>
      <x:c r="AS1063" s="604" t="n">
        <x:v>0</x:v>
      </x:c>
      <x:c r="AT1063" s="604" t="n">
        <x:v>0</x:v>
      </x:c>
      <x:c r="AU1063" s="604" t="n">
        <x:v>1.06</x:v>
      </x:c>
      <x:c r="AV1063" s="604" t="n">
        <x:v>0.82</x:v>
      </x:c>
      <x:c r="AW1063" s="604" t="n">
        <x:v>46300.07479607639</x:v>
      </x:c>
      <x:c r="AX1063" s="604" t="inlineStr">
        <x:is>
          <x:t xml:space="preserve">https://simondongxiao.github.io/odds/v4/</x:t>
        </x:is>
      </x:c>
      <x:c r="AY1063" s="604" t="inlineStr">
        <x:is>
          <x:t xml:space="preserve">V4 Shadow Only；real_money=false；P(EV&gt;0)不是比赛胜率</x:t>
        </x:is>
      </x:c>
    </x:row>
    <x:row r="1064" ht="22" customHeight="1">
      <x:c r="A1064" s="604" t="inlineStr">
        <x:is>
          <x:t xml:space="preserve">2026-10-05</x:t>
        </x:is>
      </x:c>
      <x:c r="B1064" s="604" t="inlineStr">
        <x:is>
          <x:t xml:space="preserve">2026-10-06 02:45</x:t>
        </x:is>
      </x:c>
      <x:c r="C1064" s="604" t="str">
        <x:v>欧洲非五大系列</x:v>
      </x:c>
      <x:c r="D1064" s="604" t="inlineStr">
        <x:is>
          <x:t xml:space="preserve">联赛</x:t>
        </x:is>
      </x:c>
      <x:c r="E1064" s="604" t="inlineStr">
        <x:is>
          <x:t xml:space="preserve">欧国联</x:t>
        </x:is>
      </x:c>
      <x:c r="F1064" s="604" t="inlineStr">
        <x:is>
          <x:t xml:space="preserve">罗马尼亚 vs 瑞典</x:t>
        </x:is>
      </x:c>
      <x:c r="G1064" s="604" t="n">
        <x:v>0.95</x:v>
      </x:c>
      <x:c r="H1064" s="604" t="n">
        <x:v>-0.75</x:v>
      </x:c>
      <x:c r="I1064" s="604" t="n">
        <x:v>0.93</x:v>
      </x:c>
      <x:c r="J1064" s="604" t="inlineStr">
        <x:is>
          <x:t xml:space="preserve">0.95/-0.75/0.93</x:t>
        </x:is>
      </x:c>
      <x:c r="K1064" s="604" t="inlineStr">
        <x:is>
          <x:t xml:space="preserve">V4-B｜EV +0.6999</x:t>
        </x:is>
      </x:c>
      <x:c r="L1064" s="604" t="inlineStr">
        <x:is>
          <x:t xml:space="preserve">罗马尼亚</x:t>
        </x:is>
      </x:c>
      <x:c r="M1064" s="604" t="n">
        <x:v>0.8926815408691146</x:v>
      </x:c>
      <x:c r="N1064" s="604" t="inlineStr">
        <x:is>
          <x:t xml:space="preserve">V4纸面入选-B</x:t>
        </x:is>
      </x:c>
      <x:c r="O1064" s="604" t="inlineStr">
        <x:is>
          <x:t xml:space="preserve">0-1</x:t>
        </x:is>
      </x:c>
      <x:c r="P1064" s="604" t="inlineStr">
        <x:is>
          <x:t xml:space="preserve">已结算</x:t>
        </x:is>
      </x:c>
      <x:c r="Q1064" s="648" t="inlineStr">
        <x:is>
          <x:t xml:space="preserve">半黑</x:t>
        </x:is>
      </x:c>
      <x:c r="R1064" s="604" t="n">
        <x:v>0.95</x:v>
      </x:c>
      <x:c r="S1064" s="604" t="n">
        <x:f>IF(OR(Q1064="",Q1064="待结算"),"",IF(Q1064="红",R1064,IF(Q1064="半红",R1064*0.5,IF(Q1064="走",0,IF(Q1064="半黑",-0.5,-1)))))</x:f>
        <x:v>-0.5</x:v>
      </x:c>
      <x:c r="T1064" s="604" t="inlineStr">
        <x:is>
          <x:t xml:space="preserve">https://m.titan007.com/analy/Analysis/2981503.htm</x:t>
        </x:is>
      </x:c>
      <x:c r="U1064" s="649" t="str">
        <x:f>IF(Q1064="","",IF(Q1064="待结算","待结算",IF(Q1064="红","黑",IF(Q1064="半红","半黑",IF(Q1064="走","走",IF(Q1064="半黑","半红","红"))))))</x:f>
        <x:v>半红</x:v>
      </x:c>
      <x:c r="V1064" s="604" t="n">
        <x:f>IF(OR(Q1064="",Q1064="待结算"),"",IF(L1064=LEFT(F1064,FIND(" vs ",F1064)-1),I1064,G1064))</x:f>
        <x:v>0.93</x:v>
      </x:c>
      <x:c r="W1064" s="604" t="n">
        <x:f>IF(OR(U1064="",U1064="待结算"),"",IF(U1064="红",V1064,IF(U1064="半红",V1064*0.5,IF(U1064="走",0,IF(U1064="半黑",-0.5,-1)))))</x:f>
        <x:v>0.465</x:v>
      </x:c>
      <x:c r="X1064" s="604" t="inlineStr">
        <x:is>
          <x:t xml:space="preserve">2981503</x:t>
        </x:is>
      </x:c>
      <x:c r="Y1064" s="604" t="inlineStr">
        <x:is>
          <x:t xml:space="preserve">V4</x:t>
        </x:is>
      </x:c>
      <x:c r="Z1064" s="604" t="inlineStr">
        <x:is>
          <x:t xml:space="preserve">prior-2026-10-05-v1</x:t>
        </x:is>
      </x:c>
      <x:c r="AA1064" s="604" t="inlineStr">
        <x:is>
          <x:t xml:space="preserve">B</x:t>
        </x:is>
      </x:c>
      <x:c r="AB1064" s="604" t="n">
        <x:v>0.8434860199860266</x:v>
      </x:c>
      <x:c r="AC1064" s="604" t="n"/>
      <x:c r="AD1064" s="604" t="n"/>
      <x:c r="AE1064" s="604" t="n">
        <x:v>0.1102196441413836</x:v>
      </x:c>
      <x:c r="AF1064" s="604" t="n">
        <x:v>0.0462943358725897</x:v>
      </x:c>
      <x:c r="AG1064" s="604" t="n">
        <x:v>0.6999075610434436</x:v>
      </x:c>
      <x:c r="AH1064" s="604" t="n"/>
      <x:c r="AI1064" s="604" t="n"/>
      <x:c r="AJ1064" s="604" t="n">
        <x:v>0.6999075610434436</x:v>
      </x:c>
      <x:c r="AK1064" s="604" t="n"/>
      <x:c r="AL1064" s="604" t="n"/>
      <x:c r="AM1064" s="604" t="n"/>
      <x:c r="AN1064" s="604" t="inlineStr">
        <x:is>
          <x:t xml:space="preserve">EVALUATED</x:t>
        </x:is>
      </x:c>
      <x:c r="AO1064" s="604" t="inlineStr">
        <x:is>
          <x:t xml:space="preserve">RECEIVING_VALIDATED_EDGE、BUCKET_PRIOR_ONLY、INTENT_INTERPRETATION_ONLY、FFL_OPTIONAL、EXPERT_MARKET</x:t>
        </x:is>
      </x:c>
      <x:c r="AP1064" s="604" t="inlineStr">
        <x:is>
          <x:t xml:space="preserve">83ffa86767613997cab2</x:t>
        </x:is>
      </x:c>
      <x:c r="AQ1064" s="604" t="n">
        <x:v>0.75</x:v>
      </x:c>
      <x:c r="AR1064" s="604" t="n">
        <x:v>0.95</x:v>
      </x:c>
      <x:c r="AS1064" s="604" t="n">
        <x:v>-0.75</x:v>
      </x:c>
      <x:c r="AT1064" s="604" t="n">
        <x:v>0.75</x:v>
      </x:c>
      <x:c r="AU1064" s="604" t="n">
        <x:v>0.95</x:v>
      </x:c>
      <x:c r="AV1064" s="604" t="n">
        <x:v>0.93</x:v>
      </x:c>
      <x:c r="AW1064" s="604" t="n">
        <x:v>46300.07479607639</x:v>
      </x:c>
      <x:c r="AX1064" s="604" t="inlineStr">
        <x:is>
          <x:t xml:space="preserve">https://simondongxiao.github.io/odds/v4/</x:t>
        </x:is>
      </x:c>
      <x:c r="AY1064" s="604" t="inlineStr">
        <x:is>
          <x:t xml:space="preserve">V4 Shadow Only；real_money=false；P(EV&gt;0)不是比赛胜率</x:t>
        </x:is>
      </x:c>
    </x:row>
    <x:row r="1065" ht="22" customHeight="1">
      <x:c r="A1065" s="604" t="inlineStr">
        <x:is>
          <x:t xml:space="preserve">2026-10-05</x:t>
        </x:is>
      </x:c>
      <x:c r="B1065" s="604" t="inlineStr">
        <x:is>
          <x:t xml:space="preserve">2026-10-06 02:45</x:t>
        </x:is>
      </x:c>
      <x:c r="C1065" s="604" t="str">
        <x:v>欧洲非五大系列</x:v>
      </x:c>
      <x:c r="D1065" s="604" t="inlineStr">
        <x:is>
          <x:t xml:space="preserve">联赛</x:t>
        </x:is>
      </x:c>
      <x:c r="E1065" s="604" t="inlineStr">
        <x:is>
          <x:t xml:space="preserve">欧国联</x:t>
        </x:is>
      </x:c>
      <x:c r="F1065" s="604" t="inlineStr">
        <x:is>
          <x:t xml:space="preserve">波黑 vs 波兰</x:t>
        </x:is>
      </x:c>
      <x:c r="G1065" s="604" t="n">
        <x:v>0.84</x:v>
      </x:c>
      <x:c r="H1065" s="604" t="n">
        <x:v>-0.25</x:v>
      </x:c>
      <x:c r="I1065" s="604" t="n">
        <x:v>1.04</x:v>
      </x:c>
      <x:c r="J1065" s="604" t="inlineStr">
        <x:is>
          <x:t xml:space="preserve">0.84/-0.25/1.04</x:t>
        </x:is>
      </x:c>
      <x:c r="K1065" s="604" t="inlineStr">
        <x:is>
          <x:t xml:space="preserve">V4-B｜EV +0.1665</x:t>
        </x:is>
      </x:c>
      <x:c r="L1065" s="604" t="inlineStr">
        <x:is>
          <x:t xml:space="preserve">波黑</x:t>
        </x:is>
      </x:c>
      <x:c r="M1065" s="604" t="n">
        <x:v>0.6475796534976226</x:v>
      </x:c>
      <x:c r="N1065" s="604" t="inlineStr">
        <x:is>
          <x:t xml:space="preserve">V4纸面入选-B</x:t>
        </x:is>
      </x:c>
      <x:c r="O1065" s="604" t="inlineStr">
        <x:is>
          <x:t xml:space="preserve">1-0</x:t>
        </x:is>
      </x:c>
      <x:c r="P1065" s="604" t="inlineStr">
        <x:is>
          <x:t xml:space="preserve">已结算</x:t>
        </x:is>
      </x:c>
      <x:c r="Q1065" s="645" t="inlineStr">
        <x:is>
          <x:t xml:space="preserve">红</x:t>
        </x:is>
      </x:c>
      <x:c r="R1065" s="604" t="n">
        <x:v>0.84</x:v>
      </x:c>
      <x:c r="S1065" s="604" t="n">
        <x:f>IF(OR(Q1065="",Q1065="待结算"),"",IF(Q1065="红",R1065,IF(Q1065="半红",R1065*0.5,IF(Q1065="走",0,IF(Q1065="半黑",-0.5,-1)))))</x:f>
        <x:v>0.84</x:v>
      </x:c>
      <x:c r="T1065" s="604" t="inlineStr">
        <x:is>
          <x:t xml:space="preserve">https://m.titan007.com/analy/Analysis/2981504.htm</x:t>
        </x:is>
      </x:c>
      <x:c r="U1065" s="646" t="str">
        <x:f>IF(Q1065="","",IF(Q1065="待结算","待结算",IF(Q1065="红","黑",IF(Q1065="半红","半黑",IF(Q1065="走","走",IF(Q1065="半黑","半红","红"))))))</x:f>
        <x:v>黑</x:v>
      </x:c>
      <x:c r="V1065" s="604" t="n">
        <x:f>IF(OR(Q1065="",Q1065="待结算"),"",IF(L1065=LEFT(F1065,FIND(" vs ",F1065)-1),I1065,G1065))</x:f>
        <x:v>1.04</x:v>
      </x:c>
      <x:c r="W1065" s="604" t="n">
        <x:f>IF(OR(U1065="",U1065="待结算"),"",IF(U1065="红",V1065,IF(U1065="半红",V1065*0.5,IF(U1065="走",0,IF(U1065="半黑",-0.5,-1)))))</x:f>
        <x:v>-1</x:v>
      </x:c>
      <x:c r="X1065" s="604" t="inlineStr">
        <x:is>
          <x:t xml:space="preserve">2981504</x:t>
        </x:is>
      </x:c>
      <x:c r="Y1065" s="604" t="inlineStr">
        <x:is>
          <x:t xml:space="preserve">V4</x:t>
        </x:is>
      </x:c>
      <x:c r="Z1065" s="604" t="inlineStr">
        <x:is>
          <x:t xml:space="preserve">prior-2026-10-05-v1</x:t>
        </x:is>
      </x:c>
      <x:c r="AA1065" s="604" t="inlineStr">
        <x:is>
          <x:t xml:space="preserve">B</x:t>
        </x:is>
      </x:c>
      <x:c r="AB1065" s="604" t="n">
        <x:v>0.4320433514172464</x:v>
      </x:c>
      <x:c r="AC1065" s="604" t="n">
        <x:v>0.2616399172238104</x:v>
      </x:c>
      <x:c r="AD1065" s="604" t="n"/>
      <x:c r="AE1065" s="604" t="n"/>
      <x:c r="AF1065" s="604" t="n">
        <x:v>0.3063167313589431</x:v>
      </x:c>
      <x:c r="AG1065" s="604" t="n">
        <x:v>0.1664884490655443</x:v>
      </x:c>
      <x:c r="AH1065" s="604" t="n"/>
      <x:c r="AI1065" s="604" t="n"/>
      <x:c r="AJ1065" s="604" t="n">
        <x:v>0.1664884490655443</x:v>
      </x:c>
      <x:c r="AK1065" s="604" t="n"/>
      <x:c r="AL1065" s="604" t="n"/>
      <x:c r="AM1065" s="604" t="n"/>
      <x:c r="AN1065" s="604" t="inlineStr">
        <x:is>
          <x:t xml:space="preserve">EVALUATED</x:t>
        </x:is>
      </x:c>
      <x:c r="AO1065" s="604" t="inlineStr">
        <x:is>
          <x:t xml:space="preserve">RECEIVING_VALIDATED_EDGE、BUCKET_PRIOR_ONLY、INTENT_INTERPRETATION_ONLY、FFL_OPTIONAL、EXPERT_MARKET</x:t>
        </x:is>
      </x:c>
      <x:c r="AP1065" s="604" t="inlineStr">
        <x:is>
          <x:t xml:space="preserve">8b6df4cd54fd1a0d1f8d</x:t>
        </x:is>
      </x:c>
      <x:c r="AQ1065" s="604" t="n">
        <x:v>0.25</x:v>
      </x:c>
      <x:c r="AR1065" s="604" t="n">
        <x:v>0.84</x:v>
      </x:c>
      <x:c r="AS1065" s="604" t="n">
        <x:v>-0.25</x:v>
      </x:c>
      <x:c r="AT1065" s="604" t="n">
        <x:v>0.25</x:v>
      </x:c>
      <x:c r="AU1065" s="604" t="n">
        <x:v>0.84</x:v>
      </x:c>
      <x:c r="AV1065" s="604" t="n">
        <x:v>1.04</x:v>
      </x:c>
      <x:c r="AW1065" s="604" t="n">
        <x:v>46300.07479607639</x:v>
      </x:c>
      <x:c r="AX1065" s="604" t="inlineStr">
        <x:is>
          <x:t xml:space="preserve">https://simondongxiao.github.io/odds/v4/</x:t>
        </x:is>
      </x:c>
      <x:c r="AY1065" s="604" t="inlineStr">
        <x:is>
          <x:t xml:space="preserve">V4 Shadow Only；real_money=false；P(EV&gt;0)不是比赛胜率</x:t>
        </x:is>
      </x:c>
    </x:row>
    <x:row r="1066" ht="22" customHeight="1">
      <x:c r="A1066" s="604" t="inlineStr">
        <x:is>
          <x:t xml:space="preserve">2026-10-05</x:t>
        </x:is>
      </x:c>
      <x:c r="B1066" s="604" t="inlineStr">
        <x:is>
          <x:t xml:space="preserve">2026-10-06 02:45</x:t>
        </x:is>
      </x:c>
      <x:c r="C1066" s="604" t="str">
        <x:v>欧洲非五大系列</x:v>
      </x:c>
      <x:c r="D1066" s="604" t="inlineStr">
        <x:is>
          <x:t xml:space="preserve">联赛</x:t>
        </x:is>
      </x:c>
      <x:c r="E1066" s="604" t="inlineStr">
        <x:is>
          <x:t xml:space="preserve">欧国联</x:t>
        </x:is>
      </x:c>
      <x:c r="F1066" s="604" t="inlineStr">
        <x:is>
          <x:t xml:space="preserve">黑山 vs 亚美尼亚</x:t>
        </x:is>
      </x:c>
      <x:c r="G1066" s="604" t="n">
        <x:v>0.87</x:v>
      </x:c>
      <x:c r="H1066" s="604" t="n">
        <x:v>1</x:v>
      </x:c>
      <x:c r="I1066" s="604" t="n">
        <x:v>0.95</x:v>
      </x:c>
      <x:c r="J1066" s="604" t="inlineStr">
        <x:is>
          <x:t xml:space="preserve">0.87/1/0.95</x:t>
        </x:is>
      </x:c>
      <x:c r="K1066" s="604" t="inlineStr">
        <x:is>
          <x:t xml:space="preserve">V4-B｜EV +0.1548</x:t>
        </x:is>
      </x:c>
      <x:c r="L1066" s="604" t="inlineStr">
        <x:is>
          <x:t xml:space="preserve">黑山</x:t>
        </x:is>
      </x:c>
      <x:c r="M1066" s="604" t="n">
        <x:v>0.6454750365089031</x:v>
      </x:c>
      <x:c r="N1066" s="604" t="inlineStr">
        <x:is>
          <x:t xml:space="preserve">V4纸面入选-B</x:t>
        </x:is>
      </x:c>
      <x:c r="O1066" s="604" t="inlineStr">
        <x:is>
          <x:t xml:space="preserve">0-0</x:t>
        </x:is>
      </x:c>
      <x:c r="P1066" s="604" t="inlineStr">
        <x:is>
          <x:t xml:space="preserve">已结算</x:t>
        </x:is>
      </x:c>
      <x:c r="Q1066" s="646" t="inlineStr">
        <x:is>
          <x:t xml:space="preserve">黑</x:t>
        </x:is>
      </x:c>
      <x:c r="R1066" s="604" t="n">
        <x:v>0.87</x:v>
      </x:c>
      <x:c r="S1066" s="604" t="n">
        <x:f>IF(OR(Q1066="",Q1066="待结算"),"",IF(Q1066="红",R1066,IF(Q1066="半红",R1066*0.5,IF(Q1066="走",0,IF(Q1066="半黑",-0.5,-1)))))</x:f>
        <x:v>-1</x:v>
      </x:c>
      <x:c r="T1066" s="604" t="inlineStr">
        <x:is>
          <x:t xml:space="preserve">https://m.titan007.com/analy/Analysis/2981547.htm</x:t>
        </x:is>
      </x:c>
      <x:c r="U1066" s="645" t="str">
        <x:f>IF(Q1066="","",IF(Q1066="待结算","待结算",IF(Q1066="红","黑",IF(Q1066="半红","半黑",IF(Q1066="走","走",IF(Q1066="半黑","半红","红"))))))</x:f>
        <x:v>红</x:v>
      </x:c>
      <x:c r="V1066" s="604" t="n">
        <x:f>IF(OR(Q1066="",Q1066="待结算"),"",IF(L1066=LEFT(F1066,FIND(" vs ",F1066)-1),I1066,G1066))</x:f>
        <x:v>0.95</x:v>
      </x:c>
      <x:c r="W1066" s="604" t="n">
        <x:f>IF(OR(U1066="",U1066="待结算"),"",IF(U1066="红",V1066,IF(U1066="半红",V1066*0.5,IF(U1066="走",0,IF(U1066="半黑",-0.5,-1)))))</x:f>
        <x:v>0.95</x:v>
      </x:c>
      <x:c r="X1066" s="604" t="inlineStr">
        <x:is>
          <x:t xml:space="preserve">2981547</x:t>
        </x:is>
      </x:c>
      <x:c r="Y1066" s="604" t="inlineStr">
        <x:is>
          <x:t xml:space="preserve">V4</x:t>
        </x:is>
      </x:c>
      <x:c r="Z1066" s="604" t="inlineStr">
        <x:is>
          <x:t xml:space="preserve">prior-2026-10-05-v1</x:t>
        </x:is>
      </x:c>
      <x:c r="AA1066" s="604" t="inlineStr">
        <x:is>
          <x:t xml:space="preserve">B</x:t>
        </x:is>
      </x:c>
      <x:c r="AB1066" s="604" t="n">
        <x:v>0.4826100482372964</x:v>
      </x:c>
      <x:c r="AC1066" s="604" t="n"/>
      <x:c r="AD1066" s="604" t="n">
        <x:v>0.2523180279015489</x:v>
      </x:c>
      <x:c r="AE1066" s="604" t="n"/>
      <x:c r="AF1066" s="604" t="n">
        <x:v>0.2650719238611547</x:v>
      </x:c>
      <x:c r="AG1066" s="604" t="n">
        <x:v>0.1547988181052932</x:v>
      </x:c>
      <x:c r="AH1066" s="604" t="n"/>
      <x:c r="AI1066" s="604" t="n"/>
      <x:c r="AJ1066" s="604" t="n">
        <x:v>0.1547988181052932</x:v>
      </x:c>
      <x:c r="AK1066" s="604" t="n"/>
      <x:c r="AL1066" s="604" t="n"/>
      <x:c r="AM1066" s="604" t="n"/>
      <x:c r="AN1066" s="604" t="inlineStr">
        <x:is>
          <x:t xml:space="preserve">EVALUATED</x:t>
        </x:is>
      </x:c>
      <x:c r="AO1066" s="604" t="inlineStr">
        <x:is>
          <x:t xml:space="preserve">GIVING_VALIDATED_EDGE、BUCKET_PRIOR_ONLY、INTENT_INTERPRETATION_ONLY、FFL_OPTIONAL、EXPERT_MARKET</x:t>
        </x:is>
      </x:c>
      <x:c r="AP1066" s="604" t="inlineStr">
        <x:is>
          <x:t xml:space="preserve">8b79d1b53ad2ba058b3f</x:t>
        </x:is>
      </x:c>
      <x:c r="AQ1066" s="604" t="n">
        <x:v>-1</x:v>
      </x:c>
      <x:c r="AR1066" s="604" t="n">
        <x:v>0.87</x:v>
      </x:c>
      <x:c r="AS1066" s="604" t="n">
        <x:v>1</x:v>
      </x:c>
      <x:c r="AT1066" s="604" t="n">
        <x:v>-1</x:v>
      </x:c>
      <x:c r="AU1066" s="604" t="n">
        <x:v>0.87</x:v>
      </x:c>
      <x:c r="AV1066" s="604" t="n">
        <x:v>0.95</x:v>
      </x:c>
      <x:c r="AW1066" s="604" t="n">
        <x:v>46300.07479607639</x:v>
      </x:c>
      <x:c r="AX1066" s="604" t="inlineStr">
        <x:is>
          <x:t xml:space="preserve">https://simondongxiao.github.io/odds/v4/</x:t>
        </x:is>
      </x:c>
      <x:c r="AY1066" s="604" t="inlineStr">
        <x:is>
          <x:t xml:space="preserve">V4 Shadow Only；real_money=false；P(EV&gt;0)不是比赛胜率</x:t>
        </x:is>
      </x:c>
    </x:row>
    <x:row r="1067" ht="22" customHeight="1">
      <x:c r="A1067" s="604" t="inlineStr">
        <x:is>
          <x:t xml:space="preserve">2026-10-05</x:t>
        </x:is>
      </x:c>
      <x:c r="B1067" s="604" t="inlineStr">
        <x:is>
          <x:t xml:space="preserve">2026-10-06 02:45</x:t>
        </x:is>
      </x:c>
      <x:c r="C1067" s="604" t="str">
        <x:v>五大联赛非顶级联赛</x:v>
      </x:c>
      <x:c r="D1067" s="604" t="inlineStr">
        <x:is>
          <x:t xml:space="preserve">联赛</x:t>
        </x:is>
      </x:c>
      <x:c r="E1067" s="604" t="inlineStr">
        <x:is>
          <x:t xml:space="preserve">英依超</x:t>
        </x:is>
      </x:c>
      <x:c r="F1067" s="604" t="inlineStr">
        <x:is>
          <x:t xml:space="preserve">卡尔顿斯 vs 东伯尼</x:t>
        </x:is>
      </x:c>
      <x:c r="G1067" s="604" t="n">
        <x:v>0.79</x:v>
      </x:c>
      <x:c r="H1067" s="604" t="n">
        <x:v>-0.25</x:v>
      </x:c>
      <x:c r="I1067" s="604" t="n">
        <x:v>0.91</x:v>
      </x:c>
      <x:c r="J1067" s="604" t="inlineStr">
        <x:is>
          <x:t xml:space="preserve">0.79/-0.25/0.91</x:t>
        </x:is>
      </x:c>
      <x:c r="K1067" s="604" t="inlineStr">
        <x:is>
          <x:t xml:space="preserve">V4-B｜EV +0.1445</x:t>
        </x:is>
      </x:c>
      <x:c r="L1067" s="604" t="inlineStr">
        <x:is>
          <x:t xml:space="preserve">卡尔顿斯</x:t>
        </x:is>
      </x:c>
      <x:c r="M1067" s="604" t="n">
        <x:v>0.6513842526336402</x:v>
      </x:c>
      <x:c r="N1067" s="604" t="inlineStr">
        <x:is>
          <x:t xml:space="preserve">V4纸面入选-B</x:t>
        </x:is>
      </x:c>
      <x:c r="O1067" s="604" t="inlineStr">
        <x:is>
          <x:t xml:space="preserve">0-4</x:t>
        </x:is>
      </x:c>
      <x:c r="P1067" s="604" t="inlineStr">
        <x:is>
          <x:t xml:space="preserve">已结算</x:t>
        </x:is>
      </x:c>
      <x:c r="Q1067" s="646" t="inlineStr">
        <x:is>
          <x:t xml:space="preserve">黑</x:t>
        </x:is>
      </x:c>
      <x:c r="R1067" s="604" t="n">
        <x:v>0.79</x:v>
      </x:c>
      <x:c r="S1067" s="604" t="n">
        <x:f>IF(OR(Q1067="",Q1067="待结算"),"",IF(Q1067="红",R1067,IF(Q1067="半红",R1067*0.5,IF(Q1067="走",0,IF(Q1067="半黑",-0.5,-1)))))</x:f>
        <x:v>-1</x:v>
      </x:c>
      <x:c r="T1067" s="604" t="inlineStr">
        <x:is>
          <x:t xml:space="preserve">https://m.titan007.com/analy/Analysis/3037427.htm</x:t>
        </x:is>
      </x:c>
      <x:c r="U1067" s="645" t="str">
        <x:f>IF(Q1067="","",IF(Q1067="待结算","待结算",IF(Q1067="红","黑",IF(Q1067="半红","半黑",IF(Q1067="走","走",IF(Q1067="半黑","半红","红"))))))</x:f>
        <x:v>红</x:v>
      </x:c>
      <x:c r="V1067" s="604" t="n">
        <x:f>IF(OR(Q1067="",Q1067="待结算"),"",IF(L1067=LEFT(F1067,FIND(" vs ",F1067)-1),I1067,G1067))</x:f>
        <x:v>0.91</x:v>
      </x:c>
      <x:c r="W1067" s="604" t="n">
        <x:f>IF(OR(U1067="",U1067="待结算"),"",IF(U1067="红",V1067,IF(U1067="半红",V1067*0.5,IF(U1067="走",0,IF(U1067="半黑",-0.5,-1)))))</x:f>
        <x:v>0.91</x:v>
      </x:c>
      <x:c r="X1067" s="604" t="inlineStr">
        <x:is>
          <x:t xml:space="preserve">3037427</x:t>
        </x:is>
      </x:c>
      <x:c r="Y1067" s="604" t="inlineStr">
        <x:is>
          <x:t xml:space="preserve">V4</x:t>
        </x:is>
      </x:c>
      <x:c r="Z1067" s="604" t="inlineStr">
        <x:is>
          <x:t xml:space="preserve">prior-2026-10-05-v1</x:t>
        </x:is>
      </x:c>
      <x:c r="AA1067" s="604" t="inlineStr">
        <x:is>
          <x:t xml:space="preserve">B</x:t>
        </x:is>
      </x:c>
      <x:c r="AB1067" s="604" t="n">
        <x:v>0.4373971899141906</x:v>
      </x:c>
      <x:c r="AC1067" s="604" t="n">
        <x:v>0.2591608371924117</x:v>
      </x:c>
      <x:c r="AD1067" s="604" t="n"/>
      <x:c r="AE1067" s="604" t="n"/>
      <x:c r="AF1067" s="604" t="n">
        <x:v>0.3034419728933978</x:v>
      </x:c>
      <x:c r="AG1067" s="604" t="n">
        <x:v>0.1444703378298154</x:v>
      </x:c>
      <x:c r="AH1067" s="604" t="n"/>
      <x:c r="AI1067" s="604" t="n"/>
      <x:c r="AJ1067" s="604" t="n">
        <x:v>0.1444703378298154</x:v>
      </x:c>
      <x:c r="AK1067" s="604" t="n"/>
      <x:c r="AL1067" s="604" t="n"/>
      <x:c r="AM1067" s="604" t="n"/>
      <x:c r="AN1067" s="604" t="inlineStr">
        <x:is>
          <x:t xml:space="preserve">EVALUATED</x:t>
        </x:is>
      </x:c>
      <x:c r="AO1067" s="604" t="inlineStr">
        <x:is>
          <x:t xml:space="preserve">RECEIVING_VALIDATED_EDGE、BUCKET_PRIOR_ONLY、INTENT_INTERPRETATION_ONLY、FFL_OPTIONAL、EXPERT_MARKET</x:t>
        </x:is>
      </x:c>
      <x:c r="AP1067" s="604" t="inlineStr">
        <x:is>
          <x:t xml:space="preserve">a42a0128b8b58042f1e6</x:t>
        </x:is>
      </x:c>
      <x:c r="AQ1067" s="604" t="n">
        <x:v>0.25</x:v>
      </x:c>
      <x:c r="AR1067" s="604" t="n">
        <x:v>0.79</x:v>
      </x:c>
      <x:c r="AS1067" s="604" t="n">
        <x:v>-0.25</x:v>
      </x:c>
      <x:c r="AT1067" s="604" t="n">
        <x:v>0.25</x:v>
      </x:c>
      <x:c r="AU1067" s="604" t="n">
        <x:v>0.79</x:v>
      </x:c>
      <x:c r="AV1067" s="604" t="n">
        <x:v>0.91</x:v>
      </x:c>
      <x:c r="AW1067" s="604" t="n">
        <x:v>46300.07479607639</x:v>
      </x:c>
      <x:c r="AX1067" s="604" t="inlineStr">
        <x:is>
          <x:t xml:space="preserve">https://simondongxiao.github.io/odds/v4/</x:t>
        </x:is>
      </x:c>
      <x:c r="AY1067" s="604" t="inlineStr">
        <x:is>
          <x:t xml:space="preserve">V4 Shadow Only；real_money=false；P(EV&gt;0)不是比赛胜率</x:t>
        </x:is>
      </x:c>
    </x:row>
    <x:row r="1068" ht="22" customHeight="1">
      <x:c r="A1068" s="604" t="inlineStr">
        <x:is>
          <x:t xml:space="preserve">2026-10-05</x:t>
        </x:is>
      </x:c>
      <x:c r="B1068" s="604" t="inlineStr">
        <x:is>
          <x:t xml:space="preserve">2026-10-06 02:45</x:t>
        </x:is>
      </x:c>
      <x:c r="C1068" s="604" t="str">
        <x:v>五大联赛非顶级联赛</x:v>
      </x:c>
      <x:c r="D1068" s="604" t="inlineStr">
        <x:is>
          <x:t xml:space="preserve">联赛</x:t>
        </x:is>
      </x:c>
      <x:c r="E1068" s="604" t="inlineStr">
        <x:is>
          <x:t xml:space="preserve">英依联甲</x:t>
        </x:is>
      </x:c>
      <x:c r="F1068" s="604" t="inlineStr">
        <x:is>
          <x:t xml:space="preserve">雷德桥 vs 康卡德流浪</x:t>
        </x:is>
      </x:c>
      <x:c r="G1068" s="604" t="n">
        <x:v>0.88</x:v>
      </x:c>
      <x:c r="H1068" s="604" t="n">
        <x:v>0</x:v>
      </x:c>
      <x:c r="I1068" s="604" t="n">
        <x:v>0.93</x:v>
      </x:c>
      <x:c r="J1068" s="604" t="inlineStr">
        <x:is>
          <x:t xml:space="preserve">0.88/0/0.93</x:t>
        </x:is>
      </x:c>
      <x:c r="K1068" s="604" t="inlineStr">
        <x:is>
          <x:t xml:space="preserve">V4-C｜EV +0.0083</x:t>
        </x:is>
      </x:c>
      <x:c r="L1068" s="604" t="str"/>
      <x:c r="M1068" s="604" t="n">
        <x:v>0.5363300796740913</x:v>
      </x:c>
      <x:c r="N1068" s="604" t="inlineStr">
        <x:is>
          <x:t xml:space="preserve">V4纸面入选-C</x:t>
        </x:is>
      </x:c>
      <x:c r="O1068" s="604" t="inlineStr">
        <x:is>
          <x:t xml:space="preserve">3-2</x:t>
        </x:is>
      </x:c>
      <x:c r="P1068" s="604" t="inlineStr">
        <x:is>
          <x:t xml:space="preserve">已结算</x:t>
        </x:is>
      </x:c>
      <x:c r="Q1068" s="645" t="inlineStr">
        <x:is>
          <x:t xml:space="preserve">红</x:t>
        </x:is>
      </x:c>
      <x:c r="R1068" s="604" t="n">
        <x:v>0.93</x:v>
      </x:c>
      <x:c r="S1068" s="604" t="n">
        <x:f>IF(OR(Q1068="",Q1068="待结算"),"",IF(Q1068="红",R1068,IF(Q1068="半红",R1068*0.5,IF(Q1068="走",0,IF(Q1068="半黑",-0.5,-1)))))</x:f>
        <x:v>0.93</x:v>
      </x:c>
      <x:c r="T1068" s="604" t="inlineStr">
        <x:is>
          <x:t xml:space="preserve">https://m.titan007.com/analy/Analysis/3099089.htm</x:t>
        </x:is>
      </x:c>
      <x:c r="U1068" s="646" t="str">
        <x:f>IF(Q1068="","",IF(Q1068="待结算","待结算",IF(Q1068="红","黑",IF(Q1068="半红","半黑",IF(Q1068="走","走",IF(Q1068="半黑","半红","红"))))))</x:f>
        <x:v>黑</x:v>
      </x:c>
      <x:c r="V1068" s="604" t="n">
        <x:f>IF(OR(Q1068="",Q1068="待结算"),"",IF(L1068=LEFT(F1068,FIND(" vs ",F1068)-1),I1068,G1068))</x:f>
        <x:v>0.88</x:v>
      </x:c>
      <x:c r="W1068" s="604" t="n">
        <x:f>IF(OR(U1068="",U1068="待结算"),"",IF(U1068="红",V1068,IF(U1068="半红",V1068*0.5,IF(U1068="走",0,IF(U1068="半黑",-0.5,-1)))))</x:f>
        <x:v>-1</x:v>
      </x:c>
      <x:c r="X1068" s="604" t="inlineStr">
        <x:is>
          <x:t xml:space="preserve">3099089</x:t>
        </x:is>
      </x:c>
      <x:c r="Y1068" s="604" t="inlineStr">
        <x:is>
          <x:t xml:space="preserve">V4</x:t>
        </x:is>
      </x:c>
      <x:c r="Z1068" s="604" t="inlineStr">
        <x:is>
          <x:t xml:space="preserve">prior-2026-10-05-v1</x:t>
        </x:is>
      </x:c>
      <x:c r="AA1068" s="604" t="inlineStr">
        <x:is>
          <x:t xml:space="preserve">C</x:t>
        </x:is>
      </x:c>
      <x:c r="AB1068" s="604" t="n">
        <x:v>0.5363300796740913</x:v>
      </x:c>
      <x:c r="AC1068" s="604" t="n"/>
      <x:c r="AD1068" s="604" t="n"/>
      <x:c r="AE1068" s="604" t="n"/>
      <x:c r="AF1068" s="604" t="n">
        <x:v>0.4636699203259088</x:v>
      </x:c>
      <x:c r="AG1068" s="604" t="n">
        <x:v>0.008300549787291611</x:v>
      </x:c>
      <x:c r="AH1068" s="604" t="n"/>
      <x:c r="AI1068" s="604" t="n"/>
      <x:c r="AJ1068" s="604" t="n">
        <x:v>0.008300549787291611</x:v>
      </x:c>
      <x:c r="AK1068" s="604" t="n"/>
      <x:c r="AL1068" s="604" t="n"/>
      <x:c r="AM1068" s="604" t="n"/>
      <x:c r="AN1068" s="604" t="inlineStr">
        <x:is>
          <x:t xml:space="preserve">EVALUATED</x:t>
        </x:is>
      </x:c>
      <x:c r="AO1068" s="604" t="inlineStr">
        <x:is>
          <x:t xml:space="preserve">EDGE_BELOW_UNCERTAINTY_THRESHOLD、BUCKET_PRIOR_ONLY、INTENT_INTERPRETATION_ONLY、FFL_OPTIONAL、EXPERT_MARKET</x:t>
        </x:is>
      </x:c>
      <x:c r="AP1068" s="604" t="inlineStr">
        <x:is>
          <x:t xml:space="preserve">64a20b864b698f0ff273</x:t>
        </x:is>
      </x:c>
      <x:c r="AQ1068" s="604" t="n">
        <x:v>0</x:v>
      </x:c>
      <x:c r="AR1068" s="604" t="n"/>
      <x:c r="AS1068" s="604" t="n">
        <x:v>0</x:v>
      </x:c>
      <x:c r="AT1068" s="604" t="n">
        <x:v>0</x:v>
      </x:c>
      <x:c r="AU1068" s="604" t="n">
        <x:v>0.88</x:v>
      </x:c>
      <x:c r="AV1068" s="604" t="n">
        <x:v>0.93</x:v>
      </x:c>
      <x:c r="AW1068" s="604" t="n">
        <x:v>46300.07479607639</x:v>
      </x:c>
      <x:c r="AX1068" s="604" t="inlineStr">
        <x:is>
          <x:t xml:space="preserve">https://simondongxiao.github.io/odds/v4/</x:t>
        </x:is>
      </x:c>
      <x:c r="AY1068" s="604" t="inlineStr">
        <x:is>
          <x:t xml:space="preserve">V4 Shadow Only；real_money=false；P(EV&gt;0)不是比赛胜率</x:t>
        </x:is>
      </x:c>
    </x:row>
    <x:row r="1069" ht="22" customHeight="1">
      <x:c r="A1069" s="604" t="inlineStr">
        <x:is>
          <x:t xml:space="preserve">2026-10-05</x:t>
        </x:is>
      </x:c>
      <x:c r="B1069" s="604" t="inlineStr">
        <x:is>
          <x:t xml:space="preserve">2026-10-06 03:00</x:t>
        </x:is>
      </x:c>
      <x:c r="C1069" s="604" t="str">
        <x:v>北美系列</x:v>
      </x:c>
      <x:c r="D1069" s="604" t="inlineStr">
        <x:is>
          <x:t xml:space="preserve">联赛</x:t>
        </x:is>
      </x:c>
      <x:c r="E1069" s="604" t="inlineStr">
        <x:is>
          <x:t xml:space="preserve">中北美国联</x:t>
        </x:is>
      </x:c>
      <x:c r="F1069" s="604" t="inlineStr">
        <x:is>
          <x:t xml:space="preserve">瓜德罗普 vs 圣卢西亚</x:t>
        </x:is>
      </x:c>
      <x:c r="G1069" s="604" t="n">
        <x:v>0.89</x:v>
      </x:c>
      <x:c r="H1069" s="604" t="n">
        <x:v>-0.5</x:v>
      </x:c>
      <x:c r="I1069" s="604" t="n">
        <x:v>0.8100000000000001</x:v>
      </x:c>
      <x:c r="J1069" s="604" t="inlineStr">
        <x:is>
          <x:t xml:space="preserve">0.89/-0.5/0.81</x:t>
        </x:is>
      </x:c>
      <x:c r="K1069" s="604" t="inlineStr">
        <x:is>
          <x:t xml:space="preserve">V4-B｜EV +0.4953</x:t>
        </x:is>
      </x:c>
      <x:c r="L1069" s="604" t="inlineStr">
        <x:is>
          <x:t xml:space="preserve">瓜德罗普</x:t>
        </x:is>
      </x:c>
      <x:c r="M1069" s="604" t="n">
        <x:v>0.791179643169109</x:v>
      </x:c>
      <x:c r="N1069" s="604" t="inlineStr">
        <x:is>
          <x:t xml:space="preserve">V4纸面入选-B</x:t>
        </x:is>
      </x:c>
      <x:c r="O1069" s="604" t="inlineStr">
        <x:is>
          <x:t xml:space="preserve">0-1</x:t>
        </x:is>
      </x:c>
      <x:c r="P1069" s="604" t="inlineStr">
        <x:is>
          <x:t xml:space="preserve">已结算</x:t>
        </x:is>
      </x:c>
      <x:c r="Q1069" s="646" t="inlineStr">
        <x:is>
          <x:t xml:space="preserve">黑</x:t>
        </x:is>
      </x:c>
      <x:c r="R1069" s="604" t="n">
        <x:v>0.89</x:v>
      </x:c>
      <x:c r="S1069" s="604" t="n">
        <x:f>IF(OR(Q1069="",Q1069="待结算"),"",IF(Q1069="红",R1069,IF(Q1069="半红",R1069*0.5,IF(Q1069="走",0,IF(Q1069="半黑",-0.5,-1)))))</x:f>
        <x:v>-1</x:v>
      </x:c>
      <x:c r="T1069" s="604" t="inlineStr">
        <x:is>
          <x:t xml:space="preserve">https://m.titan007.com/analy/Analysis/3092466.htm</x:t>
        </x:is>
      </x:c>
      <x:c r="U1069" s="645" t="str">
        <x:f>IF(Q1069="","",IF(Q1069="待结算","待结算",IF(Q1069="红","黑",IF(Q1069="半红","半黑",IF(Q1069="走","走",IF(Q1069="半黑","半红","红"))))))</x:f>
        <x:v>红</x:v>
      </x:c>
      <x:c r="V1069" s="604" t="n">
        <x:f>IF(OR(Q1069="",Q1069="待结算"),"",IF(L1069=LEFT(F1069,FIND(" vs ",F1069)-1),I1069,G1069))</x:f>
        <x:v>0.81</x:v>
      </x:c>
      <x:c r="W1069" s="604" t="n">
        <x:f>IF(OR(U1069="",U1069="待结算"),"",IF(U1069="红",V1069,IF(U1069="半红",V1069*0.5,IF(U1069="走",0,IF(U1069="半黑",-0.5,-1)))))</x:f>
        <x:v>0.81</x:v>
      </x:c>
      <x:c r="X1069" s="604" t="inlineStr">
        <x:is>
          <x:t xml:space="preserve">3092466</x:t>
        </x:is>
      </x:c>
      <x:c r="Y1069" s="604" t="inlineStr">
        <x:is>
          <x:t xml:space="preserve">V4</x:t>
        </x:is>
      </x:c>
      <x:c r="Z1069" s="604" t="inlineStr">
        <x:is>
          <x:t xml:space="preserve">prior-2026-10-05-v1</x:t>
        </x:is>
      </x:c>
      <x:c r="AA1069" s="604" t="inlineStr">
        <x:is>
          <x:t xml:space="preserve">B</x:t>
        </x:is>
      </x:c>
      <x:c r="AB1069" s="604" t="n">
        <x:v>0.791179643169109</x:v>
      </x:c>
      <x:c r="AC1069" s="604" t="n"/>
      <x:c r="AD1069" s="604" t="n"/>
      <x:c r="AE1069" s="604" t="n"/>
      <x:c r="AF1069" s="604" t="n">
        <x:v>0.2088203568308909</x:v>
      </x:c>
      <x:c r="AG1069" s="604" t="n">
        <x:v>0.4953295255896161</x:v>
      </x:c>
      <x:c r="AH1069" s="604" t="n"/>
      <x:c r="AI1069" s="604" t="n"/>
      <x:c r="AJ1069" s="604" t="n">
        <x:v>0.4953295255896161</x:v>
      </x:c>
      <x:c r="AK1069" s="604" t="n"/>
      <x:c r="AL1069" s="604" t="n"/>
      <x:c r="AM1069" s="604" t="n"/>
      <x:c r="AN1069" s="604" t="inlineStr">
        <x:is>
          <x:t xml:space="preserve">EVALUATED</x:t>
        </x:is>
      </x:c>
      <x:c r="AO1069" s="604" t="inlineStr">
        <x:is>
          <x:t xml:space="preserve">RECEIVING_VALIDATED_EDGE、BUCKET_PRIOR_ONLY、INTENT_INTERPRETATION_ONLY、FFL_OPTIONAL、EXPERT_MARKET</x:t>
        </x:is>
      </x:c>
      <x:c r="AP1069" s="604" t="inlineStr">
        <x:is>
          <x:t xml:space="preserve">2e982d68dabecc578ba1</x:t>
        </x:is>
      </x:c>
      <x:c r="AQ1069" s="604" t="n">
        <x:v>0.5</x:v>
      </x:c>
      <x:c r="AR1069" s="604" t="n">
        <x:v>0.89</x:v>
      </x:c>
      <x:c r="AS1069" s="604" t="n">
        <x:v>-0.5</x:v>
      </x:c>
      <x:c r="AT1069" s="604" t="n">
        <x:v>0.5</x:v>
      </x:c>
      <x:c r="AU1069" s="604" t="n">
        <x:v>0.89</x:v>
      </x:c>
      <x:c r="AV1069" s="604" t="n">
        <x:v>0.8100000000000001</x:v>
      </x:c>
      <x:c r="AW1069" s="604" t="n">
        <x:v>46300.07479607639</x:v>
      </x:c>
      <x:c r="AX1069" s="604" t="inlineStr">
        <x:is>
          <x:t xml:space="preserve">https://simondongxiao.github.io/odds/v4/</x:t>
        </x:is>
      </x:c>
      <x:c r="AY1069" s="604" t="inlineStr">
        <x:is>
          <x:t xml:space="preserve">V4 Shadow Only；real_money=false；P(EV&gt;0)不是比赛胜率</x:t>
        </x:is>
      </x:c>
    </x:row>
    <x:row r="1070" ht="22" customHeight="1">
      <x:c r="A1070" s="604" t="inlineStr">
        <x:is>
          <x:t xml:space="preserve">2026-10-05</x:t>
        </x:is>
      </x:c>
      <x:c r="B1070" s="604" t="inlineStr">
        <x:is>
          <x:t xml:space="preserve">2026-10-06 03:45</x:t>
        </x:is>
      </x:c>
      <x:c r="C1070" s="604" t="str">
        <x:v>南美系列</x:v>
      </x:c>
      <x:c r="D1070" s="604" t="inlineStr">
        <x:is>
          <x:t xml:space="preserve">联赛</x:t>
        </x:is>
      </x:c>
      <x:c r="E1070" s="604" t="inlineStr">
        <x:is>
          <x:t xml:space="preserve">阿甲</x:t>
        </x:is>
      </x:c>
      <x:c r="F1070" s="604" t="inlineStr">
        <x:is>
          <x:t xml:space="preserve">利斯特雷 vs 科尔多瓦中央SDE</x:t>
        </x:is>
      </x:c>
      <x:c r="G1070" s="604" t="n">
        <x:v>0.91</x:v>
      </x:c>
      <x:c r="H1070" s="604" t="n">
        <x:v>0.5</x:v>
      </x:c>
      <x:c r="I1070" s="604" t="n">
        <x:v>0.97</x:v>
      </x:c>
      <x:c r="J1070" s="604" t="inlineStr">
        <x:is>
          <x:t xml:space="preserve">0.91/0.5/0.97</x:t>
        </x:is>
      </x:c>
      <x:c r="K1070" s="604" t="inlineStr">
        <x:is>
          <x:t xml:space="preserve">V4-A｜EV +0.1825</x:t>
        </x:is>
      </x:c>
      <x:c r="L1070" s="604" t="inlineStr">
        <x:is>
          <x:t xml:space="preserve">利斯特雷</x:t>
        </x:is>
      </x:c>
      <x:c r="M1070" s="604" t="n">
        <x:v>0.6191356144304923</x:v>
      </x:c>
      <x:c r="N1070" s="604" t="inlineStr">
        <x:is>
          <x:t xml:space="preserve">V4纸面入选-A</x:t>
        </x:is>
      </x:c>
      <x:c r="O1070" s="604" t="inlineStr">
        <x:is>
          <x:t xml:space="preserve">1-1</x:t>
        </x:is>
      </x:c>
      <x:c r="P1070" s="604" t="inlineStr">
        <x:is>
          <x:t xml:space="preserve">已结算</x:t>
        </x:is>
      </x:c>
      <x:c r="Q1070" s="646" t="inlineStr">
        <x:is>
          <x:t xml:space="preserve">黑</x:t>
        </x:is>
      </x:c>
      <x:c r="R1070" s="604" t="n">
        <x:v>0.91</x:v>
      </x:c>
      <x:c r="S1070" s="604" t="n">
        <x:f>IF(OR(Q1070="",Q1070="待结算"),"",IF(Q1070="红",R1070,IF(Q1070="半红",R1070*0.5,IF(Q1070="走",0,IF(Q1070="半黑",-0.5,-1)))))</x:f>
        <x:v>-1</x:v>
      </x:c>
      <x:c r="T1070" s="604" t="inlineStr">
        <x:is>
          <x:t xml:space="preserve">https://m.titan007.com/analy/Analysis/2962658.htm</x:t>
        </x:is>
      </x:c>
      <x:c r="U1070" s="645" t="str">
        <x:f>IF(Q1070="","",IF(Q1070="待结算","待结算",IF(Q1070="红","黑",IF(Q1070="半红","半黑",IF(Q1070="走","走",IF(Q1070="半黑","半红","红"))))))</x:f>
        <x:v>红</x:v>
      </x:c>
      <x:c r="V1070" s="604" t="n">
        <x:f>IF(OR(Q1070="",Q1070="待结算"),"",IF(L1070=LEFT(F1070,FIND(" vs ",F1070)-1),I1070,G1070))</x:f>
        <x:v>0.97</x:v>
      </x:c>
      <x:c r="W1070" s="604" t="n">
        <x:f>IF(OR(U1070="",U1070="待结算"),"",IF(U1070="红",V1070,IF(U1070="半红",V1070*0.5,IF(U1070="走",0,IF(U1070="半黑",-0.5,-1)))))</x:f>
        <x:v>0.97</x:v>
      </x:c>
      <x:c r="X1070" s="604" t="inlineStr">
        <x:is>
          <x:t xml:space="preserve">2962658</x:t>
        </x:is>
      </x:c>
      <x:c r="Y1070" s="604" t="inlineStr">
        <x:is>
          <x:t xml:space="preserve">V4</x:t>
        </x:is>
      </x:c>
      <x:c r="Z1070" s="604" t="inlineStr">
        <x:is>
          <x:t xml:space="preserve">prior-2026-10-05-v1</x:t>
        </x:is>
      </x:c>
      <x:c r="AA1070" s="604" t="inlineStr">
        <x:is>
          <x:t xml:space="preserve">A</x:t>
        </x:is>
      </x:c>
      <x:c r="AB1070" s="604" t="n">
        <x:v>0.6191356144304923</x:v>
      </x:c>
      <x:c r="AC1070" s="604" t="n"/>
      <x:c r="AD1070" s="604" t="n"/>
      <x:c r="AE1070" s="604" t="n"/>
      <x:c r="AF1070" s="604" t="n">
        <x:v>0.3808643855695077</x:v>
      </x:c>
      <x:c r="AG1070" s="604" t="n">
        <x:v>0.1825490235622402</x:v>
      </x:c>
      <x:c r="AH1070" s="604" t="n"/>
      <x:c r="AI1070" s="604" t="n"/>
      <x:c r="AJ1070" s="604" t="n">
        <x:v>0.1825490235622402</x:v>
      </x:c>
      <x:c r="AK1070" s="604" t="n"/>
      <x:c r="AL1070" s="604" t="n"/>
      <x:c r="AM1070" s="604" t="n"/>
      <x:c r="AN1070" s="604" t="inlineStr">
        <x:is>
          <x:t xml:space="preserve">EVALUATED</x:t>
        </x:is>
      </x:c>
      <x:c r="AO1070" s="604" t="inlineStr">
        <x:is>
          <x:t xml:space="preserve">GIVING_VALIDATED_EDGE、BUCKET_PRIOR_ONLY、INTENT_INTERPRETATION_ONLY、FFL_OPTIONAL、EXPERT_MARKET</x:t>
        </x:is>
      </x:c>
      <x:c r="AP1070" s="604" t="inlineStr">
        <x:is>
          <x:t xml:space="preserve">884c3753f6d6ad831060</x:t>
        </x:is>
      </x:c>
      <x:c r="AQ1070" s="604" t="n">
        <x:v>-0.5</x:v>
      </x:c>
      <x:c r="AR1070" s="604" t="n">
        <x:v>0.91</x:v>
      </x:c>
      <x:c r="AS1070" s="604" t="n">
        <x:v>0.5</x:v>
      </x:c>
      <x:c r="AT1070" s="604" t="n">
        <x:v>-0.5</x:v>
      </x:c>
      <x:c r="AU1070" s="604" t="n">
        <x:v>0.91</x:v>
      </x:c>
      <x:c r="AV1070" s="604" t="n">
        <x:v>0.97</x:v>
      </x:c>
      <x:c r="AW1070" s="604" t="n">
        <x:v>46300.07479607639</x:v>
      </x:c>
      <x:c r="AX1070" s="604" t="inlineStr">
        <x:is>
          <x:t xml:space="preserve">https://simondongxiao.github.io/odds/v4/</x:t>
        </x:is>
      </x:c>
      <x:c r="AY1070" s="604" t="inlineStr">
        <x:is>
          <x:t xml:space="preserve">V4 Shadow Only；real_money=false；P(EV&gt;0)不是比赛胜率</x:t>
        </x:is>
      </x:c>
    </x:row>
    <x:row r="1071" ht="22" customHeight="1">
      <x:c r="A1071" s="604" t="inlineStr">
        <x:is>
          <x:t xml:space="preserve">2026-10-05</x:t>
        </x:is>
      </x:c>
      <x:c r="B1071" s="604" t="inlineStr">
        <x:is>
          <x:t xml:space="preserve">2026-10-06 04:00</x:t>
        </x:is>
      </x:c>
      <x:c r="C1071" s="604" t="str">
        <x:v>南美系列</x:v>
      </x:c>
      <x:c r="D1071" s="604" t="inlineStr">
        <x:is>
          <x:t xml:space="preserve">联赛</x:t>
        </x:is>
      </x:c>
      <x:c r="E1071" s="604" t="inlineStr">
        <x:is>
          <x:t xml:space="preserve">巴拉甲秋</x:t>
        </x:is>
      </x:c>
      <x:c r="F1071" s="604" t="inlineStr">
        <x:is>
          <x:t xml:space="preserve">泰里尼登斯 vs 卢捷诺体育会</x:t>
        </x:is>
      </x:c>
      <x:c r="G1071" s="604" t="n">
        <x:v>0.83</x:v>
      </x:c>
      <x:c r="H1071" s="604" t="n">
        <x:v>0.5</x:v>
      </x:c>
      <x:c r="I1071" s="604" t="n">
        <x:v>0.93</x:v>
      </x:c>
      <x:c r="J1071" s="604" t="inlineStr">
        <x:is>
          <x:t xml:space="preserve">0.83/0.5/0.93</x:t>
        </x:is>
      </x:c>
      <x:c r="K1071" s="604" t="inlineStr">
        <x:is>
          <x:t xml:space="preserve">V4-B｜EV +0.0925</x:t>
        </x:is>
      </x:c>
      <x:c r="L1071" s="604" t="inlineStr">
        <x:is>
          <x:t xml:space="preserve">泰里尼登斯</x:t>
        </x:is>
      </x:c>
      <x:c r="M1071" s="604" t="n">
        <x:v>0.5969897807765826</x:v>
      </x:c>
      <x:c r="N1071" s="604" t="inlineStr">
        <x:is>
          <x:t xml:space="preserve">V4纸面入选-B</x:t>
        </x:is>
      </x:c>
      <x:c r="O1071" s="604" t="inlineStr">
        <x:is>
          <x:t xml:space="preserve">3-2</x:t>
        </x:is>
      </x:c>
      <x:c r="P1071" s="604" t="inlineStr">
        <x:is>
          <x:t xml:space="preserve">已结算</x:t>
        </x:is>
      </x:c>
      <x:c r="Q1071" s="645" t="inlineStr">
        <x:is>
          <x:t xml:space="preserve">红</x:t>
        </x:is>
      </x:c>
      <x:c r="R1071" s="604" t="n">
        <x:v>0.83</x:v>
      </x:c>
      <x:c r="S1071" s="604" t="n">
        <x:f>IF(OR(Q1071="",Q1071="待结算"),"",IF(Q1071="红",R1071,IF(Q1071="半红",R1071*0.5,IF(Q1071="走",0,IF(Q1071="半黑",-0.5,-1)))))</x:f>
        <x:v>0.83</x:v>
      </x:c>
      <x:c r="T1071" s="604" t="inlineStr">
        <x:is>
          <x:t xml:space="preserve">https://m.titan007.com/analy/Analysis/3074198.htm</x:t>
        </x:is>
      </x:c>
      <x:c r="U1071" s="646" t="str">
        <x:f>IF(Q1071="","",IF(Q1071="待结算","待结算",IF(Q1071="红","黑",IF(Q1071="半红","半黑",IF(Q1071="走","走",IF(Q1071="半黑","半红","红"))))))</x:f>
        <x:v>黑</x:v>
      </x:c>
      <x:c r="V1071" s="604" t="n">
        <x:f>IF(OR(Q1071="",Q1071="待结算"),"",IF(L1071=LEFT(F1071,FIND(" vs ",F1071)-1),I1071,G1071))</x:f>
        <x:v>0.93</x:v>
      </x:c>
      <x:c r="W1071" s="604" t="n">
        <x:f>IF(OR(U1071="",U1071="待结算"),"",IF(U1071="红",V1071,IF(U1071="半红",V1071*0.5,IF(U1071="走",0,IF(U1071="半黑",-0.5,-1)))))</x:f>
        <x:v>-1</x:v>
      </x:c>
      <x:c r="X1071" s="604" t="inlineStr">
        <x:is>
          <x:t xml:space="preserve">3074198</x:t>
        </x:is>
      </x:c>
      <x:c r="Y1071" s="604" t="inlineStr">
        <x:is>
          <x:t xml:space="preserve">V4</x:t>
        </x:is>
      </x:c>
      <x:c r="Z1071" s="604" t="inlineStr">
        <x:is>
          <x:t xml:space="preserve">prior-2026-10-05-v1</x:t>
        </x:is>
      </x:c>
      <x:c r="AA1071" s="604" t="inlineStr">
        <x:is>
          <x:t xml:space="preserve">B</x:t>
        </x:is>
      </x:c>
      <x:c r="AB1071" s="604" t="n">
        <x:v>0.5969897807765826</x:v>
      </x:c>
      <x:c r="AC1071" s="604" t="n"/>
      <x:c r="AD1071" s="604" t="n"/>
      <x:c r="AE1071" s="604" t="n"/>
      <x:c r="AF1071" s="604" t="n">
        <x:v>0.4030102192234174</x:v>
      </x:c>
      <x:c r="AG1071" s="604" t="n">
        <x:v>0.09249129882114615</x:v>
      </x:c>
      <x:c r="AH1071" s="604" t="n"/>
      <x:c r="AI1071" s="604" t="n"/>
      <x:c r="AJ1071" s="604" t="n">
        <x:v>0.09249129882114615</x:v>
      </x:c>
      <x:c r="AK1071" s="604" t="n"/>
      <x:c r="AL1071" s="604" t="n"/>
      <x:c r="AM1071" s="604" t="n"/>
      <x:c r="AN1071" s="604" t="inlineStr">
        <x:is>
          <x:t xml:space="preserve">EVALUATED</x:t>
        </x:is>
      </x:c>
      <x:c r="AO1071" s="604" t="inlineStr">
        <x:is>
          <x:t xml:space="preserve">GIVING_VALIDATED_EDGE、BUCKET_PRIOR_ONLY、INTENT_INTERPRETATION_ONLY、FFL_OPTIONAL、EXPERT_MARKET</x:t>
        </x:is>
      </x:c>
      <x:c r="AP1071" s="604" t="inlineStr">
        <x:is>
          <x:t xml:space="preserve">a31831c21f7aa3aacb0c</x:t>
        </x:is>
      </x:c>
      <x:c r="AQ1071" s="604" t="n">
        <x:v>-0.5</x:v>
      </x:c>
      <x:c r="AR1071" s="604" t="n">
        <x:v>0.83</x:v>
      </x:c>
      <x:c r="AS1071" s="604" t="n">
        <x:v>0.5</x:v>
      </x:c>
      <x:c r="AT1071" s="604" t="n">
        <x:v>-0.5</x:v>
      </x:c>
      <x:c r="AU1071" s="604" t="n">
        <x:v>0.83</x:v>
      </x:c>
      <x:c r="AV1071" s="604" t="n">
        <x:v>0.93</x:v>
      </x:c>
      <x:c r="AW1071" s="604" t="n">
        <x:v>46300.07479607639</x:v>
      </x:c>
      <x:c r="AX1071" s="604" t="inlineStr">
        <x:is>
          <x:t xml:space="preserve">https://simondongxiao.github.io/odds/v4/</x:t>
        </x:is>
      </x:c>
      <x:c r="AY1071" s="604" t="inlineStr">
        <x:is>
          <x:t xml:space="preserve">V4 Shadow Only；real_money=false；P(EV&gt;0)不是比赛胜率</x:t>
        </x:is>
      </x:c>
    </x:row>
    <x:row r="1072" ht="22" customHeight="1">
      <x:c r="A1072" s="604" t="inlineStr">
        <x:is>
          <x:t xml:space="preserve">2026-10-05</x:t>
        </x:is>
      </x:c>
      <x:c r="B1072" s="604" t="inlineStr">
        <x:is>
          <x:t xml:space="preserve">2026-10-06 04:00</x:t>
        </x:is>
      </x:c>
      <x:c r="C1072" s="604" t="str">
        <x:v>南美系列</x:v>
      </x:c>
      <x:c r="D1072" s="604" t="inlineStr">
        <x:is>
          <x:t xml:space="preserve">联赛</x:t>
        </x:is>
      </x:c>
      <x:c r="E1072" s="604" t="inlineStr">
        <x:is>
          <x:t xml:space="preserve">阿乙</x:t>
        </x:is>
      </x:c>
      <x:c r="F1072" s="604" t="inlineStr">
        <x:is>
          <x:t xml:space="preserve">新芝加哥 vs 迈普</x:t>
        </x:is>
      </x:c>
      <x:c r="G1072" s="604" t="n">
        <x:v>0.84</x:v>
      </x:c>
      <x:c r="H1072" s="604" t="n">
        <x:v>0.25</x:v>
      </x:c>
      <x:c r="I1072" s="604" t="n">
        <x:v>0.92</x:v>
      </x:c>
      <x:c r="J1072" s="604" t="inlineStr">
        <x:is>
          <x:t xml:space="preserve">0.84/0.25/0.92</x:t>
        </x:is>
      </x:c>
      <x:c r="K1072" s="604" t="inlineStr">
        <x:is>
          <x:t xml:space="preserve">V4-B｜EV +0.0713</x:t>
        </x:is>
      </x:c>
      <x:c r="L1072" s="604" t="inlineStr">
        <x:is>
          <x:t xml:space="preserve">新芝加哥</x:t>
        </x:is>
      </x:c>
      <x:c r="M1072" s="604" t="n">
        <x:v>0.5878380911929584</x:v>
      </x:c>
      <x:c r="N1072" s="604" t="inlineStr">
        <x:is>
          <x:t xml:space="preserve">V4纸面入选-B</x:t>
        </x:is>
      </x:c>
      <x:c r="O1072" s="604" t="inlineStr">
        <x:is>
          <x:t xml:space="preserve">0-1</x:t>
        </x:is>
      </x:c>
      <x:c r="P1072" s="604" t="inlineStr">
        <x:is>
          <x:t xml:space="preserve">已结算</x:t>
        </x:is>
      </x:c>
      <x:c r="Q1072" s="646" t="inlineStr">
        <x:is>
          <x:t xml:space="preserve">黑</x:t>
        </x:is>
      </x:c>
      <x:c r="R1072" s="604" t="n">
        <x:v>0.84</x:v>
      </x:c>
      <x:c r="S1072" s="604" t="n">
        <x:f>IF(OR(Q1072="",Q1072="待结算"),"",IF(Q1072="红",R1072,IF(Q1072="半红",R1072*0.5,IF(Q1072="走",0,IF(Q1072="半黑",-0.5,-1)))))</x:f>
        <x:v>-1</x:v>
      </x:c>
      <x:c r="T1072" s="604" t="inlineStr">
        <x:is>
          <x:t xml:space="preserve">https://m.titan007.com/analy/Analysis/2916728.htm</x:t>
        </x:is>
      </x:c>
      <x:c r="U1072" s="645" t="str">
        <x:f>IF(Q1072="","",IF(Q1072="待结算","待结算",IF(Q1072="红","黑",IF(Q1072="半红","半黑",IF(Q1072="走","走",IF(Q1072="半黑","半红","红"))))))</x:f>
        <x:v>红</x:v>
      </x:c>
      <x:c r="V1072" s="604" t="n">
        <x:f>IF(OR(Q1072="",Q1072="待结算"),"",IF(L1072=LEFT(F1072,FIND(" vs ",F1072)-1),I1072,G1072))</x:f>
        <x:v>0.92</x:v>
      </x:c>
      <x:c r="W1072" s="604" t="n">
        <x:f>IF(OR(U1072="",U1072="待结算"),"",IF(U1072="红",V1072,IF(U1072="半红",V1072*0.5,IF(U1072="走",0,IF(U1072="半黑",-0.5,-1)))))</x:f>
        <x:v>0.92</x:v>
      </x:c>
      <x:c r="X1072" s="604" t="inlineStr">
        <x:is>
          <x:t xml:space="preserve">2916728</x:t>
        </x:is>
      </x:c>
      <x:c r="Y1072" s="604" t="inlineStr">
        <x:is>
          <x:t xml:space="preserve">V4</x:t>
        </x:is>
      </x:c>
      <x:c r="Z1072" s="604" t="inlineStr">
        <x:is>
          <x:t xml:space="preserve">prior-2026-10-05-v1</x:t>
        </x:is>
      </x:c>
      <x:c r="AA1072" s="604" t="inlineStr">
        <x:is>
          <x:t xml:space="preserve">B</x:t>
        </x:is>
      </x:c>
      <x:c r="AB1072" s="604" t="n">
        <x:v>0.5135254369198403</x:v>
      </x:c>
      <x:c r="AC1072" s="604" t="n"/>
      <x:c r="AD1072" s="604" t="n"/>
      <x:c r="AE1072" s="604" t="n">
        <x:v>0.252833749246525</x:v>
      </x:c>
      <x:c r="AF1072" s="604" t="n">
        <x:v>0.2336408138336347</x:v>
      </x:c>
      <x:c r="AG1072" s="604" t="n">
        <x:v>0.07130367855576863</x:v>
      </x:c>
      <x:c r="AH1072" s="604" t="n"/>
      <x:c r="AI1072" s="604" t="n"/>
      <x:c r="AJ1072" s="604" t="n">
        <x:v>0.07130367855576863</x:v>
      </x:c>
      <x:c r="AK1072" s="604" t="n"/>
      <x:c r="AL1072" s="604" t="n"/>
      <x:c r="AM1072" s="604" t="n"/>
      <x:c r="AN1072" s="604" t="inlineStr">
        <x:is>
          <x:t xml:space="preserve">EVALUATED</x:t>
        </x:is>
      </x:c>
      <x:c r="AO1072" s="604" t="inlineStr">
        <x:is>
          <x:t xml:space="preserve">GIVING_VALIDATED_EDGE、BUCKET_PRIOR_ONLY、INTENT_INTERPRETATION_ONLY、FFL_OPTIONAL、EXPERT_MARKET</x:t>
        </x:is>
      </x:c>
      <x:c r="AP1072" s="604" t="inlineStr">
        <x:is>
          <x:t xml:space="preserve">b2d7ccbb94f316bf32ce</x:t>
        </x:is>
      </x:c>
      <x:c r="AQ1072" s="604" t="n">
        <x:v>-0.25</x:v>
      </x:c>
      <x:c r="AR1072" s="604" t="n">
        <x:v>0.84</x:v>
      </x:c>
      <x:c r="AS1072" s="604" t="n">
        <x:v>0.25</x:v>
      </x:c>
      <x:c r="AT1072" s="604" t="n">
        <x:v>-0.25</x:v>
      </x:c>
      <x:c r="AU1072" s="604" t="n">
        <x:v>0.84</x:v>
      </x:c>
      <x:c r="AV1072" s="604" t="n">
        <x:v>0.92</x:v>
      </x:c>
      <x:c r="AW1072" s="604" t="n">
        <x:v>46300.07479607639</x:v>
      </x:c>
      <x:c r="AX1072" s="604" t="inlineStr">
        <x:is>
          <x:t xml:space="preserve">https://simondongxiao.github.io/odds/v4/</x:t>
        </x:is>
      </x:c>
      <x:c r="AY1072" s="604" t="inlineStr">
        <x:is>
          <x:t xml:space="preserve">V4 Shadow Only；real_money=false；P(EV&gt;0)不是比赛胜率</x:t>
        </x:is>
      </x:c>
    </x:row>
    <x:row r="1073" ht="22" customHeight="1">
      <x:c r="A1073" s="604" t="inlineStr">
        <x:is>
          <x:t xml:space="preserve">2026-10-05</x:t>
        </x:is>
      </x:c>
      <x:c r="B1073" s="604" t="inlineStr">
        <x:is>
          <x:t xml:space="preserve">2026-10-06 04:00</x:t>
        </x:is>
      </x:c>
      <x:c r="C1073" s="604" t="str">
        <x:v>南美系列</x:v>
      </x:c>
      <x:c r="D1073" s="604" t="inlineStr">
        <x:is>
          <x:t xml:space="preserve">联赛</x:t>
        </x:is>
      </x:c>
      <x:c r="E1073" s="604" t="inlineStr">
        <x:is>
          <x:t xml:space="preserve">巴拉乙</x:t>
        </x:is>
      </x:c>
      <x:c r="F1073" s="604" t="inlineStr">
        <x:is>
          <x:t xml:space="preserve">朱尼诺VH vs 索尔美洲队</x:t>
        </x:is>
      </x:c>
      <x:c r="G1073" s="604" t="n">
        <x:v>0.83</x:v>
      </x:c>
      <x:c r="H1073" s="604" t="n">
        <x:v>0</x:v>
      </x:c>
      <x:c r="I1073" s="604" t="n">
        <x:v>0.98</x:v>
      </x:c>
      <x:c r="J1073" s="604" t="inlineStr">
        <x:is>
          <x:t xml:space="preserve">0.83/0/0.98</x:t>
        </x:is>
      </x:c>
      <x:c r="K1073" s="604" t="inlineStr">
        <x:is>
          <x:t xml:space="preserve">V4-C｜EV +0.0440</x:t>
        </x:is>
      </x:c>
      <x:c r="L1073" s="604" t="str"/>
      <x:c r="M1073" s="604" t="n">
        <x:v>0.5739433673500962</x:v>
      </x:c>
      <x:c r="N1073" s="604" t="inlineStr">
        <x:is>
          <x:t xml:space="preserve">V4纸面入选-C</x:t>
        </x:is>
      </x:c>
      <x:c r="O1073" s="604" t="inlineStr">
        <x:is>
          <x:t xml:space="preserve">1-1</x:t>
        </x:is>
      </x:c>
      <x:c r="P1073" s="604" t="inlineStr">
        <x:is>
          <x:t xml:space="preserve">已结算</x:t>
        </x:is>
      </x:c>
      <x:c r="Q1073" s="647" t="inlineStr">
        <x:is>
          <x:t xml:space="preserve">走</x:t>
        </x:is>
      </x:c>
      <x:c r="R1073" s="604" t="n">
        <x:v>0.98</x:v>
      </x:c>
      <x:c r="S1073" s="604" t="n">
        <x:f>IF(OR(Q1073="",Q1073="待结算"),"",IF(Q1073="红",R1073,IF(Q1073="半红",R1073*0.5,IF(Q1073="走",0,IF(Q1073="半黑",-0.5,-1)))))</x:f>
        <x:v>0</x:v>
      </x:c>
      <x:c r="T1073" s="604" t="inlineStr">
        <x:is>
          <x:t xml:space="preserve">https://m.titan007.com/analy/Analysis/3094121.htm</x:t>
        </x:is>
      </x:c>
      <x:c r="U1073" s="647" t="str">
        <x:f>IF(Q1073="","",IF(Q1073="待结算","待结算",IF(Q1073="红","黑",IF(Q1073="半红","半黑",IF(Q1073="走","走",IF(Q1073="半黑","半红","红"))))))</x:f>
        <x:v>走</x:v>
      </x:c>
      <x:c r="V1073" s="604" t="n">
        <x:f>IF(OR(Q1073="",Q1073="待结算"),"",IF(L1073=LEFT(F1073,FIND(" vs ",F1073)-1),I1073,G1073))</x:f>
        <x:v>0.83</x:v>
      </x:c>
      <x:c r="W1073" s="604" t="n">
        <x:f>IF(OR(U1073="",U1073="待结算"),"",IF(U1073="红",V1073,IF(U1073="半红",V1073*0.5,IF(U1073="走",0,IF(U1073="半黑",-0.5,-1)))))</x:f>
        <x:v>0</x:v>
      </x:c>
      <x:c r="X1073" s="604" t="inlineStr">
        <x:is>
          <x:t xml:space="preserve">3094121</x:t>
        </x:is>
      </x:c>
      <x:c r="Y1073" s="604" t="inlineStr">
        <x:is>
          <x:t xml:space="preserve">V4</x:t>
        </x:is>
      </x:c>
      <x:c r="Z1073" s="604" t="inlineStr">
        <x:is>
          <x:t xml:space="preserve">prior-2026-10-05-v1</x:t>
        </x:is>
      </x:c>
      <x:c r="AA1073" s="604" t="inlineStr">
        <x:is>
          <x:t xml:space="preserve">C</x:t>
        </x:is>
      </x:c>
      <x:c r="AB1073" s="604" t="n">
        <x:v>0.5014802814302155</x:v>
      </x:c>
      <x:c r="AC1073" s="604" t="n"/>
      <x:c r="AD1073" s="604" t="n"/>
      <x:c r="AE1073" s="604" t="n">
        <x:v>0.2525095333166533</x:v>
      </x:c>
      <x:c r="AF1073" s="604" t="n">
        <x:v>0.2460101852531311</x:v>
      </x:c>
      <x:c r="AG1073" s="604" t="n">
        <x:v>0.04396368167562101</x:v>
      </x:c>
      <x:c r="AH1073" s="604" t="n"/>
      <x:c r="AI1073" s="604" t="n"/>
      <x:c r="AJ1073" s="604" t="n">
        <x:v>0.04396368167562101</x:v>
      </x:c>
      <x:c r="AK1073" s="604" t="n"/>
      <x:c r="AL1073" s="604" t="n"/>
      <x:c r="AM1073" s="604" t="n"/>
      <x:c r="AN1073" s="604" t="inlineStr">
        <x:is>
          <x:t xml:space="preserve">EVALUATED</x:t>
        </x:is>
      </x:c>
      <x:c r="AO1073" s="604" t="inlineStr">
        <x:is>
          <x:t xml:space="preserve">EDGE_BELOW_UNCERTAINTY_THRESHOLD、BUCKET_PRIOR_ONLY、INTENT_INTERPRETATION_ONLY、FFL_OPTIONAL、EXPERT_MARKET</x:t>
        </x:is>
      </x:c>
      <x:c r="AP1073" s="604" t="inlineStr">
        <x:is>
          <x:t xml:space="preserve">a5649c3bf4e4e47d8f55</x:t>
        </x:is>
      </x:c>
      <x:c r="AQ1073" s="604" t="n">
        <x:v>0</x:v>
      </x:c>
      <x:c r="AR1073" s="604" t="n"/>
      <x:c r="AS1073" s="604" t="n">
        <x:v>0</x:v>
      </x:c>
      <x:c r="AT1073" s="604" t="n">
        <x:v>0</x:v>
      </x:c>
      <x:c r="AU1073" s="604" t="n">
        <x:v>0.83</x:v>
      </x:c>
      <x:c r="AV1073" s="604" t="n">
        <x:v>0.98</x:v>
      </x:c>
      <x:c r="AW1073" s="604" t="n">
        <x:v>46300.07479607639</x:v>
      </x:c>
      <x:c r="AX1073" s="604" t="inlineStr">
        <x:is>
          <x:t xml:space="preserve">https://simondongxiao.github.io/odds/v4/</x:t>
        </x:is>
      </x:c>
      <x:c r="AY1073" s="604" t="inlineStr">
        <x:is>
          <x:t xml:space="preserve">V4 Shadow Only；real_money=false；P(EV&gt;0)不是比赛胜率</x:t>
        </x:is>
      </x:c>
    </x:row>
    <x:row r="1074" ht="22" customHeight="1">
      <x:c r="A1074" s="604" t="inlineStr">
        <x:is>
          <x:t xml:space="preserve">2026-10-05</x:t>
        </x:is>
      </x:c>
      <x:c r="B1074" s="604" t="inlineStr">
        <x:is>
          <x:t xml:space="preserve">2026-10-06 05:00</x:t>
        </x:is>
      </x:c>
      <x:c r="C1074" s="604" t="str">
        <x:v>北美系列</x:v>
      </x:c>
      <x:c r="D1074" s="604" t="inlineStr">
        <x:is>
          <x:t xml:space="preserve">联赛</x:t>
        </x:is>
      </x:c>
      <x:c r="E1074" s="604" t="inlineStr">
        <x:is>
          <x:t xml:space="preserve">中北美国联</x:t>
        </x:is>
      </x:c>
      <x:c r="F1074" s="604" t="inlineStr">
        <x:is>
          <x:t xml:space="preserve">古巴 vs 圣基茨和尼维斯</x:t>
        </x:is>
      </x:c>
      <x:c r="G1074" s="604" t="n">
        <x:v>0.86</x:v>
      </x:c>
      <x:c r="H1074" s="604" t="n">
        <x:v>0</x:v>
      </x:c>
      <x:c r="I1074" s="604" t="n">
        <x:v>0.84</x:v>
      </x:c>
      <x:c r="J1074" s="604" t="inlineStr">
        <x:is>
          <x:t xml:space="preserve">0.86/0/0.84</x:t>
        </x:is>
      </x:c>
      <x:c r="K1074" s="604" t="inlineStr">
        <x:is>
          <x:t xml:space="preserve">V4-C｜EV +0.0347</x:t>
        </x:is>
      </x:c>
      <x:c r="L1074" s="604" t="str"/>
      <x:c r="M1074" s="604" t="n">
        <x:v>0.5590260294487096</x:v>
      </x:c>
      <x:c r="N1074" s="604" t="inlineStr">
        <x:is>
          <x:t xml:space="preserve">V4纸面入选-C</x:t>
        </x:is>
      </x:c>
      <x:c r="O1074" s="604" t="inlineStr">
        <x:is>
          <x:t xml:space="preserve">2-2</x:t>
        </x:is>
      </x:c>
      <x:c r="P1074" s="604" t="inlineStr">
        <x:is>
          <x:t xml:space="preserve">已结算</x:t>
        </x:is>
      </x:c>
      <x:c r="Q1074" s="647" t="inlineStr">
        <x:is>
          <x:t xml:space="preserve">走</x:t>
        </x:is>
      </x:c>
      <x:c r="R1074" s="604" t="n">
        <x:v>0.84</x:v>
      </x:c>
      <x:c r="S1074" s="604" t="n">
        <x:f>IF(OR(Q1074="",Q1074="待结算"),"",IF(Q1074="红",R1074,IF(Q1074="半红",R1074*0.5,IF(Q1074="走",0,IF(Q1074="半黑",-0.5,-1)))))</x:f>
        <x:v>0</x:v>
      </x:c>
      <x:c r="T1074" s="604" t="inlineStr">
        <x:is>
          <x:t xml:space="preserve">https://m.titan007.com/analy/Analysis/3092478.htm</x:t>
        </x:is>
      </x:c>
      <x:c r="U1074" s="647" t="str">
        <x:f>IF(Q1074="","",IF(Q1074="待结算","待结算",IF(Q1074="红","黑",IF(Q1074="半红","半黑",IF(Q1074="走","走",IF(Q1074="半黑","半红","红"))))))</x:f>
        <x:v>走</x:v>
      </x:c>
      <x:c r="V1074" s="604" t="n">
        <x:f>IF(OR(Q1074="",Q1074="待结算"),"",IF(L1074=LEFT(F1074,FIND(" vs ",F1074)-1),I1074,G1074))</x:f>
        <x:v>0.86</x:v>
      </x:c>
      <x:c r="W1074" s="604" t="n">
        <x:f>IF(OR(U1074="",U1074="待结算"),"",IF(U1074="红",V1074,IF(U1074="半红",V1074*0.5,IF(U1074="走",0,IF(U1074="半黑",-0.5,-1)))))</x:f>
        <x:v>0</x:v>
      </x:c>
      <x:c r="X1074" s="604" t="inlineStr">
        <x:is>
          <x:t xml:space="preserve">3092478</x:t>
        </x:is>
      </x:c>
      <x:c r="Y1074" s="604" t="inlineStr">
        <x:is>
          <x:t xml:space="preserve">V4</x:t>
        </x:is>
      </x:c>
      <x:c r="Z1074" s="604" t="inlineStr">
        <x:is>
          <x:t xml:space="preserve">prior-2026-10-05-v1</x:t>
        </x:is>
      </x:c>
      <x:c r="AA1074" s="604" t="inlineStr">
        <x:is>
          <x:t xml:space="preserve">C</x:t>
        </x:is>
      </x:c>
      <x:c r="AB1074" s="604" t="n">
        <x:v>0.3610782309702327</x:v>
      </x:c>
      <x:c r="AC1074" s="604" t="n">
        <x:v>0.2539377723519775</x:v>
      </x:c>
      <x:c r="AD1074" s="604" t="n"/>
      <x:c r="AE1074" s="604" t="n"/>
      <x:c r="AF1074" s="604" t="n">
        <x:v>0.3849839966777899</x:v>
      </x:c>
      <x:c r="AG1074" s="604" t="n">
        <x:v>0.03473652406796052</x:v>
      </x:c>
      <x:c r="AH1074" s="604" t="n"/>
      <x:c r="AI1074" s="604" t="n"/>
      <x:c r="AJ1074" s="604" t="n">
        <x:v>0.03473652406796052</x:v>
      </x:c>
      <x:c r="AK1074" s="604" t="n"/>
      <x:c r="AL1074" s="604" t="n"/>
      <x:c r="AM1074" s="604" t="n"/>
      <x:c r="AN1074" s="604" t="inlineStr">
        <x:is>
          <x:t xml:space="preserve">EVALUATED</x:t>
        </x:is>
      </x:c>
      <x:c r="AO1074" s="604" t="inlineStr">
        <x:is>
          <x:t xml:space="preserve">EDGE_BELOW_UNCERTAINTY_THRESHOLD、BUCKET_PRIOR_ONLY、INTENT_INTERPRETATION_ONLY、FFL_OPTIONAL、EXPERT_MARKET</x:t>
        </x:is>
      </x:c>
      <x:c r="AP1074" s="604" t="inlineStr">
        <x:is>
          <x:t xml:space="preserve">d1e06a6f85842e219397</x:t>
        </x:is>
      </x:c>
      <x:c r="AQ1074" s="604" t="n">
        <x:v>0</x:v>
      </x:c>
      <x:c r="AR1074" s="604" t="n"/>
      <x:c r="AS1074" s="604" t="n">
        <x:v>0</x:v>
      </x:c>
      <x:c r="AT1074" s="604" t="n">
        <x:v>0</x:v>
      </x:c>
      <x:c r="AU1074" s="604" t="n">
        <x:v>0.86</x:v>
      </x:c>
      <x:c r="AV1074" s="604" t="n">
        <x:v>0.84</x:v>
      </x:c>
      <x:c r="AW1074" s="604" t="n">
        <x:v>46300.07479607639</x:v>
      </x:c>
      <x:c r="AX1074" s="604" t="inlineStr">
        <x:is>
          <x:t xml:space="preserve">https://simondongxiao.github.io/odds/v4/</x:t>
        </x:is>
      </x:c>
      <x:c r="AY1074" s="604" t="inlineStr">
        <x:is>
          <x:t xml:space="preserve">V4 Shadow Only；real_money=false；P(EV&gt;0)不是比赛胜率</x:t>
        </x:is>
      </x:c>
    </x:row>
    <x:row r="1075" ht="22" customHeight="1">
      <x:c r="A1075" s="604" t="inlineStr">
        <x:is>
          <x:t xml:space="preserve">2026-10-05</x:t>
        </x:is>
      </x:c>
      <x:c r="B1075" s="604" t="inlineStr">
        <x:is>
          <x:t xml:space="preserve">2026-10-06 06:00</x:t>
        </x:is>
      </x:c>
      <x:c r="C1075" s="604" t="str">
        <x:v>南美系列</x:v>
      </x:c>
      <x:c r="D1075" s="604" t="inlineStr">
        <x:is>
          <x:t xml:space="preserve">联赛</x:t>
        </x:is>
      </x:c>
      <x:c r="E1075" s="604" t="inlineStr">
        <x:is>
          <x:t xml:space="preserve">阿甲</x:t>
        </x:is>
      </x:c>
      <x:c r="F1075" s="604" t="inlineStr">
        <x:is>
          <x:t xml:space="preserve">拉普拉塔大学生 vs 甘拿斯亚门多萨</x:t>
        </x:is>
      </x:c>
      <x:c r="G1075" s="604" t="n">
        <x:v>0.96</x:v>
      </x:c>
      <x:c r="H1075" s="604" t="n">
        <x:v>0.75</x:v>
      </x:c>
      <x:c r="I1075" s="604" t="n">
        <x:v>0.92</x:v>
      </x:c>
      <x:c r="J1075" s="604" t="inlineStr">
        <x:is>
          <x:t xml:space="preserve">0.96/0.75/0.92</x:t>
        </x:is>
      </x:c>
      <x:c r="K1075" s="604" t="inlineStr">
        <x:is>
          <x:t xml:space="preserve">V4-A｜EV +0.2027</x:t>
        </x:is>
      </x:c>
      <x:c r="L1075" s="604" t="inlineStr">
        <x:is>
          <x:t xml:space="preserve">拉普拉塔大学生</x:t>
        </x:is>
      </x:c>
      <x:c r="M1075" s="604" t="n">
        <x:v>0.6289681027903974</x:v>
      </x:c>
      <x:c r="N1075" s="604" t="inlineStr">
        <x:is>
          <x:t xml:space="preserve">V4纸面入选-A</x:t>
        </x:is>
      </x:c>
      <x:c r="O1075" s="604" t="inlineStr">
        <x:is>
          <x:t xml:space="preserve">3-0</x:t>
        </x:is>
      </x:c>
      <x:c r="P1075" s="604" t="inlineStr">
        <x:is>
          <x:t xml:space="preserve">已结算</x:t>
        </x:is>
      </x:c>
      <x:c r="Q1075" s="645" t="inlineStr">
        <x:is>
          <x:t xml:space="preserve">红</x:t>
        </x:is>
      </x:c>
      <x:c r="R1075" s="604" t="n">
        <x:v>0.96</x:v>
      </x:c>
      <x:c r="S1075" s="604" t="n">
        <x:f>IF(OR(Q1075="",Q1075="待结算"),"",IF(Q1075="红",R1075,IF(Q1075="半红",R1075*0.5,IF(Q1075="走",0,IF(Q1075="半黑",-0.5,-1)))))</x:f>
        <x:v>0.96</x:v>
      </x:c>
      <x:c r="T1075" s="604" t="inlineStr">
        <x:is>
          <x:t xml:space="preserve">https://m.titan007.com/analy/Analysis/2962659.htm</x:t>
        </x:is>
      </x:c>
      <x:c r="U1075" s="646" t="str">
        <x:f>IF(Q1075="","",IF(Q1075="待结算","待结算",IF(Q1075="红","黑",IF(Q1075="半红","半黑",IF(Q1075="走","走",IF(Q1075="半黑","半红","红"))))))</x:f>
        <x:v>黑</x:v>
      </x:c>
      <x:c r="V1075" s="604" t="n">
        <x:f>IF(OR(Q1075="",Q1075="待结算"),"",IF(L1075=LEFT(F1075,FIND(" vs ",F1075)-1),I1075,G1075))</x:f>
        <x:v>0.92</x:v>
      </x:c>
      <x:c r="W1075" s="604" t="n">
        <x:f>IF(OR(U1075="",U1075="待结算"),"",IF(U1075="红",V1075,IF(U1075="半红",V1075*0.5,IF(U1075="走",0,IF(U1075="半黑",-0.5,-1)))))</x:f>
        <x:v>-1</x:v>
      </x:c>
      <x:c r="X1075" s="604" t="inlineStr">
        <x:is>
          <x:t xml:space="preserve">2962659</x:t>
        </x:is>
      </x:c>
      <x:c r="Y1075" s="604" t="inlineStr">
        <x:is>
          <x:t xml:space="preserve">V4</x:t>
        </x:is>
      </x:c>
      <x:c r="Z1075" s="604" t="inlineStr">
        <x:is>
          <x:t xml:space="preserve">prior-2026-10-05-v1</x:t>
        </x:is>
      </x:c>
      <x:c r="AA1075" s="604" t="inlineStr">
        <x:is>
          <x:t xml:space="preserve">A</x:t>
        </x:is>
      </x:c>
      <x:c r="AB1075" s="604" t="n">
        <x:v>0.4186412792637146</x:v>
      </x:c>
      <x:c r="AC1075" s="604" t="n">
        <x:v>0.2582332007193955</x:v>
      </x:c>
      <x:c r="AD1075" s="604" t="n"/>
      <x:c r="AE1075" s="604" t="n"/>
      <x:c r="AF1075" s="604" t="n">
        <x:v>0.3231255200168899</x:v>
      </x:c>
      <x:c r="AG1075" s="604" t="n">
        <x:v>0.2027220444215859</x:v>
      </x:c>
      <x:c r="AH1075" s="604" t="n"/>
      <x:c r="AI1075" s="604" t="n"/>
      <x:c r="AJ1075" s="604" t="n">
        <x:v>0.2027220444215859</x:v>
      </x:c>
      <x:c r="AK1075" s="604" t="n"/>
      <x:c r="AL1075" s="604" t="n"/>
      <x:c r="AM1075" s="604" t="n"/>
      <x:c r="AN1075" s="604" t="inlineStr">
        <x:is>
          <x:t xml:space="preserve">EVALUATED</x:t>
        </x:is>
      </x:c>
      <x:c r="AO1075" s="604" t="inlineStr">
        <x:is>
          <x:t xml:space="preserve">GIVING_VALIDATED_EDGE、BUCKET_PRIOR_ONLY、INTENT_INTERPRETATION_ONLY、FFL_OPTIONAL、EXPERT_MARKET</x:t>
        </x:is>
      </x:c>
      <x:c r="AP1075" s="604" t="inlineStr">
        <x:is>
          <x:t xml:space="preserve">d7bb3743f959d5b79940</x:t>
        </x:is>
      </x:c>
      <x:c r="AQ1075" s="604" t="n">
        <x:v>-0.75</x:v>
      </x:c>
      <x:c r="AR1075" s="604" t="n">
        <x:v>0.96</x:v>
      </x:c>
      <x:c r="AS1075" s="604" t="n">
        <x:v>0.75</x:v>
      </x:c>
      <x:c r="AT1075" s="604" t="n">
        <x:v>-0.75</x:v>
      </x:c>
      <x:c r="AU1075" s="604" t="n">
        <x:v>0.96</x:v>
      </x:c>
      <x:c r="AV1075" s="604" t="n">
        <x:v>0.92</x:v>
      </x:c>
      <x:c r="AW1075" s="604" t="n">
        <x:v>46300.07479607639</x:v>
      </x:c>
      <x:c r="AX1075" s="604" t="inlineStr">
        <x:is>
          <x:t xml:space="preserve">https://simondongxiao.github.io/odds/v4/</x:t>
        </x:is>
      </x:c>
      <x:c r="AY1075" s="604" t="inlineStr">
        <x:is>
          <x:t xml:space="preserve">V4 Shadow Only；real_money=false；P(EV&gt;0)不是比赛胜率</x:t>
        </x:is>
      </x:c>
    </x:row>
    <x:row r="1076" ht="22" customHeight="1">
      <x:c r="A1076" s="604" t="inlineStr">
        <x:is>
          <x:t xml:space="preserve">2026-10-05</x:t>
        </x:is>
      </x:c>
      <x:c r="B1076" s="604" t="inlineStr">
        <x:is>
          <x:t xml:space="preserve">2026-10-06 06:00</x:t>
        </x:is>
      </x:c>
      <x:c r="C1076" s="604" t="str">
        <x:v>南美系列</x:v>
      </x:c>
      <x:c r="D1076" s="604" t="inlineStr">
        <x:is>
          <x:t xml:space="preserve">联赛</x:t>
        </x:is>
      </x:c>
      <x:c r="E1076" s="604" t="inlineStr">
        <x:is>
          <x:t xml:space="preserve">阿甲</x:t>
        </x:is>
      </x:c>
      <x:c r="F1076" s="604" t="inlineStr">
        <x:is>
          <x:t xml:space="preserve">萨斯菲尔德 vs 普拉腾斯</x:t>
        </x:is>
      </x:c>
      <x:c r="G1076" s="604" t="n">
        <x:v>1</x:v>
      </x:c>
      <x:c r="H1076" s="604" t="n">
        <x:v>0.5</x:v>
      </x:c>
      <x:c r="I1076" s="604" t="n">
        <x:v>0.88</x:v>
      </x:c>
      <x:c r="J1076" s="604" t="inlineStr">
        <x:is>
          <x:t xml:space="preserve">1/0.5/0.88</x:t>
        </x:is>
      </x:c>
      <x:c r="K1076" s="604" t="inlineStr">
        <x:is>
          <x:t xml:space="preserve">V4-A｜EV +0.1992</x:t>
        </x:is>
      </x:c>
      <x:c r="L1076" s="604" t="inlineStr">
        <x:is>
          <x:t xml:space="preserve">萨斯菲尔德</x:t>
        </x:is>
      </x:c>
      <x:c r="M1076" s="604" t="n">
        <x:v>0.5996163864340015</x:v>
      </x:c>
      <x:c r="N1076" s="604" t="inlineStr">
        <x:is>
          <x:t xml:space="preserve">V4纸面入选-A</x:t>
        </x:is>
      </x:c>
      <x:c r="O1076" s="604" t="inlineStr">
        <x:is>
          <x:t xml:space="preserve">2-2</x:t>
        </x:is>
      </x:c>
      <x:c r="P1076" s="604" t="inlineStr">
        <x:is>
          <x:t xml:space="preserve">已结算</x:t>
        </x:is>
      </x:c>
      <x:c r="Q1076" s="646" t="inlineStr">
        <x:is>
          <x:t xml:space="preserve">黑</x:t>
        </x:is>
      </x:c>
      <x:c r="R1076" s="604" t="n">
        <x:v>1</x:v>
      </x:c>
      <x:c r="S1076" s="604" t="n">
        <x:f>IF(OR(Q1076="",Q1076="待结算"),"",IF(Q1076="红",R1076,IF(Q1076="半红",R1076*0.5,IF(Q1076="走",0,IF(Q1076="半黑",-0.5,-1)))))</x:f>
        <x:v>-1</x:v>
      </x:c>
      <x:c r="T1076" s="604" t="inlineStr">
        <x:is>
          <x:t xml:space="preserve">https://m.titan007.com/analy/Analysis/2962667.htm</x:t>
        </x:is>
      </x:c>
      <x:c r="U1076" s="645" t="str">
        <x:f>IF(Q1076="","",IF(Q1076="待结算","待结算",IF(Q1076="红","黑",IF(Q1076="半红","半黑",IF(Q1076="走","走",IF(Q1076="半黑","半红","红"))))))</x:f>
        <x:v>红</x:v>
      </x:c>
      <x:c r="V1076" s="604" t="n">
        <x:f>IF(OR(Q1076="",Q1076="待结算"),"",IF(L1076=LEFT(F1076,FIND(" vs ",F1076)-1),I1076,G1076))</x:f>
        <x:v>0.88</x:v>
      </x:c>
      <x:c r="W1076" s="604" t="n">
        <x:f>IF(OR(U1076="",U1076="待结算"),"",IF(U1076="红",V1076,IF(U1076="半红",V1076*0.5,IF(U1076="走",0,IF(U1076="半黑",-0.5,-1)))))</x:f>
        <x:v>0.88</x:v>
      </x:c>
      <x:c r="X1076" s="604" t="inlineStr">
        <x:is>
          <x:t xml:space="preserve">2962667</x:t>
        </x:is>
      </x:c>
      <x:c r="Y1076" s="604" t="inlineStr">
        <x:is>
          <x:t xml:space="preserve">V4</x:t>
        </x:is>
      </x:c>
      <x:c r="Z1076" s="604" t="inlineStr">
        <x:is>
          <x:t xml:space="preserve">prior-2026-10-05-v1</x:t>
        </x:is>
      </x:c>
      <x:c r="AA1076" s="604" t="inlineStr">
        <x:is>
          <x:t xml:space="preserve">A</x:t>
        </x:is>
      </x:c>
      <x:c r="AB1076" s="604" t="n">
        <x:v>0.5996163864340015</x:v>
      </x:c>
      <x:c r="AC1076" s="604" t="n"/>
      <x:c r="AD1076" s="604" t="n"/>
      <x:c r="AE1076" s="604" t="n"/>
      <x:c r="AF1076" s="604" t="n">
        <x:v>0.4003836135659986</x:v>
      </x:c>
      <x:c r="AG1076" s="604" t="n">
        <x:v>0.1992327728680029</x:v>
      </x:c>
      <x:c r="AH1076" s="604" t="n"/>
      <x:c r="AI1076" s="604" t="n"/>
      <x:c r="AJ1076" s="604" t="n">
        <x:v>0.1992327728680029</x:v>
      </x:c>
      <x:c r="AK1076" s="604" t="n"/>
      <x:c r="AL1076" s="604" t="n"/>
      <x:c r="AM1076" s="604" t="n"/>
      <x:c r="AN1076" s="604" t="inlineStr">
        <x:is>
          <x:t xml:space="preserve">EVALUATED</x:t>
        </x:is>
      </x:c>
      <x:c r="AO1076" s="604" t="inlineStr">
        <x:is>
          <x:t xml:space="preserve">GIVING_VALIDATED_EDGE、BUCKET_PRIOR_ONLY、INTENT_INTERPRETATION_ONLY、FFL_OPTIONAL、EXPERT_MARKET</x:t>
        </x:is>
      </x:c>
      <x:c r="AP1076" s="604" t="inlineStr">
        <x:is>
          <x:t xml:space="preserve">a8de3c45e6d537159365</x:t>
        </x:is>
      </x:c>
      <x:c r="AQ1076" s="604" t="n">
        <x:v>-0.5</x:v>
      </x:c>
      <x:c r="AR1076" s="604" t="n">
        <x:v>1</x:v>
      </x:c>
      <x:c r="AS1076" s="604" t="n">
        <x:v>0.5</x:v>
      </x:c>
      <x:c r="AT1076" s="604" t="n">
        <x:v>-0.5</x:v>
      </x:c>
      <x:c r="AU1076" s="604" t="n">
        <x:v>1</x:v>
      </x:c>
      <x:c r="AV1076" s="604" t="n">
        <x:v>0.88</x:v>
      </x:c>
      <x:c r="AW1076" s="604" t="n">
        <x:v>46300.07479607639</x:v>
      </x:c>
      <x:c r="AX1076" s="604" t="inlineStr">
        <x:is>
          <x:t xml:space="preserve">https://simondongxiao.github.io/odds/v4/</x:t>
        </x:is>
      </x:c>
      <x:c r="AY1076" s="604" t="inlineStr">
        <x:is>
          <x:t xml:space="preserve">V4 Shadow Only；real_money=false；P(EV&gt;0)不是比赛胜率</x:t>
        </x:is>
      </x:c>
    </x:row>
    <x:row r="1077" ht="22" customHeight="1">
      <x:c r="A1077" s="604" t="inlineStr">
        <x:is>
          <x:t xml:space="preserve">2026-10-05</x:t>
        </x:is>
      </x:c>
      <x:c r="B1077" s="604" t="inlineStr">
        <x:is>
          <x:t xml:space="preserve">2026-10-06 06:05</x:t>
        </x:is>
      </x:c>
      <x:c r="C1077" s="604" t="str">
        <x:v>其他系列</x:v>
      </x:c>
      <x:c r="D1077" s="604" t="inlineStr">
        <x:is>
          <x:t xml:space="preserve">联赛</x:t>
        </x:is>
      </x:c>
      <x:c r="E1077" s="604" t="inlineStr">
        <x:is>
          <x:t xml:space="preserve">牙买超</x:t>
        </x:is>
      </x:c>
      <x:c r="F1077" s="604" t="inlineStr">
        <x:is>
          <x:t xml:space="preserve">查珀尔顿 vs 沃特豪斯</x:t>
        </x:is>
      </x:c>
      <x:c r="G1077" s="604" t="n">
        <x:v>0.91</x:v>
      </x:c>
      <x:c r="H1077" s="604" t="n">
        <x:v>-0.5</x:v>
      </x:c>
      <x:c r="I1077" s="604" t="n">
        <x:v>0.79</x:v>
      </x:c>
      <x:c r="J1077" s="604" t="inlineStr">
        <x:is>
          <x:t xml:space="preserve">0.91/-0.5/0.79</x:t>
        </x:is>
      </x:c>
      <x:c r="K1077" s="604" t="inlineStr">
        <x:is>
          <x:t xml:space="preserve">V4-B｜EV +0.5900</x:t>
        </x:is>
      </x:c>
      <x:c r="L1077" s="604" t="inlineStr">
        <x:is>
          <x:t xml:space="preserve">查珀尔顿</x:t>
        </x:is>
      </x:c>
      <x:c r="M1077" s="604" t="n">
        <x:v>0.8324628261901246</x:v>
      </x:c>
      <x:c r="N1077" s="604" t="inlineStr">
        <x:is>
          <x:t xml:space="preserve">V4纸面入选-B</x:t>
        </x:is>
      </x:c>
      <x:c r="O1077" s="604" t="inlineStr">
        <x:is>
          <x:t xml:space="preserve">0-6</x:t>
        </x:is>
      </x:c>
      <x:c r="P1077" s="604" t="inlineStr">
        <x:is>
          <x:t xml:space="preserve">已结算</x:t>
        </x:is>
      </x:c>
      <x:c r="Q1077" s="646" t="inlineStr">
        <x:is>
          <x:t xml:space="preserve">黑</x:t>
        </x:is>
      </x:c>
      <x:c r="R1077" s="604" t="n">
        <x:v>0.91</x:v>
      </x:c>
      <x:c r="S1077" s="604" t="n">
        <x:f>IF(OR(Q1077="",Q1077="待结算"),"",IF(Q1077="红",R1077,IF(Q1077="半红",R1077*0.5,IF(Q1077="走",0,IF(Q1077="半黑",-0.5,-1)))))</x:f>
        <x:v>-1</x:v>
      </x:c>
      <x:c r="T1077" s="604" t="inlineStr">
        <x:is>
          <x:t xml:space="preserve">https://m.titan007.com/analy/Analysis/3094005.htm</x:t>
        </x:is>
      </x:c>
      <x:c r="U1077" s="645" t="str">
        <x:f>IF(Q1077="","",IF(Q1077="待结算","待结算",IF(Q1077="红","黑",IF(Q1077="半红","半黑",IF(Q1077="走","走",IF(Q1077="半黑","半红","红"))))))</x:f>
        <x:v>红</x:v>
      </x:c>
      <x:c r="V1077" s="604" t="n">
        <x:f>IF(OR(Q1077="",Q1077="待结算"),"",IF(L1077=LEFT(F1077,FIND(" vs ",F1077)-1),I1077,G1077))</x:f>
        <x:v>0.79</x:v>
      </x:c>
      <x:c r="W1077" s="604" t="n">
        <x:f>IF(OR(U1077="",U1077="待结算"),"",IF(U1077="红",V1077,IF(U1077="半红",V1077*0.5,IF(U1077="走",0,IF(U1077="半黑",-0.5,-1)))))</x:f>
        <x:v>0.79</x:v>
      </x:c>
      <x:c r="X1077" s="604" t="inlineStr">
        <x:is>
          <x:t xml:space="preserve">3094005</x:t>
        </x:is>
      </x:c>
      <x:c r="Y1077" s="604" t="inlineStr">
        <x:is>
          <x:t xml:space="preserve">V4</x:t>
        </x:is>
      </x:c>
      <x:c r="Z1077" s="604" t="inlineStr">
        <x:is>
          <x:t xml:space="preserve">prior-2026-10-05-v1</x:t>
        </x:is>
      </x:c>
      <x:c r="AA1077" s="604" t="inlineStr">
        <x:is>
          <x:t xml:space="preserve">B</x:t>
        </x:is>
      </x:c>
      <x:c r="AB1077" s="604" t="n">
        <x:v>0.8324628261901246</x:v>
      </x:c>
      <x:c r="AC1077" s="604" t="n"/>
      <x:c r="AD1077" s="604" t="n"/>
      <x:c r="AE1077" s="604" t="n"/>
      <x:c r="AF1077" s="604" t="n">
        <x:v>0.1675371738098754</x:v>
      </x:c>
      <x:c r="AG1077" s="604" t="n">
        <x:v>0.590003998023138</x:v>
      </x:c>
      <x:c r="AH1077" s="604" t="n"/>
      <x:c r="AI1077" s="604" t="n"/>
      <x:c r="AJ1077" s="604" t="n">
        <x:v>0.590003998023138</x:v>
      </x:c>
      <x:c r="AK1077" s="604" t="n"/>
      <x:c r="AL1077" s="604" t="n"/>
      <x:c r="AM1077" s="604" t="n"/>
      <x:c r="AN1077" s="604" t="inlineStr">
        <x:is>
          <x:t xml:space="preserve">EVALUATED</x:t>
        </x:is>
      </x:c>
      <x:c r="AO1077" s="604" t="inlineStr">
        <x:is>
          <x:t xml:space="preserve">RECEIVING_VALIDATED_EDGE、BUCKET_PRIOR_ONLY、INTENT_INTERPRETATION_ONLY、FFL_OPTIONAL、EXPERT_MARKET</x:t>
        </x:is>
      </x:c>
      <x:c r="AP1077" s="604" t="inlineStr">
        <x:is>
          <x:t xml:space="preserve">826ed41649d540a5cebe</x:t>
        </x:is>
      </x:c>
      <x:c r="AQ1077" s="604" t="n">
        <x:v>0.5</x:v>
      </x:c>
      <x:c r="AR1077" s="604" t="n">
        <x:v>0.91</x:v>
      </x:c>
      <x:c r="AS1077" s="604" t="n">
        <x:v>-0.5</x:v>
      </x:c>
      <x:c r="AT1077" s="604" t="n">
        <x:v>0.5</x:v>
      </x:c>
      <x:c r="AU1077" s="604" t="n">
        <x:v>0.91</x:v>
      </x:c>
      <x:c r="AV1077" s="604" t="n">
        <x:v>0.79</x:v>
      </x:c>
      <x:c r="AW1077" s="604" t="n">
        <x:v>46300.07479607639</x:v>
      </x:c>
      <x:c r="AX1077" s="604" t="inlineStr">
        <x:is>
          <x:t xml:space="preserve">https://simondongxiao.github.io/odds/v4/</x:t>
        </x:is>
      </x:c>
      <x:c r="AY1077" s="604" t="inlineStr">
        <x:is>
          <x:t xml:space="preserve">V4 Shadow Only；real_money=false；P(EV&gt;0)不是比赛胜率</x:t>
        </x:is>
      </x:c>
    </x:row>
    <x:row r="1078" ht="22" customHeight="1">
      <x:c r="A1078" s="604" t="inlineStr">
        <x:is>
          <x:t xml:space="preserve">2026-10-05</x:t>
        </x:is>
      </x:c>
      <x:c r="B1078" s="604" t="inlineStr">
        <x:is>
          <x:t xml:space="preserve">2026-10-06 06:15</x:t>
        </x:is>
      </x:c>
      <x:c r="C1078" s="604" t="str">
        <x:v>南美系列</x:v>
      </x:c>
      <x:c r="D1078" s="604" t="inlineStr">
        <x:is>
          <x:t xml:space="preserve">联赛</x:t>
        </x:is>
      </x:c>
      <x:c r="E1078" s="604" t="inlineStr">
        <x:is>
          <x:t xml:space="preserve">巴拉甲秋</x:t>
        </x:is>
      </x:c>
      <x:c r="F1078" s="604" t="inlineStr">
        <x:is>
          <x:t xml:space="preserve">波特诺山丘 vs 五月二日体育会</x:t>
        </x:is>
      </x:c>
      <x:c r="G1078" s="604" t="n">
        <x:v>0.93</x:v>
      </x:c>
      <x:c r="H1078" s="604" t="n">
        <x:v>1</x:v>
      </x:c>
      <x:c r="I1078" s="604" t="n">
        <x:v>0.83</x:v>
      </x:c>
      <x:c r="J1078" s="604" t="inlineStr">
        <x:is>
          <x:t xml:space="preserve">0.93/1/0.83</x:t>
        </x:is>
      </x:c>
      <x:c r="K1078" s="604" t="inlineStr">
        <x:is>
          <x:t xml:space="preserve">V4-B｜EV +0.1818</x:t>
        </x:is>
      </x:c>
      <x:c r="L1078" s="604" t="inlineStr">
        <x:is>
          <x:t xml:space="preserve">波特诺山丘</x:t>
        </x:is>
      </x:c>
      <x:c r="M1078" s="604" t="n">
        <x:v>0.644336007907155</x:v>
      </x:c>
      <x:c r="N1078" s="604" t="inlineStr">
        <x:is>
          <x:t xml:space="preserve">V4纸面入选-B</x:t>
        </x:is>
      </x:c>
      <x:c r="O1078" s="604" t="inlineStr">
        <x:is>
          <x:t xml:space="preserve">0-2</x:t>
        </x:is>
      </x:c>
      <x:c r="P1078" s="604" t="inlineStr">
        <x:is>
          <x:t xml:space="preserve">已结算</x:t>
        </x:is>
      </x:c>
      <x:c r="Q1078" s="646" t="inlineStr">
        <x:is>
          <x:t xml:space="preserve">黑</x:t>
        </x:is>
      </x:c>
      <x:c r="R1078" s="604" t="n">
        <x:v>0.93</x:v>
      </x:c>
      <x:c r="S1078" s="604" t="n">
        <x:f>IF(OR(Q1078="",Q1078="待结算"),"",IF(Q1078="红",R1078,IF(Q1078="半红",R1078*0.5,IF(Q1078="走",0,IF(Q1078="半黑",-0.5,-1)))))</x:f>
        <x:v>-1</x:v>
      </x:c>
      <x:c r="T1078" s="604" t="inlineStr">
        <x:is>
          <x:t xml:space="preserve">https://m.titan007.com/analy/Analysis/3074194.htm</x:t>
        </x:is>
      </x:c>
      <x:c r="U1078" s="645" t="str">
        <x:f>IF(Q1078="","",IF(Q1078="待结算","待结算",IF(Q1078="红","黑",IF(Q1078="半红","半黑",IF(Q1078="走","走",IF(Q1078="半黑","半红","红"))))))</x:f>
        <x:v>红</x:v>
      </x:c>
      <x:c r="V1078" s="604" t="n">
        <x:f>IF(OR(Q1078="",Q1078="待结算"),"",IF(L1078=LEFT(F1078,FIND(" vs ",F1078)-1),I1078,G1078))</x:f>
        <x:v>0.83</x:v>
      </x:c>
      <x:c r="W1078" s="604" t="n">
        <x:f>IF(OR(U1078="",U1078="待结算"),"",IF(U1078="红",V1078,IF(U1078="半红",V1078*0.5,IF(U1078="走",0,IF(U1078="半黑",-0.5,-1)))))</x:f>
        <x:v>0.83</x:v>
      </x:c>
      <x:c r="X1078" s="604" t="inlineStr">
        <x:is>
          <x:t xml:space="preserve">3074194</x:t>
        </x:is>
      </x:c>
      <x:c r="Y1078" s="604" t="inlineStr">
        <x:is>
          <x:t xml:space="preserve">V4</x:t>
        </x:is>
      </x:c>
      <x:c r="Z1078" s="604" t="inlineStr">
        <x:is>
          <x:t xml:space="preserve">prior-2026-10-05-v1</x:t>
        </x:is>
      </x:c>
      <x:c r="AA1078" s="604" t="inlineStr">
        <x:is>
          <x:t xml:space="preserve">B</x:t>
        </x:is>
      </x:c>
      <x:c r="AB1078" s="604" t="n">
        <x:v>0.4809389260622546</x:v>
      </x:c>
      <x:c r="AC1078" s="604" t="n"/>
      <x:c r="AD1078" s="604" t="n">
        <x:v>0.2535898659080449</x:v>
      </x:c>
      <x:c r="AE1078" s="604" t="n"/>
      <x:c r="AF1078" s="604" t="n">
        <x:v>0.2654712080297005</x:v>
      </x:c>
      <x:c r="AG1078" s="604" t="n">
        <x:v>0.1818019932081963</x:v>
      </x:c>
      <x:c r="AH1078" s="604" t="n"/>
      <x:c r="AI1078" s="604" t="n"/>
      <x:c r="AJ1078" s="604" t="n">
        <x:v>0.1818019932081963</x:v>
      </x:c>
      <x:c r="AK1078" s="604" t="n"/>
      <x:c r="AL1078" s="604" t="n"/>
      <x:c r="AM1078" s="604" t="n"/>
      <x:c r="AN1078" s="604" t="inlineStr">
        <x:is>
          <x:t xml:space="preserve">EVALUATED</x:t>
        </x:is>
      </x:c>
      <x:c r="AO1078" s="604" t="inlineStr">
        <x:is>
          <x:t xml:space="preserve">GIVING_VALIDATED_EDGE、BUCKET_PRIOR_ONLY、INTENT_INTERPRETATION_ONLY、FFL_OPTIONAL、EXPERT_MARKET</x:t>
        </x:is>
      </x:c>
      <x:c r="AP1078" s="604" t="inlineStr">
        <x:is>
          <x:t xml:space="preserve">f52c31289b71649cbd4d</x:t>
        </x:is>
      </x:c>
      <x:c r="AQ1078" s="604" t="n">
        <x:v>-1</x:v>
      </x:c>
      <x:c r="AR1078" s="604" t="n">
        <x:v>0.93</x:v>
      </x:c>
      <x:c r="AS1078" s="604" t="n">
        <x:v>1</x:v>
      </x:c>
      <x:c r="AT1078" s="604" t="n">
        <x:v>-1</x:v>
      </x:c>
      <x:c r="AU1078" s="604" t="n">
        <x:v>0.93</x:v>
      </x:c>
      <x:c r="AV1078" s="604" t="n">
        <x:v>0.83</x:v>
      </x:c>
      <x:c r="AW1078" s="604" t="n">
        <x:v>46300.07479607639</x:v>
      </x:c>
      <x:c r="AX1078" s="604" t="inlineStr">
        <x:is>
          <x:t xml:space="preserve">https://simondongxiao.github.io/odds/v4/</x:t>
        </x:is>
      </x:c>
      <x:c r="AY1078" s="604" t="inlineStr">
        <x:is>
          <x:t xml:space="preserve">V4 Shadow Only；real_money=false；P(EV&gt;0)不是比赛胜率</x:t>
        </x:is>
      </x:c>
    </x:row>
    <x:row r="1079" ht="22" customHeight="1">
      <x:c r="A1079" s="604" t="inlineStr">
        <x:is>
          <x:t xml:space="preserve">2026-10-05</x:t>
        </x:is>
      </x:c>
      <x:c r="B1079" s="604" t="inlineStr">
        <x:is>
          <x:t xml:space="preserve">2026-10-06 06:30</x:t>
        </x:is>
      </x:c>
      <x:c r="C1079" s="604" t="str">
        <x:v>南美系列</x:v>
      </x:c>
      <x:c r="D1079" s="604" t="inlineStr">
        <x:is>
          <x:t xml:space="preserve">联赛</x:t>
        </x:is>
      </x:c>
      <x:c r="E1079" s="604" t="inlineStr">
        <x:is>
          <x:t xml:space="preserve">巴拉乙</x:t>
        </x:is>
      </x:c>
      <x:c r="F1079" s="604" t="inlineStr">
        <x:is>
          <x:t xml:space="preserve">费纳多 vs 卡巴列罗JLM</x:t>
        </x:is>
      </x:c>
      <x:c r="G1079" s="604" t="n">
        <x:v>0.8</x:v>
      </x:c>
      <x:c r="H1079" s="604" t="n">
        <x:v>-0.5</x:v>
      </x:c>
      <x:c r="I1079" s="604" t="n">
        <x:v>1</x:v>
      </x:c>
      <x:c r="J1079" s="604" t="inlineStr">
        <x:is>
          <x:t xml:space="preserve">0.8/-0.5/1</x:t>
        </x:is>
      </x:c>
      <x:c r="K1079" s="604" t="inlineStr">
        <x:is>
          <x:t xml:space="preserve">V4-B｜EV +0.3786</x:t>
        </x:is>
      </x:c>
      <x:c r="L1079" s="604" t="inlineStr">
        <x:is>
          <x:t xml:space="preserve">费纳多</x:t>
        </x:is>
      </x:c>
      <x:c r="M1079" s="604" t="n">
        <x:v>0.7658825384014835</x:v>
      </x:c>
      <x:c r="N1079" s="604" t="inlineStr">
        <x:is>
          <x:t xml:space="preserve">V4纸面入选-B</x:t>
        </x:is>
      </x:c>
      <x:c r="O1079" s="604" t="inlineStr">
        <x:is>
          <x:t xml:space="preserve">0-2</x:t>
        </x:is>
      </x:c>
      <x:c r="P1079" s="604" t="inlineStr">
        <x:is>
          <x:t xml:space="preserve">已结算</x:t>
        </x:is>
      </x:c>
      <x:c r="Q1079" s="646" t="inlineStr">
        <x:is>
          <x:t xml:space="preserve">黑</x:t>
        </x:is>
      </x:c>
      <x:c r="R1079" s="604" t="n">
        <x:v>0.8</x:v>
      </x:c>
      <x:c r="S1079" s="604" t="n">
        <x:f>IF(OR(Q1079="",Q1079="待结算"),"",IF(Q1079="红",R1079,IF(Q1079="半红",R1079*0.5,IF(Q1079="走",0,IF(Q1079="半黑",-0.5,-1)))))</x:f>
        <x:v>-1</x:v>
      </x:c>
      <x:c r="T1079" s="604" t="inlineStr">
        <x:is>
          <x:t xml:space="preserve">https://m.titan007.com/analy/Analysis/3094122.htm</x:t>
        </x:is>
      </x:c>
      <x:c r="U1079" s="645" t="str">
        <x:f>IF(Q1079="","",IF(Q1079="待结算","待结算",IF(Q1079="红","黑",IF(Q1079="半红","半黑",IF(Q1079="走","走",IF(Q1079="半黑","半红","红"))))))</x:f>
        <x:v>红</x:v>
      </x:c>
      <x:c r="V1079" s="604" t="n">
        <x:f>IF(OR(Q1079="",Q1079="待结算"),"",IF(L1079=LEFT(F1079,FIND(" vs ",F1079)-1),I1079,G1079))</x:f>
        <x:v>1</x:v>
      </x:c>
      <x:c r="W1079" s="604" t="n">
        <x:f>IF(OR(U1079="",U1079="待结算"),"",IF(U1079="红",V1079,IF(U1079="半红",V1079*0.5,IF(U1079="走",0,IF(U1079="半黑",-0.5,-1)))))</x:f>
        <x:v>1</x:v>
      </x:c>
      <x:c r="X1079" s="604" t="inlineStr">
        <x:is>
          <x:t xml:space="preserve">3094122</x:t>
        </x:is>
      </x:c>
      <x:c r="Y1079" s="604" t="inlineStr">
        <x:is>
          <x:t xml:space="preserve">V4</x:t>
        </x:is>
      </x:c>
      <x:c r="Z1079" s="604" t="inlineStr">
        <x:is>
          <x:t xml:space="preserve">prior-2026-10-05-v1</x:t>
        </x:is>
      </x:c>
      <x:c r="AA1079" s="604" t="inlineStr">
        <x:is>
          <x:t xml:space="preserve">B</x:t>
        </x:is>
      </x:c>
      <x:c r="AB1079" s="604" t="n">
        <x:v>0.7658825384014835</x:v>
      </x:c>
      <x:c r="AC1079" s="604" t="n"/>
      <x:c r="AD1079" s="604" t="n"/>
      <x:c r="AE1079" s="604" t="n"/>
      <x:c r="AF1079" s="604" t="n">
        <x:v>0.2341174615985167</x:v>
      </x:c>
      <x:c r="AG1079" s="604" t="n">
        <x:v>0.3785885691226701</x:v>
      </x:c>
      <x:c r="AH1079" s="604" t="n"/>
      <x:c r="AI1079" s="604" t="n"/>
      <x:c r="AJ1079" s="604" t="n">
        <x:v>0.3785885691226701</x:v>
      </x:c>
      <x:c r="AK1079" s="604" t="n"/>
      <x:c r="AL1079" s="604" t="n"/>
      <x:c r="AM1079" s="604" t="n"/>
      <x:c r="AN1079" s="604" t="inlineStr">
        <x:is>
          <x:t xml:space="preserve">EVALUATED</x:t>
        </x:is>
      </x:c>
      <x:c r="AO1079" s="604" t="inlineStr">
        <x:is>
          <x:t xml:space="preserve">RECEIVING_VALIDATED_EDGE、BUCKET_PRIOR_ONLY、INTENT_INTERPRETATION_ONLY、FFL_OPTIONAL、EXPERT_MARKET</x:t>
        </x:is>
      </x:c>
      <x:c r="AP1079" s="604" t="inlineStr">
        <x:is>
          <x:t xml:space="preserve">d5e1c3dd3c88eb5c5d77</x:t>
        </x:is>
      </x:c>
      <x:c r="AQ1079" s="604" t="n">
        <x:v>0.5</x:v>
      </x:c>
      <x:c r="AR1079" s="604" t="n">
        <x:v>0.8</x:v>
      </x:c>
      <x:c r="AS1079" s="604" t="n">
        <x:v>-0.5</x:v>
      </x:c>
      <x:c r="AT1079" s="604" t="n">
        <x:v>0.5</x:v>
      </x:c>
      <x:c r="AU1079" s="604" t="n">
        <x:v>0.8</x:v>
      </x:c>
      <x:c r="AV1079" s="604" t="n">
        <x:v>1</x:v>
      </x:c>
      <x:c r="AW1079" s="604" t="n">
        <x:v>46300.07479607639</x:v>
      </x:c>
      <x:c r="AX1079" s="604" t="inlineStr">
        <x:is>
          <x:t xml:space="preserve">https://simondongxiao.github.io/odds/v4/</x:t>
        </x:is>
      </x:c>
      <x:c r="AY1079" s="604" t="inlineStr">
        <x:is>
          <x:t xml:space="preserve">V4 Shadow Only；real_money=false；P(EV&gt;0)不是比赛胜率</x:t>
        </x:is>
      </x:c>
    </x:row>
    <x:row r="1080" ht="22" customHeight="1">
      <x:c r="A1080" s="604" t="inlineStr">
        <x:is>
          <x:t xml:space="preserve">2026-10-05</x:t>
        </x:is>
      </x:c>
      <x:c r="B1080" s="604" t="inlineStr">
        <x:is>
          <x:t xml:space="preserve">2026-10-06 06:30</x:t>
        </x:is>
      </x:c>
      <x:c r="C1080" s="604" t="str">
        <x:v>南美系列</x:v>
      </x:c>
      <x:c r="D1080" s="604" t="inlineStr">
        <x:is>
          <x:t xml:space="preserve">联赛</x:t>
        </x:is>
      </x:c>
      <x:c r="E1080" s="604" t="inlineStr">
        <x:is>
          <x:t xml:space="preserve">巴伊乙</x:t>
        </x:is>
      </x:c>
      <x:c r="F1080" s="604" t="inlineStr">
        <x:is>
          <x:t xml:space="preserve">瓜拉比拉体育会 vs 斯巴达 FC</x:t>
        </x:is>
      </x:c>
      <x:c r="G1080" s="604" t="n">
        <x:v>0.85</x:v>
      </x:c>
      <x:c r="H1080" s="604" t="n">
        <x:v>0</x:v>
      </x:c>
      <x:c r="I1080" s="604" t="n">
        <x:v>0.95</x:v>
      </x:c>
      <x:c r="J1080" s="604" t="inlineStr">
        <x:is>
          <x:t xml:space="preserve">0.85/0/0.95</x:t>
        </x:is>
      </x:c>
      <x:c r="K1080" s="604" t="inlineStr">
        <x:is>
          <x:t xml:space="preserve">V4-C｜EV +0.0047</x:t>
        </x:is>
      </x:c>
      <x:c r="L1080" s="604" t="str"/>
      <x:c r="M1080" s="604" t="n">
        <x:v>0.5434351529814394</x:v>
      </x:c>
      <x:c r="N1080" s="604" t="inlineStr">
        <x:is>
          <x:t xml:space="preserve">V4纸面入选-C</x:t>
        </x:is>
      </x:c>
      <x:c r="O1080" s="604" t="inlineStr">
        <x:is>
          <x:t xml:space="preserve">0-1</x:t>
        </x:is>
      </x:c>
      <x:c r="P1080" s="604" t="inlineStr">
        <x:is>
          <x:t xml:space="preserve">已结算</x:t>
        </x:is>
      </x:c>
      <x:c r="Q1080" s="646" t="inlineStr">
        <x:is>
          <x:t xml:space="preserve">黑</x:t>
        </x:is>
      </x:c>
      <x:c r="R1080" s="604" t="n">
        <x:v>0.95</x:v>
      </x:c>
      <x:c r="S1080" s="604" t="n">
        <x:f>IF(OR(Q1080="",Q1080="待结算"),"",IF(Q1080="红",R1080,IF(Q1080="半红",R1080*0.5,IF(Q1080="走",0,IF(Q1080="半黑",-0.5,-1)))))</x:f>
        <x:v>-1</x:v>
      </x:c>
      <x:c r="T1080" s="604" t="inlineStr">
        <x:is>
          <x:t xml:space="preserve">https://m.titan007.com/analy/Analysis/3099078.htm</x:t>
        </x:is>
      </x:c>
      <x:c r="U1080" s="645" t="str">
        <x:f>IF(Q1080="","",IF(Q1080="待结算","待结算",IF(Q1080="红","黑",IF(Q1080="半红","半黑",IF(Q1080="走","走",IF(Q1080="半黑","半红","红"))))))</x:f>
        <x:v>红</x:v>
      </x:c>
      <x:c r="V1080" s="604" t="n">
        <x:f>IF(OR(Q1080="",Q1080="待结算"),"",IF(L1080=LEFT(F1080,FIND(" vs ",F1080)-1),I1080,G1080))</x:f>
        <x:v>0.85</x:v>
      </x:c>
      <x:c r="W1080" s="604" t="n">
        <x:f>IF(OR(U1080="",U1080="待结算"),"",IF(U1080="红",V1080,IF(U1080="半红",V1080*0.5,IF(U1080="走",0,IF(U1080="半黑",-0.5,-1)))))</x:f>
        <x:v>0.85</x:v>
      </x:c>
      <x:c r="X1080" s="604" t="inlineStr">
        <x:is>
          <x:t xml:space="preserve">3099078</x:t>
        </x:is>
      </x:c>
      <x:c r="Y1080" s="604" t="inlineStr">
        <x:is>
          <x:t xml:space="preserve">V4</x:t>
        </x:is>
      </x:c>
      <x:c r="Z1080" s="604" t="inlineStr">
        <x:is>
          <x:t xml:space="preserve">prior-2026-10-05-v1</x:t>
        </x:is>
      </x:c>
      <x:c r="AA1080" s="604" t="inlineStr">
        <x:is>
          <x:t xml:space="preserve">C</x:t>
        </x:is>
      </x:c>
      <x:c r="AB1080" s="604" t="n">
        <x:v>0.4740469229713119</x:v>
      </x:c>
      <x:c r="AC1080" s="604" t="n"/>
      <x:c r="AD1080" s="604" t="n"/>
      <x:c r="AE1080" s="604" t="n">
        <x:v>0.2553689419223032</x:v>
      </x:c>
      <x:c r="AF1080" s="604" t="n">
        <x:v>0.2705841351063849</x:v>
      </x:c>
      <x:c r="AG1080" s="604" t="n">
        <x:v>0.004671278458078576</x:v>
      </x:c>
      <x:c r="AH1080" s="604" t="n"/>
      <x:c r="AI1080" s="604" t="n"/>
      <x:c r="AJ1080" s="604" t="n">
        <x:v>0.004671278458078576</x:v>
      </x:c>
      <x:c r="AK1080" s="604" t="n"/>
      <x:c r="AL1080" s="604" t="n"/>
      <x:c r="AM1080" s="604" t="n"/>
      <x:c r="AN1080" s="604" t="inlineStr">
        <x:is>
          <x:t xml:space="preserve">EVALUATED</x:t>
        </x:is>
      </x:c>
      <x:c r="AO1080" s="604" t="inlineStr">
        <x:is>
          <x:t xml:space="preserve">EDGE_BELOW_UNCERTAINTY_THRESHOLD、BUCKET_PRIOR_ONLY、INTENT_INTERPRETATION_ONLY、FFL_OPTIONAL、EXPERT_MARKET</x:t>
        </x:is>
      </x:c>
      <x:c r="AP1080" s="604" t="inlineStr">
        <x:is>
          <x:t xml:space="preserve">d192c48ac5510d5833ae</x:t>
        </x:is>
      </x:c>
      <x:c r="AQ1080" s="604" t="n">
        <x:v>0</x:v>
      </x:c>
      <x:c r="AR1080" s="604" t="n"/>
      <x:c r="AS1080" s="604" t="n">
        <x:v>0</x:v>
      </x:c>
      <x:c r="AT1080" s="604" t="n">
        <x:v>0</x:v>
      </x:c>
      <x:c r="AU1080" s="604" t="n">
        <x:v>0.85</x:v>
      </x:c>
      <x:c r="AV1080" s="604" t="n">
        <x:v>0.95</x:v>
      </x:c>
      <x:c r="AW1080" s="604" t="n">
        <x:v>46300.07479607639</x:v>
      </x:c>
      <x:c r="AX1080" s="604" t="inlineStr">
        <x:is>
          <x:t xml:space="preserve">https://simondongxiao.github.io/odds/v4/</x:t>
        </x:is>
      </x:c>
      <x:c r="AY1080" s="604" t="inlineStr">
        <x:is>
          <x:t xml:space="preserve">V4 Shadow Only；real_money=false；P(EV&gt;0)不是比赛胜率</x:t>
        </x:is>
      </x:c>
    </x:row>
    <x:row r="1081" ht="22" customHeight="1">
      <x:c r="A1081" s="604" t="inlineStr">
        <x:is>
          <x:t xml:space="preserve">2026-10-05</x:t>
        </x:is>
      </x:c>
      <x:c r="B1081" s="604" t="inlineStr">
        <x:is>
          <x:t xml:space="preserve">2026-10-06 07:00</x:t>
        </x:is>
      </x:c>
      <x:c r="C1081" s="604" t="str">
        <x:v>南美系列</x:v>
      </x:c>
      <x:c r="D1081" s="604" t="inlineStr">
        <x:is>
          <x:t xml:space="preserve">杯赛</x:t>
        </x:is>
      </x:c>
      <x:c r="E1081" s="604" t="inlineStr">
        <x:is>
          <x:t xml:space="preserve">巴拉女杯</x:t>
        </x:is>
      </x:c>
      <x:c r="F1081" s="604" t="inlineStr">
        <x:is>
          <x:t xml:space="preserve">雷科莱塔女足 vs 泰里尼登斯女足</x:t>
        </x:is>
      </x:c>
      <x:c r="G1081" s="604" t="n">
        <x:v>1</x:v>
      </x:c>
      <x:c r="H1081" s="604" t="n">
        <x:v>-1</x:v>
      </x:c>
      <x:c r="I1081" s="604" t="n">
        <x:v>0.8</x:v>
      </x:c>
      <x:c r="J1081" s="604" t="inlineStr">
        <x:is>
          <x:t xml:space="preserve">1/-1/0.8</x:t>
        </x:is>
      </x:c>
      <x:c r="K1081" s="604" t="inlineStr">
        <x:is>
          <x:t xml:space="preserve">V4-B｜EV +0.8512</x:t>
        </x:is>
      </x:c>
      <x:c r="L1081" s="604" t="inlineStr">
        <x:is>
          <x:t xml:space="preserve">雷科莱塔女足</x:t>
        </x:is>
      </x:c>
      <x:c r="M1081" s="604" t="n">
        <x:v>0.9663507714374883</x:v>
      </x:c>
      <x:c r="N1081" s="604" t="inlineStr">
        <x:is>
          <x:t xml:space="preserve">V4纸面入选-B</x:t>
        </x:is>
      </x:c>
      <x:c r="O1081" s="604" t="inlineStr">
        <x:is>
          <x:t xml:space="preserve">0-3</x:t>
        </x:is>
      </x:c>
      <x:c r="P1081" s="604" t="inlineStr">
        <x:is>
          <x:t xml:space="preserve">已结算</x:t>
        </x:is>
      </x:c>
      <x:c r="Q1081" s="646" t="inlineStr">
        <x:is>
          <x:t xml:space="preserve">黑</x:t>
        </x:is>
      </x:c>
      <x:c r="R1081" s="604" t="n">
        <x:v>1</x:v>
      </x:c>
      <x:c r="S1081" s="604" t="n">
        <x:f>IF(OR(Q1081="",Q1081="待结算"),"",IF(Q1081="红",R1081,IF(Q1081="半红",R1081*0.5,IF(Q1081="走",0,IF(Q1081="半黑",-0.5,-1)))))</x:f>
        <x:v>-1</x:v>
      </x:c>
      <x:c r="T1081" s="604" t="inlineStr">
        <x:is>
          <x:t xml:space="preserve">https://m.titan007.com/analy/Analysis/3099052.htm</x:t>
        </x:is>
      </x:c>
      <x:c r="U1081" s="645" t="str">
        <x:f>IF(Q1081="","",IF(Q1081="待结算","待结算",IF(Q1081="红","黑",IF(Q1081="半红","半黑",IF(Q1081="走","走",IF(Q1081="半黑","半红","红"))))))</x:f>
        <x:v>红</x:v>
      </x:c>
      <x:c r="V1081" s="604" t="n">
        <x:f>IF(OR(Q1081="",Q1081="待结算"),"",IF(L1081=LEFT(F1081,FIND(" vs ",F1081)-1),I1081,G1081))</x:f>
        <x:v>0.8</x:v>
      </x:c>
      <x:c r="W1081" s="604" t="n">
        <x:f>IF(OR(U1081="",U1081="待结算"),"",IF(U1081="红",V1081,IF(U1081="半红",V1081*0.5,IF(U1081="走",0,IF(U1081="半黑",-0.5,-1)))))</x:f>
        <x:v>0.8</x:v>
      </x:c>
      <x:c r="X1081" s="604" t="inlineStr">
        <x:is>
          <x:t xml:space="preserve">3099052</x:t>
        </x:is>
      </x:c>
      <x:c r="Y1081" s="604" t="inlineStr">
        <x:is>
          <x:t xml:space="preserve">V4</x:t>
        </x:is>
      </x:c>
      <x:c r="Z1081" s="604" t="inlineStr">
        <x:is>
          <x:t xml:space="preserve">prior-2026-10-05-v1</x:t>
        </x:is>
      </x:c>
      <x:c r="AA1081" s="604" t="inlineStr">
        <x:is>
          <x:t xml:space="preserve">B</x:t>
        </x:is>
      </x:c>
      <x:c r="AB1081" s="604" t="n">
        <x:v>0.8819005475214391</x:v>
      </x:c>
      <x:c r="AC1081" s="604" t="n"/>
      <x:c r="AD1081" s="604" t="n">
        <x:v>0.08739085890150004</x:v>
      </x:c>
      <x:c r="AE1081" s="604" t="n"/>
      <x:c r="AF1081" s="604" t="n">
        <x:v>0.03070859357706088</x:v>
      </x:c>
      <x:c r="AG1081" s="604" t="n">
        <x:v>0.8511919539443782</x:v>
      </x:c>
      <x:c r="AH1081" s="604" t="n"/>
      <x:c r="AI1081" s="604" t="n"/>
      <x:c r="AJ1081" s="604" t="n">
        <x:v>0.8511919539443782</x:v>
      </x:c>
      <x:c r="AK1081" s="604" t="n"/>
      <x:c r="AL1081" s="604" t="n"/>
      <x:c r="AM1081" s="604" t="n"/>
      <x:c r="AN1081" s="604" t="inlineStr">
        <x:is>
          <x:t xml:space="preserve">EVALUATED</x:t>
        </x:is>
      </x:c>
      <x:c r="AO1081" s="604" t="inlineStr">
        <x:is>
          <x:t xml:space="preserve">RECEIVING_VALIDATED_EDGE、BUCKET_PRIOR_ONLY、INTENT_INTERPRETATION_ONLY、FFL_OPTIONAL、EXPERT_MARKET</x:t>
        </x:is>
      </x:c>
      <x:c r="AP1081" s="604" t="inlineStr">
        <x:is>
          <x:t xml:space="preserve">ee2e2a1ccf34aca9c94a</x:t>
        </x:is>
      </x:c>
      <x:c r="AQ1081" s="604" t="n">
        <x:v>1</x:v>
      </x:c>
      <x:c r="AR1081" s="604" t="n">
        <x:v>1</x:v>
      </x:c>
      <x:c r="AS1081" s="604" t="n">
        <x:v>-1</x:v>
      </x:c>
      <x:c r="AT1081" s="604" t="n">
        <x:v>1</x:v>
      </x:c>
      <x:c r="AU1081" s="604" t="n">
        <x:v>1</x:v>
      </x:c>
      <x:c r="AV1081" s="604" t="n">
        <x:v>0.8</x:v>
      </x:c>
      <x:c r="AW1081" s="604" t="n">
        <x:v>46300.07479607639</x:v>
      </x:c>
      <x:c r="AX1081" s="604" t="inlineStr">
        <x:is>
          <x:t xml:space="preserve">https://simondongxiao.github.io/odds/v4/</x:t>
        </x:is>
      </x:c>
      <x:c r="AY1081" s="604" t="inlineStr">
        <x:is>
          <x:t xml:space="preserve">V4 Shadow Only；real_money=false；P(EV&gt;0)不是比赛胜率</x:t>
        </x:is>
      </x:c>
    </x:row>
    <x:row r="1082" ht="22" customHeight="1">
      <x:c r="A1082" s="604" t="inlineStr">
        <x:is>
          <x:t xml:space="preserve">2026-10-05</x:t>
        </x:is>
      </x:c>
      <x:c r="B1082" s="604" t="inlineStr">
        <x:is>
          <x:t xml:space="preserve">2026-10-06 07:15</x:t>
        </x:is>
      </x:c>
      <x:c r="C1082" s="604" t="str">
        <x:v>南美系列</x:v>
      </x:c>
      <x:c r="D1082" s="604" t="inlineStr">
        <x:is>
          <x:t xml:space="preserve">联赛</x:t>
        </x:is>
      </x:c>
      <x:c r="E1082" s="604" t="inlineStr">
        <x:is>
          <x:t xml:space="preserve">巴伊乙</x:t>
        </x:is>
      </x:c>
      <x:c r="F1082" s="604" t="inlineStr">
        <x:is>
          <x:t xml:space="preserve">奥托艾斯波特 vs 塞拉诺PB</x:t>
        </x:is>
      </x:c>
      <x:c r="G1082" s="604" t="n">
        <x:v>0.9</x:v>
      </x:c>
      <x:c r="H1082" s="604" t="n">
        <x:v>1.75</x:v>
      </x:c>
      <x:c r="I1082" s="604" t="n">
        <x:v>0.9</x:v>
      </x:c>
      <x:c r="J1082" s="604" t="inlineStr">
        <x:is>
          <x:t xml:space="preserve">0.9/1.75/0.9</x:t>
        </x:is>
      </x:c>
      <x:c r="K1082" s="604" t="inlineStr">
        <x:is>
          <x:t xml:space="preserve">V4-B｜EV +0.1547</x:t>
        </x:is>
      </x:c>
      <x:c r="L1082" s="604" t="inlineStr">
        <x:is>
          <x:t xml:space="preserve">奥托艾斯波特</x:t>
        </x:is>
      </x:c>
      <x:c r="M1082" s="604" t="n">
        <x:v>0.6191948045271433</x:v>
      </x:c>
      <x:c r="N1082" s="604" t="inlineStr">
        <x:is>
          <x:t xml:space="preserve">V4纸面入选-B</x:t>
        </x:is>
      </x:c>
      <x:c r="O1082" s="604" t="inlineStr">
        <x:is>
          <x:t xml:space="preserve">2-0</x:t>
        </x:is>
      </x:c>
      <x:c r="P1082" s="604" t="inlineStr">
        <x:is>
          <x:t xml:space="preserve">已结算</x:t>
        </x:is>
      </x:c>
      <x:c r="Q1082" s="649" t="inlineStr">
        <x:is>
          <x:t xml:space="preserve">半红</x:t>
        </x:is>
      </x:c>
      <x:c r="R1082" s="604" t="n">
        <x:v>0.9</x:v>
      </x:c>
      <x:c r="S1082" s="604" t="n">
        <x:f>IF(OR(Q1082="",Q1082="待结算"),"",IF(Q1082="红",R1082,IF(Q1082="半红",R1082*0.5,IF(Q1082="走",0,IF(Q1082="半黑",-0.5,-1)))))</x:f>
        <x:v>0.45</x:v>
      </x:c>
      <x:c r="T1082" s="604" t="inlineStr">
        <x:is>
          <x:t xml:space="preserve">https://m.titan007.com/analy/Analysis/3099077.htm</x:t>
        </x:is>
      </x:c>
      <x:c r="U1082" s="648" t="str">
        <x:f>IF(Q1082="","",IF(Q1082="待结算","待结算",IF(Q1082="红","黑",IF(Q1082="半红","半黑",IF(Q1082="走","走",IF(Q1082="半黑","半红","红"))))))</x:f>
        <x:v>半黑</x:v>
      </x:c>
      <x:c r="V1082" s="604" t="n">
        <x:f>IF(OR(Q1082="",Q1082="待结算"),"",IF(L1082=LEFT(F1082,FIND(" vs ",F1082)-1),I1082,G1082))</x:f>
        <x:v>0.9</x:v>
      </x:c>
      <x:c r="W1082" s="604" t="n">
        <x:f>IF(OR(U1082="",U1082="待结算"),"",IF(U1082="红",V1082,IF(U1082="半红",V1082*0.5,IF(U1082="走",0,IF(U1082="半黑",-0.5,-1)))))</x:f>
        <x:v>-0.5</x:v>
      </x:c>
      <x:c r="X1082" s="604" t="inlineStr">
        <x:is>
          <x:t xml:space="preserve">3099077</x:t>
        </x:is>
      </x:c>
      <x:c r="Y1082" s="604" t="inlineStr">
        <x:is>
          <x:t xml:space="preserve">V4</x:t>
        </x:is>
      </x:c>
      <x:c r="Z1082" s="604" t="inlineStr">
        <x:is>
          <x:t xml:space="preserve">prior-2026-10-05-v1</x:t>
        </x:is>
      </x:c>
      <x:c r="AA1082" s="604" t="inlineStr">
        <x:is>
          <x:t xml:space="preserve">B</x:t>
        </x:is>
      </x:c>
      <x:c r="AB1082" s="604" t="n">
        <x:v>0.4190760043571433</x:v>
      </x:c>
      <x:c r="AC1082" s="604" t="n">
        <x:v>0.247183105591104</x:v>
      </x:c>
      <x:c r="AD1082" s="604" t="n"/>
      <x:c r="AE1082" s="604" t="n"/>
      <x:c r="AF1082" s="604" t="n">
        <x:v>0.3337408900517527</x:v>
      </x:c>
      <x:c r="AG1082" s="604" t="n">
        <x:v>0.154659911385673</x:v>
      </x:c>
      <x:c r="AH1082" s="604" t="n"/>
      <x:c r="AI1082" s="604" t="n"/>
      <x:c r="AJ1082" s="604" t="n">
        <x:v>0.154659911385673</x:v>
      </x:c>
      <x:c r="AK1082" s="604" t="n"/>
      <x:c r="AL1082" s="604" t="n"/>
      <x:c r="AM1082" s="604" t="n"/>
      <x:c r="AN1082" s="604" t="inlineStr">
        <x:is>
          <x:t xml:space="preserve">EVALUATED</x:t>
        </x:is>
      </x:c>
      <x:c r="AO1082" s="604" t="inlineStr">
        <x:is>
          <x:t xml:space="preserve">GIVING_VALIDATED_EDGE、BUCKET_PRIOR_ONLY、INTENT_INTERPRETATION_ONLY、FFL_OPTIONAL、EXPERT_MARKET</x:t>
        </x:is>
      </x:c>
      <x:c r="AP1082" s="604" t="inlineStr">
        <x:is>
          <x:t xml:space="preserve">3723a5021a9598e33b73</x:t>
        </x:is>
      </x:c>
      <x:c r="AQ1082" s="604" t="n">
        <x:v>-1.75</x:v>
      </x:c>
      <x:c r="AR1082" s="604" t="n">
        <x:v>0.9</x:v>
      </x:c>
      <x:c r="AS1082" s="604" t="n">
        <x:v>1.75</x:v>
      </x:c>
      <x:c r="AT1082" s="604" t="n">
        <x:v>-1.75</x:v>
      </x:c>
      <x:c r="AU1082" s="604" t="n">
        <x:v>0.9</x:v>
      </x:c>
      <x:c r="AV1082" s="604" t="n">
        <x:v>0.9</x:v>
      </x:c>
      <x:c r="AW1082" s="604" t="n">
        <x:v>46300.07479607639</x:v>
      </x:c>
      <x:c r="AX1082" s="604" t="inlineStr">
        <x:is>
          <x:t xml:space="preserve">https://simondongxiao.github.io/odds/v4/</x:t>
        </x:is>
      </x:c>
      <x:c r="AY1082" s="604" t="inlineStr">
        <x:is>
          <x:t xml:space="preserve">V4 Shadow Only；real_money=false；P(EV&gt;0)不是比赛胜率</x:t>
        </x:is>
      </x:c>
    </x:row>
    <x:row r="1083" ht="22" customHeight="1">
      <x:c r="A1083" s="604" t="inlineStr">
        <x:is>
          <x:t xml:space="preserve">2026-10-05</x:t>
        </x:is>
      </x:c>
      <x:c r="B1083" s="604" t="inlineStr">
        <x:is>
          <x:t xml:space="preserve">2026-10-06 08:00</x:t>
        </x:is>
      </x:c>
      <x:c r="C1083" s="604" t="str">
        <x:v>南美系列</x:v>
      </x:c>
      <x:c r="D1083" s="604" t="inlineStr">
        <x:is>
          <x:t xml:space="preserve">联赛</x:t>
        </x:is>
      </x:c>
      <x:c r="E1083" s="604" t="inlineStr">
        <x:is>
          <x:t xml:space="preserve">哥伦甲秋</x:t>
        </x:is>
      </x:c>
      <x:c r="F1083" s="604" t="inlineStr">
        <x:is>
          <x:t xml:space="preserve">麦德林独立 vs 圣塔菲</x:t>
        </x:is>
      </x:c>
      <x:c r="G1083" s="604" t="n">
        <x:v>0.93</x:v>
      </x:c>
      <x:c r="H1083" s="604" t="n">
        <x:v>0.5</x:v>
      </x:c>
      <x:c r="I1083" s="604" t="n">
        <x:v>0.95</x:v>
      </x:c>
      <x:c r="J1083" s="604" t="inlineStr">
        <x:is>
          <x:t xml:space="preserve">0.93/0.5/0.95</x:t>
        </x:is>
      </x:c>
      <x:c r="K1083" s="604" t="inlineStr">
        <x:is>
          <x:t xml:space="preserve">V4-B｜EV +0.1070</x:t>
        </x:is>
      </x:c>
      <x:c r="L1083" s="604" t="inlineStr">
        <x:is>
          <x:t xml:space="preserve">麦德林独立</x:t>
        </x:is>
      </x:c>
      <x:c r="M1083" s="604" t="n">
        <x:v>0.5735662786084781</x:v>
      </x:c>
      <x:c r="N1083" s="604" t="inlineStr">
        <x:is>
          <x:t xml:space="preserve">V4纸面入选-B</x:t>
        </x:is>
      </x:c>
      <x:c r="O1083" s="604" t="inlineStr">
        <x:is>
          <x:t xml:space="preserve">0-1</x:t>
        </x:is>
      </x:c>
      <x:c r="P1083" s="604" t="inlineStr">
        <x:is>
          <x:t xml:space="preserve">已结算</x:t>
        </x:is>
      </x:c>
      <x:c r="Q1083" s="646" t="inlineStr">
        <x:is>
          <x:t xml:space="preserve">黑</x:t>
        </x:is>
      </x:c>
      <x:c r="R1083" s="604" t="n">
        <x:v>0.93</x:v>
      </x:c>
      <x:c r="S1083" s="604" t="n">
        <x:f>IF(OR(Q1083="",Q1083="待结算"),"",IF(Q1083="红",R1083,IF(Q1083="半红",R1083*0.5,IF(Q1083="走",0,IF(Q1083="半黑",-0.5,-1)))))</x:f>
        <x:v>-1</x:v>
      </x:c>
      <x:c r="T1083" s="604" t="inlineStr">
        <x:is>
          <x:t xml:space="preserve">https://m.titan007.com/analy/Analysis/3011883.htm</x:t>
        </x:is>
      </x:c>
      <x:c r="U1083" s="645" t="str">
        <x:f>IF(Q1083="","",IF(Q1083="待结算","待结算",IF(Q1083="红","黑",IF(Q1083="半红","半黑",IF(Q1083="走","走",IF(Q1083="半黑","半红","红"))))))</x:f>
        <x:v>红</x:v>
      </x:c>
      <x:c r="V1083" s="604" t="n">
        <x:f>IF(OR(Q1083="",Q1083="待结算"),"",IF(L1083=LEFT(F1083,FIND(" vs ",F1083)-1),I1083,G1083))</x:f>
        <x:v>0.95</x:v>
      </x:c>
      <x:c r="W1083" s="604" t="n">
        <x:f>IF(OR(U1083="",U1083="待结算"),"",IF(U1083="红",V1083,IF(U1083="半红",V1083*0.5,IF(U1083="走",0,IF(U1083="半黑",-0.5,-1)))))</x:f>
        <x:v>0.95</x:v>
      </x:c>
      <x:c r="X1083" s="604" t="inlineStr">
        <x:is>
          <x:t xml:space="preserve">3011883</x:t>
        </x:is>
      </x:c>
      <x:c r="Y1083" s="604" t="inlineStr">
        <x:is>
          <x:t xml:space="preserve">V4</x:t>
        </x:is>
      </x:c>
      <x:c r="Z1083" s="604" t="inlineStr">
        <x:is>
          <x:t xml:space="preserve">prior-2026-10-05-v1</x:t>
        </x:is>
      </x:c>
      <x:c r="AA1083" s="604" t="inlineStr">
        <x:is>
          <x:t xml:space="preserve">B</x:t>
        </x:is>
      </x:c>
      <x:c r="AB1083" s="604" t="n">
        <x:v>0.5735662786084781</x:v>
      </x:c>
      <x:c r="AC1083" s="604" t="n"/>
      <x:c r="AD1083" s="604" t="n"/>
      <x:c r="AE1083" s="604" t="n"/>
      <x:c r="AF1083" s="604" t="n">
        <x:v>0.426433721391522</x:v>
      </x:c>
      <x:c r="AG1083" s="604" t="n">
        <x:v>0.1069829177143627</x:v>
      </x:c>
      <x:c r="AH1083" s="604" t="n"/>
      <x:c r="AI1083" s="604" t="n"/>
      <x:c r="AJ1083" s="604" t="n">
        <x:v>0.1069829177143627</x:v>
      </x:c>
      <x:c r="AK1083" s="604" t="n"/>
      <x:c r="AL1083" s="604" t="n"/>
      <x:c r="AM1083" s="604" t="n"/>
      <x:c r="AN1083" s="604" t="inlineStr">
        <x:is>
          <x:t xml:space="preserve">EVALUATED</x:t>
        </x:is>
      </x:c>
      <x:c r="AO1083" s="604" t="inlineStr">
        <x:is>
          <x:t xml:space="preserve">GIVING_VALIDATED_EDGE、BUCKET_PRIOR_ONLY、INTENT_INTERPRETATION_ONLY、FFL_OPTIONAL、EXPERT_MARKET</x:t>
        </x:is>
      </x:c>
      <x:c r="AP1083" s="604" t="inlineStr">
        <x:is>
          <x:t xml:space="preserve">a9332022bd85ec028d5e</x:t>
        </x:is>
      </x:c>
      <x:c r="AQ1083" s="604" t="n">
        <x:v>-0.5</x:v>
      </x:c>
      <x:c r="AR1083" s="604" t="n">
        <x:v>0.93</x:v>
      </x:c>
      <x:c r="AS1083" s="604" t="n">
        <x:v>0.5</x:v>
      </x:c>
      <x:c r="AT1083" s="604" t="n">
        <x:v>-0.5</x:v>
      </x:c>
      <x:c r="AU1083" s="604" t="n">
        <x:v>0.93</x:v>
      </x:c>
      <x:c r="AV1083" s="604" t="n">
        <x:v>0.95</x:v>
      </x:c>
      <x:c r="AW1083" s="604" t="n">
        <x:v>46300.07479607639</x:v>
      </x:c>
      <x:c r="AX1083" s="604" t="inlineStr">
        <x:is>
          <x:t xml:space="preserve">https://simondongxiao.github.io/odds/v4/</x:t>
        </x:is>
      </x:c>
      <x:c r="AY1083" s="604" t="inlineStr">
        <x:is>
          <x:t xml:space="preserve">V4 Shadow Only；real_money=false；P(EV&gt;0)不是比赛胜率</x:t>
        </x:is>
      </x:c>
    </x:row>
    <x:row r="1084" ht="22" customHeight="1">
      <x:c r="A1084" s="604" t="inlineStr">
        <x:is>
          <x:t xml:space="preserve">2026-10-05</x:t>
        </x:is>
      </x:c>
      <x:c r="B1084" s="604" t="inlineStr">
        <x:is>
          <x:t xml:space="preserve">2026-10-06 08:00</x:t>
        </x:is>
      </x:c>
      <x:c r="C1084" s="604" t="str">
        <x:v>北美系列</x:v>
      </x:c>
      <x:c r="D1084" s="604" t="inlineStr">
        <x:is>
          <x:t xml:space="preserve">联赛</x:t>
        </x:is>
      </x:c>
      <x:c r="E1084" s="604" t="inlineStr">
        <x:is>
          <x:t xml:space="preserve">中北美国联</x:t>
        </x:is>
      </x:c>
      <x:c r="F1084" s="604" t="inlineStr">
        <x:is>
          <x:t xml:space="preserve">危地马拉 vs 苏里南</x:t>
        </x:is>
      </x:c>
      <x:c r="G1084" s="604" t="n">
        <x:v>1.04</x:v>
      </x:c>
      <x:c r="H1084" s="604" t="n">
        <x:v>0.25</x:v>
      </x:c>
      <x:c r="I1084" s="604" t="n">
        <x:v>0.78</x:v>
      </x:c>
      <x:c r="J1084" s="604" t="inlineStr">
        <x:is>
          <x:t xml:space="preserve">1.04/0.25/0.78</x:t>
        </x:is>
      </x:c>
      <x:c r="K1084" s="604" t="inlineStr">
        <x:is>
          <x:t xml:space="preserve">V4-C｜EV +0.0589</x:t>
        </x:is>
      </x:c>
      <x:c r="L1084" s="604" t="inlineStr">
        <x:is>
          <x:t xml:space="preserve">危地马拉</x:t>
        </x:is>
      </x:c>
      <x:c r="M1084" s="604" t="n">
        <x:v>0.5233868650963855</x:v>
      </x:c>
      <x:c r="N1084" s="604" t="inlineStr">
        <x:is>
          <x:t xml:space="preserve">V4纸面入选-C</x:t>
        </x:is>
      </x:c>
      <x:c r="O1084" s="604" t="inlineStr">
        <x:is>
          <x:t xml:space="preserve">1-0</x:t>
        </x:is>
      </x:c>
      <x:c r="P1084" s="604" t="inlineStr">
        <x:is>
          <x:t xml:space="preserve">已结算</x:t>
        </x:is>
      </x:c>
      <x:c r="Q1084" s="645" t="inlineStr">
        <x:is>
          <x:t xml:space="preserve">红</x:t>
        </x:is>
      </x:c>
      <x:c r="R1084" s="604" t="n">
        <x:v>1.04</x:v>
      </x:c>
      <x:c r="S1084" s="604" t="n">
        <x:f>IF(OR(Q1084="",Q1084="待结算"),"",IF(Q1084="红",R1084,IF(Q1084="半红",R1084*0.5,IF(Q1084="走",0,IF(Q1084="半黑",-0.5,-1)))))</x:f>
        <x:v>1.04</x:v>
      </x:c>
      <x:c r="T1084" s="604" t="inlineStr">
        <x:is>
          <x:t xml:space="preserve">https://m.titan007.com/analy/Analysis/3092446.htm</x:t>
        </x:is>
      </x:c>
      <x:c r="U1084" s="646" t="str">
        <x:f>IF(Q1084="","",IF(Q1084="待结算","待结算",IF(Q1084="红","黑",IF(Q1084="半红","半黑",IF(Q1084="走","走",IF(Q1084="半黑","半红","红"))))))</x:f>
        <x:v>黑</x:v>
      </x:c>
      <x:c r="V1084" s="604" t="n">
        <x:f>IF(OR(Q1084="",Q1084="待结算"),"",IF(L1084=LEFT(F1084,FIND(" vs ",F1084)-1),I1084,G1084))</x:f>
        <x:v>0.78</x:v>
      </x:c>
      <x:c r="W1084" s="604" t="n">
        <x:f>IF(OR(U1084="",U1084="待结算"),"",IF(U1084="红",V1084,IF(U1084="半红",V1084*0.5,IF(U1084="走",0,IF(U1084="半黑",-0.5,-1)))))</x:f>
        <x:v>-1</x:v>
      </x:c>
      <x:c r="X1084" s="604" t="inlineStr">
        <x:is>
          <x:t xml:space="preserve">3092446</x:t>
        </x:is>
      </x:c>
      <x:c r="Y1084" s="604" t="inlineStr">
        <x:is>
          <x:t xml:space="preserve">V4</x:t>
        </x:is>
      </x:c>
      <x:c r="Z1084" s="604" t="inlineStr">
        <x:is>
          <x:t xml:space="preserve">prior-2026-10-05-v1</x:t>
        </x:is>
      </x:c>
      <x:c r="AA1084" s="604" t="inlineStr">
        <x:is>
          <x:t xml:space="preserve">C</x:t>
        </x:is>
      </x:c>
      <x:c r="AB1084" s="604" t="n">
        <x:v>0.4556069025727608</x:v>
      </x:c>
      <x:c r="AC1084" s="604" t="n"/>
      <x:c r="AD1084" s="604" t="n"/>
      <x:c r="AE1084" s="604" t="n">
        <x:v>0.2590052102707722</x:v>
      </x:c>
      <x:c r="AF1084" s="604" t="n">
        <x:v>0.2853878871564671</x:v>
      </x:c>
      <x:c r="AG1084" s="604" t="n">
        <x:v>0.05894068638381811</x:v>
      </x:c>
      <x:c r="AH1084" s="604" t="n"/>
      <x:c r="AI1084" s="604" t="n"/>
      <x:c r="AJ1084" s="604" t="n">
        <x:v>0.05894068638381811</x:v>
      </x:c>
      <x:c r="AK1084" s="604" t="n"/>
      <x:c r="AL1084" s="604" t="n"/>
      <x:c r="AM1084" s="604" t="n"/>
      <x:c r="AN1084" s="604" t="inlineStr">
        <x:is>
          <x:t xml:space="preserve">EVALUATED</x:t>
        </x:is>
      </x:c>
      <x:c r="AO1084" s="604" t="inlineStr">
        <x:is>
          <x:t xml:space="preserve">GIVING_VALIDATED_EDGE、BUCKET_PRIOR_ONLY、INTENT_INTERPRETATION_ONLY、FFL_OPTIONAL、EXPERT_MARKET</x:t>
        </x:is>
      </x:c>
      <x:c r="AP1084" s="604" t="inlineStr">
        <x:is>
          <x:t xml:space="preserve">289af861998fc2e1212a</x:t>
        </x:is>
      </x:c>
      <x:c r="AQ1084" s="604" t="n">
        <x:v>-0.25</x:v>
      </x:c>
      <x:c r="AR1084" s="604" t="n">
        <x:v>1.04</x:v>
      </x:c>
      <x:c r="AS1084" s="604" t="n">
        <x:v>0.25</x:v>
      </x:c>
      <x:c r="AT1084" s="604" t="n">
        <x:v>-0.25</x:v>
      </x:c>
      <x:c r="AU1084" s="604" t="n">
        <x:v>1.04</x:v>
      </x:c>
      <x:c r="AV1084" s="604" t="n">
        <x:v>0.78</x:v>
      </x:c>
      <x:c r="AW1084" s="604" t="n">
        <x:v>46300.07479607639</x:v>
      </x:c>
      <x:c r="AX1084" s="604" t="inlineStr">
        <x:is>
          <x:t xml:space="preserve">https://simondongxiao.github.io/odds/v4/</x:t>
        </x:is>
      </x:c>
      <x:c r="AY1084" s="604" t="inlineStr">
        <x:is>
          <x:t xml:space="preserve">V4 Shadow Only；real_money=false；P(EV&gt;0)不是比赛胜率</x:t>
        </x:is>
      </x:c>
    </x:row>
    <x:row r="1085" ht="22" customHeight="1">
      <x:c r="A1085" s="604" t="inlineStr">
        <x:is>
          <x:t xml:space="preserve">2026-10-05</x:t>
        </x:is>
      </x:c>
      <x:c r="B1085" s="604" t="inlineStr">
        <x:is>
          <x:t xml:space="preserve">2026-10-06 08:00</x:t>
        </x:is>
      </x:c>
      <x:c r="C1085" s="604" t="str">
        <x:v>北美系列</x:v>
      </x:c>
      <x:c r="D1085" s="604" t="inlineStr">
        <x:is>
          <x:t xml:space="preserve">联赛</x:t>
        </x:is>
      </x:c>
      <x:c r="E1085" s="604" t="inlineStr">
        <x:is>
          <x:t xml:space="preserve">中北美国联</x:t>
        </x:is>
      </x:c>
      <x:c r="F1085" s="604" t="inlineStr">
        <x:is>
          <x:t xml:space="preserve">百慕大群岛 vs 巴巴多斯</x:t>
        </x:is>
      </x:c>
      <x:c r="G1085" s="604" t="n">
        <x:v>0.87</x:v>
      </x:c>
      <x:c r="H1085" s="604" t="n">
        <x:v>-0.5</x:v>
      </x:c>
      <x:c r="I1085" s="604" t="n">
        <x:v>0.83</x:v>
      </x:c>
      <x:c r="J1085" s="604" t="inlineStr">
        <x:is>
          <x:t xml:space="preserve">0.87/-0.5/0.83</x:t>
        </x:is>
      </x:c>
      <x:c r="K1085" s="604" t="inlineStr">
        <x:is>
          <x:t xml:space="preserve">V4-B｜EV +0.4646</x:t>
        </x:is>
      </x:c>
      <x:c r="L1085" s="604" t="inlineStr">
        <x:is>
          <x:t xml:space="preserve">百慕大群岛</x:t>
        </x:is>
      </x:c>
      <x:c r="M1085" s="604" t="n">
        <x:v>0.783193809132378</x:v>
      </x:c>
      <x:c r="N1085" s="604" t="inlineStr">
        <x:is>
          <x:t xml:space="preserve">V4纸面入选-B</x:t>
        </x:is>
      </x:c>
      <x:c r="O1085" s="604" t="inlineStr">
        <x:is>
          <x:t xml:space="preserve">1-2</x:t>
        </x:is>
      </x:c>
      <x:c r="P1085" s="604" t="inlineStr">
        <x:is>
          <x:t xml:space="preserve">已结算</x:t>
        </x:is>
      </x:c>
      <x:c r="Q1085" s="646" t="inlineStr">
        <x:is>
          <x:t xml:space="preserve">黑</x:t>
        </x:is>
      </x:c>
      <x:c r="R1085" s="604" t="n">
        <x:v>0.87</x:v>
      </x:c>
      <x:c r="S1085" s="604" t="n">
        <x:f>IF(OR(Q1085="",Q1085="待结算"),"",IF(Q1085="红",R1085,IF(Q1085="半红",R1085*0.5,IF(Q1085="走",0,IF(Q1085="半黑",-0.5,-1)))))</x:f>
        <x:v>-1</x:v>
      </x:c>
      <x:c r="T1085" s="604" t="inlineStr">
        <x:is>
          <x:t xml:space="preserve">https://m.titan007.com/analy/Analysis/3092467.htm</x:t>
        </x:is>
      </x:c>
      <x:c r="U1085" s="645" t="str">
        <x:f>IF(Q1085="","",IF(Q1085="待结算","待结算",IF(Q1085="红","黑",IF(Q1085="半红","半黑",IF(Q1085="走","走",IF(Q1085="半黑","半红","红"))))))</x:f>
        <x:v>红</x:v>
      </x:c>
      <x:c r="V1085" s="604" t="n">
        <x:f>IF(OR(Q1085="",Q1085="待结算"),"",IF(L1085=LEFT(F1085,FIND(" vs ",F1085)-1),I1085,G1085))</x:f>
        <x:v>0.83</x:v>
      </x:c>
      <x:c r="W1085" s="604" t="n">
        <x:f>IF(OR(U1085="",U1085="待结算"),"",IF(U1085="红",V1085,IF(U1085="半红",V1085*0.5,IF(U1085="走",0,IF(U1085="半黑",-0.5,-1)))))</x:f>
        <x:v>0.83</x:v>
      </x:c>
      <x:c r="X1085" s="604" t="inlineStr">
        <x:is>
          <x:t xml:space="preserve">3092467</x:t>
        </x:is>
      </x:c>
      <x:c r="Y1085" s="604" t="inlineStr">
        <x:is>
          <x:t xml:space="preserve">V4</x:t>
        </x:is>
      </x:c>
      <x:c r="Z1085" s="604" t="inlineStr">
        <x:is>
          <x:t xml:space="preserve">prior-2026-10-05-v1</x:t>
        </x:is>
      </x:c>
      <x:c r="AA1085" s="604" t="inlineStr">
        <x:is>
          <x:t xml:space="preserve">B</x:t>
        </x:is>
      </x:c>
      <x:c r="AB1085" s="604" t="n">
        <x:v>0.783193809132378</x:v>
      </x:c>
      <x:c r="AC1085" s="604" t="n"/>
      <x:c r="AD1085" s="604" t="n"/>
      <x:c r="AE1085" s="604" t="n"/>
      <x:c r="AF1085" s="604" t="n">
        <x:v>0.216806190867622</x:v>
      </x:c>
      <x:c r="AG1085" s="604" t="n">
        <x:v>0.4645724230775468</x:v>
      </x:c>
      <x:c r="AH1085" s="604" t="n"/>
      <x:c r="AI1085" s="604" t="n"/>
      <x:c r="AJ1085" s="604" t="n">
        <x:v>0.4645724230775468</x:v>
      </x:c>
      <x:c r="AK1085" s="604" t="n"/>
      <x:c r="AL1085" s="604" t="n"/>
      <x:c r="AM1085" s="604" t="n"/>
      <x:c r="AN1085" s="604" t="inlineStr">
        <x:is>
          <x:t xml:space="preserve">EVALUATED</x:t>
        </x:is>
      </x:c>
      <x:c r="AO1085" s="604" t="inlineStr">
        <x:is>
          <x:t xml:space="preserve">RECEIVING_VALIDATED_EDGE、BUCKET_PRIOR_ONLY、INTENT_INTERPRETATION_ONLY、FFL_OPTIONAL、EXPERT_MARKET</x:t>
        </x:is>
      </x:c>
      <x:c r="AP1085" s="604" t="inlineStr">
        <x:is>
          <x:t xml:space="preserve">fac0ada4d0bca55f95b2</x:t>
        </x:is>
      </x:c>
      <x:c r="AQ1085" s="604" t="n">
        <x:v>0.5</x:v>
      </x:c>
      <x:c r="AR1085" s="604" t="n">
        <x:v>0.87</x:v>
      </x:c>
      <x:c r="AS1085" s="604" t="n">
        <x:v>-0.5</x:v>
      </x:c>
      <x:c r="AT1085" s="604" t="n">
        <x:v>0.5</x:v>
      </x:c>
      <x:c r="AU1085" s="604" t="n">
        <x:v>0.87</x:v>
      </x:c>
      <x:c r="AV1085" s="604" t="n">
        <x:v>0.83</x:v>
      </x:c>
      <x:c r="AW1085" s="604" t="n">
        <x:v>46300.07479607639</x:v>
      </x:c>
      <x:c r="AX1085" s="604" t="inlineStr">
        <x:is>
          <x:t xml:space="preserve">https://simondongxiao.github.io/odds/v4/</x:t>
        </x:is>
      </x:c>
      <x:c r="AY1085" s="604" t="inlineStr">
        <x:is>
          <x:t xml:space="preserve">V4 Shadow Only；real_money=false；P(EV&gt;0)不是比赛胜率</x:t>
        </x:is>
      </x:c>
    </x:row>
    <x:row r="1086" ht="22" customHeight="1">
      <x:c r="A1086" s="604" t="inlineStr">
        <x:is>
          <x:t xml:space="preserve">2026-10-05</x:t>
        </x:is>
      </x:c>
      <x:c r="B1086" s="604" t="inlineStr">
        <x:is>
          <x:t xml:space="preserve">2026-10-06 08:00</x:t>
        </x:is>
      </x:c>
      <x:c r="C1086" s="604" t="str">
        <x:v>北美系列</x:v>
      </x:c>
      <x:c r="D1086" s="604" t="inlineStr">
        <x:is>
          <x:t xml:space="preserve">联赛</x:t>
        </x:is>
      </x:c>
      <x:c r="E1086" s="604" t="inlineStr">
        <x:is>
          <x:t xml:space="preserve">中北美国联</x:t>
        </x:is>
      </x:c>
      <x:c r="F1086" s="604" t="inlineStr">
        <x:is>
          <x:t xml:space="preserve">格林纳达 vs 博奈尔</x:t>
        </x:is>
      </x:c>
      <x:c r="G1086" s="604" t="n">
        <x:v>1</x:v>
      </x:c>
      <x:c r="H1086" s="604" t="n">
        <x:v>1.5</x:v>
      </x:c>
      <x:c r="I1086" s="604" t="n">
        <x:v>0.7</x:v>
      </x:c>
      <x:c r="J1086" s="604" t="inlineStr">
        <x:is>
          <x:t xml:space="preserve">1/1.5/0.7</x:t>
        </x:is>
      </x:c>
      <x:c r="K1086" s="604" t="inlineStr">
        <x:is>
          <x:t xml:space="preserve">V4-C｜EV +0.0698</x:t>
        </x:is>
      </x:c>
      <x:c r="L1086" s="604" t="inlineStr">
        <x:is>
          <x:t xml:space="preserve">格林纳达</x:t>
        </x:is>
      </x:c>
      <x:c r="M1086" s="604" t="n">
        <x:v>0.5349210375474165</x:v>
      </x:c>
      <x:c r="N1086" s="604" t="inlineStr">
        <x:is>
          <x:t xml:space="preserve">V4纸面入选-C</x:t>
        </x:is>
      </x:c>
      <x:c r="O1086" s="604" t="inlineStr">
        <x:is>
          <x:t xml:space="preserve">1-4</x:t>
        </x:is>
      </x:c>
      <x:c r="P1086" s="604" t="inlineStr">
        <x:is>
          <x:t xml:space="preserve">已结算</x:t>
        </x:is>
      </x:c>
      <x:c r="Q1086" s="646" t="inlineStr">
        <x:is>
          <x:t xml:space="preserve">黑</x:t>
        </x:is>
      </x:c>
      <x:c r="R1086" s="604" t="n">
        <x:v>1</x:v>
      </x:c>
      <x:c r="S1086" s="604" t="n">
        <x:f>IF(OR(Q1086="",Q1086="待结算"),"",IF(Q1086="红",R1086,IF(Q1086="半红",R1086*0.5,IF(Q1086="走",0,IF(Q1086="半黑",-0.5,-1)))))</x:f>
        <x:v>-1</x:v>
      </x:c>
      <x:c r="T1086" s="604" t="inlineStr">
        <x:is>
          <x:t xml:space="preserve">https://m.titan007.com/analy/Analysis/3092479.htm</x:t>
        </x:is>
      </x:c>
      <x:c r="U1086" s="645" t="str">
        <x:f>IF(Q1086="","",IF(Q1086="待结算","待结算",IF(Q1086="红","黑",IF(Q1086="半红","半黑",IF(Q1086="走","走",IF(Q1086="半黑","半红","红"))))))</x:f>
        <x:v>红</x:v>
      </x:c>
      <x:c r="V1086" s="604" t="n">
        <x:f>IF(OR(Q1086="",Q1086="待结算"),"",IF(L1086=LEFT(F1086,FIND(" vs ",F1086)-1),I1086,G1086))</x:f>
        <x:v>0.7</x:v>
      </x:c>
      <x:c r="W1086" s="604" t="n">
        <x:f>IF(OR(U1086="",U1086="待结算"),"",IF(U1086="红",V1086,IF(U1086="半红",V1086*0.5,IF(U1086="走",0,IF(U1086="半黑",-0.5,-1)))))</x:f>
        <x:v>0.7</x:v>
      </x:c>
      <x:c r="X1086" s="604" t="inlineStr">
        <x:is>
          <x:t xml:space="preserve">3092479</x:t>
        </x:is>
      </x:c>
      <x:c r="Y1086" s="604" t="inlineStr">
        <x:is>
          <x:t xml:space="preserve">V4</x:t>
        </x:is>
      </x:c>
      <x:c r="Z1086" s="604" t="inlineStr">
        <x:is>
          <x:t xml:space="preserve">prior-2026-10-05-v1</x:t>
        </x:is>
      </x:c>
      <x:c r="AA1086" s="604" t="inlineStr">
        <x:is>
          <x:t xml:space="preserve">C</x:t>
        </x:is>
      </x:c>
      <x:c r="AB1086" s="604" t="n">
        <x:v>0.5349210375474165</x:v>
      </x:c>
      <x:c r="AC1086" s="604" t="n"/>
      <x:c r="AD1086" s="604" t="n"/>
      <x:c r="AE1086" s="604" t="n"/>
      <x:c r="AF1086" s="604" t="n">
        <x:v>0.4650789624525835</x:v>
      </x:c>
      <x:c r="AG1086" s="604" t="n">
        <x:v>0.06984207509483303</x:v>
      </x:c>
      <x:c r="AH1086" s="604" t="n"/>
      <x:c r="AI1086" s="604" t="n"/>
      <x:c r="AJ1086" s="604" t="n">
        <x:v>0.06984207509483303</x:v>
      </x:c>
      <x:c r="AK1086" s="604" t="n"/>
      <x:c r="AL1086" s="604" t="n"/>
      <x:c r="AM1086" s="604" t="n"/>
      <x:c r="AN1086" s="604" t="inlineStr">
        <x:is>
          <x:t xml:space="preserve">EVALUATED</x:t>
        </x:is>
      </x:c>
      <x:c r="AO1086" s="604" t="inlineStr">
        <x:is>
          <x:t xml:space="preserve">GIVING_VALIDATED_EDGE、BUCKET_PRIOR_ONLY、INTENT_INTERPRETATION_ONLY、FFL_OPTIONAL、EXPERT_MARKET</x:t>
        </x:is>
      </x:c>
      <x:c r="AP1086" s="604" t="inlineStr">
        <x:is>
          <x:t xml:space="preserve">a2579bc9edf669aafa8b</x:t>
        </x:is>
      </x:c>
      <x:c r="AQ1086" s="604" t="n">
        <x:v>-1.5</x:v>
      </x:c>
      <x:c r="AR1086" s="604" t="n">
        <x:v>1</x:v>
      </x:c>
      <x:c r="AS1086" s="604" t="n">
        <x:v>1.5</x:v>
      </x:c>
      <x:c r="AT1086" s="604" t="n">
        <x:v>-1.5</x:v>
      </x:c>
      <x:c r="AU1086" s="604" t="n">
        <x:v>1</x:v>
      </x:c>
      <x:c r="AV1086" s="604" t="n">
        <x:v>0.7</x:v>
      </x:c>
      <x:c r="AW1086" s="604" t="n">
        <x:v>46300.07479607639</x:v>
      </x:c>
      <x:c r="AX1086" s="604" t="inlineStr">
        <x:is>
          <x:t xml:space="preserve">https://simondongxiao.github.io/odds/v4/</x:t>
        </x:is>
      </x:c>
      <x:c r="AY1086" s="604" t="inlineStr">
        <x:is>
          <x:t xml:space="preserve">V4 Shadow Only；real_money=false；P(EV&gt;0)不是比赛胜率</x:t>
        </x:is>
      </x:c>
    </x:row>
    <x:row r="1087" ht="22" customHeight="1">
      <x:c r="A1087" s="604" t="inlineStr">
        <x:is>
          <x:t xml:space="preserve">2026-10-05</x:t>
        </x:is>
      </x:c>
      <x:c r="B1087" s="604" t="inlineStr">
        <x:is>
          <x:t xml:space="preserve">2026-10-06 08:15</x:t>
        </x:is>
      </x:c>
      <x:c r="C1087" s="604" t="str">
        <x:v>南美系列</x:v>
      </x:c>
      <x:c r="D1087" s="604" t="inlineStr">
        <x:is>
          <x:t xml:space="preserve">联赛</x:t>
        </x:is>
      </x:c>
      <x:c r="E1087" s="604" t="inlineStr">
        <x:is>
          <x:t xml:space="preserve">阿甲</x:t>
        </x:is>
      </x:c>
      <x:c r="F1087" s="604" t="inlineStr">
        <x:is>
          <x:t xml:space="preserve">班菲尔德 vs 罗萨里奥中央</x:t>
        </x:is>
      </x:c>
      <x:c r="G1087" s="604" t="n">
        <x:v>0.9399999999999999</x:v>
      </x:c>
      <x:c r="H1087" s="604" t="n">
        <x:v>-0.5</x:v>
      </x:c>
      <x:c r="I1087" s="604" t="n">
        <x:v>0.9399999999999999</x:v>
      </x:c>
      <x:c r="J1087" s="604" t="inlineStr">
        <x:is>
          <x:t xml:space="preserve">0.94/-0.5/0.94</x:t>
        </x:is>
      </x:c>
      <x:c r="K1087" s="604" t="inlineStr">
        <x:is>
          <x:t xml:space="preserve">V4-A｜EV +0.5921</x:t>
        </x:is>
      </x:c>
      <x:c r="L1087" s="604" t="inlineStr">
        <x:is>
          <x:t xml:space="preserve">班菲尔德</x:t>
        </x:is>
      </x:c>
      <x:c r="M1087" s="604" t="n">
        <x:v>0.8206553168930848</x:v>
      </x:c>
      <x:c r="N1087" s="604" t="inlineStr">
        <x:is>
          <x:t xml:space="preserve">V4纸面入选-A</x:t>
        </x:is>
      </x:c>
      <x:c r="O1087" s="604" t="inlineStr">
        <x:is>
          <x:t xml:space="preserve">1-1</x:t>
        </x:is>
      </x:c>
      <x:c r="P1087" s="604" t="inlineStr">
        <x:is>
          <x:t xml:space="preserve">已结算</x:t>
        </x:is>
      </x:c>
      <x:c r="Q1087" s="645" t="inlineStr">
        <x:is>
          <x:t xml:space="preserve">红</x:t>
        </x:is>
      </x:c>
      <x:c r="R1087" s="604" t="n">
        <x:v>0.9399999999999999</x:v>
      </x:c>
      <x:c r="S1087" s="604" t="n">
        <x:f>IF(OR(Q1087="",Q1087="待结算"),"",IF(Q1087="红",R1087,IF(Q1087="半红",R1087*0.5,IF(Q1087="走",0,IF(Q1087="半黑",-0.5,-1)))))</x:f>
        <x:v>0.94</x:v>
      </x:c>
      <x:c r="T1087" s="604" t="inlineStr">
        <x:is>
          <x:t xml:space="preserve">https://m.titan007.com/analy/Analysis/2962655.htm</x:t>
        </x:is>
      </x:c>
      <x:c r="U1087" s="646" t="str">
        <x:f>IF(Q1087="","",IF(Q1087="待结算","待结算",IF(Q1087="红","黑",IF(Q1087="半红","半黑",IF(Q1087="走","走",IF(Q1087="半黑","半红","红"))))))</x:f>
        <x:v>黑</x:v>
      </x:c>
      <x:c r="V1087" s="604" t="n">
        <x:f>IF(OR(Q1087="",Q1087="待结算"),"",IF(L1087=LEFT(F1087,FIND(" vs ",F1087)-1),I1087,G1087))</x:f>
        <x:v>0.94</x:v>
      </x:c>
      <x:c r="W1087" s="604" t="n">
        <x:f>IF(OR(U1087="",U1087="待结算"),"",IF(U1087="红",V1087,IF(U1087="半红",V1087*0.5,IF(U1087="走",0,IF(U1087="半黑",-0.5,-1)))))</x:f>
        <x:v>-1</x:v>
      </x:c>
      <x:c r="X1087" s="604" t="inlineStr">
        <x:is>
          <x:t xml:space="preserve">2962655</x:t>
        </x:is>
      </x:c>
      <x:c r="Y1087" s="604" t="inlineStr">
        <x:is>
          <x:t xml:space="preserve">V4</x:t>
        </x:is>
      </x:c>
      <x:c r="Z1087" s="604" t="inlineStr">
        <x:is>
          <x:t xml:space="preserve">prior-2026-10-05-v1</x:t>
        </x:is>
      </x:c>
      <x:c r="AA1087" s="604" t="inlineStr">
        <x:is>
          <x:t xml:space="preserve">A</x:t>
        </x:is>
      </x:c>
      <x:c r="AB1087" s="604" t="n">
        <x:v>0.8206553168930848</x:v>
      </x:c>
      <x:c r="AC1087" s="604" t="n"/>
      <x:c r="AD1087" s="604" t="n"/>
      <x:c r="AE1087" s="604" t="n"/>
      <x:c r="AF1087" s="604" t="n">
        <x:v>0.1793446831069152</x:v>
      </x:c>
      <x:c r="AG1087" s="604" t="n">
        <x:v>0.5920713147725845</x:v>
      </x:c>
      <x:c r="AH1087" s="604" t="n"/>
      <x:c r="AI1087" s="604" t="n"/>
      <x:c r="AJ1087" s="604" t="n">
        <x:v>0.5920713147725845</x:v>
      </x:c>
      <x:c r="AK1087" s="604" t="n"/>
      <x:c r="AL1087" s="604" t="n"/>
      <x:c r="AM1087" s="604" t="n"/>
      <x:c r="AN1087" s="604" t="inlineStr">
        <x:is>
          <x:t xml:space="preserve">EVALUATED</x:t>
        </x:is>
      </x:c>
      <x:c r="AO1087" s="604" t="inlineStr">
        <x:is>
          <x:t xml:space="preserve">RECEIVING_VALIDATED_EDGE、BUCKET_PRIOR_ONLY、INTENT_INTERPRETATION_ONLY、FFL_OPTIONAL、EXPERT_MARKET</x:t>
        </x:is>
      </x:c>
      <x:c r="AP1087" s="604" t="inlineStr">
        <x:is>
          <x:t xml:space="preserve">a6577fa4b842e1ab05ed</x:t>
        </x:is>
      </x:c>
      <x:c r="AQ1087" s="604" t="n">
        <x:v>0.5</x:v>
      </x:c>
      <x:c r="AR1087" s="604" t="n">
        <x:v>0.9399999999999999</x:v>
      </x:c>
      <x:c r="AS1087" s="604" t="n">
        <x:v>-0.5</x:v>
      </x:c>
      <x:c r="AT1087" s="604" t="n">
        <x:v>0.5</x:v>
      </x:c>
      <x:c r="AU1087" s="604" t="n">
        <x:v>0.9399999999999999</x:v>
      </x:c>
      <x:c r="AV1087" s="604" t="n">
        <x:v>0.9399999999999999</x:v>
      </x:c>
      <x:c r="AW1087" s="604" t="n">
        <x:v>46300.07479607639</x:v>
      </x:c>
      <x:c r="AX1087" s="604" t="inlineStr">
        <x:is>
          <x:t xml:space="preserve">https://simondongxiao.github.io/odds/v4/</x:t>
        </x:is>
      </x:c>
      <x:c r="AY1087" s="604" t="inlineStr">
        <x:is>
          <x:t xml:space="preserve">V4 Shadow Only；real_money=false；P(EV&gt;0)不是比赛胜率</x:t>
        </x:is>
      </x:c>
    </x:row>
    <x:row r="1088" ht="22" customHeight="1">
      <x:c r="A1088" s="604" t="inlineStr">
        <x:is>
          <x:t xml:space="preserve">2026-10-05</x:t>
        </x:is>
      </x:c>
      <x:c r="B1088" s="604" t="inlineStr">
        <x:is>
          <x:t xml:space="preserve">2026-10-06 09:00</x:t>
        </x:is>
      </x:c>
      <x:c r="C1088" s="604" t="str">
        <x:v>北美系列</x:v>
      </x:c>
      <x:c r="D1088" s="604" t="inlineStr">
        <x:is>
          <x:t xml:space="preserve">联赛</x:t>
        </x:is>
      </x:c>
      <x:c r="E1088" s="604" t="inlineStr">
        <x:is>
          <x:t xml:space="preserve">巴马甲秋</x:t>
        </x:is>
      </x:c>
      <x:c r="F1088" s="604" t="inlineStr">
        <x:is>
          <x:t xml:space="preserve">圣米格利托体育 vs 科克莱联</x:t>
        </x:is>
      </x:c>
      <x:c r="G1088" s="604" t="n">
        <x:v>0.93</x:v>
      </x:c>
      <x:c r="H1088" s="604" t="n">
        <x:v>0.5</x:v>
      </x:c>
      <x:c r="I1088" s="604" t="n">
        <x:v>0.88</x:v>
      </x:c>
      <x:c r="J1088" s="604" t="inlineStr">
        <x:is>
          <x:t xml:space="preserve">0.93/0.5/0.88</x:t>
        </x:is>
      </x:c>
      <x:c r="K1088" s="604" t="inlineStr">
        <x:is>
          <x:t xml:space="preserve">V4-B｜EV +0.0912</x:t>
        </x:is>
      </x:c>
      <x:c r="L1088" s="604" t="inlineStr">
        <x:is>
          <x:t xml:space="preserve">圣米格利托体育</x:t>
        </x:is>
      </x:c>
      <x:c r="M1088" s="604" t="n">
        <x:v>0.5653681387163687</x:v>
      </x:c>
      <x:c r="N1088" s="604" t="inlineStr">
        <x:is>
          <x:t xml:space="preserve">V4纸面入选-B</x:t>
        </x:is>
      </x:c>
      <x:c r="O1088" s="604" t="inlineStr">
        <x:is>
          <x:t xml:space="preserve">3-1</x:t>
        </x:is>
      </x:c>
      <x:c r="P1088" s="604" t="inlineStr">
        <x:is>
          <x:t xml:space="preserve">已结算</x:t>
        </x:is>
      </x:c>
      <x:c r="Q1088" s="645" t="inlineStr">
        <x:is>
          <x:t xml:space="preserve">红</x:t>
        </x:is>
      </x:c>
      <x:c r="R1088" s="604" t="n">
        <x:v>0.93</x:v>
      </x:c>
      <x:c r="S1088" s="604" t="n">
        <x:f>IF(OR(Q1088="",Q1088="待结算"),"",IF(Q1088="红",R1088,IF(Q1088="半红",R1088*0.5,IF(Q1088="走",0,IF(Q1088="半黑",-0.5,-1)))))</x:f>
        <x:v>0.93</x:v>
      </x:c>
      <x:c r="T1088" s="604" t="inlineStr">
        <x:is>
          <x:t xml:space="preserve">https://m.titan007.com/analy/Analysis/3036212.htm</x:t>
        </x:is>
      </x:c>
      <x:c r="U1088" s="646" t="str">
        <x:f>IF(Q1088="","",IF(Q1088="待结算","待结算",IF(Q1088="红","黑",IF(Q1088="半红","半黑",IF(Q1088="走","走",IF(Q1088="半黑","半红","红"))))))</x:f>
        <x:v>黑</x:v>
      </x:c>
      <x:c r="V1088" s="604" t="n">
        <x:f>IF(OR(Q1088="",Q1088="待结算"),"",IF(L1088=LEFT(F1088,FIND(" vs ",F1088)-1),I1088,G1088))</x:f>
        <x:v>0.88</x:v>
      </x:c>
      <x:c r="W1088" s="604" t="n">
        <x:f>IF(OR(U1088="",U1088="待结算"),"",IF(U1088="红",V1088,IF(U1088="半红",V1088*0.5,IF(U1088="走",0,IF(U1088="半黑",-0.5,-1)))))</x:f>
        <x:v>-1</x:v>
      </x:c>
      <x:c r="X1088" s="604" t="inlineStr">
        <x:is>
          <x:t xml:space="preserve">3036212</x:t>
        </x:is>
      </x:c>
      <x:c r="Y1088" s="604" t="inlineStr">
        <x:is>
          <x:t xml:space="preserve">V4</x:t>
        </x:is>
      </x:c>
      <x:c r="Z1088" s="604" t="inlineStr">
        <x:is>
          <x:t xml:space="preserve">prior-2026-10-05-v1</x:t>
        </x:is>
      </x:c>
      <x:c r="AA1088" s="604" t="inlineStr">
        <x:is>
          <x:t xml:space="preserve">B</x:t>
        </x:is>
      </x:c>
      <x:c r="AB1088" s="604" t="n">
        <x:v>0.5653681387163687</x:v>
      </x:c>
      <x:c r="AC1088" s="604" t="n"/>
      <x:c r="AD1088" s="604" t="n"/>
      <x:c r="AE1088" s="604" t="n"/>
      <x:c r="AF1088" s="604" t="n">
        <x:v>0.4346318612836313</x:v>
      </x:c>
      <x:c r="AG1088" s="604" t="n">
        <x:v>0.0911605077225916</x:v>
      </x:c>
      <x:c r="AH1088" s="604" t="n"/>
      <x:c r="AI1088" s="604" t="n"/>
      <x:c r="AJ1088" s="604" t="n">
        <x:v>0.0911605077225916</x:v>
      </x:c>
      <x:c r="AK1088" s="604" t="n"/>
      <x:c r="AL1088" s="604" t="n"/>
      <x:c r="AM1088" s="604" t="n"/>
      <x:c r="AN1088" s="604" t="inlineStr">
        <x:is>
          <x:t xml:space="preserve">EVALUATED</x:t>
        </x:is>
      </x:c>
      <x:c r="AO1088" s="604" t="inlineStr">
        <x:is>
          <x:t xml:space="preserve">GIVING_VALIDATED_EDGE、BUCKET_PRIOR_ONLY、INTENT_INTERPRETATION_ONLY、FFL_OPTIONAL、EXPERT_MARKET</x:t>
        </x:is>
      </x:c>
      <x:c r="AP1088" s="604" t="inlineStr">
        <x:is>
          <x:t xml:space="preserve">c6b2a3517366a175c627</x:t>
        </x:is>
      </x:c>
      <x:c r="AQ1088" s="604" t="n">
        <x:v>-0.5</x:v>
      </x:c>
      <x:c r="AR1088" s="604" t="n">
        <x:v>0.93</x:v>
      </x:c>
      <x:c r="AS1088" s="604" t="n">
        <x:v>0.5</x:v>
      </x:c>
      <x:c r="AT1088" s="604" t="n">
        <x:v>-0.5</x:v>
      </x:c>
      <x:c r="AU1088" s="604" t="n">
        <x:v>0.93</x:v>
      </x:c>
      <x:c r="AV1088" s="604" t="n">
        <x:v>0.88</x:v>
      </x:c>
      <x:c r="AW1088" s="604" t="n">
        <x:v>46300.07479607639</x:v>
      </x:c>
      <x:c r="AX1088" s="604" t="inlineStr">
        <x:is>
          <x:t xml:space="preserve">https://simondongxiao.github.io/odds/v4/</x:t>
        </x:is>
      </x:c>
      <x:c r="AY1088" s="604" t="inlineStr">
        <x:is>
          <x:t xml:space="preserve">V4 Shadow Only；real_money=false；P(EV&gt;0)不是比赛胜率</x:t>
        </x:is>
      </x:c>
    </x:row>
    <x:row r="1089" ht="22" customHeight="1">
      <x:c r="A1089" s="604" t="inlineStr">
        <x:is>
          <x:t xml:space="preserve">2026-10-05</x:t>
        </x:is>
      </x:c>
      <x:c r="B1089" s="604" t="inlineStr">
        <x:is>
          <x:t xml:space="preserve">2026-10-06 09:00</x:t>
        </x:is>
      </x:c>
      <x:c r="C1089" s="604" t="str">
        <x:v>其他系列</x:v>
      </x:c>
      <x:c r="D1089" s="604" t="inlineStr">
        <x:is>
          <x:t xml:space="preserve">联赛</x:t>
        </x:is>
      </x:c>
      <x:c r="E1089" s="604" t="inlineStr">
        <x:is>
          <x:t xml:space="preserve">牙买超</x:t>
        </x:is>
      </x:c>
      <x:c r="F1089" s="604" t="inlineStr">
        <x:is>
          <x:t xml:space="preserve">阿内特加登斯 vs 波特莫尔联</x:t>
        </x:is>
      </x:c>
      <x:c r="G1089" s="604" t="n">
        <x:v>0.75</x:v>
      </x:c>
      <x:c r="H1089" s="604" t="n">
        <x:v>-0.25</x:v>
      </x:c>
      <x:c r="I1089" s="604" t="n">
        <x:v>1.05</x:v>
      </x:c>
      <x:c r="J1089" s="604" t="inlineStr">
        <x:is>
          <x:t xml:space="preserve">0.75/-0.25/1.05</x:t>
        </x:is>
      </x:c>
      <x:c r="K1089" s="604" t="inlineStr">
        <x:is>
          <x:t xml:space="preserve">V4-B｜EV +0.1741</x:t>
        </x:is>
      </x:c>
      <x:c r="L1089" s="604" t="inlineStr">
        <x:is>
          <x:t xml:space="preserve">阿内特加登斯</x:t>
        </x:is>
      </x:c>
      <x:c r="M1089" s="604" t="n">
        <x:v>0.6856183054073944</x:v>
      </x:c>
      <x:c r="N1089" s="604" t="inlineStr">
        <x:is>
          <x:t xml:space="preserve">V4纸面入选-B</x:t>
        </x:is>
      </x:c>
      <x:c r="O1089" s="604" t="inlineStr">
        <x:is>
          <x:t xml:space="preserve">1-1</x:t>
        </x:is>
      </x:c>
      <x:c r="P1089" s="604" t="inlineStr">
        <x:is>
          <x:t xml:space="preserve">已结算</x:t>
        </x:is>
      </x:c>
      <x:c r="Q1089" s="649" t="inlineStr">
        <x:is>
          <x:t xml:space="preserve">半红</x:t>
        </x:is>
      </x:c>
      <x:c r="R1089" s="604" t="n">
        <x:v>0.75</x:v>
      </x:c>
      <x:c r="S1089" s="604" t="n">
        <x:f>IF(OR(Q1089="",Q1089="待结算"),"",IF(Q1089="红",R1089,IF(Q1089="半红",R1089*0.5,IF(Q1089="走",0,IF(Q1089="半黑",-0.5,-1)))))</x:f>
        <x:v>0.375</x:v>
      </x:c>
      <x:c r="T1089" s="604" t="inlineStr">
        <x:is>
          <x:t xml:space="preserve">https://m.titan007.com/analy/Analysis/3094006.htm</x:t>
        </x:is>
      </x:c>
      <x:c r="U1089" s="648" t="str">
        <x:f>IF(Q1089="","",IF(Q1089="待结算","待结算",IF(Q1089="红","黑",IF(Q1089="半红","半黑",IF(Q1089="走","走",IF(Q1089="半黑","半红","红"))))))</x:f>
        <x:v>半黑</x:v>
      </x:c>
      <x:c r="V1089" s="604" t="n">
        <x:f>IF(OR(Q1089="",Q1089="待结算"),"",IF(L1089=LEFT(F1089,FIND(" vs ",F1089)-1),I1089,G1089))</x:f>
        <x:v>1.05</x:v>
      </x:c>
      <x:c r="W1089" s="604" t="n">
        <x:f>IF(OR(U1089="",U1089="待结算"),"",IF(U1089="红",V1089,IF(U1089="半红",V1089*0.5,IF(U1089="走",0,IF(U1089="半黑",-0.5,-1)))))</x:f>
        <x:v>-0.5</x:v>
      </x:c>
      <x:c r="X1089" s="604" t="inlineStr">
        <x:is>
          <x:t xml:space="preserve">3094006</x:t>
        </x:is>
      </x:c>
      <x:c r="Y1089" s="604" t="inlineStr">
        <x:is>
          <x:t xml:space="preserve">V4</x:t>
        </x:is>
      </x:c>
      <x:c r="Z1089" s="604" t="inlineStr">
        <x:is>
          <x:t xml:space="preserve">prior-2026-10-05-v1</x:t>
        </x:is>
      </x:c>
      <x:c r="AA1089" s="604" t="inlineStr">
        <x:is>
          <x:t xml:space="preserve">B</x:t>
        </x:is>
      </x:c>
      <x:c r="AB1089" s="604" t="n">
        <x:v>0.468408844203628</x:v>
      </x:c>
      <x:c r="AC1089" s="604" t="n">
        <x:v>0.2577208143824345</x:v>
      </x:c>
      <x:c r="AD1089" s="604" t="n"/>
      <x:c r="AE1089" s="604" t="n"/>
      <x:c r="AF1089" s="604" t="n">
        <x:v>0.2738703414139375</x:v>
      </x:c>
      <x:c r="AG1089" s="604" t="n">
        <x:v>0.1740815971321965</x:v>
      </x:c>
      <x:c r="AH1089" s="604" t="n"/>
      <x:c r="AI1089" s="604" t="n"/>
      <x:c r="AJ1089" s="604" t="n">
        <x:v>0.1740815971321965</x:v>
      </x:c>
      <x:c r="AK1089" s="604" t="n"/>
      <x:c r="AL1089" s="604" t="n"/>
      <x:c r="AM1089" s="604" t="n"/>
      <x:c r="AN1089" s="604" t="inlineStr">
        <x:is>
          <x:t xml:space="preserve">EVALUATED</x:t>
        </x:is>
      </x:c>
      <x:c r="AO1089" s="604" t="inlineStr">
        <x:is>
          <x:t xml:space="preserve">RECEIVING_VALIDATED_EDGE、BUCKET_PRIOR_ONLY、INTENT_INTERPRETATION_ONLY、FFL_OPTIONAL、EXPERT_MARKET</x:t>
        </x:is>
      </x:c>
      <x:c r="AP1089" s="604" t="inlineStr">
        <x:is>
          <x:t xml:space="preserve">a2393673f4330e7a6f98</x:t>
        </x:is>
      </x:c>
      <x:c r="AQ1089" s="604" t="n">
        <x:v>0.25</x:v>
      </x:c>
      <x:c r="AR1089" s="604" t="n">
        <x:v>0.75</x:v>
      </x:c>
      <x:c r="AS1089" s="604" t="n">
        <x:v>-0.25</x:v>
      </x:c>
      <x:c r="AT1089" s="604" t="n">
        <x:v>0.25</x:v>
      </x:c>
      <x:c r="AU1089" s="604" t="n">
        <x:v>0.75</x:v>
      </x:c>
      <x:c r="AV1089" s="604" t="n">
        <x:v>1.05</x:v>
      </x:c>
      <x:c r="AW1089" s="604" t="n">
        <x:v>46300.07479607639</x:v>
      </x:c>
      <x:c r="AX1089" s="604" t="inlineStr">
        <x:is>
          <x:t xml:space="preserve">https://simondongxiao.github.io/odds/v4/</x:t>
        </x:is>
      </x:c>
      <x:c r="AY1089" s="604" t="inlineStr">
        <x:is>
          <x:t xml:space="preserve">V4 Shadow Only；real_money=false；P(EV&gt;0)不是比赛胜率</x:t>
        </x:is>
      </x:c>
    </x:row>
    <x:row r="1090" ht="22" customHeight="1">
      <x:c r="A1090" s="604" t="inlineStr">
        <x:is>
          <x:t xml:space="preserve">2026-10-05</x:t>
        </x:is>
      </x:c>
      <x:c r="B1090" s="604" t="inlineStr">
        <x:is>
          <x:t xml:space="preserve">2026-10-06 10:00</x:t>
        </x:is>
      </x:c>
      <x:c r="C1090" s="604" t="str">
        <x:v>北美系列</x:v>
      </x:c>
      <x:c r="D1090" s="604" t="inlineStr">
        <x:is>
          <x:t xml:space="preserve">联赛</x:t>
        </x:is>
      </x:c>
      <x:c r="E1090" s="604" t="inlineStr">
        <x:is>
          <x:t xml:space="preserve">中北美国联</x:t>
        </x:is>
      </x:c>
      <x:c r="F1090" s="604" t="inlineStr">
        <x:is>
          <x:t xml:space="preserve">洪都拉斯 vs 牙买加</x:t>
        </x:is>
      </x:c>
      <x:c r="G1090" s="604" t="n">
        <x:v>0.98</x:v>
      </x:c>
      <x:c r="H1090" s="604" t="n">
        <x:v>0.5</x:v>
      </x:c>
      <x:c r="I1090" s="604" t="n">
        <x:v>0.84</x:v>
      </x:c>
      <x:c r="J1090" s="604" t="inlineStr">
        <x:is>
          <x:t xml:space="preserve">0.98/0.5/0.84</x:t>
        </x:is>
      </x:c>
      <x:c r="K1090" s="604" t="inlineStr">
        <x:is>
          <x:t xml:space="preserve">V4-B｜EV +0.0925</x:t>
        </x:is>
      </x:c>
      <x:c r="L1090" s="604" t="inlineStr">
        <x:is>
          <x:t xml:space="preserve">洪都拉斯</x:t>
        </x:is>
      </x:c>
      <x:c r="M1090" s="604" t="n">
        <x:v>0.5517709310246485</x:v>
      </x:c>
      <x:c r="N1090" s="604" t="inlineStr">
        <x:is>
          <x:t xml:space="preserve">V4纸面入选-B</x:t>
        </x:is>
      </x:c>
      <x:c r="O1090" s="604" t="inlineStr">
        <x:is>
          <x:t xml:space="preserve">1-1</x:t>
        </x:is>
      </x:c>
      <x:c r="P1090" s="604" t="inlineStr">
        <x:is>
          <x:t xml:space="preserve">已结算</x:t>
        </x:is>
      </x:c>
      <x:c r="Q1090" s="646" t="inlineStr">
        <x:is>
          <x:t xml:space="preserve">黑</x:t>
        </x:is>
      </x:c>
      <x:c r="R1090" s="604" t="n">
        <x:v>0.98</x:v>
      </x:c>
      <x:c r="S1090" s="604" t="n">
        <x:f>IF(OR(Q1090="",Q1090="待结算"),"",IF(Q1090="红",R1090,IF(Q1090="半红",R1090*0.5,IF(Q1090="走",0,IF(Q1090="半黑",-0.5,-1)))))</x:f>
        <x:v>-1</x:v>
      </x:c>
      <x:c r="T1090" s="604" t="inlineStr">
        <x:is>
          <x:t xml:space="preserve">https://m.titan007.com/analy/Analysis/3092447.htm</x:t>
        </x:is>
      </x:c>
      <x:c r="U1090" s="645" t="str">
        <x:f>IF(Q1090="","",IF(Q1090="待结算","待结算",IF(Q1090="红","黑",IF(Q1090="半红","半黑",IF(Q1090="走","走",IF(Q1090="半黑","半红","红"))))))</x:f>
        <x:v>红</x:v>
      </x:c>
      <x:c r="V1090" s="604" t="n">
        <x:f>IF(OR(Q1090="",Q1090="待结算"),"",IF(L1090=LEFT(F1090,FIND(" vs ",F1090)-1),I1090,G1090))</x:f>
        <x:v>0.84</x:v>
      </x:c>
      <x:c r="W1090" s="604" t="n">
        <x:f>IF(OR(U1090="",U1090="待结算"),"",IF(U1090="红",V1090,IF(U1090="半红",V1090*0.5,IF(U1090="走",0,IF(U1090="半黑",-0.5,-1)))))</x:f>
        <x:v>0.84</x:v>
      </x:c>
      <x:c r="X1090" s="604" t="inlineStr">
        <x:is>
          <x:t xml:space="preserve">3092447</x:t>
        </x:is>
      </x:c>
      <x:c r="Y1090" s="604" t="inlineStr">
        <x:is>
          <x:t xml:space="preserve">V4</x:t>
        </x:is>
      </x:c>
      <x:c r="Z1090" s="604" t="inlineStr">
        <x:is>
          <x:t xml:space="preserve">prior-2026-10-05-v1</x:t>
        </x:is>
      </x:c>
      <x:c r="AA1090" s="604" t="inlineStr">
        <x:is>
          <x:t xml:space="preserve">B</x:t>
        </x:is>
      </x:c>
      <x:c r="AB1090" s="604" t="n">
        <x:v>0.5517709310246485</x:v>
      </x:c>
      <x:c r="AC1090" s="604" t="n"/>
      <x:c r="AD1090" s="604" t="n"/>
      <x:c r="AE1090" s="604" t="n"/>
      <x:c r="AF1090" s="604" t="n">
        <x:v>0.4482290689753515</x:v>
      </x:c>
      <x:c r="AG1090" s="604" t="n">
        <x:v>0.09250644342880399</x:v>
      </x:c>
      <x:c r="AH1090" s="604" t="n"/>
      <x:c r="AI1090" s="604" t="n"/>
      <x:c r="AJ1090" s="604" t="n">
        <x:v>0.09250644342880399</x:v>
      </x:c>
      <x:c r="AK1090" s="604" t="n"/>
      <x:c r="AL1090" s="604" t="n"/>
      <x:c r="AM1090" s="604" t="n"/>
      <x:c r="AN1090" s="604" t="inlineStr">
        <x:is>
          <x:t xml:space="preserve">EVALUATED</x:t>
        </x:is>
      </x:c>
      <x:c r="AO1090" s="604" t="inlineStr">
        <x:is>
          <x:t xml:space="preserve">GIVING_VALIDATED_EDGE、BUCKET_PRIOR_ONLY、INTENT_INTERPRETATION_ONLY、FFL_OPTIONAL、EXPERT_MARKET</x:t>
        </x:is>
      </x:c>
      <x:c r="AP1090" s="604" t="inlineStr">
        <x:is>
          <x:t xml:space="preserve">4746d4c1f3373ba4f408</x:t>
        </x:is>
      </x:c>
      <x:c r="AQ1090" s="604" t="n">
        <x:v>-0.5</x:v>
      </x:c>
      <x:c r="AR1090" s="604" t="n">
        <x:v>0.98</x:v>
      </x:c>
      <x:c r="AS1090" s="604" t="n">
        <x:v>0.5</x:v>
      </x:c>
      <x:c r="AT1090" s="604" t="n">
        <x:v>-0.5</x:v>
      </x:c>
      <x:c r="AU1090" s="604" t="n">
        <x:v>0.98</x:v>
      </x:c>
      <x:c r="AV1090" s="604" t="n">
        <x:v>0.84</x:v>
      </x:c>
      <x:c r="AW1090" s="604" t="n">
        <x:v>46300.07479607639</x:v>
      </x:c>
      <x:c r="AX1090" s="604" t="inlineStr">
        <x:is>
          <x:t xml:space="preserve">https://simondongxiao.github.io/odds/v4/</x:t>
        </x:is>
      </x:c>
      <x:c r="AY1090" s="604" t="inlineStr">
        <x:is>
          <x:t xml:space="preserve">V4 Shadow Only；real_money=false；P(EV&gt;0)不是比赛胜率</x:t>
        </x:is>
      </x:c>
    </x:row>
    <x:row r="1091" ht="22" customHeight="1">
      <x:c r="A1091" s="604" t="inlineStr">
        <x:is>
          <x:t xml:space="preserve">2026-10-06</x:t>
        </x:is>
      </x:c>
      <x:c r="B1091" s="604" t="inlineStr">
        <x:is>
          <x:t xml:space="preserve">2026-10-06 15:30</x:t>
        </x:is>
      </x:c>
      <x:c r="C1091" s="604" t="str">
        <x:v>日韩系列</x:v>
      </x:c>
      <x:c r="D1091" s="604" t="inlineStr">
        <x:is>
          <x:t xml:space="preserve">联赛</x:t>
        </x:is>
      </x:c>
      <x:c r="E1091" s="604" t="inlineStr">
        <x:is>
          <x:t xml:space="preserve">中乙降A</x:t>
        </x:is>
      </x:c>
      <x:c r="F1091" s="604" t="inlineStr">
        <x:is>
          <x:t xml:space="preserve">上海赛更达 vs 温州职业</x:t>
        </x:is>
      </x:c>
      <x:c r="G1091" s="604" t="n">
        <x:v>0.85</x:v>
      </x:c>
      <x:c r="H1091" s="604" t="n">
        <x:v>0</x:v>
      </x:c>
      <x:c r="I1091" s="604" t="n">
        <x:v>0.95</x:v>
      </x:c>
      <x:c r="J1091" s="604" t="inlineStr">
        <x:is>
          <x:t xml:space="preserve">0.85/0/0.95</x:t>
        </x:is>
      </x:c>
      <x:c r="K1091" s="604" t="inlineStr">
        <x:is>
          <x:t xml:space="preserve">V4-C｜EV +0.0495</x:t>
        </x:is>
      </x:c>
      <x:c r="L1091" s="604" t="str"/>
      <x:c r="M1091" s="604" t="n">
        <x:v>0.571242021286132</x:v>
      </x:c>
      <x:c r="N1091" s="604" t="inlineStr">
        <x:is>
          <x:t xml:space="preserve">V4纸面入选-C</x:t>
        </x:is>
      </x:c>
      <x:c r="O1091" s="604" t="inlineStr">
        <x:is>
          <x:t xml:space="preserve">1-1</x:t>
        </x:is>
      </x:c>
      <x:c r="P1091" s="604" t="inlineStr">
        <x:is>
          <x:t xml:space="preserve">已结算</x:t>
        </x:is>
      </x:c>
      <x:c r="Q1091" s="647" t="inlineStr">
        <x:is>
          <x:t xml:space="preserve">走</x:t>
        </x:is>
      </x:c>
      <x:c r="R1091" s="604" t="n">
        <x:v>0.95</x:v>
      </x:c>
      <x:c r="S1091" s="604" t="n">
        <x:f>IF(OR(Q1091="",Q1091="待结算"),"",IF(Q1091="红",R1091,IF(Q1091="半红",R1091*0.5,IF(Q1091="走",0,IF(Q1091="半黑",-0.5,-1)))))</x:f>
        <x:v>0</x:v>
      </x:c>
      <x:c r="T1091" s="604" t="inlineStr">
        <x:is>
          <x:t xml:space="preserve">https://m.titan007.com/analy/Analysis/3087673.htm</x:t>
        </x:is>
      </x:c>
      <x:c r="U1091" s="647" t="str">
        <x:f>IF(Q1091="","",IF(Q1091="待结算","待结算",IF(Q1091="红","黑",IF(Q1091="半红","半黑",IF(Q1091="走","走",IF(Q1091="半黑","半红","红"))))))</x:f>
        <x:v>走</x:v>
      </x:c>
      <x:c r="V1091" s="604" t="n">
        <x:f>IF(OR(Q1091="",Q1091="待结算"),"",IF(L1091=LEFT(F1091,FIND(" vs ",F1091)-1),I1091,G1091))</x:f>
        <x:v>0.85</x:v>
      </x:c>
      <x:c r="W1091" s="604" t="n">
        <x:f>IF(OR(U1091="",U1091="待结算"),"",IF(U1091="红",V1091,IF(U1091="半红",V1091*0.5,IF(U1091="走",0,IF(U1091="半黑",-0.5,-1)))))</x:f>
        <x:v>0</x:v>
      </x:c>
      <x:c r="X1091" s="604" t="inlineStr">
        <x:is>
          <x:t xml:space="preserve">3087673</x:t>
        </x:is>
      </x:c>
      <x:c r="Y1091" s="604" t="inlineStr">
        <x:is>
          <x:t xml:space="preserve">V4</x:t>
        </x:is>
      </x:c>
      <x:c r="Z1091" s="604" t="inlineStr">
        <x:is>
          <x:t xml:space="preserve">prior-2026-10-06-v1</x:t>
        </x:is>
      </x:c>
      <x:c r="AA1091" s="604" t="inlineStr">
        <x:is>
          <x:t xml:space="preserve">C</x:t>
        </x:is>
      </x:c>
      <x:c r="AB1091" s="604" t="n">
        <x:v>0.4982677647631267</x:v>
      </x:c>
      <x:c r="AC1091" s="604" t="n"/>
      <x:c r="AD1091" s="604" t="n"/>
      <x:c r="AE1091" s="604" t="n">
        <x:v>0.2554933068779019</x:v>
      </x:c>
      <x:c r="AF1091" s="604" t="n">
        <x:v>0.2462389283589714</x:v>
      </x:c>
      <x:c r="AG1091" s="604" t="n">
        <x:v>0.04954201825073523</x:v>
      </x:c>
      <x:c r="AH1091" s="604" t="n"/>
      <x:c r="AI1091" s="604" t="n"/>
      <x:c r="AJ1091" s="604" t="n">
        <x:v>0.04954201825073523</x:v>
      </x:c>
      <x:c r="AK1091" s="604" t="n"/>
      <x:c r="AL1091" s="604" t="n"/>
      <x:c r="AM1091" s="604" t="n"/>
      <x:c r="AN1091" s="604" t="inlineStr">
        <x:is>
          <x:t xml:space="preserve">EVALUATED</x:t>
        </x:is>
      </x:c>
      <x:c r="AO1091" s="604" t="inlineStr">
        <x:is>
          <x:t xml:space="preserve">EDGE_BELOW_UNCERTAINTY_THRESHOLD、BUCKET_PRIOR_ONLY、INTENT_INTERPRETATION_ONLY、FFL_OPTIONAL、EXPERT_MARKET</x:t>
        </x:is>
      </x:c>
      <x:c r="AP1091" s="604" t="inlineStr">
        <x:is>
          <x:t xml:space="preserve">d09def043f733746df0b</x:t>
        </x:is>
      </x:c>
      <x:c r="AQ1091" s="604" t="n">
        <x:v>0</x:v>
      </x:c>
      <x:c r="AR1091" s="604" t="n"/>
      <x:c r="AS1091" s="604" t="n">
        <x:v>0</x:v>
      </x:c>
      <x:c r="AT1091" s="604" t="n">
        <x:v>0</x:v>
      </x:c>
      <x:c r="AU1091" s="604" t="n">
        <x:v>0.85</x:v>
      </x:c>
      <x:c r="AV1091" s="604" t="n">
        <x:v>0.95</x:v>
      </x:c>
      <x:c r="AW1091" s="604" t="n">
        <x:v>46301.03159395833</x:v>
      </x:c>
      <x:c r="AX1091" s="604" t="inlineStr">
        <x:is>
          <x:t xml:space="preserve">https://simondongxiao.github.io/odds/v4/</x:t>
        </x:is>
      </x:c>
      <x:c r="AY1091" s="604" t="inlineStr">
        <x:is>
          <x:t xml:space="preserve">V4 Shadow Only；real_money=false；P(EV&gt;0)不是比赛胜率</x:t>
        </x:is>
      </x:c>
    </x:row>
    <x:row r="1092" ht="22" customHeight="1">
      <x:c r="A1092" s="604" t="inlineStr">
        <x:is>
          <x:t xml:space="preserve">2026-10-06</x:t>
        </x:is>
      </x:c>
      <x:c r="B1092" s="604" t="inlineStr">
        <x:is>
          <x:t xml:space="preserve">2026-10-06 15:30</x:t>
        </x:is>
      </x:c>
      <x:c r="C1092" s="604" t="str">
        <x:v>日韩系列</x:v>
      </x:c>
      <x:c r="D1092" s="604" t="inlineStr">
        <x:is>
          <x:t xml:space="preserve">联赛</x:t>
        </x:is>
      </x:c>
      <x:c r="E1092" s="604" t="inlineStr">
        <x:is>
          <x:t xml:space="preserve">中乙降B</x:t>
        </x:is>
      </x:c>
      <x:c r="F1092" s="604" t="inlineStr">
        <x:is>
          <x:t xml:space="preserve">北京理工 vs 成都蓉城B队</x:t>
        </x:is>
      </x:c>
      <x:c r="G1092" s="604" t="n">
        <x:v>1</x:v>
      </x:c>
      <x:c r="H1092" s="604" t="n">
        <x:v>-0.5</x:v>
      </x:c>
      <x:c r="I1092" s="604" t="n">
        <x:v>0.8</x:v>
      </x:c>
      <x:c r="J1092" s="604" t="inlineStr">
        <x:is>
          <x:t xml:space="preserve">1/-0.5/0.8</x:t>
        </x:is>
      </x:c>
      <x:c r="K1092" s="604" t="inlineStr">
        <x:is>
          <x:t xml:space="preserve">V4-B｜EV +0.7746</x:t>
        </x:is>
      </x:c>
      <x:c r="L1092" s="604" t="inlineStr">
        <x:is>
          <x:t xml:space="preserve">北京理工</x:t>
        </x:is>
      </x:c>
      <x:c r="M1092" s="604" t="n">
        <x:v>0.8873148351055267</x:v>
      </x:c>
      <x:c r="N1092" s="604" t="inlineStr">
        <x:is>
          <x:t xml:space="preserve">V4纸面入选-B</x:t>
        </x:is>
      </x:c>
      <x:c r="O1092" s="604" t="inlineStr">
        <x:is>
          <x:t xml:space="preserve">2-0</x:t>
        </x:is>
      </x:c>
      <x:c r="P1092" s="604" t="inlineStr">
        <x:is>
          <x:t xml:space="preserve">已结算</x:t>
        </x:is>
      </x:c>
      <x:c r="Q1092" s="645" t="inlineStr">
        <x:is>
          <x:t xml:space="preserve">红</x:t>
        </x:is>
      </x:c>
      <x:c r="R1092" s="604" t="n">
        <x:v>1</x:v>
      </x:c>
      <x:c r="S1092" s="604" t="n">
        <x:f>IF(OR(Q1092="",Q1092="待结算"),"",IF(Q1092="红",R1092,IF(Q1092="半红",R1092*0.5,IF(Q1092="走",0,IF(Q1092="半黑",-0.5,-1)))))</x:f>
        <x:v>1</x:v>
      </x:c>
      <x:c r="T1092" s="604" t="inlineStr">
        <x:is>
          <x:t xml:space="preserve">https://m.titan007.com/analy/Analysis/3087704.htm</x:t>
        </x:is>
      </x:c>
      <x:c r="U1092" s="646" t="str">
        <x:f>IF(Q1092="","",IF(Q1092="待结算","待结算",IF(Q1092="红","黑",IF(Q1092="半红","半黑",IF(Q1092="走","走",IF(Q1092="半黑","半红","红"))))))</x:f>
        <x:v>黑</x:v>
      </x:c>
      <x:c r="V1092" s="604" t="n">
        <x:f>IF(OR(Q1092="",Q1092="待结算"),"",IF(L1092=LEFT(F1092,FIND(" vs ",F1092)-1),I1092,G1092))</x:f>
        <x:v>0.8</x:v>
      </x:c>
      <x:c r="W1092" s="604" t="n">
        <x:f>IF(OR(U1092="",U1092="待结算"),"",IF(U1092="红",V1092,IF(U1092="半红",V1092*0.5,IF(U1092="走",0,IF(U1092="半黑",-0.5,-1)))))</x:f>
        <x:v>-1</x:v>
      </x:c>
      <x:c r="X1092" s="604" t="inlineStr">
        <x:is>
          <x:t xml:space="preserve">3087704</x:t>
        </x:is>
      </x:c>
      <x:c r="Y1092" s="604" t="inlineStr">
        <x:is>
          <x:t xml:space="preserve">V4</x:t>
        </x:is>
      </x:c>
      <x:c r="Z1092" s="604" t="inlineStr">
        <x:is>
          <x:t xml:space="preserve">prior-2026-10-06-v1</x:t>
        </x:is>
      </x:c>
      <x:c r="AA1092" s="604" t="inlineStr">
        <x:is>
          <x:t xml:space="preserve">B</x:t>
        </x:is>
      </x:c>
      <x:c r="AB1092" s="604" t="n">
        <x:v>0.8873148351055267</x:v>
      </x:c>
      <x:c r="AC1092" s="604" t="n"/>
      <x:c r="AD1092" s="604" t="n"/>
      <x:c r="AE1092" s="604" t="n"/>
      <x:c r="AF1092" s="604" t="n">
        <x:v>0.1126851648944733</x:v>
      </x:c>
      <x:c r="AG1092" s="604" t="n">
        <x:v>0.7746296702110533</x:v>
      </x:c>
      <x:c r="AH1092" s="604" t="n"/>
      <x:c r="AI1092" s="604" t="n"/>
      <x:c r="AJ1092" s="604" t="n">
        <x:v>0.7746296702110533</x:v>
      </x:c>
      <x:c r="AK1092" s="604" t="n"/>
      <x:c r="AL1092" s="604" t="n"/>
      <x:c r="AM1092" s="604" t="n"/>
      <x:c r="AN1092" s="604" t="inlineStr">
        <x:is>
          <x:t xml:space="preserve">EVALUATED</x:t>
        </x:is>
      </x:c>
      <x:c r="AO1092" s="604" t="inlineStr">
        <x:is>
          <x:t xml:space="preserve">RECEIVING_VALIDATED_EDGE、BUCKET_PRIOR_ONLY、INTENT_INTERPRETATION_ONLY、FFL_OPTIONAL、EXPERT_MARKET</x:t>
        </x:is>
      </x:c>
      <x:c r="AP1092" s="604" t="inlineStr">
        <x:is>
          <x:t xml:space="preserve">5a13f7720dbf64c847d7</x:t>
        </x:is>
      </x:c>
      <x:c r="AQ1092" s="604" t="n">
        <x:v>0.5</x:v>
      </x:c>
      <x:c r="AR1092" s="604" t="n">
        <x:v>1</x:v>
      </x:c>
      <x:c r="AS1092" s="604" t="n">
        <x:v>-0.5</x:v>
      </x:c>
      <x:c r="AT1092" s="604" t="n">
        <x:v>0.5</x:v>
      </x:c>
      <x:c r="AU1092" s="604" t="n">
        <x:v>1</x:v>
      </x:c>
      <x:c r="AV1092" s="604" t="n">
        <x:v>0.8</x:v>
      </x:c>
      <x:c r="AW1092" s="604" t="n">
        <x:v>46301.03159395833</x:v>
      </x:c>
      <x:c r="AX1092" s="604" t="inlineStr">
        <x:is>
          <x:t xml:space="preserve">https://simondongxiao.github.io/odds/v4/</x:t>
        </x:is>
      </x:c>
      <x:c r="AY1092" s="604" t="inlineStr">
        <x:is>
          <x:t xml:space="preserve">V4 Shadow Only；real_money=false；P(EV&gt;0)不是比赛胜率</x:t>
        </x:is>
      </x:c>
    </x:row>
    <x:row r="1093" ht="22" customHeight="1">
      <x:c r="A1093" s="604" t="inlineStr">
        <x:is>
          <x:t xml:space="preserve">2026-10-06</x:t>
        </x:is>
      </x:c>
      <x:c r="B1093" s="604" t="inlineStr">
        <x:is>
          <x:t xml:space="preserve">2026-10-06 15:30</x:t>
        </x:is>
      </x:c>
      <x:c r="C1093" s="604" t="str">
        <x:v>日韩系列</x:v>
      </x:c>
      <x:c r="D1093" s="604" t="inlineStr">
        <x:is>
          <x:t xml:space="preserve">联赛</x:t>
        </x:is>
      </x:c>
      <x:c r="E1093" s="604" t="inlineStr">
        <x:is>
          <x:t xml:space="preserve">中乙降B</x:t>
        </x:is>
      </x:c>
      <x:c r="F1093" s="604" t="inlineStr">
        <x:is>
          <x:t xml:space="preserve">青岛红狮 vs 武汉三镇B队</x:t>
        </x:is>
      </x:c>
      <x:c r="G1093" s="604" t="n">
        <x:v>0.98</x:v>
      </x:c>
      <x:c r="H1093" s="604" t="n">
        <x:v>0</x:v>
      </x:c>
      <x:c r="I1093" s="604" t="n">
        <x:v>0.83</x:v>
      </x:c>
      <x:c r="J1093" s="604" t="inlineStr">
        <x:is>
          <x:t xml:space="preserve">0.98/0/0.83</x:t>
        </x:is>
      </x:c>
      <x:c r="K1093" s="604" t="inlineStr">
        <x:is>
          <x:t xml:space="preserve">V4-C｜EV +0.0506</x:t>
        </x:is>
      </x:c>
      <x:c r="L1093" s="604" t="str"/>
      <x:c r="M1093" s="604" t="n">
        <x:v>0.5344652361339829</x:v>
      </x:c>
      <x:c r="N1093" s="604" t="inlineStr">
        <x:is>
          <x:t xml:space="preserve">V4纸面入选-C</x:t>
        </x:is>
      </x:c>
      <x:c r="O1093" s="604" t="inlineStr">
        <x:is>
          <x:t xml:space="preserve">0-2</x:t>
        </x:is>
      </x:c>
      <x:c r="P1093" s="604" t="inlineStr">
        <x:is>
          <x:t xml:space="preserve">已结算</x:t>
        </x:is>
      </x:c>
      <x:c r="Q1093" s="646" t="inlineStr">
        <x:is>
          <x:t xml:space="preserve">黑</x:t>
        </x:is>
      </x:c>
      <x:c r="R1093" s="604" t="n">
        <x:v>0.83</x:v>
      </x:c>
      <x:c r="S1093" s="604" t="n">
        <x:f>IF(OR(Q1093="",Q1093="待结算"),"",IF(Q1093="红",R1093,IF(Q1093="半红",R1093*0.5,IF(Q1093="走",0,IF(Q1093="半黑",-0.5,-1)))))</x:f>
        <x:v>-1</x:v>
      </x:c>
      <x:c r="T1093" s="604" t="inlineStr">
        <x:is>
          <x:t xml:space="preserve">https://m.titan007.com/analy/Analysis/3087705.htm</x:t>
        </x:is>
      </x:c>
      <x:c r="U1093" s="645" t="str">
        <x:f>IF(Q1093="","",IF(Q1093="待结算","待结算",IF(Q1093="红","黑",IF(Q1093="半红","半黑",IF(Q1093="走","走",IF(Q1093="半黑","半红","红"))))))</x:f>
        <x:v>红</x:v>
      </x:c>
      <x:c r="V1093" s="604" t="n">
        <x:f>IF(OR(Q1093="",Q1093="待结算"),"",IF(L1093=LEFT(F1093,FIND(" vs ",F1093)-1),I1093,G1093))</x:f>
        <x:v>0.98</x:v>
      </x:c>
      <x:c r="W1093" s="604" t="n">
        <x:f>IF(OR(U1093="",U1093="待结算"),"",IF(U1093="红",V1093,IF(U1093="半红",V1093*0.5,IF(U1093="走",0,IF(U1093="半黑",-0.5,-1)))))</x:f>
        <x:v>0.98</x:v>
      </x:c>
      <x:c r="X1093" s="604" t="inlineStr">
        <x:is>
          <x:t xml:space="preserve">3087705</x:t>
        </x:is>
      </x:c>
      <x:c r="Y1093" s="604" t="inlineStr">
        <x:is>
          <x:t xml:space="preserve">V4</x:t>
        </x:is>
      </x:c>
      <x:c r="Z1093" s="604" t="inlineStr">
        <x:is>
          <x:t xml:space="preserve">prior-2026-10-06-v1</x:t>
        </x:is>
      </x:c>
      <x:c r="AA1093" s="604" t="inlineStr">
        <x:is>
          <x:t xml:space="preserve">C</x:t>
        </x:is>
      </x:c>
      <x:c r="AB1093" s="604" t="n">
        <x:v>0.4647024251242933</x:v>
      </x:c>
      <x:c r="AC1093" s="604" t="n"/>
      <x:c r="AD1093" s="604" t="n"/>
      <x:c r="AE1093" s="604" t="n">
        <x:v>0.2610564964498495</x:v>
      </x:c>
      <x:c r="AF1093" s="604" t="n">
        <x:v>0.2742410784258572</x:v>
      </x:c>
      <x:c r="AG1093" s="604" t="n">
        <x:v>0.05063904997102542</x:v>
      </x:c>
      <x:c r="AH1093" s="604" t="n"/>
      <x:c r="AI1093" s="604" t="n"/>
      <x:c r="AJ1093" s="604" t="n">
        <x:v>0.05063904997102542</x:v>
      </x:c>
      <x:c r="AK1093" s="604" t="n"/>
      <x:c r="AL1093" s="604" t="n"/>
      <x:c r="AM1093" s="604" t="n"/>
      <x:c r="AN1093" s="604" t="inlineStr">
        <x:is>
          <x:t xml:space="preserve">EVALUATED</x:t>
        </x:is>
      </x:c>
      <x:c r="AO1093" s="604" t="inlineStr">
        <x:is>
          <x:t xml:space="preserve">EDGE_BELOW_UNCERTAINTY_THRESHOLD、BUCKET_PRIOR_ONLY、INTENT_INTERPRETATION_ONLY、FFL_OPTIONAL、EXPERT_MARKET</x:t>
        </x:is>
      </x:c>
      <x:c r="AP1093" s="604" t="inlineStr">
        <x:is>
          <x:t xml:space="preserve">f250b4a87620e4401058</x:t>
        </x:is>
      </x:c>
      <x:c r="AQ1093" s="604" t="n">
        <x:v>0</x:v>
      </x:c>
      <x:c r="AR1093" s="604" t="n"/>
      <x:c r="AS1093" s="604" t="n">
        <x:v>0</x:v>
      </x:c>
      <x:c r="AT1093" s="604" t="n">
        <x:v>0</x:v>
      </x:c>
      <x:c r="AU1093" s="604" t="n">
        <x:v>0.98</x:v>
      </x:c>
      <x:c r="AV1093" s="604" t="n">
        <x:v>0.83</x:v>
      </x:c>
      <x:c r="AW1093" s="604" t="n">
        <x:v>46301.03159395833</x:v>
      </x:c>
      <x:c r="AX1093" s="604" t="inlineStr">
        <x:is>
          <x:t xml:space="preserve">https://simondongxiao.github.io/odds/v4/</x:t>
        </x:is>
      </x:c>
      <x:c r="AY1093" s="604" t="inlineStr">
        <x:is>
          <x:t xml:space="preserve">V4 Shadow Only；real_money=false；P(EV&gt;0)不是比赛胜率</x:t>
        </x:is>
      </x:c>
    </x:row>
    <x:row r="1094" ht="22" customHeight="1">
      <x:c r="A1094" s="604" t="inlineStr">
        <x:is>
          <x:t xml:space="preserve">2026-10-06</x:t>
        </x:is>
      </x:c>
      <x:c r="B1094" s="604" t="inlineStr">
        <x:is>
          <x:t xml:space="preserve">2026-10-06 15:30</x:t>
        </x:is>
      </x:c>
      <x:c r="C1094" s="604" t="str">
        <x:v>日韩系列</x:v>
      </x:c>
      <x:c r="D1094" s="604" t="inlineStr">
        <x:is>
          <x:t xml:space="preserve">联赛</x:t>
        </x:is>
      </x:c>
      <x:c r="E1094" s="604" t="inlineStr">
        <x:is>
          <x:t xml:space="preserve">中冠</x:t>
        </x:is>
      </x:c>
      <x:c r="F1094" s="604" t="inlineStr">
        <x:is>
          <x:t xml:space="preserve">辽宁盛京新锐 vs 邢台沙河万率</x:t>
        </x:is>
      </x:c>
      <x:c r="G1094" s="604" t="n">
        <x:v>1.1</x:v>
      </x:c>
      <x:c r="H1094" s="604" t="n">
        <x:v>-1.5</x:v>
      </x:c>
      <x:c r="I1094" s="604" t="n">
        <x:v>0.62</x:v>
      </x:c>
      <x:c r="J1094" s="604" t="inlineStr">
        <x:is>
          <x:t xml:space="preserve">1.1/-1.5/0.62</x:t>
        </x:is>
      </x:c>
      <x:c r="K1094" s="604" t="inlineStr">
        <x:is>
          <x:t xml:space="preserve">V4-C｜EV +1.0995</x:t>
        </x:is>
      </x:c>
      <x:c r="L1094" s="604" t="inlineStr">
        <x:is>
          <x:t xml:space="preserve">辽宁盛京新锐</x:t>
        </x:is>
      </x:c>
      <x:c r="M1094" s="604" t="n">
        <x:v>0.9997711110948551</x:v>
      </x:c>
      <x:c r="N1094" s="604" t="inlineStr">
        <x:is>
          <x:t xml:space="preserve">V4纸面入选-C</x:t>
        </x:is>
      </x:c>
      <x:c r="O1094" s="604" t="inlineStr">
        <x:is>
          <x:t xml:space="preserve">1-2</x:t>
        </x:is>
      </x:c>
      <x:c r="P1094" s="604" t="inlineStr">
        <x:is>
          <x:t xml:space="preserve">已结算</x:t>
        </x:is>
      </x:c>
      <x:c r="Q1094" s="645" t="inlineStr">
        <x:is>
          <x:t xml:space="preserve">红</x:t>
        </x:is>
      </x:c>
      <x:c r="R1094" s="604" t="n">
        <x:v>1.1</x:v>
      </x:c>
      <x:c r="S1094" s="604" t="n">
        <x:f>IF(OR(Q1094="",Q1094="待结算"),"",IF(Q1094="红",R1094,IF(Q1094="半红",R1094*0.5,IF(Q1094="走",0,IF(Q1094="半黑",-0.5,-1)))))</x:f>
        <x:v>1.1</x:v>
      </x:c>
      <x:c r="T1094" s="604" t="inlineStr">
        <x:is>
          <x:t xml:space="preserve">https://m.titan007.com/analy/Analysis/3099062.htm</x:t>
        </x:is>
      </x:c>
      <x:c r="U1094" s="646" t="str">
        <x:f>IF(Q1094="","",IF(Q1094="待结算","待结算",IF(Q1094="红","黑",IF(Q1094="半红","半黑",IF(Q1094="走","走",IF(Q1094="半黑","半红","红"))))))</x:f>
        <x:v>黑</x:v>
      </x:c>
      <x:c r="V1094" s="604" t="n">
        <x:f>IF(OR(Q1094="",Q1094="待结算"),"",IF(L1094=LEFT(F1094,FIND(" vs ",F1094)-1),I1094,G1094))</x:f>
        <x:v>0.62</x:v>
      </x:c>
      <x:c r="W1094" s="604" t="n">
        <x:f>IF(OR(U1094="",U1094="待结算"),"",IF(U1094="红",V1094,IF(U1094="半红",V1094*0.5,IF(U1094="走",0,IF(U1094="半黑",-0.5,-1)))))</x:f>
        <x:v>-1</x:v>
      </x:c>
      <x:c r="X1094" s="604" t="inlineStr">
        <x:is>
          <x:t xml:space="preserve">3099062</x:t>
        </x:is>
      </x:c>
      <x:c r="Y1094" s="604" t="inlineStr">
        <x:is>
          <x:t xml:space="preserve">V4</x:t>
        </x:is>
      </x:c>
      <x:c r="Z1094" s="604" t="inlineStr">
        <x:is>
          <x:t xml:space="preserve">prior-2026-10-06-v1</x:t>
        </x:is>
      </x:c>
      <x:c r="AA1094" s="604" t="inlineStr">
        <x:is>
          <x:t xml:space="preserve">C</x:t>
        </x:is>
      </x:c>
      <x:c r="AB1094" s="604" t="n">
        <x:v>0.9997711110948551</x:v>
      </x:c>
      <x:c r="AC1094" s="604" t="n"/>
      <x:c r="AD1094" s="604" t="n"/>
      <x:c r="AE1094" s="604" t="n"/>
      <x:c r="AF1094" s="604" t="n">
        <x:v>0.0002288889051449431</x:v>
      </x:c>
      <x:c r="AG1094" s="604" t="n">
        <x:v>1.099519333299196</x:v>
      </x:c>
      <x:c r="AH1094" s="604" t="n"/>
      <x:c r="AI1094" s="604" t="n"/>
      <x:c r="AJ1094" s="604" t="n">
        <x:v>1.099519333299196</x:v>
      </x:c>
      <x:c r="AK1094" s="604" t="n"/>
      <x:c r="AL1094" s="604" t="n"/>
      <x:c r="AM1094" s="604" t="n"/>
      <x:c r="AN1094" s="604" t="inlineStr">
        <x:is>
          <x:t xml:space="preserve">EVALUATED</x:t>
        </x:is>
      </x:c>
      <x:c r="AO1094" s="604" t="inlineStr">
        <x:is>
          <x:t xml:space="preserve">RECEIVING_VALIDATED_EDGE、BUCKET_PRIOR_ONLY、INTENT_INTERPRETATION_ONLY、FFL_OPTIONAL、EXPERT_MARKET</x:t>
        </x:is>
      </x:c>
      <x:c r="AP1094" s="604" t="inlineStr">
        <x:is>
          <x:t xml:space="preserve">73ebfdae35e46f93f8a9</x:t>
        </x:is>
      </x:c>
      <x:c r="AQ1094" s="604" t="n">
        <x:v>1.5</x:v>
      </x:c>
      <x:c r="AR1094" s="604" t="n">
        <x:v>1.1</x:v>
      </x:c>
      <x:c r="AS1094" s="604" t="n">
        <x:v>-1.5</x:v>
      </x:c>
      <x:c r="AT1094" s="604" t="n">
        <x:v>1.5</x:v>
      </x:c>
      <x:c r="AU1094" s="604" t="n">
        <x:v>1.1</x:v>
      </x:c>
      <x:c r="AV1094" s="604" t="n">
        <x:v>0.62</x:v>
      </x:c>
      <x:c r="AW1094" s="604" t="n">
        <x:v>46301.03159395833</x:v>
      </x:c>
      <x:c r="AX1094" s="604" t="inlineStr">
        <x:is>
          <x:t xml:space="preserve">https://simondongxiao.github.io/odds/v4/</x:t>
        </x:is>
      </x:c>
      <x:c r="AY1094" s="604" t="inlineStr">
        <x:is>
          <x:t xml:space="preserve">V4 Shadow Only；real_money=false；P(EV&gt;0)不是比赛胜率</x:t>
        </x:is>
      </x:c>
    </x:row>
    <x:row r="1095" ht="22" customHeight="1">
      <x:c r="A1095" s="604" t="inlineStr">
        <x:is>
          <x:t xml:space="preserve">2026-10-06</x:t>
        </x:is>
      </x:c>
      <x:c r="B1095" s="604" t="inlineStr">
        <x:is>
          <x:t xml:space="preserve">2026-10-06 15:30</x:t>
        </x:is>
      </x:c>
      <x:c r="C1095" s="604" t="str">
        <x:v>日韩系列</x:v>
      </x:c>
      <x:c r="D1095" s="604" t="inlineStr">
        <x:is>
          <x:t xml:space="preserve">联赛</x:t>
        </x:is>
      </x:c>
      <x:c r="E1095" s="604" t="inlineStr">
        <x:is>
          <x:t xml:space="preserve">中冠</x:t>
        </x:is>
      </x:c>
      <x:c r="F1095" s="604" t="inlineStr">
        <x:is>
          <x:t xml:space="preserve">大连聚惺晟恒 vs 陕西宝鸡联腾</x:t>
        </x:is>
      </x:c>
      <x:c r="G1095" s="604" t="n">
        <x:v>0.45</x:v>
      </x:c>
      <x:c r="H1095" s="604" t="n">
        <x:v>-1.5</x:v>
      </x:c>
      <x:c r="I1095" s="604" t="n">
        <x:v>1.47</x:v>
      </x:c>
      <x:c r="J1095" s="604" t="inlineStr">
        <x:is>
          <x:t xml:space="preserve">0.45/-1.5/1.47</x:t>
        </x:is>
      </x:c>
      <x:c r="K1095" s="604" t="inlineStr">
        <x:is>
          <x:t xml:space="preserve">V4-C｜EV +0.4130</x:t>
        </x:is>
      </x:c>
      <x:c r="L1095" s="604" t="inlineStr">
        <x:is>
          <x:t xml:space="preserve">大连聚惺晟恒</x:t>
        </x:is>
      </x:c>
      <x:c r="M1095" s="604" t="n">
        <x:v>0.9744543046369417</x:v>
      </x:c>
      <x:c r="N1095" s="604" t="inlineStr">
        <x:is>
          <x:t xml:space="preserve">V4纸面入选-C</x:t>
        </x:is>
      </x:c>
      <x:c r="O1095" s="604" t="inlineStr">
        <x:is>
          <x:t xml:space="preserve">1-3</x:t>
        </x:is>
      </x:c>
      <x:c r="P1095" s="604" t="inlineStr">
        <x:is>
          <x:t xml:space="preserve">已结算</x:t>
        </x:is>
      </x:c>
      <x:c r="Q1095" s="646" t="inlineStr">
        <x:is>
          <x:t xml:space="preserve">黑</x:t>
        </x:is>
      </x:c>
      <x:c r="R1095" s="604" t="n">
        <x:v>0.45</x:v>
      </x:c>
      <x:c r="S1095" s="604" t="n">
        <x:f>IF(OR(Q1095="",Q1095="待结算"),"",IF(Q1095="红",R1095,IF(Q1095="半红",R1095*0.5,IF(Q1095="走",0,IF(Q1095="半黑",-0.5,-1)))))</x:f>
        <x:v>-1</x:v>
      </x:c>
      <x:c r="T1095" s="604" t="inlineStr">
        <x:is>
          <x:t xml:space="preserve">https://m.titan007.com/analy/Analysis/3099063.htm</x:t>
        </x:is>
      </x:c>
      <x:c r="U1095" s="645" t="str">
        <x:f>IF(Q1095="","",IF(Q1095="待结算","待结算",IF(Q1095="红","黑",IF(Q1095="半红","半黑",IF(Q1095="走","走",IF(Q1095="半黑","半红","红"))))))</x:f>
        <x:v>红</x:v>
      </x:c>
      <x:c r="V1095" s="604" t="n">
        <x:f>IF(OR(Q1095="",Q1095="待结算"),"",IF(L1095=LEFT(F1095,FIND(" vs ",F1095)-1),I1095,G1095))</x:f>
        <x:v>1.47</x:v>
      </x:c>
      <x:c r="W1095" s="604" t="n">
        <x:f>IF(OR(U1095="",U1095="待结算"),"",IF(U1095="红",V1095,IF(U1095="半红",V1095*0.5,IF(U1095="走",0,IF(U1095="半黑",-0.5,-1)))))</x:f>
        <x:v>1.47</x:v>
      </x:c>
      <x:c r="X1095" s="604" t="inlineStr">
        <x:is>
          <x:t xml:space="preserve">3099063</x:t>
        </x:is>
      </x:c>
      <x:c r="Y1095" s="604" t="inlineStr">
        <x:is>
          <x:t xml:space="preserve">V4</x:t>
        </x:is>
      </x:c>
      <x:c r="Z1095" s="604" t="inlineStr">
        <x:is>
          <x:t xml:space="preserve">prior-2026-10-06-v1</x:t>
        </x:is>
      </x:c>
      <x:c r="AA1095" s="604" t="inlineStr">
        <x:is>
          <x:t xml:space="preserve">C</x:t>
        </x:is>
      </x:c>
      <x:c r="AB1095" s="604" t="n">
        <x:v>0.9744543046369417</x:v>
      </x:c>
      <x:c r="AC1095" s="604" t="n"/>
      <x:c r="AD1095" s="604" t="n"/>
      <x:c r="AE1095" s="604" t="n"/>
      <x:c r="AF1095" s="604" t="n">
        <x:v>0.02554569536305826</x:v>
      </x:c>
      <x:c r="AG1095" s="604" t="n">
        <x:v>0.4129587417235655</x:v>
      </x:c>
      <x:c r="AH1095" s="604" t="n"/>
      <x:c r="AI1095" s="604" t="n"/>
      <x:c r="AJ1095" s="604" t="n">
        <x:v>0.4129587417235655</x:v>
      </x:c>
      <x:c r="AK1095" s="604" t="n"/>
      <x:c r="AL1095" s="604" t="n"/>
      <x:c r="AM1095" s="604" t="n"/>
      <x:c r="AN1095" s="604" t="inlineStr">
        <x:is>
          <x:t xml:space="preserve">EVALUATED</x:t>
        </x:is>
      </x:c>
      <x:c r="AO1095" s="604" t="inlineStr">
        <x:is>
          <x:t xml:space="preserve">RECEIVING_VALIDATED_EDGE、BUCKET_PRIOR_ONLY、INTENT_INTERPRETATION_ONLY、FFL_OPTIONAL、EXPERT_MARKET</x:t>
        </x:is>
      </x:c>
      <x:c r="AP1095" s="604" t="inlineStr">
        <x:is>
          <x:t xml:space="preserve">2902ea1586de9f23e3aa</x:t>
        </x:is>
      </x:c>
      <x:c r="AQ1095" s="604" t="n">
        <x:v>1.5</x:v>
      </x:c>
      <x:c r="AR1095" s="604" t="n">
        <x:v>0.45</x:v>
      </x:c>
      <x:c r="AS1095" s="604" t="n">
        <x:v>-1.5</x:v>
      </x:c>
      <x:c r="AT1095" s="604" t="n">
        <x:v>1.5</x:v>
      </x:c>
      <x:c r="AU1095" s="604" t="n">
        <x:v>0.45</x:v>
      </x:c>
      <x:c r="AV1095" s="604" t="n">
        <x:v>1.47</x:v>
      </x:c>
      <x:c r="AW1095" s="604" t="n">
        <x:v>46301.03159395833</x:v>
      </x:c>
      <x:c r="AX1095" s="604" t="inlineStr">
        <x:is>
          <x:t xml:space="preserve">https://simondongxiao.github.io/odds/v4/</x:t>
        </x:is>
      </x:c>
      <x:c r="AY1095" s="604" t="inlineStr">
        <x:is>
          <x:t xml:space="preserve">V4 Shadow Only；real_money=false；P(EV&gt;0)不是比赛胜率</x:t>
        </x:is>
      </x:c>
    </x:row>
    <x:row r="1096" ht="22" customHeight="1">
      <x:c r="A1096" s="604" t="inlineStr">
        <x:is>
          <x:t xml:space="preserve">2026-10-06</x:t>
        </x:is>
      </x:c>
      <x:c r="B1096" s="604" t="inlineStr">
        <x:is>
          <x:t xml:space="preserve">2026-10-06 15:30</x:t>
        </x:is>
      </x:c>
      <x:c r="C1096" s="604" t="str">
        <x:v>日韩系列</x:v>
      </x:c>
      <x:c r="D1096" s="604" t="inlineStr">
        <x:is>
          <x:t xml:space="preserve">联赛</x:t>
        </x:is>
      </x:c>
      <x:c r="E1096" s="604" t="inlineStr">
        <x:is>
          <x:t xml:space="preserve">中冠</x:t>
        </x:is>
      </x:c>
      <x:c r="F1096" s="604" t="inlineStr">
        <x:is>
          <x:t xml:space="preserve">新疆金盾 vs 榆林矿工旅投</x:t>
        </x:is>
      </x:c>
      <x:c r="G1096" s="604" t="n">
        <x:v>0.59</x:v>
      </x:c>
      <x:c r="H1096" s="604" t="n">
        <x:v>-1.5</x:v>
      </x:c>
      <x:c r="I1096" s="604" t="n">
        <x:v>1.16</x:v>
      </x:c>
      <x:c r="J1096" s="604" t="inlineStr">
        <x:is>
          <x:t xml:space="preserve">0.59/-1.5/1.16</x:t>
        </x:is>
      </x:c>
      <x:c r="K1096" s="604" t="inlineStr">
        <x:is>
          <x:t xml:space="preserve">V4-C｜EV +0.5827</x:t>
        </x:is>
      </x:c>
      <x:c r="L1096" s="604" t="inlineStr">
        <x:is>
          <x:t xml:space="preserve">新疆金盾</x:t>
        </x:is>
      </x:c>
      <x:c r="M1096" s="604" t="n">
        <x:v>0.9953867761656571</x:v>
      </x:c>
      <x:c r="N1096" s="604" t="inlineStr">
        <x:is>
          <x:t xml:space="preserve">V4纸面入选-C</x:t>
        </x:is>
      </x:c>
      <x:c r="O1096" s="604" t="inlineStr">
        <x:is>
          <x:t xml:space="preserve">0-3</x:t>
        </x:is>
      </x:c>
      <x:c r="P1096" s="604" t="inlineStr">
        <x:is>
          <x:t xml:space="preserve">已结算</x:t>
        </x:is>
      </x:c>
      <x:c r="Q1096" s="646" t="inlineStr">
        <x:is>
          <x:t xml:space="preserve">黑</x:t>
        </x:is>
      </x:c>
      <x:c r="R1096" s="604" t="n">
        <x:v>0.59</x:v>
      </x:c>
      <x:c r="S1096" s="604" t="n">
        <x:f>IF(OR(Q1096="",Q1096="待结算"),"",IF(Q1096="红",R1096,IF(Q1096="半红",R1096*0.5,IF(Q1096="走",0,IF(Q1096="半黑",-0.5,-1)))))</x:f>
        <x:v>-1</x:v>
      </x:c>
      <x:c r="T1096" s="604" t="inlineStr">
        <x:is>
          <x:t xml:space="preserve">https://m.titan007.com/analy/Analysis/3099064.htm</x:t>
        </x:is>
      </x:c>
      <x:c r="U1096" s="645" t="str">
        <x:f>IF(Q1096="","",IF(Q1096="待结算","待结算",IF(Q1096="红","黑",IF(Q1096="半红","半黑",IF(Q1096="走","走",IF(Q1096="半黑","半红","红"))))))</x:f>
        <x:v>红</x:v>
      </x:c>
      <x:c r="V1096" s="604" t="n">
        <x:f>IF(OR(Q1096="",Q1096="待结算"),"",IF(L1096=LEFT(F1096,FIND(" vs ",F1096)-1),I1096,G1096))</x:f>
        <x:v>1.16</x:v>
      </x:c>
      <x:c r="W1096" s="604" t="n">
        <x:f>IF(OR(U1096="",U1096="待结算"),"",IF(U1096="红",V1096,IF(U1096="半红",V1096*0.5,IF(U1096="走",0,IF(U1096="半黑",-0.5,-1)))))</x:f>
        <x:v>1.16</x:v>
      </x:c>
      <x:c r="X1096" s="604" t="inlineStr">
        <x:is>
          <x:t xml:space="preserve">3099064</x:t>
        </x:is>
      </x:c>
      <x:c r="Y1096" s="604" t="inlineStr">
        <x:is>
          <x:t xml:space="preserve">V4</x:t>
        </x:is>
      </x:c>
      <x:c r="Z1096" s="604" t="inlineStr">
        <x:is>
          <x:t xml:space="preserve">prior-2026-10-06-v1</x:t>
        </x:is>
      </x:c>
      <x:c r="AA1096" s="604" t="inlineStr">
        <x:is>
          <x:t xml:space="preserve">C</x:t>
        </x:is>
      </x:c>
      <x:c r="AB1096" s="604" t="n">
        <x:v>0.9953867761656571</x:v>
      </x:c>
      <x:c r="AC1096" s="604" t="n"/>
      <x:c r="AD1096" s="604" t="n"/>
      <x:c r="AE1096" s="604" t="n"/>
      <x:c r="AF1096" s="604" t="n">
        <x:v>0.004613223834342925</x:v>
      </x:c>
      <x:c r="AG1096" s="604" t="n">
        <x:v>0.5826649741033947</x:v>
      </x:c>
      <x:c r="AH1096" s="604" t="n"/>
      <x:c r="AI1096" s="604" t="n"/>
      <x:c r="AJ1096" s="604" t="n">
        <x:v>0.5826649741033947</x:v>
      </x:c>
      <x:c r="AK1096" s="604" t="n"/>
      <x:c r="AL1096" s="604" t="n"/>
      <x:c r="AM1096" s="604" t="n"/>
      <x:c r="AN1096" s="604" t="inlineStr">
        <x:is>
          <x:t xml:space="preserve">EVALUATED</x:t>
        </x:is>
      </x:c>
      <x:c r="AO1096" s="604" t="inlineStr">
        <x:is>
          <x:t xml:space="preserve">RECEIVING_VALIDATED_EDGE、BUCKET_PRIOR_ONLY、INTENT_INTERPRETATION_ONLY、FFL_OPTIONAL、EXPERT_MARKET</x:t>
        </x:is>
      </x:c>
      <x:c r="AP1096" s="604" t="inlineStr">
        <x:is>
          <x:t xml:space="preserve">4c3fab4ffc7fd8b5321e</x:t>
        </x:is>
      </x:c>
      <x:c r="AQ1096" s="604" t="n">
        <x:v>1.5</x:v>
      </x:c>
      <x:c r="AR1096" s="604" t="n">
        <x:v>0.59</x:v>
      </x:c>
      <x:c r="AS1096" s="604" t="n">
        <x:v>-1.5</x:v>
      </x:c>
      <x:c r="AT1096" s="604" t="n">
        <x:v>1.5</x:v>
      </x:c>
      <x:c r="AU1096" s="604" t="n">
        <x:v>0.59</x:v>
      </x:c>
      <x:c r="AV1096" s="604" t="n">
        <x:v>1.16</x:v>
      </x:c>
      <x:c r="AW1096" s="604" t="n">
        <x:v>46301.03159395833</x:v>
      </x:c>
      <x:c r="AX1096" s="604" t="inlineStr">
        <x:is>
          <x:t xml:space="preserve">https://simondongxiao.github.io/odds/v4/</x:t>
        </x:is>
      </x:c>
      <x:c r="AY1096" s="604" t="inlineStr">
        <x:is>
          <x:t xml:space="preserve">V4 Shadow Only；real_money=false；P(EV&gt;0)不是比赛胜率</x:t>
        </x:is>
      </x:c>
    </x:row>
    <x:row r="1097" ht="22" customHeight="1">
      <x:c r="A1097" s="604" t="inlineStr">
        <x:is>
          <x:t xml:space="preserve">2026-10-06</x:t>
        </x:is>
      </x:c>
      <x:c r="B1097" s="604" t="inlineStr">
        <x:is>
          <x:t xml:space="preserve">2026-10-06 15:30</x:t>
        </x:is>
      </x:c>
      <x:c r="C1097" s="604" t="str">
        <x:v>日韩系列</x:v>
      </x:c>
      <x:c r="D1097" s="604" t="inlineStr">
        <x:is>
          <x:t xml:space="preserve">联赛</x:t>
        </x:is>
      </x:c>
      <x:c r="E1097" s="604" t="inlineStr">
        <x:is>
          <x:t xml:space="preserve">中冠</x:t>
        </x:is>
      </x:c>
      <x:c r="F1097" s="604" t="inlineStr">
        <x:is>
          <x:t xml:space="preserve">重庆瀚达 vs 吴川青年</x:t>
        </x:is>
      </x:c>
      <x:c r="G1097" s="604" t="n">
        <x:v>0.58</x:v>
      </x:c>
      <x:c r="H1097" s="604" t="n">
        <x:v>-1.5</x:v>
      </x:c>
      <x:c r="I1097" s="604" t="n">
        <x:v>1.18</x:v>
      </x:c>
      <x:c r="J1097" s="604" t="inlineStr">
        <x:is>
          <x:t xml:space="preserve">0.58/-1.5/1.18</x:t>
        </x:is>
      </x:c>
      <x:c r="K1097" s="604" t="inlineStr">
        <x:is>
          <x:t xml:space="preserve">V4-C｜EV +0.5623</x:t>
        </x:is>
      </x:c>
      <x:c r="L1097" s="604" t="inlineStr">
        <x:is>
          <x:t xml:space="preserve">重庆瀚达</x:t>
        </x:is>
      </x:c>
      <x:c r="M1097" s="604" t="n">
        <x:v>0.9888184389677955</x:v>
      </x:c>
      <x:c r="N1097" s="604" t="inlineStr">
        <x:is>
          <x:t xml:space="preserve">V4纸面入选-C</x:t>
        </x:is>
      </x:c>
      <x:c r="O1097" s="604" t="inlineStr">
        <x:is>
          <x:t xml:space="preserve">0-2</x:t>
        </x:is>
      </x:c>
      <x:c r="P1097" s="604" t="inlineStr">
        <x:is>
          <x:t xml:space="preserve">已结算</x:t>
        </x:is>
      </x:c>
      <x:c r="Q1097" s="646" t="inlineStr">
        <x:is>
          <x:t xml:space="preserve">黑</x:t>
        </x:is>
      </x:c>
      <x:c r="R1097" s="604" t="n">
        <x:v>0.58</x:v>
      </x:c>
      <x:c r="S1097" s="604" t="n">
        <x:f>IF(OR(Q1097="",Q1097="待结算"),"",IF(Q1097="红",R1097,IF(Q1097="半红",R1097*0.5,IF(Q1097="走",0,IF(Q1097="半黑",-0.5,-1)))))</x:f>
        <x:v>-1</x:v>
      </x:c>
      <x:c r="T1097" s="604" t="inlineStr">
        <x:is>
          <x:t xml:space="preserve">https://m.titan007.com/analy/Analysis/3099066.htm</x:t>
        </x:is>
      </x:c>
      <x:c r="U1097" s="645" t="str">
        <x:f>IF(Q1097="","",IF(Q1097="待结算","待结算",IF(Q1097="红","黑",IF(Q1097="半红","半黑",IF(Q1097="走","走",IF(Q1097="半黑","半红","红"))))))</x:f>
        <x:v>红</x:v>
      </x:c>
      <x:c r="V1097" s="604" t="n">
        <x:f>IF(OR(Q1097="",Q1097="待结算"),"",IF(L1097=LEFT(F1097,FIND(" vs ",F1097)-1),I1097,G1097))</x:f>
        <x:v>1.18</x:v>
      </x:c>
      <x:c r="W1097" s="604" t="n">
        <x:f>IF(OR(U1097="",U1097="待结算"),"",IF(U1097="红",V1097,IF(U1097="半红",V1097*0.5,IF(U1097="走",0,IF(U1097="半黑",-0.5,-1)))))</x:f>
        <x:v>1.18</x:v>
      </x:c>
      <x:c r="X1097" s="604" t="inlineStr">
        <x:is>
          <x:t xml:space="preserve">3099066</x:t>
        </x:is>
      </x:c>
      <x:c r="Y1097" s="604" t="inlineStr">
        <x:is>
          <x:t xml:space="preserve">V4</x:t>
        </x:is>
      </x:c>
      <x:c r="Z1097" s="604" t="inlineStr">
        <x:is>
          <x:t xml:space="preserve">prior-2026-10-06-v1</x:t>
        </x:is>
      </x:c>
      <x:c r="AA1097" s="604" t="inlineStr">
        <x:is>
          <x:t xml:space="preserve">C</x:t>
        </x:is>
      </x:c>
      <x:c r="AB1097" s="604" t="n">
        <x:v>0.9888184389677955</x:v>
      </x:c>
      <x:c r="AC1097" s="604" t="n"/>
      <x:c r="AD1097" s="604" t="n"/>
      <x:c r="AE1097" s="604" t="n"/>
      <x:c r="AF1097" s="604" t="n">
        <x:v>0.01118156103220455</x:v>
      </x:c>
      <x:c r="AG1097" s="604" t="n">
        <x:v>0.5623331335691167</x:v>
      </x:c>
      <x:c r="AH1097" s="604" t="n"/>
      <x:c r="AI1097" s="604" t="n"/>
      <x:c r="AJ1097" s="604" t="n">
        <x:v>0.5623331335691167</x:v>
      </x:c>
      <x:c r="AK1097" s="604" t="n"/>
      <x:c r="AL1097" s="604" t="n"/>
      <x:c r="AM1097" s="604" t="n"/>
      <x:c r="AN1097" s="604" t="inlineStr">
        <x:is>
          <x:t xml:space="preserve">EVALUATED</x:t>
        </x:is>
      </x:c>
      <x:c r="AO1097" s="604" t="inlineStr">
        <x:is>
          <x:t xml:space="preserve">RECEIVING_VALIDATED_EDGE、BUCKET_PRIOR_ONLY、INTENT_INTERPRETATION_ONLY、FFL_OPTIONAL、EXPERT_MARKET</x:t>
        </x:is>
      </x:c>
      <x:c r="AP1097" s="604" t="inlineStr">
        <x:is>
          <x:t xml:space="preserve">4e4d3f4b02e0e7b72e4c</x:t>
        </x:is>
      </x:c>
      <x:c r="AQ1097" s="604" t="n">
        <x:v>1.5</x:v>
      </x:c>
      <x:c r="AR1097" s="604" t="n">
        <x:v>0.58</x:v>
      </x:c>
      <x:c r="AS1097" s="604" t="n">
        <x:v>-1.5</x:v>
      </x:c>
      <x:c r="AT1097" s="604" t="n">
        <x:v>1.5</x:v>
      </x:c>
      <x:c r="AU1097" s="604" t="n">
        <x:v>0.58</x:v>
      </x:c>
      <x:c r="AV1097" s="604" t="n">
        <x:v>1.18</x:v>
      </x:c>
      <x:c r="AW1097" s="604" t="n">
        <x:v>46301.03159395833</x:v>
      </x:c>
      <x:c r="AX1097" s="604" t="inlineStr">
        <x:is>
          <x:t xml:space="preserve">https://simondongxiao.github.io/odds/v4/</x:t>
        </x:is>
      </x:c>
      <x:c r="AY1097" s="604" t="inlineStr">
        <x:is>
          <x:t xml:space="preserve">V4 Shadow Only；real_money=false；P(EV&gt;0)不是比赛胜率</x:t>
        </x:is>
      </x:c>
    </x:row>
    <x:row r="1098" ht="22" customHeight="1">
      <x:c r="A1098" s="604" t="inlineStr">
        <x:is>
          <x:t xml:space="preserve">2026-10-06</x:t>
        </x:is>
      </x:c>
      <x:c r="B1098" s="604" t="inlineStr">
        <x:is>
          <x:t xml:space="preserve">2026-10-06 16:00</x:t>
        </x:is>
      </x:c>
      <x:c r="C1098" s="604" t="str">
        <x:v>其他系列</x:v>
      </x:c>
      <x:c r="D1098" s="604" t="inlineStr">
        <x:is>
          <x:t xml:space="preserve">联赛</x:t>
        </x:is>
      </x:c>
      <x:c r="E1098" s="604" t="inlineStr">
        <x:is>
          <x:t xml:space="preserve">缅甸U20</x:t>
        </x:is>
      </x:c>
      <x:c r="F1098" s="604" t="inlineStr">
        <x:is>
          <x:t xml:space="preserve">治尼兰德U20 vs 伊洛瓦底U20</x:t>
        </x:is>
      </x:c>
      <x:c r="G1098" s="604" t="n">
        <x:v>0.9</x:v>
      </x:c>
      <x:c r="H1098" s="604" t="n">
        <x:v>-1.5</x:v>
      </x:c>
      <x:c r="I1098" s="604" t="n">
        <x:v>0.9</x:v>
      </x:c>
      <x:c r="J1098" s="604" t="inlineStr">
        <x:is>
          <x:t xml:space="preserve">0.9/-1.5/0.9</x:t>
        </x:is>
      </x:c>
      <x:c r="K1098" s="604" t="inlineStr">
        <x:is>
          <x:t xml:space="preserve">V4-C｜EV +0.8770</x:t>
        </x:is>
      </x:c>
      <x:c r="L1098" s="604" t="inlineStr">
        <x:is>
          <x:t xml:space="preserve">治尼兰德U20</x:t>
        </x:is>
      </x:c>
      <x:c r="M1098" s="604" t="n">
        <x:v>0.9878891088447476</x:v>
      </x:c>
      <x:c r="N1098" s="604" t="inlineStr">
        <x:is>
          <x:t xml:space="preserve">V4纸面入选-C</x:t>
        </x:is>
      </x:c>
      <x:c r="O1098" s="604" t="inlineStr">
        <x:is>
          <x:t xml:space="preserve">2-3</x:t>
        </x:is>
      </x:c>
      <x:c r="P1098" s="604" t="inlineStr">
        <x:is>
          <x:t xml:space="preserve">已结算</x:t>
        </x:is>
      </x:c>
      <x:c r="Q1098" s="645" t="inlineStr">
        <x:is>
          <x:t xml:space="preserve">红</x:t>
        </x:is>
      </x:c>
      <x:c r="R1098" s="604" t="n">
        <x:v>0.9</x:v>
      </x:c>
      <x:c r="S1098" s="604" t="n">
        <x:f>IF(OR(Q1098="",Q1098="待结算"),"",IF(Q1098="红",R1098,IF(Q1098="半红",R1098*0.5,IF(Q1098="走",0,IF(Q1098="半黑",-0.5,-1)))))</x:f>
        <x:v>0.9</x:v>
      </x:c>
      <x:c r="T1098" s="604" t="inlineStr">
        <x:is>
          <x:t xml:space="preserve">https://m.titan007.com/analy/Analysis/3099867.htm</x:t>
        </x:is>
      </x:c>
      <x:c r="U1098" s="646" t="str">
        <x:f>IF(Q1098="","",IF(Q1098="待结算","待结算",IF(Q1098="红","黑",IF(Q1098="半红","半黑",IF(Q1098="走","走",IF(Q1098="半黑","半红","红"))))))</x:f>
        <x:v>黑</x:v>
      </x:c>
      <x:c r="V1098" s="604" t="n">
        <x:f>IF(OR(Q1098="",Q1098="待结算"),"",IF(L1098=LEFT(F1098,FIND(" vs ",F1098)-1),I1098,G1098))</x:f>
        <x:v>0.9</x:v>
      </x:c>
      <x:c r="W1098" s="604" t="n">
        <x:f>IF(OR(U1098="",U1098="待结算"),"",IF(U1098="红",V1098,IF(U1098="半红",V1098*0.5,IF(U1098="走",0,IF(U1098="半黑",-0.5,-1)))))</x:f>
        <x:v>-1</x:v>
      </x:c>
      <x:c r="X1098" s="604" t="inlineStr">
        <x:is>
          <x:t xml:space="preserve">3099867</x:t>
        </x:is>
      </x:c>
      <x:c r="Y1098" s="604" t="inlineStr">
        <x:is>
          <x:t xml:space="preserve">V4</x:t>
        </x:is>
      </x:c>
      <x:c r="Z1098" s="604" t="inlineStr">
        <x:is>
          <x:t xml:space="preserve">prior-2026-10-06-v1</x:t>
        </x:is>
      </x:c>
      <x:c r="AA1098" s="604" t="inlineStr">
        <x:is>
          <x:t xml:space="preserve">C</x:t>
        </x:is>
      </x:c>
      <x:c r="AB1098" s="604" t="n">
        <x:v>0.9878891088447476</x:v>
      </x:c>
      <x:c r="AC1098" s="604" t="n"/>
      <x:c r="AD1098" s="604" t="n"/>
      <x:c r="AE1098" s="604" t="n"/>
      <x:c r="AF1098" s="604" t="n">
        <x:v>0.01211089115525241</x:v>
      </x:c>
      <x:c r="AG1098" s="604" t="n">
        <x:v>0.8769893068050204</x:v>
      </x:c>
      <x:c r="AH1098" s="604" t="n"/>
      <x:c r="AI1098" s="604" t="n"/>
      <x:c r="AJ1098" s="604" t="n">
        <x:v>0.8769893068050204</x:v>
      </x:c>
      <x:c r="AK1098" s="604" t="n"/>
      <x:c r="AL1098" s="604" t="n"/>
      <x:c r="AM1098" s="604" t="n"/>
      <x:c r="AN1098" s="604" t="inlineStr">
        <x:is>
          <x:t xml:space="preserve">EVALUATED</x:t>
        </x:is>
      </x:c>
      <x:c r="AO1098" s="604" t="inlineStr">
        <x:is>
          <x:t xml:space="preserve">RECEIVING_VALIDATED_EDGE、BUCKET_PRIOR_ONLY、INTENT_INTERPRETATION_ONLY、FFL_OPTIONAL、EXPERT_MARKET</x:t>
        </x:is>
      </x:c>
      <x:c r="AP1098" s="604" t="inlineStr">
        <x:is>
          <x:t xml:space="preserve">9f10de9a008dea618bd9</x:t>
        </x:is>
      </x:c>
      <x:c r="AQ1098" s="604" t="n">
        <x:v>1.5</x:v>
      </x:c>
      <x:c r="AR1098" s="604" t="n">
        <x:v>0.9</x:v>
      </x:c>
      <x:c r="AS1098" s="604" t="n">
        <x:v>-1.5</x:v>
      </x:c>
      <x:c r="AT1098" s="604" t="n">
        <x:v>1.5</x:v>
      </x:c>
      <x:c r="AU1098" s="604" t="n">
        <x:v>0.9</x:v>
      </x:c>
      <x:c r="AV1098" s="604" t="n">
        <x:v>0.9</x:v>
      </x:c>
      <x:c r="AW1098" s="604" t="n">
        <x:v>46301.03159395833</x:v>
      </x:c>
      <x:c r="AX1098" s="604" t="inlineStr">
        <x:is>
          <x:t xml:space="preserve">https://simondongxiao.github.io/odds/v4/</x:t>
        </x:is>
      </x:c>
      <x:c r="AY1098" s="604" t="inlineStr">
        <x:is>
          <x:t xml:space="preserve">V4 Shadow Only；real_money=false；P(EV&gt;0)不是比赛胜率</x:t>
        </x:is>
      </x:c>
    </x:row>
    <x:row r="1099" ht="22" customHeight="1">
      <x:c r="A1099" s="604" t="inlineStr">
        <x:is>
          <x:t xml:space="preserve">2026-10-06</x:t>
        </x:is>
      </x:c>
      <x:c r="B1099" s="604" t="inlineStr">
        <x:is>
          <x:t xml:space="preserve">2026-10-06 16:30</x:t>
        </x:is>
      </x:c>
      <x:c r="C1099" s="604" t="str">
        <x:v>其他系列</x:v>
      </x:c>
      <x:c r="D1099" s="604" t="inlineStr">
        <x:is>
          <x:t xml:space="preserve">杯赛</x:t>
        </x:is>
      </x:c>
      <x:c r="E1099" s="604" t="inlineStr">
        <x:is>
          <x:t xml:space="preserve">柬杯</x:t>
        </x:is>
      </x:c>
      <x:c r="F1099" s="604" t="inlineStr">
        <x:is>
          <x:t xml:space="preserve">特本克蒙 vs 磅士卑省</x:t>
        </x:is>
      </x:c>
      <x:c r="G1099" s="604" t="n">
        <x:v>0.9</x:v>
      </x:c>
      <x:c r="H1099" s="604" t="n">
        <x:v>2</x:v>
      </x:c>
      <x:c r="I1099" s="604" t="n">
        <x:v>0.9</x:v>
      </x:c>
      <x:c r="J1099" s="604" t="inlineStr">
        <x:is>
          <x:t xml:space="preserve">0.9/2/0.9</x:t>
        </x:is>
      </x:c>
      <x:c r="K1099" s="604" t="inlineStr">
        <x:is>
          <x:t xml:space="preserve">V4-B｜EV +0.0810</x:t>
        </x:is>
      </x:c>
      <x:c r="L1099" s="604" t="inlineStr">
        <x:is>
          <x:t xml:space="preserve">特本克蒙</x:t>
        </x:is>
      </x:c>
      <x:c r="M1099" s="604" t="n">
        <x:v>0.5829680120003742</x:v>
      </x:c>
      <x:c r="N1099" s="604" t="inlineStr">
        <x:is>
          <x:t xml:space="preserve">V4纸面入选-B</x:t>
        </x:is>
      </x:c>
      <x:c r="O1099" s="604" t="inlineStr">
        <x:is>
          <x:t xml:space="preserve">6-2</x:t>
        </x:is>
      </x:c>
      <x:c r="P1099" s="604" t="inlineStr">
        <x:is>
          <x:t xml:space="preserve">已结算</x:t>
        </x:is>
      </x:c>
      <x:c r="Q1099" s="645" t="inlineStr">
        <x:is>
          <x:t xml:space="preserve">红</x:t>
        </x:is>
      </x:c>
      <x:c r="R1099" s="604" t="n">
        <x:v>0.9</x:v>
      </x:c>
      <x:c r="S1099" s="604" t="n">
        <x:f>IF(OR(Q1099="",Q1099="待结算"),"",IF(Q1099="红",R1099,IF(Q1099="半红",R1099*0.5,IF(Q1099="走",0,IF(Q1099="半黑",-0.5,-1)))))</x:f>
        <x:v>0.9</x:v>
      </x:c>
      <x:c r="T1099" s="604" t="inlineStr">
        <x:is>
          <x:t xml:space="preserve">https://m.titan007.com/analy/Analysis/3099876.htm</x:t>
        </x:is>
      </x:c>
      <x:c r="U1099" s="646" t="str">
        <x:f>IF(Q1099="","",IF(Q1099="待结算","待结算",IF(Q1099="红","黑",IF(Q1099="半红","半黑",IF(Q1099="走","走",IF(Q1099="半黑","半红","红"))))))</x:f>
        <x:v>黑</x:v>
      </x:c>
      <x:c r="V1099" s="604" t="n">
        <x:f>IF(OR(Q1099="",Q1099="待结算"),"",IF(L1099=LEFT(F1099,FIND(" vs ",F1099)-1),I1099,G1099))</x:f>
        <x:v>0.9</x:v>
      </x:c>
      <x:c r="W1099" s="604" t="n">
        <x:f>IF(OR(U1099="",U1099="待结算"),"",IF(U1099="红",V1099,IF(U1099="半红",V1099*0.5,IF(U1099="走",0,IF(U1099="半黑",-0.5,-1)))))</x:f>
        <x:v>-1</x:v>
      </x:c>
      <x:c r="X1099" s="604" t="inlineStr">
        <x:is>
          <x:t xml:space="preserve">3099876</x:t>
        </x:is>
      </x:c>
      <x:c r="Y1099" s="604" t="inlineStr">
        <x:is>
          <x:t xml:space="preserve">V4</x:t>
        </x:is>
      </x:c>
      <x:c r="Z1099" s="604" t="inlineStr">
        <x:is>
          <x:t xml:space="preserve">prior-2026-10-06-v1</x:t>
        </x:is>
      </x:c>
      <x:c r="AA1099" s="604" t="inlineStr">
        <x:is>
          <x:t xml:space="preserve">B</x:t>
        </x:is>
      </x:c>
      <x:c r="AB1099" s="604" t="n">
        <x:v>0.4388501897366912</x:v>
      </x:c>
      <x:c r="AC1099" s="604" t="n"/>
      <x:c r="AD1099" s="604" t="n">
        <x:v>0.2472139453572462</x:v>
      </x:c>
      <x:c r="AE1099" s="604" t="n"/>
      <x:c r="AF1099" s="604" t="n">
        <x:v>0.3139358649060626</x:v>
      </x:c>
      <x:c r="AG1099" s="604" t="n">
        <x:v>0.08102930585695955</x:v>
      </x:c>
      <x:c r="AH1099" s="604" t="n"/>
      <x:c r="AI1099" s="604" t="n"/>
      <x:c r="AJ1099" s="604" t="n">
        <x:v>0.08102930585695955</x:v>
      </x:c>
      <x:c r="AK1099" s="604" t="n"/>
      <x:c r="AL1099" s="604" t="n"/>
      <x:c r="AM1099" s="604" t="n"/>
      <x:c r="AN1099" s="604" t="inlineStr">
        <x:is>
          <x:t xml:space="preserve">EVALUATED</x:t>
        </x:is>
      </x:c>
      <x:c r="AO1099" s="604" t="inlineStr">
        <x:is>
          <x:t xml:space="preserve">GIVING_VALIDATED_EDGE、BUCKET_PRIOR_ONLY、INTENT_INTERPRETATION_ONLY、FFL_OPTIONAL、EXPERT_MARKET</x:t>
        </x:is>
      </x:c>
      <x:c r="AP1099" s="604" t="inlineStr">
        <x:is>
          <x:t xml:space="preserve">4319649dced4b5051592</x:t>
        </x:is>
      </x:c>
      <x:c r="AQ1099" s="604" t="n">
        <x:v>-2</x:v>
      </x:c>
      <x:c r="AR1099" s="604" t="n">
        <x:v>0.9</x:v>
      </x:c>
      <x:c r="AS1099" s="604" t="n">
        <x:v>2</x:v>
      </x:c>
      <x:c r="AT1099" s="604" t="n">
        <x:v>-2</x:v>
      </x:c>
      <x:c r="AU1099" s="604" t="n">
        <x:v>0.9</x:v>
      </x:c>
      <x:c r="AV1099" s="604" t="n">
        <x:v>0.9</x:v>
      </x:c>
      <x:c r="AW1099" s="604" t="n">
        <x:v>46301.03159395833</x:v>
      </x:c>
      <x:c r="AX1099" s="604" t="inlineStr">
        <x:is>
          <x:t xml:space="preserve">https://simondongxiao.github.io/odds/v4/</x:t>
        </x:is>
      </x:c>
      <x:c r="AY1099" s="604" t="inlineStr">
        <x:is>
          <x:t xml:space="preserve">V4 Shadow Only；real_money=false；P(EV&gt;0)不是比赛胜率</x:t>
        </x:is>
      </x:c>
    </x:row>
    <x:row r="1100" ht="22" customHeight="1">
      <x:c r="A1100" s="604" t="inlineStr">
        <x:is>
          <x:t xml:space="preserve">2026-10-06</x:t>
        </x:is>
      </x:c>
      <x:c r="B1100" s="604" t="inlineStr">
        <x:is>
          <x:t xml:space="preserve">2026-10-06 16:30</x:t>
        </x:is>
      </x:c>
      <x:c r="C1100" s="604" t="str">
        <x:v>其他系列</x:v>
      </x:c>
      <x:c r="D1100" s="604" t="inlineStr">
        <x:is>
          <x:t xml:space="preserve">杯赛</x:t>
        </x:is>
      </x:c>
      <x:c r="E1100" s="604" t="inlineStr">
        <x:is>
          <x:t xml:space="preserve">越南杯</x:t>
        </x:is>
      </x:c>
      <x:c r="F1100" s="604" t="inlineStr">
        <x:is>
          <x:t xml:space="preserve">林同 vs 宋兰义安</x:t>
        </x:is>
      </x:c>
      <x:c r="G1100" s="604" t="n">
        <x:v>0.89</x:v>
      </x:c>
      <x:c r="H1100" s="604" t="n">
        <x:v>-0.75</x:v>
      </x:c>
      <x:c r="I1100" s="604" t="n">
        <x:v>0.8100000000000001</x:v>
      </x:c>
      <x:c r="J1100" s="604" t="inlineStr">
        <x:is>
          <x:t xml:space="preserve">0.89/-0.75/0.81</x:t>
        </x:is>
      </x:c>
      <x:c r="K1100" s="604" t="inlineStr">
        <x:is>
          <x:t xml:space="preserve">V4-B｜EV +0.7468</x:t>
        </x:is>
      </x:c>
      <x:c r="L1100" s="604" t="inlineStr">
        <x:is>
          <x:t xml:space="preserve">林同</x:t>
        </x:is>
      </x:c>
      <x:c r="M1100" s="604" t="n">
        <x:v>0.9392951612627862</x:v>
      </x:c>
      <x:c r="N1100" s="604" t="inlineStr">
        <x:is>
          <x:t xml:space="preserve">V4纸面入选-B</x:t>
        </x:is>
      </x:c>
      <x:c r="O1100" s="604" t="inlineStr">
        <x:is>
          <x:t xml:space="preserve">0-2</x:t>
        </x:is>
      </x:c>
      <x:c r="P1100" s="604" t="inlineStr">
        <x:is>
          <x:t xml:space="preserve">已结算</x:t>
        </x:is>
      </x:c>
      <x:c r="Q1100" s="646" t="inlineStr">
        <x:is>
          <x:t xml:space="preserve">黑</x:t>
        </x:is>
      </x:c>
      <x:c r="R1100" s="604" t="n">
        <x:v>0.89</x:v>
      </x:c>
      <x:c r="S1100" s="604" t="n">
        <x:f>IF(OR(Q1100="",Q1100="待结算"),"",IF(Q1100="红",R1100,IF(Q1100="半红",R1100*0.5,IF(Q1100="走",0,IF(Q1100="半黑",-0.5,-1)))))</x:f>
        <x:v>-1</x:v>
      </x:c>
      <x:c r="T1100" s="604" t="inlineStr">
        <x:is>
          <x:t xml:space="preserve">https://m.titan007.com/analy/Analysis/3075384.htm</x:t>
        </x:is>
      </x:c>
      <x:c r="U1100" s="645" t="str">
        <x:f>IF(Q1100="","",IF(Q1100="待结算","待结算",IF(Q1100="红","黑",IF(Q1100="半红","半黑",IF(Q1100="走","走",IF(Q1100="半黑","半红","红"))))))</x:f>
        <x:v>红</x:v>
      </x:c>
      <x:c r="V1100" s="604" t="n">
        <x:f>IF(OR(Q1100="",Q1100="待结算"),"",IF(L1100=LEFT(F1100,FIND(" vs ",F1100)-1),I1100,G1100))</x:f>
        <x:v>0.81</x:v>
      </x:c>
      <x:c r="W1100" s="604" t="n">
        <x:f>IF(OR(U1100="",U1100="待结算"),"",IF(U1100="红",V1100,IF(U1100="半红",V1100*0.5,IF(U1100="走",0,IF(U1100="半黑",-0.5,-1)))))</x:f>
        <x:v>0.81</x:v>
      </x:c>
      <x:c r="X1100" s="604" t="inlineStr">
        <x:is>
          <x:t xml:space="preserve">3075384</x:t>
        </x:is>
      </x:c>
      <x:c r="Y1100" s="604" t="inlineStr">
        <x:is>
          <x:t xml:space="preserve">V4</x:t>
        </x:is>
      </x:c>
      <x:c r="Z1100" s="604" t="inlineStr">
        <x:is>
          <x:t xml:space="preserve">prior-2026-10-06-v1</x:t>
        </x:is>
      </x:c>
      <x:c r="AA1100" s="604" t="inlineStr">
        <x:is>
          <x:t xml:space="preserve">B</x:t>
        </x:is>
      </x:c>
      <x:c r="AB1100" s="604" t="n">
        <x:v>0.9048297856909805</x:v>
      </x:c>
      <x:c r="AC1100" s="604" t="n"/>
      <x:c r="AD1100" s="604" t="n"/>
      <x:c r="AE1100" s="604" t="n">
        <x:v>0.07338561294294449</x:v>
      </x:c>
      <x:c r="AF1100" s="604" t="n">
        <x:v>0.02178460136607509</x:v>
      </x:c>
      <x:c r="AG1100" s="604" t="n">
        <x:v>0.7468211014274253</x:v>
      </x:c>
      <x:c r="AH1100" s="604" t="n"/>
      <x:c r="AI1100" s="604" t="n"/>
      <x:c r="AJ1100" s="604" t="n">
        <x:v>0.7468211014274253</x:v>
      </x:c>
      <x:c r="AK1100" s="604" t="n"/>
      <x:c r="AL1100" s="604" t="n"/>
      <x:c r="AM1100" s="604" t="n"/>
      <x:c r="AN1100" s="604" t="inlineStr">
        <x:is>
          <x:t xml:space="preserve">EVALUATED</x:t>
        </x:is>
      </x:c>
      <x:c r="AO1100" s="604" t="inlineStr">
        <x:is>
          <x:t xml:space="preserve">RECEIVING_VALIDATED_EDGE、BUCKET_PRIOR_ONLY、INTENT_INTERPRETATION_ONLY、FFL_OPTIONAL、EXPERT_MARKET</x:t>
        </x:is>
      </x:c>
      <x:c r="AP1100" s="604" t="inlineStr">
        <x:is>
          <x:t xml:space="preserve">6357a66942b84127ce8a</x:t>
        </x:is>
      </x:c>
      <x:c r="AQ1100" s="604" t="n">
        <x:v>0.75</x:v>
      </x:c>
      <x:c r="AR1100" s="604" t="n">
        <x:v>0.89</x:v>
      </x:c>
      <x:c r="AS1100" s="604" t="n">
        <x:v>-0.75</x:v>
      </x:c>
      <x:c r="AT1100" s="604" t="n">
        <x:v>0.75</x:v>
      </x:c>
      <x:c r="AU1100" s="604" t="n">
        <x:v>0.89</x:v>
      </x:c>
      <x:c r="AV1100" s="604" t="n">
        <x:v>0.8100000000000001</x:v>
      </x:c>
      <x:c r="AW1100" s="604" t="n">
        <x:v>46301.03159395833</x:v>
      </x:c>
      <x:c r="AX1100" s="604" t="inlineStr">
        <x:is>
          <x:t xml:space="preserve">https://simondongxiao.github.io/odds/v4/</x:t>
        </x:is>
      </x:c>
      <x:c r="AY1100" s="604" t="inlineStr">
        <x:is>
          <x:t xml:space="preserve">V4 Shadow Only；real_money=false；P(EV&gt;0)不是比赛胜率</x:t>
        </x:is>
      </x:c>
    </x:row>
    <x:row r="1101" ht="22" customHeight="1">
      <x:c r="A1101" s="604" t="inlineStr">
        <x:is>
          <x:t xml:space="preserve">2026-10-06</x:t>
        </x:is>
      </x:c>
      <x:c r="B1101" s="604" t="inlineStr">
        <x:is>
          <x:t xml:space="preserve">2026-10-06 17:00</x:t>
        </x:is>
      </x:c>
      <x:c r="C1101" s="604" t="str">
        <x:v>其他系列</x:v>
      </x:c>
      <x:c r="D1101" s="604" t="inlineStr">
        <x:is>
          <x:t xml:space="preserve">联赛</x:t>
        </x:is>
      </x:c>
      <x:c r="E1101" s="604" t="inlineStr">
        <x:is>
          <x:t xml:space="preserve">女欧U19</x:t>
        </x:is>
      </x:c>
      <x:c r="F1101" s="604" t="inlineStr">
        <x:is>
          <x:t xml:space="preserve">罗马尼亚女足U19 vs 哈萨克斯坦女足U19</x:t>
        </x:is>
      </x:c>
      <x:c r="G1101" s="604" t="n">
        <x:v>0.9</x:v>
      </x:c>
      <x:c r="H1101" s="604" t="n">
        <x:v>3.5</x:v>
      </x:c>
      <x:c r="I1101" s="604" t="n">
        <x:v>0.9</x:v>
      </x:c>
      <x:c r="J1101" s="604" t="inlineStr">
        <x:is>
          <x:t xml:space="preserve">0.9/3.5/0.9</x:t>
        </x:is>
      </x:c>
      <x:c r="K1101" s="604" t="inlineStr">
        <x:is>
          <x:t xml:space="preserve">V4-C｜EV +0.1965</x:t>
        </x:is>
      </x:c>
      <x:c r="L1101" s="604" t="inlineStr">
        <x:is>
          <x:t xml:space="preserve">哈萨克斯坦女足U19</x:t>
        </x:is>
      </x:c>
      <x:c r="M1101" s="604" t="n">
        <x:v>0.6297187995571061</x:v>
      </x:c>
      <x:c r="N1101" s="604" t="inlineStr">
        <x:is>
          <x:t xml:space="preserve">V4纸面入选-C</x:t>
        </x:is>
      </x:c>
      <x:c r="O1101" s="604" t="inlineStr">
        <x:is>
          <x:t xml:space="preserve">6-1</x:t>
        </x:is>
      </x:c>
      <x:c r="P1101" s="604" t="inlineStr">
        <x:is>
          <x:t xml:space="preserve">已结算</x:t>
        </x:is>
      </x:c>
      <x:c r="Q1101" s="645" t="inlineStr">
        <x:is>
          <x:t xml:space="preserve">红</x:t>
        </x:is>
      </x:c>
      <x:c r="R1101" s="604" t="n">
        <x:v>0.9</x:v>
      </x:c>
      <x:c r="S1101" s="604" t="n">
        <x:f>IF(OR(Q1101="",Q1101="待结算"),"",IF(Q1101="红",R1101,IF(Q1101="半红",R1101*0.5,IF(Q1101="走",0,IF(Q1101="半黑",-0.5,-1)))))</x:f>
        <x:v>0.9</x:v>
      </x:c>
      <x:c r="T1101" s="604" t="inlineStr">
        <x:is>
          <x:t xml:space="preserve">https://m.titan007.com/analy/Analysis/3061580.htm</x:t>
        </x:is>
      </x:c>
      <x:c r="U1101" s="646" t="str">
        <x:f>IF(Q1101="","",IF(Q1101="待结算","待结算",IF(Q1101="红","黑",IF(Q1101="半红","半黑",IF(Q1101="走","走",IF(Q1101="半黑","半红","红"))))))</x:f>
        <x:v>黑</x:v>
      </x:c>
      <x:c r="V1101" s="604" t="n">
        <x:f>IF(OR(Q1101="",Q1101="待结算"),"",IF(L1101=LEFT(F1101,FIND(" vs ",F1101)-1),I1101,G1101))</x:f>
        <x:v>0.9</x:v>
      </x:c>
      <x:c r="W1101" s="604" t="n">
        <x:f>IF(OR(U1101="",U1101="待结算"),"",IF(U1101="红",V1101,IF(U1101="半红",V1101*0.5,IF(U1101="走",0,IF(U1101="半黑",-0.5,-1)))))</x:f>
        <x:v>-1</x:v>
      </x:c>
      <x:c r="X1101" s="604" t="inlineStr">
        <x:is>
          <x:t xml:space="preserve">3061580</x:t>
        </x:is>
      </x:c>
      <x:c r="Y1101" s="604" t="inlineStr">
        <x:is>
          <x:t xml:space="preserve">V4</x:t>
        </x:is>
      </x:c>
      <x:c r="Z1101" s="604" t="inlineStr">
        <x:is>
          <x:t xml:space="preserve">prior-2026-10-06-v1</x:t>
        </x:is>
      </x:c>
      <x:c r="AA1101" s="604" t="inlineStr">
        <x:is>
          <x:t xml:space="preserve">C</x:t>
        </x:is>
      </x:c>
      <x:c r="AB1101" s="604" t="n">
        <x:v>0.6297187995571061</x:v>
      </x:c>
      <x:c r="AC1101" s="604" t="n"/>
      <x:c r="AD1101" s="604" t="n"/>
      <x:c r="AE1101" s="604" t="n"/>
      <x:c r="AF1101" s="604" t="n">
        <x:v>0.3702812004428939</x:v>
      </x:c>
      <x:c r="AG1101" s="604" t="n">
        <x:v>0.1964657191585015</x:v>
      </x:c>
      <x:c r="AH1101" s="604" t="n"/>
      <x:c r="AI1101" s="604" t="n"/>
      <x:c r="AJ1101" s="604" t="n">
        <x:v>0.1964657191585015</x:v>
      </x:c>
      <x:c r="AK1101" s="604" t="n"/>
      <x:c r="AL1101" s="604" t="n"/>
      <x:c r="AM1101" s="604" t="n"/>
      <x:c r="AN1101" s="604" t="inlineStr">
        <x:is>
          <x:t xml:space="preserve">EVALUATED</x:t>
        </x:is>
      </x:c>
      <x:c r="AO1101" s="604" t="inlineStr">
        <x:is>
          <x:t xml:space="preserve">RECEIVING_VALIDATED_EDGE、BUCKET_PRIOR_ONLY、INTENT_INTERPRETATION_ONLY、FFL_OPTIONAL、EXPERT_MARKET</x:t>
        </x:is>
      </x:c>
      <x:c r="AP1101" s="604" t="inlineStr">
        <x:is>
          <x:t xml:space="preserve">d09ae95cd2ab03203d53</x:t>
        </x:is>
      </x:c>
      <x:c r="AQ1101" s="604" t="n">
        <x:v>3.5</x:v>
      </x:c>
      <x:c r="AR1101" s="604" t="n">
        <x:v>0.9</x:v>
      </x:c>
      <x:c r="AS1101" s="604" t="n">
        <x:v>3.5</x:v>
      </x:c>
      <x:c r="AT1101" s="604" t="n">
        <x:v>-3.5</x:v>
      </x:c>
      <x:c r="AU1101" s="604" t="n">
        <x:v>0.9</x:v>
      </x:c>
      <x:c r="AV1101" s="604" t="n">
        <x:v>0.9</x:v>
      </x:c>
      <x:c r="AW1101" s="604" t="n">
        <x:v>46301.03159395833</x:v>
      </x:c>
      <x:c r="AX1101" s="604" t="inlineStr">
        <x:is>
          <x:t xml:space="preserve">https://simondongxiao.github.io/odds/v4/</x:t>
        </x:is>
      </x:c>
      <x:c r="AY1101" s="604" t="inlineStr">
        <x:is>
          <x:t xml:space="preserve">V4 Shadow Only；real_money=false；P(EV&gt;0)不是比赛胜率</x:t>
        </x:is>
      </x:c>
    </x:row>
    <x:row r="1102" ht="22" customHeight="1">
      <x:c r="A1102" s="604" t="inlineStr">
        <x:is>
          <x:t xml:space="preserve">2026-10-06</x:t>
        </x:is>
      </x:c>
      <x:c r="B1102" s="604" t="inlineStr">
        <x:is>
          <x:t xml:space="preserve">2026-10-06 17:00</x:t>
        </x:is>
      </x:c>
      <x:c r="C1102" s="604" t="str">
        <x:v>日韩系列</x:v>
      </x:c>
      <x:c r="D1102" s="604" t="inlineStr">
        <x:is>
          <x:t xml:space="preserve">联赛</x:t>
        </x:is>
      </x:c>
      <x:c r="E1102" s="604" t="inlineStr">
        <x:is>
          <x:t xml:space="preserve">中乙降A</x:t>
        </x:is>
      </x:c>
      <x:c r="F1102" s="604" t="inlineStr">
        <x:is>
          <x:t xml:space="preserve">湖北青年星 vs 兰州陇原竞技</x:t>
        </x:is>
      </x:c>
      <x:c r="G1102" s="604" t="n">
        <x:v>0.75</x:v>
      </x:c>
      <x:c r="H1102" s="604" t="n">
        <x:v>-0.25</x:v>
      </x:c>
      <x:c r="I1102" s="604" t="n">
        <x:v>1.05</x:v>
      </x:c>
      <x:c r="J1102" s="604" t="inlineStr">
        <x:is>
          <x:t xml:space="preserve">0.75/-0.25/1.05</x:t>
        </x:is>
      </x:c>
      <x:c r="K1102" s="604" t="inlineStr">
        <x:is>
          <x:t xml:space="preserve">V4-B｜EV +0.1064</x:t>
        </x:is>
      </x:c>
      <x:c r="L1102" s="604" t="inlineStr">
        <x:is>
          <x:t xml:space="preserve">湖北青年星</x:t>
        </x:is>
      </x:c>
      <x:c r="M1102" s="604" t="n">
        <x:v>0.6414933891664942</x:v>
      </x:c>
      <x:c r="N1102" s="604" t="inlineStr">
        <x:is>
          <x:t xml:space="preserve">V4纸面入选-B</x:t>
        </x:is>
      </x:c>
      <x:c r="O1102" s="604" t="inlineStr">
        <x:is>
          <x:t xml:space="preserve">2-0</x:t>
        </x:is>
      </x:c>
      <x:c r="P1102" s="604" t="inlineStr">
        <x:is>
          <x:t xml:space="preserve">已结算</x:t>
        </x:is>
      </x:c>
      <x:c r="Q1102" s="645" t="inlineStr">
        <x:is>
          <x:t xml:space="preserve">红</x:t>
        </x:is>
      </x:c>
      <x:c r="R1102" s="604" t="n">
        <x:v>0.75</x:v>
      </x:c>
      <x:c r="S1102" s="604" t="n">
        <x:f>IF(OR(Q1102="",Q1102="待结算"),"",IF(Q1102="红",R1102,IF(Q1102="半红",R1102*0.5,IF(Q1102="走",0,IF(Q1102="半黑",-0.5,-1)))))</x:f>
        <x:v>0.75</x:v>
      </x:c>
      <x:c r="T1102" s="604" t="inlineStr">
        <x:is>
          <x:t xml:space="preserve">https://m.titan007.com/analy/Analysis/3087674.htm</x:t>
        </x:is>
      </x:c>
      <x:c r="U1102" s="646" t="str">
        <x:f>IF(Q1102="","",IF(Q1102="待结算","待结算",IF(Q1102="红","黑",IF(Q1102="半红","半黑",IF(Q1102="走","走",IF(Q1102="半黑","半红","红"))))))</x:f>
        <x:v>黑</x:v>
      </x:c>
      <x:c r="V1102" s="604" t="n">
        <x:f>IF(OR(Q1102="",Q1102="待结算"),"",IF(L1102=LEFT(F1102,FIND(" vs ",F1102)-1),I1102,G1102))</x:f>
        <x:v>1.05</x:v>
      </x:c>
      <x:c r="W1102" s="604" t="n">
        <x:f>IF(OR(U1102="",U1102="待结算"),"",IF(U1102="红",V1102,IF(U1102="半红",V1102*0.5,IF(U1102="走",0,IF(U1102="半黑",-0.5,-1)))))</x:f>
        <x:v>-1</x:v>
      </x:c>
      <x:c r="X1102" s="604" t="inlineStr">
        <x:is>
          <x:t xml:space="preserve">3087674</x:t>
        </x:is>
      </x:c>
      <x:c r="Y1102" s="604" t="inlineStr">
        <x:is>
          <x:t xml:space="preserve">V4</x:t>
        </x:is>
      </x:c>
      <x:c r="Z1102" s="604" t="inlineStr">
        <x:is>
          <x:t xml:space="preserve">prior-2026-10-06-v1</x:t>
        </x:is>
      </x:c>
      <x:c r="AA1102" s="604" t="inlineStr">
        <x:is>
          <x:t xml:space="preserve">B</x:t>
        </x:is>
      </x:c>
      <x:c r="AB1102" s="604" t="n">
        <x:v>0.423799229906438</x:v>
      </x:c>
      <x:c r="AC1102" s="604" t="n">
        <x:v>0.2652391544148654</x:v>
      </x:c>
      <x:c r="AD1102" s="604" t="n"/>
      <x:c r="AE1102" s="604" t="n"/>
      <x:c r="AF1102" s="604" t="n">
        <x:v>0.3109616156786966</x:v>
      </x:c>
      <x:c r="AG1102" s="604" t="n">
        <x:v>0.1063524896567064</x:v>
      </x:c>
      <x:c r="AH1102" s="604" t="n"/>
      <x:c r="AI1102" s="604" t="n"/>
      <x:c r="AJ1102" s="604" t="n">
        <x:v>0.1063524896567064</x:v>
      </x:c>
      <x:c r="AK1102" s="604" t="n"/>
      <x:c r="AL1102" s="604" t="n"/>
      <x:c r="AM1102" s="604" t="n"/>
      <x:c r="AN1102" s="604" t="inlineStr">
        <x:is>
          <x:t xml:space="preserve">EVALUATED</x:t>
        </x:is>
      </x:c>
      <x:c r="AO1102" s="604" t="inlineStr">
        <x:is>
          <x:t xml:space="preserve">RECEIVING_VALIDATED_EDGE、BUCKET_PRIOR_ONLY、INTENT_INTERPRETATION_ONLY、FFL_OPTIONAL、EXPERT_MARKET</x:t>
        </x:is>
      </x:c>
      <x:c r="AP1102" s="604" t="inlineStr">
        <x:is>
          <x:t xml:space="preserve">3137f9e35c15ba41ff7d</x:t>
        </x:is>
      </x:c>
      <x:c r="AQ1102" s="604" t="n">
        <x:v>0.25</x:v>
      </x:c>
      <x:c r="AR1102" s="604" t="n">
        <x:v>0.75</x:v>
      </x:c>
      <x:c r="AS1102" s="604" t="n">
        <x:v>-0.25</x:v>
      </x:c>
      <x:c r="AT1102" s="604" t="n">
        <x:v>0.25</x:v>
      </x:c>
      <x:c r="AU1102" s="604" t="n">
        <x:v>0.75</x:v>
      </x:c>
      <x:c r="AV1102" s="604" t="n">
        <x:v>1.05</x:v>
      </x:c>
      <x:c r="AW1102" s="604" t="n">
        <x:v>46301.03159395833</x:v>
      </x:c>
      <x:c r="AX1102" s="604" t="inlineStr">
        <x:is>
          <x:t xml:space="preserve">https://simondongxiao.github.io/odds/v4/</x:t>
        </x:is>
      </x:c>
      <x:c r="AY1102" s="604" t="inlineStr">
        <x:is>
          <x:t xml:space="preserve">V4 Shadow Only；real_money=false；P(EV&gt;0)不是比赛胜率</x:t>
        </x:is>
      </x:c>
    </x:row>
    <x:row r="1103" ht="22" customHeight="1">
      <x:c r="A1103" s="604" t="inlineStr">
        <x:is>
          <x:t xml:space="preserve">2026-10-06</x:t>
        </x:is>
      </x:c>
      <x:c r="B1103" s="604" t="inlineStr">
        <x:is>
          <x:t xml:space="preserve">2026-10-06 17:00</x:t>
        </x:is>
      </x:c>
      <x:c r="C1103" s="604" t="str">
        <x:v>欧洲非五大系列</x:v>
      </x:c>
      <x:c r="D1103" s="604" t="inlineStr">
        <x:is>
          <x:t xml:space="preserve">联赛</x:t>
        </x:is>
      </x:c>
      <x:c r="E1103" s="604" t="inlineStr">
        <x:is>
          <x:t xml:space="preserve">加尔联</x:t>
        </x:is>
      </x:c>
      <x:c r="F1103" s="604" t="inlineStr">
        <x:is>
          <x:t xml:space="preserve">乌塔拉帕利 MS vs 航空娱乐俱乐部</x:t>
        </x:is>
      </x:c>
      <x:c r="G1103" s="604" t="n">
        <x:v>0.85</x:v>
      </x:c>
      <x:c r="H1103" s="604" t="n">
        <x:v>0.75</x:v>
      </x:c>
      <x:c r="I1103" s="604" t="n">
        <x:v>0.95</x:v>
      </x:c>
      <x:c r="J1103" s="604" t="inlineStr">
        <x:is>
          <x:t xml:space="preserve">0.85/0.75/0.95</x:t>
        </x:is>
      </x:c>
      <x:c r="K1103" s="604" t="inlineStr">
        <x:is>
          <x:t xml:space="preserve">V4-C｜EV +0.1150</x:t>
        </x:is>
      </x:c>
      <x:c r="L1103" s="604" t="inlineStr">
        <x:is>
          <x:t xml:space="preserve">乌塔拉帕利 MS</x:t>
        </x:is>
      </x:c>
      <x:c r="M1103" s="604" t="n">
        <x:v>0.6118988778443231</x:v>
      </x:c>
      <x:c r="N1103" s="604" t="inlineStr">
        <x:is>
          <x:t xml:space="preserve">V4纸面入选-C</x:t>
        </x:is>
      </x:c>
      <x:c r="O1103" s="604" t="inlineStr">
        <x:is>
          <x:t xml:space="preserve">0-0</x:t>
        </x:is>
      </x:c>
      <x:c r="P1103" s="604" t="inlineStr">
        <x:is>
          <x:t xml:space="preserve">已结算</x:t>
        </x:is>
      </x:c>
      <x:c r="Q1103" s="646" t="inlineStr">
        <x:is>
          <x:t xml:space="preserve">黑</x:t>
        </x:is>
      </x:c>
      <x:c r="R1103" s="604" t="n">
        <x:v>0.85</x:v>
      </x:c>
      <x:c r="S1103" s="604" t="n">
        <x:f>IF(OR(Q1103="",Q1103="待结算"),"",IF(Q1103="红",R1103,IF(Q1103="半红",R1103*0.5,IF(Q1103="走",0,IF(Q1103="半黑",-0.5,-1)))))</x:f>
        <x:v>-1</x:v>
      </x:c>
      <x:c r="T1103" s="604" t="inlineStr">
        <x:is>
          <x:t xml:space="preserve">https://m.titan007.com/analy/Analysis/3099031.htm</x:t>
        </x:is>
      </x:c>
      <x:c r="U1103" s="645" t="str">
        <x:f>IF(Q1103="","",IF(Q1103="待结算","待结算",IF(Q1103="红","黑",IF(Q1103="半红","半黑",IF(Q1103="走","走",IF(Q1103="半黑","半红","红"))))))</x:f>
        <x:v>红</x:v>
      </x:c>
      <x:c r="V1103" s="604" t="n">
        <x:f>IF(OR(Q1103="",Q1103="待结算"),"",IF(L1103=LEFT(F1103,FIND(" vs ",F1103)-1),I1103,G1103))</x:f>
        <x:v>0.95</x:v>
      </x:c>
      <x:c r="W1103" s="604" t="n">
        <x:f>IF(OR(U1103="",U1103="待结算"),"",IF(U1103="红",V1103,IF(U1103="半红",V1103*0.5,IF(U1103="走",0,IF(U1103="半黑",-0.5,-1)))))</x:f>
        <x:v>0.95</x:v>
      </x:c>
      <x:c r="X1103" s="604" t="inlineStr">
        <x:is>
          <x:t xml:space="preserve">3099031</x:t>
        </x:is>
      </x:c>
      <x:c r="Y1103" s="604" t="inlineStr">
        <x:is>
          <x:t xml:space="preserve">V4</x:t>
        </x:is>
      </x:c>
      <x:c r="Z1103" s="604" t="inlineStr">
        <x:is>
          <x:t xml:space="preserve">prior-2026-10-06-v1</x:t>
        </x:is>
      </x:c>
      <x:c r="AA1103" s="604" t="inlineStr">
        <x:is>
          <x:t xml:space="preserve">C</x:t>
        </x:is>
      </x:c>
      <x:c r="AB1103" s="604" t="n">
        <x:v>0.4042678240997145</x:v>
      </x:c>
      <x:c r="AC1103" s="604" t="n">
        <x:v>0.2576229273418001</x:v>
      </x:c>
      <x:c r="AD1103" s="604" t="n"/>
      <x:c r="AE1103" s="604" t="n"/>
      <x:c r="AF1103" s="604" t="n">
        <x:v>0.3381092485584855</x:v>
      </x:c>
      <x:c r="AG1103" s="604" t="n">
        <x:v>0.1150081460465369</x:v>
      </x:c>
      <x:c r="AH1103" s="604" t="n"/>
      <x:c r="AI1103" s="604" t="n"/>
      <x:c r="AJ1103" s="604" t="n">
        <x:v>0.1150081460465369</x:v>
      </x:c>
      <x:c r="AK1103" s="604" t="n"/>
      <x:c r="AL1103" s="604" t="n"/>
      <x:c r="AM1103" s="604" t="n"/>
      <x:c r="AN1103" s="604" t="inlineStr">
        <x:is>
          <x:t xml:space="preserve">EVALUATED</x:t>
        </x:is>
      </x:c>
      <x:c r="AO1103" s="604" t="inlineStr">
        <x:is>
          <x:t xml:space="preserve">GIVING_VALIDATED_EDGE、BUCKET_PRIOR_ONLY、INTENT_INTERPRETATION_ONLY、FFL_OPTIONAL、EXPERT_MARKET</x:t>
        </x:is>
      </x:c>
      <x:c r="AP1103" s="604" t="inlineStr">
        <x:is>
          <x:t xml:space="preserve">d8b5a0f220d4a20c079f</x:t>
        </x:is>
      </x:c>
      <x:c r="AQ1103" s="604" t="n">
        <x:v>-0.75</x:v>
      </x:c>
      <x:c r="AR1103" s="604" t="n">
        <x:v>0.85</x:v>
      </x:c>
      <x:c r="AS1103" s="604" t="n">
        <x:v>0.75</x:v>
      </x:c>
      <x:c r="AT1103" s="604" t="n">
        <x:v>-0.75</x:v>
      </x:c>
      <x:c r="AU1103" s="604" t="n">
        <x:v>0.85</x:v>
      </x:c>
      <x:c r="AV1103" s="604" t="n">
        <x:v>0.95</x:v>
      </x:c>
      <x:c r="AW1103" s="604" t="n">
        <x:v>46301.03159395833</x:v>
      </x:c>
      <x:c r="AX1103" s="604" t="inlineStr">
        <x:is>
          <x:t xml:space="preserve">https://simondongxiao.github.io/odds/v4/</x:t>
        </x:is>
      </x:c>
      <x:c r="AY1103" s="604" t="inlineStr">
        <x:is>
          <x:t xml:space="preserve">V4 Shadow Only；real_money=false；P(EV&gt;0)不是比赛胜率</x:t>
        </x:is>
      </x:c>
    </x:row>
    <x:row r="1104" ht="22" customHeight="1">
      <x:c r="A1104" s="604" t="inlineStr">
        <x:is>
          <x:t xml:space="preserve">2026-10-06</x:t>
        </x:is>
      </x:c>
      <x:c r="B1104" s="604" t="inlineStr">
        <x:is>
          <x:t xml:space="preserve">2026-10-06 17:00</x:t>
        </x:is>
      </x:c>
      <x:c r="C1104" s="604" t="str">
        <x:v>欧洲非五大系列</x:v>
      </x:c>
      <x:c r="D1104" s="604" t="inlineStr">
        <x:is>
          <x:t xml:space="preserve">联赛</x:t>
        </x:is>
      </x:c>
      <x:c r="E1104" s="604" t="inlineStr">
        <x:is>
          <x:t xml:space="preserve">加尔联</x:t>
        </x:is>
      </x:c>
      <x:c r="F1104" s="604" t="inlineStr">
        <x:is>
          <x:t xml:space="preserve">拉贾斯坦 vs 达尔豪斯</x:t>
        </x:is>
      </x:c>
      <x:c r="G1104" s="604" t="n">
        <x:v>0.8</x:v>
      </x:c>
      <x:c r="H1104" s="604" t="n">
        <x:v>-1</x:v>
      </x:c>
      <x:c r="I1104" s="604" t="n">
        <x:v>1</x:v>
      </x:c>
      <x:c r="J1104" s="604" t="inlineStr">
        <x:is>
          <x:t xml:space="preserve">0.8/-1/1</x:t>
        </x:is>
      </x:c>
      <x:c r="K1104" s="604" t="inlineStr">
        <x:is>
          <x:t xml:space="preserve">V4-C｜EV +0.6830</x:t>
        </x:is>
      </x:c>
      <x:c r="L1104" s="604" t="inlineStr">
        <x:is>
          <x:t xml:space="preserve">拉贾斯坦</x:t>
        </x:is>
      </x:c>
      <x:c r="M1104" s="604" t="n">
        <x:v>0.9695632355333984</x:v>
      </x:c>
      <x:c r="N1104" s="604" t="inlineStr">
        <x:is>
          <x:t xml:space="preserve">V4纸面入选-C</x:t>
        </x:is>
      </x:c>
      <x:c r="O1104" s="604" t="inlineStr">
        <x:is>
          <x:t xml:space="preserve">2-0</x:t>
        </x:is>
      </x:c>
      <x:c r="P1104" s="604" t="inlineStr">
        <x:is>
          <x:t xml:space="preserve">已结算</x:t>
        </x:is>
      </x:c>
      <x:c r="Q1104" s="645" t="inlineStr">
        <x:is>
          <x:t xml:space="preserve">红</x:t>
        </x:is>
      </x:c>
      <x:c r="R1104" s="604" t="n">
        <x:v>0.8</x:v>
      </x:c>
      <x:c r="S1104" s="604" t="n">
        <x:f>IF(OR(Q1104="",Q1104="待结算"),"",IF(Q1104="红",R1104,IF(Q1104="半红",R1104*0.5,IF(Q1104="走",0,IF(Q1104="半黑",-0.5,-1)))))</x:f>
        <x:v>0.8</x:v>
      </x:c>
      <x:c r="T1104" s="604" t="inlineStr">
        <x:is>
          <x:t xml:space="preserve">https://m.titan007.com/analy/Analysis/3099032.htm</x:t>
        </x:is>
      </x:c>
      <x:c r="U1104" s="646" t="str">
        <x:f>IF(Q1104="","",IF(Q1104="待结算","待结算",IF(Q1104="红","黑",IF(Q1104="半红","半黑",IF(Q1104="走","走",IF(Q1104="半黑","半红","红"))))))</x:f>
        <x:v>黑</x:v>
      </x:c>
      <x:c r="V1104" s="604" t="n">
        <x:f>IF(OR(Q1104="",Q1104="待结算"),"",IF(L1104=LEFT(F1104,FIND(" vs ",F1104)-1),I1104,G1104))</x:f>
        <x:v>1</x:v>
      </x:c>
      <x:c r="W1104" s="604" t="n">
        <x:f>IF(OR(U1104="",U1104="待结算"),"",IF(U1104="红",V1104,IF(U1104="半红",V1104*0.5,IF(U1104="走",0,IF(U1104="半黑",-0.5,-1)))))</x:f>
        <x:v>-1</x:v>
      </x:c>
      <x:c r="X1104" s="604" t="inlineStr">
        <x:is>
          <x:t xml:space="preserve">3099032</x:t>
        </x:is>
      </x:c>
      <x:c r="Y1104" s="604" t="inlineStr">
        <x:is>
          <x:t xml:space="preserve">V4</x:t>
        </x:is>
      </x:c>
      <x:c r="Z1104" s="604" t="inlineStr">
        <x:is>
          <x:t xml:space="preserve">prior-2026-10-06-v1</x:t>
        </x:is>
      </x:c>
      <x:c r="AA1104" s="604" t="inlineStr">
        <x:is>
          <x:t xml:space="preserve">C</x:t>
        </x:is>
      </x:c>
      <x:c r="AB1104" s="604" t="n">
        <x:v>0.8886575506955571</x:v>
      </x:c>
      <x:c r="AC1104" s="604" t="n"/>
      <x:c r="AD1104" s="604" t="n">
        <x:v>0.08344549573739948</x:v>
      </x:c>
      <x:c r="AE1104" s="604" t="n"/>
      <x:c r="AF1104" s="604" t="n">
        <x:v>0.02789695356704353</x:v>
      </x:c>
      <x:c r="AG1104" s="604" t="n">
        <x:v>0.6830290869894022</x:v>
      </x:c>
      <x:c r="AH1104" s="604" t="n"/>
      <x:c r="AI1104" s="604" t="n"/>
      <x:c r="AJ1104" s="604" t="n">
        <x:v>0.6830290869894022</x:v>
      </x:c>
      <x:c r="AK1104" s="604" t="n"/>
      <x:c r="AL1104" s="604" t="n"/>
      <x:c r="AM1104" s="604" t="n"/>
      <x:c r="AN1104" s="604" t="inlineStr">
        <x:is>
          <x:t xml:space="preserve">EVALUATED</x:t>
        </x:is>
      </x:c>
      <x:c r="AO1104" s="604" t="inlineStr">
        <x:is>
          <x:t xml:space="preserve">RECEIVING_VALIDATED_EDGE、BUCKET_PRIOR_ONLY、INTENT_INTERPRETATION_ONLY、FFL_OPTIONAL、EXPERT_MARKET</x:t>
        </x:is>
      </x:c>
      <x:c r="AP1104" s="604" t="inlineStr">
        <x:is>
          <x:t xml:space="preserve">2bb2df390c1ac9a15971</x:t>
        </x:is>
      </x:c>
      <x:c r="AQ1104" s="604" t="n">
        <x:v>1</x:v>
      </x:c>
      <x:c r="AR1104" s="604" t="n">
        <x:v>0.8</x:v>
      </x:c>
      <x:c r="AS1104" s="604" t="n">
        <x:v>-1</x:v>
      </x:c>
      <x:c r="AT1104" s="604" t="n">
        <x:v>1</x:v>
      </x:c>
      <x:c r="AU1104" s="604" t="n">
        <x:v>0.8</x:v>
      </x:c>
      <x:c r="AV1104" s="604" t="n">
        <x:v>1</x:v>
      </x:c>
      <x:c r="AW1104" s="604" t="n">
        <x:v>46301.03159395833</x:v>
      </x:c>
      <x:c r="AX1104" s="604" t="inlineStr">
        <x:is>
          <x:t xml:space="preserve">https://simondongxiao.github.io/odds/v4/</x:t>
        </x:is>
      </x:c>
      <x:c r="AY1104" s="604" t="inlineStr">
        <x:is>
          <x:t xml:space="preserve">V4 Shadow Only；real_money=false；P(EV&gt;0)不是比赛胜率</x:t>
        </x:is>
      </x:c>
    </x:row>
    <x:row r="1105" ht="22" customHeight="1">
      <x:c r="A1105" s="604" t="inlineStr">
        <x:is>
          <x:t xml:space="preserve">2026-10-06</x:t>
        </x:is>
      </x:c>
      <x:c r="B1105" s="604" t="inlineStr">
        <x:is>
          <x:t xml:space="preserve">2026-10-06 17:00</x:t>
        </x:is>
      </x:c>
      <x:c r="C1105" s="604" t="str">
        <x:v>欧洲非五大系列</x:v>
      </x:c>
      <x:c r="D1105" s="604" t="inlineStr">
        <x:is>
          <x:t xml:space="preserve">联赛</x:t>
        </x:is>
      </x:c>
      <x:c r="E1105" s="604" t="inlineStr">
        <x:is>
          <x:t xml:space="preserve">加尔联</x:t>
        </x:is>
      </x:c>
      <x:c r="F1105" s="604" t="inlineStr">
        <x:is>
          <x:t xml:space="preserve">亚当斯联合SA队 vs 警察AC</x:t>
        </x:is>
      </x:c>
      <x:c r="G1105" s="604" t="n">
        <x:v>0.98</x:v>
      </x:c>
      <x:c r="H1105" s="604" t="n">
        <x:v>1.25</x:v>
      </x:c>
      <x:c r="I1105" s="604" t="n">
        <x:v>0.83</x:v>
      </x:c>
      <x:c r="J1105" s="604" t="inlineStr">
        <x:is>
          <x:t xml:space="preserve">0.98/1.25/0.83</x:t>
        </x:is>
      </x:c>
      <x:c r="K1105" s="604" t="inlineStr">
        <x:is>
          <x:t xml:space="preserve">V4-C｜EV +0.2090</x:t>
        </x:is>
      </x:c>
      <x:c r="L1105" s="604" t="inlineStr">
        <x:is>
          <x:t xml:space="preserve">亚当斯联合SA队</x:t>
        </x:is>
      </x:c>
      <x:c r="M1105" s="604" t="n">
        <x:v>0.6252500863649872</x:v>
      </x:c>
      <x:c r="N1105" s="604" t="inlineStr">
        <x:is>
          <x:t xml:space="preserve">V4纸面入选-C</x:t>
        </x:is>
      </x:c>
      <x:c r="O1105" s="604" t="inlineStr">
        <x:is>
          <x:t xml:space="preserve">1-1</x:t>
        </x:is>
      </x:c>
      <x:c r="P1105" s="604" t="inlineStr">
        <x:is>
          <x:t xml:space="preserve">已结算</x:t>
        </x:is>
      </x:c>
      <x:c r="Q1105" s="646" t="inlineStr">
        <x:is>
          <x:t xml:space="preserve">黑</x:t>
        </x:is>
      </x:c>
      <x:c r="R1105" s="604" t="n">
        <x:v>0.98</x:v>
      </x:c>
      <x:c r="S1105" s="604" t="n">
        <x:f>IF(OR(Q1105="",Q1105="待结算"),"",IF(Q1105="红",R1105,IF(Q1105="半红",R1105*0.5,IF(Q1105="走",0,IF(Q1105="半黑",-0.5,-1)))))</x:f>
        <x:v>-1</x:v>
      </x:c>
      <x:c r="T1105" s="604" t="inlineStr">
        <x:is>
          <x:t xml:space="preserve">https://m.titan007.com/analy/Analysis/3099033.htm</x:t>
        </x:is>
      </x:c>
      <x:c r="U1105" s="645" t="str">
        <x:f>IF(Q1105="","",IF(Q1105="待结算","待结算",IF(Q1105="红","黑",IF(Q1105="半红","半黑",IF(Q1105="走","走",IF(Q1105="半黑","半红","红"))))))</x:f>
        <x:v>红</x:v>
      </x:c>
      <x:c r="V1105" s="604" t="n">
        <x:f>IF(OR(Q1105="",Q1105="待结算"),"",IF(L1105=LEFT(F1105,FIND(" vs ",F1105)-1),I1105,G1105))</x:f>
        <x:v>0.83</x:v>
      </x:c>
      <x:c r="W1105" s="604" t="n">
        <x:f>IF(OR(U1105="",U1105="待结算"),"",IF(U1105="红",V1105,IF(U1105="半红",V1105*0.5,IF(U1105="走",0,IF(U1105="半黑",-0.5,-1)))))</x:f>
        <x:v>0.83</x:v>
      </x:c>
      <x:c r="X1105" s="604" t="inlineStr">
        <x:is>
          <x:t xml:space="preserve">3099033</x:t>
        </x:is>
      </x:c>
      <x:c r="Y1105" s="604" t="inlineStr">
        <x:is>
          <x:t xml:space="preserve">V4</x:t>
        </x:is>
      </x:c>
      <x:c r="Z1105" s="604" t="inlineStr">
        <x:is>
          <x:t xml:space="preserve">prior-2026-10-06-v1</x:t>
        </x:is>
      </x:c>
      <x:c r="AA1105" s="604" t="inlineStr">
        <x:is>
          <x:t xml:space="preserve">C</x:t>
        </x:is>
      </x:c>
      <x:c r="AB1105" s="604" t="n">
        <x:v>0.5491600550177687</x:v>
      </x:c>
      <x:c r="AC1105" s="604" t="n"/>
      <x:c r="AD1105" s="604" t="n"/>
      <x:c r="AE1105" s="604" t="n">
        <x:v>0.243390710394245</x:v>
      </x:c>
      <x:c r="AF1105" s="604" t="n">
        <x:v>0.2074492345879863</x:v>
      </x:c>
      <x:c r="AG1105" s="604" t="n">
        <x:v>0.2090322641323045</x:v>
      </x:c>
      <x:c r="AH1105" s="604" t="n"/>
      <x:c r="AI1105" s="604" t="n"/>
      <x:c r="AJ1105" s="604" t="n">
        <x:v>0.2090322641323045</x:v>
      </x:c>
      <x:c r="AK1105" s="604" t="n"/>
      <x:c r="AL1105" s="604" t="n"/>
      <x:c r="AM1105" s="604" t="n"/>
      <x:c r="AN1105" s="604" t="inlineStr">
        <x:is>
          <x:t xml:space="preserve">EVALUATED</x:t>
        </x:is>
      </x:c>
      <x:c r="AO1105" s="604" t="inlineStr">
        <x:is>
          <x:t xml:space="preserve">GIVING_VALIDATED_EDGE、BUCKET_PRIOR_ONLY、INTENT_INTERPRETATION_ONLY、FFL_OPTIONAL、EXPERT_MARKET</x:t>
        </x:is>
      </x:c>
      <x:c r="AP1105" s="604" t="inlineStr">
        <x:is>
          <x:t xml:space="preserve">ca524003b13b6813e1c7</x:t>
        </x:is>
      </x:c>
      <x:c r="AQ1105" s="604" t="n">
        <x:v>-1.25</x:v>
      </x:c>
      <x:c r="AR1105" s="604" t="n">
        <x:v>0.98</x:v>
      </x:c>
      <x:c r="AS1105" s="604" t="n">
        <x:v>1.25</x:v>
      </x:c>
      <x:c r="AT1105" s="604" t="n">
        <x:v>-1.25</x:v>
      </x:c>
      <x:c r="AU1105" s="604" t="n">
        <x:v>0.98</x:v>
      </x:c>
      <x:c r="AV1105" s="604" t="n">
        <x:v>0.83</x:v>
      </x:c>
      <x:c r="AW1105" s="604" t="n">
        <x:v>46301.03159395833</x:v>
      </x:c>
      <x:c r="AX1105" s="604" t="inlineStr">
        <x:is>
          <x:t xml:space="preserve">https://simondongxiao.github.io/odds/v4/</x:t>
        </x:is>
      </x:c>
      <x:c r="AY1105" s="604" t="inlineStr">
        <x:is>
          <x:t xml:space="preserve">V4 Shadow Only；real_money=false；P(EV&gt;0)不是比赛胜率</x:t>
        </x:is>
      </x:c>
    </x:row>
    <x:row r="1106" ht="22" customHeight="1">
      <x:c r="A1106" s="604" t="inlineStr">
        <x:is>
          <x:t xml:space="preserve">2026-10-06</x:t>
        </x:is>
      </x:c>
      <x:c r="B1106" s="604" t="inlineStr">
        <x:is>
          <x:t xml:space="preserve">2026-10-06 17:00</x:t>
        </x:is>
      </x:c>
      <x:c r="C1106" s="604" t="str">
        <x:v>欧洲非五大系列</x:v>
      </x:c>
      <x:c r="D1106" s="604" t="inlineStr">
        <x:is>
          <x:t xml:space="preserve">联赛</x:t>
        </x:is>
      </x:c>
      <x:c r="E1106" s="604" t="inlineStr">
        <x:is>
          <x:t xml:space="preserve">加尔联</x:t>
        </x:is>
      </x:c>
      <x:c r="F1106" s="604" t="inlineStr">
        <x:is>
          <x:t xml:space="preserve">维多利亚SC vs 英海军</x:t>
        </x:is>
      </x:c>
      <x:c r="G1106" s="604" t="n">
        <x:v>0.9</x:v>
      </x:c>
      <x:c r="H1106" s="604" t="n">
        <x:v>-1.75</x:v>
      </x:c>
      <x:c r="I1106" s="604" t="n">
        <x:v>0.9</x:v>
      </x:c>
      <x:c r="J1106" s="604" t="inlineStr">
        <x:is>
          <x:t xml:space="preserve">0.9/-1.75/0.9</x:t>
        </x:is>
      </x:c>
      <x:c r="K1106" s="604" t="inlineStr">
        <x:is>
          <x:t xml:space="preserve">V4-C｜EV +0.8985</x:t>
        </x:is>
      </x:c>
      <x:c r="L1106" s="604" t="inlineStr">
        <x:is>
          <x:t xml:space="preserve">维多利亚SC</x:t>
        </x:is>
      </x:c>
      <x:c r="M1106" s="604" t="n">
        <x:v>0.9994528909510019</x:v>
      </x:c>
      <x:c r="N1106" s="604" t="inlineStr">
        <x:is>
          <x:t xml:space="preserve">V4纸面入选-C</x:t>
        </x:is>
      </x:c>
      <x:c r="O1106" s="604" t="inlineStr">
        <x:is>
          <x:t xml:space="preserve">0-1</x:t>
        </x:is>
      </x:c>
      <x:c r="P1106" s="604" t="inlineStr">
        <x:is>
          <x:t xml:space="preserve">已结算</x:t>
        </x:is>
      </x:c>
      <x:c r="Q1106" s="645" t="inlineStr">
        <x:is>
          <x:t xml:space="preserve">红</x:t>
        </x:is>
      </x:c>
      <x:c r="R1106" s="604" t="n">
        <x:v>0.9</x:v>
      </x:c>
      <x:c r="S1106" s="604" t="n">
        <x:f>IF(OR(Q1106="",Q1106="待结算"),"",IF(Q1106="红",R1106,IF(Q1106="半红",R1106*0.5,IF(Q1106="走",0,IF(Q1106="半黑",-0.5,-1)))))</x:f>
        <x:v>0.9</x:v>
      </x:c>
      <x:c r="T1106" s="604" t="inlineStr">
        <x:is>
          <x:t xml:space="preserve">https://m.titan007.com/analy/Analysis/3099092.htm</x:t>
        </x:is>
      </x:c>
      <x:c r="U1106" s="646" t="str">
        <x:f>IF(Q1106="","",IF(Q1106="待结算","待结算",IF(Q1106="红","黑",IF(Q1106="半红","半黑",IF(Q1106="走","走",IF(Q1106="半黑","半红","红"))))))</x:f>
        <x:v>黑</x:v>
      </x:c>
      <x:c r="V1106" s="604" t="n">
        <x:f>IF(OR(Q1106="",Q1106="待结算"),"",IF(L1106=LEFT(F1106,FIND(" vs ",F1106)-1),I1106,G1106))</x:f>
        <x:v>0.9</x:v>
      </x:c>
      <x:c r="W1106" s="604" t="n">
        <x:f>IF(OR(U1106="",U1106="待结算"),"",IF(U1106="红",V1106,IF(U1106="半红",V1106*0.5,IF(U1106="走",0,IF(U1106="半黑",-0.5,-1)))))</x:f>
        <x:v>-1</x:v>
      </x:c>
      <x:c r="X1106" s="604" t="inlineStr">
        <x:is>
          <x:t xml:space="preserve">3099092</x:t>
        </x:is>
      </x:c>
      <x:c r="Y1106" s="604" t="inlineStr">
        <x:is>
          <x:t xml:space="preserve">V4</x:t>
        </x:is>
      </x:c>
      <x:c r="Z1106" s="604" t="inlineStr">
        <x:is>
          <x:t xml:space="preserve">prior-2026-10-06-v1</x:t>
        </x:is>
      </x:c>
      <x:c r="AA1106" s="604" t="inlineStr">
        <x:is>
          <x:t xml:space="preserve">C</x:t>
        </x:is>
      </x:c>
      <x:c r="AB1106" s="604" t="n">
        <x:v>0.9989593682602167</x:v>
      </x:c>
      <x:c r="AC1106" s="604" t="n"/>
      <x:c r="AD1106" s="604" t="n"/>
      <x:c r="AE1106" s="604" t="n">
        <x:v>0.0009875856986427424</x:v>
      </x:c>
      <x:c r="AF1106" s="604" t="n">
        <x:v>5.304604114051047e-05</x:v>
      </x:c>
      <x:c r="AG1106" s="604" t="n">
        <x:v>0.8985165925437332</x:v>
      </x:c>
      <x:c r="AH1106" s="604" t="n"/>
      <x:c r="AI1106" s="604" t="n"/>
      <x:c r="AJ1106" s="604" t="n">
        <x:v>0.8985165925437332</x:v>
      </x:c>
      <x:c r="AK1106" s="604" t="n"/>
      <x:c r="AL1106" s="604" t="n"/>
      <x:c r="AM1106" s="604" t="n"/>
      <x:c r="AN1106" s="604" t="inlineStr">
        <x:is>
          <x:t xml:space="preserve">EVALUATED</x:t>
        </x:is>
      </x:c>
      <x:c r="AO1106" s="604" t="inlineStr">
        <x:is>
          <x:t xml:space="preserve">RECEIVING_VALIDATED_EDGE、BUCKET_PRIOR_ONLY、INTENT_INTERPRETATION_ONLY、FFL_OPTIONAL、EXPERT_MARKET</x:t>
        </x:is>
      </x:c>
      <x:c r="AP1106" s="604" t="inlineStr">
        <x:is>
          <x:t xml:space="preserve">691b97f5391004f53916</x:t>
        </x:is>
      </x:c>
      <x:c r="AQ1106" s="604" t="n">
        <x:v>1.75</x:v>
      </x:c>
      <x:c r="AR1106" s="604" t="n">
        <x:v>0.9</x:v>
      </x:c>
      <x:c r="AS1106" s="604" t="n">
        <x:v>-1.75</x:v>
      </x:c>
      <x:c r="AT1106" s="604" t="n">
        <x:v>1.75</x:v>
      </x:c>
      <x:c r="AU1106" s="604" t="n">
        <x:v>0.9</x:v>
      </x:c>
      <x:c r="AV1106" s="604" t="n">
        <x:v>0.9</x:v>
      </x:c>
      <x:c r="AW1106" s="604" t="n">
        <x:v>46301.03159395833</x:v>
      </x:c>
      <x:c r="AX1106" s="604" t="inlineStr">
        <x:is>
          <x:t xml:space="preserve">https://simondongxiao.github.io/odds/v4/</x:t>
        </x:is>
      </x:c>
      <x:c r="AY1106" s="604" t="inlineStr">
        <x:is>
          <x:t xml:space="preserve">V4 Shadow Only；real_money=false；P(EV&gt;0)不是比赛胜率</x:t>
        </x:is>
      </x:c>
    </x:row>
    <x:row r="1107" ht="22" customHeight="1">
      <x:c r="A1107" s="604" t="inlineStr">
        <x:is>
          <x:t xml:space="preserve">2026-10-06</x:t>
        </x:is>
      </x:c>
      <x:c r="B1107" s="604" t="inlineStr">
        <x:is>
          <x:t xml:space="preserve">2026-10-06 17:00</x:t>
        </x:is>
      </x:c>
      <x:c r="C1107" s="604" t="str">
        <x:v>其他系列</x:v>
      </x:c>
      <x:c r="D1107" s="604" t="inlineStr">
        <x:is>
          <x:t xml:space="preserve">杯赛</x:t>
        </x:is>
      </x:c>
      <x:c r="E1107" s="604" t="inlineStr">
        <x:is>
          <x:t xml:space="preserve">孟加拉杯</x:t>
        </x:is>
      </x:c>
      <x:c r="F1107" s="604" t="inlineStr">
        <x:is>
          <x:t xml:space="preserve">达卡流浪者 vs 巴斯顺达拉国王</x:t>
        </x:is>
      </x:c>
      <x:c r="G1107" s="604" t="n">
        <x:v>0.85</x:v>
      </x:c>
      <x:c r="H1107" s="604" t="n">
        <x:v>-2.75</x:v>
      </x:c>
      <x:c r="I1107" s="604" t="n">
        <x:v>0.95</x:v>
      </x:c>
      <x:c r="J1107" s="604" t="inlineStr">
        <x:is>
          <x:t xml:space="preserve">0.85/-2.75/0.95</x:t>
        </x:is>
      </x:c>
      <x:c r="K1107" s="604" t="inlineStr">
        <x:is>
          <x:t xml:space="preserve">V4-B｜EV +0.8500</x:t>
        </x:is>
      </x:c>
      <x:c r="L1107" s="604" t="inlineStr">
        <x:is>
          <x:t xml:space="preserve">达卡流浪者</x:t>
        </x:is>
      </x:c>
      <x:c r="M1107" s="604" t="n">
        <x:v>0.9999980974673346</x:v>
      </x:c>
      <x:c r="N1107" s="604" t="inlineStr">
        <x:is>
          <x:t xml:space="preserve">V4纸面入选-B</x:t>
        </x:is>
      </x:c>
      <x:c r="O1107" s="604" t="inlineStr">
        <x:is>
          <x:t xml:space="preserve">0-5</x:t>
        </x:is>
      </x:c>
      <x:c r="P1107" s="604" t="inlineStr">
        <x:is>
          <x:t xml:space="preserve">已结算</x:t>
        </x:is>
      </x:c>
      <x:c r="Q1107" s="646" t="inlineStr">
        <x:is>
          <x:t xml:space="preserve">黑</x:t>
        </x:is>
      </x:c>
      <x:c r="R1107" s="604" t="n">
        <x:v>0.85</x:v>
      </x:c>
      <x:c r="S1107" s="604" t="n">
        <x:f>IF(OR(Q1107="",Q1107="待结算"),"",IF(Q1107="红",R1107,IF(Q1107="半红",R1107*0.5,IF(Q1107="走",0,IF(Q1107="半黑",-0.5,-1)))))</x:f>
        <x:v>-1</x:v>
      </x:c>
      <x:c r="T1107" s="604" t="inlineStr">
        <x:is>
          <x:t xml:space="preserve">https://m.titan007.com/analy/Analysis/3099028.htm</x:t>
        </x:is>
      </x:c>
      <x:c r="U1107" s="645" t="str">
        <x:f>IF(Q1107="","",IF(Q1107="待结算","待结算",IF(Q1107="红","黑",IF(Q1107="半红","半黑",IF(Q1107="走","走",IF(Q1107="半黑","半红","红"))))))</x:f>
        <x:v>红</x:v>
      </x:c>
      <x:c r="V1107" s="604" t="n">
        <x:f>IF(OR(Q1107="",Q1107="待结算"),"",IF(L1107=LEFT(F1107,FIND(" vs ",F1107)-1),I1107,G1107))</x:f>
        <x:v>0.95</x:v>
      </x:c>
      <x:c r="W1107" s="604" t="n">
        <x:f>IF(OR(U1107="",U1107="待结算"),"",IF(U1107="红",V1107,IF(U1107="半红",V1107*0.5,IF(U1107="走",0,IF(U1107="半黑",-0.5,-1)))))</x:f>
        <x:v>0.95</x:v>
      </x:c>
      <x:c r="X1107" s="604" t="inlineStr">
        <x:is>
          <x:t xml:space="preserve">3099028</x:t>
        </x:is>
      </x:c>
      <x:c r="Y1107" s="604" t="inlineStr">
        <x:is>
          <x:t xml:space="preserve">V4</x:t>
        </x:is>
      </x:c>
      <x:c r="Z1107" s="604" t="inlineStr">
        <x:is>
          <x:t xml:space="preserve">prior-2026-10-06-v1</x:t>
        </x:is>
      </x:c>
      <x:c r="AA1107" s="604" t="inlineStr">
        <x:is>
          <x:t xml:space="preserve">B</x:t>
        </x:is>
      </x:c>
      <x:c r="AB1107" s="604" t="n">
        <x:v>0.9999962683695214</x:v>
      </x:c>
      <x:c r="AC1107" s="604" t="n"/>
      <x:c r="AD1107" s="604" t="n"/>
      <x:c r="AE1107" s="604" t="n">
        <x:v>3.658202586070595e-06</x:v>
      </x:c>
      <x:c r="AF1107" s="604" t="n">
        <x:v>7.34278925921898e-08</x:v>
      </x:c>
      <x:c r="AG1107" s="604" t="n">
        <x:v>0.8499949255849076</x:v>
      </x:c>
      <x:c r="AH1107" s="604" t="n"/>
      <x:c r="AI1107" s="604" t="n"/>
      <x:c r="AJ1107" s="604" t="n">
        <x:v>0.8499949255849076</x:v>
      </x:c>
      <x:c r="AK1107" s="604" t="n"/>
      <x:c r="AL1107" s="604" t="n"/>
      <x:c r="AM1107" s="604" t="n"/>
      <x:c r="AN1107" s="604" t="inlineStr">
        <x:is>
          <x:t xml:space="preserve">EVALUATED</x:t>
        </x:is>
      </x:c>
      <x:c r="AO1107" s="604" t="inlineStr">
        <x:is>
          <x:t xml:space="preserve">RECEIVING_VALIDATED_EDGE、BUCKET_PRIOR_ONLY、INTENT_INTERPRETATION_ONLY、FFL_OPTIONAL、EXPERT_MARKET</x:t>
        </x:is>
      </x:c>
      <x:c r="AP1107" s="604" t="inlineStr">
        <x:is>
          <x:t xml:space="preserve">928b5285b650f6ecbfe5</x:t>
        </x:is>
      </x:c>
      <x:c r="AQ1107" s="604" t="n">
        <x:v>2.75</x:v>
      </x:c>
      <x:c r="AR1107" s="604" t="n">
        <x:v>0.85</x:v>
      </x:c>
      <x:c r="AS1107" s="604" t="n">
        <x:v>-2.75</x:v>
      </x:c>
      <x:c r="AT1107" s="604" t="n">
        <x:v>2.75</x:v>
      </x:c>
      <x:c r="AU1107" s="604" t="n">
        <x:v>0.85</x:v>
      </x:c>
      <x:c r="AV1107" s="604" t="n">
        <x:v>0.95</x:v>
      </x:c>
      <x:c r="AW1107" s="604" t="n">
        <x:v>46301.03159395833</x:v>
      </x:c>
      <x:c r="AX1107" s="604" t="inlineStr">
        <x:is>
          <x:t xml:space="preserve">https://simondongxiao.github.io/odds/v4/</x:t>
        </x:is>
      </x:c>
      <x:c r="AY1107" s="604" t="inlineStr">
        <x:is>
          <x:t xml:space="preserve">V4 Shadow Only；real_money=false；P(EV&gt;0)不是比赛胜率</x:t>
        </x:is>
      </x:c>
    </x:row>
    <x:row r="1108" ht="22" customHeight="1">
      <x:c r="A1108" s="604" t="inlineStr">
        <x:is>
          <x:t xml:space="preserve">2026-10-06</x:t>
        </x:is>
      </x:c>
      <x:c r="B1108" s="604" t="inlineStr">
        <x:is>
          <x:t xml:space="preserve">2026-10-06 17:00</x:t>
        </x:is>
      </x:c>
      <x:c r="C1108" s="604" t="str">
        <x:v>其他系列</x:v>
      </x:c>
      <x:c r="D1108" s="604" t="inlineStr">
        <x:is>
          <x:t xml:space="preserve">联赛</x:t>
        </x:is>
      </x:c>
      <x:c r="E1108" s="604" t="inlineStr">
        <x:is>
          <x:t xml:space="preserve">国际友谊</x:t>
        </x:is>
      </x:c>
      <x:c r="F1108" s="604" t="inlineStr">
        <x:is>
          <x:t xml:space="preserve">沙特阿拉伯U20 vs 亚美尼亚U20</x:t>
        </x:is>
      </x:c>
      <x:c r="G1108" s="604" t="n">
        <x:v>1</x:v>
      </x:c>
      <x:c r="H1108" s="604" t="n">
        <x:v>1.25</x:v>
      </x:c>
      <x:c r="I1108" s="604" t="n">
        <x:v>0.8</x:v>
      </x:c>
      <x:c r="J1108" s="604" t="inlineStr">
        <x:is>
          <x:t xml:space="preserve">1/1.25/0.8</x:t>
        </x:is>
      </x:c>
      <x:c r="K1108" s="604" t="inlineStr">
        <x:is>
          <x:t xml:space="preserve">V4-C｜EV +0.1930</x:t>
        </x:is>
      </x:c>
      <x:c r="L1108" s="604" t="inlineStr">
        <x:is>
          <x:t xml:space="preserve">沙特阿拉伯U20</x:t>
        </x:is>
      </x:c>
      <x:c r="M1108" s="604" t="n">
        <x:v>0.6099791778638078</x:v>
      </x:c>
      <x:c r="N1108" s="604" t="inlineStr">
        <x:is>
          <x:t xml:space="preserve">V4纸面入选-C</x:t>
        </x:is>
      </x:c>
      <x:c r="O1108" s="604" t="inlineStr">
        <x:is>
          <x:t xml:space="preserve">0-0</x:t>
        </x:is>
      </x:c>
      <x:c r="P1108" s="604" t="inlineStr">
        <x:is>
          <x:t xml:space="preserve">已结算</x:t>
        </x:is>
      </x:c>
      <x:c r="Q1108" s="646" t="inlineStr">
        <x:is>
          <x:t xml:space="preserve">黑</x:t>
        </x:is>
      </x:c>
      <x:c r="R1108" s="604" t="n">
        <x:v>1</x:v>
      </x:c>
      <x:c r="S1108" s="604" t="n">
        <x:f>IF(OR(Q1108="",Q1108="待结算"),"",IF(Q1108="红",R1108,IF(Q1108="半红",R1108*0.5,IF(Q1108="走",0,IF(Q1108="半黑",-0.5,-1)))))</x:f>
        <x:v>-1</x:v>
      </x:c>
      <x:c r="T1108" s="604" t="inlineStr">
        <x:is>
          <x:t xml:space="preserve">https://m.titan007.com/analy/Analysis/3097372.htm</x:t>
        </x:is>
      </x:c>
      <x:c r="U1108" s="645" t="str">
        <x:f>IF(Q1108="","",IF(Q1108="待结算","待结算",IF(Q1108="红","黑",IF(Q1108="半红","半黑",IF(Q1108="走","走",IF(Q1108="半黑","半红","红"))))))</x:f>
        <x:v>红</x:v>
      </x:c>
      <x:c r="V1108" s="604" t="n">
        <x:f>IF(OR(Q1108="",Q1108="待结算"),"",IF(L1108=LEFT(F1108,FIND(" vs ",F1108)-1),I1108,G1108))</x:f>
        <x:v>0.8</x:v>
      </x:c>
      <x:c r="W1108" s="604" t="n">
        <x:f>IF(OR(U1108="",U1108="待结算"),"",IF(U1108="红",V1108,IF(U1108="半红",V1108*0.5,IF(U1108="走",0,IF(U1108="半黑",-0.5,-1)))))</x:f>
        <x:v>0.8</x:v>
      </x:c>
      <x:c r="X1108" s="604" t="inlineStr">
        <x:is>
          <x:t xml:space="preserve">3097372</x:t>
        </x:is>
      </x:c>
      <x:c r="Y1108" s="604" t="inlineStr">
        <x:is>
          <x:t xml:space="preserve">V4</x:t>
        </x:is>
      </x:c>
      <x:c r="Z1108" s="604" t="inlineStr">
        <x:is>
          <x:t xml:space="preserve">prior-2026-10-06-v1</x:t>
        </x:is>
      </x:c>
      <x:c r="AA1108" s="604" t="inlineStr">
        <x:is>
          <x:t xml:space="preserve">C</x:t>
        </x:is>
      </x:c>
      <x:c r="AB1108" s="604" t="n">
        <x:v>0.5351231481040224</x:v>
      </x:c>
      <x:c r="AC1108" s="604" t="n"/>
      <x:c r="AD1108" s="604" t="n"/>
      <x:c r="AE1108" s="604" t="n">
        <x:v>0.245437983709335</x:v>
      </x:c>
      <x:c r="AF1108" s="604" t="n">
        <x:v>0.2194388681866427</x:v>
      </x:c>
      <x:c r="AG1108" s="604" t="n">
        <x:v>0.1929652880627122</x:v>
      </x:c>
      <x:c r="AH1108" s="604" t="n"/>
      <x:c r="AI1108" s="604" t="n"/>
      <x:c r="AJ1108" s="604" t="n">
        <x:v>0.1929652880627122</x:v>
      </x:c>
      <x:c r="AK1108" s="604" t="n"/>
      <x:c r="AL1108" s="604" t="n"/>
      <x:c r="AM1108" s="604" t="n"/>
      <x:c r="AN1108" s="604" t="inlineStr">
        <x:is>
          <x:t xml:space="preserve">EVALUATED</x:t>
        </x:is>
      </x:c>
      <x:c r="AO1108" s="604" t="inlineStr">
        <x:is>
          <x:t xml:space="preserve">GIVING_VALIDATED_EDGE、BUCKET_PRIOR_ONLY、INTENT_INTERPRETATION_ONLY、FFL_OPTIONAL、EXPERT_MARKET</x:t>
        </x:is>
      </x:c>
      <x:c r="AP1108" s="604" t="inlineStr">
        <x:is>
          <x:t xml:space="preserve">649430b5b080e982e686</x:t>
        </x:is>
      </x:c>
      <x:c r="AQ1108" s="604" t="n">
        <x:v>-1.25</x:v>
      </x:c>
      <x:c r="AR1108" s="604" t="n">
        <x:v>1</x:v>
      </x:c>
      <x:c r="AS1108" s="604" t="n">
        <x:v>1.25</x:v>
      </x:c>
      <x:c r="AT1108" s="604" t="n">
        <x:v>-1.25</x:v>
      </x:c>
      <x:c r="AU1108" s="604" t="n">
        <x:v>1</x:v>
      </x:c>
      <x:c r="AV1108" s="604" t="n">
        <x:v>0.8</x:v>
      </x:c>
      <x:c r="AW1108" s="604" t="n">
        <x:v>46301.03159395833</x:v>
      </x:c>
      <x:c r="AX1108" s="604" t="inlineStr">
        <x:is>
          <x:t xml:space="preserve">https://simondongxiao.github.io/odds/v4/</x:t>
        </x:is>
      </x:c>
      <x:c r="AY1108" s="604" t="inlineStr">
        <x:is>
          <x:t xml:space="preserve">V4 Shadow Only；real_money=false；P(EV&gt;0)不是比赛胜率</x:t>
        </x:is>
      </x:c>
    </x:row>
    <x:row r="1109" ht="22" customHeight="1">
      <x:c r="A1109" s="604" t="inlineStr">
        <x:is>
          <x:t xml:space="preserve">2026-10-06</x:t>
        </x:is>
      </x:c>
      <x:c r="B1109" s="604" t="inlineStr">
        <x:is>
          <x:t xml:space="preserve">2026-10-06 18:00</x:t>
        </x:is>
      </x:c>
      <x:c r="C1109" s="604" t="str">
        <x:v>欧洲非五大系列</x:v>
      </x:c>
      <x:c r="D1109" s="604" t="inlineStr">
        <x:is>
          <x:t xml:space="preserve">联赛</x:t>
        </x:is>
      </x:c>
      <x:c r="E1109" s="604" t="inlineStr">
        <x:is>
          <x:t xml:space="preserve">葡U23</x:t>
        </x:is>
      </x:c>
      <x:c r="F1109" s="604" t="inlineStr">
        <x:is>
          <x:t xml:space="preserve">莱里亚U23 vs 辛达卡拉U23</x:t>
        </x:is>
      </x:c>
      <x:c r="G1109" s="604" t="n">
        <x:v>0.76</x:v>
      </x:c>
      <x:c r="H1109" s="604" t="n">
        <x:v>0</x:v>
      </x:c>
      <x:c r="I1109" s="604" t="n">
        <x:v>1</x:v>
      </x:c>
      <x:c r="J1109" s="604" t="inlineStr">
        <x:is>
          <x:t xml:space="preserve">0.76/0/1</x:t>
        </x:is>
      </x:c>
      <x:c r="K1109" s="604" t="inlineStr">
        <x:is>
          <x:t xml:space="preserve">V4-C｜EV +0.0455</x:t>
        </x:is>
      </x:c>
      <x:c r="L1109" s="604" t="str"/>
      <x:c r="M1109" s="604" t="n">
        <x:v>0.4020018562935261</x:v>
      </x:c>
      <x:c r="N1109" s="604" t="inlineStr">
        <x:is>
          <x:t xml:space="preserve">V4纸面入选-C</x:t>
        </x:is>
      </x:c>
      <x:c r="O1109" s="604" t="inlineStr">
        <x:is>
          <x:t xml:space="preserve">1-1</x:t>
        </x:is>
      </x:c>
      <x:c r="P1109" s="604" t="inlineStr">
        <x:is>
          <x:t xml:space="preserve">已结算</x:t>
        </x:is>
      </x:c>
      <x:c r="Q1109" s="647" t="inlineStr">
        <x:is>
          <x:t xml:space="preserve">走</x:t>
        </x:is>
      </x:c>
      <x:c r="R1109" s="604" t="n">
        <x:v>1</x:v>
      </x:c>
      <x:c r="S1109" s="604" t="n">
        <x:f>IF(OR(Q1109="",Q1109="待结算"),"",IF(Q1109="红",R1109,IF(Q1109="半红",R1109*0.5,IF(Q1109="走",0,IF(Q1109="半黑",-0.5,-1)))))</x:f>
        <x:v>0</x:v>
      </x:c>
      <x:c r="T1109" s="604" t="inlineStr">
        <x:is>
          <x:t xml:space="preserve">https://m.titan007.com/analy/Analysis/3056242.htm</x:t>
        </x:is>
      </x:c>
      <x:c r="U1109" s="647" t="str">
        <x:f>IF(Q1109="","",IF(Q1109="待结算","待结算",IF(Q1109="红","黑",IF(Q1109="半红","半黑",IF(Q1109="走","走",IF(Q1109="半黑","半红","红"))))))</x:f>
        <x:v>走</x:v>
      </x:c>
      <x:c r="V1109" s="604" t="n">
        <x:f>IF(OR(Q1109="",Q1109="待结算"),"",IF(L1109=LEFT(F1109,FIND(" vs ",F1109)-1),I1109,G1109))</x:f>
        <x:v>0.76</x:v>
      </x:c>
      <x:c r="W1109" s="604" t="n">
        <x:f>IF(OR(U1109="",U1109="待结算"),"",IF(U1109="红",V1109,IF(U1109="半红",V1109*0.5,IF(U1109="走",0,IF(U1109="半黑",-0.5,-1)))))</x:f>
        <x:v>0</x:v>
      </x:c>
      <x:c r="X1109" s="604" t="inlineStr">
        <x:is>
          <x:t xml:space="preserve">3056242</x:t>
        </x:is>
      </x:c>
      <x:c r="Y1109" s="604" t="inlineStr">
        <x:is>
          <x:t xml:space="preserve">V4</x:t>
        </x:is>
      </x:c>
      <x:c r="Z1109" s="604" t="inlineStr">
        <x:is>
          <x:t xml:space="preserve">prior-2026-10-06-v1</x:t>
        </x:is>
      </x:c>
      <x:c r="AA1109" s="604" t="inlineStr">
        <x:is>
          <x:t xml:space="preserve">C</x:t>
        </x:is>
      </x:c>
      <x:c r="AB1109" s="604" t="n">
        <x:v>0.3488644807286433</x:v>
      </x:c>
      <x:c r="AC1109" s="604" t="n"/>
      <x:c r="AD1109" s="604" t="n"/>
      <x:c r="AE1109" s="604" t="n">
        <x:v>0.2643638318231245</x:v>
      </x:c>
      <x:c r="AF1109" s="604" t="n">
        <x:v>0.3867716874482323</x:v>
      </x:c>
      <x:c r="AG1109" s="604" t="n">
        <x:v>0.04554025782480053</x:v>
      </x:c>
      <x:c r="AH1109" s="604" t="n"/>
      <x:c r="AI1109" s="604" t="n"/>
      <x:c r="AJ1109" s="604" t="n">
        <x:v>0.04554025782480053</x:v>
      </x:c>
      <x:c r="AK1109" s="604" t="n"/>
      <x:c r="AL1109" s="604" t="n"/>
      <x:c r="AM1109" s="604" t="n"/>
      <x:c r="AN1109" s="604" t="inlineStr">
        <x:is>
          <x:t xml:space="preserve">EVALUATED</x:t>
        </x:is>
      </x:c>
      <x:c r="AO1109" s="604" t="inlineStr">
        <x:is>
          <x:t xml:space="preserve">EDGE_BELOW_UNCERTAINTY_THRESHOLD、BUCKET_PRIOR_ONLY、INTENT_INTERPRETATION_ONLY、FFL_OPTIONAL、EXPERT_MARKET</x:t>
        </x:is>
      </x:c>
      <x:c r="AP1109" s="604" t="inlineStr">
        <x:is>
          <x:t xml:space="preserve">39c630038f1dddf1a2c4</x:t>
        </x:is>
      </x:c>
      <x:c r="AQ1109" s="604" t="n">
        <x:v>0</x:v>
      </x:c>
      <x:c r="AR1109" s="604" t="n"/>
      <x:c r="AS1109" s="604" t="n">
        <x:v>0</x:v>
      </x:c>
      <x:c r="AT1109" s="604" t="n">
        <x:v>0</x:v>
      </x:c>
      <x:c r="AU1109" s="604" t="n">
        <x:v>0.76</x:v>
      </x:c>
      <x:c r="AV1109" s="604" t="n">
        <x:v>1</x:v>
      </x:c>
      <x:c r="AW1109" s="604" t="n">
        <x:v>46301.03159395833</x:v>
      </x:c>
      <x:c r="AX1109" s="604" t="inlineStr">
        <x:is>
          <x:t xml:space="preserve">https://simondongxiao.github.io/odds/v4/</x:t>
        </x:is>
      </x:c>
      <x:c r="AY1109" s="604" t="inlineStr">
        <x:is>
          <x:t xml:space="preserve">V4 Shadow Only；real_money=false；P(EV&gt;0)不是比赛胜率</x:t>
        </x:is>
      </x:c>
    </x:row>
    <x:row r="1110" ht="22" customHeight="1">
      <x:c r="A1110" s="604" t="inlineStr">
        <x:is>
          <x:t xml:space="preserve">2026-10-06</x:t>
        </x:is>
      </x:c>
      <x:c r="B1110" s="604" t="inlineStr">
        <x:is>
          <x:t xml:space="preserve">2026-10-06 18:30</x:t>
        </x:is>
      </x:c>
      <x:c r="C1110" s="604" t="str">
        <x:v>南美系列</x:v>
      </x:c>
      <x:c r="D1110" s="604" t="inlineStr">
        <x:is>
          <x:t xml:space="preserve">联赛</x:t>
        </x:is>
      </x:c>
      <x:c r="E1110" s="604" t="inlineStr">
        <x:is>
          <x:t xml:space="preserve">巴拉后备</x:t>
        </x:is>
      </x:c>
      <x:c r="F1110" s="604" t="inlineStr">
        <x:is>
          <x:t xml:space="preserve">瓜拉尼后备队 vs 圣罗伦索体育会后备队</x:t>
        </x:is>
      </x:c>
      <x:c r="G1110" s="604" t="n">
        <x:v>0.95</x:v>
      </x:c>
      <x:c r="H1110" s="604" t="n">
        <x:v>3.5</x:v>
      </x:c>
      <x:c r="I1110" s="604" t="n">
        <x:v>0.85</x:v>
      </x:c>
      <x:c r="J1110" s="604" t="inlineStr">
        <x:is>
          <x:t xml:space="preserve">0.95/3.5/0.85</x:t>
        </x:is>
      </x:c>
      <x:c r="K1110" s="604" t="inlineStr">
        <x:is>
          <x:t xml:space="preserve">V4-C｜EV +0.2559</x:t>
        </x:is>
      </x:c>
      <x:c r="L1110" s="604" t="inlineStr">
        <x:is>
          <x:t xml:space="preserve">圣罗伦索体育会后备队</x:t>
        </x:is>
      </x:c>
      <x:c r="M1110" s="604" t="n">
        <x:v>0.6788881634179498</x:v>
      </x:c>
      <x:c r="N1110" s="604" t="inlineStr">
        <x:is>
          <x:t xml:space="preserve">V4纸面入选-C</x:t>
        </x:is>
      </x:c>
      <x:c r="O1110" s="604" t="inlineStr">
        <x:is>
          <x:t xml:space="preserve">3-1</x:t>
        </x:is>
      </x:c>
      <x:c r="P1110" s="604" t="inlineStr">
        <x:is>
          <x:t xml:space="preserve">已结算</x:t>
        </x:is>
      </x:c>
      <x:c r="Q1110" s="645" t="inlineStr">
        <x:is>
          <x:t xml:space="preserve">红</x:t>
        </x:is>
      </x:c>
      <x:c r="R1110" s="604" t="n">
        <x:v>0.85</x:v>
      </x:c>
      <x:c r="S1110" s="604" t="n">
        <x:f>IF(OR(Q1110="",Q1110="待结算"),"",IF(Q1110="红",R1110,IF(Q1110="半红",R1110*0.5,IF(Q1110="走",0,IF(Q1110="半黑",-0.5,-1)))))</x:f>
        <x:v>0.85</x:v>
      </x:c>
      <x:c r="T1110" s="604" t="inlineStr">
        <x:is>
          <x:t xml:space="preserve">https://m.titan007.com/analy/Analysis/3099121.htm</x:t>
        </x:is>
      </x:c>
      <x:c r="U1110" s="646" t="str">
        <x:f>IF(Q1110="","",IF(Q1110="待结算","待结算",IF(Q1110="红","黑",IF(Q1110="半红","半黑",IF(Q1110="走","走",IF(Q1110="半黑","半红","红"))))))</x:f>
        <x:v>黑</x:v>
      </x:c>
      <x:c r="V1110" s="604" t="n">
        <x:f>IF(OR(Q1110="",Q1110="待结算"),"",IF(L1110=LEFT(F1110,FIND(" vs ",F1110)-1),I1110,G1110))</x:f>
        <x:v>0.95</x:v>
      </x:c>
      <x:c r="W1110" s="604" t="n">
        <x:f>IF(OR(U1110="",U1110="待结算"),"",IF(U1110="红",V1110,IF(U1110="半红",V1110*0.5,IF(U1110="走",0,IF(U1110="半黑",-0.5,-1)))))</x:f>
        <x:v>-1</x:v>
      </x:c>
      <x:c r="X1110" s="604" t="inlineStr">
        <x:is>
          <x:t xml:space="preserve">3099121</x:t>
        </x:is>
      </x:c>
      <x:c r="Y1110" s="604" t="inlineStr">
        <x:is>
          <x:t xml:space="preserve">V4</x:t>
        </x:is>
      </x:c>
      <x:c r="Z1110" s="604" t="inlineStr">
        <x:is>
          <x:t xml:space="preserve">prior-2026-10-06-v1</x:t>
        </x:is>
      </x:c>
      <x:c r="AA1110" s="604" t="inlineStr">
        <x:is>
          <x:t xml:space="preserve">C</x:t>
        </x:is>
      </x:c>
      <x:c r="AB1110" s="604" t="n">
        <x:v>0.6788881634179498</x:v>
      </x:c>
      <x:c r="AC1110" s="604" t="n"/>
      <x:c r="AD1110" s="604" t="n"/>
      <x:c r="AE1110" s="604" t="n"/>
      <x:c r="AF1110" s="604" t="n">
        <x:v>0.3211118365820502</x:v>
      </x:c>
      <x:c r="AG1110" s="604" t="n">
        <x:v>0.2559431023232071</x:v>
      </x:c>
      <x:c r="AH1110" s="604" t="n"/>
      <x:c r="AI1110" s="604" t="n"/>
      <x:c r="AJ1110" s="604" t="n">
        <x:v>0.2559431023232071</x:v>
      </x:c>
      <x:c r="AK1110" s="604" t="n"/>
      <x:c r="AL1110" s="604" t="n"/>
      <x:c r="AM1110" s="604" t="n"/>
      <x:c r="AN1110" s="604" t="inlineStr">
        <x:is>
          <x:t xml:space="preserve">EVALUATED</x:t>
        </x:is>
      </x:c>
      <x:c r="AO1110" s="604" t="inlineStr">
        <x:is>
          <x:t xml:space="preserve">RECEIVING_VALIDATED_EDGE、BUCKET_PRIOR_ONLY、INTENT_INTERPRETATION_ONLY、FFL_OPTIONAL、EXPERT_MARKET</x:t>
        </x:is>
      </x:c>
      <x:c r="AP1110" s="604" t="inlineStr">
        <x:is>
          <x:t xml:space="preserve">508aa309b4e091b1660a</x:t>
        </x:is>
      </x:c>
      <x:c r="AQ1110" s="604" t="n">
        <x:v>3.5</x:v>
      </x:c>
      <x:c r="AR1110" s="604" t="n">
        <x:v>0.85</x:v>
      </x:c>
      <x:c r="AS1110" s="604" t="n">
        <x:v>3.5</x:v>
      </x:c>
      <x:c r="AT1110" s="604" t="n">
        <x:v>-3.5</x:v>
      </x:c>
      <x:c r="AU1110" s="604" t="n">
        <x:v>0.95</x:v>
      </x:c>
      <x:c r="AV1110" s="604" t="n">
        <x:v>0.85</x:v>
      </x:c>
      <x:c r="AW1110" s="604" t="n">
        <x:v>46301.03159395833</x:v>
      </x:c>
      <x:c r="AX1110" s="604" t="inlineStr">
        <x:is>
          <x:t xml:space="preserve">https://simondongxiao.github.io/odds/v4/</x:t>
        </x:is>
      </x:c>
      <x:c r="AY1110" s="604" t="inlineStr">
        <x:is>
          <x:t xml:space="preserve">V4 Shadow Only；real_money=false；P(EV&gt;0)不是比赛胜率</x:t>
        </x:is>
      </x:c>
    </x:row>
    <x:row r="1111" ht="22" customHeight="1">
      <x:c r="A1111" s="604" t="inlineStr">
        <x:is>
          <x:t xml:space="preserve">2026-10-06</x:t>
        </x:is>
      </x:c>
      <x:c r="B1111" s="604" t="inlineStr">
        <x:is>
          <x:t xml:space="preserve">2026-10-06 19:00</x:t>
        </x:is>
      </x:c>
      <x:c r="C1111" s="604" t="str">
        <x:v>日韩系列</x:v>
      </x:c>
      <x:c r="D1111" s="604" t="inlineStr">
        <x:is>
          <x:t xml:space="preserve">联赛</x:t>
        </x:is>
      </x:c>
      <x:c r="E1111" s="604" t="inlineStr">
        <x:is>
          <x:t xml:space="preserve">中甲</x:t>
        </x:is>
      </x:c>
      <x:c r="F1111" s="604" t="inlineStr">
        <x:is>
          <x:t xml:space="preserve">无锡吴钩 vs 苏州东吴</x:t>
        </x:is>
      </x:c>
      <x:c r="G1111" s="604" t="n">
        <x:v>0.98</x:v>
      </x:c>
      <x:c r="H1111" s="604" t="n">
        <x:v>0</x:v>
      </x:c>
      <x:c r="I1111" s="604" t="n">
        <x:v>0.72</x:v>
      </x:c>
      <x:c r="J1111" s="604" t="inlineStr">
        <x:is>
          <x:t xml:space="preserve">0.98/0/0.72</x:t>
        </x:is>
      </x:c>
      <x:c r="K1111" s="604" t="inlineStr">
        <x:is>
          <x:t xml:space="preserve">V4-C｜EV +0.0170</x:t>
        </x:is>
      </x:c>
      <x:c r="L1111" s="604" t="str"/>
      <x:c r="M1111" s="604" t="n">
        <x:v>0.5136290766147279</x:v>
      </x:c>
      <x:c r="N1111" s="604" t="inlineStr">
        <x:is>
          <x:t xml:space="preserve">V4纸面入选-C</x:t>
        </x:is>
      </x:c>
      <x:c r="O1111" s="604" t="inlineStr">
        <x:is>
          <x:t xml:space="preserve">2-2</x:t>
        </x:is>
      </x:c>
      <x:c r="P1111" s="604" t="inlineStr">
        <x:is>
          <x:t xml:space="preserve">已结算</x:t>
        </x:is>
      </x:c>
      <x:c r="Q1111" s="647" t="inlineStr">
        <x:is>
          <x:t xml:space="preserve">走</x:t>
        </x:is>
      </x:c>
      <x:c r="R1111" s="604" t="n">
        <x:v>0.72</x:v>
      </x:c>
      <x:c r="S1111" s="604" t="n">
        <x:f>IF(OR(Q1111="",Q1111="待结算"),"",IF(Q1111="红",R1111,IF(Q1111="半红",R1111*0.5,IF(Q1111="走",0,IF(Q1111="半黑",-0.5,-1)))))</x:f>
        <x:v>0</x:v>
      </x:c>
      <x:c r="T1111" s="604" t="inlineStr">
        <x:is>
          <x:t xml:space="preserve">https://m.titan007.com/analy/Analysis/2951661.htm</x:t>
        </x:is>
      </x:c>
      <x:c r="U1111" s="647" t="str">
        <x:f>IF(Q1111="","",IF(Q1111="待结算","待结算",IF(Q1111="红","黑",IF(Q1111="半红","半黑",IF(Q1111="走","走",IF(Q1111="半黑","半红","红"))))))</x:f>
        <x:v>走</x:v>
      </x:c>
      <x:c r="V1111" s="604" t="n">
        <x:f>IF(OR(Q1111="",Q1111="待结算"),"",IF(L1111=LEFT(F1111,FIND(" vs ",F1111)-1),I1111,G1111))</x:f>
        <x:v>0.98</x:v>
      </x:c>
      <x:c r="W1111" s="604" t="n">
        <x:f>IF(OR(U1111="",U1111="待结算"),"",IF(U1111="红",V1111,IF(U1111="半红",V1111*0.5,IF(U1111="走",0,IF(U1111="半黑",-0.5,-1)))))</x:f>
        <x:v>0</x:v>
      </x:c>
      <x:c r="X1111" s="604" t="inlineStr">
        <x:is>
          <x:t xml:space="preserve">2951661</x:t>
        </x:is>
      </x:c>
      <x:c r="Y1111" s="604" t="inlineStr">
        <x:is>
          <x:t xml:space="preserve">V4</x:t>
        </x:is>
      </x:c>
      <x:c r="Z1111" s="604" t="inlineStr">
        <x:is>
          <x:t xml:space="preserve">prior-2026-10-06-v1</x:t>
        </x:is>
      </x:c>
      <x:c r="AA1111" s="604" t="inlineStr">
        <x:is>
          <x:t xml:space="preserve">C</x:t>
        </x:is>
      </x:c>
      <x:c r="AB1111" s="604" t="n">
        <x:v>0.5136290766147279</x:v>
      </x:c>
      <x:c r="AC1111" s="604" t="n"/>
      <x:c r="AD1111" s="604" t="n"/>
      <x:c r="AE1111" s="604" t="n"/>
      <x:c r="AF1111" s="604" t="n">
        <x:v>0.4863709233852722</x:v>
      </x:c>
      <x:c r="AG1111" s="604" t="n">
        <x:v>0.01698557169716108</x:v>
      </x:c>
      <x:c r="AH1111" s="604" t="n"/>
      <x:c r="AI1111" s="604" t="n"/>
      <x:c r="AJ1111" s="604" t="n">
        <x:v>0.01698557169716108</x:v>
      </x:c>
      <x:c r="AK1111" s="604" t="n"/>
      <x:c r="AL1111" s="604" t="n"/>
      <x:c r="AM1111" s="604" t="n"/>
      <x:c r="AN1111" s="604" t="inlineStr">
        <x:is>
          <x:t xml:space="preserve">EVALUATED</x:t>
        </x:is>
      </x:c>
      <x:c r="AO1111" s="604" t="inlineStr">
        <x:is>
          <x:t xml:space="preserve">EDGE_BELOW_UNCERTAINTY_THRESHOLD、BUCKET_PRIOR_ONLY、INTENT_INTERPRETATION_ONLY、FFL_OPTIONAL、EXPERT_MARKET</x:t>
        </x:is>
      </x:c>
      <x:c r="AP1111" s="604" t="inlineStr">
        <x:is>
          <x:t xml:space="preserve">020d27c716f1abc05e97</x:t>
        </x:is>
      </x:c>
      <x:c r="AQ1111" s="604" t="n">
        <x:v>0</x:v>
      </x:c>
      <x:c r="AR1111" s="604" t="n"/>
      <x:c r="AS1111" s="604" t="n">
        <x:v>0</x:v>
      </x:c>
      <x:c r="AT1111" s="604" t="n">
        <x:v>0</x:v>
      </x:c>
      <x:c r="AU1111" s="604" t="n">
        <x:v>0.98</x:v>
      </x:c>
      <x:c r="AV1111" s="604" t="n">
        <x:v>0.72</x:v>
      </x:c>
      <x:c r="AW1111" s="604" t="n">
        <x:v>46301.03159395833</x:v>
      </x:c>
      <x:c r="AX1111" s="604" t="inlineStr">
        <x:is>
          <x:t xml:space="preserve">https://simondongxiao.github.io/odds/v4/</x:t>
        </x:is>
      </x:c>
      <x:c r="AY1111" s="604" t="inlineStr">
        <x:is>
          <x:t xml:space="preserve">V4 Shadow Only；real_money=false；P(EV&gt;0)不是比赛胜率</x:t>
        </x:is>
      </x:c>
    </x:row>
    <x:row r="1112" ht="22" customHeight="1">
      <x:c r="A1112" s="604" t="inlineStr">
        <x:is>
          <x:t xml:space="preserve">2026-10-06</x:t>
        </x:is>
      </x:c>
      <x:c r="B1112" s="604" t="inlineStr">
        <x:is>
          <x:t xml:space="preserve">2026-10-06 19:00</x:t>
        </x:is>
      </x:c>
      <x:c r="C1112" s="604" t="str">
        <x:v>日韩系列</x:v>
      </x:c>
      <x:c r="D1112" s="604" t="inlineStr">
        <x:is>
          <x:t xml:space="preserve">联赛</x:t>
        </x:is>
      </x:c>
      <x:c r="E1112" s="604" t="inlineStr">
        <x:is>
          <x:t xml:space="preserve">中甲</x:t>
        </x:is>
      </x:c>
      <x:c r="F1112" s="604" t="inlineStr">
        <x:is>
          <x:t xml:space="preserve">长春亚泰 vs 延边龙鼎</x:t>
        </x:is>
      </x:c>
      <x:c r="G1112" s="604" t="n">
        <x:v>0.8</x:v>
      </x:c>
      <x:c r="H1112" s="604" t="n">
        <x:v>0</x:v>
      </x:c>
      <x:c r="I1112" s="604" t="n">
        <x:v>0.9</x:v>
      </x:c>
      <x:c r="J1112" s="604" t="inlineStr">
        <x:is>
          <x:t xml:space="preserve">0.8/0/0.9</x:t>
        </x:is>
      </x:c>
      <x:c r="K1112" s="604" t="inlineStr">
        <x:is>
          <x:t xml:space="preserve">V4-C｜EV +0.0475</x:t>
        </x:is>
      </x:c>
      <x:c r="L1112" s="604" t="str"/>
      <x:c r="M1112" s="604" t="n">
        <x:v>0.5857235939070305</x:v>
      </x:c>
      <x:c r="N1112" s="604" t="inlineStr">
        <x:is>
          <x:t xml:space="preserve">V4纸面入选-C</x:t>
        </x:is>
      </x:c>
      <x:c r="O1112" s="604" t="inlineStr">
        <x:is>
          <x:t xml:space="preserve">1-1</x:t>
        </x:is>
      </x:c>
      <x:c r="P1112" s="604" t="inlineStr">
        <x:is>
          <x:t xml:space="preserve">已结算</x:t>
        </x:is>
      </x:c>
      <x:c r="Q1112" s="647" t="inlineStr">
        <x:is>
          <x:t xml:space="preserve">走</x:t>
        </x:is>
      </x:c>
      <x:c r="R1112" s="604" t="n">
        <x:v>0.9</x:v>
      </x:c>
      <x:c r="S1112" s="604" t="n">
        <x:f>IF(OR(Q1112="",Q1112="待结算"),"",IF(Q1112="红",R1112,IF(Q1112="半红",R1112*0.5,IF(Q1112="走",0,IF(Q1112="半黑",-0.5,-1)))))</x:f>
        <x:v>0</x:v>
      </x:c>
      <x:c r="T1112" s="604" t="inlineStr">
        <x:is>
          <x:t xml:space="preserve">https://m.titan007.com/analy/Analysis/2951662.htm</x:t>
        </x:is>
      </x:c>
      <x:c r="U1112" s="647" t="str">
        <x:f>IF(Q1112="","",IF(Q1112="待结算","待结算",IF(Q1112="红","黑",IF(Q1112="半红","半黑",IF(Q1112="走","走",IF(Q1112="半黑","半红","红"))))))</x:f>
        <x:v>走</x:v>
      </x:c>
      <x:c r="V1112" s="604" t="n">
        <x:f>IF(OR(Q1112="",Q1112="待结算"),"",IF(L1112=LEFT(F1112,FIND(" vs ",F1112)-1),I1112,G1112))</x:f>
        <x:v>0.8</x:v>
      </x:c>
      <x:c r="W1112" s="604" t="n">
        <x:f>IF(OR(U1112="",U1112="待结算"),"",IF(U1112="红",V1112,IF(U1112="半红",V1112*0.5,IF(U1112="走",0,IF(U1112="半黑",-0.5,-1)))))</x:f>
        <x:v>0</x:v>
      </x:c>
      <x:c r="X1112" s="604" t="inlineStr">
        <x:is>
          <x:t xml:space="preserve">2951662</x:t>
        </x:is>
      </x:c>
      <x:c r="Y1112" s="604" t="inlineStr">
        <x:is>
          <x:t xml:space="preserve">V4</x:t>
        </x:is>
      </x:c>
      <x:c r="Z1112" s="604" t="inlineStr">
        <x:is>
          <x:t xml:space="preserve">prior-2026-10-06-v1</x:t>
        </x:is>
      </x:c>
      <x:c r="AA1112" s="604" t="inlineStr">
        <x:is>
          <x:t xml:space="preserve">C</x:t>
        </x:is>
      </x:c>
      <x:c r="AB1112" s="604" t="n">
        <x:v>0.512251384877301</x:v>
      </x:c>
      <x:c r="AC1112" s="604" t="n"/>
      <x:c r="AD1112" s="604" t="n"/>
      <x:c r="AE1112" s="604" t="n">
        <x:v>0.2508767268179792</x:v>
      </x:c>
      <x:c r="AF1112" s="604" t="n">
        <x:v>0.2368718883047197</x:v>
      </x:c>
      <x:c r="AG1112" s="604" t="n">
        <x:v>0.04749085618813154</x:v>
      </x:c>
      <x:c r="AH1112" s="604" t="n"/>
      <x:c r="AI1112" s="604" t="n"/>
      <x:c r="AJ1112" s="604" t="n">
        <x:v>0.04749085618813154</x:v>
      </x:c>
      <x:c r="AK1112" s="604" t="n"/>
      <x:c r="AL1112" s="604" t="n"/>
      <x:c r="AM1112" s="604" t="n"/>
      <x:c r="AN1112" s="604" t="inlineStr">
        <x:is>
          <x:t xml:space="preserve">EVALUATED</x:t>
        </x:is>
      </x:c>
      <x:c r="AO1112" s="604" t="inlineStr">
        <x:is>
          <x:t xml:space="preserve">EDGE_BELOW_UNCERTAINTY_THRESHOLD、BUCKET_PRIOR_ONLY、INTENT_INTERPRETATION_ONLY、FFL_OPTIONAL、EXPERT_MARKET</x:t>
        </x:is>
      </x:c>
      <x:c r="AP1112" s="604" t="inlineStr">
        <x:is>
          <x:t xml:space="preserve">e63573e916aa9cedda2c</x:t>
        </x:is>
      </x:c>
      <x:c r="AQ1112" s="604" t="n">
        <x:v>0</x:v>
      </x:c>
      <x:c r="AR1112" s="604" t="n"/>
      <x:c r="AS1112" s="604" t="n">
        <x:v>0</x:v>
      </x:c>
      <x:c r="AT1112" s="604" t="n">
        <x:v>0</x:v>
      </x:c>
      <x:c r="AU1112" s="604" t="n">
        <x:v>0.8</x:v>
      </x:c>
      <x:c r="AV1112" s="604" t="n">
        <x:v>0.9</x:v>
      </x:c>
      <x:c r="AW1112" s="604" t="n">
        <x:v>46301.03159395833</x:v>
      </x:c>
      <x:c r="AX1112" s="604" t="inlineStr">
        <x:is>
          <x:t xml:space="preserve">https://simondongxiao.github.io/odds/v4/</x:t>
        </x:is>
      </x:c>
      <x:c r="AY1112" s="604" t="inlineStr">
        <x:is>
          <x:t xml:space="preserve">V4 Shadow Only；real_money=false；P(EV&gt;0)不是比赛胜率</x:t>
        </x:is>
      </x:c>
    </x:row>
    <x:row r="1113" ht="22" customHeight="1">
      <x:c r="A1113" s="604" t="inlineStr">
        <x:is>
          <x:t xml:space="preserve">2026-10-06</x:t>
        </x:is>
      </x:c>
      <x:c r="B1113" s="604" t="inlineStr">
        <x:is>
          <x:t xml:space="preserve">2026-10-06 19:00</x:t>
        </x:is>
      </x:c>
      <x:c r="C1113" s="604" t="str">
        <x:v>其他系列</x:v>
      </x:c>
      <x:c r="D1113" s="604" t="inlineStr">
        <x:is>
          <x:t xml:space="preserve">联赛</x:t>
        </x:is>
      </x:c>
      <x:c r="E1113" s="604" t="inlineStr">
        <x:is>
          <x:t xml:space="preserve">国际友谊</x:t>
        </x:is>
      </x:c>
      <x:c r="F1113" s="604" t="inlineStr">
        <x:is>
          <x:t xml:space="preserve">韩国 vs 乌兹别克斯坦</x:t>
        </x:is>
      </x:c>
      <x:c r="G1113" s="604" t="n">
        <x:v>0.9399999999999999</x:v>
      </x:c>
      <x:c r="H1113" s="604" t="n">
        <x:v>0.75</x:v>
      </x:c>
      <x:c r="I1113" s="604" t="n">
        <x:v>0.88</x:v>
      </x:c>
      <x:c r="J1113" s="604" t="inlineStr">
        <x:is>
          <x:t xml:space="preserve">0.94/0.75/0.88</x:t>
        </x:is>
      </x:c>
      <x:c r="K1113" s="604" t="inlineStr">
        <x:is>
          <x:t xml:space="preserve">V4-C｜EV +0.1163</x:t>
        </x:is>
      </x:c>
      <x:c r="L1113" s="604" t="inlineStr">
        <x:is>
          <x:t xml:space="preserve">韩国</x:t>
        </x:is>
      </x:c>
      <x:c r="M1113" s="604" t="n">
        <x:v>0.5842518319659261</x:v>
      </x:c>
      <x:c r="N1113" s="604" t="inlineStr">
        <x:is>
          <x:t xml:space="preserve">V4纸面入选-C</x:t>
        </x:is>
      </x:c>
      <x:c r="O1113" s="604" t="inlineStr">
        <x:is>
          <x:t xml:space="preserve">2-0</x:t>
        </x:is>
      </x:c>
      <x:c r="P1113" s="604" t="inlineStr">
        <x:is>
          <x:t xml:space="preserve">已结算</x:t>
        </x:is>
      </x:c>
      <x:c r="Q1113" s="645" t="inlineStr">
        <x:is>
          <x:t xml:space="preserve">红</x:t>
        </x:is>
      </x:c>
      <x:c r="R1113" s="604" t="n">
        <x:v>0.9399999999999999</x:v>
      </x:c>
      <x:c r="S1113" s="604" t="n">
        <x:f>IF(OR(Q1113="",Q1113="待结算"),"",IF(Q1113="红",R1113,IF(Q1113="半红",R1113*0.5,IF(Q1113="走",0,IF(Q1113="半黑",-0.5,-1)))))</x:f>
        <x:v>0.94</x:v>
      </x:c>
      <x:c r="T1113" s="604" t="inlineStr">
        <x:is>
          <x:t xml:space="preserve">https://m.titan007.com/analy/Analysis/3097375.htm</x:t>
        </x:is>
      </x:c>
      <x:c r="U1113" s="646" t="str">
        <x:f>IF(Q1113="","",IF(Q1113="待结算","待结算",IF(Q1113="红","黑",IF(Q1113="半红","半黑",IF(Q1113="走","走",IF(Q1113="半黑","半红","红"))))))</x:f>
        <x:v>黑</x:v>
      </x:c>
      <x:c r="V1113" s="604" t="n">
        <x:f>IF(OR(Q1113="",Q1113="待结算"),"",IF(L1113=LEFT(F1113,FIND(" vs ",F1113)-1),I1113,G1113))</x:f>
        <x:v>0.88</x:v>
      </x:c>
      <x:c r="W1113" s="604" t="n">
        <x:f>IF(OR(U1113="",U1113="待结算"),"",IF(U1113="红",V1113,IF(U1113="半红",V1113*0.5,IF(U1113="走",0,IF(U1113="半黑",-0.5,-1)))))</x:f>
        <x:v>-1</x:v>
      </x:c>
      <x:c r="X1113" s="604" t="inlineStr">
        <x:is>
          <x:t xml:space="preserve">3097375</x:t>
        </x:is>
      </x:c>
      <x:c r="Y1113" s="604" t="inlineStr">
        <x:is>
          <x:t xml:space="preserve">V4</x:t>
        </x:is>
      </x:c>
      <x:c r="Z1113" s="604" t="inlineStr">
        <x:is>
          <x:t xml:space="preserve">prior-2026-10-06-v1</x:t>
        </x:is>
      </x:c>
      <x:c r="AA1113" s="604" t="inlineStr">
        <x:is>
          <x:t xml:space="preserve">C</x:t>
        </x:is>
      </x:c>
      <x:c r="AB1113" s="604" t="n">
        <x:v>0.3808912345620079</x:v>
      </x:c>
      <x:c r="AC1113" s="604" t="n">
        <x:v>0.2567276152700603</x:v>
      </x:c>
      <x:c r="AD1113" s="604" t="n"/>
      <x:c r="AE1113" s="604" t="n"/>
      <x:c r="AF1113" s="604" t="n">
        <x:v>0.3623811501679319</x:v>
      </x:c>
      <x:c r="AG1113" s="604" t="n">
        <x:v>0.1163185894972838</x:v>
      </x:c>
      <x:c r="AH1113" s="604" t="n"/>
      <x:c r="AI1113" s="604" t="n"/>
      <x:c r="AJ1113" s="604" t="n">
        <x:v>0.1163185894972838</x:v>
      </x:c>
      <x:c r="AK1113" s="604" t="n"/>
      <x:c r="AL1113" s="604" t="n"/>
      <x:c r="AM1113" s="604" t="n"/>
      <x:c r="AN1113" s="604" t="inlineStr">
        <x:is>
          <x:t xml:space="preserve">EVALUATED</x:t>
        </x:is>
      </x:c>
      <x:c r="AO1113" s="604" t="inlineStr">
        <x:is>
          <x:t xml:space="preserve">GIVING_VALIDATED_EDGE、BUCKET_PRIOR_ONLY、INTENT_INTERPRETATION_ONLY、FFL_OPTIONAL、EXPERT_MARKET</x:t>
        </x:is>
      </x:c>
      <x:c r="AP1113" s="604" t="inlineStr">
        <x:is>
          <x:t xml:space="preserve">94da920a26f72f8cce32</x:t>
        </x:is>
      </x:c>
      <x:c r="AQ1113" s="604" t="n">
        <x:v>-0.75</x:v>
      </x:c>
      <x:c r="AR1113" s="604" t="n">
        <x:v>0.9399999999999999</x:v>
      </x:c>
      <x:c r="AS1113" s="604" t="n">
        <x:v>0.75</x:v>
      </x:c>
      <x:c r="AT1113" s="604" t="n">
        <x:v>-0.75</x:v>
      </x:c>
      <x:c r="AU1113" s="604" t="n">
        <x:v>0.9399999999999999</x:v>
      </x:c>
      <x:c r="AV1113" s="604" t="n">
        <x:v>0.88</x:v>
      </x:c>
      <x:c r="AW1113" s="604" t="n">
        <x:v>46301.03159395833</x:v>
      </x:c>
      <x:c r="AX1113" s="604" t="inlineStr">
        <x:is>
          <x:t xml:space="preserve">https://simondongxiao.github.io/odds/v4/</x:t>
        </x:is>
      </x:c>
      <x:c r="AY1113" s="604" t="inlineStr">
        <x:is>
          <x:t xml:space="preserve">V4 Shadow Only；real_money=false；P(EV&gt;0)不是比赛胜率</x:t>
        </x:is>
      </x:c>
    </x:row>
    <x:row r="1114" ht="22" customHeight="1">
      <x:c r="A1114" s="604" t="inlineStr">
        <x:is>
          <x:t xml:space="preserve">2026-10-06</x:t>
        </x:is>
      </x:c>
      <x:c r="B1114" s="604" t="inlineStr">
        <x:is>
          <x:t xml:space="preserve">2026-10-06 19:00</x:t>
        </x:is>
      </x:c>
      <x:c r="C1114" s="604" t="str">
        <x:v>其他系列</x:v>
      </x:c>
      <x:c r="D1114" s="604" t="inlineStr">
        <x:is>
          <x:t xml:space="preserve">杯赛</x:t>
        </x:is>
      </x:c>
      <x:c r="E1114" s="604" t="inlineStr">
        <x:is>
          <x:t xml:space="preserve">越南杯</x:t>
        </x:is>
      </x:c>
      <x:c r="F1114" s="604" t="inlineStr">
        <x:is>
          <x:t xml:space="preserve">PVF人民公安 vs 顺化</x:t>
        </x:is>
      </x:c>
      <x:c r="G1114" s="604" t="n">
        <x:v>0.85</x:v>
      </x:c>
      <x:c r="H1114" s="604" t="n">
        <x:v>2.5</x:v>
      </x:c>
      <x:c r="I1114" s="604" t="n">
        <x:v>0.95</x:v>
      </x:c>
      <x:c r="J1114" s="604" t="inlineStr">
        <x:is>
          <x:t xml:space="preserve">0.85/2.5/0.95</x:t>
        </x:is>
      </x:c>
      <x:c r="K1114" s="604" t="inlineStr">
        <x:is>
          <x:t xml:space="preserve">V4-B｜EV +0.0874</x:t>
        </x:is>
      </x:c>
      <x:c r="L1114" s="604" t="inlineStr">
        <x:is>
          <x:t xml:space="preserve">PVF人民公安</x:t>
        </x:is>
      </x:c>
      <x:c r="M1114" s="604" t="n">
        <x:v>0.5877997159403979</x:v>
      </x:c>
      <x:c r="N1114" s="604" t="inlineStr">
        <x:is>
          <x:t xml:space="preserve">V4纸面入选-B</x:t>
        </x:is>
      </x:c>
      <x:c r="O1114" s="604" t="inlineStr">
        <x:is>
          <x:t xml:space="preserve">4-1</x:t>
        </x:is>
      </x:c>
      <x:c r="P1114" s="604" t="inlineStr">
        <x:is>
          <x:t xml:space="preserve">已结算</x:t>
        </x:is>
      </x:c>
      <x:c r="Q1114" s="645" t="inlineStr">
        <x:is>
          <x:t xml:space="preserve">红</x:t>
        </x:is>
      </x:c>
      <x:c r="R1114" s="604" t="n">
        <x:v>0.85</x:v>
      </x:c>
      <x:c r="S1114" s="604" t="n">
        <x:f>IF(OR(Q1114="",Q1114="待结算"),"",IF(Q1114="红",R1114,IF(Q1114="半红",R1114*0.5,IF(Q1114="走",0,IF(Q1114="半黑",-0.5,-1)))))</x:f>
        <x:v>0.85</x:v>
      </x:c>
      <x:c r="T1114" s="604" t="inlineStr">
        <x:is>
          <x:t xml:space="preserve">https://m.titan007.com/analy/Analysis/3075385.htm</x:t>
        </x:is>
      </x:c>
      <x:c r="U1114" s="646" t="str">
        <x:f>IF(Q1114="","",IF(Q1114="待结算","待结算",IF(Q1114="红","黑",IF(Q1114="半红","半黑",IF(Q1114="走","走",IF(Q1114="半黑","半红","红"))))))</x:f>
        <x:v>黑</x:v>
      </x:c>
      <x:c r="V1114" s="604" t="n">
        <x:f>IF(OR(Q1114="",Q1114="待结算"),"",IF(L1114=LEFT(F1114,FIND(" vs ",F1114)-1),I1114,G1114))</x:f>
        <x:v>0.95</x:v>
      </x:c>
      <x:c r="W1114" s="604" t="n">
        <x:f>IF(OR(U1114="",U1114="待结算"),"",IF(U1114="红",V1114,IF(U1114="半红",V1114*0.5,IF(U1114="走",0,IF(U1114="半黑",-0.5,-1)))))</x:f>
        <x:v>-1</x:v>
      </x:c>
      <x:c r="X1114" s="604" t="inlineStr">
        <x:is>
          <x:t xml:space="preserve">3075385</x:t>
        </x:is>
      </x:c>
      <x:c r="Y1114" s="604" t="inlineStr">
        <x:is>
          <x:t xml:space="preserve">V4</x:t>
        </x:is>
      </x:c>
      <x:c r="Z1114" s="604" t="inlineStr">
        <x:is>
          <x:t xml:space="preserve">prior-2026-10-06-v1</x:t>
        </x:is>
      </x:c>
      <x:c r="AA1114" s="604" t="inlineStr">
        <x:is>
          <x:t xml:space="preserve">B</x:t>
        </x:is>
      </x:c>
      <x:c r="AB1114" s="604" t="n">
        <x:v>0.5877997159403979</x:v>
      </x:c>
      <x:c r="AC1114" s="604" t="n"/>
      <x:c r="AD1114" s="604" t="n"/>
      <x:c r="AE1114" s="604" t="n"/>
      <x:c r="AF1114" s="604" t="n">
        <x:v>0.4122002840596021</x:v>
      </x:c>
      <x:c r="AG1114" s="604" t="n">
        <x:v>0.08742947448973615</x:v>
      </x:c>
      <x:c r="AH1114" s="604" t="n"/>
      <x:c r="AI1114" s="604" t="n"/>
      <x:c r="AJ1114" s="604" t="n">
        <x:v>0.08742947448973615</x:v>
      </x:c>
      <x:c r="AK1114" s="604" t="n"/>
      <x:c r="AL1114" s="604" t="n"/>
      <x:c r="AM1114" s="604" t="n"/>
      <x:c r="AN1114" s="604" t="inlineStr">
        <x:is>
          <x:t xml:space="preserve">EVALUATED</x:t>
        </x:is>
      </x:c>
      <x:c r="AO1114" s="604" t="inlineStr">
        <x:is>
          <x:t xml:space="preserve">GIVING_VALIDATED_EDGE、BUCKET_PRIOR_ONLY、INTENT_INTERPRETATION_ONLY、FFL_OPTIONAL、EXPERT_MARKET</x:t>
        </x:is>
      </x:c>
      <x:c r="AP1114" s="604" t="inlineStr">
        <x:is>
          <x:t xml:space="preserve">578c65e2b408d2c7392e</x:t>
        </x:is>
      </x:c>
      <x:c r="AQ1114" s="604" t="n">
        <x:v>-2.5</x:v>
      </x:c>
      <x:c r="AR1114" s="604" t="n">
        <x:v>0.85</x:v>
      </x:c>
      <x:c r="AS1114" s="604" t="n">
        <x:v>2.5</x:v>
      </x:c>
      <x:c r="AT1114" s="604" t="n">
        <x:v>-2.5</x:v>
      </x:c>
      <x:c r="AU1114" s="604" t="n">
        <x:v>0.85</x:v>
      </x:c>
      <x:c r="AV1114" s="604" t="n">
        <x:v>0.95</x:v>
      </x:c>
      <x:c r="AW1114" s="604" t="n">
        <x:v>46301.03159395833</x:v>
      </x:c>
      <x:c r="AX1114" s="604" t="inlineStr">
        <x:is>
          <x:t xml:space="preserve">https://simondongxiao.github.io/odds/v4/</x:t>
        </x:is>
      </x:c>
      <x:c r="AY1114" s="604" t="inlineStr">
        <x:is>
          <x:t xml:space="preserve">V4 Shadow Only；real_money=false；P(EV&gt;0)不是比赛胜率</x:t>
        </x:is>
      </x:c>
    </x:row>
    <x:row r="1115" ht="22" customHeight="1">
      <x:c r="A1115" s="604" t="inlineStr">
        <x:is>
          <x:t xml:space="preserve">2026-10-06</x:t>
        </x:is>
      </x:c>
      <x:c r="B1115" s="604" t="inlineStr">
        <x:is>
          <x:t xml:space="preserve">2026-10-06 19:30</x:t>
        </x:is>
      </x:c>
      <x:c r="C1115" s="604" t="str">
        <x:v>日韩系列</x:v>
      </x:c>
      <x:c r="D1115" s="604" t="inlineStr">
        <x:is>
          <x:t xml:space="preserve">联赛</x:t>
        </x:is>
      </x:c>
      <x:c r="E1115" s="604" t="inlineStr">
        <x:is>
          <x:t xml:space="preserve">中甲</x:t>
        </x:is>
      </x:c>
      <x:c r="F1115" s="604" t="inlineStr">
        <x:is>
          <x:t xml:space="preserve">南通支云 vs 宁波职业足球俱乐部</x:t>
        </x:is>
      </x:c>
      <x:c r="G1115" s="604" t="n">
        <x:v>0.65</x:v>
      </x:c>
      <x:c r="H1115" s="604" t="n">
        <x:v>1</x:v>
      </x:c>
      <x:c r="I1115" s="604" t="n">
        <x:v>1.05</x:v>
      </x:c>
      <x:c r="J1115" s="604" t="inlineStr">
        <x:is>
          <x:t xml:space="preserve">0.65/1/1.05</x:t>
        </x:is>
      </x:c>
      <x:c r="K1115" s="604" t="inlineStr">
        <x:is>
          <x:t xml:space="preserve">V4-B｜EV +0.1643</x:t>
        </x:is>
      </x:c>
      <x:c r="L1115" s="604" t="inlineStr">
        <x:is>
          <x:t xml:space="preserve">南通支云</x:t>
        </x:is>
      </x:c>
      <x:c r="M1115" s="604" t="n">
        <x:v>0.7374085501532294</x:v>
      </x:c>
      <x:c r="N1115" s="604" t="inlineStr">
        <x:is>
          <x:t xml:space="preserve">V4纸面入选-B</x:t>
        </x:is>
      </x:c>
      <x:c r="O1115" s="604" t="inlineStr">
        <x:is>
          <x:t xml:space="preserve">1-0</x:t>
        </x:is>
      </x:c>
      <x:c r="P1115" s="604" t="inlineStr">
        <x:is>
          <x:t xml:space="preserve">已结算</x:t>
        </x:is>
      </x:c>
      <x:c r="Q1115" s="647" t="inlineStr">
        <x:is>
          <x:t xml:space="preserve">走</x:t>
        </x:is>
      </x:c>
      <x:c r="R1115" s="604" t="n">
        <x:v>0.65</x:v>
      </x:c>
      <x:c r="S1115" s="604" t="n">
        <x:f>IF(OR(Q1115="",Q1115="待结算"),"",IF(Q1115="红",R1115,IF(Q1115="半红",R1115*0.5,IF(Q1115="走",0,IF(Q1115="半黑",-0.5,-1)))))</x:f>
        <x:v>0</x:v>
      </x:c>
      <x:c r="T1115" s="604" t="inlineStr">
        <x:is>
          <x:t xml:space="preserve">https://m.titan007.com/analy/Analysis/2951663.htm</x:t>
        </x:is>
      </x:c>
      <x:c r="U1115" s="647" t="str">
        <x:f>IF(Q1115="","",IF(Q1115="待结算","待结算",IF(Q1115="红","黑",IF(Q1115="半红","半黑",IF(Q1115="走","走",IF(Q1115="半黑","半红","红"))))))</x:f>
        <x:v>走</x:v>
      </x:c>
      <x:c r="V1115" s="604" t="n">
        <x:f>IF(OR(Q1115="",Q1115="待结算"),"",IF(L1115=LEFT(F1115,FIND(" vs ",F1115)-1),I1115,G1115))</x:f>
        <x:v>1.05</x:v>
      </x:c>
      <x:c r="W1115" s="604" t="n">
        <x:f>IF(OR(U1115="",U1115="待结算"),"",IF(U1115="红",V1115,IF(U1115="半红",V1115*0.5,IF(U1115="走",0,IF(U1115="半黑",-0.5,-1)))))</x:f>
        <x:v>0</x:v>
      </x:c>
      <x:c r="X1115" s="604" t="inlineStr">
        <x:is>
          <x:t xml:space="preserve">2951663</x:t>
        </x:is>
      </x:c>
      <x:c r="Y1115" s="604" t="inlineStr">
        <x:is>
          <x:t xml:space="preserve">V4</x:t>
        </x:is>
      </x:c>
      <x:c r="Z1115" s="604" t="inlineStr">
        <x:is>
          <x:t xml:space="preserve">prior-2026-10-06-v1</x:t>
        </x:is>
      </x:c>
      <x:c r="AA1115" s="604" t="inlineStr">
        <x:is>
          <x:t xml:space="preserve">B</x:t>
        </x:is>
      </x:c>
      <x:c r="AB1115" s="604" t="n">
        <x:v>0.5589470983005795</x:v>
      </x:c>
      <x:c r="AC1115" s="604" t="n"/>
      <x:c r="AD1115" s="604" t="n">
        <x:v>0.2420116390236682</x:v>
      </x:c>
      <x:c r="AE1115" s="604" t="n"/>
      <x:c r="AF1115" s="604" t="n">
        <x:v>0.1990412626757523</x:v>
      </x:c>
      <x:c r="AG1115" s="604" t="n">
        <x:v>0.1642743512196244</x:v>
      </x:c>
      <x:c r="AH1115" s="604" t="n"/>
      <x:c r="AI1115" s="604" t="n"/>
      <x:c r="AJ1115" s="604" t="n">
        <x:v>0.1642743512196244</x:v>
      </x:c>
      <x:c r="AK1115" s="604" t="n"/>
      <x:c r="AL1115" s="604" t="n"/>
      <x:c r="AM1115" s="604" t="n"/>
      <x:c r="AN1115" s="604" t="inlineStr">
        <x:is>
          <x:t xml:space="preserve">EVALUATED</x:t>
        </x:is>
      </x:c>
      <x:c r="AO1115" s="604" t="inlineStr">
        <x:is>
          <x:t xml:space="preserve">GIVING_VALIDATED_EDGE、BUCKET_PRIOR_ONLY、INTENT_INTERPRETATION_ONLY、FFL_OPTIONAL、EXPERT_MARKET</x:t>
        </x:is>
      </x:c>
      <x:c r="AP1115" s="604" t="inlineStr">
        <x:is>
          <x:t xml:space="preserve">724c48ac81cbb0c73e05</x:t>
        </x:is>
      </x:c>
      <x:c r="AQ1115" s="604" t="n">
        <x:v>-1</x:v>
      </x:c>
      <x:c r="AR1115" s="604" t="n">
        <x:v>0.65</x:v>
      </x:c>
      <x:c r="AS1115" s="604" t="n">
        <x:v>1</x:v>
      </x:c>
      <x:c r="AT1115" s="604" t="n">
        <x:v>-1</x:v>
      </x:c>
      <x:c r="AU1115" s="604" t="n">
        <x:v>0.65</x:v>
      </x:c>
      <x:c r="AV1115" s="604" t="n">
        <x:v>1.05</x:v>
      </x:c>
      <x:c r="AW1115" s="604" t="n">
        <x:v>46301.03159395833</x:v>
      </x:c>
      <x:c r="AX1115" s="604" t="inlineStr">
        <x:is>
          <x:t xml:space="preserve">https://simondongxiao.github.io/odds/v4/</x:t>
        </x:is>
      </x:c>
      <x:c r="AY1115" s="604" t="inlineStr">
        <x:is>
          <x:t xml:space="preserve">V4 Shadow Only；real_money=false；P(EV&gt;0)不是比赛胜率</x:t>
        </x:is>
      </x:c>
    </x:row>
    <x:row r="1116" ht="22" customHeight="1">
      <x:c r="A1116" s="604" t="inlineStr">
        <x:is>
          <x:t xml:space="preserve">2026-10-06</x:t>
        </x:is>
      </x:c>
      <x:c r="B1116" s="604" t="inlineStr">
        <x:is>
          <x:t xml:space="preserve">2026-10-06 19:30</x:t>
        </x:is>
      </x:c>
      <x:c r="C1116" s="604" t="str">
        <x:v>日韩系列</x:v>
      </x:c>
      <x:c r="D1116" s="604" t="inlineStr">
        <x:is>
          <x:t xml:space="preserve">联赛</x:t>
        </x:is>
      </x:c>
      <x:c r="E1116" s="604" t="inlineStr">
        <x:is>
          <x:t xml:space="preserve">中乙</x:t>
        </x:is>
      </x:c>
      <x:c r="F1116" s="604" t="inlineStr">
        <x:is>
          <x:t xml:space="preserve">杭州临平吴越 vs 山西崇德荣海</x:t>
        </x:is>
      </x:c>
      <x:c r="G1116" s="604" t="n">
        <x:v>0.9</x:v>
      </x:c>
      <x:c r="H1116" s="604" t="n">
        <x:v>-0.25</x:v>
      </x:c>
      <x:c r="I1116" s="604" t="n">
        <x:v>0.9</x:v>
      </x:c>
      <x:c r="J1116" s="604" t="inlineStr">
        <x:is>
          <x:t xml:space="preserve">0.9/-0.25/0.9</x:t>
        </x:is>
      </x:c>
      <x:c r="K1116" s="604" t="inlineStr">
        <x:is>
          <x:t xml:space="preserve">V4-B｜EV +0.4347</x:t>
        </x:is>
      </x:c>
      <x:c r="L1116" s="604" t="inlineStr">
        <x:is>
          <x:t xml:space="preserve">杭州临平吴越</x:t>
        </x:is>
      </x:c>
      <x:c r="M1116" s="604" t="n">
        <x:v>0.7861870869153835</x:v>
      </x:c>
      <x:c r="N1116" s="604" t="inlineStr">
        <x:is>
          <x:t xml:space="preserve">V4纸面入选-B</x:t>
        </x:is>
      </x:c>
      <x:c r="O1116" s="604" t="inlineStr">
        <x:is>
          <x:t xml:space="preserve">0-0</x:t>
        </x:is>
      </x:c>
      <x:c r="P1116" s="604" t="inlineStr">
        <x:is>
          <x:t xml:space="preserve">已结算</x:t>
        </x:is>
      </x:c>
      <x:c r="Q1116" s="649" t="inlineStr">
        <x:is>
          <x:t xml:space="preserve">半红</x:t>
        </x:is>
      </x:c>
      <x:c r="R1116" s="604" t="n">
        <x:v>0.9</x:v>
      </x:c>
      <x:c r="S1116" s="604" t="n">
        <x:f>IF(OR(Q1116="",Q1116="待结算"),"",IF(Q1116="红",R1116,IF(Q1116="半红",R1116*0.5,IF(Q1116="走",0,IF(Q1116="半黑",-0.5,-1)))))</x:f>
        <x:v>0.45</x:v>
      </x:c>
      <x:c r="T1116" s="604" t="inlineStr">
        <x:is>
          <x:t xml:space="preserve">https://m.titan007.com/analy/Analysis/3087143.htm</x:t>
        </x:is>
      </x:c>
      <x:c r="U1116" s="648" t="str">
        <x:f>IF(Q1116="","",IF(Q1116="待结算","待结算",IF(Q1116="红","黑",IF(Q1116="半红","半黑",IF(Q1116="走","走",IF(Q1116="半黑","半红","红"))))))</x:f>
        <x:v>半黑</x:v>
      </x:c>
      <x:c r="V1116" s="604" t="n">
        <x:f>IF(OR(Q1116="",Q1116="待结算"),"",IF(L1116=LEFT(F1116,FIND(" vs ",F1116)-1),I1116,G1116))</x:f>
        <x:v>0.9</x:v>
      </x:c>
      <x:c r="W1116" s="604" t="n">
        <x:f>IF(OR(U1116="",U1116="待结算"),"",IF(U1116="红",V1116,IF(U1116="半红",V1116*0.5,IF(U1116="走",0,IF(U1116="半黑",-0.5,-1)))))</x:f>
        <x:v>-0.5</x:v>
      </x:c>
      <x:c r="X1116" s="604" t="inlineStr">
        <x:is>
          <x:t xml:space="preserve">3087143</x:t>
        </x:is>
      </x:c>
      <x:c r="Y1116" s="604" t="inlineStr">
        <x:is>
          <x:t xml:space="preserve">V4</x:t>
        </x:is>
      </x:c>
      <x:c r="Z1116" s="604" t="inlineStr">
        <x:is>
          <x:t xml:space="preserve">prior-2026-10-06-v1</x:t>
        </x:is>
      </x:c>
      <x:c r="AA1116" s="604" t="inlineStr">
        <x:is>
          <x:t xml:space="preserve">B</x:t>
        </x:is>
      </x:c>
      <x:c r="AB1116" s="604" t="n">
        <x:v>0.5725525390506457</x:v>
      </x:c>
      <x:c r="AC1116" s="604" t="n">
        <x:v>0.2392073589935859</x:v>
      </x:c>
      <x:c r="AD1116" s="604" t="n"/>
      <x:c r="AE1116" s="604" t="n"/>
      <x:c r="AF1116" s="604" t="n">
        <x:v>0.1882401019557683</x:v>
      </x:c>
      <x:c r="AG1116" s="604" t="n">
        <x:v>0.4347004947369265</x:v>
      </x:c>
      <x:c r="AH1116" s="604" t="n"/>
      <x:c r="AI1116" s="604" t="n"/>
      <x:c r="AJ1116" s="604" t="n">
        <x:v>0.4347004947369265</x:v>
      </x:c>
      <x:c r="AK1116" s="604" t="n"/>
      <x:c r="AL1116" s="604" t="n"/>
      <x:c r="AM1116" s="604" t="n"/>
      <x:c r="AN1116" s="604" t="inlineStr">
        <x:is>
          <x:t xml:space="preserve">EVALUATED</x:t>
        </x:is>
      </x:c>
      <x:c r="AO1116" s="604" t="inlineStr">
        <x:is>
          <x:t xml:space="preserve">RECEIVING_VALIDATED_EDGE、BUCKET_PRIOR_ONLY、INTENT_INTERPRETATION_ONLY、FFL_OPTIONAL、EXPERT_MARKET</x:t>
        </x:is>
      </x:c>
      <x:c r="AP1116" s="604" t="inlineStr">
        <x:is>
          <x:t xml:space="preserve">ab58cf2984e455a15af8</x:t>
        </x:is>
      </x:c>
      <x:c r="AQ1116" s="604" t="n">
        <x:v>0.25</x:v>
      </x:c>
      <x:c r="AR1116" s="604" t="n">
        <x:v>0.9</x:v>
      </x:c>
      <x:c r="AS1116" s="604" t="n">
        <x:v>-0.25</x:v>
      </x:c>
      <x:c r="AT1116" s="604" t="n">
        <x:v>0.25</x:v>
      </x:c>
      <x:c r="AU1116" s="604" t="n">
        <x:v>0.9</x:v>
      </x:c>
      <x:c r="AV1116" s="604" t="n">
        <x:v>0.9</x:v>
      </x:c>
      <x:c r="AW1116" s="604" t="n">
        <x:v>46301.03159395833</x:v>
      </x:c>
      <x:c r="AX1116" s="604" t="inlineStr">
        <x:is>
          <x:t xml:space="preserve">https://simondongxiao.github.io/odds/v4/</x:t>
        </x:is>
      </x:c>
      <x:c r="AY1116" s="604" t="inlineStr">
        <x:is>
          <x:t xml:space="preserve">V4 Shadow Only；real_money=false；P(EV&gt;0)不是比赛胜率</x:t>
        </x:is>
      </x:c>
    </x:row>
    <x:row r="1117" ht="22" customHeight="1">
      <x:c r="A1117" s="604" t="inlineStr">
        <x:is>
          <x:t xml:space="preserve">2026-10-06</x:t>
        </x:is>
      </x:c>
      <x:c r="B1117" s="604" t="inlineStr">
        <x:is>
          <x:t xml:space="preserve">2026-10-06 19:30</x:t>
        </x:is>
      </x:c>
      <x:c r="C1117" s="604" t="str">
        <x:v>日韩系列</x:v>
      </x:c>
      <x:c r="D1117" s="604" t="inlineStr">
        <x:is>
          <x:t xml:space="preserve">联赛</x:t>
        </x:is>
      </x:c>
      <x:c r="E1117" s="604" t="inlineStr">
        <x:is>
          <x:t xml:space="preserve">中乙</x:t>
        </x:is>
      </x:c>
      <x:c r="F1117" s="604" t="inlineStr">
        <x:is>
          <x:t xml:space="preserve">贵州贵阳竞技 vs 上海海港B队</x:t>
        </x:is>
      </x:c>
      <x:c r="G1117" s="604" t="n">
        <x:v>0.85</x:v>
      </x:c>
      <x:c r="H1117" s="604" t="n">
        <x:v>0.5</x:v>
      </x:c>
      <x:c r="I1117" s="604" t="n">
        <x:v>0.95</x:v>
      </x:c>
      <x:c r="J1117" s="604" t="inlineStr">
        <x:is>
          <x:t xml:space="preserve">0.85/0.5/0.95</x:t>
        </x:is>
      </x:c>
      <x:c r="K1117" s="604" t="inlineStr">
        <x:is>
          <x:t xml:space="preserve">V4-B｜EV +0.0820</x:t>
        </x:is>
      </x:c>
      <x:c r="L1117" s="604" t="inlineStr">
        <x:is>
          <x:t xml:space="preserve">贵州贵阳竞技</x:t>
        </x:is>
      </x:c>
      <x:c r="M1117" s="604" t="n">
        <x:v>0.5848814849886986</x:v>
      </x:c>
      <x:c r="N1117" s="604" t="inlineStr">
        <x:is>
          <x:t xml:space="preserve">V4纸面入选-B</x:t>
        </x:is>
      </x:c>
      <x:c r="O1117" s="604" t="inlineStr">
        <x:is>
          <x:t xml:space="preserve">2-1</x:t>
        </x:is>
      </x:c>
      <x:c r="P1117" s="604" t="inlineStr">
        <x:is>
          <x:t xml:space="preserve">已结算</x:t>
        </x:is>
      </x:c>
      <x:c r="Q1117" s="645" t="inlineStr">
        <x:is>
          <x:t xml:space="preserve">红</x:t>
        </x:is>
      </x:c>
      <x:c r="R1117" s="604" t="n">
        <x:v>0.85</x:v>
      </x:c>
      <x:c r="S1117" s="604" t="n">
        <x:f>IF(OR(Q1117="",Q1117="待结算"),"",IF(Q1117="红",R1117,IF(Q1117="半红",R1117*0.5,IF(Q1117="走",0,IF(Q1117="半黑",-0.5,-1)))))</x:f>
        <x:v>0.85</x:v>
      </x:c>
      <x:c r="T1117" s="604" t="inlineStr">
        <x:is>
          <x:t xml:space="preserve">https://m.titan007.com/analy/Analysis/3087144.htm</x:t>
        </x:is>
      </x:c>
      <x:c r="U1117" s="646" t="str">
        <x:f>IF(Q1117="","",IF(Q1117="待结算","待结算",IF(Q1117="红","黑",IF(Q1117="半红","半黑",IF(Q1117="走","走",IF(Q1117="半黑","半红","红"))))))</x:f>
        <x:v>黑</x:v>
      </x:c>
      <x:c r="V1117" s="604" t="n">
        <x:f>IF(OR(Q1117="",Q1117="待结算"),"",IF(L1117=LEFT(F1117,FIND(" vs ",F1117)-1),I1117,G1117))</x:f>
        <x:v>0.95</x:v>
      </x:c>
      <x:c r="W1117" s="604" t="n">
        <x:f>IF(OR(U1117="",U1117="待结算"),"",IF(U1117="红",V1117,IF(U1117="半红",V1117*0.5,IF(U1117="走",0,IF(U1117="半黑",-0.5,-1)))))</x:f>
        <x:v>-1</x:v>
      </x:c>
      <x:c r="X1117" s="604" t="inlineStr">
        <x:is>
          <x:t xml:space="preserve">3087144</x:t>
        </x:is>
      </x:c>
      <x:c r="Y1117" s="604" t="inlineStr">
        <x:is>
          <x:t xml:space="preserve">V4</x:t>
        </x:is>
      </x:c>
      <x:c r="Z1117" s="604" t="inlineStr">
        <x:is>
          <x:t xml:space="preserve">prior-2026-10-06-v1</x:t>
        </x:is>
      </x:c>
      <x:c r="AA1117" s="604" t="inlineStr">
        <x:is>
          <x:t xml:space="preserve">B</x:t>
        </x:is>
      </x:c>
      <x:c r="AB1117" s="604" t="n">
        <x:v>0.5848814849886986</x:v>
      </x:c>
      <x:c r="AC1117" s="604" t="n"/>
      <x:c r="AD1117" s="604" t="n"/>
      <x:c r="AE1117" s="604" t="n"/>
      <x:c r="AF1117" s="604" t="n">
        <x:v>0.4151185150113014</x:v>
      </x:c>
      <x:c r="AG1117" s="604" t="n">
        <x:v>0.08203074722909243</x:v>
      </x:c>
      <x:c r="AH1117" s="604" t="n"/>
      <x:c r="AI1117" s="604" t="n"/>
      <x:c r="AJ1117" s="604" t="n">
        <x:v>0.08203074722909243</x:v>
      </x:c>
      <x:c r="AK1117" s="604" t="n"/>
      <x:c r="AL1117" s="604" t="n"/>
      <x:c r="AM1117" s="604" t="n"/>
      <x:c r="AN1117" s="604" t="inlineStr">
        <x:is>
          <x:t xml:space="preserve">EVALUATED</x:t>
        </x:is>
      </x:c>
      <x:c r="AO1117" s="604" t="inlineStr">
        <x:is>
          <x:t xml:space="preserve">GIVING_VALIDATED_EDGE、BUCKET_PRIOR_ONLY、INTENT_INTERPRETATION_ONLY、FFL_OPTIONAL、EXPERT_MARKET</x:t>
        </x:is>
      </x:c>
      <x:c r="AP1117" s="604" t="inlineStr">
        <x:is>
          <x:t xml:space="preserve">d056c7e6c14442633d3c</x:t>
        </x:is>
      </x:c>
      <x:c r="AQ1117" s="604" t="n">
        <x:v>-0.5</x:v>
      </x:c>
      <x:c r="AR1117" s="604" t="n">
        <x:v>0.85</x:v>
      </x:c>
      <x:c r="AS1117" s="604" t="n">
        <x:v>0.5</x:v>
      </x:c>
      <x:c r="AT1117" s="604" t="n">
        <x:v>-0.5</x:v>
      </x:c>
      <x:c r="AU1117" s="604" t="n">
        <x:v>0.85</x:v>
      </x:c>
      <x:c r="AV1117" s="604" t="n">
        <x:v>0.95</x:v>
      </x:c>
      <x:c r="AW1117" s="604" t="n">
        <x:v>46301.03159395833</x:v>
      </x:c>
      <x:c r="AX1117" s="604" t="inlineStr">
        <x:is>
          <x:t xml:space="preserve">https://simondongxiao.github.io/odds/v4/</x:t>
        </x:is>
      </x:c>
      <x:c r="AY1117" s="604" t="inlineStr">
        <x:is>
          <x:t xml:space="preserve">V4 Shadow Only；real_money=false；P(EV&gt;0)不是比赛胜率</x:t>
        </x:is>
      </x:c>
    </x:row>
    <x:row r="1118" ht="22" customHeight="1">
      <x:c r="A1118" s="604" t="inlineStr">
        <x:is>
          <x:t xml:space="preserve">2026-10-06</x:t>
        </x:is>
      </x:c>
      <x:c r="B1118" s="604" t="inlineStr">
        <x:is>
          <x:t xml:space="preserve">2026-10-06 19:30</x:t>
        </x:is>
      </x:c>
      <x:c r="C1118" s="604" t="str">
        <x:v>日韩系列</x:v>
      </x:c>
      <x:c r="D1118" s="604" t="inlineStr">
        <x:is>
          <x:t xml:space="preserve">联赛</x:t>
        </x:is>
      </x:c>
      <x:c r="E1118" s="604" t="inlineStr">
        <x:is>
          <x:t xml:space="preserve">中乙</x:t>
        </x:is>
      </x:c>
      <x:c r="F1118" s="604" t="inlineStr">
        <x:is>
          <x:t xml:space="preserve">深圳2028 vs 山东泰山金钢山队</x:t>
        </x:is>
      </x:c>
      <x:c r="G1118" s="604" t="n">
        <x:v>0.93</x:v>
      </x:c>
      <x:c r="H1118" s="604" t="n">
        <x:v>0</x:v>
      </x:c>
      <x:c r="I1118" s="604" t="n">
        <x:v>0.88</x:v>
      </x:c>
      <x:c r="J1118" s="604" t="inlineStr">
        <x:is>
          <x:t xml:space="preserve">0.93/0/0.88</x:t>
        </x:is>
      </x:c>
      <x:c r="K1118" s="604" t="inlineStr">
        <x:is>
          <x:t xml:space="preserve">V4-C｜EV +0.0107</x:t>
        </x:is>
      </x:c>
      <x:c r="L1118" s="604" t="str"/>
      <x:c r="M1118" s="604" t="n">
        <x:v>0.5244877718141765</x:v>
      </x:c>
      <x:c r="N1118" s="604" t="inlineStr">
        <x:is>
          <x:t xml:space="preserve">V4纸面入选-C</x:t>
        </x:is>
      </x:c>
      <x:c r="O1118" s="604" t="inlineStr">
        <x:is>
          <x:t xml:space="preserve">0-2</x:t>
        </x:is>
      </x:c>
      <x:c r="P1118" s="604" t="inlineStr">
        <x:is>
          <x:t xml:space="preserve">已结算</x:t>
        </x:is>
      </x:c>
      <x:c r="Q1118" s="646" t="inlineStr">
        <x:is>
          <x:t xml:space="preserve">黑</x:t>
        </x:is>
      </x:c>
      <x:c r="R1118" s="604" t="n">
        <x:v>0.88</x:v>
      </x:c>
      <x:c r="S1118" s="604" t="n">
        <x:f>IF(OR(Q1118="",Q1118="待结算"),"",IF(Q1118="红",R1118,IF(Q1118="半红",R1118*0.5,IF(Q1118="走",0,IF(Q1118="半黑",-0.5,-1)))))</x:f>
        <x:v>-1</x:v>
      </x:c>
      <x:c r="T1118" s="604" t="inlineStr">
        <x:is>
          <x:t xml:space="preserve">https://m.titan007.com/analy/Analysis/3087145.htm</x:t>
        </x:is>
      </x:c>
      <x:c r="U1118" s="645" t="str">
        <x:f>IF(Q1118="","",IF(Q1118="待结算","待结算",IF(Q1118="红","黑",IF(Q1118="半红","半黑",IF(Q1118="走","走",IF(Q1118="半黑","半红","红"))))))</x:f>
        <x:v>红</x:v>
      </x:c>
      <x:c r="V1118" s="604" t="n">
        <x:f>IF(OR(Q1118="",Q1118="待结算"),"",IF(L1118=LEFT(F1118,FIND(" vs ",F1118)-1),I1118,G1118))</x:f>
        <x:v>0.93</x:v>
      </x:c>
      <x:c r="W1118" s="604" t="n">
        <x:f>IF(OR(U1118="",U1118="待结算"),"",IF(U1118="红",V1118,IF(U1118="半红",V1118*0.5,IF(U1118="走",0,IF(U1118="半黑",-0.5,-1)))))</x:f>
        <x:v>0.93</x:v>
      </x:c>
      <x:c r="X1118" s="604" t="inlineStr">
        <x:is>
          <x:t xml:space="preserve">3087145</x:t>
        </x:is>
      </x:c>
      <x:c r="Y1118" s="604" t="inlineStr">
        <x:is>
          <x:t xml:space="preserve">V4</x:t>
        </x:is>
      </x:c>
      <x:c r="Z1118" s="604" t="inlineStr">
        <x:is>
          <x:t xml:space="preserve">prior-2026-10-06-v1</x:t>
        </x:is>
      </x:c>
      <x:c r="AA1118" s="604" t="inlineStr">
        <x:is>
          <x:t xml:space="preserve">C</x:t>
        </x:is>
      </x:c>
      <x:c r="AB1118" s="604" t="n">
        <x:v>0.4563037103845909</x:v>
      </x:c>
      <x:c r="AC1118" s="604" t="n"/>
      <x:c r="AD1118" s="604" t="n"/>
      <x:c r="AE1118" s="604" t="n">
        <x:v>0.2600024827794953</x:v>
      </x:c>
      <x:c r="AF1118" s="604" t="n">
        <x:v>0.2836938068359138</x:v>
      </x:c>
      <x:c r="AG1118" s="604" t="n">
        <x:v>0.01066740243200803</x:v>
      </x:c>
      <x:c r="AH1118" s="604" t="n"/>
      <x:c r="AI1118" s="604" t="n"/>
      <x:c r="AJ1118" s="604" t="n">
        <x:v>0.01066740243200803</x:v>
      </x:c>
      <x:c r="AK1118" s="604" t="n"/>
      <x:c r="AL1118" s="604" t="n"/>
      <x:c r="AM1118" s="604" t="n"/>
      <x:c r="AN1118" s="604" t="inlineStr">
        <x:is>
          <x:t xml:space="preserve">EVALUATED</x:t>
        </x:is>
      </x:c>
      <x:c r="AO1118" s="604" t="inlineStr">
        <x:is>
          <x:t xml:space="preserve">EDGE_BELOW_UNCERTAINTY_THRESHOLD、BUCKET_PRIOR_ONLY、INTENT_INTERPRETATION_ONLY、FFL_OPTIONAL、EXPERT_MARKET</x:t>
        </x:is>
      </x:c>
      <x:c r="AP1118" s="604" t="inlineStr">
        <x:is>
          <x:t xml:space="preserve">289cfbabcf6fa9aa9b13</x:t>
        </x:is>
      </x:c>
      <x:c r="AQ1118" s="604" t="n">
        <x:v>0</x:v>
      </x:c>
      <x:c r="AR1118" s="604" t="n"/>
      <x:c r="AS1118" s="604" t="n">
        <x:v>0</x:v>
      </x:c>
      <x:c r="AT1118" s="604" t="n">
        <x:v>0</x:v>
      </x:c>
      <x:c r="AU1118" s="604" t="n">
        <x:v>0.93</x:v>
      </x:c>
      <x:c r="AV1118" s="604" t="n">
        <x:v>0.88</x:v>
      </x:c>
      <x:c r="AW1118" s="604" t="n">
        <x:v>46301.03159395833</x:v>
      </x:c>
      <x:c r="AX1118" s="604" t="inlineStr">
        <x:is>
          <x:t xml:space="preserve">https://simondongxiao.github.io/odds/v4/</x:t>
        </x:is>
      </x:c>
      <x:c r="AY1118" s="604" t="inlineStr">
        <x:is>
          <x:t xml:space="preserve">V4 Shadow Only；real_money=false；P(EV&gt;0)不是比赛胜率</x:t>
        </x:is>
      </x:c>
    </x:row>
    <x:row r="1119" ht="22" customHeight="1">
      <x:c r="A1119" s="604" t="inlineStr">
        <x:is>
          <x:t xml:space="preserve">2026-10-06</x:t>
        </x:is>
      </x:c>
      <x:c r="B1119" s="604" t="inlineStr">
        <x:is>
          <x:t xml:space="preserve">2026-10-06 19:30</x:t>
        </x:is>
      </x:c>
      <x:c r="C1119" s="604" t="str">
        <x:v>日韩系列</x:v>
      </x:c>
      <x:c r="D1119" s="604" t="inlineStr">
        <x:is>
          <x:t xml:space="preserve">联赛</x:t>
        </x:is>
      </x:c>
      <x:c r="E1119" s="604" t="inlineStr">
        <x:is>
          <x:t xml:space="preserve">中乙降A</x:t>
        </x:is>
      </x:c>
      <x:c r="F1119" s="604" t="inlineStr">
        <x:is>
          <x:t xml:space="preserve">广东铭途 vs 大连英博B队</x:t>
        </x:is>
      </x:c>
      <x:c r="G1119" s="604" t="n">
        <x:v>0.83</x:v>
      </x:c>
      <x:c r="H1119" s="604" t="n">
        <x:v>0</x:v>
      </x:c>
      <x:c r="I1119" s="604" t="n">
        <x:v>0.98</x:v>
      </x:c>
      <x:c r="J1119" s="604" t="inlineStr">
        <x:is>
          <x:t xml:space="preserve">0.83/0/0.98</x:t>
        </x:is>
      </x:c>
      <x:c r="K1119" s="604" t="inlineStr">
        <x:is>
          <x:t xml:space="preserve">V4-C｜EV +0.0249</x:t>
        </x:is>
      </x:c>
      <x:c r="L1119" s="604" t="str"/>
      <x:c r="M1119" s="604" t="n">
        <x:v>0.5620462196598057</x:v>
      </x:c>
      <x:c r="N1119" s="604" t="inlineStr">
        <x:is>
          <x:t xml:space="preserve">V4纸面入选-C</x:t>
        </x:is>
      </x:c>
      <x:c r="O1119" s="604" t="inlineStr">
        <x:is>
          <x:t xml:space="preserve">1-1</x:t>
        </x:is>
      </x:c>
      <x:c r="P1119" s="604" t="inlineStr">
        <x:is>
          <x:t xml:space="preserve">已结算</x:t>
        </x:is>
      </x:c>
      <x:c r="Q1119" s="647" t="inlineStr">
        <x:is>
          <x:t xml:space="preserve">走</x:t>
        </x:is>
      </x:c>
      <x:c r="R1119" s="604" t="n">
        <x:v>0.98</x:v>
      </x:c>
      <x:c r="S1119" s="604" t="n">
        <x:f>IF(OR(Q1119="",Q1119="待结算"),"",IF(Q1119="红",R1119,IF(Q1119="半红",R1119*0.5,IF(Q1119="走",0,IF(Q1119="半黑",-0.5,-1)))))</x:f>
        <x:v>0</x:v>
      </x:c>
      <x:c r="T1119" s="604" t="inlineStr">
        <x:is>
          <x:t xml:space="preserve">https://m.titan007.com/analy/Analysis/3087675.htm</x:t>
        </x:is>
      </x:c>
      <x:c r="U1119" s="647" t="str">
        <x:f>IF(Q1119="","",IF(Q1119="待结算","待结算",IF(Q1119="红","黑",IF(Q1119="半红","半黑",IF(Q1119="走","走",IF(Q1119="半黑","半红","红"))))))</x:f>
        <x:v>走</x:v>
      </x:c>
      <x:c r="V1119" s="604" t="n">
        <x:f>IF(OR(Q1119="",Q1119="待结算"),"",IF(L1119=LEFT(F1119,FIND(" vs ",F1119)-1),I1119,G1119))</x:f>
        <x:v>0.83</x:v>
      </x:c>
      <x:c r="W1119" s="604" t="n">
        <x:f>IF(OR(U1119="",U1119="待结算"),"",IF(U1119="红",V1119,IF(U1119="半红",V1119*0.5,IF(U1119="走",0,IF(U1119="半黑",-0.5,-1)))))</x:f>
        <x:v>0</x:v>
      </x:c>
      <x:c r="X1119" s="604" t="inlineStr">
        <x:is>
          <x:t xml:space="preserve">3087675</x:t>
        </x:is>
      </x:c>
      <x:c r="Y1119" s="604" t="inlineStr">
        <x:is>
          <x:t xml:space="preserve">V4</x:t>
        </x:is>
      </x:c>
      <x:c r="Z1119" s="604" t="inlineStr">
        <x:is>
          <x:t xml:space="preserve">prior-2026-10-06-v1</x:t>
        </x:is>
      </x:c>
      <x:c r="AA1119" s="604" t="inlineStr">
        <x:is>
          <x:t xml:space="preserve">C</x:t>
        </x:is>
      </x:c>
      <x:c r="AB1119" s="604" t="n">
        <x:v>0.4898181596381405</x:v>
      </x:c>
      <x:c r="AC1119" s="604" t="n"/>
      <x:c r="AD1119" s="604" t="n"/>
      <x:c r="AE1119" s="604" t="n">
        <x:v>0.2570182219725035</x:v>
      </x:c>
      <x:c r="AF1119" s="604" t="n">
        <x:v>0.253163618389356</x:v>
      </x:c>
      <x:c r="AG1119" s="604" t="n">
        <x:v>0.02487634312404885</x:v>
      </x:c>
      <x:c r="AH1119" s="604" t="n"/>
      <x:c r="AI1119" s="604" t="n"/>
      <x:c r="AJ1119" s="604" t="n">
        <x:v>0.02487634312404885</x:v>
      </x:c>
      <x:c r="AK1119" s="604" t="n"/>
      <x:c r="AL1119" s="604" t="n"/>
      <x:c r="AM1119" s="604" t="n"/>
      <x:c r="AN1119" s="604" t="inlineStr">
        <x:is>
          <x:t xml:space="preserve">EVALUATED</x:t>
        </x:is>
      </x:c>
      <x:c r="AO1119" s="604" t="inlineStr">
        <x:is>
          <x:t xml:space="preserve">EDGE_BELOW_UNCERTAINTY_THRESHOLD、BUCKET_PRIOR_ONLY、INTENT_INTERPRETATION_ONLY、FFL_OPTIONAL、EXPERT_MARKET</x:t>
        </x:is>
      </x:c>
      <x:c r="AP1119" s="604" t="inlineStr">
        <x:is>
          <x:t xml:space="preserve">3fffc7c37661300d481b</x:t>
        </x:is>
      </x:c>
      <x:c r="AQ1119" s="604" t="n">
        <x:v>0</x:v>
      </x:c>
      <x:c r="AR1119" s="604" t="n"/>
      <x:c r="AS1119" s="604" t="n">
        <x:v>0</x:v>
      </x:c>
      <x:c r="AT1119" s="604" t="n">
        <x:v>0</x:v>
      </x:c>
      <x:c r="AU1119" s="604" t="n">
        <x:v>0.83</x:v>
      </x:c>
      <x:c r="AV1119" s="604" t="n">
        <x:v>0.98</x:v>
      </x:c>
      <x:c r="AW1119" s="604" t="n">
        <x:v>46301.03159395833</x:v>
      </x:c>
      <x:c r="AX1119" s="604" t="inlineStr">
        <x:is>
          <x:t xml:space="preserve">https://simondongxiao.github.io/odds/v4/</x:t>
        </x:is>
      </x:c>
      <x:c r="AY1119" s="604" t="inlineStr">
        <x:is>
          <x:t xml:space="preserve">V4 Shadow Only；real_money=false；P(EV&gt;0)不是比赛胜率</x:t>
        </x:is>
      </x:c>
    </x:row>
    <x:row r="1120" ht="22" customHeight="1">
      <x:c r="A1120" s="604" t="inlineStr">
        <x:is>
          <x:t xml:space="preserve">2026-10-06</x:t>
        </x:is>
      </x:c>
      <x:c r="B1120" s="604" t="inlineStr">
        <x:is>
          <x:t xml:space="preserve">2026-10-06 19:30</x:t>
        </x:is>
      </x:c>
      <x:c r="C1120" s="604" t="str">
        <x:v>欧洲非五大系列</x:v>
      </x:c>
      <x:c r="D1120" s="604" t="inlineStr">
        <x:is>
          <x:t xml:space="preserve">杯赛</x:t>
        </x:is>
      </x:c>
      <x:c r="E1120" s="604" t="inlineStr">
        <x:is>
          <x:t xml:space="preserve">阿尔巴杯</x:t>
        </x:is>
      </x:c>
      <x:c r="F1120" s="604" t="inlineStr">
        <x:is>
          <x:t xml:space="preserve">比斯利达加 vs 利布拉什德</x:t>
        </x:is>
      </x:c>
      <x:c r="G1120" s="604" t="n">
        <x:v>1.05</x:v>
      </x:c>
      <x:c r="H1120" s="604" t="n">
        <x:v>0.5</x:v>
      </x:c>
      <x:c r="I1120" s="604" t="n">
        <x:v>0.75</x:v>
      </x:c>
      <x:c r="J1120" s="604" t="inlineStr">
        <x:is>
          <x:t xml:space="preserve">1.05/0.5/0.75</x:t>
        </x:is>
      </x:c>
      <x:c r="K1120" s="604" t="inlineStr">
        <x:is>
          <x:t xml:space="preserve">V4-B｜EV +0.1631</x:t>
        </x:is>
      </x:c>
      <x:c r="L1120" s="604" t="inlineStr">
        <x:is>
          <x:t xml:space="preserve">比斯利达加</x:t>
        </x:is>
      </x:c>
      <x:c r="M1120" s="604" t="n">
        <x:v>0.5673659982029386</x:v>
      </x:c>
      <x:c r="N1120" s="604" t="inlineStr">
        <x:is>
          <x:t xml:space="preserve">V4纸面入选-B</x:t>
        </x:is>
      </x:c>
      <x:c r="O1120" s="604" t="inlineStr">
        <x:is>
          <x:t xml:space="preserve">1-1</x:t>
        </x:is>
      </x:c>
      <x:c r="P1120" s="604" t="inlineStr">
        <x:is>
          <x:t xml:space="preserve">已结算</x:t>
        </x:is>
      </x:c>
      <x:c r="Q1120" s="646" t="inlineStr">
        <x:is>
          <x:t xml:space="preserve">黑</x:t>
        </x:is>
      </x:c>
      <x:c r="R1120" s="604" t="n">
        <x:v>1.05</x:v>
      </x:c>
      <x:c r="S1120" s="604" t="n">
        <x:f>IF(OR(Q1120="",Q1120="待结算"),"",IF(Q1120="红",R1120,IF(Q1120="半红",R1120*0.5,IF(Q1120="走",0,IF(Q1120="半黑",-0.5,-1)))))</x:f>
        <x:v>-1</x:v>
      </x:c>
      <x:c r="T1120" s="604" t="inlineStr">
        <x:is>
          <x:t xml:space="preserve">https://m.titan007.com/analy/Analysis/3095320.htm</x:t>
        </x:is>
      </x:c>
      <x:c r="U1120" s="645" t="str">
        <x:f>IF(Q1120="","",IF(Q1120="待结算","待结算",IF(Q1120="红","黑",IF(Q1120="半红","半黑",IF(Q1120="走","走",IF(Q1120="半黑","半红","红"))))))</x:f>
        <x:v>红</x:v>
      </x:c>
      <x:c r="V1120" s="604" t="n">
        <x:f>IF(OR(Q1120="",Q1120="待结算"),"",IF(L1120=LEFT(F1120,FIND(" vs ",F1120)-1),I1120,G1120))</x:f>
        <x:v>0.75</x:v>
      </x:c>
      <x:c r="W1120" s="604" t="n">
        <x:f>IF(OR(U1120="",U1120="待结算"),"",IF(U1120="红",V1120,IF(U1120="半红",V1120*0.5,IF(U1120="走",0,IF(U1120="半黑",-0.5,-1)))))</x:f>
        <x:v>0.75</x:v>
      </x:c>
      <x:c r="X1120" s="604" t="inlineStr">
        <x:is>
          <x:t xml:space="preserve">3095320</x:t>
        </x:is>
      </x:c>
      <x:c r="Y1120" s="604" t="inlineStr">
        <x:is>
          <x:t xml:space="preserve">V4</x:t>
        </x:is>
      </x:c>
      <x:c r="Z1120" s="604" t="inlineStr">
        <x:is>
          <x:t xml:space="preserve">prior-2026-10-06-v1</x:t>
        </x:is>
      </x:c>
      <x:c r="AA1120" s="604" t="inlineStr">
        <x:is>
          <x:t xml:space="preserve">B</x:t>
        </x:is>
      </x:c>
      <x:c r="AB1120" s="604" t="n">
        <x:v>0.5673659982029386</x:v>
      </x:c>
      <x:c r="AC1120" s="604" t="n"/>
      <x:c r="AD1120" s="604" t="n"/>
      <x:c r="AE1120" s="604" t="n"/>
      <x:c r="AF1120" s="604" t="n">
        <x:v>0.4326340017970613</x:v>
      </x:c>
      <x:c r="AG1120" s="604" t="n">
        <x:v>0.1631002963160244</x:v>
      </x:c>
      <x:c r="AH1120" s="604" t="n"/>
      <x:c r="AI1120" s="604" t="n"/>
      <x:c r="AJ1120" s="604" t="n">
        <x:v>0.1631002963160244</x:v>
      </x:c>
      <x:c r="AK1120" s="604" t="n"/>
      <x:c r="AL1120" s="604" t="n"/>
      <x:c r="AM1120" s="604" t="n"/>
      <x:c r="AN1120" s="604" t="inlineStr">
        <x:is>
          <x:t xml:space="preserve">EVALUATED</x:t>
        </x:is>
      </x:c>
      <x:c r="AO1120" s="604" t="inlineStr">
        <x:is>
          <x:t xml:space="preserve">GIVING_VALIDATED_EDGE、BUCKET_PRIOR_ONLY、INTENT_INTERPRETATION_ONLY、FFL_OPTIONAL、EXPERT_MARKET</x:t>
        </x:is>
      </x:c>
      <x:c r="AP1120" s="604" t="inlineStr">
        <x:is>
          <x:t xml:space="preserve">976cf13e165fbcbd3022</x:t>
        </x:is>
      </x:c>
      <x:c r="AQ1120" s="604" t="n">
        <x:v>-0.5</x:v>
      </x:c>
      <x:c r="AR1120" s="604" t="n">
        <x:v>1.05</x:v>
      </x:c>
      <x:c r="AS1120" s="604" t="n">
        <x:v>0.5</x:v>
      </x:c>
      <x:c r="AT1120" s="604" t="n">
        <x:v>-0.5</x:v>
      </x:c>
      <x:c r="AU1120" s="604" t="n">
        <x:v>1.05</x:v>
      </x:c>
      <x:c r="AV1120" s="604" t="n">
        <x:v>0.75</x:v>
      </x:c>
      <x:c r="AW1120" s="604" t="n">
        <x:v>46301.03159395833</x:v>
      </x:c>
      <x:c r="AX1120" s="604" t="inlineStr">
        <x:is>
          <x:t xml:space="preserve">https://simondongxiao.github.io/odds/v4/</x:t>
        </x:is>
      </x:c>
      <x:c r="AY1120" s="604" t="inlineStr">
        <x:is>
          <x:t xml:space="preserve">V4 Shadow Only；real_money=false；P(EV&gt;0)不是比赛胜率</x:t>
        </x:is>
      </x:c>
    </x:row>
    <x:row r="1121" ht="22" customHeight="1">
      <x:c r="A1121" s="604" t="inlineStr">
        <x:is>
          <x:t xml:space="preserve">2026-10-06</x:t>
        </x:is>
      </x:c>
      <x:c r="B1121" s="604" t="inlineStr">
        <x:is>
          <x:t xml:space="preserve">2026-10-06 19:35</x:t>
        </x:is>
      </x:c>
      <x:c r="C1121" s="604" t="str">
        <x:v>其他系列</x:v>
      </x:c>
      <x:c r="D1121" s="604" t="inlineStr">
        <x:is>
          <x:t xml:space="preserve">联赛</x:t>
        </x:is>
      </x:c>
      <x:c r="E1121" s="604" t="inlineStr">
        <x:is>
          <x:t xml:space="preserve">国际友谊</x:t>
        </x:is>
      </x:c>
      <x:c r="F1121" s="604" t="inlineStr">
        <x:is>
          <x:t xml:space="preserve">中国 vs 塔吉克斯坦</x:t>
        </x:is>
      </x:c>
      <x:c r="G1121" s="604" t="n">
        <x:v>1</x:v>
      </x:c>
      <x:c r="H1121" s="604" t="n">
        <x:v>0.75</x:v>
      </x:c>
      <x:c r="I1121" s="604" t="n">
        <x:v>0.82</x:v>
      </x:c>
      <x:c r="J1121" s="604" t="inlineStr">
        <x:is>
          <x:t xml:space="preserve">1/0.75/0.82</x:t>
        </x:is>
      </x:c>
      <x:c r="K1121" s="604" t="inlineStr">
        <x:is>
          <x:t xml:space="preserve">V4-C｜EV +0.2164</x:t>
        </x:is>
      </x:c>
      <x:c r="L1121" s="604" t="inlineStr">
        <x:is>
          <x:t xml:space="preserve">中国</x:t>
        </x:is>
      </x:c>
      <x:c r="M1121" s="604" t="n">
        <x:v>0.6241553274294641</x:v>
      </x:c>
      <x:c r="N1121" s="604" t="inlineStr">
        <x:is>
          <x:t xml:space="preserve">V4纸面入选-C</x:t>
        </x:is>
      </x:c>
      <x:c r="O1121" s="604" t="inlineStr">
        <x:is>
          <x:t xml:space="preserve">0-1</x:t>
        </x:is>
      </x:c>
      <x:c r="P1121" s="604" t="inlineStr">
        <x:is>
          <x:t xml:space="preserve">已结算</x:t>
        </x:is>
      </x:c>
      <x:c r="Q1121" s="646" t="inlineStr">
        <x:is>
          <x:t xml:space="preserve">黑</x:t>
        </x:is>
      </x:c>
      <x:c r="R1121" s="604" t="n">
        <x:v>1</x:v>
      </x:c>
      <x:c r="S1121" s="604" t="n">
        <x:f>IF(OR(Q1121="",Q1121="待结算"),"",IF(Q1121="红",R1121,IF(Q1121="半红",R1121*0.5,IF(Q1121="走",0,IF(Q1121="半黑",-0.5,-1)))))</x:f>
        <x:v>-1</x:v>
      </x:c>
      <x:c r="T1121" s="604" t="inlineStr">
        <x:is>
          <x:t xml:space="preserve">https://m.titan007.com/analy/Analysis/3091499.htm</x:t>
        </x:is>
      </x:c>
      <x:c r="U1121" s="645" t="str">
        <x:f>IF(Q1121="","",IF(Q1121="待结算","待结算",IF(Q1121="红","黑",IF(Q1121="半红","半黑",IF(Q1121="走","走",IF(Q1121="半黑","半红","红"))))))</x:f>
        <x:v>红</x:v>
      </x:c>
      <x:c r="V1121" s="604" t="n">
        <x:f>IF(OR(Q1121="",Q1121="待结算"),"",IF(L1121=LEFT(F1121,FIND(" vs ",F1121)-1),I1121,G1121))</x:f>
        <x:v>0.82</x:v>
      </x:c>
      <x:c r="W1121" s="604" t="n">
        <x:f>IF(OR(U1121="",U1121="待结算"),"",IF(U1121="红",V1121,IF(U1121="半红",V1121*0.5,IF(U1121="走",0,IF(U1121="半黑",-0.5,-1)))))</x:f>
        <x:v>0.82</x:v>
      </x:c>
      <x:c r="X1121" s="604" t="inlineStr">
        <x:is>
          <x:t xml:space="preserve">3091499</x:t>
        </x:is>
      </x:c>
      <x:c r="Y1121" s="604" t="inlineStr">
        <x:is>
          <x:t xml:space="preserve">V4</x:t>
        </x:is>
      </x:c>
      <x:c r="Z1121" s="604" t="inlineStr">
        <x:is>
          <x:t xml:space="preserve">prior-2026-10-06-v1</x:t>
        </x:is>
      </x:c>
      <x:c r="AA1121" s="604" t="inlineStr">
        <x:is>
          <x:t xml:space="preserve">C</x:t>
        </x:is>
      </x:c>
      <x:c r="AB1121" s="604" t="n">
        <x:v>0.4151277943225908</x:v>
      </x:c>
      <x:c r="AC1121" s="604" t="n">
        <x:v>0.2573984514617814</x:v>
      </x:c>
      <x:c r="AD1121" s="604" t="n"/>
      <x:c r="AE1121" s="604" t="n"/>
      <x:c r="AF1121" s="604" t="n">
        <x:v>0.3274737542156277</x:v>
      </x:c>
      <x:c r="AG1121" s="604" t="n">
        <x:v>0.2163532658378537</x:v>
      </x:c>
      <x:c r="AH1121" s="604" t="n"/>
      <x:c r="AI1121" s="604" t="n"/>
      <x:c r="AJ1121" s="604" t="n">
        <x:v>0.2163532658378537</x:v>
      </x:c>
      <x:c r="AK1121" s="604" t="n"/>
      <x:c r="AL1121" s="604" t="n"/>
      <x:c r="AM1121" s="604" t="n"/>
      <x:c r="AN1121" s="604" t="inlineStr">
        <x:is>
          <x:t xml:space="preserve">EVALUATED</x:t>
        </x:is>
      </x:c>
      <x:c r="AO1121" s="604" t="inlineStr">
        <x:is>
          <x:t xml:space="preserve">GIVING_VALIDATED_EDGE、BUCKET_PRIOR_ONLY、INTENT_INTERPRETATION_ONLY、FFL_OPTIONAL、EXPERT_MARKET</x:t>
        </x:is>
      </x:c>
      <x:c r="AP1121" s="604" t="inlineStr">
        <x:is>
          <x:t xml:space="preserve">de8201496ad5c9494881</x:t>
        </x:is>
      </x:c>
      <x:c r="AQ1121" s="604" t="n">
        <x:v>-0.75</x:v>
      </x:c>
      <x:c r="AR1121" s="604" t="n">
        <x:v>1</x:v>
      </x:c>
      <x:c r="AS1121" s="604" t="n">
        <x:v>0.75</x:v>
      </x:c>
      <x:c r="AT1121" s="604" t="n">
        <x:v>-0.75</x:v>
      </x:c>
      <x:c r="AU1121" s="604" t="n">
        <x:v>1</x:v>
      </x:c>
      <x:c r="AV1121" s="604" t="n">
        <x:v>0.82</x:v>
      </x:c>
      <x:c r="AW1121" s="604" t="n">
        <x:v>46301.03159395833</x:v>
      </x:c>
      <x:c r="AX1121" s="604" t="inlineStr">
        <x:is>
          <x:t xml:space="preserve">https://simondongxiao.github.io/odds/v4/</x:t>
        </x:is>
      </x:c>
      <x:c r="AY1121" s="604" t="inlineStr">
        <x:is>
          <x:t xml:space="preserve">V4 Shadow Only；real_money=false；P(EV&gt;0)不是比赛胜率</x:t>
        </x:is>
      </x:c>
    </x:row>
    <x:row r="1122" ht="22" customHeight="1">
      <x:c r="A1122" s="604" t="inlineStr">
        <x:is>
          <x:t xml:space="preserve">2026-10-06</x:t>
        </x:is>
      </x:c>
      <x:c r="B1122" s="604" t="inlineStr">
        <x:is>
          <x:t xml:space="preserve">2026-10-06 20:00</x:t>
        </x:is>
      </x:c>
      <x:c r="C1122" s="604" t="str">
        <x:v>其他系列</x:v>
      </x:c>
      <x:c r="D1122" s="604" t="inlineStr">
        <x:is>
          <x:t xml:space="preserve">联赛</x:t>
        </x:is>
      </x:c>
      <x:c r="E1122" s="604" t="inlineStr">
        <x:is>
          <x:t xml:space="preserve">肯尼超降</x:t>
        </x:is>
      </x:c>
      <x:c r="F1122" s="604" t="inlineStr">
        <x:is>
          <x:t xml:space="preserve">卡里班吉鲨鱼 vs 蒙巴萨联</x:t>
        </x:is>
      </x:c>
      <x:c r="G1122" s="604" t="n">
        <x:v>0.98</x:v>
      </x:c>
      <x:c r="H1122" s="604" t="n">
        <x:v>0.5</x:v>
      </x:c>
      <x:c r="I1122" s="604" t="n">
        <x:v>0.83</x:v>
      </x:c>
      <x:c r="J1122" s="604" t="inlineStr">
        <x:is>
          <x:t xml:space="preserve">0.98/0.5/0.83</x:t>
        </x:is>
      </x:c>
      <x:c r="K1122" s="604" t="inlineStr">
        <x:is>
          <x:t xml:space="preserve">V4-B｜EV +0.1798</x:t>
        </x:is>
      </x:c>
      <x:c r="L1122" s="604" t="inlineStr">
        <x:is>
          <x:t xml:space="preserve">卡里班吉鲨鱼</x:t>
        </x:is>
      </x:c>
      <x:c r="M1122" s="604" t="n">
        <x:v>0.5958796744734171</x:v>
      </x:c>
      <x:c r="N1122" s="604" t="inlineStr">
        <x:is>
          <x:t xml:space="preserve">V4纸面入选-B</x:t>
        </x:is>
      </x:c>
      <x:c r="O1122" s="604" t="inlineStr">
        <x:is>
          <x:t xml:space="preserve">2-1</x:t>
        </x:is>
      </x:c>
      <x:c r="P1122" s="604" t="inlineStr">
        <x:is>
          <x:t xml:space="preserve">已结算</x:t>
        </x:is>
      </x:c>
      <x:c r="Q1122" s="645" t="inlineStr">
        <x:is>
          <x:t xml:space="preserve">红</x:t>
        </x:is>
      </x:c>
      <x:c r="R1122" s="604" t="n">
        <x:v>0.98</x:v>
      </x:c>
      <x:c r="S1122" s="604" t="n">
        <x:f>IF(OR(Q1122="",Q1122="待结算"),"",IF(Q1122="红",R1122,IF(Q1122="半红",R1122*0.5,IF(Q1122="走",0,IF(Q1122="半黑",-0.5,-1)))))</x:f>
        <x:v>0.98</x:v>
      </x:c>
      <x:c r="T1122" s="604" t="inlineStr">
        <x:is>
          <x:t xml:space="preserve">https://m.titan007.com/analy/Analysis/3095444.htm</x:t>
        </x:is>
      </x:c>
      <x:c r="U1122" s="646" t="str">
        <x:f>IF(Q1122="","",IF(Q1122="待结算","待结算",IF(Q1122="红","黑",IF(Q1122="半红","半黑",IF(Q1122="走","走",IF(Q1122="半黑","半红","红"))))))</x:f>
        <x:v>黑</x:v>
      </x:c>
      <x:c r="V1122" s="604" t="n">
        <x:f>IF(OR(Q1122="",Q1122="待结算"),"",IF(L1122=LEFT(F1122,FIND(" vs ",F1122)-1),I1122,G1122))</x:f>
        <x:v>0.83</x:v>
      </x:c>
      <x:c r="W1122" s="604" t="n">
        <x:f>IF(OR(U1122="",U1122="待结算"),"",IF(U1122="红",V1122,IF(U1122="半红",V1122*0.5,IF(U1122="走",0,IF(U1122="半黑",-0.5,-1)))))</x:f>
        <x:v>-1</x:v>
      </x:c>
      <x:c r="X1122" s="604" t="inlineStr">
        <x:is>
          <x:t xml:space="preserve">3095444</x:t>
        </x:is>
      </x:c>
      <x:c r="Y1122" s="604" t="inlineStr">
        <x:is>
          <x:t xml:space="preserve">V4</x:t>
        </x:is>
      </x:c>
      <x:c r="Z1122" s="604" t="inlineStr">
        <x:is>
          <x:t xml:space="preserve">prior-2026-10-06-v1</x:t>
        </x:is>
      </x:c>
      <x:c r="AA1122" s="604" t="inlineStr">
        <x:is>
          <x:t xml:space="preserve">B</x:t>
        </x:is>
      </x:c>
      <x:c r="AB1122" s="604" t="n">
        <x:v>0.5958796744734171</x:v>
      </x:c>
      <x:c r="AC1122" s="604" t="n"/>
      <x:c r="AD1122" s="604" t="n"/>
      <x:c r="AE1122" s="604" t="n"/>
      <x:c r="AF1122" s="604" t="n">
        <x:v>0.404120325526583</x:v>
      </x:c>
      <x:c r="AG1122" s="604" t="n">
        <x:v>0.1798417554573657</x:v>
      </x:c>
      <x:c r="AH1122" s="604" t="n"/>
      <x:c r="AI1122" s="604" t="n"/>
      <x:c r="AJ1122" s="604" t="n">
        <x:v>0.1798417554573657</x:v>
      </x:c>
      <x:c r="AK1122" s="604" t="n"/>
      <x:c r="AL1122" s="604" t="n"/>
      <x:c r="AM1122" s="604" t="n"/>
      <x:c r="AN1122" s="604" t="inlineStr">
        <x:is>
          <x:t xml:space="preserve">EVALUATED</x:t>
        </x:is>
      </x:c>
      <x:c r="AO1122" s="604" t="inlineStr">
        <x:is>
          <x:t xml:space="preserve">GIVING_VALIDATED_EDGE、BUCKET_PRIOR_ONLY、INTENT_INTERPRETATION_ONLY、FFL_OPTIONAL、EXPERT_MARKET</x:t>
        </x:is>
      </x:c>
      <x:c r="AP1122" s="604" t="inlineStr">
        <x:is>
          <x:t xml:space="preserve">22a7615e8d5fcabd39d2</x:t>
        </x:is>
      </x:c>
      <x:c r="AQ1122" s="604" t="n">
        <x:v>-0.5</x:v>
      </x:c>
      <x:c r="AR1122" s="604" t="n">
        <x:v>0.98</x:v>
      </x:c>
      <x:c r="AS1122" s="604" t="n">
        <x:v>0.5</x:v>
      </x:c>
      <x:c r="AT1122" s="604" t="n">
        <x:v>-0.5</x:v>
      </x:c>
      <x:c r="AU1122" s="604" t="n">
        <x:v>0.98</x:v>
      </x:c>
      <x:c r="AV1122" s="604" t="n">
        <x:v>0.83</x:v>
      </x:c>
      <x:c r="AW1122" s="604" t="n">
        <x:v>46301.03159395833</x:v>
      </x:c>
      <x:c r="AX1122" s="604" t="inlineStr">
        <x:is>
          <x:t xml:space="preserve">https://simondongxiao.github.io/odds/v4/</x:t>
        </x:is>
      </x:c>
      <x:c r="AY1122" s="604" t="inlineStr">
        <x:is>
          <x:t xml:space="preserve">V4 Shadow Only；real_money=false；P(EV&gt;0)不是比赛胜率</x:t>
        </x:is>
      </x:c>
    </x:row>
    <x:row r="1123" ht="22" customHeight="1">
      <x:c r="A1123" s="604" t="inlineStr">
        <x:is>
          <x:t xml:space="preserve">2026-10-06</x:t>
        </x:is>
      </x:c>
      <x:c r="B1123" s="604" t="inlineStr">
        <x:is>
          <x:t xml:space="preserve">2026-10-06 21:00</x:t>
        </x:is>
      </x:c>
      <x:c r="C1123" s="604" t="str">
        <x:v>欧洲非五大系列</x:v>
      </x:c>
      <x:c r="D1123" s="604" t="inlineStr">
        <x:is>
          <x:t xml:space="preserve">联赛</x:t>
        </x:is>
      </x:c>
      <x:c r="E1123" s="604" t="inlineStr">
        <x:is>
          <x:t xml:space="preserve">黑山乙</x:t>
        </x:is>
      </x:c>
      <x:c r="F1123" s="604" t="inlineStr">
        <x:is>
          <x:t xml:space="preserve">吉斯科普 vs 洛夫琴</x:t>
        </x:is>
      </x:c>
      <x:c r="G1123" s="604" t="n">
        <x:v>1.82</x:v>
      </x:c>
      <x:c r="H1123" s="604" t="n">
        <x:v>1.5</x:v>
      </x:c>
      <x:c r="I1123" s="604" t="n">
        <x:v>0.35</x:v>
      </x:c>
      <x:c r="J1123" s="604" t="inlineStr">
        <x:is>
          <x:t xml:space="preserve">1.82/1.5/0.35</x:t>
        </x:is>
      </x:c>
      <x:c r="K1123" s="604" t="inlineStr">
        <x:is>
          <x:t xml:space="preserve">V4-B｜EV +0.1126</x:t>
        </x:is>
      </x:c>
      <x:c r="L1123" s="604" t="inlineStr">
        <x:is>
          <x:t xml:space="preserve">吉斯科普</x:t>
        </x:is>
      </x:c>
      <x:c r="M1123" s="604" t="n">
        <x:v>0.3945462670166617</x:v>
      </x:c>
      <x:c r="N1123" s="604" t="inlineStr">
        <x:is>
          <x:t xml:space="preserve">V4纸面入选-B</x:t>
        </x:is>
      </x:c>
      <x:c r="O1123" s="604" t="inlineStr">
        <x:is>
          <x:t xml:space="preserve">2-1</x:t>
        </x:is>
      </x:c>
      <x:c r="P1123" s="604" t="inlineStr">
        <x:is>
          <x:t xml:space="preserve">已结算</x:t>
        </x:is>
      </x:c>
      <x:c r="Q1123" s="646" t="inlineStr">
        <x:is>
          <x:t xml:space="preserve">黑</x:t>
        </x:is>
      </x:c>
      <x:c r="R1123" s="604" t="n">
        <x:v>1.82</x:v>
      </x:c>
      <x:c r="S1123" s="604" t="n">
        <x:f>IF(OR(Q1123="",Q1123="待结算"),"",IF(Q1123="红",R1123,IF(Q1123="半红",R1123*0.5,IF(Q1123="走",0,IF(Q1123="半黑",-0.5,-1)))))</x:f>
        <x:v>-1</x:v>
      </x:c>
      <x:c r="T1123" s="604" t="inlineStr">
        <x:is>
          <x:t xml:space="preserve">https://m.titan007.com/analy/Analysis/3006208.htm</x:t>
        </x:is>
      </x:c>
      <x:c r="U1123" s="645" t="str">
        <x:f>IF(Q1123="","",IF(Q1123="待结算","待结算",IF(Q1123="红","黑",IF(Q1123="半红","半黑",IF(Q1123="走","走",IF(Q1123="半黑","半红","红"))))))</x:f>
        <x:v>红</x:v>
      </x:c>
      <x:c r="V1123" s="604" t="n">
        <x:f>IF(OR(Q1123="",Q1123="待结算"),"",IF(L1123=LEFT(F1123,FIND(" vs ",F1123)-1),I1123,G1123))</x:f>
        <x:v>0.35</x:v>
      </x:c>
      <x:c r="W1123" s="604" t="n">
        <x:f>IF(OR(U1123="",U1123="待结算"),"",IF(U1123="红",V1123,IF(U1123="半红",V1123*0.5,IF(U1123="走",0,IF(U1123="半黑",-0.5,-1)))))</x:f>
        <x:v>0.35</x:v>
      </x:c>
      <x:c r="X1123" s="604" t="inlineStr">
        <x:is>
          <x:t xml:space="preserve">3006208</x:t>
        </x:is>
      </x:c>
      <x:c r="Y1123" s="604" t="inlineStr">
        <x:is>
          <x:t xml:space="preserve">V4</x:t>
        </x:is>
      </x:c>
      <x:c r="Z1123" s="604" t="inlineStr">
        <x:is>
          <x:t xml:space="preserve">prior-2026-10-06-v1</x:t>
        </x:is>
      </x:c>
      <x:c r="AA1123" s="604" t="inlineStr">
        <x:is>
          <x:t xml:space="preserve">B</x:t>
        </x:is>
      </x:c>
      <x:c r="AB1123" s="604" t="n">
        <x:v>0.3945462670166617</x:v>
      </x:c>
      <x:c r="AC1123" s="604" t="n"/>
      <x:c r="AD1123" s="604" t="n"/>
      <x:c r="AE1123" s="604" t="n"/>
      <x:c r="AF1123" s="604" t="n">
        <x:v>0.6054537329833383</x:v>
      </x:c>
      <x:c r="AG1123" s="604" t="n">
        <x:v>0.112620472986986</x:v>
      </x:c>
      <x:c r="AH1123" s="604" t="n"/>
      <x:c r="AI1123" s="604" t="n"/>
      <x:c r="AJ1123" s="604" t="n">
        <x:v>0.112620472986986</x:v>
      </x:c>
      <x:c r="AK1123" s="604" t="n"/>
      <x:c r="AL1123" s="604" t="n"/>
      <x:c r="AM1123" s="604" t="n"/>
      <x:c r="AN1123" s="604" t="inlineStr">
        <x:is>
          <x:t xml:space="preserve">EVALUATED</x:t>
        </x:is>
      </x:c>
      <x:c r="AO1123" s="604" t="inlineStr">
        <x:is>
          <x:t xml:space="preserve">GIVING_VALIDATED_EDGE、BUCKET_PRIOR_ONLY、INTENT_INTERPRETATION_ONLY、FFL_OPTIONAL、EXPERT_MARKET</x:t>
        </x:is>
      </x:c>
      <x:c r="AP1123" s="604" t="inlineStr">
        <x:is>
          <x:t xml:space="preserve">5bd5dcaa2d26f42156c4</x:t>
        </x:is>
      </x:c>
      <x:c r="AQ1123" s="604" t="n">
        <x:v>-1.5</x:v>
      </x:c>
      <x:c r="AR1123" s="604" t="n">
        <x:v>1.82</x:v>
      </x:c>
      <x:c r="AS1123" s="604" t="n">
        <x:v>1.5</x:v>
      </x:c>
      <x:c r="AT1123" s="604" t="n">
        <x:v>-1.5</x:v>
      </x:c>
      <x:c r="AU1123" s="604" t="n">
        <x:v>1.82</x:v>
      </x:c>
      <x:c r="AV1123" s="604" t="n">
        <x:v>0.35</x:v>
      </x:c>
      <x:c r="AW1123" s="604" t="n">
        <x:v>46301.03159395833</x:v>
      </x:c>
      <x:c r="AX1123" s="604" t="inlineStr">
        <x:is>
          <x:t xml:space="preserve">https://simondongxiao.github.io/odds/v4/</x:t>
        </x:is>
      </x:c>
      <x:c r="AY1123" s="604" t="inlineStr">
        <x:is>
          <x:t xml:space="preserve">V4 Shadow Only；real_money=false；P(EV&gt;0)不是比赛胜率</x:t>
        </x:is>
      </x:c>
    </x:row>
    <x:row r="1124" ht="22" customHeight="1">
      <x:c r="A1124" s="604" t="inlineStr">
        <x:is>
          <x:t xml:space="preserve">2026-10-06</x:t>
        </x:is>
      </x:c>
      <x:c r="B1124" s="604" t="inlineStr">
        <x:is>
          <x:t xml:space="preserve">2026-10-06 21:00</x:t>
        </x:is>
      </x:c>
      <x:c r="C1124" s="604" t="str">
        <x:v>五大联赛非顶级联赛</x:v>
      </x:c>
      <x:c r="D1124" s="604" t="inlineStr">
        <x:is>
          <x:t xml:space="preserve">联赛</x:t>
        </x:is>
      </x:c>
      <x:c r="E1124" s="604" t="inlineStr">
        <x:is>
          <x:t xml:space="preserve">英乙U21</x:t>
        </x:is>
      </x:c>
      <x:c r="F1124" s="604" t="inlineStr">
        <x:is>
          <x:t xml:space="preserve">高车士打U21 vs 斯旺西U21</x:t>
        </x:is>
      </x:c>
      <x:c r="G1124" s="604" t="n">
        <x:v>0.93</x:v>
      </x:c>
      <x:c r="H1124" s="604" t="n">
        <x:v>-0.75</x:v>
      </x:c>
      <x:c r="I1124" s="604" t="n">
        <x:v>0.83</x:v>
      </x:c>
      <x:c r="J1124" s="604" t="inlineStr">
        <x:is>
          <x:t xml:space="preserve">0.93/-0.75/0.83</x:t>
        </x:is>
      </x:c>
      <x:c r="K1124" s="604" t="inlineStr">
        <x:is>
          <x:t xml:space="preserve">V4-B｜EV +0.6421</x:t>
        </x:is>
      </x:c>
      <x:c r="L1124" s="604" t="inlineStr">
        <x:is>
          <x:t xml:space="preserve">高车士打U21</x:t>
        </x:is>
      </x:c>
      <x:c r="M1124" s="604" t="n">
        <x:v>0.8725976332452322</x:v>
      </x:c>
      <x:c r="N1124" s="604" t="inlineStr">
        <x:is>
          <x:t xml:space="preserve">V4纸面入选-B</x:t>
        </x:is>
      </x:c>
      <x:c r="O1124" s="604" t="inlineStr">
        <x:is>
          <x:t xml:space="preserve">1-2</x:t>
        </x:is>
      </x:c>
      <x:c r="P1124" s="604" t="inlineStr">
        <x:is>
          <x:t xml:space="preserve">已结算</x:t>
        </x:is>
      </x:c>
      <x:c r="Q1124" s="648" t="inlineStr">
        <x:is>
          <x:t xml:space="preserve">半黑</x:t>
        </x:is>
      </x:c>
      <x:c r="R1124" s="604" t="n">
        <x:v>0.93</x:v>
      </x:c>
      <x:c r="S1124" s="604" t="n">
        <x:f>IF(OR(Q1124="",Q1124="待结算"),"",IF(Q1124="红",R1124,IF(Q1124="半红",R1124*0.5,IF(Q1124="走",0,IF(Q1124="半黑",-0.5,-1)))))</x:f>
        <x:v>-0.5</x:v>
      </x:c>
      <x:c r="T1124" s="604" t="inlineStr">
        <x:is>
          <x:t xml:space="preserve">https://m.titan007.com/analy/Analysis/3059212.htm</x:t>
        </x:is>
      </x:c>
      <x:c r="U1124" s="649" t="str">
        <x:f>IF(Q1124="","",IF(Q1124="待结算","待结算",IF(Q1124="红","黑",IF(Q1124="半红","半黑",IF(Q1124="走","走",IF(Q1124="半黑","半红","红"))))))</x:f>
        <x:v>半红</x:v>
      </x:c>
      <x:c r="V1124" s="604" t="n">
        <x:f>IF(OR(Q1124="",Q1124="待结算"),"",IF(L1124=LEFT(F1124,FIND(" vs ",F1124)-1),I1124,G1124))</x:f>
        <x:v>0.83</x:v>
      </x:c>
      <x:c r="W1124" s="604" t="n">
        <x:f>IF(OR(U1124="",U1124="待结算"),"",IF(U1124="红",V1124,IF(U1124="半红",V1124*0.5,IF(U1124="走",0,IF(U1124="半黑",-0.5,-1)))))</x:f>
        <x:v>0.415</x:v>
      </x:c>
      <x:c r="X1124" s="604" t="inlineStr">
        <x:is>
          <x:t xml:space="preserve">3059212</x:t>
        </x:is>
      </x:c>
      <x:c r="Y1124" s="604" t="inlineStr">
        <x:is>
          <x:t xml:space="preserve">V4</x:t>
        </x:is>
      </x:c>
      <x:c r="Z1124" s="604" t="inlineStr">
        <x:is>
          <x:t xml:space="preserve">prior-2026-10-06-v1</x:t>
        </x:is>
      </x:c>
      <x:c r="AA1124" s="604" t="inlineStr">
        <x:is>
          <x:t xml:space="preserve">B</x:t>
        </x:is>
      </x:c>
      <x:c r="AB1124" s="604" t="n">
        <x:v>0.8189478475238414</x:v>
      </x:c>
      <x:c r="AC1124" s="604" t="n"/>
      <x:c r="AD1124" s="604" t="n"/>
      <x:c r="AE1124" s="604" t="n">
        <x:v>0.1229656915796682</x:v>
      </x:c>
      <x:c r="AF1124" s="604" t="n">
        <x:v>0.05808646089649041</x:v>
      </x:c>
      <x:c r="AG1124" s="604" t="n">
        <x:v>0.642052191510848</x:v>
      </x:c>
      <x:c r="AH1124" s="604" t="n"/>
      <x:c r="AI1124" s="604" t="n"/>
      <x:c r="AJ1124" s="604" t="n">
        <x:v>0.642052191510848</x:v>
      </x:c>
      <x:c r="AK1124" s="604" t="n"/>
      <x:c r="AL1124" s="604" t="n"/>
      <x:c r="AM1124" s="604" t="n"/>
      <x:c r="AN1124" s="604" t="inlineStr">
        <x:is>
          <x:t xml:space="preserve">EVALUATED</x:t>
        </x:is>
      </x:c>
      <x:c r="AO1124" s="604" t="inlineStr">
        <x:is>
          <x:t xml:space="preserve">RECEIVING_VALIDATED_EDGE、BUCKET_PRIOR_ONLY、INTENT_INTERPRETATION_ONLY、FFL_OPTIONAL、EXPERT_MARKET</x:t>
        </x:is>
      </x:c>
      <x:c r="AP1124" s="604" t="inlineStr">
        <x:is>
          <x:t xml:space="preserve">fb275ead2e5c04152ce2</x:t>
        </x:is>
      </x:c>
      <x:c r="AQ1124" s="604" t="n">
        <x:v>0.75</x:v>
      </x:c>
      <x:c r="AR1124" s="604" t="n">
        <x:v>0.93</x:v>
      </x:c>
      <x:c r="AS1124" s="604" t="n">
        <x:v>-0.75</x:v>
      </x:c>
      <x:c r="AT1124" s="604" t="n">
        <x:v>0.75</x:v>
      </x:c>
      <x:c r="AU1124" s="604" t="n">
        <x:v>0.93</x:v>
      </x:c>
      <x:c r="AV1124" s="604" t="n">
        <x:v>0.83</x:v>
      </x:c>
      <x:c r="AW1124" s="604" t="n">
        <x:v>46301.03159395833</x:v>
      </x:c>
      <x:c r="AX1124" s="604" t="inlineStr">
        <x:is>
          <x:t xml:space="preserve">https://simondongxiao.github.io/odds/v4/</x:t>
        </x:is>
      </x:c>
      <x:c r="AY1124" s="604" t="inlineStr">
        <x:is>
          <x:t xml:space="preserve">V4 Shadow Only；real_money=false；P(EV&gt;0)不是比赛胜率</x:t>
        </x:is>
      </x:c>
    </x:row>
    <x:row r="1125" ht="22" customHeight="1">
      <x:c r="A1125" s="604" t="inlineStr">
        <x:is>
          <x:t xml:space="preserve">2026-10-06</x:t>
        </x:is>
      </x:c>
      <x:c r="B1125" s="604" t="inlineStr">
        <x:is>
          <x:t xml:space="preserve">2026-10-06 21:30</x:t>
        </x:is>
      </x:c>
      <x:c r="C1125" s="604" t="str">
        <x:v>其他系列</x:v>
      </x:c>
      <x:c r="D1125" s="604" t="inlineStr">
        <x:is>
          <x:t xml:space="preserve">杯赛</x:t>
        </x:is>
      </x:c>
      <x:c r="E1125" s="604" t="inlineStr">
        <x:is>
          <x:t xml:space="preserve">非青杯外</x:t>
        </x:is>
      </x:c>
      <x:c r="F1125" s="604" t="inlineStr">
        <x:is>
          <x:t xml:space="preserve">埃及U20 vs 阿尔及利亚U20</x:t>
        </x:is>
      </x:c>
      <x:c r="G1125" s="604" t="n">
        <x:v>1.03</x:v>
      </x:c>
      <x:c r="H1125" s="604" t="n">
        <x:v>0</x:v>
      </x:c>
      <x:c r="I1125" s="604" t="n">
        <x:v>0.78</x:v>
      </x:c>
      <x:c r="J1125" s="604" t="inlineStr">
        <x:is>
          <x:t xml:space="preserve">1.03/0/0.78</x:t>
        </x:is>
      </x:c>
      <x:c r="K1125" s="604" t="inlineStr">
        <x:is>
          <x:t xml:space="preserve">V4-C｜EV +0.0551</x:t>
        </x:is>
      </x:c>
      <x:c r="L1125" s="604" t="str"/>
      <x:c r="M1125" s="604" t="n">
        <x:v>0.5197399111829937</x:v>
      </x:c>
      <x:c r="N1125" s="604" t="inlineStr">
        <x:is>
          <x:t xml:space="preserve">V4纸面入选-C</x:t>
        </x:is>
      </x:c>
      <x:c r="O1125" s="604" t="inlineStr">
        <x:is>
          <x:t xml:space="preserve">2-0</x:t>
        </x:is>
      </x:c>
      <x:c r="P1125" s="604" t="inlineStr">
        <x:is>
          <x:t xml:space="preserve">已结算</x:t>
        </x:is>
      </x:c>
      <x:c r="Q1125" s="645" t="inlineStr">
        <x:is>
          <x:t xml:space="preserve">红</x:t>
        </x:is>
      </x:c>
      <x:c r="R1125" s="604" t="n">
        <x:v>0.78</x:v>
      </x:c>
      <x:c r="S1125" s="604" t="n">
        <x:f>IF(OR(Q1125="",Q1125="待结算"),"",IF(Q1125="红",R1125,IF(Q1125="半红",R1125*0.5,IF(Q1125="走",0,IF(Q1125="半黑",-0.5,-1)))))</x:f>
        <x:v>0.78</x:v>
      </x:c>
      <x:c r="T1125" s="604" t="inlineStr">
        <x:is>
          <x:t xml:space="preserve">https://m.titan007.com/analy/Analysis/3089674.htm</x:t>
        </x:is>
      </x:c>
      <x:c r="U1125" s="646" t="str">
        <x:f>IF(Q1125="","",IF(Q1125="待结算","待结算",IF(Q1125="红","黑",IF(Q1125="半红","半黑",IF(Q1125="走","走",IF(Q1125="半黑","半红","红"))))))</x:f>
        <x:v>黑</x:v>
      </x:c>
      <x:c r="V1125" s="604" t="n">
        <x:f>IF(OR(Q1125="",Q1125="待结算"),"",IF(L1125=LEFT(F1125,FIND(" vs ",F1125)-1),I1125,G1125))</x:f>
        <x:v>1.03</x:v>
      </x:c>
      <x:c r="W1125" s="604" t="n">
        <x:f>IF(OR(U1125="",U1125="待结算"),"",IF(U1125="红",V1125,IF(U1125="半红",V1125*0.5,IF(U1125="走",0,IF(U1125="半黑",-0.5,-1)))))</x:f>
        <x:v>-1</x:v>
      </x:c>
      <x:c r="X1125" s="604" t="inlineStr">
        <x:is>
          <x:t xml:space="preserve">3089674</x:t>
        </x:is>
      </x:c>
      <x:c r="Y1125" s="604" t="inlineStr">
        <x:is>
          <x:t xml:space="preserve">V4</x:t>
        </x:is>
      </x:c>
      <x:c r="Z1125" s="604" t="inlineStr">
        <x:is>
          <x:t xml:space="preserve">prior-2026-10-06-v1</x:t>
        </x:is>
      </x:c>
      <x:c r="AA1125" s="604" t="inlineStr">
        <x:is>
          <x:t xml:space="preserve">C</x:t>
        </x:is>
      </x:c>
      <x:c r="AB1125" s="604" t="n">
        <x:v>0.5197399111829937</x:v>
      </x:c>
      <x:c r="AC1125" s="604" t="n"/>
      <x:c r="AD1125" s="604" t="n"/>
      <x:c r="AE1125" s="604" t="n"/>
      <x:c r="AF1125" s="604" t="n">
        <x:v>0.4802600888170063</x:v>
      </x:c>
      <x:c r="AG1125" s="604" t="n">
        <x:v>0.05507201970147713</x:v>
      </x:c>
      <x:c r="AH1125" s="604" t="n"/>
      <x:c r="AI1125" s="604" t="n"/>
      <x:c r="AJ1125" s="604" t="n">
        <x:v>0.05507201970147713</x:v>
      </x:c>
      <x:c r="AK1125" s="604" t="n"/>
      <x:c r="AL1125" s="604" t="n"/>
      <x:c r="AM1125" s="604" t="n"/>
      <x:c r="AN1125" s="604" t="inlineStr">
        <x:is>
          <x:t xml:space="preserve">EVALUATED</x:t>
        </x:is>
      </x:c>
      <x:c r="AO1125" s="604" t="inlineStr">
        <x:is>
          <x:t xml:space="preserve">EDGE_BELOW_UNCERTAINTY_THRESHOLD、BUCKET_PRIOR_ONLY、INTENT_INTERPRETATION_ONLY、FFL_OPTIONAL、EXPERT_MARKET</x:t>
        </x:is>
      </x:c>
      <x:c r="AP1125" s="604" t="inlineStr">
        <x:is>
          <x:t xml:space="preserve">5aee97cc64a5f43bd4e9</x:t>
        </x:is>
      </x:c>
      <x:c r="AQ1125" s="604" t="n">
        <x:v>0</x:v>
      </x:c>
      <x:c r="AR1125" s="604" t="n"/>
      <x:c r="AS1125" s="604" t="n">
        <x:v>0</x:v>
      </x:c>
      <x:c r="AT1125" s="604" t="n">
        <x:v>0</x:v>
      </x:c>
      <x:c r="AU1125" s="604" t="n">
        <x:v>1.03</x:v>
      </x:c>
      <x:c r="AV1125" s="604" t="n">
        <x:v>0.78</x:v>
      </x:c>
      <x:c r="AW1125" s="604" t="n">
        <x:v>46301.03159395833</x:v>
      </x:c>
      <x:c r="AX1125" s="604" t="inlineStr">
        <x:is>
          <x:t xml:space="preserve">https://simondongxiao.github.io/odds/v4/</x:t>
        </x:is>
      </x:c>
      <x:c r="AY1125" s="604" t="inlineStr">
        <x:is>
          <x:t xml:space="preserve">V4 Shadow Only；real_money=false；P(EV&gt;0)不是比赛胜率</x:t>
        </x:is>
      </x:c>
    </x:row>
    <x:row r="1126" ht="22" customHeight="1">
      <x:c r="A1126" s="604" t="inlineStr">
        <x:is>
          <x:t xml:space="preserve">2026-10-06</x:t>
        </x:is>
      </x:c>
      <x:c r="B1126" s="604" t="inlineStr">
        <x:is>
          <x:t xml:space="preserve">2026-10-06 21:30</x:t>
        </x:is>
      </x:c>
      <x:c r="C1126" s="604" t="str">
        <x:v>其他系列</x:v>
      </x:c>
      <x:c r="D1126" s="604" t="inlineStr">
        <x:is>
          <x:t xml:space="preserve">杯赛</x:t>
        </x:is>
      </x:c>
      <x:c r="E1126" s="604" t="inlineStr">
        <x:is>
          <x:t xml:space="preserve">非青杯外</x:t>
        </x:is>
      </x:c>
      <x:c r="F1126" s="604" t="inlineStr">
        <x:is>
          <x:t xml:space="preserve">利比亚U20 vs 摩洛哥U20</x:t>
        </x:is>
      </x:c>
      <x:c r="G1126" s="604" t="n">
        <x:v>1.08</x:v>
      </x:c>
      <x:c r="H1126" s="604" t="n">
        <x:v>-1.5</x:v>
      </x:c>
      <x:c r="I1126" s="604" t="n">
        <x:v>0.64</x:v>
      </x:c>
      <x:c r="J1126" s="604" t="inlineStr">
        <x:is>
          <x:t xml:space="preserve">1.08/-1.5/0.64</x:t>
        </x:is>
      </x:c>
      <x:c r="K1126" s="604" t="inlineStr">
        <x:is>
          <x:t xml:space="preserve">V4-B｜EV +1.0796</x:t>
        </x:is>
      </x:c>
      <x:c r="L1126" s="604" t="inlineStr">
        <x:is>
          <x:t xml:space="preserve">利比亚U20</x:t>
        </x:is>
      </x:c>
      <x:c r="M1126" s="604" t="n">
        <x:v>0.9997942575487603</x:v>
      </x:c>
      <x:c r="N1126" s="604" t="inlineStr">
        <x:is>
          <x:t xml:space="preserve">V4纸面入选-B</x:t>
        </x:is>
      </x:c>
      <x:c r="O1126" s="604" t="inlineStr">
        <x:is>
          <x:t xml:space="preserve">3-2</x:t>
        </x:is>
      </x:c>
      <x:c r="P1126" s="604" t="inlineStr">
        <x:is>
          <x:t xml:space="preserve">已结算</x:t>
        </x:is>
      </x:c>
      <x:c r="Q1126" s="645" t="inlineStr">
        <x:is>
          <x:t xml:space="preserve">红</x:t>
        </x:is>
      </x:c>
      <x:c r="R1126" s="604" t="n">
        <x:v>1.08</x:v>
      </x:c>
      <x:c r="S1126" s="604" t="n">
        <x:f>IF(OR(Q1126="",Q1126="待结算"),"",IF(Q1126="红",R1126,IF(Q1126="半红",R1126*0.5,IF(Q1126="走",0,IF(Q1126="半黑",-0.5,-1)))))</x:f>
        <x:v>1.08</x:v>
      </x:c>
      <x:c r="T1126" s="604" t="inlineStr">
        <x:is>
          <x:t xml:space="preserve">https://m.titan007.com/analy/Analysis/3089675.htm</x:t>
        </x:is>
      </x:c>
      <x:c r="U1126" s="646" t="str">
        <x:f>IF(Q1126="","",IF(Q1126="待结算","待结算",IF(Q1126="红","黑",IF(Q1126="半红","半黑",IF(Q1126="走","走",IF(Q1126="半黑","半红","红"))))))</x:f>
        <x:v>黑</x:v>
      </x:c>
      <x:c r="V1126" s="604" t="n">
        <x:f>IF(OR(Q1126="",Q1126="待结算"),"",IF(L1126=LEFT(F1126,FIND(" vs ",F1126)-1),I1126,G1126))</x:f>
        <x:v>0.64</x:v>
      </x:c>
      <x:c r="W1126" s="604" t="n">
        <x:f>IF(OR(U1126="",U1126="待结算"),"",IF(U1126="红",V1126,IF(U1126="半红",V1126*0.5,IF(U1126="走",0,IF(U1126="半黑",-0.5,-1)))))</x:f>
        <x:v>-1</x:v>
      </x:c>
      <x:c r="X1126" s="604" t="inlineStr">
        <x:is>
          <x:t xml:space="preserve">3089675</x:t>
        </x:is>
      </x:c>
      <x:c r="Y1126" s="604" t="inlineStr">
        <x:is>
          <x:t xml:space="preserve">V4</x:t>
        </x:is>
      </x:c>
      <x:c r="Z1126" s="604" t="inlineStr">
        <x:is>
          <x:t xml:space="preserve">prior-2026-10-06-v1</x:t>
        </x:is>
      </x:c>
      <x:c r="AA1126" s="604" t="inlineStr">
        <x:is>
          <x:t xml:space="preserve">B</x:t>
        </x:is>
      </x:c>
      <x:c r="AB1126" s="604" t="n">
        <x:v>0.9997942575487603</x:v>
      </x:c>
      <x:c r="AC1126" s="604" t="n"/>
      <x:c r="AD1126" s="604" t="n"/>
      <x:c r="AE1126" s="604" t="n"/>
      <x:c r="AF1126" s="604" t="n">
        <x:v>0.0002057424512398283</x:v>
      </x:c>
      <x:c r="AG1126" s="604" t="n">
        <x:v>1.079572055701421</x:v>
      </x:c>
      <x:c r="AH1126" s="604" t="n"/>
      <x:c r="AI1126" s="604" t="n"/>
      <x:c r="AJ1126" s="604" t="n">
        <x:v>1.079572055701421</x:v>
      </x:c>
      <x:c r="AK1126" s="604" t="n"/>
      <x:c r="AL1126" s="604" t="n"/>
      <x:c r="AM1126" s="604" t="n"/>
      <x:c r="AN1126" s="604" t="inlineStr">
        <x:is>
          <x:t xml:space="preserve">EVALUATED</x:t>
        </x:is>
      </x:c>
      <x:c r="AO1126" s="604" t="inlineStr">
        <x:is>
          <x:t xml:space="preserve">RECEIVING_VALIDATED_EDGE、BUCKET_PRIOR_ONLY、INTENT_INTERPRETATION_ONLY、FFL_OPTIONAL、EXPERT_MARKET</x:t>
        </x:is>
      </x:c>
      <x:c r="AP1126" s="604" t="inlineStr">
        <x:is>
          <x:t xml:space="preserve">b2cba708fa9aa682bb98</x:t>
        </x:is>
      </x:c>
      <x:c r="AQ1126" s="604" t="n">
        <x:v>1.5</x:v>
      </x:c>
      <x:c r="AR1126" s="604" t="n">
        <x:v>1.08</x:v>
      </x:c>
      <x:c r="AS1126" s="604" t="n">
        <x:v>-1.5</x:v>
      </x:c>
      <x:c r="AT1126" s="604" t="n">
        <x:v>1.5</x:v>
      </x:c>
      <x:c r="AU1126" s="604" t="n">
        <x:v>1.08</x:v>
      </x:c>
      <x:c r="AV1126" s="604" t="n">
        <x:v>0.64</x:v>
      </x:c>
      <x:c r="AW1126" s="604" t="n">
        <x:v>46301.03159395833</x:v>
      </x:c>
      <x:c r="AX1126" s="604" t="inlineStr">
        <x:is>
          <x:t xml:space="preserve">https://simondongxiao.github.io/odds/v4/</x:t>
        </x:is>
      </x:c>
      <x:c r="AY1126" s="604" t="inlineStr">
        <x:is>
          <x:t xml:space="preserve">V4 Shadow Only；real_money=false；P(EV&gt;0)不是比赛胜率</x:t>
        </x:is>
      </x:c>
    </x:row>
    <x:row r="1127" ht="22" customHeight="1">
      <x:c r="A1127" s="604" t="inlineStr">
        <x:is>
          <x:t xml:space="preserve">2026-10-06</x:t>
        </x:is>
      </x:c>
      <x:c r="B1127" s="604" t="inlineStr">
        <x:is>
          <x:t xml:space="preserve">2026-10-06 21:45</x:t>
        </x:is>
      </x:c>
      <x:c r="C1127" s="604" t="str">
        <x:v>欧洲非五大系列</x:v>
      </x:c>
      <x:c r="D1127" s="604" t="inlineStr">
        <x:is>
          <x:t xml:space="preserve">联赛</x:t>
        </x:is>
      </x:c>
      <x:c r="E1127" s="604" t="inlineStr">
        <x:is>
          <x:t xml:space="preserve">欧青U21外</x:t>
        </x:is>
      </x:c>
      <x:c r="F1127" s="604" t="inlineStr">
        <x:is>
          <x:t xml:space="preserve">阿塞拜疆U21 vs 直布罗陀U21</x:t>
        </x:is>
      </x:c>
      <x:c r="G1127" s="604" t="n">
        <x:v>0.96</x:v>
      </x:c>
      <x:c r="H1127" s="604" t="n">
        <x:v>2.25</x:v>
      </x:c>
      <x:c r="I1127" s="604" t="n">
        <x:v>0.86</x:v>
      </x:c>
      <x:c r="J1127" s="604" t="inlineStr">
        <x:is>
          <x:t xml:space="preserve">0.96/2.25/0.86</x:t>
        </x:is>
      </x:c>
      <x:c r="K1127" s="604" t="inlineStr">
        <x:is>
          <x:t xml:space="preserve">V4-C｜EV +0.1471</x:t>
        </x:is>
      </x:c>
      <x:c r="L1127" s="604" t="inlineStr">
        <x:is>
          <x:t xml:space="preserve">阿塞拜疆U21</x:t>
        </x:is>
      </x:c>
      <x:c r="M1127" s="604" t="n">
        <x:v>0.5951968199283958</x:v>
      </x:c>
      <x:c r="N1127" s="604" t="inlineStr">
        <x:is>
          <x:t xml:space="preserve">V4纸面入选-C</x:t>
        </x:is>
      </x:c>
      <x:c r="O1127" s="604" t="inlineStr">
        <x:is>
          <x:t xml:space="preserve">3-0</x:t>
        </x:is>
      </x:c>
      <x:c r="P1127" s="604" t="inlineStr">
        <x:is>
          <x:t xml:space="preserve">已结算</x:t>
        </x:is>
      </x:c>
      <x:c r="Q1127" s="645" t="inlineStr">
        <x:is>
          <x:t xml:space="preserve">红</x:t>
        </x:is>
      </x:c>
      <x:c r="R1127" s="604" t="n">
        <x:v>0.96</x:v>
      </x:c>
      <x:c r="S1127" s="604" t="n">
        <x:f>IF(OR(Q1127="",Q1127="待结算"),"",IF(Q1127="红",R1127,IF(Q1127="半红",R1127*0.5,IF(Q1127="走",0,IF(Q1127="半黑",-0.5,-1)))))</x:f>
        <x:v>0.96</x:v>
      </x:c>
      <x:c r="T1127" s="604" t="inlineStr">
        <x:is>
          <x:t xml:space="preserve">https://m.titan007.com/analy/Analysis/2781258.htm</x:t>
        </x:is>
      </x:c>
      <x:c r="U1127" s="646" t="str">
        <x:f>IF(Q1127="","",IF(Q1127="待结算","待结算",IF(Q1127="红","黑",IF(Q1127="半红","半黑",IF(Q1127="走","走",IF(Q1127="半黑","半红","红"))))))</x:f>
        <x:v>黑</x:v>
      </x:c>
      <x:c r="V1127" s="604" t="n">
        <x:f>IF(OR(Q1127="",Q1127="待结算"),"",IF(L1127=LEFT(F1127,FIND(" vs ",F1127)-1),I1127,G1127))</x:f>
        <x:v>0.86</x:v>
      </x:c>
      <x:c r="W1127" s="604" t="n">
        <x:f>IF(OR(U1127="",U1127="待结算"),"",IF(U1127="红",V1127,IF(U1127="半红",V1127*0.5,IF(U1127="走",0,IF(U1127="半黑",-0.5,-1)))))</x:f>
        <x:v>-1</x:v>
      </x:c>
      <x:c r="X1127" s="604" t="inlineStr">
        <x:is>
          <x:t xml:space="preserve">2781258</x:t>
        </x:is>
      </x:c>
      <x:c r="Y1127" s="604" t="inlineStr">
        <x:is>
          <x:t xml:space="preserve">V4</x:t>
        </x:is>
      </x:c>
      <x:c r="Z1127" s="604" t="inlineStr">
        <x:is>
          <x:t xml:space="preserve">prior-2026-10-06-v1</x:t>
        </x:is>
      </x:c>
      <x:c r="AA1127" s="604" t="inlineStr">
        <x:is>
          <x:t xml:space="preserve">C</x:t>
        </x:is>
      </x:c>
      <x:c r="AB1127" s="604" t="n">
        <x:v>0.5256669116336137</x:v>
      </x:c>
      <x:c r="AC1127" s="604" t="n"/>
      <x:c r="AD1127" s="604" t="n"/>
      <x:c r="AE1127" s="604" t="n">
        <x:v>0.2336366928275818</x:v>
      </x:c>
      <x:c r="AF1127" s="604" t="n">
        <x:v>0.2406963955388045</x:v>
      </x:c>
      <x:c r="AG1127" s="604" t="n">
        <x:v>0.1471254932156736</x:v>
      </x:c>
      <x:c r="AH1127" s="604" t="n"/>
      <x:c r="AI1127" s="604" t="n"/>
      <x:c r="AJ1127" s="604" t="n">
        <x:v>0.1471254932156736</x:v>
      </x:c>
      <x:c r="AK1127" s="604" t="n"/>
      <x:c r="AL1127" s="604" t="n"/>
      <x:c r="AM1127" s="604" t="n"/>
      <x:c r="AN1127" s="604" t="inlineStr">
        <x:is>
          <x:t xml:space="preserve">EVALUATED</x:t>
        </x:is>
      </x:c>
      <x:c r="AO1127" s="604" t="inlineStr">
        <x:is>
          <x:t xml:space="preserve">GIVING_VALIDATED_EDGE、BUCKET_PRIOR_ONLY、INTENT_INTERPRETATION_ONLY、FFL_OPTIONAL、EXPERT_MARKET</x:t>
        </x:is>
      </x:c>
      <x:c r="AP1127" s="604" t="inlineStr">
        <x:is>
          <x:t xml:space="preserve">ed80f557bfe23e7793a4</x:t>
        </x:is>
      </x:c>
      <x:c r="AQ1127" s="604" t="n">
        <x:v>-2.25</x:v>
      </x:c>
      <x:c r="AR1127" s="604" t="n">
        <x:v>0.96</x:v>
      </x:c>
      <x:c r="AS1127" s="604" t="n">
        <x:v>2.25</x:v>
      </x:c>
      <x:c r="AT1127" s="604" t="n">
        <x:v>-2.25</x:v>
      </x:c>
      <x:c r="AU1127" s="604" t="n">
        <x:v>0.96</x:v>
      </x:c>
      <x:c r="AV1127" s="604" t="n">
        <x:v>0.86</x:v>
      </x:c>
      <x:c r="AW1127" s="604" t="n">
        <x:v>46301.03159395833</x:v>
      </x:c>
      <x:c r="AX1127" s="604" t="inlineStr">
        <x:is>
          <x:t xml:space="preserve">https://simondongxiao.github.io/odds/v4/</x:t>
        </x:is>
      </x:c>
      <x:c r="AY1127" s="604" t="inlineStr">
        <x:is>
          <x:t xml:space="preserve">V4 Shadow Only；real_money=false；P(EV&gt;0)不是比赛胜率</x:t>
        </x:is>
      </x:c>
    </x:row>
    <x:row r="1128" ht="22" customHeight="1">
      <x:c r="A1128" s="604" t="inlineStr">
        <x:is>
          <x:t xml:space="preserve">2026-10-06</x:t>
        </x:is>
      </x:c>
      <x:c r="B1128" s="604" t="inlineStr">
        <x:is>
          <x:t xml:space="preserve">2026-10-06 22:00</x:t>
        </x:is>
      </x:c>
      <x:c r="C1128" s="604" t="str">
        <x:v>欧洲非五大系列</x:v>
      </x:c>
      <x:c r="D1128" s="604" t="inlineStr">
        <x:is>
          <x:t xml:space="preserve">联赛</x:t>
        </x:is>
      </x:c>
      <x:c r="E1128" s="604" t="inlineStr">
        <x:is>
          <x:t xml:space="preserve">欧国联</x:t>
        </x:is>
      </x:c>
      <x:c r="F1128" s="604" t="inlineStr">
        <x:is>
          <x:t xml:space="preserve">哈萨克斯坦 vs 法罗群岛</x:t>
        </x:is>
      </x:c>
      <x:c r="G1128" s="604" t="n">
        <x:v>1.06</x:v>
      </x:c>
      <x:c r="H1128" s="604" t="n">
        <x:v>0</x:v>
      </x:c>
      <x:c r="I1128" s="604" t="n">
        <x:v>0.82</x:v>
      </x:c>
      <x:c r="J1128" s="604" t="inlineStr">
        <x:is>
          <x:t xml:space="preserve">1.06/0/0.82</x:t>
        </x:is>
      </x:c>
      <x:c r="K1128" s="604" t="inlineStr">
        <x:is>
          <x:t xml:space="preserve">V4-C｜EV +0.0412</x:t>
        </x:is>
      </x:c>
      <x:c r="L1128" s="604" t="str"/>
      <x:c r="M1128" s="604" t="n">
        <x:v>0.5084538980001776</x:v>
      </x:c>
      <x:c r="N1128" s="604" t="inlineStr">
        <x:is>
          <x:t xml:space="preserve">V4纸面入选-C</x:t>
        </x:is>
      </x:c>
      <x:c r="O1128" s="604" t="inlineStr">
        <x:is>
          <x:t xml:space="preserve">2-2</x:t>
        </x:is>
      </x:c>
      <x:c r="P1128" s="604" t="inlineStr">
        <x:is>
          <x:t xml:space="preserve">已结算</x:t>
        </x:is>
      </x:c>
      <x:c r="Q1128" s="647" t="inlineStr">
        <x:is>
          <x:t xml:space="preserve">走</x:t>
        </x:is>
      </x:c>
      <x:c r="R1128" s="604" t="n">
        <x:v>0.82</x:v>
      </x:c>
      <x:c r="S1128" s="604" t="n">
        <x:f>IF(OR(Q1128="",Q1128="待结算"),"",IF(Q1128="红",R1128,IF(Q1128="半红",R1128*0.5,IF(Q1128="走",0,IF(Q1128="半黑",-0.5,-1)))))</x:f>
        <x:v>0</x:v>
      </x:c>
      <x:c r="T1128" s="604" t="inlineStr">
        <x:is>
          <x:t xml:space="preserve">https://m.titan007.com/analy/Analysis/2981549.htm</x:t>
        </x:is>
      </x:c>
      <x:c r="U1128" s="647" t="str">
        <x:f>IF(Q1128="","",IF(Q1128="待结算","待结算",IF(Q1128="红","黑",IF(Q1128="半红","半黑",IF(Q1128="走","走",IF(Q1128="半黑","半红","红"))))))</x:f>
        <x:v>走</x:v>
      </x:c>
      <x:c r="V1128" s="604" t="n">
        <x:f>IF(OR(Q1128="",Q1128="待结算"),"",IF(L1128=LEFT(F1128,FIND(" vs ",F1128)-1),I1128,G1128))</x:f>
        <x:v>1.06</x:v>
      </x:c>
      <x:c r="W1128" s="604" t="n">
        <x:f>IF(OR(U1128="",U1128="待结算"),"",IF(U1128="红",V1128,IF(U1128="半红",V1128*0.5,IF(U1128="走",0,IF(U1128="半黑",-0.5,-1)))))</x:f>
        <x:v>0</x:v>
      </x:c>
      <x:c r="X1128" s="604" t="inlineStr">
        <x:is>
          <x:t xml:space="preserve">2981549</x:t>
        </x:is>
      </x:c>
      <x:c r="Y1128" s="604" t="inlineStr">
        <x:is>
          <x:t xml:space="preserve">V4</x:t>
        </x:is>
      </x:c>
      <x:c r="Z1128" s="604" t="inlineStr">
        <x:is>
          <x:t xml:space="preserve">prior-2026-10-06-v1</x:t>
        </x:is>
      </x:c>
      <x:c r="AA1128" s="604" t="inlineStr">
        <x:is>
          <x:t xml:space="preserve">C</x:t>
        </x:is>
      </x:c>
      <x:c r="AB1128" s="604" t="n">
        <x:v>0.4416516443653212</x:v>
      </x:c>
      <x:c r="AC1128" s="604" t="n"/>
      <x:c r="AD1128" s="604" t="n"/>
      <x:c r="AE1128" s="604" t="n">
        <x:v>0.2627662169474924</x:v>
      </x:c>
      <x:c r="AF1128" s="604" t="n">
        <x:v>0.2955821386871864</x:v>
      </x:c>
      <x:c r="AG1128" s="604" t="n">
        <x:v>0.04118549586630793</x:v>
      </x:c>
      <x:c r="AH1128" s="604" t="n"/>
      <x:c r="AI1128" s="604" t="n"/>
      <x:c r="AJ1128" s="604" t="n">
        <x:v>0.04118549586630793</x:v>
      </x:c>
      <x:c r="AK1128" s="604" t="n"/>
      <x:c r="AL1128" s="604" t="n"/>
      <x:c r="AM1128" s="604" t="n"/>
      <x:c r="AN1128" s="604" t="inlineStr">
        <x:is>
          <x:t xml:space="preserve">EVALUATED</x:t>
        </x:is>
      </x:c>
      <x:c r="AO1128" s="604" t="inlineStr">
        <x:is>
          <x:t xml:space="preserve">EDGE_BELOW_UNCERTAINTY_THRESHOLD、BUCKET_PRIOR_ONLY、INTENT_INTERPRETATION_ONLY、FFL_OPTIONAL、EXPERT_MARKET</x:t>
        </x:is>
      </x:c>
      <x:c r="AP1128" s="604" t="inlineStr">
        <x:is>
          <x:t xml:space="preserve">d00a0d525d67a0609f2d</x:t>
        </x:is>
      </x:c>
      <x:c r="AQ1128" s="604" t="n">
        <x:v>0</x:v>
      </x:c>
      <x:c r="AR1128" s="604" t="n"/>
      <x:c r="AS1128" s="604" t="n">
        <x:v>0</x:v>
      </x:c>
      <x:c r="AT1128" s="604" t="n">
        <x:v>0</x:v>
      </x:c>
      <x:c r="AU1128" s="604" t="n">
        <x:v>1.06</x:v>
      </x:c>
      <x:c r="AV1128" s="604" t="n">
        <x:v>0.82</x:v>
      </x:c>
      <x:c r="AW1128" s="604" t="n">
        <x:v>46301.03159395833</x:v>
      </x:c>
      <x:c r="AX1128" s="604" t="inlineStr">
        <x:is>
          <x:t xml:space="preserve">https://simondongxiao.github.io/odds/v4/</x:t>
        </x:is>
      </x:c>
      <x:c r="AY1128" s="604" t="inlineStr">
        <x:is>
          <x:t xml:space="preserve">V4 Shadow Only；real_money=false；P(EV&gt;0)不是比赛胜率</x:t>
        </x:is>
      </x:c>
    </x:row>
    <x:row r="1129" ht="22" customHeight="1">
      <x:c r="A1129" s="604" t="inlineStr">
        <x:is>
          <x:t xml:space="preserve">2026-10-06</x:t>
        </x:is>
      </x:c>
      <x:c r="B1129" s="604" t="inlineStr">
        <x:is>
          <x:t xml:space="preserve">2026-10-06 22:00</x:t>
        </x:is>
      </x:c>
      <x:c r="C1129" s="604" t="str">
        <x:v>欧洲非五大系列</x:v>
      </x:c>
      <x:c r="D1129" s="604" t="inlineStr">
        <x:is>
          <x:t xml:space="preserve">联赛</x:t>
        </x:is>
      </x:c>
      <x:c r="E1129" s="604" t="inlineStr">
        <x:is>
          <x:t xml:space="preserve">葡U23</x:t>
        </x:is>
      </x:c>
      <x:c r="F1129" s="604" t="inlineStr">
        <x:is>
          <x:t xml:space="preserve">里奥阿维U23 vs 摩里伦斯U23</x:t>
        </x:is>
      </x:c>
      <x:c r="G1129" s="604" t="n">
        <x:v>0.89</x:v>
      </x:c>
      <x:c r="H1129" s="604" t="n">
        <x:v>0</x:v>
      </x:c>
      <x:c r="I1129" s="604" t="n">
        <x:v>0.87</x:v>
      </x:c>
      <x:c r="J1129" s="604" t="inlineStr">
        <x:is>
          <x:t xml:space="preserve">0.89/0/0.87</x:t>
        </x:is>
      </x:c>
      <x:c r="K1129" s="604" t="inlineStr">
        <x:is>
          <x:t xml:space="preserve">V4-C｜EV +0.0057</x:t>
        </x:is>
      </x:c>
      <x:c r="L1129" s="604" t="str"/>
      <x:c r="M1129" s="604" t="n">
        <x:v>0.5325585733191842</x:v>
      </x:c>
      <x:c r="N1129" s="604" t="inlineStr">
        <x:is>
          <x:t xml:space="preserve">V4纸面入选-C</x:t>
        </x:is>
      </x:c>
      <x:c r="O1129" s="604" t="inlineStr">
        <x:is>
          <x:t xml:space="preserve">1-1</x:t>
        </x:is>
      </x:c>
      <x:c r="P1129" s="604" t="inlineStr">
        <x:is>
          <x:t xml:space="preserve">已结算</x:t>
        </x:is>
      </x:c>
      <x:c r="Q1129" s="647" t="inlineStr">
        <x:is>
          <x:t xml:space="preserve">走</x:t>
        </x:is>
      </x:c>
      <x:c r="R1129" s="604" t="n">
        <x:v>0.87</x:v>
      </x:c>
      <x:c r="S1129" s="604" t="n">
        <x:f>IF(OR(Q1129="",Q1129="待结算"),"",IF(Q1129="红",R1129,IF(Q1129="半红",R1129*0.5,IF(Q1129="走",0,IF(Q1129="半黑",-0.5,-1)))))</x:f>
        <x:v>0</x:v>
      </x:c>
      <x:c r="T1129" s="604" t="inlineStr">
        <x:is>
          <x:t xml:space="preserve">https://m.titan007.com/analy/Analysis/3056236.htm</x:t>
        </x:is>
      </x:c>
      <x:c r="U1129" s="647" t="str">
        <x:f>IF(Q1129="","",IF(Q1129="待结算","待结算",IF(Q1129="红","黑",IF(Q1129="半红","半黑",IF(Q1129="走","走",IF(Q1129="半黑","半红","红"))))))</x:f>
        <x:v>走</x:v>
      </x:c>
      <x:c r="V1129" s="604" t="n">
        <x:f>IF(OR(Q1129="",Q1129="待结算"),"",IF(L1129=LEFT(F1129,FIND(" vs ",F1129)-1),I1129,G1129))</x:f>
        <x:v>0.89</x:v>
      </x:c>
      <x:c r="W1129" s="604" t="n">
        <x:f>IF(OR(U1129="",U1129="待结算"),"",IF(U1129="红",V1129,IF(U1129="半红",V1129*0.5,IF(U1129="走",0,IF(U1129="半黑",-0.5,-1)))))</x:f>
        <x:v>0</x:v>
      </x:c>
      <x:c r="X1129" s="604" t="inlineStr">
        <x:is>
          <x:t xml:space="preserve">3056236</x:t>
        </x:is>
      </x:c>
      <x:c r="Y1129" s="604" t="inlineStr">
        <x:is>
          <x:t xml:space="preserve">V4</x:t>
        </x:is>
      </x:c>
      <x:c r="Z1129" s="604" t="inlineStr">
        <x:is>
          <x:t xml:space="preserve">prior-2026-10-06-v1</x:t>
        </x:is>
      </x:c>
      <x:c r="AA1129" s="604" t="inlineStr">
        <x:is>
          <x:t xml:space="preserve">C</x:t>
        </x:is>
      </x:c>
      <x:c r="AB1129" s="604" t="n">
        <x:v>0.463947473221719</x:v>
      </x:c>
      <x:c r="AC1129" s="604" t="n"/>
      <x:c r="AD1129" s="604" t="n"/>
      <x:c r="AE1129" s="604" t="n">
        <x:v>0.2576659302275234</x:v>
      </x:c>
      <x:c r="AF1129" s="604" t="n">
        <x:v>0.2783865965507575</x:v>
      </x:c>
      <x:c r="AG1129" s="604" t="n">
        <x:v>0.005693689502810739</x:v>
      </x:c>
      <x:c r="AH1129" s="604" t="n"/>
      <x:c r="AI1129" s="604" t="n"/>
      <x:c r="AJ1129" s="604" t="n">
        <x:v>0.005693689502810739</x:v>
      </x:c>
      <x:c r="AK1129" s="604" t="n"/>
      <x:c r="AL1129" s="604" t="n"/>
      <x:c r="AM1129" s="604" t="n"/>
      <x:c r="AN1129" s="604" t="inlineStr">
        <x:is>
          <x:t xml:space="preserve">EVALUATED</x:t>
        </x:is>
      </x:c>
      <x:c r="AO1129" s="604" t="inlineStr">
        <x:is>
          <x:t xml:space="preserve">EDGE_BELOW_UNCERTAINTY_THRESHOLD、BUCKET_PRIOR_ONLY、INTENT_INTERPRETATION_ONLY、FFL_OPTIONAL、EXPERT_MARKET</x:t>
        </x:is>
      </x:c>
      <x:c r="AP1129" s="604" t="inlineStr">
        <x:is>
          <x:t xml:space="preserve">cd2a2b9493e9f7eae6e8</x:t>
        </x:is>
      </x:c>
      <x:c r="AQ1129" s="604" t="n">
        <x:v>0</x:v>
      </x:c>
      <x:c r="AR1129" s="604" t="n"/>
      <x:c r="AS1129" s="604" t="n">
        <x:v>0</x:v>
      </x:c>
      <x:c r="AT1129" s="604" t="n">
        <x:v>0</x:v>
      </x:c>
      <x:c r="AU1129" s="604" t="n">
        <x:v>0.89</x:v>
      </x:c>
      <x:c r="AV1129" s="604" t="n">
        <x:v>0.87</x:v>
      </x:c>
      <x:c r="AW1129" s="604" t="n">
        <x:v>46301.03159395833</x:v>
      </x:c>
      <x:c r="AX1129" s="604" t="inlineStr">
        <x:is>
          <x:t xml:space="preserve">https://simondongxiao.github.io/odds/v4/</x:t>
        </x:is>
      </x:c>
      <x:c r="AY1129" s="604" t="inlineStr">
        <x:is>
          <x:t xml:space="preserve">V4 Shadow Only；real_money=false；P(EV&gt;0)不是比赛胜率</x:t>
        </x:is>
      </x:c>
    </x:row>
    <x:row r="1130" ht="22" customHeight="1">
      <x:c r="A1130" s="604" t="inlineStr">
        <x:is>
          <x:t xml:space="preserve">2026-10-06</x:t>
        </x:is>
      </x:c>
      <x:c r="B1130" s="604" t="inlineStr">
        <x:is>
          <x:t xml:space="preserve">2026-10-06 22:00</x:t>
        </x:is>
      </x:c>
      <x:c r="C1130" s="604" t="str">
        <x:v>欧洲非五大系列</x:v>
      </x:c>
      <x:c r="D1130" s="604" t="inlineStr">
        <x:is>
          <x:t xml:space="preserve">联赛</x:t>
        </x:is>
      </x:c>
      <x:c r="E1130" s="604" t="inlineStr">
        <x:is>
          <x:t xml:space="preserve">斯亚乙</x:t>
        </x:is>
      </x:c>
      <x:c r="F1130" s="604" t="inlineStr">
        <x:is>
          <x:t xml:space="preserve">比列 vs 加德兰戴卡尼</x:t>
        </x:is>
      </x:c>
      <x:c r="G1130" s="604" t="n">
        <x:v>0.74</x:v>
      </x:c>
      <x:c r="H1130" s="604" t="n">
        <x:v>-0.5</x:v>
      </x:c>
      <x:c r="I1130" s="604" t="n">
        <x:v>0.96</x:v>
      </x:c>
      <x:c r="J1130" s="604" t="inlineStr">
        <x:is>
          <x:t xml:space="preserve">0.74/-0.5/0.96</x:t>
        </x:is>
      </x:c>
      <x:c r="K1130" s="604" t="inlineStr">
        <x:is>
          <x:t xml:space="preserve">V4-B｜EV +0.3625</x:t>
        </x:is>
      </x:c>
      <x:c r="L1130" s="604" t="inlineStr">
        <x:is>
          <x:t xml:space="preserve">比列</x:t>
        </x:is>
      </x:c>
      <x:c r="M1130" s="604" t="n">
        <x:v>0.7830329194833973</x:v>
      </x:c>
      <x:c r="N1130" s="604" t="inlineStr">
        <x:is>
          <x:t xml:space="preserve">V4纸面入选-B</x:t>
        </x:is>
      </x:c>
      <x:c r="O1130" s="604" t="inlineStr">
        <x:is>
          <x:t xml:space="preserve">2-0</x:t>
        </x:is>
      </x:c>
      <x:c r="P1130" s="604" t="inlineStr">
        <x:is>
          <x:t xml:space="preserve">已结算</x:t>
        </x:is>
      </x:c>
      <x:c r="Q1130" s="645" t="inlineStr">
        <x:is>
          <x:t xml:space="preserve">红</x:t>
        </x:is>
      </x:c>
      <x:c r="R1130" s="604" t="n">
        <x:v>0.74</x:v>
      </x:c>
      <x:c r="S1130" s="604" t="n">
        <x:f>IF(OR(Q1130="",Q1130="待结算"),"",IF(Q1130="红",R1130,IF(Q1130="半红",R1130*0.5,IF(Q1130="走",0,IF(Q1130="半黑",-0.5,-1)))))</x:f>
        <x:v>0.74</x:v>
      </x:c>
      <x:c r="T1130" s="604" t="inlineStr">
        <x:is>
          <x:t xml:space="preserve">https://m.titan007.com/analy/Analysis/3005986.htm</x:t>
        </x:is>
      </x:c>
      <x:c r="U1130" s="646" t="str">
        <x:f>IF(Q1130="","",IF(Q1130="待结算","待结算",IF(Q1130="红","黑",IF(Q1130="半红","半黑",IF(Q1130="走","走",IF(Q1130="半黑","半红","红"))))))</x:f>
        <x:v>黑</x:v>
      </x:c>
      <x:c r="V1130" s="604" t="n">
        <x:f>IF(OR(Q1130="",Q1130="待结算"),"",IF(L1130=LEFT(F1130,FIND(" vs ",F1130)-1),I1130,G1130))</x:f>
        <x:v>0.96</x:v>
      </x:c>
      <x:c r="W1130" s="604" t="n">
        <x:f>IF(OR(U1130="",U1130="待结算"),"",IF(U1130="红",V1130,IF(U1130="半红",V1130*0.5,IF(U1130="走",0,IF(U1130="半黑",-0.5,-1)))))</x:f>
        <x:v>-1</x:v>
      </x:c>
      <x:c r="X1130" s="604" t="inlineStr">
        <x:is>
          <x:t xml:space="preserve">3005986</x:t>
        </x:is>
      </x:c>
      <x:c r="Y1130" s="604" t="inlineStr">
        <x:is>
          <x:t xml:space="preserve">V4</x:t>
        </x:is>
      </x:c>
      <x:c r="Z1130" s="604" t="inlineStr">
        <x:is>
          <x:t xml:space="preserve">prior-2026-10-06-v1</x:t>
        </x:is>
      </x:c>
      <x:c r="AA1130" s="604" t="inlineStr">
        <x:is>
          <x:t xml:space="preserve">B</x:t>
        </x:is>
      </x:c>
      <x:c r="AB1130" s="604" t="n">
        <x:v>0.7830329194833973</x:v>
      </x:c>
      <x:c r="AC1130" s="604" t="n"/>
      <x:c r="AD1130" s="604" t="n"/>
      <x:c r="AE1130" s="604" t="n"/>
      <x:c r="AF1130" s="604" t="n">
        <x:v>0.2169670805166028</x:v>
      </x:c>
      <x:c r="AG1130" s="604" t="n">
        <x:v>0.3624772799011112</x:v>
      </x:c>
      <x:c r="AH1130" s="604" t="n"/>
      <x:c r="AI1130" s="604" t="n"/>
      <x:c r="AJ1130" s="604" t="n">
        <x:v>0.3624772799011112</x:v>
      </x:c>
      <x:c r="AK1130" s="604" t="n"/>
      <x:c r="AL1130" s="604" t="n"/>
      <x:c r="AM1130" s="604" t="n"/>
      <x:c r="AN1130" s="604" t="inlineStr">
        <x:is>
          <x:t xml:space="preserve">EVALUATED</x:t>
        </x:is>
      </x:c>
      <x:c r="AO1130" s="604" t="inlineStr">
        <x:is>
          <x:t xml:space="preserve">RECEIVING_VALIDATED_EDGE、BUCKET_PRIOR_ONLY、INTENT_INTERPRETATION_ONLY、FFL_OPTIONAL、EXPERT_MARKET</x:t>
        </x:is>
      </x:c>
      <x:c r="AP1130" s="604" t="inlineStr">
        <x:is>
          <x:t xml:space="preserve">1a01b0d2a34daf864076</x:t>
        </x:is>
      </x:c>
      <x:c r="AQ1130" s="604" t="n">
        <x:v>0.5</x:v>
      </x:c>
      <x:c r="AR1130" s="604" t="n">
        <x:v>0.74</x:v>
      </x:c>
      <x:c r="AS1130" s="604" t="n">
        <x:v>-0.5</x:v>
      </x:c>
      <x:c r="AT1130" s="604" t="n">
        <x:v>0.5</x:v>
      </x:c>
      <x:c r="AU1130" s="604" t="n">
        <x:v>0.74</x:v>
      </x:c>
      <x:c r="AV1130" s="604" t="n">
        <x:v>0.96</x:v>
      </x:c>
      <x:c r="AW1130" s="604" t="n">
        <x:v>46301.03159395833</x:v>
      </x:c>
      <x:c r="AX1130" s="604" t="inlineStr">
        <x:is>
          <x:t xml:space="preserve">https://simondongxiao.github.io/odds/v4/</x:t>
        </x:is>
      </x:c>
      <x:c r="AY1130" s="604" t="inlineStr">
        <x:is>
          <x:t xml:space="preserve">V4 Shadow Only；real_money=false；P(EV&gt;0)不是比赛胜率</x:t>
        </x:is>
      </x:c>
    </x:row>
    <x:row r="1131" ht="22" customHeight="1">
      <x:c r="A1131" s="604" t="inlineStr">
        <x:is>
          <x:t xml:space="preserve">2026-10-06</x:t>
        </x:is>
      </x:c>
      <x:c r="B1131" s="604" t="inlineStr">
        <x:is>
          <x:t xml:space="preserve">2026-10-06 22:00</x:t>
        </x:is>
      </x:c>
      <x:c r="C1131" s="604" t="str">
        <x:v>其他系列</x:v>
      </x:c>
      <x:c r="D1131" s="604" t="inlineStr">
        <x:is>
          <x:t xml:space="preserve">联赛</x:t>
        </x:is>
      </x:c>
      <x:c r="E1131" s="604" t="inlineStr">
        <x:is>
          <x:t xml:space="preserve">国际友谊</x:t>
        </x:is>
      </x:c>
      <x:c r="F1131" s="604" t="inlineStr">
        <x:is>
          <x:t xml:space="preserve">葡萄牙U19 vs 奥地利U19</x:t>
        </x:is>
      </x:c>
      <x:c r="G1131" s="604" t="n">
        <x:v>0.87</x:v>
      </x:c>
      <x:c r="H1131" s="604" t="n">
        <x:v>0.5</x:v>
      </x:c>
      <x:c r="I1131" s="604" t="n">
        <x:v>0.89</x:v>
      </x:c>
      <x:c r="J1131" s="604" t="inlineStr">
        <x:is>
          <x:t xml:space="preserve">0.87/0.5/0.89</x:t>
        </x:is>
      </x:c>
      <x:c r="K1131" s="604" t="inlineStr">
        <x:is>
          <x:t xml:space="preserve">V4-C｜EV +0.0773</x:t>
        </x:is>
      </x:c>
      <x:c r="L1131" s="604" t="inlineStr">
        <x:is>
          <x:t xml:space="preserve">葡萄牙U19</x:t>
        </x:is>
      </x:c>
      <x:c r="M1131" s="604" t="n">
        <x:v>0.5760887327269456</x:v>
      </x:c>
      <x:c r="N1131" s="604" t="inlineStr">
        <x:is>
          <x:t xml:space="preserve">V4纸面入选-C</x:t>
        </x:is>
      </x:c>
      <x:c r="O1131" s="604" t="inlineStr">
        <x:is>
          <x:t xml:space="preserve">4-0</x:t>
        </x:is>
      </x:c>
      <x:c r="P1131" s="604" t="inlineStr">
        <x:is>
          <x:t xml:space="preserve">已结算</x:t>
        </x:is>
      </x:c>
      <x:c r="Q1131" s="645" t="inlineStr">
        <x:is>
          <x:t xml:space="preserve">红</x:t>
        </x:is>
      </x:c>
      <x:c r="R1131" s="604" t="n">
        <x:v>0.87</x:v>
      </x:c>
      <x:c r="S1131" s="604" t="n">
        <x:f>IF(OR(Q1131="",Q1131="待结算"),"",IF(Q1131="红",R1131,IF(Q1131="半红",R1131*0.5,IF(Q1131="走",0,IF(Q1131="半黑",-0.5,-1)))))</x:f>
        <x:v>0.87</x:v>
      </x:c>
      <x:c r="T1131" s="604" t="inlineStr">
        <x:is>
          <x:t xml:space="preserve">https://m.titan007.com/analy/Analysis/3097381.htm</x:t>
        </x:is>
      </x:c>
      <x:c r="U1131" s="646" t="str">
        <x:f>IF(Q1131="","",IF(Q1131="待结算","待结算",IF(Q1131="红","黑",IF(Q1131="半红","半黑",IF(Q1131="走","走",IF(Q1131="半黑","半红","红"))))))</x:f>
        <x:v>黑</x:v>
      </x:c>
      <x:c r="V1131" s="604" t="n">
        <x:f>IF(OR(Q1131="",Q1131="待结算"),"",IF(L1131=LEFT(F1131,FIND(" vs ",F1131)-1),I1131,G1131))</x:f>
        <x:v>0.89</x:v>
      </x:c>
      <x:c r="W1131" s="604" t="n">
        <x:f>IF(OR(U1131="",U1131="待结算"),"",IF(U1131="红",V1131,IF(U1131="半红",V1131*0.5,IF(U1131="走",0,IF(U1131="半黑",-0.5,-1)))))</x:f>
        <x:v>-1</x:v>
      </x:c>
      <x:c r="X1131" s="604" t="inlineStr">
        <x:is>
          <x:t xml:space="preserve">3097381</x:t>
        </x:is>
      </x:c>
      <x:c r="Y1131" s="604" t="inlineStr">
        <x:is>
          <x:t xml:space="preserve">V4</x:t>
        </x:is>
      </x:c>
      <x:c r="Z1131" s="604" t="inlineStr">
        <x:is>
          <x:t xml:space="preserve">prior-2026-10-06-v1</x:t>
        </x:is>
      </x:c>
      <x:c r="AA1131" s="604" t="inlineStr">
        <x:is>
          <x:t xml:space="preserve">C</x:t>
        </x:is>
      </x:c>
      <x:c r="AB1131" s="604" t="n">
        <x:v>0.5760887327269456</x:v>
      </x:c>
      <x:c r="AC1131" s="604" t="n"/>
      <x:c r="AD1131" s="604" t="n"/>
      <x:c r="AE1131" s="604" t="n"/>
      <x:c r="AF1131" s="604" t="n">
        <x:v>0.4239112672730544</x:v>
      </x:c>
      <x:c r="AG1131" s="604" t="n">
        <x:v>0.07728593019938823</x:v>
      </x:c>
      <x:c r="AH1131" s="604" t="n"/>
      <x:c r="AI1131" s="604" t="n"/>
      <x:c r="AJ1131" s="604" t="n">
        <x:v>0.07728593019938823</x:v>
      </x:c>
      <x:c r="AK1131" s="604" t="n"/>
      <x:c r="AL1131" s="604" t="n"/>
      <x:c r="AM1131" s="604" t="n"/>
      <x:c r="AN1131" s="604" t="inlineStr">
        <x:is>
          <x:t xml:space="preserve">EVALUATED</x:t>
        </x:is>
      </x:c>
      <x:c r="AO1131" s="604" t="inlineStr">
        <x:is>
          <x:t xml:space="preserve">GIVING_VALIDATED_EDGE、BUCKET_PRIOR_ONLY、INTENT_INTERPRETATION_ONLY、FFL_OPTIONAL、EXPERT_MARKET</x:t>
        </x:is>
      </x:c>
      <x:c r="AP1131" s="604" t="inlineStr">
        <x:is>
          <x:t xml:space="preserve">bf325b1ff949233bbc07</x:t>
        </x:is>
      </x:c>
      <x:c r="AQ1131" s="604" t="n">
        <x:v>-0.5</x:v>
      </x:c>
      <x:c r="AR1131" s="604" t="n">
        <x:v>0.87</x:v>
      </x:c>
      <x:c r="AS1131" s="604" t="n">
        <x:v>0.5</x:v>
      </x:c>
      <x:c r="AT1131" s="604" t="n">
        <x:v>-0.5</x:v>
      </x:c>
      <x:c r="AU1131" s="604" t="n">
        <x:v>0.87</x:v>
      </x:c>
      <x:c r="AV1131" s="604" t="n">
        <x:v>0.89</x:v>
      </x:c>
      <x:c r="AW1131" s="604" t="n">
        <x:v>46301.03159395833</x:v>
      </x:c>
      <x:c r="AX1131" s="604" t="inlineStr">
        <x:is>
          <x:t xml:space="preserve">https://simondongxiao.github.io/odds/v4/</x:t>
        </x:is>
      </x:c>
      <x:c r="AY1131" s="604" t="inlineStr">
        <x:is>
          <x:t xml:space="preserve">V4 Shadow Only；real_money=false；P(EV&gt;0)不是比赛胜率</x:t>
        </x:is>
      </x:c>
    </x:row>
    <x:row r="1132" ht="22" customHeight="1">
      <x:c r="A1132" s="604" t="inlineStr">
        <x:is>
          <x:t xml:space="preserve">2026-10-06</x:t>
        </x:is>
      </x:c>
      <x:c r="B1132" s="604" t="inlineStr">
        <x:is>
          <x:t xml:space="preserve">2026-10-06 22:00</x:t>
        </x:is>
      </x:c>
      <x:c r="C1132" s="604" t="str">
        <x:v>其他系列</x:v>
      </x:c>
      <x:c r="D1132" s="604" t="inlineStr">
        <x:is>
          <x:t xml:space="preserve">联赛</x:t>
        </x:is>
      </x:c>
      <x:c r="E1132" s="604" t="inlineStr">
        <x:is>
          <x:t xml:space="preserve">国际友谊</x:t>
        </x:is>
      </x:c>
      <x:c r="F1132" s="604" t="inlineStr">
        <x:is>
          <x:t xml:space="preserve">印度(中) vs 乌拉圭</x:t>
        </x:is>
      </x:c>
      <x:c r="G1132" s="604" t="n">
        <x:v>0.91</x:v>
      </x:c>
      <x:c r="H1132" s="604" t="n">
        <x:v>-3.5</x:v>
      </x:c>
      <x:c r="I1132" s="604" t="n">
        <x:v>0.91</x:v>
      </x:c>
      <x:c r="J1132" s="604" t="inlineStr">
        <x:is>
          <x:t xml:space="preserve">0.91/-3.5/0.91</x:t>
        </x:is>
      </x:c>
      <x:c r="K1132" s="604" t="inlineStr">
        <x:is>
          <x:t xml:space="preserve">V4-C｜EV +0.9100</x:t>
        </x:is>
      </x:c>
      <x:c r="L1132" s="604" t="inlineStr">
        <x:is>
          <x:t xml:space="preserve">印度(中)</x:t>
        </x:is>
      </x:c>
      <x:c r="M1132" s="604" t="n">
        <x:v>0.9999999285534783</x:v>
      </x:c>
      <x:c r="N1132" s="604" t="inlineStr">
        <x:is>
          <x:t xml:space="preserve">V4纸面入选-C</x:t>
        </x:is>
      </x:c>
      <x:c r="O1132" s="604" t="inlineStr">
        <x:is>
          <x:t xml:space="preserve">1-6</x:t>
        </x:is>
      </x:c>
      <x:c r="P1132" s="604" t="inlineStr">
        <x:is>
          <x:t xml:space="preserve">已结算</x:t>
        </x:is>
      </x:c>
      <x:c r="Q1132" s="646" t="inlineStr">
        <x:is>
          <x:t xml:space="preserve">黑</x:t>
        </x:is>
      </x:c>
      <x:c r="R1132" s="604" t="n">
        <x:v>0.91</x:v>
      </x:c>
      <x:c r="S1132" s="604" t="n">
        <x:f>IF(OR(Q1132="",Q1132="待结算"),"",IF(Q1132="红",R1132,IF(Q1132="半红",R1132*0.5,IF(Q1132="走",0,IF(Q1132="半黑",-0.5,-1)))))</x:f>
        <x:v>-1</x:v>
      </x:c>
      <x:c r="T1132" s="604" t="inlineStr">
        <x:is>
          <x:t xml:space="preserve">https://m.titan007.com/analy/Analysis/3097388.htm</x:t>
        </x:is>
      </x:c>
      <x:c r="U1132" s="645" t="str">
        <x:f>IF(Q1132="","",IF(Q1132="待结算","待结算",IF(Q1132="红","黑",IF(Q1132="半红","半黑",IF(Q1132="走","走",IF(Q1132="半黑","半红","红"))))))</x:f>
        <x:v>红</x:v>
      </x:c>
      <x:c r="V1132" s="604" t="n">
        <x:f>IF(OR(Q1132="",Q1132="待结算"),"",IF(L1132=LEFT(F1132,FIND(" vs ",F1132)-1),I1132,G1132))</x:f>
        <x:v>0.91</x:v>
      </x:c>
      <x:c r="W1132" s="604" t="n">
        <x:f>IF(OR(U1132="",U1132="待结算"),"",IF(U1132="红",V1132,IF(U1132="半红",V1132*0.5,IF(U1132="走",0,IF(U1132="半黑",-0.5,-1)))))</x:f>
        <x:v>0.91</x:v>
      </x:c>
      <x:c r="X1132" s="604" t="inlineStr">
        <x:is>
          <x:t xml:space="preserve">3097388</x:t>
        </x:is>
      </x:c>
      <x:c r="Y1132" s="604" t="inlineStr">
        <x:is>
          <x:t xml:space="preserve">V4</x:t>
        </x:is>
      </x:c>
      <x:c r="Z1132" s="604" t="inlineStr">
        <x:is>
          <x:t xml:space="preserve">prior-2026-10-06-v1</x:t>
        </x:is>
      </x:c>
      <x:c r="AA1132" s="604" t="inlineStr">
        <x:is>
          <x:t xml:space="preserve">C</x:t>
        </x:is>
      </x:c>
      <x:c r="AB1132" s="604" t="n">
        <x:v>0.9999999285534783</x:v>
      </x:c>
      <x:c r="AC1132" s="604" t="n"/>
      <x:c r="AD1132" s="604" t="n"/>
      <x:c r="AE1132" s="604" t="n"/>
      <x:c r="AF1132" s="604" t="n">
        <x:v>7.14465216873765e-08</x:v>
      </x:c>
      <x:c r="AG1132" s="604" t="n">
        <x:v>0.9099998635371436</x:v>
      </x:c>
      <x:c r="AH1132" s="604" t="n"/>
      <x:c r="AI1132" s="604" t="n"/>
      <x:c r="AJ1132" s="604" t="n">
        <x:v>0.9099998635371436</x:v>
      </x:c>
      <x:c r="AK1132" s="604" t="n"/>
      <x:c r="AL1132" s="604" t="n"/>
      <x:c r="AM1132" s="604" t="n"/>
      <x:c r="AN1132" s="604" t="inlineStr">
        <x:is>
          <x:t xml:space="preserve">EVALUATED</x:t>
        </x:is>
      </x:c>
      <x:c r="AO1132" s="604" t="inlineStr">
        <x:is>
          <x:t xml:space="preserve">RECEIVING_VALIDATED_EDGE、BUCKET_PRIOR_ONLY、INTENT_INTERPRETATION_ONLY、FFL_OPTIONAL、EXPERT_MARKET</x:t>
        </x:is>
      </x:c>
      <x:c r="AP1132" s="604" t="inlineStr">
        <x:is>
          <x:t xml:space="preserve">b27beeac1d01985b759c</x:t>
        </x:is>
      </x:c>
      <x:c r="AQ1132" s="604" t="n">
        <x:v>3.5</x:v>
      </x:c>
      <x:c r="AR1132" s="604" t="n">
        <x:v>0.91</x:v>
      </x:c>
      <x:c r="AS1132" s="604" t="n">
        <x:v>-3.5</x:v>
      </x:c>
      <x:c r="AT1132" s="604" t="n">
        <x:v>3.5</x:v>
      </x:c>
      <x:c r="AU1132" s="604" t="n">
        <x:v>0.91</x:v>
      </x:c>
      <x:c r="AV1132" s="604" t="n">
        <x:v>0.91</x:v>
      </x:c>
      <x:c r="AW1132" s="604" t="n">
        <x:v>46301.03159395833</x:v>
      </x:c>
      <x:c r="AX1132" s="604" t="inlineStr">
        <x:is>
          <x:t xml:space="preserve">https://simondongxiao.github.io/odds/v4/</x:t>
        </x:is>
      </x:c>
      <x:c r="AY1132" s="604" t="inlineStr">
        <x:is>
          <x:t xml:space="preserve">V4 Shadow Only；real_money=false；P(EV&gt;0)不是比赛胜率</x:t>
        </x:is>
      </x:c>
    </x:row>
    <x:row r="1133" ht="22" customHeight="1">
      <x:c r="A1133" s="604" t="inlineStr">
        <x:is>
          <x:t xml:space="preserve">2026-10-06</x:t>
        </x:is>
      </x:c>
      <x:c r="B1133" s="604" t="inlineStr">
        <x:is>
          <x:t xml:space="preserve">2026-10-06 23:00</x:t>
        </x:is>
      </x:c>
      <x:c r="C1133" s="604" t="str">
        <x:v>欧洲非五大系列</x:v>
      </x:c>
      <x:c r="D1133" s="604" t="inlineStr">
        <x:is>
          <x:t xml:space="preserve">杯赛</x:t>
        </x:is>
      </x:c>
      <x:c r="E1133" s="604" t="inlineStr">
        <x:is>
          <x:t xml:space="preserve">挪威杯</x:t>
        </x:is>
      </x:c>
      <x:c r="F1133" s="604" t="inlineStr">
        <x:is>
          <x:t xml:space="preserve">诺霍斯 vs 斯达</x:t>
        </x:is>
      </x:c>
      <x:c r="G1133" s="604" t="n">
        <x:v>0.91</x:v>
      </x:c>
      <x:c r="H1133" s="604" t="n">
        <x:v>-1</x:v>
      </x:c>
      <x:c r="I1133" s="604" t="n">
        <x:v>0.85</x:v>
      </x:c>
      <x:c r="J1133" s="604" t="inlineStr">
        <x:is>
          <x:t xml:space="preserve">0.91/-1/0.85</x:t>
        </x:is>
      </x:c>
      <x:c r="K1133" s="604" t="inlineStr">
        <x:is>
          <x:t xml:space="preserve">V4-B｜EV +0.7992</x:t>
        </x:is>
      </x:c>
      <x:c r="L1133" s="604" t="inlineStr">
        <x:is>
          <x:t xml:space="preserve">诺霍斯</x:t>
        </x:is>
      </x:c>
      <x:c r="M1133" s="604" t="n">
        <x:v>0.9755119920114856</x:v>
      </x:c>
      <x:c r="N1133" s="604" t="inlineStr">
        <x:is>
          <x:t xml:space="preserve">V4纸面入选-B</x:t>
        </x:is>
      </x:c>
      <x:c r="O1133" s="604" t="inlineStr">
        <x:is>
          <x:t xml:space="preserve">1-5</x:t>
        </x:is>
      </x:c>
      <x:c r="P1133" s="604" t="inlineStr">
        <x:is>
          <x:t xml:space="preserve">已结算</x:t>
        </x:is>
      </x:c>
      <x:c r="Q1133" s="646" t="inlineStr">
        <x:is>
          <x:t xml:space="preserve">黑</x:t>
        </x:is>
      </x:c>
      <x:c r="R1133" s="604" t="n">
        <x:v>0.91</x:v>
      </x:c>
      <x:c r="S1133" s="604" t="n">
        <x:f>IF(OR(Q1133="",Q1133="待结算"),"",IF(Q1133="红",R1133,IF(Q1133="半红",R1133*0.5,IF(Q1133="走",0,IF(Q1133="半黑",-0.5,-1)))))</x:f>
        <x:v>-1</x:v>
      </x:c>
      <x:c r="T1133" s="604" t="inlineStr">
        <x:is>
          <x:t xml:space="preserve">https://m.titan007.com/analy/Analysis/3097338.htm</x:t>
        </x:is>
      </x:c>
      <x:c r="U1133" s="645" t="str">
        <x:f>IF(Q1133="","",IF(Q1133="待结算","待结算",IF(Q1133="红","黑",IF(Q1133="半红","半黑",IF(Q1133="走","走",IF(Q1133="半黑","半红","红"))))))</x:f>
        <x:v>红</x:v>
      </x:c>
      <x:c r="V1133" s="604" t="n">
        <x:f>IF(OR(Q1133="",Q1133="待结算"),"",IF(L1133=LEFT(F1133,FIND(" vs ",F1133)-1),I1133,G1133))</x:f>
        <x:v>0.85</x:v>
      </x:c>
      <x:c r="W1133" s="604" t="n">
        <x:f>IF(OR(U1133="",U1133="待结算"),"",IF(U1133="红",V1133,IF(U1133="半红",V1133*0.5,IF(U1133="走",0,IF(U1133="半黑",-0.5,-1)))))</x:f>
        <x:v>0.85</x:v>
      </x:c>
      <x:c r="X1133" s="604" t="inlineStr">
        <x:is>
          <x:t xml:space="preserve">3097338</x:t>
        </x:is>
      </x:c>
      <x:c r="Y1133" s="604" t="inlineStr">
        <x:is>
          <x:t xml:space="preserve">V4</x:t>
        </x:is>
      </x:c>
      <x:c r="Z1133" s="604" t="inlineStr">
        <x:is>
          <x:t xml:space="preserve">prior-2026-10-06-v1</x:t>
        </x:is>
      </x:c>
      <x:c r="AA1133" s="604" t="inlineStr">
        <x:is>
          <x:t xml:space="preserve">B</x:t>
        </x:is>
      </x:c>
      <x:c r="AB1133" s="604" t="n">
        <x:v>0.9032096655282998</x:v>
      </x:c>
      <x:c r="AC1133" s="604" t="n"/>
      <x:c r="AD1133" s="604" t="n">
        <x:v>0.07411731180679788</x:v>
      </x:c>
      <x:c r="AE1133" s="604" t="n"/>
      <x:c r="AF1133" s="604" t="n">
        <x:v>0.02267302266490222</x:v>
      </x:c>
      <x:c r="AG1133" s="604" t="n">
        <x:v>0.7992477729658507</x:v>
      </x:c>
      <x:c r="AH1133" s="604" t="n"/>
      <x:c r="AI1133" s="604" t="n"/>
      <x:c r="AJ1133" s="604" t="n">
        <x:v>0.7992477729658507</x:v>
      </x:c>
      <x:c r="AK1133" s="604" t="n"/>
      <x:c r="AL1133" s="604" t="n"/>
      <x:c r="AM1133" s="604" t="n"/>
      <x:c r="AN1133" s="604" t="inlineStr">
        <x:is>
          <x:t xml:space="preserve">EVALUATED</x:t>
        </x:is>
      </x:c>
      <x:c r="AO1133" s="604" t="inlineStr">
        <x:is>
          <x:t xml:space="preserve">RECEIVING_VALIDATED_EDGE、BUCKET_PRIOR_ONLY、INTENT_INTERPRETATION_ONLY、FFL_OPTIONAL、EXPERT_MARKET</x:t>
        </x:is>
      </x:c>
      <x:c r="AP1133" s="604" t="inlineStr">
        <x:is>
          <x:t xml:space="preserve">71d60557433efef221eb</x:t>
        </x:is>
      </x:c>
      <x:c r="AQ1133" s="604" t="n">
        <x:v>1</x:v>
      </x:c>
      <x:c r="AR1133" s="604" t="n">
        <x:v>0.91</x:v>
      </x:c>
      <x:c r="AS1133" s="604" t="n">
        <x:v>-1</x:v>
      </x:c>
      <x:c r="AT1133" s="604" t="n">
        <x:v>1</x:v>
      </x:c>
      <x:c r="AU1133" s="604" t="n">
        <x:v>0.91</x:v>
      </x:c>
      <x:c r="AV1133" s="604" t="n">
        <x:v>0.85</x:v>
      </x:c>
      <x:c r="AW1133" s="604" t="n">
        <x:v>46301.03159395833</x:v>
      </x:c>
      <x:c r="AX1133" s="604" t="inlineStr">
        <x:is>
          <x:t xml:space="preserve">https://simondongxiao.github.io/odds/v4/</x:t>
        </x:is>
      </x:c>
      <x:c r="AY1133" s="604" t="inlineStr">
        <x:is>
          <x:t xml:space="preserve">V4 Shadow Only；real_money=false；P(EV&gt;0)不是比赛胜率</x:t>
        </x:is>
      </x:c>
    </x:row>
    <x:row r="1134" ht="22" customHeight="1">
      <x:c r="A1134" s="604" t="inlineStr">
        <x:is>
          <x:t xml:space="preserve">2026-10-06</x:t>
        </x:is>
      </x:c>
      <x:c r="B1134" s="604" t="inlineStr">
        <x:is>
          <x:t xml:space="preserve">2026-10-06 23:00</x:t>
        </x:is>
      </x:c>
      <x:c r="C1134" s="604" t="str">
        <x:v>欧洲非五大系列</x:v>
      </x:c>
      <x:c r="D1134" s="604" t="inlineStr">
        <x:is>
          <x:t xml:space="preserve">杯赛</x:t>
        </x:is>
      </x:c>
      <x:c r="E1134" s="604" t="inlineStr">
        <x:is>
          <x:t xml:space="preserve">瑞典杯</x:t>
        </x:is>
      </x:c>
      <x:c r="F1134" s="604" t="inlineStr">
        <x:is>
          <x:t xml:space="preserve">特罗尔海坦 vs 米亚尔比</x:t>
        </x:is>
      </x:c>
      <x:c r="G1134" s="604" t="n">
        <x:v>1</x:v>
      </x:c>
      <x:c r="H1134" s="604" t="n">
        <x:v>-1.25</x:v>
      </x:c>
      <x:c r="I1134" s="604" t="n">
        <x:v>0.8</x:v>
      </x:c>
      <x:c r="J1134" s="604" t="inlineStr">
        <x:is>
          <x:t xml:space="preserve">1/-1.25/0.8</x:t>
        </x:is>
      </x:c>
      <x:c r="K1134" s="604" t="inlineStr">
        <x:is>
          <x:t xml:space="preserve">V4-B｜EV +0.9571</x:t>
        </x:is>
      </x:c>
      <x:c r="L1134" s="604" t="inlineStr">
        <x:is>
          <x:t xml:space="preserve">特罗尔海坦</x:t>
        </x:is>
      </x:c>
      <x:c r="M1134" s="604" t="n">
        <x:v>0.9898617643528635</x:v>
      </x:c>
      <x:c r="N1134" s="604" t="inlineStr">
        <x:is>
          <x:t xml:space="preserve">V4纸面入选-B</x:t>
        </x:is>
      </x:c>
      <x:c r="O1134" s="604" t="inlineStr">
        <x:is>
          <x:t xml:space="preserve">1-0</x:t>
        </x:is>
      </x:c>
      <x:c r="P1134" s="604" t="inlineStr">
        <x:is>
          <x:t xml:space="preserve">已结算</x:t>
        </x:is>
      </x:c>
      <x:c r="Q1134" s="645" t="inlineStr">
        <x:is>
          <x:t xml:space="preserve">红</x:t>
        </x:is>
      </x:c>
      <x:c r="R1134" s="604" t="n">
        <x:v>1</x:v>
      </x:c>
      <x:c r="S1134" s="604" t="n">
        <x:f>IF(OR(Q1134="",Q1134="待结算"),"",IF(Q1134="红",R1134,IF(Q1134="半红",R1134*0.5,IF(Q1134="走",0,IF(Q1134="半黑",-0.5,-1)))))</x:f>
        <x:v>1</x:v>
      </x:c>
      <x:c r="T1134" s="604" t="inlineStr">
        <x:is>
          <x:t xml:space="preserve">https://m.titan007.com/analy/Analysis/3004370.htm</x:t>
        </x:is>
      </x:c>
      <x:c r="U1134" s="646" t="str">
        <x:f>IF(Q1134="","",IF(Q1134="待结算","待结算",IF(Q1134="红","黑",IF(Q1134="半红","半黑",IF(Q1134="走","走",IF(Q1134="半黑","半红","红"))))))</x:f>
        <x:v>黑</x:v>
      </x:c>
      <x:c r="V1134" s="604" t="n">
        <x:f>IF(OR(Q1134="",Q1134="待结算"),"",IF(L1134=LEFT(F1134,FIND(" vs ",F1134)-1),I1134,G1134))</x:f>
        <x:v>0.8</x:v>
      </x:c>
      <x:c r="W1134" s="604" t="n">
        <x:f>IF(OR(U1134="",U1134="待结算"),"",IF(U1134="红",V1134,IF(U1134="半红",V1134*0.5,IF(U1134="走",0,IF(U1134="半黑",-0.5,-1)))))</x:f>
        <x:v>-1</x:v>
      </x:c>
      <x:c r="X1134" s="604" t="inlineStr">
        <x:is>
          <x:t xml:space="preserve">3004370</x:t>
        </x:is>
      </x:c>
      <x:c r="Y1134" s="604" t="inlineStr">
        <x:is>
          <x:t xml:space="preserve">V4</x:t>
        </x:is>
      </x:c>
      <x:c r="Z1134" s="604" t="inlineStr">
        <x:is>
          <x:t xml:space="preserve">prior-2026-10-06-v1</x:t>
        </x:is>
      </x:c>
      <x:c r="AA1134" s="604" t="inlineStr">
        <x:is>
          <x:t xml:space="preserve">B</x:t>
        </x:is>
      </x:c>
      <x:c r="AB1134" s="604" t="n">
        <x:v>0.9438657503331039</x:v>
      </x:c>
      <x:c r="AC1134" s="604" t="n">
        <x:v>0.04623036116754405</x:v>
      </x:c>
      <x:c r="AD1134" s="604" t="n"/>
      <x:c r="AE1134" s="604" t="n"/>
      <x:c r="AF1134" s="604" t="n">
        <x:v>0.009903888499352038</x:v>
      </x:c>
      <x:c r="AG1134" s="604" t="n">
        <x:v>0.9570770424175239</x:v>
      </x:c>
      <x:c r="AH1134" s="604" t="n"/>
      <x:c r="AI1134" s="604" t="n"/>
      <x:c r="AJ1134" s="604" t="n">
        <x:v>0.9570770424175239</x:v>
      </x:c>
      <x:c r="AK1134" s="604" t="n"/>
      <x:c r="AL1134" s="604" t="n"/>
      <x:c r="AM1134" s="604" t="n"/>
      <x:c r="AN1134" s="604" t="inlineStr">
        <x:is>
          <x:t xml:space="preserve">EVALUATED</x:t>
        </x:is>
      </x:c>
      <x:c r="AO1134" s="604" t="inlineStr">
        <x:is>
          <x:t xml:space="preserve">RECEIVING_VALIDATED_EDGE、BUCKET_PRIOR_ONLY、INTENT_INTERPRETATION_ONLY、FFL_OPTIONAL、EXPERT_MARKET</x:t>
        </x:is>
      </x:c>
      <x:c r="AP1134" s="604" t="inlineStr">
        <x:is>
          <x:t xml:space="preserve">22c9bbabdb89e0a5ec12</x:t>
        </x:is>
      </x:c>
      <x:c r="AQ1134" s="604" t="n">
        <x:v>1.25</x:v>
      </x:c>
      <x:c r="AR1134" s="604" t="n">
        <x:v>1</x:v>
      </x:c>
      <x:c r="AS1134" s="604" t="n">
        <x:v>-1.25</x:v>
      </x:c>
      <x:c r="AT1134" s="604" t="n">
        <x:v>1.25</x:v>
      </x:c>
      <x:c r="AU1134" s="604" t="n">
        <x:v>1</x:v>
      </x:c>
      <x:c r="AV1134" s="604" t="n">
        <x:v>0.8</x:v>
      </x:c>
      <x:c r="AW1134" s="604" t="n">
        <x:v>46301.03159395833</x:v>
      </x:c>
      <x:c r="AX1134" s="604" t="inlineStr">
        <x:is>
          <x:t xml:space="preserve">https://simondongxiao.github.io/odds/v4/</x:t>
        </x:is>
      </x:c>
      <x:c r="AY1134" s="604" t="inlineStr">
        <x:is>
          <x:t xml:space="preserve">V4 Shadow Only；real_money=false；P(EV&gt;0)不是比赛胜率</x:t>
        </x:is>
      </x:c>
    </x:row>
    <x:row r="1135" ht="22" customHeight="1">
      <x:c r="A1135" s="604" t="inlineStr">
        <x:is>
          <x:t xml:space="preserve">2026-10-06</x:t>
        </x:is>
      </x:c>
      <x:c r="B1135" s="604" t="inlineStr">
        <x:is>
          <x:t xml:space="preserve">2026-10-06 23:00</x:t>
        </x:is>
      </x:c>
      <x:c r="C1135" s="604" t="str">
        <x:v>南美系列</x:v>
      </x:c>
      <x:c r="D1135" s="604" t="inlineStr">
        <x:is>
          <x:t xml:space="preserve">联赛</x:t>
        </x:is>
      </x:c>
      <x:c r="E1135" s="604" t="inlineStr">
        <x:is>
          <x:t xml:space="preserve">哥伦地区</x:t>
        </x:is>
      </x:c>
      <x:c r="F1135" s="604" t="inlineStr">
        <x:is>
          <x:t xml:space="preserve">奥林匹亚青年竞技俱乐部 vs 旧磨坊</x:t>
        </x:is>
      </x:c>
      <x:c r="G1135" s="604" t="n">
        <x:v>1</x:v>
      </x:c>
      <x:c r="H1135" s="604" t="n">
        <x:v>-1</x:v>
      </x:c>
      <x:c r="I1135" s="604" t="n">
        <x:v>0.8</x:v>
      </x:c>
      <x:c r="J1135" s="604" t="inlineStr">
        <x:is>
          <x:t xml:space="preserve">1/-1/0.8</x:t>
        </x:is>
      </x:c>
      <x:c r="K1135" s="604" t="inlineStr">
        <x:is>
          <x:t xml:space="preserve">V4-C｜EV +0.8666</x:t>
        </x:is>
      </x:c>
      <x:c r="L1135" s="604" t="inlineStr">
        <x:is>
          <x:t xml:space="preserve">奥林匹亚青年竞技俱乐部</x:t>
        </x:is>
      </x:c>
      <x:c r="M1135" s="604" t="n">
        <x:v>0.9712768777656358</x:v>
      </x:c>
      <x:c r="N1135" s="604" t="inlineStr">
        <x:is>
          <x:t xml:space="preserve">V4纸面入选-C</x:t>
        </x:is>
      </x:c>
      <x:c r="O1135" s="604" t="inlineStr">
        <x:is>
          <x:t xml:space="preserve">1-1</x:t>
        </x:is>
      </x:c>
      <x:c r="P1135" s="604" t="inlineStr">
        <x:is>
          <x:t xml:space="preserve">已结算</x:t>
        </x:is>
      </x:c>
      <x:c r="Q1135" s="645" t="inlineStr">
        <x:is>
          <x:t xml:space="preserve">红</x:t>
        </x:is>
      </x:c>
      <x:c r="R1135" s="604" t="n">
        <x:v>1</x:v>
      </x:c>
      <x:c r="S1135" s="604" t="n">
        <x:f>IF(OR(Q1135="",Q1135="待结算"),"",IF(Q1135="红",R1135,IF(Q1135="半红",R1135*0.5,IF(Q1135="走",0,IF(Q1135="半黑",-0.5,-1)))))</x:f>
        <x:v>1</x:v>
      </x:c>
      <x:c r="T1135" s="604" t="inlineStr">
        <x:is>
          <x:t xml:space="preserve">https://m.titan007.com/analy/Analysis/3099865.htm</x:t>
        </x:is>
      </x:c>
      <x:c r="U1135" s="646" t="str">
        <x:f>IF(Q1135="","",IF(Q1135="待结算","待结算",IF(Q1135="红","黑",IF(Q1135="半红","半黑",IF(Q1135="走","走",IF(Q1135="半黑","半红","红"))))))</x:f>
        <x:v>黑</x:v>
      </x:c>
      <x:c r="V1135" s="604" t="n">
        <x:f>IF(OR(Q1135="",Q1135="待结算"),"",IF(L1135=LEFT(F1135,FIND(" vs ",F1135)-1),I1135,G1135))</x:f>
        <x:v>0.8</x:v>
      </x:c>
      <x:c r="W1135" s="604" t="n">
        <x:f>IF(OR(U1135="",U1135="待结算"),"",IF(U1135="红",V1135,IF(U1135="半红",V1135*0.5,IF(U1135="走",0,IF(U1135="半黑",-0.5,-1)))))</x:f>
        <x:v>-1</x:v>
      </x:c>
      <x:c r="X1135" s="604" t="inlineStr">
        <x:is>
          <x:t xml:space="preserve">3099865</x:t>
        </x:is>
      </x:c>
      <x:c r="Y1135" s="604" t="inlineStr">
        <x:is>
          <x:t xml:space="preserve">V4</x:t>
        </x:is>
      </x:c>
      <x:c r="Z1135" s="604" t="inlineStr">
        <x:is>
          <x:t xml:space="preserve">prior-2026-10-06-v1</x:t>
        </x:is>
      </x:c>
      <x:c r="AA1135" s="604" t="inlineStr">
        <x:is>
          <x:t xml:space="preserve">C</x:t>
        </x:is>
      </x:c>
      <x:c r="AB1135" s="604" t="n">
        <x:v>0.8930517385422732</x:v>
      </x:c>
      <x:c r="AC1135" s="604" t="n"/>
      <x:c r="AD1135" s="604" t="n">
        <x:v>0.08053845511417403</x:v>
      </x:c>
      <x:c r="AE1135" s="604" t="n"/>
      <x:c r="AF1135" s="604" t="n">
        <x:v>0.0264098063435529</x:v>
      </x:c>
      <x:c r="AG1135" s="604" t="n">
        <x:v>0.8666419321987202</x:v>
      </x:c>
      <x:c r="AH1135" s="604" t="n"/>
      <x:c r="AI1135" s="604" t="n"/>
      <x:c r="AJ1135" s="604" t="n">
        <x:v>0.8666419321987202</x:v>
      </x:c>
      <x:c r="AK1135" s="604" t="n"/>
      <x:c r="AL1135" s="604" t="n"/>
      <x:c r="AM1135" s="604" t="n"/>
      <x:c r="AN1135" s="604" t="inlineStr">
        <x:is>
          <x:t xml:space="preserve">EVALUATED</x:t>
        </x:is>
      </x:c>
      <x:c r="AO1135" s="604" t="inlineStr">
        <x:is>
          <x:t xml:space="preserve">RECEIVING_VALIDATED_EDGE、BUCKET_PRIOR_ONLY、INTENT_INTERPRETATION_ONLY、FFL_OPTIONAL、EXPERT_MARKET</x:t>
        </x:is>
      </x:c>
      <x:c r="AP1135" s="604" t="inlineStr">
        <x:is>
          <x:t xml:space="preserve">b5cf553c76c1002f493e</x:t>
        </x:is>
      </x:c>
      <x:c r="AQ1135" s="604" t="n">
        <x:v>1</x:v>
      </x:c>
      <x:c r="AR1135" s="604" t="n">
        <x:v>1</x:v>
      </x:c>
      <x:c r="AS1135" s="604" t="n">
        <x:v>-1</x:v>
      </x:c>
      <x:c r="AT1135" s="604" t="n">
        <x:v>1</x:v>
      </x:c>
      <x:c r="AU1135" s="604" t="n">
        <x:v>1</x:v>
      </x:c>
      <x:c r="AV1135" s="604" t="n">
        <x:v>0.8</x:v>
      </x:c>
      <x:c r="AW1135" s="604" t="n">
        <x:v>46301.03159395833</x:v>
      </x:c>
      <x:c r="AX1135" s="604" t="inlineStr">
        <x:is>
          <x:t xml:space="preserve">https://simondongxiao.github.io/odds/v4/</x:t>
        </x:is>
      </x:c>
      <x:c r="AY1135" s="604" t="inlineStr">
        <x:is>
          <x:t xml:space="preserve">V4 Shadow Only；real_money=false；P(EV&gt;0)不是比赛胜率</x:t>
        </x:is>
      </x:c>
    </x:row>
    <x:row r="1136" ht="22" customHeight="1">
      <x:c r="A1136" s="604" t="inlineStr">
        <x:is>
          <x:t xml:space="preserve">2026-10-06</x:t>
        </x:is>
      </x:c>
      <x:c r="B1136" s="604" t="inlineStr">
        <x:is>
          <x:t xml:space="preserve">2026-10-06 23:00</x:t>
        </x:is>
      </x:c>
      <x:c r="C1136" s="604" t="str">
        <x:v>北美系列</x:v>
      </x:c>
      <x:c r="D1136" s="604" t="inlineStr">
        <x:is>
          <x:t xml:space="preserve">杯赛</x:t>
        </x:is>
      </x:c>
      <x:c r="E1136" s="604" t="inlineStr">
        <x:is>
          <x:t xml:space="preserve">墨希杯</x:t>
        </x:is>
      </x:c>
      <x:c r="F1136" s="604" t="inlineStr">
        <x:is>
          <x:t xml:space="preserve">波士顿坎昆FC vs 维纳多斯竞技</x:t>
        </x:is>
      </x:c>
      <x:c r="G1136" s="604" t="n">
        <x:v>1.03</x:v>
      </x:c>
      <x:c r="H1136" s="604" t="n">
        <x:v>0</x:v>
      </x:c>
      <x:c r="I1136" s="604" t="n">
        <x:v>0.78</x:v>
      </x:c>
      <x:c r="J1136" s="604" t="inlineStr">
        <x:is>
          <x:t xml:space="preserve">1.03/0/0.78</x:t>
        </x:is>
      </x:c>
      <x:c r="K1136" s="604" t="inlineStr">
        <x:is>
          <x:t xml:space="preserve">V4-C｜EV +0.0043</x:t>
        </x:is>
      </x:c>
      <x:c r="L1136" s="604" t="str"/>
      <x:c r="M1136" s="604" t="n">
        <x:v>0.495025117733761</x:v>
      </x:c>
      <x:c r="N1136" s="604" t="inlineStr">
        <x:is>
          <x:t xml:space="preserve">V4纸面入选-C</x:t>
        </x:is>
      </x:c>
      <x:c r="O1136" s="604" t="inlineStr">
        <x:is>
          <x:t xml:space="preserve">1-1</x:t>
        </x:is>
      </x:c>
      <x:c r="P1136" s="604" t="inlineStr">
        <x:is>
          <x:t xml:space="preserve">已结算</x:t>
        </x:is>
      </x:c>
      <x:c r="Q1136" s="647" t="inlineStr">
        <x:is>
          <x:t xml:space="preserve">走</x:t>
        </x:is>
      </x:c>
      <x:c r="R1136" s="604" t="n">
        <x:v>0.78</x:v>
      </x:c>
      <x:c r="S1136" s="604" t="n">
        <x:f>IF(OR(Q1136="",Q1136="待结算"),"",IF(Q1136="红",R1136,IF(Q1136="半红",R1136*0.5,IF(Q1136="走",0,IF(Q1136="半黑",-0.5,-1)))))</x:f>
        <x:v>0</x:v>
      </x:c>
      <x:c r="T1136" s="604" t="inlineStr">
        <x:is>
          <x:t xml:space="preserve">https://m.titan007.com/analy/Analysis/3099864.htm</x:t>
        </x:is>
      </x:c>
      <x:c r="U1136" s="647" t="str">
        <x:f>IF(Q1136="","",IF(Q1136="待结算","待结算",IF(Q1136="红","黑",IF(Q1136="半红","半黑",IF(Q1136="走","走",IF(Q1136="半黑","半红","红"))))))</x:f>
        <x:v>走</x:v>
      </x:c>
      <x:c r="V1136" s="604" t="n">
        <x:f>IF(OR(Q1136="",Q1136="待结算"),"",IF(L1136=LEFT(F1136,FIND(" vs ",F1136)-1),I1136,G1136))</x:f>
        <x:v>1.03</x:v>
      </x:c>
      <x:c r="W1136" s="604" t="n">
        <x:f>IF(OR(U1136="",U1136="待结算"),"",IF(U1136="红",V1136,IF(U1136="半红",V1136*0.5,IF(U1136="走",0,IF(U1136="半黑",-0.5,-1)))))</x:f>
        <x:v>0</x:v>
      </x:c>
      <x:c r="X1136" s="604" t="inlineStr">
        <x:is>
          <x:t xml:space="preserve">3099864</x:t>
        </x:is>
      </x:c>
      <x:c r="Y1136" s="604" t="inlineStr">
        <x:is>
          <x:t xml:space="preserve">V4</x:t>
        </x:is>
      </x:c>
      <x:c r="Z1136" s="604" t="inlineStr">
        <x:is>
          <x:t xml:space="preserve">prior-2026-10-06-v1</x:t>
        </x:is>
      </x:c>
      <x:c r="AA1136" s="604" t="inlineStr">
        <x:is>
          <x:t xml:space="preserve">C</x:t>
        </x:is>
      </x:c>
      <x:c r="AB1136" s="604" t="n">
        <x:v>0.4302456933807955</x:v>
      </x:c>
      <x:c r="AC1136" s="604" t="n"/>
      <x:c r="AD1136" s="604" t="n"/>
      <x:c r="AE1136" s="604" t="n">
        <x:v>0.2617217673702198</x:v>
      </x:c>
      <x:c r="AF1136" s="604" t="n">
        <x:v>0.3080325392489848</x:v>
      </x:c>
      <x:c r="AG1136" s="604" t="n">
        <x:v>0.004259641248124724</x:v>
      </x:c>
      <x:c r="AH1136" s="604" t="n"/>
      <x:c r="AI1136" s="604" t="n"/>
      <x:c r="AJ1136" s="604" t="n">
        <x:v>0.004259641248124724</x:v>
      </x:c>
      <x:c r="AK1136" s="604" t="n"/>
      <x:c r="AL1136" s="604" t="n"/>
      <x:c r="AM1136" s="604" t="n"/>
      <x:c r="AN1136" s="604" t="inlineStr">
        <x:is>
          <x:t xml:space="preserve">EVALUATED</x:t>
        </x:is>
      </x:c>
      <x:c r="AO1136" s="604" t="inlineStr">
        <x:is>
          <x:t xml:space="preserve">EDGE_BELOW_UNCERTAINTY_THRESHOLD、BUCKET_PRIOR_ONLY、INTENT_INTERPRETATION_ONLY、FFL_OPTIONAL、EXPERT_MARKET</x:t>
        </x:is>
      </x:c>
      <x:c r="AP1136" s="604" t="inlineStr">
        <x:is>
          <x:t xml:space="preserve">01d2d25a1e62a5280610</x:t>
        </x:is>
      </x:c>
      <x:c r="AQ1136" s="604" t="n">
        <x:v>0</x:v>
      </x:c>
      <x:c r="AR1136" s="604" t="n"/>
      <x:c r="AS1136" s="604" t="n">
        <x:v>0</x:v>
      </x:c>
      <x:c r="AT1136" s="604" t="n">
        <x:v>0</x:v>
      </x:c>
      <x:c r="AU1136" s="604" t="n">
        <x:v>1.03</x:v>
      </x:c>
      <x:c r="AV1136" s="604" t="n">
        <x:v>0.78</x:v>
      </x:c>
      <x:c r="AW1136" s="604" t="n">
        <x:v>46301.03159395833</x:v>
      </x:c>
      <x:c r="AX1136" s="604" t="inlineStr">
        <x:is>
          <x:t xml:space="preserve">https://simondongxiao.github.io/odds/v4/</x:t>
        </x:is>
      </x:c>
      <x:c r="AY1136" s="604" t="inlineStr">
        <x:is>
          <x:t xml:space="preserve">V4 Shadow Only；real_money=false；P(EV&gt;0)不是比赛胜率</x:t>
        </x:is>
      </x:c>
    </x:row>
    <x:row r="1137" ht="22" customHeight="1">
      <x:c r="A1137" s="604" t="inlineStr">
        <x:is>
          <x:t xml:space="preserve">2026-10-06</x:t>
        </x:is>
      </x:c>
      <x:c r="B1137" s="604" t="inlineStr">
        <x:is>
          <x:t xml:space="preserve">2026-10-07 00:00</x:t>
        </x:is>
      </x:c>
      <x:c r="C1137" s="604" t="str">
        <x:v>欧洲非五大系列</x:v>
      </x:c>
      <x:c r="D1137" s="604" t="inlineStr">
        <x:is>
          <x:t xml:space="preserve">联赛</x:t>
        </x:is>
      </x:c>
      <x:c r="E1137" s="604" t="inlineStr">
        <x:is>
          <x:t xml:space="preserve">欧青U21外</x:t>
        </x:is>
      </x:c>
      <x:c r="F1137" s="604" t="inlineStr">
        <x:is>
          <x:t xml:space="preserve">北爱尔兰U21 vs 希腊U21</x:t>
        </x:is>
      </x:c>
      <x:c r="G1137" s="604" t="n">
        <x:v>0.82</x:v>
      </x:c>
      <x:c r="H1137" s="604" t="n">
        <x:v>-1.75</x:v>
      </x:c>
      <x:c r="I1137" s="604" t="n">
        <x:v>1</x:v>
      </x:c>
      <x:c r="J1137" s="604" t="inlineStr">
        <x:is>
          <x:t xml:space="preserve">0.82/-1.75/1</x:t>
        </x:is>
      </x:c>
      <x:c r="K1137" s="604" t="inlineStr">
        <x:is>
          <x:t xml:space="preserve">V4-C｜EV +0.8183</x:t>
        </x:is>
      </x:c>
      <x:c r="L1137" s="604" t="inlineStr">
        <x:is>
          <x:t xml:space="preserve">北爱尔兰U21</x:t>
        </x:is>
      </x:c>
      <x:c r="M1137" s="604" t="n">
        <x:v>0.999314098151698</x:v>
      </x:c>
      <x:c r="N1137" s="604" t="inlineStr">
        <x:is>
          <x:t xml:space="preserve">V4纸面入选-C</x:t>
        </x:is>
      </x:c>
      <x:c r="O1137" s="604" t="inlineStr">
        <x:is>
          <x:t xml:space="preserve">0-1</x:t>
        </x:is>
      </x:c>
      <x:c r="P1137" s="604" t="inlineStr">
        <x:is>
          <x:t xml:space="preserve">已结算</x:t>
        </x:is>
      </x:c>
      <x:c r="Q1137" s="645" t="inlineStr">
        <x:is>
          <x:t xml:space="preserve">红</x:t>
        </x:is>
      </x:c>
      <x:c r="R1137" s="604" t="n">
        <x:v>0.82</x:v>
      </x:c>
      <x:c r="S1137" s="604" t="n">
        <x:f>IF(OR(Q1137="",Q1137="待结算"),"",IF(Q1137="红",R1137,IF(Q1137="半红",R1137*0.5,IF(Q1137="走",0,IF(Q1137="半黑",-0.5,-1)))))</x:f>
        <x:v>0.82</x:v>
      </x:c>
      <x:c r="T1137" s="604" t="inlineStr">
        <x:is>
          <x:t xml:space="preserve">https://m.titan007.com/analy/Analysis/2781348.htm</x:t>
        </x:is>
      </x:c>
      <x:c r="U1137" s="646" t="str">
        <x:f>IF(Q1137="","",IF(Q1137="待结算","待结算",IF(Q1137="红","黑",IF(Q1137="半红","半黑",IF(Q1137="走","走",IF(Q1137="半黑","半红","红"))))))</x:f>
        <x:v>黑</x:v>
      </x:c>
      <x:c r="V1137" s="604" t="n">
        <x:f>IF(OR(Q1137="",Q1137="待结算"),"",IF(L1137=LEFT(F1137,FIND(" vs ",F1137)-1),I1137,G1137))</x:f>
        <x:v>1</x:v>
      </x:c>
      <x:c r="W1137" s="604" t="n">
        <x:f>IF(OR(U1137="",U1137="待结算"),"",IF(U1137="红",V1137,IF(U1137="半红",V1137*0.5,IF(U1137="走",0,IF(U1137="半黑",-0.5,-1)))))</x:f>
        <x:v>-1</x:v>
      </x:c>
      <x:c r="X1137" s="604" t="inlineStr">
        <x:is>
          <x:t xml:space="preserve">2781348</x:t>
        </x:is>
      </x:c>
      <x:c r="Y1137" s="604" t="inlineStr">
        <x:is>
          <x:t xml:space="preserve">V4</x:t>
        </x:is>
      </x:c>
      <x:c r="Z1137" s="604" t="inlineStr">
        <x:is>
          <x:t xml:space="preserve">prior-2026-10-06-v1</x:t>
        </x:is>
      </x:c>
      <x:c r="AA1137" s="604" t="inlineStr">
        <x:is>
          <x:t xml:space="preserve">C</x:t>
        </x:is>
      </x:c>
      <x:c r="AB1137" s="604" t="n">
        <x:v>0.9987020492869996</x:v>
      </x:c>
      <x:c r="AC1137" s="604" t="n"/>
      <x:c r="AD1137" s="604" t="n"/>
      <x:c r="AE1137" s="604" t="n">
        <x:v>0.001224937916577873</x:v>
      </x:c>
      <x:c r="AF1137" s="604" t="n">
        <x:v>7.301279642260865e-05</x:v>
      </x:c>
      <x:c r="AG1137" s="604" t="n">
        <x:v>0.8182501986606281</x:v>
      </x:c>
      <x:c r="AH1137" s="604" t="n"/>
      <x:c r="AI1137" s="604" t="n"/>
      <x:c r="AJ1137" s="604" t="n">
        <x:v>0.8182501986606281</x:v>
      </x:c>
      <x:c r="AK1137" s="604" t="n"/>
      <x:c r="AL1137" s="604" t="n"/>
      <x:c r="AM1137" s="604" t="n"/>
      <x:c r="AN1137" s="604" t="inlineStr">
        <x:is>
          <x:t xml:space="preserve">EVALUATED</x:t>
        </x:is>
      </x:c>
      <x:c r="AO1137" s="604" t="inlineStr">
        <x:is>
          <x:t xml:space="preserve">RECEIVING_VALIDATED_EDGE、BUCKET_PRIOR_ONLY、INTENT_INTERPRETATION_ONLY、FFL_OPTIONAL、EXPERT_MARKET</x:t>
        </x:is>
      </x:c>
      <x:c r="AP1137" s="604" t="inlineStr">
        <x:is>
          <x:t xml:space="preserve">8876ecdd53219e91a518</x:t>
        </x:is>
      </x:c>
      <x:c r="AQ1137" s="604" t="n">
        <x:v>1.75</x:v>
      </x:c>
      <x:c r="AR1137" s="604" t="n">
        <x:v>0.82</x:v>
      </x:c>
      <x:c r="AS1137" s="604" t="n">
        <x:v>-1.75</x:v>
      </x:c>
      <x:c r="AT1137" s="604" t="n">
        <x:v>1.75</x:v>
      </x:c>
      <x:c r="AU1137" s="604" t="n">
        <x:v>0.82</x:v>
      </x:c>
      <x:c r="AV1137" s="604" t="n">
        <x:v>1</x:v>
      </x:c>
      <x:c r="AW1137" s="604" t="n">
        <x:v>46301.03159395833</x:v>
      </x:c>
      <x:c r="AX1137" s="604" t="inlineStr">
        <x:is>
          <x:t xml:space="preserve">https://simondongxiao.github.io/odds/v4/</x:t>
        </x:is>
      </x:c>
      <x:c r="AY1137" s="604" t="inlineStr">
        <x:is>
          <x:t xml:space="preserve">V4 Shadow Only；real_money=false；P(EV&gt;0)不是比赛胜率</x:t>
        </x:is>
      </x:c>
    </x:row>
    <x:row r="1138" ht="22" customHeight="1">
      <x:c r="A1138" s="604" t="inlineStr">
        <x:is>
          <x:t xml:space="preserve">2026-10-06</x:t>
        </x:is>
      </x:c>
      <x:c r="B1138" s="604" t="inlineStr">
        <x:is>
          <x:t xml:space="preserve">2026-10-07 00:00</x:t>
        </x:is>
      </x:c>
      <x:c r="C1138" s="604" t="str">
        <x:v>欧洲非五大系列</x:v>
      </x:c>
      <x:c r="D1138" s="604" t="inlineStr">
        <x:is>
          <x:t xml:space="preserve">联赛</x:t>
        </x:is>
      </x:c>
      <x:c r="E1138" s="604" t="inlineStr">
        <x:is>
          <x:t xml:space="preserve">欧青U21外</x:t>
        </x:is>
      </x:c>
      <x:c r="F1138" s="604" t="inlineStr">
        <x:is>
          <x:t xml:space="preserve">拉脱维亚U21 vs 马耳他U21</x:t>
        </x:is>
      </x:c>
      <x:c r="G1138" s="604" t="n">
        <x:v>0.91</x:v>
      </x:c>
      <x:c r="H1138" s="604" t="n">
        <x:v>1.5</x:v>
      </x:c>
      <x:c r="I1138" s="604" t="n">
        <x:v>0.91</x:v>
      </x:c>
      <x:c r="J1138" s="604" t="inlineStr">
        <x:is>
          <x:t xml:space="preserve">0.91/1.5/0.91</x:t>
        </x:is>
      </x:c>
      <x:c r="K1138" s="604" t="inlineStr">
        <x:is>
          <x:t xml:space="preserve">V4-C｜EV +0.2272</x:t>
        </x:is>
      </x:c>
      <x:c r="L1138" s="604" t="inlineStr">
        <x:is>
          <x:t xml:space="preserve">拉脱维亚U21</x:t>
        </x:is>
      </x:c>
      <x:c r="M1138" s="604" t="n">
        <x:v>0.6425191368318838</x:v>
      </x:c>
      <x:c r="N1138" s="604" t="inlineStr">
        <x:is>
          <x:t xml:space="preserve">V4纸面入选-C</x:t>
        </x:is>
      </x:c>
      <x:c r="O1138" s="604" t="inlineStr">
        <x:is>
          <x:t xml:space="preserve">2-0</x:t>
        </x:is>
      </x:c>
      <x:c r="P1138" s="604" t="inlineStr">
        <x:is>
          <x:t xml:space="preserve">已结算</x:t>
        </x:is>
      </x:c>
      <x:c r="Q1138" s="645" t="inlineStr">
        <x:is>
          <x:t xml:space="preserve">红</x:t>
        </x:is>
      </x:c>
      <x:c r="R1138" s="604" t="n">
        <x:v>0.91</x:v>
      </x:c>
      <x:c r="S1138" s="604" t="n">
        <x:f>IF(OR(Q1138="",Q1138="待结算"),"",IF(Q1138="红",R1138,IF(Q1138="半红",R1138*0.5,IF(Q1138="走",0,IF(Q1138="半黑",-0.5,-1)))))</x:f>
        <x:v>0.91</x:v>
      </x:c>
      <x:c r="T1138" s="604" t="inlineStr">
        <x:is>
          <x:t xml:space="preserve">https://m.titan007.com/analy/Analysis/2781349.htm</x:t>
        </x:is>
      </x:c>
      <x:c r="U1138" s="646" t="str">
        <x:f>IF(Q1138="","",IF(Q1138="待结算","待结算",IF(Q1138="红","黑",IF(Q1138="半红","半黑",IF(Q1138="走","走",IF(Q1138="半黑","半红","红"))))))</x:f>
        <x:v>黑</x:v>
      </x:c>
      <x:c r="V1138" s="604" t="n">
        <x:f>IF(OR(Q1138="",Q1138="待结算"),"",IF(L1138=LEFT(F1138,FIND(" vs ",F1138)-1),I1138,G1138))</x:f>
        <x:v>0.91</x:v>
      </x:c>
      <x:c r="W1138" s="604" t="n">
        <x:f>IF(OR(U1138="",U1138="待结算"),"",IF(U1138="红",V1138,IF(U1138="半红",V1138*0.5,IF(U1138="走",0,IF(U1138="半黑",-0.5,-1)))))</x:f>
        <x:v>-1</x:v>
      </x:c>
      <x:c r="X1138" s="604" t="inlineStr">
        <x:is>
          <x:t xml:space="preserve">2781349</x:t>
        </x:is>
      </x:c>
      <x:c r="Y1138" s="604" t="inlineStr">
        <x:is>
          <x:t xml:space="preserve">V4</x:t>
        </x:is>
      </x:c>
      <x:c r="Z1138" s="604" t="inlineStr">
        <x:is>
          <x:t xml:space="preserve">prior-2026-10-06-v1</x:t>
        </x:is>
      </x:c>
      <x:c r="AA1138" s="604" t="inlineStr">
        <x:is>
          <x:t xml:space="preserve">C</x:t>
        </x:is>
      </x:c>
      <x:c r="AB1138" s="604" t="n">
        <x:v>0.6425191368318838</x:v>
      </x:c>
      <x:c r="AC1138" s="604" t="n"/>
      <x:c r="AD1138" s="604" t="n"/>
      <x:c r="AE1138" s="604" t="n"/>
      <x:c r="AF1138" s="604" t="n">
        <x:v>0.3574808631681162</x:v>
      </x:c>
      <x:c r="AG1138" s="604" t="n">
        <x:v>0.2272115513488981</x:v>
      </x:c>
      <x:c r="AH1138" s="604" t="n"/>
      <x:c r="AI1138" s="604" t="n"/>
      <x:c r="AJ1138" s="604" t="n">
        <x:v>0.2272115513488981</x:v>
      </x:c>
      <x:c r="AK1138" s="604" t="n"/>
      <x:c r="AL1138" s="604" t="n"/>
      <x:c r="AM1138" s="604" t="n"/>
      <x:c r="AN1138" s="604" t="inlineStr">
        <x:is>
          <x:t xml:space="preserve">EVALUATED</x:t>
        </x:is>
      </x:c>
      <x:c r="AO1138" s="604" t="inlineStr">
        <x:is>
          <x:t xml:space="preserve">GIVING_VALIDATED_EDGE、BUCKET_PRIOR_ONLY、INTENT_INTERPRETATION_ONLY、FFL_OPTIONAL、EXPERT_MARKET</x:t>
        </x:is>
      </x:c>
      <x:c r="AP1138" s="604" t="inlineStr">
        <x:is>
          <x:t xml:space="preserve">e6ab6dff07f473d1ba6b</x:t>
        </x:is>
      </x:c>
      <x:c r="AQ1138" s="604" t="n">
        <x:v>-1.5</x:v>
      </x:c>
      <x:c r="AR1138" s="604" t="n">
        <x:v>0.91</x:v>
      </x:c>
      <x:c r="AS1138" s="604" t="n">
        <x:v>1.5</x:v>
      </x:c>
      <x:c r="AT1138" s="604" t="n">
        <x:v>-1.5</x:v>
      </x:c>
      <x:c r="AU1138" s="604" t="n">
        <x:v>0.91</x:v>
      </x:c>
      <x:c r="AV1138" s="604" t="n">
        <x:v>0.91</x:v>
      </x:c>
      <x:c r="AW1138" s="604" t="n">
        <x:v>46301.03159395833</x:v>
      </x:c>
      <x:c r="AX1138" s="604" t="inlineStr">
        <x:is>
          <x:t xml:space="preserve">https://simondongxiao.github.io/odds/v4/</x:t>
        </x:is>
      </x:c>
      <x:c r="AY1138" s="604" t="inlineStr">
        <x:is>
          <x:t xml:space="preserve">V4 Shadow Only；real_money=false；P(EV&gt;0)不是比赛胜率</x:t>
        </x:is>
      </x:c>
    </x:row>
    <x:row r="1139" ht="22" customHeight="1">
      <x:c r="A1139" s="604" t="inlineStr">
        <x:is>
          <x:t xml:space="preserve">2026-10-06</x:t>
        </x:is>
      </x:c>
      <x:c r="B1139" s="604" t="inlineStr">
        <x:is>
          <x:t xml:space="preserve">2026-10-07 00:00</x:t>
        </x:is>
      </x:c>
      <x:c r="C1139" s="604" t="str">
        <x:v>欧洲非五大系列</x:v>
      </x:c>
      <x:c r="D1139" s="604" t="inlineStr">
        <x:is>
          <x:t xml:space="preserve">联赛</x:t>
        </x:is>
      </x:c>
      <x:c r="E1139" s="604" t="inlineStr">
        <x:is>
          <x:t xml:space="preserve">欧青U21外</x:t>
        </x:is>
      </x:c>
      <x:c r="F1139" s="604" t="inlineStr">
        <x:is>
          <x:t xml:space="preserve">德国U21 vs 格鲁吉亚U21</x:t>
        </x:is>
      </x:c>
      <x:c r="G1139" s="604" t="n">
        <x:v>0.9</x:v>
      </x:c>
      <x:c r="H1139" s="604" t="n">
        <x:v>0</x:v>
      </x:c>
      <x:c r="I1139" s="604" t="n">
        <x:v>0.92</x:v>
      </x:c>
      <x:c r="J1139" s="604" t="inlineStr">
        <x:is>
          <x:t xml:space="preserve">0.9/0/0.92</x:t>
        </x:is>
      </x:c>
      <x:c r="K1139" s="604" t="inlineStr">
        <x:is>
          <x:t xml:space="preserve">V4-C｜EV +0.0198</x:t>
        </x:is>
      </x:c>
      <x:c r="L1139" s="604" t="str"/>
      <x:c r="M1139" s="604" t="n">
        <x:v>0.5380020845515769</x:v>
      </x:c>
      <x:c r="N1139" s="604" t="inlineStr">
        <x:is>
          <x:t xml:space="preserve">V4纸面入选-C</x:t>
        </x:is>
      </x:c>
      <x:c r="O1139" s="604" t="inlineStr">
        <x:is>
          <x:t xml:space="preserve">2-0</x:t>
        </x:is>
      </x:c>
      <x:c r="P1139" s="604" t="inlineStr">
        <x:is>
          <x:t xml:space="preserve">已结算</x:t>
        </x:is>
      </x:c>
      <x:c r="Q1139" s="645" t="inlineStr">
        <x:is>
          <x:t xml:space="preserve">红</x:t>
        </x:is>
      </x:c>
      <x:c r="R1139" s="604" t="n">
        <x:v>0.92</x:v>
      </x:c>
      <x:c r="S1139" s="604" t="n">
        <x:f>IF(OR(Q1139="",Q1139="待结算"),"",IF(Q1139="红",R1139,IF(Q1139="半红",R1139*0.5,IF(Q1139="走",0,IF(Q1139="半黑",-0.5,-1)))))</x:f>
        <x:v>0.92</x:v>
      </x:c>
      <x:c r="T1139" s="604" t="inlineStr">
        <x:is>
          <x:t xml:space="preserve">https://m.titan007.com/analy/Analysis/2781350.htm</x:t>
        </x:is>
      </x:c>
      <x:c r="U1139" s="646" t="str">
        <x:f>IF(Q1139="","",IF(Q1139="待结算","待结算",IF(Q1139="红","黑",IF(Q1139="半红","半黑",IF(Q1139="走","走",IF(Q1139="半黑","半红","红"))))))</x:f>
        <x:v>黑</x:v>
      </x:c>
      <x:c r="V1139" s="604" t="n">
        <x:f>IF(OR(Q1139="",Q1139="待结算"),"",IF(L1139=LEFT(F1139,FIND(" vs ",F1139)-1),I1139,G1139))</x:f>
        <x:v>0.9</x:v>
      </x:c>
      <x:c r="W1139" s="604" t="n">
        <x:f>IF(OR(U1139="",U1139="待结算"),"",IF(U1139="红",V1139,IF(U1139="半红",V1139*0.5,IF(U1139="走",0,IF(U1139="半黑",-0.5,-1)))))</x:f>
        <x:v>-1</x:v>
      </x:c>
      <x:c r="X1139" s="604" t="inlineStr">
        <x:is>
          <x:t xml:space="preserve">2781350</x:t>
        </x:is>
      </x:c>
      <x:c r="Y1139" s="604" t="inlineStr">
        <x:is>
          <x:t xml:space="preserve">V4</x:t>
        </x:is>
      </x:c>
      <x:c r="Z1139" s="604" t="inlineStr">
        <x:is>
          <x:t xml:space="preserve">prior-2026-10-06-v1</x:t>
        </x:is>
      </x:c>
      <x:c r="AA1139" s="604" t="inlineStr">
        <x:is>
          <x:t xml:space="preserve">C</x:t>
        </x:is>
      </x:c>
      <x:c r="AB1139" s="604" t="n">
        <x:v>0.3690018797042239</x:v>
      </x:c>
      <x:c r="AC1139" s="604" t="n">
        <x:v>0.2197658982973709</x:v>
      </x:c>
      <x:c r="AD1139" s="604" t="n"/>
      <x:c r="AE1139" s="604" t="n"/>
      <x:c r="AF1139" s="604" t="n">
        <x:v>0.4112322219984053</x:v>
      </x:c>
      <x:c r="AG1139" s="604" t="n">
        <x:v>0.01976412396921307</x:v>
      </x:c>
      <x:c r="AH1139" s="604" t="n"/>
      <x:c r="AI1139" s="604" t="n"/>
      <x:c r="AJ1139" s="604" t="n">
        <x:v>0.01976412396921307</x:v>
      </x:c>
      <x:c r="AK1139" s="604" t="n"/>
      <x:c r="AL1139" s="604" t="n"/>
      <x:c r="AM1139" s="604" t="n"/>
      <x:c r="AN1139" s="604" t="inlineStr">
        <x:is>
          <x:t xml:space="preserve">EVALUATED</x:t>
        </x:is>
      </x:c>
      <x:c r="AO1139" s="604" t="inlineStr">
        <x:is>
          <x:t xml:space="preserve">EDGE_BELOW_UNCERTAINTY_THRESHOLD、BUCKET_PRIOR_ONLY、INTENT_INTERPRETATION_ONLY、FFL_OPTIONAL、EXPERT_MARKET</x:t>
        </x:is>
      </x:c>
      <x:c r="AP1139" s="604" t="inlineStr">
        <x:is>
          <x:t xml:space="preserve">88daf7b719b74748d999</x:t>
        </x:is>
      </x:c>
      <x:c r="AQ1139" s="604" t="n">
        <x:v>0</x:v>
      </x:c>
      <x:c r="AR1139" s="604" t="n"/>
      <x:c r="AS1139" s="604" t="n">
        <x:v>0</x:v>
      </x:c>
      <x:c r="AT1139" s="604" t="n">
        <x:v>0</x:v>
      </x:c>
      <x:c r="AU1139" s="604" t="n">
        <x:v>0.9</x:v>
      </x:c>
      <x:c r="AV1139" s="604" t="n">
        <x:v>0.92</x:v>
      </x:c>
      <x:c r="AW1139" s="604" t="n">
        <x:v>46301.03159395833</x:v>
      </x:c>
      <x:c r="AX1139" s="604" t="inlineStr">
        <x:is>
          <x:t xml:space="preserve">https://simondongxiao.github.io/odds/v4/</x:t>
        </x:is>
      </x:c>
      <x:c r="AY1139" s="604" t="inlineStr">
        <x:is>
          <x:t xml:space="preserve">V4 Shadow Only；real_money=false；P(EV&gt;0)不是比赛胜率</x:t>
        </x:is>
      </x:c>
    </x:row>
    <x:row r="1140" ht="22" customHeight="1">
      <x:c r="A1140" s="604" t="inlineStr">
        <x:is>
          <x:t xml:space="preserve">2026-10-06</x:t>
        </x:is>
      </x:c>
      <x:c r="B1140" s="604" t="inlineStr">
        <x:is>
          <x:t xml:space="preserve">2026-10-07 00:00</x:t>
        </x:is>
      </x:c>
      <x:c r="C1140" s="604" t="str">
        <x:v>其他系列</x:v>
      </x:c>
      <x:c r="D1140" s="604" t="inlineStr">
        <x:is>
          <x:t xml:space="preserve">联赛</x:t>
        </x:is>
      </x:c>
      <x:c r="E1140" s="604" t="inlineStr">
        <x:is>
          <x:t xml:space="preserve">国际友谊</x:t>
        </x:is>
      </x:c>
      <x:c r="F1140" s="604" t="inlineStr">
        <x:is>
          <x:t xml:space="preserve">俄罗斯 vs 尼日利亚</x:t>
        </x:is>
      </x:c>
      <x:c r="G1140" s="604" t="n">
        <x:v>0.91</x:v>
      </x:c>
      <x:c r="H1140" s="604" t="n">
        <x:v>1</x:v>
      </x:c>
      <x:c r="I1140" s="604" t="n">
        <x:v>0.91</x:v>
      </x:c>
      <x:c r="J1140" s="604" t="inlineStr">
        <x:is>
          <x:t xml:space="preserve">0.91/1/0.91</x:t>
        </x:is>
      </x:c>
      <x:c r="K1140" s="604" t="inlineStr">
        <x:is>
          <x:t xml:space="preserve">V4-C｜EV +0.1056</x:t>
        </x:is>
      </x:c>
      <x:c r="L1140" s="604" t="inlineStr">
        <x:is>
          <x:t xml:space="preserve">俄罗斯</x:t>
        </x:is>
      </x:c>
      <x:c r="M1140" s="604" t="n">
        <x:v>0.597936063695876</x:v>
      </x:c>
      <x:c r="N1140" s="604" t="inlineStr">
        <x:is>
          <x:t xml:space="preserve">V4纸面入选-C</x:t>
        </x:is>
      </x:c>
      <x:c r="O1140" s="604" t="inlineStr">
        <x:is>
          <x:t xml:space="preserve">3-3</x:t>
        </x:is>
      </x:c>
      <x:c r="P1140" s="604" t="inlineStr">
        <x:is>
          <x:t xml:space="preserve">已结算</x:t>
        </x:is>
      </x:c>
      <x:c r="Q1140" s="646" t="inlineStr">
        <x:is>
          <x:t xml:space="preserve">黑</x:t>
        </x:is>
      </x:c>
      <x:c r="R1140" s="604" t="n">
        <x:v>0.91</x:v>
      </x:c>
      <x:c r="S1140" s="604" t="n">
        <x:f>IF(OR(Q1140="",Q1140="待结算"),"",IF(Q1140="红",R1140,IF(Q1140="半红",R1140*0.5,IF(Q1140="走",0,IF(Q1140="半黑",-0.5,-1)))))</x:f>
        <x:v>-1</x:v>
      </x:c>
      <x:c r="T1140" s="604" t="inlineStr">
        <x:is>
          <x:t xml:space="preserve">https://m.titan007.com/analy/Analysis/3097390.htm</x:t>
        </x:is>
      </x:c>
      <x:c r="U1140" s="645" t="str">
        <x:f>IF(Q1140="","",IF(Q1140="待结算","待结算",IF(Q1140="红","黑",IF(Q1140="半红","半黑",IF(Q1140="走","走",IF(Q1140="半黑","半红","红"))))))</x:f>
        <x:v>红</x:v>
      </x:c>
      <x:c r="V1140" s="604" t="n">
        <x:f>IF(OR(Q1140="",Q1140="待结算"),"",IF(L1140=LEFT(F1140,FIND(" vs ",F1140)-1),I1140,G1140))</x:f>
        <x:v>0.91</x:v>
      </x:c>
      <x:c r="W1140" s="604" t="n">
        <x:f>IF(OR(U1140="",U1140="待结算"),"",IF(U1140="红",V1140,IF(U1140="半红",V1140*0.5,IF(U1140="走",0,IF(U1140="半黑",-0.5,-1)))))</x:f>
        <x:v>0.91</x:v>
      </x:c>
      <x:c r="X1140" s="604" t="inlineStr">
        <x:is>
          <x:t xml:space="preserve">3097390</x:t>
        </x:is>
      </x:c>
      <x:c r="Y1140" s="604" t="inlineStr">
        <x:is>
          <x:t xml:space="preserve">V4</x:t>
        </x:is>
      </x:c>
      <x:c r="Z1140" s="604" t="inlineStr">
        <x:is>
          <x:t xml:space="preserve">prior-2026-10-06-v1</x:t>
        </x:is>
      </x:c>
      <x:c r="AA1140" s="604" t="inlineStr">
        <x:is>
          <x:t xml:space="preserve">C</x:t>
        </x:is>
      </x:c>
      <x:c r="AB1140" s="604" t="n">
        <x:v>0.4445520289006189</x:v>
      </x:c>
      <x:c r="AC1140" s="604" t="n"/>
      <x:c r="AD1140" s="604" t="n">
        <x:v>0.2565224680498144</x:v>
      </x:c>
      <x:c r="AE1140" s="604" t="n"/>
      <x:c r="AF1140" s="604" t="n">
        <x:v>0.2989255030495668</x:v>
      </x:c>
      <x:c r="AG1140" s="604" t="n">
        <x:v>0.1056168432499964</x:v>
      </x:c>
      <x:c r="AH1140" s="604" t="n"/>
      <x:c r="AI1140" s="604" t="n"/>
      <x:c r="AJ1140" s="604" t="n">
        <x:v>0.1056168432499964</x:v>
      </x:c>
      <x:c r="AK1140" s="604" t="n"/>
      <x:c r="AL1140" s="604" t="n"/>
      <x:c r="AM1140" s="604" t="n"/>
      <x:c r="AN1140" s="604" t="inlineStr">
        <x:is>
          <x:t xml:space="preserve">EVALUATED</x:t>
        </x:is>
      </x:c>
      <x:c r="AO1140" s="604" t="inlineStr">
        <x:is>
          <x:t xml:space="preserve">GIVING_VALIDATED_EDGE、BUCKET_PRIOR_ONLY、INTENT_INTERPRETATION_ONLY、FFL_OPTIONAL、EXPERT_MARKET</x:t>
        </x:is>
      </x:c>
      <x:c r="AP1140" s="604" t="inlineStr">
        <x:is>
          <x:t xml:space="preserve">6fe96c50969098aef72d</x:t>
        </x:is>
      </x:c>
      <x:c r="AQ1140" s="604" t="n">
        <x:v>-1</x:v>
      </x:c>
      <x:c r="AR1140" s="604" t="n">
        <x:v>0.91</x:v>
      </x:c>
      <x:c r="AS1140" s="604" t="n">
        <x:v>1</x:v>
      </x:c>
      <x:c r="AT1140" s="604" t="n">
        <x:v>-1</x:v>
      </x:c>
      <x:c r="AU1140" s="604" t="n">
        <x:v>0.91</x:v>
      </x:c>
      <x:c r="AV1140" s="604" t="n">
        <x:v>0.91</x:v>
      </x:c>
      <x:c r="AW1140" s="604" t="n">
        <x:v>46301.03159395833</x:v>
      </x:c>
      <x:c r="AX1140" s="604" t="inlineStr">
        <x:is>
          <x:t xml:space="preserve">https://simondongxiao.github.io/odds/v4/</x:t>
        </x:is>
      </x:c>
      <x:c r="AY1140" s="604" t="inlineStr">
        <x:is>
          <x:t xml:space="preserve">V4 Shadow Only；real_money=false；P(EV&gt;0)不是比赛胜率</x:t>
        </x:is>
      </x:c>
    </x:row>
    <x:row r="1141" ht="22" customHeight="1">
      <x:c r="A1141" s="604" t="inlineStr">
        <x:is>
          <x:t xml:space="preserve">2026-10-06</x:t>
        </x:is>
      </x:c>
      <x:c r="B1141" s="604" t="inlineStr">
        <x:is>
          <x:t xml:space="preserve">2026-10-07 00:30</x:t>
        </x:is>
      </x:c>
      <x:c r="C1141" s="604" t="str">
        <x:v>欧洲非五大系列</x:v>
      </x:c>
      <x:c r="D1141" s="604" t="inlineStr">
        <x:is>
          <x:t xml:space="preserve">联赛</x:t>
        </x:is>
      </x:c>
      <x:c r="E1141" s="604" t="inlineStr">
        <x:is>
          <x:t xml:space="preserve">欧青U21外</x:t>
        </x:is>
      </x:c>
      <x:c r="F1141" s="604" t="inlineStr">
        <x:is>
          <x:t xml:space="preserve">葡萄牙U21 vs 捷克U21</x:t>
        </x:is>
      </x:c>
      <x:c r="G1141" s="604" t="n">
        <x:v>0.87</x:v>
      </x:c>
      <x:c r="H1141" s="604" t="n">
        <x:v>1.25</x:v>
      </x:c>
      <x:c r="I1141" s="604" t="n">
        <x:v>0.95</x:v>
      </x:c>
      <x:c r="J1141" s="604" t="inlineStr">
        <x:is>
          <x:t xml:space="preserve">0.87/1.25/0.95</x:t>
        </x:is>
      </x:c>
      <x:c r="K1141" s="604" t="inlineStr">
        <x:is>
          <x:t xml:space="preserve">V4-C｜EV +0.1741</x:t>
        </x:is>
      </x:c>
      <x:c r="L1141" s="604" t="inlineStr">
        <x:is>
          <x:t xml:space="preserve">葡萄牙U21</x:t>
        </x:is>
      </x:c>
      <x:c r="M1141" s="604" t="n">
        <x:v>0.6405162411950847</x:v>
      </x:c>
      <x:c r="N1141" s="604" t="inlineStr">
        <x:is>
          <x:t xml:space="preserve">V4纸面入选-C</x:t>
        </x:is>
      </x:c>
      <x:c r="O1141" s="604" t="inlineStr">
        <x:is>
          <x:t xml:space="preserve">2-0</x:t>
        </x:is>
      </x:c>
      <x:c r="P1141" s="604" t="inlineStr">
        <x:is>
          <x:t xml:space="preserve">已结算</x:t>
        </x:is>
      </x:c>
      <x:c r="Q1141" s="645" t="inlineStr">
        <x:is>
          <x:t xml:space="preserve">红</x:t>
        </x:is>
      </x:c>
      <x:c r="R1141" s="604" t="n">
        <x:v>0.87</x:v>
      </x:c>
      <x:c r="S1141" s="604" t="n">
        <x:f>IF(OR(Q1141="",Q1141="待结算"),"",IF(Q1141="红",R1141,IF(Q1141="半红",R1141*0.5,IF(Q1141="走",0,IF(Q1141="半黑",-0.5,-1)))))</x:f>
        <x:v>0.87</x:v>
      </x:c>
      <x:c r="T1141" s="604" t="inlineStr">
        <x:is>
          <x:t xml:space="preserve">https://m.titan007.com/analy/Analysis/2781259.htm</x:t>
        </x:is>
      </x:c>
      <x:c r="U1141" s="646" t="str">
        <x:f>IF(Q1141="","",IF(Q1141="待结算","待结算",IF(Q1141="红","黑",IF(Q1141="半红","半黑",IF(Q1141="走","走",IF(Q1141="半黑","半红","红"))))))</x:f>
        <x:v>黑</x:v>
      </x:c>
      <x:c r="V1141" s="604" t="n">
        <x:f>IF(OR(Q1141="",Q1141="待结算"),"",IF(L1141=LEFT(F1141,FIND(" vs ",F1141)-1),I1141,G1141))</x:f>
        <x:v>0.95</x:v>
      </x:c>
      <x:c r="W1141" s="604" t="n">
        <x:f>IF(OR(U1141="",U1141="待结算"),"",IF(U1141="红",V1141,IF(U1141="半红",V1141*0.5,IF(U1141="走",0,IF(U1141="半黑",-0.5,-1)))))</x:f>
        <x:v>-1</x:v>
      </x:c>
      <x:c r="X1141" s="604" t="inlineStr">
        <x:is>
          <x:t xml:space="preserve">2781259</x:t>
        </x:is>
      </x:c>
      <x:c r="Y1141" s="604" t="inlineStr">
        <x:is>
          <x:t xml:space="preserve">V4</x:t>
        </x:is>
      </x:c>
      <x:c r="Z1141" s="604" t="inlineStr">
        <x:is>
          <x:t xml:space="preserve">prior-2026-10-06-v1</x:t>
        </x:is>
      </x:c>
      <x:c r="AA1141" s="604" t="inlineStr">
        <x:is>
          <x:t xml:space="preserve">C</x:t>
        </x:is>
      </x:c>
      <x:c r="AB1141" s="604" t="n">
        <x:v>0.5637408297441174</x:v>
      </x:c>
      <x:c r="AC1141" s="604" t="n"/>
      <x:c r="AD1141" s="604" t="n"/>
      <x:c r="AE1141" s="604" t="n">
        <x:v>0.2397297882961362</x:v>
      </x:c>
      <x:c r="AF1141" s="604" t="n">
        <x:v>0.1965293819597464</x:v>
      </x:c>
      <x:c r="AG1141" s="604" t="n">
        <x:v>0.1740602457695676</x:v>
      </x:c>
      <x:c r="AH1141" s="604" t="n"/>
      <x:c r="AI1141" s="604" t="n"/>
      <x:c r="AJ1141" s="604" t="n">
        <x:v>0.1740602457695676</x:v>
      </x:c>
      <x:c r="AK1141" s="604" t="n"/>
      <x:c r="AL1141" s="604" t="n"/>
      <x:c r="AM1141" s="604" t="n"/>
      <x:c r="AN1141" s="604" t="inlineStr">
        <x:is>
          <x:t xml:space="preserve">EVALUATED</x:t>
        </x:is>
      </x:c>
      <x:c r="AO1141" s="604" t="inlineStr">
        <x:is>
          <x:t xml:space="preserve">GIVING_VALIDATED_EDGE、BUCKET_PRIOR_ONLY、INTENT_INTERPRETATION_ONLY、FFL_OPTIONAL、EXPERT_MARKET</x:t>
        </x:is>
      </x:c>
      <x:c r="AP1141" s="604" t="inlineStr">
        <x:is>
          <x:t xml:space="preserve">62ff69b73fcad4a2d325</x:t>
        </x:is>
      </x:c>
      <x:c r="AQ1141" s="604" t="n">
        <x:v>-1.25</x:v>
      </x:c>
      <x:c r="AR1141" s="604" t="n">
        <x:v>0.87</x:v>
      </x:c>
      <x:c r="AS1141" s="604" t="n">
        <x:v>1.25</x:v>
      </x:c>
      <x:c r="AT1141" s="604" t="n">
        <x:v>-1.25</x:v>
      </x:c>
      <x:c r="AU1141" s="604" t="n">
        <x:v>0.87</x:v>
      </x:c>
      <x:c r="AV1141" s="604" t="n">
        <x:v>0.95</x:v>
      </x:c>
      <x:c r="AW1141" s="604" t="n">
        <x:v>46301.03159395833</x:v>
      </x:c>
      <x:c r="AX1141" s="604" t="inlineStr">
        <x:is>
          <x:t xml:space="preserve">https://simondongxiao.github.io/odds/v4/</x:t>
        </x:is>
      </x:c>
      <x:c r="AY1141" s="604" t="inlineStr">
        <x:is>
          <x:t xml:space="preserve">V4 Shadow Only；real_money=false；P(EV&gt;0)不是比赛胜率</x:t>
        </x:is>
      </x:c>
    </x:row>
    <x:row r="1142" ht="22" customHeight="1">
      <x:c r="A1142" s="604" t="inlineStr">
        <x:is>
          <x:t xml:space="preserve">2026-10-06</x:t>
        </x:is>
      </x:c>
      <x:c r="B1142" s="604" t="inlineStr">
        <x:is>
          <x:t xml:space="preserve">2026-10-07 00:30</x:t>
        </x:is>
      </x:c>
      <x:c r="C1142" s="604" t="str">
        <x:v>欧洲非五大系列</x:v>
      </x:c>
      <x:c r="D1142" s="604" t="inlineStr">
        <x:is>
          <x:t xml:space="preserve">联赛</x:t>
        </x:is>
      </x:c>
      <x:c r="E1142" s="604" t="inlineStr">
        <x:is>
          <x:t xml:space="preserve">欧青U21外</x:t>
        </x:is>
      </x:c>
      <x:c r="F1142" s="604" t="inlineStr">
        <x:is>
          <x:t xml:space="preserve">威尔士U21 vs 奥地利U21</x:t>
        </x:is>
      </x:c>
      <x:c r="G1142" s="604" t="n">
        <x:v>0.87</x:v>
      </x:c>
      <x:c r="H1142" s="604" t="n">
        <x:v>-0.75</x:v>
      </x:c>
      <x:c r="I1142" s="604" t="n">
        <x:v>0.95</x:v>
      </x:c>
      <x:c r="J1142" s="604" t="inlineStr">
        <x:is>
          <x:t xml:space="preserve">0.87/-0.75/0.95</x:t>
        </x:is>
      </x:c>
      <x:c r="K1142" s="604" t="inlineStr">
        <x:is>
          <x:t xml:space="preserve">V4-C｜EV +0.6182</x:t>
        </x:is>
      </x:c>
      <x:c r="L1142" s="604" t="inlineStr">
        <x:is>
          <x:t xml:space="preserve">威尔士U21</x:t>
        </x:is>
      </x:c>
      <x:c r="M1142" s="604" t="n">
        <x:v>0.8855799677666233</x:v>
      </x:c>
      <x:c r="N1142" s="604" t="inlineStr">
        <x:is>
          <x:t xml:space="preserve">V4纸面入选-C</x:t>
        </x:is>
      </x:c>
      <x:c r="O1142" s="604" t="inlineStr">
        <x:is>
          <x:t xml:space="preserve">1-7</x:t>
        </x:is>
      </x:c>
      <x:c r="P1142" s="604" t="inlineStr">
        <x:is>
          <x:t xml:space="preserve">已结算</x:t>
        </x:is>
      </x:c>
      <x:c r="Q1142" s="646" t="inlineStr">
        <x:is>
          <x:t xml:space="preserve">黑</x:t>
        </x:is>
      </x:c>
      <x:c r="R1142" s="604" t="n">
        <x:v>0.87</x:v>
      </x:c>
      <x:c r="S1142" s="604" t="n">
        <x:f>IF(OR(Q1142="",Q1142="待结算"),"",IF(Q1142="红",R1142,IF(Q1142="半红",R1142*0.5,IF(Q1142="走",0,IF(Q1142="半黑",-0.5,-1)))))</x:f>
        <x:v>-1</x:v>
      </x:c>
      <x:c r="T1142" s="604" t="inlineStr">
        <x:is>
          <x:t xml:space="preserve">https://m.titan007.com/analy/Analysis/2781410.htm</x:t>
        </x:is>
      </x:c>
      <x:c r="U1142" s="645" t="str">
        <x:f>IF(Q1142="","",IF(Q1142="待结算","待结算",IF(Q1142="红","黑",IF(Q1142="半红","半黑",IF(Q1142="走","走",IF(Q1142="半黑","半红","红"))))))</x:f>
        <x:v>红</x:v>
      </x:c>
      <x:c r="V1142" s="604" t="n">
        <x:f>IF(OR(Q1142="",Q1142="待结算"),"",IF(L1142=LEFT(F1142,FIND(" vs ",F1142)-1),I1142,G1142))</x:f>
        <x:v>0.95</x:v>
      </x:c>
      <x:c r="W1142" s="604" t="n">
        <x:f>IF(OR(U1142="",U1142="待结算"),"",IF(U1142="红",V1142,IF(U1142="半红",V1142*0.5,IF(U1142="走",0,IF(U1142="半黑",-0.5,-1)))))</x:f>
        <x:v>0.95</x:v>
      </x:c>
      <x:c r="X1142" s="604" t="inlineStr">
        <x:is>
          <x:t xml:space="preserve">2781410</x:t>
        </x:is>
      </x:c>
      <x:c r="Y1142" s="604" t="inlineStr">
        <x:is>
          <x:t xml:space="preserve">V4</x:t>
        </x:is>
      </x:c>
      <x:c r="Z1142" s="604" t="inlineStr">
        <x:is>
          <x:t xml:space="preserve">prior-2026-10-06-v1</x:t>
        </x:is>
      </x:c>
      <x:c r="AA1142" s="604" t="inlineStr">
        <x:is>
          <x:t xml:space="preserve">C</x:t>
        </x:is>
      </x:c>
      <x:c r="AB1142" s="604" t="n">
        <x:v>0.8344695148576891</x:v>
      </x:c>
      <x:c r="AC1142" s="604" t="n"/>
      <x:c r="AD1142" s="604" t="n"/>
      <x:c r="AE1142" s="604" t="n">
        <x:v>0.115428204722904</x:v>
      </x:c>
      <x:c r="AF1142" s="604" t="n">
        <x:v>0.05010228041940686</x:v>
      </x:c>
      <x:c r="AG1142" s="604" t="n">
        <x:v>0.6181720951453306</x:v>
      </x:c>
      <x:c r="AH1142" s="604" t="n"/>
      <x:c r="AI1142" s="604" t="n"/>
      <x:c r="AJ1142" s="604" t="n">
        <x:v>0.6181720951453306</x:v>
      </x:c>
      <x:c r="AK1142" s="604" t="n"/>
      <x:c r="AL1142" s="604" t="n"/>
      <x:c r="AM1142" s="604" t="n"/>
      <x:c r="AN1142" s="604" t="inlineStr">
        <x:is>
          <x:t xml:space="preserve">EVALUATED</x:t>
        </x:is>
      </x:c>
      <x:c r="AO1142" s="604" t="inlineStr">
        <x:is>
          <x:t xml:space="preserve">RECEIVING_VALIDATED_EDGE、BUCKET_PRIOR_ONLY、INTENT_INTERPRETATION_ONLY、FFL_OPTIONAL、EXPERT_MARKET</x:t>
        </x:is>
      </x:c>
      <x:c r="AP1142" s="604" t="inlineStr">
        <x:is>
          <x:t xml:space="preserve">712a701babd50891e553</x:t>
        </x:is>
      </x:c>
      <x:c r="AQ1142" s="604" t="n">
        <x:v>0.75</x:v>
      </x:c>
      <x:c r="AR1142" s="604" t="n">
        <x:v>0.87</x:v>
      </x:c>
      <x:c r="AS1142" s="604" t="n">
        <x:v>-0.75</x:v>
      </x:c>
      <x:c r="AT1142" s="604" t="n">
        <x:v>0.75</x:v>
      </x:c>
      <x:c r="AU1142" s="604" t="n">
        <x:v>0.87</x:v>
      </x:c>
      <x:c r="AV1142" s="604" t="n">
        <x:v>0.95</x:v>
      </x:c>
      <x:c r="AW1142" s="604" t="n">
        <x:v>46301.03159395833</x:v>
      </x:c>
      <x:c r="AX1142" s="604" t="inlineStr">
        <x:is>
          <x:t xml:space="preserve">https://simondongxiao.github.io/odds/v4/</x:t>
        </x:is>
      </x:c>
      <x:c r="AY1142" s="604" t="inlineStr">
        <x:is>
          <x:t xml:space="preserve">V4 Shadow Only；real_money=false；P(EV&gt;0)不是比赛胜率</x:t>
        </x:is>
      </x:c>
    </x:row>
    <x:row r="1143" ht="22" customHeight="1">
      <x:c r="A1143" s="604" t="inlineStr">
        <x:is>
          <x:t xml:space="preserve">2026-10-06</x:t>
        </x:is>
      </x:c>
      <x:c r="B1143" s="604" t="inlineStr">
        <x:is>
          <x:t xml:space="preserve">2026-10-07 00:45</x:t>
        </x:is>
      </x:c>
      <x:c r="C1143" s="604" t="str">
        <x:v>欧洲非五大系列</x:v>
      </x:c>
      <x:c r="D1143" s="604" t="inlineStr">
        <x:is>
          <x:t xml:space="preserve">联赛</x:t>
        </x:is>
      </x:c>
      <x:c r="E1143" s="604" t="inlineStr">
        <x:is>
          <x:t xml:space="preserve">欧青U21外</x:t>
        </x:is>
      </x:c>
      <x:c r="F1143" s="604" t="inlineStr">
        <x:is>
          <x:t xml:space="preserve">挪威U21 vs 以色列U21</x:t>
        </x:is>
      </x:c>
      <x:c r="G1143" s="604" t="n">
        <x:v>0.84</x:v>
      </x:c>
      <x:c r="H1143" s="604" t="n">
        <x:v>0.75</x:v>
      </x:c>
      <x:c r="I1143" s="604" t="n">
        <x:v>0.98</x:v>
      </x:c>
      <x:c r="J1143" s="604" t="inlineStr">
        <x:is>
          <x:t xml:space="preserve">0.84/0.75/0.98</x:t>
        </x:is>
      </x:c>
      <x:c r="K1143" s="604" t="inlineStr">
        <x:is>
          <x:t xml:space="preserve">V4-C｜EV +0.1311</x:t>
        </x:is>
      </x:c>
      <x:c r="L1143" s="604" t="inlineStr">
        <x:is>
          <x:t xml:space="preserve">挪威U21</x:t>
        </x:is>
      </x:c>
      <x:c r="M1143" s="604" t="n">
        <x:v>0.6251968901805891</x:v>
      </x:c>
      <x:c r="N1143" s="604" t="inlineStr">
        <x:is>
          <x:t xml:space="preserve">V4纸面入选-C</x:t>
        </x:is>
      </x:c>
      <x:c r="O1143" s="604" t="inlineStr">
        <x:is>
          <x:t xml:space="preserve">1-1</x:t>
        </x:is>
      </x:c>
      <x:c r="P1143" s="604" t="inlineStr">
        <x:is>
          <x:t xml:space="preserve">已结算</x:t>
        </x:is>
      </x:c>
      <x:c r="Q1143" s="646" t="inlineStr">
        <x:is>
          <x:t xml:space="preserve">黑</x:t>
        </x:is>
      </x:c>
      <x:c r="R1143" s="604" t="n">
        <x:v>0.84</x:v>
      </x:c>
      <x:c r="S1143" s="604" t="n">
        <x:f>IF(OR(Q1143="",Q1143="待结算"),"",IF(Q1143="红",R1143,IF(Q1143="半红",R1143*0.5,IF(Q1143="走",0,IF(Q1143="半黑",-0.5,-1)))))</x:f>
        <x:v>-1</x:v>
      </x:c>
      <x:c r="T1143" s="604" t="inlineStr">
        <x:is>
          <x:t xml:space="preserve">https://m.titan007.com/analy/Analysis/2781358.htm</x:t>
        </x:is>
      </x:c>
      <x:c r="U1143" s="645" t="str">
        <x:f>IF(Q1143="","",IF(Q1143="待结算","待结算",IF(Q1143="红","黑",IF(Q1143="半红","半黑",IF(Q1143="走","走",IF(Q1143="半黑","半红","红"))))))</x:f>
        <x:v>红</x:v>
      </x:c>
      <x:c r="V1143" s="604" t="n">
        <x:f>IF(OR(Q1143="",Q1143="待结算"),"",IF(L1143=LEFT(F1143,FIND(" vs ",F1143)-1),I1143,G1143))</x:f>
        <x:v>0.98</x:v>
      </x:c>
      <x:c r="W1143" s="604" t="n">
        <x:f>IF(OR(U1143="",U1143="待结算"),"",IF(U1143="红",V1143,IF(U1143="半红",V1143*0.5,IF(U1143="走",0,IF(U1143="半黑",-0.5,-1)))))</x:f>
        <x:v>0.98</x:v>
      </x:c>
      <x:c r="X1143" s="604" t="inlineStr">
        <x:is>
          <x:t xml:space="preserve">2781358</x:t>
        </x:is>
      </x:c>
      <x:c r="Y1143" s="604" t="inlineStr">
        <x:is>
          <x:t xml:space="preserve">V4</x:t>
        </x:is>
      </x:c>
      <x:c r="Z1143" s="604" t="inlineStr">
        <x:is>
          <x:t xml:space="preserve">prior-2026-10-06-v1</x:t>
        </x:is>
      </x:c>
      <x:c r="AA1143" s="604" t="inlineStr">
        <x:is>
          <x:t xml:space="preserve">C</x:t>
        </x:is>
      </x:c>
      <x:c r="AB1143" s="604" t="n">
        <x:v>0.4170391563486648</x:v>
      </x:c>
      <x:c r="AC1143" s="604" t="n">
        <x:v>0.2561630964095607</x:v>
      </x:c>
      <x:c r="AD1143" s="604" t="n"/>
      <x:c r="AE1143" s="604" t="n"/>
      <x:c r="AF1143" s="604" t="n">
        <x:v>0.3267977472417744</x:v>
      </x:c>
      <x:c r="AG1143" s="604" t="n">
        <x:v>0.1311036445831196</x:v>
      </x:c>
      <x:c r="AH1143" s="604" t="n"/>
      <x:c r="AI1143" s="604" t="n"/>
      <x:c r="AJ1143" s="604" t="n">
        <x:v>0.1311036445831196</x:v>
      </x:c>
      <x:c r="AK1143" s="604" t="n"/>
      <x:c r="AL1143" s="604" t="n"/>
      <x:c r="AM1143" s="604" t="n"/>
      <x:c r="AN1143" s="604" t="inlineStr">
        <x:is>
          <x:t xml:space="preserve">EVALUATED</x:t>
        </x:is>
      </x:c>
      <x:c r="AO1143" s="604" t="inlineStr">
        <x:is>
          <x:t xml:space="preserve">GIVING_VALIDATED_EDGE、BUCKET_PRIOR_ONLY、INTENT_INTERPRETATION_ONLY、FFL_OPTIONAL、EXPERT_MARKET</x:t>
        </x:is>
      </x:c>
      <x:c r="AP1143" s="604" t="inlineStr">
        <x:is>
          <x:t xml:space="preserve">007e8ab829485ea52512</x:t>
        </x:is>
      </x:c>
      <x:c r="AQ1143" s="604" t="n">
        <x:v>-0.75</x:v>
      </x:c>
      <x:c r="AR1143" s="604" t="n">
        <x:v>0.84</x:v>
      </x:c>
      <x:c r="AS1143" s="604" t="n">
        <x:v>0.75</x:v>
      </x:c>
      <x:c r="AT1143" s="604" t="n">
        <x:v>-0.75</x:v>
      </x:c>
      <x:c r="AU1143" s="604" t="n">
        <x:v>0.84</x:v>
      </x:c>
      <x:c r="AV1143" s="604" t="n">
        <x:v>0.98</x:v>
      </x:c>
      <x:c r="AW1143" s="604" t="n">
        <x:v>46301.03159395833</x:v>
      </x:c>
      <x:c r="AX1143" s="604" t="inlineStr">
        <x:is>
          <x:t xml:space="preserve">https://simondongxiao.github.io/odds/v4/</x:t>
        </x:is>
      </x:c>
      <x:c r="AY1143" s="604" t="inlineStr">
        <x:is>
          <x:t xml:space="preserve">V4 Shadow Only；real_money=false；P(EV&gt;0)不是比赛胜率</x:t>
        </x:is>
      </x:c>
    </x:row>
    <x:row r="1144" ht="22" customHeight="1">
      <x:c r="A1144" s="604" t="inlineStr">
        <x:is>
          <x:t xml:space="preserve">2026-10-06</x:t>
        </x:is>
      </x:c>
      <x:c r="B1144" s="604" t="inlineStr">
        <x:is>
          <x:t xml:space="preserve">2026-10-07 00:45</x:t>
        </x:is>
      </x:c>
      <x:c r="C1144" s="604" t="str">
        <x:v>欧洲非五大系列</x:v>
      </x:c>
      <x:c r="D1144" s="604" t="inlineStr">
        <x:is>
          <x:t xml:space="preserve">联赛</x:t>
        </x:is>
      </x:c>
      <x:c r="E1144" s="604" t="inlineStr">
        <x:is>
          <x:t xml:space="preserve">欧青U21外</x:t>
        </x:is>
      </x:c>
      <x:c r="F1144" s="604" t="inlineStr">
        <x:is>
          <x:t xml:space="preserve">荷兰U21 vs 波黑U21</x:t>
        </x:is>
      </x:c>
      <x:c r="G1144" s="604" t="n">
        <x:v>1.01</x:v>
      </x:c>
      <x:c r="H1144" s="604" t="n">
        <x:v>2.5</x:v>
      </x:c>
      <x:c r="I1144" s="604" t="n">
        <x:v>0.8100000000000001</x:v>
      </x:c>
      <x:c r="J1144" s="604" t="inlineStr">
        <x:is>
          <x:t xml:space="preserve">1.01/2.5/0.81</x:t>
        </x:is>
      </x:c>
      <x:c r="K1144" s="604" t="inlineStr">
        <x:is>
          <x:t xml:space="preserve">V4-C｜EV +0.1182</x:t>
        </x:is>
      </x:c>
      <x:c r="L1144" s="604" t="inlineStr">
        <x:is>
          <x:t xml:space="preserve">荷兰U21</x:t>
        </x:is>
      </x:c>
      <x:c r="M1144" s="604" t="n">
        <x:v>0.5563087273973673</x:v>
      </x:c>
      <x:c r="N1144" s="604" t="inlineStr">
        <x:is>
          <x:t xml:space="preserve">V4纸面入选-C</x:t>
        </x:is>
      </x:c>
      <x:c r="O1144" s="604" t="inlineStr">
        <x:is>
          <x:t xml:space="preserve">4-0</x:t>
        </x:is>
      </x:c>
      <x:c r="P1144" s="604" t="inlineStr">
        <x:is>
          <x:t xml:space="preserve">已结算</x:t>
        </x:is>
      </x:c>
      <x:c r="Q1144" s="645" t="inlineStr">
        <x:is>
          <x:t xml:space="preserve">红</x:t>
        </x:is>
      </x:c>
      <x:c r="R1144" s="604" t="n">
        <x:v>1.01</x:v>
      </x:c>
      <x:c r="S1144" s="604" t="n">
        <x:f>IF(OR(Q1144="",Q1144="待结算"),"",IF(Q1144="红",R1144,IF(Q1144="半红",R1144*0.5,IF(Q1144="走",0,IF(Q1144="半黑",-0.5,-1)))))</x:f>
        <x:v>1.01</x:v>
      </x:c>
      <x:c r="T1144" s="604" t="inlineStr">
        <x:is>
          <x:t xml:space="preserve">https://m.titan007.com/analy/Analysis/2781369.htm</x:t>
        </x:is>
      </x:c>
      <x:c r="U1144" s="646" t="str">
        <x:f>IF(Q1144="","",IF(Q1144="待结算","待结算",IF(Q1144="红","黑",IF(Q1144="半红","半黑",IF(Q1144="走","走",IF(Q1144="半黑","半红","红"))))))</x:f>
        <x:v>黑</x:v>
      </x:c>
      <x:c r="V1144" s="604" t="n">
        <x:f>IF(OR(Q1144="",Q1144="待结算"),"",IF(L1144=LEFT(F1144,FIND(" vs ",F1144)-1),I1144,G1144))</x:f>
        <x:v>0.81</x:v>
      </x:c>
      <x:c r="W1144" s="604" t="n">
        <x:f>IF(OR(U1144="",U1144="待结算"),"",IF(U1144="红",V1144,IF(U1144="半红",V1144*0.5,IF(U1144="走",0,IF(U1144="半黑",-0.5,-1)))))</x:f>
        <x:v>-1</x:v>
      </x:c>
      <x:c r="X1144" s="604" t="inlineStr">
        <x:is>
          <x:t xml:space="preserve">2781369</x:t>
        </x:is>
      </x:c>
      <x:c r="Y1144" s="604" t="inlineStr">
        <x:is>
          <x:t xml:space="preserve">V4</x:t>
        </x:is>
      </x:c>
      <x:c r="Z1144" s="604" t="inlineStr">
        <x:is>
          <x:t xml:space="preserve">prior-2026-10-06-v1</x:t>
        </x:is>
      </x:c>
      <x:c r="AA1144" s="604" t="inlineStr">
        <x:is>
          <x:t xml:space="preserve">C</x:t>
        </x:is>
      </x:c>
      <x:c r="AB1144" s="604" t="n">
        <x:v>0.5563087273973673</x:v>
      </x:c>
      <x:c r="AC1144" s="604" t="n"/>
      <x:c r="AD1144" s="604" t="n"/>
      <x:c r="AE1144" s="604" t="n"/>
      <x:c r="AF1144" s="604" t="n">
        <x:v>0.4436912726026327</x:v>
      </x:c>
      <x:c r="AG1144" s="604" t="n">
        <x:v>0.1181805420687083</x:v>
      </x:c>
      <x:c r="AH1144" s="604" t="n"/>
      <x:c r="AI1144" s="604" t="n"/>
      <x:c r="AJ1144" s="604" t="n">
        <x:v>0.1181805420687083</x:v>
      </x:c>
      <x:c r="AK1144" s="604" t="n"/>
      <x:c r="AL1144" s="604" t="n"/>
      <x:c r="AM1144" s="604" t="n"/>
      <x:c r="AN1144" s="604" t="inlineStr">
        <x:is>
          <x:t xml:space="preserve">EVALUATED</x:t>
        </x:is>
      </x:c>
      <x:c r="AO1144" s="604" t="inlineStr">
        <x:is>
          <x:t xml:space="preserve">GIVING_VALIDATED_EDGE、BUCKET_PRIOR_ONLY、INTENT_INTERPRETATION_ONLY、FFL_OPTIONAL、EXPERT_MARKET</x:t>
        </x:is>
      </x:c>
      <x:c r="AP1144" s="604" t="inlineStr">
        <x:is>
          <x:t xml:space="preserve">6734f311adb8cf198610</x:t>
        </x:is>
      </x:c>
      <x:c r="AQ1144" s="604" t="n">
        <x:v>-2.5</x:v>
      </x:c>
      <x:c r="AR1144" s="604" t="n">
        <x:v>1.01</x:v>
      </x:c>
      <x:c r="AS1144" s="604" t="n">
        <x:v>2.5</x:v>
      </x:c>
      <x:c r="AT1144" s="604" t="n">
        <x:v>-2.5</x:v>
      </x:c>
      <x:c r="AU1144" s="604" t="n">
        <x:v>1.01</x:v>
      </x:c>
      <x:c r="AV1144" s="604" t="n">
        <x:v>0.8100000000000001</x:v>
      </x:c>
      <x:c r="AW1144" s="604" t="n">
        <x:v>46301.03159395833</x:v>
      </x:c>
      <x:c r="AX1144" s="604" t="inlineStr">
        <x:is>
          <x:t xml:space="preserve">https://simondongxiao.github.io/odds/v4/</x:t>
        </x:is>
      </x:c>
      <x:c r="AY1144" s="604" t="inlineStr">
        <x:is>
          <x:t xml:space="preserve">V4 Shadow Only；real_money=false；P(EV&gt;0)不是比赛胜率</x:t>
        </x:is>
      </x:c>
    </x:row>
    <x:row r="1145" ht="22" customHeight="1">
      <x:c r="A1145" s="604" t="inlineStr">
        <x:is>
          <x:t xml:space="preserve">2026-10-06</x:t>
        </x:is>
      </x:c>
      <x:c r="B1145" s="604" t="inlineStr">
        <x:is>
          <x:t xml:space="preserve">2026-10-07 01:00</x:t>
        </x:is>
      </x:c>
      <x:c r="C1145" s="604" t="str">
        <x:v>欧洲非五大系列</x:v>
      </x:c>
      <x:c r="D1145" s="604" t="inlineStr">
        <x:is>
          <x:t xml:space="preserve">联赛</x:t>
        </x:is>
      </x:c>
      <x:c r="E1145" s="604" t="inlineStr">
        <x:is>
          <x:t xml:space="preserve">欧青U21外</x:t>
        </x:is>
      </x:c>
      <x:c r="F1145" s="604" t="inlineStr">
        <x:is>
          <x:t xml:space="preserve">塞浦路斯U21 vs 圣马力诺U21</x:t>
        </x:is>
      </x:c>
      <x:c r="G1145" s="604" t="n">
        <x:v>0.85</x:v>
      </x:c>
      <x:c r="H1145" s="604" t="n">
        <x:v>3.25</x:v>
      </x:c>
      <x:c r="I1145" s="604" t="n">
        <x:v>0.97</x:v>
      </x:c>
      <x:c r="J1145" s="604" t="inlineStr">
        <x:is>
          <x:t xml:space="preserve">0.85/3.25/0.97</x:t>
        </x:is>
      </x:c>
      <x:c r="K1145" s="604" t="inlineStr">
        <x:is>
          <x:t xml:space="preserve">V4-C｜EV +0.1296</x:t>
        </x:is>
      </x:c>
      <x:c r="L1145" s="604" t="inlineStr">
        <x:is>
          <x:t xml:space="preserve">圣马力诺U21</x:t>
        </x:is>
      </x:c>
      <x:c r="M1145" s="604" t="n">
        <x:v>0.5815215157713984</x:v>
      </x:c>
      <x:c r="N1145" s="604" t="inlineStr">
        <x:is>
          <x:t xml:space="preserve">V4纸面入选-C</x:t>
        </x:is>
      </x:c>
      <x:c r="O1145" s="604" t="inlineStr">
        <x:is>
          <x:t xml:space="preserve">2-0</x:t>
        </x:is>
      </x:c>
      <x:c r="P1145" s="604" t="inlineStr">
        <x:is>
          <x:t xml:space="preserve">已结算</x:t>
        </x:is>
      </x:c>
      <x:c r="Q1145" s="645" t="inlineStr">
        <x:is>
          <x:t xml:space="preserve">红</x:t>
        </x:is>
      </x:c>
      <x:c r="R1145" s="604" t="n">
        <x:v>0.97</x:v>
      </x:c>
      <x:c r="S1145" s="604" t="n">
        <x:f>IF(OR(Q1145="",Q1145="待结算"),"",IF(Q1145="红",R1145,IF(Q1145="半红",R1145*0.5,IF(Q1145="走",0,IF(Q1145="半黑",-0.5,-1)))))</x:f>
        <x:v>0.97</x:v>
      </x:c>
      <x:c r="T1145" s="604" t="inlineStr">
        <x:is>
          <x:t xml:space="preserve">https://m.titan007.com/analy/Analysis/2781229.htm</x:t>
        </x:is>
      </x:c>
      <x:c r="U1145" s="646" t="str">
        <x:f>IF(Q1145="","",IF(Q1145="待结算","待结算",IF(Q1145="红","黑",IF(Q1145="半红","半黑",IF(Q1145="走","走",IF(Q1145="半黑","半红","红"))))))</x:f>
        <x:v>黑</x:v>
      </x:c>
      <x:c r="V1145" s="604" t="n">
        <x:f>IF(OR(Q1145="",Q1145="待结算"),"",IF(L1145=LEFT(F1145,FIND(" vs ",F1145)-1),I1145,G1145))</x:f>
        <x:v>0.85</x:v>
      </x:c>
      <x:c r="W1145" s="604" t="n">
        <x:f>IF(OR(U1145="",U1145="待结算"),"",IF(U1145="红",V1145,IF(U1145="半红",V1145*0.5,IF(U1145="走",0,IF(U1145="半黑",-0.5,-1)))))</x:f>
        <x:v>-1</x:v>
      </x:c>
      <x:c r="X1145" s="604" t="inlineStr">
        <x:is>
          <x:t xml:space="preserve">2781229</x:t>
        </x:is>
      </x:c>
      <x:c r="Y1145" s="604" t="inlineStr">
        <x:is>
          <x:t xml:space="preserve">V4</x:t>
        </x:is>
      </x:c>
      <x:c r="Z1145" s="604" t="inlineStr">
        <x:is>
          <x:t xml:space="preserve">prior-2026-10-06-v1</x:t>
        </x:is>
      </x:c>
      <x:c r="AA1145" s="604" t="inlineStr">
        <x:is>
          <x:t xml:space="preserve">C</x:t>
        </x:is>
      </x:c>
      <x:c r="AB1145" s="604" t="n">
        <x:v>0.4078047845016877</x:v>
      </x:c>
      <x:c r="AC1145" s="604" t="n">
        <x:v>0.2196830451402101</x:v>
      </x:c>
      <x:c r="AD1145" s="604" t="n"/>
      <x:c r="AE1145" s="604" t="n"/>
      <x:c r="AF1145" s="604" t="n">
        <x:v>0.3725121703581022</x:v>
      </x:c>
      <x:c r="AG1145" s="604" t="n">
        <x:v>0.1296047475015366</x:v>
      </x:c>
      <x:c r="AH1145" s="604" t="n"/>
      <x:c r="AI1145" s="604" t="n"/>
      <x:c r="AJ1145" s="604" t="n">
        <x:v>0.1296047475015366</x:v>
      </x:c>
      <x:c r="AK1145" s="604" t="n"/>
      <x:c r="AL1145" s="604" t="n"/>
      <x:c r="AM1145" s="604" t="n"/>
      <x:c r="AN1145" s="604" t="inlineStr">
        <x:is>
          <x:t xml:space="preserve">EVALUATED</x:t>
        </x:is>
      </x:c>
      <x:c r="AO1145" s="604" t="inlineStr">
        <x:is>
          <x:t xml:space="preserve">RECEIVING_VALIDATED_EDGE、BUCKET_PRIOR_ONLY、INTENT_INTERPRETATION_ONLY、FFL_OPTIONAL、EXPERT_MARKET</x:t>
        </x:is>
      </x:c>
      <x:c r="AP1145" s="604" t="inlineStr">
        <x:is>
          <x:t xml:space="preserve">57f6808503420192d6d1</x:t>
        </x:is>
      </x:c>
      <x:c r="AQ1145" s="604" t="n">
        <x:v>3.25</x:v>
      </x:c>
      <x:c r="AR1145" s="604" t="n">
        <x:v>0.97</x:v>
      </x:c>
      <x:c r="AS1145" s="604" t="n">
        <x:v>3.25</x:v>
      </x:c>
      <x:c r="AT1145" s="604" t="n">
        <x:v>-3.25</x:v>
      </x:c>
      <x:c r="AU1145" s="604" t="n">
        <x:v>0.85</x:v>
      </x:c>
      <x:c r="AV1145" s="604" t="n">
        <x:v>0.97</x:v>
      </x:c>
      <x:c r="AW1145" s="604" t="n">
        <x:v>46301.03159395833</x:v>
      </x:c>
      <x:c r="AX1145" s="604" t="inlineStr">
        <x:is>
          <x:t xml:space="preserve">https://simondongxiao.github.io/odds/v4/</x:t>
        </x:is>
      </x:c>
      <x:c r="AY1145" s="604" t="inlineStr">
        <x:is>
          <x:t xml:space="preserve">V4 Shadow Only；real_money=false；P(EV&gt;0)不是比赛胜率</x:t>
        </x:is>
      </x:c>
    </x:row>
    <x:row r="1146" ht="22" customHeight="1">
      <x:c r="A1146" s="604" t="inlineStr">
        <x:is>
          <x:t xml:space="preserve">2026-10-06</x:t>
        </x:is>
      </x:c>
      <x:c r="B1146" s="604" t="inlineStr">
        <x:is>
          <x:t xml:space="preserve">2026-10-07 01:00</x:t>
        </x:is>
      </x:c>
      <x:c r="C1146" s="604" t="str">
        <x:v>欧洲非五大系列</x:v>
      </x:c>
      <x:c r="D1146" s="604" t="inlineStr">
        <x:is>
          <x:t xml:space="preserve">联赛</x:t>
        </x:is>
      </x:c>
      <x:c r="E1146" s="604" t="inlineStr">
        <x:is>
          <x:t xml:space="preserve">欧青U21外</x:t>
        </x:is>
      </x:c>
      <x:c r="F1146" s="604" t="inlineStr">
        <x:is>
          <x:t xml:space="preserve">科索沃U21 vs 芬兰U21</x:t>
        </x:is>
      </x:c>
      <x:c r="G1146" s="604" t="n">
        <x:v>0.85</x:v>
      </x:c>
      <x:c r="H1146" s="604" t="n">
        <x:v>-0.75</x:v>
      </x:c>
      <x:c r="I1146" s="604" t="n">
        <x:v>0.97</x:v>
      </x:c>
      <x:c r="J1146" s="604" t="inlineStr">
        <x:is>
          <x:t xml:space="preserve">0.85/-0.75/0.97</x:t>
        </x:is>
      </x:c>
      <x:c r="K1146" s="604" t="inlineStr">
        <x:is>
          <x:t xml:space="preserve">V4-C｜EV +0.6142</x:t>
        </x:is>
      </x:c>
      <x:c r="L1146" s="604" t="inlineStr">
        <x:is>
          <x:t xml:space="preserve">科索沃U21</x:t>
        </x:is>
      </x:c>
      <x:c r="M1146" s="604" t="n">
        <x:v>0.8920867616965512</x:v>
      </x:c>
      <x:c r="N1146" s="604" t="inlineStr">
        <x:is>
          <x:t xml:space="preserve">V4纸面入选-C</x:t>
        </x:is>
      </x:c>
      <x:c r="O1146" s="604" t="inlineStr">
        <x:is>
          <x:t xml:space="preserve">4-4</x:t>
        </x:is>
      </x:c>
      <x:c r="P1146" s="604" t="inlineStr">
        <x:is>
          <x:t xml:space="preserve">已结算</x:t>
        </x:is>
      </x:c>
      <x:c r="Q1146" s="645" t="inlineStr">
        <x:is>
          <x:t xml:space="preserve">红</x:t>
        </x:is>
      </x:c>
      <x:c r="R1146" s="604" t="n">
        <x:v>0.85</x:v>
      </x:c>
      <x:c r="S1146" s="604" t="n">
        <x:f>IF(OR(Q1146="",Q1146="待结算"),"",IF(Q1146="红",R1146,IF(Q1146="半红",R1146*0.5,IF(Q1146="走",0,IF(Q1146="半黑",-0.5,-1)))))</x:f>
        <x:v>0.85</x:v>
      </x:c>
      <x:c r="T1146" s="604" t="inlineStr">
        <x:is>
          <x:t xml:space="preserve">https://m.titan007.com/analy/Analysis/2781230.htm</x:t>
        </x:is>
      </x:c>
      <x:c r="U1146" s="646" t="str">
        <x:f>IF(Q1146="","",IF(Q1146="待结算","待结算",IF(Q1146="红","黑",IF(Q1146="半红","半黑",IF(Q1146="走","走",IF(Q1146="半黑","半红","红"))))))</x:f>
        <x:v>黑</x:v>
      </x:c>
      <x:c r="V1146" s="604" t="n">
        <x:f>IF(OR(Q1146="",Q1146="待结算"),"",IF(L1146=LEFT(F1146,FIND(" vs ",F1146)-1),I1146,G1146))</x:f>
        <x:v>0.97</x:v>
      </x:c>
      <x:c r="W1146" s="604" t="n">
        <x:f>IF(OR(U1146="",U1146="待结算"),"",IF(U1146="红",V1146,IF(U1146="半红",V1146*0.5,IF(U1146="走",0,IF(U1146="半黑",-0.5,-1)))))</x:f>
        <x:v>-1</x:v>
      </x:c>
      <x:c r="X1146" s="604" t="inlineStr">
        <x:is>
          <x:t xml:space="preserve">2781230</x:t>
        </x:is>
      </x:c>
      <x:c r="Y1146" s="604" t="inlineStr">
        <x:is>
          <x:t xml:space="preserve">V4</x:t>
        </x:is>
      </x:c>
      <x:c r="Z1146" s="604" t="inlineStr">
        <x:is>
          <x:t xml:space="preserve">prior-2026-10-06-v1</x:t>
        </x:is>
      </x:c>
      <x:c r="AA1146" s="604" t="inlineStr">
        <x:is>
          <x:t xml:space="preserve">C</x:t>
        </x:is>
      </x:c>
      <x:c r="AB1146" s="604" t="n">
        <x:v>0.842545632122685</x:v>
      </x:c>
      <x:c r="AC1146" s="604" t="n"/>
      <x:c r="AD1146" s="604" t="n"/>
      <x:c r="AE1146" s="604" t="n">
        <x:v>0.1110679626713663</x:v>
      </x:c>
      <x:c r="AF1146" s="604" t="n">
        <x:v>0.04638640520594876</x:v>
      </x:c>
      <x:c r="AG1146" s="604" t="n">
        <x:v>0.6142434007626503</x:v>
      </x:c>
      <x:c r="AH1146" s="604" t="n"/>
      <x:c r="AI1146" s="604" t="n"/>
      <x:c r="AJ1146" s="604" t="n">
        <x:v>0.6142434007626503</x:v>
      </x:c>
      <x:c r="AK1146" s="604" t="n"/>
      <x:c r="AL1146" s="604" t="n"/>
      <x:c r="AM1146" s="604" t="n"/>
      <x:c r="AN1146" s="604" t="inlineStr">
        <x:is>
          <x:t xml:space="preserve">EVALUATED</x:t>
        </x:is>
      </x:c>
      <x:c r="AO1146" s="604" t="inlineStr">
        <x:is>
          <x:t xml:space="preserve">RECEIVING_VALIDATED_EDGE、BUCKET_PRIOR_ONLY、INTENT_INTERPRETATION_ONLY、FFL_OPTIONAL、EXPERT_MARKET</x:t>
        </x:is>
      </x:c>
      <x:c r="AP1146" s="604" t="inlineStr">
        <x:is>
          <x:t xml:space="preserve">cb3a463d0db20cdafc66</x:t>
        </x:is>
      </x:c>
      <x:c r="AQ1146" s="604" t="n">
        <x:v>0.75</x:v>
      </x:c>
      <x:c r="AR1146" s="604" t="n">
        <x:v>0.85</x:v>
      </x:c>
      <x:c r="AS1146" s="604" t="n">
        <x:v>-0.75</x:v>
      </x:c>
      <x:c r="AT1146" s="604" t="n">
        <x:v>0.75</x:v>
      </x:c>
      <x:c r="AU1146" s="604" t="n">
        <x:v>0.85</x:v>
      </x:c>
      <x:c r="AV1146" s="604" t="n">
        <x:v>0.97</x:v>
      </x:c>
      <x:c r="AW1146" s="604" t="n">
        <x:v>46301.03159395833</x:v>
      </x:c>
      <x:c r="AX1146" s="604" t="inlineStr">
        <x:is>
          <x:t xml:space="preserve">https://simondongxiao.github.io/odds/v4/</x:t>
        </x:is>
      </x:c>
      <x:c r="AY1146" s="604" t="inlineStr">
        <x:is>
          <x:t xml:space="preserve">V4 Shadow Only；real_money=false；P(EV&gt;0)不是比赛胜率</x:t>
        </x:is>
      </x:c>
    </x:row>
    <x:row r="1147" ht="22" customHeight="1">
      <x:c r="A1147" s="604" t="inlineStr">
        <x:is>
          <x:t xml:space="preserve">2026-10-06</x:t>
        </x:is>
      </x:c>
      <x:c r="B1147" s="604" t="inlineStr">
        <x:is>
          <x:t xml:space="preserve">2026-10-07 01:00</x:t>
        </x:is>
      </x:c>
      <x:c r="C1147" s="604" t="str">
        <x:v>欧洲非五大系列</x:v>
      </x:c>
      <x:c r="D1147" s="604" t="inlineStr">
        <x:is>
          <x:t xml:space="preserve">联赛</x:t>
        </x:is>
      </x:c>
      <x:c r="E1147" s="604" t="inlineStr">
        <x:is>
          <x:t xml:space="preserve">欧青U21外</x:t>
        </x:is>
      </x:c>
      <x:c r="F1147" s="604" t="inlineStr">
        <x:is>
          <x:t xml:space="preserve">卢森堡U21 vs 爱沙尼亚U21</x:t>
        </x:is>
      </x:c>
      <x:c r="G1147" s="604" t="n">
        <x:v>0.92</x:v>
      </x:c>
      <x:c r="H1147" s="604" t="n">
        <x:v>0.75</x:v>
      </x:c>
      <x:c r="I1147" s="604" t="n">
        <x:v>0.9</x:v>
      </x:c>
      <x:c r="J1147" s="604" t="inlineStr">
        <x:is>
          <x:t xml:space="preserve">0.92/0.75/0.9</x:t>
        </x:is>
      </x:c>
      <x:c r="K1147" s="604" t="inlineStr">
        <x:is>
          <x:t xml:space="preserve">V4-C｜EV +0.0954</x:t>
        </x:is>
      </x:c>
      <x:c r="L1147" s="604" t="inlineStr">
        <x:is>
          <x:t xml:space="preserve">卢森堡U21</x:t>
        </x:is>
      </x:c>
      <x:c r="M1147" s="604" t="n">
        <x:v>0.5778169979115304</x:v>
      </x:c>
      <x:c r="N1147" s="604" t="inlineStr">
        <x:is>
          <x:t xml:space="preserve">V4纸面入选-C</x:t>
        </x:is>
      </x:c>
      <x:c r="O1147" s="604" t="inlineStr">
        <x:is>
          <x:t xml:space="preserve">3-0</x:t>
        </x:is>
      </x:c>
      <x:c r="P1147" s="604" t="inlineStr">
        <x:is>
          <x:t xml:space="preserve">已结算</x:t>
        </x:is>
      </x:c>
      <x:c r="Q1147" s="645" t="inlineStr">
        <x:is>
          <x:t xml:space="preserve">红</x:t>
        </x:is>
      </x:c>
      <x:c r="R1147" s="604" t="n">
        <x:v>0.92</x:v>
      </x:c>
      <x:c r="S1147" s="604" t="n">
        <x:f>IF(OR(Q1147="",Q1147="待结算"),"",IF(Q1147="红",R1147,IF(Q1147="半红",R1147*0.5,IF(Q1147="走",0,IF(Q1147="半黑",-0.5,-1)))))</x:f>
        <x:v>0.92</x:v>
      </x:c>
      <x:c r="T1147" s="604" t="inlineStr">
        <x:is>
          <x:t xml:space="preserve">https://m.titan007.com/analy/Analysis/2781288.htm</x:t>
        </x:is>
      </x:c>
      <x:c r="U1147" s="646" t="str">
        <x:f>IF(Q1147="","",IF(Q1147="待结算","待结算",IF(Q1147="红","黑",IF(Q1147="半红","半黑",IF(Q1147="走","走",IF(Q1147="半黑","半红","红"))))))</x:f>
        <x:v>黑</x:v>
      </x:c>
      <x:c r="V1147" s="604" t="n">
        <x:f>IF(OR(Q1147="",Q1147="待结算"),"",IF(L1147=LEFT(F1147,FIND(" vs ",F1147)-1),I1147,G1147))</x:f>
        <x:v>0.9</x:v>
      </x:c>
      <x:c r="W1147" s="604" t="n">
        <x:f>IF(OR(U1147="",U1147="待结算"),"",IF(U1147="红",V1147,IF(U1147="半红",V1147*0.5,IF(U1147="走",0,IF(U1147="半黑",-0.5,-1)))))</x:f>
        <x:v>-1</x:v>
      </x:c>
      <x:c r="X1147" s="604" t="inlineStr">
        <x:is>
          <x:t xml:space="preserve">2781288</x:t>
        </x:is>
      </x:c>
      <x:c r="Y1147" s="604" t="inlineStr">
        <x:is>
          <x:t xml:space="preserve">V4</x:t>
        </x:is>
      </x:c>
      <x:c r="Z1147" s="604" t="inlineStr">
        <x:is>
          <x:t xml:space="preserve">prior-2026-10-06-v1</x:t>
        </x:is>
      </x:c>
      <x:c r="AA1147" s="604" t="inlineStr">
        <x:is>
          <x:t xml:space="preserve">C</x:t>
        </x:is>
      </x:c>
      <x:c r="AB1147" s="604" t="n">
        <x:v>0.3758456756856272</x:v>
      </x:c>
      <x:c r="AC1147" s="604" t="n">
        <x:v>0.2560136219767458</x:v>
      </x:c>
      <x:c r="AD1147" s="604" t="n"/>
      <x:c r="AE1147" s="604" t="n"/>
      <x:c r="AF1147" s="604" t="n">
        <x:v>0.3681407023376271</x:v>
      </x:c>
      <x:c r="AG1147" s="604" t="n">
        <x:v>0.09540358540245297</x:v>
      </x:c>
      <x:c r="AH1147" s="604" t="n"/>
      <x:c r="AI1147" s="604" t="n"/>
      <x:c r="AJ1147" s="604" t="n">
        <x:v>0.09540358540245297</x:v>
      </x:c>
      <x:c r="AK1147" s="604" t="n"/>
      <x:c r="AL1147" s="604" t="n"/>
      <x:c r="AM1147" s="604" t="n"/>
      <x:c r="AN1147" s="604" t="inlineStr">
        <x:is>
          <x:t xml:space="preserve">EVALUATED</x:t>
        </x:is>
      </x:c>
      <x:c r="AO1147" s="604" t="inlineStr">
        <x:is>
          <x:t xml:space="preserve">GIVING_VALIDATED_EDGE、BUCKET_PRIOR_ONLY、INTENT_INTERPRETATION_ONLY、FFL_OPTIONAL、EXPERT_MARKET</x:t>
        </x:is>
      </x:c>
      <x:c r="AP1147" s="604" t="inlineStr">
        <x:is>
          <x:t xml:space="preserve">474b66a19e3336c0cce7</x:t>
        </x:is>
      </x:c>
      <x:c r="AQ1147" s="604" t="n">
        <x:v>-0.75</x:v>
      </x:c>
      <x:c r="AR1147" s="604" t="n">
        <x:v>0.92</x:v>
      </x:c>
      <x:c r="AS1147" s="604" t="n">
        <x:v>0.75</x:v>
      </x:c>
      <x:c r="AT1147" s="604" t="n">
        <x:v>-0.75</x:v>
      </x:c>
      <x:c r="AU1147" s="604" t="n">
        <x:v>0.92</x:v>
      </x:c>
      <x:c r="AV1147" s="604" t="n">
        <x:v>0.9</x:v>
      </x:c>
      <x:c r="AW1147" s="604" t="n">
        <x:v>46301.03159395833</x:v>
      </x:c>
      <x:c r="AX1147" s="604" t="inlineStr">
        <x:is>
          <x:t xml:space="preserve">https://simondongxiao.github.io/odds/v4/</x:t>
        </x:is>
      </x:c>
      <x:c r="AY1147" s="604" t="inlineStr">
        <x:is>
          <x:t xml:space="preserve">V4 Shadow Only；real_money=false；P(EV&gt;0)不是比赛胜率</x:t>
        </x:is>
      </x:c>
    </x:row>
    <x:row r="1148" ht="22" customHeight="1">
      <x:c r="A1148" s="604" t="inlineStr">
        <x:is>
          <x:t xml:space="preserve">2026-10-06</x:t>
        </x:is>
      </x:c>
      <x:c r="B1148" s="604" t="inlineStr">
        <x:is>
          <x:t xml:space="preserve">2026-10-07 01:00</x:t>
        </x:is>
      </x:c>
      <x:c r="C1148" s="604" t="str">
        <x:v>欧洲非五大系列</x:v>
      </x:c>
      <x:c r="D1148" s="604" t="inlineStr">
        <x:is>
          <x:t xml:space="preserve">联赛</x:t>
        </x:is>
      </x:c>
      <x:c r="E1148" s="604" t="inlineStr">
        <x:is>
          <x:t xml:space="preserve">欧青U21外</x:t>
        </x:is>
      </x:c>
      <x:c r="F1148" s="604" t="inlineStr">
        <x:is>
          <x:t xml:space="preserve">法国U21 vs 瑞士U21</x:t>
        </x:is>
      </x:c>
      <x:c r="G1148" s="604" t="n">
        <x:v>0.92</x:v>
      </x:c>
      <x:c r="H1148" s="604" t="n">
        <x:v>1</x:v>
      </x:c>
      <x:c r="I1148" s="604" t="n">
        <x:v>0.9</x:v>
      </x:c>
      <x:c r="J1148" s="604" t="inlineStr">
        <x:is>
          <x:t xml:space="preserve">0.92/1/0.9</x:t>
        </x:is>
      </x:c>
      <x:c r="K1148" s="604" t="inlineStr">
        <x:is>
          <x:t xml:space="preserve">V4-C｜EV +0.0940</x:t>
        </x:is>
      </x:c>
      <x:c r="L1148" s="604" t="inlineStr">
        <x:is>
          <x:t xml:space="preserve">法国U21</x:t>
        </x:is>
      </x:c>
      <x:c r="M1148" s="604" t="n">
        <x:v>0.5865697301936023</x:v>
      </x:c>
      <x:c r="N1148" s="604" t="inlineStr">
        <x:is>
          <x:t xml:space="preserve">V4纸面入选-C</x:t>
        </x:is>
      </x:c>
      <x:c r="O1148" s="604" t="inlineStr">
        <x:is>
          <x:t xml:space="preserve">7-1</x:t>
        </x:is>
      </x:c>
      <x:c r="P1148" s="604" t="inlineStr">
        <x:is>
          <x:t xml:space="preserve">已结算</x:t>
        </x:is>
      </x:c>
      <x:c r="Q1148" s="645" t="inlineStr">
        <x:is>
          <x:t xml:space="preserve">红</x:t>
        </x:is>
      </x:c>
      <x:c r="R1148" s="604" t="n">
        <x:v>0.92</x:v>
      </x:c>
      <x:c r="S1148" s="604" t="n">
        <x:f>IF(OR(Q1148="",Q1148="待结算"),"",IF(Q1148="红",R1148,IF(Q1148="半红",R1148*0.5,IF(Q1148="走",0,IF(Q1148="半黑",-0.5,-1)))))</x:f>
        <x:v>0.92</x:v>
      </x:c>
      <x:c r="T1148" s="604" t="inlineStr">
        <x:is>
          <x:t xml:space="preserve">https://m.titan007.com/analy/Analysis/2781289.htm</x:t>
        </x:is>
      </x:c>
      <x:c r="U1148" s="646" t="str">
        <x:f>IF(Q1148="","",IF(Q1148="待结算","待结算",IF(Q1148="红","黑",IF(Q1148="半红","半黑",IF(Q1148="走","走",IF(Q1148="半黑","半红","红"))))))</x:f>
        <x:v>黑</x:v>
      </x:c>
      <x:c r="V1148" s="604" t="n">
        <x:f>IF(OR(Q1148="",Q1148="待结算"),"",IF(L1148=LEFT(F1148,FIND(" vs ",F1148)-1),I1148,G1148))</x:f>
        <x:v>0.9</x:v>
      </x:c>
      <x:c r="W1148" s="604" t="n">
        <x:f>IF(OR(U1148="",U1148="待结算"),"",IF(U1148="红",V1148,IF(U1148="半红",V1148*0.5,IF(U1148="走",0,IF(U1148="半黑",-0.5,-1)))))</x:f>
        <x:v>-1</x:v>
      </x:c>
      <x:c r="X1148" s="604" t="inlineStr">
        <x:is>
          <x:t xml:space="preserve">2781289</x:t>
        </x:is>
      </x:c>
      <x:c r="Y1148" s="604" t="inlineStr">
        <x:is>
          <x:t xml:space="preserve">V4</x:t>
        </x:is>
      </x:c>
      <x:c r="Z1148" s="604" t="inlineStr">
        <x:is>
          <x:t xml:space="preserve">prior-2026-10-06-v1</x:t>
        </x:is>
      </x:c>
      <x:c r="AA1148" s="604" t="inlineStr">
        <x:is>
          <x:t xml:space="preserve">C</x:t>
        </x:is>
      </x:c>
      <x:c r="AB1148" s="604" t="n">
        <x:v>0.4368545609790708</x:v>
      </x:c>
      <x:c r="AC1148" s="604" t="n"/>
      <x:c r="AD1148" s="604" t="n">
        <x:v>0.255238484885875</x:v>
      </x:c>
      <x:c r="AE1148" s="604" t="n"/>
      <x:c r="AF1148" s="604" t="n">
        <x:v>0.3079069541350543</x:v>
      </x:c>
      <x:c r="AG1148" s="604" t="n">
        <x:v>0.09399924196569087</x:v>
      </x:c>
      <x:c r="AH1148" s="604" t="n"/>
      <x:c r="AI1148" s="604" t="n"/>
      <x:c r="AJ1148" s="604" t="n">
        <x:v>0.09399924196569087</x:v>
      </x:c>
      <x:c r="AK1148" s="604" t="n"/>
      <x:c r="AL1148" s="604" t="n"/>
      <x:c r="AM1148" s="604" t="n"/>
      <x:c r="AN1148" s="604" t="inlineStr">
        <x:is>
          <x:t xml:space="preserve">EVALUATED</x:t>
        </x:is>
      </x:c>
      <x:c r="AO1148" s="604" t="inlineStr">
        <x:is>
          <x:t xml:space="preserve">GIVING_VALIDATED_EDGE、BUCKET_PRIOR_ONLY、INTENT_INTERPRETATION_ONLY、FFL_OPTIONAL、EXPERT_MARKET</x:t>
        </x:is>
      </x:c>
      <x:c r="AP1148" s="604" t="inlineStr">
        <x:is>
          <x:t xml:space="preserve">7d6f643c1cb15eba3d0a</x:t>
        </x:is>
      </x:c>
      <x:c r="AQ1148" s="604" t="n">
        <x:v>-1</x:v>
      </x:c>
      <x:c r="AR1148" s="604" t="n">
        <x:v>0.92</x:v>
      </x:c>
      <x:c r="AS1148" s="604" t="n">
        <x:v>1</x:v>
      </x:c>
      <x:c r="AT1148" s="604" t="n">
        <x:v>-1</x:v>
      </x:c>
      <x:c r="AU1148" s="604" t="n">
        <x:v>0.92</x:v>
      </x:c>
      <x:c r="AV1148" s="604" t="n">
        <x:v>0.9</x:v>
      </x:c>
      <x:c r="AW1148" s="604" t="n">
        <x:v>46301.03159395833</x:v>
      </x:c>
      <x:c r="AX1148" s="604" t="inlineStr">
        <x:is>
          <x:t xml:space="preserve">https://simondongxiao.github.io/odds/v4/</x:t>
        </x:is>
      </x:c>
      <x:c r="AY1148" s="604" t="inlineStr">
        <x:is>
          <x:t xml:space="preserve">V4 Shadow Only；real_money=false；P(EV&gt;0)不是比赛胜率</x:t>
        </x:is>
      </x:c>
    </x:row>
    <x:row r="1149" ht="22" customHeight="1">
      <x:c r="A1149" s="604" t="inlineStr">
        <x:is>
          <x:t xml:space="preserve">2026-10-06</x:t>
        </x:is>
      </x:c>
      <x:c r="B1149" s="604" t="inlineStr">
        <x:is>
          <x:t xml:space="preserve">2026-10-07 01:00</x:t>
        </x:is>
      </x:c>
      <x:c r="C1149" s="604" t="str">
        <x:v>欧洲非五大系列</x:v>
      </x:c>
      <x:c r="D1149" s="604" t="inlineStr">
        <x:is>
          <x:t xml:space="preserve">联赛</x:t>
        </x:is>
      </x:c>
      <x:c r="E1149" s="604" t="inlineStr">
        <x:is>
          <x:t xml:space="preserve">欧青U21外</x:t>
        </x:is>
      </x:c>
      <x:c r="F1149" s="604" t="inlineStr">
        <x:is>
          <x:t xml:space="preserve">法罗群岛U21 vs 冰岛U21</x:t>
        </x:is>
      </x:c>
      <x:c r="G1149" s="604" t="n">
        <x:v>0.84</x:v>
      </x:c>
      <x:c r="H1149" s="604" t="n">
        <x:v>-1.5</x:v>
      </x:c>
      <x:c r="I1149" s="604" t="n">
        <x:v>0.98</x:v>
      </x:c>
      <x:c r="J1149" s="604" t="inlineStr">
        <x:is>
          <x:t xml:space="preserve">0.84/-1.5/0.98</x:t>
        </x:is>
      </x:c>
      <x:c r="K1149" s="604" t="inlineStr">
        <x:is>
          <x:t xml:space="preserve">V4-C｜EV +0.8349</x:t>
        </x:is>
      </x:c>
      <x:c r="L1149" s="604" t="inlineStr">
        <x:is>
          <x:t xml:space="preserve">法罗群岛U21</x:t>
        </x:is>
      </x:c>
      <x:c r="M1149" s="604" t="n">
        <x:v>0.9972551049650912</x:v>
      </x:c>
      <x:c r="N1149" s="604" t="inlineStr">
        <x:is>
          <x:t xml:space="preserve">V4纸面入选-C</x:t>
        </x:is>
      </x:c>
      <x:c r="O1149" s="604" t="inlineStr">
        <x:is>
          <x:t xml:space="preserve">0-2</x:t>
        </x:is>
      </x:c>
      <x:c r="P1149" s="604" t="inlineStr">
        <x:is>
          <x:t xml:space="preserve">已结算</x:t>
        </x:is>
      </x:c>
      <x:c r="Q1149" s="646" t="inlineStr">
        <x:is>
          <x:t xml:space="preserve">黑</x:t>
        </x:is>
      </x:c>
      <x:c r="R1149" s="604" t="n">
        <x:v>0.84</x:v>
      </x:c>
      <x:c r="S1149" s="604" t="n">
        <x:f>IF(OR(Q1149="",Q1149="待结算"),"",IF(Q1149="红",R1149,IF(Q1149="半红",R1149*0.5,IF(Q1149="走",0,IF(Q1149="半黑",-0.5,-1)))))</x:f>
        <x:v>-1</x:v>
      </x:c>
      <x:c r="T1149" s="604" t="inlineStr">
        <x:is>
          <x:t xml:space="preserve">https://m.titan007.com/analy/Analysis/2781290.htm</x:t>
        </x:is>
      </x:c>
      <x:c r="U1149" s="645" t="str">
        <x:f>IF(Q1149="","",IF(Q1149="待结算","待结算",IF(Q1149="红","黑",IF(Q1149="半红","半黑",IF(Q1149="走","走",IF(Q1149="半黑","半红","红"))))))</x:f>
        <x:v>红</x:v>
      </x:c>
      <x:c r="V1149" s="604" t="n">
        <x:f>IF(OR(Q1149="",Q1149="待结算"),"",IF(L1149=LEFT(F1149,FIND(" vs ",F1149)-1),I1149,G1149))</x:f>
        <x:v>0.98</x:v>
      </x:c>
      <x:c r="W1149" s="604" t="n">
        <x:f>IF(OR(U1149="",U1149="待结算"),"",IF(U1149="红",V1149,IF(U1149="半红",V1149*0.5,IF(U1149="走",0,IF(U1149="半黑",-0.5,-1)))))</x:f>
        <x:v>0.98</x:v>
      </x:c>
      <x:c r="X1149" s="604" t="inlineStr">
        <x:is>
          <x:t xml:space="preserve">2781290</x:t>
        </x:is>
      </x:c>
      <x:c r="Y1149" s="604" t="inlineStr">
        <x:is>
          <x:t xml:space="preserve">V4</x:t>
        </x:is>
      </x:c>
      <x:c r="Z1149" s="604" t="inlineStr">
        <x:is>
          <x:t xml:space="preserve">prior-2026-10-06-v1</x:t>
        </x:is>
      </x:c>
      <x:c r="AA1149" s="604" t="inlineStr">
        <x:is>
          <x:t xml:space="preserve">C</x:t>
        </x:is>
      </x:c>
      <x:c r="AB1149" s="604" t="n">
        <x:v>0.9972551049650912</x:v>
      </x:c>
      <x:c r="AC1149" s="604" t="n"/>
      <x:c r="AD1149" s="604" t="n"/>
      <x:c r="AE1149" s="604" t="n"/>
      <x:c r="AF1149" s="604" t="n">
        <x:v>0.002744895034908847</x:v>
      </x:c>
      <x:c r="AG1149" s="604" t="n">
        <x:v>0.8349493931357678</x:v>
      </x:c>
      <x:c r="AH1149" s="604" t="n"/>
      <x:c r="AI1149" s="604" t="n"/>
      <x:c r="AJ1149" s="604" t="n">
        <x:v>0.8349493931357678</x:v>
      </x:c>
      <x:c r="AK1149" s="604" t="n"/>
      <x:c r="AL1149" s="604" t="n"/>
      <x:c r="AM1149" s="604" t="n"/>
      <x:c r="AN1149" s="604" t="inlineStr">
        <x:is>
          <x:t xml:space="preserve">EVALUATED</x:t>
        </x:is>
      </x:c>
      <x:c r="AO1149" s="604" t="inlineStr">
        <x:is>
          <x:t xml:space="preserve">RECEIVING_VALIDATED_EDGE、BUCKET_PRIOR_ONLY、INTENT_INTERPRETATION_ONLY、FFL_OPTIONAL、EXPERT_MARKET</x:t>
        </x:is>
      </x:c>
      <x:c r="AP1149" s="604" t="inlineStr">
        <x:is>
          <x:t xml:space="preserve">4d58bfb7cb1fcd5f5056</x:t>
        </x:is>
      </x:c>
      <x:c r="AQ1149" s="604" t="n">
        <x:v>1.5</x:v>
      </x:c>
      <x:c r="AR1149" s="604" t="n">
        <x:v>0.84</x:v>
      </x:c>
      <x:c r="AS1149" s="604" t="n">
        <x:v>-1.5</x:v>
      </x:c>
      <x:c r="AT1149" s="604" t="n">
        <x:v>1.5</x:v>
      </x:c>
      <x:c r="AU1149" s="604" t="n">
        <x:v>0.84</x:v>
      </x:c>
      <x:c r="AV1149" s="604" t="n">
        <x:v>0.98</x:v>
      </x:c>
      <x:c r="AW1149" s="604" t="n">
        <x:v>46301.03159395833</x:v>
      </x:c>
      <x:c r="AX1149" s="604" t="inlineStr">
        <x:is>
          <x:t xml:space="preserve">https://simondongxiao.github.io/odds/v4/</x:t>
        </x:is>
      </x:c>
      <x:c r="AY1149" s="604" t="inlineStr">
        <x:is>
          <x:t xml:space="preserve">V4 Shadow Only；real_money=false；P(EV&gt;0)不是比赛胜率</x:t>
        </x:is>
      </x:c>
    </x:row>
    <x:row r="1150" ht="22" customHeight="1">
      <x:c r="A1150" s="604" t="inlineStr">
        <x:is>
          <x:t xml:space="preserve">2026-10-06</x:t>
        </x:is>
      </x:c>
      <x:c r="B1150" s="604" t="inlineStr">
        <x:is>
          <x:t xml:space="preserve">2026-10-07 01:00</x:t>
        </x:is>
      </x:c>
      <x:c r="C1150" s="604" t="str">
        <x:v>欧洲非五大系列</x:v>
      </x:c>
      <x:c r="D1150" s="604" t="inlineStr">
        <x:is>
          <x:t xml:space="preserve">联赛</x:t>
        </x:is>
      </x:c>
      <x:c r="E1150" s="604" t="inlineStr">
        <x:is>
          <x:t xml:space="preserve">欧青U21外</x:t>
        </x:is>
      </x:c>
      <x:c r="F1150" s="604" t="inlineStr">
        <x:is>
          <x:t xml:space="preserve">立陶宛U21 vs 克罗地亚U21</x:t>
        </x:is>
      </x:c>
      <x:c r="G1150" s="604" t="n">
        <x:v>0.91</x:v>
      </x:c>
      <x:c r="H1150" s="604" t="n">
        <x:v>-1.75</x:v>
      </x:c>
      <x:c r="I1150" s="604" t="n">
        <x:v>0.91</x:v>
      </x:c>
      <x:c r="J1150" s="604" t="inlineStr">
        <x:is>
          <x:t xml:space="preserve">0.91/-1.75/0.91</x:t>
        </x:is>
      </x:c>
      <x:c r="K1150" s="604" t="inlineStr">
        <x:is>
          <x:t xml:space="preserve">V4-C｜EV +0.9096</x:t>
        </x:is>
      </x:c>
      <x:c r="L1150" s="604" t="inlineStr">
        <x:is>
          <x:t xml:space="preserve">立陶宛U21</x:t>
        </x:is>
      </x:c>
      <x:c r="M1150" s="604" t="n">
        <x:v>0.9998473482847341</x:v>
      </x:c>
      <x:c r="N1150" s="604" t="inlineStr">
        <x:is>
          <x:t xml:space="preserve">V4纸面入选-C</x:t>
        </x:is>
      </x:c>
      <x:c r="O1150" s="604" t="inlineStr">
        <x:is>
          <x:t xml:space="preserve">0-1</x:t>
        </x:is>
      </x:c>
      <x:c r="P1150" s="604" t="inlineStr">
        <x:is>
          <x:t xml:space="preserve">已结算</x:t>
        </x:is>
      </x:c>
      <x:c r="Q1150" s="645" t="inlineStr">
        <x:is>
          <x:t xml:space="preserve">红</x:t>
        </x:is>
      </x:c>
      <x:c r="R1150" s="604" t="n">
        <x:v>0.91</x:v>
      </x:c>
      <x:c r="S1150" s="604" t="n">
        <x:f>IF(OR(Q1150="",Q1150="待结算"),"",IF(Q1150="红",R1150,IF(Q1150="半红",R1150*0.5,IF(Q1150="走",0,IF(Q1150="半黑",-0.5,-1)))))</x:f>
        <x:v>0.91</x:v>
      </x:c>
      <x:c r="T1150" s="604" t="inlineStr">
        <x:is>
          <x:t xml:space="preserve">https://m.titan007.com/analy/Analysis/2781389.htm</x:t>
        </x:is>
      </x:c>
      <x:c r="U1150" s="646" t="str">
        <x:f>IF(Q1150="","",IF(Q1150="待结算","待结算",IF(Q1150="红","黑",IF(Q1150="半红","半黑",IF(Q1150="走","走",IF(Q1150="半黑","半红","红"))))))</x:f>
        <x:v>黑</x:v>
      </x:c>
      <x:c r="V1150" s="604" t="n">
        <x:f>IF(OR(Q1150="",Q1150="待结算"),"",IF(L1150=LEFT(F1150,FIND(" vs ",F1150)-1),I1150,G1150))</x:f>
        <x:v>0.91</x:v>
      </x:c>
      <x:c r="W1150" s="604" t="n">
        <x:f>IF(OR(U1150="",U1150="待结算"),"",IF(U1150="红",V1150,IF(U1150="半红",V1150*0.5,IF(U1150="走",0,IF(U1150="半黑",-0.5,-1)))))</x:f>
        <x:v>-1</x:v>
      </x:c>
      <x:c r="X1150" s="604" t="inlineStr">
        <x:is>
          <x:t xml:space="preserve">2781389</x:t>
        </x:is>
      </x:c>
      <x:c r="Y1150" s="604" t="inlineStr">
        <x:is>
          <x:t xml:space="preserve">V4</x:t>
        </x:is>
      </x:c>
      <x:c r="Z1150" s="604" t="inlineStr">
        <x:is>
          <x:t xml:space="preserve">prior-2026-10-06-v1</x:t>
        </x:is>
      </x:c>
      <x:c r="AA1150" s="604" t="inlineStr">
        <x:is>
          <x:t xml:space="preserve">C</x:t>
        </x:is>
      </x:c>
      <x:c r="AB1150" s="604" t="n">
        <x:v>0.9997033814331137</x:v>
      </x:c>
      <x:c r="AC1150" s="604" t="n"/>
      <x:c r="AD1150" s="604" t="n"/>
      <x:c r="AE1150" s="604" t="n">
        <x:v>0.0002879776635253629</x:v>
      </x:c>
      <x:c r="AF1150" s="604" t="n">
        <x:v>8.640903361039024e-06</x:v>
      </x:c>
      <x:c r="AG1150" s="604" t="n">
        <x:v>0.9095774473690097</x:v>
      </x:c>
      <x:c r="AH1150" s="604" t="n"/>
      <x:c r="AI1150" s="604" t="n"/>
      <x:c r="AJ1150" s="604" t="n">
        <x:v>0.9095774473690097</x:v>
      </x:c>
      <x:c r="AK1150" s="604" t="n"/>
      <x:c r="AL1150" s="604" t="n"/>
      <x:c r="AM1150" s="604" t="n"/>
      <x:c r="AN1150" s="604" t="inlineStr">
        <x:is>
          <x:t xml:space="preserve">EVALUATED</x:t>
        </x:is>
      </x:c>
      <x:c r="AO1150" s="604" t="inlineStr">
        <x:is>
          <x:t xml:space="preserve">RECEIVING_VALIDATED_EDGE、BUCKET_PRIOR_ONLY、INTENT_INTERPRETATION_ONLY、FFL_OPTIONAL、EXPERT_MARKET</x:t>
        </x:is>
      </x:c>
      <x:c r="AP1150" s="604" t="inlineStr">
        <x:is>
          <x:t xml:space="preserve">382ce5929ec7fd0d4607</x:t>
        </x:is>
      </x:c>
      <x:c r="AQ1150" s="604" t="n">
        <x:v>1.75</x:v>
      </x:c>
      <x:c r="AR1150" s="604" t="n">
        <x:v>0.91</x:v>
      </x:c>
      <x:c r="AS1150" s="604" t="n">
        <x:v>-1.75</x:v>
      </x:c>
      <x:c r="AT1150" s="604" t="n">
        <x:v>1.75</x:v>
      </x:c>
      <x:c r="AU1150" s="604" t="n">
        <x:v>0.91</x:v>
      </x:c>
      <x:c r="AV1150" s="604" t="n">
        <x:v>0.91</x:v>
      </x:c>
      <x:c r="AW1150" s="604" t="n">
        <x:v>46301.03159395833</x:v>
      </x:c>
      <x:c r="AX1150" s="604" t="inlineStr">
        <x:is>
          <x:t xml:space="preserve">https://simondongxiao.github.io/odds/v4/</x:t>
        </x:is>
      </x:c>
      <x:c r="AY1150" s="604" t="inlineStr">
        <x:is>
          <x:t xml:space="preserve">V4 Shadow Only；real_money=false；P(EV&gt;0)不是比赛胜率</x:t>
        </x:is>
      </x:c>
    </x:row>
    <x:row r="1151" ht="22" customHeight="1">
      <x:c r="A1151" s="604" t="inlineStr">
        <x:is>
          <x:t xml:space="preserve">2026-10-06</x:t>
        </x:is>
      </x:c>
      <x:c r="B1151" s="604" t="inlineStr">
        <x:is>
          <x:t xml:space="preserve">2026-10-07 01:00</x:t>
        </x:is>
      </x:c>
      <x:c r="C1151" s="604" t="str">
        <x:v>欧洲非五大系列</x:v>
      </x:c>
      <x:c r="D1151" s="604" t="inlineStr">
        <x:is>
          <x:t xml:space="preserve">联赛</x:t>
        </x:is>
      </x:c>
      <x:c r="E1151" s="604" t="inlineStr">
        <x:is>
          <x:t xml:space="preserve">欧青U21外</x:t>
        </x:is>
      </x:c>
      <x:c r="F1151" s="604" t="inlineStr">
        <x:is>
          <x:t xml:space="preserve">土耳其U21 vs 匈牙利U21</x:t>
        </x:is>
      </x:c>
      <x:c r="G1151" s="604" t="n">
        <x:v>0.91</x:v>
      </x:c>
      <x:c r="H1151" s="604" t="n">
        <x:v>1.25</x:v>
      </x:c>
      <x:c r="I1151" s="604" t="n">
        <x:v>0.91</x:v>
      </x:c>
      <x:c r="J1151" s="604" t="inlineStr">
        <x:is>
          <x:t xml:space="preserve">0.91/1.25/0.91</x:t>
        </x:is>
      </x:c>
      <x:c r="K1151" s="604" t="inlineStr">
        <x:is>
          <x:t xml:space="preserve">V4-C｜EV +0.1469</x:t>
        </x:is>
      </x:c>
      <x:c r="L1151" s="604" t="inlineStr">
        <x:is>
          <x:t xml:space="preserve">土耳其U21</x:t>
        </x:is>
      </x:c>
      <x:c r="M1151" s="604" t="n">
        <x:v>0.6112035041979972</x:v>
      </x:c>
      <x:c r="N1151" s="604" t="inlineStr">
        <x:is>
          <x:t xml:space="preserve">V4纸面入选-C</x:t>
        </x:is>
      </x:c>
      <x:c r="O1151" s="604" t="inlineStr">
        <x:is>
          <x:t xml:space="preserve">0-0</x:t>
        </x:is>
      </x:c>
      <x:c r="P1151" s="604" t="inlineStr">
        <x:is>
          <x:t xml:space="preserve">已结算</x:t>
        </x:is>
      </x:c>
      <x:c r="Q1151" s="646" t="inlineStr">
        <x:is>
          <x:t xml:space="preserve">黑</x:t>
        </x:is>
      </x:c>
      <x:c r="R1151" s="604" t="n">
        <x:v>0.91</x:v>
      </x:c>
      <x:c r="S1151" s="604" t="n">
        <x:f>IF(OR(Q1151="",Q1151="待结算"),"",IF(Q1151="红",R1151,IF(Q1151="半红",R1151*0.5,IF(Q1151="走",0,IF(Q1151="半黑",-0.5,-1)))))</x:f>
        <x:v>-1</x:v>
      </x:c>
      <x:c r="T1151" s="604" t="inlineStr">
        <x:is>
          <x:t xml:space="preserve">https://m.titan007.com/analy/Analysis/2781390.htm</x:t>
        </x:is>
      </x:c>
      <x:c r="U1151" s="645" t="str">
        <x:f>IF(Q1151="","",IF(Q1151="待结算","待结算",IF(Q1151="红","黑",IF(Q1151="半红","半黑",IF(Q1151="走","走",IF(Q1151="半黑","半红","红"))))))</x:f>
        <x:v>红</x:v>
      </x:c>
      <x:c r="V1151" s="604" t="n">
        <x:f>IF(OR(Q1151="",Q1151="待结算"),"",IF(L1151=LEFT(F1151,FIND(" vs ",F1151)-1),I1151,G1151))</x:f>
        <x:v>0.91</x:v>
      </x:c>
      <x:c r="W1151" s="604" t="n">
        <x:f>IF(OR(U1151="",U1151="待结算"),"",IF(U1151="红",V1151,IF(U1151="半红",V1151*0.5,IF(U1151="走",0,IF(U1151="半黑",-0.5,-1)))))</x:f>
        <x:v>0.91</x:v>
      </x:c>
      <x:c r="X1151" s="604" t="inlineStr">
        <x:is>
          <x:t xml:space="preserve">2781390</x:t>
        </x:is>
      </x:c>
      <x:c r="Y1151" s="604" t="inlineStr">
        <x:is>
          <x:t xml:space="preserve">V4</x:t>
        </x:is>
      </x:c>
      <x:c r="Z1151" s="604" t="inlineStr">
        <x:is>
          <x:t xml:space="preserve">prior-2026-10-06-v1</x:t>
        </x:is>
      </x:c>
      <x:c r="AA1151" s="604" t="inlineStr">
        <x:is>
          <x:t xml:space="preserve">C</x:t>
        </x:is>
      </x:c>
      <x:c r="AB1151" s="604" t="n">
        <x:v>0.5363780596304405</x:v>
      </x:c>
      <x:c r="AC1151" s="604" t="n"/>
      <x:c r="AD1151" s="604" t="n"/>
      <x:c r="AE1151" s="604" t="n">
        <x:v>0.2448462551461986</x:v>
      </x:c>
      <x:c r="AF1151" s="604" t="n">
        <x:v>0.218775685223361</x:v>
      </x:c>
      <x:c r="AG1151" s="604" t="n">
        <x:v>0.1469052214672406</x:v>
      </x:c>
      <x:c r="AH1151" s="604" t="n"/>
      <x:c r="AI1151" s="604" t="n"/>
      <x:c r="AJ1151" s="604" t="n">
        <x:v>0.1469052214672406</x:v>
      </x:c>
      <x:c r="AK1151" s="604" t="n"/>
      <x:c r="AL1151" s="604" t="n"/>
      <x:c r="AM1151" s="604" t="n"/>
      <x:c r="AN1151" s="604" t="inlineStr">
        <x:is>
          <x:t xml:space="preserve">EVALUATED</x:t>
        </x:is>
      </x:c>
      <x:c r="AO1151" s="604" t="inlineStr">
        <x:is>
          <x:t xml:space="preserve">GIVING_VALIDATED_EDGE、BUCKET_PRIOR_ONLY、INTENT_INTERPRETATION_ONLY、FFL_OPTIONAL、EXPERT_MARKET</x:t>
        </x:is>
      </x:c>
      <x:c r="AP1151" s="604" t="inlineStr">
        <x:is>
          <x:t xml:space="preserve">cdc405ae8f1d83b4f023</x:t>
        </x:is>
      </x:c>
      <x:c r="AQ1151" s="604" t="n">
        <x:v>-1.25</x:v>
      </x:c>
      <x:c r="AR1151" s="604" t="n">
        <x:v>0.91</x:v>
      </x:c>
      <x:c r="AS1151" s="604" t="n">
        <x:v>1.25</x:v>
      </x:c>
      <x:c r="AT1151" s="604" t="n">
        <x:v>-1.25</x:v>
      </x:c>
      <x:c r="AU1151" s="604" t="n">
        <x:v>0.91</x:v>
      </x:c>
      <x:c r="AV1151" s="604" t="n">
        <x:v>0.91</x:v>
      </x:c>
      <x:c r="AW1151" s="604" t="n">
        <x:v>46301.03159395833</x:v>
      </x:c>
      <x:c r="AX1151" s="604" t="inlineStr">
        <x:is>
          <x:t xml:space="preserve">https://simondongxiao.github.io/odds/v4/</x:t>
        </x:is>
      </x:c>
      <x:c r="AY1151" s="604" t="inlineStr">
        <x:is>
          <x:t xml:space="preserve">V4 Shadow Only；real_money=false；P(EV&gt;0)不是比赛胜率</x:t>
        </x:is>
      </x:c>
    </x:row>
    <x:row r="1152" ht="22" customHeight="1">
      <x:c r="A1152" s="604" t="inlineStr">
        <x:is>
          <x:t xml:space="preserve">2026-10-06</x:t>
        </x:is>
      </x:c>
      <x:c r="B1152" s="604" t="inlineStr">
        <x:is>
          <x:t xml:space="preserve">2026-10-07 01:00</x:t>
        </x:is>
      </x:c>
      <x:c r="C1152" s="604" t="str">
        <x:v>欧洲非五大系列</x:v>
      </x:c>
      <x:c r="D1152" s="604" t="inlineStr">
        <x:is>
          <x:t xml:space="preserve">联赛</x:t>
        </x:is>
      </x:c>
      <x:c r="E1152" s="604" t="inlineStr">
        <x:is>
          <x:t xml:space="preserve">欧青U21外</x:t>
        </x:is>
      </x:c>
      <x:c r="F1152" s="604" t="inlineStr">
        <x:is>
          <x:t xml:space="preserve">安道尔U21 vs 斯洛伐克U21</x:t>
        </x:is>
      </x:c>
      <x:c r="G1152" s="604" t="n">
        <x:v>0.92</x:v>
      </x:c>
      <x:c r="H1152" s="604" t="n">
        <x:v>-1.75</x:v>
      </x:c>
      <x:c r="I1152" s="604" t="n">
        <x:v>0.9</x:v>
      </x:c>
      <x:c r="J1152" s="604" t="inlineStr">
        <x:is>
          <x:t xml:space="preserve">0.92/-1.75/0.9</x:t>
        </x:is>
      </x:c>
      <x:c r="K1152" s="604" t="inlineStr">
        <x:is>
          <x:t xml:space="preserve">V4-C｜EV +0.9186</x:t>
        </x:is>
      </x:c>
      <x:c r="L1152" s="604" t="inlineStr">
        <x:is>
          <x:t xml:space="preserve">安道尔U21</x:t>
        </x:is>
      </x:c>
      <x:c r="M1152" s="604" t="n">
        <x:v>0.9994761576238619</x:v>
      </x:c>
      <x:c r="N1152" s="604" t="inlineStr">
        <x:is>
          <x:t xml:space="preserve">V4纸面入选-C</x:t>
        </x:is>
      </x:c>
      <x:c r="O1152" s="604" t="inlineStr">
        <x:is>
          <x:t xml:space="preserve">1-2</x:t>
        </x:is>
      </x:c>
      <x:c r="P1152" s="604" t="inlineStr">
        <x:is>
          <x:t xml:space="preserve">已结算</x:t>
        </x:is>
      </x:c>
      <x:c r="Q1152" s="645" t="inlineStr">
        <x:is>
          <x:t xml:space="preserve">红</x:t>
        </x:is>
      </x:c>
      <x:c r="R1152" s="604" t="n">
        <x:v>0.92</x:v>
      </x:c>
      <x:c r="S1152" s="604" t="n">
        <x:f>IF(OR(Q1152="",Q1152="待结算"),"",IF(Q1152="红",R1152,IF(Q1152="半红",R1152*0.5,IF(Q1152="走",0,IF(Q1152="半黑",-0.5,-1)))))</x:f>
        <x:v>0.92</x:v>
      </x:c>
      <x:c r="T1152" s="604" t="inlineStr">
        <x:is>
          <x:t xml:space="preserve">https://m.titan007.com/analy/Analysis/2781438.htm</x:t>
        </x:is>
      </x:c>
      <x:c r="U1152" s="646" t="str">
        <x:f>IF(Q1152="","",IF(Q1152="待结算","待结算",IF(Q1152="红","黑",IF(Q1152="半红","半黑",IF(Q1152="走","走",IF(Q1152="半黑","半红","红"))))))</x:f>
        <x:v>黑</x:v>
      </x:c>
      <x:c r="V1152" s="604" t="n">
        <x:f>IF(OR(Q1152="",Q1152="待结算"),"",IF(L1152=LEFT(F1152,FIND(" vs ",F1152)-1),I1152,G1152))</x:f>
        <x:v>0.9</x:v>
      </x:c>
      <x:c r="W1152" s="604" t="n">
        <x:f>IF(OR(U1152="",U1152="待结算"),"",IF(U1152="红",V1152,IF(U1152="半红",V1152*0.5,IF(U1152="走",0,IF(U1152="半黑",-0.5,-1)))))</x:f>
        <x:v>-1</x:v>
      </x:c>
      <x:c r="X1152" s="604" t="inlineStr">
        <x:is>
          <x:t xml:space="preserve">2781438</x:t>
        </x:is>
      </x:c>
      <x:c r="Y1152" s="604" t="inlineStr">
        <x:is>
          <x:t xml:space="preserve">V4</x:t>
        </x:is>
      </x:c>
      <x:c r="Z1152" s="604" t="inlineStr">
        <x:is>
          <x:t xml:space="preserve">prior-2026-10-06-v1</x:t>
        </x:is>
      </x:c>
      <x:c r="AA1152" s="604" t="inlineStr">
        <x:is>
          <x:t xml:space="preserve">C</x:t>
        </x:is>
      </x:c>
      <x:c r="AB1152" s="604" t="n">
        <x:v>0.9990030993676333</x:v>
      </x:c>
      <x:c r="AC1152" s="604" t="n"/>
      <x:c r="AD1152" s="604" t="n"/>
      <x:c r="AE1152" s="604" t="n">
        <x:v>0.0009466123881398966</x:v>
      </x:c>
      <x:c r="AF1152" s="604" t="n">
        <x:v>5.028824422682987e-05</x:v>
      </x:c>
      <x:c r="AG1152" s="604" t="n">
        <x:v>0.9185592569799259</x:v>
      </x:c>
      <x:c r="AH1152" s="604" t="n"/>
      <x:c r="AI1152" s="604" t="n"/>
      <x:c r="AJ1152" s="604" t="n">
        <x:v>0.9185592569799259</x:v>
      </x:c>
      <x:c r="AK1152" s="604" t="n"/>
      <x:c r="AL1152" s="604" t="n"/>
      <x:c r="AM1152" s="604" t="n"/>
      <x:c r="AN1152" s="604" t="inlineStr">
        <x:is>
          <x:t xml:space="preserve">EVALUATED</x:t>
        </x:is>
      </x:c>
      <x:c r="AO1152" s="604" t="inlineStr">
        <x:is>
          <x:t xml:space="preserve">RECEIVING_VALIDATED_EDGE、BUCKET_PRIOR_ONLY、INTENT_INTERPRETATION_ONLY、FFL_OPTIONAL、EXPERT_MARKET</x:t>
        </x:is>
      </x:c>
      <x:c r="AP1152" s="604" t="inlineStr">
        <x:is>
          <x:t xml:space="preserve">3042754371ae168f92ce</x:t>
        </x:is>
      </x:c>
      <x:c r="AQ1152" s="604" t="n">
        <x:v>1.75</x:v>
      </x:c>
      <x:c r="AR1152" s="604" t="n">
        <x:v>0.92</x:v>
      </x:c>
      <x:c r="AS1152" s="604" t="n">
        <x:v>-1.75</x:v>
      </x:c>
      <x:c r="AT1152" s="604" t="n">
        <x:v>1.75</x:v>
      </x:c>
      <x:c r="AU1152" s="604" t="n">
        <x:v>0.92</x:v>
      </x:c>
      <x:c r="AV1152" s="604" t="n">
        <x:v>0.9</x:v>
      </x:c>
      <x:c r="AW1152" s="604" t="n">
        <x:v>46301.03159395833</x:v>
      </x:c>
      <x:c r="AX1152" s="604" t="inlineStr">
        <x:is>
          <x:t xml:space="preserve">https://simondongxiao.github.io/odds/v4/</x:t>
        </x:is>
      </x:c>
      <x:c r="AY1152" s="604" t="inlineStr">
        <x:is>
          <x:t xml:space="preserve">V4 Shadow Only；real_money=false；P(EV&gt;0)不是比赛胜率</x:t>
        </x:is>
      </x:c>
    </x:row>
    <x:row r="1153" ht="22" customHeight="1">
      <x:c r="A1153" s="604" t="inlineStr">
        <x:is>
          <x:t xml:space="preserve">2026-10-06</x:t>
        </x:is>
      </x:c>
      <x:c r="B1153" s="604" t="inlineStr">
        <x:is>
          <x:t xml:space="preserve">2026-10-07 01:00</x:t>
        </x:is>
      </x:c>
      <x:c r="C1153" s="604" t="str">
        <x:v>欧洲非五大系列</x:v>
      </x:c>
      <x:c r="D1153" s="604" t="inlineStr">
        <x:is>
          <x:t xml:space="preserve">联赛</x:t>
        </x:is>
      </x:c>
      <x:c r="E1153" s="604" t="inlineStr">
        <x:is>
          <x:t xml:space="preserve">欧青U21外</x:t>
        </x:is>
      </x:c>
      <x:c r="F1153" s="604" t="inlineStr">
        <x:is>
          <x:t xml:space="preserve">爱尔兰U21 vs 英格兰U21</x:t>
        </x:is>
      </x:c>
      <x:c r="G1153" s="604" t="n">
        <x:v>0.87</x:v>
      </x:c>
      <x:c r="H1153" s="604" t="n">
        <x:v>-1</x:v>
      </x:c>
      <x:c r="I1153" s="604" t="n">
        <x:v>0.95</x:v>
      </x:c>
      <x:c r="J1153" s="604" t="inlineStr">
        <x:is>
          <x:t xml:space="preserve">0.87/-1/0.95</x:t>
        </x:is>
      </x:c>
      <x:c r="K1153" s="604" t="inlineStr">
        <x:is>
          <x:t xml:space="preserve">V4-C｜EV +0.7500</x:t>
        </x:is>
      </x:c>
      <x:c r="L1153" s="604" t="inlineStr">
        <x:is>
          <x:t xml:space="preserve">爱尔兰U21</x:t>
        </x:is>
      </x:c>
      <x:c r="M1153" s="604" t="n">
        <x:v>0.971179010221884</x:v>
      </x:c>
      <x:c r="N1153" s="604" t="inlineStr">
        <x:is>
          <x:t xml:space="preserve">V4纸面入选-C</x:t>
        </x:is>
      </x:c>
      <x:c r="O1153" s="604" t="inlineStr">
        <x:is>
          <x:t xml:space="preserve">3-1</x:t>
        </x:is>
      </x:c>
      <x:c r="P1153" s="604" t="inlineStr">
        <x:is>
          <x:t xml:space="preserve">已结算</x:t>
        </x:is>
      </x:c>
      <x:c r="Q1153" s="645" t="inlineStr">
        <x:is>
          <x:t xml:space="preserve">红</x:t>
        </x:is>
      </x:c>
      <x:c r="R1153" s="604" t="n">
        <x:v>0.87</x:v>
      </x:c>
      <x:c r="S1153" s="604" t="n">
        <x:f>IF(OR(Q1153="",Q1153="待结算"),"",IF(Q1153="红",R1153,IF(Q1153="半红",R1153*0.5,IF(Q1153="走",0,IF(Q1153="半黑",-0.5,-1)))))</x:f>
        <x:v>0.87</x:v>
      </x:c>
      <x:c r="T1153" s="604" t="inlineStr">
        <x:is>
          <x:t xml:space="preserve">https://m.titan007.com/analy/Analysis/2781440.htm</x:t>
        </x:is>
      </x:c>
      <x:c r="U1153" s="646" t="str">
        <x:f>IF(Q1153="","",IF(Q1153="待结算","待结算",IF(Q1153="红","黑",IF(Q1153="半红","半黑",IF(Q1153="走","走",IF(Q1153="半黑","半红","红"))))))</x:f>
        <x:v>黑</x:v>
      </x:c>
      <x:c r="V1153" s="604" t="n">
        <x:f>IF(OR(Q1153="",Q1153="待结算"),"",IF(L1153=LEFT(F1153,FIND(" vs ",F1153)-1),I1153,G1153))</x:f>
        <x:v>0.95</x:v>
      </x:c>
      <x:c r="W1153" s="604" t="n">
        <x:f>IF(OR(U1153="",U1153="待结算"),"",IF(U1153="红",V1153,IF(U1153="半红",V1153*0.5,IF(U1153="走",0,IF(U1153="半黑",-0.5,-1)))))</x:f>
        <x:v>-1</x:v>
      </x:c>
      <x:c r="X1153" s="604" t="inlineStr">
        <x:is>
          <x:t xml:space="preserve">2781440</x:t>
        </x:is>
      </x:c>
      <x:c r="Y1153" s="604" t="inlineStr">
        <x:is>
          <x:t xml:space="preserve">V4</x:t>
        </x:is>
      </x:c>
      <x:c r="Z1153" s="604" t="inlineStr">
        <x:is>
          <x:t xml:space="preserve">prior-2026-10-06-v1</x:t>
        </x:is>
      </x:c>
      <x:c r="AA1153" s="604" t="inlineStr">
        <x:is>
          <x:t xml:space="preserve">C</x:t>
        </x:is>
      </x:c>
      <x:c r="AB1153" s="604" t="n">
        <x:v>0.8924894771437296</x:v>
      </x:c>
      <x:c r="AC1153" s="604" t="n"/>
      <x:c r="AD1153" s="604" t="n">
        <x:v>0.0810247464678797</x:v>
      </x:c>
      <x:c r="AE1153" s="604" t="n"/>
      <x:c r="AF1153" s="604" t="n">
        <x:v>0.02648577638839075</x:v>
      </x:c>
      <x:c r="AG1153" s="604" t="n">
        <x:v>0.749980068726654</x:v>
      </x:c>
      <x:c r="AH1153" s="604" t="n"/>
      <x:c r="AI1153" s="604" t="n"/>
      <x:c r="AJ1153" s="604" t="n">
        <x:v>0.749980068726654</x:v>
      </x:c>
      <x:c r="AK1153" s="604" t="n"/>
      <x:c r="AL1153" s="604" t="n"/>
      <x:c r="AM1153" s="604" t="n"/>
      <x:c r="AN1153" s="604" t="inlineStr">
        <x:is>
          <x:t xml:space="preserve">EVALUATED</x:t>
        </x:is>
      </x:c>
      <x:c r="AO1153" s="604" t="inlineStr">
        <x:is>
          <x:t xml:space="preserve">RECEIVING_VALIDATED_EDGE、BUCKET_PRIOR_ONLY、INTENT_INTERPRETATION_ONLY、FFL_OPTIONAL、EXPERT_MARKET</x:t>
        </x:is>
      </x:c>
      <x:c r="AP1153" s="604" t="inlineStr">
        <x:is>
          <x:t xml:space="preserve">b906c0195217b065e57c</x:t>
        </x:is>
      </x:c>
      <x:c r="AQ1153" s="604" t="n">
        <x:v>1</x:v>
      </x:c>
      <x:c r="AR1153" s="604" t="n">
        <x:v>0.87</x:v>
      </x:c>
      <x:c r="AS1153" s="604" t="n">
        <x:v>-1</x:v>
      </x:c>
      <x:c r="AT1153" s="604" t="n">
        <x:v>1</x:v>
      </x:c>
      <x:c r="AU1153" s="604" t="n">
        <x:v>0.87</x:v>
      </x:c>
      <x:c r="AV1153" s="604" t="n">
        <x:v>0.95</x:v>
      </x:c>
      <x:c r="AW1153" s="604" t="n">
        <x:v>46301.03159395833</x:v>
      </x:c>
      <x:c r="AX1153" s="604" t="inlineStr">
        <x:is>
          <x:t xml:space="preserve">https://simondongxiao.github.io/odds/v4/</x:t>
        </x:is>
      </x:c>
      <x:c r="AY1153" s="604" t="inlineStr">
        <x:is>
          <x:t xml:space="preserve">V4 Shadow Only；real_money=false；P(EV&gt;0)不是比赛胜率</x:t>
        </x:is>
      </x:c>
    </x:row>
    <x:row r="1154" ht="22" customHeight="1">
      <x:c r="A1154" s="604" t="inlineStr">
        <x:is>
          <x:t xml:space="preserve">2026-10-06</x:t>
        </x:is>
      </x:c>
      <x:c r="B1154" s="604" t="inlineStr">
        <x:is>
          <x:t xml:space="preserve">2026-10-07 01:00</x:t>
        </x:is>
      </x:c>
      <x:c r="C1154" s="604" t="str">
        <x:v>南美系列</x:v>
      </x:c>
      <x:c r="D1154" s="604" t="inlineStr">
        <x:is>
          <x:t xml:space="preserve">联赛</x:t>
        </x:is>
      </x:c>
      <x:c r="E1154" s="604" t="inlineStr">
        <x:is>
          <x:t xml:space="preserve">阿丙曼特</x:t>
        </x:is>
      </x:c>
      <x:c r="F1154" s="604" t="inlineStr">
        <x:is>
          <x:t xml:space="preserve">卡拉普莱 vs 西班牙语体育会</x:t>
        </x:is>
      </x:c>
      <x:c r="G1154" s="604" t="n">
        <x:v>0.6899999999999999</x:v>
      </x:c>
      <x:c r="H1154" s="604" t="n">
        <x:v>0</x:v>
      </x:c>
      <x:c r="I1154" s="604" t="n">
        <x:v>1.01</x:v>
      </x:c>
      <x:c r="J1154" s="604" t="inlineStr">
        <x:is>
          <x:t xml:space="preserve">0.69/0/1.01</x:t>
        </x:is>
      </x:c>
      <x:c r="K1154" s="604" t="inlineStr">
        <x:is>
          <x:t xml:space="preserve">V4-C｜EV +0.0404</x:t>
        </x:is>
      </x:c>
      <x:c r="L1154" s="604" t="str"/>
      <x:c r="M1154" s="604" t="n">
        <x:v>0.3806984269371873</x:v>
      </x:c>
      <x:c r="N1154" s="604" t="inlineStr">
        <x:is>
          <x:t xml:space="preserve">V4纸面入选-C</x:t>
        </x:is>
      </x:c>
      <x:c r="O1154" s="604" t="inlineStr">
        <x:is>
          <x:t xml:space="preserve">1-1</x:t>
        </x:is>
      </x:c>
      <x:c r="P1154" s="604" t="inlineStr">
        <x:is>
          <x:t xml:space="preserve">已结算</x:t>
        </x:is>
      </x:c>
      <x:c r="Q1154" s="647" t="inlineStr">
        <x:is>
          <x:t xml:space="preserve">走</x:t>
        </x:is>
      </x:c>
      <x:c r="R1154" s="604" t="n">
        <x:v>1.01</x:v>
      </x:c>
      <x:c r="S1154" s="604" t="n">
        <x:f>IF(OR(Q1154="",Q1154="待结算"),"",IF(Q1154="红",R1154,IF(Q1154="半红",R1154*0.5,IF(Q1154="走",0,IF(Q1154="半黑",-0.5,-1)))))</x:f>
        <x:v>0</x:v>
      </x:c>
      <x:c r="T1154" s="604" t="inlineStr">
        <x:is>
          <x:t xml:space="preserve">https://m.titan007.com/analy/Analysis/2935305.htm</x:t>
        </x:is>
      </x:c>
      <x:c r="U1154" s="647" t="str">
        <x:f>IF(Q1154="","",IF(Q1154="待结算","待结算",IF(Q1154="红","黑",IF(Q1154="半红","半黑",IF(Q1154="走","走",IF(Q1154="半黑","半红","红"))))))</x:f>
        <x:v>走</x:v>
      </x:c>
      <x:c r="V1154" s="604" t="n">
        <x:f>IF(OR(Q1154="",Q1154="待结算"),"",IF(L1154=LEFT(F1154,FIND(" vs ",F1154)-1),I1154,G1154))</x:f>
        <x:v>0.69</x:v>
      </x:c>
      <x:c r="W1154" s="604" t="n">
        <x:f>IF(OR(U1154="",U1154="待结算"),"",IF(U1154="红",V1154,IF(U1154="半红",V1154*0.5,IF(U1154="走",0,IF(U1154="半黑",-0.5,-1)))))</x:f>
        <x:v>0</x:v>
      </x:c>
      <x:c r="X1154" s="604" t="inlineStr">
        <x:is>
          <x:t xml:space="preserve">2935305</x:t>
        </x:is>
      </x:c>
      <x:c r="Y1154" s="604" t="inlineStr">
        <x:is>
          <x:t xml:space="preserve">V4</x:t>
        </x:is>
      </x:c>
      <x:c r="Z1154" s="604" t="inlineStr">
        <x:is>
          <x:t xml:space="preserve">prior-2026-10-06-v1</x:t>
        </x:is>
      </x:c>
      <x:c r="AA1154" s="604" t="inlineStr">
        <x:is>
          <x:t xml:space="preserve">C</x:t>
        </x:is>
      </x:c>
      <x:c r="AB1154" s="604" t="n">
        <x:v>0.329970622956508</x:v>
      </x:c>
      <x:c r="AC1154" s="604" t="n"/>
      <x:c r="AD1154" s="604" t="n"/>
      <x:c r="AE1154" s="604" t="n">
        <x:v>0.2664986266888304</x:v>
      </x:c>
      <x:c r="AF1154" s="604" t="n">
        <x:v>0.4035307503546616</x:v>
      </x:c>
      <x:c r="AG1154" s="604" t="n">
        <x:v>0.04040762099585488</x:v>
      </x:c>
      <x:c r="AH1154" s="604" t="n"/>
      <x:c r="AI1154" s="604" t="n"/>
      <x:c r="AJ1154" s="604" t="n">
        <x:v>0.04040762099585488</x:v>
      </x:c>
      <x:c r="AK1154" s="604" t="n"/>
      <x:c r="AL1154" s="604" t="n"/>
      <x:c r="AM1154" s="604" t="n"/>
      <x:c r="AN1154" s="604" t="inlineStr">
        <x:is>
          <x:t xml:space="preserve">EVALUATED</x:t>
        </x:is>
      </x:c>
      <x:c r="AO1154" s="604" t="inlineStr">
        <x:is>
          <x:t xml:space="preserve">EDGE_BELOW_UNCERTAINTY_THRESHOLD、BUCKET_PRIOR_ONLY、INTENT_INTERPRETATION_ONLY、FFL_OPTIONAL、EXPERT_MARKET</x:t>
        </x:is>
      </x:c>
      <x:c r="AP1154" s="604" t="inlineStr">
        <x:is>
          <x:t xml:space="preserve">82aef74a6464c76d5ff0</x:t>
        </x:is>
      </x:c>
      <x:c r="AQ1154" s="604" t="n">
        <x:v>0</x:v>
      </x:c>
      <x:c r="AR1154" s="604" t="n"/>
      <x:c r="AS1154" s="604" t="n">
        <x:v>0</x:v>
      </x:c>
      <x:c r="AT1154" s="604" t="n">
        <x:v>0</x:v>
      </x:c>
      <x:c r="AU1154" s="604" t="n">
        <x:v>0.6899999999999999</x:v>
      </x:c>
      <x:c r="AV1154" s="604" t="n">
        <x:v>1.01</x:v>
      </x:c>
      <x:c r="AW1154" s="604" t="n">
        <x:v>46301.03159395833</x:v>
      </x:c>
      <x:c r="AX1154" s="604" t="inlineStr">
        <x:is>
          <x:t xml:space="preserve">https://simondongxiao.github.io/odds/v4/</x:t>
        </x:is>
      </x:c>
      <x:c r="AY1154" s="604" t="inlineStr">
        <x:is>
          <x:t xml:space="preserve">V4 Shadow Only；real_money=false；P(EV&gt;0)不是比赛胜率</x:t>
        </x:is>
      </x:c>
    </x:row>
    <x:row r="1155" ht="22" customHeight="1">
      <x:c r="A1155" s="604" t="inlineStr">
        <x:is>
          <x:t xml:space="preserve">2026-10-06</x:t>
        </x:is>
      </x:c>
      <x:c r="B1155" s="604" t="inlineStr">
        <x:is>
          <x:t xml:space="preserve">2026-10-07 01:00</x:t>
        </x:is>
      </x:c>
      <x:c r="C1155" s="604" t="str">
        <x:v>南美系列</x:v>
      </x:c>
      <x:c r="D1155" s="604" t="inlineStr">
        <x:is>
          <x:t xml:space="preserve">联赛</x:t>
        </x:is>
      </x:c>
      <x:c r="E1155" s="604" t="inlineStr">
        <x:is>
          <x:t xml:space="preserve">阿丙曼特</x:t>
        </x:is>
      </x:c>
      <x:c r="F1155" s="604" t="inlineStr">
        <x:is>
          <x:t xml:space="preserve">莱安阿拉姆 vs 西班牙语中央队</x:t>
        </x:is>
      </x:c>
      <x:c r="G1155" s="604" t="n">
        <x:v>0.85</x:v>
      </x:c>
      <x:c r="H1155" s="604" t="n">
        <x:v>-1.25</x:v>
      </x:c>
      <x:c r="I1155" s="604" t="n">
        <x:v>0.95</x:v>
      </x:c>
      <x:c r="J1155" s="604" t="inlineStr">
        <x:is>
          <x:t xml:space="preserve">0.85/-1.25/0.95</x:t>
        </x:is>
      </x:c>
      <x:c r="K1155" s="604" t="inlineStr">
        <x:is>
          <x:t xml:space="preserve">V4-B｜EV +0.8258</x:t>
        </x:is>
      </x:c>
      <x:c r="L1155" s="604" t="inlineStr">
        <x:is>
          <x:t xml:space="preserve">莱安阿拉姆</x:t>
        </x:is>
      </x:c>
      <x:c r="M1155" s="604" t="n">
        <x:v>0.9944773431069969</x:v>
      </x:c>
      <x:c r="N1155" s="604" t="inlineStr">
        <x:is>
          <x:t xml:space="preserve">V4纸面入选-B</x:t>
        </x:is>
      </x:c>
      <x:c r="O1155" s="604" t="inlineStr">
        <x:is>
          <x:t xml:space="preserve">1-5</x:t>
        </x:is>
      </x:c>
      <x:c r="P1155" s="604" t="inlineStr">
        <x:is>
          <x:t xml:space="preserve">已结算</x:t>
        </x:is>
      </x:c>
      <x:c r="Q1155" s="646" t="inlineStr">
        <x:is>
          <x:t xml:space="preserve">黑</x:t>
        </x:is>
      </x:c>
      <x:c r="R1155" s="604" t="n">
        <x:v>0.85</x:v>
      </x:c>
      <x:c r="S1155" s="604" t="n">
        <x:f>IF(OR(Q1155="",Q1155="待结算"),"",IF(Q1155="红",R1155,IF(Q1155="半红",R1155*0.5,IF(Q1155="走",0,IF(Q1155="半黑",-0.5,-1)))))</x:f>
        <x:v>-1</x:v>
      </x:c>
      <x:c r="T1155" s="604" t="inlineStr">
        <x:is>
          <x:t xml:space="preserve">https://m.titan007.com/analy/Analysis/2935312.htm</x:t>
        </x:is>
      </x:c>
      <x:c r="U1155" s="645" t="str">
        <x:f>IF(Q1155="","",IF(Q1155="待结算","待结算",IF(Q1155="红","黑",IF(Q1155="半红","半黑",IF(Q1155="走","走",IF(Q1155="半黑","半红","红"))))))</x:f>
        <x:v>红</x:v>
      </x:c>
      <x:c r="V1155" s="604" t="n">
        <x:f>IF(OR(Q1155="",Q1155="待结算"),"",IF(L1155=LEFT(F1155,FIND(" vs ",F1155)-1),I1155,G1155))</x:f>
        <x:v>0.95</x:v>
      </x:c>
      <x:c r="W1155" s="604" t="n">
        <x:f>IF(OR(U1155="",U1155="待结算"),"",IF(U1155="红",V1155,IF(U1155="半红",V1155*0.5,IF(U1155="走",0,IF(U1155="半黑",-0.5,-1)))))</x:f>
        <x:v>0.95</x:v>
      </x:c>
      <x:c r="X1155" s="604" t="inlineStr">
        <x:is>
          <x:t xml:space="preserve">2935312</x:t>
        </x:is>
      </x:c>
      <x:c r="Y1155" s="604" t="inlineStr">
        <x:is>
          <x:t xml:space="preserve">V4</x:t>
        </x:is>
      </x:c>
      <x:c r="Z1155" s="604" t="inlineStr">
        <x:is>
          <x:t xml:space="preserve">prior-2026-10-06-v1</x:t>
        </x:is>
      </x:c>
      <x:c r="AA1155" s="604" t="inlineStr">
        <x:is>
          <x:t xml:space="preserve">B</x:t>
        </x:is>
      </x:c>
      <x:c r="AB1155" s="604" t="n">
        <x:v>0.9612204991312399</x:v>
      </x:c>
      <x:c r="AC1155" s="604" t="n">
        <x:v>0.03334893132849491</x:v>
      </x:c>
      <x:c r="AD1155" s="604" t="n"/>
      <x:c r="AE1155" s="604" t="n"/>
      <x:c r="AF1155" s="604" t="n">
        <x:v>0.005430569540265278</x:v>
      </x:c>
      <x:c r="AG1155" s="604" t="n">
        <x:v>0.8257801505358989</x:v>
      </x:c>
      <x:c r="AH1155" s="604" t="n"/>
      <x:c r="AI1155" s="604" t="n"/>
      <x:c r="AJ1155" s="604" t="n">
        <x:v>0.8257801505358989</x:v>
      </x:c>
      <x:c r="AK1155" s="604" t="n"/>
      <x:c r="AL1155" s="604" t="n"/>
      <x:c r="AM1155" s="604" t="n"/>
      <x:c r="AN1155" s="604" t="inlineStr">
        <x:is>
          <x:t xml:space="preserve">EVALUATED</x:t>
        </x:is>
      </x:c>
      <x:c r="AO1155" s="604" t="inlineStr">
        <x:is>
          <x:t xml:space="preserve">RECEIVING_VALIDATED_EDGE、BUCKET_PRIOR_ONLY、INTENT_INTERPRETATION_ONLY、FFL_OPTIONAL、EXPERT_MARKET</x:t>
        </x:is>
      </x:c>
      <x:c r="AP1155" s="604" t="inlineStr">
        <x:is>
          <x:t xml:space="preserve">9673f2a8ff0629f1e8e4</x:t>
        </x:is>
      </x:c>
      <x:c r="AQ1155" s="604" t="n">
        <x:v>1.25</x:v>
      </x:c>
      <x:c r="AR1155" s="604" t="n">
        <x:v>0.85</x:v>
      </x:c>
      <x:c r="AS1155" s="604" t="n">
        <x:v>-1.25</x:v>
      </x:c>
      <x:c r="AT1155" s="604" t="n">
        <x:v>1.25</x:v>
      </x:c>
      <x:c r="AU1155" s="604" t="n">
        <x:v>0.85</x:v>
      </x:c>
      <x:c r="AV1155" s="604" t="n">
        <x:v>0.95</x:v>
      </x:c>
      <x:c r="AW1155" s="604" t="n">
        <x:v>46301.03159395833</x:v>
      </x:c>
      <x:c r="AX1155" s="604" t="inlineStr">
        <x:is>
          <x:t xml:space="preserve">https://simondongxiao.github.io/odds/v4/</x:t>
        </x:is>
      </x:c>
      <x:c r="AY1155" s="604" t="inlineStr">
        <x:is>
          <x:t xml:space="preserve">V4 Shadow Only；real_money=false；P(EV&gt;0)不是比赛胜率</x:t>
        </x:is>
      </x:c>
    </x:row>
    <x:row r="1156" ht="22" customHeight="1">
      <x:c r="A1156" s="604" t="inlineStr">
        <x:is>
          <x:t xml:space="preserve">2026-10-06</x:t>
        </x:is>
      </x:c>
      <x:c r="B1156" s="604" t="inlineStr">
        <x:is>
          <x:t xml:space="preserve">2026-10-07 01:00</x:t>
        </x:is>
      </x:c>
      <x:c r="C1156" s="604" t="str">
        <x:v>其他系列</x:v>
      </x:c>
      <x:c r="D1156" s="604" t="inlineStr">
        <x:is>
          <x:t xml:space="preserve">联赛</x:t>
        </x:is>
      </x:c>
      <x:c r="E1156" s="604" t="inlineStr">
        <x:is>
          <x:t xml:space="preserve">国际友谊</x:t>
        </x:is>
      </x:c>
      <x:c r="F1156" s="604" t="inlineStr">
        <x:is>
          <x:t xml:space="preserve">约旦 vs 委内瑞拉</x:t>
        </x:is>
      </x:c>
      <x:c r="G1156" s="604" t="n">
        <x:v>0.93</x:v>
      </x:c>
      <x:c r="H1156" s="604" t="n">
        <x:v>0</x:v>
      </x:c>
      <x:c r="I1156" s="604" t="n">
        <x:v>0.89</x:v>
      </x:c>
      <x:c r="J1156" s="604" t="inlineStr">
        <x:is>
          <x:t xml:space="preserve">0.93/0/0.89</x:t>
        </x:is>
      </x:c>
      <x:c r="K1156" s="604" t="inlineStr">
        <x:is>
          <x:t xml:space="preserve">V4-C｜EV +0.0460</x:t>
        </x:is>
      </x:c>
      <x:c r="L1156" s="604" t="str"/>
      <x:c r="M1156" s="604" t="n">
        <x:v>0.54198427058997</x:v>
      </x:c>
      <x:c r="N1156" s="604" t="inlineStr">
        <x:is>
          <x:t xml:space="preserve">V4纸面入选-C</x:t>
        </x:is>
      </x:c>
      <x:c r="O1156" s="604" t="inlineStr">
        <x:is>
          <x:t xml:space="preserve">0-0</x:t>
        </x:is>
      </x:c>
      <x:c r="P1156" s="604" t="inlineStr">
        <x:is>
          <x:t xml:space="preserve">已结算</x:t>
        </x:is>
      </x:c>
      <x:c r="Q1156" s="647" t="inlineStr">
        <x:is>
          <x:t xml:space="preserve">走</x:t>
        </x:is>
      </x:c>
      <x:c r="R1156" s="604" t="n">
        <x:v>0.89</x:v>
      </x:c>
      <x:c r="S1156" s="604" t="n">
        <x:f>IF(OR(Q1156="",Q1156="待结算"),"",IF(Q1156="红",R1156,IF(Q1156="半红",R1156*0.5,IF(Q1156="走",0,IF(Q1156="半黑",-0.5,-1)))))</x:f>
        <x:v>0</x:v>
      </x:c>
      <x:c r="T1156" s="604" t="inlineStr">
        <x:is>
          <x:t xml:space="preserve">https://m.titan007.com/analy/Analysis/3097384.htm</x:t>
        </x:is>
      </x:c>
      <x:c r="U1156" s="647" t="str">
        <x:f>IF(Q1156="","",IF(Q1156="待结算","待结算",IF(Q1156="红","黑",IF(Q1156="半红","半黑",IF(Q1156="走","走",IF(Q1156="半黑","半红","红"))))))</x:f>
        <x:v>走</x:v>
      </x:c>
      <x:c r="V1156" s="604" t="n">
        <x:f>IF(OR(Q1156="",Q1156="待结算"),"",IF(L1156=LEFT(F1156,FIND(" vs ",F1156)-1),I1156,G1156))</x:f>
        <x:v>0.93</x:v>
      </x:c>
      <x:c r="W1156" s="604" t="n">
        <x:f>IF(OR(U1156="",U1156="待结算"),"",IF(U1156="红",V1156,IF(U1156="半红",V1156*0.5,IF(U1156="走",0,IF(U1156="半黑",-0.5,-1)))))</x:f>
        <x:v>0</x:v>
      </x:c>
      <x:c r="X1156" s="604" t="inlineStr">
        <x:is>
          <x:t xml:space="preserve">3097384</x:t>
        </x:is>
      </x:c>
      <x:c r="Y1156" s="604" t="inlineStr">
        <x:is>
          <x:t xml:space="preserve">V4</x:t>
        </x:is>
      </x:c>
      <x:c r="Z1156" s="604" t="inlineStr">
        <x:is>
          <x:t xml:space="preserve">prior-2026-10-06-v1</x:t>
        </x:is>
      </x:c>
      <x:c r="AA1156" s="604" t="inlineStr">
        <x:is>
          <x:t xml:space="preserve">C</x:t>
        </x:is>
      </x:c>
      <x:c r="AB1156" s="604" t="n">
        <x:v>0.54198427058997</x:v>
      </x:c>
      <x:c r="AC1156" s="604" t="n"/>
      <x:c r="AD1156" s="604" t="n"/>
      <x:c r="AE1156" s="604" t="n"/>
      <x:c r="AF1156" s="604" t="n">
        <x:v>0.45801572941003</x:v>
      </x:c>
      <x:c r="AG1156" s="604" t="n">
        <x:v>0.04602964223864214</x:v>
      </x:c>
      <x:c r="AH1156" s="604" t="n"/>
      <x:c r="AI1156" s="604" t="n"/>
      <x:c r="AJ1156" s="604" t="n">
        <x:v>0.04602964223864214</x:v>
      </x:c>
      <x:c r="AK1156" s="604" t="n"/>
      <x:c r="AL1156" s="604" t="n"/>
      <x:c r="AM1156" s="604" t="n"/>
      <x:c r="AN1156" s="604" t="inlineStr">
        <x:is>
          <x:t xml:space="preserve">EVALUATED</x:t>
        </x:is>
      </x:c>
      <x:c r="AO1156" s="604" t="inlineStr">
        <x:is>
          <x:t xml:space="preserve">EDGE_BELOW_UNCERTAINTY_THRESHOLD、BUCKET_PRIOR_ONLY、INTENT_INTERPRETATION_ONLY、FFL_OPTIONAL、EXPERT_MARKET</x:t>
        </x:is>
      </x:c>
      <x:c r="AP1156" s="604" t="inlineStr">
        <x:is>
          <x:t xml:space="preserve">b74849b85265a5df9655</x:t>
        </x:is>
      </x:c>
      <x:c r="AQ1156" s="604" t="n">
        <x:v>0</x:v>
      </x:c>
      <x:c r="AR1156" s="604" t="n"/>
      <x:c r="AS1156" s="604" t="n">
        <x:v>0</x:v>
      </x:c>
      <x:c r="AT1156" s="604" t="n">
        <x:v>0</x:v>
      </x:c>
      <x:c r="AU1156" s="604" t="n">
        <x:v>0.93</x:v>
      </x:c>
      <x:c r="AV1156" s="604" t="n">
        <x:v>0.89</x:v>
      </x:c>
      <x:c r="AW1156" s="604" t="n">
        <x:v>46301.03159395833</x:v>
      </x:c>
      <x:c r="AX1156" s="604" t="inlineStr">
        <x:is>
          <x:t xml:space="preserve">https://simondongxiao.github.io/odds/v4/</x:t>
        </x:is>
      </x:c>
      <x:c r="AY1156" s="604" t="inlineStr">
        <x:is>
          <x:t xml:space="preserve">V4 Shadow Only；real_money=false；P(EV&gt;0)不是比赛胜率</x:t>
        </x:is>
      </x:c>
    </x:row>
    <x:row r="1157" ht="22" customHeight="1">
      <x:c r="A1157" s="604" t="inlineStr">
        <x:is>
          <x:t xml:space="preserve">2026-10-06</x:t>
        </x:is>
      </x:c>
      <x:c r="B1157" s="604" t="inlineStr">
        <x:is>
          <x:t xml:space="preserve">2026-10-07 01:00</x:t>
        </x:is>
      </x:c>
      <x:c r="C1157" s="604" t="str">
        <x:v>其他系列</x:v>
      </x:c>
      <x:c r="D1157" s="604" t="inlineStr">
        <x:is>
          <x:t xml:space="preserve">联赛</x:t>
        </x:is>
      </x:c>
      <x:c r="E1157" s="604" t="inlineStr">
        <x:is>
          <x:t xml:space="preserve">国际友谊</x:t>
        </x:is>
      </x:c>
      <x:c r="F1157" s="604" t="inlineStr">
        <x:is>
          <x:t xml:space="preserve">阿尔及利亚 vs 尼日尔</x:t>
        </x:is>
      </x:c>
      <x:c r="G1157" s="604" t="n">
        <x:v>0.87</x:v>
      </x:c>
      <x:c r="H1157" s="604" t="n">
        <x:v>1.75</x:v>
      </x:c>
      <x:c r="I1157" s="604" t="n">
        <x:v>0.95</x:v>
      </x:c>
      <x:c r="J1157" s="604" t="inlineStr">
        <x:is>
          <x:t xml:space="preserve">0.87/1.75/0.95</x:t>
        </x:is>
      </x:c>
      <x:c r="K1157" s="604" t="inlineStr">
        <x:is>
          <x:t xml:space="preserve">V4-C｜EV +0.2709</x:t>
        </x:is>
      </x:c>
      <x:c r="L1157" s="604" t="inlineStr">
        <x:is>
          <x:t xml:space="preserve">阿尔及利亚</x:t>
        </x:is>
      </x:c>
      <x:c r="M1157" s="604" t="n">
        <x:v>0.6995317518676367</x:v>
      </x:c>
      <x:c r="N1157" s="604" t="inlineStr">
        <x:is>
          <x:t xml:space="preserve">V4纸面入选-C</x:t>
        </x:is>
      </x:c>
      <x:c r="O1157" s="604" t="inlineStr">
        <x:is>
          <x:t xml:space="preserve">2-1</x:t>
        </x:is>
      </x:c>
      <x:c r="P1157" s="604" t="inlineStr">
        <x:is>
          <x:t xml:space="preserve">已结算</x:t>
        </x:is>
      </x:c>
      <x:c r="Q1157" s="646" t="inlineStr">
        <x:is>
          <x:t xml:space="preserve">黑</x:t>
        </x:is>
      </x:c>
      <x:c r="R1157" s="604" t="n">
        <x:v>0.87</x:v>
      </x:c>
      <x:c r="S1157" s="604" t="n">
        <x:f>IF(OR(Q1157="",Q1157="待结算"),"",IF(Q1157="红",R1157,IF(Q1157="半红",R1157*0.5,IF(Q1157="走",0,IF(Q1157="半黑",-0.5,-1)))))</x:f>
        <x:v>-1</x:v>
      </x:c>
      <x:c r="T1157" s="604" t="inlineStr">
        <x:is>
          <x:t xml:space="preserve">https://m.titan007.com/analy/Analysis/3097385.htm</x:t>
        </x:is>
      </x:c>
      <x:c r="U1157" s="645" t="str">
        <x:f>IF(Q1157="","",IF(Q1157="待结算","待结算",IF(Q1157="红","黑",IF(Q1157="半红","半黑",IF(Q1157="走","走",IF(Q1157="半黑","半红","红"))))))</x:f>
        <x:v>红</x:v>
      </x:c>
      <x:c r="V1157" s="604" t="n">
        <x:f>IF(OR(Q1157="",Q1157="待结算"),"",IF(L1157=LEFT(F1157,FIND(" vs ",F1157)-1),I1157,G1157))</x:f>
        <x:v>0.95</x:v>
      </x:c>
      <x:c r="W1157" s="604" t="n">
        <x:f>IF(OR(U1157="",U1157="待结算"),"",IF(U1157="红",V1157,IF(U1157="半红",V1157*0.5,IF(U1157="走",0,IF(U1157="半黑",-0.5,-1)))))</x:f>
        <x:v>0.95</x:v>
      </x:c>
      <x:c r="X1157" s="604" t="inlineStr">
        <x:is>
          <x:t xml:space="preserve">3097385</x:t>
        </x:is>
      </x:c>
      <x:c r="Y1157" s="604" t="inlineStr">
        <x:is>
          <x:t xml:space="preserve">V4</x:t>
        </x:is>
      </x:c>
      <x:c r="Z1157" s="604" t="inlineStr">
        <x:is>
          <x:t xml:space="preserve">prior-2026-10-06-v1</x:t>
        </x:is>
      </x:c>
      <x:c r="AA1157" s="604" t="inlineStr">
        <x:is>
          <x:t xml:space="preserve">C</x:t>
        </x:is>
      </x:c>
      <x:c r="AB1157" s="604" t="n">
        <x:v>0.4941465898028652</x:v>
      </x:c>
      <x:c r="AC1157" s="604" t="n">
        <x:v>0.2416961752424705</x:v>
      </x:c>
      <x:c r="AD1157" s="604" t="n"/>
      <x:c r="AE1157" s="604" t="n"/>
      <x:c r="AF1157" s="604" t="n">
        <x:v>0.2641572349546644</x:v>
      </x:c>
      <x:c r="AG1157" s="604" t="n">
        <x:v>0.270888134404303</x:v>
      </x:c>
      <x:c r="AH1157" s="604" t="n"/>
      <x:c r="AI1157" s="604" t="n"/>
      <x:c r="AJ1157" s="604" t="n">
        <x:v>0.270888134404303</x:v>
      </x:c>
      <x:c r="AK1157" s="604" t="n"/>
      <x:c r="AL1157" s="604" t="n"/>
      <x:c r="AM1157" s="604" t="n"/>
      <x:c r="AN1157" s="604" t="inlineStr">
        <x:is>
          <x:t xml:space="preserve">EVALUATED</x:t>
        </x:is>
      </x:c>
      <x:c r="AO1157" s="604" t="inlineStr">
        <x:is>
          <x:t xml:space="preserve">GIVING_VALIDATED_EDGE、BUCKET_PRIOR_ONLY、INTENT_INTERPRETATION_ONLY、FFL_OPTIONAL、EXPERT_MARKET</x:t>
        </x:is>
      </x:c>
      <x:c r="AP1157" s="604" t="inlineStr">
        <x:is>
          <x:t xml:space="preserve">9a3b5c9045a6774ac163</x:t>
        </x:is>
      </x:c>
      <x:c r="AQ1157" s="604" t="n">
        <x:v>-1.75</x:v>
      </x:c>
      <x:c r="AR1157" s="604" t="n">
        <x:v>0.87</x:v>
      </x:c>
      <x:c r="AS1157" s="604" t="n">
        <x:v>1.75</x:v>
      </x:c>
      <x:c r="AT1157" s="604" t="n">
        <x:v>-1.75</x:v>
      </x:c>
      <x:c r="AU1157" s="604" t="n">
        <x:v>0.87</x:v>
      </x:c>
      <x:c r="AV1157" s="604" t="n">
        <x:v>0.95</x:v>
      </x:c>
      <x:c r="AW1157" s="604" t="n">
        <x:v>46301.03159395833</x:v>
      </x:c>
      <x:c r="AX1157" s="604" t="inlineStr">
        <x:is>
          <x:t xml:space="preserve">https://simondongxiao.github.io/odds/v4/</x:t>
        </x:is>
      </x:c>
      <x:c r="AY1157" s="604" t="inlineStr">
        <x:is>
          <x:t xml:space="preserve">V4 Shadow Only；real_money=false；P(EV&gt;0)不是比赛胜率</x:t>
        </x:is>
      </x:c>
    </x:row>
    <x:row r="1158" ht="22" customHeight="1">
      <x:c r="A1158" s="604" t="inlineStr">
        <x:is>
          <x:t xml:space="preserve">2026-10-06</x:t>
        </x:is>
      </x:c>
      <x:c r="B1158" s="604" t="inlineStr">
        <x:is>
          <x:t xml:space="preserve">2026-10-07 01:30</x:t>
        </x:is>
      </x:c>
      <x:c r="C1158" s="604" t="str">
        <x:v>其他系列</x:v>
      </x:c>
      <x:c r="D1158" s="604" t="inlineStr">
        <x:is>
          <x:t xml:space="preserve">联赛</x:t>
        </x:is>
      </x:c>
      <x:c r="E1158" s="604" t="inlineStr">
        <x:is>
          <x:t xml:space="preserve">球会友谊</x:t>
        </x:is>
      </x:c>
      <x:c r="F1158" s="604" t="inlineStr">
        <x:is>
          <x:t xml:space="preserve">塔拉维亚 vs 阿尔巴塞特</x:t>
        </x:is>
      </x:c>
      <x:c r="G1158" s="604" t="n">
        <x:v>0.91</x:v>
      </x:c>
      <x:c r="H1158" s="604" t="n">
        <x:v>-1.5</x:v>
      </x:c>
      <x:c r="I1158" s="604" t="n">
        <x:v>0.8</x:v>
      </x:c>
      <x:c r="J1158" s="604" t="inlineStr">
        <x:is>
          <x:t xml:space="preserve">0.91/-1.5/0.8</x:t>
        </x:is>
      </x:c>
      <x:c r="K1158" s="604" t="inlineStr">
        <x:is>
          <x:t xml:space="preserve">V4-C｜EV +0.9063</x:t>
        </x:is>
      </x:c>
      <x:c r="L1158" s="604" t="inlineStr">
        <x:is>
          <x:t xml:space="preserve">塔拉维亚</x:t>
        </x:is>
      </x:c>
      <x:c r="M1158" s="604" t="n">
        <x:v>0.9980447330008551</x:v>
      </x:c>
      <x:c r="N1158" s="604" t="inlineStr">
        <x:is>
          <x:t xml:space="preserve">V4纸面入选-C</x:t>
        </x:is>
      </x:c>
      <x:c r="O1158" s="604" t="inlineStr">
        <x:is>
          <x:t xml:space="preserve">1-0</x:t>
        </x:is>
      </x:c>
      <x:c r="P1158" s="604" t="inlineStr">
        <x:is>
          <x:t xml:space="preserve">已结算</x:t>
        </x:is>
      </x:c>
      <x:c r="Q1158" s="645" t="inlineStr">
        <x:is>
          <x:t xml:space="preserve">红</x:t>
        </x:is>
      </x:c>
      <x:c r="R1158" s="604" t="n">
        <x:v>0.91</x:v>
      </x:c>
      <x:c r="S1158" s="604" t="n">
        <x:f>IF(OR(Q1158="",Q1158="待结算"),"",IF(Q1158="红",R1158,IF(Q1158="半红",R1158*0.5,IF(Q1158="走",0,IF(Q1158="半黑",-0.5,-1)))))</x:f>
        <x:v>0.91</x:v>
      </x:c>
      <x:c r="T1158" s="604" t="inlineStr">
        <x:is>
          <x:t xml:space="preserve">https://m.titan007.com/analy/Analysis/3099875.htm</x:t>
        </x:is>
      </x:c>
      <x:c r="U1158" s="646" t="str">
        <x:f>IF(Q1158="","",IF(Q1158="待结算","待结算",IF(Q1158="红","黑",IF(Q1158="半红","半黑",IF(Q1158="走","走",IF(Q1158="半黑","半红","红"))))))</x:f>
        <x:v>黑</x:v>
      </x:c>
      <x:c r="V1158" s="604" t="n">
        <x:f>IF(OR(Q1158="",Q1158="待结算"),"",IF(L1158=LEFT(F1158,FIND(" vs ",F1158)-1),I1158,G1158))</x:f>
        <x:v>0.8</x:v>
      </x:c>
      <x:c r="W1158" s="604" t="n">
        <x:f>IF(OR(U1158="",U1158="待结算"),"",IF(U1158="红",V1158,IF(U1158="半红",V1158*0.5,IF(U1158="走",0,IF(U1158="半黑",-0.5,-1)))))</x:f>
        <x:v>-1</x:v>
      </x:c>
      <x:c r="X1158" s="604" t="inlineStr">
        <x:is>
          <x:t xml:space="preserve">3099875</x:t>
        </x:is>
      </x:c>
      <x:c r="Y1158" s="604" t="inlineStr">
        <x:is>
          <x:t xml:space="preserve">V4</x:t>
        </x:is>
      </x:c>
      <x:c r="Z1158" s="604" t="inlineStr">
        <x:is>
          <x:t xml:space="preserve">prior-2026-10-06-v1</x:t>
        </x:is>
      </x:c>
      <x:c r="AA1158" s="604" t="inlineStr">
        <x:is>
          <x:t xml:space="preserve">C</x:t>
        </x:is>
      </x:c>
      <x:c r="AB1158" s="604" t="n">
        <x:v>0.9980447330008551</x:v>
      </x:c>
      <x:c r="AC1158" s="604" t="n"/>
      <x:c r="AD1158" s="604" t="n"/>
      <x:c r="AE1158" s="604" t="n"/>
      <x:c r="AF1158" s="604" t="n">
        <x:v>0.001955266999144941</x:v>
      </x:c>
      <x:c r="AG1158" s="604" t="n">
        <x:v>0.9062654400316332</x:v>
      </x:c>
      <x:c r="AH1158" s="604" t="n"/>
      <x:c r="AI1158" s="604" t="n"/>
      <x:c r="AJ1158" s="604" t="n">
        <x:v>0.9062654400316332</x:v>
      </x:c>
      <x:c r="AK1158" s="604" t="n"/>
      <x:c r="AL1158" s="604" t="n"/>
      <x:c r="AM1158" s="604" t="n"/>
      <x:c r="AN1158" s="604" t="inlineStr">
        <x:is>
          <x:t xml:space="preserve">EVALUATED</x:t>
        </x:is>
      </x:c>
      <x:c r="AO1158" s="604" t="inlineStr">
        <x:is>
          <x:t xml:space="preserve">RECEIVING_VALIDATED_EDGE、BUCKET_PRIOR_ONLY、INTENT_INTERPRETATION_ONLY、FFL_OPTIONAL、EXPERT_MARKET</x:t>
        </x:is>
      </x:c>
      <x:c r="AP1158" s="604" t="inlineStr">
        <x:is>
          <x:t xml:space="preserve">4a75c946e1f62bdacd85</x:t>
        </x:is>
      </x:c>
      <x:c r="AQ1158" s="604" t="n">
        <x:v>1.5</x:v>
      </x:c>
      <x:c r="AR1158" s="604" t="n">
        <x:v>0.91</x:v>
      </x:c>
      <x:c r="AS1158" s="604" t="n">
        <x:v>-1.5</x:v>
      </x:c>
      <x:c r="AT1158" s="604" t="n">
        <x:v>1.5</x:v>
      </x:c>
      <x:c r="AU1158" s="604" t="n">
        <x:v>0.91</x:v>
      </x:c>
      <x:c r="AV1158" s="604" t="n">
        <x:v>0.8</x:v>
      </x:c>
      <x:c r="AW1158" s="604" t="n">
        <x:v>46301.03159395833</x:v>
      </x:c>
      <x:c r="AX1158" s="604" t="inlineStr">
        <x:is>
          <x:t xml:space="preserve">https://simondongxiao.github.io/odds/v4/</x:t>
        </x:is>
      </x:c>
      <x:c r="AY1158" s="604" t="inlineStr">
        <x:is>
          <x:t xml:space="preserve">V4 Shadow Only；real_money=false；P(EV&gt;0)不是比赛胜率</x:t>
        </x:is>
      </x:c>
    </x:row>
    <x:row r="1159" ht="22" customHeight="1">
      <x:c r="A1159" s="604" t="inlineStr">
        <x:is>
          <x:t xml:space="preserve">2026-10-06</x:t>
        </x:is>
      </x:c>
      <x:c r="B1159" s="604" t="inlineStr">
        <x:is>
          <x:t xml:space="preserve">2026-10-07 02:00</x:t>
        </x:is>
      </x:c>
      <x:c r="C1159" s="604" t="str">
        <x:v>五大联赛杯赛</x:v>
      </x:c>
      <x:c r="D1159" s="604" t="inlineStr">
        <x:is>
          <x:t xml:space="preserve">联赛</x:t>
        </x:is>
      </x:c>
      <x:c r="E1159" s="604" t="inlineStr">
        <x:is>
          <x:t xml:space="preserve">英锦赛</x:t>
        </x:is>
      </x:c>
      <x:c r="F1159" s="604" t="inlineStr">
        <x:is>
          <x:t xml:space="preserve">罗瑟汉姆 vs 布拉德福德</x:t>
        </x:is>
      </x:c>
      <x:c r="G1159" s="604" t="n">
        <x:v>0.8100000000000001</x:v>
      </x:c>
      <x:c r="H1159" s="604" t="n">
        <x:v>-0.5</x:v>
      </x:c>
      <x:c r="I1159" s="604" t="n">
        <x:v>1.01</x:v>
      </x:c>
      <x:c r="J1159" s="604" t="inlineStr">
        <x:is>
          <x:t xml:space="preserve">0.81/-0.5/1.01</x:t>
        </x:is>
      </x:c>
      <x:c r="K1159" s="604" t="inlineStr">
        <x:is>
          <x:t xml:space="preserve">V4-C｜EV +0.3804</x:t>
        </x:is>
      </x:c>
      <x:c r="L1159" s="604" t="inlineStr">
        <x:is>
          <x:t xml:space="preserve">罗瑟汉姆</x:t>
        </x:is>
      </x:c>
      <x:c r="M1159" s="604" t="n">
        <x:v>0.7626292774945693</x:v>
      </x:c>
      <x:c r="N1159" s="604" t="inlineStr">
        <x:is>
          <x:t xml:space="preserve">V4纸面入选-C</x:t>
        </x:is>
      </x:c>
      <x:c r="O1159" s="604" t="inlineStr">
        <x:is>
          <x:t xml:space="preserve">0-4</x:t>
        </x:is>
      </x:c>
      <x:c r="P1159" s="604" t="inlineStr">
        <x:is>
          <x:t xml:space="preserve">已结算</x:t>
        </x:is>
      </x:c>
      <x:c r="Q1159" s="646" t="inlineStr">
        <x:is>
          <x:t xml:space="preserve">黑</x:t>
        </x:is>
      </x:c>
      <x:c r="R1159" s="604" t="n">
        <x:v>0.8100000000000001</x:v>
      </x:c>
      <x:c r="S1159" s="604" t="n">
        <x:f>IF(OR(Q1159="",Q1159="待结算"),"",IF(Q1159="红",R1159,IF(Q1159="半红",R1159*0.5,IF(Q1159="走",0,IF(Q1159="半黑",-0.5,-1)))))</x:f>
        <x:v>-1</x:v>
      </x:c>
      <x:c r="T1159" s="604" t="inlineStr">
        <x:is>
          <x:t xml:space="preserve">https://m.titan007.com/analy/Analysis/3012828.htm</x:t>
        </x:is>
      </x:c>
      <x:c r="U1159" s="645" t="str">
        <x:f>IF(Q1159="","",IF(Q1159="待结算","待结算",IF(Q1159="红","黑",IF(Q1159="半红","半黑",IF(Q1159="走","走",IF(Q1159="半黑","半红","红"))))))</x:f>
        <x:v>红</x:v>
      </x:c>
      <x:c r="V1159" s="604" t="n">
        <x:f>IF(OR(Q1159="",Q1159="待结算"),"",IF(L1159=LEFT(F1159,FIND(" vs ",F1159)-1),I1159,G1159))</x:f>
        <x:v>1.01</x:v>
      </x:c>
      <x:c r="W1159" s="604" t="n">
        <x:f>IF(OR(U1159="",U1159="待结算"),"",IF(U1159="红",V1159,IF(U1159="半红",V1159*0.5,IF(U1159="走",0,IF(U1159="半黑",-0.5,-1)))))</x:f>
        <x:v>1.01</x:v>
      </x:c>
      <x:c r="X1159" s="604" t="inlineStr">
        <x:is>
          <x:t xml:space="preserve">3012828</x:t>
        </x:is>
      </x:c>
      <x:c r="Y1159" s="604" t="inlineStr">
        <x:is>
          <x:t xml:space="preserve">V4</x:t>
        </x:is>
      </x:c>
      <x:c r="Z1159" s="604" t="inlineStr">
        <x:is>
          <x:t xml:space="preserve">prior-2026-10-06-v1</x:t>
        </x:is>
      </x:c>
      <x:c r="AA1159" s="604" t="inlineStr">
        <x:is>
          <x:t xml:space="preserve">C</x:t>
        </x:is>
      </x:c>
      <x:c r="AB1159" s="604" t="n">
        <x:v>0.7626292774945693</x:v>
      </x:c>
      <x:c r="AC1159" s="604" t="n"/>
      <x:c r="AD1159" s="604" t="n"/>
      <x:c r="AE1159" s="604" t="n"/>
      <x:c r="AF1159" s="604" t="n">
        <x:v>0.2373707225054307</x:v>
      </x:c>
      <x:c r="AG1159" s="604" t="n">
        <x:v>0.3803589922651705</x:v>
      </x:c>
      <x:c r="AH1159" s="604" t="n"/>
      <x:c r="AI1159" s="604" t="n"/>
      <x:c r="AJ1159" s="604" t="n">
        <x:v>0.3803589922651705</x:v>
      </x:c>
      <x:c r="AK1159" s="604" t="n"/>
      <x:c r="AL1159" s="604" t="n"/>
      <x:c r="AM1159" s="604" t="n"/>
      <x:c r="AN1159" s="604" t="inlineStr">
        <x:is>
          <x:t xml:space="preserve">EVALUATED</x:t>
        </x:is>
      </x:c>
      <x:c r="AO1159" s="604" t="inlineStr">
        <x:is>
          <x:t xml:space="preserve">RECEIVING_VALIDATED_EDGE、BUCKET_PRIOR_ONLY、INTENT_INTERPRETATION_ONLY、FFL_OPTIONAL、EXPERT_MARKET</x:t>
        </x:is>
      </x:c>
      <x:c r="AP1159" s="604" t="inlineStr">
        <x:is>
          <x:t xml:space="preserve">e73be051585c87303d1a</x:t>
        </x:is>
      </x:c>
      <x:c r="AQ1159" s="604" t="n">
        <x:v>0.5</x:v>
      </x:c>
      <x:c r="AR1159" s="604" t="n">
        <x:v>0.8100000000000001</x:v>
      </x:c>
      <x:c r="AS1159" s="604" t="n">
        <x:v>-0.5</x:v>
      </x:c>
      <x:c r="AT1159" s="604" t="n">
        <x:v>0.5</x:v>
      </x:c>
      <x:c r="AU1159" s="604" t="n">
        <x:v>0.8100000000000001</x:v>
      </x:c>
      <x:c r="AV1159" s="604" t="n">
        <x:v>1.01</x:v>
      </x:c>
      <x:c r="AW1159" s="604" t="n">
        <x:v>46301.03159395833</x:v>
      </x:c>
      <x:c r="AX1159" s="604" t="inlineStr">
        <x:is>
          <x:t xml:space="preserve">https://simondongxiao.github.io/odds/v4/</x:t>
        </x:is>
      </x:c>
      <x:c r="AY1159" s="604" t="inlineStr">
        <x:is>
          <x:t xml:space="preserve">V4 Shadow Only；real_money=false；P(EV&gt;0)不是比赛胜率</x:t>
        </x:is>
      </x:c>
    </x:row>
    <x:row r="1160" ht="22" customHeight="1">
      <x:c r="A1160" s="604" t="inlineStr">
        <x:is>
          <x:t xml:space="preserve">2026-10-06</x:t>
        </x:is>
      </x:c>
      <x:c r="B1160" s="604" t="inlineStr">
        <x:is>
          <x:t xml:space="preserve">2026-10-07 02:00</x:t>
        </x:is>
      </x:c>
      <x:c r="C1160" s="604" t="str">
        <x:v>五大联赛杯赛</x:v>
      </x:c>
      <x:c r="D1160" s="604" t="inlineStr">
        <x:is>
          <x:t xml:space="preserve">联赛</x:t>
        </x:is>
      </x:c>
      <x:c r="E1160" s="604" t="inlineStr">
        <x:is>
          <x:t xml:space="preserve">英锦赛</x:t>
        </x:is>
      </x:c>
      <x:c r="F1160" s="604" t="inlineStr">
        <x:is>
          <x:t xml:space="preserve">什鲁斯伯里 vs 斯托克港</x:t>
        </x:is>
      </x:c>
      <x:c r="G1160" s="604" t="n">
        <x:v>1.06</x:v>
      </x:c>
      <x:c r="H1160" s="604" t="n">
        <x:v>-0.75</x:v>
      </x:c>
      <x:c r="I1160" s="604" t="n">
        <x:v>0.76</x:v>
      </x:c>
      <x:c r="J1160" s="604" t="inlineStr">
        <x:is>
          <x:t xml:space="preserve">1.06/-0.75/0.76</x:t>
        </x:is>
      </x:c>
      <x:c r="K1160" s="604" t="inlineStr">
        <x:is>
          <x:t xml:space="preserve">V4-C｜EV +0.8479</x:t>
        </x:is>
      </x:c>
      <x:c r="L1160" s="604" t="inlineStr">
        <x:is>
          <x:t xml:space="preserve">什鲁斯伯里</x:t>
        </x:is>
      </x:c>
      <x:c r="M1160" s="604" t="n">
        <x:v>0.9169037594475695</x:v>
      </x:c>
      <x:c r="N1160" s="604" t="inlineStr">
        <x:is>
          <x:t xml:space="preserve">V4纸面入选-C</x:t>
        </x:is>
      </x:c>
      <x:c r="O1160" s="604" t="inlineStr">
        <x:is>
          <x:t xml:space="preserve">0-2</x:t>
        </x:is>
      </x:c>
      <x:c r="P1160" s="604" t="inlineStr">
        <x:is>
          <x:t xml:space="preserve">已结算</x:t>
        </x:is>
      </x:c>
      <x:c r="Q1160" s="646" t="inlineStr">
        <x:is>
          <x:t xml:space="preserve">黑</x:t>
        </x:is>
      </x:c>
      <x:c r="R1160" s="604" t="n">
        <x:v>1.06</x:v>
      </x:c>
      <x:c r="S1160" s="604" t="n">
        <x:f>IF(OR(Q1160="",Q1160="待结算"),"",IF(Q1160="红",R1160,IF(Q1160="半红",R1160*0.5,IF(Q1160="走",0,IF(Q1160="半黑",-0.5,-1)))))</x:f>
        <x:v>-1</x:v>
      </x:c>
      <x:c r="T1160" s="604" t="inlineStr">
        <x:is>
          <x:t xml:space="preserve">https://m.titan007.com/analy/Analysis/3012843.htm</x:t>
        </x:is>
      </x:c>
      <x:c r="U1160" s="645" t="str">
        <x:f>IF(Q1160="","",IF(Q1160="待结算","待结算",IF(Q1160="红","黑",IF(Q1160="半红","半黑",IF(Q1160="走","走",IF(Q1160="半黑","半红","红"))))))</x:f>
        <x:v>红</x:v>
      </x:c>
      <x:c r="V1160" s="604" t="n">
        <x:f>IF(OR(Q1160="",Q1160="待结算"),"",IF(L1160=LEFT(F1160,FIND(" vs ",F1160)-1),I1160,G1160))</x:f>
        <x:v>0.76</x:v>
      </x:c>
      <x:c r="W1160" s="604" t="n">
        <x:f>IF(OR(U1160="",U1160="待结算"),"",IF(U1160="红",V1160,IF(U1160="半红",V1160*0.5,IF(U1160="走",0,IF(U1160="半黑",-0.5,-1)))))</x:f>
        <x:v>0.76</x:v>
      </x:c>
      <x:c r="X1160" s="604" t="inlineStr">
        <x:is>
          <x:t xml:space="preserve">3012843</x:t>
        </x:is>
      </x:c>
      <x:c r="Y1160" s="604" t="inlineStr">
        <x:is>
          <x:t xml:space="preserve">V4</x:t>
        </x:is>
      </x:c>
      <x:c r="Z1160" s="604" t="inlineStr">
        <x:is>
          <x:t xml:space="preserve">prior-2026-10-06-v1</x:t>
        </x:is>
      </x:c>
      <x:c r="AA1160" s="604" t="inlineStr">
        <x:is>
          <x:t xml:space="preserve">C</x:t>
        </x:is>
      </x:c>
      <x:c r="AB1160" s="604" t="n">
        <x:v>0.8746745380135106</x:v>
      </x:c>
      <x:c r="AC1160" s="604" t="n"/>
      <x:c r="AD1160" s="604" t="n"/>
      <x:c r="AE1160" s="604" t="n">
        <x:v>0.09211265849646412</x:v>
      </x:c>
      <x:c r="AF1160" s="604" t="n">
        <x:v>0.03321280349002533</x:v>
      </x:c>
      <x:c r="AG1160" s="604" t="n">
        <x:v>0.8478858775560638</x:v>
      </x:c>
      <x:c r="AH1160" s="604" t="n"/>
      <x:c r="AI1160" s="604" t="n"/>
      <x:c r="AJ1160" s="604" t="n">
        <x:v>0.8478858775560638</x:v>
      </x:c>
      <x:c r="AK1160" s="604" t="n"/>
      <x:c r="AL1160" s="604" t="n"/>
      <x:c r="AM1160" s="604" t="n"/>
      <x:c r="AN1160" s="604" t="inlineStr">
        <x:is>
          <x:t xml:space="preserve">EVALUATED</x:t>
        </x:is>
      </x:c>
      <x:c r="AO1160" s="604" t="inlineStr">
        <x:is>
          <x:t xml:space="preserve">RECEIVING_VALIDATED_EDGE、BUCKET_PRIOR_ONLY、INTENT_INTERPRETATION_ONLY、FFL_OPTIONAL、EXPERT_MARKET</x:t>
        </x:is>
      </x:c>
      <x:c r="AP1160" s="604" t="inlineStr">
        <x:is>
          <x:t xml:space="preserve">226125de786e1796e423</x:t>
        </x:is>
      </x:c>
      <x:c r="AQ1160" s="604" t="n">
        <x:v>0.75</x:v>
      </x:c>
      <x:c r="AR1160" s="604" t="n">
        <x:v>1.06</x:v>
      </x:c>
      <x:c r="AS1160" s="604" t="n">
        <x:v>-0.75</x:v>
      </x:c>
      <x:c r="AT1160" s="604" t="n">
        <x:v>0.75</x:v>
      </x:c>
      <x:c r="AU1160" s="604" t="n">
        <x:v>1.06</x:v>
      </x:c>
      <x:c r="AV1160" s="604" t="n">
        <x:v>0.76</x:v>
      </x:c>
      <x:c r="AW1160" s="604" t="n">
        <x:v>46301.03159395833</x:v>
      </x:c>
      <x:c r="AX1160" s="604" t="inlineStr">
        <x:is>
          <x:t xml:space="preserve">https://simondongxiao.github.io/odds/v4/</x:t>
        </x:is>
      </x:c>
      <x:c r="AY1160" s="604" t="inlineStr">
        <x:is>
          <x:t xml:space="preserve">V4 Shadow Only；real_money=false；P(EV&gt;0)不是比赛胜率</x:t>
        </x:is>
      </x:c>
    </x:row>
    <x:row r="1161" ht="22" customHeight="1">
      <x:c r="A1161" s="604" t="inlineStr">
        <x:is>
          <x:t xml:space="preserve">2026-10-06</x:t>
        </x:is>
      </x:c>
      <x:c r="B1161" s="604" t="inlineStr">
        <x:is>
          <x:t xml:space="preserve">2026-10-07 02:00</x:t>
        </x:is>
      </x:c>
      <x:c r="C1161" s="604" t="str">
        <x:v>五大联赛杯赛</x:v>
      </x:c>
      <x:c r="D1161" s="604" t="inlineStr">
        <x:is>
          <x:t xml:space="preserve">联赛</x:t>
        </x:is>
      </x:c>
      <x:c r="E1161" s="604" t="inlineStr">
        <x:is>
          <x:t xml:space="preserve">英锦赛</x:t>
        </x:is>
      </x:c>
      <x:c r="F1161" s="604" t="inlineStr">
        <x:is>
          <x:t xml:space="preserve">弗利特伍德 vs 巴恩斯利</x:t>
        </x:is>
      </x:c>
      <x:c r="G1161" s="604" t="n">
        <x:v>0.91</x:v>
      </x:c>
      <x:c r="H1161" s="604" t="n">
        <x:v>-0.5</x:v>
      </x:c>
      <x:c r="I1161" s="604" t="n">
        <x:v>0.91</x:v>
      </x:c>
      <x:c r="J1161" s="604" t="inlineStr">
        <x:is>
          <x:t xml:space="preserve">0.91/-0.5/0.91</x:t>
        </x:is>
      </x:c>
      <x:c r="K1161" s="604" t="inlineStr">
        <x:is>
          <x:t xml:space="preserve">V4-C｜EV +0.4749</x:t>
        </x:is>
      </x:c>
      <x:c r="L1161" s="604" t="inlineStr">
        <x:is>
          <x:t xml:space="preserve">弗利特伍德</x:t>
        </x:is>
      </x:c>
      <x:c r="M1161" s="604" t="n">
        <x:v>0.7721806325437159</x:v>
      </x:c>
      <x:c r="N1161" s="604" t="inlineStr">
        <x:is>
          <x:t xml:space="preserve">V4纸面入选-C</x:t>
        </x:is>
      </x:c>
      <x:c r="O1161" s="604" t="inlineStr">
        <x:is>
          <x:t xml:space="preserve">4-1</x:t>
        </x:is>
      </x:c>
      <x:c r="P1161" s="604" t="inlineStr">
        <x:is>
          <x:t xml:space="preserve">已结算</x:t>
        </x:is>
      </x:c>
      <x:c r="Q1161" s="645" t="inlineStr">
        <x:is>
          <x:t xml:space="preserve">红</x:t>
        </x:is>
      </x:c>
      <x:c r="R1161" s="604" t="n">
        <x:v>0.91</x:v>
      </x:c>
      <x:c r="S1161" s="604" t="n">
        <x:f>IF(OR(Q1161="",Q1161="待结算"),"",IF(Q1161="红",R1161,IF(Q1161="半红",R1161*0.5,IF(Q1161="走",0,IF(Q1161="半黑",-0.5,-1)))))</x:f>
        <x:v>0.91</x:v>
      </x:c>
      <x:c r="T1161" s="604" t="inlineStr">
        <x:is>
          <x:t xml:space="preserve">https://m.titan007.com/analy/Analysis/3012852.htm</x:t>
        </x:is>
      </x:c>
      <x:c r="U1161" s="646" t="str">
        <x:f>IF(Q1161="","",IF(Q1161="待结算","待结算",IF(Q1161="红","黑",IF(Q1161="半红","半黑",IF(Q1161="走","走",IF(Q1161="半黑","半红","红"))))))</x:f>
        <x:v>黑</x:v>
      </x:c>
      <x:c r="V1161" s="604" t="n">
        <x:f>IF(OR(Q1161="",Q1161="待结算"),"",IF(L1161=LEFT(F1161,FIND(" vs ",F1161)-1),I1161,G1161))</x:f>
        <x:v>0.91</x:v>
      </x:c>
      <x:c r="W1161" s="604" t="n">
        <x:f>IF(OR(U1161="",U1161="待结算"),"",IF(U1161="红",V1161,IF(U1161="半红",V1161*0.5,IF(U1161="走",0,IF(U1161="半黑",-0.5,-1)))))</x:f>
        <x:v>-1</x:v>
      </x:c>
      <x:c r="X1161" s="604" t="inlineStr">
        <x:is>
          <x:t xml:space="preserve">3012852</x:t>
        </x:is>
      </x:c>
      <x:c r="Y1161" s="604" t="inlineStr">
        <x:is>
          <x:t xml:space="preserve">V4</x:t>
        </x:is>
      </x:c>
      <x:c r="Z1161" s="604" t="inlineStr">
        <x:is>
          <x:t xml:space="preserve">prior-2026-10-06-v1</x:t>
        </x:is>
      </x:c>
      <x:c r="AA1161" s="604" t="inlineStr">
        <x:is>
          <x:t xml:space="preserve">C</x:t>
        </x:is>
      </x:c>
      <x:c r="AB1161" s="604" t="n">
        <x:v>0.7721806325437159</x:v>
      </x:c>
      <x:c r="AC1161" s="604" t="n"/>
      <x:c r="AD1161" s="604" t="n"/>
      <x:c r="AE1161" s="604" t="n"/>
      <x:c r="AF1161" s="604" t="n">
        <x:v>0.2278193674562841</x:v>
      </x:c>
      <x:c r="AG1161" s="604" t="n">
        <x:v>0.4748650081584973</x:v>
      </x:c>
      <x:c r="AH1161" s="604" t="n"/>
      <x:c r="AI1161" s="604" t="n"/>
      <x:c r="AJ1161" s="604" t="n">
        <x:v>0.4748650081584973</x:v>
      </x:c>
      <x:c r="AK1161" s="604" t="n"/>
      <x:c r="AL1161" s="604" t="n"/>
      <x:c r="AM1161" s="604" t="n"/>
      <x:c r="AN1161" s="604" t="inlineStr">
        <x:is>
          <x:t xml:space="preserve">EVALUATED</x:t>
        </x:is>
      </x:c>
      <x:c r="AO1161" s="604" t="inlineStr">
        <x:is>
          <x:t xml:space="preserve">RECEIVING_VALIDATED_EDGE、BUCKET_PRIOR_ONLY、INTENT_INTERPRETATION_ONLY、FFL_OPTIONAL、EXPERT_MARKET</x:t>
        </x:is>
      </x:c>
      <x:c r="AP1161" s="604" t="inlineStr">
        <x:is>
          <x:t xml:space="preserve">b2c5643a1dce60c0ea33</x:t>
        </x:is>
      </x:c>
      <x:c r="AQ1161" s="604" t="n">
        <x:v>0.5</x:v>
      </x:c>
      <x:c r="AR1161" s="604" t="n">
        <x:v>0.91</x:v>
      </x:c>
      <x:c r="AS1161" s="604" t="n">
        <x:v>-0.5</x:v>
      </x:c>
      <x:c r="AT1161" s="604" t="n">
        <x:v>0.5</x:v>
      </x:c>
      <x:c r="AU1161" s="604" t="n">
        <x:v>0.91</x:v>
      </x:c>
      <x:c r="AV1161" s="604" t="n">
        <x:v>0.91</x:v>
      </x:c>
      <x:c r="AW1161" s="604" t="n">
        <x:v>46301.03159395833</x:v>
      </x:c>
      <x:c r="AX1161" s="604" t="inlineStr">
        <x:is>
          <x:t xml:space="preserve">https://simondongxiao.github.io/odds/v4/</x:t>
        </x:is>
      </x:c>
      <x:c r="AY1161" s="604" t="inlineStr">
        <x:is>
          <x:t xml:space="preserve">V4 Shadow Only；real_money=false；P(EV&gt;0)不是比赛胜率</x:t>
        </x:is>
      </x:c>
    </x:row>
    <x:row r="1162" ht="22" customHeight="1">
      <x:c r="A1162" s="604" t="inlineStr">
        <x:is>
          <x:t xml:space="preserve">2026-10-06</x:t>
        </x:is>
      </x:c>
      <x:c r="B1162" s="604" t="inlineStr">
        <x:is>
          <x:t xml:space="preserve">2026-10-07 02:00</x:t>
        </x:is>
      </x:c>
      <x:c r="C1162" s="604" t="str">
        <x:v>五大联赛杯赛</x:v>
      </x:c>
      <x:c r="D1162" s="604" t="inlineStr">
        <x:is>
          <x:t xml:space="preserve">联赛</x:t>
        </x:is>
      </x:c>
      <x:c r="E1162" s="604" t="inlineStr">
        <x:is>
          <x:t xml:space="preserve">英锦赛</x:t>
        </x:is>
      </x:c>
      <x:c r="F1162" s="604" t="inlineStr">
        <x:is>
          <x:t xml:space="preserve">哈德斯菲尔德 vs 罗奇代尔</x:t>
        </x:is>
      </x:c>
      <x:c r="G1162" s="604" t="n">
        <x:v>0.86</x:v>
      </x:c>
      <x:c r="H1162" s="604" t="n">
        <x:v>1.5</x:v>
      </x:c>
      <x:c r="I1162" s="604" t="n">
        <x:v>0.96</x:v>
      </x:c>
      <x:c r="J1162" s="604" t="inlineStr">
        <x:is>
          <x:t xml:space="preserve">0.86/1.5/0.96</x:t>
        </x:is>
      </x:c>
      <x:c r="K1162" s="604" t="inlineStr">
        <x:is>
          <x:t xml:space="preserve">V4-C｜EV +0.1317</x:t>
        </x:is>
      </x:c>
      <x:c r="L1162" s="604" t="inlineStr">
        <x:is>
          <x:t xml:space="preserve">哈德斯菲尔德</x:t>
        </x:is>
      </x:c>
      <x:c r="M1162" s="604" t="n">
        <x:v>0.6084629819333969</x:v>
      </x:c>
      <x:c r="N1162" s="604" t="inlineStr">
        <x:is>
          <x:t xml:space="preserve">V4纸面入选-C</x:t>
        </x:is>
      </x:c>
      <x:c r="O1162" s="604" t="inlineStr">
        <x:is>
          <x:t xml:space="preserve">5-0</x:t>
        </x:is>
      </x:c>
      <x:c r="P1162" s="604" t="inlineStr">
        <x:is>
          <x:t xml:space="preserve">已结算</x:t>
        </x:is>
      </x:c>
      <x:c r="Q1162" s="645" t="inlineStr">
        <x:is>
          <x:t xml:space="preserve">红</x:t>
        </x:is>
      </x:c>
      <x:c r="R1162" s="604" t="n">
        <x:v>0.86</x:v>
      </x:c>
      <x:c r="S1162" s="604" t="n">
        <x:f>IF(OR(Q1162="",Q1162="待结算"),"",IF(Q1162="红",R1162,IF(Q1162="半红",R1162*0.5,IF(Q1162="走",0,IF(Q1162="半黑",-0.5,-1)))))</x:f>
        <x:v>0.86</x:v>
      </x:c>
      <x:c r="T1162" s="604" t="inlineStr">
        <x:is>
          <x:t xml:space="preserve">https://m.titan007.com/analy/Analysis/3012861.htm</x:t>
        </x:is>
      </x:c>
      <x:c r="U1162" s="646" t="str">
        <x:f>IF(Q1162="","",IF(Q1162="待结算","待结算",IF(Q1162="红","黑",IF(Q1162="半红","半黑",IF(Q1162="走","走",IF(Q1162="半黑","半红","红"))))))</x:f>
        <x:v>黑</x:v>
      </x:c>
      <x:c r="V1162" s="604" t="n">
        <x:f>IF(OR(Q1162="",Q1162="待结算"),"",IF(L1162=LEFT(F1162,FIND(" vs ",F1162)-1),I1162,G1162))</x:f>
        <x:v>0.96</x:v>
      </x:c>
      <x:c r="W1162" s="604" t="n">
        <x:f>IF(OR(U1162="",U1162="待结算"),"",IF(U1162="红",V1162,IF(U1162="半红",V1162*0.5,IF(U1162="走",0,IF(U1162="半黑",-0.5,-1)))))</x:f>
        <x:v>-1</x:v>
      </x:c>
      <x:c r="X1162" s="604" t="inlineStr">
        <x:is>
          <x:t xml:space="preserve">3012861</x:t>
        </x:is>
      </x:c>
      <x:c r="Y1162" s="604" t="inlineStr">
        <x:is>
          <x:t xml:space="preserve">V4</x:t>
        </x:is>
      </x:c>
      <x:c r="Z1162" s="604" t="inlineStr">
        <x:is>
          <x:t xml:space="preserve">prior-2026-10-06-v1</x:t>
        </x:is>
      </x:c>
      <x:c r="AA1162" s="604" t="inlineStr">
        <x:is>
          <x:t xml:space="preserve">C</x:t>
        </x:is>
      </x:c>
      <x:c r="AB1162" s="604" t="n">
        <x:v>0.6084629819333969</x:v>
      </x:c>
      <x:c r="AC1162" s="604" t="n"/>
      <x:c r="AD1162" s="604" t="n"/>
      <x:c r="AE1162" s="604" t="n"/>
      <x:c r="AF1162" s="604" t="n">
        <x:v>0.3915370180666031</x:v>
      </x:c>
      <x:c r="AG1162" s="604" t="n">
        <x:v>0.1317411463961182</x:v>
      </x:c>
      <x:c r="AH1162" s="604" t="n"/>
      <x:c r="AI1162" s="604" t="n"/>
      <x:c r="AJ1162" s="604" t="n">
        <x:v>0.1317411463961182</x:v>
      </x:c>
      <x:c r="AK1162" s="604" t="n"/>
      <x:c r="AL1162" s="604" t="n"/>
      <x:c r="AM1162" s="604" t="n"/>
      <x:c r="AN1162" s="604" t="inlineStr">
        <x:is>
          <x:t xml:space="preserve">EVALUATED</x:t>
        </x:is>
      </x:c>
      <x:c r="AO1162" s="604" t="inlineStr">
        <x:is>
          <x:t xml:space="preserve">GIVING_VALIDATED_EDGE、BUCKET_PRIOR_ONLY、INTENT_INTERPRETATION_ONLY、FFL_OPTIONAL、EXPERT_MARKET</x:t>
        </x:is>
      </x:c>
      <x:c r="AP1162" s="604" t="inlineStr">
        <x:is>
          <x:t xml:space="preserve">616a6d45415b644a679d</x:t>
        </x:is>
      </x:c>
      <x:c r="AQ1162" s="604" t="n">
        <x:v>-1.5</x:v>
      </x:c>
      <x:c r="AR1162" s="604" t="n">
        <x:v>0.86</x:v>
      </x:c>
      <x:c r="AS1162" s="604" t="n">
        <x:v>1.5</x:v>
      </x:c>
      <x:c r="AT1162" s="604" t="n">
        <x:v>-1.5</x:v>
      </x:c>
      <x:c r="AU1162" s="604" t="n">
        <x:v>0.86</x:v>
      </x:c>
      <x:c r="AV1162" s="604" t="n">
        <x:v>0.96</x:v>
      </x:c>
      <x:c r="AW1162" s="604" t="n">
        <x:v>46301.03159395833</x:v>
      </x:c>
      <x:c r="AX1162" s="604" t="inlineStr">
        <x:is>
          <x:t xml:space="preserve">https://simondongxiao.github.io/odds/v4/</x:t>
        </x:is>
      </x:c>
      <x:c r="AY1162" s="604" t="inlineStr">
        <x:is>
          <x:t xml:space="preserve">V4 Shadow Only；real_money=false；P(EV&gt;0)不是比赛胜率</x:t>
        </x:is>
      </x:c>
    </x:row>
    <x:row r="1163" ht="22" customHeight="1">
      <x:c r="A1163" s="604" t="inlineStr">
        <x:is>
          <x:t xml:space="preserve">2026-10-06</x:t>
        </x:is>
      </x:c>
      <x:c r="B1163" s="604" t="inlineStr">
        <x:is>
          <x:t xml:space="preserve">2026-10-07 02:00</x:t>
        </x:is>
      </x:c>
      <x:c r="C1163" s="604" t="str">
        <x:v>五大联赛杯赛</x:v>
      </x:c>
      <x:c r="D1163" s="604" t="inlineStr">
        <x:is>
          <x:t xml:space="preserve">联赛</x:t>
        </x:is>
      </x:c>
      <x:c r="E1163" s="604" t="inlineStr">
        <x:is>
          <x:t xml:space="preserve">英锦赛</x:t>
        </x:is>
      </x:c>
      <x:c r="F1163" s="604" t="inlineStr">
        <x:is>
          <x:t xml:space="preserve">埃克塞特城 vs 牛津联队</x:t>
        </x:is>
      </x:c>
      <x:c r="G1163" s="604" t="n">
        <x:v>0.93</x:v>
      </x:c>
      <x:c r="H1163" s="604" t="n">
        <x:v>-0.5</x:v>
      </x:c>
      <x:c r="I1163" s="604" t="n">
        <x:v>0.89</x:v>
      </x:c>
      <x:c r="J1163" s="604" t="inlineStr">
        <x:is>
          <x:t xml:space="preserve">0.93/-0.5/0.89</x:t>
        </x:is>
      </x:c>
      <x:c r="K1163" s="604" t="inlineStr">
        <x:is>
          <x:t xml:space="preserve">V4-C｜EV +0.5081</x:t>
        </x:is>
      </x:c>
      <x:c r="L1163" s="604" t="inlineStr">
        <x:is>
          <x:t xml:space="preserve">埃克塞特城</x:t>
        </x:is>
      </x:c>
      <x:c r="M1163" s="604" t="n">
        <x:v>0.7813917016077553</x:v>
      </x:c>
      <x:c r="N1163" s="604" t="inlineStr">
        <x:is>
          <x:t xml:space="preserve">V4纸面入选-C</x:t>
        </x:is>
      </x:c>
      <x:c r="O1163" s="604" t="inlineStr">
        <x:is>
          <x:t xml:space="preserve">2-2</x:t>
        </x:is>
      </x:c>
      <x:c r="P1163" s="604" t="inlineStr">
        <x:is>
          <x:t xml:space="preserve">已结算</x:t>
        </x:is>
      </x:c>
      <x:c r="Q1163" s="645" t="inlineStr">
        <x:is>
          <x:t xml:space="preserve">红</x:t>
        </x:is>
      </x:c>
      <x:c r="R1163" s="604" t="n">
        <x:v>0.93</x:v>
      </x:c>
      <x:c r="S1163" s="604" t="n">
        <x:f>IF(OR(Q1163="",Q1163="待结算"),"",IF(Q1163="红",R1163,IF(Q1163="半红",R1163*0.5,IF(Q1163="走",0,IF(Q1163="半黑",-0.5,-1)))))</x:f>
        <x:v>0.93</x:v>
      </x:c>
      <x:c r="T1163" s="604" t="inlineStr">
        <x:is>
          <x:t xml:space="preserve">https://m.titan007.com/analy/Analysis/3012954.htm</x:t>
        </x:is>
      </x:c>
      <x:c r="U1163" s="646" t="str">
        <x:f>IF(Q1163="","",IF(Q1163="待结算","待结算",IF(Q1163="红","黑",IF(Q1163="半红","半黑",IF(Q1163="走","走",IF(Q1163="半黑","半红","红"))))))</x:f>
        <x:v>黑</x:v>
      </x:c>
      <x:c r="V1163" s="604" t="n">
        <x:f>IF(OR(Q1163="",Q1163="待结算"),"",IF(L1163=LEFT(F1163,FIND(" vs ",F1163)-1),I1163,G1163))</x:f>
        <x:v>0.89</x:v>
      </x:c>
      <x:c r="W1163" s="604" t="n">
        <x:f>IF(OR(U1163="",U1163="待结算"),"",IF(U1163="红",V1163,IF(U1163="半红",V1163*0.5,IF(U1163="走",0,IF(U1163="半黑",-0.5,-1)))))</x:f>
        <x:v>-1</x:v>
      </x:c>
      <x:c r="X1163" s="604" t="inlineStr">
        <x:is>
          <x:t xml:space="preserve">3012954</x:t>
        </x:is>
      </x:c>
      <x:c r="Y1163" s="604" t="inlineStr">
        <x:is>
          <x:t xml:space="preserve">V4</x:t>
        </x:is>
      </x:c>
      <x:c r="Z1163" s="604" t="inlineStr">
        <x:is>
          <x:t xml:space="preserve">prior-2026-10-06-v1</x:t>
        </x:is>
      </x:c>
      <x:c r="AA1163" s="604" t="inlineStr">
        <x:is>
          <x:t xml:space="preserve">C</x:t>
        </x:is>
      </x:c>
      <x:c r="AB1163" s="604" t="n">
        <x:v>0.7813917016077553</x:v>
      </x:c>
      <x:c r="AC1163" s="604" t="n"/>
      <x:c r="AD1163" s="604" t="n"/>
      <x:c r="AE1163" s="604" t="n"/>
      <x:c r="AF1163" s="604" t="n">
        <x:v>0.2186082983922447</x:v>
      </x:c>
      <x:c r="AG1163" s="604" t="n">
        <x:v>0.5080859841029678</x:v>
      </x:c>
      <x:c r="AH1163" s="604" t="n"/>
      <x:c r="AI1163" s="604" t="n"/>
      <x:c r="AJ1163" s="604" t="n">
        <x:v>0.5080859841029678</x:v>
      </x:c>
      <x:c r="AK1163" s="604" t="n"/>
      <x:c r="AL1163" s="604" t="n"/>
      <x:c r="AM1163" s="604" t="n"/>
      <x:c r="AN1163" s="604" t="inlineStr">
        <x:is>
          <x:t xml:space="preserve">EVALUATED</x:t>
        </x:is>
      </x:c>
      <x:c r="AO1163" s="604" t="inlineStr">
        <x:is>
          <x:t xml:space="preserve">RECEIVING_VALIDATED_EDGE、BUCKET_PRIOR_ONLY、INTENT_INTERPRETATION_ONLY、FFL_OPTIONAL、EXPERT_MARKET</x:t>
        </x:is>
      </x:c>
      <x:c r="AP1163" s="604" t="inlineStr">
        <x:is>
          <x:t xml:space="preserve">6a9e07d9c2f75af410fc</x:t>
        </x:is>
      </x:c>
      <x:c r="AQ1163" s="604" t="n">
        <x:v>0.5</x:v>
      </x:c>
      <x:c r="AR1163" s="604" t="n">
        <x:v>0.93</x:v>
      </x:c>
      <x:c r="AS1163" s="604" t="n">
        <x:v>-0.5</x:v>
      </x:c>
      <x:c r="AT1163" s="604" t="n">
        <x:v>0.5</x:v>
      </x:c>
      <x:c r="AU1163" s="604" t="n">
        <x:v>0.93</x:v>
      </x:c>
      <x:c r="AV1163" s="604" t="n">
        <x:v>0.89</x:v>
      </x:c>
      <x:c r="AW1163" s="604" t="n">
        <x:v>46301.03159395833</x:v>
      </x:c>
      <x:c r="AX1163" s="604" t="inlineStr">
        <x:is>
          <x:t xml:space="preserve">https://simondongxiao.github.io/odds/v4/</x:t>
        </x:is>
      </x:c>
      <x:c r="AY1163" s="604" t="inlineStr">
        <x:is>
          <x:t xml:space="preserve">V4 Shadow Only；real_money=false；P(EV&gt;0)不是比赛胜率</x:t>
        </x:is>
      </x:c>
    </x:row>
    <x:row r="1164" ht="22" customHeight="1">
      <x:c r="A1164" s="604" t="inlineStr">
        <x:is>
          <x:t xml:space="preserve">2026-10-06</x:t>
        </x:is>
      </x:c>
      <x:c r="B1164" s="604" t="inlineStr">
        <x:is>
          <x:t xml:space="preserve">2026-10-07 02:00</x:t>
        </x:is>
      </x:c>
      <x:c r="C1164" s="604" t="str">
        <x:v>五大联赛杯赛</x:v>
      </x:c>
      <x:c r="D1164" s="604" t="inlineStr">
        <x:is>
          <x:t xml:space="preserve">联赛</x:t>
        </x:is>
      </x:c>
      <x:c r="E1164" s="604" t="inlineStr">
        <x:is>
          <x:t xml:space="preserve">英锦赛</x:t>
        </x:is>
      </x:c>
      <x:c r="F1164" s="604" t="inlineStr">
        <x:is>
          <x:t xml:space="preserve">斯蒂文尼奇 vs 莱斯特城</x:t>
        </x:is>
      </x:c>
      <x:c r="G1164" s="604" t="n">
        <x:v>0.89</x:v>
      </x:c>
      <x:c r="H1164" s="604" t="n">
        <x:v>-0.25</x:v>
      </x:c>
      <x:c r="I1164" s="604" t="n">
        <x:v>0.93</x:v>
      </x:c>
      <x:c r="J1164" s="604" t="inlineStr">
        <x:is>
          <x:t xml:space="preserve">0.89/-0.25/0.93</x:t>
        </x:is>
      </x:c>
      <x:c r="K1164" s="604" t="inlineStr">
        <x:is>
          <x:t xml:space="preserve">V4-C｜EV +0.2323</x:t>
        </x:is>
      </x:c>
      <x:c r="L1164" s="604" t="inlineStr">
        <x:is>
          <x:t xml:space="preserve">斯蒂文尼奇</x:t>
        </x:is>
      </x:c>
      <x:c r="M1164" s="604" t="n">
        <x:v>0.6703233941670466</x:v>
      </x:c>
      <x:c r="N1164" s="604" t="inlineStr">
        <x:is>
          <x:t xml:space="preserve">V4纸面入选-C</x:t>
        </x:is>
      </x:c>
      <x:c r="O1164" s="604" t="inlineStr">
        <x:is>
          <x:t xml:space="preserve">2-1</x:t>
        </x:is>
      </x:c>
      <x:c r="P1164" s="604" t="inlineStr">
        <x:is>
          <x:t xml:space="preserve">已结算</x:t>
        </x:is>
      </x:c>
      <x:c r="Q1164" s="645" t="inlineStr">
        <x:is>
          <x:t xml:space="preserve">红</x:t>
        </x:is>
      </x:c>
      <x:c r="R1164" s="604" t="n">
        <x:v>0.89</x:v>
      </x:c>
      <x:c r="S1164" s="604" t="n">
        <x:f>IF(OR(Q1164="",Q1164="待结算"),"",IF(Q1164="红",R1164,IF(Q1164="半红",R1164*0.5,IF(Q1164="走",0,IF(Q1164="半黑",-0.5,-1)))))</x:f>
        <x:v>0.89</x:v>
      </x:c>
      <x:c r="T1164" s="604" t="inlineStr">
        <x:is>
          <x:t xml:space="preserve">https://m.titan007.com/analy/Analysis/3012960.htm</x:t>
        </x:is>
      </x:c>
      <x:c r="U1164" s="646" t="str">
        <x:f>IF(Q1164="","",IF(Q1164="待结算","待结算",IF(Q1164="红","黑",IF(Q1164="半红","半黑",IF(Q1164="走","走",IF(Q1164="半黑","半红","红"))))))</x:f>
        <x:v>黑</x:v>
      </x:c>
      <x:c r="V1164" s="604" t="n">
        <x:f>IF(OR(Q1164="",Q1164="待结算"),"",IF(L1164=LEFT(F1164,FIND(" vs ",F1164)-1),I1164,G1164))</x:f>
        <x:v>0.93</x:v>
      </x:c>
      <x:c r="W1164" s="604" t="n">
        <x:f>IF(OR(U1164="",U1164="待结算"),"",IF(U1164="红",V1164,IF(U1164="半红",V1164*0.5,IF(U1164="走",0,IF(U1164="半黑",-0.5,-1)))))</x:f>
        <x:v>-1</x:v>
      </x:c>
      <x:c r="X1164" s="604" t="inlineStr">
        <x:is>
          <x:t xml:space="preserve">3012960</x:t>
        </x:is>
      </x:c>
      <x:c r="Y1164" s="604" t="inlineStr">
        <x:is>
          <x:t xml:space="preserve">V4</x:t>
        </x:is>
      </x:c>
      <x:c r="Z1164" s="604" t="inlineStr">
        <x:is>
          <x:t xml:space="preserve">prior-2026-10-06-v1</x:t>
        </x:is>
      </x:c>
      <x:c r="AA1164" s="604" t="inlineStr">
        <x:is>
          <x:t xml:space="preserve">C</x:t>
        </x:is>
      </x:c>
      <x:c r="AB1164" s="604" t="n">
        <x:v>0.4539207074127873</x:v>
      </x:c>
      <x:c r="AC1164" s="604" t="n">
        <x:v>0.2591147169583582</x:v>
      </x:c>
      <x:c r="AD1164" s="604" t="n"/>
      <x:c r="AE1164" s="604" t="n"/>
      <x:c r="AF1164" s="604" t="n">
        <x:v>0.2869645756288545</x:v>
      </x:c>
      <x:c r="AG1164" s="604" t="n">
        <x:v>0.2323309030149956</x:v>
      </x:c>
      <x:c r="AH1164" s="604" t="n"/>
      <x:c r="AI1164" s="604" t="n"/>
      <x:c r="AJ1164" s="604" t="n">
        <x:v>0.2323309030149956</x:v>
      </x:c>
      <x:c r="AK1164" s="604" t="n"/>
      <x:c r="AL1164" s="604" t="n"/>
      <x:c r="AM1164" s="604" t="n"/>
      <x:c r="AN1164" s="604" t="inlineStr">
        <x:is>
          <x:t xml:space="preserve">EVALUATED</x:t>
        </x:is>
      </x:c>
      <x:c r="AO1164" s="604" t="inlineStr">
        <x:is>
          <x:t xml:space="preserve">RECEIVING_VALIDATED_EDGE、BUCKET_PRIOR_ONLY、INTENT_INTERPRETATION_ONLY、FFL_OPTIONAL、EXPERT_MARKET</x:t>
        </x:is>
      </x:c>
      <x:c r="AP1164" s="604" t="inlineStr">
        <x:is>
          <x:t xml:space="preserve">70f9bd8f44109fced0d0</x:t>
        </x:is>
      </x:c>
      <x:c r="AQ1164" s="604" t="n">
        <x:v>0.25</x:v>
      </x:c>
      <x:c r="AR1164" s="604" t="n">
        <x:v>0.89</x:v>
      </x:c>
      <x:c r="AS1164" s="604" t="n">
        <x:v>-0.25</x:v>
      </x:c>
      <x:c r="AT1164" s="604" t="n">
        <x:v>0.25</x:v>
      </x:c>
      <x:c r="AU1164" s="604" t="n">
        <x:v>0.89</x:v>
      </x:c>
      <x:c r="AV1164" s="604" t="n">
        <x:v>0.93</x:v>
      </x:c>
      <x:c r="AW1164" s="604" t="n">
        <x:v>46301.03159395833</x:v>
      </x:c>
      <x:c r="AX1164" s="604" t="inlineStr">
        <x:is>
          <x:t xml:space="preserve">https://simondongxiao.github.io/odds/v4/</x:t>
        </x:is>
      </x:c>
      <x:c r="AY1164" s="604" t="inlineStr">
        <x:is>
          <x:t xml:space="preserve">V4 Shadow Only；real_money=false；P(EV&gt;0)不是比赛胜率</x:t>
        </x:is>
      </x:c>
    </x:row>
    <x:row r="1165" ht="22" customHeight="1">
      <x:c r="A1165" s="604" t="inlineStr">
        <x:is>
          <x:t xml:space="preserve">2026-10-06</x:t>
        </x:is>
      </x:c>
      <x:c r="B1165" s="604" t="inlineStr">
        <x:is>
          <x:t xml:space="preserve">2026-10-07 02:00</x:t>
        </x:is>
      </x:c>
      <x:c r="C1165" s="604" t="str">
        <x:v>五大联赛杯赛</x:v>
      </x:c>
      <x:c r="D1165" s="604" t="inlineStr">
        <x:is>
          <x:t xml:space="preserve">联赛</x:t>
        </x:is>
      </x:c>
      <x:c r="E1165" s="604" t="inlineStr">
        <x:is>
          <x:t xml:space="preserve">英锦赛</x:t>
        </x:is>
      </x:c>
      <x:c r="F1165" s="604" t="inlineStr">
        <x:is>
          <x:t xml:space="preserve">韦康比流浪者 vs 布里斯托流浪</x:t>
        </x:is>
      </x:c>
      <x:c r="G1165" s="604" t="n">
        <x:v>0.97</x:v>
      </x:c>
      <x:c r="H1165" s="604" t="n">
        <x:v>0</x:v>
      </x:c>
      <x:c r="I1165" s="604" t="n">
        <x:v>0.85</x:v>
      </x:c>
      <x:c r="J1165" s="604" t="inlineStr">
        <x:is>
          <x:t xml:space="preserve">0.97/0/0.85</x:t>
        </x:is>
      </x:c>
      <x:c r="K1165" s="604" t="inlineStr">
        <x:is>
          <x:t xml:space="preserve">V4-C｜EV +0.0174</x:t>
        </x:is>
      </x:c>
      <x:c r="L1165" s="604" t="str"/>
      <x:c r="M1165" s="604" t="n">
        <x:v>0.5177081939826648</x:v>
      </x:c>
      <x:c r="N1165" s="604" t="inlineStr">
        <x:is>
          <x:t xml:space="preserve">V4纸面入选-C</x:t>
        </x:is>
      </x:c>
      <x:c r="O1165" s="604" t="inlineStr">
        <x:is>
          <x:t xml:space="preserve">4-1</x:t>
        </x:is>
      </x:c>
      <x:c r="P1165" s="604" t="inlineStr">
        <x:is>
          <x:t xml:space="preserve">已结算</x:t>
        </x:is>
      </x:c>
      <x:c r="Q1165" s="645" t="inlineStr">
        <x:is>
          <x:t xml:space="preserve">红</x:t>
        </x:is>
      </x:c>
      <x:c r="R1165" s="604" t="n">
        <x:v>0.85</x:v>
      </x:c>
      <x:c r="S1165" s="604" t="n">
        <x:f>IF(OR(Q1165="",Q1165="待结算"),"",IF(Q1165="红",R1165,IF(Q1165="半红",R1165*0.5,IF(Q1165="走",0,IF(Q1165="半黑",-0.5,-1)))))</x:f>
        <x:v>0.85</x:v>
      </x:c>
      <x:c r="T1165" s="604" t="inlineStr">
        <x:is>
          <x:t xml:space="preserve">https://m.titan007.com/analy/Analysis/3012967.htm</x:t>
        </x:is>
      </x:c>
      <x:c r="U1165" s="646" t="str">
        <x:f>IF(Q1165="","",IF(Q1165="待结算","待结算",IF(Q1165="红","黑",IF(Q1165="半红","半黑",IF(Q1165="走","走",IF(Q1165="半黑","半红","红"))))))</x:f>
        <x:v>黑</x:v>
      </x:c>
      <x:c r="V1165" s="604" t="n">
        <x:f>IF(OR(Q1165="",Q1165="待结算"),"",IF(L1165=LEFT(F1165,FIND(" vs ",F1165)-1),I1165,G1165))</x:f>
        <x:v>0.97</x:v>
      </x:c>
      <x:c r="W1165" s="604" t="n">
        <x:f>IF(OR(U1165="",U1165="待结算"),"",IF(U1165="红",V1165,IF(U1165="半红",V1165*0.5,IF(U1165="走",0,IF(U1165="半黑",-0.5,-1)))))</x:f>
        <x:v>-1</x:v>
      </x:c>
      <x:c r="X1165" s="604" t="inlineStr">
        <x:is>
          <x:t xml:space="preserve">3012967</x:t>
        </x:is>
      </x:c>
      <x:c r="Y1165" s="604" t="inlineStr">
        <x:is>
          <x:t xml:space="preserve">V4</x:t>
        </x:is>
      </x:c>
      <x:c r="Z1165" s="604" t="inlineStr">
        <x:is>
          <x:t xml:space="preserve">prior-2026-10-06-v1</x:t>
        </x:is>
      </x:c>
      <x:c r="AA1165" s="604" t="inlineStr">
        <x:is>
          <x:t xml:space="preserve">C</x:t>
        </x:is>
      </x:c>
      <x:c r="AB1165" s="604" t="n">
        <x:v>0.3269199084324048</x:v>
      </x:c>
      <x:c r="AC1165" s="604" t="n">
        <x:v>0.2514162950515628</x:v>
      </x:c>
      <x:c r="AD1165" s="604" t="n"/>
      <x:c r="AE1165" s="604" t="n"/>
      <x:c r="AF1165" s="604" t="n">
        <x:v>0.4216637965160325</x:v>
      </x:c>
      <x:c r="AG1165" s="604" t="n">
        <x:v>0.01738541776340807</x:v>
      </x:c>
      <x:c r="AH1165" s="604" t="n"/>
      <x:c r="AI1165" s="604" t="n"/>
      <x:c r="AJ1165" s="604" t="n">
        <x:v>0.01738541776340807</x:v>
      </x:c>
      <x:c r="AK1165" s="604" t="n"/>
      <x:c r="AL1165" s="604" t="n"/>
      <x:c r="AM1165" s="604" t="n"/>
      <x:c r="AN1165" s="604" t="inlineStr">
        <x:is>
          <x:t xml:space="preserve">EVALUATED</x:t>
        </x:is>
      </x:c>
      <x:c r="AO1165" s="604" t="inlineStr">
        <x:is>
          <x:t xml:space="preserve">EDGE_BELOW_UNCERTAINTY_THRESHOLD、BUCKET_PRIOR_ONLY、INTENT_INTERPRETATION_ONLY、FFL_OPTIONAL、EXPERT_MARKET</x:t>
        </x:is>
      </x:c>
      <x:c r="AP1165" s="604" t="inlineStr">
        <x:is>
          <x:t xml:space="preserve">82e5000016c4992b0b7e</x:t>
        </x:is>
      </x:c>
      <x:c r="AQ1165" s="604" t="n">
        <x:v>0</x:v>
      </x:c>
      <x:c r="AR1165" s="604" t="n"/>
      <x:c r="AS1165" s="604" t="n">
        <x:v>0</x:v>
      </x:c>
      <x:c r="AT1165" s="604" t="n">
        <x:v>0</x:v>
      </x:c>
      <x:c r="AU1165" s="604" t="n">
        <x:v>0.97</x:v>
      </x:c>
      <x:c r="AV1165" s="604" t="n">
        <x:v>0.85</x:v>
      </x:c>
      <x:c r="AW1165" s="604" t="n">
        <x:v>46301.03159395833</x:v>
      </x:c>
      <x:c r="AX1165" s="604" t="inlineStr">
        <x:is>
          <x:t xml:space="preserve">https://simondongxiao.github.io/odds/v4/</x:t>
        </x:is>
      </x:c>
      <x:c r="AY1165" s="604" t="inlineStr">
        <x:is>
          <x:t xml:space="preserve">V4 Shadow Only；real_money=false；P(EV&gt;0)不是比赛胜率</x:t>
        </x:is>
      </x:c>
    </x:row>
    <x:row r="1166" ht="22" customHeight="1">
      <x:c r="A1166" s="604" t="inlineStr">
        <x:is>
          <x:t xml:space="preserve">2026-10-06</x:t>
        </x:is>
      </x:c>
      <x:c r="B1166" s="604" t="inlineStr">
        <x:is>
          <x:t xml:space="preserve">2026-10-07 02:00</x:t>
        </x:is>
      </x:c>
      <x:c r="C1166" s="604" t="str">
        <x:v>五大联赛杯赛</x:v>
      </x:c>
      <x:c r="D1166" s="604" t="inlineStr">
        <x:is>
          <x:t xml:space="preserve">联赛</x:t>
        </x:is>
      </x:c>
      <x:c r="E1166" s="604" t="inlineStr">
        <x:is>
          <x:t xml:space="preserve">英锦赛</x:t>
        </x:is>
      </x:c>
      <x:c r="F1166" s="604" t="inlineStr">
        <x:is>
          <x:t xml:space="preserve">彼得堡联 vs 伊普斯维奇U21</x:t>
        </x:is>
      </x:c>
      <x:c r="G1166" s="604" t="n">
        <x:v>0.95</x:v>
      </x:c>
      <x:c r="H1166" s="604" t="n">
        <x:v>2.25</x:v>
      </x:c>
      <x:c r="I1166" s="604" t="n">
        <x:v>0.87</x:v>
      </x:c>
      <x:c r="J1166" s="604" t="inlineStr">
        <x:is>
          <x:t xml:space="preserve">0.95/2.25/0.87</x:t>
        </x:is>
      </x:c>
      <x:c r="K1166" s="604" t="inlineStr">
        <x:is>
          <x:t xml:space="preserve">V4-C｜EV +0.0765</x:t>
        </x:is>
      </x:c>
      <x:c r="L1166" s="604" t="inlineStr">
        <x:is>
          <x:t xml:space="preserve">彼得堡联</x:t>
        </x:is>
      </x:c>
      <x:c r="M1166" s="604" t="n">
        <x:v>0.5574773309636289</x:v>
      </x:c>
      <x:c r="N1166" s="604" t="inlineStr">
        <x:is>
          <x:t xml:space="preserve">V4纸面入选-C</x:t>
        </x:is>
      </x:c>
      <x:c r="O1166" s="604" t="inlineStr">
        <x:is>
          <x:t xml:space="preserve">4-1</x:t>
        </x:is>
      </x:c>
      <x:c r="P1166" s="604" t="inlineStr">
        <x:is>
          <x:t xml:space="preserve">已结算</x:t>
        </x:is>
      </x:c>
      <x:c r="Q1166" s="645" t="inlineStr">
        <x:is>
          <x:t xml:space="preserve">红</x:t>
        </x:is>
      </x:c>
      <x:c r="R1166" s="604" t="n">
        <x:v>0.95</x:v>
      </x:c>
      <x:c r="S1166" s="604" t="n">
        <x:f>IF(OR(Q1166="",Q1166="待结算"),"",IF(Q1166="红",R1166,IF(Q1166="半红",R1166*0.5,IF(Q1166="走",0,IF(Q1166="半黑",-0.5,-1)))))</x:f>
        <x:v>0.95</x:v>
      </x:c>
      <x:c r="T1166" s="604" t="inlineStr">
        <x:is>
          <x:t xml:space="preserve">https://m.titan007.com/analy/Analysis/3012975.htm</x:t>
        </x:is>
      </x:c>
      <x:c r="U1166" s="646" t="str">
        <x:f>IF(Q1166="","",IF(Q1166="待结算","待结算",IF(Q1166="红","黑",IF(Q1166="半红","半黑",IF(Q1166="走","走",IF(Q1166="半黑","半红","红"))))))</x:f>
        <x:v>黑</x:v>
      </x:c>
      <x:c r="V1166" s="604" t="n">
        <x:f>IF(OR(Q1166="",Q1166="待结算"),"",IF(L1166=LEFT(F1166,FIND(" vs ",F1166)-1),I1166,G1166))</x:f>
        <x:v>0.87</x:v>
      </x:c>
      <x:c r="W1166" s="604" t="n">
        <x:f>IF(OR(U1166="",U1166="待结算"),"",IF(U1166="红",V1166,IF(U1166="半红",V1166*0.5,IF(U1166="走",0,IF(U1166="半黑",-0.5,-1)))))</x:f>
        <x:v>-1</x:v>
      </x:c>
      <x:c r="X1166" s="604" t="inlineStr">
        <x:is>
          <x:t xml:space="preserve">3012975</x:t>
        </x:is>
      </x:c>
      <x:c r="Y1166" s="604" t="inlineStr">
        <x:is>
          <x:t xml:space="preserve">V4</x:t>
        </x:is>
      </x:c>
      <x:c r="Z1166" s="604" t="inlineStr">
        <x:is>
          <x:t xml:space="preserve">prior-2026-10-06-v1</x:t>
        </x:is>
      </x:c>
      <x:c r="AA1166" s="604" t="inlineStr">
        <x:is>
          <x:t xml:space="preserve">C</x:t>
        </x:is>
      </x:c>
      <x:c r="AB1166" s="604" t="n">
        <x:v>0.4898227797708971</x:v>
      </x:c>
      <x:c r="AC1166" s="604" t="n"/>
      <x:c r="AD1166" s="604" t="n"/>
      <x:c r="AE1166" s="604" t="n">
        <x:v>0.2427167794456768</x:v>
      </x:c>
      <x:c r="AF1166" s="604" t="n">
        <x:v>0.2674604407834262</x:v>
      </x:c>
      <x:c r="AG1166" s="604" t="n">
        <x:v>0.07651281027608764</x:v>
      </x:c>
      <x:c r="AH1166" s="604" t="n"/>
      <x:c r="AI1166" s="604" t="n"/>
      <x:c r="AJ1166" s="604" t="n">
        <x:v>0.07651281027608764</x:v>
      </x:c>
      <x:c r="AK1166" s="604" t="n"/>
      <x:c r="AL1166" s="604" t="n"/>
      <x:c r="AM1166" s="604" t="n"/>
      <x:c r="AN1166" s="604" t="inlineStr">
        <x:is>
          <x:t xml:space="preserve">EVALUATED</x:t>
        </x:is>
      </x:c>
      <x:c r="AO1166" s="604" t="inlineStr">
        <x:is>
          <x:t xml:space="preserve">GIVING_VALIDATED_EDGE、BUCKET_PRIOR_ONLY、INTENT_INTERPRETATION_ONLY、FFL_OPTIONAL、EXPERT_MARKET</x:t>
        </x:is>
      </x:c>
      <x:c r="AP1166" s="604" t="inlineStr">
        <x:is>
          <x:t xml:space="preserve">51837ca5d623e6a7cfc7</x:t>
        </x:is>
      </x:c>
      <x:c r="AQ1166" s="604" t="n">
        <x:v>-2.25</x:v>
      </x:c>
      <x:c r="AR1166" s="604" t="n">
        <x:v>0.95</x:v>
      </x:c>
      <x:c r="AS1166" s="604" t="n">
        <x:v>2.25</x:v>
      </x:c>
      <x:c r="AT1166" s="604" t="n">
        <x:v>-2.25</x:v>
      </x:c>
      <x:c r="AU1166" s="604" t="n">
        <x:v>0.95</x:v>
      </x:c>
      <x:c r="AV1166" s="604" t="n">
        <x:v>0.87</x:v>
      </x:c>
      <x:c r="AW1166" s="604" t="n">
        <x:v>46301.03159395833</x:v>
      </x:c>
      <x:c r="AX1166" s="604" t="inlineStr">
        <x:is>
          <x:t xml:space="preserve">https://simondongxiao.github.io/odds/v4/</x:t>
        </x:is>
      </x:c>
      <x:c r="AY1166" s="604" t="inlineStr">
        <x:is>
          <x:t xml:space="preserve">V4 Shadow Only；real_money=false；P(EV&gt;0)不是比赛胜率</x:t>
        </x:is>
      </x:c>
    </x:row>
    <x:row r="1167" ht="22" customHeight="1">
      <x:c r="A1167" s="604" t="inlineStr">
        <x:is>
          <x:t xml:space="preserve">2026-10-06</x:t>
        </x:is>
      </x:c>
      <x:c r="B1167" s="604" t="inlineStr">
        <x:is>
          <x:t xml:space="preserve">2026-10-07 02:00</x:t>
        </x:is>
      </x:c>
      <x:c r="C1167" s="604" t="str">
        <x:v>五大联赛杯赛</x:v>
      </x:c>
      <x:c r="D1167" s="604" t="inlineStr">
        <x:is>
          <x:t xml:space="preserve">联赛</x:t>
        </x:is>
      </x:c>
      <x:c r="E1167" s="604" t="inlineStr">
        <x:is>
          <x:t xml:space="preserve">英锦赛</x:t>
        </x:is>
      </x:c>
      <x:c r="F1167" s="604" t="inlineStr">
        <x:is>
          <x:t xml:space="preserve">纽波特 vs 普利茅斯</x:t>
        </x:is>
      </x:c>
      <x:c r="G1167" s="604" t="n">
        <x:v>1.01</x:v>
      </x:c>
      <x:c r="H1167" s="604" t="n">
        <x:v>-0.75</x:v>
      </x:c>
      <x:c r="I1167" s="604" t="n">
        <x:v>0.8100000000000001</x:v>
      </x:c>
      <x:c r="J1167" s="604" t="inlineStr">
        <x:is>
          <x:t xml:space="preserve">1.01/-0.75/0.81</x:t>
        </x:is>
      </x:c>
      <x:c r="K1167" s="604" t="inlineStr">
        <x:is>
          <x:t xml:space="preserve">V4-C｜EV +0.7888</x:t>
        </x:is>
      </x:c>
      <x:c r="L1167" s="604" t="inlineStr">
        <x:is>
          <x:t xml:space="preserve">纽波特</x:t>
        </x:is>
      </x:c>
      <x:c r="M1167" s="604" t="n">
        <x:v>0.9100464076924794</x:v>
      </x:c>
      <x:c r="N1167" s="604" t="inlineStr">
        <x:is>
          <x:t xml:space="preserve">V4纸面入选-C</x:t>
        </x:is>
      </x:c>
      <x:c r="O1167" s="604" t="inlineStr">
        <x:is>
          <x:t xml:space="preserve">2-2</x:t>
        </x:is>
      </x:c>
      <x:c r="P1167" s="604" t="inlineStr">
        <x:is>
          <x:t xml:space="preserve">已结算</x:t>
        </x:is>
      </x:c>
      <x:c r="Q1167" s="645" t="inlineStr">
        <x:is>
          <x:t xml:space="preserve">红</x:t>
        </x:is>
      </x:c>
      <x:c r="R1167" s="604" t="n">
        <x:v>1.01</x:v>
      </x:c>
      <x:c r="S1167" s="604" t="n">
        <x:f>IF(OR(Q1167="",Q1167="待结算"),"",IF(Q1167="红",R1167,IF(Q1167="半红",R1167*0.5,IF(Q1167="走",0,IF(Q1167="半黑",-0.5,-1)))))</x:f>
        <x:v>1.01</x:v>
      </x:c>
      <x:c r="T1167" s="604" t="inlineStr">
        <x:is>
          <x:t xml:space="preserve">https://m.titan007.com/analy/Analysis/3012981.htm</x:t>
        </x:is>
      </x:c>
      <x:c r="U1167" s="646" t="str">
        <x:f>IF(Q1167="","",IF(Q1167="待结算","待结算",IF(Q1167="红","黑",IF(Q1167="半红","半黑",IF(Q1167="走","走",IF(Q1167="半黑","半红","红"))))))</x:f>
        <x:v>黑</x:v>
      </x:c>
      <x:c r="V1167" s="604" t="n">
        <x:f>IF(OR(Q1167="",Q1167="待结算"),"",IF(L1167=LEFT(F1167,FIND(" vs ",F1167)-1),I1167,G1167))</x:f>
        <x:v>0.81</x:v>
      </x:c>
      <x:c r="W1167" s="604" t="n">
        <x:f>IF(OR(U1167="",U1167="待结算"),"",IF(U1167="红",V1167,IF(U1167="半红",V1167*0.5,IF(U1167="走",0,IF(U1167="半黑",-0.5,-1)))))</x:f>
        <x:v>-1</x:v>
      </x:c>
      <x:c r="X1167" s="604" t="inlineStr">
        <x:is>
          <x:t xml:space="preserve">3012981</x:t>
        </x:is>
      </x:c>
      <x:c r="Y1167" s="604" t="inlineStr">
        <x:is>
          <x:t xml:space="preserve">V4</x:t>
        </x:is>
      </x:c>
      <x:c r="Z1167" s="604" t="inlineStr">
        <x:is>
          <x:t xml:space="preserve">prior-2026-10-06-v1</x:t>
        </x:is>
      </x:c>
      <x:c r="AA1167" s="604" t="inlineStr">
        <x:is>
          <x:t xml:space="preserve">C</x:t>
        </x:is>
      </x:c>
      <x:c r="AB1167" s="604" t="n">
        <x:v>0.8657656041495398</x:v>
      </x:c>
      <x:c r="AC1167" s="604" t="n"/>
      <x:c r="AD1167" s="604" t="n"/>
      <x:c r="AE1167" s="604" t="n">
        <x:v>0.09731548450417661</x:v>
      </x:c>
      <x:c r="AF1167" s="604" t="n">
        <x:v>0.03691891134628352</x:v>
      </x:c>
      <x:c r="AG1167" s="604" t="n">
        <x:v>0.7888466065926634</x:v>
      </x:c>
      <x:c r="AH1167" s="604" t="n"/>
      <x:c r="AI1167" s="604" t="n"/>
      <x:c r="AJ1167" s="604" t="n">
        <x:v>0.7888466065926634</x:v>
      </x:c>
      <x:c r="AK1167" s="604" t="n"/>
      <x:c r="AL1167" s="604" t="n"/>
      <x:c r="AM1167" s="604" t="n"/>
      <x:c r="AN1167" s="604" t="inlineStr">
        <x:is>
          <x:t xml:space="preserve">EVALUATED</x:t>
        </x:is>
      </x:c>
      <x:c r="AO1167" s="604" t="inlineStr">
        <x:is>
          <x:t xml:space="preserve">RECEIVING_VALIDATED_EDGE、BUCKET_PRIOR_ONLY、INTENT_INTERPRETATION_ONLY、FFL_OPTIONAL、EXPERT_MARKET</x:t>
        </x:is>
      </x:c>
      <x:c r="AP1167" s="604" t="inlineStr">
        <x:is>
          <x:t xml:space="preserve">2b14dc33f2f19c8c63c9</x:t>
        </x:is>
      </x:c>
      <x:c r="AQ1167" s="604" t="n">
        <x:v>0.75</x:v>
      </x:c>
      <x:c r="AR1167" s="604" t="n">
        <x:v>1.01</x:v>
      </x:c>
      <x:c r="AS1167" s="604" t="n">
        <x:v>-0.75</x:v>
      </x:c>
      <x:c r="AT1167" s="604" t="n">
        <x:v>0.75</x:v>
      </x:c>
      <x:c r="AU1167" s="604" t="n">
        <x:v>1.01</x:v>
      </x:c>
      <x:c r="AV1167" s="604" t="n">
        <x:v>0.8100000000000001</x:v>
      </x:c>
      <x:c r="AW1167" s="604" t="n">
        <x:v>46301.03159395833</x:v>
      </x:c>
      <x:c r="AX1167" s="604" t="inlineStr">
        <x:is>
          <x:t xml:space="preserve">https://simondongxiao.github.io/odds/v4/</x:t>
        </x:is>
      </x:c>
      <x:c r="AY1167" s="604" t="inlineStr">
        <x:is>
          <x:t xml:space="preserve">V4 Shadow Only；real_money=false；P(EV&gt;0)不是比赛胜率</x:t>
        </x:is>
      </x:c>
    </x:row>
    <x:row r="1168" ht="22" customHeight="1">
      <x:c r="A1168" s="604" t="inlineStr">
        <x:is>
          <x:t xml:space="preserve">2026-10-06</x:t>
        </x:is>
      </x:c>
      <x:c r="B1168" s="604" t="inlineStr">
        <x:is>
          <x:t xml:space="preserve">2026-10-07 02:00</x:t>
        </x:is>
      </x:c>
      <x:c r="C1168" s="604" t="str">
        <x:v>五大联赛杯赛</x:v>
      </x:c>
      <x:c r="D1168" s="604" t="inlineStr">
        <x:is>
          <x:t xml:space="preserve">联赛</x:t>
        </x:is>
      </x:c>
      <x:c r="E1168" s="604" t="inlineStr">
        <x:is>
          <x:t xml:space="preserve">英锦赛</x:t>
        </x:is>
      </x:c>
      <x:c r="F1168" s="604" t="inlineStr">
        <x:is>
          <x:t xml:space="preserve">剑桥联 vs 北安普敦</x:t>
        </x:is>
      </x:c>
      <x:c r="G1168" s="604" t="n">
        <x:v>0.82</x:v>
      </x:c>
      <x:c r="H1168" s="604" t="n">
        <x:v>0.5</x:v>
      </x:c>
      <x:c r="I1168" s="604" t="n">
        <x:v>1</x:v>
      </x:c>
      <x:c r="J1168" s="604" t="inlineStr">
        <x:is>
          <x:t xml:space="preserve">0.82/0.5/1</x:t>
        </x:is>
      </x:c>
      <x:c r="K1168" s="604" t="inlineStr">
        <x:is>
          <x:t xml:space="preserve">V4-C｜EV +0.0798</x:t>
        </x:is>
      </x:c>
      <x:c r="L1168" s="604" t="inlineStr">
        <x:is>
          <x:t xml:space="preserve">剑桥联</x:t>
        </x:is>
      </x:c>
      <x:c r="M1168" s="604" t="n">
        <x:v>0.5932767012810619</x:v>
      </x:c>
      <x:c r="N1168" s="604" t="inlineStr">
        <x:is>
          <x:t xml:space="preserve">V4纸面入选-C</x:t>
        </x:is>
      </x:c>
      <x:c r="O1168" s="604" t="inlineStr">
        <x:is>
          <x:t xml:space="preserve">2-1</x:t>
        </x:is>
      </x:c>
      <x:c r="P1168" s="604" t="inlineStr">
        <x:is>
          <x:t xml:space="preserve">已结算</x:t>
        </x:is>
      </x:c>
      <x:c r="Q1168" s="645" t="inlineStr">
        <x:is>
          <x:t xml:space="preserve">红</x:t>
        </x:is>
      </x:c>
      <x:c r="R1168" s="604" t="n">
        <x:v>0.82</x:v>
      </x:c>
      <x:c r="S1168" s="604" t="n">
        <x:f>IF(OR(Q1168="",Q1168="待结算"),"",IF(Q1168="红",R1168,IF(Q1168="半红",R1168*0.5,IF(Q1168="走",0,IF(Q1168="半黑",-0.5,-1)))))</x:f>
        <x:v>0.82</x:v>
      </x:c>
      <x:c r="T1168" s="604" t="inlineStr">
        <x:is>
          <x:t xml:space="preserve">https://m.titan007.com/analy/Analysis/3012991.htm</x:t>
        </x:is>
      </x:c>
      <x:c r="U1168" s="646" t="str">
        <x:f>IF(Q1168="","",IF(Q1168="待结算","待结算",IF(Q1168="红","黑",IF(Q1168="半红","半黑",IF(Q1168="走","走",IF(Q1168="半黑","半红","红"))))))</x:f>
        <x:v>黑</x:v>
      </x:c>
      <x:c r="V1168" s="604" t="n">
        <x:f>IF(OR(Q1168="",Q1168="待结算"),"",IF(L1168=LEFT(F1168,FIND(" vs ",F1168)-1),I1168,G1168))</x:f>
        <x:v>1</x:v>
      </x:c>
      <x:c r="W1168" s="604" t="n">
        <x:f>IF(OR(U1168="",U1168="待结算"),"",IF(U1168="红",V1168,IF(U1168="半红",V1168*0.5,IF(U1168="走",0,IF(U1168="半黑",-0.5,-1)))))</x:f>
        <x:v>-1</x:v>
      </x:c>
      <x:c r="X1168" s="604" t="inlineStr">
        <x:is>
          <x:t xml:space="preserve">3012991</x:t>
        </x:is>
      </x:c>
      <x:c r="Y1168" s="604" t="inlineStr">
        <x:is>
          <x:t xml:space="preserve">V4</x:t>
        </x:is>
      </x:c>
      <x:c r="Z1168" s="604" t="inlineStr">
        <x:is>
          <x:t xml:space="preserve">prior-2026-10-06-v1</x:t>
        </x:is>
      </x:c>
      <x:c r="AA1168" s="604" t="inlineStr">
        <x:is>
          <x:t xml:space="preserve">C</x:t>
        </x:is>
      </x:c>
      <x:c r="AB1168" s="604" t="n">
        <x:v>0.5932767012810619</x:v>
      </x:c>
      <x:c r="AC1168" s="604" t="n"/>
      <x:c r="AD1168" s="604" t="n"/>
      <x:c r="AE1168" s="604" t="n"/>
      <x:c r="AF1168" s="604" t="n">
        <x:v>0.4067232987189381</x:v>
      </x:c>
      <x:c r="AG1168" s="604" t="n">
        <x:v>0.07976359633153257</x:v>
      </x:c>
      <x:c r="AH1168" s="604" t="n"/>
      <x:c r="AI1168" s="604" t="n"/>
      <x:c r="AJ1168" s="604" t="n">
        <x:v>0.07976359633153257</x:v>
      </x:c>
      <x:c r="AK1168" s="604" t="n"/>
      <x:c r="AL1168" s="604" t="n"/>
      <x:c r="AM1168" s="604" t="n"/>
      <x:c r="AN1168" s="604" t="inlineStr">
        <x:is>
          <x:t xml:space="preserve">EVALUATED</x:t>
        </x:is>
      </x:c>
      <x:c r="AO1168" s="604" t="inlineStr">
        <x:is>
          <x:t xml:space="preserve">GIVING_VALIDATED_EDGE、BUCKET_PRIOR_ONLY、INTENT_INTERPRETATION_ONLY、FFL_OPTIONAL、EXPERT_MARKET</x:t>
        </x:is>
      </x:c>
      <x:c r="AP1168" s="604" t="inlineStr">
        <x:is>
          <x:t xml:space="preserve">4cdae4a3169aab777021</x:t>
        </x:is>
      </x:c>
      <x:c r="AQ1168" s="604" t="n">
        <x:v>-0.5</x:v>
      </x:c>
      <x:c r="AR1168" s="604" t="n">
        <x:v>0.82</x:v>
      </x:c>
      <x:c r="AS1168" s="604" t="n">
        <x:v>0.5</x:v>
      </x:c>
      <x:c r="AT1168" s="604" t="n">
        <x:v>-0.5</x:v>
      </x:c>
      <x:c r="AU1168" s="604" t="n">
        <x:v>0.82</x:v>
      </x:c>
      <x:c r="AV1168" s="604" t="n">
        <x:v>1</x:v>
      </x:c>
      <x:c r="AW1168" s="604" t="n">
        <x:v>46301.03159395833</x:v>
      </x:c>
      <x:c r="AX1168" s="604" t="inlineStr">
        <x:is>
          <x:t xml:space="preserve">https://simondongxiao.github.io/odds/v4/</x:t>
        </x:is>
      </x:c>
      <x:c r="AY1168" s="604" t="inlineStr">
        <x:is>
          <x:t xml:space="preserve">V4 Shadow Only；real_money=false；P(EV&gt;0)不是比赛胜率</x:t>
        </x:is>
      </x:c>
    </x:row>
    <x:row r="1169" ht="22" customHeight="1">
      <x:c r="A1169" s="604" t="inlineStr">
        <x:is>
          <x:t xml:space="preserve">2026-10-06</x:t>
        </x:is>
      </x:c>
      <x:c r="B1169" s="604" t="inlineStr">
        <x:is>
          <x:t xml:space="preserve">2026-10-07 02:00</x:t>
        </x:is>
      </x:c>
      <x:c r="C1169" s="604" t="str">
        <x:v>五大联赛杯赛</x:v>
      </x:c>
      <x:c r="D1169" s="604" t="inlineStr">
        <x:is>
          <x:t xml:space="preserve">联赛</x:t>
        </x:is>
      </x:c>
      <x:c r="E1169" s="604" t="inlineStr">
        <x:is>
          <x:t xml:space="preserve">英锦赛</x:t>
        </x:is>
      </x:c>
      <x:c r="F1169" s="604" t="inlineStr">
        <x:is>
          <x:t xml:space="preserve">米尔顿凯恩斯 vs 布伦特福德U21</x:t>
        </x:is>
      </x:c>
      <x:c r="G1169" s="604" t="n">
        <x:v>0.9</x:v>
      </x:c>
      <x:c r="H1169" s="604" t="n">
        <x:v>0</x:v>
      </x:c>
      <x:c r="I1169" s="604" t="n">
        <x:v>0.92</x:v>
      </x:c>
      <x:c r="J1169" s="604" t="inlineStr">
        <x:is>
          <x:t xml:space="preserve">0.9/0/0.92</x:t>
        </x:is>
      </x:c>
      <x:c r="K1169" s="604" t="inlineStr">
        <x:is>
          <x:t xml:space="preserve">V4-C｜EV +0.0351</x:t>
        </x:is>
      </x:c>
      <x:c r="L1169" s="604" t="str"/>
      <x:c r="M1169" s="604" t="n">
        <x:v>0.5474698737251621</x:v>
      </x:c>
      <x:c r="N1169" s="604" t="inlineStr">
        <x:is>
          <x:t xml:space="preserve">V4纸面入选-C</x:t>
        </x:is>
      </x:c>
      <x:c r="O1169" s="604" t="inlineStr">
        <x:is>
          <x:t xml:space="preserve">7-1</x:t>
        </x:is>
      </x:c>
      <x:c r="P1169" s="604" t="inlineStr">
        <x:is>
          <x:t xml:space="preserve">已结算</x:t>
        </x:is>
      </x:c>
      <x:c r="Q1169" s="645" t="inlineStr">
        <x:is>
          <x:t xml:space="preserve">红</x:t>
        </x:is>
      </x:c>
      <x:c r="R1169" s="604" t="n">
        <x:v>0.92</x:v>
      </x:c>
      <x:c r="S1169" s="604" t="n">
        <x:f>IF(OR(Q1169="",Q1169="待结算"),"",IF(Q1169="红",R1169,IF(Q1169="半红",R1169*0.5,IF(Q1169="走",0,IF(Q1169="半黑",-0.5,-1)))))</x:f>
        <x:v>0.92</x:v>
      </x:c>
      <x:c r="T1169" s="604" t="inlineStr">
        <x:is>
          <x:t xml:space="preserve">https://m.titan007.com/analy/Analysis/3013001.htm</x:t>
        </x:is>
      </x:c>
      <x:c r="U1169" s="646" t="str">
        <x:f>IF(Q1169="","",IF(Q1169="待结算","待结算",IF(Q1169="红","黑",IF(Q1169="半红","半黑",IF(Q1169="走","走",IF(Q1169="半黑","半红","红"))))))</x:f>
        <x:v>黑</x:v>
      </x:c>
      <x:c r="V1169" s="604" t="n">
        <x:f>IF(OR(Q1169="",Q1169="待结算"),"",IF(L1169=LEFT(F1169,FIND(" vs ",F1169)-1),I1169,G1169))</x:f>
        <x:v>0.9</x:v>
      </x:c>
      <x:c r="W1169" s="604" t="n">
        <x:f>IF(OR(U1169="",U1169="待结算"),"",IF(U1169="红",V1169,IF(U1169="半红",V1169*0.5,IF(U1169="走",0,IF(U1169="半黑",-0.5,-1)))))</x:f>
        <x:v>-1</x:v>
      </x:c>
      <x:c r="X1169" s="604" t="inlineStr">
        <x:is>
          <x:t xml:space="preserve">3013001</x:t>
        </x:is>
      </x:c>
      <x:c r="Y1169" s="604" t="inlineStr">
        <x:is>
          <x:t xml:space="preserve">V4</x:t>
        </x:is>
      </x:c>
      <x:c r="Z1169" s="604" t="inlineStr">
        <x:is>
          <x:t xml:space="preserve">prior-2026-10-06-v1</x:t>
        </x:is>
      </x:c>
      <x:c r="AA1169" s="604" t="inlineStr">
        <x:is>
          <x:t xml:space="preserve">C</x:t>
        </x:is>
      </x:c>
      <x:c r="AB1169" s="604" t="n">
        <x:v>0.3509724131351183</x:v>
      </x:c>
      <x:c r="AC1169" s="604" t="n">
        <x:v>0.2539596588294457</x:v>
      </x:c>
      <x:c r="AD1169" s="604" t="n"/>
      <x:c r="AE1169" s="604" t="n"/>
      <x:c r="AF1169" s="604" t="n">
        <x:v>0.3950679280354361</x:v>
      </x:c>
      <x:c r="AG1169" s="604" t="n">
        <x:v>0.03508909025942092</x:v>
      </x:c>
      <x:c r="AH1169" s="604" t="n"/>
      <x:c r="AI1169" s="604" t="n"/>
      <x:c r="AJ1169" s="604" t="n">
        <x:v>0.03508909025942092</x:v>
      </x:c>
      <x:c r="AK1169" s="604" t="n"/>
      <x:c r="AL1169" s="604" t="n"/>
      <x:c r="AM1169" s="604" t="n"/>
      <x:c r="AN1169" s="604" t="inlineStr">
        <x:is>
          <x:t xml:space="preserve">EVALUATED</x:t>
        </x:is>
      </x:c>
      <x:c r="AO1169" s="604" t="inlineStr">
        <x:is>
          <x:t xml:space="preserve">EDGE_BELOW_UNCERTAINTY_THRESHOLD、BUCKET_PRIOR_ONLY、INTENT_INTERPRETATION_ONLY、FFL_OPTIONAL、EXPERT_MARKET</x:t>
        </x:is>
      </x:c>
      <x:c r="AP1169" s="604" t="inlineStr">
        <x:is>
          <x:t xml:space="preserve">0cea604fd20258687248</x:t>
        </x:is>
      </x:c>
      <x:c r="AQ1169" s="604" t="n">
        <x:v>0</x:v>
      </x:c>
      <x:c r="AR1169" s="604" t="n"/>
      <x:c r="AS1169" s="604" t="n">
        <x:v>0</x:v>
      </x:c>
      <x:c r="AT1169" s="604" t="n">
        <x:v>0</x:v>
      </x:c>
      <x:c r="AU1169" s="604" t="n">
        <x:v>0.9</x:v>
      </x:c>
      <x:c r="AV1169" s="604" t="n">
        <x:v>0.92</x:v>
      </x:c>
      <x:c r="AW1169" s="604" t="n">
        <x:v>46301.03159395833</x:v>
      </x:c>
      <x:c r="AX1169" s="604" t="inlineStr">
        <x:is>
          <x:t xml:space="preserve">https://simondongxiao.github.io/odds/v4/</x:t>
        </x:is>
      </x:c>
      <x:c r="AY1169" s="604" t="inlineStr">
        <x:is>
          <x:t xml:space="preserve">V4 Shadow Only；real_money=false；P(EV&gt;0)不是比赛胜率</x:t>
        </x:is>
      </x:c>
    </x:row>
    <x:row r="1170" ht="22" customHeight="1">
      <x:c r="A1170" s="604" t="inlineStr">
        <x:is>
          <x:t xml:space="preserve">2026-10-06</x:t>
        </x:is>
      </x:c>
      <x:c r="B1170" s="604" t="inlineStr">
        <x:is>
          <x:t xml:space="preserve">2026-10-07 02:00</x:t>
        </x:is>
      </x:c>
      <x:c r="C1170" s="604" t="str">
        <x:v>五大联赛杯赛</x:v>
      </x:c>
      <x:c r="D1170" s="604" t="inlineStr">
        <x:is>
          <x:t xml:space="preserve">联赛</x:t>
        </x:is>
      </x:c>
      <x:c r="E1170" s="604" t="inlineStr">
        <x:is>
          <x:t xml:space="preserve">英锦赛</x:t>
        </x:is>
      </x:c>
      <x:c r="F1170" s="604" t="inlineStr">
        <x:is>
          <x:t xml:space="preserve">阿克灵顿 vs 索尔福德市</x:t>
        </x:is>
      </x:c>
      <x:c r="G1170" s="604" t="n">
        <x:v>0.9</x:v>
      </x:c>
      <x:c r="H1170" s="604" t="n">
        <x:v>-0.5</x:v>
      </x:c>
      <x:c r="I1170" s="604" t="n">
        <x:v>0.92</x:v>
      </x:c>
      <x:c r="J1170" s="604" t="inlineStr">
        <x:is>
          <x:t xml:space="preserve">0.9/-0.5/0.92</x:t>
        </x:is>
      </x:c>
      <x:c r="K1170" s="604" t="inlineStr">
        <x:is>
          <x:t xml:space="preserve">V4-C｜EV +0.4720</x:t>
        </x:is>
      </x:c>
      <x:c r="L1170" s="604" t="inlineStr">
        <x:is>
          <x:t xml:space="preserve">阿克灵顿</x:t>
        </x:is>
      </x:c>
      <x:c r="M1170" s="604" t="n">
        <x:v>0.7747227019553016</x:v>
      </x:c>
      <x:c r="N1170" s="604" t="inlineStr">
        <x:is>
          <x:t xml:space="preserve">V4纸面入选-C</x:t>
        </x:is>
      </x:c>
      <x:c r="O1170" s="604" t="inlineStr">
        <x:is>
          <x:t xml:space="preserve">1-1</x:t>
        </x:is>
      </x:c>
      <x:c r="P1170" s="604" t="inlineStr">
        <x:is>
          <x:t xml:space="preserve">已结算</x:t>
        </x:is>
      </x:c>
      <x:c r="Q1170" s="645" t="inlineStr">
        <x:is>
          <x:t xml:space="preserve">红</x:t>
        </x:is>
      </x:c>
      <x:c r="R1170" s="604" t="n">
        <x:v>0.9</x:v>
      </x:c>
      <x:c r="S1170" s="604" t="n">
        <x:f>IF(OR(Q1170="",Q1170="待结算"),"",IF(Q1170="红",R1170,IF(Q1170="半红",R1170*0.5,IF(Q1170="走",0,IF(Q1170="半黑",-0.5,-1)))))</x:f>
        <x:v>0.9</x:v>
      </x:c>
      <x:c r="T1170" s="604" t="inlineStr">
        <x:is>
          <x:t xml:space="preserve">https://m.titan007.com/analy/Analysis/3083965.htm</x:t>
        </x:is>
      </x:c>
      <x:c r="U1170" s="646" t="str">
        <x:f>IF(Q1170="","",IF(Q1170="待结算","待结算",IF(Q1170="红","黑",IF(Q1170="半红","半黑",IF(Q1170="走","走",IF(Q1170="半黑","半红","红"))))))</x:f>
        <x:v>黑</x:v>
      </x:c>
      <x:c r="V1170" s="604" t="n">
        <x:f>IF(OR(Q1170="",Q1170="待结算"),"",IF(L1170=LEFT(F1170,FIND(" vs ",F1170)-1),I1170,G1170))</x:f>
        <x:v>0.92</x:v>
      </x:c>
      <x:c r="W1170" s="604" t="n">
        <x:f>IF(OR(U1170="",U1170="待结算"),"",IF(U1170="红",V1170,IF(U1170="半红",V1170*0.5,IF(U1170="走",0,IF(U1170="半黑",-0.5,-1)))))</x:f>
        <x:v>-1</x:v>
      </x:c>
      <x:c r="X1170" s="604" t="inlineStr">
        <x:is>
          <x:t xml:space="preserve">3083965</x:t>
        </x:is>
      </x:c>
      <x:c r="Y1170" s="604" t="inlineStr">
        <x:is>
          <x:t xml:space="preserve">V4</x:t>
        </x:is>
      </x:c>
      <x:c r="Z1170" s="604" t="inlineStr">
        <x:is>
          <x:t xml:space="preserve">prior-2026-10-06-v1</x:t>
        </x:is>
      </x:c>
      <x:c r="AA1170" s="604" t="inlineStr">
        <x:is>
          <x:t xml:space="preserve">C</x:t>
        </x:is>
      </x:c>
      <x:c r="AB1170" s="604" t="n">
        <x:v>0.7747227019553016</x:v>
      </x:c>
      <x:c r="AC1170" s="604" t="n"/>
      <x:c r="AD1170" s="604" t="n"/>
      <x:c r="AE1170" s="604" t="n"/>
      <x:c r="AF1170" s="604" t="n">
        <x:v>0.2252772980446985</x:v>
      </x:c>
      <x:c r="AG1170" s="604" t="n">
        <x:v>0.4719731337150729</x:v>
      </x:c>
      <x:c r="AH1170" s="604" t="n"/>
      <x:c r="AI1170" s="604" t="n"/>
      <x:c r="AJ1170" s="604" t="n">
        <x:v>0.4719731337150729</x:v>
      </x:c>
      <x:c r="AK1170" s="604" t="n"/>
      <x:c r="AL1170" s="604" t="n"/>
      <x:c r="AM1170" s="604" t="n"/>
      <x:c r="AN1170" s="604" t="inlineStr">
        <x:is>
          <x:t xml:space="preserve">EVALUATED</x:t>
        </x:is>
      </x:c>
      <x:c r="AO1170" s="604" t="inlineStr">
        <x:is>
          <x:t xml:space="preserve">RECEIVING_VALIDATED_EDGE、BUCKET_PRIOR_ONLY、INTENT_INTERPRETATION_ONLY、FFL_OPTIONAL、EXPERT_MARKET</x:t>
        </x:is>
      </x:c>
      <x:c r="AP1170" s="604" t="inlineStr">
        <x:is>
          <x:t xml:space="preserve">fb388b02c94bb7638298</x:t>
        </x:is>
      </x:c>
      <x:c r="AQ1170" s="604" t="n">
        <x:v>0.5</x:v>
      </x:c>
      <x:c r="AR1170" s="604" t="n">
        <x:v>0.9</x:v>
      </x:c>
      <x:c r="AS1170" s="604" t="n">
        <x:v>-0.5</x:v>
      </x:c>
      <x:c r="AT1170" s="604" t="n">
        <x:v>0.5</x:v>
      </x:c>
      <x:c r="AU1170" s="604" t="n">
        <x:v>0.9</x:v>
      </x:c>
      <x:c r="AV1170" s="604" t="n">
        <x:v>0.92</x:v>
      </x:c>
      <x:c r="AW1170" s="604" t="n">
        <x:v>46301.03159395833</x:v>
      </x:c>
      <x:c r="AX1170" s="604" t="inlineStr">
        <x:is>
          <x:t xml:space="preserve">https://simondongxiao.github.io/odds/v4/</x:t>
        </x:is>
      </x:c>
      <x:c r="AY1170" s="604" t="inlineStr">
        <x:is>
          <x:t xml:space="preserve">V4 Shadow Only；real_money=false；P(EV&gt;0)不是比赛胜率</x:t>
        </x:is>
      </x:c>
    </x:row>
    <x:row r="1171" ht="22" customHeight="1">
      <x:c r="A1171" s="604" t="inlineStr">
        <x:is>
          <x:t xml:space="preserve">2026-10-06</x:t>
        </x:is>
      </x:c>
      <x:c r="B1171" s="604" t="inlineStr">
        <x:is>
          <x:t xml:space="preserve">2026-10-07 02:00</x:t>
        </x:is>
      </x:c>
      <x:c r="C1171" s="604" t="str">
        <x:v>五大联赛杯赛</x:v>
      </x:c>
      <x:c r="D1171" s="604" t="inlineStr">
        <x:is>
          <x:t xml:space="preserve">联赛</x:t>
        </x:is>
      </x:c>
      <x:c r="E1171" s="604" t="inlineStr">
        <x:is>
          <x:t xml:space="preserve">英锦赛</x:t>
        </x:is>
      </x:c>
      <x:c r="F1171" s="604" t="inlineStr">
        <x:is>
          <x:t xml:space="preserve">布莱克浦 vs 克鲁</x:t>
        </x:is>
      </x:c>
      <x:c r="G1171" s="604" t="n">
        <x:v>0.8100000000000001</x:v>
      </x:c>
      <x:c r="H1171" s="604" t="n">
        <x:v>0</x:v>
      </x:c>
      <x:c r="I1171" s="604" t="n">
        <x:v>1.01</x:v>
      </x:c>
      <x:c r="J1171" s="604" t="inlineStr">
        <x:is>
          <x:t xml:space="preserve">0.81/0/1.01</x:t>
        </x:is>
      </x:c>
      <x:c r="K1171" s="604" t="inlineStr">
        <x:is>
          <x:t xml:space="preserve">V4-C｜EV +0.0219</x:t>
        </x:is>
      </x:c>
      <x:c r="L1171" s="604" t="str"/>
      <x:c r="M1171" s="604" t="n">
        <x:v>0.5663575269708642</x:v>
      </x:c>
      <x:c r="N1171" s="604" t="inlineStr">
        <x:is>
          <x:t xml:space="preserve">V4纸面入选-C</x:t>
        </x:is>
      </x:c>
      <x:c r="O1171" s="604" t="inlineStr">
        <x:is>
          <x:t xml:space="preserve">2-2</x:t>
        </x:is>
      </x:c>
      <x:c r="P1171" s="604" t="inlineStr">
        <x:is>
          <x:t xml:space="preserve">已结算</x:t>
        </x:is>
      </x:c>
      <x:c r="Q1171" s="647" t="inlineStr">
        <x:is>
          <x:t xml:space="preserve">走</x:t>
        </x:is>
      </x:c>
      <x:c r="R1171" s="604" t="n">
        <x:v>1.01</x:v>
      </x:c>
      <x:c r="S1171" s="604" t="n">
        <x:f>IF(OR(Q1171="",Q1171="待结算"),"",IF(Q1171="红",R1171,IF(Q1171="半红",R1171*0.5,IF(Q1171="走",0,IF(Q1171="半黑",-0.5,-1)))))</x:f>
        <x:v>0</x:v>
      </x:c>
      <x:c r="T1171" s="604" t="inlineStr">
        <x:is>
          <x:t xml:space="preserve">https://m.titan007.com/analy/Analysis/3083971.htm</x:t>
        </x:is>
      </x:c>
      <x:c r="U1171" s="647" t="str">
        <x:f>IF(Q1171="","",IF(Q1171="待结算","待结算",IF(Q1171="红","黑",IF(Q1171="半红","半黑",IF(Q1171="走","走",IF(Q1171="半黑","半红","红"))))))</x:f>
        <x:v>走</x:v>
      </x:c>
      <x:c r="V1171" s="604" t="n">
        <x:f>IF(OR(Q1171="",Q1171="待结算"),"",IF(L1171=LEFT(F1171,FIND(" vs ",F1171)-1),I1171,G1171))</x:f>
        <x:v>0.81</x:v>
      </x:c>
      <x:c r="W1171" s="604" t="n">
        <x:f>IF(OR(U1171="",U1171="待结算"),"",IF(U1171="红",V1171,IF(U1171="半红",V1171*0.5,IF(U1171="走",0,IF(U1171="半黑",-0.5,-1)))))</x:f>
        <x:v>0</x:v>
      </x:c>
      <x:c r="X1171" s="604" t="inlineStr">
        <x:is>
          <x:t xml:space="preserve">3083971</x:t>
        </x:is>
      </x:c>
      <x:c r="Y1171" s="604" t="inlineStr">
        <x:is>
          <x:t xml:space="preserve">V4</x:t>
        </x:is>
      </x:c>
      <x:c r="Z1171" s="604" t="inlineStr">
        <x:is>
          <x:t xml:space="preserve">prior-2026-10-06-v1</x:t>
        </x:is>
      </x:c>
      <x:c r="AA1171" s="604" t="inlineStr">
        <x:is>
          <x:t xml:space="preserve">C</x:t>
        </x:is>
      </x:c>
      <x:c r="AB1171" s="604" t="n">
        <x:v>0.367163775986361</x:v>
      </x:c>
      <x:c r="AC1171" s="604" t="n">
        <x:v>0.2543400820752826</x:v>
      </x:c>
      <x:c r="AD1171" s="604" t="n"/>
      <x:c r="AE1171" s="604" t="n"/>
      <x:c r="AF1171" s="604" t="n">
        <x:v>0.3784961419383563</x:v>
      </x:c>
      <x:c r="AG1171" s="604" t="n">
        <x:v>0.02191424985108559</x:v>
      </x:c>
      <x:c r="AH1171" s="604" t="n"/>
      <x:c r="AI1171" s="604" t="n"/>
      <x:c r="AJ1171" s="604" t="n">
        <x:v>0.02191424985108559</x:v>
      </x:c>
      <x:c r="AK1171" s="604" t="n"/>
      <x:c r="AL1171" s="604" t="n"/>
      <x:c r="AM1171" s="604" t="n"/>
      <x:c r="AN1171" s="604" t="inlineStr">
        <x:is>
          <x:t xml:space="preserve">EVALUATED</x:t>
        </x:is>
      </x:c>
      <x:c r="AO1171" s="604" t="inlineStr">
        <x:is>
          <x:t xml:space="preserve">EDGE_BELOW_UNCERTAINTY_THRESHOLD、BUCKET_PRIOR_ONLY、INTENT_INTERPRETATION_ONLY、FFL_OPTIONAL、EXPERT_MARKET</x:t>
        </x:is>
      </x:c>
      <x:c r="AP1171" s="604" t="inlineStr">
        <x:is>
          <x:t xml:space="preserve">6a7d789eae36fe6c31bc</x:t>
        </x:is>
      </x:c>
      <x:c r="AQ1171" s="604" t="n">
        <x:v>0</x:v>
      </x:c>
      <x:c r="AR1171" s="604" t="n"/>
      <x:c r="AS1171" s="604" t="n">
        <x:v>0</x:v>
      </x:c>
      <x:c r="AT1171" s="604" t="n">
        <x:v>0</x:v>
      </x:c>
      <x:c r="AU1171" s="604" t="n">
        <x:v>0.8100000000000001</x:v>
      </x:c>
      <x:c r="AV1171" s="604" t="n">
        <x:v>1.01</x:v>
      </x:c>
      <x:c r="AW1171" s="604" t="n">
        <x:v>46301.03159395833</x:v>
      </x:c>
      <x:c r="AX1171" s="604" t="inlineStr">
        <x:is>
          <x:t xml:space="preserve">https://simondongxiao.github.io/odds/v4/</x:t>
        </x:is>
      </x:c>
      <x:c r="AY1171" s="604" t="inlineStr">
        <x:is>
          <x:t xml:space="preserve">V4 Shadow Only；real_money=false；P(EV&gt;0)不是比赛胜率</x:t>
        </x:is>
      </x:c>
    </x:row>
    <x:row r="1172" ht="22" customHeight="1">
      <x:c r="A1172" s="604" t="inlineStr">
        <x:is>
          <x:t xml:space="preserve">2026-10-06</x:t>
        </x:is>
      </x:c>
      <x:c r="B1172" s="604" t="inlineStr">
        <x:is>
          <x:t xml:space="preserve">2026-10-07 02:00</x:t>
        </x:is>
      </x:c>
      <x:c r="C1172" s="604" t="str">
        <x:v>西亚/中亚系列</x:v>
      </x:c>
      <x:c r="D1172" s="604" t="inlineStr">
        <x:is>
          <x:t xml:space="preserve">联赛</x:t>
        </x:is>
      </x:c>
      <x:c r="E1172" s="604" t="inlineStr">
        <x:is>
          <x:t xml:space="preserve">海湾运</x:t>
        </x:is>
      </x:c>
      <x:c r="F1172" s="604" t="inlineStr">
        <x:is>
          <x:t xml:space="preserve">沙特阿拉伯 vs 阿联酋</x:t>
        </x:is>
      </x:c>
      <x:c r="G1172" s="604" t="n">
        <x:v>1.04</x:v>
      </x:c>
      <x:c r="H1172" s="604" t="n">
        <x:v>0.25</x:v>
      </x:c>
      <x:c r="I1172" s="604" t="n">
        <x:v>0.78</x:v>
      </x:c>
      <x:c r="J1172" s="604" t="inlineStr">
        <x:is>
          <x:t xml:space="preserve">1.04/0.25/0.78</x:t>
        </x:is>
      </x:c>
      <x:c r="K1172" s="604" t="inlineStr">
        <x:is>
          <x:t xml:space="preserve">V4-C｜EV +0.0617</x:t>
        </x:is>
      </x:c>
      <x:c r="L1172" s="604" t="inlineStr">
        <x:is>
          <x:t xml:space="preserve">沙特阿拉伯</x:t>
        </x:is>
      </x:c>
      <x:c r="M1172" s="604" t="n">
        <x:v>0.5250076570785727</x:v>
      </x:c>
      <x:c r="N1172" s="604" t="inlineStr">
        <x:is>
          <x:t xml:space="preserve">V4纸面入选-C</x:t>
        </x:is>
      </x:c>
      <x:c r="O1172" s="604" t="inlineStr">
        <x:is>
          <x:t xml:space="preserve">2-0</x:t>
        </x:is>
      </x:c>
      <x:c r="P1172" s="604" t="inlineStr">
        <x:is>
          <x:t xml:space="preserve">已结算</x:t>
        </x:is>
      </x:c>
      <x:c r="Q1172" s="645" t="inlineStr">
        <x:is>
          <x:t xml:space="preserve">红</x:t>
        </x:is>
      </x:c>
      <x:c r="R1172" s="604" t="n">
        <x:v>1.04</x:v>
      </x:c>
      <x:c r="S1172" s="604" t="n">
        <x:f>IF(OR(Q1172="",Q1172="待结算"),"",IF(Q1172="红",R1172,IF(Q1172="半红",R1172*0.5,IF(Q1172="走",0,IF(Q1172="半黑",-0.5,-1)))))</x:f>
        <x:v>1.04</x:v>
      </x:c>
      <x:c r="T1172" s="604" t="inlineStr">
        <x:is>
          <x:t xml:space="preserve">https://m.titan007.com/analy/Analysis/3099123.htm</x:t>
        </x:is>
      </x:c>
      <x:c r="U1172" s="646" t="str">
        <x:f>IF(Q1172="","",IF(Q1172="待结算","待结算",IF(Q1172="红","黑",IF(Q1172="半红","半黑",IF(Q1172="走","走",IF(Q1172="半黑","半红","红"))))))</x:f>
        <x:v>黑</x:v>
      </x:c>
      <x:c r="V1172" s="604" t="n">
        <x:f>IF(OR(Q1172="",Q1172="待结算"),"",IF(L1172=LEFT(F1172,FIND(" vs ",F1172)-1),I1172,G1172))</x:f>
        <x:v>0.78</x:v>
      </x:c>
      <x:c r="W1172" s="604" t="n">
        <x:f>IF(OR(U1172="",U1172="待结算"),"",IF(U1172="红",V1172,IF(U1172="半红",V1172*0.5,IF(U1172="走",0,IF(U1172="半黑",-0.5,-1)))))</x:f>
        <x:v>-1</x:v>
      </x:c>
      <x:c r="X1172" s="604" t="inlineStr">
        <x:is>
          <x:t xml:space="preserve">3099123</x:t>
        </x:is>
      </x:c>
      <x:c r="Y1172" s="604" t="inlineStr">
        <x:is>
          <x:t xml:space="preserve">V4</x:t>
        </x:is>
      </x:c>
      <x:c r="Z1172" s="604" t="inlineStr">
        <x:is>
          <x:t xml:space="preserve">prior-2026-10-06-v1</x:t>
        </x:is>
      </x:c>
      <x:c r="AA1172" s="604" t="inlineStr">
        <x:is>
          <x:t xml:space="preserve">C</x:t>
        </x:is>
      </x:c>
      <x:c r="AB1172" s="604" t="n">
        <x:v>0.4564031058912239</x:v>
      </x:c>
      <x:c r="AC1172" s="604" t="n"/>
      <x:c r="AD1172" s="604" t="n"/>
      <x:c r="AE1172" s="604" t="n">
        <x:v>0.2613468594690664</x:v>
      </x:c>
      <x:c r="AF1172" s="604" t="n">
        <x:v>0.2822500346397097</x:v>
      </x:c>
      <x:c r="AG1172" s="604" t="n">
        <x:v>0.06173576575263001</x:v>
      </x:c>
      <x:c r="AH1172" s="604" t="n"/>
      <x:c r="AI1172" s="604" t="n"/>
      <x:c r="AJ1172" s="604" t="n">
        <x:v>0.06173576575263001</x:v>
      </x:c>
      <x:c r="AK1172" s="604" t="n"/>
      <x:c r="AL1172" s="604" t="n"/>
      <x:c r="AM1172" s="604" t="n"/>
      <x:c r="AN1172" s="604" t="inlineStr">
        <x:is>
          <x:t xml:space="preserve">EVALUATED</x:t>
        </x:is>
      </x:c>
      <x:c r="AO1172" s="604" t="inlineStr">
        <x:is>
          <x:t xml:space="preserve">GIVING_VALIDATED_EDGE、BUCKET_PRIOR_ONLY、INTENT_INTERPRETATION_ONLY、FFL_OPTIONAL、EXPERT_MARKET</x:t>
        </x:is>
      </x:c>
      <x:c r="AP1172" s="604" t="inlineStr">
        <x:is>
          <x:t xml:space="preserve">1a603a87bcf2df8f1c09</x:t>
        </x:is>
      </x:c>
      <x:c r="AQ1172" s="604" t="n">
        <x:v>-0.25</x:v>
      </x:c>
      <x:c r="AR1172" s="604" t="n">
        <x:v>1.04</x:v>
      </x:c>
      <x:c r="AS1172" s="604" t="n">
        <x:v>0.25</x:v>
      </x:c>
      <x:c r="AT1172" s="604" t="n">
        <x:v>-0.25</x:v>
      </x:c>
      <x:c r="AU1172" s="604" t="n">
        <x:v>1.04</x:v>
      </x:c>
      <x:c r="AV1172" s="604" t="n">
        <x:v>0.78</x:v>
      </x:c>
      <x:c r="AW1172" s="604" t="n">
        <x:v>46301.03159395833</x:v>
      </x:c>
      <x:c r="AX1172" s="604" t="inlineStr">
        <x:is>
          <x:t xml:space="preserve">https://simondongxiao.github.io/odds/v4/</x:t>
        </x:is>
      </x:c>
      <x:c r="AY1172" s="604" t="inlineStr">
        <x:is>
          <x:t xml:space="preserve">V4 Shadow Only；real_money=false；P(EV&gt;0)不是比赛胜率</x:t>
        </x:is>
      </x:c>
    </x:row>
    <x:row r="1173" ht="22" customHeight="1">
      <x:c r="A1173" s="604" t="inlineStr">
        <x:is>
          <x:t xml:space="preserve">2026-10-06</x:t>
        </x:is>
      </x:c>
      <x:c r="B1173" s="604" t="inlineStr">
        <x:is>
          <x:t xml:space="preserve">2026-10-07 02:00</x:t>
        </x:is>
      </x:c>
      <x:c r="C1173" s="604" t="str">
        <x:v>其他系列</x:v>
      </x:c>
      <x:c r="D1173" s="604" t="inlineStr">
        <x:is>
          <x:t xml:space="preserve">联赛</x:t>
        </x:is>
      </x:c>
      <x:c r="E1173" s="604" t="inlineStr">
        <x:is>
          <x:t xml:space="preserve">阿后备</x:t>
        </x:is>
      </x:c>
      <x:c r="F1173" s="604" t="inlineStr">
        <x:is>
          <x:t xml:space="preserve">防卫者后备队 vs 基尔梅斯后备队</x:t>
        </x:is>
      </x:c>
      <x:c r="G1173" s="604" t="n">
        <x:v>0.85</x:v>
      </x:c>
      <x:c r="H1173" s="604" t="n">
        <x:v>0</x:v>
      </x:c>
      <x:c r="I1173" s="604" t="n">
        <x:v>0.85</x:v>
      </x:c>
      <x:c r="J1173" s="604" t="inlineStr">
        <x:is>
          <x:t xml:space="preserve">0.85/0/0.85</x:t>
        </x:is>
      </x:c>
      <x:c r="K1173" s="604" t="inlineStr">
        <x:is>
          <x:t xml:space="preserve">V4-C｜EV +0.0011</x:t>
        </x:is>
      </x:c>
      <x:c r="L1173" s="604" t="str"/>
      <x:c r="M1173" s="604" t="n">
        <x:v>0.541220539486983</x:v>
      </x:c>
      <x:c r="N1173" s="604" t="inlineStr">
        <x:is>
          <x:t xml:space="preserve">V4纸面入选-C</x:t>
        </x:is>
      </x:c>
      <x:c r="O1173" s="604" t="inlineStr">
        <x:is>
          <x:t xml:space="preserve">1-1</x:t>
        </x:is>
      </x:c>
      <x:c r="P1173" s="604" t="inlineStr">
        <x:is>
          <x:t xml:space="preserve">已结算</x:t>
        </x:is>
      </x:c>
      <x:c r="Q1173" s="647" t="inlineStr">
        <x:is>
          <x:t xml:space="preserve">走</x:t>
        </x:is>
      </x:c>
      <x:c r="R1173" s="604" t="n">
        <x:v>0.85</x:v>
      </x:c>
      <x:c r="S1173" s="604" t="n">
        <x:f>IF(OR(Q1173="",Q1173="待结算"),"",IF(Q1173="红",R1173,IF(Q1173="半红",R1173*0.5,IF(Q1173="走",0,IF(Q1173="半黑",-0.5,-1)))))</x:f>
        <x:v>0</x:v>
      </x:c>
      <x:c r="T1173" s="604" t="inlineStr">
        <x:is>
          <x:t xml:space="preserve">https://m.titan007.com/analy/Analysis/3097360.htm</x:t>
        </x:is>
      </x:c>
      <x:c r="U1173" s="647" t="str">
        <x:f>IF(Q1173="","",IF(Q1173="待结算","待结算",IF(Q1173="红","黑",IF(Q1173="半红","半黑",IF(Q1173="走","走",IF(Q1173="半黑","半红","红"))))))</x:f>
        <x:v>走</x:v>
      </x:c>
      <x:c r="V1173" s="604" t="n">
        <x:f>IF(OR(Q1173="",Q1173="待结算"),"",IF(L1173=LEFT(F1173,FIND(" vs ",F1173)-1),I1173,G1173))</x:f>
        <x:v>0.85</x:v>
      </x:c>
      <x:c r="W1173" s="604" t="n">
        <x:f>IF(OR(U1173="",U1173="待结算"),"",IF(U1173="红",V1173,IF(U1173="半红",V1173*0.5,IF(U1173="走",0,IF(U1173="半黑",-0.5,-1)))))</x:f>
        <x:v>0</x:v>
      </x:c>
      <x:c r="X1173" s="604" t="inlineStr">
        <x:is>
          <x:t xml:space="preserve">3097360</x:t>
        </x:is>
      </x:c>
      <x:c r="Y1173" s="604" t="inlineStr">
        <x:is>
          <x:t xml:space="preserve">V4</x:t>
        </x:is>
      </x:c>
      <x:c r="Z1173" s="604" t="inlineStr">
        <x:is>
          <x:t xml:space="preserve">prior-2026-10-06-v1</x:t>
        </x:is>
      </x:c>
      <x:c r="AA1173" s="604" t="inlineStr">
        <x:is>
          <x:t xml:space="preserve">C</x:t>
        </x:is>
      </x:c>
      <x:c r="AB1173" s="604" t="n">
        <x:v>0.4714592475075075</x:v>
      </x:c>
      <x:c r="AC1173" s="604" t="n"/>
      <x:c r="AD1173" s="604" t="n"/>
      <x:c r="AE1173" s="604" t="n">
        <x:v>0.2577924778893331</x:v>
      </x:c>
      <x:c r="AF1173" s="604" t="n">
        <x:v>0.2707482746031594</x:v>
      </x:c>
      <x:c r="AG1173" s="604" t="n">
        <x:v>0.001095846833555458</x:v>
      </x:c>
      <x:c r="AH1173" s="604" t="n"/>
      <x:c r="AI1173" s="604" t="n"/>
      <x:c r="AJ1173" s="604" t="n">
        <x:v>0.001095846833555458</x:v>
      </x:c>
      <x:c r="AK1173" s="604" t="n"/>
      <x:c r="AL1173" s="604" t="n"/>
      <x:c r="AM1173" s="604" t="n"/>
      <x:c r="AN1173" s="604" t="inlineStr">
        <x:is>
          <x:t xml:space="preserve">EVALUATED</x:t>
        </x:is>
      </x:c>
      <x:c r="AO1173" s="604" t="inlineStr">
        <x:is>
          <x:t xml:space="preserve">EDGE_BELOW_UNCERTAINTY_THRESHOLD、BUCKET_PRIOR_ONLY、INTENT_INTERPRETATION_ONLY、FFL_OPTIONAL、EXPERT_MARKET</x:t>
        </x:is>
      </x:c>
      <x:c r="AP1173" s="604" t="inlineStr">
        <x:is>
          <x:t xml:space="preserve">cbecc598c85c6e4952e3</x:t>
        </x:is>
      </x:c>
      <x:c r="AQ1173" s="604" t="n">
        <x:v>0</x:v>
      </x:c>
      <x:c r="AR1173" s="604" t="n"/>
      <x:c r="AS1173" s="604" t="n">
        <x:v>0</x:v>
      </x:c>
      <x:c r="AT1173" s="604" t="n">
        <x:v>0</x:v>
      </x:c>
      <x:c r="AU1173" s="604" t="n">
        <x:v>0.85</x:v>
      </x:c>
      <x:c r="AV1173" s="604" t="n">
        <x:v>0.85</x:v>
      </x:c>
      <x:c r="AW1173" s="604" t="n">
        <x:v>46301.03159395833</x:v>
      </x:c>
      <x:c r="AX1173" s="604" t="inlineStr">
        <x:is>
          <x:t xml:space="preserve">https://simondongxiao.github.io/odds/v4/</x:t>
        </x:is>
      </x:c>
      <x:c r="AY1173" s="604" t="inlineStr">
        <x:is>
          <x:t xml:space="preserve">V4 Shadow Only；real_money=false；P(EV&gt;0)不是比赛胜率</x:t>
        </x:is>
      </x:c>
    </x:row>
    <x:row r="1174" ht="22" customHeight="1">
      <x:c r="A1174" s="604" t="inlineStr">
        <x:is>
          <x:t xml:space="preserve">2026-10-06</x:t>
        </x:is>
      </x:c>
      <x:c r="B1174" s="604" t="inlineStr">
        <x:is>
          <x:t xml:space="preserve">2026-10-07 02:00</x:t>
        </x:is>
      </x:c>
      <x:c r="C1174" s="604" t="str">
        <x:v>其他系列</x:v>
      </x:c>
      <x:c r="D1174" s="604" t="inlineStr">
        <x:is>
          <x:t xml:space="preserve">联赛</x:t>
        </x:is>
      </x:c>
      <x:c r="E1174" s="604" t="inlineStr">
        <x:is>
          <x:t xml:space="preserve">阿后备</x:t>
        </x:is>
      </x:c>
      <x:c r="F1174" s="604" t="inlineStr">
        <x:is>
          <x:t xml:space="preserve">飓风后备队 vs 拉斐拉竞技后备队</x:t>
        </x:is>
      </x:c>
      <x:c r="G1174" s="604" t="n">
        <x:v>0.76</x:v>
      </x:c>
      <x:c r="H1174" s="604" t="n">
        <x:v>0.75</x:v>
      </x:c>
      <x:c r="I1174" s="604" t="n">
        <x:v>0.9399999999999999</x:v>
      </x:c>
      <x:c r="J1174" s="604" t="inlineStr">
        <x:is>
          <x:t xml:space="preserve">0.76/0.75/0.94</x:t>
        </x:is>
      </x:c>
      <x:c r="K1174" s="604" t="inlineStr">
        <x:is>
          <x:t xml:space="preserve">V4-C｜EV +0.1162</x:t>
        </x:is>
      </x:c>
      <x:c r="L1174" s="604" t="inlineStr">
        <x:is>
          <x:t xml:space="preserve">飓风后备队</x:t>
        </x:is>
      </x:c>
      <x:c r="M1174" s="604" t="n">
        <x:v>0.6439606514570382</x:v>
      </x:c>
      <x:c r="N1174" s="604" t="inlineStr">
        <x:is>
          <x:t xml:space="preserve">V4纸面入选-C</x:t>
        </x:is>
      </x:c>
      <x:c r="O1174" s="604" t="inlineStr">
        <x:is>
          <x:t xml:space="preserve">1-0</x:t>
        </x:is>
      </x:c>
      <x:c r="P1174" s="604" t="inlineStr">
        <x:is>
          <x:t xml:space="preserve">已结算</x:t>
        </x:is>
      </x:c>
      <x:c r="Q1174" s="649" t="inlineStr">
        <x:is>
          <x:t xml:space="preserve">半红</x:t>
        </x:is>
      </x:c>
      <x:c r="R1174" s="604" t="n">
        <x:v>0.76</x:v>
      </x:c>
      <x:c r="S1174" s="604" t="n">
        <x:f>IF(OR(Q1174="",Q1174="待结算"),"",IF(Q1174="红",R1174,IF(Q1174="半红",R1174*0.5,IF(Q1174="走",0,IF(Q1174="半黑",-0.5,-1)))))</x:f>
        <x:v>0.38</x:v>
      </x:c>
      <x:c r="T1174" s="604" t="inlineStr">
        <x:is>
          <x:t xml:space="preserve">https://m.titan007.com/analy/Analysis/3097362.htm</x:t>
        </x:is>
      </x:c>
      <x:c r="U1174" s="648" t="str">
        <x:f>IF(Q1174="","",IF(Q1174="待结算","待结算",IF(Q1174="红","黑",IF(Q1174="半红","半黑",IF(Q1174="走","走",IF(Q1174="半黑","半红","红"))))))</x:f>
        <x:v>半黑</x:v>
      </x:c>
      <x:c r="V1174" s="604" t="n">
        <x:f>IF(OR(Q1174="",Q1174="待结算"),"",IF(L1174=LEFT(F1174,FIND(" vs ",F1174)-1),I1174,G1174))</x:f>
        <x:v>0.94</x:v>
      </x:c>
      <x:c r="W1174" s="604" t="n">
        <x:f>IF(OR(U1174="",U1174="待结算"),"",IF(U1174="红",V1174,IF(U1174="半红",V1174*0.5,IF(U1174="走",0,IF(U1174="半黑",-0.5,-1)))))</x:f>
        <x:v>-0.5</x:v>
      </x:c>
      <x:c r="X1174" s="604" t="inlineStr">
        <x:is>
          <x:t xml:space="preserve">3097362</x:t>
        </x:is>
      </x:c>
      <x:c r="Y1174" s="604" t="inlineStr">
        <x:is>
          <x:t xml:space="preserve">V4</x:t>
        </x:is>
      </x:c>
      <x:c r="Z1174" s="604" t="inlineStr">
        <x:is>
          <x:t xml:space="preserve">prior-2026-10-06-v1</x:t>
        </x:is>
      </x:c>
      <x:c r="AA1174" s="604" t="inlineStr">
        <x:is>
          <x:t xml:space="preserve">C</x:t>
        </x:is>
      </x:c>
      <x:c r="AB1174" s="604" t="n">
        <x:v>0.4324835788910437</x:v>
      </x:c>
      <x:c r="AC1174" s="604" t="n">
        <x:v>0.2572775356618942</x:v>
      </x:c>
      <x:c r="AD1174" s="604" t="n"/>
      <x:c r="AE1174" s="604" t="n"/>
      <x:c r="AF1174" s="604" t="n">
        <x:v>0.3102388854470621</x:v>
      </x:c>
      <x:c r="AG1174" s="604" t="n">
        <x:v>0.1162140980616509</x:v>
      </x:c>
      <x:c r="AH1174" s="604" t="n"/>
      <x:c r="AI1174" s="604" t="n"/>
      <x:c r="AJ1174" s="604" t="n">
        <x:v>0.1162140980616509</x:v>
      </x:c>
      <x:c r="AK1174" s="604" t="n"/>
      <x:c r="AL1174" s="604" t="n"/>
      <x:c r="AM1174" s="604" t="n"/>
      <x:c r="AN1174" s="604" t="inlineStr">
        <x:is>
          <x:t xml:space="preserve">EVALUATED</x:t>
        </x:is>
      </x:c>
      <x:c r="AO1174" s="604" t="inlineStr">
        <x:is>
          <x:t xml:space="preserve">GIVING_VALIDATED_EDGE、BUCKET_PRIOR_ONLY、INTENT_INTERPRETATION_ONLY、FFL_OPTIONAL、EXPERT_MARKET</x:t>
        </x:is>
      </x:c>
      <x:c r="AP1174" s="604" t="inlineStr">
        <x:is>
          <x:t xml:space="preserve">e50b69757cb28b357e5e</x:t>
        </x:is>
      </x:c>
      <x:c r="AQ1174" s="604" t="n">
        <x:v>-0.75</x:v>
      </x:c>
      <x:c r="AR1174" s="604" t="n">
        <x:v>0.76</x:v>
      </x:c>
      <x:c r="AS1174" s="604" t="n">
        <x:v>0.75</x:v>
      </x:c>
      <x:c r="AT1174" s="604" t="n">
        <x:v>-0.75</x:v>
      </x:c>
      <x:c r="AU1174" s="604" t="n">
        <x:v>0.76</x:v>
      </x:c>
      <x:c r="AV1174" s="604" t="n">
        <x:v>0.9399999999999999</x:v>
      </x:c>
      <x:c r="AW1174" s="604" t="n">
        <x:v>46301.03159395833</x:v>
      </x:c>
      <x:c r="AX1174" s="604" t="inlineStr">
        <x:is>
          <x:t xml:space="preserve">https://simondongxiao.github.io/odds/v4/</x:t>
        </x:is>
      </x:c>
      <x:c r="AY1174" s="604" t="inlineStr">
        <x:is>
          <x:t xml:space="preserve">V4 Shadow Only；real_money=false；P(EV&gt;0)不是比赛胜率</x:t>
        </x:is>
      </x:c>
    </x:row>
    <x:row r="1175" ht="22" customHeight="1">
      <x:c r="A1175" s="604" t="inlineStr">
        <x:is>
          <x:t xml:space="preserve">2026-10-06</x:t>
        </x:is>
      </x:c>
      <x:c r="B1175" s="604" t="inlineStr">
        <x:is>
          <x:t xml:space="preserve">2026-10-07 02:00</x:t>
        </x:is>
      </x:c>
      <x:c r="C1175" s="604" t="str">
        <x:v>其他系列</x:v>
      </x:c>
      <x:c r="D1175" s="604" t="inlineStr">
        <x:is>
          <x:t xml:space="preserve">联赛</x:t>
        </x:is>
      </x:c>
      <x:c r="E1175" s="604" t="inlineStr">
        <x:is>
          <x:t xml:space="preserve">阿后备</x:t>
        </x:is>
      </x:c>
      <x:c r="F1175" s="604" t="inlineStr">
        <x:is>
          <x:t xml:space="preserve">竞技俱乐部后备队 vs 河床后备队</x:t>
        </x:is>
      </x:c>
      <x:c r="G1175" s="604" t="n">
        <x:v>0.75</x:v>
      </x:c>
      <x:c r="H1175" s="604" t="n">
        <x:v>-0.25</x:v>
      </x:c>
      <x:c r="I1175" s="604" t="n">
        <x:v>0.95</x:v>
      </x:c>
      <x:c r="J1175" s="604" t="inlineStr">
        <x:is>
          <x:t xml:space="preserve">0.75/-0.25/0.95</x:t>
        </x:is>
      </x:c>
      <x:c r="K1175" s="604" t="inlineStr">
        <x:is>
          <x:t xml:space="preserve">V4-C｜EV +0.1147</x:t>
        </x:is>
      </x:c>
      <x:c r="L1175" s="604" t="inlineStr">
        <x:is>
          <x:t xml:space="preserve">竞技俱乐部后备队</x:t>
        </x:is>
      </x:c>
      <x:c r="M1175" s="604" t="n">
        <x:v>0.6468932248461331</x:v>
      </x:c>
      <x:c r="N1175" s="604" t="inlineStr">
        <x:is>
          <x:t xml:space="preserve">V4纸面入选-C</x:t>
        </x:is>
      </x:c>
      <x:c r="O1175" s="604" t="inlineStr">
        <x:is>
          <x:t xml:space="preserve">2-2</x:t>
        </x:is>
      </x:c>
      <x:c r="P1175" s="604" t="inlineStr">
        <x:is>
          <x:t xml:space="preserve">已结算</x:t>
        </x:is>
      </x:c>
      <x:c r="Q1175" s="649" t="inlineStr">
        <x:is>
          <x:t xml:space="preserve">半红</x:t>
        </x:is>
      </x:c>
      <x:c r="R1175" s="604" t="n">
        <x:v>0.75</x:v>
      </x:c>
      <x:c r="S1175" s="604" t="n">
        <x:f>IF(OR(Q1175="",Q1175="待结算"),"",IF(Q1175="红",R1175,IF(Q1175="半红",R1175*0.5,IF(Q1175="走",0,IF(Q1175="半黑",-0.5,-1)))))</x:f>
        <x:v>0.375</x:v>
      </x:c>
      <x:c r="T1175" s="604" t="inlineStr">
        <x:is>
          <x:t xml:space="preserve">https://m.titan007.com/analy/Analysis/3097364.htm</x:t>
        </x:is>
      </x:c>
      <x:c r="U1175" s="648" t="str">
        <x:f>IF(Q1175="","",IF(Q1175="待结算","待结算",IF(Q1175="红","黑",IF(Q1175="半红","半黑",IF(Q1175="走","走",IF(Q1175="半黑","半红","红"))))))</x:f>
        <x:v>半黑</x:v>
      </x:c>
      <x:c r="V1175" s="604" t="n">
        <x:f>IF(OR(Q1175="",Q1175="待结算"),"",IF(L1175=LEFT(F1175,FIND(" vs ",F1175)-1),I1175,G1175))</x:f>
        <x:v>0.95</x:v>
      </x:c>
      <x:c r="W1175" s="604" t="n">
        <x:f>IF(OR(U1175="",U1175="待结算"),"",IF(U1175="红",V1175,IF(U1175="半红",V1175*0.5,IF(U1175="走",0,IF(U1175="半黑",-0.5,-1)))))</x:f>
        <x:v>-0.5</x:v>
      </x:c>
      <x:c r="X1175" s="604" t="inlineStr">
        <x:is>
          <x:t xml:space="preserve">3097364</x:t>
        </x:is>
      </x:c>
      <x:c r="Y1175" s="604" t="inlineStr">
        <x:is>
          <x:t xml:space="preserve">V4</x:t>
        </x:is>
      </x:c>
      <x:c r="Z1175" s="604" t="inlineStr">
        <x:is>
          <x:t xml:space="preserve">prior-2026-10-06-v1</x:t>
        </x:is>
      </x:c>
      <x:c r="AA1175" s="604" t="inlineStr">
        <x:is>
          <x:t xml:space="preserve">C</x:t>
        </x:is>
      </x:c>
      <x:c r="AB1175" s="604" t="n">
        <x:v>0.4309136593326595</x:v>
      </x:c>
      <x:c r="AC1175" s="604" t="n">
        <x:v>0.2622872718826714</x:v>
      </x:c>
      <x:c r="AD1175" s="604" t="n"/>
      <x:c r="AE1175" s="604" t="n"/>
      <x:c r="AF1175" s="604" t="n">
        <x:v>0.3067990687846691</x:v>
      </x:c>
      <x:c r="AG1175" s="604" t="n">
        <x:v>0.1147439026708272</x:v>
      </x:c>
      <x:c r="AH1175" s="604" t="n"/>
      <x:c r="AI1175" s="604" t="n"/>
      <x:c r="AJ1175" s="604" t="n">
        <x:v>0.1147439026708272</x:v>
      </x:c>
      <x:c r="AK1175" s="604" t="n"/>
      <x:c r="AL1175" s="604" t="n"/>
      <x:c r="AM1175" s="604" t="n"/>
      <x:c r="AN1175" s="604" t="inlineStr">
        <x:is>
          <x:t xml:space="preserve">EVALUATED</x:t>
        </x:is>
      </x:c>
      <x:c r="AO1175" s="604" t="inlineStr">
        <x:is>
          <x:t xml:space="preserve">RECEIVING_VALIDATED_EDGE、BUCKET_PRIOR_ONLY、INTENT_INTERPRETATION_ONLY、FFL_OPTIONAL、EXPERT_MARKET</x:t>
        </x:is>
      </x:c>
      <x:c r="AP1175" s="604" t="inlineStr">
        <x:is>
          <x:t xml:space="preserve">e7c98d4b5249cfad9317</x:t>
        </x:is>
      </x:c>
      <x:c r="AQ1175" s="604" t="n">
        <x:v>0.25</x:v>
      </x:c>
      <x:c r="AR1175" s="604" t="n">
        <x:v>0.75</x:v>
      </x:c>
      <x:c r="AS1175" s="604" t="n">
        <x:v>-0.25</x:v>
      </x:c>
      <x:c r="AT1175" s="604" t="n">
        <x:v>0.25</x:v>
      </x:c>
      <x:c r="AU1175" s="604" t="n">
        <x:v>0.75</x:v>
      </x:c>
      <x:c r="AV1175" s="604" t="n">
        <x:v>0.95</x:v>
      </x:c>
      <x:c r="AW1175" s="604" t="n">
        <x:v>46301.03159395833</x:v>
      </x:c>
      <x:c r="AX1175" s="604" t="inlineStr">
        <x:is>
          <x:t xml:space="preserve">https://simondongxiao.github.io/odds/v4/</x:t>
        </x:is>
      </x:c>
      <x:c r="AY1175" s="604" t="inlineStr">
        <x:is>
          <x:t xml:space="preserve">V4 Shadow Only；real_money=false；P(EV&gt;0)不是比赛胜率</x:t>
        </x:is>
      </x:c>
    </x:row>
    <x:row r="1176" ht="22" customHeight="1">
      <x:c r="A1176" s="604" t="inlineStr">
        <x:is>
          <x:t xml:space="preserve">2026-10-06</x:t>
        </x:is>
      </x:c>
      <x:c r="B1176" s="604" t="inlineStr">
        <x:is>
          <x:t xml:space="preserve">2026-10-07 02:00</x:t>
        </x:is>
      </x:c>
      <x:c r="C1176" s="604" t="str">
        <x:v>其他系列</x:v>
      </x:c>
      <x:c r="D1176" s="604" t="inlineStr">
        <x:is>
          <x:t xml:space="preserve">联赛</x:t>
        </x:is>
      </x:c>
      <x:c r="E1176" s="604" t="inlineStr">
        <x:is>
          <x:t xml:space="preserve">阿后备</x:t>
        </x:is>
      </x:c>
      <x:c r="F1176" s="604" t="inlineStr">
        <x:is>
          <x:t xml:space="preserve">圣塔菲联后备队 vs 班菲尔德后备队</x:t>
        </x:is>
      </x:c>
      <x:c r="G1176" s="604" t="n">
        <x:v>0.75</x:v>
      </x:c>
      <x:c r="H1176" s="604" t="n">
        <x:v>0</x:v>
      </x:c>
      <x:c r="I1176" s="604" t="n">
        <x:v>0.95</x:v>
      </x:c>
      <x:c r="J1176" s="604" t="inlineStr">
        <x:is>
          <x:t xml:space="preserve">0.75/0/0.95</x:t>
        </x:is>
      </x:c>
      <x:c r="K1176" s="604" t="inlineStr">
        <x:is>
          <x:t xml:space="preserve">V4-C｜EV +0.0575</x:t>
        </x:is>
      </x:c>
      <x:c r="L1176" s="604" t="str"/>
      <x:c r="M1176" s="604" t="n">
        <x:v>0.604260993796175</x:v>
      </x:c>
      <x:c r="N1176" s="604" t="inlineStr">
        <x:is>
          <x:t xml:space="preserve">V4纸面入选-C</x:t>
        </x:is>
      </x:c>
      <x:c r="O1176" s="604" t="inlineStr">
        <x:is>
          <x:t xml:space="preserve">5-0</x:t>
        </x:is>
      </x:c>
      <x:c r="P1176" s="604" t="inlineStr">
        <x:is>
          <x:t xml:space="preserve">已结算</x:t>
        </x:is>
      </x:c>
      <x:c r="Q1176" s="645" t="inlineStr">
        <x:is>
          <x:t xml:space="preserve">红</x:t>
        </x:is>
      </x:c>
      <x:c r="R1176" s="604" t="n">
        <x:v>0.95</x:v>
      </x:c>
      <x:c r="S1176" s="604" t="n">
        <x:f>IF(OR(Q1176="",Q1176="待结算"),"",IF(Q1176="红",R1176,IF(Q1176="半红",R1176*0.5,IF(Q1176="走",0,IF(Q1176="半黑",-0.5,-1)))))</x:f>
        <x:v>0.95</x:v>
      </x:c>
      <x:c r="T1176" s="604" t="inlineStr">
        <x:is>
          <x:t xml:space="preserve">https://m.titan007.com/analy/Analysis/3097365.htm</x:t>
        </x:is>
      </x:c>
      <x:c r="U1176" s="646" t="str">
        <x:f>IF(Q1176="","",IF(Q1176="待结算","待结算",IF(Q1176="红","黑",IF(Q1176="半红","半黑",IF(Q1176="走","走",IF(Q1176="半黑","半红","红"))))))</x:f>
        <x:v>黑</x:v>
      </x:c>
      <x:c r="V1176" s="604" t="n">
        <x:f>IF(OR(Q1176="",Q1176="待结算"),"",IF(L1176=LEFT(F1176,FIND(" vs ",F1176)-1),I1176,G1176))</x:f>
        <x:v>0.75</x:v>
      </x:c>
      <x:c r="W1176" s="604" t="n">
        <x:f>IF(OR(U1176="",U1176="待结算"),"",IF(U1176="红",V1176,IF(U1176="半红",V1176*0.5,IF(U1176="走",0,IF(U1176="半黑",-0.5,-1)))))</x:f>
        <x:v>-1</x:v>
      </x:c>
      <x:c r="X1176" s="604" t="inlineStr">
        <x:is>
          <x:t xml:space="preserve">3097365</x:t>
        </x:is>
      </x:c>
      <x:c r="Y1176" s="604" t="inlineStr">
        <x:is>
          <x:t xml:space="preserve">V4</x:t>
        </x:is>
      </x:c>
      <x:c r="Z1176" s="604" t="inlineStr">
        <x:is>
          <x:t xml:space="preserve">prior-2026-10-06-v1</x:t>
        </x:is>
      </x:c>
      <x:c r="AA1176" s="604" t="inlineStr">
        <x:is>
          <x:t xml:space="preserve">C</x:t>
        </x:is>
      </x:c>
      <x:c r="AB1176" s="604" t="n">
        <x:v>0.604260993796175</x:v>
      </x:c>
      <x:c r="AC1176" s="604" t="n"/>
      <x:c r="AD1176" s="604" t="n"/>
      <x:c r="AE1176" s="604" t="n"/>
      <x:c r="AF1176" s="604" t="n">
        <x:v>0.395739006203825</x:v>
      </x:c>
      <x:c r="AG1176" s="604" t="n">
        <x:v>0.05745673914330629</x:v>
      </x:c>
      <x:c r="AH1176" s="604" t="n"/>
      <x:c r="AI1176" s="604" t="n"/>
      <x:c r="AJ1176" s="604" t="n">
        <x:v>0.05745673914330629</x:v>
      </x:c>
      <x:c r="AK1176" s="604" t="n"/>
      <x:c r="AL1176" s="604" t="n"/>
      <x:c r="AM1176" s="604" t="n"/>
      <x:c r="AN1176" s="604" t="inlineStr">
        <x:is>
          <x:t xml:space="preserve">EVALUATED</x:t>
        </x:is>
      </x:c>
      <x:c r="AO1176" s="604" t="inlineStr">
        <x:is>
          <x:t xml:space="preserve">EDGE_BELOW_UNCERTAINTY_THRESHOLD、BUCKET_PRIOR_ONLY、INTENT_INTERPRETATION_ONLY、FFL_OPTIONAL、EXPERT_MARKET</x:t>
        </x:is>
      </x:c>
      <x:c r="AP1176" s="604" t="inlineStr">
        <x:is>
          <x:t xml:space="preserve">ef9f3e84d03233699a08</x:t>
        </x:is>
      </x:c>
      <x:c r="AQ1176" s="604" t="n">
        <x:v>0</x:v>
      </x:c>
      <x:c r="AR1176" s="604" t="n"/>
      <x:c r="AS1176" s="604" t="n">
        <x:v>0</x:v>
      </x:c>
      <x:c r="AT1176" s="604" t="n">
        <x:v>0</x:v>
      </x:c>
      <x:c r="AU1176" s="604" t="n">
        <x:v>0.75</x:v>
      </x:c>
      <x:c r="AV1176" s="604" t="n">
        <x:v>0.95</x:v>
      </x:c>
      <x:c r="AW1176" s="604" t="n">
        <x:v>46301.03159395833</x:v>
      </x:c>
      <x:c r="AX1176" s="604" t="inlineStr">
        <x:is>
          <x:t xml:space="preserve">https://simondongxiao.github.io/odds/v4/</x:t>
        </x:is>
      </x:c>
      <x:c r="AY1176" s="604" t="inlineStr">
        <x:is>
          <x:t xml:space="preserve">V4 Shadow Only；real_money=false；P(EV&gt;0)不是比赛胜率</x:t>
        </x:is>
      </x:c>
    </x:row>
    <x:row r="1177" ht="22" customHeight="1">
      <x:c r="A1177" s="604" t="inlineStr">
        <x:is>
          <x:t xml:space="preserve">2026-10-06</x:t>
        </x:is>
      </x:c>
      <x:c r="B1177" s="604" t="inlineStr">
        <x:is>
          <x:t xml:space="preserve">2026-10-07 02:15</x:t>
        </x:is>
      </x:c>
      <x:c r="C1177" s="604" t="str">
        <x:v>欧洲非五大系列</x:v>
      </x:c>
      <x:c r="D1177" s="604" t="inlineStr">
        <x:is>
          <x:t xml:space="preserve">联赛</x:t>
        </x:is>
      </x:c>
      <x:c r="E1177" s="604" t="inlineStr">
        <x:is>
          <x:t xml:space="preserve">挪威U19</x:t>
        </x:is>
      </x:c>
      <x:c r="F1177" s="604" t="inlineStr">
        <x:is>
          <x:t xml:space="preserve">斯托曼B队U19 vs 耶德鲁姆U19</x:t>
        </x:is>
      </x:c>
      <x:c r="G1177" s="604" t="n">
        <x:v>0.83</x:v>
      </x:c>
      <x:c r="H1177" s="604" t="n">
        <x:v>1.25</x:v>
      </x:c>
      <x:c r="I1177" s="604" t="n">
        <x:v>0.98</x:v>
      </x:c>
      <x:c r="J1177" s="604" t="inlineStr">
        <x:is>
          <x:t xml:space="preserve">0.83/1.25/0.98</x:t>
        </x:is>
      </x:c>
      <x:c r="K1177" s="604" t="inlineStr">
        <x:is>
          <x:t xml:space="preserve">V4-C｜EV +0.1417</x:t>
        </x:is>
      </x:c>
      <x:c r="L1177" s="604" t="inlineStr">
        <x:is>
          <x:t xml:space="preserve">耶德鲁姆U19</x:t>
        </x:is>
      </x:c>
      <x:c r="M1177" s="604" t="n">
        <x:v>0.5868530720401905</x:v>
      </x:c>
      <x:c r="N1177" s="604" t="inlineStr">
        <x:is>
          <x:t xml:space="preserve">V4纸面入选-C</x:t>
        </x:is>
      </x:c>
      <x:c r="O1177" s="604" t="inlineStr">
        <x:is>
          <x:t xml:space="preserve">6-4</x:t>
        </x:is>
      </x:c>
      <x:c r="P1177" s="604" t="inlineStr">
        <x:is>
          <x:t xml:space="preserve">已结算</x:t>
        </x:is>
      </x:c>
      <x:c r="Q1177" s="645" t="inlineStr">
        <x:is>
          <x:t xml:space="preserve">红</x:t>
        </x:is>
      </x:c>
      <x:c r="R1177" s="604" t="n">
        <x:v>0.98</x:v>
      </x:c>
      <x:c r="S1177" s="604" t="n">
        <x:f>IF(OR(Q1177="",Q1177="待结算"),"",IF(Q1177="红",R1177,IF(Q1177="半红",R1177*0.5,IF(Q1177="走",0,IF(Q1177="半黑",-0.5,-1)))))</x:f>
        <x:v>0.98</x:v>
      </x:c>
      <x:c r="T1177" s="604" t="inlineStr">
        <x:is>
          <x:t xml:space="preserve">https://m.titan007.com/analy/Analysis/3099857.htm</x:t>
        </x:is>
      </x:c>
      <x:c r="U1177" s="646" t="str">
        <x:f>IF(Q1177="","",IF(Q1177="待结算","待结算",IF(Q1177="红","黑",IF(Q1177="半红","半黑",IF(Q1177="走","走",IF(Q1177="半黑","半红","红"))))))</x:f>
        <x:v>黑</x:v>
      </x:c>
      <x:c r="V1177" s="604" t="n">
        <x:f>IF(OR(Q1177="",Q1177="待结算"),"",IF(L1177=LEFT(F1177,FIND(" vs ",F1177)-1),I1177,G1177))</x:f>
        <x:v>0.83</x:v>
      </x:c>
      <x:c r="W1177" s="604" t="n">
        <x:f>IF(OR(U1177="",U1177="待结算"),"",IF(U1177="红",V1177,IF(U1177="半红",V1177*0.5,IF(U1177="走",0,IF(U1177="半黑",-0.5,-1)))))</x:f>
        <x:v>-1</x:v>
      </x:c>
      <x:c r="X1177" s="604" t="inlineStr">
        <x:is>
          <x:t xml:space="preserve">3099857</x:t>
        </x:is>
      </x:c>
      <x:c r="Y1177" s="604" t="inlineStr">
        <x:is>
          <x:t xml:space="preserve">V4</x:t>
        </x:is>
      </x:c>
      <x:c r="Z1177" s="604" t="inlineStr">
        <x:is>
          <x:t xml:space="preserve">prior-2026-10-06-v1</x:t>
        </x:is>
      </x:c>
      <x:c r="AA1177" s="604" t="inlineStr">
        <x:is>
          <x:t xml:space="preserve">C</x:t>
        </x:is>
      </x:c>
      <x:c r="AB1177" s="604" t="n">
        <x:v>0.3886144281563597</x:v>
      </x:c>
      <x:c r="AC1177" s="604" t="n">
        <x:v>0.2498512904272338</x:v>
      </x:c>
      <x:c r="AD1177" s="604" t="n"/>
      <x:c r="AE1177" s="604" t="n"/>
      <x:c r="AF1177" s="604" t="n">
        <x:v>0.3615342814164066</x:v>
      </x:c>
      <x:c r="AG1177" s="604" t="n">
        <x:v>0.1417349904861704</x:v>
      </x:c>
      <x:c r="AH1177" s="604" t="n"/>
      <x:c r="AI1177" s="604" t="n"/>
      <x:c r="AJ1177" s="604" t="n">
        <x:v>0.1417349904861704</x:v>
      </x:c>
      <x:c r="AK1177" s="604" t="n"/>
      <x:c r="AL1177" s="604" t="n"/>
      <x:c r="AM1177" s="604" t="n"/>
      <x:c r="AN1177" s="604" t="inlineStr">
        <x:is>
          <x:t xml:space="preserve">EVALUATED</x:t>
        </x:is>
      </x:c>
      <x:c r="AO1177" s="604" t="inlineStr">
        <x:is>
          <x:t xml:space="preserve">RECEIVING_VALIDATED_EDGE、BUCKET_PRIOR_ONLY、INTENT_INTERPRETATION_ONLY、FFL_OPTIONAL、EXPERT_MARKET</x:t>
        </x:is>
      </x:c>
      <x:c r="AP1177" s="604" t="inlineStr">
        <x:is>
          <x:t xml:space="preserve">74aa826bc85febe63fe8</x:t>
        </x:is>
      </x:c>
      <x:c r="AQ1177" s="604" t="n">
        <x:v>1.25</x:v>
      </x:c>
      <x:c r="AR1177" s="604" t="n">
        <x:v>0.98</x:v>
      </x:c>
      <x:c r="AS1177" s="604" t="n">
        <x:v>1.25</x:v>
      </x:c>
      <x:c r="AT1177" s="604" t="n">
        <x:v>-1.25</x:v>
      </x:c>
      <x:c r="AU1177" s="604" t="n">
        <x:v>0.83</x:v>
      </x:c>
      <x:c r="AV1177" s="604" t="n">
        <x:v>0.98</x:v>
      </x:c>
      <x:c r="AW1177" s="604" t="n">
        <x:v>46301.03159395833</x:v>
      </x:c>
      <x:c r="AX1177" s="604" t="inlineStr">
        <x:is>
          <x:t xml:space="preserve">https://simondongxiao.github.io/odds/v4/</x:t>
        </x:is>
      </x:c>
      <x:c r="AY1177" s="604" t="inlineStr">
        <x:is>
          <x:t xml:space="preserve">V4 Shadow Only；real_money=false；P(EV&gt;0)不是比赛胜率</x:t>
        </x:is>
      </x:c>
    </x:row>
    <x:row r="1178" ht="22" customHeight="1">
      <x:c r="A1178" s="604" t="inlineStr">
        <x:is>
          <x:t xml:space="preserve">2026-10-06</x:t>
        </x:is>
      </x:c>
      <x:c r="B1178" s="604" t="inlineStr">
        <x:is>
          <x:t xml:space="preserve">2026-10-07 02:15</x:t>
        </x:is>
      </x:c>
      <x:c r="C1178" s="604" t="str">
        <x:v>南美系列</x:v>
      </x:c>
      <x:c r="D1178" s="604" t="inlineStr">
        <x:is>
          <x:t xml:space="preserve">联赛</x:t>
        </x:is>
      </x:c>
      <x:c r="E1178" s="604" t="inlineStr">
        <x:is>
          <x:t xml:space="preserve">秘鲁乙</x:t>
        </x:is>
      </x:c>
      <x:c r="F1178" s="604" t="inlineStr">
        <x:is>
          <x:t xml:space="preserve">联合矿业 vs 科莫西奥</x:t>
        </x:is>
      </x:c>
      <x:c r="G1178" s="604" t="n">
        <x:v>0.93</x:v>
      </x:c>
      <x:c r="H1178" s="604" t="n">
        <x:v>0.5</x:v>
      </x:c>
      <x:c r="I1178" s="604" t="n">
        <x:v>0.88</x:v>
      </x:c>
      <x:c r="J1178" s="604" t="inlineStr">
        <x:is>
          <x:t xml:space="preserve">0.93/0.5/0.88</x:t>
        </x:is>
      </x:c>
      <x:c r="K1178" s="604" t="inlineStr">
        <x:is>
          <x:t xml:space="preserve">V4-B｜EV +0.2388</x:t>
        </x:is>
      </x:c>
      <x:c r="L1178" s="604" t="inlineStr">
        <x:is>
          <x:t xml:space="preserve">联合矿业</x:t>
        </x:is>
      </x:c>
      <x:c r="M1178" s="604" t="n">
        <x:v>0.6418456296220537</x:v>
      </x:c>
      <x:c r="N1178" s="604" t="inlineStr">
        <x:is>
          <x:t xml:space="preserve">V4纸面入选-B</x:t>
        </x:is>
      </x:c>
      <x:c r="O1178" s="604" t="inlineStr">
        <x:is>
          <x:t xml:space="preserve">4-1</x:t>
        </x:is>
      </x:c>
      <x:c r="P1178" s="604" t="inlineStr">
        <x:is>
          <x:t xml:space="preserve">已结算</x:t>
        </x:is>
      </x:c>
      <x:c r="Q1178" s="645" t="inlineStr">
        <x:is>
          <x:t xml:space="preserve">红</x:t>
        </x:is>
      </x:c>
      <x:c r="R1178" s="604" t="n">
        <x:v>0.93</x:v>
      </x:c>
      <x:c r="S1178" s="604" t="n">
        <x:f>IF(OR(Q1178="",Q1178="待结算"),"",IF(Q1178="红",R1178,IF(Q1178="半红",R1178*0.5,IF(Q1178="走",0,IF(Q1178="半黑",-0.5,-1)))))</x:f>
        <x:v>0.93</x:v>
      </x:c>
      <x:c r="T1178" s="604" t="inlineStr">
        <x:is>
          <x:t xml:space="preserve">https://m.titan007.com/analy/Analysis/3097367.htm</x:t>
        </x:is>
      </x:c>
      <x:c r="U1178" s="646" t="str">
        <x:f>IF(Q1178="","",IF(Q1178="待结算","待结算",IF(Q1178="红","黑",IF(Q1178="半红","半黑",IF(Q1178="走","走",IF(Q1178="半黑","半红","红"))))))</x:f>
        <x:v>黑</x:v>
      </x:c>
      <x:c r="V1178" s="604" t="n">
        <x:f>IF(OR(Q1178="",Q1178="待结算"),"",IF(L1178=LEFT(F1178,FIND(" vs ",F1178)-1),I1178,G1178))</x:f>
        <x:v>0.88</x:v>
      </x:c>
      <x:c r="W1178" s="604" t="n">
        <x:f>IF(OR(U1178="",U1178="待结算"),"",IF(U1178="红",V1178,IF(U1178="半红",V1178*0.5,IF(U1178="走",0,IF(U1178="半黑",-0.5,-1)))))</x:f>
        <x:v>-1</x:v>
      </x:c>
      <x:c r="X1178" s="604" t="inlineStr">
        <x:is>
          <x:t xml:space="preserve">3097367</x:t>
        </x:is>
      </x:c>
      <x:c r="Y1178" s="604" t="inlineStr">
        <x:is>
          <x:t xml:space="preserve">V4</x:t>
        </x:is>
      </x:c>
      <x:c r="Z1178" s="604" t="inlineStr">
        <x:is>
          <x:t xml:space="preserve">prior-2026-10-06-v1</x:t>
        </x:is>
      </x:c>
      <x:c r="AA1178" s="604" t="inlineStr">
        <x:is>
          <x:t xml:space="preserve">B</x:t>
        </x:is>
      </x:c>
      <x:c r="AB1178" s="604" t="n">
        <x:v>0.6418456296220537</x:v>
      </x:c>
      <x:c r="AC1178" s="604" t="n"/>
      <x:c r="AD1178" s="604" t="n"/>
      <x:c r="AE1178" s="604" t="n"/>
      <x:c r="AF1178" s="604" t="n">
        <x:v>0.3581543703779464</x:v>
      </x:c>
      <x:c r="AG1178" s="604" t="n">
        <x:v>0.2387620651705636</x:v>
      </x:c>
      <x:c r="AH1178" s="604" t="n"/>
      <x:c r="AI1178" s="604" t="n"/>
      <x:c r="AJ1178" s="604" t="n">
        <x:v>0.2387620651705636</x:v>
      </x:c>
      <x:c r="AK1178" s="604" t="n"/>
      <x:c r="AL1178" s="604" t="n"/>
      <x:c r="AM1178" s="604" t="n"/>
      <x:c r="AN1178" s="604" t="inlineStr">
        <x:is>
          <x:t xml:space="preserve">EVALUATED</x:t>
        </x:is>
      </x:c>
      <x:c r="AO1178" s="604" t="inlineStr">
        <x:is>
          <x:t xml:space="preserve">GIVING_VALIDATED_EDGE、BUCKET_PRIOR_ONLY、INTENT_INTERPRETATION_ONLY、FFL_OPTIONAL、EXPERT_MARKET</x:t>
        </x:is>
      </x:c>
      <x:c r="AP1178" s="604" t="inlineStr">
        <x:is>
          <x:t xml:space="preserve">d59f0887db834300d827</x:t>
        </x:is>
      </x:c>
      <x:c r="AQ1178" s="604" t="n">
        <x:v>-0.5</x:v>
      </x:c>
      <x:c r="AR1178" s="604" t="n">
        <x:v>0.93</x:v>
      </x:c>
      <x:c r="AS1178" s="604" t="n">
        <x:v>0.5</x:v>
      </x:c>
      <x:c r="AT1178" s="604" t="n">
        <x:v>-0.5</x:v>
      </x:c>
      <x:c r="AU1178" s="604" t="n">
        <x:v>0.93</x:v>
      </x:c>
      <x:c r="AV1178" s="604" t="n">
        <x:v>0.88</x:v>
      </x:c>
      <x:c r="AW1178" s="604" t="n">
        <x:v>46301.03159395833</x:v>
      </x:c>
      <x:c r="AX1178" s="604" t="inlineStr">
        <x:is>
          <x:t xml:space="preserve">https://simondongxiao.github.io/odds/v4/</x:t>
        </x:is>
      </x:c>
      <x:c r="AY1178" s="604" t="inlineStr">
        <x:is>
          <x:t xml:space="preserve">V4 Shadow Only；real_money=false；P(EV&gt;0)不是比赛胜率</x:t>
        </x:is>
      </x:c>
    </x:row>
    <x:row r="1179" ht="22" customHeight="1">
      <x:c r="A1179" s="604" t="inlineStr">
        <x:is>
          <x:t xml:space="preserve">2026-10-06</x:t>
        </x:is>
      </x:c>
      <x:c r="B1179" s="604" t="inlineStr">
        <x:is>
          <x:t xml:space="preserve">2026-10-07 02:30</x:t>
        </x:is>
      </x:c>
      <x:c r="C1179" s="604" t="str">
        <x:v>南美系列</x:v>
      </x:c>
      <x:c r="D1179" s="604" t="inlineStr">
        <x:is>
          <x:t xml:space="preserve">联赛</x:t>
        </x:is>
      </x:c>
      <x:c r="E1179" s="604" t="inlineStr">
        <x:is>
          <x:t xml:space="preserve">巴青联</x:t>
        </x:is>
      </x:c>
      <x:c r="F1179" s="604" t="inlineStr">
        <x:is>
          <x:t xml:space="preserve">阿巴迪亚U20 vs 卡内杜 U20</x:t>
        </x:is>
      </x:c>
      <x:c r="G1179" s="604" t="n">
        <x:v>1</x:v>
      </x:c>
      <x:c r="H1179" s="604" t="n">
        <x:v>-0.75</x:v>
      </x:c>
      <x:c r="I1179" s="604" t="n">
        <x:v>0.8</x:v>
      </x:c>
      <x:c r="J1179" s="604" t="inlineStr">
        <x:is>
          <x:t xml:space="preserve">1/-0.75/0.8</x:t>
        </x:is>
      </x:c>
      <x:c r="K1179" s="604" t="inlineStr">
        <x:is>
          <x:t xml:space="preserve">V4-C｜EV +0.7753</x:t>
        </x:is>
      </x:c>
      <x:c r="L1179" s="604" t="inlineStr">
        <x:is>
          <x:t xml:space="preserve">阿巴迪亚U20</x:t>
        </x:is>
      </x:c>
      <x:c r="M1179" s="604" t="n">
        <x:v>0.9078656035224805</x:v>
      </x:c>
      <x:c r="N1179" s="604" t="inlineStr">
        <x:is>
          <x:t xml:space="preserve">V4纸面入选-C</x:t>
        </x:is>
      </x:c>
      <x:c r="O1179" s="604" t="inlineStr">
        <x:is>
          <x:t xml:space="preserve">1-1</x:t>
        </x:is>
      </x:c>
      <x:c r="P1179" s="604" t="inlineStr">
        <x:is>
          <x:t xml:space="preserve">已结算</x:t>
        </x:is>
      </x:c>
      <x:c r="Q1179" s="645" t="inlineStr">
        <x:is>
          <x:t xml:space="preserve">红</x:t>
        </x:is>
      </x:c>
      <x:c r="R1179" s="604" t="n">
        <x:v>1</x:v>
      </x:c>
      <x:c r="S1179" s="604" t="n">
        <x:f>IF(OR(Q1179="",Q1179="待结算"),"",IF(Q1179="红",R1179,IF(Q1179="半红",R1179*0.5,IF(Q1179="走",0,IF(Q1179="半黑",-0.5,-1)))))</x:f>
        <x:v>1</x:v>
      </x:c>
      <x:c r="T1179" s="604" t="inlineStr">
        <x:is>
          <x:t xml:space="preserve">https://m.titan007.com/analy/Analysis/3099866.htm</x:t>
        </x:is>
      </x:c>
      <x:c r="U1179" s="646" t="str">
        <x:f>IF(Q1179="","",IF(Q1179="待结算","待结算",IF(Q1179="红","黑",IF(Q1179="半红","半黑",IF(Q1179="走","走",IF(Q1179="半黑","半红","红"))))))</x:f>
        <x:v>黑</x:v>
      </x:c>
      <x:c r="V1179" s="604" t="n">
        <x:f>IF(OR(Q1179="",Q1179="待结算"),"",IF(L1179=LEFT(F1179,FIND(" vs ",F1179)-1),I1179,G1179))</x:f>
        <x:v>0.8</x:v>
      </x:c>
      <x:c r="W1179" s="604" t="n">
        <x:f>IF(OR(U1179="",U1179="待结算"),"",IF(U1179="红",V1179,IF(U1179="半红",V1179*0.5,IF(U1179="走",0,IF(U1179="半黑",-0.5,-1)))))</x:f>
        <x:v>-1</x:v>
      </x:c>
      <x:c r="X1179" s="604" t="inlineStr">
        <x:is>
          <x:t xml:space="preserve">3099866</x:t>
        </x:is>
      </x:c>
      <x:c r="Y1179" s="604" t="inlineStr">
        <x:is>
          <x:t xml:space="preserve">V4</x:t>
        </x:is>
      </x:c>
      <x:c r="Z1179" s="604" t="inlineStr">
        <x:is>
          <x:t xml:space="preserve">prior-2026-10-06-v1</x:t>
        </x:is>
      </x:c>
      <x:c r="AA1179" s="604" t="inlineStr">
        <x:is>
          <x:t xml:space="preserve">C</x:t>
        </x:is>
      </x:c>
      <x:c r="AB1179" s="604" t="n">
        <x:v>0.862868907718197</x:v>
      </x:c>
      <x:c r="AC1179" s="604" t="n"/>
      <x:c r="AD1179" s="604" t="n"/>
      <x:c r="AE1179" s="604" t="n">
        <x:v>0.09912633682716512</x:v>
      </x:c>
      <x:c r="AF1179" s="604" t="n">
        <x:v>0.0380047554546379</x:v>
      </x:c>
      <x:c r="AG1179" s="604" t="n">
        <x:v>0.7753009838499766</x:v>
      </x:c>
      <x:c r="AH1179" s="604" t="n"/>
      <x:c r="AI1179" s="604" t="n"/>
      <x:c r="AJ1179" s="604" t="n">
        <x:v>0.7753009838499766</x:v>
      </x:c>
      <x:c r="AK1179" s="604" t="n"/>
      <x:c r="AL1179" s="604" t="n"/>
      <x:c r="AM1179" s="604" t="n"/>
      <x:c r="AN1179" s="604" t="inlineStr">
        <x:is>
          <x:t xml:space="preserve">EVALUATED</x:t>
        </x:is>
      </x:c>
      <x:c r="AO1179" s="604" t="inlineStr">
        <x:is>
          <x:t xml:space="preserve">RECEIVING_VALIDATED_EDGE、BUCKET_PRIOR_ONLY、INTENT_INTERPRETATION_ONLY、FFL_OPTIONAL、EXPERT_MARKET</x:t>
        </x:is>
      </x:c>
      <x:c r="AP1179" s="604" t="inlineStr">
        <x:is>
          <x:t xml:space="preserve">b85020ce266ec9129248</x:t>
        </x:is>
      </x:c>
      <x:c r="AQ1179" s="604" t="n">
        <x:v>0.75</x:v>
      </x:c>
      <x:c r="AR1179" s="604" t="n">
        <x:v>1</x:v>
      </x:c>
      <x:c r="AS1179" s="604" t="n">
        <x:v>-0.75</x:v>
      </x:c>
      <x:c r="AT1179" s="604" t="n">
        <x:v>0.75</x:v>
      </x:c>
      <x:c r="AU1179" s="604" t="n">
        <x:v>1</x:v>
      </x:c>
      <x:c r="AV1179" s="604" t="n">
        <x:v>0.8</x:v>
      </x:c>
      <x:c r="AW1179" s="604" t="n">
        <x:v>46301.03159395833</x:v>
      </x:c>
      <x:c r="AX1179" s="604" t="inlineStr">
        <x:is>
          <x:t xml:space="preserve">https://simondongxiao.github.io/odds/v4/</x:t>
        </x:is>
      </x:c>
      <x:c r="AY1179" s="604" t="inlineStr">
        <x:is>
          <x:t xml:space="preserve">V4 Shadow Only；real_money=false；P(EV&gt;0)不是比赛胜率</x:t>
        </x:is>
      </x:c>
    </x:row>
    <x:row r="1180" ht="22" customHeight="1">
      <x:c r="A1180" s="604" t="inlineStr">
        <x:is>
          <x:t xml:space="preserve">2026-10-06</x:t>
        </x:is>
      </x:c>
      <x:c r="B1180" s="604" t="inlineStr">
        <x:is>
          <x:t xml:space="preserve">2026-10-07 02:45</x:t>
        </x:is>
      </x:c>
      <x:c r="C1180" s="604" t="str">
        <x:v>五大联赛杯赛</x:v>
      </x:c>
      <x:c r="D1180" s="604" t="inlineStr">
        <x:is>
          <x:t xml:space="preserve">杯赛</x:t>
        </x:is>
      </x:c>
      <x:c r="E1180" s="604" t="inlineStr">
        <x:is>
          <x:t xml:space="preserve">英足总杯</x:t>
        </x:is>
      </x:c>
      <x:c r="F1180" s="604" t="inlineStr">
        <x:is>
          <x:t xml:space="preserve">云吉特 vs 巴福特城</x:t>
        </x:is>
      </x:c>
      <x:c r="G1180" s="604" t="n">
        <x:v>0.88</x:v>
      </x:c>
      <x:c r="H1180" s="604" t="n">
        <x:v>-0.25</x:v>
      </x:c>
      <x:c r="I1180" s="604" t="n">
        <x:v>0.93</x:v>
      </x:c>
      <x:c r="J1180" s="604" t="inlineStr">
        <x:is>
          <x:t xml:space="preserve">0.88/-0.25/0.93</x:t>
        </x:is>
      </x:c>
      <x:c r="K1180" s="604" t="inlineStr">
        <x:is>
          <x:t xml:space="preserve">V4-B｜EV +0.2154</x:t>
        </x:is>
      </x:c>
      <x:c r="L1180" s="604" t="inlineStr">
        <x:is>
          <x:t xml:space="preserve">云吉特</x:t>
        </x:is>
      </x:c>
      <x:c r="M1180" s="604" t="n">
        <x:v>0.6635109165361817</x:v>
      </x:c>
      <x:c r="N1180" s="604" t="inlineStr">
        <x:is>
          <x:t xml:space="preserve">V4纸面入选-B</x:t>
        </x:is>
      </x:c>
      <x:c r="O1180" s="604" t="inlineStr">
        <x:is>
          <x:t xml:space="preserve">1-3</x:t>
        </x:is>
      </x:c>
      <x:c r="P1180" s="604" t="inlineStr">
        <x:is>
          <x:t xml:space="preserve">已结算</x:t>
        </x:is>
      </x:c>
      <x:c r="Q1180" s="646" t="inlineStr">
        <x:is>
          <x:t xml:space="preserve">黑</x:t>
        </x:is>
      </x:c>
      <x:c r="R1180" s="604" t="n">
        <x:v>0.88</x:v>
      </x:c>
      <x:c r="S1180" s="604" t="n">
        <x:f>IF(OR(Q1180="",Q1180="待结算"),"",IF(Q1180="红",R1180,IF(Q1180="半红",R1180*0.5,IF(Q1180="走",0,IF(Q1180="半黑",-0.5,-1)))))</x:f>
        <x:v>-1</x:v>
      </x:c>
      <x:c r="T1180" s="604" t="inlineStr">
        <x:is>
          <x:t xml:space="preserve">https://m.titan007.com/analy/Analysis/3099101.htm</x:t>
        </x:is>
      </x:c>
      <x:c r="U1180" s="645" t="str">
        <x:f>IF(Q1180="","",IF(Q1180="待结算","待结算",IF(Q1180="红","黑",IF(Q1180="半红","半黑",IF(Q1180="走","走",IF(Q1180="半黑","半红","红"))))))</x:f>
        <x:v>红</x:v>
      </x:c>
      <x:c r="V1180" s="604" t="n">
        <x:f>IF(OR(Q1180="",Q1180="待结算"),"",IF(L1180=LEFT(F1180,FIND(" vs ",F1180)-1),I1180,G1180))</x:f>
        <x:v>0.93</x:v>
      </x:c>
      <x:c r="W1180" s="604" t="n">
        <x:f>IF(OR(U1180="",U1180="待结算"),"",IF(U1180="红",V1180,IF(U1180="半红",V1180*0.5,IF(U1180="走",0,IF(U1180="半黑",-0.5,-1)))))</x:f>
        <x:v>0.93</x:v>
      </x:c>
      <x:c r="X1180" s="604" t="inlineStr">
        <x:is>
          <x:t xml:space="preserve">3099101</x:t>
        </x:is>
      </x:c>
      <x:c r="Y1180" s="604" t="inlineStr">
        <x:is>
          <x:t xml:space="preserve">V4</x:t>
        </x:is>
      </x:c>
      <x:c r="Z1180" s="604" t="inlineStr">
        <x:is>
          <x:t xml:space="preserve">prior-2026-10-06-v1</x:t>
        </x:is>
      </x:c>
      <x:c r="AA1180" s="604" t="inlineStr">
        <x:is>
          <x:t xml:space="preserve">B</x:t>
        </x:is>
      </x:c>
      <x:c r="AB1180" s="604" t="n">
        <x:v>0.4483270730917931</x:v>
      </x:c>
      <x:c r="AC1180" s="604" t="n">
        <x:v>0.2587104674881865</x:v>
      </x:c>
      <x:c r="AD1180" s="604" t="n"/>
      <x:c r="AE1180" s="604" t="n"/>
      <x:c r="AF1180" s="604" t="n">
        <x:v>0.2929624594200204</x:v>
      </x:c>
      <x:c r="AG1180" s="604" t="n">
        <x:v>0.2153979705955595</x:v>
      </x:c>
      <x:c r="AH1180" s="604" t="n"/>
      <x:c r="AI1180" s="604" t="n"/>
      <x:c r="AJ1180" s="604" t="n">
        <x:v>0.2153979705955595</x:v>
      </x:c>
      <x:c r="AK1180" s="604" t="n"/>
      <x:c r="AL1180" s="604" t="n"/>
      <x:c r="AM1180" s="604" t="n"/>
      <x:c r="AN1180" s="604" t="inlineStr">
        <x:is>
          <x:t xml:space="preserve">EVALUATED</x:t>
        </x:is>
      </x:c>
      <x:c r="AO1180" s="604" t="inlineStr">
        <x:is>
          <x:t xml:space="preserve">RECEIVING_VALIDATED_EDGE、BUCKET_PRIOR_ONLY、INTENT_INTERPRETATION_ONLY、FFL_OPTIONAL、EXPERT_MARKET</x:t>
        </x:is>
      </x:c>
      <x:c r="AP1180" s="604" t="inlineStr">
        <x:is>
          <x:t xml:space="preserve">4fd483270d8c4035d4cf</x:t>
        </x:is>
      </x:c>
      <x:c r="AQ1180" s="604" t="n">
        <x:v>0.25</x:v>
      </x:c>
      <x:c r="AR1180" s="604" t="n">
        <x:v>0.88</x:v>
      </x:c>
      <x:c r="AS1180" s="604" t="n">
        <x:v>-0.25</x:v>
      </x:c>
      <x:c r="AT1180" s="604" t="n">
        <x:v>0.25</x:v>
      </x:c>
      <x:c r="AU1180" s="604" t="n">
        <x:v>0.88</x:v>
      </x:c>
      <x:c r="AV1180" s="604" t="n">
        <x:v>0.93</x:v>
      </x:c>
      <x:c r="AW1180" s="604" t="n">
        <x:v>46301.03159395833</x:v>
      </x:c>
      <x:c r="AX1180" s="604" t="inlineStr">
        <x:is>
          <x:t xml:space="preserve">https://simondongxiao.github.io/odds/v4/</x:t>
        </x:is>
      </x:c>
      <x:c r="AY1180" s="604" t="inlineStr">
        <x:is>
          <x:t xml:space="preserve">V4 Shadow Only；real_money=false；P(EV&gt;0)不是比赛胜率</x:t>
        </x:is>
      </x:c>
    </x:row>
    <x:row r="1181" ht="22" customHeight="1">
      <x:c r="A1181" s="604" t="inlineStr">
        <x:is>
          <x:t xml:space="preserve">2026-10-06</x:t>
        </x:is>
      </x:c>
      <x:c r="B1181" s="604" t="inlineStr">
        <x:is>
          <x:t xml:space="preserve">2026-10-07 02:45</x:t>
        </x:is>
      </x:c>
      <x:c r="C1181" s="604" t="str">
        <x:v>五大联赛杯赛</x:v>
      </x:c>
      <x:c r="D1181" s="604" t="inlineStr">
        <x:is>
          <x:t xml:space="preserve">杯赛</x:t>
        </x:is>
      </x:c>
      <x:c r="E1181" s="604" t="inlineStr">
        <x:is>
          <x:t xml:space="preserve">英足总杯</x:t>
        </x:is>
      </x:c>
      <x:c r="F1181" s="604" t="inlineStr">
        <x:is>
          <x:t xml:space="preserve">斯伯丁 vs 贝利城</x:t>
        </x:is>
      </x:c>
      <x:c r="G1181" s="604" t="n">
        <x:v>0.9</x:v>
      </x:c>
      <x:c r="H1181" s="604" t="n">
        <x:v>0</x:v>
      </x:c>
      <x:c r="I1181" s="604" t="n">
        <x:v>0.9</x:v>
      </x:c>
      <x:c r="J1181" s="604" t="inlineStr">
        <x:is>
          <x:t xml:space="preserve">0.9/0/0.9</x:t>
        </x:is>
      </x:c>
      <x:c r="K1181" s="604" t="inlineStr">
        <x:is>
          <x:t xml:space="preserve">V4-C｜EV +0.0456</x:t>
        </x:is>
      </x:c>
      <x:c r="L1181" s="604" t="str"/>
      <x:c r="M1181" s="604" t="n">
        <x:v>0.5538140998292478</x:v>
      </x:c>
      <x:c r="N1181" s="604" t="inlineStr">
        <x:is>
          <x:t xml:space="preserve">V4纸面入选-C</x:t>
        </x:is>
      </x:c>
      <x:c r="O1181" s="604" t="inlineStr">
        <x:is>
          <x:t xml:space="preserve">4-0</x:t>
        </x:is>
      </x:c>
      <x:c r="P1181" s="604" t="inlineStr">
        <x:is>
          <x:t xml:space="preserve">已结算</x:t>
        </x:is>
      </x:c>
      <x:c r="Q1181" s="645" t="inlineStr">
        <x:is>
          <x:t xml:space="preserve">红</x:t>
        </x:is>
      </x:c>
      <x:c r="R1181" s="604" t="n">
        <x:v>0.9</x:v>
      </x:c>
      <x:c r="S1181" s="604" t="n">
        <x:f>IF(OR(Q1181="",Q1181="待结算"),"",IF(Q1181="红",R1181,IF(Q1181="半红",R1181*0.5,IF(Q1181="走",0,IF(Q1181="半黑",-0.5,-1)))))</x:f>
        <x:v>0.9</x:v>
      </x:c>
      <x:c r="T1181" s="604" t="inlineStr">
        <x:is>
          <x:t xml:space="preserve">https://m.titan007.com/analy/Analysis/3099102.htm</x:t>
        </x:is>
      </x:c>
      <x:c r="U1181" s="646" t="str">
        <x:f>IF(Q1181="","",IF(Q1181="待结算","待结算",IF(Q1181="红","黑",IF(Q1181="半红","半黑",IF(Q1181="走","走",IF(Q1181="半黑","半红","红"))))))</x:f>
        <x:v>黑</x:v>
      </x:c>
      <x:c r="V1181" s="604" t="n">
        <x:f>IF(OR(Q1181="",Q1181="待结算"),"",IF(L1181=LEFT(F1181,FIND(" vs ",F1181)-1),I1181,G1181))</x:f>
        <x:v>0.9</x:v>
      </x:c>
      <x:c r="W1181" s="604" t="n">
        <x:f>IF(OR(U1181="",U1181="待结算"),"",IF(U1181="红",V1181,IF(U1181="半红",V1181*0.5,IF(U1181="走",0,IF(U1181="半黑",-0.5,-1)))))</x:f>
        <x:v>-1</x:v>
      </x:c>
      <x:c r="X1181" s="604" t="inlineStr">
        <x:is>
          <x:t xml:space="preserve">3099102</x:t>
        </x:is>
      </x:c>
      <x:c r="Y1181" s="604" t="inlineStr">
        <x:is>
          <x:t xml:space="preserve">V4</x:t>
        </x:is>
      </x:c>
      <x:c r="Z1181" s="604" t="inlineStr">
        <x:is>
          <x:t xml:space="preserve">prior-2026-10-06-v1</x:t>
        </x:is>
      </x:c>
      <x:c r="AA1181" s="604" t="inlineStr">
        <x:is>
          <x:t xml:space="preserve">C</x:t>
        </x:is>
      </x:c>
      <x:c r="AB1181" s="604" t="n">
        <x:v>0.3564596822078407</x:v>
      </x:c>
      <x:c r="AC1181" s="604" t="n">
        <x:v>0.2540257777852509</x:v>
      </x:c>
      <x:c r="AD1181" s="604" t="n"/>
      <x:c r="AE1181" s="604" t="n"/>
      <x:c r="AF1181" s="604" t="n">
        <x:v>0.3895145400069083</x:v>
      </x:c>
      <x:c r="AG1181" s="604" t="n">
        <x:v>0.04561077398351127</x:v>
      </x:c>
      <x:c r="AH1181" s="604" t="n"/>
      <x:c r="AI1181" s="604" t="n"/>
      <x:c r="AJ1181" s="604" t="n">
        <x:v>0.04561077398351127</x:v>
      </x:c>
      <x:c r="AK1181" s="604" t="n"/>
      <x:c r="AL1181" s="604" t="n"/>
      <x:c r="AM1181" s="604" t="n"/>
      <x:c r="AN1181" s="604" t="inlineStr">
        <x:is>
          <x:t xml:space="preserve">EVALUATED</x:t>
        </x:is>
      </x:c>
      <x:c r="AO1181" s="604" t="inlineStr">
        <x:is>
          <x:t xml:space="preserve">EDGE_BELOW_UNCERTAINTY_THRESHOLD、BUCKET_PRIOR_ONLY、INTENT_INTERPRETATION_ONLY、FFL_OPTIONAL、EXPERT_MARKET</x:t>
        </x:is>
      </x:c>
      <x:c r="AP1181" s="604" t="inlineStr">
        <x:is>
          <x:t xml:space="preserve">7144a6b9e0434134b37b</x:t>
        </x:is>
      </x:c>
      <x:c r="AQ1181" s="604" t="n">
        <x:v>0</x:v>
      </x:c>
      <x:c r="AR1181" s="604" t="n"/>
      <x:c r="AS1181" s="604" t="n">
        <x:v>0</x:v>
      </x:c>
      <x:c r="AT1181" s="604" t="n">
        <x:v>0</x:v>
      </x:c>
      <x:c r="AU1181" s="604" t="n">
        <x:v>0.9</x:v>
      </x:c>
      <x:c r="AV1181" s="604" t="n">
        <x:v>0.9</x:v>
      </x:c>
      <x:c r="AW1181" s="604" t="n">
        <x:v>46301.03159395833</x:v>
      </x:c>
      <x:c r="AX1181" s="604" t="inlineStr">
        <x:is>
          <x:t xml:space="preserve">https://simondongxiao.github.io/odds/v4/</x:t>
        </x:is>
      </x:c>
      <x:c r="AY1181" s="604" t="inlineStr">
        <x:is>
          <x:t xml:space="preserve">V4 Shadow Only；real_money=false；P(EV&gt;0)不是比赛胜率</x:t>
        </x:is>
      </x:c>
    </x:row>
    <x:row r="1182" ht="22" customHeight="1">
      <x:c r="A1182" s="604" t="inlineStr">
        <x:is>
          <x:t xml:space="preserve">2026-10-06</x:t>
        </x:is>
      </x:c>
      <x:c r="B1182" s="604" t="inlineStr">
        <x:is>
          <x:t xml:space="preserve">2026-10-07 02:45</x:t>
        </x:is>
      </x:c>
      <x:c r="C1182" s="604" t="str">
        <x:v>五大联赛杯赛</x:v>
      </x:c>
      <x:c r="D1182" s="604" t="inlineStr">
        <x:is>
          <x:t xml:space="preserve">杯赛</x:t>
        </x:is>
      </x:c>
      <x:c r="E1182" s="604" t="inlineStr">
        <x:is>
          <x:t xml:space="preserve">英足总杯</x:t>
        </x:is>
      </x:c>
      <x:c r="F1182" s="604" t="inlineStr">
        <x:is>
          <x:t xml:space="preserve">史卡保罗夫 vs 马科斯菲尔德</x:t>
        </x:is>
      </x:c>
      <x:c r="G1182" s="604" t="n">
        <x:v>0.78</x:v>
      </x:c>
      <x:c r="H1182" s="604" t="n">
        <x:v>-0.25</x:v>
      </x:c>
      <x:c r="I1182" s="604" t="n">
        <x:v>1.03</x:v>
      </x:c>
      <x:c r="J1182" s="604" t="inlineStr">
        <x:is>
          <x:t xml:space="preserve">0.78/-0.25/1.03</x:t>
        </x:is>
      </x:c>
      <x:c r="K1182" s="604" t="inlineStr">
        <x:is>
          <x:t xml:space="preserve">V4-B｜EV +0.0973</x:t>
        </x:is>
      </x:c>
      <x:c r="L1182" s="604" t="inlineStr">
        <x:is>
          <x:t xml:space="preserve">史卡保罗夫</x:t>
        </x:is>
      </x:c>
      <x:c r="M1182" s="604" t="n">
        <x:v>0.6246909577844272</x:v>
      </x:c>
      <x:c r="N1182" s="604" t="inlineStr">
        <x:is>
          <x:t xml:space="preserve">V4纸面入选-B</x:t>
        </x:is>
      </x:c>
      <x:c r="O1182" s="604" t="inlineStr">
        <x:is>
          <x:t xml:space="preserve">1-1</x:t>
        </x:is>
      </x:c>
      <x:c r="P1182" s="604" t="inlineStr">
        <x:is>
          <x:t xml:space="preserve">已结算</x:t>
        </x:is>
      </x:c>
      <x:c r="Q1182" s="649" t="inlineStr">
        <x:is>
          <x:t xml:space="preserve">半红</x:t>
        </x:is>
      </x:c>
      <x:c r="R1182" s="604" t="n">
        <x:v>0.78</x:v>
      </x:c>
      <x:c r="S1182" s="604" t="n">
        <x:f>IF(OR(Q1182="",Q1182="待结算"),"",IF(Q1182="红",R1182,IF(Q1182="半红",R1182*0.5,IF(Q1182="走",0,IF(Q1182="半黑",-0.5,-1)))))</x:f>
        <x:v>0.39</x:v>
      </x:c>
      <x:c r="T1182" s="604" t="inlineStr">
        <x:is>
          <x:t xml:space="preserve">https://m.titan007.com/analy/Analysis/3099103.htm</x:t>
        </x:is>
      </x:c>
      <x:c r="U1182" s="648" t="str">
        <x:f>IF(Q1182="","",IF(Q1182="待结算","待结算",IF(Q1182="红","黑",IF(Q1182="半红","半黑",IF(Q1182="走","走",IF(Q1182="半黑","半红","红"))))))</x:f>
        <x:v>半黑</x:v>
      </x:c>
      <x:c r="V1182" s="604" t="n">
        <x:f>IF(OR(Q1182="",Q1182="待结算"),"",IF(L1182=LEFT(F1182,FIND(" vs ",F1182)-1),I1182,G1182))</x:f>
        <x:v>1.03</x:v>
      </x:c>
      <x:c r="W1182" s="604" t="n">
        <x:f>IF(OR(U1182="",U1182="待结算"),"",IF(U1182="红",V1182,IF(U1182="半红",V1182*0.5,IF(U1182="走",0,IF(U1182="半黑",-0.5,-1)))))</x:f>
        <x:v>-0.5</x:v>
      </x:c>
      <x:c r="X1182" s="604" t="inlineStr">
        <x:is>
          <x:t xml:space="preserve">3099103</x:t>
        </x:is>
      </x:c>
      <x:c r="Y1182" s="604" t="inlineStr">
        <x:is>
          <x:t xml:space="preserve">V4</x:t>
        </x:is>
      </x:c>
      <x:c r="Z1182" s="604" t="inlineStr">
        <x:is>
          <x:t xml:space="preserve">prior-2026-10-06-v1</x:t>
        </x:is>
      </x:c>
      <x:c r="AA1182" s="604" t="inlineStr">
        <x:is>
          <x:t xml:space="preserve">B</x:t>
        </x:is>
      </x:c>
      <x:c r="AB1182" s="604" t="n">
        <x:v>0.4117227541342367</x:v>
      </x:c>
      <x:c r="AC1182" s="604" t="n">
        <x:v>0.2621645705969987</x:v>
      </x:c>
      <x:c r="AD1182" s="604" t="n"/>
      <x:c r="AE1182" s="604" t="n"/>
      <x:c r="AF1182" s="604" t="n">
        <x:v>0.3261126752687646</x:v>
      </x:c>
      <x:c r="AG1182" s="604" t="n">
        <x:v>0.09727525548876959</x:v>
      </x:c>
      <x:c r="AH1182" s="604" t="n"/>
      <x:c r="AI1182" s="604" t="n"/>
      <x:c r="AJ1182" s="604" t="n">
        <x:v>0.09727525548876959</x:v>
      </x:c>
      <x:c r="AK1182" s="604" t="n"/>
      <x:c r="AL1182" s="604" t="n"/>
      <x:c r="AM1182" s="604" t="n"/>
      <x:c r="AN1182" s="604" t="inlineStr">
        <x:is>
          <x:t xml:space="preserve">EVALUATED</x:t>
        </x:is>
      </x:c>
      <x:c r="AO1182" s="604" t="inlineStr">
        <x:is>
          <x:t xml:space="preserve">RECEIVING_VALIDATED_EDGE、BUCKET_PRIOR_ONLY、INTENT_INTERPRETATION_ONLY、FFL_OPTIONAL、EXPERT_MARKET</x:t>
        </x:is>
      </x:c>
      <x:c r="AP1182" s="604" t="inlineStr">
        <x:is>
          <x:t xml:space="preserve">c0985f600536f76f607b</x:t>
        </x:is>
      </x:c>
      <x:c r="AQ1182" s="604" t="n">
        <x:v>0.25</x:v>
      </x:c>
      <x:c r="AR1182" s="604" t="n">
        <x:v>0.78</x:v>
      </x:c>
      <x:c r="AS1182" s="604" t="n">
        <x:v>-0.25</x:v>
      </x:c>
      <x:c r="AT1182" s="604" t="n">
        <x:v>0.25</x:v>
      </x:c>
      <x:c r="AU1182" s="604" t="n">
        <x:v>0.78</x:v>
      </x:c>
      <x:c r="AV1182" s="604" t="n">
        <x:v>1.03</x:v>
      </x:c>
      <x:c r="AW1182" s="604" t="n">
        <x:v>46301.03159395833</x:v>
      </x:c>
      <x:c r="AX1182" s="604" t="inlineStr">
        <x:is>
          <x:t xml:space="preserve">https://simondongxiao.github.io/odds/v4/</x:t>
        </x:is>
      </x:c>
      <x:c r="AY1182" s="604" t="inlineStr">
        <x:is>
          <x:t xml:space="preserve">V4 Shadow Only；real_money=false；P(EV&gt;0)不是比赛胜率</x:t>
        </x:is>
      </x:c>
    </x:row>
    <x:row r="1183" ht="22" customHeight="1">
      <x:c r="A1183" s="604" t="inlineStr">
        <x:is>
          <x:t xml:space="preserve">2026-10-06</x:t>
        </x:is>
      </x:c>
      <x:c r="B1183" s="604" t="inlineStr">
        <x:is>
          <x:t xml:space="preserve">2026-10-07 02:45</x:t>
        </x:is>
      </x:c>
      <x:c r="C1183" s="604" t="str">
        <x:v>五大联赛杯赛</x:v>
      </x:c>
      <x:c r="D1183" s="604" t="inlineStr">
        <x:is>
          <x:t xml:space="preserve">杯赛</x:t>
        </x:is>
      </x:c>
      <x:c r="E1183" s="604" t="inlineStr">
        <x:is>
          <x:t xml:space="preserve">英足总杯</x:t>
        </x:is>
      </x:c>
      <x:c r="F1183" s="604" t="inlineStr">
        <x:is>
          <x:t xml:space="preserve">哈索威 vs 史塔夫流浪</x:t>
        </x:is>
      </x:c>
      <x:c r="G1183" s="604" t="n">
        <x:v>0.88</x:v>
      </x:c>
      <x:c r="H1183" s="604" t="n">
        <x:v>0</x:v>
      </x:c>
      <x:c r="I1183" s="604" t="n">
        <x:v>0.93</x:v>
      </x:c>
      <x:c r="J1183" s="604" t="inlineStr">
        <x:is>
          <x:t xml:space="preserve">0.88/0/0.93</x:t>
        </x:is>
      </x:c>
      <x:c r="K1183" s="604" t="inlineStr">
        <x:is>
          <x:t xml:space="preserve">V4-C｜EV +0.0309</x:t>
        </x:is>
      </x:c>
      <x:c r="L1183" s="604" t="str"/>
      <x:c r="M1183" s="604" t="n">
        <x:v>0.5507214900346925</x:v>
      </x:c>
      <x:c r="N1183" s="604" t="inlineStr">
        <x:is>
          <x:t xml:space="preserve">V4纸面入选-C</x:t>
        </x:is>
      </x:c>
      <x:c r="O1183" s="604" t="inlineStr">
        <x:is>
          <x:t xml:space="preserve">1-2</x:t>
        </x:is>
      </x:c>
      <x:c r="P1183" s="604" t="inlineStr">
        <x:is>
          <x:t xml:space="preserve">已结算</x:t>
        </x:is>
      </x:c>
      <x:c r="Q1183" s="646" t="inlineStr">
        <x:is>
          <x:t xml:space="preserve">黑</x:t>
        </x:is>
      </x:c>
      <x:c r="R1183" s="604" t="n">
        <x:v>0.93</x:v>
      </x:c>
      <x:c r="S1183" s="604" t="n">
        <x:f>IF(OR(Q1183="",Q1183="待结算"),"",IF(Q1183="红",R1183,IF(Q1183="半红",R1183*0.5,IF(Q1183="走",0,IF(Q1183="半黑",-0.5,-1)))))</x:f>
        <x:v>-1</x:v>
      </x:c>
      <x:c r="T1183" s="604" t="inlineStr">
        <x:is>
          <x:t xml:space="preserve">https://m.titan007.com/analy/Analysis/3099104.htm</x:t>
        </x:is>
      </x:c>
      <x:c r="U1183" s="645" t="str">
        <x:f>IF(Q1183="","",IF(Q1183="待结算","待结算",IF(Q1183="红","黑",IF(Q1183="半红","半黑",IF(Q1183="走","走",IF(Q1183="半黑","半红","红"))))))</x:f>
        <x:v>红</x:v>
      </x:c>
      <x:c r="V1183" s="604" t="n">
        <x:f>IF(OR(Q1183="",Q1183="待结算"),"",IF(L1183=LEFT(F1183,FIND(" vs ",F1183)-1),I1183,G1183))</x:f>
        <x:v>0.88</x:v>
      </x:c>
      <x:c r="W1183" s="604" t="n">
        <x:f>IF(OR(U1183="",U1183="待结算"),"",IF(U1183="红",V1183,IF(U1183="半红",V1183*0.5,IF(U1183="走",0,IF(U1183="半黑",-0.5,-1)))))</x:f>
        <x:v>0.88</x:v>
      </x:c>
      <x:c r="X1183" s="604" t="inlineStr">
        <x:is>
          <x:t xml:space="preserve">3099104</x:t>
        </x:is>
      </x:c>
      <x:c r="Y1183" s="604" t="inlineStr">
        <x:is>
          <x:t xml:space="preserve">V4</x:t>
        </x:is>
      </x:c>
      <x:c r="Z1183" s="604" t="inlineStr">
        <x:is>
          <x:t xml:space="preserve">prior-2026-10-06-v1</x:t>
        </x:is>
      </x:c>
      <x:c r="AA1183" s="604" t="inlineStr">
        <x:is>
          <x:t xml:space="preserve">C</x:t>
        </x:is>
      </x:c>
      <x:c r="AB1183" s="604" t="n">
        <x:v>0.354040674989524</x:v>
      </x:c>
      <x:c r="AC1183" s="604" t="n">
        <x:v>0.2536636221385807</x:v>
      </x:c>
      <x:c r="AD1183" s="604" t="n"/>
      <x:c r="AE1183" s="604" t="n"/>
      <x:c r="AF1183" s="604" t="n">
        <x:v>0.3922957028718952</x:v>
      </x:c>
      <x:c r="AG1183" s="604" t="n">
        <x:v>0.03087208485986143</x:v>
      </x:c>
      <x:c r="AH1183" s="604" t="n"/>
      <x:c r="AI1183" s="604" t="n"/>
      <x:c r="AJ1183" s="604" t="n">
        <x:v>0.03087208485986143</x:v>
      </x:c>
      <x:c r="AK1183" s="604" t="n"/>
      <x:c r="AL1183" s="604" t="n"/>
      <x:c r="AM1183" s="604" t="n"/>
      <x:c r="AN1183" s="604" t="inlineStr">
        <x:is>
          <x:t xml:space="preserve">EVALUATED</x:t>
        </x:is>
      </x:c>
      <x:c r="AO1183" s="604" t="inlineStr">
        <x:is>
          <x:t xml:space="preserve">EDGE_BELOW_UNCERTAINTY_THRESHOLD、BUCKET_PRIOR_ONLY、INTENT_INTERPRETATION_ONLY、FFL_OPTIONAL、EXPERT_MARKET</x:t>
        </x:is>
      </x:c>
      <x:c r="AP1183" s="604" t="inlineStr">
        <x:is>
          <x:t xml:space="preserve">a2cead3e262378d86d2f</x:t>
        </x:is>
      </x:c>
      <x:c r="AQ1183" s="604" t="n">
        <x:v>0</x:v>
      </x:c>
      <x:c r="AR1183" s="604" t="n"/>
      <x:c r="AS1183" s="604" t="n">
        <x:v>0</x:v>
      </x:c>
      <x:c r="AT1183" s="604" t="n">
        <x:v>0</x:v>
      </x:c>
      <x:c r="AU1183" s="604" t="n">
        <x:v>0.88</x:v>
      </x:c>
      <x:c r="AV1183" s="604" t="n">
        <x:v>0.93</x:v>
      </x:c>
      <x:c r="AW1183" s="604" t="n">
        <x:v>46301.03159395833</x:v>
      </x:c>
      <x:c r="AX1183" s="604" t="inlineStr">
        <x:is>
          <x:t xml:space="preserve">https://simondongxiao.github.io/odds/v4/</x:t>
        </x:is>
      </x:c>
      <x:c r="AY1183" s="604" t="inlineStr">
        <x:is>
          <x:t xml:space="preserve">V4 Shadow Only；real_money=false；P(EV&gt;0)不是比赛胜率</x:t>
        </x:is>
      </x:c>
    </x:row>
    <x:row r="1184" ht="22" customHeight="1">
      <x:c r="A1184" s="604" t="inlineStr">
        <x:is>
          <x:t xml:space="preserve">2026-10-06</x:t>
        </x:is>
      </x:c>
      <x:c r="B1184" s="604" t="inlineStr">
        <x:is>
          <x:t xml:space="preserve">2026-10-07 02:45</x:t>
        </x:is>
      </x:c>
      <x:c r="C1184" s="604" t="str">
        <x:v>五大联赛杯赛</x:v>
      </x:c>
      <x:c r="D1184" s="604" t="inlineStr">
        <x:is>
          <x:t xml:space="preserve">联赛</x:t>
        </x:is>
      </x:c>
      <x:c r="E1184" s="604" t="inlineStr">
        <x:is>
          <x:t xml:space="preserve">英锦赛</x:t>
        </x:is>
      </x:c>
      <x:c r="F1184" s="604" t="inlineStr">
        <x:is>
          <x:t xml:space="preserve">克劳利 vs 布罗姆利</x:t>
        </x:is>
      </x:c>
      <x:c r="G1184" s="604" t="n">
        <x:v>1</x:v>
      </x:c>
      <x:c r="H1184" s="604" t="n">
        <x:v>-0.25</x:v>
      </x:c>
      <x:c r="I1184" s="604" t="n">
        <x:v>0.82</x:v>
      </x:c>
      <x:c r="J1184" s="604" t="inlineStr">
        <x:is>
          <x:t xml:space="preserve">1/-0.25/0.82</x:t>
        </x:is>
      </x:c>
      <x:c r="K1184" s="604" t="inlineStr">
        <x:is>
          <x:t xml:space="preserve">V4-C｜EV +0.3364</x:t>
        </x:is>
      </x:c>
      <x:c r="L1184" s="604" t="inlineStr">
        <x:is>
          <x:t xml:space="preserve">克劳利</x:t>
        </x:is>
      </x:c>
      <x:c r="M1184" s="604" t="n">
        <x:v>0.6927417866299147</x:v>
      </x:c>
      <x:c r="N1184" s="604" t="inlineStr">
        <x:is>
          <x:t xml:space="preserve">V4纸面入选-C</x:t>
        </x:is>
      </x:c>
      <x:c r="O1184" s="604" t="inlineStr">
        <x:is>
          <x:t xml:space="preserve">4-0</x:t>
        </x:is>
      </x:c>
      <x:c r="P1184" s="604" t="inlineStr">
        <x:is>
          <x:t xml:space="preserve">已结算</x:t>
        </x:is>
      </x:c>
      <x:c r="Q1184" s="645" t="inlineStr">
        <x:is>
          <x:t xml:space="preserve">红</x:t>
        </x:is>
      </x:c>
      <x:c r="R1184" s="604" t="n">
        <x:v>1</x:v>
      </x:c>
      <x:c r="S1184" s="604" t="n">
        <x:f>IF(OR(Q1184="",Q1184="待结算"),"",IF(Q1184="红",R1184,IF(Q1184="半红",R1184*0.5,IF(Q1184="走",0,IF(Q1184="半黑",-0.5,-1)))))</x:f>
        <x:v>1</x:v>
      </x:c>
      <x:c r="T1184" s="604" t="inlineStr">
        <x:is>
          <x:t xml:space="preserve">https://m.titan007.com/analy/Analysis/3012996.htm</x:t>
        </x:is>
      </x:c>
      <x:c r="U1184" s="646" t="str">
        <x:f>IF(Q1184="","",IF(Q1184="待结算","待结算",IF(Q1184="红","黑",IF(Q1184="半红","半黑",IF(Q1184="走","走",IF(Q1184="半黑","半红","红"))))))</x:f>
        <x:v>黑</x:v>
      </x:c>
      <x:c r="V1184" s="604" t="n">
        <x:f>IF(OR(Q1184="",Q1184="待结算"),"",IF(L1184=LEFT(F1184,FIND(" vs ",F1184)-1),I1184,G1184))</x:f>
        <x:v>0.82</x:v>
      </x:c>
      <x:c r="W1184" s="604" t="n">
        <x:f>IF(OR(U1184="",U1184="待结算"),"",IF(U1184="红",V1184,IF(U1184="半红",V1184*0.5,IF(U1184="走",0,IF(U1184="半黑",-0.5,-1)))))</x:f>
        <x:v>-1</x:v>
      </x:c>
      <x:c r="X1184" s="604" t="inlineStr">
        <x:is>
          <x:t xml:space="preserve">3012996</x:t>
        </x:is>
      </x:c>
      <x:c r="Y1184" s="604" t="inlineStr">
        <x:is>
          <x:t xml:space="preserve">V4</x:t>
        </x:is>
      </x:c>
      <x:c r="Z1184" s="604" t="inlineStr">
        <x:is>
          <x:t xml:space="preserve">prior-2026-10-06-v1</x:t>
        </x:is>
      </x:c>
      <x:c r="AA1184" s="604" t="inlineStr">
        <x:is>
          <x:t xml:space="preserve">C</x:t>
        </x:is>
      </x:c>
      <x:c r="AB1184" s="604" t="n">
        <x:v>0.4772941211956231</x:v>
      </x:c>
      <x:c r="AC1184" s="604" t="n">
        <x:v>0.2545546723499122</x:v>
      </x:c>
      <x:c r="AD1184" s="604" t="n"/>
      <x:c r="AE1184" s="604" t="n"/>
      <x:c r="AF1184" s="604" t="n">
        <x:v>0.2681512064544646</x:v>
      </x:c>
      <x:c r="AG1184" s="604" t="n">
        <x:v>0.3364202509161147</x:v>
      </x:c>
      <x:c r="AH1184" s="604" t="n"/>
      <x:c r="AI1184" s="604" t="n"/>
      <x:c r="AJ1184" s="604" t="n">
        <x:v>0.3364202509161147</x:v>
      </x:c>
      <x:c r="AK1184" s="604" t="n"/>
      <x:c r="AL1184" s="604" t="n"/>
      <x:c r="AM1184" s="604" t="n"/>
      <x:c r="AN1184" s="604" t="inlineStr">
        <x:is>
          <x:t xml:space="preserve">EVALUATED</x:t>
        </x:is>
      </x:c>
      <x:c r="AO1184" s="604" t="inlineStr">
        <x:is>
          <x:t xml:space="preserve">RECEIVING_VALIDATED_EDGE、BUCKET_PRIOR_ONLY、INTENT_INTERPRETATION_ONLY、FFL_OPTIONAL、EXPERT_MARKET</x:t>
        </x:is>
      </x:c>
      <x:c r="AP1184" s="604" t="inlineStr">
        <x:is>
          <x:t xml:space="preserve">98b2bf90f625cc361f05</x:t>
        </x:is>
      </x:c>
      <x:c r="AQ1184" s="604" t="n">
        <x:v>0.25</x:v>
      </x:c>
      <x:c r="AR1184" s="604" t="n">
        <x:v>1</x:v>
      </x:c>
      <x:c r="AS1184" s="604" t="n">
        <x:v>-0.25</x:v>
      </x:c>
      <x:c r="AT1184" s="604" t="n">
        <x:v>0.25</x:v>
      </x:c>
      <x:c r="AU1184" s="604" t="n">
        <x:v>1</x:v>
      </x:c>
      <x:c r="AV1184" s="604" t="n">
        <x:v>0.82</x:v>
      </x:c>
      <x:c r="AW1184" s="604" t="n">
        <x:v>46301.03159395833</x:v>
      </x:c>
      <x:c r="AX1184" s="604" t="inlineStr">
        <x:is>
          <x:t xml:space="preserve">https://simondongxiao.github.io/odds/v4/</x:t>
        </x:is>
      </x:c>
      <x:c r="AY1184" s="604" t="inlineStr">
        <x:is>
          <x:t xml:space="preserve">V4 Shadow Only；real_money=false；P(EV&gt;0)不是比赛胜率</x:t>
        </x:is>
      </x:c>
    </x:row>
    <x:row r="1185" ht="22" customHeight="1">
      <x:c r="A1185" s="604" t="inlineStr">
        <x:is>
          <x:t xml:space="preserve">2026-10-06</x:t>
        </x:is>
      </x:c>
      <x:c r="B1185" s="604" t="inlineStr">
        <x:is>
          <x:t xml:space="preserve">2026-10-07 02:45</x:t>
        </x:is>
      </x:c>
      <x:c r="C1185" s="604" t="str">
        <x:v>欧洲非五大系列</x:v>
      </x:c>
      <x:c r="D1185" s="604" t="inlineStr">
        <x:is>
          <x:t xml:space="preserve">联赛</x:t>
        </x:is>
      </x:c>
      <x:c r="E1185" s="604" t="inlineStr">
        <x:is>
          <x:t xml:space="preserve">欧国联</x:t>
        </x:is>
      </x:c>
      <x:c r="F1185" s="604" t="inlineStr">
        <x:is>
          <x:t xml:space="preserve">克罗地亚 vs 西班牙</x:t>
        </x:is>
      </x:c>
      <x:c r="G1185" s="604" t="n">
        <x:v>0.98</x:v>
      </x:c>
      <x:c r="H1185" s="604" t="n">
        <x:v>-1.75</x:v>
      </x:c>
      <x:c r="I1185" s="604" t="n">
        <x:v>0.9</x:v>
      </x:c>
      <x:c r="J1185" s="604" t="inlineStr">
        <x:is>
          <x:t xml:space="preserve">0.98/-1.75/0.9</x:t>
        </x:is>
      </x:c>
      <x:c r="K1185" s="604" t="inlineStr">
        <x:is>
          <x:t xml:space="preserve">V4-B｜EV +0.9789</x:t>
        </x:is>
      </x:c>
      <x:c r="L1185" s="604" t="inlineStr">
        <x:is>
          <x:t xml:space="preserve">克罗地亚</x:t>
        </x:is>
      </x:c>
      <x:c r="M1185" s="604" t="n">
        <x:v>0.9996314566624032</x:v>
      </x:c>
      <x:c r="N1185" s="604" t="inlineStr">
        <x:is>
          <x:t xml:space="preserve">V4纸面入选-B</x:t>
        </x:is>
      </x:c>
      <x:c r="O1185" s="604" t="inlineStr">
        <x:is>
          <x:t xml:space="preserve">1-2</x:t>
        </x:is>
      </x:c>
      <x:c r="P1185" s="604" t="inlineStr">
        <x:is>
          <x:t xml:space="preserve">已结算</x:t>
        </x:is>
      </x:c>
      <x:c r="Q1185" s="645" t="inlineStr">
        <x:is>
          <x:t xml:space="preserve">红</x:t>
        </x:is>
      </x:c>
      <x:c r="R1185" s="604" t="n">
        <x:v>0.98</x:v>
      </x:c>
      <x:c r="S1185" s="604" t="n">
        <x:f>IF(OR(Q1185="",Q1185="待结算"),"",IF(Q1185="红",R1185,IF(Q1185="半红",R1185*0.5,IF(Q1185="走",0,IF(Q1185="半黑",-0.5,-1)))))</x:f>
        <x:v>0.98</x:v>
      </x:c>
      <x:c r="T1185" s="604" t="inlineStr">
        <x:is>
          <x:t xml:space="preserve">https://m.titan007.com/analy/Analysis/2981455.htm</x:t>
        </x:is>
      </x:c>
      <x:c r="U1185" s="646" t="str">
        <x:f>IF(Q1185="","",IF(Q1185="待结算","待结算",IF(Q1185="红","黑",IF(Q1185="半红","半黑",IF(Q1185="走","走",IF(Q1185="半黑","半红","红"))))))</x:f>
        <x:v>黑</x:v>
      </x:c>
      <x:c r="V1185" s="604" t="n">
        <x:f>IF(OR(Q1185="",Q1185="待结算"),"",IF(L1185=LEFT(F1185,FIND(" vs ",F1185)-1),I1185,G1185))</x:f>
        <x:v>0.9</x:v>
      </x:c>
      <x:c r="W1185" s="604" t="n">
        <x:f>IF(OR(U1185="",U1185="待结算"),"",IF(U1185="红",V1185,IF(U1185="半红",V1185*0.5,IF(U1185="走",0,IF(U1185="半黑",-0.5,-1)))))</x:f>
        <x:v>-1</x:v>
      </x:c>
      <x:c r="X1185" s="604" t="inlineStr">
        <x:is>
          <x:t xml:space="preserve">2981455</x:t>
        </x:is>
      </x:c>
      <x:c r="Y1185" s="604" t="inlineStr">
        <x:is>
          <x:t xml:space="preserve">V4</x:t>
        </x:is>
      </x:c>
      <x:c r="Z1185" s="604" t="inlineStr">
        <x:is>
          <x:t xml:space="preserve">prior-2026-10-06-v1</x:t>
        </x:is>
      </x:c>
      <x:c r="AA1185" s="604" t="inlineStr">
        <x:is>
          <x:t xml:space="preserve">B</x:t>
        </x:is>
      </x:c>
      <x:c r="AB1185" s="604" t="n">
        <x:v>0.9992938258750106</x:v>
      </x:c>
      <x:c r="AC1185" s="604" t="n"/>
      <x:c r="AD1185" s="604" t="n"/>
      <x:c r="AE1185" s="604" t="n">
        <x:v>0.0006755105296901165</x:v>
      </x:c>
      <x:c r="AF1185" s="604" t="n">
        <x:v>3.066359529929413e-05</x:v>
      </x:c>
      <x:c r="AG1185" s="604" t="n">
        <x:v>0.978939530497366</x:v>
      </x:c>
      <x:c r="AH1185" s="604" t="n"/>
      <x:c r="AI1185" s="604" t="n"/>
      <x:c r="AJ1185" s="604" t="n">
        <x:v>0.978939530497366</x:v>
      </x:c>
      <x:c r="AK1185" s="604" t="n"/>
      <x:c r="AL1185" s="604" t="n"/>
      <x:c r="AM1185" s="604" t="n"/>
      <x:c r="AN1185" s="604" t="inlineStr">
        <x:is>
          <x:t xml:space="preserve">EVALUATED</x:t>
        </x:is>
      </x:c>
      <x:c r="AO1185" s="604" t="inlineStr">
        <x:is>
          <x:t xml:space="preserve">RECEIVING_VALIDATED_EDGE、BUCKET_PRIOR_ONLY、INTENT_INTERPRETATION_ONLY、FFL_OPTIONAL、EXPERT_MARKET</x:t>
        </x:is>
      </x:c>
      <x:c r="AP1185" s="604" t="inlineStr">
        <x:is>
          <x:t xml:space="preserve">909352837fc7483dcdc8</x:t>
        </x:is>
      </x:c>
      <x:c r="AQ1185" s="604" t="n">
        <x:v>1.75</x:v>
      </x:c>
      <x:c r="AR1185" s="604" t="n">
        <x:v>0.98</x:v>
      </x:c>
      <x:c r="AS1185" s="604" t="n">
        <x:v>-1.75</x:v>
      </x:c>
      <x:c r="AT1185" s="604" t="n">
        <x:v>1.75</x:v>
      </x:c>
      <x:c r="AU1185" s="604" t="n">
        <x:v>0.98</x:v>
      </x:c>
      <x:c r="AV1185" s="604" t="n">
        <x:v>0.9</x:v>
      </x:c>
      <x:c r="AW1185" s="604" t="n">
        <x:v>46301.03159395833</x:v>
      </x:c>
      <x:c r="AX1185" s="604" t="inlineStr">
        <x:is>
          <x:t xml:space="preserve">https://simondongxiao.github.io/odds/v4/</x:t>
        </x:is>
      </x:c>
      <x:c r="AY1185" s="604" t="inlineStr">
        <x:is>
          <x:t xml:space="preserve">V4 Shadow Only；real_money=false；P(EV&gt;0)不是比赛胜率</x:t>
        </x:is>
      </x:c>
    </x:row>
    <x:row r="1186" ht="22" customHeight="1">
      <x:c r="A1186" s="604" t="inlineStr">
        <x:is>
          <x:t xml:space="preserve">2026-10-06</x:t>
        </x:is>
      </x:c>
      <x:c r="B1186" s="604" t="inlineStr">
        <x:is>
          <x:t xml:space="preserve">2026-10-07 02:45</x:t>
        </x:is>
      </x:c>
      <x:c r="C1186" s="604" t="str">
        <x:v>欧洲非五大系列</x:v>
      </x:c>
      <x:c r="D1186" s="604" t="inlineStr">
        <x:is>
          <x:t xml:space="preserve">联赛</x:t>
        </x:is>
      </x:c>
      <x:c r="E1186" s="604" t="inlineStr">
        <x:is>
          <x:t xml:space="preserve">欧国联</x:t>
        </x:is>
      </x:c>
      <x:c r="F1186" s="604" t="inlineStr">
        <x:is>
          <x:t xml:space="preserve">英格兰 vs 捷克</x:t>
        </x:is>
      </x:c>
      <x:c r="G1186" s="604" t="n">
        <x:v>0.95</x:v>
      </x:c>
      <x:c r="H1186" s="604" t="n">
        <x:v>2.5</x:v>
      </x:c>
      <x:c r="I1186" s="604" t="n">
        <x:v>0.93</x:v>
      </x:c>
      <x:c r="J1186" s="604" t="inlineStr">
        <x:is>
          <x:t xml:space="preserve">0.95/2.5/0.93</x:t>
        </x:is>
      </x:c>
      <x:c r="K1186" s="604" t="inlineStr">
        <x:is>
          <x:t xml:space="preserve">V4-B｜EV +0.1251</x:t>
        </x:is>
      </x:c>
      <x:c r="L1186" s="604" t="inlineStr">
        <x:is>
          <x:t xml:space="preserve">英格兰</x:t>
        </x:is>
      </x:c>
      <x:c r="M1186" s="604" t="n">
        <x:v>0.5769942374980358</x:v>
      </x:c>
      <x:c r="N1186" s="604" t="inlineStr">
        <x:is>
          <x:t xml:space="preserve">V4纸面入选-B</x:t>
        </x:is>
      </x:c>
      <x:c r="O1186" s="604" t="inlineStr">
        <x:is>
          <x:t xml:space="preserve">3-0</x:t>
        </x:is>
      </x:c>
      <x:c r="P1186" s="604" t="inlineStr">
        <x:is>
          <x:t xml:space="preserve">已结算</x:t>
        </x:is>
      </x:c>
      <x:c r="Q1186" s="645" t="inlineStr">
        <x:is>
          <x:t xml:space="preserve">红</x:t>
        </x:is>
      </x:c>
      <x:c r="R1186" s="604" t="n">
        <x:v>0.95</x:v>
      </x:c>
      <x:c r="S1186" s="604" t="n">
        <x:f>IF(OR(Q1186="",Q1186="待结算"),"",IF(Q1186="红",R1186,IF(Q1186="半红",R1186*0.5,IF(Q1186="走",0,IF(Q1186="半黑",-0.5,-1)))))</x:f>
        <x:v>0.95</x:v>
      </x:c>
      <x:c r="T1186" s="604" t="inlineStr">
        <x:is>
          <x:t xml:space="preserve">https://m.titan007.com/analy/Analysis/2981456.htm</x:t>
        </x:is>
      </x:c>
      <x:c r="U1186" s="646" t="str">
        <x:f>IF(Q1186="","",IF(Q1186="待结算","待结算",IF(Q1186="红","黑",IF(Q1186="半红","半黑",IF(Q1186="走","走",IF(Q1186="半黑","半红","红"))))))</x:f>
        <x:v>黑</x:v>
      </x:c>
      <x:c r="V1186" s="604" t="n">
        <x:f>IF(OR(Q1186="",Q1186="待结算"),"",IF(L1186=LEFT(F1186,FIND(" vs ",F1186)-1),I1186,G1186))</x:f>
        <x:v>0.93</x:v>
      </x:c>
      <x:c r="W1186" s="604" t="n">
        <x:f>IF(OR(U1186="",U1186="待结算"),"",IF(U1186="红",V1186,IF(U1186="半红",V1186*0.5,IF(U1186="走",0,IF(U1186="半黑",-0.5,-1)))))</x:f>
        <x:v>-1</x:v>
      </x:c>
      <x:c r="X1186" s="604" t="inlineStr">
        <x:is>
          <x:t xml:space="preserve">2981456</x:t>
        </x:is>
      </x:c>
      <x:c r="Y1186" s="604" t="inlineStr">
        <x:is>
          <x:t xml:space="preserve">V4</x:t>
        </x:is>
      </x:c>
      <x:c r="Z1186" s="604" t="inlineStr">
        <x:is>
          <x:t xml:space="preserve">prior-2026-10-06-v1</x:t>
        </x:is>
      </x:c>
      <x:c r="AA1186" s="604" t="inlineStr">
        <x:is>
          <x:t xml:space="preserve">B</x:t>
        </x:is>
      </x:c>
      <x:c r="AB1186" s="604" t="n">
        <x:v>0.5769942374980358</x:v>
      </x:c>
      <x:c r="AC1186" s="604" t="n"/>
      <x:c r="AD1186" s="604" t="n"/>
      <x:c r="AE1186" s="604" t="n"/>
      <x:c r="AF1186" s="604" t="n">
        <x:v>0.4230057625019641</x:v>
      </x:c>
      <x:c r="AG1186" s="604" t="n">
        <x:v>0.1251387631211698</x:v>
      </x:c>
      <x:c r="AH1186" s="604" t="n"/>
      <x:c r="AI1186" s="604" t="n"/>
      <x:c r="AJ1186" s="604" t="n">
        <x:v>0.1251387631211698</x:v>
      </x:c>
      <x:c r="AK1186" s="604" t="n"/>
      <x:c r="AL1186" s="604" t="n"/>
      <x:c r="AM1186" s="604" t="n"/>
      <x:c r="AN1186" s="604" t="inlineStr">
        <x:is>
          <x:t xml:space="preserve">EVALUATED</x:t>
        </x:is>
      </x:c>
      <x:c r="AO1186" s="604" t="inlineStr">
        <x:is>
          <x:t xml:space="preserve">GIVING_VALIDATED_EDGE、BUCKET_PRIOR_ONLY、INTENT_INTERPRETATION_ONLY、FFL_OPTIONAL、EXPERT_MARKET</x:t>
        </x:is>
      </x:c>
      <x:c r="AP1186" s="604" t="inlineStr">
        <x:is>
          <x:t xml:space="preserve">7dcefdd716427c037837</x:t>
        </x:is>
      </x:c>
      <x:c r="AQ1186" s="604" t="n">
        <x:v>-2.5</x:v>
      </x:c>
      <x:c r="AR1186" s="604" t="n">
        <x:v>0.95</x:v>
      </x:c>
      <x:c r="AS1186" s="604" t="n">
        <x:v>2.5</x:v>
      </x:c>
      <x:c r="AT1186" s="604" t="n">
        <x:v>-2.5</x:v>
      </x:c>
      <x:c r="AU1186" s="604" t="n">
        <x:v>0.95</x:v>
      </x:c>
      <x:c r="AV1186" s="604" t="n">
        <x:v>0.93</x:v>
      </x:c>
      <x:c r="AW1186" s="604" t="n">
        <x:v>46301.03159395833</x:v>
      </x:c>
      <x:c r="AX1186" s="604" t="inlineStr">
        <x:is>
          <x:t xml:space="preserve">https://simondongxiao.github.io/odds/v4/</x:t>
        </x:is>
      </x:c>
      <x:c r="AY1186" s="604" t="inlineStr">
        <x:is>
          <x:t xml:space="preserve">V4 Shadow Only；real_money=false；P(EV&gt;0)不是比赛胜率</x:t>
        </x:is>
      </x:c>
    </x:row>
    <x:row r="1187" ht="22" customHeight="1">
      <x:c r="A1187" s="604" t="inlineStr">
        <x:is>
          <x:t xml:space="preserve">2026-10-06</x:t>
        </x:is>
      </x:c>
      <x:c r="B1187" s="604" t="inlineStr">
        <x:is>
          <x:t xml:space="preserve">2026-10-07 02:45</x:t>
        </x:is>
      </x:c>
      <x:c r="C1187" s="604" t="str">
        <x:v>欧洲非五大系列</x:v>
      </x:c>
      <x:c r="D1187" s="604" t="inlineStr">
        <x:is>
          <x:t xml:space="preserve">联赛</x:t>
        </x:is>
      </x:c>
      <x:c r="E1187" s="604" t="inlineStr">
        <x:is>
          <x:t xml:space="preserve">欧国联</x:t>
        </x:is>
      </x:c>
      <x:c r="F1187" s="604" t="inlineStr">
        <x:is>
          <x:t xml:space="preserve">瑞士 vs 北马其顿</x:t>
        </x:is>
      </x:c>
      <x:c r="G1187" s="604" t="n">
        <x:v>0.91</x:v>
      </x:c>
      <x:c r="H1187" s="604" t="n">
        <x:v>2.5</x:v>
      </x:c>
      <x:c r="I1187" s="604" t="n">
        <x:v>0.97</x:v>
      </x:c>
      <x:c r="J1187" s="604" t="inlineStr">
        <x:is>
          <x:t xml:space="preserve">0.91/2.5/0.97</x:t>
        </x:is>
      </x:c>
      <x:c r="K1187" s="604" t="inlineStr">
        <x:is>
          <x:t xml:space="preserve">V4-B｜EV +0.1253</x:t>
        </x:is>
      </x:c>
      <x:c r="L1187" s="604" t="inlineStr">
        <x:is>
          <x:t xml:space="preserve">瑞士</x:t>
        </x:is>
      </x:c>
      <x:c r="M1187" s="604" t="n">
        <x:v>0.5891456942192262</x:v>
      </x:c>
      <x:c r="N1187" s="604" t="inlineStr">
        <x:is>
          <x:t xml:space="preserve">V4纸面入选-B</x:t>
        </x:is>
      </x:c>
      <x:c r="O1187" s="604" t="inlineStr">
        <x:is>
          <x:t xml:space="preserve">3-0</x:t>
        </x:is>
      </x:c>
      <x:c r="P1187" s="604" t="inlineStr">
        <x:is>
          <x:t xml:space="preserve">已结算</x:t>
        </x:is>
      </x:c>
      <x:c r="Q1187" s="645" t="inlineStr">
        <x:is>
          <x:t xml:space="preserve">红</x:t>
        </x:is>
      </x:c>
      <x:c r="R1187" s="604" t="n">
        <x:v>0.91</x:v>
      </x:c>
      <x:c r="S1187" s="604" t="n">
        <x:f>IF(OR(Q1187="",Q1187="待结算"),"",IF(Q1187="红",R1187,IF(Q1187="半红",R1187*0.5,IF(Q1187="走",0,IF(Q1187="半黑",-0.5,-1)))))</x:f>
        <x:v>0.91</x:v>
      </x:c>
      <x:c r="T1187" s="604" t="inlineStr">
        <x:is>
          <x:t xml:space="preserve">https://m.titan007.com/analy/Analysis/2981505.htm</x:t>
        </x:is>
      </x:c>
      <x:c r="U1187" s="646" t="str">
        <x:f>IF(Q1187="","",IF(Q1187="待结算","待结算",IF(Q1187="红","黑",IF(Q1187="半红","半黑",IF(Q1187="走","走",IF(Q1187="半黑","半红","红"))))))</x:f>
        <x:v>黑</x:v>
      </x:c>
      <x:c r="V1187" s="604" t="n">
        <x:f>IF(OR(Q1187="",Q1187="待结算"),"",IF(L1187=LEFT(F1187,FIND(" vs ",F1187)-1),I1187,G1187))</x:f>
        <x:v>0.97</x:v>
      </x:c>
      <x:c r="W1187" s="604" t="n">
        <x:f>IF(OR(U1187="",U1187="待结算"),"",IF(U1187="红",V1187,IF(U1187="半红",V1187*0.5,IF(U1187="走",0,IF(U1187="半黑",-0.5,-1)))))</x:f>
        <x:v>-1</x:v>
      </x:c>
      <x:c r="X1187" s="604" t="inlineStr">
        <x:is>
          <x:t xml:space="preserve">2981505</x:t>
        </x:is>
      </x:c>
      <x:c r="Y1187" s="604" t="inlineStr">
        <x:is>
          <x:t xml:space="preserve">V4</x:t>
        </x:is>
      </x:c>
      <x:c r="Z1187" s="604" t="inlineStr">
        <x:is>
          <x:t xml:space="preserve">prior-2026-10-06-v1</x:t>
        </x:is>
      </x:c>
      <x:c r="AA1187" s="604" t="inlineStr">
        <x:is>
          <x:t xml:space="preserve">B</x:t>
        </x:is>
      </x:c>
      <x:c r="AB1187" s="604" t="n">
        <x:v>0.5891456942192262</x:v>
      </x:c>
      <x:c r="AC1187" s="604" t="n"/>
      <x:c r="AD1187" s="604" t="n"/>
      <x:c r="AE1187" s="604" t="n"/>
      <x:c r="AF1187" s="604" t="n">
        <x:v>0.4108543057807738</x:v>
      </x:c>
      <x:c r="AG1187" s="604" t="n">
        <x:v>0.1252682759587221</x:v>
      </x:c>
      <x:c r="AH1187" s="604" t="n"/>
      <x:c r="AI1187" s="604" t="n"/>
      <x:c r="AJ1187" s="604" t="n">
        <x:v>0.1252682759587221</x:v>
      </x:c>
      <x:c r="AK1187" s="604" t="n"/>
      <x:c r="AL1187" s="604" t="n"/>
      <x:c r="AM1187" s="604" t="n"/>
      <x:c r="AN1187" s="604" t="inlineStr">
        <x:is>
          <x:t xml:space="preserve">EVALUATED</x:t>
        </x:is>
      </x:c>
      <x:c r="AO1187" s="604" t="inlineStr">
        <x:is>
          <x:t xml:space="preserve">GIVING_VALIDATED_EDGE、BUCKET_PRIOR_ONLY、INTENT_INTERPRETATION_ONLY、FFL_OPTIONAL、EXPERT_MARKET</x:t>
        </x:is>
      </x:c>
      <x:c r="AP1187" s="604" t="inlineStr">
        <x:is>
          <x:t xml:space="preserve">0933e98aad752ef7a19b</x:t>
        </x:is>
      </x:c>
      <x:c r="AQ1187" s="604" t="n">
        <x:v>-2.5</x:v>
      </x:c>
      <x:c r="AR1187" s="604" t="n">
        <x:v>0.91</x:v>
      </x:c>
      <x:c r="AS1187" s="604" t="n">
        <x:v>2.5</x:v>
      </x:c>
      <x:c r="AT1187" s="604" t="n">
        <x:v>-2.5</x:v>
      </x:c>
      <x:c r="AU1187" s="604" t="n">
        <x:v>0.91</x:v>
      </x:c>
      <x:c r="AV1187" s="604" t="n">
        <x:v>0.97</x:v>
      </x:c>
      <x:c r="AW1187" s="604" t="n">
        <x:v>46301.03159395833</x:v>
      </x:c>
      <x:c r="AX1187" s="604" t="inlineStr">
        <x:is>
          <x:t xml:space="preserve">https://simondongxiao.github.io/odds/v4/</x:t>
        </x:is>
      </x:c>
      <x:c r="AY1187" s="604" t="inlineStr">
        <x:is>
          <x:t xml:space="preserve">V4 Shadow Only；real_money=false；P(EV&gt;0)不是比赛胜率</x:t>
        </x:is>
      </x:c>
    </x:row>
    <x:row r="1188" ht="22" customHeight="1">
      <x:c r="A1188" s="604" t="inlineStr">
        <x:is>
          <x:t xml:space="preserve">2026-10-06</x:t>
        </x:is>
      </x:c>
      <x:c r="B1188" s="604" t="inlineStr">
        <x:is>
          <x:t xml:space="preserve">2026-10-07 02:45</x:t>
        </x:is>
      </x:c>
      <x:c r="C1188" s="604" t="str">
        <x:v>欧洲非五大系列</x:v>
      </x:c>
      <x:c r="D1188" s="604" t="inlineStr">
        <x:is>
          <x:t xml:space="preserve">联赛</x:t>
        </x:is>
      </x:c>
      <x:c r="E1188" s="604" t="inlineStr">
        <x:is>
          <x:t xml:space="preserve">欧国联</x:t>
        </x:is>
      </x:c>
      <x:c r="F1188" s="604" t="inlineStr">
        <x:is>
          <x:t xml:space="preserve">苏格兰 vs 斯洛文尼亚</x:t>
        </x:is>
      </x:c>
      <x:c r="G1188" s="604" t="n">
        <x:v>1.01</x:v>
      </x:c>
      <x:c r="H1188" s="604" t="n">
        <x:v>0.75</x:v>
      </x:c>
      <x:c r="I1188" s="604" t="n">
        <x:v>0.87</x:v>
      </x:c>
      <x:c r="J1188" s="604" t="inlineStr">
        <x:is>
          <x:t xml:space="preserve">1.01/0.75/0.87</x:t>
        </x:is>
      </x:c>
      <x:c r="K1188" s="604" t="inlineStr">
        <x:is>
          <x:t xml:space="preserve">V4-B｜EV +0.1830</x:t>
        </x:is>
      </x:c>
      <x:c r="L1188" s="604" t="inlineStr">
        <x:is>
          <x:t xml:space="preserve">苏格兰</x:t>
        </x:is>
      </x:c>
      <x:c r="M1188" s="604" t="n">
        <x:v>0.6020607618087862</x:v>
      </x:c>
      <x:c r="N1188" s="604" t="inlineStr">
        <x:is>
          <x:t xml:space="preserve">V4纸面入选-B</x:t>
        </x:is>
      </x:c>
      <x:c r="O1188" s="604" t="inlineStr">
        <x:is>
          <x:t xml:space="preserve">1-2</x:t>
        </x:is>
      </x:c>
      <x:c r="P1188" s="604" t="inlineStr">
        <x:is>
          <x:t xml:space="preserve">已结算</x:t>
        </x:is>
      </x:c>
      <x:c r="Q1188" s="646" t="inlineStr">
        <x:is>
          <x:t xml:space="preserve">黑</x:t>
        </x:is>
      </x:c>
      <x:c r="R1188" s="604" t="n">
        <x:v>1.01</x:v>
      </x:c>
      <x:c r="S1188" s="604" t="n">
        <x:f>IF(OR(Q1188="",Q1188="待结算"),"",IF(Q1188="红",R1188,IF(Q1188="半红",R1188*0.5,IF(Q1188="走",0,IF(Q1188="半黑",-0.5,-1)))))</x:f>
        <x:v>-1</x:v>
      </x:c>
      <x:c r="T1188" s="604" t="inlineStr">
        <x:is>
          <x:t xml:space="preserve">https://m.titan007.com/analy/Analysis/2981506.htm</x:t>
        </x:is>
      </x:c>
      <x:c r="U1188" s="645" t="str">
        <x:f>IF(Q1188="","",IF(Q1188="待结算","待结算",IF(Q1188="红","黑",IF(Q1188="半红","半黑",IF(Q1188="走","走",IF(Q1188="半黑","半红","红"))))))</x:f>
        <x:v>红</x:v>
      </x:c>
      <x:c r="V1188" s="604" t="n">
        <x:f>IF(OR(Q1188="",Q1188="待结算"),"",IF(L1188=LEFT(F1188,FIND(" vs ",F1188)-1),I1188,G1188))</x:f>
        <x:v>0.87</x:v>
      </x:c>
      <x:c r="W1188" s="604" t="n">
        <x:f>IF(OR(U1188="",U1188="待结算"),"",IF(U1188="红",V1188,IF(U1188="半红",V1188*0.5,IF(U1188="走",0,IF(U1188="半黑",-0.5,-1)))))</x:f>
        <x:v>0.87</x:v>
      </x:c>
      <x:c r="X1188" s="604" t="inlineStr">
        <x:is>
          <x:t xml:space="preserve">2981506</x:t>
        </x:is>
      </x:c>
      <x:c r="Y1188" s="604" t="inlineStr">
        <x:is>
          <x:t xml:space="preserve">V4</x:t>
        </x:is>
      </x:c>
      <x:c r="Z1188" s="604" t="inlineStr">
        <x:is>
          <x:t xml:space="preserve">prior-2026-10-06-v1</x:t>
        </x:is>
      </x:c>
      <x:c r="AA1188" s="604" t="inlineStr">
        <x:is>
          <x:t xml:space="preserve">B</x:t>
        </x:is>
      </x:c>
      <x:c r="AB1188" s="604" t="n">
        <x:v>0.3954170016158803</x:v>
      </x:c>
      <x:c r="AC1188" s="604" t="n">
        <x:v>0.2579724378987942</x:v>
      </x:c>
      <x:c r="AD1188" s="604" t="n"/>
      <x:c r="AE1188" s="604" t="n"/>
      <x:c r="AF1188" s="604" t="n">
        <x:v>0.3466105604853256</x:v>
      </x:c>
      <x:c r="AG1188" s="604" t="n">
        <x:v>0.1830366922856046</x:v>
      </x:c>
      <x:c r="AH1188" s="604" t="n"/>
      <x:c r="AI1188" s="604" t="n"/>
      <x:c r="AJ1188" s="604" t="n">
        <x:v>0.1830366922856046</x:v>
      </x:c>
      <x:c r="AK1188" s="604" t="n"/>
      <x:c r="AL1188" s="604" t="n"/>
      <x:c r="AM1188" s="604" t="n"/>
      <x:c r="AN1188" s="604" t="inlineStr">
        <x:is>
          <x:t xml:space="preserve">EVALUATED</x:t>
        </x:is>
      </x:c>
      <x:c r="AO1188" s="604" t="inlineStr">
        <x:is>
          <x:t xml:space="preserve">GIVING_VALIDATED_EDGE、BUCKET_PRIOR_ONLY、INTENT_INTERPRETATION_ONLY、FFL_OPTIONAL、EXPERT_MARKET</x:t>
        </x:is>
      </x:c>
      <x:c r="AP1188" s="604" t="inlineStr">
        <x:is>
          <x:t xml:space="preserve">5eb354e93f9c02092a98</x:t>
        </x:is>
      </x:c>
      <x:c r="AQ1188" s="604" t="n">
        <x:v>-0.75</x:v>
      </x:c>
      <x:c r="AR1188" s="604" t="n">
        <x:v>1.01</x:v>
      </x:c>
      <x:c r="AS1188" s="604" t="n">
        <x:v>0.75</x:v>
      </x:c>
      <x:c r="AT1188" s="604" t="n">
        <x:v>-0.75</x:v>
      </x:c>
      <x:c r="AU1188" s="604" t="n">
        <x:v>1.01</x:v>
      </x:c>
      <x:c r="AV1188" s="604" t="n">
        <x:v>0.87</x:v>
      </x:c>
      <x:c r="AW1188" s="604" t="n">
        <x:v>46301.03159395833</x:v>
      </x:c>
      <x:c r="AX1188" s="604" t="inlineStr">
        <x:is>
          <x:t xml:space="preserve">https://simondongxiao.github.io/odds/v4/</x:t>
        </x:is>
      </x:c>
      <x:c r="AY1188" s="604" t="inlineStr">
        <x:is>
          <x:t xml:space="preserve">V4 Shadow Only；real_money=false；P(EV&gt;0)不是比赛胜率</x:t>
        </x:is>
      </x:c>
    </x:row>
    <x:row r="1189" ht="22" customHeight="1">
      <x:c r="A1189" s="604" t="inlineStr">
        <x:is>
          <x:t xml:space="preserve">2026-10-06</x:t>
        </x:is>
      </x:c>
      <x:c r="B1189" s="604" t="inlineStr">
        <x:is>
          <x:t xml:space="preserve">2026-10-07 02:45</x:t>
        </x:is>
      </x:c>
      <x:c r="C1189" s="604" t="str">
        <x:v>欧洲非五大系列</x:v>
      </x:c>
      <x:c r="D1189" s="604" t="inlineStr">
        <x:is>
          <x:t xml:space="preserve">联赛</x:t>
        </x:is>
      </x:c>
      <x:c r="E1189" s="604" t="inlineStr">
        <x:is>
          <x:t xml:space="preserve">欧国联</x:t>
        </x:is>
      </x:c>
      <x:c r="F1189" s="604" t="inlineStr">
        <x:is>
          <x:t xml:space="preserve">阿尔巴尼亚 vs 圣马力诺</x:t>
        </x:is>
      </x:c>
      <x:c r="G1189" s="604" t="n">
        <x:v>1.02</x:v>
      </x:c>
      <x:c r="H1189" s="604" t="n">
        <x:v>3.75</x:v>
      </x:c>
      <x:c r="I1189" s="604" t="n">
        <x:v>0.86</x:v>
      </x:c>
      <x:c r="J1189" s="604" t="inlineStr">
        <x:is>
          <x:t xml:space="preserve">1.02/3.75/0.86</x:t>
        </x:is>
      </x:c>
      <x:c r="K1189" s="604" t="inlineStr">
        <x:is>
          <x:t xml:space="preserve">V4-B｜EV +0.2488</x:t>
        </x:is>
      </x:c>
      <x:c r="L1189" s="604" t="inlineStr">
        <x:is>
          <x:t xml:space="preserve">圣马力诺</x:t>
        </x:is>
      </x:c>
      <x:c r="M1189" s="604" t="n">
        <x:v>0.6839781725168447</x:v>
      </x:c>
      <x:c r="N1189" s="604" t="inlineStr">
        <x:is>
          <x:t xml:space="preserve">V4纸面入选-B</x:t>
        </x:is>
      </x:c>
      <x:c r="O1189" s="604" t="inlineStr">
        <x:is>
          <x:t xml:space="preserve">2-1</x:t>
        </x:is>
      </x:c>
      <x:c r="P1189" s="604" t="inlineStr">
        <x:is>
          <x:t xml:space="preserve">已结算</x:t>
        </x:is>
      </x:c>
      <x:c r="Q1189" s="645" t="inlineStr">
        <x:is>
          <x:t xml:space="preserve">红</x:t>
        </x:is>
      </x:c>
      <x:c r="R1189" s="604" t="n">
        <x:v>0.86</x:v>
      </x:c>
      <x:c r="S1189" s="604" t="n">
        <x:f>IF(OR(Q1189="",Q1189="待结算"),"",IF(Q1189="红",R1189,IF(Q1189="半红",R1189*0.5,IF(Q1189="走",0,IF(Q1189="半黑",-0.5,-1)))))</x:f>
        <x:v>0.86</x:v>
      </x:c>
      <x:c r="T1189" s="604" t="inlineStr">
        <x:is>
          <x:t xml:space="preserve">https://m.titan007.com/analy/Analysis/2981550.htm</x:t>
        </x:is>
      </x:c>
      <x:c r="U1189" s="646" t="str">
        <x:f>IF(Q1189="","",IF(Q1189="待结算","待结算",IF(Q1189="红","黑",IF(Q1189="半红","半黑",IF(Q1189="走","走",IF(Q1189="半黑","半红","红"))))))</x:f>
        <x:v>黑</x:v>
      </x:c>
      <x:c r="V1189" s="604" t="n">
        <x:f>IF(OR(Q1189="",Q1189="待结算"),"",IF(L1189=LEFT(F1189,FIND(" vs ",F1189)-1),I1189,G1189))</x:f>
        <x:v>1.02</x:v>
      </x:c>
      <x:c r="W1189" s="604" t="n">
        <x:f>IF(OR(U1189="",U1189="待结算"),"",IF(U1189="红",V1189,IF(U1189="半红",V1189*0.5,IF(U1189="走",0,IF(U1189="半黑",-0.5,-1)))))</x:f>
        <x:v>-1</x:v>
      </x:c>
      <x:c r="X1189" s="604" t="inlineStr">
        <x:is>
          <x:t xml:space="preserve">2981550</x:t>
        </x:is>
      </x:c>
      <x:c r="Y1189" s="604" t="inlineStr">
        <x:is>
          <x:t xml:space="preserve">V4</x:t>
        </x:is>
      </x:c>
      <x:c r="Z1189" s="604" t="inlineStr">
        <x:is>
          <x:t xml:space="preserve">prior-2026-10-06-v1</x:t>
        </x:is>
      </x:c>
      <x:c r="AA1189" s="604" t="inlineStr">
        <x:is>
          <x:t xml:space="preserve">B</x:t>
        </x:is>
      </x:c>
      <x:c r="AB1189" s="604" t="n">
        <x:v>0.6252938337973881</x:v>
      </x:c>
      <x:c r="AC1189" s="604" t="n"/>
      <x:c r="AD1189" s="604" t="n"/>
      <x:c r="AE1189" s="604" t="n">
        <x:v>0.1715971096080887</x:v>
      </x:c>
      <x:c r="AF1189" s="604" t="n">
        <x:v>0.2031090565945232</x:v>
      </x:c>
      <x:c r="AG1189" s="604" t="n">
        <x:v>0.2488450856671863</x:v>
      </x:c>
      <x:c r="AH1189" s="604" t="n"/>
      <x:c r="AI1189" s="604" t="n"/>
      <x:c r="AJ1189" s="604" t="n">
        <x:v>0.2488450856671863</x:v>
      </x:c>
      <x:c r="AK1189" s="604" t="n"/>
      <x:c r="AL1189" s="604" t="n"/>
      <x:c r="AM1189" s="604" t="n"/>
      <x:c r="AN1189" s="604" t="inlineStr">
        <x:is>
          <x:t xml:space="preserve">EVALUATED</x:t>
        </x:is>
      </x:c>
      <x:c r="AO1189" s="604" t="inlineStr">
        <x:is>
          <x:t xml:space="preserve">RECEIVING_VALIDATED_EDGE、BUCKET_PRIOR_ONLY、INTENT_INTERPRETATION_ONLY、FFL_OPTIONAL、EXPERT_MARKET</x:t>
        </x:is>
      </x:c>
      <x:c r="AP1189" s="604" t="inlineStr">
        <x:is>
          <x:t xml:space="preserve">19e04d08d2e1db86c56d</x:t>
        </x:is>
      </x:c>
      <x:c r="AQ1189" s="604" t="n">
        <x:v>3.75</x:v>
      </x:c>
      <x:c r="AR1189" s="604" t="n">
        <x:v>0.86</x:v>
      </x:c>
      <x:c r="AS1189" s="604" t="n">
        <x:v>3.75</x:v>
      </x:c>
      <x:c r="AT1189" s="604" t="n">
        <x:v>-3.75</x:v>
      </x:c>
      <x:c r="AU1189" s="604" t="n">
        <x:v>1.02</x:v>
      </x:c>
      <x:c r="AV1189" s="604" t="n">
        <x:v>0.86</x:v>
      </x:c>
      <x:c r="AW1189" s="604" t="n">
        <x:v>46301.03159395833</x:v>
      </x:c>
      <x:c r="AX1189" s="604" t="inlineStr">
        <x:is>
          <x:t xml:space="preserve">https://simondongxiao.github.io/odds/v4/</x:t>
        </x:is>
      </x:c>
      <x:c r="AY1189" s="604" t="inlineStr">
        <x:is>
          <x:t xml:space="preserve">V4 Shadow Only；real_money=false；P(EV&gt;0)不是比赛胜率</x:t>
        </x:is>
      </x:c>
    </x:row>
    <x:row r="1190" ht="22" customHeight="1">
      <x:c r="A1190" s="604" t="inlineStr">
        <x:is>
          <x:t xml:space="preserve">2026-10-06</x:t>
        </x:is>
      </x:c>
      <x:c r="B1190" s="604" t="inlineStr">
        <x:is>
          <x:t xml:space="preserve">2026-10-07 02:45</x:t>
        </x:is>
      </x:c>
      <x:c r="C1190" s="604" t="str">
        <x:v>欧洲非五大系列</x:v>
      </x:c>
      <x:c r="D1190" s="604" t="inlineStr">
        <x:is>
          <x:t xml:space="preserve">联赛</x:t>
        </x:is>
      </x:c>
      <x:c r="E1190" s="604" t="inlineStr">
        <x:is>
          <x:t xml:space="preserve">欧国联</x:t>
        </x:is>
      </x:c>
      <x:c r="F1190" s="604" t="inlineStr">
        <x:is>
          <x:t xml:space="preserve">白俄罗斯 vs 芬兰</x:t>
        </x:is>
      </x:c>
      <x:c r="G1190" s="604" t="n">
        <x:v>0.85</x:v>
      </x:c>
      <x:c r="H1190" s="604" t="n">
        <x:v>-0.5</x:v>
      </x:c>
      <x:c r="I1190" s="604" t="n">
        <x:v>1.03</x:v>
      </x:c>
      <x:c r="J1190" s="604" t="inlineStr">
        <x:is>
          <x:t xml:space="preserve">0.85/-0.5/1.03</x:t>
        </x:is>
      </x:c>
      <x:c r="K1190" s="604" t="inlineStr">
        <x:is>
          <x:t xml:space="preserve">V4-B｜EV +0.4800</x:t>
        </x:is>
      </x:c>
      <x:c r="L1190" s="604" t="inlineStr">
        <x:is>
          <x:t xml:space="preserve">白俄罗斯</x:t>
        </x:is>
      </x:c>
      <x:c r="M1190" s="604" t="n">
        <x:v>0.8000020840378832</x:v>
      </x:c>
      <x:c r="N1190" s="604" t="inlineStr">
        <x:is>
          <x:t xml:space="preserve">V4纸面入选-B</x:t>
        </x:is>
      </x:c>
      <x:c r="O1190" s="604" t="inlineStr">
        <x:is>
          <x:t xml:space="preserve">1-0</x:t>
        </x:is>
      </x:c>
      <x:c r="P1190" s="604" t="inlineStr">
        <x:is>
          <x:t xml:space="preserve">已结算</x:t>
        </x:is>
      </x:c>
      <x:c r="Q1190" s="645" t="inlineStr">
        <x:is>
          <x:t xml:space="preserve">红</x:t>
        </x:is>
      </x:c>
      <x:c r="R1190" s="604" t="n">
        <x:v>0.85</x:v>
      </x:c>
      <x:c r="S1190" s="604" t="n">
        <x:f>IF(OR(Q1190="",Q1190="待结算"),"",IF(Q1190="红",R1190,IF(Q1190="半红",R1190*0.5,IF(Q1190="走",0,IF(Q1190="半黑",-0.5,-1)))))</x:f>
        <x:v>0.85</x:v>
      </x:c>
      <x:c r="T1190" s="604" t="inlineStr">
        <x:is>
          <x:t xml:space="preserve">https://m.titan007.com/analy/Analysis/2981551.htm</x:t>
        </x:is>
      </x:c>
      <x:c r="U1190" s="646" t="str">
        <x:f>IF(Q1190="","",IF(Q1190="待结算","待结算",IF(Q1190="红","黑",IF(Q1190="半红","半黑",IF(Q1190="走","走",IF(Q1190="半黑","半红","红"))))))</x:f>
        <x:v>黑</x:v>
      </x:c>
      <x:c r="V1190" s="604" t="n">
        <x:f>IF(OR(Q1190="",Q1190="待结算"),"",IF(L1190=LEFT(F1190,FIND(" vs ",F1190)-1),I1190,G1190))</x:f>
        <x:v>1.03</x:v>
      </x:c>
      <x:c r="W1190" s="604" t="n">
        <x:f>IF(OR(U1190="",U1190="待结算"),"",IF(U1190="红",V1190,IF(U1190="半红",V1190*0.5,IF(U1190="走",0,IF(U1190="半黑",-0.5,-1)))))</x:f>
        <x:v>-1</x:v>
      </x:c>
      <x:c r="X1190" s="604" t="inlineStr">
        <x:is>
          <x:t xml:space="preserve">2981551</x:t>
        </x:is>
      </x:c>
      <x:c r="Y1190" s="604" t="inlineStr">
        <x:is>
          <x:t xml:space="preserve">V4</x:t>
        </x:is>
      </x:c>
      <x:c r="Z1190" s="604" t="inlineStr">
        <x:is>
          <x:t xml:space="preserve">prior-2026-10-06-v1</x:t>
        </x:is>
      </x:c>
      <x:c r="AA1190" s="604" t="inlineStr">
        <x:is>
          <x:t xml:space="preserve">B</x:t>
        </x:is>
      </x:c>
      <x:c r="AB1190" s="604" t="n">
        <x:v>0.8000020840378832</x:v>
      </x:c>
      <x:c r="AC1190" s="604" t="n"/>
      <x:c r="AD1190" s="604" t="n"/>
      <x:c r="AE1190" s="604" t="n"/>
      <x:c r="AF1190" s="604" t="n">
        <x:v>0.1999979159621168</x:v>
      </x:c>
      <x:c r="AG1190" s="604" t="n">
        <x:v>0.480003855470084</x:v>
      </x:c>
      <x:c r="AH1190" s="604" t="n"/>
      <x:c r="AI1190" s="604" t="n"/>
      <x:c r="AJ1190" s="604" t="n">
        <x:v>0.480003855470084</x:v>
      </x:c>
      <x:c r="AK1190" s="604" t="n"/>
      <x:c r="AL1190" s="604" t="n"/>
      <x:c r="AM1190" s="604" t="n"/>
      <x:c r="AN1190" s="604" t="inlineStr">
        <x:is>
          <x:t xml:space="preserve">EVALUATED</x:t>
        </x:is>
      </x:c>
      <x:c r="AO1190" s="604" t="inlineStr">
        <x:is>
          <x:t xml:space="preserve">RECEIVING_VALIDATED_EDGE、BUCKET_PRIOR_ONLY、INTENT_INTERPRETATION_ONLY、FFL_OPTIONAL、EXPERT_MARKET</x:t>
        </x:is>
      </x:c>
      <x:c r="AP1190" s="604" t="inlineStr">
        <x:is>
          <x:t xml:space="preserve">d1753ea2154b5b9175f7</x:t>
        </x:is>
      </x:c>
      <x:c r="AQ1190" s="604" t="n">
        <x:v>0.5</x:v>
      </x:c>
      <x:c r="AR1190" s="604" t="n">
        <x:v>0.85</x:v>
      </x:c>
      <x:c r="AS1190" s="604" t="n">
        <x:v>-0.5</x:v>
      </x:c>
      <x:c r="AT1190" s="604" t="n">
        <x:v>0.5</x:v>
      </x:c>
      <x:c r="AU1190" s="604" t="n">
        <x:v>0.85</x:v>
      </x:c>
      <x:c r="AV1190" s="604" t="n">
        <x:v>1.03</x:v>
      </x:c>
      <x:c r="AW1190" s="604" t="n">
        <x:v>46301.03159395833</x:v>
      </x:c>
      <x:c r="AX1190" s="604" t="inlineStr">
        <x:is>
          <x:t xml:space="preserve">https://simondongxiao.github.io/odds/v4/</x:t>
        </x:is>
      </x:c>
      <x:c r="AY1190" s="604" t="inlineStr">
        <x:is>
          <x:t xml:space="preserve">V4 Shadow Only；real_money=false；P(EV&gt;0)不是比赛胜率</x:t>
        </x:is>
      </x:c>
    </x:row>
    <x:row r="1191" ht="22" customHeight="1">
      <x:c r="A1191" s="604" t="inlineStr">
        <x:is>
          <x:t xml:space="preserve">2026-10-06</x:t>
        </x:is>
      </x:c>
      <x:c r="B1191" s="604" t="inlineStr">
        <x:is>
          <x:t xml:space="preserve">2026-10-07 02:45</x:t>
        </x:is>
      </x:c>
      <x:c r="C1191" s="604" t="str">
        <x:v>欧洲非五大系列</x:v>
      </x:c>
      <x:c r="D1191" s="604" t="inlineStr">
        <x:is>
          <x:t xml:space="preserve">联赛</x:t>
        </x:is>
      </x:c>
      <x:c r="E1191" s="604" t="inlineStr">
        <x:is>
          <x:t xml:space="preserve">欧国联</x:t>
        </x:is>
      </x:c>
      <x:c r="F1191" s="604" t="inlineStr">
        <x:is>
          <x:t xml:space="preserve">摩尔多瓦 vs 斯洛伐克</x:t>
        </x:is>
      </x:c>
      <x:c r="G1191" s="604" t="n">
        <x:v>1.01</x:v>
      </x:c>
      <x:c r="H1191" s="604" t="n">
        <x:v>-1.25</x:v>
      </x:c>
      <x:c r="I1191" s="604" t="n">
        <x:v>0.87</x:v>
      </x:c>
      <x:c r="J1191" s="604" t="inlineStr">
        <x:is>
          <x:t xml:space="preserve">1.01/-1.25/0.87</x:t>
        </x:is>
      </x:c>
      <x:c r="K1191" s="604" t="inlineStr">
        <x:is>
          <x:t xml:space="preserve">V4-B｜EV +0.9882</x:t>
        </x:is>
      </x:c>
      <x:c r="L1191" s="604" t="inlineStr">
        <x:is>
          <x:t xml:space="preserve">摩尔多瓦</x:t>
        </x:is>
      </x:c>
      <x:c r="M1191" s="604" t="n">
        <x:v>0.9960135142017151</x:v>
      </x:c>
      <x:c r="N1191" s="604" t="inlineStr">
        <x:is>
          <x:t xml:space="preserve">V4纸面入选-B</x:t>
        </x:is>
      </x:c>
      <x:c r="O1191" s="604" t="inlineStr">
        <x:is>
          <x:t xml:space="preserve">0-4</x:t>
        </x:is>
      </x:c>
      <x:c r="P1191" s="604" t="inlineStr">
        <x:is>
          <x:t xml:space="preserve">已结算</x:t>
        </x:is>
      </x:c>
      <x:c r="Q1191" s="646" t="inlineStr">
        <x:is>
          <x:t xml:space="preserve">黑</x:t>
        </x:is>
      </x:c>
      <x:c r="R1191" s="604" t="n">
        <x:v>1.01</x:v>
      </x:c>
      <x:c r="S1191" s="604" t="n">
        <x:f>IF(OR(Q1191="",Q1191="待结算"),"",IF(Q1191="红",R1191,IF(Q1191="半红",R1191*0.5,IF(Q1191="走",0,IF(Q1191="半黑",-0.5,-1)))))</x:f>
        <x:v>-1</x:v>
      </x:c>
      <x:c r="T1191" s="604" t="inlineStr">
        <x:is>
          <x:t xml:space="preserve">https://m.titan007.com/analy/Analysis/2981552.htm</x:t>
        </x:is>
      </x:c>
      <x:c r="U1191" s="645" t="str">
        <x:f>IF(Q1191="","",IF(Q1191="待结算","待结算",IF(Q1191="红","黑",IF(Q1191="半红","半黑",IF(Q1191="走","走",IF(Q1191="半黑","半红","红"))))))</x:f>
        <x:v>红</x:v>
      </x:c>
      <x:c r="V1191" s="604" t="n">
        <x:f>IF(OR(Q1191="",Q1191="待结算"),"",IF(L1191=LEFT(F1191,FIND(" vs ",F1191)-1),I1191,G1191))</x:f>
        <x:v>0.87</x:v>
      </x:c>
      <x:c r="W1191" s="604" t="n">
        <x:f>IF(OR(U1191="",U1191="待结算"),"",IF(U1191="红",V1191,IF(U1191="半红",V1191*0.5,IF(U1191="走",0,IF(U1191="半黑",-0.5,-1)))))</x:f>
        <x:v>0.87</x:v>
      </x:c>
      <x:c r="X1191" s="604" t="inlineStr">
        <x:is>
          <x:t xml:space="preserve">2981552</x:t>
        </x:is>
      </x:c>
      <x:c r="Y1191" s="604" t="inlineStr">
        <x:is>
          <x:t xml:space="preserve">V4</x:t>
        </x:is>
      </x:c>
      <x:c r="Z1191" s="604" t="inlineStr">
        <x:is>
          <x:t xml:space="preserve">prior-2026-10-06-v1</x:t>
        </x:is>
      </x:c>
      <x:c r="AA1191" s="604" t="inlineStr">
        <x:is>
          <x:t xml:space="preserve">B</x:t>
        </x:is>
      </x:c>
      <x:c r="AB1191" s="604" t="n">
        <x:v>0.9685061737280788</x:v>
      </x:c>
      <x:c r="AC1191" s="604" t="n">
        <x:v>0.0275622787901189</x:v>
      </x:c>
      <x:c r="AD1191" s="604" t="n"/>
      <x:c r="AE1191" s="604" t="n"/>
      <x:c r="AF1191" s="604" t="n">
        <x:v>0.003931547481802283</x:v>
      </x:c>
      <x:c r="AG1191" s="604" t="n">
        <x:v>0.9881786387725674</x:v>
      </x:c>
      <x:c r="AH1191" s="604" t="n"/>
      <x:c r="AI1191" s="604" t="n"/>
      <x:c r="AJ1191" s="604" t="n">
        <x:v>0.9881786387725674</x:v>
      </x:c>
      <x:c r="AK1191" s="604" t="n"/>
      <x:c r="AL1191" s="604" t="n"/>
      <x:c r="AM1191" s="604" t="n"/>
      <x:c r="AN1191" s="604" t="inlineStr">
        <x:is>
          <x:t xml:space="preserve">EVALUATED</x:t>
        </x:is>
      </x:c>
      <x:c r="AO1191" s="604" t="inlineStr">
        <x:is>
          <x:t xml:space="preserve">RECEIVING_VALIDATED_EDGE、BUCKET_PRIOR_ONLY、INTENT_INTERPRETATION_ONLY、FFL_OPTIONAL、EXPERT_MARKET</x:t>
        </x:is>
      </x:c>
      <x:c r="AP1191" s="604" t="inlineStr">
        <x:is>
          <x:t xml:space="preserve">005904d9824069653dab</x:t>
        </x:is>
      </x:c>
      <x:c r="AQ1191" s="604" t="n">
        <x:v>1.25</x:v>
      </x:c>
      <x:c r="AR1191" s="604" t="n">
        <x:v>1.01</x:v>
      </x:c>
      <x:c r="AS1191" s="604" t="n">
        <x:v>-1.25</x:v>
      </x:c>
      <x:c r="AT1191" s="604" t="n">
        <x:v>1.25</x:v>
      </x:c>
      <x:c r="AU1191" s="604" t="n">
        <x:v>1.01</x:v>
      </x:c>
      <x:c r="AV1191" s="604" t="n">
        <x:v>0.87</x:v>
      </x:c>
      <x:c r="AW1191" s="604" t="n">
        <x:v>46301.03159395833</x:v>
      </x:c>
      <x:c r="AX1191" s="604" t="inlineStr">
        <x:is>
          <x:t xml:space="preserve">https://simondongxiao.github.io/odds/v4/</x:t>
        </x:is>
      </x:c>
      <x:c r="AY1191" s="604" t="inlineStr">
        <x:is>
          <x:t xml:space="preserve">V4 Shadow Only；real_money=false；P(EV&gt;0)不是比赛胜率</x:t>
        </x:is>
      </x:c>
    </x:row>
    <x:row r="1192" ht="22" customHeight="1">
      <x:c r="A1192" s="604" t="inlineStr">
        <x:is>
          <x:t xml:space="preserve">2026-10-06</x:t>
        </x:is>
      </x:c>
      <x:c r="B1192" s="604" t="inlineStr">
        <x:is>
          <x:t xml:space="preserve">2026-10-07 02:45</x:t>
        </x:is>
      </x:c>
      <x:c r="C1192" s="604" t="str">
        <x:v>欧洲非五大系列</x:v>
      </x:c>
      <x:c r="D1192" s="604" t="inlineStr">
        <x:is>
          <x:t xml:space="preserve">联赛</x:t>
        </x:is>
      </x:c>
      <x:c r="E1192" s="604" t="inlineStr">
        <x:is>
          <x:t xml:space="preserve">欧国联</x:t>
        </x:is>
      </x:c>
      <x:c r="F1192" s="604" t="inlineStr">
        <x:is>
          <x:t xml:space="preserve">卢森堡 vs 保加利亚</x:t>
        </x:is>
      </x:c>
      <x:c r="G1192" s="604" t="n">
        <x:v>0.86</x:v>
      </x:c>
      <x:c r="H1192" s="604" t="n">
        <x:v>0.25</x:v>
      </x:c>
      <x:c r="I1192" s="604" t="n">
        <x:v>1.02</x:v>
      </x:c>
      <x:c r="J1192" s="604" t="inlineStr">
        <x:is>
          <x:t xml:space="preserve">0.86/0.25/1.02</x:t>
        </x:is>
      </x:c>
      <x:c r="K1192" s="604" t="inlineStr">
        <x:is>
          <x:t xml:space="preserve">V4-B｜EV +0.0780</x:t>
        </x:is>
      </x:c>
      <x:c r="L1192" s="604" t="inlineStr">
        <x:is>
          <x:t xml:space="preserve">卢森堡</x:t>
        </x:is>
      </x:c>
      <x:c r="M1192" s="604" t="n">
        <x:v>0.5855965488576663</x:v>
      </x:c>
      <x:c r="N1192" s="604" t="inlineStr">
        <x:is>
          <x:t xml:space="preserve">V4纸面入选-B</x:t>
        </x:is>
      </x:c>
      <x:c r="O1192" s="604" t="inlineStr">
        <x:is>
          <x:t xml:space="preserve">0-2</x:t>
        </x:is>
      </x:c>
      <x:c r="P1192" s="604" t="inlineStr">
        <x:is>
          <x:t xml:space="preserve">已结算</x:t>
        </x:is>
      </x:c>
      <x:c r="Q1192" s="646" t="inlineStr">
        <x:is>
          <x:t xml:space="preserve">黑</x:t>
        </x:is>
      </x:c>
      <x:c r="R1192" s="604" t="n">
        <x:v>0.86</x:v>
      </x:c>
      <x:c r="S1192" s="604" t="n">
        <x:f>IF(OR(Q1192="",Q1192="待结算"),"",IF(Q1192="红",R1192,IF(Q1192="半红",R1192*0.5,IF(Q1192="走",0,IF(Q1192="半黑",-0.5,-1)))))</x:f>
        <x:v>-1</x:v>
      </x:c>
      <x:c r="T1192" s="604" t="inlineStr">
        <x:is>
          <x:t xml:space="preserve">https://m.titan007.com/analy/Analysis/2981553.htm</x:t>
        </x:is>
      </x:c>
      <x:c r="U1192" s="645" t="str">
        <x:f>IF(Q1192="","",IF(Q1192="待结算","待结算",IF(Q1192="红","黑",IF(Q1192="半红","半黑",IF(Q1192="走","走",IF(Q1192="半黑","半红","红"))))))</x:f>
        <x:v>红</x:v>
      </x:c>
      <x:c r="V1192" s="604" t="n">
        <x:f>IF(OR(Q1192="",Q1192="待结算"),"",IF(L1192=LEFT(F1192,FIND(" vs ",F1192)-1),I1192,G1192))</x:f>
        <x:v>1.02</x:v>
      </x:c>
      <x:c r="W1192" s="604" t="n">
        <x:f>IF(OR(U1192="",U1192="待结算"),"",IF(U1192="红",V1192,IF(U1192="半红",V1192*0.5,IF(U1192="走",0,IF(U1192="半黑",-0.5,-1)))))</x:f>
        <x:v>1.02</x:v>
      </x:c>
      <x:c r="X1192" s="604" t="inlineStr">
        <x:is>
          <x:t xml:space="preserve">2981553</x:t>
        </x:is>
      </x:c>
      <x:c r="Y1192" s="604" t="inlineStr">
        <x:is>
          <x:t xml:space="preserve">V4</x:t>
        </x:is>
      </x:c>
      <x:c r="Z1192" s="604" t="inlineStr">
        <x:is>
          <x:t xml:space="preserve">prior-2026-10-06-v1</x:t>
        </x:is>
      </x:c>
      <x:c r="AA1192" s="604" t="inlineStr">
        <x:is>
          <x:t xml:space="preserve">B</x:t>
        </x:is>
      </x:c>
      <x:c r="AB1192" s="604" t="n">
        <x:v>0.511958668273933</x:v>
      </x:c>
      <x:c r="AC1192" s="604" t="n"/>
      <x:c r="AD1192" s="604" t="n"/>
      <x:c r="AE1192" s="604" t="n">
        <x:v>0.2514969759551352</x:v>
      </x:c>
      <x:c r="AF1192" s="604" t="n">
        <x:v>0.2365443557709318</x:v>
      </x:c>
      <x:c r="AG1192" s="604" t="n">
        <x:v>0.07799161096708296</x:v>
      </x:c>
      <x:c r="AH1192" s="604" t="n"/>
      <x:c r="AI1192" s="604" t="n"/>
      <x:c r="AJ1192" s="604" t="n">
        <x:v>0.07799161096708296</x:v>
      </x:c>
      <x:c r="AK1192" s="604" t="n"/>
      <x:c r="AL1192" s="604" t="n"/>
      <x:c r="AM1192" s="604" t="n"/>
      <x:c r="AN1192" s="604" t="inlineStr">
        <x:is>
          <x:t xml:space="preserve">EVALUATED</x:t>
        </x:is>
      </x:c>
      <x:c r="AO1192" s="604" t="inlineStr">
        <x:is>
          <x:t xml:space="preserve">GIVING_VALIDATED_EDGE、BUCKET_PRIOR_ONLY、INTENT_INTERPRETATION_ONLY、FFL_OPTIONAL、EXPERT_MARKET</x:t>
        </x:is>
      </x:c>
      <x:c r="AP1192" s="604" t="inlineStr">
        <x:is>
          <x:t xml:space="preserve">eb58d3002ce8a9d17987</x:t>
        </x:is>
      </x:c>
      <x:c r="AQ1192" s="604" t="n">
        <x:v>-0.25</x:v>
      </x:c>
      <x:c r="AR1192" s="604" t="n">
        <x:v>0.86</x:v>
      </x:c>
      <x:c r="AS1192" s="604" t="n">
        <x:v>0.25</x:v>
      </x:c>
      <x:c r="AT1192" s="604" t="n">
        <x:v>-0.25</x:v>
      </x:c>
      <x:c r="AU1192" s="604" t="n">
        <x:v>0.86</x:v>
      </x:c>
      <x:c r="AV1192" s="604" t="n">
        <x:v>1.02</x:v>
      </x:c>
      <x:c r="AW1192" s="604" t="n">
        <x:v>46301.03159395833</x:v>
      </x:c>
      <x:c r="AX1192" s="604" t="inlineStr">
        <x:is>
          <x:t xml:space="preserve">https://simondongxiao.github.io/odds/v4/</x:t>
        </x:is>
      </x:c>
      <x:c r="AY1192" s="604" t="inlineStr">
        <x:is>
          <x:t xml:space="preserve">V4 Shadow Only；real_money=false；P(EV&gt;0)不是比赛胜率</x:t>
        </x:is>
      </x:c>
    </x:row>
    <x:row r="1193" ht="22" customHeight="1">
      <x:c r="A1193" s="604" t="inlineStr">
        <x:is>
          <x:t xml:space="preserve">2026-10-06</x:t>
        </x:is>
      </x:c>
      <x:c r="B1193" s="604" t="inlineStr">
        <x:is>
          <x:t xml:space="preserve">2026-10-07 02:45</x:t>
        </x:is>
      </x:c>
      <x:c r="C1193" s="604" t="str">
        <x:v>欧洲非五大系列</x:v>
      </x:c>
      <x:c r="D1193" s="604" t="inlineStr">
        <x:is>
          <x:t xml:space="preserve">联赛</x:t>
        </x:is>
      </x:c>
      <x:c r="E1193" s="604" t="inlineStr">
        <x:is>
          <x:t xml:space="preserve">欧国联</x:t>
        </x:is>
      </x:c>
      <x:c r="F1193" s="604" t="inlineStr">
        <x:is>
          <x:t xml:space="preserve">爱沙尼亚 vs 冰岛</x:t>
        </x:is>
      </x:c>
      <x:c r="G1193" s="604" t="n">
        <x:v>0.87</x:v>
      </x:c>
      <x:c r="H1193" s="604" t="n">
        <x:v>-1</x:v>
      </x:c>
      <x:c r="I1193" s="604" t="n">
        <x:v>1.01</x:v>
      </x:c>
      <x:c r="J1193" s="604" t="inlineStr">
        <x:is>
          <x:t xml:space="preserve">0.87/-1/1.01</x:t>
        </x:is>
      </x:c>
      <x:c r="K1193" s="604" t="inlineStr">
        <x:is>
          <x:t xml:space="preserve">V4-B｜EV +0.7697</x:t>
        </x:is>
      </x:c>
      <x:c r="L1193" s="604" t="inlineStr">
        <x:is>
          <x:t xml:space="preserve">爱沙尼亚</x:t>
        </x:is>
      </x:c>
      <x:c r="M1193" s="604" t="n">
        <x:v>0.9777173203565849</x:v>
      </x:c>
      <x:c r="N1193" s="604" t="inlineStr">
        <x:is>
          <x:t xml:space="preserve">V4纸面入选-B</x:t>
        </x:is>
      </x:c>
      <x:c r="O1193" s="604" t="inlineStr">
        <x:is>
          <x:t xml:space="preserve">0-0</x:t>
        </x:is>
      </x:c>
      <x:c r="P1193" s="604" t="inlineStr">
        <x:is>
          <x:t xml:space="preserve">已结算</x:t>
        </x:is>
      </x:c>
      <x:c r="Q1193" s="645" t="inlineStr">
        <x:is>
          <x:t xml:space="preserve">红</x:t>
        </x:is>
      </x:c>
      <x:c r="R1193" s="604" t="n">
        <x:v>0.87</x:v>
      </x:c>
      <x:c r="S1193" s="604" t="n">
        <x:f>IF(OR(Q1193="",Q1193="待结算"),"",IF(Q1193="红",R1193,IF(Q1193="半红",R1193*0.5,IF(Q1193="走",0,IF(Q1193="半黑",-0.5,-1)))))</x:f>
        <x:v>0.87</x:v>
      </x:c>
      <x:c r="T1193" s="604" t="inlineStr">
        <x:is>
          <x:t xml:space="preserve">https://m.titan007.com/analy/Analysis/2981554.htm</x:t>
        </x:is>
      </x:c>
      <x:c r="U1193" s="646" t="str">
        <x:f>IF(Q1193="","",IF(Q1193="待结算","待结算",IF(Q1193="红","黑",IF(Q1193="半红","半黑",IF(Q1193="走","走",IF(Q1193="半黑","半红","红"))))))</x:f>
        <x:v>黑</x:v>
      </x:c>
      <x:c r="V1193" s="604" t="n">
        <x:f>IF(OR(Q1193="",Q1193="待结算"),"",IF(L1193=LEFT(F1193,FIND(" vs ",F1193)-1),I1193,G1193))</x:f>
        <x:v>1.01</x:v>
      </x:c>
      <x:c r="W1193" s="604" t="n">
        <x:f>IF(OR(U1193="",U1193="待结算"),"",IF(U1193="红",V1193,IF(U1193="半红",V1193*0.5,IF(U1193="走",0,IF(U1193="半黑",-0.5,-1)))))</x:f>
        <x:v>-1</x:v>
      </x:c>
      <x:c r="X1193" s="604" t="inlineStr">
        <x:is>
          <x:t xml:space="preserve">2981554</x:t>
        </x:is>
      </x:c>
      <x:c r="Y1193" s="604" t="inlineStr">
        <x:is>
          <x:t xml:space="preserve">V4</x:t>
        </x:is>
      </x:c>
      <x:c r="Z1193" s="604" t="inlineStr">
        <x:is>
          <x:t xml:space="preserve">prior-2026-10-06-v1</x:t>
        </x:is>
      </x:c>
      <x:c r="AA1193" s="604" t="inlineStr">
        <x:is>
          <x:t xml:space="preserve">B</x:t>
        </x:is>
      </x:c>
      <x:c r="AB1193" s="604" t="n">
        <x:v>0.9084655680982037</x:v>
      </x:c>
      <x:c r="AC1193" s="604" t="n"/>
      <x:c r="AD1193" s="604" t="n">
        <x:v>0.07083003524282887</x:v>
      </x:c>
      <x:c r="AE1193" s="604" t="n"/>
      <x:c r="AF1193" s="604" t="n">
        <x:v>0.02070439665896743</x:v>
      </x:c>
      <x:c r="AG1193" s="604" t="n">
        <x:v>0.7696606475864698</x:v>
      </x:c>
      <x:c r="AH1193" s="604" t="n"/>
      <x:c r="AI1193" s="604" t="n"/>
      <x:c r="AJ1193" s="604" t="n">
        <x:v>0.7696606475864698</x:v>
      </x:c>
      <x:c r="AK1193" s="604" t="n"/>
      <x:c r="AL1193" s="604" t="n"/>
      <x:c r="AM1193" s="604" t="n"/>
      <x:c r="AN1193" s="604" t="inlineStr">
        <x:is>
          <x:t xml:space="preserve">EVALUATED</x:t>
        </x:is>
      </x:c>
      <x:c r="AO1193" s="604" t="inlineStr">
        <x:is>
          <x:t xml:space="preserve">RECEIVING_VALIDATED_EDGE、BUCKET_PRIOR_ONLY、INTENT_INTERPRETATION_ONLY、FFL_OPTIONAL、EXPERT_MARKET</x:t>
        </x:is>
      </x:c>
      <x:c r="AP1193" s="604" t="inlineStr">
        <x:is>
          <x:t xml:space="preserve">db36d50b43438b47973e</x:t>
        </x:is>
      </x:c>
      <x:c r="AQ1193" s="604" t="n">
        <x:v>1</x:v>
      </x:c>
      <x:c r="AR1193" s="604" t="n">
        <x:v>0.87</x:v>
      </x:c>
      <x:c r="AS1193" s="604" t="n">
        <x:v>-1</x:v>
      </x:c>
      <x:c r="AT1193" s="604" t="n">
        <x:v>1</x:v>
      </x:c>
      <x:c r="AU1193" s="604" t="n">
        <x:v>0.87</x:v>
      </x:c>
      <x:c r="AV1193" s="604" t="n">
        <x:v>1.01</x:v>
      </x:c>
      <x:c r="AW1193" s="604" t="n">
        <x:v>46301.03159395833</x:v>
      </x:c>
      <x:c r="AX1193" s="604" t="inlineStr">
        <x:is>
          <x:t xml:space="preserve">https://simondongxiao.github.io/odds/v4/</x:t>
        </x:is>
      </x:c>
      <x:c r="AY1193" s="604" t="inlineStr">
        <x:is>
          <x:t xml:space="preserve">V4 Shadow Only；real_money=false；P(EV&gt;0)不是比赛胜率</x:t>
        </x:is>
      </x:c>
    </x:row>
    <x:row r="1194" ht="22" customHeight="1">
      <x:c r="A1194" s="604" t="inlineStr">
        <x:is>
          <x:t xml:space="preserve">2026-10-06</x:t>
        </x:is>
      </x:c>
      <x:c r="B1194" s="604" t="inlineStr">
        <x:is>
          <x:t xml:space="preserve">2026-10-07 02:45</x:t>
        </x:is>
      </x:c>
      <x:c r="C1194" s="604" t="str">
        <x:v>五大联赛非顶级联赛</x:v>
      </x:c>
      <x:c r="D1194" s="604" t="inlineStr">
        <x:is>
          <x:t xml:space="preserve">联赛</x:t>
        </x:is>
      </x:c>
      <x:c r="E1194" s="604" t="inlineStr">
        <x:is>
          <x:t xml:space="preserve">英议南</x:t>
        </x:is>
      </x:c>
      <x:c r="F1194" s="604" t="inlineStr">
        <x:is>
          <x:t xml:space="preserve">法纳姆城 vs 特鲁罗城</x:t>
        </x:is>
      </x:c>
      <x:c r="G1194" s="604" t="n">
        <x:v>0.82</x:v>
      </x:c>
      <x:c r="H1194" s="604" t="n">
        <x:v>-0.5</x:v>
      </x:c>
      <x:c r="I1194" s="604" t="n">
        <x:v>0.88</x:v>
      </x:c>
      <x:c r="J1194" s="604" t="inlineStr">
        <x:is>
          <x:t xml:space="preserve">0.82/-0.5/0.88</x:t>
        </x:is>
      </x:c>
      <x:c r="K1194" s="604" t="inlineStr">
        <x:is>
          <x:t xml:space="preserve">V4-C｜EV +0.4259</x:t>
        </x:is>
      </x:c>
      <x:c r="L1194" s="604" t="inlineStr">
        <x:is>
          <x:t xml:space="preserve">法纳姆城</x:t>
        </x:is>
      </x:c>
      <x:c r="M1194" s="604" t="n">
        <x:v>0.7834455367001975</x:v>
      </x:c>
      <x:c r="N1194" s="604" t="inlineStr">
        <x:is>
          <x:t xml:space="preserve">V4纸面入选-C</x:t>
        </x:is>
      </x:c>
      <x:c r="O1194" s="604" t="inlineStr">
        <x:is>
          <x:t xml:space="preserve">2-2</x:t>
        </x:is>
      </x:c>
      <x:c r="P1194" s="604" t="inlineStr">
        <x:is>
          <x:t xml:space="preserve">已结算</x:t>
        </x:is>
      </x:c>
      <x:c r="Q1194" s="645" t="inlineStr">
        <x:is>
          <x:t xml:space="preserve">红</x:t>
        </x:is>
      </x:c>
      <x:c r="R1194" s="604" t="n">
        <x:v>0.82</x:v>
      </x:c>
      <x:c r="S1194" s="604" t="n">
        <x:f>IF(OR(Q1194="",Q1194="待结算"),"",IF(Q1194="红",R1194,IF(Q1194="半红",R1194*0.5,IF(Q1194="走",0,IF(Q1194="半黑",-0.5,-1)))))</x:f>
        <x:v>0.82</x:v>
      </x:c>
      <x:c r="T1194" s="604" t="inlineStr">
        <x:is>
          <x:t xml:space="preserve">https://m.titan007.com/analy/Analysis/3028894.htm</x:t>
        </x:is>
      </x:c>
      <x:c r="U1194" s="646" t="str">
        <x:f>IF(Q1194="","",IF(Q1194="待结算","待结算",IF(Q1194="红","黑",IF(Q1194="半红","半黑",IF(Q1194="走","走",IF(Q1194="半黑","半红","红"))))))</x:f>
        <x:v>黑</x:v>
      </x:c>
      <x:c r="V1194" s="604" t="n">
        <x:f>IF(OR(Q1194="",Q1194="待结算"),"",IF(L1194=LEFT(F1194,FIND(" vs ",F1194)-1),I1194,G1194))</x:f>
        <x:v>0.88</x:v>
      </x:c>
      <x:c r="W1194" s="604" t="n">
        <x:f>IF(OR(U1194="",U1194="待结算"),"",IF(U1194="红",V1194,IF(U1194="半红",V1194*0.5,IF(U1194="走",0,IF(U1194="半黑",-0.5,-1)))))</x:f>
        <x:v>-1</x:v>
      </x:c>
      <x:c r="X1194" s="604" t="inlineStr">
        <x:is>
          <x:t xml:space="preserve">3028894</x:t>
        </x:is>
      </x:c>
      <x:c r="Y1194" s="604" t="inlineStr">
        <x:is>
          <x:t xml:space="preserve">V4</x:t>
        </x:is>
      </x:c>
      <x:c r="Z1194" s="604" t="inlineStr">
        <x:is>
          <x:t xml:space="preserve">prior-2026-10-06-v1</x:t>
        </x:is>
      </x:c>
      <x:c r="AA1194" s="604" t="inlineStr">
        <x:is>
          <x:t xml:space="preserve">C</x:t>
        </x:is>
      </x:c>
      <x:c r="AB1194" s="604" t="n">
        <x:v>0.7834455367001975</x:v>
      </x:c>
      <x:c r="AC1194" s="604" t="n"/>
      <x:c r="AD1194" s="604" t="n"/>
      <x:c r="AE1194" s="604" t="n"/>
      <x:c r="AF1194" s="604" t="n">
        <x:v>0.2165544632998025</x:v>
      </x:c>
      <x:c r="AG1194" s="604" t="n">
        <x:v>0.4258708767943594</x:v>
      </x:c>
      <x:c r="AH1194" s="604" t="n"/>
      <x:c r="AI1194" s="604" t="n"/>
      <x:c r="AJ1194" s="604" t="n">
        <x:v>0.4258708767943594</x:v>
      </x:c>
      <x:c r="AK1194" s="604" t="n"/>
      <x:c r="AL1194" s="604" t="n"/>
      <x:c r="AM1194" s="604" t="n"/>
      <x:c r="AN1194" s="604" t="inlineStr">
        <x:is>
          <x:t xml:space="preserve">EVALUATED</x:t>
        </x:is>
      </x:c>
      <x:c r="AO1194" s="604" t="inlineStr">
        <x:is>
          <x:t xml:space="preserve">RECEIVING_VALIDATED_EDGE、BUCKET_PRIOR_ONLY、INTENT_INTERPRETATION_ONLY、FFL_OPTIONAL、EXPERT_MARKET</x:t>
        </x:is>
      </x:c>
      <x:c r="AP1194" s="604" t="inlineStr">
        <x:is>
          <x:t xml:space="preserve">0ef4071f04df67274d96</x:t>
        </x:is>
      </x:c>
      <x:c r="AQ1194" s="604" t="n">
        <x:v>0.5</x:v>
      </x:c>
      <x:c r="AR1194" s="604" t="n">
        <x:v>0.82</x:v>
      </x:c>
      <x:c r="AS1194" s="604" t="n">
        <x:v>-0.5</x:v>
      </x:c>
      <x:c r="AT1194" s="604" t="n">
        <x:v>0.5</x:v>
      </x:c>
      <x:c r="AU1194" s="604" t="n">
        <x:v>0.82</x:v>
      </x:c>
      <x:c r="AV1194" s="604" t="n">
        <x:v>0.88</x:v>
      </x:c>
      <x:c r="AW1194" s="604" t="n">
        <x:v>46301.03159395833</x:v>
      </x:c>
      <x:c r="AX1194" s="604" t="inlineStr">
        <x:is>
          <x:t xml:space="preserve">https://simondongxiao.github.io/odds/v4/</x:t>
        </x:is>
      </x:c>
      <x:c r="AY1194" s="604" t="inlineStr">
        <x:is>
          <x:t xml:space="preserve">V4 Shadow Only；real_money=false；P(EV&gt;0)不是比赛胜率</x:t>
        </x:is>
      </x:c>
    </x:row>
    <x:row r="1195" ht="22" customHeight="1">
      <x:c r="A1195" s="604" t="inlineStr">
        <x:is>
          <x:t xml:space="preserve">2026-10-06</x:t>
        </x:is>
      </x:c>
      <x:c r="B1195" s="604" t="inlineStr">
        <x:is>
          <x:t xml:space="preserve">2026-10-07 02:45</x:t>
        </x:is>
      </x:c>
      <x:c r="C1195" s="604" t="str">
        <x:v>五大联赛非顶级联赛</x:v>
      </x:c>
      <x:c r="D1195" s="604" t="inlineStr">
        <x:is>
          <x:t xml:space="preserve">联赛</x:t>
        </x:is>
      </x:c>
      <x:c r="E1195" s="604" t="inlineStr">
        <x:is>
          <x:t xml:space="preserve">英依超</x:t>
        </x:is>
      </x:c>
      <x:c r="F1195" s="604" t="inlineStr">
        <x:is>
          <x:t xml:space="preserve">切尔滕纳姆 vs 勒色赫</x:t>
        </x:is>
      </x:c>
      <x:c r="G1195" s="604" t="n">
        <x:v>0.78</x:v>
      </x:c>
      <x:c r="H1195" s="604" t="n">
        <x:v>0</x:v>
      </x:c>
      <x:c r="I1195" s="604" t="n">
        <x:v>1.03</x:v>
      </x:c>
      <x:c r="J1195" s="604" t="inlineStr">
        <x:is>
          <x:t xml:space="preserve">0.78/0/1.03</x:t>
        </x:is>
      </x:c>
      <x:c r="K1195" s="604" t="inlineStr">
        <x:is>
          <x:t xml:space="preserve">V4-C｜EV +0.0276</x:t>
        </x:is>
      </x:c>
      <x:c r="L1195" s="604" t="str"/>
      <x:c r="M1195" s="604" t="n">
        <x:v>0.5795055497165696</x:v>
      </x:c>
      <x:c r="N1195" s="604" t="inlineStr">
        <x:is>
          <x:t xml:space="preserve">V4纸面入选-C</x:t>
        </x:is>
      </x:c>
      <x:c r="O1195" s="604" t="inlineStr">
        <x:is>
          <x:t xml:space="preserve">3-0</x:t>
        </x:is>
      </x:c>
      <x:c r="P1195" s="604" t="inlineStr">
        <x:is>
          <x:t xml:space="preserve">已结算</x:t>
        </x:is>
      </x:c>
      <x:c r="Q1195" s="645" t="inlineStr">
        <x:is>
          <x:t xml:space="preserve">红</x:t>
        </x:is>
      </x:c>
      <x:c r="R1195" s="604" t="n">
        <x:v>1.03</x:v>
      </x:c>
      <x:c r="S1195" s="604" t="n">
        <x:f>IF(OR(Q1195="",Q1195="待结算"),"",IF(Q1195="红",R1195,IF(Q1195="半红",R1195*0.5,IF(Q1195="走",0,IF(Q1195="半黑",-0.5,-1)))))</x:f>
        <x:v>1.03</x:v>
      </x:c>
      <x:c r="T1195" s="604" t="inlineStr">
        <x:is>
          <x:t xml:space="preserve">https://m.titan007.com/analy/Analysis/3037428.htm</x:t>
        </x:is>
      </x:c>
      <x:c r="U1195" s="646" t="str">
        <x:f>IF(Q1195="","",IF(Q1195="待结算","待结算",IF(Q1195="红","黑",IF(Q1195="半红","半黑",IF(Q1195="走","走",IF(Q1195="半黑","半红","红"))))))</x:f>
        <x:v>黑</x:v>
      </x:c>
      <x:c r="V1195" s="604" t="n">
        <x:f>IF(OR(Q1195="",Q1195="待结算"),"",IF(L1195=LEFT(F1195,FIND(" vs ",F1195)-1),I1195,G1195))</x:f>
        <x:v>0.78</x:v>
      </x:c>
      <x:c r="W1195" s="604" t="n">
        <x:f>IF(OR(U1195="",U1195="待结算"),"",IF(U1195="红",V1195,IF(U1195="半红",V1195*0.5,IF(U1195="走",0,IF(U1195="半黑",-0.5,-1)))))</x:f>
        <x:v>-1</x:v>
      </x:c>
      <x:c r="X1195" s="604" t="inlineStr">
        <x:is>
          <x:t xml:space="preserve">3037428</x:t>
        </x:is>
      </x:c>
      <x:c r="Y1195" s="604" t="inlineStr">
        <x:is>
          <x:t xml:space="preserve">V4</x:t>
        </x:is>
      </x:c>
      <x:c r="Z1195" s="604" t="inlineStr">
        <x:is>
          <x:t xml:space="preserve">prior-2026-10-06-v1</x:t>
        </x:is>
      </x:c>
      <x:c r="AA1195" s="604" t="inlineStr">
        <x:is>
          <x:t xml:space="preserve">C</x:t>
        </x:is>
      </x:c>
      <x:c r="AB1195" s="604" t="n">
        <x:v>0.5070908150907002</x:v>
      </x:c>
      <x:c r="AC1195" s="604" t="n"/>
      <x:c r="AD1195" s="604" t="n"/>
      <x:c r="AE1195" s="604" t="n">
        <x:v>0.249919037570173</x:v>
      </x:c>
      <x:c r="AF1195" s="604" t="n">
        <x:v>0.2429901473391269</x:v>
      </x:c>
      <x:c r="AG1195" s="604" t="n">
        <x:v>0.02758116964653276</x:v>
      </x:c>
      <x:c r="AH1195" s="604" t="n"/>
      <x:c r="AI1195" s="604" t="n"/>
      <x:c r="AJ1195" s="604" t="n">
        <x:v>0.02758116964653276</x:v>
      </x:c>
      <x:c r="AK1195" s="604" t="n"/>
      <x:c r="AL1195" s="604" t="n"/>
      <x:c r="AM1195" s="604" t="n"/>
      <x:c r="AN1195" s="604" t="inlineStr">
        <x:is>
          <x:t xml:space="preserve">EVALUATED</x:t>
        </x:is>
      </x:c>
      <x:c r="AO1195" s="604" t="inlineStr">
        <x:is>
          <x:t xml:space="preserve">EDGE_BELOW_UNCERTAINTY_THRESHOLD、BUCKET_PRIOR_ONLY、INTENT_INTERPRETATION_ONLY、FFL_OPTIONAL、EXPERT_MARKET</x:t>
        </x:is>
      </x:c>
      <x:c r="AP1195" s="604" t="inlineStr">
        <x:is>
          <x:t xml:space="preserve">87f3a7f337d87abae096</x:t>
        </x:is>
      </x:c>
      <x:c r="AQ1195" s="604" t="n">
        <x:v>0</x:v>
      </x:c>
      <x:c r="AR1195" s="604" t="n"/>
      <x:c r="AS1195" s="604" t="n">
        <x:v>0</x:v>
      </x:c>
      <x:c r="AT1195" s="604" t="n">
        <x:v>0</x:v>
      </x:c>
      <x:c r="AU1195" s="604" t="n">
        <x:v>0.78</x:v>
      </x:c>
      <x:c r="AV1195" s="604" t="n">
        <x:v>1.03</x:v>
      </x:c>
      <x:c r="AW1195" s="604" t="n">
        <x:v>46301.03159395833</x:v>
      </x:c>
      <x:c r="AX1195" s="604" t="inlineStr">
        <x:is>
          <x:t xml:space="preserve">https://simondongxiao.github.io/odds/v4/</x:t>
        </x:is>
      </x:c>
      <x:c r="AY1195" s="604" t="inlineStr">
        <x:is>
          <x:t xml:space="preserve">V4 Shadow Only；real_money=false；P(EV&gt;0)不是比赛胜率</x:t>
        </x:is>
      </x:c>
    </x:row>
    <x:row r="1196" ht="22" customHeight="1">
      <x:c r="A1196" s="604" t="inlineStr">
        <x:is>
          <x:t xml:space="preserve">2026-10-06</x:t>
        </x:is>
      </x:c>
      <x:c r="B1196" s="604" t="inlineStr">
        <x:is>
          <x:t xml:space="preserve">2026-10-07 02:45</x:t>
        </x:is>
      </x:c>
      <x:c r="C1196" s="604" t="str">
        <x:v>五大联赛非顶级联赛</x:v>
      </x:c>
      <x:c r="D1196" s="604" t="inlineStr">
        <x:is>
          <x:t xml:space="preserve">联赛</x:t>
        </x:is>
      </x:c>
      <x:c r="E1196" s="604" t="inlineStr">
        <x:is>
          <x:t xml:space="preserve">英依超</x:t>
        </x:is>
      </x:c>
      <x:c r="F1196" s="604" t="inlineStr">
        <x:is>
          <x:t xml:space="preserve">柴斯罕特 vs 艾维利</x:t>
        </x:is>
      </x:c>
      <x:c r="G1196" s="604" t="n">
        <x:v>1</x:v>
      </x:c>
      <x:c r="H1196" s="604" t="n">
        <x:v>-0.25</x:v>
      </x:c>
      <x:c r="I1196" s="604" t="n">
        <x:v>0.8</x:v>
      </x:c>
      <x:c r="J1196" s="604" t="inlineStr">
        <x:is>
          <x:t xml:space="preserve">1/-0.25/0.8</x:t>
        </x:is>
      </x:c>
      <x:c r="K1196" s="604" t="inlineStr">
        <x:is>
          <x:t xml:space="preserve">V4-B｜EV +0.3532</x:t>
        </x:is>
      </x:c>
      <x:c r="L1196" s="604" t="inlineStr">
        <x:is>
          <x:t xml:space="preserve">柴斯罕特</x:t>
        </x:is>
      </x:c>
      <x:c r="M1196" s="604" t="n">
        <x:v>0.7022369072637998</x:v>
      </x:c>
      <x:c r="N1196" s="604" t="inlineStr">
        <x:is>
          <x:t xml:space="preserve">V4纸面入选-B</x:t>
        </x:is>
      </x:c>
      <x:c r="O1196" s="604" t="inlineStr">
        <x:is>
          <x:t xml:space="preserve">2-1</x:t>
        </x:is>
      </x:c>
      <x:c r="P1196" s="604" t="inlineStr">
        <x:is>
          <x:t xml:space="preserve">已结算</x:t>
        </x:is>
      </x:c>
      <x:c r="Q1196" s="645" t="inlineStr">
        <x:is>
          <x:t xml:space="preserve">红</x:t>
        </x:is>
      </x:c>
      <x:c r="R1196" s="604" t="n">
        <x:v>1</x:v>
      </x:c>
      <x:c r="S1196" s="604" t="n">
        <x:f>IF(OR(Q1196="",Q1196="待结算"),"",IF(Q1196="红",R1196,IF(Q1196="半红",R1196*0.5,IF(Q1196="走",0,IF(Q1196="半黑",-0.5,-1)))))</x:f>
        <x:v>1</x:v>
      </x:c>
      <x:c r="T1196" s="604" t="inlineStr">
        <x:is>
          <x:t xml:space="preserve">https://m.titan007.com/analy/Analysis/3037429.htm</x:t>
        </x:is>
      </x:c>
      <x:c r="U1196" s="646" t="str">
        <x:f>IF(Q1196="","",IF(Q1196="待结算","待结算",IF(Q1196="红","黑",IF(Q1196="半红","半黑",IF(Q1196="走","走",IF(Q1196="半黑","半红","红"))))))</x:f>
        <x:v>黑</x:v>
      </x:c>
      <x:c r="V1196" s="604" t="n">
        <x:f>IF(OR(Q1196="",Q1196="待结算"),"",IF(L1196=LEFT(F1196,FIND(" vs ",F1196)-1),I1196,G1196))</x:f>
        <x:v>0.8</x:v>
      </x:c>
      <x:c r="W1196" s="604" t="n">
        <x:f>IF(OR(U1196="",U1196="待结算"),"",IF(U1196="红",V1196,IF(U1196="半红",V1196*0.5,IF(U1196="走",0,IF(U1196="半黑",-0.5,-1)))))</x:f>
        <x:v>-1</x:v>
      </x:c>
      <x:c r="X1196" s="604" t="inlineStr">
        <x:is>
          <x:t xml:space="preserve">3037429</x:t>
        </x:is>
      </x:c>
      <x:c r="Y1196" s="604" t="inlineStr">
        <x:is>
          <x:t xml:space="preserve">V4</x:t>
        </x:is>
      </x:c>
      <x:c r="Z1196" s="604" t="inlineStr">
        <x:is>
          <x:t xml:space="preserve">prior-2026-10-06-v1</x:t>
        </x:is>
      </x:c>
      <x:c r="AA1196" s="604" t="inlineStr">
        <x:is>
          <x:t xml:space="preserve">B</x:t>
        </x:is>
      </x:c>
      <x:c r="AB1196" s="604" t="n">
        <x:v>0.4866455474269799</x:v>
      </x:c>
      <x:c r="AC1196" s="604" t="n">
        <x:v>0.2533035900195168</x:v>
      </x:c>
      <x:c r="AD1196" s="604" t="n"/>
      <x:c r="AE1196" s="604" t="n"/>
      <x:c r="AF1196" s="604" t="n">
        <x:v>0.2600508625535033</x:v>
      </x:c>
      <x:c r="AG1196" s="604" t="n">
        <x:v>0.353246479883235</x:v>
      </x:c>
      <x:c r="AH1196" s="604" t="n"/>
      <x:c r="AI1196" s="604" t="n"/>
      <x:c r="AJ1196" s="604" t="n">
        <x:v>0.353246479883235</x:v>
      </x:c>
      <x:c r="AK1196" s="604" t="n"/>
      <x:c r="AL1196" s="604" t="n"/>
      <x:c r="AM1196" s="604" t="n"/>
      <x:c r="AN1196" s="604" t="inlineStr">
        <x:is>
          <x:t xml:space="preserve">EVALUATED</x:t>
        </x:is>
      </x:c>
      <x:c r="AO1196" s="604" t="inlineStr">
        <x:is>
          <x:t xml:space="preserve">RECEIVING_VALIDATED_EDGE、BUCKET_PRIOR_ONLY、INTENT_INTERPRETATION_ONLY、FFL_OPTIONAL、EXPERT_MARKET</x:t>
        </x:is>
      </x:c>
      <x:c r="AP1196" s="604" t="inlineStr">
        <x:is>
          <x:t xml:space="preserve">f7476bb260de3534b7ab</x:t>
        </x:is>
      </x:c>
      <x:c r="AQ1196" s="604" t="n">
        <x:v>0.25</x:v>
      </x:c>
      <x:c r="AR1196" s="604" t="n">
        <x:v>1</x:v>
      </x:c>
      <x:c r="AS1196" s="604" t="n">
        <x:v>-0.25</x:v>
      </x:c>
      <x:c r="AT1196" s="604" t="n">
        <x:v>0.25</x:v>
      </x:c>
      <x:c r="AU1196" s="604" t="n">
        <x:v>1</x:v>
      </x:c>
      <x:c r="AV1196" s="604" t="n">
        <x:v>0.8</x:v>
      </x:c>
      <x:c r="AW1196" s="604" t="n">
        <x:v>46301.03159395833</x:v>
      </x:c>
      <x:c r="AX1196" s="604" t="inlineStr">
        <x:is>
          <x:t xml:space="preserve">https://simondongxiao.github.io/odds/v4/</x:t>
        </x:is>
      </x:c>
      <x:c r="AY1196" s="604" t="inlineStr">
        <x:is>
          <x:t xml:space="preserve">V4 Shadow Only；real_money=false；P(EV&gt;0)不是比赛胜率</x:t>
        </x:is>
      </x:c>
    </x:row>
    <x:row r="1197" ht="22" customHeight="1">
      <x:c r="A1197" s="604" t="inlineStr">
        <x:is>
          <x:t xml:space="preserve">2026-10-06</x:t>
        </x:is>
      </x:c>
      <x:c r="B1197" s="604" t="inlineStr">
        <x:is>
          <x:t xml:space="preserve">2026-10-07 02:45</x:t>
        </x:is>
      </x:c>
      <x:c r="C1197" s="604" t="str">
        <x:v>五大联赛非顶级联赛</x:v>
      </x:c>
      <x:c r="D1197" s="604" t="inlineStr">
        <x:is>
          <x:t xml:space="preserve">联赛</x:t>
        </x:is>
      </x:c>
      <x:c r="E1197" s="604" t="inlineStr">
        <x:is>
          <x:t xml:space="preserve">英依超</x:t>
        </x:is>
      </x:c>
      <x:c r="F1197" s="604" t="inlineStr">
        <x:is>
          <x:t xml:space="preserve">达特福德队 vs 拉姆斯盖特</x:t>
        </x:is>
      </x:c>
      <x:c r="G1197" s="604" t="n">
        <x:v>0.83</x:v>
      </x:c>
      <x:c r="H1197" s="604" t="n">
        <x:v>0</x:v>
      </x:c>
      <x:c r="I1197" s="604" t="n">
        <x:v>0.98</x:v>
      </x:c>
      <x:c r="J1197" s="604" t="inlineStr">
        <x:is>
          <x:t xml:space="preserve">0.83/0/0.98</x:t>
        </x:is>
      </x:c>
      <x:c r="K1197" s="604" t="inlineStr">
        <x:is>
          <x:t xml:space="preserve">V4-C｜EV +0.0539</x:t>
        </x:is>
      </x:c>
      <x:c r="L1197" s="604" t="str"/>
      <x:c r="M1197" s="604" t="n">
        <x:v>0.5759061631893414</x:v>
      </x:c>
      <x:c r="N1197" s="604" t="inlineStr">
        <x:is>
          <x:t xml:space="preserve">V4纸面入选-C</x:t>
        </x:is>
      </x:c>
      <x:c r="O1197" s="604" t="inlineStr">
        <x:is>
          <x:t xml:space="preserve">1-2</x:t>
        </x:is>
      </x:c>
      <x:c r="P1197" s="604" t="inlineStr">
        <x:is>
          <x:t xml:space="preserve">已结算</x:t>
        </x:is>
      </x:c>
      <x:c r="Q1197" s="646" t="inlineStr">
        <x:is>
          <x:t xml:space="preserve">黑</x:t>
        </x:is>
      </x:c>
      <x:c r="R1197" s="604" t="n">
        <x:v>0.98</x:v>
      </x:c>
      <x:c r="S1197" s="604" t="n">
        <x:f>IF(OR(Q1197="",Q1197="待结算"),"",IF(Q1197="红",R1197,IF(Q1197="半红",R1197*0.5,IF(Q1197="走",0,IF(Q1197="半黑",-0.5,-1)))))</x:f>
        <x:v>-1</x:v>
      </x:c>
      <x:c r="T1197" s="604" t="inlineStr">
        <x:is>
          <x:t xml:space="preserve">https://m.titan007.com/analy/Analysis/3037430.htm</x:t>
        </x:is>
      </x:c>
      <x:c r="U1197" s="645" t="str">
        <x:f>IF(Q1197="","",IF(Q1197="待结算","待结算",IF(Q1197="红","黑",IF(Q1197="半红","半黑",IF(Q1197="走","走",IF(Q1197="半黑","半红","红"))))))</x:f>
        <x:v>红</x:v>
      </x:c>
      <x:c r="V1197" s="604" t="n">
        <x:f>IF(OR(Q1197="",Q1197="待结算"),"",IF(L1197=LEFT(F1197,FIND(" vs ",F1197)-1),I1197,G1197))</x:f>
        <x:v>0.83</x:v>
      </x:c>
      <x:c r="W1197" s="604" t="n">
        <x:f>IF(OR(U1197="",U1197="待结算"),"",IF(U1197="红",V1197,IF(U1197="半红",V1197*0.5,IF(U1197="走",0,IF(U1197="半黑",-0.5,-1)))))</x:f>
        <x:v>0.83</x:v>
      </x:c>
      <x:c r="X1197" s="604" t="inlineStr">
        <x:is>
          <x:t xml:space="preserve">3037430</x:t>
        </x:is>
      </x:c>
      <x:c r="Y1197" s="604" t="inlineStr">
        <x:is>
          <x:t xml:space="preserve">V4</x:t>
        </x:is>
      </x:c>
      <x:c r="Z1197" s="604" t="inlineStr">
        <x:is>
          <x:t xml:space="preserve">prior-2026-10-06-v1</x:t>
        </x:is>
      </x:c>
      <x:c r="AA1197" s="604" t="inlineStr">
        <x:is>
          <x:t xml:space="preserve">C</x:t>
        </x:is>
      </x:c>
      <x:c r="AB1197" s="604" t="n">
        <x:v>0.5759061631893414</x:v>
      </x:c>
      <x:c r="AC1197" s="604" t="n"/>
      <x:c r="AD1197" s="604" t="n"/>
      <x:c r="AE1197" s="604" t="n"/>
      <x:c r="AF1197" s="604" t="n">
        <x:v>0.4240938368106586</x:v>
      </x:c>
      <x:c r="AG1197" s="604" t="n">
        <x:v>0.05390827863649472</x:v>
      </x:c>
      <x:c r="AH1197" s="604" t="n"/>
      <x:c r="AI1197" s="604" t="n"/>
      <x:c r="AJ1197" s="604" t="n">
        <x:v>0.05390827863649472</x:v>
      </x:c>
      <x:c r="AK1197" s="604" t="n"/>
      <x:c r="AL1197" s="604" t="n"/>
      <x:c r="AM1197" s="604" t="n"/>
      <x:c r="AN1197" s="604" t="inlineStr">
        <x:is>
          <x:t xml:space="preserve">EVALUATED</x:t>
        </x:is>
      </x:c>
      <x:c r="AO1197" s="604" t="inlineStr">
        <x:is>
          <x:t xml:space="preserve">EDGE_BELOW_UNCERTAINTY_THRESHOLD、BUCKET_PRIOR_ONLY、INTENT_INTERPRETATION_ONLY、FFL_OPTIONAL、EXPERT_MARKET</x:t>
        </x:is>
      </x:c>
      <x:c r="AP1197" s="604" t="inlineStr">
        <x:is>
          <x:t xml:space="preserve">9ee406e00b16142e7912</x:t>
        </x:is>
      </x:c>
      <x:c r="AQ1197" s="604" t="n">
        <x:v>0</x:v>
      </x:c>
      <x:c r="AR1197" s="604" t="n"/>
      <x:c r="AS1197" s="604" t="n">
        <x:v>0</x:v>
      </x:c>
      <x:c r="AT1197" s="604" t="n">
        <x:v>0</x:v>
      </x:c>
      <x:c r="AU1197" s="604" t="n">
        <x:v>0.83</x:v>
      </x:c>
      <x:c r="AV1197" s="604" t="n">
        <x:v>0.98</x:v>
      </x:c>
      <x:c r="AW1197" s="604" t="n">
        <x:v>46301.03159395833</x:v>
      </x:c>
      <x:c r="AX1197" s="604" t="inlineStr">
        <x:is>
          <x:t xml:space="preserve">https://simondongxiao.github.io/odds/v4/</x:t>
        </x:is>
      </x:c>
      <x:c r="AY1197" s="604" t="inlineStr">
        <x:is>
          <x:t xml:space="preserve">V4 Shadow Only；real_money=false；P(EV&gt;0)不是比赛胜率</x:t>
        </x:is>
      </x:c>
    </x:row>
    <x:row r="1198" ht="22" customHeight="1">
      <x:c r="A1198" s="604" t="inlineStr">
        <x:is>
          <x:t xml:space="preserve">2026-10-06</x:t>
        </x:is>
      </x:c>
      <x:c r="B1198" s="604" t="inlineStr">
        <x:is>
          <x:t xml:space="preserve">2026-10-07 02:45</x:t>
        </x:is>
      </x:c>
      <x:c r="C1198" s="604" t="str">
        <x:v>五大联赛非顶级联赛</x:v>
      </x:c>
      <x:c r="D1198" s="604" t="inlineStr">
        <x:is>
          <x:t xml:space="preserve">联赛</x:t>
        </x:is>
      </x:c>
      <x:c r="E1198" s="604" t="inlineStr">
        <x:is>
          <x:t xml:space="preserve">英依超</x:t>
        </x:is>
      </x:c>
      <x:c r="F1198" s="604" t="inlineStr">
        <x:is>
          <x:t xml:space="preserve">莫尔登蒂普特里 vs 威灵</x:t>
        </x:is>
      </x:c>
      <x:c r="G1198" s="604" t="n">
        <x:v>0.83</x:v>
      </x:c>
      <x:c r="H1198" s="604" t="n">
        <x:v>-1</x:v>
      </x:c>
      <x:c r="I1198" s="604" t="n">
        <x:v>0.98</x:v>
      </x:c>
      <x:c r="J1198" s="604" t="inlineStr">
        <x:is>
          <x:t xml:space="preserve">0.83/-1/0.98</x:t>
        </x:is>
      </x:c>
      <x:c r="K1198" s="604" t="inlineStr">
        <x:is>
          <x:t xml:space="preserve">V4-B｜EV +0.7222</x:t>
        </x:is>
      </x:c>
      <x:c r="L1198" s="604" t="inlineStr">
        <x:is>
          <x:t xml:space="preserve">莫尔登蒂普特里</x:t>
        </x:is>
      </x:c>
      <x:c r="M1198" s="604" t="n">
        <x:v>0.9738244724230353</x:v>
      </x:c>
      <x:c r="N1198" s="604" t="inlineStr">
        <x:is>
          <x:t xml:space="preserve">V4纸面入选-B</x:t>
        </x:is>
      </x:c>
      <x:c r="O1198" s="604" t="inlineStr">
        <x:is>
          <x:t xml:space="preserve">0-1</x:t>
        </x:is>
      </x:c>
      <x:c r="P1198" s="604" t="inlineStr">
        <x:is>
          <x:t xml:space="preserve">已结算</x:t>
        </x:is>
      </x:c>
      <x:c r="Q1198" s="647" t="inlineStr">
        <x:is>
          <x:t xml:space="preserve">走</x:t>
        </x:is>
      </x:c>
      <x:c r="R1198" s="604" t="n">
        <x:v>0.83</x:v>
      </x:c>
      <x:c r="S1198" s="604" t="n">
        <x:f>IF(OR(Q1198="",Q1198="待结算"),"",IF(Q1198="红",R1198,IF(Q1198="半红",R1198*0.5,IF(Q1198="走",0,IF(Q1198="半黑",-0.5,-1)))))</x:f>
        <x:v>0</x:v>
      </x:c>
      <x:c r="T1198" s="604" t="inlineStr">
        <x:is>
          <x:t xml:space="preserve">https://m.titan007.com/analy/Analysis/3037432.htm</x:t>
        </x:is>
      </x:c>
      <x:c r="U1198" s="647" t="str">
        <x:f>IF(Q1198="","",IF(Q1198="待结算","待结算",IF(Q1198="红","黑",IF(Q1198="半红","半黑",IF(Q1198="走","走",IF(Q1198="半黑","半红","红"))))))</x:f>
        <x:v>走</x:v>
      </x:c>
      <x:c r="V1198" s="604" t="n">
        <x:f>IF(OR(Q1198="",Q1198="待结算"),"",IF(L1198=LEFT(F1198,FIND(" vs ",F1198)-1),I1198,G1198))</x:f>
        <x:v>0.98</x:v>
      </x:c>
      <x:c r="W1198" s="604" t="n">
        <x:f>IF(OR(U1198="",U1198="待结算"),"",IF(U1198="红",V1198,IF(U1198="半红",V1198*0.5,IF(U1198="走",0,IF(U1198="半黑",-0.5,-1)))))</x:f>
        <x:v>0</x:v>
      </x:c>
      <x:c r="X1198" s="604" t="inlineStr">
        <x:is>
          <x:t xml:space="preserve">3037432</x:t>
        </x:is>
      </x:c>
      <x:c r="Y1198" s="604" t="inlineStr">
        <x:is>
          <x:t xml:space="preserve">V4</x:t>
        </x:is>
      </x:c>
      <x:c r="Z1198" s="604" t="inlineStr">
        <x:is>
          <x:t xml:space="preserve">prior-2026-10-06-v1</x:t>
        </x:is>
      </x:c>
      <x:c r="AA1198" s="604" t="inlineStr">
        <x:is>
          <x:t xml:space="preserve">B</x:t>
        </x:is>
      </x:c>
      <x:c r="AB1198" s="604" t="n">
        <x:v>0.8992790835676339</x:v>
      </x:c>
      <x:c r="AC1198" s="604" t="n"/>
      <x:c r="AD1198" s="604" t="n">
        <x:v>0.07654910198541251</x:v>
      </x:c>
      <x:c r="AE1198" s="604" t="n"/>
      <x:c r="AF1198" s="604" t="n">
        <x:v>0.02417181444695369</x:v>
      </x:c>
      <x:c r="AG1198" s="604" t="n">
        <x:v>0.7222298249141823</x:v>
      </x:c>
      <x:c r="AH1198" s="604" t="n"/>
      <x:c r="AI1198" s="604" t="n"/>
      <x:c r="AJ1198" s="604" t="n">
        <x:v>0.7222298249141823</x:v>
      </x:c>
      <x:c r="AK1198" s="604" t="n"/>
      <x:c r="AL1198" s="604" t="n"/>
      <x:c r="AM1198" s="604" t="n"/>
      <x:c r="AN1198" s="604" t="inlineStr">
        <x:is>
          <x:t xml:space="preserve">EVALUATED</x:t>
        </x:is>
      </x:c>
      <x:c r="AO1198" s="604" t="inlineStr">
        <x:is>
          <x:t xml:space="preserve">RECEIVING_VALIDATED_EDGE、BUCKET_PRIOR_ONLY、INTENT_INTERPRETATION_ONLY、FFL_OPTIONAL、EXPERT_MARKET</x:t>
        </x:is>
      </x:c>
      <x:c r="AP1198" s="604" t="inlineStr">
        <x:is>
          <x:t xml:space="preserve">6edbb40a242daee4bfdf</x:t>
        </x:is>
      </x:c>
      <x:c r="AQ1198" s="604" t="n">
        <x:v>1</x:v>
      </x:c>
      <x:c r="AR1198" s="604" t="n">
        <x:v>0.83</x:v>
      </x:c>
      <x:c r="AS1198" s="604" t="n">
        <x:v>-1</x:v>
      </x:c>
      <x:c r="AT1198" s="604" t="n">
        <x:v>1</x:v>
      </x:c>
      <x:c r="AU1198" s="604" t="n">
        <x:v>0.83</x:v>
      </x:c>
      <x:c r="AV1198" s="604" t="n">
        <x:v>0.98</x:v>
      </x:c>
      <x:c r="AW1198" s="604" t="n">
        <x:v>46301.03159395833</x:v>
      </x:c>
      <x:c r="AX1198" s="604" t="inlineStr">
        <x:is>
          <x:t xml:space="preserve">https://simondongxiao.github.io/odds/v4/</x:t>
        </x:is>
      </x:c>
      <x:c r="AY1198" s="604" t="inlineStr">
        <x:is>
          <x:t xml:space="preserve">V4 Shadow Only；real_money=false；P(EV&gt;0)不是比赛胜率</x:t>
        </x:is>
      </x:c>
    </x:row>
    <x:row r="1199" ht="22" customHeight="1">
      <x:c r="A1199" s="604" t="inlineStr">
        <x:is>
          <x:t xml:space="preserve">2026-10-06</x:t>
        </x:is>
      </x:c>
      <x:c r="B1199" s="604" t="inlineStr">
        <x:is>
          <x:t xml:space="preserve">2026-10-07 02:45</x:t>
        </x:is>
      </x:c>
      <x:c r="C1199" s="604" t="str">
        <x:v>五大联赛非顶级联赛</x:v>
      </x:c>
      <x:c r="D1199" s="604" t="inlineStr">
        <x:is>
          <x:t xml:space="preserve">联赛</x:t>
        </x:is>
      </x:c>
      <x:c r="E1199" s="604" t="inlineStr">
        <x:is>
          <x:t xml:space="preserve">英依超</x:t>
        </x:is>
      </x:c>
      <x:c r="F1199" s="604" t="inlineStr">
        <x:is>
          <x:t xml:space="preserve">斯坦韦流浪 vs 恩菲尔德镇</x:t>
        </x:is>
      </x:c>
      <x:c r="G1199" s="604" t="n">
        <x:v>0.9</x:v>
      </x:c>
      <x:c r="H1199" s="604" t="n">
        <x:v>-1</x:v>
      </x:c>
      <x:c r="I1199" s="604" t="n">
        <x:v>0.9</x:v>
      </x:c>
      <x:c r="J1199" s="604" t="inlineStr">
        <x:is>
          <x:t xml:space="preserve">0.9/-1/0.9</x:t>
        </x:is>
      </x:c>
      <x:c r="K1199" s="604" t="inlineStr">
        <x:is>
          <x:t xml:space="preserve">V4-B｜EV +0.7657</x:t>
        </x:is>
      </x:c>
      <x:c r="L1199" s="604" t="inlineStr">
        <x:is>
          <x:t xml:space="preserve">斯坦韦流浪</x:t>
        </x:is>
      </x:c>
      <x:c r="M1199" s="604" t="n">
        <x:v>0.9673468948749017</x:v>
      </x:c>
      <x:c r="N1199" s="604" t="inlineStr">
        <x:is>
          <x:t xml:space="preserve">V4纸面入选-B</x:t>
        </x:is>
      </x:c>
      <x:c r="O1199" s="604" t="inlineStr">
        <x:is>
          <x:t xml:space="preserve">1-2</x:t>
        </x:is>
      </x:c>
      <x:c r="P1199" s="604" t="inlineStr">
        <x:is>
          <x:t xml:space="preserve">已结算</x:t>
        </x:is>
      </x:c>
      <x:c r="Q1199" s="647" t="inlineStr">
        <x:is>
          <x:t xml:space="preserve">走</x:t>
        </x:is>
      </x:c>
      <x:c r="R1199" s="604" t="n">
        <x:v>0.9</x:v>
      </x:c>
      <x:c r="S1199" s="604" t="n">
        <x:f>IF(OR(Q1199="",Q1199="待结算"),"",IF(Q1199="红",R1199,IF(Q1199="半红",R1199*0.5,IF(Q1199="走",0,IF(Q1199="半黑",-0.5,-1)))))</x:f>
        <x:v>0</x:v>
      </x:c>
      <x:c r="T1199" s="604" t="inlineStr">
        <x:is>
          <x:t xml:space="preserve">https://m.titan007.com/analy/Analysis/3037434.htm</x:t>
        </x:is>
      </x:c>
      <x:c r="U1199" s="647" t="str">
        <x:f>IF(Q1199="","",IF(Q1199="待结算","待结算",IF(Q1199="红","黑",IF(Q1199="半红","半黑",IF(Q1199="走","走",IF(Q1199="半黑","半红","红"))))))</x:f>
        <x:v>走</x:v>
      </x:c>
      <x:c r="V1199" s="604" t="n">
        <x:f>IF(OR(Q1199="",Q1199="待结算"),"",IF(L1199=LEFT(F1199,FIND(" vs ",F1199)-1),I1199,G1199))</x:f>
        <x:v>0.9</x:v>
      </x:c>
      <x:c r="W1199" s="604" t="n">
        <x:f>IF(OR(U1199="",U1199="待结算"),"",IF(U1199="红",V1199,IF(U1199="半红",V1199*0.5,IF(U1199="走",0,IF(U1199="半黑",-0.5,-1)))))</x:f>
        <x:v>0</x:v>
      </x:c>
      <x:c r="X1199" s="604" t="inlineStr">
        <x:is>
          <x:t xml:space="preserve">3037434</x:t>
        </x:is>
      </x:c>
      <x:c r="Y1199" s="604" t="inlineStr">
        <x:is>
          <x:t xml:space="preserve">V4</x:t>
        </x:is>
      </x:c>
      <x:c r="Z1199" s="604" t="inlineStr">
        <x:is>
          <x:t xml:space="preserve">prior-2026-10-06-v1</x:t>
        </x:is>
      </x:c>
      <x:c r="AA1199" s="604" t="inlineStr">
        <x:is>
          <x:t xml:space="preserve">B</x:t>
        </x:is>
      </x:c>
      <x:c r="AB1199" s="604" t="n">
        <x:v>0.8839798315244656</x:v>
      </x:c>
      <x:c r="AC1199" s="604" t="n"/>
      <x:c r="AD1199" s="604" t="n">
        <x:v>0.08618114534932907</x:v>
      </x:c>
      <x:c r="AE1199" s="604" t="n"/>
      <x:c r="AF1199" s="604" t="n">
        <x:v>0.02983902312620536</x:v>
      </x:c>
      <x:c r="AG1199" s="604" t="n">
        <x:v>0.7657428252458137</x:v>
      </x:c>
      <x:c r="AH1199" s="604" t="n"/>
      <x:c r="AI1199" s="604" t="n"/>
      <x:c r="AJ1199" s="604" t="n">
        <x:v>0.7657428252458137</x:v>
      </x:c>
      <x:c r="AK1199" s="604" t="n"/>
      <x:c r="AL1199" s="604" t="n"/>
      <x:c r="AM1199" s="604" t="n"/>
      <x:c r="AN1199" s="604" t="inlineStr">
        <x:is>
          <x:t xml:space="preserve">EVALUATED</x:t>
        </x:is>
      </x:c>
      <x:c r="AO1199" s="604" t="inlineStr">
        <x:is>
          <x:t xml:space="preserve">RECEIVING_VALIDATED_EDGE、BUCKET_PRIOR_ONLY、INTENT_INTERPRETATION_ONLY、FFL_OPTIONAL、EXPERT_MARKET</x:t>
        </x:is>
      </x:c>
      <x:c r="AP1199" s="604" t="inlineStr">
        <x:is>
          <x:t xml:space="preserve">a89b161c58e223c013f3</x:t>
        </x:is>
      </x:c>
      <x:c r="AQ1199" s="604" t="n">
        <x:v>1</x:v>
      </x:c>
      <x:c r="AR1199" s="604" t="n">
        <x:v>0.9</x:v>
      </x:c>
      <x:c r="AS1199" s="604" t="n">
        <x:v>-1</x:v>
      </x:c>
      <x:c r="AT1199" s="604" t="n">
        <x:v>1</x:v>
      </x:c>
      <x:c r="AU1199" s="604" t="n">
        <x:v>0.9</x:v>
      </x:c>
      <x:c r="AV1199" s="604" t="n">
        <x:v>0.9</x:v>
      </x:c>
      <x:c r="AW1199" s="604" t="n">
        <x:v>46301.03159395833</x:v>
      </x:c>
      <x:c r="AX1199" s="604" t="inlineStr">
        <x:is>
          <x:t xml:space="preserve">https://simondongxiao.github.io/odds/v4/</x:t>
        </x:is>
      </x:c>
      <x:c r="AY1199" s="604" t="inlineStr">
        <x:is>
          <x:t xml:space="preserve">V4 Shadow Only；real_money=false；P(EV&gt;0)不是比赛胜率</x:t>
        </x:is>
      </x:c>
    </x:row>
    <x:row r="1200" ht="22" customHeight="1">
      <x:c r="A1200" s="604" t="inlineStr">
        <x:is>
          <x:t xml:space="preserve">2026-10-06</x:t>
        </x:is>
      </x:c>
      <x:c r="B1200" s="604" t="inlineStr">
        <x:is>
          <x:t xml:space="preserve">2026-10-07 02:45</x:t>
        </x:is>
      </x:c>
      <x:c r="C1200" s="604" t="str">
        <x:v>五大联赛非顶级联赛</x:v>
      </x:c>
      <x:c r="D1200" s="604" t="inlineStr">
        <x:is>
          <x:t xml:space="preserve">联赛</x:t>
        </x:is>
      </x:c>
      <x:c r="E1200" s="604" t="inlineStr">
        <x:is>
          <x:t xml:space="preserve">英北超</x:t>
        </x:is>
      </x:c>
      <x:c r="F1200" s="604" t="inlineStr">
        <x:is>
          <x:t xml:space="preserve">克利索普斯城 vs 海德联</x:t>
        </x:is>
      </x:c>
      <x:c r="G1200" s="604" t="n">
        <x:v>0.95</x:v>
      </x:c>
      <x:c r="H1200" s="604" t="n">
        <x:v>1</x:v>
      </x:c>
      <x:c r="I1200" s="604" t="n">
        <x:v>0.85</x:v>
      </x:c>
      <x:c r="J1200" s="604" t="inlineStr">
        <x:is>
          <x:t xml:space="preserve">0.95/1/0.85</x:t>
        </x:is>
      </x:c>
      <x:c r="K1200" s="604" t="inlineStr">
        <x:is>
          <x:t xml:space="preserve">V4-B｜EV +0.1043</x:t>
        </x:is>
      </x:c>
      <x:c r="L1200" s="604" t="inlineStr">
        <x:is>
          <x:t xml:space="preserve">克利索普斯城</x:t>
        </x:is>
      </x:c>
      <x:c r="M1200" s="604" t="n">
        <x:v>0.5846789510454867</x:v>
      </x:c>
      <x:c r="N1200" s="604" t="inlineStr">
        <x:is>
          <x:t xml:space="preserve">V4纸面入选-B</x:t>
        </x:is>
      </x:c>
      <x:c r="O1200" s="604" t="inlineStr">
        <x:is>
          <x:t xml:space="preserve">1-0</x:t>
        </x:is>
      </x:c>
      <x:c r="P1200" s="604" t="inlineStr">
        <x:is>
          <x:t xml:space="preserve">已结算</x:t>
        </x:is>
      </x:c>
      <x:c r="Q1200" s="647" t="inlineStr">
        <x:is>
          <x:t xml:space="preserve">走</x:t>
        </x:is>
      </x:c>
      <x:c r="R1200" s="604" t="n">
        <x:v>0.95</x:v>
      </x:c>
      <x:c r="S1200" s="604" t="n">
        <x:f>IF(OR(Q1200="",Q1200="待结算"),"",IF(Q1200="红",R1200,IF(Q1200="半红",R1200*0.5,IF(Q1200="走",0,IF(Q1200="半黑",-0.5,-1)))))</x:f>
        <x:v>0</x:v>
      </x:c>
      <x:c r="T1200" s="604" t="inlineStr">
        <x:is>
          <x:t xml:space="preserve">https://m.titan007.com/analy/Analysis/3044678.htm</x:t>
        </x:is>
      </x:c>
      <x:c r="U1200" s="647" t="str">
        <x:f>IF(Q1200="","",IF(Q1200="待结算","待结算",IF(Q1200="红","黑",IF(Q1200="半红","半黑",IF(Q1200="走","走",IF(Q1200="半黑","半红","红"))))))</x:f>
        <x:v>走</x:v>
      </x:c>
      <x:c r="V1200" s="604" t="n">
        <x:f>IF(OR(Q1200="",Q1200="待结算"),"",IF(L1200=LEFT(F1200,FIND(" vs ",F1200)-1),I1200,G1200))</x:f>
        <x:v>0.85</x:v>
      </x:c>
      <x:c r="W1200" s="604" t="n">
        <x:f>IF(OR(U1200="",U1200="待结算"),"",IF(U1200="红",V1200,IF(U1200="半红",V1200*0.5,IF(U1200="走",0,IF(U1200="半黑",-0.5,-1)))))</x:f>
        <x:v>0</x:v>
      </x:c>
      <x:c r="X1200" s="604" t="inlineStr">
        <x:is>
          <x:t xml:space="preserve">3044678</x:t>
        </x:is>
      </x:c>
      <x:c r="Y1200" s="604" t="inlineStr">
        <x:is>
          <x:t xml:space="preserve">V4</x:t>
        </x:is>
      </x:c>
      <x:c r="Z1200" s="604" t="inlineStr">
        <x:is>
          <x:t xml:space="preserve">prior-2026-10-06-v1</x:t>
        </x:is>
      </x:c>
      <x:c r="AA1200" s="604" t="inlineStr">
        <x:is>
          <x:t xml:space="preserve">B</x:t>
        </x:is>
      </x:c>
      <x:c r="AB1200" s="604" t="n">
        <x:v>0.4352537393874526</x:v>
      </x:c>
      <x:c r="AC1200" s="604" t="n"/>
      <x:c r="AD1200" s="604" t="n">
        <x:v>0.2555679683539852</x:v>
      </x:c>
      <x:c r="AE1200" s="604" t="n"/>
      <x:c r="AF1200" s="604" t="n">
        <x:v>0.3091782922585623</x:v>
      </x:c>
      <x:c r="AG1200" s="604" t="n">
        <x:v>0.1043127601595176</x:v>
      </x:c>
      <x:c r="AH1200" s="604" t="n"/>
      <x:c r="AI1200" s="604" t="n"/>
      <x:c r="AJ1200" s="604" t="n">
        <x:v>0.1043127601595176</x:v>
      </x:c>
      <x:c r="AK1200" s="604" t="n"/>
      <x:c r="AL1200" s="604" t="n"/>
      <x:c r="AM1200" s="604" t="n"/>
      <x:c r="AN1200" s="604" t="inlineStr">
        <x:is>
          <x:t xml:space="preserve">EVALUATED</x:t>
        </x:is>
      </x:c>
      <x:c r="AO1200" s="604" t="inlineStr">
        <x:is>
          <x:t xml:space="preserve">GIVING_VALIDATED_EDGE、BUCKET_PRIOR_ONLY、INTENT_INTERPRETATION_ONLY、FFL_OPTIONAL、EXPERT_MARKET</x:t>
        </x:is>
      </x:c>
      <x:c r="AP1200" s="604" t="inlineStr">
        <x:is>
          <x:t xml:space="preserve">814b4ef06ee1a7f3acba</x:t>
        </x:is>
      </x:c>
      <x:c r="AQ1200" s="604" t="n">
        <x:v>-1</x:v>
      </x:c>
      <x:c r="AR1200" s="604" t="n">
        <x:v>0.95</x:v>
      </x:c>
      <x:c r="AS1200" s="604" t="n">
        <x:v>1</x:v>
      </x:c>
      <x:c r="AT1200" s="604" t="n">
        <x:v>-1</x:v>
      </x:c>
      <x:c r="AU1200" s="604" t="n">
        <x:v>0.95</x:v>
      </x:c>
      <x:c r="AV1200" s="604" t="n">
        <x:v>0.85</x:v>
      </x:c>
      <x:c r="AW1200" s="604" t="n">
        <x:v>46301.03159395833</x:v>
      </x:c>
      <x:c r="AX1200" s="604" t="inlineStr">
        <x:is>
          <x:t xml:space="preserve">https://simondongxiao.github.io/odds/v4/</x:t>
        </x:is>
      </x:c>
      <x:c r="AY1200" s="604" t="inlineStr">
        <x:is>
          <x:t xml:space="preserve">V4 Shadow Only；real_money=false；P(EV&gt;0)不是比赛胜率</x:t>
        </x:is>
      </x:c>
    </x:row>
    <x:row r="1201" ht="22" customHeight="1">
      <x:c r="A1201" s="604" t="inlineStr">
        <x:is>
          <x:t xml:space="preserve">2026-10-06</x:t>
        </x:is>
      </x:c>
      <x:c r="B1201" s="604" t="inlineStr">
        <x:is>
          <x:t xml:space="preserve">2026-10-07 02:45</x:t>
        </x:is>
      </x:c>
      <x:c r="C1201" s="604" t="str">
        <x:v>五大联赛非顶级联赛</x:v>
      </x:c>
      <x:c r="D1201" s="604" t="inlineStr">
        <x:is>
          <x:t xml:space="preserve">联赛</x:t>
        </x:is>
      </x:c>
      <x:c r="E1201" s="604" t="inlineStr">
        <x:is>
          <x:t xml:space="preserve">英北超</x:t>
        </x:is>
      </x:c>
      <x:c r="F1201" s="604" t="inlineStr">
        <x:is>
          <x:t xml:space="preserve">阿什顿 vs 雷德卡竞技</x:t>
        </x:is>
      </x:c>
      <x:c r="G1201" s="604" t="n">
        <x:v>0.85</x:v>
      </x:c>
      <x:c r="H1201" s="604" t="n">
        <x:v>-0.25</x:v>
      </x:c>
      <x:c r="I1201" s="604" t="n">
        <x:v>0.95</x:v>
      </x:c>
      <x:c r="J1201" s="604" t="inlineStr">
        <x:is>
          <x:t xml:space="preserve">0.85/-0.25/0.95</x:t>
        </x:is>
      </x:c>
      <x:c r="K1201" s="604" t="inlineStr">
        <x:is>
          <x:t xml:space="preserve">V4-B｜EV +0.1126</x:t>
        </x:is>
      </x:c>
      <x:c r="L1201" s="604" t="inlineStr">
        <x:is>
          <x:t xml:space="preserve">阿什顿</x:t>
        </x:is>
      </x:c>
      <x:c r="M1201" s="604" t="n">
        <x:v>0.6105931478487381</x:v>
      </x:c>
      <x:c r="N1201" s="604" t="inlineStr">
        <x:is>
          <x:t xml:space="preserve">V4纸面入选-B</x:t>
        </x:is>
      </x:c>
      <x:c r="O1201" s="604" t="inlineStr">
        <x:is>
          <x:t xml:space="preserve">3-1</x:t>
        </x:is>
      </x:c>
      <x:c r="P1201" s="604" t="inlineStr">
        <x:is>
          <x:t xml:space="preserve">已结算</x:t>
        </x:is>
      </x:c>
      <x:c r="Q1201" s="645" t="inlineStr">
        <x:is>
          <x:t xml:space="preserve">红</x:t>
        </x:is>
      </x:c>
      <x:c r="R1201" s="604" t="n">
        <x:v>0.85</x:v>
      </x:c>
      <x:c r="S1201" s="604" t="n">
        <x:f>IF(OR(Q1201="",Q1201="待结算"),"",IF(Q1201="红",R1201,IF(Q1201="半红",R1201*0.5,IF(Q1201="走",0,IF(Q1201="半黑",-0.5,-1)))))</x:f>
        <x:v>0.85</x:v>
      </x:c>
      <x:c r="T1201" s="604" t="inlineStr">
        <x:is>
          <x:t xml:space="preserve">https://m.titan007.com/analy/Analysis/3044679.htm</x:t>
        </x:is>
      </x:c>
      <x:c r="U1201" s="646" t="str">
        <x:f>IF(Q1201="","",IF(Q1201="待结算","待结算",IF(Q1201="红","黑",IF(Q1201="半红","半黑",IF(Q1201="走","走",IF(Q1201="半黑","半红","红"))))))</x:f>
        <x:v>黑</x:v>
      </x:c>
      <x:c r="V1201" s="604" t="n">
        <x:f>IF(OR(Q1201="",Q1201="待结算"),"",IF(L1201=LEFT(F1201,FIND(" vs ",F1201)-1),I1201,G1201))</x:f>
        <x:v>0.95</x:v>
      </x:c>
      <x:c r="W1201" s="604" t="n">
        <x:f>IF(OR(U1201="",U1201="待结算"),"",IF(U1201="红",V1201,IF(U1201="半红",V1201*0.5,IF(U1201="走",0,IF(U1201="半黑",-0.5,-1)))))</x:f>
        <x:v>-1</x:v>
      </x:c>
      <x:c r="X1201" s="604" t="inlineStr">
        <x:is>
          <x:t xml:space="preserve">3044679</x:t>
        </x:is>
      </x:c>
      <x:c r="Y1201" s="604" t="inlineStr">
        <x:is>
          <x:t xml:space="preserve">V4</x:t>
        </x:is>
      </x:c>
      <x:c r="Z1201" s="604" t="inlineStr">
        <x:is>
          <x:t xml:space="preserve">prior-2026-10-06-v1</x:t>
        </x:is>
      </x:c>
      <x:c r="AA1201" s="604" t="inlineStr">
        <x:is>
          <x:t xml:space="preserve">B</x:t>
        </x:is>
      </x:c>
      <x:c r="AB1201" s="604" t="n">
        <x:v>0.3990009654511766</x:v>
      </x:c>
      <x:c r="AC1201" s="604" t="n">
        <x:v>0.2627506303254601</x:v>
      </x:c>
      <x:c r="AD1201" s="604" t="n"/>
      <x:c r="AE1201" s="604" t="n"/>
      <x:c r="AF1201" s="604" t="n">
        <x:v>0.3382484042233633</x:v>
      </x:c>
      <x:c r="AG1201" s="604" t="n">
        <x:v>0.1125714342984573</x:v>
      </x:c>
      <x:c r="AH1201" s="604" t="n"/>
      <x:c r="AI1201" s="604" t="n"/>
      <x:c r="AJ1201" s="604" t="n">
        <x:v>0.1125714342984573</x:v>
      </x:c>
      <x:c r="AK1201" s="604" t="n"/>
      <x:c r="AL1201" s="604" t="n"/>
      <x:c r="AM1201" s="604" t="n"/>
      <x:c r="AN1201" s="604" t="inlineStr">
        <x:is>
          <x:t xml:space="preserve">EVALUATED</x:t>
        </x:is>
      </x:c>
      <x:c r="AO1201" s="604" t="inlineStr">
        <x:is>
          <x:t xml:space="preserve">RECEIVING_VALIDATED_EDGE、BUCKET_PRIOR_ONLY、INTENT_INTERPRETATION_ONLY、FFL_OPTIONAL、EXPERT_MARKET</x:t>
        </x:is>
      </x:c>
      <x:c r="AP1201" s="604" t="inlineStr">
        <x:is>
          <x:t xml:space="preserve">06f8eebe7c3d33def8ad</x:t>
        </x:is>
      </x:c>
      <x:c r="AQ1201" s="604" t="n">
        <x:v>0.25</x:v>
      </x:c>
      <x:c r="AR1201" s="604" t="n">
        <x:v>0.85</x:v>
      </x:c>
      <x:c r="AS1201" s="604" t="n">
        <x:v>-0.25</x:v>
      </x:c>
      <x:c r="AT1201" s="604" t="n">
        <x:v>0.25</x:v>
      </x:c>
      <x:c r="AU1201" s="604" t="n">
        <x:v>0.85</x:v>
      </x:c>
      <x:c r="AV1201" s="604" t="n">
        <x:v>0.95</x:v>
      </x:c>
      <x:c r="AW1201" s="604" t="n">
        <x:v>46301.03159395833</x:v>
      </x:c>
      <x:c r="AX1201" s="604" t="inlineStr">
        <x:is>
          <x:t xml:space="preserve">https://simondongxiao.github.io/odds/v4/</x:t>
        </x:is>
      </x:c>
      <x:c r="AY1201" s="604" t="inlineStr">
        <x:is>
          <x:t xml:space="preserve">V4 Shadow Only；real_money=false；P(EV&gt;0)不是比赛胜率</x:t>
        </x:is>
      </x:c>
    </x:row>
    <x:row r="1202" ht="22" customHeight="1">
      <x:c r="A1202" s="604" t="inlineStr">
        <x:is>
          <x:t xml:space="preserve">2026-10-06</x:t>
        </x:is>
      </x:c>
      <x:c r="B1202" s="604" t="inlineStr">
        <x:is>
          <x:t xml:space="preserve">2026-10-07 02:45</x:t>
        </x:is>
      </x:c>
      <x:c r="C1202" s="604" t="str">
        <x:v>五大联赛非顶级联赛</x:v>
      </x:c>
      <x:c r="D1202" s="604" t="inlineStr">
        <x:is>
          <x:t xml:space="preserve">联赛</x:t>
        </x:is>
      </x:c>
      <x:c r="E1202" s="604" t="inlineStr">
        <x:is>
          <x:t xml:space="preserve">英北超</x:t>
        </x:is>
      </x:c>
      <x:c r="F1202" s="604" t="inlineStr">
        <x:is>
          <x:t xml:space="preserve">伊米耶 vs 班巴布利治</x:t>
        </x:is>
      </x:c>
      <x:c r="G1202" s="604" t="n">
        <x:v>0.85</x:v>
      </x:c>
      <x:c r="H1202" s="604" t="n">
        <x:v>0</x:v>
      </x:c>
      <x:c r="I1202" s="604" t="n">
        <x:v>0.95</x:v>
      </x:c>
      <x:c r="J1202" s="604" t="inlineStr">
        <x:is>
          <x:t xml:space="preserve">0.85/0/0.95</x:t>
        </x:is>
      </x:c>
      <x:c r="K1202" s="604" t="inlineStr">
        <x:is>
          <x:t xml:space="preserve">V4-C｜EV +0.0033</x:t>
        </x:is>
      </x:c>
      <x:c r="L1202" s="604" t="str"/>
      <x:c r="M1202" s="604" t="n">
        <x:v>0.4852435725458422</x:v>
      </x:c>
      <x:c r="N1202" s="604" t="inlineStr">
        <x:is>
          <x:t xml:space="preserve">V4纸面入选-C</x:t>
        </x:is>
      </x:c>
      <x:c r="O1202" s="604" t="inlineStr">
        <x:is>
          <x:t xml:space="preserve">0-3</x:t>
        </x:is>
      </x:c>
      <x:c r="P1202" s="604" t="inlineStr">
        <x:is>
          <x:t xml:space="preserve">已结算</x:t>
        </x:is>
      </x:c>
      <x:c r="Q1202" s="646" t="inlineStr">
        <x:is>
          <x:t xml:space="preserve">黑</x:t>
        </x:is>
      </x:c>
      <x:c r="R1202" s="604" t="n">
        <x:v>0.95</x:v>
      </x:c>
      <x:c r="S1202" s="604" t="n">
        <x:f>IF(OR(Q1202="",Q1202="待结算"),"",IF(Q1202="红",R1202,IF(Q1202="半红",R1202*0.5,IF(Q1202="走",0,IF(Q1202="半黑",-0.5,-1)))))</x:f>
        <x:v>-1</x:v>
      </x:c>
      <x:c r="T1202" s="604" t="inlineStr">
        <x:is>
          <x:t xml:space="preserve">https://m.titan007.com/analy/Analysis/3044680.htm</x:t>
        </x:is>
      </x:c>
      <x:c r="U1202" s="645" t="str">
        <x:f>IF(Q1202="","",IF(Q1202="待结算","待结算",IF(Q1202="红","黑",IF(Q1202="半红","半黑",IF(Q1202="走","走",IF(Q1202="半黑","半红","红"))))))</x:f>
        <x:v>红</x:v>
      </x:c>
      <x:c r="V1202" s="604" t="n">
        <x:f>IF(OR(Q1202="",Q1202="待结算"),"",IF(L1202=LEFT(F1202,FIND(" vs ",F1202)-1),I1202,G1202))</x:f>
        <x:v>0.85</x:v>
      </x:c>
      <x:c r="W1202" s="604" t="n">
        <x:f>IF(OR(U1202="",U1202="待结算"),"",IF(U1202="红",V1202,IF(U1202="半红",V1202*0.5,IF(U1202="走",0,IF(U1202="半黑",-0.5,-1)))))</x:f>
        <x:v>0.85</x:v>
      </x:c>
      <x:c r="X1202" s="604" t="inlineStr">
        <x:is>
          <x:t xml:space="preserve">3044680</x:t>
        </x:is>
      </x:c>
      <x:c r="Y1202" s="604" t="inlineStr">
        <x:is>
          <x:t xml:space="preserve">V4</x:t>
        </x:is>
      </x:c>
      <x:c r="Z1202" s="604" t="inlineStr">
        <x:is>
          <x:t xml:space="preserve">prior-2026-10-06-v1</x:t>
        </x:is>
      </x:c>
      <x:c r="AA1202" s="604" t="inlineStr">
        <x:is>
          <x:t xml:space="preserve">C</x:t>
        </x:is>
      </x:c>
      <x:c r="AB1202" s="604" t="n">
        <x:v>0.4220146719933605</x:v>
      </x:c>
      <x:c r="AC1202" s="604" t="n"/>
      <x:c r="AD1202" s="604" t="n"/>
      <x:c r="AE1202" s="604" t="n">
        <x:v>0.2606068544947424</x:v>
      </x:c>
      <x:c r="AF1202" s="604" t="n">
        <x:v>0.3173784735118971</x:v>
      </x:c>
      <x:c r="AG1202" s="604" t="n">
        <x:v>0.00328313372794431</x:v>
      </x:c>
      <x:c r="AH1202" s="604" t="n"/>
      <x:c r="AI1202" s="604" t="n"/>
      <x:c r="AJ1202" s="604" t="n">
        <x:v>0.00328313372794431</x:v>
      </x:c>
      <x:c r="AK1202" s="604" t="n"/>
      <x:c r="AL1202" s="604" t="n"/>
      <x:c r="AM1202" s="604" t="n"/>
      <x:c r="AN1202" s="604" t="inlineStr">
        <x:is>
          <x:t xml:space="preserve">EVALUATED</x:t>
        </x:is>
      </x:c>
      <x:c r="AO1202" s="604" t="inlineStr">
        <x:is>
          <x:t xml:space="preserve">EDGE_BELOW_UNCERTAINTY_THRESHOLD、BUCKET_PRIOR_ONLY、INTENT_INTERPRETATION_ONLY、FFL_OPTIONAL、EXPERT_MARKET</x:t>
        </x:is>
      </x:c>
      <x:c r="AP1202" s="604" t="inlineStr">
        <x:is>
          <x:t xml:space="preserve">74dd89c5914139b11a53</x:t>
        </x:is>
      </x:c>
      <x:c r="AQ1202" s="604" t="n">
        <x:v>0</x:v>
      </x:c>
      <x:c r="AR1202" s="604" t="n"/>
      <x:c r="AS1202" s="604" t="n">
        <x:v>0</x:v>
      </x:c>
      <x:c r="AT1202" s="604" t="n">
        <x:v>0</x:v>
      </x:c>
      <x:c r="AU1202" s="604" t="n">
        <x:v>0.85</x:v>
      </x:c>
      <x:c r="AV1202" s="604" t="n">
        <x:v>0.95</x:v>
      </x:c>
      <x:c r="AW1202" s="604" t="n">
        <x:v>46301.03159395833</x:v>
      </x:c>
      <x:c r="AX1202" s="604" t="inlineStr">
        <x:is>
          <x:t xml:space="preserve">https://simondongxiao.github.io/odds/v4/</x:t>
        </x:is>
      </x:c>
      <x:c r="AY1202" s="604" t="inlineStr">
        <x:is>
          <x:t xml:space="preserve">V4 Shadow Only；real_money=false；P(EV&gt;0)不是比赛胜率</x:t>
        </x:is>
      </x:c>
    </x:row>
    <x:row r="1203" ht="22" customHeight="1">
      <x:c r="A1203" s="604" t="inlineStr">
        <x:is>
          <x:t xml:space="preserve">2026-10-06</x:t>
        </x:is>
      </x:c>
      <x:c r="B1203" s="604" t="inlineStr">
        <x:is>
          <x:t xml:space="preserve">2026-10-07 02:45</x:t>
        </x:is>
      </x:c>
      <x:c r="C1203" s="604" t="str">
        <x:v>五大联赛非顶级联赛</x:v>
      </x:c>
      <x:c r="D1203" s="604" t="inlineStr">
        <x:is>
          <x:t xml:space="preserve">联赛</x:t>
        </x:is>
      </x:c>
      <x:c r="E1203" s="604" t="inlineStr">
        <x:is>
          <x:t xml:space="preserve">英北超</x:t>
        </x:is>
      </x:c>
      <x:c r="F1203" s="604" t="inlineStr">
        <x:is>
          <x:t xml:space="preserve">伊肯斯顿城 vs 吉英瑟莱</x:t>
        </x:is>
      </x:c>
      <x:c r="G1203" s="604" t="n">
        <x:v>0.88</x:v>
      </x:c>
      <x:c r="H1203" s="604" t="n">
        <x:v>-0.5</x:v>
      </x:c>
      <x:c r="I1203" s="604" t="n">
        <x:v>0.93</x:v>
      </x:c>
      <x:c r="J1203" s="604" t="inlineStr">
        <x:is>
          <x:t xml:space="preserve">0.88/-0.5/0.93</x:t>
        </x:is>
      </x:c>
      <x:c r="K1203" s="604" t="inlineStr">
        <x:is>
          <x:t xml:space="preserve">V4-B｜EV +0.5058</x:t>
        </x:is>
      </x:c>
      <x:c r="L1203" s="604" t="inlineStr">
        <x:is>
          <x:t xml:space="preserve">伊肯斯顿城</x:t>
        </x:is>
      </x:c>
      <x:c r="M1203" s="604" t="n">
        <x:v>0.8009804461899575</x:v>
      </x:c>
      <x:c r="N1203" s="604" t="inlineStr">
        <x:is>
          <x:t xml:space="preserve">V4纸面入选-B</x:t>
        </x:is>
      </x:c>
      <x:c r="O1203" s="604" t="inlineStr">
        <x:is>
          <x:t xml:space="preserve">0-2</x:t>
        </x:is>
      </x:c>
      <x:c r="P1203" s="604" t="inlineStr">
        <x:is>
          <x:t xml:space="preserve">已结算</x:t>
        </x:is>
      </x:c>
      <x:c r="Q1203" s="646" t="inlineStr">
        <x:is>
          <x:t xml:space="preserve">黑</x:t>
        </x:is>
      </x:c>
      <x:c r="R1203" s="604" t="n">
        <x:v>0.88</x:v>
      </x:c>
      <x:c r="S1203" s="604" t="n">
        <x:f>IF(OR(Q1203="",Q1203="待结算"),"",IF(Q1203="红",R1203,IF(Q1203="半红",R1203*0.5,IF(Q1203="走",0,IF(Q1203="半黑",-0.5,-1)))))</x:f>
        <x:v>-1</x:v>
      </x:c>
      <x:c r="T1203" s="604" t="inlineStr">
        <x:is>
          <x:t xml:space="preserve">https://m.titan007.com/analy/Analysis/3044681.htm</x:t>
        </x:is>
      </x:c>
      <x:c r="U1203" s="645" t="str">
        <x:f>IF(Q1203="","",IF(Q1203="待结算","待结算",IF(Q1203="红","黑",IF(Q1203="半红","半黑",IF(Q1203="走","走",IF(Q1203="半黑","半红","红"))))))</x:f>
        <x:v>红</x:v>
      </x:c>
      <x:c r="V1203" s="604" t="n">
        <x:f>IF(OR(Q1203="",Q1203="待结算"),"",IF(L1203=LEFT(F1203,FIND(" vs ",F1203)-1),I1203,G1203))</x:f>
        <x:v>0.93</x:v>
      </x:c>
      <x:c r="W1203" s="604" t="n">
        <x:f>IF(OR(U1203="",U1203="待结算"),"",IF(U1203="红",V1203,IF(U1203="半红",V1203*0.5,IF(U1203="走",0,IF(U1203="半黑",-0.5,-1)))))</x:f>
        <x:v>0.93</x:v>
      </x:c>
      <x:c r="X1203" s="604" t="inlineStr">
        <x:is>
          <x:t xml:space="preserve">3044681</x:t>
        </x:is>
      </x:c>
      <x:c r="Y1203" s="604" t="inlineStr">
        <x:is>
          <x:t xml:space="preserve">V4</x:t>
        </x:is>
      </x:c>
      <x:c r="Z1203" s="604" t="inlineStr">
        <x:is>
          <x:t xml:space="preserve">prior-2026-10-06-v1</x:t>
        </x:is>
      </x:c>
      <x:c r="AA1203" s="604" t="inlineStr">
        <x:is>
          <x:t xml:space="preserve">B</x:t>
        </x:is>
      </x:c>
      <x:c r="AB1203" s="604" t="n">
        <x:v>0.8009804461899575</x:v>
      </x:c>
      <x:c r="AC1203" s="604" t="n"/>
      <x:c r="AD1203" s="604" t="n"/>
      <x:c r="AE1203" s="604" t="n"/>
      <x:c r="AF1203" s="604" t="n">
        <x:v>0.1990195538100425</x:v>
      </x:c>
      <x:c r="AG1203" s="604" t="n">
        <x:v>0.50584323883712</x:v>
      </x:c>
      <x:c r="AH1203" s="604" t="n"/>
      <x:c r="AI1203" s="604" t="n"/>
      <x:c r="AJ1203" s="604" t="n">
        <x:v>0.50584323883712</x:v>
      </x:c>
      <x:c r="AK1203" s="604" t="n"/>
      <x:c r="AL1203" s="604" t="n"/>
      <x:c r="AM1203" s="604" t="n"/>
      <x:c r="AN1203" s="604" t="inlineStr">
        <x:is>
          <x:t xml:space="preserve">EVALUATED</x:t>
        </x:is>
      </x:c>
      <x:c r="AO1203" s="604" t="inlineStr">
        <x:is>
          <x:t xml:space="preserve">RECEIVING_VALIDATED_EDGE、BUCKET_PRIOR_ONLY、INTENT_INTERPRETATION_ONLY、FFL_OPTIONAL、EXPERT_MARKET</x:t>
        </x:is>
      </x:c>
      <x:c r="AP1203" s="604" t="inlineStr">
        <x:is>
          <x:t xml:space="preserve">ab4bba5fc1b33be79389</x:t>
        </x:is>
      </x:c>
      <x:c r="AQ1203" s="604" t="n">
        <x:v>0.5</x:v>
      </x:c>
      <x:c r="AR1203" s="604" t="n">
        <x:v>0.88</x:v>
      </x:c>
      <x:c r="AS1203" s="604" t="n">
        <x:v>-0.5</x:v>
      </x:c>
      <x:c r="AT1203" s="604" t="n">
        <x:v>0.5</x:v>
      </x:c>
      <x:c r="AU1203" s="604" t="n">
        <x:v>0.88</x:v>
      </x:c>
      <x:c r="AV1203" s="604" t="n">
        <x:v>0.93</x:v>
      </x:c>
      <x:c r="AW1203" s="604" t="n">
        <x:v>46301.03159395833</x:v>
      </x:c>
      <x:c r="AX1203" s="604" t="inlineStr">
        <x:is>
          <x:t xml:space="preserve">https://simondongxiao.github.io/odds/v4/</x:t>
        </x:is>
      </x:c>
      <x:c r="AY1203" s="604" t="inlineStr">
        <x:is>
          <x:t xml:space="preserve">V4 Shadow Only；real_money=false；P(EV&gt;0)不是比赛胜率</x:t>
        </x:is>
      </x:c>
    </x:row>
    <x:row r="1204" ht="22" customHeight="1">
      <x:c r="A1204" s="604" t="inlineStr">
        <x:is>
          <x:t xml:space="preserve">2026-10-06</x:t>
        </x:is>
      </x:c>
      <x:c r="B1204" s="604" t="inlineStr">
        <x:is>
          <x:t xml:space="preserve">2026-10-07 02:45</x:t>
        </x:is>
      </x:c>
      <x:c r="C1204" s="604" t="str">
        <x:v>五大联赛非顶级联赛</x:v>
      </x:c>
      <x:c r="D1204" s="604" t="inlineStr">
        <x:is>
          <x:t xml:space="preserve">联赛</x:t>
        </x:is>
      </x:c>
      <x:c r="E1204" s="604" t="inlineStr">
        <x:is>
          <x:t xml:space="preserve">英北超</x:t>
        </x:is>
      </x:c>
      <x:c r="F1204" s="604" t="inlineStr">
        <x:is>
          <x:t xml:space="preserve">利克镇 vs 沃灵顿瑞兰</x:t>
        </x:is>
      </x:c>
      <x:c r="G1204" s="604" t="n">
        <x:v>0.85</x:v>
      </x:c>
      <x:c r="H1204" s="604" t="n">
        <x:v>-0.25</x:v>
      </x:c>
      <x:c r="I1204" s="604" t="n">
        <x:v>0.95</x:v>
      </x:c>
      <x:c r="J1204" s="604" t="inlineStr">
        <x:is>
          <x:t xml:space="preserve">0.85/-0.25/0.95</x:t>
        </x:is>
      </x:c>
      <x:c r="K1204" s="604" t="inlineStr">
        <x:is>
          <x:t xml:space="preserve">V4-B｜EV +0.1983</x:t>
        </x:is>
      </x:c>
      <x:c r="L1204" s="604" t="inlineStr">
        <x:is>
          <x:t xml:space="preserve">利克镇</x:t>
        </x:is>
      </x:c>
      <x:c r="M1204" s="604" t="n">
        <x:v>0.6636145777990899</x:v>
      </x:c>
      <x:c r="N1204" s="604" t="inlineStr">
        <x:is>
          <x:t xml:space="preserve">V4纸面入选-B</x:t>
        </x:is>
      </x:c>
      <x:c r="O1204" s="604" t="inlineStr">
        <x:is>
          <x:t xml:space="preserve">3-3</x:t>
        </x:is>
      </x:c>
      <x:c r="P1204" s="604" t="inlineStr">
        <x:is>
          <x:t xml:space="preserve">已结算</x:t>
        </x:is>
      </x:c>
      <x:c r="Q1204" s="649" t="inlineStr">
        <x:is>
          <x:t xml:space="preserve">半红</x:t>
        </x:is>
      </x:c>
      <x:c r="R1204" s="604" t="n">
        <x:v>0.85</x:v>
      </x:c>
      <x:c r="S1204" s="604" t="n">
        <x:f>IF(OR(Q1204="",Q1204="待结算"),"",IF(Q1204="红",R1204,IF(Q1204="半红",R1204*0.5,IF(Q1204="走",0,IF(Q1204="半黑",-0.5,-1)))))</x:f>
        <x:v>0.425</x:v>
      </x:c>
      <x:c r="T1204" s="604" t="inlineStr">
        <x:is>
          <x:t xml:space="preserve">https://m.titan007.com/analy/Analysis/3044682.htm</x:t>
        </x:is>
      </x:c>
      <x:c r="U1204" s="648" t="str">
        <x:f>IF(Q1204="","",IF(Q1204="待结算","待结算",IF(Q1204="红","黑",IF(Q1204="半红","半黑",IF(Q1204="走","走",IF(Q1204="半黑","半红","红"))))))</x:f>
        <x:v>半黑</x:v>
      </x:c>
      <x:c r="V1204" s="604" t="n">
        <x:f>IF(OR(Q1204="",Q1204="待结算"),"",IF(L1204=LEFT(F1204,FIND(" vs ",F1204)-1),I1204,G1204))</x:f>
        <x:v>0.95</x:v>
      </x:c>
      <x:c r="W1204" s="604" t="n">
        <x:f>IF(OR(U1204="",U1204="待结算"),"",IF(U1204="红",V1204,IF(U1204="半红",V1204*0.5,IF(U1204="走",0,IF(U1204="半黑",-0.5,-1)))))</x:f>
        <x:v>-0.5</x:v>
      </x:c>
      <x:c r="X1204" s="604" t="inlineStr">
        <x:is>
          <x:t xml:space="preserve">3044682</x:t>
        </x:is>
      </x:c>
      <x:c r="Y1204" s="604" t="inlineStr">
        <x:is>
          <x:t xml:space="preserve">V4</x:t>
        </x:is>
      </x:c>
      <x:c r="Z1204" s="604" t="inlineStr">
        <x:is>
          <x:t xml:space="preserve">prior-2026-10-06-v1</x:t>
        </x:is>
      </x:c>
      <x:c r="AA1204" s="604" t="inlineStr">
        <x:is>
          <x:t xml:space="preserve">B</x:t>
        </x:is>
      </x:c>
      <x:c r="AB1204" s="604" t="n">
        <x:v>0.4487604870955269</x:v>
      </x:c>
      <x:c r="AC1204" s="604" t="n">
        <x:v>0.2582979177638709</x:v>
      </x:c>
      <x:c r="AD1204" s="604" t="n"/>
      <x:c r="AE1204" s="604" t="n"/>
      <x:c r="AF1204" s="604" t="n">
        <x:v>0.2929415951406022</x:v>
      </x:c>
      <x:c r="AG1204" s="604" t="n">
        <x:v>0.1982814339402408</x:v>
      </x:c>
      <x:c r="AH1204" s="604" t="n"/>
      <x:c r="AI1204" s="604" t="n"/>
      <x:c r="AJ1204" s="604" t="n">
        <x:v>0.1982814339402408</x:v>
      </x:c>
      <x:c r="AK1204" s="604" t="n"/>
      <x:c r="AL1204" s="604" t="n"/>
      <x:c r="AM1204" s="604" t="n"/>
      <x:c r="AN1204" s="604" t="inlineStr">
        <x:is>
          <x:t xml:space="preserve">EVALUATED</x:t>
        </x:is>
      </x:c>
      <x:c r="AO1204" s="604" t="inlineStr">
        <x:is>
          <x:t xml:space="preserve">RECEIVING_VALIDATED_EDGE、BUCKET_PRIOR_ONLY、INTENT_INTERPRETATION_ONLY、FFL_OPTIONAL、EXPERT_MARKET</x:t>
        </x:is>
      </x:c>
      <x:c r="AP1204" s="604" t="inlineStr">
        <x:is>
          <x:t xml:space="preserve">8fbc51d980a2c6475ab8</x:t>
        </x:is>
      </x:c>
      <x:c r="AQ1204" s="604" t="n">
        <x:v>0.25</x:v>
      </x:c>
      <x:c r="AR1204" s="604" t="n">
        <x:v>0.85</x:v>
      </x:c>
      <x:c r="AS1204" s="604" t="n">
        <x:v>-0.25</x:v>
      </x:c>
      <x:c r="AT1204" s="604" t="n">
        <x:v>0.25</x:v>
      </x:c>
      <x:c r="AU1204" s="604" t="n">
        <x:v>0.85</x:v>
      </x:c>
      <x:c r="AV1204" s="604" t="n">
        <x:v>0.95</x:v>
      </x:c>
      <x:c r="AW1204" s="604" t="n">
        <x:v>46301.03159395833</x:v>
      </x:c>
      <x:c r="AX1204" s="604" t="inlineStr">
        <x:is>
          <x:t xml:space="preserve">https://simondongxiao.github.io/odds/v4/</x:t>
        </x:is>
      </x:c>
      <x:c r="AY1204" s="604" t="inlineStr">
        <x:is>
          <x:t xml:space="preserve">V4 Shadow Only；real_money=false；P(EV&gt;0)不是比赛胜率</x:t>
        </x:is>
      </x:c>
    </x:row>
    <x:row r="1205" ht="22" customHeight="1">
      <x:c r="A1205" s="604" t="inlineStr">
        <x:is>
          <x:t xml:space="preserve">2026-10-06</x:t>
        </x:is>
      </x:c>
      <x:c r="B1205" s="604" t="inlineStr">
        <x:is>
          <x:t xml:space="preserve">2026-10-07 02:45</x:t>
        </x:is>
      </x:c>
      <x:c r="C1205" s="604" t="str">
        <x:v>五大联赛非顶级联赛</x:v>
      </x:c>
      <x:c r="D1205" s="604" t="inlineStr">
        <x:is>
          <x:t xml:space="preserve">联赛</x:t>
        </x:is>
      </x:c>
      <x:c r="E1205" s="604" t="inlineStr">
        <x:is>
          <x:t xml:space="preserve">英北超</x:t>
        </x:is>
      </x:c>
      <x:c r="F1205" s="604" t="inlineStr">
        <x:is>
          <x:t xml:space="preserve">斯托克顿镇 vs 伯利</x:t>
        </x:is>
      </x:c>
      <x:c r="G1205" s="604" t="n">
        <x:v>0.83</x:v>
      </x:c>
      <x:c r="H1205" s="604" t="n">
        <x:v>-0.75</x:v>
      </x:c>
      <x:c r="I1205" s="604" t="n">
        <x:v>0.98</x:v>
      </x:c>
      <x:c r="J1205" s="604" t="inlineStr">
        <x:is>
          <x:t xml:space="preserve">0.83/-0.75/0.98</x:t>
        </x:is>
      </x:c>
      <x:c r="K1205" s="604" t="inlineStr">
        <x:is>
          <x:t xml:space="preserve">V4-B｜EV +0.5635</x:t>
        </x:is>
      </x:c>
      <x:c r="L1205" s="604" t="inlineStr">
        <x:is>
          <x:t xml:space="preserve">斯托克顿镇</x:t>
        </x:is>
      </x:c>
      <x:c r="M1205" s="604" t="n">
        <x:v>0.87444155522835</x:v>
      </x:c>
      <x:c r="N1205" s="604" t="inlineStr">
        <x:is>
          <x:t xml:space="preserve">V4纸面入选-B</x:t>
        </x:is>
      </x:c>
      <x:c r="O1205" s="604" t="inlineStr">
        <x:is>
          <x:t xml:space="preserve">1-0</x:t>
        </x:is>
      </x:c>
      <x:c r="P1205" s="604" t="inlineStr">
        <x:is>
          <x:t xml:space="preserve">已结算</x:t>
        </x:is>
      </x:c>
      <x:c r="Q1205" s="645" t="inlineStr">
        <x:is>
          <x:t xml:space="preserve">红</x:t>
        </x:is>
      </x:c>
      <x:c r="R1205" s="604" t="n">
        <x:v>0.83</x:v>
      </x:c>
      <x:c r="S1205" s="604" t="n">
        <x:f>IF(OR(Q1205="",Q1205="待结算"),"",IF(Q1205="红",R1205,IF(Q1205="半红",R1205*0.5,IF(Q1205="走",0,IF(Q1205="半黑",-0.5,-1)))))</x:f>
        <x:v>0.83</x:v>
      </x:c>
      <x:c r="T1205" s="604" t="inlineStr">
        <x:is>
          <x:t xml:space="preserve">https://m.titan007.com/analy/Analysis/3044684.htm</x:t>
        </x:is>
      </x:c>
      <x:c r="U1205" s="646" t="str">
        <x:f>IF(Q1205="","",IF(Q1205="待结算","待结算",IF(Q1205="红","黑",IF(Q1205="半红","半黑",IF(Q1205="走","走",IF(Q1205="半黑","半红","红"))))))</x:f>
        <x:v>黑</x:v>
      </x:c>
      <x:c r="V1205" s="604" t="n">
        <x:f>IF(OR(Q1205="",Q1205="待结算"),"",IF(L1205=LEFT(F1205,FIND(" vs ",F1205)-1),I1205,G1205))</x:f>
        <x:v>0.98</x:v>
      </x:c>
      <x:c r="W1205" s="604" t="n">
        <x:f>IF(OR(U1205="",U1205="待结算"),"",IF(U1205="红",V1205,IF(U1205="半红",V1205*0.5,IF(U1205="走",0,IF(U1205="半黑",-0.5,-1)))))</x:f>
        <x:v>-1</x:v>
      </x:c>
      <x:c r="X1205" s="604" t="inlineStr">
        <x:is>
          <x:t xml:space="preserve">3044684</x:t>
        </x:is>
      </x:c>
      <x:c r="Y1205" s="604" t="inlineStr">
        <x:is>
          <x:t xml:space="preserve">V4</x:t>
        </x:is>
      </x:c>
      <x:c r="Z1205" s="604" t="inlineStr">
        <x:is>
          <x:t xml:space="preserve">prior-2026-10-06-v1</x:t>
        </x:is>
      </x:c>
      <x:c r="AA1205" s="604" t="inlineStr">
        <x:is>
          <x:t xml:space="preserve">B</x:t>
        </x:is>
      </x:c>
      <x:c r="AB1205" s="604" t="n">
        <x:v>0.8208643606493272</x:v>
      </x:c>
      <x:c r="AC1205" s="604" t="n"/>
      <x:c r="AD1205" s="604" t="n"/>
      <x:c r="AE1205" s="604" t="n">
        <x:v>0.1225403670689729</x:v>
      </x:c>
      <x:c r="AF1205" s="604" t="n">
        <x:v>0.05659527228169989</x:v>
      </x:c>
      <x:c r="AG1205" s="604" t="n">
        <x:v>0.5634519635227552</x:v>
      </x:c>
      <x:c r="AH1205" s="604" t="n"/>
      <x:c r="AI1205" s="604" t="n"/>
      <x:c r="AJ1205" s="604" t="n">
        <x:v>0.5634519635227552</x:v>
      </x:c>
      <x:c r="AK1205" s="604" t="n"/>
      <x:c r="AL1205" s="604" t="n"/>
      <x:c r="AM1205" s="604" t="n"/>
      <x:c r="AN1205" s="604" t="inlineStr">
        <x:is>
          <x:t xml:space="preserve">EVALUATED</x:t>
        </x:is>
      </x:c>
      <x:c r="AO1205" s="604" t="inlineStr">
        <x:is>
          <x:t xml:space="preserve">RECEIVING_VALIDATED_EDGE、BUCKET_PRIOR_ONLY、INTENT_INTERPRETATION_ONLY、FFL_OPTIONAL、EXPERT_MARKET</x:t>
        </x:is>
      </x:c>
      <x:c r="AP1205" s="604" t="inlineStr">
        <x:is>
          <x:t xml:space="preserve">70ff6e3dc986cac69eda</x:t>
        </x:is>
      </x:c>
      <x:c r="AQ1205" s="604" t="n">
        <x:v>0.75</x:v>
      </x:c>
      <x:c r="AR1205" s="604" t="n">
        <x:v>0.83</x:v>
      </x:c>
      <x:c r="AS1205" s="604" t="n">
        <x:v>-0.75</x:v>
      </x:c>
      <x:c r="AT1205" s="604" t="n">
        <x:v>0.75</x:v>
      </x:c>
      <x:c r="AU1205" s="604" t="n">
        <x:v>0.83</x:v>
      </x:c>
      <x:c r="AV1205" s="604" t="n">
        <x:v>0.98</x:v>
      </x:c>
      <x:c r="AW1205" s="604" t="n">
        <x:v>46301.03159395833</x:v>
      </x:c>
      <x:c r="AX1205" s="604" t="inlineStr">
        <x:is>
          <x:t xml:space="preserve">https://simondongxiao.github.io/odds/v4/</x:t>
        </x:is>
      </x:c>
      <x:c r="AY1205" s="604" t="inlineStr">
        <x:is>
          <x:t xml:space="preserve">V4 Shadow Only；real_money=false；P(EV&gt;0)不是比赛胜率</x:t>
        </x:is>
      </x:c>
    </x:row>
    <x:row r="1206" ht="22" customHeight="1">
      <x:c r="A1206" s="604" t="inlineStr">
        <x:is>
          <x:t xml:space="preserve">2026-10-06</x:t>
        </x:is>
      </x:c>
      <x:c r="B1206" s="604" t="inlineStr">
        <x:is>
          <x:t xml:space="preserve">2026-10-07 02:45</x:t>
        </x:is>
      </x:c>
      <x:c r="C1206" s="604" t="str">
        <x:v>五大联赛非顶级联赛</x:v>
      </x:c>
      <x:c r="D1206" s="604" t="inlineStr">
        <x:is>
          <x:t xml:space="preserve">联赛</x:t>
        </x:is>
      </x:c>
      <x:c r="E1206" s="604" t="inlineStr">
        <x:is>
          <x:t xml:space="preserve">英北超</x:t>
        </x:is>
      </x:c>
      <x:c r="F1206" s="604" t="inlineStr">
        <x:is>
          <x:t xml:space="preserve">威特比 vs 根斯堡</x:t>
        </x:is>
      </x:c>
      <x:c r="G1206" s="604" t="n">
        <x:v>0.93</x:v>
      </x:c>
      <x:c r="H1206" s="604" t="n">
        <x:v>-0.5</x:v>
      </x:c>
      <x:c r="I1206" s="604" t="n">
        <x:v>0.88</x:v>
      </x:c>
      <x:c r="J1206" s="604" t="inlineStr">
        <x:is>
          <x:t xml:space="preserve">0.93/-0.5/0.88</x:t>
        </x:is>
      </x:c>
      <x:c r="K1206" s="604" t="inlineStr">
        <x:is>
          <x:t xml:space="preserve">V4-B｜EV +0.5519</x:t>
        </x:is>
      </x:c>
      <x:c r="L1206" s="604" t="inlineStr">
        <x:is>
          <x:t xml:space="preserve">威特比</x:t>
        </x:is>
      </x:c>
      <x:c r="M1206" s="604" t="n">
        <x:v>0.8040844776249151</x:v>
      </x:c>
      <x:c r="N1206" s="604" t="inlineStr">
        <x:is>
          <x:t xml:space="preserve">V4纸面入选-B</x:t>
        </x:is>
      </x:c>
      <x:c r="O1206" s="604" t="inlineStr">
        <x:is>
          <x:t xml:space="preserve">2-6</x:t>
        </x:is>
      </x:c>
      <x:c r="P1206" s="604" t="inlineStr">
        <x:is>
          <x:t xml:space="preserve">已结算</x:t>
        </x:is>
      </x:c>
      <x:c r="Q1206" s="646" t="inlineStr">
        <x:is>
          <x:t xml:space="preserve">黑</x:t>
        </x:is>
      </x:c>
      <x:c r="R1206" s="604" t="n">
        <x:v>0.93</x:v>
      </x:c>
      <x:c r="S1206" s="604" t="n">
        <x:f>IF(OR(Q1206="",Q1206="待结算"),"",IF(Q1206="红",R1206,IF(Q1206="半红",R1206*0.5,IF(Q1206="走",0,IF(Q1206="半黑",-0.5,-1)))))</x:f>
        <x:v>-1</x:v>
      </x:c>
      <x:c r="T1206" s="604" t="inlineStr">
        <x:is>
          <x:t xml:space="preserve">https://m.titan007.com/analy/Analysis/3044686.htm</x:t>
        </x:is>
      </x:c>
      <x:c r="U1206" s="645" t="str">
        <x:f>IF(Q1206="","",IF(Q1206="待结算","待结算",IF(Q1206="红","黑",IF(Q1206="半红","半黑",IF(Q1206="走","走",IF(Q1206="半黑","半红","红"))))))</x:f>
        <x:v>红</x:v>
      </x:c>
      <x:c r="V1206" s="604" t="n">
        <x:f>IF(OR(Q1206="",Q1206="待结算"),"",IF(L1206=LEFT(F1206,FIND(" vs ",F1206)-1),I1206,G1206))</x:f>
        <x:v>0.88</x:v>
      </x:c>
      <x:c r="W1206" s="604" t="n">
        <x:f>IF(OR(U1206="",U1206="待结算"),"",IF(U1206="红",V1206,IF(U1206="半红",V1206*0.5,IF(U1206="走",0,IF(U1206="半黑",-0.5,-1)))))</x:f>
        <x:v>0.88</x:v>
      </x:c>
      <x:c r="X1206" s="604" t="inlineStr">
        <x:is>
          <x:t xml:space="preserve">3044686</x:t>
        </x:is>
      </x:c>
      <x:c r="Y1206" s="604" t="inlineStr">
        <x:is>
          <x:t xml:space="preserve">V4</x:t>
        </x:is>
      </x:c>
      <x:c r="Z1206" s="604" t="inlineStr">
        <x:is>
          <x:t xml:space="preserve">prior-2026-10-06-v1</x:t>
        </x:is>
      </x:c>
      <x:c r="AA1206" s="604" t="inlineStr">
        <x:is>
          <x:t xml:space="preserve">B</x:t>
        </x:is>
      </x:c>
      <x:c r="AB1206" s="604" t="n">
        <x:v>0.8040844776249151</x:v>
      </x:c>
      <x:c r="AC1206" s="604" t="n"/>
      <x:c r="AD1206" s="604" t="n"/>
      <x:c r="AE1206" s="604" t="n"/>
      <x:c r="AF1206" s="604" t="n">
        <x:v>0.1959155223750849</x:v>
      </x:c>
      <x:c r="AG1206" s="604" t="n">
        <x:v>0.5518830418160862</x:v>
      </x:c>
      <x:c r="AH1206" s="604" t="n"/>
      <x:c r="AI1206" s="604" t="n"/>
      <x:c r="AJ1206" s="604" t="n">
        <x:v>0.5518830418160862</x:v>
      </x:c>
      <x:c r="AK1206" s="604" t="n"/>
      <x:c r="AL1206" s="604" t="n"/>
      <x:c r="AM1206" s="604" t="n"/>
      <x:c r="AN1206" s="604" t="inlineStr">
        <x:is>
          <x:t xml:space="preserve">EVALUATED</x:t>
        </x:is>
      </x:c>
      <x:c r="AO1206" s="604" t="inlineStr">
        <x:is>
          <x:t xml:space="preserve">RECEIVING_VALIDATED_EDGE、BUCKET_PRIOR_ONLY、INTENT_INTERPRETATION_ONLY、FFL_OPTIONAL、EXPERT_MARKET</x:t>
        </x:is>
      </x:c>
      <x:c r="AP1206" s="604" t="inlineStr">
        <x:is>
          <x:t xml:space="preserve">2c92efd3466a5b0afa27</x:t>
        </x:is>
      </x:c>
      <x:c r="AQ1206" s="604" t="n">
        <x:v>0.5</x:v>
      </x:c>
      <x:c r="AR1206" s="604" t="n">
        <x:v>0.93</x:v>
      </x:c>
      <x:c r="AS1206" s="604" t="n">
        <x:v>-0.5</x:v>
      </x:c>
      <x:c r="AT1206" s="604" t="n">
        <x:v>0.5</x:v>
      </x:c>
      <x:c r="AU1206" s="604" t="n">
        <x:v>0.93</x:v>
      </x:c>
      <x:c r="AV1206" s="604" t="n">
        <x:v>0.88</x:v>
      </x:c>
      <x:c r="AW1206" s="604" t="n">
        <x:v>46301.03159395833</x:v>
      </x:c>
      <x:c r="AX1206" s="604" t="inlineStr">
        <x:is>
          <x:t xml:space="preserve">https://simondongxiao.github.io/odds/v4/</x:t>
        </x:is>
      </x:c>
      <x:c r="AY1206" s="604" t="inlineStr">
        <x:is>
          <x:t xml:space="preserve">V4 Shadow Only；real_money=false；P(EV&gt;0)不是比赛胜率</x:t>
        </x:is>
      </x:c>
    </x:row>
    <x:row r="1207" ht="22" customHeight="1">
      <x:c r="A1207" s="604" t="inlineStr">
        <x:is>
          <x:t xml:space="preserve">2026-10-06</x:t>
        </x:is>
      </x:c>
      <x:c r="B1207" s="604" t="inlineStr">
        <x:is>
          <x:t xml:space="preserve">2026-10-07 02:45</x:t>
        </x:is>
      </x:c>
      <x:c r="C1207" s="604" t="str">
        <x:v>五大联赛非顶级联赛</x:v>
      </x:c>
      <x:c r="D1207" s="604" t="inlineStr">
        <x:is>
          <x:t xml:space="preserve">联赛</x:t>
        </x:is>
      </x:c>
      <x:c r="E1207" s="604" t="inlineStr">
        <x:is>
          <x:t xml:space="preserve">英北甲</x:t>
        </x:is>
      </x:c>
      <x:c r="F1207" s="604" t="inlineStr">
        <x:is>
          <x:t xml:space="preserve">巴拉福特PA vs 林肯联</x:t>
        </x:is>
      </x:c>
      <x:c r="G1207" s="604" t="n">
        <x:v>0.98</x:v>
      </x:c>
      <x:c r="H1207" s="604" t="n">
        <x:v>0</x:v>
      </x:c>
      <x:c r="I1207" s="604" t="n">
        <x:v>0.83</x:v>
      </x:c>
      <x:c r="J1207" s="604" t="inlineStr">
        <x:is>
          <x:t xml:space="preserve">0.98/0/0.83</x:t>
        </x:is>
      </x:c>
      <x:c r="K1207" s="604" t="inlineStr">
        <x:is>
          <x:t xml:space="preserve">V4-C｜EV +0.0445</x:t>
        </x:is>
      </x:c>
      <x:c r="L1207" s="604" t="str"/>
      <x:c r="M1207" s="604" t="n">
        <x:v>0.5307534933591733</x:v>
      </x:c>
      <x:c r="N1207" s="604" t="inlineStr">
        <x:is>
          <x:t xml:space="preserve">V4纸面入选-C</x:t>
        </x:is>
      </x:c>
      <x:c r="O1207" s="604" t="inlineStr">
        <x:is>
          <x:t xml:space="preserve">3-1</x:t>
        </x:is>
      </x:c>
      <x:c r="P1207" s="604" t="inlineStr">
        <x:is>
          <x:t xml:space="preserve">已结算</x:t>
        </x:is>
      </x:c>
      <x:c r="Q1207" s="645" t="inlineStr">
        <x:is>
          <x:t xml:space="preserve">红</x:t>
        </x:is>
      </x:c>
      <x:c r="R1207" s="604" t="n">
        <x:v>0.83</x:v>
      </x:c>
      <x:c r="S1207" s="604" t="n">
        <x:f>IF(OR(Q1207="",Q1207="待结算"),"",IF(Q1207="红",R1207,IF(Q1207="半红",R1207*0.5,IF(Q1207="走",0,IF(Q1207="半黑",-0.5,-1)))))</x:f>
        <x:v>0.83</x:v>
      </x:c>
      <x:c r="T1207" s="604" t="inlineStr">
        <x:is>
          <x:t xml:space="preserve">https://m.titan007.com/analy/Analysis/3099860.htm</x:t>
        </x:is>
      </x:c>
      <x:c r="U1207" s="646" t="str">
        <x:f>IF(Q1207="","",IF(Q1207="待结算","待结算",IF(Q1207="红","黑",IF(Q1207="半红","半黑",IF(Q1207="走","走",IF(Q1207="半黑","半红","红"))))))</x:f>
        <x:v>黑</x:v>
      </x:c>
      <x:c r="V1207" s="604" t="n">
        <x:f>IF(OR(Q1207="",Q1207="待结算"),"",IF(L1207=LEFT(F1207,FIND(" vs ",F1207)-1),I1207,G1207))</x:f>
        <x:v>0.98</x:v>
      </x:c>
      <x:c r="W1207" s="604" t="n">
        <x:f>IF(OR(U1207="",U1207="待结算"),"",IF(U1207="红",V1207,IF(U1207="半红",V1207*0.5,IF(U1207="走",0,IF(U1207="半黑",-0.5,-1)))))</x:f>
        <x:v>-1</x:v>
      </x:c>
      <x:c r="X1207" s="604" t="inlineStr">
        <x:is>
          <x:t xml:space="preserve">3099860</x:t>
        </x:is>
      </x:c>
      <x:c r="Y1207" s="604" t="inlineStr">
        <x:is>
          <x:t xml:space="preserve">V4</x:t>
        </x:is>
      </x:c>
      <x:c r="Z1207" s="604" t="inlineStr">
        <x:is>
          <x:t xml:space="preserve">prior-2026-10-06-v1</x:t>
        </x:is>
      </x:c>
      <x:c r="AA1207" s="604" t="inlineStr">
        <x:is>
          <x:t xml:space="preserve">C</x:t>
        </x:is>
      </x:c>
      <x:c r="AB1207" s="604" t="n">
        <x:v>0.3373779986389807</x:v>
      </x:c>
      <x:c r="AC1207" s="604" t="n">
        <x:v>0.2526539976019762</x:v>
      </x:c>
      <x:c r="AD1207" s="604" t="n"/>
      <x:c r="AE1207" s="604" t="n"/>
      <x:c r="AF1207" s="604" t="n">
        <x:v>0.4099680037590432</x:v>
      </x:c>
      <x:c r="AG1207" s="604" t="n">
        <x:v>0.04446289373212625</x:v>
      </x:c>
      <x:c r="AH1207" s="604" t="n"/>
      <x:c r="AI1207" s="604" t="n"/>
      <x:c r="AJ1207" s="604" t="n">
        <x:v>0.04446289373212625</x:v>
      </x:c>
      <x:c r="AK1207" s="604" t="n"/>
      <x:c r="AL1207" s="604" t="n"/>
      <x:c r="AM1207" s="604" t="n"/>
      <x:c r="AN1207" s="604" t="inlineStr">
        <x:is>
          <x:t xml:space="preserve">EVALUATED</x:t>
        </x:is>
      </x:c>
      <x:c r="AO1207" s="604" t="inlineStr">
        <x:is>
          <x:t xml:space="preserve">EDGE_BELOW_UNCERTAINTY_THRESHOLD、BUCKET_PRIOR_ONLY、INTENT_INTERPRETATION_ONLY、FFL_OPTIONAL、EXPERT_MARKET</x:t>
        </x:is>
      </x:c>
      <x:c r="AP1207" s="604" t="inlineStr">
        <x:is>
          <x:t xml:space="preserve">d0532ee6c20d274568e9</x:t>
        </x:is>
      </x:c>
      <x:c r="AQ1207" s="604" t="n">
        <x:v>0</x:v>
      </x:c>
      <x:c r="AR1207" s="604" t="n"/>
      <x:c r="AS1207" s="604" t="n">
        <x:v>0</x:v>
      </x:c>
      <x:c r="AT1207" s="604" t="n">
        <x:v>0</x:v>
      </x:c>
      <x:c r="AU1207" s="604" t="n">
        <x:v>0.98</x:v>
      </x:c>
      <x:c r="AV1207" s="604" t="n">
        <x:v>0.83</x:v>
      </x:c>
      <x:c r="AW1207" s="604" t="n">
        <x:v>46301.03159395833</x:v>
      </x:c>
      <x:c r="AX1207" s="604" t="inlineStr">
        <x:is>
          <x:t xml:space="preserve">https://simondongxiao.github.io/odds/v4/</x:t>
        </x:is>
      </x:c>
      <x:c r="AY1207" s="604" t="inlineStr">
        <x:is>
          <x:t xml:space="preserve">V4 Shadow Only；real_money=false；P(EV&gt;0)不是比赛胜率</x:t>
        </x:is>
      </x:c>
    </x:row>
    <x:row r="1208" ht="22" customHeight="1">
      <x:c r="A1208" s="604" t="inlineStr">
        <x:is>
          <x:t xml:space="preserve">2026-10-06</x:t>
        </x:is>
      </x:c>
      <x:c r="B1208" s="604" t="inlineStr">
        <x:is>
          <x:t xml:space="preserve">2026-10-07 02:45</x:t>
        </x:is>
      </x:c>
      <x:c r="C1208" s="604" t="str">
        <x:v>五大联赛非顶级联赛</x:v>
      </x:c>
      <x:c r="D1208" s="604" t="inlineStr">
        <x:is>
          <x:t xml:space="preserve">联赛</x:t>
        </x:is>
      </x:c>
      <x:c r="E1208" s="604" t="inlineStr">
        <x:is>
          <x:t xml:space="preserve">英北甲</x:t>
        </x:is>
      </x:c>
      <x:c r="F1208" s="604" t="inlineStr">
        <x:is>
          <x:t xml:space="preserve">伯尔德梅勒 vs 巴禾夫联</x:t>
        </x:is>
      </x:c>
      <x:c r="G1208" s="604" t="n">
        <x:v>1</x:v>
      </x:c>
      <x:c r="H1208" s="604" t="n">
        <x:v>0</x:v>
      </x:c>
      <x:c r="I1208" s="604" t="n">
        <x:v>0.8</x:v>
      </x:c>
      <x:c r="J1208" s="604" t="inlineStr">
        <x:is>
          <x:t xml:space="preserve">1/0/0.8</x:t>
        </x:is>
      </x:c>
      <x:c r="K1208" s="604" t="inlineStr">
        <x:is>
          <x:t xml:space="preserve">V4-C｜EV +0.0118</x:t>
        </x:is>
      </x:c>
      <x:c r="L1208" s="604" t="str"/>
      <x:c r="M1208" s="604" t="n">
        <x:v>0.5058792551248996</x:v>
      </x:c>
      <x:c r="N1208" s="604" t="inlineStr">
        <x:is>
          <x:t xml:space="preserve">V4纸面入选-C</x:t>
        </x:is>
      </x:c>
      <x:c r="O1208" s="604" t="inlineStr">
        <x:is>
          <x:t xml:space="preserve">1-0</x:t>
        </x:is>
      </x:c>
      <x:c r="P1208" s="604" t="inlineStr">
        <x:is>
          <x:t xml:space="preserve">已结算</x:t>
        </x:is>
      </x:c>
      <x:c r="Q1208" s="645" t="inlineStr">
        <x:is>
          <x:t xml:space="preserve">红</x:t>
        </x:is>
      </x:c>
      <x:c r="R1208" s="604" t="n">
        <x:v>0.8</x:v>
      </x:c>
      <x:c r="S1208" s="604" t="n">
        <x:f>IF(OR(Q1208="",Q1208="待结算"),"",IF(Q1208="红",R1208,IF(Q1208="半红",R1208*0.5,IF(Q1208="走",0,IF(Q1208="半黑",-0.5,-1)))))</x:f>
        <x:v>0.8</x:v>
      </x:c>
      <x:c r="T1208" s="604" t="inlineStr">
        <x:is>
          <x:t xml:space="preserve">https://m.titan007.com/analy/Analysis/3099868.htm</x:t>
        </x:is>
      </x:c>
      <x:c r="U1208" s="646" t="str">
        <x:f>IF(Q1208="","",IF(Q1208="待结算","待结算",IF(Q1208="红","黑",IF(Q1208="半红","半黑",IF(Q1208="走","走",IF(Q1208="半黑","半红","红"))))))</x:f>
        <x:v>黑</x:v>
      </x:c>
      <x:c r="V1208" s="604" t="n">
        <x:f>IF(OR(Q1208="",Q1208="待结算"),"",IF(L1208=LEFT(F1208,FIND(" vs ",F1208)-1),I1208,G1208))</x:f>
        <x:v>1</x:v>
      </x:c>
      <x:c r="W1208" s="604" t="n">
        <x:f>IF(OR(U1208="",U1208="待结算"),"",IF(U1208="红",V1208,IF(U1208="半红",V1208*0.5,IF(U1208="走",0,IF(U1208="半黑",-0.5,-1)))))</x:f>
        <x:v>-1</x:v>
      </x:c>
      <x:c r="X1208" s="604" t="inlineStr">
        <x:is>
          <x:t xml:space="preserve">3099868</x:t>
        </x:is>
      </x:c>
      <x:c r="Y1208" s="604" t="inlineStr">
        <x:is>
          <x:t xml:space="preserve">V4</x:t>
        </x:is>
      </x:c>
      <x:c r="Z1208" s="604" t="inlineStr">
        <x:is>
          <x:t xml:space="preserve">prior-2026-10-06-v1</x:t>
        </x:is>
      </x:c>
      <x:c r="AA1208" s="604" t="inlineStr">
        <x:is>
          <x:t xml:space="preserve">C</x:t>
        </x:is>
      </x:c>
      <x:c r="AB1208" s="604" t="n">
        <x:v>0.5058792551248996</x:v>
      </x:c>
      <x:c r="AC1208" s="604" t="n"/>
      <x:c r="AD1208" s="604" t="n"/>
      <x:c r="AE1208" s="604" t="n"/>
      <x:c r="AF1208" s="604" t="n">
        <x:v>0.4941207448751004</x:v>
      </x:c>
      <x:c r="AG1208" s="604" t="n">
        <x:v>0.01175851024979918</x:v>
      </x:c>
      <x:c r="AH1208" s="604" t="n"/>
      <x:c r="AI1208" s="604" t="n"/>
      <x:c r="AJ1208" s="604" t="n">
        <x:v>0.01175851024979918</x:v>
      </x:c>
      <x:c r="AK1208" s="604" t="n"/>
      <x:c r="AL1208" s="604" t="n"/>
      <x:c r="AM1208" s="604" t="n"/>
      <x:c r="AN1208" s="604" t="inlineStr">
        <x:is>
          <x:t xml:space="preserve">EVALUATED</x:t>
        </x:is>
      </x:c>
      <x:c r="AO1208" s="604" t="inlineStr">
        <x:is>
          <x:t xml:space="preserve">EDGE_BELOW_UNCERTAINTY_THRESHOLD、BUCKET_PRIOR_ONLY、INTENT_INTERPRETATION_ONLY、FFL_OPTIONAL、EXPERT_MARKET</x:t>
        </x:is>
      </x:c>
      <x:c r="AP1208" s="604" t="inlineStr">
        <x:is>
          <x:t xml:space="preserve">f75dc6f0a13fdccddc79</x:t>
        </x:is>
      </x:c>
      <x:c r="AQ1208" s="604" t="n">
        <x:v>0</x:v>
      </x:c>
      <x:c r="AR1208" s="604" t="n"/>
      <x:c r="AS1208" s="604" t="n">
        <x:v>0</x:v>
      </x:c>
      <x:c r="AT1208" s="604" t="n">
        <x:v>0</x:v>
      </x:c>
      <x:c r="AU1208" s="604" t="n">
        <x:v>1</x:v>
      </x:c>
      <x:c r="AV1208" s="604" t="n">
        <x:v>0.8</x:v>
      </x:c>
      <x:c r="AW1208" s="604" t="n">
        <x:v>46301.03159395833</x:v>
      </x:c>
      <x:c r="AX1208" s="604" t="inlineStr">
        <x:is>
          <x:t xml:space="preserve">https://simondongxiao.github.io/odds/v4/</x:t>
        </x:is>
      </x:c>
      <x:c r="AY1208" s="604" t="inlineStr">
        <x:is>
          <x:t xml:space="preserve">V4 Shadow Only；real_money=false；P(EV&gt;0)不是比赛胜率</x:t>
        </x:is>
      </x:c>
    </x:row>
    <x:row r="1209" ht="22" customHeight="1">
      <x:c r="A1209" s="604" t="inlineStr">
        <x:is>
          <x:t xml:space="preserve">2026-10-06</x:t>
        </x:is>
      </x:c>
      <x:c r="B1209" s="604" t="inlineStr">
        <x:is>
          <x:t xml:space="preserve">2026-10-07 02:45</x:t>
        </x:is>
      </x:c>
      <x:c r="C1209" s="604" t="str">
        <x:v>欧洲非五大系列</x:v>
      </x:c>
      <x:c r="D1209" s="604" t="inlineStr">
        <x:is>
          <x:t xml:space="preserve">联赛</x:t>
        </x:is>
      </x:c>
      <x:c r="E1209" s="604" t="inlineStr">
        <x:is>
          <x:t xml:space="preserve">爱尔高联</x:t>
        </x:is>
      </x:c>
      <x:c r="F1209" s="604" t="inlineStr">
        <x:is>
          <x:t xml:space="preserve">维拉FC vs CK联合</x:t>
        </x:is>
      </x:c>
      <x:c r="G1209" s="604" t="n">
        <x:v>0.85</x:v>
      </x:c>
      <x:c r="H1209" s="604" t="n">
        <x:v>0</x:v>
      </x:c>
      <x:c r="I1209" s="604" t="n">
        <x:v>0.95</x:v>
      </x:c>
      <x:c r="J1209" s="604" t="inlineStr">
        <x:is>
          <x:t xml:space="preserve">0.85/0/0.95</x:t>
        </x:is>
      </x:c>
      <x:c r="K1209" s="604" t="inlineStr">
        <x:is>
          <x:t xml:space="preserve">V4-C｜EV +0.0338</x:t>
        </x:is>
      </x:c>
      <x:c r="L1209" s="604" t="str"/>
      <x:c r="M1209" s="604" t="n">
        <x:v>0.5613858074745759</x:v>
      </x:c>
      <x:c r="N1209" s="604" t="inlineStr">
        <x:is>
          <x:t xml:space="preserve">V4纸面入选-C</x:t>
        </x:is>
      </x:c>
      <x:c r="O1209" s="604" t="inlineStr">
        <x:is>
          <x:t xml:space="preserve">4-0</x:t>
        </x:is>
      </x:c>
      <x:c r="P1209" s="604" t="inlineStr">
        <x:is>
          <x:t xml:space="preserve">已结算</x:t>
        </x:is>
      </x:c>
      <x:c r="Q1209" s="645" t="inlineStr">
        <x:is>
          <x:t xml:space="preserve">红</x:t>
        </x:is>
      </x:c>
      <x:c r="R1209" s="604" t="n">
        <x:v>0.95</x:v>
      </x:c>
      <x:c r="S1209" s="604" t="n">
        <x:f>IF(OR(Q1209="",Q1209="待结算"),"",IF(Q1209="红",R1209,IF(Q1209="半红",R1209*0.5,IF(Q1209="走",0,IF(Q1209="半黑",-0.5,-1)))))</x:f>
        <x:v>0.95</x:v>
      </x:c>
      <x:c r="T1209" s="604" t="inlineStr">
        <x:is>
          <x:t xml:space="preserve">https://m.titan007.com/analy/Analysis/3099858.htm</x:t>
        </x:is>
      </x:c>
      <x:c r="U1209" s="646" t="str">
        <x:f>IF(Q1209="","",IF(Q1209="待结算","待结算",IF(Q1209="红","黑",IF(Q1209="半红","半黑",IF(Q1209="走","走",IF(Q1209="半黑","半红","红"))))))</x:f>
        <x:v>黑</x:v>
      </x:c>
      <x:c r="V1209" s="604" t="n">
        <x:f>IF(OR(Q1209="",Q1209="待结算"),"",IF(L1209=LEFT(F1209,FIND(" vs ",F1209)-1),I1209,G1209))</x:f>
        <x:v>0.85</x:v>
      </x:c>
      <x:c r="W1209" s="604" t="n">
        <x:f>IF(OR(U1209="",U1209="待结算"),"",IF(U1209="红",V1209,IF(U1209="半红",V1209*0.5,IF(U1209="走",0,IF(U1209="半黑",-0.5,-1)))))</x:f>
        <x:v>-1</x:v>
      </x:c>
      <x:c r="X1209" s="604" t="inlineStr">
        <x:is>
          <x:t xml:space="preserve">3099858</x:t>
        </x:is>
      </x:c>
      <x:c r="Y1209" s="604" t="inlineStr">
        <x:is>
          <x:t xml:space="preserve">V4</x:t>
        </x:is>
      </x:c>
      <x:c r="Z1209" s="604" t="inlineStr">
        <x:is>
          <x:t xml:space="preserve">prior-2026-10-06-v1</x:t>
        </x:is>
      </x:c>
      <x:c r="AA1209" s="604" t="inlineStr">
        <x:is>
          <x:t xml:space="preserve">C</x:t>
        </x:is>
      </x:c>
      <x:c r="AB1209" s="604" t="n">
        <x:v>0.4913918187676084</x:v>
      </x:c>
      <x:c r="AC1209" s="604" t="n"/>
      <x:c r="AD1209" s="604" t="n"/>
      <x:c r="AE1209" s="604" t="n">
        <x:v>0.2493614472437027</x:v>
      </x:c>
      <x:c r="AF1209" s="604" t="n">
        <x:v>0.2592467339886889</x:v>
      </x:c>
      <x:c r="AG1209" s="604" t="n">
        <x:v>0.03375558834192693</x:v>
      </x:c>
      <x:c r="AH1209" s="604" t="n"/>
      <x:c r="AI1209" s="604" t="n"/>
      <x:c r="AJ1209" s="604" t="n">
        <x:v>0.03375558834192693</x:v>
      </x:c>
      <x:c r="AK1209" s="604" t="n"/>
      <x:c r="AL1209" s="604" t="n"/>
      <x:c r="AM1209" s="604" t="n"/>
      <x:c r="AN1209" s="604" t="inlineStr">
        <x:is>
          <x:t xml:space="preserve">EVALUATED</x:t>
        </x:is>
      </x:c>
      <x:c r="AO1209" s="604" t="inlineStr">
        <x:is>
          <x:t xml:space="preserve">EDGE_BELOW_UNCERTAINTY_THRESHOLD、BUCKET_PRIOR_ONLY、INTENT_INTERPRETATION_ONLY、FFL_OPTIONAL、EXPERT_MARKET</x:t>
        </x:is>
      </x:c>
      <x:c r="AP1209" s="604" t="inlineStr">
        <x:is>
          <x:t xml:space="preserve">693f789b737718d6e1d9</x:t>
        </x:is>
      </x:c>
      <x:c r="AQ1209" s="604" t="n">
        <x:v>0</x:v>
      </x:c>
      <x:c r="AR1209" s="604" t="n"/>
      <x:c r="AS1209" s="604" t="n">
        <x:v>0</x:v>
      </x:c>
      <x:c r="AT1209" s="604" t="n">
        <x:v>0</x:v>
      </x:c>
      <x:c r="AU1209" s="604" t="n">
        <x:v>0.85</x:v>
      </x:c>
      <x:c r="AV1209" s="604" t="n">
        <x:v>0.95</x:v>
      </x:c>
      <x:c r="AW1209" s="604" t="n">
        <x:v>46301.03159395833</x:v>
      </x:c>
      <x:c r="AX1209" s="604" t="inlineStr">
        <x:is>
          <x:t xml:space="preserve">https://simondongxiao.github.io/odds/v4/</x:t>
        </x:is>
      </x:c>
      <x:c r="AY1209" s="604" t="inlineStr">
        <x:is>
          <x:t xml:space="preserve">V4 Shadow Only；real_money=false；P(EV&gt;0)不是比赛胜率</x:t>
        </x:is>
      </x:c>
    </x:row>
    <x:row r="1210" ht="22" customHeight="1">
      <x:c r="A1210" s="604" t="inlineStr">
        <x:is>
          <x:t xml:space="preserve">2026-10-06</x:t>
        </x:is>
      </x:c>
      <x:c r="B1210" s="604" t="inlineStr">
        <x:is>
          <x:t xml:space="preserve">2026-10-07 03:00</x:t>
        </x:is>
      </x:c>
      <x:c r="C1210" s="604" t="str">
        <x:v>其他系列</x:v>
      </x:c>
      <x:c r="D1210" s="604" t="inlineStr">
        <x:is>
          <x:t xml:space="preserve">杯赛</x:t>
        </x:is>
      </x:c>
      <x:c r="E1210" s="604" t="inlineStr">
        <x:is>
          <x:t xml:space="preserve">非洲杯</x:t>
        </x:is>
      </x:c>
      <x:c r="F1210" s="604" t="inlineStr">
        <x:is>
          <x:t xml:space="preserve">安哥拉 vs 马拉维</x:t>
        </x:is>
      </x:c>
      <x:c r="G1210" s="604" t="n">
        <x:v>0.95</x:v>
      </x:c>
      <x:c r="H1210" s="604" t="n">
        <x:v>1.25</x:v>
      </x:c>
      <x:c r="I1210" s="604" t="n">
        <x:v>0.8100000000000001</x:v>
      </x:c>
      <x:c r="J1210" s="604" t="inlineStr">
        <x:is>
          <x:t xml:space="preserve">0.95/1.25/0.81</x:t>
        </x:is>
      </x:c>
      <x:c r="K1210" s="604" t="inlineStr">
        <x:is>
          <x:t xml:space="preserve">V4-B｜EV +0.3873</x:t>
        </x:is>
      </x:c>
      <x:c r="L1210" s="604" t="inlineStr">
        <x:is>
          <x:t xml:space="preserve">安哥拉</x:t>
        </x:is>
      </x:c>
      <x:c r="M1210" s="604" t="n">
        <x:v>0.7357454549864311</x:v>
      </x:c>
      <x:c r="N1210" s="604" t="inlineStr">
        <x:is>
          <x:t xml:space="preserve">V4纸面入选-B</x:t>
        </x:is>
      </x:c>
      <x:c r="O1210" s="604" t="inlineStr">
        <x:is>
          <x:t xml:space="preserve">3-1</x:t>
        </x:is>
      </x:c>
      <x:c r="P1210" s="604" t="inlineStr">
        <x:is>
          <x:t xml:space="preserve">已结算</x:t>
        </x:is>
      </x:c>
      <x:c r="Q1210" s="645" t="inlineStr">
        <x:is>
          <x:t xml:space="preserve">红</x:t>
        </x:is>
      </x:c>
      <x:c r="R1210" s="604" t="n">
        <x:v>0.95</x:v>
      </x:c>
      <x:c r="S1210" s="604" t="n">
        <x:f>IF(OR(Q1210="",Q1210="待结算"),"",IF(Q1210="红",R1210,IF(Q1210="半红",R1210*0.5,IF(Q1210="走",0,IF(Q1210="半黑",-0.5,-1)))))</x:f>
        <x:v>0.95</x:v>
      </x:c>
      <x:c r="T1210" s="604" t="inlineStr">
        <x:is>
          <x:t xml:space="preserve">https://m.titan007.com/analy/Analysis/3001010.htm</x:t>
        </x:is>
      </x:c>
      <x:c r="U1210" s="646" t="str">
        <x:f>IF(Q1210="","",IF(Q1210="待结算","待结算",IF(Q1210="红","黑",IF(Q1210="半红","半黑",IF(Q1210="走","走",IF(Q1210="半黑","半红","红"))))))</x:f>
        <x:v>黑</x:v>
      </x:c>
      <x:c r="V1210" s="604" t="n">
        <x:f>IF(OR(Q1210="",Q1210="待结算"),"",IF(L1210=LEFT(F1210,FIND(" vs ",F1210)-1),I1210,G1210))</x:f>
        <x:v>0.81</x:v>
      </x:c>
      <x:c r="W1210" s="604" t="n">
        <x:f>IF(OR(U1210="",U1210="待结算"),"",IF(U1210="红",V1210,IF(U1210="半红",V1210*0.5,IF(U1210="走",0,IF(U1210="半黑",-0.5,-1)))))</x:f>
        <x:v>-1</x:v>
      </x:c>
      <x:c r="X1210" s="604" t="inlineStr">
        <x:is>
          <x:t xml:space="preserve">3001010</x:t>
        </x:is>
      </x:c>
      <x:c r="Y1210" s="604" t="inlineStr">
        <x:is>
          <x:t xml:space="preserve">V4</x:t>
        </x:is>
      </x:c>
      <x:c r="Z1210" s="604" t="inlineStr">
        <x:is>
          <x:t xml:space="preserve">prior-2026-10-06-v1</x:t>
        </x:is>
      </x:c>
      <x:c r="AA1210" s="604" t="inlineStr">
        <x:is>
          <x:t xml:space="preserve">B</x:t>
        </x:is>
      </x:c>
      <x:c r="AB1210" s="604" t="n">
        <x:v>0.6554524776567966</x:v>
      </x:c>
      <x:c r="AC1210" s="604" t="n"/>
      <x:c r="AD1210" s="604" t="n"/>
      <x:c r="AE1210" s="604" t="n">
        <x:v>0.2182629244542608</x:v>
      </x:c>
      <x:c r="AF1210" s="604" t="n">
        <x:v>0.1262845978889427</x:v>
      </x:c>
      <x:c r="AG1210" s="604" t="n">
        <x:v>0.3872637936578835</x:v>
      </x:c>
      <x:c r="AH1210" s="604" t="n"/>
      <x:c r="AI1210" s="604" t="n"/>
      <x:c r="AJ1210" s="604" t="n">
        <x:v>0.3872637936578835</x:v>
      </x:c>
      <x:c r="AK1210" s="604" t="n"/>
      <x:c r="AL1210" s="604" t="n"/>
      <x:c r="AM1210" s="604" t="n"/>
      <x:c r="AN1210" s="604" t="inlineStr">
        <x:is>
          <x:t xml:space="preserve">EVALUATED</x:t>
        </x:is>
      </x:c>
      <x:c r="AO1210" s="604" t="inlineStr">
        <x:is>
          <x:t xml:space="preserve">GIVING_VALIDATED_EDGE、BUCKET_PRIOR_ONLY、INTENT_INTERPRETATION_ONLY、FFL_OPTIONAL、EXPERT_MARKET</x:t>
        </x:is>
      </x:c>
      <x:c r="AP1210" s="604" t="inlineStr">
        <x:is>
          <x:t xml:space="preserve">2ea6559ab555d356aa17</x:t>
        </x:is>
      </x:c>
      <x:c r="AQ1210" s="604" t="n">
        <x:v>-1.25</x:v>
      </x:c>
      <x:c r="AR1210" s="604" t="n">
        <x:v>0.95</x:v>
      </x:c>
      <x:c r="AS1210" s="604" t="n">
        <x:v>1.25</x:v>
      </x:c>
      <x:c r="AT1210" s="604" t="n">
        <x:v>-1.25</x:v>
      </x:c>
      <x:c r="AU1210" s="604" t="n">
        <x:v>0.95</x:v>
      </x:c>
      <x:c r="AV1210" s="604" t="n">
        <x:v>0.8100000000000001</x:v>
      </x:c>
      <x:c r="AW1210" s="604" t="n">
        <x:v>46301.03159395833</x:v>
      </x:c>
      <x:c r="AX1210" s="604" t="inlineStr">
        <x:is>
          <x:t xml:space="preserve">https://simondongxiao.github.io/odds/v4/</x:t>
        </x:is>
      </x:c>
      <x:c r="AY1210" s="604" t="inlineStr">
        <x:is>
          <x:t xml:space="preserve">V4 Shadow Only；real_money=false；P(EV&gt;0)不是比赛胜率</x:t>
        </x:is>
      </x:c>
    </x:row>
    <x:row r="1211" ht="22" customHeight="1">
      <x:c r="A1211" s="604" t="inlineStr">
        <x:is>
          <x:t xml:space="preserve">2026-10-06</x:t>
        </x:is>
      </x:c>
      <x:c r="B1211" s="604" t="inlineStr">
        <x:is>
          <x:t xml:space="preserve">2026-10-07 03:00</x:t>
        </x:is>
      </x:c>
      <x:c r="C1211" s="604" t="str">
        <x:v>南美系列</x:v>
      </x:c>
      <x:c r="D1211" s="604" t="inlineStr">
        <x:is>
          <x:t xml:space="preserve">杯赛</x:t>
        </x:is>
      </x:c>
      <x:c r="E1211" s="604" t="inlineStr">
        <x:is>
          <x:t xml:space="preserve">玻利杯</x:t>
        </x:is>
      </x:c>
      <x:c r="F1211" s="604" t="inlineStr">
        <x:is>
          <x:t xml:space="preserve">奥鲁罗 vs 皇家托马亚波</x:t>
        </x:is>
      </x:c>
      <x:c r="G1211" s="604" t="n">
        <x:v>1</x:v>
      </x:c>
      <x:c r="H1211" s="604" t="n">
        <x:v>0</x:v>
      </x:c>
      <x:c r="I1211" s="604" t="n">
        <x:v>0.8</x:v>
      </x:c>
      <x:c r="J1211" s="604" t="inlineStr">
        <x:is>
          <x:t xml:space="preserve">1/0/0.8</x:t>
        </x:is>
      </x:c>
      <x:c r="K1211" s="604" t="inlineStr">
        <x:is>
          <x:t xml:space="preserve">V4-C｜EV +0.0430</x:t>
        </x:is>
      </x:c>
      <x:c r="L1211" s="604" t="str"/>
      <x:c r="M1211" s="604" t="n">
        <x:v>0.5215088702120302</x:v>
      </x:c>
      <x:c r="N1211" s="604" t="inlineStr">
        <x:is>
          <x:t xml:space="preserve">V4纸面入选-C</x:t>
        </x:is>
      </x:c>
      <x:c r="O1211" s="604" t="inlineStr">
        <x:is>
          <x:t xml:space="preserve">4-0</x:t>
        </x:is>
      </x:c>
      <x:c r="P1211" s="604" t="inlineStr">
        <x:is>
          <x:t xml:space="preserve">已结算</x:t>
        </x:is>
      </x:c>
      <x:c r="Q1211" s="645" t="inlineStr">
        <x:is>
          <x:t xml:space="preserve">红</x:t>
        </x:is>
      </x:c>
      <x:c r="R1211" s="604" t="n">
        <x:v>0.8</x:v>
      </x:c>
      <x:c r="S1211" s="604" t="n">
        <x:f>IF(OR(Q1211="",Q1211="待结算"),"",IF(Q1211="红",R1211,IF(Q1211="半红",R1211*0.5,IF(Q1211="走",0,IF(Q1211="半黑",-0.5,-1)))))</x:f>
        <x:v>0.8</x:v>
      </x:c>
      <x:c r="T1211" s="604" t="inlineStr">
        <x:is>
          <x:t xml:space="preserve">https://m.titan007.com/analy/Analysis/3061678.htm</x:t>
        </x:is>
      </x:c>
      <x:c r="U1211" s="646" t="str">
        <x:f>IF(Q1211="","",IF(Q1211="待结算","待结算",IF(Q1211="红","黑",IF(Q1211="半红","半黑",IF(Q1211="走","走",IF(Q1211="半黑","半红","红"))))))</x:f>
        <x:v>黑</x:v>
      </x:c>
      <x:c r="V1211" s="604" t="n">
        <x:f>IF(OR(Q1211="",Q1211="待结算"),"",IF(L1211=LEFT(F1211,FIND(" vs ",F1211)-1),I1211,G1211))</x:f>
        <x:v>1</x:v>
      </x:c>
      <x:c r="W1211" s="604" t="n">
        <x:f>IF(OR(U1211="",U1211="待结算"),"",IF(U1211="红",V1211,IF(U1211="半红",V1211*0.5,IF(U1211="走",0,IF(U1211="半黑",-0.5,-1)))))</x:f>
        <x:v>-1</x:v>
      </x:c>
      <x:c r="X1211" s="604" t="inlineStr">
        <x:is>
          <x:t xml:space="preserve">3061678</x:t>
        </x:is>
      </x:c>
      <x:c r="Y1211" s="604" t="inlineStr">
        <x:is>
          <x:t xml:space="preserve">V4</x:t>
        </x:is>
      </x:c>
      <x:c r="Z1211" s="604" t="inlineStr">
        <x:is>
          <x:t xml:space="preserve">prior-2026-10-06-v1</x:t>
        </x:is>
      </x:c>
      <x:c r="AA1211" s="604" t="inlineStr">
        <x:is>
          <x:t xml:space="preserve">C</x:t>
        </x:is>
      </x:c>
      <x:c r="AB1211" s="604" t="n">
        <x:v>0.5215088702120302</x:v>
      </x:c>
      <x:c r="AC1211" s="604" t="n"/>
      <x:c r="AD1211" s="604" t="n"/>
      <x:c r="AE1211" s="604" t="n"/>
      <x:c r="AF1211" s="604" t="n">
        <x:v>0.4784911297879698</x:v>
      </x:c>
      <x:c r="AG1211" s="604" t="n">
        <x:v>0.04301774042406037</x:v>
      </x:c>
      <x:c r="AH1211" s="604" t="n"/>
      <x:c r="AI1211" s="604" t="n"/>
      <x:c r="AJ1211" s="604" t="n">
        <x:v>0.04301774042406037</x:v>
      </x:c>
      <x:c r="AK1211" s="604" t="n"/>
      <x:c r="AL1211" s="604" t="n"/>
      <x:c r="AM1211" s="604" t="n"/>
      <x:c r="AN1211" s="604" t="inlineStr">
        <x:is>
          <x:t xml:space="preserve">EVALUATED</x:t>
        </x:is>
      </x:c>
      <x:c r="AO1211" s="604" t="inlineStr">
        <x:is>
          <x:t xml:space="preserve">EDGE_BELOW_UNCERTAINTY_THRESHOLD、BUCKET_PRIOR_ONLY、INTENT_INTERPRETATION_ONLY、FFL_OPTIONAL、EXPERT_MARKET</x:t>
        </x:is>
      </x:c>
      <x:c r="AP1211" s="604" t="inlineStr">
        <x:is>
          <x:t xml:space="preserve">9a39673d485412856d1b</x:t>
        </x:is>
      </x:c>
      <x:c r="AQ1211" s="604" t="n">
        <x:v>0</x:v>
      </x:c>
      <x:c r="AR1211" s="604" t="n"/>
      <x:c r="AS1211" s="604" t="n">
        <x:v>0</x:v>
      </x:c>
      <x:c r="AT1211" s="604" t="n">
        <x:v>0</x:v>
      </x:c>
      <x:c r="AU1211" s="604" t="n">
        <x:v>1</x:v>
      </x:c>
      <x:c r="AV1211" s="604" t="n">
        <x:v>0.8</x:v>
      </x:c>
      <x:c r="AW1211" s="604" t="n">
        <x:v>46301.03159395833</x:v>
      </x:c>
      <x:c r="AX1211" s="604" t="inlineStr">
        <x:is>
          <x:t xml:space="preserve">https://simondongxiao.github.io/odds/v4/</x:t>
        </x:is>
      </x:c>
      <x:c r="AY1211" s="604" t="inlineStr">
        <x:is>
          <x:t xml:space="preserve">V4 Shadow Only；real_money=false；P(EV&gt;0)不是比赛胜率</x:t>
        </x:is>
      </x:c>
    </x:row>
    <x:row r="1212" ht="22" customHeight="1">
      <x:c r="A1212" s="604" t="inlineStr">
        <x:is>
          <x:t xml:space="preserve">2026-10-06</x:t>
        </x:is>
      </x:c>
      <x:c r="B1212" s="604" t="inlineStr">
        <x:is>
          <x:t xml:space="preserve">2026-10-07 04:00</x:t>
        </x:is>
      </x:c>
      <x:c r="C1212" s="604" t="str">
        <x:v>南美系列</x:v>
      </x:c>
      <x:c r="D1212" s="604" t="inlineStr">
        <x:is>
          <x:t xml:space="preserve">联赛</x:t>
        </x:is>
      </x:c>
      <x:c r="E1212" s="604" t="inlineStr">
        <x:is>
          <x:t xml:space="preserve">巴拉甲秋</x:t>
        </x:is>
      </x:c>
      <x:c r="F1212" s="604" t="inlineStr">
        <x:is>
          <x:t xml:space="preserve">艾美利亚诺体育 vs 鲁毕奥</x:t>
        </x:is>
      </x:c>
      <x:c r="G1212" s="604" t="n">
        <x:v>0.92</x:v>
      </x:c>
      <x:c r="H1212" s="604" t="n">
        <x:v>0</x:v>
      </x:c>
      <x:c r="I1212" s="604" t="n">
        <x:v>0.84</x:v>
      </x:c>
      <x:c r="J1212" s="604" t="inlineStr">
        <x:is>
          <x:t xml:space="preserve">0.92/0/0.84</x:t>
        </x:is>
      </x:c>
      <x:c r="K1212" s="604" t="inlineStr">
        <x:is>
          <x:t xml:space="preserve">V4-C｜EV +0.0153</x:t>
        </x:is>
      </x:c>
      <x:c r="L1212" s="604" t="str"/>
      <x:c r="M1212" s="604" t="n">
        <x:v>0.5299595236398453</x:v>
      </x:c>
      <x:c r="N1212" s="604" t="inlineStr">
        <x:is>
          <x:t xml:space="preserve">V4纸面入选-C</x:t>
        </x:is>
      </x:c>
      <x:c r="O1212" s="604" t="inlineStr">
        <x:is>
          <x:t xml:space="preserve">1-2</x:t>
        </x:is>
      </x:c>
      <x:c r="P1212" s="604" t="inlineStr">
        <x:is>
          <x:t xml:space="preserve">已结算</x:t>
        </x:is>
      </x:c>
      <x:c r="Q1212" s="646" t="inlineStr">
        <x:is>
          <x:t xml:space="preserve">黑</x:t>
        </x:is>
      </x:c>
      <x:c r="R1212" s="604" t="n">
        <x:v>0.84</x:v>
      </x:c>
      <x:c r="S1212" s="604" t="n">
        <x:f>IF(OR(Q1212="",Q1212="待结算"),"",IF(Q1212="红",R1212,IF(Q1212="半红",R1212*0.5,IF(Q1212="走",0,IF(Q1212="半黑",-0.5,-1)))))</x:f>
        <x:v>-1</x:v>
      </x:c>
      <x:c r="T1212" s="604" t="inlineStr">
        <x:is>
          <x:t xml:space="preserve">https://m.titan007.com/analy/Analysis/3074193.htm</x:t>
        </x:is>
      </x:c>
      <x:c r="U1212" s="645" t="str">
        <x:f>IF(Q1212="","",IF(Q1212="待结算","待结算",IF(Q1212="红","黑",IF(Q1212="半红","半黑",IF(Q1212="走","走",IF(Q1212="半黑","半红","红"))))))</x:f>
        <x:v>红</x:v>
      </x:c>
      <x:c r="V1212" s="604" t="n">
        <x:f>IF(OR(Q1212="",Q1212="待结算"),"",IF(L1212=LEFT(F1212,FIND(" vs ",F1212)-1),I1212,G1212))</x:f>
        <x:v>0.92</x:v>
      </x:c>
      <x:c r="W1212" s="604" t="n">
        <x:f>IF(OR(U1212="",U1212="待结算"),"",IF(U1212="红",V1212,IF(U1212="半红",V1212*0.5,IF(U1212="走",0,IF(U1212="半黑",-0.5,-1)))))</x:f>
        <x:v>0.92</x:v>
      </x:c>
      <x:c r="X1212" s="604" t="inlineStr">
        <x:is>
          <x:t xml:space="preserve">3074193</x:t>
        </x:is>
      </x:c>
      <x:c r="Y1212" s="604" t="inlineStr">
        <x:is>
          <x:t xml:space="preserve">V4</x:t>
        </x:is>
      </x:c>
      <x:c r="Z1212" s="604" t="inlineStr">
        <x:is>
          <x:t xml:space="preserve">prior-2026-10-06-v1</x:t>
        </x:is>
      </x:c>
      <x:c r="AA1212" s="604" t="inlineStr">
        <x:is>
          <x:t xml:space="preserve">C</x:t>
        </x:is>
      </x:c>
      <x:c r="AB1212" s="604" t="n">
        <x:v>0.4614344337108332</x:v>
      </x:c>
      <x:c r="AC1212" s="604" t="n"/>
      <x:c r="AD1212" s="604" t="n"/>
      <x:c r="AE1212" s="604" t="n">
        <x:v>0.2586049948055316</x:v>
      </x:c>
      <x:c r="AF1212" s="604" t="n">
        <x:v>0.2799605714836352</x:v>
      </x:c>
      <x:c r="AG1212" s="604" t="n">
        <x:v>0.01525661012756557</x:v>
      </x:c>
      <x:c r="AH1212" s="604" t="n"/>
      <x:c r="AI1212" s="604" t="n"/>
      <x:c r="AJ1212" s="604" t="n">
        <x:v>0.01525661012756557</x:v>
      </x:c>
      <x:c r="AK1212" s="604" t="n"/>
      <x:c r="AL1212" s="604" t="n"/>
      <x:c r="AM1212" s="604" t="n"/>
      <x:c r="AN1212" s="604" t="inlineStr">
        <x:is>
          <x:t xml:space="preserve">EVALUATED</x:t>
        </x:is>
      </x:c>
      <x:c r="AO1212" s="604" t="inlineStr">
        <x:is>
          <x:t xml:space="preserve">EDGE_BELOW_UNCERTAINTY_THRESHOLD、BUCKET_PRIOR_ONLY、INTENT_INTERPRETATION_ONLY、FFL_OPTIONAL、EXPERT_MARKET</x:t>
        </x:is>
      </x:c>
      <x:c r="AP1212" s="604" t="inlineStr">
        <x:is>
          <x:t xml:space="preserve">38c7be9d6fc6117e3795</x:t>
        </x:is>
      </x:c>
      <x:c r="AQ1212" s="604" t="n">
        <x:v>0</x:v>
      </x:c>
      <x:c r="AR1212" s="604" t="n"/>
      <x:c r="AS1212" s="604" t="n">
        <x:v>0</x:v>
      </x:c>
      <x:c r="AT1212" s="604" t="n">
        <x:v>0</x:v>
      </x:c>
      <x:c r="AU1212" s="604" t="n">
        <x:v>0.92</x:v>
      </x:c>
      <x:c r="AV1212" s="604" t="n">
        <x:v>0.84</x:v>
      </x:c>
      <x:c r="AW1212" s="604" t="n">
        <x:v>46301.03159395833</x:v>
      </x:c>
      <x:c r="AX1212" s="604" t="inlineStr">
        <x:is>
          <x:t xml:space="preserve">https://simondongxiao.github.io/odds/v4/</x:t>
        </x:is>
      </x:c>
      <x:c r="AY1212" s="604" t="inlineStr">
        <x:is>
          <x:t xml:space="preserve">V4 Shadow Only；real_money=false；P(EV&gt;0)不是比赛胜率</x:t>
        </x:is>
      </x:c>
    </x:row>
    <x:row r="1213" ht="22" customHeight="1">
      <x:c r="A1213" s="604" t="inlineStr">
        <x:is>
          <x:t xml:space="preserve">2026-10-06</x:t>
        </x:is>
      </x:c>
      <x:c r="B1213" s="604" t="inlineStr">
        <x:is>
          <x:t xml:space="preserve">2026-10-07 04:00</x:t>
        </x:is>
      </x:c>
      <x:c r="C1213" s="604" t="str">
        <x:v>北美系列</x:v>
      </x:c>
      <x:c r="D1213" s="604" t="inlineStr">
        <x:is>
          <x:t xml:space="preserve">联赛</x:t>
        </x:is>
      </x:c>
      <x:c r="E1213" s="604" t="inlineStr">
        <x:is>
          <x:t xml:space="preserve">中北美国联</x:t>
        </x:is>
      </x:c>
      <x:c r="F1213" s="604" t="inlineStr">
        <x:is>
          <x:t xml:space="preserve">蒙特塞拉特 vs 特克斯和凯科斯群岛</x:t>
        </x:is>
      </x:c>
      <x:c r="G1213" s="604" t="n">
        <x:v>0.97</x:v>
      </x:c>
      <x:c r="H1213" s="604" t="n">
        <x:v>2</x:v>
      </x:c>
      <x:c r="I1213" s="604" t="n">
        <x:v>0.73</x:v>
      </x:c>
      <x:c r="J1213" s="604" t="inlineStr">
        <x:is>
          <x:t xml:space="preserve">0.97/2/0.73</x:t>
        </x:is>
      </x:c>
      <x:c r="K1213" s="604" t="inlineStr">
        <x:is>
          <x:t xml:space="preserve">V4-B｜EV +0.2773</x:t>
        </x:is>
      </x:c>
      <x:c r="L1213" s="604" t="inlineStr">
        <x:is>
          <x:t xml:space="preserve">蒙特塞拉特</x:t>
        </x:is>
      </x:c>
      <x:c r="M1213" s="604" t="n">
        <x:v>0.6909645522128774</x:v>
      </x:c>
      <x:c r="N1213" s="604" t="inlineStr">
        <x:is>
          <x:t xml:space="preserve">V4纸面入选-B</x:t>
        </x:is>
      </x:c>
      <x:c r="O1213" s="604" t="inlineStr">
        <x:is>
          <x:t xml:space="preserve">4-1</x:t>
        </x:is>
      </x:c>
      <x:c r="P1213" s="604" t="inlineStr">
        <x:is>
          <x:t xml:space="preserve">已结算</x:t>
        </x:is>
      </x:c>
      <x:c r="Q1213" s="645" t="inlineStr">
        <x:is>
          <x:t xml:space="preserve">红</x:t>
        </x:is>
      </x:c>
      <x:c r="R1213" s="604" t="n">
        <x:v>0.97</x:v>
      </x:c>
      <x:c r="S1213" s="604" t="n">
        <x:f>IF(OR(Q1213="",Q1213="待结算"),"",IF(Q1213="红",R1213,IF(Q1213="半红",R1213*0.5,IF(Q1213="走",0,IF(Q1213="半黑",-0.5,-1)))))</x:f>
        <x:v>0.97</x:v>
      </x:c>
      <x:c r="T1213" s="604" t="inlineStr">
        <x:is>
          <x:t xml:space="preserve">https://m.titan007.com/analy/Analysis/3092501.htm</x:t>
        </x:is>
      </x:c>
      <x:c r="U1213" s="646" t="str">
        <x:f>IF(Q1213="","",IF(Q1213="待结算","待结算",IF(Q1213="红","黑",IF(Q1213="半红","半黑",IF(Q1213="走","走",IF(Q1213="半黑","半红","红"))))))</x:f>
        <x:v>黑</x:v>
      </x:c>
      <x:c r="V1213" s="604" t="n">
        <x:f>IF(OR(Q1213="",Q1213="待结算"),"",IF(L1213=LEFT(F1213,FIND(" vs ",F1213)-1),I1213,G1213))</x:f>
        <x:v>0.73</x:v>
      </x:c>
      <x:c r="W1213" s="604" t="n">
        <x:f>IF(OR(U1213="",U1213="待结算"),"",IF(U1213="红",V1213,IF(U1213="半红",V1213*0.5,IF(U1213="走",0,IF(U1213="半黑",-0.5,-1)))))</x:f>
        <x:v>-1</x:v>
      </x:c>
      <x:c r="X1213" s="604" t="inlineStr">
        <x:is>
          <x:t xml:space="preserve">3092501</x:t>
        </x:is>
      </x:c>
      <x:c r="Y1213" s="604" t="inlineStr">
        <x:is>
          <x:t xml:space="preserve">V4</x:t>
        </x:is>
      </x:c>
      <x:c r="Z1213" s="604" t="inlineStr">
        <x:is>
          <x:t xml:space="preserve">prior-2026-10-06-v1</x:t>
        </x:is>
      </x:c>
      <x:c r="AA1213" s="604" t="inlineStr">
        <x:is>
          <x:t xml:space="preserve">B</x:t>
        </x:is>
      </x:c>
      <x:c r="AB1213" s="604" t="n">
        <x:v>0.5304363714275546</x:v>
      </x:c>
      <x:c r="AC1213" s="604" t="n"/>
      <x:c r="AD1213" s="604" t="n">
        <x:v>0.2323247701654398</x:v>
      </x:c>
      <x:c r="AE1213" s="604" t="n"/>
      <x:c r="AF1213" s="604" t="n">
        <x:v>0.2372388584070055</x:v>
      </x:c>
      <x:c r="AG1213" s="604" t="n">
        <x:v>0.2772844218777224</x:v>
      </x:c>
      <x:c r="AH1213" s="604" t="n"/>
      <x:c r="AI1213" s="604" t="n"/>
      <x:c r="AJ1213" s="604" t="n">
        <x:v>0.2772844218777224</x:v>
      </x:c>
      <x:c r="AK1213" s="604" t="n"/>
      <x:c r="AL1213" s="604" t="n"/>
      <x:c r="AM1213" s="604" t="n"/>
      <x:c r="AN1213" s="604" t="inlineStr">
        <x:is>
          <x:t xml:space="preserve">EVALUATED</x:t>
        </x:is>
      </x:c>
      <x:c r="AO1213" s="604" t="inlineStr">
        <x:is>
          <x:t xml:space="preserve">GIVING_VALIDATED_EDGE、BUCKET_PRIOR_ONLY、INTENT_INTERPRETATION_ONLY、FFL_OPTIONAL、EXPERT_MARKET</x:t>
        </x:is>
      </x:c>
      <x:c r="AP1213" s="604" t="inlineStr">
        <x:is>
          <x:t xml:space="preserve">a095bd1c89dcdc7575fc</x:t>
        </x:is>
      </x:c>
      <x:c r="AQ1213" s="604" t="n">
        <x:v>-2</x:v>
      </x:c>
      <x:c r="AR1213" s="604" t="n">
        <x:v>0.97</x:v>
      </x:c>
      <x:c r="AS1213" s="604" t="n">
        <x:v>2</x:v>
      </x:c>
      <x:c r="AT1213" s="604" t="n">
        <x:v>-2</x:v>
      </x:c>
      <x:c r="AU1213" s="604" t="n">
        <x:v>0.97</x:v>
      </x:c>
      <x:c r="AV1213" s="604" t="n">
        <x:v>0.73</x:v>
      </x:c>
      <x:c r="AW1213" s="604" t="n">
        <x:v>46301.03159395833</x:v>
      </x:c>
      <x:c r="AX1213" s="604" t="inlineStr">
        <x:is>
          <x:t xml:space="preserve">https://simondongxiao.github.io/odds/v4/</x:t>
        </x:is>
      </x:c>
      <x:c r="AY1213" s="604" t="inlineStr">
        <x:is>
          <x:t xml:space="preserve">V4 Shadow Only；real_money=false；P(EV&gt;0)不是比赛胜率</x:t>
        </x:is>
      </x:c>
    </x:row>
    <x:row r="1214" ht="22" customHeight="1">
      <x:c r="A1214" s="604" t="inlineStr">
        <x:is>
          <x:t xml:space="preserve">2026-10-06</x:t>
        </x:is>
      </x:c>
      <x:c r="B1214" s="604" t="inlineStr">
        <x:is>
          <x:t xml:space="preserve">2026-10-07 04:00</x:t>
        </x:is>
      </x:c>
      <x:c r="C1214" s="604" t="str">
        <x:v>北美系列</x:v>
      </x:c>
      <x:c r="D1214" s="604" t="inlineStr">
        <x:is>
          <x:t xml:space="preserve">联赛</x:t>
        </x:is>
      </x:c>
      <x:c r="E1214" s="604" t="inlineStr">
        <x:is>
          <x:t xml:space="preserve">中北美国联</x:t>
        </x:is>
      </x:c>
      <x:c r="F1214" s="604" t="inlineStr">
        <x:is>
          <x:t xml:space="preserve">法属圣马丁岛 vs 巴哈马</x:t>
        </x:is>
      </x:c>
      <x:c r="G1214" s="604" t="n">
        <x:v>0.85</x:v>
      </x:c>
      <x:c r="H1214" s="604" t="n">
        <x:v>4.25</x:v>
      </x:c>
      <x:c r="I1214" s="604" t="n">
        <x:v>0.85</x:v>
      </x:c>
      <x:c r="J1214" s="604" t="inlineStr">
        <x:is>
          <x:t xml:space="preserve">0.85/4.25/0.85</x:t>
        </x:is>
      </x:c>
      <x:c r="K1214" s="604" t="inlineStr">
        <x:is>
          <x:t xml:space="preserve">V4-B｜EV +0.4034</x:t>
        </x:is>
      </x:c>
      <x:c r="L1214" s="604" t="inlineStr">
        <x:is>
          <x:t xml:space="preserve">巴哈马</x:t>
        </x:is>
      </x:c>
      <x:c r="M1214" s="604" t="n">
        <x:v>0.7789937696424711</x:v>
      </x:c>
      <x:c r="N1214" s="604" t="inlineStr">
        <x:is>
          <x:t xml:space="preserve">V4纸面入选-B</x:t>
        </x:is>
      </x:c>
      <x:c r="O1214" s="604" t="inlineStr">
        <x:is>
          <x:t xml:space="preserve">6-0</x:t>
        </x:is>
      </x:c>
      <x:c r="P1214" s="604" t="inlineStr">
        <x:is>
          <x:t xml:space="preserve">已结算</x:t>
        </x:is>
      </x:c>
      <x:c r="Q1214" s="645" t="inlineStr">
        <x:is>
          <x:t xml:space="preserve">红</x:t>
        </x:is>
      </x:c>
      <x:c r="R1214" s="604" t="n">
        <x:v>0.85</x:v>
      </x:c>
      <x:c r="S1214" s="604" t="n">
        <x:f>IF(OR(Q1214="",Q1214="待结算"),"",IF(Q1214="红",R1214,IF(Q1214="半红",R1214*0.5,IF(Q1214="走",0,IF(Q1214="半黑",-0.5,-1)))))</x:f>
        <x:v>0.85</x:v>
      </x:c>
      <x:c r="T1214" s="604" t="inlineStr">
        <x:is>
          <x:t xml:space="preserve">https://m.titan007.com/analy/Analysis/3092513.htm</x:t>
        </x:is>
      </x:c>
      <x:c r="U1214" s="646" t="str">
        <x:f>IF(Q1214="","",IF(Q1214="待结算","待结算",IF(Q1214="红","黑",IF(Q1214="半红","半黑",IF(Q1214="走","走",IF(Q1214="半黑","半红","红"))))))</x:f>
        <x:v>黑</x:v>
      </x:c>
      <x:c r="V1214" s="604" t="n">
        <x:f>IF(OR(Q1214="",Q1214="待结算"),"",IF(L1214=LEFT(F1214,FIND(" vs ",F1214)-1),I1214,G1214))</x:f>
        <x:v>0.85</x:v>
      </x:c>
      <x:c r="W1214" s="604" t="n">
        <x:f>IF(OR(U1214="",U1214="待结算"),"",IF(U1214="红",V1214,IF(U1214="半红",V1214*0.5,IF(U1214="走",0,IF(U1214="半黑",-0.5,-1)))))</x:f>
        <x:v>-1</x:v>
      </x:c>
      <x:c r="X1214" s="604" t="inlineStr">
        <x:is>
          <x:t xml:space="preserve">3092513</x:t>
        </x:is>
      </x:c>
      <x:c r="Y1214" s="604" t="inlineStr">
        <x:is>
          <x:t xml:space="preserve">V4</x:t>
        </x:is>
      </x:c>
      <x:c r="Z1214" s="604" t="inlineStr">
        <x:is>
          <x:t xml:space="preserve">prior-2026-10-06-v1</x:t>
        </x:is>
      </x:c>
      <x:c r="AA1214" s="604" t="inlineStr">
        <x:is>
          <x:t xml:space="preserve">B</x:t>
        </x:is>
      </x:c>
      <x:c r="AB1214" s="604" t="n">
        <x:v>0.6266241936497852</x:v>
      </x:c>
      <x:c r="AC1214" s="604" t="n">
        <x:v>0.1712986055294709</x:v>
      </x:c>
      <x:c r="AD1214" s="604" t="n"/>
      <x:c r="AE1214" s="604" t="n"/>
      <x:c r="AF1214" s="604" t="n">
        <x:v>0.202077200820744</x:v>
      </x:c>
      <x:c r="AG1214" s="604" t="n">
        <x:v>0.4033552711315985</x:v>
      </x:c>
      <x:c r="AH1214" s="604" t="n"/>
      <x:c r="AI1214" s="604" t="n"/>
      <x:c r="AJ1214" s="604" t="n">
        <x:v>0.4033552711315985</x:v>
      </x:c>
      <x:c r="AK1214" s="604" t="n"/>
      <x:c r="AL1214" s="604" t="n"/>
      <x:c r="AM1214" s="604" t="n"/>
      <x:c r="AN1214" s="604" t="inlineStr">
        <x:is>
          <x:t xml:space="preserve">EVALUATED</x:t>
        </x:is>
      </x:c>
      <x:c r="AO1214" s="604" t="inlineStr">
        <x:is>
          <x:t xml:space="preserve">RECEIVING_VALIDATED_EDGE、BUCKET_PRIOR_ONLY、INTENT_INTERPRETATION_ONLY、FFL_OPTIONAL、EXPERT_MARKET</x:t>
        </x:is>
      </x:c>
      <x:c r="AP1214" s="604" t="inlineStr">
        <x:is>
          <x:t xml:space="preserve">f99fd014c5663a777e1c</x:t>
        </x:is>
      </x:c>
      <x:c r="AQ1214" s="604" t="n">
        <x:v>4.25</x:v>
      </x:c>
      <x:c r="AR1214" s="604" t="n">
        <x:v>0.85</x:v>
      </x:c>
      <x:c r="AS1214" s="604" t="n">
        <x:v>4.25</x:v>
      </x:c>
      <x:c r="AT1214" s="604" t="n">
        <x:v>-4.25</x:v>
      </x:c>
      <x:c r="AU1214" s="604" t="n">
        <x:v>0.85</x:v>
      </x:c>
      <x:c r="AV1214" s="604" t="n">
        <x:v>0.85</x:v>
      </x:c>
      <x:c r="AW1214" s="604" t="n">
        <x:v>46301.03159395833</x:v>
      </x:c>
      <x:c r="AX1214" s="604" t="inlineStr">
        <x:is>
          <x:t xml:space="preserve">https://simondongxiao.github.io/odds/v4/</x:t>
        </x:is>
      </x:c>
      <x:c r="AY1214" s="604" t="inlineStr">
        <x:is>
          <x:t xml:space="preserve">V4 Shadow Only；real_money=false；P(EV&gt;0)不是比赛胜率</x:t>
        </x:is>
      </x:c>
    </x:row>
    <x:row r="1215" ht="22" customHeight="1">
      <x:c r="A1215" s="604" t="inlineStr">
        <x:is>
          <x:t xml:space="preserve">2026-10-06</x:t>
        </x:is>
      </x:c>
      <x:c r="B1215" s="604" t="inlineStr">
        <x:is>
          <x:t xml:space="preserve">2026-10-07 04:30</x:t>
        </x:is>
      </x:c>
      <x:c r="C1215" s="604" t="str">
        <x:v>南美系列</x:v>
      </x:c>
      <x:c r="D1215" s="604" t="inlineStr">
        <x:is>
          <x:t xml:space="preserve">联赛</x:t>
        </x:is>
      </x:c>
      <x:c r="E1215" s="604" t="inlineStr">
        <x:is>
          <x:t xml:space="preserve">秘鲁乙</x:t>
        </x:is>
      </x:c>
      <x:c r="F1215" s="604" t="inlineStr">
        <x:is>
          <x:t xml:space="preserve">圣马丁大学 vs 阿里萨瓦努科</x:t>
        </x:is>
      </x:c>
      <x:c r="G1215" s="604" t="n">
        <x:v>0.78</x:v>
      </x:c>
      <x:c r="H1215" s="604" t="n">
        <x:v>0</x:v>
      </x:c>
      <x:c r="I1215" s="604" t="n">
        <x:v>1.03</x:v>
      </x:c>
      <x:c r="J1215" s="604" t="inlineStr">
        <x:is>
          <x:t xml:space="preserve">0.78/0/1.03</x:t>
        </x:is>
      </x:c>
      <x:c r="K1215" s="604" t="inlineStr">
        <x:is>
          <x:t xml:space="preserve">V4-C｜EV +0.0531</x:t>
        </x:is>
      </x:c>
      <x:c r="L1215" s="604" t="str"/>
      <x:c r="M1215" s="604" t="n">
        <x:v>0.5958940124005154</x:v>
      </x:c>
      <x:c r="N1215" s="604" t="inlineStr">
        <x:is>
          <x:t xml:space="preserve">V4纸面入选-C</x:t>
        </x:is>
      </x:c>
      <x:c r="O1215" s="604" t="inlineStr">
        <x:is>
          <x:t xml:space="preserve">2-1</x:t>
        </x:is>
      </x:c>
      <x:c r="P1215" s="604" t="inlineStr">
        <x:is>
          <x:t xml:space="preserve">已结算</x:t>
        </x:is>
      </x:c>
      <x:c r="Q1215" s="645" t="inlineStr">
        <x:is>
          <x:t xml:space="preserve">红</x:t>
        </x:is>
      </x:c>
      <x:c r="R1215" s="604" t="n">
        <x:v>1.03</x:v>
      </x:c>
      <x:c r="S1215" s="604" t="n">
        <x:f>IF(OR(Q1215="",Q1215="待结算"),"",IF(Q1215="红",R1215,IF(Q1215="半红",R1215*0.5,IF(Q1215="走",0,IF(Q1215="半黑",-0.5,-1)))))</x:f>
        <x:v>1.03</x:v>
      </x:c>
      <x:c r="T1215" s="604" t="inlineStr">
        <x:is>
          <x:t xml:space="preserve">https://m.titan007.com/analy/Analysis/3097368.htm</x:t>
        </x:is>
      </x:c>
      <x:c r="U1215" s="646" t="str">
        <x:f>IF(Q1215="","",IF(Q1215="待结算","待结算",IF(Q1215="红","黑",IF(Q1215="半红","半黑",IF(Q1215="走","走",IF(Q1215="半黑","半红","红"))))))</x:f>
        <x:v>黑</x:v>
      </x:c>
      <x:c r="V1215" s="604" t="n">
        <x:f>IF(OR(Q1215="",Q1215="待结算"),"",IF(L1215=LEFT(F1215,FIND(" vs ",F1215)-1),I1215,G1215))</x:f>
        <x:v>0.78</x:v>
      </x:c>
      <x:c r="W1215" s="604" t="n">
        <x:f>IF(OR(U1215="",U1215="待结算"),"",IF(U1215="红",V1215,IF(U1215="半红",V1215*0.5,IF(U1215="走",0,IF(U1215="半黑",-0.5,-1)))))</x:f>
        <x:v>-1</x:v>
      </x:c>
      <x:c r="X1215" s="604" t="inlineStr">
        <x:is>
          <x:t xml:space="preserve">3097368</x:t>
        </x:is>
      </x:c>
      <x:c r="Y1215" s="604" t="inlineStr">
        <x:is>
          <x:t xml:space="preserve">V4</x:t>
        </x:is>
      </x:c>
      <x:c r="Z1215" s="604" t="inlineStr">
        <x:is>
          <x:t xml:space="preserve">prior-2026-10-06-v1</x:t>
        </x:is>
      </x:c>
      <x:c r="AA1215" s="604" t="inlineStr">
        <x:is>
          <x:t xml:space="preserve">C</x:t>
        </x:is>
      </x:c>
      <x:c r="AB1215" s="604" t="n">
        <x:v>0.5216909621974716</x:v>
      </x:c>
      <x:c r="AC1215" s="604" t="n"/>
      <x:c r="AD1215" s="604" t="n"/>
      <x:c r="AE1215" s="604" t="n">
        <x:v>0.2490478127280464</x:v>
      </x:c>
      <x:c r="AF1215" s="604" t="n">
        <x:v>0.229261225074482</x:v>
      </x:c>
      <x:c r="AG1215" s="604" t="n">
        <x:v>0.05313381907552256</x:v>
      </x:c>
      <x:c r="AH1215" s="604" t="n"/>
      <x:c r="AI1215" s="604" t="n"/>
      <x:c r="AJ1215" s="604" t="n">
        <x:v>0.05313381907552256</x:v>
      </x:c>
      <x:c r="AK1215" s="604" t="n"/>
      <x:c r="AL1215" s="604" t="n"/>
      <x:c r="AM1215" s="604" t="n"/>
      <x:c r="AN1215" s="604" t="inlineStr">
        <x:is>
          <x:t xml:space="preserve">EVALUATED</x:t>
        </x:is>
      </x:c>
      <x:c r="AO1215" s="604" t="inlineStr">
        <x:is>
          <x:t xml:space="preserve">EDGE_BELOW_UNCERTAINTY_THRESHOLD、BUCKET_PRIOR_ONLY、INTENT_INTERPRETATION_ONLY、FFL_OPTIONAL、EXPERT_MARKET</x:t>
        </x:is>
      </x:c>
      <x:c r="AP1215" s="604" t="inlineStr">
        <x:is>
          <x:t xml:space="preserve">98220e2aa43cac58a7d6</x:t>
        </x:is>
      </x:c>
      <x:c r="AQ1215" s="604" t="n">
        <x:v>0</x:v>
      </x:c>
      <x:c r="AR1215" s="604" t="n"/>
      <x:c r="AS1215" s="604" t="n">
        <x:v>0</x:v>
      </x:c>
      <x:c r="AT1215" s="604" t="n">
        <x:v>0</x:v>
      </x:c>
      <x:c r="AU1215" s="604" t="n">
        <x:v>0.78</x:v>
      </x:c>
      <x:c r="AV1215" s="604" t="n">
        <x:v>1.03</x:v>
      </x:c>
      <x:c r="AW1215" s="604" t="n">
        <x:v>46301.03159395833</x:v>
      </x:c>
      <x:c r="AX1215" s="604" t="inlineStr">
        <x:is>
          <x:t xml:space="preserve">https://simondongxiao.github.io/odds/v4/</x:t>
        </x:is>
      </x:c>
      <x:c r="AY1215" s="604" t="inlineStr">
        <x:is>
          <x:t xml:space="preserve">V4 Shadow Only；real_money=false；P(EV&gt;0)不是比赛胜率</x:t>
        </x:is>
      </x:c>
    </x:row>
    <x:row r="1216" ht="22" customHeight="1">
      <x:c r="A1216" s="604" t="inlineStr">
        <x:is>
          <x:t xml:space="preserve">2026-10-06</x:t>
        </x:is>
      </x:c>
      <x:c r="B1216" s="604" t="inlineStr">
        <x:is>
          <x:t xml:space="preserve">2026-10-07 05:00</x:t>
        </x:is>
      </x:c>
      <x:c r="C1216" s="604" t="str">
        <x:v>北美系列</x:v>
      </x:c>
      <x:c r="D1216" s="604" t="inlineStr">
        <x:is>
          <x:t xml:space="preserve">联赛</x:t>
        </x:is>
      </x:c>
      <x:c r="E1216" s="604" t="inlineStr">
        <x:is>
          <x:t xml:space="preserve">中北美国联</x:t>
        </x:is>
      </x:c>
      <x:c r="F1216" s="604" t="inlineStr">
        <x:is>
          <x:t xml:space="preserve">圣文森特和格林纳丁斯 vs 荷属圣马丁岛</x:t>
        </x:is>
      </x:c>
      <x:c r="G1216" s="604" t="n">
        <x:v>0.83</x:v>
      </x:c>
      <x:c r="H1216" s="604" t="n">
        <x:v>0</x:v>
      </x:c>
      <x:c r="I1216" s="604" t="n">
        <x:v>0.87</x:v>
      </x:c>
      <x:c r="J1216" s="604" t="inlineStr">
        <x:is>
          <x:t xml:space="preserve">0.83/0/0.87</x:t>
        </x:is>
      </x:c>
      <x:c r="K1216" s="604" t="inlineStr">
        <x:is>
          <x:t xml:space="preserve">V4-C｜EV +0.0521</x:t>
        </x:is>
      </x:c>
      <x:c r="L1216" s="604" t="str"/>
      <x:c r="M1216" s="604" t="n">
        <x:v>0.584709545409455</x:v>
      </x:c>
      <x:c r="N1216" s="604" t="inlineStr">
        <x:is>
          <x:t xml:space="preserve">V4纸面入选-C</x:t>
        </x:is>
      </x:c>
      <x:c r="O1216" s="604" t="inlineStr">
        <x:is>
          <x:t xml:space="preserve">4-0</x:t>
        </x:is>
      </x:c>
      <x:c r="P1216" s="604" t="inlineStr">
        <x:is>
          <x:t xml:space="preserve">已结算</x:t>
        </x:is>
      </x:c>
      <x:c r="Q1216" s="645" t="inlineStr">
        <x:is>
          <x:t xml:space="preserve">红</x:t>
        </x:is>
      </x:c>
      <x:c r="R1216" s="604" t="n">
        <x:v>0.87</x:v>
      </x:c>
      <x:c r="S1216" s="604" t="n">
        <x:f>IF(OR(Q1216="",Q1216="待结算"),"",IF(Q1216="红",R1216,IF(Q1216="半红",R1216*0.5,IF(Q1216="走",0,IF(Q1216="半黑",-0.5,-1)))))</x:f>
        <x:v>0.87</x:v>
      </x:c>
      <x:c r="T1216" s="604" t="inlineStr">
        <x:is>
          <x:t xml:space="preserve">https://m.titan007.com/analy/Analysis/3092490.htm</x:t>
        </x:is>
      </x:c>
      <x:c r="U1216" s="646" t="str">
        <x:f>IF(Q1216="","",IF(Q1216="待结算","待结算",IF(Q1216="红","黑",IF(Q1216="半红","半黑",IF(Q1216="走","走",IF(Q1216="半黑","半红","红"))))))</x:f>
        <x:v>黑</x:v>
      </x:c>
      <x:c r="V1216" s="604" t="n">
        <x:f>IF(OR(Q1216="",Q1216="待结算"),"",IF(L1216=LEFT(F1216,FIND(" vs ",F1216)-1),I1216,G1216))</x:f>
        <x:v>0.83</x:v>
      </x:c>
      <x:c r="W1216" s="604" t="n">
        <x:f>IF(OR(U1216="",U1216="待结算"),"",IF(U1216="红",V1216,IF(U1216="半红",V1216*0.5,IF(U1216="走",0,IF(U1216="半黑",-0.5,-1)))))</x:f>
        <x:v>-1</x:v>
      </x:c>
      <x:c r="X1216" s="604" t="inlineStr">
        <x:is>
          <x:t xml:space="preserve">3092490</x:t>
        </x:is>
      </x:c>
      <x:c r="Y1216" s="604" t="inlineStr">
        <x:is>
          <x:t xml:space="preserve">V4</x:t>
        </x:is>
      </x:c>
      <x:c r="Z1216" s="604" t="inlineStr">
        <x:is>
          <x:t xml:space="preserve">prior-2026-10-06-v1</x:t>
        </x:is>
      </x:c>
      <x:c r="AA1216" s="604" t="inlineStr">
        <x:is>
          <x:t xml:space="preserve">C</x:t>
        </x:is>
      </x:c>
      <x:c r="AB1216" s="604" t="n">
        <x:v>0.4354912471699926</x:v>
      </x:c>
      <x:c r="AC1216" s="604" t="n"/>
      <x:c r="AD1216" s="604" t="n">
        <x:v>0.2552007221550816</x:v>
      </x:c>
      <x:c r="AE1216" s="604" t="n"/>
      <x:c r="AF1216" s="604" t="n">
        <x:v>0.3093080306749258</x:v>
      </x:c>
      <x:c r="AG1216" s="604" t="n">
        <x:v>0.05214970447616807</x:v>
      </x:c>
      <x:c r="AH1216" s="604" t="n"/>
      <x:c r="AI1216" s="604" t="n"/>
      <x:c r="AJ1216" s="604" t="n">
        <x:v>0.05214970447616807</x:v>
      </x:c>
      <x:c r="AK1216" s="604" t="n"/>
      <x:c r="AL1216" s="604" t="n"/>
      <x:c r="AM1216" s="604" t="n"/>
      <x:c r="AN1216" s="604" t="inlineStr">
        <x:is>
          <x:t xml:space="preserve">EVALUATED</x:t>
        </x:is>
      </x:c>
      <x:c r="AO1216" s="604" t="inlineStr">
        <x:is>
          <x:t xml:space="preserve">EDGE_BELOW_UNCERTAINTY_THRESHOLD、BUCKET_PRIOR_ONLY、INTENT_INTERPRETATION_ONLY、FFL_OPTIONAL、EXPERT_MARKET</x:t>
        </x:is>
      </x:c>
      <x:c r="AP1216" s="604" t="inlineStr">
        <x:is>
          <x:t xml:space="preserve">53190de8b849d28863d8</x:t>
        </x:is>
      </x:c>
      <x:c r="AQ1216" s="604" t="n">
        <x:v>0</x:v>
      </x:c>
      <x:c r="AR1216" s="604" t="n"/>
      <x:c r="AS1216" s="604" t="n">
        <x:v>0</x:v>
      </x:c>
      <x:c r="AT1216" s="604" t="n">
        <x:v>0</x:v>
      </x:c>
      <x:c r="AU1216" s="604" t="n">
        <x:v>0.83</x:v>
      </x:c>
      <x:c r="AV1216" s="604" t="n">
        <x:v>0.87</x:v>
      </x:c>
      <x:c r="AW1216" s="604" t="n">
        <x:v>46301.03159395833</x:v>
      </x:c>
      <x:c r="AX1216" s="604" t="inlineStr">
        <x:is>
          <x:t xml:space="preserve">https://simondongxiao.github.io/odds/v4/</x:t>
        </x:is>
      </x:c>
      <x:c r="AY1216" s="604" t="inlineStr">
        <x:is>
          <x:t xml:space="preserve">V4 Shadow Only；real_money=false；P(EV&gt;0)不是比赛胜率</x:t>
        </x:is>
      </x:c>
    </x:row>
    <x:row r="1217" ht="22" customHeight="1">
      <x:c r="A1217" s="604" t="inlineStr">
        <x:is>
          <x:t xml:space="preserve">2026-10-06</x:t>
        </x:is>
      </x:c>
      <x:c r="B1217" s="604" t="inlineStr">
        <x:is>
          <x:t xml:space="preserve">2026-10-07 06:00</x:t>
        </x:is>
      </x:c>
      <x:c r="C1217" s="604" t="str">
        <x:v>南美系列</x:v>
      </x:c>
      <x:c r="D1217" s="604" t="inlineStr">
        <x:is>
          <x:t xml:space="preserve">杯赛</x:t>
        </x:is>
      </x:c>
      <x:c r="E1217" s="604" t="inlineStr">
        <x:is>
          <x:t xml:space="preserve">玻利杯</x:t>
        </x:is>
      </x:c>
      <x:c r="F1217" s="604" t="inlineStr">
        <x:is>
          <x:t xml:space="preserve">皇家帕托斯 vs 圣安东尼奥布鲁布鲁</x:t>
        </x:is>
      </x:c>
      <x:c r="G1217" s="604" t="n">
        <x:v>0.78</x:v>
      </x:c>
      <x:c r="H1217" s="604" t="n">
        <x:v>1</x:v>
      </x:c>
      <x:c r="I1217" s="604" t="n">
        <x:v>1.03</x:v>
      </x:c>
      <x:c r="J1217" s="604" t="inlineStr">
        <x:is>
          <x:t xml:space="preserve">0.78/1/1.03</x:t>
        </x:is>
      </x:c>
      <x:c r="K1217" s="604" t="inlineStr">
        <x:is>
          <x:t xml:space="preserve">V4-B｜EV +0.1763</x:t>
        </x:is>
      </x:c>
      <x:c r="L1217" s="604" t="inlineStr">
        <x:is>
          <x:t xml:space="preserve">皇家帕托斯</x:t>
        </x:is>
      </x:c>
      <x:c r="M1217" s="604" t="n">
        <x:v>0.6935147621266828</x:v>
      </x:c>
      <x:c r="N1217" s="604" t="inlineStr">
        <x:is>
          <x:t xml:space="preserve">V4纸面入选-B</x:t>
        </x:is>
      </x:c>
      <x:c r="O1217" s="604" t="inlineStr">
        <x:is>
          <x:t xml:space="preserve">4-2</x:t>
        </x:is>
      </x:c>
      <x:c r="P1217" s="604" t="inlineStr">
        <x:is>
          <x:t xml:space="preserve">已结算</x:t>
        </x:is>
      </x:c>
      <x:c r="Q1217" s="645" t="inlineStr">
        <x:is>
          <x:t xml:space="preserve">红</x:t>
        </x:is>
      </x:c>
      <x:c r="R1217" s="604" t="n">
        <x:v>0.78</x:v>
      </x:c>
      <x:c r="S1217" s="604" t="n">
        <x:f>IF(OR(Q1217="",Q1217="待结算"),"",IF(Q1217="红",R1217,IF(Q1217="半红",R1217*0.5,IF(Q1217="走",0,IF(Q1217="半黑",-0.5,-1)))))</x:f>
        <x:v>0.78</x:v>
      </x:c>
      <x:c r="T1217" s="604" t="inlineStr">
        <x:is>
          <x:t xml:space="preserve">https://m.titan007.com/analy/Analysis/3061679.htm</x:t>
        </x:is>
      </x:c>
      <x:c r="U1217" s="646" t="str">
        <x:f>IF(Q1217="","",IF(Q1217="待结算","待结算",IF(Q1217="红","黑",IF(Q1217="半红","半黑",IF(Q1217="走","走",IF(Q1217="半黑","半红","红"))))))</x:f>
        <x:v>黑</x:v>
      </x:c>
      <x:c r="V1217" s="604" t="n">
        <x:f>IF(OR(Q1217="",Q1217="待结算"),"",IF(L1217=LEFT(F1217,FIND(" vs ",F1217)-1),I1217,G1217))</x:f>
        <x:v>1.03</x:v>
      </x:c>
      <x:c r="W1217" s="604" t="n">
        <x:f>IF(OR(U1217="",U1217="待结算"),"",IF(U1217="红",V1217,IF(U1217="半红",V1217*0.5,IF(U1217="走",0,IF(U1217="半黑",-0.5,-1)))))</x:f>
        <x:v>-1</x:v>
      </x:c>
      <x:c r="X1217" s="604" t="inlineStr">
        <x:is>
          <x:t xml:space="preserve">3061679</x:t>
        </x:is>
      </x:c>
      <x:c r="Y1217" s="604" t="inlineStr">
        <x:is>
          <x:t xml:space="preserve">V4</x:t>
        </x:is>
      </x:c>
      <x:c r="Z1217" s="604" t="inlineStr">
        <x:is>
          <x:t xml:space="preserve">prior-2026-10-06-v1</x:t>
        </x:is>
      </x:c>
      <x:c r="AA1217" s="604" t="inlineStr">
        <x:is>
          <x:t xml:space="preserve">B</x:t>
        </x:is>
      </x:c>
      <x:c r="AB1217" s="604" t="n">
        <x:v>0.521589082285203</x:v>
      </x:c>
      <x:c r="AC1217" s="604" t="n"/>
      <x:c r="AD1217" s="604" t="n">
        <x:v>0.2479048597527541</x:v>
      </x:c>
      <x:c r="AE1217" s="604" t="n"/>
      <x:c r="AF1217" s="604" t="n">
        <x:v>0.230506057962043</x:v>
      </x:c>
      <x:c r="AG1217" s="604" t="n">
        <x:v>0.1763334262204153</x:v>
      </x:c>
      <x:c r="AH1217" s="604" t="n"/>
      <x:c r="AI1217" s="604" t="n"/>
      <x:c r="AJ1217" s="604" t="n">
        <x:v>0.1763334262204153</x:v>
      </x:c>
      <x:c r="AK1217" s="604" t="n"/>
      <x:c r="AL1217" s="604" t="n"/>
      <x:c r="AM1217" s="604" t="n"/>
      <x:c r="AN1217" s="604" t="inlineStr">
        <x:is>
          <x:t xml:space="preserve">EVALUATED</x:t>
        </x:is>
      </x:c>
      <x:c r="AO1217" s="604" t="inlineStr">
        <x:is>
          <x:t xml:space="preserve">GIVING_VALIDATED_EDGE、BUCKET_PRIOR_ONLY、INTENT_INTERPRETATION_ONLY、FFL_OPTIONAL、EXPERT_MARKET</x:t>
        </x:is>
      </x:c>
      <x:c r="AP1217" s="604" t="inlineStr">
        <x:is>
          <x:t xml:space="preserve">4f2880364da50da84f89</x:t>
        </x:is>
      </x:c>
      <x:c r="AQ1217" s="604" t="n">
        <x:v>-1</x:v>
      </x:c>
      <x:c r="AR1217" s="604" t="n">
        <x:v>0.78</x:v>
      </x:c>
      <x:c r="AS1217" s="604" t="n">
        <x:v>1</x:v>
      </x:c>
      <x:c r="AT1217" s="604" t="n">
        <x:v>-1</x:v>
      </x:c>
      <x:c r="AU1217" s="604" t="n">
        <x:v>0.78</x:v>
      </x:c>
      <x:c r="AV1217" s="604" t="n">
        <x:v>1.03</x:v>
      </x:c>
      <x:c r="AW1217" s="604" t="n">
        <x:v>46301.03159395833</x:v>
      </x:c>
      <x:c r="AX1217" s="604" t="inlineStr">
        <x:is>
          <x:t xml:space="preserve">https://simondongxiao.github.io/odds/v4/</x:t>
        </x:is>
      </x:c>
      <x:c r="AY1217" s="604" t="inlineStr">
        <x:is>
          <x:t xml:space="preserve">V4 Shadow Only；real_money=false；P(EV&gt;0)不是比赛胜率</x:t>
        </x:is>
      </x:c>
    </x:row>
    <x:row r="1218" ht="22" customHeight="1">
      <x:c r="A1218" s="604" t="inlineStr">
        <x:is>
          <x:t xml:space="preserve">2026-10-06</x:t>
        </x:is>
      </x:c>
      <x:c r="B1218" s="604" t="inlineStr">
        <x:is>
          <x:t xml:space="preserve">2026-10-07 06:15</x:t>
        </x:is>
      </x:c>
      <x:c r="C1218" s="604" t="str">
        <x:v>南美系列</x:v>
      </x:c>
      <x:c r="D1218" s="604" t="inlineStr">
        <x:is>
          <x:t xml:space="preserve">联赛</x:t>
        </x:is>
      </x:c>
      <x:c r="E1218" s="604" t="inlineStr">
        <x:is>
          <x:t xml:space="preserve">巴拉甲秋</x:t>
        </x:is>
      </x:c>
      <x:c r="F1218" s="604" t="inlineStr">
        <x:is>
          <x:t xml:space="preserve">亚松森奥林匹亚 vs 巴拉圭国民</x:t>
        </x:is>
      </x:c>
      <x:c r="G1218" s="604" t="n">
        <x:v>1</x:v>
      </x:c>
      <x:c r="H1218" s="604" t="n">
        <x:v>0.5</x:v>
      </x:c>
      <x:c r="I1218" s="604" t="n">
        <x:v>0.76</x:v>
      </x:c>
      <x:c r="J1218" s="604" t="inlineStr">
        <x:is>
          <x:t xml:space="preserve">1/0.5/0.76</x:t>
        </x:is>
      </x:c>
      <x:c r="K1218" s="604" t="inlineStr">
        <x:is>
          <x:t xml:space="preserve">V4-B｜EV +0.1478</x:t>
        </x:is>
      </x:c>
      <x:c r="L1218" s="604" t="inlineStr">
        <x:is>
          <x:t xml:space="preserve">亚松森奥林匹亚</x:t>
        </x:is>
      </x:c>
      <x:c r="M1218" s="604" t="n">
        <x:v>0.573916363636691</x:v>
      </x:c>
      <x:c r="N1218" s="604" t="inlineStr">
        <x:is>
          <x:t xml:space="preserve">V4纸面入选-B</x:t>
        </x:is>
      </x:c>
      <x:c r="O1218" s="604" t="inlineStr">
        <x:is>
          <x:t xml:space="preserve">1-1</x:t>
        </x:is>
      </x:c>
      <x:c r="P1218" s="604" t="inlineStr">
        <x:is>
          <x:t xml:space="preserve">已结算</x:t>
        </x:is>
      </x:c>
      <x:c r="Q1218" s="646" t="inlineStr">
        <x:is>
          <x:t xml:space="preserve">黑</x:t>
        </x:is>
      </x:c>
      <x:c r="R1218" s="604" t="n">
        <x:v>1</x:v>
      </x:c>
      <x:c r="S1218" s="604" t="n">
        <x:f>IF(OR(Q1218="",Q1218="待结算"),"",IF(Q1218="红",R1218,IF(Q1218="半红",R1218*0.5,IF(Q1218="走",0,IF(Q1218="半黑",-0.5,-1)))))</x:f>
        <x:v>-1</x:v>
      </x:c>
      <x:c r="T1218" s="604" t="inlineStr">
        <x:is>
          <x:t xml:space="preserve">https://m.titan007.com/analy/Analysis/3074196.htm</x:t>
        </x:is>
      </x:c>
      <x:c r="U1218" s="645" t="str">
        <x:f>IF(Q1218="","",IF(Q1218="待结算","待结算",IF(Q1218="红","黑",IF(Q1218="半红","半黑",IF(Q1218="走","走",IF(Q1218="半黑","半红","红"))))))</x:f>
        <x:v>红</x:v>
      </x:c>
      <x:c r="V1218" s="604" t="n">
        <x:f>IF(OR(Q1218="",Q1218="待结算"),"",IF(L1218=LEFT(F1218,FIND(" vs ",F1218)-1),I1218,G1218))</x:f>
        <x:v>0.76</x:v>
      </x:c>
      <x:c r="W1218" s="604" t="n">
        <x:f>IF(OR(U1218="",U1218="待结算"),"",IF(U1218="红",V1218,IF(U1218="半红",V1218*0.5,IF(U1218="走",0,IF(U1218="半黑",-0.5,-1)))))</x:f>
        <x:v>0.76</x:v>
      </x:c>
      <x:c r="X1218" s="604" t="inlineStr">
        <x:is>
          <x:t xml:space="preserve">3074196</x:t>
        </x:is>
      </x:c>
      <x:c r="Y1218" s="604" t="inlineStr">
        <x:is>
          <x:t xml:space="preserve">V4</x:t>
        </x:is>
      </x:c>
      <x:c r="Z1218" s="604" t="inlineStr">
        <x:is>
          <x:t xml:space="preserve">prior-2026-10-06-v1</x:t>
        </x:is>
      </x:c>
      <x:c r="AA1218" s="604" t="inlineStr">
        <x:is>
          <x:t xml:space="preserve">B</x:t>
        </x:is>
      </x:c>
      <x:c r="AB1218" s="604" t="n">
        <x:v>0.573916363636691</x:v>
      </x:c>
      <x:c r="AC1218" s="604" t="n"/>
      <x:c r="AD1218" s="604" t="n"/>
      <x:c r="AE1218" s="604" t="n"/>
      <x:c r="AF1218" s="604" t="n">
        <x:v>0.426083636363309</x:v>
      </x:c>
      <x:c r="AG1218" s="604" t="n">
        <x:v>0.1478327272733819</x:v>
      </x:c>
      <x:c r="AH1218" s="604" t="n"/>
      <x:c r="AI1218" s="604" t="n"/>
      <x:c r="AJ1218" s="604" t="n">
        <x:v>0.1478327272733819</x:v>
      </x:c>
      <x:c r="AK1218" s="604" t="n"/>
      <x:c r="AL1218" s="604" t="n"/>
      <x:c r="AM1218" s="604" t="n"/>
      <x:c r="AN1218" s="604" t="inlineStr">
        <x:is>
          <x:t xml:space="preserve">EVALUATED</x:t>
        </x:is>
      </x:c>
      <x:c r="AO1218" s="604" t="inlineStr">
        <x:is>
          <x:t xml:space="preserve">GIVING_VALIDATED_EDGE、BUCKET_PRIOR_ONLY、INTENT_INTERPRETATION_ONLY、FFL_OPTIONAL、EXPERT_MARKET</x:t>
        </x:is>
      </x:c>
      <x:c r="AP1218" s="604" t="inlineStr">
        <x:is>
          <x:t xml:space="preserve">304e233b4231de098f7b</x:t>
        </x:is>
      </x:c>
      <x:c r="AQ1218" s="604" t="n">
        <x:v>-0.5</x:v>
      </x:c>
      <x:c r="AR1218" s="604" t="n">
        <x:v>1</x:v>
      </x:c>
      <x:c r="AS1218" s="604" t="n">
        <x:v>0.5</x:v>
      </x:c>
      <x:c r="AT1218" s="604" t="n">
        <x:v>-0.5</x:v>
      </x:c>
      <x:c r="AU1218" s="604" t="n">
        <x:v>1</x:v>
      </x:c>
      <x:c r="AV1218" s="604" t="n">
        <x:v>0.76</x:v>
      </x:c>
      <x:c r="AW1218" s="604" t="n">
        <x:v>46301.03159395833</x:v>
      </x:c>
      <x:c r="AX1218" s="604" t="inlineStr">
        <x:is>
          <x:t xml:space="preserve">https://simondongxiao.github.io/odds/v4/</x:t>
        </x:is>
      </x:c>
      <x:c r="AY1218" s="604" t="inlineStr">
        <x:is>
          <x:t xml:space="preserve">V4 Shadow Only；real_money=false；P(EV&gt;0)不是比赛胜率</x:t>
        </x:is>
      </x:c>
    </x:row>
    <x:row r="1219" ht="22" customHeight="1">
      <x:c r="A1219" s="604" t="inlineStr">
        <x:is>
          <x:t xml:space="preserve">2026-10-06</x:t>
        </x:is>
      </x:c>
      <x:c r="B1219" s="604" t="inlineStr">
        <x:is>
          <x:t xml:space="preserve">2026-10-07 06:30</x:t>
        </x:is>
      </x:c>
      <x:c r="C1219" s="604" t="str">
        <x:v>南美系列</x:v>
      </x:c>
      <x:c r="D1219" s="604" t="inlineStr">
        <x:is>
          <x:t xml:space="preserve">联赛</x:t>
        </x:is>
      </x:c>
      <x:c r="E1219" s="604" t="inlineStr">
        <x:is>
          <x:t xml:space="preserve">巴西乙</x:t>
        </x:is>
      </x:c>
      <x:c r="F1219" s="604" t="inlineStr">
        <x:is>
          <x:t xml:space="preserve">累西腓体育 vs 圣贝纳多</x:t>
        </x:is>
      </x:c>
      <x:c r="G1219" s="604" t="n">
        <x:v>0.89</x:v>
      </x:c>
      <x:c r="H1219" s="604" t="n">
        <x:v>0.5</x:v>
      </x:c>
      <x:c r="I1219" s="604" t="n">
        <x:v>0.99</x:v>
      </x:c>
      <x:c r="J1219" s="604" t="inlineStr">
        <x:is>
          <x:t xml:space="preserve">0.89/0.5/0.99</x:t>
        </x:is>
      </x:c>
      <x:c r="K1219" s="604" t="inlineStr">
        <x:is>
          <x:t xml:space="preserve">V4-B｜EV +0.1106</x:t>
        </x:is>
      </x:c>
      <x:c r="L1219" s="604" t="inlineStr">
        <x:is>
          <x:t xml:space="preserve">累西腓体育</x:t>
        </x:is>
      </x:c>
      <x:c r="M1219" s="604" t="n">
        <x:v>0.5876013944951181</x:v>
      </x:c>
      <x:c r="N1219" s="604" t="inlineStr">
        <x:is>
          <x:t xml:space="preserve">V4纸面入选-B</x:t>
        </x:is>
      </x:c>
      <x:c r="O1219" s="604" t="inlineStr">
        <x:is>
          <x:t xml:space="preserve">2-1</x:t>
        </x:is>
      </x:c>
      <x:c r="P1219" s="604" t="inlineStr">
        <x:is>
          <x:t xml:space="preserve">已结算</x:t>
        </x:is>
      </x:c>
      <x:c r="Q1219" s="645" t="inlineStr">
        <x:is>
          <x:t xml:space="preserve">红</x:t>
        </x:is>
      </x:c>
      <x:c r="R1219" s="604" t="n">
        <x:v>0.89</x:v>
      </x:c>
      <x:c r="S1219" s="604" t="n">
        <x:f>IF(OR(Q1219="",Q1219="待结算"),"",IF(Q1219="红",R1219,IF(Q1219="半红",R1219*0.5,IF(Q1219="走",0,IF(Q1219="半黑",-0.5,-1)))))</x:f>
        <x:v>0.89</x:v>
      </x:c>
      <x:c r="T1219" s="604" t="inlineStr">
        <x:is>
          <x:t xml:space="preserve">https://m.titan007.com/analy/Analysis/2940223.htm</x:t>
        </x:is>
      </x:c>
      <x:c r="U1219" s="646" t="str">
        <x:f>IF(Q1219="","",IF(Q1219="待结算","待结算",IF(Q1219="红","黑",IF(Q1219="半红","半黑",IF(Q1219="走","走",IF(Q1219="半黑","半红","红"))))))</x:f>
        <x:v>黑</x:v>
      </x:c>
      <x:c r="V1219" s="604" t="n">
        <x:f>IF(OR(Q1219="",Q1219="待结算"),"",IF(L1219=LEFT(F1219,FIND(" vs ",F1219)-1),I1219,G1219))</x:f>
        <x:v>0.99</x:v>
      </x:c>
      <x:c r="W1219" s="604" t="n">
        <x:f>IF(OR(U1219="",U1219="待结算"),"",IF(U1219="红",V1219,IF(U1219="半红",V1219*0.5,IF(U1219="走",0,IF(U1219="半黑",-0.5,-1)))))</x:f>
        <x:v>-1</x:v>
      </x:c>
      <x:c r="X1219" s="604" t="inlineStr">
        <x:is>
          <x:t xml:space="preserve">2940223</x:t>
        </x:is>
      </x:c>
      <x:c r="Y1219" s="604" t="inlineStr">
        <x:is>
          <x:t xml:space="preserve">V4</x:t>
        </x:is>
      </x:c>
      <x:c r="Z1219" s="604" t="inlineStr">
        <x:is>
          <x:t xml:space="preserve">prior-2026-10-06-v1</x:t>
        </x:is>
      </x:c>
      <x:c r="AA1219" s="604" t="inlineStr">
        <x:is>
          <x:t xml:space="preserve">B</x:t>
        </x:is>
      </x:c>
      <x:c r="AB1219" s="604" t="n">
        <x:v>0.5876013944951181</x:v>
      </x:c>
      <x:c r="AC1219" s="604" t="n"/>
      <x:c r="AD1219" s="604" t="n"/>
      <x:c r="AE1219" s="604" t="n"/>
      <x:c r="AF1219" s="604" t="n">
        <x:v>0.4123986055048819</x:v>
      </x:c>
      <x:c r="AG1219" s="604" t="n">
        <x:v>0.1105666355957732</x:v>
      </x:c>
      <x:c r="AH1219" s="604" t="n"/>
      <x:c r="AI1219" s="604" t="n"/>
      <x:c r="AJ1219" s="604" t="n">
        <x:v>0.1105666355957732</x:v>
      </x:c>
      <x:c r="AK1219" s="604" t="n"/>
      <x:c r="AL1219" s="604" t="n"/>
      <x:c r="AM1219" s="604" t="n"/>
      <x:c r="AN1219" s="604" t="inlineStr">
        <x:is>
          <x:t xml:space="preserve">EVALUATED</x:t>
        </x:is>
      </x:c>
      <x:c r="AO1219" s="604" t="inlineStr">
        <x:is>
          <x:t xml:space="preserve">GIVING_VALIDATED_EDGE、BUCKET_PRIOR_ONLY、INTENT_INTERPRETATION_ONLY、FFL_OPTIONAL、EXPERT_MARKET</x:t>
        </x:is>
      </x:c>
      <x:c r="AP1219" s="604" t="inlineStr">
        <x:is>
          <x:t xml:space="preserve">998ac97b3bdd8238e1ae</x:t>
        </x:is>
      </x:c>
      <x:c r="AQ1219" s="604" t="n">
        <x:v>-0.5</x:v>
      </x:c>
      <x:c r="AR1219" s="604" t="n">
        <x:v>0.89</x:v>
      </x:c>
      <x:c r="AS1219" s="604" t="n">
        <x:v>0.5</x:v>
      </x:c>
      <x:c r="AT1219" s="604" t="n">
        <x:v>-0.5</x:v>
      </x:c>
      <x:c r="AU1219" s="604" t="n">
        <x:v>0.89</x:v>
      </x:c>
      <x:c r="AV1219" s="604" t="n">
        <x:v>0.99</x:v>
      </x:c>
      <x:c r="AW1219" s="604" t="n">
        <x:v>46301.03159395833</x:v>
      </x:c>
      <x:c r="AX1219" s="604" t="inlineStr">
        <x:is>
          <x:t xml:space="preserve">https://simondongxiao.github.io/odds/v4/</x:t>
        </x:is>
      </x:c>
      <x:c r="AY1219" s="604" t="inlineStr">
        <x:is>
          <x:t xml:space="preserve">V4 Shadow Only；real_money=false；P(EV&gt;0)不是比赛胜率</x:t>
        </x:is>
      </x:c>
    </x:row>
    <x:row r="1220" ht="22" customHeight="1">
      <x:c r="A1220" s="604" t="inlineStr">
        <x:is>
          <x:t xml:space="preserve">2026-10-06</x:t>
        </x:is>
      </x:c>
      <x:c r="B1220" s="604" t="inlineStr">
        <x:is>
          <x:t xml:space="preserve">2026-10-07 06:30</x:t>
        </x:is>
      </x:c>
      <x:c r="C1220" s="604" t="str">
        <x:v>南美系列</x:v>
      </x:c>
      <x:c r="D1220" s="604" t="inlineStr">
        <x:is>
          <x:t xml:space="preserve">联赛</x:t>
        </x:is>
      </x:c>
      <x:c r="E1220" s="604" t="inlineStr">
        <x:is>
          <x:t xml:space="preserve">巴拉乙</x:t>
        </x:is>
      </x:c>
      <x:c r="F1220" s="604" t="inlineStr">
        <x:is>
          <x:t xml:space="preserve">桑坦尼体育会 vs 瓜伊利纳</x:t>
        </x:is>
      </x:c>
      <x:c r="G1220" s="604" t="n">
        <x:v>0.75</x:v>
      </x:c>
      <x:c r="H1220" s="604" t="n">
        <x:v>1.25</x:v>
      </x:c>
      <x:c r="I1220" s="604" t="n">
        <x:v>0.95</x:v>
      </x:c>
      <x:c r="J1220" s="604" t="inlineStr">
        <x:is>
          <x:t xml:space="preserve">0.75/1.25/0.95</x:t>
        </x:is>
      </x:c>
      <x:c r="K1220" s="604" t="inlineStr">
        <x:is>
          <x:t xml:space="preserve">V4-B｜EV +0.1665</x:t>
        </x:is>
      </x:c>
      <x:c r="L1220" s="604" t="inlineStr">
        <x:is>
          <x:t xml:space="preserve">桑坦尼体育会</x:t>
        </x:is>
      </x:c>
      <x:c r="M1220" s="604" t="n">
        <x:v>0.6790976209892141</x:v>
      </x:c>
      <x:c r="N1220" s="604" t="inlineStr">
        <x:is>
          <x:t xml:space="preserve">V4纸面入选-B</x:t>
        </x:is>
      </x:c>
      <x:c r="O1220" s="604" t="inlineStr">
        <x:is>
          <x:t xml:space="preserve">1-0</x:t>
        </x:is>
      </x:c>
      <x:c r="P1220" s="604" t="inlineStr">
        <x:is>
          <x:t xml:space="preserve">已结算</x:t>
        </x:is>
      </x:c>
      <x:c r="Q1220" s="648" t="inlineStr">
        <x:is>
          <x:t xml:space="preserve">半黑</x:t>
        </x:is>
      </x:c>
      <x:c r="R1220" s="604" t="n">
        <x:v>0.75</x:v>
      </x:c>
      <x:c r="S1220" s="604" t="n">
        <x:f>IF(OR(Q1220="",Q1220="待结算"),"",IF(Q1220="红",R1220,IF(Q1220="半红",R1220*0.5,IF(Q1220="走",0,IF(Q1220="半黑",-0.5,-1)))))</x:f>
        <x:v>-0.5</x:v>
      </x:c>
      <x:c r="T1220" s="604" t="inlineStr">
        <x:is>
          <x:t xml:space="preserve">https://m.titan007.com/analy/Analysis/3094124.htm</x:t>
        </x:is>
      </x:c>
      <x:c r="U1220" s="649" t="str">
        <x:f>IF(Q1220="","",IF(Q1220="待结算","待结算",IF(Q1220="红","黑",IF(Q1220="半红","半黑",IF(Q1220="走","走",IF(Q1220="半黑","半红","红"))))))</x:f>
        <x:v>半红</x:v>
      </x:c>
      <x:c r="V1220" s="604" t="n">
        <x:f>IF(OR(Q1220="",Q1220="待结算"),"",IF(L1220=LEFT(F1220,FIND(" vs ",F1220)-1),I1220,G1220))</x:f>
        <x:v>0.95</x:v>
      </x:c>
      <x:c r="W1220" s="604" t="n">
        <x:f>IF(OR(U1220="",U1220="待结算"),"",IF(U1220="红",V1220,IF(U1220="半红",V1220*0.5,IF(U1220="走",0,IF(U1220="半黑",-0.5,-1)))))</x:f>
        <x:v>0.475</x:v>
      </x:c>
      <x:c r="X1220" s="604" t="inlineStr">
        <x:is>
          <x:t xml:space="preserve">3094124</x:t>
        </x:is>
      </x:c>
      <x:c r="Y1220" s="604" t="inlineStr">
        <x:is>
          <x:t xml:space="preserve">V4</x:t>
        </x:is>
      </x:c>
      <x:c r="Z1220" s="604" t="inlineStr">
        <x:is>
          <x:t xml:space="preserve">prior-2026-10-06-v1</x:t>
        </x:is>
      </x:c>
      <x:c r="AA1220" s="604" t="inlineStr">
        <x:is>
          <x:t xml:space="preserve">B</x:t>
        </x:is>
      </x:c>
      <x:c r="AB1220" s="604" t="n">
        <x:v>0.600233941846808</x:v>
      </x:c>
      <x:c r="AC1220" s="604" t="n"/>
      <x:c r="AD1220" s="604" t="n"/>
      <x:c r="AE1220" s="604" t="n">
        <x:v>0.2322602132739872</x:v>
      </x:c>
      <x:c r="AF1220" s="604" t="n">
        <x:v>0.1675058448792048</x:v>
      </x:c>
      <x:c r="AG1220" s="604" t="n">
        <x:v>0.1665395048689077</x:v>
      </x:c>
      <x:c r="AH1220" s="604" t="n"/>
      <x:c r="AI1220" s="604" t="n"/>
      <x:c r="AJ1220" s="604" t="n">
        <x:v>0.1665395048689077</x:v>
      </x:c>
      <x:c r="AK1220" s="604" t="n"/>
      <x:c r="AL1220" s="604" t="n"/>
      <x:c r="AM1220" s="604" t="n"/>
      <x:c r="AN1220" s="604" t="inlineStr">
        <x:is>
          <x:t xml:space="preserve">EVALUATED</x:t>
        </x:is>
      </x:c>
      <x:c r="AO1220" s="604" t="inlineStr">
        <x:is>
          <x:t xml:space="preserve">GIVING_VALIDATED_EDGE、BUCKET_PRIOR_ONLY、INTENT_INTERPRETATION_ONLY、FFL_OPTIONAL、EXPERT_MARKET</x:t>
        </x:is>
      </x:c>
      <x:c r="AP1220" s="604" t="inlineStr">
        <x:is>
          <x:t xml:space="preserve">453bd1503b64b071fa6b</x:t>
        </x:is>
      </x:c>
      <x:c r="AQ1220" s="604" t="n">
        <x:v>-1.25</x:v>
      </x:c>
      <x:c r="AR1220" s="604" t="n">
        <x:v>0.75</x:v>
      </x:c>
      <x:c r="AS1220" s="604" t="n">
        <x:v>1.25</x:v>
      </x:c>
      <x:c r="AT1220" s="604" t="n">
        <x:v>-1.25</x:v>
      </x:c>
      <x:c r="AU1220" s="604" t="n">
        <x:v>0.75</x:v>
      </x:c>
      <x:c r="AV1220" s="604" t="n">
        <x:v>0.95</x:v>
      </x:c>
      <x:c r="AW1220" s="604" t="n">
        <x:v>46301.03159395833</x:v>
      </x:c>
      <x:c r="AX1220" s="604" t="inlineStr">
        <x:is>
          <x:t xml:space="preserve">https://simondongxiao.github.io/odds/v4/</x:t>
        </x:is>
      </x:c>
      <x:c r="AY1220" s="604" t="inlineStr">
        <x:is>
          <x:t xml:space="preserve">V4 Shadow Only；real_money=false；P(EV&gt;0)不是比赛胜率</x:t>
        </x:is>
      </x:c>
    </x:row>
    <x:row r="1221" ht="22" customHeight="1">
      <x:c r="A1221" s="604" t="inlineStr">
        <x:is>
          <x:t xml:space="preserve">2026-10-06</x:t>
        </x:is>
      </x:c>
      <x:c r="B1221" s="604" t="inlineStr">
        <x:is>
          <x:t xml:space="preserve">2026-10-07 07:00</x:t>
        </x:is>
      </x:c>
      <x:c r="C1221" s="604" t="str">
        <x:v>南美系列</x:v>
      </x:c>
      <x:c r="D1221" s="604" t="inlineStr">
        <x:is>
          <x:t xml:space="preserve">联赛</x:t>
        </x:is>
      </x:c>
      <x:c r="E1221" s="604" t="inlineStr">
        <x:is>
          <x:t xml:space="preserve">乌拉乙</x:t>
        </x:is>
      </x:c>
      <x:c r="F1221" s="604" t="inlineStr">
        <x:is>
          <x:t xml:space="preserve">卡特雷莫托 vs 萨鲁斯</x:t>
        </x:is>
      </x:c>
      <x:c r="G1221" s="604" t="n">
        <x:v>0.9</x:v>
      </x:c>
      <x:c r="H1221" s="604" t="n">
        <x:v>-0.25</x:v>
      </x:c>
      <x:c r="I1221" s="604" t="n">
        <x:v>0.9</x:v>
      </x:c>
      <x:c r="J1221" s="604" t="inlineStr">
        <x:is>
          <x:t xml:space="preserve">0.9/-0.25/0.9</x:t>
        </x:is>
      </x:c>
      <x:c r="K1221" s="604" t="inlineStr">
        <x:is>
          <x:t xml:space="preserve">V4-B｜EV +0.2700</x:t>
        </x:is>
      </x:c>
      <x:c r="L1221" s="604" t="inlineStr">
        <x:is>
          <x:t xml:space="preserve">卡特雷莫托</x:t>
        </x:is>
      </x:c>
      <x:c r="M1221" s="604" t="n">
        <x:v>0.6893914452494051</x:v>
      </x:c>
      <x:c r="N1221" s="604" t="inlineStr">
        <x:is>
          <x:t xml:space="preserve">V4纸面入选-B</x:t>
        </x:is>
      </x:c>
      <x:c r="O1221" s="604" t="inlineStr">
        <x:is>
          <x:t xml:space="preserve">0-0</x:t>
        </x:is>
      </x:c>
      <x:c r="P1221" s="604" t="inlineStr">
        <x:is>
          <x:t xml:space="preserve">已结算</x:t>
        </x:is>
      </x:c>
      <x:c r="Q1221" s="649" t="inlineStr">
        <x:is>
          <x:t xml:space="preserve">半红</x:t>
        </x:is>
      </x:c>
      <x:c r="R1221" s="604" t="n">
        <x:v>0.9</x:v>
      </x:c>
      <x:c r="S1221" s="604" t="n">
        <x:f>IF(OR(Q1221="",Q1221="待结算"),"",IF(Q1221="红",R1221,IF(Q1221="半红",R1221*0.5,IF(Q1221="走",0,IF(Q1221="半黑",-0.5,-1)))))</x:f>
        <x:v>0.45</x:v>
      </x:c>
      <x:c r="T1221" s="604" t="inlineStr">
        <x:is>
          <x:t xml:space="preserve">https://m.titan007.com/analy/Analysis/3099874.htm</x:t>
        </x:is>
      </x:c>
      <x:c r="U1221" s="648" t="str">
        <x:f>IF(Q1221="","",IF(Q1221="待结算","待结算",IF(Q1221="红","黑",IF(Q1221="半红","半黑",IF(Q1221="走","走",IF(Q1221="半黑","半红","红"))))))</x:f>
        <x:v>半黑</x:v>
      </x:c>
      <x:c r="V1221" s="604" t="n">
        <x:f>IF(OR(Q1221="",Q1221="待结算"),"",IF(L1221=LEFT(F1221,FIND(" vs ",F1221)-1),I1221,G1221))</x:f>
        <x:v>0.9</x:v>
      </x:c>
      <x:c r="W1221" s="604" t="n">
        <x:f>IF(OR(U1221="",U1221="待结算"),"",IF(U1221="红",V1221,IF(U1221="半红",V1221*0.5,IF(U1221="走",0,IF(U1221="半黑",-0.5,-1)))))</x:f>
        <x:v>-0.5</x:v>
      </x:c>
      <x:c r="X1221" s="604" t="inlineStr">
        <x:is>
          <x:t xml:space="preserve">3099874</x:t>
        </x:is>
      </x:c>
      <x:c r="Y1221" s="604" t="inlineStr">
        <x:is>
          <x:t xml:space="preserve">V4</x:t>
        </x:is>
      </x:c>
      <x:c r="Z1221" s="604" t="inlineStr">
        <x:is>
          <x:t xml:space="preserve">prior-2026-10-06-v1</x:t>
        </x:is>
      </x:c>
      <x:c r="AA1221" s="604" t="inlineStr">
        <x:is>
          <x:t xml:space="preserve">B</x:t>
        </x:is>
      </x:c>
      <x:c r="AB1221" s="604" t="n">
        <x:v>0.4719849074956902</x:v>
      </x:c>
      <x:c r="AC1221" s="604" t="n">
        <x:v>0.2573785233316594</x:v>
      </x:c>
      <x:c r="AD1221" s="604" t="n"/>
      <x:c r="AE1221" s="604" t="n"/>
      <x:c r="AF1221" s="604" t="n">
        <x:v>0.2706365691726504</x:v>
      </x:c>
      <x:c r="AG1221" s="604" t="n">
        <x:v>0.2699701830727175</x:v>
      </x:c>
      <x:c r="AH1221" s="604" t="n"/>
      <x:c r="AI1221" s="604" t="n"/>
      <x:c r="AJ1221" s="604" t="n">
        <x:v>0.2699701830727175</x:v>
      </x:c>
      <x:c r="AK1221" s="604" t="n"/>
      <x:c r="AL1221" s="604" t="n"/>
      <x:c r="AM1221" s="604" t="n"/>
      <x:c r="AN1221" s="604" t="inlineStr">
        <x:is>
          <x:t xml:space="preserve">EVALUATED</x:t>
        </x:is>
      </x:c>
      <x:c r="AO1221" s="604" t="inlineStr">
        <x:is>
          <x:t xml:space="preserve">RECEIVING_VALIDATED_EDGE、BUCKET_PRIOR_ONLY、INTENT_INTERPRETATION_ONLY、FFL_OPTIONAL、EXPERT_MARKET</x:t>
        </x:is>
      </x:c>
      <x:c r="AP1221" s="604" t="inlineStr">
        <x:is>
          <x:t xml:space="preserve">08969a788e7f4991a562</x:t>
        </x:is>
      </x:c>
      <x:c r="AQ1221" s="604" t="n">
        <x:v>0.25</x:v>
      </x:c>
      <x:c r="AR1221" s="604" t="n">
        <x:v>0.9</x:v>
      </x:c>
      <x:c r="AS1221" s="604" t="n">
        <x:v>-0.25</x:v>
      </x:c>
      <x:c r="AT1221" s="604" t="n">
        <x:v>0.25</x:v>
      </x:c>
      <x:c r="AU1221" s="604" t="n">
        <x:v>0.9</x:v>
      </x:c>
      <x:c r="AV1221" s="604" t="n">
        <x:v>0.9</x:v>
      </x:c>
      <x:c r="AW1221" s="604" t="n">
        <x:v>46301.03159395833</x:v>
      </x:c>
      <x:c r="AX1221" s="604" t="inlineStr">
        <x:is>
          <x:t xml:space="preserve">https://simondongxiao.github.io/odds/v4/</x:t>
        </x:is>
      </x:c>
      <x:c r="AY1221" s="604" t="inlineStr">
        <x:is>
          <x:t xml:space="preserve">V4 Shadow Only；real_money=false；P(EV&gt;0)不是比赛胜率</x:t>
        </x:is>
      </x:c>
    </x:row>
    <x:row r="1222" ht="22" customHeight="1">
      <x:c r="A1222" s="604" t="inlineStr">
        <x:is>
          <x:t xml:space="preserve">2026-10-06</x:t>
        </x:is>
      </x:c>
      <x:c r="B1222" s="604" t="inlineStr">
        <x:is>
          <x:t xml:space="preserve">2026-10-07 07:00</x:t>
        </x:is>
      </x:c>
      <x:c r="C1222" s="604" t="str">
        <x:v>北美系列</x:v>
      </x:c>
      <x:c r="D1222" s="604" t="inlineStr">
        <x:is>
          <x:t xml:space="preserve">联赛</x:t>
        </x:is>
      </x:c>
      <x:c r="E1222" s="604" t="inlineStr">
        <x:is>
          <x:t xml:space="preserve">中北美国联</x:t>
        </x:is>
      </x:c>
      <x:c r="F1222" s="604" t="inlineStr">
        <x:is>
          <x:t xml:space="preserve">安提瓜和巴布达 vs 阿鲁巴</x:t>
        </x:is>
      </x:c>
      <x:c r="G1222" s="604" t="n">
        <x:v>0.83</x:v>
      </x:c>
      <x:c r="H1222" s="604" t="n">
        <x:v>0</x:v>
      </x:c>
      <x:c r="I1222" s="604" t="n">
        <x:v>0.87</x:v>
      </x:c>
      <x:c r="J1222" s="604" t="inlineStr">
        <x:is>
          <x:t xml:space="preserve">0.83/0/0.87</x:t>
        </x:is>
      </x:c>
      <x:c r="K1222" s="604" t="inlineStr">
        <x:is>
          <x:t xml:space="preserve">V4-C｜EV +0.0393</x:t>
        </x:is>
      </x:c>
      <x:c r="L1222" s="604" t="str"/>
      <x:c r="M1222" s="604" t="n">
        <x:v>0.5710183790900374</x:v>
      </x:c>
      <x:c r="N1222" s="604" t="inlineStr">
        <x:is>
          <x:t xml:space="preserve">V4纸面入选-C</x:t>
        </x:is>
      </x:c>
      <x:c r="O1222" s="604" t="inlineStr">
        <x:is>
          <x:t xml:space="preserve">2-2</x:t>
        </x:is>
      </x:c>
      <x:c r="P1222" s="604" t="inlineStr">
        <x:is>
          <x:t xml:space="preserve">已结算</x:t>
        </x:is>
      </x:c>
      <x:c r="Q1222" s="647" t="inlineStr">
        <x:is>
          <x:t xml:space="preserve">走</x:t>
        </x:is>
      </x:c>
      <x:c r="R1222" s="604" t="n">
        <x:v>0.87</x:v>
      </x:c>
      <x:c r="S1222" s="604" t="n">
        <x:f>IF(OR(Q1222="",Q1222="待结算"),"",IF(Q1222="红",R1222,IF(Q1222="半红",R1222*0.5,IF(Q1222="走",0,IF(Q1222="半黑",-0.5,-1)))))</x:f>
        <x:v>0</x:v>
      </x:c>
      <x:c r="T1222" s="604" t="inlineStr">
        <x:is>
          <x:t xml:space="preserve">https://m.titan007.com/analy/Analysis/3092507.htm</x:t>
        </x:is>
      </x:c>
      <x:c r="U1222" s="647" t="str">
        <x:f>IF(Q1222="","",IF(Q1222="待结算","待结算",IF(Q1222="红","黑",IF(Q1222="半红","半黑",IF(Q1222="走","走",IF(Q1222="半黑","半红","红"))))))</x:f>
        <x:v>走</x:v>
      </x:c>
      <x:c r="V1222" s="604" t="n">
        <x:f>IF(OR(Q1222="",Q1222="待结算"),"",IF(L1222=LEFT(F1222,FIND(" vs ",F1222)-1),I1222,G1222))</x:f>
        <x:v>0.83</x:v>
      </x:c>
      <x:c r="W1222" s="604" t="n">
        <x:f>IF(OR(U1222="",U1222="待结算"),"",IF(U1222="红",V1222,IF(U1222="半红",V1222*0.5,IF(U1222="走",0,IF(U1222="半黑",-0.5,-1)))))</x:f>
        <x:v>0</x:v>
      </x:c>
      <x:c r="X1222" s="604" t="inlineStr">
        <x:is>
          <x:t xml:space="preserve">3092507</x:t>
        </x:is>
      </x:c>
      <x:c r="Y1222" s="604" t="inlineStr">
        <x:is>
          <x:t xml:space="preserve">V4</x:t>
        </x:is>
      </x:c>
      <x:c r="Z1222" s="604" t="inlineStr">
        <x:is>
          <x:t xml:space="preserve">prior-2026-10-06-v1</x:t>
        </x:is>
      </x:c>
      <x:c r="AA1222" s="604" t="inlineStr">
        <x:is>
          <x:t xml:space="preserve">C</x:t>
        </x:is>
      </x:c>
      <x:c r="AB1222" s="604" t="n">
        <x:v>0.4987797509156743</x:v>
      </x:c>
      <x:c r="AC1222" s="604" t="n"/>
      <x:c r="AD1222" s="604" t="n"/>
      <x:c r="AE1222" s="604" t="n">
        <x:v>0.2530168233445687</x:v>
      </x:c>
      <x:c r="AF1222" s="604" t="n">
        <x:v>0.2482034257397569</x:v>
      </x:c>
      <x:c r="AG1222" s="604" t="n">
        <x:v>0.0392753558479684</x:v>
      </x:c>
      <x:c r="AH1222" s="604" t="n"/>
      <x:c r="AI1222" s="604" t="n"/>
      <x:c r="AJ1222" s="604" t="n">
        <x:v>0.0392753558479684</x:v>
      </x:c>
      <x:c r="AK1222" s="604" t="n"/>
      <x:c r="AL1222" s="604" t="n"/>
      <x:c r="AM1222" s="604" t="n"/>
      <x:c r="AN1222" s="604" t="inlineStr">
        <x:is>
          <x:t xml:space="preserve">EVALUATED</x:t>
        </x:is>
      </x:c>
      <x:c r="AO1222" s="604" t="inlineStr">
        <x:is>
          <x:t xml:space="preserve">EDGE_BELOW_UNCERTAINTY_THRESHOLD、BUCKET_PRIOR_ONLY、INTENT_INTERPRETATION_ONLY、FFL_OPTIONAL、EXPERT_MARKET</x:t>
        </x:is>
      </x:c>
      <x:c r="AP1222" s="604" t="inlineStr">
        <x:is>
          <x:t xml:space="preserve">6b6e6ad3861b6c2ba73d</x:t>
        </x:is>
      </x:c>
      <x:c r="AQ1222" s="604" t="n">
        <x:v>0</x:v>
      </x:c>
      <x:c r="AR1222" s="604" t="n"/>
      <x:c r="AS1222" s="604" t="n">
        <x:v>0</x:v>
      </x:c>
      <x:c r="AT1222" s="604" t="n">
        <x:v>0</x:v>
      </x:c>
      <x:c r="AU1222" s="604" t="n">
        <x:v>0.83</x:v>
      </x:c>
      <x:c r="AV1222" s="604" t="n">
        <x:v>0.87</x:v>
      </x:c>
      <x:c r="AW1222" s="604" t="n">
        <x:v>46301.03159395833</x:v>
      </x:c>
      <x:c r="AX1222" s="604" t="inlineStr">
        <x:is>
          <x:t xml:space="preserve">https://simondongxiao.github.io/odds/v4/</x:t>
        </x:is>
      </x:c>
      <x:c r="AY1222" s="604" t="inlineStr">
        <x:is>
          <x:t xml:space="preserve">V4 Shadow Only；real_money=false；P(EV&gt;0)不是比赛胜率</x:t>
        </x:is>
      </x:c>
    </x:row>
    <x:row r="1223" ht="22" customHeight="1">
      <x:c r="A1223" s="604" t="inlineStr">
        <x:is>
          <x:t xml:space="preserve">2026-10-06</x:t>
        </x:is>
      </x:c>
      <x:c r="B1223" s="604" t="inlineStr">
        <x:is>
          <x:t xml:space="preserve">2026-10-07 07:00</x:t>
        </x:is>
      </x:c>
      <x:c r="C1223" s="604" t="str">
        <x:v>其他系列</x:v>
      </x:c>
      <x:c r="D1223" s="604" t="inlineStr">
        <x:is>
          <x:t xml:space="preserve">联赛</x:t>
        </x:is>
      </x:c>
      <x:c r="E1223" s="604" t="inlineStr">
        <x:is>
          <x:t xml:space="preserve">国际友谊</x:t>
        </x:is>
      </x:c>
      <x:c r="F1223" s="604" t="inlineStr">
        <x:is>
          <x:t xml:space="preserve">阿根廷(中) vs 贝宁</x:t>
        </x:is>
      </x:c>
      <x:c r="G1223" s="604" t="n">
        <x:v>0.89</x:v>
      </x:c>
      <x:c r="H1223" s="604" t="n">
        <x:v>4.5</x:v>
      </x:c>
      <x:c r="I1223" s="604" t="n">
        <x:v>0.87</x:v>
      </x:c>
      <x:c r="J1223" s="604" t="inlineStr">
        <x:is>
          <x:t xml:space="preserve">0.89/4.5/0.87</x:t>
        </x:is>
      </x:c>
      <x:c r="K1223" s="604" t="inlineStr">
        <x:is>
          <x:t xml:space="preserve">V4-C｜EV +0.4895</x:t>
        </x:is>
      </x:c>
      <x:c r="L1223" s="604" t="inlineStr">
        <x:is>
          <x:t xml:space="preserve">贝宁</x:t>
        </x:is>
      </x:c>
      <x:c r="M1223" s="604" t="n">
        <x:v>0.796537753147862</x:v>
      </x:c>
      <x:c r="N1223" s="604" t="inlineStr">
        <x:is>
          <x:t xml:space="preserve">V4纸面入选-C</x:t>
        </x:is>
      </x:c>
      <x:c r="O1223" s="604" t="inlineStr">
        <x:is>
          <x:t xml:space="preserve">0-0</x:t>
        </x:is>
      </x:c>
      <x:c r="P1223" s="604" t="inlineStr">
        <x:is>
          <x:t xml:space="preserve">已结算</x:t>
        </x:is>
      </x:c>
      <x:c r="Q1223" s="645" t="inlineStr">
        <x:is>
          <x:t xml:space="preserve">红</x:t>
        </x:is>
      </x:c>
      <x:c r="R1223" s="604" t="n">
        <x:v>0.87</x:v>
      </x:c>
      <x:c r="S1223" s="604" t="n">
        <x:f>IF(OR(Q1223="",Q1223="待结算"),"",IF(Q1223="红",R1223,IF(Q1223="半红",R1223*0.5,IF(Q1223="走",0,IF(Q1223="半黑",-0.5,-1)))))</x:f>
        <x:v>0.87</x:v>
      </x:c>
      <x:c r="T1223" s="604" t="inlineStr">
        <x:is>
          <x:t xml:space="preserve">https://m.titan007.com/analy/Analysis/3097387.htm</x:t>
        </x:is>
      </x:c>
      <x:c r="U1223" s="646" t="str">
        <x:f>IF(Q1223="","",IF(Q1223="待结算","待结算",IF(Q1223="红","黑",IF(Q1223="半红","半黑",IF(Q1223="走","走",IF(Q1223="半黑","半红","红"))))))</x:f>
        <x:v>黑</x:v>
      </x:c>
      <x:c r="V1223" s="604" t="n">
        <x:f>IF(OR(Q1223="",Q1223="待结算"),"",IF(L1223=LEFT(F1223,FIND(" vs ",F1223)-1),I1223,G1223))</x:f>
        <x:v>0.89</x:v>
      </x:c>
      <x:c r="W1223" s="604" t="n">
        <x:f>IF(OR(U1223="",U1223="待结算"),"",IF(U1223="红",V1223,IF(U1223="半红",V1223*0.5,IF(U1223="走",0,IF(U1223="半黑",-0.5,-1)))))</x:f>
        <x:v>-1</x:v>
      </x:c>
      <x:c r="X1223" s="604" t="inlineStr">
        <x:is>
          <x:t xml:space="preserve">3097387</x:t>
        </x:is>
      </x:c>
      <x:c r="Y1223" s="604" t="inlineStr">
        <x:is>
          <x:t xml:space="preserve">V4</x:t>
        </x:is>
      </x:c>
      <x:c r="Z1223" s="604" t="inlineStr">
        <x:is>
          <x:t xml:space="preserve">prior-2026-10-06-v1</x:t>
        </x:is>
      </x:c>
      <x:c r="AA1223" s="604" t="inlineStr">
        <x:is>
          <x:t xml:space="preserve">C</x:t>
        </x:is>
      </x:c>
      <x:c r="AB1223" s="604" t="n">
        <x:v>0.796537753147862</x:v>
      </x:c>
      <x:c r="AC1223" s="604" t="n"/>
      <x:c r="AD1223" s="604" t="n"/>
      <x:c r="AE1223" s="604" t="n"/>
      <x:c r="AF1223" s="604" t="n">
        <x:v>0.203462246852138</x:v>
      </x:c>
      <x:c r="AG1223" s="604" t="n">
        <x:v>0.489525598386502</x:v>
      </x:c>
      <x:c r="AH1223" s="604" t="n"/>
      <x:c r="AI1223" s="604" t="n"/>
      <x:c r="AJ1223" s="604" t="n">
        <x:v>0.489525598386502</x:v>
      </x:c>
      <x:c r="AK1223" s="604" t="n"/>
      <x:c r="AL1223" s="604" t="n"/>
      <x:c r="AM1223" s="604" t="n"/>
      <x:c r="AN1223" s="604" t="inlineStr">
        <x:is>
          <x:t xml:space="preserve">EVALUATED</x:t>
        </x:is>
      </x:c>
      <x:c r="AO1223" s="604" t="inlineStr">
        <x:is>
          <x:t xml:space="preserve">RECEIVING_VALIDATED_EDGE、BUCKET_PRIOR_ONLY、INTENT_INTERPRETATION_ONLY、FFL_OPTIONAL、EXPERT_MARKET</x:t>
        </x:is>
      </x:c>
      <x:c r="AP1223" s="604" t="inlineStr">
        <x:is>
          <x:t xml:space="preserve">209191e0b5de00037b8e</x:t>
        </x:is>
      </x:c>
      <x:c r="AQ1223" s="604" t="n">
        <x:v>4.5</x:v>
      </x:c>
      <x:c r="AR1223" s="604" t="n">
        <x:v>0.87</x:v>
      </x:c>
      <x:c r="AS1223" s="604" t="n">
        <x:v>4.5</x:v>
      </x:c>
      <x:c r="AT1223" s="604" t="n">
        <x:v>-4.5</x:v>
      </x:c>
      <x:c r="AU1223" s="604" t="n">
        <x:v>0.89</x:v>
      </x:c>
      <x:c r="AV1223" s="604" t="n">
        <x:v>0.87</x:v>
      </x:c>
      <x:c r="AW1223" s="604" t="n">
        <x:v>46301.03159395833</x:v>
      </x:c>
      <x:c r="AX1223" s="604" t="inlineStr">
        <x:is>
          <x:t xml:space="preserve">https://simondongxiao.github.io/odds/v4/</x:t>
        </x:is>
      </x:c>
      <x:c r="AY1223" s="604" t="inlineStr">
        <x:is>
          <x:t xml:space="preserve">V4 Shadow Only；real_money=false；P(EV&gt;0)不是比赛胜率</x:t>
        </x:is>
      </x:c>
    </x:row>
    <x:row r="1224" ht="22" customHeight="1">
      <x:c r="A1224" s="604" t="inlineStr">
        <x:is>
          <x:t xml:space="preserve">2026-10-06</x:t>
        </x:is>
      </x:c>
      <x:c r="B1224" s="604" t="inlineStr">
        <x:is>
          <x:t xml:space="preserve">2026-10-07 07:30</x:t>
        </x:is>
      </x:c>
      <x:c r="C1224" s="604" t="str">
        <x:v>南美系列</x:v>
      </x:c>
      <x:c r="D1224" s="604" t="inlineStr">
        <x:is>
          <x:t xml:space="preserve">联赛</x:t>
        </x:is>
      </x:c>
      <x:c r="E1224" s="604" t="inlineStr">
        <x:is>
          <x:t xml:space="preserve">巴西乙</x:t>
        </x:is>
      </x:c>
      <x:c r="F1224" s="604" t="inlineStr">
        <x:is>
          <x:t xml:space="preserve">戈伊亚斯 vs 巴西竞技</x:t>
        </x:is>
      </x:c>
      <x:c r="G1224" s="604" t="n">
        <x:v>0.84</x:v>
      </x:c>
      <x:c r="H1224" s="604" t="n">
        <x:v>0.5</x:v>
      </x:c>
      <x:c r="I1224" s="604" t="n">
        <x:v>1.04</x:v>
      </x:c>
      <x:c r="J1224" s="604" t="inlineStr">
        <x:is>
          <x:t xml:space="preserve">0.84/0.5/1.04</x:t>
        </x:is>
      </x:c>
      <x:c r="K1224" s="604" t="inlineStr">
        <x:is>
          <x:t xml:space="preserve">V4-B｜EV +0.1772</x:t>
        </x:is>
      </x:c>
      <x:c r="L1224" s="604" t="inlineStr">
        <x:is>
          <x:t xml:space="preserve">戈伊亚斯</x:t>
        </x:is>
      </x:c>
      <x:c r="M1224" s="604" t="n">
        <x:v>0.6398062579528462</x:v>
      </x:c>
      <x:c r="N1224" s="604" t="inlineStr">
        <x:is>
          <x:t xml:space="preserve">V4纸面入选-B</x:t>
        </x:is>
      </x:c>
      <x:c r="O1224" s="604" t="inlineStr">
        <x:is>
          <x:t xml:space="preserve">0-0</x:t>
        </x:is>
      </x:c>
      <x:c r="P1224" s="604" t="inlineStr">
        <x:is>
          <x:t xml:space="preserve">已结算</x:t>
        </x:is>
      </x:c>
      <x:c r="Q1224" s="646" t="inlineStr">
        <x:is>
          <x:t xml:space="preserve">黑</x:t>
        </x:is>
      </x:c>
      <x:c r="R1224" s="604" t="n">
        <x:v>0.84</x:v>
      </x:c>
      <x:c r="S1224" s="604" t="n">
        <x:f>IF(OR(Q1224="",Q1224="待结算"),"",IF(Q1224="红",R1224,IF(Q1224="半红",R1224*0.5,IF(Q1224="走",0,IF(Q1224="半黑",-0.5,-1)))))</x:f>
        <x:v>-1</x:v>
      </x:c>
      <x:c r="T1224" s="604" t="inlineStr">
        <x:is>
          <x:t xml:space="preserve">https://m.titan007.com/analy/Analysis/2940219.htm</x:t>
        </x:is>
      </x:c>
      <x:c r="U1224" s="645" t="str">
        <x:f>IF(Q1224="","",IF(Q1224="待结算","待结算",IF(Q1224="红","黑",IF(Q1224="半红","半黑",IF(Q1224="走","走",IF(Q1224="半黑","半红","红"))))))</x:f>
        <x:v>红</x:v>
      </x:c>
      <x:c r="V1224" s="604" t="n">
        <x:f>IF(OR(Q1224="",Q1224="待结算"),"",IF(L1224=LEFT(F1224,FIND(" vs ",F1224)-1),I1224,G1224))</x:f>
        <x:v>1.04</x:v>
      </x:c>
      <x:c r="W1224" s="604" t="n">
        <x:f>IF(OR(U1224="",U1224="待结算"),"",IF(U1224="红",V1224,IF(U1224="半红",V1224*0.5,IF(U1224="走",0,IF(U1224="半黑",-0.5,-1)))))</x:f>
        <x:v>1.04</x:v>
      </x:c>
      <x:c r="X1224" s="604" t="inlineStr">
        <x:is>
          <x:t xml:space="preserve">2940219</x:t>
        </x:is>
      </x:c>
      <x:c r="Y1224" s="604" t="inlineStr">
        <x:is>
          <x:t xml:space="preserve">V4</x:t>
        </x:is>
      </x:c>
      <x:c r="Z1224" s="604" t="inlineStr">
        <x:is>
          <x:t xml:space="preserve">prior-2026-10-06-v1</x:t>
        </x:is>
      </x:c>
      <x:c r="AA1224" s="604" t="inlineStr">
        <x:is>
          <x:t xml:space="preserve">B</x:t>
        </x:is>
      </x:c>
      <x:c r="AB1224" s="604" t="n">
        <x:v>0.6398062579528462</x:v>
      </x:c>
      <x:c r="AC1224" s="604" t="n"/>
      <x:c r="AD1224" s="604" t="n"/>
      <x:c r="AE1224" s="604" t="n"/>
      <x:c r="AF1224" s="604" t="n">
        <x:v>0.3601937420471538</x:v>
      </x:c>
      <x:c r="AG1224" s="604" t="n">
        <x:v>0.177243514633237</x:v>
      </x:c>
      <x:c r="AH1224" s="604" t="n"/>
      <x:c r="AI1224" s="604" t="n"/>
      <x:c r="AJ1224" s="604" t="n">
        <x:v>0.177243514633237</x:v>
      </x:c>
      <x:c r="AK1224" s="604" t="n"/>
      <x:c r="AL1224" s="604" t="n"/>
      <x:c r="AM1224" s="604" t="n"/>
      <x:c r="AN1224" s="604" t="inlineStr">
        <x:is>
          <x:t xml:space="preserve">EVALUATED</x:t>
        </x:is>
      </x:c>
      <x:c r="AO1224" s="604" t="inlineStr">
        <x:is>
          <x:t xml:space="preserve">GIVING_VALIDATED_EDGE、BUCKET_PRIOR_ONLY、INTENT_INTERPRETATION_ONLY、FFL_OPTIONAL、EXPERT_MARKET</x:t>
        </x:is>
      </x:c>
      <x:c r="AP1224" s="604" t="inlineStr">
        <x:is>
          <x:t xml:space="preserve">a80341e6a924df0323e6</x:t>
        </x:is>
      </x:c>
      <x:c r="AQ1224" s="604" t="n">
        <x:v>-0.5</x:v>
      </x:c>
      <x:c r="AR1224" s="604" t="n">
        <x:v>0.84</x:v>
      </x:c>
      <x:c r="AS1224" s="604" t="n">
        <x:v>0.5</x:v>
      </x:c>
      <x:c r="AT1224" s="604" t="n">
        <x:v>-0.5</x:v>
      </x:c>
      <x:c r="AU1224" s="604" t="n">
        <x:v>0.84</x:v>
      </x:c>
      <x:c r="AV1224" s="604" t="n">
        <x:v>1.04</x:v>
      </x:c>
      <x:c r="AW1224" s="604" t="n">
        <x:v>46301.03159395833</x:v>
      </x:c>
      <x:c r="AX1224" s="604" t="inlineStr">
        <x:is>
          <x:t xml:space="preserve">https://simondongxiao.github.io/odds/v4/</x:t>
        </x:is>
      </x:c>
      <x:c r="AY1224" s="604" t="inlineStr">
        <x:is>
          <x:t xml:space="preserve">V4 Shadow Only；real_money=false；P(EV&gt;0)不是比赛胜率</x:t>
        </x:is>
      </x:c>
    </x:row>
    <x:row r="1225" ht="22" customHeight="1">
      <x:c r="A1225" s="604" t="inlineStr">
        <x:is>
          <x:t xml:space="preserve">2026-10-06</x:t>
        </x:is>
      </x:c>
      <x:c r="B1225" s="604" t="inlineStr">
        <x:is>
          <x:t xml:space="preserve">2026-10-07 07:30</x:t>
        </x:is>
      </x:c>
      <x:c r="C1225" s="604" t="str">
        <x:v>南美系列</x:v>
      </x:c>
      <x:c r="D1225" s="604" t="inlineStr">
        <x:is>
          <x:t xml:space="preserve">杯赛</x:t>
        </x:is>
      </x:c>
      <x:c r="E1225" s="604" t="inlineStr">
        <x:is>
          <x:t xml:space="preserve">智利杯</x:t>
        </x:is>
      </x:c>
      <x:c r="F1225" s="604" t="inlineStr">
        <x:is>
          <x:t xml:space="preserve">科洛科洛 vs 蒙特港</x:t>
        </x:is>
      </x:c>
      <x:c r="G1225" s="604" t="n">
        <x:v>0.88</x:v>
      </x:c>
      <x:c r="H1225" s="604" t="n">
        <x:v>1.75</x:v>
      </x:c>
      <x:c r="I1225" s="604" t="n">
        <x:v>0.9399999999999999</x:v>
      </x:c>
      <x:c r="J1225" s="604" t="inlineStr">
        <x:is>
          <x:t xml:space="preserve">0.88/1.75/0.94</x:t>
        </x:is>
      </x:c>
      <x:c r="K1225" s="604" t="inlineStr">
        <x:is>
          <x:t xml:space="preserve">V4-B｜EV +0.2572</x:t>
        </x:is>
      </x:c>
      <x:c r="L1225" s="604" t="inlineStr">
        <x:is>
          <x:t xml:space="preserve">科洛科洛</x:t>
        </x:is>
      </x:c>
      <x:c r="M1225" s="604" t="n">
        <x:v>0.6877718634355314</x:v>
      </x:c>
      <x:c r="N1225" s="604" t="inlineStr">
        <x:is>
          <x:t xml:space="preserve">V4纸面入选-B</x:t>
        </x:is>
      </x:c>
      <x:c r="O1225" s="604" t="inlineStr">
        <x:is>
          <x:t xml:space="preserve">1-0</x:t>
        </x:is>
      </x:c>
      <x:c r="P1225" s="604" t="inlineStr">
        <x:is>
          <x:t xml:space="preserve">已结算</x:t>
        </x:is>
      </x:c>
      <x:c r="Q1225" s="646" t="inlineStr">
        <x:is>
          <x:t xml:space="preserve">黑</x:t>
        </x:is>
      </x:c>
      <x:c r="R1225" s="604" t="n">
        <x:v>0.88</x:v>
      </x:c>
      <x:c r="S1225" s="604" t="n">
        <x:f>IF(OR(Q1225="",Q1225="待结算"),"",IF(Q1225="红",R1225,IF(Q1225="半红",R1225*0.5,IF(Q1225="走",0,IF(Q1225="半黑",-0.5,-1)))))</x:f>
        <x:v>-1</x:v>
      </x:c>
      <x:c r="T1225" s="604" t="inlineStr">
        <x:is>
          <x:t xml:space="preserve">https://m.titan007.com/analy/Analysis/3096516.htm</x:t>
        </x:is>
      </x:c>
      <x:c r="U1225" s="645" t="str">
        <x:f>IF(Q1225="","",IF(Q1225="待结算","待结算",IF(Q1225="红","黑",IF(Q1225="半红","半黑",IF(Q1225="走","走",IF(Q1225="半黑","半红","红"))))))</x:f>
        <x:v>红</x:v>
      </x:c>
      <x:c r="V1225" s="604" t="n">
        <x:f>IF(OR(Q1225="",Q1225="待结算"),"",IF(L1225=LEFT(F1225,FIND(" vs ",F1225)-1),I1225,G1225))</x:f>
        <x:v>0.94</x:v>
      </x:c>
      <x:c r="W1225" s="604" t="n">
        <x:f>IF(OR(U1225="",U1225="待结算"),"",IF(U1225="红",V1225,IF(U1225="半红",V1225*0.5,IF(U1225="走",0,IF(U1225="半黑",-0.5,-1)))))</x:f>
        <x:v>0.94</x:v>
      </x:c>
      <x:c r="X1225" s="604" t="inlineStr">
        <x:is>
          <x:t xml:space="preserve">3096516</x:t>
        </x:is>
      </x:c>
      <x:c r="Y1225" s="604" t="inlineStr">
        <x:is>
          <x:t xml:space="preserve">V4</x:t>
        </x:is>
      </x:c>
      <x:c r="Z1225" s="604" t="inlineStr">
        <x:is>
          <x:t xml:space="preserve">prior-2026-10-06-v1</x:t>
        </x:is>
      </x:c>
      <x:c r="AA1225" s="604" t="inlineStr">
        <x:is>
          <x:t xml:space="preserve">B</x:t>
        </x:is>
      </x:c>
      <x:c r="AB1225" s="604" t="n">
        <x:v>0.4813013537067909</x:v>
      </x:c>
      <x:c r="AC1225" s="604" t="n">
        <x:v>0.2446663725137128</x:v>
      </x:c>
      <x:c r="AD1225" s="604" t="n"/>
      <x:c r="AE1225" s="604" t="n"/>
      <x:c r="AF1225" s="604" t="n">
        <x:v>0.2740322737794962</x:v>
      </x:c>
      <x:c r="AG1225" s="604" t="n">
        <x:v>0.2571661213885135</x:v>
      </x:c>
      <x:c r="AH1225" s="604" t="n"/>
      <x:c r="AI1225" s="604" t="n"/>
      <x:c r="AJ1225" s="604" t="n">
        <x:v>0.2571661213885135</x:v>
      </x:c>
      <x:c r="AK1225" s="604" t="n"/>
      <x:c r="AL1225" s="604" t="n"/>
      <x:c r="AM1225" s="604" t="n"/>
      <x:c r="AN1225" s="604" t="inlineStr">
        <x:is>
          <x:t xml:space="preserve">EVALUATED</x:t>
        </x:is>
      </x:c>
      <x:c r="AO1225" s="604" t="inlineStr">
        <x:is>
          <x:t xml:space="preserve">GIVING_VALIDATED_EDGE、BUCKET_PRIOR_ONLY、INTENT_INTERPRETATION_ONLY、FFL_OPTIONAL、EXPERT_MARKET</x:t>
        </x:is>
      </x:c>
      <x:c r="AP1225" s="604" t="inlineStr">
        <x:is>
          <x:t xml:space="preserve">4bdbcf25df6abd6e9144</x:t>
        </x:is>
      </x:c>
      <x:c r="AQ1225" s="604" t="n">
        <x:v>-1.75</x:v>
      </x:c>
      <x:c r="AR1225" s="604" t="n">
        <x:v>0.88</x:v>
      </x:c>
      <x:c r="AS1225" s="604" t="n">
        <x:v>1.75</x:v>
      </x:c>
      <x:c r="AT1225" s="604" t="n">
        <x:v>-1.75</x:v>
      </x:c>
      <x:c r="AU1225" s="604" t="n">
        <x:v>0.88</x:v>
      </x:c>
      <x:c r="AV1225" s="604" t="n">
        <x:v>0.9399999999999999</x:v>
      </x:c>
      <x:c r="AW1225" s="604" t="n">
        <x:v>46301.03159395833</x:v>
      </x:c>
      <x:c r="AX1225" s="604" t="inlineStr">
        <x:is>
          <x:t xml:space="preserve">https://simondongxiao.github.io/odds/v4/</x:t>
        </x:is>
      </x:c>
      <x:c r="AY1225" s="604" t="inlineStr">
        <x:is>
          <x:t xml:space="preserve">V4 Shadow Only；real_money=false；P(EV&gt;0)不是比赛胜率</x:t>
        </x:is>
      </x:c>
    </x:row>
    <x:row r="1226" ht="22" customHeight="1">
      <x:c r="A1226" s="604" t="inlineStr">
        <x:is>
          <x:t xml:space="preserve">2026-10-06</x:t>
        </x:is>
      </x:c>
      <x:c r="B1226" s="604" t="inlineStr">
        <x:is>
          <x:t xml:space="preserve">2026-10-07 07:45</x:t>
        </x:is>
      </x:c>
      <x:c r="C1226" s="604" t="str">
        <x:v>其他系列</x:v>
      </x:c>
      <x:c r="D1226" s="604" t="inlineStr">
        <x:is>
          <x:t xml:space="preserve">联赛</x:t>
        </x:is>
      </x:c>
      <x:c r="E1226" s="604" t="inlineStr">
        <x:is>
          <x:t xml:space="preserve">国际友谊</x:t>
        </x:is>
      </x:c>
      <x:c r="F1226" s="604" t="inlineStr">
        <x:is>
          <x:t xml:space="preserve">哥伦比亚(中) vs 秘鲁</x:t>
        </x:is>
      </x:c>
      <x:c r="G1226" s="604" t="n">
        <x:v>0.9</x:v>
      </x:c>
      <x:c r="H1226" s="604" t="n">
        <x:v>1.25</x:v>
      </x:c>
      <x:c r="I1226" s="604" t="n">
        <x:v>0.92</x:v>
      </x:c>
      <x:c r="J1226" s="604" t="inlineStr">
        <x:is>
          <x:t xml:space="preserve">0.9/1.25/0.92</x:t>
        </x:is>
      </x:c>
      <x:c r="K1226" s="604" t="inlineStr">
        <x:is>
          <x:t xml:space="preserve">V4-C｜EV +0.2736</x:t>
        </x:is>
      </x:c>
      <x:c r="L1226" s="604" t="inlineStr">
        <x:is>
          <x:t xml:space="preserve">哥伦比亚(中)</x:t>
        </x:is>
      </x:c>
      <x:c r="M1226" s="604" t="n">
        <x:v>0.6890507371059476</x:v>
      </x:c>
      <x:c r="N1226" s="604" t="inlineStr">
        <x:is>
          <x:t xml:space="preserve">V4纸面入选-C</x:t>
        </x:is>
      </x:c>
      <x:c r="O1226" s="604" t="inlineStr">
        <x:is>
          <x:t xml:space="preserve">0-0</x:t>
        </x:is>
      </x:c>
      <x:c r="P1226" s="604" t="inlineStr">
        <x:is>
          <x:t xml:space="preserve">已结算</x:t>
        </x:is>
      </x:c>
      <x:c r="Q1226" s="646" t="inlineStr">
        <x:is>
          <x:t xml:space="preserve">黑</x:t>
        </x:is>
      </x:c>
      <x:c r="R1226" s="604" t="n">
        <x:v>0.9</x:v>
      </x:c>
      <x:c r="S1226" s="604" t="n">
        <x:f>IF(OR(Q1226="",Q1226="待结算"),"",IF(Q1226="红",R1226,IF(Q1226="半红",R1226*0.5,IF(Q1226="走",0,IF(Q1226="半黑",-0.5,-1)))))</x:f>
        <x:v>-1</x:v>
      </x:c>
      <x:c r="T1226" s="604" t="inlineStr">
        <x:is>
          <x:t xml:space="preserve">https://m.titan007.com/analy/Analysis/3097386.htm</x:t>
        </x:is>
      </x:c>
      <x:c r="U1226" s="645" t="str">
        <x:f>IF(Q1226="","",IF(Q1226="待结算","待结算",IF(Q1226="红","黑",IF(Q1226="半红","半黑",IF(Q1226="走","走",IF(Q1226="半黑","半红","红"))))))</x:f>
        <x:v>红</x:v>
      </x:c>
      <x:c r="V1226" s="604" t="n">
        <x:f>IF(OR(Q1226="",Q1226="待结算"),"",IF(L1226=LEFT(F1226,FIND(" vs ",F1226)-1),I1226,G1226))</x:f>
        <x:v>0.92</x:v>
      </x:c>
      <x:c r="W1226" s="604" t="n">
        <x:f>IF(OR(U1226="",U1226="待结算"),"",IF(U1226="红",V1226,IF(U1226="半红",V1226*0.5,IF(U1226="走",0,IF(U1226="半黑",-0.5,-1)))))</x:f>
        <x:v>0.92</x:v>
      </x:c>
      <x:c r="X1226" s="604" t="inlineStr">
        <x:is>
          <x:t xml:space="preserve">3097386</x:t>
        </x:is>
      </x:c>
      <x:c r="Y1226" s="604" t="inlineStr">
        <x:is>
          <x:t xml:space="preserve">V4</x:t>
        </x:is>
      </x:c>
      <x:c r="Z1226" s="604" t="inlineStr">
        <x:is>
          <x:t xml:space="preserve">prior-2026-10-06-v1</x:t>
        </x:is>
      </x:c>
      <x:c r="AA1226" s="604" t="inlineStr">
        <x:is>
          <x:t xml:space="preserve">C</x:t>
        </x:is>
      </x:c>
      <x:c r="AB1226" s="604" t="n">
        <x:v>0.6098219575855612</x:v>
      </x:c>
      <x:c r="AC1226" s="604" t="n"/>
      <x:c r="AD1226" s="604" t="n"/>
      <x:c r="AE1226" s="604" t="n">
        <x:v>0.2299650091171859</x:v>
      </x:c>
      <x:c r="AF1226" s="604" t="n">
        <x:v>0.160213033297253</x:v>
      </x:c>
      <x:c r="AG1226" s="604" t="n">
        <x:v>0.2736442239711592</x:v>
      </x:c>
      <x:c r="AH1226" s="604" t="n"/>
      <x:c r="AI1226" s="604" t="n"/>
      <x:c r="AJ1226" s="604" t="n">
        <x:v>0.2736442239711592</x:v>
      </x:c>
      <x:c r="AK1226" s="604" t="n"/>
      <x:c r="AL1226" s="604" t="n"/>
      <x:c r="AM1226" s="604" t="n"/>
      <x:c r="AN1226" s="604" t="inlineStr">
        <x:is>
          <x:t xml:space="preserve">EVALUATED</x:t>
        </x:is>
      </x:c>
      <x:c r="AO1226" s="604" t="inlineStr">
        <x:is>
          <x:t xml:space="preserve">GIVING_VALIDATED_EDGE、BUCKET_PRIOR_ONLY、INTENT_INTERPRETATION_ONLY、FFL_OPTIONAL、EXPERT_MARKET</x:t>
        </x:is>
      </x:c>
      <x:c r="AP1226" s="604" t="inlineStr">
        <x:is>
          <x:t xml:space="preserve">6c21c73e1bf24bad46e8</x:t>
        </x:is>
      </x:c>
      <x:c r="AQ1226" s="604" t="n">
        <x:v>-1.25</x:v>
      </x:c>
      <x:c r="AR1226" s="604" t="n">
        <x:v>0.9</x:v>
      </x:c>
      <x:c r="AS1226" s="604" t="n">
        <x:v>1.25</x:v>
      </x:c>
      <x:c r="AT1226" s="604" t="n">
        <x:v>-1.25</x:v>
      </x:c>
      <x:c r="AU1226" s="604" t="n">
        <x:v>0.9</x:v>
      </x:c>
      <x:c r="AV1226" s="604" t="n">
        <x:v>0.92</x:v>
      </x:c>
      <x:c r="AW1226" s="604" t="n">
        <x:v>46301.03159395833</x:v>
      </x:c>
      <x:c r="AX1226" s="604" t="inlineStr">
        <x:is>
          <x:t xml:space="preserve">https://simondongxiao.github.io/odds/v4/</x:t>
        </x:is>
      </x:c>
      <x:c r="AY1226" s="604" t="inlineStr">
        <x:is>
          <x:t xml:space="preserve">V4 Shadow Only；real_money=false；P(EV&gt;0)不是比赛胜率</x:t>
        </x:is>
      </x:c>
    </x:row>
    <x:row r="1227" ht="22" customHeight="1">
      <x:c r="A1227" s="604" t="inlineStr">
        <x:is>
          <x:t xml:space="preserve">2026-10-06</x:t>
        </x:is>
      </x:c>
      <x:c r="B1227" s="604" t="inlineStr">
        <x:is>
          <x:t xml:space="preserve">2026-10-07 08:00</x:t>
        </x:is>
      </x:c>
      <x:c r="C1227" s="604" t="str">
        <x:v>北美系列</x:v>
      </x:c>
      <x:c r="D1227" s="604" t="inlineStr">
        <x:is>
          <x:t xml:space="preserve">联赛</x:t>
        </x:is>
      </x:c>
      <x:c r="E1227" s="604" t="inlineStr">
        <x:is>
          <x:t xml:space="preserve">尼拉甲春</x:t>
        </x:is>
      </x:c>
      <x:c r="F1227" s="604" t="inlineStr">
        <x:is>
          <x:t xml:space="preserve">圣马科斯 vs 迪利安格恩</x:t>
        </x:is>
      </x:c>
      <x:c r="G1227" s="604" t="n">
        <x:v>0.77</x:v>
      </x:c>
      <x:c r="H1227" s="604" t="n">
        <x:v>-1.5</x:v>
      </x:c>
      <x:c r="I1227" s="604" t="n">
        <x:v>0.96</x:v>
      </x:c>
      <x:c r="J1227" s="604" t="inlineStr">
        <x:is>
          <x:t xml:space="preserve">0.77/-1.5/0.96</x:t>
        </x:is>
      </x:c>
      <x:c r="K1227" s="604" t="inlineStr">
        <x:is>
          <x:t xml:space="preserve">V4-B｜EV +0.7603</x:t>
        </x:is>
      </x:c>
      <x:c r="L1227" s="604" t="inlineStr">
        <x:is>
          <x:t xml:space="preserve">圣马科斯</x:t>
        </x:is>
      </x:c>
      <x:c r="M1227" s="604" t="n">
        <x:v>0.9945298144297042</x:v>
      </x:c>
      <x:c r="N1227" s="604" t="inlineStr">
        <x:is>
          <x:t xml:space="preserve">V4纸面入选-B</x:t>
        </x:is>
      </x:c>
      <x:c r="O1227" s="604" t="inlineStr">
        <x:is>
          <x:t xml:space="preserve">1-2</x:t>
        </x:is>
      </x:c>
      <x:c r="P1227" s="604" t="inlineStr">
        <x:is>
          <x:t xml:space="preserve">已结算</x:t>
        </x:is>
      </x:c>
      <x:c r="Q1227" s="645" t="inlineStr">
        <x:is>
          <x:t xml:space="preserve">红</x:t>
        </x:is>
      </x:c>
      <x:c r="R1227" s="604" t="n">
        <x:v>0.77</x:v>
      </x:c>
      <x:c r="S1227" s="604" t="n">
        <x:f>IF(OR(Q1227="",Q1227="待结算"),"",IF(Q1227="红",R1227,IF(Q1227="半红",R1227*0.5,IF(Q1227="走",0,IF(Q1227="半黑",-0.5,-1)))))</x:f>
        <x:v>0.77</x:v>
      </x:c>
      <x:c r="T1227" s="604" t="inlineStr">
        <x:is>
          <x:t xml:space="preserve">https://m.titan007.com/analy/Analysis/3090469.htm</x:t>
        </x:is>
      </x:c>
      <x:c r="U1227" s="646" t="str">
        <x:f>IF(Q1227="","",IF(Q1227="待结算","待结算",IF(Q1227="红","黑",IF(Q1227="半红","半黑",IF(Q1227="走","走",IF(Q1227="半黑","半红","红"))))))</x:f>
        <x:v>黑</x:v>
      </x:c>
      <x:c r="V1227" s="604" t="n">
        <x:f>IF(OR(Q1227="",Q1227="待结算"),"",IF(L1227=LEFT(F1227,FIND(" vs ",F1227)-1),I1227,G1227))</x:f>
        <x:v>0.96</x:v>
      </x:c>
      <x:c r="W1227" s="604" t="n">
        <x:f>IF(OR(U1227="",U1227="待结算"),"",IF(U1227="红",V1227,IF(U1227="半红",V1227*0.5,IF(U1227="走",0,IF(U1227="半黑",-0.5,-1)))))</x:f>
        <x:v>-1</x:v>
      </x:c>
      <x:c r="X1227" s="604" t="inlineStr">
        <x:is>
          <x:t xml:space="preserve">3090469</x:t>
        </x:is>
      </x:c>
      <x:c r="Y1227" s="604" t="inlineStr">
        <x:is>
          <x:t xml:space="preserve">V4</x:t>
        </x:is>
      </x:c>
      <x:c r="Z1227" s="604" t="inlineStr">
        <x:is>
          <x:t xml:space="preserve">prior-2026-10-06-v1</x:t>
        </x:is>
      </x:c>
      <x:c r="AA1227" s="604" t="inlineStr">
        <x:is>
          <x:t xml:space="preserve">B</x:t>
        </x:is>
      </x:c>
      <x:c r="AB1227" s="604" t="n">
        <x:v>0.9945298144297042</x:v>
      </x:c>
      <x:c r="AC1227" s="604" t="n"/>
      <x:c r="AD1227" s="604" t="n"/>
      <x:c r="AE1227" s="604" t="n"/>
      <x:c r="AF1227" s="604" t="n">
        <x:v>0.005470185570295762</x:v>
      </x:c>
      <x:c r="AG1227" s="604" t="n">
        <x:v>0.7603177715405764</x:v>
      </x:c>
      <x:c r="AH1227" s="604" t="n"/>
      <x:c r="AI1227" s="604" t="n"/>
      <x:c r="AJ1227" s="604" t="n">
        <x:v>0.7603177715405764</x:v>
      </x:c>
      <x:c r="AK1227" s="604" t="n"/>
      <x:c r="AL1227" s="604" t="n"/>
      <x:c r="AM1227" s="604" t="n"/>
      <x:c r="AN1227" s="604" t="inlineStr">
        <x:is>
          <x:t xml:space="preserve">EVALUATED</x:t>
        </x:is>
      </x:c>
      <x:c r="AO1227" s="604" t="inlineStr">
        <x:is>
          <x:t xml:space="preserve">RECEIVING_VALIDATED_EDGE、BUCKET_PRIOR_ONLY、INTENT_INTERPRETATION_ONLY、FFL_OPTIONAL、EXPERT_MARKET</x:t>
        </x:is>
      </x:c>
      <x:c r="AP1227" s="604" t="inlineStr">
        <x:is>
          <x:t xml:space="preserve">25b869c8907bdd84c146</x:t>
        </x:is>
      </x:c>
      <x:c r="AQ1227" s="604" t="n">
        <x:v>1.5</x:v>
      </x:c>
      <x:c r="AR1227" s="604" t="n">
        <x:v>0.77</x:v>
      </x:c>
      <x:c r="AS1227" s="604" t="n">
        <x:v>-1.5</x:v>
      </x:c>
      <x:c r="AT1227" s="604" t="n">
        <x:v>1.5</x:v>
      </x:c>
      <x:c r="AU1227" s="604" t="n">
        <x:v>0.77</x:v>
      </x:c>
      <x:c r="AV1227" s="604" t="n">
        <x:v>0.96</x:v>
      </x:c>
      <x:c r="AW1227" s="604" t="n">
        <x:v>46301.03159395833</x:v>
      </x:c>
      <x:c r="AX1227" s="604" t="inlineStr">
        <x:is>
          <x:t xml:space="preserve">https://simondongxiao.github.io/odds/v4/</x:t>
        </x:is>
      </x:c>
      <x:c r="AY1227" s="604" t="inlineStr">
        <x:is>
          <x:t xml:space="preserve">V4 Shadow Only；real_money=false；P(EV&gt;0)不是比赛胜率</x:t>
        </x:is>
      </x:c>
    </x:row>
    <x:row r="1228" ht="22" customHeight="1">
      <x:c r="A1228" s="604" t="inlineStr">
        <x:is>
          <x:t xml:space="preserve">2026-10-06</x:t>
        </x:is>
      </x:c>
      <x:c r="B1228" s="604" t="inlineStr">
        <x:is>
          <x:t xml:space="preserve">2026-10-07 08:00</x:t>
        </x:is>
      </x:c>
      <x:c r="C1228" s="604" t="str">
        <x:v>其他系列</x:v>
      </x:c>
      <x:c r="D1228" s="604" t="inlineStr">
        <x:is>
          <x:t xml:space="preserve">联赛</x:t>
        </x:is>
      </x:c>
      <x:c r="E1228" s="604" t="inlineStr">
        <x:is>
          <x:t xml:space="preserve">国际友谊</x:t>
        </x:is>
      </x:c>
      <x:c r="F1228" s="604" t="inlineStr">
        <x:is>
          <x:t xml:space="preserve">美国(中) vs 加拿大</x:t>
        </x:is>
      </x:c>
      <x:c r="G1228" s="604" t="n">
        <x:v>0.8</x:v>
      </x:c>
      <x:c r="H1228" s="604" t="n">
        <x:v>0.5</x:v>
      </x:c>
      <x:c r="I1228" s="604" t="n">
        <x:v>1.02</x:v>
      </x:c>
      <x:c r="J1228" s="604" t="inlineStr">
        <x:is>
          <x:t xml:space="preserve">0.8/0.5/1.02</x:t>
        </x:is>
      </x:c>
      <x:c r="K1228" s="604" t="inlineStr">
        <x:is>
          <x:t xml:space="preserve">V4-C｜EV +0.0710</x:t>
        </x:is>
      </x:c>
      <x:c r="L1228" s="604" t="inlineStr">
        <x:is>
          <x:t xml:space="preserve">美国(中)</x:t>
        </x:is>
      </x:c>
      <x:c r="M1228" s="604" t="n">
        <x:v>0.5950220002994739</x:v>
      </x:c>
      <x:c r="N1228" s="604" t="inlineStr">
        <x:is>
          <x:t xml:space="preserve">V4纸面入选-C</x:t>
        </x:is>
      </x:c>
      <x:c r="O1228" s="604" t="inlineStr">
        <x:is>
          <x:t xml:space="preserve">1-0</x:t>
        </x:is>
      </x:c>
      <x:c r="P1228" s="604" t="inlineStr">
        <x:is>
          <x:t xml:space="preserve">已结算</x:t>
        </x:is>
      </x:c>
      <x:c r="Q1228" s="645" t="inlineStr">
        <x:is>
          <x:t xml:space="preserve">红</x:t>
        </x:is>
      </x:c>
      <x:c r="R1228" s="604" t="n">
        <x:v>0.8</x:v>
      </x:c>
      <x:c r="S1228" s="604" t="n">
        <x:f>IF(OR(Q1228="",Q1228="待结算"),"",IF(Q1228="红",R1228,IF(Q1228="半红",R1228*0.5,IF(Q1228="走",0,IF(Q1228="半黑",-0.5,-1)))))</x:f>
        <x:v>0.8</x:v>
      </x:c>
      <x:c r="T1228" s="604" t="inlineStr">
        <x:is>
          <x:t xml:space="preserve">https://m.titan007.com/analy/Analysis/3097883.htm</x:t>
        </x:is>
      </x:c>
      <x:c r="U1228" s="646" t="str">
        <x:f>IF(Q1228="","",IF(Q1228="待结算","待结算",IF(Q1228="红","黑",IF(Q1228="半红","半黑",IF(Q1228="走","走",IF(Q1228="半黑","半红","红"))))))</x:f>
        <x:v>黑</x:v>
      </x:c>
      <x:c r="V1228" s="604" t="n">
        <x:f>IF(OR(Q1228="",Q1228="待结算"),"",IF(L1228=LEFT(F1228,FIND(" vs ",F1228)-1),I1228,G1228))</x:f>
        <x:v>1.02</x:v>
      </x:c>
      <x:c r="W1228" s="604" t="n">
        <x:f>IF(OR(U1228="",U1228="待结算"),"",IF(U1228="红",V1228,IF(U1228="半红",V1228*0.5,IF(U1228="走",0,IF(U1228="半黑",-0.5,-1)))))</x:f>
        <x:v>-1</x:v>
      </x:c>
      <x:c r="X1228" s="604" t="inlineStr">
        <x:is>
          <x:t xml:space="preserve">3097883</x:t>
        </x:is>
      </x:c>
      <x:c r="Y1228" s="604" t="inlineStr">
        <x:is>
          <x:t xml:space="preserve">V4</x:t>
        </x:is>
      </x:c>
      <x:c r="Z1228" s="604" t="inlineStr">
        <x:is>
          <x:t xml:space="preserve">prior-2026-10-06-v1</x:t>
        </x:is>
      </x:c>
      <x:c r="AA1228" s="604" t="inlineStr">
        <x:is>
          <x:t xml:space="preserve">C</x:t>
        </x:is>
      </x:c>
      <x:c r="AB1228" s="604" t="n">
        <x:v>0.5950220002994739</x:v>
      </x:c>
      <x:c r="AC1228" s="604" t="n"/>
      <x:c r="AD1228" s="604" t="n"/>
      <x:c r="AE1228" s="604" t="n"/>
      <x:c r="AF1228" s="604" t="n">
        <x:v>0.4049779997005261</x:v>
      </x:c>
      <x:c r="AG1228" s="604" t="n">
        <x:v>0.07103960053905312</x:v>
      </x:c>
      <x:c r="AH1228" s="604" t="n"/>
      <x:c r="AI1228" s="604" t="n"/>
      <x:c r="AJ1228" s="604" t="n">
        <x:v>0.07103960053905312</x:v>
      </x:c>
      <x:c r="AK1228" s="604" t="n"/>
      <x:c r="AL1228" s="604" t="n"/>
      <x:c r="AM1228" s="604" t="n"/>
      <x:c r="AN1228" s="604" t="inlineStr">
        <x:is>
          <x:t xml:space="preserve">EVALUATED</x:t>
        </x:is>
      </x:c>
      <x:c r="AO1228" s="604" t="inlineStr">
        <x:is>
          <x:t xml:space="preserve">GIVING_VALIDATED_EDGE、BUCKET_PRIOR_ONLY、INTENT_INTERPRETATION_ONLY、FFL_OPTIONAL、EXPERT_MARKET</x:t>
        </x:is>
      </x:c>
      <x:c r="AP1228" s="604" t="inlineStr">
        <x:is>
          <x:t xml:space="preserve">41c4dba1e38e153b637d</x:t>
        </x:is>
      </x:c>
      <x:c r="AQ1228" s="604" t="n">
        <x:v>-0.5</x:v>
      </x:c>
      <x:c r="AR1228" s="604" t="n">
        <x:v>0.8</x:v>
      </x:c>
      <x:c r="AS1228" s="604" t="n">
        <x:v>0.5</x:v>
      </x:c>
      <x:c r="AT1228" s="604" t="n">
        <x:v>-0.5</x:v>
      </x:c>
      <x:c r="AU1228" s="604" t="n">
        <x:v>0.8</x:v>
      </x:c>
      <x:c r="AV1228" s="604" t="n">
        <x:v>1.02</x:v>
      </x:c>
      <x:c r="AW1228" s="604" t="n">
        <x:v>46301.03159395833</x:v>
      </x:c>
      <x:c r="AX1228" s="604" t="inlineStr">
        <x:is>
          <x:t xml:space="preserve">https://simondongxiao.github.io/odds/v4/</x:t>
        </x:is>
      </x:c>
      <x:c r="AY1228" s="604" t="inlineStr">
        <x:is>
          <x:t xml:space="preserve">V4 Shadow Only；real_money=false；P(EV&gt;0)不是比赛胜率</x:t>
        </x:is>
      </x:c>
    </x:row>
    <x:row r="1229" ht="22" customHeight="1">
      <x:c r="A1229" s="604" t="inlineStr">
        <x:is>
          <x:t xml:space="preserve">2026-10-06</x:t>
        </x:is>
      </x:c>
      <x:c r="B1229" s="604" t="inlineStr">
        <x:is>
          <x:t xml:space="preserve">2026-10-07 08:00</x:t>
        </x:is>
      </x:c>
      <x:c r="C1229" s="604" t="str">
        <x:v>南美系列</x:v>
      </x:c>
      <x:c r="D1229" s="604" t="inlineStr">
        <x:is>
          <x:t xml:space="preserve">杯赛</x:t>
        </x:is>
      </x:c>
      <x:c r="E1229" s="604" t="inlineStr">
        <x:is>
          <x:t xml:space="preserve">玻利杯</x:t>
        </x:is>
      </x:c>
      <x:c r="F1229" s="604" t="inlineStr">
        <x:is>
          <x:t xml:space="preserve">欧若拉 vs 学术DB</x:t>
        </x:is>
      </x:c>
      <x:c r="G1229" s="604" t="n">
        <x:v>0.85</x:v>
      </x:c>
      <x:c r="H1229" s="604" t="n">
        <x:v>1.75</x:v>
      </x:c>
      <x:c r="I1229" s="604" t="n">
        <x:v>0.95</x:v>
      </x:c>
      <x:c r="J1229" s="604" t="inlineStr">
        <x:is>
          <x:t xml:space="preserve">0.85/1.75/0.95</x:t>
        </x:is>
      </x:c>
      <x:c r="K1229" s="604" t="inlineStr">
        <x:is>
          <x:t xml:space="preserve">V4-B｜EV +0.0843</x:t>
        </x:is>
      </x:c>
      <x:c r="L1229" s="604" t="inlineStr">
        <x:is>
          <x:t xml:space="preserve">欧若拉</x:t>
        </x:is>
      </x:c>
      <x:c r="M1229" s="604" t="n">
        <x:v>0.5925632701030483</x:v>
      </x:c>
      <x:c r="N1229" s="604" t="inlineStr">
        <x:is>
          <x:t xml:space="preserve">V4纸面入选-B</x:t>
        </x:is>
      </x:c>
      <x:c r="O1229" s="604" t="inlineStr">
        <x:is>
          <x:t xml:space="preserve">2-0</x:t>
        </x:is>
      </x:c>
      <x:c r="P1229" s="604" t="inlineStr">
        <x:is>
          <x:t xml:space="preserve">已结算</x:t>
        </x:is>
      </x:c>
      <x:c r="Q1229" s="649" t="inlineStr">
        <x:is>
          <x:t xml:space="preserve">半红</x:t>
        </x:is>
      </x:c>
      <x:c r="R1229" s="604" t="n">
        <x:v>0.85</x:v>
      </x:c>
      <x:c r="S1229" s="604" t="n">
        <x:f>IF(OR(Q1229="",Q1229="待结算"),"",IF(Q1229="红",R1229,IF(Q1229="半红",R1229*0.5,IF(Q1229="走",0,IF(Q1229="半黑",-0.5,-1)))))</x:f>
        <x:v>0.425</x:v>
      </x:c>
      <x:c r="T1229" s="604" t="inlineStr">
        <x:is>
          <x:t xml:space="preserve">https://m.titan007.com/analy/Analysis/3061680.htm</x:t>
        </x:is>
      </x:c>
      <x:c r="U1229" s="648" t="str">
        <x:f>IF(Q1229="","",IF(Q1229="待结算","待结算",IF(Q1229="红","黑",IF(Q1229="半红","半黑",IF(Q1229="走","走",IF(Q1229="半黑","半红","红"))))))</x:f>
        <x:v>半黑</x:v>
      </x:c>
      <x:c r="V1229" s="604" t="n">
        <x:f>IF(OR(Q1229="",Q1229="待结算"),"",IF(L1229=LEFT(F1229,FIND(" vs ",F1229)-1),I1229,G1229))</x:f>
        <x:v>0.95</x:v>
      </x:c>
      <x:c r="W1229" s="604" t="n">
        <x:f>IF(OR(U1229="",U1229="待结算"),"",IF(U1229="红",V1229,IF(U1229="半红",V1229*0.5,IF(U1229="走",0,IF(U1229="半黑",-0.5,-1)))))</x:f>
        <x:v>-0.5</x:v>
      </x:c>
      <x:c r="X1229" s="604" t="inlineStr">
        <x:is>
          <x:t xml:space="preserve">3061680</x:t>
        </x:is>
      </x:c>
      <x:c r="Y1229" s="604" t="inlineStr">
        <x:is>
          <x:t xml:space="preserve">V4</x:t>
        </x:is>
      </x:c>
      <x:c r="Z1229" s="604" t="inlineStr">
        <x:is>
          <x:t xml:space="preserve">prior-2026-10-06-v1</x:t>
        </x:is>
      </x:c>
      <x:c r="AA1229" s="604" t="inlineStr">
        <x:is>
          <x:t xml:space="preserve">B</x:t>
        </x:is>
      </x:c>
      <x:c r="AB1229" s="604" t="n">
        <x:v>0.3955927769200016</x:v>
      </x:c>
      <x:c r="AC1229" s="604" t="n">
        <x:v>0.2473628481589954</x:v>
      </x:c>
      <x:c r="AD1229" s="604" t="n"/>
      <x:c r="AE1229" s="604" t="n"/>
      <x:c r="AF1229" s="604" t="n">
        <x:v>0.357044374921003</x:v>
      </x:c>
      <x:c r="AG1229" s="604" t="n">
        <x:v>0.08433869592857135</x:v>
      </x:c>
      <x:c r="AH1229" s="604" t="n"/>
      <x:c r="AI1229" s="604" t="n"/>
      <x:c r="AJ1229" s="604" t="n">
        <x:v>0.08433869592857135</x:v>
      </x:c>
      <x:c r="AK1229" s="604" t="n"/>
      <x:c r="AL1229" s="604" t="n"/>
      <x:c r="AM1229" s="604" t="n"/>
      <x:c r="AN1229" s="604" t="inlineStr">
        <x:is>
          <x:t xml:space="preserve">EVALUATED</x:t>
        </x:is>
      </x:c>
      <x:c r="AO1229" s="604" t="inlineStr">
        <x:is>
          <x:t xml:space="preserve">GIVING_VALIDATED_EDGE、BUCKET_PRIOR_ONLY、INTENT_INTERPRETATION_ONLY、FFL_OPTIONAL、EXPERT_MARKET</x:t>
        </x:is>
      </x:c>
      <x:c r="AP1229" s="604" t="inlineStr">
        <x:is>
          <x:t xml:space="preserve">d556b41a91e103fc3261</x:t>
        </x:is>
      </x:c>
      <x:c r="AQ1229" s="604" t="n">
        <x:v>-1.75</x:v>
      </x:c>
      <x:c r="AR1229" s="604" t="n">
        <x:v>0.85</x:v>
      </x:c>
      <x:c r="AS1229" s="604" t="n">
        <x:v>1.75</x:v>
      </x:c>
      <x:c r="AT1229" s="604" t="n">
        <x:v>-1.75</x:v>
      </x:c>
      <x:c r="AU1229" s="604" t="n">
        <x:v>0.85</x:v>
      </x:c>
      <x:c r="AV1229" s="604" t="n">
        <x:v>0.95</x:v>
      </x:c>
      <x:c r="AW1229" s="604" t="n">
        <x:v>46301.03159395833</x:v>
      </x:c>
      <x:c r="AX1229" s="604" t="inlineStr">
        <x:is>
          <x:t xml:space="preserve">https://simondongxiao.github.io/odds/v4/</x:t>
        </x:is>
      </x:c>
      <x:c r="AY1229" s="604" t="inlineStr">
        <x:is>
          <x:t xml:space="preserve">V4 Shadow Only；real_money=false；P(EV&gt;0)不是比赛胜率</x:t>
        </x:is>
      </x:c>
    </x:row>
    <x:row r="1230" ht="22" customHeight="1">
      <x:c r="A1230" s="604" t="inlineStr">
        <x:is>
          <x:t xml:space="preserve">2026-10-06</x:t>
        </x:is>
      </x:c>
      <x:c r="B1230" s="604" t="inlineStr">
        <x:is>
          <x:t xml:space="preserve">2026-10-07 08:30</x:t>
        </x:is>
      </x:c>
      <x:c r="C1230" s="604" t="str">
        <x:v>北美系列</x:v>
      </x:c>
      <x:c r="D1230" s="604" t="inlineStr">
        <x:is>
          <x:t xml:space="preserve">联赛</x:t>
        </x:is>
      </x:c>
      <x:c r="E1230" s="604" t="inlineStr">
        <x:is>
          <x:t xml:space="preserve">美职业</x:t>
        </x:is>
      </x:c>
      <x:c r="F1230" s="604" t="inlineStr">
        <x:is>
          <x:t xml:space="preserve">芝加哥火焰 vs 温哥华白浪</x:t>
        </x:is>
      </x:c>
      <x:c r="G1230" s="604" t="n">
        <x:v>0.91</x:v>
      </x:c>
      <x:c r="H1230" s="604" t="n">
        <x:v>-0.25</x:v>
      </x:c>
      <x:c r="I1230" s="604" t="n">
        <x:v>0.97</x:v>
      </x:c>
      <x:c r="J1230" s="604" t="inlineStr">
        <x:is>
          <x:t xml:space="preserve">0.91/-0.25/0.97</x:t>
        </x:is>
      </x:c>
      <x:c r="K1230" s="604" t="inlineStr">
        <x:is>
          <x:t xml:space="preserve">V4-A｜EV +0.1886</x:t>
        </x:is>
      </x:c>
      <x:c r="L1230" s="604" t="inlineStr">
        <x:is>
          <x:t xml:space="preserve">芝加哥火焰</x:t>
        </x:is>
      </x:c>
      <x:c r="M1230" s="604" t="n">
        <x:v>0.6371045461012169</x:v>
      </x:c>
      <x:c r="N1230" s="604" t="inlineStr">
        <x:is>
          <x:t xml:space="preserve">V4纸面入选-A</x:t>
        </x:is>
      </x:c>
      <x:c r="O1230" s="604" t="inlineStr">
        <x:is>
          <x:t xml:space="preserve">3-1</x:t>
        </x:is>
      </x:c>
      <x:c r="P1230" s="604" t="inlineStr">
        <x:is>
          <x:t xml:space="preserve">已结算</x:t>
        </x:is>
      </x:c>
      <x:c r="Q1230" s="645" t="inlineStr">
        <x:is>
          <x:t xml:space="preserve">红</x:t>
        </x:is>
      </x:c>
      <x:c r="R1230" s="604" t="n">
        <x:v>0.91</x:v>
      </x:c>
      <x:c r="S1230" s="604" t="n">
        <x:f>IF(OR(Q1230="",Q1230="待结算"),"",IF(Q1230="红",R1230,IF(Q1230="半红",R1230*0.5,IF(Q1230="走",0,IF(Q1230="半黑",-0.5,-1)))))</x:f>
        <x:v>0.91</x:v>
      </x:c>
      <x:c r="T1230" s="604" t="inlineStr">
        <x:is>
          <x:t xml:space="preserve">https://m.titan007.com/analy/Analysis/2908633.htm</x:t>
        </x:is>
      </x:c>
      <x:c r="U1230" s="646" t="str">
        <x:f>IF(Q1230="","",IF(Q1230="待结算","待结算",IF(Q1230="红","黑",IF(Q1230="半红","半黑",IF(Q1230="走","走",IF(Q1230="半黑","半红","红"))))))</x:f>
        <x:v>黑</x:v>
      </x:c>
      <x:c r="V1230" s="604" t="n">
        <x:f>IF(OR(Q1230="",Q1230="待结算"),"",IF(L1230=LEFT(F1230,FIND(" vs ",F1230)-1),I1230,G1230))</x:f>
        <x:v>0.97</x:v>
      </x:c>
      <x:c r="W1230" s="604" t="n">
        <x:f>IF(OR(U1230="",U1230="待结算"),"",IF(U1230="红",V1230,IF(U1230="半红",V1230*0.5,IF(U1230="走",0,IF(U1230="半黑",-0.5,-1)))))</x:f>
        <x:v>-1</x:v>
      </x:c>
      <x:c r="X1230" s="604" t="inlineStr">
        <x:is>
          <x:t xml:space="preserve">2908633</x:t>
        </x:is>
      </x:c>
      <x:c r="Y1230" s="604" t="inlineStr">
        <x:is>
          <x:t xml:space="preserve">V4</x:t>
        </x:is>
      </x:c>
      <x:c r="Z1230" s="604" t="inlineStr">
        <x:is>
          <x:t xml:space="preserve">prior-2026-10-06-v1</x:t>
        </x:is>
      </x:c>
      <x:c r="AA1230" s="604" t="inlineStr">
        <x:is>
          <x:t xml:space="preserve">A</x:t>
        </x:is>
      </x:c>
      <x:c r="AB1230" s="604" t="n">
        <x:v>0.4238998543534784</x:v>
      </x:c>
      <x:c r="AC1230" s="604" t="n">
        <x:v>0.2604655790071415</x:v>
      </x:c>
      <x:c r="AD1230" s="604" t="n"/>
      <x:c r="AE1230" s="604" t="n"/>
      <x:c r="AF1230" s="604" t="n">
        <x:v>0.3156345666393801</x:v>
      </x:c>
      <x:c r="AG1230" s="604" t="n">
        <x:v>0.1886261392705347</x:v>
      </x:c>
      <x:c r="AH1230" s="604" t="n"/>
      <x:c r="AI1230" s="604" t="n"/>
      <x:c r="AJ1230" s="604" t="n">
        <x:v>0.1886261392705347</x:v>
      </x:c>
      <x:c r="AK1230" s="604" t="n"/>
      <x:c r="AL1230" s="604" t="n"/>
      <x:c r="AM1230" s="604" t="n"/>
      <x:c r="AN1230" s="604" t="inlineStr">
        <x:is>
          <x:t xml:space="preserve">EVALUATED</x:t>
        </x:is>
      </x:c>
      <x:c r="AO1230" s="604" t="inlineStr">
        <x:is>
          <x:t xml:space="preserve">RECEIVING_VALIDATED_EDGE、BUCKET_PRIOR_ONLY、INTENT_INTERPRETATION_ONLY、FFL_OPTIONAL、EXPERT_MARKET</x:t>
        </x:is>
      </x:c>
      <x:c r="AP1230" s="604" t="inlineStr">
        <x:is>
          <x:t xml:space="preserve">40a9cd9d62f5eaec86fc</x:t>
        </x:is>
      </x:c>
      <x:c r="AQ1230" s="604" t="n">
        <x:v>0.25</x:v>
      </x:c>
      <x:c r="AR1230" s="604" t="n">
        <x:v>0.91</x:v>
      </x:c>
      <x:c r="AS1230" s="604" t="n">
        <x:v>-0.25</x:v>
      </x:c>
      <x:c r="AT1230" s="604" t="n">
        <x:v>0.25</x:v>
      </x:c>
      <x:c r="AU1230" s="604" t="n">
        <x:v>0.91</x:v>
      </x:c>
      <x:c r="AV1230" s="604" t="n">
        <x:v>0.97</x:v>
      </x:c>
      <x:c r="AW1230" s="604" t="n">
        <x:v>46301.03159395833</x:v>
      </x:c>
      <x:c r="AX1230" s="604" t="inlineStr">
        <x:is>
          <x:t xml:space="preserve">https://simondongxiao.github.io/odds/v4/</x:t>
        </x:is>
      </x:c>
      <x:c r="AY1230" s="604" t="inlineStr">
        <x:is>
          <x:t xml:space="preserve">V4 Shadow Only；real_money=false；P(EV&gt;0)不是比赛胜率</x:t>
        </x:is>
      </x:c>
    </x:row>
    <x:row r="1231" ht="22" customHeight="1">
      <x:c r="A1231" s="604" t="inlineStr">
        <x:is>
          <x:t xml:space="preserve">2026-10-06</x:t>
        </x:is>
      </x:c>
      <x:c r="B1231" s="604" t="inlineStr">
        <x:is>
          <x:t xml:space="preserve">2026-10-07 08:35</x:t>
        </x:is>
      </x:c>
      <x:c r="C1231" s="604" t="str">
        <x:v>南美系列</x:v>
      </x:c>
      <x:c r="D1231" s="604" t="inlineStr">
        <x:is>
          <x:t xml:space="preserve">联赛</x:t>
        </x:is>
      </x:c>
      <x:c r="E1231" s="604" t="inlineStr">
        <x:is>
          <x:t xml:space="preserve">巴西乙</x:t>
        </x:is>
      </x:c>
      <x:c r="F1231" s="604" t="inlineStr">
        <x:is>
          <x:t xml:space="preserve">庞特普雷塔 vs 尤文图德</x:t>
        </x:is>
      </x:c>
      <x:c r="G1231" s="604" t="n">
        <x:v>0.85</x:v>
      </x:c>
      <x:c r="H1231" s="604" t="n">
        <x:v>-1.5</x:v>
      </x:c>
      <x:c r="I1231" s="604" t="n">
        <x:v>1.03</x:v>
      </x:c>
      <x:c r="J1231" s="604" t="inlineStr">
        <x:is>
          <x:t xml:space="preserve">0.85/-1.5/1.03</x:t>
        </x:is>
      </x:c>
      <x:c r="K1231" s="604" t="inlineStr">
        <x:is>
          <x:t xml:space="preserve">V4-B｜EV +0.8467</x:t>
        </x:is>
      </x:c>
      <x:c r="L1231" s="604" t="inlineStr">
        <x:is>
          <x:t xml:space="preserve">庞特普雷塔</x:t>
        </x:is>
      </x:c>
      <x:c r="M1231" s="604" t="n">
        <x:v>0.9981923681335056</x:v>
      </x:c>
      <x:c r="N1231" s="604" t="inlineStr">
        <x:is>
          <x:t xml:space="preserve">V4纸面入选-B</x:t>
        </x:is>
      </x:c>
      <x:c r="O1231" s="604" t="inlineStr">
        <x:is>
          <x:t xml:space="preserve">0-2</x:t>
        </x:is>
      </x:c>
      <x:c r="P1231" s="604" t="inlineStr">
        <x:is>
          <x:t xml:space="preserve">已结算</x:t>
        </x:is>
      </x:c>
      <x:c r="Q1231" s="646" t="inlineStr">
        <x:is>
          <x:t xml:space="preserve">黑</x:t>
        </x:is>
      </x:c>
      <x:c r="R1231" s="604" t="n">
        <x:v>0.85</x:v>
      </x:c>
      <x:c r="S1231" s="604" t="n">
        <x:f>IF(OR(Q1231="",Q1231="待结算"),"",IF(Q1231="红",R1231,IF(Q1231="半红",R1231*0.5,IF(Q1231="走",0,IF(Q1231="半黑",-0.5,-1)))))</x:f>
        <x:v>-1</x:v>
      </x:c>
      <x:c r="T1231" s="604" t="inlineStr">
        <x:is>
          <x:t xml:space="preserve">https://m.titan007.com/analy/Analysis/2940222.htm</x:t>
        </x:is>
      </x:c>
      <x:c r="U1231" s="645" t="str">
        <x:f>IF(Q1231="","",IF(Q1231="待结算","待结算",IF(Q1231="红","黑",IF(Q1231="半红","半黑",IF(Q1231="走","走",IF(Q1231="半黑","半红","红"))))))</x:f>
        <x:v>红</x:v>
      </x:c>
      <x:c r="V1231" s="604" t="n">
        <x:f>IF(OR(Q1231="",Q1231="待结算"),"",IF(L1231=LEFT(F1231,FIND(" vs ",F1231)-1),I1231,G1231))</x:f>
        <x:v>1.03</x:v>
      </x:c>
      <x:c r="W1231" s="604" t="n">
        <x:f>IF(OR(U1231="",U1231="待结算"),"",IF(U1231="红",V1231,IF(U1231="半红",V1231*0.5,IF(U1231="走",0,IF(U1231="半黑",-0.5,-1)))))</x:f>
        <x:v>1.03</x:v>
      </x:c>
      <x:c r="X1231" s="604" t="inlineStr">
        <x:is>
          <x:t xml:space="preserve">2940222</x:t>
        </x:is>
      </x:c>
      <x:c r="Y1231" s="604" t="inlineStr">
        <x:is>
          <x:t xml:space="preserve">V4</x:t>
        </x:is>
      </x:c>
      <x:c r="Z1231" s="604" t="inlineStr">
        <x:is>
          <x:t xml:space="preserve">prior-2026-10-06-v1</x:t>
        </x:is>
      </x:c>
      <x:c r="AA1231" s="604" t="inlineStr">
        <x:is>
          <x:t xml:space="preserve">B</x:t>
        </x:is>
      </x:c>
      <x:c r="AB1231" s="604" t="n">
        <x:v>0.9981923681335056</x:v>
      </x:c>
      <x:c r="AC1231" s="604" t="n"/>
      <x:c r="AD1231" s="604" t="n"/>
      <x:c r="AE1231" s="604" t="n"/>
      <x:c r="AF1231" s="604" t="n">
        <x:v>0.001807631866494382</x:v>
      </x:c>
      <x:c r="AG1231" s="604" t="n">
        <x:v>0.8466558810469854</x:v>
      </x:c>
      <x:c r="AH1231" s="604" t="n"/>
      <x:c r="AI1231" s="604" t="n"/>
      <x:c r="AJ1231" s="604" t="n">
        <x:v>0.8466558810469854</x:v>
      </x:c>
      <x:c r="AK1231" s="604" t="n"/>
      <x:c r="AL1231" s="604" t="n"/>
      <x:c r="AM1231" s="604" t="n"/>
      <x:c r="AN1231" s="604" t="inlineStr">
        <x:is>
          <x:t xml:space="preserve">EVALUATED</x:t>
        </x:is>
      </x:c>
      <x:c r="AO1231" s="604" t="inlineStr">
        <x:is>
          <x:t xml:space="preserve">RECEIVING_VALIDATED_EDGE、BUCKET_PRIOR_ONLY、INTENT_INTERPRETATION_ONLY、FFL_OPTIONAL、EXPERT_MARKET</x:t>
        </x:is>
      </x:c>
      <x:c r="AP1231" s="604" t="inlineStr">
        <x:is>
          <x:t xml:space="preserve">0a872188ae068d63eab5</x:t>
        </x:is>
      </x:c>
      <x:c r="AQ1231" s="604" t="n">
        <x:v>1.5</x:v>
      </x:c>
      <x:c r="AR1231" s="604" t="n">
        <x:v>0.85</x:v>
      </x:c>
      <x:c r="AS1231" s="604" t="n">
        <x:v>-1.5</x:v>
      </x:c>
      <x:c r="AT1231" s="604" t="n">
        <x:v>1.5</x:v>
      </x:c>
      <x:c r="AU1231" s="604" t="n">
        <x:v>0.85</x:v>
      </x:c>
      <x:c r="AV1231" s="604" t="n">
        <x:v>1.03</x:v>
      </x:c>
      <x:c r="AW1231" s="604" t="n">
        <x:v>46301.03159395833</x:v>
      </x:c>
      <x:c r="AX1231" s="604" t="inlineStr">
        <x:is>
          <x:t xml:space="preserve">https://simondongxiao.github.io/odds/v4/</x:t>
        </x:is>
      </x:c>
      <x:c r="AY1231" s="604" t="inlineStr">
        <x:is>
          <x:t xml:space="preserve">V4 Shadow Only；real_money=false；P(EV&gt;0)不是比赛胜率</x:t>
        </x:is>
      </x:c>
    </x:row>
    <x:row r="1232" ht="22" customHeight="1">
      <x:c r="A1232" s="604" t="inlineStr">
        <x:is>
          <x:t xml:space="preserve">2026-10-06</x:t>
        </x:is>
      </x:c>
      <x:c r="B1232" s="604" t="inlineStr">
        <x:is>
          <x:t xml:space="preserve">2026-10-07 10:00</x:t>
        </x:is>
      </x:c>
      <x:c r="C1232" s="604" t="str">
        <x:v>北美系列</x:v>
      </x:c>
      <x:c r="D1232" s="604" t="inlineStr">
        <x:is>
          <x:t xml:space="preserve">联赛</x:t>
        </x:is>
      </x:c>
      <x:c r="E1232" s="604" t="inlineStr">
        <x:is>
          <x:t xml:space="preserve">中北美国联</x:t>
        </x:is>
      </x:c>
      <x:c r="F1232" s="604" t="inlineStr">
        <x:is>
          <x:t xml:space="preserve">法属圭亚那 vs 伯利兹</x:t>
        </x:is>
      </x:c>
      <x:c r="G1232" s="604" t="n">
        <x:v>1.11</x:v>
      </x:c>
      <x:c r="H1232" s="604" t="n">
        <x:v>0</x:v>
      </x:c>
      <x:c r="I1232" s="604" t="n">
        <x:v>0.6</x:v>
      </x:c>
      <x:c r="J1232" s="604" t="inlineStr">
        <x:is>
          <x:t xml:space="preserve">1.11/0/0.6</x:t>
        </x:is>
      </x:c>
      <x:c r="K1232" s="604" t="inlineStr">
        <x:is>
          <x:t xml:space="preserve">V4-C｜EV +0.0339</x:t>
        </x:is>
      </x:c>
      <x:c r="L1232" s="604" t="str"/>
      <x:c r="M1232" s="604" t="n">
        <x:v>0.4900108560914575</x:v>
      </x:c>
      <x:c r="N1232" s="604" t="inlineStr">
        <x:is>
          <x:t xml:space="preserve">V4纸面入选-C</x:t>
        </x:is>
      </x:c>
      <x:c r="O1232" s="604" t="inlineStr">
        <x:is>
          <x:t xml:space="preserve">1-0</x:t>
        </x:is>
      </x:c>
      <x:c r="P1232" s="604" t="inlineStr">
        <x:is>
          <x:t xml:space="preserve">已结算</x:t>
        </x:is>
      </x:c>
      <x:c r="Q1232" s="645" t="inlineStr">
        <x:is>
          <x:t xml:space="preserve">红</x:t>
        </x:is>
      </x:c>
      <x:c r="R1232" s="604" t="n">
        <x:v>0.6</x:v>
      </x:c>
      <x:c r="S1232" s="604" t="n">
        <x:f>IF(OR(Q1232="",Q1232="待结算"),"",IF(Q1232="红",R1232,IF(Q1232="半红",R1232*0.5,IF(Q1232="走",0,IF(Q1232="半黑",-0.5,-1)))))</x:f>
        <x:v>0.6</x:v>
      </x:c>
      <x:c r="T1232" s="604" t="inlineStr">
        <x:is>
          <x:t xml:space="preserve">https://m.titan007.com/analy/Analysis/3092491.htm</x:t>
        </x:is>
      </x:c>
      <x:c r="U1232" s="646" t="str">
        <x:f>IF(Q1232="","",IF(Q1232="待结算","待结算",IF(Q1232="红","黑",IF(Q1232="半红","半黑",IF(Q1232="走","走",IF(Q1232="半黑","半红","红"))))))</x:f>
        <x:v>黑</x:v>
      </x:c>
      <x:c r="V1232" s="604" t="n">
        <x:f>IF(OR(Q1232="",Q1232="待结算"),"",IF(L1232=LEFT(F1232,FIND(" vs ",F1232)-1),I1232,G1232))</x:f>
        <x:v>1.11</x:v>
      </x:c>
      <x:c r="W1232" s="604" t="n">
        <x:f>IF(OR(U1232="",U1232="待结算"),"",IF(U1232="红",V1232,IF(U1232="半红",V1232*0.5,IF(U1232="走",0,IF(U1232="半黑",-0.5,-1)))))</x:f>
        <x:v>-1</x:v>
      </x:c>
      <x:c r="X1232" s="604" t="inlineStr">
        <x:is>
          <x:t xml:space="preserve">3092491</x:t>
        </x:is>
      </x:c>
      <x:c r="Y1232" s="604" t="inlineStr">
        <x:is>
          <x:t xml:space="preserve">V4</x:t>
        </x:is>
      </x:c>
      <x:c r="Z1232" s="604" t="inlineStr">
        <x:is>
          <x:t xml:space="preserve">prior-2026-10-06-v1</x:t>
        </x:is>
      </x:c>
      <x:c r="AA1232" s="604" t="inlineStr">
        <x:is>
          <x:t xml:space="preserve">C</x:t>
        </x:is>
      </x:c>
      <x:c r="AB1232" s="604" t="n">
        <x:v>0.4900108560914575</x:v>
      </x:c>
      <x:c r="AC1232" s="604" t="n"/>
      <x:c r="AD1232" s="604" t="n"/>
      <x:c r="AE1232" s="604" t="n"/>
      <x:c r="AF1232" s="604" t="n">
        <x:v>0.5099891439085426</x:v>
      </x:c>
      <x:c r="AG1232" s="604" t="n">
        <x:v>0.03392290635297535</x:v>
      </x:c>
      <x:c r="AH1232" s="604" t="n"/>
      <x:c r="AI1232" s="604" t="n"/>
      <x:c r="AJ1232" s="604" t="n">
        <x:v>0.03392290635297535</x:v>
      </x:c>
      <x:c r="AK1232" s="604" t="n"/>
      <x:c r="AL1232" s="604" t="n"/>
      <x:c r="AM1232" s="604" t="n"/>
      <x:c r="AN1232" s="604" t="inlineStr">
        <x:is>
          <x:t xml:space="preserve">EVALUATED</x:t>
        </x:is>
      </x:c>
      <x:c r="AO1232" s="604" t="inlineStr">
        <x:is>
          <x:t xml:space="preserve">EDGE_BELOW_UNCERTAINTY_THRESHOLD、BUCKET_PRIOR_ONLY、INTENT_INTERPRETATION_ONLY、FFL_OPTIONAL、EXPERT_MARKET</x:t>
        </x:is>
      </x:c>
      <x:c r="AP1232" s="604" t="inlineStr">
        <x:is>
          <x:t xml:space="preserve">4a87dfe2235db0185bd1</x:t>
        </x:is>
      </x:c>
      <x:c r="AQ1232" s="604" t="n">
        <x:v>0</x:v>
      </x:c>
      <x:c r="AR1232" s="604" t="n"/>
      <x:c r="AS1232" s="604" t="n">
        <x:v>0</x:v>
      </x:c>
      <x:c r="AT1232" s="604" t="n">
        <x:v>0</x:v>
      </x:c>
      <x:c r="AU1232" s="604" t="n">
        <x:v>1.11</x:v>
      </x:c>
      <x:c r="AV1232" s="604" t="n">
        <x:v>0.6</x:v>
      </x:c>
      <x:c r="AW1232" s="604" t="n">
        <x:v>46301.03159395833</x:v>
      </x:c>
      <x:c r="AX1232" s="604" t="inlineStr">
        <x:is>
          <x:t xml:space="preserve">https://simondongxiao.github.io/odds/v4/</x:t>
        </x:is>
      </x:c>
      <x:c r="AY1232" s="604" t="inlineStr">
        <x:is>
          <x:t xml:space="preserve">V4 Shadow Only；real_money=false；P(EV&gt;0)不是比赛胜率</x:t>
        </x:is>
      </x:c>
    </x:row>
    <x:row r="1233" ht="22" customHeight="1">
      <x:c r="A1233" s="604" t="inlineStr">
        <x:is>
          <x:t xml:space="preserve">2026-10-07</x:t>
        </x:is>
      </x:c>
      <x:c r="B1233" s="604" t="inlineStr">
        <x:is>
          <x:t xml:space="preserve">2026-10-07 10:30</x:t>
        </x:is>
      </x:c>
      <x:c r="C1233" s="604" t="str">
        <x:v>其他系列</x:v>
      </x:c>
      <x:c r="D1233" s="604" t="inlineStr">
        <x:is>
          <x:t xml:space="preserve">联赛</x:t>
        </x:is>
      </x:c>
      <x:c r="E1233" s="604" t="inlineStr">
        <x:is>
          <x:t xml:space="preserve">国际友谊</x:t>
        </x:is>
      </x:c>
      <x:c r="F1233" s="604" t="inlineStr">
        <x:is>
          <x:t xml:space="preserve">墨西哥(中) vs 智利</x:t>
        </x:is>
      </x:c>
      <x:c r="G1233" s="604" t="n">
        <x:v>1</x:v>
      </x:c>
      <x:c r="H1233" s="604" t="n">
        <x:v>1</x:v>
      </x:c>
      <x:c r="I1233" s="604" t="n">
        <x:v>0.82</x:v>
      </x:c>
      <x:c r="J1233" s="604" t="inlineStr">
        <x:is>
          <x:t xml:space="preserve">1/1/0.82</x:t>
        </x:is>
      </x:c>
      <x:c r="K1233" s="604" t="inlineStr">
        <x:is>
          <x:t xml:space="preserve">V4-C｜EV +0.1911</x:t>
        </x:is>
      </x:c>
      <x:c r="L1233" s="604" t="inlineStr">
        <x:is>
          <x:t xml:space="preserve">墨西哥(中)</x:t>
        </x:is>
      </x:c>
      <x:c r="M1233" s="604" t="n">
        <x:v>0.6281560563044851</x:v>
      </x:c>
      <x:c r="N1233" s="604" t="inlineStr">
        <x:is>
          <x:t xml:space="preserve">V4纸面入选-C</x:t>
        </x:is>
      </x:c>
      <x:c r="O1233" s="604" t="inlineStr">
        <x:is>
          <x:t xml:space="preserve">0-2</x:t>
        </x:is>
      </x:c>
      <x:c r="P1233" s="604" t="inlineStr">
        <x:is>
          <x:t xml:space="preserve">已结算</x:t>
        </x:is>
      </x:c>
      <x:c r="Q1233" s="646" t="inlineStr">
        <x:is>
          <x:t xml:space="preserve">黑</x:t>
        </x:is>
      </x:c>
      <x:c r="R1233" s="604" t="n">
        <x:v>1</x:v>
      </x:c>
      <x:c r="S1233" s="604" t="n">
        <x:v>-1</x:v>
      </x:c>
      <x:c r="T1233" s="604" t="inlineStr">
        <x:is>
          <x:t xml:space="preserve">https://m.titan007.com/analy/Analysis/3097882.htm</x:t>
        </x:is>
      </x:c>
      <x:c r="U1233" s="645" t="str">
        <x:f>IF(Q1233="","",IF(Q1233="待结算","待结算",IF(Q1233="红","黑",IF(Q1233="半红","半黑",IF(Q1233="走","走",IF(Q1233="半黑","半红","红"))))))</x:f>
        <x:v>红</x:v>
      </x:c>
      <x:c r="V1233" s="604" t="n">
        <x:f>IF(OR(Q1233="",Q1233="待结算"),"",IF(L1233=LEFT(F1233,FIND(" vs ",F1233)-1),I1233,G1233))</x:f>
        <x:v>0.82</x:v>
      </x:c>
      <x:c r="W1233" s="604" t="n">
        <x:f>IF(OR(U1233="",U1233="待结算"),"",IF(U1233="红",V1233,IF(U1233="半红",V1233*0.5,IF(U1233="走",0,IF(U1233="半黑",-0.5,-1)))))</x:f>
        <x:v>0.82</x:v>
      </x:c>
      <x:c r="X1233" s="604" t="inlineStr">
        <x:is>
          <x:t xml:space="preserve">3097882</x:t>
        </x:is>
      </x:c>
      <x:c r="Y1233" s="604" t="inlineStr">
        <x:is>
          <x:t xml:space="preserve">V4</x:t>
        </x:is>
      </x:c>
      <x:c r="Z1233" s="604" t="inlineStr">
        <x:is>
          <x:t xml:space="preserve">prior-2026-10-07-v1</x:t>
        </x:is>
      </x:c>
      <x:c r="AA1233" s="604" t="inlineStr">
        <x:is>
          <x:t xml:space="preserve">C</x:t>
        </x:is>
      </x:c>
      <x:c r="AB1233" s="604" t="n">
        <x:v>0.4684455709717301</x:v>
      </x:c>
      <x:c r="AC1233" s="604" t="n"/>
      <x:c r="AD1233" s="604" t="n">
        <x:v>0.2542528782932545</x:v>
      </x:c>
      <x:c r="AE1233" s="604" t="n"/>
      <x:c r="AF1233" s="604" t="n">
        <x:v>0.2773015507350153</x:v>
      </x:c>
      <x:c r="AG1233" s="604" t="n">
        <x:v>0.1911440202367148</x:v>
      </x:c>
      <x:c r="AH1233" s="604" t="n"/>
      <x:c r="AI1233" s="604" t="n"/>
      <x:c r="AJ1233" s="604" t="n">
        <x:v>0.1911440202367148</x:v>
      </x:c>
      <x:c r="AK1233" s="604" t="n"/>
      <x:c r="AL1233" s="604" t="n"/>
      <x:c r="AM1233" s="604" t="n"/>
      <x:c r="AN1233" s="604" t="inlineStr">
        <x:is>
          <x:t xml:space="preserve">FROZEN_PREMATCH_DECISION</x:t>
        </x:is>
      </x:c>
      <x:c r="AO1233" s="604" t="inlineStr">
        <x:is>
          <x:t xml:space="preserve">STARTED_DECISION_LOCKED</x:t>
        </x:is>
      </x:c>
      <x:c r="AP1233" s="604" t="inlineStr">
        <x:is>
          <x:t xml:space="preserve">9e97af5cc558f980d9ba</x:t>
        </x:is>
      </x:c>
      <x:c r="AQ1233" s="604" t="n">
        <x:v>-1</x:v>
      </x:c>
      <x:c r="AR1233" s="604" t="n">
        <x:v>1</x:v>
      </x:c>
      <x:c r="AS1233" s="604" t="n">
        <x:v>1</x:v>
      </x:c>
      <x:c r="AT1233" s="604" t="n">
        <x:v>-1</x:v>
      </x:c>
      <x:c r="AU1233" s="604" t="n">
        <x:v>1</x:v>
      </x:c>
      <x:c r="AV1233" s="604" t="n">
        <x:v>0.82</x:v>
      </x:c>
      <x:c r="AW1233" s="604" t="n">
        <x:v>46302.02801390046</x:v>
      </x:c>
      <x:c r="AX1233" s="604" t="inlineStr">
        <x:is>
          <x:t xml:space="preserve">https://simondongxiao.github.io/odds/v4/</x:t>
        </x:is>
      </x:c>
      <x:c r="AY1233" s="604" t="inlineStr">
        <x:is>
          <x:t xml:space="preserve">V4 Shadow Only；real_money=false；P(EV&gt;0)不是比赛胜率</x:t>
        </x:is>
      </x:c>
    </x:row>
    <x:row r="1234" ht="22" customHeight="1">
      <x:c r="A1234" s="604" t="inlineStr">
        <x:is>
          <x:t xml:space="preserve">2026-10-07</x:t>
        </x:is>
      </x:c>
      <x:c r="B1234" s="604" t="inlineStr">
        <x:is>
          <x:t xml:space="preserve">2026-10-07 17:00</x:t>
        </x:is>
      </x:c>
      <x:c r="C1234" s="604" t="str">
        <x:v>日韩系列</x:v>
      </x:c>
      <x:c r="D1234" s="604" t="inlineStr">
        <x:is>
          <x:t xml:space="preserve">杯赛</x:t>
        </x:is>
      </x:c>
      <x:c r="E1234" s="604" t="inlineStr">
        <x:is>
          <x:t xml:space="preserve">日皇杯</x:t>
        </x:is>
      </x:c>
      <x:c r="F1234" s="604" t="inlineStr">
        <x:is>
          <x:t xml:space="preserve">浦和红钻 vs RB大宫松鼠</x:t>
        </x:is>
      </x:c>
      <x:c r="G1234" s="604" t="n">
        <x:v>0.74</x:v>
      </x:c>
      <x:c r="H1234" s="604" t="n">
        <x:v>0.5</x:v>
      </x:c>
      <x:c r="I1234" s="604" t="n">
        <x:v>1.08</x:v>
      </x:c>
      <x:c r="J1234" s="604" t="inlineStr">
        <x:is>
          <x:t xml:space="preserve">0.74/0.5/1.08</x:t>
        </x:is>
      </x:c>
      <x:c r="K1234" s="604" t="inlineStr">
        <x:is>
          <x:t xml:space="preserve">V4-C｜EV +0.0507</x:t>
        </x:is>
      </x:c>
      <x:c r="L1234" s="604" t="inlineStr">
        <x:is>
          <x:t xml:space="preserve">浦和红钻</x:t>
        </x:is>
      </x:c>
      <x:c r="M1234" s="604" t="n">
        <x:v>0.6038620757545122</x:v>
      </x:c>
      <x:c r="N1234" s="604" t="inlineStr">
        <x:is>
          <x:t xml:space="preserve">V4纸面入选-C</x:t>
        </x:is>
      </x:c>
      <x:c r="O1234" s="604" t="inlineStr">
        <x:is>
          <x:t xml:space="preserve">3-2</x:t>
        </x:is>
      </x:c>
      <x:c r="P1234" s="604" t="inlineStr">
        <x:is>
          <x:t xml:space="preserve">已结算</x:t>
        </x:is>
      </x:c>
      <x:c r="Q1234" s="645" t="inlineStr">
        <x:is>
          <x:t xml:space="preserve">红</x:t>
        </x:is>
      </x:c>
      <x:c r="R1234" s="604" t="n">
        <x:v>0.74</x:v>
      </x:c>
      <x:c r="S1234" s="604" t="n">
        <x:v>0.74</x:v>
      </x:c>
      <x:c r="T1234" s="604" t="inlineStr">
        <x:is>
          <x:t xml:space="preserve">https://m.titan007.com/analy/Analysis/3084569.htm</x:t>
        </x:is>
      </x:c>
      <x:c r="U1234" s="646" t="str">
        <x:f>IF(Q1234="","",IF(Q1234="待结算","待结算",IF(Q1234="红","黑",IF(Q1234="半红","半黑",IF(Q1234="走","走",IF(Q1234="半黑","半红","红"))))))</x:f>
        <x:v>黑</x:v>
      </x:c>
      <x:c r="V1234" s="604" t="n">
        <x:f>IF(OR(Q1234="",Q1234="待结算"),"",IF(L1234=LEFT(F1234,FIND(" vs ",F1234)-1),I1234,G1234))</x:f>
        <x:v>1.08</x:v>
      </x:c>
      <x:c r="W1234" s="604" t="n">
        <x:f>IF(OR(U1234="",U1234="待结算"),"",IF(U1234="红",V1234,IF(U1234="半红",V1234*0.5,IF(U1234="走",0,IF(U1234="半黑",-0.5,-1)))))</x:f>
        <x:v>-1</x:v>
      </x:c>
      <x:c r="X1234" s="604" t="inlineStr">
        <x:is>
          <x:t xml:space="preserve">3084569</x:t>
        </x:is>
      </x:c>
      <x:c r="Y1234" s="604" t="inlineStr">
        <x:is>
          <x:t xml:space="preserve">V4</x:t>
        </x:is>
      </x:c>
      <x:c r="Z1234" s="604" t="inlineStr">
        <x:is>
          <x:t xml:space="preserve">prior-2026-10-07-v1</x:t>
        </x:is>
      </x:c>
      <x:c r="AA1234" s="604" t="inlineStr">
        <x:is>
          <x:t xml:space="preserve">C</x:t>
        </x:is>
      </x:c>
      <x:c r="AB1234" s="604" t="n">
        <x:v>0.6038620757545122</x:v>
      </x:c>
      <x:c r="AC1234" s="604" t="n"/>
      <x:c r="AD1234" s="604" t="n"/>
      <x:c r="AE1234" s="604" t="n"/>
      <x:c r="AF1234" s="604" t="n">
        <x:v>0.3961379242454878</x:v>
      </x:c>
      <x:c r="AG1234" s="604" t="n">
        <x:v>0.05072001181285124</x:v>
      </x:c>
      <x:c r="AH1234" s="604" t="n"/>
      <x:c r="AI1234" s="604" t="n"/>
      <x:c r="AJ1234" s="604" t="n">
        <x:v>0.05072001181285124</x:v>
      </x:c>
      <x:c r="AK1234" s="604" t="n"/>
      <x:c r="AL1234" s="604" t="n"/>
      <x:c r="AM1234" s="604" t="n"/>
      <x:c r="AN1234" s="604" t="inlineStr">
        <x:is>
          <x:t xml:space="preserve">EVALUATED</x:t>
        </x:is>
      </x:c>
      <x:c r="AO1234" s="604" t="inlineStr">
        <x:is>
          <x:t xml:space="preserve">GIVING_VALIDATED_EDGE、BUCKET_PRIOR_ONLY、INTENT_INTERPRETATION_ONLY、FFL_OPTIONAL、EXPERT_MARKET</x:t>
        </x:is>
      </x:c>
      <x:c r="AP1234" s="604" t="inlineStr">
        <x:is>
          <x:t xml:space="preserve">77d2efddfaa73cd1bbc2</x:t>
        </x:is>
      </x:c>
      <x:c r="AQ1234" s="604" t="n">
        <x:v>-0.5</x:v>
      </x:c>
      <x:c r="AR1234" s="604" t="n">
        <x:v>0.74</x:v>
      </x:c>
      <x:c r="AS1234" s="604" t="n">
        <x:v>0.5</x:v>
      </x:c>
      <x:c r="AT1234" s="604" t="n">
        <x:v>-0.5</x:v>
      </x:c>
      <x:c r="AU1234" s="604" t="n">
        <x:v>0.74</x:v>
      </x:c>
      <x:c r="AV1234" s="604" t="n">
        <x:v>1.08</x:v>
      </x:c>
      <x:c r="AW1234" s="604" t="n">
        <x:v>46302.19288847222</x:v>
      </x:c>
      <x:c r="AX1234" s="604" t="inlineStr">
        <x:is>
          <x:t xml:space="preserve">https://simondongxiao.github.io/odds/v4/</x:t>
        </x:is>
      </x:c>
      <x:c r="AY1234" s="604" t="inlineStr">
        <x:is>
          <x:t xml:space="preserve">V4 Shadow Only；real_money=false；P(EV&gt;0)不是比赛胜率</x:t>
        </x:is>
      </x:c>
    </x:row>
    <x:row r="1235" ht="22" customHeight="1">
      <x:c r="A1235" s="604" t="inlineStr">
        <x:is>
          <x:t xml:space="preserve">2026-10-07</x:t>
        </x:is>
      </x:c>
      <x:c r="B1235" s="604" t="inlineStr">
        <x:is>
          <x:t xml:space="preserve">2026-10-07 17:30</x:t>
        </x:is>
      </x:c>
      <x:c r="C1235" s="604" t="str">
        <x:v>日韩系列</x:v>
      </x:c>
      <x:c r="D1235" s="604" t="inlineStr">
        <x:is>
          <x:t xml:space="preserve">杯赛</x:t>
        </x:is>
      </x:c>
      <x:c r="E1235" s="604" t="inlineStr">
        <x:is>
          <x:t xml:space="preserve">日皇杯</x:t>
        </x:is>
      </x:c>
      <x:c r="F1235" s="604" t="inlineStr">
        <x:is>
          <x:t xml:space="preserve">大阪樱花 vs 鹿儿岛联</x:t>
        </x:is>
      </x:c>
      <x:c r="G1235" s="604" t="n">
        <x:v>1.01</x:v>
      </x:c>
      <x:c r="H1235" s="604" t="n">
        <x:v>1</x:v>
      </x:c>
      <x:c r="I1235" s="604" t="n">
        <x:v>0.8100000000000001</x:v>
      </x:c>
      <x:c r="J1235" s="604" t="inlineStr">
        <x:is>
          <x:t xml:space="preserve">1.01/1/0.81</x:t>
        </x:is>
      </x:c>
      <x:c r="K1235" s="604" t="inlineStr">
        <x:is>
          <x:t xml:space="preserve">V4-B｜EV +0.1619</x:t>
        </x:is>
      </x:c>
      <x:c r="L1235" s="604" t="inlineStr">
        <x:is>
          <x:t xml:space="preserve">大阪樱花</x:t>
        </x:is>
      </x:c>
      <x:c r="M1235" s="604" t="n">
        <x:v>0.6056847730867492</x:v>
      </x:c>
      <x:c r="N1235" s="604" t="inlineStr">
        <x:is>
          <x:t xml:space="preserve">V4纸面入选-B</x:t>
        </x:is>
      </x:c>
      <x:c r="O1235" s="604" t="inlineStr">
        <x:is>
          <x:t xml:space="preserve">2-0</x:t>
        </x:is>
      </x:c>
      <x:c r="P1235" s="604" t="inlineStr">
        <x:is>
          <x:t xml:space="preserve">已结算</x:t>
        </x:is>
      </x:c>
      <x:c r="Q1235" s="645" t="inlineStr">
        <x:is>
          <x:t xml:space="preserve">红</x:t>
        </x:is>
      </x:c>
      <x:c r="R1235" s="604" t="n">
        <x:v>1.01</x:v>
      </x:c>
      <x:c r="S1235" s="604" t="n">
        <x:v>1.01</x:v>
      </x:c>
      <x:c r="T1235" s="604" t="inlineStr">
        <x:is>
          <x:t xml:space="preserve">https://m.titan007.com/analy/Analysis/3084570.htm</x:t>
        </x:is>
      </x:c>
      <x:c r="U1235" s="646" t="str">
        <x:f>IF(Q1235="","",IF(Q1235="待结算","待结算",IF(Q1235="红","黑",IF(Q1235="半红","半黑",IF(Q1235="走","走",IF(Q1235="半黑","半红","红"))))))</x:f>
        <x:v>黑</x:v>
      </x:c>
      <x:c r="V1235" s="604" t="n">
        <x:f>IF(OR(Q1235="",Q1235="待结算"),"",IF(L1235=LEFT(F1235,FIND(" vs ",F1235)-1),I1235,G1235))</x:f>
        <x:v>0.81</x:v>
      </x:c>
      <x:c r="W1235" s="604" t="n">
        <x:f>IF(OR(U1235="",U1235="待结算"),"",IF(U1235="红",V1235,IF(U1235="半红",V1235*0.5,IF(U1235="走",0,IF(U1235="半黑",-0.5,-1)))))</x:f>
        <x:v>-1</x:v>
      </x:c>
      <x:c r="X1235" s="604" t="inlineStr">
        <x:is>
          <x:t xml:space="preserve">3084570</x:t>
        </x:is>
      </x:c>
      <x:c r="Y1235" s="604" t="inlineStr">
        <x:is>
          <x:t xml:space="preserve">V4</x:t>
        </x:is>
      </x:c>
      <x:c r="Z1235" s="604" t="inlineStr">
        <x:is>
          <x:t xml:space="preserve">prior-2026-10-07-v1</x:t>
        </x:is>
      </x:c>
      <x:c r="AA1235" s="604" t="inlineStr">
        <x:is>
          <x:t xml:space="preserve">B</x:t>
        </x:is>
      </x:c>
      <x:c r="AB1235" s="604" t="n">
        <x:v>0.4510812516816752</x:v>
      </x:c>
      <x:c r="AC1235" s="604" t="n"/>
      <x:c r="AD1235" s="604" t="n">
        <x:v>0.2552540996154957</x:v>
      </x:c>
      <x:c r="AE1235" s="604" t="n"/>
      <x:c r="AF1235" s="604" t="n">
        <x:v>0.2936646487028292</x:v>
      </x:c>
      <x:c r="AG1235" s="604" t="n">
        <x:v>0.1619274154956628</x:v>
      </x:c>
      <x:c r="AH1235" s="604" t="n"/>
      <x:c r="AI1235" s="604" t="n"/>
      <x:c r="AJ1235" s="604" t="n">
        <x:v>0.1619274154956628</x:v>
      </x:c>
      <x:c r="AK1235" s="604" t="n"/>
      <x:c r="AL1235" s="604" t="n"/>
      <x:c r="AM1235" s="604" t="n"/>
      <x:c r="AN1235" s="604" t="inlineStr">
        <x:is>
          <x:t xml:space="preserve">EVALUATED</x:t>
        </x:is>
      </x:c>
      <x:c r="AO1235" s="604" t="inlineStr">
        <x:is>
          <x:t xml:space="preserve">GIVING_VALIDATED_EDGE、BUCKET_PRIOR_ONLY、INTENT_INTERPRETATION_ONLY、FFL_OPTIONAL、EXPERT_MARKET</x:t>
        </x:is>
      </x:c>
      <x:c r="AP1235" s="604" t="inlineStr">
        <x:is>
          <x:t xml:space="preserve">805298c06d08f2153694</x:t>
        </x:is>
      </x:c>
      <x:c r="AQ1235" s="604" t="n">
        <x:v>-1</x:v>
      </x:c>
      <x:c r="AR1235" s="604" t="n">
        <x:v>1.01</x:v>
      </x:c>
      <x:c r="AS1235" s="604" t="n">
        <x:v>1</x:v>
      </x:c>
      <x:c r="AT1235" s="604" t="n">
        <x:v>-1</x:v>
      </x:c>
      <x:c r="AU1235" s="604" t="n">
        <x:v>1.01</x:v>
      </x:c>
      <x:c r="AV1235" s="604" t="n">
        <x:v>0.8100000000000001</x:v>
      </x:c>
      <x:c r="AW1235" s="604" t="n">
        <x:v>46302.19288847222</x:v>
      </x:c>
      <x:c r="AX1235" s="604" t="inlineStr">
        <x:is>
          <x:t xml:space="preserve">https://simondongxiao.github.io/odds/v4/</x:t>
        </x:is>
      </x:c>
      <x:c r="AY1235" s="604" t="inlineStr">
        <x:is>
          <x:t xml:space="preserve">V4 Shadow Only；real_money=false；P(EV&gt;0)不是比赛胜率</x:t>
        </x:is>
      </x:c>
    </x:row>
    <x:row r="1236" ht="22" customHeight="1">
      <x:c r="A1236" s="604" t="inlineStr">
        <x:is>
          <x:t xml:space="preserve">2026-10-07</x:t>
        </x:is>
      </x:c>
      <x:c r="B1236" s="604" t="inlineStr">
        <x:is>
          <x:t xml:space="preserve">2026-10-07 17:30</x:t>
        </x:is>
      </x:c>
      <x:c r="C1236" s="604" t="str">
        <x:v>日韩系列</x:v>
      </x:c>
      <x:c r="D1236" s="604" t="inlineStr">
        <x:is>
          <x:t xml:space="preserve">杯赛</x:t>
        </x:is>
      </x:c>
      <x:c r="E1236" s="604" t="inlineStr">
        <x:is>
          <x:t xml:space="preserve">日皇杯</x:t>
        </x:is>
      </x:c>
      <x:c r="F1236" s="604" t="inlineStr">
        <x:is>
          <x:t xml:space="preserve">广岛三箭 vs 磐城FC</x:t>
        </x:is>
      </x:c>
      <x:c r="G1236" s="604" t="n">
        <x:v>0.82</x:v>
      </x:c>
      <x:c r="H1236" s="604" t="n">
        <x:v>1.5</x:v>
      </x:c>
      <x:c r="I1236" s="604" t="n">
        <x:v>1</x:v>
      </x:c>
      <x:c r="J1236" s="604" t="inlineStr">
        <x:is>
          <x:t xml:space="preserve">0.82/1.5/1</x:t>
        </x:is>
      </x:c>
      <x:c r="K1236" s="604" t="inlineStr">
        <x:is>
          <x:t xml:space="preserve">V4-B｜EV +0.1939</x:t>
        </x:is>
      </x:c>
      <x:c r="L1236" s="604" t="inlineStr">
        <x:is>
          <x:t xml:space="preserve">广岛三箭</x:t>
        </x:is>
      </x:c>
      <x:c r="M1236" s="604" t="n">
        <x:v>0.6559742473255853</x:v>
      </x:c>
      <x:c r="N1236" s="604" t="inlineStr">
        <x:is>
          <x:t xml:space="preserve">V4纸面入选-B</x:t>
        </x:is>
      </x:c>
      <x:c r="O1236" s="604" t="inlineStr">
        <x:is>
          <x:t xml:space="preserve">4-0</x:t>
        </x:is>
      </x:c>
      <x:c r="P1236" s="604" t="inlineStr">
        <x:is>
          <x:t xml:space="preserve">已结算</x:t>
        </x:is>
      </x:c>
      <x:c r="Q1236" s="645" t="inlineStr">
        <x:is>
          <x:t xml:space="preserve">红</x:t>
        </x:is>
      </x:c>
      <x:c r="R1236" s="604" t="n">
        <x:v>0.82</x:v>
      </x:c>
      <x:c r="S1236" s="604" t="n">
        <x:v>0.82</x:v>
      </x:c>
      <x:c r="T1236" s="604" t="inlineStr">
        <x:is>
          <x:t xml:space="preserve">https://m.titan007.com/analy/Analysis/3084571.htm</x:t>
        </x:is>
      </x:c>
      <x:c r="U1236" s="646" t="str">
        <x:f>IF(Q1236="","",IF(Q1236="待结算","待结算",IF(Q1236="红","黑",IF(Q1236="半红","半黑",IF(Q1236="走","走",IF(Q1236="半黑","半红","红"))))))</x:f>
        <x:v>黑</x:v>
      </x:c>
      <x:c r="V1236" s="604" t="n">
        <x:f>IF(OR(Q1236="",Q1236="待结算"),"",IF(L1236=LEFT(F1236,FIND(" vs ",F1236)-1),I1236,G1236))</x:f>
        <x:v>1</x:v>
      </x:c>
      <x:c r="W1236" s="604" t="n">
        <x:f>IF(OR(U1236="",U1236="待结算"),"",IF(U1236="红",V1236,IF(U1236="半红",V1236*0.5,IF(U1236="走",0,IF(U1236="半黑",-0.5,-1)))))</x:f>
        <x:v>-1</x:v>
      </x:c>
      <x:c r="X1236" s="604" t="inlineStr">
        <x:is>
          <x:t xml:space="preserve">3084571</x:t>
        </x:is>
      </x:c>
      <x:c r="Y1236" s="604" t="inlineStr">
        <x:is>
          <x:t xml:space="preserve">V4</x:t>
        </x:is>
      </x:c>
      <x:c r="Z1236" s="604" t="inlineStr">
        <x:is>
          <x:t xml:space="preserve">prior-2026-10-07-v1</x:t>
        </x:is>
      </x:c>
      <x:c r="AA1236" s="604" t="inlineStr">
        <x:is>
          <x:t xml:space="preserve">B</x:t>
        </x:is>
      </x:c>
      <x:c r="AB1236" s="604" t="n">
        <x:v>0.6559742473255853</x:v>
      </x:c>
      <x:c r="AC1236" s="604" t="n"/>
      <x:c r="AD1236" s="604" t="n"/>
      <x:c r="AE1236" s="604" t="n"/>
      <x:c r="AF1236" s="604" t="n">
        <x:v>0.3440257526744147</x:v>
      </x:c>
      <x:c r="AG1236" s="604" t="n">
        <x:v>0.1938731301325652</x:v>
      </x:c>
      <x:c r="AH1236" s="604" t="n"/>
      <x:c r="AI1236" s="604" t="n"/>
      <x:c r="AJ1236" s="604" t="n">
        <x:v>0.1938731301325652</x:v>
      </x:c>
      <x:c r="AK1236" s="604" t="n"/>
      <x:c r="AL1236" s="604" t="n"/>
      <x:c r="AM1236" s="604" t="n"/>
      <x:c r="AN1236" s="604" t="inlineStr">
        <x:is>
          <x:t xml:space="preserve">EVALUATED</x:t>
        </x:is>
      </x:c>
      <x:c r="AO1236" s="604" t="inlineStr">
        <x:is>
          <x:t xml:space="preserve">GIVING_VALIDATED_EDGE、BUCKET_PRIOR_ONLY、INTENT_INTERPRETATION_ONLY、FFL_OPTIONAL、EXPERT_MARKET</x:t>
        </x:is>
      </x:c>
      <x:c r="AP1236" s="604" t="inlineStr">
        <x:is>
          <x:t xml:space="preserve">ec3449751db8148781c7</x:t>
        </x:is>
      </x:c>
      <x:c r="AQ1236" s="604" t="n">
        <x:v>-1.5</x:v>
      </x:c>
      <x:c r="AR1236" s="604" t="n">
        <x:v>0.82</x:v>
      </x:c>
      <x:c r="AS1236" s="604" t="n">
        <x:v>1.5</x:v>
      </x:c>
      <x:c r="AT1236" s="604" t="n">
        <x:v>-1.5</x:v>
      </x:c>
      <x:c r="AU1236" s="604" t="n">
        <x:v>0.82</x:v>
      </x:c>
      <x:c r="AV1236" s="604" t="n">
        <x:v>1</x:v>
      </x:c>
      <x:c r="AW1236" s="604" t="n">
        <x:v>46302.19288847222</x:v>
      </x:c>
      <x:c r="AX1236" s="604" t="inlineStr">
        <x:is>
          <x:t xml:space="preserve">https://simondongxiao.github.io/odds/v4/</x:t>
        </x:is>
      </x:c>
      <x:c r="AY1236" s="604" t="inlineStr">
        <x:is>
          <x:t xml:space="preserve">V4 Shadow Only；real_money=false；P(EV&gt;0)不是比赛胜率</x:t>
        </x:is>
      </x:c>
    </x:row>
    <x:row r="1237" ht="22" customHeight="1">
      <x:c r="A1237" s="604" t="inlineStr">
        <x:is>
          <x:t xml:space="preserve">2026-10-07</x:t>
        </x:is>
      </x:c>
      <x:c r="B1237" s="604" t="inlineStr">
        <x:is>
          <x:t xml:space="preserve">2026-10-07 18:00</x:t>
        </x:is>
      </x:c>
      <x:c r="C1237" s="604" t="str">
        <x:v>日韩系列</x:v>
      </x:c>
      <x:c r="D1237" s="604" t="inlineStr">
        <x:is>
          <x:t xml:space="preserve">杯赛</x:t>
        </x:is>
      </x:c>
      <x:c r="E1237" s="604" t="inlineStr">
        <x:is>
          <x:t xml:space="preserve">日皇杯</x:t>
        </x:is>
      </x:c>
      <x:c r="F1237" s="604" t="inlineStr">
        <x:is>
          <x:t xml:space="preserve">鸟取飞翔 vs 东京绿茵</x:t>
        </x:is>
      </x:c>
      <x:c r="G1237" s="604" t="n">
        <x:v>0.87</x:v>
      </x:c>
      <x:c r="H1237" s="604" t="n">
        <x:v>-1.25</x:v>
      </x:c>
      <x:c r="I1237" s="604" t="n">
        <x:v>0.95</x:v>
      </x:c>
      <x:c r="J1237" s="604" t="inlineStr">
        <x:is>
          <x:t xml:space="preserve">0.87/-1.25/0.95</x:t>
        </x:is>
      </x:c>
      <x:c r="K1237" s="604" t="inlineStr">
        <x:is>
          <x:t xml:space="preserve">V4-B｜EV +0.8201</x:t>
        </x:is>
      </x:c>
      <x:c r="L1237" s="604" t="inlineStr">
        <x:is>
          <x:t xml:space="preserve">鸟取飞翔</x:t>
        </x:is>
      </x:c>
      <x:c r="M1237" s="604" t="n">
        <x:v>0.9858832136747836</x:v>
      </x:c>
      <x:c r="N1237" s="604" t="inlineStr">
        <x:is>
          <x:t xml:space="preserve">V4纸面入选-B</x:t>
        </x:is>
      </x:c>
      <x:c r="O1237" s="604" t="inlineStr">
        <x:is>
          <x:t xml:space="preserve">0-0</x:t>
        </x:is>
      </x:c>
      <x:c r="P1237" s="604" t="inlineStr">
        <x:is>
          <x:t xml:space="preserve">已结算</x:t>
        </x:is>
      </x:c>
      <x:c r="Q1237" s="645" t="inlineStr">
        <x:is>
          <x:t xml:space="preserve">红</x:t>
        </x:is>
      </x:c>
      <x:c r="R1237" s="604" t="n">
        <x:v>0.87</x:v>
      </x:c>
      <x:c r="S1237" s="604" t="n">
        <x:v>0.87</x:v>
      </x:c>
      <x:c r="T1237" s="604" t="inlineStr">
        <x:is>
          <x:t xml:space="preserve">https://m.titan007.com/analy/Analysis/3084573.htm</x:t>
        </x:is>
      </x:c>
      <x:c r="U1237" s="646" t="str">
        <x:f>IF(Q1237="","",IF(Q1237="待结算","待结算",IF(Q1237="红","黑",IF(Q1237="半红","半黑",IF(Q1237="走","走",IF(Q1237="半黑","半红","红"))))))</x:f>
        <x:v>黑</x:v>
      </x:c>
      <x:c r="V1237" s="604" t="n">
        <x:f>IF(OR(Q1237="",Q1237="待结算"),"",IF(L1237=LEFT(F1237,FIND(" vs ",F1237)-1),I1237,G1237))</x:f>
        <x:v>0.95</x:v>
      </x:c>
      <x:c r="W1237" s="604" t="n">
        <x:f>IF(OR(U1237="",U1237="待结算"),"",IF(U1237="红",V1237,IF(U1237="半红",V1237*0.5,IF(U1237="走",0,IF(U1237="半黑",-0.5,-1)))))</x:f>
        <x:v>-1</x:v>
      </x:c>
      <x:c r="X1237" s="604" t="inlineStr">
        <x:is>
          <x:t xml:space="preserve">3084573</x:t>
        </x:is>
      </x:c>
      <x:c r="Y1237" s="604" t="inlineStr">
        <x:is>
          <x:t xml:space="preserve">V4</x:t>
        </x:is>
      </x:c>
      <x:c r="Z1237" s="604" t="inlineStr">
        <x:is>
          <x:t xml:space="preserve">prior-2026-10-07-v1</x:t>
        </x:is>
      </x:c>
      <x:c r="AA1237" s="604" t="inlineStr">
        <x:is>
          <x:t xml:space="preserve">B</x:t>
        </x:is>
      </x:c>
      <x:c r="AB1237" s="604" t="n">
        <x:v>0.9304982887580107</x:v>
      </x:c>
      <x:c r="AC1237" s="604" t="n">
        <x:v>0.0557786324345687</x:v>
      </x:c>
      <x:c r="AD1237" s="604" t="n"/>
      <x:c r="AE1237" s="604" t="n"/>
      <x:c r="AF1237" s="604" t="n">
        <x:v>0.01372307880742064</x:v>
      </x:c>
      <x:c r="AG1237" s="604" t="n">
        <x:v>0.820074137521086</x:v>
      </x:c>
      <x:c r="AH1237" s="604" t="n"/>
      <x:c r="AI1237" s="604" t="n"/>
      <x:c r="AJ1237" s="604" t="n">
        <x:v>0.820074137521086</x:v>
      </x:c>
      <x:c r="AK1237" s="604" t="n"/>
      <x:c r="AL1237" s="604" t="n"/>
      <x:c r="AM1237" s="604" t="n"/>
      <x:c r="AN1237" s="604" t="inlineStr">
        <x:is>
          <x:t xml:space="preserve">EVALUATED</x:t>
        </x:is>
      </x:c>
      <x:c r="AO1237" s="604" t="inlineStr">
        <x:is>
          <x:t xml:space="preserve">RECEIVING_VALIDATED_EDGE、BUCKET_PRIOR_ONLY、INTENT_INTERPRETATION_ONLY、FFL_OPTIONAL、EXPERT_MARKET</x:t>
        </x:is>
      </x:c>
      <x:c r="AP1237" s="604" t="inlineStr">
        <x:is>
          <x:t xml:space="preserve">8b353f9aa0f04653f12d</x:t>
        </x:is>
      </x:c>
      <x:c r="AQ1237" s="604" t="n">
        <x:v>1.25</x:v>
      </x:c>
      <x:c r="AR1237" s="604" t="n">
        <x:v>0.87</x:v>
      </x:c>
      <x:c r="AS1237" s="604" t="n">
        <x:v>-1.25</x:v>
      </x:c>
      <x:c r="AT1237" s="604" t="n">
        <x:v>1.25</x:v>
      </x:c>
      <x:c r="AU1237" s="604" t="n">
        <x:v>0.87</x:v>
      </x:c>
      <x:c r="AV1237" s="604" t="n">
        <x:v>0.95</x:v>
      </x:c>
      <x:c r="AW1237" s="604" t="n">
        <x:v>46302.19288847222</x:v>
      </x:c>
      <x:c r="AX1237" s="604" t="inlineStr">
        <x:is>
          <x:t xml:space="preserve">https://simondongxiao.github.io/odds/v4/</x:t>
        </x:is>
      </x:c>
      <x:c r="AY1237" s="604" t="inlineStr">
        <x:is>
          <x:t xml:space="preserve">V4 Shadow Only；real_money=false；P(EV&gt;0)不是比赛胜率</x:t>
        </x:is>
      </x:c>
    </x:row>
    <x:row r="1238" ht="22" customHeight="1">
      <x:c r="A1238" s="604" t="inlineStr">
        <x:is>
          <x:t xml:space="preserve">2026-10-07</x:t>
        </x:is>
      </x:c>
      <x:c r="B1238" s="604" t="inlineStr">
        <x:is>
          <x:t xml:space="preserve">2026-10-07 18:00</x:t>
        </x:is>
      </x:c>
      <x:c r="C1238" s="604" t="str">
        <x:v>日韩系列</x:v>
      </x:c>
      <x:c r="D1238" s="604" t="inlineStr">
        <x:is>
          <x:t xml:space="preserve">杯赛</x:t>
        </x:is>
      </x:c>
      <x:c r="E1238" s="604" t="inlineStr">
        <x:is>
          <x:t xml:space="preserve">日皇杯</x:t>
        </x:is>
      </x:c>
      <x:c r="F1238" s="604" t="inlineStr">
        <x:is>
          <x:t xml:space="preserve">FC东京 vs 湘南海洋</x:t>
        </x:is>
      </x:c>
      <x:c r="G1238" s="604" t="n">
        <x:v>0.93</x:v>
      </x:c>
      <x:c r="H1238" s="604" t="n">
        <x:v>1</x:v>
      </x:c>
      <x:c r="I1238" s="604" t="n">
        <x:v>0.89</x:v>
      </x:c>
      <x:c r="J1238" s="604" t="inlineStr">
        <x:is>
          <x:t xml:space="preserve">0.93/1/0.89</x:t>
        </x:is>
      </x:c>
      <x:c r="K1238" s="604" t="inlineStr">
        <x:is>
          <x:t xml:space="preserve">V4-B｜EV +0.1711</x:t>
        </x:is>
      </x:c>
      <x:c r="L1238" s="604" t="inlineStr">
        <x:is>
          <x:t xml:space="preserve">FC东京</x:t>
        </x:is>
      </x:c>
      <x:c r="M1238" s="604" t="n">
        <x:v>0.6368705421593036</x:v>
      </x:c>
      <x:c r="N1238" s="604" t="inlineStr">
        <x:is>
          <x:t xml:space="preserve">V4纸面入选-B</x:t>
        </x:is>
      </x:c>
      <x:c r="O1238" s="604" t="inlineStr">
        <x:is>
          <x:t xml:space="preserve">4-0</x:t>
        </x:is>
      </x:c>
      <x:c r="P1238" s="604" t="inlineStr">
        <x:is>
          <x:t xml:space="preserve">已结算</x:t>
        </x:is>
      </x:c>
      <x:c r="Q1238" s="645" t="inlineStr">
        <x:is>
          <x:t xml:space="preserve">红</x:t>
        </x:is>
      </x:c>
      <x:c r="R1238" s="604" t="n">
        <x:v>0.93</x:v>
      </x:c>
      <x:c r="S1238" s="604" t="n">
        <x:v>0.93</x:v>
      </x:c>
      <x:c r="T1238" s="604" t="inlineStr">
        <x:is>
          <x:t xml:space="preserve">https://m.titan007.com/analy/Analysis/3084574.htm</x:t>
        </x:is>
      </x:c>
      <x:c r="U1238" s="646" t="str">
        <x:f>IF(Q1238="","",IF(Q1238="待结算","待结算",IF(Q1238="红","黑",IF(Q1238="半红","半黑",IF(Q1238="走","走",IF(Q1238="半黑","半红","红"))))))</x:f>
        <x:v>黑</x:v>
      </x:c>
      <x:c r="V1238" s="604" t="n">
        <x:f>IF(OR(Q1238="",Q1238="待结算"),"",IF(L1238=LEFT(F1238,FIND(" vs ",F1238)-1),I1238,G1238))</x:f>
        <x:v>0.89</x:v>
      </x:c>
      <x:c r="W1238" s="604" t="n">
        <x:f>IF(OR(U1238="",U1238="待结算"),"",IF(U1238="红",V1238,IF(U1238="半红",V1238*0.5,IF(U1238="走",0,IF(U1238="半黑",-0.5,-1)))))</x:f>
        <x:v>-1</x:v>
      </x:c>
      <x:c r="X1238" s="604" t="inlineStr">
        <x:is>
          <x:t xml:space="preserve">3084574</x:t>
        </x:is>
      </x:c>
      <x:c r="Y1238" s="604" t="inlineStr">
        <x:is>
          <x:t xml:space="preserve">V4</x:t>
        </x:is>
      </x:c>
      <x:c r="Z1238" s="604" t="inlineStr">
        <x:is>
          <x:t xml:space="preserve">prior-2026-10-07-v1</x:t>
        </x:is>
      </x:c>
      <x:c r="AA1238" s="604" t="inlineStr">
        <x:is>
          <x:t xml:space="preserve">B</x:t>
        </x:is>
      </x:c>
      <x:c r="AB1238" s="604" t="n">
        <x:v>0.475417814778313</x:v>
      </x:c>
      <x:c r="AC1238" s="604" t="n"/>
      <x:c r="AD1238" s="604" t="n">
        <x:v>0.2535094916363798</x:v>
      </x:c>
      <x:c r="AE1238" s="604" t="n"/>
      <x:c r="AF1238" s="604" t="n">
        <x:v>0.2710726935853073</x:v>
      </x:c>
      <x:c r="AG1238" s="604" t="n">
        <x:v>0.1710658741585238</x:v>
      </x:c>
      <x:c r="AH1238" s="604" t="n"/>
      <x:c r="AI1238" s="604" t="n"/>
      <x:c r="AJ1238" s="604" t="n">
        <x:v>0.1710658741585238</x:v>
      </x:c>
      <x:c r="AK1238" s="604" t="n"/>
      <x:c r="AL1238" s="604" t="n"/>
      <x:c r="AM1238" s="604" t="n"/>
      <x:c r="AN1238" s="604" t="inlineStr">
        <x:is>
          <x:t xml:space="preserve">EVALUATED</x:t>
        </x:is>
      </x:c>
      <x:c r="AO1238" s="604" t="inlineStr">
        <x:is>
          <x:t xml:space="preserve">GIVING_VALIDATED_EDGE、BUCKET_PRIOR_ONLY、INTENT_INTERPRETATION_ONLY、FFL_OPTIONAL、EXPERT_MARKET</x:t>
        </x:is>
      </x:c>
      <x:c r="AP1238" s="604" t="inlineStr">
        <x:is>
          <x:t xml:space="preserve">b30cb9a19abac2527171</x:t>
        </x:is>
      </x:c>
      <x:c r="AQ1238" s="604" t="n">
        <x:v>-1</x:v>
      </x:c>
      <x:c r="AR1238" s="604" t="n">
        <x:v>0.93</x:v>
      </x:c>
      <x:c r="AS1238" s="604" t="n">
        <x:v>1</x:v>
      </x:c>
      <x:c r="AT1238" s="604" t="n">
        <x:v>-1</x:v>
      </x:c>
      <x:c r="AU1238" s="604" t="n">
        <x:v>0.93</x:v>
      </x:c>
      <x:c r="AV1238" s="604" t="n">
        <x:v>0.89</x:v>
      </x:c>
      <x:c r="AW1238" s="604" t="n">
        <x:v>46302.19288847222</x:v>
      </x:c>
      <x:c r="AX1238" s="604" t="inlineStr">
        <x:is>
          <x:t xml:space="preserve">https://simondongxiao.github.io/odds/v4/</x:t>
        </x:is>
      </x:c>
      <x:c r="AY1238" s="604" t="inlineStr">
        <x:is>
          <x:t xml:space="preserve">V4 Shadow Only；real_money=false；P(EV&gt;0)不是比赛胜率</x:t>
        </x:is>
      </x:c>
    </x:row>
    <x:row r="1239" ht="22" customHeight="1">
      <x:c r="A1239" s="604" t="inlineStr">
        <x:is>
          <x:t xml:space="preserve">2026-10-07</x:t>
        </x:is>
      </x:c>
      <x:c r="B1239" s="604" t="inlineStr">
        <x:is>
          <x:t xml:space="preserve">2026-10-07 18:00</x:t>
        </x:is>
      </x:c>
      <x:c r="C1239" s="604" t="str">
        <x:v>日韩系列</x:v>
      </x:c>
      <x:c r="D1239" s="604" t="inlineStr">
        <x:is>
          <x:t xml:space="preserve">杯赛</x:t>
        </x:is>
      </x:c>
      <x:c r="E1239" s="604" t="inlineStr">
        <x:is>
          <x:t xml:space="preserve">日皇杯</x:t>
        </x:is>
      </x:c>
      <x:c r="F1239" s="604" t="inlineStr">
        <x:is>
          <x:t xml:space="preserve">川崎前锋 vs 宫崎棒牛鸟</x:t>
        </x:is>
      </x:c>
      <x:c r="G1239" s="604" t="n">
        <x:v>0.9399999999999999</x:v>
      </x:c>
      <x:c r="H1239" s="604" t="n">
        <x:v>0.75</x:v>
      </x:c>
      <x:c r="I1239" s="604" t="n">
        <x:v>0.88</x:v>
      </x:c>
      <x:c r="J1239" s="604" t="inlineStr">
        <x:is>
          <x:t xml:space="preserve">0.94/0.75/0.88</x:t>
        </x:is>
      </x:c>
      <x:c r="K1239" s="604" t="inlineStr">
        <x:is>
          <x:t xml:space="preserve">V4-C｜EV +0.0528</x:t>
        </x:is>
      </x:c>
      <x:c r="L1239" s="604" t="inlineStr">
        <x:is>
          <x:t xml:space="preserve">川崎前锋</x:t>
        </x:is>
      </x:c>
      <x:c r="M1239" s="604" t="n">
        <x:v>0.54663154882279</x:v>
      </x:c>
      <x:c r="N1239" s="604" t="inlineStr">
        <x:is>
          <x:t xml:space="preserve">V4纸面入选-C</x:t>
        </x:is>
      </x:c>
      <x:c r="O1239" s="604" t="inlineStr">
        <x:is>
          <x:t xml:space="preserve">2-0</x:t>
        </x:is>
      </x:c>
      <x:c r="P1239" s="604" t="inlineStr">
        <x:is>
          <x:t xml:space="preserve">已结算</x:t>
        </x:is>
      </x:c>
      <x:c r="Q1239" s="645" t="inlineStr">
        <x:is>
          <x:t xml:space="preserve">红</x:t>
        </x:is>
      </x:c>
      <x:c r="R1239" s="604" t="n">
        <x:v>0.9399999999999999</x:v>
      </x:c>
      <x:c r="S1239" s="604" t="n">
        <x:v>0.9399999999999999</x:v>
      </x:c>
      <x:c r="T1239" s="604" t="inlineStr">
        <x:is>
          <x:t xml:space="preserve">https://m.titan007.com/analy/Analysis/3084576.htm</x:t>
        </x:is>
      </x:c>
      <x:c r="U1239" s="646" t="str">
        <x:f>IF(Q1239="","",IF(Q1239="待结算","待结算",IF(Q1239="红","黑",IF(Q1239="半红","半黑",IF(Q1239="走","走",IF(Q1239="半黑","半红","红"))))))</x:f>
        <x:v>黑</x:v>
      </x:c>
      <x:c r="V1239" s="604" t="n">
        <x:f>IF(OR(Q1239="",Q1239="待结算"),"",IF(L1239=LEFT(F1239,FIND(" vs ",F1239)-1),I1239,G1239))</x:f>
        <x:v>0.88</x:v>
      </x:c>
      <x:c r="W1239" s="604" t="n">
        <x:f>IF(OR(U1239="",U1239="待结算"),"",IF(U1239="红",V1239,IF(U1239="半红",V1239*0.5,IF(U1239="走",0,IF(U1239="半黑",-0.5,-1)))))</x:f>
        <x:v>-1</x:v>
      </x:c>
      <x:c r="X1239" s="604" t="inlineStr">
        <x:is>
          <x:t xml:space="preserve">3084576</x:t>
        </x:is>
      </x:c>
      <x:c r="Y1239" s="604" t="inlineStr">
        <x:is>
          <x:t xml:space="preserve">V4</x:t>
        </x:is>
      </x:c>
      <x:c r="Z1239" s="604" t="inlineStr">
        <x:is>
          <x:t xml:space="preserve">prior-2026-10-07-v1</x:t>
        </x:is>
      </x:c>
      <x:c r="AA1239" s="604" t="inlineStr">
        <x:is>
          <x:t xml:space="preserve">C</x:t>
        </x:is>
      </x:c>
      <x:c r="AB1239" s="604" t="n">
        <x:v>0.3498147314215447</x:v>
      </x:c>
      <x:c r="AC1239" s="604" t="n">
        <x:v>0.2545102840441232</x:v>
      </x:c>
      <x:c r="AD1239" s="604" t="n"/>
      <x:c r="AE1239" s="604" t="n"/>
      <x:c r="AF1239" s="604" t="n">
        <x:v>0.395674984534332</x:v>
      </x:c>
      <x:c r="AG1239" s="604" t="n">
        <x:v>0.05277069650265792</x:v>
      </x:c>
      <x:c r="AH1239" s="604" t="n"/>
      <x:c r="AI1239" s="604" t="n"/>
      <x:c r="AJ1239" s="604" t="n">
        <x:v>0.05277069650265792</x:v>
      </x:c>
      <x:c r="AK1239" s="604" t="n"/>
      <x:c r="AL1239" s="604" t="n"/>
      <x:c r="AM1239" s="604" t="n"/>
      <x:c r="AN1239" s="604" t="inlineStr">
        <x:is>
          <x:t xml:space="preserve">EVALUATED</x:t>
        </x:is>
      </x:c>
      <x:c r="AO1239" s="604" t="inlineStr">
        <x:is>
          <x:t xml:space="preserve">GIVING_VALIDATED_EDGE、BUCKET_PRIOR_ONLY、INTENT_INTERPRETATION_ONLY、FFL_OPTIONAL、EXPERT_MARKET</x:t>
        </x:is>
      </x:c>
      <x:c r="AP1239" s="604" t="inlineStr">
        <x:is>
          <x:t xml:space="preserve">4843887ed92fae3b2705</x:t>
        </x:is>
      </x:c>
      <x:c r="AQ1239" s="604" t="n">
        <x:v>-0.75</x:v>
      </x:c>
      <x:c r="AR1239" s="604" t="n">
        <x:v>0.9399999999999999</x:v>
      </x:c>
      <x:c r="AS1239" s="604" t="n">
        <x:v>0.75</x:v>
      </x:c>
      <x:c r="AT1239" s="604" t="n">
        <x:v>-0.75</x:v>
      </x:c>
      <x:c r="AU1239" s="604" t="n">
        <x:v>0.9399999999999999</x:v>
      </x:c>
      <x:c r="AV1239" s="604" t="n">
        <x:v>0.88</x:v>
      </x:c>
      <x:c r="AW1239" s="604" t="n">
        <x:v>46302.19288847222</x:v>
      </x:c>
      <x:c r="AX1239" s="604" t="inlineStr">
        <x:is>
          <x:t xml:space="preserve">https://simondongxiao.github.io/odds/v4/</x:t>
        </x:is>
      </x:c>
      <x:c r="AY1239" s="604" t="inlineStr">
        <x:is>
          <x:t xml:space="preserve">V4 Shadow Only；real_money=false；P(EV&gt;0)不是比赛胜率</x:t>
        </x:is>
      </x:c>
    </x:row>
    <x:row r="1240" ht="22" customHeight="1">
      <x:c r="A1240" s="604" t="inlineStr">
        <x:is>
          <x:t xml:space="preserve">2026-10-07</x:t>
        </x:is>
      </x:c>
      <x:c r="B1240" s="604" t="inlineStr">
        <x:is>
          <x:t xml:space="preserve">2026-10-07 18:00</x:t>
        </x:is>
      </x:c>
      <x:c r="C1240" s="604" t="str">
        <x:v>日韩系列</x:v>
      </x:c>
      <x:c r="D1240" s="604" t="inlineStr">
        <x:is>
          <x:t xml:space="preserve">杯赛</x:t>
        </x:is>
      </x:c>
      <x:c r="E1240" s="604" t="inlineStr">
        <x:is>
          <x:t xml:space="preserve">日皇杯</x:t>
        </x:is>
      </x:c>
      <x:c r="F1240" s="604" t="inlineStr">
        <x:is>
          <x:t xml:space="preserve">清水鼓动 vs 长崎成功丸</x:t>
        </x:is>
      </x:c>
      <x:c r="G1240" s="604" t="n">
        <x:v>0.88</x:v>
      </x:c>
      <x:c r="H1240" s="604" t="n">
        <x:v>0</x:v>
      </x:c>
      <x:c r="I1240" s="604" t="n">
        <x:v>0.9399999999999999</x:v>
      </x:c>
      <x:c r="J1240" s="604" t="inlineStr">
        <x:is>
          <x:t xml:space="preserve">0.88/0/0.94</x:t>
        </x:is>
      </x:c>
      <x:c r="K1240" s="604" t="inlineStr">
        <x:is>
          <x:t xml:space="preserve">V4-C｜EV +0.0366</x:t>
        </x:is>
      </x:c>
      <x:c r="L1240" s="604" t="str"/>
      <x:c r="M1240" s="604" t="n">
        <x:v>0.5542225892078028</x:v>
      </x:c>
      <x:c r="N1240" s="604" t="inlineStr">
        <x:is>
          <x:t xml:space="preserve">V4纸面入选-C</x:t>
        </x:is>
      </x:c>
      <x:c r="O1240" s="604" t="inlineStr">
        <x:is>
          <x:t xml:space="preserve">1-1</x:t>
        </x:is>
      </x:c>
      <x:c r="P1240" s="604" t="inlineStr">
        <x:is>
          <x:t xml:space="preserve">已结算</x:t>
        </x:is>
      </x:c>
      <x:c r="Q1240" s="647" t="inlineStr">
        <x:is>
          <x:t xml:space="preserve">走</x:t>
        </x:is>
      </x:c>
      <x:c r="R1240" s="604" t="n">
        <x:v>0.9399999999999999</x:v>
      </x:c>
      <x:c r="S1240" s="604" t="n">
        <x:f>IF(OR(Q1240="",Q1240="待结算"),"",IF(Q1240="红",R1240,IF(Q1240="半红",R1240*0.5,IF(Q1240="走",0,IF(Q1240="半黑",-0.5,-1)))))</x:f>
        <x:v>0</x:v>
      </x:c>
      <x:c r="T1240" s="604" t="inlineStr">
        <x:is>
          <x:t xml:space="preserve">https://m.titan007.com/analy/Analysis/3084577.htm</x:t>
        </x:is>
      </x:c>
      <x:c r="U1240" s="647" t="str">
        <x:f>IF(Q1240="","",IF(Q1240="待结算","待结算",IF(Q1240="红","黑",IF(Q1240="半红","半黑",IF(Q1240="走","走",IF(Q1240="半黑","半红","红"))))))</x:f>
        <x:v>走</x:v>
      </x:c>
      <x:c r="V1240" s="604" t="n">
        <x:f>IF(OR(Q1240="",Q1240="待结算"),"",IF(L1240=LEFT(F1240,FIND(" vs ",F1240)-1),I1240,G1240))</x:f>
        <x:v>0.88</x:v>
      </x:c>
      <x:c r="W1240" s="604" t="n">
        <x:f>IF(OR(U1240="",U1240="待结算"),"",IF(U1240="红",V1240,IF(U1240="半红",V1240*0.5,IF(U1240="走",0,IF(U1240="半黑",-0.5,-1)))))</x:f>
        <x:v>0</x:v>
      </x:c>
      <x:c r="X1240" s="604" t="inlineStr">
        <x:is>
          <x:t xml:space="preserve">3084577</x:t>
        </x:is>
      </x:c>
      <x:c r="Y1240" s="604" t="inlineStr">
        <x:is>
          <x:t xml:space="preserve">V4</x:t>
        </x:is>
      </x:c>
      <x:c r="Z1240" s="604" t="inlineStr">
        <x:is>
          <x:t xml:space="preserve">prior-2026-10-07-v1</x:t>
        </x:is>
      </x:c>
      <x:c r="AA1240" s="604" t="inlineStr">
        <x:is>
          <x:t xml:space="preserve">C</x:t>
        </x:is>
      </x:c>
      <x:c r="AB1240" s="604" t="n">
        <x:v>0.4833543406366909</x:v>
      </x:c>
      <x:c r="AC1240" s="604" t="n"/>
      <x:c r="AD1240" s="604" t="n"/>
      <x:c r="AE1240" s="604" t="n">
        <x:v>0.2557393002418389</x:v>
      </x:c>
      <x:c r="AF1240" s="604" t="n">
        <x:v>0.2609063591214701</x:v>
      </x:c>
      <x:c r="AG1240" s="604" t="n">
        <x:v>0.03657581051789843</x:v>
      </x:c>
      <x:c r="AH1240" s="604" t="n"/>
      <x:c r="AI1240" s="604" t="n"/>
      <x:c r="AJ1240" s="604" t="n">
        <x:v>0.03657581051789843</x:v>
      </x:c>
      <x:c r="AK1240" s="604" t="n"/>
      <x:c r="AL1240" s="604" t="n"/>
      <x:c r="AM1240" s="604" t="n"/>
      <x:c r="AN1240" s="604" t="inlineStr">
        <x:is>
          <x:t xml:space="preserve">EVALUATED</x:t>
        </x:is>
      </x:c>
      <x:c r="AO1240" s="604" t="inlineStr">
        <x:is>
          <x:t xml:space="preserve">EDGE_BELOW_UNCERTAINTY_THRESHOLD、BUCKET_PRIOR_ONLY、INTENT_INTERPRETATION_ONLY、FFL_OPTIONAL、EXPERT_MARKET</x:t>
        </x:is>
      </x:c>
      <x:c r="AP1240" s="604" t="inlineStr">
        <x:is>
          <x:t xml:space="preserve">e234eb98e3c8adf38f01</x:t>
        </x:is>
      </x:c>
      <x:c r="AQ1240" s="604" t="n">
        <x:v>0</x:v>
      </x:c>
      <x:c r="AR1240" s="604" t="n"/>
      <x:c r="AS1240" s="604" t="n">
        <x:v>0</x:v>
      </x:c>
      <x:c r="AT1240" s="604" t="n">
        <x:v>0</x:v>
      </x:c>
      <x:c r="AU1240" s="604" t="n">
        <x:v>0.88</x:v>
      </x:c>
      <x:c r="AV1240" s="604" t="n">
        <x:v>0.9399999999999999</x:v>
      </x:c>
      <x:c r="AW1240" s="604" t="n">
        <x:v>46302.19288847222</x:v>
      </x:c>
      <x:c r="AX1240" s="604" t="inlineStr">
        <x:is>
          <x:t xml:space="preserve">https://simondongxiao.github.io/odds/v4/</x:t>
        </x:is>
      </x:c>
      <x:c r="AY1240" s="604" t="inlineStr">
        <x:is>
          <x:t xml:space="preserve">V4 Shadow Only；real_money=false；P(EV&gt;0)不是比赛胜率</x:t>
        </x:is>
      </x:c>
    </x:row>
    <x:row r="1241" ht="22" customHeight="1">
      <x:c r="A1241" s="604" t="inlineStr">
        <x:is>
          <x:t xml:space="preserve">2026-10-07</x:t>
        </x:is>
      </x:c>
      <x:c r="B1241" s="604" t="inlineStr">
        <x:is>
          <x:t xml:space="preserve">2026-10-07 18:00</x:t>
        </x:is>
      </x:c>
      <x:c r="C1241" s="604" t="str">
        <x:v>日韩系列</x:v>
      </x:c>
      <x:c r="D1241" s="604" t="inlineStr">
        <x:is>
          <x:t xml:space="preserve">杯赛</x:t>
        </x:is>
      </x:c>
      <x:c r="E1241" s="604" t="inlineStr">
        <x:is>
          <x:t xml:space="preserve">日皇杯</x:t>
        </x:is>
      </x:c>
      <x:c r="F1241" s="604" t="inlineStr">
        <x:is>
          <x:t xml:space="preserve">冈山绿雉 vs 千叶市原</x:t>
        </x:is>
      </x:c>
      <x:c r="G1241" s="604" t="n">
        <x:v>0.96</x:v>
      </x:c>
      <x:c r="H1241" s="604" t="n">
        <x:v>0.75</x:v>
      </x:c>
      <x:c r="I1241" s="604" t="n">
        <x:v>0.86</x:v>
      </x:c>
      <x:c r="J1241" s="604" t="inlineStr">
        <x:is>
          <x:t xml:space="preserve">0.96/0.75/0.86</x:t>
        </x:is>
      </x:c>
      <x:c r="K1241" s="604" t="inlineStr">
        <x:is>
          <x:t xml:space="preserve">V4-B｜EV +0.1817</x:t>
        </x:is>
      </x:c>
      <x:c r="L1241" s="604" t="inlineStr">
        <x:is>
          <x:t xml:space="preserve">冈山绿雉</x:t>
        </x:is>
      </x:c>
      <x:c r="M1241" s="604" t="n">
        <x:v>0.6165688472165924</x:v>
      </x:c>
      <x:c r="N1241" s="604" t="inlineStr">
        <x:is>
          <x:t xml:space="preserve">V4纸面入选-B</x:t>
        </x:is>
      </x:c>
      <x:c r="O1241" s="604" t="inlineStr">
        <x:is>
          <x:t xml:space="preserve">1-0</x:t>
        </x:is>
      </x:c>
      <x:c r="P1241" s="604" t="inlineStr">
        <x:is>
          <x:t xml:space="preserve">已结算</x:t>
        </x:is>
      </x:c>
      <x:c r="Q1241" s="649" t="inlineStr">
        <x:is>
          <x:t xml:space="preserve">半红</x:t>
        </x:is>
      </x:c>
      <x:c r="R1241" s="604" t="n">
        <x:v>0.96</x:v>
      </x:c>
      <x:c r="S1241" s="604" t="n">
        <x:v>0.48</x:v>
      </x:c>
      <x:c r="T1241" s="604" t="inlineStr">
        <x:is>
          <x:t xml:space="preserve">https://m.titan007.com/analy/Analysis/3084578.htm</x:t>
        </x:is>
      </x:c>
      <x:c r="U1241" s="648" t="str">
        <x:f>IF(Q1241="","",IF(Q1241="待结算","待结算",IF(Q1241="红","黑",IF(Q1241="半红","半黑",IF(Q1241="走","走",IF(Q1241="半黑","半红","红"))))))</x:f>
        <x:v>半黑</x:v>
      </x:c>
      <x:c r="V1241" s="604" t="n">
        <x:f>IF(OR(Q1241="",Q1241="待结算"),"",IF(L1241=LEFT(F1241,FIND(" vs ",F1241)-1),I1241,G1241))</x:f>
        <x:v>0.86</x:v>
      </x:c>
      <x:c r="W1241" s="604" t="n">
        <x:f>IF(OR(U1241="",U1241="待结算"),"",IF(U1241="红",V1241,IF(U1241="半红",V1241*0.5,IF(U1241="走",0,IF(U1241="半黑",-0.5,-1)))))</x:f>
        <x:v>-0.5</x:v>
      </x:c>
      <x:c r="X1241" s="604" t="inlineStr">
        <x:is>
          <x:t xml:space="preserve">3084578</x:t>
        </x:is>
      </x:c>
      <x:c r="Y1241" s="604" t="inlineStr">
        <x:is>
          <x:t xml:space="preserve">V4</x:t>
        </x:is>
      </x:c>
      <x:c r="Z1241" s="604" t="inlineStr">
        <x:is>
          <x:t xml:space="preserve">prior-2026-10-07-v1</x:t>
        </x:is>
      </x:c>
      <x:c r="AA1241" s="604" t="inlineStr">
        <x:is>
          <x:t xml:space="preserve">B</x:t>
        </x:is>
      </x:c>
      <x:c r="AB1241" s="604" t="n">
        <x:v>0.4085690144539341</x:v>
      </x:c>
      <x:c r="AC1241" s="604" t="n">
        <x:v>0.2573349512713824</x:v>
      </x:c>
      <x:c r="AD1241" s="604" t="n"/>
      <x:c r="AE1241" s="604" t="n"/>
      <x:c r="AF1241" s="604" t="n">
        <x:v>0.3340960342746834</x:v>
      </x:c>
      <x:c r="AG1241" s="604" t="n">
        <x:v>0.1816509962113569</x:v>
      </x:c>
      <x:c r="AH1241" s="604" t="n"/>
      <x:c r="AI1241" s="604" t="n"/>
      <x:c r="AJ1241" s="604" t="n">
        <x:v>0.1816509962113569</x:v>
      </x:c>
      <x:c r="AK1241" s="604" t="n"/>
      <x:c r="AL1241" s="604" t="n"/>
      <x:c r="AM1241" s="604" t="n"/>
      <x:c r="AN1241" s="604" t="inlineStr">
        <x:is>
          <x:t xml:space="preserve">EVALUATED</x:t>
        </x:is>
      </x:c>
      <x:c r="AO1241" s="604" t="inlineStr">
        <x:is>
          <x:t xml:space="preserve">GIVING_VALIDATED_EDGE、BUCKET_PRIOR_ONLY、INTENT_INTERPRETATION_ONLY、FFL_OPTIONAL、EXPERT_MARKET</x:t>
        </x:is>
      </x:c>
      <x:c r="AP1241" s="604" t="inlineStr">
        <x:is>
          <x:t xml:space="preserve">c7020574936020630b3c</x:t>
        </x:is>
      </x:c>
      <x:c r="AQ1241" s="604" t="n">
        <x:v>-0.75</x:v>
      </x:c>
      <x:c r="AR1241" s="604" t="n">
        <x:v>0.96</x:v>
      </x:c>
      <x:c r="AS1241" s="604" t="n">
        <x:v>0.75</x:v>
      </x:c>
      <x:c r="AT1241" s="604" t="n">
        <x:v>-0.75</x:v>
      </x:c>
      <x:c r="AU1241" s="604" t="n">
        <x:v>0.96</x:v>
      </x:c>
      <x:c r="AV1241" s="604" t="n">
        <x:v>0.86</x:v>
      </x:c>
      <x:c r="AW1241" s="604" t="n">
        <x:v>46302.19288847222</x:v>
      </x:c>
      <x:c r="AX1241" s="604" t="inlineStr">
        <x:is>
          <x:t xml:space="preserve">https://simondongxiao.github.io/odds/v4/</x:t>
        </x:is>
      </x:c>
      <x:c r="AY1241" s="604" t="inlineStr">
        <x:is>
          <x:t xml:space="preserve">V4 Shadow Only；real_money=false；P(EV&gt;0)不是比赛胜率</x:t>
        </x:is>
      </x:c>
    </x:row>
    <x:row r="1242" ht="22" customHeight="1">
      <x:c r="A1242" s="604" t="inlineStr">
        <x:is>
          <x:t xml:space="preserve">2026-10-07</x:t>
        </x:is>
      </x:c>
      <x:c r="B1242" s="604" t="inlineStr">
        <x:is>
          <x:t xml:space="preserve">2026-10-07 19:00</x:t>
        </x:is>
      </x:c>
      <x:c r="C1242" s="604" t="str">
        <x:v>欧洲非五大系列</x:v>
      </x:c>
      <x:c r="D1242" s="604" t="inlineStr">
        <x:is>
          <x:t xml:space="preserve">杯赛</x:t>
        </x:is>
      </x:c>
      <x:c r="E1242" s="604" t="inlineStr">
        <x:is>
          <x:t xml:space="preserve">土杯</x:t>
        </x:is>
      </x:c>
      <x:c r="F1242" s="604" t="inlineStr">
        <x:is>
          <x:t xml:space="preserve">哈塔斯堡 vs 卡拉科普鲁</x:t>
        </x:is>
      </x:c>
      <x:c r="G1242" s="604" t="n">
        <x:v>0.9</x:v>
      </x:c>
      <x:c r="H1242" s="604" t="n">
        <x:v>-1</x:v>
      </x:c>
      <x:c r="I1242" s="604" t="n">
        <x:v>0.9</x:v>
      </x:c>
      <x:c r="J1242" s="604" t="inlineStr">
        <x:is>
          <x:t xml:space="preserve">0.9/-1/0.9</x:t>
        </x:is>
      </x:c>
      <x:c r="K1242" s="604" t="inlineStr">
        <x:is>
          <x:t xml:space="preserve">V4-B｜EV +0.7070</x:t>
        </x:is>
      </x:c>
      <x:c r="L1242" s="604" t="inlineStr">
        <x:is>
          <x:t xml:space="preserve">哈塔斯堡</x:t>
        </x:is>
      </x:c>
      <x:c r="M1242" s="604" t="n">
        <x:v>0.9458320866496205</x:v>
      </x:c>
      <x:c r="N1242" s="604" t="inlineStr">
        <x:is>
          <x:t xml:space="preserve">V4纸面入选-B</x:t>
        </x:is>
      </x:c>
      <x:c r="O1242" s="604" t="inlineStr">
        <x:is>
          <x:t xml:space="preserve">1-2</x:t>
        </x:is>
      </x:c>
      <x:c r="P1242" s="604" t="inlineStr">
        <x:is>
          <x:t xml:space="preserve">已结算</x:t>
        </x:is>
      </x:c>
      <x:c r="Q1242" s="647" t="inlineStr">
        <x:is>
          <x:t xml:space="preserve">走</x:t>
        </x:is>
      </x:c>
      <x:c r="R1242" s="604" t="n">
        <x:v>0.9</x:v>
      </x:c>
      <x:c r="S1242" s="604" t="n">
        <x:v>0</x:v>
      </x:c>
      <x:c r="T1242" s="604" t="inlineStr">
        <x:is>
          <x:t xml:space="preserve">https://m.titan007.com/analy/Analysis/3094020.htm</x:t>
        </x:is>
      </x:c>
      <x:c r="U1242" s="647" t="str">
        <x:f>IF(Q1242="","",IF(Q1242="待结算","待结算",IF(Q1242="红","黑",IF(Q1242="半红","半黑",IF(Q1242="走","走",IF(Q1242="半黑","半红","红"))))))</x:f>
        <x:v>走</x:v>
      </x:c>
      <x:c r="V1242" s="604" t="n">
        <x:f>IF(OR(Q1242="",Q1242="待结算"),"",IF(L1242=LEFT(F1242,FIND(" vs ",F1242)-1),I1242,G1242))</x:f>
        <x:v>0.9</x:v>
      </x:c>
      <x:c r="W1242" s="604" t="n">
        <x:f>IF(OR(U1242="",U1242="待结算"),"",IF(U1242="红",V1242,IF(U1242="半红",V1242*0.5,IF(U1242="走",0,IF(U1242="半黑",-0.5,-1)))))</x:f>
        <x:v>0</x:v>
      </x:c>
      <x:c r="X1242" s="604" t="inlineStr">
        <x:is>
          <x:t xml:space="preserve">3094020</x:t>
        </x:is>
      </x:c>
      <x:c r="Y1242" s="604" t="inlineStr">
        <x:is>
          <x:t xml:space="preserve">V4</x:t>
        </x:is>
      </x:c>
      <x:c r="Z1242" s="604" t="inlineStr">
        <x:is>
          <x:t xml:space="preserve">prior-2026-10-07-v1</x:t>
        </x:is>
      </x:c>
      <x:c r="AA1242" s="604" t="inlineStr">
        <x:is>
          <x:t xml:space="preserve">B</x:t>
        </x:is>
      </x:c>
      <x:c r="AB1242" s="604" t="n">
        <x:v>0.8389942670219365</x:v>
      </x:c>
      <x:c r="AC1242" s="604" t="n"/>
      <x:c r="AD1242" s="604" t="n">
        <x:v>0.1129564339544992</x:v>
      </x:c>
      <x:c r="AE1242" s="604" t="n"/>
      <x:c r="AF1242" s="604" t="n">
        <x:v>0.04804929902356432</x:v>
      </x:c>
      <x:c r="AG1242" s="604" t="n">
        <x:v>0.7070455412961785</x:v>
      </x:c>
      <x:c r="AH1242" s="604" t="n"/>
      <x:c r="AI1242" s="604" t="n"/>
      <x:c r="AJ1242" s="604" t="n">
        <x:v>0.7070455412961785</x:v>
      </x:c>
      <x:c r="AK1242" s="604" t="n"/>
      <x:c r="AL1242" s="604" t="n"/>
      <x:c r="AM1242" s="604" t="n"/>
      <x:c r="AN1242" s="604" t="inlineStr">
        <x:is>
          <x:t xml:space="preserve">EVALUATED</x:t>
        </x:is>
      </x:c>
      <x:c r="AO1242" s="604" t="inlineStr">
        <x:is>
          <x:t xml:space="preserve">RECEIVING_VALIDATED_EDGE、BUCKET_PRIOR_ONLY、INTENT_INTERPRETATION_ONLY、FFL_OPTIONAL、EXPERT_MARKET</x:t>
        </x:is>
      </x:c>
      <x:c r="AP1242" s="604" t="inlineStr">
        <x:is>
          <x:t xml:space="preserve">024df407515171ec6b47</x:t>
        </x:is>
      </x:c>
      <x:c r="AQ1242" s="604" t="n">
        <x:v>1</x:v>
      </x:c>
      <x:c r="AR1242" s="604" t="n">
        <x:v>0.9</x:v>
      </x:c>
      <x:c r="AS1242" s="604" t="n">
        <x:v>-1</x:v>
      </x:c>
      <x:c r="AT1242" s="604" t="n">
        <x:v>1</x:v>
      </x:c>
      <x:c r="AU1242" s="604" t="n">
        <x:v>0.9</x:v>
      </x:c>
      <x:c r="AV1242" s="604" t="n">
        <x:v>0.9</x:v>
      </x:c>
      <x:c r="AW1242" s="604" t="n">
        <x:v>46302.19288847222</x:v>
      </x:c>
      <x:c r="AX1242" s="604" t="inlineStr">
        <x:is>
          <x:t xml:space="preserve">https://simondongxiao.github.io/odds/v4/</x:t>
        </x:is>
      </x:c>
      <x:c r="AY1242" s="604" t="inlineStr">
        <x:is>
          <x:t xml:space="preserve">V4 Shadow Only；real_money=false；P(EV&gt;0)不是比赛胜率</x:t>
        </x:is>
      </x:c>
    </x:row>
    <x:row r="1243" ht="22" customHeight="1">
      <x:c r="A1243" s="604" t="inlineStr">
        <x:is>
          <x:t xml:space="preserve">2026-10-07</x:t>
        </x:is>
      </x:c>
      <x:c r="B1243" s="604" t="inlineStr">
        <x:is>
          <x:t xml:space="preserve">2026-10-07 19:00</x:t>
        </x:is>
      </x:c>
      <x:c r="C1243" s="604" t="str">
        <x:v>欧洲非五大系列</x:v>
      </x:c>
      <x:c r="D1243" s="604" t="inlineStr">
        <x:is>
          <x:t xml:space="preserve">杯赛</x:t>
        </x:is>
      </x:c>
      <x:c r="E1243" s="604" t="inlineStr">
        <x:is>
          <x:t xml:space="preserve">土杯</x:t>
        </x:is>
      </x:c>
      <x:c r="F1243" s="604" t="inlineStr">
        <x:is>
          <x:t xml:space="preserve">尼日德 vs 格里1970</x:t>
        </x:is>
      </x:c>
      <x:c r="G1243" s="604" t="n">
        <x:v>0.8</x:v>
      </x:c>
      <x:c r="H1243" s="604" t="n">
        <x:v>0.5</x:v>
      </x:c>
      <x:c r="I1243" s="604" t="n">
        <x:v>1</x:v>
      </x:c>
      <x:c r="J1243" s="604" t="inlineStr">
        <x:is>
          <x:t xml:space="preserve">0.8/0.5/1</x:t>
        </x:is>
      </x:c>
      <x:c r="K1243" s="604" t="inlineStr">
        <x:is>
          <x:t xml:space="preserve">V4-B｜EV +0.0733</x:t>
        </x:is>
      </x:c>
      <x:c r="L1243" s="604" t="inlineStr">
        <x:is>
          <x:t xml:space="preserve">尼日德</x:t>
        </x:is>
      </x:c>
      <x:c r="M1243" s="604" t="n">
        <x:v>0.5962886119586868</x:v>
      </x:c>
      <x:c r="N1243" s="604" t="inlineStr">
        <x:is>
          <x:t xml:space="preserve">V4纸面入选-B</x:t>
        </x:is>
      </x:c>
      <x:c r="O1243" s="604" t="inlineStr">
        <x:is>
          <x:t xml:space="preserve">0-2</x:t>
        </x:is>
      </x:c>
      <x:c r="P1243" s="604" t="inlineStr">
        <x:is>
          <x:t xml:space="preserve">已结算</x:t>
        </x:is>
      </x:c>
      <x:c r="Q1243" s="646" t="inlineStr">
        <x:is>
          <x:t xml:space="preserve">黑</x:t>
        </x:is>
      </x:c>
      <x:c r="R1243" s="604" t="n">
        <x:v>0.8</x:v>
      </x:c>
      <x:c r="S1243" s="604" t="n">
        <x:v>-1</x:v>
      </x:c>
      <x:c r="T1243" s="604" t="inlineStr">
        <x:is>
          <x:t xml:space="preserve">https://m.titan007.com/analy/Analysis/3094029.htm</x:t>
        </x:is>
      </x:c>
      <x:c r="U1243" s="645" t="str">
        <x:f>IF(Q1243="","",IF(Q1243="待结算","待结算",IF(Q1243="红","黑",IF(Q1243="半红","半黑",IF(Q1243="走","走",IF(Q1243="半黑","半红","红"))))))</x:f>
        <x:v>红</x:v>
      </x:c>
      <x:c r="V1243" s="604" t="n">
        <x:f>IF(OR(Q1243="",Q1243="待结算"),"",IF(L1243=LEFT(F1243,FIND(" vs ",F1243)-1),I1243,G1243))</x:f>
        <x:v>1</x:v>
      </x:c>
      <x:c r="W1243" s="604" t="n">
        <x:f>IF(OR(U1243="",U1243="待结算"),"",IF(U1243="红",V1243,IF(U1243="半红",V1243*0.5,IF(U1243="走",0,IF(U1243="半黑",-0.5,-1)))))</x:f>
        <x:v>1</x:v>
      </x:c>
      <x:c r="X1243" s="604" t="inlineStr">
        <x:is>
          <x:t xml:space="preserve">3094029</x:t>
        </x:is>
      </x:c>
      <x:c r="Y1243" s="604" t="inlineStr">
        <x:is>
          <x:t xml:space="preserve">V4</x:t>
        </x:is>
      </x:c>
      <x:c r="Z1243" s="604" t="inlineStr">
        <x:is>
          <x:t xml:space="preserve">prior-2026-10-07-v1</x:t>
        </x:is>
      </x:c>
      <x:c r="AA1243" s="604" t="inlineStr">
        <x:is>
          <x:t xml:space="preserve">B</x:t>
        </x:is>
      </x:c>
      <x:c r="AB1243" s="604" t="n">
        <x:v>0.5962886119586868</x:v>
      </x:c>
      <x:c r="AC1243" s="604" t="n"/>
      <x:c r="AD1243" s="604" t="n"/>
      <x:c r="AE1243" s="604" t="n"/>
      <x:c r="AF1243" s="604" t="n">
        <x:v>0.4037113880413132</x:v>
      </x:c>
      <x:c r="AG1243" s="604" t="n">
        <x:v>0.07331950152563627</x:v>
      </x:c>
      <x:c r="AH1243" s="604" t="n"/>
      <x:c r="AI1243" s="604" t="n"/>
      <x:c r="AJ1243" s="604" t="n">
        <x:v>0.07331950152563627</x:v>
      </x:c>
      <x:c r="AK1243" s="604" t="n"/>
      <x:c r="AL1243" s="604" t="n"/>
      <x:c r="AM1243" s="604" t="n"/>
      <x:c r="AN1243" s="604" t="inlineStr">
        <x:is>
          <x:t xml:space="preserve">EVALUATED</x:t>
        </x:is>
      </x:c>
      <x:c r="AO1243" s="604" t="inlineStr">
        <x:is>
          <x:t xml:space="preserve">GIVING_VALIDATED_EDGE、BUCKET_PRIOR_ONLY、INTENT_INTERPRETATION_ONLY、FFL_OPTIONAL、EXPERT_MARKET</x:t>
        </x:is>
      </x:c>
      <x:c r="AP1243" s="604" t="inlineStr">
        <x:is>
          <x:t xml:space="preserve">c4b0272fa1538ba37eff</x:t>
        </x:is>
      </x:c>
      <x:c r="AQ1243" s="604" t="n">
        <x:v>-0.5</x:v>
      </x:c>
      <x:c r="AR1243" s="604" t="n">
        <x:v>0.8</x:v>
      </x:c>
      <x:c r="AS1243" s="604" t="n">
        <x:v>0.5</x:v>
      </x:c>
      <x:c r="AT1243" s="604" t="n">
        <x:v>-0.5</x:v>
      </x:c>
      <x:c r="AU1243" s="604" t="n">
        <x:v>0.8</x:v>
      </x:c>
      <x:c r="AV1243" s="604" t="n">
        <x:v>1</x:v>
      </x:c>
      <x:c r="AW1243" s="604" t="n">
        <x:v>46302.19288847222</x:v>
      </x:c>
      <x:c r="AX1243" s="604" t="inlineStr">
        <x:is>
          <x:t xml:space="preserve">https://simondongxiao.github.io/odds/v4/</x:t>
        </x:is>
      </x:c>
      <x:c r="AY1243" s="604" t="inlineStr">
        <x:is>
          <x:t xml:space="preserve">V4 Shadow Only；real_money=false；P(EV&gt;0)不是比赛胜率</x:t>
        </x:is>
      </x:c>
    </x:row>
    <x:row r="1244" ht="22" customHeight="1">
      <x:c r="A1244" s="604" t="inlineStr">
        <x:is>
          <x:t xml:space="preserve">2026-10-07</x:t>
        </x:is>
      </x:c>
      <x:c r="B1244" s="604" t="inlineStr">
        <x:is>
          <x:t xml:space="preserve">2026-10-07 19:00</x:t>
        </x:is>
      </x:c>
      <x:c r="C1244" s="604" t="str">
        <x:v>欧洲非五大系列</x:v>
      </x:c>
      <x:c r="D1244" s="604" t="inlineStr">
        <x:is>
          <x:t xml:space="preserve">杯赛</x:t>
        </x:is>
      </x:c>
      <x:c r="E1244" s="604" t="inlineStr">
        <x:is>
          <x:t xml:space="preserve">土杯</x:t>
        </x:is>
      </x:c>
      <x:c r="F1244" s="604" t="inlineStr">
        <x:is>
          <x:t xml:space="preserve">奥曼尼纽 vs 新梅尔辛</x:t>
        </x:is>
      </x:c>
      <x:c r="G1244" s="604" t="n">
        <x:v>0.85</x:v>
      </x:c>
      <x:c r="H1244" s="604" t="n">
        <x:v>0</x:v>
      </x:c>
      <x:c r="I1244" s="604" t="n">
        <x:v>0.95</x:v>
      </x:c>
      <x:c r="J1244" s="604" t="inlineStr">
        <x:is>
          <x:t xml:space="preserve">0.85/0/0.95</x:t>
        </x:is>
      </x:c>
      <x:c r="K1244" s="604" t="inlineStr">
        <x:is>
          <x:t xml:space="preserve">V4-C｜EV +0.0125</x:t>
        </x:is>
      </x:c>
      <x:c r="L1244" s="604" t="str"/>
      <x:c r="M1244" s="604" t="n">
        <x:v>0.5482603165823154</x:v>
      </x:c>
      <x:c r="N1244" s="604" t="inlineStr">
        <x:is>
          <x:t xml:space="preserve">V4纸面入选-C</x:t>
        </x:is>
      </x:c>
      <x:c r="O1244" s="604" t="inlineStr">
        <x:is>
          <x:t xml:space="preserve">0-3</x:t>
        </x:is>
      </x:c>
      <x:c r="P1244" s="604" t="inlineStr">
        <x:is>
          <x:t xml:space="preserve">已结算</x:t>
        </x:is>
      </x:c>
      <x:c r="Q1244" s="646" t="inlineStr">
        <x:is>
          <x:t xml:space="preserve">黑</x:t>
        </x:is>
      </x:c>
      <x:c r="R1244" s="604" t="n">
        <x:v>0.95</x:v>
      </x:c>
      <x:c r="S1244" s="604" t="n">
        <x:f>IF(OR(Q1244="",Q1244="待结算"),"",IF(Q1244="红",R1244,IF(Q1244="半红",R1244*0.5,IF(Q1244="走",0,IF(Q1244="半黑",-0.5,-1)))))</x:f>
        <x:v>-1</x:v>
      </x:c>
      <x:c r="T1244" s="604" t="inlineStr">
        <x:is>
          <x:t xml:space="preserve">https://m.titan007.com/analy/Analysis/3094031.htm</x:t>
        </x:is>
      </x:c>
      <x:c r="U1244" s="645" t="str">
        <x:f>IF(Q1244="","",IF(Q1244="待结算","待结算",IF(Q1244="红","黑",IF(Q1244="半红","半黑",IF(Q1244="走","走",IF(Q1244="半黑","半红","红"))))))</x:f>
        <x:v>红</x:v>
      </x:c>
      <x:c r="V1244" s="604" t="n">
        <x:f>IF(OR(Q1244="",Q1244="待结算"),"",IF(L1244=LEFT(F1244,FIND(" vs ",F1244)-1),I1244,G1244))</x:f>
        <x:v>0.85</x:v>
      </x:c>
      <x:c r="W1244" s="604" t="n">
        <x:f>IF(OR(U1244="",U1244="待结算"),"",IF(U1244="红",V1244,IF(U1244="半红",V1244*0.5,IF(U1244="走",0,IF(U1244="半黑",-0.5,-1)))))</x:f>
        <x:v>0.85</x:v>
      </x:c>
      <x:c r="X1244" s="604" t="inlineStr">
        <x:is>
          <x:t xml:space="preserve">3094031</x:t>
        </x:is>
      </x:c>
      <x:c r="Y1244" s="604" t="inlineStr">
        <x:is>
          <x:t xml:space="preserve">V4</x:t>
        </x:is>
      </x:c>
      <x:c r="Z1244" s="604" t="inlineStr">
        <x:is>
          <x:t xml:space="preserve">prior-2026-10-07-v1</x:t>
        </x:is>
      </x:c>
      <x:c r="AA1244" s="604" t="inlineStr">
        <x:is>
          <x:t xml:space="preserve">C</x:t>
        </x:is>
      </x:c>
      <x:c r="AB1244" s="604" t="n">
        <x:v>0.3511703806402051</x:v>
      </x:c>
      <x:c r="AC1244" s="604" t="n">
        <x:v>0.2545953465721754</x:v>
      </x:c>
      <x:c r="AD1244" s="604" t="n"/>
      <x:c r="AE1244" s="604" t="n"/>
      <x:c r="AF1244" s="604" t="n">
        <x:v>0.3942342727876195</x:v>
      </x:c>
      <x:c r="AG1244" s="604" t="n">
        <x:v>0.01246357304972934</x:v>
      </x:c>
      <x:c r="AH1244" s="604" t="n"/>
      <x:c r="AI1244" s="604" t="n"/>
      <x:c r="AJ1244" s="604" t="n">
        <x:v>0.01246357304972934</x:v>
      </x:c>
      <x:c r="AK1244" s="604" t="n"/>
      <x:c r="AL1244" s="604" t="n"/>
      <x:c r="AM1244" s="604" t="n"/>
      <x:c r="AN1244" s="604" t="inlineStr">
        <x:is>
          <x:t xml:space="preserve">EVALUATED</x:t>
        </x:is>
      </x:c>
      <x:c r="AO1244" s="604" t="inlineStr">
        <x:is>
          <x:t xml:space="preserve">EDGE_BELOW_UNCERTAINTY_THRESHOLD、BUCKET_PRIOR_ONLY、INTENT_INTERPRETATION_ONLY、FFL_OPTIONAL、EXPERT_MARKET</x:t>
        </x:is>
      </x:c>
      <x:c r="AP1244" s="604" t="inlineStr">
        <x:is>
          <x:t xml:space="preserve">d3302d62fb713a4e482e</x:t>
        </x:is>
      </x:c>
      <x:c r="AQ1244" s="604" t="n">
        <x:v>0</x:v>
      </x:c>
      <x:c r="AR1244" s="604" t="n"/>
      <x:c r="AS1244" s="604" t="n">
        <x:v>0</x:v>
      </x:c>
      <x:c r="AT1244" s="604" t="n">
        <x:v>0</x:v>
      </x:c>
      <x:c r="AU1244" s="604" t="n">
        <x:v>0.85</x:v>
      </x:c>
      <x:c r="AV1244" s="604" t="n">
        <x:v>0.95</x:v>
      </x:c>
      <x:c r="AW1244" s="604" t="n">
        <x:v>46302.19288847222</x:v>
      </x:c>
      <x:c r="AX1244" s="604" t="inlineStr">
        <x:is>
          <x:t xml:space="preserve">https://simondongxiao.github.io/odds/v4/</x:t>
        </x:is>
      </x:c>
      <x:c r="AY1244" s="604" t="inlineStr">
        <x:is>
          <x:t xml:space="preserve">V4 Shadow Only；real_money=false；P(EV&gt;0)不是比赛胜率</x:t>
        </x:is>
      </x:c>
    </x:row>
    <x:row r="1245" ht="22" customHeight="1">
      <x:c r="A1245" s="604" t="inlineStr">
        <x:is>
          <x:t xml:space="preserve">2026-10-07</x:t>
        </x:is>
      </x:c>
      <x:c r="B1245" s="604" t="inlineStr">
        <x:is>
          <x:t xml:space="preserve">2026-10-07 19:00</x:t>
        </x:is>
      </x:c>
      <x:c r="C1245" s="604" t="str">
        <x:v>欧洲非五大系列</x:v>
      </x:c>
      <x:c r="D1245" s="604" t="inlineStr">
        <x:is>
          <x:t xml:space="preserve">杯赛</x:t>
        </x:is>
      </x:c>
      <x:c r="E1245" s="604" t="inlineStr">
        <x:is>
          <x:t xml:space="preserve">土杯</x:t>
        </x:is>
      </x:c>
      <x:c r="F1245" s="604" t="inlineStr">
        <x:is>
          <x:t xml:space="preserve">帕萨士邦 vs 埃尔巴士邦</x:t>
        </x:is>
      </x:c>
      <x:c r="G1245" s="604" t="n">
        <x:v>0.9399999999999999</x:v>
      </x:c>
      <x:c r="H1245" s="604" t="n">
        <x:v>-0.25</x:v>
      </x:c>
      <x:c r="I1245" s="604" t="n">
        <x:v>0.76</x:v>
      </x:c>
      <x:c r="J1245" s="604" t="inlineStr">
        <x:is>
          <x:t xml:space="preserve">0.94/-0.25/0.76</x:t>
        </x:is>
      </x:c>
      <x:c r="K1245" s="604" t="inlineStr">
        <x:is>
          <x:t xml:space="preserve">V4-B｜EV +0.3169</x:t>
        </x:is>
      </x:c>
      <x:c r="L1245" s="604" t="inlineStr">
        <x:is>
          <x:t xml:space="preserve">帕萨士邦</x:t>
        </x:is>
      </x:c>
      <x:c r="M1245" s="604" t="n">
        <x:v>0.7025086740744749</x:v>
      </x:c>
      <x:c r="N1245" s="604" t="inlineStr">
        <x:is>
          <x:t xml:space="preserve">V4纸面入选-B</x:t>
        </x:is>
      </x:c>
      <x:c r="O1245" s="604" t="inlineStr">
        <x:is>
          <x:t xml:space="preserve">3-1</x:t>
        </x:is>
      </x:c>
      <x:c r="P1245" s="604" t="inlineStr">
        <x:is>
          <x:t xml:space="preserve">已结算</x:t>
        </x:is>
      </x:c>
      <x:c r="Q1245" s="645" t="inlineStr">
        <x:is>
          <x:t xml:space="preserve">红</x:t>
        </x:is>
      </x:c>
      <x:c r="R1245" s="604" t="n">
        <x:v>0.9399999999999999</x:v>
      </x:c>
      <x:c r="S1245" s="604" t="n">
        <x:v>0.9399999999999999</x:v>
      </x:c>
      <x:c r="T1245" s="604" t="inlineStr">
        <x:is>
          <x:t xml:space="preserve">https://m.titan007.com/analy/Analysis/3094032.htm</x:t>
        </x:is>
      </x:c>
      <x:c r="U1245" s="646" t="str">
        <x:f>IF(Q1245="","",IF(Q1245="待结算","待结算",IF(Q1245="红","黑",IF(Q1245="半红","半黑",IF(Q1245="走","走",IF(Q1245="半黑","半红","红"))))))</x:f>
        <x:v>黑</x:v>
      </x:c>
      <x:c r="V1245" s="604" t="n">
        <x:f>IF(OR(Q1245="",Q1245="待结算"),"",IF(L1245=LEFT(F1245,FIND(" vs ",F1245)-1),I1245,G1245))</x:f>
        <x:v>0.76</x:v>
      </x:c>
      <x:c r="W1245" s="604" t="n">
        <x:f>IF(OR(U1245="",U1245="待结算"),"",IF(U1245="红",V1245,IF(U1245="半红",V1245*0.5,IF(U1245="走",0,IF(U1245="半黑",-0.5,-1)))))</x:f>
        <x:v>-1</x:v>
      </x:c>
      <x:c r="X1245" s="604" t="inlineStr">
        <x:is>
          <x:t xml:space="preserve">3094032</x:t>
        </x:is>
      </x:c>
      <x:c r="Y1245" s="604" t="inlineStr">
        <x:is>
          <x:t xml:space="preserve">V4</x:t>
        </x:is>
      </x:c>
      <x:c r="Z1245" s="604" t="inlineStr">
        <x:is>
          <x:t xml:space="preserve">prior-2026-10-07-v1</x:t>
        </x:is>
      </x:c>
      <x:c r="AA1245" s="604" t="inlineStr">
        <x:is>
          <x:t xml:space="preserve">B</x:t>
        </x:is>
      </x:c>
      <x:c r="AB1245" s="604" t="n">
        <x:v>0.4867443298298196</x:v>
      </x:c>
      <x:c r="AC1245" s="604" t="n">
        <x:v>0.2534663670503177</x:v>
      </x:c>
      <x:c r="AD1245" s="604" t="n"/>
      <x:c r="AE1245" s="604" t="n"/>
      <x:c r="AF1245" s="604" t="n">
        <x:v>0.2597893031198626</x:v>
      </x:c>
      <x:c r="AG1245" s="604" t="n">
        <x:v>0.3168795594338172</x:v>
      </x:c>
      <x:c r="AH1245" s="604" t="n"/>
      <x:c r="AI1245" s="604" t="n"/>
      <x:c r="AJ1245" s="604" t="n">
        <x:v>0.3168795594338172</x:v>
      </x:c>
      <x:c r="AK1245" s="604" t="n"/>
      <x:c r="AL1245" s="604" t="n"/>
      <x:c r="AM1245" s="604" t="n"/>
      <x:c r="AN1245" s="604" t="inlineStr">
        <x:is>
          <x:t xml:space="preserve">EVALUATED</x:t>
        </x:is>
      </x:c>
      <x:c r="AO1245" s="604" t="inlineStr">
        <x:is>
          <x:t xml:space="preserve">RECEIVING_VALIDATED_EDGE、BUCKET_PRIOR_ONLY、INTENT_INTERPRETATION_ONLY、FFL_OPTIONAL、EXPERT_MARKET</x:t>
        </x:is>
      </x:c>
      <x:c r="AP1245" s="604" t="inlineStr">
        <x:is>
          <x:t xml:space="preserve">b8eaf179eaf6a94e6c7a</x:t>
        </x:is>
      </x:c>
      <x:c r="AQ1245" s="604" t="n">
        <x:v>0.25</x:v>
      </x:c>
      <x:c r="AR1245" s="604" t="n">
        <x:v>0.9399999999999999</x:v>
      </x:c>
      <x:c r="AS1245" s="604" t="n">
        <x:v>-0.25</x:v>
      </x:c>
      <x:c r="AT1245" s="604" t="n">
        <x:v>0.25</x:v>
      </x:c>
      <x:c r="AU1245" s="604" t="n">
        <x:v>0.9399999999999999</x:v>
      </x:c>
      <x:c r="AV1245" s="604" t="n">
        <x:v>0.76</x:v>
      </x:c>
      <x:c r="AW1245" s="604" t="n">
        <x:v>46302.19288847222</x:v>
      </x:c>
      <x:c r="AX1245" s="604" t="inlineStr">
        <x:is>
          <x:t xml:space="preserve">https://simondongxiao.github.io/odds/v4/</x:t>
        </x:is>
      </x:c>
      <x:c r="AY1245" s="604" t="inlineStr">
        <x:is>
          <x:t xml:space="preserve">V4 Shadow Only；real_money=false；P(EV&gt;0)不是比赛胜率</x:t>
        </x:is>
      </x:c>
    </x:row>
    <x:row r="1246" ht="22" customHeight="1">
      <x:c r="A1246" s="604" t="inlineStr">
        <x:is>
          <x:t xml:space="preserve">2026-10-07</x:t>
        </x:is>
      </x:c>
      <x:c r="B1246" s="604" t="inlineStr">
        <x:is>
          <x:t xml:space="preserve">2026-10-07 19:00</x:t>
        </x:is>
      </x:c>
      <x:c r="C1246" s="604" t="str">
        <x:v>欧洲非五大系列</x:v>
      </x:c>
      <x:c r="D1246" s="604" t="inlineStr">
        <x:is>
          <x:t xml:space="preserve">杯赛</x:t>
        </x:is>
      </x:c>
      <x:c r="E1246" s="604" t="inlineStr">
        <x:is>
          <x:t xml:space="preserve">土杯</x:t>
        </x:is>
      </x:c>
      <x:c r="F1246" s="604" t="inlineStr">
        <x:is>
          <x:t xml:space="preserve">索马士邦 vs 凯斯特尔</x:t>
        </x:is>
      </x:c>
      <x:c r="G1246" s="604" t="n">
        <x:v>0.75</x:v>
      </x:c>
      <x:c r="H1246" s="604" t="n">
        <x:v>1.5</x:v>
      </x:c>
      <x:c r="I1246" s="604" t="n">
        <x:v>0.95</x:v>
      </x:c>
      <x:c r="J1246" s="604" t="inlineStr">
        <x:is>
          <x:t xml:space="preserve">0.75/1.5/0.95</x:t>
        </x:is>
      </x:c>
      <x:c r="K1246" s="604" t="inlineStr">
        <x:is>
          <x:t xml:space="preserve">V4-B｜EV +0.1370</x:t>
        </x:is>
      </x:c>
      <x:c r="L1246" s="604" t="inlineStr">
        <x:is>
          <x:t xml:space="preserve">索马士邦</x:t>
        </x:is>
      </x:c>
      <x:c r="M1246" s="604" t="n">
        <x:v>0.6497058300669131</x:v>
      </x:c>
      <x:c r="N1246" s="604" t="inlineStr">
        <x:is>
          <x:t xml:space="preserve">V4纸面入选-B</x:t>
        </x:is>
      </x:c>
      <x:c r="O1246" s="604" t="inlineStr">
        <x:is>
          <x:t xml:space="preserve">4-2</x:t>
        </x:is>
      </x:c>
      <x:c r="P1246" s="604" t="inlineStr">
        <x:is>
          <x:t xml:space="preserve">已结算</x:t>
        </x:is>
      </x:c>
      <x:c r="Q1246" s="645" t="inlineStr">
        <x:is>
          <x:t xml:space="preserve">红</x:t>
        </x:is>
      </x:c>
      <x:c r="R1246" s="604" t="n">
        <x:v>0.75</x:v>
      </x:c>
      <x:c r="S1246" s="604" t="n">
        <x:v>0.75</x:v>
      </x:c>
      <x:c r="T1246" s="604" t="inlineStr">
        <x:is>
          <x:t xml:space="preserve">https://m.titan007.com/analy/Analysis/3094036.htm</x:t>
        </x:is>
      </x:c>
      <x:c r="U1246" s="646" t="str">
        <x:f>IF(Q1246="","",IF(Q1246="待结算","待结算",IF(Q1246="红","黑",IF(Q1246="半红","半黑",IF(Q1246="走","走",IF(Q1246="半黑","半红","红"))))))</x:f>
        <x:v>黑</x:v>
      </x:c>
      <x:c r="V1246" s="604" t="n">
        <x:f>IF(OR(Q1246="",Q1246="待结算"),"",IF(L1246=LEFT(F1246,FIND(" vs ",F1246)-1),I1246,G1246))</x:f>
        <x:v>0.95</x:v>
      </x:c>
      <x:c r="W1246" s="604" t="n">
        <x:f>IF(OR(U1246="",U1246="待结算"),"",IF(U1246="红",V1246,IF(U1246="半红",V1246*0.5,IF(U1246="走",0,IF(U1246="半黑",-0.5,-1)))))</x:f>
        <x:v>-1</x:v>
      </x:c>
      <x:c r="X1246" s="604" t="inlineStr">
        <x:is>
          <x:t xml:space="preserve">3094036</x:t>
        </x:is>
      </x:c>
      <x:c r="Y1246" s="604" t="inlineStr">
        <x:is>
          <x:t xml:space="preserve">V4</x:t>
        </x:is>
      </x:c>
      <x:c r="Z1246" s="604" t="inlineStr">
        <x:is>
          <x:t xml:space="preserve">prior-2026-10-07-v1</x:t>
        </x:is>
      </x:c>
      <x:c r="AA1246" s="604" t="inlineStr">
        <x:is>
          <x:t xml:space="preserve">B</x:t>
        </x:is>
      </x:c>
      <x:c r="AB1246" s="604" t="n">
        <x:v>0.6497058300669131</x:v>
      </x:c>
      <x:c r="AC1246" s="604" t="n"/>
      <x:c r="AD1246" s="604" t="n"/>
      <x:c r="AE1246" s="604" t="n"/>
      <x:c r="AF1246" s="604" t="n">
        <x:v>0.350294169933087</x:v>
      </x:c>
      <x:c r="AG1246" s="604" t="n">
        <x:v>0.1369852026170978</x:v>
      </x:c>
      <x:c r="AH1246" s="604" t="n"/>
      <x:c r="AI1246" s="604" t="n"/>
      <x:c r="AJ1246" s="604" t="n">
        <x:v>0.1369852026170978</x:v>
      </x:c>
      <x:c r="AK1246" s="604" t="n"/>
      <x:c r="AL1246" s="604" t="n"/>
      <x:c r="AM1246" s="604" t="n"/>
      <x:c r="AN1246" s="604" t="inlineStr">
        <x:is>
          <x:t xml:space="preserve">EVALUATED</x:t>
        </x:is>
      </x:c>
      <x:c r="AO1246" s="604" t="inlineStr">
        <x:is>
          <x:t xml:space="preserve">GIVING_VALIDATED_EDGE、BUCKET_PRIOR_ONLY、INTENT_INTERPRETATION_ONLY、FFL_OPTIONAL、EXPERT_MARKET</x:t>
        </x:is>
      </x:c>
      <x:c r="AP1246" s="604" t="inlineStr">
        <x:is>
          <x:t xml:space="preserve">29ca3bc3521aba7139f5</x:t>
        </x:is>
      </x:c>
      <x:c r="AQ1246" s="604" t="n">
        <x:v>-1.5</x:v>
      </x:c>
      <x:c r="AR1246" s="604" t="n">
        <x:v>0.75</x:v>
      </x:c>
      <x:c r="AS1246" s="604" t="n">
        <x:v>1.5</x:v>
      </x:c>
      <x:c r="AT1246" s="604" t="n">
        <x:v>-1.5</x:v>
      </x:c>
      <x:c r="AU1246" s="604" t="n">
        <x:v>0.75</x:v>
      </x:c>
      <x:c r="AV1246" s="604" t="n">
        <x:v>0.95</x:v>
      </x:c>
      <x:c r="AW1246" s="604" t="n">
        <x:v>46302.19288847222</x:v>
      </x:c>
      <x:c r="AX1246" s="604" t="inlineStr">
        <x:is>
          <x:t xml:space="preserve">https://simondongxiao.github.io/odds/v4/</x:t>
        </x:is>
      </x:c>
      <x:c r="AY1246" s="604" t="inlineStr">
        <x:is>
          <x:t xml:space="preserve">V4 Shadow Only；real_money=false；P(EV&gt;0)不是比赛胜率</x:t>
        </x:is>
      </x:c>
    </x:row>
    <x:row r="1247" ht="22" customHeight="1">
      <x:c r="A1247" s="604" t="inlineStr">
        <x:is>
          <x:t xml:space="preserve">2026-10-07</x:t>
        </x:is>
      </x:c>
      <x:c r="B1247" s="604" t="inlineStr">
        <x:is>
          <x:t xml:space="preserve">2026-10-07 19:00</x:t>
        </x:is>
      </x:c>
      <x:c r="C1247" s="604" t="str">
        <x:v>欧洲非五大系列</x:v>
      </x:c>
      <x:c r="D1247" s="604" t="inlineStr">
        <x:is>
          <x:t xml:space="preserve">杯赛</x:t>
        </x:is>
      </x:c>
      <x:c r="E1247" s="604" t="inlineStr">
        <x:is>
          <x:t xml:space="preserve">土杯</x:t>
        </x:is>
      </x:c>
      <x:c r="F1247" s="604" t="inlineStr">
        <x:is>
          <x:t xml:space="preserve">祖古尔达克 vs 杜兹塞</x:t>
        </x:is>
      </x:c>
      <x:c r="G1247" s="604" t="n">
        <x:v>0.83</x:v>
      </x:c>
      <x:c r="H1247" s="604" t="n">
        <x:v>0.25</x:v>
      </x:c>
      <x:c r="I1247" s="604" t="n">
        <x:v>0.98</x:v>
      </x:c>
      <x:c r="J1247" s="604" t="inlineStr">
        <x:is>
          <x:t xml:space="preserve">0.83/0.25/0.98</x:t>
        </x:is>
      </x:c>
      <x:c r="K1247" s="604" t="inlineStr">
        <x:is>
          <x:t xml:space="preserve">V4-C｜EV +0.0609</x:t>
        </x:is>
      </x:c>
      <x:c r="L1247" s="604" t="inlineStr">
        <x:is>
          <x:t xml:space="preserve">祖古尔达克</x:t>
        </x:is>
      </x:c>
      <x:c r="M1247" s="604" t="n">
        <x:v>0.5845065679234761</x:v>
      </x:c>
      <x:c r="N1247" s="604" t="inlineStr">
        <x:is>
          <x:t xml:space="preserve">V4纸面入选-C</x:t>
        </x:is>
      </x:c>
      <x:c r="O1247" s="604" t="inlineStr">
        <x:is>
          <x:t xml:space="preserve">0-1</x:t>
        </x:is>
      </x:c>
      <x:c r="P1247" s="604" t="inlineStr">
        <x:is>
          <x:t xml:space="preserve">已结算</x:t>
        </x:is>
      </x:c>
      <x:c r="Q1247" s="646" t="inlineStr">
        <x:is>
          <x:t xml:space="preserve">黑</x:t>
        </x:is>
      </x:c>
      <x:c r="R1247" s="604" t="n">
        <x:v>0.83</x:v>
      </x:c>
      <x:c r="S1247" s="604" t="n">
        <x:v>-1</x:v>
      </x:c>
      <x:c r="T1247" s="604" t="inlineStr">
        <x:is>
          <x:t xml:space="preserve">https://m.titan007.com/analy/Analysis/3094038.htm</x:t>
        </x:is>
      </x:c>
      <x:c r="U1247" s="645" t="str">
        <x:f>IF(Q1247="","",IF(Q1247="待结算","待结算",IF(Q1247="红","黑",IF(Q1247="半红","半黑",IF(Q1247="走","走",IF(Q1247="半黑","半红","红"))))))</x:f>
        <x:v>红</x:v>
      </x:c>
      <x:c r="V1247" s="604" t="n">
        <x:f>IF(OR(Q1247="",Q1247="待结算"),"",IF(L1247=LEFT(F1247,FIND(" vs ",F1247)-1),I1247,G1247))</x:f>
        <x:v>0.98</x:v>
      </x:c>
      <x:c r="W1247" s="604" t="n">
        <x:f>IF(OR(U1247="",U1247="待结算"),"",IF(U1247="红",V1247,IF(U1247="半红",V1247*0.5,IF(U1247="走",0,IF(U1247="半黑",-0.5,-1)))))</x:f>
        <x:v>0.98</x:v>
      </x:c>
      <x:c r="X1247" s="604" t="inlineStr">
        <x:is>
          <x:t xml:space="preserve">3094038</x:t>
        </x:is>
      </x:c>
      <x:c r="Y1247" s="604" t="inlineStr">
        <x:is>
          <x:t xml:space="preserve">V4</x:t>
        </x:is>
      </x:c>
      <x:c r="Z1247" s="604" t="inlineStr">
        <x:is>
          <x:t xml:space="preserve">prior-2026-10-07-v1</x:t>
        </x:is>
      </x:c>
      <x:c r="AA1247" s="604" t="inlineStr">
        <x:is>
          <x:t xml:space="preserve">C</x:t>
        </x:is>
      </x:c>
      <x:c r="AB1247" s="604" t="n">
        <x:v>0.5109299875394743</x:v>
      </x:c>
      <x:c r="AC1247" s="604" t="n"/>
      <x:c r="AD1247" s="604" t="n"/>
      <x:c r="AE1247" s="604" t="n">
        <x:v>0.2517562142899123</x:v>
      </x:c>
      <x:c r="AF1247" s="604" t="n">
        <x:v>0.2373137981706135</x:v>
      </x:c>
      <x:c r="AG1247" s="604" t="n">
        <x:v>0.06087998434219397</x:v>
      </x:c>
      <x:c r="AH1247" s="604" t="n"/>
      <x:c r="AI1247" s="604" t="n"/>
      <x:c r="AJ1247" s="604" t="n">
        <x:v>0.06087998434219397</x:v>
      </x:c>
      <x:c r="AK1247" s="604" t="n"/>
      <x:c r="AL1247" s="604" t="n"/>
      <x:c r="AM1247" s="604" t="n"/>
      <x:c r="AN1247" s="604" t="inlineStr">
        <x:is>
          <x:t xml:space="preserve">EVALUATED</x:t>
        </x:is>
      </x:c>
      <x:c r="AO1247" s="604" t="inlineStr">
        <x:is>
          <x:t xml:space="preserve">GIVING_VALIDATED_EDGE、BUCKET_PRIOR_ONLY、INTENT_INTERPRETATION_ONLY、FFL_OPTIONAL、EXPERT_MARKET</x:t>
        </x:is>
      </x:c>
      <x:c r="AP1247" s="604" t="inlineStr">
        <x:is>
          <x:t xml:space="preserve">aaee6b86fb260eaffe4f</x:t>
        </x:is>
      </x:c>
      <x:c r="AQ1247" s="604" t="n">
        <x:v>-0.25</x:v>
      </x:c>
      <x:c r="AR1247" s="604" t="n">
        <x:v>0.83</x:v>
      </x:c>
      <x:c r="AS1247" s="604" t="n">
        <x:v>0.25</x:v>
      </x:c>
      <x:c r="AT1247" s="604" t="n">
        <x:v>-0.25</x:v>
      </x:c>
      <x:c r="AU1247" s="604" t="n">
        <x:v>0.83</x:v>
      </x:c>
      <x:c r="AV1247" s="604" t="n">
        <x:v>0.98</x:v>
      </x:c>
      <x:c r="AW1247" s="604" t="n">
        <x:v>46302.19288847222</x:v>
      </x:c>
      <x:c r="AX1247" s="604" t="inlineStr">
        <x:is>
          <x:t xml:space="preserve">https://simondongxiao.github.io/odds/v4/</x:t>
        </x:is>
      </x:c>
      <x:c r="AY1247" s="604" t="inlineStr">
        <x:is>
          <x:t xml:space="preserve">V4 Shadow Only；real_money=false；P(EV&gt;0)不是比赛胜率</x:t>
        </x:is>
      </x:c>
    </x:row>
    <x:row r="1248" ht="22" customHeight="1">
      <x:c r="A1248" s="604" t="inlineStr">
        <x:is>
          <x:t xml:space="preserve">2026-10-07</x:t>
        </x:is>
      </x:c>
      <x:c r="B1248" s="604" t="inlineStr">
        <x:is>
          <x:t xml:space="preserve">2026-10-07 19:00</x:t>
        </x:is>
      </x:c>
      <x:c r="C1248" s="604" t="str">
        <x:v>西亚/中亚系列</x:v>
      </x:c>
      <x:c r="D1248" s="604" t="inlineStr">
        <x:is>
          <x:t xml:space="preserve">联赛</x:t>
        </x:is>
      </x:c>
      <x:c r="E1248" s="604" t="inlineStr">
        <x:is>
          <x:t xml:space="preserve">乌兹甲</x:t>
        </x:is>
      </x:c>
      <x:c r="F1248" s="604" t="inlineStr">
        <x:is>
          <x:t xml:space="preserve">布哈拉大学 vs 洛钦</x:t>
        </x:is>
      </x:c>
      <x:c r="G1248" s="604" t="n">
        <x:v>0.93</x:v>
      </x:c>
      <x:c r="H1248" s="604" t="n">
        <x:v>-1</x:v>
      </x:c>
      <x:c r="I1248" s="604" t="n">
        <x:v>0.77</x:v>
      </x:c>
      <x:c r="J1248" s="604" t="inlineStr">
        <x:is>
          <x:t xml:space="preserve">0.93/-1/0.77</x:t>
        </x:is>
      </x:c>
      <x:c r="K1248" s="604" t="inlineStr">
        <x:is>
          <x:t xml:space="preserve">V4-B｜EV +0.8197</x:t>
        </x:is>
      </x:c>
      <x:c r="L1248" s="604" t="inlineStr">
        <x:is>
          <x:t xml:space="preserve">布哈拉大学</x:t>
        </x:is>
      </x:c>
      <x:c r="M1248" s="604" t="n">
        <x:v>0.9762748802729648</x:v>
      </x:c>
      <x:c r="N1248" s="604" t="inlineStr">
        <x:is>
          <x:t xml:space="preserve">V4纸面入选-B</x:t>
        </x:is>
      </x:c>
      <x:c r="O1248" s="604" t="inlineStr">
        <x:is>
          <x:t xml:space="preserve">2-6</x:t>
        </x:is>
      </x:c>
      <x:c r="P1248" s="604" t="inlineStr">
        <x:is>
          <x:t xml:space="preserve">已结算</x:t>
        </x:is>
      </x:c>
      <x:c r="Q1248" s="646" t="inlineStr">
        <x:is>
          <x:t xml:space="preserve">黑</x:t>
        </x:is>
      </x:c>
      <x:c r="R1248" s="604" t="n">
        <x:v>0.93</x:v>
      </x:c>
      <x:c r="S1248" s="604" t="n">
        <x:v>-1</x:v>
      </x:c>
      <x:c r="T1248" s="604" t="inlineStr">
        <x:is>
          <x:t xml:space="preserve">https://m.titan007.com/analy/Analysis/2971100.htm</x:t>
        </x:is>
      </x:c>
      <x:c r="U1248" s="645" t="str">
        <x:f>IF(Q1248="","",IF(Q1248="待结算","待结算",IF(Q1248="红","黑",IF(Q1248="半红","半黑",IF(Q1248="走","走",IF(Q1248="半黑","半红","红"))))))</x:f>
        <x:v>红</x:v>
      </x:c>
      <x:c r="V1248" s="604" t="n">
        <x:f>IF(OR(Q1248="",Q1248="待结算"),"",IF(L1248=LEFT(F1248,FIND(" vs ",F1248)-1),I1248,G1248))</x:f>
        <x:v>0.77</x:v>
      </x:c>
      <x:c r="W1248" s="604" t="n">
        <x:f>IF(OR(U1248="",U1248="待结算"),"",IF(U1248="红",V1248,IF(U1248="半红",V1248*0.5,IF(U1248="走",0,IF(U1248="半黑",-0.5,-1)))))</x:f>
        <x:v>0.77</x:v>
      </x:c>
      <x:c r="X1248" s="604" t="inlineStr">
        <x:is>
          <x:t xml:space="preserve">2971100</x:t>
        </x:is>
      </x:c>
      <x:c r="Y1248" s="604" t="inlineStr">
        <x:is>
          <x:t xml:space="preserve">V4</x:t>
        </x:is>
      </x:c>
      <x:c r="Z1248" s="604" t="inlineStr">
        <x:is>
          <x:t xml:space="preserve">prior-2026-10-07-v1</x:t>
        </x:is>
      </x:c>
      <x:c r="AA1248" s="604" t="inlineStr">
        <x:is>
          <x:t xml:space="preserve">B</x:t>
        </x:is>
      </x:c>
      <x:c r="AB1248" s="604" t="n">
        <x:v>0.9050637974954057</x:v>
      </x:c>
      <x:c r="AC1248" s="604" t="n"/>
      <x:c r="AD1248" s="604" t="n">
        <x:v>0.07294163172327926</x:v>
      </x:c>
      <x:c r="AE1248" s="604" t="n"/>
      <x:c r="AF1248" s="604" t="n">
        <x:v>0.02199457078131502</x:v>
      </x:c>
      <x:c r="AG1248" s="604" t="n">
        <x:v>0.8197147608894122</x:v>
      </x:c>
      <x:c r="AH1248" s="604" t="n"/>
      <x:c r="AI1248" s="604" t="n"/>
      <x:c r="AJ1248" s="604" t="n">
        <x:v>0.8197147608894122</x:v>
      </x:c>
      <x:c r="AK1248" s="604" t="n"/>
      <x:c r="AL1248" s="604" t="n"/>
      <x:c r="AM1248" s="604" t="n"/>
      <x:c r="AN1248" s="604" t="inlineStr">
        <x:is>
          <x:t xml:space="preserve">EVALUATED</x:t>
        </x:is>
      </x:c>
      <x:c r="AO1248" s="604" t="inlineStr">
        <x:is>
          <x:t xml:space="preserve">RECEIVING_VALIDATED_EDGE、BUCKET_PRIOR_ONLY、INTENT_INTERPRETATION_ONLY、FFL_OPTIONAL、EXPERT_MARKET</x:t>
        </x:is>
      </x:c>
      <x:c r="AP1248" s="604" t="inlineStr">
        <x:is>
          <x:t xml:space="preserve">4bc71aee86944313131b</x:t>
        </x:is>
      </x:c>
      <x:c r="AQ1248" s="604" t="n">
        <x:v>1</x:v>
      </x:c>
      <x:c r="AR1248" s="604" t="n">
        <x:v>0.93</x:v>
      </x:c>
      <x:c r="AS1248" s="604" t="n">
        <x:v>-1</x:v>
      </x:c>
      <x:c r="AT1248" s="604" t="n">
        <x:v>1</x:v>
      </x:c>
      <x:c r="AU1248" s="604" t="n">
        <x:v>0.93</x:v>
      </x:c>
      <x:c r="AV1248" s="604" t="n">
        <x:v>0.77</x:v>
      </x:c>
      <x:c r="AW1248" s="604" t="n">
        <x:v>46302.19288847222</x:v>
      </x:c>
      <x:c r="AX1248" s="604" t="inlineStr">
        <x:is>
          <x:t xml:space="preserve">https://simondongxiao.github.io/odds/v4/</x:t>
        </x:is>
      </x:c>
      <x:c r="AY1248" s="604" t="inlineStr">
        <x:is>
          <x:t xml:space="preserve">V4 Shadow Only；real_money=false；P(EV&gt;0)不是比赛胜率</x:t>
        </x:is>
      </x:c>
    </x:row>
    <x:row r="1249" ht="22" customHeight="1">
      <x:c r="A1249" s="604" t="inlineStr">
        <x:is>
          <x:t xml:space="preserve">2026-10-07</x:t>
        </x:is>
      </x:c>
      <x:c r="B1249" s="604" t="inlineStr">
        <x:is>
          <x:t xml:space="preserve">2026-10-07 19:00</x:t>
        </x:is>
      </x:c>
      <x:c r="C1249" s="604" t="str">
        <x:v>西亚/中亚系列</x:v>
      </x:c>
      <x:c r="D1249" s="604" t="inlineStr">
        <x:is>
          <x:t xml:space="preserve">联赛</x:t>
        </x:is>
      </x:c>
      <x:c r="E1249" s="604" t="inlineStr">
        <x:is>
          <x:t xml:space="preserve">乌兹甲</x:t>
        </x:is>
      </x:c>
      <x:c r="F1249" s="604" t="inlineStr">
        <x:is>
          <x:t xml:space="preserve">奥林匹克莫比兹 vs 费尔干纳大学</x:t>
        </x:is>
      </x:c>
      <x:c r="G1249" s="604" t="n">
        <x:v>0.95</x:v>
      </x:c>
      <x:c r="H1249" s="604" t="n">
        <x:v>0.25</x:v>
      </x:c>
      <x:c r="I1249" s="604" t="n">
        <x:v>0.85</x:v>
      </x:c>
      <x:c r="J1249" s="604" t="inlineStr">
        <x:is>
          <x:t xml:space="preserve">0.95/0.25/0.85</x:t>
        </x:is>
      </x:c>
      <x:c r="K1249" s="604" t="inlineStr">
        <x:is>
          <x:t xml:space="preserve">V4-C｜EV +0.0547</x:t>
        </x:is>
      </x:c>
      <x:c r="L1249" s="604" t="inlineStr">
        <x:is>
          <x:t xml:space="preserve">奥林匹克莫比兹</x:t>
        </x:is>
      </x:c>
      <x:c r="M1249" s="604" t="n">
        <x:v>0.5449834856753695</x:v>
      </x:c>
      <x:c r="N1249" s="604" t="inlineStr">
        <x:is>
          <x:t xml:space="preserve">V4纸面入选-C</x:t>
        </x:is>
      </x:c>
      <x:c r="O1249" s="604" t="inlineStr">
        <x:is>
          <x:t xml:space="preserve">2-2</x:t>
        </x:is>
      </x:c>
      <x:c r="P1249" s="604" t="inlineStr">
        <x:is>
          <x:t xml:space="preserve">已结算</x:t>
        </x:is>
      </x:c>
      <x:c r="Q1249" s="648" t="inlineStr">
        <x:is>
          <x:t xml:space="preserve">半黑</x:t>
        </x:is>
      </x:c>
      <x:c r="R1249" s="604" t="n">
        <x:v>0.95</x:v>
      </x:c>
      <x:c r="S1249" s="604" t="n">
        <x:v>-0.5</x:v>
      </x:c>
      <x:c r="T1249" s="604" t="inlineStr">
        <x:is>
          <x:t xml:space="preserve">https://m.titan007.com/analy/Analysis/2971103.htm</x:t>
        </x:is>
      </x:c>
      <x:c r="U1249" s="649" t="str">
        <x:f>IF(Q1249="","",IF(Q1249="待结算","待结算",IF(Q1249="红","黑",IF(Q1249="半红","半黑",IF(Q1249="走","走",IF(Q1249="半黑","半红","红"))))))</x:f>
        <x:v>半红</x:v>
      </x:c>
      <x:c r="V1249" s="604" t="n">
        <x:f>IF(OR(Q1249="",Q1249="待结算"),"",IF(L1249=LEFT(F1249,FIND(" vs ",F1249)-1),I1249,G1249))</x:f>
        <x:v>0.85</x:v>
      </x:c>
      <x:c r="W1249" s="604" t="n">
        <x:f>IF(OR(U1249="",U1249="待结算"),"",IF(U1249="红",V1249,IF(U1249="半红",V1249*0.5,IF(U1249="走",0,IF(U1249="半黑",-0.5,-1)))))</x:f>
        <x:v>0.425</x:v>
      </x:c>
      <x:c r="X1249" s="604" t="inlineStr">
        <x:is>
          <x:t xml:space="preserve">2971103</x:t>
        </x:is>
      </x:c>
      <x:c r="Y1249" s="604" t="inlineStr">
        <x:is>
          <x:t xml:space="preserve">V4</x:t>
        </x:is>
      </x:c>
      <x:c r="Z1249" s="604" t="inlineStr">
        <x:is>
          <x:t xml:space="preserve">prior-2026-10-07-v1</x:t>
        </x:is>
      </x:c>
      <x:c r="AA1249" s="604" t="inlineStr">
        <x:is>
          <x:t xml:space="preserve">C</x:t>
        </x:is>
      </x:c>
      <x:c r="AB1249" s="604" t="n">
        <x:v>0.4752835823660458</x:v>
      </x:c>
      <x:c r="AC1249" s="604" t="n"/>
      <x:c r="AD1249" s="604" t="n"/>
      <x:c r="AE1249" s="604" t="n">
        <x:v>0.2557872124251555</x:v>
      </x:c>
      <x:c r="AF1249" s="604" t="n">
        <x:v>0.2689292052087988</x:v>
      </x:c>
      <x:c r="AG1249" s="604" t="n">
        <x:v>0.05469659182636699</x:v>
      </x:c>
      <x:c r="AH1249" s="604" t="n"/>
      <x:c r="AI1249" s="604" t="n"/>
      <x:c r="AJ1249" s="604" t="n">
        <x:v>0.05469659182636699</x:v>
      </x:c>
      <x:c r="AK1249" s="604" t="n"/>
      <x:c r="AL1249" s="604" t="n"/>
      <x:c r="AM1249" s="604" t="n"/>
      <x:c r="AN1249" s="604" t="inlineStr">
        <x:is>
          <x:t xml:space="preserve">EVALUATED</x:t>
        </x:is>
      </x:c>
      <x:c r="AO1249" s="604" t="inlineStr">
        <x:is>
          <x:t xml:space="preserve">GIVING_VALIDATED_EDGE、BUCKET_PRIOR_ONLY、INTENT_INTERPRETATION_ONLY、FFL_OPTIONAL、EXPERT_MARKET</x:t>
        </x:is>
      </x:c>
      <x:c r="AP1249" s="604" t="inlineStr">
        <x:is>
          <x:t xml:space="preserve">8618a9b2f7daaa0ab089</x:t>
        </x:is>
      </x:c>
      <x:c r="AQ1249" s="604" t="n">
        <x:v>-0.25</x:v>
      </x:c>
      <x:c r="AR1249" s="604" t="n">
        <x:v>0.95</x:v>
      </x:c>
      <x:c r="AS1249" s="604" t="n">
        <x:v>0.25</x:v>
      </x:c>
      <x:c r="AT1249" s="604" t="n">
        <x:v>-0.25</x:v>
      </x:c>
      <x:c r="AU1249" s="604" t="n">
        <x:v>0.95</x:v>
      </x:c>
      <x:c r="AV1249" s="604" t="n">
        <x:v>0.85</x:v>
      </x:c>
      <x:c r="AW1249" s="604" t="n">
        <x:v>46302.19288847222</x:v>
      </x:c>
      <x:c r="AX1249" s="604" t="inlineStr">
        <x:is>
          <x:t xml:space="preserve">https://simondongxiao.github.io/odds/v4/</x:t>
        </x:is>
      </x:c>
      <x:c r="AY1249" s="604" t="inlineStr">
        <x:is>
          <x:t xml:space="preserve">V4 Shadow Only；real_money=false；P(EV&gt;0)不是比赛胜率</x:t>
        </x:is>
      </x:c>
    </x:row>
    <x:row r="1250" ht="22" customHeight="1">
      <x:c r="A1250" s="604" t="inlineStr">
        <x:is>
          <x:t xml:space="preserve">2026-10-07</x:t>
        </x:is>
      </x:c>
      <x:c r="B1250" s="604" t="inlineStr">
        <x:is>
          <x:t xml:space="preserve">2026-10-07 19:30</x:t>
        </x:is>
      </x:c>
      <x:c r="C1250" s="604" t="str">
        <x:v>日韩系列</x:v>
      </x:c>
      <x:c r="D1250" s="604" t="inlineStr">
        <x:is>
          <x:t xml:space="preserve">联赛</x:t>
        </x:is>
      </x:c>
      <x:c r="E1250" s="604" t="inlineStr">
        <x:is>
          <x:t xml:space="preserve">中甲</x:t>
        </x:is>
      </x:c>
      <x:c r="F1250" s="604" t="inlineStr">
        <x:is>
          <x:t xml:space="preserve">佛山南狮 vs 广西恒宸</x:t>
        </x:is>
      </x:c>
      <x:c r="G1250" s="604" t="n">
        <x:v>0.74</x:v>
      </x:c>
      <x:c r="H1250" s="604" t="n">
        <x:v>-1.25</x:v>
      </x:c>
      <x:c r="I1250" s="604" t="n">
        <x:v>1.02</x:v>
      </x:c>
      <x:c r="J1250" s="604" t="inlineStr">
        <x:is>
          <x:t xml:space="preserve">0.74/-1.25/1.02</x:t>
        </x:is>
      </x:c>
      <x:c r="K1250" s="604" t="inlineStr">
        <x:is>
          <x:t xml:space="preserve">V4-B｜EV +0.6808</x:t>
        </x:is>
      </x:c>
      <x:c r="L1250" s="604" t="inlineStr">
        <x:is>
          <x:t xml:space="preserve">佛山南狮</x:t>
        </x:is>
      </x:c>
      <x:c r="M1250" s="604" t="n">
        <x:v>0.9798246337667368</x:v>
      </x:c>
      <x:c r="N1250" s="604" t="inlineStr">
        <x:is>
          <x:t xml:space="preserve">V4纸面入选-B</x:t>
        </x:is>
      </x:c>
      <x:c r="O1250" s="604" t="inlineStr">
        <x:is>
          <x:t xml:space="preserve">1-0</x:t>
        </x:is>
      </x:c>
      <x:c r="P1250" s="604" t="inlineStr">
        <x:is>
          <x:t xml:space="preserve">已结算</x:t>
        </x:is>
      </x:c>
      <x:c r="Q1250" s="645" t="inlineStr">
        <x:is>
          <x:t xml:space="preserve">红</x:t>
        </x:is>
      </x:c>
      <x:c r="R1250" s="604" t="n">
        <x:v>0.74</x:v>
      </x:c>
      <x:c r="S1250" s="604" t="n">
        <x:v>0.74</x:v>
      </x:c>
      <x:c r="T1250" s="604" t="inlineStr">
        <x:is>
          <x:t xml:space="preserve">https://m.titan007.com/analy/Analysis/2951667.htm</x:t>
        </x:is>
      </x:c>
      <x:c r="U1250" s="646" t="str">
        <x:f>IF(Q1250="","",IF(Q1250="待结算","待结算",IF(Q1250="红","黑",IF(Q1250="半红","半黑",IF(Q1250="走","走",IF(Q1250="半黑","半红","红"))))))</x:f>
        <x:v>黑</x:v>
      </x:c>
      <x:c r="V1250" s="604" t="n">
        <x:f>IF(OR(Q1250="",Q1250="待结算"),"",IF(L1250=LEFT(F1250,FIND(" vs ",F1250)-1),I1250,G1250))</x:f>
        <x:v>1.02</x:v>
      </x:c>
      <x:c r="W1250" s="604" t="n">
        <x:f>IF(OR(U1250="",U1250="待结算"),"",IF(U1250="红",V1250,IF(U1250="半红",V1250*0.5,IF(U1250="走",0,IF(U1250="半黑",-0.5,-1)))))</x:f>
        <x:v>-1</x:v>
      </x:c>
      <x:c r="X1250" s="604" t="inlineStr">
        <x:is>
          <x:t xml:space="preserve">2951667</x:t>
        </x:is>
      </x:c>
      <x:c r="Y1250" s="604" t="inlineStr">
        <x:is>
          <x:t xml:space="preserve">V4</x:t>
        </x:is>
      </x:c>
      <x:c r="Z1250" s="604" t="inlineStr">
        <x:is>
          <x:t xml:space="preserve">prior-2026-10-07-v1</x:t>
        </x:is>
      </x:c>
      <x:c r="AA1250" s="604" t="inlineStr">
        <x:is>
          <x:t xml:space="preserve">B</x:t>
        </x:is>
      </x:c>
      <x:c r="AB1250" s="604" t="n">
        <x:v>0.9122183352187726</x:v>
      </x:c>
      <x:c r="AC1250" s="604" t="n">
        <x:v>0.06829523928019728</x:v>
      </x:c>
      <x:c r="AD1250" s="604" t="n"/>
      <x:c r="AE1250" s="604" t="n"/>
      <x:c r="AF1250" s="604" t="n">
        <x:v>0.01948642550103011</x:v>
      </x:c>
      <x:c r="AG1250" s="604" t="n">
        <x:v>0.6808243810945347</x:v>
      </x:c>
      <x:c r="AH1250" s="604" t="n"/>
      <x:c r="AI1250" s="604" t="n"/>
      <x:c r="AJ1250" s="604" t="n">
        <x:v>0.6808243810945347</x:v>
      </x:c>
      <x:c r="AK1250" s="604" t="n"/>
      <x:c r="AL1250" s="604" t="n"/>
      <x:c r="AM1250" s="604" t="n"/>
      <x:c r="AN1250" s="604" t="inlineStr">
        <x:is>
          <x:t xml:space="preserve">EVALUATED</x:t>
        </x:is>
      </x:c>
      <x:c r="AO1250" s="604" t="inlineStr">
        <x:is>
          <x:t xml:space="preserve">RECEIVING_VALIDATED_EDGE、BUCKET_PRIOR_ONLY、INTENT_INTERPRETATION_ONLY、FFL_OPTIONAL、EXPERT_MARKET</x:t>
        </x:is>
      </x:c>
      <x:c r="AP1250" s="604" t="inlineStr">
        <x:is>
          <x:t xml:space="preserve">5879a2538419301fc8e3</x:t>
        </x:is>
      </x:c>
      <x:c r="AQ1250" s="604" t="n">
        <x:v>1.25</x:v>
      </x:c>
      <x:c r="AR1250" s="604" t="n">
        <x:v>0.74</x:v>
      </x:c>
      <x:c r="AS1250" s="604" t="n">
        <x:v>-1.25</x:v>
      </x:c>
      <x:c r="AT1250" s="604" t="n">
        <x:v>1.25</x:v>
      </x:c>
      <x:c r="AU1250" s="604" t="n">
        <x:v>0.74</x:v>
      </x:c>
      <x:c r="AV1250" s="604" t="n">
        <x:v>1.02</x:v>
      </x:c>
      <x:c r="AW1250" s="604" t="n">
        <x:v>46302.19288847222</x:v>
      </x:c>
      <x:c r="AX1250" s="604" t="inlineStr">
        <x:is>
          <x:t xml:space="preserve">https://simondongxiao.github.io/odds/v4/</x:t>
        </x:is>
      </x:c>
      <x:c r="AY1250" s="604" t="inlineStr">
        <x:is>
          <x:t xml:space="preserve">V4 Shadow Only；real_money=false；P(EV&gt;0)不是比赛胜率</x:t>
        </x:is>
      </x:c>
    </x:row>
    <x:row r="1251" ht="22" customHeight="1">
      <x:c r="A1251" s="604" t="inlineStr">
        <x:is>
          <x:t xml:space="preserve">2026-10-07</x:t>
        </x:is>
      </x:c>
      <x:c r="B1251" s="604" t="inlineStr">
        <x:is>
          <x:t xml:space="preserve">2026-10-07 19:30</x:t>
        </x:is>
      </x:c>
      <x:c r="C1251" s="604" t="str">
        <x:v>日韩系列</x:v>
      </x:c>
      <x:c r="D1251" s="604" t="inlineStr">
        <x:is>
          <x:t xml:space="preserve">联赛</x:t>
        </x:is>
      </x:c>
      <x:c r="E1251" s="604" t="inlineStr">
        <x:is>
          <x:t xml:space="preserve">中甲</x:t>
        </x:is>
      </x:c>
      <x:c r="F1251" s="604" t="inlineStr">
        <x:is>
          <x:t xml:space="preserve">南京城市 vs 陕西联合月亮泊队</x:t>
        </x:is>
      </x:c>
      <x:c r="G1251" s="604" t="n">
        <x:v>0.99</x:v>
      </x:c>
      <x:c r="H1251" s="604" t="n">
        <x:v>-0.25</x:v>
      </x:c>
      <x:c r="I1251" s="604" t="n">
        <x:v>0.77</x:v>
      </x:c>
      <x:c r="J1251" s="604" t="inlineStr">
        <x:is>
          <x:t xml:space="preserve">0.99/-0.25/0.77</x:t>
        </x:is>
      </x:c>
      <x:c r="K1251" s="604" t="inlineStr">
        <x:is>
          <x:t xml:space="preserve">V4-B｜EV +0.4108</x:t>
        </x:is>
      </x:c>
      <x:c r="L1251" s="604" t="inlineStr">
        <x:is>
          <x:t xml:space="preserve">南京城市</x:t>
        </x:is>
      </x:c>
      <x:c r="M1251" s="604" t="n">
        <x:v>0.738282363720414</x:v>
      </x:c>
      <x:c r="N1251" s="604" t="inlineStr">
        <x:is>
          <x:t xml:space="preserve">V4纸面入选-B</x:t>
        </x:is>
      </x:c>
      <x:c r="O1251" s="604" t="inlineStr">
        <x:is>
          <x:t xml:space="preserve">1-4</x:t>
        </x:is>
      </x:c>
      <x:c r="P1251" s="604" t="inlineStr">
        <x:is>
          <x:t xml:space="preserve">已结算</x:t>
        </x:is>
      </x:c>
      <x:c r="Q1251" s="646" t="inlineStr">
        <x:is>
          <x:t xml:space="preserve">黑</x:t>
        </x:is>
      </x:c>
      <x:c r="R1251" s="604" t="n">
        <x:v>0.99</x:v>
      </x:c>
      <x:c r="S1251" s="604" t="n">
        <x:v>-1</x:v>
      </x:c>
      <x:c r="T1251" s="604" t="inlineStr">
        <x:is>
          <x:t xml:space="preserve">https://m.titan007.com/analy/Analysis/2951668.htm</x:t>
        </x:is>
      </x:c>
      <x:c r="U1251" s="645" t="str">
        <x:f>IF(Q1251="","",IF(Q1251="待结算","待结算",IF(Q1251="红","黑",IF(Q1251="半红","半黑",IF(Q1251="走","走",IF(Q1251="半黑","半红","红"))))))</x:f>
        <x:v>红</x:v>
      </x:c>
      <x:c r="V1251" s="604" t="n">
        <x:f>IF(OR(Q1251="",Q1251="待结算"),"",IF(L1251=LEFT(F1251,FIND(" vs ",F1251)-1),I1251,G1251))</x:f>
        <x:v>0.77</x:v>
      </x:c>
      <x:c r="W1251" s="604" t="n">
        <x:f>IF(OR(U1251="",U1251="待结算"),"",IF(U1251="红",V1251,IF(U1251="半红",V1251*0.5,IF(U1251="走",0,IF(U1251="半黑",-0.5,-1)))))</x:f>
        <x:v>0.77</x:v>
      </x:c>
      <x:c r="X1251" s="604" t="inlineStr">
        <x:is>
          <x:t xml:space="preserve">2951668</x:t>
        </x:is>
      </x:c>
      <x:c r="Y1251" s="604" t="inlineStr">
        <x:is>
          <x:t xml:space="preserve">V4</x:t>
        </x:is>
      </x:c>
      <x:c r="Z1251" s="604" t="inlineStr">
        <x:is>
          <x:t xml:space="preserve">prior-2026-10-07-v1</x:t>
        </x:is>
      </x:c>
      <x:c r="AA1251" s="604" t="inlineStr">
        <x:is>
          <x:t xml:space="preserve">B</x:t>
        </x:is>
      </x:c>
      <x:c r="AB1251" s="604" t="n">
        <x:v>0.5219212203795792</x:v>
      </x:c>
      <x:c r="AC1251" s="604" t="n">
        <x:v>0.2489367065518181</x:v>
      </x:c>
      <x:c r="AD1251" s="604" t="n"/>
      <x:c r="AE1251" s="604" t="n"/>
      <x:c r="AF1251" s="604" t="n">
        <x:v>0.2291420730686026</x:v>
      </x:c>
      <x:c r="AG1251" s="604" t="n">
        <x:v>0.4107836048503307</x:v>
      </x:c>
      <x:c r="AH1251" s="604" t="n"/>
      <x:c r="AI1251" s="604" t="n"/>
      <x:c r="AJ1251" s="604" t="n">
        <x:v>0.4107836048503307</x:v>
      </x:c>
      <x:c r="AK1251" s="604" t="n"/>
      <x:c r="AL1251" s="604" t="n"/>
      <x:c r="AM1251" s="604" t="n"/>
      <x:c r="AN1251" s="604" t="inlineStr">
        <x:is>
          <x:t xml:space="preserve">EVALUATED</x:t>
        </x:is>
      </x:c>
      <x:c r="AO1251" s="604" t="inlineStr">
        <x:is>
          <x:t xml:space="preserve">RECEIVING_VALIDATED_EDGE、BUCKET_PRIOR_ONLY、INTENT_INTERPRETATION_ONLY、FFL_OPTIONAL、EXPERT_MARKET</x:t>
        </x:is>
      </x:c>
      <x:c r="AP1251" s="604" t="inlineStr">
        <x:is>
          <x:t xml:space="preserve">dd39634dd7014a128ccc</x:t>
        </x:is>
      </x:c>
      <x:c r="AQ1251" s="604" t="n">
        <x:v>0.25</x:v>
      </x:c>
      <x:c r="AR1251" s="604" t="n">
        <x:v>0.99</x:v>
      </x:c>
      <x:c r="AS1251" s="604" t="n">
        <x:v>-0.25</x:v>
      </x:c>
      <x:c r="AT1251" s="604" t="n">
        <x:v>0.25</x:v>
      </x:c>
      <x:c r="AU1251" s="604" t="n">
        <x:v>0.99</x:v>
      </x:c>
      <x:c r="AV1251" s="604" t="n">
        <x:v>0.77</x:v>
      </x:c>
      <x:c r="AW1251" s="604" t="n">
        <x:v>46302.19288847222</x:v>
      </x:c>
      <x:c r="AX1251" s="604" t="inlineStr">
        <x:is>
          <x:t xml:space="preserve">https://simondongxiao.github.io/odds/v4/</x:t>
        </x:is>
      </x:c>
      <x:c r="AY1251" s="604" t="inlineStr">
        <x:is>
          <x:t xml:space="preserve">V4 Shadow Only；real_money=false；P(EV&gt;0)不是比赛胜率</x:t>
        </x:is>
      </x:c>
    </x:row>
    <x:row r="1252" ht="22" customHeight="1">
      <x:c r="A1252" s="604" t="inlineStr">
        <x:is>
          <x:t xml:space="preserve">2026-10-07</x:t>
        </x:is>
      </x:c>
      <x:c r="B1252" s="604" t="inlineStr">
        <x:is>
          <x:t xml:space="preserve">2026-10-07 19:30</x:t>
        </x:is>
      </x:c>
      <x:c r="C1252" s="604" t="str">
        <x:v>日韩系列</x:v>
      </x:c>
      <x:c r="D1252" s="604" t="inlineStr">
        <x:is>
          <x:t xml:space="preserve">联赛</x:t>
        </x:is>
      </x:c>
      <x:c r="E1252" s="604" t="inlineStr">
        <x:is>
          <x:t xml:space="preserve">中乙</x:t>
        </x:is>
      </x:c>
      <x:c r="F1252" s="604" t="inlineStr">
        <x:is>
          <x:t xml:space="preserve">江西庐山 vs 大连可为</x:t>
        </x:is>
      </x:c>
      <x:c r="G1252" s="604" t="n">
        <x:v>0.88</x:v>
      </x:c>
      <x:c r="H1252" s="604" t="n">
        <x:v>-0.25</x:v>
      </x:c>
      <x:c r="I1252" s="604" t="n">
        <x:v>0.93</x:v>
      </x:c>
      <x:c r="J1252" s="604" t="inlineStr">
        <x:is>
          <x:t xml:space="preserve">0.88/-0.25/0.93</x:t>
        </x:is>
      </x:c>
      <x:c r="K1252" s="604" t="inlineStr">
        <x:is>
          <x:t xml:space="preserve">V4-B｜EV +0.2103</x:t>
        </x:is>
      </x:c>
      <x:c r="L1252" s="604" t="inlineStr">
        <x:is>
          <x:t xml:space="preserve">江西庐山</x:t>
        </x:is>
      </x:c>
      <x:c r="M1252" s="604" t="n">
        <x:v>0.6607982381407487</x:v>
      </x:c>
      <x:c r="N1252" s="604" t="inlineStr">
        <x:is>
          <x:t xml:space="preserve">V4纸面入选-B</x:t>
        </x:is>
      </x:c>
      <x:c r="O1252" s="604" t="inlineStr">
        <x:is>
          <x:t xml:space="preserve">0-1</x:t>
        </x:is>
      </x:c>
      <x:c r="P1252" s="604" t="inlineStr">
        <x:is>
          <x:t xml:space="preserve">已结算</x:t>
        </x:is>
      </x:c>
      <x:c r="Q1252" s="646" t="inlineStr">
        <x:is>
          <x:t xml:space="preserve">黑</x:t>
        </x:is>
      </x:c>
      <x:c r="R1252" s="604" t="n">
        <x:v>0.88</x:v>
      </x:c>
      <x:c r="S1252" s="604" t="n">
        <x:v>-1</x:v>
      </x:c>
      <x:c r="T1252" s="604" t="inlineStr">
        <x:is>
          <x:t xml:space="preserve">https://m.titan007.com/analy/Analysis/3087146.htm</x:t>
        </x:is>
      </x:c>
      <x:c r="U1252" s="645" t="str">
        <x:f>IF(Q1252="","",IF(Q1252="待结算","待结算",IF(Q1252="红","黑",IF(Q1252="半红","半黑",IF(Q1252="走","走",IF(Q1252="半黑","半红","红"))))))</x:f>
        <x:v>红</x:v>
      </x:c>
      <x:c r="V1252" s="604" t="n">
        <x:f>IF(OR(Q1252="",Q1252="待结算"),"",IF(L1252=LEFT(F1252,FIND(" vs ",F1252)-1),I1252,G1252))</x:f>
        <x:v>0.93</x:v>
      </x:c>
      <x:c r="W1252" s="604" t="n">
        <x:f>IF(OR(U1252="",U1252="待结算"),"",IF(U1252="红",V1252,IF(U1252="半红",V1252*0.5,IF(U1252="走",0,IF(U1252="半黑",-0.5,-1)))))</x:f>
        <x:v>0.93</x:v>
      </x:c>
      <x:c r="X1252" s="604" t="inlineStr">
        <x:is>
          <x:t xml:space="preserve">3087146</x:t>
        </x:is>
      </x:c>
      <x:c r="Y1252" s="604" t="inlineStr">
        <x:is>
          <x:t xml:space="preserve">V4</x:t>
        </x:is>
      </x:c>
      <x:c r="Z1252" s="604" t="inlineStr">
        <x:is>
          <x:t xml:space="preserve">prior-2026-10-07-v1</x:t>
        </x:is>
      </x:c>
      <x:c r="AA1252" s="604" t="inlineStr">
        <x:is>
          <x:t xml:space="preserve">B</x:t>
        </x:is>
      </x:c>
      <x:c r="AB1252" s="604" t="n">
        <x:v>0.4416135605186332</x:v>
      </x:c>
      <x:c r="AC1252" s="604" t="n">
        <x:v>0.2639509996921613</x:v>
      </x:c>
      <x:c r="AD1252" s="604" t="n"/>
      <x:c r="AE1252" s="604" t="n"/>
      <x:c r="AF1252" s="604" t="n">
        <x:v>0.2944354397892054</x:v>
      </x:c>
      <x:c r="AG1252" s="604" t="n">
        <x:v>0.2103229333317427</x:v>
      </x:c>
      <x:c r="AH1252" s="604" t="n"/>
      <x:c r="AI1252" s="604" t="n"/>
      <x:c r="AJ1252" s="604" t="n">
        <x:v>0.2103229333317427</x:v>
      </x:c>
      <x:c r="AK1252" s="604" t="n"/>
      <x:c r="AL1252" s="604" t="n"/>
      <x:c r="AM1252" s="604" t="n"/>
      <x:c r="AN1252" s="604" t="inlineStr">
        <x:is>
          <x:t xml:space="preserve">EVALUATED</x:t>
        </x:is>
      </x:c>
      <x:c r="AO1252" s="604" t="inlineStr">
        <x:is>
          <x:t xml:space="preserve">RECEIVING_VALIDATED_EDGE、BUCKET_PRIOR_ONLY、INTENT_INTERPRETATION_ONLY、FFL_OPTIONAL、EXPERT_MARKET</x:t>
        </x:is>
      </x:c>
      <x:c r="AP1252" s="604" t="inlineStr">
        <x:is>
          <x:t xml:space="preserve">65994f5a008c3b3fc37c</x:t>
        </x:is>
      </x:c>
      <x:c r="AQ1252" s="604" t="n">
        <x:v>0.25</x:v>
      </x:c>
      <x:c r="AR1252" s="604" t="n">
        <x:v>0.88</x:v>
      </x:c>
      <x:c r="AS1252" s="604" t="n">
        <x:v>-0.25</x:v>
      </x:c>
      <x:c r="AT1252" s="604" t="n">
        <x:v>0.25</x:v>
      </x:c>
      <x:c r="AU1252" s="604" t="n">
        <x:v>0.88</x:v>
      </x:c>
      <x:c r="AV1252" s="604" t="n">
        <x:v>0.93</x:v>
      </x:c>
      <x:c r="AW1252" s="604" t="n">
        <x:v>46302.19288847222</x:v>
      </x:c>
      <x:c r="AX1252" s="604" t="inlineStr">
        <x:is>
          <x:t xml:space="preserve">https://simondongxiao.github.io/odds/v4/</x:t>
        </x:is>
      </x:c>
      <x:c r="AY1252" s="604" t="inlineStr">
        <x:is>
          <x:t xml:space="preserve">V4 Shadow Only；real_money=false；P(EV&gt;0)不是比赛胜率</x:t>
        </x:is>
      </x:c>
    </x:row>
    <x:row r="1253" ht="22" customHeight="1">
      <x:c r="A1253" s="604" t="inlineStr">
        <x:is>
          <x:t xml:space="preserve">2026-10-07</x:t>
        </x:is>
      </x:c>
      <x:c r="B1253" s="604" t="inlineStr">
        <x:is>
          <x:t xml:space="preserve">2026-10-07 19:30</x:t>
        </x:is>
      </x:c>
      <x:c r="C1253" s="604" t="str">
        <x:v>欧洲非五大系列</x:v>
      </x:c>
      <x:c r="D1253" s="604" t="inlineStr">
        <x:is>
          <x:t xml:space="preserve">杯赛</x:t>
        </x:is>
      </x:c>
      <x:c r="E1253" s="604" t="inlineStr">
        <x:is>
          <x:t xml:space="preserve">土杯</x:t>
        </x:is>
      </x:c>
      <x:c r="F1253" s="604" t="inlineStr">
        <x:is>
          <x:t xml:space="preserve">布尔萨耶尔德勒姆士邦 vs 耶尼阿马斯亚</x:t>
        </x:is>
      </x:c>
      <x:c r="G1253" s="604" t="n">
        <x:v>0.78</x:v>
      </x:c>
      <x:c r="H1253" s="604" t="n">
        <x:v>1</x:v>
      </x:c>
      <x:c r="I1253" s="604" t="n">
        <x:v>1.03</x:v>
      </x:c>
      <x:c r="J1253" s="604" t="inlineStr">
        <x:is>
          <x:t xml:space="preserve">0.78/1/1.03</x:t>
        </x:is>
      </x:c>
      <x:c r="K1253" s="604" t="inlineStr">
        <x:is>
          <x:t xml:space="preserve">V4-B｜EV +0.1418</x:t>
        </x:is>
      </x:c>
      <x:c r="L1253" s="604" t="inlineStr">
        <x:is>
          <x:t xml:space="preserve">布尔萨耶尔德勒姆士邦</x:t>
        </x:is>
      </x:c>
      <x:c r="M1253" s="604" t="n">
        <x:v>0.6682606307822766</x:v>
      </x:c>
      <x:c r="N1253" s="604" t="inlineStr">
        <x:is>
          <x:t xml:space="preserve">V4纸面入选-B</x:t>
        </x:is>
      </x:c>
      <x:c r="O1253" s="604" t="inlineStr">
        <x:is>
          <x:t xml:space="preserve">2-0</x:t>
        </x:is>
      </x:c>
      <x:c r="P1253" s="604" t="inlineStr">
        <x:is>
          <x:t xml:space="preserve">已结算</x:t>
        </x:is>
      </x:c>
      <x:c r="Q1253" s="645" t="inlineStr">
        <x:is>
          <x:t xml:space="preserve">红</x:t>
        </x:is>
      </x:c>
      <x:c r="R1253" s="604" t="n">
        <x:v>0.78</x:v>
      </x:c>
      <x:c r="S1253" s="604" t="n">
        <x:v>0.78</x:v>
      </x:c>
      <x:c r="T1253" s="604" t="inlineStr">
        <x:is>
          <x:t xml:space="preserve">https://m.titan007.com/analy/Analysis/3094011.htm</x:t>
        </x:is>
      </x:c>
      <x:c r="U1253" s="646" t="str">
        <x:f>IF(Q1253="","",IF(Q1253="待结算","待结算",IF(Q1253="红","黑",IF(Q1253="半红","半黑",IF(Q1253="走","走",IF(Q1253="半黑","半红","红"))))))</x:f>
        <x:v>黑</x:v>
      </x:c>
      <x:c r="V1253" s="604" t="n">
        <x:f>IF(OR(Q1253="",Q1253="待结算"),"",IF(L1253=LEFT(F1253,FIND(" vs ",F1253)-1),I1253,G1253))</x:f>
        <x:v>1.03</x:v>
      </x:c>
      <x:c r="W1253" s="604" t="n">
        <x:f>IF(OR(U1253="",U1253="待结算"),"",IF(U1253="红",V1253,IF(U1253="半红",V1253*0.5,IF(U1253="走",0,IF(U1253="半黑",-0.5,-1)))))</x:f>
        <x:v>-1</x:v>
      </x:c>
      <x:c r="X1253" s="604" t="inlineStr">
        <x:is>
          <x:t xml:space="preserve">3094011</x:t>
        </x:is>
      </x:c>
      <x:c r="Y1253" s="604" t="inlineStr">
        <x:is>
          <x:t xml:space="preserve">V4</x:t>
        </x:is>
      </x:c>
      <x:c r="Z1253" s="604" t="inlineStr">
        <x:is>
          <x:t xml:space="preserve">prior-2026-10-07-v1</x:t>
        </x:is>
      </x:c>
      <x:c r="AA1253" s="604" t="inlineStr">
        <x:is>
          <x:t xml:space="preserve">B</x:t>
        </x:is>
      </x:c>
      <x:c r="AB1253" s="604" t="n">
        <x:v>0.4999335050562461</x:v>
      </x:c>
      <x:c r="AC1253" s="604" t="n"/>
      <x:c r="AD1253" s="604" t="n">
        <x:v>0.2518884368947248</x:v>
      </x:c>
      <x:c r="AE1253" s="604" t="n"/>
      <x:c r="AF1253" s="604" t="n">
        <x:v>0.2481780580490291</x:v>
      </x:c>
      <x:c r="AG1253" s="604" t="n">
        <x:v>0.1417700758948429</x:v>
      </x:c>
      <x:c r="AH1253" s="604" t="n"/>
      <x:c r="AI1253" s="604" t="n"/>
      <x:c r="AJ1253" s="604" t="n">
        <x:v>0.1417700758948429</x:v>
      </x:c>
      <x:c r="AK1253" s="604" t="n"/>
      <x:c r="AL1253" s="604" t="n"/>
      <x:c r="AM1253" s="604" t="n"/>
      <x:c r="AN1253" s="604" t="inlineStr">
        <x:is>
          <x:t xml:space="preserve">EVALUATED</x:t>
        </x:is>
      </x:c>
      <x:c r="AO1253" s="604" t="inlineStr">
        <x:is>
          <x:t xml:space="preserve">GIVING_VALIDATED_EDGE、BUCKET_PRIOR_ONLY、INTENT_INTERPRETATION_ONLY、FFL_OPTIONAL、EXPERT_MARKET</x:t>
        </x:is>
      </x:c>
      <x:c r="AP1253" s="604" t="inlineStr">
        <x:is>
          <x:t xml:space="preserve">1ab0c9db97283aef3799</x:t>
        </x:is>
      </x:c>
      <x:c r="AQ1253" s="604" t="n">
        <x:v>-1</x:v>
      </x:c>
      <x:c r="AR1253" s="604" t="n">
        <x:v>0.78</x:v>
      </x:c>
      <x:c r="AS1253" s="604" t="n">
        <x:v>1</x:v>
      </x:c>
      <x:c r="AT1253" s="604" t="n">
        <x:v>-1</x:v>
      </x:c>
      <x:c r="AU1253" s="604" t="n">
        <x:v>0.78</x:v>
      </x:c>
      <x:c r="AV1253" s="604" t="n">
        <x:v>1.03</x:v>
      </x:c>
      <x:c r="AW1253" s="604" t="n">
        <x:v>46302.19288847222</x:v>
      </x:c>
      <x:c r="AX1253" s="604" t="inlineStr">
        <x:is>
          <x:t xml:space="preserve">https://simondongxiao.github.io/odds/v4/</x:t>
        </x:is>
      </x:c>
      <x:c r="AY1253" s="604" t="inlineStr">
        <x:is>
          <x:t xml:space="preserve">V4 Shadow Only；real_money=false；P(EV&gt;0)不是比赛胜率</x:t>
        </x:is>
      </x:c>
    </x:row>
    <x:row r="1254" ht="22" customHeight="1">
      <x:c r="A1254" s="604" t="inlineStr">
        <x:is>
          <x:t xml:space="preserve">2026-10-07</x:t>
        </x:is>
      </x:c>
      <x:c r="B1254" s="604" t="inlineStr">
        <x:is>
          <x:t xml:space="preserve">2026-10-07 19:30</x:t>
        </x:is>
      </x:c>
      <x:c r="C1254" s="604" t="str">
        <x:v>欧洲非五大系列</x:v>
      </x:c>
      <x:c r="D1254" s="604" t="inlineStr">
        <x:is>
          <x:t xml:space="preserve">杯赛</x:t>
        </x:is>
      </x:c>
      <x:c r="E1254" s="604" t="inlineStr">
        <x:is>
          <x:t xml:space="preserve">土杯</x:t>
        </x:is>
      </x:c>
      <x:c r="F1254" s="604" t="inlineStr">
        <x:is>
          <x:t xml:space="preserve">安那托利亚大学 vs 凯佩兹比勒迪亚士邦</x:t>
        </x:is>
      </x:c>
      <x:c r="G1254" s="604" t="n">
        <x:v>0.85</x:v>
      </x:c>
      <x:c r="H1254" s="604" t="n">
        <x:v>0.75</x:v>
      </x:c>
      <x:c r="I1254" s="604" t="n">
        <x:v>0.95</x:v>
      </x:c>
      <x:c r="J1254" s="604" t="inlineStr">
        <x:is>
          <x:t xml:space="preserve">0.85/0.75/0.95</x:t>
        </x:is>
      </x:c>
      <x:c r="K1254" s="604" t="inlineStr">
        <x:is>
          <x:t xml:space="preserve">V4-B｜EV +0.1313</x:t>
        </x:is>
      </x:c>
      <x:c r="L1254" s="604" t="inlineStr">
        <x:is>
          <x:t xml:space="preserve">安那托利亚大学</x:t>
        </x:is>
      </x:c>
      <x:c r="M1254" s="604" t="n">
        <x:v>0.6220042814619827</x:v>
      </x:c>
      <x:c r="N1254" s="604" t="inlineStr">
        <x:is>
          <x:t xml:space="preserve">V4纸面入选-B</x:t>
        </x:is>
      </x:c>
      <x:c r="O1254" s="604" t="inlineStr">
        <x:is>
          <x:t xml:space="preserve">4-2</x:t>
        </x:is>
      </x:c>
      <x:c r="P1254" s="604" t="inlineStr">
        <x:is>
          <x:t xml:space="preserve">已结算</x:t>
        </x:is>
      </x:c>
      <x:c r="Q1254" s="645" t="inlineStr">
        <x:is>
          <x:t xml:space="preserve">红</x:t>
        </x:is>
      </x:c>
      <x:c r="R1254" s="604" t="n">
        <x:v>0.85</x:v>
      </x:c>
      <x:c r="S1254" s="604" t="n">
        <x:v>0.85</x:v>
      </x:c>
      <x:c r="T1254" s="604" t="inlineStr">
        <x:is>
          <x:t xml:space="preserve">https://m.titan007.com/analy/Analysis/3094014.htm</x:t>
        </x:is>
      </x:c>
      <x:c r="U1254" s="646" t="str">
        <x:f>IF(Q1254="","",IF(Q1254="待结算","待结算",IF(Q1254="红","黑",IF(Q1254="半红","半黑",IF(Q1254="走","走",IF(Q1254="半黑","半红","红"))))))</x:f>
        <x:v>黑</x:v>
      </x:c>
      <x:c r="V1254" s="604" t="n">
        <x:f>IF(OR(Q1254="",Q1254="待结算"),"",IF(L1254=LEFT(F1254,FIND(" vs ",F1254)-1),I1254,G1254))</x:f>
        <x:v>0.95</x:v>
      </x:c>
      <x:c r="W1254" s="604" t="n">
        <x:f>IF(OR(U1254="",U1254="待结算"),"",IF(U1254="红",V1254,IF(U1254="半红",V1254*0.5,IF(U1254="走",0,IF(U1254="半黑",-0.5,-1)))))</x:f>
        <x:v>-1</x:v>
      </x:c>
      <x:c r="X1254" s="604" t="inlineStr">
        <x:is>
          <x:t xml:space="preserve">3094014</x:t>
        </x:is>
      </x:c>
      <x:c r="Y1254" s="604" t="inlineStr">
        <x:is>
          <x:t xml:space="preserve">V4</x:t>
        </x:is>
      </x:c>
      <x:c r="Z1254" s="604" t="inlineStr">
        <x:is>
          <x:t xml:space="preserve">prior-2026-10-07-v1</x:t>
        </x:is>
      </x:c>
      <x:c r="AA1254" s="604" t="inlineStr">
        <x:is>
          <x:t xml:space="preserve">B</x:t>
        </x:is>
      </x:c>
      <x:c r="AB1254" s="604" t="n">
        <x:v>0.4132851424951964</x:v>
      </x:c>
      <x:c r="AC1254" s="604" t="n">
        <x:v>0.2573595413430829</x:v>
      </x:c>
      <x:c r="AD1254" s="604" t="n"/>
      <x:c r="AE1254" s="604" t="n"/>
      <x:c r="AF1254" s="604" t="n">
        <x:v>0.3293553161617206</x:v>
      </x:c>
      <x:c r="AG1254" s="604" t="n">
        <x:v>0.1313148600300065</x:v>
      </x:c>
      <x:c r="AH1254" s="604" t="n"/>
      <x:c r="AI1254" s="604" t="n"/>
      <x:c r="AJ1254" s="604" t="n">
        <x:v>0.1313148600300065</x:v>
      </x:c>
      <x:c r="AK1254" s="604" t="n"/>
      <x:c r="AL1254" s="604" t="n"/>
      <x:c r="AM1254" s="604" t="n"/>
      <x:c r="AN1254" s="604" t="inlineStr">
        <x:is>
          <x:t xml:space="preserve">EVALUATED</x:t>
        </x:is>
      </x:c>
      <x:c r="AO1254" s="604" t="inlineStr">
        <x:is>
          <x:t xml:space="preserve">GIVING_VALIDATED_EDGE、BUCKET_PRIOR_ONLY、INTENT_INTERPRETATION_ONLY、FFL_OPTIONAL、EXPERT_MARKET</x:t>
        </x:is>
      </x:c>
      <x:c r="AP1254" s="604" t="inlineStr">
        <x:is>
          <x:t xml:space="preserve">b44c5a4e49ea644c2d05</x:t>
        </x:is>
      </x:c>
      <x:c r="AQ1254" s="604" t="n">
        <x:v>-0.75</x:v>
      </x:c>
      <x:c r="AR1254" s="604" t="n">
        <x:v>0.85</x:v>
      </x:c>
      <x:c r="AS1254" s="604" t="n">
        <x:v>0.75</x:v>
      </x:c>
      <x:c r="AT1254" s="604" t="n">
        <x:v>-0.75</x:v>
      </x:c>
      <x:c r="AU1254" s="604" t="n">
        <x:v>0.85</x:v>
      </x:c>
      <x:c r="AV1254" s="604" t="n">
        <x:v>0.95</x:v>
      </x:c>
      <x:c r="AW1254" s="604" t="n">
        <x:v>46302.19288847222</x:v>
      </x:c>
      <x:c r="AX1254" s="604" t="inlineStr">
        <x:is>
          <x:t xml:space="preserve">https://simondongxiao.github.io/odds/v4/</x:t>
        </x:is>
      </x:c>
      <x:c r="AY1254" s="604" t="inlineStr">
        <x:is>
          <x:t xml:space="preserve">V4 Shadow Only；real_money=false；P(EV&gt;0)不是比赛胜率</x:t>
        </x:is>
      </x:c>
    </x:row>
    <x:row r="1255" ht="22" customHeight="1">
      <x:c r="A1255" s="604" t="inlineStr">
        <x:is>
          <x:t xml:space="preserve">2026-10-07</x:t>
        </x:is>
      </x:c>
      <x:c r="B1255" s="604" t="inlineStr">
        <x:is>
          <x:t xml:space="preserve">2026-10-07 19:30</x:t>
        </x:is>
      </x:c>
      <x:c r="C1255" s="604" t="str">
        <x:v>欧洲非五大系列</x:v>
      </x:c>
      <x:c r="D1255" s="604" t="inlineStr">
        <x:is>
          <x:t xml:space="preserve">杯赛</x:t>
        </x:is>
      </x:c>
      <x:c r="E1255" s="604" t="inlineStr">
        <x:is>
          <x:t xml:space="preserve">土杯</x:t>
        </x:is>
      </x:c>
      <x:c r="F1255" s="604" t="inlineStr">
        <x:is>
          <x:t xml:space="preserve">库科切梅切 vs 贝科兹伊沙克利</x:t>
        </x:is>
      </x:c>
      <x:c r="G1255" s="604" t="n">
        <x:v>0.98</x:v>
      </x:c>
      <x:c r="H1255" s="604" t="n">
        <x:v>1</x:v>
      </x:c>
      <x:c r="I1255" s="604" t="n">
        <x:v>0.83</x:v>
      </x:c>
      <x:c r="J1255" s="604" t="inlineStr">
        <x:is>
          <x:t xml:space="preserve">0.98/1/0.83</x:t>
        </x:is>
      </x:c>
      <x:c r="K1255" s="604" t="inlineStr">
        <x:is>
          <x:t xml:space="preserve">V4-B｜EV +0.1855</x:t>
        </x:is>
      </x:c>
      <x:c r="L1255" s="604" t="inlineStr">
        <x:is>
          <x:t xml:space="preserve">库科切梅切</x:t>
        </x:is>
      </x:c>
      <x:c r="M1255" s="604" t="n">
        <x:v>0.6308228001536219</x:v>
      </x:c>
      <x:c r="N1255" s="604" t="inlineStr">
        <x:is>
          <x:t xml:space="preserve">V4纸面入选-B</x:t>
        </x:is>
      </x:c>
      <x:c r="O1255" s="604" t="inlineStr">
        <x:is>
          <x:t xml:space="preserve">5-1</x:t>
        </x:is>
      </x:c>
      <x:c r="P1255" s="604" t="inlineStr">
        <x:is>
          <x:t xml:space="preserve">已结算</x:t>
        </x:is>
      </x:c>
      <x:c r="Q1255" s="645" t="inlineStr">
        <x:is>
          <x:t xml:space="preserve">红</x:t>
        </x:is>
      </x:c>
      <x:c r="R1255" s="604" t="n">
        <x:v>0.98</x:v>
      </x:c>
      <x:c r="S1255" s="604" t="n">
        <x:v>0.98</x:v>
      </x:c>
      <x:c r="T1255" s="604" t="inlineStr">
        <x:is>
          <x:t xml:space="preserve">https://m.titan007.com/analy/Analysis/3094026.htm</x:t>
        </x:is>
      </x:c>
      <x:c r="U1255" s="646" t="str">
        <x:f>IF(Q1255="","",IF(Q1255="待结算","待结算",IF(Q1255="红","黑",IF(Q1255="半红","半黑",IF(Q1255="走","走",IF(Q1255="半黑","半红","红"))))))</x:f>
        <x:v>黑</x:v>
      </x:c>
      <x:c r="V1255" s="604" t="n">
        <x:f>IF(OR(Q1255="",Q1255="待结算"),"",IF(L1255=LEFT(F1255,FIND(" vs ",F1255)-1),I1255,G1255))</x:f>
        <x:v>0.83</x:v>
      </x:c>
      <x:c r="W1255" s="604" t="n">
        <x:f>IF(OR(U1255="",U1255="待结算"),"",IF(U1255="红",V1255,IF(U1255="半红",V1255*0.5,IF(U1255="走",0,IF(U1255="半黑",-0.5,-1)))))</x:f>
        <x:v>-1</x:v>
      </x:c>
      <x:c r="X1255" s="604" t="inlineStr">
        <x:is>
          <x:t xml:space="preserve">3094026</x:t>
        </x:is>
      </x:c>
      <x:c r="Y1255" s="604" t="inlineStr">
        <x:is>
          <x:t xml:space="preserve">V4</x:t>
        </x:is>
      </x:c>
      <x:c r="Z1255" s="604" t="inlineStr">
        <x:is>
          <x:t xml:space="preserve">prior-2026-10-07-v1</x:t>
        </x:is>
      </x:c>
      <x:c r="AA1255" s="604" t="inlineStr">
        <x:is>
          <x:t xml:space="preserve">B</x:t>
        </x:is>
      </x:c>
      <x:c r="AB1255" s="604" t="n">
        <x:v>0.4699504241804471</x:v>
      </x:c>
      <x:c r="AC1255" s="604" t="n"/>
      <x:c r="AD1255" s="604" t="n">
        <x:v>0.2550199135700202</x:v>
      </x:c>
      <x:c r="AE1255" s="604" t="n"/>
      <x:c r="AF1255" s="604" t="n">
        <x:v>0.2750296622495326</x:v>
      </x:c>
      <x:c r="AG1255" s="604" t="n">
        <x:v>0.1855217534473055</x:v>
      </x:c>
      <x:c r="AH1255" s="604" t="n"/>
      <x:c r="AI1255" s="604" t="n"/>
      <x:c r="AJ1255" s="604" t="n">
        <x:v>0.1855217534473055</x:v>
      </x:c>
      <x:c r="AK1255" s="604" t="n"/>
      <x:c r="AL1255" s="604" t="n"/>
      <x:c r="AM1255" s="604" t="n"/>
      <x:c r="AN1255" s="604" t="inlineStr">
        <x:is>
          <x:t xml:space="preserve">EVALUATED</x:t>
        </x:is>
      </x:c>
      <x:c r="AO1255" s="604" t="inlineStr">
        <x:is>
          <x:t xml:space="preserve">GIVING_VALIDATED_EDGE、BUCKET_PRIOR_ONLY、INTENT_INTERPRETATION_ONLY、FFL_OPTIONAL、EXPERT_MARKET</x:t>
        </x:is>
      </x:c>
      <x:c r="AP1255" s="604" t="inlineStr">
        <x:is>
          <x:t xml:space="preserve">09fe1067df851573f8b1</x:t>
        </x:is>
      </x:c>
      <x:c r="AQ1255" s="604" t="n">
        <x:v>-1</x:v>
      </x:c>
      <x:c r="AR1255" s="604" t="n">
        <x:v>0.98</x:v>
      </x:c>
      <x:c r="AS1255" s="604" t="n">
        <x:v>1</x:v>
      </x:c>
      <x:c r="AT1255" s="604" t="n">
        <x:v>-1</x:v>
      </x:c>
      <x:c r="AU1255" s="604" t="n">
        <x:v>0.98</x:v>
      </x:c>
      <x:c r="AV1255" s="604" t="n">
        <x:v>0.83</x:v>
      </x:c>
      <x:c r="AW1255" s="604" t="n">
        <x:v>46302.19288847222</x:v>
      </x:c>
      <x:c r="AX1255" s="604" t="inlineStr">
        <x:is>
          <x:t xml:space="preserve">https://simondongxiao.github.io/odds/v4/</x:t>
        </x:is>
      </x:c>
      <x:c r="AY1255" s="604" t="inlineStr">
        <x:is>
          <x:t xml:space="preserve">V4 Shadow Only；real_money=false；P(EV&gt;0)不是比赛胜率</x:t>
        </x:is>
      </x:c>
    </x:row>
    <x:row r="1256" ht="22" customHeight="1">
      <x:c r="A1256" s="604" t="inlineStr">
        <x:is>
          <x:t xml:space="preserve">2026-10-07</x:t>
        </x:is>
      </x:c>
      <x:c r="B1256" s="604" t="inlineStr">
        <x:is>
          <x:t xml:space="preserve">2026-10-07 19:30</x:t>
        </x:is>
      </x:c>
      <x:c r="C1256" s="604" t="str">
        <x:v>欧洲非五大系列</x:v>
      </x:c>
      <x:c r="D1256" s="604" t="inlineStr">
        <x:is>
          <x:t xml:space="preserve">杯赛</x:t>
        </x:is>
      </x:c>
      <x:c r="E1256" s="604" t="inlineStr">
        <x:is>
          <x:t xml:space="preserve">土杯</x:t>
        </x:is>
      </x:c>
      <x:c r="F1256" s="604" t="inlineStr">
        <x:is>
          <x:t xml:space="preserve">索克1970 vs 阿华利古奇</x:t>
        </x:is>
      </x:c>
      <x:c r="G1256" s="604" t="n">
        <x:v>0.93</x:v>
      </x:c>
      <x:c r="H1256" s="604" t="n">
        <x:v>-0.5</x:v>
      </x:c>
      <x:c r="I1256" s="604" t="n">
        <x:v>0.88</x:v>
      </x:c>
      <x:c r="J1256" s="604" t="inlineStr">
        <x:is>
          <x:t xml:space="preserve">0.93/-0.5/0.88</x:t>
        </x:is>
      </x:c>
      <x:c r="K1256" s="604" t="inlineStr">
        <x:is>
          <x:t xml:space="preserve">V4-B｜EV +0.4980</x:t>
        </x:is>
      </x:c>
      <x:c r="L1256" s="604" t="inlineStr">
        <x:is>
          <x:t xml:space="preserve">索克1970</x:t>
        </x:is>
      </x:c>
      <x:c r="M1256" s="604" t="n">
        <x:v>0.7761423609264892</x:v>
      </x:c>
      <x:c r="N1256" s="604" t="inlineStr">
        <x:is>
          <x:t xml:space="preserve">V4纸面入选-B</x:t>
        </x:is>
      </x:c>
      <x:c r="O1256" s="604" t="inlineStr">
        <x:is>
          <x:t xml:space="preserve">1-1</x:t>
        </x:is>
      </x:c>
      <x:c r="P1256" s="604" t="inlineStr">
        <x:is>
          <x:t xml:space="preserve">已结算</x:t>
        </x:is>
      </x:c>
      <x:c r="Q1256" s="645" t="inlineStr">
        <x:is>
          <x:t xml:space="preserve">红</x:t>
        </x:is>
      </x:c>
      <x:c r="R1256" s="604" t="n">
        <x:v>0.93</x:v>
      </x:c>
      <x:c r="S1256" s="604" t="n">
        <x:v>0.93</x:v>
      </x:c>
      <x:c r="T1256" s="604" t="inlineStr">
        <x:is>
          <x:t xml:space="preserve">https://m.titan007.com/analy/Analysis/3094035.htm</x:t>
        </x:is>
      </x:c>
      <x:c r="U1256" s="646" t="str">
        <x:f>IF(Q1256="","",IF(Q1256="待结算","待结算",IF(Q1256="红","黑",IF(Q1256="半红","半黑",IF(Q1256="走","走",IF(Q1256="半黑","半红","红"))))))</x:f>
        <x:v>黑</x:v>
      </x:c>
      <x:c r="V1256" s="604" t="n">
        <x:f>IF(OR(Q1256="",Q1256="待结算"),"",IF(L1256=LEFT(F1256,FIND(" vs ",F1256)-1),I1256,G1256))</x:f>
        <x:v>0.88</x:v>
      </x:c>
      <x:c r="W1256" s="604" t="n">
        <x:f>IF(OR(U1256="",U1256="待结算"),"",IF(U1256="红",V1256,IF(U1256="半红",V1256*0.5,IF(U1256="走",0,IF(U1256="半黑",-0.5,-1)))))</x:f>
        <x:v>-1</x:v>
      </x:c>
      <x:c r="X1256" s="604" t="inlineStr">
        <x:is>
          <x:t xml:space="preserve">3094035</x:t>
        </x:is>
      </x:c>
      <x:c r="Y1256" s="604" t="inlineStr">
        <x:is>
          <x:t xml:space="preserve">V4</x:t>
        </x:is>
      </x:c>
      <x:c r="Z1256" s="604" t="inlineStr">
        <x:is>
          <x:t xml:space="preserve">prior-2026-10-07-v1</x:t>
        </x:is>
      </x:c>
      <x:c r="AA1256" s="604" t="inlineStr">
        <x:is>
          <x:t xml:space="preserve">B</x:t>
        </x:is>
      </x:c>
      <x:c r="AB1256" s="604" t="n">
        <x:v>0.7761423609264892</x:v>
      </x:c>
      <x:c r="AC1256" s="604" t="n"/>
      <x:c r="AD1256" s="604" t="n"/>
      <x:c r="AE1256" s="604" t="n"/>
      <x:c r="AF1256" s="604" t="n">
        <x:v>0.2238576390735107</x:v>
      </x:c>
      <x:c r="AG1256" s="604" t="n">
        <x:v>0.4979547565881243</x:v>
      </x:c>
      <x:c r="AH1256" s="604" t="n"/>
      <x:c r="AI1256" s="604" t="n"/>
      <x:c r="AJ1256" s="604" t="n">
        <x:v>0.4979547565881243</x:v>
      </x:c>
      <x:c r="AK1256" s="604" t="n"/>
      <x:c r="AL1256" s="604" t="n"/>
      <x:c r="AM1256" s="604" t="n"/>
      <x:c r="AN1256" s="604" t="inlineStr">
        <x:is>
          <x:t xml:space="preserve">EVALUATED</x:t>
        </x:is>
      </x:c>
      <x:c r="AO1256" s="604" t="inlineStr">
        <x:is>
          <x:t xml:space="preserve">RECEIVING_VALIDATED_EDGE、BUCKET_PRIOR_ONLY、INTENT_INTERPRETATION_ONLY、FFL_OPTIONAL、EXPERT_MARKET</x:t>
        </x:is>
      </x:c>
      <x:c r="AP1256" s="604" t="inlineStr">
        <x:is>
          <x:t xml:space="preserve">6e7cf1f1d6f552b98ee0</x:t>
        </x:is>
      </x:c>
      <x:c r="AQ1256" s="604" t="n">
        <x:v>0.5</x:v>
      </x:c>
      <x:c r="AR1256" s="604" t="n">
        <x:v>0.93</x:v>
      </x:c>
      <x:c r="AS1256" s="604" t="n">
        <x:v>-0.5</x:v>
      </x:c>
      <x:c r="AT1256" s="604" t="n">
        <x:v>0.5</x:v>
      </x:c>
      <x:c r="AU1256" s="604" t="n">
        <x:v>0.93</x:v>
      </x:c>
      <x:c r="AV1256" s="604" t="n">
        <x:v>0.88</x:v>
      </x:c>
      <x:c r="AW1256" s="604" t="n">
        <x:v>46302.19288847222</x:v>
      </x:c>
      <x:c r="AX1256" s="604" t="inlineStr">
        <x:is>
          <x:t xml:space="preserve">https://simondongxiao.github.io/odds/v4/</x:t>
        </x:is>
      </x:c>
      <x:c r="AY1256" s="604" t="inlineStr">
        <x:is>
          <x:t xml:space="preserve">V4 Shadow Only；real_money=false；P(EV&gt;0)不是比赛胜率</x:t>
        </x:is>
      </x:c>
    </x:row>
    <x:row r="1257" ht="22" customHeight="1">
      <x:c r="A1257" s="604" t="inlineStr">
        <x:is>
          <x:t xml:space="preserve">2026-10-07</x:t>
        </x:is>
      </x:c>
      <x:c r="B1257" s="604" t="inlineStr">
        <x:is>
          <x:t xml:space="preserve">2026-10-07 20:00</x:t>
        </x:is>
      </x:c>
      <x:c r="C1257" s="604" t="str">
        <x:v>欧洲非五大系列</x:v>
      </x:c>
      <x:c r="D1257" s="604" t="inlineStr">
        <x:is>
          <x:t xml:space="preserve">杯赛</x:t>
        </x:is>
      </x:c>
      <x:c r="E1257" s="604" t="inlineStr">
        <x:is>
          <x:t xml:space="preserve">土杯</x:t>
        </x:is>
      </x:c>
      <x:c r="F1257" s="604" t="inlineStr">
        <x:is>
          <x:t xml:space="preserve">加济米勒 vs 费迪耶斯堡</x:t>
        </x:is>
      </x:c>
      <x:c r="G1257" s="604" t="n">
        <x:v>0.95</x:v>
      </x:c>
      <x:c r="H1257" s="604" t="n">
        <x:v>-0.75</x:v>
      </x:c>
      <x:c r="I1257" s="604" t="n">
        <x:v>0.75</x:v>
      </x:c>
      <x:c r="J1257" s="604" t="inlineStr">
        <x:is>
          <x:t xml:space="preserve">0.95/-0.75/0.75</x:t>
        </x:is>
      </x:c>
      <x:c r="K1257" s="604" t="inlineStr">
        <x:is>
          <x:t xml:space="preserve">V4-B｜EV +0.7721</x:t>
        </x:is>
      </x:c>
      <x:c r="L1257" s="604" t="inlineStr">
        <x:is>
          <x:t xml:space="preserve">加济米勒</x:t>
        </x:is>
      </x:c>
      <x:c r="M1257" s="604" t="n">
        <x:v>0.9262286953099987</x:v>
      </x:c>
      <x:c r="N1257" s="604" t="inlineStr">
        <x:is>
          <x:t xml:space="preserve">V4纸面入选-B</x:t>
        </x:is>
      </x:c>
      <x:c r="O1257" s="604" t="inlineStr">
        <x:is>
          <x:t xml:space="preserve">0-2</x:t>
        </x:is>
      </x:c>
      <x:c r="P1257" s="604" t="inlineStr">
        <x:is>
          <x:t xml:space="preserve">已结算</x:t>
        </x:is>
      </x:c>
      <x:c r="Q1257" s="646" t="inlineStr">
        <x:is>
          <x:t xml:space="preserve">黑</x:t>
        </x:is>
      </x:c>
      <x:c r="R1257" s="604" t="n">
        <x:v>0.95</x:v>
      </x:c>
      <x:c r="S1257" s="604" t="n">
        <x:v>-1</x:v>
      </x:c>
      <x:c r="T1257" s="604" t="inlineStr">
        <x:is>
          <x:t xml:space="preserve">https://m.titan007.com/analy/Analysis/3094016.htm</x:t>
        </x:is>
      </x:c>
      <x:c r="U1257" s="645" t="str">
        <x:f>IF(Q1257="","",IF(Q1257="待结算","待结算",IF(Q1257="红","黑",IF(Q1257="半红","半黑",IF(Q1257="走","走",IF(Q1257="半黑","半红","红"))))))</x:f>
        <x:v>红</x:v>
      </x:c>
      <x:c r="V1257" s="604" t="n">
        <x:f>IF(OR(Q1257="",Q1257="待结算"),"",IF(L1257=LEFT(F1257,FIND(" vs ",F1257)-1),I1257,G1257))</x:f>
        <x:v>0.75</x:v>
      </x:c>
      <x:c r="W1257" s="604" t="n">
        <x:f>IF(OR(U1257="",U1257="待结算"),"",IF(U1257="红",V1257,IF(U1257="半红",V1257*0.5,IF(U1257="走",0,IF(U1257="半黑",-0.5,-1)))))</x:f>
        <x:v>0.75</x:v>
      </x:c>
      <x:c r="X1257" s="604" t="inlineStr">
        <x:is>
          <x:t xml:space="preserve">3094016</x:t>
        </x:is>
      </x:c>
      <x:c r="Y1257" s="604" t="inlineStr">
        <x:is>
          <x:t xml:space="preserve">V4</x:t>
        </x:is>
      </x:c>
      <x:c r="Z1257" s="604" t="inlineStr">
        <x:is>
          <x:t xml:space="preserve">prior-2026-10-07-v1</x:t>
        </x:is>
      </x:c>
      <x:c r="AA1257" s="604" t="inlineStr">
        <x:is>
          <x:t xml:space="preserve">B</x:t>
        </x:is>
      </x:c>
      <x:c r="AB1257" s="604" t="n">
        <x:v>0.8870947138886754</x:v>
      </x:c>
      <x:c r="AC1257" s="604" t="n"/>
      <x:c r="AD1257" s="604" t="n"/>
      <x:c r="AE1257" s="604" t="n">
        <x:v>0.08450176855776526</x:v>
      </x:c>
      <x:c r="AF1257" s="604" t="n">
        <x:v>0.02840351755355932</x:v>
      </x:c>
      <x:c r="AG1257" s="604" t="n">
        <x:v>0.7720855763617998</x:v>
      </x:c>
      <x:c r="AH1257" s="604" t="n"/>
      <x:c r="AI1257" s="604" t="n"/>
      <x:c r="AJ1257" s="604" t="n">
        <x:v>0.7720855763617998</x:v>
      </x:c>
      <x:c r="AK1257" s="604" t="n"/>
      <x:c r="AL1257" s="604" t="n"/>
      <x:c r="AM1257" s="604" t="n"/>
      <x:c r="AN1257" s="604" t="inlineStr">
        <x:is>
          <x:t xml:space="preserve">EVALUATED</x:t>
        </x:is>
      </x:c>
      <x:c r="AO1257" s="604" t="inlineStr">
        <x:is>
          <x:t xml:space="preserve">RECEIVING_VALIDATED_EDGE、BUCKET_PRIOR_ONLY、INTENT_INTERPRETATION_ONLY、FFL_OPTIONAL、EXPERT_MARKET</x:t>
        </x:is>
      </x:c>
      <x:c r="AP1257" s="604" t="inlineStr">
        <x:is>
          <x:t xml:space="preserve">04c2f5deb71331caf330</x:t>
        </x:is>
      </x:c>
      <x:c r="AQ1257" s="604" t="n">
        <x:v>0.75</x:v>
      </x:c>
      <x:c r="AR1257" s="604" t="n">
        <x:v>0.95</x:v>
      </x:c>
      <x:c r="AS1257" s="604" t="n">
        <x:v>-0.75</x:v>
      </x:c>
      <x:c r="AT1257" s="604" t="n">
        <x:v>0.75</x:v>
      </x:c>
      <x:c r="AU1257" s="604" t="n">
        <x:v>0.95</x:v>
      </x:c>
      <x:c r="AV1257" s="604" t="n">
        <x:v>0.75</x:v>
      </x:c>
      <x:c r="AW1257" s="604" t="n">
        <x:v>46302.19288847222</x:v>
      </x:c>
      <x:c r="AX1257" s="604" t="inlineStr">
        <x:is>
          <x:t xml:space="preserve">https://simondongxiao.github.io/odds/v4/</x:t>
        </x:is>
      </x:c>
      <x:c r="AY1257" s="604" t="inlineStr">
        <x:is>
          <x:t xml:space="preserve">V4 Shadow Only；real_money=false；P(EV&gt;0)不是比赛胜率</x:t>
        </x:is>
      </x:c>
    </x:row>
    <x:row r="1258" ht="22" customHeight="1">
      <x:c r="A1258" s="604" t="inlineStr">
        <x:is>
          <x:t xml:space="preserve">2026-10-07</x:t>
        </x:is>
      </x:c>
      <x:c r="B1258" s="604" t="inlineStr">
        <x:is>
          <x:t xml:space="preserve">2026-10-07 20:00</x:t>
        </x:is>
      </x:c>
      <x:c r="C1258" s="604" t="str">
        <x:v>欧洲非五大系列</x:v>
      </x:c>
      <x:c r="D1258" s="604" t="inlineStr">
        <x:is>
          <x:t xml:space="preserve">杯赛</x:t>
        </x:is>
      </x:c>
      <x:c r="E1258" s="604" t="inlineStr">
        <x:is>
          <x:t xml:space="preserve">土杯</x:t>
        </x:is>
      </x:c>
      <x:c r="F1258" s="604" t="inlineStr">
        <x:is>
          <x:t xml:space="preserve">卡拉布克德曼 vs 贝科士邦</x:t>
        </x:is>
      </x:c>
      <x:c r="G1258" s="604" t="n">
        <x:v>0.9</x:v>
      </x:c>
      <x:c r="H1258" s="604" t="n">
        <x:v>-0.25</x:v>
      </x:c>
      <x:c r="I1258" s="604" t="n">
        <x:v>0.9</x:v>
      </x:c>
      <x:c r="J1258" s="604" t="inlineStr">
        <x:is>
          <x:t xml:space="preserve">0.9/-0.25/0.9</x:t>
        </x:is>
      </x:c>
      <x:c r="K1258" s="604" t="inlineStr">
        <x:is>
          <x:t xml:space="preserve">V4-B｜EV +0.2193</x:t>
        </x:is>
      </x:c>
      <x:c r="L1258" s="604" t="inlineStr">
        <x:is>
          <x:t xml:space="preserve">卡拉布克德曼</x:t>
        </x:is>
      </x:c>
      <x:c r="M1258" s="604" t="n">
        <x:v>0.6590862525267981</x:v>
      </x:c>
      <x:c r="N1258" s="604" t="inlineStr">
        <x:is>
          <x:t xml:space="preserve">V4纸面入选-B</x:t>
        </x:is>
      </x:c>
      <x:c r="O1258" s="604" t="inlineStr">
        <x:is>
          <x:t xml:space="preserve">1-0</x:t>
        </x:is>
      </x:c>
      <x:c r="P1258" s="604" t="inlineStr">
        <x:is>
          <x:t xml:space="preserve">已结算</x:t>
        </x:is>
      </x:c>
      <x:c r="Q1258" s="645" t="inlineStr">
        <x:is>
          <x:t xml:space="preserve">红</x:t>
        </x:is>
      </x:c>
      <x:c r="R1258" s="604" t="n">
        <x:v>0.9</x:v>
      </x:c>
      <x:c r="S1258" s="604" t="n">
        <x:v>0.9</x:v>
      </x:c>
      <x:c r="T1258" s="604" t="inlineStr">
        <x:is>
          <x:t xml:space="preserve">https://m.titan007.com/analy/Analysis/3094021.htm</x:t>
        </x:is>
      </x:c>
      <x:c r="U1258" s="646" t="str">
        <x:f>IF(Q1258="","",IF(Q1258="待结算","待结算",IF(Q1258="红","黑",IF(Q1258="半红","半黑",IF(Q1258="走","走",IF(Q1258="半黑","半红","红"))))))</x:f>
        <x:v>黑</x:v>
      </x:c>
      <x:c r="V1258" s="604" t="n">
        <x:f>IF(OR(Q1258="",Q1258="待结算"),"",IF(L1258=LEFT(F1258,FIND(" vs ",F1258)-1),I1258,G1258))</x:f>
        <x:v>0.9</x:v>
      </x:c>
      <x:c r="W1258" s="604" t="n">
        <x:f>IF(OR(U1258="",U1258="待结算"),"",IF(U1258="红",V1258,IF(U1258="半红",V1258*0.5,IF(U1258="走",0,IF(U1258="半黑",-0.5,-1)))))</x:f>
        <x:v>-1</x:v>
      </x:c>
      <x:c r="X1258" s="604" t="inlineStr">
        <x:is>
          <x:t xml:space="preserve">3094021</x:t>
        </x:is>
      </x:c>
      <x:c r="Y1258" s="604" t="inlineStr">
        <x:is>
          <x:t xml:space="preserve">V4</x:t>
        </x:is>
      </x:c>
      <x:c r="Z1258" s="604" t="inlineStr">
        <x:is>
          <x:t xml:space="preserve">prior-2026-10-07-v1</x:t>
        </x:is>
      </x:c>
      <x:c r="AA1258" s="604" t="inlineStr">
        <x:is>
          <x:t xml:space="preserve">B</x:t>
        </x:is>
      </x:c>
      <x:c r="AB1258" s="604" t="n">
        <x:v>0.442540529257569</x:v>
      </x:c>
      <x:c r="AC1258" s="604" t="n">
        <x:v>0.2610421524974108</x:v>
      </x:c>
      <x:c r="AD1258" s="604" t="n"/>
      <x:c r="AE1258" s="604" t="n"/>
      <x:c r="AF1258" s="604" t="n">
        <x:v>0.2964173182450203</x:v>
      </x:c>
      <x:c r="AG1258" s="604" t="n">
        <x:v>0.2193381267106267</x:v>
      </x:c>
      <x:c r="AH1258" s="604" t="n"/>
      <x:c r="AI1258" s="604" t="n"/>
      <x:c r="AJ1258" s="604" t="n">
        <x:v>0.2193381267106267</x:v>
      </x:c>
      <x:c r="AK1258" s="604" t="n"/>
      <x:c r="AL1258" s="604" t="n"/>
      <x:c r="AM1258" s="604" t="n"/>
      <x:c r="AN1258" s="604" t="inlineStr">
        <x:is>
          <x:t xml:space="preserve">EVALUATED</x:t>
        </x:is>
      </x:c>
      <x:c r="AO1258" s="604" t="inlineStr">
        <x:is>
          <x:t xml:space="preserve">RECEIVING_VALIDATED_EDGE、BUCKET_PRIOR_ONLY、INTENT_INTERPRETATION_ONLY、FFL_OPTIONAL、EXPERT_MARKET</x:t>
        </x:is>
      </x:c>
      <x:c r="AP1258" s="604" t="inlineStr">
        <x:is>
          <x:t xml:space="preserve">7ebbc59a280387269f49</x:t>
        </x:is>
      </x:c>
      <x:c r="AQ1258" s="604" t="n">
        <x:v>0.25</x:v>
      </x:c>
      <x:c r="AR1258" s="604" t="n">
        <x:v>0.9</x:v>
      </x:c>
      <x:c r="AS1258" s="604" t="n">
        <x:v>-0.25</x:v>
      </x:c>
      <x:c r="AT1258" s="604" t="n">
        <x:v>0.25</x:v>
      </x:c>
      <x:c r="AU1258" s="604" t="n">
        <x:v>0.9</x:v>
      </x:c>
      <x:c r="AV1258" s="604" t="n">
        <x:v>0.9</x:v>
      </x:c>
      <x:c r="AW1258" s="604" t="n">
        <x:v>46302.19288847222</x:v>
      </x:c>
      <x:c r="AX1258" s="604" t="inlineStr">
        <x:is>
          <x:t xml:space="preserve">https://simondongxiao.github.io/odds/v4/</x:t>
        </x:is>
      </x:c>
      <x:c r="AY1258" s="604" t="inlineStr">
        <x:is>
          <x:t xml:space="preserve">V4 Shadow Only；real_money=false；P(EV&gt;0)不是比赛胜率</x:t>
        </x:is>
      </x:c>
    </x:row>
    <x:row r="1259" ht="22" customHeight="1">
      <x:c r="A1259" s="604" t="inlineStr">
        <x:is>
          <x:t xml:space="preserve">2026-10-07</x:t>
        </x:is>
      </x:c>
      <x:c r="B1259" s="604" t="inlineStr">
        <x:is>
          <x:t xml:space="preserve">2026-10-07 20:00</x:t>
        </x:is>
      </x:c>
      <x:c r="C1259" s="604" t="str">
        <x:v>欧洲非五大系列</x:v>
      </x:c>
      <x:c r="D1259" s="604" t="inlineStr">
        <x:is>
          <x:t xml:space="preserve">杯赛</x:t>
        </x:is>
      </x:c>
      <x:c r="E1259" s="604" t="inlineStr">
        <x:is>
          <x:t xml:space="preserve">女挪威杯</x:t>
        </x:is>
      </x:c>
      <x:c r="F1259" s="604" t="inlineStr">
        <x:is>
          <x:t xml:space="preserve">克莱波女足 vs 维京女足</x:t>
        </x:is>
      </x:c>
      <x:c r="G1259" s="604" t="n">
        <x:v>0.83</x:v>
      </x:c>
      <x:c r="H1259" s="604" t="n">
        <x:v>-3.25</x:v>
      </x:c>
      <x:c r="I1259" s="604" t="n">
        <x:v>0.98</x:v>
      </x:c>
      <x:c r="J1259" s="604" t="inlineStr">
        <x:is>
          <x:t xml:space="preserve">0.83/-3.25/0.98</x:t>
        </x:is>
      </x:c>
      <x:c r="K1259" s="604" t="inlineStr">
        <x:is>
          <x:t xml:space="preserve">V4-B｜EV +0.8300</x:t>
        </x:is>
      </x:c>
      <x:c r="L1259" s="604" t="inlineStr">
        <x:is>
          <x:t xml:space="preserve">克莱波女足</x:t>
        </x:is>
      </x:c>
      <x:c r="M1259" s="604" t="n">
        <x:v>0.9999999277368015</x:v>
      </x:c>
      <x:c r="N1259" s="604" t="inlineStr">
        <x:is>
          <x:t xml:space="preserve">V4纸面入选-B</x:t>
        </x:is>
      </x:c>
      <x:c r="O1259" s="604" t="inlineStr">
        <x:is>
          <x:t xml:space="preserve">2-3</x:t>
        </x:is>
      </x:c>
      <x:c r="P1259" s="604" t="inlineStr">
        <x:is>
          <x:t xml:space="preserve">已结算</x:t>
        </x:is>
      </x:c>
      <x:c r="Q1259" s="645" t="inlineStr">
        <x:is>
          <x:t xml:space="preserve">红</x:t>
        </x:is>
      </x:c>
      <x:c r="R1259" s="604" t="n">
        <x:v>0.83</x:v>
      </x:c>
      <x:c r="S1259" s="604" t="n">
        <x:v>0.83</x:v>
      </x:c>
      <x:c r="T1259" s="604" t="inlineStr">
        <x:is>
          <x:t xml:space="preserve">https://m.titan007.com/analy/Analysis/3096218.htm</x:t>
        </x:is>
      </x:c>
      <x:c r="U1259" s="646" t="str">
        <x:f>IF(Q1259="","",IF(Q1259="待结算","待结算",IF(Q1259="红","黑",IF(Q1259="半红","半黑",IF(Q1259="走","走",IF(Q1259="半黑","半红","红"))))))</x:f>
        <x:v>黑</x:v>
      </x:c>
      <x:c r="V1259" s="604" t="n">
        <x:f>IF(OR(Q1259="",Q1259="待结算"),"",IF(L1259=LEFT(F1259,FIND(" vs ",F1259)-1),I1259,G1259))</x:f>
        <x:v>0.98</x:v>
      </x:c>
      <x:c r="W1259" s="604" t="n">
        <x:f>IF(OR(U1259="",U1259="待结算"),"",IF(U1259="红",V1259,IF(U1259="半红",V1259*0.5,IF(U1259="走",0,IF(U1259="半黑",-0.5,-1)))))</x:f>
        <x:v>-1</x:v>
      </x:c>
      <x:c r="X1259" s="604" t="inlineStr">
        <x:is>
          <x:t xml:space="preserve">3096218</x:t>
        </x:is>
      </x:c>
      <x:c r="Y1259" s="604" t="inlineStr">
        <x:is>
          <x:t xml:space="preserve">V4</x:t>
        </x:is>
      </x:c>
      <x:c r="Z1259" s="604" t="inlineStr">
        <x:is>
          <x:t xml:space="preserve">prior-2026-10-07-v1</x:t>
        </x:is>
      </x:c>
      <x:c r="AA1259" s="604" t="inlineStr">
        <x:is>
          <x:t xml:space="preserve">B</x:t>
        </x:is>
      </x:c>
      <x:c r="AB1259" s="604" t="n">
        <x:v>0.9999963273357326</x:v>
      </x:c>
      <x:c r="AC1259" s="604" t="n">
        <x:v>3.600401198815441e-06</x:v>
      </x:c>
      <x:c r="AD1259" s="604" t="n"/>
      <x:c r="AE1259" s="604" t="n"/>
      <x:c r="AF1259" s="604" t="n">
        <x:v>7.226306845404547e-08</x:v>
      </x:c>
      <x:c r="AG1259" s="604" t="n">
        <x:v>0.8299983735920872</x:v>
      </x:c>
      <x:c r="AH1259" s="604" t="n"/>
      <x:c r="AI1259" s="604" t="n"/>
      <x:c r="AJ1259" s="604" t="n">
        <x:v>0.8299983735920872</x:v>
      </x:c>
      <x:c r="AK1259" s="604" t="n"/>
      <x:c r="AL1259" s="604" t="n"/>
      <x:c r="AM1259" s="604" t="n"/>
      <x:c r="AN1259" s="604" t="inlineStr">
        <x:is>
          <x:t xml:space="preserve">EVALUATED</x:t>
        </x:is>
      </x:c>
      <x:c r="AO1259" s="604" t="inlineStr">
        <x:is>
          <x:t xml:space="preserve">RECEIVING_VALIDATED_EDGE、BUCKET_PRIOR_ONLY、INTENT_INTERPRETATION_ONLY、FFL_OPTIONAL、EXPERT_MARKET</x:t>
        </x:is>
      </x:c>
      <x:c r="AP1259" s="604" t="inlineStr">
        <x:is>
          <x:t xml:space="preserve">a0c477602421bd996b09</x:t>
        </x:is>
      </x:c>
      <x:c r="AQ1259" s="604" t="n">
        <x:v>3.25</x:v>
      </x:c>
      <x:c r="AR1259" s="604" t="n">
        <x:v>0.83</x:v>
      </x:c>
      <x:c r="AS1259" s="604" t="n">
        <x:v>-3.25</x:v>
      </x:c>
      <x:c r="AT1259" s="604" t="n">
        <x:v>3.25</x:v>
      </x:c>
      <x:c r="AU1259" s="604" t="n">
        <x:v>0.83</x:v>
      </x:c>
      <x:c r="AV1259" s="604" t="n">
        <x:v>0.98</x:v>
      </x:c>
      <x:c r="AW1259" s="604" t="n">
        <x:v>46302.19288847222</x:v>
      </x:c>
      <x:c r="AX1259" s="604" t="inlineStr">
        <x:is>
          <x:t xml:space="preserve">https://simondongxiao.github.io/odds/v4/</x:t>
        </x:is>
      </x:c>
      <x:c r="AY1259" s="604" t="inlineStr">
        <x:is>
          <x:t xml:space="preserve">V4 Shadow Only；real_money=false；P(EV&gt;0)不是比赛胜率</x:t>
        </x:is>
      </x:c>
    </x:row>
    <x:row r="1260" ht="22" customHeight="1">
      <x:c r="A1260" s="604" t="inlineStr">
        <x:is>
          <x:t xml:space="preserve">2026-10-07</x:t>
        </x:is>
      </x:c>
      <x:c r="B1260" s="604" t="inlineStr">
        <x:is>
          <x:t xml:space="preserve">2026-10-07 20:00</x:t>
        </x:is>
      </x:c>
      <x:c r="C1260" s="604" t="str">
        <x:v>西亚/中亚系列</x:v>
      </x:c>
      <x:c r="D1260" s="604" t="inlineStr">
        <x:is>
          <x:t xml:space="preserve">联赛</x:t>
        </x:is>
      </x:c>
      <x:c r="E1260" s="604" t="inlineStr">
        <x:is>
          <x:t xml:space="preserve">乌兹甲</x:t>
        </x:is>
      </x:c>
      <x:c r="F1260" s="604" t="inlineStr">
        <x:is>
          <x:t xml:space="preserve">休尔坦古佐 vs 加云</x:t>
        </x:is>
      </x:c>
      <x:c r="G1260" s="604" t="n">
        <x:v>0.77</x:v>
      </x:c>
      <x:c r="H1260" s="604" t="n">
        <x:v>1.5</x:v>
      </x:c>
      <x:c r="I1260" s="604" t="n">
        <x:v>0.93</x:v>
      </x:c>
      <x:c r="J1260" s="604" t="inlineStr">
        <x:is>
          <x:t xml:space="preserve">0.77/1.5/0.93</x:t>
        </x:is>
      </x:c>
      <x:c r="K1260" s="604" t="inlineStr">
        <x:is>
          <x:t xml:space="preserve">V4-B｜EV +0.2093</x:t>
        </x:is>
      </x:c>
      <x:c r="L1260" s="604" t="inlineStr">
        <x:is>
          <x:t xml:space="preserve">休尔坦古佐</x:t>
        </x:is>
      </x:c>
      <x:c r="M1260" s="604" t="n">
        <x:v>0.6832178455966192</x:v>
      </x:c>
      <x:c r="N1260" s="604" t="inlineStr">
        <x:is>
          <x:t xml:space="preserve">V4纸面入选-B</x:t>
        </x:is>
      </x:c>
      <x:c r="O1260" s="604" t="inlineStr">
        <x:is>
          <x:t xml:space="preserve">3-1</x:t>
        </x:is>
      </x:c>
      <x:c r="P1260" s="604" t="inlineStr">
        <x:is>
          <x:t xml:space="preserve">已结算</x:t>
        </x:is>
      </x:c>
      <x:c r="Q1260" s="645" t="inlineStr">
        <x:is>
          <x:t xml:space="preserve">红</x:t>
        </x:is>
      </x:c>
      <x:c r="R1260" s="604" t="n">
        <x:v>0.77</x:v>
      </x:c>
      <x:c r="S1260" s="604" t="n">
        <x:v>0.77</x:v>
      </x:c>
      <x:c r="T1260" s="604" t="inlineStr">
        <x:is>
          <x:t xml:space="preserve">https://m.titan007.com/analy/Analysis/2971105.htm</x:t>
        </x:is>
      </x:c>
      <x:c r="U1260" s="646" t="str">
        <x:f>IF(Q1260="","",IF(Q1260="待结算","待结算",IF(Q1260="红","黑",IF(Q1260="半红","半黑",IF(Q1260="走","走",IF(Q1260="半黑","半红","红"))))))</x:f>
        <x:v>黑</x:v>
      </x:c>
      <x:c r="V1260" s="604" t="n">
        <x:f>IF(OR(Q1260="",Q1260="待结算"),"",IF(L1260=LEFT(F1260,FIND(" vs ",F1260)-1),I1260,G1260))</x:f>
        <x:v>0.93</x:v>
      </x:c>
      <x:c r="W1260" s="604" t="n">
        <x:f>IF(OR(U1260="",U1260="待结算"),"",IF(U1260="红",V1260,IF(U1260="半红",V1260*0.5,IF(U1260="走",0,IF(U1260="半黑",-0.5,-1)))))</x:f>
        <x:v>-1</x:v>
      </x:c>
      <x:c r="X1260" s="604" t="inlineStr">
        <x:is>
          <x:t xml:space="preserve">2971105</x:t>
        </x:is>
      </x:c>
      <x:c r="Y1260" s="604" t="inlineStr">
        <x:is>
          <x:t xml:space="preserve">V4</x:t>
        </x:is>
      </x:c>
      <x:c r="Z1260" s="604" t="inlineStr">
        <x:is>
          <x:t xml:space="preserve">prior-2026-10-07-v1</x:t>
        </x:is>
      </x:c>
      <x:c r="AA1260" s="604" t="inlineStr">
        <x:is>
          <x:t xml:space="preserve">B</x:t>
        </x:is>
      </x:c>
      <x:c r="AB1260" s="604" t="n">
        <x:v>0.6832178455966192</x:v>
      </x:c>
      <x:c r="AC1260" s="604" t="n"/>
      <x:c r="AD1260" s="604" t="n"/>
      <x:c r="AE1260" s="604" t="n"/>
      <x:c r="AF1260" s="604" t="n">
        <x:v>0.3167821544033808</x:v>
      </x:c>
      <x:c r="AG1260" s="604" t="n">
        <x:v>0.2092955867060161</x:v>
      </x:c>
      <x:c r="AH1260" s="604" t="n"/>
      <x:c r="AI1260" s="604" t="n"/>
      <x:c r="AJ1260" s="604" t="n">
        <x:v>0.2092955867060161</x:v>
      </x:c>
      <x:c r="AK1260" s="604" t="n"/>
      <x:c r="AL1260" s="604" t="n"/>
      <x:c r="AM1260" s="604" t="n"/>
      <x:c r="AN1260" s="604" t="inlineStr">
        <x:is>
          <x:t xml:space="preserve">EVALUATED</x:t>
        </x:is>
      </x:c>
      <x:c r="AO1260" s="604" t="inlineStr">
        <x:is>
          <x:t xml:space="preserve">GIVING_VALIDATED_EDGE、BUCKET_PRIOR_ONLY、INTENT_INTERPRETATION_ONLY、FFL_OPTIONAL、EXPERT_MARKET</x:t>
        </x:is>
      </x:c>
      <x:c r="AP1260" s="604" t="inlineStr">
        <x:is>
          <x:t xml:space="preserve">2d482646eda1bb934ce0</x:t>
        </x:is>
      </x:c>
      <x:c r="AQ1260" s="604" t="n">
        <x:v>-1.5</x:v>
      </x:c>
      <x:c r="AR1260" s="604" t="n">
        <x:v>0.77</x:v>
      </x:c>
      <x:c r="AS1260" s="604" t="n">
        <x:v>1.5</x:v>
      </x:c>
      <x:c r="AT1260" s="604" t="n">
        <x:v>-1.5</x:v>
      </x:c>
      <x:c r="AU1260" s="604" t="n">
        <x:v>0.77</x:v>
      </x:c>
      <x:c r="AV1260" s="604" t="n">
        <x:v>0.93</x:v>
      </x:c>
      <x:c r="AW1260" s="604" t="n">
        <x:v>46302.19288847222</x:v>
      </x:c>
      <x:c r="AX1260" s="604" t="inlineStr">
        <x:is>
          <x:t xml:space="preserve">https://simondongxiao.github.io/odds/v4/</x:t>
        </x:is>
      </x:c>
      <x:c r="AY1260" s="604" t="inlineStr">
        <x:is>
          <x:t xml:space="preserve">V4 Shadow Only；real_money=false；P(EV&gt;0)不是比赛胜率</x:t>
        </x:is>
      </x:c>
    </x:row>
    <x:row r="1261" ht="22" customHeight="1">
      <x:c r="A1261" s="604" t="inlineStr">
        <x:is>
          <x:t xml:space="preserve">2026-10-07</x:t>
        </x:is>
      </x:c>
      <x:c r="B1261" s="604" t="inlineStr">
        <x:is>
          <x:t xml:space="preserve">2026-10-07 20:00</x:t>
        </x:is>
      </x:c>
      <x:c r="C1261" s="604" t="str">
        <x:v>其他系列</x:v>
      </x:c>
      <x:c r="D1261" s="604" t="inlineStr">
        <x:is>
          <x:t xml:space="preserve">联赛</x:t>
        </x:is>
      </x:c>
      <x:c r="E1261" s="604" t="inlineStr">
        <x:is>
          <x:t xml:space="preserve">东盟锦标</x:t>
        </x:is>
      </x:c>
      <x:c r="F1261" s="604" t="inlineStr">
        <x:is>
          <x:t xml:space="preserve">武里南联 vs 婆罗洲FC</x:t>
        </x:is>
      </x:c>
      <x:c r="G1261" s="604" t="n">
        <x:v>0.8</x:v>
      </x:c>
      <x:c r="H1261" s="604" t="n">
        <x:v>1.5</x:v>
      </x:c>
      <x:c r="I1261" s="604" t="n">
        <x:v>1</x:v>
      </x:c>
      <x:c r="J1261" s="604" t="inlineStr">
        <x:is>
          <x:t xml:space="preserve">0.8/1.5/1</x:t>
        </x:is>
      </x:c>
      <x:c r="K1261" s="604" t="inlineStr">
        <x:is>
          <x:t xml:space="preserve">V4-B｜EV +0.1158</x:t>
        </x:is>
      </x:c>
      <x:c r="L1261" s="604" t="inlineStr">
        <x:is>
          <x:t xml:space="preserve">武里南联</x:t>
        </x:is>
      </x:c>
      <x:c r="M1261" s="604" t="n">
        <x:v>0.6198902525755501</x:v>
      </x:c>
      <x:c r="N1261" s="604" t="inlineStr">
        <x:is>
          <x:t xml:space="preserve">V4纸面入选-B</x:t>
        </x:is>
      </x:c>
      <x:c r="O1261" s="604" t="inlineStr">
        <x:is>
          <x:t xml:space="preserve">0-0</x:t>
        </x:is>
      </x:c>
      <x:c r="P1261" s="604" t="inlineStr">
        <x:is>
          <x:t xml:space="preserve">已结算</x:t>
        </x:is>
      </x:c>
      <x:c r="Q1261" s="646" t="inlineStr">
        <x:is>
          <x:t xml:space="preserve">黑</x:t>
        </x:is>
      </x:c>
      <x:c r="R1261" s="604" t="n">
        <x:v>0.8</x:v>
      </x:c>
      <x:c r="S1261" s="604" t="n">
        <x:v>-1</x:v>
      </x:c>
      <x:c r="T1261" s="604" t="inlineStr">
        <x:is>
          <x:t xml:space="preserve">https://m.titan007.com/analy/Analysis/3006564.htm</x:t>
        </x:is>
      </x:c>
      <x:c r="U1261" s="645" t="str">
        <x:f>IF(Q1261="","",IF(Q1261="待结算","待结算",IF(Q1261="红","黑",IF(Q1261="半红","半黑",IF(Q1261="走","走",IF(Q1261="半黑","半红","红"))))))</x:f>
        <x:v>红</x:v>
      </x:c>
      <x:c r="V1261" s="604" t="n">
        <x:f>IF(OR(Q1261="",Q1261="待结算"),"",IF(L1261=LEFT(F1261,FIND(" vs ",F1261)-1),I1261,G1261))</x:f>
        <x:v>1</x:v>
      </x:c>
      <x:c r="W1261" s="604" t="n">
        <x:f>IF(OR(U1261="",U1261="待结算"),"",IF(U1261="红",V1261,IF(U1261="半红",V1261*0.5,IF(U1261="走",0,IF(U1261="半黑",-0.5,-1)))))</x:f>
        <x:v>1</x:v>
      </x:c>
      <x:c r="X1261" s="604" t="inlineStr">
        <x:is>
          <x:t xml:space="preserve">3006564</x:t>
        </x:is>
      </x:c>
      <x:c r="Y1261" s="604" t="inlineStr">
        <x:is>
          <x:t xml:space="preserve">V4</x:t>
        </x:is>
      </x:c>
      <x:c r="Z1261" s="604" t="inlineStr">
        <x:is>
          <x:t xml:space="preserve">prior-2026-10-07-v1</x:t>
        </x:is>
      </x:c>
      <x:c r="AA1261" s="604" t="inlineStr">
        <x:is>
          <x:t xml:space="preserve">B</x:t>
        </x:is>
      </x:c>
      <x:c r="AB1261" s="604" t="n">
        <x:v>0.6198902525755501</x:v>
      </x:c>
      <x:c r="AC1261" s="604" t="n"/>
      <x:c r="AD1261" s="604" t="n"/>
      <x:c r="AE1261" s="604" t="n"/>
      <x:c r="AF1261" s="604" t="n">
        <x:v>0.38010974742445</x:v>
      </x:c>
      <x:c r="AG1261" s="604" t="n">
        <x:v>0.1158024546359901</x:v>
      </x:c>
      <x:c r="AH1261" s="604" t="n"/>
      <x:c r="AI1261" s="604" t="n"/>
      <x:c r="AJ1261" s="604" t="n">
        <x:v>0.1158024546359901</x:v>
      </x:c>
      <x:c r="AK1261" s="604" t="n"/>
      <x:c r="AL1261" s="604" t="n"/>
      <x:c r="AM1261" s="604" t="n"/>
      <x:c r="AN1261" s="604" t="inlineStr">
        <x:is>
          <x:t xml:space="preserve">EVALUATED</x:t>
        </x:is>
      </x:c>
      <x:c r="AO1261" s="604" t="inlineStr">
        <x:is>
          <x:t xml:space="preserve">GIVING_VALIDATED_EDGE、BUCKET_PRIOR_ONLY、INTENT_INTERPRETATION_ONLY、FFL_OPTIONAL、EXPERT_MARKET</x:t>
        </x:is>
      </x:c>
      <x:c r="AP1261" s="604" t="inlineStr">
        <x:is>
          <x:t xml:space="preserve">9bf1ca8eb49c9cb9613a</x:t>
        </x:is>
      </x:c>
      <x:c r="AQ1261" s="604" t="n">
        <x:v>-1.5</x:v>
      </x:c>
      <x:c r="AR1261" s="604" t="n">
        <x:v>0.8</x:v>
      </x:c>
      <x:c r="AS1261" s="604" t="n">
        <x:v>1.5</x:v>
      </x:c>
      <x:c r="AT1261" s="604" t="n">
        <x:v>-1.5</x:v>
      </x:c>
      <x:c r="AU1261" s="604" t="n">
        <x:v>0.8</x:v>
      </x:c>
      <x:c r="AV1261" s="604" t="n">
        <x:v>1</x:v>
      </x:c>
      <x:c r="AW1261" s="604" t="n">
        <x:v>46302.19288847222</x:v>
      </x:c>
      <x:c r="AX1261" s="604" t="inlineStr">
        <x:is>
          <x:t xml:space="preserve">https://simondongxiao.github.io/odds/v4/</x:t>
        </x:is>
      </x:c>
      <x:c r="AY1261" s="604" t="inlineStr">
        <x:is>
          <x:t xml:space="preserve">V4 Shadow Only；real_money=false；P(EV&gt;0)不是比赛胜率</x:t>
        </x:is>
      </x:c>
    </x:row>
    <x:row r="1262" ht="22" customHeight="1">
      <x:c r="A1262" s="604" t="inlineStr">
        <x:is>
          <x:t xml:space="preserve">2026-10-07</x:t>
        </x:is>
      </x:c>
      <x:c r="B1262" s="604" t="inlineStr">
        <x:is>
          <x:t xml:space="preserve">2026-10-07 20:00</x:t>
        </x:is>
      </x:c>
      <x:c r="C1262" s="604" t="str">
        <x:v>其他系列</x:v>
      </x:c>
      <x:c r="D1262" s="604" t="inlineStr">
        <x:is>
          <x:t xml:space="preserve">联赛</x:t>
        </x:is>
      </x:c>
      <x:c r="E1262" s="604" t="inlineStr">
        <x:is>
          <x:t xml:space="preserve">东盟锦标</x:t>
        </x:is>
      </x:c>
      <x:c r="F1262" s="604" t="inlineStr">
        <x:is>
          <x:t xml:space="preserve">拉查布里府 vs 胡志明市</x:t>
        </x:is>
      </x:c>
      <x:c r="G1262" s="604" t="n">
        <x:v>1</x:v>
      </x:c>
      <x:c r="H1262" s="604" t="n">
        <x:v>1</x:v>
      </x:c>
      <x:c r="I1262" s="604" t="n">
        <x:v>0.8</x:v>
      </x:c>
      <x:c r="J1262" s="604" t="inlineStr">
        <x:is>
          <x:t xml:space="preserve">1/1/0.8</x:t>
        </x:is>
      </x:c>
      <x:c r="K1262" s="604" t="inlineStr">
        <x:is>
          <x:t xml:space="preserve">V4-B｜EV +0.0700</x:t>
        </x:is>
      </x:c>
      <x:c r="L1262" s="604" t="inlineStr">
        <x:is>
          <x:t xml:space="preserve">拉查布里府</x:t>
        </x:is>
      </x:c>
      <x:c r="M1262" s="604" t="n">
        <x:v>0.5471064870091373</x:v>
      </x:c>
      <x:c r="N1262" s="604" t="inlineStr">
        <x:is>
          <x:t xml:space="preserve">V4纸面入选-B</x:t>
        </x:is>
      </x:c>
      <x:c r="O1262" s="604" t="inlineStr">
        <x:is>
          <x:t xml:space="preserve">1-1</x:t>
        </x:is>
      </x:c>
      <x:c r="P1262" s="604" t="inlineStr">
        <x:is>
          <x:t xml:space="preserve">已结算</x:t>
        </x:is>
      </x:c>
      <x:c r="Q1262" s="646" t="inlineStr">
        <x:is>
          <x:t xml:space="preserve">黑</x:t>
        </x:is>
      </x:c>
      <x:c r="R1262" s="604" t="n">
        <x:v>1</x:v>
      </x:c>
      <x:c r="S1262" s="604" t="n">
        <x:v>-1</x:v>
      </x:c>
      <x:c r="T1262" s="604" t="inlineStr">
        <x:is>
          <x:t xml:space="preserve">https://m.titan007.com/analy/Analysis/3061618.htm</x:t>
        </x:is>
      </x:c>
      <x:c r="U1262" s="645" t="str">
        <x:f>IF(Q1262="","",IF(Q1262="待结算","待结算",IF(Q1262="红","黑",IF(Q1262="半红","半黑",IF(Q1262="走","走",IF(Q1262="半黑","半红","红"))))))</x:f>
        <x:v>红</x:v>
      </x:c>
      <x:c r="V1262" s="604" t="n">
        <x:f>IF(OR(Q1262="",Q1262="待结算"),"",IF(L1262=LEFT(F1262,FIND(" vs ",F1262)-1),I1262,G1262))</x:f>
        <x:v>0.8</x:v>
      </x:c>
      <x:c r="W1262" s="604" t="n">
        <x:f>IF(OR(U1262="",U1262="待结算"),"",IF(U1262="红",V1262,IF(U1262="半红",V1262*0.5,IF(U1262="走",0,IF(U1262="半黑",-0.5,-1)))))</x:f>
        <x:v>0.8</x:v>
      </x:c>
      <x:c r="X1262" s="604" t="inlineStr">
        <x:is>
          <x:t xml:space="preserve">3061618</x:t>
        </x:is>
      </x:c>
      <x:c r="Y1262" s="604" t="inlineStr">
        <x:is>
          <x:t xml:space="preserve">V4</x:t>
        </x:is>
      </x:c>
      <x:c r="Z1262" s="604" t="inlineStr">
        <x:is>
          <x:t xml:space="preserve">prior-2026-10-07-v1</x:t>
        </x:is>
      </x:c>
      <x:c r="AA1262" s="604" t="inlineStr">
        <x:is>
          <x:t xml:space="preserve">B</x:t>
        </x:is>
      </x:c>
      <x:c r="AB1262" s="604" t="n">
        <x:v>0.4065241788981012</x:v>
      </x:c>
      <x:c r="AC1262" s="604" t="n"/>
      <x:c r="AD1262" s="604" t="n">
        <x:v>0.2569560249222347</x:v>
      </x:c>
      <x:c r="AE1262" s="604" t="n"/>
      <x:c r="AF1262" s="604" t="n">
        <x:v>0.3365197961796642</x:v>
      </x:c>
      <x:c r="AG1262" s="604" t="n">
        <x:v>0.07000438271843701</x:v>
      </x:c>
      <x:c r="AH1262" s="604" t="n"/>
      <x:c r="AI1262" s="604" t="n"/>
      <x:c r="AJ1262" s="604" t="n">
        <x:v>0.07000438271843701</x:v>
      </x:c>
      <x:c r="AK1262" s="604" t="n"/>
      <x:c r="AL1262" s="604" t="n"/>
      <x:c r="AM1262" s="604" t="n"/>
      <x:c r="AN1262" s="604" t="inlineStr">
        <x:is>
          <x:t xml:space="preserve">EVALUATED</x:t>
        </x:is>
      </x:c>
      <x:c r="AO1262" s="604" t="inlineStr">
        <x:is>
          <x:t xml:space="preserve">GIVING_VALIDATED_EDGE、BUCKET_PRIOR_ONLY、INTENT_INTERPRETATION_ONLY、FFL_OPTIONAL、EXPERT_MARKET</x:t>
        </x:is>
      </x:c>
      <x:c r="AP1262" s="604" t="inlineStr">
        <x:is>
          <x:t xml:space="preserve">67896901815249083582</x:t>
        </x:is>
      </x:c>
      <x:c r="AQ1262" s="604" t="n">
        <x:v>-1</x:v>
      </x:c>
      <x:c r="AR1262" s="604" t="n">
        <x:v>1</x:v>
      </x:c>
      <x:c r="AS1262" s="604" t="n">
        <x:v>1</x:v>
      </x:c>
      <x:c r="AT1262" s="604" t="n">
        <x:v>-1</x:v>
      </x:c>
      <x:c r="AU1262" s="604" t="n">
        <x:v>1</x:v>
      </x:c>
      <x:c r="AV1262" s="604" t="n">
        <x:v>0.8</x:v>
      </x:c>
      <x:c r="AW1262" s="604" t="n">
        <x:v>46302.19288847222</x:v>
      </x:c>
      <x:c r="AX1262" s="604" t="inlineStr">
        <x:is>
          <x:t xml:space="preserve">https://simondongxiao.github.io/odds/v4/</x:t>
        </x:is>
      </x:c>
      <x:c r="AY1262" s="604" t="inlineStr">
        <x:is>
          <x:t xml:space="preserve">V4 Shadow Only；real_money=false；P(EV&gt;0)不是比赛胜率</x:t>
        </x:is>
      </x:c>
    </x:row>
    <x:row r="1263" ht="22" customHeight="1">
      <x:c r="A1263" s="604" t="inlineStr">
        <x:is>
          <x:t xml:space="preserve">2026-10-07</x:t>
        </x:is>
      </x:c>
      <x:c r="B1263" s="604" t="inlineStr">
        <x:is>
          <x:t xml:space="preserve">2026-10-07 20:30</x:t>
        </x:is>
      </x:c>
      <x:c r="C1263" s="604" t="str">
        <x:v>其他系列</x:v>
      </x:c>
      <x:c r="D1263" s="604" t="inlineStr">
        <x:is>
          <x:t xml:space="preserve">联赛</x:t>
        </x:is>
      </x:c>
      <x:c r="E1263" s="604" t="inlineStr">
        <x:is>
          <x:t xml:space="preserve">埃及甲</x:t>
        </x:is>
      </x:c>
      <x:c r="F1263" s="604" t="inlineStr">
        <x:is>
          <x:t xml:space="preserve">阿洛米尼 vs 麦地那莫纳瓦拉</x:t>
        </x:is>
      </x:c>
      <x:c r="G1263" s="604" t="n">
        <x:v>0.95</x:v>
      </x:c>
      <x:c r="H1263" s="604" t="n">
        <x:v>1</x:v>
      </x:c>
      <x:c r="I1263" s="604" t="n">
        <x:v>0.85</x:v>
      </x:c>
      <x:c r="J1263" s="604" t="inlineStr">
        <x:is>
          <x:t xml:space="preserve">0.95/1/0.85</x:t>
        </x:is>
      </x:c>
      <x:c r="K1263" s="604" t="inlineStr">
        <x:is>
          <x:t xml:space="preserve">V4-B｜EV +0.3182</x:t>
        </x:is>
      </x:c>
      <x:c r="L1263" s="604" t="inlineStr">
        <x:is>
          <x:t xml:space="preserve">阿洛米尼</x:t>
        </x:is>
      </x:c>
      <x:c r="M1263" s="604" t="n">
        <x:v>0.7289825677153423</x:v>
      </x:c>
      <x:c r="N1263" s="604" t="inlineStr">
        <x:is>
          <x:t xml:space="preserve">V4纸面入选-B</x:t>
        </x:is>
      </x:c>
      <x:c r="O1263" s="604" t="inlineStr">
        <x:is>
          <x:t xml:space="preserve">1-0</x:t>
        </x:is>
      </x:c>
      <x:c r="P1263" s="604" t="inlineStr">
        <x:is>
          <x:t xml:space="preserve">已结算</x:t>
        </x:is>
      </x:c>
      <x:c r="Q1263" s="647" t="inlineStr">
        <x:is>
          <x:t xml:space="preserve">走</x:t>
        </x:is>
      </x:c>
      <x:c r="R1263" s="604" t="n">
        <x:v>0.95</x:v>
      </x:c>
      <x:c r="S1263" s="604" t="n">
        <x:v>0</x:v>
      </x:c>
      <x:c r="T1263" s="604" t="inlineStr">
        <x:is>
          <x:t xml:space="preserve">https://m.titan007.com/analy/Analysis/3099988.htm</x:t>
        </x:is>
      </x:c>
      <x:c r="U1263" s="647" t="str">
        <x:f>IF(Q1263="","",IF(Q1263="待结算","待结算",IF(Q1263="红","黑",IF(Q1263="半红","半黑",IF(Q1263="走","走",IF(Q1263="半黑","半红","红"))))))</x:f>
        <x:v>走</x:v>
      </x:c>
      <x:c r="V1263" s="604" t="n">
        <x:f>IF(OR(Q1263="",Q1263="待结算"),"",IF(L1263=LEFT(F1263,FIND(" vs ",F1263)-1),I1263,G1263))</x:f>
        <x:v>0.85</x:v>
      </x:c>
      <x:c r="W1263" s="604" t="n">
        <x:f>IF(OR(U1263="",U1263="待结算"),"",IF(U1263="红",V1263,IF(U1263="半红",V1263*0.5,IF(U1263="走",0,IF(U1263="半黑",-0.5,-1)))))</x:f>
        <x:v>0</x:v>
      </x:c>
      <x:c r="X1263" s="604" t="inlineStr">
        <x:is>
          <x:t xml:space="preserve">3099988</x:t>
        </x:is>
      </x:c>
      <x:c r="Y1263" s="604" t="inlineStr">
        <x:is>
          <x:t xml:space="preserve">V4</x:t>
        </x:is>
      </x:c>
      <x:c r="Z1263" s="604" t="inlineStr">
        <x:is>
          <x:t xml:space="preserve">prior-2026-10-07-v1</x:t>
        </x:is>
      </x:c>
      <x:c r="AA1263" s="604" t="inlineStr">
        <x:is>
          <x:t xml:space="preserve">B</x:t>
        </x:is>
      </x:c>
      <x:c r="AB1263" s="604" t="n">
        <x:v>0.5502922398627896</x:v>
      </x:c>
      <x:c r="AC1263" s="604" t="n"/>
      <x:c r="AD1263" s="604" t="n">
        <x:v>0.2451229093345465</x:v>
      </x:c>
      <x:c r="AE1263" s="604" t="n"/>
      <x:c r="AF1263" s="604" t="n">
        <x:v>0.2045848508026639</x:v>
      </x:c>
      <x:c r="AG1263" s="604" t="n">
        <x:v>0.3181927770669862</x:v>
      </x:c>
      <x:c r="AH1263" s="604" t="n"/>
      <x:c r="AI1263" s="604" t="n"/>
      <x:c r="AJ1263" s="604" t="n">
        <x:v>0.3181927770669862</x:v>
      </x:c>
      <x:c r="AK1263" s="604" t="n"/>
      <x:c r="AL1263" s="604" t="n"/>
      <x:c r="AM1263" s="604" t="n"/>
      <x:c r="AN1263" s="604" t="inlineStr">
        <x:is>
          <x:t xml:space="preserve">EVALUATED</x:t>
        </x:is>
      </x:c>
      <x:c r="AO1263" s="604" t="inlineStr">
        <x:is>
          <x:t xml:space="preserve">GIVING_VALIDATED_EDGE、BUCKET_PRIOR_ONLY、INTENT_INTERPRETATION_ONLY、FFL_OPTIONAL、EXPERT_MARKET</x:t>
        </x:is>
      </x:c>
      <x:c r="AP1263" s="604" t="inlineStr">
        <x:is>
          <x:t xml:space="preserve">6c487beda4aec83ba51a</x:t>
        </x:is>
      </x:c>
      <x:c r="AQ1263" s="604" t="n">
        <x:v>-1</x:v>
      </x:c>
      <x:c r="AR1263" s="604" t="n">
        <x:v>0.95</x:v>
      </x:c>
      <x:c r="AS1263" s="604" t="n">
        <x:v>1</x:v>
      </x:c>
      <x:c r="AT1263" s="604" t="n">
        <x:v>-1</x:v>
      </x:c>
      <x:c r="AU1263" s="604" t="n">
        <x:v>0.95</x:v>
      </x:c>
      <x:c r="AV1263" s="604" t="n">
        <x:v>0.85</x:v>
      </x:c>
      <x:c r="AW1263" s="604" t="n">
        <x:v>46302.19288847222</x:v>
      </x:c>
      <x:c r="AX1263" s="604" t="inlineStr">
        <x:is>
          <x:t xml:space="preserve">https://simondongxiao.github.io/odds/v4/</x:t>
        </x:is>
      </x:c>
      <x:c r="AY1263" s="604" t="inlineStr">
        <x:is>
          <x:t xml:space="preserve">V4 Shadow Only；real_money=false；P(EV&gt;0)不是比赛胜率</x:t>
        </x:is>
      </x:c>
    </x:row>
    <x:row r="1264" ht="22" customHeight="1">
      <x:c r="A1264" s="604" t="inlineStr">
        <x:is>
          <x:t xml:space="preserve">2026-10-07</x:t>
        </x:is>
      </x:c>
      <x:c r="B1264" s="604" t="inlineStr">
        <x:is>
          <x:t xml:space="preserve">2026-10-07 21:00</x:t>
        </x:is>
      </x:c>
      <x:c r="C1264" s="604" t="str">
        <x:v>其他系列</x:v>
      </x:c>
      <x:c r="D1264" s="604" t="inlineStr">
        <x:is>
          <x:t xml:space="preserve">联赛</x:t>
        </x:is>
      </x:c>
      <x:c r="E1264" s="604" t="inlineStr">
        <x:is>
          <x:t xml:space="preserve">乌干超</x:t>
        </x:is>
      </x:c>
      <x:c r="F1264" s="604" t="inlineStr">
        <x:is>
          <x:t xml:space="preserve">恩图加萨泽FC vs 姆巴拉拉市</x:t>
        </x:is>
      </x:c>
      <x:c r="G1264" s="604" t="n">
        <x:v>1.03</x:v>
      </x:c>
      <x:c r="H1264" s="604" t="n">
        <x:v>-0.5</x:v>
      </x:c>
      <x:c r="I1264" s="604" t="n">
        <x:v>0.78</x:v>
      </x:c>
      <x:c r="J1264" s="604" t="inlineStr">
        <x:is>
          <x:t xml:space="preserve">1.03/-0.5/0.78</x:t>
        </x:is>
      </x:c>
      <x:c r="K1264" s="604" t="inlineStr">
        <x:is>
          <x:t xml:space="preserve">V4-A｜EV +0.7454</x:t>
        </x:is>
      </x:c>
      <x:c r="L1264" s="604" t="inlineStr">
        <x:is>
          <x:t xml:space="preserve">恩图加萨泽FC</x:t>
        </x:is>
      </x:c>
      <x:c r="M1264" s="604" t="n">
        <x:v>0.8597959369154047</x:v>
      </x:c>
      <x:c r="N1264" s="604" t="inlineStr">
        <x:is>
          <x:t xml:space="preserve">V4纸面入选-A</x:t>
        </x:is>
      </x:c>
      <x:c r="O1264" s="604" t="inlineStr">
        <x:is>
          <x:t xml:space="preserve">1-0</x:t>
        </x:is>
      </x:c>
      <x:c r="P1264" s="604" t="inlineStr">
        <x:is>
          <x:t xml:space="preserve">已结算</x:t>
        </x:is>
      </x:c>
      <x:c r="Q1264" s="645" t="inlineStr">
        <x:is>
          <x:t xml:space="preserve">红</x:t>
        </x:is>
      </x:c>
      <x:c r="R1264" s="604" t="n">
        <x:v>1.03</x:v>
      </x:c>
      <x:c r="S1264" s="604" t="n">
        <x:v>1.03</x:v>
      </x:c>
      <x:c r="T1264" s="604" t="inlineStr">
        <x:is>
          <x:t xml:space="preserve">https://m.titan007.com/analy/Analysis/3074485.htm</x:t>
        </x:is>
      </x:c>
      <x:c r="U1264" s="646" t="str">
        <x:f>IF(Q1264="","",IF(Q1264="待结算","待结算",IF(Q1264="红","黑",IF(Q1264="半红","半黑",IF(Q1264="走","走",IF(Q1264="半黑","半红","红"))))))</x:f>
        <x:v>黑</x:v>
      </x:c>
      <x:c r="V1264" s="604" t="n">
        <x:f>IF(OR(Q1264="",Q1264="待结算"),"",IF(L1264=LEFT(F1264,FIND(" vs ",F1264)-1),I1264,G1264))</x:f>
        <x:v>0.78</x:v>
      </x:c>
      <x:c r="W1264" s="604" t="n">
        <x:f>IF(OR(U1264="",U1264="待结算"),"",IF(U1264="红",V1264,IF(U1264="半红",V1264*0.5,IF(U1264="走",0,IF(U1264="半黑",-0.5,-1)))))</x:f>
        <x:v>-1</x:v>
      </x:c>
      <x:c r="X1264" s="604" t="inlineStr">
        <x:is>
          <x:t xml:space="preserve">3074485</x:t>
        </x:is>
      </x:c>
      <x:c r="Y1264" s="604" t="inlineStr">
        <x:is>
          <x:t xml:space="preserve">V4</x:t>
        </x:is>
      </x:c>
      <x:c r="Z1264" s="604" t="inlineStr">
        <x:is>
          <x:t xml:space="preserve">prior-2026-10-07-v1</x:t>
        </x:is>
      </x:c>
      <x:c r="AA1264" s="604" t="inlineStr">
        <x:is>
          <x:t xml:space="preserve">A</x:t>
        </x:is>
      </x:c>
      <x:c r="AB1264" s="604" t="n">
        <x:v>0.8597959369154047</x:v>
      </x:c>
      <x:c r="AC1264" s="604" t="n"/>
      <x:c r="AD1264" s="604" t="n"/>
      <x:c r="AE1264" s="604" t="n"/>
      <x:c r="AF1264" s="604" t="n">
        <x:v>0.1402040630845954</x:v>
      </x:c>
      <x:c r="AG1264" s="604" t="n">
        <x:v>0.7453857519382714</x:v>
      </x:c>
      <x:c r="AH1264" s="604" t="n"/>
      <x:c r="AI1264" s="604" t="n"/>
      <x:c r="AJ1264" s="604" t="n">
        <x:v>0.7453857519382714</x:v>
      </x:c>
      <x:c r="AK1264" s="604" t="n"/>
      <x:c r="AL1264" s="604" t="n"/>
      <x:c r="AM1264" s="604" t="n"/>
      <x:c r="AN1264" s="604" t="inlineStr">
        <x:is>
          <x:t xml:space="preserve">EVALUATED</x:t>
        </x:is>
      </x:c>
      <x:c r="AO1264" s="604" t="inlineStr">
        <x:is>
          <x:t xml:space="preserve">RECEIVING_VALIDATED_EDGE、BUCKET_PRIOR_ONLY、INTENT_INTERPRETATION_ONLY、FFL_OPTIONAL、EXPERT_MARKET</x:t>
        </x:is>
      </x:c>
      <x:c r="AP1264" s="604" t="inlineStr">
        <x:is>
          <x:t xml:space="preserve">8f958f6a93c89153f7ba</x:t>
        </x:is>
      </x:c>
      <x:c r="AQ1264" s="604" t="n">
        <x:v>0.5</x:v>
      </x:c>
      <x:c r="AR1264" s="604" t="n">
        <x:v>1.03</x:v>
      </x:c>
      <x:c r="AS1264" s="604" t="n">
        <x:v>-0.5</x:v>
      </x:c>
      <x:c r="AT1264" s="604" t="n">
        <x:v>0.5</x:v>
      </x:c>
      <x:c r="AU1264" s="604" t="n">
        <x:v>1.03</x:v>
      </x:c>
      <x:c r="AV1264" s="604" t="n">
        <x:v>0.78</x:v>
      </x:c>
      <x:c r="AW1264" s="604" t="n">
        <x:v>46302.19288847222</x:v>
      </x:c>
      <x:c r="AX1264" s="604" t="inlineStr">
        <x:is>
          <x:t xml:space="preserve">https://simondongxiao.github.io/odds/v4/</x:t>
        </x:is>
      </x:c>
      <x:c r="AY1264" s="604" t="inlineStr">
        <x:is>
          <x:t xml:space="preserve">V4 Shadow Only；real_money=false；P(EV&gt;0)不是比赛胜率</x:t>
        </x:is>
      </x:c>
    </x:row>
    <x:row r="1265" ht="22" customHeight="1">
      <x:c r="A1265" s="604" t="inlineStr">
        <x:is>
          <x:t xml:space="preserve">2026-10-07</x:t>
        </x:is>
      </x:c>
      <x:c r="B1265" s="604" t="inlineStr">
        <x:is>
          <x:t xml:space="preserve">2026-10-07 21:00</x:t>
        </x:is>
      </x:c>
      <x:c r="C1265" s="604" t="str">
        <x:v>其他系列</x:v>
      </x:c>
      <x:c r="D1265" s="604" t="inlineStr">
        <x:is>
          <x:t xml:space="preserve">联赛</x:t>
        </x:is>
      </x:c>
      <x:c r="E1265" s="604" t="inlineStr">
        <x:is>
          <x:t xml:space="preserve">乌干超</x:t>
        </x:is>
      </x:c>
      <x:c r="F1265" s="604" t="inlineStr">
        <x:is>
          <x:t xml:space="preserve">卡塔卡足球俱乐部 vs 维拉竞技</x:t>
        </x:is>
      </x:c>
      <x:c r="G1265" s="604" t="n">
        <x:v>1</x:v>
      </x:c>
      <x:c r="H1265" s="604" t="n">
        <x:v>-1</x:v>
      </x:c>
      <x:c r="I1265" s="604" t="n">
        <x:v>0.8</x:v>
      </x:c>
      <x:c r="J1265" s="604" t="inlineStr">
        <x:is>
          <x:t xml:space="preserve">1/-1/0.8</x:t>
        </x:is>
      </x:c>
      <x:c r="K1265" s="604" t="inlineStr">
        <x:is>
          <x:t xml:space="preserve">V4-A｜EV +0.9541</x:t>
        </x:is>
      </x:c>
      <x:c r="L1265" s="604" t="inlineStr">
        <x:is>
          <x:t xml:space="preserve">卡塔卡足球俱乐部</x:t>
        </x:is>
      </x:c>
      <x:c r="M1265" s="604" t="n">
        <x:v>0.994087616210245</x:v>
      </x:c>
      <x:c r="N1265" s="604" t="inlineStr">
        <x:is>
          <x:t xml:space="preserve">V4纸面入选-A</x:t>
        </x:is>
      </x:c>
      <x:c r="O1265" s="604" t="inlineStr">
        <x:is>
          <x:t xml:space="preserve">1-1</x:t>
        </x:is>
      </x:c>
      <x:c r="P1265" s="604" t="inlineStr">
        <x:is>
          <x:t xml:space="preserve">已结算</x:t>
        </x:is>
      </x:c>
      <x:c r="Q1265" s="645" t="inlineStr">
        <x:is>
          <x:t xml:space="preserve">红</x:t>
        </x:is>
      </x:c>
      <x:c r="R1265" s="604" t="n">
        <x:v>1</x:v>
      </x:c>
      <x:c r="S1265" s="604" t="n">
        <x:v>1</x:v>
      </x:c>
      <x:c r="T1265" s="604" t="inlineStr">
        <x:is>
          <x:t xml:space="preserve">https://m.titan007.com/analy/Analysis/3074486.htm</x:t>
        </x:is>
      </x:c>
      <x:c r="U1265" s="646" t="str">
        <x:f>IF(Q1265="","",IF(Q1265="待结算","待结算",IF(Q1265="红","黑",IF(Q1265="半红","半黑",IF(Q1265="走","走",IF(Q1265="半黑","半红","红"))))))</x:f>
        <x:v>黑</x:v>
      </x:c>
      <x:c r="V1265" s="604" t="n">
        <x:f>IF(OR(Q1265="",Q1265="待结算"),"",IF(L1265=LEFT(F1265,FIND(" vs ",F1265)-1),I1265,G1265))</x:f>
        <x:v>0.8</x:v>
      </x:c>
      <x:c r="W1265" s="604" t="n">
        <x:f>IF(OR(U1265="",U1265="待结算"),"",IF(U1265="红",V1265,IF(U1265="半红",V1265*0.5,IF(U1265="走",0,IF(U1265="半黑",-0.5,-1)))))</x:f>
        <x:v>-1</x:v>
      </x:c>
      <x:c r="X1265" s="604" t="inlineStr">
        <x:is>
          <x:t xml:space="preserve">3074486</x:t>
        </x:is>
      </x:c>
      <x:c r="Y1265" s="604" t="inlineStr">
        <x:is>
          <x:t xml:space="preserve">V4</x:t>
        </x:is>
      </x:c>
      <x:c r="Z1265" s="604" t="inlineStr">
        <x:is>
          <x:t xml:space="preserve">prior-2026-10-07-v1</x:t>
        </x:is>
      </x:c>
      <x:c r="AA1265" s="604" t="inlineStr">
        <x:is>
          <x:t xml:space="preserve">A</x:t>
        </x:is>
      </x:c>
      <x:c r="AB1265" s="604" t="n">
        <x:v>0.9598407950183883</x:v>
      </x:c>
      <x:c r="AC1265" s="604" t="n"/>
      <x:c r="AD1265" s="604" t="n">
        <x:v>0.03445050580392075</x:v>
      </x:c>
      <x:c r="AE1265" s="604" t="n"/>
      <x:c r="AF1265" s="604" t="n">
        <x:v>0.005708699177690985</x:v>
      </x:c>
      <x:c r="AG1265" s="604" t="n">
        <x:v>0.9541320958406972</x:v>
      </x:c>
      <x:c r="AH1265" s="604" t="n"/>
      <x:c r="AI1265" s="604" t="n"/>
      <x:c r="AJ1265" s="604" t="n">
        <x:v>0.9541320958406972</x:v>
      </x:c>
      <x:c r="AK1265" s="604" t="n"/>
      <x:c r="AL1265" s="604" t="n"/>
      <x:c r="AM1265" s="604" t="n"/>
      <x:c r="AN1265" s="604" t="inlineStr">
        <x:is>
          <x:t xml:space="preserve">EVALUATED</x:t>
        </x:is>
      </x:c>
      <x:c r="AO1265" s="604" t="inlineStr">
        <x:is>
          <x:t xml:space="preserve">RECEIVING_VALIDATED_EDGE、BUCKET_PRIOR_ONLY、INTENT_INTERPRETATION_ONLY、FFL_OPTIONAL、EXPERT_MARKET</x:t>
        </x:is>
      </x:c>
      <x:c r="AP1265" s="604" t="inlineStr">
        <x:is>
          <x:t xml:space="preserve">f21a238fac192e134937</x:t>
        </x:is>
      </x:c>
      <x:c r="AQ1265" s="604" t="n">
        <x:v>1</x:v>
      </x:c>
      <x:c r="AR1265" s="604" t="n">
        <x:v>1</x:v>
      </x:c>
      <x:c r="AS1265" s="604" t="n">
        <x:v>-1</x:v>
      </x:c>
      <x:c r="AT1265" s="604" t="n">
        <x:v>1</x:v>
      </x:c>
      <x:c r="AU1265" s="604" t="n">
        <x:v>1</x:v>
      </x:c>
      <x:c r="AV1265" s="604" t="n">
        <x:v>0.8</x:v>
      </x:c>
      <x:c r="AW1265" s="604" t="n">
        <x:v>46302.19288847222</x:v>
      </x:c>
      <x:c r="AX1265" s="604" t="inlineStr">
        <x:is>
          <x:t xml:space="preserve">https://simondongxiao.github.io/odds/v4/</x:t>
        </x:is>
      </x:c>
      <x:c r="AY1265" s="604" t="inlineStr">
        <x:is>
          <x:t xml:space="preserve">V4 Shadow Only；real_money=false；P(EV&gt;0)不是比赛胜率</x:t>
        </x:is>
      </x:c>
    </x:row>
    <x:row r="1266" ht="22" customHeight="1">
      <x:c r="A1266" s="604" t="inlineStr">
        <x:is>
          <x:t xml:space="preserve">2026-10-07</x:t>
        </x:is>
      </x:c>
      <x:c r="B1266" s="604" t="inlineStr">
        <x:is>
          <x:t xml:space="preserve">2026-10-07 21:00</x:t>
        </x:is>
      </x:c>
      <x:c r="C1266" s="604" t="str">
        <x:v>其他系列</x:v>
      </x:c>
      <x:c r="D1266" s="604" t="inlineStr">
        <x:is>
          <x:t xml:space="preserve">联赛</x:t>
        </x:is>
      </x:c>
      <x:c r="E1266" s="604" t="inlineStr">
        <x:is>
          <x:t xml:space="preserve">乌干超</x:t>
        </x:is>
      </x:c>
      <x:c r="F1266" s="604" t="inlineStr">
        <x:is>
          <x:t xml:space="preserve">马鲁 vs 卢加兹市足球俱乐部</x:t>
        </x:is>
      </x:c>
      <x:c r="G1266" s="604" t="n">
        <x:v>0.98</x:v>
      </x:c>
      <x:c r="H1266" s="604" t="n">
        <x:v>0.5</x:v>
      </x:c>
      <x:c r="I1266" s="604" t="n">
        <x:v>0.83</x:v>
      </x:c>
      <x:c r="J1266" s="604" t="inlineStr">
        <x:is>
          <x:t xml:space="preserve">0.98/0.5/0.83</x:t>
        </x:is>
      </x:c>
      <x:c r="K1266" s="604" t="inlineStr">
        <x:is>
          <x:t xml:space="preserve">V4-A｜EV +0.1252</x:t>
        </x:is>
      </x:c>
      <x:c r="L1266" s="604" t="inlineStr">
        <x:is>
          <x:t xml:space="preserve">马鲁</x:t>
        </x:is>
      </x:c>
      <x:c r="M1266" s="604" t="n">
        <x:v>0.5683022223796982</x:v>
      </x:c>
      <x:c r="N1266" s="604" t="inlineStr">
        <x:is>
          <x:t xml:space="preserve">V4纸面入选-A</x:t>
        </x:is>
      </x:c>
      <x:c r="O1266" s="604" t="inlineStr">
        <x:is>
          <x:t xml:space="preserve">3-0</x:t>
        </x:is>
      </x:c>
      <x:c r="P1266" s="604" t="inlineStr">
        <x:is>
          <x:t xml:space="preserve">已结算</x:t>
        </x:is>
      </x:c>
      <x:c r="Q1266" s="645" t="inlineStr">
        <x:is>
          <x:t xml:space="preserve">红</x:t>
        </x:is>
      </x:c>
      <x:c r="R1266" s="604" t="n">
        <x:v>0.98</x:v>
      </x:c>
      <x:c r="S1266" s="604" t="n">
        <x:v>0.98</x:v>
      </x:c>
      <x:c r="T1266" s="604" t="inlineStr">
        <x:is>
          <x:t xml:space="preserve">https://m.titan007.com/analy/Analysis/3074487.htm</x:t>
        </x:is>
      </x:c>
      <x:c r="U1266" s="646" t="str">
        <x:f>IF(Q1266="","",IF(Q1266="待结算","待结算",IF(Q1266="红","黑",IF(Q1266="半红","半黑",IF(Q1266="走","走",IF(Q1266="半黑","半红","红"))))))</x:f>
        <x:v>黑</x:v>
      </x:c>
      <x:c r="V1266" s="604" t="n">
        <x:f>IF(OR(Q1266="",Q1266="待结算"),"",IF(L1266=LEFT(F1266,FIND(" vs ",F1266)-1),I1266,G1266))</x:f>
        <x:v>0.83</x:v>
      </x:c>
      <x:c r="W1266" s="604" t="n">
        <x:f>IF(OR(U1266="",U1266="待结算"),"",IF(U1266="红",V1266,IF(U1266="半红",V1266*0.5,IF(U1266="走",0,IF(U1266="半黑",-0.5,-1)))))</x:f>
        <x:v>-1</x:v>
      </x:c>
      <x:c r="X1266" s="604" t="inlineStr">
        <x:is>
          <x:t xml:space="preserve">3074487</x:t>
        </x:is>
      </x:c>
      <x:c r="Y1266" s="604" t="inlineStr">
        <x:is>
          <x:t xml:space="preserve">V4</x:t>
        </x:is>
      </x:c>
      <x:c r="Z1266" s="604" t="inlineStr">
        <x:is>
          <x:t xml:space="preserve">prior-2026-10-07-v1</x:t>
        </x:is>
      </x:c>
      <x:c r="AA1266" s="604" t="inlineStr">
        <x:is>
          <x:t xml:space="preserve">A</x:t>
        </x:is>
      </x:c>
      <x:c r="AB1266" s="604" t="n">
        <x:v>0.5683022223796982</x:v>
      </x:c>
      <x:c r="AC1266" s="604" t="n"/>
      <x:c r="AD1266" s="604" t="n"/>
      <x:c r="AE1266" s="604" t="n"/>
      <x:c r="AF1266" s="604" t="n">
        <x:v>0.4316977776203019</x:v>
      </x:c>
      <x:c r="AG1266" s="604" t="n">
        <x:v>0.1252384003118024</x:v>
      </x:c>
      <x:c r="AH1266" s="604" t="n"/>
      <x:c r="AI1266" s="604" t="n"/>
      <x:c r="AJ1266" s="604" t="n">
        <x:v>0.1252384003118024</x:v>
      </x:c>
      <x:c r="AK1266" s="604" t="n"/>
      <x:c r="AL1266" s="604" t="n"/>
      <x:c r="AM1266" s="604" t="n"/>
      <x:c r="AN1266" s="604" t="inlineStr">
        <x:is>
          <x:t xml:space="preserve">EVALUATED</x:t>
        </x:is>
      </x:c>
      <x:c r="AO1266" s="604" t="inlineStr">
        <x:is>
          <x:t xml:space="preserve">GIVING_VALIDATED_EDGE、BUCKET_PRIOR_ONLY、INTENT_INTERPRETATION_ONLY、FFL_OPTIONAL、EXPERT_MARKET</x:t>
        </x:is>
      </x:c>
      <x:c r="AP1266" s="604" t="inlineStr">
        <x:is>
          <x:t xml:space="preserve">09330133f76b54bed2bd</x:t>
        </x:is>
      </x:c>
      <x:c r="AQ1266" s="604" t="n">
        <x:v>-0.5</x:v>
      </x:c>
      <x:c r="AR1266" s="604" t="n">
        <x:v>0.98</x:v>
      </x:c>
      <x:c r="AS1266" s="604" t="n">
        <x:v>0.5</x:v>
      </x:c>
      <x:c r="AT1266" s="604" t="n">
        <x:v>-0.5</x:v>
      </x:c>
      <x:c r="AU1266" s="604" t="n">
        <x:v>0.98</x:v>
      </x:c>
      <x:c r="AV1266" s="604" t="n">
        <x:v>0.83</x:v>
      </x:c>
      <x:c r="AW1266" s="604" t="n">
        <x:v>46302.19288847222</x:v>
      </x:c>
      <x:c r="AX1266" s="604" t="inlineStr">
        <x:is>
          <x:t xml:space="preserve">https://simondongxiao.github.io/odds/v4/</x:t>
        </x:is>
      </x:c>
      <x:c r="AY1266" s="604" t="inlineStr">
        <x:is>
          <x:t xml:space="preserve">V4 Shadow Only；real_money=false；P(EV&gt;0)不是比赛胜率</x:t>
        </x:is>
      </x:c>
    </x:row>
    <x:row r="1267" ht="22" customHeight="1">
      <x:c r="A1267" s="604" t="inlineStr">
        <x:is>
          <x:t xml:space="preserve">2026-10-07</x:t>
        </x:is>
      </x:c>
      <x:c r="B1267" s="604" t="inlineStr">
        <x:is>
          <x:t xml:space="preserve">2026-10-07 21:00</x:t>
        </x:is>
      </x:c>
      <x:c r="C1267" s="604" t="str">
        <x:v>其他系列</x:v>
      </x:c>
      <x:c r="D1267" s="604" t="inlineStr">
        <x:is>
          <x:t xml:space="preserve">联赛</x:t>
        </x:is>
      </x:c>
      <x:c r="E1267" s="604" t="inlineStr">
        <x:is>
          <x:t xml:space="preserve">乌干超</x:t>
        </x:is>
      </x:c>
      <x:c r="F1267" s="604" t="inlineStr">
        <x:is>
          <x:t xml:space="preserve">基塔拉体育 vs 基格齐男孩俱乐部</x:t>
        </x:is>
      </x:c>
      <x:c r="G1267" s="604" t="n">
        <x:v>1.05</x:v>
      </x:c>
      <x:c r="H1267" s="604" t="n">
        <x:v>1.25</x:v>
      </x:c>
      <x:c r="I1267" s="604" t="n">
        <x:v>0.75</x:v>
      </x:c>
      <x:c r="J1267" s="604" t="inlineStr">
        <x:is>
          <x:t xml:space="preserve">1.05/1.25/0.75</x:t>
        </x:is>
      </x:c>
      <x:c r="K1267" s="604" t="inlineStr">
        <x:is>
          <x:t xml:space="preserve">V4-A｜EV +0.2824</x:t>
        </x:is>
      </x:c>
      <x:c r="L1267" s="604" t="inlineStr">
        <x:is>
          <x:t xml:space="preserve">基塔拉体育</x:t>
        </x:is>
      </x:c>
      <x:c r="M1267" s="604" t="n">
        <x:v>0.6445054455312422</x:v>
      </x:c>
      <x:c r="N1267" s="604" t="inlineStr">
        <x:is>
          <x:t xml:space="preserve">V4纸面入选-A</x:t>
        </x:is>
      </x:c>
      <x:c r="O1267" s="604" t="inlineStr">
        <x:is>
          <x:t xml:space="preserve">1-0</x:t>
        </x:is>
      </x:c>
      <x:c r="P1267" s="604" t="inlineStr">
        <x:is>
          <x:t xml:space="preserve">已结算</x:t>
        </x:is>
      </x:c>
      <x:c r="Q1267" s="648" t="inlineStr">
        <x:is>
          <x:t xml:space="preserve">半黑</x:t>
        </x:is>
      </x:c>
      <x:c r="R1267" s="604" t="n">
        <x:v>1.05</x:v>
      </x:c>
      <x:c r="S1267" s="604" t="n">
        <x:v>-0.5</x:v>
      </x:c>
      <x:c r="T1267" s="604" t="inlineStr">
        <x:is>
          <x:t xml:space="preserve">https://m.titan007.com/analy/Analysis/3074489.htm</x:t>
        </x:is>
      </x:c>
      <x:c r="U1267" s="649" t="str">
        <x:f>IF(Q1267="","",IF(Q1267="待结算","待结算",IF(Q1267="红","黑",IF(Q1267="半红","半黑",IF(Q1267="走","走",IF(Q1267="半黑","半红","红"))))))</x:f>
        <x:v>半红</x:v>
      </x:c>
      <x:c r="V1267" s="604" t="n">
        <x:f>IF(OR(Q1267="",Q1267="待结算"),"",IF(L1267=LEFT(F1267,FIND(" vs ",F1267)-1),I1267,G1267))</x:f>
        <x:v>0.75</x:v>
      </x:c>
      <x:c r="W1267" s="604" t="n">
        <x:f>IF(OR(U1267="",U1267="待结算"),"",IF(U1267="红",V1267,IF(U1267="半红",V1267*0.5,IF(U1267="走",0,IF(U1267="半黑",-0.5,-1)))))</x:f>
        <x:v>0.375</x:v>
      </x:c>
      <x:c r="X1267" s="604" t="inlineStr">
        <x:is>
          <x:t xml:space="preserve">3074489</x:t>
        </x:is>
      </x:c>
      <x:c r="Y1267" s="604" t="inlineStr">
        <x:is>
          <x:t xml:space="preserve">V4</x:t>
        </x:is>
      </x:c>
      <x:c r="Z1267" s="604" t="inlineStr">
        <x:is>
          <x:t xml:space="preserve">prior-2026-10-07-v1</x:t>
        </x:is>
      </x:c>
      <x:c r="AA1267" s="604" t="inlineStr">
        <x:is>
          <x:t xml:space="preserve">A</x:t>
        </x:is>
      </x:c>
      <x:c r="AB1267" s="604" t="n">
        <x:v>0.5666494077505234</x:v>
      </x:c>
      <x:c r="AC1267" s="604" t="n"/>
      <x:c r="AD1267" s="604" t="n"/>
      <x:c r="AE1267" s="604" t="n">
        <x:v>0.2415993171835652</x:v>
      </x:c>
      <x:c r="AF1267" s="604" t="n">
        <x:v>0.1917512750659113</x:v>
      </x:c>
      <x:c r="AG1267" s="604" t="n">
        <x:v>0.2824309444803557</x:v>
      </x:c>
      <x:c r="AH1267" s="604" t="n"/>
      <x:c r="AI1267" s="604" t="n"/>
      <x:c r="AJ1267" s="604" t="n">
        <x:v>0.2824309444803557</x:v>
      </x:c>
      <x:c r="AK1267" s="604" t="n"/>
      <x:c r="AL1267" s="604" t="n"/>
      <x:c r="AM1267" s="604" t="n"/>
      <x:c r="AN1267" s="604" t="inlineStr">
        <x:is>
          <x:t xml:space="preserve">EVALUATED</x:t>
        </x:is>
      </x:c>
      <x:c r="AO1267" s="604" t="inlineStr">
        <x:is>
          <x:t xml:space="preserve">GIVING_VALIDATED_EDGE、BUCKET_PRIOR_ONLY、INTENT_INTERPRETATION_ONLY、FFL_OPTIONAL、EXPERT_MARKET</x:t>
        </x:is>
      </x:c>
      <x:c r="AP1267" s="604" t="inlineStr">
        <x:is>
          <x:t xml:space="preserve">30eaee3edb51ebd117d8</x:t>
        </x:is>
      </x:c>
      <x:c r="AQ1267" s="604" t="n">
        <x:v>-1.25</x:v>
      </x:c>
      <x:c r="AR1267" s="604" t="n">
        <x:v>1.05</x:v>
      </x:c>
      <x:c r="AS1267" s="604" t="n">
        <x:v>1.25</x:v>
      </x:c>
      <x:c r="AT1267" s="604" t="n">
        <x:v>-1.25</x:v>
      </x:c>
      <x:c r="AU1267" s="604" t="n">
        <x:v>1.05</x:v>
      </x:c>
      <x:c r="AV1267" s="604" t="n">
        <x:v>0.75</x:v>
      </x:c>
      <x:c r="AW1267" s="604" t="n">
        <x:v>46302.19288847222</x:v>
      </x:c>
      <x:c r="AX1267" s="604" t="inlineStr">
        <x:is>
          <x:t xml:space="preserve">https://simondongxiao.github.io/odds/v4/</x:t>
        </x:is>
      </x:c>
      <x:c r="AY1267" s="604" t="inlineStr">
        <x:is>
          <x:t xml:space="preserve">V4 Shadow Only；real_money=false；P(EV&gt;0)不是比赛胜率</x:t>
        </x:is>
      </x:c>
    </x:row>
    <x:row r="1268" ht="22" customHeight="1">
      <x:c r="A1268" s="604" t="inlineStr">
        <x:is>
          <x:t xml:space="preserve">2026-10-07</x:t>
        </x:is>
      </x:c>
      <x:c r="B1268" s="604" t="inlineStr">
        <x:is>
          <x:t xml:space="preserve">2026-10-07 21:00</x:t>
        </x:is>
      </x:c>
      <x:c r="C1268" s="604" t="str">
        <x:v>其他系列</x:v>
      </x:c>
      <x:c r="D1268" s="604" t="inlineStr">
        <x:is>
          <x:t xml:space="preserve">联赛</x:t>
        </x:is>
      </x:c>
      <x:c r="E1268" s="604" t="inlineStr">
        <x:is>
          <x:t xml:space="preserve">东盟锦标</x:t>
        </x:is>
      </x:c>
      <x:c r="F1268" s="604" t="inlineStr">
        <x:is>
          <x:t xml:space="preserve">古晋足协 vs 淡滨尼流浪者</x:t>
        </x:is>
      </x:c>
      <x:c r="G1268" s="604" t="n">
        <x:v>1.03</x:v>
      </x:c>
      <x:c r="H1268" s="604" t="n">
        <x:v>1</x:v>
      </x:c>
      <x:c r="I1268" s="604" t="n">
        <x:v>0.78</x:v>
      </x:c>
      <x:c r="J1268" s="604" t="inlineStr">
        <x:is>
          <x:t xml:space="preserve">1.03/1/0.78</x:t>
        </x:is>
      </x:c>
      <x:c r="K1268" s="604" t="inlineStr">
        <x:is>
          <x:t xml:space="preserve">V4-C｜EV +0.0692</x:t>
        </x:is>
      </x:c>
      <x:c r="L1268" s="604" t="inlineStr">
        <x:is>
          <x:t xml:space="preserve">古晋足协</x:t>
        </x:is>
      </x:c>
      <x:c r="M1268" s="604" t="n">
        <x:v>0.5384625157377356</x:v>
      </x:c>
      <x:c r="N1268" s="604" t="inlineStr">
        <x:is>
          <x:t xml:space="preserve">V4纸面入选-C</x:t>
        </x:is>
      </x:c>
      <x:c r="O1268" s="604" t="inlineStr">
        <x:is>
          <x:t xml:space="preserve">2-2</x:t>
        </x:is>
      </x:c>
      <x:c r="P1268" s="604" t="inlineStr">
        <x:is>
          <x:t xml:space="preserve">已结算</x:t>
        </x:is>
      </x:c>
      <x:c r="Q1268" s="646" t="inlineStr">
        <x:is>
          <x:t xml:space="preserve">黑</x:t>
        </x:is>
      </x:c>
      <x:c r="R1268" s="604" t="n">
        <x:v>1.03</x:v>
      </x:c>
      <x:c r="S1268" s="604" t="n">
        <x:v>-1</x:v>
      </x:c>
      <x:c r="T1268" s="604" t="inlineStr">
        <x:is>
          <x:t xml:space="preserve">https://m.titan007.com/analy/Analysis/3006565.htm</x:t>
        </x:is>
      </x:c>
      <x:c r="U1268" s="645" t="str">
        <x:f>IF(Q1268="","",IF(Q1268="待结算","待结算",IF(Q1268="红","黑",IF(Q1268="半红","半黑",IF(Q1268="走","走",IF(Q1268="半黑","半红","红"))))))</x:f>
        <x:v>红</x:v>
      </x:c>
      <x:c r="V1268" s="604" t="n">
        <x:f>IF(OR(Q1268="",Q1268="待结算"),"",IF(L1268=LEFT(F1268,FIND(" vs ",F1268)-1),I1268,G1268))</x:f>
        <x:v>0.78</x:v>
      </x:c>
      <x:c r="W1268" s="604" t="n">
        <x:f>IF(OR(U1268="",U1268="待结算"),"",IF(U1268="红",V1268,IF(U1268="半红",V1268*0.5,IF(U1268="走",0,IF(U1268="半黑",-0.5,-1)))))</x:f>
        <x:v>0.78</x:v>
      </x:c>
      <x:c r="X1268" s="604" t="inlineStr">
        <x:is>
          <x:t xml:space="preserve">3006565</x:t>
        </x:is>
      </x:c>
      <x:c r="Y1268" s="604" t="inlineStr">
        <x:is>
          <x:t xml:space="preserve">V4</x:t>
        </x:is>
      </x:c>
      <x:c r="Z1268" s="604" t="inlineStr">
        <x:is>
          <x:t xml:space="preserve">prior-2026-10-07-v1</x:t>
        </x:is>
      </x:c>
      <x:c r="AA1268" s="604" t="inlineStr">
        <x:is>
          <x:t xml:space="preserve">C</x:t>
        </x:is>
      </x:c>
      <x:c r="AB1268" s="604" t="n">
        <x:v>0.4004191200307783</x:v>
      </x:c>
      <x:c r="AC1268" s="604" t="n"/>
      <x:c r="AD1268" s="604" t="n">
        <x:v>0.2563658410239144</x:v>
      </x:c>
      <x:c r="AE1268" s="604" t="n"/>
      <x:c r="AF1268" s="604" t="n">
        <x:v>0.3432150389453074</x:v>
      </x:c>
      <x:c r="AG1268" s="604" t="n">
        <x:v>0.06921665468639426</x:v>
      </x:c>
      <x:c r="AH1268" s="604" t="n"/>
      <x:c r="AI1268" s="604" t="n"/>
      <x:c r="AJ1268" s="604" t="n">
        <x:v>0.06921665468639426</x:v>
      </x:c>
      <x:c r="AK1268" s="604" t="n"/>
      <x:c r="AL1268" s="604" t="n"/>
      <x:c r="AM1268" s="604" t="n"/>
      <x:c r="AN1268" s="604" t="inlineStr">
        <x:is>
          <x:t xml:space="preserve">EVALUATED</x:t>
        </x:is>
      </x:c>
      <x:c r="AO1268" s="604" t="inlineStr">
        <x:is>
          <x:t xml:space="preserve">GIVING_VALIDATED_EDGE、BUCKET_PRIOR_ONLY、INTENT_INTERPRETATION_ONLY、FFL_OPTIONAL、EXPERT_MARKET</x:t>
        </x:is>
      </x:c>
      <x:c r="AP1268" s="604" t="inlineStr">
        <x:is>
          <x:t xml:space="preserve">56c314764fec9892c544</x:t>
        </x:is>
      </x:c>
      <x:c r="AQ1268" s="604" t="n">
        <x:v>-1</x:v>
      </x:c>
      <x:c r="AR1268" s="604" t="n">
        <x:v>1.03</x:v>
      </x:c>
      <x:c r="AS1268" s="604" t="n">
        <x:v>1</x:v>
      </x:c>
      <x:c r="AT1268" s="604" t="n">
        <x:v>-1</x:v>
      </x:c>
      <x:c r="AU1268" s="604" t="n">
        <x:v>1.03</x:v>
      </x:c>
      <x:c r="AV1268" s="604" t="n">
        <x:v>0.78</x:v>
      </x:c>
      <x:c r="AW1268" s="604" t="n">
        <x:v>46302.19288847222</x:v>
      </x:c>
      <x:c r="AX1268" s="604" t="inlineStr">
        <x:is>
          <x:t xml:space="preserve">https://simondongxiao.github.io/odds/v4/</x:t>
        </x:is>
      </x:c>
      <x:c r="AY1268" s="604" t="inlineStr">
        <x:is>
          <x:t xml:space="preserve">V4 Shadow Only；real_money=false；P(EV&gt;0)不是比赛胜率</x:t>
        </x:is>
      </x:c>
    </x:row>
    <x:row r="1269" ht="22" customHeight="1">
      <x:c r="A1269" s="604" t="inlineStr">
        <x:is>
          <x:t xml:space="preserve">2026-10-07</x:t>
        </x:is>
      </x:c>
      <x:c r="B1269" s="604" t="inlineStr">
        <x:is>
          <x:t xml:space="preserve">2026-10-07 22:00</x:t>
        </x:is>
      </x:c>
      <x:c r="C1269" s="604" t="str">
        <x:v>其他系列</x:v>
      </x:c>
      <x:c r="D1269" s="604" t="inlineStr">
        <x:is>
          <x:t xml:space="preserve">杯赛</x:t>
        </x:is>
      </x:c>
      <x:c r="E1269" s="604" t="inlineStr">
        <x:is>
          <x:t xml:space="preserve">埃及联杯</x:t>
        </x:is>
      </x:c>
      <x:c r="F1269" s="604" t="inlineStr">
        <x:is>
          <x:t xml:space="preserve">金字塔 vs 奥林比亚艾卡纳</x:t>
        </x:is>
      </x:c>
      <x:c r="G1269" s="604" t="n">
        <x:v>0.87</x:v>
      </x:c>
      <x:c r="H1269" s="604" t="n">
        <x:v>0.75</x:v>
      </x:c>
      <x:c r="I1269" s="604" t="n">
        <x:v>0.89</x:v>
      </x:c>
      <x:c r="J1269" s="604" t="inlineStr">
        <x:is>
          <x:t xml:space="preserve">0.87/0.75/0.89</x:t>
        </x:is>
      </x:c>
      <x:c r="K1269" s="604" t="inlineStr">
        <x:is>
          <x:t xml:space="preserve">V4-B｜EV +0.1561</x:t>
        </x:is>
      </x:c>
      <x:c r="L1269" s="604" t="inlineStr">
        <x:is>
          <x:t xml:space="preserve">金字塔</x:t>
        </x:is>
      </x:c>
      <x:c r="M1269" s="604" t="n">
        <x:v>0.630564645627341</x:v>
      </x:c>
      <x:c r="N1269" s="604" t="inlineStr">
        <x:is>
          <x:t xml:space="preserve">V4纸面入选-B</x:t>
        </x:is>
      </x:c>
      <x:c r="O1269" s="604" t="inlineStr">
        <x:is>
          <x:t xml:space="preserve">3-2</x:t>
        </x:is>
      </x:c>
      <x:c r="P1269" s="604" t="inlineStr">
        <x:is>
          <x:t xml:space="preserve">已结算</x:t>
        </x:is>
      </x:c>
      <x:c r="Q1269" s="649" t="inlineStr">
        <x:is>
          <x:t xml:space="preserve">半红</x:t>
        </x:is>
      </x:c>
      <x:c r="R1269" s="604" t="n">
        <x:v>0.87</x:v>
      </x:c>
      <x:c r="S1269" s="604" t="n">
        <x:v>0.435</x:v>
      </x:c>
      <x:c r="T1269" s="604" t="inlineStr">
        <x:is>
          <x:t xml:space="preserve">https://m.titan007.com/analy/Analysis/3094155.htm</x:t>
        </x:is>
      </x:c>
      <x:c r="U1269" s="648" t="str">
        <x:f>IF(Q1269="","",IF(Q1269="待结算","待结算",IF(Q1269="红","黑",IF(Q1269="半红","半黑",IF(Q1269="走","走",IF(Q1269="半黑","半红","红"))))))</x:f>
        <x:v>半黑</x:v>
      </x:c>
      <x:c r="V1269" s="604" t="n">
        <x:f>IF(OR(Q1269="",Q1269="待结算"),"",IF(L1269=LEFT(F1269,FIND(" vs ",F1269)-1),I1269,G1269))</x:f>
        <x:v>0.89</x:v>
      </x:c>
      <x:c r="W1269" s="604" t="n">
        <x:f>IF(OR(U1269="",U1269="待结算"),"",IF(U1269="红",V1269,IF(U1269="半红",V1269*0.5,IF(U1269="走",0,IF(U1269="半黑",-0.5,-1)))))</x:f>
        <x:v>-0.5</x:v>
      </x:c>
      <x:c r="X1269" s="604" t="inlineStr">
        <x:is>
          <x:t xml:space="preserve">3094155</x:t>
        </x:is>
      </x:c>
      <x:c r="Y1269" s="604" t="inlineStr">
        <x:is>
          <x:t xml:space="preserve">V4</x:t>
        </x:is>
      </x:c>
      <x:c r="Z1269" s="604" t="inlineStr">
        <x:is>
          <x:t xml:space="preserve">prior-2026-10-07-v1</x:t>
        </x:is>
      </x:c>
      <x:c r="AA1269" s="604" t="inlineStr">
        <x:is>
          <x:t xml:space="preserve">B</x:t>
        </x:is>
      </x:c>
      <x:c r="AB1269" s="604" t="n">
        <x:v>0.4209580406213886</x:v>
      </x:c>
      <x:c r="AC1269" s="604" t="n">
        <x:v>0.2570969578765873</x:v>
      </x:c>
      <x:c r="AD1269" s="604" t="n"/>
      <x:c r="AE1269" s="604" t="n"/>
      <x:c r="AF1269" s="604" t="n">
        <x:v>0.3219450015020242</x:v>
      </x:c>
      <x:c r="AG1269" s="604" t="n">
        <x:v>0.1561256705148993</x:v>
      </x:c>
      <x:c r="AH1269" s="604" t="n"/>
      <x:c r="AI1269" s="604" t="n"/>
      <x:c r="AJ1269" s="604" t="n">
        <x:v>0.1561256705148993</x:v>
      </x:c>
      <x:c r="AK1269" s="604" t="n"/>
      <x:c r="AL1269" s="604" t="n"/>
      <x:c r="AM1269" s="604" t="n"/>
      <x:c r="AN1269" s="604" t="inlineStr">
        <x:is>
          <x:t xml:space="preserve">EVALUATED</x:t>
        </x:is>
      </x:c>
      <x:c r="AO1269" s="604" t="inlineStr">
        <x:is>
          <x:t xml:space="preserve">GIVING_VALIDATED_EDGE、BUCKET_PRIOR_ONLY、INTENT_INTERPRETATION_ONLY、FFL_OPTIONAL、EXPERT_MARKET</x:t>
        </x:is>
      </x:c>
      <x:c r="AP1269" s="604" t="inlineStr">
        <x:is>
          <x:t xml:space="preserve">4a637bc4f05156d46557</x:t>
        </x:is>
      </x:c>
      <x:c r="AQ1269" s="604" t="n">
        <x:v>-0.75</x:v>
      </x:c>
      <x:c r="AR1269" s="604" t="n">
        <x:v>0.87</x:v>
      </x:c>
      <x:c r="AS1269" s="604" t="n">
        <x:v>0.75</x:v>
      </x:c>
      <x:c r="AT1269" s="604" t="n">
        <x:v>-0.75</x:v>
      </x:c>
      <x:c r="AU1269" s="604" t="n">
        <x:v>0.87</x:v>
      </x:c>
      <x:c r="AV1269" s="604" t="n">
        <x:v>0.89</x:v>
      </x:c>
      <x:c r="AW1269" s="604" t="n">
        <x:v>46302.19288847222</x:v>
      </x:c>
      <x:c r="AX1269" s="604" t="inlineStr">
        <x:is>
          <x:t xml:space="preserve">https://simondongxiao.github.io/odds/v4/</x:t>
        </x:is>
      </x:c>
      <x:c r="AY1269" s="604" t="inlineStr">
        <x:is>
          <x:t xml:space="preserve">V4 Shadow Only；real_money=false；P(EV&gt;0)不是比赛胜率</x:t>
        </x:is>
      </x:c>
    </x:row>
    <x:row r="1270" ht="22" customHeight="1">
      <x:c r="A1270" s="604" t="inlineStr">
        <x:is>
          <x:t xml:space="preserve">2026-10-07</x:t>
        </x:is>
      </x:c>
      <x:c r="B1270" s="604" t="inlineStr">
        <x:is>
          <x:t xml:space="preserve">2026-10-07 22:00</x:t>
        </x:is>
      </x:c>
      <x:c r="C1270" s="604" t="str">
        <x:v>其他系列</x:v>
      </x:c>
      <x:c r="D1270" s="604" t="inlineStr">
        <x:is>
          <x:t xml:space="preserve">杯赛</x:t>
        </x:is>
      </x:c>
      <x:c r="E1270" s="604" t="inlineStr">
        <x:is>
          <x:t xml:space="preserve">埃及联杯</x:t>
        </x:is>
      </x:c>
      <x:c r="F1270" s="604" t="inlineStr">
        <x:is>
          <x:t xml:space="preserve">佩特雷姆 vs 开罗国民</x:t>
        </x:is>
      </x:c>
      <x:c r="G1270" s="604" t="n">
        <x:v>1.19</x:v>
      </x:c>
      <x:c r="H1270" s="604" t="n">
        <x:v>0.25</x:v>
      </x:c>
      <x:c r="I1270" s="604" t="n">
        <x:v>0.6</x:v>
      </x:c>
      <x:c r="J1270" s="604" t="inlineStr">
        <x:is>
          <x:t xml:space="preserve">1.19/0.25/0.6</x:t>
        </x:is>
      </x:c>
      <x:c r="K1270" s="604" t="inlineStr">
        <x:is>
          <x:t xml:space="preserve">V4-B｜EV +0.3697</x:t>
        </x:is>
      </x:c>
      <x:c r="L1270" s="604" t="inlineStr">
        <x:is>
          <x:t xml:space="preserve">开罗国民</x:t>
        </x:is>
      </x:c>
      <x:c r="M1270" s="604" t="n">
        <x:v>0.8813069385868791</x:v>
      </x:c>
      <x:c r="N1270" s="604" t="inlineStr">
        <x:is>
          <x:t xml:space="preserve">V4纸面入选-B</x:t>
        </x:is>
      </x:c>
      <x:c r="O1270" s="604" t="inlineStr">
        <x:is>
          <x:t xml:space="preserve">0-5</x:t>
        </x:is>
      </x:c>
      <x:c r="P1270" s="604" t="inlineStr">
        <x:is>
          <x:t xml:space="preserve">已结算</x:t>
        </x:is>
      </x:c>
      <x:c r="Q1270" s="646" t="inlineStr">
        <x:is>
          <x:t xml:space="preserve">红</x:t>
        </x:is>
      </x:c>
      <x:c r="R1270" s="604" t="n">
        <x:v>0.6</x:v>
      </x:c>
      <x:c r="S1270" s="604" t="n">
        <x:v>0.6</x:v>
      </x:c>
      <x:c r="T1270" s="604" t="inlineStr">
        <x:is>
          <x:t xml:space="preserve">https://m.titan007.com/analy/Analysis/3094165.htm</x:t>
        </x:is>
      </x:c>
      <x:c r="U1270" s="645" t="str">
        <x:f>IF(Q1270="","",IF(Q1270="待结算","待结算",IF(Q1270="红","黑",IF(Q1270="半红","半黑",IF(Q1270="走","走",IF(Q1270="半黑","半红","红"))))))</x:f>
        <x:v>黑</x:v>
      </x:c>
      <x:c r="V1270" s="604" t="n">
        <x:f>IF(OR(Q1270="",Q1270="待结算"),"",IF(L1270=LEFT(F1270,FIND(" vs ",F1270)-1),I1270,G1270))</x:f>
        <x:v>1.19</x:v>
      </x:c>
      <x:c r="W1270" s="604" t="n">
        <x:f>IF(OR(U1270="",U1270="待结算"),"",IF(U1270="红",V1270,IF(U1270="半红",V1270*0.5,IF(U1270="走",0,IF(U1270="半黑",-0.5,-1)))))</x:f>
        <x:v>-1</x:v>
      </x:c>
      <x:c r="X1270" s="604" t="inlineStr">
        <x:is>
          <x:t xml:space="preserve">3094165</x:t>
        </x:is>
      </x:c>
      <x:c r="Y1270" s="604" t="inlineStr">
        <x:is>
          <x:t xml:space="preserve">V4</x:t>
        </x:is>
      </x:c>
      <x:c r="Z1270" s="604" t="inlineStr">
        <x:is>
          <x:t xml:space="preserve">prior-2026-10-07-v1</x:t>
        </x:is>
      </x:c>
      <x:c r="AA1270" s="604" t="inlineStr">
        <x:is>
          <x:t xml:space="preserve">B</x:t>
        </x:is>
      </x:c>
      <x:c r="AB1270" s="604" t="n">
        <x:v>0.6958786818559962</x:v>
      </x:c>
      <x:c r="AC1270" s="604" t="n">
        <x:v>0.1971270640931831</x:v>
      </x:c>
      <x:c r="AD1270" s="604" t="n"/>
      <x:c r="AE1270" s="604" t="n"/>
      <x:c r="AF1270" s="604" t="n">
        <x:v>0.1069942540508207</x:v>
      </x:c>
      <x:c r="AG1270" s="604" t="n">
        <x:v>0.369671074290732</x:v>
      </x:c>
      <x:c r="AH1270" s="604" t="n"/>
      <x:c r="AI1270" s="604" t="n"/>
      <x:c r="AJ1270" s="604" t="n">
        <x:v>0.369671074290732</x:v>
      </x:c>
      <x:c r="AK1270" s="604" t="n"/>
      <x:c r="AL1270" s="604" t="n"/>
      <x:c r="AM1270" s="604" t="n"/>
      <x:c r="AN1270" s="604" t="inlineStr">
        <x:is>
          <x:t xml:space="preserve">EVALUATED</x:t>
        </x:is>
      </x:c>
      <x:c r="AO1270" s="604" t="inlineStr">
        <x:is>
          <x:t xml:space="preserve">RECEIVING_VALIDATED_EDGE、BUCKET_PRIOR_ONLY、INTENT_INTERPRETATION_ONLY、FFL_OPTIONAL、EXPERT_MARKET</x:t>
        </x:is>
      </x:c>
      <x:c r="AP1270" s="604" t="inlineStr">
        <x:is>
          <x:t xml:space="preserve">369644a83bd07322e807</x:t>
        </x:is>
      </x:c>
      <x:c r="AQ1270" s="604" t="n">
        <x:v>0.25</x:v>
      </x:c>
      <x:c r="AR1270" s="604" t="n">
        <x:v>0.6</x:v>
      </x:c>
      <x:c r="AS1270" s="604" t="n">
        <x:v>0.25</x:v>
      </x:c>
      <x:c r="AT1270" s="604" t="n">
        <x:v>-0.25</x:v>
      </x:c>
      <x:c r="AU1270" s="604" t="n">
        <x:v>1.19</x:v>
      </x:c>
      <x:c r="AV1270" s="604" t="n">
        <x:v>0.6</x:v>
      </x:c>
      <x:c r="AW1270" s="604" t="n">
        <x:v>46302.19288847222</x:v>
      </x:c>
      <x:c r="AX1270" s="604" t="inlineStr">
        <x:is>
          <x:t xml:space="preserve">https://simondongxiao.github.io/odds/v4/</x:t>
        </x:is>
      </x:c>
      <x:c r="AY1270" s="604" t="inlineStr">
        <x:is>
          <x:t xml:space="preserve">V4 Shadow Only；real_money=false；P(EV&gt;0)不是比赛胜率</x:t>
        </x:is>
      </x:c>
    </x:row>
    <x:row r="1271" ht="22" customHeight="1">
      <x:c r="A1271" s="604" t="inlineStr">
        <x:is>
          <x:t xml:space="preserve">2026-10-07</x:t>
        </x:is>
      </x:c>
      <x:c r="B1271" s="604" t="inlineStr">
        <x:is>
          <x:t xml:space="preserve">2026-10-07 22:00</x:t>
        </x:is>
      </x:c>
      <x:c r="C1271" s="604" t="str">
        <x:v>西亚/中亚系列</x:v>
      </x:c>
      <x:c r="D1271" s="604" t="inlineStr">
        <x:is>
          <x:t xml:space="preserve">联赛</x:t>
        </x:is>
      </x:c>
      <x:c r="E1271" s="604" t="inlineStr">
        <x:is>
          <x:t xml:space="preserve">乌兹超</x:t>
        </x:is>
      </x:c>
      <x:c r="F1271" s="604" t="inlineStr">
        <x:is>
          <x:t xml:space="preserve">费尔干纳夫兹 vs 花刺子模乌尔根奇</x:t>
        </x:is>
      </x:c>
      <x:c r="G1271" s="604" t="n">
        <x:v>0.85</x:v>
      </x:c>
      <x:c r="H1271" s="604" t="n">
        <x:v>1.75</x:v>
      </x:c>
      <x:c r="I1271" s="604" t="n">
        <x:v>0.91</x:v>
      </x:c>
      <x:c r="J1271" s="604" t="inlineStr">
        <x:is>
          <x:t xml:space="preserve">0.85/1.75/0.91</x:t>
        </x:is>
      </x:c>
      <x:c r="K1271" s="604" t="inlineStr">
        <x:is>
          <x:t xml:space="preserve">V4-A｜EV +0.2297</x:t>
        </x:is>
      </x:c>
      <x:c r="L1271" s="604" t="inlineStr">
        <x:is>
          <x:t xml:space="preserve">费尔干纳夫兹</x:t>
        </x:is>
      </x:c>
      <x:c r="M1271" s="604" t="n">
        <x:v>0.6821072785352612</x:v>
      </x:c>
      <x:c r="N1271" s="604" t="inlineStr">
        <x:is>
          <x:t xml:space="preserve">V4纸面入选-A</x:t>
        </x:is>
      </x:c>
      <x:c r="O1271" s="604" t="inlineStr">
        <x:is>
          <x:t xml:space="preserve">2-2</x:t>
        </x:is>
      </x:c>
      <x:c r="P1271" s="604" t="inlineStr">
        <x:is>
          <x:t xml:space="preserve">已结算</x:t>
        </x:is>
      </x:c>
      <x:c r="Q1271" s="646" t="inlineStr">
        <x:is>
          <x:t xml:space="preserve">黑</x:t>
        </x:is>
      </x:c>
      <x:c r="R1271" s="604" t="n">
        <x:v>0.85</x:v>
      </x:c>
      <x:c r="S1271" s="604" t="n">
        <x:v>-1</x:v>
      </x:c>
      <x:c r="T1271" s="604" t="inlineStr">
        <x:is>
          <x:t xml:space="preserve">https://m.titan007.com/analy/Analysis/2933159.htm</x:t>
        </x:is>
      </x:c>
      <x:c r="U1271" s="645" t="str">
        <x:f>IF(Q1271="","",IF(Q1271="待结算","待结算",IF(Q1271="红","黑",IF(Q1271="半红","半黑",IF(Q1271="走","走",IF(Q1271="半黑","半红","红"))))))</x:f>
        <x:v>红</x:v>
      </x:c>
      <x:c r="V1271" s="604" t="n">
        <x:f>IF(OR(Q1271="",Q1271="待结算"),"",IF(L1271=LEFT(F1271,FIND(" vs ",F1271)-1),I1271,G1271))</x:f>
        <x:v>0.91</x:v>
      </x:c>
      <x:c r="W1271" s="604" t="n">
        <x:f>IF(OR(U1271="",U1271="待结算"),"",IF(U1271="红",V1271,IF(U1271="半红",V1271*0.5,IF(U1271="走",0,IF(U1271="半黑",-0.5,-1)))))</x:f>
        <x:v>0.91</x:v>
      </x:c>
      <x:c r="X1271" s="604" t="inlineStr">
        <x:is>
          <x:t xml:space="preserve">2933159</x:t>
        </x:is>
      </x:c>
      <x:c r="Y1271" s="604" t="inlineStr">
        <x:is>
          <x:t xml:space="preserve">V4</x:t>
        </x:is>
      </x:c>
      <x:c r="Z1271" s="604" t="inlineStr">
        <x:is>
          <x:t xml:space="preserve">prior-2026-10-07-v1</x:t>
        </x:is>
      </x:c>
      <x:c r="AA1271" s="604" t="inlineStr">
        <x:is>
          <x:t xml:space="preserve">A</x:t>
        </x:is>
      </x:c>
      <x:c r="AB1271" s="604" t="n">
        <x:v>0.4751983572112764</x:v>
      </x:c>
      <x:c r="AC1271" s="604" t="n">
        <x:v>0.2460115641425155</x:v>
      </x:c>
      <x:c r="AD1271" s="604" t="n"/>
      <x:c r="AE1271" s="604" t="n"/>
      <x:c r="AF1271" s="604" t="n">
        <x:v>0.2787900786462081</x:v>
      </x:c>
      <x:c r="AG1271" s="604" t="n">
        <x:v>0.2296834397439459</x:v>
      </x:c>
      <x:c r="AH1271" s="604" t="n"/>
      <x:c r="AI1271" s="604" t="n"/>
      <x:c r="AJ1271" s="604" t="n">
        <x:v>0.2296834397439459</x:v>
      </x:c>
      <x:c r="AK1271" s="604" t="n"/>
      <x:c r="AL1271" s="604" t="n"/>
      <x:c r="AM1271" s="604" t="n"/>
      <x:c r="AN1271" s="604" t="inlineStr">
        <x:is>
          <x:t xml:space="preserve">EVALUATED</x:t>
        </x:is>
      </x:c>
      <x:c r="AO1271" s="604" t="inlineStr">
        <x:is>
          <x:t xml:space="preserve">GIVING_VALIDATED_EDGE、BUCKET_PRIOR_ONLY、INTENT_INTERPRETATION_ONLY、FFL_OPTIONAL、EXPERT_MARKET</x:t>
        </x:is>
      </x:c>
      <x:c r="AP1271" s="604" t="inlineStr">
        <x:is>
          <x:t xml:space="preserve">f256d7445e3bfee7a4b3</x:t>
        </x:is>
      </x:c>
      <x:c r="AQ1271" s="604" t="n">
        <x:v>-1.75</x:v>
      </x:c>
      <x:c r="AR1271" s="604" t="n">
        <x:v>0.85</x:v>
      </x:c>
      <x:c r="AS1271" s="604" t="n">
        <x:v>1.75</x:v>
      </x:c>
      <x:c r="AT1271" s="604" t="n">
        <x:v>-1.75</x:v>
      </x:c>
      <x:c r="AU1271" s="604" t="n">
        <x:v>0.85</x:v>
      </x:c>
      <x:c r="AV1271" s="604" t="n">
        <x:v>0.91</x:v>
      </x:c>
      <x:c r="AW1271" s="604" t="n">
        <x:v>46302.19288847222</x:v>
      </x:c>
      <x:c r="AX1271" s="604" t="inlineStr">
        <x:is>
          <x:t xml:space="preserve">https://simondongxiao.github.io/odds/v4/</x:t>
        </x:is>
      </x:c>
      <x:c r="AY1271" s="604" t="inlineStr">
        <x:is>
          <x:t xml:space="preserve">V4 Shadow Only；real_money=false；P(EV&gt;0)不是比赛胜率</x:t>
        </x:is>
      </x:c>
    </x:row>
    <x:row r="1272" ht="22" customHeight="1">
      <x:c r="A1272" s="604" t="inlineStr">
        <x:is>
          <x:t xml:space="preserve">2026-10-07</x:t>
        </x:is>
      </x:c>
      <x:c r="B1272" s="604" t="inlineStr">
        <x:is>
          <x:t xml:space="preserve">2026-10-07 23:00</x:t>
        </x:is>
      </x:c>
      <x:c r="C1272" s="604" t="str">
        <x:v>其他系列</x:v>
      </x:c>
      <x:c r="D1272" s="604" t="inlineStr">
        <x:is>
          <x:t xml:space="preserve">联赛</x:t>
        </x:is>
      </x:c>
      <x:c r="E1272" s="604" t="inlineStr">
        <x:is>
          <x:t xml:space="preserve">尼日超</x:t>
        </x:is>
      </x:c>
      <x:c r="F1272" s="604" t="inlineStr">
        <x:is>
          <x:t xml:space="preserve">射击之星 vs 卡诺支柱</x:t>
        </x:is>
      </x:c>
      <x:c r="G1272" s="604" t="n">
        <x:v>1.03</x:v>
      </x:c>
      <x:c r="H1272" s="604" t="n">
        <x:v>1.25</x:v>
      </x:c>
      <x:c r="I1272" s="604" t="n">
        <x:v>0.78</x:v>
      </x:c>
      <x:c r="J1272" s="604" t="inlineStr">
        <x:is>
          <x:t xml:space="preserve">1.03/1.25/0.78</x:t>
        </x:is>
      </x:c>
      <x:c r="K1272" s="604" t="inlineStr">
        <x:is>
          <x:t xml:space="preserve">V4-A｜EV +0.2755</x:t>
        </x:is>
      </x:c>
      <x:c r="L1272" s="604" t="inlineStr">
        <x:is>
          <x:t xml:space="preserve">射击之星</x:t>
        </x:is>
      </x:c>
      <x:c r="M1272" s="604" t="n">
        <x:v>0.646945834879478</x:v>
      </x:c>
      <x:c r="N1272" s="604" t="inlineStr">
        <x:is>
          <x:t xml:space="preserve">V4纸面入选-A</x:t>
        </x:is>
      </x:c>
      <x:c r="O1272" s="604" t="inlineStr">
        <x:is>
          <x:t xml:space="preserve">0-0</x:t>
        </x:is>
      </x:c>
      <x:c r="P1272" s="604" t="inlineStr">
        <x:is>
          <x:t xml:space="preserve">已结算</x:t>
        </x:is>
      </x:c>
      <x:c r="Q1272" s="646" t="inlineStr">
        <x:is>
          <x:t xml:space="preserve">黑</x:t>
        </x:is>
      </x:c>
      <x:c r="R1272" s="604" t="n">
        <x:v>1.03</x:v>
      </x:c>
      <x:c r="S1272" s="604" t="n">
        <x:v>-1</x:v>
      </x:c>
      <x:c r="T1272" s="604" t="inlineStr">
        <x:is>
          <x:t xml:space="preserve">https://m.titan007.com/analy/Analysis/3081603.htm</x:t>
        </x:is>
      </x:c>
      <x:c r="U1272" s="645" t="str">
        <x:f>IF(Q1272="","",IF(Q1272="待结算","待结算",IF(Q1272="红","黑",IF(Q1272="半红","半黑",IF(Q1272="走","走",IF(Q1272="半黑","半红","红"))))))</x:f>
        <x:v>红</x:v>
      </x:c>
      <x:c r="V1272" s="604" t="n">
        <x:f>IF(OR(Q1272="",Q1272="待结算"),"",IF(L1272=LEFT(F1272,FIND(" vs ",F1272)-1),I1272,G1272))</x:f>
        <x:v>0.78</x:v>
      </x:c>
      <x:c r="W1272" s="604" t="n">
        <x:f>IF(OR(U1272="",U1272="待结算"),"",IF(U1272="红",V1272,IF(U1272="半红",V1272*0.5,IF(U1272="走",0,IF(U1272="半黑",-0.5,-1)))))</x:f>
        <x:v>0.78</x:v>
      </x:c>
      <x:c r="X1272" s="604" t="inlineStr">
        <x:is>
          <x:t xml:space="preserve">3081603</x:t>
        </x:is>
      </x:c>
      <x:c r="Y1272" s="604" t="inlineStr">
        <x:is>
          <x:t xml:space="preserve">V4</x:t>
        </x:is>
      </x:c>
      <x:c r="Z1272" s="604" t="inlineStr">
        <x:is>
          <x:t xml:space="preserve">prior-2026-10-07-v1</x:t>
        </x:is>
      </x:c>
      <x:c r="AA1272" s="604" t="inlineStr">
        <x:is>
          <x:t xml:space="preserve">A</x:t>
        </x:is>
      </x:c>
      <x:c r="AB1272" s="604" t="n">
        <x:v>0.5687935673324852</x:v>
      </x:c>
      <x:c r="AC1272" s="604" t="n"/>
      <x:c r="AD1272" s="604" t="n"/>
      <x:c r="AE1272" s="604" t="n">
        <x:v>0.2416037427972686</x:v>
      </x:c>
      <x:c r="AF1272" s="604" t="n">
        <x:v>0.1896026898702463</x:v>
      </x:c>
      <x:c r="AG1272" s="604" t="n">
        <x:v>0.2754528130835792</x:v>
      </x:c>
      <x:c r="AH1272" s="604" t="n"/>
      <x:c r="AI1272" s="604" t="n"/>
      <x:c r="AJ1272" s="604" t="n">
        <x:v>0.2754528130835792</x:v>
      </x:c>
      <x:c r="AK1272" s="604" t="n"/>
      <x:c r="AL1272" s="604" t="n"/>
      <x:c r="AM1272" s="604" t="n"/>
      <x:c r="AN1272" s="604" t="inlineStr">
        <x:is>
          <x:t xml:space="preserve">EVALUATED</x:t>
        </x:is>
      </x:c>
      <x:c r="AO1272" s="604" t="inlineStr">
        <x:is>
          <x:t xml:space="preserve">GIVING_VALIDATED_EDGE、BUCKET_PRIOR_ONLY、INTENT_INTERPRETATION_ONLY、FFL_OPTIONAL、EXPERT_MARKET</x:t>
        </x:is>
      </x:c>
      <x:c r="AP1272" s="604" t="inlineStr">
        <x:is>
          <x:t xml:space="preserve">b50fd1d1c2bfa736fa53</x:t>
        </x:is>
      </x:c>
      <x:c r="AQ1272" s="604" t="n">
        <x:v>-1.25</x:v>
      </x:c>
      <x:c r="AR1272" s="604" t="n">
        <x:v>1.03</x:v>
      </x:c>
      <x:c r="AS1272" s="604" t="n">
        <x:v>1.25</x:v>
      </x:c>
      <x:c r="AT1272" s="604" t="n">
        <x:v>-1.25</x:v>
      </x:c>
      <x:c r="AU1272" s="604" t="n">
        <x:v>1.03</x:v>
      </x:c>
      <x:c r="AV1272" s="604" t="n">
        <x:v>0.78</x:v>
      </x:c>
      <x:c r="AW1272" s="604" t="n">
        <x:v>46302.19288847222</x:v>
      </x:c>
      <x:c r="AX1272" s="604" t="inlineStr">
        <x:is>
          <x:t xml:space="preserve">https://simondongxiao.github.io/odds/v4/</x:t>
        </x:is>
      </x:c>
      <x:c r="AY1272" s="604" t="inlineStr">
        <x:is>
          <x:t xml:space="preserve">V4 Shadow Only；real_money=false；P(EV&gt;0)不是比赛胜率</x:t>
        </x:is>
      </x:c>
    </x:row>
    <x:row r="1273" ht="22" customHeight="1">
      <x:c r="A1273" s="604" t="inlineStr">
        <x:is>
          <x:t xml:space="preserve">2026-10-07</x:t>
        </x:is>
      </x:c>
      <x:c r="B1273" s="604" t="inlineStr">
        <x:is>
          <x:t xml:space="preserve">2026-10-07 23:00</x:t>
        </x:is>
      </x:c>
      <x:c r="C1273" s="604" t="str">
        <x:v>西亚/中亚系列</x:v>
      </x:c>
      <x:c r="D1273" s="604" t="inlineStr">
        <x:is>
          <x:t xml:space="preserve">联赛</x:t>
        </x:is>
      </x:c>
      <x:c r="E1273" s="604" t="inlineStr">
        <x:is>
          <x:t xml:space="preserve">伊拉联</x:t>
        </x:is>
      </x:c>
      <x:c r="F1273" s="604" t="inlineStr">
        <x:is>
          <x:t xml:space="preserve">摩苏尔足球俱乐部 vs 巴格达空军</x:t>
        </x:is>
      </x:c>
      <x:c r="G1273" s="604" t="n">
        <x:v>1</x:v>
      </x:c>
      <x:c r="H1273" s="604" t="n">
        <x:v>-0.25</x:v>
      </x:c>
      <x:c r="I1273" s="604" t="n">
        <x:v>0.8</x:v>
      </x:c>
      <x:c r="J1273" s="604" t="inlineStr">
        <x:is>
          <x:t xml:space="preserve">1/-0.25/0.8</x:t>
        </x:is>
      </x:c>
      <x:c r="K1273" s="604" t="inlineStr">
        <x:is>
          <x:t xml:space="preserve">V4-B｜EV +0.4131</x:t>
        </x:is>
      </x:c>
      <x:c r="L1273" s="604" t="inlineStr">
        <x:is>
          <x:t xml:space="preserve">摩苏尔足球俱乐部</x:t>
        </x:is>
      </x:c>
      <x:c r="M1273" s="604" t="n">
        <x:v>0.7360885576952813</x:v>
      </x:c>
      <x:c r="N1273" s="604" t="inlineStr">
        <x:is>
          <x:t xml:space="preserve">V4纸面入选-B</x:t>
        </x:is>
      </x:c>
      <x:c r="O1273" s="604" t="inlineStr">
        <x:is>
          <x:t xml:space="preserve">0-3</x:t>
        </x:is>
      </x:c>
      <x:c r="P1273" s="604" t="inlineStr">
        <x:is>
          <x:t xml:space="preserve">已结算</x:t>
        </x:is>
      </x:c>
      <x:c r="Q1273" s="646" t="inlineStr">
        <x:is>
          <x:t xml:space="preserve">黑</x:t>
        </x:is>
      </x:c>
      <x:c r="R1273" s="604" t="n">
        <x:v>1</x:v>
      </x:c>
      <x:c r="S1273" s="604" t="n">
        <x:v>-1</x:v>
      </x:c>
      <x:c r="T1273" s="604" t="inlineStr">
        <x:is>
          <x:t xml:space="preserve">https://m.titan007.com/analy/Analysis/3071921.htm</x:t>
        </x:is>
      </x:c>
      <x:c r="U1273" s="645" t="str">
        <x:f>IF(Q1273="","",IF(Q1273="待结算","待结算",IF(Q1273="红","黑",IF(Q1273="半红","半黑",IF(Q1273="走","走",IF(Q1273="半黑","半红","红"))))))</x:f>
        <x:v>红</x:v>
      </x:c>
      <x:c r="V1273" s="604" t="n">
        <x:f>IF(OR(Q1273="",Q1273="待结算"),"",IF(L1273=LEFT(F1273,FIND(" vs ",F1273)-1),I1273,G1273))</x:f>
        <x:v>0.8</x:v>
      </x:c>
      <x:c r="W1273" s="604" t="n">
        <x:f>IF(OR(U1273="",U1273="待结算"),"",IF(U1273="红",V1273,IF(U1273="半红",V1273*0.5,IF(U1273="走",0,IF(U1273="半黑",-0.5,-1)))))</x:f>
        <x:v>0.8</x:v>
      </x:c>
      <x:c r="X1273" s="604" t="inlineStr">
        <x:is>
          <x:t xml:space="preserve">3071921</x:t>
        </x:is>
      </x:c>
      <x:c r="Y1273" s="604" t="inlineStr">
        <x:is>
          <x:t xml:space="preserve">V4</x:t>
        </x:is>
      </x:c>
      <x:c r="Z1273" s="604" t="inlineStr">
        <x:is>
          <x:t xml:space="preserve">prior-2026-10-07-v1</x:t>
        </x:is>
      </x:c>
      <x:c r="AA1273" s="604" t="inlineStr">
        <x:is>
          <x:t xml:space="preserve">B</x:t>
        </x:is>
      </x:c>
      <x:c r="AB1273" s="604" t="n">
        <x:v>0.5190307159099052</x:v>
      </x:c>
      <x:c r="AC1273" s="604" t="n">
        <x:v>0.2500538821286029</x:v>
      </x:c>
      <x:c r="AD1273" s="604" t="n"/>
      <x:c r="AE1273" s="604" t="n"/>
      <x:c r="AF1273" s="604" t="n">
        <x:v>0.2309154019614919</x:v>
      </x:c>
      <x:c r="AG1273" s="604" t="n">
        <x:v>0.4131422550127148</x:v>
      </x:c>
      <x:c r="AH1273" s="604" t="n"/>
      <x:c r="AI1273" s="604" t="n"/>
      <x:c r="AJ1273" s="604" t="n">
        <x:v>0.4131422550127148</x:v>
      </x:c>
      <x:c r="AK1273" s="604" t="n"/>
      <x:c r="AL1273" s="604" t="n"/>
      <x:c r="AM1273" s="604" t="n"/>
      <x:c r="AN1273" s="604" t="inlineStr">
        <x:is>
          <x:t xml:space="preserve">EVALUATED</x:t>
        </x:is>
      </x:c>
      <x:c r="AO1273" s="604" t="inlineStr">
        <x:is>
          <x:t xml:space="preserve">RECEIVING_VALIDATED_EDGE、BUCKET_PRIOR_ONLY、INTENT_INTERPRETATION_ONLY、FFL_OPTIONAL、EXPERT_MARKET</x:t>
        </x:is>
      </x:c>
      <x:c r="AP1273" s="604" t="inlineStr">
        <x:is>
          <x:t xml:space="preserve">ebe89675c384de71baa2</x:t>
        </x:is>
      </x:c>
      <x:c r="AQ1273" s="604" t="n">
        <x:v>0.25</x:v>
      </x:c>
      <x:c r="AR1273" s="604" t="n">
        <x:v>1</x:v>
      </x:c>
      <x:c r="AS1273" s="604" t="n">
        <x:v>-0.25</x:v>
      </x:c>
      <x:c r="AT1273" s="604" t="n">
        <x:v>0.25</x:v>
      </x:c>
      <x:c r="AU1273" s="604" t="n">
        <x:v>1</x:v>
      </x:c>
      <x:c r="AV1273" s="604" t="n">
        <x:v>0.8</x:v>
      </x:c>
      <x:c r="AW1273" s="604" t="n">
        <x:v>46302.19288847222</x:v>
      </x:c>
      <x:c r="AX1273" s="604" t="inlineStr">
        <x:is>
          <x:t xml:space="preserve">https://simondongxiao.github.io/odds/v4/</x:t>
        </x:is>
      </x:c>
      <x:c r="AY1273" s="604" t="inlineStr">
        <x:is>
          <x:t xml:space="preserve">V4 Shadow Only；real_money=false；P(EV&gt;0)不是比赛胜率</x:t>
        </x:is>
      </x:c>
    </x:row>
    <x:row r="1274" ht="22" customHeight="1">
      <x:c r="A1274" s="604" t="inlineStr">
        <x:is>
          <x:t xml:space="preserve">2026-10-07</x:t>
        </x:is>
      </x:c>
      <x:c r="B1274" s="604" t="inlineStr">
        <x:is>
          <x:t xml:space="preserve">2026-10-07 23:30</x:t>
        </x:is>
      </x:c>
      <x:c r="C1274" s="604" t="str">
        <x:v>其他系列</x:v>
      </x:c>
      <x:c r="D1274" s="604" t="inlineStr">
        <x:is>
          <x:t xml:space="preserve">联赛</x:t>
        </x:is>
      </x:c>
      <x:c r="E1274" s="604" t="inlineStr">
        <x:is>
          <x:t xml:space="preserve">科特超</x:t>
        </x:is>
      </x:c>
      <x:c r="F1274" s="604" t="inlineStr">
        <x:is>
          <x:t xml:space="preserve">阿博维尔 vs 阿迪亚克</x:t>
        </x:is>
      </x:c>
      <x:c r="G1274" s="604" t="n">
        <x:v>0.8</x:v>
      </x:c>
      <x:c r="H1274" s="604" t="n">
        <x:v>0.5</x:v>
      </x:c>
      <x:c r="I1274" s="604" t="n">
        <x:v>1</x:v>
      </x:c>
      <x:c r="J1274" s="604" t="inlineStr">
        <x:is>
          <x:t xml:space="preserve">0.8/0.5/1</x:t>
        </x:is>
      </x:c>
      <x:c r="K1274" s="604" t="inlineStr">
        <x:is>
          <x:t xml:space="preserve">V4-A｜EV +0.1471</x:t>
        </x:is>
      </x:c>
      <x:c r="L1274" s="604" t="inlineStr">
        <x:is>
          <x:t xml:space="preserve">阿博维尔</x:t>
        </x:is>
      </x:c>
      <x:c r="M1274" s="604" t="n">
        <x:v>0.6372907731485682</x:v>
      </x:c>
      <x:c r="N1274" s="604" t="inlineStr">
        <x:is>
          <x:t xml:space="preserve">V4纸面入选-A</x:t>
        </x:is>
      </x:c>
      <x:c r="O1274" s="604" t="inlineStr">
        <x:is>
          <x:t xml:space="preserve">0-0</x:t>
        </x:is>
      </x:c>
      <x:c r="P1274" s="604" t="inlineStr">
        <x:is>
          <x:t xml:space="preserve">已结算</x:t>
        </x:is>
      </x:c>
      <x:c r="Q1274" s="646" t="inlineStr">
        <x:is>
          <x:t xml:space="preserve">黑</x:t>
        </x:is>
      </x:c>
      <x:c r="R1274" s="604" t="n">
        <x:v>0.8</x:v>
      </x:c>
      <x:c r="S1274" s="604" t="n">
        <x:f>IF(OR(Q1274="",Q1274="待结算"),"",IF(Q1274="红",R1274,IF(Q1274="半红",R1274*0.5,IF(Q1274="走",0,IF(Q1274="半黑",-0.5,-1)))))</x:f>
        <x:v>-1</x:v>
      </x:c>
      <x:c r="T1274" s="604" t="inlineStr">
        <x:is>
          <x:t xml:space="preserve">https://m.titan007.com/analy/Analysis/3097328.htm</x:t>
        </x:is>
      </x:c>
      <x:c r="U1274" s="645" t="str">
        <x:f>IF(Q1274="","",IF(Q1274="待结算","待结算",IF(Q1274="红","黑",IF(Q1274="半红","半黑",IF(Q1274="走","走",IF(Q1274="半黑","半红","红"))))))</x:f>
        <x:v>红</x:v>
      </x:c>
      <x:c r="V1274" s="604" t="n">
        <x:f>IF(OR(Q1274="",Q1274="待结算"),"",IF(L1274=LEFT(F1274,FIND(" vs ",F1274)-1),I1274,G1274))</x:f>
        <x:v>1</x:v>
      </x:c>
      <x:c r="W1274" s="604" t="n">
        <x:f>IF(OR(U1274="",U1274="待结算"),"",IF(U1274="红",V1274,IF(U1274="半红",V1274*0.5,IF(U1274="走",0,IF(U1274="半黑",-0.5,-1)))))</x:f>
        <x:v>1</x:v>
      </x:c>
      <x:c r="X1274" s="604" t="inlineStr">
        <x:is>
          <x:t xml:space="preserve">3097328</x:t>
        </x:is>
      </x:c>
      <x:c r="Y1274" s="604" t="inlineStr">
        <x:is>
          <x:t xml:space="preserve">V4</x:t>
        </x:is>
      </x:c>
      <x:c r="Z1274" s="604" t="inlineStr">
        <x:is>
          <x:t xml:space="preserve">prior-2026-10-07-v1</x:t>
        </x:is>
      </x:c>
      <x:c r="AA1274" s="604" t="inlineStr">
        <x:is>
          <x:t xml:space="preserve">A</x:t>
        </x:is>
      </x:c>
      <x:c r="AB1274" s="604" t="n">
        <x:v>0.6372907731485682</x:v>
      </x:c>
      <x:c r="AC1274" s="604" t="n"/>
      <x:c r="AD1274" s="604" t="n"/>
      <x:c r="AE1274" s="604" t="n"/>
      <x:c r="AF1274" s="604" t="n">
        <x:v>0.3627092268514318</x:v>
      </x:c>
      <x:c r="AG1274" s="604" t="n">
        <x:v>0.1471233916674227</x:v>
      </x:c>
      <x:c r="AH1274" s="604" t="n"/>
      <x:c r="AI1274" s="604" t="n"/>
      <x:c r="AJ1274" s="604" t="n">
        <x:v>0.1471233916674227</x:v>
      </x:c>
      <x:c r="AK1274" s="604" t="n"/>
      <x:c r="AL1274" s="604" t="n"/>
      <x:c r="AM1274" s="604" t="n"/>
      <x:c r="AN1274" s="604" t="inlineStr">
        <x:is>
          <x:t xml:space="preserve">EVALUATED</x:t>
        </x:is>
      </x:c>
      <x:c r="AO1274" s="604" t="inlineStr">
        <x:is>
          <x:t xml:space="preserve">GIVING_VALIDATED_EDGE、BUCKET_PRIOR_ONLY、INTENT_INTERPRETATION_ONLY、FFL_OPTIONAL、EXPERT_MARKET</x:t>
        </x:is>
      </x:c>
      <x:c r="AP1274" s="604" t="inlineStr">
        <x:is>
          <x:t xml:space="preserve">bfdd3d5cb41f669e9d21</x:t>
        </x:is>
      </x:c>
      <x:c r="AQ1274" s="604" t="n">
        <x:v>-0.5</x:v>
      </x:c>
      <x:c r="AR1274" s="604" t="n">
        <x:v>0.8</x:v>
      </x:c>
      <x:c r="AS1274" s="604" t="n">
        <x:v>0.5</x:v>
      </x:c>
      <x:c r="AT1274" s="604" t="n">
        <x:v>-0.5</x:v>
      </x:c>
      <x:c r="AU1274" s="604" t="n">
        <x:v>0.8</x:v>
      </x:c>
      <x:c r="AV1274" s="604" t="n">
        <x:v>1</x:v>
      </x:c>
      <x:c r="AW1274" s="604" t="n">
        <x:v>46302.19288847222</x:v>
      </x:c>
      <x:c r="AX1274" s="604" t="inlineStr">
        <x:is>
          <x:t xml:space="preserve">https://simondongxiao.github.io/odds/v4/</x:t>
        </x:is>
      </x:c>
      <x:c r="AY1274" s="604" t="inlineStr">
        <x:is>
          <x:t xml:space="preserve">V4 Shadow Only；real_money=false；P(EV&gt;0)不是比赛胜率</x:t>
        </x:is>
      </x:c>
    </x:row>
    <x:row r="1275" ht="22" customHeight="1">
      <x:c r="A1275" s="604" t="inlineStr">
        <x:is>
          <x:t xml:space="preserve">2026-10-07</x:t>
        </x:is>
      </x:c>
      <x:c r="B1275" s="604" t="inlineStr">
        <x:is>
          <x:t xml:space="preserve">2026-10-08 00:00</x:t>
        </x:is>
      </x:c>
      <x:c r="C1275" s="604" t="str">
        <x:v>欧洲非五大系列</x:v>
      </x:c>
      <x:c r="D1275" s="604" t="inlineStr">
        <x:is>
          <x:t xml:space="preserve">联赛</x:t>
        </x:is>
      </x:c>
      <x:c r="E1275" s="604" t="inlineStr">
        <x:is>
          <x:t xml:space="preserve">芬超冠</x:t>
        </x:is>
      </x:c>
      <x:c r="F1275" s="604" t="inlineStr">
        <x:is>
          <x:t xml:space="preserve">格尼斯坦 vs 图尔库国际</x:t>
        </x:is>
      </x:c>
      <x:c r="G1275" s="604" t="n">
        <x:v>0.91</x:v>
      </x:c>
      <x:c r="H1275" s="604" t="n">
        <x:v>-0.5</x:v>
      </x:c>
      <x:c r="I1275" s="604" t="n">
        <x:v>0.97</x:v>
      </x:c>
      <x:c r="J1275" s="604" t="inlineStr">
        <x:is>
          <x:t xml:space="preserve">0.91/-0.5/0.97</x:t>
        </x:is>
      </x:c>
      <x:c r="K1275" s="604" t="inlineStr">
        <x:is>
          <x:t xml:space="preserve">V4-A｜EV +0.5344</x:t>
        </x:is>
      </x:c>
      <x:c r="L1275" s="604" t="inlineStr">
        <x:is>
          <x:t xml:space="preserve">格尼斯坦</x:t>
        </x:is>
      </x:c>
      <x:c r="M1275" s="604" t="n">
        <x:v>0.8033327150860096</x:v>
      </x:c>
      <x:c r="N1275" s="604" t="inlineStr">
        <x:is>
          <x:t xml:space="preserve">V4纸面入选-A</x:t>
        </x:is>
      </x:c>
      <x:c r="O1275" s="604" t="inlineStr">
        <x:is>
          <x:t xml:space="preserve">0-0</x:t>
        </x:is>
      </x:c>
      <x:c r="P1275" s="604" t="inlineStr">
        <x:is>
          <x:t xml:space="preserve">已结算</x:t>
        </x:is>
      </x:c>
      <x:c r="Q1275" s="645" t="inlineStr">
        <x:is>
          <x:t xml:space="preserve">红</x:t>
        </x:is>
      </x:c>
      <x:c r="R1275" s="604" t="n">
        <x:v>0.91</x:v>
      </x:c>
      <x:c r="S1275" s="604" t="n">
        <x:v>0.91</x:v>
      </x:c>
      <x:c r="T1275" s="604" t="inlineStr">
        <x:is>
          <x:t xml:space="preserve">https://m.titan007.com/analy/Analysis/3085210.htm</x:t>
        </x:is>
      </x:c>
      <x:c r="U1275" s="646" t="str">
        <x:f>IF(Q1275="","",IF(Q1275="待结算","待结算",IF(Q1275="红","黑",IF(Q1275="半红","半黑",IF(Q1275="走","走",IF(Q1275="半黑","半红","红"))))))</x:f>
        <x:v>黑</x:v>
      </x:c>
      <x:c r="V1275" s="604" t="n">
        <x:f>IF(OR(Q1275="",Q1275="待结算"),"",IF(L1275=LEFT(F1275,FIND(" vs ",F1275)-1),I1275,G1275))</x:f>
        <x:v>0.97</x:v>
      </x:c>
      <x:c r="W1275" s="604" t="n">
        <x:f>IF(OR(U1275="",U1275="待结算"),"",IF(U1275="红",V1275,IF(U1275="半红",V1275*0.5,IF(U1275="走",0,IF(U1275="半黑",-0.5,-1)))))</x:f>
        <x:v>-1</x:v>
      </x:c>
      <x:c r="X1275" s="604" t="inlineStr">
        <x:is>
          <x:t xml:space="preserve">3085210</x:t>
        </x:is>
      </x:c>
      <x:c r="Y1275" s="604" t="inlineStr">
        <x:is>
          <x:t xml:space="preserve">V4</x:t>
        </x:is>
      </x:c>
      <x:c r="Z1275" s="604" t="inlineStr">
        <x:is>
          <x:t xml:space="preserve">prior-2026-10-07-v1</x:t>
        </x:is>
      </x:c>
      <x:c r="AA1275" s="604" t="inlineStr">
        <x:is>
          <x:t xml:space="preserve">A</x:t>
        </x:is>
      </x:c>
      <x:c r="AB1275" s="604" t="n">
        <x:v>0.8033327150860096</x:v>
      </x:c>
      <x:c r="AC1275" s="604" t="n"/>
      <x:c r="AD1275" s="604" t="n"/>
      <x:c r="AE1275" s="604" t="n"/>
      <x:c r="AF1275" s="604" t="n">
        <x:v>0.1966672849139904</x:v>
      </x:c>
      <x:c r="AG1275" s="604" t="n">
        <x:v>0.5343654858142783</x:v>
      </x:c>
      <x:c r="AH1275" s="604" t="n"/>
      <x:c r="AI1275" s="604" t="n"/>
      <x:c r="AJ1275" s="604" t="n">
        <x:v>0.5343654858142783</x:v>
      </x:c>
      <x:c r="AK1275" s="604" t="n"/>
      <x:c r="AL1275" s="604" t="n"/>
      <x:c r="AM1275" s="604" t="n"/>
      <x:c r="AN1275" s="604" t="inlineStr">
        <x:is>
          <x:t xml:space="preserve">EVALUATED</x:t>
        </x:is>
      </x:c>
      <x:c r="AO1275" s="604" t="inlineStr">
        <x:is>
          <x:t xml:space="preserve">RECEIVING_VALIDATED_EDGE、BUCKET_PRIOR_ONLY、INTENT_INTERPRETATION_ONLY、FFL_OPTIONAL、EXPERT_MARKET</x:t>
        </x:is>
      </x:c>
      <x:c r="AP1275" s="604" t="inlineStr">
        <x:is>
          <x:t xml:space="preserve">b59b3f9dcc5d18f312b9</x:t>
        </x:is>
      </x:c>
      <x:c r="AQ1275" s="604" t="n">
        <x:v>0.5</x:v>
      </x:c>
      <x:c r="AR1275" s="604" t="n">
        <x:v>0.91</x:v>
      </x:c>
      <x:c r="AS1275" s="604" t="n">
        <x:v>-0.5</x:v>
      </x:c>
      <x:c r="AT1275" s="604" t="n">
        <x:v>0.5</x:v>
      </x:c>
      <x:c r="AU1275" s="604" t="n">
        <x:v>0.91</x:v>
      </x:c>
      <x:c r="AV1275" s="604" t="n">
        <x:v>0.97</x:v>
      </x:c>
      <x:c r="AW1275" s="604" t="n">
        <x:v>46302.19288847222</x:v>
      </x:c>
      <x:c r="AX1275" s="604" t="inlineStr">
        <x:is>
          <x:t xml:space="preserve">https://simondongxiao.github.io/odds/v4/</x:t>
        </x:is>
      </x:c>
      <x:c r="AY1275" s="604" t="inlineStr">
        <x:is>
          <x:t xml:space="preserve">V4 Shadow Only；real_money=false；P(EV&gt;0)不是比赛胜率</x:t>
        </x:is>
      </x:c>
    </x:row>
    <x:row r="1276" ht="22" customHeight="1">
      <x:c r="A1276" s="604" t="inlineStr">
        <x:is>
          <x:t xml:space="preserve">2026-10-07</x:t>
        </x:is>
      </x:c>
      <x:c r="B1276" s="604" t="inlineStr">
        <x:is>
          <x:t xml:space="preserve">2026-10-08 00:00</x:t>
        </x:is>
      </x:c>
      <x:c r="C1276" s="604" t="str">
        <x:v>西亚/中亚系列</x:v>
      </x:c>
      <x:c r="D1276" s="604" t="inlineStr">
        <x:is>
          <x:t xml:space="preserve">杯赛</x:t>
        </x:is>
      </x:c>
      <x:c r="E1276" s="604" t="inlineStr">
        <x:is>
          <x:t xml:space="preserve">巴王杯</x:t>
        </x:is>
      </x:c>
      <x:c r="F1276" s="604" t="inlineStr">
        <x:is>
          <x:t xml:space="preserve">布赛廷 vs 卡拉利</x:t>
        </x:is>
      </x:c>
      <x:c r="G1276" s="604" t="n">
        <x:v>0.8</x:v>
      </x:c>
      <x:c r="H1276" s="604" t="n">
        <x:v>1.5</x:v>
      </x:c>
      <x:c r="I1276" s="604" t="n">
        <x:v>1</x:v>
      </x:c>
      <x:c r="J1276" s="604" t="inlineStr">
        <x:is>
          <x:t xml:space="preserve">0.8/1.5/1</x:t>
        </x:is>
      </x:c>
      <x:c r="K1276" s="604" t="inlineStr">
        <x:is>
          <x:t xml:space="preserve">V4-B｜EV +0.1845</x:t>
        </x:is>
      </x:c>
      <x:c r="L1276" s="604" t="inlineStr">
        <x:is>
          <x:t xml:space="preserve">布赛廷</x:t>
        </x:is>
      </x:c>
      <x:c r="M1276" s="604" t="n">
        <x:v>0.6580294811578712</x:v>
      </x:c>
      <x:c r="N1276" s="604" t="inlineStr">
        <x:is>
          <x:t xml:space="preserve">V4纸面入选-B</x:t>
        </x:is>
      </x:c>
      <x:c r="O1276" s="604" t="inlineStr">
        <x:is>
          <x:t xml:space="preserve">1-1</x:t>
        </x:is>
      </x:c>
      <x:c r="P1276" s="604" t="inlineStr">
        <x:is>
          <x:t xml:space="preserve">已结算</x:t>
        </x:is>
      </x:c>
      <x:c r="Q1276" s="646" t="inlineStr">
        <x:is>
          <x:t xml:space="preserve">黑</x:t>
        </x:is>
      </x:c>
      <x:c r="R1276" s="604" t="n">
        <x:v>0.8</x:v>
      </x:c>
      <x:c r="S1276" s="604" t="n">
        <x:v>-1</x:v>
      </x:c>
      <x:c r="T1276" s="604" t="inlineStr">
        <x:is>
          <x:t xml:space="preserve">https://m.titan007.com/analy/Analysis/3099903.htm</x:t>
        </x:is>
      </x:c>
      <x:c r="U1276" s="645" t="str">
        <x:f>IF(Q1276="","",IF(Q1276="待结算","待结算",IF(Q1276="红","黑",IF(Q1276="半红","半黑",IF(Q1276="走","走",IF(Q1276="半黑","半红","红"))))))</x:f>
        <x:v>红</x:v>
      </x:c>
      <x:c r="V1276" s="604" t="n">
        <x:f>IF(OR(Q1276="",Q1276="待结算"),"",IF(L1276=LEFT(F1276,FIND(" vs ",F1276)-1),I1276,G1276))</x:f>
        <x:v>1</x:v>
      </x:c>
      <x:c r="W1276" s="604" t="n">
        <x:f>IF(OR(U1276="",U1276="待结算"),"",IF(U1276="红",V1276,IF(U1276="半红",V1276*0.5,IF(U1276="走",0,IF(U1276="半黑",-0.5,-1)))))</x:f>
        <x:v>1</x:v>
      </x:c>
      <x:c r="X1276" s="604" t="inlineStr">
        <x:is>
          <x:t xml:space="preserve">3099903</x:t>
        </x:is>
      </x:c>
      <x:c r="Y1276" s="604" t="inlineStr">
        <x:is>
          <x:t xml:space="preserve">V4</x:t>
        </x:is>
      </x:c>
      <x:c r="Z1276" s="604" t="inlineStr">
        <x:is>
          <x:t xml:space="preserve">prior-2026-10-07-v1</x:t>
        </x:is>
      </x:c>
      <x:c r="AA1276" s="604" t="inlineStr">
        <x:is>
          <x:t xml:space="preserve">B</x:t>
        </x:is>
      </x:c>
      <x:c r="AB1276" s="604" t="n">
        <x:v>0.6580294811578712</x:v>
      </x:c>
      <x:c r="AC1276" s="604" t="n"/>
      <x:c r="AD1276" s="604" t="n"/>
      <x:c r="AE1276" s="604" t="n"/>
      <x:c r="AF1276" s="604" t="n">
        <x:v>0.3419705188421289</x:v>
      </x:c>
      <x:c r="AG1276" s="604" t="n">
        <x:v>0.1844530660841681</x:v>
      </x:c>
      <x:c r="AH1276" s="604" t="n"/>
      <x:c r="AI1276" s="604" t="n"/>
      <x:c r="AJ1276" s="604" t="n">
        <x:v>0.1844530660841681</x:v>
      </x:c>
      <x:c r="AK1276" s="604" t="n"/>
      <x:c r="AL1276" s="604" t="n"/>
      <x:c r="AM1276" s="604" t="n"/>
      <x:c r="AN1276" s="604" t="inlineStr">
        <x:is>
          <x:t xml:space="preserve">EVALUATED</x:t>
        </x:is>
      </x:c>
      <x:c r="AO1276" s="604" t="inlineStr">
        <x:is>
          <x:t xml:space="preserve">GIVING_VALIDATED_EDGE、BUCKET_PRIOR_ONLY、INTENT_INTERPRETATION_ONLY、FFL_OPTIONAL、EXPERT_MARKET</x:t>
        </x:is>
      </x:c>
      <x:c r="AP1276" s="604" t="inlineStr">
        <x:is>
          <x:t xml:space="preserve">7ac2a843848199f1442e</x:t>
        </x:is>
      </x:c>
      <x:c r="AQ1276" s="604" t="n">
        <x:v>-1.5</x:v>
      </x:c>
      <x:c r="AR1276" s="604" t="n">
        <x:v>0.8</x:v>
      </x:c>
      <x:c r="AS1276" s="604" t="n">
        <x:v>1.5</x:v>
      </x:c>
      <x:c r="AT1276" s="604" t="n">
        <x:v>-1.5</x:v>
      </x:c>
      <x:c r="AU1276" s="604" t="n">
        <x:v>0.8</x:v>
      </x:c>
      <x:c r="AV1276" s="604" t="n">
        <x:v>1</x:v>
      </x:c>
      <x:c r="AW1276" s="604" t="n">
        <x:v>46302.19288847222</x:v>
      </x:c>
      <x:c r="AX1276" s="604" t="inlineStr">
        <x:is>
          <x:t xml:space="preserve">https://simondongxiao.github.io/odds/v4/</x:t>
        </x:is>
      </x:c>
      <x:c r="AY1276" s="604" t="inlineStr">
        <x:is>
          <x:t xml:space="preserve">V4 Shadow Only；real_money=false；P(EV&gt;0)不是比赛胜率</x:t>
        </x:is>
      </x:c>
    </x:row>
    <x:row r="1277" ht="22" customHeight="1">
      <x:c r="A1277" s="604" t="inlineStr">
        <x:is>
          <x:t xml:space="preserve">2026-10-07</x:t>
        </x:is>
      </x:c>
      <x:c r="B1277" s="604" t="inlineStr">
        <x:is>
          <x:t xml:space="preserve">2026-10-08 00:00</x:t>
        </x:is>
      </x:c>
      <x:c r="C1277" s="604" t="str">
        <x:v>西亚/中亚系列</x:v>
      </x:c>
      <x:c r="D1277" s="604" t="inlineStr">
        <x:is>
          <x:t xml:space="preserve">杯赛</x:t>
        </x:is>
      </x:c>
      <x:c r="E1277" s="604" t="inlineStr">
        <x:is>
          <x:t xml:space="preserve">巴王杯</x:t>
        </x:is>
      </x:c>
      <x:c r="F1277" s="604" t="inlineStr">
        <x:is>
          <x:t xml:space="preserve">塔德赫蒙 vs 阿尔里夫</x:t>
        </x:is>
      </x:c>
      <x:c r="G1277" s="604" t="n">
        <x:v>0.93</x:v>
      </x:c>
      <x:c r="H1277" s="604" t="n">
        <x:v>1.75</x:v>
      </x:c>
      <x:c r="I1277" s="604" t="n">
        <x:v>0.88</x:v>
      </x:c>
      <x:c r="J1277" s="604" t="inlineStr">
        <x:is>
          <x:t xml:space="preserve">0.93/1.75/0.88</x:t>
        </x:is>
      </x:c>
      <x:c r="K1277" s="604" t="inlineStr">
        <x:is>
          <x:t xml:space="preserve">V4-B｜EV +0.0986</x:t>
        </x:is>
      </x:c>
      <x:c r="L1277" s="604" t="inlineStr">
        <x:is>
          <x:t xml:space="preserve">塔德赫蒙</x:t>
        </x:is>
      </x:c>
      <x:c r="M1277" s="604" t="n">
        <x:v>0.5763994302558915</x:v>
      </x:c>
      <x:c r="N1277" s="604" t="inlineStr">
        <x:is>
          <x:t xml:space="preserve">V4纸面入选-B</x:t>
        </x:is>
      </x:c>
      <x:c r="O1277" s="604" t="inlineStr">
        <x:is>
          <x:t xml:space="preserve">3-1</x:t>
        </x:is>
      </x:c>
      <x:c r="P1277" s="604" t="inlineStr">
        <x:is>
          <x:t xml:space="preserve">已结算</x:t>
        </x:is>
      </x:c>
      <x:c r="Q1277" s="649" t="inlineStr">
        <x:is>
          <x:t xml:space="preserve">半红</x:t>
        </x:is>
      </x:c>
      <x:c r="R1277" s="604" t="n">
        <x:v>0.93</x:v>
      </x:c>
      <x:c r="S1277" s="604" t="n">
        <x:v>0.465</x:v>
      </x:c>
      <x:c r="T1277" s="604" t="inlineStr">
        <x:is>
          <x:t xml:space="preserve">https://m.titan007.com/analy/Analysis/3099904.htm</x:t>
        </x:is>
      </x:c>
      <x:c r="U1277" s="648" t="str">
        <x:f>IF(Q1277="","",IF(Q1277="待结算","待结算",IF(Q1277="红","黑",IF(Q1277="半红","半黑",IF(Q1277="走","走",IF(Q1277="半黑","半红","红"))))))</x:f>
        <x:v>半黑</x:v>
      </x:c>
      <x:c r="V1277" s="604" t="n">
        <x:f>IF(OR(Q1277="",Q1277="待结算"),"",IF(L1277=LEFT(F1277,FIND(" vs ",F1277)-1),I1277,G1277))</x:f>
        <x:v>0.88</x:v>
      </x:c>
      <x:c r="W1277" s="604" t="n">
        <x:f>IF(OR(U1277="",U1277="待结算"),"",IF(U1277="红",V1277,IF(U1277="半红",V1277*0.5,IF(U1277="走",0,IF(U1277="半黑",-0.5,-1)))))</x:f>
        <x:v>-0.5</x:v>
      </x:c>
      <x:c r="X1277" s="604" t="inlineStr">
        <x:is>
          <x:t xml:space="preserve">3099904</x:t>
        </x:is>
      </x:c>
      <x:c r="Y1277" s="604" t="inlineStr">
        <x:is>
          <x:t xml:space="preserve">V4</x:t>
        </x:is>
      </x:c>
      <x:c r="Z1277" s="604" t="inlineStr">
        <x:is>
          <x:t xml:space="preserve">prior-2026-10-07-v1</x:t>
        </x:is>
      </x:c>
      <x:c r="AA1277" s="604" t="inlineStr">
        <x:is>
          <x:t xml:space="preserve">B</x:t>
        </x:is>
      </x:c>
      <x:c r="AB1277" s="604" t="n">
        <x:v>0.3829172877127546</x:v>
      </x:c>
      <x:c r="AC1277" s="604" t="n">
        <x:v>0.2454734997103235</x:v>
      </x:c>
      <x:c r="AD1277" s="604" t="n"/>
      <x:c r="AE1277" s="604" t="n"/>
      <x:c r="AF1277" s="604" t="n">
        <x:v>0.3716092125769219</x:v>
      </x:c>
      <x:c r="AG1277" s="604" t="n">
        <x:v>0.09864904236124028</x:v>
      </x:c>
      <x:c r="AH1277" s="604" t="n"/>
      <x:c r="AI1277" s="604" t="n"/>
      <x:c r="AJ1277" s="604" t="n">
        <x:v>0.09864904236124028</x:v>
      </x:c>
      <x:c r="AK1277" s="604" t="n"/>
      <x:c r="AL1277" s="604" t="n"/>
      <x:c r="AM1277" s="604" t="n"/>
      <x:c r="AN1277" s="604" t="inlineStr">
        <x:is>
          <x:t xml:space="preserve">EVALUATED</x:t>
        </x:is>
      </x:c>
      <x:c r="AO1277" s="604" t="inlineStr">
        <x:is>
          <x:t xml:space="preserve">GIVING_VALIDATED_EDGE、BUCKET_PRIOR_ONLY、INTENT_INTERPRETATION_ONLY、FFL_OPTIONAL、EXPERT_MARKET</x:t>
        </x:is>
      </x:c>
      <x:c r="AP1277" s="604" t="inlineStr">
        <x:is>
          <x:t xml:space="preserve">bf40007b0e6734d341cb</x:t>
        </x:is>
      </x:c>
      <x:c r="AQ1277" s="604" t="n">
        <x:v>-1.75</x:v>
      </x:c>
      <x:c r="AR1277" s="604" t="n">
        <x:v>0.93</x:v>
      </x:c>
      <x:c r="AS1277" s="604" t="n">
        <x:v>1.75</x:v>
      </x:c>
      <x:c r="AT1277" s="604" t="n">
        <x:v>-1.75</x:v>
      </x:c>
      <x:c r="AU1277" s="604" t="n">
        <x:v>0.93</x:v>
      </x:c>
      <x:c r="AV1277" s="604" t="n">
        <x:v>0.88</x:v>
      </x:c>
      <x:c r="AW1277" s="604" t="n">
        <x:v>46302.19288847222</x:v>
      </x:c>
      <x:c r="AX1277" s="604" t="inlineStr">
        <x:is>
          <x:t xml:space="preserve">https://simondongxiao.github.io/odds/v4/</x:t>
        </x:is>
      </x:c>
      <x:c r="AY1277" s="604" t="inlineStr">
        <x:is>
          <x:t xml:space="preserve">V4 Shadow Only；real_money=false；P(EV&gt;0)不是比赛胜率</x:t>
        </x:is>
      </x:c>
    </x:row>
    <x:row r="1278" ht="22" customHeight="1">
      <x:c r="A1278" s="604" t="inlineStr">
        <x:is>
          <x:t xml:space="preserve">2026-10-07</x:t>
        </x:is>
      </x:c>
      <x:c r="B1278" s="604" t="inlineStr">
        <x:is>
          <x:t xml:space="preserve">2026-10-08 01:00</x:t>
        </x:is>
      </x:c>
      <x:c r="C1278" s="604" t="str">
        <x:v>其他系列</x:v>
      </x:c>
      <x:c r="D1278" s="604" t="inlineStr">
        <x:is>
          <x:t xml:space="preserve">杯赛</x:t>
        </x:is>
      </x:c>
      <x:c r="E1278" s="604" t="inlineStr">
        <x:is>
          <x:t xml:space="preserve">埃及联杯</x:t>
        </x:is>
      </x:c>
      <x:c r="F1278" s="604" t="inlineStr">
        <x:is>
          <x:t xml:space="preserve">扎马雷克 vs 泽德FC</x:t>
        </x:is>
      </x:c>
      <x:c r="G1278" s="604" t="n">
        <x:v>0.84</x:v>
      </x:c>
      <x:c r="H1278" s="604" t="n">
        <x:v>-1.25</x:v>
      </x:c>
      <x:c r="I1278" s="604" t="n">
        <x:v>0.92</x:v>
      </x:c>
      <x:c r="J1278" s="604" t="inlineStr">
        <x:is>
          <x:t xml:space="preserve">0.84/-1.25/0.92</x:t>
        </x:is>
      </x:c>
      <x:c r="K1278" s="604" t="inlineStr">
        <x:is>
          <x:t xml:space="preserve">V4-B｜EV +0.7977</x:t>
        </x:is>
      </x:c>
      <x:c r="L1278" s="604" t="inlineStr">
        <x:is>
          <x:t xml:space="preserve">扎马雷克</x:t>
        </x:is>
      </x:c>
      <x:c r="M1278" s="604" t="n">
        <x:v>0.9882272893704572</x:v>
      </x:c>
      <x:c r="N1278" s="604" t="inlineStr">
        <x:is>
          <x:t xml:space="preserve">V4纸面入选-B</x:t>
        </x:is>
      </x:c>
      <x:c r="O1278" s="604" t="inlineStr">
        <x:is>
          <x:t xml:space="preserve">0-3</x:t>
        </x:is>
      </x:c>
      <x:c r="P1278" s="604" t="inlineStr">
        <x:is>
          <x:t xml:space="preserve">已结算</x:t>
        </x:is>
      </x:c>
      <x:c r="Q1278" s="646" t="inlineStr">
        <x:is>
          <x:t xml:space="preserve">黑</x:t>
        </x:is>
      </x:c>
      <x:c r="R1278" s="604" t="n">
        <x:v>0.84</x:v>
      </x:c>
      <x:c r="S1278" s="604" t="n">
        <x:v>-1</x:v>
      </x:c>
      <x:c r="T1278" s="604" t="inlineStr">
        <x:is>
          <x:t xml:space="preserve">https://m.titan007.com/analy/Analysis/3094145.htm</x:t>
        </x:is>
      </x:c>
      <x:c r="U1278" s="645" t="str">
        <x:f>IF(Q1278="","",IF(Q1278="待结算","待结算",IF(Q1278="红","黑",IF(Q1278="半红","半黑",IF(Q1278="走","走",IF(Q1278="半黑","半红","红"))))))</x:f>
        <x:v>红</x:v>
      </x:c>
      <x:c r="V1278" s="604" t="n">
        <x:f>IF(OR(Q1278="",Q1278="待结算"),"",IF(L1278=LEFT(F1278,FIND(" vs ",F1278)-1),I1278,G1278))</x:f>
        <x:v>0.92</x:v>
      </x:c>
      <x:c r="W1278" s="604" t="n">
        <x:f>IF(OR(U1278="",U1278="待结算"),"",IF(U1278="红",V1278,IF(U1278="半红",V1278*0.5,IF(U1278="走",0,IF(U1278="半黑",-0.5,-1)))))</x:f>
        <x:v>0.92</x:v>
      </x:c>
      <x:c r="X1278" s="604" t="inlineStr">
        <x:is>
          <x:t xml:space="preserve">3094145</x:t>
        </x:is>
      </x:c>
      <x:c r="Y1278" s="604" t="inlineStr">
        <x:is>
          <x:t xml:space="preserve">V4</x:t>
        </x:is>
      </x:c>
      <x:c r="Z1278" s="604" t="inlineStr">
        <x:is>
          <x:t xml:space="preserve">prior-2026-10-07-v1</x:t>
        </x:is>
      </x:c>
      <x:c r="AA1278" s="604" t="inlineStr">
        <x:is>
          <x:t xml:space="preserve">B</x:t>
        </x:is>
      </x:c>
      <x:c r="AB1278" s="604" t="n">
        <x:v>0.9380247890494696</x:v>
      </x:c>
      <x:c r="AC1278" s="604" t="n">
        <x:v>0.05049975985077997</x:v>
      </x:c>
      <x:c r="AD1278" s="604" t="n"/>
      <x:c r="AE1278" s="604" t="n"/>
      <x:c r="AF1278" s="604" t="n">
        <x:v>0.01147545109975051</x:v>
      </x:c>
      <x:c r="AG1278" s="604" t="n">
        <x:v>0.7976752708391316</x:v>
      </x:c>
      <x:c r="AH1278" s="604" t="n"/>
      <x:c r="AI1278" s="604" t="n"/>
      <x:c r="AJ1278" s="604" t="n">
        <x:v>0.7976752708391316</x:v>
      </x:c>
      <x:c r="AK1278" s="604" t="n"/>
      <x:c r="AL1278" s="604" t="n"/>
      <x:c r="AM1278" s="604" t="n"/>
      <x:c r="AN1278" s="604" t="inlineStr">
        <x:is>
          <x:t xml:space="preserve">EVALUATED</x:t>
        </x:is>
      </x:c>
      <x:c r="AO1278" s="604" t="inlineStr">
        <x:is>
          <x:t xml:space="preserve">RECEIVING_VALIDATED_EDGE、BUCKET_PRIOR_ONLY、INTENT_INTERPRETATION_ONLY、FFL_OPTIONAL、EXPERT_MARKET</x:t>
        </x:is>
      </x:c>
      <x:c r="AP1278" s="604" t="inlineStr">
        <x:is>
          <x:t xml:space="preserve">fe3f6eeafd989f72ac04</x:t>
        </x:is>
      </x:c>
      <x:c r="AQ1278" s="604" t="n">
        <x:v>1.25</x:v>
      </x:c>
      <x:c r="AR1278" s="604" t="n">
        <x:v>0.84</x:v>
      </x:c>
      <x:c r="AS1278" s="604" t="n">
        <x:v>-1.25</x:v>
      </x:c>
      <x:c r="AT1278" s="604" t="n">
        <x:v>1.25</x:v>
      </x:c>
      <x:c r="AU1278" s="604" t="n">
        <x:v>0.84</x:v>
      </x:c>
      <x:c r="AV1278" s="604" t="n">
        <x:v>0.92</x:v>
      </x:c>
      <x:c r="AW1278" s="604" t="n">
        <x:v>46302.19288847222</x:v>
      </x:c>
      <x:c r="AX1278" s="604" t="inlineStr">
        <x:is>
          <x:t xml:space="preserve">https://simondongxiao.github.io/odds/v4/</x:t>
        </x:is>
      </x:c>
      <x:c r="AY1278" s="604" t="inlineStr">
        <x:is>
          <x:t xml:space="preserve">V4 Shadow Only；real_money=false；P(EV&gt;0)不是比赛胜率</x:t>
        </x:is>
      </x:c>
    </x:row>
    <x:row r="1279" ht="22" customHeight="1">
      <x:c r="A1279" s="604" t="inlineStr">
        <x:is>
          <x:t xml:space="preserve">2026-10-07</x:t>
        </x:is>
      </x:c>
      <x:c r="B1279" s="604" t="inlineStr">
        <x:is>
          <x:t xml:space="preserve">2026-10-08 01:00</x:t>
        </x:is>
      </x:c>
      <x:c r="C1279" s="604" t="str">
        <x:v>欧洲非五大系列</x:v>
      </x:c>
      <x:c r="D1279" s="604" t="inlineStr">
        <x:is>
          <x:t xml:space="preserve">杯赛</x:t>
        </x:is>
      </x:c>
      <x:c r="E1279" s="604" t="inlineStr">
        <x:is>
          <x:t xml:space="preserve">土杯</x:t>
        </x:is>
      </x:c>
      <x:c r="F1279" s="604" t="inlineStr">
        <x:is>
          <x:t xml:space="preserve">埃斯基谢希尔体育 vs 阿克谢希尔士邦</x:t>
        </x:is>
      </x:c>
      <x:c r="G1279" s="604" t="n">
        <x:v>0.83</x:v>
      </x:c>
      <x:c r="H1279" s="604" t="n">
        <x:v>2.25</x:v>
      </x:c>
      <x:c r="I1279" s="604" t="n">
        <x:v>0.98</x:v>
      </x:c>
      <x:c r="J1279" s="604" t="inlineStr">
        <x:is>
          <x:t xml:space="preserve">0.83/2.25/0.98</x:t>
        </x:is>
      </x:c>
      <x:c r="K1279" s="604" t="inlineStr">
        <x:is>
          <x:t xml:space="preserve">V4-B｜EV +0.1591</x:t>
        </x:is>
      </x:c>
      <x:c r="L1279" s="604" t="inlineStr">
        <x:is>
          <x:t xml:space="preserve">埃斯基谢希尔体育</x:t>
        </x:is>
      </x:c>
      <x:c r="M1279" s="604" t="n">
        <x:v>0.6440864035736286</x:v>
      </x:c>
      <x:c r="N1279" s="604" t="inlineStr">
        <x:is>
          <x:t xml:space="preserve">V4纸面入选-B</x:t>
        </x:is>
      </x:c>
      <x:c r="O1279" s="604" t="inlineStr">
        <x:is>
          <x:t xml:space="preserve">4-1</x:t>
        </x:is>
      </x:c>
      <x:c r="P1279" s="604" t="inlineStr">
        <x:is>
          <x:t xml:space="preserve">已结算</x:t>
        </x:is>
      </x:c>
      <x:c r="Q1279" s="645" t="inlineStr">
        <x:is>
          <x:t xml:space="preserve">红</x:t>
        </x:is>
      </x:c>
      <x:c r="R1279" s="604" t="n">
        <x:v>0.83</x:v>
      </x:c>
      <x:c r="S1279" s="604" t="n">
        <x:v>0.83</x:v>
      </x:c>
      <x:c r="T1279" s="604" t="inlineStr">
        <x:is>
          <x:t xml:space="preserve">https://m.titan007.com/analy/Analysis/3094015.htm</x:t>
        </x:is>
      </x:c>
      <x:c r="U1279" s="646" t="str">
        <x:f>IF(Q1279="","",IF(Q1279="待结算","待结算",IF(Q1279="红","黑",IF(Q1279="半红","半黑",IF(Q1279="走","走",IF(Q1279="半黑","半红","红"))))))</x:f>
        <x:v>黑</x:v>
      </x:c>
      <x:c r="V1279" s="604" t="n">
        <x:f>IF(OR(Q1279="",Q1279="待结算"),"",IF(L1279=LEFT(F1279,FIND(" vs ",F1279)-1),I1279,G1279))</x:f>
        <x:v>0.98</x:v>
      </x:c>
      <x:c r="W1279" s="604" t="n">
        <x:f>IF(OR(U1279="",U1279="待结算"),"",IF(U1279="红",V1279,IF(U1279="半红",V1279*0.5,IF(U1279="走",0,IF(U1279="半黑",-0.5,-1)))))</x:f>
        <x:v>-1</x:v>
      </x:c>
      <x:c r="X1279" s="604" t="inlineStr">
        <x:is>
          <x:t xml:space="preserve">3094015</x:t>
        </x:is>
      </x:c>
      <x:c r="Y1279" s="604" t="inlineStr">
        <x:is>
          <x:t xml:space="preserve">V4</x:t>
        </x:is>
      </x:c>
      <x:c r="Z1279" s="604" t="inlineStr">
        <x:is>
          <x:t xml:space="preserve">prior-2026-10-07-v1</x:t>
        </x:is>
      </x:c>
      <x:c r="AA1279" s="604" t="inlineStr">
        <x:is>
          <x:t xml:space="preserve">B</x:t>
        </x:is>
      </x:c>
      <x:c r="AB1279" s="604" t="n">
        <x:v>0.5734110509718441</x:v>
      </x:c>
      <x:c r="AC1279" s="604" t="n"/>
      <x:c r="AD1279" s="604" t="n"/>
      <x:c r="AE1279" s="604" t="n">
        <x:v>0.2194592284813081</x:v>
      </x:c>
      <x:c r="AF1279" s="604" t="n">
        <x:v>0.2071297205468477</x:v>
      </x:c>
      <x:c r="AG1279" s="604" t="n">
        <x:v>0.1590718375191288</x:v>
      </x:c>
      <x:c r="AH1279" s="604" t="n"/>
      <x:c r="AI1279" s="604" t="n"/>
      <x:c r="AJ1279" s="604" t="n">
        <x:v>0.1590718375191288</x:v>
      </x:c>
      <x:c r="AK1279" s="604" t="n"/>
      <x:c r="AL1279" s="604" t="n"/>
      <x:c r="AM1279" s="604" t="n"/>
      <x:c r="AN1279" s="604" t="inlineStr">
        <x:is>
          <x:t xml:space="preserve">EVALUATED</x:t>
        </x:is>
      </x:c>
      <x:c r="AO1279" s="604" t="inlineStr">
        <x:is>
          <x:t xml:space="preserve">GIVING_VALIDATED_EDGE、BUCKET_PRIOR_ONLY、INTENT_INTERPRETATION_ONLY、FFL_OPTIONAL、EXPERT_MARKET</x:t>
        </x:is>
      </x:c>
      <x:c r="AP1279" s="604" t="inlineStr">
        <x:is>
          <x:t xml:space="preserve">51e81b1d06dc606fe085</x:t>
        </x:is>
      </x:c>
      <x:c r="AQ1279" s="604" t="n">
        <x:v>-2.25</x:v>
      </x:c>
      <x:c r="AR1279" s="604" t="n">
        <x:v>0.83</x:v>
      </x:c>
      <x:c r="AS1279" s="604" t="n">
        <x:v>2.25</x:v>
      </x:c>
      <x:c r="AT1279" s="604" t="n">
        <x:v>-2.25</x:v>
      </x:c>
      <x:c r="AU1279" s="604" t="n">
        <x:v>0.83</x:v>
      </x:c>
      <x:c r="AV1279" s="604" t="n">
        <x:v>0.98</x:v>
      </x:c>
      <x:c r="AW1279" s="604" t="n">
        <x:v>46302.19288847222</x:v>
      </x:c>
      <x:c r="AX1279" s="604" t="inlineStr">
        <x:is>
          <x:t xml:space="preserve">https://simondongxiao.github.io/odds/v4/</x:t>
        </x:is>
      </x:c>
      <x:c r="AY1279" s="604" t="inlineStr">
        <x:is>
          <x:t xml:space="preserve">V4 Shadow Only；real_money=false；P(EV&gt;0)不是比赛胜率</x:t>
        </x:is>
      </x:c>
    </x:row>
    <x:row r="1280" ht="22" customHeight="1">
      <x:c r="A1280" s="604" t="inlineStr">
        <x:is>
          <x:t xml:space="preserve">2026-10-07</x:t>
        </x:is>
      </x:c>
      <x:c r="B1280" s="604" t="inlineStr">
        <x:is>
          <x:t xml:space="preserve">2026-10-08 01:00</x:t>
        </x:is>
      </x:c>
      <x:c r="C1280" s="604" t="str">
        <x:v>其他系列</x:v>
      </x:c>
      <x:c r="D1280" s="604" t="inlineStr">
        <x:is>
          <x:t xml:space="preserve">联赛</x:t>
        </x:is>
      </x:c>
      <x:c r="E1280" s="604" t="inlineStr">
        <x:is>
          <x:t xml:space="preserve">阿尔甲</x:t>
        </x:is>
      </x:c>
      <x:c r="F1280" s="604" t="inlineStr">
        <x:is>
          <x:t xml:space="preserve">阿科诺 vs 埃尔比亚尔</x:t>
        </x:is>
      </x:c>
      <x:c r="G1280" s="604" t="n">
        <x:v>0.89</x:v>
      </x:c>
      <x:c r="H1280" s="604" t="n">
        <x:v>0</x:v>
      </x:c>
      <x:c r="I1280" s="604" t="n">
        <x:v>0.8100000000000001</x:v>
      </x:c>
      <x:c r="J1280" s="604" t="inlineStr">
        <x:is>
          <x:t xml:space="preserve">0.89/0/0.81</x:t>
        </x:is>
      </x:c>
      <x:c r="K1280" s="604" t="inlineStr">
        <x:is>
          <x:t xml:space="preserve">V4-C｜EV +0.0374</x:t>
        </x:is>
      </x:c>
      <x:c r="L1280" s="604" t="str"/>
      <x:c r="M1280" s="604" t="n">
        <x:v>0.5518379898547721</x:v>
      </x:c>
      <x:c r="N1280" s="604" t="inlineStr">
        <x:is>
          <x:t xml:space="preserve">V4纸面入选-C</x:t>
        </x:is>
      </x:c>
      <x:c r="O1280" s="604" t="inlineStr">
        <x:is>
          <x:t xml:space="preserve">2-2</x:t>
        </x:is>
      </x:c>
      <x:c r="P1280" s="604" t="inlineStr">
        <x:is>
          <x:t xml:space="preserve">已结算</x:t>
        </x:is>
      </x:c>
      <x:c r="Q1280" s="647" t="inlineStr">
        <x:is>
          <x:t xml:space="preserve">走</x:t>
        </x:is>
      </x:c>
      <x:c r="R1280" s="604" t="n">
        <x:v>0.8100000000000001</x:v>
      </x:c>
      <x:c r="S1280" s="604" t="n">
        <x:f>IF(OR(Q1280="",Q1280="待结算"),"",IF(Q1280="红",R1280,IF(Q1280="半红",R1280*0.5,IF(Q1280="走",0,IF(Q1280="半黑",-0.5,-1)))))</x:f>
        <x:v>0</x:v>
      </x:c>
      <x:c r="T1280" s="604" t="inlineStr">
        <x:is>
          <x:t xml:space="preserve">https://m.titan007.com/analy/Analysis/3056758.htm</x:t>
        </x:is>
      </x:c>
      <x:c r="U1280" s="647" t="str">
        <x:f>IF(Q1280="","",IF(Q1280="待结算","待结算",IF(Q1280="红","黑",IF(Q1280="半红","半黑",IF(Q1280="走","走",IF(Q1280="半黑","半红","红"))))))</x:f>
        <x:v>走</x:v>
      </x:c>
      <x:c r="V1280" s="604" t="n">
        <x:f>IF(OR(Q1280="",Q1280="待结算"),"",IF(L1280=LEFT(F1280,FIND(" vs ",F1280)-1),I1280,G1280))</x:f>
        <x:v>0.89</x:v>
      </x:c>
      <x:c r="W1280" s="604" t="n">
        <x:f>IF(OR(U1280="",U1280="待结算"),"",IF(U1280="红",V1280,IF(U1280="半红",V1280*0.5,IF(U1280="走",0,IF(U1280="半黑",-0.5,-1)))))</x:f>
        <x:v>0</x:v>
      </x:c>
      <x:c r="X1280" s="604" t="inlineStr">
        <x:is>
          <x:t xml:space="preserve">3056758</x:t>
        </x:is>
      </x:c>
      <x:c r="Y1280" s="604" t="inlineStr">
        <x:is>
          <x:t xml:space="preserve">V4</x:t>
        </x:is>
      </x:c>
      <x:c r="Z1280" s="604" t="inlineStr">
        <x:is>
          <x:t xml:space="preserve">prior-2026-10-07-v1</x:t>
        </x:is>
      </x:c>
      <x:c r="AA1280" s="604" t="inlineStr">
        <x:is>
          <x:t xml:space="preserve">C</x:t>
        </x:is>
      </x:c>
      <x:c r="AB1280" s="604" t="n">
        <x:v>0.4805508482746852</x:v>
      </x:c>
      <x:c r="AC1280" s="604" t="n"/>
      <x:c r="AD1280" s="604" t="n"/>
      <x:c r="AE1280" s="604" t="n">
        <x:v>0.258362573402558</x:v>
      </x:c>
      <x:c r="AF1280" s="604" t="n">
        <x:v>0.2610865783227568</x:v>
      </x:c>
      <x:c r="AG1280" s="604" t="n">
        <x:v>0.03742238994043406</x:v>
      </x:c>
      <x:c r="AH1280" s="604" t="n"/>
      <x:c r="AI1280" s="604" t="n"/>
      <x:c r="AJ1280" s="604" t="n">
        <x:v>0.03742238994043406</x:v>
      </x:c>
      <x:c r="AK1280" s="604" t="n"/>
      <x:c r="AL1280" s="604" t="n"/>
      <x:c r="AM1280" s="604" t="n"/>
      <x:c r="AN1280" s="604" t="inlineStr">
        <x:is>
          <x:t xml:space="preserve">EVALUATED</x:t>
        </x:is>
      </x:c>
      <x:c r="AO1280" s="604" t="inlineStr">
        <x:is>
          <x:t xml:space="preserve">EDGE_BELOW_UNCERTAINTY_THRESHOLD、BUCKET_PRIOR_ONLY、INTENT_INTERPRETATION_ONLY、FFL_OPTIONAL、EXPERT_MARKET</x:t>
        </x:is>
      </x:c>
      <x:c r="AP1280" s="604" t="inlineStr">
        <x:is>
          <x:t xml:space="preserve">ad6ec990c30574f8e9a2</x:t>
        </x:is>
      </x:c>
      <x:c r="AQ1280" s="604" t="n">
        <x:v>0</x:v>
      </x:c>
      <x:c r="AR1280" s="604" t="n"/>
      <x:c r="AS1280" s="604" t="n">
        <x:v>0</x:v>
      </x:c>
      <x:c r="AT1280" s="604" t="n">
        <x:v>0</x:v>
      </x:c>
      <x:c r="AU1280" s="604" t="n">
        <x:v>0.89</x:v>
      </x:c>
      <x:c r="AV1280" s="604" t="n">
        <x:v>0.8100000000000001</x:v>
      </x:c>
      <x:c r="AW1280" s="604" t="n">
        <x:v>46302.19288847222</x:v>
      </x:c>
      <x:c r="AX1280" s="604" t="inlineStr">
        <x:is>
          <x:t xml:space="preserve">https://simondongxiao.github.io/odds/v4/</x:t>
        </x:is>
      </x:c>
      <x:c r="AY1280" s="604" t="inlineStr">
        <x:is>
          <x:t xml:space="preserve">V4 Shadow Only；real_money=false；P(EV&gt;0)不是比赛胜率</x:t>
        </x:is>
      </x:c>
    </x:row>
    <x:row r="1281" ht="22" customHeight="1">
      <x:c r="A1281" s="604" t="inlineStr">
        <x:is>
          <x:t xml:space="preserve">2026-10-07</x:t>
        </x:is>
      </x:c>
      <x:c r="B1281" s="604" t="inlineStr">
        <x:is>
          <x:t xml:space="preserve">2026-10-08 01:00</x:t>
        </x:is>
      </x:c>
      <x:c r="C1281" s="604" t="str">
        <x:v>其他系列</x:v>
      </x:c>
      <x:c r="D1281" s="604" t="inlineStr">
        <x:is>
          <x:t xml:space="preserve">联赛</x:t>
        </x:is>
      </x:c>
      <x:c r="E1281" s="604" t="inlineStr">
        <x:is>
          <x:t xml:space="preserve">阿尔甲</x:t>
        </x:is>
      </x:c>
      <x:c r="F1281" s="604" t="inlineStr">
        <x:is>
          <x:t xml:space="preserve">康士坦丁 vs 比斯克拉</x:t>
        </x:is>
      </x:c>
      <x:c r="G1281" s="604" t="n">
        <x:v>0.78</x:v>
      </x:c>
      <x:c r="H1281" s="604" t="n">
        <x:v>0.75</x:v>
      </x:c>
      <x:c r="I1281" s="604" t="n">
        <x:v>0.92</x:v>
      </x:c>
      <x:c r="J1281" s="604" t="inlineStr">
        <x:is>
          <x:t xml:space="preserve">0.78/0.75/0.92</x:t>
        </x:is>
      </x:c>
      <x:c r="K1281" s="604" t="inlineStr">
        <x:is>
          <x:t xml:space="preserve">V4-A｜EV +0.1963</x:t>
        </x:is>
      </x:c>
      <x:c r="L1281" s="604" t="inlineStr">
        <x:is>
          <x:t xml:space="preserve">康士坦丁</x:t>
        </x:is>
      </x:c>
      <x:c r="M1281" s="604" t="n">
        <x:v>0.6883211387524925</x:v>
      </x:c>
      <x:c r="N1281" s="604" t="inlineStr">
        <x:is>
          <x:t xml:space="preserve">V4纸面入选-A</x:t>
        </x:is>
      </x:c>
      <x:c r="O1281" s="604" t="inlineStr">
        <x:is>
          <x:t xml:space="preserve">4-0</x:t>
        </x:is>
      </x:c>
      <x:c r="P1281" s="604" t="inlineStr">
        <x:is>
          <x:t xml:space="preserve">已结算</x:t>
        </x:is>
      </x:c>
      <x:c r="Q1281" s="645" t="inlineStr">
        <x:is>
          <x:t xml:space="preserve">红</x:t>
        </x:is>
      </x:c>
      <x:c r="R1281" s="604" t="n">
        <x:v>0.78</x:v>
      </x:c>
      <x:c r="S1281" s="604" t="n">
        <x:v>0.78</x:v>
      </x:c>
      <x:c r="T1281" s="604" t="inlineStr">
        <x:is>
          <x:t xml:space="preserve">https://m.titan007.com/analy/Analysis/3056759.htm</x:t>
        </x:is>
      </x:c>
      <x:c r="U1281" s="646" t="str">
        <x:f>IF(Q1281="","",IF(Q1281="待结算","待结算",IF(Q1281="红","黑",IF(Q1281="半红","半黑",IF(Q1281="走","走",IF(Q1281="半黑","半红","红"))))))</x:f>
        <x:v>黑</x:v>
      </x:c>
      <x:c r="V1281" s="604" t="n">
        <x:f>IF(OR(Q1281="",Q1281="待结算"),"",IF(L1281=LEFT(F1281,FIND(" vs ",F1281)-1),I1281,G1281))</x:f>
        <x:v>0.92</x:v>
      </x:c>
      <x:c r="W1281" s="604" t="n">
        <x:f>IF(OR(U1281="",U1281="待结算"),"",IF(U1281="红",V1281,IF(U1281="半红",V1281*0.5,IF(U1281="走",0,IF(U1281="半黑",-0.5,-1)))))</x:f>
        <x:v>-1</x:v>
      </x:c>
      <x:c r="X1281" s="604" t="inlineStr">
        <x:is>
          <x:t xml:space="preserve">3056759</x:t>
        </x:is>
      </x:c>
      <x:c r="Y1281" s="604" t="inlineStr">
        <x:is>
          <x:t xml:space="preserve">V4</x:t>
        </x:is>
      </x:c>
      <x:c r="Z1281" s="604" t="inlineStr">
        <x:is>
          <x:t xml:space="preserve">prior-2026-10-07-v1</x:t>
        </x:is>
      </x:c>
      <x:c r="AA1281" s="604" t="inlineStr">
        <x:is>
          <x:t xml:space="preserve">A</x:t>
        </x:is>
      </x:c>
      <x:c r="AB1281" s="604" t="n">
        <x:v>0.4718214085044533</x:v>
      </x:c>
      <x:c r="AC1281" s="604" t="n">
        <x:v>0.2564674756225724</x:v>
      </x:c>
      <x:c r="AD1281" s="604" t="n"/>
      <x:c r="AE1281" s="604" t="n"/>
      <x:c r="AF1281" s="604" t="n">
        <x:v>0.2717111158729744</x:v>
      </x:c>
      <x:c r="AG1281" s="604" t="n">
        <x:v>0.1963318982533023</x:v>
      </x:c>
      <x:c r="AH1281" s="604" t="n"/>
      <x:c r="AI1281" s="604" t="n"/>
      <x:c r="AJ1281" s="604" t="n">
        <x:v>0.1963318982533023</x:v>
      </x:c>
      <x:c r="AK1281" s="604" t="n"/>
      <x:c r="AL1281" s="604" t="n"/>
      <x:c r="AM1281" s="604" t="n"/>
      <x:c r="AN1281" s="604" t="inlineStr">
        <x:is>
          <x:t xml:space="preserve">EVALUATED</x:t>
        </x:is>
      </x:c>
      <x:c r="AO1281" s="604" t="inlineStr">
        <x:is>
          <x:t xml:space="preserve">GIVING_VALIDATED_EDGE、BUCKET_PRIOR_ONLY、INTENT_INTERPRETATION_ONLY、FFL_OPTIONAL、EXPERT_MARKET</x:t>
        </x:is>
      </x:c>
      <x:c r="AP1281" s="604" t="inlineStr">
        <x:is>
          <x:t xml:space="preserve">7be3e668b7bca9537843</x:t>
        </x:is>
      </x:c>
      <x:c r="AQ1281" s="604" t="n">
        <x:v>-0.75</x:v>
      </x:c>
      <x:c r="AR1281" s="604" t="n">
        <x:v>0.78</x:v>
      </x:c>
      <x:c r="AS1281" s="604" t="n">
        <x:v>0.75</x:v>
      </x:c>
      <x:c r="AT1281" s="604" t="n">
        <x:v>-0.75</x:v>
      </x:c>
      <x:c r="AU1281" s="604" t="n">
        <x:v>0.78</x:v>
      </x:c>
      <x:c r="AV1281" s="604" t="n">
        <x:v>0.92</x:v>
      </x:c>
      <x:c r="AW1281" s="604" t="n">
        <x:v>46302.19288847222</x:v>
      </x:c>
      <x:c r="AX1281" s="604" t="inlineStr">
        <x:is>
          <x:t xml:space="preserve">https://simondongxiao.github.io/odds/v4/</x:t>
        </x:is>
      </x:c>
      <x:c r="AY1281" s="604" t="inlineStr">
        <x:is>
          <x:t xml:space="preserve">V4 Shadow Only；real_money=false；P(EV&gt;0)不是比赛胜率</x:t>
        </x:is>
      </x:c>
    </x:row>
    <x:row r="1282" ht="22" customHeight="1">
      <x:c r="A1282" s="604" t="inlineStr">
        <x:is>
          <x:t xml:space="preserve">2026-10-07</x:t>
        </x:is>
      </x:c>
      <x:c r="B1282" s="604" t="inlineStr">
        <x:is>
          <x:t xml:space="preserve">2026-10-08 02:00</x:t>
        </x:is>
      </x:c>
      <x:c r="C1282" s="604" t="str">
        <x:v>其他系列</x:v>
      </x:c>
      <x:c r="D1282" s="604" t="inlineStr">
        <x:is>
          <x:t xml:space="preserve">联赛</x:t>
        </x:is>
      </x:c>
      <x:c r="E1282" s="604" t="inlineStr">
        <x:is>
          <x:t xml:space="preserve">科特超</x:t>
        </x:is>
      </x:c>
      <x:c r="F1282" s="604" t="inlineStr">
        <x:is>
          <x:t xml:space="preserve">阿博波 vs 斯塔德阿比让</x:t>
        </x:is>
      </x:c>
      <x:c r="G1282" s="604" t="n">
        <x:v>1.05</x:v>
      </x:c>
      <x:c r="H1282" s="604" t="n">
        <x:v>-0.25</x:v>
      </x:c>
      <x:c r="I1282" s="604" t="n">
        <x:v>0.75</x:v>
      </x:c>
      <x:c r="J1282" s="604" t="inlineStr">
        <x:is>
          <x:t xml:space="preserve">1.05/-0.25/0.75</x:t>
        </x:is>
      </x:c>
      <x:c r="K1282" s="604" t="inlineStr">
        <x:is>
          <x:t xml:space="preserve">V4-A｜EV +0.4457</x:t>
        </x:is>
      </x:c>
      <x:c r="L1282" s="604" t="inlineStr">
        <x:is>
          <x:t xml:space="preserve">阿博波</x:t>
        </x:is>
      </x:c>
      <x:c r="M1282" s="604" t="n">
        <x:v>0.7364112836740404</x:v>
      </x:c>
      <x:c r="N1282" s="604" t="inlineStr">
        <x:is>
          <x:t xml:space="preserve">V4纸面入选-A</x:t>
        </x:is>
      </x:c>
      <x:c r="O1282" s="604" t="inlineStr">
        <x:is>
          <x:t xml:space="preserve">0-0</x:t>
        </x:is>
      </x:c>
      <x:c r="P1282" s="604" t="inlineStr">
        <x:is>
          <x:t xml:space="preserve">已结算</x:t>
        </x:is>
      </x:c>
      <x:c r="Q1282" s="649" t="inlineStr">
        <x:is>
          <x:t xml:space="preserve">半红</x:t>
        </x:is>
      </x:c>
      <x:c r="R1282" s="604" t="n">
        <x:v>1.05</x:v>
      </x:c>
      <x:c r="S1282" s="604" t="n">
        <x:f>IF(OR(Q1282="",Q1282="待结算"),"",IF(Q1282="红",R1282,IF(Q1282="半红",R1282*0.5,IF(Q1282="走",0,IF(Q1282="半黑",-0.5,-1)))))</x:f>
        <x:v>0.525</x:v>
      </x:c>
      <x:c r="T1282" s="604" t="inlineStr">
        <x:is>
          <x:t xml:space="preserve">https://m.titan007.com/analy/Analysis/3097330.htm</x:t>
        </x:is>
      </x:c>
      <x:c r="U1282" s="648" t="str">
        <x:f>IF(Q1282="","",IF(Q1282="待结算","待结算",IF(Q1282="红","黑",IF(Q1282="半红","半黑",IF(Q1282="走","走",IF(Q1282="半黑","半红","红"))))))</x:f>
        <x:v>半黑</x:v>
      </x:c>
      <x:c r="V1282" s="604" t="n">
        <x:f>IF(OR(Q1282="",Q1282="待结算"),"",IF(L1282=LEFT(F1282,FIND(" vs ",F1282)-1),I1282,G1282))</x:f>
        <x:v>0.75</x:v>
      </x:c>
      <x:c r="W1282" s="604" t="n">
        <x:f>IF(OR(U1282="",U1282="待结算"),"",IF(U1282="红",V1282,IF(U1282="半红",V1282*0.5,IF(U1282="走",0,IF(U1282="半黑",-0.5,-1)))))</x:f>
        <x:v>-0.5</x:v>
      </x:c>
      <x:c r="X1282" s="604" t="inlineStr">
        <x:is>
          <x:t xml:space="preserve">3097330</x:t>
        </x:is>
      </x:c>
      <x:c r="Y1282" s="604" t="inlineStr">
        <x:is>
          <x:t xml:space="preserve">V4</x:t>
        </x:is>
      </x:c>
      <x:c r="Z1282" s="604" t="inlineStr">
        <x:is>
          <x:t xml:space="preserve">prior-2026-10-07-v1</x:t>
        </x:is>
      </x:c>
      <x:c r="AA1282" s="604" t="inlineStr">
        <x:is>
          <x:t xml:space="preserve">A</x:t>
        </x:is>
      </x:c>
      <x:c r="AB1282" s="604" t="n">
        <x:v>0.5185336493245942</x:v>
      </x:c>
      <x:c r="AC1282" s="604" t="n">
        <x:v>0.2509516453825881</x:v>
      </x:c>
      <x:c r="AD1282" s="604" t="n"/>
      <x:c r="AE1282" s="604" t="n"/>
      <x:c r="AF1282" s="604" t="n">
        <x:v>0.2305147052928177</x:v>
      </x:c>
      <x:c r="AG1282" s="604" t="n">
        <x:v>0.4456952403238651</x:v>
      </x:c>
      <x:c r="AH1282" s="604" t="n"/>
      <x:c r="AI1282" s="604" t="n"/>
      <x:c r="AJ1282" s="604" t="n">
        <x:v>0.4456952403238651</x:v>
      </x:c>
      <x:c r="AK1282" s="604" t="n"/>
      <x:c r="AL1282" s="604" t="n"/>
      <x:c r="AM1282" s="604" t="n"/>
      <x:c r="AN1282" s="604" t="inlineStr">
        <x:is>
          <x:t xml:space="preserve">EVALUATED</x:t>
        </x:is>
      </x:c>
      <x:c r="AO1282" s="604" t="inlineStr">
        <x:is>
          <x:t xml:space="preserve">RECEIVING_VALIDATED_EDGE、BUCKET_PRIOR_ONLY、INTENT_INTERPRETATION_ONLY、FFL_OPTIONAL、EXPERT_MARKET</x:t>
        </x:is>
      </x:c>
      <x:c r="AP1282" s="604" t="inlineStr">
        <x:is>
          <x:t xml:space="preserve">29f7981e6730786a1541</x:t>
        </x:is>
      </x:c>
      <x:c r="AQ1282" s="604" t="n">
        <x:v>0.25</x:v>
      </x:c>
      <x:c r="AR1282" s="604" t="n">
        <x:v>1.05</x:v>
      </x:c>
      <x:c r="AS1282" s="604" t="n">
        <x:v>-0.25</x:v>
      </x:c>
      <x:c r="AT1282" s="604" t="n">
        <x:v>0.25</x:v>
      </x:c>
      <x:c r="AU1282" s="604" t="n">
        <x:v>1.05</x:v>
      </x:c>
      <x:c r="AV1282" s="604" t="n">
        <x:v>0.75</x:v>
      </x:c>
      <x:c r="AW1282" s="604" t="n">
        <x:v>46302.19288847222</x:v>
      </x:c>
      <x:c r="AX1282" s="604" t="inlineStr">
        <x:is>
          <x:t xml:space="preserve">https://simondongxiao.github.io/odds/v4/</x:t>
        </x:is>
      </x:c>
      <x:c r="AY1282" s="604" t="inlineStr">
        <x:is>
          <x:t xml:space="preserve">V4 Shadow Only；real_money=false；P(EV&gt;0)不是比赛胜率</x:t>
        </x:is>
      </x:c>
    </x:row>
    <x:row r="1283" ht="22" customHeight="1">
      <x:c r="A1283" s="604" t="inlineStr">
        <x:is>
          <x:t xml:space="preserve">2026-10-07</x:t>
        </x:is>
      </x:c>
      <x:c r="B1283" s="604" t="inlineStr">
        <x:is>
          <x:t xml:space="preserve">2026-10-08 02:00</x:t>
        </x:is>
      </x:c>
      <x:c r="C1283" s="604" t="str">
        <x:v>北美系列</x:v>
      </x:c>
      <x:c r="D1283" s="604" t="inlineStr">
        <x:is>
          <x:t xml:space="preserve">联赛</x:t>
        </x:is>
      </x:c>
      <x:c r="E1283" s="604" t="inlineStr">
        <x:is>
          <x:t xml:space="preserve">危地乙</x:t>
        </x:is>
      </x:c>
      <x:c r="F1283" s="604" t="inlineStr">
        <x:is>
          <x:t xml:space="preserve">戈梅拉 vs 奎赫FC</x:t>
        </x:is>
      </x:c>
      <x:c r="G1283" s="604" t="n">
        <x:v>0.85</x:v>
      </x:c>
      <x:c r="H1283" s="604" t="n">
        <x:v>1</x:v>
      </x:c>
      <x:c r="I1283" s="604" t="n">
        <x:v>0.95</x:v>
      </x:c>
      <x:c r="J1283" s="604" t="inlineStr">
        <x:is>
          <x:t xml:space="preserve">0.85/1/0.95</x:t>
        </x:is>
      </x:c>
      <x:c r="K1283" s="604" t="inlineStr">
        <x:is>
          <x:t xml:space="preserve">V4-B｜EV +0.1820</x:t>
        </x:is>
      </x:c>
      <x:c r="L1283" s="604" t="inlineStr">
        <x:is>
          <x:t xml:space="preserve">戈梅拉</x:t>
        </x:is>
      </x:c>
      <x:c r="M1283" s="604" t="n">
        <x:v>0.6719002293568934</x:v>
      </x:c>
      <x:c r="N1283" s="604" t="inlineStr">
        <x:is>
          <x:t xml:space="preserve">V4纸面入选-B</x:t>
        </x:is>
      </x:c>
      <x:c r="O1283" s="604" t="inlineStr">
        <x:is>
          <x:t xml:space="preserve">2-0</x:t>
        </x:is>
      </x:c>
      <x:c r="P1283" s="604" t="inlineStr">
        <x:is>
          <x:t xml:space="preserve">已结算</x:t>
        </x:is>
      </x:c>
      <x:c r="Q1283" s="645" t="inlineStr">
        <x:is>
          <x:t xml:space="preserve">红</x:t>
        </x:is>
      </x:c>
      <x:c r="R1283" s="604" t="n">
        <x:v>0.85</x:v>
      </x:c>
      <x:c r="S1283" s="604" t="n">
        <x:v>0.85</x:v>
      </x:c>
      <x:c r="T1283" s="604" t="inlineStr">
        <x:is>
          <x:t xml:space="preserve">https://m.titan007.com/analy/Analysis/3100044.htm</x:t>
        </x:is>
      </x:c>
      <x:c r="U1283" s="646" t="str">
        <x:f>IF(Q1283="","",IF(Q1283="待结算","待结算",IF(Q1283="红","黑",IF(Q1283="半红","半黑",IF(Q1283="走","走",IF(Q1283="半黑","半红","红"))))))</x:f>
        <x:v>黑</x:v>
      </x:c>
      <x:c r="V1283" s="604" t="n">
        <x:f>IF(OR(Q1283="",Q1283="待结算"),"",IF(L1283=LEFT(F1283,FIND(" vs ",F1283)-1),I1283,G1283))</x:f>
        <x:v>0.95</x:v>
      </x:c>
      <x:c r="W1283" s="604" t="n">
        <x:f>IF(OR(U1283="",U1283="待结算"),"",IF(U1283="红",V1283,IF(U1283="半红",V1283*0.5,IF(U1283="走",0,IF(U1283="半黑",-0.5,-1)))))</x:f>
        <x:v>-1</x:v>
      </x:c>
      <x:c r="X1283" s="604" t="inlineStr">
        <x:is>
          <x:t xml:space="preserve">3100044</x:t>
        </x:is>
      </x:c>
      <x:c r="Y1283" s="604" t="inlineStr">
        <x:is>
          <x:t xml:space="preserve">V4</x:t>
        </x:is>
      </x:c>
      <x:c r="Z1283" s="604" t="inlineStr">
        <x:is>
          <x:t xml:space="preserve">prior-2026-10-07-v1</x:t>
        </x:is>
      </x:c>
      <x:c r="AA1283" s="604" t="inlineStr">
        <x:is>
          <x:t xml:space="preserve">B</x:t>
        </x:is>
      </x:c>
      <x:c r="AB1283" s="604" t="n">
        <x:v>0.5032000154416659</x:v>
      </x:c>
      <x:c r="AC1283" s="604" t="n"/>
      <x:c r="AD1283" s="604" t="n">
        <x:v>0.2510792622837741</x:v>
      </x:c>
      <x:c r="AE1283" s="604" t="n"/>
      <x:c r="AF1283" s="604" t="n">
        <x:v>0.2457207222745599</x:v>
      </x:c>
      <x:c r="AG1283" s="604" t="n">
        <x:v>0.1819992908508561</x:v>
      </x:c>
      <x:c r="AH1283" s="604" t="n"/>
      <x:c r="AI1283" s="604" t="n"/>
      <x:c r="AJ1283" s="604" t="n">
        <x:v>0.1819992908508561</x:v>
      </x:c>
      <x:c r="AK1283" s="604" t="n"/>
      <x:c r="AL1283" s="604" t="n"/>
      <x:c r="AM1283" s="604" t="n"/>
      <x:c r="AN1283" s="604" t="inlineStr">
        <x:is>
          <x:t xml:space="preserve">EVALUATED</x:t>
        </x:is>
      </x:c>
      <x:c r="AO1283" s="604" t="inlineStr">
        <x:is>
          <x:t xml:space="preserve">GIVING_VALIDATED_EDGE、BUCKET_PRIOR_ONLY、INTENT_INTERPRETATION_ONLY、FFL_OPTIONAL、EXPERT_MARKET</x:t>
        </x:is>
      </x:c>
      <x:c r="AP1283" s="604" t="inlineStr">
        <x:is>
          <x:t xml:space="preserve">54c1f0f21b408923840d</x:t>
        </x:is>
      </x:c>
      <x:c r="AQ1283" s="604" t="n">
        <x:v>-1</x:v>
      </x:c>
      <x:c r="AR1283" s="604" t="n">
        <x:v>0.85</x:v>
      </x:c>
      <x:c r="AS1283" s="604" t="n">
        <x:v>1</x:v>
      </x:c>
      <x:c r="AT1283" s="604" t="n">
        <x:v>-1</x:v>
      </x:c>
      <x:c r="AU1283" s="604" t="n">
        <x:v>0.85</x:v>
      </x:c>
      <x:c r="AV1283" s="604" t="n">
        <x:v>0.95</x:v>
      </x:c>
      <x:c r="AW1283" s="604" t="n">
        <x:v>46302.19288847222</x:v>
      </x:c>
      <x:c r="AX1283" s="604" t="inlineStr">
        <x:is>
          <x:t xml:space="preserve">https://simondongxiao.github.io/odds/v4/</x:t>
        </x:is>
      </x:c>
      <x:c r="AY1283" s="604" t="inlineStr">
        <x:is>
          <x:t xml:space="preserve">V4 Shadow Only；real_money=false；P(EV&gt;0)不是比赛胜率</x:t>
        </x:is>
      </x:c>
    </x:row>
    <x:row r="1284" ht="22" customHeight="1">
      <x:c r="A1284" s="604" t="inlineStr">
        <x:is>
          <x:t xml:space="preserve">2026-10-07</x:t>
        </x:is>
      </x:c>
      <x:c r="B1284" s="604" t="inlineStr">
        <x:is>
          <x:t xml:space="preserve">2026-10-08 03:00</x:t>
        </x:is>
      </x:c>
      <x:c r="C1284" s="604" t="str">
        <x:v>其他系列</x:v>
      </x:c>
      <x:c r="D1284" s="604" t="inlineStr">
        <x:is>
          <x:t xml:space="preserve">联赛</x:t>
        </x:is>
      </x:c>
      <x:c r="E1284" s="604" t="inlineStr">
        <x:is>
          <x:t xml:space="preserve">阿尔甲</x:t>
        </x:is>
      </x:c>
      <x:c r="F1284" s="604" t="inlineStr">
        <x:is>
          <x:t xml:space="preserve">贝鲁扎达 vs 汉舍莱</x:t>
        </x:is>
      </x:c>
      <x:c r="G1284" s="604" t="n">
        <x:v>0.87</x:v>
      </x:c>
      <x:c r="H1284" s="604" t="n">
        <x:v>1.25</x:v>
      </x:c>
      <x:c r="I1284" s="604" t="n">
        <x:v>0.83</x:v>
      </x:c>
      <x:c r="J1284" s="604" t="inlineStr">
        <x:is>
          <x:t xml:space="preserve">0.87/1.25/0.83</x:t>
        </x:is>
      </x:c>
      <x:c r="K1284" s="604" t="inlineStr">
        <x:is>
          <x:t xml:space="preserve">V4-A｜EV +0.3031</x:t>
        </x:is>
      </x:c>
      <x:c r="L1284" s="604" t="inlineStr">
        <x:is>
          <x:t xml:space="preserve">贝鲁扎达</x:t>
        </x:is>
      </x:c>
      <x:c r="M1284" s="604" t="n">
        <x:v>0.7171772885470966</x:v>
      </x:c>
      <x:c r="N1284" s="604" t="inlineStr">
        <x:is>
          <x:t xml:space="preserve">V4纸面入选-A</x:t>
        </x:is>
      </x:c>
      <x:c r="O1284" s="604" t="inlineStr">
        <x:is>
          <x:t xml:space="preserve">1-0</x:t>
        </x:is>
      </x:c>
      <x:c r="P1284" s="604" t="inlineStr">
        <x:is>
          <x:t xml:space="preserve">已结算</x:t>
        </x:is>
      </x:c>
      <x:c r="Q1284" s="648" t="inlineStr">
        <x:is>
          <x:t xml:space="preserve">半黑</x:t>
        </x:is>
      </x:c>
      <x:c r="R1284" s="604" t="n">
        <x:v>0.87</x:v>
      </x:c>
      <x:c r="S1284" s="604" t="n">
        <x:v>-0.5</x:v>
      </x:c>
      <x:c r="T1284" s="604" t="inlineStr">
        <x:is>
          <x:t xml:space="preserve">https://m.titan007.com/analy/Analysis/3056760.htm</x:t>
        </x:is>
      </x:c>
      <x:c r="U1284" s="649" t="str">
        <x:f>IF(Q1284="","",IF(Q1284="待结算","待结算",IF(Q1284="红","黑",IF(Q1284="半红","半黑",IF(Q1284="走","走",IF(Q1284="半黑","半红","红"))))))</x:f>
        <x:v>半红</x:v>
      </x:c>
      <x:c r="V1284" s="604" t="n">
        <x:f>IF(OR(Q1284="",Q1284="待结算"),"",IF(L1284=LEFT(F1284,FIND(" vs ",F1284)-1),I1284,G1284))</x:f>
        <x:v>0.83</x:v>
      </x:c>
      <x:c r="W1284" s="604" t="n">
        <x:f>IF(OR(U1284="",U1284="待结算"),"",IF(U1284="红",V1284,IF(U1284="半红",V1284*0.5,IF(U1284="走",0,IF(U1284="半黑",-0.5,-1)))))</x:f>
        <x:v>0.415</x:v>
      </x:c>
      <x:c r="X1284" s="604" t="inlineStr">
        <x:is>
          <x:t xml:space="preserve">3056760</x:t>
        </x:is>
      </x:c>
      <x:c r="Y1284" s="604" t="inlineStr">
        <x:is>
          <x:t xml:space="preserve">V4</x:t>
        </x:is>
      </x:c>
      <x:c r="Z1284" s="604" t="inlineStr">
        <x:is>
          <x:t xml:space="preserve">prior-2026-10-07-v1</x:t>
        </x:is>
      </x:c>
      <x:c r="AA1284" s="604" t="inlineStr">
        <x:is>
          <x:t xml:space="preserve">A</x:t>
        </x:is>
      </x:c>
      <x:c r="AB1284" s="604" t="n">
        <x:v>0.6371367630942159</x:v>
      </x:c>
      <x:c r="AC1284" s="604" t="n"/>
      <x:c r="AD1284" s="604" t="n"/>
      <x:c r="AE1284" s="604" t="n">
        <x:v>0.2232098721782783</x:v>
      </x:c>
      <x:c r="AF1284" s="604" t="n">
        <x:v>0.1396533647275059</x:v>
      </x:c>
      <x:c r="AG1284" s="604" t="n">
        <x:v>0.3030506830753228</x:v>
      </x:c>
      <x:c r="AH1284" s="604" t="n"/>
      <x:c r="AI1284" s="604" t="n"/>
      <x:c r="AJ1284" s="604" t="n">
        <x:v>0.3030506830753228</x:v>
      </x:c>
      <x:c r="AK1284" s="604" t="n"/>
      <x:c r="AL1284" s="604" t="n"/>
      <x:c r="AM1284" s="604" t="n"/>
      <x:c r="AN1284" s="604" t="inlineStr">
        <x:is>
          <x:t xml:space="preserve">EVALUATED</x:t>
        </x:is>
      </x:c>
      <x:c r="AO1284" s="604" t="inlineStr">
        <x:is>
          <x:t xml:space="preserve">GIVING_VALIDATED_EDGE、BUCKET_PRIOR_ONLY、INTENT_INTERPRETATION_ONLY、FFL_OPTIONAL、EXPERT_MARKET</x:t>
        </x:is>
      </x:c>
      <x:c r="AP1284" s="604" t="inlineStr">
        <x:is>
          <x:t xml:space="preserve">1abafd44939be55d7bab</x:t>
        </x:is>
      </x:c>
      <x:c r="AQ1284" s="604" t="n">
        <x:v>-1.25</x:v>
      </x:c>
      <x:c r="AR1284" s="604" t="n">
        <x:v>0.87</x:v>
      </x:c>
      <x:c r="AS1284" s="604" t="n">
        <x:v>1.25</x:v>
      </x:c>
      <x:c r="AT1284" s="604" t="n">
        <x:v>-1.25</x:v>
      </x:c>
      <x:c r="AU1284" s="604" t="n">
        <x:v>0.87</x:v>
      </x:c>
      <x:c r="AV1284" s="604" t="n">
        <x:v>0.83</x:v>
      </x:c>
      <x:c r="AW1284" s="604" t="n">
        <x:v>46302.19288847222</x:v>
      </x:c>
      <x:c r="AX1284" s="604" t="inlineStr">
        <x:is>
          <x:t xml:space="preserve">https://simondongxiao.github.io/odds/v4/</x:t>
        </x:is>
      </x:c>
      <x:c r="AY1284" s="604" t="inlineStr">
        <x:is>
          <x:t xml:space="preserve">V4 Shadow Only；real_money=false；P(EV&gt;0)不是比赛胜率</x:t>
        </x:is>
      </x:c>
    </x:row>
    <x:row r="1285" ht="22" customHeight="1">
      <x:c r="A1285" s="604" t="inlineStr">
        <x:is>
          <x:t xml:space="preserve">2026-10-07</x:t>
        </x:is>
      </x:c>
      <x:c r="B1285" s="604" t="inlineStr">
        <x:is>
          <x:t xml:space="preserve">2026-10-08 03:00</x:t>
        </x:is>
      </x:c>
      <x:c r="C1285" s="604" t="str">
        <x:v>北美系列</x:v>
      </x:c>
      <x:c r="D1285" s="604" t="inlineStr">
        <x:is>
          <x:t xml:space="preserve">联赛</x:t>
        </x:is>
      </x:c>
      <x:c r="E1285" s="604" t="inlineStr">
        <x:is>
          <x:t xml:space="preserve">危地乙</x:t>
        </x:is>
      </x:c>
      <x:c r="F1285" s="604" t="inlineStr">
        <x:is>
          <x:t xml:space="preserve">科特匹克 vs 圣露西亚FC</x:t>
        </x:is>
      </x:c>
      <x:c r="G1285" s="604" t="n">
        <x:v>0.85</x:v>
      </x:c>
      <x:c r="H1285" s="604" t="n">
        <x:v>0.75</x:v>
      </x:c>
      <x:c r="I1285" s="604" t="n">
        <x:v>0.95</x:v>
      </x:c>
      <x:c r="J1285" s="604" t="inlineStr">
        <x:is>
          <x:t xml:space="preserve">0.85/0.75/0.95</x:t>
        </x:is>
      </x:c>
      <x:c r="K1285" s="604" t="inlineStr">
        <x:is>
          <x:t xml:space="preserve">V4-B｜EV +0.1292</x:t>
        </x:is>
      </x:c>
      <x:c r="L1285" s="604" t="inlineStr">
        <x:is>
          <x:t xml:space="preserve">科特匹克</x:t>
        </x:is>
      </x:c>
      <x:c r="M1285" s="604" t="n">
        <x:v>0.6207045033144251</x:v>
      </x:c>
      <x:c r="N1285" s="604" t="inlineStr">
        <x:is>
          <x:t xml:space="preserve">V4纸面入选-B</x:t>
        </x:is>
      </x:c>
      <x:c r="O1285" s="604" t="inlineStr">
        <x:is>
          <x:t xml:space="preserve">1-0</x:t>
        </x:is>
      </x:c>
      <x:c r="P1285" s="604" t="inlineStr">
        <x:is>
          <x:t xml:space="preserve">已结算</x:t>
        </x:is>
      </x:c>
      <x:c r="Q1285" s="649" t="inlineStr">
        <x:is>
          <x:t xml:space="preserve">半红</x:t>
        </x:is>
      </x:c>
      <x:c r="R1285" s="604" t="n">
        <x:v>0.85</x:v>
      </x:c>
      <x:c r="S1285" s="604" t="n">
        <x:v>0.425</x:v>
      </x:c>
      <x:c r="T1285" s="604" t="inlineStr">
        <x:is>
          <x:t xml:space="preserve">https://m.titan007.com/analy/Analysis/3100042.htm</x:t>
        </x:is>
      </x:c>
      <x:c r="U1285" s="648" t="str">
        <x:f>IF(Q1285="","",IF(Q1285="待结算","待结算",IF(Q1285="红","黑",IF(Q1285="半红","半黑",IF(Q1285="走","走",IF(Q1285="半黑","半红","红"))))))</x:f>
        <x:v>半黑</x:v>
      </x:c>
      <x:c r="V1285" s="604" t="n">
        <x:f>IF(OR(Q1285="",Q1285="待结算"),"",IF(L1285=LEFT(F1285,FIND(" vs ",F1285)-1),I1285,G1285))</x:f>
        <x:v>0.95</x:v>
      </x:c>
      <x:c r="W1285" s="604" t="n">
        <x:f>IF(OR(U1285="",U1285="待结算"),"",IF(U1285="红",V1285,IF(U1285="半红",V1285*0.5,IF(U1285="走",0,IF(U1285="半黑",-0.5,-1)))))</x:f>
        <x:v>-0.5</x:v>
      </x:c>
      <x:c r="X1285" s="604" t="inlineStr">
        <x:is>
          <x:t xml:space="preserve">3100042</x:t>
        </x:is>
      </x:c>
      <x:c r="Y1285" s="604" t="inlineStr">
        <x:is>
          <x:t xml:space="preserve">V4</x:t>
        </x:is>
      </x:c>
      <x:c r="Z1285" s="604" t="inlineStr">
        <x:is>
          <x:t xml:space="preserve">prior-2026-10-07-v1</x:t>
        </x:is>
      </x:c>
      <x:c r="AA1285" s="604" t="inlineStr">
        <x:is>
          <x:t xml:space="preserve">B</x:t>
        </x:is>
      </x:c>
      <x:c r="AB1285" s="604" t="n">
        <x:v>0.411802989776901</x:v>
      </x:c>
      <x:c r="AC1285" s="604" t="n">
        <x:v>0.2577909953483927</x:v>
      </x:c>
      <x:c r="AD1285" s="604" t="n"/>
      <x:c r="AE1285" s="604" t="n"/>
      <x:c r="AF1285" s="604" t="n">
        <x:v>0.3304060148747064</x:v>
      </x:c>
      <x:c r="AG1285" s="604" t="n">
        <x:v>0.1291876994587263</x:v>
      </x:c>
      <x:c r="AH1285" s="604" t="n"/>
      <x:c r="AI1285" s="604" t="n"/>
      <x:c r="AJ1285" s="604" t="n">
        <x:v>0.1291876994587263</x:v>
      </x:c>
      <x:c r="AK1285" s="604" t="n"/>
      <x:c r="AL1285" s="604" t="n"/>
      <x:c r="AM1285" s="604" t="n"/>
      <x:c r="AN1285" s="604" t="inlineStr">
        <x:is>
          <x:t xml:space="preserve">EVALUATED</x:t>
        </x:is>
      </x:c>
      <x:c r="AO1285" s="604" t="inlineStr">
        <x:is>
          <x:t xml:space="preserve">GIVING_VALIDATED_EDGE、BUCKET_PRIOR_ONLY、INTENT_INTERPRETATION_ONLY、FFL_OPTIONAL、EXPERT_MARKET</x:t>
        </x:is>
      </x:c>
      <x:c r="AP1285" s="604" t="inlineStr">
        <x:is>
          <x:t xml:space="preserve">461472ab4ba07faf1d37</x:t>
        </x:is>
      </x:c>
      <x:c r="AQ1285" s="604" t="n">
        <x:v>-0.75</x:v>
      </x:c>
      <x:c r="AR1285" s="604" t="n">
        <x:v>0.85</x:v>
      </x:c>
      <x:c r="AS1285" s="604" t="n">
        <x:v>0.75</x:v>
      </x:c>
      <x:c r="AT1285" s="604" t="n">
        <x:v>-0.75</x:v>
      </x:c>
      <x:c r="AU1285" s="604" t="n">
        <x:v>0.85</x:v>
      </x:c>
      <x:c r="AV1285" s="604" t="n">
        <x:v>0.95</x:v>
      </x:c>
      <x:c r="AW1285" s="604" t="n">
        <x:v>46302.19288847222</x:v>
      </x:c>
      <x:c r="AX1285" s="604" t="inlineStr">
        <x:is>
          <x:t xml:space="preserve">https://simondongxiao.github.io/odds/v4/</x:t>
        </x:is>
      </x:c>
      <x:c r="AY1285" s="604" t="inlineStr">
        <x:is>
          <x:t xml:space="preserve">V4 Shadow Only；real_money=false；P(EV&gt;0)不是比赛胜率</x:t>
        </x:is>
      </x:c>
    </x:row>
    <x:row r="1286" ht="22" customHeight="1">
      <x:c r="A1286" s="604" t="inlineStr">
        <x:is>
          <x:t xml:space="preserve">2026-10-07</x:t>
        </x:is>
      </x:c>
      <x:c r="B1286" s="604" t="inlineStr">
        <x:is>
          <x:t xml:space="preserve">2026-10-08 03:00</x:t>
        </x:is>
      </x:c>
      <x:c r="C1286" s="604" t="str">
        <x:v>南美系列</x:v>
      </x:c>
      <x:c r="D1286" s="604" t="inlineStr">
        <x:is>
          <x:t xml:space="preserve">杯赛</x:t>
        </x:is>
      </x:c>
      <x:c r="E1286" s="604" t="inlineStr">
        <x:is>
          <x:t xml:space="preserve">委内杯</x:t>
        </x:is>
      </x:c>
      <x:c r="F1286" s="604" t="inlineStr">
        <x:is>
          <x:t xml:space="preserve">米兰达 vs 阿维拉竞技</x:t>
        </x:is>
      </x:c>
      <x:c r="G1286" s="604" t="n">
        <x:v>0.9399999999999999</x:v>
      </x:c>
      <x:c r="H1286" s="604" t="n">
        <x:v>1</x:v>
      </x:c>
      <x:c r="I1286" s="604" t="n">
        <x:v>0.76</x:v>
      </x:c>
      <x:c r="J1286" s="604" t="inlineStr">
        <x:is>
          <x:t xml:space="preserve">0.94/1/0.76</x:t>
        </x:is>
      </x:c>
      <x:c r="K1286" s="604" t="inlineStr">
        <x:is>
          <x:t xml:space="preserve">V4-B｜EV +0.0847</x:t>
        </x:is>
      </x:c>
      <x:c r="L1286" s="604" t="inlineStr">
        <x:is>
          <x:t xml:space="preserve">米兰达</x:t>
        </x:is>
      </x:c>
      <x:c r="M1286" s="604" t="n">
        <x:v>0.5742519003451523</x:v>
      </x:c>
      <x:c r="N1286" s="604" t="inlineStr">
        <x:is>
          <x:t xml:space="preserve">V4纸面入选-B</x:t>
        </x:is>
      </x:c>
      <x:c r="O1286" s="604" t="inlineStr">
        <x:is>
          <x:t xml:space="preserve">0-0</x:t>
        </x:is>
      </x:c>
      <x:c r="P1286" s="604" t="inlineStr">
        <x:is>
          <x:t xml:space="preserve">已结算</x:t>
        </x:is>
      </x:c>
      <x:c r="Q1286" s="646" t="inlineStr">
        <x:is>
          <x:t xml:space="preserve">黑</x:t>
        </x:is>
      </x:c>
      <x:c r="R1286" s="604" t="n">
        <x:v>0.9399999999999999</x:v>
      </x:c>
      <x:c r="S1286" s="604" t="n">
        <x:v>-1</x:v>
      </x:c>
      <x:c r="T1286" s="604" t="inlineStr">
        <x:is>
          <x:t xml:space="preserve">https://m.titan007.com/analy/Analysis/3006345.htm</x:t>
        </x:is>
      </x:c>
      <x:c r="U1286" s="645" t="str">
        <x:f>IF(Q1286="","",IF(Q1286="待结算","待结算",IF(Q1286="红","黑",IF(Q1286="半红","半黑",IF(Q1286="走","走",IF(Q1286="半黑","半红","红"))))))</x:f>
        <x:v>红</x:v>
      </x:c>
      <x:c r="V1286" s="604" t="n">
        <x:f>IF(OR(Q1286="",Q1286="待结算"),"",IF(L1286=LEFT(F1286,FIND(" vs ",F1286)-1),I1286,G1286))</x:f>
        <x:v>0.76</x:v>
      </x:c>
      <x:c r="W1286" s="604" t="n">
        <x:f>IF(OR(U1286="",U1286="待结算"),"",IF(U1286="红",V1286,IF(U1286="半红",V1286*0.5,IF(U1286="走",0,IF(U1286="半黑",-0.5,-1)))))</x:f>
        <x:v>0.76</x:v>
      </x:c>
      <x:c r="X1286" s="604" t="inlineStr">
        <x:is>
          <x:t xml:space="preserve">3006345</x:t>
        </x:is>
      </x:c>
      <x:c r="Y1286" s="604" t="inlineStr">
        <x:is>
          <x:t xml:space="preserve">V4</x:t>
        </x:is>
      </x:c>
      <x:c r="Z1286" s="604" t="inlineStr">
        <x:is>
          <x:t xml:space="preserve">prior-2026-10-07-v1</x:t>
        </x:is>
      </x:c>
      <x:c r="AA1286" s="604" t="inlineStr">
        <x:is>
          <x:t xml:space="preserve">B</x:t>
        </x:is>
      </x:c>
      <x:c r="AB1286" s="604" t="n">
        <x:v>0.4263959141078216</x:v>
      </x:c>
      <x:c r="AC1286" s="604" t="n"/>
      <x:c r="AD1286" s="604" t="n">
        <x:v>0.2574758327285681</x:v>
      </x:c>
      <x:c r="AE1286" s="604" t="n"/>
      <x:c r="AF1286" s="604" t="n">
        <x:v>0.3161282531636104</x:v>
      </x:c>
      <x:c r="AG1286" s="604" t="n">
        <x:v>0.0846839060977419</x:v>
      </x:c>
      <x:c r="AH1286" s="604" t="n"/>
      <x:c r="AI1286" s="604" t="n"/>
      <x:c r="AJ1286" s="604" t="n">
        <x:v>0.0846839060977419</x:v>
      </x:c>
      <x:c r="AK1286" s="604" t="n"/>
      <x:c r="AL1286" s="604" t="n"/>
      <x:c r="AM1286" s="604" t="n"/>
      <x:c r="AN1286" s="604" t="inlineStr">
        <x:is>
          <x:t xml:space="preserve">EVALUATED</x:t>
        </x:is>
      </x:c>
      <x:c r="AO1286" s="604" t="inlineStr">
        <x:is>
          <x:t xml:space="preserve">GIVING_VALIDATED_EDGE、BUCKET_PRIOR_ONLY、INTENT_INTERPRETATION_ONLY、FFL_OPTIONAL、EXPERT_MARKET</x:t>
        </x:is>
      </x:c>
      <x:c r="AP1286" s="604" t="inlineStr">
        <x:is>
          <x:t xml:space="preserve">14f95a1472b97b6c60c2</x:t>
        </x:is>
      </x:c>
      <x:c r="AQ1286" s="604" t="n">
        <x:v>-1</x:v>
      </x:c>
      <x:c r="AR1286" s="604" t="n">
        <x:v>0.9399999999999999</x:v>
      </x:c>
      <x:c r="AS1286" s="604" t="n">
        <x:v>1</x:v>
      </x:c>
      <x:c r="AT1286" s="604" t="n">
        <x:v>-1</x:v>
      </x:c>
      <x:c r="AU1286" s="604" t="n">
        <x:v>0.9399999999999999</x:v>
      </x:c>
      <x:c r="AV1286" s="604" t="n">
        <x:v>0.76</x:v>
      </x:c>
      <x:c r="AW1286" s="604" t="n">
        <x:v>46302.19288847222</x:v>
      </x:c>
      <x:c r="AX1286" s="604" t="inlineStr">
        <x:is>
          <x:t xml:space="preserve">https://simondongxiao.github.io/odds/v4/</x:t>
        </x:is>
      </x:c>
      <x:c r="AY1286" s="604" t="inlineStr">
        <x:is>
          <x:t xml:space="preserve">V4 Shadow Only；real_money=false；P(EV&gt;0)不是比赛胜率</x:t>
        </x:is>
      </x:c>
    </x:row>
    <x:row r="1287" ht="22" customHeight="1">
      <x:c r="A1287" s="604" t="inlineStr">
        <x:is>
          <x:t xml:space="preserve">2026-10-07</x:t>
        </x:is>
      </x:c>
      <x:c r="B1287" s="604" t="inlineStr">
        <x:is>
          <x:t xml:space="preserve">2026-10-08 03:30</x:t>
        </x:is>
      </x:c>
      <x:c r="C1287" s="604" t="str">
        <x:v>南美系列</x:v>
      </x:c>
      <x:c r="D1287" s="604" t="inlineStr">
        <x:is>
          <x:t xml:space="preserve">杯赛</x:t>
        </x:is>
      </x:c>
      <x:c r="E1287" s="604" t="inlineStr">
        <x:is>
          <x:t xml:space="preserve">委内杯</x:t>
        </x:is>
      </x:c>
      <x:c r="F1287" s="604" t="inlineStr">
        <x:is>
          <x:t xml:space="preserve">萨莫拉FC vs 巴利纳斯竞技</x:t>
        </x:is>
      </x:c>
      <x:c r="G1287" s="604" t="n">
        <x:v>0.8</x:v>
      </x:c>
      <x:c r="H1287" s="604" t="n">
        <x:v>0</x:v>
      </x:c>
      <x:c r="I1287" s="604" t="n">
        <x:v>1</x:v>
      </x:c>
      <x:c r="J1287" s="604" t="inlineStr">
        <x:is>
          <x:t xml:space="preserve">0.8/0/1</x:t>
        </x:is>
      </x:c>
      <x:c r="K1287" s="604" t="inlineStr">
        <x:is>
          <x:t xml:space="preserve">V4-C｜EV +0.0056</x:t>
        </x:is>
      </x:c>
      <x:c r="L1287" s="604" t="str"/>
      <x:c r="M1287" s="604" t="n">
        <x:v>0.5586422040948164</x:v>
      </x:c>
      <x:c r="N1287" s="604" t="inlineStr">
        <x:is>
          <x:t xml:space="preserve">V4纸面入选-C</x:t>
        </x:is>
      </x:c>
      <x:c r="O1287" s="604" t="inlineStr">
        <x:is>
          <x:t xml:space="preserve">0-0</x:t>
        </x:is>
      </x:c>
      <x:c r="P1287" s="604" t="inlineStr">
        <x:is>
          <x:t xml:space="preserve">已结算</x:t>
        </x:is>
      </x:c>
      <x:c r="Q1287" s="647" t="inlineStr">
        <x:is>
          <x:t xml:space="preserve">走</x:t>
        </x:is>
      </x:c>
      <x:c r="R1287" s="604" t="n">
        <x:v>1</x:v>
      </x:c>
      <x:c r="S1287" s="604" t="n">
        <x:f>IF(OR(Q1287="",Q1287="待结算"),"",IF(Q1287="红",R1287,IF(Q1287="半红",R1287*0.5,IF(Q1287="走",0,IF(Q1287="半黑",-0.5,-1)))))</x:f>
        <x:v>0</x:v>
      </x:c>
      <x:c r="T1287" s="604" t="inlineStr">
        <x:is>
          <x:t xml:space="preserve">https://m.titan007.com/analy/Analysis/3006357.htm</x:t>
        </x:is>
      </x:c>
      <x:c r="U1287" s="647" t="str">
        <x:f>IF(Q1287="","",IF(Q1287="待结算","待结算",IF(Q1287="红","黑",IF(Q1287="半红","半黑",IF(Q1287="走","走",IF(Q1287="半黑","半红","红"))))))</x:f>
        <x:v>走</x:v>
      </x:c>
      <x:c r="V1287" s="604" t="n">
        <x:f>IF(OR(Q1287="",Q1287="待结算"),"",IF(L1287=LEFT(F1287,FIND(" vs ",F1287)-1),I1287,G1287))</x:f>
        <x:v>0.8</x:v>
      </x:c>
      <x:c r="W1287" s="604" t="n">
        <x:f>IF(OR(U1287="",U1287="待结算"),"",IF(U1287="红",V1287,IF(U1287="半红",V1287*0.5,IF(U1287="走",0,IF(U1287="半黑",-0.5,-1)))))</x:f>
        <x:v>0</x:v>
      </x:c>
      <x:c r="X1287" s="604" t="inlineStr">
        <x:is>
          <x:t xml:space="preserve">3006357</x:t>
        </x:is>
      </x:c>
      <x:c r="Y1287" s="604" t="inlineStr">
        <x:is>
          <x:t xml:space="preserve">V4</x:t>
        </x:is>
      </x:c>
      <x:c r="Z1287" s="604" t="inlineStr">
        <x:is>
          <x:t xml:space="preserve">prior-2026-10-07-v1</x:t>
        </x:is>
      </x:c>
      <x:c r="AA1287" s="604" t="inlineStr">
        <x:is>
          <x:t xml:space="preserve">C</x:t>
        </x:is>
      </x:c>
      <x:c r="AB1287" s="604" t="n">
        <x:v>0.5586422040948164</x:v>
      </x:c>
      <x:c r="AC1287" s="604" t="n"/>
      <x:c r="AD1287" s="604" t="n"/>
      <x:c r="AE1287" s="604" t="n"/>
      <x:c r="AF1287" s="604" t="n">
        <x:v>0.4413577959051837</x:v>
      </x:c>
      <x:c r="AG1287" s="604" t="n">
        <x:v>0.005555967370669379</x:v>
      </x:c>
      <x:c r="AH1287" s="604" t="n"/>
      <x:c r="AI1287" s="604" t="n"/>
      <x:c r="AJ1287" s="604" t="n">
        <x:v>0.005555967370669379</x:v>
      </x:c>
      <x:c r="AK1287" s="604" t="n"/>
      <x:c r="AL1287" s="604" t="n"/>
      <x:c r="AM1287" s="604" t="n"/>
      <x:c r="AN1287" s="604" t="inlineStr">
        <x:is>
          <x:t xml:space="preserve">EVALUATED</x:t>
        </x:is>
      </x:c>
      <x:c r="AO1287" s="604" t="inlineStr">
        <x:is>
          <x:t xml:space="preserve">EDGE_BELOW_UNCERTAINTY_THRESHOLD、BUCKET_PRIOR_ONLY、INTENT_INTERPRETATION_ONLY、FFL_OPTIONAL、EXPERT_MARKET</x:t>
        </x:is>
      </x:c>
      <x:c r="AP1287" s="604" t="inlineStr">
        <x:is>
          <x:t xml:space="preserve">ffd835c994fd1ea54636</x:t>
        </x:is>
      </x:c>
      <x:c r="AQ1287" s="604" t="n">
        <x:v>0</x:v>
      </x:c>
      <x:c r="AR1287" s="604" t="n"/>
      <x:c r="AS1287" s="604" t="n">
        <x:v>0</x:v>
      </x:c>
      <x:c r="AT1287" s="604" t="n">
        <x:v>0</x:v>
      </x:c>
      <x:c r="AU1287" s="604" t="n">
        <x:v>0.8</x:v>
      </x:c>
      <x:c r="AV1287" s="604" t="n">
        <x:v>1</x:v>
      </x:c>
      <x:c r="AW1287" s="604" t="n">
        <x:v>46302.19288847222</x:v>
      </x:c>
      <x:c r="AX1287" s="604" t="inlineStr">
        <x:is>
          <x:t xml:space="preserve">https://simondongxiao.github.io/odds/v4/</x:t>
        </x:is>
      </x:c>
      <x:c r="AY1287" s="604" t="inlineStr">
        <x:is>
          <x:t xml:space="preserve">V4 Shadow Only；real_money=false；P(EV&gt;0)不是比赛胜率</x:t>
        </x:is>
      </x:c>
    </x:row>
    <x:row r="1288" ht="22" customHeight="1">
      <x:c r="A1288" s="604" t="inlineStr">
        <x:is>
          <x:t xml:space="preserve">2026-10-07</x:t>
        </x:is>
      </x:c>
      <x:c r="B1288" s="604" t="inlineStr">
        <x:is>
          <x:t xml:space="preserve">2026-10-08 03:30</x:t>
        </x:is>
      </x:c>
      <x:c r="C1288" s="604" t="str">
        <x:v>南美系列</x:v>
      </x:c>
      <x:c r="D1288" s="604" t="inlineStr">
        <x:is>
          <x:t xml:space="preserve">杯赛</x:t>
        </x:is>
      </x:c>
      <x:c r="E1288" s="604" t="inlineStr">
        <x:is>
          <x:t xml:space="preserve">委内杯</x:t>
        </x:is>
      </x:c>
      <x:c r="F1288" s="604" t="inlineStr">
        <x:is>
          <x:t xml:space="preserve">麦尼拉斯 vs 莫纳加斯</x:t>
        </x:is>
      </x:c>
      <x:c r="G1288" s="604" t="n">
        <x:v>0.75</x:v>
      </x:c>
      <x:c r="H1288" s="604" t="n">
        <x:v>-0.5</x:v>
      </x:c>
      <x:c r="I1288" s="604" t="n">
        <x:v>0.95</x:v>
      </x:c>
      <x:c r="J1288" s="604" t="inlineStr">
        <x:is>
          <x:t xml:space="preserve">0.75/-0.5/0.95</x:t>
        </x:is>
      </x:c>
      <x:c r="K1288" s="604" t="inlineStr">
        <x:is>
          <x:t xml:space="preserve">V4-B｜EV +0.3344</x:t>
        </x:is>
      </x:c>
      <x:c r="L1288" s="604" t="inlineStr">
        <x:is>
          <x:t xml:space="preserve">麦尼拉斯</x:t>
        </x:is>
      </x:c>
      <x:c r="M1288" s="604" t="n">
        <x:v>0.7625340436652386</x:v>
      </x:c>
      <x:c r="N1288" s="604" t="inlineStr">
        <x:is>
          <x:t xml:space="preserve">V4纸面入选-B</x:t>
        </x:is>
      </x:c>
      <x:c r="O1288" s="604" t="inlineStr">
        <x:is>
          <x:t xml:space="preserve">1-0</x:t>
        </x:is>
      </x:c>
      <x:c r="P1288" s="604" t="inlineStr">
        <x:is>
          <x:t xml:space="preserve">已结算</x:t>
        </x:is>
      </x:c>
      <x:c r="Q1288" s="645" t="inlineStr">
        <x:is>
          <x:t xml:space="preserve">红</x:t>
        </x:is>
      </x:c>
      <x:c r="R1288" s="604" t="n">
        <x:v>0.75</x:v>
      </x:c>
      <x:c r="S1288" s="604" t="n">
        <x:v>0.75</x:v>
      </x:c>
      <x:c r="T1288" s="604" t="inlineStr">
        <x:is>
          <x:t xml:space="preserve">https://m.titan007.com/analy/Analysis/3006393.htm</x:t>
        </x:is>
      </x:c>
      <x:c r="U1288" s="646" t="str">
        <x:f>IF(Q1288="","",IF(Q1288="待结算","待结算",IF(Q1288="红","黑",IF(Q1288="半红","半黑",IF(Q1288="走","走",IF(Q1288="半黑","半红","红"))))))</x:f>
        <x:v>黑</x:v>
      </x:c>
      <x:c r="V1288" s="604" t="n">
        <x:f>IF(OR(Q1288="",Q1288="待结算"),"",IF(L1288=LEFT(F1288,FIND(" vs ",F1288)-1),I1288,G1288))</x:f>
        <x:v>0.95</x:v>
      </x:c>
      <x:c r="W1288" s="604" t="n">
        <x:f>IF(OR(U1288="",U1288="待结算"),"",IF(U1288="红",V1288,IF(U1288="半红",V1288*0.5,IF(U1288="走",0,IF(U1288="半黑",-0.5,-1)))))</x:f>
        <x:v>-1</x:v>
      </x:c>
      <x:c r="X1288" s="604" t="inlineStr">
        <x:is>
          <x:t xml:space="preserve">3006393</x:t>
        </x:is>
      </x:c>
      <x:c r="Y1288" s="604" t="inlineStr">
        <x:is>
          <x:t xml:space="preserve">V4</x:t>
        </x:is>
      </x:c>
      <x:c r="Z1288" s="604" t="inlineStr">
        <x:is>
          <x:t xml:space="preserve">prior-2026-10-07-v1</x:t>
        </x:is>
      </x:c>
      <x:c r="AA1288" s="604" t="inlineStr">
        <x:is>
          <x:t xml:space="preserve">B</x:t>
        </x:is>
      </x:c>
      <x:c r="AB1288" s="604" t="n">
        <x:v>0.7625340436652386</x:v>
      </x:c>
      <x:c r="AC1288" s="604" t="n"/>
      <x:c r="AD1288" s="604" t="n"/>
      <x:c r="AE1288" s="604" t="n"/>
      <x:c r="AF1288" s="604" t="n">
        <x:v>0.2374659563347614</x:v>
      </x:c>
      <x:c r="AG1288" s="604" t="n">
        <x:v>0.3344345764141675</x:v>
      </x:c>
      <x:c r="AH1288" s="604" t="n"/>
      <x:c r="AI1288" s="604" t="n"/>
      <x:c r="AJ1288" s="604" t="n">
        <x:v>0.3344345764141675</x:v>
      </x:c>
      <x:c r="AK1288" s="604" t="n"/>
      <x:c r="AL1288" s="604" t="n"/>
      <x:c r="AM1288" s="604" t="n"/>
      <x:c r="AN1288" s="604" t="inlineStr">
        <x:is>
          <x:t xml:space="preserve">EVALUATED</x:t>
        </x:is>
      </x:c>
      <x:c r="AO1288" s="604" t="inlineStr">
        <x:is>
          <x:t xml:space="preserve">RECEIVING_VALIDATED_EDGE、BUCKET_PRIOR_ONLY、INTENT_INTERPRETATION_ONLY、FFL_OPTIONAL、EXPERT_MARKET</x:t>
        </x:is>
      </x:c>
      <x:c r="AP1288" s="604" t="inlineStr">
        <x:is>
          <x:t xml:space="preserve">5591d7d59e87d5281251</x:t>
        </x:is>
      </x:c>
      <x:c r="AQ1288" s="604" t="n">
        <x:v>0.5</x:v>
      </x:c>
      <x:c r="AR1288" s="604" t="n">
        <x:v>0.75</x:v>
      </x:c>
      <x:c r="AS1288" s="604" t="n">
        <x:v>-0.5</x:v>
      </x:c>
      <x:c r="AT1288" s="604" t="n">
        <x:v>0.5</x:v>
      </x:c>
      <x:c r="AU1288" s="604" t="n">
        <x:v>0.75</x:v>
      </x:c>
      <x:c r="AV1288" s="604" t="n">
        <x:v>0.95</x:v>
      </x:c>
      <x:c r="AW1288" s="604" t="n">
        <x:v>46302.19288847222</x:v>
      </x:c>
      <x:c r="AX1288" s="604" t="inlineStr">
        <x:is>
          <x:t xml:space="preserve">https://simondongxiao.github.io/odds/v4/</x:t>
        </x:is>
      </x:c>
      <x:c r="AY1288" s="604" t="inlineStr">
        <x:is>
          <x:t xml:space="preserve">V4 Shadow Only；real_money=false；P(EV&gt;0)不是比赛胜率</x:t>
        </x:is>
      </x:c>
    </x:row>
    <x:row r="1289" ht="22" customHeight="1">
      <x:c r="A1289" s="604" t="inlineStr">
        <x:is>
          <x:t xml:space="preserve">2026-10-07</x:t>
        </x:is>
      </x:c>
      <x:c r="B1289" s="604" t="inlineStr">
        <x:is>
          <x:t xml:space="preserve">2026-10-08 04:00</x:t>
        </x:is>
      </x:c>
      <x:c r="C1289" s="604" t="str">
        <x:v>南美系列</x:v>
      </x:c>
      <x:c r="D1289" s="604" t="inlineStr">
        <x:is>
          <x:t xml:space="preserve">杯赛</x:t>
        </x:is>
      </x:c>
      <x:c r="E1289" s="604" t="inlineStr">
        <x:is>
          <x:t xml:space="preserve">厄瓜杯</x:t>
        </x:is>
      </x:c>
      <x:c r="F1289" s="604" t="inlineStr">
        <x:is>
          <x:t xml:space="preserve">德芬 vs 山谷独立</x:t>
        </x:is>
      </x:c>
      <x:c r="G1289" s="604" t="n">
        <x:v>1.03</x:v>
      </x:c>
      <x:c r="H1289" s="604" t="n">
        <x:v>-0.75</x:v>
      </x:c>
      <x:c r="I1289" s="604" t="n">
        <x:v>0.78</x:v>
      </x:c>
      <x:c r="J1289" s="604" t="inlineStr">
        <x:is>
          <x:t xml:space="preserve">1.03/-0.75/0.78</x:t>
        </x:is>
      </x:c>
      <x:c r="K1289" s="604" t="inlineStr">
        <x:is>
          <x:t xml:space="preserve">V4-B｜EV +0.8478</x:t>
        </x:is>
      </x:c>
      <x:c r="L1289" s="604" t="inlineStr">
        <x:is>
          <x:t xml:space="preserve">德芬</x:t>
        </x:is>
      </x:c>
      <x:c r="M1289" s="604" t="n">
        <x:v>0.9282902490913955</x:v>
      </x:c>
      <x:c r="N1289" s="604" t="inlineStr">
        <x:is>
          <x:t xml:space="preserve">V4纸面入选-B</x:t>
        </x:is>
      </x:c>
      <x:c r="O1289" s="604" t="inlineStr">
        <x:is>
          <x:t xml:space="preserve">0-0</x:t>
        </x:is>
      </x:c>
      <x:c r="P1289" s="604" t="inlineStr">
        <x:is>
          <x:t xml:space="preserve">已结算</x:t>
        </x:is>
      </x:c>
      <x:c r="Q1289" s="645" t="inlineStr">
        <x:is>
          <x:t xml:space="preserve">红</x:t>
        </x:is>
      </x:c>
      <x:c r="R1289" s="604" t="n">
        <x:v>1.03</x:v>
      </x:c>
      <x:c r="S1289" s="604" t="n">
        <x:f>IF(OR(Q1289="",Q1289="待结算"),"",IF(Q1289="红",R1289,IF(Q1289="半红",R1289*0.5,IF(Q1289="走",0,IF(Q1289="半黑",-0.5,-1)))))</x:f>
        <x:v>1.03</x:v>
      </x:c>
      <x:c r="T1289" s="604" t="inlineStr">
        <x:is>
          <x:t xml:space="preserve">https://m.titan007.com/analy/Analysis/3098456.htm</x:t>
        </x:is>
      </x:c>
      <x:c r="U1289" s="646" t="str">
        <x:f>IF(Q1289="","",IF(Q1289="待结算","待结算",IF(Q1289="红","黑",IF(Q1289="半红","半黑",IF(Q1289="走","走",IF(Q1289="半黑","半红","红"))))))</x:f>
        <x:v>黑</x:v>
      </x:c>
      <x:c r="V1289" s="604" t="n">
        <x:f>IF(OR(Q1289="",Q1289="待结算"),"",IF(L1289=LEFT(F1289,FIND(" vs ",F1289)-1),I1289,G1289))</x:f>
        <x:v>0.78</x:v>
      </x:c>
      <x:c r="W1289" s="604" t="n">
        <x:f>IF(OR(U1289="",U1289="待结算"),"",IF(U1289="红",V1289,IF(U1289="半红",V1289*0.5,IF(U1289="走",0,IF(U1289="半黑",-0.5,-1)))))</x:f>
        <x:v>-1</x:v>
      </x:c>
      <x:c r="X1289" s="604" t="inlineStr">
        <x:is>
          <x:t xml:space="preserve">3098456</x:t>
        </x:is>
      </x:c>
      <x:c r="Y1289" s="604" t="inlineStr">
        <x:is>
          <x:t xml:space="preserve">V4</x:t>
        </x:is>
      </x:c>
      <x:c r="Z1289" s="604" t="inlineStr">
        <x:is>
          <x:t xml:space="preserve">prior-2026-10-07-v1</x:t>
        </x:is>
      </x:c>
      <x:c r="AA1289" s="604" t="inlineStr">
        <x:is>
          <x:t xml:space="preserve">B</x:t>
        </x:is>
      </x:c>
      <x:c r="AB1289" s="604" t="n">
        <x:v>0.8898291212298721</x:v>
      </x:c>
      <x:c r="AC1289" s="604" t="n"/>
      <x:c r="AD1289" s="604" t="n"/>
      <x:c r="AE1289" s="604" t="n">
        <x:v>0.08286444438938965</x:v>
      </x:c>
      <x:c r="AF1289" s="604" t="n">
        <x:v>0.02730643438073824</x:v>
      </x:c>
      <x:c r="AG1289" s="604" t="n">
        <x:v>0.8477853382913353</x:v>
      </x:c>
      <x:c r="AH1289" s="604" t="n"/>
      <x:c r="AI1289" s="604" t="n"/>
      <x:c r="AJ1289" s="604" t="n">
        <x:v>0.8477853382913353</x:v>
      </x:c>
      <x:c r="AK1289" s="604" t="n"/>
      <x:c r="AL1289" s="604" t="n"/>
      <x:c r="AM1289" s="604" t="n"/>
      <x:c r="AN1289" s="604" t="inlineStr">
        <x:is>
          <x:t xml:space="preserve">EVALUATED</x:t>
        </x:is>
      </x:c>
      <x:c r="AO1289" s="604" t="inlineStr">
        <x:is>
          <x:t xml:space="preserve">RECEIVING_VALIDATED_EDGE、BUCKET_PRIOR_ONLY、INTENT_INTERPRETATION_ONLY、FFL_OPTIONAL、EXPERT_MARKET</x:t>
        </x:is>
      </x:c>
      <x:c r="AP1289" s="604" t="inlineStr">
        <x:is>
          <x:t xml:space="preserve">47053988c67e197ff232</x:t>
        </x:is>
      </x:c>
      <x:c r="AQ1289" s="604" t="n">
        <x:v>0.75</x:v>
      </x:c>
      <x:c r="AR1289" s="604" t="n">
        <x:v>1.03</x:v>
      </x:c>
      <x:c r="AS1289" s="604" t="n">
        <x:v>-0.75</x:v>
      </x:c>
      <x:c r="AT1289" s="604" t="n">
        <x:v>0.75</x:v>
      </x:c>
      <x:c r="AU1289" s="604" t="n">
        <x:v>1.03</x:v>
      </x:c>
      <x:c r="AV1289" s="604" t="n">
        <x:v>0.78</x:v>
      </x:c>
      <x:c r="AW1289" s="604" t="n">
        <x:v>46302.19288847222</x:v>
      </x:c>
      <x:c r="AX1289" s="604" t="inlineStr">
        <x:is>
          <x:t xml:space="preserve">https://simondongxiao.github.io/odds/v4/</x:t>
        </x:is>
      </x:c>
      <x:c r="AY1289" s="604" t="inlineStr">
        <x:is>
          <x:t xml:space="preserve">V4 Shadow Only；real_money=false；P(EV&gt;0)不是比赛胜率</x:t>
        </x:is>
      </x:c>
    </x:row>
    <x:row r="1290" ht="22" customHeight="1">
      <x:c r="A1290" s="604" t="inlineStr">
        <x:is>
          <x:t xml:space="preserve">2026-10-07</x:t>
        </x:is>
      </x:c>
      <x:c r="B1290" s="604" t="inlineStr">
        <x:is>
          <x:t xml:space="preserve">2026-10-08 04:00</x:t>
        </x:is>
      </x:c>
      <x:c r="C1290" s="604" t="str">
        <x:v>南美系列</x:v>
      </x:c>
      <x:c r="D1290" s="604" t="inlineStr">
        <x:is>
          <x:t xml:space="preserve">杯赛</x:t>
        </x:is>
      </x:c>
      <x:c r="E1290" s="604" t="inlineStr">
        <x:is>
          <x:t xml:space="preserve">委内杯</x:t>
        </x:is>
      </x:c>
      <x:c r="F1290" s="604" t="inlineStr">
        <x:is>
          <x:t xml:space="preserve">乌勒纳 vs 图积兰奴斯</x:t>
        </x:is>
      </x:c>
      <x:c r="G1290" s="604" t="n">
        <x:v>0.78</x:v>
      </x:c>
      <x:c r="H1290" s="604" t="n">
        <x:v>-0.25</x:v>
      </x:c>
      <x:c r="I1290" s="604" t="n">
        <x:v>0.92</x:v>
      </x:c>
      <x:c r="J1290" s="604" t="inlineStr">
        <x:is>
          <x:t xml:space="preserve">0.78/-0.25/0.92</x:t>
        </x:is>
      </x:c>
      <x:c r="K1290" s="604" t="inlineStr">
        <x:is>
          <x:t xml:space="preserve">V4-B｜EV +0.1432</x:t>
        </x:is>
      </x:c>
      <x:c r="L1290" s="604" t="inlineStr">
        <x:is>
          <x:t xml:space="preserve">乌勒纳</x:t>
        </x:is>
      </x:c>
      <x:c r="M1290" s="604" t="n">
        <x:v>0.6543308932608718</x:v>
      </x:c>
      <x:c r="N1290" s="604" t="inlineStr">
        <x:is>
          <x:t xml:space="preserve">V4纸面入选-B</x:t>
        </x:is>
      </x:c>
      <x:c r="O1290" s="604" t="inlineStr">
        <x:is>
          <x:t xml:space="preserve">2-2</x:t>
        </x:is>
      </x:c>
      <x:c r="P1290" s="604" t="inlineStr">
        <x:is>
          <x:t xml:space="preserve">已结算</x:t>
        </x:is>
      </x:c>
      <x:c r="Q1290" s="649" t="inlineStr">
        <x:is>
          <x:t xml:space="preserve">半红</x:t>
        </x:is>
      </x:c>
      <x:c r="R1290" s="604" t="n">
        <x:v>0.78</x:v>
      </x:c>
      <x:c r="S1290" s="604" t="n">
        <x:v>0.39</x:v>
      </x:c>
      <x:c r="T1290" s="604" t="inlineStr">
        <x:is>
          <x:t xml:space="preserve">https://m.titan007.com/analy/Analysis/3006381.htm</x:t>
        </x:is>
      </x:c>
      <x:c r="U1290" s="648" t="str">
        <x:f>IF(Q1290="","",IF(Q1290="待结算","待结算",IF(Q1290="红","黑",IF(Q1290="半红","半黑",IF(Q1290="走","走",IF(Q1290="半黑","半红","红"))))))</x:f>
        <x:v>半黑</x:v>
      </x:c>
      <x:c r="V1290" s="604" t="n">
        <x:f>IF(OR(Q1290="",Q1290="待结算"),"",IF(L1290=LEFT(F1290,FIND(" vs ",F1290)-1),I1290,G1290))</x:f>
        <x:v>0.92</x:v>
      </x:c>
      <x:c r="W1290" s="604" t="n">
        <x:f>IF(OR(U1290="",U1290="待结算"),"",IF(U1290="红",V1290,IF(U1290="半红",V1290*0.5,IF(U1290="走",0,IF(U1290="半黑",-0.5,-1)))))</x:f>
        <x:v>-0.5</x:v>
      </x:c>
      <x:c r="X1290" s="604" t="inlineStr">
        <x:is>
          <x:t xml:space="preserve">3006381</x:t>
        </x:is>
      </x:c>
      <x:c r="Y1290" s="604" t="inlineStr">
        <x:is>
          <x:t xml:space="preserve">V4</x:t>
        </x:is>
      </x:c>
      <x:c r="Z1290" s="604" t="inlineStr">
        <x:is>
          <x:t xml:space="preserve">prior-2026-10-07-v1</x:t>
        </x:is>
      </x:c>
      <x:c r="AA1290" s="604" t="inlineStr">
        <x:is>
          <x:t xml:space="preserve">B</x:t>
        </x:is>
      </x:c>
      <x:c r="AB1290" s="604" t="n">
        <x:v>0.438059702417938</x:v>
      </x:c>
      <x:c r="AC1290" s="604" t="n">
        <x:v>0.2614606203921381</x:v>
      </x:c>
      <x:c r="AD1290" s="604" t="n"/>
      <x:c r="AE1290" s="604" t="n"/>
      <x:c r="AF1290" s="604" t="n">
        <x:v>0.3004796771899239</x:v>
      </x:c>
      <x:c r="AG1290" s="604" t="n">
        <x:v>0.1431765326490017</x:v>
      </x:c>
      <x:c r="AH1290" s="604" t="n"/>
      <x:c r="AI1290" s="604" t="n"/>
      <x:c r="AJ1290" s="604" t="n">
        <x:v>0.1431765326490017</x:v>
      </x:c>
      <x:c r="AK1290" s="604" t="n"/>
      <x:c r="AL1290" s="604" t="n"/>
      <x:c r="AM1290" s="604" t="n"/>
      <x:c r="AN1290" s="604" t="inlineStr">
        <x:is>
          <x:t xml:space="preserve">EVALUATED</x:t>
        </x:is>
      </x:c>
      <x:c r="AO1290" s="604" t="inlineStr">
        <x:is>
          <x:t xml:space="preserve">RECEIVING_VALIDATED_EDGE、BUCKET_PRIOR_ONLY、INTENT_INTERPRETATION_ONLY、FFL_OPTIONAL、EXPERT_MARKET</x:t>
        </x:is>
      </x:c>
      <x:c r="AP1290" s="604" t="inlineStr">
        <x:is>
          <x:t xml:space="preserve">9a246861426d6cb3d130</x:t>
        </x:is>
      </x:c>
      <x:c r="AQ1290" s="604" t="n">
        <x:v>0.25</x:v>
      </x:c>
      <x:c r="AR1290" s="604" t="n">
        <x:v>0.78</x:v>
      </x:c>
      <x:c r="AS1290" s="604" t="n">
        <x:v>-0.25</x:v>
      </x:c>
      <x:c r="AT1290" s="604" t="n">
        <x:v>0.25</x:v>
      </x:c>
      <x:c r="AU1290" s="604" t="n">
        <x:v>0.78</x:v>
      </x:c>
      <x:c r="AV1290" s="604" t="n">
        <x:v>0.92</x:v>
      </x:c>
      <x:c r="AW1290" s="604" t="n">
        <x:v>46302.19288847222</x:v>
      </x:c>
      <x:c r="AX1290" s="604" t="inlineStr">
        <x:is>
          <x:t xml:space="preserve">https://simondongxiao.github.io/odds/v4/</x:t>
        </x:is>
      </x:c>
      <x:c r="AY1290" s="604" t="inlineStr">
        <x:is>
          <x:t xml:space="preserve">V4 Shadow Only；real_money=false；P(EV&gt;0)不是比赛胜率</x:t>
        </x:is>
      </x:c>
    </x:row>
    <x:row r="1291" ht="22" customHeight="1">
      <x:c r="A1291" s="604" t="inlineStr">
        <x:is>
          <x:t xml:space="preserve">2026-10-07</x:t>
        </x:is>
      </x:c>
      <x:c r="B1291" s="604" t="inlineStr">
        <x:is>
          <x:t xml:space="preserve">2026-10-08 05:00</x:t>
        </x:is>
      </x:c>
      <x:c r="C1291" s="604" t="str">
        <x:v>南美系列</x:v>
      </x:c>
      <x:c r="D1291" s="604" t="inlineStr">
        <x:is>
          <x:t xml:space="preserve">联赛</x:t>
        </x:is>
      </x:c>
      <x:c r="E1291" s="604" t="inlineStr">
        <x:is>
          <x:t xml:space="preserve">哥伦乙秋</x:t>
        </x:is>
      </x:c>
      <x:c r="F1291" s="604" t="inlineStr">
        <x:is>
          <x:t xml:space="preserve">利昂内斯 vs 巴瑞库拉</x:t>
        </x:is>
      </x:c>
      <x:c r="G1291" s="604" t="n">
        <x:v>0.75</x:v>
      </x:c>
      <x:c r="H1291" s="604" t="n">
        <x:v>0</x:v>
      </x:c>
      <x:c r="I1291" s="604" t="n">
        <x:v>0.95</x:v>
      </x:c>
      <x:c r="J1291" s="604" t="inlineStr">
        <x:is>
          <x:t xml:space="preserve">0.75/0/0.95</x:t>
        </x:is>
      </x:c>
      <x:c r="K1291" s="604" t="inlineStr">
        <x:is>
          <x:t xml:space="preserve">V4-C｜EV +0.0466</x:t>
        </x:is>
      </x:c>
      <x:c r="L1291" s="604" t="str"/>
      <x:c r="M1291" s="604" t="n">
        <x:v>0.6018479254881327</x:v>
      </x:c>
      <x:c r="N1291" s="604" t="inlineStr">
        <x:is>
          <x:t xml:space="preserve">V4纸面入选-C</x:t>
        </x:is>
      </x:c>
      <x:c r="O1291" s="604" t="inlineStr">
        <x:is>
          <x:t xml:space="preserve">1-1</x:t>
        </x:is>
      </x:c>
      <x:c r="P1291" s="604" t="inlineStr">
        <x:is>
          <x:t xml:space="preserve">已结算</x:t>
        </x:is>
      </x:c>
      <x:c r="Q1291" s="647" t="inlineStr">
        <x:is>
          <x:t xml:space="preserve">走</x:t>
        </x:is>
      </x:c>
      <x:c r="R1291" s="604" t="n">
        <x:v>0.95</x:v>
      </x:c>
      <x:c r="S1291" s="604" t="n">
        <x:f>IF(OR(Q1291="",Q1291="待结算"),"",IF(Q1291="红",R1291,IF(Q1291="半红",R1291*0.5,IF(Q1291="走",0,IF(Q1291="半黑",-0.5,-1)))))</x:f>
        <x:v>0</x:v>
      </x:c>
      <x:c r="T1291" s="604" t="inlineStr">
        <x:is>
          <x:t xml:space="preserve">https://m.titan007.com/analy/Analysis/3012212.htm</x:t>
        </x:is>
      </x:c>
      <x:c r="U1291" s="647" t="str">
        <x:f>IF(Q1291="","",IF(Q1291="待结算","待结算",IF(Q1291="红","黑",IF(Q1291="半红","半黑",IF(Q1291="走","走",IF(Q1291="半黑","半红","红"))))))</x:f>
        <x:v>走</x:v>
      </x:c>
      <x:c r="V1291" s="604" t="n">
        <x:f>IF(OR(Q1291="",Q1291="待结算"),"",IF(L1291=LEFT(F1291,FIND(" vs ",F1291)-1),I1291,G1291))</x:f>
        <x:v>0.75</x:v>
      </x:c>
      <x:c r="W1291" s="604" t="n">
        <x:f>IF(OR(U1291="",U1291="待结算"),"",IF(U1291="红",V1291,IF(U1291="半红",V1291*0.5,IF(U1291="走",0,IF(U1291="半黑",-0.5,-1)))))</x:f>
        <x:v>0</x:v>
      </x:c>
      <x:c r="X1291" s="604" t="inlineStr">
        <x:is>
          <x:t xml:space="preserve">3012212</x:t>
        </x:is>
      </x:c>
      <x:c r="Y1291" s="604" t="inlineStr">
        <x:is>
          <x:t xml:space="preserve">V4</x:t>
        </x:is>
      </x:c>
      <x:c r="Z1291" s="604" t="inlineStr">
        <x:is>
          <x:t xml:space="preserve">prior-2026-10-07-v1</x:t>
        </x:is>
      </x:c>
      <x:c r="AA1291" s="604" t="inlineStr">
        <x:is>
          <x:t xml:space="preserve">C</x:t>
        </x:is>
      </x:c>
      <x:c r="AB1291" s="604" t="n">
        <x:v>0.5272146442431866</x:v>
      </x:c>
      <x:c r="AC1291" s="604" t="n"/>
      <x:c r="AD1291" s="604" t="n"/>
      <x:c r="AE1291" s="604" t="n">
        <x:v>0.2480137525917842</x:v>
      </x:c>
      <x:c r="AF1291" s="604" t="n">
        <x:v>0.2247716031650293</x:v>
      </x:c>
      <x:c r="AG1291" s="604" t="n">
        <x:v>0.04663250372146863</x:v>
      </x:c>
      <x:c r="AH1291" s="604" t="n"/>
      <x:c r="AI1291" s="604" t="n"/>
      <x:c r="AJ1291" s="604" t="n">
        <x:v>0.04663250372146863</x:v>
      </x:c>
      <x:c r="AK1291" s="604" t="n"/>
      <x:c r="AL1291" s="604" t="n"/>
      <x:c r="AM1291" s="604" t="n"/>
      <x:c r="AN1291" s="604" t="inlineStr">
        <x:is>
          <x:t xml:space="preserve">EVALUATED</x:t>
        </x:is>
      </x:c>
      <x:c r="AO1291" s="604" t="inlineStr">
        <x:is>
          <x:t xml:space="preserve">EDGE_BELOW_UNCERTAINTY_THRESHOLD、BUCKET_PRIOR_ONLY、INTENT_INTERPRETATION_ONLY、FFL_OPTIONAL、EXPERT_MARKET</x:t>
        </x:is>
      </x:c>
      <x:c r="AP1291" s="604" t="inlineStr">
        <x:is>
          <x:t xml:space="preserve">ae0a925e0c48b2cef55f</x:t>
        </x:is>
      </x:c>
      <x:c r="AQ1291" s="604" t="n">
        <x:v>0</x:v>
      </x:c>
      <x:c r="AR1291" s="604" t="n"/>
      <x:c r="AS1291" s="604" t="n">
        <x:v>0</x:v>
      </x:c>
      <x:c r="AT1291" s="604" t="n">
        <x:v>0</x:v>
      </x:c>
      <x:c r="AU1291" s="604" t="n">
        <x:v>0.75</x:v>
      </x:c>
      <x:c r="AV1291" s="604" t="n">
        <x:v>0.95</x:v>
      </x:c>
      <x:c r="AW1291" s="604" t="n">
        <x:v>46302.19288847222</x:v>
      </x:c>
      <x:c r="AX1291" s="604" t="inlineStr">
        <x:is>
          <x:t xml:space="preserve">https://simondongxiao.github.io/odds/v4/</x:t>
        </x:is>
      </x:c>
      <x:c r="AY1291" s="604" t="inlineStr">
        <x:is>
          <x:t xml:space="preserve">V4 Shadow Only；real_money=false；P(EV&gt;0)不是比赛胜率</x:t>
        </x:is>
      </x:c>
    </x:row>
    <x:row r="1292" ht="22" customHeight="1">
      <x:c r="A1292" s="604" t="inlineStr">
        <x:is>
          <x:t xml:space="preserve">2026-10-07</x:t>
        </x:is>
      </x:c>
      <x:c r="B1292" s="604" t="inlineStr">
        <x:is>
          <x:t xml:space="preserve">2026-10-08 05:00</x:t>
        </x:is>
      </x:c>
      <x:c r="C1292" s="604" t="str">
        <x:v>北美系列</x:v>
      </x:c>
      <x:c r="D1292" s="604" t="inlineStr">
        <x:is>
          <x:t xml:space="preserve">联赛</x:t>
        </x:is>
      </x:c>
      <x:c r="E1292" s="604" t="inlineStr">
        <x:is>
          <x:t xml:space="preserve">危地乙</x:t>
        </x:is>
      </x:c>
      <x:c r="F1292" s="604" t="inlineStr">
        <x:is>
          <x:t xml:space="preserve">AFF危地马拉 vs 纽瓦罗莎CDF</x:t>
        </x:is>
      </x:c>
      <x:c r="G1292" s="604" t="n">
        <x:v>1</x:v>
      </x:c>
      <x:c r="H1292" s="604" t="n">
        <x:v>0</x:v>
      </x:c>
      <x:c r="I1292" s="604" t="n">
        <x:v>0.8</x:v>
      </x:c>
      <x:c r="J1292" s="604" t="inlineStr">
        <x:is>
          <x:t xml:space="preserve">1/0/0.8</x:t>
        </x:is>
      </x:c>
      <x:c r="K1292" s="604" t="inlineStr">
        <x:is>
          <x:t xml:space="preserve">V4-C｜EV +0.0275</x:t>
        </x:is>
      </x:c>
      <x:c r="L1292" s="604" t="str"/>
      <x:c r="M1292" s="604" t="n">
        <x:v>0.5157888803524372</x:v>
      </x:c>
      <x:c r="N1292" s="604" t="inlineStr">
        <x:is>
          <x:t xml:space="preserve">V4纸面入选-C</x:t>
        </x:is>
      </x:c>
      <x:c r="O1292" s="604" t="inlineStr">
        <x:is>
          <x:t xml:space="preserve">0-2</x:t>
        </x:is>
      </x:c>
      <x:c r="P1292" s="604" t="inlineStr">
        <x:is>
          <x:t xml:space="preserve">已结算</x:t>
        </x:is>
      </x:c>
      <x:c r="Q1292" s="646" t="inlineStr">
        <x:is>
          <x:t xml:space="preserve">黑</x:t>
        </x:is>
      </x:c>
      <x:c r="R1292" s="604" t="n">
        <x:v>0.8</x:v>
      </x:c>
      <x:c r="S1292" s="604" t="n">
        <x:f>IF(OR(Q1292="",Q1292="待结算"),"",IF(Q1292="红",R1292,IF(Q1292="半红",R1292*0.5,IF(Q1292="走",0,IF(Q1292="半黑",-0.5,-1)))))</x:f>
        <x:v>-1</x:v>
      </x:c>
      <x:c r="T1292" s="604" t="inlineStr">
        <x:is>
          <x:t xml:space="preserve">https://m.titan007.com/analy/Analysis/3100041.htm</x:t>
        </x:is>
      </x:c>
      <x:c r="U1292" s="645" t="str">
        <x:f>IF(Q1292="","",IF(Q1292="待结算","待结算",IF(Q1292="红","黑",IF(Q1292="半红","半黑",IF(Q1292="走","走",IF(Q1292="半黑","半红","红"))))))</x:f>
        <x:v>红</x:v>
      </x:c>
      <x:c r="V1292" s="604" t="n">
        <x:f>IF(OR(Q1292="",Q1292="待结算"),"",IF(L1292=LEFT(F1292,FIND(" vs ",F1292)-1),I1292,G1292))</x:f>
        <x:v>1</x:v>
      </x:c>
      <x:c r="W1292" s="604" t="n">
        <x:f>IF(OR(U1292="",U1292="待结算"),"",IF(U1292="红",V1292,IF(U1292="半红",V1292*0.5,IF(U1292="走",0,IF(U1292="半黑",-0.5,-1)))))</x:f>
        <x:v>1</x:v>
      </x:c>
      <x:c r="X1292" s="604" t="inlineStr">
        <x:is>
          <x:t xml:space="preserve">3100041</x:t>
        </x:is>
      </x:c>
      <x:c r="Y1292" s="604" t="inlineStr">
        <x:is>
          <x:t xml:space="preserve">V4</x:t>
        </x:is>
      </x:c>
      <x:c r="Z1292" s="604" t="inlineStr">
        <x:is>
          <x:t xml:space="preserve">prior-2026-10-07-v1</x:t>
        </x:is>
      </x:c>
      <x:c r="AA1292" s="604" t="inlineStr">
        <x:is>
          <x:t xml:space="preserve">C</x:t>
        </x:is>
      </x:c>
      <x:c r="AB1292" s="604" t="n">
        <x:v>0.4486758215135043</x:v>
      </x:c>
      <x:c r="AC1292" s="604" t="n"/>
      <x:c r="AD1292" s="604" t="n"/>
      <x:c r="AE1292" s="604" t="n">
        <x:v>0.260234609141146</x:v>
      </x:c>
      <x:c r="AF1292" s="604" t="n">
        <x:v>0.2910895693453497</x:v>
      </x:c>
      <x:c r="AG1292" s="604" t="n">
        <x:v>0.02746894759758156</x:v>
      </x:c>
      <x:c r="AH1292" s="604" t="n"/>
      <x:c r="AI1292" s="604" t="n"/>
      <x:c r="AJ1292" s="604" t="n">
        <x:v>0.02746894759758156</x:v>
      </x:c>
      <x:c r="AK1292" s="604" t="n"/>
      <x:c r="AL1292" s="604" t="n"/>
      <x:c r="AM1292" s="604" t="n"/>
      <x:c r="AN1292" s="604" t="inlineStr">
        <x:is>
          <x:t xml:space="preserve">EVALUATED</x:t>
        </x:is>
      </x:c>
      <x:c r="AO1292" s="604" t="inlineStr">
        <x:is>
          <x:t xml:space="preserve">EDGE_BELOW_UNCERTAINTY_THRESHOLD、BUCKET_PRIOR_ONLY、INTENT_INTERPRETATION_ONLY、FFL_OPTIONAL、EXPERT_MARKET</x:t>
        </x:is>
      </x:c>
      <x:c r="AP1292" s="604" t="inlineStr">
        <x:is>
          <x:t xml:space="preserve">2066b5e78c78d630ce0c</x:t>
        </x:is>
      </x:c>
      <x:c r="AQ1292" s="604" t="n">
        <x:v>0</x:v>
      </x:c>
      <x:c r="AR1292" s="604" t="n"/>
      <x:c r="AS1292" s="604" t="n">
        <x:v>0</x:v>
      </x:c>
      <x:c r="AT1292" s="604" t="n">
        <x:v>0</x:v>
      </x:c>
      <x:c r="AU1292" s="604" t="n">
        <x:v>1</x:v>
      </x:c>
      <x:c r="AV1292" s="604" t="n">
        <x:v>0.8</x:v>
      </x:c>
      <x:c r="AW1292" s="604" t="n">
        <x:v>46302.19288847222</x:v>
      </x:c>
      <x:c r="AX1292" s="604" t="inlineStr">
        <x:is>
          <x:t xml:space="preserve">https://simondongxiao.github.io/odds/v4/</x:t>
        </x:is>
      </x:c>
      <x:c r="AY1292" s="604" t="inlineStr">
        <x:is>
          <x:t xml:space="preserve">V4 Shadow Only；real_money=false；P(EV&gt;0)不是比赛胜率</x:t>
        </x:is>
      </x:c>
    </x:row>
    <x:row r="1293" ht="22" customHeight="1">
      <x:c r="A1293" s="604" t="inlineStr">
        <x:is>
          <x:t xml:space="preserve">2026-10-07</x:t>
        </x:is>
      </x:c>
      <x:c r="B1293" s="604" t="inlineStr">
        <x:is>
          <x:t xml:space="preserve">2026-10-08 05:00</x:t>
        </x:is>
      </x:c>
      <x:c r="C1293" s="604" t="str">
        <x:v>北美系列</x:v>
      </x:c>
      <x:c r="D1293" s="604" t="inlineStr">
        <x:is>
          <x:t xml:space="preserve">联赛</x:t>
        </x:is>
      </x:c>
      <x:c r="E1293" s="604" t="inlineStr">
        <x:is>
          <x:t xml:space="preserve">危地乙</x:t>
        </x:is>
      </x:c>
      <x:c r="F1293" s="604" t="inlineStr">
        <x:is>
          <x:t xml:space="preserve">伊兹塔帕 vs 阿马蒂特兰</x:t>
        </x:is>
      </x:c>
      <x:c r="G1293" s="604" t="n">
        <x:v>0.83</x:v>
      </x:c>
      <x:c r="H1293" s="604" t="n">
        <x:v>1.25</x:v>
      </x:c>
      <x:c r="I1293" s="604" t="n">
        <x:v>0.98</x:v>
      </x:c>
      <x:c r="J1293" s="604" t="inlineStr">
        <x:is>
          <x:t xml:space="preserve">0.83/1.25/0.98</x:t>
        </x:is>
      </x:c>
      <x:c r="K1293" s="604" t="inlineStr">
        <x:is>
          <x:t xml:space="preserve">V4-B｜EV +0.3137</x:t>
        </x:is>
      </x:c>
      <x:c r="L1293" s="604" t="inlineStr">
        <x:is>
          <x:t xml:space="preserve">伊兹塔帕</x:t>
        </x:is>
      </x:c>
      <x:c r="M1293" s="604" t="n">
        <x:v>0.7387007479611805</x:v>
      </x:c>
      <x:c r="N1293" s="604" t="inlineStr">
        <x:is>
          <x:t xml:space="preserve">V4纸面入选-B</x:t>
        </x:is>
      </x:c>
      <x:c r="O1293" s="604" t="inlineStr">
        <x:is>
          <x:t xml:space="preserve">4-2</x:t>
        </x:is>
      </x:c>
      <x:c r="P1293" s="604" t="inlineStr">
        <x:is>
          <x:t xml:space="preserve">已结算</x:t>
        </x:is>
      </x:c>
      <x:c r="Q1293" s="645" t="inlineStr">
        <x:is>
          <x:t xml:space="preserve">红</x:t>
        </x:is>
      </x:c>
      <x:c r="R1293" s="604" t="n">
        <x:v>0.83</x:v>
      </x:c>
      <x:c r="S1293" s="604" t="n">
        <x:v>0.83</x:v>
      </x:c>
      <x:c r="T1293" s="604" t="inlineStr">
        <x:is>
          <x:t xml:space="preserve">https://m.titan007.com/analy/Analysis/3100045.htm</x:t>
        </x:is>
      </x:c>
      <x:c r="U1293" s="646" t="str">
        <x:f>IF(Q1293="","",IF(Q1293="待结算","待结算",IF(Q1293="红","黑",IF(Q1293="半红","半黑",IF(Q1293="走","走",IF(Q1293="半黑","半红","红"))))))</x:f>
        <x:v>黑</x:v>
      </x:c>
      <x:c r="V1293" s="604" t="n">
        <x:f>IF(OR(Q1293="",Q1293="待结算"),"",IF(L1293=LEFT(F1293,FIND(" vs ",F1293)-1),I1293,G1293))</x:f>
        <x:v>0.98</x:v>
      </x:c>
      <x:c r="W1293" s="604" t="n">
        <x:f>IF(OR(U1293="",U1293="待结算"),"",IF(U1293="红",V1293,IF(U1293="半红",V1293*0.5,IF(U1293="走",0,IF(U1293="半黑",-0.5,-1)))))</x:f>
        <x:v>-1</x:v>
      </x:c>
      <x:c r="X1293" s="604" t="inlineStr">
        <x:is>
          <x:t xml:space="preserve">3100045</x:t>
        </x:is>
      </x:c>
      <x:c r="Y1293" s="604" t="inlineStr">
        <x:is>
          <x:t xml:space="preserve">V4</x:t>
        </x:is>
      </x:c>
      <x:c r="Z1293" s="604" t="inlineStr">
        <x:is>
          <x:t xml:space="preserve">prior-2026-10-07-v1</x:t>
        </x:is>
      </x:c>
      <x:c r="AA1293" s="604" t="inlineStr">
        <x:is>
          <x:t xml:space="preserve">B</x:t>
        </x:is>
      </x:c>
      <x:c r="AB1293" s="604" t="n">
        <x:v>0.6587342573885671</x:v>
      </x:c>
      <x:c r="AC1293" s="604" t="n"/>
      <x:c r="AD1293" s="604" t="n"/>
      <x:c r="AE1293" s="604" t="n">
        <x:v>0.2165057793519811</x:v>
      </x:c>
      <x:c r="AF1293" s="604" t="n">
        <x:v>0.1247599632594518</x:v>
      </x:c>
      <x:c r="AG1293" s="604" t="n">
        <x:v>0.3137365806970683</x:v>
      </x:c>
      <x:c r="AH1293" s="604" t="n"/>
      <x:c r="AI1293" s="604" t="n"/>
      <x:c r="AJ1293" s="604" t="n">
        <x:v>0.3137365806970683</x:v>
      </x:c>
      <x:c r="AK1293" s="604" t="n"/>
      <x:c r="AL1293" s="604" t="n"/>
      <x:c r="AM1293" s="604" t="n"/>
      <x:c r="AN1293" s="604" t="inlineStr">
        <x:is>
          <x:t xml:space="preserve">EVALUATED</x:t>
        </x:is>
      </x:c>
      <x:c r="AO1293" s="604" t="inlineStr">
        <x:is>
          <x:t xml:space="preserve">GIVING_VALIDATED_EDGE、BUCKET_PRIOR_ONLY、INTENT_INTERPRETATION_ONLY、FFL_OPTIONAL、EXPERT_MARKET</x:t>
        </x:is>
      </x:c>
      <x:c r="AP1293" s="604" t="inlineStr">
        <x:is>
          <x:t xml:space="preserve">abb7afdd1c9ce6d8716e</x:t>
        </x:is>
      </x:c>
      <x:c r="AQ1293" s="604" t="n">
        <x:v>-1.25</x:v>
      </x:c>
      <x:c r="AR1293" s="604" t="n">
        <x:v>0.83</x:v>
      </x:c>
      <x:c r="AS1293" s="604" t="n">
        <x:v>1.25</x:v>
      </x:c>
      <x:c r="AT1293" s="604" t="n">
        <x:v>-1.25</x:v>
      </x:c>
      <x:c r="AU1293" s="604" t="n">
        <x:v>0.83</x:v>
      </x:c>
      <x:c r="AV1293" s="604" t="n">
        <x:v>0.98</x:v>
      </x:c>
      <x:c r="AW1293" s="604" t="n">
        <x:v>46302.19288847222</x:v>
      </x:c>
      <x:c r="AX1293" s="604" t="inlineStr">
        <x:is>
          <x:t xml:space="preserve">https://simondongxiao.github.io/odds/v4/</x:t>
        </x:is>
      </x:c>
      <x:c r="AY1293" s="604" t="inlineStr">
        <x:is>
          <x:t xml:space="preserve">V4 Shadow Only；real_money=false；P(EV&gt;0)不是比赛胜率</x:t>
        </x:is>
      </x:c>
    </x:row>
    <x:row r="1294" ht="22" customHeight="1">
      <x:c r="A1294" s="604" t="inlineStr">
        <x:is>
          <x:t xml:space="preserve">2026-10-07</x:t>
        </x:is>
      </x:c>
      <x:c r="B1294" s="604" t="inlineStr">
        <x:is>
          <x:t xml:space="preserve">2026-10-08 06:00</x:t>
        </x:is>
      </x:c>
      <x:c r="C1294" s="604" t="str">
        <x:v>南美系列</x:v>
      </x:c>
      <x:c r="D1294" s="604" t="inlineStr">
        <x:is>
          <x:t xml:space="preserve">杯赛</x:t>
        </x:is>
      </x:c>
      <x:c r="E1294" s="604" t="inlineStr">
        <x:is>
          <x:t xml:space="preserve">智利杯</x:t>
        </x:is>
      </x:c>
      <x:c r="F1294" s="604" t="inlineStr">
        <x:is>
          <x:t xml:space="preserve">科金博 vs 科布雷洛</x:t>
        </x:is>
      </x:c>
      <x:c r="G1294" s="604" t="n">
        <x:v>0.78</x:v>
      </x:c>
      <x:c r="H1294" s="604" t="n">
        <x:v>0.75</x:v>
      </x:c>
      <x:c r="I1294" s="604" t="n">
        <x:v>0.98</x:v>
      </x:c>
      <x:c r="J1294" s="604" t="inlineStr">
        <x:is>
          <x:t xml:space="preserve">0.78/0.75/0.98</x:t>
        </x:is>
      </x:c>
      <x:c r="K1294" s="604" t="inlineStr">
        <x:is>
          <x:t xml:space="preserve">V4-B｜EV +0.1127</x:t>
        </x:is>
      </x:c>
      <x:c r="L1294" s="604" t="inlineStr">
        <x:is>
          <x:t xml:space="preserve">科金博</x:t>
        </x:is>
      </x:c>
      <x:c r="M1294" s="604" t="n">
        <x:v>0.6344250390906823</x:v>
      </x:c>
      <x:c r="N1294" s="604" t="inlineStr">
        <x:is>
          <x:t xml:space="preserve">V4纸面入选-B</x:t>
        </x:is>
      </x:c>
      <x:c r="O1294" s="604" t="inlineStr">
        <x:is>
          <x:t xml:space="preserve">2-1</x:t>
        </x:is>
      </x:c>
      <x:c r="P1294" s="604" t="inlineStr">
        <x:is>
          <x:t xml:space="preserve">已结算</x:t>
        </x:is>
      </x:c>
      <x:c r="Q1294" s="649" t="inlineStr">
        <x:is>
          <x:t xml:space="preserve">半红</x:t>
        </x:is>
      </x:c>
      <x:c r="R1294" s="604" t="n">
        <x:v>0.78</x:v>
      </x:c>
      <x:c r="S1294" s="604" t="n">
        <x:f>IF(OR(Q1294="",Q1294="待结算"),"",IF(Q1294="红",R1294,IF(Q1294="半红",R1294*0.5,IF(Q1294="走",0,IF(Q1294="半黑",-0.5,-1)))))</x:f>
        <x:v>0.39</x:v>
      </x:c>
      <x:c r="T1294" s="604" t="inlineStr">
        <x:is>
          <x:t xml:space="preserve">https://m.titan007.com/analy/Analysis/3086935.htm</x:t>
        </x:is>
      </x:c>
      <x:c r="U1294" s="648" t="str">
        <x:f>IF(Q1294="","",IF(Q1294="待结算","待结算",IF(Q1294="红","黑",IF(Q1294="半红","半黑",IF(Q1294="走","走",IF(Q1294="半黑","半红","红"))))))</x:f>
        <x:v>半黑</x:v>
      </x:c>
      <x:c r="V1294" s="604" t="n">
        <x:f>IF(OR(Q1294="",Q1294="待结算"),"",IF(L1294=LEFT(F1294,FIND(" vs ",F1294)-1),I1294,G1294))</x:f>
        <x:v>0.98</x:v>
      </x:c>
      <x:c r="W1294" s="604" t="n">
        <x:f>IF(OR(U1294="",U1294="待结算"),"",IF(U1294="红",V1294,IF(U1294="半红",V1294*0.5,IF(U1294="走",0,IF(U1294="半黑",-0.5,-1)))))</x:f>
        <x:v>-0.5</x:v>
      </x:c>
      <x:c r="X1294" s="604" t="inlineStr">
        <x:is>
          <x:t xml:space="preserve">3086935</x:t>
        </x:is>
      </x:c>
      <x:c r="Y1294" s="604" t="inlineStr">
        <x:is>
          <x:t xml:space="preserve">V4</x:t>
        </x:is>
      </x:c>
      <x:c r="Z1294" s="604" t="inlineStr">
        <x:is>
          <x:t xml:space="preserve">prior-2026-10-07-v1</x:t>
        </x:is>
      </x:c>
      <x:c r="AA1294" s="604" t="inlineStr">
        <x:is>
          <x:t xml:space="preserve">B</x:t>
        </x:is>
      </x:c>
      <x:c r="AB1294" s="604" t="n">
        <x:v>0.4242822334007944</x:v>
      </x:c>
      <x:c r="AC1294" s="604" t="n">
        <x:v>0.2571458472109576</x:v>
      </x:c>
      <x:c r="AD1294" s="604" t="n"/>
      <x:c r="AE1294" s="604" t="n"/>
      <x:c r="AF1294" s="604" t="n">
        <x:v>0.3185719193882481</x:v>
      </x:c>
      <x:c r="AG1294" s="604" t="n">
        <x:v>0.1126551030766449</x:v>
      </x:c>
      <x:c r="AH1294" s="604" t="n"/>
      <x:c r="AI1294" s="604" t="n"/>
      <x:c r="AJ1294" s="604" t="n">
        <x:v>0.1126551030766449</x:v>
      </x:c>
      <x:c r="AK1294" s="604" t="n"/>
      <x:c r="AL1294" s="604" t="n"/>
      <x:c r="AM1294" s="604" t="n"/>
      <x:c r="AN1294" s="604" t="inlineStr">
        <x:is>
          <x:t xml:space="preserve">EVALUATED</x:t>
        </x:is>
      </x:c>
      <x:c r="AO1294" s="604" t="inlineStr">
        <x:is>
          <x:t xml:space="preserve">GIVING_VALIDATED_EDGE、BUCKET_PRIOR_ONLY、INTENT_INTERPRETATION_ONLY、FFL_OPTIONAL、EXPERT_MARKET</x:t>
        </x:is>
      </x:c>
      <x:c r="AP1294" s="604" t="inlineStr">
        <x:is>
          <x:t xml:space="preserve">491105093c9a2b0f0e1c</x:t>
        </x:is>
      </x:c>
      <x:c r="AQ1294" s="604" t="n">
        <x:v>-0.75</x:v>
      </x:c>
      <x:c r="AR1294" s="604" t="n">
        <x:v>0.78</x:v>
      </x:c>
      <x:c r="AS1294" s="604" t="n">
        <x:v>0.75</x:v>
      </x:c>
      <x:c r="AT1294" s="604" t="n">
        <x:v>-0.75</x:v>
      </x:c>
      <x:c r="AU1294" s="604" t="n">
        <x:v>0.78</x:v>
      </x:c>
      <x:c r="AV1294" s="604" t="n">
        <x:v>0.98</x:v>
      </x:c>
      <x:c r="AW1294" s="604" t="n">
        <x:v>46302.19288847222</x:v>
      </x:c>
      <x:c r="AX1294" s="604" t="inlineStr">
        <x:is>
          <x:t xml:space="preserve">https://simondongxiao.github.io/odds/v4/</x:t>
        </x:is>
      </x:c>
      <x:c r="AY1294" s="604" t="inlineStr">
        <x:is>
          <x:t xml:space="preserve">V4 Shadow Only；real_money=false；P(EV&gt;0)不是比赛胜率</x:t>
        </x:is>
      </x:c>
    </x:row>
    <x:row r="1295" ht="22" customHeight="1">
      <x:c r="A1295" s="604" t="inlineStr">
        <x:is>
          <x:t xml:space="preserve">2026-10-07</x:t>
        </x:is>
      </x:c>
      <x:c r="B1295" s="604" t="inlineStr">
        <x:is>
          <x:t xml:space="preserve">2026-10-08 06:00</x:t>
        </x:is>
      </x:c>
      <x:c r="C1295" s="604" t="str">
        <x:v>南美系列</x:v>
      </x:c>
      <x:c r="D1295" s="604" t="inlineStr">
        <x:is>
          <x:t xml:space="preserve">杯赛</x:t>
        </x:is>
      </x:c>
      <x:c r="E1295" s="604" t="inlineStr">
        <x:is>
          <x:t xml:space="preserve">智利杯</x:t>
        </x:is>
      </x:c>
      <x:c r="F1295" s="604" t="inlineStr">
        <x:is>
          <x:t xml:space="preserve">安托法加斯塔 vs 智利大学</x:t>
        </x:is>
      </x:c>
      <x:c r="G1295" s="604" t="n">
        <x:v>0.95</x:v>
      </x:c>
      <x:c r="H1295" s="604" t="n">
        <x:v>-0.5</x:v>
      </x:c>
      <x:c r="I1295" s="604" t="n">
        <x:v>0.8100000000000001</x:v>
      </x:c>
      <x:c r="J1295" s="604" t="inlineStr">
        <x:is>
          <x:t xml:space="preserve">0.95/-0.5/0.81</x:t>
        </x:is>
      </x:c>
      <x:c r="K1295" s="604" t="inlineStr">
        <x:is>
          <x:t xml:space="preserve">V4-B｜EV +0.6162</x:t>
        </x:is>
      </x:c>
      <x:c r="L1295" s="604" t="inlineStr">
        <x:is>
          <x:t xml:space="preserve">安托法加斯塔</x:t>
        </x:is>
      </x:c>
      <x:c r="M1295" s="604" t="n">
        <x:v>0.8288455770303862</x:v>
      </x:c>
      <x:c r="N1295" s="604" t="inlineStr">
        <x:is>
          <x:t xml:space="preserve">V4纸面入选-B</x:t>
        </x:is>
      </x:c>
      <x:c r="O1295" s="604" t="inlineStr">
        <x:is>
          <x:t xml:space="preserve">2-0</x:t>
        </x:is>
      </x:c>
      <x:c r="P1295" s="604" t="inlineStr">
        <x:is>
          <x:t xml:space="preserve">已结算</x:t>
        </x:is>
      </x:c>
      <x:c r="Q1295" s="645" t="inlineStr">
        <x:is>
          <x:t xml:space="preserve">红</x:t>
        </x:is>
      </x:c>
      <x:c r="R1295" s="604" t="n">
        <x:v>0.95</x:v>
      </x:c>
      <x:c r="S1295" s="604" t="n">
        <x:f>IF(OR(Q1295="",Q1295="待结算"),"",IF(Q1295="红",R1295,IF(Q1295="半红",R1295*0.5,IF(Q1295="走",0,IF(Q1295="半黑",-0.5,-1)))))</x:f>
        <x:v>0.95</x:v>
      </x:c>
      <x:c r="T1295" s="604" t="inlineStr">
        <x:is>
          <x:t xml:space="preserve">https://m.titan007.com/analy/Analysis/3096710.htm</x:t>
        </x:is>
      </x:c>
      <x:c r="U1295" s="646" t="str">
        <x:f>IF(Q1295="","",IF(Q1295="待结算","待结算",IF(Q1295="红","黑",IF(Q1295="半红","半黑",IF(Q1295="走","走",IF(Q1295="半黑","半红","红"))))))</x:f>
        <x:v>黑</x:v>
      </x:c>
      <x:c r="V1295" s="604" t="n">
        <x:f>IF(OR(Q1295="",Q1295="待结算"),"",IF(L1295=LEFT(F1295,FIND(" vs ",F1295)-1),I1295,G1295))</x:f>
        <x:v>0.81</x:v>
      </x:c>
      <x:c r="W1295" s="604" t="n">
        <x:f>IF(OR(U1295="",U1295="待结算"),"",IF(U1295="红",V1295,IF(U1295="半红",V1295*0.5,IF(U1295="走",0,IF(U1295="半黑",-0.5,-1)))))</x:f>
        <x:v>-1</x:v>
      </x:c>
      <x:c r="X1295" s="604" t="inlineStr">
        <x:is>
          <x:t xml:space="preserve">3096710</x:t>
        </x:is>
      </x:c>
      <x:c r="Y1295" s="604" t="inlineStr">
        <x:is>
          <x:t xml:space="preserve">V4</x:t>
        </x:is>
      </x:c>
      <x:c r="Z1295" s="604" t="inlineStr">
        <x:is>
          <x:t xml:space="preserve">prior-2026-10-07-v1</x:t>
        </x:is>
      </x:c>
      <x:c r="AA1295" s="604" t="inlineStr">
        <x:is>
          <x:t xml:space="preserve">B</x:t>
        </x:is>
      </x:c>
      <x:c r="AB1295" s="604" t="n">
        <x:v>0.8288455770303862</x:v>
      </x:c>
      <x:c r="AC1295" s="604" t="n"/>
      <x:c r="AD1295" s="604" t="n"/>
      <x:c r="AE1295" s="604" t="n"/>
      <x:c r="AF1295" s="604" t="n">
        <x:v>0.1711544229696138</x:v>
      </x:c>
      <x:c r="AG1295" s="604" t="n">
        <x:v>0.6162488752092531</x:v>
      </x:c>
      <x:c r="AH1295" s="604" t="n"/>
      <x:c r="AI1295" s="604" t="n"/>
      <x:c r="AJ1295" s="604" t="n">
        <x:v>0.6162488752092531</x:v>
      </x:c>
      <x:c r="AK1295" s="604" t="n"/>
      <x:c r="AL1295" s="604" t="n"/>
      <x:c r="AM1295" s="604" t="n"/>
      <x:c r="AN1295" s="604" t="inlineStr">
        <x:is>
          <x:t xml:space="preserve">EVALUATED</x:t>
        </x:is>
      </x:c>
      <x:c r="AO1295" s="604" t="inlineStr">
        <x:is>
          <x:t xml:space="preserve">RECEIVING_VALIDATED_EDGE、BUCKET_PRIOR_ONLY、INTENT_INTERPRETATION_ONLY、FFL_OPTIONAL、EXPERT_MARKET</x:t>
        </x:is>
      </x:c>
      <x:c r="AP1295" s="604" t="inlineStr">
        <x:is>
          <x:t xml:space="preserve">1023a2b7822a4c066071</x:t>
        </x:is>
      </x:c>
      <x:c r="AQ1295" s="604" t="n">
        <x:v>0.5</x:v>
      </x:c>
      <x:c r="AR1295" s="604" t="n">
        <x:v>0.95</x:v>
      </x:c>
      <x:c r="AS1295" s="604" t="n">
        <x:v>-0.5</x:v>
      </x:c>
      <x:c r="AT1295" s="604" t="n">
        <x:v>0.5</x:v>
      </x:c>
      <x:c r="AU1295" s="604" t="n">
        <x:v>0.95</x:v>
      </x:c>
      <x:c r="AV1295" s="604" t="n">
        <x:v>0.8100000000000001</x:v>
      </x:c>
      <x:c r="AW1295" s="604" t="n">
        <x:v>46302.19288847222</x:v>
      </x:c>
      <x:c r="AX1295" s="604" t="inlineStr">
        <x:is>
          <x:t xml:space="preserve">https://simondongxiao.github.io/odds/v4/</x:t>
        </x:is>
      </x:c>
      <x:c r="AY1295" s="604" t="inlineStr">
        <x:is>
          <x:t xml:space="preserve">V4 Shadow Only；real_money=false；P(EV&gt;0)不是比赛胜率</x:t>
        </x:is>
      </x:c>
    </x:row>
    <x:row r="1296" ht="22" customHeight="1">
      <x:c r="A1296" s="604" t="inlineStr">
        <x:is>
          <x:t xml:space="preserve">2026-10-07</x:t>
        </x:is>
      </x:c>
      <x:c r="B1296" s="604" t="inlineStr">
        <x:is>
          <x:t xml:space="preserve">2026-10-08 06:00</x:t>
        </x:is>
      </x:c>
      <x:c r="C1296" s="604" t="str">
        <x:v>南美系列</x:v>
      </x:c>
      <x:c r="D1296" s="604" t="inlineStr">
        <x:is>
          <x:t xml:space="preserve">联赛</x:t>
        </x:is>
      </x:c>
      <x:c r="E1296" s="604" t="inlineStr">
        <x:is>
          <x:t xml:space="preserve">哥伦乙秋</x:t>
        </x:is>
      </x:c>
      <x:c r="F1296" s="604" t="inlineStr">
        <x:is>
          <x:t xml:space="preserve">卡利博卡青年 vs 马达莱纳联</x:t>
        </x:is>
      </x:c>
      <x:c r="G1296" s="604" t="n">
        <x:v>0.92</x:v>
      </x:c>
      <x:c r="H1296" s="604" t="n">
        <x:v>-0.25</x:v>
      </x:c>
      <x:c r="I1296" s="604" t="n">
        <x:v>0.78</x:v>
      </x:c>
      <x:c r="J1296" s="604" t="inlineStr">
        <x:is>
          <x:t xml:space="preserve">0.92/-0.25/0.78</x:t>
        </x:is>
      </x:c>
      <x:c r="K1296" s="604" t="inlineStr">
        <x:is>
          <x:t xml:space="preserve">V4-B｜EV +0.3691</x:t>
        </x:is>
      </x:c>
      <x:c r="L1296" s="604" t="inlineStr">
        <x:is>
          <x:t xml:space="preserve">卡利博卡青年</x:t>
        </x:is>
      </x:c>
      <x:c r="M1296" s="604" t="n">
        <x:v>0.740477285412524</x:v>
      </x:c>
      <x:c r="N1296" s="604" t="inlineStr">
        <x:is>
          <x:t xml:space="preserve">V4纸面入选-B</x:t>
        </x:is>
      </x:c>
      <x:c r="O1296" s="604" t="inlineStr">
        <x:is>
          <x:t xml:space="preserve">1-1</x:t>
        </x:is>
      </x:c>
      <x:c r="P1296" s="604" t="inlineStr">
        <x:is>
          <x:t xml:space="preserve">已结算</x:t>
        </x:is>
      </x:c>
      <x:c r="Q1296" s="649" t="inlineStr">
        <x:is>
          <x:t xml:space="preserve">半红</x:t>
        </x:is>
      </x:c>
      <x:c r="R1296" s="604" t="n">
        <x:v>0.92</x:v>
      </x:c>
      <x:c r="S1296" s="604" t="n">
        <x:f>IF(OR(Q1296="",Q1296="待结算"),"",IF(Q1296="红",R1296,IF(Q1296="半红",R1296*0.5,IF(Q1296="走",0,IF(Q1296="半黑",-0.5,-1)))))</x:f>
        <x:v>0.46</x:v>
      </x:c>
      <x:c r="T1296" s="604" t="inlineStr">
        <x:is>
          <x:t xml:space="preserve">https://m.titan007.com/analy/Analysis/3012150.htm</x:t>
        </x:is>
      </x:c>
      <x:c r="U1296" s="648" t="str">
        <x:f>IF(Q1296="","",IF(Q1296="待结算","待结算",IF(Q1296="红","黑",IF(Q1296="半红","半黑",IF(Q1296="走","走",IF(Q1296="半黑","半红","红"))))))</x:f>
        <x:v>半黑</x:v>
      </x:c>
      <x:c r="V1296" s="604" t="n">
        <x:f>IF(OR(Q1296="",Q1296="待结算"),"",IF(L1296=LEFT(F1296,FIND(" vs ",F1296)-1),I1296,G1296))</x:f>
        <x:v>0.78</x:v>
      </x:c>
      <x:c r="W1296" s="604" t="n">
        <x:f>IF(OR(U1296="",U1296="待结算"),"",IF(U1296="红",V1296,IF(U1296="半红",V1296*0.5,IF(U1296="走",0,IF(U1296="半黑",-0.5,-1)))))</x:f>
        <x:v>-0.5</x:v>
      </x:c>
      <x:c r="X1296" s="604" t="inlineStr">
        <x:is>
          <x:t xml:space="preserve">3012150</x:t>
        </x:is>
      </x:c>
      <x:c r="Y1296" s="604" t="inlineStr">
        <x:is>
          <x:t xml:space="preserve">V4</x:t>
        </x:is>
      </x:c>
      <x:c r="Z1296" s="604" t="inlineStr">
        <x:is>
          <x:t xml:space="preserve">prior-2026-10-07-v1</x:t>
        </x:is>
      </x:c>
      <x:c r="AA1296" s="604" t="inlineStr">
        <x:is>
          <x:t xml:space="preserve">B</x:t>
        </x:is>
      </x:c>
      <x:c r="AB1296" s="604" t="n">
        <x:v>0.52317906960701</x:v>
      </x:c>
      <x:c r="AC1296" s="604" t="n">
        <x:v>0.2496995710622107</x:v>
      </x:c>
      <x:c r="AD1296" s="604" t="n"/>
      <x:c r="AE1296" s="604" t="n"/>
      <x:c r="AF1296" s="604" t="n">
        <x:v>0.2271213593307794</x:v>
      </x:c>
      <x:c r="AG1296" s="604" t="n">
        <x:v>0.3690651873962868</x:v>
      </x:c>
      <x:c r="AH1296" s="604" t="n"/>
      <x:c r="AI1296" s="604" t="n"/>
      <x:c r="AJ1296" s="604" t="n">
        <x:v>0.3690651873962868</x:v>
      </x:c>
      <x:c r="AK1296" s="604" t="n"/>
      <x:c r="AL1296" s="604" t="n"/>
      <x:c r="AM1296" s="604" t="n"/>
      <x:c r="AN1296" s="604" t="inlineStr">
        <x:is>
          <x:t xml:space="preserve">EVALUATED</x:t>
        </x:is>
      </x:c>
      <x:c r="AO1296" s="604" t="inlineStr">
        <x:is>
          <x:t xml:space="preserve">RECEIVING_VALIDATED_EDGE、BUCKET_PRIOR_ONLY、INTENT_INTERPRETATION_ONLY、FFL_OPTIONAL、EXPERT_MARKET</x:t>
        </x:is>
      </x:c>
      <x:c r="AP1296" s="604" t="inlineStr">
        <x:is>
          <x:t xml:space="preserve">dd4c07a469771ea0e7cc</x:t>
        </x:is>
      </x:c>
      <x:c r="AQ1296" s="604" t="n">
        <x:v>0.25</x:v>
      </x:c>
      <x:c r="AR1296" s="604" t="n">
        <x:v>0.92</x:v>
      </x:c>
      <x:c r="AS1296" s="604" t="n">
        <x:v>-0.25</x:v>
      </x:c>
      <x:c r="AT1296" s="604" t="n">
        <x:v>0.25</x:v>
      </x:c>
      <x:c r="AU1296" s="604" t="n">
        <x:v>0.92</x:v>
      </x:c>
      <x:c r="AV1296" s="604" t="n">
        <x:v>0.78</x:v>
      </x:c>
      <x:c r="AW1296" s="604" t="n">
        <x:v>46302.19288847222</x:v>
      </x:c>
      <x:c r="AX1296" s="604" t="inlineStr">
        <x:is>
          <x:t xml:space="preserve">https://simondongxiao.github.io/odds/v4/</x:t>
        </x:is>
      </x:c>
      <x:c r="AY1296" s="604" t="inlineStr">
        <x:is>
          <x:t xml:space="preserve">V4 Shadow Only；real_money=false；P(EV&gt;0)不是比赛胜率</x:t>
        </x:is>
      </x:c>
    </x:row>
    <x:row r="1297" ht="22" customHeight="1">
      <x:c r="A1297" s="604" t="inlineStr">
        <x:is>
          <x:t xml:space="preserve">2026-10-07</x:t>
        </x:is>
      </x:c>
      <x:c r="B1297" s="604" t="inlineStr">
        <x:is>
          <x:t xml:space="preserve">2026-10-08 06:00</x:t>
        </x:is>
      </x:c>
      <x:c r="C1297" s="604" t="str">
        <x:v>南美系列</x:v>
      </x:c>
      <x:c r="D1297" s="604" t="inlineStr">
        <x:is>
          <x:t xml:space="preserve">杯赛</x:t>
        </x:is>
      </x:c>
      <x:c r="E1297" s="604" t="inlineStr">
        <x:is>
          <x:t xml:space="preserve">玻利杯</x:t>
        </x:is>
      </x:c>
      <x:c r="F1297" s="604" t="inlineStr">
        <x:is>
          <x:t xml:space="preserve">石油独立 vs 圣荷西德奥罗</x:t>
        </x:is>
      </x:c>
      <x:c r="G1297" s="604" t="n">
        <x:v>0.82</x:v>
      </x:c>
      <x:c r="H1297" s="604" t="n">
        <x:v>1.25</x:v>
      </x:c>
      <x:c r="I1297" s="604" t="n">
        <x:v>1</x:v>
      </x:c>
      <x:c r="J1297" s="604" t="inlineStr">
        <x:is>
          <x:t xml:space="preserve">0.82/1.25/1</x:t>
        </x:is>
      </x:c>
      <x:c r="K1297" s="604" t="inlineStr">
        <x:is>
          <x:t xml:space="preserve">V4-B｜EV +0.1478</x:t>
        </x:is>
      </x:c>
      <x:c r="L1297" s="604" t="inlineStr">
        <x:is>
          <x:t xml:space="preserve">石油独立</x:t>
        </x:is>
      </x:c>
      <x:c r="M1297" s="604" t="n">
        <x:v>0.6416556600354703</x:v>
      </x:c>
      <x:c r="N1297" s="604" t="inlineStr">
        <x:is>
          <x:t xml:space="preserve">V4纸面入选-B</x:t>
        </x:is>
      </x:c>
      <x:c r="O1297" s="604" t="inlineStr">
        <x:is>
          <x:t xml:space="preserve">1-0</x:t>
        </x:is>
      </x:c>
      <x:c r="P1297" s="604" t="inlineStr">
        <x:is>
          <x:t xml:space="preserve">已结算</x:t>
        </x:is>
      </x:c>
      <x:c r="Q1297" s="648" t="inlineStr">
        <x:is>
          <x:t xml:space="preserve">半黑</x:t>
        </x:is>
      </x:c>
      <x:c r="R1297" s="604" t="n">
        <x:v>0.82</x:v>
      </x:c>
      <x:c r="S1297" s="604" t="n">
        <x:v>-0.5</x:v>
      </x:c>
      <x:c r="T1297" s="604" t="inlineStr">
        <x:is>
          <x:t xml:space="preserve">https://m.titan007.com/analy/Analysis/3061682.htm</x:t>
        </x:is>
      </x:c>
      <x:c r="U1297" s="649" t="str">
        <x:f>IF(Q1297="","",IF(Q1297="待结算","待结算",IF(Q1297="红","黑",IF(Q1297="半红","半黑",IF(Q1297="走","走",IF(Q1297="半黑","半红","红"))))))</x:f>
        <x:v>半红</x:v>
      </x:c>
      <x:c r="V1297" s="604" t="n">
        <x:f>IF(OR(Q1297="",Q1297="待结算"),"",IF(L1297=LEFT(F1297,FIND(" vs ",F1297)-1),I1297,G1297))</x:f>
        <x:v>1</x:v>
      </x:c>
      <x:c r="W1297" s="604" t="n">
        <x:f>IF(OR(U1297="",U1297="待结算"),"",IF(U1297="红",V1297,IF(U1297="半红",V1297*0.5,IF(U1297="走",0,IF(U1297="半黑",-0.5,-1)))))</x:f>
        <x:v>0.5</x:v>
      </x:c>
      <x:c r="X1297" s="604" t="inlineStr">
        <x:is>
          <x:t xml:space="preserve">3061682</x:t>
        </x:is>
      </x:c>
      <x:c r="Y1297" s="604" t="inlineStr">
        <x:is>
          <x:t xml:space="preserve">V4</x:t>
        </x:is>
      </x:c>
      <x:c r="Z1297" s="604" t="inlineStr">
        <x:is>
          <x:t xml:space="preserve">prior-2026-10-07-v1</x:t>
        </x:is>
      </x:c>
      <x:c r="AA1297" s="604" t="inlineStr">
        <x:is>
          <x:t xml:space="preserve">B</x:t>
        </x:is>
      </x:c>
      <x:c r="AB1297" s="604" t="n">
        <x:v>0.564943784019473</x:v>
      </x:c>
      <x:c r="AC1297" s="604" t="n"/>
      <x:c r="AD1297" s="604" t="n"/>
      <x:c r="AE1297" s="604" t="n">
        <x:v>0.2391060526505967</x:v>
      </x:c>
      <x:c r="AF1297" s="604" t="n">
        <x:v>0.1959501633299303</x:v>
      </x:c>
      <x:c r="AG1297" s="604" t="n">
        <x:v>0.1477507132407392</x:v>
      </x:c>
      <x:c r="AH1297" s="604" t="n"/>
      <x:c r="AI1297" s="604" t="n"/>
      <x:c r="AJ1297" s="604" t="n">
        <x:v>0.1477507132407392</x:v>
      </x:c>
      <x:c r="AK1297" s="604" t="n"/>
      <x:c r="AL1297" s="604" t="n"/>
      <x:c r="AM1297" s="604" t="n"/>
      <x:c r="AN1297" s="604" t="inlineStr">
        <x:is>
          <x:t xml:space="preserve">EVALUATED</x:t>
        </x:is>
      </x:c>
      <x:c r="AO1297" s="604" t="inlineStr">
        <x:is>
          <x:t xml:space="preserve">GIVING_VALIDATED_EDGE、BUCKET_PRIOR_ONLY、INTENT_INTERPRETATION_ONLY、FFL_OPTIONAL、EXPERT_MARKET</x:t>
        </x:is>
      </x:c>
      <x:c r="AP1297" s="604" t="inlineStr">
        <x:is>
          <x:t xml:space="preserve">6bcc6c7077f0febbcf76</x:t>
        </x:is>
      </x:c>
      <x:c r="AQ1297" s="604" t="n">
        <x:v>-1.25</x:v>
      </x:c>
      <x:c r="AR1297" s="604" t="n">
        <x:v>0.82</x:v>
      </x:c>
      <x:c r="AS1297" s="604" t="n">
        <x:v>1.25</x:v>
      </x:c>
      <x:c r="AT1297" s="604" t="n">
        <x:v>-1.25</x:v>
      </x:c>
      <x:c r="AU1297" s="604" t="n">
        <x:v>0.82</x:v>
      </x:c>
      <x:c r="AV1297" s="604" t="n">
        <x:v>1</x:v>
      </x:c>
      <x:c r="AW1297" s="604" t="n">
        <x:v>46302.19288847222</x:v>
      </x:c>
      <x:c r="AX1297" s="604" t="inlineStr">
        <x:is>
          <x:t xml:space="preserve">https://simondongxiao.github.io/odds/v4/</x:t>
        </x:is>
      </x:c>
      <x:c r="AY1297" s="604" t="inlineStr">
        <x:is>
          <x:t xml:space="preserve">V4 Shadow Only；real_money=false；P(EV&gt;0)不是比赛胜率</x:t>
        </x:is>
      </x:c>
    </x:row>
    <x:row r="1298" ht="22" customHeight="1">
      <x:c r="A1298" s="604" t="inlineStr">
        <x:is>
          <x:t xml:space="preserve">2026-10-07</x:t>
        </x:is>
      </x:c>
      <x:c r="B1298" s="604" t="inlineStr">
        <x:is>
          <x:t xml:space="preserve">2026-10-08 06:00</x:t>
        </x:is>
      </x:c>
      <x:c r="C1298" s="604" t="str">
        <x:v>南美系列</x:v>
      </x:c>
      <x:c r="D1298" s="604" t="inlineStr">
        <x:is>
          <x:t xml:space="preserve">杯赛</x:t>
        </x:is>
      </x:c>
      <x:c r="E1298" s="604" t="inlineStr">
        <x:is>
          <x:t xml:space="preserve">委内杯</x:t>
        </x:is>
      </x:c>
      <x:c r="F1298" s="604" t="inlineStr">
        <x:is>
          <x:t xml:space="preserve">加拉加斯 vs 亚拉库雅诺斯</x:t>
        </x:is>
      </x:c>
      <x:c r="G1298" s="604" t="n">
        <x:v>0.77</x:v>
      </x:c>
      <x:c r="H1298" s="604" t="n">
        <x:v>1.25</x:v>
      </x:c>
      <x:c r="I1298" s="604" t="n">
        <x:v>0.93</x:v>
      </x:c>
      <x:c r="J1298" s="604" t="inlineStr">
        <x:is>
          <x:t xml:space="preserve">0.77/1.25/0.93</x:t>
        </x:is>
      </x:c>
      <x:c r="K1298" s="604" t="inlineStr">
        <x:is>
          <x:t xml:space="preserve">V4-B｜EV +0.0740</x:t>
        </x:is>
      </x:c>
      <x:c r="L1298" s="604" t="inlineStr">
        <x:is>
          <x:t xml:space="preserve">加拉加斯</x:t>
        </x:is>
      </x:c>
      <x:c r="M1298" s="604" t="n">
        <x:v>0.6125753942238498</x:v>
      </x:c>
      <x:c r="N1298" s="604" t="inlineStr">
        <x:is>
          <x:t xml:space="preserve">V4纸面入选-B</x:t>
        </x:is>
      </x:c>
      <x:c r="O1298" s="604" t="inlineStr">
        <x:is>
          <x:t xml:space="preserve">1-0</x:t>
        </x:is>
      </x:c>
      <x:c r="P1298" s="604" t="inlineStr">
        <x:is>
          <x:t xml:space="preserve">已结算</x:t>
        </x:is>
      </x:c>
      <x:c r="Q1298" s="648" t="inlineStr">
        <x:is>
          <x:t xml:space="preserve">半黑</x:t>
        </x:is>
      </x:c>
      <x:c r="R1298" s="604" t="n">
        <x:v>0.77</x:v>
      </x:c>
      <x:c r="S1298" s="604" t="n">
        <x:f>IF(OR(Q1298="",Q1298="待结算"),"",IF(Q1298="红",R1298,IF(Q1298="半红",R1298*0.5,IF(Q1298="走",0,IF(Q1298="半黑",-0.5,-1)))))</x:f>
        <x:v>-0.5</x:v>
      </x:c>
      <x:c r="T1298" s="604" t="inlineStr">
        <x:is>
          <x:t xml:space="preserve">https://m.titan007.com/analy/Analysis/3006369.htm</x:t>
        </x:is>
      </x:c>
      <x:c r="U1298" s="649" t="str">
        <x:f>IF(Q1298="","",IF(Q1298="待结算","待结算",IF(Q1298="红","黑",IF(Q1298="半红","半黑",IF(Q1298="走","走",IF(Q1298="半黑","半红","红"))))))</x:f>
        <x:v>半红</x:v>
      </x:c>
      <x:c r="V1298" s="604" t="n">
        <x:f>IF(OR(Q1298="",Q1298="待结算"),"",IF(L1298=LEFT(F1298,FIND(" vs ",F1298)-1),I1298,G1298))</x:f>
        <x:v>0.93</x:v>
      </x:c>
      <x:c r="W1298" s="604" t="n">
        <x:f>IF(OR(U1298="",U1298="待结算"),"",IF(U1298="红",V1298,IF(U1298="半红",V1298*0.5,IF(U1298="走",0,IF(U1298="半黑",-0.5,-1)))))</x:f>
        <x:v>0.465</x:v>
      </x:c>
      <x:c r="X1298" s="604" t="inlineStr">
        <x:is>
          <x:t xml:space="preserve">3006369</x:t>
        </x:is>
      </x:c>
      <x:c r="Y1298" s="604" t="inlineStr">
        <x:is>
          <x:t xml:space="preserve">V4</x:t>
        </x:is>
      </x:c>
      <x:c r="Z1298" s="604" t="inlineStr">
        <x:is>
          <x:t xml:space="preserve">prior-2026-10-07-v1</x:t>
        </x:is>
      </x:c>
      <x:c r="AA1298" s="604" t="inlineStr">
        <x:is>
          <x:t xml:space="preserve">B</x:t>
        </x:is>
      </x:c>
      <x:c r="AB1298" s="604" t="n">
        <x:v>0.5378749514172034</x:v>
      </x:c>
      <x:c r="AC1298" s="604" t="n"/>
      <x:c r="AD1298" s="604" t="n"/>
      <x:c r="AE1298" s="604" t="n">
        <x:v>0.2438897922150267</x:v>
      </x:c>
      <x:c r="AF1298" s="604" t="n">
        <x:v>0.2182352563677699</x:v>
      </x:c>
      <x:c r="AG1298" s="604" t="n">
        <x:v>0.07398356011596333</x:v>
      </x:c>
      <x:c r="AH1298" s="604" t="n"/>
      <x:c r="AI1298" s="604" t="n"/>
      <x:c r="AJ1298" s="604" t="n">
        <x:v>0.07398356011596333</x:v>
      </x:c>
      <x:c r="AK1298" s="604" t="n"/>
      <x:c r="AL1298" s="604" t="n"/>
      <x:c r="AM1298" s="604" t="n"/>
      <x:c r="AN1298" s="604" t="inlineStr">
        <x:is>
          <x:t xml:space="preserve">EVALUATED</x:t>
        </x:is>
      </x:c>
      <x:c r="AO1298" s="604" t="inlineStr">
        <x:is>
          <x:t xml:space="preserve">GIVING_VALIDATED_EDGE、BUCKET_PRIOR_ONLY、INTENT_INTERPRETATION_ONLY、FFL_OPTIONAL、EXPERT_MARKET</x:t>
        </x:is>
      </x:c>
      <x:c r="AP1298" s="604" t="inlineStr">
        <x:is>
          <x:t xml:space="preserve">e6f83b407ae7652bd973</x:t>
        </x:is>
      </x:c>
      <x:c r="AQ1298" s="604" t="n">
        <x:v>-1.25</x:v>
      </x:c>
      <x:c r="AR1298" s="604" t="n">
        <x:v>0.77</x:v>
      </x:c>
      <x:c r="AS1298" s="604" t="n">
        <x:v>1.25</x:v>
      </x:c>
      <x:c r="AT1298" s="604" t="n">
        <x:v>-1.25</x:v>
      </x:c>
      <x:c r="AU1298" s="604" t="n">
        <x:v>0.77</x:v>
      </x:c>
      <x:c r="AV1298" s="604" t="n">
        <x:v>0.93</x:v>
      </x:c>
      <x:c r="AW1298" s="604" t="n">
        <x:v>46302.19288847222</x:v>
      </x:c>
      <x:c r="AX1298" s="604" t="inlineStr">
        <x:is>
          <x:t xml:space="preserve">https://simondongxiao.github.io/odds/v4/</x:t>
        </x:is>
      </x:c>
      <x:c r="AY1298" s="604" t="inlineStr">
        <x:is>
          <x:t xml:space="preserve">V4 Shadow Only；real_money=false；P(EV&gt;0)不是比赛胜率</x:t>
        </x:is>
      </x:c>
    </x:row>
    <x:row r="1299" ht="22" customHeight="1">
      <x:c r="A1299" s="604" t="inlineStr">
        <x:is>
          <x:t xml:space="preserve">2026-10-07</x:t>
        </x:is>
      </x:c>
      <x:c r="B1299" s="604" t="inlineStr">
        <x:is>
          <x:t xml:space="preserve">2026-10-08 06:30</x:t>
        </x:is>
      </x:c>
      <x:c r="C1299" s="604" t="str">
        <x:v>南美系列</x:v>
      </x:c>
      <x:c r="D1299" s="604" t="inlineStr">
        <x:is>
          <x:t xml:space="preserve">联赛</x:t>
        </x:is>
      </x:c>
      <x:c r="E1299" s="604" t="inlineStr">
        <x:is>
          <x:t xml:space="preserve">巴西甲</x:t>
        </x:is>
      </x:c>
      <x:c r="F1299" s="604" t="inlineStr">
        <x:is>
          <x:t xml:space="preserve">布拉干蒂诺RB vs 米拉索</x:t>
        </x:is>
      </x:c>
      <x:c r="G1299" s="604" t="n">
        <x:v>1.05</x:v>
      </x:c>
      <x:c r="H1299" s="604" t="n">
        <x:v>0.75</x:v>
      </x:c>
      <x:c r="I1299" s="604" t="n">
        <x:v>0.83</x:v>
      </x:c>
      <x:c r="J1299" s="604" t="inlineStr">
        <x:is>
          <x:t xml:space="preserve">1.05/0.75/0.83</x:t>
        </x:is>
      </x:c>
      <x:c r="K1299" s="604" t="inlineStr">
        <x:is>
          <x:t xml:space="preserve">V4-A｜EV +0.1204</x:t>
        </x:is>
      </x:c>
      <x:c r="L1299" s="604" t="inlineStr">
        <x:is>
          <x:t xml:space="preserve">布拉干蒂诺RB</x:t>
        </x:is>
      </x:c>
      <x:c r="M1299" s="604" t="n">
        <x:v>0.5551115478750472</x:v>
      </x:c>
      <x:c r="N1299" s="604" t="inlineStr">
        <x:is>
          <x:t xml:space="preserve">V4纸面入选-A</x:t>
        </x:is>
      </x:c>
      <x:c r="O1299" s="604" t="inlineStr">
        <x:is>
          <x:t xml:space="preserve">0-0</x:t>
        </x:is>
      </x:c>
      <x:c r="P1299" s="604" t="inlineStr">
        <x:is>
          <x:t xml:space="preserve">已结算</x:t>
        </x:is>
      </x:c>
      <x:c r="Q1299" s="646" t="inlineStr">
        <x:is>
          <x:t xml:space="preserve">黑</x:t>
        </x:is>
      </x:c>
      <x:c r="R1299" s="604" t="n">
        <x:v>1.05</x:v>
      </x:c>
      <x:c r="S1299" s="604" t="n">
        <x:f>IF(OR(Q1299="",Q1299="待结算"),"",IF(Q1299="红",R1299,IF(Q1299="半红",R1299*0.5,IF(Q1299="走",0,IF(Q1299="半黑",-0.5,-1)))))</x:f>
        <x:v>-1</x:v>
      </x:c>
      <x:c r="T1299" s="604" t="inlineStr">
        <x:is>
          <x:t xml:space="preserve">https://m.titan007.com/analy/Analysis/2910909.htm</x:t>
        </x:is>
      </x:c>
      <x:c r="U1299" s="645" t="str">
        <x:f>IF(Q1299="","",IF(Q1299="待结算","待结算",IF(Q1299="红","黑",IF(Q1299="半红","半黑",IF(Q1299="走","走",IF(Q1299="半黑","半红","红"))))))</x:f>
        <x:v>红</x:v>
      </x:c>
      <x:c r="V1299" s="604" t="n">
        <x:f>IF(OR(Q1299="",Q1299="待结算"),"",IF(L1299=LEFT(F1299,FIND(" vs ",F1299)-1),I1299,G1299))</x:f>
        <x:v>0.83</x:v>
      </x:c>
      <x:c r="W1299" s="604" t="n">
        <x:f>IF(OR(U1299="",U1299="待结算"),"",IF(U1299="红",V1299,IF(U1299="半红",V1299*0.5,IF(U1299="走",0,IF(U1299="半黑",-0.5,-1)))))</x:f>
        <x:v>0.83</x:v>
      </x:c>
      <x:c r="X1299" s="604" t="inlineStr">
        <x:is>
          <x:t xml:space="preserve">2910909</x:t>
        </x:is>
      </x:c>
      <x:c r="Y1299" s="604" t="inlineStr">
        <x:is>
          <x:t xml:space="preserve">V4</x:t>
        </x:is>
      </x:c>
      <x:c r="Z1299" s="604" t="inlineStr">
        <x:is>
          <x:t xml:space="preserve">prior-2026-10-07-v1</x:t>
        </x:is>
      </x:c>
      <x:c r="AA1299" s="604" t="inlineStr">
        <x:is>
          <x:t xml:space="preserve">A</x:t>
        </x:is>
      </x:c>
      <x:c r="AB1299" s="604" t="n">
        <x:v>0.3565712017775147</x:v>
      </x:c>
      <x:c r="AC1299" s="604" t="n">
        <x:v>0.2553390415868551</x:v>
      </x:c>
      <x:c r="AD1299" s="604" t="n"/>
      <x:c r="AE1299" s="604" t="n"/>
      <x:c r="AF1299" s="604" t="n">
        <x:v>0.3880897566356302</x:v>
      </x:c>
      <x:c r="AG1299" s="604" t="n">
        <x:v>0.1203630020638591</x:v>
      </x:c>
      <x:c r="AH1299" s="604" t="n"/>
      <x:c r="AI1299" s="604" t="n"/>
      <x:c r="AJ1299" s="604" t="n">
        <x:v>0.1203630020638591</x:v>
      </x:c>
      <x:c r="AK1299" s="604" t="n"/>
      <x:c r="AL1299" s="604" t="n"/>
      <x:c r="AM1299" s="604" t="n"/>
      <x:c r="AN1299" s="604" t="inlineStr">
        <x:is>
          <x:t xml:space="preserve">EVALUATED</x:t>
        </x:is>
      </x:c>
      <x:c r="AO1299" s="604" t="inlineStr">
        <x:is>
          <x:t xml:space="preserve">GIVING_VALIDATED_EDGE、BUCKET_PRIOR_ONLY、INTENT_INTERPRETATION_ONLY、FFL_OPTIONAL、EXPERT_MARKET</x:t>
        </x:is>
      </x:c>
      <x:c r="AP1299" s="604" t="inlineStr">
        <x:is>
          <x:t xml:space="preserve">3d73da826ef7914ca73b</x:t>
        </x:is>
      </x:c>
      <x:c r="AQ1299" s="604" t="n">
        <x:v>-0.75</x:v>
      </x:c>
      <x:c r="AR1299" s="604" t="n">
        <x:v>1.05</x:v>
      </x:c>
      <x:c r="AS1299" s="604" t="n">
        <x:v>0.75</x:v>
      </x:c>
      <x:c r="AT1299" s="604" t="n">
        <x:v>-0.75</x:v>
      </x:c>
      <x:c r="AU1299" s="604" t="n">
        <x:v>1.05</x:v>
      </x:c>
      <x:c r="AV1299" s="604" t="n">
        <x:v>0.83</x:v>
      </x:c>
      <x:c r="AW1299" s="604" t="n">
        <x:v>46302.19288847222</x:v>
      </x:c>
      <x:c r="AX1299" s="604" t="inlineStr">
        <x:is>
          <x:t xml:space="preserve">https://simondongxiao.github.io/odds/v4/</x:t>
        </x:is>
      </x:c>
      <x:c r="AY1299" s="604" t="inlineStr">
        <x:is>
          <x:t xml:space="preserve">V4 Shadow Only；real_money=false；P(EV&gt;0)不是比赛胜率</x:t>
        </x:is>
      </x:c>
    </x:row>
    <x:row r="1300" ht="22" customHeight="1">
      <x:c r="A1300" s="604" t="inlineStr">
        <x:is>
          <x:t xml:space="preserve">2026-10-07</x:t>
        </x:is>
      </x:c>
      <x:c r="B1300" s="604" t="inlineStr">
        <x:is>
          <x:t xml:space="preserve">2026-10-08 06:30</x:t>
        </x:is>
      </x:c>
      <x:c r="C1300" s="604" t="str">
        <x:v>南美系列</x:v>
      </x:c>
      <x:c r="D1300" s="604" t="inlineStr">
        <x:is>
          <x:t xml:space="preserve">联赛</x:t>
        </x:is>
      </x:c>
      <x:c r="E1300" s="604" t="inlineStr">
        <x:is>
          <x:t xml:space="preserve">巴西甲</x:t>
        </x:is>
      </x:c>
      <x:c r="F1300" s="604" t="inlineStr">
        <x:is>
          <x:t xml:space="preserve">巴西国际 vs 科林蒂安</x:t>
        </x:is>
      </x:c>
      <x:c r="G1300" s="604" t="n">
        <x:v>0.95</x:v>
      </x:c>
      <x:c r="H1300" s="604" t="n">
        <x:v>0.25</x:v>
      </x:c>
      <x:c r="I1300" s="604" t="n">
        <x:v>0.93</x:v>
      </x:c>
      <x:c r="J1300" s="604" t="inlineStr">
        <x:is>
          <x:t xml:space="preserve">0.95/0.25/0.93</x:t>
        </x:is>
      </x:c>
      <x:c r="K1300" s="604" t="inlineStr">
        <x:is>
          <x:t xml:space="preserve">V4-B｜EV +0.0770</x:t>
        </x:is>
      </x:c>
      <x:c r="L1300" s="604" t="inlineStr">
        <x:is>
          <x:t xml:space="preserve">巴西国际</x:t>
        </x:is>
      </x:c>
      <x:c r="M1300" s="604" t="n">
        <x:v>0.5580909468568677</x:v>
      </x:c>
      <x:c r="N1300" s="604" t="inlineStr">
        <x:is>
          <x:t xml:space="preserve">V4纸面入选-B</x:t>
        </x:is>
      </x:c>
      <x:c r="O1300" s="604" t="inlineStr">
        <x:is>
          <x:t xml:space="preserve">1-0</x:t>
        </x:is>
      </x:c>
      <x:c r="P1300" s="604" t="inlineStr">
        <x:is>
          <x:t xml:space="preserve">已结算</x:t>
        </x:is>
      </x:c>
      <x:c r="Q1300" s="645" t="inlineStr">
        <x:is>
          <x:t xml:space="preserve">红</x:t>
        </x:is>
      </x:c>
      <x:c r="R1300" s="604" t="n">
        <x:v>0.95</x:v>
      </x:c>
      <x:c r="S1300" s="604" t="n">
        <x:f>IF(OR(Q1300="",Q1300="待结算"),"",IF(Q1300="红",R1300,IF(Q1300="半红",R1300*0.5,IF(Q1300="走",0,IF(Q1300="半黑",-0.5,-1)))))</x:f>
        <x:v>0.95</x:v>
      </x:c>
      <x:c r="T1300" s="604" t="inlineStr">
        <x:is>
          <x:t xml:space="preserve">https://m.titan007.com/analy/Analysis/2910912.htm</x:t>
        </x:is>
      </x:c>
      <x:c r="U1300" s="646" t="str">
        <x:f>IF(Q1300="","",IF(Q1300="待结算","待结算",IF(Q1300="红","黑",IF(Q1300="半红","半黑",IF(Q1300="走","走",IF(Q1300="半黑","半红","红"))))))</x:f>
        <x:v>黑</x:v>
      </x:c>
      <x:c r="V1300" s="604" t="n">
        <x:f>IF(OR(Q1300="",Q1300="待结算"),"",IF(L1300=LEFT(F1300,FIND(" vs ",F1300)-1),I1300,G1300))</x:f>
        <x:v>0.93</x:v>
      </x:c>
      <x:c r="W1300" s="604" t="n">
        <x:f>IF(OR(U1300="",U1300="待结算"),"",IF(U1300="红",V1300,IF(U1300="半红",V1300*0.5,IF(U1300="走",0,IF(U1300="半黑",-0.5,-1)))))</x:f>
        <x:v>-1</x:v>
      </x:c>
      <x:c r="X1300" s="604" t="inlineStr">
        <x:is>
          <x:t xml:space="preserve">2910912</x:t>
        </x:is>
      </x:c>
      <x:c r="Y1300" s="604" t="inlineStr">
        <x:is>
          <x:t xml:space="preserve">V4</x:t>
        </x:is>
      </x:c>
      <x:c r="Z1300" s="604" t="inlineStr">
        <x:is>
          <x:t xml:space="preserve">prior-2026-10-07-v1</x:t>
        </x:is>
      </x:c>
      <x:c r="AA1300" s="604" t="inlineStr">
        <x:is>
          <x:t xml:space="preserve">B</x:t>
        </x:is>
      </x:c>
      <x:c r="AB1300" s="604" t="n">
        <x:v>0.4867319338513252</x:v>
      </x:c>
      <x:c r="AC1300" s="604" t="n"/>
      <x:c r="AD1300" s="604" t="n"/>
      <x:c r="AE1300" s="604" t="n">
        <x:v>0.2557253917392204</x:v>
      </x:c>
      <x:c r="AF1300" s="604" t="n">
        <x:v>0.2575426744094544</x:v>
      </x:c>
      <x:c r="AG1300" s="604" t="n">
        <x:v>0.07698996687969434</x:v>
      </x:c>
      <x:c r="AH1300" s="604" t="n"/>
      <x:c r="AI1300" s="604" t="n"/>
      <x:c r="AJ1300" s="604" t="n">
        <x:v>0.07698996687969434</x:v>
      </x:c>
      <x:c r="AK1300" s="604" t="n"/>
      <x:c r="AL1300" s="604" t="n"/>
      <x:c r="AM1300" s="604" t="n"/>
      <x:c r="AN1300" s="604" t="inlineStr">
        <x:is>
          <x:t xml:space="preserve">EVALUATED</x:t>
        </x:is>
      </x:c>
      <x:c r="AO1300" s="604" t="inlineStr">
        <x:is>
          <x:t xml:space="preserve">GIVING_VALIDATED_EDGE、BUCKET_PRIOR_ONLY、INTENT_INTERPRETATION_ONLY、FFL_OPTIONAL、EXPERT_MARKET</x:t>
        </x:is>
      </x:c>
      <x:c r="AP1300" s="604" t="inlineStr">
        <x:is>
          <x:t xml:space="preserve">e80a38be0f8cb8729220</x:t>
        </x:is>
      </x:c>
      <x:c r="AQ1300" s="604" t="n">
        <x:v>-0.25</x:v>
      </x:c>
      <x:c r="AR1300" s="604" t="n">
        <x:v>0.95</x:v>
      </x:c>
      <x:c r="AS1300" s="604" t="n">
        <x:v>0.25</x:v>
      </x:c>
      <x:c r="AT1300" s="604" t="n">
        <x:v>-0.25</x:v>
      </x:c>
      <x:c r="AU1300" s="604" t="n">
        <x:v>0.95</x:v>
      </x:c>
      <x:c r="AV1300" s="604" t="n">
        <x:v>0.93</x:v>
      </x:c>
      <x:c r="AW1300" s="604" t="n">
        <x:v>46302.19288847222</x:v>
      </x:c>
      <x:c r="AX1300" s="604" t="inlineStr">
        <x:is>
          <x:t xml:space="preserve">https://simondongxiao.github.io/odds/v4/</x:t>
        </x:is>
      </x:c>
      <x:c r="AY1300" s="604" t="inlineStr">
        <x:is>
          <x:t xml:space="preserve">V4 Shadow Only；real_money=false；P(EV&gt;0)不是比赛胜率</x:t>
        </x:is>
      </x:c>
    </x:row>
    <x:row r="1301" ht="22" customHeight="1">
      <x:c r="A1301" s="604" t="inlineStr">
        <x:is>
          <x:t xml:space="preserve">2026-10-07</x:t>
        </x:is>
      </x:c>
      <x:c r="B1301" s="604" t="inlineStr">
        <x:is>
          <x:t xml:space="preserve">2026-10-08 06:30</x:t>
        </x:is>
      </x:c>
      <x:c r="C1301" s="604" t="str">
        <x:v>南美系列</x:v>
      </x:c>
      <x:c r="D1301" s="604" t="inlineStr">
        <x:is>
          <x:t xml:space="preserve">联赛</x:t>
        </x:is>
      </x:c>
      <x:c r="E1301" s="604" t="inlineStr">
        <x:is>
          <x:t xml:space="preserve">巴西甲</x:t>
        </x:is>
      </x:c>
      <x:c r="F1301" s="604" t="inlineStr">
        <x:is>
          <x:t xml:space="preserve">瑞模贝雷 vs 格雷米奥</x:t>
        </x:is>
      </x:c>
      <x:c r="G1301" s="604" t="n">
        <x:v>1.03</x:v>
      </x:c>
      <x:c r="H1301" s="604" t="n">
        <x:v>0</x:v>
      </x:c>
      <x:c r="I1301" s="604" t="n">
        <x:v>0.85</x:v>
      </x:c>
      <x:c r="J1301" s="604" t="inlineStr">
        <x:is>
          <x:t xml:space="preserve">1.03/0/0.85</x:t>
        </x:is>
      </x:c>
      <x:c r="K1301" s="604" t="inlineStr">
        <x:is>
          <x:t xml:space="preserve">V4-C｜EV +0.0266</x:t>
        </x:is>
      </x:c>
      <x:c r="L1301" s="604" t="str"/>
      <x:c r="M1301" s="604" t="n">
        <x:v>0.5077066132531105</x:v>
      </x:c>
      <x:c r="N1301" s="604" t="inlineStr">
        <x:is>
          <x:t xml:space="preserve">V4纸面入选-C</x:t>
        </x:is>
      </x:c>
      <x:c r="O1301" s="604" t="inlineStr">
        <x:is>
          <x:t xml:space="preserve">0-1</x:t>
        </x:is>
      </x:c>
      <x:c r="P1301" s="604" t="inlineStr">
        <x:is>
          <x:t xml:space="preserve">已结算</x:t>
        </x:is>
      </x:c>
      <x:c r="Q1301" s="646" t="inlineStr">
        <x:is>
          <x:t xml:space="preserve">黑</x:t>
        </x:is>
      </x:c>
      <x:c r="R1301" s="604" t="n">
        <x:v>0.85</x:v>
      </x:c>
      <x:c r="S1301" s="604" t="n">
        <x:f>IF(OR(Q1301="",Q1301="待结算"),"",IF(Q1301="红",R1301,IF(Q1301="半红",R1301*0.5,IF(Q1301="走",0,IF(Q1301="半黑",-0.5,-1)))))</x:f>
        <x:v>-1</x:v>
      </x:c>
      <x:c r="T1301" s="604" t="inlineStr">
        <x:is>
          <x:t xml:space="preserve">https://m.titan007.com/analy/Analysis/2910914.htm</x:t>
        </x:is>
      </x:c>
      <x:c r="U1301" s="645" t="str">
        <x:f>IF(Q1301="","",IF(Q1301="待结算","待结算",IF(Q1301="红","黑",IF(Q1301="半红","半黑",IF(Q1301="走","走",IF(Q1301="半黑","半红","红"))))))</x:f>
        <x:v>红</x:v>
      </x:c>
      <x:c r="V1301" s="604" t="n">
        <x:f>IF(OR(Q1301="",Q1301="待结算"),"",IF(L1301=LEFT(F1301,FIND(" vs ",F1301)-1),I1301,G1301))</x:f>
        <x:v>1.03</x:v>
      </x:c>
      <x:c r="W1301" s="604" t="n">
        <x:f>IF(OR(U1301="",U1301="待结算"),"",IF(U1301="红",V1301,IF(U1301="半红",V1301*0.5,IF(U1301="走",0,IF(U1301="半黑",-0.5,-1)))))</x:f>
        <x:v>1.03</x:v>
      </x:c>
      <x:c r="X1301" s="604" t="inlineStr">
        <x:is>
          <x:t xml:space="preserve">2910914</x:t>
        </x:is>
      </x:c>
      <x:c r="Y1301" s="604" t="inlineStr">
        <x:is>
          <x:t xml:space="preserve">V4</x:t>
        </x:is>
      </x:c>
      <x:c r="Z1301" s="604" t="inlineStr">
        <x:is>
          <x:t xml:space="preserve">prior-2026-10-07-v1</x:t>
        </x:is>
      </x:c>
      <x:c r="AA1301" s="604" t="inlineStr">
        <x:is>
          <x:t xml:space="preserve">C</x:t>
        </x:is>
      </x:c>
      <x:c r="AB1301" s="604" t="n">
        <x:v>0.4415099217013301</x:v>
      </x:c>
      <x:c r="AC1301" s="604" t="n"/>
      <x:c r="AD1301" s="604" t="n"/>
      <x:c r="AE1301" s="604" t="n">
        <x:v>0.260767497699617</x:v>
      </x:c>
      <x:c r="AF1301" s="604" t="n">
        <x:v>0.2977225805990529</x:v>
      </x:c>
      <x:c r="AG1301" s="604" t="n">
        <x:v>0.02664888990350861</x:v>
      </x:c>
      <x:c r="AH1301" s="604" t="n"/>
      <x:c r="AI1301" s="604" t="n"/>
      <x:c r="AJ1301" s="604" t="n">
        <x:v>0.02664888990350861</x:v>
      </x:c>
      <x:c r="AK1301" s="604" t="n"/>
      <x:c r="AL1301" s="604" t="n"/>
      <x:c r="AM1301" s="604" t="n"/>
      <x:c r="AN1301" s="604" t="inlineStr">
        <x:is>
          <x:t xml:space="preserve">EVALUATED</x:t>
        </x:is>
      </x:c>
      <x:c r="AO1301" s="604" t="inlineStr">
        <x:is>
          <x:t xml:space="preserve">EDGE_BELOW_UNCERTAINTY_THRESHOLD、BUCKET_PRIOR_ONLY、INTENT_INTERPRETATION_ONLY、FFL_OPTIONAL、EXPERT_MARKET</x:t>
        </x:is>
      </x:c>
      <x:c r="AP1301" s="604" t="inlineStr">
        <x:is>
          <x:t xml:space="preserve">d6402612dc112e3cadaa</x:t>
        </x:is>
      </x:c>
      <x:c r="AQ1301" s="604" t="n">
        <x:v>0</x:v>
      </x:c>
      <x:c r="AR1301" s="604" t="n"/>
      <x:c r="AS1301" s="604" t="n">
        <x:v>0</x:v>
      </x:c>
      <x:c r="AT1301" s="604" t="n">
        <x:v>0</x:v>
      </x:c>
      <x:c r="AU1301" s="604" t="n">
        <x:v>1.03</x:v>
      </x:c>
      <x:c r="AV1301" s="604" t="n">
        <x:v>0.85</x:v>
      </x:c>
      <x:c r="AW1301" s="604" t="n">
        <x:v>46302.19288847222</x:v>
      </x:c>
      <x:c r="AX1301" s="604" t="inlineStr">
        <x:is>
          <x:t xml:space="preserve">https://simondongxiao.github.io/odds/v4/</x:t>
        </x:is>
      </x:c>
      <x:c r="AY1301" s="604" t="inlineStr">
        <x:is>
          <x:t xml:space="preserve">V4 Shadow Only；real_money=false；P(EV&gt;0)不是比赛胜率</x:t>
        </x:is>
      </x:c>
    </x:row>
    <x:row r="1302" ht="22" customHeight="1">
      <x:c r="A1302" s="604" t="inlineStr">
        <x:is>
          <x:t xml:space="preserve">2026-10-07</x:t>
        </x:is>
      </x:c>
      <x:c r="B1302" s="604" t="inlineStr">
        <x:is>
          <x:t xml:space="preserve">2026-10-08 06:30</x:t>
        </x:is>
      </x:c>
      <x:c r="C1302" s="604" t="str">
        <x:v>南美系列</x:v>
      </x:c>
      <x:c r="D1302" s="604" t="inlineStr">
        <x:is>
          <x:t xml:space="preserve">联赛</x:t>
        </x:is>
      </x:c>
      <x:c r="E1302" s="604" t="inlineStr">
        <x:is>
          <x:t xml:space="preserve">巴西乙</x:t>
        </x:is>
      </x:c>
      <x:c r="F1302" s="604" t="inlineStr">
        <x:is>
          <x:t xml:space="preserve">奥瓦 vs 隆迪那</x:t>
        </x:is>
      </x:c>
      <x:c r="G1302" s="604" t="n">
        <x:v>0.84</x:v>
      </x:c>
      <x:c r="H1302" s="604" t="n">
        <x:v>0.25</x:v>
      </x:c>
      <x:c r="I1302" s="604" t="n">
        <x:v>1.04</x:v>
      </x:c>
      <x:c r="J1302" s="604" t="inlineStr">
        <x:is>
          <x:t xml:space="preserve">0.84/0.25/1.04</x:t>
        </x:is>
      </x:c>
      <x:c r="K1302" s="604" t="inlineStr">
        <x:is>
          <x:t xml:space="preserve">V4-B｜EV +0.0765</x:t>
        </x:is>
      </x:c>
      <x:c r="L1302" s="604" t="inlineStr">
        <x:is>
          <x:t xml:space="preserve">奥瓦</x:t>
        </x:is>
      </x:c>
      <x:c r="M1302" s="604" t="n">
        <x:v>0.590980941005381</x:v>
      </x:c>
      <x:c r="N1302" s="604" t="inlineStr">
        <x:is>
          <x:t xml:space="preserve">V4纸面入选-B</x:t>
        </x:is>
      </x:c>
      <x:c r="O1302" s="604" t="inlineStr">
        <x:is>
          <x:t xml:space="preserve">2-0</x:t>
        </x:is>
      </x:c>
      <x:c r="P1302" s="604" t="inlineStr">
        <x:is>
          <x:t xml:space="preserve">已结算</x:t>
        </x:is>
      </x:c>
      <x:c r="Q1302" s="645" t="inlineStr">
        <x:is>
          <x:t xml:space="preserve">红</x:t>
        </x:is>
      </x:c>
      <x:c r="R1302" s="604" t="n">
        <x:v>0.84</x:v>
      </x:c>
      <x:c r="S1302" s="604" t="n">
        <x:f>IF(OR(Q1302="",Q1302="待结算"),"",IF(Q1302="红",R1302,IF(Q1302="半红",R1302*0.5,IF(Q1302="走",0,IF(Q1302="半黑",-0.5,-1)))))</x:f>
        <x:v>0.84</x:v>
      </x:c>
      <x:c r="T1302" s="604" t="inlineStr">
        <x:is>
          <x:t xml:space="preserve">https://m.titan007.com/analy/Analysis/2940216.htm</x:t>
        </x:is>
      </x:c>
      <x:c r="U1302" s="646" t="str">
        <x:f>IF(Q1302="","",IF(Q1302="待结算","待结算",IF(Q1302="红","黑",IF(Q1302="半红","半黑",IF(Q1302="走","走",IF(Q1302="半黑","半红","红"))))))</x:f>
        <x:v>黑</x:v>
      </x:c>
      <x:c r="V1302" s="604" t="n">
        <x:f>IF(OR(Q1302="",Q1302="待结算"),"",IF(L1302=LEFT(F1302,FIND(" vs ",F1302)-1),I1302,G1302))</x:f>
        <x:v>1.04</x:v>
      </x:c>
      <x:c r="W1302" s="604" t="n">
        <x:f>IF(OR(U1302="",U1302="待结算"),"",IF(U1302="红",V1302,IF(U1302="半红",V1302*0.5,IF(U1302="走",0,IF(U1302="半黑",-0.5,-1)))))</x:f>
        <x:v>-1</x:v>
      </x:c>
      <x:c r="X1302" s="604" t="inlineStr">
        <x:is>
          <x:t xml:space="preserve">2940216</x:t>
        </x:is>
      </x:c>
      <x:c r="Y1302" s="604" t="inlineStr">
        <x:is>
          <x:t xml:space="preserve">V4</x:t>
        </x:is>
      </x:c>
      <x:c r="Z1302" s="604" t="inlineStr">
        <x:is>
          <x:t xml:space="preserve">prior-2026-10-07-v1</x:t>
        </x:is>
      </x:c>
      <x:c r="AA1302" s="604" t="inlineStr">
        <x:is>
          <x:t xml:space="preserve">B</x:t>
        </x:is>
      </x:c>
      <x:c r="AB1302" s="604" t="n">
        <x:v>0.5169123936698409</x:v>
      </x:c>
      <x:c r="AC1302" s="604" t="n"/>
      <x:c r="AD1302" s="604" t="n"/>
      <x:c r="AE1302" s="604" t="n">
        <x:v>0.2506630660864769</x:v>
      </x:c>
      <x:c r="AF1302" s="604" t="n">
        <x:v>0.2324245402436822</x:v>
      </x:c>
      <x:c r="AG1302" s="604" t="n">
        <x:v>0.07645033739574569</x:v>
      </x:c>
      <x:c r="AH1302" s="604" t="n"/>
      <x:c r="AI1302" s="604" t="n"/>
      <x:c r="AJ1302" s="604" t="n">
        <x:v>0.07645033739574569</x:v>
      </x:c>
      <x:c r="AK1302" s="604" t="n"/>
      <x:c r="AL1302" s="604" t="n"/>
      <x:c r="AM1302" s="604" t="n"/>
      <x:c r="AN1302" s="604" t="inlineStr">
        <x:is>
          <x:t xml:space="preserve">EVALUATED</x:t>
        </x:is>
      </x:c>
      <x:c r="AO1302" s="604" t="inlineStr">
        <x:is>
          <x:t xml:space="preserve">GIVING_VALIDATED_EDGE、BUCKET_PRIOR_ONLY、INTENT_INTERPRETATION_ONLY、FFL_OPTIONAL、EXPERT_MARKET</x:t>
        </x:is>
      </x:c>
      <x:c r="AP1302" s="604" t="inlineStr">
        <x:is>
          <x:t xml:space="preserve">fa6a7f9135d88942e0f0</x:t>
        </x:is>
      </x:c>
      <x:c r="AQ1302" s="604" t="n">
        <x:v>-0.25</x:v>
      </x:c>
      <x:c r="AR1302" s="604" t="n">
        <x:v>0.84</x:v>
      </x:c>
      <x:c r="AS1302" s="604" t="n">
        <x:v>0.25</x:v>
      </x:c>
      <x:c r="AT1302" s="604" t="n">
        <x:v>-0.25</x:v>
      </x:c>
      <x:c r="AU1302" s="604" t="n">
        <x:v>0.84</x:v>
      </x:c>
      <x:c r="AV1302" s="604" t="n">
        <x:v>1.04</x:v>
      </x:c>
      <x:c r="AW1302" s="604" t="n">
        <x:v>46302.19288847222</x:v>
      </x:c>
      <x:c r="AX1302" s="604" t="inlineStr">
        <x:is>
          <x:t xml:space="preserve">https://simondongxiao.github.io/odds/v4/</x:t>
        </x:is>
      </x:c>
      <x:c r="AY1302" s="604" t="inlineStr">
        <x:is>
          <x:t xml:space="preserve">V4 Shadow Only；real_money=false；P(EV&gt;0)不是比赛胜率</x:t>
        </x:is>
      </x:c>
    </x:row>
    <x:row r="1303" ht="22" customHeight="1">
      <x:c r="A1303" s="604" t="inlineStr">
        <x:is>
          <x:t xml:space="preserve">2026-10-07</x:t>
        </x:is>
      </x:c>
      <x:c r="B1303" s="604" t="inlineStr">
        <x:is>
          <x:t xml:space="preserve">2026-10-08 06:30</x:t>
        </x:is>
      </x:c>
      <x:c r="C1303" s="604" t="str">
        <x:v>南美系列</x:v>
      </x:c>
      <x:c r="D1303" s="604" t="inlineStr">
        <x:is>
          <x:t xml:space="preserve">联赛</x:t>
        </x:is>
      </x:c>
      <x:c r="E1303" s="604" t="inlineStr">
        <x:is>
          <x:t xml:space="preserve">巴西乙</x:t>
        </x:is>
      </x:c>
      <x:c r="F1303" s="604" t="inlineStr">
        <x:is>
          <x:t xml:space="preserve">欧帕尔利奥 vs 保地花高SP</x:t>
        </x:is>
      </x:c>
      <x:c r="G1303" s="604" t="n">
        <x:v>1</x:v>
      </x:c>
      <x:c r="H1303" s="604" t="n">
        <x:v>0.5</x:v>
      </x:c>
      <x:c r="I1303" s="604" t="n">
        <x:v>0.82</x:v>
      </x:c>
      <x:c r="J1303" s="604" t="inlineStr">
        <x:is>
          <x:t xml:space="preserve">1/0.5/0.82</x:t>
        </x:is>
      </x:c>
      <x:c r="K1303" s="604" t="inlineStr">
        <x:is>
          <x:t xml:space="preserve">V4-B｜EV +0.1382</x:t>
        </x:is>
      </x:c>
      <x:c r="L1303" s="604" t="inlineStr">
        <x:is>
          <x:t xml:space="preserve">欧帕尔利奥</x:t>
        </x:is>
      </x:c>
      <x:c r="M1303" s="604" t="n">
        <x:v>0.56910142579766</x:v>
      </x:c>
      <x:c r="N1303" s="604" t="inlineStr">
        <x:is>
          <x:t xml:space="preserve">V4纸面入选-B</x:t>
        </x:is>
      </x:c>
      <x:c r="O1303" s="604" t="inlineStr">
        <x:is>
          <x:t xml:space="preserve">1-1</x:t>
        </x:is>
      </x:c>
      <x:c r="P1303" s="604" t="inlineStr">
        <x:is>
          <x:t xml:space="preserve">已结算</x:t>
        </x:is>
      </x:c>
      <x:c r="Q1303" s="646" t="inlineStr">
        <x:is>
          <x:t xml:space="preserve">黑</x:t>
        </x:is>
      </x:c>
      <x:c r="R1303" s="604" t="n">
        <x:v>1</x:v>
      </x:c>
      <x:c r="S1303" s="604" t="n">
        <x:f>IF(OR(Q1303="",Q1303="待结算"),"",IF(Q1303="红",R1303,IF(Q1303="半红",R1303*0.5,IF(Q1303="走",0,IF(Q1303="半黑",-0.5,-1)))))</x:f>
        <x:v>-1</x:v>
      </x:c>
      <x:c r="T1303" s="604" t="inlineStr">
        <x:is>
          <x:t xml:space="preserve">https://m.titan007.com/analy/Analysis/2940221.htm</x:t>
        </x:is>
      </x:c>
      <x:c r="U1303" s="645" t="str">
        <x:f>IF(Q1303="","",IF(Q1303="待结算","待结算",IF(Q1303="红","黑",IF(Q1303="半红","半黑",IF(Q1303="走","走",IF(Q1303="半黑","半红","红"))))))</x:f>
        <x:v>红</x:v>
      </x:c>
      <x:c r="V1303" s="604" t="n">
        <x:f>IF(OR(Q1303="",Q1303="待结算"),"",IF(L1303=LEFT(F1303,FIND(" vs ",F1303)-1),I1303,G1303))</x:f>
        <x:v>0.82</x:v>
      </x:c>
      <x:c r="W1303" s="604" t="n">
        <x:f>IF(OR(U1303="",U1303="待结算"),"",IF(U1303="红",V1303,IF(U1303="半红",V1303*0.5,IF(U1303="走",0,IF(U1303="半黑",-0.5,-1)))))</x:f>
        <x:v>0.82</x:v>
      </x:c>
      <x:c r="X1303" s="604" t="inlineStr">
        <x:is>
          <x:t xml:space="preserve">2940221</x:t>
        </x:is>
      </x:c>
      <x:c r="Y1303" s="604" t="inlineStr">
        <x:is>
          <x:t xml:space="preserve">V4</x:t>
        </x:is>
      </x:c>
      <x:c r="Z1303" s="604" t="inlineStr">
        <x:is>
          <x:t xml:space="preserve">prior-2026-10-07-v1</x:t>
        </x:is>
      </x:c>
      <x:c r="AA1303" s="604" t="inlineStr">
        <x:is>
          <x:t xml:space="preserve">B</x:t>
        </x:is>
      </x:c>
      <x:c r="AB1303" s="604" t="n">
        <x:v>0.56910142579766</x:v>
      </x:c>
      <x:c r="AC1303" s="604" t="n"/>
      <x:c r="AD1303" s="604" t="n"/>
      <x:c r="AE1303" s="604" t="n"/>
      <x:c r="AF1303" s="604" t="n">
        <x:v>0.43089857420234</x:v>
      </x:c>
      <x:c r="AG1303" s="604" t="n">
        <x:v>0.13820285159532</x:v>
      </x:c>
      <x:c r="AH1303" s="604" t="n"/>
      <x:c r="AI1303" s="604" t="n"/>
      <x:c r="AJ1303" s="604" t="n">
        <x:v>0.13820285159532</x:v>
      </x:c>
      <x:c r="AK1303" s="604" t="n"/>
      <x:c r="AL1303" s="604" t="n"/>
      <x:c r="AM1303" s="604" t="n"/>
      <x:c r="AN1303" s="604" t="inlineStr">
        <x:is>
          <x:t xml:space="preserve">EVALUATED</x:t>
        </x:is>
      </x:c>
      <x:c r="AO1303" s="604" t="inlineStr">
        <x:is>
          <x:t xml:space="preserve">GIVING_VALIDATED_EDGE、BUCKET_PRIOR_ONLY、INTENT_INTERPRETATION_ONLY、FFL_OPTIONAL、EXPERT_MARKET</x:t>
        </x:is>
      </x:c>
      <x:c r="AP1303" s="604" t="inlineStr">
        <x:is>
          <x:t xml:space="preserve">ad19c56772c0b0e9d2a0</x:t>
        </x:is>
      </x:c>
      <x:c r="AQ1303" s="604" t="n">
        <x:v>-0.5</x:v>
      </x:c>
      <x:c r="AR1303" s="604" t="n">
        <x:v>1</x:v>
      </x:c>
      <x:c r="AS1303" s="604" t="n">
        <x:v>0.5</x:v>
      </x:c>
      <x:c r="AT1303" s="604" t="n">
        <x:v>-0.5</x:v>
      </x:c>
      <x:c r="AU1303" s="604" t="n">
        <x:v>1</x:v>
      </x:c>
      <x:c r="AV1303" s="604" t="n">
        <x:v>0.82</x:v>
      </x:c>
      <x:c r="AW1303" s="604" t="n">
        <x:v>46302.19288847222</x:v>
      </x:c>
      <x:c r="AX1303" s="604" t="inlineStr">
        <x:is>
          <x:t xml:space="preserve">https://simondongxiao.github.io/odds/v4/</x:t>
        </x:is>
      </x:c>
      <x:c r="AY1303" s="604" t="inlineStr">
        <x:is>
          <x:t xml:space="preserve">V4 Shadow Only；real_money=false；P(EV&gt;0)不是比赛胜率</x:t>
        </x:is>
      </x:c>
    </x:row>
    <x:row r="1304" ht="22" customHeight="1">
      <x:c r="A1304" s="604" t="inlineStr">
        <x:is>
          <x:t xml:space="preserve">2026-10-07</x:t>
        </x:is>
      </x:c>
      <x:c r="B1304" s="604" t="inlineStr">
        <x:is>
          <x:t xml:space="preserve">2026-10-08 07:00</x:t>
        </x:is>
      </x:c>
      <x:c r="C1304" s="604" t="str">
        <x:v>南美系列</x:v>
      </x:c>
      <x:c r="D1304" s="604" t="inlineStr">
        <x:is>
          <x:t xml:space="preserve">联赛</x:t>
        </x:is>
      </x:c>
      <x:c r="E1304" s="604" t="inlineStr">
        <x:is>
          <x:t xml:space="preserve">巴西甲</x:t>
        </x:is>
      </x:c>
      <x:c r="F1304" s="604" t="inlineStr">
        <x:is>
          <x:t xml:space="preserve">维多利亚 vs 沙佩科恩斯</x:t>
        </x:is>
      </x:c>
      <x:c r="G1304" s="604" t="n">
        <x:v>0.88</x:v>
      </x:c>
      <x:c r="H1304" s="604" t="n">
        <x:v>0.75</x:v>
      </x:c>
      <x:c r="I1304" s="604" t="n">
        <x:v>1</x:v>
      </x:c>
      <x:c r="J1304" s="604" t="inlineStr">
        <x:is>
          <x:t xml:space="preserve">0.88/0.75/1</x:t>
        </x:is>
      </x:c>
      <x:c r="K1304" s="604" t="inlineStr">
        <x:is>
          <x:t xml:space="preserve">V4-A｜EV +0.1542</x:t>
        </x:is>
      </x:c>
      <x:c r="L1304" s="604" t="inlineStr">
        <x:is>
          <x:t xml:space="preserve">维多利亚</x:t>
        </x:is>
      </x:c>
      <x:c r="M1304" s="604" t="n">
        <x:v>0.6260373330272643</x:v>
      </x:c>
      <x:c r="N1304" s="604" t="inlineStr">
        <x:is>
          <x:t xml:space="preserve">V4纸面入选-A</x:t>
        </x:is>
      </x:c>
      <x:c r="O1304" s="604" t="inlineStr">
        <x:is>
          <x:t xml:space="preserve">1-0</x:t>
        </x:is>
      </x:c>
      <x:c r="P1304" s="604" t="inlineStr">
        <x:is>
          <x:t xml:space="preserve">已结算</x:t>
        </x:is>
      </x:c>
      <x:c r="Q1304" s="649" t="inlineStr">
        <x:is>
          <x:t xml:space="preserve">半红</x:t>
        </x:is>
      </x:c>
      <x:c r="R1304" s="604" t="n">
        <x:v>0.88</x:v>
      </x:c>
      <x:c r="S1304" s="604" t="n">
        <x:f>IF(OR(Q1304="",Q1304="待结算"),"",IF(Q1304="红",R1304,IF(Q1304="半红",R1304*0.5,IF(Q1304="走",0,IF(Q1304="半黑",-0.5,-1)))))</x:f>
        <x:v>0.44</x:v>
      </x:c>
      <x:c r="T1304" s="604" t="inlineStr">
        <x:is>
          <x:t xml:space="preserve">https://m.titan007.com/analy/Analysis/2910916.htm</x:t>
        </x:is>
      </x:c>
      <x:c r="U1304" s="648" t="str">
        <x:f>IF(Q1304="","",IF(Q1304="待结算","待结算",IF(Q1304="红","黑",IF(Q1304="半红","半黑",IF(Q1304="走","走",IF(Q1304="半黑","半红","红"))))))</x:f>
        <x:v>半黑</x:v>
      </x:c>
      <x:c r="V1304" s="604" t="n">
        <x:f>IF(OR(Q1304="",Q1304="待结算"),"",IF(L1304=LEFT(F1304,FIND(" vs ",F1304)-1),I1304,G1304))</x:f>
        <x:v>1</x:v>
      </x:c>
      <x:c r="W1304" s="604" t="n">
        <x:f>IF(OR(U1304="",U1304="待结算"),"",IF(U1304="红",V1304,IF(U1304="半红",V1304*0.5,IF(U1304="走",0,IF(U1304="半黑",-0.5,-1)))))</x:f>
        <x:v>-0.5</x:v>
      </x:c>
      <x:c r="X1304" s="604" t="inlineStr">
        <x:is>
          <x:t xml:space="preserve">2910916</x:t>
        </x:is>
      </x:c>
      <x:c r="Y1304" s="604" t="inlineStr">
        <x:is>
          <x:t xml:space="preserve">V4</x:t>
        </x:is>
      </x:c>
      <x:c r="Z1304" s="604" t="inlineStr">
        <x:is>
          <x:t xml:space="preserve">prior-2026-10-07-v1</x:t>
        </x:is>
      </x:c>
      <x:c r="AA1304" s="604" t="inlineStr">
        <x:is>
          <x:t xml:space="preserve">A</x:t>
        </x:is>
      </x:c>
      <x:c r="AB1304" s="604" t="n">
        <x:v>0.4169940166701254</x:v>
      </x:c>
      <x:c r="AC1304" s="604" t="n">
        <x:v>0.2571199468931675</x:v>
      </x:c>
      <x:c r="AD1304" s="604" t="n"/>
      <x:c r="AE1304" s="604" t="n"/>
      <x:c r="AF1304" s="604" t="n">
        <x:v>0.3258860364367072</x:v>
      </x:c>
      <x:c r="AG1304" s="604" t="n">
        <x:v>0.1542014748659969</x:v>
      </x:c>
      <x:c r="AH1304" s="604" t="n"/>
      <x:c r="AI1304" s="604" t="n"/>
      <x:c r="AJ1304" s="604" t="n">
        <x:v>0.1542014748659969</x:v>
      </x:c>
      <x:c r="AK1304" s="604" t="n"/>
      <x:c r="AL1304" s="604" t="n"/>
      <x:c r="AM1304" s="604" t="n"/>
      <x:c r="AN1304" s="604" t="inlineStr">
        <x:is>
          <x:t xml:space="preserve">EVALUATED</x:t>
        </x:is>
      </x:c>
      <x:c r="AO1304" s="604" t="inlineStr">
        <x:is>
          <x:t xml:space="preserve">GIVING_VALIDATED_EDGE、BUCKET_PRIOR_ONLY、INTENT_INTERPRETATION_ONLY、FFL_OPTIONAL、EXPERT_MARKET</x:t>
        </x:is>
      </x:c>
      <x:c r="AP1304" s="604" t="inlineStr">
        <x:is>
          <x:t xml:space="preserve">d570e06dc2983aded5fd</x:t>
        </x:is>
      </x:c>
      <x:c r="AQ1304" s="604" t="n">
        <x:v>-0.75</x:v>
      </x:c>
      <x:c r="AR1304" s="604" t="n">
        <x:v>0.88</x:v>
      </x:c>
      <x:c r="AS1304" s="604" t="n">
        <x:v>0.75</x:v>
      </x:c>
      <x:c r="AT1304" s="604" t="n">
        <x:v>-0.75</x:v>
      </x:c>
      <x:c r="AU1304" s="604" t="n">
        <x:v>0.88</x:v>
      </x:c>
      <x:c r="AV1304" s="604" t="n">
        <x:v>1</x:v>
      </x:c>
      <x:c r="AW1304" s="604" t="n">
        <x:v>46302.19288847222</x:v>
      </x:c>
      <x:c r="AX1304" s="604" t="inlineStr">
        <x:is>
          <x:t xml:space="preserve">https://simondongxiao.github.io/odds/v4/</x:t>
        </x:is>
      </x:c>
      <x:c r="AY1304" s="604" t="inlineStr">
        <x:is>
          <x:t xml:space="preserve">V4 Shadow Only；real_money=false；P(EV&gt;0)不是比赛胜率</x:t>
        </x:is>
      </x:c>
    </x:row>
    <x:row r="1305" ht="22" customHeight="1">
      <x:c r="A1305" s="604" t="inlineStr">
        <x:is>
          <x:t xml:space="preserve">2026-10-07</x:t>
        </x:is>
      </x:c>
      <x:c r="B1305" s="604" t="inlineStr">
        <x:is>
          <x:t xml:space="preserve">2026-10-08 07:00</x:t>
        </x:is>
      </x:c>
      <x:c r="C1305" s="604" t="str">
        <x:v>北美系列</x:v>
      </x:c>
      <x:c r="D1305" s="604" t="inlineStr">
        <x:is>
          <x:t xml:space="preserve">联赛</x:t>
        </x:is>
      </x:c>
      <x:c r="E1305" s="604" t="inlineStr">
        <x:is>
          <x:t xml:space="preserve">加拿职</x:t>
        </x:is>
      </x:c>
      <x:c r="F1305" s="604" t="inlineStr">
        <x:is>
          <x:t xml:space="preserve">弗尔戈FC vs 太平洋FC</x:t>
        </x:is>
      </x:c>
      <x:c r="G1305" s="604" t="n">
        <x:v>0.77</x:v>
      </x:c>
      <x:c r="H1305" s="604" t="n">
        <x:v>1.75</x:v>
      </x:c>
      <x:c r="I1305" s="604" t="n">
        <x:v>0.93</x:v>
      </x:c>
      <x:c r="J1305" s="604" t="inlineStr">
        <x:is>
          <x:t xml:space="preserve">0.77/1.75/0.93</x:t>
        </x:is>
      </x:c>
      <x:c r="K1305" s="604" t="inlineStr">
        <x:is>
          <x:t xml:space="preserve">V4-B｜EV +0.1281</x:t>
        </x:is>
      </x:c>
      <x:c r="L1305" s="604" t="inlineStr">
        <x:is>
          <x:t xml:space="preserve">弗尔戈FC</x:t>
        </x:is>
      </x:c>
      <x:c r="M1305" s="604" t="n">
        <x:v>0.6475949115330034</x:v>
      </x:c>
      <x:c r="N1305" s="604" t="inlineStr">
        <x:is>
          <x:t xml:space="preserve">V4纸面入选-B</x:t>
        </x:is>
      </x:c>
      <x:c r="O1305" s="604" t="inlineStr">
        <x:is>
          <x:t xml:space="preserve">0-0</x:t>
        </x:is>
      </x:c>
      <x:c r="P1305" s="604" t="inlineStr">
        <x:is>
          <x:t xml:space="preserve">已结算</x:t>
        </x:is>
      </x:c>
      <x:c r="Q1305" s="646" t="inlineStr">
        <x:is>
          <x:t xml:space="preserve">黑</x:t>
        </x:is>
      </x:c>
      <x:c r="R1305" s="604" t="n">
        <x:v>0.77</x:v>
      </x:c>
      <x:c r="S1305" s="604" t="n">
        <x:f>IF(OR(Q1305="",Q1305="待结算"),"",IF(Q1305="红",R1305,IF(Q1305="半红",R1305*0.5,IF(Q1305="走",0,IF(Q1305="半黑",-0.5,-1)))))</x:f>
        <x:v>-1</x:v>
      </x:c>
      <x:c r="T1305" s="604" t="inlineStr">
        <x:is>
          <x:t xml:space="preserve">https://m.titan007.com/analy/Analysis/2937573.htm</x:t>
        </x:is>
      </x:c>
      <x:c r="U1305" s="645" t="str">
        <x:f>IF(Q1305="","",IF(Q1305="待结算","待结算",IF(Q1305="红","黑",IF(Q1305="半红","半黑",IF(Q1305="走","走",IF(Q1305="半黑","半红","红"))))))</x:f>
        <x:v>红</x:v>
      </x:c>
      <x:c r="V1305" s="604" t="n">
        <x:f>IF(OR(Q1305="",Q1305="待结算"),"",IF(L1305=LEFT(F1305,FIND(" vs ",F1305)-1),I1305,G1305))</x:f>
        <x:v>0.93</x:v>
      </x:c>
      <x:c r="W1305" s="604" t="n">
        <x:f>IF(OR(U1305="",U1305="待结算"),"",IF(U1305="红",V1305,IF(U1305="半红",V1305*0.5,IF(U1305="走",0,IF(U1305="半黑",-0.5,-1)))))</x:f>
        <x:v>0.93</x:v>
      </x:c>
      <x:c r="X1305" s="604" t="inlineStr">
        <x:is>
          <x:t xml:space="preserve">2937573</x:t>
        </x:is>
      </x:c>
      <x:c r="Y1305" s="604" t="inlineStr">
        <x:is>
          <x:t xml:space="preserve">V4</x:t>
        </x:is>
      </x:c>
      <x:c r="Z1305" s="604" t="inlineStr">
        <x:is>
          <x:t xml:space="preserve">prior-2026-10-07-v1</x:t>
        </x:is>
      </x:c>
      <x:c r="AA1305" s="604" t="inlineStr">
        <x:is>
          <x:t xml:space="preserve">B</x:t>
        </x:is>
      </x:c>
      <x:c r="AB1305" s="604" t="n">
        <x:v>0.443721966371941</x:v>
      </x:c>
      <x:c r="AC1305" s="604" t="n">
        <x:v>0.2474794547300088</x:v>
      </x:c>
      <x:c r="AD1305" s="604" t="n"/>
      <x:c r="AE1305" s="604" t="n"/>
      <x:c r="AF1305" s="604" t="n">
        <x:v>0.3087985788980502</x:v>
      </x:c>
      <x:c r="AG1305" s="604" t="n">
        <x:v>0.1281469252793978</x:v>
      </x:c>
      <x:c r="AH1305" s="604" t="n"/>
      <x:c r="AI1305" s="604" t="n"/>
      <x:c r="AJ1305" s="604" t="n">
        <x:v>0.1281469252793978</x:v>
      </x:c>
      <x:c r="AK1305" s="604" t="n"/>
      <x:c r="AL1305" s="604" t="n"/>
      <x:c r="AM1305" s="604" t="n"/>
      <x:c r="AN1305" s="604" t="inlineStr">
        <x:is>
          <x:t xml:space="preserve">EVALUATED</x:t>
        </x:is>
      </x:c>
      <x:c r="AO1305" s="604" t="inlineStr">
        <x:is>
          <x:t xml:space="preserve">GIVING_VALIDATED_EDGE、BUCKET_PRIOR_ONLY、INTENT_INTERPRETATION_ONLY、FFL_OPTIONAL、EXPERT_MARKET</x:t>
        </x:is>
      </x:c>
      <x:c r="AP1305" s="604" t="inlineStr">
        <x:is>
          <x:t xml:space="preserve">de34a4cf3149f325df14</x:t>
        </x:is>
      </x:c>
      <x:c r="AQ1305" s="604" t="n">
        <x:v>-1.75</x:v>
      </x:c>
      <x:c r="AR1305" s="604" t="n">
        <x:v>0.77</x:v>
      </x:c>
      <x:c r="AS1305" s="604" t="n">
        <x:v>1.75</x:v>
      </x:c>
      <x:c r="AT1305" s="604" t="n">
        <x:v>-1.75</x:v>
      </x:c>
      <x:c r="AU1305" s="604" t="n">
        <x:v>0.77</x:v>
      </x:c>
      <x:c r="AV1305" s="604" t="n">
        <x:v>0.93</x:v>
      </x:c>
      <x:c r="AW1305" s="604" t="n">
        <x:v>46302.19288847222</x:v>
      </x:c>
      <x:c r="AX1305" s="604" t="inlineStr">
        <x:is>
          <x:t xml:space="preserve">https://simondongxiao.github.io/odds/v4/</x:t>
        </x:is>
      </x:c>
      <x:c r="AY1305" s="604" t="inlineStr">
        <x:is>
          <x:t xml:space="preserve">V4 Shadow Only；real_money=false；P(EV&gt;0)不是比赛胜率</x:t>
        </x:is>
      </x:c>
    </x:row>
    <x:row r="1306" ht="22" customHeight="1">
      <x:c r="A1306" s="604" t="inlineStr">
        <x:is>
          <x:t xml:space="preserve">2026-10-07</x:t>
        </x:is>
      </x:c>
      <x:c r="B1306" s="604" t="inlineStr">
        <x:is>
          <x:t xml:space="preserve">2026-10-08 07:00</x:t>
        </x:is>
      </x:c>
      <x:c r="C1306" s="604" t="str">
        <x:v>南美系列</x:v>
      </x:c>
      <x:c r="D1306" s="604" t="inlineStr">
        <x:is>
          <x:t xml:space="preserve">杯赛</x:t>
        </x:is>
      </x:c>
      <x:c r="E1306" s="604" t="inlineStr">
        <x:is>
          <x:t xml:space="preserve">乌拉杯</x:t>
        </x:is>
      </x:c>
      <x:c r="F1306" s="604" t="inlineStr">
        <x:is>
          <x:t xml:space="preserve">佩莱扎 vs 尤文提度</x:t>
        </x:is>
      </x:c>
      <x:c r="G1306" s="604" t="n">
        <x:v>0.78</x:v>
      </x:c>
      <x:c r="H1306" s="604" t="n">
        <x:v>-0.25</x:v>
      </x:c>
      <x:c r="I1306" s="604" t="n">
        <x:v>1.03</x:v>
      </x:c>
      <x:c r="J1306" s="604" t="inlineStr">
        <x:is>
          <x:t xml:space="preserve">0.78/-0.25/1.03</x:t>
        </x:is>
      </x:c>
      <x:c r="K1306" s="604" t="inlineStr">
        <x:is>
          <x:t xml:space="preserve">V4-B｜EV +0.1679</x:t>
        </x:is>
      </x:c>
      <x:c r="L1306" s="604" t="inlineStr">
        <x:is>
          <x:t xml:space="preserve">佩莱扎</x:t>
        </x:is>
      </x:c>
      <x:c r="M1306" s="604" t="n">
        <x:v>0.6703186902178903</x:v>
      </x:c>
      <x:c r="N1306" s="604" t="inlineStr">
        <x:is>
          <x:t xml:space="preserve">V4纸面入选-B</x:t>
        </x:is>
      </x:c>
      <x:c r="O1306" s="604" t="inlineStr">
        <x:is>
          <x:t xml:space="preserve">0-0</x:t>
        </x:is>
      </x:c>
      <x:c r="P1306" s="604" t="inlineStr">
        <x:is>
          <x:t xml:space="preserve">已结算</x:t>
        </x:is>
      </x:c>
      <x:c r="Q1306" s="649" t="inlineStr">
        <x:is>
          <x:t xml:space="preserve">半红</x:t>
        </x:is>
      </x:c>
      <x:c r="R1306" s="604" t="n">
        <x:v>0.78</x:v>
      </x:c>
      <x:c r="S1306" s="604" t="n">
        <x:f>IF(OR(Q1306="",Q1306="待结算"),"",IF(Q1306="红",R1306,IF(Q1306="半红",R1306*0.5,IF(Q1306="走",0,IF(Q1306="半黑",-0.5,-1)))))</x:f>
        <x:v>0.39</x:v>
      </x:c>
      <x:c r="T1306" s="604" t="inlineStr">
        <x:is>
          <x:t xml:space="preserve">https://m.titan007.com/analy/Analysis/3097200.htm</x:t>
        </x:is>
      </x:c>
      <x:c r="U1306" s="648" t="str">
        <x:f>IF(Q1306="","",IF(Q1306="待结算","待结算",IF(Q1306="红","黑",IF(Q1306="半红","半黑",IF(Q1306="走","走",IF(Q1306="半黑","半红","红"))))))</x:f>
        <x:v>半黑</x:v>
      </x:c>
      <x:c r="V1306" s="604" t="n">
        <x:f>IF(OR(Q1306="",Q1306="待结算"),"",IF(L1306=LEFT(F1306,FIND(" vs ",F1306)-1),I1306,G1306))</x:f>
        <x:v>1.03</x:v>
      </x:c>
      <x:c r="W1306" s="604" t="n">
        <x:f>IF(OR(U1306="",U1306="待结算"),"",IF(U1306="红",V1306,IF(U1306="半红",V1306*0.5,IF(U1306="走",0,IF(U1306="半黑",-0.5,-1)))))</x:f>
        <x:v>-0.5</x:v>
      </x:c>
      <x:c r="X1306" s="604" t="inlineStr">
        <x:is>
          <x:t xml:space="preserve">3097200</x:t>
        </x:is>
      </x:c>
      <x:c r="Y1306" s="604" t="inlineStr">
        <x:is>
          <x:t xml:space="preserve">V4</x:t>
        </x:is>
      </x:c>
      <x:c r="Z1306" s="604" t="inlineStr">
        <x:is>
          <x:t xml:space="preserve">prior-2026-10-07-v1</x:t>
        </x:is>
      </x:c>
      <x:c r="AA1306" s="604" t="inlineStr">
        <x:is>
          <x:t xml:space="preserve">B</x:t>
        </x:is>
      </x:c>
      <x:c r="AB1306" s="604" t="n">
        <x:v>0.4516147653539903</x:v>
      </x:c>
      <x:c r="AC1306" s="604" t="n">
        <x:v>0.2618708946319345</x:v>
      </x:c>
      <x:c r="AD1306" s="604" t="n"/>
      <x:c r="AE1306" s="604" t="n"/>
      <x:c r="AF1306" s="604" t="n">
        <x:v>0.2865143400140753</x:v>
      </x:c>
      <x:c r="AG1306" s="604" t="n">
        <x:v>0.1678748258684916</x:v>
      </x:c>
      <x:c r="AH1306" s="604" t="n"/>
      <x:c r="AI1306" s="604" t="n"/>
      <x:c r="AJ1306" s="604" t="n">
        <x:v>0.1678748258684916</x:v>
      </x:c>
      <x:c r="AK1306" s="604" t="n"/>
      <x:c r="AL1306" s="604" t="n"/>
      <x:c r="AM1306" s="604" t="n"/>
      <x:c r="AN1306" s="604" t="inlineStr">
        <x:is>
          <x:t xml:space="preserve">EVALUATED</x:t>
        </x:is>
      </x:c>
      <x:c r="AO1306" s="604" t="inlineStr">
        <x:is>
          <x:t xml:space="preserve">RECEIVING_VALIDATED_EDGE、BUCKET_PRIOR_ONLY、INTENT_INTERPRETATION_ONLY、FFL_OPTIONAL、EXPERT_MARKET</x:t>
        </x:is>
      </x:c>
      <x:c r="AP1306" s="604" t="inlineStr">
        <x:is>
          <x:t xml:space="preserve">e69234cdf10737936705</x:t>
        </x:is>
      </x:c>
      <x:c r="AQ1306" s="604" t="n">
        <x:v>0.25</x:v>
      </x:c>
      <x:c r="AR1306" s="604" t="n">
        <x:v>0.78</x:v>
      </x:c>
      <x:c r="AS1306" s="604" t="n">
        <x:v>-0.25</x:v>
      </x:c>
      <x:c r="AT1306" s="604" t="n">
        <x:v>0.25</x:v>
      </x:c>
      <x:c r="AU1306" s="604" t="n">
        <x:v>0.78</x:v>
      </x:c>
      <x:c r="AV1306" s="604" t="n">
        <x:v>1.03</x:v>
      </x:c>
      <x:c r="AW1306" s="604" t="n">
        <x:v>46302.19288847222</x:v>
      </x:c>
      <x:c r="AX1306" s="604" t="inlineStr">
        <x:is>
          <x:t xml:space="preserve">https://simondongxiao.github.io/odds/v4/</x:t>
        </x:is>
      </x:c>
      <x:c r="AY1306" s="604" t="inlineStr">
        <x:is>
          <x:t xml:space="preserve">V4 Shadow Only；real_money=false；P(EV&gt;0)不是比赛胜率</x:t>
        </x:is>
      </x:c>
    </x:row>
    <x:row r="1307" ht="22" customHeight="1">
      <x:c r="A1307" s="604" t="inlineStr">
        <x:is>
          <x:t xml:space="preserve">2026-10-07</x:t>
        </x:is>
      </x:c>
      <x:c r="B1307" s="604" t="inlineStr">
        <x:is>
          <x:t xml:space="preserve">2026-10-08 07:00</x:t>
        </x:is>
      </x:c>
      <x:c r="C1307" s="604" t="str">
        <x:v>北美系列</x:v>
      </x:c>
      <x:c r="D1307" s="604" t="inlineStr">
        <x:is>
          <x:t xml:space="preserve">联赛</x:t>
        </x:is>
      </x:c>
      <x:c r="E1307" s="604" t="inlineStr">
        <x:is>
          <x:t xml:space="preserve">美甲</x:t>
        </x:is>
      </x:c>
      <x:c r="F1307" s="604" t="inlineStr">
        <x:is>
          <x:t xml:space="preserve">那不勒斯FC vs 里士满踢球者</x:t>
        </x:is>
      </x:c>
      <x:c r="G1307" s="604" t="n">
        <x:v>0.78</x:v>
      </x:c>
      <x:c r="H1307" s="604" t="n">
        <x:v>0.75</x:v>
      </x:c>
      <x:c r="I1307" s="604" t="n">
        <x:v>1.03</x:v>
      </x:c>
      <x:c r="J1307" s="604" t="inlineStr">
        <x:is>
          <x:t xml:space="preserve">0.78/0.75/1.03</x:t>
        </x:is>
      </x:c>
      <x:c r="K1307" s="604" t="inlineStr">
        <x:is>
          <x:t xml:space="preserve">V4-C｜EV +0.0649</x:t>
        </x:is>
      </x:c>
      <x:c r="L1307" s="604" t="inlineStr">
        <x:is>
          <x:t xml:space="preserve">那不勒斯FC</x:t>
        </x:is>
      </x:c>
      <x:c r="M1307" s="604" t="n">
        <x:v>0.6036119381880471</x:v>
      </x:c>
      <x:c r="N1307" s="604" t="inlineStr">
        <x:is>
          <x:t xml:space="preserve">V4纸面入选-C</x:t>
        </x:is>
      </x:c>
      <x:c r="O1307" s="604" t="inlineStr">
        <x:is>
          <x:t xml:space="preserve">1-0</x:t>
        </x:is>
      </x:c>
      <x:c r="P1307" s="604" t="inlineStr">
        <x:is>
          <x:t xml:space="preserve">已结算</x:t>
        </x:is>
      </x:c>
      <x:c r="Q1307" s="649" t="inlineStr">
        <x:is>
          <x:t xml:space="preserve">半红</x:t>
        </x:is>
      </x:c>
      <x:c r="R1307" s="604" t="n">
        <x:v>0.78</x:v>
      </x:c>
      <x:c r="S1307" s="604" t="n">
        <x:f>IF(OR(Q1307="",Q1307="待结算"),"",IF(Q1307="红",R1307,IF(Q1307="半红",R1307*0.5,IF(Q1307="走",0,IF(Q1307="半黑",-0.5,-1)))))</x:f>
        <x:v>0.39</x:v>
      </x:c>
      <x:c r="T1307" s="604" t="inlineStr">
        <x:is>
          <x:t xml:space="preserve">https://m.titan007.com/analy/Analysis/2955406.htm</x:t>
        </x:is>
      </x:c>
      <x:c r="U1307" s="648" t="str">
        <x:f>IF(Q1307="","",IF(Q1307="待结算","待结算",IF(Q1307="红","黑",IF(Q1307="半红","半黑",IF(Q1307="走","走",IF(Q1307="半黑","半红","红"))))))</x:f>
        <x:v>半黑</x:v>
      </x:c>
      <x:c r="V1307" s="604" t="n">
        <x:f>IF(OR(Q1307="",Q1307="待结算"),"",IF(L1307=LEFT(F1307,FIND(" vs ",F1307)-1),I1307,G1307))</x:f>
        <x:v>1.03</x:v>
      </x:c>
      <x:c r="W1307" s="604" t="n">
        <x:f>IF(OR(U1307="",U1307="待结算"),"",IF(U1307="红",V1307,IF(U1307="半红",V1307*0.5,IF(U1307="走",0,IF(U1307="半黑",-0.5,-1)))))</x:f>
        <x:v>-0.5</x:v>
      </x:c>
      <x:c r="X1307" s="604" t="inlineStr">
        <x:is>
          <x:t xml:space="preserve">2955406</x:t>
        </x:is>
      </x:c>
      <x:c r="Y1307" s="604" t="inlineStr">
        <x:is>
          <x:t xml:space="preserve">V4</x:t>
        </x:is>
      </x:c>
      <x:c r="Z1307" s="604" t="inlineStr">
        <x:is>
          <x:t xml:space="preserve">prior-2026-10-07-v1</x:t>
        </x:is>
      </x:c>
      <x:c r="AA1307" s="604" t="inlineStr">
        <x:is>
          <x:t xml:space="preserve">C</x:t>
        </x:is>
      </x:c>
      <x:c r="AB1307" s="604" t="n">
        <x:v>0.398369341238093</x:v>
      </x:c>
      <x:c r="AC1307" s="604" t="n">
        <x:v>0.2559753916298002</x:v>
      </x:c>
      <x:c r="AD1307" s="604" t="n"/>
      <x:c r="AE1307" s="604" t="n"/>
      <x:c r="AF1307" s="604" t="n">
        <x:v>0.3456552671321068</x:v>
      </x:c>
      <x:c r="AG1307" s="604" t="n">
        <x:v>0.0649032217692278</x:v>
      </x:c>
      <x:c r="AH1307" s="604" t="n"/>
      <x:c r="AI1307" s="604" t="n"/>
      <x:c r="AJ1307" s="604" t="n">
        <x:v>0.0649032217692278</x:v>
      </x:c>
      <x:c r="AK1307" s="604" t="n"/>
      <x:c r="AL1307" s="604" t="n"/>
      <x:c r="AM1307" s="604" t="n"/>
      <x:c r="AN1307" s="604" t="inlineStr">
        <x:is>
          <x:t xml:space="preserve">EVALUATED</x:t>
        </x:is>
      </x:c>
      <x:c r="AO1307" s="604" t="inlineStr">
        <x:is>
          <x:t xml:space="preserve">GIVING_VALIDATED_EDGE、BUCKET_PRIOR_ONLY、INTENT_INTERPRETATION_ONLY、FFL_OPTIONAL、EXPERT_MARKET</x:t>
        </x:is>
      </x:c>
      <x:c r="AP1307" s="604" t="inlineStr">
        <x:is>
          <x:t xml:space="preserve">cb10d76eb3b95cd21dab</x:t>
        </x:is>
      </x:c>
      <x:c r="AQ1307" s="604" t="n">
        <x:v>-0.75</x:v>
      </x:c>
      <x:c r="AR1307" s="604" t="n">
        <x:v>0.78</x:v>
      </x:c>
      <x:c r="AS1307" s="604" t="n">
        <x:v>0.75</x:v>
      </x:c>
      <x:c r="AT1307" s="604" t="n">
        <x:v>-0.75</x:v>
      </x:c>
      <x:c r="AU1307" s="604" t="n">
        <x:v>0.78</x:v>
      </x:c>
      <x:c r="AV1307" s="604" t="n">
        <x:v>1.03</x:v>
      </x:c>
      <x:c r="AW1307" s="604" t="n">
        <x:v>46302.19288847222</x:v>
      </x:c>
      <x:c r="AX1307" s="604" t="inlineStr">
        <x:is>
          <x:t xml:space="preserve">https://simondongxiao.github.io/odds/v4/</x:t>
        </x:is>
      </x:c>
      <x:c r="AY1307" s="604" t="inlineStr">
        <x:is>
          <x:t xml:space="preserve">V4 Shadow Only；real_money=false；P(EV&gt;0)不是比赛胜率</x:t>
        </x:is>
      </x:c>
    </x:row>
    <x:row r="1308" ht="22" customHeight="1">
      <x:c r="A1308" s="604" t="inlineStr">
        <x:is>
          <x:t xml:space="preserve">2026-10-07</x:t>
        </x:is>
      </x:c>
      <x:c r="B1308" s="604" t="inlineStr">
        <x:is>
          <x:t xml:space="preserve">2026-10-08 07:00</x:t>
        </x:is>
      </x:c>
      <x:c r="C1308" s="604" t="str">
        <x:v>北美系列</x:v>
      </x:c>
      <x:c r="D1308" s="604" t="inlineStr">
        <x:is>
          <x:t xml:space="preserve">联赛</x:t>
        </x:is>
      </x:c>
      <x:c r="E1308" s="604" t="inlineStr">
        <x:is>
          <x:t xml:space="preserve">美甲</x:t>
        </x:is>
      </x:c>
      <x:c r="F1308" s="604" t="inlineStr">
        <x:is>
          <x:t xml:space="preserve">诺克斯维尔部队 vs 查塔努加红狼</x:t>
        </x:is>
      </x:c>
      <x:c r="G1308" s="604" t="n">
        <x:v>0.98</x:v>
      </x:c>
      <x:c r="H1308" s="604" t="n">
        <x:v>0.5</x:v>
      </x:c>
      <x:c r="I1308" s="604" t="n">
        <x:v>0.83</x:v>
      </x:c>
      <x:c r="J1308" s="604" t="inlineStr">
        <x:is>
          <x:t xml:space="preserve">0.98/0.5/0.83</x:t>
        </x:is>
      </x:c>
      <x:c r="K1308" s="604" t="inlineStr">
        <x:is>
          <x:t xml:space="preserve">V4-B｜EV +0.0761</x:t>
        </x:is>
      </x:c>
      <x:c r="L1308" s="604" t="inlineStr">
        <x:is>
          <x:t xml:space="preserve">诺克斯维尔部队</x:t>
        </x:is>
      </x:c>
      <x:c r="M1308" s="604" t="n">
        <x:v>0.5435070995735247</x:v>
      </x:c>
      <x:c r="N1308" s="604" t="inlineStr">
        <x:is>
          <x:t xml:space="preserve">V4纸面入选-B</x:t>
        </x:is>
      </x:c>
      <x:c r="O1308" s="604" t="inlineStr">
        <x:is>
          <x:t xml:space="preserve">1-0</x:t>
        </x:is>
      </x:c>
      <x:c r="P1308" s="604" t="inlineStr">
        <x:is>
          <x:t xml:space="preserve">已结算</x:t>
        </x:is>
      </x:c>
      <x:c r="Q1308" s="645" t="inlineStr">
        <x:is>
          <x:t xml:space="preserve">红</x:t>
        </x:is>
      </x:c>
      <x:c r="R1308" s="604" t="n">
        <x:v>0.98</x:v>
      </x:c>
      <x:c r="S1308" s="604" t="n">
        <x:f>IF(OR(Q1308="",Q1308="待结算"),"",IF(Q1308="红",R1308,IF(Q1308="半红",R1308*0.5,IF(Q1308="走",0,IF(Q1308="半黑",-0.5,-1)))))</x:f>
        <x:v>0.98</x:v>
      </x:c>
      <x:c r="T1308" s="604" t="inlineStr">
        <x:is>
          <x:t xml:space="preserve">https://m.titan007.com/analy/Analysis/2955407.htm</x:t>
        </x:is>
      </x:c>
      <x:c r="U1308" s="646" t="str">
        <x:f>IF(Q1308="","",IF(Q1308="待结算","待结算",IF(Q1308="红","黑",IF(Q1308="半红","半黑",IF(Q1308="走","走",IF(Q1308="半黑","半红","红"))))))</x:f>
        <x:v>黑</x:v>
      </x:c>
      <x:c r="V1308" s="604" t="n">
        <x:f>IF(OR(Q1308="",Q1308="待结算"),"",IF(L1308=LEFT(F1308,FIND(" vs ",F1308)-1),I1308,G1308))</x:f>
        <x:v>0.83</x:v>
      </x:c>
      <x:c r="W1308" s="604" t="n">
        <x:f>IF(OR(U1308="",U1308="待结算"),"",IF(U1308="红",V1308,IF(U1308="半红",V1308*0.5,IF(U1308="走",0,IF(U1308="半黑",-0.5,-1)))))</x:f>
        <x:v>-1</x:v>
      </x:c>
      <x:c r="X1308" s="604" t="inlineStr">
        <x:is>
          <x:t xml:space="preserve">2955407</x:t>
        </x:is>
      </x:c>
      <x:c r="Y1308" s="604" t="inlineStr">
        <x:is>
          <x:t xml:space="preserve">V4</x:t>
        </x:is>
      </x:c>
      <x:c r="Z1308" s="604" t="inlineStr">
        <x:is>
          <x:t xml:space="preserve">prior-2026-10-07-v1</x:t>
        </x:is>
      </x:c>
      <x:c r="AA1308" s="604" t="inlineStr">
        <x:is>
          <x:t xml:space="preserve">B</x:t>
        </x:is>
      </x:c>
      <x:c r="AB1308" s="604" t="n">
        <x:v>0.5435070995735247</x:v>
      </x:c>
      <x:c r="AC1308" s="604" t="n"/>
      <x:c r="AD1308" s="604" t="n"/>
      <x:c r="AE1308" s="604" t="n"/>
      <x:c r="AF1308" s="604" t="n">
        <x:v>0.4564929004264752</x:v>
      </x:c>
      <x:c r="AG1308" s="604" t="n">
        <x:v>0.07614405715557898</x:v>
      </x:c>
      <x:c r="AH1308" s="604" t="n"/>
      <x:c r="AI1308" s="604" t="n"/>
      <x:c r="AJ1308" s="604" t="n">
        <x:v>0.07614405715557898</x:v>
      </x:c>
      <x:c r="AK1308" s="604" t="n"/>
      <x:c r="AL1308" s="604" t="n"/>
      <x:c r="AM1308" s="604" t="n"/>
      <x:c r="AN1308" s="604" t="inlineStr">
        <x:is>
          <x:t xml:space="preserve">EVALUATED</x:t>
        </x:is>
      </x:c>
      <x:c r="AO1308" s="604" t="inlineStr">
        <x:is>
          <x:t xml:space="preserve">GIVING_VALIDATED_EDGE、BUCKET_PRIOR_ONLY、INTENT_INTERPRETATION_ONLY、FFL_OPTIONAL、EXPERT_MARKET</x:t>
        </x:is>
      </x:c>
      <x:c r="AP1308" s="604" t="inlineStr">
        <x:is>
          <x:t xml:space="preserve">4968eed0b9ff6c301b8a</x:t>
        </x:is>
      </x:c>
      <x:c r="AQ1308" s="604" t="n">
        <x:v>-0.5</x:v>
      </x:c>
      <x:c r="AR1308" s="604" t="n">
        <x:v>0.98</x:v>
      </x:c>
      <x:c r="AS1308" s="604" t="n">
        <x:v>0.5</x:v>
      </x:c>
      <x:c r="AT1308" s="604" t="n">
        <x:v>-0.5</x:v>
      </x:c>
      <x:c r="AU1308" s="604" t="n">
        <x:v>0.98</x:v>
      </x:c>
      <x:c r="AV1308" s="604" t="n">
        <x:v>0.83</x:v>
      </x:c>
      <x:c r="AW1308" s="604" t="n">
        <x:v>46302.19288847222</x:v>
      </x:c>
      <x:c r="AX1308" s="604" t="inlineStr">
        <x:is>
          <x:t xml:space="preserve">https://simondongxiao.github.io/odds/v4/</x:t>
        </x:is>
      </x:c>
      <x:c r="AY1308" s="604" t="inlineStr">
        <x:is>
          <x:t xml:space="preserve">V4 Shadow Only；real_money=false；P(EV&gt;0)不是比赛胜率</x:t>
        </x:is>
      </x:c>
    </x:row>
    <x:row r="1309" ht="22" customHeight="1">
      <x:c r="A1309" s="604" t="inlineStr">
        <x:is>
          <x:t xml:space="preserve">2026-10-07</x:t>
        </x:is>
      </x:c>
      <x:c r="B1309" s="604" t="inlineStr">
        <x:is>
          <x:t xml:space="preserve">2026-10-08 07:30</x:t>
        </x:is>
      </x:c>
      <x:c r="C1309" s="604" t="str">
        <x:v>南美系列</x:v>
      </x:c>
      <x:c r="D1309" s="604" t="inlineStr">
        <x:is>
          <x:t xml:space="preserve">联赛</x:t>
        </x:is>
      </x:c>
      <x:c r="E1309" s="604" t="inlineStr">
        <x:is>
          <x:t xml:space="preserve">巴西乙</x:t>
        </x:is>
      </x:c>
      <x:c r="F1309" s="604" t="inlineStr">
        <x:is>
          <x:t xml:space="preserve">米内罗美洲 vs 福塔雷萨</x:t>
        </x:is>
      </x:c>
      <x:c r="G1309" s="604" t="n">
        <x:v>0.92</x:v>
      </x:c>
      <x:c r="H1309" s="604" t="n">
        <x:v>-0.5</x:v>
      </x:c>
      <x:c r="I1309" s="604" t="n">
        <x:v>0.9</x:v>
      </x:c>
      <x:c r="J1309" s="604" t="inlineStr">
        <x:is>
          <x:t xml:space="preserve">0.92/-0.5/0.9</x:t>
        </x:is>
      </x:c>
      <x:c r="K1309" s="604" t="inlineStr">
        <x:is>
          <x:t xml:space="preserve">V4-B｜EV +0.5520</x:t>
        </x:is>
      </x:c>
      <x:c r="L1309" s="604" t="inlineStr">
        <x:is>
          <x:t xml:space="preserve">米内罗美洲</x:t>
        </x:is>
      </x:c>
      <x:c r="M1309" s="604" t="n">
        <x:v>0.8083212864562089</x:v>
      </x:c>
      <x:c r="N1309" s="604" t="inlineStr">
        <x:is>
          <x:t xml:space="preserve">V4纸面入选-B</x:t>
        </x:is>
      </x:c>
      <x:c r="O1309" s="604" t="inlineStr">
        <x:is>
          <x:t xml:space="preserve">0-1</x:t>
        </x:is>
      </x:c>
      <x:c r="P1309" s="604" t="inlineStr">
        <x:is>
          <x:t xml:space="preserve">已结算</x:t>
        </x:is>
      </x:c>
      <x:c r="Q1309" s="646" t="inlineStr">
        <x:is>
          <x:t xml:space="preserve">黑</x:t>
        </x:is>
      </x:c>
      <x:c r="R1309" s="604" t="n">
        <x:v>0.92</x:v>
      </x:c>
      <x:c r="S1309" s="604" t="n">
        <x:f>IF(OR(Q1309="",Q1309="待结算"),"",IF(Q1309="红",R1309,IF(Q1309="半红",R1309*0.5,IF(Q1309="走",0,IF(Q1309="半黑",-0.5,-1)))))</x:f>
        <x:v>-1</x:v>
      </x:c>
      <x:c r="T1309" s="604" t="inlineStr">
        <x:is>
          <x:t xml:space="preserve">https://m.titan007.com/analy/Analysis/2940215.htm</x:t>
        </x:is>
      </x:c>
      <x:c r="U1309" s="645" t="str">
        <x:f>IF(Q1309="","",IF(Q1309="待结算","待结算",IF(Q1309="红","黑",IF(Q1309="半红","半黑",IF(Q1309="走","走",IF(Q1309="半黑","半红","红"))))))</x:f>
        <x:v>红</x:v>
      </x:c>
      <x:c r="V1309" s="604" t="n">
        <x:f>IF(OR(Q1309="",Q1309="待结算"),"",IF(L1309=LEFT(F1309,FIND(" vs ",F1309)-1),I1309,G1309))</x:f>
        <x:v>0.9</x:v>
      </x:c>
      <x:c r="W1309" s="604" t="n">
        <x:f>IF(OR(U1309="",U1309="待结算"),"",IF(U1309="红",V1309,IF(U1309="半红",V1309*0.5,IF(U1309="走",0,IF(U1309="半黑",-0.5,-1)))))</x:f>
        <x:v>0.9</x:v>
      </x:c>
      <x:c r="X1309" s="604" t="inlineStr">
        <x:is>
          <x:t xml:space="preserve">2940215</x:t>
        </x:is>
      </x:c>
      <x:c r="Y1309" s="604" t="inlineStr">
        <x:is>
          <x:t xml:space="preserve">V4</x:t>
        </x:is>
      </x:c>
      <x:c r="Z1309" s="604" t="inlineStr">
        <x:is>
          <x:t xml:space="preserve">prior-2026-10-07-v1</x:t>
        </x:is>
      </x:c>
      <x:c r="AA1309" s="604" t="inlineStr">
        <x:is>
          <x:t xml:space="preserve">B</x:t>
        </x:is>
      </x:c>
      <x:c r="AB1309" s="604" t="n">
        <x:v>0.8083212864562089</x:v>
      </x:c>
      <x:c r="AC1309" s="604" t="n"/>
      <x:c r="AD1309" s="604" t="n"/>
      <x:c r="AE1309" s="604" t="n"/>
      <x:c r="AF1309" s="604" t="n">
        <x:v>0.1916787135437911</x:v>
      </x:c>
      <x:c r="AG1309" s="604" t="n">
        <x:v>0.5519768699959212</x:v>
      </x:c>
      <x:c r="AH1309" s="604" t="n"/>
      <x:c r="AI1309" s="604" t="n"/>
      <x:c r="AJ1309" s="604" t="n">
        <x:v>0.5519768699959212</x:v>
      </x:c>
      <x:c r="AK1309" s="604" t="n"/>
      <x:c r="AL1309" s="604" t="n"/>
      <x:c r="AM1309" s="604" t="n"/>
      <x:c r="AN1309" s="604" t="inlineStr">
        <x:is>
          <x:t xml:space="preserve">EVALUATED</x:t>
        </x:is>
      </x:c>
      <x:c r="AO1309" s="604" t="inlineStr">
        <x:is>
          <x:t xml:space="preserve">RECEIVING_VALIDATED_EDGE、BUCKET_PRIOR_ONLY、INTENT_INTERPRETATION_ONLY、FFL_OPTIONAL、EXPERT_MARKET</x:t>
        </x:is>
      </x:c>
      <x:c r="AP1309" s="604" t="inlineStr">
        <x:is>
          <x:t xml:space="preserve">90c30676bec9407d9bd5</x:t>
        </x:is>
      </x:c>
      <x:c r="AQ1309" s="604" t="n">
        <x:v>0.5</x:v>
      </x:c>
      <x:c r="AR1309" s="604" t="n">
        <x:v>0.92</x:v>
      </x:c>
      <x:c r="AS1309" s="604" t="n">
        <x:v>-0.5</x:v>
      </x:c>
      <x:c r="AT1309" s="604" t="n">
        <x:v>0.5</x:v>
      </x:c>
      <x:c r="AU1309" s="604" t="n">
        <x:v>0.92</x:v>
      </x:c>
      <x:c r="AV1309" s="604" t="n">
        <x:v>0.9</x:v>
      </x:c>
      <x:c r="AW1309" s="604" t="n">
        <x:v>46302.19288847222</x:v>
      </x:c>
      <x:c r="AX1309" s="604" t="inlineStr">
        <x:is>
          <x:t xml:space="preserve">https://simondongxiao.github.io/odds/v4/</x:t>
        </x:is>
      </x:c>
      <x:c r="AY1309" s="604" t="inlineStr">
        <x:is>
          <x:t xml:space="preserve">V4 Shadow Only；real_money=false；P(EV&gt;0)不是比赛胜率</x:t>
        </x:is>
      </x:c>
    </x:row>
    <x:row r="1310" ht="22" customHeight="1">
      <x:c r="A1310" s="604" t="inlineStr">
        <x:is>
          <x:t xml:space="preserve">2026-10-07</x:t>
        </x:is>
      </x:c>
      <x:c r="B1310" s="604" t="inlineStr">
        <x:is>
          <x:t xml:space="preserve">2026-10-08 07:30</x:t>
        </x:is>
      </x:c>
      <x:c r="C1310" s="604" t="str">
        <x:v>南美系列</x:v>
      </x:c>
      <x:c r="D1310" s="604" t="inlineStr">
        <x:is>
          <x:t xml:space="preserve">联赛</x:t>
        </x:is>
      </x:c>
      <x:c r="E1310" s="604" t="inlineStr">
        <x:is>
          <x:t xml:space="preserve">巴西乙</x:t>
        </x:is>
      </x:c>
      <x:c r="F1310" s="604" t="inlineStr">
        <x:is>
          <x:t xml:space="preserve">雷加塔斯巴西 vs 戈亚尼亚竞技</x:t>
        </x:is>
      </x:c>
      <x:c r="G1310" s="604" t="n">
        <x:v>0.84</x:v>
      </x:c>
      <x:c r="H1310" s="604" t="n">
        <x:v>0</x:v>
      </x:c>
      <x:c r="I1310" s="604" t="n">
        <x:v>0.98</x:v>
      </x:c>
      <x:c r="J1310" s="604" t="inlineStr">
        <x:is>
          <x:t xml:space="preserve">0.84/0/0.98</x:t>
        </x:is>
      </x:c>
      <x:c r="K1310" s="604" t="inlineStr">
        <x:is>
          <x:t xml:space="preserve">V4-C｜EV +0.0423</x:t>
        </x:is>
      </x:c>
      <x:c r="L1310" s="604" t="str"/>
      <x:c r="M1310" s="604" t="n">
        <x:v>0.5664758173468138</x:v>
      </x:c>
      <x:c r="N1310" s="604" t="inlineStr">
        <x:is>
          <x:t xml:space="preserve">V4纸面入选-C</x:t>
        </x:is>
      </x:c>
      <x:c r="O1310" s="604" t="inlineStr">
        <x:is>
          <x:t xml:space="preserve">0-0</x:t>
        </x:is>
      </x:c>
      <x:c r="P1310" s="604" t="inlineStr">
        <x:is>
          <x:t xml:space="preserve">已结算</x:t>
        </x:is>
      </x:c>
      <x:c r="Q1310" s="647" t="inlineStr">
        <x:is>
          <x:t xml:space="preserve">走</x:t>
        </x:is>
      </x:c>
      <x:c r="R1310" s="604" t="n">
        <x:v>0.98</x:v>
      </x:c>
      <x:c r="S1310" s="604" t="n">
        <x:f>IF(OR(Q1310="",Q1310="待结算"),"",IF(Q1310="红",R1310,IF(Q1310="半红",R1310*0.5,IF(Q1310="走",0,IF(Q1310="半黑",-0.5,-1)))))</x:f>
        <x:v>0</x:v>
      </x:c>
      <x:c r="T1310" s="604" t="inlineStr">
        <x:is>
          <x:t xml:space="preserve">https://m.titan007.com/analy/Analysis/2940218.htm</x:t>
        </x:is>
      </x:c>
      <x:c r="U1310" s="647" t="str">
        <x:f>IF(Q1310="","",IF(Q1310="待结算","待结算",IF(Q1310="红","黑",IF(Q1310="半红","半黑",IF(Q1310="走","走",IF(Q1310="半黑","半红","红"))))))</x:f>
        <x:v>走</x:v>
      </x:c>
      <x:c r="V1310" s="604" t="n">
        <x:f>IF(OR(Q1310="",Q1310="待结算"),"",IF(L1310=LEFT(F1310,FIND(" vs ",F1310)-1),I1310,G1310))</x:f>
        <x:v>0.84</x:v>
      </x:c>
      <x:c r="W1310" s="604" t="n">
        <x:f>IF(OR(U1310="",U1310="待结算"),"",IF(U1310="红",V1310,IF(U1310="半红",V1310*0.5,IF(U1310="走",0,IF(U1310="半黑",-0.5,-1)))))</x:f>
        <x:v>0</x:v>
      </x:c>
      <x:c r="X1310" s="604" t="inlineStr">
        <x:is>
          <x:t xml:space="preserve">2940218</x:t>
        </x:is>
      </x:c>
      <x:c r="Y1310" s="604" t="inlineStr">
        <x:is>
          <x:t xml:space="preserve">V4</x:t>
        </x:is>
      </x:c>
      <x:c r="Z1310" s="604" t="inlineStr">
        <x:is>
          <x:t xml:space="preserve">prior-2026-10-07-v1</x:t>
        </x:is>
      </x:c>
      <x:c r="AA1310" s="604" t="inlineStr">
        <x:is>
          <x:t xml:space="preserve">C</x:t>
        </x:is>
      </x:c>
      <x:c r="AB1310" s="604" t="n">
        <x:v>0.5664758173468138</x:v>
      </x:c>
      <x:c r="AC1310" s="604" t="n"/>
      <x:c r="AD1310" s="604" t="n"/>
      <x:c r="AE1310" s="604" t="n"/>
      <x:c r="AF1310" s="604" t="n">
        <x:v>0.4335241826531862</x:v>
      </x:c>
      <x:c r="AG1310" s="604" t="n">
        <x:v>0.04231550391813749</x:v>
      </x:c>
      <x:c r="AH1310" s="604" t="n"/>
      <x:c r="AI1310" s="604" t="n"/>
      <x:c r="AJ1310" s="604" t="n">
        <x:v>0.04231550391813749</x:v>
      </x:c>
      <x:c r="AK1310" s="604" t="n"/>
      <x:c r="AL1310" s="604" t="n"/>
      <x:c r="AM1310" s="604" t="n"/>
      <x:c r="AN1310" s="604" t="inlineStr">
        <x:is>
          <x:t xml:space="preserve">EVALUATED</x:t>
        </x:is>
      </x:c>
      <x:c r="AO1310" s="604" t="inlineStr">
        <x:is>
          <x:t xml:space="preserve">EDGE_BELOW_UNCERTAINTY_THRESHOLD、BUCKET_PRIOR_ONLY、INTENT_INTERPRETATION_ONLY、FFL_OPTIONAL、EXPERT_MARKET</x:t>
        </x:is>
      </x:c>
      <x:c r="AP1310" s="604" t="inlineStr">
        <x:is>
          <x:t xml:space="preserve">72949da11c43ffd3be79</x:t>
        </x:is>
      </x:c>
      <x:c r="AQ1310" s="604" t="n">
        <x:v>0</x:v>
      </x:c>
      <x:c r="AR1310" s="604" t="n"/>
      <x:c r="AS1310" s="604" t="n">
        <x:v>0</x:v>
      </x:c>
      <x:c r="AT1310" s="604" t="n">
        <x:v>0</x:v>
      </x:c>
      <x:c r="AU1310" s="604" t="n">
        <x:v>0.84</x:v>
      </x:c>
      <x:c r="AV1310" s="604" t="n">
        <x:v>0.98</x:v>
      </x:c>
      <x:c r="AW1310" s="604" t="n">
        <x:v>46302.19288847222</x:v>
      </x:c>
      <x:c r="AX1310" s="604" t="inlineStr">
        <x:is>
          <x:t xml:space="preserve">https://simondongxiao.github.io/odds/v4/</x:t>
        </x:is>
      </x:c>
      <x:c r="AY1310" s="604" t="inlineStr">
        <x:is>
          <x:t xml:space="preserve">V4 Shadow Only；real_money=false；P(EV&gt;0)不是比赛胜率</x:t>
        </x:is>
      </x:c>
    </x:row>
    <x:row r="1311" ht="22" customHeight="1">
      <x:c r="A1311" s="604" t="inlineStr">
        <x:is>
          <x:t xml:space="preserve">2026-10-07</x:t>
        </x:is>
      </x:c>
      <x:c r="B1311" s="604" t="inlineStr">
        <x:is>
          <x:t xml:space="preserve">2026-10-08 07:30</x:t>
        </x:is>
      </x:c>
      <x:c r="C1311" s="604" t="str">
        <x:v>南美系列</x:v>
      </x:c>
      <x:c r="D1311" s="604" t="inlineStr">
        <x:is>
          <x:t xml:space="preserve">联赛</x:t>
        </x:is>
      </x:c>
      <x:c r="E1311" s="604" t="inlineStr">
        <x:is>
          <x:t xml:space="preserve">巴西乙</x:t>
        </x:is>
      </x:c>
      <x:c r="F1311" s="604" t="inlineStr">
        <x:is>
          <x:t xml:space="preserve">维拉诺瓦 vs 库亚巴</x:t>
        </x:is>
      </x:c>
      <x:c r="G1311" s="604" t="n">
        <x:v>0.83</x:v>
      </x:c>
      <x:c r="H1311" s="604" t="n">
        <x:v>0.25</x:v>
      </x:c>
      <x:c r="I1311" s="604" t="n">
        <x:v>1.05</x:v>
      </x:c>
      <x:c r="J1311" s="604" t="inlineStr">
        <x:is>
          <x:t xml:space="preserve">0.83/0.25/1.05</x:t>
        </x:is>
      </x:c>
      <x:c r="K1311" s="604" t="inlineStr">
        <x:is>
          <x:t xml:space="preserve">V4-B｜EV +0.0876</x:t>
        </x:is>
      </x:c>
      <x:c r="L1311" s="604" t="inlineStr">
        <x:is>
          <x:t xml:space="preserve">维拉诺瓦</x:t>
        </x:is>
      </x:c>
      <x:c r="M1311" s="604" t="n">
        <x:v>0.601176670295164</x:v>
      </x:c>
      <x:c r="N1311" s="604" t="inlineStr">
        <x:is>
          <x:t xml:space="preserve">V4纸面入选-B</x:t>
        </x:is>
      </x:c>
      <x:c r="O1311" s="604" t="inlineStr">
        <x:is>
          <x:t xml:space="preserve">0-0</x:t>
        </x:is>
      </x:c>
      <x:c r="P1311" s="604" t="inlineStr">
        <x:is>
          <x:t xml:space="preserve">已结算</x:t>
        </x:is>
      </x:c>
      <x:c r="Q1311" s="648" t="inlineStr">
        <x:is>
          <x:t xml:space="preserve">半黑</x:t>
        </x:is>
      </x:c>
      <x:c r="R1311" s="604" t="n">
        <x:v>0.83</x:v>
      </x:c>
      <x:c r="S1311" s="604" t="n">
        <x:f>IF(OR(Q1311="",Q1311="待结算"),"",IF(Q1311="红",R1311,IF(Q1311="半红",R1311*0.5,IF(Q1311="走",0,IF(Q1311="半黑",-0.5,-1)))))</x:f>
        <x:v>-0.5</x:v>
      </x:c>
      <x:c r="T1311" s="604" t="inlineStr">
        <x:is>
          <x:t xml:space="preserve">https://m.titan007.com/analy/Analysis/2940224.htm</x:t>
        </x:is>
      </x:c>
      <x:c r="U1311" s="649" t="str">
        <x:f>IF(Q1311="","",IF(Q1311="待结算","待结算",IF(Q1311="红","黑",IF(Q1311="半红","半黑",IF(Q1311="走","走",IF(Q1311="半黑","半红","红"))))))</x:f>
        <x:v>半红</x:v>
      </x:c>
      <x:c r="V1311" s="604" t="n">
        <x:f>IF(OR(Q1311="",Q1311="待结算"),"",IF(L1311=LEFT(F1311,FIND(" vs ",F1311)-1),I1311,G1311))</x:f>
        <x:v>1.05</x:v>
      </x:c>
      <x:c r="W1311" s="604" t="n">
        <x:f>IF(OR(U1311="",U1311="待结算"),"",IF(U1311="红",V1311,IF(U1311="半红",V1311*0.5,IF(U1311="走",0,IF(U1311="半黑",-0.5,-1)))))</x:f>
        <x:v>0.525</x:v>
      </x:c>
      <x:c r="X1311" s="604" t="inlineStr">
        <x:is>
          <x:t xml:space="preserve">2940224</x:t>
        </x:is>
      </x:c>
      <x:c r="Y1311" s="604" t="inlineStr">
        <x:is>
          <x:t xml:space="preserve">V4</x:t>
        </x:is>
      </x:c>
      <x:c r="Z1311" s="604" t="inlineStr">
        <x:is>
          <x:t xml:space="preserve">prior-2026-10-07-v1</x:t>
        </x:is>
      </x:c>
      <x:c r="AA1311" s="604" t="inlineStr">
        <x:is>
          <x:t xml:space="preserve">B</x:t>
        </x:is>
      </x:c>
      <x:c r="AB1311" s="604" t="n">
        <x:v>0.5261177702395713</x:v>
      </x:c>
      <x:c r="AC1311" s="604" t="n"/>
      <x:c r="AD1311" s="604" t="n"/>
      <x:c r="AE1311" s="604" t="n">
        <x:v>0.2497066295627892</x:v>
      </x:c>
      <x:c r="AF1311" s="604" t="n">
        <x:v>0.2241756001976396</x:v>
      </x:c>
      <x:c r="AG1311" s="604" t="n">
        <x:v>0.08764883431980999</x:v>
      </x:c>
      <x:c r="AH1311" s="604" t="n"/>
      <x:c r="AI1311" s="604" t="n"/>
      <x:c r="AJ1311" s="604" t="n">
        <x:v>0.08764883431980999</x:v>
      </x:c>
      <x:c r="AK1311" s="604" t="n"/>
      <x:c r="AL1311" s="604" t="n"/>
      <x:c r="AM1311" s="604" t="n"/>
      <x:c r="AN1311" s="604" t="inlineStr">
        <x:is>
          <x:t xml:space="preserve">EVALUATED</x:t>
        </x:is>
      </x:c>
      <x:c r="AO1311" s="604" t="inlineStr">
        <x:is>
          <x:t xml:space="preserve">GIVING_VALIDATED_EDGE、BUCKET_PRIOR_ONLY、INTENT_INTERPRETATION_ONLY、FFL_OPTIONAL、EXPERT_MARKET</x:t>
        </x:is>
      </x:c>
      <x:c r="AP1311" s="604" t="inlineStr">
        <x:is>
          <x:t xml:space="preserve">b9aad225a9785223f4ae</x:t>
        </x:is>
      </x:c>
      <x:c r="AQ1311" s="604" t="n">
        <x:v>-0.25</x:v>
      </x:c>
      <x:c r="AR1311" s="604" t="n">
        <x:v>0.83</x:v>
      </x:c>
      <x:c r="AS1311" s="604" t="n">
        <x:v>0.25</x:v>
      </x:c>
      <x:c r="AT1311" s="604" t="n">
        <x:v>-0.25</x:v>
      </x:c>
      <x:c r="AU1311" s="604" t="n">
        <x:v>0.83</x:v>
      </x:c>
      <x:c r="AV1311" s="604" t="n">
        <x:v>1.05</x:v>
      </x:c>
      <x:c r="AW1311" s="604" t="n">
        <x:v>46302.19288847222</x:v>
      </x:c>
      <x:c r="AX1311" s="604" t="inlineStr">
        <x:is>
          <x:t xml:space="preserve">https://simondongxiao.github.io/odds/v4/</x:t>
        </x:is>
      </x:c>
      <x:c r="AY1311" s="604" t="inlineStr">
        <x:is>
          <x:t xml:space="preserve">V4 Shadow Only；real_money=false；P(EV&gt;0)不是比赛胜率</x:t>
        </x:is>
      </x:c>
    </x:row>
    <x:row r="1312" ht="22" customHeight="1">
      <x:c r="A1312" s="604" t="inlineStr">
        <x:is>
          <x:t xml:space="preserve">2026-10-07</x:t>
        </x:is>
      </x:c>
      <x:c r="B1312" s="604" t="inlineStr">
        <x:is>
          <x:t xml:space="preserve">2026-10-08 08:00</x:t>
        </x:is>
      </x:c>
      <x:c r="C1312" s="604" t="str">
        <x:v>南美系列</x:v>
      </x:c>
      <x:c r="D1312" s="604" t="inlineStr">
        <x:is>
          <x:t xml:space="preserve">杯赛</x:t>
        </x:is>
      </x:c>
      <x:c r="E1312" s="604" t="inlineStr">
        <x:is>
          <x:t xml:space="preserve">玻利杯</x:t>
        </x:is>
      </x:c>
      <x:c r="F1312" s="604" t="inlineStr">
        <x:is>
          <x:t xml:space="preserve">奥利恩特 vs 宾托大学生</x:t>
        </x:is>
      </x:c>
      <x:c r="G1312" s="604" t="n">
        <x:v>0.95</x:v>
      </x:c>
      <x:c r="H1312" s="604" t="n">
        <x:v>1.25</x:v>
      </x:c>
      <x:c r="I1312" s="604" t="n">
        <x:v>0.86</x:v>
      </x:c>
      <x:c r="J1312" s="604" t="inlineStr">
        <x:is>
          <x:t xml:space="preserve">0.95/1.25/0.86</x:t>
        </x:is>
      </x:c>
      <x:c r="K1312" s="604" t="inlineStr">
        <x:is>
          <x:t xml:space="preserve">V4-B｜EV +0.1177</x:t>
        </x:is>
      </x:c>
      <x:c r="L1312" s="604" t="inlineStr">
        <x:is>
          <x:t xml:space="preserve">奥利恩特</x:t>
        </x:is>
      </x:c>
      <x:c r="M1312" s="604" t="n">
        <x:v>0.5817332148704601</x:v>
      </x:c>
      <x:c r="N1312" s="604" t="inlineStr">
        <x:is>
          <x:t xml:space="preserve">V4纸面入选-B</x:t>
        </x:is>
      </x:c>
      <x:c r="O1312" s="604" t="inlineStr">
        <x:is>
          <x:t xml:space="preserve">0-0</x:t>
        </x:is>
      </x:c>
      <x:c r="P1312" s="604" t="inlineStr">
        <x:is>
          <x:t xml:space="preserve">已结算</x:t>
        </x:is>
      </x:c>
      <x:c r="Q1312" s="646" t="inlineStr">
        <x:is>
          <x:t xml:space="preserve">黑</x:t>
        </x:is>
      </x:c>
      <x:c r="R1312" s="604" t="n">
        <x:v>0.95</x:v>
      </x:c>
      <x:c r="S1312" s="604" t="n">
        <x:f>IF(OR(Q1312="",Q1312="待结算"),"",IF(Q1312="红",R1312,IF(Q1312="半红",R1312*0.5,IF(Q1312="走",0,IF(Q1312="半黑",-0.5,-1)))))</x:f>
        <x:v>-1</x:v>
      </x:c>
      <x:c r="T1312" s="604" t="inlineStr">
        <x:is>
          <x:t xml:space="preserve">https://m.titan007.com/analy/Analysis/3061683.htm</x:t>
        </x:is>
      </x:c>
      <x:c r="U1312" s="645" t="str">
        <x:f>IF(Q1312="","",IF(Q1312="待结算","待结算",IF(Q1312="红","黑",IF(Q1312="半红","半黑",IF(Q1312="走","走",IF(Q1312="半黑","半红","红"))))))</x:f>
        <x:v>红</x:v>
      </x:c>
      <x:c r="V1312" s="604" t="n">
        <x:f>IF(OR(Q1312="",Q1312="待结算"),"",IF(L1312=LEFT(F1312,FIND(" vs ",F1312)-1),I1312,G1312))</x:f>
        <x:v>0.86</x:v>
      </x:c>
      <x:c r="W1312" s="604" t="n">
        <x:f>IF(OR(U1312="",U1312="待结算"),"",IF(U1312="红",V1312,IF(U1312="半红",V1312*0.5,IF(U1312="走",0,IF(U1312="半黑",-0.5,-1)))))</x:f>
        <x:v>0.86</x:v>
      </x:c>
      <x:c r="X1312" s="604" t="inlineStr">
        <x:is>
          <x:t xml:space="preserve">3061683</x:t>
        </x:is>
      </x:c>
      <x:c r="Y1312" s="604" t="inlineStr">
        <x:is>
          <x:t xml:space="preserve">V4</x:t>
        </x:is>
      </x:c>
      <x:c r="Z1312" s="604" t="inlineStr">
        <x:is>
          <x:t xml:space="preserve">prior-2026-10-07-v1</x:t>
        </x:is>
      </x:c>
      <x:c r="AA1312" s="604" t="inlineStr">
        <x:is>
          <x:t xml:space="preserve">B</x:t>
        </x:is>
      </x:c>
      <x:c r="AB1312" s="604" t="n">
        <x:v>0.5093419076518049</x:v>
      </x:c>
      <x:c r="AC1312" s="604" t="n"/>
      <x:c r="AD1312" s="604" t="n"/>
      <x:c r="AE1312" s="604" t="n">
        <x:v>0.2488814644519663</x:v>
      </x:c>
      <x:c r="AF1312" s="604" t="n">
        <x:v>0.2417766278962288</x:v>
      </x:c>
      <x:c r="AG1312" s="604" t="n">
        <x:v>0.1176574521470026</x:v>
      </x:c>
      <x:c r="AH1312" s="604" t="n"/>
      <x:c r="AI1312" s="604" t="n"/>
      <x:c r="AJ1312" s="604" t="n">
        <x:v>0.1176574521470026</x:v>
      </x:c>
      <x:c r="AK1312" s="604" t="n"/>
      <x:c r="AL1312" s="604" t="n"/>
      <x:c r="AM1312" s="604" t="n"/>
      <x:c r="AN1312" s="604" t="inlineStr">
        <x:is>
          <x:t xml:space="preserve">EVALUATED</x:t>
        </x:is>
      </x:c>
      <x:c r="AO1312" s="604" t="inlineStr">
        <x:is>
          <x:t xml:space="preserve">GIVING_VALIDATED_EDGE、BUCKET_PRIOR_ONLY、INTENT_INTERPRETATION_ONLY、FFL_OPTIONAL、EXPERT_MARKET</x:t>
        </x:is>
      </x:c>
      <x:c r="AP1312" s="604" t="inlineStr">
        <x:is>
          <x:t xml:space="preserve">83a443a7a928c4138163</x:t>
        </x:is>
      </x:c>
      <x:c r="AQ1312" s="604" t="n">
        <x:v>-1.25</x:v>
      </x:c>
      <x:c r="AR1312" s="604" t="n">
        <x:v>0.95</x:v>
      </x:c>
      <x:c r="AS1312" s="604" t="n">
        <x:v>1.25</x:v>
      </x:c>
      <x:c r="AT1312" s="604" t="n">
        <x:v>-1.25</x:v>
      </x:c>
      <x:c r="AU1312" s="604" t="n">
        <x:v>0.95</x:v>
      </x:c>
      <x:c r="AV1312" s="604" t="n">
        <x:v>0.86</x:v>
      </x:c>
      <x:c r="AW1312" s="604" t="n">
        <x:v>46302.19288847222</x:v>
      </x:c>
      <x:c r="AX1312" s="604" t="inlineStr">
        <x:is>
          <x:t xml:space="preserve">https://simondongxiao.github.io/odds/v4/</x:t>
        </x:is>
      </x:c>
      <x:c r="AY1312" s="604" t="inlineStr">
        <x:is>
          <x:t xml:space="preserve">V4 Shadow Only；real_money=false；P(EV&gt;0)不是比赛胜率</x:t>
        </x:is>
      </x:c>
    </x:row>
    <x:row r="1313" ht="22" customHeight="1">
      <x:c r="A1313" s="604" t="inlineStr">
        <x:is>
          <x:t xml:space="preserve">2026-10-07</x:t>
        </x:is>
      </x:c>
      <x:c r="B1313" s="604" t="inlineStr">
        <x:is>
          <x:t xml:space="preserve">2026-10-08 08:30</x:t>
        </x:is>
      </x:c>
      <x:c r="C1313" s="604" t="str">
        <x:v>南美系列</x:v>
      </x:c>
      <x:c r="D1313" s="604" t="inlineStr">
        <x:is>
          <x:t xml:space="preserve">联赛</x:t>
        </x:is>
      </x:c>
      <x:c r="E1313" s="604" t="inlineStr">
        <x:is>
          <x:t xml:space="preserve">巴西甲</x:t>
        </x:is>
      </x:c>
      <x:c r="F1313" s="604" t="inlineStr">
        <x:is>
          <x:t xml:space="preserve">克鲁塞罗 vs 圣保罗</x:t>
        </x:is>
      </x:c>
      <x:c r="G1313" s="604" t="n">
        <x:v>0.86</x:v>
      </x:c>
      <x:c r="H1313" s="604" t="n">
        <x:v>0.5</x:v>
      </x:c>
      <x:c r="I1313" s="604" t="n">
        <x:v>1.02</x:v>
      </x:c>
      <x:c r="J1313" s="604" t="inlineStr">
        <x:is>
          <x:t xml:space="preserve">0.86/0.5/1.02</x:t>
        </x:is>
      </x:c>
      <x:c r="K1313" s="604" t="inlineStr">
        <x:is>
          <x:t xml:space="preserve">V4-B｜EV +0.0925</x:t>
        </x:is>
      </x:c>
      <x:c r="L1313" s="604" t="inlineStr">
        <x:is>
          <x:t xml:space="preserve">克鲁塞罗</x:t>
        </x:is>
      </x:c>
      <x:c r="M1313" s="604" t="n">
        <x:v>0.5873794719458212</x:v>
      </x:c>
      <x:c r="N1313" s="604" t="inlineStr">
        <x:is>
          <x:t xml:space="preserve">V4纸面入选-B</x:t>
        </x:is>
      </x:c>
      <x:c r="O1313" s="604" t="inlineStr">
        <x:is>
          <x:t xml:space="preserve">0-0</x:t>
        </x:is>
      </x:c>
      <x:c r="P1313" s="604" t="inlineStr">
        <x:is>
          <x:t xml:space="preserve">已结算</x:t>
        </x:is>
      </x:c>
      <x:c r="Q1313" s="646" t="inlineStr">
        <x:is>
          <x:t xml:space="preserve">黑</x:t>
        </x:is>
      </x:c>
      <x:c r="R1313" s="604" t="n">
        <x:v>0.86</x:v>
      </x:c>
      <x:c r="S1313" s="604" t="n">
        <x:f>IF(OR(Q1313="",Q1313="待结算"),"",IF(Q1313="红",R1313,IF(Q1313="半红",R1313*0.5,IF(Q1313="走",0,IF(Q1313="半黑",-0.5,-1)))))</x:f>
        <x:v>-1</x:v>
      </x:c>
      <x:c r="T1313" s="604" t="inlineStr">
        <x:is>
          <x:t xml:space="preserve">https://m.titan007.com/analy/Analysis/2910910.htm</x:t>
        </x:is>
      </x:c>
      <x:c r="U1313" s="645" t="str">
        <x:f>IF(Q1313="","",IF(Q1313="待结算","待结算",IF(Q1313="红","黑",IF(Q1313="半红","半黑",IF(Q1313="走","走",IF(Q1313="半黑","半红","红"))))))</x:f>
        <x:v>红</x:v>
      </x:c>
      <x:c r="V1313" s="604" t="n">
        <x:f>IF(OR(Q1313="",Q1313="待结算"),"",IF(L1313=LEFT(F1313,FIND(" vs ",F1313)-1),I1313,G1313))</x:f>
        <x:v>1.02</x:v>
      </x:c>
      <x:c r="W1313" s="604" t="n">
        <x:f>IF(OR(U1313="",U1313="待结算"),"",IF(U1313="红",V1313,IF(U1313="半红",V1313*0.5,IF(U1313="走",0,IF(U1313="半黑",-0.5,-1)))))</x:f>
        <x:v>1.02</x:v>
      </x:c>
      <x:c r="X1313" s="604" t="inlineStr">
        <x:is>
          <x:t xml:space="preserve">2910910</x:t>
        </x:is>
      </x:c>
      <x:c r="Y1313" s="604" t="inlineStr">
        <x:is>
          <x:t xml:space="preserve">V4</x:t>
        </x:is>
      </x:c>
      <x:c r="Z1313" s="604" t="inlineStr">
        <x:is>
          <x:t xml:space="preserve">prior-2026-10-07-v1</x:t>
        </x:is>
      </x:c>
      <x:c r="AA1313" s="604" t="inlineStr">
        <x:is>
          <x:t xml:space="preserve">B</x:t>
        </x:is>
      </x:c>
      <x:c r="AB1313" s="604" t="n">
        <x:v>0.5873794719458212</x:v>
      </x:c>
      <x:c r="AC1313" s="604" t="n"/>
      <x:c r="AD1313" s="604" t="n"/>
      <x:c r="AE1313" s="604" t="n"/>
      <x:c r="AF1313" s="604" t="n">
        <x:v>0.4126205280541788</x:v>
      </x:c>
      <x:c r="AG1313" s="604" t="n">
        <x:v>0.09252581781922747</x:v>
      </x:c>
      <x:c r="AH1313" s="604" t="n"/>
      <x:c r="AI1313" s="604" t="n"/>
      <x:c r="AJ1313" s="604" t="n">
        <x:v>0.09252581781922747</x:v>
      </x:c>
      <x:c r="AK1313" s="604" t="n"/>
      <x:c r="AL1313" s="604" t="n"/>
      <x:c r="AM1313" s="604" t="n"/>
      <x:c r="AN1313" s="604" t="inlineStr">
        <x:is>
          <x:t xml:space="preserve">EVALUATED</x:t>
        </x:is>
      </x:c>
      <x:c r="AO1313" s="604" t="inlineStr">
        <x:is>
          <x:t xml:space="preserve">GIVING_VALIDATED_EDGE、BUCKET_PRIOR_ONLY、INTENT_INTERPRETATION_ONLY、FFL_OPTIONAL、EXPERT_MARKET</x:t>
        </x:is>
      </x:c>
      <x:c r="AP1313" s="604" t="inlineStr">
        <x:is>
          <x:t xml:space="preserve">9c57d585bc7f3554421d</x:t>
        </x:is>
      </x:c>
      <x:c r="AQ1313" s="604" t="n">
        <x:v>-0.5</x:v>
      </x:c>
      <x:c r="AR1313" s="604" t="n">
        <x:v>0.86</x:v>
      </x:c>
      <x:c r="AS1313" s="604" t="n">
        <x:v>0.5</x:v>
      </x:c>
      <x:c r="AT1313" s="604" t="n">
        <x:v>-0.5</x:v>
      </x:c>
      <x:c r="AU1313" s="604" t="n">
        <x:v>0.86</x:v>
      </x:c>
      <x:c r="AV1313" s="604" t="n">
        <x:v>1.02</x:v>
      </x:c>
      <x:c r="AW1313" s="604" t="n">
        <x:v>46302.19288847222</x:v>
      </x:c>
      <x:c r="AX1313" s="604" t="inlineStr">
        <x:is>
          <x:t xml:space="preserve">https://simondongxiao.github.io/odds/v4/</x:t>
        </x:is>
      </x:c>
      <x:c r="AY1313" s="604" t="inlineStr">
        <x:is>
          <x:t xml:space="preserve">V4 Shadow Only；real_money=false；P(EV&gt;0)不是比赛胜率</x:t>
        </x:is>
      </x:c>
    </x:row>
    <x:row r="1314" ht="22" customHeight="1">
      <x:c r="A1314" s="604" t="inlineStr">
        <x:is>
          <x:t xml:space="preserve">2026-10-07</x:t>
        </x:is>
      </x:c>
      <x:c r="B1314" s="604" t="inlineStr">
        <x:is>
          <x:t xml:space="preserve">2026-10-08 08:30</x:t>
        </x:is>
      </x:c>
      <x:c r="C1314" s="604" t="str">
        <x:v>南美系列</x:v>
      </x:c>
      <x:c r="D1314" s="604" t="inlineStr">
        <x:is>
          <x:t xml:space="preserve">杯赛</x:t>
        </x:is>
      </x:c>
      <x:c r="E1314" s="604" t="inlineStr">
        <x:is>
          <x:t xml:space="preserve">玻利杯</x:t>
        </x:is>
      </x:c>
      <x:c r="F1314" s="604" t="inlineStr">
        <x:is>
          <x:t xml:space="preserve">瓜比拉 vs 最强者</x:t>
        </x:is>
      </x:c>
      <x:c r="G1314" s="604" t="n">
        <x:v>0.8</x:v>
      </x:c>
      <x:c r="H1314" s="604" t="n">
        <x:v>1</x:v>
      </x:c>
      <x:c r="I1314" s="604" t="n">
        <x:v>1</x:v>
      </x:c>
      <x:c r="J1314" s="604" t="inlineStr">
        <x:is>
          <x:t xml:space="preserve">0.8/1/1</x:t>
        </x:is>
      </x:c>
      <x:c r="K1314" s="604" t="inlineStr">
        <x:is>
          <x:t xml:space="preserve">V4-B｜EV +0.0859</x:t>
        </x:is>
      </x:c>
      <x:c r="L1314" s="604" t="inlineStr">
        <x:is>
          <x:t xml:space="preserve">瓜比拉</x:t>
        </x:is>
      </x:c>
      <x:c r="M1314" s="604" t="n">
        <x:v>0.6195534772909224</x:v>
      </x:c>
      <x:c r="N1314" s="604" t="inlineStr">
        <x:is>
          <x:t xml:space="preserve">V4纸面入选-B</x:t>
        </x:is>
      </x:c>
      <x:c r="O1314" s="604" t="inlineStr">
        <x:is>
          <x:t xml:space="preserve">0-0</x:t>
        </x:is>
      </x:c>
      <x:c r="P1314" s="604" t="inlineStr">
        <x:is>
          <x:t xml:space="preserve">已结算</x:t>
        </x:is>
      </x:c>
      <x:c r="Q1314" s="646" t="inlineStr">
        <x:is>
          <x:t xml:space="preserve">黑</x:t>
        </x:is>
      </x:c>
      <x:c r="R1314" s="604" t="n">
        <x:v>0.8</x:v>
      </x:c>
      <x:c r="S1314" s="604" t="n">
        <x:f>IF(OR(Q1314="",Q1314="待结算"),"",IF(Q1314="红",R1314,IF(Q1314="半红",R1314*0.5,IF(Q1314="走",0,IF(Q1314="半黑",-0.5,-1)))))</x:f>
        <x:v>-1</x:v>
      </x:c>
      <x:c r="T1314" s="604" t="inlineStr">
        <x:is>
          <x:t xml:space="preserve">https://m.titan007.com/analy/Analysis/3061681.htm</x:t>
        </x:is>
      </x:c>
      <x:c r="U1314" s="645" t="str">
        <x:f>IF(Q1314="","",IF(Q1314="待结算","待结算",IF(Q1314="红","黑",IF(Q1314="半红","半黑",IF(Q1314="走","走",IF(Q1314="半黑","半红","红"))))))</x:f>
        <x:v>红</x:v>
      </x:c>
      <x:c r="V1314" s="604" t="n">
        <x:f>IF(OR(Q1314="",Q1314="待结算"),"",IF(L1314=LEFT(F1314,FIND(" vs ",F1314)-1),I1314,G1314))</x:f>
        <x:v>1</x:v>
      </x:c>
      <x:c r="W1314" s="604" t="n">
        <x:f>IF(OR(U1314="",U1314="待结算"),"",IF(U1314="红",V1314,IF(U1314="半红",V1314*0.5,IF(U1314="走",0,IF(U1314="半黑",-0.5,-1)))))</x:f>
        <x:v>1</x:v>
      </x:c>
      <x:c r="X1314" s="604" t="inlineStr">
        <x:is>
          <x:t xml:space="preserve">3061681</x:t>
        </x:is>
      </x:c>
      <x:c r="Y1314" s="604" t="inlineStr">
        <x:is>
          <x:t xml:space="preserve">V4</x:t>
        </x:is>
      </x:c>
      <x:c r="Z1314" s="604" t="inlineStr">
        <x:is>
          <x:t xml:space="preserve">prior-2026-10-07-v1</x:t>
        </x:is>
      </x:c>
      <x:c r="AA1314" s="604" t="inlineStr">
        <x:is>
          <x:t xml:space="preserve">B</x:t>
        </x:is>
      </x:c>
      <x:c r="AB1314" s="604" t="n">
        <x:v>0.4621350943438423</x:v>
      </x:c>
      <x:c r="AC1314" s="604" t="n"/>
      <x:c r="AD1314" s="604" t="n">
        <x:v>0.254083608142129</x:v>
      </x:c>
      <x:c r="AE1314" s="604" t="n"/>
      <x:c r="AF1314" s="604" t="n">
        <x:v>0.2837812975140288</x:v>
      </x:c>
      <x:c r="AG1314" s="604" t="n">
        <x:v>0.08592677796104503</x:v>
      </x:c>
      <x:c r="AH1314" s="604" t="n"/>
      <x:c r="AI1314" s="604" t="n"/>
      <x:c r="AJ1314" s="604" t="n">
        <x:v>0.08592677796104503</x:v>
      </x:c>
      <x:c r="AK1314" s="604" t="n"/>
      <x:c r="AL1314" s="604" t="n"/>
      <x:c r="AM1314" s="604" t="n"/>
      <x:c r="AN1314" s="604" t="inlineStr">
        <x:is>
          <x:t xml:space="preserve">EVALUATED</x:t>
        </x:is>
      </x:c>
      <x:c r="AO1314" s="604" t="inlineStr">
        <x:is>
          <x:t xml:space="preserve">GIVING_VALIDATED_EDGE、BUCKET_PRIOR_ONLY、INTENT_INTERPRETATION_ONLY、FFL_OPTIONAL、EXPERT_MARKET</x:t>
        </x:is>
      </x:c>
      <x:c r="AP1314" s="604" t="inlineStr">
        <x:is>
          <x:t xml:space="preserve">9334da4721f7f4cf1f74</x:t>
        </x:is>
      </x:c>
      <x:c r="AQ1314" s="604" t="n">
        <x:v>-1</x:v>
      </x:c>
      <x:c r="AR1314" s="604" t="n">
        <x:v>0.8</x:v>
      </x:c>
      <x:c r="AS1314" s="604" t="n">
        <x:v>1</x:v>
      </x:c>
      <x:c r="AT1314" s="604" t="n">
        <x:v>-1</x:v>
      </x:c>
      <x:c r="AU1314" s="604" t="n">
        <x:v>0.8</x:v>
      </x:c>
      <x:c r="AV1314" s="604" t="n">
        <x:v>1</x:v>
      </x:c>
      <x:c r="AW1314" s="604" t="n">
        <x:v>46302.19288847222</x:v>
      </x:c>
      <x:c r="AX1314" s="604" t="inlineStr">
        <x:is>
          <x:t xml:space="preserve">https://simondongxiao.github.io/odds/v4/</x:t>
        </x:is>
      </x:c>
      <x:c r="AY1314" s="604" t="inlineStr">
        <x:is>
          <x:t xml:space="preserve">V4 Shadow Only；real_money=false；P(EV&gt;0)不是比赛胜率</x:t>
        </x:is>
      </x:c>
    </x:row>
    <x:row r="1315" ht="22" customHeight="1">
      <x:c r="A1315" s="604" t="inlineStr">
        <x:is>
          <x:t xml:space="preserve">2026-10-07</x:t>
        </x:is>
      </x:c>
      <x:c r="B1315" s="604" t="inlineStr">
        <x:is>
          <x:t xml:space="preserve">2026-10-08 09:00</x:t>
        </x:is>
      </x:c>
      <x:c r="C1315" s="604" t="str">
        <x:v>北美系列</x:v>
      </x:c>
      <x:c r="D1315" s="604" t="inlineStr">
        <x:is>
          <x:t xml:space="preserve">联赛</x:t>
        </x:is>
      </x:c>
      <x:c r="E1315" s="604" t="inlineStr">
        <x:is>
          <x:t xml:space="preserve">危地乙</x:t>
        </x:is>
      </x:c>
      <x:c r="F1315" s="604" t="inlineStr">
        <x:is>
          <x:t xml:space="preserve">CSD奇基穆利利亚 vs 冠军学院</x:t>
        </x:is>
      </x:c>
      <x:c r="G1315" s="604" t="n">
        <x:v>0.83</x:v>
      </x:c>
      <x:c r="H1315" s="604" t="n">
        <x:v>1.25</x:v>
      </x:c>
      <x:c r="I1315" s="604" t="n">
        <x:v>0.98</x:v>
      </x:c>
      <x:c r="J1315" s="604" t="inlineStr">
        <x:is>
          <x:t xml:space="preserve">0.83/1.25/0.98</x:t>
        </x:is>
      </x:c>
      <x:c r="K1315" s="604" t="inlineStr">
        <x:is>
          <x:t xml:space="preserve">V4-B｜EV +0.1719</x:t>
        </x:is>
      </x:c>
      <x:c r="L1315" s="604" t="inlineStr">
        <x:is>
          <x:t xml:space="preserve">CSD奇基穆利利亚</x:t>
        </x:is>
      </x:c>
      <x:c r="M1315" s="604" t="n">
        <x:v>0.6530523013094806</x:v>
      </x:c>
      <x:c r="N1315" s="604" t="inlineStr">
        <x:is>
          <x:t xml:space="preserve">V4纸面入选-B</x:t>
        </x:is>
      </x:c>
      <x:c r="O1315" s="604" t="inlineStr">
        <x:is>
          <x:t xml:space="preserve">0-0</x:t>
        </x:is>
      </x:c>
      <x:c r="P1315" s="604" t="inlineStr">
        <x:is>
          <x:t xml:space="preserve">已结算</x:t>
        </x:is>
      </x:c>
      <x:c r="Q1315" s="646" t="inlineStr">
        <x:is>
          <x:t xml:space="preserve">黑</x:t>
        </x:is>
      </x:c>
      <x:c r="R1315" s="604" t="n">
        <x:v>0.83</x:v>
      </x:c>
      <x:c r="S1315" s="604" t="n">
        <x:f>IF(OR(Q1315="",Q1315="待结算"),"",IF(Q1315="红",R1315,IF(Q1315="半红",R1315*0.5,IF(Q1315="走",0,IF(Q1315="半黑",-0.5,-1)))))</x:f>
        <x:v>-1</x:v>
      </x:c>
      <x:c r="T1315" s="604" t="inlineStr">
        <x:is>
          <x:t xml:space="preserve">https://m.titan007.com/analy/Analysis/3100043.htm</x:t>
        </x:is>
      </x:c>
      <x:c r="U1315" s="645" t="str">
        <x:f>IF(Q1315="","",IF(Q1315="待结算","待结算",IF(Q1315="红","黑",IF(Q1315="半红","半黑",IF(Q1315="走","走",IF(Q1315="半黑","半红","红"))))))</x:f>
        <x:v>红</x:v>
      </x:c>
      <x:c r="V1315" s="604" t="n">
        <x:f>IF(OR(Q1315="",Q1315="待结算"),"",IF(L1315=LEFT(F1315,FIND(" vs ",F1315)-1),I1315,G1315))</x:f>
        <x:v>0.98</x:v>
      </x:c>
      <x:c r="W1315" s="604" t="n">
        <x:f>IF(OR(U1315="",U1315="待结算"),"",IF(U1315="红",V1315,IF(U1315="半红",V1315*0.5,IF(U1315="走",0,IF(U1315="半黑",-0.5,-1)))))</x:f>
        <x:v>0.98</x:v>
      </x:c>
      <x:c r="X1315" s="604" t="inlineStr">
        <x:is>
          <x:t xml:space="preserve">3100043</x:t>
        </x:is>
      </x:c>
      <x:c r="Y1315" s="604" t="inlineStr">
        <x:is>
          <x:t xml:space="preserve">V4</x:t>
        </x:is>
      </x:c>
      <x:c r="Z1315" s="604" t="inlineStr">
        <x:is>
          <x:t xml:space="preserve">prior-2026-10-07-v1</x:t>
        </x:is>
      </x:c>
      <x:c r="AA1315" s="604" t="inlineStr">
        <x:is>
          <x:t xml:space="preserve">B</x:t>
        </x:is>
      </x:c>
      <x:c r="AB1315" s="604" t="n">
        <x:v>0.5752757621176224</x:v>
      </x:c>
      <x:c r="AC1315" s="604" t="n"/>
      <x:c r="AD1315" s="604" t="n"/>
      <x:c r="AE1315" s="604" t="n">
        <x:v>0.238193905866048</x:v>
      </x:c>
      <x:c r="AF1315" s="604" t="n">
        <x:v>0.1865303320163297</x:v>
      </x:c>
      <x:c r="AG1315" s="604" t="n">
        <x:v>0.171851597608273</x:v>
      </x:c>
      <x:c r="AH1315" s="604" t="n"/>
      <x:c r="AI1315" s="604" t="n"/>
      <x:c r="AJ1315" s="604" t="n">
        <x:v>0.171851597608273</x:v>
      </x:c>
      <x:c r="AK1315" s="604" t="n"/>
      <x:c r="AL1315" s="604" t="n"/>
      <x:c r="AM1315" s="604" t="n"/>
      <x:c r="AN1315" s="604" t="inlineStr">
        <x:is>
          <x:t xml:space="preserve">EVALUATED</x:t>
        </x:is>
      </x:c>
      <x:c r="AO1315" s="604" t="inlineStr">
        <x:is>
          <x:t xml:space="preserve">GIVING_VALIDATED_EDGE、BUCKET_PRIOR_ONLY、INTENT_INTERPRETATION_ONLY、FFL_OPTIONAL、EXPERT_MARKET</x:t>
        </x:is>
      </x:c>
      <x:c r="AP1315" s="604" t="inlineStr">
        <x:is>
          <x:t xml:space="preserve">70f65bbd39632869e28e</x:t>
        </x:is>
      </x:c>
      <x:c r="AQ1315" s="604" t="n">
        <x:v>-1.25</x:v>
      </x:c>
      <x:c r="AR1315" s="604" t="n">
        <x:v>0.83</x:v>
      </x:c>
      <x:c r="AS1315" s="604" t="n">
        <x:v>1.25</x:v>
      </x:c>
      <x:c r="AT1315" s="604" t="n">
        <x:v>-1.25</x:v>
      </x:c>
      <x:c r="AU1315" s="604" t="n">
        <x:v>0.83</x:v>
      </x:c>
      <x:c r="AV1315" s="604" t="n">
        <x:v>0.98</x:v>
      </x:c>
      <x:c r="AW1315" s="604" t="n">
        <x:v>46302.19288847222</x:v>
      </x:c>
      <x:c r="AX1315" s="604" t="inlineStr">
        <x:is>
          <x:t xml:space="preserve">https://simondongxiao.github.io/odds/v4/</x:t>
        </x:is>
      </x:c>
      <x:c r="AY1315" s="604" t="inlineStr">
        <x:is>
          <x:t xml:space="preserve">V4 Shadow Only；real_money=false；P(EV&gt;0)不是比赛胜率</x:t>
        </x:is>
      </x:c>
    </x:row>
    <x:row r="1316" ht="22" customHeight="1">
      <x:c r="A1316" s="604" t="inlineStr">
        <x:is>
          <x:t xml:space="preserve">2026-10-07</x:t>
        </x:is>
      </x:c>
      <x:c r="B1316" s="604" t="inlineStr">
        <x:is>
          <x:t xml:space="preserve">2026-10-08 10:00</x:t>
        </x:is>
      </x:c>
      <x:c r="C1316" s="604" t="str">
        <x:v>北美系列</x:v>
      </x:c>
      <x:c r="D1316" s="604" t="inlineStr">
        <x:is>
          <x:t xml:space="preserve">联赛</x:t>
        </x:is>
      </x:c>
      <x:c r="E1316" s="604" t="inlineStr">
        <x:is>
          <x:t xml:space="preserve">危地乙</x:t>
        </x:is>
      </x:c>
      <x:c r="F1316" s="604" t="inlineStr">
        <x:is>
          <x:t xml:space="preserve">萨卡兹斯帕斯GT vs 弗拉贾内斯</x:t>
        </x:is>
      </x:c>
      <x:c r="G1316" s="604" t="n">
        <x:v>1</x:v>
      </x:c>
      <x:c r="H1316" s="604" t="n">
        <x:v>1.25</x:v>
      </x:c>
      <x:c r="I1316" s="604" t="n">
        <x:v>0.8</x:v>
      </x:c>
      <x:c r="J1316" s="604" t="inlineStr">
        <x:is>
          <x:t xml:space="preserve">1/1.25/0.8</x:t>
        </x:is>
      </x:c>
      <x:c r="K1316" s="604" t="inlineStr">
        <x:is>
          <x:t xml:space="preserve">V4-B｜EV +0.1818</x:t>
        </x:is>
      </x:c>
      <x:c r="L1316" s="604" t="inlineStr">
        <x:is>
          <x:t xml:space="preserve">萨卡兹斯帕斯GT</x:t>
        </x:is>
      </x:c>
      <x:c r="M1316" s="604" t="n">
        <x:v>0.6036774098698632</x:v>
      </x:c>
      <x:c r="N1316" s="604" t="inlineStr">
        <x:is>
          <x:t xml:space="preserve">V4纸面入选-B</x:t>
        </x:is>
      </x:c>
      <x:c r="O1316" s="604" t="inlineStr">
        <x:is>
          <x:t xml:space="preserve">0-0</x:t>
        </x:is>
      </x:c>
      <x:c r="P1316" s="604" t="inlineStr">
        <x:is>
          <x:t xml:space="preserve">已结算</x:t>
        </x:is>
      </x:c>
      <x:c r="Q1316" s="646" t="inlineStr">
        <x:is>
          <x:t xml:space="preserve">黑</x:t>
        </x:is>
      </x:c>
      <x:c r="R1316" s="604" t="n">
        <x:v>1</x:v>
      </x:c>
      <x:c r="S1316" s="604" t="n">
        <x:f>IF(OR(Q1316="",Q1316="待结算"),"",IF(Q1316="红",R1316,IF(Q1316="半红",R1316*0.5,IF(Q1316="走",0,IF(Q1316="半黑",-0.5,-1)))))</x:f>
        <x:v>-1</x:v>
      </x:c>
      <x:c r="T1316" s="604" t="inlineStr">
        <x:is>
          <x:t xml:space="preserve">https://m.titan007.com/analy/Analysis/3100046.htm</x:t>
        </x:is>
      </x:c>
      <x:c r="U1316" s="645" t="str">
        <x:f>IF(Q1316="","",IF(Q1316="待结算","待结算",IF(Q1316="红","黑",IF(Q1316="半红","半黑",IF(Q1316="走","走",IF(Q1316="半黑","半红","红"))))))</x:f>
        <x:v>红</x:v>
      </x:c>
      <x:c r="V1316" s="604" t="n">
        <x:f>IF(OR(Q1316="",Q1316="待结算"),"",IF(L1316=LEFT(F1316,FIND(" vs ",F1316)-1),I1316,G1316))</x:f>
        <x:v>0.8</x:v>
      </x:c>
      <x:c r="W1316" s="604" t="n">
        <x:f>IF(OR(U1316="",U1316="待结算"),"",IF(U1316="红",V1316,IF(U1316="半红",V1316*0.5,IF(U1316="走",0,IF(U1316="半黑",-0.5,-1)))))</x:f>
        <x:v>0.8</x:v>
      </x:c>
      <x:c r="X1316" s="604" t="inlineStr">
        <x:is>
          <x:t xml:space="preserve">3100046</x:t>
        </x:is>
      </x:c>
      <x:c r="Y1316" s="604" t="inlineStr">
        <x:is>
          <x:t xml:space="preserve">V4</x:t>
        </x:is>
      </x:c>
      <x:c r="Z1316" s="604" t="inlineStr">
        <x:is>
          <x:t xml:space="preserve">prior-2026-10-07-v1</x:t>
        </x:is>
      </x:c>
      <x:c r="AA1316" s="604" t="inlineStr">
        <x:is>
          <x:t xml:space="preserve">B</x:t>
        </x:is>
      </x:c>
      <x:c r="AB1316" s="604" t="n">
        <x:v>0.5291366073193735</x:v>
      </x:c>
      <x:c r="AC1316" s="604" t="n"/>
      <x:c r="AD1316" s="604" t="n"/>
      <x:c r="AE1316" s="604" t="n">
        <x:v>0.2469557460053332</x:v>
      </x:c>
      <x:c r="AF1316" s="604" t="n">
        <x:v>0.2239076466752933</x:v>
      </x:c>
      <x:c r="AG1316" s="604" t="n">
        <x:v>0.1817510876414136</x:v>
      </x:c>
      <x:c r="AH1316" s="604" t="n"/>
      <x:c r="AI1316" s="604" t="n"/>
      <x:c r="AJ1316" s="604" t="n">
        <x:v>0.1817510876414136</x:v>
      </x:c>
      <x:c r="AK1316" s="604" t="n"/>
      <x:c r="AL1316" s="604" t="n"/>
      <x:c r="AM1316" s="604" t="n"/>
      <x:c r="AN1316" s="604" t="inlineStr">
        <x:is>
          <x:t xml:space="preserve">EVALUATED</x:t>
        </x:is>
      </x:c>
      <x:c r="AO1316" s="604" t="inlineStr">
        <x:is>
          <x:t xml:space="preserve">GIVING_VALIDATED_EDGE、BUCKET_PRIOR_ONLY、INTENT_INTERPRETATION_ONLY、FFL_OPTIONAL、EXPERT_MARKET</x:t>
        </x:is>
      </x:c>
      <x:c r="AP1316" s="604" t="inlineStr">
        <x:is>
          <x:t xml:space="preserve">8e89b78b47f02dcb75c1</x:t>
        </x:is>
      </x:c>
      <x:c r="AQ1316" s="604" t="n">
        <x:v>-1.25</x:v>
      </x:c>
      <x:c r="AR1316" s="604" t="n">
        <x:v>1</x:v>
      </x:c>
      <x:c r="AS1316" s="604" t="n">
        <x:v>1.25</x:v>
      </x:c>
      <x:c r="AT1316" s="604" t="n">
        <x:v>-1.25</x:v>
      </x:c>
      <x:c r="AU1316" s="604" t="n">
        <x:v>1</x:v>
      </x:c>
      <x:c r="AV1316" s="604" t="n">
        <x:v>0.8</x:v>
      </x:c>
      <x:c r="AW1316" s="604" t="n">
        <x:v>46302.19288847222</x:v>
      </x:c>
      <x:c r="AX1316" s="604" t="inlineStr">
        <x:is>
          <x:t xml:space="preserve">https://simondongxiao.github.io/odds/v4/</x:t>
        </x:is>
      </x:c>
      <x:c r="AY1316" s="604" t="inlineStr">
        <x:is>
          <x:t xml:space="preserve">V4 Shadow Only；real_money=false；P(EV&gt;0)不是比赛胜率</x:t>
        </x:is>
      </x:c>
    </x:row>
    <x:row r="1317" ht="22" customHeight="1">
      <x:c r="A1317" s="604" t="inlineStr">
        <x:is>
          <x:t xml:space="preserve">2026-10-08</x:t>
        </x:is>
      </x:c>
      <x:c r="B1317" s="604" t="inlineStr">
        <x:is>
          <x:t xml:space="preserve">2026-10-09T07:00:00+08:00</x:t>
        </x:is>
      </x:c>
      <x:c r="C1317" s="604" t="str">
        <x:v>南美系列</x:v>
      </x:c>
      <x:c r="D1317" s="604" t="inlineStr">
        <x:is>
          <x:t xml:space="preserve"/>
        </x:is>
      </x:c>
      <x:c r="E1317" s="604" t="inlineStr">
        <x:is>
          <x:t xml:space="preserve">巴西甲</x:t>
        </x:is>
      </x:c>
      <x:c r="F1317" s="604" t="inlineStr">
        <x:is>
          <x:t xml:space="preserve">巴拉纳竞技 vs 米内罗竞技</x:t>
        </x:is>
      </x:c>
      <x:c r="G1317" s="604" t="n">
        <x:v>0.82</x:v>
      </x:c>
      <x:c r="H1317" s="604" t="n">
        <x:v>0.25</x:v>
      </x:c>
      <x:c r="I1317" s="604" t="n">
        <x:v>1.06</x:v>
      </x:c>
      <x:c r="J1317" s="604" t="inlineStr">
        <x:is>
          <x:t xml:space="preserve">0.82/0.25/1.06</x:t>
        </x:is>
      </x:c>
      <x:c r="K1317" s="604" t="inlineStr">
        <x:is>
          <x:t xml:space="preserve">V4-B</x:t>
        </x:is>
      </x:c>
      <x:c r="L1317" s="604" t="inlineStr">
        <x:is>
          <x:t xml:space="preserve">巴拉纳竞技</x:t>
        </x:is>
      </x:c>
      <x:c r="M1317" s="604" t="n">
        <x:v>0.5287733446101822</x:v>
      </x:c>
      <x:c r="N1317" s="604" t="inlineStr">
        <x:is>
          <x:t xml:space="preserve">V4 Shadow Only；real_money=false</x:t>
        </x:is>
      </x:c>
      <x:c r="O1317" s="604" t="inlineStr">
        <x:is>
          <x:t xml:space="preserve">0-0</x:t>
        </x:is>
      </x:c>
      <x:c r="P1317" s="604" t="inlineStr">
        <x:is>
          <x:t xml:space="preserve">EVALUATED</x:t>
        </x:is>
      </x:c>
      <x:c r="Q1317" s="646" t="inlineStr">
        <x:is>
          <x:t xml:space="preserve"/>
        </x:is>
      </x:c>
      <x:c r="R1317" s="604" t="n">
        <x:v>0.82</x:v>
      </x:c>
      <x:c r="S1317" s="604" t="n"/>
      <x:c r="T1317" s="604" t="inlineStr">
        <x:is>
          <x:t xml:space="preserve">D:\codex\v3_legacy\outputs\football_odds_trader\raw\titan007\20261008\20261008_074021_titan007_odds_snapshot.csv</x:t>
        </x:is>
      </x:c>
      <x:c r="U1317" s="645" t="inlineStr">
        <x:is>
          <x:t xml:space="preserve"/>
        </x:is>
      </x:c>
      <x:c r="V1317" s="604" t="inlineStr">
        <x:is>
          <x:t xml:space="preserve"/>
        </x:is>
      </x:c>
      <x:c r="W1317" s="604" t="inlineStr">
        <x:is>
          <x:t xml:space="preserve"/>
        </x:is>
      </x:c>
      <x:c r="X1317" s="604" t="inlineStr">
        <x:is>
          <x:t xml:space="preserve">2910907</x:t>
        </x:is>
      </x:c>
      <x:c r="Y1317" s="604" t="inlineStr">
        <x:is>
          <x:t xml:space="preserve">V4</x:t>
        </x:is>
      </x:c>
      <x:c r="Z1317" s="604" t="inlineStr">
        <x:is>
          <x:t xml:space="preserve">prior-2026-10-08-v1</x:t>
        </x:is>
      </x:c>
      <x:c r="AA1317" s="604" t="inlineStr">
        <x:is>
          <x:t xml:space="preserve">B</x:t>
        </x:is>
      </x:c>
      <x:c r="AB1317" s="604" t="n">
        <x:v>0.5287733446101822</x:v>
      </x:c>
      <x:c r="AC1317" s="604" t="n">
        <x:v>0.3470796428330185</x:v>
      </x:c>
      <x:c r="AD1317" s="604" t="n">
        <x:v>0.75</x:v>
      </x:c>
      <x:c r="AE1317" s="604" t="n"/>
      <x:c r="AF1317" s="604" t="n"/>
      <x:c r="AG1317" s="604" t="n">
        <x:v>0.08651449974733091</x:v>
      </x:c>
      <x:c r="AH1317" s="604" t="n"/>
      <x:c r="AI1317" s="604" t="n"/>
      <x:c r="AJ1317" s="604" t="n">
        <x:v>0.08651449974733091</x:v>
      </x:c>
      <x:c r="AK1317" s="604" t="n"/>
      <x:c r="AL1317" s="604" t="n"/>
      <x:c r="AM1317" s="604" t="n"/>
      <x:c r="AN1317" s="604" t="inlineStr">
        <x:is>
          <x:t xml:space="preserve">EVALUATED</x:t>
        </x:is>
      </x:c>
      <x:c r="AO1317" s="604" t="inlineStr">
        <x:is>
          <x:t xml:space="preserve">GIVING_VALIDATED_EDGE;BUCKET_PRIOR_ONLY;INTENT_INTERPRETATION_ONLY;FFL_OPTIONAL;EXPERT_MARKET</x:t>
        </x:is>
      </x:c>
      <x:c r="AP1317" s="604" t="inlineStr">
        <x:is>
          <x:t xml:space="preserve">124299db062d95b9c3e1</x:t>
        </x:is>
      </x:c>
      <x:c r="AQ1317" s="604" t="n">
        <x:v>-0.25</x:v>
      </x:c>
      <x:c r="AR1317" s="604" t="n">
        <x:v>0.82</x:v>
      </x:c>
      <x:c r="AS1317" s="604" t="n">
        <x:v>0.25</x:v>
      </x:c>
      <x:c r="AT1317" s="604" t="n">
        <x:v>-0.25</x:v>
      </x:c>
      <x:c r="AU1317" s="604" t="n">
        <x:v>0.82</x:v>
      </x:c>
      <x:c r="AV1317" s="604" t="n">
        <x:v>1.06</x:v>
      </x:c>
      <x:c r="AW1317" s="604" t="inlineStr">
        <x:is>
          <x:t xml:space="preserve">2026-10-08T07:44:59.408325+08:00</x:t>
        </x:is>
      </x:c>
      <x:c r="AX1317" s="604" t="inlineStr">
        <x:is>
          <x:t xml:space="preserve">Titan007/V4</x:t>
        </x:is>
      </x:c>
      <x:c r="AY1317" s="604" t="inlineStr">
        <x:is>
          <x:t xml:space="preserve">Daily append；市场输入缺失时不生成决策</x:t>
        </x:is>
      </x:c>
    </x:row>
    <x:row r="1318" ht="22" customHeight="1">
      <x:c r="A1318" s="604" t="inlineStr">
        <x:is>
          <x:t xml:space="preserve">2026-10-08</x:t>
        </x:is>
      </x:c>
      <x:c r="B1318" s="604" t="inlineStr">
        <x:is>
          <x:t xml:space="preserve">2026-10-09T08:30:00+08:00</x:t>
        </x:is>
      </x:c>
      <x:c r="C1318" s="604" t="str">
        <x:v>南美系列</x:v>
      </x:c>
      <x:c r="D1318" s="604" t="inlineStr">
        <x:is>
          <x:t xml:space="preserve"/>
        </x:is>
      </x:c>
      <x:c r="E1318" s="604" t="inlineStr">
        <x:is>
          <x:t xml:space="preserve">巴西甲</x:t>
        </x:is>
      </x:c>
      <x:c r="F1318" s="604" t="inlineStr">
        <x:is>
          <x:t xml:space="preserve">弗鲁米嫩塞 vs 科里蒂巴</x:t>
        </x:is>
      </x:c>
      <x:c r="G1318" s="604" t="n">
        <x:v>0.84</x:v>
      </x:c>
      <x:c r="H1318" s="604" t="n">
        <x:v>1</x:v>
      </x:c>
      <x:c r="I1318" s="604" t="n">
        <x:v>1.04</x:v>
      </x:c>
      <x:c r="J1318" s="604" t="inlineStr">
        <x:is>
          <x:t xml:space="preserve">0.84/1.0/1.04</x:t>
        </x:is>
      </x:c>
      <x:c r="K1318" s="604" t="inlineStr">
        <x:is>
          <x:t xml:space="preserve">V4-A</x:t>
        </x:is>
      </x:c>
      <x:c r="L1318" s="604" t="inlineStr">
        <x:is>
          <x:t xml:space="preserve">弗鲁米嫩塞</x:t>
        </x:is>
      </x:c>
      <x:c r="M1318" s="604" t="n">
        <x:v>0.5226127200929277</x:v>
      </x:c>
      <x:c r="N1318" s="604" t="inlineStr">
        <x:is>
          <x:t xml:space="preserve">V4 Shadow Only；real_money=false</x:t>
        </x:is>
      </x:c>
      <x:c r="O1318" s="604" t="inlineStr">
        <x:is>
          <x:t xml:space="preserve">0-0</x:t>
        </x:is>
      </x:c>
      <x:c r="P1318" s="604" t="inlineStr">
        <x:is>
          <x:t xml:space="preserve">EVALUATED</x:t>
        </x:is>
      </x:c>
      <x:c r="Q1318" s="646" t="inlineStr">
        <x:is>
          <x:t xml:space="preserve"/>
        </x:is>
      </x:c>
      <x:c r="R1318" s="604" t="n">
        <x:v>0.84</x:v>
      </x:c>
      <x:c r="S1318" s="604" t="n"/>
      <x:c r="T1318" s="604" t="inlineStr">
        <x:is>
          <x:t xml:space="preserve">D:\codex\v3_legacy\outputs\football_odds_trader\raw\titan007\20261008\20261008_074021_titan007_odds_snapshot.csv</x:t>
        </x:is>
      </x:c>
      <x:c r="U1318" s="645" t="inlineStr">
        <x:is>
          <x:t xml:space="preserve"/>
        </x:is>
      </x:c>
      <x:c r="V1318" s="604" t="inlineStr">
        <x:is>
          <x:t xml:space="preserve"/>
        </x:is>
      </x:c>
      <x:c r="W1318" s="604" t="inlineStr">
        <x:is>
          <x:t xml:space="preserve"/>
        </x:is>
      </x:c>
      <x:c r="X1318" s="604" t="inlineStr">
        <x:is>
          <x:t xml:space="preserve">2910911</x:t>
        </x:is>
      </x:c>
      <x:c r="Y1318" s="604" t="inlineStr">
        <x:is>
          <x:t xml:space="preserve">V4</x:t>
        </x:is>
      </x:c>
      <x:c r="Z1318" s="604" t="inlineStr">
        <x:is>
          <x:t xml:space="preserve">prior-2026-10-08-v1</x:t>
        </x:is>
      </x:c>
      <x:c r="AA1318" s="604" t="inlineStr">
        <x:is>
          <x:t xml:space="preserve">A</x:t>
        </x:is>
      </x:c>
      <x:c r="AB1318" s="604" t="n">
        <x:v>0.5226127200929277</x:v>
      </x:c>
      <x:c r="AC1318" s="604" t="n">
        <x:v>0.2296532333403554</x:v>
      </x:c>
      <x:c r="AD1318" s="604" t="n">
        <x:v>1.75</x:v>
      </x:c>
      <x:c r="AE1318" s="604" t="n"/>
      <x:c r="AF1318" s="604" t="n"/>
      <x:c r="AG1318" s="604" t="n">
        <x:v>0.2093414515377039</x:v>
      </x:c>
      <x:c r="AH1318" s="604" t="n"/>
      <x:c r="AI1318" s="604" t="n"/>
      <x:c r="AJ1318" s="604" t="n">
        <x:v>0.2093414515377039</x:v>
      </x:c>
      <x:c r="AK1318" s="604" t="n"/>
      <x:c r="AL1318" s="604" t="n"/>
      <x:c r="AM1318" s="604" t="n"/>
      <x:c r="AN1318" s="604" t="inlineStr">
        <x:is>
          <x:t xml:space="preserve">EVALUATED</x:t>
        </x:is>
      </x:c>
      <x:c r="AO1318" s="604" t="inlineStr">
        <x:is>
          <x:t xml:space="preserve">GIVING_VALIDATED_EDGE;BUCKET_PRIOR_ONLY;INTENT_INTERPRETATION_ONLY;FFL_OPTIONAL;EXPERT_MARKET</x:t>
        </x:is>
      </x:c>
      <x:c r="AP1318" s="604" t="inlineStr">
        <x:is>
          <x:t xml:space="preserve">093a4682048a655dc716</x:t>
        </x:is>
      </x:c>
      <x:c r="AQ1318" s="604" t="n">
        <x:v>-1</x:v>
      </x:c>
      <x:c r="AR1318" s="604" t="n">
        <x:v>0.84</x:v>
      </x:c>
      <x:c r="AS1318" s="604" t="n">
        <x:v>1</x:v>
      </x:c>
      <x:c r="AT1318" s="604" t="n">
        <x:v>-1</x:v>
      </x:c>
      <x:c r="AU1318" s="604" t="n">
        <x:v>0.84</x:v>
      </x:c>
      <x:c r="AV1318" s="604" t="n">
        <x:v>1.04</x:v>
      </x:c>
      <x:c r="AW1318" s="604" t="inlineStr">
        <x:is>
          <x:t xml:space="preserve">2026-10-08T07:44:59.408325+08:00</x:t>
        </x:is>
      </x:c>
      <x:c r="AX1318" s="604" t="inlineStr">
        <x:is>
          <x:t xml:space="preserve">Titan007/V4</x:t>
        </x:is>
      </x:c>
      <x:c r="AY1318" s="604" t="inlineStr">
        <x:is>
          <x:t xml:space="preserve">Daily append；市场输入缺失时不生成决策</x:t>
        </x:is>
      </x:c>
    </x:row>
    <x:row r="1319" ht="22" customHeight="1">
      <x:c r="A1319" s="604" t="inlineStr">
        <x:is>
          <x:t xml:space="preserve">2026-10-08</x:t>
        </x:is>
      </x:c>
      <x:c r="B1319" s="604" t="inlineStr">
        <x:is>
          <x:t xml:space="preserve">2026-10-09T08:30:00+08:00</x:t>
        </x:is>
      </x:c>
      <x:c r="C1319" s="604" t="str">
        <x:v>南美系列</x:v>
      </x:c>
      <x:c r="D1319" s="604" t="inlineStr">
        <x:is>
          <x:t xml:space="preserve"/>
        </x:is>
      </x:c>
      <x:c r="E1319" s="604" t="inlineStr">
        <x:is>
          <x:t xml:space="preserve">巴西甲</x:t>
        </x:is>
      </x:c>
      <x:c r="F1319" s="604" t="inlineStr">
        <x:is>
          <x:t xml:space="preserve">帕尔梅拉斯 vs 巴伊亚</x:t>
        </x:is>
      </x:c>
      <x:c r="G1319" s="604" t="n">
        <x:v>1.01</x:v>
      </x:c>
      <x:c r="H1319" s="604" t="n">
        <x:v>1</x:v>
      </x:c>
      <x:c r="I1319" s="604" t="n">
        <x:v>0.87</x:v>
      </x:c>
      <x:c r="J1319" s="604" t="inlineStr">
        <x:is>
          <x:t xml:space="preserve">1.01/1.0/0.87</x:t>
        </x:is>
      </x:c>
      <x:c r="K1319" s="604" t="inlineStr">
        <x:is>
          <x:t xml:space="preserve">V4-A</x:t>
        </x:is>
      </x:c>
      <x:c r="L1319" s="604" t="inlineStr">
        <x:is>
          <x:t xml:space="preserve">帕尔梅拉斯</x:t>
        </x:is>
      </x:c>
      <x:c r="M1319" s="604" t="n">
        <x:v>0.4619576853799099</x:v>
      </x:c>
      <x:c r="N1319" s="604" t="inlineStr">
        <x:is>
          <x:t xml:space="preserve">V4 Shadow Only；real_money=false</x:t>
        </x:is>
      </x:c>
      <x:c r="O1319" s="604" t="inlineStr">
        <x:is>
          <x:t xml:space="preserve">0-0</x:t>
        </x:is>
      </x:c>
      <x:c r="P1319" s="604" t="inlineStr">
        <x:is>
          <x:t xml:space="preserve">EVALUATED</x:t>
        </x:is>
      </x:c>
      <x:c r="Q1319" s="646" t="inlineStr">
        <x:is>
          <x:t xml:space="preserve"/>
        </x:is>
      </x:c>
      <x:c r="R1319" s="604" t="n">
        <x:v>1.01</x:v>
      </x:c>
      <x:c r="S1319" s="604" t="n"/>
      <x:c r="T1319" s="604" t="inlineStr">
        <x:is>
          <x:t xml:space="preserve">D:\codex\v3_legacy\outputs\football_odds_trader\raw\titan007\20261008\20261008_074021_titan007_odds_snapshot.csv</x:t>
        </x:is>
      </x:c>
      <x:c r="U1319" s="645" t="inlineStr">
        <x:is>
          <x:t xml:space="preserve"/>
        </x:is>
      </x:c>
      <x:c r="V1319" s="604" t="inlineStr">
        <x:is>
          <x:t xml:space="preserve"/>
        </x:is>
      </x:c>
      <x:c r="W1319" s="604" t="inlineStr">
        <x:is>
          <x:t xml:space="preserve"/>
        </x:is>
      </x:c>
      <x:c r="X1319" s="604" t="inlineStr">
        <x:is>
          <x:t xml:space="preserve">2910913</x:t>
        </x:is>
      </x:c>
      <x:c r="Y1319" s="604" t="inlineStr">
        <x:is>
          <x:t xml:space="preserve">V4</x:t>
        </x:is>
      </x:c>
      <x:c r="Z1319" s="604" t="inlineStr">
        <x:is>
          <x:t xml:space="preserve">prior-2026-10-08-v1</x:t>
        </x:is>
      </x:c>
      <x:c r="AA1319" s="604" t="inlineStr">
        <x:is>
          <x:t xml:space="preserve">A</x:t>
        </x:is>
      </x:c>
      <x:c r="AB1319" s="604" t="n">
        <x:v>0.4619576853799099</x:v>
      </x:c>
      <x:c r="AC1319" s="604" t="n">
        <x:v>0.2839084559290557</x:v>
      </x:c>
      <x:c r="AD1319" s="604" t="n">
        <x:v>1.5</x:v>
      </x:c>
      <x:c r="AE1319" s="604" t="n"/>
      <x:c r="AF1319" s="604" t="n"/>
      <x:c r="AG1319" s="604" t="n">
        <x:v>0.1826688063046534</x:v>
      </x:c>
      <x:c r="AH1319" s="604" t="n"/>
      <x:c r="AI1319" s="604" t="n"/>
      <x:c r="AJ1319" s="604" t="n">
        <x:v>0.1826688063046534</x:v>
      </x:c>
      <x:c r="AK1319" s="604" t="n"/>
      <x:c r="AL1319" s="604" t="n"/>
      <x:c r="AM1319" s="604" t="n"/>
      <x:c r="AN1319" s="604" t="inlineStr">
        <x:is>
          <x:t xml:space="preserve">EVALUATED</x:t>
        </x:is>
      </x:c>
      <x:c r="AO1319" s="604" t="inlineStr">
        <x:is>
          <x:t xml:space="preserve">GIVING_VALIDATED_EDGE;BUCKET_PRIOR_ONLY;INTENT_INTERPRETATION_ONLY;FFL_OPTIONAL;EXPERT_MARKET</x:t>
        </x:is>
      </x:c>
      <x:c r="AP1319" s="604" t="inlineStr">
        <x:is>
          <x:t xml:space="preserve">f3d7506672ea525e2ea3</x:t>
        </x:is>
      </x:c>
      <x:c r="AQ1319" s="604" t="n">
        <x:v>-1</x:v>
      </x:c>
      <x:c r="AR1319" s="604" t="n">
        <x:v>1.01</x:v>
      </x:c>
      <x:c r="AS1319" s="604" t="n">
        <x:v>1</x:v>
      </x:c>
      <x:c r="AT1319" s="604" t="n">
        <x:v>-1</x:v>
      </x:c>
      <x:c r="AU1319" s="604" t="n">
        <x:v>1.01</x:v>
      </x:c>
      <x:c r="AV1319" s="604" t="n">
        <x:v>0.87</x:v>
      </x:c>
      <x:c r="AW1319" s="604" t="inlineStr">
        <x:is>
          <x:t xml:space="preserve">2026-10-08T07:44:59.408325+08:00</x:t>
        </x:is>
      </x:c>
      <x:c r="AX1319" s="604" t="inlineStr">
        <x:is>
          <x:t xml:space="preserve">Titan007/V4</x:t>
        </x:is>
      </x:c>
      <x:c r="AY1319" s="604" t="inlineStr">
        <x:is>
          <x:t xml:space="preserve">Daily append；市场输入缺失时不生成决策</x:t>
        </x:is>
      </x:c>
    </x:row>
    <x:row r="1320" ht="22" customHeight="1">
      <x:c r="A1320" s="604" t="inlineStr">
        <x:is>
          <x:t xml:space="preserve">2026-10-08</x:t>
        </x:is>
      </x:c>
      <x:c r="B1320" s="604" t="inlineStr">
        <x:is>
          <x:t xml:space="preserve">2026-10-09T06:30:00+08:00</x:t>
        </x:is>
      </x:c>
      <x:c r="C1320" s="604" t="str">
        <x:v>南美系列</x:v>
      </x:c>
      <x:c r="D1320" s="604" t="inlineStr">
        <x:is>
          <x:t xml:space="preserve"/>
        </x:is>
      </x:c>
      <x:c r="E1320" s="604" t="inlineStr">
        <x:is>
          <x:t xml:space="preserve">巴西甲</x:t>
        </x:is>
      </x:c>
      <x:c r="F1320" s="604" t="inlineStr">
        <x:is>
          <x:t xml:space="preserve">桑托斯 vs 弗拉门戈</x:t>
        </x:is>
      </x:c>
      <x:c r="G1320" s="604" t="n">
        <x:v>1.04</x:v>
      </x:c>
      <x:c r="H1320" s="604" t="n">
        <x:v>-0.5</x:v>
      </x:c>
      <x:c r="I1320" s="604" t="n">
        <x:v>0.84</x:v>
      </x:c>
      <x:c r="J1320" s="604" t="inlineStr">
        <x:is>
          <x:t xml:space="preserve">1.04/-0.5/0.84</x:t>
        </x:is>
      </x:c>
      <x:c r="K1320" s="604" t="inlineStr">
        <x:is>
          <x:t xml:space="preserve">V4-A</x:t>
        </x:is>
      </x:c>
      <x:c r="L1320" s="604" t="inlineStr">
        <x:is>
          <x:t xml:space="preserve">桑托斯</x:t>
        </x:is>
      </x:c>
      <x:c r="M1320" s="604" t="n">
        <x:v>0.1703422953172407</x:v>
      </x:c>
      <x:c r="N1320" s="604" t="inlineStr">
        <x:is>
          <x:t xml:space="preserve">V4 Shadow Only；real_money=false</x:t>
        </x:is>
      </x:c>
      <x:c r="O1320" s="604" t="inlineStr">
        <x:is>
          <x:t xml:space="preserve">2-2</x:t>
        </x:is>
      </x:c>
      <x:c r="P1320" s="604" t="inlineStr">
        <x:is>
          <x:t xml:space="preserve">已结算</x:t>
        </x:is>
      </x:c>
      <x:c r="Q1320" s="646" t="inlineStr">
        <x:is>
          <x:t xml:space="preserve">红</x:t>
        </x:is>
      </x:c>
      <x:c r="R1320" s="604" t="n">
        <x:v>1.04</x:v>
      </x:c>
      <x:c r="S1320" s="604" t="n">
        <x:v>1.04</x:v>
      </x:c>
      <x:c r="T1320" s="604" t="inlineStr">
        <x:is>
          <x:t xml:space="preserve">D:\codex\v3_legacy\outputs\football_odds_trader\raw\titan007\20261008\20261008_074021_titan007_odds_snapshot.csv</x:t>
        </x:is>
      </x:c>
      <x:c r="U1320" s="645" t="inlineStr">
        <x:is>
          <x:t xml:space="preserve"/>
        </x:is>
      </x:c>
      <x:c r="V1320" s="604" t="inlineStr">
        <x:is>
          <x:t xml:space="preserve"/>
        </x:is>
      </x:c>
      <x:c r="W1320" s="604" t="inlineStr">
        <x:is>
          <x:t xml:space="preserve"/>
        </x:is>
      </x:c>
      <x:c r="X1320" s="604" t="inlineStr">
        <x:is>
          <x:t xml:space="preserve">2910915</x:t>
        </x:is>
      </x:c>
      <x:c r="Y1320" s="604" t="inlineStr">
        <x:is>
          <x:t xml:space="preserve">V4</x:t>
        </x:is>
      </x:c>
      <x:c r="Z1320" s="604" t="inlineStr">
        <x:is>
          <x:t xml:space="preserve">prior-2026-10-08-v1</x:t>
        </x:is>
      </x:c>
      <x:c r="AA1320" s="604" t="inlineStr">
        <x:is>
          <x:t xml:space="preserve">A</x:t>
        </x:is>
      </x:c>
      <x:c r="AB1320" s="604" t="n">
        <x:v>0.1703422953172407</x:v>
      </x:c>
      <x:c r="AC1320" s="604" t="n">
        <x:v>0.8296577046827593</x:v>
      </x:c>
      <x:c r="AD1320" s="604" t="n">
        <x:v>-1</x:v>
      </x:c>
      <x:c r="AE1320" s="604" t="n"/>
      <x:c r="AF1320" s="604" t="n"/>
      <x:c r="AG1320" s="604" t="n">
        <x:v>0.6925017175528291</x:v>
      </x:c>
      <x:c r="AH1320" s="604" t="n"/>
      <x:c r="AI1320" s="604" t="n"/>
      <x:c r="AJ1320" s="604" t="n">
        <x:v>0.6925017175528291</x:v>
      </x:c>
      <x:c r="AK1320" s="604" t="n"/>
      <x:c r="AL1320" s="604" t="n"/>
      <x:c r="AM1320" s="604" t="n"/>
      <x:c r="AN1320" s="604" t="inlineStr">
        <x:is>
          <x:t xml:space="preserve">EVALUATED</x:t>
        </x:is>
      </x:c>
      <x:c r="AO1320" s="604" t="inlineStr">
        <x:is>
          <x:t xml:space="preserve">RECEIVING_VALIDATED_EDGE;BUCKET_PRIOR_ONLY;INTENT_INTERPRETATION_ONLY;FFL_OPTIONAL;EXPERT_MARKET</x:t>
        </x:is>
      </x:c>
      <x:c r="AP1320" s="604" t="inlineStr">
        <x:is>
          <x:t xml:space="preserve">e1154812d5a971d8ab2b</x:t>
        </x:is>
      </x:c>
      <x:c r="AQ1320" s="604" t="n">
        <x:v>0.5</x:v>
      </x:c>
      <x:c r="AR1320" s="604" t="n">
        <x:v>1.04</x:v>
      </x:c>
      <x:c r="AS1320" s="604" t="n">
        <x:v>-0.5</x:v>
      </x:c>
      <x:c r="AT1320" s="604" t="n">
        <x:v>0.5</x:v>
      </x:c>
      <x:c r="AU1320" s="604" t="n">
        <x:v>1.04</x:v>
      </x:c>
      <x:c r="AV1320" s="604" t="n">
        <x:v>0.84</x:v>
      </x:c>
      <x:c r="AW1320" s="604" t="inlineStr">
        <x:is>
          <x:t xml:space="preserve">2026-10-08T07:44:59.408325+08:00</x:t>
        </x:is>
      </x:c>
      <x:c r="AX1320" s="604" t="inlineStr">
        <x:is>
          <x:t xml:space="preserve">Titan007/V4</x:t>
        </x:is>
      </x:c>
      <x:c r="AY1320" s="604" t="inlineStr">
        <x:is>
          <x:t xml:space="preserve">Daily append；市场输入缺失时不生成决策</x:t>
        </x:is>
      </x:c>
    </x:row>
    <x:row r="1321" ht="22" customHeight="1">
      <x:c r="A1321" s="604" t="inlineStr">
        <x:is>
          <x:t xml:space="preserve">2026-10-08</x:t>
        </x:is>
      </x:c>
      <x:c r="B1321" s="604" t="inlineStr">
        <x:is>
          <x:t xml:space="preserve">2026-10-09T06:30:00+08:00</x:t>
        </x:is>
      </x:c>
      <x:c r="C1321" s="604" t="str">
        <x:v>南美系列</x:v>
      </x:c>
      <x:c r="D1321" s="604" t="inlineStr">
        <x:is>
          <x:t xml:space="preserve"/>
        </x:is>
      </x:c>
      <x:c r="E1321" s="604" t="inlineStr">
        <x:is>
          <x:t xml:space="preserve">巴西乙</x:t>
        </x:is>
      </x:c>
      <x:c r="F1321" s="604" t="inlineStr">
        <x:is>
          <x:t xml:space="preserve">塞阿拉 vs 克里丘马</x:t>
        </x:is>
      </x:c>
      <x:c r="G1321" s="604" t="n">
        <x:v>1.09</x:v>
      </x:c>
      <x:c r="H1321" s="604" t="n">
        <x:v>0.25</x:v>
      </x:c>
      <x:c r="I1321" s="604" t="n">
        <x:v>0.79</x:v>
      </x:c>
      <x:c r="J1321" s="604" t="inlineStr">
        <x:is>
          <x:t xml:space="preserve">1.09/0.25/0.79</x:t>
        </x:is>
      </x:c>
      <x:c r="K1321" s="604" t="inlineStr">
        <x:is>
          <x:t xml:space="preserve">V4-C</x:t>
        </x:is>
      </x:c>
      <x:c r="L1321" s="604" t="inlineStr">
        <x:is>
          <x:t xml:space="preserve">塞阿拉</x:t>
        </x:is>
      </x:c>
      <x:c r="M1321" s="604" t="n">
        <x:v>0.4435254762102929</x:v>
      </x:c>
      <x:c r="N1321" s="604" t="inlineStr">
        <x:is>
          <x:t xml:space="preserve">V4 Shadow Only；real_money=false</x:t>
        </x:is>
      </x:c>
      <x:c r="O1321" s="604" t="inlineStr">
        <x:is>
          <x:t xml:space="preserve">1-0</x:t>
        </x:is>
      </x:c>
      <x:c r="P1321" s="604" t="inlineStr">
        <x:is>
          <x:t xml:space="preserve">已结算</x:t>
        </x:is>
      </x:c>
      <x:c r="Q1321" s="646" t="inlineStr">
        <x:is>
          <x:t xml:space="preserve">红</x:t>
        </x:is>
      </x:c>
      <x:c r="R1321" s="604" t="n">
        <x:v>1.09</x:v>
      </x:c>
      <x:c r="S1321" s="604" t="n">
        <x:v>1.09</x:v>
      </x:c>
      <x:c r="T1321" s="604" t="inlineStr">
        <x:is>
          <x:t xml:space="preserve">D:\codex\v3_legacy\outputs\football_odds_trader\raw\titan007\20261008\20261008_074021_titan007_odds_snapshot.csv</x:t>
        </x:is>
      </x:c>
      <x:c r="U1321" s="645" t="inlineStr">
        <x:is>
          <x:t xml:space="preserve"/>
        </x:is>
      </x:c>
      <x:c r="V1321" s="604" t="inlineStr">
        <x:is>
          <x:t xml:space="preserve"/>
        </x:is>
      </x:c>
      <x:c r="W1321" s="604" t="inlineStr">
        <x:is>
          <x:t xml:space="preserve"/>
        </x:is>
      </x:c>
      <x:c r="X1321" s="604" t="inlineStr">
        <x:is>
          <x:t xml:space="preserve">2940217</x:t>
        </x:is>
      </x:c>
      <x:c r="Y1321" s="604" t="inlineStr">
        <x:is>
          <x:t xml:space="preserve">V4</x:t>
        </x:is>
      </x:c>
      <x:c r="Z1321" s="604" t="inlineStr">
        <x:is>
          <x:t xml:space="preserve">prior-2026-10-08-v1</x:t>
        </x:is>
      </x:c>
      <x:c r="AA1321" s="604" t="inlineStr">
        <x:is>
          <x:t xml:space="preserve">C</x:t>
        </x:is>
      </x:c>
      <x:c r="AB1321" s="604" t="n">
        <x:v>0.4435254762102929</x:v>
      </x:c>
      <x:c r="AC1321" s="604" t="n">
        <x:v>0.4255174320467864</x:v>
      </x:c>
      <x:c r="AD1321" s="604" t="n">
        <x:v>0.25</x:v>
      </x:c>
      <x:c r="AE1321" s="604" t="n"/>
      <x:c r="AF1321" s="604" t="n"/>
      <x:c r="AG1321" s="604" t="n">
        <x:v>0.05792533702243291</x:v>
      </x:c>
      <x:c r="AH1321" s="604" t="n"/>
      <x:c r="AI1321" s="604" t="n"/>
      <x:c r="AJ1321" s="604" t="n">
        <x:v>0.05792533702243291</x:v>
      </x:c>
      <x:c r="AK1321" s="604" t="n"/>
      <x:c r="AL1321" s="604" t="n"/>
      <x:c r="AM1321" s="604" t="n"/>
      <x:c r="AN1321" s="604" t="inlineStr">
        <x:is>
          <x:t xml:space="preserve">EVALUATED</x:t>
        </x:is>
      </x:c>
      <x:c r="AO1321" s="604" t="inlineStr">
        <x:is>
          <x:t xml:space="preserve">GIVING_VALIDATED_EDGE;BUCKET_PRIOR_ONLY;INTENT_INTERPRETATION_ONLY;FFL_OPTIONAL;EXPERT_MARKET</x:t>
        </x:is>
      </x:c>
      <x:c r="AP1321" s="604" t="inlineStr">
        <x:is>
          <x:t xml:space="preserve">2d831e2cd56c78c7d635</x:t>
        </x:is>
      </x:c>
      <x:c r="AQ1321" s="604" t="n">
        <x:v>-0.25</x:v>
      </x:c>
      <x:c r="AR1321" s="604" t="n">
        <x:v>1.09</x:v>
      </x:c>
      <x:c r="AS1321" s="604" t="n">
        <x:v>0.25</x:v>
      </x:c>
      <x:c r="AT1321" s="604" t="n">
        <x:v>-0.25</x:v>
      </x:c>
      <x:c r="AU1321" s="604" t="n">
        <x:v>1.09</x:v>
      </x:c>
      <x:c r="AV1321" s="604" t="n">
        <x:v>0.79</x:v>
      </x:c>
      <x:c r="AW1321" s="604" t="inlineStr">
        <x:is>
          <x:t xml:space="preserve">2026-10-08T07:44:59.408325+08:00</x:t>
        </x:is>
      </x:c>
      <x:c r="AX1321" s="604" t="inlineStr">
        <x:is>
          <x:t xml:space="preserve">Titan007/V4</x:t>
        </x:is>
      </x:c>
      <x:c r="AY1321" s="604" t="inlineStr">
        <x:is>
          <x:t xml:space="preserve">Daily append；市场输入缺失时不生成决策</x:t>
        </x:is>
      </x:c>
    </x:row>
    <x:row r="1322" ht="22" customHeight="1">
      <x:c r="A1322" s="604" t="inlineStr">
        <x:is>
          <x:t xml:space="preserve">2026-10-08</x:t>
        </x:is>
      </x:c>
      <x:c r="B1322" s="604" t="inlineStr">
        <x:is>
          <x:t xml:space="preserve">2026-10-09T06:30:00+08:00</x:t>
        </x:is>
      </x:c>
      <x:c r="C1322" s="604" t="str">
        <x:v>南美系列</x:v>
      </x:c>
      <x:c r="D1322" s="604" t="inlineStr">
        <x:is>
          <x:t xml:space="preserve"/>
        </x:is>
      </x:c>
      <x:c r="E1322" s="604" t="inlineStr">
        <x:is>
          <x:t xml:space="preserve">巴西乙</x:t>
        </x:is>
      </x:c>
      <x:c r="F1322" s="604" t="inlineStr">
        <x:is>
          <x:t xml:space="preserve">累西腓航海 vs 诺瓦里桑蒂诺</x:t>
        </x:is>
      </x:c>
      <x:c r="G1322" s="604" t="n">
        <x:v>0.97</x:v>
      </x:c>
      <x:c r="H1322" s="604" t="n">
        <x:v>-0.25</x:v>
      </x:c>
      <x:c r="I1322" s="604" t="n">
        <x:v>0.91</x:v>
      </x:c>
      <x:c r="J1322" s="604" t="inlineStr">
        <x:is>
          <x:t xml:space="preserve">0.97/-0.25/0.91</x:t>
        </x:is>
      </x:c>
      <x:c r="K1322" s="604" t="inlineStr">
        <x:is>
          <x:t xml:space="preserve">V4-B</x:t>
        </x:is>
      </x:c>
      <x:c r="L1322" s="604" t="inlineStr">
        <x:is>
          <x:t xml:space="preserve">累西腓航海</x:t>
        </x:is>
      </x:c>
      <x:c r="M1322" s="604" t="n">
        <x:v>0.2847541127336167</x:v>
      </x:c>
      <x:c r="N1322" s="604" t="inlineStr">
        <x:is>
          <x:t xml:space="preserve">V4 Shadow Only；real_money=false</x:t>
        </x:is>
      </x:c>
      <x:c r="O1322" s="604" t="inlineStr">
        <x:is>
          <x:t xml:space="preserve">0-2</x:t>
        </x:is>
      </x:c>
      <x:c r="P1322" s="604" t="inlineStr">
        <x:is>
          <x:t xml:space="preserve">已结算</x:t>
        </x:is>
      </x:c>
      <x:c r="Q1322" s="646" t="inlineStr">
        <x:is>
          <x:t xml:space="preserve">黑</x:t>
        </x:is>
      </x:c>
      <x:c r="R1322" s="604" t="n">
        <x:v>0.97</x:v>
      </x:c>
      <x:c r="S1322" s="604" t="n">
        <x:v>-1</x:v>
      </x:c>
      <x:c r="T1322" s="604" t="inlineStr">
        <x:is>
          <x:t xml:space="preserve">D:\codex\v3_legacy\outputs\football_odds_trader\raw\titan007\20261008\20261008_074021_titan007_odds_snapshot.csv</x:t>
        </x:is>
      </x:c>
      <x:c r="U1322" s="645" t="inlineStr">
        <x:is>
          <x:t xml:space="preserve"/>
        </x:is>
      </x:c>
      <x:c r="V1322" s="604" t="inlineStr">
        <x:is>
          <x:t xml:space="preserve"/>
        </x:is>
      </x:c>
      <x:c r="W1322" s="604" t="inlineStr">
        <x:is>
          <x:t xml:space="preserve"/>
        </x:is>
      </x:c>
      <x:c r="X1322" s="604" t="inlineStr">
        <x:is>
          <x:t xml:space="preserve">2940220</x:t>
        </x:is>
      </x:c>
      <x:c r="Y1322" s="604" t="inlineStr">
        <x:is>
          <x:t xml:space="preserve">V4</x:t>
        </x:is>
      </x:c>
      <x:c r="Z1322" s="604" t="inlineStr">
        <x:is>
          <x:t xml:space="preserve">prior-2026-10-08-v1</x:t>
        </x:is>
      </x:c>
      <x:c r="AA1322" s="604" t="inlineStr">
        <x:is>
          <x:t xml:space="preserve">B</x:t>
        </x:is>
      </x:c>
      <x:c r="AB1322" s="604" t="n">
        <x:v>0.2847541127336167</x:v>
      </x:c>
      <x:c r="AC1322" s="604" t="n">
        <x:v>0.5856186813199993</x:v>
      </x:c>
      <x:c r="AD1322" s="604" t="n">
        <x:v>-0.25</x:v>
      </x:c>
      <x:c r="AE1322" s="604" t="n"/>
      <x:c r="AF1322" s="604" t="n"/>
      <x:c r="AG1322" s="604" t="n">
        <x:v>0.2832960081467825</x:v>
      </x:c>
      <x:c r="AH1322" s="604" t="n"/>
      <x:c r="AI1322" s="604" t="n"/>
      <x:c r="AJ1322" s="604" t="n">
        <x:v>0.2832960081467825</x:v>
      </x:c>
      <x:c r="AK1322" s="604" t="n"/>
      <x:c r="AL1322" s="604" t="n"/>
      <x:c r="AM1322" s="604" t="n"/>
      <x:c r="AN1322" s="604" t="inlineStr">
        <x:is>
          <x:t xml:space="preserve">EVALUATED</x:t>
        </x:is>
      </x:c>
      <x:c r="AO1322" s="604" t="inlineStr">
        <x:is>
          <x:t xml:space="preserve">RECEIVING_VALIDATED_EDGE;BUCKET_PRIOR_ONLY;INTENT_INTERPRETATION_ONLY;FFL_OPTIONAL;EXPERT_MARKET</x:t>
        </x:is>
      </x:c>
      <x:c r="AP1322" s="604" t="inlineStr">
        <x:is>
          <x:t xml:space="preserve">5e8755d16fbd49b535cf</x:t>
        </x:is>
      </x:c>
      <x:c r="AQ1322" s="604" t="n">
        <x:v>0.25</x:v>
      </x:c>
      <x:c r="AR1322" s="604" t="n">
        <x:v>0.97</x:v>
      </x:c>
      <x:c r="AS1322" s="604" t="n">
        <x:v>-0.25</x:v>
      </x:c>
      <x:c r="AT1322" s="604" t="n">
        <x:v>0.25</x:v>
      </x:c>
      <x:c r="AU1322" s="604" t="n">
        <x:v>0.97</x:v>
      </x:c>
      <x:c r="AV1322" s="604" t="n">
        <x:v>0.91</x:v>
      </x:c>
      <x:c r="AW1322" s="604" t="inlineStr">
        <x:is>
          <x:t xml:space="preserve">2026-10-08T07:44:59.408325+08:00</x:t>
        </x:is>
      </x:c>
      <x:c r="AX1322" s="604" t="inlineStr">
        <x:is>
          <x:t xml:space="preserve">Titan007/V4</x:t>
        </x:is>
      </x:c>
      <x:c r="AY1322" s="604" t="inlineStr">
        <x:is>
          <x:t xml:space="preserve">Daily append；市场输入缺失时不生成决策</x:t>
        </x:is>
      </x:c>
    </x:row>
    <x:row r="1323" ht="22" customHeight="1">
      <x:c r="A1323" s="604" t="inlineStr">
        <x:is>
          <x:t xml:space="preserve">2026-10-08</x:t>
        </x:is>
      </x:c>
      <x:c r="B1323" s="604" t="inlineStr">
        <x:is>
          <x:t xml:space="preserve">2026-10-08T21:00:00+08:00</x:t>
        </x:is>
      </x:c>
      <x:c r="C1323" s="604" t="str">
        <x:v>西亚/中亚系列</x:v>
      </x:c>
      <x:c r="D1323" s="604" t="inlineStr">
        <x:is>
          <x:t xml:space="preserve"/>
        </x:is>
      </x:c>
      <x:c r="E1323" s="604" t="inlineStr">
        <x:is>
          <x:t xml:space="preserve">乌兹甲</x:t>
        </x:is>
      </x:c>
      <x:c r="F1323" s="604" t="inlineStr">
        <x:is>
          <x:t xml:space="preserve">FK加扎尔肯特 vs 柏克塔哥B队</x:t>
        </x:is>
      </x:c>
      <x:c r="G1323" s="604" t="n">
        <x:v>0.83</x:v>
      </x:c>
      <x:c r="H1323" s="604" t="n">
        <x:v>2</x:v>
      </x:c>
      <x:c r="I1323" s="604" t="n">
        <x:v>0.98</x:v>
      </x:c>
      <x:c r="J1323" s="604" t="inlineStr">
        <x:is>
          <x:t xml:space="preserve">0.83/2.0/0.98</x:t>
        </x:is>
      </x:c>
      <x:c r="K1323" s="604" t="inlineStr">
        <x:is>
          <x:t xml:space="preserve">V4-B</x:t>
        </x:is>
      </x:c>
      <x:c r="L1323" s="604" t="inlineStr">
        <x:is>
          <x:t xml:space="preserve">FK加扎尔肯特</x:t>
        </x:is>
      </x:c>
      <x:c r="M1323" s="604" t="n">
        <x:v>0.5173596373194396</x:v>
      </x:c>
      <x:c r="N1323" s="604" t="inlineStr">
        <x:is>
          <x:t xml:space="preserve">V4 Shadow Only；real_money=false</x:t>
        </x:is>
      </x:c>
      <x:c r="O1323" s="604" t="inlineStr">
        <x:is>
          <x:t xml:space="preserve">3-2</x:t>
        </x:is>
      </x:c>
      <x:c r="P1323" s="604" t="inlineStr">
        <x:is>
          <x:t xml:space="preserve">已结算</x:t>
        </x:is>
      </x:c>
      <x:c r="Q1323" s="646" t="inlineStr">
        <x:is>
          <x:t xml:space="preserve">黑</x:t>
        </x:is>
      </x:c>
      <x:c r="R1323" s="604" t="n">
        <x:v>0.83</x:v>
      </x:c>
      <x:c r="S1323" s="604" t="n">
        <x:v>-1</x:v>
      </x:c>
      <x:c r="T1323" s="604" t="inlineStr">
        <x:is>
          <x:t xml:space="preserve">D:\codex\v3_legacy\outputs\football_odds_trader\raw\titan007\20261008\20261008_074021_titan007_odds_snapshot.csv</x:t>
        </x:is>
      </x:c>
      <x:c r="U1323" s="645" t="inlineStr">
        <x:is>
          <x:t xml:space="preserve"/>
        </x:is>
      </x:c>
      <x:c r="V1323" s="604" t="inlineStr">
        <x:is>
          <x:t xml:space="preserve"/>
        </x:is>
      </x:c>
      <x:c r="W1323" s="604" t="inlineStr">
        <x:is>
          <x:t xml:space="preserve"/>
        </x:is>
      </x:c>
      <x:c r="X1323" s="604" t="inlineStr">
        <x:is>
          <x:t xml:space="preserve">2971101</x:t>
        </x:is>
      </x:c>
      <x:c r="Y1323" s="604" t="inlineStr">
        <x:is>
          <x:t xml:space="preserve">V4</x:t>
        </x:is>
      </x:c>
      <x:c r="Z1323" s="604" t="inlineStr">
        <x:is>
          <x:t xml:space="preserve">prior-2026-10-08-v1</x:t>
        </x:is>
      </x:c>
      <x:c r="AA1323" s="604" t="inlineStr">
        <x:is>
          <x:t xml:space="preserve">B</x:t>
        </x:is>
      </x:c>
      <x:c r="AB1323" s="604" t="n">
        <x:v>0.5173596373194396</x:v>
      </x:c>
      <x:c r="AC1323" s="604" t="n">
        <x:v>0.2467757587545319</x:v>
      </x:c>
      <x:c r="AD1323" s="604" t="n">
        <x:v>3</x:v>
      </x:c>
      <x:c r="AE1323" s="604" t="n"/>
      <x:c r="AF1323" s="604" t="n"/>
      <x:c r="AG1323" s="604" t="n">
        <x:v>0.1826327402206029</x:v>
      </x:c>
      <x:c r="AH1323" s="604" t="n"/>
      <x:c r="AI1323" s="604" t="n"/>
      <x:c r="AJ1323" s="604" t="n">
        <x:v>0.1826327402206029</x:v>
      </x:c>
      <x:c r="AK1323" s="604" t="n"/>
      <x:c r="AL1323" s="604" t="n"/>
      <x:c r="AM1323" s="604" t="n"/>
      <x:c r="AN1323" s="604" t="inlineStr">
        <x:is>
          <x:t xml:space="preserve">FROZEN_PREMATCH_DECISION</x:t>
        </x:is>
      </x:c>
      <x:c r="AO1323" s="604" t="inlineStr">
        <x:is>
          <x:t xml:space="preserve">STARTED_DECISION_LOCKED</x:t>
        </x:is>
      </x:c>
      <x:c r="AP1323" s="604" t="inlineStr">
        <x:is>
          <x:t xml:space="preserve">d76a38c0637de0eac1dc</x:t>
        </x:is>
      </x:c>
      <x:c r="AQ1323" s="604" t="n">
        <x:v>-2</x:v>
      </x:c>
      <x:c r="AR1323" s="604" t="n">
        <x:v>0.83</x:v>
      </x:c>
      <x:c r="AS1323" s="604" t="n">
        <x:v>2</x:v>
      </x:c>
      <x:c r="AT1323" s="604" t="n">
        <x:v>-2</x:v>
      </x:c>
      <x:c r="AU1323" s="604" t="n">
        <x:v>0.83</x:v>
      </x:c>
      <x:c r="AV1323" s="604" t="n">
        <x:v>0.98</x:v>
      </x:c>
      <x:c r="AW1323" s="604" t="inlineStr">
        <x:is>
          <x:t xml:space="preserve">2026-10-08T07:44:59.408325+08:00</x:t>
        </x:is>
      </x:c>
      <x:c r="AX1323" s="604" t="inlineStr">
        <x:is>
          <x:t xml:space="preserve">Titan007/V4</x:t>
        </x:is>
      </x:c>
      <x:c r="AY1323" s="604" t="inlineStr">
        <x:is>
          <x:t xml:space="preserve">Daily append；市场输入缺失时不生成决策</x:t>
        </x:is>
      </x:c>
    </x:row>
    <x:row r="1324" ht="22" customHeight="1">
      <x:c r="A1324" s="604" t="inlineStr">
        <x:is>
          <x:t xml:space="preserve">2026-10-08</x:t>
        </x:is>
      </x:c>
      <x:c r="B1324" s="604" t="inlineStr">
        <x:is>
          <x:t xml:space="preserve">2026-10-08T19:00:00+08:00</x:t>
        </x:is>
      </x:c>
      <x:c r="C1324" s="604" t="str">
        <x:v>西亚/中亚系列</x:v>
      </x:c>
      <x:c r="D1324" s="604" t="inlineStr">
        <x:is>
          <x:t xml:space="preserve"/>
        </x:is>
      </x:c>
      <x:c r="E1324" s="604" t="inlineStr">
        <x:is>
          <x:t xml:space="preserve">乌兹甲</x:t>
        </x:is>
      </x:c>
      <x:c r="F1324" s="604" t="inlineStr">
        <x:is>
          <x:t xml:space="preserve">卡塔库尔甘 vs 比克波德</x:t>
        </x:is>
      </x:c>
      <x:c r="G1324" s="604" t="n">
        <x:v>0.89</x:v>
      </x:c>
      <x:c r="H1324" s="604" t="n">
        <x:v>-0.25</x:v>
      </x:c>
      <x:c r="I1324" s="604" t="n">
        <x:v>0.8100000000000001</x:v>
      </x:c>
      <x:c r="J1324" s="604" t="inlineStr">
        <x:is>
          <x:t xml:space="preserve">0.89/-0.25/0.81</x:t>
        </x:is>
      </x:c>
      <x:c r="K1324" s="604" t="inlineStr">
        <x:is>
          <x:t xml:space="preserve">V4-B</x:t>
        </x:is>
      </x:c>
      <x:c r="L1324" s="604" t="inlineStr">
        <x:is>
          <x:t xml:space="preserve">卡塔库尔甘</x:t>
        </x:is>
      </x:c>
      <x:c r="M1324" s="604" t="n">
        <x:v>0.2633968002019567</x:v>
      </x:c>
      <x:c r="N1324" s="604" t="inlineStr">
        <x:is>
          <x:t xml:space="preserve">V4 Shadow Only；real_money=false</x:t>
        </x:is>
      </x:c>
      <x:c r="O1324" s="604" t="inlineStr">
        <x:is>
          <x:t xml:space="preserve">0-3</x:t>
        </x:is>
      </x:c>
      <x:c r="P1324" s="604" t="inlineStr">
        <x:is>
          <x:t xml:space="preserve">已结算</x:t>
        </x:is>
      </x:c>
      <x:c r="Q1324" s="646" t="inlineStr">
        <x:is>
          <x:t xml:space="preserve">黑</x:t>
        </x:is>
      </x:c>
      <x:c r="R1324" s="604" t="n">
        <x:v>0.89</x:v>
      </x:c>
      <x:c r="S1324" s="604" t="n">
        <x:v>-1</x:v>
      </x:c>
      <x:c r="T1324" s="604" t="inlineStr">
        <x:is>
          <x:t xml:space="preserve">D:\codex\v3_legacy\outputs\football_odds_trader\raw\titan007\20261008\20261008_074021_titan007_odds_snapshot.csv</x:t>
        </x:is>
      </x:c>
      <x:c r="U1324" s="645" t="inlineStr">
        <x:is>
          <x:t xml:space="preserve"/>
        </x:is>
      </x:c>
      <x:c r="V1324" s="604" t="inlineStr">
        <x:is>
          <x:t xml:space="preserve"/>
        </x:is>
      </x:c>
      <x:c r="W1324" s="604" t="inlineStr">
        <x:is>
          <x:t xml:space="preserve"/>
        </x:is>
      </x:c>
      <x:c r="X1324" s="604" t="inlineStr">
        <x:is>
          <x:t xml:space="preserve">2971102</x:t>
        </x:is>
      </x:c>
      <x:c r="Y1324" s="604" t="inlineStr">
        <x:is>
          <x:t xml:space="preserve">V4</x:t>
        </x:is>
      </x:c>
      <x:c r="Z1324" s="604" t="inlineStr">
        <x:is>
          <x:t xml:space="preserve">prior-2026-10-08-v1</x:t>
        </x:is>
      </x:c>
      <x:c r="AA1324" s="604" t="inlineStr">
        <x:is>
          <x:t xml:space="preserve">B</x:t>
        </x:is>
      </x:c>
      <x:c r="AB1324" s="604" t="n">
        <x:v>0.2633968002019567</x:v>
      </x:c>
      <x:c r="AC1324" s="604" t="n">
        <x:v>0.6091006225424759</x:v>
      </x:c>
      <x:c r="AD1324" s="604" t="n">
        <x:v>-0.5</x:v>
      </x:c>
      <x:c r="AE1324" s="604" t="n"/>
      <x:c r="AF1324" s="604" t="n"/>
      <x:c r="AG1324" s="604" t="n">
        <x:v>0.2787027538608469</x:v>
      </x:c>
      <x:c r="AH1324" s="604" t="n"/>
      <x:c r="AI1324" s="604" t="n"/>
      <x:c r="AJ1324" s="604" t="n">
        <x:v>0.2787027538608469</x:v>
      </x:c>
      <x:c r="AK1324" s="604" t="n"/>
      <x:c r="AL1324" s="604" t="n"/>
      <x:c r="AM1324" s="604" t="n"/>
      <x:c r="AN1324" s="604" t="inlineStr">
        <x:is>
          <x:t xml:space="preserve">FROZEN_PREMATCH_DECISION</x:t>
        </x:is>
      </x:c>
      <x:c r="AO1324" s="604" t="inlineStr">
        <x:is>
          <x:t xml:space="preserve">STARTED_DECISION_LOCKED</x:t>
        </x:is>
      </x:c>
      <x:c r="AP1324" s="604" t="inlineStr">
        <x:is>
          <x:t xml:space="preserve">038b2e54eebb05a4107c</x:t>
        </x:is>
      </x:c>
      <x:c r="AQ1324" s="604" t="n">
        <x:v>0.25</x:v>
      </x:c>
      <x:c r="AR1324" s="604" t="n">
        <x:v>0.89</x:v>
      </x:c>
      <x:c r="AS1324" s="604" t="n">
        <x:v>-0.25</x:v>
      </x:c>
      <x:c r="AT1324" s="604" t="n">
        <x:v>0.25</x:v>
      </x:c>
      <x:c r="AU1324" s="604" t="n">
        <x:v>0.89</x:v>
      </x:c>
      <x:c r="AV1324" s="604" t="n">
        <x:v>0.8100000000000001</x:v>
      </x:c>
      <x:c r="AW1324" s="604" t="inlineStr">
        <x:is>
          <x:t xml:space="preserve">2026-10-08T07:44:59.408325+08:00</x:t>
        </x:is>
      </x:c>
      <x:c r="AX1324" s="604" t="inlineStr">
        <x:is>
          <x:t xml:space="preserve">Titan007/V4</x:t>
        </x:is>
      </x:c>
      <x:c r="AY1324" s="604" t="inlineStr">
        <x:is>
          <x:t xml:space="preserve">Daily append；市场输入缺失时不生成决策</x:t>
        </x:is>
      </x:c>
    </x:row>
    <x:row r="1325" ht="22" customHeight="1">
      <x:c r="A1325" s="604" t="inlineStr">
        <x:is>
          <x:t xml:space="preserve">2026-10-08</x:t>
        </x:is>
      </x:c>
      <x:c r="B1325" s="604" t="inlineStr">
        <x:is>
          <x:t xml:space="preserve">2026-10-08T18:30:00+08:00</x:t>
        </x:is>
      </x:c>
      <x:c r="C1325" s="604" t="str">
        <x:v>西亚/中亚系列</x:v>
      </x:c>
      <x:c r="D1325" s="604" t="inlineStr">
        <x:is>
          <x:t xml:space="preserve"/>
        </x:is>
      </x:c>
      <x:c r="E1325" s="604" t="inlineStr">
        <x:is>
          <x:t xml:space="preserve">乌兹甲</x:t>
        </x:is>
      </x:c>
      <x:c r="F1325" s="604" t="inlineStr">
        <x:is>
          <x:t xml:space="preserve">FA共和国 vs 雅潘FK</x:t>
        </x:is>
      </x:c>
      <x:c r="G1325" s="604" t="n">
        <x:v>0.75</x:v>
      </x:c>
      <x:c r="H1325" s="604" t="n">
        <x:v>0.75</x:v>
      </x:c>
      <x:c r="I1325" s="604" t="n">
        <x:v>0.95</x:v>
      </x:c>
      <x:c r="J1325" s="604" t="inlineStr">
        <x:is>
          <x:t xml:space="preserve">0.75/0.75/0.95</x:t>
        </x:is>
      </x:c>
      <x:c r="K1325" s="604" t="inlineStr">
        <x:is>
          <x:t xml:space="preserve">V4-B</x:t>
        </x:is>
      </x:c>
      <x:c r="L1325" s="604" t="inlineStr">
        <x:is>
          <x:t xml:space="preserve">FA共和国</x:t>
        </x:is>
      </x:c>
      <x:c r="M1325" s="604" t="n">
        <x:v>0.5470425617584344</x:v>
      </x:c>
      <x:c r="N1325" s="604" t="inlineStr">
        <x:is>
          <x:t xml:space="preserve">V4 Shadow Only；real_money=false</x:t>
        </x:is>
      </x:c>
      <x:c r="O1325" s="604" t="inlineStr">
        <x:is>
          <x:t xml:space="preserve">2-1</x:t>
        </x:is>
      </x:c>
      <x:c r="P1325" s="604" t="inlineStr">
        <x:is>
          <x:t xml:space="preserve">已结算</x:t>
        </x:is>
      </x:c>
      <x:c r="Q1325" s="646" t="inlineStr">
        <x:is>
          <x:t xml:space="preserve">半红</x:t>
        </x:is>
      </x:c>
      <x:c r="R1325" s="604" t="n">
        <x:v>0.75</x:v>
      </x:c>
      <x:c r="S1325" s="604" t="n">
        <x:v>0.375</x:v>
      </x:c>
      <x:c r="T1325" s="604" t="inlineStr">
        <x:is>
          <x:t xml:space="preserve">D:\codex\v3_legacy\outputs\football_odds_trader\raw\titan007\20261008\20261008_074021_titan007_odds_snapshot.csv</x:t>
        </x:is>
      </x:c>
      <x:c r="U1325" s="645" t="inlineStr">
        <x:is>
          <x:t xml:space="preserve"/>
        </x:is>
      </x:c>
      <x:c r="V1325" s="604" t="inlineStr">
        <x:is>
          <x:t xml:space="preserve"/>
        </x:is>
      </x:c>
      <x:c r="W1325" s="604" t="inlineStr">
        <x:is>
          <x:t xml:space="preserve"/>
        </x:is>
      </x:c>
      <x:c r="X1325" s="604" t="inlineStr">
        <x:is>
          <x:t xml:space="preserve">2971104</x:t>
        </x:is>
      </x:c>
      <x:c r="Y1325" s="604" t="inlineStr">
        <x:is>
          <x:t xml:space="preserve">V4</x:t>
        </x:is>
      </x:c>
      <x:c r="Z1325" s="604" t="inlineStr">
        <x:is>
          <x:t xml:space="preserve">prior-2026-10-08-v1</x:t>
        </x:is>
      </x:c>
      <x:c r="AA1325" s="604" t="inlineStr">
        <x:is>
          <x:t xml:space="preserve">B</x:t>
        </x:is>
      </x:c>
      <x:c r="AB1325" s="604" t="n">
        <x:v>0.5470425617584344</x:v>
      </x:c>
      <x:c r="AC1325" s="604" t="n">
        <x:v>0.3247136860019415</x:v>
      </x:c>
      <x:c r="AD1325" s="604" t="n">
        <x:v>1.25</x:v>
      </x:c>
      <x:c r="AE1325" s="604" t="n"/>
      <x:c r="AF1325" s="604" t="n"/>
      <x:c r="AG1325" s="604" t="n">
        <x:v>0.08556823531688423</x:v>
      </x:c>
      <x:c r="AH1325" s="604" t="n"/>
      <x:c r="AI1325" s="604" t="n"/>
      <x:c r="AJ1325" s="604" t="n">
        <x:v>0.08556823531688423</x:v>
      </x:c>
      <x:c r="AK1325" s="604" t="n"/>
      <x:c r="AL1325" s="604" t="n"/>
      <x:c r="AM1325" s="604" t="n"/>
      <x:c r="AN1325" s="604" t="inlineStr">
        <x:is>
          <x:t xml:space="preserve">FROZEN_PREMATCH_DECISION</x:t>
        </x:is>
      </x:c>
      <x:c r="AO1325" s="604" t="inlineStr">
        <x:is>
          <x:t xml:space="preserve">STARTED_DECISION_LOCKED</x:t>
        </x:is>
      </x:c>
      <x:c r="AP1325" s="604" t="inlineStr">
        <x:is>
          <x:t xml:space="preserve">ab97a1b509a975730a5e</x:t>
        </x:is>
      </x:c>
      <x:c r="AQ1325" s="604" t="n">
        <x:v>-0.75</x:v>
      </x:c>
      <x:c r="AR1325" s="604" t="n">
        <x:v>0.75</x:v>
      </x:c>
      <x:c r="AS1325" s="604" t="n">
        <x:v>0.75</x:v>
      </x:c>
      <x:c r="AT1325" s="604" t="n">
        <x:v>-0.75</x:v>
      </x:c>
      <x:c r="AU1325" s="604" t="n">
        <x:v>0.75</x:v>
      </x:c>
      <x:c r="AV1325" s="604" t="n">
        <x:v>0.95</x:v>
      </x:c>
      <x:c r="AW1325" s="604" t="inlineStr">
        <x:is>
          <x:t xml:space="preserve">2026-10-08T07:44:59.408325+08:00</x:t>
        </x:is>
      </x:c>
      <x:c r="AX1325" s="604" t="inlineStr">
        <x:is>
          <x:t xml:space="preserve">Titan007/V4</x:t>
        </x:is>
      </x:c>
      <x:c r="AY1325" s="604" t="inlineStr">
        <x:is>
          <x:t xml:space="preserve">Daily append；市场输入缺失时不生成决策</x:t>
        </x:is>
      </x:c>
    </x:row>
    <x:row r="1326" ht="22" customHeight="1">
      <x:c r="A1326" s="604" t="inlineStr">
        <x:is>
          <x:t xml:space="preserve">2026-10-08</x:t>
        </x:is>
      </x:c>
      <x:c r="B1326" s="604" t="inlineStr">
        <x:is>
          <x:t xml:space="preserve">2026-10-08T20:00:00+08:00</x:t>
        </x:is>
      </x:c>
      <x:c r="C1326" s="604" t="str">
        <x:v>其他系列</x:v>
      </x:c>
      <x:c r="D1326" s="604" t="inlineStr">
        <x:is>
          <x:t xml:space="preserve"/>
        </x:is>
      </x:c>
      <x:c r="E1326" s="604" t="inlineStr">
        <x:is>
          <x:t xml:space="preserve">东盟锦标</x:t>
        </x:is>
      </x:c>
      <x:c r="F1326" s="604" t="inlineStr">
        <x:is>
          <x:t xml:space="preserve">柔佛 vs 柴桢</x:t>
        </x:is>
      </x:c>
      <x:c r="G1326" s="604" t="n">
        <x:v>1.25</x:v>
      </x:c>
      <x:c r="H1326" s="604" t="n">
        <x:v>2</x:v>
      </x:c>
      <x:c r="I1326" s="604" t="n">
        <x:v>0.5</x:v>
      </x:c>
      <x:c r="J1326" s="604" t="inlineStr">
        <x:is>
          <x:t xml:space="preserve">1.25/2.0/0.5</x:t>
        </x:is>
      </x:c>
      <x:c r="K1326" s="604" t="inlineStr">
        <x:is>
          <x:t xml:space="preserve">V4-B</x:t>
        </x:is>
      </x:c>
      <x:c r="L1326" s="604" t="inlineStr">
        <x:is>
          <x:t xml:space="preserve">柔佛</x:t>
        </x:is>
      </x:c>
      <x:c r="M1326" s="604" t="n">
        <x:v>0.4131619535260843</x:v>
      </x:c>
      <x:c r="N1326" s="604" t="inlineStr">
        <x:is>
          <x:t xml:space="preserve">V4 Shadow Only；real_money=false</x:t>
        </x:is>
      </x:c>
      <x:c r="O1326" s="604" t="inlineStr">
        <x:is>
          <x:t xml:space="preserve">6-0</x:t>
        </x:is>
      </x:c>
      <x:c r="P1326" s="604" t="inlineStr">
        <x:is>
          <x:t xml:space="preserve">已结算</x:t>
        </x:is>
      </x:c>
      <x:c r="Q1326" s="646" t="inlineStr">
        <x:is>
          <x:t xml:space="preserve">红</x:t>
        </x:is>
      </x:c>
      <x:c r="R1326" s="604" t="n">
        <x:v>1.25</x:v>
      </x:c>
      <x:c r="S1326" s="604" t="n">
        <x:v>1.25</x:v>
      </x:c>
      <x:c r="T1326" s="604" t="inlineStr">
        <x:is>
          <x:t xml:space="preserve">D:\codex\v3_legacy\outputs\football_odds_trader\raw\titan007\20261008\20261008_074021_titan007_odds_snapshot.csv</x:t>
        </x:is>
      </x:c>
      <x:c r="U1326" s="645" t="inlineStr">
        <x:is>
          <x:t xml:space="preserve"/>
        </x:is>
      </x:c>
      <x:c r="V1326" s="604" t="inlineStr">
        <x:is>
          <x:t xml:space="preserve"/>
        </x:is>
      </x:c>
      <x:c r="W1326" s="604" t="inlineStr">
        <x:is>
          <x:t xml:space="preserve"/>
        </x:is>
      </x:c>
      <x:c r="X1326" s="604" t="inlineStr">
        <x:is>
          <x:t xml:space="preserve">3006574</x:t>
        </x:is>
      </x:c>
      <x:c r="Y1326" s="604" t="inlineStr">
        <x:is>
          <x:t xml:space="preserve">V4</x:t>
        </x:is>
      </x:c>
      <x:c r="Z1326" s="604" t="inlineStr">
        <x:is>
          <x:t xml:space="preserve">prior-2026-10-08-v1</x:t>
        </x:is>
      </x:c>
      <x:c r="AA1326" s="604" t="inlineStr">
        <x:is>
          <x:t xml:space="preserve">B</x:t>
        </x:is>
      </x:c>
      <x:c r="AB1326" s="604" t="n">
        <x:v>0.4131619535260843</x:v>
      </x:c>
      <x:c r="AC1326" s="604" t="n">
        <x:v>0.340572961735073</x:v>
      </x:c>
      <x:c r="AD1326" s="604" t="n">
        <x:v>2.25</x:v>
      </x:c>
      <x:c r="AE1326" s="604" t="n"/>
      <x:c r="AF1326" s="604" t="n"/>
      <x:c r="AG1326" s="604" t="n">
        <x:v>0.1758794801725324</x:v>
      </x:c>
      <x:c r="AH1326" s="604" t="n"/>
      <x:c r="AI1326" s="604" t="n"/>
      <x:c r="AJ1326" s="604" t="n">
        <x:v>0.1758794801725324</x:v>
      </x:c>
      <x:c r="AK1326" s="604" t="n"/>
      <x:c r="AL1326" s="604" t="n"/>
      <x:c r="AM1326" s="604" t="n"/>
      <x:c r="AN1326" s="604" t="inlineStr">
        <x:is>
          <x:t xml:space="preserve">FROZEN_PREMATCH_DECISION</x:t>
        </x:is>
      </x:c>
      <x:c r="AO1326" s="604" t="inlineStr">
        <x:is>
          <x:t xml:space="preserve">STARTED_DECISION_LOCKED</x:t>
        </x:is>
      </x:c>
      <x:c r="AP1326" s="604" t="inlineStr">
        <x:is>
          <x:t xml:space="preserve">752b509e51949974a20d</x:t>
        </x:is>
      </x:c>
      <x:c r="AQ1326" s="604" t="n">
        <x:v>-2</x:v>
      </x:c>
      <x:c r="AR1326" s="604" t="n">
        <x:v>1.25</x:v>
      </x:c>
      <x:c r="AS1326" s="604" t="n">
        <x:v>2</x:v>
      </x:c>
      <x:c r="AT1326" s="604" t="n">
        <x:v>-2</x:v>
      </x:c>
      <x:c r="AU1326" s="604" t="n">
        <x:v>1.25</x:v>
      </x:c>
      <x:c r="AV1326" s="604" t="n">
        <x:v>0.5</x:v>
      </x:c>
      <x:c r="AW1326" s="604" t="inlineStr">
        <x:is>
          <x:t xml:space="preserve">2026-10-08T07:44:59.408325+08:00</x:t>
        </x:is>
      </x:c>
      <x:c r="AX1326" s="604" t="inlineStr">
        <x:is>
          <x:t xml:space="preserve">Titan007/V4</x:t>
        </x:is>
      </x:c>
      <x:c r="AY1326" s="604" t="inlineStr">
        <x:is>
          <x:t xml:space="preserve">Daily append；市场输入缺失时不生成决策</x:t>
        </x:is>
      </x:c>
    </x:row>
    <x:row r="1327" ht="22" customHeight="1">
      <x:c r="A1327" s="604" t="inlineStr">
        <x:is>
          <x:t xml:space="preserve">2026-10-08</x:t>
        </x:is>
      </x:c>
      <x:c r="B1327" s="604" t="inlineStr">
        <x:is>
          <x:t xml:space="preserve">2026-10-09T04:30:00+08:00</x:t>
        </x:is>
      </x:c>
      <x:c r="C1327" s="604" t="str">
        <x:v>南美系列</x:v>
      </x:c>
      <x:c r="D1327" s="604" t="inlineStr">
        <x:is>
          <x:t xml:space="preserve"/>
        </x:is>
      </x:c>
      <x:c r="E1327" s="604" t="inlineStr">
        <x:is>
          <x:t xml:space="preserve">哥伦乙秋</x:t>
        </x:is>
      </x:c>
      <x:c r="F1327" s="604" t="inlineStr">
        <x:is>
          <x:t xml:space="preserve">卡利竞技 vs 卡达根拿</x:t>
        </x:is>
      </x:c>
      <x:c r="G1327" s="604" t="n">
        <x:v>0.75</x:v>
      </x:c>
      <x:c r="H1327" s="604" t="n">
        <x:v>-1</x:v>
      </x:c>
      <x:c r="I1327" s="604" t="n">
        <x:v>0.95</x:v>
      </x:c>
      <x:c r="J1327" s="604" t="inlineStr">
        <x:is>
          <x:t xml:space="preserve">0.75/-1.0/0.95</x:t>
        </x:is>
      </x:c>
      <x:c r="K1327" s="604" t="inlineStr">
        <x:is>
          <x:t xml:space="preserve">V4-B</x:t>
        </x:is>
      </x:c>
      <x:c r="L1327" s="604" t="inlineStr">
        <x:is>
          <x:t xml:space="preserve">卡利竞技</x:t>
        </x:is>
      </x:c>
      <x:c r="M1327" s="604" t="n">
        <x:v>0.02592061929907502</x:v>
      </x:c>
      <x:c r="N1327" s="604" t="inlineStr">
        <x:is>
          <x:t xml:space="preserve">V4 Shadow Only；real_money=false</x:t>
        </x:is>
      </x:c>
      <x:c r="O1327" s="604" t="inlineStr">
        <x:is>
          <x:t xml:space="preserve">2-2</x:t>
        </x:is>
      </x:c>
      <x:c r="P1327" s="604" t="inlineStr">
        <x:is>
          <x:t xml:space="preserve">已结算</x:t>
        </x:is>
      </x:c>
      <x:c r="Q1327" s="646" t="inlineStr">
        <x:is>
          <x:t xml:space="preserve">红</x:t>
        </x:is>
      </x:c>
      <x:c r="R1327" s="604" t="n">
        <x:v>0.75</x:v>
      </x:c>
      <x:c r="S1327" s="604" t="n">
        <x:v>0.75</x:v>
      </x:c>
      <x:c r="T1327" s="604" t="inlineStr">
        <x:is>
          <x:t xml:space="preserve">D:\codex\v3_legacy\outputs\football_odds_trader\raw\titan007\20261008\20261008_074021_titan007_odds_snapshot.csv</x:t>
        </x:is>
      </x:c>
      <x:c r="U1327" s="645" t="inlineStr">
        <x:is>
          <x:t xml:space="preserve"/>
        </x:is>
      </x:c>
      <x:c r="V1327" s="604" t="inlineStr">
        <x:is>
          <x:t xml:space="preserve"/>
        </x:is>
      </x:c>
      <x:c r="W1327" s="604" t="inlineStr">
        <x:is>
          <x:t xml:space="preserve"/>
        </x:is>
      </x:c>
      <x:c r="X1327" s="604" t="inlineStr">
        <x:is>
          <x:t xml:space="preserve">3012154</x:t>
        </x:is>
      </x:c>
      <x:c r="Y1327" s="604" t="inlineStr">
        <x:is>
          <x:t xml:space="preserve">V4</x:t>
        </x:is>
      </x:c>
      <x:c r="Z1327" s="604" t="inlineStr">
        <x:is>
          <x:t xml:space="preserve">prior-2026-10-08-v1</x:t>
        </x:is>
      </x:c>
      <x:c r="AA1327" s="604" t="inlineStr">
        <x:is>
          <x:t xml:space="preserve">B</x:t>
        </x:is>
      </x:c>
      <x:c r="AB1327" s="604" t="n">
        <x:v>0.02592061929907502</x:v>
      </x:c>
      <x:c r="AC1327" s="604" t="n">
        <x:v>0.8936009344729309</x:v>
      </x:c>
      <x:c r="AD1327" s="604" t="n">
        <x:v>-1.25</x:v>
      </x:c>
      <x:c r="AE1327" s="604" t="n"/>
      <x:c r="AF1327" s="604" t="n"/>
      <x:c r="AG1327" s="604" t="n">
        <x:v>0.6442800815556231</x:v>
      </x:c>
      <x:c r="AH1327" s="604" t="n"/>
      <x:c r="AI1327" s="604" t="n"/>
      <x:c r="AJ1327" s="604" t="n">
        <x:v>0.6442800815556231</x:v>
      </x:c>
      <x:c r="AK1327" s="604" t="n"/>
      <x:c r="AL1327" s="604" t="n"/>
      <x:c r="AM1327" s="604" t="n"/>
      <x:c r="AN1327" s="604" t="inlineStr">
        <x:is>
          <x:t xml:space="preserve">EVALUATED</x:t>
        </x:is>
      </x:c>
      <x:c r="AO1327" s="604" t="inlineStr">
        <x:is>
          <x:t xml:space="preserve">RECEIVING_VALIDATED_EDGE;BUCKET_PRIOR_ONLY;INTENT_INTERPRETATION_ONLY;FFL_OPTIONAL;EXPERT_MARKET</x:t>
        </x:is>
      </x:c>
      <x:c r="AP1327" s="604" t="inlineStr">
        <x:is>
          <x:t xml:space="preserve">c78a14b364a8b3fd146e</x:t>
        </x:is>
      </x:c>
      <x:c r="AQ1327" s="604" t="n">
        <x:v>1</x:v>
      </x:c>
      <x:c r="AR1327" s="604" t="n">
        <x:v>0.75</x:v>
      </x:c>
      <x:c r="AS1327" s="604" t="n">
        <x:v>-1</x:v>
      </x:c>
      <x:c r="AT1327" s="604" t="n">
        <x:v>1</x:v>
      </x:c>
      <x:c r="AU1327" s="604" t="n">
        <x:v>0.75</x:v>
      </x:c>
      <x:c r="AV1327" s="604" t="n">
        <x:v>0.95</x:v>
      </x:c>
      <x:c r="AW1327" s="604" t="inlineStr">
        <x:is>
          <x:t xml:space="preserve">2026-10-08T07:44:59.408325+08:00</x:t>
        </x:is>
      </x:c>
      <x:c r="AX1327" s="604" t="inlineStr">
        <x:is>
          <x:t xml:space="preserve">Titan007/V4</x:t>
        </x:is>
      </x:c>
      <x:c r="AY1327" s="604" t="inlineStr">
        <x:is>
          <x:t xml:space="preserve">Daily append；市场输入缺失时不生成决策</x:t>
        </x:is>
      </x:c>
    </x:row>
    <x:row r="1328" ht="22" customHeight="1">
      <x:c r="A1328" s="604" t="inlineStr">
        <x:is>
          <x:t xml:space="preserve">2026-10-08</x:t>
        </x:is>
      </x:c>
      <x:c r="B1328" s="604" t="inlineStr">
        <x:is>
          <x:t xml:space="preserve">2026-10-09T09:00:00+08:00</x:t>
        </x:is>
      </x:c>
      <x:c r="C1328" s="604" t="str">
        <x:v>北美系列</x:v>
      </x:c>
      <x:c r="D1328" s="604" t="inlineStr">
        <x:is>
          <x:t xml:space="preserve"/>
        </x:is>
      </x:c>
      <x:c r="E1328" s="604" t="inlineStr">
        <x:is>
          <x:t xml:space="preserve">墨西甲春</x:t>
        </x:is>
      </x:c>
      <x:c r="F1328" s="604" t="inlineStr">
        <x:is>
          <x:t xml:space="preserve">瓦哈卡 vs 克雷卡米诺斯</x:t>
        </x:is>
      </x:c>
      <x:c r="G1328" s="604" t="n">
        <x:v>0.84</x:v>
      </x:c>
      <x:c r="H1328" s="604" t="n">
        <x:v>-0.5</x:v>
      </x:c>
      <x:c r="I1328" s="604" t="n">
        <x:v>0.98</x:v>
      </x:c>
      <x:c r="J1328" s="604" t="inlineStr">
        <x:is>
          <x:t xml:space="preserve">0.84/-0.5/0.98</x:t>
        </x:is>
      </x:c>
      <x:c r="K1328" s="604" t="inlineStr">
        <x:is>
          <x:t xml:space="preserve">V4-A</x:t>
        </x:is>
      </x:c>
      <x:c r="L1328" s="604" t="inlineStr">
        <x:is>
          <x:t xml:space="preserve">瓦哈卡</x:t>
        </x:is>
      </x:c>
      <x:c r="M1328" s="604" t="n">
        <x:v>0.231774160992744</x:v>
      </x:c>
      <x:c r="N1328" s="604" t="inlineStr">
        <x:is>
          <x:t xml:space="preserve">V4 Shadow Only；real_money=false</x:t>
        </x:is>
      </x:c>
      <x:c r="O1328" s="604" t="inlineStr">
        <x:is>
          <x:t xml:space="preserve">0-0</x:t>
        </x:is>
      </x:c>
      <x:c r="P1328" s="604" t="inlineStr">
        <x:is>
          <x:t xml:space="preserve">EVALUATED</x:t>
        </x:is>
      </x:c>
      <x:c r="Q1328" s="646" t="inlineStr">
        <x:is>
          <x:t xml:space="preserve"/>
        </x:is>
      </x:c>
      <x:c r="R1328" s="604" t="n">
        <x:v>0.84</x:v>
      </x:c>
      <x:c r="S1328" s="604" t="n"/>
      <x:c r="T1328" s="604" t="inlineStr">
        <x:is>
          <x:t xml:space="preserve">D:\codex\v3_legacy\outputs\football_odds_trader\raw\titan007\20261008\20261008_074021_titan007_odds_snapshot.csv</x:t>
        </x:is>
      </x:c>
      <x:c r="U1328" s="645" t="inlineStr">
        <x:is>
          <x:t xml:space="preserve"/>
        </x:is>
      </x:c>
      <x:c r="V1328" s="604" t="inlineStr">
        <x:is>
          <x:t xml:space="preserve"/>
        </x:is>
      </x:c>
      <x:c r="W1328" s="604" t="inlineStr">
        <x:is>
          <x:t xml:space="preserve"/>
        </x:is>
      </x:c>
      <x:c r="X1328" s="604" t="inlineStr">
        <x:is>
          <x:t xml:space="preserve">3024477</x:t>
        </x:is>
      </x:c>
      <x:c r="Y1328" s="604" t="inlineStr">
        <x:is>
          <x:t xml:space="preserve">V4</x:t>
        </x:is>
      </x:c>
      <x:c r="Z1328" s="604" t="inlineStr">
        <x:is>
          <x:t xml:space="preserve">prior-2026-10-08-v1</x:t>
        </x:is>
      </x:c>
      <x:c r="AA1328" s="604" t="inlineStr">
        <x:is>
          <x:t xml:space="preserve">A</x:t>
        </x:is>
      </x:c>
      <x:c r="AB1328" s="604" t="n">
        <x:v>0.231774160992744</x:v>
      </x:c>
      <x:c r="AC1328" s="604" t="n">
        <x:v>0.7682258390072559</x:v>
      </x:c>
      <x:c r="AD1328" s="604" t="n">
        <x:v>-0.75</x:v>
      </x:c>
      <x:c r="AE1328" s="604" t="n"/>
      <x:c r="AF1328" s="604" t="n"/>
      <x:c r="AG1328" s="604" t="n">
        <x:v>0.4135355437733509</x:v>
      </x:c>
      <x:c r="AH1328" s="604" t="n"/>
      <x:c r="AI1328" s="604" t="n"/>
      <x:c r="AJ1328" s="604" t="n">
        <x:v>0.4135355437733509</x:v>
      </x:c>
      <x:c r="AK1328" s="604" t="n"/>
      <x:c r="AL1328" s="604" t="n"/>
      <x:c r="AM1328" s="604" t="n"/>
      <x:c r="AN1328" s="604" t="inlineStr">
        <x:is>
          <x:t xml:space="preserve">EVALUATED</x:t>
        </x:is>
      </x:c>
      <x:c r="AO1328" s="604" t="inlineStr">
        <x:is>
          <x:t xml:space="preserve">RECEIVING_VALIDATED_EDGE;BUCKET_PRIOR_ONLY;INTENT_INTERPRETATION_ONLY;FFL_OPTIONAL;EXPERT_MARKET</x:t>
        </x:is>
      </x:c>
      <x:c r="AP1328" s="604" t="inlineStr">
        <x:is>
          <x:t xml:space="preserve">f94de7053a80ea6b5265</x:t>
        </x:is>
      </x:c>
      <x:c r="AQ1328" s="604" t="n">
        <x:v>0.5</x:v>
      </x:c>
      <x:c r="AR1328" s="604" t="n">
        <x:v>0.84</x:v>
      </x:c>
      <x:c r="AS1328" s="604" t="n">
        <x:v>-0.5</x:v>
      </x:c>
      <x:c r="AT1328" s="604" t="n">
        <x:v>0.5</x:v>
      </x:c>
      <x:c r="AU1328" s="604" t="n">
        <x:v>0.84</x:v>
      </x:c>
      <x:c r="AV1328" s="604" t="n">
        <x:v>0.98</x:v>
      </x:c>
      <x:c r="AW1328" s="604" t="inlineStr">
        <x:is>
          <x:t xml:space="preserve">2026-10-08T07:44:59.408325+08:00</x:t>
        </x:is>
      </x:c>
      <x:c r="AX1328" s="604" t="inlineStr">
        <x:is>
          <x:t xml:space="preserve">Titan007/V4</x:t>
        </x:is>
      </x:c>
      <x:c r="AY1328" s="604" t="inlineStr">
        <x:is>
          <x:t xml:space="preserve">Daily append；市场输入缺失时不生成决策</x:t>
        </x:is>
      </x:c>
    </x:row>
    <x:row r="1329" ht="22" customHeight="1">
      <x:c r="A1329" s="604" t="inlineStr">
        <x:is>
          <x:t xml:space="preserve">2026-10-08</x:t>
        </x:is>
      </x:c>
      <x:c r="B1329" s="604" t="inlineStr">
        <x:is>
          <x:t xml:space="preserve">2026-10-09T03:00:00+08:00</x:t>
        </x:is>
      </x:c>
      <x:c r="C1329" s="604" t="str">
        <x:v>其他系列</x:v>
      </x:c>
      <x:c r="D1329" s="604" t="inlineStr">
        <x:is>
          <x:t xml:space="preserve"/>
        </x:is>
      </x:c>
      <x:c r="E1329" s="604" t="inlineStr">
        <x:is>
          <x:t xml:space="preserve">阿尔甲</x:t>
        </x:is>
      </x:c>
      <x:c r="F1329" s="604" t="inlineStr">
        <x:is>
          <x:t xml:space="preserve">MC奥兰 vs 塞堤夫</x:t>
        </x:is>
      </x:c>
      <x:c r="G1329" s="604" t="n">
        <x:v>0.98</x:v>
      </x:c>
      <x:c r="H1329" s="604" t="n">
        <x:v>0.5</x:v>
      </x:c>
      <x:c r="I1329" s="604" t="n">
        <x:v>0.72</x:v>
      </x:c>
      <x:c r="J1329" s="604" t="inlineStr">
        <x:is>
          <x:t xml:space="preserve">0.98/0.5/0.72</x:t>
        </x:is>
      </x:c>
      <x:c r="K1329" s="604" t="inlineStr">
        <x:is>
          <x:t xml:space="preserve">V4-A</x:t>
        </x:is>
      </x:c>
      <x:c r="L1329" s="604" t="inlineStr">
        <x:is>
          <x:t xml:space="preserve">MC奥兰</x:t>
        </x:is>
      </x:c>
      <x:c r="M1329" s="604" t="n">
        <x:v>0.5701524786038196</x:v>
      </x:c>
      <x:c r="N1329" s="604" t="inlineStr">
        <x:is>
          <x:t xml:space="preserve">V4 Shadow Only；real_money=false</x:t>
        </x:is>
      </x:c>
      <x:c r="O1329" s="604" t="inlineStr">
        <x:is>
          <x:t xml:space="preserve">0-0</x:t>
        </x:is>
      </x:c>
      <x:c r="P1329" s="604" t="inlineStr">
        <x:is>
          <x:t xml:space="preserve">已结算</x:t>
        </x:is>
      </x:c>
      <x:c r="Q1329" s="646" t="inlineStr">
        <x:is>
          <x:t xml:space="preserve">黑</x:t>
        </x:is>
      </x:c>
      <x:c r="R1329" s="604" t="n">
        <x:v>0.98</x:v>
      </x:c>
      <x:c r="S1329" s="604" t="n">
        <x:v>-1</x:v>
      </x:c>
      <x:c r="T1329" s="604" t="inlineStr">
        <x:is>
          <x:t xml:space="preserve">D:\codex\v3_legacy\outputs\football_odds_trader\raw\titan007\20261008\20261008_074021_titan007_odds_snapshot.csv</x:t>
        </x:is>
      </x:c>
      <x:c r="U1329" s="645" t="inlineStr">
        <x:is>
          <x:t xml:space="preserve"/>
        </x:is>
      </x:c>
      <x:c r="V1329" s="604" t="inlineStr">
        <x:is>
          <x:t xml:space="preserve"/>
        </x:is>
      </x:c>
      <x:c r="W1329" s="604" t="inlineStr">
        <x:is>
          <x:t xml:space="preserve"/>
        </x:is>
      </x:c>
      <x:c r="X1329" s="604" t="inlineStr">
        <x:is>
          <x:t xml:space="preserve">3056763</x:t>
        </x:is>
      </x:c>
      <x:c r="Y1329" s="604" t="inlineStr">
        <x:is>
          <x:t xml:space="preserve">V4</x:t>
        </x:is>
      </x:c>
      <x:c r="Z1329" s="604" t="inlineStr">
        <x:is>
          <x:t xml:space="preserve">prior-2026-10-08-v1</x:t>
        </x:is>
      </x:c>
      <x:c r="AA1329" s="604" t="inlineStr">
        <x:is>
          <x:t xml:space="preserve">A</x:t>
        </x:is>
      </x:c>
      <x:c r="AB1329" s="604" t="n">
        <x:v>0.5701524786038196</x:v>
      </x:c>
      <x:c r="AC1329" s="604" t="n">
        <x:v>0.4298475213961804</x:v>
      </x:c>
      <x:c r="AD1329" s="604" t="n">
        <x:v>0.75</x:v>
      </x:c>
      <x:c r="AE1329" s="604" t="n"/>
      <x:c r="AF1329" s="604" t="n"/>
      <x:c r="AG1329" s="604" t="n">
        <x:v>0.1289019076355628</x:v>
      </x:c>
      <x:c r="AH1329" s="604" t="n"/>
      <x:c r="AI1329" s="604" t="n"/>
      <x:c r="AJ1329" s="604" t="n">
        <x:v>0.1289019076355628</x:v>
      </x:c>
      <x:c r="AK1329" s="604" t="n"/>
      <x:c r="AL1329" s="604" t="n"/>
      <x:c r="AM1329" s="604" t="n"/>
      <x:c r="AN1329" s="604" t="inlineStr">
        <x:is>
          <x:t xml:space="preserve">EVALUATED</x:t>
        </x:is>
      </x:c>
      <x:c r="AO1329" s="604" t="inlineStr">
        <x:is>
          <x:t xml:space="preserve">GIVING_VALIDATED_EDGE;BUCKET_PRIOR_ONLY;INTENT_INTERPRETATION_ONLY;FFL_OPTIONAL;EXPERT_MARKET</x:t>
        </x:is>
      </x:c>
      <x:c r="AP1329" s="604" t="inlineStr">
        <x:is>
          <x:t xml:space="preserve">0e00281cdfa9687463b1</x:t>
        </x:is>
      </x:c>
      <x:c r="AQ1329" s="604" t="n">
        <x:v>-0.5</x:v>
      </x:c>
      <x:c r="AR1329" s="604" t="n">
        <x:v>0.98</x:v>
      </x:c>
      <x:c r="AS1329" s="604" t="n">
        <x:v>0.5</x:v>
      </x:c>
      <x:c r="AT1329" s="604" t="n">
        <x:v>-0.5</x:v>
      </x:c>
      <x:c r="AU1329" s="604" t="n">
        <x:v>0.98</x:v>
      </x:c>
      <x:c r="AV1329" s="604" t="n">
        <x:v>0.72</x:v>
      </x:c>
      <x:c r="AW1329" s="604" t="inlineStr">
        <x:is>
          <x:t xml:space="preserve">2026-10-08T07:44:59.408325+08:00</x:t>
        </x:is>
      </x:c>
      <x:c r="AX1329" s="604" t="inlineStr">
        <x:is>
          <x:t xml:space="preserve">Titan007/V4</x:t>
        </x:is>
      </x:c>
      <x:c r="AY1329" s="604" t="inlineStr">
        <x:is>
          <x:t xml:space="preserve">Daily append；市场输入缺失时不生成决策</x:t>
        </x:is>
      </x:c>
    </x:row>
    <x:row r="1330" ht="22" customHeight="1">
      <x:c r="A1330" s="604" t="inlineStr">
        <x:is>
          <x:t xml:space="preserve">2026-10-08</x:t>
        </x:is>
      </x:c>
      <x:c r="B1330" s="604" t="inlineStr">
        <x:is>
          <x:t xml:space="preserve">2026-10-09T01:00:00+08:00</x:t>
        </x:is>
      </x:c>
      <x:c r="C1330" s="604" t="str">
        <x:v>其他系列</x:v>
      </x:c>
      <x:c r="D1330" s="604" t="inlineStr">
        <x:is>
          <x:t xml:space="preserve"/>
        </x:is>
      </x:c>
      <x:c r="E1330" s="604" t="inlineStr">
        <x:is>
          <x:t xml:space="preserve">阿尔甲</x:t>
        </x:is>
      </x:c>
      <x:c r="F1330" s="604" t="inlineStr">
        <x:is>
          <x:t xml:space="preserve">圣罗拉 vs 奥德阿库</x:t>
        </x:is>
      </x:c>
      <x:c r="G1330" s="604" t="n">
        <x:v>0.84</x:v>
      </x:c>
      <x:c r="H1330" s="604" t="n">
        <x:v>0.5</x:v>
      </x:c>
      <x:c r="I1330" s="604" t="n">
        <x:v>0.86</x:v>
      </x:c>
      <x:c r="J1330" s="604" t="inlineStr">
        <x:is>
          <x:t xml:space="preserve">0.84/0.5/0.86</x:t>
        </x:is>
      </x:c>
      <x:c r="K1330" s="604" t="inlineStr">
        <x:is>
          <x:t xml:space="preserve">V4-A</x:t>
        </x:is>
      </x:c>
      <x:c r="L1330" s="604" t="inlineStr">
        <x:is>
          <x:t xml:space="preserve">圣罗拉</x:t>
        </x:is>
      </x:c>
      <x:c r="M1330" s="604" t="n">
        <x:v>0.6277464897964813</x:v>
      </x:c>
      <x:c r="N1330" s="604" t="inlineStr">
        <x:is>
          <x:t xml:space="preserve">V4 Shadow Only；real_money=false</x:t>
        </x:is>
      </x:c>
      <x:c r="O1330" s="604" t="inlineStr">
        <x:is>
          <x:t xml:space="preserve">0-0</x:t>
        </x:is>
      </x:c>
      <x:c r="P1330" s="604" t="inlineStr">
        <x:is>
          <x:t xml:space="preserve">已结算</x:t>
        </x:is>
      </x:c>
      <x:c r="Q1330" s="646" t="inlineStr">
        <x:is>
          <x:t xml:space="preserve">黑</x:t>
        </x:is>
      </x:c>
      <x:c r="R1330" s="604" t="n">
        <x:v>0.84</x:v>
      </x:c>
      <x:c r="S1330" s="604" t="n">
        <x:v>-1</x:v>
      </x:c>
      <x:c r="T1330" s="604" t="inlineStr">
        <x:is>
          <x:t xml:space="preserve">D:\codex\v3_legacy\outputs\football_odds_trader\raw\titan007\20261008\20261008_074021_titan007_odds_snapshot.csv</x:t>
        </x:is>
      </x:c>
      <x:c r="U1330" s="645" t="inlineStr">
        <x:is>
          <x:t xml:space="preserve"/>
        </x:is>
      </x:c>
      <x:c r="V1330" s="604" t="inlineStr">
        <x:is>
          <x:t xml:space="preserve"/>
        </x:is>
      </x:c>
      <x:c r="W1330" s="604" t="inlineStr">
        <x:is>
          <x:t xml:space="preserve"/>
        </x:is>
      </x:c>
      <x:c r="X1330" s="604" t="inlineStr">
        <x:is>
          <x:t xml:space="preserve">3056765</x:t>
        </x:is>
      </x:c>
      <x:c r="Y1330" s="604" t="inlineStr">
        <x:is>
          <x:t xml:space="preserve">V4</x:t>
        </x:is>
      </x:c>
      <x:c r="Z1330" s="604" t="inlineStr">
        <x:is>
          <x:t xml:space="preserve">prior-2026-10-08-v1</x:t>
        </x:is>
      </x:c>
      <x:c r="AA1330" s="604" t="inlineStr">
        <x:is>
          <x:t xml:space="preserve">A</x:t>
        </x:is>
      </x:c>
      <x:c r="AB1330" s="604" t="n">
        <x:v>0.6277464897964813</x:v>
      </x:c>
      <x:c r="AC1330" s="604" t="n">
        <x:v>0.3722535102035187</x:v>
      </x:c>
      <x:c r="AD1330" s="604" t="n">
        <x:v>1</x:v>
      </x:c>
      <x:c r="AE1330" s="604" t="n"/>
      <x:c r="AF1330" s="604" t="n"/>
      <x:c r="AG1330" s="604" t="n">
        <x:v>0.1550535412255255</x:v>
      </x:c>
      <x:c r="AH1330" s="604" t="n"/>
      <x:c r="AI1330" s="604" t="n"/>
      <x:c r="AJ1330" s="604" t="n">
        <x:v>0.1550535412255255</x:v>
      </x:c>
      <x:c r="AK1330" s="604" t="n"/>
      <x:c r="AL1330" s="604" t="n"/>
      <x:c r="AM1330" s="604" t="n"/>
      <x:c r="AN1330" s="604" t="inlineStr">
        <x:is>
          <x:t xml:space="preserve">EVALUATED</x:t>
        </x:is>
      </x:c>
      <x:c r="AO1330" s="604" t="inlineStr">
        <x:is>
          <x:t xml:space="preserve">GIVING_VALIDATED_EDGE;BUCKET_PRIOR_ONLY;INTENT_INTERPRETATION_ONLY;FFL_OPTIONAL;EXPERT_MARKET</x:t>
        </x:is>
      </x:c>
      <x:c r="AP1330" s="604" t="inlineStr">
        <x:is>
          <x:t xml:space="preserve">db4b152848d5aa361e8a</x:t>
        </x:is>
      </x:c>
      <x:c r="AQ1330" s="604" t="n">
        <x:v>-0.5</x:v>
      </x:c>
      <x:c r="AR1330" s="604" t="n">
        <x:v>0.84</x:v>
      </x:c>
      <x:c r="AS1330" s="604" t="n">
        <x:v>0.5</x:v>
      </x:c>
      <x:c r="AT1330" s="604" t="n">
        <x:v>-0.5</x:v>
      </x:c>
      <x:c r="AU1330" s="604" t="n">
        <x:v>0.84</x:v>
      </x:c>
      <x:c r="AV1330" s="604" t="n">
        <x:v>0.86</x:v>
      </x:c>
      <x:c r="AW1330" s="604" t="inlineStr">
        <x:is>
          <x:t xml:space="preserve">2026-10-08T07:44:59.408325+08:00</x:t>
        </x:is>
      </x:c>
      <x:c r="AX1330" s="604" t="inlineStr">
        <x:is>
          <x:t xml:space="preserve">Titan007/V4</x:t>
        </x:is>
      </x:c>
      <x:c r="AY1330" s="604" t="inlineStr">
        <x:is>
          <x:t xml:space="preserve">Daily append；市场输入缺失时不生成决策</x:t>
        </x:is>
      </x:c>
    </x:row>
    <x:row r="1331" ht="22" customHeight="1">
      <x:c r="A1331" s="604" t="inlineStr">
        <x:is>
          <x:t xml:space="preserve">2026-10-08</x:t>
        </x:is>
      </x:c>
      <x:c r="B1331" s="604" t="inlineStr">
        <x:is>
          <x:t xml:space="preserve">2026-10-09T01:30:00+08:00</x:t>
        </x:is>
      </x:c>
      <x:c r="C1331" s="604" t="str">
        <x:v>西亚/中亚系列</x:v>
      </x:c>
      <x:c r="D1331" s="604" t="inlineStr">
        <x:is>
          <x:t xml:space="preserve"/>
        </x:is>
      </x:c>
      <x:c r="E1331" s="604" t="inlineStr">
        <x:is>
          <x:t xml:space="preserve">伊拉联</x:t>
        </x:is>
      </x:c>
      <x:c r="F1331" s="604" t="inlineStr">
        <x:is>
          <x:t xml:space="preserve">塔拉巴 vs 巴格达警察</x:t>
        </x:is>
      </x:c>
      <x:c r="G1331" s="604" t="n">
        <x:v>1.03</x:v>
      </x:c>
      <x:c r="H1331" s="604" t="n">
        <x:v>-0.25</x:v>
      </x:c>
      <x:c r="I1331" s="604" t="n">
        <x:v>0.78</x:v>
      </x:c>
      <x:c r="J1331" s="604" t="inlineStr">
        <x:is>
          <x:t xml:space="preserve">1.03/-0.25/0.78</x:t>
        </x:is>
      </x:c>
      <x:c r="K1331" s="604" t="inlineStr">
        <x:is>
          <x:t xml:space="preserve">V4-B</x:t>
        </x:is>
      </x:c>
      <x:c r="L1331" s="604" t="inlineStr">
        <x:is>
          <x:t xml:space="preserve">塔拉巴</x:t>
        </x:is>
      </x:c>
      <x:c r="M1331" s="604" t="n">
        <x:v>0.2427120597752949</x:v>
      </x:c>
      <x:c r="N1331" s="604" t="inlineStr">
        <x:is>
          <x:t xml:space="preserve">V4 Shadow Only；real_money=false</x:t>
        </x:is>
      </x:c>
      <x:c r="O1331" s="604" t="inlineStr">
        <x:is>
          <x:t xml:space="preserve">0-0</x:t>
        </x:is>
      </x:c>
      <x:c r="P1331" s="604" t="inlineStr">
        <x:is>
          <x:t xml:space="preserve">已结算</x:t>
        </x:is>
      </x:c>
      <x:c r="Q1331" s="646" t="inlineStr">
        <x:is>
          <x:t xml:space="preserve">半红</x:t>
        </x:is>
      </x:c>
      <x:c r="R1331" s="604" t="n">
        <x:v>1.03</x:v>
      </x:c>
      <x:c r="S1331" s="604" t="n">
        <x:v>0.515</x:v>
      </x:c>
      <x:c r="T1331" s="604" t="inlineStr">
        <x:is>
          <x:t xml:space="preserve">D:\codex\v3_legacy\outputs\football_odds_trader\raw\titan007\20261008\20261008_074021_titan007_odds_snapshot.csv</x:t>
        </x:is>
      </x:c>
      <x:c r="U1331" s="645" t="inlineStr">
        <x:is>
          <x:t xml:space="preserve"/>
        </x:is>
      </x:c>
      <x:c r="V1331" s="604" t="inlineStr">
        <x:is>
          <x:t xml:space="preserve"/>
        </x:is>
      </x:c>
      <x:c r="W1331" s="604" t="inlineStr">
        <x:is>
          <x:t xml:space="preserve"/>
        </x:is>
      </x:c>
      <x:c r="X1331" s="604" t="inlineStr">
        <x:is>
          <x:t xml:space="preserve">3071923</x:t>
        </x:is>
      </x:c>
      <x:c r="Y1331" s="604" t="inlineStr">
        <x:is>
          <x:t xml:space="preserve">V4</x:t>
        </x:is>
      </x:c>
      <x:c r="Z1331" s="604" t="inlineStr">
        <x:is>
          <x:t xml:space="preserve">prior-2026-10-08-v1</x:t>
        </x:is>
      </x:c>
      <x:c r="AA1331" s="604" t="inlineStr">
        <x:is>
          <x:t xml:space="preserve">B</x:t>
        </x:is>
      </x:c>
      <x:c r="AB1331" s="604" t="n">
        <x:v>0.2427120597752949</x:v>
      </x:c>
      <x:c r="AC1331" s="604" t="n">
        <x:v>0.6308666649038913</x:v>
      </x:c>
      <x:c r="AD1331" s="604" t="n">
        <x:v>-0.5</x:v>
      </x:c>
      <x:c r="AE1331" s="604" t="n"/>
      <x:c r="AF1331" s="604" t="n"/>
      <x:c r="AG1331" s="604" t="n">
        <x:v>0.4070806050757132</x:v>
      </x:c>
      <x:c r="AH1331" s="604" t="n"/>
      <x:c r="AI1331" s="604" t="n"/>
      <x:c r="AJ1331" s="604" t="n">
        <x:v>0.4070806050757132</x:v>
      </x:c>
      <x:c r="AK1331" s="604" t="n"/>
      <x:c r="AL1331" s="604" t="n"/>
      <x:c r="AM1331" s="604" t="n"/>
      <x:c r="AN1331" s="604" t="inlineStr">
        <x:is>
          <x:t xml:space="preserve">EVALUATED</x:t>
        </x:is>
      </x:c>
      <x:c r="AO1331" s="604" t="inlineStr">
        <x:is>
          <x:t xml:space="preserve">RECEIVING_VALIDATED_EDGE;BUCKET_PRIOR_ONLY;INTENT_INTERPRETATION_ONLY;FFL_OPTIONAL;EXPERT_MARKET</x:t>
        </x:is>
      </x:c>
      <x:c r="AP1331" s="604" t="inlineStr">
        <x:is>
          <x:t xml:space="preserve">cb60a5a065dbe46693ab</x:t>
        </x:is>
      </x:c>
      <x:c r="AQ1331" s="604" t="n">
        <x:v>0.25</x:v>
      </x:c>
      <x:c r="AR1331" s="604" t="n">
        <x:v>1.03</x:v>
      </x:c>
      <x:c r="AS1331" s="604" t="n">
        <x:v>-0.25</x:v>
      </x:c>
      <x:c r="AT1331" s="604" t="n">
        <x:v>0.25</x:v>
      </x:c>
      <x:c r="AU1331" s="604" t="n">
        <x:v>1.03</x:v>
      </x:c>
      <x:c r="AV1331" s="604" t="n">
        <x:v>0.78</x:v>
      </x:c>
      <x:c r="AW1331" s="604" t="inlineStr">
        <x:is>
          <x:t xml:space="preserve">2026-10-08T07:44:59.408325+08:00</x:t>
        </x:is>
      </x:c>
      <x:c r="AX1331" s="604" t="inlineStr">
        <x:is>
          <x:t xml:space="preserve">Titan007/V4</x:t>
        </x:is>
      </x:c>
      <x:c r="AY1331" s="604" t="inlineStr">
        <x:is>
          <x:t xml:space="preserve">Daily append；市场输入缺失时不生成决策</x:t>
        </x:is>
      </x:c>
    </x:row>
    <x:row r="1332" ht="22" customHeight="1">
      <x:c r="A1332" s="604" t="inlineStr">
        <x:is>
          <x:t xml:space="preserve">2026-10-08</x:t>
        </x:is>
      </x:c>
      <x:c r="B1332" s="604" t="inlineStr">
        <x:is>
          <x:t xml:space="preserve">2026-10-08T23:00:00+08:00</x:t>
        </x:is>
      </x:c>
      <x:c r="C1332" s="604" t="str">
        <x:v>西亚/中亚系列</x:v>
      </x:c>
      <x:c r="D1332" s="604" t="inlineStr">
        <x:is>
          <x:t xml:space="preserve"/>
        </x:is>
      </x:c>
      <x:c r="E1332" s="604" t="inlineStr">
        <x:is>
          <x:t xml:space="preserve">伊拉联</x:t>
        </x:is>
      </x:c>
      <x:c r="F1332" s="604" t="inlineStr">
        <x:is>
          <x:t xml:space="preserve">杜赫克 vs 扎瓦拉</x:t>
        </x:is>
      </x:c>
      <x:c r="G1332" s="604" t="n">
        <x:v>0.98</x:v>
      </x:c>
      <x:c r="H1332" s="604" t="n">
        <x:v>-0.25</x:v>
      </x:c>
      <x:c r="I1332" s="604" t="n">
        <x:v>0.83</x:v>
      </x:c>
      <x:c r="J1332" s="604" t="inlineStr">
        <x:is>
          <x:t xml:space="preserve">0.98/-0.25/0.83</x:t>
        </x:is>
      </x:c>
      <x:c r="K1332" s="604" t="inlineStr">
        <x:is>
          <x:t xml:space="preserve">V4-B</x:t>
        </x:is>
      </x:c>
      <x:c r="L1332" s="604" t="inlineStr">
        <x:is>
          <x:t xml:space="preserve">杜赫克</x:t>
        </x:is>
      </x:c>
      <x:c r="M1332" s="604" t="n">
        <x:v>0.2778739452876121</x:v>
      </x:c>
      <x:c r="N1332" s="604" t="inlineStr">
        <x:is>
          <x:t xml:space="preserve">V4 Shadow Only；real_money=false</x:t>
        </x:is>
      </x:c>
      <x:c r="O1332" s="604" t="inlineStr">
        <x:is>
          <x:t xml:space="preserve">3-0</x:t>
        </x:is>
      </x:c>
      <x:c r="P1332" s="604" t="inlineStr">
        <x:is>
          <x:t xml:space="preserve">已结算</x:t>
        </x:is>
      </x:c>
      <x:c r="Q1332" s="646" t="inlineStr">
        <x:is>
          <x:t xml:space="preserve">红</x:t>
        </x:is>
      </x:c>
      <x:c r="R1332" s="604" t="n">
        <x:v>0.98</x:v>
      </x:c>
      <x:c r="S1332" s="604" t="n">
        <x:v>0.98</x:v>
      </x:c>
      <x:c r="T1332" s="604" t="inlineStr">
        <x:is>
          <x:t xml:space="preserve">D:\codex\v3_legacy\outputs\football_odds_trader\raw\titan007\20261008\20261008_074021_titan007_odds_snapshot.csv</x:t>
        </x:is>
      </x:c>
      <x:c r="U1332" s="645" t="inlineStr">
        <x:is>
          <x:t xml:space="preserve"/>
        </x:is>
      </x:c>
      <x:c r="V1332" s="604" t="inlineStr">
        <x:is>
          <x:t xml:space="preserve"/>
        </x:is>
      </x:c>
      <x:c r="W1332" s="604" t="inlineStr">
        <x:is>
          <x:t xml:space="preserve"/>
        </x:is>
      </x:c>
      <x:c r="X1332" s="604" t="inlineStr">
        <x:is>
          <x:t xml:space="preserve">3071924</x:t>
        </x:is>
      </x:c>
      <x:c r="Y1332" s="604" t="inlineStr">
        <x:is>
          <x:t xml:space="preserve">V4</x:t>
        </x:is>
      </x:c>
      <x:c r="Z1332" s="604" t="inlineStr">
        <x:is>
          <x:t xml:space="preserve">prior-2026-10-08-v1</x:t>
        </x:is>
      </x:c>
      <x:c r="AA1332" s="604" t="inlineStr">
        <x:is>
          <x:t xml:space="preserve">B</x:t>
        </x:is>
      </x:c>
      <x:c r="AB1332" s="604" t="n">
        <x:v>0.2778739452876121</x:v>
      </x:c>
      <x:c r="AC1332" s="604" t="n">
        <x:v>0.5924806712793991</x:v>
      </x:c>
      <x:c r="AD1332" s="604" t="n">
        <x:v>-0.5</x:v>
      </x:c>
      <x:c r="AE1332" s="604" t="n"/>
      <x:c r="AF1332" s="604" t="n"/>
      <x:c r="AG1332" s="604" t="n">
        <x:v>0.302757112566199</x:v>
      </x:c>
      <x:c r="AH1332" s="604" t="n"/>
      <x:c r="AI1332" s="604" t="n"/>
      <x:c r="AJ1332" s="604" t="n">
        <x:v>0.302757112566199</x:v>
      </x:c>
      <x:c r="AK1332" s="604" t="n"/>
      <x:c r="AL1332" s="604" t="n"/>
      <x:c r="AM1332" s="604" t="n"/>
      <x:c r="AN1332" s="604" t="inlineStr">
        <x:is>
          <x:t xml:space="preserve">EVALUATED</x:t>
        </x:is>
      </x:c>
      <x:c r="AO1332" s="604" t="inlineStr">
        <x:is>
          <x:t xml:space="preserve">RECEIVING_VALIDATED_EDGE;BUCKET_PRIOR_ONLY;INTENT_INTERPRETATION_ONLY;FFL_OPTIONAL;EXPERT_MARKET</x:t>
        </x:is>
      </x:c>
      <x:c r="AP1332" s="604" t="inlineStr">
        <x:is>
          <x:t xml:space="preserve">ac348c5d6923d53ed310</x:t>
        </x:is>
      </x:c>
      <x:c r="AQ1332" s="604" t="n">
        <x:v>0.25</x:v>
      </x:c>
      <x:c r="AR1332" s="604" t="n">
        <x:v>0.98</x:v>
      </x:c>
      <x:c r="AS1332" s="604" t="n">
        <x:v>-0.25</x:v>
      </x:c>
      <x:c r="AT1332" s="604" t="n">
        <x:v>0.25</x:v>
      </x:c>
      <x:c r="AU1332" s="604" t="n">
        <x:v>0.98</x:v>
      </x:c>
      <x:c r="AV1332" s="604" t="n">
        <x:v>0.83</x:v>
      </x:c>
      <x:c r="AW1332" s="604" t="inlineStr">
        <x:is>
          <x:t xml:space="preserve">2026-10-08T07:44:59.408325+08:00</x:t>
        </x:is>
      </x:c>
      <x:c r="AX1332" s="604" t="inlineStr">
        <x:is>
          <x:t xml:space="preserve">Titan007/V4</x:t>
        </x:is>
      </x:c>
      <x:c r="AY1332" s="604" t="inlineStr">
        <x:is>
          <x:t xml:space="preserve">Daily append；市场输入缺失时不生成决策</x:t>
        </x:is>
      </x:c>
    </x:row>
    <x:row r="1333" ht="22" customHeight="1">
      <x:c r="A1333" s="604" t="inlineStr">
        <x:is>
          <x:t xml:space="preserve">2026-10-08</x:t>
        </x:is>
      </x:c>
      <x:c r="B1333" s="604" t="inlineStr">
        <x:is>
          <x:t xml:space="preserve">2026-10-08T23:45:00+08:00</x:t>
        </x:is>
      </x:c>
      <x:c r="C1333" s="604" t="str">
        <x:v>西亚/中亚系列</x:v>
      </x:c>
      <x:c r="D1333" s="604" t="inlineStr">
        <x:is>
          <x:t xml:space="preserve"/>
        </x:is>
      </x:c>
      <x:c r="E1333" s="604" t="inlineStr">
        <x:is>
          <x:t xml:space="preserve">伊拉联</x:t>
        </x:is>
      </x:c>
      <x:c r="F1333" s="604" t="inlineStr">
        <x:is>
          <x:t xml:space="preserve">纳夫特米桑 vs 阿比尔</x:t>
        </x:is>
      </x:c>
      <x:c r="G1333" s="604" t="n">
        <x:v>0.88</x:v>
      </x:c>
      <x:c r="H1333" s="604" t="n">
        <x:v>-0.5</x:v>
      </x:c>
      <x:c r="I1333" s="604" t="n">
        <x:v>0.93</x:v>
      </x:c>
      <x:c r="J1333" s="604" t="inlineStr">
        <x:is>
          <x:t xml:space="preserve">0.88/-0.5/0.93</x:t>
        </x:is>
      </x:c>
      <x:c r="K1333" s="604" t="inlineStr">
        <x:is>
          <x:t xml:space="preserve">V4-B</x:t>
        </x:is>
      </x:c>
      <x:c r="L1333" s="604" t="inlineStr">
        <x:is>
          <x:t xml:space="preserve">纳夫特米桑</x:t>
        </x:is>
      </x:c>
      <x:c r="M1333" s="604" t="n">
        <x:v>0.2062265810749986</x:v>
      </x:c>
      <x:c r="N1333" s="604" t="inlineStr">
        <x:is>
          <x:t xml:space="preserve">V4 Shadow Only；real_money=false</x:t>
        </x:is>
      </x:c>
      <x:c r="O1333" s="604" t="inlineStr">
        <x:is>
          <x:t xml:space="preserve">1-1</x:t>
        </x:is>
      </x:c>
      <x:c r="P1333" s="604" t="inlineStr">
        <x:is>
          <x:t xml:space="preserve">已结算</x:t>
        </x:is>
      </x:c>
      <x:c r="Q1333" s="646" t="inlineStr">
        <x:is>
          <x:t xml:space="preserve">红</x:t>
        </x:is>
      </x:c>
      <x:c r="R1333" s="604" t="n">
        <x:v>0.88</x:v>
      </x:c>
      <x:c r="S1333" s="604" t="n">
        <x:v>0.88</x:v>
      </x:c>
      <x:c r="T1333" s="604" t="inlineStr">
        <x:is>
          <x:t xml:space="preserve">D:\codex\v3_legacy\outputs\football_odds_trader\raw\titan007\20261008\20261008_074021_titan007_odds_snapshot.csv</x:t>
        </x:is>
      </x:c>
      <x:c r="U1333" s="645" t="inlineStr">
        <x:is>
          <x:t xml:space="preserve"/>
        </x:is>
      </x:c>
      <x:c r="V1333" s="604" t="inlineStr">
        <x:is>
          <x:t xml:space="preserve"/>
        </x:is>
      </x:c>
      <x:c r="W1333" s="604" t="inlineStr">
        <x:is>
          <x:t xml:space="preserve"/>
        </x:is>
      </x:c>
      <x:c r="X1333" s="604" t="inlineStr">
        <x:is>
          <x:t xml:space="preserve">3071926</x:t>
        </x:is>
      </x:c>
      <x:c r="Y1333" s="604" t="inlineStr">
        <x:is>
          <x:t xml:space="preserve">V4</x:t>
        </x:is>
      </x:c>
      <x:c r="Z1333" s="604" t="inlineStr">
        <x:is>
          <x:t xml:space="preserve">prior-2026-10-08-v1</x:t>
        </x:is>
      </x:c>
      <x:c r="AA1333" s="604" t="inlineStr">
        <x:is>
          <x:t xml:space="preserve">B</x:t>
        </x:is>
      </x:c>
      <x:c r="AB1333" s="604" t="n">
        <x:v>0.2062265810749986</x:v>
      </x:c>
      <x:c r="AC1333" s="604" t="n">
        <x:v>0.7937734189250014</x:v>
      </x:c>
      <x:c r="AD1333" s="604" t="n">
        <x:v>-0.75</x:v>
      </x:c>
      <x:c r="AE1333" s="604" t="n"/>
      <x:c r="AF1333" s="604" t="n"/>
      <x:c r="AG1333" s="604" t="n">
        <x:v>0.4922940275790026</x:v>
      </x:c>
      <x:c r="AH1333" s="604" t="n"/>
      <x:c r="AI1333" s="604" t="n"/>
      <x:c r="AJ1333" s="604" t="n">
        <x:v>0.4922940275790026</x:v>
      </x:c>
      <x:c r="AK1333" s="604" t="n"/>
      <x:c r="AL1333" s="604" t="n"/>
      <x:c r="AM1333" s="604" t="n"/>
      <x:c r="AN1333" s="604" t="inlineStr">
        <x:is>
          <x:t xml:space="preserve">EVALUATED</x:t>
        </x:is>
      </x:c>
      <x:c r="AO1333" s="604" t="inlineStr">
        <x:is>
          <x:t xml:space="preserve">RECEIVING_VALIDATED_EDGE;BUCKET_PRIOR_ONLY;INTENT_INTERPRETATION_ONLY;FFL_OPTIONAL;EXPERT_MARKET</x:t>
        </x:is>
      </x:c>
      <x:c r="AP1333" s="604" t="inlineStr">
        <x:is>
          <x:t xml:space="preserve">9b1bf59d5ddc8beeb9df</x:t>
        </x:is>
      </x:c>
      <x:c r="AQ1333" s="604" t="n">
        <x:v>0.5</x:v>
      </x:c>
      <x:c r="AR1333" s="604" t="n">
        <x:v>0.88</x:v>
      </x:c>
      <x:c r="AS1333" s="604" t="n">
        <x:v>-0.5</x:v>
      </x:c>
      <x:c r="AT1333" s="604" t="n">
        <x:v>0.5</x:v>
      </x:c>
      <x:c r="AU1333" s="604" t="n">
        <x:v>0.88</x:v>
      </x:c>
      <x:c r="AV1333" s="604" t="n">
        <x:v>0.93</x:v>
      </x:c>
      <x:c r="AW1333" s="604" t="inlineStr">
        <x:is>
          <x:t xml:space="preserve">2026-10-08T07:44:59.408325+08:00</x:t>
        </x:is>
      </x:c>
      <x:c r="AX1333" s="604" t="inlineStr">
        <x:is>
          <x:t xml:space="preserve">Titan007/V4</x:t>
        </x:is>
      </x:c>
      <x:c r="AY1333" s="604" t="inlineStr">
        <x:is>
          <x:t xml:space="preserve">Daily append；市场输入缺失时不生成决策</x:t>
        </x:is>
      </x:c>
    </x:row>
    <x:row r="1334" ht="22" customHeight="1">
      <x:c r="A1334" s="604" t="inlineStr">
        <x:is>
          <x:t xml:space="preserve">2026-10-08</x:t>
        </x:is>
      </x:c>
      <x:c r="B1334" s="604" t="inlineStr">
        <x:is>
          <x:t xml:space="preserve">2026-10-08T21:00:00+08:00</x:t>
        </x:is>
      </x:c>
      <x:c r="C1334" s="604" t="str">
        <x:v>其他系列</x:v>
      </x:c>
      <x:c r="D1334" s="604" t="inlineStr">
        <x:is>
          <x:t xml:space="preserve"/>
        </x:is>
      </x:c>
      <x:c r="E1334" s="604" t="inlineStr">
        <x:is>
          <x:t xml:space="preserve">乌干超</x:t>
        </x:is>
      </x:c>
      <x:c r="F1334" s="604" t="inlineStr">
        <x:is>
          <x:t xml:space="preserve">布莱克电力 vs 毒蛇</x:t>
        </x:is>
      </x:c>
      <x:c r="G1334" s="604" t="n">
        <x:v>0.93</x:v>
      </x:c>
      <x:c r="H1334" s="604" t="n">
        <x:v>-1</x:v>
      </x:c>
      <x:c r="I1334" s="604" t="n">
        <x:v>0.88</x:v>
      </x:c>
      <x:c r="J1334" s="604" t="inlineStr">
        <x:is>
          <x:t xml:space="preserve">0.93/-1.0/0.88</x:t>
        </x:is>
      </x:c>
      <x:c r="K1334" s="604" t="inlineStr">
        <x:is>
          <x:t xml:space="preserve">V4-A</x:t>
        </x:is>
      </x:c>
      <x:c r="L1334" s="604" t="inlineStr">
        <x:is>
          <x:t xml:space="preserve">布莱克电力</x:t>
        </x:is>
      </x:c>
      <x:c r="M1334" s="604" t="n">
        <x:v>0.009179548217935969</x:v>
      </x:c>
      <x:c r="N1334" s="604" t="inlineStr">
        <x:is>
          <x:t xml:space="preserve">V4 Shadow Only；real_money=false</x:t>
        </x:is>
      </x:c>
      <x:c r="O1334" s="604" t="inlineStr">
        <x:is>
          <x:t xml:space="preserve">0-4</x:t>
        </x:is>
      </x:c>
      <x:c r="P1334" s="604" t="inlineStr">
        <x:is>
          <x:t xml:space="preserve">已结算</x:t>
        </x:is>
      </x:c>
      <x:c r="Q1334" s="646" t="inlineStr">
        <x:is>
          <x:t xml:space="preserve">黑</x:t>
        </x:is>
      </x:c>
      <x:c r="R1334" s="604" t="n">
        <x:v>0.93</x:v>
      </x:c>
      <x:c r="S1334" s="604" t="n">
        <x:v>-1</x:v>
      </x:c>
      <x:c r="T1334" s="604" t="inlineStr">
        <x:is>
          <x:t xml:space="preserve">D:\codex\v3_legacy\outputs\football_odds_trader\raw\titan007\20261008\20261008_074021_titan007_odds_snapshot.csv</x:t>
        </x:is>
      </x:c>
      <x:c r="U1334" s="645" t="inlineStr">
        <x:is>
          <x:t xml:space="preserve"/>
        </x:is>
      </x:c>
      <x:c r="V1334" s="604" t="inlineStr">
        <x:is>
          <x:t xml:space="preserve"/>
        </x:is>
      </x:c>
      <x:c r="W1334" s="604" t="inlineStr">
        <x:is>
          <x:t xml:space="preserve"/>
        </x:is>
      </x:c>
      <x:c r="X1334" s="604" t="inlineStr">
        <x:is>
          <x:t xml:space="preserve">3074488</x:t>
        </x:is>
      </x:c>
      <x:c r="Y1334" s="604" t="inlineStr">
        <x:is>
          <x:t xml:space="preserve">V4</x:t>
        </x:is>
      </x:c>
      <x:c r="Z1334" s="604" t="inlineStr">
        <x:is>
          <x:t xml:space="preserve">prior-2026-10-08-v1</x:t>
        </x:is>
      </x:c>
      <x:c r="AA1334" s="604" t="inlineStr">
        <x:is>
          <x:t xml:space="preserve">A</x:t>
        </x:is>
      </x:c>
      <x:c r="AB1334" s="604" t="n">
        <x:v>0.009179548217935969</x:v>
      </x:c>
      <x:c r="AC1334" s="604" t="n">
        <x:v>0.9456457251911793</x:v>
      </x:c>
      <x:c r="AD1334" s="604" t="n">
        <x:v>-1.75</x:v>
      </x:c>
      <x:c r="AE1334" s="604" t="n"/>
      <x:c r="AF1334" s="604" t="n"/>
      <x:c r="AG1334" s="604" t="n">
        <x:v>0.8702709762098608</x:v>
      </x:c>
      <x:c r="AH1334" s="604" t="n"/>
      <x:c r="AI1334" s="604" t="n"/>
      <x:c r="AJ1334" s="604" t="n">
        <x:v>0.8702709762098608</x:v>
      </x:c>
      <x:c r="AK1334" s="604" t="n"/>
      <x:c r="AL1334" s="604" t="n"/>
      <x:c r="AM1334" s="604" t="n"/>
      <x:c r="AN1334" s="604" t="inlineStr">
        <x:is>
          <x:t xml:space="preserve">FROZEN_PREMATCH_DECISION</x:t>
        </x:is>
      </x:c>
      <x:c r="AO1334" s="604" t="inlineStr">
        <x:is>
          <x:t xml:space="preserve">STARTED_DECISION_LOCKED</x:t>
        </x:is>
      </x:c>
      <x:c r="AP1334" s="604" t="inlineStr">
        <x:is>
          <x:t xml:space="preserve">0291d4730343e4d07d45</x:t>
        </x:is>
      </x:c>
      <x:c r="AQ1334" s="604" t="n">
        <x:v>1</x:v>
      </x:c>
      <x:c r="AR1334" s="604" t="n">
        <x:v>0.93</x:v>
      </x:c>
      <x:c r="AS1334" s="604" t="n">
        <x:v>-1</x:v>
      </x:c>
      <x:c r="AT1334" s="604" t="n">
        <x:v>1</x:v>
      </x:c>
      <x:c r="AU1334" s="604" t="n">
        <x:v>0.93</x:v>
      </x:c>
      <x:c r="AV1334" s="604" t="n">
        <x:v>0.88</x:v>
      </x:c>
      <x:c r="AW1334" s="604" t="inlineStr">
        <x:is>
          <x:t xml:space="preserve">2026-10-08T07:44:59.408325+08:00</x:t>
        </x:is>
      </x:c>
      <x:c r="AX1334" s="604" t="inlineStr">
        <x:is>
          <x:t xml:space="preserve">Titan007/V4</x:t>
        </x:is>
      </x:c>
      <x:c r="AY1334" s="604" t="inlineStr">
        <x:is>
          <x:t xml:space="preserve">Daily append；市场输入缺失时不生成决策</x:t>
        </x:is>
      </x:c>
    </x:row>
    <x:row r="1335" ht="22" customHeight="1">
      <x:c r="A1335" s="604" t="inlineStr">
        <x:is>
          <x:t xml:space="preserve">2026-10-08</x:t>
        </x:is>
      </x:c>
      <x:c r="B1335" s="604" t="inlineStr">
        <x:is>
          <x:t xml:space="preserve">2026-10-08T21:00:00+08:00</x:t>
        </x:is>
      </x:c>
      <x:c r="C1335" s="604" t="str">
        <x:v>其他系列</x:v>
      </x:c>
      <x:c r="D1335" s="604" t="inlineStr">
        <x:is>
          <x:t xml:space="preserve"/>
        </x:is>
      </x:c>
      <x:c r="E1335" s="604" t="inlineStr">
        <x:is>
          <x:t xml:space="preserve">乌干超</x:t>
        </x:is>
      </x:c>
      <x:c r="F1335" s="604" t="inlineStr">
        <x:is>
          <x:t xml:space="preserve">人民国防军 vs 布尔比德科</x:t>
        </x:is>
      </x:c>
      <x:c r="G1335" s="604" t="n">
        <x:v>0.88</x:v>
      </x:c>
      <x:c r="H1335" s="604" t="n">
        <x:v>-0.5</x:v>
      </x:c>
      <x:c r="I1335" s="604" t="n">
        <x:v>0.93</x:v>
      </x:c>
      <x:c r="J1335" s="604" t="inlineStr">
        <x:is>
          <x:t xml:space="preserve">0.88/-0.5/0.93</x:t>
        </x:is>
      </x:c>
      <x:c r="K1335" s="604" t="inlineStr">
        <x:is>
          <x:t xml:space="preserve">V4-A</x:t>
        </x:is>
      </x:c>
      <x:c r="L1335" s="604" t="inlineStr">
        <x:is>
          <x:t xml:space="preserve">人民国防军</x:t>
        </x:is>
      </x:c>
      <x:c r="M1335" s="604" t="n">
        <x:v>0.183523267140563</x:v>
      </x:c>
      <x:c r="N1335" s="604" t="inlineStr">
        <x:is>
          <x:t xml:space="preserve">V4 Shadow Only；real_money=false</x:t>
        </x:is>
      </x:c>
      <x:c r="O1335" s="604" t="inlineStr">
        <x:is>
          <x:t xml:space="preserve">0-0</x:t>
        </x:is>
      </x:c>
      <x:c r="P1335" s="604" t="inlineStr">
        <x:is>
          <x:t xml:space="preserve">FROZEN_PREMATCH_DECISION</x:t>
        </x:is>
      </x:c>
      <x:c r="Q1335" s="646" t="inlineStr">
        <x:is>
          <x:t xml:space="preserve"/>
        </x:is>
      </x:c>
      <x:c r="R1335" s="604" t="n">
        <x:v>0.88</x:v>
      </x:c>
      <x:c r="S1335" s="604" t="n"/>
      <x:c r="T1335" s="604" t="inlineStr">
        <x:is>
          <x:t xml:space="preserve">D:\codex\v3_legacy\outputs\football_odds_trader\raw\titan007\20261008\20261008_074021_titan007_odds_snapshot.csv</x:t>
        </x:is>
      </x:c>
      <x:c r="U1335" s="645" t="inlineStr">
        <x:is>
          <x:t xml:space="preserve"/>
        </x:is>
      </x:c>
      <x:c r="V1335" s="604" t="inlineStr">
        <x:is>
          <x:t xml:space="preserve"/>
        </x:is>
      </x:c>
      <x:c r="W1335" s="604" t="inlineStr">
        <x:is>
          <x:t xml:space="preserve"/>
        </x:is>
      </x:c>
      <x:c r="X1335" s="604" t="inlineStr">
        <x:is>
          <x:t xml:space="preserve">3074490</x:t>
        </x:is>
      </x:c>
      <x:c r="Y1335" s="604" t="inlineStr">
        <x:is>
          <x:t xml:space="preserve">V4</x:t>
        </x:is>
      </x:c>
      <x:c r="Z1335" s="604" t="inlineStr">
        <x:is>
          <x:t xml:space="preserve">prior-2026-10-08-v1</x:t>
        </x:is>
      </x:c>
      <x:c r="AA1335" s="604" t="inlineStr">
        <x:is>
          <x:t xml:space="preserve">A</x:t>
        </x:is>
      </x:c>
      <x:c r="AB1335" s="604" t="n">
        <x:v>0.183523267140563</x:v>
      </x:c>
      <x:c r="AC1335" s="604" t="n">
        <x:v>0.8164767328594371</x:v>
      </x:c>
      <x:c r="AD1335" s="604" t="n">
        <x:v>-0.75</x:v>
      </x:c>
      <x:c r="AE1335" s="604" t="n"/>
      <x:c r="AF1335" s="604" t="n"/>
      <x:c r="AG1335" s="604" t="n">
        <x:v>0.5349762577757416</x:v>
      </x:c>
      <x:c r="AH1335" s="604" t="n"/>
      <x:c r="AI1335" s="604" t="n"/>
      <x:c r="AJ1335" s="604" t="n">
        <x:v>0.5349762577757416</x:v>
      </x:c>
      <x:c r="AK1335" s="604" t="n"/>
      <x:c r="AL1335" s="604" t="n"/>
      <x:c r="AM1335" s="604" t="n"/>
      <x:c r="AN1335" s="604" t="inlineStr">
        <x:is>
          <x:t xml:space="preserve">FROZEN_PREMATCH_DECISION</x:t>
        </x:is>
      </x:c>
      <x:c r="AO1335" s="604" t="inlineStr">
        <x:is>
          <x:t xml:space="preserve">STARTED_DECISION_LOCKED</x:t>
        </x:is>
      </x:c>
      <x:c r="AP1335" s="604" t="inlineStr">
        <x:is>
          <x:t xml:space="preserve">0d73f3a2d89c6f0b7776</x:t>
        </x:is>
      </x:c>
      <x:c r="AQ1335" s="604" t="n">
        <x:v>0.5</x:v>
      </x:c>
      <x:c r="AR1335" s="604" t="n">
        <x:v>0.88</x:v>
      </x:c>
      <x:c r="AS1335" s="604" t="n">
        <x:v>-0.5</x:v>
      </x:c>
      <x:c r="AT1335" s="604" t="n">
        <x:v>0.5</x:v>
      </x:c>
      <x:c r="AU1335" s="604" t="n">
        <x:v>0.88</x:v>
      </x:c>
      <x:c r="AV1335" s="604" t="n">
        <x:v>0.93</x:v>
      </x:c>
      <x:c r="AW1335" s="604" t="inlineStr">
        <x:is>
          <x:t xml:space="preserve">2026-10-08T07:44:59.408325+08:00</x:t>
        </x:is>
      </x:c>
      <x:c r="AX1335" s="604" t="inlineStr">
        <x:is>
          <x:t xml:space="preserve">Titan007/V4</x:t>
        </x:is>
      </x:c>
      <x:c r="AY1335" s="604" t="inlineStr">
        <x:is>
          <x:t xml:space="preserve">Daily append；市场输入缺失时不生成决策</x:t>
        </x:is>
      </x:c>
    </x:row>
    <x:row r="1336" ht="22" customHeight="1">
      <x:c r="A1336" s="604" t="inlineStr">
        <x:is>
          <x:t xml:space="preserve">2026-10-08</x:t>
        </x:is>
      </x:c>
      <x:c r="B1336" s="604" t="inlineStr">
        <x:is>
          <x:t xml:space="preserve">2026-10-08T21:00:00+08:00</x:t>
        </x:is>
      </x:c>
      <x:c r="C1336" s="604" t="str">
        <x:v>其他系列</x:v>
      </x:c>
      <x:c r="D1336" s="604" t="inlineStr">
        <x:is>
          <x:t xml:space="preserve"/>
        </x:is>
      </x:c>
      <x:c r="E1336" s="604" t="inlineStr">
        <x:is>
          <x:t xml:space="preserve">乌干超</x:t>
        </x:is>
      </x:c>
      <x:c r="F1336" s="604" t="inlineStr">
        <x:is>
          <x:t xml:space="preserve">布戈洛比 vs 艾斯帕勒斯</x:t>
        </x:is>
      </x:c>
      <x:c r="G1336" s="604" t="n">
        <x:v>0.88</x:v>
      </x:c>
      <x:c r="H1336" s="604" t="n">
        <x:v>1.25</x:v>
      </x:c>
      <x:c r="I1336" s="604" t="n">
        <x:v>0.93</x:v>
      </x:c>
      <x:c r="J1336" s="604" t="inlineStr">
        <x:is>
          <x:t xml:space="preserve">0.88/1.25/0.93</x:t>
        </x:is>
      </x:c>
      <x:c r="K1336" s="604" t="inlineStr">
        <x:is>
          <x:t xml:space="preserve">V4-A</x:t>
        </x:is>
      </x:c>
      <x:c r="L1336" s="604" t="inlineStr">
        <x:is>
          <x:t xml:space="preserve">布戈洛比</x:t>
        </x:is>
      </x:c>
      <x:c r="M1336" s="604" t="n">
        <x:v>0.6339277569636228</x:v>
      </x:c>
      <x:c r="N1336" s="604" t="inlineStr">
        <x:is>
          <x:t xml:space="preserve">V4 Shadow Only；real_money=false</x:t>
        </x:is>
      </x:c>
      <x:c r="O1336" s="604" t="inlineStr">
        <x:is>
          <x:t xml:space="preserve">0-0</x:t>
        </x:is>
      </x:c>
      <x:c r="P1336" s="604" t="inlineStr">
        <x:is>
          <x:t xml:space="preserve">已结算</x:t>
        </x:is>
      </x:c>
      <x:c r="Q1336" s="646" t="inlineStr">
        <x:is>
          <x:t xml:space="preserve">黑</x:t>
        </x:is>
      </x:c>
      <x:c r="R1336" s="604" t="n">
        <x:v>0.88</x:v>
      </x:c>
      <x:c r="S1336" s="604" t="n">
        <x:v>-1</x:v>
      </x:c>
      <x:c r="T1336" s="604" t="inlineStr">
        <x:is>
          <x:t xml:space="preserve">D:\codex\v3_legacy\outputs\football_odds_trader\raw\titan007\20261008\20261008_074021_titan007_odds_snapshot.csv</x:t>
        </x:is>
      </x:c>
      <x:c r="U1336" s="645" t="inlineStr">
        <x:is>
          <x:t xml:space="preserve"/>
        </x:is>
      </x:c>
      <x:c r="V1336" s="604" t="inlineStr">
        <x:is>
          <x:t xml:space="preserve"/>
        </x:is>
      </x:c>
      <x:c r="W1336" s="604" t="inlineStr">
        <x:is>
          <x:t xml:space="preserve"/>
        </x:is>
      </x:c>
      <x:c r="X1336" s="604" t="inlineStr">
        <x:is>
          <x:t xml:space="preserve">3074491</x:t>
        </x:is>
      </x:c>
      <x:c r="Y1336" s="604" t="inlineStr">
        <x:is>
          <x:t xml:space="preserve">V4</x:t>
        </x:is>
      </x:c>
      <x:c r="Z1336" s="604" t="inlineStr">
        <x:is>
          <x:t xml:space="preserve">prior-2026-10-08-v1</x:t>
        </x:is>
      </x:c>
      <x:c r="AA1336" s="604" t="inlineStr">
        <x:is>
          <x:t xml:space="preserve">A</x:t>
        </x:is>
      </x:c>
      <x:c r="AB1336" s="604" t="n">
        <x:v>0.6339277569636228</x:v>
      </x:c>
      <x:c r="AC1336" s="604" t="n">
        <x:v>0.2537322516297458</x:v>
      </x:c>
      <x:c r="AD1336" s="604" t="n">
        <x:v>2.25</x:v>
      </x:c>
      <x:c r="AE1336" s="604" t="n"/>
      <x:c r="AF1336" s="604" t="n"/>
      <x:c r="AG1336" s="604" t="n">
        <x:v>0.3041241744982423</x:v>
      </x:c>
      <x:c r="AH1336" s="604" t="n"/>
      <x:c r="AI1336" s="604" t="n"/>
      <x:c r="AJ1336" s="604" t="n">
        <x:v>0.3041241744982423</x:v>
      </x:c>
      <x:c r="AK1336" s="604" t="n"/>
      <x:c r="AL1336" s="604" t="n"/>
      <x:c r="AM1336" s="604" t="n"/>
      <x:c r="AN1336" s="604" t="inlineStr">
        <x:is>
          <x:t xml:space="preserve">FROZEN_PREMATCH_DECISION</x:t>
        </x:is>
      </x:c>
      <x:c r="AO1336" s="604" t="inlineStr">
        <x:is>
          <x:t xml:space="preserve">STARTED_DECISION_LOCKED</x:t>
        </x:is>
      </x:c>
      <x:c r="AP1336" s="604" t="inlineStr">
        <x:is>
          <x:t xml:space="preserve">2370820fa14cd310d1c2</x:t>
        </x:is>
      </x:c>
      <x:c r="AQ1336" s="604" t="n">
        <x:v>-1.25</x:v>
      </x:c>
      <x:c r="AR1336" s="604" t="n">
        <x:v>0.88</x:v>
      </x:c>
      <x:c r="AS1336" s="604" t="n">
        <x:v>1.25</x:v>
      </x:c>
      <x:c r="AT1336" s="604" t="n">
        <x:v>-1.25</x:v>
      </x:c>
      <x:c r="AU1336" s="604" t="n">
        <x:v>0.88</x:v>
      </x:c>
      <x:c r="AV1336" s="604" t="n">
        <x:v>0.93</x:v>
      </x:c>
      <x:c r="AW1336" s="604" t="inlineStr">
        <x:is>
          <x:t xml:space="preserve">2026-10-08T07:44:59.408325+08:00</x:t>
        </x:is>
      </x:c>
      <x:c r="AX1336" s="604" t="inlineStr">
        <x:is>
          <x:t xml:space="preserve">Titan007/V4</x:t>
        </x:is>
      </x:c>
      <x:c r="AY1336" s="604" t="inlineStr">
        <x:is>
          <x:t xml:space="preserve">Daily append；市场输入缺失时不生成决策</x:t>
        </x:is>
      </x:c>
    </x:row>
    <x:row r="1337" ht="22" customHeight="1">
      <x:c r="A1337" s="604" t="inlineStr">
        <x:is>
          <x:t xml:space="preserve">2026-10-08</x:t>
        </x:is>
      </x:c>
      <x:c r="B1337" s="604" t="inlineStr">
        <x:is>
          <x:t xml:space="preserve">2026-10-08T23:00:00+08:00</x:t>
        </x:is>
      </x:c>
      <x:c r="C1337" s="604" t="str">
        <x:v>欧洲非五大系列</x:v>
      </x:c>
      <x:c r="D1337" s="604" t="inlineStr">
        <x:is>
          <x:t xml:space="preserve"/>
        </x:is>
      </x:c>
      <x:c r="E1337" s="604" t="inlineStr">
        <x:is>
          <x:t xml:space="preserve">芬超冠</x:t>
        </x:is>
      </x:c>
      <x:c r="F1337" s="604" t="inlineStr">
        <x:is>
          <x:t xml:space="preserve">赫尔辛基 vs VPS瓦萨</x:t>
        </x:is>
      </x:c>
      <x:c r="G1337" s="604" t="n">
        <x:v>1.01</x:v>
      </x:c>
      <x:c r="H1337" s="604" t="n">
        <x:v>1</x:v>
      </x:c>
      <x:c r="I1337" s="604" t="n">
        <x:v>0.87</x:v>
      </x:c>
      <x:c r="J1337" s="604" t="inlineStr">
        <x:is>
          <x:t xml:space="preserve">1.01/1.0/0.87</x:t>
        </x:is>
      </x:c>
      <x:c r="K1337" s="604" t="inlineStr">
        <x:is>
          <x:t xml:space="preserve">V4-A</x:t>
        </x:is>
      </x:c>
      <x:c r="L1337" s="604" t="inlineStr">
        <x:is>
          <x:t xml:space="preserve">赫尔辛基</x:t>
        </x:is>
      </x:c>
      <x:c r="M1337" s="604" t="n">
        <x:v>0.44228017915601</x:v>
      </x:c>
      <x:c r="N1337" s="604" t="inlineStr">
        <x:is>
          <x:t xml:space="preserve">V4 Shadow Only；real_money=false</x:t>
        </x:is>
      </x:c>
      <x:c r="O1337" s="604" t="inlineStr">
        <x:is>
          <x:t xml:space="preserve">6-0</x:t>
        </x:is>
      </x:c>
      <x:c r="P1337" s="604" t="inlineStr">
        <x:is>
          <x:t xml:space="preserve">已结算</x:t>
        </x:is>
      </x:c>
      <x:c r="Q1337" s="646" t="inlineStr">
        <x:is>
          <x:t xml:space="preserve">红</x:t>
        </x:is>
      </x:c>
      <x:c r="R1337" s="604" t="n">
        <x:v>1.01</x:v>
      </x:c>
      <x:c r="S1337" s="604" t="n">
        <x:v>1.01</x:v>
      </x:c>
      <x:c r="T1337" s="604" t="inlineStr">
        <x:is>
          <x:t xml:space="preserve">D:\codex\v3_legacy\outputs\football_odds_trader\raw\titan007\20261008\20261008_074021_titan007_odds_snapshot.csv</x:t>
        </x:is>
      </x:c>
      <x:c r="U1337" s="645" t="inlineStr">
        <x:is>
          <x:t xml:space="preserve"/>
        </x:is>
      </x:c>
      <x:c r="V1337" s="604" t="inlineStr">
        <x:is>
          <x:t xml:space="preserve"/>
        </x:is>
      </x:c>
      <x:c r="W1337" s="604" t="inlineStr">
        <x:is>
          <x:t xml:space="preserve"/>
        </x:is>
      </x:c>
      <x:c r="X1337" s="604" t="inlineStr">
        <x:is>
          <x:t xml:space="preserve">3085211</x:t>
        </x:is>
      </x:c>
      <x:c r="Y1337" s="604" t="inlineStr">
        <x:is>
          <x:t xml:space="preserve">V4</x:t>
        </x:is>
      </x:c>
      <x:c r="Z1337" s="604" t="inlineStr">
        <x:is>
          <x:t xml:space="preserve">prior-2026-10-08-v1</x:t>
        </x:is>
      </x:c>
      <x:c r="AA1337" s="604" t="inlineStr">
        <x:is>
          <x:t xml:space="preserve">A</x:t>
        </x:is>
      </x:c>
      <x:c r="AB1337" s="604" t="n">
        <x:v>0.44228017915601</x:v>
      </x:c>
      <x:c r="AC1337" s="604" t="n">
        <x:v>0.3021885291618083</x:v>
      </x:c>
      <x:c r="AD1337" s="604" t="n">
        <x:v>1.25</x:v>
      </x:c>
      <x:c r="AE1337" s="604" t="n"/>
      <x:c r="AF1337" s="604" t="n"/>
      <x:c r="AG1337" s="604" t="n">
        <x:v>0.1445144517857618</x:v>
      </x:c>
      <x:c r="AH1337" s="604" t="n"/>
      <x:c r="AI1337" s="604" t="n"/>
      <x:c r="AJ1337" s="604" t="n">
        <x:v>0.1445144517857618</x:v>
      </x:c>
      <x:c r="AK1337" s="604" t="n"/>
      <x:c r="AL1337" s="604" t="n"/>
      <x:c r="AM1337" s="604" t="n"/>
      <x:c r="AN1337" s="604" t="inlineStr">
        <x:is>
          <x:t xml:space="preserve">EVALUATED</x:t>
        </x:is>
      </x:c>
      <x:c r="AO1337" s="604" t="inlineStr">
        <x:is>
          <x:t xml:space="preserve">GIVING_VALIDATED_EDGE;BUCKET_PRIOR_ONLY;INTENT_INTERPRETATION_ONLY;FFL_OPTIONAL;EXPERT_MARKET</x:t>
        </x:is>
      </x:c>
      <x:c r="AP1337" s="604" t="inlineStr">
        <x:is>
          <x:t xml:space="preserve">89763f7972a51c2d3018</x:t>
        </x:is>
      </x:c>
      <x:c r="AQ1337" s="604" t="n">
        <x:v>-1</x:v>
      </x:c>
      <x:c r="AR1337" s="604" t="n">
        <x:v>1.01</x:v>
      </x:c>
      <x:c r="AS1337" s="604" t="n">
        <x:v>1</x:v>
      </x:c>
      <x:c r="AT1337" s="604" t="n">
        <x:v>-1</x:v>
      </x:c>
      <x:c r="AU1337" s="604" t="n">
        <x:v>1.01</x:v>
      </x:c>
      <x:c r="AV1337" s="604" t="n">
        <x:v>0.87</x:v>
      </x:c>
      <x:c r="AW1337" s="604" t="inlineStr">
        <x:is>
          <x:t xml:space="preserve">2026-10-08T07:44:59.408325+08:00</x:t>
        </x:is>
      </x:c>
      <x:c r="AX1337" s="604" t="inlineStr">
        <x:is>
          <x:t xml:space="preserve">Titan007/V4</x:t>
        </x:is>
      </x:c>
      <x:c r="AY1337" s="604" t="inlineStr">
        <x:is>
          <x:t xml:space="preserve">Daily append；市场输入缺失时不生成决策</x:t>
        </x:is>
      </x:c>
    </x:row>
    <x:row r="1338" ht="22" customHeight="1">
      <x:c r="A1338" s="604" t="inlineStr">
        <x:is>
          <x:t xml:space="preserve">2026-10-08</x:t>
        </x:is>
      </x:c>
      <x:c r="B1338" s="604" t="inlineStr">
        <x:is>
          <x:t xml:space="preserve">2026-10-09T00:00:00+08:00</x:t>
        </x:is>
      </x:c>
      <x:c r="C1338" s="604" t="str">
        <x:v>欧洲非五大系列</x:v>
      </x:c>
      <x:c r="D1338" s="604" t="inlineStr">
        <x:is>
          <x:t xml:space="preserve"/>
        </x:is>
      </x:c>
      <x:c r="E1338" s="604" t="inlineStr">
        <x:is>
          <x:t xml:space="preserve">芬超冠</x:t>
        </x:is>
      </x:c>
      <x:c r="F1338" s="604" t="inlineStr">
        <x:is>
          <x:t xml:space="preserve">古比斯 vs 奥卢</x:t>
        </x:is>
      </x:c>
      <x:c r="G1338" s="604" t="n">
        <x:v>1.07</x:v>
      </x:c>
      <x:c r="H1338" s="604" t="n">
        <x:v>1</x:v>
      </x:c>
      <x:c r="I1338" s="604" t="n">
        <x:v>0.8100000000000001</x:v>
      </x:c>
      <x:c r="J1338" s="604" t="inlineStr">
        <x:is>
          <x:t xml:space="preserve">1.07/1.0/0.81</x:t>
        </x:is>
      </x:c>
      <x:c r="K1338" s="604" t="inlineStr">
        <x:is>
          <x:t xml:space="preserve">V4-A</x:t>
        </x:is>
      </x:c>
      <x:c r="L1338" s="604" t="inlineStr">
        <x:is>
          <x:t xml:space="preserve">古比斯</x:t>
        </x:is>
      </x:c>
      <x:c r="M1338" s="604" t="n">
        <x:v>0.4549760207146677</x:v>
      </x:c>
      <x:c r="N1338" s="604" t="inlineStr">
        <x:is>
          <x:t xml:space="preserve">V4 Shadow Only；real_money=false</x:t>
        </x:is>
      </x:c>
      <x:c r="O1338" s="604" t="inlineStr">
        <x:is>
          <x:t xml:space="preserve">0-1</x:t>
        </x:is>
      </x:c>
      <x:c r="P1338" s="604" t="inlineStr">
        <x:is>
          <x:t xml:space="preserve">已结算</x:t>
        </x:is>
      </x:c>
      <x:c r="Q1338" s="646" t="inlineStr">
        <x:is>
          <x:t xml:space="preserve">黑</x:t>
        </x:is>
      </x:c>
      <x:c r="R1338" s="604" t="n">
        <x:v>1.07</x:v>
      </x:c>
      <x:c r="S1338" s="604" t="n">
        <x:v>-1</x:v>
      </x:c>
      <x:c r="T1338" s="604" t="inlineStr">
        <x:is>
          <x:t xml:space="preserve">D:\codex\v3_legacy\outputs\football_odds_trader\raw\titan007\20261008\20261008_074021_titan007_odds_snapshot.csv</x:t>
        </x:is>
      </x:c>
      <x:c r="U1338" s="645" t="inlineStr">
        <x:is>
          <x:t xml:space="preserve"/>
        </x:is>
      </x:c>
      <x:c r="V1338" s="604" t="inlineStr">
        <x:is>
          <x:t xml:space="preserve"/>
        </x:is>
      </x:c>
      <x:c r="W1338" s="604" t="inlineStr">
        <x:is>
          <x:t xml:space="preserve"/>
        </x:is>
      </x:c>
      <x:c r="X1338" s="604" t="inlineStr">
        <x:is>
          <x:t xml:space="preserve">3085212</x:t>
        </x:is>
      </x:c>
      <x:c r="Y1338" s="604" t="inlineStr">
        <x:is>
          <x:t xml:space="preserve">V4</x:t>
        </x:is>
      </x:c>
      <x:c r="Z1338" s="604" t="inlineStr">
        <x:is>
          <x:t xml:space="preserve">prior-2026-10-08-v1</x:t>
        </x:is>
      </x:c>
      <x:c r="AA1338" s="604" t="inlineStr">
        <x:is>
          <x:t xml:space="preserve">A</x:t>
        </x:is>
      </x:c>
      <x:c r="AB1338" s="604" t="n">
        <x:v>0.4549760207146677</x:v>
      </x:c>
      <x:c r="AC1338" s="604" t="n">
        <x:v>0.2895840897013301</x:v>
      </x:c>
      <x:c r="AD1338" s="604" t="n">
        <x:v>1.5</x:v>
      </x:c>
      <x:c r="AE1338" s="604" t="n"/>
      <x:c r="AF1338" s="604" t="n"/>
      <x:c r="AG1338" s="604" t="n">
        <x:v>0.1972402524633644</x:v>
      </x:c>
      <x:c r="AH1338" s="604" t="n"/>
      <x:c r="AI1338" s="604" t="n"/>
      <x:c r="AJ1338" s="604" t="n">
        <x:v>0.1972402524633644</x:v>
      </x:c>
      <x:c r="AK1338" s="604" t="n"/>
      <x:c r="AL1338" s="604" t="n"/>
      <x:c r="AM1338" s="604" t="n"/>
      <x:c r="AN1338" s="604" t="inlineStr">
        <x:is>
          <x:t xml:space="preserve">EVALUATED</x:t>
        </x:is>
      </x:c>
      <x:c r="AO1338" s="604" t="inlineStr">
        <x:is>
          <x:t xml:space="preserve">GIVING_VALIDATED_EDGE;BUCKET_PRIOR_ONLY;INTENT_INTERPRETATION_ONLY;FFL_OPTIONAL;EXPERT_MARKET</x:t>
        </x:is>
      </x:c>
      <x:c r="AP1338" s="604" t="inlineStr">
        <x:is>
          <x:t xml:space="preserve">78b372218c64fc9c5489</x:t>
        </x:is>
      </x:c>
      <x:c r="AQ1338" s="604" t="n">
        <x:v>-1</x:v>
      </x:c>
      <x:c r="AR1338" s="604" t="n">
        <x:v>1.07</x:v>
      </x:c>
      <x:c r="AS1338" s="604" t="n">
        <x:v>1</x:v>
      </x:c>
      <x:c r="AT1338" s="604" t="n">
        <x:v>-1</x:v>
      </x:c>
      <x:c r="AU1338" s="604" t="n">
        <x:v>1.07</x:v>
      </x:c>
      <x:c r="AV1338" s="604" t="n">
        <x:v>0.8100000000000001</x:v>
      </x:c>
      <x:c r="AW1338" s="604" t="inlineStr">
        <x:is>
          <x:t xml:space="preserve">2026-10-08T07:44:59.408325+08:00</x:t>
        </x:is>
      </x:c>
      <x:c r="AX1338" s="604" t="inlineStr">
        <x:is>
          <x:t xml:space="preserve">Titan007/V4</x:t>
        </x:is>
      </x:c>
      <x:c r="AY1338" s="604" t="inlineStr">
        <x:is>
          <x:t xml:space="preserve">Daily append；市场输入缺失时不生成决策</x:t>
        </x:is>
      </x:c>
    </x:row>
    <x:row r="1339" ht="22" customHeight="1">
      <x:c r="A1339" s="604" t="inlineStr">
        <x:is>
          <x:t xml:space="preserve">2026-10-08</x:t>
        </x:is>
      </x:c>
      <x:c r="B1339" s="604" t="inlineStr">
        <x:is>
          <x:t xml:space="preserve">2026-10-08T22:00:00+08:00</x:t>
        </x:is>
      </x:c>
      <x:c r="C1339" s="604" t="str">
        <x:v>欧洲非五大系列</x:v>
      </x:c>
      <x:c r="D1339" s="604" t="inlineStr">
        <x:is>
          <x:t xml:space="preserve"/>
        </x:is>
      </x:c>
      <x:c r="E1339" s="604" t="inlineStr">
        <x:is>
          <x:t xml:space="preserve">土杯</x:t>
        </x:is>
      </x:c>
      <x:c r="F1339" s="604" t="inlineStr">
        <x:is>
          <x:t xml:space="preserve">德尼兹利伊古雷勒 vs 塞里克</x:t>
        </x:is>
      </x:c>
      <x:c r="G1339" s="604" t="n">
        <x:v>0.9</x:v>
      </x:c>
      <x:c r="H1339" s="604" t="n">
        <x:v>-1.5</x:v>
      </x:c>
      <x:c r="I1339" s="604" t="n">
        <x:v>0.9</x:v>
      </x:c>
      <x:c r="J1339" s="604" t="inlineStr">
        <x:is>
          <x:t xml:space="preserve">0.9/-1.5/0.9</x:t>
        </x:is>
      </x:c>
      <x:c r="K1339" s="604" t="inlineStr">
        <x:is>
          <x:t xml:space="preserve">V4-B</x:t>
        </x:is>
      </x:c>
      <x:c r="L1339" s="604" t="inlineStr">
        <x:is>
          <x:t xml:space="preserve">德尼兹利伊古雷勒</x:t>
        </x:is>
      </x:c>
      <x:c r="M1339" s="604" t="n">
        <x:v>0.003867771791865175</x:v>
      </x:c>
      <x:c r="N1339" s="604" t="inlineStr">
        <x:is>
          <x:t xml:space="preserve">V4 Shadow Only；real_money=false</x:t>
        </x:is>
      </x:c>
      <x:c r="O1339" s="604" t="inlineStr">
        <x:is>
          <x:t xml:space="preserve">0-1</x:t>
        </x:is>
      </x:c>
      <x:c r="P1339" s="604" t="inlineStr">
        <x:is>
          <x:t xml:space="preserve">已结算</x:t>
        </x:is>
      </x:c>
      <x:c r="Q1339" s="646" t="inlineStr">
        <x:is>
          <x:t xml:space="preserve">红</x:t>
        </x:is>
      </x:c>
      <x:c r="R1339" s="604" t="n">
        <x:v>0.9</x:v>
      </x:c>
      <x:c r="S1339" s="604" t="n">
        <x:v>0.9</x:v>
      </x:c>
      <x:c r="T1339" s="604" t="inlineStr">
        <x:is>
          <x:t xml:space="preserve">D:\codex\v3_legacy\outputs\football_odds_trader\raw\titan007\20261008\20261008_074021_titan007_odds_snapshot.csv</x:t>
        </x:is>
      </x:c>
      <x:c r="U1339" s="645" t="inlineStr">
        <x:is>
          <x:t xml:space="preserve"/>
        </x:is>
      </x:c>
      <x:c r="V1339" s="604" t="inlineStr">
        <x:is>
          <x:t xml:space="preserve"/>
        </x:is>
      </x:c>
      <x:c r="W1339" s="604" t="inlineStr">
        <x:is>
          <x:t xml:space="preserve"/>
        </x:is>
      </x:c>
      <x:c r="X1339" s="604" t="inlineStr">
        <x:is>
          <x:t xml:space="preserve">3094012</x:t>
        </x:is>
      </x:c>
      <x:c r="Y1339" s="604" t="inlineStr">
        <x:is>
          <x:t xml:space="preserve">V4</x:t>
        </x:is>
      </x:c>
      <x:c r="Z1339" s="604" t="inlineStr">
        <x:is>
          <x:t xml:space="preserve">prior-2026-10-08-v1</x:t>
        </x:is>
      </x:c>
      <x:c r="AA1339" s="604" t="inlineStr">
        <x:is>
          <x:t xml:space="preserve">B</x:t>
        </x:is>
      </x:c>
      <x:c r="AB1339" s="604" t="n">
        <x:v>0.003867771791865175</x:v>
      </x:c>
      <x:c r="AC1339" s="604" t="n">
        <x:v>0.9961322282081349</x:v>
      </x:c>
      <x:c r="AD1339" s="604" t="n">
        <x:v>-2</x:v>
      </x:c>
      <x:c r="AE1339" s="604" t="n"/>
      <x:c r="AF1339" s="604" t="n"/>
      <x:c r="AG1339" s="604" t="n">
        <x:v>0.8926512335954563</x:v>
      </x:c>
      <x:c r="AH1339" s="604" t="n"/>
      <x:c r="AI1339" s="604" t="n"/>
      <x:c r="AJ1339" s="604" t="n">
        <x:v>0.8926512335954563</x:v>
      </x:c>
      <x:c r="AK1339" s="604" t="n"/>
      <x:c r="AL1339" s="604" t="n"/>
      <x:c r="AM1339" s="604" t="n"/>
      <x:c r="AN1339" s="604" t="inlineStr">
        <x:is>
          <x:t xml:space="preserve">FROZEN_PREMATCH_DECISION</x:t>
        </x:is>
      </x:c>
      <x:c r="AO1339" s="604" t="inlineStr">
        <x:is>
          <x:t xml:space="preserve">STARTED_DECISION_LOCKED</x:t>
        </x:is>
      </x:c>
      <x:c r="AP1339" s="604" t="inlineStr">
        <x:is>
          <x:t xml:space="preserve">114805b511ca5ae84455</x:t>
        </x:is>
      </x:c>
      <x:c r="AQ1339" s="604" t="n">
        <x:v>1.5</x:v>
      </x:c>
      <x:c r="AR1339" s="604" t="n">
        <x:v>0.9</x:v>
      </x:c>
      <x:c r="AS1339" s="604" t="n">
        <x:v>-1.5</x:v>
      </x:c>
      <x:c r="AT1339" s="604" t="n">
        <x:v>1.5</x:v>
      </x:c>
      <x:c r="AU1339" s="604" t="n">
        <x:v>0.9</x:v>
      </x:c>
      <x:c r="AV1339" s="604" t="n">
        <x:v>0.9</x:v>
      </x:c>
      <x:c r="AW1339" s="604" t="inlineStr">
        <x:is>
          <x:t xml:space="preserve">2026-10-08T07:44:59.408325+08:00</x:t>
        </x:is>
      </x:c>
      <x:c r="AX1339" s="604" t="inlineStr">
        <x:is>
          <x:t xml:space="preserve">Titan007/V4</x:t>
        </x:is>
      </x:c>
      <x:c r="AY1339" s="604" t="inlineStr">
        <x:is>
          <x:t xml:space="preserve">Daily append；市场输入缺失时不生成决策</x:t>
        </x:is>
      </x:c>
    </x:row>
    <x:row r="1340" ht="22" customHeight="1">
      <x:c r="A1340" s="604" t="inlineStr">
        <x:is>
          <x:t xml:space="preserve">2026-10-08</x:t>
        </x:is>
      </x:c>
      <x:c r="B1340" s="604" t="inlineStr">
        <x:is>
          <x:t xml:space="preserve">2026-10-08T19:00:00+08:00</x:t>
        </x:is>
      </x:c>
      <x:c r="C1340" s="604" t="str">
        <x:v>欧洲非五大系列</x:v>
      </x:c>
      <x:c r="D1340" s="604" t="inlineStr">
        <x:is>
          <x:t xml:space="preserve"/>
        </x:is>
      </x:c>
      <x:c r="E1340" s="604" t="inlineStr">
        <x:is>
          <x:t xml:space="preserve">土杯</x:t>
        </x:is>
      </x:c>
      <x:c r="F1340" s="604" t="inlineStr">
        <x:is>
          <x:t xml:space="preserve">埃西亚斯38 vs 卡赫塔士邦</x:t>
        </x:is>
      </x:c>
      <x:c r="G1340" s="604" t="n">
        <x:v>0.57</x:v>
      </x:c>
      <x:c r="H1340" s="604" t="n">
        <x:v>1.5</x:v>
      </x:c>
      <x:c r="I1340" s="604" t="n">
        <x:v>1.2</x:v>
      </x:c>
      <x:c r="J1340" s="604" t="inlineStr">
        <x:is>
          <x:t xml:space="preserve">0.57/1.5/1.2</x:t>
        </x:is>
      </x:c>
      <x:c r="K1340" s="604" t="inlineStr">
        <x:is>
          <x:t xml:space="preserve">V4-B</x:t>
        </x:is>
      </x:c>
      <x:c r="L1340" s="604" t="inlineStr">
        <x:is>
          <x:t xml:space="preserve">埃西亚斯38</x:t>
        </x:is>
      </x:c>
      <x:c r="M1340" s="604" t="n">
        <x:v>0.7332203021961924</x:v>
      </x:c>
      <x:c r="N1340" s="604" t="inlineStr">
        <x:is>
          <x:t xml:space="preserve">V4 Shadow Only；real_money=false</x:t>
        </x:is>
      </x:c>
      <x:c r="O1340" s="604" t="inlineStr">
        <x:is>
          <x:t xml:space="preserve">2-0</x:t>
        </x:is>
      </x:c>
      <x:c r="P1340" s="604" t="inlineStr">
        <x:is>
          <x:t xml:space="preserve">已结算</x:t>
        </x:is>
      </x:c>
      <x:c r="Q1340" s="646" t="inlineStr">
        <x:is>
          <x:t xml:space="preserve">红</x:t>
        </x:is>
      </x:c>
      <x:c r="R1340" s="604" t="n">
        <x:v>0.57</x:v>
      </x:c>
      <x:c r="S1340" s="604" t="n">
        <x:v>0.57</x:v>
      </x:c>
      <x:c r="T1340" s="604" t="inlineStr">
        <x:is>
          <x:t xml:space="preserve">D:\codex\v3_legacy\outputs\football_odds_trader\raw\titan007\20261008\20261008_074021_titan007_odds_snapshot.csv</x:t>
        </x:is>
      </x:c>
      <x:c r="U1340" s="645" t="inlineStr">
        <x:is>
          <x:t xml:space="preserve"/>
        </x:is>
      </x:c>
      <x:c r="V1340" s="604" t="inlineStr">
        <x:is>
          <x:t xml:space="preserve"/>
        </x:is>
      </x:c>
      <x:c r="W1340" s="604" t="inlineStr">
        <x:is>
          <x:t xml:space="preserve"/>
        </x:is>
      </x:c>
      <x:c r="X1340" s="604" t="inlineStr">
        <x:is>
          <x:t xml:space="preserve">3094013</x:t>
        </x:is>
      </x:c>
      <x:c r="Y1340" s="604" t="inlineStr">
        <x:is>
          <x:t xml:space="preserve">V4</x:t>
        </x:is>
      </x:c>
      <x:c r="Z1340" s="604" t="inlineStr">
        <x:is>
          <x:t xml:space="preserve">prior-2026-10-08-v1</x:t>
        </x:is>
      </x:c>
      <x:c r="AA1340" s="604" t="inlineStr">
        <x:is>
          <x:t xml:space="preserve">B</x:t>
        </x:is>
      </x:c>
      <x:c r="AB1340" s="604" t="n">
        <x:v>0.7332203021961924</x:v>
      </x:c>
      <x:c r="AC1340" s="604" t="n">
        <x:v>0.2667796978038077</x:v>
      </x:c>
      <x:c r="AD1340" s="604" t="n">
        <x:v>2.75</x:v>
      </x:c>
      <x:c r="AE1340" s="604" t="n"/>
      <x:c r="AF1340" s="604" t="n"/>
      <x:c r="AG1340" s="604" t="n">
        <x:v>0.151155874448022</x:v>
      </x:c>
      <x:c r="AH1340" s="604" t="n"/>
      <x:c r="AI1340" s="604" t="n"/>
      <x:c r="AJ1340" s="604" t="n">
        <x:v>0.151155874448022</x:v>
      </x:c>
      <x:c r="AK1340" s="604" t="n"/>
      <x:c r="AL1340" s="604" t="n"/>
      <x:c r="AM1340" s="604" t="n"/>
      <x:c r="AN1340" s="604" t="inlineStr">
        <x:is>
          <x:t xml:space="preserve">FROZEN_PREMATCH_DECISION</x:t>
        </x:is>
      </x:c>
      <x:c r="AO1340" s="604" t="inlineStr">
        <x:is>
          <x:t xml:space="preserve">STARTED_DECISION_LOCKED</x:t>
        </x:is>
      </x:c>
      <x:c r="AP1340" s="604" t="inlineStr">
        <x:is>
          <x:t xml:space="preserve">bbf4fcb44a9d8683807a</x:t>
        </x:is>
      </x:c>
      <x:c r="AQ1340" s="604" t="n">
        <x:v>-1.5</x:v>
      </x:c>
      <x:c r="AR1340" s="604" t="n">
        <x:v>0.57</x:v>
      </x:c>
      <x:c r="AS1340" s="604" t="n">
        <x:v>1.5</x:v>
      </x:c>
      <x:c r="AT1340" s="604" t="n">
        <x:v>-1.5</x:v>
      </x:c>
      <x:c r="AU1340" s="604" t="n">
        <x:v>0.57</x:v>
      </x:c>
      <x:c r="AV1340" s="604" t="n">
        <x:v>1.2</x:v>
      </x:c>
      <x:c r="AW1340" s="604" t="inlineStr">
        <x:is>
          <x:t xml:space="preserve">2026-10-08T07:44:59.408325+08:00</x:t>
        </x:is>
      </x:c>
      <x:c r="AX1340" s="604" t="inlineStr">
        <x:is>
          <x:t xml:space="preserve">Titan007/V4</x:t>
        </x:is>
      </x:c>
      <x:c r="AY1340" s="604" t="inlineStr">
        <x:is>
          <x:t xml:space="preserve">Daily append；市场输入缺失时不生成决策</x:t>
        </x:is>
      </x:c>
    </x:row>
    <x:row r="1341" ht="22" customHeight="1">
      <x:c r="A1341" s="604" t="inlineStr">
        <x:is>
          <x:t xml:space="preserve">2026-10-08</x:t>
        </x:is>
      </x:c>
      <x:c r="B1341" s="604" t="inlineStr">
        <x:is>
          <x:t xml:space="preserve">2026-10-09T01:00:00+08:00</x:t>
        </x:is>
      </x:c>
      <x:c r="C1341" s="604" t="str">
        <x:v>其他系列</x:v>
      </x:c>
      <x:c r="D1341" s="604" t="inlineStr">
        <x:is>
          <x:t xml:space="preserve"/>
        </x:is>
      </x:c>
      <x:c r="E1341" s="604" t="inlineStr">
        <x:is>
          <x:t xml:space="preserve">埃及联杯</x:t>
        </x:is>
      </x:c>
      <x:c r="F1341" s="604" t="inlineStr">
        <x:is>
          <x:t xml:space="preserve">现代体育(中) vs 国家银行俱乐部</x:t>
        </x:is>
      </x:c>
      <x:c r="G1341" s="604" t="n">
        <x:v>0.9</x:v>
      </x:c>
      <x:c r="H1341" s="604" t="n">
        <x:v>-0.25</x:v>
      </x:c>
      <x:c r="I1341" s="604" t="n">
        <x:v>0.92</x:v>
      </x:c>
      <x:c r="J1341" s="604" t="inlineStr">
        <x:is>
          <x:t xml:space="preserve">0.9/-0.25/0.92</x:t>
        </x:is>
      </x:c>
      <x:c r="K1341" s="604" t="inlineStr">
        <x:is>
          <x:t xml:space="preserve">V4-B</x:t>
        </x:is>
      </x:c>
      <x:c r="L1341" s="604" t="inlineStr">
        <x:is>
          <x:t xml:space="preserve">现代体育(中)</x:t>
        </x:is>
      </x:c>
      <x:c r="M1341" s="604" t="n">
        <x:v>0.2537749780897647</x:v>
      </x:c>
      <x:c r="N1341" s="604" t="inlineStr">
        <x:is>
          <x:t xml:space="preserve">V4 Shadow Only；real_money=false</x:t>
        </x:is>
      </x:c>
      <x:c r="O1341" s="604" t="inlineStr">
        <x:is>
          <x:t xml:space="preserve">2-0</x:t>
        </x:is>
      </x:c>
      <x:c r="P1341" s="604" t="inlineStr">
        <x:is>
          <x:t xml:space="preserve">已结算</x:t>
        </x:is>
      </x:c>
      <x:c r="Q1341" s="646" t="inlineStr">
        <x:is>
          <x:t xml:space="preserve">红</x:t>
        </x:is>
      </x:c>
      <x:c r="R1341" s="604" t="n">
        <x:v>0.9</x:v>
      </x:c>
      <x:c r="S1341" s="604" t="n">
        <x:v>0.9</x:v>
      </x:c>
      <x:c r="T1341" s="604" t="inlineStr">
        <x:is>
          <x:t xml:space="preserve">D:\codex\v3_legacy\outputs\football_odds_trader\raw\titan007\20261008\20261008_074021_titan007_odds_snapshot.csv</x:t>
        </x:is>
      </x:c>
      <x:c r="U1341" s="645" t="inlineStr">
        <x:is>
          <x:t xml:space="preserve"/>
        </x:is>
      </x:c>
      <x:c r="V1341" s="604" t="inlineStr">
        <x:is>
          <x:t xml:space="preserve"/>
        </x:is>
      </x:c>
      <x:c r="W1341" s="604" t="inlineStr">
        <x:is>
          <x:t xml:space="preserve"/>
        </x:is>
      </x:c>
      <x:c r="X1341" s="604" t="inlineStr">
        <x:is>
          <x:t xml:space="preserve">3094156</x:t>
        </x:is>
      </x:c>
      <x:c r="Y1341" s="604" t="inlineStr">
        <x:is>
          <x:t xml:space="preserve">V4</x:t>
        </x:is>
      </x:c>
      <x:c r="Z1341" s="604" t="inlineStr">
        <x:is>
          <x:t xml:space="preserve">prior-2026-10-08-v1</x:t>
        </x:is>
      </x:c>
      <x:c r="AA1341" s="604" t="inlineStr">
        <x:is>
          <x:t xml:space="preserve">B</x:t>
        </x:is>
      </x:c>
      <x:c r="AB1341" s="604" t="n">
        <x:v>0.2537749780897647</x:v>
      </x:c>
      <x:c r="AC1341" s="604" t="n">
        <x:v>0.6180756855890087</x:v>
      </x:c>
      <x:c r="AD1341" s="604" t="n">
        <x:v>-0.5</x:v>
      </x:c>
      <x:c r="AE1341" s="604" t="n"/>
      <x:c r="AF1341" s="604" t="n"/>
      <x:c r="AG1341" s="604" t="n">
        <x:v>0.3024931389403432</x:v>
      </x:c>
      <x:c r="AH1341" s="604" t="n"/>
      <x:c r="AI1341" s="604" t="n"/>
      <x:c r="AJ1341" s="604" t="n">
        <x:v>0.3024931389403432</x:v>
      </x:c>
      <x:c r="AK1341" s="604" t="n"/>
      <x:c r="AL1341" s="604" t="n"/>
      <x:c r="AM1341" s="604" t="n"/>
      <x:c r="AN1341" s="604" t="inlineStr">
        <x:is>
          <x:t xml:space="preserve">EVALUATED</x:t>
        </x:is>
      </x:c>
      <x:c r="AO1341" s="604" t="inlineStr">
        <x:is>
          <x:t xml:space="preserve">RECEIVING_VALIDATED_EDGE;BUCKET_PRIOR_ONLY;INTENT_INTERPRETATION_ONLY;FFL_OPTIONAL;EXPERT_MARKET</x:t>
        </x:is>
      </x:c>
      <x:c r="AP1341" s="604" t="inlineStr">
        <x:is>
          <x:t xml:space="preserve">4ca9b873fdd532b4b0b9</x:t>
        </x:is>
      </x:c>
      <x:c r="AQ1341" s="604" t="n">
        <x:v>0.25</x:v>
      </x:c>
      <x:c r="AR1341" s="604" t="n">
        <x:v>0.9</x:v>
      </x:c>
      <x:c r="AS1341" s="604" t="n">
        <x:v>-0.25</x:v>
      </x:c>
      <x:c r="AT1341" s="604" t="n">
        <x:v>0.25</x:v>
      </x:c>
      <x:c r="AU1341" s="604" t="n">
        <x:v>0.9</x:v>
      </x:c>
      <x:c r="AV1341" s="604" t="n">
        <x:v>0.92</x:v>
      </x:c>
      <x:c r="AW1341" s="604" t="inlineStr">
        <x:is>
          <x:t xml:space="preserve">2026-10-08T07:44:59.408325+08:00</x:t>
        </x:is>
      </x:c>
      <x:c r="AX1341" s="604" t="inlineStr">
        <x:is>
          <x:t xml:space="preserve">Titan007/V4</x:t>
        </x:is>
      </x:c>
      <x:c r="AY1341" s="604" t="inlineStr">
        <x:is>
          <x:t xml:space="preserve">Daily append；市场输入缺失时不生成决策</x:t>
        </x:is>
      </x:c>
    </x:row>
    <x:row r="1342" ht="22" customHeight="1">
      <x:c r="A1342" s="604" t="inlineStr">
        <x:is>
          <x:t xml:space="preserve">2026-10-08</x:t>
        </x:is>
      </x:c>
      <x:c r="B1342" s="604" t="inlineStr">
        <x:is>
          <x:t xml:space="preserve">2026-10-08T22:00:00+08:00</x:t>
        </x:is>
      </x:c>
      <x:c r="C1342" s="604" t="str">
        <x:v>其他系列</x:v>
      </x:c>
      <x:c r="D1342" s="604" t="inlineStr">
        <x:is>
          <x:t xml:space="preserve"/>
        </x:is>
      </x:c>
      <x:c r="E1342" s="604" t="inlineStr">
        <x:is>
          <x:t xml:space="preserve">埃及联杯</x:t>
        </x:is>
      </x:c>
      <x:c r="F1342" s="604" t="inlineStr">
        <x:is>
          <x:t xml:space="preserve">阿拉伯建筑 vs 艾尔格纳</x:t>
        </x:is>
      </x:c>
      <x:c r="G1342" s="604" t="n">
        <x:v>0.82</x:v>
      </x:c>
      <x:c r="H1342" s="604" t="n">
        <x:v>0.5</x:v>
      </x:c>
      <x:c r="I1342" s="604" t="n">
        <x:v>1</x:v>
      </x:c>
      <x:c r="J1342" s="604" t="inlineStr">
        <x:is>
          <x:t xml:space="preserve">0.82/0.5/1.0</x:t>
        </x:is>
      </x:c>
      <x:c r="K1342" s="604" t="inlineStr">
        <x:is>
          <x:t xml:space="preserve">V4-B</x:t>
        </x:is>
      </x:c>
      <x:c r="L1342" s="604" t="inlineStr">
        <x:is>
          <x:t xml:space="preserve">阿拉伯建筑</x:t>
        </x:is>
      </x:c>
      <x:c r="M1342" s="604" t="n">
        <x:v>0.6523533956400533</x:v>
      </x:c>
      <x:c r="N1342" s="604" t="inlineStr">
        <x:is>
          <x:t xml:space="preserve">V4 Shadow Only；real_money=false</x:t>
        </x:is>
      </x:c>
      <x:c r="O1342" s="604" t="inlineStr">
        <x:is>
          <x:t xml:space="preserve">2-0</x:t>
        </x:is>
      </x:c>
      <x:c r="P1342" s="604" t="inlineStr">
        <x:is>
          <x:t xml:space="preserve">已结算</x:t>
        </x:is>
      </x:c>
      <x:c r="Q1342" s="646" t="inlineStr">
        <x:is>
          <x:t xml:space="preserve">红</x:t>
        </x:is>
      </x:c>
      <x:c r="R1342" s="604" t="n">
        <x:v>0.82</x:v>
      </x:c>
      <x:c r="S1342" s="604" t="n">
        <x:v>0.82</x:v>
      </x:c>
      <x:c r="T1342" s="604" t="inlineStr">
        <x:is>
          <x:t xml:space="preserve">D:\codex\v3_legacy\outputs\football_odds_trader\raw\titan007\20261008\20261008_074021_titan007_odds_snapshot.csv</x:t>
        </x:is>
      </x:c>
      <x:c r="U1342" s="645" t="inlineStr">
        <x:is>
          <x:t xml:space="preserve"/>
        </x:is>
      </x:c>
      <x:c r="V1342" s="604" t="inlineStr">
        <x:is>
          <x:t xml:space="preserve"/>
        </x:is>
      </x:c>
      <x:c r="W1342" s="604" t="inlineStr">
        <x:is>
          <x:t xml:space="preserve"/>
        </x:is>
      </x:c>
      <x:c r="X1342" s="604" t="inlineStr">
        <x:is>
          <x:t xml:space="preserve">3094166</x:t>
        </x:is>
      </x:c>
      <x:c r="Y1342" s="604" t="inlineStr">
        <x:is>
          <x:t xml:space="preserve">V4</x:t>
        </x:is>
      </x:c>
      <x:c r="Z1342" s="604" t="inlineStr">
        <x:is>
          <x:t xml:space="preserve">prior-2026-10-08-v1</x:t>
        </x:is>
      </x:c>
      <x:c r="AA1342" s="604" t="inlineStr">
        <x:is>
          <x:t xml:space="preserve">B</x:t>
        </x:is>
      </x:c>
      <x:c r="AB1342" s="604" t="n">
        <x:v>0.6523533956400533</x:v>
      </x:c>
      <x:c r="AC1342" s="604" t="n">
        <x:v>0.3476466043599467</x:v>
      </x:c>
      <x:c r="AD1342" s="604" t="n">
        <x:v>1.25</x:v>
      </x:c>
      <x:c r="AE1342" s="604" t="n"/>
      <x:c r="AF1342" s="604" t="n"/>
      <x:c r="AG1342" s="604" t="n">
        <x:v>0.187283180064897</x:v>
      </x:c>
      <x:c r="AH1342" s="604" t="n"/>
      <x:c r="AI1342" s="604" t="n"/>
      <x:c r="AJ1342" s="604" t="n">
        <x:v>0.187283180064897</x:v>
      </x:c>
      <x:c r="AK1342" s="604" t="n"/>
      <x:c r="AL1342" s="604" t="n"/>
      <x:c r="AM1342" s="604" t="n"/>
      <x:c r="AN1342" s="604" t="inlineStr">
        <x:is>
          <x:t xml:space="preserve">FROZEN_PREMATCH_DECISION</x:t>
        </x:is>
      </x:c>
      <x:c r="AO1342" s="604" t="inlineStr">
        <x:is>
          <x:t xml:space="preserve">STARTED_DECISION_LOCKED</x:t>
        </x:is>
      </x:c>
      <x:c r="AP1342" s="604" t="inlineStr">
        <x:is>
          <x:t xml:space="preserve">2fb209e23c0ba4ae6e7b</x:t>
        </x:is>
      </x:c>
      <x:c r="AQ1342" s="604" t="n">
        <x:v>-0.5</x:v>
      </x:c>
      <x:c r="AR1342" s="604" t="n">
        <x:v>0.82</x:v>
      </x:c>
      <x:c r="AS1342" s="604" t="n">
        <x:v>0.5</x:v>
      </x:c>
      <x:c r="AT1342" s="604" t="n">
        <x:v>-0.5</x:v>
      </x:c>
      <x:c r="AU1342" s="604" t="n">
        <x:v>0.82</x:v>
      </x:c>
      <x:c r="AV1342" s="604" t="n">
        <x:v>1</x:v>
      </x:c>
      <x:c r="AW1342" s="604" t="inlineStr">
        <x:is>
          <x:t xml:space="preserve">2026-10-08T07:44:59.408325+08:00</x:t>
        </x:is>
      </x:c>
      <x:c r="AX1342" s="604" t="inlineStr">
        <x:is>
          <x:t xml:space="preserve">Titan007/V4</x:t>
        </x:is>
      </x:c>
      <x:c r="AY1342" s="604" t="inlineStr">
        <x:is>
          <x:t xml:space="preserve">Daily append；市场输入缺失时不生成决策</x:t>
        </x:is>
      </x:c>
    </x:row>
    <x:row r="1343" ht="22" customHeight="1">
      <x:c r="A1343" s="604" t="inlineStr">
        <x:is>
          <x:t xml:space="preserve">2026-10-08</x:t>
        </x:is>
      </x:c>
      <x:c r="B1343" s="604" t="inlineStr">
        <x:is>
          <x:t xml:space="preserve">2026-10-08T22:00:00+08:00</x:t>
        </x:is>
      </x:c>
      <x:c r="C1343" s="604" t="str">
        <x:v>欧洲非五大系列</x:v>
      </x:c>
      <x:c r="D1343" s="604" t="inlineStr">
        <x:is>
          <x:t xml:space="preserve"/>
        </x:is>
      </x:c>
      <x:c r="E1343" s="604" t="inlineStr">
        <x:is>
          <x:t xml:space="preserve">女挪威杯</x:t>
        </x:is>
      </x:c>
      <x:c r="F1343" s="604" t="inlineStr">
        <x:is>
          <x:t xml:space="preserve">布莱尼女足 vs 侯治森华特女足</x:t>
        </x:is>
      </x:c>
      <x:c r="G1343" s="604" t="n">
        <x:v>1.05</x:v>
      </x:c>
      <x:c r="H1343" s="604" t="n">
        <x:v>-2</x:v>
      </x:c>
      <x:c r="I1343" s="604" t="n">
        <x:v>0.65</x:v>
      </x:c>
      <x:c r="J1343" s="604" t="inlineStr">
        <x:is>
          <x:t xml:space="preserve">1.05/-2.0/0.65</x:t>
        </x:is>
      </x:c>
      <x:c r="K1343" s="604" t="inlineStr">
        <x:is>
          <x:t xml:space="preserve">V4-B</x:t>
        </x:is>
      </x:c>
      <x:c r="L1343" s="604" t="inlineStr">
        <x:is>
          <x:t xml:space="preserve">布莱尼女足</x:t>
        </x:is>
      </x:c>
      <x:c r="M1343" s="604" t="n">
        <x:v>5.697371452922552e-06</x:v>
      </x:c>
      <x:c r="N1343" s="604" t="inlineStr">
        <x:is>
          <x:t xml:space="preserve">V4 Shadow Only；real_money=false</x:t>
        </x:is>
      </x:c>
      <x:c r="O1343" s="604" t="inlineStr">
        <x:is>
          <x:t xml:space="preserve">1-5</x:t>
        </x:is>
      </x:c>
      <x:c r="P1343" s="604" t="inlineStr">
        <x:is>
          <x:t xml:space="preserve">已结算</x:t>
        </x:is>
      </x:c>
      <x:c r="Q1343" s="646" t="inlineStr">
        <x:is>
          <x:t xml:space="preserve">黑</x:t>
        </x:is>
      </x:c>
      <x:c r="R1343" s="604" t="n">
        <x:v>1.05</x:v>
      </x:c>
      <x:c r="S1343" s="604" t="n">
        <x:v>-1</x:v>
      </x:c>
      <x:c r="T1343" s="604" t="inlineStr">
        <x:is>
          <x:t xml:space="preserve">D:\codex\v3_legacy\outputs\football_odds_trader\raw\titan007\20261008\20261008_074021_titan007_odds_snapshot.csv</x:t>
        </x:is>
      </x:c>
      <x:c r="U1343" s="645" t="inlineStr">
        <x:is>
          <x:t xml:space="preserve"/>
        </x:is>
      </x:c>
      <x:c r="V1343" s="604" t="inlineStr">
        <x:is>
          <x:t xml:space="preserve"/>
        </x:is>
      </x:c>
      <x:c r="W1343" s="604" t="inlineStr">
        <x:is>
          <x:t xml:space="preserve"/>
        </x:is>
      </x:c>
      <x:c r="X1343" s="604" t="inlineStr">
        <x:is>
          <x:t xml:space="preserve">3096221</x:t>
        </x:is>
      </x:c>
      <x:c r="Y1343" s="604" t="inlineStr">
        <x:is>
          <x:t xml:space="preserve">V4</x:t>
        </x:is>
      </x:c>
      <x:c r="Z1343" s="604" t="inlineStr">
        <x:is>
          <x:t xml:space="preserve">prior-2026-10-08-v1</x:t>
        </x:is>
      </x:c>
      <x:c r="AA1343" s="604" t="inlineStr">
        <x:is>
          <x:t xml:space="preserve">B</x:t>
        </x:is>
      </x:c>
      <x:c r="AB1343" s="604" t="n">
        <x:v>5.697371452922552e-06</x:v>
      </x:c>
      <x:c r="AC1343" s="604" t="n">
        <x:v>0.9997811314374928</x:v>
      </x:c>
      <x:c r="AD1343" s="604" t="n">
        <x:v>-2.75</x:v>
      </x:c>
      <x:c r="AE1343" s="604" t="n"/>
      <x:c r="AF1343" s="604" t="n"/>
      <x:c r="AG1343" s="604" t="n">
        <x:v>1.049764490637915</x:v>
      </x:c>
      <x:c r="AH1343" s="604" t="n"/>
      <x:c r="AI1343" s="604" t="n"/>
      <x:c r="AJ1343" s="604" t="n">
        <x:v>1.049764490637915</x:v>
      </x:c>
      <x:c r="AK1343" s="604" t="n"/>
      <x:c r="AL1343" s="604" t="n"/>
      <x:c r="AM1343" s="604" t="n"/>
      <x:c r="AN1343" s="604" t="inlineStr">
        <x:is>
          <x:t xml:space="preserve">FROZEN_PREMATCH_DECISION</x:t>
        </x:is>
      </x:c>
      <x:c r="AO1343" s="604" t="inlineStr">
        <x:is>
          <x:t xml:space="preserve">STARTED_DECISION_LOCKED</x:t>
        </x:is>
      </x:c>
      <x:c r="AP1343" s="604" t="inlineStr">
        <x:is>
          <x:t xml:space="preserve">942aece8762aa692ed18</x:t>
        </x:is>
      </x:c>
      <x:c r="AQ1343" s="604" t="n">
        <x:v>2</x:v>
      </x:c>
      <x:c r="AR1343" s="604" t="n">
        <x:v>1.05</x:v>
      </x:c>
      <x:c r="AS1343" s="604" t="n">
        <x:v>-2</x:v>
      </x:c>
      <x:c r="AT1343" s="604" t="n">
        <x:v>2</x:v>
      </x:c>
      <x:c r="AU1343" s="604" t="n">
        <x:v>1.05</x:v>
      </x:c>
      <x:c r="AV1343" s="604" t="n">
        <x:v>0.65</x:v>
      </x:c>
      <x:c r="AW1343" s="604" t="inlineStr">
        <x:is>
          <x:t xml:space="preserve">2026-10-08T07:44:59.408325+08:00</x:t>
        </x:is>
      </x:c>
      <x:c r="AX1343" s="604" t="inlineStr">
        <x:is>
          <x:t xml:space="preserve">Titan007/V4</x:t>
        </x:is>
      </x:c>
      <x:c r="AY1343" s="604" t="inlineStr">
        <x:is>
          <x:t xml:space="preserve">Daily append；市场输入缺失时不生成决策</x:t>
        </x:is>
      </x:c>
    </x:row>
    <x:row r="1344" ht="22" customHeight="1">
      <x:c r="A1344" s="604" t="inlineStr">
        <x:is>
          <x:t xml:space="preserve">2026-10-08</x:t>
        </x:is>
      </x:c>
      <x:c r="B1344" s="604" t="inlineStr">
        <x:is>
          <x:t xml:space="preserve">2026-10-08T22:30:00+08:00</x:t>
        </x:is>
      </x:c>
      <x:c r="C1344" s="604" t="str">
        <x:v>欧洲非五大系列</x:v>
      </x:c>
      <x:c r="D1344" s="604" t="inlineStr">
        <x:is>
          <x:t xml:space="preserve"/>
        </x:is>
      </x:c>
      <x:c r="E1344" s="604" t="inlineStr">
        <x:is>
          <x:t xml:space="preserve">女挪威杯</x:t>
        </x:is>
      </x:c>
      <x:c r="F1344" s="604" t="inlineStr">
        <x:is>
          <x:t xml:space="preserve">格雷女足 vs 罗亚女足</x:t>
        </x:is>
      </x:c>
      <x:c r="G1344" s="604" t="n">
        <x:v>0.9</x:v>
      </x:c>
      <x:c r="H1344" s="604" t="n">
        <x:v>-1.5</x:v>
      </x:c>
      <x:c r="I1344" s="604" t="n">
        <x:v>0.9</x:v>
      </x:c>
      <x:c r="J1344" s="604" t="inlineStr">
        <x:is>
          <x:t xml:space="preserve">0.9/-1.5/0.9</x:t>
        </x:is>
      </x:c>
      <x:c r="K1344" s="604" t="inlineStr">
        <x:is>
          <x:t xml:space="preserve">V4-B</x:t>
        </x:is>
      </x:c>
      <x:c r="L1344" s="604" t="inlineStr">
        <x:is>
          <x:t xml:space="preserve">格雷女足</x:t>
        </x:is>
      </x:c>
      <x:c r="M1344" s="604" t="n">
        <x:v>0.002790430503229436</x:v>
      </x:c>
      <x:c r="N1344" s="604" t="inlineStr">
        <x:is>
          <x:t xml:space="preserve">V4 Shadow Only；real_money=false</x:t>
        </x:is>
      </x:c>
      <x:c r="O1344" s="604" t="inlineStr">
        <x:is>
          <x:t xml:space="preserve">1-0</x:t>
        </x:is>
      </x:c>
      <x:c r="P1344" s="604" t="inlineStr">
        <x:is>
          <x:t xml:space="preserve">已结算</x:t>
        </x:is>
      </x:c>
      <x:c r="Q1344" s="646" t="inlineStr">
        <x:is>
          <x:t xml:space="preserve">红</x:t>
        </x:is>
      </x:c>
      <x:c r="R1344" s="604" t="n">
        <x:v>0.9</x:v>
      </x:c>
      <x:c r="S1344" s="604" t="n">
        <x:v>0.9</x:v>
      </x:c>
      <x:c r="T1344" s="604" t="inlineStr">
        <x:is>
          <x:t xml:space="preserve">D:\codex\v3_legacy\outputs\football_odds_trader\raw\titan007\20261008\20261008_074021_titan007_odds_snapshot.csv</x:t>
        </x:is>
      </x:c>
      <x:c r="U1344" s="645" t="inlineStr">
        <x:is>
          <x:t xml:space="preserve"/>
        </x:is>
      </x:c>
      <x:c r="V1344" s="604" t="inlineStr">
        <x:is>
          <x:t xml:space="preserve"/>
        </x:is>
      </x:c>
      <x:c r="W1344" s="604" t="inlineStr">
        <x:is>
          <x:t xml:space="preserve"/>
        </x:is>
      </x:c>
      <x:c r="X1344" s="604" t="inlineStr">
        <x:is>
          <x:t xml:space="preserve">3096223</x:t>
        </x:is>
      </x:c>
      <x:c r="Y1344" s="604" t="inlineStr">
        <x:is>
          <x:t xml:space="preserve">V4</x:t>
        </x:is>
      </x:c>
      <x:c r="Z1344" s="604" t="inlineStr">
        <x:is>
          <x:t xml:space="preserve">prior-2026-10-08-v1</x:t>
        </x:is>
      </x:c>
      <x:c r="AA1344" s="604" t="inlineStr">
        <x:is>
          <x:t xml:space="preserve">B</x:t>
        </x:is>
      </x:c>
      <x:c r="AB1344" s="604" t="n">
        <x:v>0.002790430503229436</x:v>
      </x:c>
      <x:c r="AC1344" s="604" t="n">
        <x:v>0.9972095694967706</x:v>
      </x:c>
      <x:c r="AD1344" s="604" t="n">
        <x:v>-2.25</x:v>
      </x:c>
      <x:c r="AE1344" s="604" t="n"/>
      <x:c r="AF1344" s="604" t="n"/>
      <x:c r="AG1344" s="604" t="n">
        <x:v>0.8946981820438641</x:v>
      </x:c>
      <x:c r="AH1344" s="604" t="n"/>
      <x:c r="AI1344" s="604" t="n"/>
      <x:c r="AJ1344" s="604" t="n">
        <x:v>0.8946981820438641</x:v>
      </x:c>
      <x:c r="AK1344" s="604" t="n"/>
      <x:c r="AL1344" s="604" t="n"/>
      <x:c r="AM1344" s="604" t="n"/>
      <x:c r="AN1344" s="604" t="inlineStr">
        <x:is>
          <x:t xml:space="preserve">FROZEN_PREMATCH_DECISION</x:t>
        </x:is>
      </x:c>
      <x:c r="AO1344" s="604" t="inlineStr">
        <x:is>
          <x:t xml:space="preserve">STARTED_DECISION_LOCKED</x:t>
        </x:is>
      </x:c>
      <x:c r="AP1344" s="604" t="inlineStr">
        <x:is>
          <x:t xml:space="preserve">b942d29154053d4e10fa</x:t>
        </x:is>
      </x:c>
      <x:c r="AQ1344" s="604" t="n">
        <x:v>1.5</x:v>
      </x:c>
      <x:c r="AR1344" s="604" t="n">
        <x:v>0.9</x:v>
      </x:c>
      <x:c r="AS1344" s="604" t="n">
        <x:v>-1.5</x:v>
      </x:c>
      <x:c r="AT1344" s="604" t="n">
        <x:v>1.5</x:v>
      </x:c>
      <x:c r="AU1344" s="604" t="n">
        <x:v>0.9</x:v>
      </x:c>
      <x:c r="AV1344" s="604" t="n">
        <x:v>0.9</x:v>
      </x:c>
      <x:c r="AW1344" s="604" t="inlineStr">
        <x:is>
          <x:t xml:space="preserve">2026-10-08T07:44:59.408325+08:00</x:t>
        </x:is>
      </x:c>
      <x:c r="AX1344" s="604" t="inlineStr">
        <x:is>
          <x:t xml:space="preserve">Titan007/V4</x:t>
        </x:is>
      </x:c>
      <x:c r="AY1344" s="604" t="inlineStr">
        <x:is>
          <x:t xml:space="preserve">Daily append；市场输入缺失时不生成决策</x:t>
        </x:is>
      </x:c>
    </x:row>
    <x:row r="1345" ht="22" customHeight="1">
      <x:c r="A1345" s="604" t="inlineStr">
        <x:is>
          <x:t xml:space="preserve">2026-10-08</x:t>
        </x:is>
      </x:c>
      <x:c r="B1345" s="604" t="inlineStr">
        <x:is>
          <x:t xml:space="preserve">2026-10-08T21:10:00+08:00</x:t>
        </x:is>
      </x:c>
      <x:c r="C1345" s="604" t="str">
        <x:v>西亚/中亚系列</x:v>
      </x:c>
      <x:c r="D1345" s="604" t="inlineStr">
        <x:is>
          <x:t xml:space="preserve"/>
        </x:is>
      </x:c>
      <x:c r="E1345" s="604" t="inlineStr">
        <x:is>
          <x:t xml:space="preserve">阿联酋杯</x:t>
        </x:is>
      </x:c>
      <x:c r="F1345" s="604" t="inlineStr">
        <x:is>
          <x:t xml:space="preserve">艾因 vs 伊蒂哈德卡尔巴</x:t>
        </x:is>
      </x:c>
      <x:c r="G1345" s="604" t="n">
        <x:v>0.92</x:v>
      </x:c>
      <x:c r="H1345" s="604" t="n">
        <x:v>1.75</x:v>
      </x:c>
      <x:c r="I1345" s="604" t="n">
        <x:v>0.84</x:v>
      </x:c>
      <x:c r="J1345" s="604" t="inlineStr">
        <x:is>
          <x:t xml:space="preserve">0.92/1.75/0.84</x:t>
        </x:is>
      </x:c>
      <x:c r="K1345" s="604" t="inlineStr">
        <x:is>
          <x:t xml:space="preserve">V4-B</x:t>
        </x:is>
      </x:c>
      <x:c r="L1345" s="604" t="inlineStr">
        <x:is>
          <x:t xml:space="preserve">艾因</x:t>
        </x:is>
      </x:c>
      <x:c r="M1345" s="604" t="n">
        <x:v>0.5076838257589696</x:v>
      </x:c>
      <x:c r="N1345" s="604" t="inlineStr">
        <x:is>
          <x:t xml:space="preserve">V4 Shadow Only；real_money=false</x:t>
        </x:is>
      </x:c>
      <x:c r="O1345" s="604" t="inlineStr">
        <x:is>
          <x:t xml:space="preserve">2-2</x:t>
        </x:is>
      </x:c>
      <x:c r="P1345" s="604" t="inlineStr">
        <x:is>
          <x:t xml:space="preserve">已结算</x:t>
        </x:is>
      </x:c>
      <x:c r="Q1345" s="646" t="inlineStr">
        <x:is>
          <x:t xml:space="preserve">黑</x:t>
        </x:is>
      </x:c>
      <x:c r="R1345" s="604" t="n">
        <x:v>0.92</x:v>
      </x:c>
      <x:c r="S1345" s="604" t="n">
        <x:v>-1</x:v>
      </x:c>
      <x:c r="T1345" s="604" t="inlineStr">
        <x:is>
          <x:t xml:space="preserve">D:\codex\v3_legacy\outputs\football_odds_trader\raw\titan007\20261008\20261008_074021_titan007_odds_snapshot.csv</x:t>
        </x:is>
      </x:c>
      <x:c r="U1345" s="645" t="inlineStr">
        <x:is>
          <x:t xml:space="preserve"/>
        </x:is>
      </x:c>
      <x:c r="V1345" s="604" t="inlineStr">
        <x:is>
          <x:t xml:space="preserve"/>
        </x:is>
      </x:c>
      <x:c r="W1345" s="604" t="inlineStr">
        <x:is>
          <x:t xml:space="preserve"/>
        </x:is>
      </x:c>
      <x:c r="X1345" s="604" t="inlineStr">
        <x:is>
          <x:t xml:space="preserve">3096234</x:t>
        </x:is>
      </x:c>
      <x:c r="Y1345" s="604" t="inlineStr">
        <x:is>
          <x:t xml:space="preserve">V4</x:t>
        </x:is>
      </x:c>
      <x:c r="Z1345" s="604" t="inlineStr">
        <x:is>
          <x:t xml:space="preserve">prior-2026-10-08-v1</x:t>
        </x:is>
      </x:c>
      <x:c r="AA1345" s="604" t="inlineStr">
        <x:is>
          <x:t xml:space="preserve">B</x:t>
        </x:is>
      </x:c>
      <x:c r="AB1345" s="604" t="n">
        <x:v>0.5076838257589696</x:v>
      </x:c>
      <x:c r="AC1345" s="604" t="n">
        <x:v>0.3697400318671149</x:v>
      </x:c>
      <x:c r="AD1345" s="604" t="n">
        <x:v>2.25</x:v>
      </x:c>
      <x:c r="AE1345" s="604" t="n"/>
      <x:c r="AF1345" s="604" t="n"/>
      <x:c r="AG1345" s="604" t="n">
        <x:v>0.09732908783113714</x:v>
      </x:c>
      <x:c r="AH1345" s="604" t="n"/>
      <x:c r="AI1345" s="604" t="n"/>
      <x:c r="AJ1345" s="604" t="n">
        <x:v>0.09732908783113714</x:v>
      </x:c>
      <x:c r="AK1345" s="604" t="n"/>
      <x:c r="AL1345" s="604" t="n"/>
      <x:c r="AM1345" s="604" t="n"/>
      <x:c r="AN1345" s="604" t="inlineStr">
        <x:is>
          <x:t xml:space="preserve">FROZEN_PREMATCH_DECISION</x:t>
        </x:is>
      </x:c>
      <x:c r="AO1345" s="604" t="inlineStr">
        <x:is>
          <x:t xml:space="preserve">STARTED_DECISION_LOCKED</x:t>
        </x:is>
      </x:c>
      <x:c r="AP1345" s="604" t="inlineStr">
        <x:is>
          <x:t xml:space="preserve">83927550c81aa725dc22</x:t>
        </x:is>
      </x:c>
      <x:c r="AQ1345" s="604" t="n">
        <x:v>-1.75</x:v>
      </x:c>
      <x:c r="AR1345" s="604" t="n">
        <x:v>0.92</x:v>
      </x:c>
      <x:c r="AS1345" s="604" t="n">
        <x:v>1.75</x:v>
      </x:c>
      <x:c r="AT1345" s="604" t="n">
        <x:v>-1.75</x:v>
      </x:c>
      <x:c r="AU1345" s="604" t="n">
        <x:v>0.92</x:v>
      </x:c>
      <x:c r="AV1345" s="604" t="n">
        <x:v>0.84</x:v>
      </x:c>
      <x:c r="AW1345" s="604" t="inlineStr">
        <x:is>
          <x:t xml:space="preserve">2026-10-08T07:44:59.408325+08:00</x:t>
        </x:is>
      </x:c>
      <x:c r="AX1345" s="604" t="inlineStr">
        <x:is>
          <x:t xml:space="preserve">Titan007/V4</x:t>
        </x:is>
      </x:c>
      <x:c r="AY1345" s="604" t="inlineStr">
        <x:is>
          <x:t xml:space="preserve">Daily append；市场输入缺失时不生成决策</x:t>
        </x:is>
      </x:c>
    </x:row>
    <x:row r="1346" ht="22" customHeight="1">
      <x:c r="A1346" s="604" t="inlineStr">
        <x:is>
          <x:t xml:space="preserve">2026-10-08</x:t>
        </x:is>
      </x:c>
      <x:c r="B1346" s="604" t="inlineStr">
        <x:is>
          <x:t xml:space="preserve">2026-10-08T21:10:00+08:00</x:t>
        </x:is>
      </x:c>
      <x:c r="C1346" s="604" t="str">
        <x:v>西亚/中亚系列</x:v>
      </x:c>
      <x:c r="D1346" s="604" t="inlineStr">
        <x:is>
          <x:t xml:space="preserve"/>
        </x:is>
      </x:c>
      <x:c r="E1346" s="604" t="inlineStr">
        <x:is>
          <x:t xml:space="preserve">阿联酋杯</x:t>
        </x:is>
      </x:c>
      <x:c r="F1346" s="604" t="inlineStr">
        <x:is>
          <x:t xml:space="preserve">迪拜青年国民 vs 迪拜联合</x:t>
        </x:is>
      </x:c>
      <x:c r="G1346" s="604" t="n">
        <x:v>0.7</x:v>
      </x:c>
      <x:c r="H1346" s="604" t="n">
        <x:v>1.5</x:v>
      </x:c>
      <x:c r="I1346" s="604" t="n">
        <x:v>1.06</x:v>
      </x:c>
      <x:c r="J1346" s="604" t="inlineStr">
        <x:is>
          <x:t xml:space="preserve">0.7/1.5/1.06</x:t>
        </x:is>
      </x:c>
      <x:c r="K1346" s="604" t="inlineStr">
        <x:is>
          <x:t xml:space="preserve">V4-B</x:t>
        </x:is>
      </x:c>
      <x:c r="L1346" s="604" t="inlineStr">
        <x:is>
          <x:t xml:space="preserve">迪拜青年国民</x:t>
        </x:is>
      </x:c>
      <x:c r="M1346" s="604" t="n">
        <x:v>0.6488325664964105</x:v>
      </x:c>
      <x:c r="N1346" s="604" t="inlineStr">
        <x:is>
          <x:t xml:space="preserve">V4 Shadow Only；real_money=false</x:t>
        </x:is>
      </x:c>
      <x:c r="O1346" s="604" t="inlineStr">
        <x:is>
          <x:t xml:space="preserve">2-1</x:t>
        </x:is>
      </x:c>
      <x:c r="P1346" s="604" t="inlineStr">
        <x:is>
          <x:t xml:space="preserve">已结算</x:t>
        </x:is>
      </x:c>
      <x:c r="Q1346" s="646" t="inlineStr">
        <x:is>
          <x:t xml:space="preserve">黑</x:t>
        </x:is>
      </x:c>
      <x:c r="R1346" s="604" t="n">
        <x:v>0.7</x:v>
      </x:c>
      <x:c r="S1346" s="604" t="n">
        <x:v>-1</x:v>
      </x:c>
      <x:c r="T1346" s="604" t="inlineStr">
        <x:is>
          <x:t xml:space="preserve">D:\codex\v3_legacy\outputs\football_odds_trader\raw\titan007\20261008\20261008_074021_titan007_odds_snapshot.csv</x:t>
        </x:is>
      </x:c>
      <x:c r="U1346" s="645" t="inlineStr">
        <x:is>
          <x:t xml:space="preserve"/>
        </x:is>
      </x:c>
      <x:c r="V1346" s="604" t="inlineStr">
        <x:is>
          <x:t xml:space="preserve"/>
        </x:is>
      </x:c>
      <x:c r="W1346" s="604" t="inlineStr">
        <x:is>
          <x:t xml:space="preserve"/>
        </x:is>
      </x:c>
      <x:c r="X1346" s="604" t="inlineStr">
        <x:is>
          <x:t xml:space="preserve">3096235</x:t>
        </x:is>
      </x:c>
      <x:c r="Y1346" s="604" t="inlineStr">
        <x:is>
          <x:t xml:space="preserve">V4</x:t>
        </x:is>
      </x:c>
      <x:c r="Z1346" s="604" t="inlineStr">
        <x:is>
          <x:t xml:space="preserve">prior-2026-10-08-v1</x:t>
        </x:is>
      </x:c>
      <x:c r="AA1346" s="604" t="inlineStr">
        <x:is>
          <x:t xml:space="preserve">B</x:t>
        </x:is>
      </x:c>
      <x:c r="AB1346" s="604" t="n">
        <x:v>0.6488325664964105</x:v>
      </x:c>
      <x:c r="AC1346" s="604" t="n">
        <x:v>0.3511674335035895</x:v>
      </x:c>
      <x:c r="AD1346" s="604" t="n">
        <x:v>2.25</x:v>
      </x:c>
      <x:c r="AE1346" s="604" t="n"/>
      <x:c r="AF1346" s="604" t="n"/>
      <x:c r="AG1346" s="604" t="n">
        <x:v>0.1030153630438978</x:v>
      </x:c>
      <x:c r="AH1346" s="604" t="n"/>
      <x:c r="AI1346" s="604" t="n"/>
      <x:c r="AJ1346" s="604" t="n">
        <x:v>0.1030153630438978</x:v>
      </x:c>
      <x:c r="AK1346" s="604" t="n"/>
      <x:c r="AL1346" s="604" t="n"/>
      <x:c r="AM1346" s="604" t="n"/>
      <x:c r="AN1346" s="604" t="inlineStr">
        <x:is>
          <x:t xml:space="preserve">FROZEN_PREMATCH_DECISION</x:t>
        </x:is>
      </x:c>
      <x:c r="AO1346" s="604" t="inlineStr">
        <x:is>
          <x:t xml:space="preserve">STARTED_DECISION_LOCKED</x:t>
        </x:is>
      </x:c>
      <x:c r="AP1346" s="604" t="inlineStr">
        <x:is>
          <x:t xml:space="preserve">c75ced1ecea2bc8cf3bd</x:t>
        </x:is>
      </x:c>
      <x:c r="AQ1346" s="604" t="n">
        <x:v>-1.5</x:v>
      </x:c>
      <x:c r="AR1346" s="604" t="n">
        <x:v>0.7</x:v>
      </x:c>
      <x:c r="AS1346" s="604" t="n">
        <x:v>1.5</x:v>
      </x:c>
      <x:c r="AT1346" s="604" t="n">
        <x:v>-1.5</x:v>
      </x:c>
      <x:c r="AU1346" s="604" t="n">
        <x:v>0.7</x:v>
      </x:c>
      <x:c r="AV1346" s="604" t="n">
        <x:v>1.06</x:v>
      </x:c>
      <x:c r="AW1346" s="604" t="inlineStr">
        <x:is>
          <x:t xml:space="preserve">2026-10-08T07:44:59.408325+08:00</x:t>
        </x:is>
      </x:c>
      <x:c r="AX1346" s="604" t="inlineStr">
        <x:is>
          <x:t xml:space="preserve">Titan007/V4</x:t>
        </x:is>
      </x:c>
      <x:c r="AY1346" s="604" t="inlineStr">
        <x:is>
          <x:t xml:space="preserve">Daily append；市场输入缺失时不生成决策</x:t>
        </x:is>
      </x:c>
    </x:row>
    <x:row r="1347" ht="22" customHeight="1">
      <x:c r="A1347" s="604" t="inlineStr">
        <x:is>
          <x:t xml:space="preserve">2026-10-08</x:t>
        </x:is>
      </x:c>
      <x:c r="B1347" s="604" t="inlineStr">
        <x:is>
          <x:t xml:space="preserve">2026-10-08T23:45:00+08:00</x:t>
        </x:is>
      </x:c>
      <x:c r="C1347" s="604" t="str">
        <x:v>西亚/中亚系列</x:v>
      </x:c>
      <x:c r="D1347" s="604" t="inlineStr">
        <x:is>
          <x:t xml:space="preserve"/>
        </x:is>
      </x:c>
      <x:c r="E1347" s="604" t="inlineStr">
        <x:is>
          <x:t xml:space="preserve">阿联酋杯</x:t>
        </x:is>
      </x:c>
      <x:c r="F1347" s="604" t="inlineStr">
        <x:is>
          <x:t xml:space="preserve">豪尔费坎 vs 迪拜祈祷</x:t>
        </x:is>
      </x:c>
      <x:c r="G1347" s="604" t="n">
        <x:v>0.6</x:v>
      </x:c>
      <x:c r="H1347" s="604" t="n">
        <x:v>-1.75</x:v>
      </x:c>
      <x:c r="I1347" s="604" t="n">
        <x:v>1.19</x:v>
      </x:c>
      <x:c r="J1347" s="604" t="inlineStr">
        <x:is>
          <x:t xml:space="preserve">0.6/-1.75/1.19</x:t>
        </x:is>
      </x:c>
      <x:c r="K1347" s="604" t="inlineStr">
        <x:is>
          <x:t xml:space="preserve">V4-B</x:t>
        </x:is>
      </x:c>
      <x:c r="L1347" s="604" t="inlineStr">
        <x:is>
          <x:t xml:space="preserve">豪尔费坎</x:t>
        </x:is>
      </x:c>
      <x:c r="M1347" s="604" t="n">
        <x:v>0.005627599086834958</x:v>
      </x:c>
      <x:c r="N1347" s="604" t="inlineStr">
        <x:is>
          <x:t xml:space="preserve">V4 Shadow Only；real_money=false</x:t>
        </x:is>
      </x:c>
      <x:c r="O1347" s="604" t="inlineStr">
        <x:is>
          <x:t xml:space="preserve">1-2</x:t>
        </x:is>
      </x:c>
      <x:c r="P1347" s="604" t="inlineStr">
        <x:is>
          <x:t xml:space="preserve">已结算</x:t>
        </x:is>
      </x:c>
      <x:c r="Q1347" s="646" t="inlineStr">
        <x:is>
          <x:t xml:space="preserve">红</x:t>
        </x:is>
      </x:c>
      <x:c r="R1347" s="604" t="n">
        <x:v>0.6</x:v>
      </x:c>
      <x:c r="S1347" s="604" t="n">
        <x:v>0.6</x:v>
      </x:c>
      <x:c r="T1347" s="604" t="inlineStr">
        <x:is>
          <x:t xml:space="preserve">D:\codex\v3_legacy\outputs\football_odds_trader\raw\titan007\20261008\20261008_074021_titan007_odds_snapshot.csv</x:t>
        </x:is>
      </x:c>
      <x:c r="U1347" s="645" t="inlineStr">
        <x:is>
          <x:t xml:space="preserve"/>
        </x:is>
      </x:c>
      <x:c r="V1347" s="604" t="inlineStr">
        <x:is>
          <x:t xml:space="preserve"/>
        </x:is>
      </x:c>
      <x:c r="W1347" s="604" t="inlineStr">
        <x:is>
          <x:t xml:space="preserve"/>
        </x:is>
      </x:c>
      <x:c r="X1347" s="604" t="inlineStr">
        <x:is>
          <x:t xml:space="preserve">3096236</x:t>
        </x:is>
      </x:c>
      <x:c r="Y1347" s="604" t="inlineStr">
        <x:is>
          <x:t xml:space="preserve">V4</x:t>
        </x:is>
      </x:c>
      <x:c r="Z1347" s="604" t="inlineStr">
        <x:is>
          <x:t xml:space="preserve">prior-2026-10-08-v1</x:t>
        </x:is>
      </x:c>
      <x:c r="AA1347" s="604" t="inlineStr">
        <x:is>
          <x:t xml:space="preserve">B</x:t>
        </x:is>
      </x:c>
      <x:c r="AB1347" s="604" t="n">
        <x:v>0.005627599086834958</x:v>
      </x:c>
      <x:c r="AC1347" s="604" t="n">
        <x:v>0.9900312813879079</x:v>
      </x:c>
      <x:c r="AD1347" s="604" t="n">
        <x:v>-1.75</x:v>
      </x:c>
      <x:c r="AE1347" s="604" t="n"/>
      <x:c r="AF1347" s="604" t="n"/>
      <x:c r="AG1347" s="604" t="n">
        <x:v>0.5883911697459098</x:v>
      </x:c>
      <x:c r="AH1347" s="604" t="n"/>
      <x:c r="AI1347" s="604" t="n"/>
      <x:c r="AJ1347" s="604" t="n">
        <x:v>0.5883911697459098</x:v>
      </x:c>
      <x:c r="AK1347" s="604" t="n"/>
      <x:c r="AL1347" s="604" t="n"/>
      <x:c r="AM1347" s="604" t="n"/>
      <x:c r="AN1347" s="604" t="inlineStr">
        <x:is>
          <x:t xml:space="preserve">EVALUATED</x:t>
        </x:is>
      </x:c>
      <x:c r="AO1347" s="604" t="inlineStr">
        <x:is>
          <x:t xml:space="preserve">RECEIVING_VALIDATED_EDGE;BUCKET_PRIOR_ONLY;INTENT_INTERPRETATION_ONLY;FFL_OPTIONAL;EXPERT_MARKET</x:t>
        </x:is>
      </x:c>
      <x:c r="AP1347" s="604" t="inlineStr">
        <x:is>
          <x:t xml:space="preserve">7c1684fd45f1dedafb38</x:t>
        </x:is>
      </x:c>
      <x:c r="AQ1347" s="604" t="n">
        <x:v>1.75</x:v>
      </x:c>
      <x:c r="AR1347" s="604" t="n">
        <x:v>0.6</x:v>
      </x:c>
      <x:c r="AS1347" s="604" t="n">
        <x:v>-1.75</x:v>
      </x:c>
      <x:c r="AT1347" s="604" t="n">
        <x:v>1.75</x:v>
      </x:c>
      <x:c r="AU1347" s="604" t="n">
        <x:v>0.6</x:v>
      </x:c>
      <x:c r="AV1347" s="604" t="n">
        <x:v>1.19</x:v>
      </x:c>
      <x:c r="AW1347" s="604" t="inlineStr">
        <x:is>
          <x:t xml:space="preserve">2026-10-08T07:44:59.408325+08:00</x:t>
        </x:is>
      </x:c>
      <x:c r="AX1347" s="604" t="inlineStr">
        <x:is>
          <x:t xml:space="preserve">Titan007/V4</x:t>
        </x:is>
      </x:c>
      <x:c r="AY1347" s="604" t="inlineStr">
        <x:is>
          <x:t xml:space="preserve">Daily append；市场输入缺失时不生成决策</x:t>
        </x:is>
      </x:c>
    </x:row>
    <x:row r="1348" ht="22" customHeight="1">
      <x:c r="A1348" s="604" t="inlineStr">
        <x:is>
          <x:t xml:space="preserve">2026-10-08</x:t>
        </x:is>
      </x:c>
      <x:c r="B1348" s="604" t="inlineStr">
        <x:is>
          <x:t xml:space="preserve">2026-10-08T23:45:00+08:00</x:t>
        </x:is>
      </x:c>
      <x:c r="C1348" s="604" t="str">
        <x:v>西亚/中亚系列</x:v>
      </x:c>
      <x:c r="D1348" s="604" t="inlineStr">
        <x:is>
          <x:t xml:space="preserve"/>
        </x:is>
      </x:c>
      <x:c r="E1348" s="604" t="inlineStr">
        <x:is>
          <x:t xml:space="preserve">阿联酋杯</x:t>
        </x:is>
      </x:c>
      <x:c r="F1348" s="604" t="inlineStr">
        <x:is>
          <x:t xml:space="preserve">迪拜胜利 vs 哈塔</x:t>
        </x:is>
      </x:c>
      <x:c r="G1348" s="604" t="n">
        <x:v>0.91</x:v>
      </x:c>
      <x:c r="H1348" s="604" t="n">
        <x:v>1.25</x:v>
      </x:c>
      <x:c r="I1348" s="604" t="n">
        <x:v>0.85</x:v>
      </x:c>
      <x:c r="J1348" s="604" t="inlineStr">
        <x:is>
          <x:t xml:space="preserve">0.91/1.25/0.85</x:t>
        </x:is>
      </x:c>
      <x:c r="K1348" s="604" t="inlineStr">
        <x:is>
          <x:t xml:space="preserve">V4-B</x:t>
        </x:is>
      </x:c>
      <x:c r="L1348" s="604" t="inlineStr">
        <x:is>
          <x:t xml:space="preserve">迪拜胜利</x:t>
        </x:is>
      </x:c>
      <x:c r="M1348" s="604" t="n">
        <x:v>0.5233749346361859</x:v>
      </x:c>
      <x:c r="N1348" s="604" t="inlineStr">
        <x:is>
          <x:t xml:space="preserve">V4 Shadow Only；real_money=false</x:t>
        </x:is>
      </x:c>
      <x:c r="O1348" s="604" t="inlineStr">
        <x:is>
          <x:t xml:space="preserve">4-1</x:t>
        </x:is>
      </x:c>
      <x:c r="P1348" s="604" t="inlineStr">
        <x:is>
          <x:t xml:space="preserve">已结算</x:t>
        </x:is>
      </x:c>
      <x:c r="Q1348" s="646" t="inlineStr">
        <x:is>
          <x:t xml:space="preserve">红</x:t>
        </x:is>
      </x:c>
      <x:c r="R1348" s="604" t="n">
        <x:v>0.91</x:v>
      </x:c>
      <x:c r="S1348" s="604" t="n">
        <x:v>0.91</x:v>
      </x:c>
      <x:c r="T1348" s="604" t="inlineStr">
        <x:is>
          <x:t xml:space="preserve">D:\codex\v3_legacy\outputs\football_odds_trader\raw\titan007\20261008\20261008_074021_titan007_odds_snapshot.csv</x:t>
        </x:is>
      </x:c>
      <x:c r="U1348" s="645" t="inlineStr">
        <x:is>
          <x:t xml:space="preserve"/>
        </x:is>
      </x:c>
      <x:c r="V1348" s="604" t="inlineStr">
        <x:is>
          <x:t xml:space="preserve"/>
        </x:is>
      </x:c>
      <x:c r="W1348" s="604" t="inlineStr">
        <x:is>
          <x:t xml:space="preserve"/>
        </x:is>
      </x:c>
      <x:c r="X1348" s="604" t="inlineStr">
        <x:is>
          <x:t xml:space="preserve">3096237</x:t>
        </x:is>
      </x:c>
      <x:c r="Y1348" s="604" t="inlineStr">
        <x:is>
          <x:t xml:space="preserve">V4</x:t>
        </x:is>
      </x:c>
      <x:c r="Z1348" s="604" t="inlineStr">
        <x:is>
          <x:t xml:space="preserve">prior-2026-10-08-v1</x:t>
        </x:is>
      </x:c>
      <x:c r="AA1348" s="604" t="inlineStr">
        <x:is>
          <x:t xml:space="preserve">B</x:t>
        </x:is>
      </x:c>
      <x:c r="AB1348" s="604" t="n">
        <x:v>0.5233749346361859</x:v>
      </x:c>
      <x:c r="AC1348" s="604" t="n">
        <x:v>0.3533174918313698</x:v>
      </x:c>
      <x:c r="AD1348" s="604" t="n">
        <x:v>1.75</x:v>
      </x:c>
      <x:c r="AE1348" s="604" t="n"/>
      <x:c r="AF1348" s="604" t="n"/>
      <x:c r="AG1348" s="604" t="n">
        <x:v>0.1229536986875594</x:v>
      </x:c>
      <x:c r="AH1348" s="604" t="n"/>
      <x:c r="AI1348" s="604" t="n"/>
      <x:c r="AJ1348" s="604" t="n">
        <x:v>0.1229536986875594</x:v>
      </x:c>
      <x:c r="AK1348" s="604" t="n"/>
      <x:c r="AL1348" s="604" t="n"/>
      <x:c r="AM1348" s="604" t="n"/>
      <x:c r="AN1348" s="604" t="inlineStr">
        <x:is>
          <x:t xml:space="preserve">EVALUATED</x:t>
        </x:is>
      </x:c>
      <x:c r="AO1348" s="604" t="inlineStr">
        <x:is>
          <x:t xml:space="preserve">GIVING_VALIDATED_EDGE;BUCKET_PRIOR_ONLY;INTENT_INTERPRETATION_ONLY;FFL_OPTIONAL;EXPERT_MARKET</x:t>
        </x:is>
      </x:c>
      <x:c r="AP1348" s="604" t="inlineStr">
        <x:is>
          <x:t xml:space="preserve">887f09b8cbb30030d714</x:t>
        </x:is>
      </x:c>
      <x:c r="AQ1348" s="604" t="n">
        <x:v>-1.25</x:v>
      </x:c>
      <x:c r="AR1348" s="604" t="n">
        <x:v>0.91</x:v>
      </x:c>
      <x:c r="AS1348" s="604" t="n">
        <x:v>1.25</x:v>
      </x:c>
      <x:c r="AT1348" s="604" t="n">
        <x:v>-1.25</x:v>
      </x:c>
      <x:c r="AU1348" s="604" t="n">
        <x:v>0.91</x:v>
      </x:c>
      <x:c r="AV1348" s="604" t="n">
        <x:v>0.85</x:v>
      </x:c>
      <x:c r="AW1348" s="604" t="inlineStr">
        <x:is>
          <x:t xml:space="preserve">2026-10-08T07:44:59.408325+08:00</x:t>
        </x:is>
      </x:c>
      <x:c r="AX1348" s="604" t="inlineStr">
        <x:is>
          <x:t xml:space="preserve">Titan007/V4</x:t>
        </x:is>
      </x:c>
      <x:c r="AY1348" s="604" t="inlineStr">
        <x:is>
          <x:t xml:space="preserve">Daily append；市场输入缺失时不生成决策</x:t>
        </x:is>
      </x:c>
    </x:row>
    <x:row r="1349" ht="22" customHeight="1">
      <x:c r="A1349" s="604" t="inlineStr">
        <x:is>
          <x:t xml:space="preserve">2026-10-08</x:t>
        </x:is>
      </x:c>
      <x:c r="B1349" s="604" t="inlineStr">
        <x:is>
          <x:t xml:space="preserve">2026-10-08T21:00:00+08:00</x:t>
        </x:is>
      </x:c>
      <x:c r="C1349" s="604" t="str">
        <x:v>西亚/中亚系列</x:v>
      </x:c>
      <x:c r="D1349" s="604" t="inlineStr">
        <x:is>
          <x:t xml:space="preserve"/>
        </x:is>
      </x:c>
      <x:c r="E1349" s="604" t="inlineStr">
        <x:is>
          <x:t xml:space="preserve">约旦杯</x:t>
        </x:is>
      </x:c>
      <x:c r="F1349" s="604" t="inlineStr">
        <x:is>
          <x:t xml:space="preserve">哈伊阿米尔哈桑 vs 阿尔托拉</x:t>
        </x:is>
      </x:c>
      <x:c r="G1349" s="604" t="n">
        <x:v>1</x:v>
      </x:c>
      <x:c r="H1349" s="604" t="n">
        <x:v>0.75</x:v>
      </x:c>
      <x:c r="I1349" s="604" t="n">
        <x:v>0.8</x:v>
      </x:c>
      <x:c r="J1349" s="604" t="inlineStr">
        <x:is>
          <x:t xml:space="preserve">1.0/0.75/0.8</x:t>
        </x:is>
      </x:c>
      <x:c r="K1349" s="604" t="inlineStr">
        <x:is>
          <x:t xml:space="preserve">V4-B</x:t>
        </x:is>
      </x:c>
      <x:c r="L1349" s="604" t="inlineStr">
        <x:is>
          <x:t xml:space="preserve">哈伊阿米尔哈桑</x:t>
        </x:is>
      </x:c>
      <x:c r="M1349" s="604" t="n">
        <x:v>0.4760704952460447</x:v>
      </x:c>
      <x:c r="N1349" s="604" t="inlineStr">
        <x:is>
          <x:t xml:space="preserve">V4 Shadow Only；real_money=false</x:t>
        </x:is>
      </x:c>
      <x:c r="O1349" s="604" t="inlineStr">
        <x:is>
          <x:t xml:space="preserve">3-0</x:t>
        </x:is>
      </x:c>
      <x:c r="P1349" s="604" t="inlineStr">
        <x:is>
          <x:t xml:space="preserve">已结算</x:t>
        </x:is>
      </x:c>
      <x:c r="Q1349" s="646" t="inlineStr">
        <x:is>
          <x:t xml:space="preserve">红</x:t>
        </x:is>
      </x:c>
      <x:c r="R1349" s="604" t="n">
        <x:v>1</x:v>
      </x:c>
      <x:c r="S1349" s="604" t="n">
        <x:v>1</x:v>
      </x:c>
      <x:c r="T1349" s="604" t="inlineStr">
        <x:is>
          <x:t xml:space="preserve">D:\codex\v3_legacy\outputs\football_odds_trader\raw\titan007\20261008\20261008_074021_titan007_odds_snapshot.csv</x:t>
        </x:is>
      </x:c>
      <x:c r="U1349" s="645" t="inlineStr">
        <x:is>
          <x:t xml:space="preserve"/>
        </x:is>
      </x:c>
      <x:c r="V1349" s="604" t="inlineStr">
        <x:is>
          <x:t xml:space="preserve"/>
        </x:is>
      </x:c>
      <x:c r="W1349" s="604" t="inlineStr">
        <x:is>
          <x:t xml:space="preserve"/>
        </x:is>
      </x:c>
      <x:c r="X1349" s="604" t="inlineStr">
        <x:is>
          <x:t xml:space="preserve">3096851</x:t>
        </x:is>
      </x:c>
      <x:c r="Y1349" s="604" t="inlineStr">
        <x:is>
          <x:t xml:space="preserve">V4</x:t>
        </x:is>
      </x:c>
      <x:c r="Z1349" s="604" t="inlineStr">
        <x:is>
          <x:t xml:space="preserve">prior-2026-10-08-v1</x:t>
        </x:is>
      </x:c>
      <x:c r="AA1349" s="604" t="inlineStr">
        <x:is>
          <x:t xml:space="preserve">B</x:t>
        </x:is>
      </x:c>
      <x:c r="AB1349" s="604" t="n">
        <x:v>0.4760704952460447</x:v>
      </x:c>
      <x:c r="AC1349" s="604" t="n">
        <x:v>0.3965520727480744</x:v>
      </x:c>
      <x:c r="AD1349" s="604" t="n">
        <x:v>1</x:v>
      </x:c>
      <x:c r="AE1349" s="604" t="n"/>
      <x:c r="AF1349" s="604" t="n"/>
      <x:c r="AG1349" s="604" t="n">
        <x:v>0.07951842249797031</x:v>
      </x:c>
      <x:c r="AH1349" s="604" t="n"/>
      <x:c r="AI1349" s="604" t="n"/>
      <x:c r="AJ1349" s="604" t="n">
        <x:v>0.07951842249797031</x:v>
      </x:c>
      <x:c r="AK1349" s="604" t="n"/>
      <x:c r="AL1349" s="604" t="n"/>
      <x:c r="AM1349" s="604" t="n"/>
      <x:c r="AN1349" s="604" t="inlineStr">
        <x:is>
          <x:t xml:space="preserve">FROZEN_PREMATCH_DECISION</x:t>
        </x:is>
      </x:c>
      <x:c r="AO1349" s="604" t="inlineStr">
        <x:is>
          <x:t xml:space="preserve">STARTED_DECISION_LOCKED</x:t>
        </x:is>
      </x:c>
      <x:c r="AP1349" s="604" t="inlineStr">
        <x:is>
          <x:t xml:space="preserve">c6ea3bbf509511a3774c</x:t>
        </x:is>
      </x:c>
      <x:c r="AQ1349" s="604" t="n">
        <x:v>-0.75</x:v>
      </x:c>
      <x:c r="AR1349" s="604" t="n">
        <x:v>1</x:v>
      </x:c>
      <x:c r="AS1349" s="604" t="n">
        <x:v>0.75</x:v>
      </x:c>
      <x:c r="AT1349" s="604" t="n">
        <x:v>-0.75</x:v>
      </x:c>
      <x:c r="AU1349" s="604" t="n">
        <x:v>1</x:v>
      </x:c>
      <x:c r="AV1349" s="604" t="n">
        <x:v>0.8</x:v>
      </x:c>
      <x:c r="AW1349" s="604" t="inlineStr">
        <x:is>
          <x:t xml:space="preserve">2026-10-08T07:44:59.408325+08:00</x:t>
        </x:is>
      </x:c>
      <x:c r="AX1349" s="604" t="inlineStr">
        <x:is>
          <x:t xml:space="preserve">Titan007/V4</x:t>
        </x:is>
      </x:c>
      <x:c r="AY1349" s="604" t="inlineStr">
        <x:is>
          <x:t xml:space="preserve">Daily append；市场输入缺失时不生成决策</x:t>
        </x:is>
      </x:c>
    </x:row>
    <x:row r="1350" ht="22" customHeight="1">
      <x:c r="A1350" s="604" t="inlineStr">
        <x:is>
          <x:t xml:space="preserve">2026-10-08</x:t>
        </x:is>
      </x:c>
      <x:c r="B1350" s="604" t="inlineStr">
        <x:is>
          <x:t xml:space="preserve">2026-10-08T22:00:00+08:00</x:t>
        </x:is>
      </x:c>
      <x:c r="C1350" s="604" t="str">
        <x:v>西亚/中亚系列</x:v>
      </x:c>
      <x:c r="D1350" s="604" t="inlineStr">
        <x:is>
          <x:t xml:space="preserve"/>
        </x:is>
      </x:c>
      <x:c r="E1350" s="604" t="inlineStr">
        <x:is>
          <x:t xml:space="preserve">约旦杯</x:t>
        </x:is>
      </x:c>
      <x:c r="F1350" s="604" t="inlineStr">
        <x:is>
          <x:t xml:space="preserve">雅莫科 vs 马恩</x:t>
        </x:is>
      </x:c>
      <x:c r="G1350" s="604" t="n">
        <x:v>1</x:v>
      </x:c>
      <x:c r="H1350" s="604" t="n">
        <x:v>-0.25</x:v>
      </x:c>
      <x:c r="I1350" s="604" t="n">
        <x:v>0.8</x:v>
      </x:c>
      <x:c r="J1350" s="604" t="inlineStr">
        <x:is>
          <x:t xml:space="preserve">1.0/-0.25/0.8</x:t>
        </x:is>
      </x:c>
      <x:c r="K1350" s="604" t="inlineStr">
        <x:is>
          <x:t xml:space="preserve">V4-B</x:t>
        </x:is>
      </x:c>
      <x:c r="L1350" s="604" t="inlineStr">
        <x:is>
          <x:t xml:space="preserve">雅莫科</x:t>
        </x:is>
      </x:c>
      <x:c r="M1350" s="604" t="n">
        <x:v>0.2499660626564769</x:v>
      </x:c>
      <x:c r="N1350" s="604" t="inlineStr">
        <x:is>
          <x:t xml:space="preserve">V4 Shadow Only；real_money=false</x:t>
        </x:is>
      </x:c>
      <x:c r="O1350" s="604" t="inlineStr">
        <x:is>
          <x:t xml:space="preserve">4-1</x:t>
        </x:is>
      </x:c>
      <x:c r="P1350" s="604" t="inlineStr">
        <x:is>
          <x:t xml:space="preserve">已结算</x:t>
        </x:is>
      </x:c>
      <x:c r="Q1350" s="646" t="inlineStr">
        <x:is>
          <x:t xml:space="preserve">红</x:t>
        </x:is>
      </x:c>
      <x:c r="R1350" s="604" t="n">
        <x:v>1</x:v>
      </x:c>
      <x:c r="S1350" s="604" t="n">
        <x:v>1</x:v>
      </x:c>
      <x:c r="T1350" s="604" t="inlineStr">
        <x:is>
          <x:t xml:space="preserve">D:\codex\v3_legacy\outputs\football_odds_trader\raw\titan007\20261008\20261008_074021_titan007_odds_snapshot.csv</x:t>
        </x:is>
      </x:c>
      <x:c r="U1350" s="645" t="inlineStr">
        <x:is>
          <x:t xml:space="preserve"/>
        </x:is>
      </x:c>
      <x:c r="V1350" s="604" t="inlineStr">
        <x:is>
          <x:t xml:space="preserve"/>
        </x:is>
      </x:c>
      <x:c r="W1350" s="604" t="inlineStr">
        <x:is>
          <x:t xml:space="preserve"/>
        </x:is>
      </x:c>
      <x:c r="X1350" s="604" t="inlineStr">
        <x:is>
          <x:t xml:space="preserve">3096852</x:t>
        </x:is>
      </x:c>
      <x:c r="Y1350" s="604" t="inlineStr">
        <x:is>
          <x:t xml:space="preserve">V4</x:t>
        </x:is>
      </x:c>
      <x:c r="Z1350" s="604" t="inlineStr">
        <x:is>
          <x:t xml:space="preserve">prior-2026-10-08-v1</x:t>
        </x:is>
      </x:c>
      <x:c r="AA1350" s="604" t="inlineStr">
        <x:is>
          <x:t xml:space="preserve">B</x:t>
        </x:is>
      </x:c>
      <x:c r="AB1350" s="604" t="n">
        <x:v>0.2499660626564769</x:v>
      </x:c>
      <x:c r="AC1350" s="604" t="n">
        <x:v>0.6237227581893614</x:v>
      </x:c>
      <x:c r="AD1350" s="604" t="n">
        <x:v>-0.5</x:v>
      </x:c>
      <x:c r="AE1350" s="604" t="n"/>
      <x:c r="AF1350" s="604" t="n"/>
      <x:c r="AG1350" s="604" t="n">
        <x:v>0.3737566955328845</x:v>
      </x:c>
      <x:c r="AH1350" s="604" t="n"/>
      <x:c r="AI1350" s="604" t="n"/>
      <x:c r="AJ1350" s="604" t="n">
        <x:v>0.3737566955328845</x:v>
      </x:c>
      <x:c r="AK1350" s="604" t="n"/>
      <x:c r="AL1350" s="604" t="n"/>
      <x:c r="AM1350" s="604" t="n"/>
      <x:c r="AN1350" s="604" t="inlineStr">
        <x:is>
          <x:t xml:space="preserve">FROZEN_PREMATCH_DECISION</x:t>
        </x:is>
      </x:c>
      <x:c r="AO1350" s="604" t="inlineStr">
        <x:is>
          <x:t xml:space="preserve">STARTED_DECISION_LOCKED</x:t>
        </x:is>
      </x:c>
      <x:c r="AP1350" s="604" t="inlineStr">
        <x:is>
          <x:t xml:space="preserve">173cebacb2e45baf8087</x:t>
        </x:is>
      </x:c>
      <x:c r="AQ1350" s="604" t="n">
        <x:v>0.25</x:v>
      </x:c>
      <x:c r="AR1350" s="604" t="n">
        <x:v>1</x:v>
      </x:c>
      <x:c r="AS1350" s="604" t="n">
        <x:v>-0.25</x:v>
      </x:c>
      <x:c r="AT1350" s="604" t="n">
        <x:v>0.25</x:v>
      </x:c>
      <x:c r="AU1350" s="604" t="n">
        <x:v>1</x:v>
      </x:c>
      <x:c r="AV1350" s="604" t="n">
        <x:v>0.8</x:v>
      </x:c>
      <x:c r="AW1350" s="604" t="inlineStr">
        <x:is>
          <x:t xml:space="preserve">2026-10-08T07:44:59.408325+08:00</x:t>
        </x:is>
      </x:c>
      <x:c r="AX1350" s="604" t="inlineStr">
        <x:is>
          <x:t xml:space="preserve">Titan007/V4</x:t>
        </x:is>
      </x:c>
      <x:c r="AY1350" s="604" t="inlineStr">
        <x:is>
          <x:t xml:space="preserve">Daily append；市场输入缺失时不生成决策</x:t>
        </x:is>
      </x:c>
    </x:row>
    <x:row r="1351" ht="22" customHeight="1">
      <x:c r="A1351" s="604" t="inlineStr">
        <x:is>
          <x:t xml:space="preserve">2026-10-08</x:t>
        </x:is>
      </x:c>
      <x:c r="B1351" s="604" t="inlineStr">
        <x:is>
          <x:t xml:space="preserve">2026-10-08T20:30:00+08:00</x:t>
        </x:is>
      </x:c>
      <x:c r="C1351" s="604" t="str">
        <x:v>其他系列</x:v>
      </x:c>
      <x:c r="D1351" s="604" t="inlineStr">
        <x:is>
          <x:t xml:space="preserve"/>
        </x:is>
      </x:c>
      <x:c r="E1351" s="604" t="inlineStr">
        <x:is>
          <x:t xml:space="preserve">埃及甲</x:t>
        </x:is>
      </x:c>
      <x:c r="F1351" s="604" t="inlineStr">
        <x:is>
          <x:t xml:space="preserve">开罗纳萨 vs 普斯SC</x:t>
        </x:is>
      </x:c>
      <x:c r="G1351" s="604" t="n">
        <x:v>0.7</x:v>
      </x:c>
      <x:c r="H1351" s="604" t="n">
        <x:v>0.5</x:v>
      </x:c>
      <x:c r="I1351" s="604" t="n">
        <x:v>1</x:v>
      </x:c>
      <x:c r="J1351" s="604" t="inlineStr">
        <x:is>
          <x:t xml:space="preserve">0.7/0.5/1.0</x:t>
        </x:is>
      </x:c>
      <x:c r="K1351" s="604" t="inlineStr">
        <x:is>
          <x:t xml:space="preserve">V4-B</x:t>
        </x:is>
      </x:c>
      <x:c r="L1351" s="604" t="inlineStr">
        <x:is>
          <x:t xml:space="preserve">开罗纳萨</x:t>
        </x:is>
      </x:c>
      <x:c r="M1351" s="604" t="n">
        <x:v>0.6723598691100833</x:v>
      </x:c>
      <x:c r="N1351" s="604" t="inlineStr">
        <x:is>
          <x:t xml:space="preserve">V4 Shadow Only；real_money=false</x:t>
        </x:is>
      </x:c>
      <x:c r="O1351" s="604" t="inlineStr">
        <x:is>
          <x:t xml:space="preserve">1-1</x:t>
        </x:is>
      </x:c>
      <x:c r="P1351" s="604" t="inlineStr">
        <x:is>
          <x:t xml:space="preserve">已结算</x:t>
        </x:is>
      </x:c>
      <x:c r="Q1351" s="646" t="inlineStr">
        <x:is>
          <x:t xml:space="preserve">黑</x:t>
        </x:is>
      </x:c>
      <x:c r="R1351" s="604" t="n">
        <x:v>0.7</x:v>
      </x:c>
      <x:c r="S1351" s="604" t="n">
        <x:v>-1</x:v>
      </x:c>
      <x:c r="T1351" s="604" t="inlineStr">
        <x:is>
          <x:t xml:space="preserve">D:\codex\v3_legacy\outputs\football_odds_trader\raw\titan007\20261008\20261008_074021_titan007_odds_snapshot.csv</x:t>
        </x:is>
      </x:c>
      <x:c r="U1351" s="645" t="inlineStr">
        <x:is>
          <x:t xml:space="preserve"/>
        </x:is>
      </x:c>
      <x:c r="V1351" s="604" t="inlineStr">
        <x:is>
          <x:t xml:space="preserve"/>
        </x:is>
      </x:c>
      <x:c r="W1351" s="604" t="inlineStr">
        <x:is>
          <x:t xml:space="preserve"/>
        </x:is>
      </x:c>
      <x:c r="X1351" s="604" t="inlineStr">
        <x:is>
          <x:t xml:space="preserve">3097900</x:t>
        </x:is>
      </x:c>
      <x:c r="Y1351" s="604" t="inlineStr">
        <x:is>
          <x:t xml:space="preserve">V4</x:t>
        </x:is>
      </x:c>
      <x:c r="Z1351" s="604" t="inlineStr">
        <x:is>
          <x:t xml:space="preserve">prior-2026-10-08-v1</x:t>
        </x:is>
      </x:c>
      <x:c r="AA1351" s="604" t="inlineStr">
        <x:is>
          <x:t xml:space="preserve">B</x:t>
        </x:is>
      </x:c>
      <x:c r="AB1351" s="604" t="n">
        <x:v>0.6723598691100833</x:v>
      </x:c>
      <x:c r="AC1351" s="604" t="n">
        <x:v>0.3276401308899168</x:v>
      </x:c>
      <x:c r="AD1351" s="604" t="n">
        <x:v>1.25</x:v>
      </x:c>
      <x:c r="AE1351" s="604" t="n"/>
      <x:c r="AF1351" s="604" t="n"/>
      <x:c r="AG1351" s="604" t="n">
        <x:v>0.1430117774871415</x:v>
      </x:c>
      <x:c r="AH1351" s="604" t="n"/>
      <x:c r="AI1351" s="604" t="n"/>
      <x:c r="AJ1351" s="604" t="n">
        <x:v>0.1430117774871415</x:v>
      </x:c>
      <x:c r="AK1351" s="604" t="n"/>
      <x:c r="AL1351" s="604" t="n"/>
      <x:c r="AM1351" s="604" t="n"/>
      <x:c r="AN1351" s="604" t="inlineStr">
        <x:is>
          <x:t xml:space="preserve">FROZEN_PREMATCH_DECISION</x:t>
        </x:is>
      </x:c>
      <x:c r="AO1351" s="604" t="inlineStr">
        <x:is>
          <x:t xml:space="preserve">STARTED_DECISION_LOCKED</x:t>
        </x:is>
      </x:c>
      <x:c r="AP1351" s="604" t="inlineStr">
        <x:is>
          <x:t xml:space="preserve">7ac1e9c10e10fce5179e</x:t>
        </x:is>
      </x:c>
      <x:c r="AQ1351" s="604" t="n">
        <x:v>-0.5</x:v>
      </x:c>
      <x:c r="AR1351" s="604" t="n">
        <x:v>0.7</x:v>
      </x:c>
      <x:c r="AS1351" s="604" t="n">
        <x:v>0.5</x:v>
      </x:c>
      <x:c r="AT1351" s="604" t="n">
        <x:v>-0.5</x:v>
      </x:c>
      <x:c r="AU1351" s="604" t="n">
        <x:v>0.7</x:v>
      </x:c>
      <x:c r="AV1351" s="604" t="n">
        <x:v>1</x:v>
      </x:c>
      <x:c r="AW1351" s="604" t="inlineStr">
        <x:is>
          <x:t xml:space="preserve">2026-10-08T07:44:59.408325+08:00</x:t>
        </x:is>
      </x:c>
      <x:c r="AX1351" s="604" t="inlineStr">
        <x:is>
          <x:t xml:space="preserve">Titan007/V4</x:t>
        </x:is>
      </x:c>
      <x:c r="AY1351" s="604" t="inlineStr">
        <x:is>
          <x:t xml:space="preserve">Daily append；市场输入缺失时不生成决策</x:t>
        </x:is>
      </x:c>
    </x:row>
    <x:row r="1352" ht="22" customHeight="1">
      <x:c r="A1352" s="604" t="inlineStr">
        <x:is>
          <x:t xml:space="preserve">2026-10-08</x:t>
        </x:is>
      </x:c>
      <x:c r="B1352" s="604" t="inlineStr">
        <x:is>
          <x:t xml:space="preserve">2026-10-08T20:30:00+08:00</x:t>
        </x:is>
      </x:c>
      <x:c r="C1352" s="604" t="str">
        <x:v>其他系列</x:v>
      </x:c>
      <x:c r="D1352" s="604" t="inlineStr">
        <x:is>
          <x:t xml:space="preserve"/>
        </x:is>
      </x:c>
      <x:c r="E1352" s="604" t="inlineStr">
        <x:is>
          <x:t xml:space="preserve">埃及甲</x:t>
        </x:is>
      </x:c>
      <x:c r="F1352" s="604" t="inlineStr">
        <x:is>
          <x:t xml:space="preserve">哈伊赫多 vs 斯卡哈迪德</x:t>
        </x:is>
      </x:c>
      <x:c r="G1352" s="604" t="n">
        <x:v>0.87</x:v>
      </x:c>
      <x:c r="H1352" s="604" t="n">
        <x:v>0.75</x:v>
      </x:c>
      <x:c r="I1352" s="604" t="n">
        <x:v>0.83</x:v>
      </x:c>
      <x:c r="J1352" s="604" t="inlineStr">
        <x:is>
          <x:t xml:space="preserve">0.87/0.75/0.83</x:t>
        </x:is>
      </x:c>
      <x:c r="K1352" s="604" t="inlineStr">
        <x:is>
          <x:t xml:space="preserve">V4-B</x:t>
        </x:is>
      </x:c>
      <x:c r="L1352" s="604" t="inlineStr">
        <x:is>
          <x:t xml:space="preserve">哈伊赫多</x:t>
        </x:is>
      </x:c>
      <x:c r="M1352" s="604" t="n">
        <x:v>0.5860433599104609</x:v>
      </x:c>
      <x:c r="N1352" s="604" t="inlineStr">
        <x:is>
          <x:t xml:space="preserve">V4 Shadow Only；real_money=false</x:t>
        </x:is>
      </x:c>
      <x:c r="O1352" s="604" t="inlineStr">
        <x:is>
          <x:t xml:space="preserve">1-1</x:t>
        </x:is>
      </x:c>
      <x:c r="P1352" s="604" t="inlineStr">
        <x:is>
          <x:t xml:space="preserve">已结算</x:t>
        </x:is>
      </x:c>
      <x:c r="Q1352" s="646" t="inlineStr">
        <x:is>
          <x:t xml:space="preserve">黑</x:t>
        </x:is>
      </x:c>
      <x:c r="R1352" s="604" t="n">
        <x:v>0.87</x:v>
      </x:c>
      <x:c r="S1352" s="604" t="n">
        <x:v>-1</x:v>
      </x:c>
      <x:c r="T1352" s="604" t="inlineStr">
        <x:is>
          <x:t xml:space="preserve">D:\codex\v3_legacy\outputs\football_odds_trader\raw\titan007\20261008\20261008_074021_titan007_odds_snapshot.csv</x:t>
        </x:is>
      </x:c>
      <x:c r="U1352" s="645" t="inlineStr">
        <x:is>
          <x:t xml:space="preserve"/>
        </x:is>
      </x:c>
      <x:c r="V1352" s="604" t="inlineStr">
        <x:is>
          <x:t xml:space="preserve"/>
        </x:is>
      </x:c>
      <x:c r="W1352" s="604" t="inlineStr">
        <x:is>
          <x:t xml:space="preserve"/>
        </x:is>
      </x:c>
      <x:c r="X1352" s="604" t="inlineStr">
        <x:is>
          <x:t xml:space="preserve">3097901</x:t>
        </x:is>
      </x:c>
      <x:c r="Y1352" s="604" t="inlineStr">
        <x:is>
          <x:t xml:space="preserve">V4</x:t>
        </x:is>
      </x:c>
      <x:c r="Z1352" s="604" t="inlineStr">
        <x:is>
          <x:t xml:space="preserve">prior-2026-10-08-v1</x:t>
        </x:is>
      </x:c>
      <x:c r="AA1352" s="604" t="inlineStr">
        <x:is>
          <x:t xml:space="preserve">B</x:t>
        </x:is>
      </x:c>
      <x:c r="AB1352" s="604" t="n">
        <x:v>0.5860433599104609</x:v>
      </x:c>
      <x:c r="AC1352" s="604" t="n">
        <x:v>0.28512469901218</x:v>
      </x:c>
      <x:c r="AD1352" s="604" t="n">
        <x:v>1.5</x:v>
      </x:c>
      <x:c r="AE1352" s="604" t="n"/>
      <x:c r="AF1352" s="604" t="n"/>
      <x:c r="AG1352" s="604" t="n">
        <x:v>0.2247330241099209</x:v>
      </x:c>
      <x:c r="AH1352" s="604" t="n"/>
      <x:c r="AI1352" s="604" t="n"/>
      <x:c r="AJ1352" s="604" t="n">
        <x:v>0.2247330241099209</x:v>
      </x:c>
      <x:c r="AK1352" s="604" t="n"/>
      <x:c r="AL1352" s="604" t="n"/>
      <x:c r="AM1352" s="604" t="n"/>
      <x:c r="AN1352" s="604" t="inlineStr">
        <x:is>
          <x:t xml:space="preserve">FROZEN_PREMATCH_DECISION</x:t>
        </x:is>
      </x:c>
      <x:c r="AO1352" s="604" t="inlineStr">
        <x:is>
          <x:t xml:space="preserve">STARTED_DECISION_LOCKED</x:t>
        </x:is>
      </x:c>
      <x:c r="AP1352" s="604" t="inlineStr">
        <x:is>
          <x:t xml:space="preserve">97058fa5a3ad16b5a2c0</x:t>
        </x:is>
      </x:c>
      <x:c r="AQ1352" s="604" t="n">
        <x:v>-0.75</x:v>
      </x:c>
      <x:c r="AR1352" s="604" t="n">
        <x:v>0.87</x:v>
      </x:c>
      <x:c r="AS1352" s="604" t="n">
        <x:v>0.75</x:v>
      </x:c>
      <x:c r="AT1352" s="604" t="n">
        <x:v>-0.75</x:v>
      </x:c>
      <x:c r="AU1352" s="604" t="n">
        <x:v>0.87</x:v>
      </x:c>
      <x:c r="AV1352" s="604" t="n">
        <x:v>0.83</x:v>
      </x:c>
      <x:c r="AW1352" s="604" t="inlineStr">
        <x:is>
          <x:t xml:space="preserve">2026-10-08T07:44:59.408325+08:00</x:t>
        </x:is>
      </x:c>
      <x:c r="AX1352" s="604" t="inlineStr">
        <x:is>
          <x:t xml:space="preserve">Titan007/V4</x:t>
        </x:is>
      </x:c>
      <x:c r="AY1352" s="604" t="inlineStr">
        <x:is>
          <x:t xml:space="preserve">Daily append；市场输入缺失时不生成决策</x:t>
        </x:is>
      </x:c>
    </x:row>
    <x:row r="1353" ht="22" customHeight="1">
      <x:c r="A1353" s="604" t="inlineStr">
        <x:is>
          <x:t xml:space="preserve">2026-10-08</x:t>
        </x:is>
      </x:c>
      <x:c r="B1353" s="604" t="inlineStr">
        <x:is>
          <x:t xml:space="preserve">2026-10-08T20:30:00+08:00</x:t>
        </x:is>
      </x:c>
      <x:c r="C1353" s="604" t="str">
        <x:v>其他系列</x:v>
      </x:c>
      <x:c r="D1353" s="604" t="inlineStr">
        <x:is>
          <x:t xml:space="preserve"/>
        </x:is>
      </x:c>
      <x:c r="E1353" s="604" t="inlineStr">
        <x:is>
          <x:t xml:space="preserve">埃及甲</x:t>
        </x:is>
      </x:c>
      <x:c r="F1353" s="604" t="inlineStr">
        <x:is>
          <x:t xml:space="preserve">马萨尔FC vs El达克尔野</x:t>
        </x:is>
      </x:c>
      <x:c r="G1353" s="604" t="n">
        <x:v>0.95</x:v>
      </x:c>
      <x:c r="H1353" s="604" t="n">
        <x:v>1</x:v>
      </x:c>
      <x:c r="I1353" s="604" t="n">
        <x:v>0.75</x:v>
      </x:c>
      <x:c r="J1353" s="604" t="inlineStr">
        <x:is>
          <x:t xml:space="preserve">0.95/1.0/0.75</x:t>
        </x:is>
      </x:c>
      <x:c r="K1353" s="604" t="inlineStr">
        <x:is>
          <x:t xml:space="preserve">V4-B</x:t>
        </x:is>
      </x:c>
      <x:c r="L1353" s="604" t="inlineStr">
        <x:is>
          <x:t xml:space="preserve">马萨尔FC</x:t>
        </x:is>
      </x:c>
      <x:c r="M1353" s="604" t="n">
        <x:v>0.5155290751876198</x:v>
      </x:c>
      <x:c r="N1353" s="604" t="inlineStr">
        <x:is>
          <x:t xml:space="preserve">V4 Shadow Only；real_money=false</x:t>
        </x:is>
      </x:c>
      <x:c r="O1353" s="604" t="inlineStr">
        <x:is>
          <x:t xml:space="preserve">3-1</x:t>
        </x:is>
      </x:c>
      <x:c r="P1353" s="604" t="inlineStr">
        <x:is>
          <x:t xml:space="preserve">已结算</x:t>
        </x:is>
      </x:c>
      <x:c r="Q1353" s="646" t="inlineStr">
        <x:is>
          <x:t xml:space="preserve">红</x:t>
        </x:is>
      </x:c>
      <x:c r="R1353" s="604" t="n">
        <x:v>0.95</x:v>
      </x:c>
      <x:c r="S1353" s="604" t="n">
        <x:v>0.95</x:v>
      </x:c>
      <x:c r="T1353" s="604" t="inlineStr">
        <x:is>
          <x:t xml:space="preserve">D:\codex\v3_legacy\outputs\football_odds_trader\raw\titan007\20261008\20261008_074021_titan007_odds_snapshot.csv</x:t>
        </x:is>
      </x:c>
      <x:c r="U1353" s="645" t="inlineStr">
        <x:is>
          <x:t xml:space="preserve"/>
        </x:is>
      </x:c>
      <x:c r="V1353" s="604" t="inlineStr">
        <x:is>
          <x:t xml:space="preserve"/>
        </x:is>
      </x:c>
      <x:c r="W1353" s="604" t="inlineStr">
        <x:is>
          <x:t xml:space="preserve"/>
        </x:is>
      </x:c>
      <x:c r="X1353" s="604" t="inlineStr">
        <x:is>
          <x:t xml:space="preserve">3097902</x:t>
        </x:is>
      </x:c>
      <x:c r="Y1353" s="604" t="inlineStr">
        <x:is>
          <x:t xml:space="preserve">V4</x:t>
        </x:is>
      </x:c>
      <x:c r="Z1353" s="604" t="inlineStr">
        <x:is>
          <x:t xml:space="preserve">prior-2026-10-08-v1</x:t>
        </x:is>
      </x:c>
      <x:c r="AA1353" s="604" t="inlineStr">
        <x:is>
          <x:t xml:space="preserve">B</x:t>
        </x:is>
      </x:c>
      <x:c r="AB1353" s="604" t="n">
        <x:v>0.5155290751876198</x:v>
      </x:c>
      <x:c r="AC1353" s="604" t="n">
        <x:v>0.2345685272400153</x:v>
      </x:c>
      <x:c r="AD1353" s="604" t="n">
        <x:v>1.75</x:v>
      </x:c>
      <x:c r="AE1353" s="604" t="n"/>
      <x:c r="AF1353" s="604" t="n"/>
      <x:c r="AG1353" s="604" t="n">
        <x:v>0.2551840941882235</x:v>
      </x:c>
      <x:c r="AH1353" s="604" t="n"/>
      <x:c r="AI1353" s="604" t="n"/>
      <x:c r="AJ1353" s="604" t="n">
        <x:v>0.2551840941882235</x:v>
      </x:c>
      <x:c r="AK1353" s="604" t="n"/>
      <x:c r="AL1353" s="604" t="n"/>
      <x:c r="AM1353" s="604" t="n"/>
      <x:c r="AN1353" s="604" t="inlineStr">
        <x:is>
          <x:t xml:space="preserve">FROZEN_PREMATCH_DECISION</x:t>
        </x:is>
      </x:c>
      <x:c r="AO1353" s="604" t="inlineStr">
        <x:is>
          <x:t xml:space="preserve">STARTED_DECISION_LOCKED</x:t>
        </x:is>
      </x:c>
      <x:c r="AP1353" s="604" t="inlineStr">
        <x:is>
          <x:t xml:space="preserve">8bd125be0acfc8fc2463</x:t>
        </x:is>
      </x:c>
      <x:c r="AQ1353" s="604" t="n">
        <x:v>-1</x:v>
      </x:c>
      <x:c r="AR1353" s="604" t="n">
        <x:v>0.95</x:v>
      </x:c>
      <x:c r="AS1353" s="604" t="n">
        <x:v>1</x:v>
      </x:c>
      <x:c r="AT1353" s="604" t="n">
        <x:v>-1</x:v>
      </x:c>
      <x:c r="AU1353" s="604" t="n">
        <x:v>0.95</x:v>
      </x:c>
      <x:c r="AV1353" s="604" t="n">
        <x:v>0.75</x:v>
      </x:c>
      <x:c r="AW1353" s="604" t="inlineStr">
        <x:is>
          <x:t xml:space="preserve">2026-10-08T07:44:59.408325+08:00</x:t>
        </x:is>
      </x:c>
      <x:c r="AX1353" s="604" t="inlineStr">
        <x:is>
          <x:t xml:space="preserve">Titan007/V4</x:t>
        </x:is>
      </x:c>
      <x:c r="AY1353" s="604" t="inlineStr">
        <x:is>
          <x:t xml:space="preserve">Daily append；市场输入缺失时不生成决策</x:t>
        </x:is>
      </x:c>
    </x:row>
    <x:row r="1354" ht="22" customHeight="1">
      <x:c r="A1354" s="604" t="inlineStr">
        <x:is>
          <x:t xml:space="preserve">2026-10-08</x:t>
        </x:is>
      </x:c>
      <x:c r="B1354" s="604" t="inlineStr">
        <x:is>
          <x:t xml:space="preserve">2026-10-08T20:30:00+08:00</x:t>
        </x:is>
      </x:c>
      <x:c r="C1354" s="604" t="str">
        <x:v>其他系列</x:v>
      </x:c>
      <x:c r="D1354" s="604" t="inlineStr">
        <x:is>
          <x:t xml:space="preserve"/>
        </x:is>
      </x:c>
      <x:c r="E1354" s="604" t="inlineStr">
        <x:is>
          <x:t xml:space="preserve">埃及甲</x:t>
        </x:is>
      </x:c>
      <x:c r="F1354" s="604" t="inlineStr">
        <x:is>
          <x:t xml:space="preserve">三角洲联 vs 达雅洛特</x:t>
        </x:is>
      </x:c>
      <x:c r="G1354" s="604" t="n">
        <x:v>0.8</x:v>
      </x:c>
      <x:c r="H1354" s="604" t="n">
        <x:v>0.5</x:v>
      </x:c>
      <x:c r="I1354" s="604" t="n">
        <x:v>0.9</x:v>
      </x:c>
      <x:c r="J1354" s="604" t="inlineStr">
        <x:is>
          <x:t xml:space="preserve">0.8/0.5/0.9</x:t>
        </x:is>
      </x:c>
      <x:c r="K1354" s="604" t="inlineStr">
        <x:is>
          <x:t xml:space="preserve">V4-B</x:t>
        </x:is>
      </x:c>
      <x:c r="L1354" s="604" t="inlineStr">
        <x:is>
          <x:t xml:space="preserve">三角洲联</x:t>
        </x:is>
      </x:c>
      <x:c r="M1354" s="604" t="n">
        <x:v>0.5996334069381647</x:v>
      </x:c>
      <x:c r="N1354" s="604" t="inlineStr">
        <x:is>
          <x:t xml:space="preserve">V4 Shadow Only；real_money=false</x:t>
        </x:is>
      </x:c>
      <x:c r="O1354" s="604" t="inlineStr">
        <x:is>
          <x:t xml:space="preserve">0-1</x:t>
        </x:is>
      </x:c>
      <x:c r="P1354" s="604" t="inlineStr">
        <x:is>
          <x:t xml:space="preserve">已结算</x:t>
        </x:is>
      </x:c>
      <x:c r="Q1354" s="646" t="inlineStr">
        <x:is>
          <x:t xml:space="preserve">黑</x:t>
        </x:is>
      </x:c>
      <x:c r="R1354" s="604" t="n">
        <x:v>0.8</x:v>
      </x:c>
      <x:c r="S1354" s="604" t="n">
        <x:v>-1</x:v>
      </x:c>
      <x:c r="T1354" s="604" t="inlineStr">
        <x:is>
          <x:t xml:space="preserve">D:\codex\v3_legacy\outputs\football_odds_trader\raw\titan007\20261008\20261008_074021_titan007_odds_snapshot.csv</x:t>
        </x:is>
      </x:c>
      <x:c r="U1354" s="645" t="inlineStr">
        <x:is>
          <x:t xml:space="preserve"/>
        </x:is>
      </x:c>
      <x:c r="V1354" s="604" t="inlineStr">
        <x:is>
          <x:t xml:space="preserve"/>
        </x:is>
      </x:c>
      <x:c r="W1354" s="604" t="inlineStr">
        <x:is>
          <x:t xml:space="preserve"/>
        </x:is>
      </x:c>
      <x:c r="X1354" s="604" t="inlineStr">
        <x:is>
          <x:t xml:space="preserve">3097903</x:t>
        </x:is>
      </x:c>
      <x:c r="Y1354" s="604" t="inlineStr">
        <x:is>
          <x:t xml:space="preserve">V4</x:t>
        </x:is>
      </x:c>
      <x:c r="Z1354" s="604" t="inlineStr">
        <x:is>
          <x:t xml:space="preserve">prior-2026-10-08-v1</x:t>
        </x:is>
      </x:c>
      <x:c r="AA1354" s="604" t="inlineStr">
        <x:is>
          <x:t xml:space="preserve">B</x:t>
        </x:is>
      </x:c>
      <x:c r="AB1354" s="604" t="n">
        <x:v>0.5996334069381647</x:v>
      </x:c>
      <x:c r="AC1354" s="604" t="n">
        <x:v>0.4003665930618354</x:v>
      </x:c>
      <x:c r="AD1354" s="604" t="n">
        <x:v>1</x:v>
      </x:c>
      <x:c r="AE1354" s="604" t="n"/>
      <x:c r="AF1354" s="604" t="n"/>
      <x:c r="AG1354" s="604" t="n">
        <x:v>0.07934013248869642</x:v>
      </x:c>
      <x:c r="AH1354" s="604" t="n"/>
      <x:c r="AI1354" s="604" t="n"/>
      <x:c r="AJ1354" s="604" t="n">
        <x:v>0.07934013248869642</x:v>
      </x:c>
      <x:c r="AK1354" s="604" t="n"/>
      <x:c r="AL1354" s="604" t="n"/>
      <x:c r="AM1354" s="604" t="n"/>
      <x:c r="AN1354" s="604" t="inlineStr">
        <x:is>
          <x:t xml:space="preserve">FROZEN_PREMATCH_DECISION</x:t>
        </x:is>
      </x:c>
      <x:c r="AO1354" s="604" t="inlineStr">
        <x:is>
          <x:t xml:space="preserve">STARTED_DECISION_LOCKED</x:t>
        </x:is>
      </x:c>
      <x:c r="AP1354" s="604" t="inlineStr">
        <x:is>
          <x:t xml:space="preserve">8e2b10ac6e1afb325b06</x:t>
        </x:is>
      </x:c>
      <x:c r="AQ1354" s="604" t="n">
        <x:v>-0.5</x:v>
      </x:c>
      <x:c r="AR1354" s="604" t="n">
        <x:v>0.8</x:v>
      </x:c>
      <x:c r="AS1354" s="604" t="n">
        <x:v>0.5</x:v>
      </x:c>
      <x:c r="AT1354" s="604" t="n">
        <x:v>-0.5</x:v>
      </x:c>
      <x:c r="AU1354" s="604" t="n">
        <x:v>0.8</x:v>
      </x:c>
      <x:c r="AV1354" s="604" t="n">
        <x:v>0.9</x:v>
      </x:c>
      <x:c r="AW1354" s="604" t="inlineStr">
        <x:is>
          <x:t xml:space="preserve">2026-10-08T07:44:59.408325+08:00</x:t>
        </x:is>
      </x:c>
      <x:c r="AX1354" s="604" t="inlineStr">
        <x:is>
          <x:t xml:space="preserve">Titan007/V4</x:t>
        </x:is>
      </x:c>
      <x:c r="AY1354" s="604" t="inlineStr">
        <x:is>
          <x:t xml:space="preserve">Daily append；市场输入缺失时不生成决策</x:t>
        </x:is>
      </x:c>
    </x:row>
    <x:row r="1355" ht="22" customHeight="1">
      <x:c r="A1355" s="604" t="inlineStr">
        <x:is>
          <x:t xml:space="preserve">2026-10-08</x:t>
        </x:is>
      </x:c>
      <x:c r="B1355" s="604" t="inlineStr">
        <x:is>
          <x:t xml:space="preserve">2026-10-08T20:30:00+08:00</x:t>
        </x:is>
      </x:c>
      <x:c r="C1355" s="604" t="str">
        <x:v>其他系列</x:v>
      </x:c>
      <x:c r="D1355" s="604" t="inlineStr">
        <x:is>
          <x:t xml:space="preserve"/>
        </x:is>
      </x:c>
      <x:c r="E1355" s="604" t="inlineStr">
        <x:is>
          <x:t xml:space="preserve">埃及甲</x:t>
        </x:is>
      </x:c>
      <x:c r="F1355" s="604" t="inlineStr">
        <x:is>
          <x:t xml:space="preserve">特萨纳体育 vs 卡巴阿斯玛利</x:t>
        </x:is>
      </x:c>
      <x:c r="G1355" s="604" t="n">
        <x:v>0.7</x:v>
      </x:c>
      <x:c r="H1355" s="604" t="n">
        <x:v>-0.25</x:v>
      </x:c>
      <x:c r="I1355" s="604" t="n">
        <x:v>1</x:v>
      </x:c>
      <x:c r="J1355" s="604" t="inlineStr">
        <x:is>
          <x:t xml:space="preserve">0.7/-0.25/1.0</x:t>
        </x:is>
      </x:c>
      <x:c r="K1355" s="604" t="inlineStr">
        <x:is>
          <x:t xml:space="preserve">V4-B</x:t>
        </x:is>
      </x:c>
      <x:c r="L1355" s="604" t="inlineStr">
        <x:is>
          <x:t xml:space="preserve">特萨纳体育</x:t>
        </x:is>
      </x:c>
      <x:c r="M1355" s="604" t="n">
        <x:v>0.2524960209133132</x:v>
      </x:c>
      <x:c r="N1355" s="604" t="inlineStr">
        <x:is>
          <x:t xml:space="preserve">V4 Shadow Only；real_money=false</x:t>
        </x:is>
      </x:c>
      <x:c r="O1355" s="604" t="inlineStr">
        <x:is>
          <x:t xml:space="preserve">2-2</x:t>
        </x:is>
      </x:c>
      <x:c r="P1355" s="604" t="inlineStr">
        <x:is>
          <x:t xml:space="preserve">已结算</x:t>
        </x:is>
      </x:c>
      <x:c r="Q1355" s="646" t="inlineStr">
        <x:is>
          <x:t xml:space="preserve">半红</x:t>
        </x:is>
      </x:c>
      <x:c r="R1355" s="604" t="n">
        <x:v>0.7</x:v>
      </x:c>
      <x:c r="S1355" s="604" t="n">
        <x:v>0.35</x:v>
      </x:c>
      <x:c r="T1355" s="604" t="inlineStr">
        <x:is>
          <x:t xml:space="preserve">D:\codex\v3_legacy\outputs\football_odds_trader\raw\titan007\20261008\20261008_074021_titan007_odds_snapshot.csv</x:t>
        </x:is>
      </x:c>
      <x:c r="U1355" s="645" t="inlineStr">
        <x:is>
          <x:t xml:space="preserve"/>
        </x:is>
      </x:c>
      <x:c r="V1355" s="604" t="inlineStr">
        <x:is>
          <x:t xml:space="preserve"/>
        </x:is>
      </x:c>
      <x:c r="W1355" s="604" t="inlineStr">
        <x:is>
          <x:t xml:space="preserve"/>
        </x:is>
      </x:c>
      <x:c r="X1355" s="604" t="inlineStr">
        <x:is>
          <x:t xml:space="preserve">3097904</x:t>
        </x:is>
      </x:c>
      <x:c r="Y1355" s="604" t="inlineStr">
        <x:is>
          <x:t xml:space="preserve">V4</x:t>
        </x:is>
      </x:c>
      <x:c r="Z1355" s="604" t="inlineStr">
        <x:is>
          <x:t xml:space="preserve">prior-2026-10-08-v1</x:t>
        </x:is>
      </x:c>
      <x:c r="AA1355" s="604" t="inlineStr">
        <x:is>
          <x:t xml:space="preserve">B</x:t>
        </x:is>
      </x:c>
      <x:c r="AB1355" s="604" t="n">
        <x:v>0.2524960209133132</x:v>
      </x:c>
      <x:c r="AC1355" s="604" t="n">
        <x:v>0.6185746383530654</x:v>
      </x:c>
      <x:c r="AD1355" s="604" t="n">
        <x:v>-0.5</x:v>
      </x:c>
      <x:c r="AE1355" s="604" t="n"/>
      <x:c r="AF1355" s="604" t="n"/>
      <x:c r="AG1355" s="604" t="n">
        <x:v>0.1805062259338325</x:v>
      </x:c>
      <x:c r="AH1355" s="604" t="n"/>
      <x:c r="AI1355" s="604" t="n"/>
      <x:c r="AJ1355" s="604" t="n">
        <x:v>0.1805062259338325</x:v>
      </x:c>
      <x:c r="AK1355" s="604" t="n"/>
      <x:c r="AL1355" s="604" t="n"/>
      <x:c r="AM1355" s="604" t="n"/>
      <x:c r="AN1355" s="604" t="inlineStr">
        <x:is>
          <x:t xml:space="preserve">FROZEN_PREMATCH_DECISION</x:t>
        </x:is>
      </x:c>
      <x:c r="AO1355" s="604" t="inlineStr">
        <x:is>
          <x:t xml:space="preserve">STARTED_DECISION_LOCKED</x:t>
        </x:is>
      </x:c>
      <x:c r="AP1355" s="604" t="inlineStr">
        <x:is>
          <x:t xml:space="preserve">6f95f1ad32164f116e17</x:t>
        </x:is>
      </x:c>
      <x:c r="AQ1355" s="604" t="n">
        <x:v>0.25</x:v>
      </x:c>
      <x:c r="AR1355" s="604" t="n">
        <x:v>0.7</x:v>
      </x:c>
      <x:c r="AS1355" s="604" t="n">
        <x:v>-0.25</x:v>
      </x:c>
      <x:c r="AT1355" s="604" t="n">
        <x:v>0.25</x:v>
      </x:c>
      <x:c r="AU1355" s="604" t="n">
        <x:v>0.7</x:v>
      </x:c>
      <x:c r="AV1355" s="604" t="n">
        <x:v>1</x:v>
      </x:c>
      <x:c r="AW1355" s="604" t="inlineStr">
        <x:is>
          <x:t xml:space="preserve">2026-10-08T07:44:59.408325+08:00</x:t>
        </x:is>
      </x:c>
      <x:c r="AX1355" s="604" t="inlineStr">
        <x:is>
          <x:t xml:space="preserve">Titan007/V4</x:t>
        </x:is>
      </x:c>
      <x:c r="AY1355" s="604" t="inlineStr">
        <x:is>
          <x:t xml:space="preserve">Daily append；市场输入缺失时不生成决策</x:t>
        </x:is>
      </x:c>
    </x:row>
    <x:row r="1356" ht="22" customHeight="1">
      <x:c r="A1356" s="604" t="inlineStr">
        <x:is>
          <x:t xml:space="preserve">2026-10-08</x:t>
        </x:is>
      </x:c>
      <x:c r="B1356" s="604" t="inlineStr">
        <x:is>
          <x:t xml:space="preserve">2026-10-09T00:00:00+08:00</x:t>
        </x:is>
      </x:c>
      <x:c r="C1356" s="604" t="str">
        <x:v>西亚/中亚系列</x:v>
      </x:c>
      <x:c r="D1356" s="604" t="inlineStr">
        <x:is>
          <x:t xml:space="preserve"/>
        </x:is>
      </x:c>
      <x:c r="E1356" s="604" t="inlineStr">
        <x:is>
          <x:t xml:space="preserve">巴王杯</x:t>
        </x:is>
      </x:c>
      <x:c r="F1356" s="604" t="inlineStr">
        <x:is>
          <x:t xml:space="preserve">阿尔哈拉 vs 农夫队</x:t>
        </x:is>
      </x:c>
      <x:c r="G1356" s="604" t="n">
        <x:v>0.85</x:v>
      </x:c>
      <x:c r="H1356" s="604" t="n">
        <x:v>0.5</x:v>
      </x:c>
      <x:c r="I1356" s="604" t="n">
        <x:v>0.95</x:v>
      </x:c>
      <x:c r="J1356" s="604" t="inlineStr">
        <x:is>
          <x:t xml:space="preserve">0.85/0.5/0.95</x:t>
        </x:is>
      </x:c>
      <x:c r="K1356" s="604" t="inlineStr">
        <x:is>
          <x:t xml:space="preserve">V4-B</x:t>
        </x:is>
      </x:c>
      <x:c r="L1356" s="604" t="inlineStr">
        <x:is>
          <x:t xml:space="preserve">阿尔哈拉</x:t>
        </x:is>
      </x:c>
      <x:c r="M1356" s="604" t="n">
        <x:v>0.5904330926915269</x:v>
      </x:c>
      <x:c r="N1356" s="604" t="inlineStr">
        <x:is>
          <x:t xml:space="preserve">V4 Shadow Only；real_money=false</x:t>
        </x:is>
      </x:c>
      <x:c r="O1356" s="604" t="inlineStr">
        <x:is>
          <x:t xml:space="preserve">1-0</x:t>
        </x:is>
      </x:c>
      <x:c r="P1356" s="604" t="inlineStr">
        <x:is>
          <x:t xml:space="preserve">已结算</x:t>
        </x:is>
      </x:c>
      <x:c r="Q1356" s="646" t="inlineStr">
        <x:is>
          <x:t xml:space="preserve">红</x:t>
        </x:is>
      </x:c>
      <x:c r="R1356" s="604" t="n">
        <x:v>0.85</x:v>
      </x:c>
      <x:c r="S1356" s="604" t="n">
        <x:v>0.85</x:v>
      </x:c>
      <x:c r="T1356" s="604" t="inlineStr">
        <x:is>
          <x:t xml:space="preserve">D:\codex\v3_legacy\outputs\football_odds_trader\raw\titan007\20261008\20261008_074021_titan007_odds_snapshot.csv</x:t>
        </x:is>
      </x:c>
      <x:c r="U1356" s="645" t="inlineStr">
        <x:is>
          <x:t xml:space="preserve"/>
        </x:is>
      </x:c>
      <x:c r="V1356" s="604" t="inlineStr">
        <x:is>
          <x:t xml:space="preserve"/>
        </x:is>
      </x:c>
      <x:c r="W1356" s="604" t="inlineStr">
        <x:is>
          <x:t xml:space="preserve"/>
        </x:is>
      </x:c>
      <x:c r="X1356" s="604" t="inlineStr">
        <x:is>
          <x:t xml:space="preserve">3099905</x:t>
        </x:is>
      </x:c>
      <x:c r="Y1356" s="604" t="inlineStr">
        <x:is>
          <x:t xml:space="preserve">V4</x:t>
        </x:is>
      </x:c>
      <x:c r="Z1356" s="604" t="inlineStr">
        <x:is>
          <x:t xml:space="preserve">prior-2026-10-08-v1</x:t>
        </x:is>
      </x:c>
      <x:c r="AA1356" s="604" t="inlineStr">
        <x:is>
          <x:t xml:space="preserve">B</x:t>
        </x:is>
      </x:c>
      <x:c r="AB1356" s="604" t="n">
        <x:v>0.5904330926915269</x:v>
      </x:c>
      <x:c r="AC1356" s="604" t="n">
        <x:v>0.4095669073084731</x:v>
      </x:c>
      <x:c r="AD1356" s="604" t="n">
        <x:v>1</x:v>
      </x:c>
      <x:c r="AE1356" s="604" t="n"/>
      <x:c r="AF1356" s="604" t="n"/>
      <x:c r="AG1356" s="604" t="n">
        <x:v>0.09230122147932474</x:v>
      </x:c>
      <x:c r="AH1356" s="604" t="n"/>
      <x:c r="AI1356" s="604" t="n"/>
      <x:c r="AJ1356" s="604" t="n">
        <x:v>0.09230122147932474</x:v>
      </x:c>
      <x:c r="AK1356" s="604" t="n"/>
      <x:c r="AL1356" s="604" t="n"/>
      <x:c r="AM1356" s="604" t="n"/>
      <x:c r="AN1356" s="604" t="inlineStr">
        <x:is>
          <x:t xml:space="preserve">EVALUATED</x:t>
        </x:is>
      </x:c>
      <x:c r="AO1356" s="604" t="inlineStr">
        <x:is>
          <x:t xml:space="preserve">GIVING_VALIDATED_EDGE;BUCKET_PRIOR_ONLY;INTENT_INTERPRETATION_ONLY;FFL_OPTIONAL;EXPERT_MARKET</x:t>
        </x:is>
      </x:c>
      <x:c r="AP1356" s="604" t="inlineStr">
        <x:is>
          <x:t xml:space="preserve">9d2827e9dc3c87c4a2a6</x:t>
        </x:is>
      </x:c>
      <x:c r="AQ1356" s="604" t="n">
        <x:v>-0.5</x:v>
      </x:c>
      <x:c r="AR1356" s="604" t="n">
        <x:v>0.85</x:v>
      </x:c>
      <x:c r="AS1356" s="604" t="n">
        <x:v>0.5</x:v>
      </x:c>
      <x:c r="AT1356" s="604" t="n">
        <x:v>-0.5</x:v>
      </x:c>
      <x:c r="AU1356" s="604" t="n">
        <x:v>0.85</x:v>
      </x:c>
      <x:c r="AV1356" s="604" t="n">
        <x:v>0.95</x:v>
      </x:c>
      <x:c r="AW1356" s="604" t="inlineStr">
        <x:is>
          <x:t xml:space="preserve">2026-10-08T07:44:59.408325+08:00</x:t>
        </x:is>
      </x:c>
      <x:c r="AX1356" s="604" t="inlineStr">
        <x:is>
          <x:t xml:space="preserve">Titan007/V4</x:t>
        </x:is>
      </x:c>
      <x:c r="AY1356" s="604" t="inlineStr">
        <x:is>
          <x:t xml:space="preserve">Daily append；市场输入缺失时不生成决策</x:t>
        </x:is>
      </x:c>
    </x:row>
    <x:row r="1357" ht="22" customHeight="1">
      <x:c r="A1357" s="604" t="inlineStr">
        <x:is>
          <x:t xml:space="preserve">2026-10-08</x:t>
        </x:is>
      </x:c>
      <x:c r="B1357" s="604" t="inlineStr">
        <x:is>
          <x:t xml:space="preserve">2026-10-09T00:00:00+08:00</x:t>
        </x:is>
      </x:c>
      <x:c r="C1357" s="604" t="str">
        <x:v>西亚/中亚系列</x:v>
      </x:c>
      <x:c r="D1357" s="604" t="inlineStr">
        <x:is>
          <x:t xml:space="preserve"/>
        </x:is>
      </x:c>
      <x:c r="E1357" s="604" t="inlineStr">
        <x:is>
          <x:t xml:space="preserve">巴王杯</x:t>
        </x:is>
      </x:c>
      <x:c r="F1357" s="604" t="inlineStr">
        <x:is>
          <x:t xml:space="preserve">哈萨姆 vs 艾沙镇</x:t>
        </x:is>
      </x:c>
      <x:c r="G1357" s="604" t="n">
        <x:v>0.83</x:v>
      </x:c>
      <x:c r="H1357" s="604" t="n">
        <x:v>0.25</x:v>
      </x:c>
      <x:c r="I1357" s="604" t="n">
        <x:v>0.98</x:v>
      </x:c>
      <x:c r="J1357" s="604" t="inlineStr">
        <x:is>
          <x:t xml:space="preserve">0.83/0.25/0.98</x:t>
        </x:is>
      </x:c>
      <x:c r="K1357" s="604" t="inlineStr">
        <x:is>
          <x:t xml:space="preserve">V4-B</x:t>
        </x:is>
      </x:c>
      <x:c r="L1357" s="604" t="inlineStr">
        <x:is>
          <x:t xml:space="preserve">哈萨姆</x:t>
        </x:is>
      </x:c>
      <x:c r="M1357" s="604" t="n">
        <x:v>0.5178748266411254</x:v>
      </x:c>
      <x:c r="N1357" s="604" t="inlineStr">
        <x:is>
          <x:t xml:space="preserve">V4 Shadow Only；real_money=false</x:t>
        </x:is>
      </x:c>
      <x:c r="O1357" s="604" t="inlineStr">
        <x:is>
          <x:t xml:space="preserve">2-2</x:t>
        </x:is>
      </x:c>
      <x:c r="P1357" s="604" t="inlineStr">
        <x:is>
          <x:t xml:space="preserve">已结算</x:t>
        </x:is>
      </x:c>
      <x:c r="Q1357" s="646" t="inlineStr">
        <x:is>
          <x:t xml:space="preserve">半黑</x:t>
        </x:is>
      </x:c>
      <x:c r="R1357" s="604" t="n">
        <x:v>0.83</x:v>
      </x:c>
      <x:c r="S1357" s="604" t="n">
        <x:v>-0.5</x:v>
      </x:c>
      <x:c r="T1357" s="604" t="inlineStr">
        <x:is>
          <x:t xml:space="preserve">D:\codex\v3_legacy\outputs\football_odds_trader\raw\titan007\20261008\20261008_074021_titan007_odds_snapshot.csv</x:t>
        </x:is>
      </x:c>
      <x:c r="U1357" s="645" t="inlineStr">
        <x:is>
          <x:t xml:space="preserve"/>
        </x:is>
      </x:c>
      <x:c r="V1357" s="604" t="inlineStr">
        <x:is>
          <x:t xml:space="preserve"/>
        </x:is>
      </x:c>
      <x:c r="W1357" s="604" t="inlineStr">
        <x:is>
          <x:t xml:space="preserve"/>
        </x:is>
      </x:c>
      <x:c r="X1357" s="604" t="inlineStr">
        <x:is>
          <x:t xml:space="preserve">3099906</x:t>
        </x:is>
      </x:c>
      <x:c r="Y1357" s="604" t="inlineStr">
        <x:is>
          <x:t xml:space="preserve">V4</x:t>
        </x:is>
      </x:c>
      <x:c r="Z1357" s="604" t="inlineStr">
        <x:is>
          <x:t xml:space="preserve">prior-2026-10-08-v1</x:t>
        </x:is>
      </x:c>
      <x:c r="AA1357" s="604" t="inlineStr">
        <x:is>
          <x:t xml:space="preserve">B</x:t>
        </x:is>
      </x:c>
      <x:c r="AB1357" s="604" t="n">
        <x:v>0.5178748266411254</x:v>
      </x:c>
      <x:c r="AC1357" s="604" t="n">
        <x:v>0.3564825109612428</x:v>
      </x:c>
      <x:c r="AD1357" s="604" t="n">
        <x:v>0.5</x:v>
      </x:c>
      <x:c r="AE1357" s="604" t="n"/>
      <x:c r="AF1357" s="604" t="n"/>
      <x:c r="AG1357" s="604" t="n">
        <x:v>0.07335359515089124</x:v>
      </x:c>
      <x:c r="AH1357" s="604" t="n"/>
      <x:c r="AI1357" s="604" t="n"/>
      <x:c r="AJ1357" s="604" t="n">
        <x:v>0.07335359515089124</x:v>
      </x:c>
      <x:c r="AK1357" s="604" t="n"/>
      <x:c r="AL1357" s="604" t="n"/>
      <x:c r="AM1357" s="604" t="n"/>
      <x:c r="AN1357" s="604" t="inlineStr">
        <x:is>
          <x:t xml:space="preserve">EVALUATED</x:t>
        </x:is>
      </x:c>
      <x:c r="AO1357" s="604" t="inlineStr">
        <x:is>
          <x:t xml:space="preserve">GIVING_VALIDATED_EDGE;BUCKET_PRIOR_ONLY;INTENT_INTERPRETATION_ONLY;FFL_OPTIONAL;EXPERT_MARKET</x:t>
        </x:is>
      </x:c>
      <x:c r="AP1357" s="604" t="inlineStr">
        <x:is>
          <x:t xml:space="preserve">fa74498e3e81565c4d86</x:t>
        </x:is>
      </x:c>
      <x:c r="AQ1357" s="604" t="n">
        <x:v>-0.25</x:v>
      </x:c>
      <x:c r="AR1357" s="604" t="n">
        <x:v>0.83</x:v>
      </x:c>
      <x:c r="AS1357" s="604" t="n">
        <x:v>0.25</x:v>
      </x:c>
      <x:c r="AT1357" s="604" t="n">
        <x:v>-0.25</x:v>
      </x:c>
      <x:c r="AU1357" s="604" t="n">
        <x:v>0.83</x:v>
      </x:c>
      <x:c r="AV1357" s="604" t="n">
        <x:v>0.98</x:v>
      </x:c>
      <x:c r="AW1357" s="604" t="inlineStr">
        <x:is>
          <x:t xml:space="preserve">2026-10-08T07:44:59.408325+08:00</x:t>
        </x:is>
      </x:c>
      <x:c r="AX1357" s="604" t="inlineStr">
        <x:is>
          <x:t xml:space="preserve">Titan007/V4</x:t>
        </x:is>
      </x:c>
      <x:c r="AY1357" s="604" t="inlineStr">
        <x:is>
          <x:t xml:space="preserve">Daily append；市场输入缺失时不生成决策</x:t>
        </x:is>
      </x:c>
    </x:row>
    <x:row r="1358" ht="22" customHeight="1">
      <x:c r="A1358" s="604" t="inlineStr">
        <x:is>
          <x:t xml:space="preserve">2026-10-08</x:t>
        </x:is>
      </x:c>
      <x:c r="B1358" s="604" t="inlineStr">
        <x:is>
          <x:t xml:space="preserve">2026-10-08T16:45:00+08:00</x:t>
        </x:is>
      </x:c>
      <x:c r="C1358" s="604" t="str">
        <x:v>其他系列</x:v>
      </x:c>
      <x:c r="D1358" s="604" t="inlineStr">
        <x:is>
          <x:t xml:space="preserve"/>
        </x:is>
      </x:c>
      <x:c r="E1358" s="604" t="inlineStr">
        <x:is>
          <x:t xml:space="preserve">马统杯</x:t>
        </x:is>
      </x:c>
      <x:c r="F1358" s="604" t="inlineStr">
        <x:is>
          <x:t xml:space="preserve">吉打U20 vs 雪兰莪U20</x:t>
        </x:is>
      </x:c>
      <x:c r="G1358" s="604" t="n">
        <x:v>0.93</x:v>
      </x:c>
      <x:c r="H1358" s="604" t="n">
        <x:v>-1</x:v>
      </x:c>
      <x:c r="I1358" s="604" t="n">
        <x:v>0.88</x:v>
      </x:c>
      <x:c r="J1358" s="604" t="inlineStr">
        <x:is>
          <x:t xml:space="preserve">0.93/-1.0/0.88</x:t>
        </x:is>
      </x:c>
      <x:c r="K1358" s="604" t="inlineStr">
        <x:is>
          <x:t xml:space="preserve">V4-B</x:t>
        </x:is>
      </x:c>
      <x:c r="L1358" s="604" t="inlineStr">
        <x:is>
          <x:t xml:space="preserve">吉打U20</x:t>
        </x:is>
      </x:c>
      <x:c r="M1358" s="604" t="n">
        <x:v>0.02330204488712914</x:v>
      </x:c>
      <x:c r="N1358" s="604" t="inlineStr">
        <x:is>
          <x:t xml:space="preserve">V4 Shadow Only；real_money=false</x:t>
        </x:is>
      </x:c>
      <x:c r="O1358" s="604" t="inlineStr">
        <x:is>
          <x:t xml:space="preserve">0-3</x:t>
        </x:is>
      </x:c>
      <x:c r="P1358" s="604" t="inlineStr">
        <x:is>
          <x:t xml:space="preserve">已结算</x:t>
        </x:is>
      </x:c>
      <x:c r="Q1358" s="646" t="inlineStr">
        <x:is>
          <x:t xml:space="preserve">黑</x:t>
        </x:is>
      </x:c>
      <x:c r="R1358" s="604" t="n">
        <x:v>0.93</x:v>
      </x:c>
      <x:c r="S1358" s="604" t="n">
        <x:v>-1</x:v>
      </x:c>
      <x:c r="T1358" s="604" t="inlineStr">
        <x:is>
          <x:t xml:space="preserve">D:\codex\v3_legacy\outputs\football_odds_trader\raw\titan007\20261008\20261008_074021_titan007_odds_snapshot.csv</x:t>
        </x:is>
      </x:c>
      <x:c r="U1358" s="645" t="inlineStr">
        <x:is>
          <x:t xml:space="preserve"/>
        </x:is>
      </x:c>
      <x:c r="V1358" s="604" t="inlineStr">
        <x:is>
          <x:t xml:space="preserve"/>
        </x:is>
      </x:c>
      <x:c r="W1358" s="604" t="inlineStr">
        <x:is>
          <x:t xml:space="preserve"/>
        </x:is>
      </x:c>
      <x:c r="X1358" s="604" t="inlineStr">
        <x:is>
          <x:t xml:space="preserve">3100083</x:t>
        </x:is>
      </x:c>
      <x:c r="Y1358" s="604" t="inlineStr">
        <x:is>
          <x:t xml:space="preserve">V4</x:t>
        </x:is>
      </x:c>
      <x:c r="Z1358" s="604" t="inlineStr">
        <x:is>
          <x:t xml:space="preserve">prior-2026-10-08-v1</x:t>
        </x:is>
      </x:c>
      <x:c r="AA1358" s="604" t="inlineStr">
        <x:is>
          <x:t xml:space="preserve">B</x:t>
        </x:is>
      </x:c>
      <x:c r="AB1358" s="604" t="n">
        <x:v>0.02330204488712914</x:v>
      </x:c>
      <x:c r="AC1358" s="604" t="n">
        <x:v>0.9009870507266161</x:v>
      </x:c>
      <x:c r="AD1358" s="604" t="n">
        <x:v>-1.5</x:v>
      </x:c>
      <x:c r="AE1358" s="604" t="n"/>
      <x:c r="AF1358" s="604" t="n"/>
      <x:c r="AG1358" s="604" t="n">
        <x:v>0.8146159122886238</x:v>
      </x:c>
      <x:c r="AH1358" s="604" t="n"/>
      <x:c r="AI1358" s="604" t="n"/>
      <x:c r="AJ1358" s="604" t="n">
        <x:v>0.8146159122886238</x:v>
      </x:c>
      <x:c r="AK1358" s="604" t="n"/>
      <x:c r="AL1358" s="604" t="n"/>
      <x:c r="AM1358" s="604" t="n"/>
      <x:c r="AN1358" s="604" t="inlineStr">
        <x:is>
          <x:t xml:space="preserve">FROZEN_PREMATCH_DECISION</x:t>
        </x:is>
      </x:c>
      <x:c r="AO1358" s="604" t="inlineStr">
        <x:is>
          <x:t xml:space="preserve">STARTED_DECISION_LOCKED</x:t>
        </x:is>
      </x:c>
      <x:c r="AP1358" s="604" t="inlineStr">
        <x:is>
          <x:t xml:space="preserve">1f6192ca97fbb45f919d</x:t>
        </x:is>
      </x:c>
      <x:c r="AQ1358" s="604" t="n">
        <x:v>1</x:v>
      </x:c>
      <x:c r="AR1358" s="604" t="n">
        <x:v>0.93</x:v>
      </x:c>
      <x:c r="AS1358" s="604" t="n">
        <x:v>-1</x:v>
      </x:c>
      <x:c r="AT1358" s="604" t="n">
        <x:v>1</x:v>
      </x:c>
      <x:c r="AU1358" s="604" t="n">
        <x:v>0.93</x:v>
      </x:c>
      <x:c r="AV1358" s="604" t="n">
        <x:v>0.88</x:v>
      </x:c>
      <x:c r="AW1358" s="604" t="inlineStr">
        <x:is>
          <x:t xml:space="preserve">2026-10-08T07:44:59.408325+08:00</x:t>
        </x:is>
      </x:c>
      <x:c r="AX1358" s="604" t="inlineStr">
        <x:is>
          <x:t xml:space="preserve">Titan007/V4</x:t>
        </x:is>
      </x:c>
      <x:c r="AY1358" s="604" t="inlineStr">
        <x:is>
          <x:t xml:space="preserve">Daily append；市场输入缺失时不生成决策</x:t>
        </x:is>
      </x:c>
    </x:row>
    <x:row r="1359" ht="22" customHeight="1">
      <x:c r="A1359" s="604" t="inlineStr">
        <x:is>
          <x:t xml:space="preserve">2026-10-08</x:t>
        </x:is>
      </x:c>
      <x:c r="B1359" s="604" t="inlineStr">
        <x:is>
          <x:t xml:space="preserve">2026-10-08 20:00</x:t>
        </x:is>
      </x:c>
      <x:c r="C1359" s="604" t="str">
        <x:v>其他系列</x:v>
      </x:c>
      <x:c r="D1359" s="604" t="inlineStr">
        <x:is>
          <x:t xml:space="preserve">联赛</x:t>
        </x:is>
      </x:c>
      <x:c r="E1359" s="604" t="inlineStr">
        <x:is>
          <x:t xml:space="preserve">东盟锦标</x:t>
        </x:is>
      </x:c>
      <x:c r="F1359" s="604" t="inlineStr">
        <x:is>
          <x:t xml:space="preserve">狮子港 vs 万隆</x:t>
        </x:is>
      </x:c>
      <x:c r="G1359" s="604" t="n">
        <x:v>0.96</x:v>
      </x:c>
      <x:c r="H1359" s="604" t="n">
        <x:v>0</x:v>
      </x:c>
      <x:c r="I1359" s="604" t="n">
        <x:v>0.8</x:v>
      </x:c>
      <x:c r="J1359" s="604" t="inlineStr">
        <x:is>
          <x:t xml:space="preserve">0.96/0/0.8</x:t>
        </x:is>
      </x:c>
      <x:c r="K1359" s="604" t="inlineStr">
        <x:is>
          <x:t xml:space="preserve">V4-C｜EV +0.0298</x:t>
        </x:is>
      </x:c>
      <x:c r="L1359" s="604" t="n"/>
      <x:c r="M1359" s="604" t="n">
        <x:v>0.5276430732750784</x:v>
      </x:c>
      <x:c r="N1359" s="604" t="inlineStr">
        <x:is>
          <x:t xml:space="preserve">V4纸面入选-C</x:t>
        </x:is>
      </x:c>
      <x:c r="O1359" s="604" t="inlineStr">
        <x:is>
          <x:t xml:space="preserve">1-3</x:t>
        </x:is>
      </x:c>
      <x:c r="P1359" s="604" t="inlineStr">
        <x:is>
          <x:t xml:space="preserve">已结束</x:t>
        </x:is>
      </x:c>
      <x:c r="Q1359" s="630" t="inlineStr">
        <x:is>
          <x:t xml:space="preserve">不计投</x:t>
        </x:is>
      </x:c>
      <x:c r="R1359" s="604" t="n">
        <x:v>0.8</x:v>
      </x:c>
      <x:c r="S1359" s="604" t="n"/>
      <x:c r="T1359" s="604" t="inlineStr">
        <x:is>
          <x:t xml:space="preserve">https://m.titan007.com/analy/Analysis/3006576.htm</x:t>
        </x:is>
      </x:c>
      <x:c r="U1359" s="628" t="n"/>
      <x:c r="V1359" s="604" t="n"/>
      <x:c r="W1359" s="604" t="n"/>
      <x:c r="X1359" s="604" t="inlineStr">
        <x:is>
          <x:t xml:space="preserve">3006576</x:t>
        </x:is>
      </x:c>
      <x:c r="Y1359" s="604" t="inlineStr">
        <x:is>
          <x:t xml:space="preserve">V4</x:t>
        </x:is>
      </x:c>
      <x:c r="Z1359" s="604" t="inlineStr">
        <x:is>
          <x:t xml:space="preserve">prior-2026-10-08-v1</x:t>
        </x:is>
      </x:c>
      <x:c r="AA1359" s="604" t="inlineStr">
        <x:is>
          <x:t xml:space="preserve">C</x:t>
        </x:is>
      </x:c>
      <x:c r="AB1359" s="604" t="n">
        <x:v>0.4592883010639543</x:v>
      </x:c>
      <x:c r="AC1359" s="604" t="n"/>
      <x:c r="AD1359" s="604" t="n"/>
      <x:c r="AE1359" s="604" t="n">
        <x:v>0.2590947391267597</x:v>
      </x:c>
      <x:c r="AF1359" s="604" t="n">
        <x:v>0.281616959809286</x:v>
      </x:c>
      <x:c r="AG1359" s="604" t="n">
        <x:v>0.02975243964873026</x:v>
      </x:c>
      <x:c r="AH1359" s="604" t="n"/>
      <x:c r="AI1359" s="604" t="n"/>
      <x:c r="AJ1359" s="604" t="n">
        <x:v>0.02975243964873026</x:v>
      </x:c>
      <x:c r="AK1359" s="604" t="n"/>
      <x:c r="AL1359" s="604" t="n"/>
      <x:c r="AM1359" s="604" t="n"/>
      <x:c r="AN1359" s="604" t="inlineStr">
        <x:is>
          <x:t xml:space="preserve">EVALUATED</x:t>
        </x:is>
      </x:c>
      <x:c r="AO1359" s="604" t="inlineStr">
        <x:is>
          <x:t xml:space="preserve">EDGE_BELOW_UNCERTAINTY_THRESHOLD、BUCKET_PRIOR_ONLY、INTENT_INTERPRETATION_ONLY、FFL_OPTIONAL、EXPERT_MARKET</x:t>
        </x:is>
      </x:c>
      <x:c r="AP1359" s="604" t="inlineStr">
        <x:is>
          <x:t xml:space="preserve">5db1261c5ee1eacd0a0d</x:t>
        </x:is>
      </x:c>
      <x:c r="AQ1359" s="604" t="n">
        <x:v>0</x:v>
      </x:c>
      <x:c r="AR1359" s="604" t="n"/>
      <x:c r="AS1359" s="604" t="n">
        <x:v>0</x:v>
      </x:c>
      <x:c r="AT1359" s="604" t="n">
        <x:v>0</x:v>
      </x:c>
      <x:c r="AU1359" s="604" t="n">
        <x:v>0.96</x:v>
      </x:c>
      <x:c r="AV1359" s="604" t="n">
        <x:v>0.8</x:v>
      </x:c>
      <x:c r="AW1359" s="604" t="n">
        <x:v>46302.98957648148</x:v>
      </x:c>
      <x:c r="AX1359" s="604" t="inlineStr">
        <x:is>
          <x:t xml:space="preserve">https://simondongxiao.github.io/odds/v4/</x:t>
        </x:is>
      </x:c>
      <x:c r="AY1359" s="604" t="inlineStr">
        <x:is>
          <x:t xml:space="preserve">V4 Shadow Only；real_money=false；P(EV&gt;0)不是比赛胜率</x:t>
        </x:is>
      </x:c>
    </x:row>
    <x:row r="1360" ht="22" customHeight="1">
      <x:c r="A1360" s="604" t="inlineStr">
        <x:is>
          <x:t xml:space="preserve">2026-10-08</x:t>
        </x:is>
      </x:c>
      <x:c r="B1360" s="604" t="inlineStr">
        <x:is>
          <x:t xml:space="preserve">2026-10-09 01:00</x:t>
        </x:is>
      </x:c>
      <x:c r="C1360" s="604" t="str">
        <x:v>其他系列</x:v>
      </x:c>
      <x:c r="D1360" s="604" t="inlineStr">
        <x:is>
          <x:t xml:space="preserve">杯赛</x:t>
        </x:is>
      </x:c>
      <x:c r="E1360" s="604" t="inlineStr">
        <x:is>
          <x:t xml:space="preserve">埃及联杯</x:t>
        </x:is>
      </x:c>
      <x:c r="F1360" s="604" t="inlineStr">
        <x:is>
          <x:t xml:space="preserve">马哈拉 vs 西梅德斯</x:t>
        </x:is>
      </x:c>
      <x:c r="G1360" s="604" t="n">
        <x:v>1.02</x:v>
      </x:c>
      <x:c r="H1360" s="604" t="n">
        <x:v>0</x:v>
      </x:c>
      <x:c r="I1360" s="604" t="n">
        <x:v>0.8</x:v>
      </x:c>
      <x:c r="J1360" s="604" t="inlineStr">
        <x:is>
          <x:t xml:space="preserve">1.02/0/0.8</x:t>
        </x:is>
      </x:c>
      <x:c r="K1360" s="604" t="inlineStr">
        <x:is>
          <x:t xml:space="preserve">V4-C｜EV +0.0090</x:t>
        </x:is>
      </x:c>
      <x:c r="L1360" s="604" t="n"/>
      <x:c r="M1360" s="604" t="n">
        <x:v>0.5001690869166098</x:v>
      </x:c>
      <x:c r="N1360" s="604" t="inlineStr">
        <x:is>
          <x:t xml:space="preserve">V4纸面入选-C</x:t>
        </x:is>
      </x:c>
      <x:c r="O1360" s="604" t="inlineStr">
        <x:is>
          <x:t xml:space="preserve">1-1</x:t>
        </x:is>
      </x:c>
      <x:c r="P1360" s="604" t="inlineStr">
        <x:is>
          <x:t xml:space="preserve">已结束</x:t>
        </x:is>
      </x:c>
      <x:c r="Q1360" s="630" t="inlineStr">
        <x:is>
          <x:t xml:space="preserve">不计投</x:t>
        </x:is>
      </x:c>
      <x:c r="R1360" s="604" t="n">
        <x:v>0.8</x:v>
      </x:c>
      <x:c r="S1360" s="604" t="n"/>
      <x:c r="T1360" s="604" t="inlineStr">
        <x:is>
          <x:t xml:space="preserve">https://m.titan007.com/analy/Analysis/3094176.htm</x:t>
        </x:is>
      </x:c>
      <x:c r="U1360" s="628" t="n"/>
      <x:c r="V1360" s="604" t="n"/>
      <x:c r="W1360" s="604" t="n"/>
      <x:c r="X1360" s="604" t="inlineStr">
        <x:is>
          <x:t xml:space="preserve">3094176</x:t>
        </x:is>
      </x:c>
      <x:c r="Y1360" s="604" t="inlineStr">
        <x:is>
          <x:t xml:space="preserve">V4</x:t>
        </x:is>
      </x:c>
      <x:c r="Z1360" s="604" t="inlineStr">
        <x:is>
          <x:t xml:space="preserve">prior-2026-10-08-v1</x:t>
        </x:is>
      </x:c>
      <x:c r="AA1360" s="604" t="inlineStr">
        <x:is>
          <x:t xml:space="preserve">C</x:t>
        </x:is>
      </x:c>
      <x:c r="AB1360" s="604" t="n">
        <x:v>0.4341613698709876</x:v>
      </x:c>
      <x:c r="AC1360" s="604" t="n"/>
      <x:c r="AD1360" s="604" t="n"/>
      <x:c r="AE1360" s="604" t="n">
        <x:v>0.2639416100364765</x:v>
      </x:c>
      <x:c r="AF1360" s="604" t="n">
        <x:v>0.3018970200925359</x:v>
      </x:c>
      <x:c r="AG1360" s="604" t="n">
        <x:v>0.008976772157633262</x:v>
      </x:c>
      <x:c r="AH1360" s="604" t="n"/>
      <x:c r="AI1360" s="604" t="n"/>
      <x:c r="AJ1360" s="604" t="n">
        <x:v>0.008976772157633262</x:v>
      </x:c>
      <x:c r="AK1360" s="604" t="n"/>
      <x:c r="AL1360" s="604" t="n"/>
      <x:c r="AM1360" s="604" t="n"/>
      <x:c r="AN1360" s="604" t="inlineStr">
        <x:is>
          <x:t xml:space="preserve">EVALUATED</x:t>
        </x:is>
      </x:c>
      <x:c r="AO1360" s="604" t="inlineStr">
        <x:is>
          <x:t xml:space="preserve">EDGE_BELOW_UNCERTAINTY_THRESHOLD、BUCKET_PRIOR_ONLY、INTENT_INTERPRETATION_ONLY、FFL_OPTIONAL、EXPERT_MARKET</x:t>
        </x:is>
      </x:c>
      <x:c r="AP1360" s="604" t="inlineStr">
        <x:is>
          <x:t xml:space="preserve">d14d597938d145fce384</x:t>
        </x:is>
      </x:c>
      <x:c r="AQ1360" s="604" t="n">
        <x:v>0</x:v>
      </x:c>
      <x:c r="AR1360" s="604" t="n"/>
      <x:c r="AS1360" s="604" t="n">
        <x:v>0</x:v>
      </x:c>
      <x:c r="AT1360" s="604" t="n">
        <x:v>0</x:v>
      </x:c>
      <x:c r="AU1360" s="604" t="n">
        <x:v>1.02</x:v>
      </x:c>
      <x:c r="AV1360" s="604" t="n">
        <x:v>0.8</x:v>
      </x:c>
      <x:c r="AW1360" s="604" t="n">
        <x:v>46302.98957648148</x:v>
      </x:c>
      <x:c r="AX1360" s="604" t="inlineStr">
        <x:is>
          <x:t xml:space="preserve">https://simondongxiao.github.io/odds/v4/</x:t>
        </x:is>
      </x:c>
      <x:c r="AY1360" s="604" t="inlineStr">
        <x:is>
          <x:t xml:space="preserve">V4 Shadow Only；real_money=false；P(EV&gt;0)不是比赛胜率</x:t>
        </x:is>
      </x:c>
    </x:row>
    <x:row r="1361" ht="22" customHeight="1">
      <x:c r="A1361" s="604" t="inlineStr">
        <x:is>
          <x:t xml:space="preserve">2026-10-08</x:t>
        </x:is>
      </x:c>
      <x:c r="B1361" s="604" t="inlineStr">
        <x:is>
          <x:t xml:space="preserve">2026-10-09 04:30</x:t>
        </x:is>
      </x:c>
      <x:c r="C1361" s="604" t="str">
        <x:v>南美系列</x:v>
      </x:c>
      <x:c r="D1361" s="604" t="inlineStr">
        <x:is>
          <x:t xml:space="preserve">联赛</x:t>
        </x:is>
      </x:c>
      <x:c r="E1361" s="604" t="inlineStr">
        <x:is>
          <x:t xml:space="preserve">哥伦乙秋</x:t>
        </x:is>
      </x:c>
      <x:c r="F1361" s="604" t="inlineStr">
        <x:is>
          <x:t xml:space="preserve">尤姆博独立 vs 锡帕基拉老虎</x:t>
        </x:is>
      </x:c>
      <x:c r="G1361" s="604" t="n">
        <x:v>0.9</x:v>
      </x:c>
      <x:c r="H1361" s="604" t="n">
        <x:v>0</x:v>
      </x:c>
      <x:c r="I1361" s="604" t="n">
        <x:v>0.8</x:v>
      </x:c>
      <x:c r="J1361" s="604" t="inlineStr">
        <x:is>
          <x:t xml:space="preserve">0.9/0/0.8</x:t>
        </x:is>
      </x:c>
      <x:c r="K1361" s="604" t="inlineStr">
        <x:is>
          <x:t xml:space="preserve">V4-C｜EV +0.0258</x:t>
        </x:is>
      </x:c>
      <x:c r="L1361" s="604" t="n"/>
      <x:c r="M1361" s="604" t="n">
        <x:v>0.541923795346412</x:v>
      </x:c>
      <x:c r="N1361" s="604" t="inlineStr">
        <x:is>
          <x:t xml:space="preserve">V4纸面入选-C</x:t>
        </x:is>
      </x:c>
      <x:c r="O1361" s="604" t="inlineStr">
        <x:is>
          <x:t xml:space="preserve">1-1</x:t>
        </x:is>
      </x:c>
      <x:c r="P1361" s="604" t="inlineStr">
        <x:is>
          <x:t xml:space="preserve">已结束</x:t>
        </x:is>
      </x:c>
      <x:c r="Q1361" s="630" t="inlineStr">
        <x:is>
          <x:t xml:space="preserve">不计投</x:t>
        </x:is>
      </x:c>
      <x:c r="R1361" s="604" t="n">
        <x:v>0.8</x:v>
      </x:c>
      <x:c r="S1361" s="604" t="n"/>
      <x:c r="T1361" s="604" t="inlineStr">
        <x:is>
          <x:t xml:space="preserve">https://m.titan007.com/analy/Analysis/3012155.htm</x:t>
        </x:is>
      </x:c>
      <x:c r="U1361" s="628" t="n"/>
      <x:c r="V1361" s="604" t="n"/>
      <x:c r="W1361" s="604" t="n"/>
      <x:c r="X1361" s="604" t="inlineStr">
        <x:is>
          <x:t xml:space="preserve">3012155</x:t>
        </x:is>
      </x:c>
      <x:c r="Y1361" s="604" t="inlineStr">
        <x:is>
          <x:t xml:space="preserve">V4</x:t>
        </x:is>
      </x:c>
      <x:c r="Z1361" s="604" t="inlineStr">
        <x:is>
          <x:t xml:space="preserve">prior-2026-10-08-v1</x:t>
        </x:is>
      </x:c>
      <x:c r="AA1361" s="604" t="inlineStr">
        <x:is>
          <x:t xml:space="preserve">C</x:t>
        </x:is>
      </x:c>
      <x:c r="AB1361" s="604" t="n">
        <x:v>0.4716408114148548</x:v>
      </x:c>
      <x:c r="AC1361" s="604" t="n"/>
      <x:c r="AD1361" s="604" t="n"/>
      <x:c r="AE1361" s="604" t="n">
        <x:v>0.2593832732022057</x:v>
      </x:c>
      <x:c r="AF1361" s="604" t="n">
        <x:v>0.2689759153829395</x:v>
      </x:c>
      <x:c r="AG1361" s="604" t="n">
        <x:v>0.02580917828932694</x:v>
      </x:c>
      <x:c r="AH1361" s="604" t="n"/>
      <x:c r="AI1361" s="604" t="n"/>
      <x:c r="AJ1361" s="604" t="n">
        <x:v>0.02580917828932694</x:v>
      </x:c>
      <x:c r="AK1361" s="604" t="n"/>
      <x:c r="AL1361" s="604" t="n"/>
      <x:c r="AM1361" s="604" t="n"/>
      <x:c r="AN1361" s="604" t="inlineStr">
        <x:is>
          <x:t xml:space="preserve">EVALUATED</x:t>
        </x:is>
      </x:c>
      <x:c r="AO1361" s="604" t="inlineStr">
        <x:is>
          <x:t xml:space="preserve">EDGE_BELOW_UNCERTAINTY_THRESHOLD、BUCKET_PRIOR_ONLY、INTENT_INTERPRETATION_ONLY、FFL_OPTIONAL、EXPERT_MARKET</x:t>
        </x:is>
      </x:c>
      <x:c r="AP1361" s="604" t="inlineStr">
        <x:is>
          <x:t xml:space="preserve">42c0cb64625e6ed7ddfe</x:t>
        </x:is>
      </x:c>
      <x:c r="AQ1361" s="604" t="n">
        <x:v>0</x:v>
      </x:c>
      <x:c r="AR1361" s="604" t="n"/>
      <x:c r="AS1361" s="604" t="n">
        <x:v>0</x:v>
      </x:c>
      <x:c r="AT1361" s="604" t="n">
        <x:v>0</x:v>
      </x:c>
      <x:c r="AU1361" s="604" t="n">
        <x:v>0.9</x:v>
      </x:c>
      <x:c r="AV1361" s="604" t="n">
        <x:v>0.8</x:v>
      </x:c>
      <x:c r="AW1361" s="604" t="n">
        <x:v>46302.98957648148</x:v>
      </x:c>
      <x:c r="AX1361" s="604" t="inlineStr">
        <x:is>
          <x:t xml:space="preserve">https://simondongxiao.github.io/odds/v4/</x:t>
        </x:is>
      </x:c>
      <x:c r="AY1361" s="604" t="inlineStr">
        <x:is>
          <x:t xml:space="preserve">V4 Shadow Only；real_money=false；P(EV&gt;0)不是比赛胜率</x:t>
        </x:is>
      </x:c>
    </x:row>
    <x:row r="1362" ht="22" customHeight="1">
      <x:c r="A1362" s="604" t="inlineStr">
        <x:is>
          <x:t xml:space="preserve">2026-10-09</x:t>
        </x:is>
      </x:c>
      <x:c r="B1362" s="604" t="inlineStr">
        <x:is>
          <x:t xml:space="preserve">2026-10-10T01:00:00+08:00</x:t>
        </x:is>
      </x:c>
      <x:c r="C1362" s="604" t="str">
        <x:v>欧洲非五大系列</x:v>
      </x:c>
      <x:c r="D1362" s="604" t="inlineStr">
        <x:is>
          <x:t xml:space="preserve"/>
        </x:is>
      </x:c>
      <x:c r="E1362" s="604" t="inlineStr">
        <x:is>
          <x:t xml:space="preserve">瑞典超</x:t>
        </x:is>
      </x:c>
      <x:c r="F1362" s="604" t="inlineStr">
        <x:is>
          <x:t xml:space="preserve">哥德堡 vs 瓦斯特拉斯</x:t>
        </x:is>
      </x:c>
      <x:c r="G1362" s="604" t="n">
        <x:v>1</x:v>
      </x:c>
      <x:c r="H1362" s="604" t="n">
        <x:v>0.75</x:v>
      </x:c>
      <x:c r="I1362" s="604" t="n">
        <x:v>0.88</x:v>
      </x:c>
      <x:c r="J1362" s="604" t="inlineStr">
        <x:is>
          <x:t xml:space="preserve">1.0/0.75/0.88</x:t>
        </x:is>
      </x:c>
      <x:c r="K1362" s="604" t="inlineStr">
        <x:is>
          <x:t xml:space="preserve">V4-N</x:t>
        </x:is>
      </x:c>
      <x:c r="L1362" s="604" t="inlineStr">
        <x:is>
          <x:t xml:space="preserve"/>
        </x:is>
      </x:c>
      <x:c r="M1362" s="604" t="n">
        <x:v>0.4895466967203769</x:v>
      </x:c>
      <x:c r="N1362" s="604" t="inlineStr">
        <x:is>
          <x:t xml:space="preserve">V4 Shadow Only；real_money=false</x:t>
        </x:is>
      </x:c>
      <x:c r="O1362" s="604" t="inlineStr">
        <x:is>
          <x:t xml:space="preserve">0-0</x:t>
        </x:is>
      </x:c>
      <x:c r="P1362" s="604" t="inlineStr">
        <x:is>
          <x:t xml:space="preserve">EVALUATED</x:t>
        </x:is>
      </x:c>
      <x:c r="Q1362" s="630" t="inlineStr">
        <x:is>
          <x:t xml:space="preserve"/>
        </x:is>
      </x:c>
      <x:c r="R1362" s="604" t="n"/>
      <x:c r="S1362" s="604" t="n"/>
      <x:c r="T1362" s="604" t="inlineStr">
        <x:is>
          <x:t xml:space="preserve">D:\codex\v3_legacy\outputs\football_odds_trader\raw\titan007\20261009\20261009_085232_titan007_odds_snapshot.csv</x:t>
        </x:is>
      </x:c>
      <x:c r="U1362" s="628" t="inlineStr">
        <x:is>
          <x:t xml:space="preserve"/>
        </x:is>
      </x:c>
      <x:c r="V1362" s="604" t="inlineStr">
        <x:is>
          <x:t xml:space="preserve"/>
        </x:is>
      </x:c>
      <x:c r="W1362" s="604" t="inlineStr">
        <x:is>
          <x:t xml:space="preserve"/>
        </x:is>
      </x:c>
      <x:c r="X1362" s="604" t="inlineStr">
        <x:is>
          <x:t xml:space="preserve">2912286</x:t>
        </x:is>
      </x:c>
      <x:c r="Y1362" s="604" t="inlineStr">
        <x:is>
          <x:t xml:space="preserve">V4</x:t>
        </x:is>
      </x:c>
      <x:c r="Z1362" s="604" t="inlineStr">
        <x:is>
          <x:t xml:space="preserve">prior-2026-10-09-v1</x:t>
        </x:is>
      </x:c>
      <x:c r="AA1362" s="604" t="inlineStr">
        <x:is>
          <x:t xml:space="preserve">N</x:t>
        </x:is>
      </x:c>
      <x:c r="AB1362" s="604" t="n">
        <x:v>0.4895466967203769</x:v>
      </x:c>
      <x:c r="AC1362" s="604" t="n">
        <x:v>0.3829214808880357</x:v>
      </x:c>
      <x:c r="AD1362" s="604" t="n">
        <x:v>1</x:v>
      </x:c>
      <x:c r="AE1362" s="604" t="n"/>
      <x:c r="AF1362" s="604" t="n"/>
      <x:c r="AG1362" s="604" t="n">
        <x:v>0.1066252158323412</x:v>
      </x:c>
      <x:c r="AH1362" s="604" t="n"/>
      <x:c r="AI1362" s="604" t="n"/>
      <x:c r="AJ1362" s="604" t="n">
        <x:v>0.1066252158323412</x:v>
      </x:c>
      <x:c r="AK1362" s="604" t="n"/>
      <x:c r="AL1362" s="604" t="n"/>
      <x:c r="AM1362" s="604" t="n"/>
      <x:c r="AN1362" s="604" t="inlineStr">
        <x:is>
          <x:t xml:space="preserve">EVALUATED</x:t>
        </x:is>
      </x:c>
      <x:c r="AO1362" s="604" t="inlineStr">
        <x:is>
          <x:t xml:space="preserve">LOW_QUALITY_GATE;BUCKET_PRIOR_ONLY;INTENT_INTERPRETATION_ONLY;FFL_OPTIONAL;EXPERT_MARKET</x:t>
        </x:is>
      </x:c>
      <x:c r="AP1362" s="604" t="inlineStr">
        <x:is>
          <x:t xml:space="preserve">2232084c81906d7245bc</x:t>
        </x:is>
      </x:c>
      <x:c r="AQ1362" s="604" t="n"/>
      <x:c r="AR1362" s="604" t="n"/>
      <x:c r="AS1362" s="604" t="n">
        <x:v>0.75</x:v>
      </x:c>
      <x:c r="AT1362" s="604" t="n">
        <x:v>-0.75</x:v>
      </x:c>
      <x:c r="AU1362" s="604" t="n">
        <x:v>1</x:v>
      </x:c>
      <x:c r="AV1362" s="604" t="n">
        <x:v>0.88</x:v>
      </x:c>
      <x:c r="AW1362" s="604" t="inlineStr">
        <x:is>
          <x:t xml:space="preserve">2026-10-09T09:01:21.127001+08:00</x:t>
        </x:is>
      </x:c>
      <x:c r="AX1362" s="604" t="inlineStr">
        <x:is>
          <x:t xml:space="preserve">Titan007/V4</x:t>
        </x:is>
      </x:c>
      <x:c r="AY1362" s="604" t="inlineStr">
        <x:is>
          <x:t xml:space="preserve">Daily append；市场输入缺失时不生成决策</x:t>
        </x:is>
      </x:c>
    </x:row>
    <x:row r="1363" ht="22" customHeight="1">
      <x:c r="A1363" s="604" t="inlineStr">
        <x:is>
          <x:t xml:space="preserve">2026-10-09</x:t>
        </x:is>
      </x:c>
      <x:c r="B1363" s="604" t="inlineStr">
        <x:is>
          <x:t xml:space="preserve">2026-10-10T01:00:00+08:00</x:t>
        </x:is>
      </x:c>
      <x:c r="C1363" s="604" t="str">
        <x:v>欧洲非五大系列</x:v>
      </x:c>
      <x:c r="D1363" s="604" t="inlineStr">
        <x:is>
          <x:t xml:space="preserve"/>
        </x:is>
      </x:c>
      <x:c r="E1363" s="604" t="inlineStr">
        <x:is>
          <x:t xml:space="preserve">挪超</x:t>
        </x:is>
      </x:c>
      <x:c r="F1363" s="604" t="inlineStr">
        <x:is>
          <x:t xml:space="preserve">布兰 vs 维京</x:t>
        </x:is>
      </x:c>
      <x:c r="G1363" s="604" t="n">
        <x:v>0.98</x:v>
      </x:c>
      <x:c r="H1363" s="604" t="n">
        <x:v>-0.25</x:v>
      </x:c>
      <x:c r="I1363" s="604" t="n">
        <x:v>0.9</x:v>
      </x:c>
      <x:c r="J1363" s="604" t="inlineStr">
        <x:is>
          <x:t xml:space="preserve">0.98/-0.25/0.9</x:t>
        </x:is>
      </x:c>
      <x:c r="K1363" s="604" t="inlineStr">
        <x:is>
          <x:t xml:space="preserve">V4-N</x:t>
        </x:is>
      </x:c>
      <x:c r="L1363" s="604" t="inlineStr">
        <x:is>
          <x:t xml:space="preserve"/>
        </x:is>
      </x:c>
      <x:c r="M1363" s="604" t="n">
        <x:v>0.2834114923563372</x:v>
      </x:c>
      <x:c r="N1363" s="604" t="inlineStr">
        <x:is>
          <x:t xml:space="preserve">V4 Shadow Only；real_money=false</x:t>
        </x:is>
      </x:c>
      <x:c r="O1363" s="604" t="inlineStr">
        <x:is>
          <x:t xml:space="preserve">0-0</x:t>
        </x:is>
      </x:c>
      <x:c r="P1363" s="604" t="inlineStr">
        <x:is>
          <x:t xml:space="preserve">EVALUATED</x:t>
        </x:is>
      </x:c>
      <x:c r="Q1363" s="630" t="inlineStr">
        <x:is>
          <x:t xml:space="preserve"/>
        </x:is>
      </x:c>
      <x:c r="R1363" s="604" t="n"/>
      <x:c r="S1363" s="604" t="n"/>
      <x:c r="T1363" s="604" t="inlineStr">
        <x:is>
          <x:t xml:space="preserve">D:\codex\v3_legacy\outputs\football_odds_trader\raw\titan007\20261009\20261009_085232_titan007_odds_snapshot.csv</x:t>
        </x:is>
      </x:c>
      <x:c r="U1363" s="628" t="inlineStr">
        <x:is>
          <x:t xml:space="preserve"/>
        </x:is>
      </x:c>
      <x:c r="V1363" s="604" t="inlineStr">
        <x:is>
          <x:t xml:space="preserve"/>
        </x:is>
      </x:c>
      <x:c r="W1363" s="604" t="inlineStr">
        <x:is>
          <x:t xml:space="preserve"/>
        </x:is>
      </x:c>
      <x:c r="X1363" s="604" t="inlineStr">
        <x:is>
          <x:t xml:space="preserve">2912908</x:t>
        </x:is>
      </x:c>
      <x:c r="Y1363" s="604" t="inlineStr">
        <x:is>
          <x:t xml:space="preserve">V4</x:t>
        </x:is>
      </x:c>
      <x:c r="Z1363" s="604" t="inlineStr">
        <x:is>
          <x:t xml:space="preserve">prior-2026-10-09-v1</x:t>
        </x:is>
      </x:c>
      <x:c r="AA1363" s="604" t="inlineStr">
        <x:is>
          <x:t xml:space="preserve">N</x:t>
        </x:is>
      </x:c>
      <x:c r="AB1363" s="604" t="n">
        <x:v>0.2834114923563372</x:v>
      </x:c>
      <x:c r="AC1363" s="604" t="n">
        <x:v>0.5882964027259985</x:v>
      </x:c>
      <x:c r="AD1363" s="604" t="n">
        <x:v>-0.5</x:v>
      </x:c>
      <x:c r="AE1363" s="604" t="n"/>
      <x:c r="AF1363" s="604" t="n"/>
      <x:c r="AG1363" s="604" t="n">
        <x:v>0.2931189823151414</x:v>
      </x:c>
      <x:c r="AH1363" s="604" t="n"/>
      <x:c r="AI1363" s="604" t="n"/>
      <x:c r="AJ1363" s="604" t="n">
        <x:v>0.2931189823151414</x:v>
      </x:c>
      <x:c r="AK1363" s="604" t="n"/>
      <x:c r="AL1363" s="604" t="n"/>
      <x:c r="AM1363" s="604" t="n"/>
      <x:c r="AN1363" s="604" t="inlineStr">
        <x:is>
          <x:t xml:space="preserve">EVALUATED</x:t>
        </x:is>
      </x:c>
      <x:c r="AO1363" s="604" t="inlineStr">
        <x:is>
          <x:t xml:space="preserve">LOW_QUALITY_GATE;BUCKET_PRIOR_ONLY;INTENT_INTERPRETATION_ONLY;FFL_OPTIONAL;EXPERT_MARKET</x:t>
        </x:is>
      </x:c>
      <x:c r="AP1363" s="604" t="inlineStr">
        <x:is>
          <x:t xml:space="preserve">6a5fa6de5f0de494b470</x:t>
        </x:is>
      </x:c>
      <x:c r="AQ1363" s="604" t="n"/>
      <x:c r="AR1363" s="604" t="n"/>
      <x:c r="AS1363" s="604" t="n">
        <x:v>-0.25</x:v>
      </x:c>
      <x:c r="AT1363" s="604" t="n">
        <x:v>0.25</x:v>
      </x:c>
      <x:c r="AU1363" s="604" t="n">
        <x:v>0.98</x:v>
      </x:c>
      <x:c r="AV1363" s="604" t="n">
        <x:v>0.9</x:v>
      </x:c>
      <x:c r="AW1363" s="604" t="inlineStr">
        <x:is>
          <x:t xml:space="preserve">2026-10-09T09:01:21.127001+08:00</x:t>
        </x:is>
      </x:c>
      <x:c r="AX1363" s="604" t="inlineStr">
        <x:is>
          <x:t xml:space="preserve">Titan007/V4</x:t>
        </x:is>
      </x:c>
      <x:c r="AY1363" s="604" t="inlineStr">
        <x:is>
          <x:t xml:space="preserve">Daily append；市场输入缺失时不生成决策</x:t>
        </x:is>
      </x:c>
    </x:row>
    <x:row r="1364" ht="22" customHeight="1">
      <x:c r="A1364" s="604" t="inlineStr">
        <x:is>
          <x:t xml:space="preserve">2026-10-09</x:t>
        </x:is>
      </x:c>
      <x:c r="B1364" s="604" t="inlineStr">
        <x:is>
          <x:t xml:space="preserve">2026-10-10T02:45:00+08:00</x:t>
        </x:is>
      </x:c>
      <x:c r="C1364" s="604" t="str">
        <x:v>欧洲非五大系列</x:v>
      </x:c>
      <x:c r="D1364" s="604" t="inlineStr">
        <x:is>
          <x:t xml:space="preserve"/>
        </x:is>
      </x:c>
      <x:c r="E1364" s="604" t="inlineStr">
        <x:is>
          <x:t xml:space="preserve">爱超</x:t>
        </x:is>
      </x:c>
      <x:c r="F1364" s="604" t="inlineStr">
        <x:is>
          <x:t xml:space="preserve">谢尔伯恩 vs 斯莱戈流浪者</x:t>
        </x:is>
      </x:c>
      <x:c r="G1364" s="604" t="n">
        <x:v>1.04</x:v>
      </x:c>
      <x:c r="H1364" s="604" t="n">
        <x:v>1.5</x:v>
      </x:c>
      <x:c r="I1364" s="604" t="n">
        <x:v>0.84</x:v>
      </x:c>
      <x:c r="J1364" s="604" t="inlineStr">
        <x:is>
          <x:t xml:space="preserve">1.04/1.5/0.84</x:t>
        </x:is>
      </x:c>
      <x:c r="K1364" s="604" t="inlineStr">
        <x:is>
          <x:t xml:space="preserve">V4-N</x:t>
        </x:is>
      </x:c>
      <x:c r="L1364" s="604" t="inlineStr">
        <x:is>
          <x:t xml:space="preserve"/>
        </x:is>
      </x:c>
      <x:c r="M1364" s="604" t="n">
        <x:v>0.6047889497776584</x:v>
      </x:c>
      <x:c r="N1364" s="604" t="inlineStr">
        <x:is>
          <x:t xml:space="preserve">V4 Shadow Only；real_money=false</x:t>
        </x:is>
      </x:c>
      <x:c r="O1364" s="604" t="inlineStr">
        <x:is>
          <x:t xml:space="preserve">0-0</x:t>
        </x:is>
      </x:c>
      <x:c r="P1364" s="604" t="inlineStr">
        <x:is>
          <x:t xml:space="preserve">EVALUATED</x:t>
        </x:is>
      </x:c>
      <x:c r="Q1364" s="630" t="inlineStr">
        <x:is>
          <x:t xml:space="preserve"/>
        </x:is>
      </x:c>
      <x:c r="R1364" s="604" t="n"/>
      <x:c r="S1364" s="604" t="n"/>
      <x:c r="T1364" s="604" t="inlineStr">
        <x:is>
          <x:t xml:space="preserve">D:\codex\v3_legacy\outputs\football_odds_trader\raw\titan007\20261009\20261009_085232_titan007_odds_snapshot.csv</x:t>
        </x:is>
      </x:c>
      <x:c r="U1364" s="628" t="inlineStr">
        <x:is>
          <x:t xml:space="preserve"/>
        </x:is>
      </x:c>
      <x:c r="V1364" s="604" t="inlineStr">
        <x:is>
          <x:t xml:space="preserve"/>
        </x:is>
      </x:c>
      <x:c r="W1364" s="604" t="inlineStr">
        <x:is>
          <x:t xml:space="preserve"/>
        </x:is>
      </x:c>
      <x:c r="X1364" s="604" t="inlineStr">
        <x:is>
          <x:t xml:space="preserve">2914413</x:t>
        </x:is>
      </x:c>
      <x:c r="Y1364" s="604" t="inlineStr">
        <x:is>
          <x:t xml:space="preserve">V4</x:t>
        </x:is>
      </x:c>
      <x:c r="Z1364" s="604" t="inlineStr">
        <x:is>
          <x:t xml:space="preserve">prior-2026-10-09-v1</x:t>
        </x:is>
      </x:c>
      <x:c r="AA1364" s="604" t="inlineStr">
        <x:is>
          <x:t xml:space="preserve">N</x:t>
        </x:is>
      </x:c>
      <x:c r="AB1364" s="604" t="n">
        <x:v>0.6047889497776584</x:v>
      </x:c>
      <x:c r="AC1364" s="604" t="n">
        <x:v>0.3952110502223416</x:v>
      </x:c>
      <x:c r="AD1364" s="604" t="n">
        <x:v>2</x:v>
      </x:c>
      <x:c r="AE1364" s="604" t="n"/>
      <x:c r="AF1364" s="604" t="n"/>
      <x:c r="AG1364" s="604" t="n">
        <x:v>0.2337694575464232</x:v>
      </x:c>
      <x:c r="AH1364" s="604" t="n"/>
      <x:c r="AI1364" s="604" t="n"/>
      <x:c r="AJ1364" s="604" t="n">
        <x:v>0.2337694575464232</x:v>
      </x:c>
      <x:c r="AK1364" s="604" t="n"/>
      <x:c r="AL1364" s="604" t="n"/>
      <x:c r="AM1364" s="604" t="n"/>
      <x:c r="AN1364" s="604" t="inlineStr">
        <x:is>
          <x:t xml:space="preserve">EVALUATED</x:t>
        </x:is>
      </x:c>
      <x:c r="AO1364" s="604" t="inlineStr">
        <x:is>
          <x:t xml:space="preserve">LOW_QUALITY_GATE;BUCKET_PRIOR_ONLY;INTENT_INTERPRETATION_ONLY;FFL_OPTIONAL;EXPERT_MARKET</x:t>
        </x:is>
      </x:c>
      <x:c r="AP1364" s="604" t="inlineStr">
        <x:is>
          <x:t xml:space="preserve">53dbfdcbf57b93b6298d</x:t>
        </x:is>
      </x:c>
      <x:c r="AQ1364" s="604" t="n"/>
      <x:c r="AR1364" s="604" t="n"/>
      <x:c r="AS1364" s="604" t="n">
        <x:v>1.5</x:v>
      </x:c>
      <x:c r="AT1364" s="604" t="n">
        <x:v>-1.5</x:v>
      </x:c>
      <x:c r="AU1364" s="604" t="n">
        <x:v>1.04</x:v>
      </x:c>
      <x:c r="AV1364" s="604" t="n">
        <x:v>0.84</x:v>
      </x:c>
      <x:c r="AW1364" s="604" t="inlineStr">
        <x:is>
          <x:t xml:space="preserve">2026-10-09T09:01:21.127001+08:00</x:t>
        </x:is>
      </x:c>
      <x:c r="AX1364" s="604" t="inlineStr">
        <x:is>
          <x:t xml:space="preserve">Titan007/V4</x:t>
        </x:is>
      </x:c>
      <x:c r="AY1364" s="604" t="inlineStr">
        <x:is>
          <x:t xml:space="preserve">Daily append；市场输入缺失时不生成决策</x:t>
        </x:is>
      </x:c>
    </x:row>
    <x:row r="1365" ht="22" customHeight="1">
      <x:c r="A1365" s="604" t="inlineStr">
        <x:is>
          <x:t xml:space="preserve">2026-10-09</x:t>
        </x:is>
      </x:c>
      <x:c r="B1365" s="604" t="inlineStr">
        <x:is>
          <x:t xml:space="preserve">2026-10-10T01:00:00+08:00</x:t>
        </x:is>
      </x:c>
      <x:c r="C1365" s="604" t="str">
        <x:v>欧洲非五大系列</x:v>
      </x:c>
      <x:c r="D1365" s="604" t="inlineStr">
        <x:is>
          <x:t xml:space="preserve"/>
        </x:is>
      </x:c>
      <x:c r="E1365" s="604" t="inlineStr">
        <x:is>
          <x:t xml:space="preserve">瑞典乙北</x:t>
        </x:is>
      </x:c>
      <x:c r="F1365" s="604" t="inlineStr">
        <x:is>
          <x:t xml:space="preserve">索伦蒂纳联 vs 斯托克松德</x:t>
        </x:is>
      </x:c>
      <x:c r="G1365" s="604" t="n">
        <x:v>0.95</x:v>
      </x:c>
      <x:c r="H1365" s="604" t="n">
        <x:v>1</x:v>
      </x:c>
      <x:c r="I1365" s="604" t="n">
        <x:v>0.75</x:v>
      </x:c>
      <x:c r="J1365" s="604" t="inlineStr">
        <x:is>
          <x:t xml:space="preserve">0.95/1.0/0.75</x:t>
        </x:is>
      </x:c>
      <x:c r="K1365" s="604" t="inlineStr">
        <x:is>
          <x:t xml:space="preserve">V4-N</x:t>
        </x:is>
      </x:c>
      <x:c r="L1365" s="604" t="inlineStr">
        <x:is>
          <x:t xml:space="preserve"/>
        </x:is>
      </x:c>
      <x:c r="M1365" s="604" t="n">
        <x:v>0.388573344749221</x:v>
      </x:c>
      <x:c r="N1365" s="604" t="inlineStr">
        <x:is>
          <x:t xml:space="preserve">V4 Shadow Only；real_money=false</x:t>
        </x:is>
      </x:c>
      <x:c r="O1365" s="604" t="inlineStr">
        <x:is>
          <x:t xml:space="preserve">0-0</x:t>
        </x:is>
      </x:c>
      <x:c r="P1365" s="604" t="inlineStr">
        <x:is>
          <x:t xml:space="preserve">EVALUATED</x:t>
        </x:is>
      </x:c>
      <x:c r="Q1365" s="630" t="inlineStr">
        <x:is>
          <x:t xml:space="preserve"/>
        </x:is>
      </x:c>
      <x:c r="R1365" s="604" t="n"/>
      <x:c r="S1365" s="604" t="n"/>
      <x:c r="T1365" s="604" t="inlineStr">
        <x:is>
          <x:t xml:space="preserve">D:\codex\v3_legacy\outputs\football_odds_trader\raw\titan007\20261009\20261009_085232_titan007_odds_snapshot.csv</x:t>
        </x:is>
      </x:c>
      <x:c r="U1365" s="628" t="inlineStr">
        <x:is>
          <x:t xml:space="preserve"/>
        </x:is>
      </x:c>
      <x:c r="V1365" s="604" t="inlineStr">
        <x:is>
          <x:t xml:space="preserve"/>
        </x:is>
      </x:c>
      <x:c r="W1365" s="604" t="inlineStr">
        <x:is>
          <x:t xml:space="preserve"/>
        </x:is>
      </x:c>
      <x:c r="X1365" s="604" t="inlineStr">
        <x:is>
          <x:t xml:space="preserve">2920179</x:t>
        </x:is>
      </x:c>
      <x:c r="Y1365" s="604" t="inlineStr">
        <x:is>
          <x:t xml:space="preserve">V4</x:t>
        </x:is>
      </x:c>
      <x:c r="Z1365" s="604" t="inlineStr">
        <x:is>
          <x:t xml:space="preserve">prior-2026-10-09-v1</x:t>
        </x:is>
      </x:c>
      <x:c r="AA1365" s="604" t="inlineStr">
        <x:is>
          <x:t xml:space="preserve">N</x:t>
        </x:is>
      </x:c>
      <x:c r="AB1365" s="604" t="n">
        <x:v>0.388573344749221</x:v>
      </x:c>
      <x:c r="AC1365" s="604" t="n">
        <x:v>0.3560719245201811</x:v>
      </x:c>
      <x:c r="AD1365" s="604" t="n">
        <x:v>1.25</x:v>
      </x:c>
      <x:c r="AE1365" s="604" t="n"/>
      <x:c r="AF1365" s="604" t="n"/>
      <x:c r="AG1365" s="604" t="n">
        <x:v>0.01307275299157884</x:v>
      </x:c>
      <x:c r="AH1365" s="604" t="n"/>
      <x:c r="AI1365" s="604" t="n"/>
      <x:c r="AJ1365" s="604" t="n">
        <x:v>0.01307275299157884</x:v>
      </x:c>
      <x:c r="AK1365" s="604" t="n"/>
      <x:c r="AL1365" s="604" t="n"/>
      <x:c r="AM1365" s="604" t="n"/>
      <x:c r="AN1365" s="604" t="inlineStr">
        <x:is>
          <x:t xml:space="preserve">EVALUATED</x:t>
        </x:is>
      </x:c>
      <x:c r="AO1365" s="604" t="inlineStr">
        <x:is>
          <x:t xml:space="preserve">EDGE_BELOW_UNCERTAINTY_THRESHOLD;BUCKET_PRIOR_ONLY;INTENT_INTERPRETATION_ONLY;FFL_OPTIONAL;EXPERT_MARKET</x:t>
        </x:is>
      </x:c>
      <x:c r="AP1365" s="604" t="inlineStr">
        <x:is>
          <x:t xml:space="preserve">a7160237b29edc8a9c0c</x:t>
        </x:is>
      </x:c>
      <x:c r="AQ1365" s="604" t="n"/>
      <x:c r="AR1365" s="604" t="n"/>
      <x:c r="AS1365" s="604" t="n">
        <x:v>1</x:v>
      </x:c>
      <x:c r="AT1365" s="604" t="n">
        <x:v>-1</x:v>
      </x:c>
      <x:c r="AU1365" s="604" t="n">
        <x:v>0.95</x:v>
      </x:c>
      <x:c r="AV1365" s="604" t="n">
        <x:v>0.75</x:v>
      </x:c>
      <x:c r="AW1365" s="604" t="inlineStr">
        <x:is>
          <x:t xml:space="preserve">2026-10-09T09:01:21.127001+08:00</x:t>
        </x:is>
      </x:c>
      <x:c r="AX1365" s="604" t="inlineStr">
        <x:is>
          <x:t xml:space="preserve">Titan007/V4</x:t>
        </x:is>
      </x:c>
      <x:c r="AY1365" s="604" t="inlineStr">
        <x:is>
          <x:t xml:space="preserve">Daily append；市场输入缺失时不生成决策</x:t>
        </x:is>
      </x:c>
    </x:row>
    <x:row r="1366" ht="22" customHeight="1">
      <x:c r="A1366" s="604" t="inlineStr">
        <x:is>
          <x:t xml:space="preserve">2026-10-09</x:t>
        </x:is>
      </x:c>
      <x:c r="B1366" s="604" t="inlineStr">
        <x:is>
          <x:t xml:space="preserve">2026-10-10T00:00:00+08:00</x:t>
        </x:is>
      </x:c>
      <x:c r="C1366" s="604" t="str">
        <x:v>欧洲非五大系列</x:v>
      </x:c>
      <x:c r="D1366" s="604" t="inlineStr">
        <x:is>
          <x:t xml:space="preserve"/>
        </x:is>
      </x:c>
      <x:c r="E1366" s="604" t="inlineStr">
        <x:is>
          <x:t xml:space="preserve">芬甲</x:t>
        </x:is>
      </x:c>
      <x:c r="F1366" s="604" t="inlineStr">
        <x:is>
          <x:t xml:space="preserve">哈卡 vs PK-35海辛基</x:t>
        </x:is>
      </x:c>
      <x:c r="G1366" s="604" t="n">
        <x:v>0.86</x:v>
      </x:c>
      <x:c r="H1366" s="604" t="n">
        <x:v>0.25</x:v>
      </x:c>
      <x:c r="I1366" s="604" t="n">
        <x:v>1.02</x:v>
      </x:c>
      <x:c r="J1366" s="604" t="inlineStr">
        <x:is>
          <x:t xml:space="preserve">0.86/0.25/1.02</x:t>
        </x:is>
      </x:c>
      <x:c r="K1366" s="604" t="inlineStr">
        <x:is>
          <x:t xml:space="preserve">V4-N</x:t>
        </x:is>
      </x:c>
      <x:c r="L1366" s="604" t="inlineStr">
        <x:is>
          <x:t xml:space="preserve"/>
        </x:is>
      </x:c>
      <x:c r="M1366" s="604" t="n">
        <x:v>0.4974966268154545</x:v>
      </x:c>
      <x:c r="N1366" s="604" t="inlineStr">
        <x:is>
          <x:t xml:space="preserve">V4 Shadow Only；real_money=false</x:t>
        </x:is>
      </x:c>
      <x:c r="O1366" s="604" t="inlineStr">
        <x:is>
          <x:t xml:space="preserve">0-0</x:t>
        </x:is>
      </x:c>
      <x:c r="P1366" s="604" t="inlineStr">
        <x:is>
          <x:t xml:space="preserve">EVALUATED</x:t>
        </x:is>
      </x:c>
      <x:c r="Q1366" s="630" t="inlineStr">
        <x:is>
          <x:t xml:space="preserve"/>
        </x:is>
      </x:c>
      <x:c r="R1366" s="604" t="n"/>
      <x:c r="S1366" s="604" t="n"/>
      <x:c r="T1366" s="604" t="inlineStr">
        <x:is>
          <x:t xml:space="preserve">D:\codex\v3_legacy\outputs\football_odds_trader\raw\titan007\20261009\20261009_085232_titan007_odds_snapshot.csv</x:t>
        </x:is>
      </x:c>
      <x:c r="U1366" s="628" t="inlineStr">
        <x:is>
          <x:t xml:space="preserve"/>
        </x:is>
      </x:c>
      <x:c r="V1366" s="604" t="inlineStr">
        <x:is>
          <x:t xml:space="preserve"/>
        </x:is>
      </x:c>
      <x:c r="W1366" s="604" t="inlineStr">
        <x:is>
          <x:t xml:space="preserve"/>
        </x:is>
      </x:c>
      <x:c r="X1366" s="604" t="inlineStr">
        <x:is>
          <x:t xml:space="preserve">2921947</x:t>
        </x:is>
      </x:c>
      <x:c r="Y1366" s="604" t="inlineStr">
        <x:is>
          <x:t xml:space="preserve">V4</x:t>
        </x:is>
      </x:c>
      <x:c r="Z1366" s="604" t="inlineStr">
        <x:is>
          <x:t xml:space="preserve">prior-2026-10-09-v1</x:t>
        </x:is>
      </x:c>
      <x:c r="AA1366" s="604" t="inlineStr">
        <x:is>
          <x:t xml:space="preserve">N</x:t>
        </x:is>
      </x:c>
      <x:c r="AB1366" s="604" t="n">
        <x:v>0.4974966268154545</x:v>
      </x:c>
      <x:c r="AC1366" s="604" t="n">
        <x:v>0.3764573757177379</x:v>
      </x:c>
      <x:c r="AD1366" s="604" t="n">
        <x:v>0.5</x:v>
      </x:c>
      <x:c r="AE1366" s="604" t="n"/>
      <x:c r="AF1366" s="604" t="n"/>
      <x:c r="AG1366" s="604" t="n">
        <x:v>0.05138972334355296</x:v>
      </x:c>
      <x:c r="AH1366" s="604" t="n"/>
      <x:c r="AI1366" s="604" t="n"/>
      <x:c r="AJ1366" s="604" t="n">
        <x:v>0.05138972334355296</x:v>
      </x:c>
      <x:c r="AK1366" s="604" t="n"/>
      <x:c r="AL1366" s="604" t="n"/>
      <x:c r="AM1366" s="604" t="n"/>
      <x:c r="AN1366" s="604" t="inlineStr">
        <x:is>
          <x:t xml:space="preserve">EVALUATED</x:t>
        </x:is>
      </x:c>
      <x:c r="AO1366" s="604" t="inlineStr">
        <x:is>
          <x:t xml:space="preserve">EDGE_BELOW_UNCERTAINTY_THRESHOLD;BUCKET_PRIOR_ONLY;INTENT_INTERPRETATION_ONLY;FFL_OPTIONAL;EXPERT_MARKET</x:t>
        </x:is>
      </x:c>
      <x:c r="AP1366" s="604" t="inlineStr">
        <x:is>
          <x:t xml:space="preserve">cb7419c81921e09c4024</x:t>
        </x:is>
      </x:c>
      <x:c r="AQ1366" s="604" t="n"/>
      <x:c r="AR1366" s="604" t="n"/>
      <x:c r="AS1366" s="604" t="n">
        <x:v>0.25</x:v>
      </x:c>
      <x:c r="AT1366" s="604" t="n">
        <x:v>-0.25</x:v>
      </x:c>
      <x:c r="AU1366" s="604" t="n">
        <x:v>0.86</x:v>
      </x:c>
      <x:c r="AV1366" s="604" t="n">
        <x:v>1.02</x:v>
      </x:c>
      <x:c r="AW1366" s="604" t="inlineStr">
        <x:is>
          <x:t xml:space="preserve">2026-10-09T09:01:21.127001+08:00</x:t>
        </x:is>
      </x:c>
      <x:c r="AX1366" s="604" t="inlineStr">
        <x:is>
          <x:t xml:space="preserve">Titan007/V4</x:t>
        </x:is>
      </x:c>
      <x:c r="AY1366" s="604" t="inlineStr">
        <x:is>
          <x:t xml:space="preserve">Daily append；市场输入缺失时不生成决策</x:t>
        </x:is>
      </x:c>
    </x:row>
    <x:row r="1367" ht="22" customHeight="1">
      <x:c r="A1367" s="604" t="inlineStr">
        <x:is>
          <x:t xml:space="preserve">2026-10-09</x:t>
        </x:is>
      </x:c>
      <x:c r="B1367" s="604" t="inlineStr">
        <x:is>
          <x:t xml:space="preserve">2026-10-10T00:00:00+08:00</x:t>
        </x:is>
      </x:c>
      <x:c r="C1367" s="604" t="str">
        <x:v>欧洲非五大系列</x:v>
      </x:c>
      <x:c r="D1367" s="604" t="inlineStr">
        <x:is>
          <x:t xml:space="preserve"/>
        </x:is>
      </x:c>
      <x:c r="E1367" s="604" t="inlineStr">
        <x:is>
          <x:t xml:space="preserve">芬甲</x:t>
        </x:is>
      </x:c>
      <x:c r="F1367" s="604" t="inlineStr">
        <x:is>
          <x:t xml:space="preserve">查普斯 vs 吉普</x:t>
        </x:is>
      </x:c>
      <x:c r="G1367" s="604" t="n">
        <x:v>1.04</x:v>
      </x:c>
      <x:c r="H1367" s="604" t="n">
        <x:v>-0.5</x:v>
      </x:c>
      <x:c r="I1367" s="604" t="n">
        <x:v>0.84</x:v>
      </x:c>
      <x:c r="J1367" s="604" t="inlineStr">
        <x:is>
          <x:t xml:space="preserve">1.04/-0.5/0.84</x:t>
        </x:is>
      </x:c>
      <x:c r="K1367" s="604" t="inlineStr">
        <x:is>
          <x:t xml:space="preserve">V4-N</x:t>
        </x:is>
      </x:c>
      <x:c r="L1367" s="604" t="inlineStr">
        <x:is>
          <x:t xml:space="preserve"/>
        </x:is>
      </x:c>
      <x:c r="M1367" s="604" t="n">
        <x:v>0.1601273452213499</x:v>
      </x:c>
      <x:c r="N1367" s="604" t="inlineStr">
        <x:is>
          <x:t xml:space="preserve">V4 Shadow Only；real_money=false</x:t>
        </x:is>
      </x:c>
      <x:c r="O1367" s="604" t="inlineStr">
        <x:is>
          <x:t xml:space="preserve">0-0</x:t>
        </x:is>
      </x:c>
      <x:c r="P1367" s="604" t="inlineStr">
        <x:is>
          <x:t xml:space="preserve">EVALUATED</x:t>
        </x:is>
      </x:c>
      <x:c r="Q1367" s="630" t="inlineStr">
        <x:is>
          <x:t xml:space="preserve"/>
        </x:is>
      </x:c>
      <x:c r="R1367" s="604" t="n"/>
      <x:c r="S1367" s="604" t="n"/>
      <x:c r="T1367" s="604" t="inlineStr">
        <x:is>
          <x:t xml:space="preserve">D:\codex\v3_legacy\outputs\football_odds_trader\raw\titan007\20261009\20261009_085232_titan007_odds_snapshot.csv</x:t>
        </x:is>
      </x:c>
      <x:c r="U1367" s="628" t="inlineStr">
        <x:is>
          <x:t xml:space="preserve"/>
        </x:is>
      </x:c>
      <x:c r="V1367" s="604" t="inlineStr">
        <x:is>
          <x:t xml:space="preserve"/>
        </x:is>
      </x:c>
      <x:c r="W1367" s="604" t="inlineStr">
        <x:is>
          <x:t xml:space="preserve"/>
        </x:is>
      </x:c>
      <x:c r="X1367" s="604" t="inlineStr">
        <x:is>
          <x:t xml:space="preserve">2921948</x:t>
        </x:is>
      </x:c>
      <x:c r="Y1367" s="604" t="inlineStr">
        <x:is>
          <x:t xml:space="preserve">V4</x:t>
        </x:is>
      </x:c>
      <x:c r="Z1367" s="604" t="inlineStr">
        <x:is>
          <x:t xml:space="preserve">prior-2026-10-09-v1</x:t>
        </x:is>
      </x:c>
      <x:c r="AA1367" s="604" t="inlineStr">
        <x:is>
          <x:t xml:space="preserve">N</x:t>
        </x:is>
      </x:c>
      <x:c r="AB1367" s="604" t="n">
        <x:v>0.1601273452213499</x:v>
      </x:c>
      <x:c r="AC1367" s="604" t="n">
        <x:v>0.8398726547786501</x:v>
      </x:c>
      <x:c r="AD1367" s="604" t="n">
        <x:v>-1</x:v>
      </x:c>
      <x:c r="AE1367" s="604" t="n"/>
      <x:c r="AF1367" s="604" t="n"/>
      <x:c r="AG1367" s="604" t="n">
        <x:v>0.7133402157484462</x:v>
      </x:c>
      <x:c r="AH1367" s="604" t="n"/>
      <x:c r="AI1367" s="604" t="n"/>
      <x:c r="AJ1367" s="604" t="n">
        <x:v>0.7133402157484462</x:v>
      </x:c>
      <x:c r="AK1367" s="604" t="n"/>
      <x:c r="AL1367" s="604" t="n"/>
      <x:c r="AM1367" s="604" t="n"/>
      <x:c r="AN1367" s="604" t="inlineStr">
        <x:is>
          <x:t xml:space="preserve">EVALUATED</x:t>
        </x:is>
      </x:c>
      <x:c r="AO1367" s="604" t="inlineStr">
        <x:is>
          <x:t xml:space="preserve">LOW_QUALITY_GATE;BUCKET_PRIOR_ONLY;INTENT_INTERPRETATION_ONLY;FFL_OPTIONAL;EXPERT_MARKET</x:t>
        </x:is>
      </x:c>
      <x:c r="AP1367" s="604" t="inlineStr">
        <x:is>
          <x:t xml:space="preserve">fe47b4be5b190331eeb7</x:t>
        </x:is>
      </x:c>
      <x:c r="AQ1367" s="604" t="n"/>
      <x:c r="AR1367" s="604" t="n"/>
      <x:c r="AS1367" s="604" t="n">
        <x:v>-0.5</x:v>
      </x:c>
      <x:c r="AT1367" s="604" t="n">
        <x:v>0.5</x:v>
      </x:c>
      <x:c r="AU1367" s="604" t="n">
        <x:v>1.04</x:v>
      </x:c>
      <x:c r="AV1367" s="604" t="n">
        <x:v>0.84</x:v>
      </x:c>
      <x:c r="AW1367" s="604" t="inlineStr">
        <x:is>
          <x:t xml:space="preserve">2026-10-09T09:01:21.127001+08:00</x:t>
        </x:is>
      </x:c>
      <x:c r="AX1367" s="604" t="inlineStr">
        <x:is>
          <x:t xml:space="preserve">Titan007/V4</x:t>
        </x:is>
      </x:c>
      <x:c r="AY1367" s="604" t="inlineStr">
        <x:is>
          <x:t xml:space="preserve">Daily append；市场输入缺失时不生成决策</x:t>
        </x:is>
      </x:c>
    </x:row>
    <x:row r="1368" ht="22" customHeight="1">
      <x:c r="A1368" s="604" t="inlineStr">
        <x:is>
          <x:t xml:space="preserve">2026-10-09</x:t>
        </x:is>
      </x:c>
      <x:c r="B1368" s="604" t="inlineStr">
        <x:is>
          <x:t xml:space="preserve">2026-10-10T00:00:00+08:00</x:t>
        </x:is>
      </x:c>
      <x:c r="C1368" s="604" t="str">
        <x:v>欧洲非五大系列</x:v>
      </x:c>
      <x:c r="D1368" s="604" t="inlineStr">
        <x:is>
          <x:t xml:space="preserve"/>
        </x:is>
      </x:c>
      <x:c r="E1368" s="604" t="inlineStr">
        <x:is>
          <x:t xml:space="preserve">芬甲</x:t>
        </x:is>
      </x:c>
      <x:c r="F1368" s="604" t="inlineStr">
        <x:is>
          <x:t xml:space="preserve">卡亚尼卡帕 vs MP米克力</x:t>
        </x:is>
      </x:c>
      <x:c r="G1368" s="604" t="n">
        <x:v>0.86</x:v>
      </x:c>
      <x:c r="H1368" s="604" t="n">
        <x:v>0.25</x:v>
      </x:c>
      <x:c r="I1368" s="604" t="n">
        <x:v>1.02</x:v>
      </x:c>
      <x:c r="J1368" s="604" t="inlineStr">
        <x:is>
          <x:t xml:space="preserve">0.86/0.25/1.02</x:t>
        </x:is>
      </x:c>
      <x:c r="K1368" s="604" t="inlineStr">
        <x:is>
          <x:t xml:space="preserve">V4-N</x:t>
        </x:is>
      </x:c>
      <x:c r="L1368" s="604" t="inlineStr">
        <x:is>
          <x:t xml:space="preserve"/>
        </x:is>
      </x:c>
      <x:c r="M1368" s="604" t="n">
        <x:v>0.4828300678984492</x:v>
      </x:c>
      <x:c r="N1368" s="604" t="inlineStr">
        <x:is>
          <x:t xml:space="preserve">V4 Shadow Only；real_money=false</x:t>
        </x:is>
      </x:c>
      <x:c r="O1368" s="604" t="inlineStr">
        <x:is>
          <x:t xml:space="preserve">0-0</x:t>
        </x:is>
      </x:c>
      <x:c r="P1368" s="604" t="inlineStr">
        <x:is>
          <x:t xml:space="preserve">EVALUATED</x:t>
        </x:is>
      </x:c>
      <x:c r="Q1368" s="630" t="inlineStr">
        <x:is>
          <x:t xml:space="preserve"/>
        </x:is>
      </x:c>
      <x:c r="R1368" s="604" t="n"/>
      <x:c r="S1368" s="604" t="n"/>
      <x:c r="T1368" s="604" t="inlineStr">
        <x:is>
          <x:t xml:space="preserve">D:\codex\v3_legacy\outputs\football_odds_trader\raw\titan007\20261009\20261009_085232_titan007_odds_snapshot.csv</x:t>
        </x:is>
      </x:c>
      <x:c r="U1368" s="628" t="inlineStr">
        <x:is>
          <x:t xml:space="preserve"/>
        </x:is>
      </x:c>
      <x:c r="V1368" s="604" t="inlineStr">
        <x:is>
          <x:t xml:space="preserve"/>
        </x:is>
      </x:c>
      <x:c r="W1368" s="604" t="inlineStr">
        <x:is>
          <x:t xml:space="preserve"/>
        </x:is>
      </x:c>
      <x:c r="X1368" s="604" t="inlineStr">
        <x:is>
          <x:t xml:space="preserve">2921949</x:t>
        </x:is>
      </x:c>
      <x:c r="Y1368" s="604" t="inlineStr">
        <x:is>
          <x:t xml:space="preserve">V4</x:t>
        </x:is>
      </x:c>
      <x:c r="Z1368" s="604" t="inlineStr">
        <x:is>
          <x:t xml:space="preserve">prior-2026-10-09-v1</x:t>
        </x:is>
      </x:c>
      <x:c r="AA1368" s="604" t="inlineStr">
        <x:is>
          <x:t xml:space="preserve">N</x:t>
        </x:is>
      </x:c>
      <x:c r="AB1368" s="604" t="n">
        <x:v>0.4828300678984492</x:v>
      </x:c>
      <x:c r="AC1368" s="604" t="n">
        <x:v>0.3901946486838328</x:v>
      </x:c>
      <x:c r="AD1368" s="604" t="n">
        <x:v>0.5</x:v>
      </x:c>
      <x:c r="AE1368" s="604" t="n"/>
      <x:c r="AF1368" s="604" t="n"/>
      <x:c r="AG1368" s="604" t="n">
        <x:v>0.02503920970883344</x:v>
      </x:c>
      <x:c r="AH1368" s="604" t="n"/>
      <x:c r="AI1368" s="604" t="n"/>
      <x:c r="AJ1368" s="604" t="n">
        <x:v>0.02503920970883344</x:v>
      </x:c>
      <x:c r="AK1368" s="604" t="n"/>
      <x:c r="AL1368" s="604" t="n"/>
      <x:c r="AM1368" s="604" t="n"/>
      <x:c r="AN1368" s="604" t="inlineStr">
        <x:is>
          <x:t xml:space="preserve">EVALUATED</x:t>
        </x:is>
      </x:c>
      <x:c r="AO1368" s="604" t="inlineStr">
        <x:is>
          <x:t xml:space="preserve">EDGE_BELOW_UNCERTAINTY_THRESHOLD;BUCKET_PRIOR_ONLY;INTENT_INTERPRETATION_ONLY;FFL_OPTIONAL;EXPERT_MARKET</x:t>
        </x:is>
      </x:c>
      <x:c r="AP1368" s="604" t="inlineStr">
        <x:is>
          <x:t xml:space="preserve">dc49891a893e9e3c5201</x:t>
        </x:is>
      </x:c>
      <x:c r="AQ1368" s="604" t="n"/>
      <x:c r="AR1368" s="604" t="n"/>
      <x:c r="AS1368" s="604" t="n">
        <x:v>0.25</x:v>
      </x:c>
      <x:c r="AT1368" s="604" t="n">
        <x:v>-0.25</x:v>
      </x:c>
      <x:c r="AU1368" s="604" t="n">
        <x:v>0.86</x:v>
      </x:c>
      <x:c r="AV1368" s="604" t="n">
        <x:v>1.02</x:v>
      </x:c>
      <x:c r="AW1368" s="604" t="inlineStr">
        <x:is>
          <x:t xml:space="preserve">2026-10-09T09:01:21.127001+08:00</x:t>
        </x:is>
      </x:c>
      <x:c r="AX1368" s="604" t="inlineStr">
        <x:is>
          <x:t xml:space="preserve">Titan007/V4</x:t>
        </x:is>
      </x:c>
      <x:c r="AY1368" s="604" t="inlineStr">
        <x:is>
          <x:t xml:space="preserve">Daily append；市场输入缺失时不生成决策</x:t>
        </x:is>
      </x:c>
    </x:row>
    <x:row r="1369" ht="22" customHeight="1">
      <x:c r="A1369" s="604" t="inlineStr">
        <x:is>
          <x:t xml:space="preserve">2026-10-09</x:t>
        </x:is>
      </x:c>
      <x:c r="B1369" s="604" t="inlineStr">
        <x:is>
          <x:t xml:space="preserve">2026-10-10T00:00:00+08:00</x:t>
        </x:is>
      </x:c>
      <x:c r="C1369" s="604" t="str">
        <x:v>欧洲非五大系列</x:v>
      </x:c>
      <x:c r="D1369" s="604" t="inlineStr">
        <x:is>
          <x:t xml:space="preserve"/>
        </x:is>
      </x:c>
      <x:c r="E1369" s="604" t="inlineStr">
        <x:is>
          <x:t xml:space="preserve">芬甲</x:t>
        </x:is>
      </x:c>
      <x:c r="F1369" s="604" t="inlineStr">
        <x:is>
          <x:t xml:space="preserve">克鲁比04 vs EIF埃克纳斯</x:t>
        </x:is>
      </x:c>
      <x:c r="G1369" s="604" t="n">
        <x:v>0.88</x:v>
      </x:c>
      <x:c r="H1369" s="604" t="n">
        <x:v>0.75</x:v>
      </x:c>
      <x:c r="I1369" s="604" t="n">
        <x:v>1</x:v>
      </x:c>
      <x:c r="J1369" s="604" t="inlineStr">
        <x:is>
          <x:t xml:space="preserve">0.88/0.75/1.0</x:t>
        </x:is>
      </x:c>
      <x:c r="K1369" s="604" t="inlineStr">
        <x:is>
          <x:t xml:space="preserve">V4-N</x:t>
        </x:is>
      </x:c>
      <x:c r="L1369" s="604" t="inlineStr">
        <x:is>
          <x:t xml:space="preserve"/>
        </x:is>
      </x:c>
      <x:c r="M1369" s="604" t="n">
        <x:v>0.4895411463683013</x:v>
      </x:c>
      <x:c r="N1369" s="604" t="inlineStr">
        <x:is>
          <x:t xml:space="preserve">V4 Shadow Only；real_money=false</x:t>
        </x:is>
      </x:c>
      <x:c r="O1369" s="604" t="inlineStr">
        <x:is>
          <x:t xml:space="preserve">0-0</x:t>
        </x:is>
      </x:c>
      <x:c r="P1369" s="604" t="inlineStr">
        <x:is>
          <x:t xml:space="preserve">EVALUATED</x:t>
        </x:is>
      </x:c>
      <x:c r="Q1369" s="630" t="inlineStr">
        <x:is>
          <x:t xml:space="preserve"/>
        </x:is>
      </x:c>
      <x:c r="R1369" s="604" t="n"/>
      <x:c r="S1369" s="604" t="n"/>
      <x:c r="T1369" s="604" t="inlineStr">
        <x:is>
          <x:t xml:space="preserve">D:\codex\v3_legacy\outputs\football_odds_trader\raw\titan007\20261009\20261009_085232_titan007_odds_snapshot.csv</x:t>
        </x:is>
      </x:c>
      <x:c r="U1369" s="628" t="inlineStr">
        <x:is>
          <x:t xml:space="preserve"/>
        </x:is>
      </x:c>
      <x:c r="V1369" s="604" t="inlineStr">
        <x:is>
          <x:t xml:space="preserve"/>
        </x:is>
      </x:c>
      <x:c r="W1369" s="604" t="inlineStr">
        <x:is>
          <x:t xml:space="preserve"/>
        </x:is>
      </x:c>
      <x:c r="X1369" s="604" t="inlineStr">
        <x:is>
          <x:t xml:space="preserve">2921950</x:t>
        </x:is>
      </x:c>
      <x:c r="Y1369" s="604" t="inlineStr">
        <x:is>
          <x:t xml:space="preserve">V4</x:t>
        </x:is>
      </x:c>
      <x:c r="Z1369" s="604" t="inlineStr">
        <x:is>
          <x:t xml:space="preserve">prior-2026-10-09-v1</x:t>
        </x:is>
      </x:c>
      <x:c r="AA1369" s="604" t="inlineStr">
        <x:is>
          <x:t xml:space="preserve">N</x:t>
        </x:is>
      </x:c>
      <x:c r="AB1369" s="604" t="n">
        <x:v>0.4895411463683013</x:v>
      </x:c>
      <x:c r="AC1369" s="604" t="n">
        <x:v>0.3834665507732653</x:v>
      </x:c>
      <x:c r="AD1369" s="604" t="n">
        <x:v>1</x:v>
      </x:c>
      <x:c r="AE1369" s="604" t="n"/>
      <x:c r="AF1369" s="604" t="n"/>
      <x:c r="AG1369" s="604" t="n">
        <x:v>0.04732965803083977</x:v>
      </x:c>
      <x:c r="AH1369" s="604" t="n"/>
      <x:c r="AI1369" s="604" t="n"/>
      <x:c r="AJ1369" s="604" t="n">
        <x:v>0.04732965803083977</x:v>
      </x:c>
      <x:c r="AK1369" s="604" t="n"/>
      <x:c r="AL1369" s="604" t="n"/>
      <x:c r="AM1369" s="604" t="n"/>
      <x:c r="AN1369" s="604" t="inlineStr">
        <x:is>
          <x:t xml:space="preserve">EVALUATED</x:t>
        </x:is>
      </x:c>
      <x:c r="AO1369" s="604" t="inlineStr">
        <x:is>
          <x:t xml:space="preserve">EDGE_BELOW_UNCERTAINTY_THRESHOLD;BUCKET_PRIOR_ONLY;INTENT_INTERPRETATION_ONLY;FFL_OPTIONAL;EXPERT_MARKET</x:t>
        </x:is>
      </x:c>
      <x:c r="AP1369" s="604" t="inlineStr">
        <x:is>
          <x:t xml:space="preserve">f50964af41a7f28e62be</x:t>
        </x:is>
      </x:c>
      <x:c r="AQ1369" s="604" t="n"/>
      <x:c r="AR1369" s="604" t="n"/>
      <x:c r="AS1369" s="604" t="n">
        <x:v>0.75</x:v>
      </x:c>
      <x:c r="AT1369" s="604" t="n">
        <x:v>-0.75</x:v>
      </x:c>
      <x:c r="AU1369" s="604" t="n">
        <x:v>0.88</x:v>
      </x:c>
      <x:c r="AV1369" s="604" t="n">
        <x:v>1</x:v>
      </x:c>
      <x:c r="AW1369" s="604" t="inlineStr">
        <x:is>
          <x:t xml:space="preserve">2026-10-09T09:01:21.127001+08:00</x:t>
        </x:is>
      </x:c>
      <x:c r="AX1369" s="604" t="inlineStr">
        <x:is>
          <x:t xml:space="preserve">Titan007/V4</x:t>
        </x:is>
      </x:c>
      <x:c r="AY1369" s="604" t="inlineStr">
        <x:is>
          <x:t xml:space="preserve">Daily append；市场输入缺失时不生成决策</x:t>
        </x:is>
      </x:c>
    </x:row>
    <x:row r="1370" ht="22" customHeight="1">
      <x:c r="A1370" s="604" t="inlineStr">
        <x:is>
          <x:t xml:space="preserve">2026-10-09</x:t>
        </x:is>
      </x:c>
      <x:c r="B1370" s="604" t="inlineStr">
        <x:is>
          <x:t xml:space="preserve">2026-10-09T13:00:00+08:00</x:t>
        </x:is>
      </x:c>
      <x:c r="C1370" s="604" t="str">
        <x:v>日韩系列</x:v>
      </x:c>
      <x:c r="D1370" s="604" t="inlineStr">
        <x:is>
          <x:t xml:space="preserve">韓K2聯</x:t>
        </x:is>
      </x:c>
      <x:c r="E1370" s="604" t="inlineStr">
        <x:is>
          <x:t xml:space="preserve">韩K2联</x:t>
        </x:is>
      </x:c>
      <x:c r="F1370" s="604" t="inlineStr">
        <x:is>
          <x:t xml:space="preserve">水原FC vs 华城FC</x:t>
        </x:is>
      </x:c>
      <x:c r="G1370" s="604" t="n">
        <x:v>1.03</x:v>
      </x:c>
      <x:c r="H1370" s="604" t="n">
        <x:v>0.5</x:v>
      </x:c>
      <x:c r="I1370" s="604" t="n">
        <x:v>0.73</x:v>
      </x:c>
      <x:c r="J1370" s="604" t="inlineStr">
        <x:is>
          <x:t xml:space="preserve">1.03/0.5/0.73</x:t>
        </x:is>
      </x:c>
      <x:c r="K1370" s="604" t="inlineStr">
        <x:is>
          <x:t xml:space="preserve">V4-C</x:t>
        </x:is>
      </x:c>
      <x:c r="L1370" s="604" t="inlineStr">
        <x:is>
          <x:t xml:space="preserve"/>
        </x:is>
      </x:c>
      <x:c r="M1370" s="604" t="n">
        <x:v>0.5011117001175321</x:v>
      </x:c>
      <x:c r="N1370" s="604" t="inlineStr">
        <x:is>
          <x:t xml:space="preserve">V4 Shadow Only；real_money=false</x:t>
        </x:is>
      </x:c>
      <x:c r="O1370" s="604" t="inlineStr">
        <x:is>
          <x:t xml:space="preserve">0-0</x:t>
        </x:is>
      </x:c>
      <x:c r="P1370" s="604" t="inlineStr">
        <x:is>
          <x:t xml:space="preserve">EVALUATED</x:t>
        </x:is>
      </x:c>
      <x:c r="Q1370" s="630" t="inlineStr">
        <x:is>
          <x:t xml:space="preserve"/>
        </x:is>
      </x:c>
      <x:c r="R1370" s="604" t="n"/>
      <x:c r="S1370" s="604" t="n"/>
      <x:c r="T1370" s="604" t="inlineStr">
        <x:is>
          <x:t xml:space="preserve">D:\codex\v3_legacy\outputs\football_odds_trader\raw\titan007\20261009\20261009_085232_titan007_odds_snapshot.csv</x:t>
        </x:is>
      </x:c>
      <x:c r="U1370" s="628" t="inlineStr">
        <x:is>
          <x:t xml:space="preserve"/>
        </x:is>
      </x:c>
      <x:c r="V1370" s="604" t="inlineStr">
        <x:is>
          <x:t xml:space="preserve"/>
        </x:is>
      </x:c>
      <x:c r="W1370" s="604" t="inlineStr">
        <x:is>
          <x:t xml:space="preserve"/>
        </x:is>
      </x:c>
      <x:c r="X1370" s="604" t="inlineStr">
        <x:is>
          <x:t xml:space="preserve">2925542</x:t>
        </x:is>
      </x:c>
      <x:c r="Y1370" s="604" t="inlineStr">
        <x:is>
          <x:t xml:space="preserve">V4</x:t>
        </x:is>
      </x:c>
      <x:c r="Z1370" s="604" t="inlineStr">
        <x:is>
          <x:t xml:space="preserve">prior-2026-10-09-v1</x:t>
        </x:is>
      </x:c>
      <x:c r="AA1370" s="604" t="inlineStr">
        <x:is>
          <x:t xml:space="preserve">C</x:t>
        </x:is>
      </x:c>
      <x:c r="AB1370" s="604" t="n">
        <x:v>0.5011117001175321</x:v>
      </x:c>
      <x:c r="AC1370" s="604" t="n">
        <x:v>0.4988882998824678</x:v>
      </x:c>
      <x:c r="AD1370" s="604" t="n">
        <x:v>0.5</x:v>
      </x:c>
      <x:c r="AE1370" s="604" t="n"/>
      <x:c r="AF1370" s="604" t="n"/>
      <x:c r="AG1370" s="604" t="n">
        <x:v>0.01725675123859033</x:v>
      </x:c>
      <x:c r="AH1370" s="604" t="n"/>
      <x:c r="AI1370" s="604" t="n"/>
      <x:c r="AJ1370" s="604" t="n">
        <x:v>0.01725675123859033</x:v>
      </x:c>
      <x:c r="AK1370" s="604" t="n"/>
      <x:c r="AL1370" s="604" t="n"/>
      <x:c r="AM1370" s="604" t="n"/>
      <x:c r="AN1370" s="604" t="inlineStr">
        <x:is>
          <x:t xml:space="preserve">EVALUATED</x:t>
        </x:is>
      </x:c>
      <x:c r="AO1370" s="604" t="inlineStr">
        <x:is>
          <x:t xml:space="preserve">EDGE_BELOW_UNCERTAINTY_THRESHOLD;BUCKET_PRIOR_ONLY;INTENT_INTERPRETATION_ONLY;FFL_OPTIONAL;EXPERT_MARKET</x:t>
        </x:is>
      </x:c>
      <x:c r="AP1370" s="604" t="inlineStr">
        <x:is>
          <x:t xml:space="preserve">f93f08eeda0188b561bd</x:t>
        </x:is>
      </x:c>
      <x:c r="AQ1370" s="604" t="n"/>
      <x:c r="AR1370" s="604" t="n"/>
      <x:c r="AS1370" s="604" t="n">
        <x:v>0.5</x:v>
      </x:c>
      <x:c r="AT1370" s="604" t="n">
        <x:v>-0.5</x:v>
      </x:c>
      <x:c r="AU1370" s="604" t="n">
        <x:v>1.03</x:v>
      </x:c>
      <x:c r="AV1370" s="604" t="n">
        <x:v>0.73</x:v>
      </x:c>
      <x:c r="AW1370" s="604" t="inlineStr">
        <x:is>
          <x:t xml:space="preserve">2026-10-09T09:01:21.127001+08:00</x:t>
        </x:is>
      </x:c>
      <x:c r="AX1370" s="604" t="inlineStr">
        <x:is>
          <x:t xml:space="preserve">Titan007/V4</x:t>
        </x:is>
      </x:c>
      <x:c r="AY1370" s="604" t="inlineStr">
        <x:is>
          <x:t xml:space="preserve">Daily append；市场输入缺失时不生成决策</x:t>
        </x:is>
      </x:c>
    </x:row>
    <x:row r="1371" ht="22" customHeight="1">
      <x:c r="A1371" s="604" t="inlineStr">
        <x:is>
          <x:t xml:space="preserve">2026-10-09</x:t>
        </x:is>
      </x:c>
      <x:c r="B1371" s="604" t="inlineStr">
        <x:is>
          <x:t xml:space="preserve">2026-10-09T15:30:00+08:00</x:t>
        </x:is>
      </x:c>
      <x:c r="C1371" s="604" t="str">
        <x:v>日韩系列</x:v>
      </x:c>
      <x:c r="D1371" s="604" t="inlineStr">
        <x:is>
          <x:t xml:space="preserve"/>
        </x:is>
      </x:c>
      <x:c r="E1371" s="604" t="inlineStr">
        <x:is>
          <x:t xml:space="preserve">韩K2联</x:t>
        </x:is>
      </x:c>
      <x:c r="F1371" s="604" t="inlineStr">
        <x:is>
          <x:t xml:space="preserve">忠北清州 vs 城南FC</x:t>
        </x:is>
      </x:c>
      <x:c r="G1371" s="604" t="n">
        <x:v>0.9399999999999999</x:v>
      </x:c>
      <x:c r="H1371" s="604" t="n">
        <x:v>0</x:v>
      </x:c>
      <x:c r="I1371" s="604" t="n">
        <x:v>0.82</x:v>
      </x:c>
      <x:c r="J1371" s="604" t="inlineStr">
        <x:is>
          <x:t xml:space="preserve">0.94/0.0/0.82</x:t>
        </x:is>
      </x:c>
      <x:c r="K1371" s="604" t="inlineStr">
        <x:is>
          <x:t xml:space="preserve">V4-N</x:t>
        </x:is>
      </x:c>
      <x:c r="L1371" s="604" t="inlineStr">
        <x:is>
          <x:t xml:space="preserve"/>
        </x:is>
      </x:c>
      <x:c r="M1371" s="604" t="n"/>
      <x:c r="N1371" s="604" t="inlineStr">
        <x:is>
          <x:t xml:space="preserve">V4 Shadow Only；real_money=false</x:t>
        </x:is>
      </x:c>
      <x:c r="O1371" s="604" t="inlineStr">
        <x:is>
          <x:t xml:space="preserve">0-0</x:t>
        </x:is>
      </x:c>
      <x:c r="P1371" s="604" t="inlineStr">
        <x:is>
          <x:t xml:space="preserve">NEUTRAL</x:t>
        </x:is>
      </x:c>
      <x:c r="Q1371" s="630" t="inlineStr">
        <x:is>
          <x:t xml:space="preserve"/>
        </x:is>
      </x:c>
      <x:c r="R1371" s="604" t="n"/>
      <x:c r="S1371" s="604" t="n"/>
      <x:c r="T1371" s="604" t="inlineStr">
        <x:is>
          <x:t xml:space="preserve">D:\codex\v3_legacy\outputs\football_odds_trader\raw\titan007\20261009\20261009_085232_titan007_odds_snapshot.csv</x:t>
        </x:is>
      </x:c>
      <x:c r="U1371" s="628" t="inlineStr">
        <x:is>
          <x:t xml:space="preserve"/>
        </x:is>
      </x:c>
      <x:c r="V1371" s="604" t="inlineStr">
        <x:is>
          <x:t xml:space="preserve"/>
        </x:is>
      </x:c>
      <x:c r="W1371" s="604" t="inlineStr">
        <x:is>
          <x:t xml:space="preserve"/>
        </x:is>
      </x:c>
      <x:c r="X1371" s="604" t="inlineStr">
        <x:is>
          <x:t xml:space="preserve">2925543</x:t>
        </x:is>
      </x:c>
      <x:c r="Y1371" s="604" t="inlineStr">
        <x:is>
          <x:t xml:space="preserve">V4</x:t>
        </x:is>
      </x:c>
      <x:c r="Z1371" s="604" t="inlineStr">
        <x:is>
          <x:t xml:space="preserve">prior-2026-10-09-v1</x:t>
        </x:is>
      </x:c>
      <x:c r="AA1371" s="604" t="inlineStr">
        <x:is>
          <x:t xml:space="preserve">N</x:t>
        </x:is>
      </x:c>
      <x:c r="AB1371" s="604" t="n"/>
      <x:c r="AC1371" s="604" t="n"/>
      <x:c r="AD1371" s="604" t="n"/>
      <x:c r="AE1371" s="604" t="n"/>
      <x:c r="AF1371" s="604" t="n"/>
      <x:c r="AG1371" s="604" t="n"/>
      <x:c r="AH1371" s="604" t="n"/>
      <x:c r="AI1371" s="604" t="n"/>
      <x:c r="AJ1371" s="604" t="n"/>
      <x:c r="AK1371" s="604" t="n"/>
      <x:c r="AL1371" s="604" t="n"/>
      <x:c r="AM1371" s="604" t="n"/>
      <x:c r="AN1371" s="604" t="inlineStr">
        <x:is>
          <x:t xml:space="preserve">NEUTRAL</x:t>
        </x:is>
      </x:c>
      <x:c r="AO1371" s="604" t="inlineStr">
        <x:is>
          <x:t xml:space="preserve">PK_NO_GIVING_RECEIVING_IDENTITY</x:t>
        </x:is>
      </x:c>
      <x:c r="AP1371" s="604" t="inlineStr">
        <x:is>
          <x:t xml:space="preserve">986f00a5edcdbcb326dc</x:t>
        </x:is>
      </x:c>
      <x:c r="AQ1371" s="604" t="n"/>
      <x:c r="AR1371" s="604" t="n"/>
      <x:c r="AS1371" s="604" t="n"/>
      <x:c r="AT1371" s="604" t="n"/>
      <x:c r="AU1371" s="604" t="n"/>
      <x:c r="AV1371" s="604" t="n"/>
      <x:c r="AW1371" s="604" t="inlineStr">
        <x:is>
          <x:t xml:space="preserve">2026-10-09T09:01:21.127001+08:00</x:t>
        </x:is>
      </x:c>
      <x:c r="AX1371" s="604" t="inlineStr">
        <x:is>
          <x:t xml:space="preserve">Titan007/V4</x:t>
        </x:is>
      </x:c>
      <x:c r="AY1371" s="604" t="inlineStr">
        <x:is>
          <x:t xml:space="preserve">Daily append；市场输入缺失时不生成决策</x:t>
        </x:is>
      </x:c>
    </x:row>
    <x:row r="1372" ht="22" customHeight="1">
      <x:c r="A1372" s="604" t="inlineStr">
        <x:is>
          <x:t xml:space="preserve">2026-10-09</x:t>
        </x:is>
      </x:c>
      <x:c r="B1372" s="604" t="inlineStr">
        <x:is>
          <x:t xml:space="preserve">2026-10-09T15:30:00+08:00</x:t>
        </x:is>
      </x:c>
      <x:c r="C1372" s="604" t="str">
        <x:v>日韩系列</x:v>
      </x:c>
      <x:c r="D1372" s="604" t="inlineStr">
        <x:is>
          <x:t xml:space="preserve"/>
        </x:is>
      </x:c>
      <x:c r="E1372" s="604" t="inlineStr">
        <x:is>
          <x:t xml:space="preserve">韩K2联</x:t>
        </x:is>
      </x:c>
      <x:c r="F1372" s="604" t="inlineStr">
        <x:is>
          <x:t xml:space="preserve">金浦市民 vs 首尔衣恋</x:t>
        </x:is>
      </x:c>
      <x:c r="G1372" s="604" t="n">
        <x:v>0.85</x:v>
      </x:c>
      <x:c r="H1372" s="604" t="n">
        <x:v>-0.25</x:v>
      </x:c>
      <x:c r="I1372" s="604" t="n">
        <x:v>0.91</x:v>
      </x:c>
      <x:c r="J1372" s="604" t="inlineStr">
        <x:is>
          <x:t xml:space="preserve">0.85/-0.25/0.91</x:t>
        </x:is>
      </x:c>
      <x:c r="K1372" s="604" t="inlineStr">
        <x:is>
          <x:t xml:space="preserve">V4-B</x:t>
        </x:is>
      </x:c>
      <x:c r="L1372" s="604" t="inlineStr">
        <x:is>
          <x:t xml:space="preserve">金浦市民</x:t>
        </x:is>
      </x:c>
      <x:c r="M1372" s="604" t="n">
        <x:v>0.2834193935615661</x:v>
      </x:c>
      <x:c r="N1372" s="604" t="inlineStr">
        <x:is>
          <x:t xml:space="preserve">V4 Shadow Only；real_money=false</x:t>
        </x:is>
      </x:c>
      <x:c r="O1372" s="604" t="inlineStr">
        <x:is>
          <x:t xml:space="preserve">0-0</x:t>
        </x:is>
      </x:c>
      <x:c r="P1372" s="604" t="inlineStr">
        <x:is>
          <x:t xml:space="preserve">EVALUATED</x:t>
        </x:is>
      </x:c>
      <x:c r="Q1372" s="630" t="inlineStr">
        <x:is>
          <x:t xml:space="preserve"/>
        </x:is>
      </x:c>
      <x:c r="R1372" s="604" t="n">
        <x:v>0.85</x:v>
      </x:c>
      <x:c r="S1372" s="604" t="n"/>
      <x:c r="T1372" s="604" t="inlineStr">
        <x:is>
          <x:t xml:space="preserve">D:\codex\v3_legacy\outputs\football_odds_trader\raw\titan007\20261009\20261009_085232_titan007_odds_snapshot.csv</x:t>
        </x:is>
      </x:c>
      <x:c r="U1372" s="628" t="inlineStr">
        <x:is>
          <x:t xml:space="preserve"/>
        </x:is>
      </x:c>
      <x:c r="V1372" s="604" t="inlineStr">
        <x:is>
          <x:t xml:space="preserve"/>
        </x:is>
      </x:c>
      <x:c r="W1372" s="604" t="inlineStr">
        <x:is>
          <x:t xml:space="preserve"/>
        </x:is>
      </x:c>
      <x:c r="X1372" s="604" t="inlineStr">
        <x:is>
          <x:t xml:space="preserve">2925544</x:t>
        </x:is>
      </x:c>
      <x:c r="Y1372" s="604" t="inlineStr">
        <x:is>
          <x:t xml:space="preserve">V4</x:t>
        </x:is>
      </x:c>
      <x:c r="Z1372" s="604" t="inlineStr">
        <x:is>
          <x:t xml:space="preserve">prior-2026-10-09-v1</x:t>
        </x:is>
      </x:c>
      <x:c r="AA1372" s="604" t="inlineStr">
        <x:is>
          <x:t xml:space="preserve">B</x:t>
        </x:is>
      </x:c>
      <x:c r="AB1372" s="604" t="n">
        <x:v>0.2834193935615661</x:v>
      </x:c>
      <x:c r="AC1372" s="604" t="n">
        <x:v>0.5874863812923686</x:v>
      </x:c>
      <x:c r="AD1372" s="604" t="n">
        <x:v>-0.5</x:v>
      </x:c>
      <x:c r="AE1372" s="604" t="n"/>
      <x:c r="AF1372" s="604" t="n"/>
      <x:c r="AG1372" s="604" t="n">
        <x:v>0.2159440305369472</x:v>
      </x:c>
      <x:c r="AH1372" s="604" t="n"/>
      <x:c r="AI1372" s="604" t="n"/>
      <x:c r="AJ1372" s="604" t="n">
        <x:v>0.2159440305369472</x:v>
      </x:c>
      <x:c r="AK1372" s="604" t="n"/>
      <x:c r="AL1372" s="604" t="n"/>
      <x:c r="AM1372" s="604" t="n"/>
      <x:c r="AN1372" s="604" t="inlineStr">
        <x:is>
          <x:t xml:space="preserve">EVALUATED</x:t>
        </x:is>
      </x:c>
      <x:c r="AO1372" s="604" t="inlineStr">
        <x:is>
          <x:t xml:space="preserve">RECEIVING_VALIDATED_EDGE;BUCKET_PRIOR_ONLY;INTENT_INTERPRETATION_ONLY;FFL_OPTIONAL;EXPERT_MARKET</x:t>
        </x:is>
      </x:c>
      <x:c r="AP1372" s="604" t="inlineStr">
        <x:is>
          <x:t xml:space="preserve">1663b830150eb8b1d1d5</x:t>
        </x:is>
      </x:c>
      <x:c r="AQ1372" s="604" t="n">
        <x:v>0.25</x:v>
      </x:c>
      <x:c r="AR1372" s="604" t="n">
        <x:v>0.85</x:v>
      </x:c>
      <x:c r="AS1372" s="604" t="n">
        <x:v>-0.25</x:v>
      </x:c>
      <x:c r="AT1372" s="604" t="n">
        <x:v>0.25</x:v>
      </x:c>
      <x:c r="AU1372" s="604" t="n">
        <x:v>0.85</x:v>
      </x:c>
      <x:c r="AV1372" s="604" t="n">
        <x:v>0.91</x:v>
      </x:c>
      <x:c r="AW1372" s="604" t="inlineStr">
        <x:is>
          <x:t xml:space="preserve">2026-10-09T09:01:21.127001+08:00</x:t>
        </x:is>
      </x:c>
      <x:c r="AX1372" s="604" t="inlineStr">
        <x:is>
          <x:t xml:space="preserve">Titan007/V4</x:t>
        </x:is>
      </x:c>
      <x:c r="AY1372" s="604" t="inlineStr">
        <x:is>
          <x:t xml:space="preserve">Daily append；市场输入缺失时不生成决策</x:t>
        </x:is>
      </x:c>
    </x:row>
    <x:row r="1373" ht="22" customHeight="1">
      <x:c r="A1373" s="604" t="inlineStr">
        <x:is>
          <x:t xml:space="preserve">2026-10-09</x:t>
        </x:is>
      </x:c>
      <x:c r="B1373" s="604" t="inlineStr">
        <x:is>
          <x:t xml:space="preserve">2026-10-10T01:30:00+08:00</x:t>
        </x:is>
      </x:c>
      <x:c r="C1373" s="604" t="str">
        <x:v>欧洲非五大系列</x:v>
      </x:c>
      <x:c r="D1373" s="604" t="inlineStr">
        <x:is>
          <x:t xml:space="preserve"/>
        </x:is>
      </x:c>
      <x:c r="E1373" s="604" t="inlineStr">
        <x:is>
          <x:t xml:space="preserve">瑞典丙VG</x:t>
        </x:is>
      </x:c>
      <x:c r="F1373" s="604" t="inlineStr">
        <x:is>
          <x:t xml:space="preserve">林多米 vs 波尔赞</x:t>
        </x:is>
      </x:c>
      <x:c r="G1373" s="604" t="n">
        <x:v>0.9</x:v>
      </x:c>
      <x:c r="H1373" s="604" t="n">
        <x:v>0.5</x:v>
      </x:c>
      <x:c r="I1373" s="604" t="n">
        <x:v>0.9</x:v>
      </x:c>
      <x:c r="J1373" s="604" t="inlineStr">
        <x:is>
          <x:t xml:space="preserve">0.9/0.5/0.9</x:t>
        </x:is>
      </x:c>
      <x:c r="K1373" s="604" t="inlineStr">
        <x:is>
          <x:t xml:space="preserve">V4-N</x:t>
        </x:is>
      </x:c>
      <x:c r="L1373" s="604" t="inlineStr">
        <x:is>
          <x:t xml:space="preserve"/>
        </x:is>
      </x:c>
      <x:c r="M1373" s="604" t="n">
        <x:v>0.5474384155043923</x:v>
      </x:c>
      <x:c r="N1373" s="604" t="inlineStr">
        <x:is>
          <x:t xml:space="preserve">V4 Shadow Only；real_money=false</x:t>
        </x:is>
      </x:c>
      <x:c r="O1373" s="604" t="inlineStr">
        <x:is>
          <x:t xml:space="preserve">0-0</x:t>
        </x:is>
      </x:c>
      <x:c r="P1373" s="604" t="inlineStr">
        <x:is>
          <x:t xml:space="preserve">EVALUATED</x:t>
        </x:is>
      </x:c>
      <x:c r="Q1373" s="630" t="inlineStr">
        <x:is>
          <x:t xml:space="preserve"/>
        </x:is>
      </x:c>
      <x:c r="R1373" s="604" t="n"/>
      <x:c r="S1373" s="604" t="n"/>
      <x:c r="T1373" s="604" t="inlineStr">
        <x:is>
          <x:t xml:space="preserve">D:\codex\v3_legacy\outputs\football_odds_trader\raw\titan007\20261009\20261009_085232_titan007_odds_snapshot.csv</x:t>
        </x:is>
      </x:c>
      <x:c r="U1373" s="628" t="inlineStr">
        <x:is>
          <x:t xml:space="preserve"/>
        </x:is>
      </x:c>
      <x:c r="V1373" s="604" t="inlineStr">
        <x:is>
          <x:t xml:space="preserve"/>
        </x:is>
      </x:c>
      <x:c r="W1373" s="604" t="inlineStr">
        <x:is>
          <x:t xml:space="preserve"/>
        </x:is>
      </x:c>
      <x:c r="X1373" s="604" t="inlineStr">
        <x:is>
          <x:t xml:space="preserve">2927012</x:t>
        </x:is>
      </x:c>
      <x:c r="Y1373" s="604" t="inlineStr">
        <x:is>
          <x:t xml:space="preserve">V4</x:t>
        </x:is>
      </x:c>
      <x:c r="Z1373" s="604" t="inlineStr">
        <x:is>
          <x:t xml:space="preserve">prior-2026-10-09-v1</x:t>
        </x:is>
      </x:c>
      <x:c r="AA1373" s="604" t="inlineStr">
        <x:is>
          <x:t xml:space="preserve">N</x:t>
        </x:is>
      </x:c>
      <x:c r="AB1373" s="604" t="n">
        <x:v>0.5474384155043923</x:v>
      </x:c>
      <x:c r="AC1373" s="604" t="n">
        <x:v>0.4525615844956076</x:v>
      </x:c>
      <x:c r="AD1373" s="604" t="n">
        <x:v>0.75</x:v>
      </x:c>
      <x:c r="AE1373" s="604" t="n"/>
      <x:c r="AF1373" s="604" t="n"/>
      <x:c r="AG1373" s="604" t="n">
        <x:v>0.04013298945834548</x:v>
      </x:c>
      <x:c r="AH1373" s="604" t="n"/>
      <x:c r="AI1373" s="604" t="n"/>
      <x:c r="AJ1373" s="604" t="n">
        <x:v>0.04013298945834548</x:v>
      </x:c>
      <x:c r="AK1373" s="604" t="n"/>
      <x:c r="AL1373" s="604" t="n"/>
      <x:c r="AM1373" s="604" t="n"/>
      <x:c r="AN1373" s="604" t="inlineStr">
        <x:is>
          <x:t xml:space="preserve">EVALUATED</x:t>
        </x:is>
      </x:c>
      <x:c r="AO1373" s="604" t="inlineStr">
        <x:is>
          <x:t xml:space="preserve">EDGE_BELOW_UNCERTAINTY_THRESHOLD;BUCKET_PRIOR_ONLY;INTENT_INTERPRETATION_ONLY;FFL_OPTIONAL;EXPERT_MARKET</x:t>
        </x:is>
      </x:c>
      <x:c r="AP1373" s="604" t="inlineStr">
        <x:is>
          <x:t xml:space="preserve">a4e5efbdd7abe90d7ff7</x:t>
        </x:is>
      </x:c>
      <x:c r="AQ1373" s="604" t="n"/>
      <x:c r="AR1373" s="604" t="n"/>
      <x:c r="AS1373" s="604" t="n">
        <x:v>0.5</x:v>
      </x:c>
      <x:c r="AT1373" s="604" t="n">
        <x:v>-0.5</x:v>
      </x:c>
      <x:c r="AU1373" s="604" t="n">
        <x:v>0.9</x:v>
      </x:c>
      <x:c r="AV1373" s="604" t="n">
        <x:v>0.9</x:v>
      </x:c>
      <x:c r="AW1373" s="604" t="inlineStr">
        <x:is>
          <x:t xml:space="preserve">2026-10-09T09:01:21.127001+08:00</x:t>
        </x:is>
      </x:c>
      <x:c r="AX1373" s="604" t="inlineStr">
        <x:is>
          <x:t xml:space="preserve">Titan007/V4</x:t>
        </x:is>
      </x:c>
      <x:c r="AY1373" s="604" t="inlineStr">
        <x:is>
          <x:t xml:space="preserve">Daily append；市场输入缺失时不生成决策</x:t>
        </x:is>
      </x:c>
    </x:row>
    <x:row r="1374" ht="22" customHeight="1">
      <x:c r="A1374" s="604" t="inlineStr">
        <x:is>
          <x:t xml:space="preserve">2026-10-09</x:t>
        </x:is>
      </x:c>
      <x:c r="B1374" s="604" t="inlineStr">
        <x:is>
          <x:t xml:space="preserve">2026-10-10T01:00:00+08:00</x:t>
        </x:is>
      </x:c>
      <x:c r="C1374" s="604" t="str">
        <x:v>欧洲非五大系列</x:v>
      </x:c>
      <x:c r="D1374" s="604" t="inlineStr">
        <x:is>
          <x:t xml:space="preserve"/>
        </x:is>
      </x:c>
      <x:c r="E1374" s="604" t="inlineStr">
        <x:is>
          <x:t xml:space="preserve">瑞典丙NG</x:t>
        </x:is>
      </x:c>
      <x:c r="F1374" s="604" t="inlineStr">
        <x:is>
          <x:t xml:space="preserve">IFK斯克维德 vs 史卡拉FC</x:t>
        </x:is>
      </x:c>
      <x:c r="G1374" s="604" t="n">
        <x:v>0.95</x:v>
      </x:c>
      <x:c r="H1374" s="604" t="n">
        <x:v>0.25</x:v>
      </x:c>
      <x:c r="I1374" s="604" t="n">
        <x:v>0.85</x:v>
      </x:c>
      <x:c r="J1374" s="604" t="inlineStr">
        <x:is>
          <x:t xml:space="preserve">0.95/0.25/0.85</x:t>
        </x:is>
      </x:c>
      <x:c r="K1374" s="604" t="inlineStr">
        <x:is>
          <x:t xml:space="preserve">V4-N</x:t>
        </x:is>
      </x:c>
      <x:c r="L1374" s="604" t="inlineStr">
        <x:is>
          <x:t xml:space="preserve"/>
        </x:is>
      </x:c>
      <x:c r="M1374" s="604" t="n">
        <x:v>0.4417638147453113</x:v>
      </x:c>
      <x:c r="N1374" s="604" t="inlineStr">
        <x:is>
          <x:t xml:space="preserve">V4 Shadow Only；real_money=false</x:t>
        </x:is>
      </x:c>
      <x:c r="O1374" s="604" t="inlineStr">
        <x:is>
          <x:t xml:space="preserve">0-0</x:t>
        </x:is>
      </x:c>
      <x:c r="P1374" s="604" t="inlineStr">
        <x:is>
          <x:t xml:space="preserve">EVALUATED</x:t>
        </x:is>
      </x:c>
      <x:c r="Q1374" s="630" t="inlineStr">
        <x:is>
          <x:t xml:space="preserve"/>
        </x:is>
      </x:c>
      <x:c r="R1374" s="604" t="n"/>
      <x:c r="S1374" s="604" t="n"/>
      <x:c r="T1374" s="604" t="inlineStr">
        <x:is>
          <x:t xml:space="preserve">D:\codex\v3_legacy\outputs\football_odds_trader\raw\titan007\20261009\20261009_085232_titan007_odds_snapshot.csv</x:t>
        </x:is>
      </x:c>
      <x:c r="U1374" s="628" t="inlineStr">
        <x:is>
          <x:t xml:space="preserve"/>
        </x:is>
      </x:c>
      <x:c r="V1374" s="604" t="inlineStr">
        <x:is>
          <x:t xml:space="preserve"/>
        </x:is>
      </x:c>
      <x:c r="W1374" s="604" t="inlineStr">
        <x:is>
          <x:t xml:space="preserve"/>
        </x:is>
      </x:c>
      <x:c r="X1374" s="604" t="inlineStr">
        <x:is>
          <x:t xml:space="preserve">2927372</x:t>
        </x:is>
      </x:c>
      <x:c r="Y1374" s="604" t="inlineStr">
        <x:is>
          <x:t xml:space="preserve">V4</x:t>
        </x:is>
      </x:c>
      <x:c r="Z1374" s="604" t="inlineStr">
        <x:is>
          <x:t xml:space="preserve">prior-2026-10-09-v1</x:t>
        </x:is>
      </x:c>
      <x:c r="AA1374" s="604" t="inlineStr">
        <x:is>
          <x:t xml:space="preserve">N</x:t>
        </x:is>
      </x:c>
      <x:c r="AB1374" s="604" t="n">
        <x:v>0.4417638147453113</x:v>
      </x:c>
      <x:c r="AC1374" s="604" t="n">
        <x:v>0.4288183885051571</x:v>
      </x:c>
      <x:c r="AD1374" s="604" t="n">
        <x:v>0.25</x:v>
      </x:c>
      <x:c r="AE1374" s="604" t="n"/>
      <x:c r="AF1374" s="604" t="n"/>
      <x:c r="AG1374" s="604" t="n">
        <x:v>-0.009142764497111322</x:v>
      </x:c>
      <x:c r="AH1374" s="604" t="n"/>
      <x:c r="AI1374" s="604" t="n"/>
      <x:c r="AJ1374" s="604" t="n">
        <x:v>-0.009142764497111322</x:v>
      </x:c>
      <x:c r="AK1374" s="604" t="n"/>
      <x:c r="AL1374" s="604" t="n"/>
      <x:c r="AM1374" s="604" t="n"/>
      <x:c r="AN1374" s="604" t="inlineStr">
        <x:is>
          <x:t xml:space="preserve">EVALUATED</x:t>
        </x:is>
      </x:c>
      <x:c r="AO1374" s="604" t="inlineStr">
        <x:is>
          <x:t xml:space="preserve">EDGE_BELOW_UNCERTAINTY_THRESHOLD;BUCKET_PRIOR_ONLY;INTENT_INTERPRETATION_ONLY;FFL_OPTIONAL;EXPERT_MARKET</x:t>
        </x:is>
      </x:c>
      <x:c r="AP1374" s="604" t="inlineStr">
        <x:is>
          <x:t xml:space="preserve">299e214441a81ca0ed7c</x:t>
        </x:is>
      </x:c>
      <x:c r="AQ1374" s="604" t="n"/>
      <x:c r="AR1374" s="604" t="n"/>
      <x:c r="AS1374" s="604" t="n">
        <x:v>0.25</x:v>
      </x:c>
      <x:c r="AT1374" s="604" t="n">
        <x:v>-0.25</x:v>
      </x:c>
      <x:c r="AU1374" s="604" t="n">
        <x:v>0.95</x:v>
      </x:c>
      <x:c r="AV1374" s="604" t="n">
        <x:v>0.85</x:v>
      </x:c>
      <x:c r="AW1374" s="604" t="inlineStr">
        <x:is>
          <x:t xml:space="preserve">2026-10-09T09:01:21.127001+08:00</x:t>
        </x:is>
      </x:c>
      <x:c r="AX1374" s="604" t="inlineStr">
        <x:is>
          <x:t xml:space="preserve">Titan007/V4</x:t>
        </x:is>
      </x:c>
      <x:c r="AY1374" s="604" t="inlineStr">
        <x:is>
          <x:t xml:space="preserve">Daily append；市场输入缺失时不生成决策</x:t>
        </x:is>
      </x:c>
    </x:row>
    <x:row r="1375" ht="22" customHeight="1">
      <x:c r="A1375" s="604" t="inlineStr">
        <x:is>
          <x:t xml:space="preserve">2026-10-09</x:t>
        </x:is>
      </x:c>
      <x:c r="B1375" s="604" t="inlineStr">
        <x:is>
          <x:t xml:space="preserve">2026-10-09T13:00:00+08:00</x:t>
        </x:is>
      </x:c>
      <x:c r="C1375" s="604" t="str">
        <x:v>日韩系列</x:v>
      </x:c>
      <x:c r="D1375" s="604" t="inlineStr">
        <x:is>
          <x:t xml:space="preserve">韓K聯</x:t>
        </x:is>
      </x:c>
      <x:c r="E1375" s="604" t="inlineStr">
        <x:is>
          <x:t xml:space="preserve">韩K联</x:t>
        </x:is>
      </x:c>
      <x:c r="F1375" s="604" t="inlineStr">
        <x:is>
          <x:t xml:space="preserve">大田市民 vs 全北现代</x:t>
        </x:is>
      </x:c>
      <x:c r="G1375" s="604" t="n">
        <x:v>0.99</x:v>
      </x:c>
      <x:c r="H1375" s="604" t="n">
        <x:v>0.25</x:v>
      </x:c>
      <x:c r="I1375" s="604" t="n">
        <x:v>0.89</x:v>
      </x:c>
      <x:c r="J1375" s="604" t="inlineStr">
        <x:is>
          <x:t xml:space="preserve">0.99/0.25/0.89</x:t>
        </x:is>
      </x:c>
      <x:c r="K1375" s="604" t="inlineStr">
        <x:is>
          <x:t xml:space="preserve">V4-C</x:t>
        </x:is>
      </x:c>
      <x:c r="L1375" s="604" t="inlineStr">
        <x:is>
          <x:t xml:space="preserve"/>
        </x:is>
      </x:c>
      <x:c r="M1375" s="604" t="n">
        <x:v>0.4440688247900201</x:v>
      </x:c>
      <x:c r="N1375" s="604" t="inlineStr">
        <x:is>
          <x:t xml:space="preserve">V4 Shadow Only；real_money=false</x:t>
        </x:is>
      </x:c>
      <x:c r="O1375" s="604" t="inlineStr">
        <x:is>
          <x:t xml:space="preserve">0-0</x:t>
        </x:is>
      </x:c>
      <x:c r="P1375" s="604" t="inlineStr">
        <x:is>
          <x:t xml:space="preserve">EVALUATED</x:t>
        </x:is>
      </x:c>
      <x:c r="Q1375" s="630" t="inlineStr">
        <x:is>
          <x:t xml:space="preserve"/>
        </x:is>
      </x:c>
      <x:c r="R1375" s="604" t="n"/>
      <x:c r="S1375" s="604" t="n"/>
      <x:c r="T1375" s="604" t="inlineStr">
        <x:is>
          <x:t xml:space="preserve">D:\codex\v3_legacy\outputs\football_odds_trader\raw\titan007\20261009\20261009_085232_titan007_odds_snapshot.csv</x:t>
        </x:is>
      </x:c>
      <x:c r="U1375" s="628" t="inlineStr">
        <x:is>
          <x:t xml:space="preserve"/>
        </x:is>
      </x:c>
      <x:c r="V1375" s="604" t="inlineStr">
        <x:is>
          <x:t xml:space="preserve"/>
        </x:is>
      </x:c>
      <x:c r="W1375" s="604" t="inlineStr">
        <x:is>
          <x:t xml:space="preserve"/>
        </x:is>
      </x:c>
      <x:c r="X1375" s="604" t="inlineStr">
        <x:is>
          <x:t xml:space="preserve">2929735</x:t>
        </x:is>
      </x:c>
      <x:c r="Y1375" s="604" t="inlineStr">
        <x:is>
          <x:t xml:space="preserve">V4</x:t>
        </x:is>
      </x:c>
      <x:c r="Z1375" s="604" t="inlineStr">
        <x:is>
          <x:t xml:space="preserve">prior-2026-10-09-v1</x:t>
        </x:is>
      </x:c>
      <x:c r="AA1375" s="604" t="inlineStr">
        <x:is>
          <x:t xml:space="preserve">C</x:t>
        </x:is>
      </x:c>
      <x:c r="AB1375" s="604" t="n">
        <x:v>0.4440688247900201</x:v>
      </x:c>
      <x:c r="AC1375" s="604" t="n">
        <x:v>0.4259869785688508</x:v>
      </x:c>
      <x:c r="AD1375" s="604" t="n">
        <x:v>0.25</x:v>
      </x:c>
      <x:c r="AE1375" s="604" t="n"/>
      <x:c r="AF1375" s="604" t="n"/>
      <x:c r="AG1375" s="604" t="n">
        <x:v>0.01364115797326915</x:v>
      </x:c>
      <x:c r="AH1375" s="604" t="n"/>
      <x:c r="AI1375" s="604" t="n"/>
      <x:c r="AJ1375" s="604" t="n">
        <x:v>0.01364115797326915</x:v>
      </x:c>
      <x:c r="AK1375" s="604" t="n"/>
      <x:c r="AL1375" s="604" t="n"/>
      <x:c r="AM1375" s="604" t="n"/>
      <x:c r="AN1375" s="604" t="inlineStr">
        <x:is>
          <x:t xml:space="preserve">EVALUATED</x:t>
        </x:is>
      </x:c>
      <x:c r="AO1375" s="604" t="inlineStr">
        <x:is>
          <x:t xml:space="preserve">EDGE_BELOW_UNCERTAINTY_THRESHOLD;BUCKET_PRIOR_ONLY;INTENT_INTERPRETATION_ONLY;FFL_OPTIONAL;EXPERT_MARKET</x:t>
        </x:is>
      </x:c>
      <x:c r="AP1375" s="604" t="inlineStr">
        <x:is>
          <x:t xml:space="preserve">0dda42d53534e8420cec</x:t>
        </x:is>
      </x:c>
      <x:c r="AQ1375" s="604" t="n"/>
      <x:c r="AR1375" s="604" t="n"/>
      <x:c r="AS1375" s="604" t="n">
        <x:v>0.25</x:v>
      </x:c>
      <x:c r="AT1375" s="604" t="n">
        <x:v>-0.25</x:v>
      </x:c>
      <x:c r="AU1375" s="604" t="n">
        <x:v>0.99</x:v>
      </x:c>
      <x:c r="AV1375" s="604" t="n">
        <x:v>0.89</x:v>
      </x:c>
      <x:c r="AW1375" s="604" t="inlineStr">
        <x:is>
          <x:t xml:space="preserve">2026-10-09T09:01:21.127001+08:00</x:t>
        </x:is>
      </x:c>
      <x:c r="AX1375" s="604" t="inlineStr">
        <x:is>
          <x:t xml:space="preserve">Titan007/V4</x:t>
        </x:is>
      </x:c>
      <x:c r="AY1375" s="604" t="inlineStr">
        <x:is>
          <x:t xml:space="preserve">Daily append；市场输入缺失时不生成决策</x:t>
        </x:is>
      </x:c>
    </x:row>
    <x:row r="1376" ht="22" customHeight="1">
      <x:c r="A1376" s="604" t="inlineStr">
        <x:is>
          <x:t xml:space="preserve">2026-10-09</x:t>
        </x:is>
      </x:c>
      <x:c r="B1376" s="604" t="inlineStr">
        <x:is>
          <x:t xml:space="preserve">2026-10-09T15:30:00+08:00</x:t>
        </x:is>
      </x:c>
      <x:c r="C1376" s="604" t="str">
        <x:v>日韩系列</x:v>
      </x:c>
      <x:c r="D1376" s="604" t="inlineStr">
        <x:is>
          <x:t xml:space="preserve"/>
        </x:is>
      </x:c>
      <x:c r="E1376" s="604" t="inlineStr">
        <x:is>
          <x:t xml:space="preserve">韩K联</x:t>
        </x:is>
      </x:c>
      <x:c r="F1376" s="604" t="inlineStr">
        <x:is>
          <x:t xml:space="preserve">江原FC vs 富川FC</x:t>
        </x:is>
      </x:c>
      <x:c r="G1376" s="604" t="n">
        <x:v>1</x:v>
      </x:c>
      <x:c r="H1376" s="604" t="n">
        <x:v>0.75</x:v>
      </x:c>
      <x:c r="I1376" s="604" t="n">
        <x:v>0.88</x:v>
      </x:c>
      <x:c r="J1376" s="604" t="inlineStr">
        <x:is>
          <x:t xml:space="preserve">1.0/0.75/0.88</x:t>
        </x:is>
      </x:c>
      <x:c r="K1376" s="604" t="inlineStr">
        <x:is>
          <x:t xml:space="preserve">V4-B</x:t>
        </x:is>
      </x:c>
      <x:c r="L1376" s="604" t="inlineStr">
        <x:is>
          <x:t xml:space="preserve">江原FC</x:t>
        </x:is>
      </x:c>
      <x:c r="M1376" s="604" t="n">
        <x:v>0.5119458709589302</x:v>
      </x:c>
      <x:c r="N1376" s="604" t="inlineStr">
        <x:is>
          <x:t xml:space="preserve">V4 Shadow Only；real_money=false</x:t>
        </x:is>
      </x:c>
      <x:c r="O1376" s="604" t="inlineStr">
        <x:is>
          <x:t xml:space="preserve">0-0</x:t>
        </x:is>
      </x:c>
      <x:c r="P1376" s="604" t="inlineStr">
        <x:is>
          <x:t xml:space="preserve">EVALUATED</x:t>
        </x:is>
      </x:c>
      <x:c r="Q1376" s="630" t="inlineStr">
        <x:is>
          <x:t xml:space="preserve"/>
        </x:is>
      </x:c>
      <x:c r="R1376" s="604" t="n">
        <x:v>1</x:v>
      </x:c>
      <x:c r="S1376" s="604" t="n"/>
      <x:c r="T1376" s="604" t="inlineStr">
        <x:is>
          <x:t xml:space="preserve">D:\codex\v3_legacy\outputs\football_odds_trader\raw\titan007\20261009\20261009_085232_titan007_odds_snapshot.csv</x:t>
        </x:is>
      </x:c>
      <x:c r="U1376" s="628" t="inlineStr">
        <x:is>
          <x:t xml:space="preserve"/>
        </x:is>
      </x:c>
      <x:c r="V1376" s="604" t="inlineStr">
        <x:is>
          <x:t xml:space="preserve"/>
        </x:is>
      </x:c>
      <x:c r="W1376" s="604" t="inlineStr">
        <x:is>
          <x:t xml:space="preserve"/>
        </x:is>
      </x:c>
      <x:c r="X1376" s="604" t="inlineStr">
        <x:is>
          <x:t xml:space="preserve">2929736</x:t>
        </x:is>
      </x:c>
      <x:c r="Y1376" s="604" t="inlineStr">
        <x:is>
          <x:t xml:space="preserve">V4</x:t>
        </x:is>
      </x:c>
      <x:c r="Z1376" s="604" t="inlineStr">
        <x:is>
          <x:t xml:space="preserve">prior-2026-10-09-v1</x:t>
        </x:is>
      </x:c>
      <x:c r="AA1376" s="604" t="inlineStr">
        <x:is>
          <x:t xml:space="preserve">B</x:t>
        </x:is>
      </x:c>
      <x:c r="AB1376" s="604" t="n">
        <x:v>0.5119458709589302</x:v>
      </x:c>
      <x:c r="AC1376" s="604" t="n">
        <x:v>0.3592065564721169</x:v>
      </x:c>
      <x:c r="AD1376" s="604" t="n">
        <x:v>1</x:v>
      </x:c>
      <x:c r="AE1376" s="604" t="n"/>
      <x:c r="AF1376" s="604" t="n"/>
      <x:c r="AG1376" s="604" t="n">
        <x:v>0.1527393144868133</x:v>
      </x:c>
      <x:c r="AH1376" s="604" t="n"/>
      <x:c r="AI1376" s="604" t="n"/>
      <x:c r="AJ1376" s="604" t="n">
        <x:v>0.1527393144868133</x:v>
      </x:c>
      <x:c r="AK1376" s="604" t="n"/>
      <x:c r="AL1376" s="604" t="n"/>
      <x:c r="AM1376" s="604" t="n"/>
      <x:c r="AN1376" s="604" t="inlineStr">
        <x:is>
          <x:t xml:space="preserve">EVALUATED</x:t>
        </x:is>
      </x:c>
      <x:c r="AO1376" s="604" t="inlineStr">
        <x:is>
          <x:t xml:space="preserve">GIVING_VALIDATED_EDGE;BUCKET_PRIOR_ONLY;INTENT_INTERPRETATION_ONLY;FFL_OPTIONAL;EXPERT_MARKET</x:t>
        </x:is>
      </x:c>
      <x:c r="AP1376" s="604" t="inlineStr">
        <x:is>
          <x:t xml:space="preserve">645b27f361265bf38939</x:t>
        </x:is>
      </x:c>
      <x:c r="AQ1376" s="604" t="n">
        <x:v>-0.75</x:v>
      </x:c>
      <x:c r="AR1376" s="604" t="n">
        <x:v>1</x:v>
      </x:c>
      <x:c r="AS1376" s="604" t="n">
        <x:v>0.75</x:v>
      </x:c>
      <x:c r="AT1376" s="604" t="n">
        <x:v>-0.75</x:v>
      </x:c>
      <x:c r="AU1376" s="604" t="n">
        <x:v>1</x:v>
      </x:c>
      <x:c r="AV1376" s="604" t="n">
        <x:v>0.88</x:v>
      </x:c>
      <x:c r="AW1376" s="604" t="inlineStr">
        <x:is>
          <x:t xml:space="preserve">2026-10-09T09:01:21.127001+08:00</x:t>
        </x:is>
      </x:c>
      <x:c r="AX1376" s="604" t="inlineStr">
        <x:is>
          <x:t xml:space="preserve">Titan007/V4</x:t>
        </x:is>
      </x:c>
      <x:c r="AY1376" s="604" t="inlineStr">
        <x:is>
          <x:t xml:space="preserve">Daily append；市场输入缺失时不生成决策</x:t>
        </x:is>
      </x:c>
    </x:row>
    <x:row r="1377" ht="22" customHeight="1">
      <x:c r="A1377" s="604" t="inlineStr">
        <x:is>
          <x:t xml:space="preserve">2026-10-09</x:t>
        </x:is>
      </x:c>
      <x:c r="B1377" s="604" t="inlineStr">
        <x:is>
          <x:t xml:space="preserve">2026-10-09T15:30:00+08:00</x:t>
        </x:is>
      </x:c>
      <x:c r="C1377" s="604" t="str">
        <x:v>日韩系列</x:v>
      </x:c>
      <x:c r="D1377" s="604" t="inlineStr">
        <x:is>
          <x:t xml:space="preserve"/>
        </x:is>
      </x:c>
      <x:c r="E1377" s="604" t="inlineStr">
        <x:is>
          <x:t xml:space="preserve">韩K联</x:t>
        </x:is>
      </x:c>
      <x:c r="F1377" s="604" t="inlineStr">
        <x:is>
          <x:t xml:space="preserve">仁川联 vs 浦项制铁</x:t>
        </x:is>
      </x:c>
      <x:c r="G1377" s="604" t="n">
        <x:v>1</x:v>
      </x:c>
      <x:c r="H1377" s="604" t="n">
        <x:v>0.25</x:v>
      </x:c>
      <x:c r="I1377" s="604" t="n">
        <x:v>0.88</x:v>
      </x:c>
      <x:c r="J1377" s="604" t="inlineStr">
        <x:is>
          <x:t xml:space="preserve">1.0/0.25/0.88</x:t>
        </x:is>
      </x:c>
      <x:c r="K1377" s="604" t="inlineStr">
        <x:is>
          <x:t xml:space="preserve">V4-B</x:t>
        </x:is>
      </x:c>
      <x:c r="L1377" s="604" t="inlineStr">
        <x:is>
          <x:t xml:space="preserve">仁川联</x:t>
        </x:is>
      </x:c>
      <x:c r="M1377" s="604" t="n">
        <x:v>0.4730119265517423</x:v>
      </x:c>
      <x:c r="N1377" s="604" t="inlineStr">
        <x:is>
          <x:t xml:space="preserve">V4 Shadow Only；real_money=false</x:t>
        </x:is>
      </x:c>
      <x:c r="O1377" s="604" t="inlineStr">
        <x:is>
          <x:t xml:space="preserve">0-0</x:t>
        </x:is>
      </x:c>
      <x:c r="P1377" s="604" t="inlineStr">
        <x:is>
          <x:t xml:space="preserve">EVALUATED</x:t>
        </x:is>
      </x:c>
      <x:c r="Q1377" s="630" t="inlineStr">
        <x:is>
          <x:t xml:space="preserve"/>
        </x:is>
      </x:c>
      <x:c r="R1377" s="604" t="n">
        <x:v>1</x:v>
      </x:c>
      <x:c r="S1377" s="604" t="n"/>
      <x:c r="T1377" s="604" t="inlineStr">
        <x:is>
          <x:t xml:space="preserve">D:\codex\v3_legacy\outputs\football_odds_trader\raw\titan007\20261009\20261009_085232_titan007_odds_snapshot.csv</x:t>
        </x:is>
      </x:c>
      <x:c r="U1377" s="628" t="inlineStr">
        <x:is>
          <x:t xml:space="preserve"/>
        </x:is>
      </x:c>
      <x:c r="V1377" s="604" t="inlineStr">
        <x:is>
          <x:t xml:space="preserve"/>
        </x:is>
      </x:c>
      <x:c r="W1377" s="604" t="inlineStr">
        <x:is>
          <x:t xml:space="preserve"/>
        </x:is>
      </x:c>
      <x:c r="X1377" s="604" t="inlineStr">
        <x:is>
          <x:t xml:space="preserve">2929737</x:t>
        </x:is>
      </x:c>
      <x:c r="Y1377" s="604" t="inlineStr">
        <x:is>
          <x:t xml:space="preserve">V4</x:t>
        </x:is>
      </x:c>
      <x:c r="Z1377" s="604" t="inlineStr">
        <x:is>
          <x:t xml:space="preserve">prior-2026-10-09-v1</x:t>
        </x:is>
      </x:c>
      <x:c r="AA1377" s="604" t="inlineStr">
        <x:is>
          <x:t xml:space="preserve">B</x:t>
        </x:is>
      </x:c>
      <x:c r="AB1377" s="604" t="n">
        <x:v>0.4730119265517423</x:v>
      </x:c>
      <x:c r="AC1377" s="604" t="n">
        <x:v>0.3977201079647739</x:v>
      </x:c>
      <x:c r="AD1377" s="604" t="n">
        <x:v>0.5</x:v>
      </x:c>
      <x:c r="AE1377" s="604" t="n"/>
      <x:c r="AF1377" s="604" t="n"/>
      <x:c r="AG1377" s="604" t="n">
        <x:v>0.07529181858696843</x:v>
      </x:c>
      <x:c r="AH1377" s="604" t="n"/>
      <x:c r="AI1377" s="604" t="n"/>
      <x:c r="AJ1377" s="604" t="n">
        <x:v>0.07529181858696843</x:v>
      </x:c>
      <x:c r="AK1377" s="604" t="n"/>
      <x:c r="AL1377" s="604" t="n"/>
      <x:c r="AM1377" s="604" t="n"/>
      <x:c r="AN1377" s="604" t="inlineStr">
        <x:is>
          <x:t xml:space="preserve">EVALUATED</x:t>
        </x:is>
      </x:c>
      <x:c r="AO1377" s="604" t="inlineStr">
        <x:is>
          <x:t xml:space="preserve">GIVING_VALIDATED_EDGE;BUCKET_PRIOR_ONLY;INTENT_INTERPRETATION_ONLY;FFL_OPTIONAL;EXPERT_MARKET</x:t>
        </x:is>
      </x:c>
      <x:c r="AP1377" s="604" t="inlineStr">
        <x:is>
          <x:t xml:space="preserve">a27399e2afc4d08df1fd</x:t>
        </x:is>
      </x:c>
      <x:c r="AQ1377" s="604" t="n">
        <x:v>-0.25</x:v>
      </x:c>
      <x:c r="AR1377" s="604" t="n">
        <x:v>1</x:v>
      </x:c>
      <x:c r="AS1377" s="604" t="n">
        <x:v>0.25</x:v>
      </x:c>
      <x:c r="AT1377" s="604" t="n">
        <x:v>-0.25</x:v>
      </x:c>
      <x:c r="AU1377" s="604" t="n">
        <x:v>1</x:v>
      </x:c>
      <x:c r="AV1377" s="604" t="n">
        <x:v>0.88</x:v>
      </x:c>
      <x:c r="AW1377" s="604" t="inlineStr">
        <x:is>
          <x:t xml:space="preserve">2026-10-09T09:01:21.127001+08:00</x:t>
        </x:is>
      </x:c>
      <x:c r="AX1377" s="604" t="inlineStr">
        <x:is>
          <x:t xml:space="preserve">Titan007/V4</x:t>
        </x:is>
      </x:c>
      <x:c r="AY1377" s="604" t="inlineStr">
        <x:is>
          <x:t xml:space="preserve">Daily append；市场输入缺失时不生成决策</x:t>
        </x:is>
      </x:c>
    </x:row>
    <x:row r="1378" ht="22" customHeight="1">
      <x:c r="A1378" s="604" t="inlineStr">
        <x:is>
          <x:t xml:space="preserve">2026-10-09</x:t>
        </x:is>
      </x:c>
      <x:c r="B1378" s="604" t="inlineStr">
        <x:is>
          <x:t xml:space="preserve">2026-10-09T22:00:00+08:00</x:t>
        </x:is>
      </x:c>
      <x:c r="C1378" s="604" t="str">
        <x:v>西亚/中亚系列</x:v>
      </x:c>
      <x:c r="D1378" s="604" t="inlineStr">
        <x:is>
          <x:t xml:space="preserve"/>
        </x:is>
      </x:c>
      <x:c r="E1378" s="604" t="inlineStr">
        <x:is>
          <x:t xml:space="preserve">乌兹超</x:t>
        </x:is>
      </x:c>
      <x:c r="F1378" s="604" t="inlineStr">
        <x:is>
          <x:t xml:space="preserve">塔什干棉农 vs 本尤德科</x:t>
        </x:is>
      </x:c>
      <x:c r="G1378" s="604" t="n">
        <x:v>0.8</x:v>
      </x:c>
      <x:c r="H1378" s="604" t="n">
        <x:v>1.75</x:v>
      </x:c>
      <x:c r="I1378" s="604" t="n">
        <x:v>0.96</x:v>
      </x:c>
      <x:c r="J1378" s="604" t="inlineStr">
        <x:is>
          <x:t xml:space="preserve">0.8/1.75/0.96</x:t>
        </x:is>
      </x:c>
      <x:c r="K1378" s="604" t="inlineStr">
        <x:is>
          <x:t xml:space="preserve">V4-A</x:t>
        </x:is>
      </x:c>
      <x:c r="L1378" s="604" t="inlineStr">
        <x:is>
          <x:t xml:space="preserve">塔什干棉农</x:t>
        </x:is>
      </x:c>
      <x:c r="M1378" s="604" t="n">
        <x:v>0.6139207108768245</x:v>
      </x:c>
      <x:c r="N1378" s="604" t="inlineStr">
        <x:is>
          <x:t xml:space="preserve">V4 Shadow Only；real_money=false</x:t>
        </x:is>
      </x:c>
      <x:c r="O1378" s="604" t="inlineStr">
        <x:is>
          <x:t xml:space="preserve">0-0</x:t>
        </x:is>
      </x:c>
      <x:c r="P1378" s="604" t="inlineStr">
        <x:is>
          <x:t xml:space="preserve">EVALUATED</x:t>
        </x:is>
      </x:c>
      <x:c r="Q1378" s="630" t="inlineStr">
        <x:is>
          <x:t xml:space="preserve"/>
        </x:is>
      </x:c>
      <x:c r="R1378" s="604" t="n">
        <x:v>0.8</x:v>
      </x:c>
      <x:c r="S1378" s="604" t="n"/>
      <x:c r="T1378" s="604" t="inlineStr">
        <x:is>
          <x:t xml:space="preserve">D:\codex\v3_legacy\outputs\football_odds_trader\raw\titan007\20261009\20261009_085232_titan007_odds_snapshot.csv</x:t>
        </x:is>
      </x:c>
      <x:c r="U1378" s="628" t="inlineStr">
        <x:is>
          <x:t xml:space="preserve"/>
        </x:is>
      </x:c>
      <x:c r="V1378" s="604" t="inlineStr">
        <x:is>
          <x:t xml:space="preserve"/>
        </x:is>
      </x:c>
      <x:c r="W1378" s="604" t="inlineStr">
        <x:is>
          <x:t xml:space="preserve"/>
        </x:is>
      </x:c>
      <x:c r="X1378" s="604" t="inlineStr">
        <x:is>
          <x:t xml:space="preserve">2933155</x:t>
        </x:is>
      </x:c>
      <x:c r="Y1378" s="604" t="inlineStr">
        <x:is>
          <x:t xml:space="preserve">V4</x:t>
        </x:is>
      </x:c>
      <x:c r="Z1378" s="604" t="inlineStr">
        <x:is>
          <x:t xml:space="preserve">prior-2026-10-09-v1</x:t>
        </x:is>
      </x:c>
      <x:c r="AA1378" s="604" t="inlineStr">
        <x:is>
          <x:t xml:space="preserve">A</x:t>
        </x:is>
      </x:c>
      <x:c r="AB1378" s="604" t="n">
        <x:v>0.6139207108768245</x:v>
      </x:c>
      <x:c r="AC1378" s="604" t="n">
        <x:v>0.2650862872940117</x:v>
      </x:c>
      <x:c r="AD1378" s="604" t="n">
        <x:v>2.75</x:v>
      </x:c>
      <x:c r="AE1378" s="604" t="n"/>
      <x:c r="AF1378" s="604" t="n"/>
      <x:c r="AG1378" s="604" t="n">
        <x:v>0.226050281407448</x:v>
      </x:c>
      <x:c r="AH1378" s="604" t="n"/>
      <x:c r="AI1378" s="604" t="n"/>
      <x:c r="AJ1378" s="604" t="n">
        <x:v>0.226050281407448</x:v>
      </x:c>
      <x:c r="AK1378" s="604" t="n"/>
      <x:c r="AL1378" s="604" t="n"/>
      <x:c r="AM1378" s="604" t="n"/>
      <x:c r="AN1378" s="604" t="inlineStr">
        <x:is>
          <x:t xml:space="preserve">EVALUATED</x:t>
        </x:is>
      </x:c>
      <x:c r="AO1378" s="604" t="inlineStr">
        <x:is>
          <x:t xml:space="preserve">GIVING_VALIDATED_EDGE;BUCKET_PRIOR_ONLY;INTENT_INTERPRETATION_ONLY;FFL_OPTIONAL;EXPERT_MARKET</x:t>
        </x:is>
      </x:c>
      <x:c r="AP1378" s="604" t="inlineStr">
        <x:is>
          <x:t xml:space="preserve">e17112213761a4ce2fe2</x:t>
        </x:is>
      </x:c>
      <x:c r="AQ1378" s="604" t="n">
        <x:v>-1.75</x:v>
      </x:c>
      <x:c r="AR1378" s="604" t="n">
        <x:v>0.8</x:v>
      </x:c>
      <x:c r="AS1378" s="604" t="n">
        <x:v>1.75</x:v>
      </x:c>
      <x:c r="AT1378" s="604" t="n">
        <x:v>-1.75</x:v>
      </x:c>
      <x:c r="AU1378" s="604" t="n">
        <x:v>0.8</x:v>
      </x:c>
      <x:c r="AV1378" s="604" t="n">
        <x:v>0.96</x:v>
      </x:c>
      <x:c r="AW1378" s="604" t="inlineStr">
        <x:is>
          <x:t xml:space="preserve">2026-10-09T09:01:21.127001+08:00</x:t>
        </x:is>
      </x:c>
      <x:c r="AX1378" s="604" t="inlineStr">
        <x:is>
          <x:t xml:space="preserve">Titan007/V4</x:t>
        </x:is>
      </x:c>
      <x:c r="AY1378" s="604" t="inlineStr">
        <x:is>
          <x:t xml:space="preserve">Daily append；市场输入缺失时不生成决策</x:t>
        </x:is>
      </x:c>
    </x:row>
    <x:row r="1379" ht="22" customHeight="1">
      <x:c r="A1379" s="604" t="inlineStr">
        <x:is>
          <x:t xml:space="preserve">2026-10-09</x:t>
        </x:is>
      </x:c>
      <x:c r="B1379" s="604" t="inlineStr">
        <x:is>
          <x:t xml:space="preserve">2026-10-09T22:00:00+08:00</x:t>
        </x:is>
      </x:c>
      <x:c r="C1379" s="604" t="str">
        <x:v>西亚/中亚系列</x:v>
      </x:c>
      <x:c r="D1379" s="604" t="inlineStr">
        <x:is>
          <x:t xml:space="preserve"/>
        </x:is>
      </x:c>
      <x:c r="E1379" s="604" t="inlineStr">
        <x:is>
          <x:t xml:space="preserve">乌兹超</x:t>
        </x:is>
      </x:c>
      <x:c r="F1379" s="604" t="inlineStr">
        <x:is>
          <x:t xml:space="preserve">布哈拉 vs 安集延</x:t>
        </x:is>
      </x:c>
      <x:c r="G1379" s="604" t="n">
        <x:v>0.83</x:v>
      </x:c>
      <x:c r="H1379" s="604" t="n">
        <x:v>0</x:v>
      </x:c>
      <x:c r="I1379" s="604" t="n">
        <x:v>0.93</x:v>
      </x:c>
      <x:c r="J1379" s="604" t="inlineStr">
        <x:is>
          <x:t xml:space="preserve">0.83/0.0/0.93</x:t>
        </x:is>
      </x:c>
      <x:c r="K1379" s="604" t="inlineStr">
        <x:is>
          <x:t xml:space="preserve">V4-N</x:t>
        </x:is>
      </x:c>
      <x:c r="L1379" s="604" t="inlineStr">
        <x:is>
          <x:t xml:space="preserve"/>
        </x:is>
      </x:c>
      <x:c r="M1379" s="604" t="n"/>
      <x:c r="N1379" s="604" t="inlineStr">
        <x:is>
          <x:t xml:space="preserve">V4 Shadow Only；real_money=false</x:t>
        </x:is>
      </x:c>
      <x:c r="O1379" s="604" t="inlineStr">
        <x:is>
          <x:t xml:space="preserve">0-0</x:t>
        </x:is>
      </x:c>
      <x:c r="P1379" s="604" t="inlineStr">
        <x:is>
          <x:t xml:space="preserve">NEUTRAL</x:t>
        </x:is>
      </x:c>
      <x:c r="Q1379" s="630" t="inlineStr">
        <x:is>
          <x:t xml:space="preserve"/>
        </x:is>
      </x:c>
      <x:c r="R1379" s="604" t="n"/>
      <x:c r="S1379" s="604" t="n"/>
      <x:c r="T1379" s="604" t="inlineStr">
        <x:is>
          <x:t xml:space="preserve">D:\codex\v3_legacy\outputs\football_odds_trader\raw\titan007\20261009\20261009_085232_titan007_odds_snapshot.csv</x:t>
        </x:is>
      </x:c>
      <x:c r="U1379" s="628" t="inlineStr">
        <x:is>
          <x:t xml:space="preserve"/>
        </x:is>
      </x:c>
      <x:c r="V1379" s="604" t="inlineStr">
        <x:is>
          <x:t xml:space="preserve"/>
        </x:is>
      </x:c>
      <x:c r="W1379" s="604" t="inlineStr">
        <x:is>
          <x:t xml:space="preserve"/>
        </x:is>
      </x:c>
      <x:c r="X1379" s="604" t="inlineStr">
        <x:is>
          <x:t xml:space="preserve">2933156</x:t>
        </x:is>
      </x:c>
      <x:c r="Y1379" s="604" t="inlineStr">
        <x:is>
          <x:t xml:space="preserve">V4</x:t>
        </x:is>
      </x:c>
      <x:c r="Z1379" s="604" t="inlineStr">
        <x:is>
          <x:t xml:space="preserve">prior-2026-10-09-v1</x:t>
        </x:is>
      </x:c>
      <x:c r="AA1379" s="604" t="inlineStr">
        <x:is>
          <x:t xml:space="preserve">N</x:t>
        </x:is>
      </x:c>
      <x:c r="AB1379" s="604" t="n"/>
      <x:c r="AC1379" s="604" t="n"/>
      <x:c r="AD1379" s="604" t="n"/>
      <x:c r="AE1379" s="604" t="n"/>
      <x:c r="AF1379" s="604" t="n"/>
      <x:c r="AG1379" s="604" t="n"/>
      <x:c r="AH1379" s="604" t="n"/>
      <x:c r="AI1379" s="604" t="n"/>
      <x:c r="AJ1379" s="604" t="n"/>
      <x:c r="AK1379" s="604" t="n"/>
      <x:c r="AL1379" s="604" t="n"/>
      <x:c r="AM1379" s="604" t="n"/>
      <x:c r="AN1379" s="604" t="inlineStr">
        <x:is>
          <x:t xml:space="preserve">NEUTRAL</x:t>
        </x:is>
      </x:c>
      <x:c r="AO1379" s="604" t="inlineStr">
        <x:is>
          <x:t xml:space="preserve">PK_NO_GIVING_RECEIVING_IDENTITY</x:t>
        </x:is>
      </x:c>
      <x:c r="AP1379" s="604" t="inlineStr">
        <x:is>
          <x:t xml:space="preserve">5e898e05d272274364eb</x:t>
        </x:is>
      </x:c>
      <x:c r="AQ1379" s="604" t="n"/>
      <x:c r="AR1379" s="604" t="n"/>
      <x:c r="AS1379" s="604" t="n"/>
      <x:c r="AT1379" s="604" t="n"/>
      <x:c r="AU1379" s="604" t="n"/>
      <x:c r="AV1379" s="604" t="n"/>
      <x:c r="AW1379" s="604" t="inlineStr">
        <x:is>
          <x:t xml:space="preserve">2026-10-09T09:01:21.127001+08:00</x:t>
        </x:is>
      </x:c>
      <x:c r="AX1379" s="604" t="inlineStr">
        <x:is>
          <x:t xml:space="preserve">Titan007/V4</x:t>
        </x:is>
      </x:c>
      <x:c r="AY1379" s="604" t="inlineStr">
        <x:is>
          <x:t xml:space="preserve">Daily append；市场输入缺失时不生成决策</x:t>
        </x:is>
      </x:c>
    </x:row>
    <x:row r="1380" ht="22" customHeight="1">
      <x:c r="A1380" s="604" t="inlineStr">
        <x:is>
          <x:t xml:space="preserve">2026-10-09</x:t>
        </x:is>
      </x:c>
      <x:c r="B1380" s="604" t="inlineStr">
        <x:is>
          <x:t xml:space="preserve">2026-10-09T21:30:00+08:00</x:t>
        </x:is>
      </x:c>
      <x:c r="C1380" s="604" t="str">
        <x:v>西亚/中亚系列</x:v>
      </x:c>
      <x:c r="D1380" s="604" t="inlineStr">
        <x:is>
          <x:t xml:space="preserve"/>
        </x:is>
      </x:c>
      <x:c r="E1380" s="604" t="inlineStr">
        <x:is>
          <x:t xml:space="preserve">乌兹超</x:t>
        </x:is>
      </x:c>
      <x:c r="F1380" s="604" t="inlineStr">
        <x:is>
          <x:t xml:space="preserve">库鲁维奇科坎 vs 马沙尔</x:t>
        </x:is>
      </x:c>
      <x:c r="G1380" s="604" t="n">
        <x:v>0.92</x:v>
      </x:c>
      <x:c r="H1380" s="604" t="n">
        <x:v>1.5</x:v>
      </x:c>
      <x:c r="I1380" s="604" t="n">
        <x:v>0.84</x:v>
      </x:c>
      <x:c r="J1380" s="604" t="inlineStr">
        <x:is>
          <x:t xml:space="preserve">0.92/1.5/0.84</x:t>
        </x:is>
      </x:c>
      <x:c r="K1380" s="604" t="inlineStr">
        <x:is>
          <x:t xml:space="preserve">V4-A</x:t>
        </x:is>
      </x:c>
      <x:c r="L1380" s="604" t="inlineStr">
        <x:is>
          <x:t xml:space="preserve">库鲁维奇科坎</x:t>
        </x:is>
      </x:c>
      <x:c r="M1380" s="604" t="n">
        <x:v>0.6854732136943287</x:v>
      </x:c>
      <x:c r="N1380" s="604" t="inlineStr">
        <x:is>
          <x:t xml:space="preserve">V4 Shadow Only；real_money=false</x:t>
        </x:is>
      </x:c>
      <x:c r="O1380" s="604" t="inlineStr">
        <x:is>
          <x:t xml:space="preserve">0-0</x:t>
        </x:is>
      </x:c>
      <x:c r="P1380" s="604" t="inlineStr">
        <x:is>
          <x:t xml:space="preserve">EVALUATED</x:t>
        </x:is>
      </x:c>
      <x:c r="Q1380" s="630" t="inlineStr">
        <x:is>
          <x:t xml:space="preserve"/>
        </x:is>
      </x:c>
      <x:c r="R1380" s="604" t="n">
        <x:v>0.92</x:v>
      </x:c>
      <x:c r="S1380" s="604" t="n"/>
      <x:c r="T1380" s="604" t="inlineStr">
        <x:is>
          <x:t xml:space="preserve">D:\codex\v3_legacy\outputs\football_odds_trader\raw\titan007\20261009\20261009_085232_titan007_odds_snapshot.csv</x:t>
        </x:is>
      </x:c>
      <x:c r="U1380" s="628" t="inlineStr">
        <x:is>
          <x:t xml:space="preserve"/>
        </x:is>
      </x:c>
      <x:c r="V1380" s="604" t="inlineStr">
        <x:is>
          <x:t xml:space="preserve"/>
        </x:is>
      </x:c>
      <x:c r="W1380" s="604" t="inlineStr">
        <x:is>
          <x:t xml:space="preserve"/>
        </x:is>
      </x:c>
      <x:c r="X1380" s="604" t="inlineStr">
        <x:is>
          <x:t xml:space="preserve">2933157</x:t>
        </x:is>
      </x:c>
      <x:c r="Y1380" s="604" t="inlineStr">
        <x:is>
          <x:t xml:space="preserve">V4</x:t>
        </x:is>
      </x:c>
      <x:c r="Z1380" s="604" t="inlineStr">
        <x:is>
          <x:t xml:space="preserve">prior-2026-10-09-v1</x:t>
        </x:is>
      </x:c>
      <x:c r="AA1380" s="604" t="inlineStr">
        <x:is>
          <x:t xml:space="preserve">A</x:t>
        </x:is>
      </x:c>
      <x:c r="AB1380" s="604" t="n">
        <x:v>0.6854732136943287</x:v>
      </x:c>
      <x:c r="AC1380" s="604" t="n">
        <x:v>0.3145267863056713</x:v>
      </x:c>
      <x:c r="AD1380" s="604" t="n">
        <x:v>2.5</x:v>
      </x:c>
      <x:c r="AE1380" s="604" t="n"/>
      <x:c r="AF1380" s="604" t="n"/>
      <x:c r="AG1380" s="604" t="n">
        <x:v>0.3161085702931111</x:v>
      </x:c>
      <x:c r="AH1380" s="604" t="n"/>
      <x:c r="AI1380" s="604" t="n"/>
      <x:c r="AJ1380" s="604" t="n">
        <x:v>0.3161085702931111</x:v>
      </x:c>
      <x:c r="AK1380" s="604" t="n"/>
      <x:c r="AL1380" s="604" t="n"/>
      <x:c r="AM1380" s="604" t="n"/>
      <x:c r="AN1380" s="604" t="inlineStr">
        <x:is>
          <x:t xml:space="preserve">EVALUATED</x:t>
        </x:is>
      </x:c>
      <x:c r="AO1380" s="604" t="inlineStr">
        <x:is>
          <x:t xml:space="preserve">GIVING_VALIDATED_EDGE;BUCKET_PRIOR_ONLY;INTENT_INTERPRETATION_ONLY;FFL_OPTIONAL;EXPERT_MARKET</x:t>
        </x:is>
      </x:c>
      <x:c r="AP1380" s="604" t="inlineStr">
        <x:is>
          <x:t xml:space="preserve">87280609014689501bbf</x:t>
        </x:is>
      </x:c>
      <x:c r="AQ1380" s="604" t="n">
        <x:v>-1.5</x:v>
      </x:c>
      <x:c r="AR1380" s="604" t="n">
        <x:v>0.92</x:v>
      </x:c>
      <x:c r="AS1380" s="604" t="n">
        <x:v>1.5</x:v>
      </x:c>
      <x:c r="AT1380" s="604" t="n">
        <x:v>-1.5</x:v>
      </x:c>
      <x:c r="AU1380" s="604" t="n">
        <x:v>0.92</x:v>
      </x:c>
      <x:c r="AV1380" s="604" t="n">
        <x:v>0.84</x:v>
      </x:c>
      <x:c r="AW1380" s="604" t="inlineStr">
        <x:is>
          <x:t xml:space="preserve">2026-10-09T09:01:21.127001+08:00</x:t>
        </x:is>
      </x:c>
      <x:c r="AX1380" s="604" t="inlineStr">
        <x:is>
          <x:t xml:space="preserve">Titan007/V4</x:t>
        </x:is>
      </x:c>
      <x:c r="AY1380" s="604" t="inlineStr">
        <x:is>
          <x:t xml:space="preserve">Daily append；市场输入缺失时不生成决策</x:t>
        </x:is>
      </x:c>
    </x:row>
    <x:row r="1381" ht="22" customHeight="1">
      <x:c r="A1381" s="604" t="inlineStr">
        <x:is>
          <x:t xml:space="preserve">2026-10-09</x:t>
        </x:is>
      </x:c>
      <x:c r="B1381" s="604" t="inlineStr">
        <x:is>
          <x:t xml:space="preserve">2026-10-09T22:30:00+08:00</x:t>
        </x:is>
      </x:c>
      <x:c r="C1381" s="604" t="str">
        <x:v>西亚/中亚系列</x:v>
      </x:c>
      <x:c r="D1381" s="604" t="inlineStr">
        <x:is>
          <x:t xml:space="preserve"/>
        </x:is>
      </x:c>
      <x:c r="E1381" s="604" t="inlineStr">
        <x:is>
          <x:t xml:space="preserve">乌兹超</x:t>
        </x:is>
      </x:c>
      <x:c r="F1381" s="604" t="inlineStr">
        <x:is>
          <x:t xml:space="preserve">纳萨夫 vs 萨马尔罕迪纳摩</x:t>
        </x:is>
      </x:c>
      <x:c r="G1381" s="604" t="n">
        <x:v>0.85</x:v>
      </x:c>
      <x:c r="H1381" s="604" t="n">
        <x:v>0.75</x:v>
      </x:c>
      <x:c r="I1381" s="604" t="n">
        <x:v>0.91</x:v>
      </x:c>
      <x:c r="J1381" s="604" t="inlineStr">
        <x:is>
          <x:t xml:space="preserve">0.85/0.75/0.91</x:t>
        </x:is>
      </x:c>
      <x:c r="K1381" s="604" t="inlineStr">
        <x:is>
          <x:t xml:space="preserve">V4-A</x:t>
        </x:is>
      </x:c>
      <x:c r="L1381" s="604" t="inlineStr">
        <x:is>
          <x:t xml:space="preserve">纳萨夫</x:t>
        </x:is>
      </x:c>
      <x:c r="M1381" s="604" t="n">
        <x:v>0.5555909726243349</x:v>
      </x:c>
      <x:c r="N1381" s="604" t="inlineStr">
        <x:is>
          <x:t xml:space="preserve">V4 Shadow Only；real_money=false</x:t>
        </x:is>
      </x:c>
      <x:c r="O1381" s="604" t="inlineStr">
        <x:is>
          <x:t xml:space="preserve">0-0</x:t>
        </x:is>
      </x:c>
      <x:c r="P1381" s="604" t="inlineStr">
        <x:is>
          <x:t xml:space="preserve">EVALUATED</x:t>
        </x:is>
      </x:c>
      <x:c r="Q1381" s="630" t="inlineStr">
        <x:is>
          <x:t xml:space="preserve"/>
        </x:is>
      </x:c>
      <x:c r="R1381" s="604" t="n">
        <x:v>0.85</x:v>
      </x:c>
      <x:c r="S1381" s="604" t="n"/>
      <x:c r="T1381" s="604" t="inlineStr">
        <x:is>
          <x:t xml:space="preserve">D:\codex\v3_legacy\outputs\football_odds_trader\raw\titan007\20261009\20261009_085232_titan007_odds_snapshot.csv</x:t>
        </x:is>
      </x:c>
      <x:c r="U1381" s="628" t="inlineStr">
        <x:is>
          <x:t xml:space="preserve"/>
        </x:is>
      </x:c>
      <x:c r="V1381" s="604" t="inlineStr">
        <x:is>
          <x:t xml:space="preserve"/>
        </x:is>
      </x:c>
      <x:c r="W1381" s="604" t="inlineStr">
        <x:is>
          <x:t xml:space="preserve"/>
        </x:is>
      </x:c>
      <x:c r="X1381" s="604" t="inlineStr">
        <x:is>
          <x:t xml:space="preserve">2933158</x:t>
        </x:is>
      </x:c>
      <x:c r="Y1381" s="604" t="inlineStr">
        <x:is>
          <x:t xml:space="preserve">V4</x:t>
        </x:is>
      </x:c>
      <x:c r="Z1381" s="604" t="inlineStr">
        <x:is>
          <x:t xml:space="preserve">prior-2026-10-09-v1</x:t>
        </x:is>
      </x:c>
      <x:c r="AA1381" s="604" t="inlineStr">
        <x:is>
          <x:t xml:space="preserve">A</x:t>
        </x:is>
      </x:c>
      <x:c r="AB1381" s="604" t="n">
        <x:v>0.5555909726243349</x:v>
      </x:c>
      <x:c r="AC1381" s="604" t="n">
        <x:v>0.3159875334857755</x:v>
      </x:c>
      <x:c r="AD1381" s="604" t="n">
        <x:v>1.25</x:v>
      </x:c>
      <x:c r="AE1381" s="604" t="n"/>
      <x:c r="AF1381" s="604" t="n"/>
      <x:c r="AG1381" s="604" t="n">
        <x:v>0.1562647932449092</x:v>
      </x:c>
      <x:c r="AH1381" s="604" t="n"/>
      <x:c r="AI1381" s="604" t="n"/>
      <x:c r="AJ1381" s="604" t="n">
        <x:v>0.1562647932449092</x:v>
      </x:c>
      <x:c r="AK1381" s="604" t="n"/>
      <x:c r="AL1381" s="604" t="n"/>
      <x:c r="AM1381" s="604" t="n"/>
      <x:c r="AN1381" s="604" t="inlineStr">
        <x:is>
          <x:t xml:space="preserve">EVALUATED</x:t>
        </x:is>
      </x:c>
      <x:c r="AO1381" s="604" t="inlineStr">
        <x:is>
          <x:t xml:space="preserve">GIVING_VALIDATED_EDGE;BUCKET_PRIOR_ONLY;INTENT_INTERPRETATION_ONLY;FFL_OPTIONAL;EXPERT_MARKET</x:t>
        </x:is>
      </x:c>
      <x:c r="AP1381" s="604" t="inlineStr">
        <x:is>
          <x:t xml:space="preserve">aff1915293711c651c3a</x:t>
        </x:is>
      </x:c>
      <x:c r="AQ1381" s="604" t="n">
        <x:v>-0.75</x:v>
      </x:c>
      <x:c r="AR1381" s="604" t="n">
        <x:v>0.85</x:v>
      </x:c>
      <x:c r="AS1381" s="604" t="n">
        <x:v>0.75</x:v>
      </x:c>
      <x:c r="AT1381" s="604" t="n">
        <x:v>-0.75</x:v>
      </x:c>
      <x:c r="AU1381" s="604" t="n">
        <x:v>0.85</x:v>
      </x:c>
      <x:c r="AV1381" s="604" t="n">
        <x:v>0.91</x:v>
      </x:c>
      <x:c r="AW1381" s="604" t="inlineStr">
        <x:is>
          <x:t xml:space="preserve">2026-10-09T09:01:21.127001+08:00</x:t>
        </x:is>
      </x:c>
      <x:c r="AX1381" s="604" t="inlineStr">
        <x:is>
          <x:t xml:space="preserve">Titan007/V4</x:t>
        </x:is>
      </x:c>
      <x:c r="AY1381" s="604" t="inlineStr">
        <x:is>
          <x:t xml:space="preserve">Daily append；市场输入缺失时不生成决策</x:t>
        </x:is>
      </x:c>
    </x:row>
    <x:row r="1382" ht="22" customHeight="1">
      <x:c r="A1382" s="604" t="inlineStr">
        <x:is>
          <x:t xml:space="preserve">2026-10-09</x:t>
        </x:is>
      </x:c>
      <x:c r="B1382" s="604" t="inlineStr">
        <x:is>
          <x:t xml:space="preserve">2026-10-10T07:00:00+08:00</x:t>
        </x:is>
      </x:c>
      <x:c r="C1382" s="604" t="str">
        <x:v>南美系列</x:v>
      </x:c>
      <x:c r="D1382" s="604" t="inlineStr">
        <x:is>
          <x:t xml:space="preserve"/>
        </x:is>
      </x:c>
      <x:c r="E1382" s="604" t="inlineStr">
        <x:is>
          <x:t xml:space="preserve">阿乙曼特秋</x:t>
        </x:is>
      </x:c>
      <x:c r="F1382" s="604" t="inlineStr">
        <x:is>
          <x:t xml:space="preserve">伊希库斯尼斯塔史 vs 维拉圣卡罗斯</x:t>
        </x:is>
      </x:c>
      <x:c r="G1382" s="604" t="n">
        <x:v>0.73</x:v>
      </x:c>
      <x:c r="H1382" s="604" t="n">
        <x:v>0.75</x:v>
      </x:c>
      <x:c r="I1382" s="604" t="n">
        <x:v>0.97</x:v>
      </x:c>
      <x:c r="J1382" s="604" t="inlineStr">
        <x:is>
          <x:t xml:space="preserve">0.73/0.75/0.97</x:t>
        </x:is>
      </x:c>
      <x:c r="K1382" s="604" t="inlineStr">
        <x:is>
          <x:t xml:space="preserve">V4-B</x:t>
        </x:is>
      </x:c>
      <x:c r="L1382" s="604" t="inlineStr">
        <x:is>
          <x:t xml:space="preserve">伊希库斯尼斯塔史</x:t>
        </x:is>
      </x:c>
      <x:c r="M1382" s="604" t="n">
        <x:v>0.6469372573338047</x:v>
      </x:c>
      <x:c r="N1382" s="604" t="inlineStr">
        <x:is>
          <x:t xml:space="preserve">V4 Shadow Only；real_money=false</x:t>
        </x:is>
      </x:c>
      <x:c r="O1382" s="604" t="inlineStr">
        <x:is>
          <x:t xml:space="preserve">0-0</x:t>
        </x:is>
      </x:c>
      <x:c r="P1382" s="604" t="inlineStr">
        <x:is>
          <x:t xml:space="preserve">EVALUATED</x:t>
        </x:is>
      </x:c>
      <x:c r="Q1382" s="630" t="inlineStr">
        <x:is>
          <x:t xml:space="preserve"/>
        </x:is>
      </x:c>
      <x:c r="R1382" s="604" t="n">
        <x:v>0.73</x:v>
      </x:c>
      <x:c r="S1382" s="604" t="n"/>
      <x:c r="T1382" s="604" t="inlineStr">
        <x:is>
          <x:t xml:space="preserve">D:\codex\v3_legacy\outputs\football_odds_trader\raw\titan007\20261009\20261009_085232_titan007_odds_snapshot.csv</x:t>
        </x:is>
      </x:c>
      <x:c r="U1382" s="628" t="inlineStr">
        <x:is>
          <x:t xml:space="preserve"/>
        </x:is>
      </x:c>
      <x:c r="V1382" s="604" t="inlineStr">
        <x:is>
          <x:t xml:space="preserve"/>
        </x:is>
      </x:c>
      <x:c r="W1382" s="604" t="inlineStr">
        <x:is>
          <x:t xml:space="preserve"/>
        </x:is>
      </x:c>
      <x:c r="X1382" s="604" t="inlineStr">
        <x:is>
          <x:t xml:space="preserve">2934842</x:t>
        </x:is>
      </x:c>
      <x:c r="Y1382" s="604" t="inlineStr">
        <x:is>
          <x:t xml:space="preserve">V4</x:t>
        </x:is>
      </x:c>
      <x:c r="Z1382" s="604" t="inlineStr">
        <x:is>
          <x:t xml:space="preserve">prior-2026-10-09-v1</x:t>
        </x:is>
      </x:c>
      <x:c r="AA1382" s="604" t="inlineStr">
        <x:is>
          <x:t xml:space="preserve">B</x:t>
        </x:is>
      </x:c>
      <x:c r="AB1382" s="604" t="n">
        <x:v>0.6469372573338047</x:v>
      </x:c>
      <x:c r="AC1382" s="604" t="n">
        <x:v>0.2285301851467425</x:v>
      </x:c>
      <x:c r="AD1382" s="604" t="n">
        <x:v>1.75</x:v>
      </x:c>
      <x:c r="AE1382" s="604" t="n"/>
      <x:c r="AF1382" s="604" t="n"/>
      <x:c r="AG1382" s="604" t="n">
        <x:v>0.2437340127069348</x:v>
      </x:c>
      <x:c r="AH1382" s="604" t="n"/>
      <x:c r="AI1382" s="604" t="n"/>
      <x:c r="AJ1382" s="604" t="n">
        <x:v>0.2437340127069348</x:v>
      </x:c>
      <x:c r="AK1382" s="604" t="n"/>
      <x:c r="AL1382" s="604" t="n"/>
      <x:c r="AM1382" s="604" t="n"/>
      <x:c r="AN1382" s="604" t="inlineStr">
        <x:is>
          <x:t xml:space="preserve">EVALUATED</x:t>
        </x:is>
      </x:c>
      <x:c r="AO1382" s="604" t="inlineStr">
        <x:is>
          <x:t xml:space="preserve">GIVING_VALIDATED_EDGE;BUCKET_PRIOR_ONLY;INTENT_INTERPRETATION_ONLY;FFL_OPTIONAL;EXPERT_MARKET</x:t>
        </x:is>
      </x:c>
      <x:c r="AP1382" s="604" t="inlineStr">
        <x:is>
          <x:t xml:space="preserve">862d5b809735225a3cd6</x:t>
        </x:is>
      </x:c>
      <x:c r="AQ1382" s="604" t="n">
        <x:v>-0.75</x:v>
      </x:c>
      <x:c r="AR1382" s="604" t="n">
        <x:v>0.73</x:v>
      </x:c>
      <x:c r="AS1382" s="604" t="n">
        <x:v>0.75</x:v>
      </x:c>
      <x:c r="AT1382" s="604" t="n">
        <x:v>-0.75</x:v>
      </x:c>
      <x:c r="AU1382" s="604" t="n">
        <x:v>0.73</x:v>
      </x:c>
      <x:c r="AV1382" s="604" t="n">
        <x:v>0.97</x:v>
      </x:c>
      <x:c r="AW1382" s="604" t="inlineStr">
        <x:is>
          <x:t xml:space="preserve">2026-10-09T09:01:21.127001+08:00</x:t>
        </x:is>
      </x:c>
      <x:c r="AX1382" s="604" t="inlineStr">
        <x:is>
          <x:t xml:space="preserve">Titan007/V4</x:t>
        </x:is>
      </x:c>
      <x:c r="AY1382" s="604" t="inlineStr">
        <x:is>
          <x:t xml:space="preserve">Daily append；市场输入缺失时不生成决策</x:t>
        </x:is>
      </x:c>
    </x:row>
    <x:row r="1383" ht="22" customHeight="1">
      <x:c r="A1383" s="604" t="inlineStr">
        <x:is>
          <x:t xml:space="preserve">2026-10-09</x:t>
        </x:is>
      </x:c>
      <x:c r="B1383" s="604" t="inlineStr">
        <x:is>
          <x:t xml:space="preserve">2026-10-10T07:00:00+08:00</x:t>
        </x:is>
      </x:c>
      <x:c r="C1383" s="604" t="str">
        <x:v>南美系列</x:v>
      </x:c>
      <x:c r="D1383" s="604" t="inlineStr">
        <x:is>
          <x:t xml:space="preserve"/>
        </x:is>
      </x:c>
      <x:c r="E1383" s="604" t="inlineStr">
        <x:is>
          <x:t xml:space="preserve">阿乙曼特秋</x:t>
        </x:is>
      </x:c>
      <x:c r="F1383" s="604" t="inlineStr">
        <x:is>
          <x:t xml:space="preserve">埃斯卡拉达 vs 卡米尼罗斯</x:t>
        </x:is>
      </x:c>
      <x:c r="G1383" s="604" t="n">
        <x:v>0.88</x:v>
      </x:c>
      <x:c r="H1383" s="604" t="n">
        <x:v>0.5</x:v>
      </x:c>
      <x:c r="I1383" s="604" t="n">
        <x:v>0.82</x:v>
      </x:c>
      <x:c r="J1383" s="604" t="inlineStr">
        <x:is>
          <x:t xml:space="preserve">0.88/0.5/0.82</x:t>
        </x:is>
      </x:c>
      <x:c r="K1383" s="604" t="inlineStr">
        <x:is>
          <x:t xml:space="preserve">V4-B</x:t>
        </x:is>
      </x:c>
      <x:c r="L1383" s="604" t="inlineStr">
        <x:is>
          <x:t xml:space="preserve">埃斯卡拉达</x:t>
        </x:is>
      </x:c>
      <x:c r="M1383" s="604" t="n">
        <x:v>0.5788433920392517</x:v>
      </x:c>
      <x:c r="N1383" s="604" t="inlineStr">
        <x:is>
          <x:t xml:space="preserve">V4 Shadow Only；real_money=false</x:t>
        </x:is>
      </x:c>
      <x:c r="O1383" s="604" t="inlineStr">
        <x:is>
          <x:t xml:space="preserve">0-0</x:t>
        </x:is>
      </x:c>
      <x:c r="P1383" s="604" t="inlineStr">
        <x:is>
          <x:t xml:space="preserve">EVALUATED</x:t>
        </x:is>
      </x:c>
      <x:c r="Q1383" s="630" t="inlineStr">
        <x:is>
          <x:t xml:space="preserve"/>
        </x:is>
      </x:c>
      <x:c r="R1383" s="604" t="n">
        <x:v>0.88</x:v>
      </x:c>
      <x:c r="S1383" s="604" t="n"/>
      <x:c r="T1383" s="604" t="inlineStr">
        <x:is>
          <x:t xml:space="preserve">D:\codex\v3_legacy\outputs\football_odds_trader\raw\titan007\20261009\20261009_085232_titan007_odds_snapshot.csv</x:t>
        </x:is>
      </x:c>
      <x:c r="U1383" s="628" t="inlineStr">
        <x:is>
          <x:t xml:space="preserve"/>
        </x:is>
      </x:c>
      <x:c r="V1383" s="604" t="inlineStr">
        <x:is>
          <x:t xml:space="preserve"/>
        </x:is>
      </x:c>
      <x:c r="W1383" s="604" t="inlineStr">
        <x:is>
          <x:t xml:space="preserve"/>
        </x:is>
      </x:c>
      <x:c r="X1383" s="604" t="inlineStr">
        <x:is>
          <x:t xml:space="preserve">2934846</x:t>
        </x:is>
      </x:c>
      <x:c r="Y1383" s="604" t="inlineStr">
        <x:is>
          <x:t xml:space="preserve">V4</x:t>
        </x:is>
      </x:c>
      <x:c r="Z1383" s="604" t="inlineStr">
        <x:is>
          <x:t xml:space="preserve">prior-2026-10-09-v1</x:t>
        </x:is>
      </x:c>
      <x:c r="AA1383" s="604" t="inlineStr">
        <x:is>
          <x:t xml:space="preserve">B</x:t>
        </x:is>
      </x:c>
      <x:c r="AB1383" s="604" t="n">
        <x:v>0.5788433920392517</x:v>
      </x:c>
      <x:c r="AC1383" s="604" t="n">
        <x:v>0.4211566079607483</x:v>
      </x:c>
      <x:c r="AD1383" s="604" t="n">
        <x:v>0.75</x:v>
      </x:c>
      <x:c r="AE1383" s="604" t="n"/>
      <x:c r="AF1383" s="604" t="n"/>
      <x:c r="AG1383" s="604" t="n">
        <x:v>0.08822557703379325</x:v>
      </x:c>
      <x:c r="AH1383" s="604" t="n"/>
      <x:c r="AI1383" s="604" t="n"/>
      <x:c r="AJ1383" s="604" t="n">
        <x:v>0.08822557703379325</x:v>
      </x:c>
      <x:c r="AK1383" s="604" t="n"/>
      <x:c r="AL1383" s="604" t="n"/>
      <x:c r="AM1383" s="604" t="n"/>
      <x:c r="AN1383" s="604" t="inlineStr">
        <x:is>
          <x:t xml:space="preserve">EVALUATED</x:t>
        </x:is>
      </x:c>
      <x:c r="AO1383" s="604" t="inlineStr">
        <x:is>
          <x:t xml:space="preserve">GIVING_VALIDATED_EDGE;BUCKET_PRIOR_ONLY;INTENT_INTERPRETATION_ONLY;FFL_OPTIONAL;EXPERT_MARKET</x:t>
        </x:is>
      </x:c>
      <x:c r="AP1383" s="604" t="inlineStr">
        <x:is>
          <x:t xml:space="preserve">32cb6cdb4588ecbbdaee</x:t>
        </x:is>
      </x:c>
      <x:c r="AQ1383" s="604" t="n">
        <x:v>-0.5</x:v>
      </x:c>
      <x:c r="AR1383" s="604" t="n">
        <x:v>0.88</x:v>
      </x:c>
      <x:c r="AS1383" s="604" t="n">
        <x:v>0.5</x:v>
      </x:c>
      <x:c r="AT1383" s="604" t="n">
        <x:v>-0.5</x:v>
      </x:c>
      <x:c r="AU1383" s="604" t="n">
        <x:v>0.88</x:v>
      </x:c>
      <x:c r="AV1383" s="604" t="n">
        <x:v>0.82</x:v>
      </x:c>
      <x:c r="AW1383" s="604" t="inlineStr">
        <x:is>
          <x:t xml:space="preserve">2026-10-09T09:01:21.127001+08:00</x:t>
        </x:is>
      </x:c>
      <x:c r="AX1383" s="604" t="inlineStr">
        <x:is>
          <x:t xml:space="preserve">Titan007/V4</x:t>
        </x:is>
      </x:c>
      <x:c r="AY1383" s="604" t="inlineStr">
        <x:is>
          <x:t xml:space="preserve">Daily append；市场输入缺失时不生成决策</x:t>
        </x:is>
      </x:c>
    </x:row>
    <x:row r="1384" ht="22" customHeight="1">
      <x:c r="A1384" s="604" t="inlineStr">
        <x:is>
          <x:t xml:space="preserve">2026-10-09</x:t>
        </x:is>
      </x:c>
      <x:c r="B1384" s="604" t="inlineStr">
        <x:is>
          <x:t xml:space="preserve">2026-10-10T02:45:00+08:00</x:t>
        </x:is>
      </x:c>
      <x:c r="C1384" s="604" t="str">
        <x:v>欧洲非五大系列</x:v>
      </x:c>
      <x:c r="D1384" s="604" t="inlineStr">
        <x:is>
          <x:t xml:space="preserve"/>
        </x:is>
      </x:c>
      <x:c r="E1384" s="604" t="inlineStr">
        <x:is>
          <x:t xml:space="preserve">爱甲</x:t>
        </x:is>
      </x:c>
      <x:c r="F1384" s="604" t="inlineStr">
        <x:is>
          <x:t xml:space="preserve">阿斯隆城 vs 特瑞特联</x:t>
        </x:is>
      </x:c>
      <x:c r="G1384" s="604" t="n">
        <x:v>0.61</x:v>
      </x:c>
      <x:c r="H1384" s="604" t="n">
        <x:v>1</x:v>
      </x:c>
      <x:c r="I1384" s="604" t="n">
        <x:v>1.17</x:v>
      </x:c>
      <x:c r="J1384" s="604" t="inlineStr">
        <x:is>
          <x:t xml:space="preserve">0.61/1.0/1.17</x:t>
        </x:is>
      </x:c>
      <x:c r="K1384" s="604" t="inlineStr">
        <x:is>
          <x:t xml:space="preserve">V4-N</x:t>
        </x:is>
      </x:c>
      <x:c r="L1384" s="604" t="inlineStr">
        <x:is>
          <x:t xml:space="preserve"/>
        </x:is>
      </x:c>
      <x:c r="M1384" s="604" t="n">
        <x:v>0.528108507662399</x:v>
      </x:c>
      <x:c r="N1384" s="604" t="inlineStr">
        <x:is>
          <x:t xml:space="preserve">V4 Shadow Only；real_money=false</x:t>
        </x:is>
      </x:c>
      <x:c r="O1384" s="604" t="inlineStr">
        <x:is>
          <x:t xml:space="preserve">0-0</x:t>
        </x:is>
      </x:c>
      <x:c r="P1384" s="604" t="inlineStr">
        <x:is>
          <x:t xml:space="preserve">EVALUATED</x:t>
        </x:is>
      </x:c>
      <x:c r="Q1384" s="630" t="inlineStr">
        <x:is>
          <x:t xml:space="preserve"/>
        </x:is>
      </x:c>
      <x:c r="R1384" s="604" t="n"/>
      <x:c r="S1384" s="604" t="n"/>
      <x:c r="T1384" s="604" t="inlineStr">
        <x:is>
          <x:t xml:space="preserve">D:\codex\v3_legacy\outputs\football_odds_trader\raw\titan007\20261009\20261009_085232_titan007_odds_snapshot.csv</x:t>
        </x:is>
      </x:c>
      <x:c r="U1384" s="628" t="inlineStr">
        <x:is>
          <x:t xml:space="preserve"/>
        </x:is>
      </x:c>
      <x:c r="V1384" s="604" t="inlineStr">
        <x:is>
          <x:t xml:space="preserve"/>
        </x:is>
      </x:c>
      <x:c r="W1384" s="604" t="inlineStr">
        <x:is>
          <x:t xml:space="preserve"/>
        </x:is>
      </x:c>
      <x:c r="X1384" s="604" t="inlineStr">
        <x:is>
          <x:t xml:space="preserve">2939068</x:t>
        </x:is>
      </x:c>
      <x:c r="Y1384" s="604" t="inlineStr">
        <x:is>
          <x:t xml:space="preserve">V4</x:t>
        </x:is>
      </x:c>
      <x:c r="Z1384" s="604" t="inlineStr">
        <x:is>
          <x:t xml:space="preserve">prior-2026-10-09-v1</x:t>
        </x:is>
      </x:c>
      <x:c r="AA1384" s="604" t="inlineStr">
        <x:is>
          <x:t xml:space="preserve">N</x:t>
        </x:is>
      </x:c>
      <x:c r="AB1384" s="604" t="n">
        <x:v>0.528108507662399</x:v>
      </x:c>
      <x:c r="AC1384" s="604" t="n">
        <x:v>0.2257604911316681</x:v>
      </x:c>
      <x:c r="AD1384" s="604" t="n">
        <x:v>1.75</x:v>
      </x:c>
      <x:c r="AE1384" s="604" t="n"/>
      <x:c r="AF1384" s="604" t="n"/>
      <x:c r="AG1384" s="604" t="n">
        <x:v>0.09638569854239529</x:v>
      </x:c>
      <x:c r="AH1384" s="604" t="n"/>
      <x:c r="AI1384" s="604" t="n"/>
      <x:c r="AJ1384" s="604" t="n">
        <x:v>0.09638569854239529</x:v>
      </x:c>
      <x:c r="AK1384" s="604" t="n"/>
      <x:c r="AL1384" s="604" t="n"/>
      <x:c r="AM1384" s="604" t="n"/>
      <x:c r="AN1384" s="604" t="inlineStr">
        <x:is>
          <x:t xml:space="preserve">EVALUATED</x:t>
        </x:is>
      </x:c>
      <x:c r="AO1384" s="604" t="inlineStr">
        <x:is>
          <x:t xml:space="preserve">LOW_QUALITY_GATE;BUCKET_PRIOR_ONLY;INTENT_INTERPRETATION_ONLY;FFL_OPTIONAL;EXPERT_MARKET</x:t>
        </x:is>
      </x:c>
      <x:c r="AP1384" s="604" t="inlineStr">
        <x:is>
          <x:t xml:space="preserve">0c263b597378be373bd8</x:t>
        </x:is>
      </x:c>
      <x:c r="AQ1384" s="604" t="n"/>
      <x:c r="AR1384" s="604" t="n"/>
      <x:c r="AS1384" s="604" t="n">
        <x:v>1</x:v>
      </x:c>
      <x:c r="AT1384" s="604" t="n">
        <x:v>-1</x:v>
      </x:c>
      <x:c r="AU1384" s="604" t="n">
        <x:v>0.61</x:v>
      </x:c>
      <x:c r="AV1384" s="604" t="n">
        <x:v>1.17</x:v>
      </x:c>
      <x:c r="AW1384" s="604" t="inlineStr">
        <x:is>
          <x:t xml:space="preserve">2026-10-09T09:01:21.127001+08:00</x:t>
        </x:is>
      </x:c>
      <x:c r="AX1384" s="604" t="inlineStr">
        <x:is>
          <x:t xml:space="preserve">Titan007/V4</x:t>
        </x:is>
      </x:c>
      <x:c r="AY1384" s="604" t="inlineStr">
        <x:is>
          <x:t xml:space="preserve">Daily append；市场输入缺失时不生成决策</x:t>
        </x:is>
      </x:c>
    </x:row>
    <x:row r="1385" ht="22" customHeight="1">
      <x:c r="A1385" s="604" t="inlineStr">
        <x:is>
          <x:t xml:space="preserve">2026-10-09</x:t>
        </x:is>
      </x:c>
      <x:c r="B1385" s="604" t="inlineStr">
        <x:is>
          <x:t xml:space="preserve">2026-10-10T02:45:00+08:00</x:t>
        </x:is>
      </x:c>
      <x:c r="C1385" s="604" t="str">
        <x:v>欧洲非五大系列</x:v>
      </x:c>
      <x:c r="D1385" s="604" t="inlineStr">
        <x:is>
          <x:t xml:space="preserve"/>
        </x:is>
      </x:c>
      <x:c r="E1385" s="604" t="inlineStr">
        <x:is>
          <x:t xml:space="preserve">爱甲</x:t>
        </x:is>
      </x:c>
      <x:c r="F1385" s="604" t="inlineStr">
        <x:is>
          <x:t xml:space="preserve">布雷 vs 韦克斯福德</x:t>
        </x:is>
      </x:c>
      <x:c r="G1385" s="604" t="n">
        <x:v>0.89</x:v>
      </x:c>
      <x:c r="H1385" s="604" t="n">
        <x:v>1</x:v>
      </x:c>
      <x:c r="I1385" s="604" t="n">
        <x:v>0.87</x:v>
      </x:c>
      <x:c r="J1385" s="604" t="inlineStr">
        <x:is>
          <x:t xml:space="preserve">0.89/1.0/0.87</x:t>
        </x:is>
      </x:c>
      <x:c r="K1385" s="604" t="inlineStr">
        <x:is>
          <x:t xml:space="preserve">V4-N</x:t>
        </x:is>
      </x:c>
      <x:c r="L1385" s="604" t="inlineStr">
        <x:is>
          <x:t xml:space="preserve"/>
        </x:is>
      </x:c>
      <x:c r="M1385" s="604" t="n">
        <x:v>0.4239692522498701</x:v>
      </x:c>
      <x:c r="N1385" s="604" t="inlineStr">
        <x:is>
          <x:t xml:space="preserve">V4 Shadow Only；real_money=false</x:t>
        </x:is>
      </x:c>
      <x:c r="O1385" s="604" t="inlineStr">
        <x:is>
          <x:t xml:space="preserve">0-0</x:t>
        </x:is>
      </x:c>
      <x:c r="P1385" s="604" t="inlineStr">
        <x:is>
          <x:t xml:space="preserve">EVALUATED</x:t>
        </x:is>
      </x:c>
      <x:c r="Q1385" s="630" t="inlineStr">
        <x:is>
          <x:t xml:space="preserve"/>
        </x:is>
      </x:c>
      <x:c r="R1385" s="604" t="n"/>
      <x:c r="S1385" s="604" t="n"/>
      <x:c r="T1385" s="604" t="inlineStr">
        <x:is>
          <x:t xml:space="preserve">D:\codex\v3_legacy\outputs\football_odds_trader\raw\titan007\20261009\20261009_085232_titan007_odds_snapshot.csv</x:t>
        </x:is>
      </x:c>
      <x:c r="U1385" s="628" t="inlineStr">
        <x:is>
          <x:t xml:space="preserve"/>
        </x:is>
      </x:c>
      <x:c r="V1385" s="604" t="inlineStr">
        <x:is>
          <x:t xml:space="preserve"/>
        </x:is>
      </x:c>
      <x:c r="W1385" s="604" t="inlineStr">
        <x:is>
          <x:t xml:space="preserve"/>
        </x:is>
      </x:c>
      <x:c r="X1385" s="604" t="inlineStr">
        <x:is>
          <x:t xml:space="preserve">2939069</x:t>
        </x:is>
      </x:c>
      <x:c r="Y1385" s="604" t="inlineStr">
        <x:is>
          <x:t xml:space="preserve">V4</x:t>
        </x:is>
      </x:c>
      <x:c r="Z1385" s="604" t="inlineStr">
        <x:is>
          <x:t xml:space="preserve">prior-2026-10-09-v1</x:t>
        </x:is>
      </x:c>
      <x:c r="AA1385" s="604" t="inlineStr">
        <x:is>
          <x:t xml:space="preserve">N</x:t>
        </x:is>
      </x:c>
      <x:c r="AB1385" s="604" t="n">
        <x:v>0.4239692522498701</x:v>
      </x:c>
      <x:c r="AC1385" s="604" t="n">
        <x:v>0.3203842182022903</x:v>
      </x:c>
      <x:c r="AD1385" s="604" t="n">
        <x:v>1.25</x:v>
      </x:c>
      <x:c r="AE1385" s="604" t="n"/>
      <x:c r="AF1385" s="604" t="n"/>
      <x:c r="AG1385" s="604" t="n">
        <x:v>0.05694841630009406</x:v>
      </x:c>
      <x:c r="AH1385" s="604" t="n"/>
      <x:c r="AI1385" s="604" t="n"/>
      <x:c r="AJ1385" s="604" t="n">
        <x:v>0.05694841630009406</x:v>
      </x:c>
      <x:c r="AK1385" s="604" t="n"/>
      <x:c r="AL1385" s="604" t="n"/>
      <x:c r="AM1385" s="604" t="n"/>
      <x:c r="AN1385" s="604" t="inlineStr">
        <x:is>
          <x:t xml:space="preserve">EVALUATED</x:t>
        </x:is>
      </x:c>
      <x:c r="AO1385" s="604" t="inlineStr">
        <x:is>
          <x:t xml:space="preserve">LOW_QUALITY_GATE;BUCKET_PRIOR_ONLY;INTENT_INTERPRETATION_ONLY;FFL_OPTIONAL;EXPERT_MARKET</x:t>
        </x:is>
      </x:c>
      <x:c r="AP1385" s="604" t="inlineStr">
        <x:is>
          <x:t xml:space="preserve">e01a0718b113386d8201</x:t>
        </x:is>
      </x:c>
      <x:c r="AQ1385" s="604" t="n"/>
      <x:c r="AR1385" s="604" t="n"/>
      <x:c r="AS1385" s="604" t="n">
        <x:v>1</x:v>
      </x:c>
      <x:c r="AT1385" s="604" t="n">
        <x:v>-1</x:v>
      </x:c>
      <x:c r="AU1385" s="604" t="n">
        <x:v>0.89</x:v>
      </x:c>
      <x:c r="AV1385" s="604" t="n">
        <x:v>0.87</x:v>
      </x:c>
      <x:c r="AW1385" s="604" t="inlineStr">
        <x:is>
          <x:t xml:space="preserve">2026-10-09T09:01:21.127001+08:00</x:t>
        </x:is>
      </x:c>
      <x:c r="AX1385" s="604" t="inlineStr">
        <x:is>
          <x:t xml:space="preserve">Titan007/V4</x:t>
        </x:is>
      </x:c>
      <x:c r="AY1385" s="604" t="inlineStr">
        <x:is>
          <x:t xml:space="preserve">Daily append；市场输入缺失时不生成决策</x:t>
        </x:is>
      </x:c>
    </x:row>
    <x:row r="1386" ht="22" customHeight="1">
      <x:c r="A1386" s="604" t="inlineStr">
        <x:is>
          <x:t xml:space="preserve">2026-10-09</x:t>
        </x:is>
      </x:c>
      <x:c r="B1386" s="604" t="inlineStr">
        <x:is>
          <x:t xml:space="preserve">2026-10-10T02:45:00+08:00</x:t>
        </x:is>
      </x:c>
      <x:c r="C1386" s="604" t="str">
        <x:v>欧洲非五大系列</x:v>
      </x:c>
      <x:c r="D1386" s="604" t="inlineStr">
        <x:is>
          <x:t xml:space="preserve"/>
        </x:is>
      </x:c>
      <x:c r="E1386" s="604" t="inlineStr">
        <x:is>
          <x:t xml:space="preserve">爱甲</x:t>
        </x:is>
      </x:c>
      <x:c r="F1386" s="604" t="inlineStr">
        <x:is>
          <x:t xml:space="preserve">科布漫步者 vs 凯里FC</x:t>
        </x:is>
      </x:c>
      <x:c r="G1386" s="604" t="n">
        <x:v>0.92</x:v>
      </x:c>
      <x:c r="H1386" s="604" t="n">
        <x:v>0.25</x:v>
      </x:c>
      <x:c r="I1386" s="604" t="n">
        <x:v>0.84</x:v>
      </x:c>
      <x:c r="J1386" s="604" t="inlineStr">
        <x:is>
          <x:t xml:space="preserve">0.92/0.25/0.84</x:t>
        </x:is>
      </x:c>
      <x:c r="K1386" s="604" t="inlineStr">
        <x:is>
          <x:t xml:space="preserve">V4-N</x:t>
        </x:is>
      </x:c>
      <x:c r="L1386" s="604" t="inlineStr">
        <x:is>
          <x:t xml:space="preserve"/>
        </x:is>
      </x:c>
      <x:c r="M1386" s="604" t="n">
        <x:v>0.444531347995379</x:v>
      </x:c>
      <x:c r="N1386" s="604" t="inlineStr">
        <x:is>
          <x:t xml:space="preserve">V4 Shadow Only；real_money=false</x:t>
        </x:is>
      </x:c>
      <x:c r="O1386" s="604" t="inlineStr">
        <x:is>
          <x:t xml:space="preserve">0-0</x:t>
        </x:is>
      </x:c>
      <x:c r="P1386" s="604" t="inlineStr">
        <x:is>
          <x:t xml:space="preserve">EVALUATED</x:t>
        </x:is>
      </x:c>
      <x:c r="Q1386" s="630" t="inlineStr">
        <x:is>
          <x:t xml:space="preserve"/>
        </x:is>
      </x:c>
      <x:c r="R1386" s="604" t="n"/>
      <x:c r="S1386" s="604" t="n"/>
      <x:c r="T1386" s="604" t="inlineStr">
        <x:is>
          <x:t xml:space="preserve">D:\codex\v3_legacy\outputs\football_odds_trader\raw\titan007\20261009\20261009_085232_titan007_odds_snapshot.csv</x:t>
        </x:is>
      </x:c>
      <x:c r="U1386" s="628" t="inlineStr">
        <x:is>
          <x:t xml:space="preserve"/>
        </x:is>
      </x:c>
      <x:c r="V1386" s="604" t="inlineStr">
        <x:is>
          <x:t xml:space="preserve"/>
        </x:is>
      </x:c>
      <x:c r="W1386" s="604" t="inlineStr">
        <x:is>
          <x:t xml:space="preserve"/>
        </x:is>
      </x:c>
      <x:c r="X1386" s="604" t="inlineStr">
        <x:is>
          <x:t xml:space="preserve">2939070</x:t>
        </x:is>
      </x:c>
      <x:c r="Y1386" s="604" t="inlineStr">
        <x:is>
          <x:t xml:space="preserve">V4</x:t>
        </x:is>
      </x:c>
      <x:c r="Z1386" s="604" t="inlineStr">
        <x:is>
          <x:t xml:space="preserve">prior-2026-10-09-v1</x:t>
        </x:is>
      </x:c>
      <x:c r="AA1386" s="604" t="inlineStr">
        <x:is>
          <x:t xml:space="preserve">N</x:t>
        </x:is>
      </x:c>
      <x:c r="AB1386" s="604" t="n">
        <x:v>0.444531347995379</x:v>
      </x:c>
      <x:c r="AC1386" s="604" t="n">
        <x:v>0.4253282754009806</x:v>
      </x:c>
      <x:c r="AD1386" s="604" t="n">
        <x:v>0.25</x:v>
      </x:c>
      <x:c r="AE1386" s="604" t="n"/>
      <x:c r="AF1386" s="604" t="n"/>
      <x:c r="AG1386" s="604" t="n">
        <x:v>-0.01635943524523192</x:v>
      </x:c>
      <x:c r="AH1386" s="604" t="n"/>
      <x:c r="AI1386" s="604" t="n"/>
      <x:c r="AJ1386" s="604" t="n">
        <x:v>-0.01635943524523192</x:v>
      </x:c>
      <x:c r="AK1386" s="604" t="n"/>
      <x:c r="AL1386" s="604" t="n"/>
      <x:c r="AM1386" s="604" t="n"/>
      <x:c r="AN1386" s="604" t="inlineStr">
        <x:is>
          <x:t xml:space="preserve">EVALUATED</x:t>
        </x:is>
      </x:c>
      <x:c r="AO1386" s="604" t="inlineStr">
        <x:is>
          <x:t xml:space="preserve">EDGE_BELOW_UNCERTAINTY_THRESHOLD;BUCKET_PRIOR_ONLY;INTENT_INTERPRETATION_ONLY;FFL_OPTIONAL;EXPERT_MARKET</x:t>
        </x:is>
      </x:c>
      <x:c r="AP1386" s="604" t="inlineStr">
        <x:is>
          <x:t xml:space="preserve">d9046f6f0607baae2b29</x:t>
        </x:is>
      </x:c>
      <x:c r="AQ1386" s="604" t="n"/>
      <x:c r="AR1386" s="604" t="n"/>
      <x:c r="AS1386" s="604" t="n">
        <x:v>0.25</x:v>
      </x:c>
      <x:c r="AT1386" s="604" t="n">
        <x:v>-0.25</x:v>
      </x:c>
      <x:c r="AU1386" s="604" t="n">
        <x:v>0.92</x:v>
      </x:c>
      <x:c r="AV1386" s="604" t="n">
        <x:v>0.84</x:v>
      </x:c>
      <x:c r="AW1386" s="604" t="inlineStr">
        <x:is>
          <x:t xml:space="preserve">2026-10-09T09:01:21.127001+08:00</x:t>
        </x:is>
      </x:c>
      <x:c r="AX1386" s="604" t="inlineStr">
        <x:is>
          <x:t xml:space="preserve">Titan007/V4</x:t>
        </x:is>
      </x:c>
      <x:c r="AY1386" s="604" t="inlineStr">
        <x:is>
          <x:t xml:space="preserve">Daily append；市场输入缺失时不生成决策</x:t>
        </x:is>
      </x:c>
    </x:row>
    <x:row r="1387" ht="22" customHeight="1">
      <x:c r="A1387" s="604" t="inlineStr">
        <x:is>
          <x:t xml:space="preserve">2026-10-09</x:t>
        </x:is>
      </x:c>
      <x:c r="B1387" s="604" t="inlineStr">
        <x:is>
          <x:t xml:space="preserve">2026-10-10T02:45:00+08:00</x:t>
        </x:is>
      </x:c>
      <x:c r="C1387" s="604" t="str">
        <x:v>欧洲非五大系列</x:v>
      </x:c>
      <x:c r="D1387" s="604" t="inlineStr">
        <x:is>
          <x:t xml:space="preserve"/>
        </x:is>
      </x:c>
      <x:c r="E1387" s="604" t="inlineStr">
        <x:is>
          <x:t xml:space="preserve">爱甲</x:t>
        </x:is>
      </x:c>
      <x:c r="F1387" s="604" t="inlineStr">
        <x:is>
          <x:t xml:space="preserve">科克城 vs 费恩哈普</x:t>
        </x:is>
      </x:c>
      <x:c r="G1387" s="604" t="n">
        <x:v>0.83</x:v>
      </x:c>
      <x:c r="H1387" s="604" t="n">
        <x:v>2.25</x:v>
      </x:c>
      <x:c r="I1387" s="604" t="n">
        <x:v>0.93</x:v>
      </x:c>
      <x:c r="J1387" s="604" t="inlineStr">
        <x:is>
          <x:t xml:space="preserve">0.83/2.25/0.93</x:t>
        </x:is>
      </x:c>
      <x:c r="K1387" s="604" t="inlineStr">
        <x:is>
          <x:t xml:space="preserve">V4-N</x:t>
        </x:is>
      </x:c>
      <x:c r="L1387" s="604" t="inlineStr">
        <x:is>
          <x:t xml:space="preserve"/>
        </x:is>
      </x:c>
      <x:c r="M1387" s="604" t="n">
        <x:v>0.5137015200185919</x:v>
      </x:c>
      <x:c r="N1387" s="604" t="inlineStr">
        <x:is>
          <x:t xml:space="preserve">V4 Shadow Only；real_money=false</x:t>
        </x:is>
      </x:c>
      <x:c r="O1387" s="604" t="inlineStr">
        <x:is>
          <x:t xml:space="preserve">0-0</x:t>
        </x:is>
      </x:c>
      <x:c r="P1387" s="604" t="inlineStr">
        <x:is>
          <x:t xml:space="preserve">EVALUATED</x:t>
        </x:is>
      </x:c>
      <x:c r="Q1387" s="630" t="inlineStr">
        <x:is>
          <x:t xml:space="preserve"/>
        </x:is>
      </x:c>
      <x:c r="R1387" s="604" t="n"/>
      <x:c r="S1387" s="604" t="n"/>
      <x:c r="T1387" s="604" t="inlineStr">
        <x:is>
          <x:t xml:space="preserve">D:\codex\v3_legacy\outputs\football_odds_trader\raw\titan007\20261009\20261009_085232_titan007_odds_snapshot.csv</x:t>
        </x:is>
      </x:c>
      <x:c r="U1387" s="628" t="inlineStr">
        <x:is>
          <x:t xml:space="preserve"/>
        </x:is>
      </x:c>
      <x:c r="V1387" s="604" t="inlineStr">
        <x:is>
          <x:t xml:space="preserve"/>
        </x:is>
      </x:c>
      <x:c r="W1387" s="604" t="inlineStr">
        <x:is>
          <x:t xml:space="preserve"/>
        </x:is>
      </x:c>
      <x:c r="X1387" s="604" t="inlineStr">
        <x:is>
          <x:t xml:space="preserve">2939071</x:t>
        </x:is>
      </x:c>
      <x:c r="Y1387" s="604" t="inlineStr">
        <x:is>
          <x:t xml:space="preserve">V4</x:t>
        </x:is>
      </x:c>
      <x:c r="Z1387" s="604" t="inlineStr">
        <x:is>
          <x:t xml:space="preserve">prior-2026-10-09-v1</x:t>
        </x:is>
      </x:c>
      <x:c r="AA1387" s="604" t="inlineStr">
        <x:is>
          <x:t xml:space="preserve">N</x:t>
        </x:is>
      </x:c>
      <x:c r="AB1387" s="604" t="n">
        <x:v>0.5137015200185919</x:v>
      </x:c>
      <x:c r="AC1387" s="604" t="n">
        <x:v>0.3678872802004055</x:v>
      </x:c>
      <x:c r="AD1387" s="604" t="n">
        <x:v>2.75</x:v>
      </x:c>
      <x:c r="AE1387" s="604" t="n"/>
      <x:c r="AF1387" s="604" t="n"/>
      <x:c r="AG1387" s="604" t="n">
        <x:v>0.05848498141502578</x:v>
      </x:c>
      <x:c r="AH1387" s="604" t="n"/>
      <x:c r="AI1387" s="604" t="n"/>
      <x:c r="AJ1387" s="604" t="n">
        <x:v>0.05848498141502578</x:v>
      </x:c>
      <x:c r="AK1387" s="604" t="n"/>
      <x:c r="AL1387" s="604" t="n"/>
      <x:c r="AM1387" s="604" t="n"/>
      <x:c r="AN1387" s="604" t="inlineStr">
        <x:is>
          <x:t xml:space="preserve">EVALUATED</x:t>
        </x:is>
      </x:c>
      <x:c r="AO1387" s="604" t="inlineStr">
        <x:is>
          <x:t xml:space="preserve">LOW_QUALITY_GATE;BUCKET_PRIOR_ONLY;INTENT_INTERPRETATION_ONLY;FFL_OPTIONAL;EXPERT_MARKET</x:t>
        </x:is>
      </x:c>
      <x:c r="AP1387" s="604" t="inlineStr">
        <x:is>
          <x:t xml:space="preserve">76c93a08cd9d038e4f12</x:t>
        </x:is>
      </x:c>
      <x:c r="AQ1387" s="604" t="n"/>
      <x:c r="AR1387" s="604" t="n"/>
      <x:c r="AS1387" s="604" t="n">
        <x:v>2.25</x:v>
      </x:c>
      <x:c r="AT1387" s="604" t="n">
        <x:v>-2.25</x:v>
      </x:c>
      <x:c r="AU1387" s="604" t="n">
        <x:v>0.83</x:v>
      </x:c>
      <x:c r="AV1387" s="604" t="n">
        <x:v>0.93</x:v>
      </x:c>
      <x:c r="AW1387" s="604" t="inlineStr">
        <x:is>
          <x:t xml:space="preserve">2026-10-09T09:01:21.127001+08:00</x:t>
        </x:is>
      </x:c>
      <x:c r="AX1387" s="604" t="inlineStr">
        <x:is>
          <x:t xml:space="preserve">Titan007/V4</x:t>
        </x:is>
      </x:c>
      <x:c r="AY1387" s="604" t="inlineStr">
        <x:is>
          <x:t xml:space="preserve">Daily append；市场输入缺失时不生成决策</x:t>
        </x:is>
      </x:c>
    </x:row>
    <x:row r="1388" ht="22" customHeight="1">
      <x:c r="A1388" s="604" t="inlineStr">
        <x:is>
          <x:t xml:space="preserve">2026-10-09</x:t>
        </x:is>
      </x:c>
      <x:c r="B1388" s="604" t="inlineStr">
        <x:is>
          <x:t xml:space="preserve">2026-10-10T02:45:00+08:00</x:t>
        </x:is>
      </x:c>
      <x:c r="C1388" s="604" t="str">
        <x:v>欧洲非五大系列</x:v>
      </x:c>
      <x:c r="D1388" s="604" t="inlineStr">
        <x:is>
          <x:t xml:space="preserve"/>
        </x:is>
      </x:c>
      <x:c r="E1388" s="604" t="inlineStr">
        <x:is>
          <x:t xml:space="preserve">爱甲</x:t>
        </x:is>
      </x:c>
      <x:c r="F1388" s="604" t="inlineStr">
        <x:is>
          <x:t xml:space="preserve">都柏林大学 vs 朗福德城</x:t>
        </x:is>
      </x:c>
      <x:c r="G1388" s="604" t="n">
        <x:v>0.87</x:v>
      </x:c>
      <x:c r="H1388" s="604" t="n">
        <x:v>0.75</x:v>
      </x:c>
      <x:c r="I1388" s="604" t="n">
        <x:v>0.89</x:v>
      </x:c>
      <x:c r="J1388" s="604" t="inlineStr">
        <x:is>
          <x:t xml:space="preserve">0.87/0.75/0.89</x:t>
        </x:is>
      </x:c>
      <x:c r="K1388" s="604" t="inlineStr">
        <x:is>
          <x:t xml:space="preserve">V4-N</x:t>
        </x:is>
      </x:c>
      <x:c r="L1388" s="604" t="inlineStr">
        <x:is>
          <x:t xml:space="preserve"/>
        </x:is>
      </x:c>
      <x:c r="M1388" s="604" t="n">
        <x:v>0.4910638172141379</x:v>
      </x:c>
      <x:c r="N1388" s="604" t="inlineStr">
        <x:is>
          <x:t xml:space="preserve">V4 Shadow Only；real_money=false</x:t>
        </x:is>
      </x:c>
      <x:c r="O1388" s="604" t="inlineStr">
        <x:is>
          <x:t xml:space="preserve">0-0</x:t>
        </x:is>
      </x:c>
      <x:c r="P1388" s="604" t="inlineStr">
        <x:is>
          <x:t xml:space="preserve">EVALUATED</x:t>
        </x:is>
      </x:c>
      <x:c r="Q1388" s="630" t="inlineStr">
        <x:is>
          <x:t xml:space="preserve"/>
        </x:is>
      </x:c>
      <x:c r="R1388" s="604" t="n"/>
      <x:c r="S1388" s="604" t="n"/>
      <x:c r="T1388" s="604" t="inlineStr">
        <x:is>
          <x:t xml:space="preserve">D:\codex\v3_legacy\outputs\football_odds_trader\raw\titan007\20261009\20261009_085232_titan007_odds_snapshot.csv</x:t>
        </x:is>
      </x:c>
      <x:c r="U1388" s="628" t="inlineStr">
        <x:is>
          <x:t xml:space="preserve"/>
        </x:is>
      </x:c>
      <x:c r="V1388" s="604" t="inlineStr">
        <x:is>
          <x:t xml:space="preserve"/>
        </x:is>
      </x:c>
      <x:c r="W1388" s="604" t="inlineStr">
        <x:is>
          <x:t xml:space="preserve"/>
        </x:is>
      </x:c>
      <x:c r="X1388" s="604" t="inlineStr">
        <x:is>
          <x:t xml:space="preserve">2939072</x:t>
        </x:is>
      </x:c>
      <x:c r="Y1388" s="604" t="inlineStr">
        <x:is>
          <x:t xml:space="preserve">V4</x:t>
        </x:is>
      </x:c>
      <x:c r="Z1388" s="604" t="inlineStr">
        <x:is>
          <x:t xml:space="preserve">prior-2026-10-09-v1</x:t>
        </x:is>
      </x:c>
      <x:c r="AA1388" s="604" t="inlineStr">
        <x:is>
          <x:t xml:space="preserve">N</x:t>
        </x:is>
      </x:c>
      <x:c r="AB1388" s="604" t="n">
        <x:v>0.4910638172141379</x:v>
      </x:c>
      <x:c r="AC1388" s="604" t="n">
        <x:v>0.3814574760888081</x:v>
      </x:c>
      <x:c r="AD1388" s="604" t="n">
        <x:v>1</x:v>
      </x:c>
      <x:c r="AE1388" s="604" t="n"/>
      <x:c r="AF1388" s="604" t="n"/>
      <x:c r="AG1388" s="604" t="n">
        <x:v>0.04576804488749187</x:v>
      </x:c>
      <x:c r="AH1388" s="604" t="n"/>
      <x:c r="AI1388" s="604" t="n"/>
      <x:c r="AJ1388" s="604" t="n">
        <x:v>0.04576804488749187</x:v>
      </x:c>
      <x:c r="AK1388" s="604" t="n"/>
      <x:c r="AL1388" s="604" t="n"/>
      <x:c r="AM1388" s="604" t="n"/>
      <x:c r="AN1388" s="604" t="inlineStr">
        <x:is>
          <x:t xml:space="preserve">EVALUATED</x:t>
        </x:is>
      </x:c>
      <x:c r="AO1388" s="604" t="inlineStr">
        <x:is>
          <x:t xml:space="preserve">EDGE_BELOW_UNCERTAINTY_THRESHOLD;BUCKET_PRIOR_ONLY;INTENT_INTERPRETATION_ONLY;FFL_OPTIONAL;EXPERT_MARKET</x:t>
        </x:is>
      </x:c>
      <x:c r="AP1388" s="604" t="inlineStr">
        <x:is>
          <x:t xml:space="preserve">441864e4440ca7fc8868</x:t>
        </x:is>
      </x:c>
      <x:c r="AQ1388" s="604" t="n"/>
      <x:c r="AR1388" s="604" t="n"/>
      <x:c r="AS1388" s="604" t="n">
        <x:v>0.75</x:v>
      </x:c>
      <x:c r="AT1388" s="604" t="n">
        <x:v>-0.75</x:v>
      </x:c>
      <x:c r="AU1388" s="604" t="n">
        <x:v>0.87</x:v>
      </x:c>
      <x:c r="AV1388" s="604" t="n">
        <x:v>0.89</x:v>
      </x:c>
      <x:c r="AW1388" s="604" t="inlineStr">
        <x:is>
          <x:t xml:space="preserve">2026-10-09T09:01:21.127001+08:00</x:t>
        </x:is>
      </x:c>
      <x:c r="AX1388" s="604" t="inlineStr">
        <x:is>
          <x:t xml:space="preserve">Titan007/V4</x:t>
        </x:is>
      </x:c>
      <x:c r="AY1388" s="604" t="inlineStr">
        <x:is>
          <x:t xml:space="preserve">Daily append；市场输入缺失时不生成决策</x:t>
        </x:is>
      </x:c>
    </x:row>
    <x:row r="1389" ht="22" customHeight="1">
      <x:c r="A1389" s="604" t="inlineStr">
        <x:is>
          <x:t xml:space="preserve">2026-10-09</x:t>
        </x:is>
      </x:c>
      <x:c r="B1389" s="604" t="inlineStr">
        <x:is>
          <x:t xml:space="preserve">2026-10-09T13:00:00+08:00</x:t>
        </x:is>
      </x:c>
      <x:c r="C1389" s="604" t="str">
        <x:v>日韩系列</x:v>
      </x:c>
      <x:c r="D1389" s="604" t="inlineStr">
        <x:is>
          <x:t xml:space="preserve">韓K3聯</x:t>
        </x:is>
      </x:c>
      <x:c r="E1389" s="604" t="inlineStr">
        <x:is>
          <x:t xml:space="preserve">韩K3联</x:t>
        </x:is>
      </x:c>
      <x:c r="F1389" s="604" t="inlineStr">
        <x:is>
          <x:t xml:space="preserve">杨平 vs 蔚山市民</x:t>
        </x:is>
      </x:c>
      <x:c r="G1389" s="604" t="n">
        <x:v>0.87</x:v>
      </x:c>
      <x:c r="H1389" s="604" t="n">
        <x:v>0</x:v>
      </x:c>
      <x:c r="I1389" s="604" t="n">
        <x:v>0.83</x:v>
      </x:c>
      <x:c r="J1389" s="604" t="inlineStr">
        <x:is>
          <x:t xml:space="preserve">0.87/0.0/0.83</x:t>
        </x:is>
      </x:c>
      <x:c r="K1389" s="604" t="inlineStr">
        <x:is>
          <x:t xml:space="preserve">V4-N</x:t>
        </x:is>
      </x:c>
      <x:c r="L1389" s="604" t="inlineStr">
        <x:is>
          <x:t xml:space="preserve"/>
        </x:is>
      </x:c>
      <x:c r="M1389" s="604" t="n"/>
      <x:c r="N1389" s="604" t="inlineStr">
        <x:is>
          <x:t xml:space="preserve">V4 Shadow Only；real_money=false</x:t>
        </x:is>
      </x:c>
      <x:c r="O1389" s="604" t="inlineStr">
        <x:is>
          <x:t xml:space="preserve">0-0</x:t>
        </x:is>
      </x:c>
      <x:c r="P1389" s="604" t="inlineStr">
        <x:is>
          <x:t xml:space="preserve">NEUTRAL</x:t>
        </x:is>
      </x:c>
      <x:c r="Q1389" s="630" t="inlineStr">
        <x:is>
          <x:t xml:space="preserve"/>
        </x:is>
      </x:c>
      <x:c r="R1389" s="604" t="n"/>
      <x:c r="S1389" s="604" t="n"/>
      <x:c r="T1389" s="604" t="inlineStr">
        <x:is>
          <x:t xml:space="preserve">D:\codex\v3_legacy\outputs\football_odds_trader\raw\titan007\20261009\20261009_085232_titan007_odds_snapshot.csv</x:t>
        </x:is>
      </x:c>
      <x:c r="U1389" s="628" t="inlineStr">
        <x:is>
          <x:t xml:space="preserve"/>
        </x:is>
      </x:c>
      <x:c r="V1389" s="604" t="inlineStr">
        <x:is>
          <x:t xml:space="preserve"/>
        </x:is>
      </x:c>
      <x:c r="W1389" s="604" t="inlineStr">
        <x:is>
          <x:t xml:space="preserve"/>
        </x:is>
      </x:c>
      <x:c r="X1389" s="604" t="inlineStr">
        <x:is>
          <x:t xml:space="preserve">2940448</x:t>
        </x:is>
      </x:c>
      <x:c r="Y1389" s="604" t="inlineStr">
        <x:is>
          <x:t xml:space="preserve">V4</x:t>
        </x:is>
      </x:c>
      <x:c r="Z1389" s="604" t="inlineStr">
        <x:is>
          <x:t xml:space="preserve">prior-2026-10-09-v1</x:t>
        </x:is>
      </x:c>
      <x:c r="AA1389" s="604" t="inlineStr">
        <x:is>
          <x:t xml:space="preserve">N</x:t>
        </x:is>
      </x:c>
      <x:c r="AB1389" s="604" t="n"/>
      <x:c r="AC1389" s="604" t="n"/>
      <x:c r="AD1389" s="604" t="n"/>
      <x:c r="AE1389" s="604" t="n"/>
      <x:c r="AF1389" s="604" t="n"/>
      <x:c r="AG1389" s="604" t="n"/>
      <x:c r="AH1389" s="604" t="n"/>
      <x:c r="AI1389" s="604" t="n"/>
      <x:c r="AJ1389" s="604" t="n"/>
      <x:c r="AK1389" s="604" t="n"/>
      <x:c r="AL1389" s="604" t="n"/>
      <x:c r="AM1389" s="604" t="n"/>
      <x:c r="AN1389" s="604" t="inlineStr">
        <x:is>
          <x:t xml:space="preserve">NEUTRAL</x:t>
        </x:is>
      </x:c>
      <x:c r="AO1389" s="604" t="inlineStr">
        <x:is>
          <x:t xml:space="preserve">PK_NO_GIVING_RECEIVING_IDENTITY</x:t>
        </x:is>
      </x:c>
      <x:c r="AP1389" s="604" t="inlineStr">
        <x:is>
          <x:t xml:space="preserve">bdbe2ee0576376564044</x:t>
        </x:is>
      </x:c>
      <x:c r="AQ1389" s="604" t="n"/>
      <x:c r="AR1389" s="604" t="n"/>
      <x:c r="AS1389" s="604" t="n"/>
      <x:c r="AT1389" s="604" t="n"/>
      <x:c r="AU1389" s="604" t="n"/>
      <x:c r="AV1389" s="604" t="n"/>
      <x:c r="AW1389" s="604" t="inlineStr">
        <x:is>
          <x:t xml:space="preserve">2026-10-09T09:01:21.127001+08:00</x:t>
        </x:is>
      </x:c>
      <x:c r="AX1389" s="604" t="inlineStr">
        <x:is>
          <x:t xml:space="preserve">Titan007/V4</x:t>
        </x:is>
      </x:c>
      <x:c r="AY1389" s="604" t="inlineStr">
        <x:is>
          <x:t xml:space="preserve">Daily append；市场输入缺失时不生成决策</x:t>
        </x:is>
      </x:c>
    </x:row>
    <x:row r="1390" ht="22" customHeight="1">
      <x:c r="A1390" s="604" t="inlineStr">
        <x:is>
          <x:t xml:space="preserve">2026-10-09</x:t>
        </x:is>
      </x:c>
      <x:c r="B1390" s="604" t="inlineStr">
        <x:is>
          <x:t xml:space="preserve">2026-10-10T00:30:00+08:00</x:t>
        </x:is>
      </x:c>
      <x:c r="C1390" s="604" t="str">
        <x:v>欧洲非五大系列</x:v>
      </x:c>
      <x:c r="D1390" s="604" t="inlineStr">
        <x:is>
          <x:t xml:space="preserve"/>
        </x:is>
      </x:c>
      <x:c r="E1390" s="604" t="inlineStr">
        <x:is>
          <x:t xml:space="preserve">爱沙乙</x:t>
        </x:is>
      </x:c>
      <x:c r="F1390" s="604" t="inlineStr">
        <x:is>
          <x:t xml:space="preserve">威克伊勒特 vs 爱尔华</x:t>
        </x:is>
      </x:c>
      <x:c r="G1390" s="604" t="n">
        <x:v>0.8100000000000001</x:v>
      </x:c>
      <x:c r="H1390" s="604" t="n">
        <x:v>0.75</x:v>
      </x:c>
      <x:c r="I1390" s="604" t="n">
        <x:v>0.97</x:v>
      </x:c>
      <x:c r="J1390" s="604" t="inlineStr">
        <x:is>
          <x:t xml:space="preserve">0.81/0.75/0.97</x:t>
        </x:is>
      </x:c>
      <x:c r="K1390" s="604" t="inlineStr">
        <x:is>
          <x:t xml:space="preserve">V4-N</x:t>
        </x:is>
      </x:c>
      <x:c r="L1390" s="604" t="inlineStr">
        <x:is>
          <x:t xml:space="preserve"/>
        </x:is>
      </x:c>
      <x:c r="M1390" s="604" t="n">
        <x:v>0.5041317753911252</x:v>
      </x:c>
      <x:c r="N1390" s="604" t="inlineStr">
        <x:is>
          <x:t xml:space="preserve">V4 Shadow Only；real_money=false</x:t>
        </x:is>
      </x:c>
      <x:c r="O1390" s="604" t="inlineStr">
        <x:is>
          <x:t xml:space="preserve">0-0</x:t>
        </x:is>
      </x:c>
      <x:c r="P1390" s="604" t="inlineStr">
        <x:is>
          <x:t xml:space="preserve">EVALUATED</x:t>
        </x:is>
      </x:c>
      <x:c r="Q1390" s="630" t="inlineStr">
        <x:is>
          <x:t xml:space="preserve"/>
        </x:is>
      </x:c>
      <x:c r="R1390" s="604" t="n"/>
      <x:c r="S1390" s="604" t="n"/>
      <x:c r="T1390" s="604" t="inlineStr">
        <x:is>
          <x:t xml:space="preserve">D:\codex\v3_legacy\outputs\football_odds_trader\raw\titan007\20261009\20261009_085232_titan007_odds_snapshot.csv</x:t>
        </x:is>
      </x:c>
      <x:c r="U1390" s="628" t="inlineStr">
        <x:is>
          <x:t xml:space="preserve"/>
        </x:is>
      </x:c>
      <x:c r="V1390" s="604" t="inlineStr">
        <x:is>
          <x:t xml:space="preserve"/>
        </x:is>
      </x:c>
      <x:c r="W1390" s="604" t="inlineStr">
        <x:is>
          <x:t xml:space="preserve"/>
        </x:is>
      </x:c>
      <x:c r="X1390" s="604" t="inlineStr">
        <x:is>
          <x:t xml:space="preserve">2941114</x:t>
        </x:is>
      </x:c>
      <x:c r="Y1390" s="604" t="inlineStr">
        <x:is>
          <x:t xml:space="preserve">V4</x:t>
        </x:is>
      </x:c>
      <x:c r="Z1390" s="604" t="inlineStr">
        <x:is>
          <x:t xml:space="preserve">prior-2026-10-09-v1</x:t>
        </x:is>
      </x:c>
      <x:c r="AA1390" s="604" t="inlineStr">
        <x:is>
          <x:t xml:space="preserve">N</x:t>
        </x:is>
      </x:c>
      <x:c r="AB1390" s="604" t="n">
        <x:v>0.5041317753911252</x:v>
      </x:c>
      <x:c r="AC1390" s="604" t="n">
        <x:v>0.3684963912028526</x:v>
      </x:c>
      <x:c r="AD1390" s="604" t="n">
        <x:v>1</x:v>
      </x:c>
      <x:c r="AE1390" s="604" t="n"/>
      <x:c r="AF1390" s="604" t="n"/>
      <x:c r="AG1390" s="604" t="n">
        <x:v>0.03985034686395883</x:v>
      </x:c>
      <x:c r="AH1390" s="604" t="n"/>
      <x:c r="AI1390" s="604" t="n"/>
      <x:c r="AJ1390" s="604" t="n">
        <x:v>0.03985034686395883</x:v>
      </x:c>
      <x:c r="AK1390" s="604" t="n"/>
      <x:c r="AL1390" s="604" t="n"/>
      <x:c r="AM1390" s="604" t="n"/>
      <x:c r="AN1390" s="604" t="inlineStr">
        <x:is>
          <x:t xml:space="preserve">EVALUATED</x:t>
        </x:is>
      </x:c>
      <x:c r="AO1390" s="604" t="inlineStr">
        <x:is>
          <x:t xml:space="preserve">EDGE_BELOW_UNCERTAINTY_THRESHOLD;BUCKET_PRIOR_ONLY;INTENT_INTERPRETATION_ONLY;FFL_OPTIONAL;EXPERT_MARKET</x:t>
        </x:is>
      </x:c>
      <x:c r="AP1390" s="604" t="inlineStr">
        <x:is>
          <x:t xml:space="preserve">1db8d7efb01cc891fffa</x:t>
        </x:is>
      </x:c>
      <x:c r="AQ1390" s="604" t="n"/>
      <x:c r="AR1390" s="604" t="n"/>
      <x:c r="AS1390" s="604" t="n">
        <x:v>0.75</x:v>
      </x:c>
      <x:c r="AT1390" s="604" t="n">
        <x:v>-0.75</x:v>
      </x:c>
      <x:c r="AU1390" s="604" t="n">
        <x:v>0.8100000000000001</x:v>
      </x:c>
      <x:c r="AV1390" s="604" t="n">
        <x:v>0.97</x:v>
      </x:c>
      <x:c r="AW1390" s="604" t="inlineStr">
        <x:is>
          <x:t xml:space="preserve">2026-10-09T09:01:21.127001+08:00</x:t>
        </x:is>
      </x:c>
      <x:c r="AX1390" s="604" t="inlineStr">
        <x:is>
          <x:t xml:space="preserve">Titan007/V4</x:t>
        </x:is>
      </x:c>
      <x:c r="AY1390" s="604" t="inlineStr">
        <x:is>
          <x:t xml:space="preserve">Daily append；市场输入缺失时不生成决策</x:t>
        </x:is>
      </x:c>
    </x:row>
    <x:row r="1391" ht="22" customHeight="1">
      <x:c r="A1391" s="604" t="inlineStr">
        <x:is>
          <x:t xml:space="preserve">2026-10-09</x:t>
        </x:is>
      </x:c>
      <x:c r="B1391" s="604" t="inlineStr">
        <x:is>
          <x:t xml:space="preserve">2026-10-09T23:00:00+08:00</x:t>
        </x:is>
      </x:c>
      <x:c r="C1391" s="604" t="str">
        <x:v>欧洲非五大系列</x:v>
      </x:c>
      <x:c r="D1391" s="604" t="inlineStr">
        <x:is>
          <x:t xml:space="preserve"/>
        </x:is>
      </x:c>
      <x:c r="E1391" s="604" t="inlineStr">
        <x:is>
          <x:t xml:space="preserve">爱沙乙</x:t>
        </x:is>
      </x:c>
      <x:c r="F1391" s="604" t="inlineStr">
        <x:is>
          <x:t xml:space="preserve">诺梅联合U21 vs 塔林利华戴亚B队</x:t>
        </x:is>
      </x:c>
      <x:c r="G1391" s="604" t="n">
        <x:v>0.98</x:v>
      </x:c>
      <x:c r="H1391" s="604" t="n">
        <x:v>0.25</x:v>
      </x:c>
      <x:c r="I1391" s="604" t="n">
        <x:v>0.83</x:v>
      </x:c>
      <x:c r="J1391" s="604" t="inlineStr">
        <x:is>
          <x:t xml:space="preserve">0.98/0.25/0.83</x:t>
        </x:is>
      </x:c>
      <x:c r="K1391" s="604" t="inlineStr">
        <x:is>
          <x:t xml:space="preserve">V4-N</x:t>
        </x:is>
      </x:c>
      <x:c r="L1391" s="604" t="inlineStr">
        <x:is>
          <x:t xml:space="preserve"/>
        </x:is>
      </x:c>
      <x:c r="M1391" s="604" t="n">
        <x:v>0.4196478555255763</x:v>
      </x:c>
      <x:c r="N1391" s="604" t="inlineStr">
        <x:is>
          <x:t xml:space="preserve">V4 Shadow Only；real_money=false</x:t>
        </x:is>
      </x:c>
      <x:c r="O1391" s="604" t="inlineStr">
        <x:is>
          <x:t xml:space="preserve">0-0</x:t>
        </x:is>
      </x:c>
      <x:c r="P1391" s="604" t="inlineStr">
        <x:is>
          <x:t xml:space="preserve">EVALUATED</x:t>
        </x:is>
      </x:c>
      <x:c r="Q1391" s="630" t="inlineStr">
        <x:is>
          <x:t xml:space="preserve"/>
        </x:is>
      </x:c>
      <x:c r="R1391" s="604" t="n"/>
      <x:c r="S1391" s="604" t="n"/>
      <x:c r="T1391" s="604" t="inlineStr">
        <x:is>
          <x:t xml:space="preserve">D:\codex\v3_legacy\outputs\football_odds_trader\raw\titan007\20261009\20261009_085232_titan007_odds_snapshot.csv</x:t>
        </x:is>
      </x:c>
      <x:c r="U1391" s="628" t="inlineStr">
        <x:is>
          <x:t xml:space="preserve"/>
        </x:is>
      </x:c>
      <x:c r="V1391" s="604" t="inlineStr">
        <x:is>
          <x:t xml:space="preserve"/>
        </x:is>
      </x:c>
      <x:c r="W1391" s="604" t="inlineStr">
        <x:is>
          <x:t xml:space="preserve"/>
        </x:is>
      </x:c>
      <x:c r="X1391" s="604" t="inlineStr">
        <x:is>
          <x:t xml:space="preserve">2941118</x:t>
        </x:is>
      </x:c>
      <x:c r="Y1391" s="604" t="inlineStr">
        <x:is>
          <x:t xml:space="preserve">V4</x:t>
        </x:is>
      </x:c>
      <x:c r="Z1391" s="604" t="inlineStr">
        <x:is>
          <x:t xml:space="preserve">prior-2026-10-09-v1</x:t>
        </x:is>
      </x:c>
      <x:c r="AA1391" s="604" t="inlineStr">
        <x:is>
          <x:t xml:space="preserve">N</x:t>
        </x:is>
      </x:c>
      <x:c r="AB1391" s="604" t="n">
        <x:v>0.4196478555255763</x:v>
      </x:c>
      <x:c r="AC1391" s="604" t="n">
        <x:v>0.4507193244027053</x:v>
      </x:c>
      <x:c r="AD1391" s="604" t="n">
        <x:v>0.25</x:v>
      </x:c>
      <x:c r="AE1391" s="604" t="n"/>
      <x:c r="AF1391" s="604" t="n"/>
      <x:c r="AG1391" s="604" t="n">
        <x:v>-0.03946442598764055</x:v>
      </x:c>
      <x:c r="AH1391" s="604" t="n"/>
      <x:c r="AI1391" s="604" t="n"/>
      <x:c r="AJ1391" s="604" t="n">
        <x:v>-0.03946442598764055</x:v>
      </x:c>
      <x:c r="AK1391" s="604" t="n"/>
      <x:c r="AL1391" s="604" t="n"/>
      <x:c r="AM1391" s="604" t="n"/>
      <x:c r="AN1391" s="604" t="inlineStr">
        <x:is>
          <x:t xml:space="preserve">EVALUATED</x:t>
        </x:is>
      </x:c>
      <x:c r="AO1391" s="604" t="inlineStr">
        <x:is>
          <x:t xml:space="preserve">EDGE_BELOW_UNCERTAINTY_THRESHOLD;BUCKET_PRIOR_ONLY;INTENT_INTERPRETATION_ONLY;FFL_OPTIONAL;EXPERT_MARKET</x:t>
        </x:is>
      </x:c>
      <x:c r="AP1391" s="604" t="inlineStr">
        <x:is>
          <x:t xml:space="preserve">e315191b11cc6e78fa97</x:t>
        </x:is>
      </x:c>
      <x:c r="AQ1391" s="604" t="n"/>
      <x:c r="AR1391" s="604" t="n"/>
      <x:c r="AS1391" s="604" t="n">
        <x:v>0.25</x:v>
      </x:c>
      <x:c r="AT1391" s="604" t="n">
        <x:v>-0.25</x:v>
      </x:c>
      <x:c r="AU1391" s="604" t="n">
        <x:v>0.98</x:v>
      </x:c>
      <x:c r="AV1391" s="604" t="n">
        <x:v>0.83</x:v>
      </x:c>
      <x:c r="AW1391" s="604" t="inlineStr">
        <x:is>
          <x:t xml:space="preserve">2026-10-09T09:01:21.127001+08:00</x:t>
        </x:is>
      </x:c>
      <x:c r="AX1391" s="604" t="inlineStr">
        <x:is>
          <x:t xml:space="preserve">Titan007/V4</x:t>
        </x:is>
      </x:c>
      <x:c r="AY1391" s="604" t="inlineStr">
        <x:is>
          <x:t xml:space="preserve">Daily append；市场输入缺失时不生成决策</x:t>
        </x:is>
      </x:c>
    </x:row>
    <x:row r="1392" ht="22" customHeight="1">
      <x:c r="A1392" s="604" t="inlineStr">
        <x:is>
          <x:t xml:space="preserve">2026-10-09</x:t>
        </x:is>
      </x:c>
      <x:c r="B1392" s="604" t="inlineStr">
        <x:is>
          <x:t xml:space="preserve">2026-10-10T07:30:00+08:00</x:t>
        </x:is>
      </x:c>
      <x:c r="C1392" s="604" t="str">
        <x:v>北美系列</x:v>
      </x:c>
      <x:c r="D1392" s="604" t="inlineStr">
        <x:is>
          <x:t xml:space="preserve"/>
        </x:is>
      </x:c>
      <x:c r="E1392" s="604" t="inlineStr">
        <x:is>
          <x:t xml:space="preserve">美冠联</x:t>
        </x:is>
      </x:c>
      <x:c r="F1392" s="604" t="inlineStr">
        <x:is>
          <x:t xml:space="preserve">列克星敦 vs 塔尔萨FC</x:t>
        </x:is>
      </x:c>
      <x:c r="G1392" s="604" t="n">
        <x:v>0.91</x:v>
      </x:c>
      <x:c r="H1392" s="604" t="n">
        <x:v>0.75</x:v>
      </x:c>
      <x:c r="I1392" s="604" t="n">
        <x:v>0.91</x:v>
      </x:c>
      <x:c r="J1392" s="604" t="inlineStr">
        <x:is>
          <x:t xml:space="preserve">0.91/0.75/0.91</x:t>
        </x:is>
      </x:c>
      <x:c r="K1392" s="604" t="inlineStr">
        <x:is>
          <x:t xml:space="preserve">V4-B</x:t>
        </x:is>
      </x:c>
      <x:c r="L1392" s="604" t="inlineStr">
        <x:is>
          <x:t xml:space="preserve">列克星敦</x:t>
        </x:is>
      </x:c>
      <x:c r="M1392" s="604" t="n">
        <x:v>0.5115208890780467</x:v>
      </x:c>
      <x:c r="N1392" s="604" t="inlineStr">
        <x:is>
          <x:t xml:space="preserve">V4 Shadow Only；real_money=false</x:t>
        </x:is>
      </x:c>
      <x:c r="O1392" s="604" t="inlineStr">
        <x:is>
          <x:t xml:space="preserve">0-0</x:t>
        </x:is>
      </x:c>
      <x:c r="P1392" s="604" t="inlineStr">
        <x:is>
          <x:t xml:space="preserve">EVALUATED</x:t>
        </x:is>
      </x:c>
      <x:c r="Q1392" s="630" t="inlineStr">
        <x:is>
          <x:t xml:space="preserve"/>
        </x:is>
      </x:c>
      <x:c r="R1392" s="604" t="n">
        <x:v>0.91</x:v>
      </x:c>
      <x:c r="S1392" s="604" t="n"/>
      <x:c r="T1392" s="604" t="inlineStr">
        <x:is>
          <x:t xml:space="preserve">D:\codex\v3_legacy\outputs\football_odds_trader\raw\titan007\20261009\20261009_085232_titan007_odds_snapshot.csv</x:t>
        </x:is>
      </x:c>
      <x:c r="U1392" s="628" t="inlineStr">
        <x:is>
          <x:t xml:space="preserve"/>
        </x:is>
      </x:c>
      <x:c r="V1392" s="604" t="inlineStr">
        <x:is>
          <x:t xml:space="preserve"/>
        </x:is>
      </x:c>
      <x:c r="W1392" s="604" t="inlineStr">
        <x:is>
          <x:t xml:space="preserve"/>
        </x:is>
      </x:c>
      <x:c r="X1392" s="604" t="inlineStr">
        <x:is>
          <x:t xml:space="preserve">2942660</x:t>
        </x:is>
      </x:c>
      <x:c r="Y1392" s="604" t="inlineStr">
        <x:is>
          <x:t xml:space="preserve">V4</x:t>
        </x:is>
      </x:c>
      <x:c r="Z1392" s="604" t="inlineStr">
        <x:is>
          <x:t xml:space="preserve">prior-2026-10-09-v1</x:t>
        </x:is>
      </x:c>
      <x:c r="AA1392" s="604" t="inlineStr">
        <x:is>
          <x:t xml:space="preserve">B</x:t>
        </x:is>
      </x:c>
      <x:c r="AB1392" s="604" t="n">
        <x:v>0.5115208890780467</x:v>
      </x:c>
      <x:c r="AC1392" s="604" t="n">
        <x:v>0.3600931728745038</x:v>
      </x:c>
      <x:c r="AD1392" s="604" t="n">
        <x:v>1</x:v>
      </x:c>
      <x:c r="AE1392" s="604" t="n"/>
      <x:c r="AF1392" s="604" t="n"/>
      <x:c r="AG1392" s="604" t="n">
        <x:v>0.1053908361865187</x:v>
      </x:c>
      <x:c r="AH1392" s="604" t="n"/>
      <x:c r="AI1392" s="604" t="n"/>
      <x:c r="AJ1392" s="604" t="n">
        <x:v>0.1053908361865187</x:v>
      </x:c>
      <x:c r="AK1392" s="604" t="n"/>
      <x:c r="AL1392" s="604" t="n"/>
      <x:c r="AM1392" s="604" t="n"/>
      <x:c r="AN1392" s="604" t="inlineStr">
        <x:is>
          <x:t xml:space="preserve">EVALUATED</x:t>
        </x:is>
      </x:c>
      <x:c r="AO1392" s="604" t="inlineStr">
        <x:is>
          <x:t xml:space="preserve">GIVING_VALIDATED_EDGE;BUCKET_PRIOR_ONLY;INTENT_INTERPRETATION_ONLY;FFL_OPTIONAL;EXPERT_MARKET</x:t>
        </x:is>
      </x:c>
      <x:c r="AP1392" s="604" t="inlineStr">
        <x:is>
          <x:t xml:space="preserve">8c361192f62c8b202be5</x:t>
        </x:is>
      </x:c>
      <x:c r="AQ1392" s="604" t="n">
        <x:v>-0.75</x:v>
      </x:c>
      <x:c r="AR1392" s="604" t="n">
        <x:v>0.91</x:v>
      </x:c>
      <x:c r="AS1392" s="604" t="n">
        <x:v>0.75</x:v>
      </x:c>
      <x:c r="AT1392" s="604" t="n">
        <x:v>-0.75</x:v>
      </x:c>
      <x:c r="AU1392" s="604" t="n">
        <x:v>0.91</x:v>
      </x:c>
      <x:c r="AV1392" s="604" t="n">
        <x:v>0.91</x:v>
      </x:c>
      <x:c r="AW1392" s="604" t="inlineStr">
        <x:is>
          <x:t xml:space="preserve">2026-10-09T09:01:21.127001+08:00</x:t>
        </x:is>
      </x:c>
      <x:c r="AX1392" s="604" t="inlineStr">
        <x:is>
          <x:t xml:space="preserve">Titan007/V4</x:t>
        </x:is>
      </x:c>
      <x:c r="AY1392" s="604" t="inlineStr">
        <x:is>
          <x:t xml:space="preserve">Daily append；市场输入缺失时不生成决策</x:t>
        </x:is>
      </x:c>
    </x:row>
    <x:row r="1393" ht="22" customHeight="1">
      <x:c r="A1393" s="604" t="inlineStr">
        <x:is>
          <x:t xml:space="preserve">2026-10-09</x:t>
        </x:is>
      </x:c>
      <x:c r="B1393" s="604" t="inlineStr">
        <x:is>
          <x:t xml:space="preserve">2026-10-09T19:35:00+08:00</x:t>
        </x:is>
      </x:c>
      <x:c r="C1393" s="604" t="str">
        <x:v>日韩系列</x:v>
      </x:c>
      <x:c r="D1393" s="604" t="inlineStr">
        <x:is>
          <x:t xml:space="preserve"/>
        </x:is>
      </x:c>
      <x:c r="E1393" s="604" t="inlineStr">
        <x:is>
          <x:t xml:space="preserve">中超</x:t>
        </x:is>
      </x:c>
      <x:c r="F1393" s="604" t="inlineStr">
        <x:is>
          <x:t xml:space="preserve">深圳新鹏城 vs 河南队</x:t>
        </x:is>
      </x:c>
      <x:c r="G1393" s="604" t="n">
        <x:v>0.8</x:v>
      </x:c>
      <x:c r="H1393" s="604" t="n">
        <x:v>-0.25</x:v>
      </x:c>
      <x:c r="I1393" s="604" t="n">
        <x:v>1.02</x:v>
      </x:c>
      <x:c r="J1393" s="604" t="inlineStr">
        <x:is>
          <x:t xml:space="preserve">0.8/-0.25/1.02</x:t>
        </x:is>
      </x:c>
      <x:c r="K1393" s="604" t="inlineStr">
        <x:is>
          <x:t xml:space="preserve">V4-A</x:t>
        </x:is>
      </x:c>
      <x:c r="L1393" s="604" t="inlineStr">
        <x:is>
          <x:t xml:space="preserve">深圳新鹏城</x:t>
        </x:is>
      </x:c>
      <x:c r="M1393" s="604" t="n">
        <x:v>0.3107596548638372</x:v>
      </x:c>
      <x:c r="N1393" s="604" t="inlineStr">
        <x:is>
          <x:t xml:space="preserve">V4 Shadow Only；real_money=false</x:t>
        </x:is>
      </x:c>
      <x:c r="O1393" s="604" t="inlineStr">
        <x:is>
          <x:t xml:space="preserve">0-0</x:t>
        </x:is>
      </x:c>
      <x:c r="P1393" s="604" t="inlineStr">
        <x:is>
          <x:t xml:space="preserve">EVALUATED</x:t>
        </x:is>
      </x:c>
      <x:c r="Q1393" s="630" t="inlineStr">
        <x:is>
          <x:t xml:space="preserve"/>
        </x:is>
      </x:c>
      <x:c r="R1393" s="604" t="n">
        <x:v>0.8</x:v>
      </x:c>
      <x:c r="S1393" s="604" t="n"/>
      <x:c r="T1393" s="604" t="inlineStr">
        <x:is>
          <x:t xml:space="preserve">D:\codex\v3_legacy\outputs\football_odds_trader\raw\titan007\20261009\20261009_085232_titan007_odds_snapshot.csv</x:t>
        </x:is>
      </x:c>
      <x:c r="U1393" s="628" t="inlineStr">
        <x:is>
          <x:t xml:space="preserve"/>
        </x:is>
      </x:c>
      <x:c r="V1393" s="604" t="inlineStr">
        <x:is>
          <x:t xml:space="preserve"/>
        </x:is>
      </x:c>
      <x:c r="W1393" s="604" t="inlineStr">
        <x:is>
          <x:t xml:space="preserve"/>
        </x:is>
      </x:c>
      <x:c r="X1393" s="604" t="inlineStr">
        <x:is>
          <x:t xml:space="preserve">2944815</x:t>
        </x:is>
      </x:c>
      <x:c r="Y1393" s="604" t="inlineStr">
        <x:is>
          <x:t xml:space="preserve">V4</x:t>
        </x:is>
      </x:c>
      <x:c r="Z1393" s="604" t="inlineStr">
        <x:is>
          <x:t xml:space="preserve">prior-2026-10-09-v1</x:t>
        </x:is>
      </x:c>
      <x:c r="AA1393" s="604" t="inlineStr">
        <x:is>
          <x:t xml:space="preserve">A</x:t>
        </x:is>
      </x:c>
      <x:c r="AB1393" s="604" t="n">
        <x:v>0.3107596548638372</x:v>
      </x:c>
      <x:c r="AC1393" s="604" t="n">
        <x:v>0.5586830715532713</x:v>
      </x:c>
      <x:c r="AD1393" s="604" t="n">
        <x:v>-0.25</x:v>
      </x:c>
      <x:c r="AE1393" s="604" t="n"/>
      <x:c r="AF1393" s="604" t="n"/>
      <x:c r="AG1393" s="604" t="n">
        <x:v>0.1361868023787799</x:v>
      </x:c>
      <x:c r="AH1393" s="604" t="n"/>
      <x:c r="AI1393" s="604" t="n"/>
      <x:c r="AJ1393" s="604" t="n">
        <x:v>0.1361868023787799</x:v>
      </x:c>
      <x:c r="AK1393" s="604" t="n"/>
      <x:c r="AL1393" s="604" t="n"/>
      <x:c r="AM1393" s="604" t="n"/>
      <x:c r="AN1393" s="604" t="inlineStr">
        <x:is>
          <x:t xml:space="preserve">EVALUATED</x:t>
        </x:is>
      </x:c>
      <x:c r="AO1393" s="604" t="inlineStr">
        <x:is>
          <x:t xml:space="preserve">RECEIVING_VALIDATED_EDGE;BUCKET_PRIOR_ONLY;INTENT_INTERPRETATION_ONLY;FFL_OPTIONAL;EXPERT_MARKET</x:t>
        </x:is>
      </x:c>
      <x:c r="AP1393" s="604" t="inlineStr">
        <x:is>
          <x:t xml:space="preserve">ad911397714b438777f4</x:t>
        </x:is>
      </x:c>
      <x:c r="AQ1393" s="604" t="n">
        <x:v>0.25</x:v>
      </x:c>
      <x:c r="AR1393" s="604" t="n">
        <x:v>0.8</x:v>
      </x:c>
      <x:c r="AS1393" s="604" t="n">
        <x:v>-0.25</x:v>
      </x:c>
      <x:c r="AT1393" s="604" t="n">
        <x:v>0.25</x:v>
      </x:c>
      <x:c r="AU1393" s="604" t="n">
        <x:v>0.8</x:v>
      </x:c>
      <x:c r="AV1393" s="604" t="n">
        <x:v>1.02</x:v>
      </x:c>
      <x:c r="AW1393" s="604" t="inlineStr">
        <x:is>
          <x:t xml:space="preserve">2026-10-09T09:01:21.127001+08:00</x:t>
        </x:is>
      </x:c>
      <x:c r="AX1393" s="604" t="inlineStr">
        <x:is>
          <x:t xml:space="preserve">Titan007/V4</x:t>
        </x:is>
      </x:c>
      <x:c r="AY1393" s="604" t="inlineStr">
        <x:is>
          <x:t xml:space="preserve">Daily append；市场输入缺失时不生成决策</x:t>
        </x:is>
      </x:c>
    </x:row>
    <x:row r="1394" ht="22" customHeight="1">
      <x:c r="A1394" s="604" t="inlineStr">
        <x:is>
          <x:t xml:space="preserve">2026-10-09</x:t>
        </x:is>
      </x:c>
      <x:c r="B1394" s="604" t="inlineStr">
        <x:is>
          <x:t xml:space="preserve">2026-10-09T20:00:00+08:00</x:t>
        </x:is>
      </x:c>
      <x:c r="C1394" s="604" t="str">
        <x:v>日韩系列</x:v>
      </x:c>
      <x:c r="D1394" s="604" t="inlineStr">
        <x:is>
          <x:t xml:space="preserve"/>
        </x:is>
      </x:c>
      <x:c r="E1394" s="604" t="inlineStr">
        <x:is>
          <x:t xml:space="preserve">中超</x:t>
        </x:is>
      </x:c>
      <x:c r="F1394" s="604" t="inlineStr">
        <x:is>
          <x:t xml:space="preserve">浙江俱乐部绿城 vs 上海海港</x:t>
        </x:is>
      </x:c>
      <x:c r="G1394" s="604" t="n">
        <x:v>0.8100000000000001</x:v>
      </x:c>
      <x:c r="H1394" s="604" t="n">
        <x:v>0</x:v>
      </x:c>
      <x:c r="I1394" s="604" t="n">
        <x:v>1.01</x:v>
      </x:c>
      <x:c r="J1394" s="604" t="inlineStr">
        <x:is>
          <x:t xml:space="preserve">0.81/0.0/1.01</x:t>
        </x:is>
      </x:c>
      <x:c r="K1394" s="604" t="inlineStr">
        <x:is>
          <x:t xml:space="preserve">V4-N</x:t>
        </x:is>
      </x:c>
      <x:c r="L1394" s="604" t="inlineStr">
        <x:is>
          <x:t xml:space="preserve"/>
        </x:is>
      </x:c>
      <x:c r="M1394" s="604" t="n"/>
      <x:c r="N1394" s="604" t="inlineStr">
        <x:is>
          <x:t xml:space="preserve">V4 Shadow Only；real_money=false</x:t>
        </x:is>
      </x:c>
      <x:c r="O1394" s="604" t="inlineStr">
        <x:is>
          <x:t xml:space="preserve">0-0</x:t>
        </x:is>
      </x:c>
      <x:c r="P1394" s="604" t="inlineStr">
        <x:is>
          <x:t xml:space="preserve">NEUTRAL</x:t>
        </x:is>
      </x:c>
      <x:c r="Q1394" s="630" t="inlineStr">
        <x:is>
          <x:t xml:space="preserve"/>
        </x:is>
      </x:c>
      <x:c r="R1394" s="604" t="n"/>
      <x:c r="S1394" s="604" t="n"/>
      <x:c r="T1394" s="604" t="inlineStr">
        <x:is>
          <x:t xml:space="preserve">D:\codex\v3_legacy\outputs\football_odds_trader\raw\titan007\20261009\20261009_085232_titan007_odds_snapshot.csv</x:t>
        </x:is>
      </x:c>
      <x:c r="U1394" s="628" t="inlineStr">
        <x:is>
          <x:t xml:space="preserve"/>
        </x:is>
      </x:c>
      <x:c r="V1394" s="604" t="inlineStr">
        <x:is>
          <x:t xml:space="preserve"/>
        </x:is>
      </x:c>
      <x:c r="W1394" s="604" t="inlineStr">
        <x:is>
          <x:t xml:space="preserve"/>
        </x:is>
      </x:c>
      <x:c r="X1394" s="604" t="inlineStr">
        <x:is>
          <x:t xml:space="preserve">2944816</x:t>
        </x:is>
      </x:c>
      <x:c r="Y1394" s="604" t="inlineStr">
        <x:is>
          <x:t xml:space="preserve">V4</x:t>
        </x:is>
      </x:c>
      <x:c r="Z1394" s="604" t="inlineStr">
        <x:is>
          <x:t xml:space="preserve">prior-2026-10-09-v1</x:t>
        </x:is>
      </x:c>
      <x:c r="AA1394" s="604" t="inlineStr">
        <x:is>
          <x:t xml:space="preserve">N</x:t>
        </x:is>
      </x:c>
      <x:c r="AB1394" s="604" t="n"/>
      <x:c r="AC1394" s="604" t="n"/>
      <x:c r="AD1394" s="604" t="n"/>
      <x:c r="AE1394" s="604" t="n"/>
      <x:c r="AF1394" s="604" t="n"/>
      <x:c r="AG1394" s="604" t="n"/>
      <x:c r="AH1394" s="604" t="n"/>
      <x:c r="AI1394" s="604" t="n"/>
      <x:c r="AJ1394" s="604" t="n"/>
      <x:c r="AK1394" s="604" t="n"/>
      <x:c r="AL1394" s="604" t="n"/>
      <x:c r="AM1394" s="604" t="n"/>
      <x:c r="AN1394" s="604" t="inlineStr">
        <x:is>
          <x:t xml:space="preserve">NEUTRAL</x:t>
        </x:is>
      </x:c>
      <x:c r="AO1394" s="604" t="inlineStr">
        <x:is>
          <x:t xml:space="preserve">PK_NO_GIVING_RECEIVING_IDENTITY</x:t>
        </x:is>
      </x:c>
      <x:c r="AP1394" s="604" t="inlineStr">
        <x:is>
          <x:t xml:space="preserve">b6d316866885591a26e0</x:t>
        </x:is>
      </x:c>
      <x:c r="AQ1394" s="604" t="n"/>
      <x:c r="AR1394" s="604" t="n"/>
      <x:c r="AS1394" s="604" t="n"/>
      <x:c r="AT1394" s="604" t="n"/>
      <x:c r="AU1394" s="604" t="n"/>
      <x:c r="AV1394" s="604" t="n"/>
      <x:c r="AW1394" s="604" t="inlineStr">
        <x:is>
          <x:t xml:space="preserve">2026-10-09T09:01:21.127001+08:00</x:t>
        </x:is>
      </x:c>
      <x:c r="AX1394" s="604" t="inlineStr">
        <x:is>
          <x:t xml:space="preserve">Titan007/V4</x:t>
        </x:is>
      </x:c>
      <x:c r="AY1394" s="604" t="inlineStr">
        <x:is>
          <x:t xml:space="preserve">Daily append；市场输入缺失时不生成决策</x:t>
        </x:is>
      </x:c>
    </x:row>
    <x:row r="1395" ht="22" customHeight="1">
      <x:c r="A1395" s="604" t="inlineStr">
        <x:is>
          <x:t xml:space="preserve">2026-10-09</x:t>
        </x:is>
      </x:c>
      <x:c r="B1395" s="604" t="inlineStr">
        <x:is>
          <x:t xml:space="preserve">2026-10-09T19:35:00+08:00</x:t>
        </x:is>
      </x:c>
      <x:c r="C1395" s="604" t="str">
        <x:v>日韩系列</x:v>
      </x:c>
      <x:c r="D1395" s="604" t="inlineStr">
        <x:is>
          <x:t xml:space="preserve"/>
        </x:is>
      </x:c>
      <x:c r="E1395" s="604" t="inlineStr">
        <x:is>
          <x:t xml:space="preserve">中超</x:t>
        </x:is>
      </x:c>
      <x:c r="F1395" s="604" t="inlineStr">
        <x:is>
          <x:t xml:space="preserve">青岛海牛 vs 北京国安</x:t>
        </x:is>
      </x:c>
      <x:c r="G1395" s="604" t="n">
        <x:v>0.8</x:v>
      </x:c>
      <x:c r="H1395" s="604" t="n">
        <x:v>-1.5</x:v>
      </x:c>
      <x:c r="I1395" s="604" t="n">
        <x:v>1.02</x:v>
      </x:c>
      <x:c r="J1395" s="604" t="inlineStr">
        <x:is>
          <x:t xml:space="preserve">0.8/-1.5/1.02</x:t>
        </x:is>
      </x:c>
      <x:c r="K1395" s="604" t="inlineStr">
        <x:is>
          <x:t xml:space="preserve">V4-A</x:t>
        </x:is>
      </x:c>
      <x:c r="L1395" s="604" t="inlineStr">
        <x:is>
          <x:t xml:space="preserve">青岛海牛</x:t>
        </x:is>
      </x:c>
      <x:c r="M1395" s="604" t="n">
        <x:v>0.008564130422609258</x:v>
      </x:c>
      <x:c r="N1395" s="604" t="inlineStr">
        <x:is>
          <x:t xml:space="preserve">V4 Shadow Only；real_money=false</x:t>
        </x:is>
      </x:c>
      <x:c r="O1395" s="604" t="inlineStr">
        <x:is>
          <x:t xml:space="preserve">0-0</x:t>
        </x:is>
      </x:c>
      <x:c r="P1395" s="604" t="inlineStr">
        <x:is>
          <x:t xml:space="preserve">EVALUATED</x:t>
        </x:is>
      </x:c>
      <x:c r="Q1395" s="630" t="inlineStr">
        <x:is>
          <x:t xml:space="preserve"/>
        </x:is>
      </x:c>
      <x:c r="R1395" s="604" t="n">
        <x:v>0.8</x:v>
      </x:c>
      <x:c r="S1395" s="604" t="n"/>
      <x:c r="T1395" s="604" t="inlineStr">
        <x:is>
          <x:t xml:space="preserve">D:\codex\v3_legacy\outputs\football_odds_trader\raw\titan007\20261009\20261009_085232_titan007_odds_snapshot.csv</x:t>
        </x:is>
      </x:c>
      <x:c r="U1395" s="628" t="inlineStr">
        <x:is>
          <x:t xml:space="preserve"/>
        </x:is>
      </x:c>
      <x:c r="V1395" s="604" t="inlineStr">
        <x:is>
          <x:t xml:space="preserve"/>
        </x:is>
      </x:c>
      <x:c r="W1395" s="604" t="inlineStr">
        <x:is>
          <x:t xml:space="preserve"/>
        </x:is>
      </x:c>
      <x:c r="X1395" s="604" t="inlineStr">
        <x:is>
          <x:t xml:space="preserve">2944819</x:t>
        </x:is>
      </x:c>
      <x:c r="Y1395" s="604" t="inlineStr">
        <x:is>
          <x:t xml:space="preserve">V4</x:t>
        </x:is>
      </x:c>
      <x:c r="Z1395" s="604" t="inlineStr">
        <x:is>
          <x:t xml:space="preserve">prior-2026-10-09-v1</x:t>
        </x:is>
      </x:c>
      <x:c r="AA1395" s="604" t="inlineStr">
        <x:is>
          <x:t xml:space="preserve">A</x:t>
        </x:is>
      </x:c>
      <x:c r="AB1395" s="604" t="n">
        <x:v>0.008564130422609258</x:v>
      </x:c>
      <x:c r="AC1395" s="604" t="n">
        <x:v>0.9914358695773907</x:v>
      </x:c>
      <x:c r="AD1395" s="604" t="n">
        <x:v>-2</x:v>
      </x:c>
      <x:c r="AE1395" s="604" t="n"/>
      <x:c r="AF1395" s="604" t="n"/>
      <x:c r="AG1395" s="604" t="n">
        <x:v>0.7845845652393033</x:v>
      </x:c>
      <x:c r="AH1395" s="604" t="n"/>
      <x:c r="AI1395" s="604" t="n"/>
      <x:c r="AJ1395" s="604" t="n">
        <x:v>0.7845845652393033</x:v>
      </x:c>
      <x:c r="AK1395" s="604" t="n"/>
      <x:c r="AL1395" s="604" t="n"/>
      <x:c r="AM1395" s="604" t="n"/>
      <x:c r="AN1395" s="604" t="inlineStr">
        <x:is>
          <x:t xml:space="preserve">EVALUATED</x:t>
        </x:is>
      </x:c>
      <x:c r="AO1395" s="604" t="inlineStr">
        <x:is>
          <x:t xml:space="preserve">RECEIVING_VALIDATED_EDGE;BUCKET_PRIOR_ONLY;INTENT_INTERPRETATION_ONLY;FFL_OPTIONAL;EXPERT_MARKET</x:t>
        </x:is>
      </x:c>
      <x:c r="AP1395" s="604" t="inlineStr">
        <x:is>
          <x:t xml:space="preserve">a81dd00af572eff61a7c</x:t>
        </x:is>
      </x:c>
      <x:c r="AQ1395" s="604" t="n">
        <x:v>1.5</x:v>
      </x:c>
      <x:c r="AR1395" s="604" t="n">
        <x:v>0.8</x:v>
      </x:c>
      <x:c r="AS1395" s="604" t="n">
        <x:v>-1.5</x:v>
      </x:c>
      <x:c r="AT1395" s="604" t="n">
        <x:v>1.5</x:v>
      </x:c>
      <x:c r="AU1395" s="604" t="n">
        <x:v>0.8</x:v>
      </x:c>
      <x:c r="AV1395" s="604" t="n">
        <x:v>1.02</x:v>
      </x:c>
      <x:c r="AW1395" s="604" t="inlineStr">
        <x:is>
          <x:t xml:space="preserve">2026-10-09T09:01:21.127001+08:00</x:t>
        </x:is>
      </x:c>
      <x:c r="AX1395" s="604" t="inlineStr">
        <x:is>
          <x:t xml:space="preserve">Titan007/V4</x:t>
        </x:is>
      </x:c>
      <x:c r="AY1395" s="604" t="inlineStr">
        <x:is>
          <x:t xml:space="preserve">Daily append；市场输入缺失时不生成决策</x:t>
        </x:is>
      </x:c>
    </x:row>
    <x:row r="1396" ht="22" customHeight="1">
      <x:c r="A1396" s="604" t="inlineStr">
        <x:is>
          <x:t xml:space="preserve">2026-10-09</x:t>
        </x:is>
      </x:c>
      <x:c r="B1396" s="604" t="inlineStr">
        <x:is>
          <x:t xml:space="preserve">2026-10-10T00:00:00+08:00</x:t>
        </x:is>
      </x:c>
      <x:c r="C1396" s="604" t="str">
        <x:v>欧洲非五大系列</x:v>
      </x:c>
      <x:c r="D1396" s="604" t="inlineStr">
        <x:is>
          <x:t xml:space="preserve"/>
        </x:is>
      </x:c>
      <x:c r="E1396" s="604" t="inlineStr">
        <x:is>
          <x:t xml:space="preserve">白俄超</x:t>
        </x:is>
      </x:c>
      <x:c r="F1396" s="604" t="inlineStr">
        <x:is>
          <x:t xml:space="preserve">阿森纳捷尔任斯克 vs 布列斯特迪纳摩</x:t>
        </x:is>
      </x:c>
      <x:c r="G1396" s="604" t="n">
        <x:v>0.91</x:v>
      </x:c>
      <x:c r="H1396" s="604" t="n">
        <x:v>-1</x:v>
      </x:c>
      <x:c r="I1396" s="604" t="n">
        <x:v>0.85</x:v>
      </x:c>
      <x:c r="J1396" s="604" t="inlineStr">
        <x:is>
          <x:t xml:space="preserve">0.91/-1.0/0.85</x:t>
        </x:is>
      </x:c>
      <x:c r="K1396" s="604" t="inlineStr">
        <x:is>
          <x:t xml:space="preserve">V4-N</x:t>
        </x:is>
      </x:c>
      <x:c r="L1396" s="604" t="inlineStr">
        <x:is>
          <x:t xml:space="preserve"/>
        </x:is>
      </x:c>
      <x:c r="M1396" s="604" t="n">
        <x:v>0.01851442451925596</x:v>
      </x:c>
      <x:c r="N1396" s="604" t="inlineStr">
        <x:is>
          <x:t xml:space="preserve">V4 Shadow Only；real_money=false</x:t>
        </x:is>
      </x:c>
      <x:c r="O1396" s="604" t="inlineStr">
        <x:is>
          <x:t xml:space="preserve">0-0</x:t>
        </x:is>
      </x:c>
      <x:c r="P1396" s="604" t="inlineStr">
        <x:is>
          <x:t xml:space="preserve">EVALUATED</x:t>
        </x:is>
      </x:c>
      <x:c r="Q1396" s="630" t="inlineStr">
        <x:is>
          <x:t xml:space="preserve"/>
        </x:is>
      </x:c>
      <x:c r="R1396" s="604" t="n"/>
      <x:c r="S1396" s="604" t="n"/>
      <x:c r="T1396" s="604" t="inlineStr">
        <x:is>
          <x:t xml:space="preserve">D:\codex\v3_legacy\outputs\football_odds_trader\raw\titan007\20261009\20261009_085232_titan007_odds_snapshot.csv</x:t>
        </x:is>
      </x:c>
      <x:c r="U1396" s="628" t="inlineStr">
        <x:is>
          <x:t xml:space="preserve"/>
        </x:is>
      </x:c>
      <x:c r="V1396" s="604" t="inlineStr">
        <x:is>
          <x:t xml:space="preserve"/>
        </x:is>
      </x:c>
      <x:c r="W1396" s="604" t="inlineStr">
        <x:is>
          <x:t xml:space="preserve"/>
        </x:is>
      </x:c>
      <x:c r="X1396" s="604" t="inlineStr">
        <x:is>
          <x:t xml:space="preserve">2948610</x:t>
        </x:is>
      </x:c>
      <x:c r="Y1396" s="604" t="inlineStr">
        <x:is>
          <x:t xml:space="preserve">V4</x:t>
        </x:is>
      </x:c>
      <x:c r="Z1396" s="604" t="inlineStr">
        <x:is>
          <x:t xml:space="preserve">prior-2026-10-09-v1</x:t>
        </x:is>
      </x:c>
      <x:c r="AA1396" s="604" t="inlineStr">
        <x:is>
          <x:t xml:space="preserve">N</x:t>
        </x:is>
      </x:c>
      <x:c r="AB1396" s="604" t="n">
        <x:v>0.01851442451925596</x:v>
      </x:c>
      <x:c r="AC1396" s="604" t="n">
        <x:v>0.9151174517077215</x:v>
      </x:c>
      <x:c r="AD1396" s="604" t="n">
        <x:v>-1.5</x:v>
      </x:c>
      <x:c r="AE1396" s="604" t="n"/>
      <x:c r="AF1396" s="604" t="n"/>
      <x:c r="AG1396" s="604" t="n">
        <x:v>0.8142424565347706</x:v>
      </x:c>
      <x:c r="AH1396" s="604" t="n"/>
      <x:c r="AI1396" s="604" t="n"/>
      <x:c r="AJ1396" s="604" t="n">
        <x:v>0.8142424565347706</x:v>
      </x:c>
      <x:c r="AK1396" s="604" t="n"/>
      <x:c r="AL1396" s="604" t="n"/>
      <x:c r="AM1396" s="604" t="n"/>
      <x:c r="AN1396" s="604" t="inlineStr">
        <x:is>
          <x:t xml:space="preserve">EVALUATED</x:t>
        </x:is>
      </x:c>
      <x:c r="AO1396" s="604" t="inlineStr">
        <x:is>
          <x:t xml:space="preserve">LOW_QUALITY_GATE;BUCKET_PRIOR_ONLY;INTENT_INTERPRETATION_ONLY;FFL_OPTIONAL;EXPERT_MARKET</x:t>
        </x:is>
      </x:c>
      <x:c r="AP1396" s="604" t="inlineStr">
        <x:is>
          <x:t xml:space="preserve">3c6b0e66bbfc38e834ef</x:t>
        </x:is>
      </x:c>
      <x:c r="AQ1396" s="604" t="n"/>
      <x:c r="AR1396" s="604" t="n"/>
      <x:c r="AS1396" s="604" t="n">
        <x:v>-1</x:v>
      </x:c>
      <x:c r="AT1396" s="604" t="n">
        <x:v>1</x:v>
      </x:c>
      <x:c r="AU1396" s="604" t="n">
        <x:v>0.91</x:v>
      </x:c>
      <x:c r="AV1396" s="604" t="n">
        <x:v>0.85</x:v>
      </x:c>
      <x:c r="AW1396" s="604" t="inlineStr">
        <x:is>
          <x:t xml:space="preserve">2026-10-09T09:01:21.127001+08:00</x:t>
        </x:is>
      </x:c>
      <x:c r="AX1396" s="604" t="inlineStr">
        <x:is>
          <x:t xml:space="preserve">Titan007/V4</x:t>
        </x:is>
      </x:c>
      <x:c r="AY1396" s="604" t="inlineStr">
        <x:is>
          <x:t xml:space="preserve">Daily append；市场输入缺失时不生成决策</x:t>
        </x:is>
      </x:c>
    </x:row>
    <x:row r="1397" ht="22" customHeight="1">
      <x:c r="A1397" s="604" t="inlineStr">
        <x:is>
          <x:t xml:space="preserve">2026-10-09</x:t>
        </x:is>
      </x:c>
      <x:c r="B1397" s="604" t="inlineStr">
        <x:is>
          <x:t xml:space="preserve">2026-10-09T20:30:00+08:00</x:t>
        </x:is>
      </x:c>
      <x:c r="C1397" s="604" t="str">
        <x:v>西亚/中亚系列</x:v>
      </x:c>
      <x:c r="D1397" s="604" t="inlineStr">
        <x:is>
          <x:t xml:space="preserve"/>
        </x:is>
      </x:c>
      <x:c r="E1397" s="604" t="inlineStr">
        <x:is>
          <x:t xml:space="preserve">塔吉克联</x:t>
        </x:is>
      </x:c>
      <x:c r="F1397" s="604" t="inlineStr">
        <x:is>
          <x:t xml:space="preserve">FK帕沃兹 vs 古赞特</x:t>
        </x:is>
      </x:c>
      <x:c r="G1397" s="604" t="n">
        <x:v>1.88</x:v>
      </x:c>
      <x:c r="H1397" s="604" t="n">
        <x:v>0</x:v>
      </x:c>
      <x:c r="I1397" s="604" t="n">
        <x:v>0.34</x:v>
      </x:c>
      <x:c r="J1397" s="604" t="inlineStr">
        <x:is>
          <x:t xml:space="preserve">1.88/0.0/0.34</x:t>
        </x:is>
      </x:c>
      <x:c r="K1397" s="604" t="inlineStr">
        <x:is>
          <x:t xml:space="preserve">V4-N</x:t>
        </x:is>
      </x:c>
      <x:c r="L1397" s="604" t="inlineStr">
        <x:is>
          <x:t xml:space="preserve"/>
        </x:is>
      </x:c>
      <x:c r="M1397" s="604" t="n"/>
      <x:c r="N1397" s="604" t="inlineStr">
        <x:is>
          <x:t xml:space="preserve">V4 Shadow Only；real_money=false</x:t>
        </x:is>
      </x:c>
      <x:c r="O1397" s="604" t="inlineStr">
        <x:is>
          <x:t xml:space="preserve">0-0</x:t>
        </x:is>
      </x:c>
      <x:c r="P1397" s="604" t="inlineStr">
        <x:is>
          <x:t xml:space="preserve">NEUTRAL</x:t>
        </x:is>
      </x:c>
      <x:c r="Q1397" s="630" t="inlineStr">
        <x:is>
          <x:t xml:space="preserve"/>
        </x:is>
      </x:c>
      <x:c r="R1397" s="604" t="n"/>
      <x:c r="S1397" s="604" t="n"/>
      <x:c r="T1397" s="604" t="inlineStr">
        <x:is>
          <x:t xml:space="preserve">D:\codex\v3_legacy\outputs\football_odds_trader\raw\titan007\20261009\20261009_085232_titan007_odds_snapshot.csv</x:t>
        </x:is>
      </x:c>
      <x:c r="U1397" s="628" t="inlineStr">
        <x:is>
          <x:t xml:space="preserve"/>
        </x:is>
      </x:c>
      <x:c r="V1397" s="604" t="inlineStr">
        <x:is>
          <x:t xml:space="preserve"/>
        </x:is>
      </x:c>
      <x:c r="W1397" s="604" t="inlineStr">
        <x:is>
          <x:t xml:space="preserve"/>
        </x:is>
      </x:c>
      <x:c r="X1397" s="604" t="inlineStr">
        <x:is>
          <x:t xml:space="preserve">2952366</x:t>
        </x:is>
      </x:c>
      <x:c r="Y1397" s="604" t="inlineStr">
        <x:is>
          <x:t xml:space="preserve">V4</x:t>
        </x:is>
      </x:c>
      <x:c r="Z1397" s="604" t="inlineStr">
        <x:is>
          <x:t xml:space="preserve">prior-2026-10-09-v1</x:t>
        </x:is>
      </x:c>
      <x:c r="AA1397" s="604" t="inlineStr">
        <x:is>
          <x:t xml:space="preserve">N</x:t>
        </x:is>
      </x:c>
      <x:c r="AB1397" s="604" t="n"/>
      <x:c r="AC1397" s="604" t="n"/>
      <x:c r="AD1397" s="604" t="n"/>
      <x:c r="AE1397" s="604" t="n"/>
      <x:c r="AF1397" s="604" t="n"/>
      <x:c r="AG1397" s="604" t="n"/>
      <x:c r="AH1397" s="604" t="n"/>
      <x:c r="AI1397" s="604" t="n"/>
      <x:c r="AJ1397" s="604" t="n"/>
      <x:c r="AK1397" s="604" t="n"/>
      <x:c r="AL1397" s="604" t="n"/>
      <x:c r="AM1397" s="604" t="n"/>
      <x:c r="AN1397" s="604" t="inlineStr">
        <x:is>
          <x:t xml:space="preserve">NEUTRAL</x:t>
        </x:is>
      </x:c>
      <x:c r="AO1397" s="604" t="inlineStr">
        <x:is>
          <x:t xml:space="preserve">PK_NO_GIVING_RECEIVING_IDENTITY</x:t>
        </x:is>
      </x:c>
      <x:c r="AP1397" s="604" t="inlineStr">
        <x:is>
          <x:t xml:space="preserve">1da49b9fd0da19eea620</x:t>
        </x:is>
      </x:c>
      <x:c r="AQ1397" s="604" t="n"/>
      <x:c r="AR1397" s="604" t="n"/>
      <x:c r="AS1397" s="604" t="n"/>
      <x:c r="AT1397" s="604" t="n"/>
      <x:c r="AU1397" s="604" t="n"/>
      <x:c r="AV1397" s="604" t="n"/>
      <x:c r="AW1397" s="604" t="inlineStr">
        <x:is>
          <x:t xml:space="preserve">2026-10-09T09:01:21.127001+08:00</x:t>
        </x:is>
      </x:c>
      <x:c r="AX1397" s="604" t="inlineStr">
        <x:is>
          <x:t xml:space="preserve">Titan007/V4</x:t>
        </x:is>
      </x:c>
      <x:c r="AY1397" s="604" t="inlineStr">
        <x:is>
          <x:t xml:space="preserve">Daily append；市场输入缺失时不生成决策</x:t>
        </x:is>
      </x:c>
    </x:row>
    <x:row r="1398" ht="22" customHeight="1">
      <x:c r="A1398" s="604" t="inlineStr">
        <x:is>
          <x:t xml:space="preserve">2026-10-09</x:t>
        </x:is>
      </x:c>
      <x:c r="B1398" s="604" t="inlineStr">
        <x:is>
          <x:t xml:space="preserve">2026-10-09T20:30:00+08:00</x:t>
        </x:is>
      </x:c>
      <x:c r="C1398" s="604" t="str">
        <x:v>西亚/中亚系列</x:v>
      </x:c>
      <x:c r="D1398" s="604" t="inlineStr">
        <x:is>
          <x:t xml:space="preserve"/>
        </x:is>
      </x:c>
      <x:c r="E1398" s="604" t="inlineStr">
        <x:is>
          <x:t xml:space="preserve">塔吉克联</x:t>
        </x:is>
      </x:c>
      <x:c r="F1398" s="604" t="inlineStr">
        <x:is>
          <x:t xml:space="preserve">萨多图尔松佐达 vs 埃斯卡塔</x:t>
        </x:is>
      </x:c>
      <x:c r="G1398" s="604" t="n"/>
      <x:c r="H1398" s="604" t="n"/>
      <x:c r="I1398" s="604" t="n"/>
      <x:c r="J1398" s="604" t="inlineStr">
        <x:is>
          <x:t xml:space="preserve">//</x:t>
        </x:is>
      </x:c>
      <x:c r="K1398" s="604" t="inlineStr">
        <x:is>
          <x:t xml:space="preserve">V4不可用：市场输入缺失</x:t>
        </x:is>
      </x:c>
      <x:c r="L1398" s="604" t="inlineStr">
        <x:is>
          <x:t xml:space="preserve"/>
        </x:is>
      </x:c>
      <x:c r="M1398" s="604" t="n"/>
      <x:c r="N1398" s="604" t="inlineStr">
        <x:is>
          <x:t xml:space="preserve">V4 Shadow Only；real_money=false</x:t>
        </x:is>
      </x:c>
      <x:c r="O1398" s="604" t="inlineStr">
        <x:is>
          <x:t xml:space="preserve">0-0</x:t>
        </x:is>
      </x:c>
      <x:c r="P1398" s="604" t="inlineStr">
        <x:is>
          <x:t xml:space="preserve">MISSING_DATA</x:t>
        </x:is>
      </x:c>
      <x:c r="Q1398" s="630" t="inlineStr">
        <x:is>
          <x:t xml:space="preserve"/>
        </x:is>
      </x:c>
      <x:c r="R1398" s="604" t="n"/>
      <x:c r="S1398" s="604" t="n"/>
      <x:c r="T1398" s="604" t="inlineStr">
        <x:is>
          <x:t xml:space="preserve">D:\codex\v3_legacy\outputs\football_odds_trader\raw\titan007\20261009\20261009_085232_titan007_odds_snapshot.csv</x:t>
        </x:is>
      </x:c>
      <x:c r="U1398" s="628" t="inlineStr">
        <x:is>
          <x:t xml:space="preserve"/>
        </x:is>
      </x:c>
      <x:c r="V1398" s="604" t="inlineStr">
        <x:is>
          <x:t xml:space="preserve"/>
        </x:is>
      </x:c>
      <x:c r="W1398" s="604" t="inlineStr">
        <x:is>
          <x:t xml:space="preserve"/>
        </x:is>
      </x:c>
      <x:c r="X1398" s="604" t="inlineStr">
        <x:is>
          <x:t xml:space="preserve">2952367</x:t>
        </x:is>
      </x:c>
      <x:c r="Y1398" s="604" t="inlineStr">
        <x:is>
          <x:t xml:space="preserve">V4</x:t>
        </x:is>
      </x:c>
      <x:c r="Z1398" s="604" t="inlineStr">
        <x:is>
          <x:t xml:space="preserve">prior-2026-10-09-v1</x:t>
        </x:is>
      </x:c>
      <x:c r="AA1398" s="604" t="inlineStr">
        <x:is>
          <x:t xml:space="preserve"/>
        </x:is>
      </x:c>
      <x:c r="AB1398" s="604" t="n"/>
      <x:c r="AC1398" s="604" t="n"/>
      <x:c r="AD1398" s="604" t="n"/>
      <x:c r="AE1398" s="604" t="n"/>
      <x:c r="AF1398" s="604" t="n"/>
      <x:c r="AG1398" s="604" t="n"/>
      <x:c r="AH1398" s="604" t="n"/>
      <x:c r="AI1398" s="604" t="n"/>
      <x:c r="AJ1398" s="604" t="n"/>
      <x:c r="AK1398" s="604" t="n"/>
      <x:c r="AL1398" s="604" t="n"/>
      <x:c r="AM1398" s="604" t="n"/>
      <x:c r="AN1398" s="604" t="inlineStr">
        <x:is>
          <x:t xml:space="preserve">MISSING_DATA</x:t>
        </x:is>
      </x:c>
      <x:c r="AO1398" s="604" t="inlineStr">
        <x:is>
          <x:t xml:space="preserve">REQUIRED_MARKET_INPUT_MISSING</x:t>
        </x:is>
      </x:c>
      <x:c r="AP1398" s="604" t="inlineStr">
        <x:is>
          <x:t xml:space="preserve">98f8526783c75d504f05</x:t>
        </x:is>
      </x:c>
      <x:c r="AQ1398" s="604" t="n"/>
      <x:c r="AR1398" s="604" t="n"/>
      <x:c r="AS1398" s="604" t="n"/>
      <x:c r="AT1398" s="604" t="n"/>
      <x:c r="AU1398" s="604" t="n"/>
      <x:c r="AV1398" s="604" t="n"/>
      <x:c r="AW1398" s="604" t="inlineStr">
        <x:is>
          <x:t xml:space="preserve">2026-10-09T09:01:21.127001+08:00</x:t>
        </x:is>
      </x:c>
      <x:c r="AX1398" s="604" t="inlineStr">
        <x:is>
          <x:t xml:space="preserve">Titan007/V4</x:t>
        </x:is>
      </x:c>
      <x:c r="AY1398" s="604" t="inlineStr">
        <x:is>
          <x:t xml:space="preserve">Daily append；市场输入缺失时不生成决策</x:t>
        </x:is>
      </x:c>
    </x:row>
    <x:row r="1399" ht="22" customHeight="1">
      <x:c r="A1399" s="604" t="inlineStr">
        <x:is>
          <x:t xml:space="preserve">2026-10-09</x:t>
        </x:is>
      </x:c>
      <x:c r="B1399" s="604" t="inlineStr">
        <x:is>
          <x:t xml:space="preserve">2026-10-09T18:00:00+08:00</x:t>
        </x:is>
      </x:c>
      <x:c r="C1399" s="604" t="str">
        <x:v>欧洲非五大系列</x:v>
      </x:c>
      <x:c r="D1399" s="604" t="inlineStr">
        <x:is>
          <x:t xml:space="preserve"/>
        </x:is>
      </x:c>
      <x:c r="E1399" s="604" t="inlineStr">
        <x:is>
          <x:t xml:space="preserve">俄青联</x:t>
        </x:is>
      </x:c>
      <x:c r="F1399" s="604" t="inlineStr">
        <x:is>
          <x:t xml:space="preserve">阿尔玛兹安泰青年队 vs 克拉斯诺达尔青年队</x:t>
        </x:is>
      </x:c>
      <x:c r="G1399" s="604" t="n">
        <x:v>0.91</x:v>
      </x:c>
      <x:c r="H1399" s="604" t="n">
        <x:v>-0.75</x:v>
      </x:c>
      <x:c r="I1399" s="604" t="n">
        <x:v>0.83</x:v>
      </x:c>
      <x:c r="J1399" s="604" t="inlineStr">
        <x:is>
          <x:t xml:space="preserve">0.91/-0.75/0.83</x:t>
        </x:is>
      </x:c>
      <x:c r="K1399" s="604" t="inlineStr">
        <x:is>
          <x:t xml:space="preserve">V4-N</x:t>
        </x:is>
      </x:c>
      <x:c r="L1399" s="604" t="inlineStr">
        <x:is>
          <x:t xml:space="preserve"/>
        </x:is>
      </x:c>
      <x:c r="M1399" s="604" t="n">
        <x:v>0.1015288279817853</x:v>
      </x:c>
      <x:c r="N1399" s="604" t="inlineStr">
        <x:is>
          <x:t xml:space="preserve">V4 Shadow Only；real_money=false</x:t>
        </x:is>
      </x:c>
      <x:c r="O1399" s="604" t="inlineStr">
        <x:is>
          <x:t xml:space="preserve">0-0</x:t>
        </x:is>
      </x:c>
      <x:c r="P1399" s="604" t="inlineStr">
        <x:is>
          <x:t xml:space="preserve">EVALUATED</x:t>
        </x:is>
      </x:c>
      <x:c r="Q1399" s="630" t="inlineStr">
        <x:is>
          <x:t xml:space="preserve"/>
        </x:is>
      </x:c>
      <x:c r="R1399" s="604" t="n"/>
      <x:c r="S1399" s="604" t="n"/>
      <x:c r="T1399" s="604" t="inlineStr">
        <x:is>
          <x:t xml:space="preserve">D:\codex\v3_legacy\outputs\football_odds_trader\raw\titan007\20261009\20261009_085232_titan007_odds_snapshot.csv</x:t>
        </x:is>
      </x:c>
      <x:c r="U1399" s="628" t="inlineStr">
        <x:is>
          <x:t xml:space="preserve"/>
        </x:is>
      </x:c>
      <x:c r="V1399" s="604" t="inlineStr">
        <x:is>
          <x:t xml:space="preserve"/>
        </x:is>
      </x:c>
      <x:c r="W1399" s="604" t="inlineStr">
        <x:is>
          <x:t xml:space="preserve"/>
        </x:is>
      </x:c>
      <x:c r="X1399" s="604" t="inlineStr">
        <x:is>
          <x:t xml:space="preserve">2952588</x:t>
        </x:is>
      </x:c>
      <x:c r="Y1399" s="604" t="inlineStr">
        <x:is>
          <x:t xml:space="preserve">V4</x:t>
        </x:is>
      </x:c>
      <x:c r="Z1399" s="604" t="inlineStr">
        <x:is>
          <x:t xml:space="preserve">prior-2026-10-09-v1</x:t>
        </x:is>
      </x:c>
      <x:c r="AA1399" s="604" t="inlineStr">
        <x:is>
          <x:t xml:space="preserve">N</x:t>
        </x:is>
      </x:c>
      <x:c r="AB1399" s="604" t="n">
        <x:v>0.1015288279817853</x:v>
      </x:c>
      <x:c r="AC1399" s="604" t="n">
        <x:v>0.843496374744525</x:v>
      </x:c>
      <x:c r="AD1399" s="604" t="n">
        <x:v>-1</x:v>
      </x:c>
      <x:c r="AE1399" s="604" t="n"/>
      <x:c r="AF1399" s="604" t="n"/>
      <x:c r="AG1399" s="604" t="n">
        <x:v>0.6660528730357325</x:v>
      </x:c>
      <x:c r="AH1399" s="604" t="n"/>
      <x:c r="AI1399" s="604" t="n"/>
      <x:c r="AJ1399" s="604" t="n">
        <x:v>0.6660528730357325</x:v>
      </x:c>
      <x:c r="AK1399" s="604" t="n"/>
      <x:c r="AL1399" s="604" t="n"/>
      <x:c r="AM1399" s="604" t="n"/>
      <x:c r="AN1399" s="604" t="inlineStr">
        <x:is>
          <x:t xml:space="preserve">EVALUATED</x:t>
        </x:is>
      </x:c>
      <x:c r="AO1399" s="604" t="inlineStr">
        <x:is>
          <x:t xml:space="preserve">LOW_QUALITY_GATE;BUCKET_PRIOR_ONLY;INTENT_INTERPRETATION_ONLY;FFL_OPTIONAL;EXPERT_MARKET</x:t>
        </x:is>
      </x:c>
      <x:c r="AP1399" s="604" t="inlineStr">
        <x:is>
          <x:t xml:space="preserve">973ec8dac8f7f98488ec</x:t>
        </x:is>
      </x:c>
      <x:c r="AQ1399" s="604" t="n"/>
      <x:c r="AR1399" s="604" t="n"/>
      <x:c r="AS1399" s="604" t="n">
        <x:v>-0.75</x:v>
      </x:c>
      <x:c r="AT1399" s="604" t="n">
        <x:v>0.75</x:v>
      </x:c>
      <x:c r="AU1399" s="604" t="n">
        <x:v>0.91</x:v>
      </x:c>
      <x:c r="AV1399" s="604" t="n">
        <x:v>0.83</x:v>
      </x:c>
      <x:c r="AW1399" s="604" t="inlineStr">
        <x:is>
          <x:t xml:space="preserve">2026-10-09T09:01:21.127001+08:00</x:t>
        </x:is>
      </x:c>
      <x:c r="AX1399" s="604" t="inlineStr">
        <x:is>
          <x:t xml:space="preserve">Titan007/V4</x:t>
        </x:is>
      </x:c>
      <x:c r="AY1399" s="604" t="inlineStr">
        <x:is>
          <x:t xml:space="preserve">Daily append；市场输入缺失时不生成决策</x:t>
        </x:is>
      </x:c>
    </x:row>
    <x:row r="1400" ht="22" customHeight="1">
      <x:c r="A1400" s="604" t="inlineStr">
        <x:is>
          <x:t xml:space="preserve">2026-10-09</x:t>
        </x:is>
      </x:c>
      <x:c r="B1400" s="604" t="inlineStr">
        <x:is>
          <x:t xml:space="preserve">2026-10-09T20:00:00+08:00</x:t>
        </x:is>
      </x:c>
      <x:c r="C1400" s="604" t="str">
        <x:v>欧洲非五大系列</x:v>
      </x:c>
      <x:c r="D1400" s="604" t="inlineStr">
        <x:is>
          <x:t xml:space="preserve"/>
        </x:is>
      </x:c>
      <x:c r="E1400" s="604" t="inlineStr">
        <x:is>
          <x:t xml:space="preserve">俄青联</x:t>
        </x:is>
      </x:c>
      <x:c r="F1400" s="604" t="inlineStr">
        <x:is>
          <x:t xml:space="preserve">莫斯科中央陆军青年队 vs 科诺普廖夫青年队</x:t>
        </x:is>
      </x:c>
      <x:c r="G1400" s="604" t="n">
        <x:v>0.9399999999999999</x:v>
      </x:c>
      <x:c r="H1400" s="604" t="n">
        <x:v>1.25</x:v>
      </x:c>
      <x:c r="I1400" s="604" t="n">
        <x:v>0.8</x:v>
      </x:c>
      <x:c r="J1400" s="604" t="inlineStr">
        <x:is>
          <x:t xml:space="preserve">0.94/1.25/0.8</x:t>
        </x:is>
      </x:c>
      <x:c r="K1400" s="604" t="inlineStr">
        <x:is>
          <x:t xml:space="preserve">V4-N</x:t>
        </x:is>
      </x:c>
      <x:c r="L1400" s="604" t="inlineStr">
        <x:is>
          <x:t xml:space="preserve"/>
        </x:is>
      </x:c>
      <x:c r="M1400" s="604" t="n">
        <x:v>0.4810869249679542</x:v>
      </x:c>
      <x:c r="N1400" s="604" t="inlineStr">
        <x:is>
          <x:t xml:space="preserve">V4 Shadow Only；real_money=false</x:t>
        </x:is>
      </x:c>
      <x:c r="O1400" s="604" t="inlineStr">
        <x:is>
          <x:t xml:space="preserve">0-0</x:t>
        </x:is>
      </x:c>
      <x:c r="P1400" s="604" t="inlineStr">
        <x:is>
          <x:t xml:space="preserve">EVALUATED</x:t>
        </x:is>
      </x:c>
      <x:c r="Q1400" s="630" t="inlineStr">
        <x:is>
          <x:t xml:space="preserve"/>
        </x:is>
      </x:c>
      <x:c r="R1400" s="604" t="n"/>
      <x:c r="S1400" s="604" t="n"/>
      <x:c r="T1400" s="604" t="inlineStr">
        <x:is>
          <x:t xml:space="preserve">D:\codex\v3_legacy\outputs\football_odds_trader\raw\titan007\20261009\20261009_085232_titan007_odds_snapshot.csv</x:t>
        </x:is>
      </x:c>
      <x:c r="U1400" s="628" t="inlineStr">
        <x:is>
          <x:t xml:space="preserve"/>
        </x:is>
      </x:c>
      <x:c r="V1400" s="604" t="inlineStr">
        <x:is>
          <x:t xml:space="preserve"/>
        </x:is>
      </x:c>
      <x:c r="W1400" s="604" t="inlineStr">
        <x:is>
          <x:t xml:space="preserve"/>
        </x:is>
      </x:c>
      <x:c r="X1400" s="604" t="inlineStr">
        <x:is>
          <x:t xml:space="preserve">2952589</x:t>
        </x:is>
      </x:c>
      <x:c r="Y1400" s="604" t="inlineStr">
        <x:is>
          <x:t xml:space="preserve">V4</x:t>
        </x:is>
      </x:c>
      <x:c r="Z1400" s="604" t="inlineStr">
        <x:is>
          <x:t xml:space="preserve">prior-2026-10-09-v1</x:t>
        </x:is>
      </x:c>
      <x:c r="AA1400" s="604" t="inlineStr">
        <x:is>
          <x:t xml:space="preserve">N</x:t>
        </x:is>
      </x:c>
      <x:c r="AB1400" s="604" t="n">
        <x:v>0.4810869249679542</x:v>
      </x:c>
      <x:c r="AC1400" s="604" t="n">
        <x:v>0.3930845875984971</x:v>
      </x:c>
      <x:c r="AD1400" s="604" t="n">
        <x:v>1.5</x:v>
      </x:c>
      <x:c r="AE1400" s="604" t="n"/>
      <x:c r="AF1400" s="604" t="n"/>
      <x:c r="AG1400" s="604" t="n">
        <x:v>0.05913712187137987</x:v>
      </x:c>
      <x:c r="AH1400" s="604" t="n"/>
      <x:c r="AI1400" s="604" t="n"/>
      <x:c r="AJ1400" s="604" t="n">
        <x:v>0.05913712187137987</x:v>
      </x:c>
      <x:c r="AK1400" s="604" t="n"/>
      <x:c r="AL1400" s="604" t="n"/>
      <x:c r="AM1400" s="604" t="n"/>
      <x:c r="AN1400" s="604" t="inlineStr">
        <x:is>
          <x:t xml:space="preserve">EVALUATED</x:t>
        </x:is>
      </x:c>
      <x:c r="AO1400" s="604" t="inlineStr">
        <x:is>
          <x:t xml:space="preserve">EDGE_BELOW_UNCERTAINTY_THRESHOLD;BUCKET_PRIOR_ONLY;INTENT_INTERPRETATION_ONLY;FFL_OPTIONAL;EXPERT_MARKET</x:t>
        </x:is>
      </x:c>
      <x:c r="AP1400" s="604" t="inlineStr">
        <x:is>
          <x:t xml:space="preserve">b9142de307d068de585d</x:t>
        </x:is>
      </x:c>
      <x:c r="AQ1400" s="604" t="n"/>
      <x:c r="AR1400" s="604" t="n"/>
      <x:c r="AS1400" s="604" t="n">
        <x:v>1.25</x:v>
      </x:c>
      <x:c r="AT1400" s="604" t="n">
        <x:v>-1.25</x:v>
      </x:c>
      <x:c r="AU1400" s="604" t="n">
        <x:v>0.9399999999999999</x:v>
      </x:c>
      <x:c r="AV1400" s="604" t="n">
        <x:v>0.8</x:v>
      </x:c>
      <x:c r="AW1400" s="604" t="inlineStr">
        <x:is>
          <x:t xml:space="preserve">2026-10-09T09:01:21.127001+08:00</x:t>
        </x:is>
      </x:c>
      <x:c r="AX1400" s="604" t="inlineStr">
        <x:is>
          <x:t xml:space="preserve">Titan007/V4</x:t>
        </x:is>
      </x:c>
      <x:c r="AY1400" s="604" t="inlineStr">
        <x:is>
          <x:t xml:space="preserve">Daily append；市场输入缺失时不生成决策</x:t>
        </x:is>
      </x:c>
    </x:row>
    <x:row r="1401" ht="22" customHeight="1">
      <x:c r="A1401" s="604" t="inlineStr">
        <x:is>
          <x:t xml:space="preserve">2026-10-09</x:t>
        </x:is>
      </x:c>
      <x:c r="B1401" s="604" t="inlineStr">
        <x:is>
          <x:t xml:space="preserve">2026-10-09T20:00:00+08:00</x:t>
        </x:is>
      </x:c>
      <x:c r="C1401" s="604" t="str">
        <x:v>欧洲非五大系列</x:v>
      </x:c>
      <x:c r="D1401" s="604" t="inlineStr">
        <x:is>
          <x:t xml:space="preserve"/>
        </x:is>
      </x:c>
      <x:c r="E1401" s="604" t="inlineStr">
        <x:is>
          <x:t xml:space="preserve">俄青联</x:t>
        </x:is>
      </x:c>
      <x:c r="F1401" s="604" t="inlineStr">
        <x:is>
          <x:t xml:space="preserve">马哈奇卡拉青年队 vs 喀山鲁宾青年队</x:t>
        </x:is>
      </x:c>
      <x:c r="G1401" s="604" t="n">
        <x:v>0.83</x:v>
      </x:c>
      <x:c r="H1401" s="604" t="n">
        <x:v>0.75</x:v>
      </x:c>
      <x:c r="I1401" s="604" t="n">
        <x:v>0.91</x:v>
      </x:c>
      <x:c r="J1401" s="604" t="inlineStr">
        <x:is>
          <x:t xml:space="preserve">0.83/0.75/0.91</x:t>
        </x:is>
      </x:c>
      <x:c r="K1401" s="604" t="inlineStr">
        <x:is>
          <x:t xml:space="preserve">V4-N</x:t>
        </x:is>
      </x:c>
      <x:c r="L1401" s="604" t="inlineStr">
        <x:is>
          <x:t xml:space="preserve"/>
        </x:is>
      </x:c>
      <x:c r="M1401" s="604" t="n">
        <x:v>0.5011222071465307</x:v>
      </x:c>
      <x:c r="N1401" s="604" t="inlineStr">
        <x:is>
          <x:t xml:space="preserve">V4 Shadow Only；real_money=false</x:t>
        </x:is>
      </x:c>
      <x:c r="O1401" s="604" t="inlineStr">
        <x:is>
          <x:t xml:space="preserve">0-0</x:t>
        </x:is>
      </x:c>
      <x:c r="P1401" s="604" t="inlineStr">
        <x:is>
          <x:t xml:space="preserve">EVALUATED</x:t>
        </x:is>
      </x:c>
      <x:c r="Q1401" s="630" t="inlineStr">
        <x:is>
          <x:t xml:space="preserve"/>
        </x:is>
      </x:c>
      <x:c r="R1401" s="604" t="n"/>
      <x:c r="S1401" s="604" t="n"/>
      <x:c r="T1401" s="604" t="inlineStr">
        <x:is>
          <x:t xml:space="preserve">D:\codex\v3_legacy\outputs\football_odds_trader\raw\titan007\20261009\20261009_085232_titan007_odds_snapshot.csv</x:t>
        </x:is>
      </x:c>
      <x:c r="U1401" s="628" t="inlineStr">
        <x:is>
          <x:t xml:space="preserve"/>
        </x:is>
      </x:c>
      <x:c r="V1401" s="604" t="inlineStr">
        <x:is>
          <x:t xml:space="preserve"/>
        </x:is>
      </x:c>
      <x:c r="W1401" s="604" t="inlineStr">
        <x:is>
          <x:t xml:space="preserve"/>
        </x:is>
      </x:c>
      <x:c r="X1401" s="604" t="inlineStr">
        <x:is>
          <x:t xml:space="preserve">2952590</x:t>
        </x:is>
      </x:c>
      <x:c r="Y1401" s="604" t="inlineStr">
        <x:is>
          <x:t xml:space="preserve">V4</x:t>
        </x:is>
      </x:c>
      <x:c r="Z1401" s="604" t="inlineStr">
        <x:is>
          <x:t xml:space="preserve">prior-2026-10-09-v1</x:t>
        </x:is>
      </x:c>
      <x:c r="AA1401" s="604" t="inlineStr">
        <x:is>
          <x:t xml:space="preserve">N</x:t>
        </x:is>
      </x:c>
      <x:c r="AB1401" s="604" t="n">
        <x:v>0.5011222071465307</x:v>
      </x:c>
      <x:c r="AC1401" s="604" t="n">
        <x:v>0.3713577493978488</x:v>
      </x:c>
      <x:c r="AD1401" s="604" t="n">
        <x:v>1</x:v>
      </x:c>
      <x:c r="AE1401" s="604" t="n"/>
      <x:c r="AF1401" s="604" t="n"/>
      <x:c r="AG1401" s="604" t="n">
        <x:v>0.04457368253377175</x:v>
      </x:c>
      <x:c r="AH1401" s="604" t="n"/>
      <x:c r="AI1401" s="604" t="n"/>
      <x:c r="AJ1401" s="604" t="n">
        <x:v>0.04457368253377175</x:v>
      </x:c>
      <x:c r="AK1401" s="604" t="n"/>
      <x:c r="AL1401" s="604" t="n"/>
      <x:c r="AM1401" s="604" t="n"/>
      <x:c r="AN1401" s="604" t="inlineStr">
        <x:is>
          <x:t xml:space="preserve">EVALUATED</x:t>
        </x:is>
      </x:c>
      <x:c r="AO1401" s="604" t="inlineStr">
        <x:is>
          <x:t xml:space="preserve">EDGE_BELOW_UNCERTAINTY_THRESHOLD;BUCKET_PRIOR_ONLY;INTENT_INTERPRETATION_ONLY;FFL_OPTIONAL;EXPERT_MARKET</x:t>
        </x:is>
      </x:c>
      <x:c r="AP1401" s="604" t="inlineStr">
        <x:is>
          <x:t xml:space="preserve">09110cbb2b6b97739583</x:t>
        </x:is>
      </x:c>
      <x:c r="AQ1401" s="604" t="n"/>
      <x:c r="AR1401" s="604" t="n"/>
      <x:c r="AS1401" s="604" t="n">
        <x:v>0.75</x:v>
      </x:c>
      <x:c r="AT1401" s="604" t="n">
        <x:v>-0.75</x:v>
      </x:c>
      <x:c r="AU1401" s="604" t="n">
        <x:v>0.83</x:v>
      </x:c>
      <x:c r="AV1401" s="604" t="n">
        <x:v>0.91</x:v>
      </x:c>
      <x:c r="AW1401" s="604" t="inlineStr">
        <x:is>
          <x:t xml:space="preserve">2026-10-09T09:01:21.127001+08:00</x:t>
        </x:is>
      </x:c>
      <x:c r="AX1401" s="604" t="inlineStr">
        <x:is>
          <x:t xml:space="preserve">Titan007/V4</x:t>
        </x:is>
      </x:c>
      <x:c r="AY1401" s="604" t="inlineStr">
        <x:is>
          <x:t xml:space="preserve">Daily append；市场输入缺失时不生成决策</x:t>
        </x:is>
      </x:c>
    </x:row>
    <x:row r="1402" ht="22" customHeight="1">
      <x:c r="A1402" s="604" t="inlineStr">
        <x:is>
          <x:t xml:space="preserve">2026-10-09</x:t>
        </x:is>
      </x:c>
      <x:c r="B1402" s="604" t="inlineStr">
        <x:is>
          <x:t xml:space="preserve">2026-10-10T00:00:00+08:00</x:t>
        </x:is>
      </x:c>
      <x:c r="C1402" s="604" t="str">
        <x:v>欧洲非五大系列</x:v>
      </x:c>
      <x:c r="D1402" s="604" t="inlineStr">
        <x:is>
          <x:t xml:space="preserve"/>
        </x:is>
      </x:c>
      <x:c r="E1402" s="604" t="inlineStr">
        <x:is>
          <x:t xml:space="preserve">俄青联</x:t>
        </x:is>
      </x:c>
      <x:c r="F1402" s="604" t="inlineStr">
        <x:is>
          <x:t xml:space="preserve">莫斯科迪纳摩青年队 vs 莫斯科罗迪纳青年队</x:t>
        </x:is>
      </x:c>
      <x:c r="G1402" s="604" t="n">
        <x:v>0.8100000000000001</x:v>
      </x:c>
      <x:c r="H1402" s="604" t="n">
        <x:v>-0.5</x:v>
      </x:c>
      <x:c r="I1402" s="604" t="n">
        <x:v>0.93</x:v>
      </x:c>
      <x:c r="J1402" s="604" t="inlineStr">
        <x:is>
          <x:t xml:space="preserve">0.81/-0.5/0.93</x:t>
        </x:is>
      </x:c>
      <x:c r="K1402" s="604" t="inlineStr">
        <x:is>
          <x:t xml:space="preserve">V4-N</x:t>
        </x:is>
      </x:c>
      <x:c r="L1402" s="604" t="inlineStr">
        <x:is>
          <x:t xml:space="preserve"/>
        </x:is>
      </x:c>
      <x:c r="M1402" s="604" t="n">
        <x:v>0.2239646437792293</x:v>
      </x:c>
      <x:c r="N1402" s="604" t="inlineStr">
        <x:is>
          <x:t xml:space="preserve">V4 Shadow Only；real_money=false</x:t>
        </x:is>
      </x:c>
      <x:c r="O1402" s="604" t="inlineStr">
        <x:is>
          <x:t xml:space="preserve">0-0</x:t>
        </x:is>
      </x:c>
      <x:c r="P1402" s="604" t="inlineStr">
        <x:is>
          <x:t xml:space="preserve">EVALUATED</x:t>
        </x:is>
      </x:c>
      <x:c r="Q1402" s="630" t="inlineStr">
        <x:is>
          <x:t xml:space="preserve"/>
        </x:is>
      </x:c>
      <x:c r="R1402" s="604" t="n"/>
      <x:c r="S1402" s="604" t="n"/>
      <x:c r="T1402" s="604" t="inlineStr">
        <x:is>
          <x:t xml:space="preserve">D:\codex\v3_legacy\outputs\football_odds_trader\raw\titan007\20261009\20261009_085232_titan007_odds_snapshot.csv</x:t>
        </x:is>
      </x:c>
      <x:c r="U1402" s="628" t="inlineStr">
        <x:is>
          <x:t xml:space="preserve"/>
        </x:is>
      </x:c>
      <x:c r="V1402" s="604" t="inlineStr">
        <x:is>
          <x:t xml:space="preserve"/>
        </x:is>
      </x:c>
      <x:c r="W1402" s="604" t="inlineStr">
        <x:is>
          <x:t xml:space="preserve"/>
        </x:is>
      </x:c>
      <x:c r="X1402" s="604" t="inlineStr">
        <x:is>
          <x:t xml:space="preserve">2952591</x:t>
        </x:is>
      </x:c>
      <x:c r="Y1402" s="604" t="inlineStr">
        <x:is>
          <x:t xml:space="preserve">V4</x:t>
        </x:is>
      </x:c>
      <x:c r="Z1402" s="604" t="inlineStr">
        <x:is>
          <x:t xml:space="preserve">prior-2026-10-09-v1</x:t>
        </x:is>
      </x:c>
      <x:c r="AA1402" s="604" t="inlineStr">
        <x:is>
          <x:t xml:space="preserve">N</x:t>
        </x:is>
      </x:c>
      <x:c r="AB1402" s="604" t="n">
        <x:v>0.2239646437792293</x:v>
      </x:c>
      <x:c r="AC1402" s="604" t="n">
        <x:v>0.7760353562207707</x:v>
      </x:c>
      <x:c r="AD1402" s="604" t="n">
        <x:v>-0.75</x:v>
      </x:c>
      <x:c r="AE1402" s="604" t="n"/>
      <x:c r="AF1402" s="604" t="n"/>
      <x:c r="AG1402" s="604" t="n">
        <x:v>0.404623994759595</x:v>
      </x:c>
      <x:c r="AH1402" s="604" t="n"/>
      <x:c r="AI1402" s="604" t="n"/>
      <x:c r="AJ1402" s="604" t="n">
        <x:v>0.404623994759595</x:v>
      </x:c>
      <x:c r="AK1402" s="604" t="n"/>
      <x:c r="AL1402" s="604" t="n"/>
      <x:c r="AM1402" s="604" t="n"/>
      <x:c r="AN1402" s="604" t="inlineStr">
        <x:is>
          <x:t xml:space="preserve">EVALUATED</x:t>
        </x:is>
      </x:c>
      <x:c r="AO1402" s="604" t="inlineStr">
        <x:is>
          <x:t xml:space="preserve">LOW_QUALITY_GATE;BUCKET_PRIOR_ONLY;INTENT_INTERPRETATION_ONLY;FFL_OPTIONAL;EXPERT_MARKET</x:t>
        </x:is>
      </x:c>
      <x:c r="AP1402" s="604" t="inlineStr">
        <x:is>
          <x:t xml:space="preserve">69a5b28d71c02fe7c56b</x:t>
        </x:is>
      </x:c>
      <x:c r="AQ1402" s="604" t="n"/>
      <x:c r="AR1402" s="604" t="n"/>
      <x:c r="AS1402" s="604" t="n">
        <x:v>-0.5</x:v>
      </x:c>
      <x:c r="AT1402" s="604" t="n">
        <x:v>0.5</x:v>
      </x:c>
      <x:c r="AU1402" s="604" t="n">
        <x:v>0.8100000000000001</x:v>
      </x:c>
      <x:c r="AV1402" s="604" t="n">
        <x:v>0.93</x:v>
      </x:c>
      <x:c r="AW1402" s="604" t="inlineStr">
        <x:is>
          <x:t xml:space="preserve">2026-10-09T09:01:21.127001+08:00</x:t>
        </x:is>
      </x:c>
      <x:c r="AX1402" s="604" t="inlineStr">
        <x:is>
          <x:t xml:space="preserve">Titan007/V4</x:t>
        </x:is>
      </x:c>
      <x:c r="AY1402" s="604" t="inlineStr">
        <x:is>
          <x:t xml:space="preserve">Daily append；市场输入缺失时不生成决策</x:t>
        </x:is>
      </x:c>
    </x:row>
    <x:row r="1403" ht="22" customHeight="1">
      <x:c r="A1403" s="604" t="inlineStr">
        <x:is>
          <x:t xml:space="preserve">2026-10-09</x:t>
        </x:is>
      </x:c>
      <x:c r="B1403" s="604" t="inlineStr">
        <x:is>
          <x:t xml:space="preserve">2026-10-09T20:00:00+08:00</x:t>
        </x:is>
      </x:c>
      <x:c r="C1403" s="604" t="str">
        <x:v>欧洲非五大系列</x:v>
      </x:c>
      <x:c r="D1403" s="604" t="inlineStr">
        <x:is>
          <x:t xml:space="preserve"/>
        </x:is>
      </x:c>
      <x:c r="E1403" s="604" t="inlineStr">
        <x:is>
          <x:t xml:space="preserve">俄青联</x:t>
        </x:is>
      </x:c>
      <x:c r="F1403" s="604" t="inlineStr">
        <x:is>
          <x:t xml:space="preserve">法克尔青年队 vs 莫斯科切尔塔诺沃青年队</x:t>
        </x:is>
      </x:c>
      <x:c r="G1403" s="604" t="n">
        <x:v>0.87</x:v>
      </x:c>
      <x:c r="H1403" s="604" t="n">
        <x:v>-0.25</x:v>
      </x:c>
      <x:c r="I1403" s="604" t="n">
        <x:v>0.87</x:v>
      </x:c>
      <x:c r="J1403" s="604" t="inlineStr">
        <x:is>
          <x:t xml:space="preserve">0.87/-0.25/0.87</x:t>
        </x:is>
      </x:c>
      <x:c r="K1403" s="604" t="inlineStr">
        <x:is>
          <x:t xml:space="preserve">V4-N</x:t>
        </x:is>
      </x:c>
      <x:c r="L1403" s="604" t="inlineStr">
        <x:is>
          <x:t xml:space="preserve"/>
        </x:is>
      </x:c>
      <x:c r="M1403" s="604" t="n">
        <x:v>0.282519584436735</x:v>
      </x:c>
      <x:c r="N1403" s="604" t="inlineStr">
        <x:is>
          <x:t xml:space="preserve">V4 Shadow Only；real_money=false</x:t>
        </x:is>
      </x:c>
      <x:c r="O1403" s="604" t="inlineStr">
        <x:is>
          <x:t xml:space="preserve">0-0</x:t>
        </x:is>
      </x:c>
      <x:c r="P1403" s="604" t="inlineStr">
        <x:is>
          <x:t xml:space="preserve">EVALUATED</x:t>
        </x:is>
      </x:c>
      <x:c r="Q1403" s="630" t="inlineStr">
        <x:is>
          <x:t xml:space="preserve"/>
        </x:is>
      </x:c>
      <x:c r="R1403" s="604" t="n"/>
      <x:c r="S1403" s="604" t="n"/>
      <x:c r="T1403" s="604" t="inlineStr">
        <x:is>
          <x:t xml:space="preserve">D:\codex\v3_legacy\outputs\football_odds_trader\raw\titan007\20261009\20261009_085232_titan007_odds_snapshot.csv</x:t>
        </x:is>
      </x:c>
      <x:c r="U1403" s="628" t="inlineStr">
        <x:is>
          <x:t xml:space="preserve"/>
        </x:is>
      </x:c>
      <x:c r="V1403" s="604" t="inlineStr">
        <x:is>
          <x:t xml:space="preserve"/>
        </x:is>
      </x:c>
      <x:c r="W1403" s="604" t="inlineStr">
        <x:is>
          <x:t xml:space="preserve"/>
        </x:is>
      </x:c>
      <x:c r="X1403" s="604" t="inlineStr">
        <x:is>
          <x:t xml:space="preserve">2952592</x:t>
        </x:is>
      </x:c>
      <x:c r="Y1403" s="604" t="inlineStr">
        <x:is>
          <x:t xml:space="preserve">V4</x:t>
        </x:is>
      </x:c>
      <x:c r="Z1403" s="604" t="inlineStr">
        <x:is>
          <x:t xml:space="preserve">prior-2026-10-09-v1</x:t>
        </x:is>
      </x:c>
      <x:c r="AA1403" s="604" t="inlineStr">
        <x:is>
          <x:t xml:space="preserve">N</x:t>
        </x:is>
      </x:c>
      <x:c r="AB1403" s="604" t="n">
        <x:v>0.282519584436735</x:v>
      </x:c>
      <x:c r="AC1403" s="604" t="n">
        <x:v>0.5886953607443479</x:v>
      </x:c>
      <x:c r="AD1403" s="604" t="n">
        <x:v>-0.5</x:v>
      </x:c>
      <x:c r="AE1403" s="604" t="n"/>
      <x:c r="AF1403" s="604" t="n"/>
      <x:c r="AG1403" s="604" t="n">
        <x:v>0.2296453794108476</x:v>
      </x:c>
      <x:c r="AH1403" s="604" t="n"/>
      <x:c r="AI1403" s="604" t="n"/>
      <x:c r="AJ1403" s="604" t="n">
        <x:v>0.2296453794108476</x:v>
      </x:c>
      <x:c r="AK1403" s="604" t="n"/>
      <x:c r="AL1403" s="604" t="n"/>
      <x:c r="AM1403" s="604" t="n"/>
      <x:c r="AN1403" s="604" t="inlineStr">
        <x:is>
          <x:t xml:space="preserve">EVALUATED</x:t>
        </x:is>
      </x:c>
      <x:c r="AO1403" s="604" t="inlineStr">
        <x:is>
          <x:t xml:space="preserve">LOW_QUALITY_GATE;BUCKET_PRIOR_ONLY;INTENT_INTERPRETATION_ONLY;FFL_OPTIONAL;EXPERT_MARKET</x:t>
        </x:is>
      </x:c>
      <x:c r="AP1403" s="604" t="inlineStr">
        <x:is>
          <x:t xml:space="preserve">a54d9cd01dbcf8e8b60e</x:t>
        </x:is>
      </x:c>
      <x:c r="AQ1403" s="604" t="n"/>
      <x:c r="AR1403" s="604" t="n"/>
      <x:c r="AS1403" s="604" t="n">
        <x:v>-0.25</x:v>
      </x:c>
      <x:c r="AT1403" s="604" t="n">
        <x:v>0.25</x:v>
      </x:c>
      <x:c r="AU1403" s="604" t="n">
        <x:v>0.87</x:v>
      </x:c>
      <x:c r="AV1403" s="604" t="n">
        <x:v>0.87</x:v>
      </x:c>
      <x:c r="AW1403" s="604" t="inlineStr">
        <x:is>
          <x:t xml:space="preserve">2026-10-09T09:01:21.127001+08:00</x:t>
        </x:is>
      </x:c>
      <x:c r="AX1403" s="604" t="inlineStr">
        <x:is>
          <x:t xml:space="preserve">Titan007/V4</x:t>
        </x:is>
      </x:c>
      <x:c r="AY1403" s="604" t="inlineStr">
        <x:is>
          <x:t xml:space="preserve">Daily append；市场输入缺失时不生成决策</x:t>
        </x:is>
      </x:c>
    </x:row>
    <x:row r="1404" ht="22" customHeight="1">
      <x:c r="A1404" s="604" t="inlineStr">
        <x:is>
          <x:t xml:space="preserve">2026-10-09</x:t>
        </x:is>
      </x:c>
      <x:c r="B1404" s="604" t="inlineStr">
        <x:is>
          <x:t xml:space="preserve">2026-10-09T20:00:00+08:00</x:t>
        </x:is>
      </x:c>
      <x:c r="C1404" s="604" t="str">
        <x:v>欧洲非五大系列</x:v>
      </x:c>
      <x:c r="D1404" s="604" t="inlineStr">
        <x:is>
          <x:t xml:space="preserve"/>
        </x:is>
      </x:c>
      <x:c r="E1404" s="604" t="inlineStr">
        <x:is>
          <x:t xml:space="preserve">俄青联</x:t>
        </x:is>
      </x:c>
      <x:c r="F1404" s="604" t="inlineStr">
        <x:is>
          <x:t xml:space="preserve">莫斯科火车头青年队 vs 圣彼德斯堡青年队</x:t>
        </x:is>
      </x:c>
      <x:c r="G1404" s="604" t="n">
        <x:v>0.79</x:v>
      </x:c>
      <x:c r="H1404" s="604" t="n">
        <x:v>0</x:v>
      </x:c>
      <x:c r="I1404" s="604" t="n">
        <x:v>0.95</x:v>
      </x:c>
      <x:c r="J1404" s="604" t="inlineStr">
        <x:is>
          <x:t xml:space="preserve">0.79/0.0/0.95</x:t>
        </x:is>
      </x:c>
      <x:c r="K1404" s="604" t="inlineStr">
        <x:is>
          <x:t xml:space="preserve">V4-N</x:t>
        </x:is>
      </x:c>
      <x:c r="L1404" s="604" t="inlineStr">
        <x:is>
          <x:t xml:space="preserve"/>
        </x:is>
      </x:c>
      <x:c r="M1404" s="604" t="n"/>
      <x:c r="N1404" s="604" t="inlineStr">
        <x:is>
          <x:t xml:space="preserve">V4 Shadow Only；real_money=false</x:t>
        </x:is>
      </x:c>
      <x:c r="O1404" s="604" t="inlineStr">
        <x:is>
          <x:t xml:space="preserve">0-0</x:t>
        </x:is>
      </x:c>
      <x:c r="P1404" s="604" t="inlineStr">
        <x:is>
          <x:t xml:space="preserve">NEUTRAL</x:t>
        </x:is>
      </x:c>
      <x:c r="Q1404" s="630" t="inlineStr">
        <x:is>
          <x:t xml:space="preserve"/>
        </x:is>
      </x:c>
      <x:c r="R1404" s="604" t="n"/>
      <x:c r="S1404" s="604" t="n"/>
      <x:c r="T1404" s="604" t="inlineStr">
        <x:is>
          <x:t xml:space="preserve">D:\codex\v3_legacy\outputs\football_odds_trader\raw\titan007\20261009\20261009_085232_titan007_odds_snapshot.csv</x:t>
        </x:is>
      </x:c>
      <x:c r="U1404" s="628" t="inlineStr">
        <x:is>
          <x:t xml:space="preserve"/>
        </x:is>
      </x:c>
      <x:c r="V1404" s="604" t="inlineStr">
        <x:is>
          <x:t xml:space="preserve"/>
        </x:is>
      </x:c>
      <x:c r="W1404" s="604" t="inlineStr">
        <x:is>
          <x:t xml:space="preserve"/>
        </x:is>
      </x:c>
      <x:c r="X1404" s="604" t="inlineStr">
        <x:is>
          <x:t xml:space="preserve">2952593</x:t>
        </x:is>
      </x:c>
      <x:c r="Y1404" s="604" t="inlineStr">
        <x:is>
          <x:t xml:space="preserve">V4</x:t>
        </x:is>
      </x:c>
      <x:c r="Z1404" s="604" t="inlineStr">
        <x:is>
          <x:t xml:space="preserve">prior-2026-10-09-v1</x:t>
        </x:is>
      </x:c>
      <x:c r="AA1404" s="604" t="inlineStr">
        <x:is>
          <x:t xml:space="preserve">N</x:t>
        </x:is>
      </x:c>
      <x:c r="AB1404" s="604" t="n"/>
      <x:c r="AC1404" s="604" t="n"/>
      <x:c r="AD1404" s="604" t="n"/>
      <x:c r="AE1404" s="604" t="n"/>
      <x:c r="AF1404" s="604" t="n"/>
      <x:c r="AG1404" s="604" t="n"/>
      <x:c r="AH1404" s="604" t="n"/>
      <x:c r="AI1404" s="604" t="n"/>
      <x:c r="AJ1404" s="604" t="n"/>
      <x:c r="AK1404" s="604" t="n"/>
      <x:c r="AL1404" s="604" t="n"/>
      <x:c r="AM1404" s="604" t="n"/>
      <x:c r="AN1404" s="604" t="inlineStr">
        <x:is>
          <x:t xml:space="preserve">NEUTRAL</x:t>
        </x:is>
      </x:c>
      <x:c r="AO1404" s="604" t="inlineStr">
        <x:is>
          <x:t xml:space="preserve">PK_NO_GIVING_RECEIVING_IDENTITY</x:t>
        </x:is>
      </x:c>
      <x:c r="AP1404" s="604" t="inlineStr">
        <x:is>
          <x:t xml:space="preserve">ab5a88703b7b603fb7c4</x:t>
        </x:is>
      </x:c>
      <x:c r="AQ1404" s="604" t="n"/>
      <x:c r="AR1404" s="604" t="n"/>
      <x:c r="AS1404" s="604" t="n"/>
      <x:c r="AT1404" s="604" t="n"/>
      <x:c r="AU1404" s="604" t="n"/>
      <x:c r="AV1404" s="604" t="n"/>
      <x:c r="AW1404" s="604" t="inlineStr">
        <x:is>
          <x:t xml:space="preserve">2026-10-09T09:01:21.127001+08:00</x:t>
        </x:is>
      </x:c>
      <x:c r="AX1404" s="604" t="inlineStr">
        <x:is>
          <x:t xml:space="preserve">Titan007/V4</x:t>
        </x:is>
      </x:c>
      <x:c r="AY1404" s="604" t="inlineStr">
        <x:is>
          <x:t xml:space="preserve">Daily append；市场输入缺失时不生成决策</x:t>
        </x:is>
      </x:c>
    </x:row>
    <x:row r="1405" ht="22" customHeight="1">
      <x:c r="A1405" s="604" t="inlineStr">
        <x:is>
          <x:t xml:space="preserve">2026-10-09</x:t>
        </x:is>
      </x:c>
      <x:c r="B1405" s="604" t="inlineStr">
        <x:is>
          <x:t xml:space="preserve">2026-10-09T18:00:00+08:00</x:t>
        </x:is>
      </x:c>
      <x:c r="C1405" s="604" t="str">
        <x:v>欧洲非五大系列</x:v>
      </x:c>
      <x:c r="D1405" s="604" t="inlineStr">
        <x:is>
          <x:t xml:space="preserve"/>
        </x:is>
      </x:c>
      <x:c r="E1405" s="604" t="inlineStr">
        <x:is>
          <x:t xml:space="preserve">俄青联</x:t>
        </x:is>
      </x:c>
      <x:c r="F1405" s="604" t="inlineStr">
        <x:is>
          <x:t xml:space="preserve">诺夫哥罗德青年队 vs 罗斯杜夫青年队</x:t>
        </x:is>
      </x:c>
      <x:c r="G1405" s="604" t="n">
        <x:v>0.8</x:v>
      </x:c>
      <x:c r="H1405" s="604" t="n">
        <x:v>-0.75</x:v>
      </x:c>
      <x:c r="I1405" s="604" t="n">
        <x:v>0.9399999999999999</x:v>
      </x:c>
      <x:c r="J1405" s="604" t="inlineStr">
        <x:is>
          <x:t xml:space="preserve">0.8/-0.75/0.94</x:t>
        </x:is>
      </x:c>
      <x:c r="K1405" s="604" t="inlineStr">
        <x:is>
          <x:t xml:space="preserve">V4-N</x:t>
        </x:is>
      </x:c>
      <x:c r="L1405" s="604" t="inlineStr">
        <x:is>
          <x:t xml:space="preserve"/>
        </x:is>
      </x:c>
      <x:c r="M1405" s="604" t="n">
        <x:v>0.1228336480596095</x:v>
      </x:c>
      <x:c r="N1405" s="604" t="inlineStr">
        <x:is>
          <x:t xml:space="preserve">V4 Shadow Only；real_money=false</x:t>
        </x:is>
      </x:c>
      <x:c r="O1405" s="604" t="inlineStr">
        <x:is>
          <x:t xml:space="preserve">0-0</x:t>
        </x:is>
      </x:c>
      <x:c r="P1405" s="604" t="inlineStr">
        <x:is>
          <x:t xml:space="preserve">EVALUATED</x:t>
        </x:is>
      </x:c>
      <x:c r="Q1405" s="630" t="inlineStr">
        <x:is>
          <x:t xml:space="preserve"/>
        </x:is>
      </x:c>
      <x:c r="R1405" s="604" t="n"/>
      <x:c r="S1405" s="604" t="n"/>
      <x:c r="T1405" s="604" t="inlineStr">
        <x:is>
          <x:t xml:space="preserve">D:\codex\v3_legacy\outputs\football_odds_trader\raw\titan007\20261009\20261009_085232_titan007_odds_snapshot.csv</x:t>
        </x:is>
      </x:c>
      <x:c r="U1405" s="628" t="inlineStr">
        <x:is>
          <x:t xml:space="preserve"/>
        </x:is>
      </x:c>
      <x:c r="V1405" s="604" t="inlineStr">
        <x:is>
          <x:t xml:space="preserve"/>
        </x:is>
      </x:c>
      <x:c r="W1405" s="604" t="inlineStr">
        <x:is>
          <x:t xml:space="preserve"/>
        </x:is>
      </x:c>
      <x:c r="X1405" s="604" t="inlineStr">
        <x:is>
          <x:t xml:space="preserve">2952594</x:t>
        </x:is>
      </x:c>
      <x:c r="Y1405" s="604" t="inlineStr">
        <x:is>
          <x:t xml:space="preserve">V4</x:t>
        </x:is>
      </x:c>
      <x:c r="Z1405" s="604" t="inlineStr">
        <x:is>
          <x:t xml:space="preserve">prior-2026-10-09-v1</x:t>
        </x:is>
      </x:c>
      <x:c r="AA1405" s="604" t="inlineStr">
        <x:is>
          <x:t xml:space="preserve">N</x:t>
        </x:is>
      </x:c>
      <x:c r="AB1405" s="604" t="n">
        <x:v>0.1228336480596095</x:v>
      </x:c>
      <x:c r="AC1405" s="604" t="n">
        <x:v>0.8141467376461657</x:v>
      </x:c>
      <x:c r="AD1405" s="604" t="n">
        <x:v>-1</x:v>
      </x:c>
      <x:c r="AE1405" s="604" t="n"/>
      <x:c r="AF1405" s="604" t="n"/>
      <x:c r="AG1405" s="604" t="n">
        <x:v>0.5284837420573233</x:v>
      </x:c>
      <x:c r="AH1405" s="604" t="n"/>
      <x:c r="AI1405" s="604" t="n"/>
      <x:c r="AJ1405" s="604" t="n">
        <x:v>0.5284837420573233</x:v>
      </x:c>
      <x:c r="AK1405" s="604" t="n"/>
      <x:c r="AL1405" s="604" t="n"/>
      <x:c r="AM1405" s="604" t="n"/>
      <x:c r="AN1405" s="604" t="inlineStr">
        <x:is>
          <x:t xml:space="preserve">EVALUATED</x:t>
        </x:is>
      </x:c>
      <x:c r="AO1405" s="604" t="inlineStr">
        <x:is>
          <x:t xml:space="preserve">LOW_QUALITY_GATE;BUCKET_PRIOR_ONLY;INTENT_INTERPRETATION_ONLY;FFL_OPTIONAL;EXPERT_MARKET</x:t>
        </x:is>
      </x:c>
      <x:c r="AP1405" s="604" t="inlineStr">
        <x:is>
          <x:t xml:space="preserve">38166d3b42ef34356ac8</x:t>
        </x:is>
      </x:c>
      <x:c r="AQ1405" s="604" t="n"/>
      <x:c r="AR1405" s="604" t="n"/>
      <x:c r="AS1405" s="604" t="n">
        <x:v>-0.75</x:v>
      </x:c>
      <x:c r="AT1405" s="604" t="n">
        <x:v>0.75</x:v>
      </x:c>
      <x:c r="AU1405" s="604" t="n">
        <x:v>0.8</x:v>
      </x:c>
      <x:c r="AV1405" s="604" t="n">
        <x:v>0.9399999999999999</x:v>
      </x:c>
      <x:c r="AW1405" s="604" t="inlineStr">
        <x:is>
          <x:t xml:space="preserve">2026-10-09T09:01:21.127001+08:00</x:t>
        </x:is>
      </x:c>
      <x:c r="AX1405" s="604" t="inlineStr">
        <x:is>
          <x:t xml:space="preserve">Titan007/V4</x:t>
        </x:is>
      </x:c>
      <x:c r="AY1405" s="604" t="inlineStr">
        <x:is>
          <x:t xml:space="preserve">Daily append；市场输入缺失时不生成决策</x:t>
        </x:is>
      </x:c>
    </x:row>
    <x:row r="1406" ht="22" customHeight="1">
      <x:c r="A1406" s="604" t="inlineStr">
        <x:is>
          <x:t xml:space="preserve">2026-10-09</x:t>
        </x:is>
      </x:c>
      <x:c r="B1406" s="604" t="inlineStr">
        <x:is>
          <x:t xml:space="preserve">2026-10-09T20:00:00+08:00</x:t>
        </x:is>
      </x:c>
      <x:c r="C1406" s="604" t="str">
        <x:v>欧洲非五大系列</x:v>
      </x:c>
      <x:c r="D1406" s="604" t="inlineStr">
        <x:is>
          <x:t xml:space="preserve"/>
        </x:is>
      </x:c>
      <x:c r="E1406" s="604" t="inlineStr">
        <x:is>
          <x:t xml:space="preserve">俄青联</x:t>
        </x:is>
      </x:c>
      <x:c r="F1406" s="604" t="inlineStr">
        <x:is>
          <x:t xml:space="preserve">莫斯科斯巴达青年队 vs 乌拉尔青年队</x:t>
        </x:is>
      </x:c>
      <x:c r="G1406" s="604" t="n">
        <x:v>0.87</x:v>
      </x:c>
      <x:c r="H1406" s="604" t="n">
        <x:v>1.25</x:v>
      </x:c>
      <x:c r="I1406" s="604" t="n">
        <x:v>0.87</x:v>
      </x:c>
      <x:c r="J1406" s="604" t="inlineStr">
        <x:is>
          <x:t xml:space="preserve">0.87/1.25/0.87</x:t>
        </x:is>
      </x:c>
      <x:c r="K1406" s="604" t="inlineStr">
        <x:is>
          <x:t xml:space="preserve">V4-N</x:t>
        </x:is>
      </x:c>
      <x:c r="L1406" s="604" t="inlineStr">
        <x:is>
          <x:t xml:space="preserve"/>
        </x:is>
      </x:c>
      <x:c r="M1406" s="604" t="n">
        <x:v>0.5049573749214288</x:v>
      </x:c>
      <x:c r="N1406" s="604" t="inlineStr">
        <x:is>
          <x:t xml:space="preserve">V4 Shadow Only；real_money=false</x:t>
        </x:is>
      </x:c>
      <x:c r="O1406" s="604" t="inlineStr">
        <x:is>
          <x:t xml:space="preserve">0-0</x:t>
        </x:is>
      </x:c>
      <x:c r="P1406" s="604" t="inlineStr">
        <x:is>
          <x:t xml:space="preserve">EVALUATED</x:t>
        </x:is>
      </x:c>
      <x:c r="Q1406" s="630" t="inlineStr">
        <x:is>
          <x:t xml:space="preserve"/>
        </x:is>
      </x:c>
      <x:c r="R1406" s="604" t="n"/>
      <x:c r="S1406" s="604" t="n"/>
      <x:c r="T1406" s="604" t="inlineStr">
        <x:is>
          <x:t xml:space="preserve">D:\codex\v3_legacy\outputs\football_odds_trader\raw\titan007\20261009\20261009_085232_titan007_odds_snapshot.csv</x:t>
        </x:is>
      </x:c>
      <x:c r="U1406" s="628" t="inlineStr">
        <x:is>
          <x:t xml:space="preserve"/>
        </x:is>
      </x:c>
      <x:c r="V1406" s="604" t="inlineStr">
        <x:is>
          <x:t xml:space="preserve"/>
        </x:is>
      </x:c>
      <x:c r="W1406" s="604" t="inlineStr">
        <x:is>
          <x:t xml:space="preserve"/>
        </x:is>
      </x:c>
      <x:c r="X1406" s="604" t="inlineStr">
        <x:is>
          <x:t xml:space="preserve">2952595</x:t>
        </x:is>
      </x:c>
      <x:c r="Y1406" s="604" t="inlineStr">
        <x:is>
          <x:t xml:space="preserve">V4</x:t>
        </x:is>
      </x:c>
      <x:c r="Z1406" s="604" t="inlineStr">
        <x:is>
          <x:t xml:space="preserve">prior-2026-10-09-v1</x:t>
        </x:is>
      </x:c>
      <x:c r="AA1406" s="604" t="inlineStr">
        <x:is>
          <x:t xml:space="preserve">N</x:t>
        </x:is>
      </x:c>
      <x:c r="AB1406" s="604" t="n">
        <x:v>0.5049573749214288</x:v>
      </x:c>
      <x:c r="AC1406" s="604" t="n">
        <x:v>0.3706404302843626</x:v>
      </x:c>
      <x:c r="AD1406" s="604" t="n">
        <x:v>1.75</x:v>
      </x:c>
      <x:c r="AE1406" s="604" t="n"/>
      <x:c r="AF1406" s="604" t="n"/>
      <x:c r="AG1406" s="604" t="n">
        <x:v>0.06867248589728042</x:v>
      </x:c>
      <x:c r="AH1406" s="604" t="n"/>
      <x:c r="AI1406" s="604" t="n"/>
      <x:c r="AJ1406" s="604" t="n">
        <x:v>0.06867248589728042</x:v>
      </x:c>
      <x:c r="AK1406" s="604" t="n"/>
      <x:c r="AL1406" s="604" t="n"/>
      <x:c r="AM1406" s="604" t="n"/>
      <x:c r="AN1406" s="604" t="inlineStr">
        <x:is>
          <x:t xml:space="preserve">EVALUATED</x:t>
        </x:is>
      </x:c>
      <x:c r="AO1406" s="604" t="inlineStr">
        <x:is>
          <x:t xml:space="preserve">LOW_QUALITY_GATE;BUCKET_PRIOR_ONLY;INTENT_INTERPRETATION_ONLY;FFL_OPTIONAL;EXPERT_MARKET</x:t>
        </x:is>
      </x:c>
      <x:c r="AP1406" s="604" t="inlineStr">
        <x:is>
          <x:t xml:space="preserve">af4fec5e54ff594faef5</x:t>
        </x:is>
      </x:c>
      <x:c r="AQ1406" s="604" t="n"/>
      <x:c r="AR1406" s="604" t="n"/>
      <x:c r="AS1406" s="604" t="n">
        <x:v>1.25</x:v>
      </x:c>
      <x:c r="AT1406" s="604" t="n">
        <x:v>-1.25</x:v>
      </x:c>
      <x:c r="AU1406" s="604" t="n">
        <x:v>0.87</x:v>
      </x:c>
      <x:c r="AV1406" s="604" t="n">
        <x:v>0.87</x:v>
      </x:c>
      <x:c r="AW1406" s="604" t="inlineStr">
        <x:is>
          <x:t xml:space="preserve">2026-10-09T09:01:21.127001+08:00</x:t>
        </x:is>
      </x:c>
      <x:c r="AX1406" s="604" t="inlineStr">
        <x:is>
          <x:t xml:space="preserve">Titan007/V4</x:t>
        </x:is>
      </x:c>
      <x:c r="AY1406" s="604" t="inlineStr">
        <x:is>
          <x:t xml:space="preserve">Daily append；市场输入缺失时不生成决策</x:t>
        </x:is>
      </x:c>
    </x:row>
    <x:row r="1407" ht="22" customHeight="1">
      <x:c r="A1407" s="604" t="inlineStr">
        <x:is>
          <x:t xml:space="preserve">2026-10-09</x:t>
        </x:is>
      </x:c>
      <x:c r="B1407" s="604" t="inlineStr">
        <x:is>
          <x:t xml:space="preserve">2026-10-10T01:30:00+08:00</x:t>
        </x:is>
      </x:c>
      <x:c r="C1407" s="604" t="str">
        <x:v>南美系列</x:v>
      </x:c>
      <x:c r="D1407" s="604" t="inlineStr">
        <x:is>
          <x:t xml:space="preserve"/>
        </x:is>
      </x:c>
      <x:c r="E1407" s="604" t="inlineStr">
        <x:is>
          <x:t xml:space="preserve">阿甲</x:t>
        </x:is>
      </x:c>
      <x:c r="F1407" s="604" t="inlineStr">
        <x:is>
          <x:t xml:space="preserve">阿尔多斯维 vs 萨尔米安杜</x:t>
        </x:is>
      </x:c>
      <x:c r="G1407" s="604" t="n">
        <x:v>0.77</x:v>
      </x:c>
      <x:c r="H1407" s="604" t="n">
        <x:v>0</x:v>
      </x:c>
      <x:c r="I1407" s="604" t="n">
        <x:v>1.12</x:v>
      </x:c>
      <x:c r="J1407" s="604" t="inlineStr">
        <x:is>
          <x:t xml:space="preserve">0.77/0.0/1.12</x:t>
        </x:is>
      </x:c>
      <x:c r="K1407" s="604" t="inlineStr">
        <x:is>
          <x:t xml:space="preserve">V4-N</x:t>
        </x:is>
      </x:c>
      <x:c r="L1407" s="604" t="inlineStr">
        <x:is>
          <x:t xml:space="preserve"/>
        </x:is>
      </x:c>
      <x:c r="M1407" s="604" t="n"/>
      <x:c r="N1407" s="604" t="inlineStr">
        <x:is>
          <x:t xml:space="preserve">V4 Shadow Only；real_money=false</x:t>
        </x:is>
      </x:c>
      <x:c r="O1407" s="604" t="inlineStr">
        <x:is>
          <x:t xml:space="preserve">0-0</x:t>
        </x:is>
      </x:c>
      <x:c r="P1407" s="604" t="inlineStr">
        <x:is>
          <x:t xml:space="preserve">NEUTRAL</x:t>
        </x:is>
      </x:c>
      <x:c r="Q1407" s="630" t="inlineStr">
        <x:is>
          <x:t xml:space="preserve"/>
        </x:is>
      </x:c>
      <x:c r="R1407" s="604" t="n"/>
      <x:c r="S1407" s="604" t="n"/>
      <x:c r="T1407" s="604" t="inlineStr">
        <x:is>
          <x:t xml:space="preserve">D:\codex\v3_legacy\outputs\football_odds_trader\raw\titan007\20261009\20261009_085232_titan007_odds_snapshot.csv</x:t>
        </x:is>
      </x:c>
      <x:c r="U1407" s="628" t="inlineStr">
        <x:is>
          <x:t xml:space="preserve"/>
        </x:is>
      </x:c>
      <x:c r="V1407" s="604" t="inlineStr">
        <x:is>
          <x:t xml:space="preserve"/>
        </x:is>
      </x:c>
      <x:c r="W1407" s="604" t="inlineStr">
        <x:is>
          <x:t xml:space="preserve"/>
        </x:is>
      </x:c>
      <x:c r="X1407" s="604" t="inlineStr">
        <x:is>
          <x:t xml:space="preserve">2962668</x:t>
        </x:is>
      </x:c>
      <x:c r="Y1407" s="604" t="inlineStr">
        <x:is>
          <x:t xml:space="preserve">V4</x:t>
        </x:is>
      </x:c>
      <x:c r="Z1407" s="604" t="inlineStr">
        <x:is>
          <x:t xml:space="preserve">prior-2026-10-09-v1</x:t>
        </x:is>
      </x:c>
      <x:c r="AA1407" s="604" t="inlineStr">
        <x:is>
          <x:t xml:space="preserve">N</x:t>
        </x:is>
      </x:c>
      <x:c r="AB1407" s="604" t="n"/>
      <x:c r="AC1407" s="604" t="n"/>
      <x:c r="AD1407" s="604" t="n"/>
      <x:c r="AE1407" s="604" t="n"/>
      <x:c r="AF1407" s="604" t="n"/>
      <x:c r="AG1407" s="604" t="n"/>
      <x:c r="AH1407" s="604" t="n"/>
      <x:c r="AI1407" s="604" t="n"/>
      <x:c r="AJ1407" s="604" t="n"/>
      <x:c r="AK1407" s="604" t="n"/>
      <x:c r="AL1407" s="604" t="n"/>
      <x:c r="AM1407" s="604" t="n"/>
      <x:c r="AN1407" s="604" t="inlineStr">
        <x:is>
          <x:t xml:space="preserve">NEUTRAL</x:t>
        </x:is>
      </x:c>
      <x:c r="AO1407" s="604" t="inlineStr">
        <x:is>
          <x:t xml:space="preserve">PK_NO_GIVING_RECEIVING_IDENTITY</x:t>
        </x:is>
      </x:c>
      <x:c r="AP1407" s="604" t="inlineStr">
        <x:is>
          <x:t xml:space="preserve">84ce410f60e0e6173805</x:t>
        </x:is>
      </x:c>
      <x:c r="AQ1407" s="604" t="n"/>
      <x:c r="AR1407" s="604" t="n"/>
      <x:c r="AS1407" s="604" t="n"/>
      <x:c r="AT1407" s="604" t="n"/>
      <x:c r="AU1407" s="604" t="n"/>
      <x:c r="AV1407" s="604" t="n"/>
      <x:c r="AW1407" s="604" t="inlineStr">
        <x:is>
          <x:t xml:space="preserve">2026-10-09T09:01:21.127001+08:00</x:t>
        </x:is>
      </x:c>
      <x:c r="AX1407" s="604" t="inlineStr">
        <x:is>
          <x:t xml:space="preserve">Titan007/V4</x:t>
        </x:is>
      </x:c>
      <x:c r="AY1407" s="604" t="inlineStr">
        <x:is>
          <x:t xml:space="preserve">Daily append；市场输入缺失时不生成决策</x:t>
        </x:is>
      </x:c>
    </x:row>
    <x:row r="1408" ht="22" customHeight="1">
      <x:c r="A1408" s="604" t="inlineStr">
        <x:is>
          <x:t xml:space="preserve">2026-10-09</x:t>
        </x:is>
      </x:c>
      <x:c r="B1408" s="604" t="inlineStr">
        <x:is>
          <x:t xml:space="preserve">2026-10-10T05:00:00+08:00</x:t>
        </x:is>
      </x:c>
      <x:c r="C1408" s="604" t="str">
        <x:v>南美系列</x:v>
      </x:c>
      <x:c r="D1408" s="604" t="inlineStr">
        <x:is>
          <x:t xml:space="preserve"/>
        </x:is>
      </x:c>
      <x:c r="E1408" s="604" t="inlineStr">
        <x:is>
          <x:t xml:space="preserve">阿甲</x:t>
        </x:is>
      </x:c>
      <x:c r="F1408" s="604" t="inlineStr">
        <x:is>
          <x:t xml:space="preserve">拉普拉塔体操 vs 图库曼竞技</x:t>
        </x:is>
      </x:c>
      <x:c r="G1408" s="604" t="n">
        <x:v>0.95</x:v>
      </x:c>
      <x:c r="H1408" s="604" t="n">
        <x:v>0.5</x:v>
      </x:c>
      <x:c r="I1408" s="604" t="n">
        <x:v>0.93</x:v>
      </x:c>
      <x:c r="J1408" s="604" t="inlineStr">
        <x:is>
          <x:t xml:space="preserve">0.95/0.5/0.93</x:t>
        </x:is>
      </x:c>
      <x:c r="K1408" s="604" t="inlineStr">
        <x:is>
          <x:t xml:space="preserve">V4-A</x:t>
        </x:is>
      </x:c>
      <x:c r="L1408" s="604" t="inlineStr">
        <x:is>
          <x:t xml:space="preserve">拉普拉塔体操</x:t>
        </x:is>
      </x:c>
      <x:c r="M1408" s="604" t="n">
        <x:v>0.581867035244599</x:v>
      </x:c>
      <x:c r="N1408" s="604" t="inlineStr">
        <x:is>
          <x:t xml:space="preserve">V4 Shadow Only；real_money=false</x:t>
        </x:is>
      </x:c>
      <x:c r="O1408" s="604" t="inlineStr">
        <x:is>
          <x:t xml:space="preserve">0-0</x:t>
        </x:is>
      </x:c>
      <x:c r="P1408" s="604" t="inlineStr">
        <x:is>
          <x:t xml:space="preserve">EVALUATED</x:t>
        </x:is>
      </x:c>
      <x:c r="Q1408" s="630" t="inlineStr">
        <x:is>
          <x:t xml:space="preserve"/>
        </x:is>
      </x:c>
      <x:c r="R1408" s="604" t="n">
        <x:v>0.95</x:v>
      </x:c>
      <x:c r="S1408" s="604" t="n"/>
      <x:c r="T1408" s="604" t="inlineStr">
        <x:is>
          <x:t xml:space="preserve">D:\codex\v3_legacy\outputs\football_odds_trader\raw\titan007\20261009\20261009_085232_titan007_odds_snapshot.csv</x:t>
        </x:is>
      </x:c>
      <x:c r="U1408" s="628" t="inlineStr">
        <x:is>
          <x:t xml:space="preserve"/>
        </x:is>
      </x:c>
      <x:c r="V1408" s="604" t="inlineStr">
        <x:is>
          <x:t xml:space="preserve"/>
        </x:is>
      </x:c>
      <x:c r="W1408" s="604" t="inlineStr">
        <x:is>
          <x:t xml:space="preserve"/>
        </x:is>
      </x:c>
      <x:c r="X1408" s="604" t="inlineStr">
        <x:is>
          <x:t xml:space="preserve">2962671</x:t>
        </x:is>
      </x:c>
      <x:c r="Y1408" s="604" t="inlineStr">
        <x:is>
          <x:t xml:space="preserve">V4</x:t>
        </x:is>
      </x:c>
      <x:c r="Z1408" s="604" t="inlineStr">
        <x:is>
          <x:t xml:space="preserve">prior-2026-10-09-v1</x:t>
        </x:is>
      </x:c>
      <x:c r="AA1408" s="604" t="inlineStr">
        <x:is>
          <x:t xml:space="preserve">A</x:t>
        </x:is>
      </x:c>
      <x:c r="AB1408" s="604" t="n">
        <x:v>0.581867035244599</x:v>
      </x:c>
      <x:c r="AC1408" s="604" t="n">
        <x:v>0.418132964755401</x:v>
      </x:c>
      <x:c r="AD1408" s="604" t="n">
        <x:v>1</x:v>
      </x:c>
      <x:c r="AE1408" s="604" t="n"/>
      <x:c r="AF1408" s="604" t="n"/>
      <x:c r="AG1408" s="604" t="n">
        <x:v>0.1346407187269681</x:v>
      </x:c>
      <x:c r="AH1408" s="604" t="n"/>
      <x:c r="AI1408" s="604" t="n"/>
      <x:c r="AJ1408" s="604" t="n">
        <x:v>0.1346407187269681</x:v>
      </x:c>
      <x:c r="AK1408" s="604" t="n"/>
      <x:c r="AL1408" s="604" t="n"/>
      <x:c r="AM1408" s="604" t="n"/>
      <x:c r="AN1408" s="604" t="inlineStr">
        <x:is>
          <x:t xml:space="preserve">EVALUATED</x:t>
        </x:is>
      </x:c>
      <x:c r="AO1408" s="604" t="inlineStr">
        <x:is>
          <x:t xml:space="preserve">GIVING_VALIDATED_EDGE;BUCKET_PRIOR_ONLY;INTENT_INTERPRETATION_ONLY;FFL_OPTIONAL;EXPERT_MARKET</x:t>
        </x:is>
      </x:c>
      <x:c r="AP1408" s="604" t="inlineStr">
        <x:is>
          <x:t xml:space="preserve">e1bd3c8375bd479ec229</x:t>
        </x:is>
      </x:c>
      <x:c r="AQ1408" s="604" t="n">
        <x:v>-0.5</x:v>
      </x:c>
      <x:c r="AR1408" s="604" t="n">
        <x:v>0.95</x:v>
      </x:c>
      <x:c r="AS1408" s="604" t="n">
        <x:v>0.5</x:v>
      </x:c>
      <x:c r="AT1408" s="604" t="n">
        <x:v>-0.5</x:v>
      </x:c>
      <x:c r="AU1408" s="604" t="n">
        <x:v>0.95</x:v>
      </x:c>
      <x:c r="AV1408" s="604" t="n">
        <x:v>0.93</x:v>
      </x:c>
      <x:c r="AW1408" s="604" t="inlineStr">
        <x:is>
          <x:t xml:space="preserve">2026-10-09T09:01:21.127001+08:00</x:t>
        </x:is>
      </x:c>
      <x:c r="AX1408" s="604" t="inlineStr">
        <x:is>
          <x:t xml:space="preserve">Titan007/V4</x:t>
        </x:is>
      </x:c>
      <x:c r="AY1408" s="604" t="inlineStr">
        <x:is>
          <x:t xml:space="preserve">Daily append；市场输入缺失时不生成决策</x:t>
        </x:is>
      </x:c>
    </x:row>
    <x:row r="1409" ht="22" customHeight="1">
      <x:c r="A1409" s="604" t="inlineStr">
        <x:is>
          <x:t xml:space="preserve">2026-10-09</x:t>
        </x:is>
      </x:c>
      <x:c r="B1409" s="604" t="inlineStr">
        <x:is>
          <x:t xml:space="preserve">2026-10-10T06:30:00+08:00</x:t>
        </x:is>
      </x:c>
      <x:c r="C1409" s="604" t="str">
        <x:v>南美系列</x:v>
      </x:c>
      <x:c r="D1409" s="604" t="inlineStr">
        <x:is>
          <x:t xml:space="preserve"/>
        </x:is>
      </x:c>
      <x:c r="E1409" s="604" t="inlineStr">
        <x:is>
          <x:t xml:space="preserve">阿甲</x:t>
        </x:is>
      </x:c>
      <x:c r="F1409" s="604" t="inlineStr">
        <x:is>
          <x:t xml:space="preserve">科尔多瓦学院 vs 博卡青年</x:t>
        </x:is>
      </x:c>
      <x:c r="G1409" s="604" t="n">
        <x:v>1.09</x:v>
      </x:c>
      <x:c r="H1409" s="604" t="n">
        <x:v>0</x:v>
      </x:c>
      <x:c r="I1409" s="604" t="n">
        <x:v>0.79</x:v>
      </x:c>
      <x:c r="J1409" s="604" t="inlineStr">
        <x:is>
          <x:t xml:space="preserve">1.09/0.0/0.79</x:t>
        </x:is>
      </x:c>
      <x:c r="K1409" s="604" t="inlineStr">
        <x:is>
          <x:t xml:space="preserve">V4-N</x:t>
        </x:is>
      </x:c>
      <x:c r="L1409" s="604" t="inlineStr">
        <x:is>
          <x:t xml:space="preserve"/>
        </x:is>
      </x:c>
      <x:c r="M1409" s="604" t="n"/>
      <x:c r="N1409" s="604" t="inlineStr">
        <x:is>
          <x:t xml:space="preserve">V4 Shadow Only；real_money=false</x:t>
        </x:is>
      </x:c>
      <x:c r="O1409" s="604" t="inlineStr">
        <x:is>
          <x:t xml:space="preserve">0-0</x:t>
        </x:is>
      </x:c>
      <x:c r="P1409" s="604" t="inlineStr">
        <x:is>
          <x:t xml:space="preserve">NEUTRAL</x:t>
        </x:is>
      </x:c>
      <x:c r="Q1409" s="630" t="inlineStr">
        <x:is>
          <x:t xml:space="preserve"/>
        </x:is>
      </x:c>
      <x:c r="R1409" s="604" t="n"/>
      <x:c r="S1409" s="604" t="n"/>
      <x:c r="T1409" s="604" t="inlineStr">
        <x:is>
          <x:t xml:space="preserve">D:\codex\v3_legacy\outputs\football_odds_trader\raw\titan007\20261009\20261009_085232_titan007_odds_snapshot.csv</x:t>
        </x:is>
      </x:c>
      <x:c r="U1409" s="628" t="inlineStr">
        <x:is>
          <x:t xml:space="preserve"/>
        </x:is>
      </x:c>
      <x:c r="V1409" s="604" t="inlineStr">
        <x:is>
          <x:t xml:space="preserve"/>
        </x:is>
      </x:c>
      <x:c r="W1409" s="604" t="inlineStr">
        <x:is>
          <x:t xml:space="preserve"/>
        </x:is>
      </x:c>
      <x:c r="X1409" s="604" t="inlineStr">
        <x:is>
          <x:t xml:space="preserve">2962673</x:t>
        </x:is>
      </x:c>
      <x:c r="Y1409" s="604" t="inlineStr">
        <x:is>
          <x:t xml:space="preserve">V4</x:t>
        </x:is>
      </x:c>
      <x:c r="Z1409" s="604" t="inlineStr">
        <x:is>
          <x:t xml:space="preserve">prior-2026-10-09-v1</x:t>
        </x:is>
      </x:c>
      <x:c r="AA1409" s="604" t="inlineStr">
        <x:is>
          <x:t xml:space="preserve">N</x:t>
        </x:is>
      </x:c>
      <x:c r="AB1409" s="604" t="n"/>
      <x:c r="AC1409" s="604" t="n"/>
      <x:c r="AD1409" s="604" t="n"/>
      <x:c r="AE1409" s="604" t="n"/>
      <x:c r="AF1409" s="604" t="n"/>
      <x:c r="AG1409" s="604" t="n"/>
      <x:c r="AH1409" s="604" t="n"/>
      <x:c r="AI1409" s="604" t="n"/>
      <x:c r="AJ1409" s="604" t="n"/>
      <x:c r="AK1409" s="604" t="n"/>
      <x:c r="AL1409" s="604" t="n"/>
      <x:c r="AM1409" s="604" t="n"/>
      <x:c r="AN1409" s="604" t="inlineStr">
        <x:is>
          <x:t xml:space="preserve">NEUTRAL</x:t>
        </x:is>
      </x:c>
      <x:c r="AO1409" s="604" t="inlineStr">
        <x:is>
          <x:t xml:space="preserve">PK_NO_GIVING_RECEIVING_IDENTITY</x:t>
        </x:is>
      </x:c>
      <x:c r="AP1409" s="604" t="inlineStr">
        <x:is>
          <x:t xml:space="preserve">62e507aabac3e23e83df</x:t>
        </x:is>
      </x:c>
      <x:c r="AQ1409" s="604" t="n"/>
      <x:c r="AR1409" s="604" t="n"/>
      <x:c r="AS1409" s="604" t="n"/>
      <x:c r="AT1409" s="604" t="n"/>
      <x:c r="AU1409" s="604" t="n"/>
      <x:c r="AV1409" s="604" t="n"/>
      <x:c r="AW1409" s="604" t="inlineStr">
        <x:is>
          <x:t xml:space="preserve">2026-10-09T09:01:21.127001+08:00</x:t>
        </x:is>
      </x:c>
      <x:c r="AX1409" s="604" t="inlineStr">
        <x:is>
          <x:t xml:space="preserve">Titan007/V4</x:t>
        </x:is>
      </x:c>
      <x:c r="AY1409" s="604" t="inlineStr">
        <x:is>
          <x:t xml:space="preserve">Daily append；市场输入缺失时不生成决策</x:t>
        </x:is>
      </x:c>
    </x:row>
    <x:row r="1410" ht="22" customHeight="1">
      <x:c r="A1410" s="604" t="inlineStr">
        <x:is>
          <x:t xml:space="preserve">2026-10-09</x:t>
        </x:is>
      </x:c>
      <x:c r="B1410" s="604" t="inlineStr">
        <x:is>
          <x:t xml:space="preserve">2026-10-10T08:45:00+08:00</x:t>
        </x:is>
      </x:c>
      <x:c r="C1410" s="604" t="str">
        <x:v>南美系列</x:v>
      </x:c>
      <x:c r="D1410" s="604" t="inlineStr">
        <x:is>
          <x:t xml:space="preserve"/>
        </x:is>
      </x:c>
      <x:c r="E1410" s="604" t="inlineStr">
        <x:is>
          <x:t xml:space="preserve">阿甲</x:t>
        </x:is>
      </x:c>
      <x:c r="F1410" s="604" t="inlineStr">
        <x:is>
          <x:t xml:space="preserve">圣塔菲联 vs 防卫者</x:t>
        </x:is>
      </x:c>
      <x:c r="G1410" s="604" t="n">
        <x:v>0.9</x:v>
      </x:c>
      <x:c r="H1410" s="604" t="n">
        <x:v>0.25</x:v>
      </x:c>
      <x:c r="I1410" s="604" t="n">
        <x:v>0.98</x:v>
      </x:c>
      <x:c r="J1410" s="604" t="inlineStr">
        <x:is>
          <x:t xml:space="preserve">0.9/0.25/0.98</x:t>
        </x:is>
      </x:c>
      <x:c r="K1410" s="604" t="inlineStr">
        <x:is>
          <x:t xml:space="preserve">V4-C</x:t>
        </x:is>
      </x:c>
      <x:c r="L1410" s="604" t="inlineStr">
        <x:is>
          <x:t xml:space="preserve">圣塔菲联</x:t>
        </x:is>
      </x:c>
      <x:c r="M1410" s="604" t="n">
        <x:v>0.489621379192558</x:v>
      </x:c>
      <x:c r="N1410" s="604" t="inlineStr">
        <x:is>
          <x:t xml:space="preserve">V4 Shadow Only；real_money=false</x:t>
        </x:is>
      </x:c>
      <x:c r="O1410" s="604" t="inlineStr">
        <x:is>
          <x:t xml:space="preserve">0-0</x:t>
        </x:is>
      </x:c>
      <x:c r="P1410" s="604" t="inlineStr">
        <x:is>
          <x:t xml:space="preserve">EVALUATED</x:t>
        </x:is>
      </x:c>
      <x:c r="Q1410" s="630" t="inlineStr">
        <x:is>
          <x:t xml:space="preserve"/>
        </x:is>
      </x:c>
      <x:c r="R1410" s="604" t="n">
        <x:v>0.9</x:v>
      </x:c>
      <x:c r="S1410" s="604" t="n"/>
      <x:c r="T1410" s="604" t="inlineStr">
        <x:is>
          <x:t xml:space="preserve">D:\codex\v3_legacy\outputs\football_odds_trader\raw\titan007\20261009\20261009_085232_titan007_odds_snapshot.csv</x:t>
        </x:is>
      </x:c>
      <x:c r="U1410" s="628" t="inlineStr">
        <x:is>
          <x:t xml:space="preserve"/>
        </x:is>
      </x:c>
      <x:c r="V1410" s="604" t="inlineStr">
        <x:is>
          <x:t xml:space="preserve"/>
        </x:is>
      </x:c>
      <x:c r="W1410" s="604" t="inlineStr">
        <x:is>
          <x:t xml:space="preserve"/>
        </x:is>
      </x:c>
      <x:c r="X1410" s="604" t="inlineStr">
        <x:is>
          <x:t xml:space="preserve">2962682</x:t>
        </x:is>
      </x:c>
      <x:c r="Y1410" s="604" t="inlineStr">
        <x:is>
          <x:t xml:space="preserve">V4</x:t>
        </x:is>
      </x:c>
      <x:c r="Z1410" s="604" t="inlineStr">
        <x:is>
          <x:t xml:space="preserve">prior-2026-10-09-v1</x:t>
        </x:is>
      </x:c>
      <x:c r="AA1410" s="604" t="inlineStr">
        <x:is>
          <x:t xml:space="preserve">C</x:t>
        </x:is>
      </x:c>
      <x:c r="AB1410" s="604" t="n">
        <x:v>0.489621379192558</x:v>
      </x:c>
      <x:c r="AC1410" s="604" t="n">
        <x:v>0.3826375011534896</x:v>
      </x:c>
      <x:c r="AD1410" s="604" t="n">
        <x:v>0.5</x:v>
      </x:c>
      <x:c r="AE1410" s="604" t="n"/>
      <x:c r="AF1410" s="604" t="n"/>
      <x:c r="AG1410" s="604" t="n">
        <x:v>0.05802174011981265</x:v>
      </x:c>
      <x:c r="AH1410" s="604" t="n"/>
      <x:c r="AI1410" s="604" t="n"/>
      <x:c r="AJ1410" s="604" t="n">
        <x:v>0.05802174011981265</x:v>
      </x:c>
      <x:c r="AK1410" s="604" t="n"/>
      <x:c r="AL1410" s="604" t="n"/>
      <x:c r="AM1410" s="604" t="n"/>
      <x:c r="AN1410" s="604" t="inlineStr">
        <x:is>
          <x:t xml:space="preserve">EVALUATED</x:t>
        </x:is>
      </x:c>
      <x:c r="AO1410" s="604" t="inlineStr">
        <x:is>
          <x:t xml:space="preserve">GIVING_VALIDATED_EDGE;BUCKET_PRIOR_ONLY;INTENT_INTERPRETATION_ONLY;FFL_OPTIONAL;EXPERT_MARKET</x:t>
        </x:is>
      </x:c>
      <x:c r="AP1410" s="604" t="inlineStr">
        <x:is>
          <x:t xml:space="preserve">dc88eca927c6403ec0df</x:t>
        </x:is>
      </x:c>
      <x:c r="AQ1410" s="604" t="n">
        <x:v>-0.25</x:v>
      </x:c>
      <x:c r="AR1410" s="604" t="n">
        <x:v>0.9</x:v>
      </x:c>
      <x:c r="AS1410" s="604" t="n">
        <x:v>0.25</x:v>
      </x:c>
      <x:c r="AT1410" s="604" t="n">
        <x:v>-0.25</x:v>
      </x:c>
      <x:c r="AU1410" s="604" t="n">
        <x:v>0.9</x:v>
      </x:c>
      <x:c r="AV1410" s="604" t="n">
        <x:v>0.98</x:v>
      </x:c>
      <x:c r="AW1410" s="604" t="inlineStr">
        <x:is>
          <x:t xml:space="preserve">2026-10-09T09:01:21.127001+08:00</x:t>
        </x:is>
      </x:c>
      <x:c r="AX1410" s="604" t="inlineStr">
        <x:is>
          <x:t xml:space="preserve">Titan007/V4</x:t>
        </x:is>
      </x:c>
      <x:c r="AY1410" s="604" t="inlineStr">
        <x:is>
          <x:t xml:space="preserve">Daily append；市场输入缺失时不生成决策</x:t>
        </x:is>
      </x:c>
    </x:row>
    <x:row r="1411" ht="22" customHeight="1">
      <x:c r="A1411" s="604" t="inlineStr">
        <x:is>
          <x:t xml:space="preserve">2026-10-09</x:t>
        </x:is>
      </x:c>
      <x:c r="B1411" s="604" t="inlineStr">
        <x:is>
          <x:t xml:space="preserve">2026-10-09T18:00:00+08:00</x:t>
        </x:is>
      </x:c>
      <x:c r="C1411" s="604" t="str">
        <x:v>西亚/中亚系列</x:v>
      </x:c>
      <x:c r="D1411" s="604" t="inlineStr">
        <x:is>
          <x:t xml:space="preserve"/>
        </x:is>
      </x:c>
      <x:c r="E1411" s="604" t="inlineStr">
        <x:is>
          <x:t xml:space="preserve">哈萨克甲</x:t>
        </x:is>
      </x:c>
      <x:c r="F1411" s="604" t="inlineStr">
        <x:is>
          <x:t xml:space="preserve">伊基巴斯图特 vs 汗腾格里</x:t>
        </x:is>
      </x:c>
      <x:c r="G1411" s="604" t="n">
        <x:v>0.74</x:v>
      </x:c>
      <x:c r="H1411" s="604" t="n">
        <x:v>0</x:v>
      </x:c>
      <x:c r="I1411" s="604" t="n">
        <x:v>0.93</x:v>
      </x:c>
      <x:c r="J1411" s="604" t="inlineStr">
        <x:is>
          <x:t xml:space="preserve">0.74/0.0/0.93</x:t>
        </x:is>
      </x:c>
      <x:c r="K1411" s="604" t="inlineStr">
        <x:is>
          <x:t xml:space="preserve">V4-N</x:t>
        </x:is>
      </x:c>
      <x:c r="L1411" s="604" t="inlineStr">
        <x:is>
          <x:t xml:space="preserve"/>
        </x:is>
      </x:c>
      <x:c r="M1411" s="604" t="n"/>
      <x:c r="N1411" s="604" t="inlineStr">
        <x:is>
          <x:t xml:space="preserve">V4 Shadow Only；real_money=false</x:t>
        </x:is>
      </x:c>
      <x:c r="O1411" s="604" t="inlineStr">
        <x:is>
          <x:t xml:space="preserve">0-0</x:t>
        </x:is>
      </x:c>
      <x:c r="P1411" s="604" t="inlineStr">
        <x:is>
          <x:t xml:space="preserve">NEUTRAL</x:t>
        </x:is>
      </x:c>
      <x:c r="Q1411" s="630" t="inlineStr">
        <x:is>
          <x:t xml:space="preserve"/>
        </x:is>
      </x:c>
      <x:c r="R1411" s="604" t="n"/>
      <x:c r="S1411" s="604" t="n"/>
      <x:c r="T1411" s="604" t="inlineStr">
        <x:is>
          <x:t xml:space="preserve">D:\codex\v3_legacy\outputs\football_odds_trader\raw\titan007\20261009\20261009_085232_titan007_odds_snapshot.csv</x:t>
        </x:is>
      </x:c>
      <x:c r="U1411" s="628" t="inlineStr">
        <x:is>
          <x:t xml:space="preserve"/>
        </x:is>
      </x:c>
      <x:c r="V1411" s="604" t="inlineStr">
        <x:is>
          <x:t xml:space="preserve"/>
        </x:is>
      </x:c>
      <x:c r="W1411" s="604" t="inlineStr">
        <x:is>
          <x:t xml:space="preserve"/>
        </x:is>
      </x:c>
      <x:c r="X1411" s="604" t="inlineStr">
        <x:is>
          <x:t xml:space="preserve">2965042</x:t>
        </x:is>
      </x:c>
      <x:c r="Y1411" s="604" t="inlineStr">
        <x:is>
          <x:t xml:space="preserve">V4</x:t>
        </x:is>
      </x:c>
      <x:c r="Z1411" s="604" t="inlineStr">
        <x:is>
          <x:t xml:space="preserve">prior-2026-10-09-v1</x:t>
        </x:is>
      </x:c>
      <x:c r="AA1411" s="604" t="inlineStr">
        <x:is>
          <x:t xml:space="preserve">N</x:t>
        </x:is>
      </x:c>
      <x:c r="AB1411" s="604" t="n"/>
      <x:c r="AC1411" s="604" t="n"/>
      <x:c r="AD1411" s="604" t="n"/>
      <x:c r="AE1411" s="604" t="n"/>
      <x:c r="AF1411" s="604" t="n"/>
      <x:c r="AG1411" s="604" t="n"/>
      <x:c r="AH1411" s="604" t="n"/>
      <x:c r="AI1411" s="604" t="n"/>
      <x:c r="AJ1411" s="604" t="n"/>
      <x:c r="AK1411" s="604" t="n"/>
      <x:c r="AL1411" s="604" t="n"/>
      <x:c r="AM1411" s="604" t="n"/>
      <x:c r="AN1411" s="604" t="inlineStr">
        <x:is>
          <x:t xml:space="preserve">NEUTRAL</x:t>
        </x:is>
      </x:c>
      <x:c r="AO1411" s="604" t="inlineStr">
        <x:is>
          <x:t xml:space="preserve">PK_NO_GIVING_RECEIVING_IDENTITY</x:t>
        </x:is>
      </x:c>
      <x:c r="AP1411" s="604" t="inlineStr">
        <x:is>
          <x:t xml:space="preserve">76ca535d68e885970b88</x:t>
        </x:is>
      </x:c>
      <x:c r="AQ1411" s="604" t="n"/>
      <x:c r="AR1411" s="604" t="n"/>
      <x:c r="AS1411" s="604" t="n"/>
      <x:c r="AT1411" s="604" t="n"/>
      <x:c r="AU1411" s="604" t="n"/>
      <x:c r="AV1411" s="604" t="n"/>
      <x:c r="AW1411" s="604" t="inlineStr">
        <x:is>
          <x:t xml:space="preserve">2026-10-09T09:01:21.127001+08:00</x:t>
        </x:is>
      </x:c>
      <x:c r="AX1411" s="604" t="inlineStr">
        <x:is>
          <x:t xml:space="preserve">Titan007/V4</x:t>
        </x:is>
      </x:c>
      <x:c r="AY1411" s="604" t="inlineStr">
        <x:is>
          <x:t xml:space="preserve">Daily append；市场输入缺失时不生成决策</x:t>
        </x:is>
      </x:c>
    </x:row>
    <x:row r="1412" ht="22" customHeight="1">
      <x:c r="A1412" s="604" t="inlineStr">
        <x:is>
          <x:t xml:space="preserve">2026-10-09</x:t>
        </x:is>
      </x:c>
      <x:c r="B1412" s="604" t="inlineStr">
        <x:is>
          <x:t xml:space="preserve">2026-10-09T19:00:00+08:00</x:t>
        </x:is>
      </x:c>
      <x:c r="C1412" s="604" t="str">
        <x:v>西亚/中亚系列</x:v>
      </x:c>
      <x:c r="D1412" s="604" t="inlineStr">
        <x:is>
          <x:t xml:space="preserve"/>
        </x:is>
      </x:c>
      <x:c r="E1412" s="604" t="inlineStr">
        <x:is>
          <x:t xml:space="preserve">哈萨克甲</x:t>
        </x:is>
      </x:c>
      <x:c r="F1412" s="604" t="inlineStr">
        <x:is>
          <x:t xml:space="preserve">贾伊克 vs 图兰突厥斯坦</x:t>
        </x:is>
      </x:c>
      <x:c r="G1412" s="604" t="n">
        <x:v>2.53</x:v>
      </x:c>
      <x:c r="H1412" s="604" t="n">
        <x:v>0</x:v>
      </x:c>
      <x:c r="I1412" s="604" t="n">
        <x:v>0.23</x:v>
      </x:c>
      <x:c r="J1412" s="604" t="inlineStr">
        <x:is>
          <x:t xml:space="preserve">2.53/0.0/0.23</x:t>
        </x:is>
      </x:c>
      <x:c r="K1412" s="604" t="inlineStr">
        <x:is>
          <x:t xml:space="preserve">V4-N</x:t>
        </x:is>
      </x:c>
      <x:c r="L1412" s="604" t="inlineStr">
        <x:is>
          <x:t xml:space="preserve"/>
        </x:is>
      </x:c>
      <x:c r="M1412" s="604" t="n"/>
      <x:c r="N1412" s="604" t="inlineStr">
        <x:is>
          <x:t xml:space="preserve">V4 Shadow Only；real_money=false</x:t>
        </x:is>
      </x:c>
      <x:c r="O1412" s="604" t="inlineStr">
        <x:is>
          <x:t xml:space="preserve">0-0</x:t>
        </x:is>
      </x:c>
      <x:c r="P1412" s="604" t="inlineStr">
        <x:is>
          <x:t xml:space="preserve">NEUTRAL</x:t>
        </x:is>
      </x:c>
      <x:c r="Q1412" s="630" t="inlineStr">
        <x:is>
          <x:t xml:space="preserve"/>
        </x:is>
      </x:c>
      <x:c r="R1412" s="604" t="n"/>
      <x:c r="S1412" s="604" t="n"/>
      <x:c r="T1412" s="604" t="inlineStr">
        <x:is>
          <x:t xml:space="preserve">D:\codex\v3_legacy\outputs\football_odds_trader\raw\titan007\20261009\20261009_085232_titan007_odds_snapshot.csv</x:t>
        </x:is>
      </x:c>
      <x:c r="U1412" s="628" t="inlineStr">
        <x:is>
          <x:t xml:space="preserve"/>
        </x:is>
      </x:c>
      <x:c r="V1412" s="604" t="inlineStr">
        <x:is>
          <x:t xml:space="preserve"/>
        </x:is>
      </x:c>
      <x:c r="W1412" s="604" t="inlineStr">
        <x:is>
          <x:t xml:space="preserve"/>
        </x:is>
      </x:c>
      <x:c r="X1412" s="604" t="inlineStr">
        <x:is>
          <x:t xml:space="preserve">2965043</x:t>
        </x:is>
      </x:c>
      <x:c r="Y1412" s="604" t="inlineStr">
        <x:is>
          <x:t xml:space="preserve">V4</x:t>
        </x:is>
      </x:c>
      <x:c r="Z1412" s="604" t="inlineStr">
        <x:is>
          <x:t xml:space="preserve">prior-2026-10-09-v1</x:t>
        </x:is>
      </x:c>
      <x:c r="AA1412" s="604" t="inlineStr">
        <x:is>
          <x:t xml:space="preserve">N</x:t>
        </x:is>
      </x:c>
      <x:c r="AB1412" s="604" t="n"/>
      <x:c r="AC1412" s="604" t="n"/>
      <x:c r="AD1412" s="604" t="n"/>
      <x:c r="AE1412" s="604" t="n"/>
      <x:c r="AF1412" s="604" t="n"/>
      <x:c r="AG1412" s="604" t="n"/>
      <x:c r="AH1412" s="604" t="n"/>
      <x:c r="AI1412" s="604" t="n"/>
      <x:c r="AJ1412" s="604" t="n"/>
      <x:c r="AK1412" s="604" t="n"/>
      <x:c r="AL1412" s="604" t="n"/>
      <x:c r="AM1412" s="604" t="n"/>
      <x:c r="AN1412" s="604" t="inlineStr">
        <x:is>
          <x:t xml:space="preserve">NEUTRAL</x:t>
        </x:is>
      </x:c>
      <x:c r="AO1412" s="604" t="inlineStr">
        <x:is>
          <x:t xml:space="preserve">PK_NO_GIVING_RECEIVING_IDENTITY</x:t>
        </x:is>
      </x:c>
      <x:c r="AP1412" s="604" t="inlineStr">
        <x:is>
          <x:t xml:space="preserve">d0f06ff485e59a9e5924</x:t>
        </x:is>
      </x:c>
      <x:c r="AQ1412" s="604" t="n"/>
      <x:c r="AR1412" s="604" t="n"/>
      <x:c r="AS1412" s="604" t="n"/>
      <x:c r="AT1412" s="604" t="n"/>
      <x:c r="AU1412" s="604" t="n"/>
      <x:c r="AV1412" s="604" t="n"/>
      <x:c r="AW1412" s="604" t="inlineStr">
        <x:is>
          <x:t xml:space="preserve">2026-10-09T09:01:21.127001+08:00</x:t>
        </x:is>
      </x:c>
      <x:c r="AX1412" s="604" t="inlineStr">
        <x:is>
          <x:t xml:space="preserve">Titan007/V4</x:t>
        </x:is>
      </x:c>
      <x:c r="AY1412" s="604" t="inlineStr">
        <x:is>
          <x:t xml:space="preserve">Daily append；市场输入缺失时不生成决策</x:t>
        </x:is>
      </x:c>
    </x:row>
    <x:row r="1413" ht="22" customHeight="1">
      <x:c r="A1413" s="604" t="inlineStr">
        <x:is>
          <x:t xml:space="preserve">2026-10-09</x:t>
        </x:is>
      </x:c>
      <x:c r="B1413" s="604" t="inlineStr">
        <x:is>
          <x:t xml:space="preserve">2026-10-09T19:00:00+08:00</x:t>
        </x:is>
      </x:c>
      <x:c r="C1413" s="604" t="str">
        <x:v>西亚/中亚系列</x:v>
      </x:c>
      <x:c r="D1413" s="604" t="inlineStr">
        <x:is>
          <x:t xml:space="preserve"/>
        </x:is>
      </x:c>
      <x:c r="E1413" s="604" t="inlineStr">
        <x:is>
          <x:t xml:space="preserve">哈萨克甲</x:t>
        </x:is>
      </x:c>
      <x:c r="F1413" s="604" t="inlineStr">
        <x:is>
          <x:t xml:space="preserve">塔拉兹 vs 卡拉特B队</x:t>
        </x:is>
      </x:c>
      <x:c r="G1413" s="604" t="n">
        <x:v>0.65</x:v>
      </x:c>
      <x:c r="H1413" s="604" t="n">
        <x:v>-1.5</x:v>
      </x:c>
      <x:c r="I1413" s="604" t="n">
        <x:v>1.06</x:v>
      </x:c>
      <x:c r="J1413" s="604" t="inlineStr">
        <x:is>
          <x:t xml:space="preserve">0.65/-1.5/1.06</x:t>
        </x:is>
      </x:c>
      <x:c r="K1413" s="604" t="inlineStr">
        <x:is>
          <x:t xml:space="preserve">V4-N</x:t>
        </x:is>
      </x:c>
      <x:c r="L1413" s="604" t="inlineStr">
        <x:is>
          <x:t xml:space="preserve"/>
        </x:is>
      </x:c>
      <x:c r="M1413" s="604" t="n">
        <x:v>0.004150125641299239</x:v>
      </x:c>
      <x:c r="N1413" s="604" t="inlineStr">
        <x:is>
          <x:t xml:space="preserve">V4 Shadow Only；real_money=false</x:t>
        </x:is>
      </x:c>
      <x:c r="O1413" s="604" t="inlineStr">
        <x:is>
          <x:t xml:space="preserve">0-0</x:t>
        </x:is>
      </x:c>
      <x:c r="P1413" s="604" t="inlineStr">
        <x:is>
          <x:t xml:space="preserve">EVALUATED</x:t>
        </x:is>
      </x:c>
      <x:c r="Q1413" s="630" t="inlineStr">
        <x:is>
          <x:t xml:space="preserve"/>
        </x:is>
      </x:c>
      <x:c r="R1413" s="604" t="n"/>
      <x:c r="S1413" s="604" t="n"/>
      <x:c r="T1413" s="604" t="inlineStr">
        <x:is>
          <x:t xml:space="preserve">D:\codex\v3_legacy\outputs\football_odds_trader\raw\titan007\20261009\20261009_085232_titan007_odds_snapshot.csv</x:t>
        </x:is>
      </x:c>
      <x:c r="U1413" s="628" t="inlineStr">
        <x:is>
          <x:t xml:space="preserve"/>
        </x:is>
      </x:c>
      <x:c r="V1413" s="604" t="inlineStr">
        <x:is>
          <x:t xml:space="preserve"/>
        </x:is>
      </x:c>
      <x:c r="W1413" s="604" t="inlineStr">
        <x:is>
          <x:t xml:space="preserve"/>
        </x:is>
      </x:c>
      <x:c r="X1413" s="604" t="inlineStr">
        <x:is>
          <x:t xml:space="preserve">2965046</x:t>
        </x:is>
      </x:c>
      <x:c r="Y1413" s="604" t="inlineStr">
        <x:is>
          <x:t xml:space="preserve">V4</x:t>
        </x:is>
      </x:c>
      <x:c r="Z1413" s="604" t="inlineStr">
        <x:is>
          <x:t xml:space="preserve">prior-2026-10-09-v1</x:t>
        </x:is>
      </x:c>
      <x:c r="AA1413" s="604" t="inlineStr">
        <x:is>
          <x:t xml:space="preserve">N</x:t>
        </x:is>
      </x:c>
      <x:c r="AB1413" s="604" t="n">
        <x:v>0.004150125641299239</x:v>
      </x:c>
      <x:c r="AC1413" s="604" t="n">
        <x:v>0.9958498743587008</x:v>
      </x:c>
      <x:c r="AD1413" s="604" t="n">
        <x:v>-2</x:v>
      </x:c>
      <x:c r="AE1413" s="604" t="n"/>
      <x:c r="AF1413" s="604" t="n"/>
      <x:c r="AG1413" s="604" t="n">
        <x:v>0.6431522926918563</x:v>
      </x:c>
      <x:c r="AH1413" s="604" t="n"/>
      <x:c r="AI1413" s="604" t="n"/>
      <x:c r="AJ1413" s="604" t="n">
        <x:v>0.6431522926918563</x:v>
      </x:c>
      <x:c r="AK1413" s="604" t="n"/>
      <x:c r="AL1413" s="604" t="n"/>
      <x:c r="AM1413" s="604" t="n"/>
      <x:c r="AN1413" s="604" t="inlineStr">
        <x:is>
          <x:t xml:space="preserve">EVALUATED</x:t>
        </x:is>
      </x:c>
      <x:c r="AO1413" s="604" t="inlineStr">
        <x:is>
          <x:t xml:space="preserve">LOW_QUALITY_GATE;BUCKET_PRIOR_ONLY;INTENT_INTERPRETATION_ONLY;FFL_OPTIONAL;EXPERT_MARKET</x:t>
        </x:is>
      </x:c>
      <x:c r="AP1413" s="604" t="inlineStr">
        <x:is>
          <x:t xml:space="preserve">72d01bce2dec6b939e27</x:t>
        </x:is>
      </x:c>
      <x:c r="AQ1413" s="604" t="n"/>
      <x:c r="AR1413" s="604" t="n"/>
      <x:c r="AS1413" s="604" t="n">
        <x:v>-1.5</x:v>
      </x:c>
      <x:c r="AT1413" s="604" t="n">
        <x:v>1.5</x:v>
      </x:c>
      <x:c r="AU1413" s="604" t="n">
        <x:v>0.65</x:v>
      </x:c>
      <x:c r="AV1413" s="604" t="n">
        <x:v>1.06</x:v>
      </x:c>
      <x:c r="AW1413" s="604" t="inlineStr">
        <x:is>
          <x:t xml:space="preserve">2026-10-09T09:01:21.127001+08:00</x:t>
        </x:is>
      </x:c>
      <x:c r="AX1413" s="604" t="inlineStr">
        <x:is>
          <x:t xml:space="preserve">Titan007/V4</x:t>
        </x:is>
      </x:c>
      <x:c r="AY1413" s="604" t="inlineStr">
        <x:is>
          <x:t xml:space="preserve">Daily append；市场输入缺失时不生成决策</x:t>
        </x:is>
      </x:c>
    </x:row>
    <x:row r="1414" ht="22" customHeight="1">
      <x:c r="A1414" s="604" t="inlineStr">
        <x:is>
          <x:t xml:space="preserve">2026-10-09</x:t>
        </x:is>
      </x:c>
      <x:c r="B1414" s="604" t="inlineStr">
        <x:is>
          <x:t xml:space="preserve">2026-10-10T10:00:00+08:00</x:t>
        </x:is>
      </x:c>
      <x:c r="C1414" s="604" t="str">
        <x:v>欧洲非五大系列</x:v>
      </x:c>
      <x:c r="D1414" s="604" t="inlineStr">
        <x:is>
          <x:t xml:space="preserve"/>
        </x:is>
      </x:c>
      <x:c r="E1414" s="604" t="inlineStr">
        <x:is>
          <x:t xml:space="preserve">俄乙B中</x:t>
        </x:is>
      </x:c>
      <x:c r="F1414" s="604" t="inlineStr">
        <x:is>
          <x:t xml:space="preserve">SKA哈巴罗夫斯克B队 vs 奥布宁斯克</x:t>
        </x:is>
      </x:c>
      <x:c r="G1414" s="604" t="n">
        <x:v>1.2</x:v>
      </x:c>
      <x:c r="H1414" s="604" t="n">
        <x:v>1.5</x:v>
      </x:c>
      <x:c r="I1414" s="604" t="n">
        <x:v>0.59</x:v>
      </x:c>
      <x:c r="J1414" s="604" t="inlineStr">
        <x:is>
          <x:t xml:space="preserve">1.2/1.5/0.59</x:t>
        </x:is>
      </x:c>
      <x:c r="K1414" s="604" t="inlineStr">
        <x:is>
          <x:t xml:space="preserve">V4-N</x:t>
        </x:is>
      </x:c>
      <x:c r="L1414" s="604" t="inlineStr">
        <x:is>
          <x:t xml:space="preserve"/>
        </x:is>
      </x:c>
      <x:c r="M1414" s="604" t="n">
        <x:v>0.4522802783613276</x:v>
      </x:c>
      <x:c r="N1414" s="604" t="inlineStr">
        <x:is>
          <x:t xml:space="preserve">V4 Shadow Only；real_money=false</x:t>
        </x:is>
      </x:c>
      <x:c r="O1414" s="604" t="inlineStr">
        <x:is>
          <x:t xml:space="preserve">0-0</x:t>
        </x:is>
      </x:c>
      <x:c r="P1414" s="604" t="inlineStr">
        <x:is>
          <x:t xml:space="preserve">EVALUATED</x:t>
        </x:is>
      </x:c>
      <x:c r="Q1414" s="630" t="inlineStr">
        <x:is>
          <x:t xml:space="preserve"/>
        </x:is>
      </x:c>
      <x:c r="R1414" s="604" t="n"/>
      <x:c r="S1414" s="604" t="n"/>
      <x:c r="T1414" s="604" t="inlineStr">
        <x:is>
          <x:t xml:space="preserve">D:\codex\v3_legacy\outputs\football_odds_trader\raw\titan007\20261009\20261009_085232_titan007_odds_snapshot.csv</x:t>
        </x:is>
      </x:c>
      <x:c r="U1414" s="628" t="inlineStr">
        <x:is>
          <x:t xml:space="preserve"/>
        </x:is>
      </x:c>
      <x:c r="V1414" s="604" t="inlineStr">
        <x:is>
          <x:t xml:space="preserve"/>
        </x:is>
      </x:c>
      <x:c r="W1414" s="604" t="inlineStr">
        <x:is>
          <x:t xml:space="preserve"/>
        </x:is>
      </x:c>
      <x:c r="X1414" s="604" t="inlineStr">
        <x:is>
          <x:t xml:space="preserve">2966522</x:t>
        </x:is>
      </x:c>
      <x:c r="Y1414" s="604" t="inlineStr">
        <x:is>
          <x:t xml:space="preserve">V4</x:t>
        </x:is>
      </x:c>
      <x:c r="Z1414" s="604" t="inlineStr">
        <x:is>
          <x:t xml:space="preserve">prior-2026-10-09-v1</x:t>
        </x:is>
      </x:c>
      <x:c r="AA1414" s="604" t="inlineStr">
        <x:is>
          <x:t xml:space="preserve">N</x:t>
        </x:is>
      </x:c>
      <x:c r="AB1414" s="604" t="n">
        <x:v>0.4522802783613276</x:v>
      </x:c>
      <x:c r="AC1414" s="604" t="n">
        <x:v>0.5477197216386724</x:v>
      </x:c>
      <x:c r="AD1414" s="604" t="n">
        <x:v>1.5</x:v>
      </x:c>
      <x:c r="AE1414" s="604" t="n"/>
      <x:c r="AF1414" s="604" t="n"/>
      <x:c r="AG1414" s="604" t="n">
        <x:v>-0.004983387605079326</x:v>
      </x:c>
      <x:c r="AH1414" s="604" t="n"/>
      <x:c r="AI1414" s="604" t="n"/>
      <x:c r="AJ1414" s="604" t="n">
        <x:v>-0.004983387605079326</x:v>
      </x:c>
      <x:c r="AK1414" s="604" t="n"/>
      <x:c r="AL1414" s="604" t="n"/>
      <x:c r="AM1414" s="604" t="n"/>
      <x:c r="AN1414" s="604" t="inlineStr">
        <x:is>
          <x:t xml:space="preserve">EVALUATED</x:t>
        </x:is>
      </x:c>
      <x:c r="AO1414" s="604" t="inlineStr">
        <x:is>
          <x:t xml:space="preserve">EDGE_BELOW_UNCERTAINTY_THRESHOLD;BUCKET_PRIOR_ONLY;INTENT_INTERPRETATION_ONLY;FFL_OPTIONAL;EXPERT_MARKET</x:t>
        </x:is>
      </x:c>
      <x:c r="AP1414" s="604" t="inlineStr">
        <x:is>
          <x:t xml:space="preserve">eb984ae8b73a47a66abe</x:t>
        </x:is>
      </x:c>
      <x:c r="AQ1414" s="604" t="n"/>
      <x:c r="AR1414" s="604" t="n"/>
      <x:c r="AS1414" s="604" t="n">
        <x:v>1.5</x:v>
      </x:c>
      <x:c r="AT1414" s="604" t="n">
        <x:v>-1.5</x:v>
      </x:c>
      <x:c r="AU1414" s="604" t="n">
        <x:v>1.2</x:v>
      </x:c>
      <x:c r="AV1414" s="604" t="n">
        <x:v>0.59</x:v>
      </x:c>
      <x:c r="AW1414" s="604" t="inlineStr">
        <x:is>
          <x:t xml:space="preserve">2026-10-09T09:01:21.127001+08:00</x:t>
        </x:is>
      </x:c>
      <x:c r="AX1414" s="604" t="inlineStr">
        <x:is>
          <x:t xml:space="preserve">Titan007/V4</x:t>
        </x:is>
      </x:c>
      <x:c r="AY1414" s="604" t="inlineStr">
        <x:is>
          <x:t xml:space="preserve">Daily append；市场输入缺失时不生成决策</x:t>
        </x:is>
      </x:c>
    </x:row>
    <x:row r="1415" ht="22" customHeight="1">
      <x:c r="A1415" s="604" t="inlineStr">
        <x:is>
          <x:t xml:space="preserve">2026-10-09</x:t>
        </x:is>
      </x:c>
      <x:c r="B1415" s="604" t="inlineStr">
        <x:is>
          <x:t xml:space="preserve">2026-10-10T00:15:00+08:00</x:t>
        </x:is>
      </x:c>
      <x:c r="C1415" s="604" t="str">
        <x:v>欧洲非五大系列</x:v>
      </x:c>
      <x:c r="D1415" s="604" t="inlineStr">
        <x:is>
          <x:t xml:space="preserve"/>
        </x:is>
      </x:c>
      <x:c r="E1415" s="604" t="inlineStr">
        <x:is>
          <x:t xml:space="preserve">挪丙</x:t>
        </x:is>
      </x:c>
      <x:c r="F1415" s="604" t="inlineStr">
        <x:is>
          <x:t xml:space="preserve">禾德 vs 斯帕杰卡维克</x:t>
        </x:is>
      </x:c>
      <x:c r="G1415" s="604" t="n">
        <x:v>0.9</x:v>
      </x:c>
      <x:c r="H1415" s="604" t="n">
        <x:v>0.5</x:v>
      </x:c>
      <x:c r="I1415" s="604" t="n">
        <x:v>0.9</x:v>
      </x:c>
      <x:c r="J1415" s="604" t="inlineStr">
        <x:is>
          <x:t xml:space="preserve">0.9/0.5/0.9</x:t>
        </x:is>
      </x:c>
      <x:c r="K1415" s="604" t="inlineStr">
        <x:is>
          <x:t xml:space="preserve">V4-N</x:t>
        </x:is>
      </x:c>
      <x:c r="L1415" s="604" t="inlineStr">
        <x:is>
          <x:t xml:space="preserve"/>
        </x:is>
      </x:c>
      <x:c r="M1415" s="604" t="n">
        <x:v>0.5673451509349202</x:v>
      </x:c>
      <x:c r="N1415" s="604" t="inlineStr">
        <x:is>
          <x:t xml:space="preserve">V4 Shadow Only；real_money=false</x:t>
        </x:is>
      </x:c>
      <x:c r="O1415" s="604" t="inlineStr">
        <x:is>
          <x:t xml:space="preserve">0-0</x:t>
        </x:is>
      </x:c>
      <x:c r="P1415" s="604" t="inlineStr">
        <x:is>
          <x:t xml:space="preserve">EVALUATED</x:t>
        </x:is>
      </x:c>
      <x:c r="Q1415" s="630" t="inlineStr">
        <x:is>
          <x:t xml:space="preserve"/>
        </x:is>
      </x:c>
      <x:c r="R1415" s="604" t="n"/>
      <x:c r="S1415" s="604" t="n"/>
      <x:c r="T1415" s="604" t="inlineStr">
        <x:is>
          <x:t xml:space="preserve">D:\codex\v3_legacy\outputs\football_odds_trader\raw\titan007\20261009\20261009_085232_titan007_odds_snapshot.csv</x:t>
        </x:is>
      </x:c>
      <x:c r="U1415" s="628" t="inlineStr">
        <x:is>
          <x:t xml:space="preserve"/>
        </x:is>
      </x:c>
      <x:c r="V1415" s="604" t="inlineStr">
        <x:is>
          <x:t xml:space="preserve"/>
        </x:is>
      </x:c>
      <x:c r="W1415" s="604" t="inlineStr">
        <x:is>
          <x:t xml:space="preserve"/>
        </x:is>
      </x:c>
      <x:c r="X1415" s="604" t="inlineStr">
        <x:is>
          <x:t xml:space="preserve">2967724</x:t>
        </x:is>
      </x:c>
      <x:c r="Y1415" s="604" t="inlineStr">
        <x:is>
          <x:t xml:space="preserve">V4</x:t>
        </x:is>
      </x:c>
      <x:c r="Z1415" s="604" t="inlineStr">
        <x:is>
          <x:t xml:space="preserve">prior-2026-10-09-v1</x:t>
        </x:is>
      </x:c>
      <x:c r="AA1415" s="604" t="inlineStr">
        <x:is>
          <x:t xml:space="preserve">N</x:t>
        </x:is>
      </x:c>
      <x:c r="AB1415" s="604" t="n">
        <x:v>0.5673451509349202</x:v>
      </x:c>
      <x:c r="AC1415" s="604" t="n">
        <x:v>0.4326548490650797</x:v>
      </x:c>
      <x:c r="AD1415" s="604" t="n">
        <x:v>0.75</x:v>
      </x:c>
      <x:c r="AE1415" s="604" t="n"/>
      <x:c r="AF1415" s="604" t="n"/>
      <x:c r="AG1415" s="604" t="n">
        <x:v>0.07795578677634846</x:v>
      </x:c>
      <x:c r="AH1415" s="604" t="n"/>
      <x:c r="AI1415" s="604" t="n"/>
      <x:c r="AJ1415" s="604" t="n">
        <x:v>0.07795578677634846</x:v>
      </x:c>
      <x:c r="AK1415" s="604" t="n"/>
      <x:c r="AL1415" s="604" t="n"/>
      <x:c r="AM1415" s="604" t="n"/>
      <x:c r="AN1415" s="604" t="inlineStr">
        <x:is>
          <x:t xml:space="preserve">EVALUATED</x:t>
        </x:is>
      </x:c>
      <x:c r="AO1415" s="604" t="inlineStr">
        <x:is>
          <x:t xml:space="preserve">LOW_QUALITY_GATE;BUCKET_PRIOR_ONLY;INTENT_INTERPRETATION_ONLY;FFL_OPTIONAL;EXPERT_MARKET</x:t>
        </x:is>
      </x:c>
      <x:c r="AP1415" s="604" t="inlineStr">
        <x:is>
          <x:t xml:space="preserve">12e871f58e4b8986be17</x:t>
        </x:is>
      </x:c>
      <x:c r="AQ1415" s="604" t="n"/>
      <x:c r="AR1415" s="604" t="n"/>
      <x:c r="AS1415" s="604" t="n">
        <x:v>0.5</x:v>
      </x:c>
      <x:c r="AT1415" s="604" t="n">
        <x:v>-0.5</x:v>
      </x:c>
      <x:c r="AU1415" s="604" t="n">
        <x:v>0.9</x:v>
      </x:c>
      <x:c r="AV1415" s="604" t="n">
        <x:v>0.9</x:v>
      </x:c>
      <x:c r="AW1415" s="604" t="inlineStr">
        <x:is>
          <x:t xml:space="preserve">2026-10-09T09:01:21.127001+08:00</x:t>
        </x:is>
      </x:c>
      <x:c r="AX1415" s="604" t="inlineStr">
        <x:is>
          <x:t xml:space="preserve">Titan007/V4</x:t>
        </x:is>
      </x:c>
      <x:c r="AY1415" s="604" t="inlineStr">
        <x:is>
          <x:t xml:space="preserve">Daily append；市场输入缺失时不生成决策</x:t>
        </x:is>
      </x:c>
    </x:row>
    <x:row r="1416" ht="22" customHeight="1">
      <x:c r="A1416" s="604" t="inlineStr">
        <x:is>
          <x:t xml:space="preserve">2026-10-09</x:t>
        </x:is>
      </x:c>
      <x:c r="B1416" s="604" t="inlineStr">
        <x:is>
          <x:t xml:space="preserve">2026-10-09T23:00:00+08:00</x:t>
        </x:is>
      </x:c>
      <x:c r="C1416" s="604" t="str">
        <x:v>欧洲非五大系列</x:v>
      </x:c>
      <x:c r="D1416" s="604" t="inlineStr">
        <x:is>
          <x:t xml:space="preserve"/>
        </x:is>
      </x:c>
      <x:c r="E1416" s="604" t="inlineStr">
        <x:is>
          <x:t xml:space="preserve">挪丙</x:t>
        </x:is>
      </x:c>
      <x:c r="F1416" s="604" t="inlineStr">
        <x:is>
          <x:t xml:space="preserve">FK佛罗 vs 奥特格宁兰B队</x:t>
        </x:is>
      </x:c>
      <x:c r="G1416" s="604" t="n">
        <x:v>0.95</x:v>
      </x:c>
      <x:c r="H1416" s="604" t="n">
        <x:v>1</x:v>
      </x:c>
      <x:c r="I1416" s="604" t="n">
        <x:v>0.85</x:v>
      </x:c>
      <x:c r="J1416" s="604" t="inlineStr">
        <x:is>
          <x:t xml:space="preserve">0.95/1.0/0.85</x:t>
        </x:is>
      </x:c>
      <x:c r="K1416" s="604" t="inlineStr">
        <x:is>
          <x:t xml:space="preserve">V4-N</x:t>
        </x:is>
      </x:c>
      <x:c r="L1416" s="604" t="inlineStr">
        <x:is>
          <x:t xml:space="preserve"/>
        </x:is>
      </x:c>
      <x:c r="M1416" s="604" t="n">
        <x:v>0.3738337715726456</x:v>
      </x:c>
      <x:c r="N1416" s="604" t="inlineStr">
        <x:is>
          <x:t xml:space="preserve">V4 Shadow Only；real_money=false</x:t>
        </x:is>
      </x:c>
      <x:c r="O1416" s="604" t="inlineStr">
        <x:is>
          <x:t xml:space="preserve">0-0</x:t>
        </x:is>
      </x:c>
      <x:c r="P1416" s="604" t="inlineStr">
        <x:is>
          <x:t xml:space="preserve">EVALUATED</x:t>
        </x:is>
      </x:c>
      <x:c r="Q1416" s="630" t="inlineStr">
        <x:is>
          <x:t xml:space="preserve"/>
        </x:is>
      </x:c>
      <x:c r="R1416" s="604" t="n"/>
      <x:c r="S1416" s="604" t="n"/>
      <x:c r="T1416" s="604" t="inlineStr">
        <x:is>
          <x:t xml:space="preserve">D:\codex\v3_legacy\outputs\football_odds_trader\raw\titan007\20261009\20261009_085232_titan007_odds_snapshot.csv</x:t>
        </x:is>
      </x:c>
      <x:c r="U1416" s="628" t="inlineStr">
        <x:is>
          <x:t xml:space="preserve"/>
        </x:is>
      </x:c>
      <x:c r="V1416" s="604" t="inlineStr">
        <x:is>
          <x:t xml:space="preserve"/>
        </x:is>
      </x:c>
      <x:c r="W1416" s="604" t="inlineStr">
        <x:is>
          <x:t xml:space="preserve"/>
        </x:is>
      </x:c>
      <x:c r="X1416" s="604" t="inlineStr">
        <x:is>
          <x:t xml:space="preserve">2968090</x:t>
        </x:is>
      </x:c>
      <x:c r="Y1416" s="604" t="inlineStr">
        <x:is>
          <x:t xml:space="preserve">V4</x:t>
        </x:is>
      </x:c>
      <x:c r="Z1416" s="604" t="inlineStr">
        <x:is>
          <x:t xml:space="preserve">prior-2026-10-09-v1</x:t>
        </x:is>
      </x:c>
      <x:c r="AA1416" s="604" t="inlineStr">
        <x:is>
          <x:t xml:space="preserve">N</x:t>
        </x:is>
      </x:c>
      <x:c r="AB1416" s="604" t="n">
        <x:v>0.3738337715726456</x:v>
      </x:c>
      <x:c r="AC1416" s="604" t="n">
        <x:v>0.3725746577091635</x:v>
      </x:c>
      <x:c r="AD1416" s="604" t="n">
        <x:v>1</x:v>
      </x:c>
      <x:c r="AE1416" s="604" t="n"/>
      <x:c r="AF1416" s="604" t="n"/>
      <x:c r="AG1416" s="604" t="n">
        <x:v>-0.01743257471515025</x:v>
      </x:c>
      <x:c r="AH1416" s="604" t="n"/>
      <x:c r="AI1416" s="604" t="n"/>
      <x:c r="AJ1416" s="604" t="n">
        <x:v>-0.01743257471515025</x:v>
      </x:c>
      <x:c r="AK1416" s="604" t="n"/>
      <x:c r="AL1416" s="604" t="n"/>
      <x:c r="AM1416" s="604" t="n"/>
      <x:c r="AN1416" s="604" t="inlineStr">
        <x:is>
          <x:t xml:space="preserve">EVALUATED</x:t>
        </x:is>
      </x:c>
      <x:c r="AO1416" s="604" t="inlineStr">
        <x:is>
          <x:t xml:space="preserve">EDGE_BELOW_UNCERTAINTY_THRESHOLD;BUCKET_PRIOR_ONLY;INTENT_INTERPRETATION_ONLY;FFL_OPTIONAL;EXPERT_MARKET</x:t>
        </x:is>
      </x:c>
      <x:c r="AP1416" s="604" t="inlineStr">
        <x:is>
          <x:t xml:space="preserve">4f9da0b3a4bd2d7cb562</x:t>
        </x:is>
      </x:c>
      <x:c r="AQ1416" s="604" t="n"/>
      <x:c r="AR1416" s="604" t="n"/>
      <x:c r="AS1416" s="604" t="n">
        <x:v>1</x:v>
      </x:c>
      <x:c r="AT1416" s="604" t="n">
        <x:v>-1</x:v>
      </x:c>
      <x:c r="AU1416" s="604" t="n">
        <x:v>0.95</x:v>
      </x:c>
      <x:c r="AV1416" s="604" t="n">
        <x:v>0.85</x:v>
      </x:c>
      <x:c r="AW1416" s="604" t="inlineStr">
        <x:is>
          <x:t xml:space="preserve">2026-10-09T09:01:21.127001+08:00</x:t>
        </x:is>
      </x:c>
      <x:c r="AX1416" s="604" t="inlineStr">
        <x:is>
          <x:t xml:space="preserve">Titan007/V4</x:t>
        </x:is>
      </x:c>
      <x:c r="AY1416" s="604" t="inlineStr">
        <x:is>
          <x:t xml:space="preserve">Daily append；市场输入缺失时不生成决策</x:t>
        </x:is>
      </x:c>
    </x:row>
    <x:row r="1417" ht="22" customHeight="1">
      <x:c r="A1417" s="604" t="inlineStr">
        <x:is>
          <x:t xml:space="preserve">2026-10-09</x:t>
        </x:is>
      </x:c>
      <x:c r="B1417" s="604" t="inlineStr">
        <x:is>
          <x:t xml:space="preserve">2026-10-10T01:15:00+08:00</x:t>
        </x:is>
      </x:c>
      <x:c r="C1417" s="604" t="str">
        <x:v>欧洲非五大系列</x:v>
      </x:c>
      <x:c r="D1417" s="604" t="inlineStr">
        <x:is>
          <x:t xml:space="preserve"/>
        </x:is>
      </x:c>
      <x:c r="E1417" s="604" t="inlineStr">
        <x:is>
          <x:t xml:space="preserve">挪丙</x:t>
        </x:is>
      </x:c>
      <x:c r="F1417" s="604" t="inlineStr">
        <x:is>
          <x:t xml:space="preserve">费斯尼斯 vs 乌尔夫斯汀</x:t>
        </x:is>
      </x:c>
      <x:c r="G1417" s="604" t="n"/>
      <x:c r="H1417" s="604" t="n"/>
      <x:c r="I1417" s="604" t="n"/>
      <x:c r="J1417" s="604" t="inlineStr">
        <x:is>
          <x:t xml:space="preserve">//</x:t>
        </x:is>
      </x:c>
      <x:c r="K1417" s="604" t="inlineStr">
        <x:is>
          <x:t xml:space="preserve">V4不可用：市场输入缺失</x:t>
        </x:is>
      </x:c>
      <x:c r="L1417" s="604" t="inlineStr">
        <x:is>
          <x:t xml:space="preserve"/>
        </x:is>
      </x:c>
      <x:c r="M1417" s="604" t="n"/>
      <x:c r="N1417" s="604" t="inlineStr">
        <x:is>
          <x:t xml:space="preserve">V4 Shadow Only；real_money=false</x:t>
        </x:is>
      </x:c>
      <x:c r="O1417" s="604" t="inlineStr">
        <x:is>
          <x:t xml:space="preserve">0-0</x:t>
        </x:is>
      </x:c>
      <x:c r="P1417" s="604" t="inlineStr">
        <x:is>
          <x:t xml:space="preserve">MISSING_DATA</x:t>
        </x:is>
      </x:c>
      <x:c r="Q1417" s="630" t="inlineStr">
        <x:is>
          <x:t xml:space="preserve"/>
        </x:is>
      </x:c>
      <x:c r="R1417" s="604" t="n"/>
      <x:c r="S1417" s="604" t="n"/>
      <x:c r="T1417" s="604" t="inlineStr">
        <x:is>
          <x:t xml:space="preserve">D:\codex\v3_legacy\outputs\football_odds_trader\raw\titan007\20261009\20261009_085232_titan007_odds_snapshot.csv</x:t>
        </x:is>
      </x:c>
      <x:c r="U1417" s="628" t="inlineStr">
        <x:is>
          <x:t xml:space="preserve"/>
        </x:is>
      </x:c>
      <x:c r="V1417" s="604" t="inlineStr">
        <x:is>
          <x:t xml:space="preserve"/>
        </x:is>
      </x:c>
      <x:c r="W1417" s="604" t="inlineStr">
        <x:is>
          <x:t xml:space="preserve"/>
        </x:is>
      </x:c>
      <x:c r="X1417" s="604" t="inlineStr">
        <x:is>
          <x:t xml:space="preserve">2968273</x:t>
        </x:is>
      </x:c>
      <x:c r="Y1417" s="604" t="inlineStr">
        <x:is>
          <x:t xml:space="preserve">V4</x:t>
        </x:is>
      </x:c>
      <x:c r="Z1417" s="604" t="inlineStr">
        <x:is>
          <x:t xml:space="preserve">prior-2026-10-09-v1</x:t>
        </x:is>
      </x:c>
      <x:c r="AA1417" s="604" t="inlineStr">
        <x:is>
          <x:t xml:space="preserve"/>
        </x:is>
      </x:c>
      <x:c r="AB1417" s="604" t="n"/>
      <x:c r="AC1417" s="604" t="n"/>
      <x:c r="AD1417" s="604" t="n"/>
      <x:c r="AE1417" s="604" t="n"/>
      <x:c r="AF1417" s="604" t="n"/>
      <x:c r="AG1417" s="604" t="n"/>
      <x:c r="AH1417" s="604" t="n"/>
      <x:c r="AI1417" s="604" t="n"/>
      <x:c r="AJ1417" s="604" t="n"/>
      <x:c r="AK1417" s="604" t="n"/>
      <x:c r="AL1417" s="604" t="n"/>
      <x:c r="AM1417" s="604" t="n"/>
      <x:c r="AN1417" s="604" t="inlineStr">
        <x:is>
          <x:t xml:space="preserve">MISSING_DATA</x:t>
        </x:is>
      </x:c>
      <x:c r="AO1417" s="604" t="inlineStr">
        <x:is>
          <x:t xml:space="preserve">REQUIRED_MARKET_INPUT_MISSING</x:t>
        </x:is>
      </x:c>
      <x:c r="AP1417" s="604" t="inlineStr">
        <x:is>
          <x:t xml:space="preserve">2726d8a4a7dc57a5b7e7</x:t>
        </x:is>
      </x:c>
      <x:c r="AQ1417" s="604" t="n"/>
      <x:c r="AR1417" s="604" t="n"/>
      <x:c r="AS1417" s="604" t="n"/>
      <x:c r="AT1417" s="604" t="n"/>
      <x:c r="AU1417" s="604" t="n"/>
      <x:c r="AV1417" s="604" t="n"/>
      <x:c r="AW1417" s="604" t="inlineStr">
        <x:is>
          <x:t xml:space="preserve">2026-10-09T09:01:21.127001+08:00</x:t>
        </x:is>
      </x:c>
      <x:c r="AX1417" s="604" t="inlineStr">
        <x:is>
          <x:t xml:space="preserve">Titan007/V4</x:t>
        </x:is>
      </x:c>
      <x:c r="AY1417" s="604" t="inlineStr">
        <x:is>
          <x:t xml:space="preserve">Daily append；市场输入缺失时不生成决策</x:t>
        </x:is>
      </x:c>
    </x:row>
    <x:row r="1418" ht="22" customHeight="1">
      <x:c r="A1418" s="604" t="inlineStr">
        <x:is>
          <x:t xml:space="preserve">2026-10-09</x:t>
        </x:is>
      </x:c>
      <x:c r="B1418" s="604" t="inlineStr">
        <x:is>
          <x:t xml:space="preserve">2026-10-10T02:45:00+08:00</x:t>
        </x:is>
      </x:c>
      <x:c r="C1418" s="604" t="str">
        <x:v>欧洲五大系列</x:v>
      </x:c>
      <x:c r="D1418" s="604" t="inlineStr">
        <x:is>
          <x:t xml:space="preserve"/>
        </x:is>
      </x:c>
      <x:c r="E1418" s="604" t="inlineStr">
        <x:is>
          <x:t xml:space="preserve">法甲</x:t>
        </x:is>
      </x:c>
      <x:c r="F1418" s="604" t="inlineStr">
        <x:is>
          <x:t xml:space="preserve">朗斯 vs 里昂</x:t>
        </x:is>
      </x:c>
      <x:c r="G1418" s="604" t="n">
        <x:v>0.8</x:v>
      </x:c>
      <x:c r="H1418" s="604" t="n">
        <x:v>0</x:v>
      </x:c>
      <x:c r="I1418" s="604" t="n">
        <x:v>1.08</x:v>
      </x:c>
      <x:c r="J1418" s="604" t="inlineStr">
        <x:is>
          <x:t xml:space="preserve">0.8/0.0/1.08</x:t>
        </x:is>
      </x:c>
      <x:c r="K1418" s="604" t="inlineStr">
        <x:is>
          <x:t xml:space="preserve">V4-N</x:t>
        </x:is>
      </x:c>
      <x:c r="L1418" s="604" t="inlineStr">
        <x:is>
          <x:t xml:space="preserve"/>
        </x:is>
      </x:c>
      <x:c r="M1418" s="604" t="n"/>
      <x:c r="N1418" s="604" t="inlineStr">
        <x:is>
          <x:t xml:space="preserve">V4 Shadow Only；real_money=false</x:t>
        </x:is>
      </x:c>
      <x:c r="O1418" s="604" t="inlineStr">
        <x:is>
          <x:t xml:space="preserve">0-0</x:t>
        </x:is>
      </x:c>
      <x:c r="P1418" s="604" t="inlineStr">
        <x:is>
          <x:t xml:space="preserve">NEUTRAL</x:t>
        </x:is>
      </x:c>
      <x:c r="Q1418" s="630" t="inlineStr">
        <x:is>
          <x:t xml:space="preserve"/>
        </x:is>
      </x:c>
      <x:c r="R1418" s="604" t="n"/>
      <x:c r="S1418" s="604" t="n"/>
      <x:c r="T1418" s="604" t="inlineStr">
        <x:is>
          <x:t xml:space="preserve">D:\codex\v3_legacy\outputs\football_odds_trader\raw\titan007\20261009\20261009_085232_titan007_odds_snapshot.csv</x:t>
        </x:is>
      </x:c>
      <x:c r="U1418" s="628" t="inlineStr">
        <x:is>
          <x:t xml:space="preserve"/>
        </x:is>
      </x:c>
      <x:c r="V1418" s="604" t="inlineStr">
        <x:is>
          <x:t xml:space="preserve"/>
        </x:is>
      </x:c>
      <x:c r="W1418" s="604" t="inlineStr">
        <x:is>
          <x:t xml:space="preserve"/>
        </x:is>
      </x:c>
      <x:c r="X1418" s="604" t="inlineStr">
        <x:is>
          <x:t xml:space="preserve">2995354</x:t>
        </x:is>
      </x:c>
      <x:c r="Y1418" s="604" t="inlineStr">
        <x:is>
          <x:t xml:space="preserve">V4</x:t>
        </x:is>
      </x:c>
      <x:c r="Z1418" s="604" t="inlineStr">
        <x:is>
          <x:t xml:space="preserve">prior-2026-10-09-v1</x:t>
        </x:is>
      </x:c>
      <x:c r="AA1418" s="604" t="inlineStr">
        <x:is>
          <x:t xml:space="preserve">N</x:t>
        </x:is>
      </x:c>
      <x:c r="AB1418" s="604" t="n"/>
      <x:c r="AC1418" s="604" t="n"/>
      <x:c r="AD1418" s="604" t="n"/>
      <x:c r="AE1418" s="604" t="n"/>
      <x:c r="AF1418" s="604" t="n"/>
      <x:c r="AG1418" s="604" t="n"/>
      <x:c r="AH1418" s="604" t="n"/>
      <x:c r="AI1418" s="604" t="n"/>
      <x:c r="AJ1418" s="604" t="n"/>
      <x:c r="AK1418" s="604" t="n"/>
      <x:c r="AL1418" s="604" t="n"/>
      <x:c r="AM1418" s="604" t="n"/>
      <x:c r="AN1418" s="604" t="inlineStr">
        <x:is>
          <x:t xml:space="preserve">NEUTRAL</x:t>
        </x:is>
      </x:c>
      <x:c r="AO1418" s="604" t="inlineStr">
        <x:is>
          <x:t xml:space="preserve">PK_NO_GIVING_RECEIVING_IDENTITY</x:t>
        </x:is>
      </x:c>
      <x:c r="AP1418" s="604" t="inlineStr">
        <x:is>
          <x:t xml:space="preserve">442dea19403dbe284ea3</x:t>
        </x:is>
      </x:c>
      <x:c r="AQ1418" s="604" t="n"/>
      <x:c r="AR1418" s="604" t="n"/>
      <x:c r="AS1418" s="604" t="n"/>
      <x:c r="AT1418" s="604" t="n"/>
      <x:c r="AU1418" s="604" t="n"/>
      <x:c r="AV1418" s="604" t="n"/>
      <x:c r="AW1418" s="604" t="inlineStr">
        <x:is>
          <x:t xml:space="preserve">2026-10-09T09:01:21.127001+08:00</x:t>
        </x:is>
      </x:c>
      <x:c r="AX1418" s="604" t="inlineStr">
        <x:is>
          <x:t xml:space="preserve">Titan007/V4</x:t>
        </x:is>
      </x:c>
      <x:c r="AY1418" s="604" t="inlineStr">
        <x:is>
          <x:t xml:space="preserve">Daily append；市场输入缺失时不生成决策</x:t>
        </x:is>
      </x:c>
    </x:row>
    <x:row r="1419" ht="22" customHeight="1">
      <x:c r="A1419" s="604" t="inlineStr">
        <x:is>
          <x:t xml:space="preserve">2026-10-09</x:t>
        </x:is>
      </x:c>
      <x:c r="B1419" s="604" t="inlineStr">
        <x:is>
          <x:t xml:space="preserve">2026-10-10T02:00:00+08:00</x:t>
        </x:is>
      </x:c>
      <x:c r="C1419" s="604" t="str">
        <x:v>欧洲非五大系列</x:v>
      </x:c>
      <x:c r="D1419" s="604" t="inlineStr">
        <x:is>
          <x:t xml:space="preserve"/>
        </x:is>
      </x:c>
      <x:c r="E1419" s="604" t="inlineStr">
        <x:is>
          <x:t xml:space="preserve">荷甲</x:t>
        </x:is>
      </x:c>
      <x:c r="F1419" s="604" t="inlineStr">
        <x:is>
          <x:t xml:space="preserve">埃因霍温 vs 海伦芬</x:t>
        </x:is>
      </x:c>
      <x:c r="G1419" s="604" t="n">
        <x:v>0.9399999999999999</x:v>
      </x:c>
      <x:c r="H1419" s="604" t="n">
        <x:v>2</x:v>
      </x:c>
      <x:c r="I1419" s="604" t="n">
        <x:v>0.9399999999999999</x:v>
      </x:c>
      <x:c r="J1419" s="604" t="inlineStr">
        <x:is>
          <x:t xml:space="preserve">0.94/2.0/0.94</x:t>
        </x:is>
      </x:c>
      <x:c r="K1419" s="604" t="inlineStr">
        <x:is>
          <x:t xml:space="preserve">V4-N</x:t>
        </x:is>
      </x:c>
      <x:c r="L1419" s="604" t="inlineStr">
        <x:is>
          <x:t xml:space="preserve"/>
        </x:is>
      </x:c>
      <x:c r="M1419" s="604" t="n">
        <x:v>0.4264247954967561</x:v>
      </x:c>
      <x:c r="N1419" s="604" t="inlineStr">
        <x:is>
          <x:t xml:space="preserve">V4 Shadow Only；real_money=false</x:t>
        </x:is>
      </x:c>
      <x:c r="O1419" s="604" t="inlineStr">
        <x:is>
          <x:t xml:space="preserve">0-0</x:t>
        </x:is>
      </x:c>
      <x:c r="P1419" s="604" t="inlineStr">
        <x:is>
          <x:t xml:space="preserve">EVALUATED</x:t>
        </x:is>
      </x:c>
      <x:c r="Q1419" s="630" t="inlineStr">
        <x:is>
          <x:t xml:space="preserve"/>
        </x:is>
      </x:c>
      <x:c r="R1419" s="604" t="n"/>
      <x:c r="S1419" s="604" t="n"/>
      <x:c r="T1419" s="604" t="inlineStr">
        <x:is>
          <x:t xml:space="preserve">D:\codex\v3_legacy\outputs\football_odds_trader\raw\titan007\20261009\20261009_085232_titan007_odds_snapshot.csv</x:t>
        </x:is>
      </x:c>
      <x:c r="U1419" s="628" t="inlineStr">
        <x:is>
          <x:t xml:space="preserve"/>
        </x:is>
      </x:c>
      <x:c r="V1419" s="604" t="inlineStr">
        <x:is>
          <x:t xml:space="preserve"/>
        </x:is>
      </x:c>
      <x:c r="W1419" s="604" t="inlineStr">
        <x:is>
          <x:t xml:space="preserve"/>
        </x:is>
      </x:c>
      <x:c r="X1419" s="604" t="inlineStr">
        <x:is>
          <x:t xml:space="preserve">2996161</x:t>
        </x:is>
      </x:c>
      <x:c r="Y1419" s="604" t="inlineStr">
        <x:is>
          <x:t xml:space="preserve">V4</x:t>
        </x:is>
      </x:c>
      <x:c r="Z1419" s="604" t="inlineStr">
        <x:is>
          <x:t xml:space="preserve">prior-2026-10-09-v1</x:t>
        </x:is>
      </x:c>
      <x:c r="AA1419" s="604" t="inlineStr">
        <x:is>
          <x:t xml:space="preserve">N</x:t>
        </x:is>
      </x:c>
      <x:c r="AB1419" s="604" t="n">
        <x:v>0.4264247954967561</x:v>
      </x:c>
      <x:c r="AC1419" s="604" t="n">
        <x:v>0.3277784329846727</x:v>
      </x:c>
      <x:c r="AD1419" s="604" t="n">
        <x:v>2.25</x:v>
      </x:c>
      <x:c r="AE1419" s="604" t="n"/>
      <x:c r="AF1419" s="604" t="n"/>
      <x:c r="AG1419" s="604" t="n">
        <x:v>0.07306087478227796</x:v>
      </x:c>
      <x:c r="AH1419" s="604" t="n"/>
      <x:c r="AI1419" s="604" t="n"/>
      <x:c r="AJ1419" s="604" t="n">
        <x:v>0.07306087478227796</x:v>
      </x:c>
      <x:c r="AK1419" s="604" t="n"/>
      <x:c r="AL1419" s="604" t="n"/>
      <x:c r="AM1419" s="604" t="n"/>
      <x:c r="AN1419" s="604" t="inlineStr">
        <x:is>
          <x:t xml:space="preserve">EVALUATED</x:t>
        </x:is>
      </x:c>
      <x:c r="AO1419" s="604" t="inlineStr">
        <x:is>
          <x:t xml:space="preserve">LOW_QUALITY_GATE;BUCKET_PRIOR_ONLY;INTENT_INTERPRETATION_ONLY;FFL_OPTIONAL;EXPERT_MARKET</x:t>
        </x:is>
      </x:c>
      <x:c r="AP1419" s="604" t="inlineStr">
        <x:is>
          <x:t xml:space="preserve">cdd16bbe2b3c74343b6e</x:t>
        </x:is>
      </x:c>
      <x:c r="AQ1419" s="604" t="n"/>
      <x:c r="AR1419" s="604" t="n"/>
      <x:c r="AS1419" s="604" t="n">
        <x:v>2</x:v>
      </x:c>
      <x:c r="AT1419" s="604" t="n">
        <x:v>-2</x:v>
      </x:c>
      <x:c r="AU1419" s="604" t="n">
        <x:v>0.9399999999999999</x:v>
      </x:c>
      <x:c r="AV1419" s="604" t="n">
        <x:v>0.9399999999999999</x:v>
      </x:c>
      <x:c r="AW1419" s="604" t="inlineStr">
        <x:is>
          <x:t xml:space="preserve">2026-10-09T09:01:21.127001+08:00</x:t>
        </x:is>
      </x:c>
      <x:c r="AX1419" s="604" t="inlineStr">
        <x:is>
          <x:t xml:space="preserve">Titan007/V4</x:t>
        </x:is>
      </x:c>
      <x:c r="AY1419" s="604" t="inlineStr">
        <x:is>
          <x:t xml:space="preserve">Daily append；市场输入缺失时不生成决策</x:t>
        </x:is>
      </x:c>
    </x:row>
    <x:row r="1420" ht="22" customHeight="1">
      <x:c r="A1420" s="604" t="inlineStr">
        <x:is>
          <x:t xml:space="preserve">2026-10-09</x:t>
        </x:is>
      </x:c>
      <x:c r="B1420" s="604" t="inlineStr">
        <x:is>
          <x:t xml:space="preserve">2026-10-10T02:00:00+08:00</x:t>
        </x:is>
      </x:c>
      <x:c r="C1420" s="604" t="str">
        <x:v>欧洲非五大系列</x:v>
      </x:c>
      <x:c r="D1420" s="604" t="inlineStr">
        <x:is>
          <x:t xml:space="preserve"/>
        </x:is>
      </x:c>
      <x:c r="E1420" s="604" t="inlineStr">
        <x:is>
          <x:t xml:space="preserve">荷乙</x:t>
        </x:is>
      </x:c>
      <x:c r="F1420" s="604" t="inlineStr">
        <x:is>
          <x:t xml:space="preserve">阿尔梅勒城 vs FC埃因霍温</x:t>
        </x:is>
      </x:c>
      <x:c r="G1420" s="604" t="n">
        <x:v>0.96</x:v>
      </x:c>
      <x:c r="H1420" s="604" t="n">
        <x:v>1.5</x:v>
      </x:c>
      <x:c r="I1420" s="604" t="n">
        <x:v>0.86</x:v>
      </x:c>
      <x:c r="J1420" s="604" t="inlineStr">
        <x:is>
          <x:t xml:space="preserve">0.96/1.5/0.86</x:t>
        </x:is>
      </x:c>
      <x:c r="K1420" s="604" t="inlineStr">
        <x:is>
          <x:t xml:space="preserve">V4-N</x:t>
        </x:is>
      </x:c>
      <x:c r="L1420" s="604" t="inlineStr">
        <x:is>
          <x:t xml:space="preserve"/>
        </x:is>
      </x:c>
      <x:c r="M1420" s="604" t="n">
        <x:v>0.5528760335618026</x:v>
      </x:c>
      <x:c r="N1420" s="604" t="inlineStr">
        <x:is>
          <x:t xml:space="preserve">V4 Shadow Only；real_money=false</x:t>
        </x:is>
      </x:c>
      <x:c r="O1420" s="604" t="inlineStr">
        <x:is>
          <x:t xml:space="preserve">0-0</x:t>
        </x:is>
      </x:c>
      <x:c r="P1420" s="604" t="inlineStr">
        <x:is>
          <x:t xml:space="preserve">EVALUATED</x:t>
        </x:is>
      </x:c>
      <x:c r="Q1420" s="630" t="inlineStr">
        <x:is>
          <x:t xml:space="preserve"/>
        </x:is>
      </x:c>
      <x:c r="R1420" s="604" t="n"/>
      <x:c r="S1420" s="604" t="n"/>
      <x:c r="T1420" s="604" t="inlineStr">
        <x:is>
          <x:t xml:space="preserve">D:\codex\v3_legacy\outputs\football_odds_trader\raw\titan007\20261009\20261009_085232_titan007_odds_snapshot.csv</x:t>
        </x:is>
      </x:c>
      <x:c r="U1420" s="628" t="inlineStr">
        <x:is>
          <x:t xml:space="preserve"/>
        </x:is>
      </x:c>
      <x:c r="V1420" s="604" t="inlineStr">
        <x:is>
          <x:t xml:space="preserve"/>
        </x:is>
      </x:c>
      <x:c r="W1420" s="604" t="inlineStr">
        <x:is>
          <x:t xml:space="preserve"/>
        </x:is>
      </x:c>
      <x:c r="X1420" s="604" t="inlineStr">
        <x:is>
          <x:t xml:space="preserve">2996494</x:t>
        </x:is>
      </x:c>
      <x:c r="Y1420" s="604" t="inlineStr">
        <x:is>
          <x:t xml:space="preserve">V4</x:t>
        </x:is>
      </x:c>
      <x:c r="Z1420" s="604" t="inlineStr">
        <x:is>
          <x:t xml:space="preserve">prior-2026-10-09-v1</x:t>
        </x:is>
      </x:c>
      <x:c r="AA1420" s="604" t="inlineStr">
        <x:is>
          <x:t xml:space="preserve">N</x:t>
        </x:is>
      </x:c>
      <x:c r="AB1420" s="604" t="n">
        <x:v>0.5528760335618026</x:v>
      </x:c>
      <x:c r="AC1420" s="604" t="n">
        <x:v>0.4471239664381974</x:v>
      </x:c>
      <x:c r="AD1420" s="604" t="n">
        <x:v>1.75</x:v>
      </x:c>
      <x:c r="AE1420" s="604" t="n"/>
      <x:c r="AF1420" s="604" t="n"/>
      <x:c r="AG1420" s="604" t="n">
        <x:v>0.08363702578113308</x:v>
      </x:c>
      <x:c r="AH1420" s="604" t="n"/>
      <x:c r="AI1420" s="604" t="n"/>
      <x:c r="AJ1420" s="604" t="n">
        <x:v>0.08363702578113308</x:v>
      </x:c>
      <x:c r="AK1420" s="604" t="n"/>
      <x:c r="AL1420" s="604" t="n"/>
      <x:c r="AM1420" s="604" t="n"/>
      <x:c r="AN1420" s="604" t="inlineStr">
        <x:is>
          <x:t xml:space="preserve">EVALUATED</x:t>
        </x:is>
      </x:c>
      <x:c r="AO1420" s="604" t="inlineStr">
        <x:is>
          <x:t xml:space="preserve">LOW_QUALITY_GATE;BUCKET_PRIOR_ONLY;INTENT_INTERPRETATION_ONLY;FFL_OPTIONAL;EXPERT_MARKET</x:t>
        </x:is>
      </x:c>
      <x:c r="AP1420" s="604" t="inlineStr">
        <x:is>
          <x:t xml:space="preserve">0e6e8c0178d2c2161b83</x:t>
        </x:is>
      </x:c>
      <x:c r="AQ1420" s="604" t="n"/>
      <x:c r="AR1420" s="604" t="n"/>
      <x:c r="AS1420" s="604" t="n">
        <x:v>1.5</x:v>
      </x:c>
      <x:c r="AT1420" s="604" t="n">
        <x:v>-1.5</x:v>
      </x:c>
      <x:c r="AU1420" s="604" t="n">
        <x:v>0.96</x:v>
      </x:c>
      <x:c r="AV1420" s="604" t="n">
        <x:v>0.86</x:v>
      </x:c>
      <x:c r="AW1420" s="604" t="inlineStr">
        <x:is>
          <x:t xml:space="preserve">2026-10-09T09:01:21.127001+08:00</x:t>
        </x:is>
      </x:c>
      <x:c r="AX1420" s="604" t="inlineStr">
        <x:is>
          <x:t xml:space="preserve">Titan007/V4</x:t>
        </x:is>
      </x:c>
      <x:c r="AY1420" s="604" t="inlineStr">
        <x:is>
          <x:t xml:space="preserve">Daily append；市场输入缺失时不生成决策</x:t>
        </x:is>
      </x:c>
    </x:row>
    <x:row r="1421" ht="22" customHeight="1">
      <x:c r="A1421" s="604" t="inlineStr">
        <x:is>
          <x:t xml:space="preserve">2026-10-09</x:t>
        </x:is>
      </x:c>
      <x:c r="B1421" s="604" t="inlineStr">
        <x:is>
          <x:t xml:space="preserve">2026-10-10T02:00:00+08:00</x:t>
        </x:is>
      </x:c>
      <x:c r="C1421" s="604" t="str">
        <x:v>欧洲非五大系列</x:v>
      </x:c>
      <x:c r="D1421" s="604" t="inlineStr">
        <x:is>
          <x:t xml:space="preserve"/>
        </x:is>
      </x:c>
      <x:c r="E1421" s="604" t="inlineStr">
        <x:is>
          <x:t xml:space="preserve">荷乙</x:t>
        </x:is>
      </x:c>
      <x:c r="F1421" s="604" t="inlineStr">
        <x:is>
          <x:t xml:space="preserve">格拉夫夏普 vs 乌德勒支青年队</x:t>
        </x:is>
      </x:c>
      <x:c r="G1421" s="604" t="n">
        <x:v>0.9</x:v>
      </x:c>
      <x:c r="H1421" s="604" t="n">
        <x:v>1</x:v>
      </x:c>
      <x:c r="I1421" s="604" t="n">
        <x:v>0.92</x:v>
      </x:c>
      <x:c r="J1421" s="604" t="inlineStr">
        <x:is>
          <x:t xml:space="preserve">0.9/1.0/0.92</x:t>
        </x:is>
      </x:c>
      <x:c r="K1421" s="604" t="inlineStr">
        <x:is>
          <x:t xml:space="preserve">V4-N</x:t>
        </x:is>
      </x:c>
      <x:c r="L1421" s="604" t="inlineStr">
        <x:is>
          <x:t xml:space="preserve"/>
        </x:is>
      </x:c>
      <x:c r="M1421" s="604" t="n">
        <x:v>0.4023409381881314</x:v>
      </x:c>
      <x:c r="N1421" s="604" t="inlineStr">
        <x:is>
          <x:t xml:space="preserve">V4 Shadow Only；real_money=false</x:t>
        </x:is>
      </x:c>
      <x:c r="O1421" s="604" t="inlineStr">
        <x:is>
          <x:t xml:space="preserve">0-0</x:t>
        </x:is>
      </x:c>
      <x:c r="P1421" s="604" t="inlineStr">
        <x:is>
          <x:t xml:space="preserve">EVALUATED</x:t>
        </x:is>
      </x:c>
      <x:c r="Q1421" s="630" t="inlineStr">
        <x:is>
          <x:t xml:space="preserve"/>
        </x:is>
      </x:c>
      <x:c r="R1421" s="604" t="n"/>
      <x:c r="S1421" s="604" t="n"/>
      <x:c r="T1421" s="604" t="inlineStr">
        <x:is>
          <x:t xml:space="preserve">D:\codex\v3_legacy\outputs\football_odds_trader\raw\titan007\20261009\20261009_085232_titan007_odds_snapshot.csv</x:t>
        </x:is>
      </x:c>
      <x:c r="U1421" s="628" t="inlineStr">
        <x:is>
          <x:t xml:space="preserve"/>
        </x:is>
      </x:c>
      <x:c r="V1421" s="604" t="inlineStr">
        <x:is>
          <x:t xml:space="preserve"/>
        </x:is>
      </x:c>
      <x:c r="W1421" s="604" t="inlineStr">
        <x:is>
          <x:t xml:space="preserve"/>
        </x:is>
      </x:c>
      <x:c r="X1421" s="604" t="inlineStr">
        <x:is>
          <x:t xml:space="preserve">2996495</x:t>
        </x:is>
      </x:c>
      <x:c r="Y1421" s="604" t="inlineStr">
        <x:is>
          <x:t xml:space="preserve">V4</x:t>
        </x:is>
      </x:c>
      <x:c r="Z1421" s="604" t="inlineStr">
        <x:is>
          <x:t xml:space="preserve">prior-2026-10-09-v1</x:t>
        </x:is>
      </x:c>
      <x:c r="AA1421" s="604" t="inlineStr">
        <x:is>
          <x:t xml:space="preserve">N</x:t>
        </x:is>
      </x:c>
      <x:c r="AB1421" s="604" t="n">
        <x:v>0.4023409381881314</x:v>
      </x:c>
      <x:c r="AC1421" s="604" t="n">
        <x:v>0.3426665855965587</x:v>
      </x:c>
      <x:c r="AD1421" s="604" t="n">
        <x:v>1.25</x:v>
      </x:c>
      <x:c r="AE1421" s="604" t="n"/>
      <x:c r="AF1421" s="604" t="n"/>
      <x:c r="AG1421" s="604" t="n">
        <x:v>0.01944025877275962</x:v>
      </x:c>
      <x:c r="AH1421" s="604" t="n"/>
      <x:c r="AI1421" s="604" t="n"/>
      <x:c r="AJ1421" s="604" t="n">
        <x:v>0.01944025877275962</x:v>
      </x:c>
      <x:c r="AK1421" s="604" t="n"/>
      <x:c r="AL1421" s="604" t="n"/>
      <x:c r="AM1421" s="604" t="n"/>
      <x:c r="AN1421" s="604" t="inlineStr">
        <x:is>
          <x:t xml:space="preserve">EVALUATED</x:t>
        </x:is>
      </x:c>
      <x:c r="AO1421" s="604" t="inlineStr">
        <x:is>
          <x:t xml:space="preserve">EDGE_BELOW_UNCERTAINTY_THRESHOLD;BUCKET_PRIOR_ONLY;INTENT_INTERPRETATION_ONLY;FFL_OPTIONAL;EXPERT_MARKET</x:t>
        </x:is>
      </x:c>
      <x:c r="AP1421" s="604" t="inlineStr">
        <x:is>
          <x:t xml:space="preserve">b728f9086a50041f3c41</x:t>
        </x:is>
      </x:c>
      <x:c r="AQ1421" s="604" t="n"/>
      <x:c r="AR1421" s="604" t="n"/>
      <x:c r="AS1421" s="604" t="n">
        <x:v>1</x:v>
      </x:c>
      <x:c r="AT1421" s="604" t="n">
        <x:v>-1</x:v>
      </x:c>
      <x:c r="AU1421" s="604" t="n">
        <x:v>0.9</x:v>
      </x:c>
      <x:c r="AV1421" s="604" t="n">
        <x:v>0.92</x:v>
      </x:c>
      <x:c r="AW1421" s="604" t="inlineStr">
        <x:is>
          <x:t xml:space="preserve">2026-10-09T09:01:21.127001+08:00</x:t>
        </x:is>
      </x:c>
      <x:c r="AX1421" s="604" t="inlineStr">
        <x:is>
          <x:t xml:space="preserve">Titan007/V4</x:t>
        </x:is>
      </x:c>
      <x:c r="AY1421" s="604" t="inlineStr">
        <x:is>
          <x:t xml:space="preserve">Daily append；市场输入缺失时不生成决策</x:t>
        </x:is>
      </x:c>
    </x:row>
    <x:row r="1422" ht="22" customHeight="1">
      <x:c r="A1422" s="604" t="inlineStr">
        <x:is>
          <x:t xml:space="preserve">2026-10-09</x:t>
        </x:is>
      </x:c>
      <x:c r="B1422" s="604" t="inlineStr">
        <x:is>
          <x:t xml:space="preserve">2026-10-10T02:00:00+08:00</x:t>
        </x:is>
      </x:c>
      <x:c r="C1422" s="604" t="str">
        <x:v>欧洲非五大系列</x:v>
      </x:c>
      <x:c r="D1422" s="604" t="inlineStr">
        <x:is>
          <x:t xml:space="preserve"/>
        </x:is>
      </x:c>
      <x:c r="E1422" s="604" t="inlineStr">
        <x:is>
          <x:t xml:space="preserve">荷乙</x:t>
        </x:is>
      </x:c>
      <x:c r="F1422" s="604" t="inlineStr">
        <x:is>
          <x:t xml:space="preserve">多德勒支 vs 埃门</x:t>
        </x:is>
      </x:c>
      <x:c r="G1422" s="604" t="n">
        <x:v>0.87</x:v>
      </x:c>
      <x:c r="H1422" s="604" t="n">
        <x:v>-0.25</x:v>
      </x:c>
      <x:c r="I1422" s="604" t="n">
        <x:v>0.95</x:v>
      </x:c>
      <x:c r="J1422" s="604" t="inlineStr">
        <x:is>
          <x:t xml:space="preserve">0.87/-0.25/0.95</x:t>
        </x:is>
      </x:c>
      <x:c r="K1422" s="604" t="inlineStr">
        <x:is>
          <x:t xml:space="preserve">V4-N</x:t>
        </x:is>
      </x:c>
      <x:c r="L1422" s="604" t="inlineStr">
        <x:is>
          <x:t xml:space="preserve"/>
        </x:is>
      </x:c>
      <x:c r="M1422" s="604" t="n">
        <x:v>0.2965204659396593</x:v>
      </x:c>
      <x:c r="N1422" s="604" t="inlineStr">
        <x:is>
          <x:t xml:space="preserve">V4 Shadow Only；real_money=false</x:t>
        </x:is>
      </x:c>
      <x:c r="O1422" s="604" t="inlineStr">
        <x:is>
          <x:t xml:space="preserve">0-0</x:t>
        </x:is>
      </x:c>
      <x:c r="P1422" s="604" t="inlineStr">
        <x:is>
          <x:t xml:space="preserve">EVALUATED</x:t>
        </x:is>
      </x:c>
      <x:c r="Q1422" s="630" t="inlineStr">
        <x:is>
          <x:t xml:space="preserve"/>
        </x:is>
      </x:c>
      <x:c r="R1422" s="604" t="n"/>
      <x:c r="S1422" s="604" t="n"/>
      <x:c r="T1422" s="604" t="inlineStr">
        <x:is>
          <x:t xml:space="preserve">D:\codex\v3_legacy\outputs\football_odds_trader\raw\titan007\20261009\20261009_085232_titan007_odds_snapshot.csv</x:t>
        </x:is>
      </x:c>
      <x:c r="U1422" s="628" t="inlineStr">
        <x:is>
          <x:t xml:space="preserve"/>
        </x:is>
      </x:c>
      <x:c r="V1422" s="604" t="inlineStr">
        <x:is>
          <x:t xml:space="preserve"/>
        </x:is>
      </x:c>
      <x:c r="W1422" s="604" t="inlineStr">
        <x:is>
          <x:t xml:space="preserve"/>
        </x:is>
      </x:c>
      <x:c r="X1422" s="604" t="inlineStr">
        <x:is>
          <x:t xml:space="preserve">2996496</x:t>
        </x:is>
      </x:c>
      <x:c r="Y1422" s="604" t="inlineStr">
        <x:is>
          <x:t xml:space="preserve">V4</x:t>
        </x:is>
      </x:c>
      <x:c r="Z1422" s="604" t="inlineStr">
        <x:is>
          <x:t xml:space="preserve">prior-2026-10-09-v1</x:t>
        </x:is>
      </x:c>
      <x:c r="AA1422" s="604" t="inlineStr">
        <x:is>
          <x:t xml:space="preserve">N</x:t>
        </x:is>
      </x:c>
      <x:c r="AB1422" s="604" t="n">
        <x:v>0.2965204659396593</x:v>
      </x:c>
      <x:c r="AC1422" s="604" t="n">
        <x:v>0.5743322297717426</x:v>
      </x:c>
      <x:c r="AD1422" s="604" t="n">
        <x:v>-0.25</x:v>
      </x:c>
      <x:c r="AE1422" s="604" t="n"/>
      <x:c r="AF1422" s="604" t="n"/>
      <x:c r="AG1422" s="604" t="n">
        <x:v>0.2031485739617568</x:v>
      </x:c>
      <x:c r="AH1422" s="604" t="n"/>
      <x:c r="AI1422" s="604" t="n"/>
      <x:c r="AJ1422" s="604" t="n">
        <x:v>0.2031485739617568</x:v>
      </x:c>
      <x:c r="AK1422" s="604" t="n"/>
      <x:c r="AL1422" s="604" t="n"/>
      <x:c r="AM1422" s="604" t="n"/>
      <x:c r="AN1422" s="604" t="inlineStr">
        <x:is>
          <x:t xml:space="preserve">EVALUATED</x:t>
        </x:is>
      </x:c>
      <x:c r="AO1422" s="604" t="inlineStr">
        <x:is>
          <x:t xml:space="preserve">LOW_QUALITY_GATE;BUCKET_PRIOR_ONLY;INTENT_INTERPRETATION_ONLY;FFL_OPTIONAL;EXPERT_MARKET</x:t>
        </x:is>
      </x:c>
      <x:c r="AP1422" s="604" t="inlineStr">
        <x:is>
          <x:t xml:space="preserve">90b4a7c8594927ed65dc</x:t>
        </x:is>
      </x:c>
      <x:c r="AQ1422" s="604" t="n"/>
      <x:c r="AR1422" s="604" t="n"/>
      <x:c r="AS1422" s="604" t="n">
        <x:v>-0.25</x:v>
      </x:c>
      <x:c r="AT1422" s="604" t="n">
        <x:v>0.25</x:v>
      </x:c>
      <x:c r="AU1422" s="604" t="n">
        <x:v>0.87</x:v>
      </x:c>
      <x:c r="AV1422" s="604" t="n">
        <x:v>0.95</x:v>
      </x:c>
      <x:c r="AW1422" s="604" t="inlineStr">
        <x:is>
          <x:t xml:space="preserve">2026-10-09T09:01:21.127001+08:00</x:t>
        </x:is>
      </x:c>
      <x:c r="AX1422" s="604" t="inlineStr">
        <x:is>
          <x:t xml:space="preserve">Titan007/V4</x:t>
        </x:is>
      </x:c>
      <x:c r="AY1422" s="604" t="inlineStr">
        <x:is>
          <x:t xml:space="preserve">Daily append；市场输入缺失时不生成决策</x:t>
        </x:is>
      </x:c>
    </x:row>
    <x:row r="1423" ht="22" customHeight="1">
      <x:c r="A1423" s="604" t="inlineStr">
        <x:is>
          <x:t xml:space="preserve">2026-10-09</x:t>
        </x:is>
      </x:c>
      <x:c r="B1423" s="604" t="inlineStr">
        <x:is>
          <x:t xml:space="preserve">2026-10-10T02:00:00+08:00</x:t>
        </x:is>
      </x:c>
      <x:c r="C1423" s="604" t="str">
        <x:v>欧洲非五大系列</x:v>
      </x:c>
      <x:c r="D1423" s="604" t="inlineStr">
        <x:is>
          <x:t xml:space="preserve"/>
        </x:is>
      </x:c>
      <x:c r="E1423" s="604" t="inlineStr">
        <x:is>
          <x:t xml:space="preserve">荷乙</x:t>
        </x:is>
      </x:c>
      <x:c r="F1423" s="604" t="inlineStr">
        <x:is>
          <x:t xml:space="preserve">福伦丹 vs 维特斯</x:t>
        </x:is>
      </x:c>
      <x:c r="G1423" s="604" t="n">
        <x:v>0.8</x:v>
      </x:c>
      <x:c r="H1423" s="604" t="n">
        <x:v>0</x:v>
      </x:c>
      <x:c r="I1423" s="604" t="n">
        <x:v>1.02</x:v>
      </x:c>
      <x:c r="J1423" s="604" t="inlineStr">
        <x:is>
          <x:t xml:space="preserve">0.8/0.0/1.02</x:t>
        </x:is>
      </x:c>
      <x:c r="K1423" s="604" t="inlineStr">
        <x:is>
          <x:t xml:space="preserve">V4-N</x:t>
        </x:is>
      </x:c>
      <x:c r="L1423" s="604" t="inlineStr">
        <x:is>
          <x:t xml:space="preserve"/>
        </x:is>
      </x:c>
      <x:c r="M1423" s="604" t="n"/>
      <x:c r="N1423" s="604" t="inlineStr">
        <x:is>
          <x:t xml:space="preserve">V4 Shadow Only；real_money=false</x:t>
        </x:is>
      </x:c>
      <x:c r="O1423" s="604" t="inlineStr">
        <x:is>
          <x:t xml:space="preserve">0-0</x:t>
        </x:is>
      </x:c>
      <x:c r="P1423" s="604" t="inlineStr">
        <x:is>
          <x:t xml:space="preserve">NEUTRAL</x:t>
        </x:is>
      </x:c>
      <x:c r="Q1423" s="630" t="inlineStr">
        <x:is>
          <x:t xml:space="preserve"/>
        </x:is>
      </x:c>
      <x:c r="R1423" s="604" t="n"/>
      <x:c r="S1423" s="604" t="n"/>
      <x:c r="T1423" s="604" t="inlineStr">
        <x:is>
          <x:t xml:space="preserve">D:\codex\v3_legacy\outputs\football_odds_trader\raw\titan007\20261009\20261009_085232_titan007_odds_snapshot.csv</x:t>
        </x:is>
      </x:c>
      <x:c r="U1423" s="628" t="inlineStr">
        <x:is>
          <x:t xml:space="preserve"/>
        </x:is>
      </x:c>
      <x:c r="V1423" s="604" t="inlineStr">
        <x:is>
          <x:t xml:space="preserve"/>
        </x:is>
      </x:c>
      <x:c r="W1423" s="604" t="inlineStr">
        <x:is>
          <x:t xml:space="preserve"/>
        </x:is>
      </x:c>
      <x:c r="X1423" s="604" t="inlineStr">
        <x:is>
          <x:t xml:space="preserve">2996497</x:t>
        </x:is>
      </x:c>
      <x:c r="Y1423" s="604" t="inlineStr">
        <x:is>
          <x:t xml:space="preserve">V4</x:t>
        </x:is>
      </x:c>
      <x:c r="Z1423" s="604" t="inlineStr">
        <x:is>
          <x:t xml:space="preserve">prior-2026-10-09-v1</x:t>
        </x:is>
      </x:c>
      <x:c r="AA1423" s="604" t="inlineStr">
        <x:is>
          <x:t xml:space="preserve">N</x:t>
        </x:is>
      </x:c>
      <x:c r="AB1423" s="604" t="n"/>
      <x:c r="AC1423" s="604" t="n"/>
      <x:c r="AD1423" s="604" t="n"/>
      <x:c r="AE1423" s="604" t="n"/>
      <x:c r="AF1423" s="604" t="n"/>
      <x:c r="AG1423" s="604" t="n"/>
      <x:c r="AH1423" s="604" t="n"/>
      <x:c r="AI1423" s="604" t="n"/>
      <x:c r="AJ1423" s="604" t="n"/>
      <x:c r="AK1423" s="604" t="n"/>
      <x:c r="AL1423" s="604" t="n"/>
      <x:c r="AM1423" s="604" t="n"/>
      <x:c r="AN1423" s="604" t="inlineStr">
        <x:is>
          <x:t xml:space="preserve">NEUTRAL</x:t>
        </x:is>
      </x:c>
      <x:c r="AO1423" s="604" t="inlineStr">
        <x:is>
          <x:t xml:space="preserve">PK_NO_GIVING_RECEIVING_IDENTITY</x:t>
        </x:is>
      </x:c>
      <x:c r="AP1423" s="604" t="inlineStr">
        <x:is>
          <x:t xml:space="preserve">6d5c1b7f6d025284945d</x:t>
        </x:is>
      </x:c>
      <x:c r="AQ1423" s="604" t="n"/>
      <x:c r="AR1423" s="604" t="n"/>
      <x:c r="AS1423" s="604" t="n"/>
      <x:c r="AT1423" s="604" t="n"/>
      <x:c r="AU1423" s="604" t="n"/>
      <x:c r="AV1423" s="604" t="n"/>
      <x:c r="AW1423" s="604" t="inlineStr">
        <x:is>
          <x:t xml:space="preserve">2026-10-09T09:01:21.127001+08:00</x:t>
        </x:is>
      </x:c>
      <x:c r="AX1423" s="604" t="inlineStr">
        <x:is>
          <x:t xml:space="preserve">Titan007/V4</x:t>
        </x:is>
      </x:c>
      <x:c r="AY1423" s="604" t="inlineStr">
        <x:is>
          <x:t xml:space="preserve">Daily append；市场输入缺失时不生成决策</x:t>
        </x:is>
      </x:c>
    </x:row>
    <x:row r="1424" ht="22" customHeight="1">
      <x:c r="A1424" s="604" t="inlineStr">
        <x:is>
          <x:t xml:space="preserve">2026-10-09</x:t>
        </x:is>
      </x:c>
      <x:c r="B1424" s="604" t="inlineStr">
        <x:is>
          <x:t xml:space="preserve">2026-10-10T02:00:00+08:00</x:t>
        </x:is>
      </x:c>
      <x:c r="C1424" s="604" t="str">
        <x:v>欧洲非五大系列</x:v>
      </x:c>
      <x:c r="D1424" s="604" t="inlineStr">
        <x:is>
          <x:t xml:space="preserve"/>
        </x:is>
      </x:c>
      <x:c r="E1424" s="604" t="inlineStr">
        <x:is>
          <x:t xml:space="preserve">荷乙</x:t>
        </x:is>
      </x:c>
      <x:c r="F1424" s="604" t="inlineStr">
        <x:is>
          <x:t xml:space="preserve">赫拉克勒斯 vs 瓦尔韦克</x:t>
        </x:is>
      </x:c>
      <x:c r="G1424" s="604" t="n">
        <x:v>0.84</x:v>
      </x:c>
      <x:c r="H1424" s="604" t="n">
        <x:v>1</x:v>
      </x:c>
      <x:c r="I1424" s="604" t="n">
        <x:v>0.98</x:v>
      </x:c>
      <x:c r="J1424" s="604" t="inlineStr">
        <x:is>
          <x:t xml:space="preserve">0.84/1.0/0.98</x:t>
        </x:is>
      </x:c>
      <x:c r="K1424" s="604" t="inlineStr">
        <x:is>
          <x:t xml:space="preserve">V4-N</x:t>
        </x:is>
      </x:c>
      <x:c r="L1424" s="604" t="inlineStr">
        <x:is>
          <x:t xml:space="preserve"/>
        </x:is>
      </x:c>
      <x:c r="M1424" s="604" t="n">
        <x:v>0.4468861634403434</x:v>
      </x:c>
      <x:c r="N1424" s="604" t="inlineStr">
        <x:is>
          <x:t xml:space="preserve">V4 Shadow Only；real_money=false</x:t>
        </x:is>
      </x:c>
      <x:c r="O1424" s="604" t="inlineStr">
        <x:is>
          <x:t xml:space="preserve">0-0</x:t>
        </x:is>
      </x:c>
      <x:c r="P1424" s="604" t="inlineStr">
        <x:is>
          <x:t xml:space="preserve">EVALUATED</x:t>
        </x:is>
      </x:c>
      <x:c r="Q1424" s="630" t="inlineStr">
        <x:is>
          <x:t xml:space="preserve"/>
        </x:is>
      </x:c>
      <x:c r="R1424" s="604" t="n"/>
      <x:c r="S1424" s="604" t="n"/>
      <x:c r="T1424" s="604" t="inlineStr">
        <x:is>
          <x:t xml:space="preserve">D:\codex\v3_legacy\outputs\football_odds_trader\raw\titan007\20261009\20261009_085232_titan007_odds_snapshot.csv</x:t>
        </x:is>
      </x:c>
      <x:c r="U1424" s="628" t="inlineStr">
        <x:is>
          <x:t xml:space="preserve"/>
        </x:is>
      </x:c>
      <x:c r="V1424" s="604" t="inlineStr">
        <x:is>
          <x:t xml:space="preserve"/>
        </x:is>
      </x:c>
      <x:c r="W1424" s="604" t="inlineStr">
        <x:is>
          <x:t xml:space="preserve"/>
        </x:is>
      </x:c>
      <x:c r="X1424" s="604" t="inlineStr">
        <x:is>
          <x:t xml:space="preserve">2996498</x:t>
        </x:is>
      </x:c>
      <x:c r="Y1424" s="604" t="inlineStr">
        <x:is>
          <x:t xml:space="preserve">V4</x:t>
        </x:is>
      </x:c>
      <x:c r="Z1424" s="604" t="inlineStr">
        <x:is>
          <x:t xml:space="preserve">prior-2026-10-09-v1</x:t>
        </x:is>
      </x:c>
      <x:c r="AA1424" s="604" t="inlineStr">
        <x:is>
          <x:t xml:space="preserve">N</x:t>
        </x:is>
      </x:c>
      <x:c r="AB1424" s="604" t="n">
        <x:v>0.4468861634403434</x:v>
      </x:c>
      <x:c r="AC1424" s="604" t="n">
        <x:v>0.2988247987758511</x:v>
      </x:c>
      <x:c r="AD1424" s="604" t="n">
        <x:v>1.5</x:v>
      </x:c>
      <x:c r="AE1424" s="604" t="n"/>
      <x:c r="AF1424" s="604" t="n"/>
      <x:c r="AG1424" s="604" t="n">
        <x:v>0.07655957851403744</x:v>
      </x:c>
      <x:c r="AH1424" s="604" t="n"/>
      <x:c r="AI1424" s="604" t="n"/>
      <x:c r="AJ1424" s="604" t="n">
        <x:v>0.07655957851403744</x:v>
      </x:c>
      <x:c r="AK1424" s="604" t="n"/>
      <x:c r="AL1424" s="604" t="n"/>
      <x:c r="AM1424" s="604" t="n"/>
      <x:c r="AN1424" s="604" t="inlineStr">
        <x:is>
          <x:t xml:space="preserve">EVALUATED</x:t>
        </x:is>
      </x:c>
      <x:c r="AO1424" s="604" t="inlineStr">
        <x:is>
          <x:t xml:space="preserve">LOW_QUALITY_GATE;BUCKET_PRIOR_ONLY;INTENT_INTERPRETATION_ONLY;FFL_OPTIONAL;EXPERT_MARKET</x:t>
        </x:is>
      </x:c>
      <x:c r="AP1424" s="604" t="inlineStr">
        <x:is>
          <x:t xml:space="preserve">451e58d0aec5373d5cf7</x:t>
        </x:is>
      </x:c>
      <x:c r="AQ1424" s="604" t="n"/>
      <x:c r="AR1424" s="604" t="n"/>
      <x:c r="AS1424" s="604" t="n">
        <x:v>1</x:v>
      </x:c>
      <x:c r="AT1424" s="604" t="n">
        <x:v>-1</x:v>
      </x:c>
      <x:c r="AU1424" s="604" t="n">
        <x:v>0.84</x:v>
      </x:c>
      <x:c r="AV1424" s="604" t="n">
        <x:v>0.98</x:v>
      </x:c>
      <x:c r="AW1424" s="604" t="inlineStr">
        <x:is>
          <x:t xml:space="preserve">2026-10-09T09:01:21.127001+08:00</x:t>
        </x:is>
      </x:c>
      <x:c r="AX1424" s="604" t="inlineStr">
        <x:is>
          <x:t xml:space="preserve">Titan007/V4</x:t>
        </x:is>
      </x:c>
      <x:c r="AY1424" s="604" t="inlineStr">
        <x:is>
          <x:t xml:space="preserve">Daily append；市场输入缺失时不生成决策</x:t>
        </x:is>
      </x:c>
    </x:row>
    <x:row r="1425" ht="22" customHeight="1">
      <x:c r="A1425" s="604" t="inlineStr">
        <x:is>
          <x:t xml:space="preserve">2026-10-09</x:t>
        </x:is>
      </x:c>
      <x:c r="B1425" s="604" t="inlineStr">
        <x:is>
          <x:t xml:space="preserve">2026-10-10T02:00:00+08:00</x:t>
        </x:is>
      </x:c>
      <x:c r="C1425" s="604" t="str">
        <x:v>欧洲非五大系列</x:v>
      </x:c>
      <x:c r="D1425" s="604" t="inlineStr">
        <x:is>
          <x:t xml:space="preserve"/>
        </x:is>
      </x:c>
      <x:c r="E1425" s="604" t="inlineStr">
        <x:is>
          <x:t xml:space="preserve">荷乙</x:t>
        </x:is>
      </x:c>
      <x:c r="F1425" s="604" t="inlineStr">
        <x:is>
          <x:t xml:space="preserve">阿贾克斯青年队 vs 芬洛</x:t>
        </x:is>
      </x:c>
      <x:c r="G1425" s="604" t="n">
        <x:v>0.87</x:v>
      </x:c>
      <x:c r="H1425" s="604" t="n">
        <x:v>-0.25</x:v>
      </x:c>
      <x:c r="I1425" s="604" t="n">
        <x:v>0.95</x:v>
      </x:c>
      <x:c r="J1425" s="604" t="inlineStr">
        <x:is>
          <x:t xml:space="preserve">0.87/-0.25/0.95</x:t>
        </x:is>
      </x:c>
      <x:c r="K1425" s="604" t="inlineStr">
        <x:is>
          <x:t xml:space="preserve">V4-N</x:t>
        </x:is>
      </x:c>
      <x:c r="L1425" s="604" t="inlineStr">
        <x:is>
          <x:t xml:space="preserve"/>
        </x:is>
      </x:c>
      <x:c r="M1425" s="604" t="n">
        <x:v>0.297487946004107</x:v>
      </x:c>
      <x:c r="N1425" s="604" t="inlineStr">
        <x:is>
          <x:t xml:space="preserve">V4 Shadow Only；real_money=false</x:t>
        </x:is>
      </x:c>
      <x:c r="O1425" s="604" t="inlineStr">
        <x:is>
          <x:t xml:space="preserve">0-0</x:t>
        </x:is>
      </x:c>
      <x:c r="P1425" s="604" t="inlineStr">
        <x:is>
          <x:t xml:space="preserve">EVALUATED</x:t>
        </x:is>
      </x:c>
      <x:c r="Q1425" s="630" t="inlineStr">
        <x:is>
          <x:t xml:space="preserve"/>
        </x:is>
      </x:c>
      <x:c r="R1425" s="604" t="n"/>
      <x:c r="S1425" s="604" t="n"/>
      <x:c r="T1425" s="604" t="inlineStr">
        <x:is>
          <x:t xml:space="preserve">D:\codex\v3_legacy\outputs\football_odds_trader\raw\titan007\20261009\20261009_085232_titan007_odds_snapshot.csv</x:t>
        </x:is>
      </x:c>
      <x:c r="U1425" s="628" t="inlineStr">
        <x:is>
          <x:t xml:space="preserve"/>
        </x:is>
      </x:c>
      <x:c r="V1425" s="604" t="inlineStr">
        <x:is>
          <x:t xml:space="preserve"/>
        </x:is>
      </x:c>
      <x:c r="W1425" s="604" t="inlineStr">
        <x:is>
          <x:t xml:space="preserve"/>
        </x:is>
      </x:c>
      <x:c r="X1425" s="604" t="inlineStr">
        <x:is>
          <x:t xml:space="preserve">2996499</x:t>
        </x:is>
      </x:c>
      <x:c r="Y1425" s="604" t="inlineStr">
        <x:is>
          <x:t xml:space="preserve">V4</x:t>
        </x:is>
      </x:c>
      <x:c r="Z1425" s="604" t="inlineStr">
        <x:is>
          <x:t xml:space="preserve">prior-2026-10-09-v1</x:t>
        </x:is>
      </x:c>
      <x:c r="AA1425" s="604" t="inlineStr">
        <x:is>
          <x:t xml:space="preserve">N</x:t>
        </x:is>
      </x:c>
      <x:c r="AB1425" s="604" t="n">
        <x:v>0.297487946004107</x:v>
      </x:c>
      <x:c r="AC1425" s="604" t="n">
        <x:v>0.5736780868374658</x:v>
      </x:c>
      <x:c r="AD1425" s="604" t="n">
        <x:v>-0.25</x:v>
      </x:c>
      <x:c r="AE1425" s="604" t="n"/>
      <x:c r="AF1425" s="604" t="n"/>
      <x:c r="AG1425" s="604" t="n">
        <x:v>0.2016119895444882</x:v>
      </x:c>
      <x:c r="AH1425" s="604" t="n"/>
      <x:c r="AI1425" s="604" t="n"/>
      <x:c r="AJ1425" s="604" t="n">
        <x:v>0.2016119895444882</x:v>
      </x:c>
      <x:c r="AK1425" s="604" t="n"/>
      <x:c r="AL1425" s="604" t="n"/>
      <x:c r="AM1425" s="604" t="n"/>
      <x:c r="AN1425" s="604" t="inlineStr">
        <x:is>
          <x:t xml:space="preserve">EVALUATED</x:t>
        </x:is>
      </x:c>
      <x:c r="AO1425" s="604" t="inlineStr">
        <x:is>
          <x:t xml:space="preserve">LOW_QUALITY_GATE;BUCKET_PRIOR_ONLY;INTENT_INTERPRETATION_ONLY;FFL_OPTIONAL;EXPERT_MARKET</x:t>
        </x:is>
      </x:c>
      <x:c r="AP1425" s="604" t="inlineStr">
        <x:is>
          <x:t xml:space="preserve">b14e55225823922a13e2</x:t>
        </x:is>
      </x:c>
      <x:c r="AQ1425" s="604" t="n"/>
      <x:c r="AR1425" s="604" t="n"/>
      <x:c r="AS1425" s="604" t="n">
        <x:v>-0.25</x:v>
      </x:c>
      <x:c r="AT1425" s="604" t="n">
        <x:v>0.25</x:v>
      </x:c>
      <x:c r="AU1425" s="604" t="n">
        <x:v>0.87</x:v>
      </x:c>
      <x:c r="AV1425" s="604" t="n">
        <x:v>0.95</x:v>
      </x:c>
      <x:c r="AW1425" s="604" t="inlineStr">
        <x:is>
          <x:t xml:space="preserve">2026-10-09T09:01:21.127001+08:00</x:t>
        </x:is>
      </x:c>
      <x:c r="AX1425" s="604" t="inlineStr">
        <x:is>
          <x:t xml:space="preserve">Titan007/V4</x:t>
        </x:is>
      </x:c>
      <x:c r="AY1425" s="604" t="inlineStr">
        <x:is>
          <x:t xml:space="preserve">Daily append；市场输入缺失时不生成决策</x:t>
        </x:is>
      </x:c>
    </x:row>
    <x:row r="1426" ht="22" customHeight="1">
      <x:c r="A1426" s="604" t="inlineStr">
        <x:is>
          <x:t xml:space="preserve">2026-10-09</x:t>
        </x:is>
      </x:c>
      <x:c r="B1426" s="604" t="inlineStr">
        <x:is>
          <x:t xml:space="preserve">2026-10-10T02:00:00+08:00</x:t>
        </x:is>
      </x:c>
      <x:c r="C1426" s="604" t="str">
        <x:v>欧洲非五大系列</x:v>
      </x:c>
      <x:c r="D1426" s="604" t="inlineStr">
        <x:is>
          <x:t xml:space="preserve"/>
        </x:is>
      </x:c>
      <x:c r="E1426" s="604" t="inlineStr">
        <x:is>
          <x:t xml:space="preserve">荷乙</x:t>
        </x:is>
      </x:c>
      <x:c r="F1426" s="604" t="inlineStr">
        <x:is>
          <x:t xml:space="preserve">阿尔克马尔青年队 vs 邓伯什</x:t>
        </x:is>
      </x:c>
      <x:c r="G1426" s="604" t="n">
        <x:v>0.91</x:v>
      </x:c>
      <x:c r="H1426" s="604" t="n">
        <x:v>0.5</x:v>
      </x:c>
      <x:c r="I1426" s="604" t="n">
        <x:v>0.91</x:v>
      </x:c>
      <x:c r="J1426" s="604" t="inlineStr">
        <x:is>
          <x:t xml:space="preserve">0.91/0.5/0.91</x:t>
        </x:is>
      </x:c>
      <x:c r="K1426" s="604" t="inlineStr">
        <x:is>
          <x:t xml:space="preserve">V4-N</x:t>
        </x:is>
      </x:c>
      <x:c r="L1426" s="604" t="inlineStr">
        <x:is>
          <x:t xml:space="preserve"/>
        </x:is>
      </x:c>
      <x:c r="M1426" s="604" t="n">
        <x:v>0.5148797161682881</x:v>
      </x:c>
      <x:c r="N1426" s="604" t="inlineStr">
        <x:is>
          <x:t xml:space="preserve">V4 Shadow Only；real_money=false</x:t>
        </x:is>
      </x:c>
      <x:c r="O1426" s="604" t="inlineStr">
        <x:is>
          <x:t xml:space="preserve">0-0</x:t>
        </x:is>
      </x:c>
      <x:c r="P1426" s="604" t="inlineStr">
        <x:is>
          <x:t xml:space="preserve">EVALUATED</x:t>
        </x:is>
      </x:c>
      <x:c r="Q1426" s="630" t="inlineStr">
        <x:is>
          <x:t xml:space="preserve"/>
        </x:is>
      </x:c>
      <x:c r="R1426" s="604" t="n"/>
      <x:c r="S1426" s="604" t="n"/>
      <x:c r="T1426" s="604" t="inlineStr">
        <x:is>
          <x:t xml:space="preserve">D:\codex\v3_legacy\outputs\football_odds_trader\raw\titan007\20261009\20261009_085232_titan007_odds_snapshot.csv</x:t>
        </x:is>
      </x:c>
      <x:c r="U1426" s="628" t="inlineStr">
        <x:is>
          <x:t xml:space="preserve"/>
        </x:is>
      </x:c>
      <x:c r="V1426" s="604" t="inlineStr">
        <x:is>
          <x:t xml:space="preserve"/>
        </x:is>
      </x:c>
      <x:c r="W1426" s="604" t="inlineStr">
        <x:is>
          <x:t xml:space="preserve"/>
        </x:is>
      </x:c>
      <x:c r="X1426" s="604" t="inlineStr">
        <x:is>
          <x:t xml:space="preserve">2996500</x:t>
        </x:is>
      </x:c>
      <x:c r="Y1426" s="604" t="inlineStr">
        <x:is>
          <x:t xml:space="preserve">V4</x:t>
        </x:is>
      </x:c>
      <x:c r="Z1426" s="604" t="inlineStr">
        <x:is>
          <x:t xml:space="preserve">prior-2026-10-09-v1</x:t>
        </x:is>
      </x:c>
      <x:c r="AA1426" s="604" t="inlineStr">
        <x:is>
          <x:t xml:space="preserve">N</x:t>
        </x:is>
      </x:c>
      <x:c r="AB1426" s="604" t="n">
        <x:v>0.5148797161682881</x:v>
      </x:c>
      <x:c r="AC1426" s="604" t="n">
        <x:v>0.4851202838317119</x:v>
      </x:c>
      <x:c r="AD1426" s="604" t="n">
        <x:v>0.5</x:v>
      </x:c>
      <x:c r="AE1426" s="604" t="n"/>
      <x:c r="AF1426" s="604" t="n"/>
      <x:c r="AG1426" s="604" t="n">
        <x:v>-0.01657974211856972</x:v>
      </x:c>
      <x:c r="AH1426" s="604" t="n"/>
      <x:c r="AI1426" s="604" t="n"/>
      <x:c r="AJ1426" s="604" t="n">
        <x:v>-0.01657974211856972</x:v>
      </x:c>
      <x:c r="AK1426" s="604" t="n"/>
      <x:c r="AL1426" s="604" t="n"/>
      <x:c r="AM1426" s="604" t="n"/>
      <x:c r="AN1426" s="604" t="inlineStr">
        <x:is>
          <x:t xml:space="preserve">EVALUATED</x:t>
        </x:is>
      </x:c>
      <x:c r="AO1426" s="604" t="inlineStr">
        <x:is>
          <x:t xml:space="preserve">EDGE_BELOW_UNCERTAINTY_THRESHOLD;BUCKET_PRIOR_ONLY;INTENT_INTERPRETATION_ONLY;FFL_OPTIONAL;EXPERT_MARKET</x:t>
        </x:is>
      </x:c>
      <x:c r="AP1426" s="604" t="inlineStr">
        <x:is>
          <x:t xml:space="preserve">59a0f56984add46b8aef</x:t>
        </x:is>
      </x:c>
      <x:c r="AQ1426" s="604" t="n"/>
      <x:c r="AR1426" s="604" t="n"/>
      <x:c r="AS1426" s="604" t="n">
        <x:v>0.5</x:v>
      </x:c>
      <x:c r="AT1426" s="604" t="n">
        <x:v>-0.5</x:v>
      </x:c>
      <x:c r="AU1426" s="604" t="n">
        <x:v>0.91</x:v>
      </x:c>
      <x:c r="AV1426" s="604" t="n">
        <x:v>0.91</x:v>
      </x:c>
      <x:c r="AW1426" s="604" t="inlineStr">
        <x:is>
          <x:t xml:space="preserve">2026-10-09T09:01:21.127001+08:00</x:t>
        </x:is>
      </x:c>
      <x:c r="AX1426" s="604" t="inlineStr">
        <x:is>
          <x:t xml:space="preserve">Titan007/V4</x:t>
        </x:is>
      </x:c>
      <x:c r="AY1426" s="604" t="inlineStr">
        <x:is>
          <x:t xml:space="preserve">Daily append；市场输入缺失时不生成决策</x:t>
        </x:is>
      </x:c>
    </x:row>
    <x:row r="1427" ht="22" customHeight="1">
      <x:c r="A1427" s="604" t="inlineStr">
        <x:is>
          <x:t xml:space="preserve">2026-10-09</x:t>
        </x:is>
      </x:c>
      <x:c r="B1427" s="604" t="inlineStr">
        <x:is>
          <x:t xml:space="preserve">2026-10-10T02:00:00+08:00</x:t>
        </x:is>
      </x:c>
      <x:c r="C1427" s="604" t="str">
        <x:v>欧洲非五大系列</x:v>
      </x:c>
      <x:c r="D1427" s="604" t="inlineStr">
        <x:is>
          <x:t xml:space="preserve"/>
        </x:is>
      </x:c>
      <x:c r="E1427" s="604" t="inlineStr">
        <x:is>
          <x:t xml:space="preserve">荷乙</x:t>
        </x:is>
      </x:c>
      <x:c r="F1427" s="604" t="inlineStr">
        <x:is>
          <x:t xml:space="preserve">布雷达 vs 马斯特里赫特</x:t>
        </x:is>
      </x:c>
      <x:c r="G1427" s="604" t="n">
        <x:v>0.89</x:v>
      </x:c>
      <x:c r="H1427" s="604" t="n">
        <x:v>1.5</x:v>
      </x:c>
      <x:c r="I1427" s="604" t="n">
        <x:v>0.93</x:v>
      </x:c>
      <x:c r="J1427" s="604" t="inlineStr">
        <x:is>
          <x:t xml:space="preserve">0.89/1.5/0.93</x:t>
        </x:is>
      </x:c>
      <x:c r="K1427" s="604" t="inlineStr">
        <x:is>
          <x:t xml:space="preserve">V4-N</x:t>
        </x:is>
      </x:c>
      <x:c r="L1427" s="604" t="inlineStr">
        <x:is>
          <x:t xml:space="preserve"/>
        </x:is>
      </x:c>
      <x:c r="M1427" s="604" t="n">
        <x:v>0.587047233315295</x:v>
      </x:c>
      <x:c r="N1427" s="604" t="inlineStr">
        <x:is>
          <x:t xml:space="preserve">V4 Shadow Only；real_money=false</x:t>
        </x:is>
      </x:c>
      <x:c r="O1427" s="604" t="inlineStr">
        <x:is>
          <x:t xml:space="preserve">0-0</x:t>
        </x:is>
      </x:c>
      <x:c r="P1427" s="604" t="inlineStr">
        <x:is>
          <x:t xml:space="preserve">EVALUATED</x:t>
        </x:is>
      </x:c>
      <x:c r="Q1427" s="630" t="inlineStr">
        <x:is>
          <x:t xml:space="preserve"/>
        </x:is>
      </x:c>
      <x:c r="R1427" s="604" t="n"/>
      <x:c r="S1427" s="604" t="n"/>
      <x:c r="T1427" s="604" t="inlineStr">
        <x:is>
          <x:t xml:space="preserve">D:\codex\v3_legacy\outputs\football_odds_trader\raw\titan007\20261009\20261009_085232_titan007_odds_snapshot.csv</x:t>
        </x:is>
      </x:c>
      <x:c r="U1427" s="628" t="inlineStr">
        <x:is>
          <x:t xml:space="preserve"/>
        </x:is>
      </x:c>
      <x:c r="V1427" s="604" t="inlineStr">
        <x:is>
          <x:t xml:space="preserve"/>
        </x:is>
      </x:c>
      <x:c r="W1427" s="604" t="inlineStr">
        <x:is>
          <x:t xml:space="preserve"/>
        </x:is>
      </x:c>
      <x:c r="X1427" s="604" t="inlineStr">
        <x:is>
          <x:t xml:space="preserve">2996501</x:t>
        </x:is>
      </x:c>
      <x:c r="Y1427" s="604" t="inlineStr">
        <x:is>
          <x:t xml:space="preserve">V4</x:t>
        </x:is>
      </x:c>
      <x:c r="Z1427" s="604" t="inlineStr">
        <x:is>
          <x:t xml:space="preserve">prior-2026-10-09-v1</x:t>
        </x:is>
      </x:c>
      <x:c r="AA1427" s="604" t="inlineStr">
        <x:is>
          <x:t xml:space="preserve">N</x:t>
        </x:is>
      </x:c>
      <x:c r="AB1427" s="604" t="n">
        <x:v>0.587047233315295</x:v>
      </x:c>
      <x:c r="AC1427" s="604" t="n">
        <x:v>0.4129527666847051</x:v>
      </x:c>
      <x:c r="AD1427" s="604" t="n">
        <x:v>2</x:v>
      </x:c>
      <x:c r="AE1427" s="604" t="n"/>
      <x:c r="AF1427" s="604" t="n"/>
      <x:c r="AG1427" s="604" t="n">
        <x:v>0.1095192709659075</x:v>
      </x:c>
      <x:c r="AH1427" s="604" t="n"/>
      <x:c r="AI1427" s="604" t="n"/>
      <x:c r="AJ1427" s="604" t="n">
        <x:v>0.1095192709659075</x:v>
      </x:c>
      <x:c r="AK1427" s="604" t="n"/>
      <x:c r="AL1427" s="604" t="n"/>
      <x:c r="AM1427" s="604" t="n"/>
      <x:c r="AN1427" s="604" t="inlineStr">
        <x:is>
          <x:t xml:space="preserve">EVALUATED</x:t>
        </x:is>
      </x:c>
      <x:c r="AO1427" s="604" t="inlineStr">
        <x:is>
          <x:t xml:space="preserve">LOW_QUALITY_GATE;BUCKET_PRIOR_ONLY;INTENT_INTERPRETATION_ONLY;FFL_OPTIONAL;EXPERT_MARKET</x:t>
        </x:is>
      </x:c>
      <x:c r="AP1427" s="604" t="inlineStr">
        <x:is>
          <x:t xml:space="preserve">77291d9c348910cc1dc1</x:t>
        </x:is>
      </x:c>
      <x:c r="AQ1427" s="604" t="n"/>
      <x:c r="AR1427" s="604" t="n"/>
      <x:c r="AS1427" s="604" t="n">
        <x:v>1.5</x:v>
      </x:c>
      <x:c r="AT1427" s="604" t="n">
        <x:v>-1.5</x:v>
      </x:c>
      <x:c r="AU1427" s="604" t="n">
        <x:v>0.89</x:v>
      </x:c>
      <x:c r="AV1427" s="604" t="n">
        <x:v>0.93</x:v>
      </x:c>
      <x:c r="AW1427" s="604" t="inlineStr">
        <x:is>
          <x:t xml:space="preserve">2026-10-09T09:01:21.127001+08:00</x:t>
        </x:is>
      </x:c>
      <x:c r="AX1427" s="604" t="inlineStr">
        <x:is>
          <x:t xml:space="preserve">Titan007/V4</x:t>
        </x:is>
      </x:c>
      <x:c r="AY1427" s="604" t="inlineStr">
        <x:is>
          <x:t xml:space="preserve">Daily append；市场输入缺失时不生成决策</x:t>
        </x:is>
      </x:c>
    </x:row>
    <x:row r="1428" ht="22" customHeight="1">
      <x:c r="A1428" s="604" t="inlineStr">
        <x:is>
          <x:t xml:space="preserve">2026-10-09</x:t>
        </x:is>
      </x:c>
      <x:c r="B1428" s="604" t="inlineStr">
        <x:is>
          <x:t xml:space="preserve">2026-10-10T02:00:00+08:00</x:t>
        </x:is>
      </x:c>
      <x:c r="C1428" s="604" t="str">
        <x:v>欧洲非五大系列</x:v>
      </x:c>
      <x:c r="D1428" s="604" t="inlineStr">
        <x:is>
          <x:t xml:space="preserve"/>
        </x:is>
      </x:c>
      <x:c r="E1428" s="604" t="inlineStr">
        <x:is>
          <x:t xml:space="preserve">荷乙</x:t>
        </x:is>
      </x:c>
      <x:c r="F1428" s="604" t="inlineStr">
        <x:is>
          <x:t xml:space="preserve">奥斯 vs 赫尔蒙德</x:t>
        </x:is>
      </x:c>
      <x:c r="G1428" s="604" t="n">
        <x:v>0.88</x:v>
      </x:c>
      <x:c r="H1428" s="604" t="n">
        <x:v>0.25</x:v>
      </x:c>
      <x:c r="I1428" s="604" t="n">
        <x:v>0.9399999999999999</x:v>
      </x:c>
      <x:c r="J1428" s="604" t="inlineStr">
        <x:is>
          <x:t xml:space="preserve">0.88/0.25/0.94</x:t>
        </x:is>
      </x:c>
      <x:c r="K1428" s="604" t="inlineStr">
        <x:is>
          <x:t xml:space="preserve">V4-N</x:t>
        </x:is>
      </x:c>
      <x:c r="L1428" s="604" t="inlineStr">
        <x:is>
          <x:t xml:space="preserve"/>
        </x:is>
      </x:c>
      <x:c r="M1428" s="604" t="n">
        <x:v>0.463823605474141</x:v>
      </x:c>
      <x:c r="N1428" s="604" t="inlineStr">
        <x:is>
          <x:t xml:space="preserve">V4 Shadow Only；real_money=false</x:t>
        </x:is>
      </x:c>
      <x:c r="O1428" s="604" t="inlineStr">
        <x:is>
          <x:t xml:space="preserve">0-0</x:t>
        </x:is>
      </x:c>
      <x:c r="P1428" s="604" t="inlineStr">
        <x:is>
          <x:t xml:space="preserve">EVALUATED</x:t>
        </x:is>
      </x:c>
      <x:c r="Q1428" s="630" t="inlineStr">
        <x:is>
          <x:t xml:space="preserve"/>
        </x:is>
      </x:c>
      <x:c r="R1428" s="604" t="n"/>
      <x:c r="S1428" s="604" t="n"/>
      <x:c r="T1428" s="604" t="inlineStr">
        <x:is>
          <x:t xml:space="preserve">D:\codex\v3_legacy\outputs\football_odds_trader\raw\titan007\20261009\20261009_085232_titan007_odds_snapshot.csv</x:t>
        </x:is>
      </x:c>
      <x:c r="U1428" s="628" t="inlineStr">
        <x:is>
          <x:t xml:space="preserve"/>
        </x:is>
      </x:c>
      <x:c r="V1428" s="604" t="inlineStr">
        <x:is>
          <x:t xml:space="preserve"/>
        </x:is>
      </x:c>
      <x:c r="W1428" s="604" t="inlineStr">
        <x:is>
          <x:t xml:space="preserve"/>
        </x:is>
      </x:c>
      <x:c r="X1428" s="604" t="inlineStr">
        <x:is>
          <x:t xml:space="preserve">2996502</x:t>
        </x:is>
      </x:c>
      <x:c r="Y1428" s="604" t="inlineStr">
        <x:is>
          <x:t xml:space="preserve">V4</x:t>
        </x:is>
      </x:c>
      <x:c r="Z1428" s="604" t="inlineStr">
        <x:is>
          <x:t xml:space="preserve">prior-2026-10-09-v1</x:t>
        </x:is>
      </x:c>
      <x:c r="AA1428" s="604" t="inlineStr">
        <x:is>
          <x:t xml:space="preserve">N</x:t>
        </x:is>
      </x:c>
      <x:c r="AB1428" s="604" t="n">
        <x:v>0.463823605474141</x:v>
      </x:c>
      <x:c r="AC1428" s="604" t="n">
        <x:v>0.4074837747018043</x:v>
      </x:c>
      <x:c r="AD1428" s="604" t="n">
        <x:v>0.5</x:v>
      </x:c>
      <x:c r="AE1428" s="604" t="n"/>
      <x:c r="AF1428" s="604" t="n"/>
      <x:c r="AG1428" s="604" t="n">
        <x:v>0.0006809981154397571</x:v>
      </x:c>
      <x:c r="AH1428" s="604" t="n"/>
      <x:c r="AI1428" s="604" t="n"/>
      <x:c r="AJ1428" s="604" t="n">
        <x:v>0.0006809981154397571</x:v>
      </x:c>
      <x:c r="AK1428" s="604" t="n"/>
      <x:c r="AL1428" s="604" t="n"/>
      <x:c r="AM1428" s="604" t="n"/>
      <x:c r="AN1428" s="604" t="inlineStr">
        <x:is>
          <x:t xml:space="preserve">EVALUATED</x:t>
        </x:is>
      </x:c>
      <x:c r="AO1428" s="604" t="inlineStr">
        <x:is>
          <x:t xml:space="preserve">EDGE_BELOW_UNCERTAINTY_THRESHOLD;BUCKET_PRIOR_ONLY;INTENT_INTERPRETATION_ONLY;FFL_OPTIONAL;EXPERT_MARKET</x:t>
        </x:is>
      </x:c>
      <x:c r="AP1428" s="604" t="inlineStr">
        <x:is>
          <x:t xml:space="preserve">eeec25704aced24d0697</x:t>
        </x:is>
      </x:c>
      <x:c r="AQ1428" s="604" t="n"/>
      <x:c r="AR1428" s="604" t="n"/>
      <x:c r="AS1428" s="604" t="n">
        <x:v>0.25</x:v>
      </x:c>
      <x:c r="AT1428" s="604" t="n">
        <x:v>-0.25</x:v>
      </x:c>
      <x:c r="AU1428" s="604" t="n">
        <x:v>0.88</x:v>
      </x:c>
      <x:c r="AV1428" s="604" t="n">
        <x:v>0.9399999999999999</x:v>
      </x:c>
      <x:c r="AW1428" s="604" t="inlineStr">
        <x:is>
          <x:t xml:space="preserve">2026-10-09T09:01:21.127001+08:00</x:t>
        </x:is>
      </x:c>
      <x:c r="AX1428" s="604" t="inlineStr">
        <x:is>
          <x:t xml:space="preserve">Titan007/V4</x:t>
        </x:is>
      </x:c>
      <x:c r="AY1428" s="604" t="inlineStr">
        <x:is>
          <x:t xml:space="preserve">Daily append；市场输入缺失时不生成决策</x:t>
        </x:is>
      </x:c>
    </x:row>
    <x:row r="1429" ht="22" customHeight="1">
      <x:c r="A1429" s="604" t="inlineStr">
        <x:is>
          <x:t xml:space="preserve">2026-10-09</x:t>
        </x:is>
      </x:c>
      <x:c r="B1429" s="604" t="inlineStr">
        <x:is>
          <x:t xml:space="preserve">2026-10-10T02:00:00+08:00</x:t>
        </x:is>
      </x:c>
      <x:c r="C1429" s="604" t="str">
        <x:v>欧洲非五大系列</x:v>
      </x:c>
      <x:c r="D1429" s="604" t="inlineStr">
        <x:is>
          <x:t xml:space="preserve"/>
        </x:is>
      </x:c>
      <x:c r="E1429" s="604" t="inlineStr">
        <x:is>
          <x:t xml:space="preserve">荷乙</x:t>
        </x:is>
      </x:c>
      <x:c r="F1429" s="604" t="inlineStr">
        <x:is>
          <x:t xml:space="preserve">罗达JC vs 埃因霍温青年队</x:t>
        </x:is>
      </x:c>
      <x:c r="G1429" s="604" t="n">
        <x:v>0.8100000000000001</x:v>
      </x:c>
      <x:c r="H1429" s="604" t="n">
        <x:v>0.75</x:v>
      </x:c>
      <x:c r="I1429" s="604" t="n">
        <x:v>1.01</x:v>
      </x:c>
      <x:c r="J1429" s="604" t="inlineStr">
        <x:is>
          <x:t xml:space="preserve">0.81/0.75/1.01</x:t>
        </x:is>
      </x:c>
      <x:c r="K1429" s="604" t="inlineStr">
        <x:is>
          <x:t xml:space="preserve">V4-N</x:t>
        </x:is>
      </x:c>
      <x:c r="L1429" s="604" t="inlineStr">
        <x:is>
          <x:t xml:space="preserve"/>
        </x:is>
      </x:c>
      <x:c r="M1429" s="604" t="n">
        <x:v>0.4965026493891557</x:v>
      </x:c>
      <x:c r="N1429" s="604" t="inlineStr">
        <x:is>
          <x:t xml:space="preserve">V4 Shadow Only；real_money=false</x:t>
        </x:is>
      </x:c>
      <x:c r="O1429" s="604" t="inlineStr">
        <x:is>
          <x:t xml:space="preserve">0-0</x:t>
        </x:is>
      </x:c>
      <x:c r="P1429" s="604" t="inlineStr">
        <x:is>
          <x:t xml:space="preserve">EVALUATED</x:t>
        </x:is>
      </x:c>
      <x:c r="Q1429" s="630" t="inlineStr">
        <x:is>
          <x:t xml:space="preserve"/>
        </x:is>
      </x:c>
      <x:c r="R1429" s="604" t="n"/>
      <x:c r="S1429" s="604" t="n"/>
      <x:c r="T1429" s="604" t="inlineStr">
        <x:is>
          <x:t xml:space="preserve">D:\codex\v3_legacy\outputs\football_odds_trader\raw\titan007\20261009\20261009_085232_titan007_odds_snapshot.csv</x:t>
        </x:is>
      </x:c>
      <x:c r="U1429" s="628" t="inlineStr">
        <x:is>
          <x:t xml:space="preserve"/>
        </x:is>
      </x:c>
      <x:c r="V1429" s="604" t="inlineStr">
        <x:is>
          <x:t xml:space="preserve"/>
        </x:is>
      </x:c>
      <x:c r="W1429" s="604" t="inlineStr">
        <x:is>
          <x:t xml:space="preserve"/>
        </x:is>
      </x:c>
      <x:c r="X1429" s="604" t="inlineStr">
        <x:is>
          <x:t xml:space="preserve">2996503</x:t>
        </x:is>
      </x:c>
      <x:c r="Y1429" s="604" t="inlineStr">
        <x:is>
          <x:t xml:space="preserve">V4</x:t>
        </x:is>
      </x:c>
      <x:c r="Z1429" s="604" t="inlineStr">
        <x:is>
          <x:t xml:space="preserve">prior-2026-10-09-v1</x:t>
        </x:is>
      </x:c>
      <x:c r="AA1429" s="604" t="inlineStr">
        <x:is>
          <x:t xml:space="preserve">N</x:t>
        </x:is>
      </x:c>
      <x:c r="AB1429" s="604" t="n">
        <x:v>0.4965026493891557</x:v>
      </x:c>
      <x:c r="AC1429" s="604" t="n">
        <x:v>0.3760874332304147</x:v>
      </x:c>
      <x:c r="AD1429" s="604" t="n">
        <x:v>1</x:v>
      </x:c>
      <x:c r="AE1429" s="604" t="n"/>
      <x:c r="AF1429" s="604" t="n"/>
      <x:c r="AG1429" s="604" t="n">
        <x:v>0.02607971277480142</x:v>
      </x:c>
      <x:c r="AH1429" s="604" t="n"/>
      <x:c r="AI1429" s="604" t="n"/>
      <x:c r="AJ1429" s="604" t="n">
        <x:v>0.02607971277480142</x:v>
      </x:c>
      <x:c r="AK1429" s="604" t="n"/>
      <x:c r="AL1429" s="604" t="n"/>
      <x:c r="AM1429" s="604" t="n"/>
      <x:c r="AN1429" s="604" t="inlineStr">
        <x:is>
          <x:t xml:space="preserve">EVALUATED</x:t>
        </x:is>
      </x:c>
      <x:c r="AO1429" s="604" t="inlineStr">
        <x:is>
          <x:t xml:space="preserve">EDGE_BELOW_UNCERTAINTY_THRESHOLD;BUCKET_PRIOR_ONLY;INTENT_INTERPRETATION_ONLY;FFL_OPTIONAL;EXPERT_MARKET</x:t>
        </x:is>
      </x:c>
      <x:c r="AP1429" s="604" t="inlineStr">
        <x:is>
          <x:t xml:space="preserve">2219ce0c22837ae2531c</x:t>
        </x:is>
      </x:c>
      <x:c r="AQ1429" s="604" t="n"/>
      <x:c r="AR1429" s="604" t="n"/>
      <x:c r="AS1429" s="604" t="n">
        <x:v>0.75</x:v>
      </x:c>
      <x:c r="AT1429" s="604" t="n">
        <x:v>-0.75</x:v>
      </x:c>
      <x:c r="AU1429" s="604" t="n">
        <x:v>0.8100000000000001</x:v>
      </x:c>
      <x:c r="AV1429" s="604" t="n">
        <x:v>1.01</x:v>
      </x:c>
      <x:c r="AW1429" s="604" t="inlineStr">
        <x:is>
          <x:t xml:space="preserve">2026-10-09T09:01:21.127001+08:00</x:t>
        </x:is>
      </x:c>
      <x:c r="AX1429" s="604" t="inlineStr">
        <x:is>
          <x:t xml:space="preserve">Titan007/V4</x:t>
        </x:is>
      </x:c>
      <x:c r="AY1429" s="604" t="inlineStr">
        <x:is>
          <x:t xml:space="preserve">Daily append；市场输入缺失时不生成决策</x:t>
        </x:is>
      </x:c>
    </x:row>
    <x:row r="1430" ht="22" customHeight="1">
      <x:c r="A1430" s="604" t="inlineStr">
        <x:is>
          <x:t xml:space="preserve">2026-10-09</x:t>
        </x:is>
      </x:c>
      <x:c r="B1430" s="604" t="inlineStr">
        <x:is>
          <x:t xml:space="preserve">2026-10-10T09:00:00+08:00</x:t>
        </x:is>
      </x:c>
      <x:c r="C1430" s="604" t="str">
        <x:v>北美系列</x:v>
      </x:c>
      <x:c r="D1430" s="604" t="inlineStr">
        <x:is>
          <x:t xml:space="preserve"/>
        </x:is>
      </x:c>
      <x:c r="E1430" s="604" t="inlineStr">
        <x:is>
          <x:t xml:space="preserve">墨西联秋</x:t>
        </x:is>
      </x:c>
      <x:c r="F1430" s="604" t="inlineStr">
        <x:is>
          <x:t xml:space="preserve">普埃布拉 vs 莱昂</x:t>
        </x:is>
      </x:c>
      <x:c r="G1430" s="604" t="n">
        <x:v>0.8</x:v>
      </x:c>
      <x:c r="H1430" s="604" t="n">
        <x:v>-0.25</x:v>
      </x:c>
      <x:c r="I1430" s="604" t="n">
        <x:v>1.08</x:v>
      </x:c>
      <x:c r="J1430" s="604" t="inlineStr">
        <x:is>
          <x:t xml:space="preserve">0.8/-0.25/1.08</x:t>
        </x:is>
      </x:c>
      <x:c r="K1430" s="604" t="inlineStr">
        <x:is>
          <x:t xml:space="preserve">V4-N</x:t>
        </x:is>
      </x:c>
      <x:c r="L1430" s="604" t="inlineStr">
        <x:is>
          <x:t xml:space="preserve"/>
        </x:is>
      </x:c>
      <x:c r="M1430" s="604" t="n">
        <x:v>0.3169968773638527</x:v>
      </x:c>
      <x:c r="N1430" s="604" t="inlineStr">
        <x:is>
          <x:t xml:space="preserve">V4 Shadow Only；real_money=false</x:t>
        </x:is>
      </x:c>
      <x:c r="O1430" s="604" t="inlineStr">
        <x:is>
          <x:t xml:space="preserve">0-0</x:t>
        </x:is>
      </x:c>
      <x:c r="P1430" s="604" t="inlineStr">
        <x:is>
          <x:t xml:space="preserve">EVALUATED</x:t>
        </x:is>
      </x:c>
      <x:c r="Q1430" s="630" t="inlineStr">
        <x:is>
          <x:t xml:space="preserve"/>
        </x:is>
      </x:c>
      <x:c r="R1430" s="604" t="n"/>
      <x:c r="S1430" s="604" t="n"/>
      <x:c r="T1430" s="604" t="inlineStr">
        <x:is>
          <x:t xml:space="preserve">D:\codex\v3_legacy\outputs\football_odds_trader\raw\titan007\20261009\20261009_085232_titan007_odds_snapshot.csv</x:t>
        </x:is>
      </x:c>
      <x:c r="U1430" s="628" t="inlineStr">
        <x:is>
          <x:t xml:space="preserve"/>
        </x:is>
      </x:c>
      <x:c r="V1430" s="604" t="inlineStr">
        <x:is>
          <x:t xml:space="preserve"/>
        </x:is>
      </x:c>
      <x:c r="W1430" s="604" t="inlineStr">
        <x:is>
          <x:t xml:space="preserve"/>
        </x:is>
      </x:c>
      <x:c r="X1430" s="604" t="inlineStr">
        <x:is>
          <x:t xml:space="preserve">2997429</x:t>
        </x:is>
      </x:c>
      <x:c r="Y1430" s="604" t="inlineStr">
        <x:is>
          <x:t xml:space="preserve">V4</x:t>
        </x:is>
      </x:c>
      <x:c r="Z1430" s="604" t="inlineStr">
        <x:is>
          <x:t xml:space="preserve">prior-2026-10-09-v1</x:t>
        </x:is>
      </x:c>
      <x:c r="AA1430" s="604" t="inlineStr">
        <x:is>
          <x:t xml:space="preserve">N</x:t>
        </x:is>
      </x:c>
      <x:c r="AB1430" s="604" t="n">
        <x:v>0.3169968773638527</x:v>
      </x:c>
      <x:c r="AC1430" s="604" t="n">
        <x:v>0.5515912678787762</x:v>
      </x:c>
      <x:c r="AD1430" s="604" t="n">
        <x:v>-0.25</x:v>
      </x:c>
      <x:c r="AE1430" s="604" t="n"/>
      <x:c r="AF1430" s="604" t="n"/>
      <x:c r="AG1430" s="604" t="n">
        <x:v>0.1242761369391682</x:v>
      </x:c>
      <x:c r="AH1430" s="604" t="n"/>
      <x:c r="AI1430" s="604" t="n"/>
      <x:c r="AJ1430" s="604" t="n">
        <x:v>0.1242761369391682</x:v>
      </x:c>
      <x:c r="AK1430" s="604" t="n"/>
      <x:c r="AL1430" s="604" t="n"/>
      <x:c r="AM1430" s="604" t="n"/>
      <x:c r="AN1430" s="604" t="inlineStr">
        <x:is>
          <x:t xml:space="preserve">EVALUATED</x:t>
        </x:is>
      </x:c>
      <x:c r="AO1430" s="604" t="inlineStr">
        <x:is>
          <x:t xml:space="preserve">LOW_QUALITY_GATE;BUCKET_PRIOR_ONLY;INTENT_INTERPRETATION_ONLY;FFL_OPTIONAL;EXPERT_MARKET</x:t>
        </x:is>
      </x:c>
      <x:c r="AP1430" s="604" t="inlineStr">
        <x:is>
          <x:t xml:space="preserve">348e73c9cbd36bbcd661</x:t>
        </x:is>
      </x:c>
      <x:c r="AQ1430" s="604" t="n"/>
      <x:c r="AR1430" s="604" t="n"/>
      <x:c r="AS1430" s="604" t="n">
        <x:v>-0.25</x:v>
      </x:c>
      <x:c r="AT1430" s="604" t="n">
        <x:v>0.25</x:v>
      </x:c>
      <x:c r="AU1430" s="604" t="n">
        <x:v>0.8</x:v>
      </x:c>
      <x:c r="AV1430" s="604" t="n">
        <x:v>1.08</x:v>
      </x:c>
      <x:c r="AW1430" s="604" t="inlineStr">
        <x:is>
          <x:t xml:space="preserve">2026-10-09T09:01:21.127001+08:00</x:t>
        </x:is>
      </x:c>
      <x:c r="AX1430" s="604" t="inlineStr">
        <x:is>
          <x:t xml:space="preserve">Titan007/V4</x:t>
        </x:is>
      </x:c>
      <x:c r="AY1430" s="604" t="inlineStr">
        <x:is>
          <x:t xml:space="preserve">Daily append；市场输入缺失时不生成决策</x:t>
        </x:is>
      </x:c>
    </x:row>
    <x:row r="1431" ht="22" customHeight="1">
      <x:c r="A1431" s="604" t="inlineStr">
        <x:is>
          <x:t xml:space="preserve">2026-10-09</x:t>
        </x:is>
      </x:c>
      <x:c r="B1431" s="604" t="inlineStr">
        <x:is>
          <x:t xml:space="preserve">2026-10-10T00:00:00+08:00</x:t>
        </x:is>
      </x:c>
      <x:c r="C1431" s="604" t="str">
        <x:v>欧洲非五大系列</x:v>
      </x:c>
      <x:c r="D1431" s="604" t="inlineStr">
        <x:is>
          <x:t xml:space="preserve"/>
        </x:is>
      </x:c>
      <x:c r="E1431" s="604" t="inlineStr">
        <x:is>
          <x:t xml:space="preserve">克亚甲</x:t>
        </x:is>
      </x:c>
      <x:c r="F1431" s="604" t="inlineStr">
        <x:is>
          <x:t xml:space="preserve">HNK哥里卡 vs 鲁达士</x:t>
        </x:is>
      </x:c>
      <x:c r="G1431" s="604" t="n">
        <x:v>0.97</x:v>
      </x:c>
      <x:c r="H1431" s="604" t="n">
        <x:v>1</x:v>
      </x:c>
      <x:c r="I1431" s="604" t="n">
        <x:v>0.73</x:v>
      </x:c>
      <x:c r="J1431" s="604" t="inlineStr">
        <x:is>
          <x:t xml:space="preserve">0.97/1.0/0.73</x:t>
        </x:is>
      </x:c>
      <x:c r="K1431" s="604" t="inlineStr">
        <x:is>
          <x:t xml:space="preserve">V4-N</x:t>
        </x:is>
      </x:c>
      <x:c r="L1431" s="604" t="inlineStr">
        <x:is>
          <x:t xml:space="preserve"/>
        </x:is>
      </x:c>
      <x:c r="M1431" s="604" t="n">
        <x:v>0.4336729366365975</x:v>
      </x:c>
      <x:c r="N1431" s="604" t="inlineStr">
        <x:is>
          <x:t xml:space="preserve">V4 Shadow Only；real_money=false</x:t>
        </x:is>
      </x:c>
      <x:c r="O1431" s="604" t="inlineStr">
        <x:is>
          <x:t xml:space="preserve">0-0</x:t>
        </x:is>
      </x:c>
      <x:c r="P1431" s="604" t="inlineStr">
        <x:is>
          <x:t xml:space="preserve">EVALUATED</x:t>
        </x:is>
      </x:c>
      <x:c r="Q1431" s="630" t="inlineStr">
        <x:is>
          <x:t xml:space="preserve"/>
        </x:is>
      </x:c>
      <x:c r="R1431" s="604" t="n"/>
      <x:c r="S1431" s="604" t="n"/>
      <x:c r="T1431" s="604" t="inlineStr">
        <x:is>
          <x:t xml:space="preserve">D:\codex\v3_legacy\outputs\football_odds_trader\raw\titan007\20261009\20261009_085232_titan007_odds_snapshot.csv</x:t>
        </x:is>
      </x:c>
      <x:c r="U1431" s="628" t="inlineStr">
        <x:is>
          <x:t xml:space="preserve"/>
        </x:is>
      </x:c>
      <x:c r="V1431" s="604" t="inlineStr">
        <x:is>
          <x:t xml:space="preserve"/>
        </x:is>
      </x:c>
      <x:c r="W1431" s="604" t="inlineStr">
        <x:is>
          <x:t xml:space="preserve"/>
        </x:is>
      </x:c>
      <x:c r="X1431" s="604" t="inlineStr">
        <x:is>
          <x:t xml:space="preserve">2997532</x:t>
        </x:is>
      </x:c>
      <x:c r="Y1431" s="604" t="inlineStr">
        <x:is>
          <x:t xml:space="preserve">V4</x:t>
        </x:is>
      </x:c>
      <x:c r="Z1431" s="604" t="inlineStr">
        <x:is>
          <x:t xml:space="preserve">prior-2026-10-09-v1</x:t>
        </x:is>
      </x:c>
      <x:c r="AA1431" s="604" t="inlineStr">
        <x:is>
          <x:t xml:space="preserve">N</x:t>
        </x:is>
      </x:c>
      <x:c r="AB1431" s="604" t="n">
        <x:v>0.4336729366365975</x:v>
      </x:c>
      <x:c r="AC1431" s="604" t="n">
        <x:v>0.310045146892267</x:v>
      </x:c>
      <x:c r="AD1431" s="604" t="n">
        <x:v>1.25</x:v>
      </x:c>
      <x:c r="AE1431" s="604" t="n"/>
      <x:c r="AF1431" s="604" t="n"/>
      <x:c r="AG1431" s="604" t="n">
        <x:v>0.1106176016452326</x:v>
      </x:c>
      <x:c r="AH1431" s="604" t="n"/>
      <x:c r="AI1431" s="604" t="n"/>
      <x:c r="AJ1431" s="604" t="n">
        <x:v>0.1106176016452326</x:v>
      </x:c>
      <x:c r="AK1431" s="604" t="n"/>
      <x:c r="AL1431" s="604" t="n"/>
      <x:c r="AM1431" s="604" t="n"/>
      <x:c r="AN1431" s="604" t="inlineStr">
        <x:is>
          <x:t xml:space="preserve">EVALUATED</x:t>
        </x:is>
      </x:c>
      <x:c r="AO1431" s="604" t="inlineStr">
        <x:is>
          <x:t xml:space="preserve">LOW_QUALITY_GATE;BUCKET_PRIOR_ONLY;INTENT_INTERPRETATION_ONLY;FFL_OPTIONAL;EXPERT_MARKET</x:t>
        </x:is>
      </x:c>
      <x:c r="AP1431" s="604" t="inlineStr">
        <x:is>
          <x:t xml:space="preserve">d829639efbb5836eae2e</x:t>
        </x:is>
      </x:c>
      <x:c r="AQ1431" s="604" t="n"/>
      <x:c r="AR1431" s="604" t="n"/>
      <x:c r="AS1431" s="604" t="n">
        <x:v>1</x:v>
      </x:c>
      <x:c r="AT1431" s="604" t="n">
        <x:v>-1</x:v>
      </x:c>
      <x:c r="AU1431" s="604" t="n">
        <x:v>0.97</x:v>
      </x:c>
      <x:c r="AV1431" s="604" t="n">
        <x:v>0.73</x:v>
      </x:c>
      <x:c r="AW1431" s="604" t="inlineStr">
        <x:is>
          <x:t xml:space="preserve">2026-10-09T09:01:21.127001+08:00</x:t>
        </x:is>
      </x:c>
      <x:c r="AX1431" s="604" t="inlineStr">
        <x:is>
          <x:t xml:space="preserve">Titan007/V4</x:t>
        </x:is>
      </x:c>
      <x:c r="AY1431" s="604" t="inlineStr">
        <x:is>
          <x:t xml:space="preserve">Daily append；市场输入缺失时不生成决策</x:t>
        </x:is>
      </x:c>
    </x:row>
    <x:row r="1432" ht="22" customHeight="1">
      <x:c r="A1432" s="604" t="inlineStr">
        <x:is>
          <x:t xml:space="preserve">2026-10-09</x:t>
        </x:is>
      </x:c>
      <x:c r="B1432" s="604" t="inlineStr">
        <x:is>
          <x:t xml:space="preserve">2026-10-10T02:00:00+08:00</x:t>
        </x:is>
      </x:c>
      <x:c r="C1432" s="604" t="str">
        <x:v>五大联赛非顶级联赛</x:v>
      </x:c>
      <x:c r="D1432" s="604" t="inlineStr">
        <x:is>
          <x:t xml:space="preserve"/>
        </x:is>
      </x:c>
      <x:c r="E1432" s="604" t="inlineStr">
        <x:is>
          <x:t xml:space="preserve">法乙</x:t>
        </x:is>
      </x:c>
      <x:c r="F1432" s="604" t="inlineStr">
        <x:is>
          <x:t xml:space="preserve">USL敦刻尔克 vs 阿纳西</x:t>
        </x:is>
      </x:c>
      <x:c r="G1432" s="604" t="n">
        <x:v>0.91</x:v>
      </x:c>
      <x:c r="H1432" s="604" t="n">
        <x:v>0.25</x:v>
      </x:c>
      <x:c r="I1432" s="604" t="n">
        <x:v>0.85</x:v>
      </x:c>
      <x:c r="J1432" s="604" t="inlineStr">
        <x:is>
          <x:t xml:space="preserve">0.91/0.25/0.85</x:t>
        </x:is>
      </x:c>
      <x:c r="K1432" s="604" t="inlineStr">
        <x:is>
          <x:t xml:space="preserve">V4-N</x:t>
        </x:is>
      </x:c>
      <x:c r="L1432" s="604" t="inlineStr">
        <x:is>
          <x:t xml:space="preserve"/>
        </x:is>
      </x:c>
      <x:c r="M1432" s="604" t="n">
        <x:v>0.4536910849816129</x:v>
      </x:c>
      <x:c r="N1432" s="604" t="inlineStr">
        <x:is>
          <x:t xml:space="preserve">V4 Shadow Only；real_money=false</x:t>
        </x:is>
      </x:c>
      <x:c r="O1432" s="604" t="inlineStr">
        <x:is>
          <x:t xml:space="preserve">0-0</x:t>
        </x:is>
      </x:c>
      <x:c r="P1432" s="604" t="inlineStr">
        <x:is>
          <x:t xml:space="preserve">EVALUATED</x:t>
        </x:is>
      </x:c>
      <x:c r="Q1432" s="630" t="inlineStr">
        <x:is>
          <x:t xml:space="preserve"/>
        </x:is>
      </x:c>
      <x:c r="R1432" s="604" t="n"/>
      <x:c r="S1432" s="604" t="n"/>
      <x:c r="T1432" s="604" t="inlineStr">
        <x:is>
          <x:t xml:space="preserve">D:\codex\v3_legacy\outputs\football_odds_trader\raw\titan007\20261009\20261009_085232_titan007_odds_snapshot.csv</x:t>
        </x:is>
      </x:c>
      <x:c r="U1432" s="628" t="inlineStr">
        <x:is>
          <x:t xml:space="preserve"/>
        </x:is>
      </x:c>
      <x:c r="V1432" s="604" t="inlineStr">
        <x:is>
          <x:t xml:space="preserve"/>
        </x:is>
      </x:c>
      <x:c r="W1432" s="604" t="inlineStr">
        <x:is>
          <x:t xml:space="preserve"/>
        </x:is>
      </x:c>
      <x:c r="X1432" s="604" t="inlineStr">
        <x:is>
          <x:t xml:space="preserve">2997737</x:t>
        </x:is>
      </x:c>
      <x:c r="Y1432" s="604" t="inlineStr">
        <x:is>
          <x:t xml:space="preserve">V4</x:t>
        </x:is>
      </x:c>
      <x:c r="Z1432" s="604" t="inlineStr">
        <x:is>
          <x:t xml:space="preserve">prior-2026-10-09-v1</x:t>
        </x:is>
      </x:c>
      <x:c r="AA1432" s="604" t="inlineStr">
        <x:is>
          <x:t xml:space="preserve">N</x:t>
        </x:is>
      </x:c>
      <x:c r="AB1432" s="604" t="n">
        <x:v>0.4536910849816129</x:v>
      </x:c>
      <x:c r="AC1432" s="604" t="n">
        <x:v>0.416738755077401</x:v>
      </x:c>
      <x:c r="AD1432" s="604" t="n">
        <x:v>0.25</x:v>
      </x:c>
      <x:c r="AE1432" s="604" t="n"/>
      <x:c r="AF1432" s="604" t="n"/>
      <x:c r="AG1432" s="604" t="n">
        <x:v>-0.003879867744133347</x:v>
      </x:c>
      <x:c r="AH1432" s="604" t="n"/>
      <x:c r="AI1432" s="604" t="n"/>
      <x:c r="AJ1432" s="604" t="n">
        <x:v>-0.003879867744133347</x:v>
      </x:c>
      <x:c r="AK1432" s="604" t="n"/>
      <x:c r="AL1432" s="604" t="n"/>
      <x:c r="AM1432" s="604" t="n"/>
      <x:c r="AN1432" s="604" t="inlineStr">
        <x:is>
          <x:t xml:space="preserve">EVALUATED</x:t>
        </x:is>
      </x:c>
      <x:c r="AO1432" s="604" t="inlineStr">
        <x:is>
          <x:t xml:space="preserve">EDGE_BELOW_UNCERTAINTY_THRESHOLD;BUCKET_PRIOR_ONLY;INTENT_INTERPRETATION_ONLY;FFL_OPTIONAL;EXPERT_MARKET</x:t>
        </x:is>
      </x:c>
      <x:c r="AP1432" s="604" t="inlineStr">
        <x:is>
          <x:t xml:space="preserve">24d8882ab247e7d26c53</x:t>
        </x:is>
      </x:c>
      <x:c r="AQ1432" s="604" t="n"/>
      <x:c r="AR1432" s="604" t="n"/>
      <x:c r="AS1432" s="604" t="n">
        <x:v>0.25</x:v>
      </x:c>
      <x:c r="AT1432" s="604" t="n">
        <x:v>-0.25</x:v>
      </x:c>
      <x:c r="AU1432" s="604" t="n">
        <x:v>0.91</x:v>
      </x:c>
      <x:c r="AV1432" s="604" t="n">
        <x:v>0.85</x:v>
      </x:c>
      <x:c r="AW1432" s="604" t="inlineStr">
        <x:is>
          <x:t xml:space="preserve">2026-10-09T09:01:21.127001+08:00</x:t>
        </x:is>
      </x:c>
      <x:c r="AX1432" s="604" t="inlineStr">
        <x:is>
          <x:t xml:space="preserve">Titan007/V4</x:t>
        </x:is>
      </x:c>
      <x:c r="AY1432" s="604" t="inlineStr">
        <x:is>
          <x:t xml:space="preserve">Daily append；市场输入缺失时不生成决策</x:t>
        </x:is>
      </x:c>
    </x:row>
    <x:row r="1433" ht="22" customHeight="1">
      <x:c r="A1433" s="604" t="inlineStr">
        <x:is>
          <x:t xml:space="preserve">2026-10-09</x:t>
        </x:is>
      </x:c>
      <x:c r="B1433" s="604" t="inlineStr">
        <x:is>
          <x:t xml:space="preserve">2026-10-10T02:00:00+08:00</x:t>
        </x:is>
      </x:c>
      <x:c r="C1433" s="604" t="str">
        <x:v>五大联赛非顶级联赛</x:v>
      </x:c>
      <x:c r="D1433" s="604" t="inlineStr">
        <x:is>
          <x:t xml:space="preserve"/>
        </x:is>
      </x:c>
      <x:c r="E1433" s="604" t="inlineStr">
        <x:is>
          <x:t xml:space="preserve">法乙</x:t>
        </x:is>
      </x:c>
      <x:c r="F1433" s="604" t="inlineStr">
        <x:is>
          <x:t xml:space="preserve">蒙彼利埃 vs 格勒诺布尔</x:t>
        </x:is>
      </x:c>
      <x:c r="G1433" s="604" t="n">
        <x:v>0.79</x:v>
      </x:c>
      <x:c r="H1433" s="604" t="n">
        <x:v>0.75</x:v>
      </x:c>
      <x:c r="I1433" s="604" t="n">
        <x:v>0.97</x:v>
      </x:c>
      <x:c r="J1433" s="604" t="inlineStr">
        <x:is>
          <x:t xml:space="preserve">0.79/0.75/0.97</x:t>
        </x:is>
      </x:c>
      <x:c r="K1433" s="604" t="inlineStr">
        <x:is>
          <x:t xml:space="preserve">V4-B</x:t>
        </x:is>
      </x:c>
      <x:c r="L1433" s="604" t="inlineStr">
        <x:is>
          <x:t xml:space="preserve">蒙彼利埃</x:t>
        </x:is>
      </x:c>
      <x:c r="M1433" s="604" t="n">
        <x:v>0.5889059900156255</x:v>
      </x:c>
      <x:c r="N1433" s="604" t="inlineStr">
        <x:is>
          <x:t xml:space="preserve">V4 Shadow Only；real_money=false</x:t>
        </x:is>
      </x:c>
      <x:c r="O1433" s="604" t="inlineStr">
        <x:is>
          <x:t xml:space="preserve">0-0</x:t>
        </x:is>
      </x:c>
      <x:c r="P1433" s="604" t="inlineStr">
        <x:is>
          <x:t xml:space="preserve">EVALUATED</x:t>
        </x:is>
      </x:c>
      <x:c r="Q1433" s="630" t="inlineStr">
        <x:is>
          <x:t xml:space="preserve"/>
        </x:is>
      </x:c>
      <x:c r="R1433" s="604" t="n">
        <x:v>0.79</x:v>
      </x:c>
      <x:c r="S1433" s="604" t="n"/>
      <x:c r="T1433" s="604" t="inlineStr">
        <x:is>
          <x:t xml:space="preserve">D:\codex\v3_legacy\outputs\football_odds_trader\raw\titan007\20261009\20261009_085232_titan007_odds_snapshot.csv</x:t>
        </x:is>
      </x:c>
      <x:c r="U1433" s="628" t="inlineStr">
        <x:is>
          <x:t xml:space="preserve"/>
        </x:is>
      </x:c>
      <x:c r="V1433" s="604" t="inlineStr">
        <x:is>
          <x:t xml:space="preserve"/>
        </x:is>
      </x:c>
      <x:c r="W1433" s="604" t="inlineStr">
        <x:is>
          <x:t xml:space="preserve"/>
        </x:is>
      </x:c>
      <x:c r="X1433" s="604" t="inlineStr">
        <x:is>
          <x:t xml:space="preserve">2997738</x:t>
        </x:is>
      </x:c>
      <x:c r="Y1433" s="604" t="inlineStr">
        <x:is>
          <x:t xml:space="preserve">V4</x:t>
        </x:is>
      </x:c>
      <x:c r="Z1433" s="604" t="inlineStr">
        <x:is>
          <x:t xml:space="preserve">prior-2026-10-09-v1</x:t>
        </x:is>
      </x:c>
      <x:c r="AA1433" s="604" t="inlineStr">
        <x:is>
          <x:t xml:space="preserve">B</x:t>
        </x:is>
      </x:c>
      <x:c r="AB1433" s="604" t="n">
        <x:v>0.5889059900156255</x:v>
      </x:c>
      <x:c r="AC1433" s="604" t="n">
        <x:v>0.2833664308584756</x:v>
      </x:c>
      <x:c r="AD1433" s="604" t="n">
        <x:v>1.5</x:v>
      </x:c>
      <x:c r="AE1433" s="604" t="n"/>
      <x:c r="AF1433" s="604" t="n"/>
      <x:c r="AG1433" s="604" t="n">
        <x:v>0.1818693012538686</x:v>
      </x:c>
      <x:c r="AH1433" s="604" t="n"/>
      <x:c r="AI1433" s="604" t="n"/>
      <x:c r="AJ1433" s="604" t="n">
        <x:v>0.1818693012538686</x:v>
      </x:c>
      <x:c r="AK1433" s="604" t="n"/>
      <x:c r="AL1433" s="604" t="n"/>
      <x:c r="AM1433" s="604" t="n"/>
      <x:c r="AN1433" s="604" t="inlineStr">
        <x:is>
          <x:t xml:space="preserve">EVALUATED</x:t>
        </x:is>
      </x:c>
      <x:c r="AO1433" s="604" t="inlineStr">
        <x:is>
          <x:t xml:space="preserve">GIVING_VALIDATED_EDGE;BUCKET_PRIOR_ONLY;INTENT_INTERPRETATION_ONLY;FFL_OPTIONAL;EXPERT_MARKET</x:t>
        </x:is>
      </x:c>
      <x:c r="AP1433" s="604" t="inlineStr">
        <x:is>
          <x:t xml:space="preserve">b8c7249650ae0630140f</x:t>
        </x:is>
      </x:c>
      <x:c r="AQ1433" s="604" t="n">
        <x:v>-0.75</x:v>
      </x:c>
      <x:c r="AR1433" s="604" t="n">
        <x:v>0.79</x:v>
      </x:c>
      <x:c r="AS1433" s="604" t="n">
        <x:v>0.75</x:v>
      </x:c>
      <x:c r="AT1433" s="604" t="n">
        <x:v>-0.75</x:v>
      </x:c>
      <x:c r="AU1433" s="604" t="n">
        <x:v>0.79</x:v>
      </x:c>
      <x:c r="AV1433" s="604" t="n">
        <x:v>0.97</x:v>
      </x:c>
      <x:c r="AW1433" s="604" t="inlineStr">
        <x:is>
          <x:t xml:space="preserve">2026-10-09T09:01:21.127001+08:00</x:t>
        </x:is>
      </x:c>
      <x:c r="AX1433" s="604" t="inlineStr">
        <x:is>
          <x:t xml:space="preserve">Titan007/V4</x:t>
        </x:is>
      </x:c>
      <x:c r="AY1433" s="604" t="inlineStr">
        <x:is>
          <x:t xml:space="preserve">Daily append；市场输入缺失时不生成决策</x:t>
        </x:is>
      </x:c>
    </x:row>
    <x:row r="1434" ht="22" customHeight="1">
      <x:c r="A1434" s="604" t="inlineStr">
        <x:is>
          <x:t xml:space="preserve">2026-10-09</x:t>
        </x:is>
      </x:c>
      <x:c r="B1434" s="604" t="inlineStr">
        <x:is>
          <x:t xml:space="preserve">2026-10-10T02:00:00+08:00</x:t>
        </x:is>
      </x:c>
      <x:c r="C1434" s="604" t="str">
        <x:v>五大联赛非顶级联赛</x:v>
      </x:c>
      <x:c r="D1434" s="604" t="inlineStr">
        <x:is>
          <x:t xml:space="preserve"/>
        </x:is>
      </x:c>
      <x:c r="E1434" s="604" t="inlineStr">
        <x:is>
          <x:t xml:space="preserve">法乙</x:t>
        </x:is>
      </x:c>
      <x:c r="F1434" s="604" t="inlineStr">
        <x:is>
          <x:t xml:space="preserve">南锡 vs 甘冈</x:t>
        </x:is>
      </x:c>
      <x:c r="G1434" s="604" t="n">
        <x:v>0.8</x:v>
      </x:c>
      <x:c r="H1434" s="604" t="n">
        <x:v>0.25</x:v>
      </x:c>
      <x:c r="I1434" s="604" t="n">
        <x:v>0.96</x:v>
      </x:c>
      <x:c r="J1434" s="604" t="inlineStr">
        <x:is>
          <x:t xml:space="preserve">0.8/0.25/0.96</x:t>
        </x:is>
      </x:c>
      <x:c r="K1434" s="604" t="inlineStr">
        <x:is>
          <x:t xml:space="preserve">V4-C</x:t>
        </x:is>
      </x:c>
      <x:c r="L1434" s="604" t="inlineStr">
        <x:is>
          <x:t xml:space="preserve"/>
        </x:is>
      </x:c>
      <x:c r="M1434" s="604" t="n">
        <x:v>0.5006618279944639</x:v>
      </x:c>
      <x:c r="N1434" s="604" t="inlineStr">
        <x:is>
          <x:t xml:space="preserve">V4 Shadow Only；real_money=false</x:t>
        </x:is>
      </x:c>
      <x:c r="O1434" s="604" t="inlineStr">
        <x:is>
          <x:t xml:space="preserve">0-0</x:t>
        </x:is>
      </x:c>
      <x:c r="P1434" s="604" t="inlineStr">
        <x:is>
          <x:t xml:space="preserve">EVALUATED</x:t>
        </x:is>
      </x:c>
      <x:c r="Q1434" s="630" t="inlineStr">
        <x:is>
          <x:t xml:space="preserve"/>
        </x:is>
      </x:c>
      <x:c r="R1434" s="604" t="n"/>
      <x:c r="S1434" s="604" t="n"/>
      <x:c r="T1434" s="604" t="inlineStr">
        <x:is>
          <x:t xml:space="preserve">D:\codex\v3_legacy\outputs\football_odds_trader\raw\titan007\20261009\20261009_085232_titan007_odds_snapshot.csv</x:t>
        </x:is>
      </x:c>
      <x:c r="U1434" s="628" t="inlineStr">
        <x:is>
          <x:t xml:space="preserve"/>
        </x:is>
      </x:c>
      <x:c r="V1434" s="604" t="inlineStr">
        <x:is>
          <x:t xml:space="preserve"/>
        </x:is>
      </x:c>
      <x:c r="W1434" s="604" t="inlineStr">
        <x:is>
          <x:t xml:space="preserve"/>
        </x:is>
      </x:c>
      <x:c r="X1434" s="604" t="inlineStr">
        <x:is>
          <x:t xml:space="preserve">2997739</x:t>
        </x:is>
      </x:c>
      <x:c r="Y1434" s="604" t="inlineStr">
        <x:is>
          <x:t xml:space="preserve">V4</x:t>
        </x:is>
      </x:c>
      <x:c r="Z1434" s="604" t="inlineStr">
        <x:is>
          <x:t xml:space="preserve">prior-2026-10-09-v1</x:t>
        </x:is>
      </x:c>
      <x:c r="AA1434" s="604" t="inlineStr">
        <x:is>
          <x:t xml:space="preserve">C</x:t>
        </x:is>
      </x:c>
      <x:c r="AB1434" s="604" t="n">
        <x:v>0.5006618279944639</x:v>
      </x:c>
      <x:c r="AC1434" s="604" t="n">
        <x:v>0.3732284507155546</x:v>
      </x:c>
      <x:c r="AD1434" s="604" t="n">
        <x:v>0.5</x:v>
      </x:c>
      <x:c r="AE1434" s="604" t="n"/>
      <x:c r="AF1434" s="604" t="n"/>
      <x:c r="AG1434" s="604" t="n">
        <x:v>0.02730101168001653</x:v>
      </x:c>
      <x:c r="AH1434" s="604" t="n"/>
      <x:c r="AI1434" s="604" t="n"/>
      <x:c r="AJ1434" s="604" t="n">
        <x:v>0.02730101168001653</x:v>
      </x:c>
      <x:c r="AK1434" s="604" t="n"/>
      <x:c r="AL1434" s="604" t="n"/>
      <x:c r="AM1434" s="604" t="n"/>
      <x:c r="AN1434" s="604" t="inlineStr">
        <x:is>
          <x:t xml:space="preserve">EVALUATED</x:t>
        </x:is>
      </x:c>
      <x:c r="AO1434" s="604" t="inlineStr">
        <x:is>
          <x:t xml:space="preserve">EDGE_BELOW_UNCERTAINTY_THRESHOLD;BUCKET_PRIOR_ONLY;INTENT_INTERPRETATION_ONLY;FFL_OPTIONAL;EXPERT_MARKET</x:t>
        </x:is>
      </x:c>
      <x:c r="AP1434" s="604" t="inlineStr">
        <x:is>
          <x:t xml:space="preserve">7faaaf98c68e5f9d0c62</x:t>
        </x:is>
      </x:c>
      <x:c r="AQ1434" s="604" t="n"/>
      <x:c r="AR1434" s="604" t="n"/>
      <x:c r="AS1434" s="604" t="n">
        <x:v>0.25</x:v>
      </x:c>
      <x:c r="AT1434" s="604" t="n">
        <x:v>-0.25</x:v>
      </x:c>
      <x:c r="AU1434" s="604" t="n">
        <x:v>0.8</x:v>
      </x:c>
      <x:c r="AV1434" s="604" t="n">
        <x:v>0.96</x:v>
      </x:c>
      <x:c r="AW1434" s="604" t="inlineStr">
        <x:is>
          <x:t xml:space="preserve">2026-10-09T09:01:21.127001+08:00</x:t>
        </x:is>
      </x:c>
      <x:c r="AX1434" s="604" t="inlineStr">
        <x:is>
          <x:t xml:space="preserve">Titan007/V4</x:t>
        </x:is>
      </x:c>
      <x:c r="AY1434" s="604" t="inlineStr">
        <x:is>
          <x:t xml:space="preserve">Daily append；市场输入缺失时不生成决策</x:t>
        </x:is>
      </x:c>
    </x:row>
    <x:row r="1435" ht="22" customHeight="1">
      <x:c r="A1435" s="604" t="inlineStr">
        <x:is>
          <x:t xml:space="preserve">2026-10-09</x:t>
        </x:is>
      </x:c>
      <x:c r="B1435" s="604" t="inlineStr">
        <x:is>
          <x:t xml:space="preserve">2026-10-10T02:00:00+08:00</x:t>
        </x:is>
      </x:c>
      <x:c r="C1435" s="604" t="str">
        <x:v>五大联赛非顶级联赛</x:v>
      </x:c>
      <x:c r="D1435" s="604" t="inlineStr">
        <x:is>
          <x:t xml:space="preserve"/>
        </x:is>
      </x:c>
      <x:c r="E1435" s="604" t="inlineStr">
        <x:is>
          <x:t xml:space="preserve">法乙</x:t>
        </x:is>
      </x:c>
      <x:c r="F1435" s="604" t="inlineStr">
        <x:is>
          <x:t xml:space="preserve">波城 vs 拉瓦勒</x:t>
        </x:is>
      </x:c>
      <x:c r="G1435" s="604" t="n">
        <x:v>0.71</x:v>
      </x:c>
      <x:c r="H1435" s="604" t="n">
        <x:v>0.25</x:v>
      </x:c>
      <x:c r="I1435" s="604" t="n">
        <x:v>1.05</x:v>
      </x:c>
      <x:c r="J1435" s="604" t="inlineStr">
        <x:is>
          <x:t xml:space="preserve">0.71/0.25/1.05</x:t>
        </x:is>
      </x:c>
      <x:c r="K1435" s="604" t="inlineStr">
        <x:is>
          <x:t xml:space="preserve">V4-C</x:t>
        </x:is>
      </x:c>
      <x:c r="L1435" s="604" t="inlineStr">
        <x:is>
          <x:t xml:space="preserve"/>
        </x:is>
      </x:c>
      <x:c r="M1435" s="604" t="n">
        <x:v>0.5124171426230583</x:v>
      </x:c>
      <x:c r="N1435" s="604" t="inlineStr">
        <x:is>
          <x:t xml:space="preserve">V4 Shadow Only；real_money=false</x:t>
        </x:is>
      </x:c>
      <x:c r="O1435" s="604" t="inlineStr">
        <x:is>
          <x:t xml:space="preserve">0-0</x:t>
        </x:is>
      </x:c>
      <x:c r="P1435" s="604" t="inlineStr">
        <x:is>
          <x:t xml:space="preserve">EVALUATED</x:t>
        </x:is>
      </x:c>
      <x:c r="Q1435" s="630" t="inlineStr">
        <x:is>
          <x:t xml:space="preserve"/>
        </x:is>
      </x:c>
      <x:c r="R1435" s="604" t="n"/>
      <x:c r="S1435" s="604" t="n"/>
      <x:c r="T1435" s="604" t="inlineStr">
        <x:is>
          <x:t xml:space="preserve">D:\codex\v3_legacy\outputs\football_odds_trader\raw\titan007\20261009\20261009_085232_titan007_odds_snapshot.csv</x:t>
        </x:is>
      </x:c>
      <x:c r="U1435" s="628" t="inlineStr">
        <x:is>
          <x:t xml:space="preserve"/>
        </x:is>
      </x:c>
      <x:c r="V1435" s="604" t="inlineStr">
        <x:is>
          <x:t xml:space="preserve"/>
        </x:is>
      </x:c>
      <x:c r="W1435" s="604" t="inlineStr">
        <x:is>
          <x:t xml:space="preserve"/>
        </x:is>
      </x:c>
      <x:c r="X1435" s="604" t="inlineStr">
        <x:is>
          <x:t xml:space="preserve">2997741</x:t>
        </x:is>
      </x:c>
      <x:c r="Y1435" s="604" t="inlineStr">
        <x:is>
          <x:t xml:space="preserve">V4</x:t>
        </x:is>
      </x:c>
      <x:c r="Z1435" s="604" t="inlineStr">
        <x:is>
          <x:t xml:space="preserve">prior-2026-10-09-v1</x:t>
        </x:is>
      </x:c>
      <x:c r="AA1435" s="604" t="inlineStr">
        <x:is>
          <x:t xml:space="preserve">C</x:t>
        </x:is>
      </x:c>
      <x:c r="AB1435" s="604" t="n">
        <x:v>0.5124171426230583</x:v>
      </x:c>
      <x:c r="AC1435" s="604" t="n">
        <x:v>0.3623011430111852</x:v>
      </x:c>
      <x:c r="AD1435" s="604" t="n">
        <x:v>0.5</x:v>
      </x:c>
      <x:c r="AE1435" s="604" t="n"/>
      <x:c r="AF1435" s="604" t="n"/>
      <x:c r="AG1435" s="604" t="n">
        <x:v>0.001515028251186212</x:v>
      </x:c>
      <x:c r="AH1435" s="604" t="n"/>
      <x:c r="AI1435" s="604" t="n"/>
      <x:c r="AJ1435" s="604" t="n">
        <x:v>0.001515028251186212</x:v>
      </x:c>
      <x:c r="AK1435" s="604" t="n"/>
      <x:c r="AL1435" s="604" t="n"/>
      <x:c r="AM1435" s="604" t="n"/>
      <x:c r="AN1435" s="604" t="inlineStr">
        <x:is>
          <x:t xml:space="preserve">EVALUATED</x:t>
        </x:is>
      </x:c>
      <x:c r="AO1435" s="604" t="inlineStr">
        <x:is>
          <x:t xml:space="preserve">EDGE_BELOW_UNCERTAINTY_THRESHOLD;BUCKET_PRIOR_ONLY;INTENT_INTERPRETATION_ONLY;FFL_OPTIONAL;EXPERT_MARKET</x:t>
        </x:is>
      </x:c>
      <x:c r="AP1435" s="604" t="inlineStr">
        <x:is>
          <x:t xml:space="preserve">bce0e6dca603ea238472</x:t>
        </x:is>
      </x:c>
      <x:c r="AQ1435" s="604" t="n"/>
      <x:c r="AR1435" s="604" t="n"/>
      <x:c r="AS1435" s="604" t="n">
        <x:v>0.25</x:v>
      </x:c>
      <x:c r="AT1435" s="604" t="n">
        <x:v>-0.25</x:v>
      </x:c>
      <x:c r="AU1435" s="604" t="n">
        <x:v>0.71</x:v>
      </x:c>
      <x:c r="AV1435" s="604" t="n">
        <x:v>1.05</x:v>
      </x:c>
      <x:c r="AW1435" s="604" t="inlineStr">
        <x:is>
          <x:t xml:space="preserve">2026-10-09T09:01:21.127001+08:00</x:t>
        </x:is>
      </x:c>
      <x:c r="AX1435" s="604" t="inlineStr">
        <x:is>
          <x:t xml:space="preserve">Titan007/V4</x:t>
        </x:is>
      </x:c>
      <x:c r="AY1435" s="604" t="inlineStr">
        <x:is>
          <x:t xml:space="preserve">Daily append；市场输入缺失时不生成决策</x:t>
        </x:is>
      </x:c>
    </x:row>
    <x:row r="1436" ht="22" customHeight="1">
      <x:c r="A1436" s="604" t="inlineStr">
        <x:is>
          <x:t xml:space="preserve">2026-10-09</x:t>
        </x:is>
      </x:c>
      <x:c r="B1436" s="604" t="inlineStr">
        <x:is>
          <x:t xml:space="preserve">2026-10-10T02:00:00+08:00</x:t>
        </x:is>
      </x:c>
      <x:c r="C1436" s="604" t="str">
        <x:v>五大联赛非顶级联赛</x:v>
      </x:c>
      <x:c r="D1436" s="604" t="inlineStr">
        <x:is>
          <x:t xml:space="preserve"/>
        </x:is>
      </x:c>
      <x:c r="E1436" s="604" t="inlineStr">
        <x:is>
          <x:t xml:space="preserve">法乙</x:t>
        </x:is>
      </x:c>
      <x:c r="F1436" s="604" t="inlineStr">
        <x:is>
          <x:t xml:space="preserve">索肖 vs 布洛涅</x:t>
        </x:is>
      </x:c>
      <x:c r="G1436" s="604" t="n">
        <x:v>0.91</x:v>
      </x:c>
      <x:c r="H1436" s="604" t="n">
        <x:v>0.25</x:v>
      </x:c>
      <x:c r="I1436" s="604" t="n">
        <x:v>0.85</x:v>
      </x:c>
      <x:c r="J1436" s="604" t="inlineStr">
        <x:is>
          <x:t xml:space="preserve">0.91/0.25/0.85</x:t>
        </x:is>
      </x:c>
      <x:c r="K1436" s="604" t="inlineStr">
        <x:is>
          <x:t xml:space="preserve">V4-C</x:t>
        </x:is>
      </x:c>
      <x:c r="L1436" s="604" t="inlineStr">
        <x:is>
          <x:t xml:space="preserve"/>
        </x:is>
      </x:c>
      <x:c r="M1436" s="604" t="n">
        <x:v>0.4659100932183356</x:v>
      </x:c>
      <x:c r="N1436" s="604" t="inlineStr">
        <x:is>
          <x:t xml:space="preserve">V4 Shadow Only；real_money=false</x:t>
        </x:is>
      </x:c>
      <x:c r="O1436" s="604" t="inlineStr">
        <x:is>
          <x:t xml:space="preserve">0-0</x:t>
        </x:is>
      </x:c>
      <x:c r="P1436" s="604" t="inlineStr">
        <x:is>
          <x:t xml:space="preserve">EVALUATED</x:t>
        </x:is>
      </x:c>
      <x:c r="Q1436" s="630" t="inlineStr">
        <x:is>
          <x:t xml:space="preserve"/>
        </x:is>
      </x:c>
      <x:c r="R1436" s="604" t="n"/>
      <x:c r="S1436" s="604" t="n"/>
      <x:c r="T1436" s="604" t="inlineStr">
        <x:is>
          <x:t xml:space="preserve">D:\codex\v3_legacy\outputs\football_odds_trader\raw\titan007\20261009\20261009_085232_titan007_odds_snapshot.csv</x:t>
        </x:is>
      </x:c>
      <x:c r="U1436" s="628" t="inlineStr">
        <x:is>
          <x:t xml:space="preserve"/>
        </x:is>
      </x:c>
      <x:c r="V1436" s="604" t="inlineStr">
        <x:is>
          <x:t xml:space="preserve"/>
        </x:is>
      </x:c>
      <x:c r="W1436" s="604" t="inlineStr">
        <x:is>
          <x:t xml:space="preserve"/>
        </x:is>
      </x:c>
      <x:c r="X1436" s="604" t="inlineStr">
        <x:is>
          <x:t xml:space="preserve">2997742</x:t>
        </x:is>
      </x:c>
      <x:c r="Y1436" s="604" t="inlineStr">
        <x:is>
          <x:t xml:space="preserve">V4</x:t>
        </x:is>
      </x:c>
      <x:c r="Z1436" s="604" t="inlineStr">
        <x:is>
          <x:t xml:space="preserve">prior-2026-10-09-v1</x:t>
        </x:is>
      </x:c>
      <x:c r="AA1436" s="604" t="inlineStr">
        <x:is>
          <x:t xml:space="preserve">C</x:t>
        </x:is>
      </x:c>
      <x:c r="AB1436" s="604" t="n">
        <x:v>0.4659100932183356</x:v>
      </x:c>
      <x:c r="AC1436" s="604" t="n">
        <x:v>0.4045852690785087</x:v>
      </x:c>
      <x:c r="AD1436" s="604" t="n">
        <x:v>0.5</x:v>
      </x:c>
      <x:c r="AE1436" s="604" t="n"/>
      <x:c r="AF1436" s="604" t="n"/>
      <x:c r="AG1436" s="604" t="n">
        <x:v>0.01939291575017671</x:v>
      </x:c>
      <x:c r="AH1436" s="604" t="n"/>
      <x:c r="AI1436" s="604" t="n"/>
      <x:c r="AJ1436" s="604" t="n">
        <x:v>0.01939291575017671</x:v>
      </x:c>
      <x:c r="AK1436" s="604" t="n"/>
      <x:c r="AL1436" s="604" t="n"/>
      <x:c r="AM1436" s="604" t="n"/>
      <x:c r="AN1436" s="604" t="inlineStr">
        <x:is>
          <x:t xml:space="preserve">EVALUATED</x:t>
        </x:is>
      </x:c>
      <x:c r="AO1436" s="604" t="inlineStr">
        <x:is>
          <x:t xml:space="preserve">EDGE_BELOW_UNCERTAINTY_THRESHOLD;BUCKET_PRIOR_ONLY;INTENT_INTERPRETATION_ONLY;FFL_OPTIONAL;EXPERT_MARKET</x:t>
        </x:is>
      </x:c>
      <x:c r="AP1436" s="604" t="inlineStr">
        <x:is>
          <x:t xml:space="preserve">6e5010a3c9c9468a92da</x:t>
        </x:is>
      </x:c>
      <x:c r="AQ1436" s="604" t="n"/>
      <x:c r="AR1436" s="604" t="n"/>
      <x:c r="AS1436" s="604" t="n">
        <x:v>0.25</x:v>
      </x:c>
      <x:c r="AT1436" s="604" t="n">
        <x:v>-0.25</x:v>
      </x:c>
      <x:c r="AU1436" s="604" t="n">
        <x:v>0.91</x:v>
      </x:c>
      <x:c r="AV1436" s="604" t="n">
        <x:v>0.85</x:v>
      </x:c>
      <x:c r="AW1436" s="604" t="inlineStr">
        <x:is>
          <x:t xml:space="preserve">2026-10-09T09:01:21.127001+08:00</x:t>
        </x:is>
      </x:c>
      <x:c r="AX1436" s="604" t="inlineStr">
        <x:is>
          <x:t xml:space="preserve">Titan007/V4</x:t>
        </x:is>
      </x:c>
      <x:c r="AY1436" s="604" t="inlineStr">
        <x:is>
          <x:t xml:space="preserve">Daily append；市场输入缺失时不生成决策</x:t>
        </x:is>
      </x:c>
    </x:row>
    <x:row r="1437" ht="22" customHeight="1">
      <x:c r="A1437" s="604" t="inlineStr">
        <x:is>
          <x:t xml:space="preserve">2026-10-09</x:t>
        </x:is>
      </x:c>
      <x:c r="B1437" s="604" t="inlineStr">
        <x:is>
          <x:t xml:space="preserve">2026-10-10T01:00:00+08:00</x:t>
        </x:is>
      </x:c>
      <x:c r="C1437" s="604" t="str">
        <x:v>欧洲非五大系列</x:v>
      </x:c>
      <x:c r="D1437" s="604" t="inlineStr">
        <x:is>
          <x:t xml:space="preserve"/>
        </x:is>
      </x:c>
      <x:c r="E1437" s="604" t="inlineStr">
        <x:is>
          <x:t xml:space="preserve">丹麦甲</x:t>
        </x:is>
      </x:c>
      <x:c r="F1437" s="604" t="inlineStr">
        <x:is>
          <x:t xml:space="preserve">AB格莱萨克瑟 vs 奥胡斯费马</x:t>
        </x:is>
      </x:c>
      <x:c r="G1437" s="604" t="n">
        <x:v>0.87</x:v>
      </x:c>
      <x:c r="H1437" s="604" t="n">
        <x:v>0.25</x:v>
      </x:c>
      <x:c r="I1437" s="604" t="n">
        <x:v>1.01</x:v>
      </x:c>
      <x:c r="J1437" s="604" t="inlineStr">
        <x:is>
          <x:t xml:space="preserve">0.87/0.25/1.01</x:t>
        </x:is>
      </x:c>
      <x:c r="K1437" s="604" t="inlineStr">
        <x:is>
          <x:t xml:space="preserve">V4-N</x:t>
        </x:is>
      </x:c>
      <x:c r="L1437" s="604" t="inlineStr">
        <x:is>
          <x:t xml:space="preserve"/>
        </x:is>
      </x:c>
      <x:c r="M1437" s="604" t="n">
        <x:v>0.4785483738482855</x:v>
      </x:c>
      <x:c r="N1437" s="604" t="inlineStr">
        <x:is>
          <x:t xml:space="preserve">V4 Shadow Only；real_money=false</x:t>
        </x:is>
      </x:c>
      <x:c r="O1437" s="604" t="inlineStr">
        <x:is>
          <x:t xml:space="preserve">0-0</x:t>
        </x:is>
      </x:c>
      <x:c r="P1437" s="604" t="inlineStr">
        <x:is>
          <x:t xml:space="preserve">EVALUATED</x:t>
        </x:is>
      </x:c>
      <x:c r="Q1437" s="630" t="inlineStr">
        <x:is>
          <x:t xml:space="preserve"/>
        </x:is>
      </x:c>
      <x:c r="R1437" s="604" t="n"/>
      <x:c r="S1437" s="604" t="n"/>
      <x:c r="T1437" s="604" t="inlineStr">
        <x:is>
          <x:t xml:space="preserve">D:\codex\v3_legacy\outputs\football_odds_trader\raw\titan007\20261009\20261009_085232_titan007_odds_snapshot.csv</x:t>
        </x:is>
      </x:c>
      <x:c r="U1437" s="628" t="inlineStr">
        <x:is>
          <x:t xml:space="preserve"/>
        </x:is>
      </x:c>
      <x:c r="V1437" s="604" t="inlineStr">
        <x:is>
          <x:t xml:space="preserve"/>
        </x:is>
      </x:c>
      <x:c r="W1437" s="604" t="inlineStr">
        <x:is>
          <x:t xml:space="preserve"/>
        </x:is>
      </x:c>
      <x:c r="X1437" s="604" t="inlineStr">
        <x:is>
          <x:t xml:space="preserve">2998122</x:t>
        </x:is>
      </x:c>
      <x:c r="Y1437" s="604" t="inlineStr">
        <x:is>
          <x:t xml:space="preserve">V4</x:t>
        </x:is>
      </x:c>
      <x:c r="Z1437" s="604" t="inlineStr">
        <x:is>
          <x:t xml:space="preserve">prior-2026-10-09-v1</x:t>
        </x:is>
      </x:c>
      <x:c r="AA1437" s="604" t="inlineStr">
        <x:is>
          <x:t xml:space="preserve">N</x:t>
        </x:is>
      </x:c>
      <x:c r="AB1437" s="604" t="n">
        <x:v>0.4785483738482855</x:v>
      </x:c>
      <x:c r="AC1437" s="604" t="n">
        <x:v>0.393747045781194</x:v>
      </x:c>
      <x:c r="AD1437" s="604" t="n">
        <x:v>0.5</x:v>
      </x:c>
      <x:c r="AE1437" s="604" t="n"/>
      <x:c r="AF1437" s="604" t="n"/>
      <x:c r="AG1437" s="604" t="n">
        <x:v>0.02259003946681437</x:v>
      </x:c>
      <x:c r="AH1437" s="604" t="n"/>
      <x:c r="AI1437" s="604" t="n"/>
      <x:c r="AJ1437" s="604" t="n">
        <x:v>0.02259003946681437</x:v>
      </x:c>
      <x:c r="AK1437" s="604" t="n"/>
      <x:c r="AL1437" s="604" t="n"/>
      <x:c r="AM1437" s="604" t="n"/>
      <x:c r="AN1437" s="604" t="inlineStr">
        <x:is>
          <x:t xml:space="preserve">EVALUATED</x:t>
        </x:is>
      </x:c>
      <x:c r="AO1437" s="604" t="inlineStr">
        <x:is>
          <x:t xml:space="preserve">EDGE_BELOW_UNCERTAINTY_THRESHOLD;BUCKET_PRIOR_ONLY;INTENT_INTERPRETATION_ONLY;FFL_OPTIONAL;EXPERT_MARKET</x:t>
        </x:is>
      </x:c>
      <x:c r="AP1437" s="604" t="inlineStr">
        <x:is>
          <x:t xml:space="preserve">d3e4b639c3138530d72f</x:t>
        </x:is>
      </x:c>
      <x:c r="AQ1437" s="604" t="n"/>
      <x:c r="AR1437" s="604" t="n"/>
      <x:c r="AS1437" s="604" t="n">
        <x:v>0.25</x:v>
      </x:c>
      <x:c r="AT1437" s="604" t="n">
        <x:v>-0.25</x:v>
      </x:c>
      <x:c r="AU1437" s="604" t="n">
        <x:v>0.87</x:v>
      </x:c>
      <x:c r="AV1437" s="604" t="n">
        <x:v>1.01</x:v>
      </x:c>
      <x:c r="AW1437" s="604" t="inlineStr">
        <x:is>
          <x:t xml:space="preserve">2026-10-09T09:01:21.127001+08:00</x:t>
        </x:is>
      </x:c>
      <x:c r="AX1437" s="604" t="inlineStr">
        <x:is>
          <x:t xml:space="preserve">Titan007/V4</x:t>
        </x:is>
      </x:c>
      <x:c r="AY1437" s="604" t="inlineStr">
        <x:is>
          <x:t xml:space="preserve">Daily append；市场输入缺失时不生成决策</x:t>
        </x:is>
      </x:c>
    </x:row>
    <x:row r="1438" ht="22" customHeight="1">
      <x:c r="A1438" s="604" t="inlineStr">
        <x:is>
          <x:t xml:space="preserve">2026-10-09</x:t>
        </x:is>
      </x:c>
      <x:c r="B1438" s="604" t="inlineStr">
        <x:is>
          <x:t xml:space="preserve">2026-10-10T00:00:00+08:00</x:t>
        </x:is>
      </x:c>
      <x:c r="C1438" s="604" t="str">
        <x:v>欧洲非五大系列</x:v>
      </x:c>
      <x:c r="D1438" s="604" t="inlineStr">
        <x:is>
          <x:t xml:space="preserve"/>
        </x:is>
      </x:c>
      <x:c r="E1438" s="604" t="inlineStr">
        <x:is>
          <x:t xml:space="preserve">丹麦甲</x:t>
        </x:is>
      </x:c>
      <x:c r="F1438" s="604" t="inlineStr">
        <x:is>
          <x:t xml:space="preserve">瓦埃勒 vs 哈维德夫</x:t>
        </x:is>
      </x:c>
      <x:c r="G1438" s="604" t="n">
        <x:v>0.88</x:v>
      </x:c>
      <x:c r="H1438" s="604" t="n">
        <x:v>0.75</x:v>
      </x:c>
      <x:c r="I1438" s="604" t="n">
        <x:v>1</x:v>
      </x:c>
      <x:c r="J1438" s="604" t="inlineStr">
        <x:is>
          <x:t xml:space="preserve">0.88/0.75/1.0</x:t>
        </x:is>
      </x:c>
      <x:c r="K1438" s="604" t="inlineStr">
        <x:is>
          <x:t xml:space="preserve">V4-N</x:t>
        </x:is>
      </x:c>
      <x:c r="L1438" s="604" t="inlineStr">
        <x:is>
          <x:t xml:space="preserve"/>
        </x:is>
      </x:c>
      <x:c r="M1438" s="604" t="n">
        <x:v>0.516934167948756</x:v>
      </x:c>
      <x:c r="N1438" s="604" t="inlineStr">
        <x:is>
          <x:t xml:space="preserve">V4 Shadow Only；real_money=false</x:t>
        </x:is>
      </x:c>
      <x:c r="O1438" s="604" t="inlineStr">
        <x:is>
          <x:t xml:space="preserve">0-0</x:t>
        </x:is>
      </x:c>
      <x:c r="P1438" s="604" t="inlineStr">
        <x:is>
          <x:t xml:space="preserve">EVALUATED</x:t>
        </x:is>
      </x:c>
      <x:c r="Q1438" s="630" t="inlineStr">
        <x:is>
          <x:t xml:space="preserve"/>
        </x:is>
      </x:c>
      <x:c r="R1438" s="604" t="n"/>
      <x:c r="S1438" s="604" t="n"/>
      <x:c r="T1438" s="604" t="inlineStr">
        <x:is>
          <x:t xml:space="preserve">D:\codex\v3_legacy\outputs\football_odds_trader\raw\titan007\20261009\20261009_085232_titan007_odds_snapshot.csv</x:t>
        </x:is>
      </x:c>
      <x:c r="U1438" s="628" t="inlineStr">
        <x:is>
          <x:t xml:space="preserve"/>
        </x:is>
      </x:c>
      <x:c r="V1438" s="604" t="inlineStr">
        <x:is>
          <x:t xml:space="preserve"/>
        </x:is>
      </x:c>
      <x:c r="W1438" s="604" t="inlineStr">
        <x:is>
          <x:t xml:space="preserve"/>
        </x:is>
      </x:c>
      <x:c r="X1438" s="604" t="inlineStr">
        <x:is>
          <x:t xml:space="preserve">2998126</x:t>
        </x:is>
      </x:c>
      <x:c r="Y1438" s="604" t="inlineStr">
        <x:is>
          <x:t xml:space="preserve">V4</x:t>
        </x:is>
      </x:c>
      <x:c r="Z1438" s="604" t="inlineStr">
        <x:is>
          <x:t xml:space="preserve">prior-2026-10-09-v1</x:t>
        </x:is>
      </x:c>
      <x:c r="AA1438" s="604" t="inlineStr">
        <x:is>
          <x:t xml:space="preserve">N</x:t>
        </x:is>
      </x:c>
      <x:c r="AB1438" s="604" t="n">
        <x:v>0.516934167948756</x:v>
      </x:c>
      <x:c r="AC1438" s="604" t="n">
        <x:v>0.354816501463304</x:v>
      </x:c>
      <x:c r="AD1438" s="604" t="n">
        <x:v>1.25</x:v>
      </x:c>
      <x:c r="AE1438" s="604" t="n"/>
      <x:c r="AF1438" s="604" t="n"/>
      <x:c r="AG1438" s="604" t="n">
        <x:v>0.1000855663316013</x:v>
      </x:c>
      <x:c r="AH1438" s="604" t="n"/>
      <x:c r="AI1438" s="604" t="n"/>
      <x:c r="AJ1438" s="604" t="n">
        <x:v>0.1000855663316013</x:v>
      </x:c>
      <x:c r="AK1438" s="604" t="n"/>
      <x:c r="AL1438" s="604" t="n"/>
      <x:c r="AM1438" s="604" t="n"/>
      <x:c r="AN1438" s="604" t="inlineStr">
        <x:is>
          <x:t xml:space="preserve">EVALUATED</x:t>
        </x:is>
      </x:c>
      <x:c r="AO1438" s="604" t="inlineStr">
        <x:is>
          <x:t xml:space="preserve">LOW_QUALITY_GATE;BUCKET_PRIOR_ONLY;INTENT_INTERPRETATION_ONLY;FFL_OPTIONAL;EXPERT_MARKET</x:t>
        </x:is>
      </x:c>
      <x:c r="AP1438" s="604" t="inlineStr">
        <x:is>
          <x:t xml:space="preserve">c6a2e81d67b541a0fcf3</x:t>
        </x:is>
      </x:c>
      <x:c r="AQ1438" s="604" t="n"/>
      <x:c r="AR1438" s="604" t="n"/>
      <x:c r="AS1438" s="604" t="n">
        <x:v>0.75</x:v>
      </x:c>
      <x:c r="AT1438" s="604" t="n">
        <x:v>-0.75</x:v>
      </x:c>
      <x:c r="AU1438" s="604" t="n">
        <x:v>0.88</x:v>
      </x:c>
      <x:c r="AV1438" s="604" t="n">
        <x:v>1</x:v>
      </x:c>
      <x:c r="AW1438" s="604" t="inlineStr">
        <x:is>
          <x:t xml:space="preserve">2026-10-09T09:01:21.127001+08:00</x:t>
        </x:is>
      </x:c>
      <x:c r="AX1438" s="604" t="inlineStr">
        <x:is>
          <x:t xml:space="preserve">Titan007/V4</x:t>
        </x:is>
      </x:c>
      <x:c r="AY1438" s="604" t="inlineStr">
        <x:is>
          <x:t xml:space="preserve">Daily append；市场输入缺失时不生成决策</x:t>
        </x:is>
      </x:c>
    </x:row>
    <x:row r="1439" ht="22" customHeight="1">
      <x:c r="A1439" s="604" t="inlineStr">
        <x:is>
          <x:t xml:space="preserve">2026-10-09</x:t>
        </x:is>
      </x:c>
      <x:c r="B1439" s="604" t="inlineStr">
        <x:is>
          <x:t xml:space="preserve">2026-10-10T01:00:00+08:00</x:t>
        </x:is>
      </x:c>
      <x:c r="C1439" s="604" t="str">
        <x:v>欧洲非五大系列</x:v>
      </x:c>
      <x:c r="D1439" s="604" t="inlineStr">
        <x:is>
          <x:t xml:space="preserve"/>
        </x:is>
      </x:c>
      <x:c r="E1439" s="604" t="inlineStr">
        <x:is>
          <x:t xml:space="preserve">丹麦超</x:t>
        </x:is>
      </x:c>
      <x:c r="F1439" s="604" t="inlineStr">
        <x:is>
          <x:t xml:space="preserve">北西兰 vs 欧登塞</x:t>
        </x:is>
      </x:c>
      <x:c r="G1439" s="604" t="n">
        <x:v>0.99</x:v>
      </x:c>
      <x:c r="H1439" s="604" t="n">
        <x:v>1.25</x:v>
      </x:c>
      <x:c r="I1439" s="604" t="n">
        <x:v>0.89</x:v>
      </x:c>
      <x:c r="J1439" s="604" t="inlineStr">
        <x:is>
          <x:t xml:space="preserve">0.99/1.25/0.89</x:t>
        </x:is>
      </x:c>
      <x:c r="K1439" s="604" t="inlineStr">
        <x:is>
          <x:t xml:space="preserve">V4-N</x:t>
        </x:is>
      </x:c>
      <x:c r="L1439" s="604" t="inlineStr">
        <x:is>
          <x:t xml:space="preserve"/>
        </x:is>
      </x:c>
      <x:c r="M1439" s="604" t="n">
        <x:v>0.4858458127862823</x:v>
      </x:c>
      <x:c r="N1439" s="604" t="inlineStr">
        <x:is>
          <x:t xml:space="preserve">V4 Shadow Only；real_money=false</x:t>
        </x:is>
      </x:c>
      <x:c r="O1439" s="604" t="inlineStr">
        <x:is>
          <x:t xml:space="preserve">0-0</x:t>
        </x:is>
      </x:c>
      <x:c r="P1439" s="604" t="inlineStr">
        <x:is>
          <x:t xml:space="preserve">EVALUATED</x:t>
        </x:is>
      </x:c>
      <x:c r="Q1439" s="630" t="inlineStr">
        <x:is>
          <x:t xml:space="preserve"/>
        </x:is>
      </x:c>
      <x:c r="R1439" s="604" t="n"/>
      <x:c r="S1439" s="604" t="n"/>
      <x:c r="T1439" s="604" t="inlineStr">
        <x:is>
          <x:t xml:space="preserve">D:\codex\v3_legacy\outputs\football_odds_trader\raw\titan007\20261009\20261009_085232_titan007_odds_snapshot.csv</x:t>
        </x:is>
      </x:c>
      <x:c r="U1439" s="628" t="inlineStr">
        <x:is>
          <x:t xml:space="preserve"/>
        </x:is>
      </x:c>
      <x:c r="V1439" s="604" t="inlineStr">
        <x:is>
          <x:t xml:space="preserve"/>
        </x:is>
      </x:c>
      <x:c r="W1439" s="604" t="inlineStr">
        <x:is>
          <x:t xml:space="preserve"/>
        </x:is>
      </x:c>
      <x:c r="X1439" s="604" t="inlineStr">
        <x:is>
          <x:t xml:space="preserve">2998257</x:t>
        </x:is>
      </x:c>
      <x:c r="Y1439" s="604" t="inlineStr">
        <x:is>
          <x:t xml:space="preserve">V4</x:t>
        </x:is>
      </x:c>
      <x:c r="Z1439" s="604" t="inlineStr">
        <x:is>
          <x:t xml:space="preserve">prior-2026-10-09-v1</x:t>
        </x:is>
      </x:c>
      <x:c r="AA1439" s="604" t="inlineStr">
        <x:is>
          <x:t xml:space="preserve">N</x:t>
        </x:is>
      </x:c>
      <x:c r="AB1439" s="604" t="n">
        <x:v>0.4858458127862823</x:v>
      </x:c>
      <x:c r="AC1439" s="604" t="n">
        <x:v>0.3886542196792994</x:v>
      </x:c>
      <x:c r="AD1439" s="604" t="n">
        <x:v>1.5</x:v>
      </x:c>
      <x:c r="AE1439" s="604" t="n"/>
      <x:c r="AF1439" s="604" t="n"/>
      <x:c r="AG1439" s="604" t="n">
        <x:v>0.0923331349791201</x:v>
      </x:c>
      <x:c r="AH1439" s="604" t="n"/>
      <x:c r="AI1439" s="604" t="n"/>
      <x:c r="AJ1439" s="604" t="n">
        <x:v>0.0923331349791201</x:v>
      </x:c>
      <x:c r="AK1439" s="604" t="n"/>
      <x:c r="AL1439" s="604" t="n"/>
      <x:c r="AM1439" s="604" t="n"/>
      <x:c r="AN1439" s="604" t="inlineStr">
        <x:is>
          <x:t xml:space="preserve">EVALUATED</x:t>
        </x:is>
      </x:c>
      <x:c r="AO1439" s="604" t="inlineStr">
        <x:is>
          <x:t xml:space="preserve">LOW_QUALITY_GATE;BUCKET_PRIOR_ONLY;INTENT_INTERPRETATION_ONLY;FFL_OPTIONAL;EXPERT_MARKET</x:t>
        </x:is>
      </x:c>
      <x:c r="AP1439" s="604" t="inlineStr">
        <x:is>
          <x:t xml:space="preserve">1ab36567aae4fee1b9e6</x:t>
        </x:is>
      </x:c>
      <x:c r="AQ1439" s="604" t="n"/>
      <x:c r="AR1439" s="604" t="n"/>
      <x:c r="AS1439" s="604" t="n">
        <x:v>1.25</x:v>
      </x:c>
      <x:c r="AT1439" s="604" t="n">
        <x:v>-1.25</x:v>
      </x:c>
      <x:c r="AU1439" s="604" t="n">
        <x:v>0.99</x:v>
      </x:c>
      <x:c r="AV1439" s="604" t="n">
        <x:v>0.89</x:v>
      </x:c>
      <x:c r="AW1439" s="604" t="inlineStr">
        <x:is>
          <x:t xml:space="preserve">2026-10-09T09:01:21.127001+08:00</x:t>
        </x:is>
      </x:c>
      <x:c r="AX1439" s="604" t="inlineStr">
        <x:is>
          <x:t xml:space="preserve">Titan007/V4</x:t>
        </x:is>
      </x:c>
      <x:c r="AY1439" s="604" t="inlineStr">
        <x:is>
          <x:t xml:space="preserve">Daily append；市场输入缺失时不生成决策</x:t>
        </x:is>
      </x:c>
    </x:row>
    <x:row r="1440" ht="22" customHeight="1">
      <x:c r="A1440" s="604" t="inlineStr">
        <x:is>
          <x:t xml:space="preserve">2026-10-09</x:t>
        </x:is>
      </x:c>
      <x:c r="B1440" s="604" t="inlineStr">
        <x:is>
          <x:t xml:space="preserve">2026-10-09T18:00:00+08:00</x:t>
        </x:is>
      </x:c>
      <x:c r="C1440" s="604" t="str">
        <x:v>日韩系列</x:v>
      </x:c>
      <x:c r="D1440" s="604" t="inlineStr">
        <x:is>
          <x:t xml:space="preserve"/>
        </x:is>
      </x:c>
      <x:c r="E1440" s="604" t="inlineStr">
        <x:is>
          <x:t xml:space="preserve">日职联</x:t>
        </x:is>
      </x:c>
      <x:c r="F1440" s="604" t="inlineStr">
        <x:is>
          <x:t xml:space="preserve">鹿岛鹿角 vs 大阪钢巴</x:t>
        </x:is>
      </x:c>
      <x:c r="G1440" s="604" t="n">
        <x:v>1.02</x:v>
      </x:c>
      <x:c r="H1440" s="604" t="n">
        <x:v>0.75</x:v>
      </x:c>
      <x:c r="I1440" s="604" t="n">
        <x:v>0.86</x:v>
      </x:c>
      <x:c r="J1440" s="604" t="inlineStr">
        <x:is>
          <x:t xml:space="preserve">1.02/0.75/0.86</x:t>
        </x:is>
      </x:c>
      <x:c r="K1440" s="604" t="inlineStr">
        <x:is>
          <x:t xml:space="preserve">V4-B</x:t>
        </x:is>
      </x:c>
      <x:c r="L1440" s="604" t="inlineStr">
        <x:is>
          <x:t xml:space="preserve">鹿岛鹿角</x:t>
        </x:is>
      </x:c>
      <x:c r="M1440" s="604" t="n">
        <x:v>0.4719606684975379</x:v>
      </x:c>
      <x:c r="N1440" s="604" t="inlineStr">
        <x:is>
          <x:t xml:space="preserve">V4 Shadow Only；real_money=false</x:t>
        </x:is>
      </x:c>
      <x:c r="O1440" s="604" t="inlineStr">
        <x:is>
          <x:t xml:space="preserve">0-0</x:t>
        </x:is>
      </x:c>
      <x:c r="P1440" s="604" t="inlineStr">
        <x:is>
          <x:t xml:space="preserve">EVALUATED</x:t>
        </x:is>
      </x:c>
      <x:c r="Q1440" s="630" t="inlineStr">
        <x:is>
          <x:t xml:space="preserve"/>
        </x:is>
      </x:c>
      <x:c r="R1440" s="604" t="n">
        <x:v>1.02</x:v>
      </x:c>
      <x:c r="S1440" s="604" t="n"/>
      <x:c r="T1440" s="604" t="inlineStr">
        <x:is>
          <x:t xml:space="preserve">D:\codex\v3_legacy\outputs\football_odds_trader\raw\titan007\20261009\20261009_085232_titan007_odds_snapshot.csv</x:t>
        </x:is>
      </x:c>
      <x:c r="U1440" s="628" t="inlineStr">
        <x:is>
          <x:t xml:space="preserve"/>
        </x:is>
      </x:c>
      <x:c r="V1440" s="604" t="inlineStr">
        <x:is>
          <x:t xml:space="preserve"/>
        </x:is>
      </x:c>
      <x:c r="W1440" s="604" t="inlineStr">
        <x:is>
          <x:t xml:space="preserve"/>
        </x:is>
      </x:c>
      <x:c r="X1440" s="604" t="inlineStr">
        <x:is>
          <x:t xml:space="preserve">3000477</x:t>
        </x:is>
      </x:c>
      <x:c r="Y1440" s="604" t="inlineStr">
        <x:is>
          <x:t xml:space="preserve">V4</x:t>
        </x:is>
      </x:c>
      <x:c r="Z1440" s="604" t="inlineStr">
        <x:is>
          <x:t xml:space="preserve">prior-2026-10-09-v1</x:t>
        </x:is>
      </x:c>
      <x:c r="AA1440" s="604" t="inlineStr">
        <x:is>
          <x:t xml:space="preserve">B</x:t>
        </x:is>
      </x:c>
      <x:c r="AB1440" s="604" t="n">
        <x:v>0.4719606684975379</x:v>
      </x:c>
      <x:c r="AC1440" s="604" t="n">
        <x:v>0.4011398989935274</x:v>
      </x:c>
      <x:c r="AD1440" s="604" t="n">
        <x:v>1</x:v>
      </x:c>
      <x:c r="AE1440" s="604" t="n"/>
      <x:c r="AF1440" s="604" t="n"/>
      <x:c r="AG1440" s="604" t="n">
        <x:v>0.0802599828739613</x:v>
      </x:c>
      <x:c r="AH1440" s="604" t="n"/>
      <x:c r="AI1440" s="604" t="n"/>
      <x:c r="AJ1440" s="604" t="n">
        <x:v>0.0802599828739613</x:v>
      </x:c>
      <x:c r="AK1440" s="604" t="n"/>
      <x:c r="AL1440" s="604" t="n"/>
      <x:c r="AM1440" s="604" t="n"/>
      <x:c r="AN1440" s="604" t="inlineStr">
        <x:is>
          <x:t xml:space="preserve">EVALUATED</x:t>
        </x:is>
      </x:c>
      <x:c r="AO1440" s="604" t="inlineStr">
        <x:is>
          <x:t xml:space="preserve">GIVING_VALIDATED_EDGE;BUCKET_PRIOR_ONLY;INTENT_INTERPRETATION_ONLY;FFL_OPTIONAL;EXPERT_MARKET</x:t>
        </x:is>
      </x:c>
      <x:c r="AP1440" s="604" t="inlineStr">
        <x:is>
          <x:t xml:space="preserve">27f1c52f114d870a5d8d</x:t>
        </x:is>
      </x:c>
      <x:c r="AQ1440" s="604" t="n">
        <x:v>-0.75</x:v>
      </x:c>
      <x:c r="AR1440" s="604" t="n">
        <x:v>1.02</x:v>
      </x:c>
      <x:c r="AS1440" s="604" t="n">
        <x:v>0.75</x:v>
      </x:c>
      <x:c r="AT1440" s="604" t="n">
        <x:v>-0.75</x:v>
      </x:c>
      <x:c r="AU1440" s="604" t="n">
        <x:v>1.02</x:v>
      </x:c>
      <x:c r="AV1440" s="604" t="n">
        <x:v>0.86</x:v>
      </x:c>
      <x:c r="AW1440" s="604" t="inlineStr">
        <x:is>
          <x:t xml:space="preserve">2026-10-09T09:01:21.127001+08:00</x:t>
        </x:is>
      </x:c>
      <x:c r="AX1440" s="604" t="inlineStr">
        <x:is>
          <x:t xml:space="preserve">Titan007/V4</x:t>
        </x:is>
      </x:c>
      <x:c r="AY1440" s="604" t="inlineStr">
        <x:is>
          <x:t xml:space="preserve">Daily append；市场输入缺失时不生成决策</x:t>
        </x:is>
      </x:c>
    </x:row>
    <x:row r="1441" ht="22" customHeight="1">
      <x:c r="A1441" s="604" t="inlineStr">
        <x:is>
          <x:t xml:space="preserve">2026-10-09</x:t>
        </x:is>
      </x:c>
      <x:c r="B1441" s="604" t="inlineStr">
        <x:is>
          <x:t xml:space="preserve">2026-10-09T18:00:00+08:00</x:t>
        </x:is>
      </x:c>
      <x:c r="C1441" s="604" t="str">
        <x:v>日韩系列</x:v>
      </x:c>
      <x:c r="D1441" s="604" t="inlineStr">
        <x:is>
          <x:t xml:space="preserve"/>
        </x:is>
      </x:c>
      <x:c r="E1441" s="604" t="inlineStr">
        <x:is>
          <x:t xml:space="preserve">日职联</x:t>
        </x:is>
      </x:c>
      <x:c r="F1441" s="604" t="inlineStr">
        <x:is>
          <x:t xml:space="preserve">柏太阳神 vs 神户胜利船</x:t>
        </x:is>
      </x:c>
      <x:c r="G1441" s="604" t="n">
        <x:v>0.95</x:v>
      </x:c>
      <x:c r="H1441" s="604" t="n">
        <x:v>0.25</x:v>
      </x:c>
      <x:c r="I1441" s="604" t="n">
        <x:v>0.93</x:v>
      </x:c>
      <x:c r="J1441" s="604" t="inlineStr">
        <x:is>
          <x:t xml:space="preserve">0.95/0.25/0.93</x:t>
        </x:is>
      </x:c>
      <x:c r="K1441" s="604" t="inlineStr">
        <x:is>
          <x:t xml:space="preserve">V4-C</x:t>
        </x:is>
      </x:c>
      <x:c r="L1441" s="604" t="inlineStr">
        <x:is>
          <x:t xml:space="preserve">柏太阳神</x:t>
        </x:is>
      </x:c>
      <x:c r="M1441" s="604" t="n">
        <x:v>0.482579603059558</x:v>
      </x:c>
      <x:c r="N1441" s="604" t="inlineStr">
        <x:is>
          <x:t xml:space="preserve">V4 Shadow Only；real_money=false</x:t>
        </x:is>
      </x:c>
      <x:c r="O1441" s="604" t="inlineStr">
        <x:is>
          <x:t xml:space="preserve">0-0</x:t>
        </x:is>
      </x:c>
      <x:c r="P1441" s="604" t="inlineStr">
        <x:is>
          <x:t xml:space="preserve">EVALUATED</x:t>
        </x:is>
      </x:c>
      <x:c r="Q1441" s="630" t="inlineStr">
        <x:is>
          <x:t xml:space="preserve"/>
        </x:is>
      </x:c>
      <x:c r="R1441" s="604" t="n">
        <x:v>0.95</x:v>
      </x:c>
      <x:c r="S1441" s="604" t="n"/>
      <x:c r="T1441" s="604" t="inlineStr">
        <x:is>
          <x:t xml:space="preserve">D:\codex\v3_legacy\outputs\football_odds_trader\raw\titan007\20261009\20261009_085232_titan007_odds_snapshot.csv</x:t>
        </x:is>
      </x:c>
      <x:c r="U1441" s="628" t="inlineStr">
        <x:is>
          <x:t xml:space="preserve"/>
        </x:is>
      </x:c>
      <x:c r="V1441" s="604" t="inlineStr">
        <x:is>
          <x:t xml:space="preserve"/>
        </x:is>
      </x:c>
      <x:c r="W1441" s="604" t="inlineStr">
        <x:is>
          <x:t xml:space="preserve"/>
        </x:is>
      </x:c>
      <x:c r="X1441" s="604" t="inlineStr">
        <x:is>
          <x:t xml:space="preserve">3000478</x:t>
        </x:is>
      </x:c>
      <x:c r="Y1441" s="604" t="inlineStr">
        <x:is>
          <x:t xml:space="preserve">V4</x:t>
        </x:is>
      </x:c>
      <x:c r="Z1441" s="604" t="inlineStr">
        <x:is>
          <x:t xml:space="preserve">prior-2026-10-09-v1</x:t>
        </x:is>
      </x:c>
      <x:c r="AA1441" s="604" t="inlineStr">
        <x:is>
          <x:t xml:space="preserve">C</x:t>
        </x:is>
      </x:c>
      <x:c r="AB1441" s="604" t="n">
        <x:v>0.482579603059558</x:v>
      </x:c>
      <x:c r="AC1441" s="604" t="n">
        <x:v>0.3896763345742099</x:v>
      </x:c>
      <x:c r="AD1441" s="604" t="n">
        <x:v>0.5</x:v>
      </x:c>
      <x:c r="AE1441" s="604" t="n"/>
      <x:c r="AF1441" s="604" t="n"/>
      <x:c r="AG1441" s="604" t="n">
        <x:v>0.0687742883323702</x:v>
      </x:c>
      <x:c r="AH1441" s="604" t="n"/>
      <x:c r="AI1441" s="604" t="n"/>
      <x:c r="AJ1441" s="604" t="n">
        <x:v>0.0687742883323702</x:v>
      </x:c>
      <x:c r="AK1441" s="604" t="n"/>
      <x:c r="AL1441" s="604" t="n"/>
      <x:c r="AM1441" s="604" t="n"/>
      <x:c r="AN1441" s="604" t="inlineStr">
        <x:is>
          <x:t xml:space="preserve">EVALUATED</x:t>
        </x:is>
      </x:c>
      <x:c r="AO1441" s="604" t="inlineStr">
        <x:is>
          <x:t xml:space="preserve">GIVING_VALIDATED_EDGE;BUCKET_PRIOR_ONLY;INTENT_INTERPRETATION_ONLY;FFL_OPTIONAL;EXPERT_MARKET</x:t>
        </x:is>
      </x:c>
      <x:c r="AP1441" s="604" t="inlineStr">
        <x:is>
          <x:t xml:space="preserve">865ff4ccb6f90de22b0f</x:t>
        </x:is>
      </x:c>
      <x:c r="AQ1441" s="604" t="n">
        <x:v>-0.25</x:v>
      </x:c>
      <x:c r="AR1441" s="604" t="n">
        <x:v>0.95</x:v>
      </x:c>
      <x:c r="AS1441" s="604" t="n">
        <x:v>0.25</x:v>
      </x:c>
      <x:c r="AT1441" s="604" t="n">
        <x:v>-0.25</x:v>
      </x:c>
      <x:c r="AU1441" s="604" t="n">
        <x:v>0.95</x:v>
      </x:c>
      <x:c r="AV1441" s="604" t="n">
        <x:v>0.93</x:v>
      </x:c>
      <x:c r="AW1441" s="604" t="inlineStr">
        <x:is>
          <x:t xml:space="preserve">2026-10-09T09:01:21.127001+08:00</x:t>
        </x:is>
      </x:c>
      <x:c r="AX1441" s="604" t="inlineStr">
        <x:is>
          <x:t xml:space="preserve">Titan007/V4</x:t>
        </x:is>
      </x:c>
      <x:c r="AY1441" s="604" t="inlineStr">
        <x:is>
          <x:t xml:space="preserve">Daily append；市场输入缺失时不生成决策</x:t>
        </x:is>
      </x:c>
    </x:row>
    <x:row r="1442" ht="22" customHeight="1">
      <x:c r="A1442" s="604" t="inlineStr">
        <x:is>
          <x:t xml:space="preserve">2026-10-09</x:t>
        </x:is>
      </x:c>
      <x:c r="B1442" s="604" t="inlineStr">
        <x:is>
          <x:t xml:space="preserve">2026-10-10T02:15:00+08:00</x:t>
        </x:is>
      </x:c>
      <x:c r="C1442" s="604" t="str">
        <x:v>欧洲非五大系列</x:v>
      </x:c>
      <x:c r="D1442" s="604" t="inlineStr">
        <x:is>
          <x:t xml:space="preserve"/>
        </x:is>
      </x:c>
      <x:c r="E1442" s="604" t="inlineStr">
        <x:is>
          <x:t xml:space="preserve">瑞士甲</x:t>
        </x:is>
      </x:c>
      <x:c r="F1442" s="604" t="inlineStr">
        <x:is>
          <x:t xml:space="preserve">卡鲁日星 vs 伊韦尔东</x:t>
        </x:is>
      </x:c>
      <x:c r="G1442" s="604" t="n">
        <x:v>0.88</x:v>
      </x:c>
      <x:c r="H1442" s="604" t="n">
        <x:v>-0.25</x:v>
      </x:c>
      <x:c r="I1442" s="604" t="n">
        <x:v>0.88</x:v>
      </x:c>
      <x:c r="J1442" s="604" t="inlineStr">
        <x:is>
          <x:t xml:space="preserve">0.88/-0.25/0.88</x:t>
        </x:is>
      </x:c>
      <x:c r="K1442" s="604" t="inlineStr">
        <x:is>
          <x:t xml:space="preserve">V4-N</x:t>
        </x:is>
      </x:c>
      <x:c r="L1442" s="604" t="inlineStr">
        <x:is>
          <x:t xml:space="preserve"/>
        </x:is>
      </x:c>
      <x:c r="M1442" s="604" t="n">
        <x:v>0.2872693151755744</x:v>
      </x:c>
      <x:c r="N1442" s="604" t="inlineStr">
        <x:is>
          <x:t xml:space="preserve">V4 Shadow Only；real_money=false</x:t>
        </x:is>
      </x:c>
      <x:c r="O1442" s="604" t="inlineStr">
        <x:is>
          <x:t xml:space="preserve">0-0</x:t>
        </x:is>
      </x:c>
      <x:c r="P1442" s="604" t="inlineStr">
        <x:is>
          <x:t xml:space="preserve">EVALUATED</x:t>
        </x:is>
      </x:c>
      <x:c r="Q1442" s="630" t="inlineStr">
        <x:is>
          <x:t xml:space="preserve"/>
        </x:is>
      </x:c>
      <x:c r="R1442" s="604" t="n"/>
      <x:c r="S1442" s="604" t="n"/>
      <x:c r="T1442" s="604" t="inlineStr">
        <x:is>
          <x:t xml:space="preserve">D:\codex\v3_legacy\outputs\football_odds_trader\raw\titan007\20261009\20261009_085232_titan007_odds_snapshot.csv</x:t>
        </x:is>
      </x:c>
      <x:c r="U1442" s="628" t="inlineStr">
        <x:is>
          <x:t xml:space="preserve"/>
        </x:is>
      </x:c>
      <x:c r="V1442" s="604" t="inlineStr">
        <x:is>
          <x:t xml:space="preserve"/>
        </x:is>
      </x:c>
      <x:c r="W1442" s="604" t="inlineStr">
        <x:is>
          <x:t xml:space="preserve"/>
        </x:is>
      </x:c>
      <x:c r="X1442" s="604" t="inlineStr">
        <x:is>
          <x:t xml:space="preserve">3000950</x:t>
        </x:is>
      </x:c>
      <x:c r="Y1442" s="604" t="inlineStr">
        <x:is>
          <x:t xml:space="preserve">V4</x:t>
        </x:is>
      </x:c>
      <x:c r="Z1442" s="604" t="inlineStr">
        <x:is>
          <x:t xml:space="preserve">prior-2026-10-09-v1</x:t>
        </x:is>
      </x:c>
      <x:c r="AA1442" s="604" t="inlineStr">
        <x:is>
          <x:t xml:space="preserve">N</x:t>
        </x:is>
      </x:c>
      <x:c r="AB1442" s="604" t="n">
        <x:v>0.2872693151755744</x:v>
      </x:c>
      <x:c r="AC1442" s="604" t="n">
        <x:v>0.5837519120188734</x:v>
      </x:c>
      <x:c r="AD1442" s="604" t="n">
        <x:v>-0.25</x:v>
      </x:c>
      <x:c r="AE1442" s="604" t="n"/>
      <x:c r="AF1442" s="604" t="n"/>
      <x:c r="AG1442" s="604" t="n">
        <x:v>0.2264323674010342</x:v>
      </x:c>
      <x:c r="AH1442" s="604" t="n"/>
      <x:c r="AI1442" s="604" t="n"/>
      <x:c r="AJ1442" s="604" t="n">
        <x:v>0.2264323674010342</x:v>
      </x:c>
      <x:c r="AK1442" s="604" t="n"/>
      <x:c r="AL1442" s="604" t="n"/>
      <x:c r="AM1442" s="604" t="n"/>
      <x:c r="AN1442" s="604" t="inlineStr">
        <x:is>
          <x:t xml:space="preserve">EVALUATED</x:t>
        </x:is>
      </x:c>
      <x:c r="AO1442" s="604" t="inlineStr">
        <x:is>
          <x:t xml:space="preserve">LOW_QUALITY_GATE;BUCKET_PRIOR_ONLY;INTENT_INTERPRETATION_ONLY;FFL_OPTIONAL;EXPERT_MARKET</x:t>
        </x:is>
      </x:c>
      <x:c r="AP1442" s="604" t="inlineStr">
        <x:is>
          <x:t xml:space="preserve">d88018cbd93bf873879f</x:t>
        </x:is>
      </x:c>
      <x:c r="AQ1442" s="604" t="n"/>
      <x:c r="AR1442" s="604" t="n"/>
      <x:c r="AS1442" s="604" t="n">
        <x:v>-0.25</x:v>
      </x:c>
      <x:c r="AT1442" s="604" t="n">
        <x:v>0.25</x:v>
      </x:c>
      <x:c r="AU1442" s="604" t="n">
        <x:v>0.88</x:v>
      </x:c>
      <x:c r="AV1442" s="604" t="n">
        <x:v>0.88</x:v>
      </x:c>
      <x:c r="AW1442" s="604" t="inlineStr">
        <x:is>
          <x:t xml:space="preserve">2026-10-09T09:01:21.127001+08:00</x:t>
        </x:is>
      </x:c>
      <x:c r="AX1442" s="604" t="inlineStr">
        <x:is>
          <x:t xml:space="preserve">Titan007/V4</x:t>
        </x:is>
      </x:c>
      <x:c r="AY1442" s="604" t="inlineStr">
        <x:is>
          <x:t xml:space="preserve">Daily append；市场输入缺失时不生成决策</x:t>
        </x:is>
      </x:c>
    </x:row>
    <x:row r="1443" ht="22" customHeight="1">
      <x:c r="A1443" s="604" t="inlineStr">
        <x:is>
          <x:t xml:space="preserve">2026-10-09</x:t>
        </x:is>
      </x:c>
      <x:c r="B1443" s="604" t="inlineStr">
        <x:is>
          <x:t xml:space="preserve">2026-10-10T01:30:00+08:00</x:t>
        </x:is>
      </x:c>
      <x:c r="C1443" s="604" t="str">
        <x:v>欧洲非五大系列</x:v>
      </x:c>
      <x:c r="D1443" s="604" t="inlineStr">
        <x:is>
          <x:t xml:space="preserve"/>
        </x:is>
      </x:c>
      <x:c r="E1443" s="604" t="inlineStr">
        <x:is>
          <x:t xml:space="preserve">瑞士甲</x:t>
        </x:is>
      </x:c>
      <x:c r="F1443" s="604" t="inlineStr">
        <x:is>
          <x:t xml:space="preserve">克里恩斯 vs 韦尔</x:t>
        </x:is>
      </x:c>
      <x:c r="G1443" s="604" t="n">
        <x:v>0.87</x:v>
      </x:c>
      <x:c r="H1443" s="604" t="n">
        <x:v>0.25</x:v>
      </x:c>
      <x:c r="I1443" s="604" t="n">
        <x:v>0.89</x:v>
      </x:c>
      <x:c r="J1443" s="604" t="inlineStr">
        <x:is>
          <x:t xml:space="preserve">0.87/0.25/0.89</x:t>
        </x:is>
      </x:c>
      <x:c r="K1443" s="604" t="inlineStr">
        <x:is>
          <x:t xml:space="preserve">V4-N</x:t>
        </x:is>
      </x:c>
      <x:c r="L1443" s="604" t="inlineStr">
        <x:is>
          <x:t xml:space="preserve"/>
        </x:is>
      </x:c>
      <x:c r="M1443" s="604" t="n">
        <x:v>0.4590925014539186</x:v>
      </x:c>
      <x:c r="N1443" s="604" t="inlineStr">
        <x:is>
          <x:t xml:space="preserve">V4 Shadow Only；real_money=false</x:t>
        </x:is>
      </x:c>
      <x:c r="O1443" s="604" t="inlineStr">
        <x:is>
          <x:t xml:space="preserve">0-0</x:t>
        </x:is>
      </x:c>
      <x:c r="P1443" s="604" t="inlineStr">
        <x:is>
          <x:t xml:space="preserve">EVALUATED</x:t>
        </x:is>
      </x:c>
      <x:c r="Q1443" s="630" t="inlineStr">
        <x:is>
          <x:t xml:space="preserve"/>
        </x:is>
      </x:c>
      <x:c r="R1443" s="604" t="n"/>
      <x:c r="S1443" s="604" t="n"/>
      <x:c r="T1443" s="604" t="inlineStr">
        <x:is>
          <x:t xml:space="preserve">D:\codex\v3_legacy\outputs\football_odds_trader\raw\titan007\20261009\20261009_085232_titan007_odds_snapshot.csv</x:t>
        </x:is>
      </x:c>
      <x:c r="U1443" s="628" t="inlineStr">
        <x:is>
          <x:t xml:space="preserve"/>
        </x:is>
      </x:c>
      <x:c r="V1443" s="604" t="inlineStr">
        <x:is>
          <x:t xml:space="preserve"/>
        </x:is>
      </x:c>
      <x:c r="W1443" s="604" t="inlineStr">
        <x:is>
          <x:t xml:space="preserve"/>
        </x:is>
      </x:c>
      <x:c r="X1443" s="604" t="inlineStr">
        <x:is>
          <x:t xml:space="preserve">3000951</x:t>
        </x:is>
      </x:c>
      <x:c r="Y1443" s="604" t="inlineStr">
        <x:is>
          <x:t xml:space="preserve">V4</x:t>
        </x:is>
      </x:c>
      <x:c r="Z1443" s="604" t="inlineStr">
        <x:is>
          <x:t xml:space="preserve">prior-2026-10-09-v1</x:t>
        </x:is>
      </x:c>
      <x:c r="AA1443" s="604" t="inlineStr">
        <x:is>
          <x:t xml:space="preserve">N</x:t>
        </x:is>
      </x:c>
      <x:c r="AB1443" s="604" t="n">
        <x:v>0.4590925014539186</x:v>
      </x:c>
      <x:c r="AC1443" s="604" t="n">
        <x:v>0.4125291418812801</x:v>
      </x:c>
      <x:c r="AD1443" s="604" t="n">
        <x:v>0.5</x:v>
      </x:c>
      <x:c r="AE1443" s="604" t="n"/>
      <x:c r="AF1443" s="604" t="n"/>
      <x:c r="AG1443" s="604" t="n">
        <x:v>-0.01311866561637093</x:v>
      </x:c>
      <x:c r="AH1443" s="604" t="n"/>
      <x:c r="AI1443" s="604" t="n"/>
      <x:c r="AJ1443" s="604" t="n">
        <x:v>-0.01311866561637093</x:v>
      </x:c>
      <x:c r="AK1443" s="604" t="n"/>
      <x:c r="AL1443" s="604" t="n"/>
      <x:c r="AM1443" s="604" t="n"/>
      <x:c r="AN1443" s="604" t="inlineStr">
        <x:is>
          <x:t xml:space="preserve">EVALUATED</x:t>
        </x:is>
      </x:c>
      <x:c r="AO1443" s="604" t="inlineStr">
        <x:is>
          <x:t xml:space="preserve">EDGE_BELOW_UNCERTAINTY_THRESHOLD;BUCKET_PRIOR_ONLY;INTENT_INTERPRETATION_ONLY;FFL_OPTIONAL;EXPERT_MARKET</x:t>
        </x:is>
      </x:c>
      <x:c r="AP1443" s="604" t="inlineStr">
        <x:is>
          <x:t xml:space="preserve">fbbf5bb4a3a08412b3a3</x:t>
        </x:is>
      </x:c>
      <x:c r="AQ1443" s="604" t="n"/>
      <x:c r="AR1443" s="604" t="n"/>
      <x:c r="AS1443" s="604" t="n">
        <x:v>0.25</x:v>
      </x:c>
      <x:c r="AT1443" s="604" t="n">
        <x:v>-0.25</x:v>
      </x:c>
      <x:c r="AU1443" s="604" t="n">
        <x:v>0.87</x:v>
      </x:c>
      <x:c r="AV1443" s="604" t="n">
        <x:v>0.89</x:v>
      </x:c>
      <x:c r="AW1443" s="604" t="inlineStr">
        <x:is>
          <x:t xml:space="preserve">2026-10-09T09:01:21.127001+08:00</x:t>
        </x:is>
      </x:c>
      <x:c r="AX1443" s="604" t="inlineStr">
        <x:is>
          <x:t xml:space="preserve">Titan007/V4</x:t>
        </x:is>
      </x:c>
      <x:c r="AY1443" s="604" t="inlineStr">
        <x:is>
          <x:t xml:space="preserve">Daily append；市场输入缺失时不生成决策</x:t>
        </x:is>
      </x:c>
    </x:row>
    <x:row r="1444" ht="22" customHeight="1">
      <x:c r="A1444" s="604" t="inlineStr">
        <x:is>
          <x:t xml:space="preserve">2026-10-09</x:t>
        </x:is>
      </x:c>
      <x:c r="B1444" s="604" t="inlineStr">
        <x:is>
          <x:t xml:space="preserve">2026-10-10T01:30:00+08:00</x:t>
        </x:is>
      </x:c>
      <x:c r="C1444" s="604" t="str">
        <x:v>欧洲非五大系列</x:v>
      </x:c>
      <x:c r="D1444" s="604" t="inlineStr">
        <x:is>
          <x:t xml:space="preserve"/>
        </x:is>
      </x:c>
      <x:c r="E1444" s="604" t="inlineStr">
        <x:is>
          <x:t xml:space="preserve">瑞士甲</x:t>
        </x:is>
      </x:c>
      <x:c r="F1444" s="604" t="inlineStr">
        <x:is>
          <x:t xml:space="preserve">瑞普斯威尔 vs 乌契</x:t>
        </x:is>
      </x:c>
      <x:c r="G1444" s="604" t="n">
        <x:v>0.82</x:v>
      </x:c>
      <x:c r="H1444" s="604" t="n">
        <x:v>-0.75</x:v>
      </x:c>
      <x:c r="I1444" s="604" t="n">
        <x:v>0.9399999999999999</x:v>
      </x:c>
      <x:c r="J1444" s="604" t="inlineStr">
        <x:is>
          <x:t xml:space="preserve">0.82/-0.75/0.94</x:t>
        </x:is>
      </x:c>
      <x:c r="K1444" s="604" t="inlineStr">
        <x:is>
          <x:t xml:space="preserve">V4-N</x:t>
        </x:is>
      </x:c>
      <x:c r="L1444" s="604" t="inlineStr">
        <x:is>
          <x:t xml:space="preserve"/>
        </x:is>
      </x:c>
      <x:c r="M1444" s="604" t="n">
        <x:v>0.1203618175000623</x:v>
      </x:c>
      <x:c r="N1444" s="604" t="inlineStr">
        <x:is>
          <x:t xml:space="preserve">V4 Shadow Only；real_money=false</x:t>
        </x:is>
      </x:c>
      <x:c r="O1444" s="604" t="inlineStr">
        <x:is>
          <x:t xml:space="preserve">0-0</x:t>
        </x:is>
      </x:c>
      <x:c r="P1444" s="604" t="inlineStr">
        <x:is>
          <x:t xml:space="preserve">EVALUATED</x:t>
        </x:is>
      </x:c>
      <x:c r="Q1444" s="630" t="inlineStr">
        <x:is>
          <x:t xml:space="preserve"/>
        </x:is>
      </x:c>
      <x:c r="R1444" s="604" t="n"/>
      <x:c r="S1444" s="604" t="n"/>
      <x:c r="T1444" s="604" t="inlineStr">
        <x:is>
          <x:t xml:space="preserve">D:\codex\v3_legacy\outputs\football_odds_trader\raw\titan007\20261009\20261009_085232_titan007_odds_snapshot.csv</x:t>
        </x:is>
      </x:c>
      <x:c r="U1444" s="628" t="inlineStr">
        <x:is>
          <x:t xml:space="preserve"/>
        </x:is>
      </x:c>
      <x:c r="V1444" s="604" t="inlineStr">
        <x:is>
          <x:t xml:space="preserve"/>
        </x:is>
      </x:c>
      <x:c r="W1444" s="604" t="inlineStr">
        <x:is>
          <x:t xml:space="preserve"/>
        </x:is>
      </x:c>
      <x:c r="X1444" s="604" t="inlineStr">
        <x:is>
          <x:t xml:space="preserve">3000952</x:t>
        </x:is>
      </x:c>
      <x:c r="Y1444" s="604" t="inlineStr">
        <x:is>
          <x:t xml:space="preserve">V4</x:t>
        </x:is>
      </x:c>
      <x:c r="Z1444" s="604" t="inlineStr">
        <x:is>
          <x:t xml:space="preserve">prior-2026-10-09-v1</x:t>
        </x:is>
      </x:c>
      <x:c r="AA1444" s="604" t="inlineStr">
        <x:is>
          <x:t xml:space="preserve">N</x:t>
        </x:is>
      </x:c>
      <x:c r="AB1444" s="604" t="n">
        <x:v>0.1203618175000623</x:v>
      </x:c>
      <x:c r="AC1444" s="604" t="n">
        <x:v>0.8175199470317799</x:v>
      </x:c>
      <x:c r="AD1444" s="604" t="n">
        <x:v>-1</x:v>
      </x:c>
      <x:c r="AE1444" s="604" t="n"/>
      <x:c r="AF1444" s="604" t="n"/>
      <x:c r="AG1444" s="604" t="n">
        <x:v>0.5500045390659972</x:v>
      </x:c>
      <x:c r="AH1444" s="604" t="n"/>
      <x:c r="AI1444" s="604" t="n"/>
      <x:c r="AJ1444" s="604" t="n">
        <x:v>0.5500045390659972</x:v>
      </x:c>
      <x:c r="AK1444" s="604" t="n"/>
      <x:c r="AL1444" s="604" t="n"/>
      <x:c r="AM1444" s="604" t="n"/>
      <x:c r="AN1444" s="604" t="inlineStr">
        <x:is>
          <x:t xml:space="preserve">EVALUATED</x:t>
        </x:is>
      </x:c>
      <x:c r="AO1444" s="604" t="inlineStr">
        <x:is>
          <x:t xml:space="preserve">LOW_QUALITY_GATE;BUCKET_PRIOR_ONLY;INTENT_INTERPRETATION_ONLY;FFL_OPTIONAL;EXPERT_MARKET</x:t>
        </x:is>
      </x:c>
      <x:c r="AP1444" s="604" t="inlineStr">
        <x:is>
          <x:t xml:space="preserve">c5bdc1d3f0326e5cd514</x:t>
        </x:is>
      </x:c>
      <x:c r="AQ1444" s="604" t="n"/>
      <x:c r="AR1444" s="604" t="n"/>
      <x:c r="AS1444" s="604" t="n">
        <x:v>-0.75</x:v>
      </x:c>
      <x:c r="AT1444" s="604" t="n">
        <x:v>0.75</x:v>
      </x:c>
      <x:c r="AU1444" s="604" t="n">
        <x:v>0.82</x:v>
      </x:c>
      <x:c r="AV1444" s="604" t="n">
        <x:v>0.9399999999999999</x:v>
      </x:c>
      <x:c r="AW1444" s="604" t="inlineStr">
        <x:is>
          <x:t xml:space="preserve">2026-10-09T09:01:21.127001+08:00</x:t>
        </x:is>
      </x:c>
      <x:c r="AX1444" s="604" t="inlineStr">
        <x:is>
          <x:t xml:space="preserve">Titan007/V4</x:t>
        </x:is>
      </x:c>
      <x:c r="AY1444" s="604" t="inlineStr">
        <x:is>
          <x:t xml:space="preserve">Daily append；市场输入缺失时不生成决策</x:t>
        </x:is>
      </x:c>
    </x:row>
    <x:row r="1445" ht="22" customHeight="1">
      <x:c r="A1445" s="604" t="inlineStr">
        <x:is>
          <x:t xml:space="preserve">2026-10-09</x:t>
        </x:is>
      </x:c>
      <x:c r="B1445" s="604" t="inlineStr">
        <x:is>
          <x:t xml:space="preserve">2026-10-10T02:15:00+08:00</x:t>
        </x:is>
      </x:c>
      <x:c r="C1445" s="604" t="str">
        <x:v>欧洲非五大系列</x:v>
      </x:c>
      <x:c r="D1445" s="604" t="inlineStr">
        <x:is>
          <x:t xml:space="preserve"/>
        </x:is>
      </x:c>
      <x:c r="E1445" s="604" t="inlineStr">
        <x:is>
          <x:t xml:space="preserve">瑞士甲</x:t>
        </x:is>
      </x:c>
      <x:c r="F1445" s="604" t="inlineStr">
        <x:is>
          <x:t xml:space="preserve">尼奈斯 vs 阿劳</x:t>
        </x:is>
      </x:c>
      <x:c r="G1445" s="604" t="n">
        <x:v>0.82</x:v>
      </x:c>
      <x:c r="H1445" s="604" t="n">
        <x:v>-1.25</x:v>
      </x:c>
      <x:c r="I1445" s="604" t="n">
        <x:v>0.9399999999999999</x:v>
      </x:c>
      <x:c r="J1445" s="604" t="inlineStr">
        <x:is>
          <x:t xml:space="preserve">0.82/-1.25/0.94</x:t>
        </x:is>
      </x:c>
      <x:c r="K1445" s="604" t="inlineStr">
        <x:is>
          <x:t xml:space="preserve">V4-N</x:t>
        </x:is>
      </x:c>
      <x:c r="L1445" s="604" t="inlineStr">
        <x:is>
          <x:t xml:space="preserve"/>
        </x:is>
      </x:c>
      <x:c r="M1445" s="604" t="n">
        <x:v>0.01956139680595671</x:v>
      </x:c>
      <x:c r="N1445" s="604" t="inlineStr">
        <x:is>
          <x:t xml:space="preserve">V4 Shadow Only；real_money=false</x:t>
        </x:is>
      </x:c>
      <x:c r="O1445" s="604" t="inlineStr">
        <x:is>
          <x:t xml:space="preserve">0-0</x:t>
        </x:is>
      </x:c>
      <x:c r="P1445" s="604" t="inlineStr">
        <x:is>
          <x:t xml:space="preserve">EVALUATED</x:t>
        </x:is>
      </x:c>
      <x:c r="Q1445" s="630" t="inlineStr">
        <x:is>
          <x:t xml:space="preserve"/>
        </x:is>
      </x:c>
      <x:c r="R1445" s="604" t="n"/>
      <x:c r="S1445" s="604" t="n"/>
      <x:c r="T1445" s="604" t="inlineStr">
        <x:is>
          <x:t xml:space="preserve">D:\codex\v3_legacy\outputs\football_odds_trader\raw\titan007\20261009\20261009_085232_titan007_odds_snapshot.csv</x:t>
        </x:is>
      </x:c>
      <x:c r="U1445" s="628" t="inlineStr">
        <x:is>
          <x:t xml:space="preserve"/>
        </x:is>
      </x:c>
      <x:c r="V1445" s="604" t="inlineStr">
        <x:is>
          <x:t xml:space="preserve"/>
        </x:is>
      </x:c>
      <x:c r="W1445" s="604" t="inlineStr">
        <x:is>
          <x:t xml:space="preserve"/>
        </x:is>
      </x:c>
      <x:c r="X1445" s="604" t="inlineStr">
        <x:is>
          <x:t xml:space="preserve">3000953</x:t>
        </x:is>
      </x:c>
      <x:c r="Y1445" s="604" t="inlineStr">
        <x:is>
          <x:t xml:space="preserve">V4</x:t>
        </x:is>
      </x:c>
      <x:c r="Z1445" s="604" t="inlineStr">
        <x:is>
          <x:t xml:space="preserve">prior-2026-10-09-v1</x:t>
        </x:is>
      </x:c>
      <x:c r="AA1445" s="604" t="inlineStr">
        <x:is>
          <x:t xml:space="preserve">N</x:t>
        </x:is>
      </x:c>
      <x:c r="AB1445" s="604" t="n">
        <x:v>0.01956139680595671</x:v>
      </x:c>
      <x:c r="AC1445" s="604" t="n">
        <x:v>0.9464598749636521</x:v>
      </x:c>
      <x:c r="AD1445" s="604" t="n">
        <x:v>-1.5</x:v>
      </x:c>
      <x:c r="AE1445" s="604" t="n"/>
      <x:c r="AF1445" s="604" t="n"/>
      <x:c r="AG1445" s="604" t="n">
        <x:v>0.756535700664238</x:v>
      </x:c>
      <x:c r="AH1445" s="604" t="n"/>
      <x:c r="AI1445" s="604" t="n"/>
      <x:c r="AJ1445" s="604" t="n">
        <x:v>0.756535700664238</x:v>
      </x:c>
      <x:c r="AK1445" s="604" t="n"/>
      <x:c r="AL1445" s="604" t="n"/>
      <x:c r="AM1445" s="604" t="n"/>
      <x:c r="AN1445" s="604" t="inlineStr">
        <x:is>
          <x:t xml:space="preserve">EVALUATED</x:t>
        </x:is>
      </x:c>
      <x:c r="AO1445" s="604" t="inlineStr">
        <x:is>
          <x:t xml:space="preserve">LOW_QUALITY_GATE;BUCKET_PRIOR_ONLY;INTENT_INTERPRETATION_ONLY;FFL_OPTIONAL;EXPERT_MARKET</x:t>
        </x:is>
      </x:c>
      <x:c r="AP1445" s="604" t="inlineStr">
        <x:is>
          <x:t xml:space="preserve">82216d24448bb13c70a1</x:t>
        </x:is>
      </x:c>
      <x:c r="AQ1445" s="604" t="n"/>
      <x:c r="AR1445" s="604" t="n"/>
      <x:c r="AS1445" s="604" t="n">
        <x:v>-1.25</x:v>
      </x:c>
      <x:c r="AT1445" s="604" t="n">
        <x:v>1.25</x:v>
      </x:c>
      <x:c r="AU1445" s="604" t="n">
        <x:v>0.82</x:v>
      </x:c>
      <x:c r="AV1445" s="604" t="n">
        <x:v>0.9399999999999999</x:v>
      </x:c>
      <x:c r="AW1445" s="604" t="inlineStr">
        <x:is>
          <x:t xml:space="preserve">2026-10-09T09:01:21.127001+08:00</x:t>
        </x:is>
      </x:c>
      <x:c r="AX1445" s="604" t="inlineStr">
        <x:is>
          <x:t xml:space="preserve">Titan007/V4</x:t>
        </x:is>
      </x:c>
      <x:c r="AY1445" s="604" t="inlineStr">
        <x:is>
          <x:t xml:space="preserve">Daily append；市场输入缺失时不生成决策</x:t>
        </x:is>
      </x:c>
    </x:row>
    <x:row r="1446" ht="22" customHeight="1">
      <x:c r="A1446" s="604" t="inlineStr">
        <x:is>
          <x:t xml:space="preserve">2026-10-09</x:t>
        </x:is>
      </x:c>
      <x:c r="B1446" s="604" t="inlineStr">
        <x:is>
          <x:t xml:space="preserve">2026-10-10T01:30:00+08:00</x:t>
        </x:is>
      </x:c>
      <x:c r="C1446" s="604" t="str">
        <x:v>欧洲非五大系列</x:v>
      </x:c>
      <x:c r="D1446" s="604" t="inlineStr">
        <x:is>
          <x:t xml:space="preserve"/>
        </x:is>
      </x:c>
      <x:c r="E1446" s="604" t="inlineStr">
        <x:is>
          <x:t xml:space="preserve">瑞士甲</x:t>
        </x:is>
      </x:c>
      <x:c r="F1446" s="604" t="inlineStr">
        <x:is>
          <x:t xml:space="preserve">纳沙泰尔 vs 温特图尔</x:t>
        </x:is>
      </x:c>
      <x:c r="G1446" s="604" t="n">
        <x:v>0.96</x:v>
      </x:c>
      <x:c r="H1446" s="604" t="n">
        <x:v>-0.25</x:v>
      </x:c>
      <x:c r="I1446" s="604" t="n">
        <x:v>0.8</x:v>
      </x:c>
      <x:c r="J1446" s="604" t="inlineStr">
        <x:is>
          <x:t xml:space="preserve">0.96/-0.25/0.8</x:t>
        </x:is>
      </x:c>
      <x:c r="K1446" s="604" t="inlineStr">
        <x:is>
          <x:t xml:space="preserve">V4-N</x:t>
        </x:is>
      </x:c>
      <x:c r="L1446" s="604" t="inlineStr">
        <x:is>
          <x:t xml:space="preserve"/>
        </x:is>
      </x:c>
      <x:c r="M1446" s="604" t="n">
        <x:v>0.26290257826327</x:v>
      </x:c>
      <x:c r="N1446" s="604" t="inlineStr">
        <x:is>
          <x:t xml:space="preserve">V4 Shadow Only；real_money=false</x:t>
        </x:is>
      </x:c>
      <x:c r="O1446" s="604" t="inlineStr">
        <x:is>
          <x:t xml:space="preserve">0-0</x:t>
        </x:is>
      </x:c>
      <x:c r="P1446" s="604" t="inlineStr">
        <x:is>
          <x:t xml:space="preserve">EVALUATED</x:t>
        </x:is>
      </x:c>
      <x:c r="Q1446" s="630" t="inlineStr">
        <x:is>
          <x:t xml:space="preserve"/>
        </x:is>
      </x:c>
      <x:c r="R1446" s="604" t="n"/>
      <x:c r="S1446" s="604" t="n"/>
      <x:c r="T1446" s="604" t="inlineStr">
        <x:is>
          <x:t xml:space="preserve">D:\codex\v3_legacy\outputs\football_odds_trader\raw\titan007\20261009\20261009_085232_titan007_odds_snapshot.csv</x:t>
        </x:is>
      </x:c>
      <x:c r="U1446" s="628" t="inlineStr">
        <x:is>
          <x:t xml:space="preserve"/>
        </x:is>
      </x:c>
      <x:c r="V1446" s="604" t="inlineStr">
        <x:is>
          <x:t xml:space="preserve"/>
        </x:is>
      </x:c>
      <x:c r="W1446" s="604" t="inlineStr">
        <x:is>
          <x:t xml:space="preserve"/>
        </x:is>
      </x:c>
      <x:c r="X1446" s="604" t="inlineStr">
        <x:is>
          <x:t xml:space="preserve">3000954</x:t>
        </x:is>
      </x:c>
      <x:c r="Y1446" s="604" t="inlineStr">
        <x:is>
          <x:t xml:space="preserve">V4</x:t>
        </x:is>
      </x:c>
      <x:c r="Z1446" s="604" t="inlineStr">
        <x:is>
          <x:t xml:space="preserve">prior-2026-10-09-v1</x:t>
        </x:is>
      </x:c>
      <x:c r="AA1446" s="604" t="inlineStr">
        <x:is>
          <x:t xml:space="preserve">N</x:t>
        </x:is>
      </x:c>
      <x:c r="AB1446" s="604" t="n">
        <x:v>0.26290257826327</x:v>
      </x:c>
      <x:c r="AC1446" s="604" t="n">
        <x:v>0.6103437219254141</x:v>
      </x:c>
      <x:c r="AD1446" s="604" t="n">
        <x:v>-0.5</x:v>
      </x:c>
      <x:c r="AE1446" s="604" t="n"/>
      <x:c r="AF1446" s="604" t="n"/>
      <x:c r="AG1446" s="604" t="n">
        <x:v>0.3230273947851275</x:v>
      </x:c>
      <x:c r="AH1446" s="604" t="n"/>
      <x:c r="AI1446" s="604" t="n"/>
      <x:c r="AJ1446" s="604" t="n">
        <x:v>0.3230273947851275</x:v>
      </x:c>
      <x:c r="AK1446" s="604" t="n"/>
      <x:c r="AL1446" s="604" t="n"/>
      <x:c r="AM1446" s="604" t="n"/>
      <x:c r="AN1446" s="604" t="inlineStr">
        <x:is>
          <x:t xml:space="preserve">EVALUATED</x:t>
        </x:is>
      </x:c>
      <x:c r="AO1446" s="604" t="inlineStr">
        <x:is>
          <x:t xml:space="preserve">LOW_QUALITY_GATE;BUCKET_PRIOR_ONLY;INTENT_INTERPRETATION_ONLY;FFL_OPTIONAL;EXPERT_MARKET</x:t>
        </x:is>
      </x:c>
      <x:c r="AP1446" s="604" t="inlineStr">
        <x:is>
          <x:t xml:space="preserve">b05a127516b613244245</x:t>
        </x:is>
      </x:c>
      <x:c r="AQ1446" s="604" t="n"/>
      <x:c r="AR1446" s="604" t="n"/>
      <x:c r="AS1446" s="604" t="n">
        <x:v>-0.25</x:v>
      </x:c>
      <x:c r="AT1446" s="604" t="n">
        <x:v>0.25</x:v>
      </x:c>
      <x:c r="AU1446" s="604" t="n">
        <x:v>0.96</x:v>
      </x:c>
      <x:c r="AV1446" s="604" t="n">
        <x:v>0.8</x:v>
      </x:c>
      <x:c r="AW1446" s="604" t="inlineStr">
        <x:is>
          <x:t xml:space="preserve">2026-10-09T09:01:21.127001+08:00</x:t>
        </x:is>
      </x:c>
      <x:c r="AX1446" s="604" t="inlineStr">
        <x:is>
          <x:t xml:space="preserve">Titan007/V4</x:t>
        </x:is>
      </x:c>
      <x:c r="AY1446" s="604" t="inlineStr">
        <x:is>
          <x:t xml:space="preserve">Daily append；市场输入缺失时不生成决策</x:t>
        </x:is>
      </x:c>
    </x:row>
    <x:row r="1447" ht="22" customHeight="1">
      <x:c r="A1447" s="604" t="inlineStr">
        <x:is>
          <x:t xml:space="preserve">2026-10-09</x:t>
        </x:is>
      </x:c>
      <x:c r="B1447" s="604" t="inlineStr">
        <x:is>
          <x:t xml:space="preserve">2026-10-09T18:00:00+08:00</x:t>
        </x:is>
      </x:c>
      <x:c r="C1447" s="604" t="str">
        <x:v>日韩系列</x:v>
      </x:c>
      <x:c r="D1447" s="604" t="inlineStr">
        <x:is>
          <x:t xml:space="preserve"/>
        </x:is>
      </x:c>
      <x:c r="E1447" s="604" t="inlineStr">
        <x:is>
          <x:t xml:space="preserve">日职丙</x:t>
        </x:is>
      </x:c>
      <x:c r="F1447" s="604" t="inlineStr">
        <x:is>
          <x:t xml:space="preserve">大阪俱乐部 vs 金泽</x:t>
        </x:is>
      </x:c>
      <x:c r="G1447" s="604" t="n">
        <x:v>0.88</x:v>
      </x:c>
      <x:c r="H1447" s="604" t="n">
        <x:v>0.25</x:v>
      </x:c>
      <x:c r="I1447" s="604" t="n">
        <x:v>0.82</x:v>
      </x:c>
      <x:c r="J1447" s="604" t="inlineStr">
        <x:is>
          <x:t xml:space="preserve">0.88/0.25/0.82</x:t>
        </x:is>
      </x:c>
      <x:c r="K1447" s="604" t="inlineStr">
        <x:is>
          <x:t xml:space="preserve">V4-C</x:t>
        </x:is>
      </x:c>
      <x:c r="L1447" s="604" t="inlineStr">
        <x:is>
          <x:t xml:space="preserve"/>
        </x:is>
      </x:c>
      <x:c r="M1447" s="604" t="n">
        <x:v>0.4720269007271444</x:v>
      </x:c>
      <x:c r="N1447" s="604" t="inlineStr">
        <x:is>
          <x:t xml:space="preserve">V4 Shadow Only；real_money=false</x:t>
        </x:is>
      </x:c>
      <x:c r="O1447" s="604" t="inlineStr">
        <x:is>
          <x:t xml:space="preserve">0-0</x:t>
        </x:is>
      </x:c>
      <x:c r="P1447" s="604" t="inlineStr">
        <x:is>
          <x:t xml:space="preserve">EVALUATED</x:t>
        </x:is>
      </x:c>
      <x:c r="Q1447" s="630" t="inlineStr">
        <x:is>
          <x:t xml:space="preserve"/>
        </x:is>
      </x:c>
      <x:c r="R1447" s="604" t="n"/>
      <x:c r="S1447" s="604" t="n"/>
      <x:c r="T1447" s="604" t="inlineStr">
        <x:is>
          <x:t xml:space="preserve">D:\codex\v3_legacy\outputs\football_odds_trader\raw\titan007\20261009\20261009_085232_titan007_odds_snapshot.csv</x:t>
        </x:is>
      </x:c>
      <x:c r="U1447" s="628" t="inlineStr">
        <x:is>
          <x:t xml:space="preserve"/>
        </x:is>
      </x:c>
      <x:c r="V1447" s="604" t="inlineStr">
        <x:is>
          <x:t xml:space="preserve"/>
        </x:is>
      </x:c>
      <x:c r="W1447" s="604" t="inlineStr">
        <x:is>
          <x:t xml:space="preserve"/>
        </x:is>
      </x:c>
      <x:c r="X1447" s="604" t="inlineStr">
        <x:is>
          <x:t xml:space="preserve">3001217</x:t>
        </x:is>
      </x:c>
      <x:c r="Y1447" s="604" t="inlineStr">
        <x:is>
          <x:t xml:space="preserve">V4</x:t>
        </x:is>
      </x:c>
      <x:c r="Z1447" s="604" t="inlineStr">
        <x:is>
          <x:t xml:space="preserve">prior-2026-10-09-v1</x:t>
        </x:is>
      </x:c>
      <x:c r="AA1447" s="604" t="inlineStr">
        <x:is>
          <x:t xml:space="preserve">C</x:t>
        </x:is>
      </x:c>
      <x:c r="AB1447" s="604" t="n">
        <x:v>0.4720269007271444</x:v>
      </x:c>
      <x:c r="AC1447" s="604" t="n">
        <x:v>0.3997022781433837</x:v>
      </x:c>
      <x:c r="AD1447" s="604" t="n">
        <x:v>0.5</x:v>
      </x:c>
      <x:c r="AE1447" s="604" t="n"/>
      <x:c r="AF1447" s="604" t="n"/>
      <x:c r="AG1447" s="604" t="n">
        <x:v>0.01568139449650341</x:v>
      </x:c>
      <x:c r="AH1447" s="604" t="n"/>
      <x:c r="AI1447" s="604" t="n"/>
      <x:c r="AJ1447" s="604" t="n">
        <x:v>0.01568139449650341</x:v>
      </x:c>
      <x:c r="AK1447" s="604" t="n"/>
      <x:c r="AL1447" s="604" t="n"/>
      <x:c r="AM1447" s="604" t="n"/>
      <x:c r="AN1447" s="604" t="inlineStr">
        <x:is>
          <x:t xml:space="preserve">EVALUATED</x:t>
        </x:is>
      </x:c>
      <x:c r="AO1447" s="604" t="inlineStr">
        <x:is>
          <x:t xml:space="preserve">EDGE_BELOW_UNCERTAINTY_THRESHOLD;BUCKET_PRIOR_ONLY;INTENT_INTERPRETATION_ONLY;FFL_OPTIONAL;EXPERT_MARKET</x:t>
        </x:is>
      </x:c>
      <x:c r="AP1447" s="604" t="inlineStr">
        <x:is>
          <x:t xml:space="preserve">43706ac0fde838a0df43</x:t>
        </x:is>
      </x:c>
      <x:c r="AQ1447" s="604" t="n"/>
      <x:c r="AR1447" s="604" t="n"/>
      <x:c r="AS1447" s="604" t="n">
        <x:v>0.25</x:v>
      </x:c>
      <x:c r="AT1447" s="604" t="n">
        <x:v>-0.25</x:v>
      </x:c>
      <x:c r="AU1447" s="604" t="n">
        <x:v>0.88</x:v>
      </x:c>
      <x:c r="AV1447" s="604" t="n">
        <x:v>0.82</x:v>
      </x:c>
      <x:c r="AW1447" s="604" t="inlineStr">
        <x:is>
          <x:t xml:space="preserve">2026-10-09T09:01:21.127001+08:00</x:t>
        </x:is>
      </x:c>
      <x:c r="AX1447" s="604" t="inlineStr">
        <x:is>
          <x:t xml:space="preserve">Titan007/V4</x:t>
        </x:is>
      </x:c>
      <x:c r="AY1447" s="604" t="inlineStr">
        <x:is>
          <x:t xml:space="preserve">Daily append；市场输入缺失时不生成决策</x:t>
        </x:is>
      </x:c>
    </x:row>
    <x:row r="1448" ht="22" customHeight="1">
      <x:c r="A1448" s="604" t="inlineStr">
        <x:is>
          <x:t xml:space="preserve">2026-10-09</x:t>
        </x:is>
      </x:c>
      <x:c r="B1448" s="604" t="inlineStr">
        <x:is>
          <x:t xml:space="preserve">2026-10-09T17:30:00+08:00</x:t>
        </x:is>
      </x:c>
      <x:c r="C1448" s="604" t="str">
        <x:v>日韩系列</x:v>
      </x:c>
      <x:c r="D1448" s="604" t="inlineStr">
        <x:is>
          <x:t xml:space="preserve"/>
        </x:is>
      </x:c>
      <x:c r="E1448" s="604" t="inlineStr">
        <x:is>
          <x:t xml:space="preserve">日职丙</x:t>
        </x:is>
      </x:c>
      <x:c r="F1448" s="604" t="inlineStr">
        <x:is>
          <x:t xml:space="preserve">SC相模原 vs 赞岐</x:t>
        </x:is>
      </x:c>
      <x:c r="G1448" s="604" t="n">
        <x:v>0.85</x:v>
      </x:c>
      <x:c r="H1448" s="604" t="n">
        <x:v>0.75</x:v>
      </x:c>
      <x:c r="I1448" s="604" t="n">
        <x:v>0.85</x:v>
      </x:c>
      <x:c r="J1448" s="604" t="inlineStr">
        <x:is>
          <x:t xml:space="preserve">0.85/0.75/0.85</x:t>
        </x:is>
      </x:c>
      <x:c r="K1448" s="604" t="inlineStr">
        <x:is>
          <x:t xml:space="preserve">V4-B</x:t>
        </x:is>
      </x:c>
      <x:c r="L1448" s="604" t="inlineStr">
        <x:is>
          <x:t xml:space="preserve">SC相模原</x:t>
        </x:is>
      </x:c>
      <x:c r="M1448" s="604" t="n">
        <x:v>0.51143377936729</x:v>
      </x:c>
      <x:c r="N1448" s="604" t="inlineStr">
        <x:is>
          <x:t xml:space="preserve">V4 Shadow Only；real_money=false</x:t>
        </x:is>
      </x:c>
      <x:c r="O1448" s="604" t="inlineStr">
        <x:is>
          <x:t xml:space="preserve">0-0</x:t>
        </x:is>
      </x:c>
      <x:c r="P1448" s="604" t="inlineStr">
        <x:is>
          <x:t xml:space="preserve">EVALUATED</x:t>
        </x:is>
      </x:c>
      <x:c r="Q1448" s="630" t="inlineStr">
        <x:is>
          <x:t xml:space="preserve"/>
        </x:is>
      </x:c>
      <x:c r="R1448" s="604" t="n">
        <x:v>0.85</x:v>
      </x:c>
      <x:c r="S1448" s="604" t="n"/>
      <x:c r="T1448" s="604" t="inlineStr">
        <x:is>
          <x:t xml:space="preserve">D:\codex\v3_legacy\outputs\football_odds_trader\raw\titan007\20261009\20261009_085232_titan007_odds_snapshot.csv</x:t>
        </x:is>
      </x:c>
      <x:c r="U1448" s="628" t="inlineStr">
        <x:is>
          <x:t xml:space="preserve"/>
        </x:is>
      </x:c>
      <x:c r="V1448" s="604" t="inlineStr">
        <x:is>
          <x:t xml:space="preserve"/>
        </x:is>
      </x:c>
      <x:c r="W1448" s="604" t="inlineStr">
        <x:is>
          <x:t xml:space="preserve"/>
        </x:is>
      </x:c>
      <x:c r="X1448" s="604" t="inlineStr">
        <x:is>
          <x:t xml:space="preserve">3001218</x:t>
        </x:is>
      </x:c>
      <x:c r="Y1448" s="604" t="inlineStr">
        <x:is>
          <x:t xml:space="preserve">V4</x:t>
        </x:is>
      </x:c>
      <x:c r="Z1448" s="604" t="inlineStr">
        <x:is>
          <x:t xml:space="preserve">prior-2026-10-09-v1</x:t>
        </x:is>
      </x:c>
      <x:c r="AA1448" s="604" t="inlineStr">
        <x:is>
          <x:t xml:space="preserve">B</x:t>
        </x:is>
      </x:c>
      <x:c r="AB1448" s="604" t="n">
        <x:v>0.51143377936729</x:v>
      </x:c>
      <x:c r="AC1448" s="604" t="n">
        <x:v>0.3601274694948434</x:v>
      </x:c>
      <x:c r="AD1448" s="604" t="n">
        <x:v>1</x:v>
      </x:c>
      <x:c r="AE1448" s="604" t="n"/>
      <x:c r="AF1448" s="604" t="n"/>
      <x:c r="AG1448" s="604" t="n">
        <x:v>0.07459124296735303</x:v>
      </x:c>
      <x:c r="AH1448" s="604" t="n"/>
      <x:c r="AI1448" s="604" t="n"/>
      <x:c r="AJ1448" s="604" t="n">
        <x:v>0.07459124296735303</x:v>
      </x:c>
      <x:c r="AK1448" s="604" t="n"/>
      <x:c r="AL1448" s="604" t="n"/>
      <x:c r="AM1448" s="604" t="n"/>
      <x:c r="AN1448" s="604" t="inlineStr">
        <x:is>
          <x:t xml:space="preserve">EVALUATED</x:t>
        </x:is>
      </x:c>
      <x:c r="AO1448" s="604" t="inlineStr">
        <x:is>
          <x:t xml:space="preserve">GIVING_VALIDATED_EDGE;BUCKET_PRIOR_ONLY;INTENT_INTERPRETATION_ONLY;FFL_OPTIONAL;EXPERT_MARKET</x:t>
        </x:is>
      </x:c>
      <x:c r="AP1448" s="604" t="inlineStr">
        <x:is>
          <x:t xml:space="preserve">7aa7232cab8c24d323cf</x:t>
        </x:is>
      </x:c>
      <x:c r="AQ1448" s="604" t="n">
        <x:v>-0.75</x:v>
      </x:c>
      <x:c r="AR1448" s="604" t="n">
        <x:v>0.85</x:v>
      </x:c>
      <x:c r="AS1448" s="604" t="n">
        <x:v>0.75</x:v>
      </x:c>
      <x:c r="AT1448" s="604" t="n">
        <x:v>-0.75</x:v>
      </x:c>
      <x:c r="AU1448" s="604" t="n">
        <x:v>0.85</x:v>
      </x:c>
      <x:c r="AV1448" s="604" t="n">
        <x:v>0.85</x:v>
      </x:c>
      <x:c r="AW1448" s="604" t="inlineStr">
        <x:is>
          <x:t xml:space="preserve">2026-10-09T09:01:21.127001+08:00</x:t>
        </x:is>
      </x:c>
      <x:c r="AX1448" s="604" t="inlineStr">
        <x:is>
          <x:t xml:space="preserve">Titan007/V4</x:t>
        </x:is>
      </x:c>
      <x:c r="AY1448" s="604" t="inlineStr">
        <x:is>
          <x:t xml:space="preserve">Daily append；市场输入缺失时不生成决策</x:t>
        </x:is>
      </x:c>
    </x:row>
    <x:row r="1449" ht="22" customHeight="1">
      <x:c r="A1449" s="604" t="inlineStr">
        <x:is>
          <x:t xml:space="preserve">2026-10-09</x:t>
        </x:is>
      </x:c>
      <x:c r="B1449" s="604" t="inlineStr">
        <x:is>
          <x:t xml:space="preserve">2026-10-09T21:00:00+08:00</x:t>
        </x:is>
      </x:c>
      <x:c r="C1449" s="604" t="str">
        <x:v>西亚/中亚系列</x:v>
      </x:c>
      <x:c r="D1449" s="604" t="inlineStr">
        <x:is>
          <x:t xml:space="preserve"/>
        </x:is>
      </x:c>
      <x:c r="E1449" s="604" t="inlineStr">
        <x:is>
          <x:t xml:space="preserve">以甲</x:t>
        </x:is>
      </x:c>
      <x:c r="F1449" s="604" t="inlineStr">
        <x:is>
          <x:t xml:space="preserve">阿卡夏普尔 vs 麦卡比</x:t>
        </x:is>
      </x:c>
      <x:c r="G1449" s="604" t="n">
        <x:v>0.8</x:v>
      </x:c>
      <x:c r="H1449" s="604" t="n">
        <x:v>-1.25</x:v>
      </x:c>
      <x:c r="I1449" s="604" t="n">
        <x:v>0.9</x:v>
      </x:c>
      <x:c r="J1449" s="604" t="inlineStr">
        <x:is>
          <x:t xml:space="preserve">0.8/-1.25/0.9</x:t>
        </x:is>
      </x:c>
      <x:c r="K1449" s="604" t="inlineStr">
        <x:is>
          <x:t xml:space="preserve">V4-N</x:t>
        </x:is>
      </x:c>
      <x:c r="L1449" s="604" t="inlineStr">
        <x:is>
          <x:t xml:space="preserve"/>
        </x:is>
      </x:c>
      <x:c r="M1449" s="604" t="n">
        <x:v>0.009532168509338194</x:v>
      </x:c>
      <x:c r="N1449" s="604" t="inlineStr">
        <x:is>
          <x:t xml:space="preserve">V4 Shadow Only；real_money=false</x:t>
        </x:is>
      </x:c>
      <x:c r="O1449" s="604" t="inlineStr">
        <x:is>
          <x:t xml:space="preserve">0-0</x:t>
        </x:is>
      </x:c>
      <x:c r="P1449" s="604" t="inlineStr">
        <x:is>
          <x:t xml:space="preserve">EVALUATED</x:t>
        </x:is>
      </x:c>
      <x:c r="Q1449" s="630" t="inlineStr">
        <x:is>
          <x:t xml:space="preserve"/>
        </x:is>
      </x:c>
      <x:c r="R1449" s="604" t="n"/>
      <x:c r="S1449" s="604" t="n"/>
      <x:c r="T1449" s="604" t="inlineStr">
        <x:is>
          <x:t xml:space="preserve">D:\codex\v3_legacy\outputs\football_odds_trader\raw\titan007\20261009\20261009_085232_titan007_odds_snapshot.csv</x:t>
        </x:is>
      </x:c>
      <x:c r="U1449" s="628" t="inlineStr">
        <x:is>
          <x:t xml:space="preserve"/>
        </x:is>
      </x:c>
      <x:c r="V1449" s="604" t="inlineStr">
        <x:is>
          <x:t xml:space="preserve"/>
        </x:is>
      </x:c>
      <x:c r="W1449" s="604" t="inlineStr">
        <x:is>
          <x:t xml:space="preserve"/>
        </x:is>
      </x:c>
      <x:c r="X1449" s="604" t="inlineStr">
        <x:is>
          <x:t xml:space="preserve">3001851</x:t>
        </x:is>
      </x:c>
      <x:c r="Y1449" s="604" t="inlineStr">
        <x:is>
          <x:t xml:space="preserve">V4</x:t>
        </x:is>
      </x:c>
      <x:c r="Z1449" s="604" t="inlineStr">
        <x:is>
          <x:t xml:space="preserve">prior-2026-10-09-v1</x:t>
        </x:is>
      </x:c>
      <x:c r="AA1449" s="604" t="inlineStr">
        <x:is>
          <x:t xml:space="preserve">N</x:t>
        </x:is>
      </x:c>
      <x:c r="AB1449" s="604" t="n">
        <x:v>0.009532168509338194</x:v>
      </x:c>
      <x:c r="AC1449" s="604" t="n">
        <x:v>0.9677642869683927</x:v>
      </x:c>
      <x:c r="AD1449" s="604" t="n">
        <x:v>-1.75</x:v>
      </x:c>
      <x:c r="AE1449" s="604" t="n"/>
      <x:c r="AF1449" s="604" t="n"/>
      <x:c r="AG1449" s="604" t="n">
        <x:v>0.764679261065376</x:v>
      </x:c>
      <x:c r="AH1449" s="604" t="n"/>
      <x:c r="AI1449" s="604" t="n"/>
      <x:c r="AJ1449" s="604" t="n">
        <x:v>0.764679261065376</x:v>
      </x:c>
      <x:c r="AK1449" s="604" t="n"/>
      <x:c r="AL1449" s="604" t="n"/>
      <x:c r="AM1449" s="604" t="n"/>
      <x:c r="AN1449" s="604" t="inlineStr">
        <x:is>
          <x:t xml:space="preserve">EVALUATED</x:t>
        </x:is>
      </x:c>
      <x:c r="AO1449" s="604" t="inlineStr">
        <x:is>
          <x:t xml:space="preserve">LOW_QUALITY_GATE;BUCKET_PRIOR_ONLY;INTENT_INTERPRETATION_ONLY;FFL_OPTIONAL;EXPERT_MARKET</x:t>
        </x:is>
      </x:c>
      <x:c r="AP1449" s="604" t="inlineStr">
        <x:is>
          <x:t xml:space="preserve">ee6c352246e3c1845d5c</x:t>
        </x:is>
      </x:c>
      <x:c r="AQ1449" s="604" t="n"/>
      <x:c r="AR1449" s="604" t="n"/>
      <x:c r="AS1449" s="604" t="n">
        <x:v>-1.25</x:v>
      </x:c>
      <x:c r="AT1449" s="604" t="n">
        <x:v>1.25</x:v>
      </x:c>
      <x:c r="AU1449" s="604" t="n">
        <x:v>0.8</x:v>
      </x:c>
      <x:c r="AV1449" s="604" t="n">
        <x:v>0.9</x:v>
      </x:c>
      <x:c r="AW1449" s="604" t="inlineStr">
        <x:is>
          <x:t xml:space="preserve">2026-10-09T09:01:21.127001+08:00</x:t>
        </x:is>
      </x:c>
      <x:c r="AX1449" s="604" t="inlineStr">
        <x:is>
          <x:t xml:space="preserve">Titan007/V4</x:t>
        </x:is>
      </x:c>
      <x:c r="AY1449" s="604" t="inlineStr">
        <x:is>
          <x:t xml:space="preserve">Daily append；市场输入缺失时不生成决策</x:t>
        </x:is>
      </x:c>
    </x:row>
    <x:row r="1450" ht="22" customHeight="1">
      <x:c r="A1450" s="604" t="inlineStr">
        <x:is>
          <x:t xml:space="preserve">2026-10-09</x:t>
        </x:is>
      </x:c>
      <x:c r="B1450" s="604" t="inlineStr">
        <x:is>
          <x:t xml:space="preserve">2026-10-09T21:00:00+08:00</x:t>
        </x:is>
      </x:c>
      <x:c r="C1450" s="604" t="str">
        <x:v>西亚/中亚系列</x:v>
      </x:c>
      <x:c r="D1450" s="604" t="inlineStr">
        <x:is>
          <x:t xml:space="preserve"/>
        </x:is>
      </x:c>
      <x:c r="E1450" s="604" t="inlineStr">
        <x:is>
          <x:t xml:space="preserve">以甲</x:t>
        </x:is>
      </x:c>
      <x:c r="F1450" s="604" t="inlineStr">
        <x:is>
          <x:t xml:space="preserve">法萨巴夏普尔 vs 阿舒多</x:t>
        </x:is>
      </x:c>
      <x:c r="G1450" s="604" t="n">
        <x:v>0.85</x:v>
      </x:c>
      <x:c r="H1450" s="604" t="n">
        <x:v>-1.25</x:v>
      </x:c>
      <x:c r="I1450" s="604" t="n">
        <x:v>0.95</x:v>
      </x:c>
      <x:c r="J1450" s="604" t="inlineStr">
        <x:is>
          <x:t xml:space="preserve">0.85/-1.25/0.95</x:t>
        </x:is>
      </x:c>
      <x:c r="K1450" s="604" t="inlineStr">
        <x:is>
          <x:t xml:space="preserve">V4-N</x:t>
        </x:is>
      </x:c>
      <x:c r="L1450" s="604" t="inlineStr">
        <x:is>
          <x:t xml:space="preserve"/>
        </x:is>
      </x:c>
      <x:c r="M1450" s="604" t="n">
        <x:v>0.01611518619563064</x:v>
      </x:c>
      <x:c r="N1450" s="604" t="inlineStr">
        <x:is>
          <x:t xml:space="preserve">V4 Shadow Only；real_money=false</x:t>
        </x:is>
      </x:c>
      <x:c r="O1450" s="604" t="inlineStr">
        <x:is>
          <x:t xml:space="preserve">0-0</x:t>
        </x:is>
      </x:c>
      <x:c r="P1450" s="604" t="inlineStr">
        <x:is>
          <x:t xml:space="preserve">EVALUATED</x:t>
        </x:is>
      </x:c>
      <x:c r="Q1450" s="630" t="inlineStr">
        <x:is>
          <x:t xml:space="preserve"/>
        </x:is>
      </x:c>
      <x:c r="R1450" s="604" t="n"/>
      <x:c r="S1450" s="604" t="n"/>
      <x:c r="T1450" s="604" t="inlineStr">
        <x:is>
          <x:t xml:space="preserve">D:\codex\v3_legacy\outputs\football_odds_trader\raw\titan007\20261009\20261009_085232_titan007_odds_snapshot.csv</x:t>
        </x:is>
      </x:c>
      <x:c r="U1450" s="628" t="inlineStr">
        <x:is>
          <x:t xml:space="preserve"/>
        </x:is>
      </x:c>
      <x:c r="V1450" s="604" t="inlineStr">
        <x:is>
          <x:t xml:space="preserve"/>
        </x:is>
      </x:c>
      <x:c r="W1450" s="604" t="inlineStr">
        <x:is>
          <x:t xml:space="preserve"/>
        </x:is>
      </x:c>
      <x:c r="X1450" s="604" t="inlineStr">
        <x:is>
          <x:t xml:space="preserve">3001852</x:t>
        </x:is>
      </x:c>
      <x:c r="Y1450" s="604" t="inlineStr">
        <x:is>
          <x:t xml:space="preserve">V4</x:t>
        </x:is>
      </x:c>
      <x:c r="Z1450" s="604" t="inlineStr">
        <x:is>
          <x:t xml:space="preserve">prior-2026-10-09-v1</x:t>
        </x:is>
      </x:c>
      <x:c r="AA1450" s="604" t="inlineStr">
        <x:is>
          <x:t xml:space="preserve">N</x:t>
        </x:is>
      </x:c>
      <x:c r="AB1450" s="604" t="n">
        <x:v>0.01611518619563064</x:v>
      </x:c>
      <x:c r="AC1450" s="604" t="n">
        <x:v>0.9533151321881557</x:v>
      </x:c>
      <x:c r="AD1450" s="604" t="n">
        <x:v>-1.5</x:v>
      </x:c>
      <x:c r="AE1450" s="604" t="n"/>
      <x:c r="AF1450" s="604" t="n"/>
      <x:c r="AG1450" s="604" t="n">
        <x:v>0.7942026761643016</x:v>
      </x:c>
      <x:c r="AH1450" s="604" t="n"/>
      <x:c r="AI1450" s="604" t="n"/>
      <x:c r="AJ1450" s="604" t="n">
        <x:v>0.7942026761643016</x:v>
      </x:c>
      <x:c r="AK1450" s="604" t="n"/>
      <x:c r="AL1450" s="604" t="n"/>
      <x:c r="AM1450" s="604" t="n"/>
      <x:c r="AN1450" s="604" t="inlineStr">
        <x:is>
          <x:t xml:space="preserve">EVALUATED</x:t>
        </x:is>
      </x:c>
      <x:c r="AO1450" s="604" t="inlineStr">
        <x:is>
          <x:t xml:space="preserve">LOW_QUALITY_GATE;BUCKET_PRIOR_ONLY;INTENT_INTERPRETATION_ONLY;FFL_OPTIONAL;EXPERT_MARKET</x:t>
        </x:is>
      </x:c>
      <x:c r="AP1450" s="604" t="inlineStr">
        <x:is>
          <x:t xml:space="preserve">ac6e91e1fc6f6e546af7</x:t>
        </x:is>
      </x:c>
      <x:c r="AQ1450" s="604" t="n"/>
      <x:c r="AR1450" s="604" t="n"/>
      <x:c r="AS1450" s="604" t="n">
        <x:v>-1.25</x:v>
      </x:c>
      <x:c r="AT1450" s="604" t="n">
        <x:v>1.25</x:v>
      </x:c>
      <x:c r="AU1450" s="604" t="n">
        <x:v>0.85</x:v>
      </x:c>
      <x:c r="AV1450" s="604" t="n">
        <x:v>0.95</x:v>
      </x:c>
      <x:c r="AW1450" s="604" t="inlineStr">
        <x:is>
          <x:t xml:space="preserve">2026-10-09T09:01:21.127001+08:00</x:t>
        </x:is>
      </x:c>
      <x:c r="AX1450" s="604" t="inlineStr">
        <x:is>
          <x:t xml:space="preserve">Titan007/V4</x:t>
        </x:is>
      </x:c>
      <x:c r="AY1450" s="604" t="inlineStr">
        <x:is>
          <x:t xml:space="preserve">Daily append；市场输入缺失时不生成决策</x:t>
        </x:is>
      </x:c>
    </x:row>
    <x:row r="1451" ht="22" customHeight="1">
      <x:c r="A1451" s="604" t="inlineStr">
        <x:is>
          <x:t xml:space="preserve">2026-10-09</x:t>
        </x:is>
      </x:c>
      <x:c r="B1451" s="604" t="inlineStr">
        <x:is>
          <x:t xml:space="preserve">2026-10-09T21:00:00+08:00</x:t>
        </x:is>
      </x:c>
      <x:c r="C1451" s="604" t="str">
        <x:v>西亚/中亚系列</x:v>
      </x:c>
      <x:c r="D1451" s="604" t="inlineStr">
        <x:is>
          <x:t xml:space="preserve"/>
        </x:is>
      </x:c>
      <x:c r="E1451" s="604" t="inlineStr">
        <x:is>
          <x:t xml:space="preserve">以甲</x:t>
        </x:is>
      </x:c>
      <x:c r="F1451" s="604" t="inlineStr">
        <x:is>
          <x:t xml:space="preserve">里雄莱锡安夏普尔 vs 卡比利奥马卡比</x:t>
        </x:is>
      </x:c>
      <x:c r="G1451" s="604" t="n">
        <x:v>0.95</x:v>
      </x:c>
      <x:c r="H1451" s="604" t="n">
        <x:v>1</x:v>
      </x:c>
      <x:c r="I1451" s="604" t="n">
        <x:v>0.85</x:v>
      </x:c>
      <x:c r="J1451" s="604" t="inlineStr">
        <x:is>
          <x:t xml:space="preserve">0.95/1.0/0.85</x:t>
        </x:is>
      </x:c>
      <x:c r="K1451" s="604" t="inlineStr">
        <x:is>
          <x:t xml:space="preserve">V4-N</x:t>
        </x:is>
      </x:c>
      <x:c r="L1451" s="604" t="inlineStr">
        <x:is>
          <x:t xml:space="preserve"/>
        </x:is>
      </x:c>
      <x:c r="M1451" s="604" t="n">
        <x:v>0.4058499877187745</x:v>
      </x:c>
      <x:c r="N1451" s="604" t="inlineStr">
        <x:is>
          <x:t xml:space="preserve">V4 Shadow Only；real_money=false</x:t>
        </x:is>
      </x:c>
      <x:c r="O1451" s="604" t="inlineStr">
        <x:is>
          <x:t xml:space="preserve">0-0</x:t>
        </x:is>
      </x:c>
      <x:c r="P1451" s="604" t="inlineStr">
        <x:is>
          <x:t xml:space="preserve">EVALUATED</x:t>
        </x:is>
      </x:c>
      <x:c r="Q1451" s="630" t="inlineStr">
        <x:is>
          <x:t xml:space="preserve"/>
        </x:is>
      </x:c>
      <x:c r="R1451" s="604" t="n"/>
      <x:c r="S1451" s="604" t="n"/>
      <x:c r="T1451" s="604" t="inlineStr">
        <x:is>
          <x:t xml:space="preserve">D:\codex\v3_legacy\outputs\football_odds_trader\raw\titan007\20261009\20261009_085232_titan007_odds_snapshot.csv</x:t>
        </x:is>
      </x:c>
      <x:c r="U1451" s="628" t="inlineStr">
        <x:is>
          <x:t xml:space="preserve"/>
        </x:is>
      </x:c>
      <x:c r="V1451" s="604" t="inlineStr">
        <x:is>
          <x:t xml:space="preserve"/>
        </x:is>
      </x:c>
      <x:c r="W1451" s="604" t="inlineStr">
        <x:is>
          <x:t xml:space="preserve"/>
        </x:is>
      </x:c>
      <x:c r="X1451" s="604" t="inlineStr">
        <x:is>
          <x:t xml:space="preserve">3001854</x:t>
        </x:is>
      </x:c>
      <x:c r="Y1451" s="604" t="inlineStr">
        <x:is>
          <x:t xml:space="preserve">V4</x:t>
        </x:is>
      </x:c>
      <x:c r="Z1451" s="604" t="inlineStr">
        <x:is>
          <x:t xml:space="preserve">prior-2026-10-09-v1</x:t>
        </x:is>
      </x:c>
      <x:c r="AA1451" s="604" t="inlineStr">
        <x:is>
          <x:t xml:space="preserve">N</x:t>
        </x:is>
      </x:c>
      <x:c r="AB1451" s="604" t="n">
        <x:v>0.4058499877187745</x:v>
      </x:c>
      <x:c r="AC1451" s="604" t="n">
        <x:v>0.3373323343090196</x:v>
      </x:c>
      <x:c r="AD1451" s="604" t="n">
        <x:v>1.25</x:v>
      </x:c>
      <x:c r="AE1451" s="604" t="n"/>
      <x:c r="AF1451" s="604" t="n"/>
      <x:c r="AG1451" s="604" t="n">
        <x:v>0.04822515402381616</x:v>
      </x:c>
      <x:c r="AH1451" s="604" t="n"/>
      <x:c r="AI1451" s="604" t="n"/>
      <x:c r="AJ1451" s="604" t="n">
        <x:v>0.04822515402381616</x:v>
      </x:c>
      <x:c r="AK1451" s="604" t="n"/>
      <x:c r="AL1451" s="604" t="n"/>
      <x:c r="AM1451" s="604" t="n"/>
      <x:c r="AN1451" s="604" t="inlineStr">
        <x:is>
          <x:t xml:space="preserve">EVALUATED</x:t>
        </x:is>
      </x:c>
      <x:c r="AO1451" s="604" t="inlineStr">
        <x:is>
          <x:t xml:space="preserve">EDGE_BELOW_UNCERTAINTY_THRESHOLD;BUCKET_PRIOR_ONLY;INTENT_INTERPRETATION_ONLY;FFL_OPTIONAL;EXPERT_MARKET</x:t>
        </x:is>
      </x:c>
      <x:c r="AP1451" s="604" t="inlineStr">
        <x:is>
          <x:t xml:space="preserve">baf352bb67dfa4be0e6c</x:t>
        </x:is>
      </x:c>
      <x:c r="AQ1451" s="604" t="n"/>
      <x:c r="AR1451" s="604" t="n"/>
      <x:c r="AS1451" s="604" t="n">
        <x:v>1</x:v>
      </x:c>
      <x:c r="AT1451" s="604" t="n">
        <x:v>-1</x:v>
      </x:c>
      <x:c r="AU1451" s="604" t="n">
        <x:v>0.95</x:v>
      </x:c>
      <x:c r="AV1451" s="604" t="n">
        <x:v>0.85</x:v>
      </x:c>
      <x:c r="AW1451" s="604" t="inlineStr">
        <x:is>
          <x:t xml:space="preserve">2026-10-09T09:01:21.127001+08:00</x:t>
        </x:is>
      </x:c>
      <x:c r="AX1451" s="604" t="inlineStr">
        <x:is>
          <x:t xml:space="preserve">Titan007/V4</x:t>
        </x:is>
      </x:c>
      <x:c r="AY1451" s="604" t="inlineStr">
        <x:is>
          <x:t xml:space="preserve">Daily append；市场输入缺失时不生成决策</x:t>
        </x:is>
      </x:c>
    </x:row>
    <x:row r="1452" ht="22" customHeight="1">
      <x:c r="A1452" s="604" t="inlineStr">
        <x:is>
          <x:t xml:space="preserve">2026-10-09</x:t>
        </x:is>
      </x:c>
      <x:c r="B1452" s="604" t="inlineStr">
        <x:is>
          <x:t xml:space="preserve">2026-10-09T21:00:00+08:00</x:t>
        </x:is>
      </x:c>
      <x:c r="C1452" s="604" t="str">
        <x:v>西亚/中亚系列</x:v>
      </x:c>
      <x:c r="D1452" s="604" t="inlineStr">
        <x:is>
          <x:t xml:space="preserve"/>
        </x:is>
      </x:c>
      <x:c r="E1452" s="604" t="inlineStr">
        <x:is>
          <x:t xml:space="preserve">以甲</x:t>
        </x:is>
      </x:c>
      <x:c r="F1452" s="604" t="inlineStr">
        <x:is>
          <x:t xml:space="preserve">莫迪恩 vs 阿富拉夏普尔</x:t>
        </x:is>
      </x:c>
      <x:c r="G1452" s="604" t="n">
        <x:v>0.73</x:v>
      </x:c>
      <x:c r="H1452" s="604" t="n">
        <x:v>-0.25</x:v>
      </x:c>
      <x:c r="I1452" s="604" t="n">
        <x:v>0.97</x:v>
      </x:c>
      <x:c r="J1452" s="604" t="inlineStr">
        <x:is>
          <x:t xml:space="preserve">0.73/-0.25/0.97</x:t>
        </x:is>
      </x:c>
      <x:c r="K1452" s="604" t="inlineStr">
        <x:is>
          <x:t xml:space="preserve">V4-N</x:t>
        </x:is>
      </x:c>
      <x:c r="L1452" s="604" t="inlineStr">
        <x:is>
          <x:t xml:space="preserve"/>
        </x:is>
      </x:c>
      <x:c r="M1452" s="604" t="n">
        <x:v>0.3121787882335771</x:v>
      </x:c>
      <x:c r="N1452" s="604" t="inlineStr">
        <x:is>
          <x:t xml:space="preserve">V4 Shadow Only；real_money=false</x:t>
        </x:is>
      </x:c>
      <x:c r="O1452" s="604" t="inlineStr">
        <x:is>
          <x:t xml:space="preserve">0-0</x:t>
        </x:is>
      </x:c>
      <x:c r="P1452" s="604" t="inlineStr">
        <x:is>
          <x:t xml:space="preserve">EVALUATED</x:t>
        </x:is>
      </x:c>
      <x:c r="Q1452" s="630" t="inlineStr">
        <x:is>
          <x:t xml:space="preserve"/>
        </x:is>
      </x:c>
      <x:c r="R1452" s="604" t="n"/>
      <x:c r="S1452" s="604" t="n"/>
      <x:c r="T1452" s="604" t="inlineStr">
        <x:is>
          <x:t xml:space="preserve">D:\codex\v3_legacy\outputs\football_odds_trader\raw\titan007\20261009\20261009_085232_titan007_odds_snapshot.csv</x:t>
        </x:is>
      </x:c>
      <x:c r="U1452" s="628" t="inlineStr">
        <x:is>
          <x:t xml:space="preserve"/>
        </x:is>
      </x:c>
      <x:c r="V1452" s="604" t="inlineStr">
        <x:is>
          <x:t xml:space="preserve"/>
        </x:is>
      </x:c>
      <x:c r="W1452" s="604" t="inlineStr">
        <x:is>
          <x:t xml:space="preserve"/>
        </x:is>
      </x:c>
      <x:c r="X1452" s="604" t="inlineStr">
        <x:is>
          <x:t xml:space="preserve">3001855</x:t>
        </x:is>
      </x:c>
      <x:c r="Y1452" s="604" t="inlineStr">
        <x:is>
          <x:t xml:space="preserve">V4</x:t>
        </x:is>
      </x:c>
      <x:c r="Z1452" s="604" t="inlineStr">
        <x:is>
          <x:t xml:space="preserve">prior-2026-10-09-v1</x:t>
        </x:is>
      </x:c>
      <x:c r="AA1452" s="604" t="inlineStr">
        <x:is>
          <x:t xml:space="preserve">N</x:t>
        </x:is>
      </x:c>
      <x:c r="AB1452" s="604" t="n">
        <x:v>0.3121787882335771</x:v>
      </x:c>
      <x:c r="AC1452" s="604" t="n">
        <x:v>0.5566917924678861</x:v>
      </x:c>
      <x:c r="AD1452" s="604" t="n">
        <x:v>-0.25</x:v>
      </x:c>
      <x:c r="AE1452" s="604" t="n"/>
      <x:c r="AF1452" s="604" t="n"/>
      <x:c r="AG1452" s="604" t="n">
        <x:v>0.09420622026797976</x:v>
      </x:c>
      <x:c r="AH1452" s="604" t="n"/>
      <x:c r="AI1452" s="604" t="n"/>
      <x:c r="AJ1452" s="604" t="n">
        <x:v>0.09420622026797976</x:v>
      </x:c>
      <x:c r="AK1452" s="604" t="n"/>
      <x:c r="AL1452" s="604" t="n"/>
      <x:c r="AM1452" s="604" t="n"/>
      <x:c r="AN1452" s="604" t="inlineStr">
        <x:is>
          <x:t xml:space="preserve">EVALUATED</x:t>
        </x:is>
      </x:c>
      <x:c r="AO1452" s="604" t="inlineStr">
        <x:is>
          <x:t xml:space="preserve">LOW_QUALITY_GATE;BUCKET_PRIOR_ONLY;INTENT_INTERPRETATION_ONLY;FFL_OPTIONAL;EXPERT_MARKET</x:t>
        </x:is>
      </x:c>
      <x:c r="AP1452" s="604" t="inlineStr">
        <x:is>
          <x:t xml:space="preserve">b4fadcfa08fd3c9ac2a8</x:t>
        </x:is>
      </x:c>
      <x:c r="AQ1452" s="604" t="n"/>
      <x:c r="AR1452" s="604" t="n"/>
      <x:c r="AS1452" s="604" t="n">
        <x:v>-0.25</x:v>
      </x:c>
      <x:c r="AT1452" s="604" t="n">
        <x:v>0.25</x:v>
      </x:c>
      <x:c r="AU1452" s="604" t="n">
        <x:v>0.73</x:v>
      </x:c>
      <x:c r="AV1452" s="604" t="n">
        <x:v>0.97</x:v>
      </x:c>
      <x:c r="AW1452" s="604" t="inlineStr">
        <x:is>
          <x:t xml:space="preserve">2026-10-09T09:01:21.127001+08:00</x:t>
        </x:is>
      </x:c>
      <x:c r="AX1452" s="604" t="inlineStr">
        <x:is>
          <x:t xml:space="preserve">Titan007/V4</x:t>
        </x:is>
      </x:c>
      <x:c r="AY1452" s="604" t="inlineStr">
        <x:is>
          <x:t xml:space="preserve">Daily append；市场输入缺失时不生成决策</x:t>
        </x:is>
      </x:c>
    </x:row>
    <x:row r="1453" ht="22" customHeight="1">
      <x:c r="A1453" s="604" t="inlineStr">
        <x:is>
          <x:t xml:space="preserve">2026-10-09</x:t>
        </x:is>
      </x:c>
      <x:c r="B1453" s="604" t="inlineStr">
        <x:is>
          <x:t xml:space="preserve">2026-10-09T21:00:00+08:00</x:t>
        </x:is>
      </x:c>
      <x:c r="C1453" s="604" t="str">
        <x:v>西亚/中亚系列</x:v>
      </x:c>
      <x:c r="D1453" s="604" t="inlineStr">
        <x:is>
          <x:t xml:space="preserve"/>
        </x:is>
      </x:c>
      <x:c r="E1453" s="604" t="inlineStr">
        <x:is>
          <x:t xml:space="preserve">以甲</x:t>
        </x:is>
      </x:c>
      <x:c r="F1453" s="604" t="inlineStr">
        <x:is>
          <x:t xml:space="preserve">凯尔耶特 vs 奇亚亚蒙SC</x:t>
        </x:is>
      </x:c>
      <x:c r="G1453" s="604" t="n">
        <x:v>0.92</x:v>
      </x:c>
      <x:c r="H1453" s="604" t="n">
        <x:v>-0.5</x:v>
      </x:c>
      <x:c r="I1453" s="604" t="n">
        <x:v>0.78</x:v>
      </x:c>
      <x:c r="J1453" s="604" t="inlineStr">
        <x:is>
          <x:t xml:space="preserve">0.92/-0.5/0.78</x:t>
        </x:is>
      </x:c>
      <x:c r="K1453" s="604" t="inlineStr">
        <x:is>
          <x:t xml:space="preserve">V4-N</x:t>
        </x:is>
      </x:c>
      <x:c r="L1453" s="604" t="inlineStr">
        <x:is>
          <x:t xml:space="preserve"/>
        </x:is>
      </x:c>
      <x:c r="M1453" s="604" t="n">
        <x:v>0.1876678964124472</x:v>
      </x:c>
      <x:c r="N1453" s="604" t="inlineStr">
        <x:is>
          <x:t xml:space="preserve">V4 Shadow Only；real_money=false</x:t>
        </x:is>
      </x:c>
      <x:c r="O1453" s="604" t="inlineStr">
        <x:is>
          <x:t xml:space="preserve">0-0</x:t>
        </x:is>
      </x:c>
      <x:c r="P1453" s="604" t="inlineStr">
        <x:is>
          <x:t xml:space="preserve">EVALUATED</x:t>
        </x:is>
      </x:c>
      <x:c r="Q1453" s="630" t="inlineStr">
        <x:is>
          <x:t xml:space="preserve"/>
        </x:is>
      </x:c>
      <x:c r="R1453" s="604" t="n"/>
      <x:c r="S1453" s="604" t="n"/>
      <x:c r="T1453" s="604" t="inlineStr">
        <x:is>
          <x:t xml:space="preserve">D:\codex\v3_legacy\outputs\football_odds_trader\raw\titan007\20261009\20261009_085232_titan007_odds_snapshot.csv</x:t>
        </x:is>
      </x:c>
      <x:c r="U1453" s="628" t="inlineStr">
        <x:is>
          <x:t xml:space="preserve"/>
        </x:is>
      </x:c>
      <x:c r="V1453" s="604" t="inlineStr">
        <x:is>
          <x:t xml:space="preserve"/>
        </x:is>
      </x:c>
      <x:c r="W1453" s="604" t="inlineStr">
        <x:is>
          <x:t xml:space="preserve"/>
        </x:is>
      </x:c>
      <x:c r="X1453" s="604" t="inlineStr">
        <x:is>
          <x:t xml:space="preserve">3001856</x:t>
        </x:is>
      </x:c>
      <x:c r="Y1453" s="604" t="inlineStr">
        <x:is>
          <x:t xml:space="preserve">V4</x:t>
        </x:is>
      </x:c>
      <x:c r="Z1453" s="604" t="inlineStr">
        <x:is>
          <x:t xml:space="preserve">prior-2026-10-09-v1</x:t>
        </x:is>
      </x:c>
      <x:c r="AA1453" s="604" t="inlineStr">
        <x:is>
          <x:t xml:space="preserve">N</x:t>
        </x:is>
      </x:c>
      <x:c r="AB1453" s="604" t="n">
        <x:v>0.1876678964124472</x:v>
      </x:c>
      <x:c r="AC1453" s="604" t="n">
        <x:v>0.8123321035875528</x:v>
      </x:c>
      <x:c r="AD1453" s="604" t="n">
        <x:v>-0.75</x:v>
      </x:c>
      <x:c r="AE1453" s="604" t="n"/>
      <x:c r="AF1453" s="604" t="n"/>
      <x:c r="AG1453" s="604" t="n">
        <x:v>0.5596776388881014</x:v>
      </x:c>
      <x:c r="AH1453" s="604" t="n"/>
      <x:c r="AI1453" s="604" t="n"/>
      <x:c r="AJ1453" s="604" t="n">
        <x:v>0.5596776388881014</x:v>
      </x:c>
      <x:c r="AK1453" s="604" t="n"/>
      <x:c r="AL1453" s="604" t="n"/>
      <x:c r="AM1453" s="604" t="n"/>
      <x:c r="AN1453" s="604" t="inlineStr">
        <x:is>
          <x:t xml:space="preserve">EVALUATED</x:t>
        </x:is>
      </x:c>
      <x:c r="AO1453" s="604" t="inlineStr">
        <x:is>
          <x:t xml:space="preserve">LOW_QUALITY_GATE;BUCKET_PRIOR_ONLY;INTENT_INTERPRETATION_ONLY;FFL_OPTIONAL;EXPERT_MARKET</x:t>
        </x:is>
      </x:c>
      <x:c r="AP1453" s="604" t="inlineStr">
        <x:is>
          <x:t xml:space="preserve">4c0115f8180bd906680f</x:t>
        </x:is>
      </x:c>
      <x:c r="AQ1453" s="604" t="n"/>
      <x:c r="AR1453" s="604" t="n"/>
      <x:c r="AS1453" s="604" t="n">
        <x:v>-0.5</x:v>
      </x:c>
      <x:c r="AT1453" s="604" t="n">
        <x:v>0.5</x:v>
      </x:c>
      <x:c r="AU1453" s="604" t="n">
        <x:v>0.92</x:v>
      </x:c>
      <x:c r="AV1453" s="604" t="n">
        <x:v>0.78</x:v>
      </x:c>
      <x:c r="AW1453" s="604" t="inlineStr">
        <x:is>
          <x:t xml:space="preserve">2026-10-09T09:01:21.127001+08:00</x:t>
        </x:is>
      </x:c>
      <x:c r="AX1453" s="604" t="inlineStr">
        <x:is>
          <x:t xml:space="preserve">Titan007/V4</x:t>
        </x:is>
      </x:c>
      <x:c r="AY1453" s="604" t="inlineStr">
        <x:is>
          <x:t xml:space="preserve">Daily append；市场输入缺失时不生成决策</x:t>
        </x:is>
      </x:c>
    </x:row>
    <x:row r="1454" ht="22" customHeight="1">
      <x:c r="A1454" s="604" t="inlineStr">
        <x:is>
          <x:t xml:space="preserve">2026-10-09</x:t>
        </x:is>
      </x:c>
      <x:c r="B1454" s="604" t="inlineStr">
        <x:is>
          <x:t xml:space="preserve">2026-10-09T21:00:00+08:00</x:t>
        </x:is>
      </x:c>
      <x:c r="C1454" s="604" t="str">
        <x:v>西亚/中亚系列</x:v>
      </x:c>
      <x:c r="D1454" s="604" t="inlineStr">
        <x:is>
          <x:t xml:space="preserve"/>
        </x:is>
      </x:c>
      <x:c r="E1454" s="604" t="inlineStr">
        <x:is>
          <x:t xml:space="preserve">以甲</x:t>
        </x:is>
      </x:c>
      <x:c r="F1454" s="604" t="inlineStr">
        <x:is>
          <x:t xml:space="preserve">赫兹立亚马卡比 vs 阿基纳扎力</x:t>
        </x:is>
      </x:c>
      <x:c r="G1454" s="604" t="n">
        <x:v>0.8</x:v>
      </x:c>
      <x:c r="H1454" s="604" t="n">
        <x:v>0.5</x:v>
      </x:c>
      <x:c r="I1454" s="604" t="n">
        <x:v>0.9</x:v>
      </x:c>
      <x:c r="J1454" s="604" t="inlineStr">
        <x:is>
          <x:t xml:space="preserve">0.8/0.5/0.9</x:t>
        </x:is>
      </x:c>
      <x:c r="K1454" s="604" t="inlineStr">
        <x:is>
          <x:t xml:space="preserve">V4-N</x:t>
        </x:is>
      </x:c>
      <x:c r="L1454" s="604" t="inlineStr">
        <x:is>
          <x:t xml:space="preserve"/>
        </x:is>
      </x:c>
      <x:c r="M1454" s="604" t="n">
        <x:v>0.5837535174429156</x:v>
      </x:c>
      <x:c r="N1454" s="604" t="inlineStr">
        <x:is>
          <x:t xml:space="preserve">V4 Shadow Only；real_money=false</x:t>
        </x:is>
      </x:c>
      <x:c r="O1454" s="604" t="inlineStr">
        <x:is>
          <x:t xml:space="preserve">0-0</x:t>
        </x:is>
      </x:c>
      <x:c r="P1454" s="604" t="inlineStr">
        <x:is>
          <x:t xml:space="preserve">EVALUATED</x:t>
        </x:is>
      </x:c>
      <x:c r="Q1454" s="630" t="inlineStr">
        <x:is>
          <x:t xml:space="preserve"/>
        </x:is>
      </x:c>
      <x:c r="R1454" s="604" t="n"/>
      <x:c r="S1454" s="604" t="n"/>
      <x:c r="T1454" s="604" t="inlineStr">
        <x:is>
          <x:t xml:space="preserve">D:\codex\v3_legacy\outputs\football_odds_trader\raw\titan007\20261009\20261009_085232_titan007_odds_snapshot.csv</x:t>
        </x:is>
      </x:c>
      <x:c r="U1454" s="628" t="inlineStr">
        <x:is>
          <x:t xml:space="preserve"/>
        </x:is>
      </x:c>
      <x:c r="V1454" s="604" t="inlineStr">
        <x:is>
          <x:t xml:space="preserve"/>
        </x:is>
      </x:c>
      <x:c r="W1454" s="604" t="inlineStr">
        <x:is>
          <x:t xml:space="preserve"/>
        </x:is>
      </x:c>
      <x:c r="X1454" s="604" t="inlineStr">
        <x:is>
          <x:t xml:space="preserve">3001857</x:t>
        </x:is>
      </x:c>
      <x:c r="Y1454" s="604" t="inlineStr">
        <x:is>
          <x:t xml:space="preserve">V4</x:t>
        </x:is>
      </x:c>
      <x:c r="Z1454" s="604" t="inlineStr">
        <x:is>
          <x:t xml:space="preserve">prior-2026-10-09-v1</x:t>
        </x:is>
      </x:c>
      <x:c r="AA1454" s="604" t="inlineStr">
        <x:is>
          <x:t xml:space="preserve">N</x:t>
        </x:is>
      </x:c>
      <x:c r="AB1454" s="604" t="n">
        <x:v>0.5837535174429156</x:v>
      </x:c>
      <x:c r="AC1454" s="604" t="n">
        <x:v>0.4162464825570845</x:v>
      </x:c>
      <x:c r="AD1454" s="604" t="n">
        <x:v>1</x:v>
      </x:c>
      <x:c r="AE1454" s="604" t="n"/>
      <x:c r="AF1454" s="604" t="n"/>
      <x:c r="AG1454" s="604" t="n">
        <x:v>0.050756331397248</x:v>
      </x:c>
      <x:c r="AH1454" s="604" t="n"/>
      <x:c r="AI1454" s="604" t="n"/>
      <x:c r="AJ1454" s="604" t="n">
        <x:v>0.050756331397248</x:v>
      </x:c>
      <x:c r="AK1454" s="604" t="n"/>
      <x:c r="AL1454" s="604" t="n"/>
      <x:c r="AM1454" s="604" t="n"/>
      <x:c r="AN1454" s="604" t="inlineStr">
        <x:is>
          <x:t xml:space="preserve">EVALUATED</x:t>
        </x:is>
      </x:c>
      <x:c r="AO1454" s="604" t="inlineStr">
        <x:is>
          <x:t xml:space="preserve">EDGE_BELOW_UNCERTAINTY_THRESHOLD;BUCKET_PRIOR_ONLY;INTENT_INTERPRETATION_ONLY;FFL_OPTIONAL;EXPERT_MARKET</x:t>
        </x:is>
      </x:c>
      <x:c r="AP1454" s="604" t="inlineStr">
        <x:is>
          <x:t xml:space="preserve">e77b35415febb36e83ea</x:t>
        </x:is>
      </x:c>
      <x:c r="AQ1454" s="604" t="n"/>
      <x:c r="AR1454" s="604" t="n"/>
      <x:c r="AS1454" s="604" t="n">
        <x:v>0.5</x:v>
      </x:c>
      <x:c r="AT1454" s="604" t="n">
        <x:v>-0.5</x:v>
      </x:c>
      <x:c r="AU1454" s="604" t="n">
        <x:v>0.8</x:v>
      </x:c>
      <x:c r="AV1454" s="604" t="n">
        <x:v>0.9</x:v>
      </x:c>
      <x:c r="AW1454" s="604" t="inlineStr">
        <x:is>
          <x:t xml:space="preserve">2026-10-09T09:01:21.127001+08:00</x:t>
        </x:is>
      </x:c>
      <x:c r="AX1454" s="604" t="inlineStr">
        <x:is>
          <x:t xml:space="preserve">Titan007/V4</x:t>
        </x:is>
      </x:c>
      <x:c r="AY1454" s="604" t="inlineStr">
        <x:is>
          <x:t xml:space="preserve">Daily append；市场输入缺失时不生成决策</x:t>
        </x:is>
      </x:c>
    </x:row>
    <x:row r="1455" ht="22" customHeight="1">
      <x:c r="A1455" s="604" t="inlineStr">
        <x:is>
          <x:t xml:space="preserve">2026-10-09</x:t>
        </x:is>
      </x:c>
      <x:c r="B1455" s="604" t="inlineStr">
        <x:is>
          <x:t xml:space="preserve">2026-10-09T21:00:00+08:00</x:t>
        </x:is>
      </x:c>
      <x:c r="C1455" s="604" t="str">
        <x:v>西亚/中亚系列</x:v>
      </x:c>
      <x:c r="D1455" s="604" t="inlineStr">
        <x:is>
          <x:t xml:space="preserve"/>
        </x:is>
      </x:c>
      <x:c r="E1455" s="604" t="inlineStr">
        <x:is>
          <x:t xml:space="preserve">以甲</x:t>
        </x:is>
      </x:c>
      <x:c r="F1455" s="604" t="inlineStr">
        <x:is>
          <x:t xml:space="preserve">卡法尔卡瑟姆 vs 特拉维夫叶胡达</x:t>
        </x:is>
      </x:c>
      <x:c r="G1455" s="604" t="n">
        <x:v>0.91</x:v>
      </x:c>
      <x:c r="H1455" s="604" t="n">
        <x:v>-1</x:v>
      </x:c>
      <x:c r="I1455" s="604" t="n">
        <x:v>0.79</x:v>
      </x:c>
      <x:c r="J1455" s="604" t="inlineStr">
        <x:is>
          <x:t xml:space="preserve">0.91/-1.0/0.79</x:t>
        </x:is>
      </x:c>
      <x:c r="K1455" s="604" t="inlineStr">
        <x:is>
          <x:t xml:space="preserve">V4-N</x:t>
        </x:is>
      </x:c>
      <x:c r="L1455" s="604" t="inlineStr">
        <x:is>
          <x:t xml:space="preserve"/>
        </x:is>
      </x:c>
      <x:c r="M1455" s="604" t="n">
        <x:v>0.0143891757675758</x:v>
      </x:c>
      <x:c r="N1455" s="604" t="inlineStr">
        <x:is>
          <x:t xml:space="preserve">V4 Shadow Only；real_money=false</x:t>
        </x:is>
      </x:c>
      <x:c r="O1455" s="604" t="inlineStr">
        <x:is>
          <x:t xml:space="preserve">0-0</x:t>
        </x:is>
      </x:c>
      <x:c r="P1455" s="604" t="inlineStr">
        <x:is>
          <x:t xml:space="preserve">EVALUATED</x:t>
        </x:is>
      </x:c>
      <x:c r="Q1455" s="630" t="inlineStr">
        <x:is>
          <x:t xml:space="preserve"/>
        </x:is>
      </x:c>
      <x:c r="R1455" s="604" t="n"/>
      <x:c r="S1455" s="604" t="n"/>
      <x:c r="T1455" s="604" t="inlineStr">
        <x:is>
          <x:t xml:space="preserve">D:\codex\v3_legacy\outputs\football_odds_trader\raw\titan007\20261009\20261009_085232_titan007_odds_snapshot.csv</x:t>
        </x:is>
      </x:c>
      <x:c r="U1455" s="628" t="inlineStr">
        <x:is>
          <x:t xml:space="preserve"/>
        </x:is>
      </x:c>
      <x:c r="V1455" s="604" t="inlineStr">
        <x:is>
          <x:t xml:space="preserve"/>
        </x:is>
      </x:c>
      <x:c r="W1455" s="604" t="inlineStr">
        <x:is>
          <x:t xml:space="preserve"/>
        </x:is>
      </x:c>
      <x:c r="X1455" s="604" t="inlineStr">
        <x:is>
          <x:t xml:space="preserve">3001858</x:t>
        </x:is>
      </x:c>
      <x:c r="Y1455" s="604" t="inlineStr">
        <x:is>
          <x:t xml:space="preserve">V4</x:t>
        </x:is>
      </x:c>
      <x:c r="Z1455" s="604" t="inlineStr">
        <x:is>
          <x:t xml:space="preserve">prior-2026-10-09-v1</x:t>
        </x:is>
      </x:c>
      <x:c r="AA1455" s="604" t="inlineStr">
        <x:is>
          <x:t xml:space="preserve">N</x:t>
        </x:is>
      </x:c>
      <x:c r="AB1455" s="604" t="n">
        <x:v>0.0143891757675758</x:v>
      </x:c>
      <x:c r="AC1455" s="604" t="n">
        <x:v>0.9280551712131481</x:v>
      </x:c>
      <x:c r="AD1455" s="604" t="n">
        <x:v>-1.75</x:v>
      </x:c>
      <x:c r="AE1455" s="604" t="n"/>
      <x:c r="AF1455" s="604" t="n"/>
      <x:c r="AG1455" s="604" t="n">
        <x:v>0.8301410300363889</x:v>
      </x:c>
      <x:c r="AH1455" s="604" t="n"/>
      <x:c r="AI1455" s="604" t="n"/>
      <x:c r="AJ1455" s="604" t="n">
        <x:v>0.8301410300363889</x:v>
      </x:c>
      <x:c r="AK1455" s="604" t="n"/>
      <x:c r="AL1455" s="604" t="n"/>
      <x:c r="AM1455" s="604" t="n"/>
      <x:c r="AN1455" s="604" t="inlineStr">
        <x:is>
          <x:t xml:space="preserve">EVALUATED</x:t>
        </x:is>
      </x:c>
      <x:c r="AO1455" s="604" t="inlineStr">
        <x:is>
          <x:t xml:space="preserve">LOW_QUALITY_GATE;BUCKET_PRIOR_ONLY;INTENT_INTERPRETATION_ONLY;FFL_OPTIONAL;EXPERT_MARKET</x:t>
        </x:is>
      </x:c>
      <x:c r="AP1455" s="604" t="inlineStr">
        <x:is>
          <x:t xml:space="preserve">9d4c10733d1be5a4ff27</x:t>
        </x:is>
      </x:c>
      <x:c r="AQ1455" s="604" t="n"/>
      <x:c r="AR1455" s="604" t="n"/>
      <x:c r="AS1455" s="604" t="n">
        <x:v>-1</x:v>
      </x:c>
      <x:c r="AT1455" s="604" t="n">
        <x:v>1</x:v>
      </x:c>
      <x:c r="AU1455" s="604" t="n">
        <x:v>0.91</x:v>
      </x:c>
      <x:c r="AV1455" s="604" t="n">
        <x:v>0.79</x:v>
      </x:c>
      <x:c r="AW1455" s="604" t="inlineStr">
        <x:is>
          <x:t xml:space="preserve">2026-10-09T09:01:21.127001+08:00</x:t>
        </x:is>
      </x:c>
      <x:c r="AX1455" s="604" t="inlineStr">
        <x:is>
          <x:t xml:space="preserve">Titan007/V4</x:t>
        </x:is>
      </x:c>
      <x:c r="AY1455" s="604" t="inlineStr">
        <x:is>
          <x:t xml:space="preserve">Daily append；市场输入缺失时不生成决策</x:t>
        </x:is>
      </x:c>
    </x:row>
    <x:row r="1456" ht="22" customHeight="1">
      <x:c r="A1456" s="604" t="inlineStr">
        <x:is>
          <x:t xml:space="preserve">2026-10-09</x:t>
        </x:is>
      </x:c>
      <x:c r="B1456" s="604" t="inlineStr">
        <x:is>
          <x:t xml:space="preserve">2026-10-10T02:30:00+08:00</x:t>
        </x:is>
      </x:c>
      <x:c r="C1456" s="604" t="str">
        <x:v>欧洲非五大系列</x:v>
      </x:c>
      <x:c r="D1456" s="604" t="inlineStr">
        <x:is>
          <x:t xml:space="preserve"/>
        </x:is>
      </x:c>
      <x:c r="E1456" s="604" t="inlineStr">
        <x:is>
          <x:t xml:space="preserve">波兰超</x:t>
        </x:is>
      </x:c>
      <x:c r="F1456" s="604" t="inlineStr">
        <x:is>
          <x:t xml:space="preserve">琴斯托霍瓦 vs GKS卡托威斯</x:t>
        </x:is>
      </x:c>
      <x:c r="G1456" s="604" t="n">
        <x:v>0.85</x:v>
      </x:c>
      <x:c r="H1456" s="604" t="n">
        <x:v>0.25</x:v>
      </x:c>
      <x:c r="I1456" s="604" t="n">
        <x:v>0.91</x:v>
      </x:c>
      <x:c r="J1456" s="604" t="inlineStr">
        <x:is>
          <x:t xml:space="preserve">0.85/0.25/0.91</x:t>
        </x:is>
      </x:c>
      <x:c r="K1456" s="604" t="inlineStr">
        <x:is>
          <x:t xml:space="preserve">V4-N</x:t>
        </x:is>
      </x:c>
      <x:c r="L1456" s="604" t="inlineStr">
        <x:is>
          <x:t xml:space="preserve"/>
        </x:is>
      </x:c>
      <x:c r="M1456" s="604" t="n">
        <x:v>0.4701582626440277</x:v>
      </x:c>
      <x:c r="N1456" s="604" t="inlineStr">
        <x:is>
          <x:t xml:space="preserve">V4 Shadow Only；real_money=false</x:t>
        </x:is>
      </x:c>
      <x:c r="O1456" s="604" t="inlineStr">
        <x:is>
          <x:t xml:space="preserve">0-0</x:t>
        </x:is>
      </x:c>
      <x:c r="P1456" s="604" t="inlineStr">
        <x:is>
          <x:t xml:space="preserve">EVALUATED</x:t>
        </x:is>
      </x:c>
      <x:c r="Q1456" s="630" t="inlineStr">
        <x:is>
          <x:t xml:space="preserve"/>
        </x:is>
      </x:c>
      <x:c r="R1456" s="604" t="n"/>
      <x:c r="S1456" s="604" t="n"/>
      <x:c r="T1456" s="604" t="inlineStr">
        <x:is>
          <x:t xml:space="preserve">D:\codex\v3_legacy\outputs\football_odds_trader\raw\titan007\20261009\20261009_085232_titan007_odds_snapshot.csv</x:t>
        </x:is>
      </x:c>
      <x:c r="U1456" s="628" t="inlineStr">
        <x:is>
          <x:t xml:space="preserve"/>
        </x:is>
      </x:c>
      <x:c r="V1456" s="604" t="inlineStr">
        <x:is>
          <x:t xml:space="preserve"/>
        </x:is>
      </x:c>
      <x:c r="W1456" s="604" t="inlineStr">
        <x:is>
          <x:t xml:space="preserve"/>
        </x:is>
      </x:c>
      <x:c r="X1456" s="604" t="inlineStr">
        <x:is>
          <x:t xml:space="preserve">3003167</x:t>
        </x:is>
      </x:c>
      <x:c r="Y1456" s="604" t="inlineStr">
        <x:is>
          <x:t xml:space="preserve">V4</x:t>
        </x:is>
      </x:c>
      <x:c r="Z1456" s="604" t="inlineStr">
        <x:is>
          <x:t xml:space="preserve">prior-2026-10-09-v1</x:t>
        </x:is>
      </x:c>
      <x:c r="AA1456" s="604" t="inlineStr">
        <x:is>
          <x:t xml:space="preserve">N</x:t>
        </x:is>
      </x:c>
      <x:c r="AB1456" s="604" t="n">
        <x:v>0.4701582626440277</x:v>
      </x:c>
      <x:c r="AC1456" s="604" t="n">
        <x:v>0.4019196471769702</x:v>
      </x:c>
      <x:c r="AD1456" s="604" t="n">
        <x:v>0.5</x:v>
      </x:c>
      <x:c r="AE1456" s="604" t="n"/>
      <x:c r="AF1456" s="604" t="n"/>
      <x:c r="AG1456" s="604" t="n">
        <x:v>-0.002285123929546662</x:v>
      </x:c>
      <x:c r="AH1456" s="604" t="n"/>
      <x:c r="AI1456" s="604" t="n"/>
      <x:c r="AJ1456" s="604" t="n">
        <x:v>-0.002285123929546662</x:v>
      </x:c>
      <x:c r="AK1456" s="604" t="n"/>
      <x:c r="AL1456" s="604" t="n"/>
      <x:c r="AM1456" s="604" t="n"/>
      <x:c r="AN1456" s="604" t="inlineStr">
        <x:is>
          <x:t xml:space="preserve">EVALUATED</x:t>
        </x:is>
      </x:c>
      <x:c r="AO1456" s="604" t="inlineStr">
        <x:is>
          <x:t xml:space="preserve">EDGE_BELOW_UNCERTAINTY_THRESHOLD;BUCKET_PRIOR_ONLY;INTENT_INTERPRETATION_ONLY;FFL_OPTIONAL;EXPERT_MARKET</x:t>
        </x:is>
      </x:c>
      <x:c r="AP1456" s="604" t="inlineStr">
        <x:is>
          <x:t xml:space="preserve">897ff5579e5c5c11a25c</x:t>
        </x:is>
      </x:c>
      <x:c r="AQ1456" s="604" t="n"/>
      <x:c r="AR1456" s="604" t="n"/>
      <x:c r="AS1456" s="604" t="n">
        <x:v>0.25</x:v>
      </x:c>
      <x:c r="AT1456" s="604" t="n">
        <x:v>-0.25</x:v>
      </x:c>
      <x:c r="AU1456" s="604" t="n">
        <x:v>0.85</x:v>
      </x:c>
      <x:c r="AV1456" s="604" t="n">
        <x:v>0.91</x:v>
      </x:c>
      <x:c r="AW1456" s="604" t="inlineStr">
        <x:is>
          <x:t xml:space="preserve">2026-10-09T09:01:21.127001+08:00</x:t>
        </x:is>
      </x:c>
      <x:c r="AX1456" s="604" t="inlineStr">
        <x:is>
          <x:t xml:space="preserve">Titan007/V4</x:t>
        </x:is>
      </x:c>
      <x:c r="AY1456" s="604" t="inlineStr">
        <x:is>
          <x:t xml:space="preserve">Daily append；市场输入缺失时不生成决策</x:t>
        </x:is>
      </x:c>
    </x:row>
    <x:row r="1457" ht="22" customHeight="1">
      <x:c r="A1457" s="604" t="inlineStr">
        <x:is>
          <x:t xml:space="preserve">2026-10-09</x:t>
        </x:is>
      </x:c>
      <x:c r="B1457" s="604" t="inlineStr">
        <x:is>
          <x:t xml:space="preserve">2026-10-10T00:00:00+08:00</x:t>
        </x:is>
      </x:c>
      <x:c r="C1457" s="604" t="str">
        <x:v>欧洲非五大系列</x:v>
      </x:c>
      <x:c r="D1457" s="604" t="inlineStr">
        <x:is>
          <x:t xml:space="preserve"/>
        </x:is>
      </x:c>
      <x:c r="E1457" s="604" t="inlineStr">
        <x:is>
          <x:t xml:space="preserve">波兰超</x:t>
        </x:is>
      </x:c>
      <x:c r="F1457" s="604" t="inlineStr">
        <x:is>
          <x:t xml:space="preserve">KS莫摩斯 vs 华沙普洛克</x:t>
        </x:is>
      </x:c>
      <x:c r="G1457" s="604" t="n">
        <x:v>0.87</x:v>
      </x:c>
      <x:c r="H1457" s="604" t="n">
        <x:v>0.25</x:v>
      </x:c>
      <x:c r="I1457" s="604" t="n">
        <x:v>0.89</x:v>
      </x:c>
      <x:c r="J1457" s="604" t="inlineStr">
        <x:is>
          <x:t xml:space="preserve">0.87/0.25/0.89</x:t>
        </x:is>
      </x:c>
      <x:c r="K1457" s="604" t="inlineStr">
        <x:is>
          <x:t xml:space="preserve">V4-N</x:t>
        </x:is>
      </x:c>
      <x:c r="L1457" s="604" t="inlineStr">
        <x:is>
          <x:t xml:space="preserve"/>
        </x:is>
      </x:c>
      <x:c r="M1457" s="604" t="n">
        <x:v>0.4704374839431038</x:v>
      </x:c>
      <x:c r="N1457" s="604" t="inlineStr">
        <x:is>
          <x:t xml:space="preserve">V4 Shadow Only；real_money=false</x:t>
        </x:is>
      </x:c>
      <x:c r="O1457" s="604" t="inlineStr">
        <x:is>
          <x:t xml:space="preserve">0-0</x:t>
        </x:is>
      </x:c>
      <x:c r="P1457" s="604" t="inlineStr">
        <x:is>
          <x:t xml:space="preserve">EVALUATED</x:t>
        </x:is>
      </x:c>
      <x:c r="Q1457" s="630" t="inlineStr">
        <x:is>
          <x:t xml:space="preserve"/>
        </x:is>
      </x:c>
      <x:c r="R1457" s="604" t="n"/>
      <x:c r="S1457" s="604" t="n"/>
      <x:c r="T1457" s="604" t="inlineStr">
        <x:is>
          <x:t xml:space="preserve">D:\codex\v3_legacy\outputs\football_odds_trader\raw\titan007\20261009\20261009_085232_titan007_odds_snapshot.csv</x:t>
        </x:is>
      </x:c>
      <x:c r="U1457" s="628" t="inlineStr">
        <x:is>
          <x:t xml:space="preserve"/>
        </x:is>
      </x:c>
      <x:c r="V1457" s="604" t="inlineStr">
        <x:is>
          <x:t xml:space="preserve"/>
        </x:is>
      </x:c>
      <x:c r="W1457" s="604" t="inlineStr">
        <x:is>
          <x:t xml:space="preserve"/>
        </x:is>
      </x:c>
      <x:c r="X1457" s="604" t="inlineStr">
        <x:is>
          <x:t xml:space="preserve">3003169</x:t>
        </x:is>
      </x:c>
      <x:c r="Y1457" s="604" t="inlineStr">
        <x:is>
          <x:t xml:space="preserve">V4</x:t>
        </x:is>
      </x:c>
      <x:c r="Z1457" s="604" t="inlineStr">
        <x:is>
          <x:t xml:space="preserve">prior-2026-10-09-v1</x:t>
        </x:is>
      </x:c>
      <x:c r="AA1457" s="604" t="inlineStr">
        <x:is>
          <x:t xml:space="preserve">N</x:t>
        </x:is>
      </x:c>
      <x:c r="AB1457" s="604" t="n">
        <x:v>0.4704374839431038</x:v>
      </x:c>
      <x:c r="AC1457" s="604" t="n">
        <x:v>0.4012927574208423</x:v>
      </x:c>
      <x:c r="AD1457" s="604" t="n">
        <x:v>0.5</x:v>
      </x:c>
      <x:c r="AE1457" s="604" t="n"/>
      <x:c r="AF1457" s="604" t="n"/>
      <x:c r="AG1457" s="604" t="n">
        <x:v>0.00798785360965798</x:v>
      </x:c>
      <x:c r="AH1457" s="604" t="n"/>
      <x:c r="AI1457" s="604" t="n"/>
      <x:c r="AJ1457" s="604" t="n">
        <x:v>0.00798785360965798</x:v>
      </x:c>
      <x:c r="AK1457" s="604" t="n"/>
      <x:c r="AL1457" s="604" t="n"/>
      <x:c r="AM1457" s="604" t="n"/>
      <x:c r="AN1457" s="604" t="inlineStr">
        <x:is>
          <x:t xml:space="preserve">EVALUATED</x:t>
        </x:is>
      </x:c>
      <x:c r="AO1457" s="604" t="inlineStr">
        <x:is>
          <x:t xml:space="preserve">EDGE_BELOW_UNCERTAINTY_THRESHOLD;BUCKET_PRIOR_ONLY;INTENT_INTERPRETATION_ONLY;FFL_OPTIONAL;EXPERT_MARKET</x:t>
        </x:is>
      </x:c>
      <x:c r="AP1457" s="604" t="inlineStr">
        <x:is>
          <x:t xml:space="preserve">8ead1d8506477eaef028</x:t>
        </x:is>
      </x:c>
      <x:c r="AQ1457" s="604" t="n"/>
      <x:c r="AR1457" s="604" t="n"/>
      <x:c r="AS1457" s="604" t="n">
        <x:v>0.25</x:v>
      </x:c>
      <x:c r="AT1457" s="604" t="n">
        <x:v>-0.25</x:v>
      </x:c>
      <x:c r="AU1457" s="604" t="n">
        <x:v>0.87</x:v>
      </x:c>
      <x:c r="AV1457" s="604" t="n">
        <x:v>0.89</x:v>
      </x:c>
      <x:c r="AW1457" s="604" t="inlineStr">
        <x:is>
          <x:t xml:space="preserve">2026-10-09T09:01:21.127001+08:00</x:t>
        </x:is>
      </x:c>
      <x:c r="AX1457" s="604" t="inlineStr">
        <x:is>
          <x:t xml:space="preserve">Titan007/V4</x:t>
        </x:is>
      </x:c>
      <x:c r="AY1457" s="604" t="inlineStr">
        <x:is>
          <x:t xml:space="preserve">Daily append；市场输入缺失时不生成决策</x:t>
        </x:is>
      </x:c>
    </x:row>
    <x:row r="1458" ht="22" customHeight="1">
      <x:c r="A1458" s="604" t="inlineStr">
        <x:is>
          <x:t xml:space="preserve">2026-10-09</x:t>
        </x:is>
      </x:c>
      <x:c r="B1458" s="604" t="inlineStr">
        <x:is>
          <x:t xml:space="preserve">2026-10-10T02:45:00+08:00</x:t>
        </x:is>
      </x:c>
      <x:c r="C1458" s="604" t="str">
        <x:v>欧洲非五大系列</x:v>
      </x:c>
      <x:c r="D1458" s="604" t="inlineStr">
        <x:is>
          <x:t xml:space="preserve"/>
        </x:is>
      </x:c>
      <x:c r="E1458" s="604" t="inlineStr">
        <x:is>
          <x:t xml:space="preserve">比甲</x:t>
        </x:is>
      </x:c>
      <x:c r="F1458" s="604" t="inlineStr">
        <x:is>
          <x:t xml:space="preserve">华斯兰德 vs 洛默尔</x:t>
        </x:is>
      </x:c>
      <x:c r="G1458" s="604" t="n">
        <x:v>0.82</x:v>
      </x:c>
      <x:c r="H1458" s="604" t="n">
        <x:v>0.5</x:v>
      </x:c>
      <x:c r="I1458" s="604" t="n">
        <x:v>1.06</x:v>
      </x:c>
      <x:c r="J1458" s="604" t="inlineStr">
        <x:is>
          <x:t xml:space="preserve">0.82/0.5/1.06</x:t>
        </x:is>
      </x:c>
      <x:c r="K1458" s="604" t="inlineStr">
        <x:is>
          <x:t xml:space="preserve">V4-N</x:t>
        </x:is>
      </x:c>
      <x:c r="L1458" s="604" t="inlineStr">
        <x:is>
          <x:t xml:space="preserve"/>
        </x:is>
      </x:c>
      <x:c r="M1458" s="604" t="n">
        <x:v>0.5924477289200352</x:v>
      </x:c>
      <x:c r="N1458" s="604" t="inlineStr">
        <x:is>
          <x:t xml:space="preserve">V4 Shadow Only；real_money=false</x:t>
        </x:is>
      </x:c>
      <x:c r="O1458" s="604" t="inlineStr">
        <x:is>
          <x:t xml:space="preserve">0-0</x:t>
        </x:is>
      </x:c>
      <x:c r="P1458" s="604" t="inlineStr">
        <x:is>
          <x:t xml:space="preserve">EVALUATED</x:t>
        </x:is>
      </x:c>
      <x:c r="Q1458" s="630" t="inlineStr">
        <x:is>
          <x:t xml:space="preserve"/>
        </x:is>
      </x:c>
      <x:c r="R1458" s="604" t="n"/>
      <x:c r="S1458" s="604" t="n"/>
      <x:c r="T1458" s="604" t="inlineStr">
        <x:is>
          <x:t xml:space="preserve">D:\codex\v3_legacy\outputs\football_odds_trader\raw\titan007\20261009\20261009_085232_titan007_odds_snapshot.csv</x:t>
        </x:is>
      </x:c>
      <x:c r="U1458" s="628" t="inlineStr">
        <x:is>
          <x:t xml:space="preserve"/>
        </x:is>
      </x:c>
      <x:c r="V1458" s="604" t="inlineStr">
        <x:is>
          <x:t xml:space="preserve"/>
        </x:is>
      </x:c>
      <x:c r="W1458" s="604" t="inlineStr">
        <x:is>
          <x:t xml:space="preserve"/>
        </x:is>
      </x:c>
      <x:c r="X1458" s="604" t="inlineStr">
        <x:is>
          <x:t xml:space="preserve">3003587</x:t>
        </x:is>
      </x:c>
      <x:c r="Y1458" s="604" t="inlineStr">
        <x:is>
          <x:t xml:space="preserve">V4</x:t>
        </x:is>
      </x:c>
      <x:c r="Z1458" s="604" t="inlineStr">
        <x:is>
          <x:t xml:space="preserve">prior-2026-10-09-v1</x:t>
        </x:is>
      </x:c>
      <x:c r="AA1458" s="604" t="inlineStr">
        <x:is>
          <x:t xml:space="preserve">N</x:t>
        </x:is>
      </x:c>
      <x:c r="AB1458" s="604" t="n">
        <x:v>0.5924477289200352</x:v>
      </x:c>
      <x:c r="AC1458" s="604" t="n">
        <x:v>0.4075522710799648</x:v>
      </x:c>
      <x:c r="AD1458" s="604" t="n">
        <x:v>1</x:v>
      </x:c>
      <x:c r="AE1458" s="604" t="n"/>
      <x:c r="AF1458" s="604" t="n"/>
      <x:c r="AG1458" s="604" t="n">
        <x:v>0.07825486663446402</x:v>
      </x:c>
      <x:c r="AH1458" s="604" t="n"/>
      <x:c r="AI1458" s="604" t="n"/>
      <x:c r="AJ1458" s="604" t="n">
        <x:v>0.07825486663446402</x:v>
      </x:c>
      <x:c r="AK1458" s="604" t="n"/>
      <x:c r="AL1458" s="604" t="n"/>
      <x:c r="AM1458" s="604" t="n"/>
      <x:c r="AN1458" s="604" t="inlineStr">
        <x:is>
          <x:t xml:space="preserve">EVALUATED</x:t>
        </x:is>
      </x:c>
      <x:c r="AO1458" s="604" t="inlineStr">
        <x:is>
          <x:t xml:space="preserve">LOW_QUALITY_GATE;BUCKET_PRIOR_ONLY;INTENT_INTERPRETATION_ONLY;FFL_OPTIONAL;EXPERT_MARKET</x:t>
        </x:is>
      </x:c>
      <x:c r="AP1458" s="604" t="inlineStr">
        <x:is>
          <x:t xml:space="preserve">e689fc30305cbd64d628</x:t>
        </x:is>
      </x:c>
      <x:c r="AQ1458" s="604" t="n"/>
      <x:c r="AR1458" s="604" t="n"/>
      <x:c r="AS1458" s="604" t="n">
        <x:v>0.5</x:v>
      </x:c>
      <x:c r="AT1458" s="604" t="n">
        <x:v>-0.5</x:v>
      </x:c>
      <x:c r="AU1458" s="604" t="n">
        <x:v>0.82</x:v>
      </x:c>
      <x:c r="AV1458" s="604" t="n">
        <x:v>1.06</x:v>
      </x:c>
      <x:c r="AW1458" s="604" t="inlineStr">
        <x:is>
          <x:t xml:space="preserve">2026-10-09T09:01:21.127001+08:00</x:t>
        </x:is>
      </x:c>
      <x:c r="AX1458" s="604" t="inlineStr">
        <x:is>
          <x:t xml:space="preserve">Titan007/V4</x:t>
        </x:is>
      </x:c>
      <x:c r="AY1458" s="604" t="inlineStr">
        <x:is>
          <x:t xml:space="preserve">Daily append；市场输入缺失时不生成决策</x:t>
        </x:is>
      </x:c>
    </x:row>
    <x:row r="1459" ht="22" customHeight="1">
      <x:c r="A1459" s="604" t="inlineStr">
        <x:is>
          <x:t xml:space="preserve">2026-10-09</x:t>
        </x:is>
      </x:c>
      <x:c r="B1459" s="604" t="inlineStr">
        <x:is>
          <x:t xml:space="preserve">2026-10-10T02:30:00+08:00</x:t>
        </x:is>
      </x:c>
      <x:c r="C1459" s="604" t="str">
        <x:v>欧洲非五大系列</x:v>
      </x:c>
      <x:c r="D1459" s="604" t="inlineStr">
        <x:is>
          <x:t xml:space="preserve"/>
        </x:is>
      </x:c>
      <x:c r="E1459" s="604" t="inlineStr">
        <x:is>
          <x:t xml:space="preserve">波兰甲</x:t>
        </x:is>
      </x:c>
      <x:c r="F1459" s="604" t="inlineStr">
        <x:is>
          <x:t xml:space="preserve">保德比斯基 vs 西德尔策</x:t>
        </x:is>
      </x:c>
      <x:c r="G1459" s="604" t="n">
        <x:v>0.83</x:v>
      </x:c>
      <x:c r="H1459" s="604" t="n">
        <x:v>0.5</x:v>
      </x:c>
      <x:c r="I1459" s="604" t="n">
        <x:v>0.93</x:v>
      </x:c>
      <x:c r="J1459" s="604" t="inlineStr">
        <x:is>
          <x:t xml:space="preserve">0.83/0.5/0.93</x:t>
        </x:is>
      </x:c>
      <x:c r="K1459" s="604" t="inlineStr">
        <x:is>
          <x:t xml:space="preserve">V4-N</x:t>
        </x:is>
      </x:c>
      <x:c r="L1459" s="604" t="inlineStr">
        <x:is>
          <x:t xml:space="preserve"/>
        </x:is>
      </x:c>
      <x:c r="M1459" s="604" t="n">
        <x:v>0.5814552296144871</x:v>
      </x:c>
      <x:c r="N1459" s="604" t="inlineStr">
        <x:is>
          <x:t xml:space="preserve">V4 Shadow Only；real_money=false</x:t>
        </x:is>
      </x:c>
      <x:c r="O1459" s="604" t="inlineStr">
        <x:is>
          <x:t xml:space="preserve">0-0</x:t>
        </x:is>
      </x:c>
      <x:c r="P1459" s="604" t="inlineStr">
        <x:is>
          <x:t xml:space="preserve">EVALUATED</x:t>
        </x:is>
      </x:c>
      <x:c r="Q1459" s="630" t="inlineStr">
        <x:is>
          <x:t xml:space="preserve"/>
        </x:is>
      </x:c>
      <x:c r="R1459" s="604" t="n"/>
      <x:c r="S1459" s="604" t="n"/>
      <x:c r="T1459" s="604" t="inlineStr">
        <x:is>
          <x:t xml:space="preserve">D:\codex\v3_legacy\outputs\football_odds_trader\raw\titan007\20261009\20261009_085232_titan007_odds_snapshot.csv</x:t>
        </x:is>
      </x:c>
      <x:c r="U1459" s="628" t="inlineStr">
        <x:is>
          <x:t xml:space="preserve"/>
        </x:is>
      </x:c>
      <x:c r="V1459" s="604" t="inlineStr">
        <x:is>
          <x:t xml:space="preserve"/>
        </x:is>
      </x:c>
      <x:c r="W1459" s="604" t="inlineStr">
        <x:is>
          <x:t xml:space="preserve"/>
        </x:is>
      </x:c>
      <x:c r="X1459" s="604" t="inlineStr">
        <x:is>
          <x:t xml:space="preserve">3005003</x:t>
        </x:is>
      </x:c>
      <x:c r="Y1459" s="604" t="inlineStr">
        <x:is>
          <x:t xml:space="preserve">V4</x:t>
        </x:is>
      </x:c>
      <x:c r="Z1459" s="604" t="inlineStr">
        <x:is>
          <x:t xml:space="preserve">prior-2026-10-09-v1</x:t>
        </x:is>
      </x:c>
      <x:c r="AA1459" s="604" t="inlineStr">
        <x:is>
          <x:t xml:space="preserve">N</x:t>
        </x:is>
      </x:c>
      <x:c r="AB1459" s="604" t="n">
        <x:v>0.5814552296144871</x:v>
      </x:c>
      <x:c r="AC1459" s="604" t="n">
        <x:v>0.4185447703855129</x:v>
      </x:c>
      <x:c r="AD1459" s="604" t="n">
        <x:v>1</x:v>
      </x:c>
      <x:c r="AE1459" s="604" t="n"/>
      <x:c r="AF1459" s="604" t="n"/>
      <x:c r="AG1459" s="604" t="n">
        <x:v>0.06406307019451141</x:v>
      </x:c>
      <x:c r="AH1459" s="604" t="n"/>
      <x:c r="AI1459" s="604" t="n"/>
      <x:c r="AJ1459" s="604" t="n">
        <x:v>0.06406307019451141</x:v>
      </x:c>
      <x:c r="AK1459" s="604" t="n"/>
      <x:c r="AL1459" s="604" t="n"/>
      <x:c r="AM1459" s="604" t="n"/>
      <x:c r="AN1459" s="604" t="inlineStr">
        <x:is>
          <x:t xml:space="preserve">EVALUATED</x:t>
        </x:is>
      </x:c>
      <x:c r="AO1459" s="604" t="inlineStr">
        <x:is>
          <x:t xml:space="preserve">LOW_QUALITY_GATE;BUCKET_PRIOR_ONLY;INTENT_INTERPRETATION_ONLY;FFL_OPTIONAL;EXPERT_MARKET</x:t>
        </x:is>
      </x:c>
      <x:c r="AP1459" s="604" t="inlineStr">
        <x:is>
          <x:t xml:space="preserve">d9081005e72f28268b0a</x:t>
        </x:is>
      </x:c>
      <x:c r="AQ1459" s="604" t="n"/>
      <x:c r="AR1459" s="604" t="n"/>
      <x:c r="AS1459" s="604" t="n">
        <x:v>0.5</x:v>
      </x:c>
      <x:c r="AT1459" s="604" t="n">
        <x:v>-0.5</x:v>
      </x:c>
      <x:c r="AU1459" s="604" t="n">
        <x:v>0.83</x:v>
      </x:c>
      <x:c r="AV1459" s="604" t="n">
        <x:v>0.93</x:v>
      </x:c>
      <x:c r="AW1459" s="604" t="inlineStr">
        <x:is>
          <x:t xml:space="preserve">2026-10-09T09:01:21.127001+08:00</x:t>
        </x:is>
      </x:c>
      <x:c r="AX1459" s="604" t="inlineStr">
        <x:is>
          <x:t xml:space="preserve">Titan007/V4</x:t>
        </x:is>
      </x:c>
      <x:c r="AY1459" s="604" t="inlineStr">
        <x:is>
          <x:t xml:space="preserve">Daily append；市场输入缺失时不生成决策</x:t>
        </x:is>
      </x:c>
    </x:row>
    <x:row r="1460" ht="22" customHeight="1">
      <x:c r="A1460" s="604" t="inlineStr">
        <x:is>
          <x:t xml:space="preserve">2026-10-09</x:t>
        </x:is>
      </x:c>
      <x:c r="B1460" s="604" t="inlineStr">
        <x:is>
          <x:t xml:space="preserve">2026-10-10T02:00:00+08:00</x:t>
        </x:is>
      </x:c>
      <x:c r="C1460" s="604" t="str">
        <x:v>欧洲非五大系列</x:v>
      </x:c>
      <x:c r="D1460" s="604" t="inlineStr">
        <x:is>
          <x:t xml:space="preserve"/>
        </x:is>
      </x:c>
      <x:c r="E1460" s="604" t="inlineStr">
        <x:is>
          <x:t xml:space="preserve">比乙</x:t>
        </x:is>
      </x:c>
      <x:c r="F1460" s="604" t="inlineStr">
        <x:is>
          <x:t xml:space="preserve">安德莱赫特B队 vs 欧本</x:t>
        </x:is>
      </x:c>
      <x:c r="G1460" s="604" t="n">
        <x:v>0.78</x:v>
      </x:c>
      <x:c r="H1460" s="604" t="n">
        <x:v>-0.75</x:v>
      </x:c>
      <x:c r="I1460" s="604" t="n">
        <x:v>0.98</x:v>
      </x:c>
      <x:c r="J1460" s="604" t="inlineStr">
        <x:is>
          <x:t xml:space="preserve">0.78/-0.75/0.98</x:t>
        </x:is>
      </x:c>
      <x:c r="K1460" s="604" t="inlineStr">
        <x:is>
          <x:t xml:space="preserve">V4-N</x:t>
        </x:is>
      </x:c>
      <x:c r="L1460" s="604" t="inlineStr">
        <x:is>
          <x:t xml:space="preserve"/>
        </x:is>
      </x:c>
      <x:c r="M1460" s="604" t="n">
        <x:v>0.1334512742076145</x:v>
      </x:c>
      <x:c r="N1460" s="604" t="inlineStr">
        <x:is>
          <x:t xml:space="preserve">V4 Shadow Only；real_money=false</x:t>
        </x:is>
      </x:c>
      <x:c r="O1460" s="604" t="inlineStr">
        <x:is>
          <x:t xml:space="preserve">0-0</x:t>
        </x:is>
      </x:c>
      <x:c r="P1460" s="604" t="inlineStr">
        <x:is>
          <x:t xml:space="preserve">EVALUATED</x:t>
        </x:is>
      </x:c>
      <x:c r="Q1460" s="630" t="inlineStr">
        <x:is>
          <x:t xml:space="preserve"/>
        </x:is>
      </x:c>
      <x:c r="R1460" s="604" t="n"/>
      <x:c r="S1460" s="604" t="n"/>
      <x:c r="T1460" s="604" t="inlineStr">
        <x:is>
          <x:t xml:space="preserve">D:\codex\v3_legacy\outputs\football_odds_trader\raw\titan007\20261009\20261009_085232_titan007_odds_snapshot.csv</x:t>
        </x:is>
      </x:c>
      <x:c r="U1460" s="628" t="inlineStr">
        <x:is>
          <x:t xml:space="preserve"/>
        </x:is>
      </x:c>
      <x:c r="V1460" s="604" t="inlineStr">
        <x:is>
          <x:t xml:space="preserve"/>
        </x:is>
      </x:c>
      <x:c r="W1460" s="604" t="inlineStr">
        <x:is>
          <x:t xml:space="preserve"/>
        </x:is>
      </x:c>
      <x:c r="X1460" s="604" t="inlineStr">
        <x:is>
          <x:t xml:space="preserve">3005399</x:t>
        </x:is>
      </x:c>
      <x:c r="Y1460" s="604" t="inlineStr">
        <x:is>
          <x:t xml:space="preserve">V4</x:t>
        </x:is>
      </x:c>
      <x:c r="Z1460" s="604" t="inlineStr">
        <x:is>
          <x:t xml:space="preserve">prior-2026-10-09-v1</x:t>
        </x:is>
      </x:c>
      <x:c r="AA1460" s="604" t="inlineStr">
        <x:is>
          <x:t xml:space="preserve">N</x:t>
        </x:is>
      </x:c>
      <x:c r="AB1460" s="604" t="n">
        <x:v>0.1334512742076145</x:v>
      </x:c>
      <x:c r="AC1460" s="604" t="n">
        <x:v>0.7997611688534522</x:v>
      </x:c>
      <x:c r="AD1460" s="604" t="n">
        <x:v>-0.75</x:v>
      </x:c>
      <x:c r="AE1460" s="604" t="n"/>
      <x:c r="AF1460" s="604" t="n"/>
      <x:c r="AG1460" s="604" t="n">
        <x:v>0.4903624374980781</x:v>
      </x:c>
      <x:c r="AH1460" s="604" t="n"/>
      <x:c r="AI1460" s="604" t="n"/>
      <x:c r="AJ1460" s="604" t="n">
        <x:v>0.4903624374980781</x:v>
      </x:c>
      <x:c r="AK1460" s="604" t="n"/>
      <x:c r="AL1460" s="604" t="n"/>
      <x:c r="AM1460" s="604" t="n"/>
      <x:c r="AN1460" s="604" t="inlineStr">
        <x:is>
          <x:t xml:space="preserve">EVALUATED</x:t>
        </x:is>
      </x:c>
      <x:c r="AO1460" s="604" t="inlineStr">
        <x:is>
          <x:t xml:space="preserve">LOW_QUALITY_GATE;BUCKET_PRIOR_ONLY;INTENT_INTERPRETATION_ONLY;FFL_OPTIONAL;EXPERT_MARKET</x:t>
        </x:is>
      </x:c>
      <x:c r="AP1460" s="604" t="inlineStr">
        <x:is>
          <x:t xml:space="preserve">0503aa088e0dd0f48d25</x:t>
        </x:is>
      </x:c>
      <x:c r="AQ1460" s="604" t="n"/>
      <x:c r="AR1460" s="604" t="n"/>
      <x:c r="AS1460" s="604" t="n">
        <x:v>-0.75</x:v>
      </x:c>
      <x:c r="AT1460" s="604" t="n">
        <x:v>0.75</x:v>
      </x:c>
      <x:c r="AU1460" s="604" t="n">
        <x:v>0.78</x:v>
      </x:c>
      <x:c r="AV1460" s="604" t="n">
        <x:v>0.98</x:v>
      </x:c>
      <x:c r="AW1460" s="604" t="inlineStr">
        <x:is>
          <x:t xml:space="preserve">2026-10-09T09:01:21.127001+08:00</x:t>
        </x:is>
      </x:c>
      <x:c r="AX1460" s="604" t="inlineStr">
        <x:is>
          <x:t xml:space="preserve">Titan007/V4</x:t>
        </x:is>
      </x:c>
      <x:c r="AY1460" s="604" t="inlineStr">
        <x:is>
          <x:t xml:space="preserve">Daily append；市场输入缺失时不生成决策</x:t>
        </x:is>
      </x:c>
    </x:row>
    <x:row r="1461" ht="22" customHeight="1">
      <x:c r="A1461" s="604" t="inlineStr">
        <x:is>
          <x:t xml:space="preserve">2026-10-09</x:t>
        </x:is>
      </x:c>
      <x:c r="B1461" s="604" t="inlineStr">
        <x:is>
          <x:t xml:space="preserve">2026-10-10T02:00:00+08:00</x:t>
        </x:is>
      </x:c>
      <x:c r="C1461" s="604" t="str">
        <x:v>欧洲非五大系列</x:v>
      </x:c>
      <x:c r="D1461" s="604" t="inlineStr">
        <x:is>
          <x:t xml:space="preserve"/>
        </x:is>
      </x:c>
      <x:c r="E1461" s="604" t="inlineStr">
        <x:is>
          <x:t xml:space="preserve">比乙</x:t>
        </x:is>
      </x:c>
      <x:c r="F1461" s="604" t="inlineStr">
        <x:is>
          <x:t xml:space="preserve">登德 vs 布鲁日B队</x:t>
        </x:is>
      </x:c>
      <x:c r="G1461" s="604" t="n">
        <x:v>0.91</x:v>
      </x:c>
      <x:c r="H1461" s="604" t="n">
        <x:v>1.25</x:v>
      </x:c>
      <x:c r="I1461" s="604" t="n">
        <x:v>0.85</x:v>
      </x:c>
      <x:c r="J1461" s="604" t="inlineStr">
        <x:is>
          <x:t xml:space="preserve">0.91/1.25/0.85</x:t>
        </x:is>
      </x:c>
      <x:c r="K1461" s="604" t="inlineStr">
        <x:is>
          <x:t xml:space="preserve">V4-N</x:t>
        </x:is>
      </x:c>
      <x:c r="L1461" s="604" t="inlineStr">
        <x:is>
          <x:t xml:space="preserve"/>
        </x:is>
      </x:c>
      <x:c r="M1461" s="604" t="n">
        <x:v>0.4982465597969178</x:v>
      </x:c>
      <x:c r="N1461" s="604" t="inlineStr">
        <x:is>
          <x:t xml:space="preserve">V4 Shadow Only；real_money=false</x:t>
        </x:is>
      </x:c>
      <x:c r="O1461" s="604" t="inlineStr">
        <x:is>
          <x:t xml:space="preserve">0-0</x:t>
        </x:is>
      </x:c>
      <x:c r="P1461" s="604" t="inlineStr">
        <x:is>
          <x:t xml:space="preserve">EVALUATED</x:t>
        </x:is>
      </x:c>
      <x:c r="Q1461" s="630" t="inlineStr">
        <x:is>
          <x:t xml:space="preserve"/>
        </x:is>
      </x:c>
      <x:c r="R1461" s="604" t="n"/>
      <x:c r="S1461" s="604" t="n"/>
      <x:c r="T1461" s="604" t="inlineStr">
        <x:is>
          <x:t xml:space="preserve">D:\codex\v3_legacy\outputs\football_odds_trader\raw\titan007\20261009\20261009_085232_titan007_odds_snapshot.csv</x:t>
        </x:is>
      </x:c>
      <x:c r="U1461" s="628" t="inlineStr">
        <x:is>
          <x:t xml:space="preserve"/>
        </x:is>
      </x:c>
      <x:c r="V1461" s="604" t="inlineStr">
        <x:is>
          <x:t xml:space="preserve"/>
        </x:is>
      </x:c>
      <x:c r="W1461" s="604" t="inlineStr">
        <x:is>
          <x:t xml:space="preserve"/>
        </x:is>
      </x:c>
      <x:c r="X1461" s="604" t="inlineStr">
        <x:is>
          <x:t xml:space="preserve">3005401</x:t>
        </x:is>
      </x:c>
      <x:c r="Y1461" s="604" t="inlineStr">
        <x:is>
          <x:t xml:space="preserve">V4</x:t>
        </x:is>
      </x:c>
      <x:c r="Z1461" s="604" t="inlineStr">
        <x:is>
          <x:t xml:space="preserve">prior-2026-10-09-v1</x:t>
        </x:is>
      </x:c>
      <x:c r="AA1461" s="604" t="inlineStr">
        <x:is>
          <x:t xml:space="preserve">N</x:t>
        </x:is>
      </x:c>
      <x:c r="AB1461" s="604" t="n">
        <x:v>0.4982465597969178</x:v>
      </x:c>
      <x:c r="AC1461" s="604" t="n">
        <x:v>0.3767329206046238</x:v>
      </x:c>
      <x:c r="AD1461" s="604" t="n">
        <x:v>1.5</x:v>
      </x:c>
      <x:c r="AE1461" s="604" t="n"/>
      <x:c r="AF1461" s="604" t="n"/>
      <x:c r="AG1461" s="604" t="n">
        <x:v>0.07667144881057142</x:v>
      </x:c>
      <x:c r="AH1461" s="604" t="n"/>
      <x:c r="AI1461" s="604" t="n"/>
      <x:c r="AJ1461" s="604" t="n">
        <x:v>0.07667144881057142</x:v>
      </x:c>
      <x:c r="AK1461" s="604" t="n"/>
      <x:c r="AL1461" s="604" t="n"/>
      <x:c r="AM1461" s="604" t="n"/>
      <x:c r="AN1461" s="604" t="inlineStr">
        <x:is>
          <x:t xml:space="preserve">EVALUATED</x:t>
        </x:is>
      </x:c>
      <x:c r="AO1461" s="604" t="inlineStr">
        <x:is>
          <x:t xml:space="preserve">LOW_QUALITY_GATE;BUCKET_PRIOR_ONLY;INTENT_INTERPRETATION_ONLY;FFL_OPTIONAL;EXPERT_MARKET</x:t>
        </x:is>
      </x:c>
      <x:c r="AP1461" s="604" t="inlineStr">
        <x:is>
          <x:t xml:space="preserve">00dec6476e5af6fe8a4b</x:t>
        </x:is>
      </x:c>
      <x:c r="AQ1461" s="604" t="n"/>
      <x:c r="AR1461" s="604" t="n"/>
      <x:c r="AS1461" s="604" t="n">
        <x:v>1.25</x:v>
      </x:c>
      <x:c r="AT1461" s="604" t="n">
        <x:v>-1.25</x:v>
      </x:c>
      <x:c r="AU1461" s="604" t="n">
        <x:v>0.91</x:v>
      </x:c>
      <x:c r="AV1461" s="604" t="n">
        <x:v>0.85</x:v>
      </x:c>
      <x:c r="AW1461" s="604" t="inlineStr">
        <x:is>
          <x:t xml:space="preserve">2026-10-09T09:01:21.127001+08:00</x:t>
        </x:is>
      </x:c>
      <x:c r="AX1461" s="604" t="inlineStr">
        <x:is>
          <x:t xml:space="preserve">Titan007/V4</x:t>
        </x:is>
      </x:c>
      <x:c r="AY1461" s="604" t="inlineStr">
        <x:is>
          <x:t xml:space="preserve">Daily append；市场输入缺失时不生成决策</x:t>
        </x:is>
      </x:c>
    </x:row>
    <x:row r="1462" ht="22" customHeight="1">
      <x:c r="A1462" s="604" t="inlineStr">
        <x:is>
          <x:t xml:space="preserve">2026-10-09</x:t>
        </x:is>
      </x:c>
      <x:c r="B1462" s="604" t="inlineStr">
        <x:is>
          <x:t xml:space="preserve">2026-10-09T23:30:00+08:00</x:t>
        </x:is>
      </x:c>
      <x:c r="C1462" s="604" t="str">
        <x:v>欧洲非五大系列</x:v>
      </x:c>
      <x:c r="D1462" s="604" t="inlineStr">
        <x:is>
          <x:t xml:space="preserve"/>
        </x:is>
      </x:c>
      <x:c r="E1462" s="604" t="inlineStr">
        <x:is>
          <x:t xml:space="preserve">斯亚乙</x:t>
        </x:is>
      </x:c>
      <x:c r="F1462" s="604" t="inlineStr">
        <x:is>
          <x:t xml:space="preserve">塔博塞扎纳 vs 路达</x:t>
        </x:is>
      </x:c>
      <x:c r="G1462" s="604" t="n">
        <x:v>0.83</x:v>
      </x:c>
      <x:c r="H1462" s="604" t="n">
        <x:v>1</x:v>
      </x:c>
      <x:c r="I1462" s="604" t="n">
        <x:v>0.98</x:v>
      </x:c>
      <x:c r="J1462" s="604" t="inlineStr">
        <x:is>
          <x:t xml:space="preserve">0.83/1.0/0.98</x:t>
        </x:is>
      </x:c>
      <x:c r="K1462" s="604" t="inlineStr">
        <x:is>
          <x:t xml:space="preserve">V4-N</x:t>
        </x:is>
      </x:c>
      <x:c r="L1462" s="604" t="inlineStr">
        <x:is>
          <x:t xml:space="preserve"/>
        </x:is>
      </x:c>
      <x:c r="M1462" s="604" t="n">
        <x:v>0.4584248287357228</x:v>
      </x:c>
      <x:c r="N1462" s="604" t="inlineStr">
        <x:is>
          <x:t xml:space="preserve">V4 Shadow Only；real_money=false</x:t>
        </x:is>
      </x:c>
      <x:c r="O1462" s="604" t="inlineStr">
        <x:is>
          <x:t xml:space="preserve">0-0</x:t>
        </x:is>
      </x:c>
      <x:c r="P1462" s="604" t="inlineStr">
        <x:is>
          <x:t xml:space="preserve">EVALUATED</x:t>
        </x:is>
      </x:c>
      <x:c r="Q1462" s="630" t="inlineStr">
        <x:is>
          <x:t xml:space="preserve"/>
        </x:is>
      </x:c>
      <x:c r="R1462" s="604" t="n"/>
      <x:c r="S1462" s="604" t="n"/>
      <x:c r="T1462" s="604" t="inlineStr">
        <x:is>
          <x:t xml:space="preserve">D:\codex\v3_legacy\outputs\football_odds_trader\raw\titan007\20261009\20261009_085232_titan007_odds_snapshot.csv</x:t>
        </x:is>
      </x:c>
      <x:c r="U1462" s="628" t="inlineStr">
        <x:is>
          <x:t xml:space="preserve"/>
        </x:is>
      </x:c>
      <x:c r="V1462" s="604" t="inlineStr">
        <x:is>
          <x:t xml:space="preserve"/>
        </x:is>
      </x:c>
      <x:c r="W1462" s="604" t="inlineStr">
        <x:is>
          <x:t xml:space="preserve"/>
        </x:is>
      </x:c>
      <x:c r="X1462" s="604" t="inlineStr">
        <x:is>
          <x:t xml:space="preserve">3006001</x:t>
        </x:is>
      </x:c>
      <x:c r="Y1462" s="604" t="inlineStr">
        <x:is>
          <x:t xml:space="preserve">V4</x:t>
        </x:is>
      </x:c>
      <x:c r="Z1462" s="604" t="inlineStr">
        <x:is>
          <x:t xml:space="preserve">prior-2026-10-09-v1</x:t>
        </x:is>
      </x:c>
      <x:c r="AA1462" s="604" t="inlineStr">
        <x:is>
          <x:t xml:space="preserve">N</x:t>
        </x:is>
      </x:c>
      <x:c r="AB1462" s="604" t="n">
        <x:v>0.4584248287357228</x:v>
      </x:c>
      <x:c r="AC1462" s="604" t="n">
        <x:v>0.2866978215578922</x:v>
      </x:c>
      <x:c r="AD1462" s="604" t="n">
        <x:v>1.5</x:v>
      </x:c>
      <x:c r="AE1462" s="604" t="n"/>
      <x:c r="AF1462" s="604" t="n"/>
      <x:c r="AG1462" s="604" t="n">
        <x:v>0.09379478629275773</x:v>
      </x:c>
      <x:c r="AH1462" s="604" t="n"/>
      <x:c r="AI1462" s="604" t="n"/>
      <x:c r="AJ1462" s="604" t="n">
        <x:v>0.09379478629275773</x:v>
      </x:c>
      <x:c r="AK1462" s="604" t="n"/>
      <x:c r="AL1462" s="604" t="n"/>
      <x:c r="AM1462" s="604" t="n"/>
      <x:c r="AN1462" s="604" t="inlineStr">
        <x:is>
          <x:t xml:space="preserve">EVALUATED</x:t>
        </x:is>
      </x:c>
      <x:c r="AO1462" s="604" t="inlineStr">
        <x:is>
          <x:t xml:space="preserve">LOW_QUALITY_GATE;BUCKET_PRIOR_ONLY;INTENT_INTERPRETATION_ONLY;FFL_OPTIONAL;EXPERT_MARKET</x:t>
        </x:is>
      </x:c>
      <x:c r="AP1462" s="604" t="inlineStr">
        <x:is>
          <x:t xml:space="preserve">f1421c89f9191436b086</x:t>
        </x:is>
      </x:c>
      <x:c r="AQ1462" s="604" t="n"/>
      <x:c r="AR1462" s="604" t="n"/>
      <x:c r="AS1462" s="604" t="n">
        <x:v>1</x:v>
      </x:c>
      <x:c r="AT1462" s="604" t="n">
        <x:v>-1</x:v>
      </x:c>
      <x:c r="AU1462" s="604" t="n">
        <x:v>0.83</x:v>
      </x:c>
      <x:c r="AV1462" s="604" t="n">
        <x:v>0.98</x:v>
      </x:c>
      <x:c r="AW1462" s="604" t="inlineStr">
        <x:is>
          <x:t xml:space="preserve">2026-10-09T09:01:21.127001+08:00</x:t>
        </x:is>
      </x:c>
      <x:c r="AX1462" s="604" t="inlineStr">
        <x:is>
          <x:t xml:space="preserve">Titan007/V4</x:t>
        </x:is>
      </x:c>
      <x:c r="AY1462" s="604" t="inlineStr">
        <x:is>
          <x:t xml:space="preserve">Daily append；市场输入缺失时不生成决策</x:t>
        </x:is>
      </x:c>
    </x:row>
    <x:row r="1463" ht="22" customHeight="1">
      <x:c r="A1463" s="604" t="inlineStr">
        <x:is>
          <x:t xml:space="preserve">2026-10-09</x:t>
        </x:is>
      </x:c>
      <x:c r="B1463" s="604" t="inlineStr">
        <x:is>
          <x:t xml:space="preserve">2026-10-09T20:00:00+08:00</x:t>
        </x:is>
      </x:c>
      <x:c r="C1463" s="604" t="str">
        <x:v>欧洲非五大系列</x:v>
      </x:c>
      <x:c r="D1463" s="604" t="inlineStr">
        <x:is>
          <x:t xml:space="preserve"/>
        </x:is>
      </x:c>
      <x:c r="E1463" s="604" t="inlineStr">
        <x:is>
          <x:t xml:space="preserve">黑山乙</x:t>
        </x:is>
      </x:c>
      <x:c r="F1463" s="604" t="inlineStr">
        <x:is>
          <x:t xml:space="preserve">洛夫琴 vs 耶汀斯特沃BP</x:t>
        </x:is>
      </x:c>
      <x:c r="G1463" s="604" t="n">
        <x:v>0.78</x:v>
      </x:c>
      <x:c r="H1463" s="604" t="n">
        <x:v>-0.25</x:v>
      </x:c>
      <x:c r="I1463" s="604" t="n">
        <x:v>1.03</x:v>
      </x:c>
      <x:c r="J1463" s="604" t="inlineStr">
        <x:is>
          <x:t xml:space="preserve">0.78/-0.25/1.03</x:t>
        </x:is>
      </x:c>
      <x:c r="K1463" s="604" t="inlineStr">
        <x:is>
          <x:t xml:space="preserve">V4-N</x:t>
        </x:is>
      </x:c>
      <x:c r="L1463" s="604" t="inlineStr">
        <x:is>
          <x:t xml:space="preserve"/>
        </x:is>
      </x:c>
      <x:c r="M1463" s="604" t="n">
        <x:v>0.3107091683987008</x:v>
      </x:c>
      <x:c r="N1463" s="604" t="inlineStr">
        <x:is>
          <x:t xml:space="preserve">V4 Shadow Only；real_money=false</x:t>
        </x:is>
      </x:c>
      <x:c r="O1463" s="604" t="inlineStr">
        <x:is>
          <x:t xml:space="preserve">0-0</x:t>
        </x:is>
      </x:c>
      <x:c r="P1463" s="604" t="inlineStr">
        <x:is>
          <x:t xml:space="preserve">EVALUATED</x:t>
        </x:is>
      </x:c>
      <x:c r="Q1463" s="630" t="inlineStr">
        <x:is>
          <x:t xml:space="preserve"/>
        </x:is>
      </x:c>
      <x:c r="R1463" s="604" t="n"/>
      <x:c r="S1463" s="604" t="n"/>
      <x:c r="T1463" s="604" t="inlineStr">
        <x:is>
          <x:t xml:space="preserve">D:\codex\v3_legacy\outputs\football_odds_trader\raw\titan007\20261009\20261009_085232_titan007_odds_snapshot.csv</x:t>
        </x:is>
      </x:c>
      <x:c r="U1463" s="628" t="inlineStr">
        <x:is>
          <x:t xml:space="preserve"/>
        </x:is>
      </x:c>
      <x:c r="V1463" s="604" t="inlineStr">
        <x:is>
          <x:t xml:space="preserve"/>
        </x:is>
      </x:c>
      <x:c r="W1463" s="604" t="inlineStr">
        <x:is>
          <x:t xml:space="preserve"/>
        </x:is>
      </x:c>
      <x:c r="X1463" s="604" t="inlineStr">
        <x:is>
          <x:t xml:space="preserve">3006215</x:t>
        </x:is>
      </x:c>
      <x:c r="Y1463" s="604" t="inlineStr">
        <x:is>
          <x:t xml:space="preserve">V4</x:t>
        </x:is>
      </x:c>
      <x:c r="Z1463" s="604" t="inlineStr">
        <x:is>
          <x:t xml:space="preserve">prior-2026-10-09-v1</x:t>
        </x:is>
      </x:c>
      <x:c r="AA1463" s="604" t="inlineStr">
        <x:is>
          <x:t xml:space="preserve">N</x:t>
        </x:is>
      </x:c>
      <x:c r="AB1463" s="604" t="n">
        <x:v>0.3107091683987008</x:v>
      </x:c>
      <x:c r="AC1463" s="604" t="n">
        <x:v>0.5582635246322786</x:v>
      </x:c>
      <x:c r="AD1463" s="604" t="n">
        <x:v>-0.25</x:v>
      </x:c>
      <x:c r="AE1463" s="604" t="n"/>
      <x:c r="AF1463" s="604" t="n"/>
      <x:c r="AG1463" s="604" t="n">
        <x:v>0.1247363808144765</x:v>
      </x:c>
      <x:c r="AH1463" s="604" t="n"/>
      <x:c r="AI1463" s="604" t="n"/>
      <x:c r="AJ1463" s="604" t="n">
        <x:v>0.1247363808144765</x:v>
      </x:c>
      <x:c r="AK1463" s="604" t="n"/>
      <x:c r="AL1463" s="604" t="n"/>
      <x:c r="AM1463" s="604" t="n"/>
      <x:c r="AN1463" s="604" t="inlineStr">
        <x:is>
          <x:t xml:space="preserve">EVALUATED</x:t>
        </x:is>
      </x:c>
      <x:c r="AO1463" s="604" t="inlineStr">
        <x:is>
          <x:t xml:space="preserve">LOW_QUALITY_GATE;BUCKET_PRIOR_ONLY;INTENT_INTERPRETATION_ONLY;FFL_OPTIONAL;EXPERT_MARKET</x:t>
        </x:is>
      </x:c>
      <x:c r="AP1463" s="604" t="inlineStr">
        <x:is>
          <x:t xml:space="preserve">2ddedb85205ae80582ce</x:t>
        </x:is>
      </x:c>
      <x:c r="AQ1463" s="604" t="n"/>
      <x:c r="AR1463" s="604" t="n"/>
      <x:c r="AS1463" s="604" t="n">
        <x:v>-0.25</x:v>
      </x:c>
      <x:c r="AT1463" s="604" t="n">
        <x:v>0.25</x:v>
      </x:c>
      <x:c r="AU1463" s="604" t="n">
        <x:v>0.78</x:v>
      </x:c>
      <x:c r="AV1463" s="604" t="n">
        <x:v>1.03</x:v>
      </x:c>
      <x:c r="AW1463" s="604" t="inlineStr">
        <x:is>
          <x:t xml:space="preserve">2026-10-09T09:01:21.127001+08:00</x:t>
        </x:is>
      </x:c>
      <x:c r="AX1463" s="604" t="inlineStr">
        <x:is>
          <x:t xml:space="preserve">Titan007/V4</x:t>
        </x:is>
      </x:c>
      <x:c r="AY1463" s="604" t="inlineStr">
        <x:is>
          <x:t xml:space="preserve">Daily append；市场输入缺失时不生成决策</x:t>
        </x:is>
      </x:c>
    </x:row>
    <x:row r="1464" ht="22" customHeight="1">
      <x:c r="A1464" s="604" t="inlineStr">
        <x:is>
          <x:t xml:space="preserve">2026-10-09</x:t>
        </x:is>
      </x:c>
      <x:c r="B1464" s="604" t="inlineStr">
        <x:is>
          <x:t xml:space="preserve">2026-10-10T03:00:00+08:00</x:t>
        </x:is>
      </x:c>
      <x:c r="C1464" s="604" t="str">
        <x:v>五大联赛非顶级联赛</x:v>
      </x:c>
      <x:c r="D1464" s="604" t="inlineStr">
        <x:is>
          <x:t xml:space="preserve"/>
        </x:is>
      </x:c>
      <x:c r="E1464" s="604" t="inlineStr">
        <x:is>
          <x:t xml:space="preserve">英冠</x:t>
        </x:is>
      </x:c>
      <x:c r="F1464" s="604" t="inlineStr">
        <x:is>
          <x:t xml:space="preserve">西汉姆联 vs 女王公园巡游者</x:t>
        </x:is>
      </x:c>
      <x:c r="G1464" s="604" t="n">
        <x:v>0.8100000000000001</x:v>
      </x:c>
      <x:c r="H1464" s="604" t="n">
        <x:v>1</x:v>
      </x:c>
      <x:c r="I1464" s="604" t="n">
        <x:v>1.07</x:v>
      </x:c>
      <x:c r="J1464" s="604" t="inlineStr">
        <x:is>
          <x:t xml:space="preserve">0.81/1.0/1.07</x:t>
        </x:is>
      </x:c>
      <x:c r="K1464" s="604" t="inlineStr">
        <x:is>
          <x:t xml:space="preserve">V4-B</x:t>
        </x:is>
      </x:c>
      <x:c r="L1464" s="604" t="inlineStr">
        <x:is>
          <x:t xml:space="preserve">西汉姆联</x:t>
        </x:is>
      </x:c>
      <x:c r="M1464" s="604" t="n">
        <x:v>0.4925467147092101</x:v>
      </x:c>
      <x:c r="N1464" s="604" t="inlineStr">
        <x:is>
          <x:t xml:space="preserve">V4 Shadow Only；real_money=false</x:t>
        </x:is>
      </x:c>
      <x:c r="O1464" s="604" t="inlineStr">
        <x:is>
          <x:t xml:space="preserve">0-0</x:t>
        </x:is>
      </x:c>
      <x:c r="P1464" s="604" t="inlineStr">
        <x:is>
          <x:t xml:space="preserve">EVALUATED</x:t>
        </x:is>
      </x:c>
      <x:c r="Q1464" s="630" t="inlineStr">
        <x:is>
          <x:t xml:space="preserve"/>
        </x:is>
      </x:c>
      <x:c r="R1464" s="604" t="n">
        <x:v>0.8100000000000001</x:v>
      </x:c>
      <x:c r="S1464" s="604" t="n"/>
      <x:c r="T1464" s="604" t="inlineStr">
        <x:is>
          <x:t xml:space="preserve">D:\codex\v3_legacy\outputs\football_odds_trader\raw\titan007\20261009\20261009_085232_titan007_odds_snapshot.csv</x:t>
        </x:is>
      </x:c>
      <x:c r="U1464" s="628" t="inlineStr">
        <x:is>
          <x:t xml:space="preserve"/>
        </x:is>
      </x:c>
      <x:c r="V1464" s="604" t="inlineStr">
        <x:is>
          <x:t xml:space="preserve"/>
        </x:is>
      </x:c>
      <x:c r="W1464" s="604" t="inlineStr">
        <x:is>
          <x:t xml:space="preserve"/>
        </x:is>
      </x:c>
      <x:c r="X1464" s="604" t="inlineStr">
        <x:is>
          <x:t xml:space="preserve">3008256</x:t>
        </x:is>
      </x:c>
      <x:c r="Y1464" s="604" t="inlineStr">
        <x:is>
          <x:t xml:space="preserve">V4</x:t>
        </x:is>
      </x:c>
      <x:c r="Z1464" s="604" t="inlineStr">
        <x:is>
          <x:t xml:space="preserve">prior-2026-10-09-v1</x:t>
        </x:is>
      </x:c>
      <x:c r="AA1464" s="604" t="inlineStr">
        <x:is>
          <x:t xml:space="preserve">B</x:t>
        </x:is>
      </x:c>
      <x:c r="AB1464" s="604" t="n">
        <x:v>0.4925467147092101</x:v>
      </x:c>
      <x:c r="AC1464" s="604" t="n">
        <x:v>0.2568379911098125</x:v>
      </x:c>
      <x:c r="AD1464" s="604" t="n">
        <x:v>1.5</x:v>
      </x:c>
      <x:c r="AE1464" s="604" t="n"/>
      <x:c r="AF1464" s="604" t="n"/>
      <x:c r="AG1464" s="604" t="n">
        <x:v>0.1421248478046477</x:v>
      </x:c>
      <x:c r="AH1464" s="604" t="n"/>
      <x:c r="AI1464" s="604" t="n"/>
      <x:c r="AJ1464" s="604" t="n">
        <x:v>0.1421248478046477</x:v>
      </x:c>
      <x:c r="AK1464" s="604" t="n"/>
      <x:c r="AL1464" s="604" t="n"/>
      <x:c r="AM1464" s="604" t="n"/>
      <x:c r="AN1464" s="604" t="inlineStr">
        <x:is>
          <x:t xml:space="preserve">EVALUATED</x:t>
        </x:is>
      </x:c>
      <x:c r="AO1464" s="604" t="inlineStr">
        <x:is>
          <x:t xml:space="preserve">GIVING_VALIDATED_EDGE;BUCKET_PRIOR_ONLY;INTENT_INTERPRETATION_ONLY;FFL_OPTIONAL;EXPERT_MARKET</x:t>
        </x:is>
      </x:c>
      <x:c r="AP1464" s="604" t="inlineStr">
        <x:is>
          <x:t xml:space="preserve">5731031168fb362bce87</x:t>
        </x:is>
      </x:c>
      <x:c r="AQ1464" s="604" t="n">
        <x:v>-1</x:v>
      </x:c>
      <x:c r="AR1464" s="604" t="n">
        <x:v>0.8100000000000001</x:v>
      </x:c>
      <x:c r="AS1464" s="604" t="n">
        <x:v>1</x:v>
      </x:c>
      <x:c r="AT1464" s="604" t="n">
        <x:v>-1</x:v>
      </x:c>
      <x:c r="AU1464" s="604" t="n">
        <x:v>0.8100000000000001</x:v>
      </x:c>
      <x:c r="AV1464" s="604" t="n">
        <x:v>1.07</x:v>
      </x:c>
      <x:c r="AW1464" s="604" t="inlineStr">
        <x:is>
          <x:t xml:space="preserve">2026-10-09T09:01:21.127001+08:00</x:t>
        </x:is>
      </x:c>
      <x:c r="AX1464" s="604" t="inlineStr">
        <x:is>
          <x:t xml:space="preserve">Titan007/V4</x:t>
        </x:is>
      </x:c>
      <x:c r="AY1464" s="604" t="inlineStr">
        <x:is>
          <x:t xml:space="preserve">Daily append；市场输入缺失时不生成决策</x:t>
        </x:is>
      </x:c>
    </x:row>
    <x:row r="1465" ht="22" customHeight="1">
      <x:c r="A1465" s="604" t="inlineStr">
        <x:is>
          <x:t xml:space="preserve">2026-10-09</x:t>
        </x:is>
      </x:c>
      <x:c r="B1465" s="604" t="inlineStr">
        <x:is>
          <x:t xml:space="preserve">2026-10-09T18:00:00+08:00</x:t>
        </x:is>
      </x:c>
      <x:c r="C1465" s="604" t="str">
        <x:v>欧洲非五大系列</x:v>
      </x:c>
      <x:c r="D1465" s="604" t="inlineStr">
        <x:is>
          <x:t xml:space="preserve"/>
        </x:is>
      </x:c>
      <x:c r="E1465" s="604" t="inlineStr">
        <x:is>
          <x:t xml:space="preserve">捷U19</x:t>
        </x:is>
      </x:c>
      <x:c r="F1465" s="604" t="inlineStr">
        <x:is>
          <x:t xml:space="preserve">般奴U19 vs 波利斯拉夫U19</x:t>
        </x:is>
      </x:c>
      <x:c r="G1465" s="604" t="n">
        <x:v>0.85</x:v>
      </x:c>
      <x:c r="H1465" s="604" t="n">
        <x:v>0</x:v>
      </x:c>
      <x:c r="I1465" s="604" t="n">
        <x:v>0.95</x:v>
      </x:c>
      <x:c r="J1465" s="604" t="inlineStr">
        <x:is>
          <x:t xml:space="preserve">0.85/0.0/0.95</x:t>
        </x:is>
      </x:c>
      <x:c r="K1465" s="604" t="inlineStr">
        <x:is>
          <x:t xml:space="preserve">V4-N</x:t>
        </x:is>
      </x:c>
      <x:c r="L1465" s="604" t="inlineStr">
        <x:is>
          <x:t xml:space="preserve"/>
        </x:is>
      </x:c>
      <x:c r="M1465" s="604" t="n"/>
      <x:c r="N1465" s="604" t="inlineStr">
        <x:is>
          <x:t xml:space="preserve">V4 Shadow Only；real_money=false</x:t>
        </x:is>
      </x:c>
      <x:c r="O1465" s="604" t="inlineStr">
        <x:is>
          <x:t xml:space="preserve">0-0</x:t>
        </x:is>
      </x:c>
      <x:c r="P1465" s="604" t="inlineStr">
        <x:is>
          <x:t xml:space="preserve">NEUTRAL</x:t>
        </x:is>
      </x:c>
      <x:c r="Q1465" s="630" t="inlineStr">
        <x:is>
          <x:t xml:space="preserve"/>
        </x:is>
      </x:c>
      <x:c r="R1465" s="604" t="n"/>
      <x:c r="S1465" s="604" t="n"/>
      <x:c r="T1465" s="604" t="inlineStr">
        <x:is>
          <x:t xml:space="preserve">D:\codex\v3_legacy\outputs\football_odds_trader\raw\titan007\20261009\20261009_085232_titan007_odds_snapshot.csv</x:t>
        </x:is>
      </x:c>
      <x:c r="U1465" s="628" t="inlineStr">
        <x:is>
          <x:t xml:space="preserve"/>
        </x:is>
      </x:c>
      <x:c r="V1465" s="604" t="inlineStr">
        <x:is>
          <x:t xml:space="preserve"/>
        </x:is>
      </x:c>
      <x:c r="W1465" s="604" t="inlineStr">
        <x:is>
          <x:t xml:space="preserve"/>
        </x:is>
      </x:c>
      <x:c r="X1465" s="604" t="inlineStr">
        <x:is>
          <x:t xml:space="preserve">3008851</x:t>
        </x:is>
      </x:c>
      <x:c r="Y1465" s="604" t="inlineStr">
        <x:is>
          <x:t xml:space="preserve">V4</x:t>
        </x:is>
      </x:c>
      <x:c r="Z1465" s="604" t="inlineStr">
        <x:is>
          <x:t xml:space="preserve">prior-2026-10-09-v1</x:t>
        </x:is>
      </x:c>
      <x:c r="AA1465" s="604" t="inlineStr">
        <x:is>
          <x:t xml:space="preserve">N</x:t>
        </x:is>
      </x:c>
      <x:c r="AB1465" s="604" t="n"/>
      <x:c r="AC1465" s="604" t="n"/>
      <x:c r="AD1465" s="604" t="n"/>
      <x:c r="AE1465" s="604" t="n"/>
      <x:c r="AF1465" s="604" t="n"/>
      <x:c r="AG1465" s="604" t="n"/>
      <x:c r="AH1465" s="604" t="n"/>
      <x:c r="AI1465" s="604" t="n"/>
      <x:c r="AJ1465" s="604" t="n"/>
      <x:c r="AK1465" s="604" t="n"/>
      <x:c r="AL1465" s="604" t="n"/>
      <x:c r="AM1465" s="604" t="n"/>
      <x:c r="AN1465" s="604" t="inlineStr">
        <x:is>
          <x:t xml:space="preserve">NEUTRAL</x:t>
        </x:is>
      </x:c>
      <x:c r="AO1465" s="604" t="inlineStr">
        <x:is>
          <x:t xml:space="preserve">PK_NO_GIVING_RECEIVING_IDENTITY</x:t>
        </x:is>
      </x:c>
      <x:c r="AP1465" s="604" t="inlineStr">
        <x:is>
          <x:t xml:space="preserve">52517aadbac70adb8087</x:t>
        </x:is>
      </x:c>
      <x:c r="AQ1465" s="604" t="n"/>
      <x:c r="AR1465" s="604" t="n"/>
      <x:c r="AS1465" s="604" t="n"/>
      <x:c r="AT1465" s="604" t="n"/>
      <x:c r="AU1465" s="604" t="n"/>
      <x:c r="AV1465" s="604" t="n"/>
      <x:c r="AW1465" s="604" t="inlineStr">
        <x:is>
          <x:t xml:space="preserve">2026-10-09T09:01:21.127001+08:00</x:t>
        </x:is>
      </x:c>
      <x:c r="AX1465" s="604" t="inlineStr">
        <x:is>
          <x:t xml:space="preserve">Titan007/V4</x:t>
        </x:is>
      </x:c>
      <x:c r="AY1465" s="604" t="inlineStr">
        <x:is>
          <x:t xml:space="preserve">Daily append；市场输入缺失时不生成决策</x:t>
        </x:is>
      </x:c>
    </x:row>
    <x:row r="1466" ht="22" customHeight="1">
      <x:c r="A1466" s="604" t="inlineStr">
        <x:is>
          <x:t xml:space="preserve">2026-10-09</x:t>
        </x:is>
      </x:c>
      <x:c r="B1466" s="604" t="inlineStr">
        <x:is>
          <x:t xml:space="preserve">2026-10-09T22:00:00+08:00</x:t>
        </x:is>
      </x:c>
      <x:c r="C1466" s="604" t="str">
        <x:v>欧洲非五大系列</x:v>
      </x:c>
      <x:c r="D1466" s="604" t="inlineStr">
        <x:is>
          <x:t xml:space="preserve"/>
        </x:is>
      </x:c>
      <x:c r="E1466" s="604" t="inlineStr">
        <x:is>
          <x:t xml:space="preserve">捷U19</x:t>
        </x:is>
      </x:c>
      <x:c r="F1466" s="604" t="inlineStr">
        <x:is>
          <x:t xml:space="preserve">布杰约维采迪纳摩U19 vs 卡尔维纳U19</x:t>
        </x:is>
      </x:c>
      <x:c r="G1466" s="604" t="n">
        <x:v>0.85</x:v>
      </x:c>
      <x:c r="H1466" s="604" t="n">
        <x:v>1.25</x:v>
      </x:c>
      <x:c r="I1466" s="604" t="n">
        <x:v>0.95</x:v>
      </x:c>
      <x:c r="J1466" s="604" t="inlineStr">
        <x:is>
          <x:t xml:space="preserve">0.85/1.25/0.95</x:t>
        </x:is>
      </x:c>
      <x:c r="K1466" s="604" t="inlineStr">
        <x:is>
          <x:t xml:space="preserve">V4-N</x:t>
        </x:is>
      </x:c>
      <x:c r="L1466" s="604" t="inlineStr">
        <x:is>
          <x:t xml:space="preserve"/>
        </x:is>
      </x:c>
      <x:c r="M1466" s="604" t="n">
        <x:v>0.5240928056816438</x:v>
      </x:c>
      <x:c r="N1466" s="604" t="inlineStr">
        <x:is>
          <x:t xml:space="preserve">V4 Shadow Only；real_money=false</x:t>
        </x:is>
      </x:c>
      <x:c r="O1466" s="604" t="inlineStr">
        <x:is>
          <x:t xml:space="preserve">0-0</x:t>
        </x:is>
      </x:c>
      <x:c r="P1466" s="604" t="inlineStr">
        <x:is>
          <x:t xml:space="preserve">EVALUATED</x:t>
        </x:is>
      </x:c>
      <x:c r="Q1466" s="630" t="inlineStr">
        <x:is>
          <x:t xml:space="preserve"/>
        </x:is>
      </x:c>
      <x:c r="R1466" s="604" t="n"/>
      <x:c r="S1466" s="604" t="n"/>
      <x:c r="T1466" s="604" t="inlineStr">
        <x:is>
          <x:t xml:space="preserve">D:\codex\v3_legacy\outputs\football_odds_trader\raw\titan007\20261009\20261009_085232_titan007_odds_snapshot.csv</x:t>
        </x:is>
      </x:c>
      <x:c r="U1466" s="628" t="inlineStr">
        <x:is>
          <x:t xml:space="preserve"/>
        </x:is>
      </x:c>
      <x:c r="V1466" s="604" t="inlineStr">
        <x:is>
          <x:t xml:space="preserve"/>
        </x:is>
      </x:c>
      <x:c r="W1466" s="604" t="inlineStr">
        <x:is>
          <x:t xml:space="preserve"/>
        </x:is>
      </x:c>
      <x:c r="X1466" s="604" t="inlineStr">
        <x:is>
          <x:t xml:space="preserve">3008852</x:t>
        </x:is>
      </x:c>
      <x:c r="Y1466" s="604" t="inlineStr">
        <x:is>
          <x:t xml:space="preserve">V4</x:t>
        </x:is>
      </x:c>
      <x:c r="Z1466" s="604" t="inlineStr">
        <x:is>
          <x:t xml:space="preserve">prior-2026-10-09-v1</x:t>
        </x:is>
      </x:c>
      <x:c r="AA1466" s="604" t="inlineStr">
        <x:is>
          <x:t xml:space="preserve">N</x:t>
        </x:is>
      </x:c>
      <x:c r="AB1466" s="604" t="n">
        <x:v>0.5240928056816438</x:v>
      </x:c>
      <x:c r="AC1466" s="604" t="n">
        <x:v>0.3530282817846634</x:v>
      </x:c>
      <x:c r="AD1466" s="604" t="n">
        <x:v>1.75</x:v>
      </x:c>
      <x:c r="AE1466" s="604" t="n"/>
      <x:c r="AF1466" s="604" t="n"/>
      <x:c r="AG1466" s="604" t="n">
        <x:v>0.09245060304473385</x:v>
      </x:c>
      <x:c r="AH1466" s="604" t="n"/>
      <x:c r="AI1466" s="604" t="n"/>
      <x:c r="AJ1466" s="604" t="n">
        <x:v>0.09245060304473385</x:v>
      </x:c>
      <x:c r="AK1466" s="604" t="n"/>
      <x:c r="AL1466" s="604" t="n"/>
      <x:c r="AM1466" s="604" t="n"/>
      <x:c r="AN1466" s="604" t="inlineStr">
        <x:is>
          <x:t xml:space="preserve">EVALUATED</x:t>
        </x:is>
      </x:c>
      <x:c r="AO1466" s="604" t="inlineStr">
        <x:is>
          <x:t xml:space="preserve">LOW_QUALITY_GATE;BUCKET_PRIOR_ONLY;INTENT_INTERPRETATION_ONLY;FFL_OPTIONAL;EXPERT_MARKET</x:t>
        </x:is>
      </x:c>
      <x:c r="AP1466" s="604" t="inlineStr">
        <x:is>
          <x:t xml:space="preserve">1a65e02a93eb6ece181c</x:t>
        </x:is>
      </x:c>
      <x:c r="AQ1466" s="604" t="n"/>
      <x:c r="AR1466" s="604" t="n"/>
      <x:c r="AS1466" s="604" t="n">
        <x:v>1.25</x:v>
      </x:c>
      <x:c r="AT1466" s="604" t="n">
        <x:v>-1.25</x:v>
      </x:c>
      <x:c r="AU1466" s="604" t="n">
        <x:v>0.85</x:v>
      </x:c>
      <x:c r="AV1466" s="604" t="n">
        <x:v>0.95</x:v>
      </x:c>
      <x:c r="AW1466" s="604" t="inlineStr">
        <x:is>
          <x:t xml:space="preserve">2026-10-09T09:01:21.127001+08:00</x:t>
        </x:is>
      </x:c>
      <x:c r="AX1466" s="604" t="inlineStr">
        <x:is>
          <x:t xml:space="preserve">Titan007/V4</x:t>
        </x:is>
      </x:c>
      <x:c r="AY1466" s="604" t="inlineStr">
        <x:is>
          <x:t xml:space="preserve">Daily append；市场输入缺失时不生成决策</x:t>
        </x:is>
      </x:c>
    </x:row>
    <x:row r="1467" ht="22" customHeight="1">
      <x:c r="A1467" s="604" t="inlineStr">
        <x:is>
          <x:t xml:space="preserve">2026-10-09</x:t>
        </x:is>
      </x:c>
      <x:c r="B1467" s="604" t="inlineStr">
        <x:is>
          <x:t xml:space="preserve">2026-10-09T18:00:00+08:00</x:t>
        </x:is>
      </x:c>
      <x:c r="C1467" s="604" t="str">
        <x:v>欧洲非五大系列</x:v>
      </x:c>
      <x:c r="D1467" s="604" t="inlineStr">
        <x:is>
          <x:t xml:space="preserve"/>
        </x:is>
      </x:c>
      <x:c r="E1467" s="604" t="inlineStr">
        <x:is>
          <x:t xml:space="preserve">捷U19</x:t>
        </x:is>
      </x:c>
      <x:c r="F1467" s="604" t="inlineStr">
        <x:is>
          <x:t xml:space="preserve">帕尔杜比斯U19 vs 奥斯泰华U19</x:t>
        </x:is>
      </x:c>
      <x:c r="G1467" s="604" t="n">
        <x:v>0.78</x:v>
      </x:c>
      <x:c r="H1467" s="604" t="n">
        <x:v>-0.25</x:v>
      </x:c>
      <x:c r="I1467" s="604" t="n">
        <x:v>1.03</x:v>
      </x:c>
      <x:c r="J1467" s="604" t="inlineStr">
        <x:is>
          <x:t xml:space="preserve">0.78/-0.25/1.03</x:t>
        </x:is>
      </x:c>
      <x:c r="K1467" s="604" t="inlineStr">
        <x:is>
          <x:t xml:space="preserve">V4-N</x:t>
        </x:is>
      </x:c>
      <x:c r="L1467" s="604" t="inlineStr">
        <x:is>
          <x:t xml:space="preserve"/>
        </x:is>
      </x:c>
      <x:c r="M1467" s="604" t="n">
        <x:v>0.3334676396893735</x:v>
      </x:c>
      <x:c r="N1467" s="604" t="inlineStr">
        <x:is>
          <x:t xml:space="preserve">V4 Shadow Only；real_money=false</x:t>
        </x:is>
      </x:c>
      <x:c r="O1467" s="604" t="inlineStr">
        <x:is>
          <x:t xml:space="preserve">0-0</x:t>
        </x:is>
      </x:c>
      <x:c r="P1467" s="604" t="inlineStr">
        <x:is>
          <x:t xml:space="preserve">EVALUATED</x:t>
        </x:is>
      </x:c>
      <x:c r="Q1467" s="630" t="inlineStr">
        <x:is>
          <x:t xml:space="preserve"/>
        </x:is>
      </x:c>
      <x:c r="R1467" s="604" t="n"/>
      <x:c r="S1467" s="604" t="n"/>
      <x:c r="T1467" s="604" t="inlineStr">
        <x:is>
          <x:t xml:space="preserve">D:\codex\v3_legacy\outputs\football_odds_trader\raw\titan007\20261009\20261009_085232_titan007_odds_snapshot.csv</x:t>
        </x:is>
      </x:c>
      <x:c r="U1467" s="628" t="inlineStr">
        <x:is>
          <x:t xml:space="preserve"/>
        </x:is>
      </x:c>
      <x:c r="V1467" s="604" t="inlineStr">
        <x:is>
          <x:t xml:space="preserve"/>
        </x:is>
      </x:c>
      <x:c r="W1467" s="604" t="inlineStr">
        <x:is>
          <x:t xml:space="preserve"/>
        </x:is>
      </x:c>
      <x:c r="X1467" s="604" t="inlineStr">
        <x:is>
          <x:t xml:space="preserve">3008853</x:t>
        </x:is>
      </x:c>
      <x:c r="Y1467" s="604" t="inlineStr">
        <x:is>
          <x:t xml:space="preserve">V4</x:t>
        </x:is>
      </x:c>
      <x:c r="Z1467" s="604" t="inlineStr">
        <x:is>
          <x:t xml:space="preserve">prior-2026-10-09-v1</x:t>
        </x:is>
      </x:c>
      <x:c r="AA1467" s="604" t="inlineStr">
        <x:is>
          <x:t xml:space="preserve">N</x:t>
        </x:is>
      </x:c>
      <x:c r="AB1467" s="604" t="n">
        <x:v>0.3334676396893735</x:v>
      </x:c>
      <x:c r="AC1467" s="604" t="n">
        <x:v>0.5360665566415047</x:v>
      </x:c>
      <x:c r="AD1467" s="604" t="n">
        <x:v>-0.25</x:v>
      </x:c>
      <x:c r="AE1467" s="604" t="n"/>
      <x:c r="AF1467" s="604" t="n"/>
      <x:c r="AG1467" s="604" t="n">
        <x:v>0.08466427449100017</x:v>
      </x:c>
      <x:c r="AH1467" s="604" t="n"/>
      <x:c r="AI1467" s="604" t="n"/>
      <x:c r="AJ1467" s="604" t="n">
        <x:v>0.08466427449100017</x:v>
      </x:c>
      <x:c r="AK1467" s="604" t="n"/>
      <x:c r="AL1467" s="604" t="n"/>
      <x:c r="AM1467" s="604" t="n"/>
      <x:c r="AN1467" s="604" t="inlineStr">
        <x:is>
          <x:t xml:space="preserve">EVALUATED</x:t>
        </x:is>
      </x:c>
      <x:c r="AO1467" s="604" t="inlineStr">
        <x:is>
          <x:t xml:space="preserve">LOW_QUALITY_GATE;BUCKET_PRIOR_ONLY;INTENT_INTERPRETATION_ONLY;FFL_OPTIONAL;EXPERT_MARKET</x:t>
        </x:is>
      </x:c>
      <x:c r="AP1467" s="604" t="inlineStr">
        <x:is>
          <x:t xml:space="preserve">57ae6b2797371e2ac3d4</x:t>
        </x:is>
      </x:c>
      <x:c r="AQ1467" s="604" t="n"/>
      <x:c r="AR1467" s="604" t="n"/>
      <x:c r="AS1467" s="604" t="n">
        <x:v>-0.25</x:v>
      </x:c>
      <x:c r="AT1467" s="604" t="n">
        <x:v>0.25</x:v>
      </x:c>
      <x:c r="AU1467" s="604" t="n">
        <x:v>0.78</x:v>
      </x:c>
      <x:c r="AV1467" s="604" t="n">
        <x:v>1.03</x:v>
      </x:c>
      <x:c r="AW1467" s="604" t="inlineStr">
        <x:is>
          <x:t xml:space="preserve">2026-10-09T09:01:21.127001+08:00</x:t>
        </x:is>
      </x:c>
      <x:c r="AX1467" s="604" t="inlineStr">
        <x:is>
          <x:t xml:space="preserve">Titan007/V4</x:t>
        </x:is>
      </x:c>
      <x:c r="AY1467" s="604" t="inlineStr">
        <x:is>
          <x:t xml:space="preserve">Daily append；市场输入缺失时不生成决策</x:t>
        </x:is>
      </x:c>
    </x:row>
    <x:row r="1468" ht="22" customHeight="1">
      <x:c r="A1468" s="604" t="inlineStr">
        <x:is>
          <x:t xml:space="preserve">2026-10-09</x:t>
        </x:is>
      </x:c>
      <x:c r="B1468" s="604" t="inlineStr">
        <x:is>
          <x:t xml:space="preserve">2026-10-09T18:00:00+08:00</x:t>
        </x:is>
      </x:c>
      <x:c r="C1468" s="604" t="str">
        <x:v>欧洲非五大系列</x:v>
      </x:c>
      <x:c r="D1468" s="604" t="inlineStr">
        <x:is>
          <x:t xml:space="preserve"/>
        </x:is>
      </x:c>
      <x:c r="E1468" s="604" t="inlineStr">
        <x:is>
          <x:t xml:space="preserve">捷U19</x:t>
        </x:is>
      </x:c>
      <x:c r="F1468" s="604" t="inlineStr">
        <x:is>
          <x:t xml:space="preserve">贺拉戴克U19 vs 辛宁U19</x:t>
        </x:is>
      </x:c>
      <x:c r="G1468" s="604" t="n">
        <x:v>0.85</x:v>
      </x:c>
      <x:c r="H1468" s="604" t="n">
        <x:v>1.75</x:v>
      </x:c>
      <x:c r="I1468" s="604" t="n">
        <x:v>0.95</x:v>
      </x:c>
      <x:c r="J1468" s="604" t="inlineStr">
        <x:is>
          <x:t xml:space="preserve">0.85/1.75/0.95</x:t>
        </x:is>
      </x:c>
      <x:c r="K1468" s="604" t="inlineStr">
        <x:is>
          <x:t xml:space="preserve">V4-N</x:t>
        </x:is>
      </x:c>
      <x:c r="L1468" s="604" t="inlineStr">
        <x:is>
          <x:t xml:space="preserve"/>
        </x:is>
      </x:c>
      <x:c r="M1468" s="604" t="n">
        <x:v>0.3998158401953953</x:v>
      </x:c>
      <x:c r="N1468" s="604" t="inlineStr">
        <x:is>
          <x:t xml:space="preserve">V4 Shadow Only；real_money=false</x:t>
        </x:is>
      </x:c>
      <x:c r="O1468" s="604" t="inlineStr">
        <x:is>
          <x:t xml:space="preserve">0-0</x:t>
        </x:is>
      </x:c>
      <x:c r="P1468" s="604" t="inlineStr">
        <x:is>
          <x:t xml:space="preserve">EVALUATED</x:t>
        </x:is>
      </x:c>
      <x:c r="Q1468" s="630" t="inlineStr">
        <x:is>
          <x:t xml:space="preserve"/>
        </x:is>
      </x:c>
      <x:c r="R1468" s="604" t="n"/>
      <x:c r="S1468" s="604" t="n"/>
      <x:c r="T1468" s="604" t="inlineStr">
        <x:is>
          <x:t xml:space="preserve">D:\codex\v3_legacy\outputs\football_odds_trader\raw\titan007\20261009\20261009_085232_titan007_odds_snapshot.csv</x:t>
        </x:is>
      </x:c>
      <x:c r="U1468" s="628" t="inlineStr">
        <x:is>
          <x:t xml:space="preserve"/>
        </x:is>
      </x:c>
      <x:c r="V1468" s="604" t="inlineStr">
        <x:is>
          <x:t xml:space="preserve"/>
        </x:is>
      </x:c>
      <x:c r="W1468" s="604" t="inlineStr">
        <x:is>
          <x:t xml:space="preserve"/>
        </x:is>
      </x:c>
      <x:c r="X1468" s="604" t="inlineStr">
        <x:is>
          <x:t xml:space="preserve">3008854</x:t>
        </x:is>
      </x:c>
      <x:c r="Y1468" s="604" t="inlineStr">
        <x:is>
          <x:t xml:space="preserve">V4</x:t>
        </x:is>
      </x:c>
      <x:c r="Z1468" s="604" t="inlineStr">
        <x:is>
          <x:t xml:space="preserve">prior-2026-10-09-v1</x:t>
        </x:is>
      </x:c>
      <x:c r="AA1468" s="604" t="inlineStr">
        <x:is>
          <x:t xml:space="preserve">N</x:t>
        </x:is>
      </x:c>
      <x:c r="AB1468" s="604" t="n">
        <x:v>0.3998158401953953</x:v>
      </x:c>
      <x:c r="AC1468" s="604" t="n">
        <x:v>0.4850622676600354</x:v>
      </x:c>
      <x:c r="AD1468" s="604" t="n">
        <x:v>1.75</x:v>
      </x:c>
      <x:c r="AE1468" s="604" t="n"/>
      <x:c r="AF1468" s="604" t="n"/>
      <x:c r="AG1468" s="604" t="n">
        <x:v>0.06099331408163827</x:v>
      </x:c>
      <x:c r="AH1468" s="604" t="n"/>
      <x:c r="AI1468" s="604" t="n"/>
      <x:c r="AJ1468" s="604" t="n">
        <x:v>0.06099331408163827</x:v>
      </x:c>
      <x:c r="AK1468" s="604" t="n"/>
      <x:c r="AL1468" s="604" t="n"/>
      <x:c r="AM1468" s="604" t="n"/>
      <x:c r="AN1468" s="604" t="inlineStr">
        <x:is>
          <x:t xml:space="preserve">EVALUATED</x:t>
        </x:is>
      </x:c>
      <x:c r="AO1468" s="604" t="inlineStr">
        <x:is>
          <x:t xml:space="preserve">EDGE_BELOW_UNCERTAINTY_THRESHOLD;BUCKET_PRIOR_ONLY;INTENT_INTERPRETATION_ONLY;FFL_OPTIONAL;EXPERT_MARKET</x:t>
        </x:is>
      </x:c>
      <x:c r="AP1468" s="604" t="inlineStr">
        <x:is>
          <x:t xml:space="preserve">1076055525689fde1cf3</x:t>
        </x:is>
      </x:c>
      <x:c r="AQ1468" s="604" t="n"/>
      <x:c r="AR1468" s="604" t="n"/>
      <x:c r="AS1468" s="604" t="n">
        <x:v>1.75</x:v>
      </x:c>
      <x:c r="AT1468" s="604" t="n">
        <x:v>-1.75</x:v>
      </x:c>
      <x:c r="AU1468" s="604" t="n">
        <x:v>0.85</x:v>
      </x:c>
      <x:c r="AV1468" s="604" t="n">
        <x:v>0.95</x:v>
      </x:c>
      <x:c r="AW1468" s="604" t="inlineStr">
        <x:is>
          <x:t xml:space="preserve">2026-10-09T09:01:21.127001+08:00</x:t>
        </x:is>
      </x:c>
      <x:c r="AX1468" s="604" t="inlineStr">
        <x:is>
          <x:t xml:space="preserve">Titan007/V4</x:t>
        </x:is>
      </x:c>
      <x:c r="AY1468" s="604" t="inlineStr">
        <x:is>
          <x:t xml:space="preserve">Daily append；市场输入缺失时不生成决策</x:t>
        </x:is>
      </x:c>
    </x:row>
    <x:row r="1469" ht="22" customHeight="1">
      <x:c r="A1469" s="604" t="inlineStr">
        <x:is>
          <x:t xml:space="preserve">2026-10-09</x:t>
        </x:is>
      </x:c>
      <x:c r="B1469" s="604" t="inlineStr">
        <x:is>
          <x:t xml:space="preserve">2026-10-09T16:30:00+08:00</x:t>
        </x:is>
      </x:c>
      <x:c r="C1469" s="604" t="str">
        <x:v>欧洲非五大系列</x:v>
      </x:c>
      <x:c r="D1469" s="604" t="inlineStr">
        <x:is>
          <x:t xml:space="preserve"/>
        </x:is>
      </x:c>
      <x:c r="E1469" s="604" t="inlineStr">
        <x:is>
          <x:t xml:space="preserve">捷U19</x:t>
        </x:is>
      </x:c>
      <x:c r="F1469" s="604" t="inlineStr">
        <x:is>
          <x:t xml:space="preserve">皮耳森U19 vs 杜库拉U19</x:t>
        </x:is>
      </x:c>
      <x:c r="G1469" s="604" t="n">
        <x:v>0.95</x:v>
      </x:c>
      <x:c r="H1469" s="604" t="n">
        <x:v>0.75</x:v>
      </x:c>
      <x:c r="I1469" s="604" t="n">
        <x:v>0.85</x:v>
      </x:c>
      <x:c r="J1469" s="604" t="inlineStr">
        <x:is>
          <x:t xml:space="preserve">0.95/0.75/0.85</x:t>
        </x:is>
      </x:c>
      <x:c r="K1469" s="604" t="inlineStr">
        <x:is>
          <x:t xml:space="preserve">V4-N</x:t>
        </x:is>
      </x:c>
      <x:c r="L1469" s="604" t="inlineStr">
        <x:is>
          <x:t xml:space="preserve"/>
        </x:is>
      </x:c>
      <x:c r="M1469" s="604" t="n">
        <x:v>0.4255948314090288</x:v>
      </x:c>
      <x:c r="N1469" s="604" t="inlineStr">
        <x:is>
          <x:t xml:space="preserve">V4 Shadow Only；real_money=false</x:t>
        </x:is>
      </x:c>
      <x:c r="O1469" s="604" t="inlineStr">
        <x:is>
          <x:t xml:space="preserve">0-0</x:t>
        </x:is>
      </x:c>
      <x:c r="P1469" s="604" t="inlineStr">
        <x:is>
          <x:t xml:space="preserve">EVALUATED</x:t>
        </x:is>
      </x:c>
      <x:c r="Q1469" s="630" t="inlineStr">
        <x:is>
          <x:t xml:space="preserve"/>
        </x:is>
      </x:c>
      <x:c r="R1469" s="604" t="n"/>
      <x:c r="S1469" s="604" t="n"/>
      <x:c r="T1469" s="604" t="inlineStr">
        <x:is>
          <x:t xml:space="preserve">D:\codex\v3_legacy\outputs\football_odds_trader\raw\titan007\20261009\20261009_085232_titan007_odds_snapshot.csv</x:t>
        </x:is>
      </x:c>
      <x:c r="U1469" s="628" t="inlineStr">
        <x:is>
          <x:t xml:space="preserve"/>
        </x:is>
      </x:c>
      <x:c r="V1469" s="604" t="inlineStr">
        <x:is>
          <x:t xml:space="preserve"/>
        </x:is>
      </x:c>
      <x:c r="W1469" s="604" t="inlineStr">
        <x:is>
          <x:t xml:space="preserve"/>
        </x:is>
      </x:c>
      <x:c r="X1469" s="604" t="inlineStr">
        <x:is>
          <x:t xml:space="preserve">3008855</x:t>
        </x:is>
      </x:c>
      <x:c r="Y1469" s="604" t="inlineStr">
        <x:is>
          <x:t xml:space="preserve">V4</x:t>
        </x:is>
      </x:c>
      <x:c r="Z1469" s="604" t="inlineStr">
        <x:is>
          <x:t xml:space="preserve">prior-2026-10-09-v1</x:t>
        </x:is>
      </x:c>
      <x:c r="AA1469" s="604" t="inlineStr">
        <x:is>
          <x:t xml:space="preserve">N</x:t>
        </x:is>
      </x:c>
      <x:c r="AB1469" s="604" t="n">
        <x:v>0.4255948314090288</x:v>
      </x:c>
      <x:c r="AC1469" s="604" t="n">
        <x:v>0.4509500943311352</x:v>
      </x:c>
      <x:c r="AD1469" s="604" t="n">
        <x:v>0.75</x:v>
      </x:c>
      <x:c r="AE1469" s="604" t="n"/>
      <x:c r="AF1469" s="604" t="n"/>
      <x:c r="AG1469" s="604" t="n">
        <x:v>-0.04228725122756388</x:v>
      </x:c>
      <x:c r="AH1469" s="604" t="n"/>
      <x:c r="AI1469" s="604" t="n"/>
      <x:c r="AJ1469" s="604" t="n">
        <x:v>-0.04228725122756388</x:v>
      </x:c>
      <x:c r="AK1469" s="604" t="n"/>
      <x:c r="AL1469" s="604" t="n"/>
      <x:c r="AM1469" s="604" t="n"/>
      <x:c r="AN1469" s="604" t="inlineStr">
        <x:is>
          <x:t xml:space="preserve">EVALUATED</x:t>
        </x:is>
      </x:c>
      <x:c r="AO1469" s="604" t="inlineStr">
        <x:is>
          <x:t xml:space="preserve">EDGE_BELOW_UNCERTAINTY_THRESHOLD;BUCKET_PRIOR_ONLY;INTENT_INTERPRETATION_ONLY;FFL_OPTIONAL;EXPERT_MARKET</x:t>
        </x:is>
      </x:c>
      <x:c r="AP1469" s="604" t="inlineStr">
        <x:is>
          <x:t xml:space="preserve">35095b4c24731e1769bc</x:t>
        </x:is>
      </x:c>
      <x:c r="AQ1469" s="604" t="n"/>
      <x:c r="AR1469" s="604" t="n"/>
      <x:c r="AS1469" s="604" t="n">
        <x:v>0.75</x:v>
      </x:c>
      <x:c r="AT1469" s="604" t="n">
        <x:v>-0.75</x:v>
      </x:c>
      <x:c r="AU1469" s="604" t="n">
        <x:v>0.95</x:v>
      </x:c>
      <x:c r="AV1469" s="604" t="n">
        <x:v>0.85</x:v>
      </x:c>
      <x:c r="AW1469" s="604" t="inlineStr">
        <x:is>
          <x:t xml:space="preserve">2026-10-09T09:01:21.127001+08:00</x:t>
        </x:is>
      </x:c>
      <x:c r="AX1469" s="604" t="inlineStr">
        <x:is>
          <x:t xml:space="preserve">Titan007/V4</x:t>
        </x:is>
      </x:c>
      <x:c r="AY1469" s="604" t="inlineStr">
        <x:is>
          <x:t xml:space="preserve">Daily append；市场输入缺失时不生成决策</x:t>
        </x:is>
      </x:c>
    </x:row>
    <x:row r="1470" ht="22" customHeight="1">
      <x:c r="A1470" s="604" t="inlineStr">
        <x:is>
          <x:t xml:space="preserve">2026-10-09</x:t>
        </x:is>
      </x:c>
      <x:c r="B1470" s="604" t="inlineStr">
        <x:is>
          <x:t xml:space="preserve">2026-10-09T17:00:00+08:00</x:t>
        </x:is>
      </x:c>
      <x:c r="C1470" s="604" t="str">
        <x:v>欧洲非五大系列</x:v>
      </x:c>
      <x:c r="D1470" s="604" t="inlineStr">
        <x:is>
          <x:t xml:space="preserve"/>
        </x:is>
      </x:c>
      <x:c r="E1470" s="604" t="inlineStr">
        <x:is>
          <x:t xml:space="preserve">捷U19</x:t>
        </x:is>
      </x:c>
      <x:c r="F1470" s="604" t="inlineStr">
        <x:is>
          <x:t xml:space="preserve">奥林莫斯U19 vs 塔比历斯U19</x:t>
        </x:is>
      </x:c>
      <x:c r="G1470" s="604" t="n">
        <x:v>0.85</x:v>
      </x:c>
      <x:c r="H1470" s="604" t="n">
        <x:v>0.75</x:v>
      </x:c>
      <x:c r="I1470" s="604" t="n">
        <x:v>0.95</x:v>
      </x:c>
      <x:c r="J1470" s="604" t="inlineStr">
        <x:is>
          <x:t xml:space="preserve">0.85/0.75/0.95</x:t>
        </x:is>
      </x:c>
      <x:c r="K1470" s="604" t="inlineStr">
        <x:is>
          <x:t xml:space="preserve">V4-N</x:t>
        </x:is>
      </x:c>
      <x:c r="L1470" s="604" t="inlineStr">
        <x:is>
          <x:t xml:space="preserve"/>
        </x:is>
      </x:c>
      <x:c r="M1470" s="604" t="n">
        <x:v>0.5517596915878104</x:v>
      </x:c>
      <x:c r="N1470" s="604" t="inlineStr">
        <x:is>
          <x:t xml:space="preserve">V4 Shadow Only；real_money=false</x:t>
        </x:is>
      </x:c>
      <x:c r="O1470" s="604" t="inlineStr">
        <x:is>
          <x:t xml:space="preserve">0-0</x:t>
        </x:is>
      </x:c>
      <x:c r="P1470" s="604" t="inlineStr">
        <x:is>
          <x:t xml:space="preserve">EVALUATED</x:t>
        </x:is>
      </x:c>
      <x:c r="Q1470" s="630" t="inlineStr">
        <x:is>
          <x:t xml:space="preserve"/>
        </x:is>
      </x:c>
      <x:c r="R1470" s="604" t="n"/>
      <x:c r="S1470" s="604" t="n"/>
      <x:c r="T1470" s="604" t="inlineStr">
        <x:is>
          <x:t xml:space="preserve">D:\codex\v3_legacy\outputs\football_odds_trader\raw\titan007\20261009\20261009_085232_titan007_odds_snapshot.csv</x:t>
        </x:is>
      </x:c>
      <x:c r="U1470" s="628" t="inlineStr">
        <x:is>
          <x:t xml:space="preserve"/>
        </x:is>
      </x:c>
      <x:c r="V1470" s="604" t="inlineStr">
        <x:is>
          <x:t xml:space="preserve"/>
        </x:is>
      </x:c>
      <x:c r="W1470" s="604" t="inlineStr">
        <x:is>
          <x:t xml:space="preserve"/>
        </x:is>
      </x:c>
      <x:c r="X1470" s="604" t="inlineStr">
        <x:is>
          <x:t xml:space="preserve">3008856</x:t>
        </x:is>
      </x:c>
      <x:c r="Y1470" s="604" t="inlineStr">
        <x:is>
          <x:t xml:space="preserve">V4</x:t>
        </x:is>
      </x:c>
      <x:c r="Z1470" s="604" t="inlineStr">
        <x:is>
          <x:t xml:space="preserve">prior-2026-10-09-v1</x:t>
        </x:is>
      </x:c>
      <x:c r="AA1470" s="604" t="inlineStr">
        <x:is>
          <x:t xml:space="preserve">N</x:t>
        </x:is>
      </x:c>
      <x:c r="AB1470" s="604" t="n">
        <x:v>0.5517596915878104</x:v>
      </x:c>
      <x:c r="AC1470" s="604" t="n">
        <x:v>0.321008447286358</x:v>
      </x:c>
      <x:c r="AD1470" s="604" t="n">
        <x:v>1.25</x:v>
      </x:c>
      <x:c r="AE1470" s="604" t="n"/>
      <x:c r="AF1470" s="604" t="n"/>
      <x:c r="AG1470" s="604" t="n">
        <x:v>0.1479872905632808</x:v>
      </x:c>
      <x:c r="AH1470" s="604" t="n"/>
      <x:c r="AI1470" s="604" t="n"/>
      <x:c r="AJ1470" s="604" t="n">
        <x:v>0.1479872905632808</x:v>
      </x:c>
      <x:c r="AK1470" s="604" t="n"/>
      <x:c r="AL1470" s="604" t="n"/>
      <x:c r="AM1470" s="604" t="n"/>
      <x:c r="AN1470" s="604" t="inlineStr">
        <x:is>
          <x:t xml:space="preserve">EVALUATED</x:t>
        </x:is>
      </x:c>
      <x:c r="AO1470" s="604" t="inlineStr">
        <x:is>
          <x:t xml:space="preserve">LOW_QUALITY_GATE;BUCKET_PRIOR_ONLY;INTENT_INTERPRETATION_ONLY;FFL_OPTIONAL;EXPERT_MARKET</x:t>
        </x:is>
      </x:c>
      <x:c r="AP1470" s="604" t="inlineStr">
        <x:is>
          <x:t xml:space="preserve">5e3b8df296f2b1fbef00</x:t>
        </x:is>
      </x:c>
      <x:c r="AQ1470" s="604" t="n"/>
      <x:c r="AR1470" s="604" t="n"/>
      <x:c r="AS1470" s="604" t="n">
        <x:v>0.75</x:v>
      </x:c>
      <x:c r="AT1470" s="604" t="n">
        <x:v>-0.75</x:v>
      </x:c>
      <x:c r="AU1470" s="604" t="n">
        <x:v>0.85</x:v>
      </x:c>
      <x:c r="AV1470" s="604" t="n">
        <x:v>0.95</x:v>
      </x:c>
      <x:c r="AW1470" s="604" t="inlineStr">
        <x:is>
          <x:t xml:space="preserve">2026-10-09T09:01:21.127001+08:00</x:t>
        </x:is>
      </x:c>
      <x:c r="AX1470" s="604" t="inlineStr">
        <x:is>
          <x:t xml:space="preserve">Titan007/V4</x:t>
        </x:is>
      </x:c>
      <x:c r="AY1470" s="604" t="inlineStr">
        <x:is>
          <x:t xml:space="preserve">Daily append；市场输入缺失时不生成决策</x:t>
        </x:is>
      </x:c>
    </x:row>
    <x:row r="1471" ht="22" customHeight="1">
      <x:c r="A1471" s="604" t="inlineStr">
        <x:is>
          <x:t xml:space="preserve">2026-10-09</x:t>
        </x:is>
      </x:c>
      <x:c r="B1471" s="604" t="inlineStr">
        <x:is>
          <x:t xml:space="preserve">2026-10-09T19:00:00+08:00</x:t>
        </x:is>
      </x:c>
      <x:c r="C1471" s="604" t="str">
        <x:v>欧洲非五大系列</x:v>
      </x:c>
      <x:c r="D1471" s="604" t="inlineStr">
        <x:is>
          <x:t xml:space="preserve"/>
        </x:is>
      </x:c>
      <x:c r="E1471" s="604" t="inlineStr">
        <x:is>
          <x:t xml:space="preserve">捷U19</x:t>
        </x:is>
      </x:c>
      <x:c r="F1471" s="604" t="inlineStr">
        <x:is>
          <x:t xml:space="preserve">布拉格斯拉维亚U19 vs 史洛特U19</x:t>
        </x:is>
      </x:c>
      <x:c r="G1471" s="604" t="n">
        <x:v>0.83</x:v>
      </x:c>
      <x:c r="H1471" s="604" t="n">
        <x:v>0</x:v>
      </x:c>
      <x:c r="I1471" s="604" t="n">
        <x:v>0.98</x:v>
      </x:c>
      <x:c r="J1471" s="604" t="inlineStr">
        <x:is>
          <x:t xml:space="preserve">0.83/0.0/0.98</x:t>
        </x:is>
      </x:c>
      <x:c r="K1471" s="604" t="inlineStr">
        <x:is>
          <x:t xml:space="preserve">V4-N</x:t>
        </x:is>
      </x:c>
      <x:c r="L1471" s="604" t="inlineStr">
        <x:is>
          <x:t xml:space="preserve"/>
        </x:is>
      </x:c>
      <x:c r="M1471" s="604" t="n"/>
      <x:c r="N1471" s="604" t="inlineStr">
        <x:is>
          <x:t xml:space="preserve">V4 Shadow Only；real_money=false</x:t>
        </x:is>
      </x:c>
      <x:c r="O1471" s="604" t="inlineStr">
        <x:is>
          <x:t xml:space="preserve">0-0</x:t>
        </x:is>
      </x:c>
      <x:c r="P1471" s="604" t="inlineStr">
        <x:is>
          <x:t xml:space="preserve">NEUTRAL</x:t>
        </x:is>
      </x:c>
      <x:c r="Q1471" s="630" t="inlineStr">
        <x:is>
          <x:t xml:space="preserve"/>
        </x:is>
      </x:c>
      <x:c r="R1471" s="604" t="n"/>
      <x:c r="S1471" s="604" t="n"/>
      <x:c r="T1471" s="604" t="inlineStr">
        <x:is>
          <x:t xml:space="preserve">D:\codex\v3_legacy\outputs\football_odds_trader\raw\titan007\20261009\20261009_085232_titan007_odds_snapshot.csv</x:t>
        </x:is>
      </x:c>
      <x:c r="U1471" s="628" t="inlineStr">
        <x:is>
          <x:t xml:space="preserve"/>
        </x:is>
      </x:c>
      <x:c r="V1471" s="604" t="inlineStr">
        <x:is>
          <x:t xml:space="preserve"/>
        </x:is>
      </x:c>
      <x:c r="W1471" s="604" t="inlineStr">
        <x:is>
          <x:t xml:space="preserve"/>
        </x:is>
      </x:c>
      <x:c r="X1471" s="604" t="inlineStr">
        <x:is>
          <x:t xml:space="preserve">3008857</x:t>
        </x:is>
      </x:c>
      <x:c r="Y1471" s="604" t="inlineStr">
        <x:is>
          <x:t xml:space="preserve">V4</x:t>
        </x:is>
      </x:c>
      <x:c r="Z1471" s="604" t="inlineStr">
        <x:is>
          <x:t xml:space="preserve">prior-2026-10-09-v1</x:t>
        </x:is>
      </x:c>
      <x:c r="AA1471" s="604" t="inlineStr">
        <x:is>
          <x:t xml:space="preserve">N</x:t>
        </x:is>
      </x:c>
      <x:c r="AB1471" s="604" t="n"/>
      <x:c r="AC1471" s="604" t="n"/>
      <x:c r="AD1471" s="604" t="n"/>
      <x:c r="AE1471" s="604" t="n"/>
      <x:c r="AF1471" s="604" t="n"/>
      <x:c r="AG1471" s="604" t="n"/>
      <x:c r="AH1471" s="604" t="n"/>
      <x:c r="AI1471" s="604" t="n"/>
      <x:c r="AJ1471" s="604" t="n"/>
      <x:c r="AK1471" s="604" t="n"/>
      <x:c r="AL1471" s="604" t="n"/>
      <x:c r="AM1471" s="604" t="n"/>
      <x:c r="AN1471" s="604" t="inlineStr">
        <x:is>
          <x:t xml:space="preserve">NEUTRAL</x:t>
        </x:is>
      </x:c>
      <x:c r="AO1471" s="604" t="inlineStr">
        <x:is>
          <x:t xml:space="preserve">PK_NO_GIVING_RECEIVING_IDENTITY</x:t>
        </x:is>
      </x:c>
      <x:c r="AP1471" s="604" t="inlineStr">
        <x:is>
          <x:t xml:space="preserve">739892e99884243a355d</x:t>
        </x:is>
      </x:c>
      <x:c r="AQ1471" s="604" t="n"/>
      <x:c r="AR1471" s="604" t="n"/>
      <x:c r="AS1471" s="604" t="n"/>
      <x:c r="AT1471" s="604" t="n"/>
      <x:c r="AU1471" s="604" t="n"/>
      <x:c r="AV1471" s="604" t="n"/>
      <x:c r="AW1471" s="604" t="inlineStr">
        <x:is>
          <x:t xml:space="preserve">2026-10-09T09:01:21.127001+08:00</x:t>
        </x:is>
      </x:c>
      <x:c r="AX1471" s="604" t="inlineStr">
        <x:is>
          <x:t xml:space="preserve">Titan007/V4</x:t>
        </x:is>
      </x:c>
      <x:c r="AY1471" s="604" t="inlineStr">
        <x:is>
          <x:t xml:space="preserve">Daily append；市场输入缺失时不生成决策</x:t>
        </x:is>
      </x:c>
    </x:row>
    <x:row r="1472" ht="22" customHeight="1">
      <x:c r="A1472" s="604" t="inlineStr">
        <x:is>
          <x:t xml:space="preserve">2026-10-09</x:t>
        </x:is>
      </x:c>
      <x:c r="B1472" s="604" t="inlineStr">
        <x:is>
          <x:t xml:space="preserve">2026-10-09T19:00:00+08:00</x:t>
        </x:is>
      </x:c>
      <x:c r="C1472" s="604" t="str">
        <x:v>欧洲非五大系列</x:v>
      </x:c>
      <x:c r="D1472" s="604" t="inlineStr">
        <x:is>
          <x:t xml:space="preserve"/>
        </x:is>
      </x:c>
      <x:c r="E1472" s="604" t="inlineStr">
        <x:is>
          <x:t xml:space="preserve">捷U19</x:t>
        </x:is>
      </x:c>
      <x:c r="F1472" s="604" t="inlineStr">
        <x:is>
          <x:t xml:space="preserve">布拉格斯巴达U19 vs 奥帕华U19</x:t>
        </x:is>
      </x:c>
      <x:c r="G1472" s="604" t="n">
        <x:v>0.85</x:v>
      </x:c>
      <x:c r="H1472" s="604" t="n">
        <x:v>0.5</x:v>
      </x:c>
      <x:c r="I1472" s="604" t="n">
        <x:v>0.95</x:v>
      </x:c>
      <x:c r="J1472" s="604" t="inlineStr">
        <x:is>
          <x:t xml:space="preserve">0.85/0.5/0.95</x:t>
        </x:is>
      </x:c>
      <x:c r="K1472" s="604" t="inlineStr">
        <x:is>
          <x:t xml:space="preserve">V4-N</x:t>
        </x:is>
      </x:c>
      <x:c r="L1472" s="604" t="inlineStr">
        <x:is>
          <x:t xml:space="preserve"/>
        </x:is>
      </x:c>
      <x:c r="M1472" s="604" t="n">
        <x:v>0.5417299954754053</x:v>
      </x:c>
      <x:c r="N1472" s="604" t="inlineStr">
        <x:is>
          <x:t xml:space="preserve">V4 Shadow Only；real_money=false</x:t>
        </x:is>
      </x:c>
      <x:c r="O1472" s="604" t="inlineStr">
        <x:is>
          <x:t xml:space="preserve">0-0</x:t>
        </x:is>
      </x:c>
      <x:c r="P1472" s="604" t="inlineStr">
        <x:is>
          <x:t xml:space="preserve">EVALUATED</x:t>
        </x:is>
      </x:c>
      <x:c r="Q1472" s="630" t="inlineStr">
        <x:is>
          <x:t xml:space="preserve"/>
        </x:is>
      </x:c>
      <x:c r="R1472" s="604" t="n"/>
      <x:c r="S1472" s="604" t="n"/>
      <x:c r="T1472" s="604" t="inlineStr">
        <x:is>
          <x:t xml:space="preserve">D:\codex\v3_legacy\outputs\football_odds_trader\raw\titan007\20261009\20261009_085232_titan007_odds_snapshot.csv</x:t>
        </x:is>
      </x:c>
      <x:c r="U1472" s="628" t="inlineStr">
        <x:is>
          <x:t xml:space="preserve"/>
        </x:is>
      </x:c>
      <x:c r="V1472" s="604" t="inlineStr">
        <x:is>
          <x:t xml:space="preserve"/>
        </x:is>
      </x:c>
      <x:c r="W1472" s="604" t="inlineStr">
        <x:is>
          <x:t xml:space="preserve"/>
        </x:is>
      </x:c>
      <x:c r="X1472" s="604" t="inlineStr">
        <x:is>
          <x:t xml:space="preserve">3008858</x:t>
        </x:is>
      </x:c>
      <x:c r="Y1472" s="604" t="inlineStr">
        <x:is>
          <x:t xml:space="preserve">V4</x:t>
        </x:is>
      </x:c>
      <x:c r="Z1472" s="604" t="inlineStr">
        <x:is>
          <x:t xml:space="preserve">prior-2026-10-09-v1</x:t>
        </x:is>
      </x:c>
      <x:c r="AA1472" s="604" t="inlineStr">
        <x:is>
          <x:t xml:space="preserve">N</x:t>
        </x:is>
      </x:c>
      <x:c r="AB1472" s="604" t="n">
        <x:v>0.5417299954754053</x:v>
      </x:c>
      <x:c r="AC1472" s="604" t="n">
        <x:v>0.4582700045245946</x:v>
      </x:c>
      <x:c r="AD1472" s="604" t="n">
        <x:v>0.75</x:v>
      </x:c>
      <x:c r="AE1472" s="604" t="n"/>
      <x:c r="AF1472" s="604" t="n"/>
      <x:c r="AG1472" s="604" t="n">
        <x:v>0.002200491629499923</x:v>
      </x:c>
      <x:c r="AH1472" s="604" t="n"/>
      <x:c r="AI1472" s="604" t="n"/>
      <x:c r="AJ1472" s="604" t="n">
        <x:v>0.002200491629499923</x:v>
      </x:c>
      <x:c r="AK1472" s="604" t="n"/>
      <x:c r="AL1472" s="604" t="n"/>
      <x:c r="AM1472" s="604" t="n"/>
      <x:c r="AN1472" s="604" t="inlineStr">
        <x:is>
          <x:t xml:space="preserve">EVALUATED</x:t>
        </x:is>
      </x:c>
      <x:c r="AO1472" s="604" t="inlineStr">
        <x:is>
          <x:t xml:space="preserve">EDGE_BELOW_UNCERTAINTY_THRESHOLD;BUCKET_PRIOR_ONLY;INTENT_INTERPRETATION_ONLY;FFL_OPTIONAL;EXPERT_MARKET</x:t>
        </x:is>
      </x:c>
      <x:c r="AP1472" s="604" t="inlineStr">
        <x:is>
          <x:t xml:space="preserve">a3355da182f9cbe99cbc</x:t>
        </x:is>
      </x:c>
      <x:c r="AQ1472" s="604" t="n"/>
      <x:c r="AR1472" s="604" t="n"/>
      <x:c r="AS1472" s="604" t="n">
        <x:v>0.5</x:v>
      </x:c>
      <x:c r="AT1472" s="604" t="n">
        <x:v>-0.5</x:v>
      </x:c>
      <x:c r="AU1472" s="604" t="n">
        <x:v>0.85</x:v>
      </x:c>
      <x:c r="AV1472" s="604" t="n">
        <x:v>0.95</x:v>
      </x:c>
      <x:c r="AW1472" s="604" t="inlineStr">
        <x:is>
          <x:t xml:space="preserve">2026-10-09T09:01:21.127001+08:00</x:t>
        </x:is>
      </x:c>
      <x:c r="AX1472" s="604" t="inlineStr">
        <x:is>
          <x:t xml:space="preserve">Titan007/V4</x:t>
        </x:is>
      </x:c>
      <x:c r="AY1472" s="604" t="inlineStr">
        <x:is>
          <x:t xml:space="preserve">Daily append；市场输入缺失时不生成决策</x:t>
        </x:is>
      </x:c>
    </x:row>
    <x:row r="1473" ht="22" customHeight="1">
      <x:c r="A1473" s="604" t="inlineStr">
        <x:is>
          <x:t xml:space="preserve">2026-10-09</x:t>
        </x:is>
      </x:c>
      <x:c r="B1473" s="604" t="inlineStr">
        <x:is>
          <x:t xml:space="preserve">2026-10-10T02:45:00+08:00</x:t>
        </x:is>
      </x:c>
      <x:c r="C1473" s="604" t="str">
        <x:v>欧洲非五大系列</x:v>
      </x:c>
      <x:c r="D1473" s="604" t="inlineStr">
        <x:is>
          <x:t xml:space="preserve"/>
        </x:is>
      </x:c>
      <x:c r="E1473" s="604" t="inlineStr">
        <x:is>
          <x:t xml:space="preserve">北爱冠</x:t>
        </x:is>
      </x:c>
      <x:c r="F1473" s="604" t="inlineStr">
        <x:is>
          <x:t xml:space="preserve">纽因顿 vs 阿尔斯</x:t>
        </x:is>
      </x:c>
      <x:c r="G1473" s="604" t="n">
        <x:v>0.95</x:v>
      </x:c>
      <x:c r="H1473" s="604" t="n">
        <x:v>0.75</x:v>
      </x:c>
      <x:c r="I1473" s="604" t="n">
        <x:v>0.85</x:v>
      </x:c>
      <x:c r="J1473" s="604" t="inlineStr">
        <x:is>
          <x:t xml:space="preserve">0.95/0.75/0.85</x:t>
        </x:is>
      </x:c>
      <x:c r="K1473" s="604" t="inlineStr">
        <x:is>
          <x:t xml:space="preserve">V4-N</x:t>
        </x:is>
      </x:c>
      <x:c r="L1473" s="604" t="inlineStr">
        <x:is>
          <x:t xml:space="preserve"/>
        </x:is>
      </x:c>
      <x:c r="M1473" s="604" t="n">
        <x:v>0.4735037449676329</x:v>
      </x:c>
      <x:c r="N1473" s="604" t="inlineStr">
        <x:is>
          <x:t xml:space="preserve">V4 Shadow Only；real_money=false</x:t>
        </x:is>
      </x:c>
      <x:c r="O1473" s="604" t="inlineStr">
        <x:is>
          <x:t xml:space="preserve">0-0</x:t>
        </x:is>
      </x:c>
      <x:c r="P1473" s="604" t="inlineStr">
        <x:is>
          <x:t xml:space="preserve">EVALUATED</x:t>
        </x:is>
      </x:c>
      <x:c r="Q1473" s="630" t="inlineStr">
        <x:is>
          <x:t xml:space="preserve"/>
        </x:is>
      </x:c>
      <x:c r="R1473" s="604" t="n"/>
      <x:c r="S1473" s="604" t="n"/>
      <x:c r="T1473" s="604" t="inlineStr">
        <x:is>
          <x:t xml:space="preserve">D:\codex\v3_legacy\outputs\football_odds_trader\raw\titan007\20261009\20261009_085232_titan007_odds_snapshot.csv</x:t>
        </x:is>
      </x:c>
      <x:c r="U1473" s="628" t="inlineStr">
        <x:is>
          <x:t xml:space="preserve"/>
        </x:is>
      </x:c>
      <x:c r="V1473" s="604" t="inlineStr">
        <x:is>
          <x:t xml:space="preserve"/>
        </x:is>
      </x:c>
      <x:c r="W1473" s="604" t="inlineStr">
        <x:is>
          <x:t xml:space="preserve"/>
        </x:is>
      </x:c>
      <x:c r="X1473" s="604" t="inlineStr">
        <x:is>
          <x:t xml:space="preserve">3008982</x:t>
        </x:is>
      </x:c>
      <x:c r="Y1473" s="604" t="inlineStr">
        <x:is>
          <x:t xml:space="preserve">V4</x:t>
        </x:is>
      </x:c>
      <x:c r="Z1473" s="604" t="inlineStr">
        <x:is>
          <x:t xml:space="preserve">prior-2026-10-09-v1</x:t>
        </x:is>
      </x:c>
      <x:c r="AA1473" s="604" t="inlineStr">
        <x:is>
          <x:t xml:space="preserve">N</x:t>
        </x:is>
      </x:c>
      <x:c r="AB1473" s="604" t="n">
        <x:v>0.4735037449676329</x:v>
      </x:c>
      <x:c r="AC1473" s="604" t="n">
        <x:v>0.3997326624101696</x:v>
      </x:c>
      <x:c r="AD1473" s="604" t="n">
        <x:v>1</x:v>
      </x:c>
      <x:c r="AE1473" s="604" t="n"/>
      <x:c r="AF1473" s="604" t="n"/>
      <x:c r="AG1473" s="604" t="n">
        <x:v>0.05009589530908165</x:v>
      </x:c>
      <x:c r="AH1473" s="604" t="n"/>
      <x:c r="AI1473" s="604" t="n"/>
      <x:c r="AJ1473" s="604" t="n">
        <x:v>0.05009589530908165</x:v>
      </x:c>
      <x:c r="AK1473" s="604" t="n"/>
      <x:c r="AL1473" s="604" t="n"/>
      <x:c r="AM1473" s="604" t="n"/>
      <x:c r="AN1473" s="604" t="inlineStr">
        <x:is>
          <x:t xml:space="preserve">EVALUATED</x:t>
        </x:is>
      </x:c>
      <x:c r="AO1473" s="604" t="inlineStr">
        <x:is>
          <x:t xml:space="preserve">EDGE_BELOW_UNCERTAINTY_THRESHOLD;BUCKET_PRIOR_ONLY;INTENT_INTERPRETATION_ONLY;FFL_OPTIONAL;EXPERT_MARKET</x:t>
        </x:is>
      </x:c>
      <x:c r="AP1473" s="604" t="inlineStr">
        <x:is>
          <x:t xml:space="preserve">62ea919600a7f27c6f3e</x:t>
        </x:is>
      </x:c>
      <x:c r="AQ1473" s="604" t="n"/>
      <x:c r="AR1473" s="604" t="n"/>
      <x:c r="AS1473" s="604" t="n">
        <x:v>0.75</x:v>
      </x:c>
      <x:c r="AT1473" s="604" t="n">
        <x:v>-0.75</x:v>
      </x:c>
      <x:c r="AU1473" s="604" t="n">
        <x:v>0.95</x:v>
      </x:c>
      <x:c r="AV1473" s="604" t="n">
        <x:v>0.85</x:v>
      </x:c>
      <x:c r="AW1473" s="604" t="inlineStr">
        <x:is>
          <x:t xml:space="preserve">2026-10-09T09:01:21.127001+08:00</x:t>
        </x:is>
      </x:c>
      <x:c r="AX1473" s="604" t="inlineStr">
        <x:is>
          <x:t xml:space="preserve">Titan007/V4</x:t>
        </x:is>
      </x:c>
      <x:c r="AY1473" s="604" t="inlineStr">
        <x:is>
          <x:t xml:space="preserve">Daily append；市场输入缺失时不生成决策</x:t>
        </x:is>
      </x:c>
    </x:row>
    <x:row r="1474" ht="22" customHeight="1">
      <x:c r="A1474" s="604" t="inlineStr">
        <x:is>
          <x:t xml:space="preserve">2026-10-09</x:t>
        </x:is>
      </x:c>
      <x:c r="B1474" s="604" t="inlineStr">
        <x:is>
          <x:t xml:space="preserve">2026-10-10T02:45:00+08:00</x:t>
        </x:is>
      </x:c>
      <x:c r="C1474" s="604" t="str">
        <x:v>欧洲非五大系列</x:v>
      </x:c>
      <x:c r="D1474" s="604" t="inlineStr">
        <x:is>
          <x:t xml:space="preserve"/>
        </x:is>
      </x:c>
      <x:c r="E1474" s="604" t="inlineStr">
        <x:is>
          <x:t xml:space="preserve">北爱冠</x:t>
        </x:is>
      </x:c>
      <x:c r="F1474" s="604" t="inlineStr">
        <x:is>
          <x:t xml:space="preserve">纽维城 vs 邓迪拉</x:t>
        </x:is>
      </x:c>
      <x:c r="G1474" s="604" t="n">
        <x:v>0.83</x:v>
      </x:c>
      <x:c r="H1474" s="604" t="n">
        <x:v>0.75</x:v>
      </x:c>
      <x:c r="I1474" s="604" t="n">
        <x:v>0.98</x:v>
      </x:c>
      <x:c r="J1474" s="604" t="inlineStr">
        <x:is>
          <x:t xml:space="preserve">0.83/0.75/0.98</x:t>
        </x:is>
      </x:c>
      <x:c r="K1474" s="604" t="inlineStr">
        <x:is>
          <x:t xml:space="preserve">V4-N</x:t>
        </x:is>
      </x:c>
      <x:c r="L1474" s="604" t="inlineStr">
        <x:is>
          <x:t xml:space="preserve"/>
        </x:is>
      </x:c>
      <x:c r="M1474" s="604" t="n">
        <x:v>0.5082752807527291</x:v>
      </x:c>
      <x:c r="N1474" s="604" t="inlineStr">
        <x:is>
          <x:t xml:space="preserve">V4 Shadow Only；real_money=false</x:t>
        </x:is>
      </x:c>
      <x:c r="O1474" s="604" t="inlineStr">
        <x:is>
          <x:t xml:space="preserve">0-0</x:t>
        </x:is>
      </x:c>
      <x:c r="P1474" s="604" t="inlineStr">
        <x:is>
          <x:t xml:space="preserve">EVALUATED</x:t>
        </x:is>
      </x:c>
      <x:c r="Q1474" s="630" t="inlineStr">
        <x:is>
          <x:t xml:space="preserve"/>
        </x:is>
      </x:c>
      <x:c r="R1474" s="604" t="n"/>
      <x:c r="S1474" s="604" t="n"/>
      <x:c r="T1474" s="604" t="inlineStr">
        <x:is>
          <x:t xml:space="preserve">D:\codex\v3_legacy\outputs\football_odds_trader\raw\titan007\20261009\20261009_085232_titan007_odds_snapshot.csv</x:t>
        </x:is>
      </x:c>
      <x:c r="U1474" s="628" t="inlineStr">
        <x:is>
          <x:t xml:space="preserve"/>
        </x:is>
      </x:c>
      <x:c r="V1474" s="604" t="inlineStr">
        <x:is>
          <x:t xml:space="preserve"/>
        </x:is>
      </x:c>
      <x:c r="W1474" s="604" t="inlineStr">
        <x:is>
          <x:t xml:space="preserve"/>
        </x:is>
      </x:c>
      <x:c r="X1474" s="604" t="inlineStr">
        <x:is>
          <x:t xml:space="preserve">3008983</x:t>
        </x:is>
      </x:c>
      <x:c r="Y1474" s="604" t="inlineStr">
        <x:is>
          <x:t xml:space="preserve">V4</x:t>
        </x:is>
      </x:c>
      <x:c r="Z1474" s="604" t="inlineStr">
        <x:is>
          <x:t xml:space="preserve">prior-2026-10-09-v1</x:t>
        </x:is>
      </x:c>
      <x:c r="AA1474" s="604" t="inlineStr">
        <x:is>
          <x:t xml:space="preserve">N</x:t>
        </x:is>
      </x:c>
      <x:c r="AB1474" s="604" t="n">
        <x:v>0.5082752807527291</x:v>
      </x:c>
      <x:c r="AC1474" s="604" t="n">
        <x:v>0.363777503910105</x:v>
      </x:c>
      <x:c r="AD1474" s="604" t="n">
        <x:v>1</x:v>
      </x:c>
      <x:c r="AE1474" s="604" t="n"/>
      <x:c r="AF1474" s="604" t="n"/>
      <x:c r="AG1474" s="604" t="n">
        <x:v>0.05809097911466016</x:v>
      </x:c>
      <x:c r="AH1474" s="604" t="n"/>
      <x:c r="AI1474" s="604" t="n"/>
      <x:c r="AJ1474" s="604" t="n">
        <x:v>0.05809097911466016</x:v>
      </x:c>
      <x:c r="AK1474" s="604" t="n"/>
      <x:c r="AL1474" s="604" t="n"/>
      <x:c r="AM1474" s="604" t="n"/>
      <x:c r="AN1474" s="604" t="inlineStr">
        <x:is>
          <x:t xml:space="preserve">EVALUATED</x:t>
        </x:is>
      </x:c>
      <x:c r="AO1474" s="604" t="inlineStr">
        <x:is>
          <x:t xml:space="preserve">EDGE_BELOW_UNCERTAINTY_THRESHOLD;BUCKET_PRIOR_ONLY;INTENT_INTERPRETATION_ONLY;FFL_OPTIONAL;EXPERT_MARKET</x:t>
        </x:is>
      </x:c>
      <x:c r="AP1474" s="604" t="inlineStr">
        <x:is>
          <x:t xml:space="preserve">0800b515970c5d48254d</x:t>
        </x:is>
      </x:c>
      <x:c r="AQ1474" s="604" t="n"/>
      <x:c r="AR1474" s="604" t="n"/>
      <x:c r="AS1474" s="604" t="n">
        <x:v>0.75</x:v>
      </x:c>
      <x:c r="AT1474" s="604" t="n">
        <x:v>-0.75</x:v>
      </x:c>
      <x:c r="AU1474" s="604" t="n">
        <x:v>0.83</x:v>
      </x:c>
      <x:c r="AV1474" s="604" t="n">
        <x:v>0.98</x:v>
      </x:c>
      <x:c r="AW1474" s="604" t="inlineStr">
        <x:is>
          <x:t xml:space="preserve">2026-10-09T09:01:21.127001+08:00</x:t>
        </x:is>
      </x:c>
      <x:c r="AX1474" s="604" t="inlineStr">
        <x:is>
          <x:t xml:space="preserve">Titan007/V4</x:t>
        </x:is>
      </x:c>
      <x:c r="AY1474" s="604" t="inlineStr">
        <x:is>
          <x:t xml:space="preserve">Daily append；市场输入缺失时不生成决策</x:t>
        </x:is>
      </x:c>
    </x:row>
    <x:row r="1475" ht="22" customHeight="1">
      <x:c r="A1475" s="604" t="inlineStr">
        <x:is>
          <x:t xml:space="preserve">2026-10-09</x:t>
        </x:is>
      </x:c>
      <x:c r="B1475" s="604" t="inlineStr">
        <x:is>
          <x:t xml:space="preserve">2026-10-10T02:45:00+08:00</x:t>
        </x:is>
      </x:c>
      <x:c r="C1475" s="604" t="str">
        <x:v>欧洲非五大系列</x:v>
      </x:c>
      <x:c r="D1475" s="604" t="inlineStr">
        <x:is>
          <x:t xml:space="preserve"/>
        </x:is>
      </x:c>
      <x:c r="E1475" s="604" t="inlineStr">
        <x:is>
          <x:t xml:space="preserve">北爱冠</x:t>
        </x:is>
      </x:c>
      <x:c r="F1475" s="604" t="inlineStr">
        <x:is>
          <x:t xml:space="preserve">拉夫利兰流浪者 vs 阿尔马城</x:t>
        </x:is>
      </x:c>
      <x:c r="G1475" s="604" t="n">
        <x:v>1</x:v>
      </x:c>
      <x:c r="H1475" s="604" t="n">
        <x:v>0.75</x:v>
      </x:c>
      <x:c r="I1475" s="604" t="n">
        <x:v>0.8</x:v>
      </x:c>
      <x:c r="J1475" s="604" t="inlineStr">
        <x:is>
          <x:t xml:space="preserve">1.0/0.75/0.8</x:t>
        </x:is>
      </x:c>
      <x:c r="K1475" s="604" t="inlineStr">
        <x:is>
          <x:t xml:space="preserve">V4-N</x:t>
        </x:is>
      </x:c>
      <x:c r="L1475" s="604" t="inlineStr">
        <x:is>
          <x:t xml:space="preserve"/>
        </x:is>
      </x:c>
      <x:c r="M1475" s="604" t="n">
        <x:v>0.4686655990643736</x:v>
      </x:c>
      <x:c r="N1475" s="604" t="inlineStr">
        <x:is>
          <x:t xml:space="preserve">V4 Shadow Only；real_money=false</x:t>
        </x:is>
      </x:c>
      <x:c r="O1475" s="604" t="inlineStr">
        <x:is>
          <x:t xml:space="preserve">0-0</x:t>
        </x:is>
      </x:c>
      <x:c r="P1475" s="604" t="inlineStr">
        <x:is>
          <x:t xml:space="preserve">EVALUATED</x:t>
        </x:is>
      </x:c>
      <x:c r="Q1475" s="630" t="inlineStr">
        <x:is>
          <x:t xml:space="preserve"/>
        </x:is>
      </x:c>
      <x:c r="R1475" s="604" t="n"/>
      <x:c r="S1475" s="604" t="n"/>
      <x:c r="T1475" s="604" t="inlineStr">
        <x:is>
          <x:t xml:space="preserve">D:\codex\v3_legacy\outputs\football_odds_trader\raw\titan007\20261009\20261009_085232_titan007_odds_snapshot.csv</x:t>
        </x:is>
      </x:c>
      <x:c r="U1475" s="628" t="inlineStr">
        <x:is>
          <x:t xml:space="preserve"/>
        </x:is>
      </x:c>
      <x:c r="V1475" s="604" t="inlineStr">
        <x:is>
          <x:t xml:space="preserve"/>
        </x:is>
      </x:c>
      <x:c r="W1475" s="604" t="inlineStr">
        <x:is>
          <x:t xml:space="preserve"/>
        </x:is>
      </x:c>
      <x:c r="X1475" s="604" t="inlineStr">
        <x:is>
          <x:t xml:space="preserve">3008985</x:t>
        </x:is>
      </x:c>
      <x:c r="Y1475" s="604" t="inlineStr">
        <x:is>
          <x:t xml:space="preserve">V4</x:t>
        </x:is>
      </x:c>
      <x:c r="Z1475" s="604" t="inlineStr">
        <x:is>
          <x:t xml:space="preserve">prior-2026-10-09-v1</x:t>
        </x:is>
      </x:c>
      <x:c r="AA1475" s="604" t="inlineStr">
        <x:is>
          <x:t xml:space="preserve">N</x:t>
        </x:is>
      </x:c>
      <x:c r="AB1475" s="604" t="n">
        <x:v>0.4686655990643736</x:v>
      </x:c>
      <x:c r="AC1475" s="604" t="n">
        <x:v>0.404723649124821</x:v>
      </x:c>
      <x:c r="AD1475" s="604" t="n">
        <x:v>1</x:v>
      </x:c>
      <x:c r="AE1475" s="604" t="n"/>
      <x:c r="AF1475" s="604" t="n"/>
      <x:c r="AG1475" s="604" t="n">
        <x:v>0.06394194993955266</x:v>
      </x:c>
      <x:c r="AH1475" s="604" t="n"/>
      <x:c r="AI1475" s="604" t="n"/>
      <x:c r="AJ1475" s="604" t="n">
        <x:v>0.06394194993955266</x:v>
      </x:c>
      <x:c r="AK1475" s="604" t="n"/>
      <x:c r="AL1475" s="604" t="n"/>
      <x:c r="AM1475" s="604" t="n"/>
      <x:c r="AN1475" s="604" t="inlineStr">
        <x:is>
          <x:t xml:space="preserve">EVALUATED</x:t>
        </x:is>
      </x:c>
      <x:c r="AO1475" s="604" t="inlineStr">
        <x:is>
          <x:t xml:space="preserve">LOW_QUALITY_GATE;BUCKET_PRIOR_ONLY;INTENT_INTERPRETATION_ONLY;FFL_OPTIONAL;EXPERT_MARKET</x:t>
        </x:is>
      </x:c>
      <x:c r="AP1475" s="604" t="inlineStr">
        <x:is>
          <x:t xml:space="preserve">db5bbe8ddfadf59f72df</x:t>
        </x:is>
      </x:c>
      <x:c r="AQ1475" s="604" t="n"/>
      <x:c r="AR1475" s="604" t="n"/>
      <x:c r="AS1475" s="604" t="n">
        <x:v>0.75</x:v>
      </x:c>
      <x:c r="AT1475" s="604" t="n">
        <x:v>-0.75</x:v>
      </x:c>
      <x:c r="AU1475" s="604" t="n">
        <x:v>1</x:v>
      </x:c>
      <x:c r="AV1475" s="604" t="n">
        <x:v>0.8</x:v>
      </x:c>
      <x:c r="AW1475" s="604" t="inlineStr">
        <x:is>
          <x:t xml:space="preserve">2026-10-09T09:01:21.127001+08:00</x:t>
        </x:is>
      </x:c>
      <x:c r="AX1475" s="604" t="inlineStr">
        <x:is>
          <x:t xml:space="preserve">Titan007/V4</x:t>
        </x:is>
      </x:c>
      <x:c r="AY1475" s="604" t="inlineStr">
        <x:is>
          <x:t xml:space="preserve">Daily append；市场输入缺失时不生成决策</x:t>
        </x:is>
      </x:c>
    </x:row>
    <x:row r="1476" ht="22" customHeight="1">
      <x:c r="A1476" s="604" t="inlineStr">
        <x:is>
          <x:t xml:space="preserve">2026-10-09</x:t>
        </x:is>
      </x:c>
      <x:c r="B1476" s="604" t="inlineStr">
        <x:is>
          <x:t xml:space="preserve">2026-10-10T00:00:00+08:00</x:t>
        </x:is>
      </x:c>
      <x:c r="C1476" s="604" t="str">
        <x:v>欧洲非五大系列</x:v>
      </x:c>
      <x:c r="D1476" s="604" t="inlineStr">
        <x:is>
          <x:t xml:space="preserve"/>
        </x:is>
      </x:c>
      <x:c r="E1476" s="604" t="inlineStr">
        <x:is>
          <x:t xml:space="preserve">捷丙</x:t>
        </x:is>
      </x:c>
      <x:c r="F1476" s="604" t="inlineStr">
        <x:is>
          <x:t xml:space="preserve">皮斯克 vs 皮耳森B队</x:t>
        </x:is>
      </x:c>
      <x:c r="G1476" s="604" t="n">
        <x:v>0.8</x:v>
      </x:c>
      <x:c r="H1476" s="604" t="n">
        <x:v>0</x:v>
      </x:c>
      <x:c r="I1476" s="604" t="n">
        <x:v>1</x:v>
      </x:c>
      <x:c r="J1476" s="604" t="inlineStr">
        <x:is>
          <x:t xml:space="preserve">0.8/0.0/1.0</x:t>
        </x:is>
      </x:c>
      <x:c r="K1476" s="604" t="inlineStr">
        <x:is>
          <x:t xml:space="preserve">V4-N</x:t>
        </x:is>
      </x:c>
      <x:c r="L1476" s="604" t="inlineStr">
        <x:is>
          <x:t xml:space="preserve"/>
        </x:is>
      </x:c>
      <x:c r="M1476" s="604" t="n"/>
      <x:c r="N1476" s="604" t="inlineStr">
        <x:is>
          <x:t xml:space="preserve">V4 Shadow Only；real_money=false</x:t>
        </x:is>
      </x:c>
      <x:c r="O1476" s="604" t="inlineStr">
        <x:is>
          <x:t xml:space="preserve">0-0</x:t>
        </x:is>
      </x:c>
      <x:c r="P1476" s="604" t="inlineStr">
        <x:is>
          <x:t xml:space="preserve">NEUTRAL</x:t>
        </x:is>
      </x:c>
      <x:c r="Q1476" s="630" t="inlineStr">
        <x:is>
          <x:t xml:space="preserve"/>
        </x:is>
      </x:c>
      <x:c r="R1476" s="604" t="n"/>
      <x:c r="S1476" s="604" t="n"/>
      <x:c r="T1476" s="604" t="inlineStr">
        <x:is>
          <x:t xml:space="preserve">D:\codex\v3_legacy\outputs\football_odds_trader\raw\titan007\20261009\20261009_085232_titan007_odds_snapshot.csv</x:t>
        </x:is>
      </x:c>
      <x:c r="U1476" s="628" t="inlineStr">
        <x:is>
          <x:t xml:space="preserve"/>
        </x:is>
      </x:c>
      <x:c r="V1476" s="604" t="inlineStr">
        <x:is>
          <x:t xml:space="preserve"/>
        </x:is>
      </x:c>
      <x:c r="W1476" s="604" t="inlineStr">
        <x:is>
          <x:t xml:space="preserve"/>
        </x:is>
      </x:c>
      <x:c r="X1476" s="604" t="inlineStr">
        <x:is>
          <x:t xml:space="preserve">3009403</x:t>
        </x:is>
      </x:c>
      <x:c r="Y1476" s="604" t="inlineStr">
        <x:is>
          <x:t xml:space="preserve">V4</x:t>
        </x:is>
      </x:c>
      <x:c r="Z1476" s="604" t="inlineStr">
        <x:is>
          <x:t xml:space="preserve">prior-2026-10-09-v1</x:t>
        </x:is>
      </x:c>
      <x:c r="AA1476" s="604" t="inlineStr">
        <x:is>
          <x:t xml:space="preserve">N</x:t>
        </x:is>
      </x:c>
      <x:c r="AB1476" s="604" t="n"/>
      <x:c r="AC1476" s="604" t="n"/>
      <x:c r="AD1476" s="604" t="n"/>
      <x:c r="AE1476" s="604" t="n"/>
      <x:c r="AF1476" s="604" t="n"/>
      <x:c r="AG1476" s="604" t="n"/>
      <x:c r="AH1476" s="604" t="n"/>
      <x:c r="AI1476" s="604" t="n"/>
      <x:c r="AJ1476" s="604" t="n"/>
      <x:c r="AK1476" s="604" t="n"/>
      <x:c r="AL1476" s="604" t="n"/>
      <x:c r="AM1476" s="604" t="n"/>
      <x:c r="AN1476" s="604" t="inlineStr">
        <x:is>
          <x:t xml:space="preserve">NEUTRAL</x:t>
        </x:is>
      </x:c>
      <x:c r="AO1476" s="604" t="inlineStr">
        <x:is>
          <x:t xml:space="preserve">PK_NO_GIVING_RECEIVING_IDENTITY</x:t>
        </x:is>
      </x:c>
      <x:c r="AP1476" s="604" t="inlineStr">
        <x:is>
          <x:t xml:space="preserve">3b8cd097d027742eaa3e</x:t>
        </x:is>
      </x:c>
      <x:c r="AQ1476" s="604" t="n"/>
      <x:c r="AR1476" s="604" t="n"/>
      <x:c r="AS1476" s="604" t="n"/>
      <x:c r="AT1476" s="604" t="n"/>
      <x:c r="AU1476" s="604" t="n"/>
      <x:c r="AV1476" s="604" t="n"/>
      <x:c r="AW1476" s="604" t="inlineStr">
        <x:is>
          <x:t xml:space="preserve">2026-10-09T09:01:21.127001+08:00</x:t>
        </x:is>
      </x:c>
      <x:c r="AX1476" s="604" t="inlineStr">
        <x:is>
          <x:t xml:space="preserve">Titan007/V4</x:t>
        </x:is>
      </x:c>
      <x:c r="AY1476" s="604" t="inlineStr">
        <x:is>
          <x:t xml:space="preserve">Daily append；市场输入缺失时不生成决策</x:t>
        </x:is>
      </x:c>
    </x:row>
    <x:row r="1477" ht="22" customHeight="1">
      <x:c r="A1477" s="604" t="inlineStr">
        <x:is>
          <x:t xml:space="preserve">2026-10-09</x:t>
        </x:is>
      </x:c>
      <x:c r="B1477" s="604" t="inlineStr">
        <x:is>
          <x:t xml:space="preserve">2026-10-09T23:00:00+08:00</x:t>
        </x:is>
      </x:c>
      <x:c r="C1477" s="604" t="str">
        <x:v>欧洲非五大系列</x:v>
      </x:c>
      <x:c r="D1477" s="604" t="inlineStr">
        <x:is>
          <x:t xml:space="preserve"/>
        </x:is>
      </x:c>
      <x:c r="E1477" s="604" t="inlineStr">
        <x:is>
          <x:t xml:space="preserve">罗甲</x:t>
        </x:is>
      </x:c>
      <x:c r="F1477" s="604" t="inlineStr">
        <x:is>
          <x:t xml:space="preserve">胡内多阿拉 vs 沃伦塔利</x:t>
        </x:is>
      </x:c>
      <x:c r="G1477" s="604" t="n">
        <x:v>0.91</x:v>
      </x:c>
      <x:c r="H1477" s="604" t="n">
        <x:v>0.75</x:v>
      </x:c>
      <x:c r="I1477" s="604" t="n">
        <x:v>0.91</x:v>
      </x:c>
      <x:c r="J1477" s="604" t="inlineStr">
        <x:is>
          <x:t xml:space="preserve">0.91/0.75/0.91</x:t>
        </x:is>
      </x:c>
      <x:c r="K1477" s="604" t="inlineStr">
        <x:is>
          <x:t xml:space="preserve">V4-N</x:t>
        </x:is>
      </x:c>
      <x:c r="L1477" s="604" t="inlineStr">
        <x:is>
          <x:t xml:space="preserve"/>
        </x:is>
      </x:c>
      <x:c r="M1477" s="604" t="n">
        <x:v>0.5258218405400659</x:v>
      </x:c>
      <x:c r="N1477" s="604" t="inlineStr">
        <x:is>
          <x:t xml:space="preserve">V4 Shadow Only；real_money=false</x:t>
        </x:is>
      </x:c>
      <x:c r="O1477" s="604" t="inlineStr">
        <x:is>
          <x:t xml:space="preserve">0-0</x:t>
        </x:is>
      </x:c>
      <x:c r="P1477" s="604" t="inlineStr">
        <x:is>
          <x:t xml:space="preserve">EVALUATED</x:t>
        </x:is>
      </x:c>
      <x:c r="Q1477" s="630" t="inlineStr">
        <x:is>
          <x:t xml:space="preserve"/>
        </x:is>
      </x:c>
      <x:c r="R1477" s="604" t="n"/>
      <x:c r="S1477" s="604" t="n"/>
      <x:c r="T1477" s="604" t="inlineStr">
        <x:is>
          <x:t xml:space="preserve">D:\codex\v3_legacy\outputs\football_odds_trader\raw\titan007\20261009\20261009_085232_titan007_odds_snapshot.csv</x:t>
        </x:is>
      </x:c>
      <x:c r="U1477" s="628" t="inlineStr">
        <x:is>
          <x:t xml:space="preserve"/>
        </x:is>
      </x:c>
      <x:c r="V1477" s="604" t="inlineStr">
        <x:is>
          <x:t xml:space="preserve"/>
        </x:is>
      </x:c>
      <x:c r="W1477" s="604" t="inlineStr">
        <x:is>
          <x:t xml:space="preserve"/>
        </x:is>
      </x:c>
      <x:c r="X1477" s="604" t="inlineStr">
        <x:is>
          <x:t xml:space="preserve">3010434</x:t>
        </x:is>
      </x:c>
      <x:c r="Y1477" s="604" t="inlineStr">
        <x:is>
          <x:t xml:space="preserve">V4</x:t>
        </x:is>
      </x:c>
      <x:c r="Z1477" s="604" t="inlineStr">
        <x:is>
          <x:t xml:space="preserve">prior-2026-10-09-v1</x:t>
        </x:is>
      </x:c>
      <x:c r="AA1477" s="604" t="inlineStr">
        <x:is>
          <x:t xml:space="preserve">N</x:t>
        </x:is>
      </x:c>
      <x:c r="AB1477" s="604" t="n">
        <x:v>0.5258218405400659</x:v>
      </x:c>
      <x:c r="AC1477" s="604" t="n">
        <x:v>0.3454169524525489</x:v>
      </x:c>
      <x:c r="AD1477" s="604" t="n">
        <x:v>1.25</x:v>
      </x:c>
      <x:c r="AE1477" s="604" t="n"/>
      <x:c r="AF1477" s="604" t="n"/>
      <x:c r="AG1477" s="604" t="n">
        <x:v>0.1330809224389111</x:v>
      </x:c>
      <x:c r="AH1477" s="604" t="n"/>
      <x:c r="AI1477" s="604" t="n"/>
      <x:c r="AJ1477" s="604" t="n">
        <x:v>0.1330809224389111</x:v>
      </x:c>
      <x:c r="AK1477" s="604" t="n"/>
      <x:c r="AL1477" s="604" t="n"/>
      <x:c r="AM1477" s="604" t="n"/>
      <x:c r="AN1477" s="604" t="inlineStr">
        <x:is>
          <x:t xml:space="preserve">EVALUATED</x:t>
        </x:is>
      </x:c>
      <x:c r="AO1477" s="604" t="inlineStr">
        <x:is>
          <x:t xml:space="preserve">LOW_QUALITY_GATE;BUCKET_PRIOR_ONLY;INTENT_INTERPRETATION_ONLY;FFL_OPTIONAL;EXPERT_MARKET</x:t>
        </x:is>
      </x:c>
      <x:c r="AP1477" s="604" t="inlineStr">
        <x:is>
          <x:t xml:space="preserve">71342979cc3eeb30bc53</x:t>
        </x:is>
      </x:c>
      <x:c r="AQ1477" s="604" t="n"/>
      <x:c r="AR1477" s="604" t="n"/>
      <x:c r="AS1477" s="604" t="n">
        <x:v>0.75</x:v>
      </x:c>
      <x:c r="AT1477" s="604" t="n">
        <x:v>-0.75</x:v>
      </x:c>
      <x:c r="AU1477" s="604" t="n">
        <x:v>0.91</x:v>
      </x:c>
      <x:c r="AV1477" s="604" t="n">
        <x:v>0.91</x:v>
      </x:c>
      <x:c r="AW1477" s="604" t="inlineStr">
        <x:is>
          <x:t xml:space="preserve">2026-10-09T09:01:21.127001+08:00</x:t>
        </x:is>
      </x:c>
      <x:c r="AX1477" s="604" t="inlineStr">
        <x:is>
          <x:t xml:space="preserve">Titan007/V4</x:t>
        </x:is>
      </x:c>
      <x:c r="AY1477" s="604" t="inlineStr">
        <x:is>
          <x:t xml:space="preserve">Daily append；市场输入缺失时不生成决策</x:t>
        </x:is>
      </x:c>
    </x:row>
    <x:row r="1478" ht="22" customHeight="1">
      <x:c r="A1478" s="604" t="inlineStr">
        <x:is>
          <x:t xml:space="preserve">2026-10-09</x:t>
        </x:is>
      </x:c>
      <x:c r="B1478" s="604" t="inlineStr">
        <x:is>
          <x:t xml:space="preserve">2026-10-10T02:00:00+08:00</x:t>
        </x:is>
      </x:c>
      <x:c r="C1478" s="604" t="str">
        <x:v>欧洲非五大系列</x:v>
      </x:c>
      <x:c r="D1478" s="604" t="inlineStr">
        <x:is>
          <x:t xml:space="preserve"/>
        </x:is>
      </x:c>
      <x:c r="E1478" s="604" t="inlineStr">
        <x:is>
          <x:t xml:space="preserve">罗甲</x:t>
        </x:is>
      </x:c>
      <x:c r="F1478" s="604" t="inlineStr">
        <x:is>
          <x:t xml:space="preserve">圣格奥尔基塞普西 vs 布加勒斯特迪纳摩</x:t>
        </x:is>
      </x:c>
      <x:c r="G1478" s="604" t="n">
        <x:v>0.98</x:v>
      </x:c>
      <x:c r="H1478" s="604" t="n">
        <x:v>-0.5</x:v>
      </x:c>
      <x:c r="I1478" s="604" t="n">
        <x:v>0.84</x:v>
      </x:c>
      <x:c r="J1478" s="604" t="inlineStr">
        <x:is>
          <x:t xml:space="preserve">0.98/-0.5/0.84</x:t>
        </x:is>
      </x:c>
      <x:c r="K1478" s="604" t="inlineStr">
        <x:is>
          <x:t xml:space="preserve">V4-N</x:t>
        </x:is>
      </x:c>
      <x:c r="L1478" s="604" t="inlineStr">
        <x:is>
          <x:t xml:space="preserve"/>
        </x:is>
      </x:c>
      <x:c r="M1478" s="604" t="n">
        <x:v>0.1693163552319302</x:v>
      </x:c>
      <x:c r="N1478" s="604" t="inlineStr">
        <x:is>
          <x:t xml:space="preserve">V4 Shadow Only；real_money=false</x:t>
        </x:is>
      </x:c>
      <x:c r="O1478" s="604" t="inlineStr">
        <x:is>
          <x:t xml:space="preserve">0-0</x:t>
        </x:is>
      </x:c>
      <x:c r="P1478" s="604" t="inlineStr">
        <x:is>
          <x:t xml:space="preserve">EVALUATED</x:t>
        </x:is>
      </x:c>
      <x:c r="Q1478" s="630" t="inlineStr">
        <x:is>
          <x:t xml:space="preserve"/>
        </x:is>
      </x:c>
      <x:c r="R1478" s="604" t="n"/>
      <x:c r="S1478" s="604" t="n"/>
      <x:c r="T1478" s="604" t="inlineStr">
        <x:is>
          <x:t xml:space="preserve">D:\codex\v3_legacy\outputs\football_odds_trader\raw\titan007\20261009\20261009_085232_titan007_odds_snapshot.csv</x:t>
        </x:is>
      </x:c>
      <x:c r="U1478" s="628" t="inlineStr">
        <x:is>
          <x:t xml:space="preserve"/>
        </x:is>
      </x:c>
      <x:c r="V1478" s="604" t="inlineStr">
        <x:is>
          <x:t xml:space="preserve"/>
        </x:is>
      </x:c>
      <x:c r="W1478" s="604" t="inlineStr">
        <x:is>
          <x:t xml:space="preserve"/>
        </x:is>
      </x:c>
      <x:c r="X1478" s="604" t="inlineStr">
        <x:is>
          <x:t xml:space="preserve">3010440</x:t>
        </x:is>
      </x:c>
      <x:c r="Y1478" s="604" t="inlineStr">
        <x:is>
          <x:t xml:space="preserve">V4</x:t>
        </x:is>
      </x:c>
      <x:c r="Z1478" s="604" t="inlineStr">
        <x:is>
          <x:t xml:space="preserve">prior-2026-10-09-v1</x:t>
        </x:is>
      </x:c>
      <x:c r="AA1478" s="604" t="inlineStr">
        <x:is>
          <x:t xml:space="preserve">N</x:t>
        </x:is>
      </x:c>
      <x:c r="AB1478" s="604" t="n">
        <x:v>0.1693163552319302</x:v>
      </x:c>
      <x:c r="AC1478" s="604" t="n">
        <x:v>0.8306836447680698</x:v>
      </x:c>
      <x:c r="AD1478" s="604" t="n">
        <x:v>-1</x:v>
      </x:c>
      <x:c r="AE1478" s="604" t="n"/>
      <x:c r="AF1478" s="604" t="n"/>
      <x:c r="AG1478" s="604" t="n">
        <x:v>0.6447536166407781</x:v>
      </x:c>
      <x:c r="AH1478" s="604" t="n"/>
      <x:c r="AI1478" s="604" t="n"/>
      <x:c r="AJ1478" s="604" t="n">
        <x:v>0.6447536166407781</x:v>
      </x:c>
      <x:c r="AK1478" s="604" t="n"/>
      <x:c r="AL1478" s="604" t="n"/>
      <x:c r="AM1478" s="604" t="n"/>
      <x:c r="AN1478" s="604" t="inlineStr">
        <x:is>
          <x:t xml:space="preserve">EVALUATED</x:t>
        </x:is>
      </x:c>
      <x:c r="AO1478" s="604" t="inlineStr">
        <x:is>
          <x:t xml:space="preserve">LOW_QUALITY_GATE;BUCKET_PRIOR_ONLY;INTENT_INTERPRETATION_ONLY;FFL_OPTIONAL;EXPERT_MARKET</x:t>
        </x:is>
      </x:c>
      <x:c r="AP1478" s="604" t="inlineStr">
        <x:is>
          <x:t xml:space="preserve">39bfbcbe8d05aca41775</x:t>
        </x:is>
      </x:c>
      <x:c r="AQ1478" s="604" t="n"/>
      <x:c r="AR1478" s="604" t="n"/>
      <x:c r="AS1478" s="604" t="n">
        <x:v>-0.5</x:v>
      </x:c>
      <x:c r="AT1478" s="604" t="n">
        <x:v>0.5</x:v>
      </x:c>
      <x:c r="AU1478" s="604" t="n">
        <x:v>0.98</x:v>
      </x:c>
      <x:c r="AV1478" s="604" t="n">
        <x:v>0.84</x:v>
      </x:c>
      <x:c r="AW1478" s="604" t="inlineStr">
        <x:is>
          <x:t xml:space="preserve">2026-10-09T09:01:21.127001+08:00</x:t>
        </x:is>
      </x:c>
      <x:c r="AX1478" s="604" t="inlineStr">
        <x:is>
          <x:t xml:space="preserve">Titan007/V4</x:t>
        </x:is>
      </x:c>
      <x:c r="AY1478" s="604" t="inlineStr">
        <x:is>
          <x:t xml:space="preserve">Daily append；市场输入缺失时不生成决策</x:t>
        </x:is>
      </x:c>
    </x:row>
    <x:row r="1479" ht="22" customHeight="1">
      <x:c r="A1479" s="604" t="inlineStr">
        <x:is>
          <x:t xml:space="preserve">2026-10-09</x:t>
        </x:is>
      </x:c>
      <x:c r="B1479" s="604" t="inlineStr">
        <x:is>
          <x:t xml:space="preserve">2026-10-10T02:45:00+08:00</x:t>
        </x:is>
      </x:c>
      <x:c r="C1479" s="604" t="str">
        <x:v>欧洲非五大系列</x:v>
      </x:c>
      <x:c r="D1479" s="604" t="inlineStr">
        <x:is>
          <x:t xml:space="preserve"/>
        </x:is>
      </x:c>
      <x:c r="E1479" s="604" t="inlineStr">
        <x:is>
          <x:t xml:space="preserve">北爱超</x:t>
        </x:is>
      </x:c>
      <x:c r="F1479" s="604" t="inlineStr">
        <x:is>
          <x:t xml:space="preserve">波塔当 vs 格伦托兰</x:t>
        </x:is>
      </x:c>
      <x:c r="G1479" s="604" t="n">
        <x:v>0.75</x:v>
      </x:c>
      <x:c r="H1479" s="604" t="n">
        <x:v>-1</x:v>
      </x:c>
      <x:c r="I1479" s="604" t="n">
        <x:v>0.95</x:v>
      </x:c>
      <x:c r="J1479" s="604" t="inlineStr">
        <x:is>
          <x:t xml:space="preserve">0.75/-1.0/0.95</x:t>
        </x:is>
      </x:c>
      <x:c r="K1479" s="604" t="inlineStr">
        <x:is>
          <x:t xml:space="preserve">V4-N</x:t>
        </x:is>
      </x:c>
      <x:c r="L1479" s="604" t="inlineStr">
        <x:is>
          <x:t xml:space="preserve"/>
        </x:is>
      </x:c>
      <x:c r="M1479" s="604" t="n">
        <x:v>0.03042807179593408</x:v>
      </x:c>
      <x:c r="N1479" s="604" t="inlineStr">
        <x:is>
          <x:t xml:space="preserve">V4 Shadow Only；real_money=false</x:t>
        </x:is>
      </x:c>
      <x:c r="O1479" s="604" t="inlineStr">
        <x:is>
          <x:t xml:space="preserve">0-0</x:t>
        </x:is>
      </x:c>
      <x:c r="P1479" s="604" t="inlineStr">
        <x:is>
          <x:t xml:space="preserve">EVALUATED</x:t>
        </x:is>
      </x:c>
      <x:c r="Q1479" s="630" t="inlineStr">
        <x:is>
          <x:t xml:space="preserve"/>
        </x:is>
      </x:c>
      <x:c r="R1479" s="604" t="n"/>
      <x:c r="S1479" s="604" t="n"/>
      <x:c r="T1479" s="604" t="inlineStr">
        <x:is>
          <x:t xml:space="preserve">D:\codex\v3_legacy\outputs\football_odds_trader\raw\titan007\20261009\20261009_085232_titan007_odds_snapshot.csv</x:t>
        </x:is>
      </x:c>
      <x:c r="U1479" s="628" t="inlineStr">
        <x:is>
          <x:t xml:space="preserve"/>
        </x:is>
      </x:c>
      <x:c r="V1479" s="604" t="inlineStr">
        <x:is>
          <x:t xml:space="preserve"/>
        </x:is>
      </x:c>
      <x:c r="W1479" s="604" t="inlineStr">
        <x:is>
          <x:t xml:space="preserve"/>
        </x:is>
      </x:c>
      <x:c r="X1479" s="604" t="inlineStr">
        <x:is>
          <x:t xml:space="preserve">3011624</x:t>
        </x:is>
      </x:c>
      <x:c r="Y1479" s="604" t="inlineStr">
        <x:is>
          <x:t xml:space="preserve">V4</x:t>
        </x:is>
      </x:c>
      <x:c r="Z1479" s="604" t="inlineStr">
        <x:is>
          <x:t xml:space="preserve">prior-2026-10-09-v1</x:t>
        </x:is>
      </x:c>
      <x:c r="AA1479" s="604" t="inlineStr">
        <x:is>
          <x:t xml:space="preserve">N</x:t>
        </x:is>
      </x:c>
      <x:c r="AB1479" s="604" t="n">
        <x:v>0.03042807179593408</x:v>
      </x:c>
      <x:c r="AC1479" s="604" t="n">
        <x:v>0.8821939510557663</x:v>
      </x:c>
      <x:c r="AD1479" s="604" t="n">
        <x:v>-1.25</x:v>
      </x:c>
      <x:c r="AE1479" s="604" t="n"/>
      <x:c r="AF1479" s="604" t="n"/>
      <x:c r="AG1479" s="604" t="n">
        <x:v>0.6312173914958906</x:v>
      </x:c>
      <x:c r="AH1479" s="604" t="n"/>
      <x:c r="AI1479" s="604" t="n"/>
      <x:c r="AJ1479" s="604" t="n">
        <x:v>0.6312173914958906</x:v>
      </x:c>
      <x:c r="AK1479" s="604" t="n"/>
      <x:c r="AL1479" s="604" t="n"/>
      <x:c r="AM1479" s="604" t="n"/>
      <x:c r="AN1479" s="604" t="inlineStr">
        <x:is>
          <x:t xml:space="preserve">EVALUATED</x:t>
        </x:is>
      </x:c>
      <x:c r="AO1479" s="604" t="inlineStr">
        <x:is>
          <x:t xml:space="preserve">LOW_QUALITY_GATE;BUCKET_PRIOR_ONLY;INTENT_INTERPRETATION_ONLY;FFL_OPTIONAL;EXPERT_MARKET</x:t>
        </x:is>
      </x:c>
      <x:c r="AP1479" s="604" t="inlineStr">
        <x:is>
          <x:t xml:space="preserve">41861825b79e40d4afe5</x:t>
        </x:is>
      </x:c>
      <x:c r="AQ1479" s="604" t="n"/>
      <x:c r="AR1479" s="604" t="n"/>
      <x:c r="AS1479" s="604" t="n">
        <x:v>-1</x:v>
      </x:c>
      <x:c r="AT1479" s="604" t="n">
        <x:v>1</x:v>
      </x:c>
      <x:c r="AU1479" s="604" t="n">
        <x:v>0.75</x:v>
      </x:c>
      <x:c r="AV1479" s="604" t="n">
        <x:v>0.95</x:v>
      </x:c>
      <x:c r="AW1479" s="604" t="inlineStr">
        <x:is>
          <x:t xml:space="preserve">2026-10-09T09:01:21.127001+08:00</x:t>
        </x:is>
      </x:c>
      <x:c r="AX1479" s="604" t="inlineStr">
        <x:is>
          <x:t xml:space="preserve">Titan007/V4</x:t>
        </x:is>
      </x:c>
      <x:c r="AY1479" s="604" t="inlineStr">
        <x:is>
          <x:t xml:space="preserve">Daily append；市场输入缺失时不生成决策</x:t>
        </x:is>
      </x:c>
    </x:row>
    <x:row r="1480" ht="22" customHeight="1">
      <x:c r="A1480" s="604" t="inlineStr">
        <x:is>
          <x:t xml:space="preserve">2026-10-09</x:t>
        </x:is>
      </x:c>
      <x:c r="B1480" s="604" t="inlineStr">
        <x:is>
          <x:t xml:space="preserve">2026-10-10T07:00:00+08:00</x:t>
        </x:is>
      </x:c>
      <x:c r="C1480" s="604" t="str">
        <x:v>南美系列</x:v>
      </x:c>
      <x:c r="D1480" s="604" t="inlineStr">
        <x:is>
          <x:t xml:space="preserve"/>
        </x:is>
      </x:c>
      <x:c r="E1480" s="604" t="inlineStr">
        <x:is>
          <x:t xml:space="preserve">哥伦甲秋</x:t>
        </x:is>
      </x:c>
      <x:c r="F1480" s="604" t="inlineStr">
        <x:is>
          <x:t xml:space="preserve">阿利安萨 vs 阿古拉斯多拉达斯</x:t>
        </x:is>
      </x:c>
      <x:c r="G1480" s="604" t="n">
        <x:v>0.8</x:v>
      </x:c>
      <x:c r="H1480" s="604" t="n">
        <x:v>0</x:v>
      </x:c>
      <x:c r="I1480" s="604" t="n">
        <x:v>1.08</x:v>
      </x:c>
      <x:c r="J1480" s="604" t="inlineStr">
        <x:is>
          <x:t xml:space="preserve">0.8/0.0/1.08</x:t>
        </x:is>
      </x:c>
      <x:c r="K1480" s="604" t="inlineStr">
        <x:is>
          <x:t xml:space="preserve">V4-N</x:t>
        </x:is>
      </x:c>
      <x:c r="L1480" s="604" t="inlineStr">
        <x:is>
          <x:t xml:space="preserve"/>
        </x:is>
      </x:c>
      <x:c r="M1480" s="604" t="n"/>
      <x:c r="N1480" s="604" t="inlineStr">
        <x:is>
          <x:t xml:space="preserve">V4 Shadow Only；real_money=false</x:t>
        </x:is>
      </x:c>
      <x:c r="O1480" s="604" t="inlineStr">
        <x:is>
          <x:t xml:space="preserve">0-0</x:t>
        </x:is>
      </x:c>
      <x:c r="P1480" s="604" t="inlineStr">
        <x:is>
          <x:t xml:space="preserve">NEUTRAL</x:t>
        </x:is>
      </x:c>
      <x:c r="Q1480" s="630" t="inlineStr">
        <x:is>
          <x:t xml:space="preserve"/>
        </x:is>
      </x:c>
      <x:c r="R1480" s="604" t="n"/>
      <x:c r="S1480" s="604" t="n"/>
      <x:c r="T1480" s="604" t="inlineStr">
        <x:is>
          <x:t xml:space="preserve">D:\codex\v3_legacy\outputs\football_odds_trader\raw\titan007\20261009\20261009_085232_titan007_odds_snapshot.csv</x:t>
        </x:is>
      </x:c>
      <x:c r="U1480" s="628" t="inlineStr">
        <x:is>
          <x:t xml:space="preserve"/>
        </x:is>
      </x:c>
      <x:c r="V1480" s="604" t="inlineStr">
        <x:is>
          <x:t xml:space="preserve"/>
        </x:is>
      </x:c>
      <x:c r="W1480" s="604" t="inlineStr">
        <x:is>
          <x:t xml:space="preserve"/>
        </x:is>
      </x:c>
      <x:c r="X1480" s="604" t="inlineStr">
        <x:is>
          <x:t xml:space="preserve">3011887</x:t>
        </x:is>
      </x:c>
      <x:c r="Y1480" s="604" t="inlineStr">
        <x:is>
          <x:t xml:space="preserve">V4</x:t>
        </x:is>
      </x:c>
      <x:c r="Z1480" s="604" t="inlineStr">
        <x:is>
          <x:t xml:space="preserve">prior-2026-10-09-v1</x:t>
        </x:is>
      </x:c>
      <x:c r="AA1480" s="604" t="inlineStr">
        <x:is>
          <x:t xml:space="preserve">N</x:t>
        </x:is>
      </x:c>
      <x:c r="AB1480" s="604" t="n"/>
      <x:c r="AC1480" s="604" t="n"/>
      <x:c r="AD1480" s="604" t="n"/>
      <x:c r="AE1480" s="604" t="n"/>
      <x:c r="AF1480" s="604" t="n"/>
      <x:c r="AG1480" s="604" t="n"/>
      <x:c r="AH1480" s="604" t="n"/>
      <x:c r="AI1480" s="604" t="n"/>
      <x:c r="AJ1480" s="604" t="n"/>
      <x:c r="AK1480" s="604" t="n"/>
      <x:c r="AL1480" s="604" t="n"/>
      <x:c r="AM1480" s="604" t="n"/>
      <x:c r="AN1480" s="604" t="inlineStr">
        <x:is>
          <x:t xml:space="preserve">NEUTRAL</x:t>
        </x:is>
      </x:c>
      <x:c r="AO1480" s="604" t="inlineStr">
        <x:is>
          <x:t xml:space="preserve">PK_NO_GIVING_RECEIVING_IDENTITY</x:t>
        </x:is>
      </x:c>
      <x:c r="AP1480" s="604" t="inlineStr">
        <x:is>
          <x:t xml:space="preserve">7cd831581af27d1ec5fa</x:t>
        </x:is>
      </x:c>
      <x:c r="AQ1480" s="604" t="n"/>
      <x:c r="AR1480" s="604" t="n"/>
      <x:c r="AS1480" s="604" t="n"/>
      <x:c r="AT1480" s="604" t="n"/>
      <x:c r="AU1480" s="604" t="n"/>
      <x:c r="AV1480" s="604" t="n"/>
      <x:c r="AW1480" s="604" t="inlineStr">
        <x:is>
          <x:t xml:space="preserve">2026-10-09T09:01:21.127001+08:00</x:t>
        </x:is>
      </x:c>
      <x:c r="AX1480" s="604" t="inlineStr">
        <x:is>
          <x:t xml:space="preserve">Titan007/V4</x:t>
        </x:is>
      </x:c>
      <x:c r="AY1480" s="604" t="inlineStr">
        <x:is>
          <x:t xml:space="preserve">Daily append；市场输入缺失时不生成决策</x:t>
        </x:is>
      </x:c>
    </x:row>
    <x:row r="1481" ht="22" customHeight="1">
      <x:c r="A1481" s="604" t="inlineStr">
        <x:is>
          <x:t xml:space="preserve">2026-10-09</x:t>
        </x:is>
      </x:c>
      <x:c r="B1481" s="604" t="inlineStr">
        <x:is>
          <x:t xml:space="preserve">2026-10-10T09:10:00+08:00</x:t>
        </x:is>
      </x:c>
      <x:c r="C1481" s="604" t="str">
        <x:v>南美系列</x:v>
      </x:c>
      <x:c r="D1481" s="604" t="inlineStr">
        <x:is>
          <x:t xml:space="preserve"/>
        </x:is>
      </x:c>
      <x:c r="E1481" s="604" t="inlineStr">
        <x:is>
          <x:t xml:space="preserve">哥伦甲秋</x:t>
        </x:is>
      </x:c>
      <x:c r="F1481" s="604" t="inlineStr">
        <x:is>
          <x:t xml:space="preserve">云斯卡尔达斯 vs 拉尼洛斯</x:t>
        </x:is>
      </x:c>
      <x:c r="G1481" s="604" t="n">
        <x:v>0.95</x:v>
      </x:c>
      <x:c r="H1481" s="604" t="n">
        <x:v>1</x:v>
      </x:c>
      <x:c r="I1481" s="604" t="n">
        <x:v>0.93</x:v>
      </x:c>
      <x:c r="J1481" s="604" t="inlineStr">
        <x:is>
          <x:t xml:space="preserve">0.95/1.0/0.93</x:t>
        </x:is>
      </x:c>
      <x:c r="K1481" s="604" t="inlineStr">
        <x:is>
          <x:t xml:space="preserve">V4-N</x:t>
        </x:is>
      </x:c>
      <x:c r="L1481" s="604" t="inlineStr">
        <x:is>
          <x:t xml:space="preserve"/>
        </x:is>
      </x:c>
      <x:c r="M1481" s="604" t="n">
        <x:v>0.4918730946226407</x:v>
      </x:c>
      <x:c r="N1481" s="604" t="inlineStr">
        <x:is>
          <x:t xml:space="preserve">V4 Shadow Only；real_money=false</x:t>
        </x:is>
      </x:c>
      <x:c r="O1481" s="604" t="inlineStr">
        <x:is>
          <x:t xml:space="preserve">0-0</x:t>
        </x:is>
      </x:c>
      <x:c r="P1481" s="604" t="inlineStr">
        <x:is>
          <x:t xml:space="preserve">EVALUATED</x:t>
        </x:is>
      </x:c>
      <x:c r="Q1481" s="630" t="inlineStr">
        <x:is>
          <x:t xml:space="preserve"/>
        </x:is>
      </x:c>
      <x:c r="R1481" s="604" t="n"/>
      <x:c r="S1481" s="604" t="n"/>
      <x:c r="T1481" s="604" t="inlineStr">
        <x:is>
          <x:t xml:space="preserve">D:\codex\v3_legacy\outputs\football_odds_trader\raw\titan007\20261009\20261009_085232_titan007_odds_snapshot.csv</x:t>
        </x:is>
      </x:c>
      <x:c r="U1481" s="628" t="inlineStr">
        <x:is>
          <x:t xml:space="preserve"/>
        </x:is>
      </x:c>
      <x:c r="V1481" s="604" t="inlineStr">
        <x:is>
          <x:t xml:space="preserve"/>
        </x:is>
      </x:c>
      <x:c r="W1481" s="604" t="inlineStr">
        <x:is>
          <x:t xml:space="preserve"/>
        </x:is>
      </x:c>
      <x:c r="X1481" s="604" t="inlineStr">
        <x:is>
          <x:t xml:space="preserve">3011894</x:t>
        </x:is>
      </x:c>
      <x:c r="Y1481" s="604" t="inlineStr">
        <x:is>
          <x:t xml:space="preserve">V4</x:t>
        </x:is>
      </x:c>
      <x:c r="Z1481" s="604" t="inlineStr">
        <x:is>
          <x:t xml:space="preserve">prior-2026-10-09-v1</x:t>
        </x:is>
      </x:c>
      <x:c r="AA1481" s="604" t="inlineStr">
        <x:is>
          <x:t xml:space="preserve">N</x:t>
        </x:is>
      </x:c>
      <x:c r="AB1481" s="604" t="n">
        <x:v>0.4918730946226407</x:v>
      </x:c>
      <x:c r="AC1481" s="604" t="n">
        <x:v>0.2559923198340617</x:v>
      </x:c>
      <x:c r="AD1481" s="604" t="n">
        <x:v>1.5</x:v>
      </x:c>
      <x:c r="AE1481" s="604" t="n"/>
      <x:c r="AF1481" s="604" t="n"/>
      <x:c r="AG1481" s="604" t="n">
        <x:v>0.2112871200574469</x:v>
      </x:c>
      <x:c r="AH1481" s="604" t="n"/>
      <x:c r="AI1481" s="604" t="n"/>
      <x:c r="AJ1481" s="604" t="n">
        <x:v>0.2112871200574469</x:v>
      </x:c>
      <x:c r="AK1481" s="604" t="n"/>
      <x:c r="AL1481" s="604" t="n"/>
      <x:c r="AM1481" s="604" t="n"/>
      <x:c r="AN1481" s="604" t="inlineStr">
        <x:is>
          <x:t xml:space="preserve">EVALUATED</x:t>
        </x:is>
      </x:c>
      <x:c r="AO1481" s="604" t="inlineStr">
        <x:is>
          <x:t xml:space="preserve">LOW_QUALITY_GATE;BUCKET_PRIOR_ONLY;INTENT_INTERPRETATION_ONLY;FFL_OPTIONAL;EXPERT_MARKET</x:t>
        </x:is>
      </x:c>
      <x:c r="AP1481" s="604" t="inlineStr">
        <x:is>
          <x:t xml:space="preserve">e654d7eb611b81c97e5a</x:t>
        </x:is>
      </x:c>
      <x:c r="AQ1481" s="604" t="n"/>
      <x:c r="AR1481" s="604" t="n"/>
      <x:c r="AS1481" s="604" t="n">
        <x:v>1</x:v>
      </x:c>
      <x:c r="AT1481" s="604" t="n">
        <x:v>-1</x:v>
      </x:c>
      <x:c r="AU1481" s="604" t="n">
        <x:v>0.95</x:v>
      </x:c>
      <x:c r="AV1481" s="604" t="n">
        <x:v>0.93</x:v>
      </x:c>
      <x:c r="AW1481" s="604" t="inlineStr">
        <x:is>
          <x:t xml:space="preserve">2026-10-09T09:01:21.127001+08:00</x:t>
        </x:is>
      </x:c>
      <x:c r="AX1481" s="604" t="inlineStr">
        <x:is>
          <x:t xml:space="preserve">Titan007/V4</x:t>
        </x:is>
      </x:c>
      <x:c r="AY1481" s="604" t="inlineStr">
        <x:is>
          <x:t xml:space="preserve">Daily append；市场输入缺失时不生成决策</x:t>
        </x:is>
      </x:c>
    </x:row>
    <x:row r="1482" ht="22" customHeight="1">
      <x:c r="A1482" s="604" t="inlineStr">
        <x:is>
          <x:t xml:space="preserve">2026-10-09</x:t>
        </x:is>
      </x:c>
      <x:c r="B1482" s="604" t="inlineStr">
        <x:is>
          <x:t xml:space="preserve">2026-10-10T04:00:00+08:00</x:t>
        </x:is>
      </x:c>
      <x:c r="C1482" s="604" t="str">
        <x:v>南美系列</x:v>
      </x:c>
      <x:c r="D1482" s="604" t="inlineStr">
        <x:is>
          <x:t xml:space="preserve"/>
        </x:is>
      </x:c>
      <x:c r="E1482" s="604" t="inlineStr">
        <x:is>
          <x:t xml:space="preserve">哥伦乙秋</x:t>
        </x:is>
      </x:c>
      <x:c r="F1482" s="604" t="inlineStr">
        <x:is>
          <x:t xml:space="preserve">索阿查 vs 皇家桑坦德</x:t>
        </x:is>
      </x:c>
      <x:c r="G1482" s="604" t="n">
        <x:v>0.8100000000000001</x:v>
      </x:c>
      <x:c r="H1482" s="604" t="n">
        <x:v>1</x:v>
      </x:c>
      <x:c r="I1482" s="604" t="n">
        <x:v>0.89</x:v>
      </x:c>
      <x:c r="J1482" s="604" t="inlineStr">
        <x:is>
          <x:t xml:space="preserve">0.81/1.0/0.89</x:t>
        </x:is>
      </x:c>
      <x:c r="K1482" s="604" t="inlineStr">
        <x:is>
          <x:t xml:space="preserve">V4-B</x:t>
        </x:is>
      </x:c>
      <x:c r="L1482" s="604" t="inlineStr">
        <x:is>
          <x:t xml:space="preserve">索阿查</x:t>
        </x:is>
      </x:c>
      <x:c r="M1482" s="604" t="n">
        <x:v>0.4727703862645536</x:v>
      </x:c>
      <x:c r="N1482" s="604" t="inlineStr">
        <x:is>
          <x:t xml:space="preserve">V4 Shadow Only；real_money=false</x:t>
        </x:is>
      </x:c>
      <x:c r="O1482" s="604" t="inlineStr">
        <x:is>
          <x:t xml:space="preserve">0-0</x:t>
        </x:is>
      </x:c>
      <x:c r="P1482" s="604" t="inlineStr">
        <x:is>
          <x:t xml:space="preserve">EVALUATED</x:t>
        </x:is>
      </x:c>
      <x:c r="Q1482" s="630" t="inlineStr">
        <x:is>
          <x:t xml:space="preserve"/>
        </x:is>
      </x:c>
      <x:c r="R1482" s="604" t="n">
        <x:v>0.8100000000000001</x:v>
      </x:c>
      <x:c r="S1482" s="604" t="n"/>
      <x:c r="T1482" s="604" t="inlineStr">
        <x:is>
          <x:t xml:space="preserve">D:\codex\v3_legacy\outputs\football_odds_trader\raw\titan007\20261009\20261009_085232_titan007_odds_snapshot.csv</x:t>
        </x:is>
      </x:c>
      <x:c r="U1482" s="628" t="inlineStr">
        <x:is>
          <x:t xml:space="preserve"/>
        </x:is>
      </x:c>
      <x:c r="V1482" s="604" t="inlineStr">
        <x:is>
          <x:t xml:space="preserve"/>
        </x:is>
      </x:c>
      <x:c r="W1482" s="604" t="inlineStr">
        <x:is>
          <x:t xml:space="preserve"/>
        </x:is>
      </x:c>
      <x:c r="X1482" s="604" t="inlineStr">
        <x:is>
          <x:t xml:space="preserve">3012156</x:t>
        </x:is>
      </x:c>
      <x:c r="Y1482" s="604" t="inlineStr">
        <x:is>
          <x:t xml:space="preserve">V4</x:t>
        </x:is>
      </x:c>
      <x:c r="Z1482" s="604" t="inlineStr">
        <x:is>
          <x:t xml:space="preserve">prior-2026-10-09-v1</x:t>
        </x:is>
      </x:c>
      <x:c r="AA1482" s="604" t="inlineStr">
        <x:is>
          <x:t xml:space="preserve">B</x:t>
        </x:is>
      </x:c>
      <x:c r="AB1482" s="604" t="n">
        <x:v>0.4727703862645536</x:v>
      </x:c>
      <x:c r="AC1482" s="604" t="n">
        <x:v>0.2734160812294794</x:v>
      </x:c>
      <x:c r="AD1482" s="604" t="n">
        <x:v>1.5</x:v>
      </x:c>
      <x:c r="AE1482" s="604" t="n"/>
      <x:c r="AF1482" s="604" t="n"/>
      <x:c r="AG1482" s="604" t="n">
        <x:v>0.109527931644809</x:v>
      </x:c>
      <x:c r="AH1482" s="604" t="n"/>
      <x:c r="AI1482" s="604" t="n"/>
      <x:c r="AJ1482" s="604" t="n">
        <x:v>0.109527931644809</x:v>
      </x:c>
      <x:c r="AK1482" s="604" t="n"/>
      <x:c r="AL1482" s="604" t="n"/>
      <x:c r="AM1482" s="604" t="n"/>
      <x:c r="AN1482" s="604" t="inlineStr">
        <x:is>
          <x:t xml:space="preserve">EVALUATED</x:t>
        </x:is>
      </x:c>
      <x:c r="AO1482" s="604" t="inlineStr">
        <x:is>
          <x:t xml:space="preserve">GIVING_VALIDATED_EDGE;BUCKET_PRIOR_ONLY;INTENT_INTERPRETATION_ONLY;FFL_OPTIONAL;EXPERT_MARKET</x:t>
        </x:is>
      </x:c>
      <x:c r="AP1482" s="604" t="inlineStr">
        <x:is>
          <x:t xml:space="preserve">5cf81a4db5604f7a14d6</x:t>
        </x:is>
      </x:c>
      <x:c r="AQ1482" s="604" t="n">
        <x:v>-1</x:v>
      </x:c>
      <x:c r="AR1482" s="604" t="n">
        <x:v>0.8100000000000001</x:v>
      </x:c>
      <x:c r="AS1482" s="604" t="n">
        <x:v>1</x:v>
      </x:c>
      <x:c r="AT1482" s="604" t="n">
        <x:v>-1</x:v>
      </x:c>
      <x:c r="AU1482" s="604" t="n">
        <x:v>0.8100000000000001</x:v>
      </x:c>
      <x:c r="AV1482" s="604" t="n">
        <x:v>0.89</x:v>
      </x:c>
      <x:c r="AW1482" s="604" t="inlineStr">
        <x:is>
          <x:t xml:space="preserve">2026-10-09T09:01:21.127001+08:00</x:t>
        </x:is>
      </x:c>
      <x:c r="AX1482" s="604" t="inlineStr">
        <x:is>
          <x:t xml:space="preserve">Titan007/V4</x:t>
        </x:is>
      </x:c>
      <x:c r="AY1482" s="604" t="inlineStr">
        <x:is>
          <x:t xml:space="preserve">Daily append；市场输入缺失时不生成决策</x:t>
        </x:is>
      </x:c>
    </x:row>
    <x:row r="1483" ht="22" customHeight="1">
      <x:c r="A1483" s="604" t="inlineStr">
        <x:is>
          <x:t xml:space="preserve">2026-10-09</x:t>
        </x:is>
      </x:c>
      <x:c r="B1483" s="604" t="inlineStr">
        <x:is>
          <x:t xml:space="preserve">2026-10-10T09:15:00+08:00</x:t>
        </x:is>
      </x:c>
      <x:c r="C1483" s="604" t="str">
        <x:v>南美系列</x:v>
      </x:c>
      <x:c r="D1483" s="604" t="inlineStr">
        <x:is>
          <x:t xml:space="preserve"/>
        </x:is>
      </x:c>
      <x:c r="E1483" s="604" t="inlineStr">
        <x:is>
          <x:t xml:space="preserve">哥伦乙秋</x:t>
        </x:is>
      </x:c>
      <x:c r="F1483" s="604" t="inlineStr">
        <x:is>
          <x:t xml:space="preserve">波哥塔 vs 帕特里奥坦斯</x:t>
        </x:is>
      </x:c>
      <x:c r="G1483" s="604" t="n">
        <x:v>0.91</x:v>
      </x:c>
      <x:c r="H1483" s="604" t="n">
        <x:v>0</x:v>
      </x:c>
      <x:c r="I1483" s="604" t="n">
        <x:v>0.79</x:v>
      </x:c>
      <x:c r="J1483" s="604" t="inlineStr">
        <x:is>
          <x:t xml:space="preserve">0.91/0.0/0.79</x:t>
        </x:is>
      </x:c>
      <x:c r="K1483" s="604" t="inlineStr">
        <x:is>
          <x:t xml:space="preserve">V4-N</x:t>
        </x:is>
      </x:c>
      <x:c r="L1483" s="604" t="inlineStr">
        <x:is>
          <x:t xml:space="preserve"/>
        </x:is>
      </x:c>
      <x:c r="M1483" s="604" t="n"/>
      <x:c r="N1483" s="604" t="inlineStr">
        <x:is>
          <x:t xml:space="preserve">V4 Shadow Only；real_money=false</x:t>
        </x:is>
      </x:c>
      <x:c r="O1483" s="604" t="inlineStr">
        <x:is>
          <x:t xml:space="preserve">0-0</x:t>
        </x:is>
      </x:c>
      <x:c r="P1483" s="604" t="inlineStr">
        <x:is>
          <x:t xml:space="preserve">NEUTRAL</x:t>
        </x:is>
      </x:c>
      <x:c r="Q1483" s="630" t="inlineStr">
        <x:is>
          <x:t xml:space="preserve"/>
        </x:is>
      </x:c>
      <x:c r="R1483" s="604" t="n"/>
      <x:c r="S1483" s="604" t="n"/>
      <x:c r="T1483" s="604" t="inlineStr">
        <x:is>
          <x:t xml:space="preserve">D:\codex\v3_legacy\outputs\football_odds_trader\raw\titan007\20261009\20261009_085232_titan007_odds_snapshot.csv</x:t>
        </x:is>
      </x:c>
      <x:c r="U1483" s="628" t="inlineStr">
        <x:is>
          <x:t xml:space="preserve"/>
        </x:is>
      </x:c>
      <x:c r="V1483" s="604" t="inlineStr">
        <x:is>
          <x:t xml:space="preserve"/>
        </x:is>
      </x:c>
      <x:c r="W1483" s="604" t="inlineStr">
        <x:is>
          <x:t xml:space="preserve"/>
        </x:is>
      </x:c>
      <x:c r="X1483" s="604" t="inlineStr">
        <x:is>
          <x:t xml:space="preserve">3012159</x:t>
        </x:is>
      </x:c>
      <x:c r="Y1483" s="604" t="inlineStr">
        <x:is>
          <x:t xml:space="preserve">V4</x:t>
        </x:is>
      </x:c>
      <x:c r="Z1483" s="604" t="inlineStr">
        <x:is>
          <x:t xml:space="preserve">prior-2026-10-09-v1</x:t>
        </x:is>
      </x:c>
      <x:c r="AA1483" s="604" t="inlineStr">
        <x:is>
          <x:t xml:space="preserve">N</x:t>
        </x:is>
      </x:c>
      <x:c r="AB1483" s="604" t="n"/>
      <x:c r="AC1483" s="604" t="n"/>
      <x:c r="AD1483" s="604" t="n"/>
      <x:c r="AE1483" s="604" t="n"/>
      <x:c r="AF1483" s="604" t="n"/>
      <x:c r="AG1483" s="604" t="n"/>
      <x:c r="AH1483" s="604" t="n"/>
      <x:c r="AI1483" s="604" t="n"/>
      <x:c r="AJ1483" s="604" t="n"/>
      <x:c r="AK1483" s="604" t="n"/>
      <x:c r="AL1483" s="604" t="n"/>
      <x:c r="AM1483" s="604" t="n"/>
      <x:c r="AN1483" s="604" t="inlineStr">
        <x:is>
          <x:t xml:space="preserve">NEUTRAL</x:t>
        </x:is>
      </x:c>
      <x:c r="AO1483" s="604" t="inlineStr">
        <x:is>
          <x:t xml:space="preserve">PK_NO_GIVING_RECEIVING_IDENTITY</x:t>
        </x:is>
      </x:c>
      <x:c r="AP1483" s="604" t="inlineStr">
        <x:is>
          <x:t xml:space="preserve">2b3a50c1b2a778467457</x:t>
        </x:is>
      </x:c>
      <x:c r="AQ1483" s="604" t="n"/>
      <x:c r="AR1483" s="604" t="n"/>
      <x:c r="AS1483" s="604" t="n"/>
      <x:c r="AT1483" s="604" t="n"/>
      <x:c r="AU1483" s="604" t="n"/>
      <x:c r="AV1483" s="604" t="n"/>
      <x:c r="AW1483" s="604" t="inlineStr">
        <x:is>
          <x:t xml:space="preserve">2026-10-09T09:01:21.127001+08:00</x:t>
        </x:is>
      </x:c>
      <x:c r="AX1483" s="604" t="inlineStr">
        <x:is>
          <x:t xml:space="preserve">Titan007/V4</x:t>
        </x:is>
      </x:c>
      <x:c r="AY1483" s="604" t="inlineStr">
        <x:is>
          <x:t xml:space="preserve">Daily append；市场输入缺失时不生成决策</x:t>
        </x:is>
      </x:c>
    </x:row>
    <x:row r="1484" ht="22" customHeight="1">
      <x:c r="A1484" s="604" t="inlineStr">
        <x:is>
          <x:t xml:space="preserve">2026-10-09</x:t>
        </x:is>
      </x:c>
      <x:c r="B1484" s="604" t="inlineStr">
        <x:is>
          <x:t xml:space="preserve">2026-10-10T00:30:00+08:00</x:t>
        </x:is>
      </x:c>
      <x:c r="C1484" s="604" t="str">
        <x:v>欧洲非五大系列</x:v>
      </x:c>
      <x:c r="D1484" s="604" t="inlineStr">
        <x:is>
          <x:t xml:space="preserve"/>
        </x:is>
      </x:c>
      <x:c r="E1484" s="604" t="inlineStr">
        <x:is>
          <x:t xml:space="preserve">俄超</x:t>
        </x:is>
      </x:c>
      <x:c r="F1484" s="604" t="inlineStr">
        <x:is>
          <x:t xml:space="preserve">罗斯托夫 vs 阿克伦陶里亚蒂</x:t>
        </x:is>
      </x:c>
      <x:c r="G1484" s="604" t="n">
        <x:v>0.9</x:v>
      </x:c>
      <x:c r="H1484" s="604" t="n">
        <x:v>0.5</x:v>
      </x:c>
      <x:c r="I1484" s="604" t="n">
        <x:v>0.98</x:v>
      </x:c>
      <x:c r="J1484" s="604" t="inlineStr">
        <x:is>
          <x:t xml:space="preserve">0.9/0.5/0.98</x:t>
        </x:is>
      </x:c>
      <x:c r="K1484" s="604" t="inlineStr">
        <x:is>
          <x:t xml:space="preserve">V4-N</x:t>
        </x:is>
      </x:c>
      <x:c r="L1484" s="604" t="inlineStr">
        <x:is>
          <x:t xml:space="preserve"/>
        </x:is>
      </x:c>
      <x:c r="M1484" s="604" t="n">
        <x:v>0.5823498397358107</x:v>
      </x:c>
      <x:c r="N1484" s="604" t="inlineStr">
        <x:is>
          <x:t xml:space="preserve">V4 Shadow Only；real_money=false</x:t>
        </x:is>
      </x:c>
      <x:c r="O1484" s="604" t="inlineStr">
        <x:is>
          <x:t xml:space="preserve">0-0</x:t>
        </x:is>
      </x:c>
      <x:c r="P1484" s="604" t="inlineStr">
        <x:is>
          <x:t xml:space="preserve">EVALUATED</x:t>
        </x:is>
      </x:c>
      <x:c r="Q1484" s="630" t="inlineStr">
        <x:is>
          <x:t xml:space="preserve"/>
        </x:is>
      </x:c>
      <x:c r="R1484" s="604" t="n"/>
      <x:c r="S1484" s="604" t="n"/>
      <x:c r="T1484" s="604" t="inlineStr">
        <x:is>
          <x:t xml:space="preserve">D:\codex\v3_legacy\outputs\football_odds_trader\raw\titan007\20261009\20261009_085232_titan007_odds_snapshot.csv</x:t>
        </x:is>
      </x:c>
      <x:c r="U1484" s="628" t="inlineStr">
        <x:is>
          <x:t xml:space="preserve"/>
        </x:is>
      </x:c>
      <x:c r="V1484" s="604" t="inlineStr">
        <x:is>
          <x:t xml:space="preserve"/>
        </x:is>
      </x:c>
      <x:c r="W1484" s="604" t="inlineStr">
        <x:is>
          <x:t xml:space="preserve"/>
        </x:is>
      </x:c>
      <x:c r="X1484" s="604" t="inlineStr">
        <x:is>
          <x:t xml:space="preserve">3012310</x:t>
        </x:is>
      </x:c>
      <x:c r="Y1484" s="604" t="inlineStr">
        <x:is>
          <x:t xml:space="preserve">V4</x:t>
        </x:is>
      </x:c>
      <x:c r="Z1484" s="604" t="inlineStr">
        <x:is>
          <x:t xml:space="preserve">prior-2026-10-09-v1</x:t>
        </x:is>
      </x:c>
      <x:c r="AA1484" s="604" t="inlineStr">
        <x:is>
          <x:t xml:space="preserve">N</x:t>
        </x:is>
      </x:c>
      <x:c r="AB1484" s="604" t="n">
        <x:v>0.5823498397358107</x:v>
      </x:c>
      <x:c r="AC1484" s="604" t="n">
        <x:v>0.4176501602641893</x:v>
      </x:c>
      <x:c r="AD1484" s="604" t="n">
        <x:v>1</x:v>
      </x:c>
      <x:c r="AE1484" s="604" t="n"/>
      <x:c r="AF1484" s="604" t="n"/>
      <x:c r="AG1484" s="604" t="n">
        <x:v>0.1064646954980403</x:v>
      </x:c>
      <x:c r="AH1484" s="604" t="n"/>
      <x:c r="AI1484" s="604" t="n"/>
      <x:c r="AJ1484" s="604" t="n">
        <x:v>0.1064646954980403</x:v>
      </x:c>
      <x:c r="AK1484" s="604" t="n"/>
      <x:c r="AL1484" s="604" t="n"/>
      <x:c r="AM1484" s="604" t="n"/>
      <x:c r="AN1484" s="604" t="inlineStr">
        <x:is>
          <x:t xml:space="preserve">EVALUATED</x:t>
        </x:is>
      </x:c>
      <x:c r="AO1484" s="604" t="inlineStr">
        <x:is>
          <x:t xml:space="preserve">LOW_QUALITY_GATE;BUCKET_PRIOR_ONLY;INTENT_INTERPRETATION_ONLY;FFL_OPTIONAL;EXPERT_MARKET</x:t>
        </x:is>
      </x:c>
      <x:c r="AP1484" s="604" t="inlineStr">
        <x:is>
          <x:t xml:space="preserve">b74d549f145adc60b3ec</x:t>
        </x:is>
      </x:c>
      <x:c r="AQ1484" s="604" t="n"/>
      <x:c r="AR1484" s="604" t="n"/>
      <x:c r="AS1484" s="604" t="n">
        <x:v>0.5</x:v>
      </x:c>
      <x:c r="AT1484" s="604" t="n">
        <x:v>-0.5</x:v>
      </x:c>
      <x:c r="AU1484" s="604" t="n">
        <x:v>0.9</x:v>
      </x:c>
      <x:c r="AV1484" s="604" t="n">
        <x:v>0.98</x:v>
      </x:c>
      <x:c r="AW1484" s="604" t="inlineStr">
        <x:is>
          <x:t xml:space="preserve">2026-10-09T09:01:21.127001+08:00</x:t>
        </x:is>
      </x:c>
      <x:c r="AX1484" s="604" t="inlineStr">
        <x:is>
          <x:t xml:space="preserve">Titan007/V4</x:t>
        </x:is>
      </x:c>
      <x:c r="AY1484" s="604" t="inlineStr">
        <x:is>
          <x:t xml:space="preserve">Daily append；市场输入缺失时不生成决策</x:t>
        </x:is>
      </x:c>
    </x:row>
    <x:row r="1485" ht="22" customHeight="1">
      <x:c r="A1485" s="604" t="inlineStr">
        <x:is>
          <x:t xml:space="preserve">2026-10-09</x:t>
        </x:is>
      </x:c>
      <x:c r="B1485" s="604" t="inlineStr">
        <x:is>
          <x:t xml:space="preserve">2026-10-09T21:30:00+08:00</x:t>
        </x:is>
      </x:c>
      <x:c r="C1485" s="604" t="str">
        <x:v>欧洲非五大系列</x:v>
      </x:c>
      <x:c r="D1485" s="604" t="inlineStr">
        <x:is>
          <x:t xml:space="preserve"/>
        </x:is>
      </x:c>
      <x:c r="E1485" s="604" t="inlineStr">
        <x:is>
          <x:t xml:space="preserve">乌克超</x:t>
        </x:is>
      </x:c>
      <x:c r="F1485" s="604" t="inlineStr">
        <x:is>
          <x:t xml:space="preserve">维勒斯 vs 顿涅茨克矿工</x:t>
        </x:is>
      </x:c>
      <x:c r="G1485" s="604" t="n">
        <x:v>0.93</x:v>
      </x:c>
      <x:c r="H1485" s="604" t="n">
        <x:v>-1.5</x:v>
      </x:c>
      <x:c r="I1485" s="604" t="n">
        <x:v>0.89</x:v>
      </x:c>
      <x:c r="J1485" s="604" t="inlineStr">
        <x:is>
          <x:t xml:space="preserve">0.93/-1.5/0.89</x:t>
        </x:is>
      </x:c>
      <x:c r="K1485" s="604" t="inlineStr">
        <x:is>
          <x:t xml:space="preserve">V4-N</x:t>
        </x:is>
      </x:c>
      <x:c r="L1485" s="604" t="inlineStr">
        <x:is>
          <x:t xml:space="preserve"/>
        </x:is>
      </x:c>
      <x:c r="M1485" s="604" t="n">
        <x:v>0.000235162764045411</x:v>
      </x:c>
      <x:c r="N1485" s="604" t="inlineStr">
        <x:is>
          <x:t xml:space="preserve">V4 Shadow Only；real_money=false</x:t>
        </x:is>
      </x:c>
      <x:c r="O1485" s="604" t="inlineStr">
        <x:is>
          <x:t xml:space="preserve">0-0</x:t>
        </x:is>
      </x:c>
      <x:c r="P1485" s="604" t="inlineStr">
        <x:is>
          <x:t xml:space="preserve">EVALUATED</x:t>
        </x:is>
      </x:c>
      <x:c r="Q1485" s="630" t="inlineStr">
        <x:is>
          <x:t xml:space="preserve"/>
        </x:is>
      </x:c>
      <x:c r="R1485" s="604" t="n"/>
      <x:c r="S1485" s="604" t="n"/>
      <x:c r="T1485" s="604" t="inlineStr">
        <x:is>
          <x:t xml:space="preserve">D:\codex\v3_legacy\outputs\football_odds_trader\raw\titan007\20261009\20261009_085232_titan007_odds_snapshot.csv</x:t>
        </x:is>
      </x:c>
      <x:c r="U1485" s="628" t="inlineStr">
        <x:is>
          <x:t xml:space="preserve"/>
        </x:is>
      </x:c>
      <x:c r="V1485" s="604" t="inlineStr">
        <x:is>
          <x:t xml:space="preserve"/>
        </x:is>
      </x:c>
      <x:c r="W1485" s="604" t="inlineStr">
        <x:is>
          <x:t xml:space="preserve"/>
        </x:is>
      </x:c>
      <x:c r="X1485" s="604" t="inlineStr">
        <x:is>
          <x:t xml:space="preserve">3012530</x:t>
        </x:is>
      </x:c>
      <x:c r="Y1485" s="604" t="inlineStr">
        <x:is>
          <x:t xml:space="preserve">V4</x:t>
        </x:is>
      </x:c>
      <x:c r="Z1485" s="604" t="inlineStr">
        <x:is>
          <x:t xml:space="preserve">prior-2026-10-09-v1</x:t>
        </x:is>
      </x:c>
      <x:c r="AA1485" s="604" t="inlineStr">
        <x:is>
          <x:t xml:space="preserve">N</x:t>
        </x:is>
      </x:c>
      <x:c r="AB1485" s="604" t="n">
        <x:v>0.000235162764045411</x:v>
      </x:c>
      <x:c r="AC1485" s="604" t="n">
        <x:v>0.9997648372359546</x:v>
      </x:c>
      <x:c r="AD1485" s="604" t="n">
        <x:v>-2.5</x:v>
      </x:c>
      <x:c r="AE1485" s="604" t="n"/>
      <x:c r="AF1485" s="604" t="n"/>
      <x:c r="AG1485" s="604" t="n">
        <x:v>0.9295461358653924</x:v>
      </x:c>
      <x:c r="AH1485" s="604" t="n"/>
      <x:c r="AI1485" s="604" t="n"/>
      <x:c r="AJ1485" s="604" t="n">
        <x:v>0.9295461358653924</x:v>
      </x:c>
      <x:c r="AK1485" s="604" t="n"/>
      <x:c r="AL1485" s="604" t="n"/>
      <x:c r="AM1485" s="604" t="n"/>
      <x:c r="AN1485" s="604" t="inlineStr">
        <x:is>
          <x:t xml:space="preserve">EVALUATED</x:t>
        </x:is>
      </x:c>
      <x:c r="AO1485" s="604" t="inlineStr">
        <x:is>
          <x:t xml:space="preserve">LOW_QUALITY_GATE;BUCKET_PRIOR_ONLY;INTENT_INTERPRETATION_ONLY;FFL_OPTIONAL;EXPERT_MARKET</x:t>
        </x:is>
      </x:c>
      <x:c r="AP1485" s="604" t="inlineStr">
        <x:is>
          <x:t xml:space="preserve">2a293ae63f71f624296d</x:t>
        </x:is>
      </x:c>
      <x:c r="AQ1485" s="604" t="n"/>
      <x:c r="AR1485" s="604" t="n"/>
      <x:c r="AS1485" s="604" t="n">
        <x:v>-1.5</x:v>
      </x:c>
      <x:c r="AT1485" s="604" t="n">
        <x:v>1.5</x:v>
      </x:c>
      <x:c r="AU1485" s="604" t="n">
        <x:v>0.93</x:v>
      </x:c>
      <x:c r="AV1485" s="604" t="n">
        <x:v>0.89</x:v>
      </x:c>
      <x:c r="AW1485" s="604" t="inlineStr">
        <x:is>
          <x:t xml:space="preserve">2026-10-09T09:01:21.127001+08:00</x:t>
        </x:is>
      </x:c>
      <x:c r="AX1485" s="604" t="inlineStr">
        <x:is>
          <x:t xml:space="preserve">Titan007/V4</x:t>
        </x:is>
      </x:c>
      <x:c r="AY1485" s="604" t="inlineStr">
        <x:is>
          <x:t xml:space="preserve">Daily append；市场输入缺失时不生成决策</x:t>
        </x:is>
      </x:c>
    </x:row>
    <x:row r="1486" ht="22" customHeight="1">
      <x:c r="A1486" s="604" t="inlineStr">
        <x:is>
          <x:t xml:space="preserve">2026-10-09</x:t>
        </x:is>
      </x:c>
      <x:c r="B1486" s="604" t="inlineStr">
        <x:is>
          <x:t xml:space="preserve">2026-10-10T03:00:00+08:00</x:t>
        </x:is>
      </x:c>
      <x:c r="C1486" s="604" t="str">
        <x:v>欧洲五大系列</x:v>
      </x:c>
      <x:c r="D1486" s="604" t="inlineStr">
        <x:is>
          <x:t xml:space="preserve"/>
        </x:is>
      </x:c>
      <x:c r="E1486" s="604" t="inlineStr">
        <x:is>
          <x:t xml:space="preserve">西甲</x:t>
        </x:is>
      </x:c>
      <x:c r="F1486" s="604" t="inlineStr">
        <x:is>
          <x:t xml:space="preserve">马拉加 vs 西班牙人</x:t>
        </x:is>
      </x:c>
      <x:c r="G1486" s="604" t="n">
        <x:v>0.99</x:v>
      </x:c>
      <x:c r="H1486" s="604" t="n">
        <x:v>0</x:v>
      </x:c>
      <x:c r="I1486" s="604" t="n">
        <x:v>0.89</x:v>
      </x:c>
      <x:c r="J1486" s="604" t="inlineStr">
        <x:is>
          <x:t xml:space="preserve">0.99/0.0/0.89</x:t>
        </x:is>
      </x:c>
      <x:c r="K1486" s="604" t="inlineStr">
        <x:is>
          <x:t xml:space="preserve">V4-N</x:t>
        </x:is>
      </x:c>
      <x:c r="L1486" s="604" t="inlineStr">
        <x:is>
          <x:t xml:space="preserve"/>
        </x:is>
      </x:c>
      <x:c r="M1486" s="604" t="n"/>
      <x:c r="N1486" s="604" t="inlineStr">
        <x:is>
          <x:t xml:space="preserve">V4 Shadow Only；real_money=false</x:t>
        </x:is>
      </x:c>
      <x:c r="O1486" s="604" t="inlineStr">
        <x:is>
          <x:t xml:space="preserve">0-0</x:t>
        </x:is>
      </x:c>
      <x:c r="P1486" s="604" t="inlineStr">
        <x:is>
          <x:t xml:space="preserve">NEUTRAL</x:t>
        </x:is>
      </x:c>
      <x:c r="Q1486" s="630" t="inlineStr">
        <x:is>
          <x:t xml:space="preserve"/>
        </x:is>
      </x:c>
      <x:c r="R1486" s="604" t="n"/>
      <x:c r="S1486" s="604" t="n"/>
      <x:c r="T1486" s="604" t="inlineStr">
        <x:is>
          <x:t xml:space="preserve">D:\codex\v3_legacy\outputs\football_odds_trader\raw\titan007\20261009\20261009_085232_titan007_odds_snapshot.csv</x:t>
        </x:is>
      </x:c>
      <x:c r="U1486" s="628" t="inlineStr">
        <x:is>
          <x:t xml:space="preserve"/>
        </x:is>
      </x:c>
      <x:c r="V1486" s="604" t="inlineStr">
        <x:is>
          <x:t xml:space="preserve"/>
        </x:is>
      </x:c>
      <x:c r="W1486" s="604" t="inlineStr">
        <x:is>
          <x:t xml:space="preserve"/>
        </x:is>
      </x:c>
      <x:c r="X1486" s="604" t="inlineStr">
        <x:is>
          <x:t xml:space="preserve">3013717</x:t>
        </x:is>
      </x:c>
      <x:c r="Y1486" s="604" t="inlineStr">
        <x:is>
          <x:t xml:space="preserve">V4</x:t>
        </x:is>
      </x:c>
      <x:c r="Z1486" s="604" t="inlineStr">
        <x:is>
          <x:t xml:space="preserve">prior-2026-10-09-v1</x:t>
        </x:is>
      </x:c>
      <x:c r="AA1486" s="604" t="inlineStr">
        <x:is>
          <x:t xml:space="preserve">N</x:t>
        </x:is>
      </x:c>
      <x:c r="AB1486" s="604" t="n"/>
      <x:c r="AC1486" s="604" t="n"/>
      <x:c r="AD1486" s="604" t="n"/>
      <x:c r="AE1486" s="604" t="n"/>
      <x:c r="AF1486" s="604" t="n"/>
      <x:c r="AG1486" s="604" t="n"/>
      <x:c r="AH1486" s="604" t="n"/>
      <x:c r="AI1486" s="604" t="n"/>
      <x:c r="AJ1486" s="604" t="n"/>
      <x:c r="AK1486" s="604" t="n"/>
      <x:c r="AL1486" s="604" t="n"/>
      <x:c r="AM1486" s="604" t="n"/>
      <x:c r="AN1486" s="604" t="inlineStr">
        <x:is>
          <x:t xml:space="preserve">NEUTRAL</x:t>
        </x:is>
      </x:c>
      <x:c r="AO1486" s="604" t="inlineStr">
        <x:is>
          <x:t xml:space="preserve">PK_NO_GIVING_RECEIVING_IDENTITY</x:t>
        </x:is>
      </x:c>
      <x:c r="AP1486" s="604" t="inlineStr">
        <x:is>
          <x:t xml:space="preserve">06b994a3f5c4065bc89e</x:t>
        </x:is>
      </x:c>
      <x:c r="AQ1486" s="604" t="n"/>
      <x:c r="AR1486" s="604" t="n"/>
      <x:c r="AS1486" s="604" t="n"/>
      <x:c r="AT1486" s="604" t="n"/>
      <x:c r="AU1486" s="604" t="n"/>
      <x:c r="AV1486" s="604" t="n"/>
      <x:c r="AW1486" s="604" t="inlineStr">
        <x:is>
          <x:t xml:space="preserve">2026-10-09T09:01:21.127001+08:00</x:t>
        </x:is>
      </x:c>
      <x:c r="AX1486" s="604" t="inlineStr">
        <x:is>
          <x:t xml:space="preserve">Titan007/V4</x:t>
        </x:is>
      </x:c>
      <x:c r="AY1486" s="604" t="inlineStr">
        <x:is>
          <x:t xml:space="preserve">Daily append；市场输入缺失时不生成决策</x:t>
        </x:is>
      </x:c>
    </x:row>
    <x:row r="1487" ht="22" customHeight="1">
      <x:c r="A1487" s="604" t="inlineStr">
        <x:is>
          <x:t xml:space="preserve">2026-10-09</x:t>
        </x:is>
      </x:c>
      <x:c r="B1487" s="604" t="inlineStr">
        <x:is>
          <x:t xml:space="preserve">2026-10-10T03:00:00+08:00</x:t>
        </x:is>
      </x:c>
      <x:c r="C1487" s="604" t="str">
        <x:v>五大联赛非顶级联赛</x:v>
      </x:c>
      <x:c r="D1487" s="604" t="inlineStr">
        <x:is>
          <x:t xml:space="preserve"/>
        </x:is>
      </x:c>
      <x:c r="E1487" s="604" t="inlineStr">
        <x:is>
          <x:t xml:space="preserve">西协甲</x:t>
        </x:is>
      </x:c>
      <x:c r="F1487" s="604" t="inlineStr">
        <x:is>
          <x:t xml:space="preserve">伊维萨 vs 皇家马德里B队</x:t>
        </x:is>
      </x:c>
      <x:c r="G1487" s="604" t="n">
        <x:v>0.85</x:v>
      </x:c>
      <x:c r="H1487" s="604" t="n">
        <x:v>0.25</x:v>
      </x:c>
      <x:c r="I1487" s="604" t="n">
        <x:v>0.85</x:v>
      </x:c>
      <x:c r="J1487" s="604" t="inlineStr">
        <x:is>
          <x:t xml:space="preserve">0.85/0.25/0.85</x:t>
        </x:is>
      </x:c>
      <x:c r="K1487" s="604" t="inlineStr">
        <x:is>
          <x:t xml:space="preserve">V4-N</x:t>
        </x:is>
      </x:c>
      <x:c r="L1487" s="604" t="inlineStr">
        <x:is>
          <x:t xml:space="preserve"/>
        </x:is>
      </x:c>
      <x:c r="M1487" s="604" t="n">
        <x:v>0.4676118057283238</x:v>
      </x:c>
      <x:c r="N1487" s="604" t="inlineStr">
        <x:is>
          <x:t xml:space="preserve">V4 Shadow Only；real_money=false</x:t>
        </x:is>
      </x:c>
      <x:c r="O1487" s="604" t="inlineStr">
        <x:is>
          <x:t xml:space="preserve">0-0</x:t>
        </x:is>
      </x:c>
      <x:c r="P1487" s="604" t="inlineStr">
        <x:is>
          <x:t xml:space="preserve">EVALUATED</x:t>
        </x:is>
      </x:c>
      <x:c r="Q1487" s="630" t="inlineStr">
        <x:is>
          <x:t xml:space="preserve"/>
        </x:is>
      </x:c>
      <x:c r="R1487" s="604" t="n"/>
      <x:c r="S1487" s="604" t="n"/>
      <x:c r="T1487" s="604" t="inlineStr">
        <x:is>
          <x:t xml:space="preserve">D:\codex\v3_legacy\outputs\football_odds_trader\raw\titan007\20261009\20261009_085232_titan007_odds_snapshot.csv</x:t>
        </x:is>
      </x:c>
      <x:c r="U1487" s="628" t="inlineStr">
        <x:is>
          <x:t xml:space="preserve"/>
        </x:is>
      </x:c>
      <x:c r="V1487" s="604" t="inlineStr">
        <x:is>
          <x:t xml:space="preserve"/>
        </x:is>
      </x:c>
      <x:c r="W1487" s="604" t="inlineStr">
        <x:is>
          <x:t xml:space="preserve"/>
        </x:is>
      </x:c>
      <x:c r="X1487" s="604" t="inlineStr">
        <x:is>
          <x:t xml:space="preserve">3014929</x:t>
        </x:is>
      </x:c>
      <x:c r="Y1487" s="604" t="inlineStr">
        <x:is>
          <x:t xml:space="preserve">V4</x:t>
        </x:is>
      </x:c>
      <x:c r="Z1487" s="604" t="inlineStr">
        <x:is>
          <x:t xml:space="preserve">prior-2026-10-09-v1</x:t>
        </x:is>
      </x:c>
      <x:c r="AA1487" s="604" t="inlineStr">
        <x:is>
          <x:t xml:space="preserve">N</x:t>
        </x:is>
      </x:c>
      <x:c r="AB1487" s="604" t="n">
        <x:v>0.4676118057283238</x:v>
      </x:c>
      <x:c r="AC1487" s="604" t="n">
        <x:v>0.4033036902436243</x:v>
      </x:c>
      <x:c r="AD1487" s="604" t="n">
        <x:v>0.5</x:v>
      </x:c>
      <x:c r="AE1487" s="604" t="n"/>
      <x:c r="AF1487" s="604" t="n"/>
      <x:c r="AG1487" s="604" t="n">
        <x:v>-0.005833655374549163</x:v>
      </x:c>
      <x:c r="AH1487" s="604" t="n"/>
      <x:c r="AI1487" s="604" t="n"/>
      <x:c r="AJ1487" s="604" t="n">
        <x:v>-0.005833655374549163</x:v>
      </x:c>
      <x:c r="AK1487" s="604" t="n"/>
      <x:c r="AL1487" s="604" t="n"/>
      <x:c r="AM1487" s="604" t="n"/>
      <x:c r="AN1487" s="604" t="inlineStr">
        <x:is>
          <x:t xml:space="preserve">EVALUATED</x:t>
        </x:is>
      </x:c>
      <x:c r="AO1487" s="604" t="inlineStr">
        <x:is>
          <x:t xml:space="preserve">EDGE_BELOW_UNCERTAINTY_THRESHOLD;BUCKET_PRIOR_ONLY;INTENT_INTERPRETATION_ONLY;FFL_OPTIONAL;EXPERT_MARKET</x:t>
        </x:is>
      </x:c>
      <x:c r="AP1487" s="604" t="inlineStr">
        <x:is>
          <x:t xml:space="preserve">9c81e39f70817cf3a9e6</x:t>
        </x:is>
      </x:c>
      <x:c r="AQ1487" s="604" t="n"/>
      <x:c r="AR1487" s="604" t="n"/>
      <x:c r="AS1487" s="604" t="n">
        <x:v>0.25</x:v>
      </x:c>
      <x:c r="AT1487" s="604" t="n">
        <x:v>-0.25</x:v>
      </x:c>
      <x:c r="AU1487" s="604" t="n">
        <x:v>0.85</x:v>
      </x:c>
      <x:c r="AV1487" s="604" t="n">
        <x:v>0.85</x:v>
      </x:c>
      <x:c r="AW1487" s="604" t="inlineStr">
        <x:is>
          <x:t xml:space="preserve">2026-10-09T09:01:21.127001+08:00</x:t>
        </x:is>
      </x:c>
      <x:c r="AX1487" s="604" t="inlineStr">
        <x:is>
          <x:t xml:space="preserve">Titan007/V4</x:t>
        </x:is>
      </x:c>
      <x:c r="AY1487" s="604" t="inlineStr">
        <x:is>
          <x:t xml:space="preserve">Daily append；市场输入缺失时不生成决策</x:t>
        </x:is>
      </x:c>
    </x:row>
    <x:row r="1488" ht="22" customHeight="1">
      <x:c r="A1488" s="604" t="inlineStr">
        <x:is>
          <x:t xml:space="preserve">2026-10-09</x:t>
        </x:is>
      </x:c>
      <x:c r="B1488" s="604" t="inlineStr">
        <x:is>
          <x:t xml:space="preserve">2026-10-10T01:00:00+08:00</x:t>
        </x:is>
      </x:c>
      <x:c r="C1488" s="604" t="str">
        <x:v>欧洲非五大系列</x:v>
      </x:c>
      <x:c r="D1488" s="604" t="inlineStr">
        <x:is>
          <x:t xml:space="preserve"/>
        </x:is>
      </x:c>
      <x:c r="E1488" s="604" t="inlineStr">
        <x:is>
          <x:t xml:space="preserve">保乙</x:t>
        </x:is>
      </x:c>
      <x:c r="F1488" s="604" t="inlineStr">
        <x:is>
          <x:t xml:space="preserve">伊塔尔 vs 弗拉特里亚</x:t>
        </x:is>
      </x:c>
      <x:c r="G1488" s="604" t="n">
        <x:v>1</x:v>
      </x:c>
      <x:c r="H1488" s="604" t="n">
        <x:v>-0.25</x:v>
      </x:c>
      <x:c r="I1488" s="604" t="n">
        <x:v>0.8</x:v>
      </x:c>
      <x:c r="J1488" s="604" t="inlineStr">
        <x:is>
          <x:t xml:space="preserve">1.0/-0.25/0.8</x:t>
        </x:is>
      </x:c>
      <x:c r="K1488" s="604" t="inlineStr">
        <x:is>
          <x:t xml:space="preserve">V4-N</x:t>
        </x:is>
      </x:c>
      <x:c r="L1488" s="604" t="inlineStr">
        <x:is>
          <x:t xml:space="preserve"/>
        </x:is>
      </x:c>
      <x:c r="M1488" s="604" t="n">
        <x:v>0.2700572530900863</x:v>
      </x:c>
      <x:c r="N1488" s="604" t="inlineStr">
        <x:is>
          <x:t xml:space="preserve">V4 Shadow Only；real_money=false</x:t>
        </x:is>
      </x:c>
      <x:c r="O1488" s="604" t="inlineStr">
        <x:is>
          <x:t xml:space="preserve">0-0</x:t>
        </x:is>
      </x:c>
      <x:c r="P1488" s="604" t="inlineStr">
        <x:is>
          <x:t xml:space="preserve">EVALUATED</x:t>
        </x:is>
      </x:c>
      <x:c r="Q1488" s="630" t="inlineStr">
        <x:is>
          <x:t xml:space="preserve"/>
        </x:is>
      </x:c>
      <x:c r="R1488" s="604" t="n"/>
      <x:c r="S1488" s="604" t="n"/>
      <x:c r="T1488" s="604" t="inlineStr">
        <x:is>
          <x:t xml:space="preserve">D:\codex\v3_legacy\outputs\football_odds_trader\raw\titan007\20261009\20261009_085232_titan007_odds_snapshot.csv</x:t>
        </x:is>
      </x:c>
      <x:c r="U1488" s="628" t="inlineStr">
        <x:is>
          <x:t xml:space="preserve"/>
        </x:is>
      </x:c>
      <x:c r="V1488" s="604" t="inlineStr">
        <x:is>
          <x:t xml:space="preserve"/>
        </x:is>
      </x:c>
      <x:c r="W1488" s="604" t="inlineStr">
        <x:is>
          <x:t xml:space="preserve"/>
        </x:is>
      </x:c>
      <x:c r="X1488" s="604" t="inlineStr">
        <x:is>
          <x:t xml:space="preserve">3017181</x:t>
        </x:is>
      </x:c>
      <x:c r="Y1488" s="604" t="inlineStr">
        <x:is>
          <x:t xml:space="preserve">V4</x:t>
        </x:is>
      </x:c>
      <x:c r="Z1488" s="604" t="inlineStr">
        <x:is>
          <x:t xml:space="preserve">prior-2026-10-09-v1</x:t>
        </x:is>
      </x:c>
      <x:c r="AA1488" s="604" t="inlineStr">
        <x:is>
          <x:t xml:space="preserve">N</x:t>
        </x:is>
      </x:c>
      <x:c r="AB1488" s="604" t="n">
        <x:v>0.2700572530900863</x:v>
      </x:c>
      <x:c r="AC1488" s="604" t="n">
        <x:v>0.6020354316250627</x:v>
      </x:c>
      <x:c r="AD1488" s="604" t="n">
        <x:v>-0.5</x:v>
      </x:c>
      <x:c r="AE1488" s="604" t="n"/>
      <x:c r="AF1488" s="604" t="n"/>
      <x:c r="AG1488" s="604" t="n">
        <x:v>0.3319781785349764</x:v>
      </x:c>
      <x:c r="AH1488" s="604" t="n"/>
      <x:c r="AI1488" s="604" t="n"/>
      <x:c r="AJ1488" s="604" t="n">
        <x:v>0.3319781785349764</x:v>
      </x:c>
      <x:c r="AK1488" s="604" t="n"/>
      <x:c r="AL1488" s="604" t="n"/>
      <x:c r="AM1488" s="604" t="n"/>
      <x:c r="AN1488" s="604" t="inlineStr">
        <x:is>
          <x:t xml:space="preserve">EVALUATED</x:t>
        </x:is>
      </x:c>
      <x:c r="AO1488" s="604" t="inlineStr">
        <x:is>
          <x:t xml:space="preserve">LOW_QUALITY_GATE;BUCKET_PRIOR_ONLY;INTENT_INTERPRETATION_ONLY;FFL_OPTIONAL;EXPERT_MARKET</x:t>
        </x:is>
      </x:c>
      <x:c r="AP1488" s="604" t="inlineStr">
        <x:is>
          <x:t xml:space="preserve">a6eaf47cad839100411a</x:t>
        </x:is>
      </x:c>
      <x:c r="AQ1488" s="604" t="n"/>
      <x:c r="AR1488" s="604" t="n"/>
      <x:c r="AS1488" s="604" t="n">
        <x:v>-0.25</x:v>
      </x:c>
      <x:c r="AT1488" s="604" t="n">
        <x:v>0.25</x:v>
      </x:c>
      <x:c r="AU1488" s="604" t="n">
        <x:v>1</x:v>
      </x:c>
      <x:c r="AV1488" s="604" t="n">
        <x:v>0.8</x:v>
      </x:c>
      <x:c r="AW1488" s="604" t="inlineStr">
        <x:is>
          <x:t xml:space="preserve">2026-10-09T09:01:21.127001+08:00</x:t>
        </x:is>
      </x:c>
      <x:c r="AX1488" s="604" t="inlineStr">
        <x:is>
          <x:t xml:space="preserve">Titan007/V4</x:t>
        </x:is>
      </x:c>
      <x:c r="AY1488" s="604" t="inlineStr">
        <x:is>
          <x:t xml:space="preserve">Daily append；市场输入缺失时不生成决策</x:t>
        </x:is>
      </x:c>
    </x:row>
    <x:row r="1489" ht="22" customHeight="1">
      <x:c r="A1489" s="604" t="inlineStr">
        <x:is>
          <x:t xml:space="preserve">2026-10-09</x:t>
        </x:is>
      </x:c>
      <x:c r="B1489" s="604" t="inlineStr">
        <x:is>
          <x:t xml:space="preserve">2026-10-09T22:30:00+08:00</x:t>
        </x:is>
      </x:c>
      <x:c r="C1489" s="604" t="str">
        <x:v>欧洲非五大系列</x:v>
      </x:c>
      <x:c r="D1489" s="604" t="inlineStr">
        <x:is>
          <x:t xml:space="preserve"/>
        </x:is>
      </x:c>
      <x:c r="E1489" s="604" t="inlineStr">
        <x:is>
          <x:t xml:space="preserve">保乙</x:t>
        </x:is>
      </x:c>
      <x:c r="F1489" s="604" t="inlineStr">
        <x:is>
          <x:t xml:space="preserve">延特拉 vs 韦伦桑丹斯基</x:t>
        </x:is>
      </x:c>
      <x:c r="G1489" s="604" t="n">
        <x:v>0.85</x:v>
      </x:c>
      <x:c r="H1489" s="604" t="n">
        <x:v>0</x:v>
      </x:c>
      <x:c r="I1489" s="604" t="n">
        <x:v>0.95</x:v>
      </x:c>
      <x:c r="J1489" s="604" t="inlineStr">
        <x:is>
          <x:t xml:space="preserve">0.85/0.0/0.95</x:t>
        </x:is>
      </x:c>
      <x:c r="K1489" s="604" t="inlineStr">
        <x:is>
          <x:t xml:space="preserve">V4-N</x:t>
        </x:is>
      </x:c>
      <x:c r="L1489" s="604" t="inlineStr">
        <x:is>
          <x:t xml:space="preserve"/>
        </x:is>
      </x:c>
      <x:c r="M1489" s="604" t="n"/>
      <x:c r="N1489" s="604" t="inlineStr">
        <x:is>
          <x:t xml:space="preserve">V4 Shadow Only；real_money=false</x:t>
        </x:is>
      </x:c>
      <x:c r="O1489" s="604" t="inlineStr">
        <x:is>
          <x:t xml:space="preserve">0-0</x:t>
        </x:is>
      </x:c>
      <x:c r="P1489" s="604" t="inlineStr">
        <x:is>
          <x:t xml:space="preserve">NEUTRAL</x:t>
        </x:is>
      </x:c>
      <x:c r="Q1489" s="630" t="inlineStr">
        <x:is>
          <x:t xml:space="preserve"/>
        </x:is>
      </x:c>
      <x:c r="R1489" s="604" t="n"/>
      <x:c r="S1489" s="604" t="n"/>
      <x:c r="T1489" s="604" t="inlineStr">
        <x:is>
          <x:t xml:space="preserve">D:\codex\v3_legacy\outputs\football_odds_trader\raw\titan007\20261009\20261009_085232_titan007_odds_snapshot.csv</x:t>
        </x:is>
      </x:c>
      <x:c r="U1489" s="628" t="inlineStr">
        <x:is>
          <x:t xml:space="preserve"/>
        </x:is>
      </x:c>
      <x:c r="V1489" s="604" t="inlineStr">
        <x:is>
          <x:t xml:space="preserve"/>
        </x:is>
      </x:c>
      <x:c r="W1489" s="604" t="inlineStr">
        <x:is>
          <x:t xml:space="preserve"/>
        </x:is>
      </x:c>
      <x:c r="X1489" s="604" t="inlineStr">
        <x:is>
          <x:t xml:space="preserve">3017188</x:t>
        </x:is>
      </x:c>
      <x:c r="Y1489" s="604" t="inlineStr">
        <x:is>
          <x:t xml:space="preserve">V4</x:t>
        </x:is>
      </x:c>
      <x:c r="Z1489" s="604" t="inlineStr">
        <x:is>
          <x:t xml:space="preserve">prior-2026-10-09-v1</x:t>
        </x:is>
      </x:c>
      <x:c r="AA1489" s="604" t="inlineStr">
        <x:is>
          <x:t xml:space="preserve">N</x:t>
        </x:is>
      </x:c>
      <x:c r="AB1489" s="604" t="n"/>
      <x:c r="AC1489" s="604" t="n"/>
      <x:c r="AD1489" s="604" t="n"/>
      <x:c r="AE1489" s="604" t="n"/>
      <x:c r="AF1489" s="604" t="n"/>
      <x:c r="AG1489" s="604" t="n"/>
      <x:c r="AH1489" s="604" t="n"/>
      <x:c r="AI1489" s="604" t="n"/>
      <x:c r="AJ1489" s="604" t="n"/>
      <x:c r="AK1489" s="604" t="n"/>
      <x:c r="AL1489" s="604" t="n"/>
      <x:c r="AM1489" s="604" t="n"/>
      <x:c r="AN1489" s="604" t="inlineStr">
        <x:is>
          <x:t xml:space="preserve">NEUTRAL</x:t>
        </x:is>
      </x:c>
      <x:c r="AO1489" s="604" t="inlineStr">
        <x:is>
          <x:t xml:space="preserve">PK_NO_GIVING_RECEIVING_IDENTITY</x:t>
        </x:is>
      </x:c>
      <x:c r="AP1489" s="604" t="inlineStr">
        <x:is>
          <x:t xml:space="preserve">83957eb67629be509e79</x:t>
        </x:is>
      </x:c>
      <x:c r="AQ1489" s="604" t="n"/>
      <x:c r="AR1489" s="604" t="n"/>
      <x:c r="AS1489" s="604" t="n"/>
      <x:c r="AT1489" s="604" t="n"/>
      <x:c r="AU1489" s="604" t="n"/>
      <x:c r="AV1489" s="604" t="n"/>
      <x:c r="AW1489" s="604" t="inlineStr">
        <x:is>
          <x:t xml:space="preserve">2026-10-09T09:01:21.127001+08:00</x:t>
        </x:is>
      </x:c>
      <x:c r="AX1489" s="604" t="inlineStr">
        <x:is>
          <x:t xml:space="preserve">Titan007/V4</x:t>
        </x:is>
      </x:c>
      <x:c r="AY1489" s="604" t="inlineStr">
        <x:is>
          <x:t xml:space="preserve">Daily append；市场输入缺失时不生成决策</x:t>
        </x:is>
      </x:c>
    </x:row>
    <x:row r="1490" ht="22" customHeight="1">
      <x:c r="A1490" s="604" t="inlineStr">
        <x:is>
          <x:t xml:space="preserve">2026-10-09</x:t>
        </x:is>
      </x:c>
      <x:c r="B1490" s="604" t="inlineStr">
        <x:is>
          <x:t xml:space="preserve">2026-10-10T00:30:00+08:00</x:t>
        </x:is>
      </x:c>
      <x:c r="C1490" s="604" t="str">
        <x:v>欧洲非五大系列</x:v>
      </x:c>
      <x:c r="D1490" s="604" t="inlineStr">
        <x:is>
          <x:t xml:space="preserve"/>
        </x:is>
      </x:c>
      <x:c r="E1490" s="604" t="inlineStr">
        <x:is>
          <x:t xml:space="preserve">奥乙</x:t>
        </x:is>
      </x:c>
      <x:c r="F1490" s="604" t="inlineStr">
        <x:is>
          <x:t xml:space="preserve">阿姆斯特顿 vs BW林茨</x:t>
        </x:is>
      </x:c>
      <x:c r="G1490" s="604" t="n">
        <x:v>0.95</x:v>
      </x:c>
      <x:c r="H1490" s="604" t="n">
        <x:v>-0.5</x:v>
      </x:c>
      <x:c r="I1490" s="604" t="n">
        <x:v>0.87</x:v>
      </x:c>
      <x:c r="J1490" s="604" t="inlineStr">
        <x:is>
          <x:t xml:space="preserve">0.95/-0.5/0.87</x:t>
        </x:is>
      </x:c>
      <x:c r="K1490" s="604" t="inlineStr">
        <x:is>
          <x:t xml:space="preserve">V4-N</x:t>
        </x:is>
      </x:c>
      <x:c r="L1490" s="604" t="inlineStr">
        <x:is>
          <x:t xml:space="preserve"/>
        </x:is>
      </x:c>
      <x:c r="M1490" s="604" t="n">
        <x:v>0.2043802886550935</x:v>
      </x:c>
      <x:c r="N1490" s="604" t="inlineStr">
        <x:is>
          <x:t xml:space="preserve">V4 Shadow Only；real_money=false</x:t>
        </x:is>
      </x:c>
      <x:c r="O1490" s="604" t="inlineStr">
        <x:is>
          <x:t xml:space="preserve">0-0</x:t>
        </x:is>
      </x:c>
      <x:c r="P1490" s="604" t="inlineStr">
        <x:is>
          <x:t xml:space="preserve">EVALUATED</x:t>
        </x:is>
      </x:c>
      <x:c r="Q1490" s="630" t="inlineStr">
        <x:is>
          <x:t xml:space="preserve"/>
        </x:is>
      </x:c>
      <x:c r="R1490" s="604" t="n"/>
      <x:c r="S1490" s="604" t="n"/>
      <x:c r="T1490" s="604" t="inlineStr">
        <x:is>
          <x:t xml:space="preserve">D:\codex\v3_legacy\outputs\football_odds_trader\raw\titan007\20261009\20261009_085232_titan007_odds_snapshot.csv</x:t>
        </x:is>
      </x:c>
      <x:c r="U1490" s="628" t="inlineStr">
        <x:is>
          <x:t xml:space="preserve"/>
        </x:is>
      </x:c>
      <x:c r="V1490" s="604" t="inlineStr">
        <x:is>
          <x:t xml:space="preserve"/>
        </x:is>
      </x:c>
      <x:c r="W1490" s="604" t="inlineStr">
        <x:is>
          <x:t xml:space="preserve"/>
        </x:is>
      </x:c>
      <x:c r="X1490" s="604" t="inlineStr">
        <x:is>
          <x:t xml:space="preserve">3017914</x:t>
        </x:is>
      </x:c>
      <x:c r="Y1490" s="604" t="inlineStr">
        <x:is>
          <x:t xml:space="preserve">V4</x:t>
        </x:is>
      </x:c>
      <x:c r="Z1490" s="604" t="inlineStr">
        <x:is>
          <x:t xml:space="preserve">prior-2026-10-09-v1</x:t>
        </x:is>
      </x:c>
      <x:c r="AA1490" s="604" t="inlineStr">
        <x:is>
          <x:t xml:space="preserve">N</x:t>
        </x:is>
      </x:c>
      <x:c r="AB1490" s="604" t="n">
        <x:v>0.2043802886550935</x:v>
      </x:c>
      <x:c r="AC1490" s="604" t="n">
        <x:v>0.7956197113449066</x:v>
      </x:c>
      <x:c r="AD1490" s="604" t="n">
        <x:v>-0.75</x:v>
      </x:c>
      <x:c r="AE1490" s="604" t="n"/>
      <x:c r="AF1490" s="604" t="n"/>
      <x:c r="AG1490" s="604" t="n">
        <x:v>0.5514584371225677</x:v>
      </x:c>
      <x:c r="AH1490" s="604" t="n"/>
      <x:c r="AI1490" s="604" t="n"/>
      <x:c r="AJ1490" s="604" t="n">
        <x:v>0.5514584371225677</x:v>
      </x:c>
      <x:c r="AK1490" s="604" t="n"/>
      <x:c r="AL1490" s="604" t="n"/>
      <x:c r="AM1490" s="604" t="n"/>
      <x:c r="AN1490" s="604" t="inlineStr">
        <x:is>
          <x:t xml:space="preserve">EVALUATED</x:t>
        </x:is>
      </x:c>
      <x:c r="AO1490" s="604" t="inlineStr">
        <x:is>
          <x:t xml:space="preserve">LOW_QUALITY_GATE;BUCKET_PRIOR_ONLY;INTENT_INTERPRETATION_ONLY;FFL_OPTIONAL;EXPERT_MARKET</x:t>
        </x:is>
      </x:c>
      <x:c r="AP1490" s="604" t="inlineStr">
        <x:is>
          <x:t xml:space="preserve">3b158fd89164d2061b49</x:t>
        </x:is>
      </x:c>
      <x:c r="AQ1490" s="604" t="n"/>
      <x:c r="AR1490" s="604" t="n"/>
      <x:c r="AS1490" s="604" t="n">
        <x:v>-0.5</x:v>
      </x:c>
      <x:c r="AT1490" s="604" t="n">
        <x:v>0.5</x:v>
      </x:c>
      <x:c r="AU1490" s="604" t="n">
        <x:v>0.95</x:v>
      </x:c>
      <x:c r="AV1490" s="604" t="n">
        <x:v>0.87</x:v>
      </x:c>
      <x:c r="AW1490" s="604" t="inlineStr">
        <x:is>
          <x:t xml:space="preserve">2026-10-09T09:01:21.127001+08:00</x:t>
        </x:is>
      </x:c>
      <x:c r="AX1490" s="604" t="inlineStr">
        <x:is>
          <x:t xml:space="preserve">Titan007/V4</x:t>
        </x:is>
      </x:c>
      <x:c r="AY1490" s="604" t="inlineStr">
        <x:is>
          <x:t xml:space="preserve">Daily append；市场输入缺失时不生成决策</x:t>
        </x:is>
      </x:c>
    </x:row>
    <x:row r="1491" ht="22" customHeight="1">
      <x:c r="A1491" s="604" t="inlineStr">
        <x:is>
          <x:t xml:space="preserve">2026-10-09</x:t>
        </x:is>
      </x:c>
      <x:c r="B1491" s="604" t="inlineStr">
        <x:is>
          <x:t xml:space="preserve">2026-10-10T02:30:00+08:00</x:t>
        </x:is>
      </x:c>
      <x:c r="C1491" s="604" t="str">
        <x:v>欧洲非五大系列</x:v>
      </x:c>
      <x:c r="D1491" s="604" t="inlineStr">
        <x:is>
          <x:t xml:space="preserve"/>
        </x:is>
      </x:c>
      <x:c r="E1491" s="604" t="inlineStr">
        <x:is>
          <x:t xml:space="preserve">奥乙</x:t>
        </x:is>
      </x:c>
      <x:c r="F1491" s="604" t="inlineStr">
        <x:is>
          <x:t xml:space="preserve">第一维也纳 vs 圣珀尔滕</x:t>
        </x:is>
      </x:c>
      <x:c r="G1491" s="604" t="n">
        <x:v>0.9399999999999999</x:v>
      </x:c>
      <x:c r="H1491" s="604" t="n">
        <x:v>0.5</x:v>
      </x:c>
      <x:c r="I1491" s="604" t="n">
        <x:v>0.88</x:v>
      </x:c>
      <x:c r="J1491" s="604" t="inlineStr">
        <x:is>
          <x:t xml:space="preserve">0.94/0.5/0.88</x:t>
        </x:is>
      </x:c>
      <x:c r="K1491" s="604" t="inlineStr">
        <x:is>
          <x:t xml:space="preserve">V4-N</x:t>
        </x:is>
      </x:c>
      <x:c r="L1491" s="604" t="inlineStr">
        <x:is>
          <x:t xml:space="preserve"/>
        </x:is>
      </x:c>
      <x:c r="M1491" s="604" t="n">
        <x:v>0.5296954694982932</x:v>
      </x:c>
      <x:c r="N1491" s="604" t="inlineStr">
        <x:is>
          <x:t xml:space="preserve">V4 Shadow Only；real_money=false</x:t>
        </x:is>
      </x:c>
      <x:c r="O1491" s="604" t="inlineStr">
        <x:is>
          <x:t xml:space="preserve">0-0</x:t>
        </x:is>
      </x:c>
      <x:c r="P1491" s="604" t="inlineStr">
        <x:is>
          <x:t xml:space="preserve">EVALUATED</x:t>
        </x:is>
      </x:c>
      <x:c r="Q1491" s="630" t="inlineStr">
        <x:is>
          <x:t xml:space="preserve"/>
        </x:is>
      </x:c>
      <x:c r="R1491" s="604" t="n"/>
      <x:c r="S1491" s="604" t="n"/>
      <x:c r="T1491" s="604" t="inlineStr">
        <x:is>
          <x:t xml:space="preserve">D:\codex\v3_legacy\outputs\football_odds_trader\raw\titan007\20261009\20261009_085232_titan007_odds_snapshot.csv</x:t>
        </x:is>
      </x:c>
      <x:c r="U1491" s="628" t="inlineStr">
        <x:is>
          <x:t xml:space="preserve"/>
        </x:is>
      </x:c>
      <x:c r="V1491" s="604" t="inlineStr">
        <x:is>
          <x:t xml:space="preserve"/>
        </x:is>
      </x:c>
      <x:c r="W1491" s="604" t="inlineStr">
        <x:is>
          <x:t xml:space="preserve"/>
        </x:is>
      </x:c>
      <x:c r="X1491" s="604" t="inlineStr">
        <x:is>
          <x:t xml:space="preserve">3017916</x:t>
        </x:is>
      </x:c>
      <x:c r="Y1491" s="604" t="inlineStr">
        <x:is>
          <x:t xml:space="preserve">V4</x:t>
        </x:is>
      </x:c>
      <x:c r="Z1491" s="604" t="inlineStr">
        <x:is>
          <x:t xml:space="preserve">prior-2026-10-09-v1</x:t>
        </x:is>
      </x:c>
      <x:c r="AA1491" s="604" t="inlineStr">
        <x:is>
          <x:t xml:space="preserve">N</x:t>
        </x:is>
      </x:c>
      <x:c r="AB1491" s="604" t="n">
        <x:v>0.5296954694982932</x:v>
      </x:c>
      <x:c r="AC1491" s="604" t="n">
        <x:v>0.4703045305017068</x:v>
      </x:c>
      <x:c r="AD1491" s="604" t="n">
        <x:v>0.75</x:v>
      </x:c>
      <x:c r="AE1491" s="604" t="n"/>
      <x:c r="AF1491" s="604" t="n"/>
      <x:c r="AG1491" s="604" t="n">
        <x:v>0.02760921082668877</x:v>
      </x:c>
      <x:c r="AH1491" s="604" t="n"/>
      <x:c r="AI1491" s="604" t="n"/>
      <x:c r="AJ1491" s="604" t="n">
        <x:v>0.02760921082668877</x:v>
      </x:c>
      <x:c r="AK1491" s="604" t="n"/>
      <x:c r="AL1491" s="604" t="n"/>
      <x:c r="AM1491" s="604" t="n"/>
      <x:c r="AN1491" s="604" t="inlineStr">
        <x:is>
          <x:t xml:space="preserve">EVALUATED</x:t>
        </x:is>
      </x:c>
      <x:c r="AO1491" s="604" t="inlineStr">
        <x:is>
          <x:t xml:space="preserve">EDGE_BELOW_UNCERTAINTY_THRESHOLD;BUCKET_PRIOR_ONLY;INTENT_INTERPRETATION_ONLY;FFL_OPTIONAL;EXPERT_MARKET</x:t>
        </x:is>
      </x:c>
      <x:c r="AP1491" s="604" t="inlineStr">
        <x:is>
          <x:t xml:space="preserve">2af4ff40781cd4145bc2</x:t>
        </x:is>
      </x:c>
      <x:c r="AQ1491" s="604" t="n"/>
      <x:c r="AR1491" s="604" t="n"/>
      <x:c r="AS1491" s="604" t="n">
        <x:v>0.5</x:v>
      </x:c>
      <x:c r="AT1491" s="604" t="n">
        <x:v>-0.5</x:v>
      </x:c>
      <x:c r="AU1491" s="604" t="n">
        <x:v>0.9399999999999999</x:v>
      </x:c>
      <x:c r="AV1491" s="604" t="n">
        <x:v>0.88</x:v>
      </x:c>
      <x:c r="AW1491" s="604" t="inlineStr">
        <x:is>
          <x:t xml:space="preserve">2026-10-09T09:01:21.127001+08:00</x:t>
        </x:is>
      </x:c>
      <x:c r="AX1491" s="604" t="inlineStr">
        <x:is>
          <x:t xml:space="preserve">Titan007/V4</x:t>
        </x:is>
      </x:c>
      <x:c r="AY1491" s="604" t="inlineStr">
        <x:is>
          <x:t xml:space="preserve">Daily append；市场输入缺失时不生成决策</x:t>
        </x:is>
      </x:c>
    </x:row>
    <x:row r="1492" ht="22" customHeight="1">
      <x:c r="A1492" s="604" t="inlineStr">
        <x:is>
          <x:t xml:space="preserve">2026-10-09</x:t>
        </x:is>
      </x:c>
      <x:c r="B1492" s="604" t="inlineStr">
        <x:is>
          <x:t xml:space="preserve">2026-10-10T00:30:00+08:00</x:t>
        </x:is>
      </x:c>
      <x:c r="C1492" s="604" t="str">
        <x:v>欧洲非五大系列</x:v>
      </x:c>
      <x:c r="D1492" s="604" t="inlineStr">
        <x:is>
          <x:t xml:space="preserve"/>
        </x:is>
      </x:c>
      <x:c r="E1492" s="604" t="inlineStr">
        <x:is>
          <x:t xml:space="preserve">奥乙</x:t>
        </x:is>
      </x:c>
      <x:c r="F1492" s="604" t="inlineStr">
        <x:is>
          <x:t xml:space="preserve">卡芬堡 vs 奥地利维也纳青年队</x:t>
        </x:is>
      </x:c>
      <x:c r="G1492" s="604" t="n">
        <x:v>0.87</x:v>
      </x:c>
      <x:c r="H1492" s="604" t="n">
        <x:v>-0.25</x:v>
      </x:c>
      <x:c r="I1492" s="604" t="n">
        <x:v>0.95</x:v>
      </x:c>
      <x:c r="J1492" s="604" t="inlineStr">
        <x:is>
          <x:t xml:space="preserve">0.87/-0.25/0.95</x:t>
        </x:is>
      </x:c>
      <x:c r="K1492" s="604" t="inlineStr">
        <x:is>
          <x:t xml:space="preserve">V4-N</x:t>
        </x:is>
      </x:c>
      <x:c r="L1492" s="604" t="inlineStr">
        <x:is>
          <x:t xml:space="preserve"/>
        </x:is>
      </x:c>
      <x:c r="M1492" s="604" t="n">
        <x:v>0.297838417199564</x:v>
      </x:c>
      <x:c r="N1492" s="604" t="inlineStr">
        <x:is>
          <x:t xml:space="preserve">V4 Shadow Only；real_money=false</x:t>
        </x:is>
      </x:c>
      <x:c r="O1492" s="604" t="inlineStr">
        <x:is>
          <x:t xml:space="preserve">0-0</x:t>
        </x:is>
      </x:c>
      <x:c r="P1492" s="604" t="inlineStr">
        <x:is>
          <x:t xml:space="preserve">EVALUATED</x:t>
        </x:is>
      </x:c>
      <x:c r="Q1492" s="630" t="inlineStr">
        <x:is>
          <x:t xml:space="preserve"/>
        </x:is>
      </x:c>
      <x:c r="R1492" s="604" t="n"/>
      <x:c r="S1492" s="604" t="n"/>
      <x:c r="T1492" s="604" t="inlineStr">
        <x:is>
          <x:t xml:space="preserve">D:\codex\v3_legacy\outputs\football_odds_trader\raw\titan007\20261009\20261009_085232_titan007_odds_snapshot.csv</x:t>
        </x:is>
      </x:c>
      <x:c r="U1492" s="628" t="inlineStr">
        <x:is>
          <x:t xml:space="preserve"/>
        </x:is>
      </x:c>
      <x:c r="V1492" s="604" t="inlineStr">
        <x:is>
          <x:t xml:space="preserve"/>
        </x:is>
      </x:c>
      <x:c r="W1492" s="604" t="inlineStr">
        <x:is>
          <x:t xml:space="preserve"/>
        </x:is>
      </x:c>
      <x:c r="X1492" s="604" t="inlineStr">
        <x:is>
          <x:t xml:space="preserve">3017918</x:t>
        </x:is>
      </x:c>
      <x:c r="Y1492" s="604" t="inlineStr">
        <x:is>
          <x:t xml:space="preserve">V4</x:t>
        </x:is>
      </x:c>
      <x:c r="Z1492" s="604" t="inlineStr">
        <x:is>
          <x:t xml:space="preserve">prior-2026-10-09-v1</x:t>
        </x:is>
      </x:c>
      <x:c r="AA1492" s="604" t="inlineStr">
        <x:is>
          <x:t xml:space="preserve">N</x:t>
        </x:is>
      </x:c>
      <x:c r="AB1492" s="604" t="n">
        <x:v>0.297838417199564</x:v>
      </x:c>
      <x:c r="AC1492" s="604" t="n">
        <x:v>0.5725574107891391</x:v>
      </x:c>
      <x:c r="AD1492" s="604" t="n">
        <x:v>-0.25</x:v>
      </x:c>
      <x:c r="AE1492" s="604" t="n"/>
      <x:c r="AF1492" s="604" t="n"/>
      <x:c r="AG1492" s="604" t="n">
        <x:v>0.2002865301869871</x:v>
      </x:c>
      <x:c r="AH1492" s="604" t="n"/>
      <x:c r="AI1492" s="604" t="n"/>
      <x:c r="AJ1492" s="604" t="n">
        <x:v>0.2002865301869871</x:v>
      </x:c>
      <x:c r="AK1492" s="604" t="n"/>
      <x:c r="AL1492" s="604" t="n"/>
      <x:c r="AM1492" s="604" t="n"/>
      <x:c r="AN1492" s="604" t="inlineStr">
        <x:is>
          <x:t xml:space="preserve">EVALUATED</x:t>
        </x:is>
      </x:c>
      <x:c r="AO1492" s="604" t="inlineStr">
        <x:is>
          <x:t xml:space="preserve">LOW_QUALITY_GATE;BUCKET_PRIOR_ONLY;INTENT_INTERPRETATION_ONLY;FFL_OPTIONAL;EXPERT_MARKET</x:t>
        </x:is>
      </x:c>
      <x:c r="AP1492" s="604" t="inlineStr">
        <x:is>
          <x:t xml:space="preserve">a2a0dafcd395f742d2c1</x:t>
        </x:is>
      </x:c>
      <x:c r="AQ1492" s="604" t="n"/>
      <x:c r="AR1492" s="604" t="n"/>
      <x:c r="AS1492" s="604" t="n">
        <x:v>-0.25</x:v>
      </x:c>
      <x:c r="AT1492" s="604" t="n">
        <x:v>0.25</x:v>
      </x:c>
      <x:c r="AU1492" s="604" t="n">
        <x:v>0.87</x:v>
      </x:c>
      <x:c r="AV1492" s="604" t="n">
        <x:v>0.95</x:v>
      </x:c>
      <x:c r="AW1492" s="604" t="inlineStr">
        <x:is>
          <x:t xml:space="preserve">2026-10-09T09:01:21.127001+08:00</x:t>
        </x:is>
      </x:c>
      <x:c r="AX1492" s="604" t="inlineStr">
        <x:is>
          <x:t xml:space="preserve">Titan007/V4</x:t>
        </x:is>
      </x:c>
      <x:c r="AY1492" s="604" t="inlineStr">
        <x:is>
          <x:t xml:space="preserve">Daily append；市场输入缺失时不生成决策</x:t>
        </x:is>
      </x:c>
    </x:row>
    <x:row r="1493" ht="22" customHeight="1">
      <x:c r="A1493" s="604" t="inlineStr">
        <x:is>
          <x:t xml:space="preserve">2026-10-09</x:t>
        </x:is>
      </x:c>
      <x:c r="B1493" s="604" t="inlineStr">
        <x:is>
          <x:t xml:space="preserve">2026-10-10T02:30:00+08:00</x:t>
        </x:is>
      </x:c>
      <x:c r="C1493" s="604" t="str">
        <x:v>欧洲五大系列</x:v>
      </x:c>
      <x:c r="D1493" s="604" t="inlineStr">
        <x:is>
          <x:t xml:space="preserve"/>
        </x:is>
      </x:c>
      <x:c r="E1493" s="604" t="inlineStr">
        <x:is>
          <x:t xml:space="preserve">德甲</x:t>
        </x:is>
      </x:c>
      <x:c r="F1493" s="604" t="inlineStr">
        <x:is>
          <x:t xml:space="preserve">多特蒙德 vs 云达不莱梅</x:t>
        </x:is>
      </x:c>
      <x:c r="G1493" s="604" t="n">
        <x:v>0.85</x:v>
      </x:c>
      <x:c r="H1493" s="604" t="n">
        <x:v>1.5</x:v>
      </x:c>
      <x:c r="I1493" s="604" t="n">
        <x:v>1.03</x:v>
      </x:c>
      <x:c r="J1493" s="604" t="inlineStr">
        <x:is>
          <x:t xml:space="preserve">0.85/1.5/1.03</x:t>
        </x:is>
      </x:c>
      <x:c r="K1493" s="604" t="inlineStr">
        <x:is>
          <x:t xml:space="preserve">V4-A</x:t>
        </x:is>
      </x:c>
      <x:c r="L1493" s="604" t="inlineStr">
        <x:is>
          <x:t xml:space="preserve">多特蒙德</x:t>
        </x:is>
      </x:c>
      <x:c r="M1493" s="604" t="n">
        <x:v>0.631601793498961</x:v>
      </x:c>
      <x:c r="N1493" s="604" t="inlineStr">
        <x:is>
          <x:t xml:space="preserve">V4 Shadow Only；real_money=false</x:t>
        </x:is>
      </x:c>
      <x:c r="O1493" s="604" t="inlineStr">
        <x:is>
          <x:t xml:space="preserve">0-0</x:t>
        </x:is>
      </x:c>
      <x:c r="P1493" s="604" t="inlineStr">
        <x:is>
          <x:t xml:space="preserve">EVALUATED</x:t>
        </x:is>
      </x:c>
      <x:c r="Q1493" s="630" t="inlineStr">
        <x:is>
          <x:t xml:space="preserve"/>
        </x:is>
      </x:c>
      <x:c r="R1493" s="604" t="n">
        <x:v>0.85</x:v>
      </x:c>
      <x:c r="S1493" s="604" t="n"/>
      <x:c r="T1493" s="604" t="inlineStr">
        <x:is>
          <x:t xml:space="preserve">D:\codex\v3_legacy\outputs\football_odds_trader\raw\titan007\20261009\20261009_085232_titan007_odds_snapshot.csv</x:t>
        </x:is>
      </x:c>
      <x:c r="U1493" s="628" t="inlineStr">
        <x:is>
          <x:t xml:space="preserve"/>
        </x:is>
      </x:c>
      <x:c r="V1493" s="604" t="inlineStr">
        <x:is>
          <x:t xml:space="preserve"/>
        </x:is>
      </x:c>
      <x:c r="W1493" s="604" t="inlineStr">
        <x:is>
          <x:t xml:space="preserve"/>
        </x:is>
      </x:c>
      <x:c r="X1493" s="604" t="inlineStr">
        <x:is>
          <x:t xml:space="preserve">3018823</x:t>
        </x:is>
      </x:c>
      <x:c r="Y1493" s="604" t="inlineStr">
        <x:is>
          <x:t xml:space="preserve">V4</x:t>
        </x:is>
      </x:c>
      <x:c r="Z1493" s="604" t="inlineStr">
        <x:is>
          <x:t xml:space="preserve">prior-2026-10-09-v1</x:t>
        </x:is>
      </x:c>
      <x:c r="AA1493" s="604" t="inlineStr">
        <x:is>
          <x:t xml:space="preserve">A</x:t>
        </x:is>
      </x:c>
      <x:c r="AB1493" s="604" t="n">
        <x:v>0.631601793498961</x:v>
      </x:c>
      <x:c r="AC1493" s="604" t="n">
        <x:v>0.368398206501039</x:v>
      </x:c>
      <x:c r="AD1493" s="604" t="n">
        <x:v>2.25</x:v>
      </x:c>
      <x:c r="AE1493" s="604" t="n"/>
      <x:c r="AF1493" s="604" t="n"/>
      <x:c r="AG1493" s="604" t="n">
        <x:v>0.1684633179730778</x:v>
      </x:c>
      <x:c r="AH1493" s="604" t="n"/>
      <x:c r="AI1493" s="604" t="n"/>
      <x:c r="AJ1493" s="604" t="n">
        <x:v>0.1684633179730778</x:v>
      </x:c>
      <x:c r="AK1493" s="604" t="n"/>
      <x:c r="AL1493" s="604" t="n"/>
      <x:c r="AM1493" s="604" t="n"/>
      <x:c r="AN1493" s="604" t="inlineStr">
        <x:is>
          <x:t xml:space="preserve">EVALUATED</x:t>
        </x:is>
      </x:c>
      <x:c r="AO1493" s="604" t="inlineStr">
        <x:is>
          <x:t xml:space="preserve">GIVING_VALIDATED_EDGE;BUCKET_PRIOR_ONLY;INTENT_INTERPRETATION_ONLY;FFL_OPTIONAL;EXPERT_MARKET</x:t>
        </x:is>
      </x:c>
      <x:c r="AP1493" s="604" t="inlineStr">
        <x:is>
          <x:t xml:space="preserve">328f1fbf2a70b1a229c4</x:t>
        </x:is>
      </x:c>
      <x:c r="AQ1493" s="604" t="n">
        <x:v>-1.5</x:v>
      </x:c>
      <x:c r="AR1493" s="604" t="n">
        <x:v>0.85</x:v>
      </x:c>
      <x:c r="AS1493" s="604" t="n">
        <x:v>1.5</x:v>
      </x:c>
      <x:c r="AT1493" s="604" t="n">
        <x:v>-1.5</x:v>
      </x:c>
      <x:c r="AU1493" s="604" t="n">
        <x:v>0.85</x:v>
      </x:c>
      <x:c r="AV1493" s="604" t="n">
        <x:v>1.03</x:v>
      </x:c>
      <x:c r="AW1493" s="604" t="inlineStr">
        <x:is>
          <x:t xml:space="preserve">2026-10-09T09:01:21.127001+08:00</x:t>
        </x:is>
      </x:c>
      <x:c r="AX1493" s="604" t="inlineStr">
        <x:is>
          <x:t xml:space="preserve">Titan007/V4</x:t>
        </x:is>
      </x:c>
      <x:c r="AY1493" s="604" t="inlineStr">
        <x:is>
          <x:t xml:space="preserve">Daily append；市场输入缺失时不生成决策</x:t>
        </x:is>
      </x:c>
    </x:row>
    <x:row r="1494" ht="22" customHeight="1">
      <x:c r="A1494" s="604" t="inlineStr">
        <x:is>
          <x:t xml:space="preserve">2026-10-09</x:t>
        </x:is>
      </x:c>
      <x:c r="B1494" s="604" t="inlineStr">
        <x:is>
          <x:t xml:space="preserve">2026-10-10T00:30:00+08:00</x:t>
        </x:is>
      </x:c>
      <x:c r="C1494" s="604" t="str">
        <x:v>五大联赛非顶级联赛</x:v>
      </x:c>
      <x:c r="D1494" s="604" t="inlineStr">
        <x:is>
          <x:t xml:space="preserve"/>
        </x:is>
      </x:c>
      <x:c r="E1494" s="604" t="inlineStr">
        <x:is>
          <x:t xml:space="preserve">德乙</x:t>
        </x:is>
      </x:c>
      <x:c r="F1494" s="604" t="inlineStr">
        <x:is>
          <x:t xml:space="preserve">布伦瑞克 vs 荷尔斯泰因</x:t>
        </x:is>
      </x:c>
      <x:c r="G1494" s="604" t="n">
        <x:v>1.06</x:v>
      </x:c>
      <x:c r="H1494" s="604" t="n">
        <x:v>0</x:v>
      </x:c>
      <x:c r="I1494" s="604" t="n">
        <x:v>0.82</x:v>
      </x:c>
      <x:c r="J1494" s="604" t="inlineStr">
        <x:is>
          <x:t xml:space="preserve">1.06/0.0/0.82</x:t>
        </x:is>
      </x:c>
      <x:c r="K1494" s="604" t="inlineStr">
        <x:is>
          <x:t xml:space="preserve">V4-N</x:t>
        </x:is>
      </x:c>
      <x:c r="L1494" s="604" t="inlineStr">
        <x:is>
          <x:t xml:space="preserve"/>
        </x:is>
      </x:c>
      <x:c r="M1494" s="604" t="n"/>
      <x:c r="N1494" s="604" t="inlineStr">
        <x:is>
          <x:t xml:space="preserve">V4 Shadow Only；real_money=false</x:t>
        </x:is>
      </x:c>
      <x:c r="O1494" s="604" t="inlineStr">
        <x:is>
          <x:t xml:space="preserve">0-0</x:t>
        </x:is>
      </x:c>
      <x:c r="P1494" s="604" t="inlineStr">
        <x:is>
          <x:t xml:space="preserve">NEUTRAL</x:t>
        </x:is>
      </x:c>
      <x:c r="Q1494" s="630" t="inlineStr">
        <x:is>
          <x:t xml:space="preserve"/>
        </x:is>
      </x:c>
      <x:c r="R1494" s="604" t="n"/>
      <x:c r="S1494" s="604" t="n"/>
      <x:c r="T1494" s="604" t="inlineStr">
        <x:is>
          <x:t xml:space="preserve">D:\codex\v3_legacy\outputs\football_odds_trader\raw\titan007\20261009\20261009_085232_titan007_odds_snapshot.csv</x:t>
        </x:is>
      </x:c>
      <x:c r="U1494" s="628" t="inlineStr">
        <x:is>
          <x:t xml:space="preserve"/>
        </x:is>
      </x:c>
      <x:c r="V1494" s="604" t="inlineStr">
        <x:is>
          <x:t xml:space="preserve"/>
        </x:is>
      </x:c>
      <x:c r="W1494" s="604" t="inlineStr">
        <x:is>
          <x:t xml:space="preserve"/>
        </x:is>
      </x:c>
      <x:c r="X1494" s="604" t="inlineStr">
        <x:is>
          <x:t xml:space="preserve">3019147</x:t>
        </x:is>
      </x:c>
      <x:c r="Y1494" s="604" t="inlineStr">
        <x:is>
          <x:t xml:space="preserve">V4</x:t>
        </x:is>
      </x:c>
      <x:c r="Z1494" s="604" t="inlineStr">
        <x:is>
          <x:t xml:space="preserve">prior-2026-10-09-v1</x:t>
        </x:is>
      </x:c>
      <x:c r="AA1494" s="604" t="inlineStr">
        <x:is>
          <x:t xml:space="preserve">N</x:t>
        </x:is>
      </x:c>
      <x:c r="AB1494" s="604" t="n"/>
      <x:c r="AC1494" s="604" t="n"/>
      <x:c r="AD1494" s="604" t="n"/>
      <x:c r="AE1494" s="604" t="n"/>
      <x:c r="AF1494" s="604" t="n"/>
      <x:c r="AG1494" s="604" t="n"/>
      <x:c r="AH1494" s="604" t="n"/>
      <x:c r="AI1494" s="604" t="n"/>
      <x:c r="AJ1494" s="604" t="n"/>
      <x:c r="AK1494" s="604" t="n"/>
      <x:c r="AL1494" s="604" t="n"/>
      <x:c r="AM1494" s="604" t="n"/>
      <x:c r="AN1494" s="604" t="inlineStr">
        <x:is>
          <x:t xml:space="preserve">NEUTRAL</x:t>
        </x:is>
      </x:c>
      <x:c r="AO1494" s="604" t="inlineStr">
        <x:is>
          <x:t xml:space="preserve">PK_NO_GIVING_RECEIVING_IDENTITY</x:t>
        </x:is>
      </x:c>
      <x:c r="AP1494" s="604" t="inlineStr">
        <x:is>
          <x:t xml:space="preserve">2f96a7803ae08b4aac20</x:t>
        </x:is>
      </x:c>
      <x:c r="AQ1494" s="604" t="n"/>
      <x:c r="AR1494" s="604" t="n"/>
      <x:c r="AS1494" s="604" t="n"/>
      <x:c r="AT1494" s="604" t="n"/>
      <x:c r="AU1494" s="604" t="n"/>
      <x:c r="AV1494" s="604" t="n"/>
      <x:c r="AW1494" s="604" t="inlineStr">
        <x:is>
          <x:t xml:space="preserve">2026-10-09T09:01:21.127001+08:00</x:t>
        </x:is>
      </x:c>
      <x:c r="AX1494" s="604" t="inlineStr">
        <x:is>
          <x:t xml:space="preserve">Titan007/V4</x:t>
        </x:is>
      </x:c>
      <x:c r="AY1494" s="604" t="inlineStr">
        <x:is>
          <x:t xml:space="preserve">Daily append；市场输入缺失时不生成决策</x:t>
        </x:is>
      </x:c>
    </x:row>
    <x:row r="1495" ht="22" customHeight="1">
      <x:c r="A1495" s="604" t="inlineStr">
        <x:is>
          <x:t xml:space="preserve">2026-10-09</x:t>
        </x:is>
      </x:c>
      <x:c r="B1495" s="604" t="inlineStr">
        <x:is>
          <x:t xml:space="preserve">2026-10-10T00:30:00+08:00</x:t>
        </x:is>
      </x:c>
      <x:c r="C1495" s="604" t="str">
        <x:v>五大联赛非顶级联赛</x:v>
      </x:c>
      <x:c r="D1495" s="604" t="inlineStr">
        <x:is>
          <x:t xml:space="preserve"/>
        </x:is>
      </x:c>
      <x:c r="E1495" s="604" t="inlineStr">
        <x:is>
          <x:t xml:space="preserve">德乙</x:t>
        </x:is>
      </x:c>
      <x:c r="F1495" s="604" t="inlineStr">
        <x:is>
          <x:t xml:space="preserve">海登海姆 vs 凯泽斯劳滕</x:t>
        </x:is>
      </x:c>
      <x:c r="G1495" s="604" t="n">
        <x:v>0.89</x:v>
      </x:c>
      <x:c r="H1495" s="604" t="n">
        <x:v>0.5</x:v>
      </x:c>
      <x:c r="I1495" s="604" t="n">
        <x:v>0.99</x:v>
      </x:c>
      <x:c r="J1495" s="604" t="inlineStr">
        <x:is>
          <x:t xml:space="preserve">0.89/0.5/0.99</x:t>
        </x:is>
      </x:c>
      <x:c r="K1495" s="604" t="inlineStr">
        <x:is>
          <x:t xml:space="preserve">V4-B</x:t>
        </x:is>
      </x:c>
      <x:c r="L1495" s="604" t="inlineStr">
        <x:is>
          <x:t xml:space="preserve">海登海姆</x:t>
        </x:is>
      </x:c>
      <x:c r="M1495" s="604" t="n">
        <x:v>0.5803832904388486</x:v>
      </x:c>
      <x:c r="N1495" s="604" t="inlineStr">
        <x:is>
          <x:t xml:space="preserve">V4 Shadow Only；real_money=false</x:t>
        </x:is>
      </x:c>
      <x:c r="O1495" s="604" t="inlineStr">
        <x:is>
          <x:t xml:space="preserve">0-0</x:t>
        </x:is>
      </x:c>
      <x:c r="P1495" s="604" t="inlineStr">
        <x:is>
          <x:t xml:space="preserve">EVALUATED</x:t>
        </x:is>
      </x:c>
      <x:c r="Q1495" s="630" t="inlineStr">
        <x:is>
          <x:t xml:space="preserve"/>
        </x:is>
      </x:c>
      <x:c r="R1495" s="604" t="n">
        <x:v>0.89</x:v>
      </x:c>
      <x:c r="S1495" s="604" t="n"/>
      <x:c r="T1495" s="604" t="inlineStr">
        <x:is>
          <x:t xml:space="preserve">D:\codex\v3_legacy\outputs\football_odds_trader\raw\titan007\20261009\20261009_085232_titan007_odds_snapshot.csv</x:t>
        </x:is>
      </x:c>
      <x:c r="U1495" s="628" t="inlineStr">
        <x:is>
          <x:t xml:space="preserve"/>
        </x:is>
      </x:c>
      <x:c r="V1495" s="604" t="inlineStr">
        <x:is>
          <x:t xml:space="preserve"/>
        </x:is>
      </x:c>
      <x:c r="W1495" s="604" t="inlineStr">
        <x:is>
          <x:t xml:space="preserve"/>
        </x:is>
      </x:c>
      <x:c r="X1495" s="604" t="inlineStr">
        <x:is>
          <x:t xml:space="preserve">3019149</x:t>
        </x:is>
      </x:c>
      <x:c r="Y1495" s="604" t="inlineStr">
        <x:is>
          <x:t xml:space="preserve">V4</x:t>
        </x:is>
      </x:c>
      <x:c r="Z1495" s="604" t="inlineStr">
        <x:is>
          <x:t xml:space="preserve">prior-2026-10-09-v1</x:t>
        </x:is>
      </x:c>
      <x:c r="AA1495" s="604" t="inlineStr">
        <x:is>
          <x:t xml:space="preserve">B</x:t>
        </x:is>
      </x:c>
      <x:c r="AB1495" s="604" t="n">
        <x:v>0.5803832904388486</x:v>
      </x:c>
      <x:c r="AC1495" s="604" t="n">
        <x:v>0.4196167095611514</x:v>
      </x:c>
      <x:c r="AD1495" s="604" t="n">
        <x:v>0.75</x:v>
      </x:c>
      <x:c r="AE1495" s="604" t="n"/>
      <x:c r="AF1495" s="604" t="n"/>
      <x:c r="AG1495" s="604" t="n">
        <x:v>0.09692441892942394</x:v>
      </x:c>
      <x:c r="AH1495" s="604" t="n"/>
      <x:c r="AI1495" s="604" t="n"/>
      <x:c r="AJ1495" s="604" t="n">
        <x:v>0.09692441892942394</x:v>
      </x:c>
      <x:c r="AK1495" s="604" t="n"/>
      <x:c r="AL1495" s="604" t="n"/>
      <x:c r="AM1495" s="604" t="n"/>
      <x:c r="AN1495" s="604" t="inlineStr">
        <x:is>
          <x:t xml:space="preserve">EVALUATED</x:t>
        </x:is>
      </x:c>
      <x:c r="AO1495" s="604" t="inlineStr">
        <x:is>
          <x:t xml:space="preserve">GIVING_VALIDATED_EDGE;BUCKET_PRIOR_ONLY;INTENT_INTERPRETATION_ONLY;FFL_OPTIONAL;EXPERT_MARKET</x:t>
        </x:is>
      </x:c>
      <x:c r="AP1495" s="604" t="inlineStr">
        <x:is>
          <x:t xml:space="preserve">f0b4b35d15ab4e6d2a6e</x:t>
        </x:is>
      </x:c>
      <x:c r="AQ1495" s="604" t="n">
        <x:v>-0.5</x:v>
      </x:c>
      <x:c r="AR1495" s="604" t="n">
        <x:v>0.89</x:v>
      </x:c>
      <x:c r="AS1495" s="604" t="n">
        <x:v>0.5</x:v>
      </x:c>
      <x:c r="AT1495" s="604" t="n">
        <x:v>-0.5</x:v>
      </x:c>
      <x:c r="AU1495" s="604" t="n">
        <x:v>0.89</x:v>
      </x:c>
      <x:c r="AV1495" s="604" t="n">
        <x:v>0.99</x:v>
      </x:c>
      <x:c r="AW1495" s="604" t="inlineStr">
        <x:is>
          <x:t xml:space="preserve">2026-10-09T09:01:21.127001+08:00</x:t>
        </x:is>
      </x:c>
      <x:c r="AX1495" s="604" t="inlineStr">
        <x:is>
          <x:t xml:space="preserve">Titan007/V4</x:t>
        </x:is>
      </x:c>
      <x:c r="AY1495" s="604" t="inlineStr">
        <x:is>
          <x:t xml:space="preserve">Daily append；市场输入缺失时不生成决策</x:t>
        </x:is>
      </x:c>
    </x:row>
    <x:row r="1496" ht="22" customHeight="1">
      <x:c r="A1496" s="604" t="inlineStr">
        <x:is>
          <x:t xml:space="preserve">2026-10-09</x:t>
        </x:is>
      </x:c>
      <x:c r="B1496" s="604" t="inlineStr">
        <x:is>
          <x:t xml:space="preserve">2026-10-10T02:45:00+08:00</x:t>
        </x:is>
      </x:c>
      <x:c r="C1496" s="604" t="str">
        <x:v>欧洲非五大系列</x:v>
      </x:c>
      <x:c r="D1496" s="604" t="inlineStr">
        <x:is>
          <x:t xml:space="preserve"/>
        </x:is>
      </x:c>
      <x:c r="E1496" s="604" t="inlineStr">
        <x:is>
          <x:t xml:space="preserve">威超</x:t>
        </x:is>
      </x:c>
      <x:c r="F1496" s="604" t="inlineStr">
        <x:is>
          <x:t xml:space="preserve">布里顿费里 vs 康纳斯码头</x:t>
        </x:is>
      </x:c>
      <x:c r="G1496" s="604" t="n">
        <x:v>0.9399999999999999</x:v>
      </x:c>
      <x:c r="H1496" s="604" t="n">
        <x:v>-1</x:v>
      </x:c>
      <x:c r="I1496" s="604" t="n">
        <x:v>0.76</x:v>
      </x:c>
      <x:c r="J1496" s="604" t="inlineStr">
        <x:is>
          <x:t xml:space="preserve">0.94/-1.0/0.76</x:t>
        </x:is>
      </x:c>
      <x:c r="K1496" s="604" t="inlineStr">
        <x:is>
          <x:t xml:space="preserve">V4-N</x:t>
        </x:is>
      </x:c>
      <x:c r="L1496" s="604" t="inlineStr">
        <x:is>
          <x:t xml:space="preserve"/>
        </x:is>
      </x:c>
      <x:c r="M1496" s="604" t="n">
        <x:v>0.01691983651427531</x:v>
      </x:c>
      <x:c r="N1496" s="604" t="inlineStr">
        <x:is>
          <x:t xml:space="preserve">V4 Shadow Only；real_money=false</x:t>
        </x:is>
      </x:c>
      <x:c r="O1496" s="604" t="inlineStr">
        <x:is>
          <x:t xml:space="preserve">0-0</x:t>
        </x:is>
      </x:c>
      <x:c r="P1496" s="604" t="inlineStr">
        <x:is>
          <x:t xml:space="preserve">EVALUATED</x:t>
        </x:is>
      </x:c>
      <x:c r="Q1496" s="630" t="inlineStr">
        <x:is>
          <x:t xml:space="preserve"/>
        </x:is>
      </x:c>
      <x:c r="R1496" s="604" t="n"/>
      <x:c r="S1496" s="604" t="n"/>
      <x:c r="T1496" s="604" t="inlineStr">
        <x:is>
          <x:t xml:space="preserve">D:\codex\v3_legacy\outputs\football_odds_trader\raw\titan007\20261009\20261009_085232_titan007_odds_snapshot.csv</x:t>
        </x:is>
      </x:c>
      <x:c r="U1496" s="628" t="inlineStr">
        <x:is>
          <x:t xml:space="preserve"/>
        </x:is>
      </x:c>
      <x:c r="V1496" s="604" t="inlineStr">
        <x:is>
          <x:t xml:space="preserve"/>
        </x:is>
      </x:c>
      <x:c r="W1496" s="604" t="inlineStr">
        <x:is>
          <x:t xml:space="preserve"/>
        </x:is>
      </x:c>
      <x:c r="X1496" s="604" t="inlineStr">
        <x:is>
          <x:t xml:space="preserve">3019553</x:t>
        </x:is>
      </x:c>
      <x:c r="Y1496" s="604" t="inlineStr">
        <x:is>
          <x:t xml:space="preserve">V4</x:t>
        </x:is>
      </x:c>
      <x:c r="Z1496" s="604" t="inlineStr">
        <x:is>
          <x:t xml:space="preserve">prior-2026-10-09-v1</x:t>
        </x:is>
      </x:c>
      <x:c r="AA1496" s="604" t="inlineStr">
        <x:is>
          <x:t xml:space="preserve">N</x:t>
        </x:is>
      </x:c>
      <x:c r="AB1496" s="604" t="n">
        <x:v>0.01691983651427531</x:v>
      </x:c>
      <x:c r="AC1496" s="604" t="n">
        <x:v>0.9201114372110579</x:v>
      </x:c>
      <x:c r="AD1496" s="604" t="n">
        <x:v>-1.5</x:v>
      </x:c>
      <x:c r="AE1496" s="604" t="n"/>
      <x:c r="AF1496" s="604" t="n"/>
      <x:c r="AG1496" s="604" t="n">
        <x:v>0.8479849144641191</x:v>
      </x:c>
      <x:c r="AH1496" s="604" t="n"/>
      <x:c r="AI1496" s="604" t="n"/>
      <x:c r="AJ1496" s="604" t="n">
        <x:v>0.8479849144641191</x:v>
      </x:c>
      <x:c r="AK1496" s="604" t="n"/>
      <x:c r="AL1496" s="604" t="n"/>
      <x:c r="AM1496" s="604" t="n"/>
      <x:c r="AN1496" s="604" t="inlineStr">
        <x:is>
          <x:t xml:space="preserve">EVALUATED</x:t>
        </x:is>
      </x:c>
      <x:c r="AO1496" s="604" t="inlineStr">
        <x:is>
          <x:t xml:space="preserve">LOW_QUALITY_GATE;BUCKET_PRIOR_ONLY;INTENT_INTERPRETATION_ONLY;FFL_OPTIONAL;EXPERT_MARKET</x:t>
        </x:is>
      </x:c>
      <x:c r="AP1496" s="604" t="inlineStr">
        <x:is>
          <x:t xml:space="preserve">9b7cfc91abd02e46a5cc</x:t>
        </x:is>
      </x:c>
      <x:c r="AQ1496" s="604" t="n"/>
      <x:c r="AR1496" s="604" t="n"/>
      <x:c r="AS1496" s="604" t="n">
        <x:v>-1</x:v>
      </x:c>
      <x:c r="AT1496" s="604" t="n">
        <x:v>1</x:v>
      </x:c>
      <x:c r="AU1496" s="604" t="n">
        <x:v>0.9399999999999999</x:v>
      </x:c>
      <x:c r="AV1496" s="604" t="n">
        <x:v>0.76</x:v>
      </x:c>
      <x:c r="AW1496" s="604" t="inlineStr">
        <x:is>
          <x:t xml:space="preserve">2026-10-09T09:01:21.127001+08:00</x:t>
        </x:is>
      </x:c>
      <x:c r="AX1496" s="604" t="inlineStr">
        <x:is>
          <x:t xml:space="preserve">Titan007/V4</x:t>
        </x:is>
      </x:c>
      <x:c r="AY1496" s="604" t="inlineStr">
        <x:is>
          <x:t xml:space="preserve">Daily append；市场输入缺失时不生成决策</x:t>
        </x:is>
      </x:c>
    </x:row>
    <x:row r="1497" ht="22" customHeight="1">
      <x:c r="A1497" s="604" t="inlineStr">
        <x:is>
          <x:t xml:space="preserve">2026-10-09</x:t>
        </x:is>
      </x:c>
      <x:c r="B1497" s="604" t="inlineStr">
        <x:is>
          <x:t xml:space="preserve">2026-10-10T02:45:00+08:00</x:t>
        </x:is>
      </x:c>
      <x:c r="C1497" s="604" t="str">
        <x:v>欧洲非五大系列</x:v>
      </x:c>
      <x:c r="D1497" s="604" t="inlineStr">
        <x:is>
          <x:t xml:space="preserve"/>
        </x:is>
      </x:c>
      <x:c r="E1497" s="604" t="inlineStr">
        <x:is>
          <x:t xml:space="preserve">威超</x:t>
        </x:is>
      </x:c>
      <x:c r="F1497" s="604" t="inlineStr">
        <x:is>
          <x:t xml:space="preserve">卡姆比利安 vs 阿曼福德</x:t>
        </x:is>
      </x:c>
      <x:c r="G1497" s="604" t="n">
        <x:v>0.92</x:v>
      </x:c>
      <x:c r="H1497" s="604" t="n">
        <x:v>1.5</x:v>
      </x:c>
      <x:c r="I1497" s="604" t="n">
        <x:v>0.78</x:v>
      </x:c>
      <x:c r="J1497" s="604" t="inlineStr">
        <x:is>
          <x:t xml:space="preserve">0.92/1.5/0.78</x:t>
        </x:is>
      </x:c>
      <x:c r="K1497" s="604" t="inlineStr">
        <x:is>
          <x:t xml:space="preserve">V4-N</x:t>
        </x:is>
      </x:c>
      <x:c r="L1497" s="604" t="inlineStr">
        <x:is>
          <x:t xml:space="preserve"/>
        </x:is>
      </x:c>
      <x:c r="M1497" s="604" t="n">
        <x:v>0.5614602710193136</x:v>
      </x:c>
      <x:c r="N1497" s="604" t="inlineStr">
        <x:is>
          <x:t xml:space="preserve">V4 Shadow Only；real_money=false</x:t>
        </x:is>
      </x:c>
      <x:c r="O1497" s="604" t="inlineStr">
        <x:is>
          <x:t xml:space="preserve">0-0</x:t>
        </x:is>
      </x:c>
      <x:c r="P1497" s="604" t="inlineStr">
        <x:is>
          <x:t xml:space="preserve">EVALUATED</x:t>
        </x:is>
      </x:c>
      <x:c r="Q1497" s="630" t="inlineStr">
        <x:is>
          <x:t xml:space="preserve"/>
        </x:is>
      </x:c>
      <x:c r="R1497" s="604" t="n"/>
      <x:c r="S1497" s="604" t="n"/>
      <x:c r="T1497" s="604" t="inlineStr">
        <x:is>
          <x:t xml:space="preserve">D:\codex\v3_legacy\outputs\football_odds_trader\raw\titan007\20261009\20261009_085232_titan007_odds_snapshot.csv</x:t>
        </x:is>
      </x:c>
      <x:c r="U1497" s="628" t="inlineStr">
        <x:is>
          <x:t xml:space="preserve"/>
        </x:is>
      </x:c>
      <x:c r="V1497" s="604" t="inlineStr">
        <x:is>
          <x:t xml:space="preserve"/>
        </x:is>
      </x:c>
      <x:c r="W1497" s="604" t="inlineStr">
        <x:is>
          <x:t xml:space="preserve"/>
        </x:is>
      </x:c>
      <x:c r="X1497" s="604" t="inlineStr">
        <x:is>
          <x:t xml:space="preserve">3019554</x:t>
        </x:is>
      </x:c>
      <x:c r="Y1497" s="604" t="inlineStr">
        <x:is>
          <x:t xml:space="preserve">V4</x:t>
        </x:is>
      </x:c>
      <x:c r="Z1497" s="604" t="inlineStr">
        <x:is>
          <x:t xml:space="preserve">prior-2026-10-09-v1</x:t>
        </x:is>
      </x:c>
      <x:c r="AA1497" s="604" t="inlineStr">
        <x:is>
          <x:t xml:space="preserve">N</x:t>
        </x:is>
      </x:c>
      <x:c r="AB1497" s="604" t="n">
        <x:v>0.5614602710193136</x:v>
      </x:c>
      <x:c r="AC1497" s="604" t="n">
        <x:v>0.4385397289806864</x:v>
      </x:c>
      <x:c r="AD1497" s="604" t="n">
        <x:v>1.75</x:v>
      </x:c>
      <x:c r="AE1497" s="604" t="n"/>
      <x:c r="AF1497" s="604" t="n"/>
      <x:c r="AG1497" s="604" t="n">
        <x:v>0.07800372035708208</x:v>
      </x:c>
      <x:c r="AH1497" s="604" t="n"/>
      <x:c r="AI1497" s="604" t="n"/>
      <x:c r="AJ1497" s="604" t="n">
        <x:v>0.07800372035708208</x:v>
      </x:c>
      <x:c r="AK1497" s="604" t="n"/>
      <x:c r="AL1497" s="604" t="n"/>
      <x:c r="AM1497" s="604" t="n"/>
      <x:c r="AN1497" s="604" t="inlineStr">
        <x:is>
          <x:t xml:space="preserve">EVALUATED</x:t>
        </x:is>
      </x:c>
      <x:c r="AO1497" s="604" t="inlineStr">
        <x:is>
          <x:t xml:space="preserve">LOW_QUALITY_GATE;BUCKET_PRIOR_ONLY;INTENT_INTERPRETATION_ONLY;FFL_OPTIONAL;EXPERT_MARKET</x:t>
        </x:is>
      </x:c>
      <x:c r="AP1497" s="604" t="inlineStr">
        <x:is>
          <x:t xml:space="preserve">e085f4e55da98a57a00f</x:t>
        </x:is>
      </x:c>
      <x:c r="AQ1497" s="604" t="n"/>
      <x:c r="AR1497" s="604" t="n"/>
      <x:c r="AS1497" s="604" t="n">
        <x:v>1.5</x:v>
      </x:c>
      <x:c r="AT1497" s="604" t="n">
        <x:v>-1.5</x:v>
      </x:c>
      <x:c r="AU1497" s="604" t="n">
        <x:v>0.92</x:v>
      </x:c>
      <x:c r="AV1497" s="604" t="n">
        <x:v>0.78</x:v>
      </x:c>
      <x:c r="AW1497" s="604" t="inlineStr">
        <x:is>
          <x:t xml:space="preserve">2026-10-09T09:01:21.127001+08:00</x:t>
        </x:is>
      </x:c>
      <x:c r="AX1497" s="604" t="inlineStr">
        <x:is>
          <x:t xml:space="preserve">Titan007/V4</x:t>
        </x:is>
      </x:c>
      <x:c r="AY1497" s="604" t="inlineStr">
        <x:is>
          <x:t xml:space="preserve">Daily append；市场输入缺失时不生成决策</x:t>
        </x:is>
      </x:c>
    </x:row>
    <x:row r="1498" ht="22" customHeight="1">
      <x:c r="A1498" s="604" t="inlineStr">
        <x:is>
          <x:t xml:space="preserve">2026-10-09</x:t>
        </x:is>
      </x:c>
      <x:c r="B1498" s="604" t="inlineStr">
        <x:is>
          <x:t xml:space="preserve">2026-10-10T02:45:00+08:00</x:t>
        </x:is>
      </x:c>
      <x:c r="C1498" s="604" t="str">
        <x:v>欧洲非五大系列</x:v>
      </x:c>
      <x:c r="D1498" s="604" t="inlineStr">
        <x:is>
          <x:t xml:space="preserve"/>
        </x:is>
      </x:c>
      <x:c r="E1498" s="604" t="inlineStr">
        <x:is>
          <x:t xml:space="preserve">威超</x:t>
        </x:is>
      </x:c>
      <x:c r="F1498" s="604" t="inlineStr">
        <x:is>
          <x:t xml:space="preserve">卡迪夫都市大学 vs 特芬琳</x:t>
        </x:is>
      </x:c>
      <x:c r="G1498" s="604" t="n">
        <x:v>0.78</x:v>
      </x:c>
      <x:c r="H1498" s="604" t="n">
        <x:v>1.5</x:v>
      </x:c>
      <x:c r="I1498" s="604" t="n">
        <x:v>0.92</x:v>
      </x:c>
      <x:c r="J1498" s="604" t="inlineStr">
        <x:is>
          <x:t xml:space="preserve">0.78/1.5/0.92</x:t>
        </x:is>
      </x:c>
      <x:c r="K1498" s="604" t="inlineStr">
        <x:is>
          <x:t xml:space="preserve">V4-N</x:t>
        </x:is>
      </x:c>
      <x:c r="L1498" s="604" t="inlineStr">
        <x:is>
          <x:t xml:space="preserve"/>
        </x:is>
      </x:c>
      <x:c r="M1498" s="604" t="n">
        <x:v>0.6384775277033714</x:v>
      </x:c>
      <x:c r="N1498" s="604" t="inlineStr">
        <x:is>
          <x:t xml:space="preserve">V4 Shadow Only；real_money=false</x:t>
        </x:is>
      </x:c>
      <x:c r="O1498" s="604" t="inlineStr">
        <x:is>
          <x:t xml:space="preserve">0-0</x:t>
        </x:is>
      </x:c>
      <x:c r="P1498" s="604" t="inlineStr">
        <x:is>
          <x:t xml:space="preserve">EVALUATED</x:t>
        </x:is>
      </x:c>
      <x:c r="Q1498" s="630" t="inlineStr">
        <x:is>
          <x:t xml:space="preserve"/>
        </x:is>
      </x:c>
      <x:c r="R1498" s="604" t="n"/>
      <x:c r="S1498" s="604" t="n"/>
      <x:c r="T1498" s="604" t="inlineStr">
        <x:is>
          <x:t xml:space="preserve">D:\codex\v3_legacy\outputs\football_odds_trader\raw\titan007\20261009\20261009_085232_titan007_odds_snapshot.csv</x:t>
        </x:is>
      </x:c>
      <x:c r="U1498" s="628" t="inlineStr">
        <x:is>
          <x:t xml:space="preserve"/>
        </x:is>
      </x:c>
      <x:c r="V1498" s="604" t="inlineStr">
        <x:is>
          <x:t xml:space="preserve"/>
        </x:is>
      </x:c>
      <x:c r="W1498" s="604" t="inlineStr">
        <x:is>
          <x:t xml:space="preserve"/>
        </x:is>
      </x:c>
      <x:c r="X1498" s="604" t="inlineStr">
        <x:is>
          <x:t xml:space="preserve">3019555</x:t>
        </x:is>
      </x:c>
      <x:c r="Y1498" s="604" t="inlineStr">
        <x:is>
          <x:t xml:space="preserve">V4</x:t>
        </x:is>
      </x:c>
      <x:c r="Z1498" s="604" t="inlineStr">
        <x:is>
          <x:t xml:space="preserve">prior-2026-10-09-v1</x:t>
        </x:is>
      </x:c>
      <x:c r="AA1498" s="604" t="inlineStr">
        <x:is>
          <x:t xml:space="preserve">N</x:t>
        </x:is>
      </x:c>
      <x:c r="AB1498" s="604" t="n">
        <x:v>0.6384775277033714</x:v>
      </x:c>
      <x:c r="AC1498" s="604" t="n">
        <x:v>0.3615224722966286</x:v>
      </x:c>
      <x:c r="AD1498" s="604" t="n">
        <x:v>2.25</x:v>
      </x:c>
      <x:c r="AE1498" s="604" t="n"/>
      <x:c r="AF1498" s="604" t="n"/>
      <x:c r="AG1498" s="604" t="n">
        <x:v>0.1364899993120011</x:v>
      </x:c>
      <x:c r="AH1498" s="604" t="n"/>
      <x:c r="AI1498" s="604" t="n"/>
      <x:c r="AJ1498" s="604" t="n">
        <x:v>0.1364899993120011</x:v>
      </x:c>
      <x:c r="AK1498" s="604" t="n"/>
      <x:c r="AL1498" s="604" t="n"/>
      <x:c r="AM1498" s="604" t="n"/>
      <x:c r="AN1498" s="604" t="inlineStr">
        <x:is>
          <x:t xml:space="preserve">EVALUATED</x:t>
        </x:is>
      </x:c>
      <x:c r="AO1498" s="604" t="inlineStr">
        <x:is>
          <x:t xml:space="preserve">LOW_QUALITY_GATE;BUCKET_PRIOR_ONLY;INTENT_INTERPRETATION_ONLY;FFL_OPTIONAL;EXPERT_MARKET</x:t>
        </x:is>
      </x:c>
      <x:c r="AP1498" s="604" t="inlineStr">
        <x:is>
          <x:t xml:space="preserve">fd1be808a755512b2b4b</x:t>
        </x:is>
      </x:c>
      <x:c r="AQ1498" s="604" t="n"/>
      <x:c r="AR1498" s="604" t="n"/>
      <x:c r="AS1498" s="604" t="n">
        <x:v>1.5</x:v>
      </x:c>
      <x:c r="AT1498" s="604" t="n">
        <x:v>-1.5</x:v>
      </x:c>
      <x:c r="AU1498" s="604" t="n">
        <x:v>0.78</x:v>
      </x:c>
      <x:c r="AV1498" s="604" t="n">
        <x:v>0.92</x:v>
      </x:c>
      <x:c r="AW1498" s="604" t="inlineStr">
        <x:is>
          <x:t xml:space="preserve">2026-10-09T09:01:21.127001+08:00</x:t>
        </x:is>
      </x:c>
      <x:c r="AX1498" s="604" t="inlineStr">
        <x:is>
          <x:t xml:space="preserve">Titan007/V4</x:t>
        </x:is>
      </x:c>
      <x:c r="AY1498" s="604" t="inlineStr">
        <x:is>
          <x:t xml:space="preserve">Daily append；市场输入缺失时不生成决策</x:t>
        </x:is>
      </x:c>
    </x:row>
    <x:row r="1499" ht="22" customHeight="1">
      <x:c r="A1499" s="604" t="inlineStr">
        <x:is>
          <x:t xml:space="preserve">2026-10-09</x:t>
        </x:is>
      </x:c>
      <x:c r="B1499" s="604" t="inlineStr">
        <x:is>
          <x:t xml:space="preserve">2026-10-10T02:45:00+08:00</x:t>
        </x:is>
      </x:c>
      <x:c r="C1499" s="604" t="str">
        <x:v>欧洲非五大系列</x:v>
      </x:c>
      <x:c r="D1499" s="604" t="inlineStr">
        <x:is>
          <x:t xml:space="preserve"/>
        </x:is>
      </x:c>
      <x:c r="E1499" s="604" t="inlineStr">
        <x:is>
          <x:t xml:space="preserve">威超</x:t>
        </x:is>
      </x:c>
      <x:c r="F1499" s="604" t="inlineStr">
        <x:is>
          <x:t xml:space="preserve">西哈弗福德 vs 卡那封</x:t>
        </x:is>
      </x:c>
      <x:c r="G1499" s="604" t="n">
        <x:v>0.77</x:v>
      </x:c>
      <x:c r="H1499" s="604" t="n">
        <x:v>-1</x:v>
      </x:c>
      <x:c r="I1499" s="604" t="n">
        <x:v>0.93</x:v>
      </x:c>
      <x:c r="J1499" s="604" t="inlineStr">
        <x:is>
          <x:t xml:space="preserve">0.77/-1.0/0.93</x:t>
        </x:is>
      </x:c>
      <x:c r="K1499" s="604" t="inlineStr">
        <x:is>
          <x:t xml:space="preserve">V4-N</x:t>
        </x:is>
      </x:c>
      <x:c r="L1499" s="604" t="inlineStr">
        <x:is>
          <x:t xml:space="preserve"/>
        </x:is>
      </x:c>
      <x:c r="M1499" s="604" t="n">
        <x:v>0.03151323327376331</x:v>
      </x:c>
      <x:c r="N1499" s="604" t="inlineStr">
        <x:is>
          <x:t xml:space="preserve">V4 Shadow Only；real_money=false</x:t>
        </x:is>
      </x:c>
      <x:c r="O1499" s="604" t="inlineStr">
        <x:is>
          <x:t xml:space="preserve">0-0</x:t>
        </x:is>
      </x:c>
      <x:c r="P1499" s="604" t="inlineStr">
        <x:is>
          <x:t xml:space="preserve">EVALUATED</x:t>
        </x:is>
      </x:c>
      <x:c r="Q1499" s="630" t="inlineStr">
        <x:is>
          <x:t xml:space="preserve"/>
        </x:is>
      </x:c>
      <x:c r="R1499" s="604" t="n"/>
      <x:c r="S1499" s="604" t="n"/>
      <x:c r="T1499" s="604" t="inlineStr">
        <x:is>
          <x:t xml:space="preserve">D:\codex\v3_legacy\outputs\football_odds_trader\raw\titan007\20261009\20261009_085232_titan007_odds_snapshot.csv</x:t>
        </x:is>
      </x:c>
      <x:c r="U1499" s="628" t="inlineStr">
        <x:is>
          <x:t xml:space="preserve"/>
        </x:is>
      </x:c>
      <x:c r="V1499" s="604" t="inlineStr">
        <x:is>
          <x:t xml:space="preserve"/>
        </x:is>
      </x:c>
      <x:c r="W1499" s="604" t="inlineStr">
        <x:is>
          <x:t xml:space="preserve"/>
        </x:is>
      </x:c>
      <x:c r="X1499" s="604" t="inlineStr">
        <x:is>
          <x:t xml:space="preserve">3019557</x:t>
        </x:is>
      </x:c>
      <x:c r="Y1499" s="604" t="inlineStr">
        <x:is>
          <x:t xml:space="preserve">V4</x:t>
        </x:is>
      </x:c>
      <x:c r="Z1499" s="604" t="inlineStr">
        <x:is>
          <x:t xml:space="preserve">prior-2026-10-09-v1</x:t>
        </x:is>
      </x:c>
      <x:c r="AA1499" s="604" t="inlineStr">
        <x:is>
          <x:t xml:space="preserve">N</x:t>
        </x:is>
      </x:c>
      <x:c r="AB1499" s="604" t="n">
        <x:v>0.03151323327376331</x:v>
      </x:c>
      <x:c r="AC1499" s="604" t="n">
        <x:v>0.879124311441118</x:v>
      </x:c>
      <x:c r="AD1499" s="604" t="n">
        <x:v>-1.25</x:v>
      </x:c>
      <x:c r="AE1499" s="604" t="n"/>
      <x:c r="AF1499" s="604" t="n"/>
      <x:c r="AG1499" s="604" t="n">
        <x:v>0.6454124865358976</x:v>
      </x:c>
      <x:c r="AH1499" s="604" t="n"/>
      <x:c r="AI1499" s="604" t="n"/>
      <x:c r="AJ1499" s="604" t="n">
        <x:v>0.6454124865358976</x:v>
      </x:c>
      <x:c r="AK1499" s="604" t="n"/>
      <x:c r="AL1499" s="604" t="n"/>
      <x:c r="AM1499" s="604" t="n"/>
      <x:c r="AN1499" s="604" t="inlineStr">
        <x:is>
          <x:t xml:space="preserve">EVALUATED</x:t>
        </x:is>
      </x:c>
      <x:c r="AO1499" s="604" t="inlineStr">
        <x:is>
          <x:t xml:space="preserve">LOW_QUALITY_GATE;BUCKET_PRIOR_ONLY;INTENT_INTERPRETATION_ONLY;FFL_OPTIONAL;EXPERT_MARKET</x:t>
        </x:is>
      </x:c>
      <x:c r="AP1499" s="604" t="inlineStr">
        <x:is>
          <x:t xml:space="preserve">87464d3834640adc8195</x:t>
        </x:is>
      </x:c>
      <x:c r="AQ1499" s="604" t="n"/>
      <x:c r="AR1499" s="604" t="n"/>
      <x:c r="AS1499" s="604" t="n">
        <x:v>-1</x:v>
      </x:c>
      <x:c r="AT1499" s="604" t="n">
        <x:v>1</x:v>
      </x:c>
      <x:c r="AU1499" s="604" t="n">
        <x:v>0.77</x:v>
      </x:c>
      <x:c r="AV1499" s="604" t="n">
        <x:v>0.93</x:v>
      </x:c>
      <x:c r="AW1499" s="604" t="inlineStr">
        <x:is>
          <x:t xml:space="preserve">2026-10-09T09:01:21.127001+08:00</x:t>
        </x:is>
      </x:c>
      <x:c r="AX1499" s="604" t="inlineStr">
        <x:is>
          <x:t xml:space="preserve">Titan007/V4</x:t>
        </x:is>
      </x:c>
      <x:c r="AY1499" s="604" t="inlineStr">
        <x:is>
          <x:t xml:space="preserve">Daily append；市场输入缺失时不生成决策</x:t>
        </x:is>
      </x:c>
    </x:row>
    <x:row r="1500" ht="22" customHeight="1">
      <x:c r="A1500" s="604" t="inlineStr">
        <x:is>
          <x:t xml:space="preserve">2026-10-09</x:t>
        </x:is>
      </x:c>
      <x:c r="B1500" s="604" t="inlineStr">
        <x:is>
          <x:t xml:space="preserve">2026-10-10T02:45:00+08:00</x:t>
        </x:is>
      </x:c>
      <x:c r="C1500" s="604" t="str">
        <x:v>欧洲非五大系列</x:v>
      </x:c>
      <x:c r="D1500" s="604" t="inlineStr">
        <x:is>
          <x:t xml:space="preserve"/>
        </x:is>
      </x:c>
      <x:c r="E1500" s="604" t="inlineStr">
        <x:is>
          <x:t xml:space="preserve">威超</x:t>
        </x:is>
      </x:c>
      <x:c r="F1500" s="604" t="inlineStr">
        <x:is>
          <x:t xml:space="preserve">霍利韦尔 vs 新圣徒</x:t>
        </x:is>
      </x:c>
      <x:c r="G1500" s="604" t="n">
        <x:v>0.88</x:v>
      </x:c>
      <x:c r="H1500" s="604" t="n">
        <x:v>-3.5</x:v>
      </x:c>
      <x:c r="I1500" s="604" t="n">
        <x:v>0.93</x:v>
      </x:c>
      <x:c r="J1500" s="604" t="inlineStr">
        <x:is>
          <x:t xml:space="preserve">0.88/-3.5/0.93</x:t>
        </x:is>
      </x:c>
      <x:c r="K1500" s="604" t="inlineStr">
        <x:is>
          <x:t xml:space="preserve">V4-N</x:t>
        </x:is>
      </x:c>
      <x:c r="L1500" s="604" t="inlineStr">
        <x:is>
          <x:t xml:space="preserve"/>
        </x:is>
      </x:c>
      <x:c r="M1500" s="604" t="n">
        <x:v>7.208921251153338e-08</x:v>
      </x:c>
      <x:c r="N1500" s="604" t="inlineStr">
        <x:is>
          <x:t xml:space="preserve">V4 Shadow Only；real_money=false</x:t>
        </x:is>
      </x:c>
      <x:c r="O1500" s="604" t="inlineStr">
        <x:is>
          <x:t xml:space="preserve">0-0</x:t>
        </x:is>
      </x:c>
      <x:c r="P1500" s="604" t="inlineStr">
        <x:is>
          <x:t xml:space="preserve">EVALUATED</x:t>
        </x:is>
      </x:c>
      <x:c r="Q1500" s="630" t="inlineStr">
        <x:is>
          <x:t xml:space="preserve"/>
        </x:is>
      </x:c>
      <x:c r="R1500" s="604" t="n"/>
      <x:c r="S1500" s="604" t="n"/>
      <x:c r="T1500" s="604" t="inlineStr">
        <x:is>
          <x:t xml:space="preserve">D:\codex\v3_legacy\outputs\football_odds_trader\raw\titan007\20261009\20261009_085232_titan007_odds_snapshot.csv</x:t>
        </x:is>
      </x:c>
      <x:c r="U1500" s="628" t="inlineStr">
        <x:is>
          <x:t xml:space="preserve"/>
        </x:is>
      </x:c>
      <x:c r="V1500" s="604" t="inlineStr">
        <x:is>
          <x:t xml:space="preserve"/>
        </x:is>
      </x:c>
      <x:c r="W1500" s="604" t="inlineStr">
        <x:is>
          <x:t xml:space="preserve"/>
        </x:is>
      </x:c>
      <x:c r="X1500" s="604" t="inlineStr">
        <x:is>
          <x:t xml:space="preserve">3019558</x:t>
        </x:is>
      </x:c>
      <x:c r="Y1500" s="604" t="inlineStr">
        <x:is>
          <x:t xml:space="preserve">V4</x:t>
        </x:is>
      </x:c>
      <x:c r="Z1500" s="604" t="inlineStr">
        <x:is>
          <x:t xml:space="preserve">prior-2026-10-09-v1</x:t>
        </x:is>
      </x:c>
      <x:c r="AA1500" s="604" t="inlineStr">
        <x:is>
          <x:t xml:space="preserve">N</x:t>
        </x:is>
      </x:c>
      <x:c r="AB1500" s="604" t="n">
        <x:v>7.208921251153338e-08</x:v>
      </x:c>
      <x:c r="AC1500" s="604" t="n">
        <x:v>0.9999999279107875</x:v>
      </x:c>
      <x:c r="AD1500" s="604" t="n">
        <x:v>-4.25</x:v>
      </x:c>
      <x:c r="AE1500" s="604" t="n"/>
      <x:c r="AF1500" s="604" t="n"/>
      <x:c r="AG1500" s="604" t="n">
        <x:v>0.8799998644722805</x:v>
      </x:c>
      <x:c r="AH1500" s="604" t="n"/>
      <x:c r="AI1500" s="604" t="n"/>
      <x:c r="AJ1500" s="604" t="n">
        <x:v>0.8799998644722805</x:v>
      </x:c>
      <x:c r="AK1500" s="604" t="n"/>
      <x:c r="AL1500" s="604" t="n"/>
      <x:c r="AM1500" s="604" t="n"/>
      <x:c r="AN1500" s="604" t="inlineStr">
        <x:is>
          <x:t xml:space="preserve">EVALUATED</x:t>
        </x:is>
      </x:c>
      <x:c r="AO1500" s="604" t="inlineStr">
        <x:is>
          <x:t xml:space="preserve">LOW_QUALITY_GATE;BUCKET_PRIOR_ONLY;INTENT_INTERPRETATION_ONLY;FFL_OPTIONAL;EXPERT_MARKET</x:t>
        </x:is>
      </x:c>
      <x:c r="AP1500" s="604" t="inlineStr">
        <x:is>
          <x:t xml:space="preserve">6180feb845de4d9197fe</x:t>
        </x:is>
      </x:c>
      <x:c r="AQ1500" s="604" t="n"/>
      <x:c r="AR1500" s="604" t="n"/>
      <x:c r="AS1500" s="604" t="n">
        <x:v>-3.5</x:v>
      </x:c>
      <x:c r="AT1500" s="604" t="n">
        <x:v>3.5</x:v>
      </x:c>
      <x:c r="AU1500" s="604" t="n">
        <x:v>0.88</x:v>
      </x:c>
      <x:c r="AV1500" s="604" t="n">
        <x:v>0.93</x:v>
      </x:c>
      <x:c r="AW1500" s="604" t="inlineStr">
        <x:is>
          <x:t xml:space="preserve">2026-10-09T09:01:21.127001+08:00</x:t>
        </x:is>
      </x:c>
      <x:c r="AX1500" s="604" t="inlineStr">
        <x:is>
          <x:t xml:space="preserve">Titan007/V4</x:t>
        </x:is>
      </x:c>
      <x:c r="AY1500" s="604" t="inlineStr">
        <x:is>
          <x:t xml:space="preserve">Daily append；市场输入缺失时不生成决策</x:t>
        </x:is>
      </x:c>
    </x:row>
    <x:row r="1501" ht="22" customHeight="1">
      <x:c r="A1501" s="604" t="inlineStr">
        <x:is>
          <x:t xml:space="preserve">2026-10-09</x:t>
        </x:is>
      </x:c>
      <x:c r="B1501" s="604" t="inlineStr">
        <x:is>
          <x:t xml:space="preserve">2026-10-10T02:45:00+08:00</x:t>
        </x:is>
      </x:c>
      <x:c r="C1501" s="604" t="str">
        <x:v>欧洲非五大系列</x:v>
      </x:c>
      <x:c r="D1501" s="604" t="inlineStr">
        <x:is>
          <x:t xml:space="preserve"/>
        </x:is>
      </x:c>
      <x:c r="E1501" s="604" t="inlineStr">
        <x:is>
          <x:t xml:space="preserve">威超</x:t>
        </x:is>
      </x:c>
      <x:c r="F1501" s="604" t="inlineStr">
        <x:is>
          <x:t xml:space="preserve">兰迪德诺 vs 空中巴士</x:t>
        </x:is>
      </x:c>
      <x:c r="G1501" s="604" t="n">
        <x:v>0.8</x:v>
      </x:c>
      <x:c r="H1501" s="604" t="n">
        <x:v>0.25</x:v>
      </x:c>
      <x:c r="I1501" s="604" t="n">
        <x:v>0.9</x:v>
      </x:c>
      <x:c r="J1501" s="604" t="inlineStr">
        <x:is>
          <x:t xml:space="preserve">0.8/0.25/0.9</x:t>
        </x:is>
      </x:c>
      <x:c r="K1501" s="604" t="inlineStr">
        <x:is>
          <x:t xml:space="preserve">V4-N</x:t>
        </x:is>
      </x:c>
      <x:c r="L1501" s="604" t="inlineStr">
        <x:is>
          <x:t xml:space="preserve"/>
        </x:is>
      </x:c>
      <x:c r="M1501" s="604" t="n">
        <x:v>0.4789006416893447</x:v>
      </x:c>
      <x:c r="N1501" s="604" t="inlineStr">
        <x:is>
          <x:t xml:space="preserve">V4 Shadow Only；real_money=false</x:t>
        </x:is>
      </x:c>
      <x:c r="O1501" s="604" t="inlineStr">
        <x:is>
          <x:t xml:space="preserve">0-0</x:t>
        </x:is>
      </x:c>
      <x:c r="P1501" s="604" t="inlineStr">
        <x:is>
          <x:t xml:space="preserve">EVALUATED</x:t>
        </x:is>
      </x:c>
      <x:c r="Q1501" s="630" t="inlineStr">
        <x:is>
          <x:t xml:space="preserve"/>
        </x:is>
      </x:c>
      <x:c r="R1501" s="604" t="n"/>
      <x:c r="S1501" s="604" t="n"/>
      <x:c r="T1501" s="604" t="inlineStr">
        <x:is>
          <x:t xml:space="preserve">D:\codex\v3_legacy\outputs\football_odds_trader\raw\titan007\20261009\20261009_085232_titan007_odds_snapshot.csv</x:t>
        </x:is>
      </x:c>
      <x:c r="U1501" s="628" t="inlineStr">
        <x:is>
          <x:t xml:space="preserve"/>
        </x:is>
      </x:c>
      <x:c r="V1501" s="604" t="inlineStr">
        <x:is>
          <x:t xml:space="preserve"/>
        </x:is>
      </x:c>
      <x:c r="W1501" s="604" t="inlineStr">
        <x:is>
          <x:t xml:space="preserve"/>
        </x:is>
      </x:c>
      <x:c r="X1501" s="604" t="inlineStr">
        <x:is>
          <x:t xml:space="preserve">3019559</x:t>
        </x:is>
      </x:c>
      <x:c r="Y1501" s="604" t="inlineStr">
        <x:is>
          <x:t xml:space="preserve">V4</x:t>
        </x:is>
      </x:c>
      <x:c r="Z1501" s="604" t="inlineStr">
        <x:is>
          <x:t xml:space="preserve">prior-2026-10-09-v1</x:t>
        </x:is>
      </x:c>
      <x:c r="AA1501" s="604" t="inlineStr">
        <x:is>
          <x:t xml:space="preserve">N</x:t>
        </x:is>
      </x:c>
      <x:c r="AB1501" s="604" t="n">
        <x:v>0.4789006416893447</x:v>
      </x:c>
      <x:c r="AC1501" s="604" t="n">
        <x:v>0.3937251727803914</x:v>
      </x:c>
      <x:c r="AD1501" s="604" t="n">
        <x:v>0.5</x:v>
      </x:c>
      <x:c r="AE1501" s="604" t="n"/>
      <x:c r="AF1501" s="604" t="n"/>
      <x:c r="AG1501" s="604" t="n">
        <x:v>-0.01060465942891564</x:v>
      </x:c>
      <x:c r="AH1501" s="604" t="n"/>
      <x:c r="AI1501" s="604" t="n"/>
      <x:c r="AJ1501" s="604" t="n">
        <x:v>-0.01060465942891564</x:v>
      </x:c>
      <x:c r="AK1501" s="604" t="n"/>
      <x:c r="AL1501" s="604" t="n"/>
      <x:c r="AM1501" s="604" t="n"/>
      <x:c r="AN1501" s="604" t="inlineStr">
        <x:is>
          <x:t xml:space="preserve">EVALUATED</x:t>
        </x:is>
      </x:c>
      <x:c r="AO1501" s="604" t="inlineStr">
        <x:is>
          <x:t xml:space="preserve">EDGE_BELOW_UNCERTAINTY_THRESHOLD;BUCKET_PRIOR_ONLY;INTENT_INTERPRETATION_ONLY;FFL_OPTIONAL;EXPERT_MARKET</x:t>
        </x:is>
      </x:c>
      <x:c r="AP1501" s="604" t="inlineStr">
        <x:is>
          <x:t xml:space="preserve">f02e42d8b9db37ccbf8d</x:t>
        </x:is>
      </x:c>
      <x:c r="AQ1501" s="604" t="n"/>
      <x:c r="AR1501" s="604" t="n"/>
      <x:c r="AS1501" s="604" t="n">
        <x:v>0.25</x:v>
      </x:c>
      <x:c r="AT1501" s="604" t="n">
        <x:v>-0.25</x:v>
      </x:c>
      <x:c r="AU1501" s="604" t="n">
        <x:v>0.8</x:v>
      </x:c>
      <x:c r="AV1501" s="604" t="n">
        <x:v>0.9</x:v>
      </x:c>
      <x:c r="AW1501" s="604" t="inlineStr">
        <x:is>
          <x:t xml:space="preserve">2026-10-09T09:01:21.127001+08:00</x:t>
        </x:is>
      </x:c>
      <x:c r="AX1501" s="604" t="inlineStr">
        <x:is>
          <x:t xml:space="preserve">Titan007/V4</x:t>
        </x:is>
      </x:c>
      <x:c r="AY1501" s="604" t="inlineStr">
        <x:is>
          <x:t xml:space="preserve">Daily append；市场输入缺失时不生成决策</x:t>
        </x:is>
      </x:c>
    </x:row>
    <x:row r="1502" ht="22" customHeight="1">
      <x:c r="A1502" s="604" t="inlineStr">
        <x:is>
          <x:t xml:space="preserve">2026-10-09</x:t>
        </x:is>
      </x:c>
      <x:c r="B1502" s="604" t="inlineStr">
        <x:is>
          <x:t xml:space="preserve">2026-10-10T02:45:00+08:00</x:t>
        </x:is>
      </x:c>
      <x:c r="C1502" s="604" t="str">
        <x:v>欧洲非五大系列</x:v>
      </x:c>
      <x:c r="D1502" s="604" t="inlineStr">
        <x:is>
          <x:t xml:space="preserve"/>
        </x:is>
      </x:c>
      <x:c r="E1502" s="604" t="inlineStr">
        <x:is>
          <x:t xml:space="preserve">威超</x:t>
        </x:is>
      </x:c>
      <x:c r="F1502" s="604" t="inlineStr">
        <x:is>
          <x:t xml:space="preserve">佩尼邦 vs 巴里镇联</x:t>
        </x:is>
      </x:c>
      <x:c r="G1502" s="604" t="n">
        <x:v>0.95</x:v>
      </x:c>
      <x:c r="H1502" s="604" t="n">
        <x:v>0.75</x:v>
      </x:c>
      <x:c r="I1502" s="604" t="n">
        <x:v>0.75</x:v>
      </x:c>
      <x:c r="J1502" s="604" t="inlineStr">
        <x:is>
          <x:t xml:space="preserve">0.95/0.75/0.75</x:t>
        </x:is>
      </x:c>
      <x:c r="K1502" s="604" t="inlineStr">
        <x:is>
          <x:t xml:space="preserve">V4-N</x:t>
        </x:is>
      </x:c>
      <x:c r="L1502" s="604" t="inlineStr">
        <x:is>
          <x:t xml:space="preserve"/>
        </x:is>
      </x:c>
      <x:c r="M1502" s="604" t="n">
        <x:v>0.4611516200402327</x:v>
      </x:c>
      <x:c r="N1502" s="604" t="inlineStr">
        <x:is>
          <x:t xml:space="preserve">V4 Shadow Only；real_money=false</x:t>
        </x:is>
      </x:c>
      <x:c r="O1502" s="604" t="inlineStr">
        <x:is>
          <x:t xml:space="preserve">0-0</x:t>
        </x:is>
      </x:c>
      <x:c r="P1502" s="604" t="inlineStr">
        <x:is>
          <x:t xml:space="preserve">EVALUATED</x:t>
        </x:is>
      </x:c>
      <x:c r="Q1502" s="630" t="inlineStr">
        <x:is>
          <x:t xml:space="preserve"/>
        </x:is>
      </x:c>
      <x:c r="R1502" s="604" t="n"/>
      <x:c r="S1502" s="604" t="n"/>
      <x:c r="T1502" s="604" t="inlineStr">
        <x:is>
          <x:t xml:space="preserve">D:\codex\v3_legacy\outputs\football_odds_trader\raw\titan007\20261009\20261009_085232_titan007_odds_snapshot.csv</x:t>
        </x:is>
      </x:c>
      <x:c r="U1502" s="628" t="inlineStr">
        <x:is>
          <x:t xml:space="preserve"/>
        </x:is>
      </x:c>
      <x:c r="V1502" s="604" t="inlineStr">
        <x:is>
          <x:t xml:space="preserve"/>
        </x:is>
      </x:c>
      <x:c r="W1502" s="604" t="inlineStr">
        <x:is>
          <x:t xml:space="preserve"/>
        </x:is>
      </x:c>
      <x:c r="X1502" s="604" t="inlineStr">
        <x:is>
          <x:t xml:space="preserve">3019560</x:t>
        </x:is>
      </x:c>
      <x:c r="Y1502" s="604" t="inlineStr">
        <x:is>
          <x:t xml:space="preserve">V4</x:t>
        </x:is>
      </x:c>
      <x:c r="Z1502" s="604" t="inlineStr">
        <x:is>
          <x:t xml:space="preserve">prior-2026-10-09-v1</x:t>
        </x:is>
      </x:c>
      <x:c r="AA1502" s="604" t="inlineStr">
        <x:is>
          <x:t xml:space="preserve">N</x:t>
        </x:is>
      </x:c>
      <x:c r="AB1502" s="604" t="n">
        <x:v>0.4611516200402327</x:v>
      </x:c>
      <x:c r="AC1502" s="604" t="n">
        <x:v>0.4122659894027133</x:v>
      </x:c>
      <x:c r="AD1502" s="604" t="n">
        <x:v>1</x:v>
      </x:c>
      <x:c r="AE1502" s="604" t="n"/>
      <x:c r="AF1502" s="604" t="n"/>
      <x:c r="AG1502" s="604" t="n">
        <x:v>0.02582804963550778</x:v>
      </x:c>
      <x:c r="AH1502" s="604" t="n"/>
      <x:c r="AI1502" s="604" t="n"/>
      <x:c r="AJ1502" s="604" t="n">
        <x:v>0.02582804963550778</x:v>
      </x:c>
      <x:c r="AK1502" s="604" t="n"/>
      <x:c r="AL1502" s="604" t="n"/>
      <x:c r="AM1502" s="604" t="n"/>
      <x:c r="AN1502" s="604" t="inlineStr">
        <x:is>
          <x:t xml:space="preserve">EVALUATED</x:t>
        </x:is>
      </x:c>
      <x:c r="AO1502" s="604" t="inlineStr">
        <x:is>
          <x:t xml:space="preserve">EDGE_BELOW_UNCERTAINTY_THRESHOLD;BUCKET_PRIOR_ONLY;INTENT_INTERPRETATION_ONLY;FFL_OPTIONAL;EXPERT_MARKET</x:t>
        </x:is>
      </x:c>
      <x:c r="AP1502" s="604" t="inlineStr">
        <x:is>
          <x:t xml:space="preserve">e68bbe4c96ad3e761f9a</x:t>
        </x:is>
      </x:c>
      <x:c r="AQ1502" s="604" t="n"/>
      <x:c r="AR1502" s="604" t="n"/>
      <x:c r="AS1502" s="604" t="n">
        <x:v>0.75</x:v>
      </x:c>
      <x:c r="AT1502" s="604" t="n">
        <x:v>-0.75</x:v>
      </x:c>
      <x:c r="AU1502" s="604" t="n">
        <x:v>0.95</x:v>
      </x:c>
      <x:c r="AV1502" s="604" t="n">
        <x:v>0.75</x:v>
      </x:c>
      <x:c r="AW1502" s="604" t="inlineStr">
        <x:is>
          <x:t xml:space="preserve">2026-10-09T09:01:21.127001+08:00</x:t>
        </x:is>
      </x:c>
      <x:c r="AX1502" s="604" t="inlineStr">
        <x:is>
          <x:t xml:space="preserve">Titan007/V4</x:t>
        </x:is>
      </x:c>
      <x:c r="AY1502" s="604" t="inlineStr">
        <x:is>
          <x:t xml:space="preserve">Daily append；市场输入缺失时不生成决策</x:t>
        </x:is>
      </x:c>
    </x:row>
    <x:row r="1503" ht="22" customHeight="1">
      <x:c r="A1503" s="604" t="inlineStr">
        <x:is>
          <x:t xml:space="preserve">2026-10-09</x:t>
        </x:is>
      </x:c>
      <x:c r="B1503" s="604" t="inlineStr">
        <x:is>
          <x:t xml:space="preserve">2026-10-10T02:15:00+08:00</x:t>
        </x:is>
      </x:c>
      <x:c r="C1503" s="604" t="str">
        <x:v>欧洲非五大系列</x:v>
      </x:c>
      <x:c r="D1503" s="604" t="inlineStr">
        <x:is>
          <x:t xml:space="preserve"/>
        </x:is>
      </x:c>
      <x:c r="E1503" s="604" t="inlineStr">
        <x:is>
          <x:t xml:space="preserve">瑞士丙</x:t>
        </x:is>
      </x:c>
      <x:c r="F1503" s="604" t="inlineStr">
        <x:is>
          <x:t xml:space="preserve">波塔尔邦 vs 科夫拉纳</x:t>
        </x:is>
      </x:c>
      <x:c r="G1503" s="604" t="n">
        <x:v>0.9</x:v>
      </x:c>
      <x:c r="H1503" s="604" t="n">
        <x:v>0.75</x:v>
      </x:c>
      <x:c r="I1503" s="604" t="n">
        <x:v>0.9</x:v>
      </x:c>
      <x:c r="J1503" s="604" t="inlineStr">
        <x:is>
          <x:t xml:space="preserve">0.9/0.75/0.9</x:t>
        </x:is>
      </x:c>
      <x:c r="K1503" s="604" t="inlineStr">
        <x:is>
          <x:t xml:space="preserve">V4-N</x:t>
        </x:is>
      </x:c>
      <x:c r="L1503" s="604" t="inlineStr">
        <x:is>
          <x:t xml:space="preserve"/>
        </x:is>
      </x:c>
      <x:c r="M1503" s="604" t="n">
        <x:v>0.5027624923330525</x:v>
      </x:c>
      <x:c r="N1503" s="604" t="inlineStr">
        <x:is>
          <x:t xml:space="preserve">V4 Shadow Only；real_money=false</x:t>
        </x:is>
      </x:c>
      <x:c r="O1503" s="604" t="inlineStr">
        <x:is>
          <x:t xml:space="preserve">0-0</x:t>
        </x:is>
      </x:c>
      <x:c r="P1503" s="604" t="inlineStr">
        <x:is>
          <x:t xml:space="preserve">EVALUATED</x:t>
        </x:is>
      </x:c>
      <x:c r="Q1503" s="630" t="inlineStr">
        <x:is>
          <x:t xml:space="preserve"/>
        </x:is>
      </x:c>
      <x:c r="R1503" s="604" t="n"/>
      <x:c r="S1503" s="604" t="n"/>
      <x:c r="T1503" s="604" t="inlineStr">
        <x:is>
          <x:t xml:space="preserve">D:\codex\v3_legacy\outputs\football_odds_trader\raw\titan007\20261009\20261009_085232_titan007_odds_snapshot.csv</x:t>
        </x:is>
      </x:c>
      <x:c r="U1503" s="628" t="inlineStr">
        <x:is>
          <x:t xml:space="preserve"/>
        </x:is>
      </x:c>
      <x:c r="V1503" s="604" t="inlineStr">
        <x:is>
          <x:t xml:space="preserve"/>
        </x:is>
      </x:c>
      <x:c r="W1503" s="604" t="inlineStr">
        <x:is>
          <x:t xml:space="preserve"/>
        </x:is>
      </x:c>
      <x:c r="X1503" s="604" t="inlineStr">
        <x:is>
          <x:t xml:space="preserve">3019780</x:t>
        </x:is>
      </x:c>
      <x:c r="Y1503" s="604" t="inlineStr">
        <x:is>
          <x:t xml:space="preserve">V4</x:t>
        </x:is>
      </x:c>
      <x:c r="Z1503" s="604" t="inlineStr">
        <x:is>
          <x:t xml:space="preserve">prior-2026-10-09-v1</x:t>
        </x:is>
      </x:c>
      <x:c r="AA1503" s="604" t="inlineStr">
        <x:is>
          <x:t xml:space="preserve">N</x:t>
        </x:is>
      </x:c>
      <x:c r="AB1503" s="604" t="n">
        <x:v>0.5027624923330525</x:v>
      </x:c>
      <x:c r="AC1503" s="604" t="n">
        <x:v>0.3693858164013966</x:v>
      </x:c>
      <x:c r="AD1503" s="604" t="n">
        <x:v>1</x:v>
      </x:c>
      <x:c r="AE1503" s="604" t="n"/>
      <x:c r="AF1503" s="604" t="n"/>
      <x:c r="AG1503" s="604" t="n">
        <x:v>0.08310042669835072</x:v>
      </x:c>
      <x:c r="AH1503" s="604" t="n"/>
      <x:c r="AI1503" s="604" t="n"/>
      <x:c r="AJ1503" s="604" t="n">
        <x:v>0.08310042669835072</x:v>
      </x:c>
      <x:c r="AK1503" s="604" t="n"/>
      <x:c r="AL1503" s="604" t="n"/>
      <x:c r="AM1503" s="604" t="n"/>
      <x:c r="AN1503" s="604" t="inlineStr">
        <x:is>
          <x:t xml:space="preserve">EVALUATED</x:t>
        </x:is>
      </x:c>
      <x:c r="AO1503" s="604" t="inlineStr">
        <x:is>
          <x:t xml:space="preserve">LOW_QUALITY_GATE;BUCKET_PRIOR_ONLY;INTENT_INTERPRETATION_ONLY;FFL_OPTIONAL;EXPERT_MARKET</x:t>
        </x:is>
      </x:c>
      <x:c r="AP1503" s="604" t="inlineStr">
        <x:is>
          <x:t xml:space="preserve">6ed6553983e4571688de</x:t>
        </x:is>
      </x:c>
      <x:c r="AQ1503" s="604" t="n"/>
      <x:c r="AR1503" s="604" t="n"/>
      <x:c r="AS1503" s="604" t="n">
        <x:v>0.75</x:v>
      </x:c>
      <x:c r="AT1503" s="604" t="n">
        <x:v>-0.75</x:v>
      </x:c>
      <x:c r="AU1503" s="604" t="n">
        <x:v>0.9</x:v>
      </x:c>
      <x:c r="AV1503" s="604" t="n">
        <x:v>0.9</x:v>
      </x:c>
      <x:c r="AW1503" s="604" t="inlineStr">
        <x:is>
          <x:t xml:space="preserve">2026-10-09T09:01:21.127001+08:00</x:t>
        </x:is>
      </x:c>
      <x:c r="AX1503" s="604" t="inlineStr">
        <x:is>
          <x:t xml:space="preserve">Titan007/V4</x:t>
        </x:is>
      </x:c>
      <x:c r="AY1503" s="604" t="inlineStr">
        <x:is>
          <x:t xml:space="preserve">Daily append；市场输入缺失时不生成决策</x:t>
        </x:is>
      </x:c>
    </x:row>
    <x:row r="1504" ht="22" customHeight="1">
      <x:c r="A1504" s="604" t="inlineStr">
        <x:is>
          <x:t xml:space="preserve">2026-10-09</x:t>
        </x:is>
      </x:c>
      <x:c r="B1504" s="604" t="inlineStr">
        <x:is>
          <x:t xml:space="preserve">2026-10-10T01:00:00+08:00</x:t>
        </x:is>
      </x:c>
      <x:c r="C1504" s="604" t="str">
        <x:v>欧洲非五大系列</x:v>
      </x:c>
      <x:c r="D1504" s="604" t="inlineStr">
        <x:is>
          <x:t xml:space="preserve"/>
        </x:is>
      </x:c>
      <x:c r="E1504" s="604" t="inlineStr">
        <x:is>
          <x:t xml:space="preserve">奥丙东</x:t>
        </x:is>
      </x:c>
      <x:c r="F1504" s="604" t="inlineStr">
        <x:is>
          <x:t xml:space="preserve">曼斯多夫 vs 马特斯堡</x:t>
        </x:is>
      </x:c>
      <x:c r="G1504" s="604" t="n">
        <x:v>0.88</x:v>
      </x:c>
      <x:c r="H1504" s="604" t="n">
        <x:v>1.5</x:v>
      </x:c>
      <x:c r="I1504" s="604" t="n">
        <x:v>0.93</x:v>
      </x:c>
      <x:c r="J1504" s="604" t="inlineStr">
        <x:is>
          <x:t xml:space="preserve">0.88/1.5/0.93</x:t>
        </x:is>
      </x:c>
      <x:c r="K1504" s="604" t="inlineStr">
        <x:is>
          <x:t xml:space="preserve">V4-N</x:t>
        </x:is>
      </x:c>
      <x:c r="L1504" s="604" t="inlineStr">
        <x:is>
          <x:t xml:space="preserve"/>
        </x:is>
      </x:c>
      <x:c r="M1504" s="604" t="n">
        <x:v>0.590326669546635</x:v>
      </x:c>
      <x:c r="N1504" s="604" t="inlineStr">
        <x:is>
          <x:t xml:space="preserve">V4 Shadow Only；real_money=false</x:t>
        </x:is>
      </x:c>
      <x:c r="O1504" s="604" t="inlineStr">
        <x:is>
          <x:t xml:space="preserve">0-0</x:t>
        </x:is>
      </x:c>
      <x:c r="P1504" s="604" t="inlineStr">
        <x:is>
          <x:t xml:space="preserve">EVALUATED</x:t>
        </x:is>
      </x:c>
      <x:c r="Q1504" s="630" t="inlineStr">
        <x:is>
          <x:t xml:space="preserve"/>
        </x:is>
      </x:c>
      <x:c r="R1504" s="604" t="n"/>
      <x:c r="S1504" s="604" t="n"/>
      <x:c r="T1504" s="604" t="inlineStr">
        <x:is>
          <x:t xml:space="preserve">D:\codex\v3_legacy\outputs\football_odds_trader\raw\titan007\20261009\20261009_085232_titan007_odds_snapshot.csv</x:t>
        </x:is>
      </x:c>
      <x:c r="U1504" s="628" t="inlineStr">
        <x:is>
          <x:t xml:space="preserve"/>
        </x:is>
      </x:c>
      <x:c r="V1504" s="604" t="inlineStr">
        <x:is>
          <x:t xml:space="preserve"/>
        </x:is>
      </x:c>
      <x:c r="W1504" s="604" t="inlineStr">
        <x:is>
          <x:t xml:space="preserve"/>
        </x:is>
      </x:c>
      <x:c r="X1504" s="604" t="inlineStr">
        <x:is>
          <x:t xml:space="preserve">3020351</x:t>
        </x:is>
      </x:c>
      <x:c r="Y1504" s="604" t="inlineStr">
        <x:is>
          <x:t xml:space="preserve">V4</x:t>
        </x:is>
      </x:c>
      <x:c r="Z1504" s="604" t="inlineStr">
        <x:is>
          <x:t xml:space="preserve">prior-2026-10-09-v1</x:t>
        </x:is>
      </x:c>
      <x:c r="AA1504" s="604" t="inlineStr">
        <x:is>
          <x:t xml:space="preserve">N</x:t>
        </x:is>
      </x:c>
      <x:c r="AB1504" s="604" t="n">
        <x:v>0.590326669546635</x:v>
      </x:c>
      <x:c r="AC1504" s="604" t="n">
        <x:v>0.409673330453365</x:v>
      </x:c>
      <x:c r="AD1504" s="604" t="n">
        <x:v>2</x:v>
      </x:c>
      <x:c r="AE1504" s="604" t="n"/>
      <x:c r="AF1504" s="604" t="n"/>
      <x:c r="AG1504" s="604" t="n">
        <x:v>0.1098141387476739</x:v>
      </x:c>
      <x:c r="AH1504" s="604" t="n"/>
      <x:c r="AI1504" s="604" t="n"/>
      <x:c r="AJ1504" s="604" t="n">
        <x:v>0.1098141387476739</x:v>
      </x:c>
      <x:c r="AK1504" s="604" t="n"/>
      <x:c r="AL1504" s="604" t="n"/>
      <x:c r="AM1504" s="604" t="n"/>
      <x:c r="AN1504" s="604" t="inlineStr">
        <x:is>
          <x:t xml:space="preserve">EVALUATED</x:t>
        </x:is>
      </x:c>
      <x:c r="AO1504" s="604" t="inlineStr">
        <x:is>
          <x:t xml:space="preserve">LOW_QUALITY_GATE;BUCKET_PRIOR_ONLY;INTENT_INTERPRETATION_ONLY;FFL_OPTIONAL;EXPERT_MARKET</x:t>
        </x:is>
      </x:c>
      <x:c r="AP1504" s="604" t="inlineStr">
        <x:is>
          <x:t xml:space="preserve">31dd41fea0166e5e1178</x:t>
        </x:is>
      </x:c>
      <x:c r="AQ1504" s="604" t="n"/>
      <x:c r="AR1504" s="604" t="n"/>
      <x:c r="AS1504" s="604" t="n">
        <x:v>1.5</x:v>
      </x:c>
      <x:c r="AT1504" s="604" t="n">
        <x:v>-1.5</x:v>
      </x:c>
      <x:c r="AU1504" s="604" t="n">
        <x:v>0.88</x:v>
      </x:c>
      <x:c r="AV1504" s="604" t="n">
        <x:v>0.93</x:v>
      </x:c>
      <x:c r="AW1504" s="604" t="inlineStr">
        <x:is>
          <x:t xml:space="preserve">2026-10-09T09:01:21.127001+08:00</x:t>
        </x:is>
      </x:c>
      <x:c r="AX1504" s="604" t="inlineStr">
        <x:is>
          <x:t xml:space="preserve">Titan007/V4</x:t>
        </x:is>
      </x:c>
      <x:c r="AY1504" s="604" t="inlineStr">
        <x:is>
          <x:t xml:space="preserve">Daily append；市场输入缺失时不生成决策</x:t>
        </x:is>
      </x:c>
    </x:row>
    <x:row r="1505" ht="22" customHeight="1">
      <x:c r="A1505" s="604" t="inlineStr">
        <x:is>
          <x:t xml:space="preserve">2026-10-09</x:t>
        </x:is>
      </x:c>
      <x:c r="B1505" s="604" t="inlineStr">
        <x:is>
          <x:t xml:space="preserve">2026-10-10T01:00:00+08:00</x:t>
        </x:is>
      </x:c>
      <x:c r="C1505" s="604" t="str">
        <x:v>欧洲非五大系列</x:v>
      </x:c>
      <x:c r="D1505" s="604" t="inlineStr">
        <x:is>
          <x:t xml:space="preserve"/>
        </x:is>
      </x:c>
      <x:c r="E1505" s="604" t="inlineStr">
        <x:is>
          <x:t xml:space="preserve">奥丙东</x:t>
        </x:is>
      </x:c>
      <x:c r="F1505" s="604" t="inlineStr">
        <x:is>
          <x:t xml:space="preserve">帕多夫 vs 维也纳SC</x:t>
        </x:is>
      </x:c>
      <x:c r="G1505" s="604" t="n">
        <x:v>0.85</x:v>
      </x:c>
      <x:c r="H1505" s="604" t="n">
        <x:v>0</x:v>
      </x:c>
      <x:c r="I1505" s="604" t="n">
        <x:v>0.95</x:v>
      </x:c>
      <x:c r="J1505" s="604" t="inlineStr">
        <x:is>
          <x:t xml:space="preserve">0.85/0.0/0.95</x:t>
        </x:is>
      </x:c>
      <x:c r="K1505" s="604" t="inlineStr">
        <x:is>
          <x:t xml:space="preserve">V4-N</x:t>
        </x:is>
      </x:c>
      <x:c r="L1505" s="604" t="inlineStr">
        <x:is>
          <x:t xml:space="preserve"/>
        </x:is>
      </x:c>
      <x:c r="M1505" s="604" t="n"/>
      <x:c r="N1505" s="604" t="inlineStr">
        <x:is>
          <x:t xml:space="preserve">V4 Shadow Only；real_money=false</x:t>
        </x:is>
      </x:c>
      <x:c r="O1505" s="604" t="inlineStr">
        <x:is>
          <x:t xml:space="preserve">0-0</x:t>
        </x:is>
      </x:c>
      <x:c r="P1505" s="604" t="inlineStr">
        <x:is>
          <x:t xml:space="preserve">NEUTRAL</x:t>
        </x:is>
      </x:c>
      <x:c r="Q1505" s="630" t="inlineStr">
        <x:is>
          <x:t xml:space="preserve"/>
        </x:is>
      </x:c>
      <x:c r="R1505" s="604" t="n"/>
      <x:c r="S1505" s="604" t="n"/>
      <x:c r="T1505" s="604" t="inlineStr">
        <x:is>
          <x:t xml:space="preserve">D:\codex\v3_legacy\outputs\football_odds_trader\raw\titan007\20261009\20261009_085232_titan007_odds_snapshot.csv</x:t>
        </x:is>
      </x:c>
      <x:c r="U1505" s="628" t="inlineStr">
        <x:is>
          <x:t xml:space="preserve"/>
        </x:is>
      </x:c>
      <x:c r="V1505" s="604" t="inlineStr">
        <x:is>
          <x:t xml:space="preserve"/>
        </x:is>
      </x:c>
      <x:c r="W1505" s="604" t="inlineStr">
        <x:is>
          <x:t xml:space="preserve"/>
        </x:is>
      </x:c>
      <x:c r="X1505" s="604" t="inlineStr">
        <x:is>
          <x:t xml:space="preserve">3020352</x:t>
        </x:is>
      </x:c>
      <x:c r="Y1505" s="604" t="inlineStr">
        <x:is>
          <x:t xml:space="preserve">V4</x:t>
        </x:is>
      </x:c>
      <x:c r="Z1505" s="604" t="inlineStr">
        <x:is>
          <x:t xml:space="preserve">prior-2026-10-09-v1</x:t>
        </x:is>
      </x:c>
      <x:c r="AA1505" s="604" t="inlineStr">
        <x:is>
          <x:t xml:space="preserve">N</x:t>
        </x:is>
      </x:c>
      <x:c r="AB1505" s="604" t="n"/>
      <x:c r="AC1505" s="604" t="n"/>
      <x:c r="AD1505" s="604" t="n"/>
      <x:c r="AE1505" s="604" t="n"/>
      <x:c r="AF1505" s="604" t="n"/>
      <x:c r="AG1505" s="604" t="n"/>
      <x:c r="AH1505" s="604" t="n"/>
      <x:c r="AI1505" s="604" t="n"/>
      <x:c r="AJ1505" s="604" t="n"/>
      <x:c r="AK1505" s="604" t="n"/>
      <x:c r="AL1505" s="604" t="n"/>
      <x:c r="AM1505" s="604" t="n"/>
      <x:c r="AN1505" s="604" t="inlineStr">
        <x:is>
          <x:t xml:space="preserve">NEUTRAL</x:t>
        </x:is>
      </x:c>
      <x:c r="AO1505" s="604" t="inlineStr">
        <x:is>
          <x:t xml:space="preserve">PK_NO_GIVING_RECEIVING_IDENTITY</x:t>
        </x:is>
      </x:c>
      <x:c r="AP1505" s="604" t="inlineStr">
        <x:is>
          <x:t xml:space="preserve">d5f473dfab142f8950ff</x:t>
        </x:is>
      </x:c>
      <x:c r="AQ1505" s="604" t="n"/>
      <x:c r="AR1505" s="604" t="n"/>
      <x:c r="AS1505" s="604" t="n"/>
      <x:c r="AT1505" s="604" t="n"/>
      <x:c r="AU1505" s="604" t="n"/>
      <x:c r="AV1505" s="604" t="n"/>
      <x:c r="AW1505" s="604" t="inlineStr">
        <x:is>
          <x:t xml:space="preserve">2026-10-09T09:01:21.127001+08:00</x:t>
        </x:is>
      </x:c>
      <x:c r="AX1505" s="604" t="inlineStr">
        <x:is>
          <x:t xml:space="preserve">Titan007/V4</x:t>
        </x:is>
      </x:c>
      <x:c r="AY1505" s="604" t="inlineStr">
        <x:is>
          <x:t xml:space="preserve">Daily append；市场输入缺失时不生成决策</x:t>
        </x:is>
      </x:c>
    </x:row>
    <x:row r="1506" ht="22" customHeight="1">
      <x:c r="A1506" s="604" t="inlineStr">
        <x:is>
          <x:t xml:space="preserve">2026-10-09</x:t>
        </x:is>
      </x:c>
      <x:c r="B1506" s="604" t="inlineStr">
        <x:is>
          <x:t xml:space="preserve">2026-10-10T01:30:00+08:00</x:t>
        </x:is>
      </x:c>
      <x:c r="C1506" s="604" t="str">
        <x:v>欧洲非五大系列</x:v>
      </x:c>
      <x:c r="D1506" s="604" t="inlineStr">
        <x:is>
          <x:t xml:space="preserve"/>
        </x:is>
      </x:c>
      <x:c r="E1506" s="604" t="inlineStr">
        <x:is>
          <x:t xml:space="preserve">奥丙东</x:t>
        </x:is>
      </x:c>
      <x:c r="F1506" s="604" t="inlineStr">
        <x:is>
          <x:t xml:space="preserve">克林斯马 vs 维也纳维多利亚</x:t>
        </x:is>
      </x:c>
      <x:c r="G1506" s="604" t="n">
        <x:v>0.8</x:v>
      </x:c>
      <x:c r="H1506" s="604" t="n">
        <x:v>0.5</x:v>
      </x:c>
      <x:c r="I1506" s="604" t="n">
        <x:v>1</x:v>
      </x:c>
      <x:c r="J1506" s="604" t="inlineStr">
        <x:is>
          <x:t xml:space="preserve">0.8/0.5/1.0</x:t>
        </x:is>
      </x:c>
      <x:c r="K1506" s="604" t="inlineStr">
        <x:is>
          <x:t xml:space="preserve">V4-N</x:t>
        </x:is>
      </x:c>
      <x:c r="L1506" s="604" t="inlineStr">
        <x:is>
          <x:t xml:space="preserve"/>
        </x:is>
      </x:c>
      <x:c r="M1506" s="604" t="n">
        <x:v>0.560091414641662</x:v>
      </x:c>
      <x:c r="N1506" s="604" t="inlineStr">
        <x:is>
          <x:t xml:space="preserve">V4 Shadow Only；real_money=false</x:t>
        </x:is>
      </x:c>
      <x:c r="O1506" s="604" t="inlineStr">
        <x:is>
          <x:t xml:space="preserve">0-0</x:t>
        </x:is>
      </x:c>
      <x:c r="P1506" s="604" t="inlineStr">
        <x:is>
          <x:t xml:space="preserve">EVALUATED</x:t>
        </x:is>
      </x:c>
      <x:c r="Q1506" s="630" t="inlineStr">
        <x:is>
          <x:t xml:space="preserve"/>
        </x:is>
      </x:c>
      <x:c r="R1506" s="604" t="n"/>
      <x:c r="S1506" s="604" t="n"/>
      <x:c r="T1506" s="604" t="inlineStr">
        <x:is>
          <x:t xml:space="preserve">D:\codex\v3_legacy\outputs\football_odds_trader\raw\titan007\20261009\20261009_085232_titan007_odds_snapshot.csv</x:t>
        </x:is>
      </x:c>
      <x:c r="U1506" s="628" t="inlineStr">
        <x:is>
          <x:t xml:space="preserve"/>
        </x:is>
      </x:c>
      <x:c r="V1506" s="604" t="inlineStr">
        <x:is>
          <x:t xml:space="preserve"/>
        </x:is>
      </x:c>
      <x:c r="W1506" s="604" t="inlineStr">
        <x:is>
          <x:t xml:space="preserve"/>
        </x:is>
      </x:c>
      <x:c r="X1506" s="604" t="inlineStr">
        <x:is>
          <x:t xml:space="preserve">3020354</x:t>
        </x:is>
      </x:c>
      <x:c r="Y1506" s="604" t="inlineStr">
        <x:is>
          <x:t xml:space="preserve">V4</x:t>
        </x:is>
      </x:c>
      <x:c r="Z1506" s="604" t="inlineStr">
        <x:is>
          <x:t xml:space="preserve">prior-2026-10-09-v1</x:t>
        </x:is>
      </x:c>
      <x:c r="AA1506" s="604" t="inlineStr">
        <x:is>
          <x:t xml:space="preserve">N</x:t>
        </x:is>
      </x:c>
      <x:c r="AB1506" s="604" t="n">
        <x:v>0.560091414641662</x:v>
      </x:c>
      <x:c r="AC1506" s="604" t="n">
        <x:v>0.439908585358338</x:v>
      </x:c>
      <x:c r="AD1506" s="604" t="n">
        <x:v>0.75</x:v>
      </x:c>
      <x:c r="AE1506" s="604" t="n"/>
      <x:c r="AF1506" s="604" t="n"/>
      <x:c r="AG1506" s="604" t="n">
        <x:v>0.008164546354991642</x:v>
      </x:c>
      <x:c r="AH1506" s="604" t="n"/>
      <x:c r="AI1506" s="604" t="n"/>
      <x:c r="AJ1506" s="604" t="n">
        <x:v>0.008164546354991642</x:v>
      </x:c>
      <x:c r="AK1506" s="604" t="n"/>
      <x:c r="AL1506" s="604" t="n"/>
      <x:c r="AM1506" s="604" t="n"/>
      <x:c r="AN1506" s="604" t="inlineStr">
        <x:is>
          <x:t xml:space="preserve">EVALUATED</x:t>
        </x:is>
      </x:c>
      <x:c r="AO1506" s="604" t="inlineStr">
        <x:is>
          <x:t xml:space="preserve">EDGE_BELOW_UNCERTAINTY_THRESHOLD;BUCKET_PRIOR_ONLY;INTENT_INTERPRETATION_ONLY;FFL_OPTIONAL;EXPERT_MARKET</x:t>
        </x:is>
      </x:c>
      <x:c r="AP1506" s="604" t="inlineStr">
        <x:is>
          <x:t xml:space="preserve">e37c396114bb913f9e26</x:t>
        </x:is>
      </x:c>
      <x:c r="AQ1506" s="604" t="n"/>
      <x:c r="AR1506" s="604" t="n"/>
      <x:c r="AS1506" s="604" t="n">
        <x:v>0.5</x:v>
      </x:c>
      <x:c r="AT1506" s="604" t="n">
        <x:v>-0.5</x:v>
      </x:c>
      <x:c r="AU1506" s="604" t="n">
        <x:v>0.8</x:v>
      </x:c>
      <x:c r="AV1506" s="604" t="n">
        <x:v>1</x:v>
      </x:c>
      <x:c r="AW1506" s="604" t="inlineStr">
        <x:is>
          <x:t xml:space="preserve">2026-10-09T09:01:21.127001+08:00</x:t>
        </x:is>
      </x:c>
      <x:c r="AX1506" s="604" t="inlineStr">
        <x:is>
          <x:t xml:space="preserve">Titan007/V4</x:t>
        </x:is>
      </x:c>
      <x:c r="AY1506" s="604" t="inlineStr">
        <x:is>
          <x:t xml:space="preserve">Daily append；市场输入缺失时不生成决策</x:t>
        </x:is>
      </x:c>
    </x:row>
    <x:row r="1507" ht="22" customHeight="1">
      <x:c r="A1507" s="604" t="inlineStr">
        <x:is>
          <x:t xml:space="preserve">2026-10-09</x:t>
        </x:is>
      </x:c>
      <x:c r="B1507" s="604" t="inlineStr">
        <x:is>
          <x:t xml:space="preserve">2026-10-10T01:30:00+08:00</x:t>
        </x:is>
      </x:c>
      <x:c r="C1507" s="604" t="str">
        <x:v>欧洲非五大系列</x:v>
      </x:c>
      <x:c r="D1507" s="604" t="inlineStr">
        <x:is>
          <x:t xml:space="preserve"/>
        </x:is>
      </x:c>
      <x:c r="E1507" s="604" t="inlineStr">
        <x:is>
          <x:t xml:space="preserve">奥丙东</x:t>
        </x:is>
      </x:c>
      <x:c r="F1507" s="604" t="inlineStr">
        <x:is>
          <x:t xml:space="preserve">特赖斯基兴 vs 奥伯华特</x:t>
        </x:is>
      </x:c>
      <x:c r="G1507" s="604" t="n">
        <x:v>0.9</x:v>
      </x:c>
      <x:c r="H1507" s="604" t="n">
        <x:v>0</x:v>
      </x:c>
      <x:c r="I1507" s="604" t="n">
        <x:v>0.9</x:v>
      </x:c>
      <x:c r="J1507" s="604" t="inlineStr">
        <x:is>
          <x:t xml:space="preserve">0.9/0.0/0.9</x:t>
        </x:is>
      </x:c>
      <x:c r="K1507" s="604" t="inlineStr">
        <x:is>
          <x:t xml:space="preserve">V4-N</x:t>
        </x:is>
      </x:c>
      <x:c r="L1507" s="604" t="inlineStr">
        <x:is>
          <x:t xml:space="preserve"/>
        </x:is>
      </x:c>
      <x:c r="M1507" s="604" t="n"/>
      <x:c r="N1507" s="604" t="inlineStr">
        <x:is>
          <x:t xml:space="preserve">V4 Shadow Only；real_money=false</x:t>
        </x:is>
      </x:c>
      <x:c r="O1507" s="604" t="inlineStr">
        <x:is>
          <x:t xml:space="preserve">0-0</x:t>
        </x:is>
      </x:c>
      <x:c r="P1507" s="604" t="inlineStr">
        <x:is>
          <x:t xml:space="preserve">NEUTRAL</x:t>
        </x:is>
      </x:c>
      <x:c r="Q1507" s="630" t="inlineStr">
        <x:is>
          <x:t xml:space="preserve"/>
        </x:is>
      </x:c>
      <x:c r="R1507" s="604" t="n"/>
      <x:c r="S1507" s="604" t="n"/>
      <x:c r="T1507" s="604" t="inlineStr">
        <x:is>
          <x:t xml:space="preserve">D:\codex\v3_legacy\outputs\football_odds_trader\raw\titan007\20261009\20261009_085232_titan007_odds_snapshot.csv</x:t>
        </x:is>
      </x:c>
      <x:c r="U1507" s="628" t="inlineStr">
        <x:is>
          <x:t xml:space="preserve"/>
        </x:is>
      </x:c>
      <x:c r="V1507" s="604" t="inlineStr">
        <x:is>
          <x:t xml:space="preserve"/>
        </x:is>
      </x:c>
      <x:c r="W1507" s="604" t="inlineStr">
        <x:is>
          <x:t xml:space="preserve"/>
        </x:is>
      </x:c>
      <x:c r="X1507" s="604" t="inlineStr">
        <x:is>
          <x:t xml:space="preserve">3020355</x:t>
        </x:is>
      </x:c>
      <x:c r="Y1507" s="604" t="inlineStr">
        <x:is>
          <x:t xml:space="preserve">V4</x:t>
        </x:is>
      </x:c>
      <x:c r="Z1507" s="604" t="inlineStr">
        <x:is>
          <x:t xml:space="preserve">prior-2026-10-09-v1</x:t>
        </x:is>
      </x:c>
      <x:c r="AA1507" s="604" t="inlineStr">
        <x:is>
          <x:t xml:space="preserve">N</x:t>
        </x:is>
      </x:c>
      <x:c r="AB1507" s="604" t="n"/>
      <x:c r="AC1507" s="604" t="n"/>
      <x:c r="AD1507" s="604" t="n"/>
      <x:c r="AE1507" s="604" t="n"/>
      <x:c r="AF1507" s="604" t="n"/>
      <x:c r="AG1507" s="604" t="n"/>
      <x:c r="AH1507" s="604" t="n"/>
      <x:c r="AI1507" s="604" t="n"/>
      <x:c r="AJ1507" s="604" t="n"/>
      <x:c r="AK1507" s="604" t="n"/>
      <x:c r="AL1507" s="604" t="n"/>
      <x:c r="AM1507" s="604" t="n"/>
      <x:c r="AN1507" s="604" t="inlineStr">
        <x:is>
          <x:t xml:space="preserve">NEUTRAL</x:t>
        </x:is>
      </x:c>
      <x:c r="AO1507" s="604" t="inlineStr">
        <x:is>
          <x:t xml:space="preserve">PK_NO_GIVING_RECEIVING_IDENTITY</x:t>
        </x:is>
      </x:c>
      <x:c r="AP1507" s="604" t="inlineStr">
        <x:is>
          <x:t xml:space="preserve">32e1eb60c9cf7a65d24c</x:t>
        </x:is>
      </x:c>
      <x:c r="AQ1507" s="604" t="n"/>
      <x:c r="AR1507" s="604" t="n"/>
      <x:c r="AS1507" s="604" t="n"/>
      <x:c r="AT1507" s="604" t="n"/>
      <x:c r="AU1507" s="604" t="n"/>
      <x:c r="AV1507" s="604" t="n"/>
      <x:c r="AW1507" s="604" t="inlineStr">
        <x:is>
          <x:t xml:space="preserve">2026-10-09T09:01:21.127001+08:00</x:t>
        </x:is>
      </x:c>
      <x:c r="AX1507" s="604" t="inlineStr">
        <x:is>
          <x:t xml:space="preserve">Titan007/V4</x:t>
        </x:is>
      </x:c>
      <x:c r="AY1507" s="604" t="inlineStr">
        <x:is>
          <x:t xml:space="preserve">Daily append；市场输入缺失时不生成决策</x:t>
        </x:is>
      </x:c>
    </x:row>
    <x:row r="1508" ht="22" customHeight="1">
      <x:c r="A1508" s="604" t="inlineStr">
        <x:is>
          <x:t xml:space="preserve">2026-10-09</x:t>
        </x:is>
      </x:c>
      <x:c r="B1508" s="604" t="inlineStr">
        <x:is>
          <x:t xml:space="preserve">2026-10-10T01:00:00+08:00</x:t>
        </x:is>
      </x:c>
      <x:c r="C1508" s="604" t="str">
        <x:v>欧洲非五大系列</x:v>
      </x:c>
      <x:c r="D1508" s="604" t="inlineStr">
        <x:is>
          <x:t xml:space="preserve"/>
        </x:is>
      </x:c>
      <x:c r="E1508" s="604" t="inlineStr">
        <x:is>
          <x:t xml:space="preserve">丹麦丙</x:t>
        </x:is>
      </x:c>
      <x:c r="F1508" s="604" t="inlineStr">
        <x:is>
          <x:t xml:space="preserve">桑比 vs 瑞秀</x:t>
        </x:is>
      </x:c>
      <x:c r="G1508" s="604" t="n">
        <x:v>0.83</x:v>
      </x:c>
      <x:c r="H1508" s="604" t="n">
        <x:v>0.25</x:v>
      </x:c>
      <x:c r="I1508" s="604" t="n">
        <x:v>0.98</x:v>
      </x:c>
      <x:c r="J1508" s="604" t="inlineStr">
        <x:is>
          <x:t xml:space="preserve">0.83/0.25/0.98</x:t>
        </x:is>
      </x:c>
      <x:c r="K1508" s="604" t="inlineStr">
        <x:is>
          <x:t xml:space="preserve">V4-N</x:t>
        </x:is>
      </x:c>
      <x:c r="L1508" s="604" t="inlineStr">
        <x:is>
          <x:t xml:space="preserve"/>
        </x:is>
      </x:c>
      <x:c r="M1508" s="604" t="n">
        <x:v>0.43093777223607</x:v>
      </x:c>
      <x:c r="N1508" s="604" t="inlineStr">
        <x:is>
          <x:t xml:space="preserve">V4 Shadow Only；real_money=false</x:t>
        </x:is>
      </x:c>
      <x:c r="O1508" s="604" t="inlineStr">
        <x:is>
          <x:t xml:space="preserve">0-0</x:t>
        </x:is>
      </x:c>
      <x:c r="P1508" s="604" t="inlineStr">
        <x:is>
          <x:t xml:space="preserve">EVALUATED</x:t>
        </x:is>
      </x:c>
      <x:c r="Q1508" s="630" t="inlineStr">
        <x:is>
          <x:t xml:space="preserve"/>
        </x:is>
      </x:c>
      <x:c r="R1508" s="604" t="n"/>
      <x:c r="S1508" s="604" t="n"/>
      <x:c r="T1508" s="604" t="inlineStr">
        <x:is>
          <x:t xml:space="preserve">D:\codex\v3_legacy\outputs\football_odds_trader\raw\titan007\20261009\20261009_085232_titan007_odds_snapshot.csv</x:t>
        </x:is>
      </x:c>
      <x:c r="U1508" s="628" t="inlineStr">
        <x:is>
          <x:t xml:space="preserve"/>
        </x:is>
      </x:c>
      <x:c r="V1508" s="604" t="inlineStr">
        <x:is>
          <x:t xml:space="preserve"/>
        </x:is>
      </x:c>
      <x:c r="W1508" s="604" t="inlineStr">
        <x:is>
          <x:t xml:space="preserve"/>
        </x:is>
      </x:c>
      <x:c r="X1508" s="604" t="inlineStr">
        <x:is>
          <x:t xml:space="preserve">3021038</x:t>
        </x:is>
      </x:c>
      <x:c r="Y1508" s="604" t="inlineStr">
        <x:is>
          <x:t xml:space="preserve">V4</x:t>
        </x:is>
      </x:c>
      <x:c r="Z1508" s="604" t="inlineStr">
        <x:is>
          <x:t xml:space="preserve">prior-2026-10-09-v1</x:t>
        </x:is>
      </x:c>
      <x:c r="AA1508" s="604" t="inlineStr">
        <x:is>
          <x:t xml:space="preserve">N</x:t>
        </x:is>
      </x:c>
      <x:c r="AB1508" s="604" t="n">
        <x:v>0.43093777223607</x:v>
      </x:c>
      <x:c r="AC1508" s="604" t="n">
        <x:v>0.438817318061837</x:v>
      </x:c>
      <x:c r="AD1508" s="604" t="n">
        <x:v>0.25</x:v>
      </x:c>
      <x:c r="AE1508" s="604" t="n"/>
      <x:c r="AF1508" s="604" t="n"/>
      <x:c r="AG1508" s="604" t="n">
        <x:v>-0.0008968005354698105</x:v>
      </x:c>
      <x:c r="AH1508" s="604" t="n"/>
      <x:c r="AI1508" s="604" t="n"/>
      <x:c r="AJ1508" s="604" t="n">
        <x:v>-0.0008968005354698105</x:v>
      </x:c>
      <x:c r="AK1508" s="604" t="n"/>
      <x:c r="AL1508" s="604" t="n"/>
      <x:c r="AM1508" s="604" t="n"/>
      <x:c r="AN1508" s="604" t="inlineStr">
        <x:is>
          <x:t xml:space="preserve">EVALUATED</x:t>
        </x:is>
      </x:c>
      <x:c r="AO1508" s="604" t="inlineStr">
        <x:is>
          <x:t xml:space="preserve">EDGE_BELOW_UNCERTAINTY_THRESHOLD;BUCKET_PRIOR_ONLY;INTENT_INTERPRETATION_ONLY;FFL_OPTIONAL;EXPERT_MARKET</x:t>
        </x:is>
      </x:c>
      <x:c r="AP1508" s="604" t="inlineStr">
        <x:is>
          <x:t xml:space="preserve">1f66158cca7db97cb9b5</x:t>
        </x:is>
      </x:c>
      <x:c r="AQ1508" s="604" t="n"/>
      <x:c r="AR1508" s="604" t="n"/>
      <x:c r="AS1508" s="604" t="n">
        <x:v>0.25</x:v>
      </x:c>
      <x:c r="AT1508" s="604" t="n">
        <x:v>-0.25</x:v>
      </x:c>
      <x:c r="AU1508" s="604" t="n">
        <x:v>0.83</x:v>
      </x:c>
      <x:c r="AV1508" s="604" t="n">
        <x:v>0.98</x:v>
      </x:c>
      <x:c r="AW1508" s="604" t="inlineStr">
        <x:is>
          <x:t xml:space="preserve">2026-10-09T09:01:21.127001+08:00</x:t>
        </x:is>
      </x:c>
      <x:c r="AX1508" s="604" t="inlineStr">
        <x:is>
          <x:t xml:space="preserve">Titan007/V4</x:t>
        </x:is>
      </x:c>
      <x:c r="AY1508" s="604" t="inlineStr">
        <x:is>
          <x:t xml:space="preserve">Daily append；市场输入缺失时不生成决策</x:t>
        </x:is>
      </x:c>
    </x:row>
    <x:row r="1509" ht="22" customHeight="1">
      <x:c r="A1509" s="604" t="inlineStr">
        <x:is>
          <x:t xml:space="preserve">2026-10-09</x:t>
        </x:is>
      </x:c>
      <x:c r="B1509" s="604" t="inlineStr">
        <x:is>
          <x:t xml:space="preserve">2026-10-10T02:45:00+08:00</x:t>
        </x:is>
      </x:c>
      <x:c r="C1509" s="604" t="str">
        <x:v>欧洲非五大系列</x:v>
      </x:c>
      <x:c r="D1509" s="604" t="inlineStr">
        <x:is>
          <x:t xml:space="preserve"/>
        </x:is>
      </x:c>
      <x:c r="E1509" s="604" t="inlineStr">
        <x:is>
          <x:t xml:space="preserve">威冠北</x:t>
        </x:is>
      </x:c>
      <x:c r="F1509" s="604" t="inlineStr">
        <x:is>
          <x:t xml:space="preserve">巴拉城 vs 巴克利镇</x:t>
        </x:is>
      </x:c>
      <x:c r="G1509" s="604" t="n">
        <x:v>0.93</x:v>
      </x:c>
      <x:c r="H1509" s="604" t="n">
        <x:v>1.5</x:v>
      </x:c>
      <x:c r="I1509" s="604" t="n">
        <x:v>0.88</x:v>
      </x:c>
      <x:c r="J1509" s="604" t="inlineStr">
        <x:is>
          <x:t xml:space="preserve">0.93/1.5/0.88</x:t>
        </x:is>
      </x:c>
      <x:c r="K1509" s="604" t="inlineStr">
        <x:is>
          <x:t xml:space="preserve">V4-N</x:t>
        </x:is>
      </x:c>
      <x:c r="L1509" s="604" t="inlineStr">
        <x:is>
          <x:t xml:space="preserve"/>
        </x:is>
      </x:c>
      <x:c r="M1509" s="604" t="n">
        <x:v>0.460592855112509</x:v>
      </x:c>
      <x:c r="N1509" s="604" t="inlineStr">
        <x:is>
          <x:t xml:space="preserve">V4 Shadow Only；real_money=false</x:t>
        </x:is>
      </x:c>
      <x:c r="O1509" s="604" t="inlineStr">
        <x:is>
          <x:t xml:space="preserve">0-0</x:t>
        </x:is>
      </x:c>
      <x:c r="P1509" s="604" t="inlineStr">
        <x:is>
          <x:t xml:space="preserve">EVALUATED</x:t>
        </x:is>
      </x:c>
      <x:c r="Q1509" s="630" t="inlineStr">
        <x:is>
          <x:t xml:space="preserve"/>
        </x:is>
      </x:c>
      <x:c r="R1509" s="604" t="n"/>
      <x:c r="S1509" s="604" t="n"/>
      <x:c r="T1509" s="604" t="inlineStr">
        <x:is>
          <x:t xml:space="preserve">D:\codex\v3_legacy\outputs\football_odds_trader\raw\titan007\20261009\20261009_085232_titan007_odds_snapshot.csv</x:t>
        </x:is>
      </x:c>
      <x:c r="U1509" s="628" t="inlineStr">
        <x:is>
          <x:t xml:space="preserve"/>
        </x:is>
      </x:c>
      <x:c r="V1509" s="604" t="inlineStr">
        <x:is>
          <x:t xml:space="preserve"/>
        </x:is>
      </x:c>
      <x:c r="W1509" s="604" t="inlineStr">
        <x:is>
          <x:t xml:space="preserve"/>
        </x:is>
      </x:c>
      <x:c r="X1509" s="604" t="inlineStr">
        <x:is>
          <x:t xml:space="preserve">3021191</x:t>
        </x:is>
      </x:c>
      <x:c r="Y1509" s="604" t="inlineStr">
        <x:is>
          <x:t xml:space="preserve">V4</x:t>
        </x:is>
      </x:c>
      <x:c r="Z1509" s="604" t="inlineStr">
        <x:is>
          <x:t xml:space="preserve">prior-2026-10-09-v1</x:t>
        </x:is>
      </x:c>
      <x:c r="AA1509" s="604" t="inlineStr">
        <x:is>
          <x:t xml:space="preserve">N</x:t>
        </x:is>
      </x:c>
      <x:c r="AB1509" s="604" t="n">
        <x:v>0.460592855112509</x:v>
      </x:c>
      <x:c r="AC1509" s="604" t="n">
        <x:v>0.5394071448874911</x:v>
      </x:c>
      <x:c r="AD1509" s="604" t="n">
        <x:v>1.5</x:v>
      </x:c>
      <x:c r="AE1509" s="604" t="n"/>
      <x:c r="AF1509" s="604" t="n"/>
      <x:c r="AG1509" s="604" t="n">
        <x:v>0.0140854323884832</x:v>
      </x:c>
      <x:c r="AH1509" s="604" t="n"/>
      <x:c r="AI1509" s="604" t="n"/>
      <x:c r="AJ1509" s="604" t="n">
        <x:v>0.0140854323884832</x:v>
      </x:c>
      <x:c r="AK1509" s="604" t="n"/>
      <x:c r="AL1509" s="604" t="n"/>
      <x:c r="AM1509" s="604" t="n"/>
      <x:c r="AN1509" s="604" t="inlineStr">
        <x:is>
          <x:t xml:space="preserve">EVALUATED</x:t>
        </x:is>
      </x:c>
      <x:c r="AO1509" s="604" t="inlineStr">
        <x:is>
          <x:t xml:space="preserve">EDGE_BELOW_UNCERTAINTY_THRESHOLD;BUCKET_PRIOR_ONLY;INTENT_INTERPRETATION_ONLY;FFL_OPTIONAL;EXPERT_MARKET</x:t>
        </x:is>
      </x:c>
      <x:c r="AP1509" s="604" t="inlineStr">
        <x:is>
          <x:t xml:space="preserve">70d1908b0aee301d9c3f</x:t>
        </x:is>
      </x:c>
      <x:c r="AQ1509" s="604" t="n"/>
      <x:c r="AR1509" s="604" t="n"/>
      <x:c r="AS1509" s="604" t="n">
        <x:v>1.5</x:v>
      </x:c>
      <x:c r="AT1509" s="604" t="n">
        <x:v>-1.5</x:v>
      </x:c>
      <x:c r="AU1509" s="604" t="n">
        <x:v>0.93</x:v>
      </x:c>
      <x:c r="AV1509" s="604" t="n">
        <x:v>0.88</x:v>
      </x:c>
      <x:c r="AW1509" s="604" t="inlineStr">
        <x:is>
          <x:t xml:space="preserve">2026-10-09T09:01:21.127001+08:00</x:t>
        </x:is>
      </x:c>
      <x:c r="AX1509" s="604" t="inlineStr">
        <x:is>
          <x:t xml:space="preserve">Titan007/V4</x:t>
        </x:is>
      </x:c>
      <x:c r="AY1509" s="604" t="inlineStr">
        <x:is>
          <x:t xml:space="preserve">Daily append；市场输入缺失时不生成决策</x:t>
        </x:is>
      </x:c>
    </x:row>
    <x:row r="1510" ht="22" customHeight="1">
      <x:c r="A1510" s="604" t="inlineStr">
        <x:is>
          <x:t xml:space="preserve">2026-10-09</x:t>
        </x:is>
      </x:c>
      <x:c r="B1510" s="604" t="inlineStr">
        <x:is>
          <x:t xml:space="preserve">2026-10-10T02:45:00+08:00</x:t>
        </x:is>
      </x:c>
      <x:c r="C1510" s="604" t="str">
        <x:v>欧洲非五大系列</x:v>
      </x:c>
      <x:c r="D1510" s="604" t="inlineStr">
        <x:is>
          <x:t xml:space="preserve"/>
        </x:is>
      </x:c>
      <x:c r="E1510" s="604" t="inlineStr">
        <x:is>
          <x:t xml:space="preserve">威冠北</x:t>
        </x:is>
      </x:c>
      <x:c r="F1510" s="604" t="inlineStr">
        <x:is>
          <x:t xml:space="preserve">拉辛城 vs 莱尔</x:t>
        </x:is>
      </x:c>
      <x:c r="G1510" s="604" t="n">
        <x:v>0.83</x:v>
      </x:c>
      <x:c r="H1510" s="604" t="n">
        <x:v>-0.5</x:v>
      </x:c>
      <x:c r="I1510" s="604" t="n">
        <x:v>0.98</x:v>
      </x:c>
      <x:c r="J1510" s="604" t="inlineStr">
        <x:is>
          <x:t xml:space="preserve">0.83/-0.5/0.98</x:t>
        </x:is>
      </x:c>
      <x:c r="K1510" s="604" t="inlineStr">
        <x:is>
          <x:t xml:space="preserve">V4-N</x:t>
        </x:is>
      </x:c>
      <x:c r="L1510" s="604" t="inlineStr">
        <x:is>
          <x:t xml:space="preserve"/>
        </x:is>
      </x:c>
      <x:c r="M1510" s="604" t="n">
        <x:v>0.2598725472653335</x:v>
      </x:c>
      <x:c r="N1510" s="604" t="inlineStr">
        <x:is>
          <x:t xml:space="preserve">V4 Shadow Only；real_money=false</x:t>
        </x:is>
      </x:c>
      <x:c r="O1510" s="604" t="inlineStr">
        <x:is>
          <x:t xml:space="preserve">0-0</x:t>
        </x:is>
      </x:c>
      <x:c r="P1510" s="604" t="inlineStr">
        <x:is>
          <x:t xml:space="preserve">EVALUATED</x:t>
        </x:is>
      </x:c>
      <x:c r="Q1510" s="630" t="inlineStr">
        <x:is>
          <x:t xml:space="preserve"/>
        </x:is>
      </x:c>
      <x:c r="R1510" s="604" t="n"/>
      <x:c r="S1510" s="604" t="n"/>
      <x:c r="T1510" s="604" t="inlineStr">
        <x:is>
          <x:t xml:space="preserve">D:\codex\v3_legacy\outputs\football_odds_trader\raw\titan007\20261009\20261009_085232_titan007_odds_snapshot.csv</x:t>
        </x:is>
      </x:c>
      <x:c r="U1510" s="628" t="inlineStr">
        <x:is>
          <x:t xml:space="preserve"/>
        </x:is>
      </x:c>
      <x:c r="V1510" s="604" t="inlineStr">
        <x:is>
          <x:t xml:space="preserve"/>
        </x:is>
      </x:c>
      <x:c r="W1510" s="604" t="inlineStr">
        <x:is>
          <x:t xml:space="preserve"/>
        </x:is>
      </x:c>
      <x:c r="X1510" s="604" t="inlineStr">
        <x:is>
          <x:t xml:space="preserve">3021192</x:t>
        </x:is>
      </x:c>
      <x:c r="Y1510" s="604" t="inlineStr">
        <x:is>
          <x:t xml:space="preserve">V4</x:t>
        </x:is>
      </x:c>
      <x:c r="Z1510" s="604" t="inlineStr">
        <x:is>
          <x:t xml:space="preserve">prior-2026-10-09-v1</x:t>
        </x:is>
      </x:c>
      <x:c r="AA1510" s="604" t="inlineStr">
        <x:is>
          <x:t xml:space="preserve">N</x:t>
        </x:is>
      </x:c>
      <x:c r="AB1510" s="604" t="n">
        <x:v>0.2598725472653335</x:v>
      </x:c>
      <x:c r="AC1510" s="604" t="n">
        <x:v>0.7401274527346665</x:v>
      </x:c>
      <x:c r="AD1510" s="604" t="n">
        <x:v>-0.5</x:v>
      </x:c>
      <x:c r="AE1510" s="604" t="n"/>
      <x:c r="AF1510" s="604" t="n"/>
      <x:c r="AG1510" s="604" t="n">
        <x:v>0.3544332385044396</x:v>
      </x:c>
      <x:c r="AH1510" s="604" t="n"/>
      <x:c r="AI1510" s="604" t="n"/>
      <x:c r="AJ1510" s="604" t="n">
        <x:v>0.3544332385044396</x:v>
      </x:c>
      <x:c r="AK1510" s="604" t="n"/>
      <x:c r="AL1510" s="604" t="n"/>
      <x:c r="AM1510" s="604" t="n"/>
      <x:c r="AN1510" s="604" t="inlineStr">
        <x:is>
          <x:t xml:space="preserve">EVALUATED</x:t>
        </x:is>
      </x:c>
      <x:c r="AO1510" s="604" t="inlineStr">
        <x:is>
          <x:t xml:space="preserve">LOW_QUALITY_GATE;BUCKET_PRIOR_ONLY;INTENT_INTERPRETATION_ONLY;FFL_OPTIONAL;EXPERT_MARKET</x:t>
        </x:is>
      </x:c>
      <x:c r="AP1510" s="604" t="inlineStr">
        <x:is>
          <x:t xml:space="preserve">c207927334f6a9780e13</x:t>
        </x:is>
      </x:c>
      <x:c r="AQ1510" s="604" t="n"/>
      <x:c r="AR1510" s="604" t="n"/>
      <x:c r="AS1510" s="604" t="n">
        <x:v>-0.5</x:v>
      </x:c>
      <x:c r="AT1510" s="604" t="n">
        <x:v>0.5</x:v>
      </x:c>
      <x:c r="AU1510" s="604" t="n">
        <x:v>0.83</x:v>
      </x:c>
      <x:c r="AV1510" s="604" t="n">
        <x:v>0.98</x:v>
      </x:c>
      <x:c r="AW1510" s="604" t="inlineStr">
        <x:is>
          <x:t xml:space="preserve">2026-10-09T09:01:21.127001+08:00</x:t>
        </x:is>
      </x:c>
      <x:c r="AX1510" s="604" t="inlineStr">
        <x:is>
          <x:t xml:space="preserve">Titan007/V4</x:t>
        </x:is>
      </x:c>
      <x:c r="AY1510" s="604" t="inlineStr">
        <x:is>
          <x:t xml:space="preserve">Daily append；市场输入缺失时不生成决策</x:t>
        </x:is>
      </x:c>
    </x:row>
    <x:row r="1511" ht="22" customHeight="1">
      <x:c r="A1511" s="604" t="inlineStr">
        <x:is>
          <x:t xml:space="preserve">2026-10-09</x:t>
        </x:is>
      </x:c>
      <x:c r="B1511" s="604" t="inlineStr">
        <x:is>
          <x:t xml:space="preserve">2026-10-10T02:30:00+08:00</x:t>
        </x:is>
      </x:c>
      <x:c r="C1511" s="604" t="str">
        <x:v>欧洲非五大系列</x:v>
      </x:c>
      <x:c r="D1511" s="604" t="inlineStr">
        <x:is>
          <x:t xml:space="preserve"/>
        </x:is>
      </x:c>
      <x:c r="E1511" s="604" t="inlineStr">
        <x:is>
          <x:t xml:space="preserve">威冠南</x:t>
        </x:is>
      </x:c>
      <x:c r="F1511" s="604" t="inlineStr">
        <x:is>
          <x:t xml:space="preserve">亚分利多 vs 斯旺西大学</x:t>
        </x:is>
      </x:c>
      <x:c r="G1511" s="604" t="n">
        <x:v>0.8</x:v>
      </x:c>
      <x:c r="H1511" s="604" t="n">
        <x:v>-1.25</x:v>
      </x:c>
      <x:c r="I1511" s="604" t="n">
        <x:v>1</x:v>
      </x:c>
      <x:c r="J1511" s="604" t="inlineStr">
        <x:is>
          <x:t xml:space="preserve">0.8/-1.25/1.0</x:t>
        </x:is>
      </x:c>
      <x:c r="K1511" s="604" t="inlineStr">
        <x:is>
          <x:t xml:space="preserve">V4-N</x:t>
        </x:is>
      </x:c>
      <x:c r="L1511" s="604" t="inlineStr">
        <x:is>
          <x:t xml:space="preserve"/>
        </x:is>
      </x:c>
      <x:c r="M1511" s="604" t="n">
        <x:v>0.03589559561821912</x:v>
      </x:c>
      <x:c r="N1511" s="604" t="inlineStr">
        <x:is>
          <x:t xml:space="preserve">V4 Shadow Only；real_money=false</x:t>
        </x:is>
      </x:c>
      <x:c r="O1511" s="604" t="inlineStr">
        <x:is>
          <x:t xml:space="preserve">0-0</x:t>
        </x:is>
      </x:c>
      <x:c r="P1511" s="604" t="inlineStr">
        <x:is>
          <x:t xml:space="preserve">EVALUATED</x:t>
        </x:is>
      </x:c>
      <x:c r="Q1511" s="630" t="inlineStr">
        <x:is>
          <x:t xml:space="preserve"/>
        </x:is>
      </x:c>
      <x:c r="R1511" s="604" t="n"/>
      <x:c r="S1511" s="604" t="n"/>
      <x:c r="T1511" s="604" t="inlineStr">
        <x:is>
          <x:t xml:space="preserve">D:\codex\v3_legacy\outputs\football_odds_trader\raw\titan007\20261009\20261009_085232_titan007_odds_snapshot.csv</x:t>
        </x:is>
      </x:c>
      <x:c r="U1511" s="628" t="inlineStr">
        <x:is>
          <x:t xml:space="preserve"/>
        </x:is>
      </x:c>
      <x:c r="V1511" s="604" t="inlineStr">
        <x:is>
          <x:t xml:space="preserve"/>
        </x:is>
      </x:c>
      <x:c r="W1511" s="604" t="inlineStr">
        <x:is>
          <x:t xml:space="preserve"/>
        </x:is>
      </x:c>
      <x:c r="X1511" s="604" t="inlineStr">
        <x:is>
          <x:t xml:space="preserve">3021431</x:t>
        </x:is>
      </x:c>
      <x:c r="Y1511" s="604" t="inlineStr">
        <x:is>
          <x:t xml:space="preserve">V4</x:t>
        </x:is>
      </x:c>
      <x:c r="Z1511" s="604" t="inlineStr">
        <x:is>
          <x:t xml:space="preserve">prior-2026-10-09-v1</x:t>
        </x:is>
      </x:c>
      <x:c r="AA1511" s="604" t="inlineStr">
        <x:is>
          <x:t xml:space="preserve">N</x:t>
        </x:is>
      </x:c>
      <x:c r="AB1511" s="604" t="n">
        <x:v>0.03589559561821912</x:v>
      </x:c>
      <x:c r="AC1511" s="604" t="n">
        <x:v>0.9165497218371944</x:v>
      </x:c>
      <x:c r="AD1511" s="604" t="n">
        <x:v>-1.25</x:v>
      </x:c>
      <x:c r="AE1511" s="604" t="n"/>
      <x:c r="AF1511" s="604" t="n"/>
      <x:c r="AG1511" s="604" t="n">
        <x:v>0.6973441818515365</x:v>
      </x:c>
      <x:c r="AH1511" s="604" t="n"/>
      <x:c r="AI1511" s="604" t="n"/>
      <x:c r="AJ1511" s="604" t="n">
        <x:v>0.6973441818515365</x:v>
      </x:c>
      <x:c r="AK1511" s="604" t="n"/>
      <x:c r="AL1511" s="604" t="n"/>
      <x:c r="AM1511" s="604" t="n"/>
      <x:c r="AN1511" s="604" t="inlineStr">
        <x:is>
          <x:t xml:space="preserve">EVALUATED</x:t>
        </x:is>
      </x:c>
      <x:c r="AO1511" s="604" t="inlineStr">
        <x:is>
          <x:t xml:space="preserve">LOW_QUALITY_GATE;BUCKET_PRIOR_ONLY;INTENT_INTERPRETATION_ONLY;FFL_OPTIONAL;EXPERT_MARKET</x:t>
        </x:is>
      </x:c>
      <x:c r="AP1511" s="604" t="inlineStr">
        <x:is>
          <x:t xml:space="preserve">1afd234fcada167e272c</x:t>
        </x:is>
      </x:c>
      <x:c r="AQ1511" s="604" t="n"/>
      <x:c r="AR1511" s="604" t="n"/>
      <x:c r="AS1511" s="604" t="n">
        <x:v>-1.25</x:v>
      </x:c>
      <x:c r="AT1511" s="604" t="n">
        <x:v>1.25</x:v>
      </x:c>
      <x:c r="AU1511" s="604" t="n">
        <x:v>0.8</x:v>
      </x:c>
      <x:c r="AV1511" s="604" t="n">
        <x:v>1</x:v>
      </x:c>
      <x:c r="AW1511" s="604" t="inlineStr">
        <x:is>
          <x:t xml:space="preserve">2026-10-09T09:01:21.127001+08:00</x:t>
        </x:is>
      </x:c>
      <x:c r="AX1511" s="604" t="inlineStr">
        <x:is>
          <x:t xml:space="preserve">Titan007/V4</x:t>
        </x:is>
      </x:c>
      <x:c r="AY1511" s="604" t="inlineStr">
        <x:is>
          <x:t xml:space="preserve">Daily append；市场输入缺失时不生成决策</x:t>
        </x:is>
      </x:c>
    </x:row>
    <x:row r="1512" ht="22" customHeight="1">
      <x:c r="A1512" s="604" t="inlineStr">
        <x:is>
          <x:t xml:space="preserve">2026-10-09</x:t>
        </x:is>
      </x:c>
      <x:c r="B1512" s="604" t="inlineStr">
        <x:is>
          <x:t xml:space="preserve">2026-10-10T02:45:00+08:00</x:t>
        </x:is>
      </x:c>
      <x:c r="C1512" s="604" t="str">
        <x:v>欧洲非五大系列</x:v>
      </x:c>
      <x:c r="D1512" s="604" t="inlineStr">
        <x:is>
          <x:t xml:space="preserve"/>
        </x:is>
      </x:c>
      <x:c r="E1512" s="604" t="inlineStr">
        <x:is>
          <x:t xml:space="preserve">威冠南</x:t>
        </x:is>
      </x:c>
      <x:c r="F1512" s="604" t="inlineStr">
        <x:is>
          <x:t xml:space="preserve">卡菲利体育 vs 纽波特城</x:t>
        </x:is>
      </x:c>
      <x:c r="G1512" s="604" t="n">
        <x:v>0.8</x:v>
      </x:c>
      <x:c r="H1512" s="604" t="n">
        <x:v>-0.25</x:v>
      </x:c>
      <x:c r="I1512" s="604" t="n">
        <x:v>1</x:v>
      </x:c>
      <x:c r="J1512" s="604" t="inlineStr">
        <x:is>
          <x:t xml:space="preserve">0.8/-0.25/1.0</x:t>
        </x:is>
      </x:c>
      <x:c r="K1512" s="604" t="inlineStr">
        <x:is>
          <x:t xml:space="preserve">V4-N</x:t>
        </x:is>
      </x:c>
      <x:c r="L1512" s="604" t="inlineStr">
        <x:is>
          <x:t xml:space="preserve"/>
        </x:is>
      </x:c>
      <x:c r="M1512" s="604" t="n">
        <x:v>0.2840935126965869</x:v>
      </x:c>
      <x:c r="N1512" s="604" t="inlineStr">
        <x:is>
          <x:t xml:space="preserve">V4 Shadow Only；real_money=false</x:t>
        </x:is>
      </x:c>
      <x:c r="O1512" s="604" t="inlineStr">
        <x:is>
          <x:t xml:space="preserve">0-0</x:t>
        </x:is>
      </x:c>
      <x:c r="P1512" s="604" t="inlineStr">
        <x:is>
          <x:t xml:space="preserve">EVALUATED</x:t>
        </x:is>
      </x:c>
      <x:c r="Q1512" s="630" t="inlineStr">
        <x:is>
          <x:t xml:space="preserve"/>
        </x:is>
      </x:c>
      <x:c r="R1512" s="604" t="n"/>
      <x:c r="S1512" s="604" t="n"/>
      <x:c r="T1512" s="604" t="inlineStr">
        <x:is>
          <x:t xml:space="preserve">D:\codex\v3_legacy\outputs\football_odds_trader\raw\titan007\20261009\20261009_085232_titan007_odds_snapshot.csv</x:t>
        </x:is>
      </x:c>
      <x:c r="U1512" s="628" t="inlineStr">
        <x:is>
          <x:t xml:space="preserve"/>
        </x:is>
      </x:c>
      <x:c r="V1512" s="604" t="inlineStr">
        <x:is>
          <x:t xml:space="preserve"/>
        </x:is>
      </x:c>
      <x:c r="W1512" s="604" t="inlineStr">
        <x:is>
          <x:t xml:space="preserve"/>
        </x:is>
      </x:c>
      <x:c r="X1512" s="604" t="inlineStr">
        <x:is>
          <x:t xml:space="preserve">3021432</x:t>
        </x:is>
      </x:c>
      <x:c r="Y1512" s="604" t="inlineStr">
        <x:is>
          <x:t xml:space="preserve">V4</x:t>
        </x:is>
      </x:c>
      <x:c r="Z1512" s="604" t="inlineStr">
        <x:is>
          <x:t xml:space="preserve">prior-2026-10-09-v1</x:t>
        </x:is>
      </x:c>
      <x:c r="AA1512" s="604" t="inlineStr">
        <x:is>
          <x:t xml:space="preserve">N</x:t>
        </x:is>
      </x:c>
      <x:c r="AB1512" s="604" t="n">
        <x:v>0.2840935126965869</x:v>
      </x:c>
      <x:c r="AC1512" s="604" t="n">
        <x:v>0.5870904664702682</x:v>
      </x:c>
      <x:c r="AD1512" s="604" t="n">
        <x:v>-0.25</x:v>
      </x:c>
      <x:c r="AE1512" s="604" t="n"/>
      <x:c r="AF1512" s="604" t="n"/>
      <x:c r="AG1512" s="604" t="n">
        <x:v>0.1855788604796277</x:v>
      </x:c>
      <x:c r="AH1512" s="604" t="n"/>
      <x:c r="AI1512" s="604" t="n"/>
      <x:c r="AJ1512" s="604" t="n">
        <x:v>0.1855788604796277</x:v>
      </x:c>
      <x:c r="AK1512" s="604" t="n"/>
      <x:c r="AL1512" s="604" t="n"/>
      <x:c r="AM1512" s="604" t="n"/>
      <x:c r="AN1512" s="604" t="inlineStr">
        <x:is>
          <x:t xml:space="preserve">EVALUATED</x:t>
        </x:is>
      </x:c>
      <x:c r="AO1512" s="604" t="inlineStr">
        <x:is>
          <x:t xml:space="preserve">LOW_QUALITY_GATE;BUCKET_PRIOR_ONLY;INTENT_INTERPRETATION_ONLY;FFL_OPTIONAL;EXPERT_MARKET</x:t>
        </x:is>
      </x:c>
      <x:c r="AP1512" s="604" t="inlineStr">
        <x:is>
          <x:t xml:space="preserve">6b2165c5798a93cc9a6e</x:t>
        </x:is>
      </x:c>
      <x:c r="AQ1512" s="604" t="n"/>
      <x:c r="AR1512" s="604" t="n"/>
      <x:c r="AS1512" s="604" t="n">
        <x:v>-0.25</x:v>
      </x:c>
      <x:c r="AT1512" s="604" t="n">
        <x:v>0.25</x:v>
      </x:c>
      <x:c r="AU1512" s="604" t="n">
        <x:v>0.8</x:v>
      </x:c>
      <x:c r="AV1512" s="604" t="n">
        <x:v>1</x:v>
      </x:c>
      <x:c r="AW1512" s="604" t="inlineStr">
        <x:is>
          <x:t xml:space="preserve">2026-10-09T09:01:21.127001+08:00</x:t>
        </x:is>
      </x:c>
      <x:c r="AX1512" s="604" t="inlineStr">
        <x:is>
          <x:t xml:space="preserve">Titan007/V4</x:t>
        </x:is>
      </x:c>
      <x:c r="AY1512" s="604" t="inlineStr">
        <x:is>
          <x:t xml:space="preserve">Daily append；市场输入缺失时不生成决策</x:t>
        </x:is>
      </x:c>
    </x:row>
    <x:row r="1513" ht="22" customHeight="1">
      <x:c r="A1513" s="604" t="inlineStr">
        <x:is>
          <x:t xml:space="preserve">2026-10-09</x:t>
        </x:is>
      </x:c>
      <x:c r="B1513" s="604" t="inlineStr">
        <x:is>
          <x:t xml:space="preserve">2026-10-10T02:00:00+08:00</x:t>
        </x:is>
      </x:c>
      <x:c r="C1513" s="604" t="str">
        <x:v>欧洲非五大系列</x:v>
      </x:c>
      <x:c r="D1513" s="604" t="inlineStr">
        <x:is>
          <x:t xml:space="preserve"/>
        </x:is>
      </x:c>
      <x:c r="E1513" s="604" t="inlineStr">
        <x:is>
          <x:t xml:space="preserve">马耳甲</x:t>
        </x:is>
      </x:c>
      <x:c r="F1513" s="604" t="inlineStr">
        <x:is>
          <x:t xml:space="preserve">莫斯塔FC vs 比尔泽布瓜</x:t>
        </x:is>
      </x:c>
      <x:c r="G1513" s="604" t="n">
        <x:v>0.9</x:v>
      </x:c>
      <x:c r="H1513" s="604" t="n">
        <x:v>0</x:v>
      </x:c>
      <x:c r="I1513" s="604" t="n">
        <x:v>0.9</x:v>
      </x:c>
      <x:c r="J1513" s="604" t="inlineStr">
        <x:is>
          <x:t xml:space="preserve">0.9/0.0/0.9</x:t>
        </x:is>
      </x:c>
      <x:c r="K1513" s="604" t="inlineStr">
        <x:is>
          <x:t xml:space="preserve">V4-N</x:t>
        </x:is>
      </x:c>
      <x:c r="L1513" s="604" t="inlineStr">
        <x:is>
          <x:t xml:space="preserve"/>
        </x:is>
      </x:c>
      <x:c r="M1513" s="604" t="n"/>
      <x:c r="N1513" s="604" t="inlineStr">
        <x:is>
          <x:t xml:space="preserve">V4 Shadow Only；real_money=false</x:t>
        </x:is>
      </x:c>
      <x:c r="O1513" s="604" t="inlineStr">
        <x:is>
          <x:t xml:space="preserve">0-0</x:t>
        </x:is>
      </x:c>
      <x:c r="P1513" s="604" t="inlineStr">
        <x:is>
          <x:t xml:space="preserve">NEUTRAL</x:t>
        </x:is>
      </x:c>
      <x:c r="Q1513" s="630" t="inlineStr">
        <x:is>
          <x:t xml:space="preserve"/>
        </x:is>
      </x:c>
      <x:c r="R1513" s="604" t="n"/>
      <x:c r="S1513" s="604" t="n"/>
      <x:c r="T1513" s="604" t="inlineStr">
        <x:is>
          <x:t xml:space="preserve">D:\codex\v3_legacy\outputs\football_odds_trader\raw\titan007\20261009\20261009_085232_titan007_odds_snapshot.csv</x:t>
        </x:is>
      </x:c>
      <x:c r="U1513" s="628" t="inlineStr">
        <x:is>
          <x:t xml:space="preserve"/>
        </x:is>
      </x:c>
      <x:c r="V1513" s="604" t="inlineStr">
        <x:is>
          <x:t xml:space="preserve"/>
        </x:is>
      </x:c>
      <x:c r="W1513" s="604" t="inlineStr">
        <x:is>
          <x:t xml:space="preserve"/>
        </x:is>
      </x:c>
      <x:c r="X1513" s="604" t="inlineStr">
        <x:is>
          <x:t xml:space="preserve">3021633</x:t>
        </x:is>
      </x:c>
      <x:c r="Y1513" s="604" t="inlineStr">
        <x:is>
          <x:t xml:space="preserve">V4</x:t>
        </x:is>
      </x:c>
      <x:c r="Z1513" s="604" t="inlineStr">
        <x:is>
          <x:t xml:space="preserve">prior-2026-10-09-v1</x:t>
        </x:is>
      </x:c>
      <x:c r="AA1513" s="604" t="inlineStr">
        <x:is>
          <x:t xml:space="preserve">N</x:t>
        </x:is>
      </x:c>
      <x:c r="AB1513" s="604" t="n"/>
      <x:c r="AC1513" s="604" t="n"/>
      <x:c r="AD1513" s="604" t="n"/>
      <x:c r="AE1513" s="604" t="n"/>
      <x:c r="AF1513" s="604" t="n"/>
      <x:c r="AG1513" s="604" t="n"/>
      <x:c r="AH1513" s="604" t="n"/>
      <x:c r="AI1513" s="604" t="n"/>
      <x:c r="AJ1513" s="604" t="n"/>
      <x:c r="AK1513" s="604" t="n"/>
      <x:c r="AL1513" s="604" t="n"/>
      <x:c r="AM1513" s="604" t="n"/>
      <x:c r="AN1513" s="604" t="inlineStr">
        <x:is>
          <x:t xml:space="preserve">NEUTRAL</x:t>
        </x:is>
      </x:c>
      <x:c r="AO1513" s="604" t="inlineStr">
        <x:is>
          <x:t xml:space="preserve">PK_NO_GIVING_RECEIVING_IDENTITY</x:t>
        </x:is>
      </x:c>
      <x:c r="AP1513" s="604" t="inlineStr">
        <x:is>
          <x:t xml:space="preserve">7a7cbd9c992774e1aa97</x:t>
        </x:is>
      </x:c>
      <x:c r="AQ1513" s="604" t="n"/>
      <x:c r="AR1513" s="604" t="n"/>
      <x:c r="AS1513" s="604" t="n"/>
      <x:c r="AT1513" s="604" t="n"/>
      <x:c r="AU1513" s="604" t="n"/>
      <x:c r="AV1513" s="604" t="n"/>
      <x:c r="AW1513" s="604" t="inlineStr">
        <x:is>
          <x:t xml:space="preserve">2026-10-09T09:01:21.127001+08:00</x:t>
        </x:is>
      </x:c>
      <x:c r="AX1513" s="604" t="inlineStr">
        <x:is>
          <x:t xml:space="preserve">Titan007/V4</x:t>
        </x:is>
      </x:c>
      <x:c r="AY1513" s="604" t="inlineStr">
        <x:is>
          <x:t xml:space="preserve">Daily append；市场输入缺失时不生成决策</x:t>
        </x:is>
      </x:c>
    </x:row>
    <x:row r="1514" ht="22" customHeight="1">
      <x:c r="A1514" s="604" t="inlineStr">
        <x:is>
          <x:t xml:space="preserve">2026-10-09</x:t>
        </x:is>
      </x:c>
      <x:c r="B1514" s="604" t="inlineStr">
        <x:is>
          <x:t xml:space="preserve">2026-10-10T00:30:00+08:00</x:t>
        </x:is>
      </x:c>
      <x:c r="C1514" s="604" t="str">
        <x:v>欧洲非五大系列</x:v>
      </x:c>
      <x:c r="D1514" s="604" t="inlineStr">
        <x:is>
          <x:t xml:space="preserve"/>
        </x:is>
      </x:c>
      <x:c r="E1514" s="604" t="inlineStr">
        <x:is>
          <x:t xml:space="preserve">俄甲</x:t>
        </x:is>
      </x:c>
      <x:c r="F1514" s="604" t="inlineStr">
        <x:is>
          <x:t xml:space="preserve">图拉兵工厂 vs 科斯特罗马斯巴达</x:t>
        </x:is>
      </x:c>
      <x:c r="G1514" s="604" t="n">
        <x:v>0.72</x:v>
      </x:c>
      <x:c r="H1514" s="604" t="n">
        <x:v>0</x:v>
      </x:c>
      <x:c r="I1514" s="604" t="n">
        <x:v>1.04</x:v>
      </x:c>
      <x:c r="J1514" s="604" t="inlineStr">
        <x:is>
          <x:t xml:space="preserve">0.72/0.0/1.04</x:t>
        </x:is>
      </x:c>
      <x:c r="K1514" s="604" t="inlineStr">
        <x:is>
          <x:t xml:space="preserve">V4-N</x:t>
        </x:is>
      </x:c>
      <x:c r="L1514" s="604" t="inlineStr">
        <x:is>
          <x:t xml:space="preserve"/>
        </x:is>
      </x:c>
      <x:c r="M1514" s="604" t="n"/>
      <x:c r="N1514" s="604" t="inlineStr">
        <x:is>
          <x:t xml:space="preserve">V4 Shadow Only；real_money=false</x:t>
        </x:is>
      </x:c>
      <x:c r="O1514" s="604" t="inlineStr">
        <x:is>
          <x:t xml:space="preserve">0-0</x:t>
        </x:is>
      </x:c>
      <x:c r="P1514" s="604" t="inlineStr">
        <x:is>
          <x:t xml:space="preserve">NEUTRAL</x:t>
        </x:is>
      </x:c>
      <x:c r="Q1514" s="630" t="inlineStr">
        <x:is>
          <x:t xml:space="preserve"/>
        </x:is>
      </x:c>
      <x:c r="R1514" s="604" t="n"/>
      <x:c r="S1514" s="604" t="n"/>
      <x:c r="T1514" s="604" t="inlineStr">
        <x:is>
          <x:t xml:space="preserve">D:\codex\v3_legacy\outputs\football_odds_trader\raw\titan007\20261009\20261009_085232_titan007_odds_snapshot.csv</x:t>
        </x:is>
      </x:c>
      <x:c r="U1514" s="628" t="inlineStr">
        <x:is>
          <x:t xml:space="preserve"/>
        </x:is>
      </x:c>
      <x:c r="V1514" s="604" t="inlineStr">
        <x:is>
          <x:t xml:space="preserve"/>
        </x:is>
      </x:c>
      <x:c r="W1514" s="604" t="inlineStr">
        <x:is>
          <x:t xml:space="preserve"/>
        </x:is>
      </x:c>
      <x:c r="X1514" s="604" t="inlineStr">
        <x:is>
          <x:t xml:space="preserve">3021997</x:t>
        </x:is>
      </x:c>
      <x:c r="Y1514" s="604" t="inlineStr">
        <x:is>
          <x:t xml:space="preserve">V4</x:t>
        </x:is>
      </x:c>
      <x:c r="Z1514" s="604" t="inlineStr">
        <x:is>
          <x:t xml:space="preserve">prior-2026-10-09-v1</x:t>
        </x:is>
      </x:c>
      <x:c r="AA1514" s="604" t="inlineStr">
        <x:is>
          <x:t xml:space="preserve">N</x:t>
        </x:is>
      </x:c>
      <x:c r="AB1514" s="604" t="n"/>
      <x:c r="AC1514" s="604" t="n"/>
      <x:c r="AD1514" s="604" t="n"/>
      <x:c r="AE1514" s="604" t="n"/>
      <x:c r="AF1514" s="604" t="n"/>
      <x:c r="AG1514" s="604" t="n"/>
      <x:c r="AH1514" s="604" t="n"/>
      <x:c r="AI1514" s="604" t="n"/>
      <x:c r="AJ1514" s="604" t="n"/>
      <x:c r="AK1514" s="604" t="n"/>
      <x:c r="AL1514" s="604" t="n"/>
      <x:c r="AM1514" s="604" t="n"/>
      <x:c r="AN1514" s="604" t="inlineStr">
        <x:is>
          <x:t xml:space="preserve">NEUTRAL</x:t>
        </x:is>
      </x:c>
      <x:c r="AO1514" s="604" t="inlineStr">
        <x:is>
          <x:t xml:space="preserve">PK_NO_GIVING_RECEIVING_IDENTITY</x:t>
        </x:is>
      </x:c>
      <x:c r="AP1514" s="604" t="inlineStr">
        <x:is>
          <x:t xml:space="preserve">f914e2a71a9e3515f0dd</x:t>
        </x:is>
      </x:c>
      <x:c r="AQ1514" s="604" t="n"/>
      <x:c r="AR1514" s="604" t="n"/>
      <x:c r="AS1514" s="604" t="n"/>
      <x:c r="AT1514" s="604" t="n"/>
      <x:c r="AU1514" s="604" t="n"/>
      <x:c r="AV1514" s="604" t="n"/>
      <x:c r="AW1514" s="604" t="inlineStr">
        <x:is>
          <x:t xml:space="preserve">2026-10-09T09:01:21.127001+08:00</x:t>
        </x:is>
      </x:c>
      <x:c r="AX1514" s="604" t="inlineStr">
        <x:is>
          <x:t xml:space="preserve">Titan007/V4</x:t>
        </x:is>
      </x:c>
      <x:c r="AY1514" s="604" t="inlineStr">
        <x:is>
          <x:t xml:space="preserve">Daily append；市场输入缺失时不生成决策</x:t>
        </x:is>
      </x:c>
    </x:row>
    <x:row r="1515" ht="22" customHeight="1">
      <x:c r="A1515" s="604" t="inlineStr">
        <x:is>
          <x:t xml:space="preserve">2026-10-09</x:t>
        </x:is>
      </x:c>
      <x:c r="B1515" s="604" t="inlineStr">
        <x:is>
          <x:t xml:space="preserve">2026-10-09T22:00:00+08:00</x:t>
        </x:is>
      </x:c>
      <x:c r="C1515" s="604" t="str">
        <x:v>欧洲非五大系列</x:v>
      </x:c>
      <x:c r="D1515" s="604" t="inlineStr">
        <x:is>
          <x:t xml:space="preserve"/>
        </x:is>
      </x:c>
      <x:c r="E1515" s="604" t="inlineStr">
        <x:is>
          <x:t xml:space="preserve">俄甲</x:t>
        </x:is>
      </x:c>
      <x:c r="F1515" s="604" t="inlineStr">
        <x:is>
          <x:t xml:space="preserve">下卡姆斯克石油 vs 切里宾斯克</x:t>
        </x:is>
      </x:c>
      <x:c r="G1515" s="604" t="n">
        <x:v>1.05</x:v>
      </x:c>
      <x:c r="H1515" s="604" t="n">
        <x:v>0.25</x:v>
      </x:c>
      <x:c r="I1515" s="604" t="n">
        <x:v>0.71</x:v>
      </x:c>
      <x:c r="J1515" s="604" t="inlineStr">
        <x:is>
          <x:t xml:space="preserve">1.05/0.25/0.71</x:t>
        </x:is>
      </x:c>
      <x:c r="K1515" s="604" t="inlineStr">
        <x:is>
          <x:t xml:space="preserve">V4-N</x:t>
        </x:is>
      </x:c>
      <x:c r="L1515" s="604" t="inlineStr">
        <x:is>
          <x:t xml:space="preserve"/>
        </x:is>
      </x:c>
      <x:c r="M1515" s="604" t="n">
        <x:v>0.4189676529201491</x:v>
      </x:c>
      <x:c r="N1515" s="604" t="inlineStr">
        <x:is>
          <x:t xml:space="preserve">V4 Shadow Only；real_money=false</x:t>
        </x:is>
      </x:c>
      <x:c r="O1515" s="604" t="inlineStr">
        <x:is>
          <x:t xml:space="preserve">0-0</x:t>
        </x:is>
      </x:c>
      <x:c r="P1515" s="604" t="inlineStr">
        <x:is>
          <x:t xml:space="preserve">EVALUATED</x:t>
        </x:is>
      </x:c>
      <x:c r="Q1515" s="630" t="inlineStr">
        <x:is>
          <x:t xml:space="preserve"/>
        </x:is>
      </x:c>
      <x:c r="R1515" s="604" t="n"/>
      <x:c r="S1515" s="604" t="n"/>
      <x:c r="T1515" s="604" t="inlineStr">
        <x:is>
          <x:t xml:space="preserve">D:\codex\v3_legacy\outputs\football_odds_trader\raw\titan007\20261009\20261009_085232_titan007_odds_snapshot.csv</x:t>
        </x:is>
      </x:c>
      <x:c r="U1515" s="628" t="inlineStr">
        <x:is>
          <x:t xml:space="preserve"/>
        </x:is>
      </x:c>
      <x:c r="V1515" s="604" t="inlineStr">
        <x:is>
          <x:t xml:space="preserve"/>
        </x:is>
      </x:c>
      <x:c r="W1515" s="604" t="inlineStr">
        <x:is>
          <x:t xml:space="preserve"/>
        </x:is>
      </x:c>
      <x:c r="X1515" s="604" t="inlineStr">
        <x:is>
          <x:t xml:space="preserve">3021999</x:t>
        </x:is>
      </x:c>
      <x:c r="Y1515" s="604" t="inlineStr">
        <x:is>
          <x:t xml:space="preserve">V4</x:t>
        </x:is>
      </x:c>
      <x:c r="Z1515" s="604" t="inlineStr">
        <x:is>
          <x:t xml:space="preserve">prior-2026-10-09-v1</x:t>
        </x:is>
      </x:c>
      <x:c r="AA1515" s="604" t="inlineStr">
        <x:is>
          <x:t xml:space="preserve">N</x:t>
        </x:is>
      </x:c>
      <x:c r="AB1515" s="604" t="n">
        <x:v>0.4189676529201491</x:v>
      </x:c>
      <x:c r="AC1515" s="604" t="n">
        <x:v>0.4485733914207443</x:v>
      </x:c>
      <x:c r="AD1515" s="604" t="n">
        <x:v>0.25</x:v>
      </x:c>
      <x:c r="AE1515" s="604" t="n"/>
      <x:c r="AF1515" s="604" t="n"/>
      <x:c r="AG1515" s="604" t="n">
        <x:v>-0.008657355854587656</x:v>
      </x:c>
      <x:c r="AH1515" s="604" t="n"/>
      <x:c r="AI1515" s="604" t="n"/>
      <x:c r="AJ1515" s="604" t="n">
        <x:v>-0.008657355854587656</x:v>
      </x:c>
      <x:c r="AK1515" s="604" t="n"/>
      <x:c r="AL1515" s="604" t="n"/>
      <x:c r="AM1515" s="604" t="n"/>
      <x:c r="AN1515" s="604" t="inlineStr">
        <x:is>
          <x:t xml:space="preserve">EVALUATED</x:t>
        </x:is>
      </x:c>
      <x:c r="AO1515" s="604" t="inlineStr">
        <x:is>
          <x:t xml:space="preserve">EDGE_BELOW_UNCERTAINTY_THRESHOLD;BUCKET_PRIOR_ONLY;INTENT_INTERPRETATION_ONLY;FFL_OPTIONAL;EXPERT_MARKET</x:t>
        </x:is>
      </x:c>
      <x:c r="AP1515" s="604" t="inlineStr">
        <x:is>
          <x:t xml:space="preserve">43a6b8668546c537020b</x:t>
        </x:is>
      </x:c>
      <x:c r="AQ1515" s="604" t="n"/>
      <x:c r="AR1515" s="604" t="n"/>
      <x:c r="AS1515" s="604" t="n">
        <x:v>0.25</x:v>
      </x:c>
      <x:c r="AT1515" s="604" t="n">
        <x:v>-0.25</x:v>
      </x:c>
      <x:c r="AU1515" s="604" t="n">
        <x:v>1.05</x:v>
      </x:c>
      <x:c r="AV1515" s="604" t="n">
        <x:v>0.71</x:v>
      </x:c>
      <x:c r="AW1515" s="604" t="inlineStr">
        <x:is>
          <x:t xml:space="preserve">2026-10-09T09:01:21.127001+08:00</x:t>
        </x:is>
      </x:c>
      <x:c r="AX1515" s="604" t="inlineStr">
        <x:is>
          <x:t xml:space="preserve">Titan007/V4</x:t>
        </x:is>
      </x:c>
      <x:c r="AY1515" s="604" t="inlineStr">
        <x:is>
          <x:t xml:space="preserve">Daily append；市场输入缺失时不生成决策</x:t>
        </x:is>
      </x:c>
    </x:row>
    <x:row r="1516" ht="22" customHeight="1">
      <x:c r="A1516" s="604" t="inlineStr">
        <x:is>
          <x:t xml:space="preserve">2026-10-09</x:t>
        </x:is>
      </x:c>
      <x:c r="B1516" s="604" t="inlineStr">
        <x:is>
          <x:t xml:space="preserve">2026-10-10T01:00:00+08:00</x:t>
        </x:is>
      </x:c>
      <x:c r="C1516" s="604" t="str">
        <x:v>欧洲非五大系列</x:v>
      </x:c>
      <x:c r="D1516" s="604" t="inlineStr">
        <x:is>
          <x:t xml:space="preserve"/>
        </x:is>
      </x:c>
      <x:c r="E1516" s="604" t="inlineStr">
        <x:is>
          <x:t xml:space="preserve">奥丙南</x:t>
        </x:is>
      </x:c>
      <x:c r="F1516" s="604" t="inlineStr">
        <x:is>
          <x:t xml:space="preserve">卡尔斯多夫 vs 格来斯多夫</x:t>
        </x:is>
      </x:c>
      <x:c r="G1516" s="604" t="n">
        <x:v>0.85</x:v>
      </x:c>
      <x:c r="H1516" s="604" t="n">
        <x:v>1.5</x:v>
      </x:c>
      <x:c r="I1516" s="604" t="n">
        <x:v>0.95</x:v>
      </x:c>
      <x:c r="J1516" s="604" t="inlineStr">
        <x:is>
          <x:t xml:space="preserve">0.85/1.5/0.95</x:t>
        </x:is>
      </x:c>
      <x:c r="K1516" s="604" t="inlineStr">
        <x:is>
          <x:t xml:space="preserve">V4-N</x:t>
        </x:is>
      </x:c>
      <x:c r="L1516" s="604" t="inlineStr">
        <x:is>
          <x:t xml:space="preserve"/>
        </x:is>
      </x:c>
      <x:c r="M1516" s="604" t="n">
        <x:v>0.5933808226097694</x:v>
      </x:c>
      <x:c r="N1516" s="604" t="inlineStr">
        <x:is>
          <x:t xml:space="preserve">V4 Shadow Only；real_money=false</x:t>
        </x:is>
      </x:c>
      <x:c r="O1516" s="604" t="inlineStr">
        <x:is>
          <x:t xml:space="preserve">0-0</x:t>
        </x:is>
      </x:c>
      <x:c r="P1516" s="604" t="inlineStr">
        <x:is>
          <x:t xml:space="preserve">EVALUATED</x:t>
        </x:is>
      </x:c>
      <x:c r="Q1516" s="630" t="inlineStr">
        <x:is>
          <x:t xml:space="preserve"/>
        </x:is>
      </x:c>
      <x:c r="R1516" s="604" t="n"/>
      <x:c r="S1516" s="604" t="n"/>
      <x:c r="T1516" s="604" t="inlineStr">
        <x:is>
          <x:t xml:space="preserve">D:\codex\v3_legacy\outputs\football_odds_trader\raw\titan007\20261009\20261009_085232_titan007_odds_snapshot.csv</x:t>
        </x:is>
      </x:c>
      <x:c r="U1516" s="628" t="inlineStr">
        <x:is>
          <x:t xml:space="preserve"/>
        </x:is>
      </x:c>
      <x:c r="V1516" s="604" t="inlineStr">
        <x:is>
          <x:t xml:space="preserve"/>
        </x:is>
      </x:c>
      <x:c r="W1516" s="604" t="inlineStr">
        <x:is>
          <x:t xml:space="preserve"/>
        </x:is>
      </x:c>
      <x:c r="X1516" s="604" t="inlineStr">
        <x:is>
          <x:t xml:space="preserve">3022563</x:t>
        </x:is>
      </x:c>
      <x:c r="Y1516" s="604" t="inlineStr">
        <x:is>
          <x:t xml:space="preserve">V4</x:t>
        </x:is>
      </x:c>
      <x:c r="Z1516" s="604" t="inlineStr">
        <x:is>
          <x:t xml:space="preserve">prior-2026-10-09-v1</x:t>
        </x:is>
      </x:c>
      <x:c r="AA1516" s="604" t="inlineStr">
        <x:is>
          <x:t xml:space="preserve">N</x:t>
        </x:is>
      </x:c>
      <x:c r="AB1516" s="604" t="n">
        <x:v>0.5933808226097694</x:v>
      </x:c>
      <x:c r="AC1516" s="604" t="n">
        <x:v>0.4066191773902306</x:v>
      </x:c>
      <x:c r="AD1516" s="604" t="n">
        <x:v>2</x:v>
      </x:c>
      <x:c r="AE1516" s="604" t="n"/>
      <x:c r="AF1516" s="604" t="n"/>
      <x:c r="AG1516" s="604" t="n">
        <x:v>0.09775452182807337</x:v>
      </x:c>
      <x:c r="AH1516" s="604" t="n"/>
      <x:c r="AI1516" s="604" t="n"/>
      <x:c r="AJ1516" s="604" t="n">
        <x:v>0.09775452182807337</x:v>
      </x:c>
      <x:c r="AK1516" s="604" t="n"/>
      <x:c r="AL1516" s="604" t="n"/>
      <x:c r="AM1516" s="604" t="n"/>
      <x:c r="AN1516" s="604" t="inlineStr">
        <x:is>
          <x:t xml:space="preserve">EVALUATED</x:t>
        </x:is>
      </x:c>
      <x:c r="AO1516" s="604" t="inlineStr">
        <x:is>
          <x:t xml:space="preserve">LOW_QUALITY_GATE;BUCKET_PRIOR_ONLY;INTENT_INTERPRETATION_ONLY;FFL_OPTIONAL;EXPERT_MARKET</x:t>
        </x:is>
      </x:c>
      <x:c r="AP1516" s="604" t="inlineStr">
        <x:is>
          <x:t xml:space="preserve">3ec9d3362f574a4de768</x:t>
        </x:is>
      </x:c>
      <x:c r="AQ1516" s="604" t="n"/>
      <x:c r="AR1516" s="604" t="n"/>
      <x:c r="AS1516" s="604" t="n">
        <x:v>1.5</x:v>
      </x:c>
      <x:c r="AT1516" s="604" t="n">
        <x:v>-1.5</x:v>
      </x:c>
      <x:c r="AU1516" s="604" t="n">
        <x:v>0.85</x:v>
      </x:c>
      <x:c r="AV1516" s="604" t="n">
        <x:v>0.95</x:v>
      </x:c>
      <x:c r="AW1516" s="604" t="inlineStr">
        <x:is>
          <x:t xml:space="preserve">2026-10-09T09:01:21.127001+08:00</x:t>
        </x:is>
      </x:c>
      <x:c r="AX1516" s="604" t="inlineStr">
        <x:is>
          <x:t xml:space="preserve">Titan007/V4</x:t>
        </x:is>
      </x:c>
      <x:c r="AY1516" s="604" t="inlineStr">
        <x:is>
          <x:t xml:space="preserve">Daily append；市场输入缺失时不生成决策</x:t>
        </x:is>
      </x:c>
    </x:row>
    <x:row r="1517" ht="22" customHeight="1">
      <x:c r="A1517" s="604" t="inlineStr">
        <x:is>
          <x:t xml:space="preserve">2026-10-09</x:t>
        </x:is>
      </x:c>
      <x:c r="B1517" s="604" t="inlineStr">
        <x:is>
          <x:t xml:space="preserve">2026-10-10T01:00:00+08:00</x:t>
        </x:is>
      </x:c>
      <x:c r="C1517" s="604" t="str">
        <x:v>欧洲非五大系列</x:v>
      </x:c>
      <x:c r="D1517" s="604" t="inlineStr">
        <x:is>
          <x:t xml:space="preserve"/>
        </x:is>
      </x:c>
      <x:c r="E1517" s="604" t="inlineStr">
        <x:is>
          <x:t xml:space="preserve">奥丙南</x:t>
        </x:is>
      </x:c>
      <x:c r="F1517" s="604" t="inlineStr">
        <x:is>
          <x:t xml:space="preserve">维兹 vs 阿勒黑里根</x:t>
        </x:is>
      </x:c>
      <x:c r="G1517" s="604" t="n"/>
      <x:c r="H1517" s="604" t="n"/>
      <x:c r="I1517" s="604" t="n"/>
      <x:c r="J1517" s="604" t="inlineStr">
        <x:is>
          <x:t xml:space="preserve">//</x:t>
        </x:is>
      </x:c>
      <x:c r="K1517" s="604" t="inlineStr">
        <x:is>
          <x:t xml:space="preserve">V4不可用：市场输入缺失</x:t>
        </x:is>
      </x:c>
      <x:c r="L1517" s="604" t="inlineStr">
        <x:is>
          <x:t xml:space="preserve"/>
        </x:is>
      </x:c>
      <x:c r="M1517" s="604" t="n"/>
      <x:c r="N1517" s="604" t="inlineStr">
        <x:is>
          <x:t xml:space="preserve">V4 Shadow Only；real_money=false</x:t>
        </x:is>
      </x:c>
      <x:c r="O1517" s="604" t="inlineStr">
        <x:is>
          <x:t xml:space="preserve">0-0</x:t>
        </x:is>
      </x:c>
      <x:c r="P1517" s="604" t="inlineStr">
        <x:is>
          <x:t xml:space="preserve">MISSING_DATA</x:t>
        </x:is>
      </x:c>
      <x:c r="Q1517" s="630" t="inlineStr">
        <x:is>
          <x:t xml:space="preserve"/>
        </x:is>
      </x:c>
      <x:c r="R1517" s="604" t="n"/>
      <x:c r="S1517" s="604" t="n"/>
      <x:c r="T1517" s="604" t="inlineStr">
        <x:is>
          <x:t xml:space="preserve">D:\codex\v3_legacy\outputs\football_odds_trader\raw\titan007\20261009\20261009_085232_titan007_odds_snapshot.csv</x:t>
        </x:is>
      </x:c>
      <x:c r="U1517" s="628" t="inlineStr">
        <x:is>
          <x:t xml:space="preserve"/>
        </x:is>
      </x:c>
      <x:c r="V1517" s="604" t="inlineStr">
        <x:is>
          <x:t xml:space="preserve"/>
        </x:is>
      </x:c>
      <x:c r="W1517" s="604" t="inlineStr">
        <x:is>
          <x:t xml:space="preserve"/>
        </x:is>
      </x:c>
      <x:c r="X1517" s="604" t="inlineStr">
        <x:is>
          <x:t xml:space="preserve">3022564</x:t>
        </x:is>
      </x:c>
      <x:c r="Y1517" s="604" t="inlineStr">
        <x:is>
          <x:t xml:space="preserve">V4</x:t>
        </x:is>
      </x:c>
      <x:c r="Z1517" s="604" t="inlineStr">
        <x:is>
          <x:t xml:space="preserve">prior-2026-10-09-v1</x:t>
        </x:is>
      </x:c>
      <x:c r="AA1517" s="604" t="inlineStr">
        <x:is>
          <x:t xml:space="preserve"/>
        </x:is>
      </x:c>
      <x:c r="AB1517" s="604" t="n"/>
      <x:c r="AC1517" s="604" t="n"/>
      <x:c r="AD1517" s="604" t="n"/>
      <x:c r="AE1517" s="604" t="n"/>
      <x:c r="AF1517" s="604" t="n"/>
      <x:c r="AG1517" s="604" t="n"/>
      <x:c r="AH1517" s="604" t="n"/>
      <x:c r="AI1517" s="604" t="n"/>
      <x:c r="AJ1517" s="604" t="n"/>
      <x:c r="AK1517" s="604" t="n"/>
      <x:c r="AL1517" s="604" t="n"/>
      <x:c r="AM1517" s="604" t="n"/>
      <x:c r="AN1517" s="604" t="inlineStr">
        <x:is>
          <x:t xml:space="preserve">MISSING_DATA</x:t>
        </x:is>
      </x:c>
      <x:c r="AO1517" s="604" t="inlineStr">
        <x:is>
          <x:t xml:space="preserve">REQUIRED_MARKET_INPUT_MISSING</x:t>
        </x:is>
      </x:c>
      <x:c r="AP1517" s="604" t="inlineStr">
        <x:is>
          <x:t xml:space="preserve">a67895a96e3c36a458a9</x:t>
        </x:is>
      </x:c>
      <x:c r="AQ1517" s="604" t="n"/>
      <x:c r="AR1517" s="604" t="n"/>
      <x:c r="AS1517" s="604" t="n"/>
      <x:c r="AT1517" s="604" t="n"/>
      <x:c r="AU1517" s="604" t="n"/>
      <x:c r="AV1517" s="604" t="n"/>
      <x:c r="AW1517" s="604" t="inlineStr">
        <x:is>
          <x:t xml:space="preserve">2026-10-09T09:01:21.127001+08:00</x:t>
        </x:is>
      </x:c>
      <x:c r="AX1517" s="604" t="inlineStr">
        <x:is>
          <x:t xml:space="preserve">Titan007/V4</x:t>
        </x:is>
      </x:c>
      <x:c r="AY1517" s="604" t="inlineStr">
        <x:is>
          <x:t xml:space="preserve">Daily append；市场输入缺失时不生成决策</x:t>
        </x:is>
      </x:c>
    </x:row>
    <x:row r="1518" ht="22" customHeight="1">
      <x:c r="A1518" s="604" t="inlineStr">
        <x:is>
          <x:t xml:space="preserve">2026-10-09</x:t>
        </x:is>
      </x:c>
      <x:c r="B1518" s="604" t="inlineStr">
        <x:is>
          <x:t xml:space="preserve">2026-10-10T01:00:00+08:00</x:t>
        </x:is>
      </x:c>
      <x:c r="C1518" s="604" t="str">
        <x:v>欧洲非五大系列</x:v>
      </x:c>
      <x:c r="D1518" s="604" t="inlineStr">
        <x:is>
          <x:t xml:space="preserve"/>
        </x:is>
      </x:c>
      <x:c r="E1518" s="604" t="inlineStr">
        <x:is>
          <x:t xml:space="preserve">奥丙南</x:t>
        </x:is>
      </x:c>
      <x:c r="F1518" s="604" t="inlineStr">
        <x:is>
          <x:t xml:space="preserve">SV蒂尔米奇 vs 拉夫尼茨</x:t>
        </x:is>
      </x:c>
      <x:c r="G1518" s="604" t="n">
        <x:v>0.83</x:v>
      </x:c>
      <x:c r="H1518" s="604" t="n">
        <x:v>0</x:v>
      </x:c>
      <x:c r="I1518" s="604" t="n">
        <x:v>0.98</x:v>
      </x:c>
      <x:c r="J1518" s="604" t="inlineStr">
        <x:is>
          <x:t xml:space="preserve">0.83/0.0/0.98</x:t>
        </x:is>
      </x:c>
      <x:c r="K1518" s="604" t="inlineStr">
        <x:is>
          <x:t xml:space="preserve">V4-N</x:t>
        </x:is>
      </x:c>
      <x:c r="L1518" s="604" t="inlineStr">
        <x:is>
          <x:t xml:space="preserve"/>
        </x:is>
      </x:c>
      <x:c r="M1518" s="604" t="n"/>
      <x:c r="N1518" s="604" t="inlineStr">
        <x:is>
          <x:t xml:space="preserve">V4 Shadow Only；real_money=false</x:t>
        </x:is>
      </x:c>
      <x:c r="O1518" s="604" t="inlineStr">
        <x:is>
          <x:t xml:space="preserve">0-0</x:t>
        </x:is>
      </x:c>
      <x:c r="P1518" s="604" t="inlineStr">
        <x:is>
          <x:t xml:space="preserve">NEUTRAL</x:t>
        </x:is>
      </x:c>
      <x:c r="Q1518" s="630" t="inlineStr">
        <x:is>
          <x:t xml:space="preserve"/>
        </x:is>
      </x:c>
      <x:c r="R1518" s="604" t="n"/>
      <x:c r="S1518" s="604" t="n"/>
      <x:c r="T1518" s="604" t="inlineStr">
        <x:is>
          <x:t xml:space="preserve">D:\codex\v3_legacy\outputs\football_odds_trader\raw\titan007\20261009\20261009_085232_titan007_odds_snapshot.csv</x:t>
        </x:is>
      </x:c>
      <x:c r="U1518" s="628" t="inlineStr">
        <x:is>
          <x:t xml:space="preserve"/>
        </x:is>
      </x:c>
      <x:c r="V1518" s="604" t="inlineStr">
        <x:is>
          <x:t xml:space="preserve"/>
        </x:is>
      </x:c>
      <x:c r="W1518" s="604" t="inlineStr">
        <x:is>
          <x:t xml:space="preserve"/>
        </x:is>
      </x:c>
      <x:c r="X1518" s="604" t="inlineStr">
        <x:is>
          <x:t xml:space="preserve">3022565</x:t>
        </x:is>
      </x:c>
      <x:c r="Y1518" s="604" t="inlineStr">
        <x:is>
          <x:t xml:space="preserve">V4</x:t>
        </x:is>
      </x:c>
      <x:c r="Z1518" s="604" t="inlineStr">
        <x:is>
          <x:t xml:space="preserve">prior-2026-10-09-v1</x:t>
        </x:is>
      </x:c>
      <x:c r="AA1518" s="604" t="inlineStr">
        <x:is>
          <x:t xml:space="preserve">N</x:t>
        </x:is>
      </x:c>
      <x:c r="AB1518" s="604" t="n"/>
      <x:c r="AC1518" s="604" t="n"/>
      <x:c r="AD1518" s="604" t="n"/>
      <x:c r="AE1518" s="604" t="n"/>
      <x:c r="AF1518" s="604" t="n"/>
      <x:c r="AG1518" s="604" t="n"/>
      <x:c r="AH1518" s="604" t="n"/>
      <x:c r="AI1518" s="604" t="n"/>
      <x:c r="AJ1518" s="604" t="n"/>
      <x:c r="AK1518" s="604" t="n"/>
      <x:c r="AL1518" s="604" t="n"/>
      <x:c r="AM1518" s="604" t="n"/>
      <x:c r="AN1518" s="604" t="inlineStr">
        <x:is>
          <x:t xml:space="preserve">NEUTRAL</x:t>
        </x:is>
      </x:c>
      <x:c r="AO1518" s="604" t="inlineStr">
        <x:is>
          <x:t xml:space="preserve">PK_NO_GIVING_RECEIVING_IDENTITY</x:t>
        </x:is>
      </x:c>
      <x:c r="AP1518" s="604" t="inlineStr">
        <x:is>
          <x:t xml:space="preserve">52551c0f02f3029bd100</x:t>
        </x:is>
      </x:c>
      <x:c r="AQ1518" s="604" t="n"/>
      <x:c r="AR1518" s="604" t="n"/>
      <x:c r="AS1518" s="604" t="n"/>
      <x:c r="AT1518" s="604" t="n"/>
      <x:c r="AU1518" s="604" t="n"/>
      <x:c r="AV1518" s="604" t="n"/>
      <x:c r="AW1518" s="604" t="inlineStr">
        <x:is>
          <x:t xml:space="preserve">2026-10-09T09:01:21.127001+08:00</x:t>
        </x:is>
      </x:c>
      <x:c r="AX1518" s="604" t="inlineStr">
        <x:is>
          <x:t xml:space="preserve">Titan007/V4</x:t>
        </x:is>
      </x:c>
      <x:c r="AY1518" s="604" t="inlineStr">
        <x:is>
          <x:t xml:space="preserve">Daily append；市场输入缺失时不生成决策</x:t>
        </x:is>
      </x:c>
    </x:row>
    <x:row r="1519" ht="22" customHeight="1">
      <x:c r="A1519" s="604" t="inlineStr">
        <x:is>
          <x:t xml:space="preserve">2026-10-09</x:t>
        </x:is>
      </x:c>
      <x:c r="B1519" s="604" t="inlineStr">
        <x:is>
          <x:t xml:space="preserve">2026-10-10T01:00:00+08:00</x:t>
        </x:is>
      </x:c>
      <x:c r="C1519" s="604" t="str">
        <x:v>欧洲非五大系列</x:v>
      </x:c>
      <x:c r="D1519" s="604" t="inlineStr">
        <x:is>
          <x:t xml:space="preserve"/>
        </x:is>
      </x:c>
      <x:c r="E1519" s="604" t="inlineStr">
        <x:is>
          <x:t xml:space="preserve">奥丙南</x:t>
        </x:is>
      </x:c>
      <x:c r="F1519" s="604" t="inlineStr">
        <x:is>
          <x:t xml:space="preserve">沃夫堡 vs 阿图斯维尔登</x:t>
        </x:is>
      </x:c>
      <x:c r="G1519" s="604" t="n">
        <x:v>0.9</x:v>
      </x:c>
      <x:c r="H1519" s="604" t="n">
        <x:v>-0.75</x:v>
      </x:c>
      <x:c r="I1519" s="604" t="n">
        <x:v>0.9</x:v>
      </x:c>
      <x:c r="J1519" s="604" t="inlineStr">
        <x:is>
          <x:t xml:space="preserve">0.9/-0.75/0.9</x:t>
        </x:is>
      </x:c>
      <x:c r="K1519" s="604" t="inlineStr">
        <x:is>
          <x:t xml:space="preserve">V4-N</x:t>
        </x:is>
      </x:c>
      <x:c r="L1519" s="604" t="inlineStr">
        <x:is>
          <x:t xml:space="preserve"/>
        </x:is>
      </x:c>
      <x:c r="M1519" s="604" t="n">
        <x:v>0.1332873547694583</x:v>
      </x:c>
      <x:c r="N1519" s="604" t="inlineStr">
        <x:is>
          <x:t xml:space="preserve">V4 Shadow Only；real_money=false</x:t>
        </x:is>
      </x:c>
      <x:c r="O1519" s="604" t="inlineStr">
        <x:is>
          <x:t xml:space="preserve">0-0</x:t>
        </x:is>
      </x:c>
      <x:c r="P1519" s="604" t="inlineStr">
        <x:is>
          <x:t xml:space="preserve">EVALUATED</x:t>
        </x:is>
      </x:c>
      <x:c r="Q1519" s="630" t="inlineStr">
        <x:is>
          <x:t xml:space="preserve"/>
        </x:is>
      </x:c>
      <x:c r="R1519" s="604" t="n"/>
      <x:c r="S1519" s="604" t="n"/>
      <x:c r="T1519" s="604" t="inlineStr">
        <x:is>
          <x:t xml:space="preserve">D:\codex\v3_legacy\outputs\football_odds_trader\raw\titan007\20261009\20261009_085232_titan007_odds_snapshot.csv</x:t>
        </x:is>
      </x:c>
      <x:c r="U1519" s="628" t="inlineStr">
        <x:is>
          <x:t xml:space="preserve"/>
        </x:is>
      </x:c>
      <x:c r="V1519" s="604" t="inlineStr">
        <x:is>
          <x:t xml:space="preserve"/>
        </x:is>
      </x:c>
      <x:c r="W1519" s="604" t="inlineStr">
        <x:is>
          <x:t xml:space="preserve"/>
        </x:is>
      </x:c>
      <x:c r="X1519" s="604" t="inlineStr">
        <x:is>
          <x:t xml:space="preserve">3022567</x:t>
        </x:is>
      </x:c>
      <x:c r="Y1519" s="604" t="inlineStr">
        <x:is>
          <x:t xml:space="preserve">V4</x:t>
        </x:is>
      </x:c>
      <x:c r="Z1519" s="604" t="inlineStr">
        <x:is>
          <x:t xml:space="preserve">prior-2026-10-09-v1</x:t>
        </x:is>
      </x:c>
      <x:c r="AA1519" s="604" t="inlineStr">
        <x:is>
          <x:t xml:space="preserve">N</x:t>
        </x:is>
      </x:c>
      <x:c r="AB1519" s="604" t="n">
        <x:v>0.1332873547694583</x:v>
      </x:c>
      <x:c r="AC1519" s="604" t="n">
        <x:v>0.800073517041079</x:v>
      </x:c>
      <x:c r="AD1519" s="604" t="n">
        <x:v>-0.75</x:v>
      </x:c>
      <x:c r="AE1519" s="604" t="n"/>
      <x:c r="AF1519" s="604" t="n"/>
      <x:c r="AG1519" s="604" t="n">
        <x:v>0.5867788105675127</x:v>
      </x:c>
      <x:c r="AH1519" s="604" t="n"/>
      <x:c r="AI1519" s="604" t="n"/>
      <x:c r="AJ1519" s="604" t="n">
        <x:v>0.5867788105675127</x:v>
      </x:c>
      <x:c r="AK1519" s="604" t="n"/>
      <x:c r="AL1519" s="604" t="n"/>
      <x:c r="AM1519" s="604" t="n"/>
      <x:c r="AN1519" s="604" t="inlineStr">
        <x:is>
          <x:t xml:space="preserve">EVALUATED</x:t>
        </x:is>
      </x:c>
      <x:c r="AO1519" s="604" t="inlineStr">
        <x:is>
          <x:t xml:space="preserve">LOW_QUALITY_GATE;BUCKET_PRIOR_ONLY;INTENT_INTERPRETATION_ONLY;FFL_OPTIONAL;EXPERT_MARKET</x:t>
        </x:is>
      </x:c>
      <x:c r="AP1519" s="604" t="inlineStr">
        <x:is>
          <x:t xml:space="preserve">5facefebcf2d9bfabfab</x:t>
        </x:is>
      </x:c>
      <x:c r="AQ1519" s="604" t="n"/>
      <x:c r="AR1519" s="604" t="n"/>
      <x:c r="AS1519" s="604" t="n">
        <x:v>-0.75</x:v>
      </x:c>
      <x:c r="AT1519" s="604" t="n">
        <x:v>0.75</x:v>
      </x:c>
      <x:c r="AU1519" s="604" t="n">
        <x:v>0.9</x:v>
      </x:c>
      <x:c r="AV1519" s="604" t="n">
        <x:v>0.9</x:v>
      </x:c>
      <x:c r="AW1519" s="604" t="inlineStr">
        <x:is>
          <x:t xml:space="preserve">2026-10-09T09:01:21.127001+08:00</x:t>
        </x:is>
      </x:c>
      <x:c r="AX1519" s="604" t="inlineStr">
        <x:is>
          <x:t xml:space="preserve">Titan007/V4</x:t>
        </x:is>
      </x:c>
      <x:c r="AY1519" s="604" t="inlineStr">
        <x:is>
          <x:t xml:space="preserve">Daily append；市场输入缺失时不生成决策</x:t>
        </x:is>
      </x:c>
    </x:row>
    <x:row r="1520" ht="22" customHeight="1">
      <x:c r="A1520" s="604" t="inlineStr">
        <x:is>
          <x:t xml:space="preserve">2026-10-09</x:t>
        </x:is>
      </x:c>
      <x:c r="B1520" s="604" t="inlineStr">
        <x:is>
          <x:t xml:space="preserve">2026-10-10T01:20:00+08:00</x:t>
        </x:is>
      </x:c>
      <x:c r="C1520" s="604" t="str">
        <x:v>欧洲非五大系列</x:v>
      </x:c>
      <x:c r="D1520" s="604" t="inlineStr">
        <x:is>
          <x:t xml:space="preserve"/>
        </x:is>
      </x:c>
      <x:c r="E1520" s="604" t="inlineStr">
        <x:is>
          <x:t xml:space="preserve">奥丙南</x:t>
        </x:is>
      </x:c>
      <x:c r="F1520" s="604" t="inlineStr">
        <x:is>
          <x:t xml:space="preserve">奥地利克拉根福 vs 布雷堡</x:t>
        </x:is>
      </x:c>
      <x:c r="G1520" s="604" t="n">
        <x:v>1.03</x:v>
      </x:c>
      <x:c r="H1520" s="604" t="n">
        <x:v>1.25</x:v>
      </x:c>
      <x:c r="I1520" s="604" t="n">
        <x:v>0.78</x:v>
      </x:c>
      <x:c r="J1520" s="604" t="inlineStr">
        <x:is>
          <x:t xml:space="preserve">1.03/1.25/0.78</x:t>
        </x:is>
      </x:c>
      <x:c r="K1520" s="604" t="inlineStr">
        <x:is>
          <x:t xml:space="preserve">V4-N</x:t>
        </x:is>
      </x:c>
      <x:c r="L1520" s="604" t="inlineStr">
        <x:is>
          <x:t xml:space="preserve"/>
        </x:is>
      </x:c>
      <x:c r="M1520" s="604" t="n">
        <x:v>0.4607136773751214</x:v>
      </x:c>
      <x:c r="N1520" s="604" t="inlineStr">
        <x:is>
          <x:t xml:space="preserve">V4 Shadow Only；real_money=false</x:t>
        </x:is>
      </x:c>
      <x:c r="O1520" s="604" t="inlineStr">
        <x:is>
          <x:t xml:space="preserve">0-0</x:t>
        </x:is>
      </x:c>
      <x:c r="P1520" s="604" t="inlineStr">
        <x:is>
          <x:t xml:space="preserve">EVALUATED</x:t>
        </x:is>
      </x:c>
      <x:c r="Q1520" s="630" t="inlineStr">
        <x:is>
          <x:t xml:space="preserve"/>
        </x:is>
      </x:c>
      <x:c r="R1520" s="604" t="n"/>
      <x:c r="S1520" s="604" t="n"/>
      <x:c r="T1520" s="604" t="inlineStr">
        <x:is>
          <x:t xml:space="preserve">D:\codex\v3_legacy\outputs\football_odds_trader\raw\titan007\20261009\20261009_085232_titan007_odds_snapshot.csv</x:t>
        </x:is>
      </x:c>
      <x:c r="U1520" s="628" t="inlineStr">
        <x:is>
          <x:t xml:space="preserve"/>
        </x:is>
      </x:c>
      <x:c r="V1520" s="604" t="inlineStr">
        <x:is>
          <x:t xml:space="preserve"/>
        </x:is>
      </x:c>
      <x:c r="W1520" s="604" t="inlineStr">
        <x:is>
          <x:t xml:space="preserve"/>
        </x:is>
      </x:c>
      <x:c r="X1520" s="604" t="inlineStr">
        <x:is>
          <x:t xml:space="preserve">3022568</x:t>
        </x:is>
      </x:c>
      <x:c r="Y1520" s="604" t="inlineStr">
        <x:is>
          <x:t xml:space="preserve">V4</x:t>
        </x:is>
      </x:c>
      <x:c r="Z1520" s="604" t="inlineStr">
        <x:is>
          <x:t xml:space="preserve">prior-2026-10-09-v1</x:t>
        </x:is>
      </x:c>
      <x:c r="AA1520" s="604" t="inlineStr">
        <x:is>
          <x:t xml:space="preserve">N</x:t>
        </x:is>
      </x:c>
      <x:c r="AB1520" s="604" t="n">
        <x:v>0.4607136773751214</x:v>
      </x:c>
      <x:c r="AC1520" s="604" t="n">
        <x:v>0.4125534250898951</x:v>
      </x:c>
      <x:c r="AD1520" s="604" t="n">
        <x:v>1.5</x:v>
      </x:c>
      <x:c r="AE1520" s="604" t="n"/>
      <x:c r="AF1520" s="604" t="n"/>
      <x:c r="AG1520" s="604" t="n">
        <x:v>0.06198166260647991</x:v>
      </x:c>
      <x:c r="AH1520" s="604" t="n"/>
      <x:c r="AI1520" s="604" t="n"/>
      <x:c r="AJ1520" s="604" t="n">
        <x:v>0.06198166260647991</x:v>
      </x:c>
      <x:c r="AK1520" s="604" t="n"/>
      <x:c r="AL1520" s="604" t="n"/>
      <x:c r="AM1520" s="604" t="n"/>
      <x:c r="AN1520" s="604" t="inlineStr">
        <x:is>
          <x:t xml:space="preserve">EVALUATED</x:t>
        </x:is>
      </x:c>
      <x:c r="AO1520" s="604" t="inlineStr">
        <x:is>
          <x:t xml:space="preserve">LOW_QUALITY_GATE;BUCKET_PRIOR_ONLY;INTENT_INTERPRETATION_ONLY;FFL_OPTIONAL;EXPERT_MARKET</x:t>
        </x:is>
      </x:c>
      <x:c r="AP1520" s="604" t="inlineStr">
        <x:is>
          <x:t xml:space="preserve">4071b04a78a26113f73f</x:t>
        </x:is>
      </x:c>
      <x:c r="AQ1520" s="604" t="n"/>
      <x:c r="AR1520" s="604" t="n"/>
      <x:c r="AS1520" s="604" t="n">
        <x:v>1.25</x:v>
      </x:c>
      <x:c r="AT1520" s="604" t="n">
        <x:v>-1.25</x:v>
      </x:c>
      <x:c r="AU1520" s="604" t="n">
        <x:v>1.03</x:v>
      </x:c>
      <x:c r="AV1520" s="604" t="n">
        <x:v>0.78</x:v>
      </x:c>
      <x:c r="AW1520" s="604" t="inlineStr">
        <x:is>
          <x:t xml:space="preserve">2026-10-09T09:01:21.127001+08:00</x:t>
        </x:is>
      </x:c>
      <x:c r="AX1520" s="604" t="inlineStr">
        <x:is>
          <x:t xml:space="preserve">Titan007/V4</x:t>
        </x:is>
      </x:c>
      <x:c r="AY1520" s="604" t="inlineStr">
        <x:is>
          <x:t xml:space="preserve">Daily append；市场输入缺失时不生成决策</x:t>
        </x:is>
      </x:c>
    </x:row>
    <x:row r="1521" ht="22" customHeight="1">
      <x:c r="A1521" s="604" t="inlineStr">
        <x:is>
          <x:t xml:space="preserve">2026-10-09</x:t>
        </x:is>
      </x:c>
      <x:c r="B1521" s="604" t="inlineStr">
        <x:is>
          <x:t xml:space="preserve">2026-10-10T01:00:00+08:00</x:t>
        </x:is>
      </x:c>
      <x:c r="C1521" s="604" t="str">
        <x:v>欧洲非五大系列</x:v>
      </x:c>
      <x:c r="D1521" s="604" t="inlineStr">
        <x:is>
          <x:t xml:space="preserve"/>
        </x:is>
      </x:c>
      <x:c r="E1521" s="604" t="inlineStr">
        <x:is>
          <x:t xml:space="preserve">奥丙北</x:t>
        </x:is>
      </x:c>
      <x:c r="F1521" s="604" t="inlineStr">
        <x:is>
          <x:t xml:space="preserve">前进斯太尔 vs 库赫尔</x:t>
        </x:is>
      </x:c>
      <x:c r="G1521" s="604" t="n"/>
      <x:c r="H1521" s="604" t="n"/>
      <x:c r="I1521" s="604" t="n"/>
      <x:c r="J1521" s="604" t="inlineStr">
        <x:is>
          <x:t xml:space="preserve">//</x:t>
        </x:is>
      </x:c>
      <x:c r="K1521" s="604" t="inlineStr">
        <x:is>
          <x:t xml:space="preserve">V4不可用：市场输入缺失</x:t>
        </x:is>
      </x:c>
      <x:c r="L1521" s="604" t="inlineStr">
        <x:is>
          <x:t xml:space="preserve"/>
        </x:is>
      </x:c>
      <x:c r="M1521" s="604" t="n"/>
      <x:c r="N1521" s="604" t="inlineStr">
        <x:is>
          <x:t xml:space="preserve">V4 Shadow Only；real_money=false</x:t>
        </x:is>
      </x:c>
      <x:c r="O1521" s="604" t="inlineStr">
        <x:is>
          <x:t xml:space="preserve">0-0</x:t>
        </x:is>
      </x:c>
      <x:c r="P1521" s="604" t="inlineStr">
        <x:is>
          <x:t xml:space="preserve">MISSING_DATA</x:t>
        </x:is>
      </x:c>
      <x:c r="Q1521" s="630" t="inlineStr">
        <x:is>
          <x:t xml:space="preserve"/>
        </x:is>
      </x:c>
      <x:c r="R1521" s="604" t="n"/>
      <x:c r="S1521" s="604" t="n"/>
      <x:c r="T1521" s="604" t="inlineStr">
        <x:is>
          <x:t xml:space="preserve">D:\codex\v3_legacy\outputs\football_odds_trader\raw\titan007\20261009\20261009_085232_titan007_odds_snapshot.csv</x:t>
        </x:is>
      </x:c>
      <x:c r="U1521" s="628" t="inlineStr">
        <x:is>
          <x:t xml:space="preserve"/>
        </x:is>
      </x:c>
      <x:c r="V1521" s="604" t="inlineStr">
        <x:is>
          <x:t xml:space="preserve"/>
        </x:is>
      </x:c>
      <x:c r="W1521" s="604" t="inlineStr">
        <x:is>
          <x:t xml:space="preserve"/>
        </x:is>
      </x:c>
      <x:c r="X1521" s="604" t="inlineStr">
        <x:is>
          <x:t xml:space="preserve">3022676</x:t>
        </x:is>
      </x:c>
      <x:c r="Y1521" s="604" t="inlineStr">
        <x:is>
          <x:t xml:space="preserve">V4</x:t>
        </x:is>
      </x:c>
      <x:c r="Z1521" s="604" t="inlineStr">
        <x:is>
          <x:t xml:space="preserve">prior-2026-10-09-v1</x:t>
        </x:is>
      </x:c>
      <x:c r="AA1521" s="604" t="inlineStr">
        <x:is>
          <x:t xml:space="preserve"/>
        </x:is>
      </x:c>
      <x:c r="AB1521" s="604" t="n"/>
      <x:c r="AC1521" s="604" t="n"/>
      <x:c r="AD1521" s="604" t="n"/>
      <x:c r="AE1521" s="604" t="n"/>
      <x:c r="AF1521" s="604" t="n"/>
      <x:c r="AG1521" s="604" t="n"/>
      <x:c r="AH1521" s="604" t="n"/>
      <x:c r="AI1521" s="604" t="n"/>
      <x:c r="AJ1521" s="604" t="n"/>
      <x:c r="AK1521" s="604" t="n"/>
      <x:c r="AL1521" s="604" t="n"/>
      <x:c r="AM1521" s="604" t="n"/>
      <x:c r="AN1521" s="604" t="inlineStr">
        <x:is>
          <x:t xml:space="preserve">MISSING_DATA</x:t>
        </x:is>
      </x:c>
      <x:c r="AO1521" s="604" t="inlineStr">
        <x:is>
          <x:t xml:space="preserve">REQUIRED_MARKET_INPUT_MISSING</x:t>
        </x:is>
      </x:c>
      <x:c r="AP1521" s="604" t="inlineStr">
        <x:is>
          <x:t xml:space="preserve">982e1c37611941f3af62</x:t>
        </x:is>
      </x:c>
      <x:c r="AQ1521" s="604" t="n"/>
      <x:c r="AR1521" s="604" t="n"/>
      <x:c r="AS1521" s="604" t="n"/>
      <x:c r="AT1521" s="604" t="n"/>
      <x:c r="AU1521" s="604" t="n"/>
      <x:c r="AV1521" s="604" t="n"/>
      <x:c r="AW1521" s="604" t="inlineStr">
        <x:is>
          <x:t xml:space="preserve">2026-10-09T09:01:21.127001+08:00</x:t>
        </x:is>
      </x:c>
      <x:c r="AX1521" s="604" t="inlineStr">
        <x:is>
          <x:t xml:space="preserve">Titan007/V4</x:t>
        </x:is>
      </x:c>
      <x:c r="AY1521" s="604" t="inlineStr">
        <x:is>
          <x:t xml:space="preserve">Daily append；市场输入缺失时不生成决策</x:t>
        </x:is>
      </x:c>
    </x:row>
    <x:row r="1522" ht="22" customHeight="1">
      <x:c r="A1522" s="604" t="inlineStr">
        <x:is>
          <x:t xml:space="preserve">2026-10-09</x:t>
        </x:is>
      </x:c>
      <x:c r="B1522" s="604" t="inlineStr">
        <x:is>
          <x:t xml:space="preserve">2026-10-10T01:00:00+08:00</x:t>
        </x:is>
      </x:c>
      <x:c r="C1522" s="604" t="str">
        <x:v>欧洲非五大系列</x:v>
      </x:c>
      <x:c r="D1522" s="604" t="inlineStr">
        <x:is>
          <x:t xml:space="preserve"/>
        </x:is>
      </x:c>
      <x:c r="E1522" s="604" t="inlineStr">
        <x:is>
          <x:t xml:space="preserve">奥丙北</x:t>
        </x:is>
      </x:c>
      <x:c r="F1522" s="604" t="inlineStr">
        <x:is>
          <x:t xml:space="preserve">斯哈尔巴赫 vs 瓦勒恩</x:t>
        </x:is>
      </x:c>
      <x:c r="G1522" s="604" t="n">
        <x:v>0.8</x:v>
      </x:c>
      <x:c r="H1522" s="604" t="n">
        <x:v>-0.25</x:v>
      </x:c>
      <x:c r="I1522" s="604" t="n">
        <x:v>1</x:v>
      </x:c>
      <x:c r="J1522" s="604" t="inlineStr">
        <x:is>
          <x:t xml:space="preserve">0.8/-0.25/1.0</x:t>
        </x:is>
      </x:c>
      <x:c r="K1522" s="604" t="inlineStr">
        <x:is>
          <x:t xml:space="preserve">V4-N</x:t>
        </x:is>
      </x:c>
      <x:c r="L1522" s="604" t="inlineStr">
        <x:is>
          <x:t xml:space="preserve"/>
        </x:is>
      </x:c>
      <x:c r="M1522" s="604" t="n">
        <x:v>0.3362308568247714</x:v>
      </x:c>
      <x:c r="N1522" s="604" t="inlineStr">
        <x:is>
          <x:t xml:space="preserve">V4 Shadow Only；real_money=false</x:t>
        </x:is>
      </x:c>
      <x:c r="O1522" s="604" t="inlineStr">
        <x:is>
          <x:t xml:space="preserve">0-0</x:t>
        </x:is>
      </x:c>
      <x:c r="P1522" s="604" t="inlineStr">
        <x:is>
          <x:t xml:space="preserve">EVALUATED</x:t>
        </x:is>
      </x:c>
      <x:c r="Q1522" s="630" t="inlineStr">
        <x:is>
          <x:t xml:space="preserve"/>
        </x:is>
      </x:c>
      <x:c r="R1522" s="604" t="n"/>
      <x:c r="S1522" s="604" t="n"/>
      <x:c r="T1522" s="604" t="inlineStr">
        <x:is>
          <x:t xml:space="preserve">D:\codex\v3_legacy\outputs\football_odds_trader\raw\titan007\20261009\20261009_085232_titan007_odds_snapshot.csv</x:t>
        </x:is>
      </x:c>
      <x:c r="U1522" s="628" t="inlineStr">
        <x:is>
          <x:t xml:space="preserve"/>
        </x:is>
      </x:c>
      <x:c r="V1522" s="604" t="inlineStr">
        <x:is>
          <x:t xml:space="preserve"/>
        </x:is>
      </x:c>
      <x:c r="W1522" s="604" t="inlineStr">
        <x:is>
          <x:t xml:space="preserve"/>
        </x:is>
      </x:c>
      <x:c r="X1522" s="604" t="inlineStr">
        <x:is>
          <x:t xml:space="preserve">3022680</x:t>
        </x:is>
      </x:c>
      <x:c r="Y1522" s="604" t="inlineStr">
        <x:is>
          <x:t xml:space="preserve">V4</x:t>
        </x:is>
      </x:c>
      <x:c r="Z1522" s="604" t="inlineStr">
        <x:is>
          <x:t xml:space="preserve">prior-2026-10-09-v1</x:t>
        </x:is>
      </x:c>
      <x:c r="AA1522" s="604" t="inlineStr">
        <x:is>
          <x:t xml:space="preserve">N</x:t>
        </x:is>
      </x:c>
      <x:c r="AB1522" s="604" t="n">
        <x:v>0.3362308568247714</x:v>
      </x:c>
      <x:c r="AC1522" s="604" t="n">
        <x:v>0.5330942882048701</x:v>
      </x:c>
      <x:c r="AD1522" s="604" t="n">
        <x:v>-0.25</x:v>
      </x:c>
      <x:c r="AE1522" s="604" t="n"/>
      <x:c r="AF1522" s="604" t="n"/>
      <x:c r="AG1522" s="604" t="n">
        <x:v>0.09024457373912476</x:v>
      </x:c>
      <x:c r="AH1522" s="604" t="n"/>
      <x:c r="AI1522" s="604" t="n"/>
      <x:c r="AJ1522" s="604" t="n">
        <x:v>0.09024457373912476</x:v>
      </x:c>
      <x:c r="AK1522" s="604" t="n"/>
      <x:c r="AL1522" s="604" t="n"/>
      <x:c r="AM1522" s="604" t="n"/>
      <x:c r="AN1522" s="604" t="inlineStr">
        <x:is>
          <x:t xml:space="preserve">EVALUATED</x:t>
        </x:is>
      </x:c>
      <x:c r="AO1522" s="604" t="inlineStr">
        <x:is>
          <x:t xml:space="preserve">LOW_QUALITY_GATE;BUCKET_PRIOR_ONLY;INTENT_INTERPRETATION_ONLY;FFL_OPTIONAL;EXPERT_MARKET</x:t>
        </x:is>
      </x:c>
      <x:c r="AP1522" s="604" t="inlineStr">
        <x:is>
          <x:t xml:space="preserve">aee0e7c1c90663304932</x:t>
        </x:is>
      </x:c>
      <x:c r="AQ1522" s="604" t="n"/>
      <x:c r="AR1522" s="604" t="n"/>
      <x:c r="AS1522" s="604" t="n">
        <x:v>-0.25</x:v>
      </x:c>
      <x:c r="AT1522" s="604" t="n">
        <x:v>0.25</x:v>
      </x:c>
      <x:c r="AU1522" s="604" t="n">
        <x:v>0.8</x:v>
      </x:c>
      <x:c r="AV1522" s="604" t="n">
        <x:v>1</x:v>
      </x:c>
      <x:c r="AW1522" s="604" t="inlineStr">
        <x:is>
          <x:t xml:space="preserve">2026-10-09T09:01:21.127001+08:00</x:t>
        </x:is>
      </x:c>
      <x:c r="AX1522" s="604" t="inlineStr">
        <x:is>
          <x:t xml:space="preserve">Titan007/V4</x:t>
        </x:is>
      </x:c>
      <x:c r="AY1522" s="604" t="inlineStr">
        <x:is>
          <x:t xml:space="preserve">Daily append；市场输入缺失时不生成决策</x:t>
        </x:is>
      </x:c>
    </x:row>
    <x:row r="1523" ht="22" customHeight="1">
      <x:c r="A1523" s="604" t="inlineStr">
        <x:is>
          <x:t xml:space="preserve">2026-10-09</x:t>
        </x:is>
      </x:c>
      <x:c r="B1523" s="604" t="inlineStr">
        <x:is>
          <x:t xml:space="preserve">2026-10-10T01:15:00+08:00</x:t>
        </x:is>
      </x:c>
      <x:c r="C1523" s="604" t="str">
        <x:v>欧洲非五大系列</x:v>
      </x:c>
      <x:c r="D1523" s="604" t="inlineStr">
        <x:is>
          <x:t xml:space="preserve"/>
        </x:is>
      </x:c>
      <x:c r="E1523" s="604" t="inlineStr">
        <x:is>
          <x:t xml:space="preserve">奥丙北</x:t>
        </x:is>
      </x:c>
      <x:c r="F1523" s="604" t="inlineStr">
        <x:is>
          <x:t xml:space="preserve">OTSU哈莱恩 vs 圣约翰</x:t>
        </x:is>
      </x:c>
      <x:c r="G1523" s="604" t="n"/>
      <x:c r="H1523" s="604" t="n"/>
      <x:c r="I1523" s="604" t="n"/>
      <x:c r="J1523" s="604" t="inlineStr">
        <x:is>
          <x:t xml:space="preserve">//</x:t>
        </x:is>
      </x:c>
      <x:c r="K1523" s="604" t="inlineStr">
        <x:is>
          <x:t xml:space="preserve">V4不可用：市场输入缺失</x:t>
        </x:is>
      </x:c>
      <x:c r="L1523" s="604" t="inlineStr">
        <x:is>
          <x:t xml:space="preserve"/>
        </x:is>
      </x:c>
      <x:c r="M1523" s="604" t="n"/>
      <x:c r="N1523" s="604" t="inlineStr">
        <x:is>
          <x:t xml:space="preserve">V4 Shadow Only；real_money=false</x:t>
        </x:is>
      </x:c>
      <x:c r="O1523" s="604" t="inlineStr">
        <x:is>
          <x:t xml:space="preserve">0-0</x:t>
        </x:is>
      </x:c>
      <x:c r="P1523" s="604" t="inlineStr">
        <x:is>
          <x:t xml:space="preserve">MISSING_DATA</x:t>
        </x:is>
      </x:c>
      <x:c r="Q1523" s="630" t="inlineStr">
        <x:is>
          <x:t xml:space="preserve"/>
        </x:is>
      </x:c>
      <x:c r="R1523" s="604" t="n"/>
      <x:c r="S1523" s="604" t="n"/>
      <x:c r="T1523" s="604" t="inlineStr">
        <x:is>
          <x:t xml:space="preserve">D:\codex\v3_legacy\outputs\football_odds_trader\raw\titan007\20261009\20261009_085232_titan007_odds_snapshot.csv</x:t>
        </x:is>
      </x:c>
      <x:c r="U1523" s="628" t="inlineStr">
        <x:is>
          <x:t xml:space="preserve"/>
        </x:is>
      </x:c>
      <x:c r="V1523" s="604" t="inlineStr">
        <x:is>
          <x:t xml:space="preserve"/>
        </x:is>
      </x:c>
      <x:c r="W1523" s="604" t="inlineStr">
        <x:is>
          <x:t xml:space="preserve"/>
        </x:is>
      </x:c>
      <x:c r="X1523" s="604" t="inlineStr">
        <x:is>
          <x:t xml:space="preserve">3022681</x:t>
        </x:is>
      </x:c>
      <x:c r="Y1523" s="604" t="inlineStr">
        <x:is>
          <x:t xml:space="preserve">V4</x:t>
        </x:is>
      </x:c>
      <x:c r="Z1523" s="604" t="inlineStr">
        <x:is>
          <x:t xml:space="preserve">prior-2026-10-09-v1</x:t>
        </x:is>
      </x:c>
      <x:c r="AA1523" s="604" t="inlineStr">
        <x:is>
          <x:t xml:space="preserve"/>
        </x:is>
      </x:c>
      <x:c r="AB1523" s="604" t="n"/>
      <x:c r="AC1523" s="604" t="n"/>
      <x:c r="AD1523" s="604" t="n"/>
      <x:c r="AE1523" s="604" t="n"/>
      <x:c r="AF1523" s="604" t="n"/>
      <x:c r="AG1523" s="604" t="n"/>
      <x:c r="AH1523" s="604" t="n"/>
      <x:c r="AI1523" s="604" t="n"/>
      <x:c r="AJ1523" s="604" t="n"/>
      <x:c r="AK1523" s="604" t="n"/>
      <x:c r="AL1523" s="604" t="n"/>
      <x:c r="AM1523" s="604" t="n"/>
      <x:c r="AN1523" s="604" t="inlineStr">
        <x:is>
          <x:t xml:space="preserve">MISSING_DATA</x:t>
        </x:is>
      </x:c>
      <x:c r="AO1523" s="604" t="inlineStr">
        <x:is>
          <x:t xml:space="preserve">REQUIRED_MARKET_INPUT_MISSING</x:t>
        </x:is>
      </x:c>
      <x:c r="AP1523" s="604" t="inlineStr">
        <x:is>
          <x:t xml:space="preserve">6dc46c6180c82b0f856b</x:t>
        </x:is>
      </x:c>
      <x:c r="AQ1523" s="604" t="n"/>
      <x:c r="AR1523" s="604" t="n"/>
      <x:c r="AS1523" s="604" t="n"/>
      <x:c r="AT1523" s="604" t="n"/>
      <x:c r="AU1523" s="604" t="n"/>
      <x:c r="AV1523" s="604" t="n"/>
      <x:c r="AW1523" s="604" t="inlineStr">
        <x:is>
          <x:t xml:space="preserve">2026-10-09T09:01:21.127001+08:00</x:t>
        </x:is>
      </x:c>
      <x:c r="AX1523" s="604" t="inlineStr">
        <x:is>
          <x:t xml:space="preserve">Titan007/V4</x:t>
        </x:is>
      </x:c>
      <x:c r="AY1523" s="604" t="inlineStr">
        <x:is>
          <x:t xml:space="preserve">Daily append；市场输入缺失时不生成决策</x:t>
        </x:is>
      </x:c>
    </x:row>
    <x:row r="1524" ht="22" customHeight="1">
      <x:c r="A1524" s="604" t="inlineStr">
        <x:is>
          <x:t xml:space="preserve">2026-10-09</x:t>
        </x:is>
      </x:c>
      <x:c r="B1524" s="604" t="inlineStr">
        <x:is>
          <x:t xml:space="preserve">2026-10-10T01:00:00+08:00</x:t>
        </x:is>
      </x:c>
      <x:c r="C1524" s="604" t="str">
        <x:v>欧洲非五大系列</x:v>
      </x:c>
      <x:c r="D1524" s="604" t="inlineStr">
        <x:is>
          <x:t xml:space="preserve"/>
        </x:is>
      </x:c>
      <x:c r="E1524" s="604" t="inlineStr">
        <x:is>
          <x:t xml:space="preserve">奥丙北</x:t>
        </x:is>
      </x:c>
      <x:c r="F1524" s="604" t="inlineStr">
        <x:is>
          <x:t xml:space="preserve">古尔腾 vs 格鲁瑙</x:t>
        </x:is>
      </x:c>
      <x:c r="G1524" s="604" t="n"/>
      <x:c r="H1524" s="604" t="n"/>
      <x:c r="I1524" s="604" t="n"/>
      <x:c r="J1524" s="604" t="inlineStr">
        <x:is>
          <x:t xml:space="preserve">//</x:t>
        </x:is>
      </x:c>
      <x:c r="K1524" s="604" t="inlineStr">
        <x:is>
          <x:t xml:space="preserve">V4不可用：市场输入缺失</x:t>
        </x:is>
      </x:c>
      <x:c r="L1524" s="604" t="inlineStr">
        <x:is>
          <x:t xml:space="preserve"/>
        </x:is>
      </x:c>
      <x:c r="M1524" s="604" t="n"/>
      <x:c r="N1524" s="604" t="inlineStr">
        <x:is>
          <x:t xml:space="preserve">V4 Shadow Only；real_money=false</x:t>
        </x:is>
      </x:c>
      <x:c r="O1524" s="604" t="inlineStr">
        <x:is>
          <x:t xml:space="preserve">0-0</x:t>
        </x:is>
      </x:c>
      <x:c r="P1524" s="604" t="inlineStr">
        <x:is>
          <x:t xml:space="preserve">MISSING_DATA</x:t>
        </x:is>
      </x:c>
      <x:c r="Q1524" s="630" t="inlineStr">
        <x:is>
          <x:t xml:space="preserve"/>
        </x:is>
      </x:c>
      <x:c r="R1524" s="604" t="n"/>
      <x:c r="S1524" s="604" t="n"/>
      <x:c r="T1524" s="604" t="inlineStr">
        <x:is>
          <x:t xml:space="preserve">D:\codex\v3_legacy\outputs\football_odds_trader\raw\titan007\20261009\20261009_085232_titan007_odds_snapshot.csv</x:t>
        </x:is>
      </x:c>
      <x:c r="U1524" s="628" t="inlineStr">
        <x:is>
          <x:t xml:space="preserve"/>
        </x:is>
      </x:c>
      <x:c r="V1524" s="604" t="inlineStr">
        <x:is>
          <x:t xml:space="preserve"/>
        </x:is>
      </x:c>
      <x:c r="W1524" s="604" t="inlineStr">
        <x:is>
          <x:t xml:space="preserve"/>
        </x:is>
      </x:c>
      <x:c r="X1524" s="604" t="inlineStr">
        <x:is>
          <x:t xml:space="preserve">3022682</x:t>
        </x:is>
      </x:c>
      <x:c r="Y1524" s="604" t="inlineStr">
        <x:is>
          <x:t xml:space="preserve">V4</x:t>
        </x:is>
      </x:c>
      <x:c r="Z1524" s="604" t="inlineStr">
        <x:is>
          <x:t xml:space="preserve">prior-2026-10-09-v1</x:t>
        </x:is>
      </x:c>
      <x:c r="AA1524" s="604" t="inlineStr">
        <x:is>
          <x:t xml:space="preserve"/>
        </x:is>
      </x:c>
      <x:c r="AB1524" s="604" t="n"/>
      <x:c r="AC1524" s="604" t="n"/>
      <x:c r="AD1524" s="604" t="n"/>
      <x:c r="AE1524" s="604" t="n"/>
      <x:c r="AF1524" s="604" t="n"/>
      <x:c r="AG1524" s="604" t="n"/>
      <x:c r="AH1524" s="604" t="n"/>
      <x:c r="AI1524" s="604" t="n"/>
      <x:c r="AJ1524" s="604" t="n"/>
      <x:c r="AK1524" s="604" t="n"/>
      <x:c r="AL1524" s="604" t="n"/>
      <x:c r="AM1524" s="604" t="n"/>
      <x:c r="AN1524" s="604" t="inlineStr">
        <x:is>
          <x:t xml:space="preserve">MISSING_DATA</x:t>
        </x:is>
      </x:c>
      <x:c r="AO1524" s="604" t="inlineStr">
        <x:is>
          <x:t xml:space="preserve">REQUIRED_MARKET_INPUT_MISSING</x:t>
        </x:is>
      </x:c>
      <x:c r="AP1524" s="604" t="inlineStr">
        <x:is>
          <x:t xml:space="preserve">c0f1d2418f70f351f33a</x:t>
        </x:is>
      </x:c>
      <x:c r="AQ1524" s="604" t="n"/>
      <x:c r="AR1524" s="604" t="n"/>
      <x:c r="AS1524" s="604" t="n"/>
      <x:c r="AT1524" s="604" t="n"/>
      <x:c r="AU1524" s="604" t="n"/>
      <x:c r="AV1524" s="604" t="n"/>
      <x:c r="AW1524" s="604" t="inlineStr">
        <x:is>
          <x:t xml:space="preserve">2026-10-09T09:01:21.127001+08:00</x:t>
        </x:is>
      </x:c>
      <x:c r="AX1524" s="604" t="inlineStr">
        <x:is>
          <x:t xml:space="preserve">Titan007/V4</x:t>
        </x:is>
      </x:c>
      <x:c r="AY1524" s="604" t="inlineStr">
        <x:is>
          <x:t xml:space="preserve">Daily append；市场输入缺失时不生成决策</x:t>
        </x:is>
      </x:c>
    </x:row>
    <x:row r="1525" ht="22" customHeight="1">
      <x:c r="A1525" s="604" t="inlineStr">
        <x:is>
          <x:t xml:space="preserve">2026-10-09</x:t>
        </x:is>
      </x:c>
      <x:c r="B1525" s="604" t="inlineStr">
        <x:is>
          <x:t xml:space="preserve">2026-10-09T20:00:00+08:00</x:t>
        </x:is>
      </x:c>
      <x:c r="C1525" s="604" t="str">
        <x:v>其他系列</x:v>
      </x:c>
      <x:c r="D1525" s="604" t="inlineStr">
        <x:is>
          <x:t xml:space="preserve"/>
        </x:is>
      </x:c>
      <x:c r="E1525" s="604" t="inlineStr">
        <x:is>
          <x:t xml:space="preserve">摩尔乙</x:t>
        </x:is>
      </x:c>
      <x:c r="F1525" s="604" t="inlineStr">
        <x:is>
          <x:t xml:space="preserve">FCM温格内 vs 森布鲁B队</x:t>
        </x:is>
      </x:c>
      <x:c r="G1525" s="604" t="n"/>
      <x:c r="H1525" s="604" t="n"/>
      <x:c r="I1525" s="604" t="n"/>
      <x:c r="J1525" s="604" t="inlineStr">
        <x:is>
          <x:t xml:space="preserve">//</x:t>
        </x:is>
      </x:c>
      <x:c r="K1525" s="604" t="inlineStr">
        <x:is>
          <x:t xml:space="preserve">V4不可用：市场输入缺失</x:t>
        </x:is>
      </x:c>
      <x:c r="L1525" s="604" t="inlineStr">
        <x:is>
          <x:t xml:space="preserve"/>
        </x:is>
      </x:c>
      <x:c r="M1525" s="604" t="n"/>
      <x:c r="N1525" s="604" t="inlineStr">
        <x:is>
          <x:t xml:space="preserve">V4 Shadow Only；real_money=false</x:t>
        </x:is>
      </x:c>
      <x:c r="O1525" s="604" t="inlineStr">
        <x:is>
          <x:t xml:space="preserve">0-0</x:t>
        </x:is>
      </x:c>
      <x:c r="P1525" s="604" t="inlineStr">
        <x:is>
          <x:t xml:space="preserve">MISSING_DATA</x:t>
        </x:is>
      </x:c>
      <x:c r="Q1525" s="630" t="inlineStr">
        <x:is>
          <x:t xml:space="preserve"/>
        </x:is>
      </x:c>
      <x:c r="R1525" s="604" t="n"/>
      <x:c r="S1525" s="604" t="n"/>
      <x:c r="T1525" s="604" t="inlineStr">
        <x:is>
          <x:t xml:space="preserve">D:\codex\v3_legacy\outputs\football_odds_trader\raw\titan007\20261009\20261009_085232_titan007_odds_snapshot.csv</x:t>
        </x:is>
      </x:c>
      <x:c r="U1525" s="628" t="inlineStr">
        <x:is>
          <x:t xml:space="preserve"/>
        </x:is>
      </x:c>
      <x:c r="V1525" s="604" t="inlineStr">
        <x:is>
          <x:t xml:space="preserve"/>
        </x:is>
      </x:c>
      <x:c r="W1525" s="604" t="inlineStr">
        <x:is>
          <x:t xml:space="preserve"/>
        </x:is>
      </x:c>
      <x:c r="X1525" s="604" t="inlineStr">
        <x:is>
          <x:t xml:space="preserve">3022969</x:t>
        </x:is>
      </x:c>
      <x:c r="Y1525" s="604" t="inlineStr">
        <x:is>
          <x:t xml:space="preserve">V4</x:t>
        </x:is>
      </x:c>
      <x:c r="Z1525" s="604" t="inlineStr">
        <x:is>
          <x:t xml:space="preserve">prior-2026-10-09-v1</x:t>
        </x:is>
      </x:c>
      <x:c r="AA1525" s="604" t="inlineStr">
        <x:is>
          <x:t xml:space="preserve"/>
        </x:is>
      </x:c>
      <x:c r="AB1525" s="604" t="n"/>
      <x:c r="AC1525" s="604" t="n"/>
      <x:c r="AD1525" s="604" t="n"/>
      <x:c r="AE1525" s="604" t="n"/>
      <x:c r="AF1525" s="604" t="n"/>
      <x:c r="AG1525" s="604" t="n"/>
      <x:c r="AH1525" s="604" t="n"/>
      <x:c r="AI1525" s="604" t="n"/>
      <x:c r="AJ1525" s="604" t="n"/>
      <x:c r="AK1525" s="604" t="n"/>
      <x:c r="AL1525" s="604" t="n"/>
      <x:c r="AM1525" s="604" t="n"/>
      <x:c r="AN1525" s="604" t="inlineStr">
        <x:is>
          <x:t xml:space="preserve">MISSING_DATA</x:t>
        </x:is>
      </x:c>
      <x:c r="AO1525" s="604" t="inlineStr">
        <x:is>
          <x:t xml:space="preserve">REQUIRED_MARKET_INPUT_MISSING</x:t>
        </x:is>
      </x:c>
      <x:c r="AP1525" s="604" t="inlineStr">
        <x:is>
          <x:t xml:space="preserve">c355ce101226d9a6d6ad</x:t>
        </x:is>
      </x:c>
      <x:c r="AQ1525" s="604" t="n"/>
      <x:c r="AR1525" s="604" t="n"/>
      <x:c r="AS1525" s="604" t="n"/>
      <x:c r="AT1525" s="604" t="n"/>
      <x:c r="AU1525" s="604" t="n"/>
      <x:c r="AV1525" s="604" t="n"/>
      <x:c r="AW1525" s="604" t="inlineStr">
        <x:is>
          <x:t xml:space="preserve">2026-10-09T09:01:21.127001+08:00</x:t>
        </x:is>
      </x:c>
      <x:c r="AX1525" s="604" t="inlineStr">
        <x:is>
          <x:t xml:space="preserve">Titan007/V4</x:t>
        </x:is>
      </x:c>
      <x:c r="AY1525" s="604" t="inlineStr">
        <x:is>
          <x:t xml:space="preserve">Daily append；市场输入缺失时不生成决策</x:t>
        </x:is>
      </x:c>
    </x:row>
    <x:row r="1526" ht="22" customHeight="1">
      <x:c r="A1526" s="604" t="inlineStr">
        <x:is>
          <x:t xml:space="preserve">2026-10-09</x:t>
        </x:is>
      </x:c>
      <x:c r="B1526" s="604" t="inlineStr">
        <x:is>
          <x:t xml:space="preserve">2026-10-09T20:00:00+08:00</x:t>
        </x:is>
      </x:c>
      <x:c r="C1526" s="604" t="str">
        <x:v>其他系列</x:v>
      </x:c>
      <x:c r="D1526" s="604" t="inlineStr">
        <x:is>
          <x:t xml:space="preserve"/>
        </x:is>
      </x:c>
      <x:c r="E1526" s="604" t="inlineStr">
        <x:is>
          <x:t xml:space="preserve">摩尔乙</x:t>
        </x:is>
      </x:c>
      <x:c r="F1526" s="604" t="inlineStr">
        <x:is>
          <x:t xml:space="preserve">勇敢老鹰 vs 加高兹亚</x:t>
        </x:is>
      </x:c>
      <x:c r="G1526" s="604" t="n"/>
      <x:c r="H1526" s="604" t="n"/>
      <x:c r="I1526" s="604" t="n"/>
      <x:c r="J1526" s="604" t="inlineStr">
        <x:is>
          <x:t xml:space="preserve">//</x:t>
        </x:is>
      </x:c>
      <x:c r="K1526" s="604" t="inlineStr">
        <x:is>
          <x:t xml:space="preserve">V4不可用：市场输入缺失</x:t>
        </x:is>
      </x:c>
      <x:c r="L1526" s="604" t="inlineStr">
        <x:is>
          <x:t xml:space="preserve"/>
        </x:is>
      </x:c>
      <x:c r="M1526" s="604" t="n"/>
      <x:c r="N1526" s="604" t="inlineStr">
        <x:is>
          <x:t xml:space="preserve">V4 Shadow Only；real_money=false</x:t>
        </x:is>
      </x:c>
      <x:c r="O1526" s="604" t="inlineStr">
        <x:is>
          <x:t xml:space="preserve">0-0</x:t>
        </x:is>
      </x:c>
      <x:c r="P1526" s="604" t="inlineStr">
        <x:is>
          <x:t xml:space="preserve">MISSING_DATA</x:t>
        </x:is>
      </x:c>
      <x:c r="Q1526" s="630" t="inlineStr">
        <x:is>
          <x:t xml:space="preserve"/>
        </x:is>
      </x:c>
      <x:c r="R1526" s="604" t="n"/>
      <x:c r="S1526" s="604" t="n"/>
      <x:c r="T1526" s="604" t="inlineStr">
        <x:is>
          <x:t xml:space="preserve">D:\codex\v3_legacy\outputs\football_odds_trader\raw\titan007\20261009\20261009_085232_titan007_odds_snapshot.csv</x:t>
        </x:is>
      </x:c>
      <x:c r="U1526" s="628" t="inlineStr">
        <x:is>
          <x:t xml:space="preserve"/>
        </x:is>
      </x:c>
      <x:c r="V1526" s="604" t="inlineStr">
        <x:is>
          <x:t xml:space="preserve"/>
        </x:is>
      </x:c>
      <x:c r="W1526" s="604" t="inlineStr">
        <x:is>
          <x:t xml:space="preserve"/>
        </x:is>
      </x:c>
      <x:c r="X1526" s="604" t="inlineStr">
        <x:is>
          <x:t xml:space="preserve">3022971</x:t>
        </x:is>
      </x:c>
      <x:c r="Y1526" s="604" t="inlineStr">
        <x:is>
          <x:t xml:space="preserve">V4</x:t>
        </x:is>
      </x:c>
      <x:c r="Z1526" s="604" t="inlineStr">
        <x:is>
          <x:t xml:space="preserve">prior-2026-10-09-v1</x:t>
        </x:is>
      </x:c>
      <x:c r="AA1526" s="604" t="inlineStr">
        <x:is>
          <x:t xml:space="preserve"/>
        </x:is>
      </x:c>
      <x:c r="AB1526" s="604" t="n"/>
      <x:c r="AC1526" s="604" t="n"/>
      <x:c r="AD1526" s="604" t="n"/>
      <x:c r="AE1526" s="604" t="n"/>
      <x:c r="AF1526" s="604" t="n"/>
      <x:c r="AG1526" s="604" t="n"/>
      <x:c r="AH1526" s="604" t="n"/>
      <x:c r="AI1526" s="604" t="n"/>
      <x:c r="AJ1526" s="604" t="n"/>
      <x:c r="AK1526" s="604" t="n"/>
      <x:c r="AL1526" s="604" t="n"/>
      <x:c r="AM1526" s="604" t="n"/>
      <x:c r="AN1526" s="604" t="inlineStr">
        <x:is>
          <x:t xml:space="preserve">MISSING_DATA</x:t>
        </x:is>
      </x:c>
      <x:c r="AO1526" s="604" t="inlineStr">
        <x:is>
          <x:t xml:space="preserve">REQUIRED_MARKET_INPUT_MISSING</x:t>
        </x:is>
      </x:c>
      <x:c r="AP1526" s="604" t="inlineStr">
        <x:is>
          <x:t xml:space="preserve">7562d8fbfddf1771c25a</x:t>
        </x:is>
      </x:c>
      <x:c r="AQ1526" s="604" t="n"/>
      <x:c r="AR1526" s="604" t="n"/>
      <x:c r="AS1526" s="604" t="n"/>
      <x:c r="AT1526" s="604" t="n"/>
      <x:c r="AU1526" s="604" t="n"/>
      <x:c r="AV1526" s="604" t="n"/>
      <x:c r="AW1526" s="604" t="inlineStr">
        <x:is>
          <x:t xml:space="preserve">2026-10-09T09:01:21.127001+08:00</x:t>
        </x:is>
      </x:c>
      <x:c r="AX1526" s="604" t="inlineStr">
        <x:is>
          <x:t xml:space="preserve">Titan007/V4</x:t>
        </x:is>
      </x:c>
      <x:c r="AY1526" s="604" t="inlineStr">
        <x:is>
          <x:t xml:space="preserve">Daily append；市场输入缺失时不生成决策</x:t>
        </x:is>
      </x:c>
    </x:row>
    <x:row r="1527" ht="22" customHeight="1">
      <x:c r="A1527" s="604" t="inlineStr">
        <x:is>
          <x:t xml:space="preserve">2026-10-09</x:t>
        </x:is>
      </x:c>
      <x:c r="B1527" s="604" t="inlineStr">
        <x:is>
          <x:t xml:space="preserve">2026-10-09T20:00:00+08:00</x:t>
        </x:is>
      </x:c>
      <x:c r="C1527" s="604" t="str">
        <x:v>其他系列</x:v>
      </x:c>
      <x:c r="D1527" s="604" t="inlineStr">
        <x:is>
          <x:t xml:space="preserve"/>
        </x:is>
      </x:c>
      <x:c r="E1527" s="604" t="inlineStr">
        <x:is>
          <x:t xml:space="preserve">摩尔乙</x:t>
        </x:is>
      </x:c>
      <x:c r="F1527" s="604" t="inlineStr">
        <x:is>
          <x:t xml:space="preserve">奥古斯波特 vs 斯特乌切尼</x:t>
        </x:is>
      </x:c>
      <x:c r="G1527" s="604" t="n"/>
      <x:c r="H1527" s="604" t="n"/>
      <x:c r="I1527" s="604" t="n"/>
      <x:c r="J1527" s="604" t="inlineStr">
        <x:is>
          <x:t xml:space="preserve">//</x:t>
        </x:is>
      </x:c>
      <x:c r="K1527" s="604" t="inlineStr">
        <x:is>
          <x:t xml:space="preserve">V4不可用：市场输入缺失</x:t>
        </x:is>
      </x:c>
      <x:c r="L1527" s="604" t="inlineStr">
        <x:is>
          <x:t xml:space="preserve"/>
        </x:is>
      </x:c>
      <x:c r="M1527" s="604" t="n"/>
      <x:c r="N1527" s="604" t="inlineStr">
        <x:is>
          <x:t xml:space="preserve">V4 Shadow Only；real_money=false</x:t>
        </x:is>
      </x:c>
      <x:c r="O1527" s="604" t="inlineStr">
        <x:is>
          <x:t xml:space="preserve">0-0</x:t>
        </x:is>
      </x:c>
      <x:c r="P1527" s="604" t="inlineStr">
        <x:is>
          <x:t xml:space="preserve">MISSING_DATA</x:t>
        </x:is>
      </x:c>
      <x:c r="Q1527" s="630" t="inlineStr">
        <x:is>
          <x:t xml:space="preserve"/>
        </x:is>
      </x:c>
      <x:c r="R1527" s="604" t="n"/>
      <x:c r="S1527" s="604" t="n"/>
      <x:c r="T1527" s="604" t="inlineStr">
        <x:is>
          <x:t xml:space="preserve">D:\codex\v3_legacy\outputs\football_odds_trader\raw\titan007\20261009\20261009_085232_titan007_odds_snapshot.csv</x:t>
        </x:is>
      </x:c>
      <x:c r="U1527" s="628" t="inlineStr">
        <x:is>
          <x:t xml:space="preserve"/>
        </x:is>
      </x:c>
      <x:c r="V1527" s="604" t="inlineStr">
        <x:is>
          <x:t xml:space="preserve"/>
        </x:is>
      </x:c>
      <x:c r="W1527" s="604" t="inlineStr">
        <x:is>
          <x:t xml:space="preserve"/>
        </x:is>
      </x:c>
      <x:c r="X1527" s="604" t="inlineStr">
        <x:is>
          <x:t xml:space="preserve">3023015</x:t>
        </x:is>
      </x:c>
      <x:c r="Y1527" s="604" t="inlineStr">
        <x:is>
          <x:t xml:space="preserve">V4</x:t>
        </x:is>
      </x:c>
      <x:c r="Z1527" s="604" t="inlineStr">
        <x:is>
          <x:t xml:space="preserve">prior-2026-10-09-v1</x:t>
        </x:is>
      </x:c>
      <x:c r="AA1527" s="604" t="inlineStr">
        <x:is>
          <x:t xml:space="preserve"/>
        </x:is>
      </x:c>
      <x:c r="AB1527" s="604" t="n"/>
      <x:c r="AC1527" s="604" t="n"/>
      <x:c r="AD1527" s="604" t="n"/>
      <x:c r="AE1527" s="604" t="n"/>
      <x:c r="AF1527" s="604" t="n"/>
      <x:c r="AG1527" s="604" t="n"/>
      <x:c r="AH1527" s="604" t="n"/>
      <x:c r="AI1527" s="604" t="n"/>
      <x:c r="AJ1527" s="604" t="n"/>
      <x:c r="AK1527" s="604" t="n"/>
      <x:c r="AL1527" s="604" t="n"/>
      <x:c r="AM1527" s="604" t="n"/>
      <x:c r="AN1527" s="604" t="inlineStr">
        <x:is>
          <x:t xml:space="preserve">MISSING_DATA</x:t>
        </x:is>
      </x:c>
      <x:c r="AO1527" s="604" t="inlineStr">
        <x:is>
          <x:t xml:space="preserve">REQUIRED_MARKET_INPUT_MISSING</x:t>
        </x:is>
      </x:c>
      <x:c r="AP1527" s="604" t="inlineStr">
        <x:is>
          <x:t xml:space="preserve">c04816fcb00a2d60b25f</x:t>
        </x:is>
      </x:c>
      <x:c r="AQ1527" s="604" t="n"/>
      <x:c r="AR1527" s="604" t="n"/>
      <x:c r="AS1527" s="604" t="n"/>
      <x:c r="AT1527" s="604" t="n"/>
      <x:c r="AU1527" s="604" t="n"/>
      <x:c r="AV1527" s="604" t="n"/>
      <x:c r="AW1527" s="604" t="inlineStr">
        <x:is>
          <x:t xml:space="preserve">2026-10-09T09:01:21.127001+08:00</x:t>
        </x:is>
      </x:c>
      <x:c r="AX1527" s="604" t="inlineStr">
        <x:is>
          <x:t xml:space="preserve">Titan007/V4</x:t>
        </x:is>
      </x:c>
      <x:c r="AY1527" s="604" t="inlineStr">
        <x:is>
          <x:t xml:space="preserve">Daily append；市场输入缺失时不生成决策</x:t>
        </x:is>
      </x:c>
    </x:row>
    <x:row r="1528" ht="22" customHeight="1">
      <x:c r="A1528" s="604" t="inlineStr">
        <x:is>
          <x:t xml:space="preserve">2026-10-09</x:t>
        </x:is>
      </x:c>
      <x:c r="B1528" s="604" t="inlineStr">
        <x:is>
          <x:t xml:space="preserve">2026-10-09T22:00:00+08:00</x:t>
        </x:is>
      </x:c>
      <x:c r="C1528" s="604" t="str">
        <x:v>其他系列</x:v>
      </x:c>
      <x:c r="D1528" s="604" t="inlineStr">
        <x:is>
          <x:t xml:space="preserve"/>
        </x:is>
      </x:c>
      <x:c r="E1528" s="604" t="inlineStr">
        <x:is>
          <x:t xml:space="preserve">摩尔乙</x:t>
        </x:is>
      </x:c>
      <x:c r="F1528" s="604" t="inlineStr">
        <x:is>
          <x:t xml:space="preserve">维多利巴尔达尔 vs 弗洛雷斯蒂</x:t>
        </x:is>
      </x:c>
      <x:c r="G1528" s="604" t="n"/>
      <x:c r="H1528" s="604" t="n"/>
      <x:c r="I1528" s="604" t="n"/>
      <x:c r="J1528" s="604" t="inlineStr">
        <x:is>
          <x:t xml:space="preserve">//</x:t>
        </x:is>
      </x:c>
      <x:c r="K1528" s="604" t="inlineStr">
        <x:is>
          <x:t xml:space="preserve">V4不可用：市场输入缺失</x:t>
        </x:is>
      </x:c>
      <x:c r="L1528" s="604" t="inlineStr">
        <x:is>
          <x:t xml:space="preserve"/>
        </x:is>
      </x:c>
      <x:c r="M1528" s="604" t="n"/>
      <x:c r="N1528" s="604" t="inlineStr">
        <x:is>
          <x:t xml:space="preserve">V4 Shadow Only；real_money=false</x:t>
        </x:is>
      </x:c>
      <x:c r="O1528" s="604" t="inlineStr">
        <x:is>
          <x:t xml:space="preserve">0-0</x:t>
        </x:is>
      </x:c>
      <x:c r="P1528" s="604" t="inlineStr">
        <x:is>
          <x:t xml:space="preserve">NOT_PREMATCH</x:t>
        </x:is>
      </x:c>
      <x:c r="Q1528" s="630" t="inlineStr">
        <x:is>
          <x:t xml:space="preserve"/>
        </x:is>
      </x:c>
      <x:c r="R1528" s="604" t="n"/>
      <x:c r="S1528" s="604" t="n"/>
      <x:c r="T1528" s="604" t="inlineStr">
        <x:is>
          <x:t xml:space="preserve">D:\codex\v3_legacy\outputs\football_odds_trader\raw\titan007\20261009\20261009_085232_titan007_odds_snapshot.csv</x:t>
        </x:is>
      </x:c>
      <x:c r="U1528" s="628" t="inlineStr">
        <x:is>
          <x:t xml:space="preserve"/>
        </x:is>
      </x:c>
      <x:c r="V1528" s="604" t="inlineStr">
        <x:is>
          <x:t xml:space="preserve"/>
        </x:is>
      </x:c>
      <x:c r="W1528" s="604" t="inlineStr">
        <x:is>
          <x:t xml:space="preserve"/>
        </x:is>
      </x:c>
      <x:c r="X1528" s="604" t="inlineStr">
        <x:is>
          <x:t xml:space="preserve">3023016</x:t>
        </x:is>
      </x:c>
      <x:c r="Y1528" s="604" t="inlineStr">
        <x:is>
          <x:t xml:space="preserve">V4</x:t>
        </x:is>
      </x:c>
      <x:c r="Z1528" s="604" t="inlineStr">
        <x:is>
          <x:t xml:space="preserve">prior-2026-10-09-v1</x:t>
        </x:is>
      </x:c>
      <x:c r="AA1528" s="604" t="inlineStr">
        <x:is>
          <x:t xml:space="preserve"/>
        </x:is>
      </x:c>
      <x:c r="AB1528" s="604" t="n"/>
      <x:c r="AC1528" s="604" t="n"/>
      <x:c r="AD1528" s="604" t="n"/>
      <x:c r="AE1528" s="604" t="n"/>
      <x:c r="AF1528" s="604" t="n"/>
      <x:c r="AG1528" s="604" t="n"/>
      <x:c r="AH1528" s="604" t="n"/>
      <x:c r="AI1528" s="604" t="n"/>
      <x:c r="AJ1528" s="604" t="n"/>
      <x:c r="AK1528" s="604" t="n"/>
      <x:c r="AL1528" s="604" t="n"/>
      <x:c r="AM1528" s="604" t="n"/>
      <x:c r="AN1528" s="604" t="inlineStr">
        <x:is>
          <x:t xml:space="preserve">NOT_PREMATCH</x:t>
        </x:is>
      </x:c>
      <x:c r="AO1528" s="604" t="inlineStr">
        <x:is>
          <x:t xml:space="preserve">MATCH_NOT_PREMATCH</x:t>
        </x:is>
      </x:c>
      <x:c r="AP1528" s="604" t="inlineStr">
        <x:is>
          <x:t xml:space="preserve">4905023aa2e63eda9b27</x:t>
        </x:is>
      </x:c>
      <x:c r="AQ1528" s="604" t="n"/>
      <x:c r="AR1528" s="604" t="n"/>
      <x:c r="AS1528" s="604" t="n"/>
      <x:c r="AT1528" s="604" t="n"/>
      <x:c r="AU1528" s="604" t="n"/>
      <x:c r="AV1528" s="604" t="n"/>
      <x:c r="AW1528" s="604" t="inlineStr">
        <x:is>
          <x:t xml:space="preserve">2026-10-09T09:01:21.127001+08:00</x:t>
        </x:is>
      </x:c>
      <x:c r="AX1528" s="604" t="inlineStr">
        <x:is>
          <x:t xml:space="preserve">Titan007/V4</x:t>
        </x:is>
      </x:c>
      <x:c r="AY1528" s="604" t="inlineStr">
        <x:is>
          <x:t xml:space="preserve">Daily append；市场输入缺失时不生成决策</x:t>
        </x:is>
      </x:c>
    </x:row>
    <x:row r="1529" ht="22" customHeight="1">
      <x:c r="A1529" s="604" t="inlineStr">
        <x:is>
          <x:t xml:space="preserve">2026-10-09</x:t>
        </x:is>
      </x:c>
      <x:c r="B1529" s="604" t="inlineStr">
        <x:is>
          <x:t xml:space="preserve">2026-10-10T03:15:00+08:00</x:t>
        </x:is>
      </x:c>
      <x:c r="C1529" s="604" t="str">
        <x:v>欧洲非五大系列</x:v>
      </x:c>
      <x:c r="D1529" s="604" t="inlineStr">
        <x:is>
          <x:t xml:space="preserve"/>
        </x:is>
      </x:c>
      <x:c r="E1529" s="604" t="inlineStr">
        <x:is>
          <x:t xml:space="preserve">葡超</x:t>
        </x:is>
      </x:c>
      <x:c r="F1529" s="604" t="inlineStr">
        <x:is>
          <x:t xml:space="preserve">布拉加 vs 葡萄牙体育</x:t>
        </x:is>
      </x:c>
      <x:c r="G1529" s="604" t="n">
        <x:v>1.01</x:v>
      </x:c>
      <x:c r="H1529" s="604" t="n">
        <x:v>-0.25</x:v>
      </x:c>
      <x:c r="I1529" s="604" t="n">
        <x:v>0.87</x:v>
      </x:c>
      <x:c r="J1529" s="604" t="inlineStr">
        <x:is>
          <x:t xml:space="preserve">1.01/-0.25/0.87</x:t>
        </x:is>
      </x:c>
      <x:c r="K1529" s="604" t="inlineStr">
        <x:is>
          <x:t xml:space="preserve">V4-N</x:t>
        </x:is>
      </x:c>
      <x:c r="L1529" s="604" t="inlineStr">
        <x:is>
          <x:t xml:space="preserve"/>
        </x:is>
      </x:c>
      <x:c r="M1529" s="604" t="n">
        <x:v>0.249952747707101</x:v>
      </x:c>
      <x:c r="N1529" s="604" t="inlineStr">
        <x:is>
          <x:t xml:space="preserve">V4 Shadow Only；real_money=false</x:t>
        </x:is>
      </x:c>
      <x:c r="O1529" s="604" t="inlineStr">
        <x:is>
          <x:t xml:space="preserve">0-0</x:t>
        </x:is>
      </x:c>
      <x:c r="P1529" s="604" t="inlineStr">
        <x:is>
          <x:t xml:space="preserve">EVALUATED</x:t>
        </x:is>
      </x:c>
      <x:c r="Q1529" s="630" t="inlineStr">
        <x:is>
          <x:t xml:space="preserve"/>
        </x:is>
      </x:c>
      <x:c r="R1529" s="604" t="n"/>
      <x:c r="S1529" s="604" t="n"/>
      <x:c r="T1529" s="604" t="inlineStr">
        <x:is>
          <x:t xml:space="preserve">D:\codex\v3_legacy\outputs\football_odds_trader\raw\titan007\20261009\20261009_085232_titan007_odds_snapshot.csv</x:t>
        </x:is>
      </x:c>
      <x:c r="U1529" s="628" t="inlineStr">
        <x:is>
          <x:t xml:space="preserve"/>
        </x:is>
      </x:c>
      <x:c r="V1529" s="604" t="inlineStr">
        <x:is>
          <x:t xml:space="preserve"/>
        </x:is>
      </x:c>
      <x:c r="W1529" s="604" t="inlineStr">
        <x:is>
          <x:t xml:space="preserve"/>
        </x:is>
      </x:c>
      <x:c r="X1529" s="604" t="inlineStr">
        <x:is>
          <x:t xml:space="preserve">3023497</x:t>
        </x:is>
      </x:c>
      <x:c r="Y1529" s="604" t="inlineStr">
        <x:is>
          <x:t xml:space="preserve">V4</x:t>
        </x:is>
      </x:c>
      <x:c r="Z1529" s="604" t="inlineStr">
        <x:is>
          <x:t xml:space="preserve">prior-2026-10-09-v1</x:t>
        </x:is>
      </x:c>
      <x:c r="AA1529" s="604" t="inlineStr">
        <x:is>
          <x:t xml:space="preserve">N</x:t>
        </x:is>
      </x:c>
      <x:c r="AB1529" s="604" t="n">
        <x:v>0.249952747707101</x:v>
      </x:c>
      <x:c r="AC1529" s="604" t="n">
        <x:v>0.6235658487801723</x:v>
      </x:c>
      <x:c r="AD1529" s="604" t="n">
        <x:v>-0.5</x:v>
      </x:c>
      <x:c r="AE1529" s="604" t="n"/>
      <x:c r="AF1529" s="604" t="n"/>
      <x:c r="AG1529" s="604" t="n">
        <x:v>0.3798487595608729</x:v>
      </x:c>
      <x:c r="AH1529" s="604" t="n"/>
      <x:c r="AI1529" s="604" t="n"/>
      <x:c r="AJ1529" s="604" t="n">
        <x:v>0.3798487595608729</x:v>
      </x:c>
      <x:c r="AK1529" s="604" t="n"/>
      <x:c r="AL1529" s="604" t="n"/>
      <x:c r="AM1529" s="604" t="n"/>
      <x:c r="AN1529" s="604" t="inlineStr">
        <x:is>
          <x:t xml:space="preserve">EVALUATED</x:t>
        </x:is>
      </x:c>
      <x:c r="AO1529" s="604" t="inlineStr">
        <x:is>
          <x:t xml:space="preserve">LOW_QUALITY_GATE;BUCKET_PRIOR_ONLY;INTENT_INTERPRETATION_ONLY;FFL_OPTIONAL;EXPERT_MARKET</x:t>
        </x:is>
      </x:c>
      <x:c r="AP1529" s="604" t="inlineStr">
        <x:is>
          <x:t xml:space="preserve">70ffabaf70e70c32b3f0</x:t>
        </x:is>
      </x:c>
      <x:c r="AQ1529" s="604" t="n"/>
      <x:c r="AR1529" s="604" t="n"/>
      <x:c r="AS1529" s="604" t="n">
        <x:v>-0.25</x:v>
      </x:c>
      <x:c r="AT1529" s="604" t="n">
        <x:v>0.25</x:v>
      </x:c>
      <x:c r="AU1529" s="604" t="n">
        <x:v>1.01</x:v>
      </x:c>
      <x:c r="AV1529" s="604" t="n">
        <x:v>0.87</x:v>
      </x:c>
      <x:c r="AW1529" s="604" t="inlineStr">
        <x:is>
          <x:t xml:space="preserve">2026-10-09T09:01:21.127001+08:00</x:t>
        </x:is>
      </x:c>
      <x:c r="AX1529" s="604" t="inlineStr">
        <x:is>
          <x:t xml:space="preserve">Titan007/V4</x:t>
        </x:is>
      </x:c>
      <x:c r="AY1529" s="604" t="inlineStr">
        <x:is>
          <x:t xml:space="preserve">Daily append；市场输入缺失时不生成决策</x:t>
        </x:is>
      </x:c>
    </x:row>
    <x:row r="1530" ht="22" customHeight="1">
      <x:c r="A1530" s="604" t="inlineStr">
        <x:is>
          <x:t xml:space="preserve">2026-10-09</x:t>
        </x:is>
      </x:c>
      <x:c r="B1530" s="604" t="inlineStr">
        <x:is>
          <x:t xml:space="preserve">2026-10-10T01:45:00+08:00</x:t>
        </x:is>
      </x:c>
      <x:c r="C1530" s="604" t="str">
        <x:v>欧洲非五大系列</x:v>
      </x:c>
      <x:c r="D1530" s="604" t="inlineStr">
        <x:is>
          <x:t xml:space="preserve"/>
        </x:is>
      </x:c>
      <x:c r="E1530" s="604" t="inlineStr">
        <x:is>
          <x:t xml:space="preserve">葡超</x:t>
        </x:is>
      </x:c>
      <x:c r="F1530" s="604" t="inlineStr">
        <x:is>
          <x:t xml:space="preserve">摩里伦斯 vs 吉维森特</x:t>
        </x:is>
      </x:c>
      <x:c r="G1530" s="604" t="n">
        <x:v>0.9</x:v>
      </x:c>
      <x:c r="H1530" s="604" t="n">
        <x:v>-0.25</x:v>
      </x:c>
      <x:c r="I1530" s="604" t="n">
        <x:v>0.98</x:v>
      </x:c>
      <x:c r="J1530" s="604" t="inlineStr">
        <x:is>
          <x:t xml:space="preserve">0.9/-0.25/0.98</x:t>
        </x:is>
      </x:c>
      <x:c r="K1530" s="604" t="inlineStr">
        <x:is>
          <x:t xml:space="preserve">V4-N</x:t>
        </x:is>
      </x:c>
      <x:c r="L1530" s="604" t="inlineStr">
        <x:is>
          <x:t xml:space="preserve"/>
        </x:is>
      </x:c>
      <x:c r="M1530" s="604" t="n">
        <x:v>0.2670735223130722</x:v>
      </x:c>
      <x:c r="N1530" s="604" t="inlineStr">
        <x:is>
          <x:t xml:space="preserve">V4 Shadow Only；real_money=false</x:t>
        </x:is>
      </x:c>
      <x:c r="O1530" s="604" t="inlineStr">
        <x:is>
          <x:t xml:space="preserve">0-0</x:t>
        </x:is>
      </x:c>
      <x:c r="P1530" s="604" t="inlineStr">
        <x:is>
          <x:t xml:space="preserve">EVALUATED</x:t>
        </x:is>
      </x:c>
      <x:c r="Q1530" s="630" t="inlineStr">
        <x:is>
          <x:t xml:space="preserve"/>
        </x:is>
      </x:c>
      <x:c r="R1530" s="604" t="n"/>
      <x:c r="S1530" s="604" t="n"/>
      <x:c r="T1530" s="604" t="inlineStr">
        <x:is>
          <x:t xml:space="preserve">D:\codex\v3_legacy\outputs\football_odds_trader\raw\titan007\20261009\20261009_085232_titan007_odds_snapshot.csv</x:t>
        </x:is>
      </x:c>
      <x:c r="U1530" s="628" t="inlineStr">
        <x:is>
          <x:t xml:space="preserve"/>
        </x:is>
      </x:c>
      <x:c r="V1530" s="604" t="inlineStr">
        <x:is>
          <x:t xml:space="preserve"/>
        </x:is>
      </x:c>
      <x:c r="W1530" s="604" t="inlineStr">
        <x:is>
          <x:t xml:space="preserve"/>
        </x:is>
      </x:c>
      <x:c r="X1530" s="604" t="inlineStr">
        <x:is>
          <x:t xml:space="preserve">3023501</x:t>
        </x:is>
      </x:c>
      <x:c r="Y1530" s="604" t="inlineStr">
        <x:is>
          <x:t xml:space="preserve">V4</x:t>
        </x:is>
      </x:c>
      <x:c r="Z1530" s="604" t="inlineStr">
        <x:is>
          <x:t xml:space="preserve">prior-2026-10-09-v1</x:t>
        </x:is>
      </x:c>
      <x:c r="AA1530" s="604" t="inlineStr">
        <x:is>
          <x:t xml:space="preserve">N</x:t>
        </x:is>
      </x:c>
      <x:c r="AB1530" s="604" t="n">
        <x:v>0.2670735223130722</x:v>
      </x:c>
      <x:c r="AC1530" s="604" t="n">
        <x:v>0.6039952023577901</x:v>
      </x:c>
      <x:c r="AD1530" s="604" t="n">
        <x:v>-0.5</x:v>
      </x:c>
      <x:c r="AE1530" s="604" t="n"/>
      <x:c r="AF1530" s="604" t="n"/>
      <x:c r="AG1530" s="604" t="n">
        <x:v>0.2765221598089389</x:v>
      </x:c>
      <x:c r="AH1530" s="604" t="n"/>
      <x:c r="AI1530" s="604" t="n"/>
      <x:c r="AJ1530" s="604" t="n">
        <x:v>0.2765221598089389</x:v>
      </x:c>
      <x:c r="AK1530" s="604" t="n"/>
      <x:c r="AL1530" s="604" t="n"/>
      <x:c r="AM1530" s="604" t="n"/>
      <x:c r="AN1530" s="604" t="inlineStr">
        <x:is>
          <x:t xml:space="preserve">EVALUATED</x:t>
        </x:is>
      </x:c>
      <x:c r="AO1530" s="604" t="inlineStr">
        <x:is>
          <x:t xml:space="preserve">LOW_QUALITY_GATE;BUCKET_PRIOR_ONLY;INTENT_INTERPRETATION_ONLY;FFL_OPTIONAL;EXPERT_MARKET</x:t>
        </x:is>
      </x:c>
      <x:c r="AP1530" s="604" t="inlineStr">
        <x:is>
          <x:t xml:space="preserve">f574d74ca814035afa66</x:t>
        </x:is>
      </x:c>
      <x:c r="AQ1530" s="604" t="n"/>
      <x:c r="AR1530" s="604" t="n"/>
      <x:c r="AS1530" s="604" t="n">
        <x:v>-0.25</x:v>
      </x:c>
      <x:c r="AT1530" s="604" t="n">
        <x:v>0.25</x:v>
      </x:c>
      <x:c r="AU1530" s="604" t="n">
        <x:v>0.9</x:v>
      </x:c>
      <x:c r="AV1530" s="604" t="n">
        <x:v>0.98</x:v>
      </x:c>
      <x:c r="AW1530" s="604" t="inlineStr">
        <x:is>
          <x:t xml:space="preserve">2026-10-09T09:01:21.127001+08:00</x:t>
        </x:is>
      </x:c>
      <x:c r="AX1530" s="604" t="inlineStr">
        <x:is>
          <x:t xml:space="preserve">Titan007/V4</x:t>
        </x:is>
      </x:c>
      <x:c r="AY1530" s="604" t="inlineStr">
        <x:is>
          <x:t xml:space="preserve">Daily append；市场输入缺失时不生成决策</x:t>
        </x:is>
      </x:c>
    </x:row>
    <x:row r="1531" ht="22" customHeight="1">
      <x:c r="A1531" s="604" t="inlineStr">
        <x:is>
          <x:t xml:space="preserve">2026-10-09</x:t>
        </x:is>
      </x:c>
      <x:c r="B1531" s="604" t="inlineStr">
        <x:is>
          <x:t xml:space="preserve">2026-10-10T01:00:00+08:00</x:t>
        </x:is>
      </x:c>
      <x:c r="C1531" s="604" t="str">
        <x:v>欧洲非五大系列</x:v>
      </x:c>
      <x:c r="D1531" s="604" t="inlineStr">
        <x:is>
          <x:t xml:space="preserve"/>
        </x:is>
      </x:c>
      <x:c r="E1531" s="604" t="inlineStr">
        <x:is>
          <x:t xml:space="preserve">葡甲</x:t>
        </x:is>
      </x:c>
      <x:c r="F1531" s="604" t="inlineStr">
        <x:is>
          <x:t xml:space="preserve">佩纳菲尔 vs AVS俱乐部</x:t>
        </x:is>
      </x:c>
      <x:c r="G1531" s="604" t="n">
        <x:v>0.88</x:v>
      </x:c>
      <x:c r="H1531" s="604" t="n">
        <x:v>0.5</x:v>
      </x:c>
      <x:c r="I1531" s="604" t="n">
        <x:v>0.88</x:v>
      </x:c>
      <x:c r="J1531" s="604" t="inlineStr">
        <x:is>
          <x:t xml:space="preserve">0.88/0.5/0.88</x:t>
        </x:is>
      </x:c>
      <x:c r="K1531" s="604" t="inlineStr">
        <x:is>
          <x:t xml:space="preserve">V4-N</x:t>
        </x:is>
      </x:c>
      <x:c r="L1531" s="604" t="inlineStr">
        <x:is>
          <x:t xml:space="preserve"/>
        </x:is>
      </x:c>
      <x:c r="M1531" s="604" t="n">
        <x:v>0.5769725110753708</x:v>
      </x:c>
      <x:c r="N1531" s="604" t="inlineStr">
        <x:is>
          <x:t xml:space="preserve">V4 Shadow Only；real_money=false</x:t>
        </x:is>
      </x:c>
      <x:c r="O1531" s="604" t="inlineStr">
        <x:is>
          <x:t xml:space="preserve">0-0</x:t>
        </x:is>
      </x:c>
      <x:c r="P1531" s="604" t="inlineStr">
        <x:is>
          <x:t xml:space="preserve">EVALUATED</x:t>
        </x:is>
      </x:c>
      <x:c r="Q1531" s="630" t="inlineStr">
        <x:is>
          <x:t xml:space="preserve"/>
        </x:is>
      </x:c>
      <x:c r="R1531" s="604" t="n"/>
      <x:c r="S1531" s="604" t="n"/>
      <x:c r="T1531" s="604" t="inlineStr">
        <x:is>
          <x:t xml:space="preserve">D:\codex\v3_legacy\outputs\football_odds_trader\raw\titan007\20261009\20261009_085232_titan007_odds_snapshot.csv</x:t>
        </x:is>
      </x:c>
      <x:c r="U1531" s="628" t="inlineStr">
        <x:is>
          <x:t xml:space="preserve"/>
        </x:is>
      </x:c>
      <x:c r="V1531" s="604" t="inlineStr">
        <x:is>
          <x:t xml:space="preserve"/>
        </x:is>
      </x:c>
      <x:c r="W1531" s="604" t="inlineStr">
        <x:is>
          <x:t xml:space="preserve"/>
        </x:is>
      </x:c>
      <x:c r="X1531" s="604" t="inlineStr">
        <x:is>
          <x:t xml:space="preserve">3023796</x:t>
        </x:is>
      </x:c>
      <x:c r="Y1531" s="604" t="inlineStr">
        <x:is>
          <x:t xml:space="preserve">V4</x:t>
        </x:is>
      </x:c>
      <x:c r="Z1531" s="604" t="inlineStr">
        <x:is>
          <x:t xml:space="preserve">prior-2026-10-09-v1</x:t>
        </x:is>
      </x:c>
      <x:c r="AA1531" s="604" t="inlineStr">
        <x:is>
          <x:t xml:space="preserve">N</x:t>
        </x:is>
      </x:c>
      <x:c r="AB1531" s="604" t="n">
        <x:v>0.5769725110753708</x:v>
      </x:c>
      <x:c r="AC1531" s="604" t="n">
        <x:v>0.4230274889246292</x:v>
      </x:c>
      <x:c r="AD1531" s="604" t="n">
        <x:v>0.75</x:v>
      </x:c>
      <x:c r="AE1531" s="604" t="n"/>
      <x:c r="AF1531" s="604" t="n"/>
      <x:c r="AG1531" s="604" t="n">
        <x:v>0.08470832082169721</x:v>
      </x:c>
      <x:c r="AH1531" s="604" t="n"/>
      <x:c r="AI1531" s="604" t="n"/>
      <x:c r="AJ1531" s="604" t="n">
        <x:v>0.08470832082169721</x:v>
      </x:c>
      <x:c r="AK1531" s="604" t="n"/>
      <x:c r="AL1531" s="604" t="n"/>
      <x:c r="AM1531" s="604" t="n"/>
      <x:c r="AN1531" s="604" t="inlineStr">
        <x:is>
          <x:t xml:space="preserve">EVALUATED</x:t>
        </x:is>
      </x:c>
      <x:c r="AO1531" s="604" t="inlineStr">
        <x:is>
          <x:t xml:space="preserve">LOW_QUALITY_GATE;BUCKET_PRIOR_ONLY;INTENT_INTERPRETATION_ONLY;FFL_OPTIONAL;EXPERT_MARKET</x:t>
        </x:is>
      </x:c>
      <x:c r="AP1531" s="604" t="inlineStr">
        <x:is>
          <x:t xml:space="preserve">eefd568c3c4f26b7b5c9</x:t>
        </x:is>
      </x:c>
      <x:c r="AQ1531" s="604" t="n"/>
      <x:c r="AR1531" s="604" t="n"/>
      <x:c r="AS1531" s="604" t="n">
        <x:v>0.5</x:v>
      </x:c>
      <x:c r="AT1531" s="604" t="n">
        <x:v>-0.5</x:v>
      </x:c>
      <x:c r="AU1531" s="604" t="n">
        <x:v>0.88</x:v>
      </x:c>
      <x:c r="AV1531" s="604" t="n">
        <x:v>0.88</x:v>
      </x:c>
      <x:c r="AW1531" s="604" t="inlineStr">
        <x:is>
          <x:t xml:space="preserve">2026-10-09T09:01:21.127001+08:00</x:t>
        </x:is>
      </x:c>
      <x:c r="AX1531" s="604" t="inlineStr">
        <x:is>
          <x:t xml:space="preserve">Titan007/V4</x:t>
        </x:is>
      </x:c>
      <x:c r="AY1531" s="604" t="inlineStr">
        <x:is>
          <x:t xml:space="preserve">Daily append；市场输入缺失时不生成决策</x:t>
        </x:is>
      </x:c>
    </x:row>
    <x:row r="1532" ht="22" customHeight="1">
      <x:c r="A1532" s="604" t="inlineStr">
        <x:is>
          <x:t xml:space="preserve">2026-10-09</x:t>
        </x:is>
      </x:c>
      <x:c r="B1532" s="604" t="inlineStr">
        <x:is>
          <x:t xml:space="preserve">2026-10-10T07:00:00+08:00</x:t>
        </x:is>
      </x:c>
      <x:c r="C1532" s="604" t="str">
        <x:v>北美系列</x:v>
      </x:c>
      <x:c r="D1532" s="604" t="inlineStr">
        <x:is>
          <x:t xml:space="preserve"/>
        </x:is>
      </x:c>
      <x:c r="E1532" s="604" t="inlineStr">
        <x:is>
          <x:t xml:space="preserve">墨西甲春</x:t>
        </x:is>
      </x:c>
      <x:c r="F1532" s="604" t="inlineStr">
        <x:is>
          <x:t xml:space="preserve">塔巴蒂奥 vs 拉巴斯竞技</x:t>
        </x:is>
      </x:c>
      <x:c r="G1532" s="604" t="n">
        <x:v>0.91</x:v>
      </x:c>
      <x:c r="H1532" s="604" t="n">
        <x:v>0</x:v>
      </x:c>
      <x:c r="I1532" s="604" t="n">
        <x:v>0.91</x:v>
      </x:c>
      <x:c r="J1532" s="604" t="inlineStr">
        <x:is>
          <x:t xml:space="preserve">0.91/0.0/0.91</x:t>
        </x:is>
      </x:c>
      <x:c r="K1532" s="604" t="inlineStr">
        <x:is>
          <x:t xml:space="preserve">V4-N</x:t>
        </x:is>
      </x:c>
      <x:c r="L1532" s="604" t="inlineStr">
        <x:is>
          <x:t xml:space="preserve"/>
        </x:is>
      </x:c>
      <x:c r="M1532" s="604" t="n"/>
      <x:c r="N1532" s="604" t="inlineStr">
        <x:is>
          <x:t xml:space="preserve">V4 Shadow Only；real_money=false</x:t>
        </x:is>
      </x:c>
      <x:c r="O1532" s="604" t="inlineStr">
        <x:is>
          <x:t xml:space="preserve">0-0</x:t>
        </x:is>
      </x:c>
      <x:c r="P1532" s="604" t="inlineStr">
        <x:is>
          <x:t xml:space="preserve">NEUTRAL</x:t>
        </x:is>
      </x:c>
      <x:c r="Q1532" s="630" t="inlineStr">
        <x:is>
          <x:t xml:space="preserve"/>
        </x:is>
      </x:c>
      <x:c r="R1532" s="604" t="n"/>
      <x:c r="S1532" s="604" t="n"/>
      <x:c r="T1532" s="604" t="inlineStr">
        <x:is>
          <x:t xml:space="preserve">D:\codex\v3_legacy\outputs\football_odds_trader\raw\titan007\20261009\20261009_085232_titan007_odds_snapshot.csv</x:t>
        </x:is>
      </x:c>
      <x:c r="U1532" s="628" t="inlineStr">
        <x:is>
          <x:t xml:space="preserve"/>
        </x:is>
      </x:c>
      <x:c r="V1532" s="604" t="inlineStr">
        <x:is>
          <x:t xml:space="preserve"/>
        </x:is>
      </x:c>
      <x:c r="W1532" s="604" t="inlineStr">
        <x:is>
          <x:t xml:space="preserve"/>
        </x:is>
      </x:c>
      <x:c r="X1532" s="604" t="inlineStr">
        <x:is>
          <x:t xml:space="preserve">3024475</x:t>
        </x:is>
      </x:c>
      <x:c r="Y1532" s="604" t="inlineStr">
        <x:is>
          <x:t xml:space="preserve">V4</x:t>
        </x:is>
      </x:c>
      <x:c r="Z1532" s="604" t="inlineStr">
        <x:is>
          <x:t xml:space="preserve">prior-2026-10-09-v1</x:t>
        </x:is>
      </x:c>
      <x:c r="AA1532" s="604" t="inlineStr">
        <x:is>
          <x:t xml:space="preserve">N</x:t>
        </x:is>
      </x:c>
      <x:c r="AB1532" s="604" t="n"/>
      <x:c r="AC1532" s="604" t="n"/>
      <x:c r="AD1532" s="604" t="n"/>
      <x:c r="AE1532" s="604" t="n"/>
      <x:c r="AF1532" s="604" t="n"/>
      <x:c r="AG1532" s="604" t="n"/>
      <x:c r="AH1532" s="604" t="n"/>
      <x:c r="AI1532" s="604" t="n"/>
      <x:c r="AJ1532" s="604" t="n"/>
      <x:c r="AK1532" s="604" t="n"/>
      <x:c r="AL1532" s="604" t="n"/>
      <x:c r="AM1532" s="604" t="n"/>
      <x:c r="AN1532" s="604" t="inlineStr">
        <x:is>
          <x:t xml:space="preserve">NEUTRAL</x:t>
        </x:is>
      </x:c>
      <x:c r="AO1532" s="604" t="inlineStr">
        <x:is>
          <x:t xml:space="preserve">PK_NO_GIVING_RECEIVING_IDENTITY</x:t>
        </x:is>
      </x:c>
      <x:c r="AP1532" s="604" t="inlineStr">
        <x:is>
          <x:t xml:space="preserve">e5e7978f8a5248559c73</x:t>
        </x:is>
      </x:c>
      <x:c r="AQ1532" s="604" t="n"/>
      <x:c r="AR1532" s="604" t="n"/>
      <x:c r="AS1532" s="604" t="n"/>
      <x:c r="AT1532" s="604" t="n"/>
      <x:c r="AU1532" s="604" t="n"/>
      <x:c r="AV1532" s="604" t="n"/>
      <x:c r="AW1532" s="604" t="inlineStr">
        <x:is>
          <x:t xml:space="preserve">2026-10-09T09:01:21.127001+08:00</x:t>
        </x:is>
      </x:c>
      <x:c r="AX1532" s="604" t="inlineStr">
        <x:is>
          <x:t xml:space="preserve">Titan007/V4</x:t>
        </x:is>
      </x:c>
      <x:c r="AY1532" s="604" t="inlineStr">
        <x:is>
          <x:t xml:space="preserve">Daily append；市场输入缺失时不生成决策</x:t>
        </x:is>
      </x:c>
    </x:row>
    <x:row r="1533" ht="22" customHeight="1">
      <x:c r="A1533" s="604" t="inlineStr">
        <x:is>
          <x:t xml:space="preserve">2026-10-09</x:t>
        </x:is>
      </x:c>
      <x:c r="B1533" s="604" t="inlineStr">
        <x:is>
          <x:t xml:space="preserve">2026-10-10T09:00:00+08:00</x:t>
        </x:is>
      </x:c>
      <x:c r="C1533" s="604" t="str">
        <x:v>北美系列</x:v>
      </x:c>
      <x:c r="D1533" s="604" t="inlineStr">
        <x:is>
          <x:t xml:space="preserve"/>
        </x:is>
      </x:c>
      <x:c r="E1533" s="604" t="inlineStr">
        <x:is>
          <x:t xml:space="preserve">墨西甲春</x:t>
        </x:is>
      </x:c>
      <x:c r="F1533" s="604" t="inlineStr">
        <x:is>
          <x:t xml:space="preserve">帕蒂特兰德莫雷洛斯 vs 莫雷利亚</x:t>
        </x:is>
      </x:c>
      <x:c r="G1533" s="604" t="n">
        <x:v>0.89</x:v>
      </x:c>
      <x:c r="H1533" s="604" t="n">
        <x:v>-1</x:v>
      </x:c>
      <x:c r="I1533" s="604" t="n">
        <x:v>0.93</x:v>
      </x:c>
      <x:c r="J1533" s="604" t="inlineStr">
        <x:is>
          <x:t xml:space="preserve">0.89/-1.0/0.93</x:t>
        </x:is>
      </x:c>
      <x:c r="K1533" s="604" t="inlineStr">
        <x:is>
          <x:t xml:space="preserve">V4-A</x:t>
        </x:is>
      </x:c>
      <x:c r="L1533" s="604" t="inlineStr">
        <x:is>
          <x:t xml:space="preserve">帕蒂特兰德莫雷洛斯</x:t>
        </x:is>
      </x:c>
      <x:c r="M1533" s="604" t="n">
        <x:v>0.02749239758460489</x:v>
      </x:c>
      <x:c r="N1533" s="604" t="inlineStr">
        <x:is>
          <x:t xml:space="preserve">V4 Shadow Only；real_money=false</x:t>
        </x:is>
      </x:c>
      <x:c r="O1533" s="604" t="inlineStr">
        <x:is>
          <x:t xml:space="preserve">0-0</x:t>
        </x:is>
      </x:c>
      <x:c r="P1533" s="604" t="inlineStr">
        <x:is>
          <x:t xml:space="preserve">EVALUATED</x:t>
        </x:is>
      </x:c>
      <x:c r="Q1533" s="630" t="inlineStr">
        <x:is>
          <x:t xml:space="preserve"/>
        </x:is>
      </x:c>
      <x:c r="R1533" s="604" t="n">
        <x:v>0.89</x:v>
      </x:c>
      <x:c r="S1533" s="604" t="n"/>
      <x:c r="T1533" s="604" t="inlineStr">
        <x:is>
          <x:t xml:space="preserve">D:\codex\v3_legacy\outputs\football_odds_trader\raw\titan007\20261009\20261009_085232_titan007_odds_snapshot.csv</x:t>
        </x:is>
      </x:c>
      <x:c r="U1533" s="628" t="inlineStr">
        <x:is>
          <x:t xml:space="preserve"/>
        </x:is>
      </x:c>
      <x:c r="V1533" s="604" t="inlineStr">
        <x:is>
          <x:t xml:space="preserve"/>
        </x:is>
      </x:c>
      <x:c r="W1533" s="604" t="inlineStr">
        <x:is>
          <x:t xml:space="preserve"/>
        </x:is>
      </x:c>
      <x:c r="X1533" s="604" t="inlineStr">
        <x:is>
          <x:t xml:space="preserve">3024480</x:t>
        </x:is>
      </x:c>
      <x:c r="Y1533" s="604" t="inlineStr">
        <x:is>
          <x:t xml:space="preserve">V4</x:t>
        </x:is>
      </x:c>
      <x:c r="Z1533" s="604" t="inlineStr">
        <x:is>
          <x:t xml:space="preserve">prior-2026-10-09-v1</x:t>
        </x:is>
      </x:c>
      <x:c r="AA1533" s="604" t="inlineStr">
        <x:is>
          <x:t xml:space="preserve">A</x:t>
        </x:is>
      </x:c>
      <x:c r="AB1533" s="604" t="n">
        <x:v>0.02749239758460489</x:v>
      </x:c>
      <x:c r="AC1533" s="604" t="n">
        <x:v>0.8901673883993274</x:v>
      </x:c>
      <x:c r="AD1533" s="604" t="n">
        <x:v>-1.25</x:v>
      </x:c>
      <x:c r="AE1533" s="604" t="n"/>
      <x:c r="AF1533" s="604" t="n"/>
      <x:c r="AG1533" s="604" t="n">
        <x:v>0.7647565780907966</x:v>
      </x:c>
      <x:c r="AH1533" s="604" t="n"/>
      <x:c r="AI1533" s="604" t="n"/>
      <x:c r="AJ1533" s="604" t="n">
        <x:v>0.7647565780907966</x:v>
      </x:c>
      <x:c r="AK1533" s="604" t="n"/>
      <x:c r="AL1533" s="604" t="n"/>
      <x:c r="AM1533" s="604" t="n"/>
      <x:c r="AN1533" s="604" t="inlineStr">
        <x:is>
          <x:t xml:space="preserve">EVALUATED</x:t>
        </x:is>
      </x:c>
      <x:c r="AO1533" s="604" t="inlineStr">
        <x:is>
          <x:t xml:space="preserve">RECEIVING_VALIDATED_EDGE;BUCKET_PRIOR_ONLY;INTENT_INTERPRETATION_ONLY;FFL_OPTIONAL;EXPERT_MARKET</x:t>
        </x:is>
      </x:c>
      <x:c r="AP1533" s="604" t="inlineStr">
        <x:is>
          <x:t xml:space="preserve">9b909fa2d0708dd12f75</x:t>
        </x:is>
      </x:c>
      <x:c r="AQ1533" s="604" t="n">
        <x:v>1</x:v>
      </x:c>
      <x:c r="AR1533" s="604" t="n">
        <x:v>0.89</x:v>
      </x:c>
      <x:c r="AS1533" s="604" t="n">
        <x:v>-1</x:v>
      </x:c>
      <x:c r="AT1533" s="604" t="n">
        <x:v>1</x:v>
      </x:c>
      <x:c r="AU1533" s="604" t="n">
        <x:v>0.89</x:v>
      </x:c>
      <x:c r="AV1533" s="604" t="n">
        <x:v>0.93</x:v>
      </x:c>
      <x:c r="AW1533" s="604" t="inlineStr">
        <x:is>
          <x:t xml:space="preserve">2026-10-09T09:01:21.127001+08:00</x:t>
        </x:is>
      </x:c>
      <x:c r="AX1533" s="604" t="inlineStr">
        <x:is>
          <x:t xml:space="preserve">Titan007/V4</x:t>
        </x:is>
      </x:c>
      <x:c r="AY1533" s="604" t="inlineStr">
        <x:is>
          <x:t xml:space="preserve">Daily append；市场输入缺失时不生成决策</x:t>
        </x:is>
      </x:c>
    </x:row>
    <x:row r="1534" ht="22" customHeight="1">
      <x:c r="A1534" s="604" t="inlineStr">
        <x:is>
          <x:t xml:space="preserve">2026-10-09</x:t>
        </x:is>
      </x:c>
      <x:c r="B1534" s="604" t="inlineStr">
        <x:is>
          <x:t xml:space="preserve">2026-10-10T01:00:00+08:00</x:t>
        </x:is>
      </x:c>
      <x:c r="C1534" s="604" t="str">
        <x:v>五大联赛非顶级联赛</x:v>
      </x:c>
      <x:c r="D1534" s="604" t="inlineStr">
        <x:is>
          <x:t xml:space="preserve"/>
        </x:is>
      </x:c>
      <x:c r="E1534" s="604" t="inlineStr">
        <x:is>
          <x:t xml:space="preserve">德丙</x:t>
        </x:is>
      </x:c>
      <x:c r="F1534" s="604" t="inlineStr">
        <x:is>
          <x:t xml:space="preserve">普鲁士明斯特 vs 埃森</x:t>
        </x:is>
      </x:c>
      <x:c r="G1534" s="604" t="n">
        <x:v>0.83</x:v>
      </x:c>
      <x:c r="H1534" s="604" t="n">
        <x:v>-0.5</x:v>
      </x:c>
      <x:c r="I1534" s="604" t="n">
        <x:v>0.93</x:v>
      </x:c>
      <x:c r="J1534" s="604" t="inlineStr">
        <x:is>
          <x:t xml:space="preserve">0.83/-0.5/0.93</x:t>
        </x:is>
      </x:c>
      <x:c r="K1534" s="604" t="inlineStr">
        <x:is>
          <x:t xml:space="preserve">V4-B</x:t>
        </x:is>
      </x:c>
      <x:c r="L1534" s="604" t="inlineStr">
        <x:is>
          <x:t xml:space="preserve">普鲁士明斯特</x:t>
        </x:is>
      </x:c>
      <x:c r="M1534" s="604" t="n">
        <x:v>0.2146780033863807</x:v>
      </x:c>
      <x:c r="N1534" s="604" t="inlineStr">
        <x:is>
          <x:t xml:space="preserve">V4 Shadow Only；real_money=false</x:t>
        </x:is>
      </x:c>
      <x:c r="O1534" s="604" t="inlineStr">
        <x:is>
          <x:t xml:space="preserve">0-0</x:t>
        </x:is>
      </x:c>
      <x:c r="P1534" s="604" t="inlineStr">
        <x:is>
          <x:t xml:space="preserve">EVALUATED</x:t>
        </x:is>
      </x:c>
      <x:c r="Q1534" s="630" t="inlineStr">
        <x:is>
          <x:t xml:space="preserve"/>
        </x:is>
      </x:c>
      <x:c r="R1534" s="604" t="n">
        <x:v>0.83</x:v>
      </x:c>
      <x:c r="S1534" s="604" t="n"/>
      <x:c r="T1534" s="604" t="inlineStr">
        <x:is>
          <x:t xml:space="preserve">D:\codex\v3_legacy\outputs\football_odds_trader\raw\titan007\20261009\20261009_085232_titan007_odds_snapshot.csv</x:t>
        </x:is>
      </x:c>
      <x:c r="U1534" s="628" t="inlineStr">
        <x:is>
          <x:t xml:space="preserve"/>
        </x:is>
      </x:c>
      <x:c r="V1534" s="604" t="inlineStr">
        <x:is>
          <x:t xml:space="preserve"/>
        </x:is>
      </x:c>
      <x:c r="W1534" s="604" t="inlineStr">
        <x:is>
          <x:t xml:space="preserve"/>
        </x:is>
      </x:c>
      <x:c r="X1534" s="604" t="inlineStr">
        <x:is>
          <x:t xml:space="preserve">3026072</x:t>
        </x:is>
      </x:c>
      <x:c r="Y1534" s="604" t="inlineStr">
        <x:is>
          <x:t xml:space="preserve">V4</x:t>
        </x:is>
      </x:c>
      <x:c r="Z1534" s="604" t="inlineStr">
        <x:is>
          <x:t xml:space="preserve">prior-2026-10-09-v1</x:t>
        </x:is>
      </x:c>
      <x:c r="AA1534" s="604" t="inlineStr">
        <x:is>
          <x:t xml:space="preserve">B</x:t>
        </x:is>
      </x:c>
      <x:c r="AB1534" s="604" t="n">
        <x:v>0.2146780033863807</x:v>
      </x:c>
      <x:c r="AC1534" s="604" t="n">
        <x:v>0.7853219966136193</x:v>
      </x:c>
      <x:c r="AD1534" s="604" t="n">
        <x:v>-0.75</x:v>
      </x:c>
      <x:c r="AE1534" s="604" t="n"/>
      <x:c r="AF1534" s="604" t="n"/>
      <x:c r="AG1534" s="604" t="n">
        <x:v>0.4371392538029234</x:v>
      </x:c>
      <x:c r="AH1534" s="604" t="n"/>
      <x:c r="AI1534" s="604" t="n"/>
      <x:c r="AJ1534" s="604" t="n">
        <x:v>0.4371392538029234</x:v>
      </x:c>
      <x:c r="AK1534" s="604" t="n"/>
      <x:c r="AL1534" s="604" t="n"/>
      <x:c r="AM1534" s="604" t="n"/>
      <x:c r="AN1534" s="604" t="inlineStr">
        <x:is>
          <x:t xml:space="preserve">EVALUATED</x:t>
        </x:is>
      </x:c>
      <x:c r="AO1534" s="604" t="inlineStr">
        <x:is>
          <x:t xml:space="preserve">RECEIVING_VALIDATED_EDGE;BUCKET_PRIOR_ONLY;INTENT_INTERPRETATION_ONLY;FFL_OPTIONAL;EXPERT_MARKET</x:t>
        </x:is>
      </x:c>
      <x:c r="AP1534" s="604" t="inlineStr">
        <x:is>
          <x:t xml:space="preserve">5022f93aaf22d221d4de</x:t>
        </x:is>
      </x:c>
      <x:c r="AQ1534" s="604" t="n">
        <x:v>0.5</x:v>
      </x:c>
      <x:c r="AR1534" s="604" t="n">
        <x:v>0.83</x:v>
      </x:c>
      <x:c r="AS1534" s="604" t="n">
        <x:v>-0.5</x:v>
      </x:c>
      <x:c r="AT1534" s="604" t="n">
        <x:v>0.5</x:v>
      </x:c>
      <x:c r="AU1534" s="604" t="n">
        <x:v>0.83</x:v>
      </x:c>
      <x:c r="AV1534" s="604" t="n">
        <x:v>0.93</x:v>
      </x:c>
      <x:c r="AW1534" s="604" t="inlineStr">
        <x:is>
          <x:t xml:space="preserve">2026-10-09T09:01:21.127001+08:00</x:t>
        </x:is>
      </x:c>
      <x:c r="AX1534" s="604" t="inlineStr">
        <x:is>
          <x:t xml:space="preserve">Titan007/V4</x:t>
        </x:is>
      </x:c>
      <x:c r="AY1534" s="604" t="inlineStr">
        <x:is>
          <x:t xml:space="preserve">Daily append；市场输入缺失时不生成决策</x:t>
        </x:is>
      </x:c>
    </x:row>
    <x:row r="1535" ht="22" customHeight="1">
      <x:c r="A1535" s="604" t="inlineStr">
        <x:is>
          <x:t xml:space="preserve">2026-10-09</x:t>
        </x:is>
      </x:c>
      <x:c r="B1535" s="604" t="inlineStr">
        <x:is>
          <x:t xml:space="preserve">2026-10-10T01:00:00+08:00</x:t>
        </x:is>
      </x:c>
      <x:c r="C1535" s="604" t="str">
        <x:v>五大联赛非顶级联赛</x:v>
      </x:c>
      <x:c r="D1535" s="604" t="inlineStr">
        <x:is>
          <x:t xml:space="preserve"/>
        </x:is>
      </x:c>
      <x:c r="E1535" s="604" t="inlineStr">
        <x:is>
          <x:t xml:space="preserve">德地区东北</x:t>
        </x:is>
      </x:c>
      <x:c r="F1535" s="604" t="inlineStr">
        <x:is>
          <x:t xml:space="preserve">艾尔格里尼克 vs 柏林迪纳摩</x:t>
        </x:is>
      </x:c>
      <x:c r="G1535" s="604" t="n">
        <x:v>0.63</x:v>
      </x:c>
      <x:c r="H1535" s="604" t="n">
        <x:v>0</x:v>
      </x:c>
      <x:c r="I1535" s="604" t="n">
        <x:v>1.09</x:v>
      </x:c>
      <x:c r="J1535" s="604" t="inlineStr">
        <x:is>
          <x:t xml:space="preserve">0.63/0.0/1.09</x:t>
        </x:is>
      </x:c>
      <x:c r="K1535" s="604" t="inlineStr">
        <x:is>
          <x:t xml:space="preserve">V4-N</x:t>
        </x:is>
      </x:c>
      <x:c r="L1535" s="604" t="inlineStr">
        <x:is>
          <x:t xml:space="preserve"/>
        </x:is>
      </x:c>
      <x:c r="M1535" s="604" t="n"/>
      <x:c r="N1535" s="604" t="inlineStr">
        <x:is>
          <x:t xml:space="preserve">V4 Shadow Only；real_money=false</x:t>
        </x:is>
      </x:c>
      <x:c r="O1535" s="604" t="inlineStr">
        <x:is>
          <x:t xml:space="preserve">0-0</x:t>
        </x:is>
      </x:c>
      <x:c r="P1535" s="604" t="inlineStr">
        <x:is>
          <x:t xml:space="preserve">NEUTRAL</x:t>
        </x:is>
      </x:c>
      <x:c r="Q1535" s="630" t="inlineStr">
        <x:is>
          <x:t xml:space="preserve"/>
        </x:is>
      </x:c>
      <x:c r="R1535" s="604" t="n"/>
      <x:c r="S1535" s="604" t="n"/>
      <x:c r="T1535" s="604" t="inlineStr">
        <x:is>
          <x:t xml:space="preserve">D:\codex\v3_legacy\outputs\football_odds_trader\raw\titan007\20261009\20261009_085232_titan007_odds_snapshot.csv</x:t>
        </x:is>
      </x:c>
      <x:c r="U1535" s="628" t="inlineStr">
        <x:is>
          <x:t xml:space="preserve"/>
        </x:is>
      </x:c>
      <x:c r="V1535" s="604" t="inlineStr">
        <x:is>
          <x:t xml:space="preserve"/>
        </x:is>
      </x:c>
      <x:c r="W1535" s="604" t="inlineStr">
        <x:is>
          <x:t xml:space="preserve"/>
        </x:is>
      </x:c>
      <x:c r="X1535" s="604" t="inlineStr">
        <x:is>
          <x:t xml:space="preserve">3026481</x:t>
        </x:is>
      </x:c>
      <x:c r="Y1535" s="604" t="inlineStr">
        <x:is>
          <x:t xml:space="preserve">V4</x:t>
        </x:is>
      </x:c>
      <x:c r="Z1535" s="604" t="inlineStr">
        <x:is>
          <x:t xml:space="preserve">prior-2026-10-09-v1</x:t>
        </x:is>
      </x:c>
      <x:c r="AA1535" s="604" t="inlineStr">
        <x:is>
          <x:t xml:space="preserve">N</x:t>
        </x:is>
      </x:c>
      <x:c r="AB1535" s="604" t="n"/>
      <x:c r="AC1535" s="604" t="n"/>
      <x:c r="AD1535" s="604" t="n"/>
      <x:c r="AE1535" s="604" t="n"/>
      <x:c r="AF1535" s="604" t="n"/>
      <x:c r="AG1535" s="604" t="n"/>
      <x:c r="AH1535" s="604" t="n"/>
      <x:c r="AI1535" s="604" t="n"/>
      <x:c r="AJ1535" s="604" t="n"/>
      <x:c r="AK1535" s="604" t="n"/>
      <x:c r="AL1535" s="604" t="n"/>
      <x:c r="AM1535" s="604" t="n"/>
      <x:c r="AN1535" s="604" t="inlineStr">
        <x:is>
          <x:t xml:space="preserve">NEUTRAL</x:t>
        </x:is>
      </x:c>
      <x:c r="AO1535" s="604" t="inlineStr">
        <x:is>
          <x:t xml:space="preserve">PK_NO_GIVING_RECEIVING_IDENTITY</x:t>
        </x:is>
      </x:c>
      <x:c r="AP1535" s="604" t="inlineStr">
        <x:is>
          <x:t xml:space="preserve">6b1ab8b7c76dae309955</x:t>
        </x:is>
      </x:c>
      <x:c r="AQ1535" s="604" t="n"/>
      <x:c r="AR1535" s="604" t="n"/>
      <x:c r="AS1535" s="604" t="n"/>
      <x:c r="AT1535" s="604" t="n"/>
      <x:c r="AU1535" s="604" t="n"/>
      <x:c r="AV1535" s="604" t="n"/>
      <x:c r="AW1535" s="604" t="inlineStr">
        <x:is>
          <x:t xml:space="preserve">2026-10-09T09:01:21.127001+08:00</x:t>
        </x:is>
      </x:c>
      <x:c r="AX1535" s="604" t="inlineStr">
        <x:is>
          <x:t xml:space="preserve">Titan007/V4</x:t>
        </x:is>
      </x:c>
      <x:c r="AY1535" s="604" t="inlineStr">
        <x:is>
          <x:t xml:space="preserve">Daily append；市场输入缺失时不生成决策</x:t>
        </x:is>
      </x:c>
    </x:row>
    <x:row r="1536" ht="22" customHeight="1">
      <x:c r="A1536" s="604" t="inlineStr">
        <x:is>
          <x:t xml:space="preserve">2026-10-09</x:t>
        </x:is>
      </x:c>
      <x:c r="B1536" s="604" t="inlineStr">
        <x:is>
          <x:t xml:space="preserve">2026-10-10T01:00:00+08:00</x:t>
        </x:is>
      </x:c>
      <x:c r="C1536" s="604" t="str">
        <x:v>五大联赛非顶级联赛</x:v>
      </x:c>
      <x:c r="D1536" s="604" t="inlineStr">
        <x:is>
          <x:t xml:space="preserve"/>
        </x:is>
      </x:c>
      <x:c r="E1536" s="604" t="inlineStr">
        <x:is>
          <x:t xml:space="preserve">德地区东北</x:t>
        </x:is>
      </x:c>
      <x:c r="F1536" s="604" t="inlineStr">
        <x:is>
          <x:t xml:space="preserve">BSG化学莱比锡 vs 路肯瓦德</x:t>
        </x:is>
      </x:c>
      <x:c r="G1536" s="604" t="n">
        <x:v>0.47</x:v>
      </x:c>
      <x:c r="H1536" s="604" t="n">
        <x:v>0</x:v>
      </x:c>
      <x:c r="I1536" s="604" t="n">
        <x:v>1.42</x:v>
      </x:c>
      <x:c r="J1536" s="604" t="inlineStr">
        <x:is>
          <x:t xml:space="preserve">0.47/0.0/1.42</x:t>
        </x:is>
      </x:c>
      <x:c r="K1536" s="604" t="inlineStr">
        <x:is>
          <x:t xml:space="preserve">V4-N</x:t>
        </x:is>
      </x:c>
      <x:c r="L1536" s="604" t="inlineStr">
        <x:is>
          <x:t xml:space="preserve"/>
        </x:is>
      </x:c>
      <x:c r="M1536" s="604" t="n"/>
      <x:c r="N1536" s="604" t="inlineStr">
        <x:is>
          <x:t xml:space="preserve">V4 Shadow Only；real_money=false</x:t>
        </x:is>
      </x:c>
      <x:c r="O1536" s="604" t="inlineStr">
        <x:is>
          <x:t xml:space="preserve">0-0</x:t>
        </x:is>
      </x:c>
      <x:c r="P1536" s="604" t="inlineStr">
        <x:is>
          <x:t xml:space="preserve">NEUTRAL</x:t>
        </x:is>
      </x:c>
      <x:c r="Q1536" s="630" t="inlineStr">
        <x:is>
          <x:t xml:space="preserve"/>
        </x:is>
      </x:c>
      <x:c r="R1536" s="604" t="n"/>
      <x:c r="S1536" s="604" t="n"/>
      <x:c r="T1536" s="604" t="inlineStr">
        <x:is>
          <x:t xml:space="preserve">D:\codex\v3_legacy\outputs\football_odds_trader\raw\titan007\20261009\20261009_085232_titan007_odds_snapshot.csv</x:t>
        </x:is>
      </x:c>
      <x:c r="U1536" s="628" t="inlineStr">
        <x:is>
          <x:t xml:space="preserve"/>
        </x:is>
      </x:c>
      <x:c r="V1536" s="604" t="inlineStr">
        <x:is>
          <x:t xml:space="preserve"/>
        </x:is>
      </x:c>
      <x:c r="W1536" s="604" t="inlineStr">
        <x:is>
          <x:t xml:space="preserve"/>
        </x:is>
      </x:c>
      <x:c r="X1536" s="604" t="inlineStr">
        <x:is>
          <x:t xml:space="preserve">3026484</x:t>
        </x:is>
      </x:c>
      <x:c r="Y1536" s="604" t="inlineStr">
        <x:is>
          <x:t xml:space="preserve">V4</x:t>
        </x:is>
      </x:c>
      <x:c r="Z1536" s="604" t="inlineStr">
        <x:is>
          <x:t xml:space="preserve">prior-2026-10-09-v1</x:t>
        </x:is>
      </x:c>
      <x:c r="AA1536" s="604" t="inlineStr">
        <x:is>
          <x:t xml:space="preserve">N</x:t>
        </x:is>
      </x:c>
      <x:c r="AB1536" s="604" t="n"/>
      <x:c r="AC1536" s="604" t="n"/>
      <x:c r="AD1536" s="604" t="n"/>
      <x:c r="AE1536" s="604" t="n"/>
      <x:c r="AF1536" s="604" t="n"/>
      <x:c r="AG1536" s="604" t="n"/>
      <x:c r="AH1536" s="604" t="n"/>
      <x:c r="AI1536" s="604" t="n"/>
      <x:c r="AJ1536" s="604" t="n"/>
      <x:c r="AK1536" s="604" t="n"/>
      <x:c r="AL1536" s="604" t="n"/>
      <x:c r="AM1536" s="604" t="n"/>
      <x:c r="AN1536" s="604" t="inlineStr">
        <x:is>
          <x:t xml:space="preserve">NEUTRAL</x:t>
        </x:is>
      </x:c>
      <x:c r="AO1536" s="604" t="inlineStr">
        <x:is>
          <x:t xml:space="preserve">PK_NO_GIVING_RECEIVING_IDENTITY</x:t>
        </x:is>
      </x:c>
      <x:c r="AP1536" s="604" t="inlineStr">
        <x:is>
          <x:t xml:space="preserve">1a491f59649032904e1a</x:t>
        </x:is>
      </x:c>
      <x:c r="AQ1536" s="604" t="n"/>
      <x:c r="AR1536" s="604" t="n"/>
      <x:c r="AS1536" s="604" t="n"/>
      <x:c r="AT1536" s="604" t="n"/>
      <x:c r="AU1536" s="604" t="n"/>
      <x:c r="AV1536" s="604" t="n"/>
      <x:c r="AW1536" s="604" t="inlineStr">
        <x:is>
          <x:t xml:space="preserve">2026-10-09T09:01:21.127001+08:00</x:t>
        </x:is>
      </x:c>
      <x:c r="AX1536" s="604" t="inlineStr">
        <x:is>
          <x:t xml:space="preserve">Titan007/V4</x:t>
        </x:is>
      </x:c>
      <x:c r="AY1536" s="604" t="inlineStr">
        <x:is>
          <x:t xml:space="preserve">Daily append；市场输入缺失时不生成决策</x:t>
        </x:is>
      </x:c>
    </x:row>
    <x:row r="1537" ht="22" customHeight="1">
      <x:c r="A1537" s="604" t="inlineStr">
        <x:is>
          <x:t xml:space="preserve">2026-10-09</x:t>
        </x:is>
      </x:c>
      <x:c r="B1537" s="604" t="inlineStr">
        <x:is>
          <x:t xml:space="preserve">2026-10-10T01:00:00+08:00</x:t>
        </x:is>
      </x:c>
      <x:c r="C1537" s="604" t="str">
        <x:v>五大联赛非顶级联赛</x:v>
      </x:c>
      <x:c r="D1537" s="604" t="inlineStr">
        <x:is>
          <x:t xml:space="preserve"/>
        </x:is>
      </x:c>
      <x:c r="E1537" s="604" t="inlineStr">
        <x:is>
          <x:t xml:space="preserve">德地区东北</x:t>
        </x:is>
      </x:c>
      <x:c r="F1537" s="604" t="inlineStr">
        <x:is>
          <x:t xml:space="preserve">茨维考FC vs SV塔斯马尼亚柏林</x:t>
        </x:is>
      </x:c>
      <x:c r="G1537" s="604" t="n">
        <x:v>0.29</x:v>
      </x:c>
      <x:c r="H1537" s="604" t="n">
        <x:v>0</x:v>
      </x:c>
      <x:c r="I1537" s="604" t="n">
        <x:v>2.14</x:v>
      </x:c>
      <x:c r="J1537" s="604" t="inlineStr">
        <x:is>
          <x:t xml:space="preserve">0.29/0.0/2.14</x:t>
        </x:is>
      </x:c>
      <x:c r="K1537" s="604" t="inlineStr">
        <x:is>
          <x:t xml:space="preserve">V4-N</x:t>
        </x:is>
      </x:c>
      <x:c r="L1537" s="604" t="inlineStr">
        <x:is>
          <x:t xml:space="preserve"/>
        </x:is>
      </x:c>
      <x:c r="M1537" s="604" t="n"/>
      <x:c r="N1537" s="604" t="inlineStr">
        <x:is>
          <x:t xml:space="preserve">V4 Shadow Only；real_money=false</x:t>
        </x:is>
      </x:c>
      <x:c r="O1537" s="604" t="inlineStr">
        <x:is>
          <x:t xml:space="preserve">0-0</x:t>
        </x:is>
      </x:c>
      <x:c r="P1537" s="604" t="inlineStr">
        <x:is>
          <x:t xml:space="preserve">NEUTRAL</x:t>
        </x:is>
      </x:c>
      <x:c r="Q1537" s="630" t="inlineStr">
        <x:is>
          <x:t xml:space="preserve"/>
        </x:is>
      </x:c>
      <x:c r="R1537" s="604" t="n"/>
      <x:c r="S1537" s="604" t="n"/>
      <x:c r="T1537" s="604" t="inlineStr">
        <x:is>
          <x:t xml:space="preserve">D:\codex\v3_legacy\outputs\football_odds_trader\raw\titan007\20261009\20261009_085232_titan007_odds_snapshot.csv</x:t>
        </x:is>
      </x:c>
      <x:c r="U1537" s="628" t="inlineStr">
        <x:is>
          <x:t xml:space="preserve"/>
        </x:is>
      </x:c>
      <x:c r="V1537" s="604" t="inlineStr">
        <x:is>
          <x:t xml:space="preserve"/>
        </x:is>
      </x:c>
      <x:c r="W1537" s="604" t="inlineStr">
        <x:is>
          <x:t xml:space="preserve"/>
        </x:is>
      </x:c>
      <x:c r="X1537" s="604" t="inlineStr">
        <x:is>
          <x:t xml:space="preserve">3026489</x:t>
        </x:is>
      </x:c>
      <x:c r="Y1537" s="604" t="inlineStr">
        <x:is>
          <x:t xml:space="preserve">V4</x:t>
        </x:is>
      </x:c>
      <x:c r="Z1537" s="604" t="inlineStr">
        <x:is>
          <x:t xml:space="preserve">prior-2026-10-09-v1</x:t>
        </x:is>
      </x:c>
      <x:c r="AA1537" s="604" t="inlineStr">
        <x:is>
          <x:t xml:space="preserve">N</x:t>
        </x:is>
      </x:c>
      <x:c r="AB1537" s="604" t="n"/>
      <x:c r="AC1537" s="604" t="n"/>
      <x:c r="AD1537" s="604" t="n"/>
      <x:c r="AE1537" s="604" t="n"/>
      <x:c r="AF1537" s="604" t="n"/>
      <x:c r="AG1537" s="604" t="n"/>
      <x:c r="AH1537" s="604" t="n"/>
      <x:c r="AI1537" s="604" t="n"/>
      <x:c r="AJ1537" s="604" t="n"/>
      <x:c r="AK1537" s="604" t="n"/>
      <x:c r="AL1537" s="604" t="n"/>
      <x:c r="AM1537" s="604" t="n"/>
      <x:c r="AN1537" s="604" t="inlineStr">
        <x:is>
          <x:t xml:space="preserve">NEUTRAL</x:t>
        </x:is>
      </x:c>
      <x:c r="AO1537" s="604" t="inlineStr">
        <x:is>
          <x:t xml:space="preserve">PK_NO_GIVING_RECEIVING_IDENTITY</x:t>
        </x:is>
      </x:c>
      <x:c r="AP1537" s="604" t="inlineStr">
        <x:is>
          <x:t xml:space="preserve">622a13b86ab7166c72b2</x:t>
        </x:is>
      </x:c>
      <x:c r="AQ1537" s="604" t="n"/>
      <x:c r="AR1537" s="604" t="n"/>
      <x:c r="AS1537" s="604" t="n"/>
      <x:c r="AT1537" s="604" t="n"/>
      <x:c r="AU1537" s="604" t="n"/>
      <x:c r="AV1537" s="604" t="n"/>
      <x:c r="AW1537" s="604" t="inlineStr">
        <x:is>
          <x:t xml:space="preserve">2026-10-09T09:01:21.127001+08:00</x:t>
        </x:is>
      </x:c>
      <x:c r="AX1537" s="604" t="inlineStr">
        <x:is>
          <x:t xml:space="preserve">Titan007/V4</x:t>
        </x:is>
      </x:c>
      <x:c r="AY1537" s="604" t="inlineStr">
        <x:is>
          <x:t xml:space="preserve">Daily append；市场输入缺失时不生成决策</x:t>
        </x:is>
      </x:c>
    </x:row>
    <x:row r="1538" ht="22" customHeight="1">
      <x:c r="A1538" s="604" t="inlineStr">
        <x:is>
          <x:t xml:space="preserve">2026-10-09</x:t>
        </x:is>
      </x:c>
      <x:c r="B1538" s="604" t="inlineStr">
        <x:is>
          <x:t xml:space="preserve">2026-10-10T01:00:00+08:00</x:t>
        </x:is>
      </x:c>
      <x:c r="C1538" s="604" t="str">
        <x:v>欧洲非五大系列</x:v>
      </x:c>
      <x:c r="D1538" s="604" t="inlineStr">
        <x:is>
          <x:t xml:space="preserve"/>
        </x:is>
      </x:c>
      <x:c r="E1538" s="604" t="inlineStr">
        <x:is>
          <x:t xml:space="preserve">土超</x:t>
        </x:is>
      </x:c>
      <x:c r="F1538" s="604" t="inlineStr">
        <x:is>
          <x:t xml:space="preserve">加拉塔萨雷 vs 卡斯帕萨</x:t>
        </x:is>
      </x:c>
      <x:c r="G1538" s="604" t="n">
        <x:v>0.97</x:v>
      </x:c>
      <x:c r="H1538" s="604" t="n">
        <x:v>1.75</x:v>
      </x:c>
      <x:c r="I1538" s="604" t="n">
        <x:v>0.91</x:v>
      </x:c>
      <x:c r="J1538" s="604" t="inlineStr">
        <x:is>
          <x:t xml:space="preserve">0.97/1.75/0.91</x:t>
        </x:is>
      </x:c>
      <x:c r="K1538" s="604" t="inlineStr">
        <x:is>
          <x:t xml:space="preserve">V4-N</x:t>
        </x:is>
      </x:c>
      <x:c r="L1538" s="604" t="inlineStr">
        <x:is>
          <x:t xml:space="preserve"/>
        </x:is>
      </x:c>
      <x:c r="M1538" s="604" t="n">
        <x:v>0.5753031131660908</x:v>
      </x:c>
      <x:c r="N1538" s="604" t="inlineStr">
        <x:is>
          <x:t xml:space="preserve">V4 Shadow Only；real_money=false</x:t>
        </x:is>
      </x:c>
      <x:c r="O1538" s="604" t="inlineStr">
        <x:is>
          <x:t xml:space="preserve">0-0</x:t>
        </x:is>
      </x:c>
      <x:c r="P1538" s="604" t="inlineStr">
        <x:is>
          <x:t xml:space="preserve">EVALUATED</x:t>
        </x:is>
      </x:c>
      <x:c r="Q1538" s="630" t="inlineStr">
        <x:is>
          <x:t xml:space="preserve"/>
        </x:is>
      </x:c>
      <x:c r="R1538" s="604" t="n"/>
      <x:c r="S1538" s="604" t="n"/>
      <x:c r="T1538" s="604" t="inlineStr">
        <x:is>
          <x:t xml:space="preserve">D:\codex\v3_legacy\outputs\football_odds_trader\raw\titan007\20261009\20261009_085232_titan007_odds_snapshot.csv</x:t>
        </x:is>
      </x:c>
      <x:c r="U1538" s="628" t="inlineStr">
        <x:is>
          <x:t xml:space="preserve"/>
        </x:is>
      </x:c>
      <x:c r="V1538" s="604" t="inlineStr">
        <x:is>
          <x:t xml:space="preserve"/>
        </x:is>
      </x:c>
      <x:c r="W1538" s="604" t="inlineStr">
        <x:is>
          <x:t xml:space="preserve"/>
        </x:is>
      </x:c>
      <x:c r="X1538" s="604" t="inlineStr">
        <x:is>
          <x:t xml:space="preserve">3026745</x:t>
        </x:is>
      </x:c>
      <x:c r="Y1538" s="604" t="inlineStr">
        <x:is>
          <x:t xml:space="preserve">V4</x:t>
        </x:is>
      </x:c>
      <x:c r="Z1538" s="604" t="inlineStr">
        <x:is>
          <x:t xml:space="preserve">prior-2026-10-09-v1</x:t>
        </x:is>
      </x:c>
      <x:c r="AA1538" s="604" t="inlineStr">
        <x:is>
          <x:t xml:space="preserve">N</x:t>
        </x:is>
      </x:c>
      <x:c r="AB1538" s="604" t="n">
        <x:v>0.5753031131660908</x:v>
      </x:c>
      <x:c r="AC1538" s="604" t="n">
        <x:v>0.3012157755266592</x:v>
      </x:c>
      <x:c r="AD1538" s="604" t="n">
        <x:v>2.5</x:v>
      </x:c>
      <x:c r="AE1538" s="604" t="n"/>
      <x:c r="AF1538" s="604" t="n"/>
      <x:c r="AG1538" s="604" t="n">
        <x:v>0.2568282442444489</x:v>
      </x:c>
      <x:c r="AH1538" s="604" t="n"/>
      <x:c r="AI1538" s="604" t="n"/>
      <x:c r="AJ1538" s="604" t="n">
        <x:v>0.2568282442444489</x:v>
      </x:c>
      <x:c r="AK1538" s="604" t="n"/>
      <x:c r="AL1538" s="604" t="n"/>
      <x:c r="AM1538" s="604" t="n"/>
      <x:c r="AN1538" s="604" t="inlineStr">
        <x:is>
          <x:t xml:space="preserve">EVALUATED</x:t>
        </x:is>
      </x:c>
      <x:c r="AO1538" s="604" t="inlineStr">
        <x:is>
          <x:t xml:space="preserve">LOW_QUALITY_GATE;BUCKET_PRIOR_ONLY;INTENT_INTERPRETATION_ONLY;FFL_OPTIONAL;EXPERT_MARKET</x:t>
        </x:is>
      </x:c>
      <x:c r="AP1538" s="604" t="inlineStr">
        <x:is>
          <x:t xml:space="preserve">95e1a67382403ffc13bb</x:t>
        </x:is>
      </x:c>
      <x:c r="AQ1538" s="604" t="n"/>
      <x:c r="AR1538" s="604" t="n"/>
      <x:c r="AS1538" s="604" t="n">
        <x:v>1.75</x:v>
      </x:c>
      <x:c r="AT1538" s="604" t="n">
        <x:v>-1.75</x:v>
      </x:c>
      <x:c r="AU1538" s="604" t="n">
        <x:v>0.97</x:v>
      </x:c>
      <x:c r="AV1538" s="604" t="n">
        <x:v>0.91</x:v>
      </x:c>
      <x:c r="AW1538" s="604" t="inlineStr">
        <x:is>
          <x:t xml:space="preserve">2026-10-09T09:01:21.127001+08:00</x:t>
        </x:is>
      </x:c>
      <x:c r="AX1538" s="604" t="inlineStr">
        <x:is>
          <x:t xml:space="preserve">Titan007/V4</x:t>
        </x:is>
      </x:c>
      <x:c r="AY1538" s="604" t="inlineStr">
        <x:is>
          <x:t xml:space="preserve">Daily append；市场输入缺失时不生成决策</x:t>
        </x:is>
      </x:c>
    </x:row>
    <x:row r="1539" ht="22" customHeight="1">
      <x:c r="A1539" s="604" t="inlineStr">
        <x:is>
          <x:t xml:space="preserve">2026-10-09</x:t>
        </x:is>
      </x:c>
      <x:c r="B1539" s="604" t="inlineStr">
        <x:is>
          <x:t xml:space="preserve">2026-10-10T00:00:00+08:00</x:t>
        </x:is>
      </x:c>
      <x:c r="C1539" s="604" t="str">
        <x:v>西亚/中亚系列</x:v>
      </x:c>
      <x:c r="D1539" s="604" t="inlineStr">
        <x:is>
          <x:t xml:space="preserve"/>
        </x:is>
      </x:c>
      <x:c r="E1539" s="604" t="inlineStr">
        <x:is>
          <x:t xml:space="preserve">波斯甲</x:t>
        </x:is>
      </x:c>
      <x:c r="F1539" s="604" t="inlineStr">
        <x:is>
          <x:t xml:space="preserve">莫斯塔尔贝莱斯 vs 伯拉治</x:t>
        </x:is>
      </x:c>
      <x:c r="G1539" s="604" t="n">
        <x:v>0.8</x:v>
      </x:c>
      <x:c r="H1539" s="604" t="n">
        <x:v>0.25</x:v>
      </x:c>
      <x:c r="I1539" s="604" t="n">
        <x:v>1</x:v>
      </x:c>
      <x:c r="J1539" s="604" t="inlineStr">
        <x:is>
          <x:t xml:space="preserve">0.8/0.25/1.0</x:t>
        </x:is>
      </x:c>
      <x:c r="K1539" s="604" t="inlineStr">
        <x:is>
          <x:t xml:space="preserve">V4-N</x:t>
        </x:is>
      </x:c>
      <x:c r="L1539" s="604" t="inlineStr">
        <x:is>
          <x:t xml:space="preserve"/>
        </x:is>
      </x:c>
      <x:c r="M1539" s="604" t="n">
        <x:v>0.4966420510418916</x:v>
      </x:c>
      <x:c r="N1539" s="604" t="inlineStr">
        <x:is>
          <x:t xml:space="preserve">V4 Shadow Only；real_money=false</x:t>
        </x:is>
      </x:c>
      <x:c r="O1539" s="604" t="inlineStr">
        <x:is>
          <x:t xml:space="preserve">0-0</x:t>
        </x:is>
      </x:c>
      <x:c r="P1539" s="604" t="inlineStr">
        <x:is>
          <x:t xml:space="preserve">EVALUATED</x:t>
        </x:is>
      </x:c>
      <x:c r="Q1539" s="630" t="inlineStr">
        <x:is>
          <x:t xml:space="preserve"/>
        </x:is>
      </x:c>
      <x:c r="R1539" s="604" t="n"/>
      <x:c r="S1539" s="604" t="n"/>
      <x:c r="T1539" s="604" t="inlineStr">
        <x:is>
          <x:t xml:space="preserve">D:\codex\v3_legacy\outputs\football_odds_trader\raw\titan007\20261009\20261009_085232_titan007_odds_snapshot.csv</x:t>
        </x:is>
      </x:c>
      <x:c r="U1539" s="628" t="inlineStr">
        <x:is>
          <x:t xml:space="preserve"/>
        </x:is>
      </x:c>
      <x:c r="V1539" s="604" t="inlineStr">
        <x:is>
          <x:t xml:space="preserve"/>
        </x:is>
      </x:c>
      <x:c r="W1539" s="604" t="inlineStr">
        <x:is>
          <x:t xml:space="preserve"/>
        </x:is>
      </x:c>
      <x:c r="X1539" s="604" t="inlineStr">
        <x:is>
          <x:t xml:space="preserve">3027038</x:t>
        </x:is>
      </x:c>
      <x:c r="Y1539" s="604" t="inlineStr">
        <x:is>
          <x:t xml:space="preserve">V4</x:t>
        </x:is>
      </x:c>
      <x:c r="Z1539" s="604" t="inlineStr">
        <x:is>
          <x:t xml:space="preserve">prior-2026-10-09-v1</x:t>
        </x:is>
      </x:c>
      <x:c r="AA1539" s="604" t="inlineStr">
        <x:is>
          <x:t xml:space="preserve">N</x:t>
        </x:is>
      </x:c>
      <x:c r="AB1539" s="604" t="n">
        <x:v>0.4966420510418916</x:v>
      </x:c>
      <x:c r="AC1539" s="604" t="n">
        <x:v>0.3762131401754998</x:v>
      </x:c>
      <x:c r="AD1539" s="604" t="n">
        <x:v>0.5</x:v>
      </x:c>
      <x:c r="AE1539" s="604" t="n"/>
      <x:c r="AF1539" s="604" t="n"/>
      <x:c r="AG1539" s="604" t="n">
        <x:v>0.02110050065801347</x:v>
      </x:c>
      <x:c r="AH1539" s="604" t="n"/>
      <x:c r="AI1539" s="604" t="n"/>
      <x:c r="AJ1539" s="604" t="n">
        <x:v>0.02110050065801347</x:v>
      </x:c>
      <x:c r="AK1539" s="604" t="n"/>
      <x:c r="AL1539" s="604" t="n"/>
      <x:c r="AM1539" s="604" t="n"/>
      <x:c r="AN1539" s="604" t="inlineStr">
        <x:is>
          <x:t xml:space="preserve">EVALUATED</x:t>
        </x:is>
      </x:c>
      <x:c r="AO1539" s="604" t="inlineStr">
        <x:is>
          <x:t xml:space="preserve">EDGE_BELOW_UNCERTAINTY_THRESHOLD;BUCKET_PRIOR_ONLY;INTENT_INTERPRETATION_ONLY;FFL_OPTIONAL;EXPERT_MARKET</x:t>
        </x:is>
      </x:c>
      <x:c r="AP1539" s="604" t="inlineStr">
        <x:is>
          <x:t xml:space="preserve">fd015ffc4be593db7ab8</x:t>
        </x:is>
      </x:c>
      <x:c r="AQ1539" s="604" t="n"/>
      <x:c r="AR1539" s="604" t="n"/>
      <x:c r="AS1539" s="604" t="n">
        <x:v>0.25</x:v>
      </x:c>
      <x:c r="AT1539" s="604" t="n">
        <x:v>-0.25</x:v>
      </x:c>
      <x:c r="AU1539" s="604" t="n">
        <x:v>0.8</x:v>
      </x:c>
      <x:c r="AV1539" s="604" t="n">
        <x:v>1</x:v>
      </x:c>
      <x:c r="AW1539" s="604" t="inlineStr">
        <x:is>
          <x:t xml:space="preserve">2026-10-09T09:01:21.127001+08:00</x:t>
        </x:is>
      </x:c>
      <x:c r="AX1539" s="604" t="inlineStr">
        <x:is>
          <x:t xml:space="preserve">Titan007/V4</x:t>
        </x:is>
      </x:c>
      <x:c r="AY1539" s="604" t="inlineStr">
        <x:is>
          <x:t xml:space="preserve">Daily append；市场输入缺失时不生成决策</x:t>
        </x:is>
      </x:c>
    </x:row>
    <x:row r="1540" ht="22" customHeight="1">
      <x:c r="A1540" s="604" t="inlineStr">
        <x:is>
          <x:t xml:space="preserve">2026-10-09</x:t>
        </x:is>
      </x:c>
      <x:c r="B1540" s="604" t="inlineStr">
        <x:is>
          <x:t xml:space="preserve">2026-10-10T01:00:00+08:00</x:t>
        </x:is>
      </x:c>
      <x:c r="C1540" s="604" t="str">
        <x:v>五大联赛非顶级联赛</x:v>
      </x:c>
      <x:c r="D1540" s="604" t="inlineStr">
        <x:is>
          <x:t xml:space="preserve"/>
        </x:is>
      </x:c>
      <x:c r="E1540" s="604" t="inlineStr">
        <x:is>
          <x:t xml:space="preserve">德地区巴</x:t>
        </x:is>
      </x:c>
      <x:c r="F1540" s="604" t="inlineStr">
        <x:is>
          <x:t xml:space="preserve">拜仁慕尼黑青年队 vs 翁特哈兴</x:t>
        </x:is>
      </x:c>
      <x:c r="G1540" s="604" t="n">
        <x:v>0.88</x:v>
      </x:c>
      <x:c r="H1540" s="604" t="n">
        <x:v>-0.25</x:v>
      </x:c>
      <x:c r="I1540" s="604" t="n">
        <x:v>0.88</x:v>
      </x:c>
      <x:c r="J1540" s="604" t="inlineStr">
        <x:is>
          <x:t xml:space="preserve">0.88/-0.25/0.88</x:t>
        </x:is>
      </x:c>
      <x:c r="K1540" s="604" t="inlineStr">
        <x:is>
          <x:t xml:space="preserve">V4-N</x:t>
        </x:is>
      </x:c>
      <x:c r="L1540" s="604" t="inlineStr">
        <x:is>
          <x:t xml:space="preserve"/>
        </x:is>
      </x:c>
      <x:c r="M1540" s="604" t="n">
        <x:v>0.2922959840788152</x:v>
      </x:c>
      <x:c r="N1540" s="604" t="inlineStr">
        <x:is>
          <x:t xml:space="preserve">V4 Shadow Only；real_money=false</x:t>
        </x:is>
      </x:c>
      <x:c r="O1540" s="604" t="inlineStr">
        <x:is>
          <x:t xml:space="preserve">0-0</x:t>
        </x:is>
      </x:c>
      <x:c r="P1540" s="604" t="inlineStr">
        <x:is>
          <x:t xml:space="preserve">EVALUATED</x:t>
        </x:is>
      </x:c>
      <x:c r="Q1540" s="630" t="inlineStr">
        <x:is>
          <x:t xml:space="preserve"/>
        </x:is>
      </x:c>
      <x:c r="R1540" s="604" t="n"/>
      <x:c r="S1540" s="604" t="n"/>
      <x:c r="T1540" s="604" t="inlineStr">
        <x:is>
          <x:t xml:space="preserve">D:\codex\v3_legacy\outputs\football_odds_trader\raw\titan007\20261009\20261009_085232_titan007_odds_snapshot.csv</x:t>
        </x:is>
      </x:c>
      <x:c r="U1540" s="628" t="inlineStr">
        <x:is>
          <x:t xml:space="preserve"/>
        </x:is>
      </x:c>
      <x:c r="V1540" s="604" t="inlineStr">
        <x:is>
          <x:t xml:space="preserve"/>
        </x:is>
      </x:c>
      <x:c r="W1540" s="604" t="inlineStr">
        <x:is>
          <x:t xml:space="preserve"/>
        </x:is>
      </x:c>
      <x:c r="X1540" s="604" t="inlineStr">
        <x:is>
          <x:t xml:space="preserve">3027202</x:t>
        </x:is>
      </x:c>
      <x:c r="Y1540" s="604" t="inlineStr">
        <x:is>
          <x:t xml:space="preserve">V4</x:t>
        </x:is>
      </x:c>
      <x:c r="Z1540" s="604" t="inlineStr">
        <x:is>
          <x:t xml:space="preserve">prior-2026-10-09-v1</x:t>
        </x:is>
      </x:c>
      <x:c r="AA1540" s="604" t="inlineStr">
        <x:is>
          <x:t xml:space="preserve">N</x:t>
        </x:is>
      </x:c>
      <x:c r="AB1540" s="604" t="n">
        <x:v>0.2922959840788152</x:v>
      </x:c>
      <x:c r="AC1540" s="604" t="n">
        <x:v>0.5784544791445043</x:v>
      </x:c>
      <x:c r="AD1540" s="604" t="n">
        <x:v>-0.25</x:v>
      </x:c>
      <x:c r="AE1540" s="604" t="n"/>
      <x:c r="AF1540" s="604" t="n"/>
      <x:c r="AG1540" s="604" t="n">
        <x:v>0.2167439575683486</x:v>
      </x:c>
      <x:c r="AH1540" s="604" t="n"/>
      <x:c r="AI1540" s="604" t="n"/>
      <x:c r="AJ1540" s="604" t="n">
        <x:v>0.2167439575683486</x:v>
      </x:c>
      <x:c r="AK1540" s="604" t="n"/>
      <x:c r="AL1540" s="604" t="n"/>
      <x:c r="AM1540" s="604" t="n"/>
      <x:c r="AN1540" s="604" t="inlineStr">
        <x:is>
          <x:t xml:space="preserve">EVALUATED</x:t>
        </x:is>
      </x:c>
      <x:c r="AO1540" s="604" t="inlineStr">
        <x:is>
          <x:t xml:space="preserve">LOW_QUALITY_GATE;BUCKET_PRIOR_ONLY;INTENT_INTERPRETATION_ONLY;FFL_OPTIONAL;EXPERT_MARKET</x:t>
        </x:is>
      </x:c>
      <x:c r="AP1540" s="604" t="inlineStr">
        <x:is>
          <x:t xml:space="preserve">37749702b17b7d24be0c</x:t>
        </x:is>
      </x:c>
      <x:c r="AQ1540" s="604" t="n"/>
      <x:c r="AR1540" s="604" t="n"/>
      <x:c r="AS1540" s="604" t="n">
        <x:v>-0.25</x:v>
      </x:c>
      <x:c r="AT1540" s="604" t="n">
        <x:v>0.25</x:v>
      </x:c>
      <x:c r="AU1540" s="604" t="n">
        <x:v>0.88</x:v>
      </x:c>
      <x:c r="AV1540" s="604" t="n">
        <x:v>0.88</x:v>
      </x:c>
      <x:c r="AW1540" s="604" t="inlineStr">
        <x:is>
          <x:t xml:space="preserve">2026-10-09T09:01:21.127001+08:00</x:t>
        </x:is>
      </x:c>
      <x:c r="AX1540" s="604" t="inlineStr">
        <x:is>
          <x:t xml:space="preserve">Titan007/V4</x:t>
        </x:is>
      </x:c>
      <x:c r="AY1540" s="604" t="inlineStr">
        <x:is>
          <x:t xml:space="preserve">Daily append；市场输入缺失时不生成决策</x:t>
        </x:is>
      </x:c>
    </x:row>
    <x:row r="1541" ht="22" customHeight="1">
      <x:c r="A1541" s="604" t="inlineStr">
        <x:is>
          <x:t xml:space="preserve">2026-10-09</x:t>
        </x:is>
      </x:c>
      <x:c r="B1541" s="604" t="inlineStr">
        <x:is>
          <x:t xml:space="preserve">2026-10-10T01:00:00+08:00</x:t>
        </x:is>
      </x:c>
      <x:c r="C1541" s="604" t="str">
        <x:v>五大联赛非顶级联赛</x:v>
      </x:c>
      <x:c r="D1541" s="604" t="inlineStr">
        <x:is>
          <x:t xml:space="preserve"/>
        </x:is>
      </x:c>
      <x:c r="E1541" s="604" t="inlineStr">
        <x:is>
          <x:t xml:space="preserve">德地区巴</x:t>
        </x:is>
      </x:c>
      <x:c r="F1541" s="604" t="inlineStr">
        <x:is>
          <x:t xml:space="preserve">舒云霍特 vs 埃特斯多夫</x:t>
        </x:is>
      </x:c>
      <x:c r="G1541" s="604" t="n">
        <x:v>1.27</x:v>
      </x:c>
      <x:c r="H1541" s="604" t="n">
        <x:v>0</x:v>
      </x:c>
      <x:c r="I1541" s="604" t="n">
        <x:v>0.53</x:v>
      </x:c>
      <x:c r="J1541" s="604" t="inlineStr">
        <x:is>
          <x:t xml:space="preserve">1.27/0.0/0.53</x:t>
        </x:is>
      </x:c>
      <x:c r="K1541" s="604" t="inlineStr">
        <x:is>
          <x:t xml:space="preserve">V4-N</x:t>
        </x:is>
      </x:c>
      <x:c r="L1541" s="604" t="inlineStr">
        <x:is>
          <x:t xml:space="preserve"/>
        </x:is>
      </x:c>
      <x:c r="M1541" s="604" t="n"/>
      <x:c r="N1541" s="604" t="inlineStr">
        <x:is>
          <x:t xml:space="preserve">V4 Shadow Only；real_money=false</x:t>
        </x:is>
      </x:c>
      <x:c r="O1541" s="604" t="inlineStr">
        <x:is>
          <x:t xml:space="preserve">0-0</x:t>
        </x:is>
      </x:c>
      <x:c r="P1541" s="604" t="inlineStr">
        <x:is>
          <x:t xml:space="preserve">NEUTRAL</x:t>
        </x:is>
      </x:c>
      <x:c r="Q1541" s="630" t="inlineStr">
        <x:is>
          <x:t xml:space="preserve"/>
        </x:is>
      </x:c>
      <x:c r="R1541" s="604" t="n"/>
      <x:c r="S1541" s="604" t="n"/>
      <x:c r="T1541" s="604" t="inlineStr">
        <x:is>
          <x:t xml:space="preserve">D:\codex\v3_legacy\outputs\football_odds_trader\raw\titan007\20261009\20261009_085232_titan007_odds_snapshot.csv</x:t>
        </x:is>
      </x:c>
      <x:c r="U1541" s="628" t="inlineStr">
        <x:is>
          <x:t xml:space="preserve"/>
        </x:is>
      </x:c>
      <x:c r="V1541" s="604" t="inlineStr">
        <x:is>
          <x:t xml:space="preserve"/>
        </x:is>
      </x:c>
      <x:c r="W1541" s="604" t="inlineStr">
        <x:is>
          <x:t xml:space="preserve"/>
        </x:is>
      </x:c>
      <x:c r="X1541" s="604" t="inlineStr">
        <x:is>
          <x:t xml:space="preserve">3027208</x:t>
        </x:is>
      </x:c>
      <x:c r="Y1541" s="604" t="inlineStr">
        <x:is>
          <x:t xml:space="preserve">V4</x:t>
        </x:is>
      </x:c>
      <x:c r="Z1541" s="604" t="inlineStr">
        <x:is>
          <x:t xml:space="preserve">prior-2026-10-09-v1</x:t>
        </x:is>
      </x:c>
      <x:c r="AA1541" s="604" t="inlineStr">
        <x:is>
          <x:t xml:space="preserve">N</x:t>
        </x:is>
      </x:c>
      <x:c r="AB1541" s="604" t="n"/>
      <x:c r="AC1541" s="604" t="n"/>
      <x:c r="AD1541" s="604" t="n"/>
      <x:c r="AE1541" s="604" t="n"/>
      <x:c r="AF1541" s="604" t="n"/>
      <x:c r="AG1541" s="604" t="n"/>
      <x:c r="AH1541" s="604" t="n"/>
      <x:c r="AI1541" s="604" t="n"/>
      <x:c r="AJ1541" s="604" t="n"/>
      <x:c r="AK1541" s="604" t="n"/>
      <x:c r="AL1541" s="604" t="n"/>
      <x:c r="AM1541" s="604" t="n"/>
      <x:c r="AN1541" s="604" t="inlineStr">
        <x:is>
          <x:t xml:space="preserve">NEUTRAL</x:t>
        </x:is>
      </x:c>
      <x:c r="AO1541" s="604" t="inlineStr">
        <x:is>
          <x:t xml:space="preserve">PK_NO_GIVING_RECEIVING_IDENTITY</x:t>
        </x:is>
      </x:c>
      <x:c r="AP1541" s="604" t="inlineStr">
        <x:is>
          <x:t xml:space="preserve">d3fdface78c86ff16c99</x:t>
        </x:is>
      </x:c>
      <x:c r="AQ1541" s="604" t="n"/>
      <x:c r="AR1541" s="604" t="n"/>
      <x:c r="AS1541" s="604" t="n"/>
      <x:c r="AT1541" s="604" t="n"/>
      <x:c r="AU1541" s="604" t="n"/>
      <x:c r="AV1541" s="604" t="n"/>
      <x:c r="AW1541" s="604" t="inlineStr">
        <x:is>
          <x:t xml:space="preserve">2026-10-09T09:01:21.127001+08:00</x:t>
        </x:is>
      </x:c>
      <x:c r="AX1541" s="604" t="inlineStr">
        <x:is>
          <x:t xml:space="preserve">Titan007/V4</x:t>
        </x:is>
      </x:c>
      <x:c r="AY1541" s="604" t="inlineStr">
        <x:is>
          <x:t xml:space="preserve">Daily append；市场输入缺失时不生成决策</x:t>
        </x:is>
      </x:c>
    </x:row>
    <x:row r="1542" ht="22" customHeight="1">
      <x:c r="A1542" s="604" t="inlineStr">
        <x:is>
          <x:t xml:space="preserve">2026-10-09</x:t>
        </x:is>
      </x:c>
      <x:c r="B1542" s="604" t="inlineStr">
        <x:is>
          <x:t xml:space="preserve">2026-10-10T02:45:00+08:00</x:t>
        </x:is>
      </x:c>
      <x:c r="C1542" s="604" t="str">
        <x:v>五大联赛非顶级联赛</x:v>
      </x:c>
      <x:c r="D1542" s="604" t="inlineStr">
        <x:is>
          <x:t xml:space="preserve"/>
        </x:is>
      </x:c>
      <x:c r="E1542" s="604" t="inlineStr">
        <x:is>
          <x:t xml:space="preserve">英议联</x:t>
        </x:is>
      </x:c>
      <x:c r="F1542" s="604" t="inlineStr">
        <x:is>
          <x:t xml:space="preserve">瑟顿联 vs 博雷汉姆</x:t>
        </x:is>
      </x:c>
      <x:c r="G1542" s="604" t="n">
        <x:v>0.79</x:v>
      </x:c>
      <x:c r="H1542" s="604" t="n">
        <x:v>-0.75</x:v>
      </x:c>
      <x:c r="I1542" s="604" t="n">
        <x:v>0.91</x:v>
      </x:c>
      <x:c r="J1542" s="604" t="inlineStr">
        <x:is>
          <x:t xml:space="preserve">0.79/-0.75/0.91</x:t>
        </x:is>
      </x:c>
      <x:c r="K1542" s="604" t="inlineStr">
        <x:is>
          <x:t xml:space="preserve">V4-N</x:t>
        </x:is>
      </x:c>
      <x:c r="L1542" s="604" t="inlineStr">
        <x:is>
          <x:t xml:space="preserve"/>
        </x:is>
      </x:c>
      <x:c r="M1542" s="604" t="n">
        <x:v>0.09728959830596745</x:v>
      </x:c>
      <x:c r="N1542" s="604" t="inlineStr">
        <x:is>
          <x:t xml:space="preserve">V4 Shadow Only；real_money=false</x:t>
        </x:is>
      </x:c>
      <x:c r="O1542" s="604" t="inlineStr">
        <x:is>
          <x:t xml:space="preserve">0-0</x:t>
        </x:is>
      </x:c>
      <x:c r="P1542" s="604" t="inlineStr">
        <x:is>
          <x:t xml:space="preserve">EVALUATED</x:t>
        </x:is>
      </x:c>
      <x:c r="Q1542" s="630" t="inlineStr">
        <x:is>
          <x:t xml:space="preserve"/>
        </x:is>
      </x:c>
      <x:c r="R1542" s="604" t="n"/>
      <x:c r="S1542" s="604" t="n"/>
      <x:c r="T1542" s="604" t="inlineStr">
        <x:is>
          <x:t xml:space="preserve">D:\codex\v3_legacy\outputs\football_odds_trader\raw\titan007\20261009\20261009_085232_titan007_odds_snapshot.csv</x:t>
        </x:is>
      </x:c>
      <x:c r="U1542" s="628" t="inlineStr">
        <x:is>
          <x:t xml:space="preserve"/>
        </x:is>
      </x:c>
      <x:c r="V1542" s="604" t="inlineStr">
        <x:is>
          <x:t xml:space="preserve"/>
        </x:is>
      </x:c>
      <x:c r="W1542" s="604" t="inlineStr">
        <x:is>
          <x:t xml:space="preserve"/>
        </x:is>
      </x:c>
      <x:c r="X1542" s="604" t="inlineStr">
        <x:is>
          <x:t xml:space="preserve">3027815</x:t>
        </x:is>
      </x:c>
      <x:c r="Y1542" s="604" t="inlineStr">
        <x:is>
          <x:t xml:space="preserve">V4</x:t>
        </x:is>
      </x:c>
      <x:c r="Z1542" s="604" t="inlineStr">
        <x:is>
          <x:t xml:space="preserve">prior-2026-10-09-v1</x:t>
        </x:is>
      </x:c>
      <x:c r="AA1542" s="604" t="inlineStr">
        <x:is>
          <x:t xml:space="preserve">N</x:t>
        </x:is>
      </x:c>
      <x:c r="AB1542" s="604" t="n">
        <x:v>0.09728959830596745</x:v>
      </x:c>
      <x:c r="AC1542" s="604" t="n">
        <x:v>0.8491895420096711</x:v>
      </x:c>
      <x:c r="AD1542" s="604" t="n">
        <x:v>-1</x:v>
      </x:c>
      <x:c r="AE1542" s="604" t="n"/>
      <x:c r="AF1542" s="604" t="n"/>
      <x:c r="AG1542" s="604" t="n">
        <x:v>0.5735701398816727</x:v>
      </x:c>
      <x:c r="AH1542" s="604" t="n"/>
      <x:c r="AI1542" s="604" t="n"/>
      <x:c r="AJ1542" s="604" t="n">
        <x:v>0.5735701398816727</x:v>
      </x:c>
      <x:c r="AK1542" s="604" t="n"/>
      <x:c r="AL1542" s="604" t="n"/>
      <x:c r="AM1542" s="604" t="n"/>
      <x:c r="AN1542" s="604" t="inlineStr">
        <x:is>
          <x:t xml:space="preserve">EVALUATED</x:t>
        </x:is>
      </x:c>
      <x:c r="AO1542" s="604" t="inlineStr">
        <x:is>
          <x:t xml:space="preserve">LOW_QUALITY_GATE;BUCKET_PRIOR_ONLY;INTENT_INTERPRETATION_ONLY;FFL_OPTIONAL;EXPERT_MARKET</x:t>
        </x:is>
      </x:c>
      <x:c r="AP1542" s="604" t="inlineStr">
        <x:is>
          <x:t xml:space="preserve">a8cba3db8c461a8022c3</x:t>
        </x:is>
      </x:c>
      <x:c r="AQ1542" s="604" t="n"/>
      <x:c r="AR1542" s="604" t="n"/>
      <x:c r="AS1542" s="604" t="n">
        <x:v>-0.75</x:v>
      </x:c>
      <x:c r="AT1542" s="604" t="n">
        <x:v>0.75</x:v>
      </x:c>
      <x:c r="AU1542" s="604" t="n">
        <x:v>0.79</x:v>
      </x:c>
      <x:c r="AV1542" s="604" t="n">
        <x:v>0.91</x:v>
      </x:c>
      <x:c r="AW1542" s="604" t="inlineStr">
        <x:is>
          <x:t xml:space="preserve">2026-10-09T09:01:21.127001+08:00</x:t>
        </x:is>
      </x:c>
      <x:c r="AX1542" s="604" t="inlineStr">
        <x:is>
          <x:t xml:space="preserve">Titan007/V4</x:t>
        </x:is>
      </x:c>
      <x:c r="AY1542" s="604" t="inlineStr">
        <x:is>
          <x:t xml:space="preserve">Daily append；市场输入缺失时不生成决策</x:t>
        </x:is>
      </x:c>
    </x:row>
    <x:row r="1543" ht="22" customHeight="1">
      <x:c r="A1543" s="604" t="inlineStr">
        <x:is>
          <x:t xml:space="preserve">2026-10-09</x:t>
        </x:is>
      </x:c>
      <x:c r="B1543" s="604" t="inlineStr">
        <x:is>
          <x:t xml:space="preserve">2026-10-09T22:00:00+08:00</x:t>
        </x:is>
      </x:c>
      <x:c r="C1543" s="604" t="str">
        <x:v>欧洲非五大系列</x:v>
      </x:c>
      <x:c r="D1543" s="604" t="inlineStr">
        <x:is>
          <x:t xml:space="preserve"/>
        </x:is>
      </x:c>
      <x:c r="E1543" s="604" t="inlineStr">
        <x:is>
          <x:t xml:space="preserve">土甲</x:t>
        </x:is>
      </x:c>
      <x:c r="F1543" s="604" t="inlineStr">
        <x:is>
          <x:t xml:space="preserve">波德鲁姆士邦 vs 克斯欧仁古库</x:t>
        </x:is>
      </x:c>
      <x:c r="G1543" s="604" t="n">
        <x:v>0.98</x:v>
      </x:c>
      <x:c r="H1543" s="604" t="n">
        <x:v>0</x:v>
      </x:c>
      <x:c r="I1543" s="604" t="n">
        <x:v>0.78</x:v>
      </x:c>
      <x:c r="J1543" s="604" t="inlineStr">
        <x:is>
          <x:t xml:space="preserve">0.98/0.0/0.78</x:t>
        </x:is>
      </x:c>
      <x:c r="K1543" s="604" t="inlineStr">
        <x:is>
          <x:t xml:space="preserve">V4-N</x:t>
        </x:is>
      </x:c>
      <x:c r="L1543" s="604" t="inlineStr">
        <x:is>
          <x:t xml:space="preserve"/>
        </x:is>
      </x:c>
      <x:c r="M1543" s="604" t="n"/>
      <x:c r="N1543" s="604" t="inlineStr">
        <x:is>
          <x:t xml:space="preserve">V4 Shadow Only；real_money=false</x:t>
        </x:is>
      </x:c>
      <x:c r="O1543" s="604" t="inlineStr">
        <x:is>
          <x:t xml:space="preserve">0-0</x:t>
        </x:is>
      </x:c>
      <x:c r="P1543" s="604" t="inlineStr">
        <x:is>
          <x:t xml:space="preserve">NEUTRAL</x:t>
        </x:is>
      </x:c>
      <x:c r="Q1543" s="630" t="inlineStr">
        <x:is>
          <x:t xml:space="preserve"/>
        </x:is>
      </x:c>
      <x:c r="R1543" s="604" t="n"/>
      <x:c r="S1543" s="604" t="n"/>
      <x:c r="T1543" s="604" t="inlineStr">
        <x:is>
          <x:t xml:space="preserve">D:\codex\v3_legacy\outputs\football_odds_trader\raw\titan007\20261009\20261009_085232_titan007_odds_snapshot.csv</x:t>
        </x:is>
      </x:c>
      <x:c r="U1543" s="628" t="inlineStr">
        <x:is>
          <x:t xml:space="preserve"/>
        </x:is>
      </x:c>
      <x:c r="V1543" s="604" t="inlineStr">
        <x:is>
          <x:t xml:space="preserve"/>
        </x:is>
      </x:c>
      <x:c r="W1543" s="604" t="inlineStr">
        <x:is>
          <x:t xml:space="preserve"/>
        </x:is>
      </x:c>
      <x:c r="X1543" s="604" t="inlineStr">
        <x:is>
          <x:t xml:space="preserve">3030165</x:t>
        </x:is>
      </x:c>
      <x:c r="Y1543" s="604" t="inlineStr">
        <x:is>
          <x:t xml:space="preserve">V4</x:t>
        </x:is>
      </x:c>
      <x:c r="Z1543" s="604" t="inlineStr">
        <x:is>
          <x:t xml:space="preserve">prior-2026-10-09-v1</x:t>
        </x:is>
      </x:c>
      <x:c r="AA1543" s="604" t="inlineStr">
        <x:is>
          <x:t xml:space="preserve">N</x:t>
        </x:is>
      </x:c>
      <x:c r="AB1543" s="604" t="n"/>
      <x:c r="AC1543" s="604" t="n"/>
      <x:c r="AD1543" s="604" t="n"/>
      <x:c r="AE1543" s="604" t="n"/>
      <x:c r="AF1543" s="604" t="n"/>
      <x:c r="AG1543" s="604" t="n"/>
      <x:c r="AH1543" s="604" t="n"/>
      <x:c r="AI1543" s="604" t="n"/>
      <x:c r="AJ1543" s="604" t="n"/>
      <x:c r="AK1543" s="604" t="n"/>
      <x:c r="AL1543" s="604" t="n"/>
      <x:c r="AM1543" s="604" t="n"/>
      <x:c r="AN1543" s="604" t="inlineStr">
        <x:is>
          <x:t xml:space="preserve">NEUTRAL</x:t>
        </x:is>
      </x:c>
      <x:c r="AO1543" s="604" t="inlineStr">
        <x:is>
          <x:t xml:space="preserve">PK_NO_GIVING_RECEIVING_IDENTITY</x:t>
        </x:is>
      </x:c>
      <x:c r="AP1543" s="604" t="inlineStr">
        <x:is>
          <x:t xml:space="preserve">8ddcc0ed0d077e4bb11c</x:t>
        </x:is>
      </x:c>
      <x:c r="AQ1543" s="604" t="n"/>
      <x:c r="AR1543" s="604" t="n"/>
      <x:c r="AS1543" s="604" t="n"/>
      <x:c r="AT1543" s="604" t="n"/>
      <x:c r="AU1543" s="604" t="n"/>
      <x:c r="AV1543" s="604" t="n"/>
      <x:c r="AW1543" s="604" t="inlineStr">
        <x:is>
          <x:t xml:space="preserve">2026-10-09T09:01:21.127001+08:00</x:t>
        </x:is>
      </x:c>
      <x:c r="AX1543" s="604" t="inlineStr">
        <x:is>
          <x:t xml:space="preserve">Titan007/V4</x:t>
        </x:is>
      </x:c>
      <x:c r="AY1543" s="604" t="inlineStr">
        <x:is>
          <x:t xml:space="preserve">Daily append；市场输入缺失时不生成决策</x:t>
        </x:is>
      </x:c>
    </x:row>
    <x:row r="1544" ht="22" customHeight="1">
      <x:c r="A1544" s="604" t="inlineStr">
        <x:is>
          <x:t xml:space="preserve">2026-10-09</x:t>
        </x:is>
      </x:c>
      <x:c r="B1544" s="604" t="inlineStr">
        <x:is>
          <x:t xml:space="preserve">2026-10-09T22:00:00+08:00</x:t>
        </x:is>
      </x:c>
      <x:c r="C1544" s="604" t="str">
        <x:v>欧洲非五大系列</x:v>
      </x:c>
      <x:c r="D1544" s="604" t="inlineStr">
        <x:is>
          <x:t xml:space="preserve"/>
        </x:is>
      </x:c>
      <x:c r="E1544" s="604" t="inlineStr">
        <x:is>
          <x:t xml:space="preserve">土甲</x:t>
        </x:is>
      </x:c>
      <x:c r="F1544" s="604" t="inlineStr">
        <x:is>
          <x:t xml:space="preserve">锡瓦斯体育 vs 佩迪卡斯堡</x:t>
        </x:is>
      </x:c>
      <x:c r="G1544" s="604" t="n">
        <x:v>0.76</x:v>
      </x:c>
      <x:c r="H1544" s="604" t="n">
        <x:v>0</x:v>
      </x:c>
      <x:c r="I1544" s="604" t="n">
        <x:v>1</x:v>
      </x:c>
      <x:c r="J1544" s="604" t="inlineStr">
        <x:is>
          <x:t xml:space="preserve">0.76/0.0/1.0</x:t>
        </x:is>
      </x:c>
      <x:c r="K1544" s="604" t="inlineStr">
        <x:is>
          <x:t xml:space="preserve">V4-N</x:t>
        </x:is>
      </x:c>
      <x:c r="L1544" s="604" t="inlineStr">
        <x:is>
          <x:t xml:space="preserve"/>
        </x:is>
      </x:c>
      <x:c r="M1544" s="604" t="n"/>
      <x:c r="N1544" s="604" t="inlineStr">
        <x:is>
          <x:t xml:space="preserve">V4 Shadow Only；real_money=false</x:t>
        </x:is>
      </x:c>
      <x:c r="O1544" s="604" t="inlineStr">
        <x:is>
          <x:t xml:space="preserve">0-0</x:t>
        </x:is>
      </x:c>
      <x:c r="P1544" s="604" t="inlineStr">
        <x:is>
          <x:t xml:space="preserve">NEUTRAL</x:t>
        </x:is>
      </x:c>
      <x:c r="Q1544" s="630" t="inlineStr">
        <x:is>
          <x:t xml:space="preserve"/>
        </x:is>
      </x:c>
      <x:c r="R1544" s="604" t="n"/>
      <x:c r="S1544" s="604" t="n"/>
      <x:c r="T1544" s="604" t="inlineStr">
        <x:is>
          <x:t xml:space="preserve">D:\codex\v3_legacy\outputs\football_odds_trader\raw\titan007\20261009\20261009_085232_titan007_odds_snapshot.csv</x:t>
        </x:is>
      </x:c>
      <x:c r="U1544" s="628" t="inlineStr">
        <x:is>
          <x:t xml:space="preserve"/>
        </x:is>
      </x:c>
      <x:c r="V1544" s="604" t="inlineStr">
        <x:is>
          <x:t xml:space="preserve"/>
        </x:is>
      </x:c>
      <x:c r="W1544" s="604" t="inlineStr">
        <x:is>
          <x:t xml:space="preserve"/>
        </x:is>
      </x:c>
      <x:c r="X1544" s="604" t="inlineStr">
        <x:is>
          <x:t xml:space="preserve">3030172</x:t>
        </x:is>
      </x:c>
      <x:c r="Y1544" s="604" t="inlineStr">
        <x:is>
          <x:t xml:space="preserve">V4</x:t>
        </x:is>
      </x:c>
      <x:c r="Z1544" s="604" t="inlineStr">
        <x:is>
          <x:t xml:space="preserve">prior-2026-10-09-v1</x:t>
        </x:is>
      </x:c>
      <x:c r="AA1544" s="604" t="inlineStr">
        <x:is>
          <x:t xml:space="preserve">N</x:t>
        </x:is>
      </x:c>
      <x:c r="AB1544" s="604" t="n"/>
      <x:c r="AC1544" s="604" t="n"/>
      <x:c r="AD1544" s="604" t="n"/>
      <x:c r="AE1544" s="604" t="n"/>
      <x:c r="AF1544" s="604" t="n"/>
      <x:c r="AG1544" s="604" t="n"/>
      <x:c r="AH1544" s="604" t="n"/>
      <x:c r="AI1544" s="604" t="n"/>
      <x:c r="AJ1544" s="604" t="n"/>
      <x:c r="AK1544" s="604" t="n"/>
      <x:c r="AL1544" s="604" t="n"/>
      <x:c r="AM1544" s="604" t="n"/>
      <x:c r="AN1544" s="604" t="inlineStr">
        <x:is>
          <x:t xml:space="preserve">NEUTRAL</x:t>
        </x:is>
      </x:c>
      <x:c r="AO1544" s="604" t="inlineStr">
        <x:is>
          <x:t xml:space="preserve">PK_NO_GIVING_RECEIVING_IDENTITY</x:t>
        </x:is>
      </x:c>
      <x:c r="AP1544" s="604" t="inlineStr">
        <x:is>
          <x:t xml:space="preserve">ca438a6507dc713f7764</x:t>
        </x:is>
      </x:c>
      <x:c r="AQ1544" s="604" t="n"/>
      <x:c r="AR1544" s="604" t="n"/>
      <x:c r="AS1544" s="604" t="n"/>
      <x:c r="AT1544" s="604" t="n"/>
      <x:c r="AU1544" s="604" t="n"/>
      <x:c r="AV1544" s="604" t="n"/>
      <x:c r="AW1544" s="604" t="inlineStr">
        <x:is>
          <x:t xml:space="preserve">2026-10-09T09:01:21.127001+08:00</x:t>
        </x:is>
      </x:c>
      <x:c r="AX1544" s="604" t="inlineStr">
        <x:is>
          <x:t xml:space="preserve">Titan007/V4</x:t>
        </x:is>
      </x:c>
      <x:c r="AY1544" s="604" t="inlineStr">
        <x:is>
          <x:t xml:space="preserve">Daily append；市场输入缺失时不生成决策</x:t>
        </x:is>
      </x:c>
    </x:row>
    <x:row r="1545" ht="22" customHeight="1">
      <x:c r="A1545" s="604" t="inlineStr">
        <x:is>
          <x:t xml:space="preserve">2026-10-09</x:t>
        </x:is>
      </x:c>
      <x:c r="B1545" s="604" t="inlineStr">
        <x:is>
          <x:t xml:space="preserve">2026-10-10T01:00:00+08:00</x:t>
        </x:is>
      </x:c>
      <x:c r="C1545" s="604" t="str">
        <x:v>欧洲非五大系列</x:v>
      </x:c>
      <x:c r="D1545" s="604" t="inlineStr">
        <x:is>
          <x:t xml:space="preserve"/>
        </x:is>
      </x:c>
      <x:c r="E1545" s="604" t="inlineStr">
        <x:is>
          <x:t xml:space="preserve">土甲</x:t>
        </x:is>
      </x:c>
      <x:c r="F1545" s="604" t="inlineStr">
        <x:is>
          <x:t xml:space="preserve">尤姆尼耶士邦 vs 沙里耶尔</x:t>
        </x:is>
      </x:c>
      <x:c r="G1545" s="604" t="n">
        <x:v>0.78</x:v>
      </x:c>
      <x:c r="H1545" s="604" t="n">
        <x:v>0</x:v>
      </x:c>
      <x:c r="I1545" s="604" t="n">
        <x:v>0.98</x:v>
      </x:c>
      <x:c r="J1545" s="604" t="inlineStr">
        <x:is>
          <x:t xml:space="preserve">0.78/0.0/0.98</x:t>
        </x:is>
      </x:c>
      <x:c r="K1545" s="604" t="inlineStr">
        <x:is>
          <x:t xml:space="preserve">V4-N</x:t>
        </x:is>
      </x:c>
      <x:c r="L1545" s="604" t="inlineStr">
        <x:is>
          <x:t xml:space="preserve"/>
        </x:is>
      </x:c>
      <x:c r="M1545" s="604" t="n"/>
      <x:c r="N1545" s="604" t="inlineStr">
        <x:is>
          <x:t xml:space="preserve">V4 Shadow Only；real_money=false</x:t>
        </x:is>
      </x:c>
      <x:c r="O1545" s="604" t="inlineStr">
        <x:is>
          <x:t xml:space="preserve">0-0</x:t>
        </x:is>
      </x:c>
      <x:c r="P1545" s="604" t="inlineStr">
        <x:is>
          <x:t xml:space="preserve">NEUTRAL</x:t>
        </x:is>
      </x:c>
      <x:c r="Q1545" s="630" t="inlineStr">
        <x:is>
          <x:t xml:space="preserve"/>
        </x:is>
      </x:c>
      <x:c r="R1545" s="604" t="n"/>
      <x:c r="S1545" s="604" t="n"/>
      <x:c r="T1545" s="604" t="inlineStr">
        <x:is>
          <x:t xml:space="preserve">D:\codex\v3_legacy\outputs\football_odds_trader\raw\titan007\20261009\20261009_085232_titan007_odds_snapshot.csv</x:t>
        </x:is>
      </x:c>
      <x:c r="U1545" s="628" t="inlineStr">
        <x:is>
          <x:t xml:space="preserve"/>
        </x:is>
      </x:c>
      <x:c r="V1545" s="604" t="inlineStr">
        <x:is>
          <x:t xml:space="preserve"/>
        </x:is>
      </x:c>
      <x:c r="W1545" s="604" t="inlineStr">
        <x:is>
          <x:t xml:space="preserve"/>
        </x:is>
      </x:c>
      <x:c r="X1545" s="604" t="inlineStr">
        <x:is>
          <x:t xml:space="preserve">3030173</x:t>
        </x:is>
      </x:c>
      <x:c r="Y1545" s="604" t="inlineStr">
        <x:is>
          <x:t xml:space="preserve">V4</x:t>
        </x:is>
      </x:c>
      <x:c r="Z1545" s="604" t="inlineStr">
        <x:is>
          <x:t xml:space="preserve">prior-2026-10-09-v1</x:t>
        </x:is>
      </x:c>
      <x:c r="AA1545" s="604" t="inlineStr">
        <x:is>
          <x:t xml:space="preserve">N</x:t>
        </x:is>
      </x:c>
      <x:c r="AB1545" s="604" t="n"/>
      <x:c r="AC1545" s="604" t="n"/>
      <x:c r="AD1545" s="604" t="n"/>
      <x:c r="AE1545" s="604" t="n"/>
      <x:c r="AF1545" s="604" t="n"/>
      <x:c r="AG1545" s="604" t="n"/>
      <x:c r="AH1545" s="604" t="n"/>
      <x:c r="AI1545" s="604" t="n"/>
      <x:c r="AJ1545" s="604" t="n"/>
      <x:c r="AK1545" s="604" t="n"/>
      <x:c r="AL1545" s="604" t="n"/>
      <x:c r="AM1545" s="604" t="n"/>
      <x:c r="AN1545" s="604" t="inlineStr">
        <x:is>
          <x:t xml:space="preserve">NEUTRAL</x:t>
        </x:is>
      </x:c>
      <x:c r="AO1545" s="604" t="inlineStr">
        <x:is>
          <x:t xml:space="preserve">PK_NO_GIVING_RECEIVING_IDENTITY</x:t>
        </x:is>
      </x:c>
      <x:c r="AP1545" s="604" t="inlineStr">
        <x:is>
          <x:t xml:space="preserve">23e52f979ad16d9fff91</x:t>
        </x:is>
      </x:c>
      <x:c r="AQ1545" s="604" t="n"/>
      <x:c r="AR1545" s="604" t="n"/>
      <x:c r="AS1545" s="604" t="n"/>
      <x:c r="AT1545" s="604" t="n"/>
      <x:c r="AU1545" s="604" t="n"/>
      <x:c r="AV1545" s="604" t="n"/>
      <x:c r="AW1545" s="604" t="inlineStr">
        <x:is>
          <x:t xml:space="preserve">2026-10-09T09:01:21.127001+08:00</x:t>
        </x:is>
      </x:c>
      <x:c r="AX1545" s="604" t="inlineStr">
        <x:is>
          <x:t xml:space="preserve">Titan007/V4</x:t>
        </x:is>
      </x:c>
      <x:c r="AY1545" s="604" t="inlineStr">
        <x:is>
          <x:t xml:space="preserve">Daily append；市场输入缺失时不生成决策</x:t>
        </x:is>
      </x:c>
    </x:row>
    <x:row r="1546" ht="22" customHeight="1">
      <x:c r="A1546" s="604" t="inlineStr">
        <x:is>
          <x:t xml:space="preserve">2026-10-09</x:t>
        </x:is>
      </x:c>
      <x:c r="B1546" s="604" t="inlineStr">
        <x:is>
          <x:t xml:space="preserve">2026-10-10T01:00:00+08:00</x:t>
        </x:is>
      </x:c>
      <x:c r="C1546" s="604" t="str">
        <x:v>欧洲非五大系列</x:v>
      </x:c>
      <x:c r="D1546" s="604" t="inlineStr">
        <x:is>
          <x:t xml:space="preserve"/>
        </x:is>
      </x:c>
      <x:c r="E1546" s="604" t="inlineStr">
        <x:is>
          <x:t xml:space="preserve">土甲</x:t>
        </x:is>
      </x:c>
      <x:c r="F1546" s="604" t="inlineStr">
        <x:is>
          <x:t xml:space="preserve">贝拉迪亚士邦 vs 班迪马士邦</x:t>
        </x:is>
      </x:c>
      <x:c r="G1546" s="604" t="n">
        <x:v>0.93</x:v>
      </x:c>
      <x:c r="H1546" s="604" t="n">
        <x:v>-0.25</x:v>
      </x:c>
      <x:c r="I1546" s="604" t="n">
        <x:v>0.83</x:v>
      </x:c>
      <x:c r="J1546" s="604" t="inlineStr">
        <x:is>
          <x:t xml:space="preserve">0.93/-0.25/0.83</x:t>
        </x:is>
      </x:c>
      <x:c r="K1546" s="604" t="inlineStr">
        <x:is>
          <x:t xml:space="preserve">V4-N</x:t>
        </x:is>
      </x:c>
      <x:c r="L1546" s="604" t="inlineStr">
        <x:is>
          <x:t xml:space="preserve"/>
        </x:is>
      </x:c>
      <x:c r="M1546" s="604" t="n">
        <x:v>0.2703148644163432</x:v>
      </x:c>
      <x:c r="N1546" s="604" t="inlineStr">
        <x:is>
          <x:t xml:space="preserve">V4 Shadow Only；real_money=false</x:t>
        </x:is>
      </x:c>
      <x:c r="O1546" s="604" t="inlineStr">
        <x:is>
          <x:t xml:space="preserve">0-0</x:t>
        </x:is>
      </x:c>
      <x:c r="P1546" s="604" t="inlineStr">
        <x:is>
          <x:t xml:space="preserve">EVALUATED</x:t>
        </x:is>
      </x:c>
      <x:c r="Q1546" s="630" t="inlineStr">
        <x:is>
          <x:t xml:space="preserve"/>
        </x:is>
      </x:c>
      <x:c r="R1546" s="604" t="n"/>
      <x:c r="S1546" s="604" t="n"/>
      <x:c r="T1546" s="604" t="inlineStr">
        <x:is>
          <x:t xml:space="preserve">D:\codex\v3_legacy\outputs\football_odds_trader\raw\titan007\20261009\20261009_085232_titan007_odds_snapshot.csv</x:t>
        </x:is>
      </x:c>
      <x:c r="U1546" s="628" t="inlineStr">
        <x:is>
          <x:t xml:space="preserve"/>
        </x:is>
      </x:c>
      <x:c r="V1546" s="604" t="inlineStr">
        <x:is>
          <x:t xml:space="preserve"/>
        </x:is>
      </x:c>
      <x:c r="W1546" s="604" t="inlineStr">
        <x:is>
          <x:t xml:space="preserve"/>
        </x:is>
      </x:c>
      <x:c r="X1546" s="604" t="inlineStr">
        <x:is>
          <x:t xml:space="preserve">3030174</x:t>
        </x:is>
      </x:c>
      <x:c r="Y1546" s="604" t="inlineStr">
        <x:is>
          <x:t xml:space="preserve">V4</x:t>
        </x:is>
      </x:c>
      <x:c r="Z1546" s="604" t="inlineStr">
        <x:is>
          <x:t xml:space="preserve">prior-2026-10-09-v1</x:t>
        </x:is>
      </x:c>
      <x:c r="AA1546" s="604" t="inlineStr">
        <x:is>
          <x:t xml:space="preserve">N</x:t>
        </x:is>
      </x:c>
      <x:c r="AB1546" s="604" t="n">
        <x:v>0.2703148644163432</x:v>
      </x:c>
      <x:c r="AC1546" s="604" t="n">
        <x:v>0.6011961878141018</x:v>
      </x:c>
      <x:c r="AD1546" s="604" t="n">
        <x:v>-0.5</x:v>
      </x:c>
      <x:c r="AE1546" s="604" t="n"/>
      <x:c r="AF1546" s="604" t="n"/>
      <x:c r="AG1546" s="604" t="n">
        <x:v>0.2887975902507715</x:v>
      </x:c>
      <x:c r="AH1546" s="604" t="n"/>
      <x:c r="AI1546" s="604" t="n"/>
      <x:c r="AJ1546" s="604" t="n">
        <x:v>0.2887975902507715</x:v>
      </x:c>
      <x:c r="AK1546" s="604" t="n"/>
      <x:c r="AL1546" s="604" t="n"/>
      <x:c r="AM1546" s="604" t="n"/>
      <x:c r="AN1546" s="604" t="inlineStr">
        <x:is>
          <x:t xml:space="preserve">EVALUATED</x:t>
        </x:is>
      </x:c>
      <x:c r="AO1546" s="604" t="inlineStr">
        <x:is>
          <x:t xml:space="preserve">LOW_QUALITY_GATE;BUCKET_PRIOR_ONLY;INTENT_INTERPRETATION_ONLY;FFL_OPTIONAL;EXPERT_MARKET</x:t>
        </x:is>
      </x:c>
      <x:c r="AP1546" s="604" t="inlineStr">
        <x:is>
          <x:t xml:space="preserve">f3bf6dca74075cdaaf90</x:t>
        </x:is>
      </x:c>
      <x:c r="AQ1546" s="604" t="n"/>
      <x:c r="AR1546" s="604" t="n"/>
      <x:c r="AS1546" s="604" t="n">
        <x:v>-0.25</x:v>
      </x:c>
      <x:c r="AT1546" s="604" t="n">
        <x:v>0.25</x:v>
      </x:c>
      <x:c r="AU1546" s="604" t="n">
        <x:v>0.93</x:v>
      </x:c>
      <x:c r="AV1546" s="604" t="n">
        <x:v>0.83</x:v>
      </x:c>
      <x:c r="AW1546" s="604" t="inlineStr">
        <x:is>
          <x:t xml:space="preserve">2026-10-09T09:01:21.127001+08:00</x:t>
        </x:is>
      </x:c>
      <x:c r="AX1546" s="604" t="inlineStr">
        <x:is>
          <x:t xml:space="preserve">Titan007/V4</x:t>
        </x:is>
      </x:c>
      <x:c r="AY1546" s="604" t="inlineStr">
        <x:is>
          <x:t xml:space="preserve">Daily append；市场输入缺失时不生成决策</x:t>
        </x:is>
      </x:c>
    </x:row>
    <x:row r="1547" ht="22" customHeight="1">
      <x:c r="A1547" s="604" t="inlineStr">
        <x:is>
          <x:t xml:space="preserve">2026-10-09</x:t>
        </x:is>
      </x:c>
      <x:c r="B1547" s="604" t="inlineStr">
        <x:is>
          <x:t xml:space="preserve">2026-10-09T22:30:00+08:00</x:t>
        </x:is>
      </x:c>
      <x:c r="C1547" s="604" t="str">
        <x:v>欧洲非五大系列</x:v>
      </x:c>
      <x:c r="D1547" s="604" t="inlineStr">
        <x:is>
          <x:t xml:space="preserve"/>
        </x:is>
      </x:c>
      <x:c r="E1547" s="604" t="inlineStr">
        <x:is>
          <x:t xml:space="preserve">立陶乙</x:t>
        </x:is>
      </x:c>
      <x:c r="F1547" s="604" t="inlineStr">
        <x:is>
          <x:t xml:space="preserve">考纳斯 vs DFK戴拿瓦</x:t>
        </x:is>
      </x:c>
      <x:c r="G1547" s="604" t="n">
        <x:v>0.98</x:v>
      </x:c>
      <x:c r="H1547" s="604" t="n">
        <x:v>0.5</x:v>
      </x:c>
      <x:c r="I1547" s="604" t="n">
        <x:v>0.83</x:v>
      </x:c>
      <x:c r="J1547" s="604" t="inlineStr">
        <x:is>
          <x:t xml:space="preserve">0.98/0.5/0.83</x:t>
        </x:is>
      </x:c>
      <x:c r="K1547" s="604" t="inlineStr">
        <x:is>
          <x:t xml:space="preserve">V4-N</x:t>
        </x:is>
      </x:c>
      <x:c r="L1547" s="604" t="inlineStr">
        <x:is>
          <x:t xml:space="preserve"/>
        </x:is>
      </x:c>
      <x:c r="M1547" s="604" t="n">
        <x:v>0.4911283161483041</x:v>
      </x:c>
      <x:c r="N1547" s="604" t="inlineStr">
        <x:is>
          <x:t xml:space="preserve">V4 Shadow Only；real_money=false</x:t>
        </x:is>
      </x:c>
      <x:c r="O1547" s="604" t="inlineStr">
        <x:is>
          <x:t xml:space="preserve">0-0</x:t>
        </x:is>
      </x:c>
      <x:c r="P1547" s="604" t="inlineStr">
        <x:is>
          <x:t xml:space="preserve">EVALUATED</x:t>
        </x:is>
      </x:c>
      <x:c r="Q1547" s="630" t="inlineStr">
        <x:is>
          <x:t xml:space="preserve"/>
        </x:is>
      </x:c>
      <x:c r="R1547" s="604" t="n"/>
      <x:c r="S1547" s="604" t="n"/>
      <x:c r="T1547" s="604" t="inlineStr">
        <x:is>
          <x:t xml:space="preserve">D:\codex\v3_legacy\outputs\football_odds_trader\raw\titan007\20261009\20261009_085232_titan007_odds_snapshot.csv</x:t>
        </x:is>
      </x:c>
      <x:c r="U1547" s="628" t="inlineStr">
        <x:is>
          <x:t xml:space="preserve"/>
        </x:is>
      </x:c>
      <x:c r="V1547" s="604" t="inlineStr">
        <x:is>
          <x:t xml:space="preserve"/>
        </x:is>
      </x:c>
      <x:c r="W1547" s="604" t="inlineStr">
        <x:is>
          <x:t xml:space="preserve"/>
        </x:is>
      </x:c>
      <x:c r="X1547" s="604" t="inlineStr">
        <x:is>
          <x:t xml:space="preserve">3031210</x:t>
        </x:is>
      </x:c>
      <x:c r="Y1547" s="604" t="inlineStr">
        <x:is>
          <x:t xml:space="preserve">V4</x:t>
        </x:is>
      </x:c>
      <x:c r="Z1547" s="604" t="inlineStr">
        <x:is>
          <x:t xml:space="preserve">prior-2026-10-09-v1</x:t>
        </x:is>
      </x:c>
      <x:c r="AA1547" s="604" t="inlineStr">
        <x:is>
          <x:t xml:space="preserve">N</x:t>
        </x:is>
      </x:c>
      <x:c r="AB1547" s="604" t="n">
        <x:v>0.4911283161483041</x:v>
      </x:c>
      <x:c r="AC1547" s="604" t="n">
        <x:v>0.5088716838516959</x:v>
      </x:c>
      <x:c r="AD1547" s="604" t="n">
        <x:v>0.5</x:v>
      </x:c>
      <x:c r="AE1547" s="604" t="n"/>
      <x:c r="AF1547" s="604" t="n"/>
      <x:c r="AG1547" s="604" t="n">
        <x:v>-0.02756593402635787</x:v>
      </x:c>
      <x:c r="AH1547" s="604" t="n"/>
      <x:c r="AI1547" s="604" t="n"/>
      <x:c r="AJ1547" s="604" t="n">
        <x:v>-0.02756593402635787</x:v>
      </x:c>
      <x:c r="AK1547" s="604" t="n"/>
      <x:c r="AL1547" s="604" t="n"/>
      <x:c r="AM1547" s="604" t="n"/>
      <x:c r="AN1547" s="604" t="inlineStr">
        <x:is>
          <x:t xml:space="preserve">EVALUATED</x:t>
        </x:is>
      </x:c>
      <x:c r="AO1547" s="604" t="inlineStr">
        <x:is>
          <x:t xml:space="preserve">EDGE_BELOW_UNCERTAINTY_THRESHOLD;BUCKET_PRIOR_ONLY;INTENT_INTERPRETATION_ONLY;FFL_OPTIONAL;EXPERT_MARKET</x:t>
        </x:is>
      </x:c>
      <x:c r="AP1547" s="604" t="inlineStr">
        <x:is>
          <x:t xml:space="preserve">28c6fd155fd84836bcfd</x:t>
        </x:is>
      </x:c>
      <x:c r="AQ1547" s="604" t="n"/>
      <x:c r="AR1547" s="604" t="n"/>
      <x:c r="AS1547" s="604" t="n">
        <x:v>0.5</x:v>
      </x:c>
      <x:c r="AT1547" s="604" t="n">
        <x:v>-0.5</x:v>
      </x:c>
      <x:c r="AU1547" s="604" t="n">
        <x:v>0.98</x:v>
      </x:c>
      <x:c r="AV1547" s="604" t="n">
        <x:v>0.83</x:v>
      </x:c>
      <x:c r="AW1547" s="604" t="inlineStr">
        <x:is>
          <x:t xml:space="preserve">2026-10-09T09:01:21.127001+08:00</x:t>
        </x:is>
      </x:c>
      <x:c r="AX1547" s="604" t="inlineStr">
        <x:is>
          <x:t xml:space="preserve">Titan007/V4</x:t>
        </x:is>
      </x:c>
      <x:c r="AY1547" s="604" t="inlineStr">
        <x:is>
          <x:t xml:space="preserve">Daily append；市场输入缺失时不生成决策</x:t>
        </x:is>
      </x:c>
    </x:row>
    <x:row r="1548" ht="22" customHeight="1">
      <x:c r="A1548" s="604" t="inlineStr">
        <x:is>
          <x:t xml:space="preserve">2026-10-09</x:t>
        </x:is>
      </x:c>
      <x:c r="B1548" s="604" t="inlineStr">
        <x:is>
          <x:t xml:space="preserve">2026-10-10T01:15:00+08:00</x:t>
        </x:is>
      </x:c>
      <x:c r="C1548" s="604" t="str">
        <x:v>欧洲非五大系列</x:v>
      </x:c>
      <x:c r="D1548" s="604" t="inlineStr">
        <x:is>
          <x:t xml:space="preserve"/>
        </x:is>
      </x:c>
      <x:c r="E1548" s="604" t="inlineStr">
        <x:is>
          <x:t xml:space="preserve">立陶乙</x:t>
        </x:is>
      </x:c>
      <x:c r="F1548" s="604" t="inlineStr">
        <x:is>
          <x:t xml:space="preserve">维尔提斯BFA vs 萨尔基利斯B队</x:t>
        </x:is>
      </x:c>
      <x:c r="G1548" s="604" t="n">
        <x:v>0.98</x:v>
      </x:c>
      <x:c r="H1548" s="604" t="n">
        <x:v>0.75</x:v>
      </x:c>
      <x:c r="I1548" s="604" t="n">
        <x:v>0.83</x:v>
      </x:c>
      <x:c r="J1548" s="604" t="inlineStr">
        <x:is>
          <x:t xml:space="preserve">0.98/0.75/0.83</x:t>
        </x:is>
      </x:c>
      <x:c r="K1548" s="604" t="inlineStr">
        <x:is>
          <x:t xml:space="preserve">V4-N</x:t>
        </x:is>
      </x:c>
      <x:c r="L1548" s="604" t="inlineStr">
        <x:is>
          <x:t xml:space="preserve"/>
        </x:is>
      </x:c>
      <x:c r="M1548" s="604" t="n">
        <x:v>0.4593559716899274</x:v>
      </x:c>
      <x:c r="N1548" s="604" t="inlineStr">
        <x:is>
          <x:t xml:space="preserve">V4 Shadow Only；real_money=false</x:t>
        </x:is>
      </x:c>
      <x:c r="O1548" s="604" t="inlineStr">
        <x:is>
          <x:t xml:space="preserve">0-0</x:t>
        </x:is>
      </x:c>
      <x:c r="P1548" s="604" t="inlineStr">
        <x:is>
          <x:t xml:space="preserve">EVALUATED</x:t>
        </x:is>
      </x:c>
      <x:c r="Q1548" s="630" t="inlineStr">
        <x:is>
          <x:t xml:space="preserve"/>
        </x:is>
      </x:c>
      <x:c r="R1548" s="604" t="n"/>
      <x:c r="S1548" s="604" t="n"/>
      <x:c r="T1548" s="604" t="inlineStr">
        <x:is>
          <x:t xml:space="preserve">D:\codex\v3_legacy\outputs\football_odds_trader\raw\titan007\20261009\20261009_085232_titan007_odds_snapshot.csv</x:t>
        </x:is>
      </x:c>
      <x:c r="U1548" s="628" t="inlineStr">
        <x:is>
          <x:t xml:space="preserve"/>
        </x:is>
      </x:c>
      <x:c r="V1548" s="604" t="inlineStr">
        <x:is>
          <x:t xml:space="preserve"/>
        </x:is>
      </x:c>
      <x:c r="W1548" s="604" t="inlineStr">
        <x:is>
          <x:t xml:space="preserve"/>
        </x:is>
      </x:c>
      <x:c r="X1548" s="604" t="inlineStr">
        <x:is>
          <x:t xml:space="preserve">3031215</x:t>
        </x:is>
      </x:c>
      <x:c r="Y1548" s="604" t="inlineStr">
        <x:is>
          <x:t xml:space="preserve">V4</x:t>
        </x:is>
      </x:c>
      <x:c r="Z1548" s="604" t="inlineStr">
        <x:is>
          <x:t xml:space="preserve">prior-2026-10-09-v1</x:t>
        </x:is>
      </x:c>
      <x:c r="AA1548" s="604" t="inlineStr">
        <x:is>
          <x:t xml:space="preserve">N</x:t>
        </x:is>
      </x:c>
      <x:c r="AB1548" s="604" t="n">
        <x:v>0.4593559716899274</x:v>
      </x:c>
      <x:c r="AC1548" s="604" t="n">
        <x:v>0.4144767807792303</x:v>
      </x:c>
      <x:c r="AD1548" s="604" t="n">
        <x:v>1</x:v>
      </x:c>
      <x:c r="AE1548" s="604" t="n"/>
      <x:c r="AF1548" s="604" t="n"/>
      <x:c r="AG1548" s="604" t="n">
        <x:v>0.03569207147689851</x:v>
      </x:c>
      <x:c r="AH1548" s="604" t="n"/>
      <x:c r="AI1548" s="604" t="n"/>
      <x:c r="AJ1548" s="604" t="n">
        <x:v>0.03569207147689851</x:v>
      </x:c>
      <x:c r="AK1548" s="604" t="n"/>
      <x:c r="AL1548" s="604" t="n"/>
      <x:c r="AM1548" s="604" t="n"/>
      <x:c r="AN1548" s="604" t="inlineStr">
        <x:is>
          <x:t xml:space="preserve">EVALUATED</x:t>
        </x:is>
      </x:c>
      <x:c r="AO1548" s="604" t="inlineStr">
        <x:is>
          <x:t xml:space="preserve">EDGE_BELOW_UNCERTAINTY_THRESHOLD;BUCKET_PRIOR_ONLY;INTENT_INTERPRETATION_ONLY;FFL_OPTIONAL;EXPERT_MARKET</x:t>
        </x:is>
      </x:c>
      <x:c r="AP1548" s="604" t="inlineStr">
        <x:is>
          <x:t xml:space="preserve">ea9852762d405f463d96</x:t>
        </x:is>
      </x:c>
      <x:c r="AQ1548" s="604" t="n"/>
      <x:c r="AR1548" s="604" t="n"/>
      <x:c r="AS1548" s="604" t="n">
        <x:v>0.75</x:v>
      </x:c>
      <x:c r="AT1548" s="604" t="n">
        <x:v>-0.75</x:v>
      </x:c>
      <x:c r="AU1548" s="604" t="n">
        <x:v>0.98</x:v>
      </x:c>
      <x:c r="AV1548" s="604" t="n">
        <x:v>0.83</x:v>
      </x:c>
      <x:c r="AW1548" s="604" t="inlineStr">
        <x:is>
          <x:t xml:space="preserve">2026-10-09T09:01:21.127001+08:00</x:t>
        </x:is>
      </x:c>
      <x:c r="AX1548" s="604" t="inlineStr">
        <x:is>
          <x:t xml:space="preserve">Titan007/V4</x:t>
        </x:is>
      </x:c>
      <x:c r="AY1548" s="604" t="inlineStr">
        <x:is>
          <x:t xml:space="preserve">Daily append；市场输入缺失时不生成决策</x:t>
        </x:is>
      </x:c>
    </x:row>
    <x:row r="1549" ht="22" customHeight="1">
      <x:c r="A1549" s="604" t="inlineStr">
        <x:is>
          <x:t xml:space="preserve">2026-10-09</x:t>
        </x:is>
      </x:c>
      <x:c r="B1549" s="604" t="inlineStr">
        <x:is>
          <x:t xml:space="preserve">2026-10-09T23:00:00+08:00</x:t>
        </x:is>
      </x:c>
      <x:c r="C1549" s="604" t="str">
        <x:v>欧洲非五大系列</x:v>
      </x:c>
      <x:c r="D1549" s="604" t="inlineStr">
        <x:is>
          <x:t xml:space="preserve"/>
        </x:is>
      </x:c>
      <x:c r="E1549" s="604" t="inlineStr">
        <x:is>
          <x:t xml:space="preserve">立陶乙</x:t>
        </x:is>
      </x:c>
      <x:c r="F1549" s="604" t="inlineStr">
        <x:is>
          <x:t xml:space="preserve">斯奥利艾B队 vs 卡努扎吉里斯B队</x:t>
        </x:is>
      </x:c>
      <x:c r="G1549" s="604" t="n">
        <x:v>0.85</x:v>
      </x:c>
      <x:c r="H1549" s="604" t="n">
        <x:v>0.25</x:v>
      </x:c>
      <x:c r="I1549" s="604" t="n">
        <x:v>0.95</x:v>
      </x:c>
      <x:c r="J1549" s="604" t="inlineStr">
        <x:is>
          <x:t xml:space="preserve">0.85/0.25/0.95</x:t>
        </x:is>
      </x:c>
      <x:c r="K1549" s="604" t="inlineStr">
        <x:is>
          <x:t xml:space="preserve">V4-N</x:t>
        </x:is>
      </x:c>
      <x:c r="L1549" s="604" t="inlineStr">
        <x:is>
          <x:t xml:space="preserve"/>
        </x:is>
      </x:c>
      <x:c r="M1549" s="604" t="n">
        <x:v>0.441726509616676</x:v>
      </x:c>
      <x:c r="N1549" s="604" t="inlineStr">
        <x:is>
          <x:t xml:space="preserve">V4 Shadow Only；real_money=false</x:t>
        </x:is>
      </x:c>
      <x:c r="O1549" s="604" t="inlineStr">
        <x:is>
          <x:t xml:space="preserve">0-0</x:t>
        </x:is>
      </x:c>
      <x:c r="P1549" s="604" t="inlineStr">
        <x:is>
          <x:t xml:space="preserve">EVALUATED</x:t>
        </x:is>
      </x:c>
      <x:c r="Q1549" s="630" t="inlineStr">
        <x:is>
          <x:t xml:space="preserve"/>
        </x:is>
      </x:c>
      <x:c r="R1549" s="604" t="n"/>
      <x:c r="S1549" s="604" t="n"/>
      <x:c r="T1549" s="604" t="inlineStr">
        <x:is>
          <x:t xml:space="preserve">D:\codex\v3_legacy\outputs\football_odds_trader\raw\titan007\20261009\20261009_085232_titan007_odds_snapshot.csv</x:t>
        </x:is>
      </x:c>
      <x:c r="U1549" s="628" t="inlineStr">
        <x:is>
          <x:t xml:space="preserve"/>
        </x:is>
      </x:c>
      <x:c r="V1549" s="604" t="inlineStr">
        <x:is>
          <x:t xml:space="preserve"/>
        </x:is>
      </x:c>
      <x:c r="W1549" s="604" t="inlineStr">
        <x:is>
          <x:t xml:space="preserve"/>
        </x:is>
      </x:c>
      <x:c r="X1549" s="604" t="inlineStr">
        <x:is>
          <x:t xml:space="preserve">3031217</x:t>
        </x:is>
      </x:c>
      <x:c r="Y1549" s="604" t="inlineStr">
        <x:is>
          <x:t xml:space="preserve">V4</x:t>
        </x:is>
      </x:c>
      <x:c r="Z1549" s="604" t="inlineStr">
        <x:is>
          <x:t xml:space="preserve">prior-2026-10-09-v1</x:t>
        </x:is>
      </x:c>
      <x:c r="AA1549" s="604" t="inlineStr">
        <x:is>
          <x:t xml:space="preserve">N</x:t>
        </x:is>
      </x:c>
      <x:c r="AB1549" s="604" t="n">
        <x:v>0.441726509616676</x:v>
      </x:c>
      <x:c r="AC1549" s="604" t="n">
        <x:v>0.428760262223856</x:v>
      </x:c>
      <x:c r="AD1549" s="604" t="n">
        <x:v>0.25</x:v>
      </x:c>
      <x:c r="AE1549" s="604" t="n"/>
      <x:c r="AF1549" s="604" t="n"/>
      <x:c r="AG1549" s="604" t="n">
        <x:v>-0.03440426050401285</x:v>
      </x:c>
      <x:c r="AH1549" s="604" t="n"/>
      <x:c r="AI1549" s="604" t="n"/>
      <x:c r="AJ1549" s="604" t="n">
        <x:v>-0.03440426050401285</x:v>
      </x:c>
      <x:c r="AK1549" s="604" t="n"/>
      <x:c r="AL1549" s="604" t="n"/>
      <x:c r="AM1549" s="604" t="n"/>
      <x:c r="AN1549" s="604" t="inlineStr">
        <x:is>
          <x:t xml:space="preserve">EVALUATED</x:t>
        </x:is>
      </x:c>
      <x:c r="AO1549" s="604" t="inlineStr">
        <x:is>
          <x:t xml:space="preserve">EDGE_BELOW_UNCERTAINTY_THRESHOLD;BUCKET_PRIOR_ONLY;INTENT_INTERPRETATION_ONLY;FFL_OPTIONAL;EXPERT_MARKET</x:t>
        </x:is>
      </x:c>
      <x:c r="AP1549" s="604" t="inlineStr">
        <x:is>
          <x:t xml:space="preserve">61afb153624f3178d5a0</x:t>
        </x:is>
      </x:c>
      <x:c r="AQ1549" s="604" t="n"/>
      <x:c r="AR1549" s="604" t="n"/>
      <x:c r="AS1549" s="604" t="n">
        <x:v>0.25</x:v>
      </x:c>
      <x:c r="AT1549" s="604" t="n">
        <x:v>-0.25</x:v>
      </x:c>
      <x:c r="AU1549" s="604" t="n">
        <x:v>0.85</x:v>
      </x:c>
      <x:c r="AV1549" s="604" t="n">
        <x:v>0.95</x:v>
      </x:c>
      <x:c r="AW1549" s="604" t="inlineStr">
        <x:is>
          <x:t xml:space="preserve">2026-10-09T09:01:21.127001+08:00</x:t>
        </x:is>
      </x:c>
      <x:c r="AX1549" s="604" t="inlineStr">
        <x:is>
          <x:t xml:space="preserve">Titan007/V4</x:t>
        </x:is>
      </x:c>
      <x:c r="AY1549" s="604" t="inlineStr">
        <x:is>
          <x:t xml:space="preserve">Daily append；市场输入缺失时不生成决策</x:t>
        </x:is>
      </x:c>
    </x:row>
    <x:row r="1550" ht="22" customHeight="1">
      <x:c r="A1550" s="604" t="inlineStr">
        <x:is>
          <x:t xml:space="preserve">2026-10-09</x:t>
        </x:is>
      </x:c>
      <x:c r="B1550" s="604" t="inlineStr">
        <x:is>
          <x:t xml:space="preserve">2026-10-10T01:00:00+08:00</x:t>
        </x:is>
      </x:c>
      <x:c r="C1550" s="604" t="str">
        <x:v>五大联赛非顶级联赛</x:v>
      </x:c>
      <x:c r="D1550" s="604" t="inlineStr">
        <x:is>
          <x:t xml:space="preserve"/>
        </x:is>
      </x:c>
      <x:c r="E1550" s="604" t="inlineStr">
        <x:is>
          <x:t xml:space="preserve">德地区南</x:t>
        </x:is>
      </x:c>
      <x:c r="F1550" s="604" t="inlineStr">
        <x:is>
          <x:t xml:space="preserve">奥芬巴查 vs 侯姆堡</x:t>
        </x:is>
      </x:c>
      <x:c r="G1550" s="604" t="n">
        <x:v>0.88</x:v>
      </x:c>
      <x:c r="H1550" s="604" t="n">
        <x:v>0</x:v>
      </x:c>
      <x:c r="I1550" s="604" t="n">
        <x:v>0.88</x:v>
      </x:c>
      <x:c r="J1550" s="604" t="inlineStr">
        <x:is>
          <x:t xml:space="preserve">0.88/0.0/0.88</x:t>
        </x:is>
      </x:c>
      <x:c r="K1550" s="604" t="inlineStr">
        <x:is>
          <x:t xml:space="preserve">V4-N</x:t>
        </x:is>
      </x:c>
      <x:c r="L1550" s="604" t="inlineStr">
        <x:is>
          <x:t xml:space="preserve"/>
        </x:is>
      </x:c>
      <x:c r="M1550" s="604" t="n"/>
      <x:c r="N1550" s="604" t="inlineStr">
        <x:is>
          <x:t xml:space="preserve">V4 Shadow Only；real_money=false</x:t>
        </x:is>
      </x:c>
      <x:c r="O1550" s="604" t="inlineStr">
        <x:is>
          <x:t xml:space="preserve">0-0</x:t>
        </x:is>
      </x:c>
      <x:c r="P1550" s="604" t="inlineStr">
        <x:is>
          <x:t xml:space="preserve">NEUTRAL</x:t>
        </x:is>
      </x:c>
      <x:c r="Q1550" s="630" t="inlineStr">
        <x:is>
          <x:t xml:space="preserve"/>
        </x:is>
      </x:c>
      <x:c r="R1550" s="604" t="n"/>
      <x:c r="S1550" s="604" t="n"/>
      <x:c r="T1550" s="604" t="inlineStr">
        <x:is>
          <x:t xml:space="preserve">D:\codex\v3_legacy\outputs\football_odds_trader\raw\titan007\20261009\20261009_085232_titan007_odds_snapshot.csv</x:t>
        </x:is>
      </x:c>
      <x:c r="U1550" s="628" t="inlineStr">
        <x:is>
          <x:t xml:space="preserve"/>
        </x:is>
      </x:c>
      <x:c r="V1550" s="604" t="inlineStr">
        <x:is>
          <x:t xml:space="preserve"/>
        </x:is>
      </x:c>
      <x:c r="W1550" s="604" t="inlineStr">
        <x:is>
          <x:t xml:space="preserve"/>
        </x:is>
      </x:c>
      <x:c r="X1550" s="604" t="inlineStr">
        <x:is>
          <x:t xml:space="preserve">3031573</x:t>
        </x:is>
      </x:c>
      <x:c r="Y1550" s="604" t="inlineStr">
        <x:is>
          <x:t xml:space="preserve">V4</x:t>
        </x:is>
      </x:c>
      <x:c r="Z1550" s="604" t="inlineStr">
        <x:is>
          <x:t xml:space="preserve">prior-2026-10-09-v1</x:t>
        </x:is>
      </x:c>
      <x:c r="AA1550" s="604" t="inlineStr">
        <x:is>
          <x:t xml:space="preserve">N</x:t>
        </x:is>
      </x:c>
      <x:c r="AB1550" s="604" t="n"/>
      <x:c r="AC1550" s="604" t="n"/>
      <x:c r="AD1550" s="604" t="n"/>
      <x:c r="AE1550" s="604" t="n"/>
      <x:c r="AF1550" s="604" t="n"/>
      <x:c r="AG1550" s="604" t="n"/>
      <x:c r="AH1550" s="604" t="n"/>
      <x:c r="AI1550" s="604" t="n"/>
      <x:c r="AJ1550" s="604" t="n"/>
      <x:c r="AK1550" s="604" t="n"/>
      <x:c r="AL1550" s="604" t="n"/>
      <x:c r="AM1550" s="604" t="n"/>
      <x:c r="AN1550" s="604" t="inlineStr">
        <x:is>
          <x:t xml:space="preserve">NEUTRAL</x:t>
        </x:is>
      </x:c>
      <x:c r="AO1550" s="604" t="inlineStr">
        <x:is>
          <x:t xml:space="preserve">PK_NO_GIVING_RECEIVING_IDENTITY</x:t>
        </x:is>
      </x:c>
      <x:c r="AP1550" s="604" t="inlineStr">
        <x:is>
          <x:t xml:space="preserve">1538c60c03be69bdaa33</x:t>
        </x:is>
      </x:c>
      <x:c r="AQ1550" s="604" t="n"/>
      <x:c r="AR1550" s="604" t="n"/>
      <x:c r="AS1550" s="604" t="n"/>
      <x:c r="AT1550" s="604" t="n"/>
      <x:c r="AU1550" s="604" t="n"/>
      <x:c r="AV1550" s="604" t="n"/>
      <x:c r="AW1550" s="604" t="inlineStr">
        <x:is>
          <x:t xml:space="preserve">2026-10-09T09:01:21.127001+08:00</x:t>
        </x:is>
      </x:c>
      <x:c r="AX1550" s="604" t="inlineStr">
        <x:is>
          <x:t xml:space="preserve">Titan007/V4</x:t>
        </x:is>
      </x:c>
      <x:c r="AY1550" s="604" t="inlineStr">
        <x:is>
          <x:t xml:space="preserve">Daily append；市场输入缺失时不生成决策</x:t>
        </x:is>
      </x:c>
    </x:row>
    <x:row r="1551" ht="22" customHeight="1">
      <x:c r="A1551" s="604" t="inlineStr">
        <x:is>
          <x:t xml:space="preserve">2026-10-09</x:t>
        </x:is>
      </x:c>
      <x:c r="B1551" s="604" t="inlineStr">
        <x:is>
          <x:t xml:space="preserve">2026-10-09T21:10:00+08:00</x:t>
        </x:is>
      </x:c>
      <x:c r="C1551" s="604" t="str">
        <x:v>西亚/中亚系列</x:v>
      </x:c>
      <x:c r="D1551" s="604" t="inlineStr">
        <x:is>
          <x:t xml:space="preserve"/>
        </x:is>
      </x:c>
      <x:c r="E1551" s="604" t="inlineStr">
        <x:is>
          <x:t xml:space="preserve">阿联酋甲</x:t>
        </x:is>
      </x:c>
      <x:c r="F1551" s="604" t="inlineStr">
        <x:is>
          <x:t xml:space="preserve">阿尔咸拉 vs 富查伊拉</x:t>
        </x:is>
      </x:c>
      <x:c r="G1551" s="604" t="n">
        <x:v>0.9</x:v>
      </x:c>
      <x:c r="H1551" s="604" t="n">
        <x:v>-1.25</x:v>
      </x:c>
      <x:c r="I1551" s="604" t="n">
        <x:v>0.8</x:v>
      </x:c>
      <x:c r="J1551" s="604" t="inlineStr">
        <x:is>
          <x:t xml:space="preserve">0.9/-1.25/0.8</x:t>
        </x:is>
      </x:c>
      <x:c r="K1551" s="604" t="inlineStr">
        <x:is>
          <x:t xml:space="preserve">V4-N</x:t>
        </x:is>
      </x:c>
      <x:c r="L1551" s="604" t="inlineStr">
        <x:is>
          <x:t xml:space="preserve"/>
        </x:is>
      </x:c>
      <x:c r="M1551" s="604" t="n">
        <x:v>0.004148788139234943</x:v>
      </x:c>
      <x:c r="N1551" s="604" t="inlineStr">
        <x:is>
          <x:t xml:space="preserve">V4 Shadow Only；real_money=false</x:t>
        </x:is>
      </x:c>
      <x:c r="O1551" s="604" t="inlineStr">
        <x:is>
          <x:t xml:space="preserve">0-0</x:t>
        </x:is>
      </x:c>
      <x:c r="P1551" s="604" t="inlineStr">
        <x:is>
          <x:t xml:space="preserve">EVALUATED</x:t>
        </x:is>
      </x:c>
      <x:c r="Q1551" s="630" t="inlineStr">
        <x:is>
          <x:t xml:space="preserve"/>
        </x:is>
      </x:c>
      <x:c r="R1551" s="604" t="n"/>
      <x:c r="S1551" s="604" t="n"/>
      <x:c r="T1551" s="604" t="inlineStr">
        <x:is>
          <x:t xml:space="preserve">D:\codex\v3_legacy\outputs\football_odds_trader\raw\titan007\20261009\20261009_085232_titan007_odds_snapshot.csv</x:t>
        </x:is>
      </x:c>
      <x:c r="U1551" s="628" t="inlineStr">
        <x:is>
          <x:t xml:space="preserve"/>
        </x:is>
      </x:c>
      <x:c r="V1551" s="604" t="inlineStr">
        <x:is>
          <x:t xml:space="preserve"/>
        </x:is>
      </x:c>
      <x:c r="W1551" s="604" t="inlineStr">
        <x:is>
          <x:t xml:space="preserve"/>
        </x:is>
      </x:c>
      <x:c r="X1551" s="604" t="inlineStr">
        <x:is>
          <x:t xml:space="preserve">3032927</x:t>
        </x:is>
      </x:c>
      <x:c r="Y1551" s="604" t="inlineStr">
        <x:is>
          <x:t xml:space="preserve">V4</x:t>
        </x:is>
      </x:c>
      <x:c r="Z1551" s="604" t="inlineStr">
        <x:is>
          <x:t xml:space="preserve">prior-2026-10-09-v1</x:t>
        </x:is>
      </x:c>
      <x:c r="AA1551" s="604" t="inlineStr">
        <x:is>
          <x:t xml:space="preserve">N</x:t>
        </x:is>
      </x:c>
      <x:c r="AB1551" s="604" t="n">
        <x:v>0.004148788139234943</x:v>
      </x:c>
      <x:c r="AC1551" s="604" t="n">
        <x:v>0.9816851805160525</x:v>
      </x:c>
      <x:c r="AD1551" s="604" t="n">
        <x:v>-2</x:v>
      </x:c>
      <x:c r="AE1551" s="604" t="n"/>
      <x:c r="AF1551" s="604" t="n"/>
      <x:c r="AG1551" s="604" t="n">
        <x:v>0.8793678743252122</x:v>
      </x:c>
      <x:c r="AH1551" s="604" t="n"/>
      <x:c r="AI1551" s="604" t="n"/>
      <x:c r="AJ1551" s="604" t="n">
        <x:v>0.8793678743252122</x:v>
      </x:c>
      <x:c r="AK1551" s="604" t="n"/>
      <x:c r="AL1551" s="604" t="n"/>
      <x:c r="AM1551" s="604" t="n"/>
      <x:c r="AN1551" s="604" t="inlineStr">
        <x:is>
          <x:t xml:space="preserve">EVALUATED</x:t>
        </x:is>
      </x:c>
      <x:c r="AO1551" s="604" t="inlineStr">
        <x:is>
          <x:t xml:space="preserve">LOW_QUALITY_GATE;BUCKET_PRIOR_ONLY;INTENT_INTERPRETATION_ONLY;FFL_OPTIONAL;EXPERT_MARKET</x:t>
        </x:is>
      </x:c>
      <x:c r="AP1551" s="604" t="inlineStr">
        <x:is>
          <x:t xml:space="preserve">cde283c2417971dfa888</x:t>
        </x:is>
      </x:c>
      <x:c r="AQ1551" s="604" t="n"/>
      <x:c r="AR1551" s="604" t="n"/>
      <x:c r="AS1551" s="604" t="n">
        <x:v>-1.25</x:v>
      </x:c>
      <x:c r="AT1551" s="604" t="n">
        <x:v>1.25</x:v>
      </x:c>
      <x:c r="AU1551" s="604" t="n">
        <x:v>0.9</x:v>
      </x:c>
      <x:c r="AV1551" s="604" t="n">
        <x:v>0.8</x:v>
      </x:c>
      <x:c r="AW1551" s="604" t="inlineStr">
        <x:is>
          <x:t xml:space="preserve">2026-10-09T09:01:21.127001+08:00</x:t>
        </x:is>
      </x:c>
      <x:c r="AX1551" s="604" t="inlineStr">
        <x:is>
          <x:t xml:space="preserve">Titan007/V4</x:t>
        </x:is>
      </x:c>
      <x:c r="AY1551" s="604" t="inlineStr">
        <x:is>
          <x:t xml:space="preserve">Daily append；市场输入缺失时不生成决策</x:t>
        </x:is>
      </x:c>
    </x:row>
    <x:row r="1552" ht="22" customHeight="1">
      <x:c r="A1552" s="604" t="inlineStr">
        <x:is>
          <x:t xml:space="preserve">2026-10-09</x:t>
        </x:is>
      </x:c>
      <x:c r="B1552" s="604" t="inlineStr">
        <x:is>
          <x:t xml:space="preserve">2026-10-09T21:15:00+08:00</x:t>
        </x:is>
      </x:c>
      <x:c r="C1552" s="604" t="str">
        <x:v>西亚/中亚系列</x:v>
      </x:c>
      <x:c r="D1552" s="604" t="inlineStr">
        <x:is>
          <x:t xml:space="preserve"/>
        </x:is>
      </x:c>
      <x:c r="E1552" s="604" t="inlineStr">
        <x:is>
          <x:t xml:space="preserve">阿联酋甲</x:t>
        </x:is>
      </x:c>
      <x:c r="F1552" s="604" t="inlineStr">
        <x:is>
          <x:t xml:space="preserve">阿拉比欧姆古温 vs 海湾联</x:t>
        </x:is>
      </x:c>
      <x:c r="G1552" s="604" t="n">
        <x:v>0.75</x:v>
      </x:c>
      <x:c r="H1552" s="604" t="n">
        <x:v>0.75</x:v>
      </x:c>
      <x:c r="I1552" s="604" t="n">
        <x:v>0.95</x:v>
      </x:c>
      <x:c r="J1552" s="604" t="inlineStr">
        <x:is>
          <x:t xml:space="preserve">0.75/0.75/0.95</x:t>
        </x:is>
      </x:c>
      <x:c r="K1552" s="604" t="inlineStr">
        <x:is>
          <x:t xml:space="preserve">V4-N</x:t>
        </x:is>
      </x:c>
      <x:c r="L1552" s="604" t="inlineStr">
        <x:is>
          <x:t xml:space="preserve"/>
        </x:is>
      </x:c>
      <x:c r="M1552" s="604" t="n">
        <x:v>0.4921890522078614</x:v>
      </x:c>
      <x:c r="N1552" s="604" t="inlineStr">
        <x:is>
          <x:t xml:space="preserve">V4 Shadow Only；real_money=false</x:t>
        </x:is>
      </x:c>
      <x:c r="O1552" s="604" t="inlineStr">
        <x:is>
          <x:t xml:space="preserve">0-0</x:t>
        </x:is>
      </x:c>
      <x:c r="P1552" s="604" t="inlineStr">
        <x:is>
          <x:t xml:space="preserve">EVALUATED</x:t>
        </x:is>
      </x:c>
      <x:c r="Q1552" s="630" t="inlineStr">
        <x:is>
          <x:t xml:space="preserve"/>
        </x:is>
      </x:c>
      <x:c r="R1552" s="604" t="n"/>
      <x:c r="S1552" s="604" t="n"/>
      <x:c r="T1552" s="604" t="inlineStr">
        <x:is>
          <x:t xml:space="preserve">D:\codex\v3_legacy\outputs\football_odds_trader\raw\titan007\20261009\20261009_085232_titan007_odds_snapshot.csv</x:t>
        </x:is>
      </x:c>
      <x:c r="U1552" s="628" t="inlineStr">
        <x:is>
          <x:t xml:space="preserve"/>
        </x:is>
      </x:c>
      <x:c r="V1552" s="604" t="inlineStr">
        <x:is>
          <x:t xml:space="preserve"/>
        </x:is>
      </x:c>
      <x:c r="W1552" s="604" t="inlineStr">
        <x:is>
          <x:t xml:space="preserve"/>
        </x:is>
      </x:c>
      <x:c r="X1552" s="604" t="inlineStr">
        <x:is>
          <x:t xml:space="preserve">3032928</x:t>
        </x:is>
      </x:c>
      <x:c r="Y1552" s="604" t="inlineStr">
        <x:is>
          <x:t xml:space="preserve">V4</x:t>
        </x:is>
      </x:c>
      <x:c r="Z1552" s="604" t="inlineStr">
        <x:is>
          <x:t xml:space="preserve">prior-2026-10-09-v1</x:t>
        </x:is>
      </x:c>
      <x:c r="AA1552" s="604" t="inlineStr">
        <x:is>
          <x:t xml:space="preserve">N</x:t>
        </x:is>
      </x:c>
      <x:c r="AB1552" s="604" t="n">
        <x:v>0.4921890522078614</x:v>
      </x:c>
      <x:c r="AC1552" s="604" t="n">
        <x:v>0.3801052291310098</x:v>
      </x:c>
      <x:c r="AD1552" s="604" t="n">
        <x:v>1</x:v>
      </x:c>
      <x:c r="AE1552" s="604" t="n"/>
      <x:c r="AF1552" s="604" t="n"/>
      <x:c r="AG1552" s="604" t="n">
        <x:v>-0.01096343997511373</x:v>
      </x:c>
      <x:c r="AH1552" s="604" t="n"/>
      <x:c r="AI1552" s="604" t="n"/>
      <x:c r="AJ1552" s="604" t="n">
        <x:v>-0.01096343997511373</x:v>
      </x:c>
      <x:c r="AK1552" s="604" t="n"/>
      <x:c r="AL1552" s="604" t="n"/>
      <x:c r="AM1552" s="604" t="n"/>
      <x:c r="AN1552" s="604" t="inlineStr">
        <x:is>
          <x:t xml:space="preserve">EVALUATED</x:t>
        </x:is>
      </x:c>
      <x:c r="AO1552" s="604" t="inlineStr">
        <x:is>
          <x:t xml:space="preserve">EDGE_BELOW_UNCERTAINTY_THRESHOLD;BUCKET_PRIOR_ONLY;INTENT_INTERPRETATION_ONLY;FFL_OPTIONAL;EXPERT_MARKET</x:t>
        </x:is>
      </x:c>
      <x:c r="AP1552" s="604" t="inlineStr">
        <x:is>
          <x:t xml:space="preserve">a13154a07ec953b35980</x:t>
        </x:is>
      </x:c>
      <x:c r="AQ1552" s="604" t="n"/>
      <x:c r="AR1552" s="604" t="n"/>
      <x:c r="AS1552" s="604" t="n">
        <x:v>0.75</x:v>
      </x:c>
      <x:c r="AT1552" s="604" t="n">
        <x:v>-0.75</x:v>
      </x:c>
      <x:c r="AU1552" s="604" t="n">
        <x:v>0.75</x:v>
      </x:c>
      <x:c r="AV1552" s="604" t="n">
        <x:v>0.95</x:v>
      </x:c>
      <x:c r="AW1552" s="604" t="inlineStr">
        <x:is>
          <x:t xml:space="preserve">2026-10-09T09:01:21.127001+08:00</x:t>
        </x:is>
      </x:c>
      <x:c r="AX1552" s="604" t="inlineStr">
        <x:is>
          <x:t xml:space="preserve">Titan007/V4</x:t>
        </x:is>
      </x:c>
      <x:c r="AY1552" s="604" t="inlineStr">
        <x:is>
          <x:t xml:space="preserve">Daily append；市场输入缺失时不生成决策</x:t>
        </x:is>
      </x:c>
    </x:row>
    <x:row r="1553" ht="22" customHeight="1">
      <x:c r="A1553" s="604" t="inlineStr">
        <x:is>
          <x:t xml:space="preserve">2026-10-09</x:t>
        </x:is>
      </x:c>
      <x:c r="B1553" s="604" t="inlineStr">
        <x:is>
          <x:t xml:space="preserve">2026-10-09T21:15:00+08:00</x:t>
        </x:is>
      </x:c>
      <x:c r="C1553" s="604" t="str">
        <x:v>西亚/中亚系列</x:v>
      </x:c>
      <x:c r="D1553" s="604" t="inlineStr">
        <x:is>
          <x:t xml:space="preserve"/>
        </x:is>
      </x:c>
      <x:c r="E1553" s="604" t="inlineStr">
        <x:is>
          <x:t xml:space="preserve">阿联酋甲</x:t>
        </x:is>
      </x:c>
      <x:c r="F1553" s="604" t="inlineStr">
        <x:is>
          <x:t xml:space="preserve">阿联酋伊蒂法格 vs 泰德</x:t>
        </x:is>
      </x:c>
      <x:c r="G1553" s="604" t="n">
        <x:v>0.92</x:v>
      </x:c>
      <x:c r="H1553" s="604" t="n">
        <x:v>-0.25</x:v>
      </x:c>
      <x:c r="I1553" s="604" t="n">
        <x:v>0.78</x:v>
      </x:c>
      <x:c r="J1553" s="604" t="inlineStr">
        <x:is>
          <x:t xml:space="preserve">0.92/-0.25/0.78</x:t>
        </x:is>
      </x:c>
      <x:c r="K1553" s="604" t="inlineStr">
        <x:is>
          <x:t xml:space="preserve">V4-N</x:t>
        </x:is>
      </x:c>
      <x:c r="L1553" s="604" t="inlineStr">
        <x:is>
          <x:t xml:space="preserve"/>
        </x:is>
      </x:c>
      <x:c r="M1553" s="604" t="n">
        <x:v>0.273738965002814</x:v>
      </x:c>
      <x:c r="N1553" s="604" t="inlineStr">
        <x:is>
          <x:t xml:space="preserve">V4 Shadow Only；real_money=false</x:t>
        </x:is>
      </x:c>
      <x:c r="O1553" s="604" t="inlineStr">
        <x:is>
          <x:t xml:space="preserve">0-0</x:t>
        </x:is>
      </x:c>
      <x:c r="P1553" s="604" t="inlineStr">
        <x:is>
          <x:t xml:space="preserve">EVALUATED</x:t>
        </x:is>
      </x:c>
      <x:c r="Q1553" s="630" t="inlineStr">
        <x:is>
          <x:t xml:space="preserve"/>
        </x:is>
      </x:c>
      <x:c r="R1553" s="604" t="n"/>
      <x:c r="S1553" s="604" t="n"/>
      <x:c r="T1553" s="604" t="inlineStr">
        <x:is>
          <x:t xml:space="preserve">D:\codex\v3_legacy\outputs\football_odds_trader\raw\titan007\20261009\20261009_085232_titan007_odds_snapshot.csv</x:t>
        </x:is>
      </x:c>
      <x:c r="U1553" s="628" t="inlineStr">
        <x:is>
          <x:t xml:space="preserve"/>
        </x:is>
      </x:c>
      <x:c r="V1553" s="604" t="inlineStr">
        <x:is>
          <x:t xml:space="preserve"/>
        </x:is>
      </x:c>
      <x:c r="W1553" s="604" t="inlineStr">
        <x:is>
          <x:t xml:space="preserve"/>
        </x:is>
      </x:c>
      <x:c r="X1553" s="604" t="inlineStr">
        <x:is>
          <x:t xml:space="preserve">3032929</x:t>
        </x:is>
      </x:c>
      <x:c r="Y1553" s="604" t="inlineStr">
        <x:is>
          <x:t xml:space="preserve">V4</x:t>
        </x:is>
      </x:c>
      <x:c r="Z1553" s="604" t="inlineStr">
        <x:is>
          <x:t xml:space="preserve">prior-2026-10-09-v1</x:t>
        </x:is>
      </x:c>
      <x:c r="AA1553" s="604" t="inlineStr">
        <x:is>
          <x:t xml:space="preserve">N</x:t>
        </x:is>
      </x:c>
      <x:c r="AB1553" s="604" t="n">
        <x:v>0.273738965002814</x:v>
      </x:c>
      <x:c r="AC1553" s="604" t="n">
        <x:v>0.5982783298499746</x:v>
      </x:c>
      <x:c r="AD1553" s="604" t="n">
        <x:v>-0.5</x:v>
      </x:c>
      <x:c r="AE1553" s="604" t="n"/>
      <x:c r="AF1553" s="604" t="n"/>
      <x:c r="AG1553" s="604" t="n">
        <x:v>0.2766770984591628</x:v>
      </x:c>
      <x:c r="AH1553" s="604" t="n"/>
      <x:c r="AI1553" s="604" t="n"/>
      <x:c r="AJ1553" s="604" t="n">
        <x:v>0.2766770984591628</x:v>
      </x:c>
      <x:c r="AK1553" s="604" t="n"/>
      <x:c r="AL1553" s="604" t="n"/>
      <x:c r="AM1553" s="604" t="n"/>
      <x:c r="AN1553" s="604" t="inlineStr">
        <x:is>
          <x:t xml:space="preserve">EVALUATED</x:t>
        </x:is>
      </x:c>
      <x:c r="AO1553" s="604" t="inlineStr">
        <x:is>
          <x:t xml:space="preserve">LOW_QUALITY_GATE;BUCKET_PRIOR_ONLY;INTENT_INTERPRETATION_ONLY;FFL_OPTIONAL;EXPERT_MARKET</x:t>
        </x:is>
      </x:c>
      <x:c r="AP1553" s="604" t="inlineStr">
        <x:is>
          <x:t xml:space="preserve">c03fc10127e5333656be</x:t>
        </x:is>
      </x:c>
      <x:c r="AQ1553" s="604" t="n"/>
      <x:c r="AR1553" s="604" t="n"/>
      <x:c r="AS1553" s="604" t="n">
        <x:v>-0.25</x:v>
      </x:c>
      <x:c r="AT1553" s="604" t="n">
        <x:v>0.25</x:v>
      </x:c>
      <x:c r="AU1553" s="604" t="n">
        <x:v>0.92</x:v>
      </x:c>
      <x:c r="AV1553" s="604" t="n">
        <x:v>0.78</x:v>
      </x:c>
      <x:c r="AW1553" s="604" t="inlineStr">
        <x:is>
          <x:t xml:space="preserve">2026-10-09T09:01:21.127001+08:00</x:t>
        </x:is>
      </x:c>
      <x:c r="AX1553" s="604" t="inlineStr">
        <x:is>
          <x:t xml:space="preserve">Titan007/V4</x:t>
        </x:is>
      </x:c>
      <x:c r="AY1553" s="604" t="inlineStr">
        <x:is>
          <x:t xml:space="preserve">Daily append；市场输入缺失时不生成决策</x:t>
        </x:is>
      </x:c>
    </x:row>
    <x:row r="1554" ht="22" customHeight="1">
      <x:c r="A1554" s="604" t="inlineStr">
        <x:is>
          <x:t xml:space="preserve">2026-10-09</x:t>
        </x:is>
      </x:c>
      <x:c r="B1554" s="604" t="inlineStr">
        <x:is>
          <x:t xml:space="preserve">2026-10-09T17:00:00+08:00</x:t>
        </x:is>
      </x:c>
      <x:c r="C1554" s="604" t="str">
        <x:v>欧洲非五大系列</x:v>
      </x:c>
      <x:c r="D1554" s="604" t="inlineStr">
        <x:is>
          <x:t xml:space="preserve"/>
        </x:is>
      </x:c>
      <x:c r="E1554" s="604" t="inlineStr">
        <x:is>
          <x:t xml:space="preserve">乌克甲</x:t>
        </x:is>
      </x:c>
      <x:c r="F1554" s="604" t="inlineStr">
        <x:is>
          <x:t xml:space="preserve">梅塔利斯特 vs FC维多尼古拉耶夫卡</x:t>
        </x:is>
      </x:c>
      <x:c r="G1554" s="604" t="n">
        <x:v>1.11</x:v>
      </x:c>
      <x:c r="H1554" s="604" t="n">
        <x:v>0</x:v>
      </x:c>
      <x:c r="I1554" s="604" t="n">
        <x:v>0.6</x:v>
      </x:c>
      <x:c r="J1554" s="604" t="inlineStr">
        <x:is>
          <x:t xml:space="preserve">1.11/0.0/0.6</x:t>
        </x:is>
      </x:c>
      <x:c r="K1554" s="604" t="inlineStr">
        <x:is>
          <x:t xml:space="preserve">V4-N</x:t>
        </x:is>
      </x:c>
      <x:c r="L1554" s="604" t="inlineStr">
        <x:is>
          <x:t xml:space="preserve"/>
        </x:is>
      </x:c>
      <x:c r="M1554" s="604" t="n"/>
      <x:c r="N1554" s="604" t="inlineStr">
        <x:is>
          <x:t xml:space="preserve">V4 Shadow Only；real_money=false</x:t>
        </x:is>
      </x:c>
      <x:c r="O1554" s="604" t="inlineStr">
        <x:is>
          <x:t xml:space="preserve">0-0</x:t>
        </x:is>
      </x:c>
      <x:c r="P1554" s="604" t="inlineStr">
        <x:is>
          <x:t xml:space="preserve">NEUTRAL</x:t>
        </x:is>
      </x:c>
      <x:c r="Q1554" s="630" t="inlineStr">
        <x:is>
          <x:t xml:space="preserve"/>
        </x:is>
      </x:c>
      <x:c r="R1554" s="604" t="n"/>
      <x:c r="S1554" s="604" t="n"/>
      <x:c r="T1554" s="604" t="inlineStr">
        <x:is>
          <x:t xml:space="preserve">D:\codex\v3_legacy\outputs\football_odds_trader\raw\titan007\20261009\20261009_085232_titan007_odds_snapshot.csv</x:t>
        </x:is>
      </x:c>
      <x:c r="U1554" s="628" t="inlineStr">
        <x:is>
          <x:t xml:space="preserve"/>
        </x:is>
      </x:c>
      <x:c r="V1554" s="604" t="inlineStr">
        <x:is>
          <x:t xml:space="preserve"/>
        </x:is>
      </x:c>
      <x:c r="W1554" s="604" t="inlineStr">
        <x:is>
          <x:t xml:space="preserve"/>
        </x:is>
      </x:c>
      <x:c r="X1554" s="604" t="inlineStr">
        <x:is>
          <x:t xml:space="preserve">3035673</x:t>
        </x:is>
      </x:c>
      <x:c r="Y1554" s="604" t="inlineStr">
        <x:is>
          <x:t xml:space="preserve">V4</x:t>
        </x:is>
      </x:c>
      <x:c r="Z1554" s="604" t="inlineStr">
        <x:is>
          <x:t xml:space="preserve">prior-2026-10-09-v1</x:t>
        </x:is>
      </x:c>
      <x:c r="AA1554" s="604" t="inlineStr">
        <x:is>
          <x:t xml:space="preserve">N</x:t>
        </x:is>
      </x:c>
      <x:c r="AB1554" s="604" t="n"/>
      <x:c r="AC1554" s="604" t="n"/>
      <x:c r="AD1554" s="604" t="n"/>
      <x:c r="AE1554" s="604" t="n"/>
      <x:c r="AF1554" s="604" t="n"/>
      <x:c r="AG1554" s="604" t="n"/>
      <x:c r="AH1554" s="604" t="n"/>
      <x:c r="AI1554" s="604" t="n"/>
      <x:c r="AJ1554" s="604" t="n"/>
      <x:c r="AK1554" s="604" t="n"/>
      <x:c r="AL1554" s="604" t="n"/>
      <x:c r="AM1554" s="604" t="n"/>
      <x:c r="AN1554" s="604" t="inlineStr">
        <x:is>
          <x:t xml:space="preserve">NEUTRAL</x:t>
        </x:is>
      </x:c>
      <x:c r="AO1554" s="604" t="inlineStr">
        <x:is>
          <x:t xml:space="preserve">PK_NO_GIVING_RECEIVING_IDENTITY</x:t>
        </x:is>
      </x:c>
      <x:c r="AP1554" s="604" t="inlineStr">
        <x:is>
          <x:t xml:space="preserve">e3db8fea096db33c429b</x:t>
        </x:is>
      </x:c>
      <x:c r="AQ1554" s="604" t="n"/>
      <x:c r="AR1554" s="604" t="n"/>
      <x:c r="AS1554" s="604" t="n"/>
      <x:c r="AT1554" s="604" t="n"/>
      <x:c r="AU1554" s="604" t="n"/>
      <x:c r="AV1554" s="604" t="n"/>
      <x:c r="AW1554" s="604" t="inlineStr">
        <x:is>
          <x:t xml:space="preserve">2026-10-09T09:01:21.127001+08:00</x:t>
        </x:is>
      </x:c>
      <x:c r="AX1554" s="604" t="inlineStr">
        <x:is>
          <x:t xml:space="preserve">Titan007/V4</x:t>
        </x:is>
      </x:c>
      <x:c r="AY1554" s="604" t="inlineStr">
        <x:is>
          <x:t xml:space="preserve">Daily append；市场输入缺失时不生成决策</x:t>
        </x:is>
      </x:c>
    </x:row>
    <x:row r="1555" ht="22" customHeight="1">
      <x:c r="A1555" s="604" t="inlineStr">
        <x:is>
          <x:t xml:space="preserve">2026-10-09</x:t>
        </x:is>
      </x:c>
      <x:c r="B1555" s="604" t="inlineStr">
        <x:is>
          <x:t xml:space="preserve">2026-10-09T21:30:00+08:00</x:t>
        </x:is>
      </x:c>
      <x:c r="C1555" s="604" t="str">
        <x:v>欧洲非五大系列</x:v>
      </x:c>
      <x:c r="D1555" s="604" t="inlineStr">
        <x:is>
          <x:t xml:space="preserve"/>
        </x:is>
      </x:c>
      <x:c r="E1555" s="604" t="inlineStr">
        <x:is>
          <x:t xml:space="preserve">波兰乙</x:t>
        </x:is>
      </x:c>
      <x:c r="F1555" s="604" t="inlineStr">
        <x:is>
          <x:t xml:space="preserve">别尔斯科 vs 桑德克亚</x:t>
        </x:is>
      </x:c>
      <x:c r="G1555" s="604" t="n">
        <x:v>0.84</x:v>
      </x:c>
      <x:c r="H1555" s="604" t="n">
        <x:v>-0.25</x:v>
      </x:c>
      <x:c r="I1555" s="604" t="n">
        <x:v>0.86</x:v>
      </x:c>
      <x:c r="J1555" s="604" t="inlineStr">
        <x:is>
          <x:t xml:space="preserve">0.84/-0.25/0.86</x:t>
        </x:is>
      </x:c>
      <x:c r="K1555" s="604" t="inlineStr">
        <x:is>
          <x:t xml:space="preserve">V4-N</x:t>
        </x:is>
      </x:c>
      <x:c r="L1555" s="604" t="inlineStr">
        <x:is>
          <x:t xml:space="preserve"/>
        </x:is>
      </x:c>
      <x:c r="M1555" s="604" t="n">
        <x:v>0.2886564034568873</x:v>
      </x:c>
      <x:c r="N1555" s="604" t="inlineStr">
        <x:is>
          <x:t xml:space="preserve">V4 Shadow Only；real_money=false</x:t>
        </x:is>
      </x:c>
      <x:c r="O1555" s="604" t="inlineStr">
        <x:is>
          <x:t xml:space="preserve">0-0</x:t>
        </x:is>
      </x:c>
      <x:c r="P1555" s="604" t="inlineStr">
        <x:is>
          <x:t xml:space="preserve">EVALUATED</x:t>
        </x:is>
      </x:c>
      <x:c r="Q1555" s="630" t="inlineStr">
        <x:is>
          <x:t xml:space="preserve"/>
        </x:is>
      </x:c>
      <x:c r="R1555" s="604" t="n"/>
      <x:c r="S1555" s="604" t="n"/>
      <x:c r="T1555" s="604" t="inlineStr">
        <x:is>
          <x:t xml:space="preserve">D:\codex\v3_legacy\outputs\football_odds_trader\raw\titan007\20261009\20261009_085232_titan007_odds_snapshot.csv</x:t>
        </x:is>
      </x:c>
      <x:c r="U1555" s="628" t="inlineStr">
        <x:is>
          <x:t xml:space="preserve"/>
        </x:is>
      </x:c>
      <x:c r="V1555" s="604" t="inlineStr">
        <x:is>
          <x:t xml:space="preserve"/>
        </x:is>
      </x:c>
      <x:c r="W1555" s="604" t="inlineStr">
        <x:is>
          <x:t xml:space="preserve"/>
        </x:is>
      </x:c>
      <x:c r="X1555" s="604" t="inlineStr">
        <x:is>
          <x:t xml:space="preserve">3035928</x:t>
        </x:is>
      </x:c>
      <x:c r="Y1555" s="604" t="inlineStr">
        <x:is>
          <x:t xml:space="preserve">V4</x:t>
        </x:is>
      </x:c>
      <x:c r="Z1555" s="604" t="inlineStr">
        <x:is>
          <x:t xml:space="preserve">prior-2026-10-09-v1</x:t>
        </x:is>
      </x:c>
      <x:c r="AA1555" s="604" t="inlineStr">
        <x:is>
          <x:t xml:space="preserve">N</x:t>
        </x:is>
      </x:c>
      <x:c r="AB1555" s="604" t="n">
        <x:v>0.2886564034568873</x:v>
      </x:c>
      <x:c r="AC1555" s="604" t="n">
        <x:v>0.5817720467113265</x:v>
      </x:c>
      <x:c r="AD1555" s="604" t="n">
        <x:v>-0.25</x:v>
      </x:c>
      <x:c r="AE1555" s="604" t="n"/>
      <x:c r="AF1555" s="604" t="n"/>
      <x:c r="AG1555" s="604" t="n">
        <x:v>0.2000321157806269</x:v>
      </x:c>
      <x:c r="AH1555" s="604" t="n"/>
      <x:c r="AI1555" s="604" t="n"/>
      <x:c r="AJ1555" s="604" t="n">
        <x:v>0.2000321157806269</x:v>
      </x:c>
      <x:c r="AK1555" s="604" t="n"/>
      <x:c r="AL1555" s="604" t="n"/>
      <x:c r="AM1555" s="604" t="n"/>
      <x:c r="AN1555" s="604" t="inlineStr">
        <x:is>
          <x:t xml:space="preserve">EVALUATED</x:t>
        </x:is>
      </x:c>
      <x:c r="AO1555" s="604" t="inlineStr">
        <x:is>
          <x:t xml:space="preserve">LOW_QUALITY_GATE;BUCKET_PRIOR_ONLY;INTENT_INTERPRETATION_ONLY;FFL_OPTIONAL;EXPERT_MARKET</x:t>
        </x:is>
      </x:c>
      <x:c r="AP1555" s="604" t="inlineStr">
        <x:is>
          <x:t xml:space="preserve">6aa80228c10d3f6dd589</x:t>
        </x:is>
      </x:c>
      <x:c r="AQ1555" s="604" t="n"/>
      <x:c r="AR1555" s="604" t="n"/>
      <x:c r="AS1555" s="604" t="n">
        <x:v>-0.25</x:v>
      </x:c>
      <x:c r="AT1555" s="604" t="n">
        <x:v>0.25</x:v>
      </x:c>
      <x:c r="AU1555" s="604" t="n">
        <x:v>0.84</x:v>
      </x:c>
      <x:c r="AV1555" s="604" t="n">
        <x:v>0.86</x:v>
      </x:c>
      <x:c r="AW1555" s="604" t="inlineStr">
        <x:is>
          <x:t xml:space="preserve">2026-10-09T09:01:21.127001+08:00</x:t>
        </x:is>
      </x:c>
      <x:c r="AX1555" s="604" t="inlineStr">
        <x:is>
          <x:t xml:space="preserve">Titan007/V4</x:t>
        </x:is>
      </x:c>
      <x:c r="AY1555" s="604" t="inlineStr">
        <x:is>
          <x:t xml:space="preserve">Daily append；市场输入缺失时不生成决策</x:t>
        </x:is>
      </x:c>
    </x:row>
    <x:row r="1556" ht="22" customHeight="1">
      <x:c r="A1556" s="604" t="inlineStr">
        <x:is>
          <x:t xml:space="preserve">2026-10-09</x:t>
        </x:is>
      </x:c>
      <x:c r="B1556" s="604" t="inlineStr">
        <x:is>
          <x:t xml:space="preserve">2026-10-10T00:00:00+08:00</x:t>
        </x:is>
      </x:c>
      <x:c r="C1556" s="604" t="str">
        <x:v>欧洲非五大系列</x:v>
      </x:c>
      <x:c r="D1556" s="604" t="inlineStr">
        <x:is>
          <x:t xml:space="preserve"/>
        </x:is>
      </x:c>
      <x:c r="E1556" s="604" t="inlineStr">
        <x:is>
          <x:t xml:space="preserve">波兰乙</x:t>
        </x:is>
      </x:c>
      <x:c r="F1556" s="604" t="inlineStr">
        <x:is>
          <x:t xml:space="preserve">霍吉尼赞卡 vs 新塔尔格</x:t>
        </x:is>
      </x:c>
      <x:c r="G1556" s="604" t="n">
        <x:v>0.83</x:v>
      </x:c>
      <x:c r="H1556" s="604" t="n">
        <x:v>0</x:v>
      </x:c>
      <x:c r="I1556" s="604" t="n">
        <x:v>0.87</x:v>
      </x:c>
      <x:c r="J1556" s="604" t="inlineStr">
        <x:is>
          <x:t xml:space="preserve">0.83/0.0/0.87</x:t>
        </x:is>
      </x:c>
      <x:c r="K1556" s="604" t="inlineStr">
        <x:is>
          <x:t xml:space="preserve">V4-N</x:t>
        </x:is>
      </x:c>
      <x:c r="L1556" s="604" t="inlineStr">
        <x:is>
          <x:t xml:space="preserve"/>
        </x:is>
      </x:c>
      <x:c r="M1556" s="604" t="n"/>
      <x:c r="N1556" s="604" t="inlineStr">
        <x:is>
          <x:t xml:space="preserve">V4 Shadow Only；real_money=false</x:t>
        </x:is>
      </x:c>
      <x:c r="O1556" s="604" t="inlineStr">
        <x:is>
          <x:t xml:space="preserve">0-0</x:t>
        </x:is>
      </x:c>
      <x:c r="P1556" s="604" t="inlineStr">
        <x:is>
          <x:t xml:space="preserve">NEUTRAL</x:t>
        </x:is>
      </x:c>
      <x:c r="Q1556" s="630" t="inlineStr">
        <x:is>
          <x:t xml:space="preserve"/>
        </x:is>
      </x:c>
      <x:c r="R1556" s="604" t="n"/>
      <x:c r="S1556" s="604" t="n"/>
      <x:c r="T1556" s="604" t="inlineStr">
        <x:is>
          <x:t xml:space="preserve">D:\codex\v3_legacy\outputs\football_odds_trader\raw\titan007\20261009\20261009_085232_titan007_odds_snapshot.csv</x:t>
        </x:is>
      </x:c>
      <x:c r="U1556" s="628" t="inlineStr">
        <x:is>
          <x:t xml:space="preserve"/>
        </x:is>
      </x:c>
      <x:c r="V1556" s="604" t="inlineStr">
        <x:is>
          <x:t xml:space="preserve"/>
        </x:is>
      </x:c>
      <x:c r="W1556" s="604" t="inlineStr">
        <x:is>
          <x:t xml:space="preserve"/>
        </x:is>
      </x:c>
      <x:c r="X1556" s="604" t="inlineStr">
        <x:is>
          <x:t xml:space="preserve">3035929</x:t>
        </x:is>
      </x:c>
      <x:c r="Y1556" s="604" t="inlineStr">
        <x:is>
          <x:t xml:space="preserve">V4</x:t>
        </x:is>
      </x:c>
      <x:c r="Z1556" s="604" t="inlineStr">
        <x:is>
          <x:t xml:space="preserve">prior-2026-10-09-v1</x:t>
        </x:is>
      </x:c>
      <x:c r="AA1556" s="604" t="inlineStr">
        <x:is>
          <x:t xml:space="preserve">N</x:t>
        </x:is>
      </x:c>
      <x:c r="AB1556" s="604" t="n"/>
      <x:c r="AC1556" s="604" t="n"/>
      <x:c r="AD1556" s="604" t="n"/>
      <x:c r="AE1556" s="604" t="n"/>
      <x:c r="AF1556" s="604" t="n"/>
      <x:c r="AG1556" s="604" t="n"/>
      <x:c r="AH1556" s="604" t="n"/>
      <x:c r="AI1556" s="604" t="n"/>
      <x:c r="AJ1556" s="604" t="n"/>
      <x:c r="AK1556" s="604" t="n"/>
      <x:c r="AL1556" s="604" t="n"/>
      <x:c r="AM1556" s="604" t="n"/>
      <x:c r="AN1556" s="604" t="inlineStr">
        <x:is>
          <x:t xml:space="preserve">NEUTRAL</x:t>
        </x:is>
      </x:c>
      <x:c r="AO1556" s="604" t="inlineStr">
        <x:is>
          <x:t xml:space="preserve">PK_NO_GIVING_RECEIVING_IDENTITY</x:t>
        </x:is>
      </x:c>
      <x:c r="AP1556" s="604" t="inlineStr">
        <x:is>
          <x:t xml:space="preserve">506cd38e02af0aee6c04</x:t>
        </x:is>
      </x:c>
      <x:c r="AQ1556" s="604" t="n"/>
      <x:c r="AR1556" s="604" t="n"/>
      <x:c r="AS1556" s="604" t="n"/>
      <x:c r="AT1556" s="604" t="n"/>
      <x:c r="AU1556" s="604" t="n"/>
      <x:c r="AV1556" s="604" t="n"/>
      <x:c r="AW1556" s="604" t="inlineStr">
        <x:is>
          <x:t xml:space="preserve">2026-10-09T09:01:21.127001+08:00</x:t>
        </x:is>
      </x:c>
      <x:c r="AX1556" s="604" t="inlineStr">
        <x:is>
          <x:t xml:space="preserve">Titan007/V4</x:t>
        </x:is>
      </x:c>
      <x:c r="AY1556" s="604" t="inlineStr">
        <x:is>
          <x:t xml:space="preserve">Daily append；市场输入缺失时不生成决策</x:t>
        </x:is>
      </x:c>
    </x:row>
    <x:row r="1557" ht="22" customHeight="1">
      <x:c r="A1557" s="604" t="inlineStr">
        <x:is>
          <x:t xml:space="preserve">2026-10-09</x:t>
        </x:is>
      </x:c>
      <x:c r="B1557" s="604" t="inlineStr">
        <x:is>
          <x:t xml:space="preserve">2026-10-10T09:30:00+08:00</x:t>
        </x:is>
      </x:c>
      <x:c r="C1557" s="604" t="str">
        <x:v>北美系列</x:v>
      </x:c>
      <x:c r="D1557" s="604" t="inlineStr">
        <x:is>
          <x:t xml:space="preserve"/>
        </x:is>
      </x:c>
      <x:c r="E1557" s="604" t="inlineStr">
        <x:is>
          <x:t xml:space="preserve">巴马甲秋</x:t>
        </x:is>
      </x:c>
      <x:c r="F1557" s="604" t="inlineStr">
        <x:is>
          <x:t xml:space="preserve">FC旧金山 vs CD尤尼维尔斯塔里奥</x:t>
        </x:is>
      </x:c>
      <x:c r="G1557" s="604" t="n">
        <x:v>0.83</x:v>
      </x:c>
      <x:c r="H1557" s="604" t="n">
        <x:v>0.25</x:v>
      </x:c>
      <x:c r="I1557" s="604" t="n">
        <x:v>0.91</x:v>
      </x:c>
      <x:c r="J1557" s="604" t="inlineStr">
        <x:is>
          <x:t xml:space="preserve">0.83/0.25/0.91</x:t>
        </x:is>
      </x:c>
      <x:c r="K1557" s="604" t="inlineStr">
        <x:is>
          <x:t xml:space="preserve">V4-N</x:t>
        </x:is>
      </x:c>
      <x:c r="L1557" s="604" t="inlineStr">
        <x:is>
          <x:t xml:space="preserve"/>
        </x:is>
      </x:c>
      <x:c r="M1557" s="604" t="n">
        <x:v>0.500666730470361</x:v>
      </x:c>
      <x:c r="N1557" s="604" t="inlineStr">
        <x:is>
          <x:t xml:space="preserve">V4 Shadow Only；real_money=false</x:t>
        </x:is>
      </x:c>
      <x:c r="O1557" s="604" t="inlineStr">
        <x:is>
          <x:t xml:space="preserve">0-0</x:t>
        </x:is>
      </x:c>
      <x:c r="P1557" s="604" t="inlineStr">
        <x:is>
          <x:t xml:space="preserve">EVALUATED</x:t>
        </x:is>
      </x:c>
      <x:c r="Q1557" s="630" t="inlineStr">
        <x:is>
          <x:t xml:space="preserve"/>
        </x:is>
      </x:c>
      <x:c r="R1557" s="604" t="n"/>
      <x:c r="S1557" s="604" t="n"/>
      <x:c r="T1557" s="604" t="inlineStr">
        <x:is>
          <x:t xml:space="preserve">D:\codex\v3_legacy\outputs\football_odds_trader\raw\titan007\20261009\20261009_085232_titan007_odds_snapshot.csv</x:t>
        </x:is>
      </x:c>
      <x:c r="U1557" s="628" t="inlineStr">
        <x:is>
          <x:t xml:space="preserve"/>
        </x:is>
      </x:c>
      <x:c r="V1557" s="604" t="inlineStr">
        <x:is>
          <x:t xml:space="preserve"/>
        </x:is>
      </x:c>
      <x:c r="W1557" s="604" t="inlineStr">
        <x:is>
          <x:t xml:space="preserve"/>
        </x:is>
      </x:c>
      <x:c r="X1557" s="604" t="inlineStr">
        <x:is>
          <x:t xml:space="preserve">3036213</x:t>
        </x:is>
      </x:c>
      <x:c r="Y1557" s="604" t="inlineStr">
        <x:is>
          <x:t xml:space="preserve">V4</x:t>
        </x:is>
      </x:c>
      <x:c r="Z1557" s="604" t="inlineStr">
        <x:is>
          <x:t xml:space="preserve">prior-2026-10-09-v1</x:t>
        </x:is>
      </x:c>
      <x:c r="AA1557" s="604" t="inlineStr">
        <x:is>
          <x:t xml:space="preserve">N</x:t>
        </x:is>
      </x:c>
      <x:c r="AB1557" s="604" t="n">
        <x:v>0.500666730470361</x:v>
      </x:c>
      <x:c r="AC1557" s="604" t="n">
        <x:v>0.3726319730086003</x:v>
      </x:c>
      <x:c r="AD1557" s="604" t="n">
        <x:v>0.5</x:v>
      </x:c>
      <x:c r="AE1557" s="604" t="n"/>
      <x:c r="AF1557" s="604" t="n"/>
      <x:c r="AG1557" s="604" t="n">
        <x:v>0.04292141328179927</x:v>
      </x:c>
      <x:c r="AH1557" s="604" t="n"/>
      <x:c r="AI1557" s="604" t="n"/>
      <x:c r="AJ1557" s="604" t="n">
        <x:v>0.04292141328179927</x:v>
      </x:c>
      <x:c r="AK1557" s="604" t="n"/>
      <x:c r="AL1557" s="604" t="n"/>
      <x:c r="AM1557" s="604" t="n"/>
      <x:c r="AN1557" s="604" t="inlineStr">
        <x:is>
          <x:t xml:space="preserve">EVALUATED</x:t>
        </x:is>
      </x:c>
      <x:c r="AO1557" s="604" t="inlineStr">
        <x:is>
          <x:t xml:space="preserve">EDGE_BELOW_UNCERTAINTY_THRESHOLD;BUCKET_PRIOR_ONLY;INTENT_INTERPRETATION_ONLY;FFL_OPTIONAL;EXPERT_MARKET</x:t>
        </x:is>
      </x:c>
      <x:c r="AP1557" s="604" t="inlineStr">
        <x:is>
          <x:t xml:space="preserve">d20998cd4d5fcd476dd7</x:t>
        </x:is>
      </x:c>
      <x:c r="AQ1557" s="604" t="n"/>
      <x:c r="AR1557" s="604" t="n"/>
      <x:c r="AS1557" s="604" t="n">
        <x:v>0.25</x:v>
      </x:c>
      <x:c r="AT1557" s="604" t="n">
        <x:v>-0.25</x:v>
      </x:c>
      <x:c r="AU1557" s="604" t="n">
        <x:v>0.83</x:v>
      </x:c>
      <x:c r="AV1557" s="604" t="n">
        <x:v>0.91</x:v>
      </x:c>
      <x:c r="AW1557" s="604" t="inlineStr">
        <x:is>
          <x:t xml:space="preserve">2026-10-09T09:01:21.127001+08:00</x:t>
        </x:is>
      </x:c>
      <x:c r="AX1557" s="604" t="inlineStr">
        <x:is>
          <x:t xml:space="preserve">Titan007/V4</x:t>
        </x:is>
      </x:c>
      <x:c r="AY1557" s="604" t="inlineStr">
        <x:is>
          <x:t xml:space="preserve">Daily append；市场输入缺失时不生成决策</x:t>
        </x:is>
      </x:c>
    </x:row>
    <x:row r="1558" ht="22" customHeight="1">
      <x:c r="A1558" s="604" t="inlineStr">
        <x:is>
          <x:t xml:space="preserve">2026-10-09</x:t>
        </x:is>
      </x:c>
      <x:c r="B1558" s="604" t="inlineStr">
        <x:is>
          <x:t xml:space="preserve">2026-10-09T19:00:00+08:00</x:t>
        </x:is>
      </x:c>
      <x:c r="C1558" s="604" t="str">
        <x:v>其他系列</x:v>
      </x:c>
      <x:c r="D1558" s="604" t="inlineStr">
        <x:is>
          <x:t xml:space="preserve"/>
        </x:is>
      </x:c>
      <x:c r="E1558" s="604" t="inlineStr">
        <x:is>
          <x:t xml:space="preserve">泰超</x:t>
        </x:is>
      </x:c>
      <x:c r="F1558" s="604" t="inlineStr">
        <x:is>
          <x:t xml:space="preserve">拉查布里府 vs 素可泰</x:t>
        </x:is>
      </x:c>
      <x:c r="G1558" s="604" t="n">
        <x:v>0.93</x:v>
      </x:c>
      <x:c r="H1558" s="604" t="n">
        <x:v>1.25</x:v>
      </x:c>
      <x:c r="I1558" s="604" t="n">
        <x:v>0.83</x:v>
      </x:c>
      <x:c r="J1558" s="604" t="inlineStr">
        <x:is>
          <x:t xml:space="preserve">0.93/1.25/0.83</x:t>
        </x:is>
      </x:c>
      <x:c r="K1558" s="604" t="inlineStr">
        <x:is>
          <x:t xml:space="preserve">V4-N</x:t>
        </x:is>
      </x:c>
      <x:c r="L1558" s="604" t="inlineStr">
        <x:is>
          <x:t xml:space="preserve"/>
        </x:is>
      </x:c>
      <x:c r="M1558" s="604" t="n">
        <x:v>0.5346191440164421</x:v>
      </x:c>
      <x:c r="N1558" s="604" t="inlineStr">
        <x:is>
          <x:t xml:space="preserve">V4 Shadow Only；real_money=false</x:t>
        </x:is>
      </x:c>
      <x:c r="O1558" s="604" t="inlineStr">
        <x:is>
          <x:t xml:space="preserve">0-0</x:t>
        </x:is>
      </x:c>
      <x:c r="P1558" s="604" t="inlineStr">
        <x:is>
          <x:t xml:space="preserve">EVALUATED</x:t>
        </x:is>
      </x:c>
      <x:c r="Q1558" s="630" t="inlineStr">
        <x:is>
          <x:t xml:space="preserve"/>
        </x:is>
      </x:c>
      <x:c r="R1558" s="604" t="n"/>
      <x:c r="S1558" s="604" t="n"/>
      <x:c r="T1558" s="604" t="inlineStr">
        <x:is>
          <x:t xml:space="preserve">D:\codex\v3_legacy\outputs\football_odds_trader\raw\titan007\20261009\20261009_085232_titan007_odds_snapshot.csv</x:t>
        </x:is>
      </x:c>
      <x:c r="U1558" s="628" t="inlineStr">
        <x:is>
          <x:t xml:space="preserve"/>
        </x:is>
      </x:c>
      <x:c r="V1558" s="604" t="inlineStr">
        <x:is>
          <x:t xml:space="preserve"/>
        </x:is>
      </x:c>
      <x:c r="W1558" s="604" t="inlineStr">
        <x:is>
          <x:t xml:space="preserve"/>
        </x:is>
      </x:c>
      <x:c r="X1558" s="604" t="inlineStr">
        <x:is>
          <x:t xml:space="preserve">3037127</x:t>
        </x:is>
      </x:c>
      <x:c r="Y1558" s="604" t="inlineStr">
        <x:is>
          <x:t xml:space="preserve">V4</x:t>
        </x:is>
      </x:c>
      <x:c r="Z1558" s="604" t="inlineStr">
        <x:is>
          <x:t xml:space="preserve">prior-2026-10-09-v1</x:t>
        </x:is>
      </x:c>
      <x:c r="AA1558" s="604" t="inlineStr">
        <x:is>
          <x:t xml:space="preserve">N</x:t>
        </x:is>
      </x:c>
      <x:c r="AB1558" s="604" t="n">
        <x:v>0.5346191440164421</x:v>
      </x:c>
      <x:c r="AC1558" s="604" t="n">
        <x:v>0.3427857514893303</x:v>
      </x:c>
      <x:c r="AD1558" s="604" t="n">
        <x:v>1.75</x:v>
      </x:c>
      <x:c r="AE1558" s="604" t="n"/>
      <x:c r="AF1558" s="604" t="n"/>
      <x:c r="AG1558" s="604" t="n">
        <x:v>0.1544100524459608</x:v>
      </x:c>
      <x:c r="AH1558" s="604" t="n"/>
      <x:c r="AI1558" s="604" t="n"/>
      <x:c r="AJ1558" s="604" t="n">
        <x:v>0.1544100524459608</x:v>
      </x:c>
      <x:c r="AK1558" s="604" t="n"/>
      <x:c r="AL1558" s="604" t="n"/>
      <x:c r="AM1558" s="604" t="n"/>
      <x:c r="AN1558" s="604" t="inlineStr">
        <x:is>
          <x:t xml:space="preserve">EVALUATED</x:t>
        </x:is>
      </x:c>
      <x:c r="AO1558" s="604" t="inlineStr">
        <x:is>
          <x:t xml:space="preserve">LOW_QUALITY_GATE;BUCKET_PRIOR_ONLY;INTENT_INTERPRETATION_ONLY;FFL_OPTIONAL;EXPERT_MARKET</x:t>
        </x:is>
      </x:c>
      <x:c r="AP1558" s="604" t="inlineStr">
        <x:is>
          <x:t xml:space="preserve">552448a9ed869e27d901</x:t>
        </x:is>
      </x:c>
      <x:c r="AQ1558" s="604" t="n"/>
      <x:c r="AR1558" s="604" t="n"/>
      <x:c r="AS1558" s="604" t="n">
        <x:v>1.25</x:v>
      </x:c>
      <x:c r="AT1558" s="604" t="n">
        <x:v>-1.25</x:v>
      </x:c>
      <x:c r="AU1558" s="604" t="n">
        <x:v>0.93</x:v>
      </x:c>
      <x:c r="AV1558" s="604" t="n">
        <x:v>0.83</x:v>
      </x:c>
      <x:c r="AW1558" s="604" t="inlineStr">
        <x:is>
          <x:t xml:space="preserve">2026-10-09T09:01:21.127001+08:00</x:t>
        </x:is>
      </x:c>
      <x:c r="AX1558" s="604" t="inlineStr">
        <x:is>
          <x:t xml:space="preserve">Titan007/V4</x:t>
        </x:is>
      </x:c>
      <x:c r="AY1558" s="604" t="inlineStr">
        <x:is>
          <x:t xml:space="preserve">Daily append；市场输入缺失时不生成决策</x:t>
        </x:is>
      </x:c>
    </x:row>
    <x:row r="1559" ht="22" customHeight="1">
      <x:c r="A1559" s="604" t="inlineStr">
        <x:is>
          <x:t xml:space="preserve">2026-10-09</x:t>
        </x:is>
      </x:c>
      <x:c r="B1559" s="604" t="inlineStr">
        <x:is>
          <x:t xml:space="preserve">2026-10-10T01:00:00+08:00</x:t>
        </x:is>
      </x:c>
      <x:c r="C1559" s="604" t="str">
        <x:v>西亚/中亚系列</x:v>
      </x:c>
      <x:c r="D1559" s="604" t="inlineStr">
        <x:is>
          <x:t xml:space="preserve"/>
        </x:is>
      </x:c>
      <x:c r="E1559" s="604" t="inlineStr">
        <x:is>
          <x:t xml:space="preserve">卡塔尔联</x:t>
        </x:is>
      </x:c>
      <x:c r="F1559" s="604" t="inlineStr">
        <x:is>
          <x:t xml:space="preserve">萨德 vs 阿拉比SC</x:t>
        </x:is>
      </x:c>
      <x:c r="G1559" s="604" t="n">
        <x:v>0.79</x:v>
      </x:c>
      <x:c r="H1559" s="604" t="n">
        <x:v>1</x:v>
      </x:c>
      <x:c r="I1559" s="604" t="n">
        <x:v>0.97</x:v>
      </x:c>
      <x:c r="J1559" s="604" t="inlineStr">
        <x:is>
          <x:t xml:space="preserve">0.79/1.0/0.97</x:t>
        </x:is>
      </x:c>
      <x:c r="K1559" s="604" t="inlineStr">
        <x:is>
          <x:t xml:space="preserve">V4-N</x:t>
        </x:is>
      </x:c>
      <x:c r="L1559" s="604" t="inlineStr">
        <x:is>
          <x:t xml:space="preserve"/>
        </x:is>
      </x:c>
      <x:c r="M1559" s="604" t="n">
        <x:v>0.4321509870230285</x:v>
      </x:c>
      <x:c r="N1559" s="604" t="inlineStr">
        <x:is>
          <x:t xml:space="preserve">V4 Shadow Only；real_money=false</x:t>
        </x:is>
      </x:c>
      <x:c r="O1559" s="604" t="inlineStr">
        <x:is>
          <x:t xml:space="preserve">0-0</x:t>
        </x:is>
      </x:c>
      <x:c r="P1559" s="604" t="inlineStr">
        <x:is>
          <x:t xml:space="preserve">EVALUATED</x:t>
        </x:is>
      </x:c>
      <x:c r="Q1559" s="630" t="inlineStr">
        <x:is>
          <x:t xml:space="preserve"/>
        </x:is>
      </x:c>
      <x:c r="R1559" s="604" t="n"/>
      <x:c r="S1559" s="604" t="n"/>
      <x:c r="T1559" s="604" t="inlineStr">
        <x:is>
          <x:t xml:space="preserve">D:\codex\v3_legacy\outputs\football_odds_trader\raw\titan007\20261009\20261009_085232_titan007_odds_snapshot.csv</x:t>
        </x:is>
      </x:c>
      <x:c r="U1559" s="628" t="inlineStr">
        <x:is>
          <x:t xml:space="preserve"/>
        </x:is>
      </x:c>
      <x:c r="V1559" s="604" t="inlineStr">
        <x:is>
          <x:t xml:space="preserve"/>
        </x:is>
      </x:c>
      <x:c r="W1559" s="604" t="inlineStr">
        <x:is>
          <x:t xml:space="preserve"/>
        </x:is>
      </x:c>
      <x:c r="X1559" s="604" t="inlineStr">
        <x:is>
          <x:t xml:space="preserve">3037804</x:t>
        </x:is>
      </x:c>
      <x:c r="Y1559" s="604" t="inlineStr">
        <x:is>
          <x:t xml:space="preserve">V4</x:t>
        </x:is>
      </x:c>
      <x:c r="Z1559" s="604" t="inlineStr">
        <x:is>
          <x:t xml:space="preserve">prior-2026-10-09-v1</x:t>
        </x:is>
      </x:c>
      <x:c r="AA1559" s="604" t="inlineStr">
        <x:is>
          <x:t xml:space="preserve">N</x:t>
        </x:is>
      </x:c>
      <x:c r="AB1559" s="604" t="n">
        <x:v>0.4321509870230285</x:v>
      </x:c>
      <x:c r="AC1559" s="604" t="n">
        <x:v>0.3136156976339283</x:v>
      </x:c>
      <x:c r="AD1559" s="604" t="n">
        <x:v>1.25</x:v>
      </x:c>
      <x:c r="AE1559" s="604" t="n"/>
      <x:c r="AF1559" s="604" t="n"/>
      <x:c r="AG1559" s="604" t="n">
        <x:v>0.02778358211426429</x:v>
      </x:c>
      <x:c r="AH1559" s="604" t="n"/>
      <x:c r="AI1559" s="604" t="n"/>
      <x:c r="AJ1559" s="604" t="n">
        <x:v>0.02778358211426429</x:v>
      </x:c>
      <x:c r="AK1559" s="604" t="n"/>
      <x:c r="AL1559" s="604" t="n"/>
      <x:c r="AM1559" s="604" t="n"/>
      <x:c r="AN1559" s="604" t="inlineStr">
        <x:is>
          <x:t xml:space="preserve">EVALUATED</x:t>
        </x:is>
      </x:c>
      <x:c r="AO1559" s="604" t="inlineStr">
        <x:is>
          <x:t xml:space="preserve">EDGE_BELOW_UNCERTAINTY_THRESHOLD;BUCKET_PRIOR_ONLY;INTENT_INTERPRETATION_ONLY;FFL_OPTIONAL;EXPERT_MARKET</x:t>
        </x:is>
      </x:c>
      <x:c r="AP1559" s="604" t="inlineStr">
        <x:is>
          <x:t xml:space="preserve">74709f3170445f135b18</x:t>
        </x:is>
      </x:c>
      <x:c r="AQ1559" s="604" t="n"/>
      <x:c r="AR1559" s="604" t="n"/>
      <x:c r="AS1559" s="604" t="n">
        <x:v>1</x:v>
      </x:c>
      <x:c r="AT1559" s="604" t="n">
        <x:v>-1</x:v>
      </x:c>
      <x:c r="AU1559" s="604" t="n">
        <x:v>0.79</x:v>
      </x:c>
      <x:c r="AV1559" s="604" t="n">
        <x:v>0.97</x:v>
      </x:c>
      <x:c r="AW1559" s="604" t="inlineStr">
        <x:is>
          <x:t xml:space="preserve">2026-10-09T09:01:21.127001+08:00</x:t>
        </x:is>
      </x:c>
      <x:c r="AX1559" s="604" t="inlineStr">
        <x:is>
          <x:t xml:space="preserve">Titan007/V4</x:t>
        </x:is>
      </x:c>
      <x:c r="AY1559" s="604" t="inlineStr">
        <x:is>
          <x:t xml:space="preserve">Daily append；市场输入缺失时不生成决策</x:t>
        </x:is>
      </x:c>
    </x:row>
    <x:row r="1560" ht="22" customHeight="1">
      <x:c r="A1560" s="604" t="inlineStr">
        <x:is>
          <x:t xml:space="preserve">2026-10-09</x:t>
        </x:is>
      </x:c>
      <x:c r="B1560" s="604" t="inlineStr">
        <x:is>
          <x:t xml:space="preserve">2026-10-09T22:45:00+08:00</x:t>
        </x:is>
      </x:c>
      <x:c r="C1560" s="604" t="str">
        <x:v>西亚/中亚系列</x:v>
      </x:c>
      <x:c r="D1560" s="604" t="inlineStr">
        <x:is>
          <x:t xml:space="preserve"/>
        </x:is>
      </x:c>
      <x:c r="E1560" s="604" t="inlineStr">
        <x:is>
          <x:t xml:space="preserve">卡塔尔联</x:t>
        </x:is>
      </x:c>
      <x:c r="F1560" s="604" t="inlineStr">
        <x:is>
          <x:t xml:space="preserve">卡塔尔体育 vs 赖扬</x:t>
        </x:is>
      </x:c>
      <x:c r="G1560" s="604" t="n">
        <x:v>0.97</x:v>
      </x:c>
      <x:c r="H1560" s="604" t="n">
        <x:v>-1</x:v>
      </x:c>
      <x:c r="I1560" s="604" t="n">
        <x:v>0.79</x:v>
      </x:c>
      <x:c r="J1560" s="604" t="inlineStr">
        <x:is>
          <x:t xml:space="preserve">0.97/-1.0/0.79</x:t>
        </x:is>
      </x:c>
      <x:c r="K1560" s="604" t="inlineStr">
        <x:is>
          <x:t xml:space="preserve">V4-N</x:t>
        </x:is>
      </x:c>
      <x:c r="L1560" s="604" t="inlineStr">
        <x:is>
          <x:t xml:space="preserve"/>
        </x:is>
      </x:c>
      <x:c r="M1560" s="604" t="n">
        <x:v>0.02113526148717889</x:v>
      </x:c>
      <x:c r="N1560" s="604" t="inlineStr">
        <x:is>
          <x:t xml:space="preserve">V4 Shadow Only；real_money=false</x:t>
        </x:is>
      </x:c>
      <x:c r="O1560" s="604" t="inlineStr">
        <x:is>
          <x:t xml:space="preserve">0-0</x:t>
        </x:is>
      </x:c>
      <x:c r="P1560" s="604" t="inlineStr">
        <x:is>
          <x:t xml:space="preserve">EVALUATED</x:t>
        </x:is>
      </x:c>
      <x:c r="Q1560" s="630" t="inlineStr">
        <x:is>
          <x:t xml:space="preserve"/>
        </x:is>
      </x:c>
      <x:c r="R1560" s="604" t="n"/>
      <x:c r="S1560" s="604" t="n"/>
      <x:c r="T1560" s="604" t="inlineStr">
        <x:is>
          <x:t xml:space="preserve">D:\codex\v3_legacy\outputs\football_odds_trader\raw\titan007\20261009\20261009_085232_titan007_odds_snapshot.csv</x:t>
        </x:is>
      </x:c>
      <x:c r="U1560" s="628" t="inlineStr">
        <x:is>
          <x:t xml:space="preserve"/>
        </x:is>
      </x:c>
      <x:c r="V1560" s="604" t="inlineStr">
        <x:is>
          <x:t xml:space="preserve"/>
        </x:is>
      </x:c>
      <x:c r="W1560" s="604" t="inlineStr">
        <x:is>
          <x:t xml:space="preserve"/>
        </x:is>
      </x:c>
      <x:c r="X1560" s="604" t="inlineStr">
        <x:is>
          <x:t xml:space="preserve">3037807</x:t>
        </x:is>
      </x:c>
      <x:c r="Y1560" s="604" t="inlineStr">
        <x:is>
          <x:t xml:space="preserve">V4</x:t>
        </x:is>
      </x:c>
      <x:c r="Z1560" s="604" t="inlineStr">
        <x:is>
          <x:t xml:space="preserve">prior-2026-10-09-v1</x:t>
        </x:is>
      </x:c>
      <x:c r="AA1560" s="604" t="inlineStr">
        <x:is>
          <x:t xml:space="preserve">N</x:t>
        </x:is>
      </x:c>
      <x:c r="AB1560" s="604" t="n">
        <x:v>0.02113526148717889</x:v>
      </x:c>
      <x:c r="AC1560" s="604" t="n">
        <x:v>0.9077692465241154</x:v>
      </x:c>
      <x:c r="AD1560" s="604" t="n">
        <x:v>-1.5</x:v>
      </x:c>
      <x:c r="AE1560" s="604" t="n"/>
      <x:c r="AF1560" s="604" t="n"/>
      <x:c r="AG1560" s="604" t="n">
        <x:v>0.859400907641213</x:v>
      </x:c>
      <x:c r="AH1560" s="604" t="n"/>
      <x:c r="AI1560" s="604" t="n"/>
      <x:c r="AJ1560" s="604" t="n">
        <x:v>0.859400907641213</x:v>
      </x:c>
      <x:c r="AK1560" s="604" t="n"/>
      <x:c r="AL1560" s="604" t="n"/>
      <x:c r="AM1560" s="604" t="n"/>
      <x:c r="AN1560" s="604" t="inlineStr">
        <x:is>
          <x:t xml:space="preserve">EVALUATED</x:t>
        </x:is>
      </x:c>
      <x:c r="AO1560" s="604" t="inlineStr">
        <x:is>
          <x:t xml:space="preserve">LOW_QUALITY_GATE;BUCKET_PRIOR_ONLY;INTENT_INTERPRETATION_ONLY;FFL_OPTIONAL;EXPERT_MARKET</x:t>
        </x:is>
      </x:c>
      <x:c r="AP1560" s="604" t="inlineStr">
        <x:is>
          <x:t xml:space="preserve">d4a304c94dad6ed47936</x:t>
        </x:is>
      </x:c>
      <x:c r="AQ1560" s="604" t="n"/>
      <x:c r="AR1560" s="604" t="n"/>
      <x:c r="AS1560" s="604" t="n">
        <x:v>-1</x:v>
      </x:c>
      <x:c r="AT1560" s="604" t="n">
        <x:v>1</x:v>
      </x:c>
      <x:c r="AU1560" s="604" t="n">
        <x:v>0.97</x:v>
      </x:c>
      <x:c r="AV1560" s="604" t="n">
        <x:v>0.79</x:v>
      </x:c>
      <x:c r="AW1560" s="604" t="inlineStr">
        <x:is>
          <x:t xml:space="preserve">2026-10-09T09:01:21.127001+08:00</x:t>
        </x:is>
      </x:c>
      <x:c r="AX1560" s="604" t="inlineStr">
        <x:is>
          <x:t xml:space="preserve">Titan007/V4</x:t>
        </x:is>
      </x:c>
      <x:c r="AY1560" s="604" t="inlineStr">
        <x:is>
          <x:t xml:space="preserve">Daily append；市场输入缺失时不生成决策</x:t>
        </x:is>
      </x:c>
    </x:row>
    <x:row r="1561" ht="22" customHeight="1">
      <x:c r="A1561" s="604" t="inlineStr">
        <x:is>
          <x:t xml:space="preserve">2026-10-09</x:t>
        </x:is>
      </x:c>
      <x:c r="B1561" s="604" t="inlineStr">
        <x:is>
          <x:t xml:space="preserve">2026-10-09T17:00:00+08:00</x:t>
        </x:is>
      </x:c>
      <x:c r="C1561" s="604" t="str">
        <x:v>欧洲非五大系列</x:v>
      </x:c>
      <x:c r="D1561" s="604" t="inlineStr">
        <x:is>
          <x:t xml:space="preserve"/>
        </x:is>
      </x:c>
      <x:c r="E1561" s="604" t="inlineStr">
        <x:is>
          <x:t xml:space="preserve">波青联</x:t>
        </x:is>
      </x:c>
      <x:c r="F1561" s="604" t="inlineStr">
        <x:is>
          <x:t xml:space="preserve">比亚韦斯托克雅盖隆青年队 vs 萨比利斯青年队</x:t>
        </x:is>
      </x:c>
      <x:c r="G1561" s="604" t="n">
        <x:v>0.8</x:v>
      </x:c>
      <x:c r="H1561" s="604" t="n">
        <x:v>0</x:v>
      </x:c>
      <x:c r="I1561" s="604" t="n">
        <x:v>1</x:v>
      </x:c>
      <x:c r="J1561" s="604" t="inlineStr">
        <x:is>
          <x:t xml:space="preserve">0.8/0.0/1.0</x:t>
        </x:is>
      </x:c>
      <x:c r="K1561" s="604" t="inlineStr">
        <x:is>
          <x:t xml:space="preserve">V4-N</x:t>
        </x:is>
      </x:c>
      <x:c r="L1561" s="604" t="inlineStr">
        <x:is>
          <x:t xml:space="preserve"/>
        </x:is>
      </x:c>
      <x:c r="M1561" s="604" t="n"/>
      <x:c r="N1561" s="604" t="inlineStr">
        <x:is>
          <x:t xml:space="preserve">V4 Shadow Only；real_money=false</x:t>
        </x:is>
      </x:c>
      <x:c r="O1561" s="604" t="inlineStr">
        <x:is>
          <x:t xml:space="preserve">0-0</x:t>
        </x:is>
      </x:c>
      <x:c r="P1561" s="604" t="inlineStr">
        <x:is>
          <x:t xml:space="preserve">NEUTRAL</x:t>
        </x:is>
      </x:c>
      <x:c r="Q1561" s="630" t="inlineStr">
        <x:is>
          <x:t xml:space="preserve"/>
        </x:is>
      </x:c>
      <x:c r="R1561" s="604" t="n"/>
      <x:c r="S1561" s="604" t="n"/>
      <x:c r="T1561" s="604" t="inlineStr">
        <x:is>
          <x:t xml:space="preserve">D:\codex\v3_legacy\outputs\football_odds_trader\raw\titan007\20261009\20261009_085232_titan007_odds_snapshot.csv</x:t>
        </x:is>
      </x:c>
      <x:c r="U1561" s="628" t="inlineStr">
        <x:is>
          <x:t xml:space="preserve"/>
        </x:is>
      </x:c>
      <x:c r="V1561" s="604" t="inlineStr">
        <x:is>
          <x:t xml:space="preserve"/>
        </x:is>
      </x:c>
      <x:c r="W1561" s="604" t="inlineStr">
        <x:is>
          <x:t xml:space="preserve"/>
        </x:is>
      </x:c>
      <x:c r="X1561" s="604" t="inlineStr">
        <x:is>
          <x:t xml:space="preserve">3039506</x:t>
        </x:is>
      </x:c>
      <x:c r="Y1561" s="604" t="inlineStr">
        <x:is>
          <x:t xml:space="preserve">V4</x:t>
        </x:is>
      </x:c>
      <x:c r="Z1561" s="604" t="inlineStr">
        <x:is>
          <x:t xml:space="preserve">prior-2026-10-09-v1</x:t>
        </x:is>
      </x:c>
      <x:c r="AA1561" s="604" t="inlineStr">
        <x:is>
          <x:t xml:space="preserve">N</x:t>
        </x:is>
      </x:c>
      <x:c r="AB1561" s="604" t="n"/>
      <x:c r="AC1561" s="604" t="n"/>
      <x:c r="AD1561" s="604" t="n"/>
      <x:c r="AE1561" s="604" t="n"/>
      <x:c r="AF1561" s="604" t="n"/>
      <x:c r="AG1561" s="604" t="n"/>
      <x:c r="AH1561" s="604" t="n"/>
      <x:c r="AI1561" s="604" t="n"/>
      <x:c r="AJ1561" s="604" t="n"/>
      <x:c r="AK1561" s="604" t="n"/>
      <x:c r="AL1561" s="604" t="n"/>
      <x:c r="AM1561" s="604" t="n"/>
      <x:c r="AN1561" s="604" t="inlineStr">
        <x:is>
          <x:t xml:space="preserve">NEUTRAL</x:t>
        </x:is>
      </x:c>
      <x:c r="AO1561" s="604" t="inlineStr">
        <x:is>
          <x:t xml:space="preserve">PK_NO_GIVING_RECEIVING_IDENTITY</x:t>
        </x:is>
      </x:c>
      <x:c r="AP1561" s="604" t="inlineStr">
        <x:is>
          <x:t xml:space="preserve">1739e088df16c2c53db5</x:t>
        </x:is>
      </x:c>
      <x:c r="AQ1561" s="604" t="n"/>
      <x:c r="AR1561" s="604" t="n"/>
      <x:c r="AS1561" s="604" t="n"/>
      <x:c r="AT1561" s="604" t="n"/>
      <x:c r="AU1561" s="604" t="n"/>
      <x:c r="AV1561" s="604" t="n"/>
      <x:c r="AW1561" s="604" t="inlineStr">
        <x:is>
          <x:t xml:space="preserve">2026-10-09T09:01:21.127001+08:00</x:t>
        </x:is>
      </x:c>
      <x:c r="AX1561" s="604" t="inlineStr">
        <x:is>
          <x:t xml:space="preserve">Titan007/V4</x:t>
        </x:is>
      </x:c>
      <x:c r="AY1561" s="604" t="inlineStr">
        <x:is>
          <x:t xml:space="preserve">Daily append；市场输入缺失时不生成决策</x:t>
        </x:is>
      </x:c>
    </x:row>
    <x:row r="1562" ht="22" customHeight="1">
      <x:c r="A1562" s="604" t="inlineStr">
        <x:is>
          <x:t xml:space="preserve">2026-10-09</x:t>
        </x:is>
      </x:c>
      <x:c r="B1562" s="604" t="inlineStr">
        <x:is>
          <x:t xml:space="preserve">2026-10-10T00:00:00+08:00</x:t>
        </x:is>
      </x:c>
      <x:c r="C1562" s="604" t="str">
        <x:v>欧洲非五大系列</x:v>
      </x:c>
      <x:c r="D1562" s="604" t="inlineStr">
        <x:is>
          <x:t xml:space="preserve"/>
        </x:is>
      </x:c>
      <x:c r="E1562" s="604" t="inlineStr">
        <x:is>
          <x:t xml:space="preserve">捷甲</x:t>
        </x:is>
      </x:c>
      <x:c r="F1562" s="604" t="inlineStr">
        <x:is>
          <x:t xml:space="preserve">兹林 vs 布拉格斯拉维亚</x:t>
        </x:is>
      </x:c>
      <x:c r="G1562" s="604" t="n">
        <x:v>0.98</x:v>
      </x:c>
      <x:c r="H1562" s="604" t="n">
        <x:v>-1.5</x:v>
      </x:c>
      <x:c r="I1562" s="604" t="n">
        <x:v>0.78</x:v>
      </x:c>
      <x:c r="J1562" s="604" t="inlineStr">
        <x:is>
          <x:t xml:space="preserve">0.98/-1.5/0.78</x:t>
        </x:is>
      </x:c>
      <x:c r="K1562" s="604" t="inlineStr">
        <x:is>
          <x:t xml:space="preserve">V4-N</x:t>
        </x:is>
      </x:c>
      <x:c r="L1562" s="604" t="inlineStr">
        <x:is>
          <x:t xml:space="preserve"/>
        </x:is>
      </x:c>
      <x:c r="M1562" s="604" t="n">
        <x:v>0.0008627370855827336</x:v>
      </x:c>
      <x:c r="N1562" s="604" t="inlineStr">
        <x:is>
          <x:t xml:space="preserve">V4 Shadow Only；real_money=false</x:t>
        </x:is>
      </x:c>
      <x:c r="O1562" s="604" t="inlineStr">
        <x:is>
          <x:t xml:space="preserve">0-0</x:t>
        </x:is>
      </x:c>
      <x:c r="P1562" s="604" t="inlineStr">
        <x:is>
          <x:t xml:space="preserve">EVALUATED</x:t>
        </x:is>
      </x:c>
      <x:c r="Q1562" s="630" t="inlineStr">
        <x:is>
          <x:t xml:space="preserve"/>
        </x:is>
      </x:c>
      <x:c r="R1562" s="604" t="n"/>
      <x:c r="S1562" s="604" t="n"/>
      <x:c r="T1562" s="604" t="inlineStr">
        <x:is>
          <x:t xml:space="preserve">D:\codex\v3_legacy\outputs\football_odds_trader\raw\titan007\20261009\20261009_085232_titan007_odds_snapshot.csv</x:t>
        </x:is>
      </x:c>
      <x:c r="U1562" s="628" t="inlineStr">
        <x:is>
          <x:t xml:space="preserve"/>
        </x:is>
      </x:c>
      <x:c r="V1562" s="604" t="inlineStr">
        <x:is>
          <x:t xml:space="preserve"/>
        </x:is>
      </x:c>
      <x:c r="W1562" s="604" t="inlineStr">
        <x:is>
          <x:t xml:space="preserve"/>
        </x:is>
      </x:c>
      <x:c r="X1562" s="604" t="inlineStr">
        <x:is>
          <x:t xml:space="preserve">3039905</x:t>
        </x:is>
      </x:c>
      <x:c r="Y1562" s="604" t="inlineStr">
        <x:is>
          <x:t xml:space="preserve">V4</x:t>
        </x:is>
      </x:c>
      <x:c r="Z1562" s="604" t="inlineStr">
        <x:is>
          <x:t xml:space="preserve">prior-2026-10-09-v1</x:t>
        </x:is>
      </x:c>
      <x:c r="AA1562" s="604" t="inlineStr">
        <x:is>
          <x:t xml:space="preserve">N</x:t>
        </x:is>
      </x:c>
      <x:c r="AB1562" s="604" t="n">
        <x:v>0.0008627370855827336</x:v>
      </x:c>
      <x:c r="AC1562" s="604" t="n">
        <x:v>0.9991372629144173</x:v>
      </x:c>
      <x:c r="AD1562" s="604" t="n">
        <x:v>-2.5</x:v>
      </x:c>
      <x:c r="AE1562" s="604" t="n"/>
      <x:c r="AF1562" s="604" t="n"/>
      <x:c r="AG1562" s="604" t="n">
        <x:v>0.9782917805705462</x:v>
      </x:c>
      <x:c r="AH1562" s="604" t="n"/>
      <x:c r="AI1562" s="604" t="n"/>
      <x:c r="AJ1562" s="604" t="n">
        <x:v>0.9782917805705462</x:v>
      </x:c>
      <x:c r="AK1562" s="604" t="n"/>
      <x:c r="AL1562" s="604" t="n"/>
      <x:c r="AM1562" s="604" t="n"/>
      <x:c r="AN1562" s="604" t="inlineStr">
        <x:is>
          <x:t xml:space="preserve">EVALUATED</x:t>
        </x:is>
      </x:c>
      <x:c r="AO1562" s="604" t="inlineStr">
        <x:is>
          <x:t xml:space="preserve">LOW_QUALITY_GATE;BUCKET_PRIOR_ONLY;INTENT_INTERPRETATION_ONLY;FFL_OPTIONAL;EXPERT_MARKET</x:t>
        </x:is>
      </x:c>
      <x:c r="AP1562" s="604" t="inlineStr">
        <x:is>
          <x:t xml:space="preserve">720a297ddd5b3bb9a67a</x:t>
        </x:is>
      </x:c>
      <x:c r="AQ1562" s="604" t="n"/>
      <x:c r="AR1562" s="604" t="n"/>
      <x:c r="AS1562" s="604" t="n">
        <x:v>-1.5</x:v>
      </x:c>
      <x:c r="AT1562" s="604" t="n">
        <x:v>1.5</x:v>
      </x:c>
      <x:c r="AU1562" s="604" t="n">
        <x:v>0.98</x:v>
      </x:c>
      <x:c r="AV1562" s="604" t="n">
        <x:v>0.78</x:v>
      </x:c>
      <x:c r="AW1562" s="604" t="inlineStr">
        <x:is>
          <x:t xml:space="preserve">2026-10-09T09:01:21.127001+08:00</x:t>
        </x:is>
      </x:c>
      <x:c r="AX1562" s="604" t="inlineStr">
        <x:is>
          <x:t xml:space="preserve">Titan007/V4</x:t>
        </x:is>
      </x:c>
      <x:c r="AY1562" s="604" t="inlineStr">
        <x:is>
          <x:t xml:space="preserve">Daily append；市场输入缺失时不生成决策</x:t>
        </x:is>
      </x:c>
    </x:row>
    <x:row r="1563" ht="22" customHeight="1">
      <x:c r="A1563" s="604" t="inlineStr">
        <x:is>
          <x:t xml:space="preserve">2026-10-09</x:t>
        </x:is>
      </x:c>
      <x:c r="B1563" s="604" t="inlineStr">
        <x:is>
          <x:t xml:space="preserve">2026-10-09T23:00:00+08:00</x:t>
        </x:is>
      </x:c>
      <x:c r="C1563" s="604" t="str">
        <x:v>欧洲非五大系列</x:v>
      </x:c>
      <x:c r="D1563" s="604" t="inlineStr">
        <x:is>
          <x:t xml:space="preserve"/>
        </x:is>
      </x:c>
      <x:c r="E1563" s="604" t="inlineStr">
        <x:is>
          <x:t xml:space="preserve">捷乙</x:t>
        </x:is>
      </x:c>
      <x:c r="F1563" s="604" t="inlineStr">
        <x:is>
          <x:t xml:space="preserve">布拉格斯拉维亚B队 vs 维拉斯姆</x:t>
        </x:is>
      </x:c>
      <x:c r="G1563" s="604" t="n">
        <x:v>0.9399999999999999</x:v>
      </x:c>
      <x:c r="H1563" s="604" t="n">
        <x:v>0.25</x:v>
      </x:c>
      <x:c r="I1563" s="604" t="n">
        <x:v>0.82</x:v>
      </x:c>
      <x:c r="J1563" s="604" t="inlineStr">
        <x:is>
          <x:t xml:space="preserve">0.94/0.25/0.82</x:t>
        </x:is>
      </x:c>
      <x:c r="K1563" s="604" t="inlineStr">
        <x:is>
          <x:t xml:space="preserve">V4-N</x:t>
        </x:is>
      </x:c>
      <x:c r="L1563" s="604" t="inlineStr">
        <x:is>
          <x:t xml:space="preserve"/>
        </x:is>
      </x:c>
      <x:c r="M1563" s="604" t="n">
        <x:v>0.4421428466974491</x:v>
      </x:c>
      <x:c r="N1563" s="604" t="inlineStr">
        <x:is>
          <x:t xml:space="preserve">V4 Shadow Only；real_money=false</x:t>
        </x:is>
      </x:c>
      <x:c r="O1563" s="604" t="inlineStr">
        <x:is>
          <x:t xml:space="preserve">0-0</x:t>
        </x:is>
      </x:c>
      <x:c r="P1563" s="604" t="inlineStr">
        <x:is>
          <x:t xml:space="preserve">EVALUATED</x:t>
        </x:is>
      </x:c>
      <x:c r="Q1563" s="630" t="inlineStr">
        <x:is>
          <x:t xml:space="preserve"/>
        </x:is>
      </x:c>
      <x:c r="R1563" s="604" t="n"/>
      <x:c r="S1563" s="604" t="n"/>
      <x:c r="T1563" s="604" t="inlineStr">
        <x:is>
          <x:t xml:space="preserve">D:\codex\v3_legacy\outputs\football_odds_trader\raw\titan007\20261009\20261009_085232_titan007_odds_snapshot.csv</x:t>
        </x:is>
      </x:c>
      <x:c r="U1563" s="628" t="inlineStr">
        <x:is>
          <x:t xml:space="preserve"/>
        </x:is>
      </x:c>
      <x:c r="V1563" s="604" t="inlineStr">
        <x:is>
          <x:t xml:space="preserve"/>
        </x:is>
      </x:c>
      <x:c r="W1563" s="604" t="inlineStr">
        <x:is>
          <x:t xml:space="preserve"/>
        </x:is>
      </x:c>
      <x:c r="X1563" s="604" t="inlineStr">
        <x:is>
          <x:t xml:space="preserve">3040132</x:t>
        </x:is>
      </x:c>
      <x:c r="Y1563" s="604" t="inlineStr">
        <x:is>
          <x:t xml:space="preserve">V4</x:t>
        </x:is>
      </x:c>
      <x:c r="Z1563" s="604" t="inlineStr">
        <x:is>
          <x:t xml:space="preserve">prior-2026-10-09-v1</x:t>
        </x:is>
      </x:c>
      <x:c r="AA1563" s="604" t="inlineStr">
        <x:is>
          <x:t xml:space="preserve">N</x:t>
        </x:is>
      </x:c>
      <x:c r="AB1563" s="604" t="n">
        <x:v>0.4421428466974491</x:v>
      </x:c>
      <x:c r="AC1563" s="604" t="n">
        <x:v>0.4282119930317758</x:v>
      </x:c>
      <x:c r="AD1563" s="604" t="n">
        <x:v>0.25</x:v>
      </x:c>
      <x:c r="AE1563" s="604" t="n"/>
      <x:c r="AF1563" s="604" t="n"/>
      <x:c r="AG1563" s="604" t="n">
        <x:v>-0.01259771713617358</x:v>
      </x:c>
      <x:c r="AH1563" s="604" t="n"/>
      <x:c r="AI1563" s="604" t="n"/>
      <x:c r="AJ1563" s="604" t="n">
        <x:v>-0.01259771713617358</x:v>
      </x:c>
      <x:c r="AK1563" s="604" t="n"/>
      <x:c r="AL1563" s="604" t="n"/>
      <x:c r="AM1563" s="604" t="n"/>
      <x:c r="AN1563" s="604" t="inlineStr">
        <x:is>
          <x:t xml:space="preserve">EVALUATED</x:t>
        </x:is>
      </x:c>
      <x:c r="AO1563" s="604" t="inlineStr">
        <x:is>
          <x:t xml:space="preserve">EDGE_BELOW_UNCERTAINTY_THRESHOLD;BUCKET_PRIOR_ONLY;INTENT_INTERPRETATION_ONLY;FFL_OPTIONAL;EXPERT_MARKET</x:t>
        </x:is>
      </x:c>
      <x:c r="AP1563" s="604" t="inlineStr">
        <x:is>
          <x:t xml:space="preserve">6155d90c291018459d4f</x:t>
        </x:is>
      </x:c>
      <x:c r="AQ1563" s="604" t="n"/>
      <x:c r="AR1563" s="604" t="n"/>
      <x:c r="AS1563" s="604" t="n">
        <x:v>0.25</x:v>
      </x:c>
      <x:c r="AT1563" s="604" t="n">
        <x:v>-0.25</x:v>
      </x:c>
      <x:c r="AU1563" s="604" t="n">
        <x:v>0.9399999999999999</x:v>
      </x:c>
      <x:c r="AV1563" s="604" t="n">
        <x:v>0.82</x:v>
      </x:c>
      <x:c r="AW1563" s="604" t="inlineStr">
        <x:is>
          <x:t xml:space="preserve">2026-10-09T09:01:21.127001+08:00</x:t>
        </x:is>
      </x:c>
      <x:c r="AX1563" s="604" t="inlineStr">
        <x:is>
          <x:t xml:space="preserve">Titan007/V4</x:t>
        </x:is>
      </x:c>
      <x:c r="AY1563" s="604" t="inlineStr">
        <x:is>
          <x:t xml:space="preserve">Daily append；市场输入缺失时不生成决策</x:t>
        </x:is>
      </x:c>
    </x:row>
    <x:row r="1564" ht="22" customHeight="1">
      <x:c r="A1564" s="604" t="inlineStr">
        <x:is>
          <x:t xml:space="preserve">2026-10-09</x:t>
        </x:is>
      </x:c>
      <x:c r="B1564" s="604" t="inlineStr">
        <x:is>
          <x:t xml:space="preserve">2026-10-10T00:00:00+08:00</x:t>
        </x:is>
      </x:c>
      <x:c r="C1564" s="604" t="str">
        <x:v>欧洲非五大系列</x:v>
      </x:c>
      <x:c r="D1564" s="604" t="inlineStr">
        <x:is>
          <x:t xml:space="preserve"/>
        </x:is>
      </x:c>
      <x:c r="E1564" s="604" t="inlineStr">
        <x:is>
          <x:t xml:space="preserve">捷乙</x:t>
        </x:is>
      </x:c>
      <x:c r="F1564" s="604" t="inlineStr">
        <x:is>
          <x:t xml:space="preserve">杜库拉 vs 奥斯泰华B队</x:t>
        </x:is>
      </x:c>
      <x:c r="G1564" s="604" t="n">
        <x:v>0.85</x:v>
      </x:c>
      <x:c r="H1564" s="604" t="n">
        <x:v>0.5</x:v>
      </x:c>
      <x:c r="I1564" s="604" t="n">
        <x:v>0.95</x:v>
      </x:c>
      <x:c r="J1564" s="604" t="inlineStr">
        <x:is>
          <x:t xml:space="preserve">0.85/0.5/0.95</x:t>
        </x:is>
      </x:c>
      <x:c r="K1564" s="604" t="inlineStr">
        <x:is>
          <x:t xml:space="preserve">V4-N</x:t>
        </x:is>
      </x:c>
      <x:c r="L1564" s="604" t="inlineStr">
        <x:is>
          <x:t xml:space="preserve"/>
        </x:is>
      </x:c>
      <x:c r="M1564" s="604" t="n">
        <x:v>0.5717668881735533</x:v>
      </x:c>
      <x:c r="N1564" s="604" t="inlineStr">
        <x:is>
          <x:t xml:space="preserve">V4 Shadow Only；real_money=false</x:t>
        </x:is>
      </x:c>
      <x:c r="O1564" s="604" t="inlineStr">
        <x:is>
          <x:t xml:space="preserve">0-0</x:t>
        </x:is>
      </x:c>
      <x:c r="P1564" s="604" t="inlineStr">
        <x:is>
          <x:t xml:space="preserve">EVALUATED</x:t>
        </x:is>
      </x:c>
      <x:c r="Q1564" s="630" t="inlineStr">
        <x:is>
          <x:t xml:space="preserve"/>
        </x:is>
      </x:c>
      <x:c r="R1564" s="604" t="n"/>
      <x:c r="S1564" s="604" t="n"/>
      <x:c r="T1564" s="604" t="inlineStr">
        <x:is>
          <x:t xml:space="preserve">D:\codex\v3_legacy\outputs\football_odds_trader\raw\titan007\20261009\20261009_085232_titan007_odds_snapshot.csv</x:t>
        </x:is>
      </x:c>
      <x:c r="U1564" s="628" t="inlineStr">
        <x:is>
          <x:t xml:space="preserve"/>
        </x:is>
      </x:c>
      <x:c r="V1564" s="604" t="inlineStr">
        <x:is>
          <x:t xml:space="preserve"/>
        </x:is>
      </x:c>
      <x:c r="W1564" s="604" t="inlineStr">
        <x:is>
          <x:t xml:space="preserve"/>
        </x:is>
      </x:c>
      <x:c r="X1564" s="604" t="inlineStr">
        <x:is>
          <x:t xml:space="preserve">3040133</x:t>
        </x:is>
      </x:c>
      <x:c r="Y1564" s="604" t="inlineStr">
        <x:is>
          <x:t xml:space="preserve">V4</x:t>
        </x:is>
      </x:c>
      <x:c r="Z1564" s="604" t="inlineStr">
        <x:is>
          <x:t xml:space="preserve">prior-2026-10-09-v1</x:t>
        </x:is>
      </x:c>
      <x:c r="AA1564" s="604" t="inlineStr">
        <x:is>
          <x:t xml:space="preserve">N</x:t>
        </x:is>
      </x:c>
      <x:c r="AB1564" s="604" t="n">
        <x:v>0.5717668881735533</x:v>
      </x:c>
      <x:c r="AC1564" s="604" t="n">
        <x:v>0.4282331118264468</x:v>
      </x:c>
      <x:c r="AD1564" s="604" t="n">
        <x:v>0.75</x:v>
      </x:c>
      <x:c r="AE1564" s="604" t="n"/>
      <x:c r="AF1564" s="604" t="n"/>
      <x:c r="AG1564" s="604" t="n">
        <x:v>0.05776874312107344</x:v>
      </x:c>
      <x:c r="AH1564" s="604" t="n"/>
      <x:c r="AI1564" s="604" t="n"/>
      <x:c r="AJ1564" s="604" t="n">
        <x:v>0.05776874312107344</x:v>
      </x:c>
      <x:c r="AK1564" s="604" t="n"/>
      <x:c r="AL1564" s="604" t="n"/>
      <x:c r="AM1564" s="604" t="n"/>
      <x:c r="AN1564" s="604" t="inlineStr">
        <x:is>
          <x:t xml:space="preserve">EVALUATED</x:t>
        </x:is>
      </x:c>
      <x:c r="AO1564" s="604" t="inlineStr">
        <x:is>
          <x:t xml:space="preserve">LOW_QUALITY_GATE;BUCKET_PRIOR_ONLY;INTENT_INTERPRETATION_ONLY;FFL_OPTIONAL;EXPERT_MARKET</x:t>
        </x:is>
      </x:c>
      <x:c r="AP1564" s="604" t="inlineStr">
        <x:is>
          <x:t xml:space="preserve">e90d94e73cab6204c146</x:t>
        </x:is>
      </x:c>
      <x:c r="AQ1564" s="604" t="n"/>
      <x:c r="AR1564" s="604" t="n"/>
      <x:c r="AS1564" s="604" t="n">
        <x:v>0.5</x:v>
      </x:c>
      <x:c r="AT1564" s="604" t="n">
        <x:v>-0.5</x:v>
      </x:c>
      <x:c r="AU1564" s="604" t="n">
        <x:v>0.85</x:v>
      </x:c>
      <x:c r="AV1564" s="604" t="n">
        <x:v>0.95</x:v>
      </x:c>
      <x:c r="AW1564" s="604" t="inlineStr">
        <x:is>
          <x:t xml:space="preserve">2026-10-09T09:01:21.127001+08:00</x:t>
        </x:is>
      </x:c>
      <x:c r="AX1564" s="604" t="inlineStr">
        <x:is>
          <x:t xml:space="preserve">Titan007/V4</x:t>
        </x:is>
      </x:c>
      <x:c r="AY1564" s="604" t="inlineStr">
        <x:is>
          <x:t xml:space="preserve">Daily append；市场输入缺失时不生成决策</x:t>
        </x:is>
      </x:c>
    </x:row>
    <x:row r="1565" ht="22" customHeight="1">
      <x:c r="A1565" s="604" t="inlineStr">
        <x:is>
          <x:t xml:space="preserve">2026-10-09</x:t>
        </x:is>
      </x:c>
      <x:c r="B1565" s="604" t="inlineStr">
        <x:is>
          <x:t xml:space="preserve">2026-10-10T00:00:00+08:00</x:t>
        </x:is>
      </x:c>
      <x:c r="C1565" s="604" t="str">
        <x:v>欧洲非五大系列</x:v>
      </x:c>
      <x:c r="D1565" s="604" t="inlineStr">
        <x:is>
          <x:t xml:space="preserve"/>
        </x:is>
      </x:c>
      <x:c r="E1565" s="604" t="inlineStr">
        <x:is>
          <x:t xml:space="preserve">捷乙</x:t>
        </x:is>
      </x:c>
      <x:c r="F1565" s="604" t="inlineStr">
        <x:is>
          <x:t xml:space="preserve">伊赫拉瓦 vs 普罗斯捷约夫</x:t>
        </x:is>
      </x:c>
      <x:c r="G1565" s="604" t="n">
        <x:v>0.8</x:v>
      </x:c>
      <x:c r="H1565" s="604" t="n">
        <x:v>0.75</x:v>
      </x:c>
      <x:c r="I1565" s="604" t="n">
        <x:v>0.96</x:v>
      </x:c>
      <x:c r="J1565" s="604" t="inlineStr">
        <x:is>
          <x:t xml:space="preserve">0.8/0.75/0.96</x:t>
        </x:is>
      </x:c>
      <x:c r="K1565" s="604" t="inlineStr">
        <x:is>
          <x:t xml:space="preserve">V4-N</x:t>
        </x:is>
      </x:c>
      <x:c r="L1565" s="604" t="inlineStr">
        <x:is>
          <x:t xml:space="preserve"/>
        </x:is>
      </x:c>
      <x:c r="M1565" s="604" t="n">
        <x:v>0.5105138105820756</x:v>
      </x:c>
      <x:c r="N1565" s="604" t="inlineStr">
        <x:is>
          <x:t xml:space="preserve">V4 Shadow Only；real_money=false</x:t>
        </x:is>
      </x:c>
      <x:c r="O1565" s="604" t="inlineStr">
        <x:is>
          <x:t xml:space="preserve">0-0</x:t>
        </x:is>
      </x:c>
      <x:c r="P1565" s="604" t="inlineStr">
        <x:is>
          <x:t xml:space="preserve">EVALUATED</x:t>
        </x:is>
      </x:c>
      <x:c r="Q1565" s="630" t="inlineStr">
        <x:is>
          <x:t xml:space="preserve"/>
        </x:is>
      </x:c>
      <x:c r="R1565" s="604" t="n"/>
      <x:c r="S1565" s="604" t="n"/>
      <x:c r="T1565" s="604" t="inlineStr">
        <x:is>
          <x:t xml:space="preserve">D:\codex\v3_legacy\outputs\football_odds_trader\raw\titan007\20261009\20261009_085232_titan007_odds_snapshot.csv</x:t>
        </x:is>
      </x:c>
      <x:c r="U1565" s="628" t="inlineStr">
        <x:is>
          <x:t xml:space="preserve"/>
        </x:is>
      </x:c>
      <x:c r="V1565" s="604" t="inlineStr">
        <x:is>
          <x:t xml:space="preserve"/>
        </x:is>
      </x:c>
      <x:c r="W1565" s="604" t="inlineStr">
        <x:is>
          <x:t xml:space="preserve"/>
        </x:is>
      </x:c>
      <x:c r="X1565" s="604" t="inlineStr">
        <x:is>
          <x:t xml:space="preserve">3040134</x:t>
        </x:is>
      </x:c>
      <x:c r="Y1565" s="604" t="inlineStr">
        <x:is>
          <x:t xml:space="preserve">V4</x:t>
        </x:is>
      </x:c>
      <x:c r="Z1565" s="604" t="inlineStr">
        <x:is>
          <x:t xml:space="preserve">prior-2026-10-09-v1</x:t>
        </x:is>
      </x:c>
      <x:c r="AA1565" s="604" t="inlineStr">
        <x:is>
          <x:t xml:space="preserve">N</x:t>
        </x:is>
      </x:c>
      <x:c r="AB1565" s="604" t="n">
        <x:v>0.5105138105820756</x:v>
      </x:c>
      <x:c r="AC1565" s="604" t="n">
        <x:v>0.3613184536504449</x:v>
      </x:c>
      <x:c r="AD1565" s="604" t="n">
        <x:v>1</x:v>
      </x:c>
      <x:c r="AE1565" s="604" t="n"/>
      <x:c r="AF1565" s="604" t="n"/>
      <x:c r="AG1565" s="604" t="n">
        <x:v>0.0470925948152156</x:v>
      </x:c>
      <x:c r="AH1565" s="604" t="n"/>
      <x:c r="AI1565" s="604" t="n"/>
      <x:c r="AJ1565" s="604" t="n">
        <x:v>0.0470925948152156</x:v>
      </x:c>
      <x:c r="AK1565" s="604" t="n"/>
      <x:c r="AL1565" s="604" t="n"/>
      <x:c r="AM1565" s="604" t="n"/>
      <x:c r="AN1565" s="604" t="inlineStr">
        <x:is>
          <x:t xml:space="preserve">EVALUATED</x:t>
        </x:is>
      </x:c>
      <x:c r="AO1565" s="604" t="inlineStr">
        <x:is>
          <x:t xml:space="preserve">EDGE_BELOW_UNCERTAINTY_THRESHOLD;BUCKET_PRIOR_ONLY;INTENT_INTERPRETATION_ONLY;FFL_OPTIONAL;EXPERT_MARKET</x:t>
        </x:is>
      </x:c>
      <x:c r="AP1565" s="604" t="inlineStr">
        <x:is>
          <x:t xml:space="preserve">7fa41619657fda361325</x:t>
        </x:is>
      </x:c>
      <x:c r="AQ1565" s="604" t="n"/>
      <x:c r="AR1565" s="604" t="n"/>
      <x:c r="AS1565" s="604" t="n">
        <x:v>0.75</x:v>
      </x:c>
      <x:c r="AT1565" s="604" t="n">
        <x:v>-0.75</x:v>
      </x:c>
      <x:c r="AU1565" s="604" t="n">
        <x:v>0.8</x:v>
      </x:c>
      <x:c r="AV1565" s="604" t="n">
        <x:v>0.96</x:v>
      </x:c>
      <x:c r="AW1565" s="604" t="inlineStr">
        <x:is>
          <x:t xml:space="preserve">2026-10-09T09:01:21.127001+08:00</x:t>
        </x:is>
      </x:c>
      <x:c r="AX1565" s="604" t="inlineStr">
        <x:is>
          <x:t xml:space="preserve">Titan007/V4</x:t>
        </x:is>
      </x:c>
      <x:c r="AY1565" s="604" t="inlineStr">
        <x:is>
          <x:t xml:space="preserve">Daily append；市场输入缺失时不生成决策</x:t>
        </x:is>
      </x:c>
    </x:row>
    <x:row r="1566" ht="22" customHeight="1">
      <x:c r="A1566" s="604" t="inlineStr">
        <x:is>
          <x:t xml:space="preserve">2026-10-09</x:t>
        </x:is>
      </x:c>
      <x:c r="B1566" s="604" t="inlineStr">
        <x:is>
          <x:t xml:space="preserve">2026-10-10T00:00:00+08:00</x:t>
        </x:is>
      </x:c>
      <x:c r="C1566" s="604" t="str">
        <x:v>欧洲非五大系列</x:v>
      </x:c>
      <x:c r="D1566" s="604" t="inlineStr">
        <x:is>
          <x:t xml:space="preserve"/>
        </x:is>
      </x:c>
      <x:c r="E1566" s="604" t="inlineStr">
        <x:is>
          <x:t xml:space="preserve">捷乙</x:t>
        </x:is>
      </x:c>
      <x:c r="F1566" s="604" t="inlineStr">
        <x:is>
          <x:t xml:space="preserve">塔波斯科 vs 卡尔维纳</x:t>
        </x:is>
      </x:c>
      <x:c r="G1566" s="604" t="n">
        <x:v>0.98</x:v>
      </x:c>
      <x:c r="H1566" s="604" t="n">
        <x:v>-0.25</x:v>
      </x:c>
      <x:c r="I1566" s="604" t="n">
        <x:v>0.78</x:v>
      </x:c>
      <x:c r="J1566" s="604" t="inlineStr">
        <x:is>
          <x:t xml:space="preserve">0.98/-0.25/0.78</x:t>
        </x:is>
      </x:c>
      <x:c r="K1566" s="604" t="inlineStr">
        <x:is>
          <x:t xml:space="preserve">V4-N</x:t>
        </x:is>
      </x:c>
      <x:c r="L1566" s="604" t="inlineStr">
        <x:is>
          <x:t xml:space="preserve"/>
        </x:is>
      </x:c>
      <x:c r="M1566" s="604" t="n">
        <x:v>0.2659097443195694</x:v>
      </x:c>
      <x:c r="N1566" s="604" t="inlineStr">
        <x:is>
          <x:t xml:space="preserve">V4 Shadow Only；real_money=false</x:t>
        </x:is>
      </x:c>
      <x:c r="O1566" s="604" t="inlineStr">
        <x:is>
          <x:t xml:space="preserve">0-0</x:t>
        </x:is>
      </x:c>
      <x:c r="P1566" s="604" t="inlineStr">
        <x:is>
          <x:t xml:space="preserve">EVALUATED</x:t>
        </x:is>
      </x:c>
      <x:c r="Q1566" s="630" t="inlineStr">
        <x:is>
          <x:t xml:space="preserve"/>
        </x:is>
      </x:c>
      <x:c r="R1566" s="604" t="n"/>
      <x:c r="S1566" s="604" t="n"/>
      <x:c r="T1566" s="604" t="inlineStr">
        <x:is>
          <x:t xml:space="preserve">D:\codex\v3_legacy\outputs\football_odds_trader\raw\titan007\20261009\20261009_085232_titan007_odds_snapshot.csv</x:t>
        </x:is>
      </x:c>
      <x:c r="U1566" s="628" t="inlineStr">
        <x:is>
          <x:t xml:space="preserve"/>
        </x:is>
      </x:c>
      <x:c r="V1566" s="604" t="inlineStr">
        <x:is>
          <x:t xml:space="preserve"/>
        </x:is>
      </x:c>
      <x:c r="W1566" s="604" t="inlineStr">
        <x:is>
          <x:t xml:space="preserve"/>
        </x:is>
      </x:c>
      <x:c r="X1566" s="604" t="inlineStr">
        <x:is>
          <x:t xml:space="preserve">3040135</x:t>
        </x:is>
      </x:c>
      <x:c r="Y1566" s="604" t="inlineStr">
        <x:is>
          <x:t xml:space="preserve">V4</x:t>
        </x:is>
      </x:c>
      <x:c r="Z1566" s="604" t="inlineStr">
        <x:is>
          <x:t xml:space="preserve">prior-2026-10-09-v1</x:t>
        </x:is>
      </x:c>
      <x:c r="AA1566" s="604" t="inlineStr">
        <x:is>
          <x:t xml:space="preserve">N</x:t>
        </x:is>
      </x:c>
      <x:c r="AB1566" s="604" t="n">
        <x:v>0.2659097443195694</x:v>
      </x:c>
      <x:c r="AC1566" s="604" t="n">
        <x:v>0.606107365715385</x:v>
      </x:c>
      <x:c r="AD1566" s="604" t="n">
        <x:v>-0.5</x:v>
      </x:c>
      <x:c r="AE1566" s="604" t="n"/>
      <x:c r="AF1566" s="604" t="n"/>
      <x:c r="AG1566" s="604" t="n">
        <x:v>0.3280754740815079</x:v>
      </x:c>
      <x:c r="AH1566" s="604" t="n"/>
      <x:c r="AI1566" s="604" t="n"/>
      <x:c r="AJ1566" s="604" t="n">
        <x:v>0.3280754740815079</x:v>
      </x:c>
      <x:c r="AK1566" s="604" t="n"/>
      <x:c r="AL1566" s="604" t="n"/>
      <x:c r="AM1566" s="604" t="n"/>
      <x:c r="AN1566" s="604" t="inlineStr">
        <x:is>
          <x:t xml:space="preserve">EVALUATED</x:t>
        </x:is>
      </x:c>
      <x:c r="AO1566" s="604" t="inlineStr">
        <x:is>
          <x:t xml:space="preserve">LOW_QUALITY_GATE;BUCKET_PRIOR_ONLY;INTENT_INTERPRETATION_ONLY;FFL_OPTIONAL;EXPERT_MARKET</x:t>
        </x:is>
      </x:c>
      <x:c r="AP1566" s="604" t="inlineStr">
        <x:is>
          <x:t xml:space="preserve">32196781485ec355daaa</x:t>
        </x:is>
      </x:c>
      <x:c r="AQ1566" s="604" t="n"/>
      <x:c r="AR1566" s="604" t="n"/>
      <x:c r="AS1566" s="604" t="n">
        <x:v>-0.25</x:v>
      </x:c>
      <x:c r="AT1566" s="604" t="n">
        <x:v>0.25</x:v>
      </x:c>
      <x:c r="AU1566" s="604" t="n">
        <x:v>0.98</x:v>
      </x:c>
      <x:c r="AV1566" s="604" t="n">
        <x:v>0.78</x:v>
      </x:c>
      <x:c r="AW1566" s="604" t="inlineStr">
        <x:is>
          <x:t xml:space="preserve">2026-10-09T09:01:21.127001+08:00</x:t>
        </x:is>
      </x:c>
      <x:c r="AX1566" s="604" t="inlineStr">
        <x:is>
          <x:t xml:space="preserve">Titan007/V4</x:t>
        </x:is>
      </x:c>
      <x:c r="AY1566" s="604" t="inlineStr">
        <x:is>
          <x:t xml:space="preserve">Daily append；市场输入缺失时不生成决策</x:t>
        </x:is>
      </x:c>
    </x:row>
    <x:row r="1567" ht="22" customHeight="1">
      <x:c r="A1567" s="604" t="inlineStr">
        <x:is>
          <x:t xml:space="preserve">2026-10-09</x:t>
        </x:is>
      </x:c>
      <x:c r="B1567" s="604" t="inlineStr">
        <x:is>
          <x:t xml:space="preserve">2026-10-10T00:00:00+08:00</x:t>
        </x:is>
      </x:c>
      <x:c r="C1567" s="604" t="str">
        <x:v>欧洲非五大系列</x:v>
      </x:c>
      <x:c r="D1567" s="604" t="inlineStr">
        <x:is>
          <x:t xml:space="preserve"/>
        </x:is>
      </x:c>
      <x:c r="E1567" s="604" t="inlineStr">
        <x:is>
          <x:t xml:space="preserve">捷乙</x:t>
        </x:is>
      </x:c>
      <x:c r="F1567" s="604" t="inlineStr">
        <x:is>
          <x:t xml:space="preserve">乌斯季 vs 奥帕瓦</x:t>
        </x:is>
      </x:c>
      <x:c r="G1567" s="604" t="n">
        <x:v>0.96</x:v>
      </x:c>
      <x:c r="H1567" s="604" t="n">
        <x:v>0.5</x:v>
      </x:c>
      <x:c r="I1567" s="604" t="n">
        <x:v>0.8</x:v>
      </x:c>
      <x:c r="J1567" s="604" t="inlineStr">
        <x:is>
          <x:t xml:space="preserve">0.96/0.5/0.8</x:t>
        </x:is>
      </x:c>
      <x:c r="K1567" s="604" t="inlineStr">
        <x:is>
          <x:t xml:space="preserve">V4-N</x:t>
        </x:is>
      </x:c>
      <x:c r="L1567" s="604" t="inlineStr">
        <x:is>
          <x:t xml:space="preserve"/>
        </x:is>
      </x:c>
      <x:c r="M1567" s="604" t="n">
        <x:v>0.5213575841662166</x:v>
      </x:c>
      <x:c r="N1567" s="604" t="inlineStr">
        <x:is>
          <x:t xml:space="preserve">V4 Shadow Only；real_money=false</x:t>
        </x:is>
      </x:c>
      <x:c r="O1567" s="604" t="inlineStr">
        <x:is>
          <x:t xml:space="preserve">0-0</x:t>
        </x:is>
      </x:c>
      <x:c r="P1567" s="604" t="inlineStr">
        <x:is>
          <x:t xml:space="preserve">EVALUATED</x:t>
        </x:is>
      </x:c>
      <x:c r="Q1567" s="630" t="inlineStr">
        <x:is>
          <x:t xml:space="preserve"/>
        </x:is>
      </x:c>
      <x:c r="R1567" s="604" t="n"/>
      <x:c r="S1567" s="604" t="n"/>
      <x:c r="T1567" s="604" t="inlineStr">
        <x:is>
          <x:t xml:space="preserve">D:\codex\v3_legacy\outputs\football_odds_trader\raw\titan007\20261009\20261009_085232_titan007_odds_snapshot.csv</x:t>
        </x:is>
      </x:c>
      <x:c r="U1567" s="628" t="inlineStr">
        <x:is>
          <x:t xml:space="preserve"/>
        </x:is>
      </x:c>
      <x:c r="V1567" s="604" t="inlineStr">
        <x:is>
          <x:t xml:space="preserve"/>
        </x:is>
      </x:c>
      <x:c r="W1567" s="604" t="inlineStr">
        <x:is>
          <x:t xml:space="preserve"/>
        </x:is>
      </x:c>
      <x:c r="X1567" s="604" t="inlineStr">
        <x:is>
          <x:t xml:space="preserve">3040136</x:t>
        </x:is>
      </x:c>
      <x:c r="Y1567" s="604" t="inlineStr">
        <x:is>
          <x:t xml:space="preserve">V4</x:t>
        </x:is>
      </x:c>
      <x:c r="Z1567" s="604" t="inlineStr">
        <x:is>
          <x:t xml:space="preserve">prior-2026-10-09-v1</x:t>
        </x:is>
      </x:c>
      <x:c r="AA1567" s="604" t="inlineStr">
        <x:is>
          <x:t xml:space="preserve">N</x:t>
        </x:is>
      </x:c>
      <x:c r="AB1567" s="604" t="n">
        <x:v>0.5213575841662166</x:v>
      </x:c>
      <x:c r="AC1567" s="604" t="n">
        <x:v>0.4786424158337834</x:v>
      </x:c>
      <x:c r="AD1567" s="604" t="n">
        <x:v>0.75</x:v>
      </x:c>
      <x:c r="AE1567" s="604" t="n"/>
      <x:c r="AF1567" s="604" t="n"/>
      <x:c r="AG1567" s="604" t="n">
        <x:v>0.02186086496578443</x:v>
      </x:c>
      <x:c r="AH1567" s="604" t="n"/>
      <x:c r="AI1567" s="604" t="n"/>
      <x:c r="AJ1567" s="604" t="n">
        <x:v>0.02186086496578443</x:v>
      </x:c>
      <x:c r="AK1567" s="604" t="n"/>
      <x:c r="AL1567" s="604" t="n"/>
      <x:c r="AM1567" s="604" t="n"/>
      <x:c r="AN1567" s="604" t="inlineStr">
        <x:is>
          <x:t xml:space="preserve">EVALUATED</x:t>
        </x:is>
      </x:c>
      <x:c r="AO1567" s="604" t="inlineStr">
        <x:is>
          <x:t xml:space="preserve">EDGE_BELOW_UNCERTAINTY_THRESHOLD;BUCKET_PRIOR_ONLY;INTENT_INTERPRETATION_ONLY;FFL_OPTIONAL;EXPERT_MARKET</x:t>
        </x:is>
      </x:c>
      <x:c r="AP1567" s="604" t="inlineStr">
        <x:is>
          <x:t xml:space="preserve">992cd60f1bc87e8ea3d5</x:t>
        </x:is>
      </x:c>
      <x:c r="AQ1567" s="604" t="n"/>
      <x:c r="AR1567" s="604" t="n"/>
      <x:c r="AS1567" s="604" t="n">
        <x:v>0.5</x:v>
      </x:c>
      <x:c r="AT1567" s="604" t="n">
        <x:v>-0.5</x:v>
      </x:c>
      <x:c r="AU1567" s="604" t="n">
        <x:v>0.96</x:v>
      </x:c>
      <x:c r="AV1567" s="604" t="n">
        <x:v>0.8</x:v>
      </x:c>
      <x:c r="AW1567" s="604" t="inlineStr">
        <x:is>
          <x:t xml:space="preserve">2026-10-09T09:01:21.127001+08:00</x:t>
        </x:is>
      </x:c>
      <x:c r="AX1567" s="604" t="inlineStr">
        <x:is>
          <x:t xml:space="preserve">Titan007/V4</x:t>
        </x:is>
      </x:c>
      <x:c r="AY1567" s="604" t="inlineStr">
        <x:is>
          <x:t xml:space="preserve">Daily append；市场输入缺失时不生成决策</x:t>
        </x:is>
      </x:c>
    </x:row>
    <x:row r="1568" ht="22" customHeight="1">
      <x:c r="A1568" s="604" t="inlineStr">
        <x:is>
          <x:t xml:space="preserve">2026-10-09</x:t>
        </x:is>
      </x:c>
      <x:c r="B1568" s="604" t="inlineStr">
        <x:is>
          <x:t xml:space="preserve">2026-10-10T02:30:00+08:00</x:t>
        </x:is>
      </x:c>
      <x:c r="C1568" s="604" t="str">
        <x:v>五大联赛非顶级联赛</x:v>
      </x:c>
      <x:c r="D1568" s="604" t="inlineStr">
        <x:is>
          <x:t xml:space="preserve"/>
        </x:is>
      </x:c>
      <x:c r="E1568" s="604" t="inlineStr">
        <x:is>
          <x:t xml:space="preserve">意乙</x:t>
        </x:is>
      </x:c>
      <x:c r="F1568" s="604" t="inlineStr">
        <x:is>
          <x:t xml:space="preserve">阿维利诺 vs 桑普多利亚</x:t>
        </x:is>
      </x:c>
      <x:c r="G1568" s="604" t="n">
        <x:v>0.95</x:v>
      </x:c>
      <x:c r="H1568" s="604" t="n">
        <x:v>0</x:v>
      </x:c>
      <x:c r="I1568" s="604" t="n">
        <x:v>0.87</x:v>
      </x:c>
      <x:c r="J1568" s="604" t="inlineStr">
        <x:is>
          <x:t xml:space="preserve">0.95/0.0/0.87</x:t>
        </x:is>
      </x:c>
      <x:c r="K1568" s="604" t="inlineStr">
        <x:is>
          <x:t xml:space="preserve">V4-N</x:t>
        </x:is>
      </x:c>
      <x:c r="L1568" s="604" t="inlineStr">
        <x:is>
          <x:t xml:space="preserve"/>
        </x:is>
      </x:c>
      <x:c r="M1568" s="604" t="n"/>
      <x:c r="N1568" s="604" t="inlineStr">
        <x:is>
          <x:t xml:space="preserve">V4 Shadow Only；real_money=false</x:t>
        </x:is>
      </x:c>
      <x:c r="O1568" s="604" t="inlineStr">
        <x:is>
          <x:t xml:space="preserve">0-0</x:t>
        </x:is>
      </x:c>
      <x:c r="P1568" s="604" t="inlineStr">
        <x:is>
          <x:t xml:space="preserve">NEUTRAL</x:t>
        </x:is>
      </x:c>
      <x:c r="Q1568" s="630" t="inlineStr">
        <x:is>
          <x:t xml:space="preserve"/>
        </x:is>
      </x:c>
      <x:c r="R1568" s="604" t="n"/>
      <x:c r="S1568" s="604" t="n"/>
      <x:c r="T1568" s="604" t="inlineStr">
        <x:is>
          <x:t xml:space="preserve">D:\codex\v3_legacy\outputs\football_odds_trader\raw\titan007\20261009\20261009_085232_titan007_odds_snapshot.csv</x:t>
        </x:is>
      </x:c>
      <x:c r="U1568" s="628" t="inlineStr">
        <x:is>
          <x:t xml:space="preserve"/>
        </x:is>
      </x:c>
      <x:c r="V1568" s="604" t="inlineStr">
        <x:is>
          <x:t xml:space="preserve"/>
        </x:is>
      </x:c>
      <x:c r="W1568" s="604" t="inlineStr">
        <x:is>
          <x:t xml:space="preserve"/>
        </x:is>
      </x:c>
      <x:c r="X1568" s="604" t="inlineStr">
        <x:is>
          <x:t xml:space="preserve">3040756</x:t>
        </x:is>
      </x:c>
      <x:c r="Y1568" s="604" t="inlineStr">
        <x:is>
          <x:t xml:space="preserve">V4</x:t>
        </x:is>
      </x:c>
      <x:c r="Z1568" s="604" t="inlineStr">
        <x:is>
          <x:t xml:space="preserve">prior-2026-10-09-v1</x:t>
        </x:is>
      </x:c>
      <x:c r="AA1568" s="604" t="inlineStr">
        <x:is>
          <x:t xml:space="preserve">N</x:t>
        </x:is>
      </x:c>
      <x:c r="AB1568" s="604" t="n"/>
      <x:c r="AC1568" s="604" t="n"/>
      <x:c r="AD1568" s="604" t="n"/>
      <x:c r="AE1568" s="604" t="n"/>
      <x:c r="AF1568" s="604" t="n"/>
      <x:c r="AG1568" s="604" t="n"/>
      <x:c r="AH1568" s="604" t="n"/>
      <x:c r="AI1568" s="604" t="n"/>
      <x:c r="AJ1568" s="604" t="n"/>
      <x:c r="AK1568" s="604" t="n"/>
      <x:c r="AL1568" s="604" t="n"/>
      <x:c r="AM1568" s="604" t="n"/>
      <x:c r="AN1568" s="604" t="inlineStr">
        <x:is>
          <x:t xml:space="preserve">NEUTRAL</x:t>
        </x:is>
      </x:c>
      <x:c r="AO1568" s="604" t="inlineStr">
        <x:is>
          <x:t xml:space="preserve">PK_NO_GIVING_RECEIVING_IDENTITY</x:t>
        </x:is>
      </x:c>
      <x:c r="AP1568" s="604" t="inlineStr">
        <x:is>
          <x:t xml:space="preserve">7b5393f13c7ce3bed4ff</x:t>
        </x:is>
      </x:c>
      <x:c r="AQ1568" s="604" t="n"/>
      <x:c r="AR1568" s="604" t="n"/>
      <x:c r="AS1568" s="604" t="n"/>
      <x:c r="AT1568" s="604" t="n"/>
      <x:c r="AU1568" s="604" t="n"/>
      <x:c r="AV1568" s="604" t="n"/>
      <x:c r="AW1568" s="604" t="inlineStr">
        <x:is>
          <x:t xml:space="preserve">2026-10-09T09:01:21.127001+08:00</x:t>
        </x:is>
      </x:c>
      <x:c r="AX1568" s="604" t="inlineStr">
        <x:is>
          <x:t xml:space="preserve">Titan007/V4</x:t>
        </x:is>
      </x:c>
      <x:c r="AY1568" s="604" t="inlineStr">
        <x:is>
          <x:t xml:space="preserve">Daily append；市场输入缺失时不生成决策</x:t>
        </x:is>
      </x:c>
    </x:row>
    <x:row r="1569" ht="22" customHeight="1">
      <x:c r="A1569" s="604" t="inlineStr">
        <x:is>
          <x:t xml:space="preserve">2026-10-09</x:t>
        </x:is>
      </x:c>
      <x:c r="B1569" s="604" t="inlineStr">
        <x:is>
          <x:t xml:space="preserve">2026-10-09T23:30:00+08:00</x:t>
        </x:is>
      </x:c>
      <x:c r="C1569" s="604" t="str">
        <x:v>西亚/中亚系列</x:v>
      </x:c>
      <x:c r="D1569" s="604" t="inlineStr">
        <x:is>
          <x:t xml:space="preserve"/>
        </x:is>
      </x:c>
      <x:c r="E1569" s="604" t="inlineStr">
        <x:is>
          <x:t xml:space="preserve">阿塞超</x:t>
        </x:is>
      </x:c>
      <x:c r="F1569" s="604" t="inlineStr">
        <x:is>
          <x:t xml:space="preserve">内弗特奇 vs 萨巴赫</x:t>
        </x:is>
      </x:c>
      <x:c r="G1569" s="604" t="n">
        <x:v>0.76</x:v>
      </x:c>
      <x:c r="H1569" s="604" t="n">
        <x:v>-0.25</x:v>
      </x:c>
      <x:c r="I1569" s="604" t="n">
        <x:v>1</x:v>
      </x:c>
      <x:c r="J1569" s="604" t="inlineStr">
        <x:is>
          <x:t xml:space="preserve">0.76/-0.25/1.0</x:t>
        </x:is>
      </x:c>
      <x:c r="K1569" s="604" t="inlineStr">
        <x:is>
          <x:t xml:space="preserve">V4-N</x:t>
        </x:is>
      </x:c>
      <x:c r="L1569" s="604" t="inlineStr">
        <x:is>
          <x:t xml:space="preserve"/>
        </x:is>
      </x:c>
      <x:c r="M1569" s="604" t="n">
        <x:v>0.331055295146127</x:v>
      </x:c>
      <x:c r="N1569" s="604" t="inlineStr">
        <x:is>
          <x:t xml:space="preserve">V4 Shadow Only；real_money=false</x:t>
        </x:is>
      </x:c>
      <x:c r="O1569" s="604" t="inlineStr">
        <x:is>
          <x:t xml:space="preserve">0-0</x:t>
        </x:is>
      </x:c>
      <x:c r="P1569" s="604" t="inlineStr">
        <x:is>
          <x:t xml:space="preserve">EVALUATED</x:t>
        </x:is>
      </x:c>
      <x:c r="Q1569" s="630" t="inlineStr">
        <x:is>
          <x:t xml:space="preserve"/>
        </x:is>
      </x:c>
      <x:c r="R1569" s="604" t="n"/>
      <x:c r="S1569" s="604" t="n"/>
      <x:c r="T1569" s="604" t="inlineStr">
        <x:is>
          <x:t xml:space="preserve">D:\codex\v3_legacy\outputs\football_odds_trader\raw\titan007\20261009\20261009_085232_titan007_odds_snapshot.csv</x:t>
        </x:is>
      </x:c>
      <x:c r="U1569" s="628" t="inlineStr">
        <x:is>
          <x:t xml:space="preserve"/>
        </x:is>
      </x:c>
      <x:c r="V1569" s="604" t="inlineStr">
        <x:is>
          <x:t xml:space="preserve"/>
        </x:is>
      </x:c>
      <x:c r="W1569" s="604" t="inlineStr">
        <x:is>
          <x:t xml:space="preserve"/>
        </x:is>
      </x:c>
      <x:c r="X1569" s="604" t="inlineStr">
        <x:is>
          <x:t xml:space="preserve">3041566</x:t>
        </x:is>
      </x:c>
      <x:c r="Y1569" s="604" t="inlineStr">
        <x:is>
          <x:t xml:space="preserve">V4</x:t>
        </x:is>
      </x:c>
      <x:c r="Z1569" s="604" t="inlineStr">
        <x:is>
          <x:t xml:space="preserve">prior-2026-10-09-v1</x:t>
        </x:is>
      </x:c>
      <x:c r="AA1569" s="604" t="inlineStr">
        <x:is>
          <x:t xml:space="preserve">N</x:t>
        </x:is>
      </x:c>
      <x:c r="AB1569" s="604" t="n">
        <x:v>0.331055295146127</x:v>
      </x:c>
      <x:c r="AC1569" s="604" t="n">
        <x:v>0.5370886023951886</x:v>
      </x:c>
      <x:c r="AD1569" s="604" t="n">
        <x:v>-0.25</x:v>
      </x:c>
      <x:c r="AE1569" s="604" t="n"/>
      <x:c r="AF1569" s="604" t="n"/>
      <x:c r="AG1569" s="604" t="n">
        <x:v>0.07713204267421642</x:v>
      </x:c>
      <x:c r="AH1569" s="604" t="n"/>
      <x:c r="AI1569" s="604" t="n"/>
      <x:c r="AJ1569" s="604" t="n">
        <x:v>0.07713204267421642</x:v>
      </x:c>
      <x:c r="AK1569" s="604" t="n"/>
      <x:c r="AL1569" s="604" t="n"/>
      <x:c r="AM1569" s="604" t="n"/>
      <x:c r="AN1569" s="604" t="inlineStr">
        <x:is>
          <x:t xml:space="preserve">EVALUATED</x:t>
        </x:is>
      </x:c>
      <x:c r="AO1569" s="604" t="inlineStr">
        <x:is>
          <x:t xml:space="preserve">LOW_QUALITY_GATE;BUCKET_PRIOR_ONLY;INTENT_INTERPRETATION_ONLY;FFL_OPTIONAL;EXPERT_MARKET</x:t>
        </x:is>
      </x:c>
      <x:c r="AP1569" s="604" t="inlineStr">
        <x:is>
          <x:t xml:space="preserve">457a4feb2c3a84b33f66</x:t>
        </x:is>
      </x:c>
      <x:c r="AQ1569" s="604" t="n"/>
      <x:c r="AR1569" s="604" t="n"/>
      <x:c r="AS1569" s="604" t="n">
        <x:v>-0.25</x:v>
      </x:c>
      <x:c r="AT1569" s="604" t="n">
        <x:v>0.25</x:v>
      </x:c>
      <x:c r="AU1569" s="604" t="n">
        <x:v>0.76</x:v>
      </x:c>
      <x:c r="AV1569" s="604" t="n">
        <x:v>1</x:v>
      </x:c>
      <x:c r="AW1569" s="604" t="inlineStr">
        <x:is>
          <x:t xml:space="preserve">2026-10-09T09:01:21.127001+08:00</x:t>
        </x:is>
      </x:c>
      <x:c r="AX1569" s="604" t="inlineStr">
        <x:is>
          <x:t xml:space="preserve">Titan007/V4</x:t>
        </x:is>
      </x:c>
      <x:c r="AY1569" s="604" t="inlineStr">
        <x:is>
          <x:t xml:space="preserve">Daily append；市场输入缺失时不生成决策</x:t>
        </x:is>
      </x:c>
    </x:row>
    <x:row r="1570" ht="22" customHeight="1">
      <x:c r="A1570" s="604" t="inlineStr">
        <x:is>
          <x:t xml:space="preserve">2026-10-09</x:t>
        </x:is>
      </x:c>
      <x:c r="B1570" s="604" t="inlineStr">
        <x:is>
          <x:t xml:space="preserve">2026-10-09T20:00:00+08:00</x:t>
        </x:is>
      </x:c>
      <x:c r="C1570" s="604" t="str">
        <x:v>西亚/中亚系列</x:v>
      </x:c>
      <x:c r="D1570" s="604" t="inlineStr">
        <x:is>
          <x:t xml:space="preserve"/>
        </x:is>
      </x:c>
      <x:c r="E1570" s="604" t="inlineStr">
        <x:is>
          <x:t xml:space="preserve">阿塞超</x:t>
        </x:is>
      </x:c>
      <x:c r="F1570" s="604" t="inlineStr">
        <x:is>
          <x:t xml:space="preserve">纳希切万 vs 卡帕兹PFK</x:t>
        </x:is>
      </x:c>
      <x:c r="G1570" s="604" t="n">
        <x:v>0.9</x:v>
      </x:c>
      <x:c r="H1570" s="604" t="n">
        <x:v>0.25</x:v>
      </x:c>
      <x:c r="I1570" s="604" t="n">
        <x:v>0.86</x:v>
      </x:c>
      <x:c r="J1570" s="604" t="inlineStr">
        <x:is>
          <x:t xml:space="preserve">0.9/0.25/0.86</x:t>
        </x:is>
      </x:c>
      <x:c r="K1570" s="604" t="inlineStr">
        <x:is>
          <x:t xml:space="preserve">V4-N</x:t>
        </x:is>
      </x:c>
      <x:c r="L1570" s="604" t="inlineStr">
        <x:is>
          <x:t xml:space="preserve"/>
        </x:is>
      </x:c>
      <x:c r="M1570" s="604" t="n">
        <x:v>0.4667798614241898</x:v>
      </x:c>
      <x:c r="N1570" s="604" t="inlineStr">
        <x:is>
          <x:t xml:space="preserve">V4 Shadow Only；real_money=false</x:t>
        </x:is>
      </x:c>
      <x:c r="O1570" s="604" t="inlineStr">
        <x:is>
          <x:t xml:space="preserve">0-0</x:t>
        </x:is>
      </x:c>
      <x:c r="P1570" s="604" t="inlineStr">
        <x:is>
          <x:t xml:space="preserve">EVALUATED</x:t>
        </x:is>
      </x:c>
      <x:c r="Q1570" s="630" t="inlineStr">
        <x:is>
          <x:t xml:space="preserve"/>
        </x:is>
      </x:c>
      <x:c r="R1570" s="604" t="n"/>
      <x:c r="S1570" s="604" t="n"/>
      <x:c r="T1570" s="604" t="inlineStr">
        <x:is>
          <x:t xml:space="preserve">D:\codex\v3_legacy\outputs\football_odds_trader\raw\titan007\20261009\20261009_085232_titan007_odds_snapshot.csv</x:t>
        </x:is>
      </x:c>
      <x:c r="U1570" s="628" t="inlineStr">
        <x:is>
          <x:t xml:space="preserve"/>
        </x:is>
      </x:c>
      <x:c r="V1570" s="604" t="inlineStr">
        <x:is>
          <x:t xml:space="preserve"/>
        </x:is>
      </x:c>
      <x:c r="W1570" s="604" t="inlineStr">
        <x:is>
          <x:t xml:space="preserve"/>
        </x:is>
      </x:c>
      <x:c r="X1570" s="604" t="inlineStr">
        <x:is>
          <x:t xml:space="preserve">3041570</x:t>
        </x:is>
      </x:c>
      <x:c r="Y1570" s="604" t="inlineStr">
        <x:is>
          <x:t xml:space="preserve">V4</x:t>
        </x:is>
      </x:c>
      <x:c r="Z1570" s="604" t="inlineStr">
        <x:is>
          <x:t xml:space="preserve">prior-2026-10-09-v1</x:t>
        </x:is>
      </x:c>
      <x:c r="AA1570" s="604" t="inlineStr">
        <x:is>
          <x:t xml:space="preserve">N</x:t>
        </x:is>
      </x:c>
      <x:c r="AB1570" s="604" t="n">
        <x:v>0.4667798614241898</x:v>
      </x:c>
      <x:c r="AC1570" s="604" t="n">
        <x:v>0.4042132532434155</x:v>
      </x:c>
      <x:c r="AD1570" s="604" t="n">
        <x:v>0.5</x:v>
      </x:c>
      <x:c r="AE1570" s="604" t="n"/>
      <x:c r="AF1570" s="604" t="n"/>
      <x:c r="AG1570" s="604" t="n">
        <x:v>0.01588862203835534</x:v>
      </x:c>
      <x:c r="AH1570" s="604" t="n"/>
      <x:c r="AI1570" s="604" t="n"/>
      <x:c r="AJ1570" s="604" t="n">
        <x:v>0.01588862203835534</x:v>
      </x:c>
      <x:c r="AK1570" s="604" t="n"/>
      <x:c r="AL1570" s="604" t="n"/>
      <x:c r="AM1570" s="604" t="n"/>
      <x:c r="AN1570" s="604" t="inlineStr">
        <x:is>
          <x:t xml:space="preserve">EVALUATED</x:t>
        </x:is>
      </x:c>
      <x:c r="AO1570" s="604" t="inlineStr">
        <x:is>
          <x:t xml:space="preserve">EDGE_BELOW_UNCERTAINTY_THRESHOLD;BUCKET_PRIOR_ONLY;INTENT_INTERPRETATION_ONLY;FFL_OPTIONAL;EXPERT_MARKET</x:t>
        </x:is>
      </x:c>
      <x:c r="AP1570" s="604" t="inlineStr">
        <x:is>
          <x:t xml:space="preserve">95ccaaff667e5765f642</x:t>
        </x:is>
      </x:c>
      <x:c r="AQ1570" s="604" t="n"/>
      <x:c r="AR1570" s="604" t="n"/>
      <x:c r="AS1570" s="604" t="n">
        <x:v>0.25</x:v>
      </x:c>
      <x:c r="AT1570" s="604" t="n">
        <x:v>-0.25</x:v>
      </x:c>
      <x:c r="AU1570" s="604" t="n">
        <x:v>0.9</x:v>
      </x:c>
      <x:c r="AV1570" s="604" t="n">
        <x:v>0.86</x:v>
      </x:c>
      <x:c r="AW1570" s="604" t="inlineStr">
        <x:is>
          <x:t xml:space="preserve">2026-10-09T09:01:21.127001+08:00</x:t>
        </x:is>
      </x:c>
      <x:c r="AX1570" s="604" t="inlineStr">
        <x:is>
          <x:t xml:space="preserve">Titan007/V4</x:t>
        </x:is>
      </x:c>
      <x:c r="AY1570" s="604" t="inlineStr">
        <x:is>
          <x:t xml:space="preserve">Daily append；市场输入缺失时不生成决策</x:t>
        </x:is>
      </x:c>
    </x:row>
    <x:row r="1571" ht="22" customHeight="1">
      <x:c r="A1571" s="604" t="inlineStr">
        <x:is>
          <x:t xml:space="preserve">2026-10-09</x:t>
        </x:is>
      </x:c>
      <x:c r="B1571" s="604" t="inlineStr">
        <x:is>
          <x:t xml:space="preserve">2026-10-10T08:00:00+08:00</x:t>
        </x:is>
      </x:c>
      <x:c r="C1571" s="604" t="str">
        <x:v>北美系列</x:v>
      </x:c>
      <x:c r="D1571" s="604" t="inlineStr">
        <x:is>
          <x:t xml:space="preserve"/>
        </x:is>
      </x:c>
      <x:c r="E1571" s="604" t="inlineStr">
        <x:is>
          <x:t xml:space="preserve">萨尔超春</x:t>
        </x:is>
      </x:c>
      <x:c r="F1571" s="604" t="inlineStr">
        <x:is>
          <x:t xml:space="preserve">印加阿鲁巴 vs 萨卡特科卢卡</x:t>
        </x:is>
      </x:c>
      <x:c r="G1571" s="604" t="n">
        <x:v>0.92</x:v>
      </x:c>
      <x:c r="H1571" s="604" t="n">
        <x:v>0</x:v>
      </x:c>
      <x:c r="I1571" s="604" t="n">
        <x:v>0.84</x:v>
      </x:c>
      <x:c r="J1571" s="604" t="inlineStr">
        <x:is>
          <x:t xml:space="preserve">0.92/0.0/0.84</x:t>
        </x:is>
      </x:c>
      <x:c r="K1571" s="604" t="inlineStr">
        <x:is>
          <x:t xml:space="preserve">V4-N</x:t>
        </x:is>
      </x:c>
      <x:c r="L1571" s="604" t="inlineStr">
        <x:is>
          <x:t xml:space="preserve"/>
        </x:is>
      </x:c>
      <x:c r="M1571" s="604" t="n"/>
      <x:c r="N1571" s="604" t="inlineStr">
        <x:is>
          <x:t xml:space="preserve">V4 Shadow Only；real_money=false</x:t>
        </x:is>
      </x:c>
      <x:c r="O1571" s="604" t="inlineStr">
        <x:is>
          <x:t xml:space="preserve">0-0</x:t>
        </x:is>
      </x:c>
      <x:c r="P1571" s="604" t="inlineStr">
        <x:is>
          <x:t xml:space="preserve">NEUTRAL</x:t>
        </x:is>
      </x:c>
      <x:c r="Q1571" s="630" t="inlineStr">
        <x:is>
          <x:t xml:space="preserve"/>
        </x:is>
      </x:c>
      <x:c r="R1571" s="604" t="n"/>
      <x:c r="S1571" s="604" t="n"/>
      <x:c r="T1571" s="604" t="inlineStr">
        <x:is>
          <x:t xml:space="preserve">D:\codex\v3_legacy\outputs\football_odds_trader\raw\titan007\20261009\20261009_085232_titan007_odds_snapshot.csv</x:t>
        </x:is>
      </x:c>
      <x:c r="U1571" s="628" t="inlineStr">
        <x:is>
          <x:t xml:space="preserve"/>
        </x:is>
      </x:c>
      <x:c r="V1571" s="604" t="inlineStr">
        <x:is>
          <x:t xml:space="preserve"/>
        </x:is>
      </x:c>
      <x:c r="W1571" s="604" t="inlineStr">
        <x:is>
          <x:t xml:space="preserve"/>
        </x:is>
      </x:c>
      <x:c r="X1571" s="604" t="inlineStr">
        <x:is>
          <x:t xml:space="preserve">3041937</x:t>
        </x:is>
      </x:c>
      <x:c r="Y1571" s="604" t="inlineStr">
        <x:is>
          <x:t xml:space="preserve">V4</x:t>
        </x:is>
      </x:c>
      <x:c r="Z1571" s="604" t="inlineStr">
        <x:is>
          <x:t xml:space="preserve">prior-2026-10-09-v1</x:t>
        </x:is>
      </x:c>
      <x:c r="AA1571" s="604" t="inlineStr">
        <x:is>
          <x:t xml:space="preserve">N</x:t>
        </x:is>
      </x:c>
      <x:c r="AB1571" s="604" t="n"/>
      <x:c r="AC1571" s="604" t="n"/>
      <x:c r="AD1571" s="604" t="n"/>
      <x:c r="AE1571" s="604" t="n"/>
      <x:c r="AF1571" s="604" t="n"/>
      <x:c r="AG1571" s="604" t="n"/>
      <x:c r="AH1571" s="604" t="n"/>
      <x:c r="AI1571" s="604" t="n"/>
      <x:c r="AJ1571" s="604" t="n"/>
      <x:c r="AK1571" s="604" t="n"/>
      <x:c r="AL1571" s="604" t="n"/>
      <x:c r="AM1571" s="604" t="n"/>
      <x:c r="AN1571" s="604" t="inlineStr">
        <x:is>
          <x:t xml:space="preserve">NEUTRAL</x:t>
        </x:is>
      </x:c>
      <x:c r="AO1571" s="604" t="inlineStr">
        <x:is>
          <x:t xml:space="preserve">PK_NO_GIVING_RECEIVING_IDENTITY</x:t>
        </x:is>
      </x:c>
      <x:c r="AP1571" s="604" t="inlineStr">
        <x:is>
          <x:t xml:space="preserve">471e38d0029b1b3da03a</x:t>
        </x:is>
      </x:c>
      <x:c r="AQ1571" s="604" t="n"/>
      <x:c r="AR1571" s="604" t="n"/>
      <x:c r="AS1571" s="604" t="n"/>
      <x:c r="AT1571" s="604" t="n"/>
      <x:c r="AU1571" s="604" t="n"/>
      <x:c r="AV1571" s="604" t="n"/>
      <x:c r="AW1571" s="604" t="inlineStr">
        <x:is>
          <x:t xml:space="preserve">2026-10-09T09:01:21.127001+08:00</x:t>
        </x:is>
      </x:c>
      <x:c r="AX1571" s="604" t="inlineStr">
        <x:is>
          <x:t xml:space="preserve">Titan007/V4</x:t>
        </x:is>
      </x:c>
      <x:c r="AY1571" s="604" t="inlineStr">
        <x:is>
          <x:t xml:space="preserve">Daily append；市场输入缺失时不生成决策</x:t>
        </x:is>
      </x:c>
    </x:row>
    <x:row r="1572" ht="22" customHeight="1">
      <x:c r="A1572" s="604" t="inlineStr">
        <x:is>
          <x:t xml:space="preserve">2026-10-09</x:t>
        </x:is>
      </x:c>
      <x:c r="B1572" s="604" t="inlineStr">
        <x:is>
          <x:t xml:space="preserve">2026-10-10T10:00:00+08:00</x:t>
        </x:is>
      </x:c>
      <x:c r="C1572" s="604" t="str">
        <x:v>北美系列</x:v>
      </x:c>
      <x:c r="D1572" s="604" t="inlineStr">
        <x:is>
          <x:t xml:space="preserve"/>
        </x:is>
      </x:c>
      <x:c r="E1572" s="604" t="inlineStr">
        <x:is>
          <x:t xml:space="preserve">哥斯甲春</x:t>
        </x:is>
      </x:c>
      <x:c r="F1572" s="604" t="inlineStr">
        <x:is>
          <x:t xml:space="preserve">圣何塞体育 vs 肯塔吉内斯</x:t>
        </x:is>
      </x:c>
      <x:c r="G1572" s="604" t="n">
        <x:v>0.93</x:v>
      </x:c>
      <x:c r="H1572" s="604" t="n">
        <x:v>0.25</x:v>
      </x:c>
      <x:c r="I1572" s="604" t="n">
        <x:v>0.83</x:v>
      </x:c>
      <x:c r="J1572" s="604" t="inlineStr">
        <x:is>
          <x:t xml:space="preserve">0.93/0.25/0.83</x:t>
        </x:is>
      </x:c>
      <x:c r="K1572" s="604" t="inlineStr">
        <x:is>
          <x:t xml:space="preserve">V4-N</x:t>
        </x:is>
      </x:c>
      <x:c r="L1572" s="604" t="inlineStr">
        <x:is>
          <x:t xml:space="preserve"/>
        </x:is>
      </x:c>
      <x:c r="M1572" s="604" t="n">
        <x:v>0.4640977243591964</x:v>
      </x:c>
      <x:c r="N1572" s="604" t="inlineStr">
        <x:is>
          <x:t xml:space="preserve">V4 Shadow Only；real_money=false</x:t>
        </x:is>
      </x:c>
      <x:c r="O1572" s="604" t="inlineStr">
        <x:is>
          <x:t xml:space="preserve">0-0</x:t>
        </x:is>
      </x:c>
      <x:c r="P1572" s="604" t="inlineStr">
        <x:is>
          <x:t xml:space="preserve">EVALUATED</x:t>
        </x:is>
      </x:c>
      <x:c r="Q1572" s="630" t="inlineStr">
        <x:is>
          <x:t xml:space="preserve"/>
        </x:is>
      </x:c>
      <x:c r="R1572" s="604" t="n"/>
      <x:c r="S1572" s="604" t="n"/>
      <x:c r="T1572" s="604" t="inlineStr">
        <x:is>
          <x:t xml:space="preserve">D:\codex\v3_legacy\outputs\football_odds_trader\raw\titan007\20261009\20261009_085232_titan007_odds_snapshot.csv</x:t>
        </x:is>
      </x:c>
      <x:c r="U1572" s="628" t="inlineStr">
        <x:is>
          <x:t xml:space="preserve"/>
        </x:is>
      </x:c>
      <x:c r="V1572" s="604" t="inlineStr">
        <x:is>
          <x:t xml:space="preserve"/>
        </x:is>
      </x:c>
      <x:c r="W1572" s="604" t="inlineStr">
        <x:is>
          <x:t xml:space="preserve"/>
        </x:is>
      </x:c>
      <x:c r="X1572" s="604" t="inlineStr">
        <x:is>
          <x:t xml:space="preserve">3042570</x:t>
        </x:is>
      </x:c>
      <x:c r="Y1572" s="604" t="inlineStr">
        <x:is>
          <x:t xml:space="preserve">V4</x:t>
        </x:is>
      </x:c>
      <x:c r="Z1572" s="604" t="inlineStr">
        <x:is>
          <x:t xml:space="preserve">prior-2026-10-09-v1</x:t>
        </x:is>
      </x:c>
      <x:c r="AA1572" s="604" t="inlineStr">
        <x:is>
          <x:t xml:space="preserve">N</x:t>
        </x:is>
      </x:c>
      <x:c r="AB1572" s="604" t="n">
        <x:v>0.4640977243591964</x:v>
      </x:c>
      <x:c r="AC1572" s="604" t="n">
        <x:v>0.4064405693329637</x:v>
      </x:c>
      <x:c r="AD1572" s="604" t="n">
        <x:v>0.5</x:v>
      </x:c>
      <x:c r="AE1572" s="604" t="n"/>
      <x:c r="AF1572" s="604" t="n"/>
      <x:c r="AG1572" s="604" t="n">
        <x:v>0.02517031432108902</x:v>
      </x:c>
      <x:c r="AH1572" s="604" t="n"/>
      <x:c r="AI1572" s="604" t="n"/>
      <x:c r="AJ1572" s="604" t="n">
        <x:v>0.02517031432108902</x:v>
      </x:c>
      <x:c r="AK1572" s="604" t="n"/>
      <x:c r="AL1572" s="604" t="n"/>
      <x:c r="AM1572" s="604" t="n"/>
      <x:c r="AN1572" s="604" t="inlineStr">
        <x:is>
          <x:t xml:space="preserve">EVALUATED</x:t>
        </x:is>
      </x:c>
      <x:c r="AO1572" s="604" t="inlineStr">
        <x:is>
          <x:t xml:space="preserve">EDGE_BELOW_UNCERTAINTY_THRESHOLD;BUCKET_PRIOR_ONLY;INTENT_INTERPRETATION_ONLY;FFL_OPTIONAL;EXPERT_MARKET</x:t>
        </x:is>
      </x:c>
      <x:c r="AP1572" s="604" t="inlineStr">
        <x:is>
          <x:t xml:space="preserve">42edd76f912f2568dd89</x:t>
        </x:is>
      </x:c>
      <x:c r="AQ1572" s="604" t="n"/>
      <x:c r="AR1572" s="604" t="n"/>
      <x:c r="AS1572" s="604" t="n">
        <x:v>0.25</x:v>
      </x:c>
      <x:c r="AT1572" s="604" t="n">
        <x:v>-0.25</x:v>
      </x:c>
      <x:c r="AU1572" s="604" t="n">
        <x:v>0.93</x:v>
      </x:c>
      <x:c r="AV1572" s="604" t="n">
        <x:v>0.83</x:v>
      </x:c>
      <x:c r="AW1572" s="604" t="inlineStr">
        <x:is>
          <x:t xml:space="preserve">2026-10-09T09:01:21.127001+08:00</x:t>
        </x:is>
      </x:c>
      <x:c r="AX1572" s="604" t="inlineStr">
        <x:is>
          <x:t xml:space="preserve">Titan007/V4</x:t>
        </x:is>
      </x:c>
      <x:c r="AY1572" s="604" t="inlineStr">
        <x:is>
          <x:t xml:space="preserve">Daily append；市场输入缺失时不生成决策</x:t>
        </x:is>
      </x:c>
    </x:row>
    <x:row r="1573" ht="22" customHeight="1">
      <x:c r="A1573" s="604" t="inlineStr">
        <x:is>
          <x:t xml:space="preserve">2026-10-09</x:t>
        </x:is>
      </x:c>
      <x:c r="B1573" s="604" t="inlineStr">
        <x:is>
          <x:t xml:space="preserve">2026-10-10T01:00:00+08:00</x:t>
        </x:is>
      </x:c>
      <x:c r="C1573" s="604" t="str">
        <x:v>五大联赛非顶级联赛</x:v>
      </x:c>
      <x:c r="D1573" s="604" t="inlineStr">
        <x:is>
          <x:t xml:space="preserve"/>
        </x:is>
      </x:c>
      <x:c r="E1573" s="604" t="inlineStr">
        <x:is>
          <x:t xml:space="preserve">德地区北</x:t>
        </x:is>
      </x:c>
      <x:c r="F1573" s="604" t="inlineStr">
        <x:is>
          <x:t xml:space="preserve">云达不莱梅业余队 vs SV阿特拉斯代</x:t>
        </x:is>
      </x:c>
      <x:c r="G1573" s="604" t="n">
        <x:v>0.99</x:v>
      </x:c>
      <x:c r="H1573" s="604" t="n">
        <x:v>0</x:v>
      </x:c>
      <x:c r="I1573" s="604" t="n">
        <x:v>0.7</x:v>
      </x:c>
      <x:c r="J1573" s="604" t="inlineStr">
        <x:is>
          <x:t xml:space="preserve">0.99/0.0/0.7</x:t>
        </x:is>
      </x:c>
      <x:c r="K1573" s="604" t="inlineStr">
        <x:is>
          <x:t xml:space="preserve">V4-N</x:t>
        </x:is>
      </x:c>
      <x:c r="L1573" s="604" t="inlineStr">
        <x:is>
          <x:t xml:space="preserve"/>
        </x:is>
      </x:c>
      <x:c r="M1573" s="604" t="n"/>
      <x:c r="N1573" s="604" t="inlineStr">
        <x:is>
          <x:t xml:space="preserve">V4 Shadow Only；real_money=false</x:t>
        </x:is>
      </x:c>
      <x:c r="O1573" s="604" t="inlineStr">
        <x:is>
          <x:t xml:space="preserve">0-0</x:t>
        </x:is>
      </x:c>
      <x:c r="P1573" s="604" t="inlineStr">
        <x:is>
          <x:t xml:space="preserve">NEUTRAL</x:t>
        </x:is>
      </x:c>
      <x:c r="Q1573" s="630" t="inlineStr">
        <x:is>
          <x:t xml:space="preserve"/>
        </x:is>
      </x:c>
      <x:c r="R1573" s="604" t="n"/>
      <x:c r="S1573" s="604" t="n"/>
      <x:c r="T1573" s="604" t="inlineStr">
        <x:is>
          <x:t xml:space="preserve">D:\codex\v3_legacy\outputs\football_odds_trader\raw\titan007\20261009\20261009_085232_titan007_odds_snapshot.csv</x:t>
        </x:is>
      </x:c>
      <x:c r="U1573" s="628" t="inlineStr">
        <x:is>
          <x:t xml:space="preserve"/>
        </x:is>
      </x:c>
      <x:c r="V1573" s="604" t="inlineStr">
        <x:is>
          <x:t xml:space="preserve"/>
        </x:is>
      </x:c>
      <x:c r="W1573" s="604" t="inlineStr">
        <x:is>
          <x:t xml:space="preserve"/>
        </x:is>
      </x:c>
      <x:c r="X1573" s="604" t="inlineStr">
        <x:is>
          <x:t xml:space="preserve">3043414</x:t>
        </x:is>
      </x:c>
      <x:c r="Y1573" s="604" t="inlineStr">
        <x:is>
          <x:t xml:space="preserve">V4</x:t>
        </x:is>
      </x:c>
      <x:c r="Z1573" s="604" t="inlineStr">
        <x:is>
          <x:t xml:space="preserve">prior-2026-10-09-v1</x:t>
        </x:is>
      </x:c>
      <x:c r="AA1573" s="604" t="inlineStr">
        <x:is>
          <x:t xml:space="preserve">N</x:t>
        </x:is>
      </x:c>
      <x:c r="AB1573" s="604" t="n"/>
      <x:c r="AC1573" s="604" t="n"/>
      <x:c r="AD1573" s="604" t="n"/>
      <x:c r="AE1573" s="604" t="n"/>
      <x:c r="AF1573" s="604" t="n"/>
      <x:c r="AG1573" s="604" t="n"/>
      <x:c r="AH1573" s="604" t="n"/>
      <x:c r="AI1573" s="604" t="n"/>
      <x:c r="AJ1573" s="604" t="n"/>
      <x:c r="AK1573" s="604" t="n"/>
      <x:c r="AL1573" s="604" t="n"/>
      <x:c r="AM1573" s="604" t="n"/>
      <x:c r="AN1573" s="604" t="inlineStr">
        <x:is>
          <x:t xml:space="preserve">NEUTRAL</x:t>
        </x:is>
      </x:c>
      <x:c r="AO1573" s="604" t="inlineStr">
        <x:is>
          <x:t xml:space="preserve">PK_NO_GIVING_RECEIVING_IDENTITY</x:t>
        </x:is>
      </x:c>
      <x:c r="AP1573" s="604" t="inlineStr">
        <x:is>
          <x:t xml:space="preserve">e81c529167f71d38ed81</x:t>
        </x:is>
      </x:c>
      <x:c r="AQ1573" s="604" t="n"/>
      <x:c r="AR1573" s="604" t="n"/>
      <x:c r="AS1573" s="604" t="n"/>
      <x:c r="AT1573" s="604" t="n"/>
      <x:c r="AU1573" s="604" t="n"/>
      <x:c r="AV1573" s="604" t="n"/>
      <x:c r="AW1573" s="604" t="inlineStr">
        <x:is>
          <x:t xml:space="preserve">2026-10-09T09:01:21.127001+08:00</x:t>
        </x:is>
      </x:c>
      <x:c r="AX1573" s="604" t="inlineStr">
        <x:is>
          <x:t xml:space="preserve">Titan007/V4</x:t>
        </x:is>
      </x:c>
      <x:c r="AY1573" s="604" t="inlineStr">
        <x:is>
          <x:t xml:space="preserve">Daily append；市场输入缺失时不生成决策</x:t>
        </x:is>
      </x:c>
    </x:row>
    <x:row r="1574" ht="22" customHeight="1">
      <x:c r="A1574" s="604" t="inlineStr">
        <x:is>
          <x:t xml:space="preserve">2026-10-09</x:t>
        </x:is>
      </x:c>
      <x:c r="B1574" s="604" t="inlineStr">
        <x:is>
          <x:t xml:space="preserve">2026-10-09T20:00:00+08:00</x:t>
        </x:is>
      </x:c>
      <x:c r="C1574" s="604" t="str">
        <x:v>欧洲非五大系列</x:v>
      </x:c>
      <x:c r="D1574" s="604" t="inlineStr">
        <x:is>
          <x:t xml:space="preserve"/>
        </x:is>
      </x:c>
      <x:c r="E1574" s="604" t="inlineStr">
        <x:is>
          <x:t xml:space="preserve">乌克乙</x:t>
        </x:is>
      </x:c>
      <x:c r="F1574" s="604" t="inlineStr">
        <x:is>
          <x:t xml:space="preserve">特诺皮尔B队 vs 维尔克希夫策</x:t>
        </x:is>
      </x:c>
      <x:c r="G1574" s="604" t="n">
        <x:v>0.78</x:v>
      </x:c>
      <x:c r="H1574" s="604" t="n">
        <x:v>0</x:v>
      </x:c>
      <x:c r="I1574" s="604" t="n">
        <x:v>0.88</x:v>
      </x:c>
      <x:c r="J1574" s="604" t="inlineStr">
        <x:is>
          <x:t xml:space="preserve">0.78/0.0/0.88</x:t>
        </x:is>
      </x:c>
      <x:c r="K1574" s="604" t="inlineStr">
        <x:is>
          <x:t xml:space="preserve">V4-N</x:t>
        </x:is>
      </x:c>
      <x:c r="L1574" s="604" t="inlineStr">
        <x:is>
          <x:t xml:space="preserve"/>
        </x:is>
      </x:c>
      <x:c r="M1574" s="604" t="n"/>
      <x:c r="N1574" s="604" t="inlineStr">
        <x:is>
          <x:t xml:space="preserve">V4 Shadow Only；real_money=false</x:t>
        </x:is>
      </x:c>
      <x:c r="O1574" s="604" t="inlineStr">
        <x:is>
          <x:t xml:space="preserve">0-0</x:t>
        </x:is>
      </x:c>
      <x:c r="P1574" s="604" t="inlineStr">
        <x:is>
          <x:t xml:space="preserve">NEUTRAL</x:t>
        </x:is>
      </x:c>
      <x:c r="Q1574" s="630" t="inlineStr">
        <x:is>
          <x:t xml:space="preserve"/>
        </x:is>
      </x:c>
      <x:c r="R1574" s="604" t="n"/>
      <x:c r="S1574" s="604" t="n"/>
      <x:c r="T1574" s="604" t="inlineStr">
        <x:is>
          <x:t xml:space="preserve">D:\codex\v3_legacy\outputs\football_odds_trader\raw\titan007\20261009\20261009_085232_titan007_odds_snapshot.csv</x:t>
        </x:is>
      </x:c>
      <x:c r="U1574" s="628" t="inlineStr">
        <x:is>
          <x:t xml:space="preserve"/>
        </x:is>
      </x:c>
      <x:c r="V1574" s="604" t="inlineStr">
        <x:is>
          <x:t xml:space="preserve"/>
        </x:is>
      </x:c>
      <x:c r="W1574" s="604" t="inlineStr">
        <x:is>
          <x:t xml:space="preserve"/>
        </x:is>
      </x:c>
      <x:c r="X1574" s="604" t="inlineStr">
        <x:is>
          <x:t xml:space="preserve">3044293</x:t>
        </x:is>
      </x:c>
      <x:c r="Y1574" s="604" t="inlineStr">
        <x:is>
          <x:t xml:space="preserve">V4</x:t>
        </x:is>
      </x:c>
      <x:c r="Z1574" s="604" t="inlineStr">
        <x:is>
          <x:t xml:space="preserve">prior-2026-10-09-v1</x:t>
        </x:is>
      </x:c>
      <x:c r="AA1574" s="604" t="inlineStr">
        <x:is>
          <x:t xml:space="preserve">N</x:t>
        </x:is>
      </x:c>
      <x:c r="AB1574" s="604" t="n"/>
      <x:c r="AC1574" s="604" t="n"/>
      <x:c r="AD1574" s="604" t="n"/>
      <x:c r="AE1574" s="604" t="n"/>
      <x:c r="AF1574" s="604" t="n"/>
      <x:c r="AG1574" s="604" t="n"/>
      <x:c r="AH1574" s="604" t="n"/>
      <x:c r="AI1574" s="604" t="n"/>
      <x:c r="AJ1574" s="604" t="n"/>
      <x:c r="AK1574" s="604" t="n"/>
      <x:c r="AL1574" s="604" t="n"/>
      <x:c r="AM1574" s="604" t="n"/>
      <x:c r="AN1574" s="604" t="inlineStr">
        <x:is>
          <x:t xml:space="preserve">NEUTRAL</x:t>
        </x:is>
      </x:c>
      <x:c r="AO1574" s="604" t="inlineStr">
        <x:is>
          <x:t xml:space="preserve">PK_NO_GIVING_RECEIVING_IDENTITY</x:t>
        </x:is>
      </x:c>
      <x:c r="AP1574" s="604" t="inlineStr">
        <x:is>
          <x:t xml:space="preserve">36215a905f52c1f9cc76</x:t>
        </x:is>
      </x:c>
      <x:c r="AQ1574" s="604" t="n"/>
      <x:c r="AR1574" s="604" t="n"/>
      <x:c r="AS1574" s="604" t="n"/>
      <x:c r="AT1574" s="604" t="n"/>
      <x:c r="AU1574" s="604" t="n"/>
      <x:c r="AV1574" s="604" t="n"/>
      <x:c r="AW1574" s="604" t="inlineStr">
        <x:is>
          <x:t xml:space="preserve">2026-10-09T09:01:21.127001+08:00</x:t>
        </x:is>
      </x:c>
      <x:c r="AX1574" s="604" t="inlineStr">
        <x:is>
          <x:t xml:space="preserve">Titan007/V4</x:t>
        </x:is>
      </x:c>
      <x:c r="AY1574" s="604" t="inlineStr">
        <x:is>
          <x:t xml:space="preserve">Daily append；市场输入缺失时不生成决策</x:t>
        </x:is>
      </x:c>
    </x:row>
    <x:row r="1575" ht="22" customHeight="1">
      <x:c r="A1575" s="604" t="inlineStr">
        <x:is>
          <x:t xml:space="preserve">2026-10-09</x:t>
        </x:is>
      </x:c>
      <x:c r="B1575" s="604" t="inlineStr">
        <x:is>
          <x:t xml:space="preserve">2026-10-09T17:15:00+08:00</x:t>
        </x:is>
      </x:c>
      <x:c r="C1575" s="604" t="str">
        <x:v>欧洲非五大系列</x:v>
      </x:c>
      <x:c r="D1575" s="604" t="inlineStr">
        <x:is>
          <x:t xml:space="preserve"/>
        </x:is>
      </x:c>
      <x:c r="E1575" s="604" t="inlineStr">
        <x:is>
          <x:t xml:space="preserve">乌克乙</x:t>
        </x:is>
      </x:c>
      <x:c r="F1575" s="604" t="inlineStr">
        <x:is>
          <x:t xml:space="preserve">扎波罗热米塔路 vs SC波尔塔瓦B队</x:t>
        </x:is>
      </x:c>
      <x:c r="G1575" s="604" t="n">
        <x:v>0.61</x:v>
      </x:c>
      <x:c r="H1575" s="604" t="n">
        <x:v>0</x:v>
      </x:c>
      <x:c r="I1575" s="604" t="n">
        <x:v>1.12</x:v>
      </x:c>
      <x:c r="J1575" s="604" t="inlineStr">
        <x:is>
          <x:t xml:space="preserve">0.61/0.0/1.12</x:t>
        </x:is>
      </x:c>
      <x:c r="K1575" s="604" t="inlineStr">
        <x:is>
          <x:t xml:space="preserve">V4-N</x:t>
        </x:is>
      </x:c>
      <x:c r="L1575" s="604" t="inlineStr">
        <x:is>
          <x:t xml:space="preserve"/>
        </x:is>
      </x:c>
      <x:c r="M1575" s="604" t="n"/>
      <x:c r="N1575" s="604" t="inlineStr">
        <x:is>
          <x:t xml:space="preserve">V4 Shadow Only；real_money=false</x:t>
        </x:is>
      </x:c>
      <x:c r="O1575" s="604" t="inlineStr">
        <x:is>
          <x:t xml:space="preserve">0-0</x:t>
        </x:is>
      </x:c>
      <x:c r="P1575" s="604" t="inlineStr">
        <x:is>
          <x:t xml:space="preserve">NEUTRAL</x:t>
        </x:is>
      </x:c>
      <x:c r="Q1575" s="630" t="inlineStr">
        <x:is>
          <x:t xml:space="preserve"/>
        </x:is>
      </x:c>
      <x:c r="R1575" s="604" t="n"/>
      <x:c r="S1575" s="604" t="n"/>
      <x:c r="T1575" s="604" t="inlineStr">
        <x:is>
          <x:t xml:space="preserve">D:\codex\v3_legacy\outputs\football_odds_trader\raw\titan007\20261009\20261009_085232_titan007_odds_snapshot.csv</x:t>
        </x:is>
      </x:c>
      <x:c r="U1575" s="628" t="inlineStr">
        <x:is>
          <x:t xml:space="preserve"/>
        </x:is>
      </x:c>
      <x:c r="V1575" s="604" t="inlineStr">
        <x:is>
          <x:t xml:space="preserve"/>
        </x:is>
      </x:c>
      <x:c r="W1575" s="604" t="inlineStr">
        <x:is>
          <x:t xml:space="preserve"/>
        </x:is>
      </x:c>
      <x:c r="X1575" s="604" t="inlineStr">
        <x:is>
          <x:t xml:space="preserve">3044300</x:t>
        </x:is>
      </x:c>
      <x:c r="Y1575" s="604" t="inlineStr">
        <x:is>
          <x:t xml:space="preserve">V4</x:t>
        </x:is>
      </x:c>
      <x:c r="Z1575" s="604" t="inlineStr">
        <x:is>
          <x:t xml:space="preserve">prior-2026-10-09-v1</x:t>
        </x:is>
      </x:c>
      <x:c r="AA1575" s="604" t="inlineStr">
        <x:is>
          <x:t xml:space="preserve">N</x:t>
        </x:is>
      </x:c>
      <x:c r="AB1575" s="604" t="n"/>
      <x:c r="AC1575" s="604" t="n"/>
      <x:c r="AD1575" s="604" t="n"/>
      <x:c r="AE1575" s="604" t="n"/>
      <x:c r="AF1575" s="604" t="n"/>
      <x:c r="AG1575" s="604" t="n"/>
      <x:c r="AH1575" s="604" t="n"/>
      <x:c r="AI1575" s="604" t="n"/>
      <x:c r="AJ1575" s="604" t="n"/>
      <x:c r="AK1575" s="604" t="n"/>
      <x:c r="AL1575" s="604" t="n"/>
      <x:c r="AM1575" s="604" t="n"/>
      <x:c r="AN1575" s="604" t="inlineStr">
        <x:is>
          <x:t xml:space="preserve">NEUTRAL</x:t>
        </x:is>
      </x:c>
      <x:c r="AO1575" s="604" t="inlineStr">
        <x:is>
          <x:t xml:space="preserve">PK_NO_GIVING_RECEIVING_IDENTITY</x:t>
        </x:is>
      </x:c>
      <x:c r="AP1575" s="604" t="inlineStr">
        <x:is>
          <x:t xml:space="preserve">7eb79aeb495f1fd91cff</x:t>
        </x:is>
      </x:c>
      <x:c r="AQ1575" s="604" t="n"/>
      <x:c r="AR1575" s="604" t="n"/>
      <x:c r="AS1575" s="604" t="n"/>
      <x:c r="AT1575" s="604" t="n"/>
      <x:c r="AU1575" s="604" t="n"/>
      <x:c r="AV1575" s="604" t="n"/>
      <x:c r="AW1575" s="604" t="inlineStr">
        <x:is>
          <x:t xml:space="preserve">2026-10-09T09:01:21.127001+08:00</x:t>
        </x:is>
      </x:c>
      <x:c r="AX1575" s="604" t="inlineStr">
        <x:is>
          <x:t xml:space="preserve">Titan007/V4</x:t>
        </x:is>
      </x:c>
      <x:c r="AY1575" s="604" t="inlineStr">
        <x:is>
          <x:t xml:space="preserve">Daily append；市场输入缺失时不生成决策</x:t>
        </x:is>
      </x:c>
    </x:row>
    <x:row r="1576" ht="22" customHeight="1">
      <x:c r="A1576" s="604" t="inlineStr">
        <x:is>
          <x:t xml:space="preserve">2026-10-09</x:t>
        </x:is>
      </x:c>
      <x:c r="B1576" s="604" t="inlineStr">
        <x:is>
          <x:t xml:space="preserve">2026-10-10T00:00:00+08:00</x:t>
        </x:is>
      </x:c>
      <x:c r="C1576" s="604" t="str">
        <x:v>欧洲非五大系列</x:v>
      </x:c>
      <x:c r="D1576" s="604" t="inlineStr">
        <x:is>
          <x:t xml:space="preserve"/>
        </x:is>
      </x:c>
      <x:c r="E1576" s="604" t="inlineStr">
        <x:is>
          <x:t xml:space="preserve">塞浦甲</x:t>
        </x:is>
      </x:c>
      <x:c r="F1576" s="604" t="inlineStr">
        <x:is>
          <x:t xml:space="preserve">波勒米迪奥 vs 奥莫尼亚</x:t>
        </x:is>
      </x:c>
      <x:c r="G1576" s="604" t="n">
        <x:v>0.98</x:v>
      </x:c>
      <x:c r="H1576" s="604" t="n">
        <x:v>-1.75</x:v>
      </x:c>
      <x:c r="I1576" s="604" t="n">
        <x:v>0.78</x:v>
      </x:c>
      <x:c r="J1576" s="604" t="inlineStr">
        <x:is>
          <x:t xml:space="preserve">0.98/-1.75/0.78</x:t>
        </x:is>
      </x:c>
      <x:c r="K1576" s="604" t="inlineStr">
        <x:is>
          <x:t xml:space="preserve">V4-N</x:t>
        </x:is>
      </x:c>
      <x:c r="L1576" s="604" t="inlineStr">
        <x:is>
          <x:t xml:space="preserve"/>
        </x:is>
      </x:c>
      <x:c r="M1576" s="604" t="n">
        <x:v>0.0001072811539237185</x:v>
      </x:c>
      <x:c r="N1576" s="604" t="inlineStr">
        <x:is>
          <x:t xml:space="preserve">V4 Shadow Only；real_money=false</x:t>
        </x:is>
      </x:c>
      <x:c r="O1576" s="604" t="inlineStr">
        <x:is>
          <x:t xml:space="preserve">0-0</x:t>
        </x:is>
      </x:c>
      <x:c r="P1576" s="604" t="inlineStr">
        <x:is>
          <x:t xml:space="preserve">EVALUATED</x:t>
        </x:is>
      </x:c>
      <x:c r="Q1576" s="630" t="inlineStr">
        <x:is>
          <x:t xml:space="preserve"/>
        </x:is>
      </x:c>
      <x:c r="R1576" s="604" t="n"/>
      <x:c r="S1576" s="604" t="n"/>
      <x:c r="T1576" s="604" t="inlineStr">
        <x:is>
          <x:t xml:space="preserve">D:\codex\v3_legacy\outputs\football_odds_trader\raw\titan007\20261009\20261009_085232_titan007_odds_snapshot.csv</x:t>
        </x:is>
      </x:c>
      <x:c r="U1576" s="628" t="inlineStr">
        <x:is>
          <x:t xml:space="preserve"/>
        </x:is>
      </x:c>
      <x:c r="V1576" s="604" t="inlineStr">
        <x:is>
          <x:t xml:space="preserve"/>
        </x:is>
      </x:c>
      <x:c r="W1576" s="604" t="inlineStr">
        <x:is>
          <x:t xml:space="preserve"/>
        </x:is>
      </x:c>
      <x:c r="X1576" s="604" t="inlineStr">
        <x:is>
          <x:t xml:space="preserve">3044406</x:t>
        </x:is>
      </x:c>
      <x:c r="Y1576" s="604" t="inlineStr">
        <x:is>
          <x:t xml:space="preserve">V4</x:t>
        </x:is>
      </x:c>
      <x:c r="Z1576" s="604" t="inlineStr">
        <x:is>
          <x:t xml:space="preserve">prior-2026-10-09-v1</x:t>
        </x:is>
      </x:c>
      <x:c r="AA1576" s="604" t="inlineStr">
        <x:is>
          <x:t xml:space="preserve">N</x:t>
        </x:is>
      </x:c>
      <x:c r="AB1576" s="604" t="n">
        <x:v>0.0001072811539237185</x:v>
      </x:c>
      <x:c r="AC1576" s="604" t="n">
        <x:v>0.9997908796953383</x:v>
      </x:c>
      <x:c r="AD1576" s="604" t="n">
        <x:v>-2.75</x:v>
      </x:c>
      <x:c r="AE1576" s="604" t="n"/>
      <x:c r="AF1576" s="604" t="n"/>
      <x:c r="AG1576" s="604" t="n">
        <x:v>0.9796877809475077</x:v>
      </x:c>
      <x:c r="AH1576" s="604" t="n"/>
      <x:c r="AI1576" s="604" t="n"/>
      <x:c r="AJ1576" s="604" t="n">
        <x:v>0.9796877809475077</x:v>
      </x:c>
      <x:c r="AK1576" s="604" t="n"/>
      <x:c r="AL1576" s="604" t="n"/>
      <x:c r="AM1576" s="604" t="n"/>
      <x:c r="AN1576" s="604" t="inlineStr">
        <x:is>
          <x:t xml:space="preserve">EVALUATED</x:t>
        </x:is>
      </x:c>
      <x:c r="AO1576" s="604" t="inlineStr">
        <x:is>
          <x:t xml:space="preserve">LOW_QUALITY_GATE;BUCKET_PRIOR_ONLY;INTENT_INTERPRETATION_ONLY;FFL_OPTIONAL;EXPERT_MARKET</x:t>
        </x:is>
      </x:c>
      <x:c r="AP1576" s="604" t="inlineStr">
        <x:is>
          <x:t xml:space="preserve">04e51ac4c4cdf7eb22c4</x:t>
        </x:is>
      </x:c>
      <x:c r="AQ1576" s="604" t="n"/>
      <x:c r="AR1576" s="604" t="n"/>
      <x:c r="AS1576" s="604" t="n">
        <x:v>-1.75</x:v>
      </x:c>
      <x:c r="AT1576" s="604" t="n">
        <x:v>1.75</x:v>
      </x:c>
      <x:c r="AU1576" s="604" t="n">
        <x:v>0.98</x:v>
      </x:c>
      <x:c r="AV1576" s="604" t="n">
        <x:v>0.78</x:v>
      </x:c>
      <x:c r="AW1576" s="604" t="inlineStr">
        <x:is>
          <x:t xml:space="preserve">2026-10-09T09:01:21.127001+08:00</x:t>
        </x:is>
      </x:c>
      <x:c r="AX1576" s="604" t="inlineStr">
        <x:is>
          <x:t xml:space="preserve">Titan007/V4</x:t>
        </x:is>
      </x:c>
      <x:c r="AY1576" s="604" t="inlineStr">
        <x:is>
          <x:t xml:space="preserve">Daily append；市场输入缺失时不生成决策</x:t>
        </x:is>
      </x:c>
    </x:row>
    <x:row r="1577" ht="22" customHeight="1">
      <x:c r="A1577" s="604" t="inlineStr">
        <x:is>
          <x:t xml:space="preserve">2026-10-09</x:t>
        </x:is>
      </x:c>
      <x:c r="B1577" s="604" t="inlineStr">
        <x:is>
          <x:t xml:space="preserve">2026-10-09T19:35:00+08:00</x:t>
        </x:is>
      </x:c>
      <x:c r="C1577" s="604" t="str">
        <x:v>其他系列</x:v>
      </x:c>
      <x:c r="D1577" s="604" t="inlineStr">
        <x:is>
          <x:t xml:space="preserve"/>
        </x:is>
      </x:c>
      <x:c r="E1577" s="604" t="inlineStr">
        <x:is>
          <x:t xml:space="preserve">湘超</x:t>
        </x:is>
      </x:c>
      <x:c r="F1577" s="604" t="inlineStr">
        <x:is>
          <x:t xml:space="preserve">长沙队 vs 株洲队</x:t>
        </x:is>
      </x:c>
      <x:c r="G1577" s="604" t="n"/>
      <x:c r="H1577" s="604" t="n"/>
      <x:c r="I1577" s="604" t="n"/>
      <x:c r="J1577" s="604" t="inlineStr">
        <x:is>
          <x:t xml:space="preserve">//</x:t>
        </x:is>
      </x:c>
      <x:c r="K1577" s="604" t="inlineStr">
        <x:is>
          <x:t xml:space="preserve">V4不可用：市场输入缺失</x:t>
        </x:is>
      </x:c>
      <x:c r="L1577" s="604" t="inlineStr">
        <x:is>
          <x:t xml:space="preserve"/>
        </x:is>
      </x:c>
      <x:c r="M1577" s="604" t="n"/>
      <x:c r="N1577" s="604" t="inlineStr">
        <x:is>
          <x:t xml:space="preserve">V4 Shadow Only；real_money=false</x:t>
        </x:is>
      </x:c>
      <x:c r="O1577" s="604" t="inlineStr">
        <x:is>
          <x:t xml:space="preserve">0-0</x:t>
        </x:is>
      </x:c>
      <x:c r="P1577" s="604" t="inlineStr">
        <x:is>
          <x:t xml:space="preserve">MISSING_DATA</x:t>
        </x:is>
      </x:c>
      <x:c r="Q1577" s="630" t="inlineStr">
        <x:is>
          <x:t xml:space="preserve"/>
        </x:is>
      </x:c>
      <x:c r="R1577" s="604" t="n"/>
      <x:c r="S1577" s="604" t="n"/>
      <x:c r="T1577" s="604" t="inlineStr">
        <x:is>
          <x:t xml:space="preserve">D:\codex\v3_legacy\outputs\football_odds_trader\raw\titan007\20261009\20261009_085232_titan007_odds_snapshot.csv</x:t>
        </x:is>
      </x:c>
      <x:c r="U1577" s="628" t="inlineStr">
        <x:is>
          <x:t xml:space="preserve"/>
        </x:is>
      </x:c>
      <x:c r="V1577" s="604" t="inlineStr">
        <x:is>
          <x:t xml:space="preserve"/>
        </x:is>
      </x:c>
      <x:c r="W1577" s="604" t="inlineStr">
        <x:is>
          <x:t xml:space="preserve"/>
        </x:is>
      </x:c>
      <x:c r="X1577" s="604" t="inlineStr">
        <x:is>
          <x:t xml:space="preserve">3045558</x:t>
        </x:is>
      </x:c>
      <x:c r="Y1577" s="604" t="inlineStr">
        <x:is>
          <x:t xml:space="preserve">V4</x:t>
        </x:is>
      </x:c>
      <x:c r="Z1577" s="604" t="inlineStr">
        <x:is>
          <x:t xml:space="preserve">prior-2026-10-09-v1</x:t>
        </x:is>
      </x:c>
      <x:c r="AA1577" s="604" t="inlineStr">
        <x:is>
          <x:t xml:space="preserve"/>
        </x:is>
      </x:c>
      <x:c r="AB1577" s="604" t="n"/>
      <x:c r="AC1577" s="604" t="n"/>
      <x:c r="AD1577" s="604" t="n"/>
      <x:c r="AE1577" s="604" t="n"/>
      <x:c r="AF1577" s="604" t="n"/>
      <x:c r="AG1577" s="604" t="n"/>
      <x:c r="AH1577" s="604" t="n"/>
      <x:c r="AI1577" s="604" t="n"/>
      <x:c r="AJ1577" s="604" t="n"/>
      <x:c r="AK1577" s="604" t="n"/>
      <x:c r="AL1577" s="604" t="n"/>
      <x:c r="AM1577" s="604" t="n"/>
      <x:c r="AN1577" s="604" t="inlineStr">
        <x:is>
          <x:t xml:space="preserve">MISSING_DATA</x:t>
        </x:is>
      </x:c>
      <x:c r="AO1577" s="604" t="inlineStr">
        <x:is>
          <x:t xml:space="preserve">REQUIRED_MARKET_INPUT_MISSING</x:t>
        </x:is>
      </x:c>
      <x:c r="AP1577" s="604" t="inlineStr">
        <x:is>
          <x:t xml:space="preserve">f97479128049685e2d46</x:t>
        </x:is>
      </x:c>
      <x:c r="AQ1577" s="604" t="n"/>
      <x:c r="AR1577" s="604" t="n"/>
      <x:c r="AS1577" s="604" t="n"/>
      <x:c r="AT1577" s="604" t="n"/>
      <x:c r="AU1577" s="604" t="n"/>
      <x:c r="AV1577" s="604" t="n"/>
      <x:c r="AW1577" s="604" t="inlineStr">
        <x:is>
          <x:t xml:space="preserve">2026-10-09T09:01:21.127001+08:00</x:t>
        </x:is>
      </x:c>
      <x:c r="AX1577" s="604" t="inlineStr">
        <x:is>
          <x:t xml:space="preserve">Titan007/V4</x:t>
        </x:is>
      </x:c>
      <x:c r="AY1577" s="604" t="inlineStr">
        <x:is>
          <x:t xml:space="preserve">Daily append；市场输入缺失时不生成决策</x:t>
        </x:is>
      </x:c>
    </x:row>
    <x:row r="1578" ht="22" customHeight="1">
      <x:c r="A1578" s="604" t="inlineStr">
        <x:is>
          <x:t xml:space="preserve">2026-10-09</x:t>
        </x:is>
      </x:c>
      <x:c r="B1578" s="604" t="inlineStr">
        <x:is>
          <x:t xml:space="preserve">2026-10-09T19:35:00+08:00</x:t>
        </x:is>
      </x:c>
      <x:c r="C1578" s="604" t="str">
        <x:v>其他系列</x:v>
      </x:c>
      <x:c r="D1578" s="604" t="inlineStr">
        <x:is>
          <x:t xml:space="preserve"/>
        </x:is>
      </x:c>
      <x:c r="E1578" s="604" t="inlineStr">
        <x:is>
          <x:t xml:space="preserve">湘超</x:t>
        </x:is>
      </x:c>
      <x:c r="F1578" s="604" t="inlineStr">
        <x:is>
          <x:t xml:space="preserve">怀化队 vs 常德队</x:t>
        </x:is>
      </x:c>
      <x:c r="G1578" s="604" t="n"/>
      <x:c r="H1578" s="604" t="n"/>
      <x:c r="I1578" s="604" t="n"/>
      <x:c r="J1578" s="604" t="inlineStr">
        <x:is>
          <x:t xml:space="preserve">//</x:t>
        </x:is>
      </x:c>
      <x:c r="K1578" s="604" t="inlineStr">
        <x:is>
          <x:t xml:space="preserve">V4不可用：市场输入缺失</x:t>
        </x:is>
      </x:c>
      <x:c r="L1578" s="604" t="inlineStr">
        <x:is>
          <x:t xml:space="preserve"/>
        </x:is>
      </x:c>
      <x:c r="M1578" s="604" t="n"/>
      <x:c r="N1578" s="604" t="inlineStr">
        <x:is>
          <x:t xml:space="preserve">V4 Shadow Only；real_money=false</x:t>
        </x:is>
      </x:c>
      <x:c r="O1578" s="604" t="inlineStr">
        <x:is>
          <x:t xml:space="preserve">0-0</x:t>
        </x:is>
      </x:c>
      <x:c r="P1578" s="604" t="inlineStr">
        <x:is>
          <x:t xml:space="preserve">MISSING_DATA</x:t>
        </x:is>
      </x:c>
      <x:c r="Q1578" s="630" t="inlineStr">
        <x:is>
          <x:t xml:space="preserve"/>
        </x:is>
      </x:c>
      <x:c r="R1578" s="604" t="n"/>
      <x:c r="S1578" s="604" t="n"/>
      <x:c r="T1578" s="604" t="inlineStr">
        <x:is>
          <x:t xml:space="preserve">D:\codex\v3_legacy\outputs\football_odds_trader\raw\titan007\20261009\20261009_085232_titan007_odds_snapshot.csv</x:t>
        </x:is>
      </x:c>
      <x:c r="U1578" s="628" t="inlineStr">
        <x:is>
          <x:t xml:space="preserve"/>
        </x:is>
      </x:c>
      <x:c r="V1578" s="604" t="inlineStr">
        <x:is>
          <x:t xml:space="preserve"/>
        </x:is>
      </x:c>
      <x:c r="W1578" s="604" t="inlineStr">
        <x:is>
          <x:t xml:space="preserve"/>
        </x:is>
      </x:c>
      <x:c r="X1578" s="604" t="inlineStr">
        <x:is>
          <x:t xml:space="preserve">3045559</x:t>
        </x:is>
      </x:c>
      <x:c r="Y1578" s="604" t="inlineStr">
        <x:is>
          <x:t xml:space="preserve">V4</x:t>
        </x:is>
      </x:c>
      <x:c r="Z1578" s="604" t="inlineStr">
        <x:is>
          <x:t xml:space="preserve">prior-2026-10-09-v1</x:t>
        </x:is>
      </x:c>
      <x:c r="AA1578" s="604" t="inlineStr">
        <x:is>
          <x:t xml:space="preserve"/>
        </x:is>
      </x:c>
      <x:c r="AB1578" s="604" t="n"/>
      <x:c r="AC1578" s="604" t="n"/>
      <x:c r="AD1578" s="604" t="n"/>
      <x:c r="AE1578" s="604" t="n"/>
      <x:c r="AF1578" s="604" t="n"/>
      <x:c r="AG1578" s="604" t="n"/>
      <x:c r="AH1578" s="604" t="n"/>
      <x:c r="AI1578" s="604" t="n"/>
      <x:c r="AJ1578" s="604" t="n"/>
      <x:c r="AK1578" s="604" t="n"/>
      <x:c r="AL1578" s="604" t="n"/>
      <x:c r="AM1578" s="604" t="n"/>
      <x:c r="AN1578" s="604" t="inlineStr">
        <x:is>
          <x:t xml:space="preserve">MISSING_DATA</x:t>
        </x:is>
      </x:c>
      <x:c r="AO1578" s="604" t="inlineStr">
        <x:is>
          <x:t xml:space="preserve">REQUIRED_MARKET_INPUT_MISSING</x:t>
        </x:is>
      </x:c>
      <x:c r="AP1578" s="604" t="inlineStr">
        <x:is>
          <x:t xml:space="preserve">4bb6ffb859b253dea9d1</x:t>
        </x:is>
      </x:c>
      <x:c r="AQ1578" s="604" t="n"/>
      <x:c r="AR1578" s="604" t="n"/>
      <x:c r="AS1578" s="604" t="n"/>
      <x:c r="AT1578" s="604" t="n"/>
      <x:c r="AU1578" s="604" t="n"/>
      <x:c r="AV1578" s="604" t="n"/>
      <x:c r="AW1578" s="604" t="inlineStr">
        <x:is>
          <x:t xml:space="preserve">2026-10-09T09:01:21.127001+08:00</x:t>
        </x:is>
      </x:c>
      <x:c r="AX1578" s="604" t="inlineStr">
        <x:is>
          <x:t xml:space="preserve">Titan007/V4</x:t>
        </x:is>
      </x:c>
      <x:c r="AY1578" s="604" t="inlineStr">
        <x:is>
          <x:t xml:space="preserve">Daily append；市场输入缺失时不生成决策</x:t>
        </x:is>
      </x:c>
    </x:row>
    <x:row r="1579" ht="22" customHeight="1">
      <x:c r="A1579" s="604" t="inlineStr">
        <x:is>
          <x:t xml:space="preserve">2026-10-09</x:t>
        </x:is>
      </x:c>
      <x:c r="B1579" s="604" t="inlineStr">
        <x:is>
          <x:t xml:space="preserve">2026-10-09T20:00:00+08:00</x:t>
        </x:is>
      </x:c>
      <x:c r="C1579" s="604" t="str">
        <x:v>其他系列</x:v>
      </x:c>
      <x:c r="D1579" s="604" t="inlineStr">
        <x:is>
          <x:t xml:space="preserve"/>
        </x:is>
      </x:c>
      <x:c r="E1579" s="604" t="inlineStr">
        <x:is>
          <x:t xml:space="preserve">泰甲</x:t>
        </x:is>
      </x:c>
      <x:c r="F1579" s="604" t="inlineStr">
        <x:is>
          <x:t xml:space="preserve">帕府联合 vs DP北碧</x:t>
        </x:is>
      </x:c>
      <x:c r="G1579" s="604" t="n">
        <x:v>1.04</x:v>
      </x:c>
      <x:c r="H1579" s="604" t="n">
        <x:v>0</x:v>
      </x:c>
      <x:c r="I1579" s="604" t="n">
        <x:v>0.66</x:v>
      </x:c>
      <x:c r="J1579" s="604" t="inlineStr">
        <x:is>
          <x:t xml:space="preserve">1.04/0.0/0.66</x:t>
        </x:is>
      </x:c>
      <x:c r="K1579" s="604" t="inlineStr">
        <x:is>
          <x:t xml:space="preserve">V4-N</x:t>
        </x:is>
      </x:c>
      <x:c r="L1579" s="604" t="inlineStr">
        <x:is>
          <x:t xml:space="preserve"/>
        </x:is>
      </x:c>
      <x:c r="M1579" s="604" t="n"/>
      <x:c r="N1579" s="604" t="inlineStr">
        <x:is>
          <x:t xml:space="preserve">V4 Shadow Only；real_money=false</x:t>
        </x:is>
      </x:c>
      <x:c r="O1579" s="604" t="inlineStr">
        <x:is>
          <x:t xml:space="preserve">0-0</x:t>
        </x:is>
      </x:c>
      <x:c r="P1579" s="604" t="inlineStr">
        <x:is>
          <x:t xml:space="preserve">NEUTRAL</x:t>
        </x:is>
      </x:c>
      <x:c r="Q1579" s="630" t="inlineStr">
        <x:is>
          <x:t xml:space="preserve"/>
        </x:is>
      </x:c>
      <x:c r="R1579" s="604" t="n"/>
      <x:c r="S1579" s="604" t="n"/>
      <x:c r="T1579" s="604" t="inlineStr">
        <x:is>
          <x:t xml:space="preserve">D:\codex\v3_legacy\outputs\football_odds_trader\raw\titan007\20261009\20261009_085232_titan007_odds_snapshot.csv</x:t>
        </x:is>
      </x:c>
      <x:c r="U1579" s="628" t="inlineStr">
        <x:is>
          <x:t xml:space="preserve"/>
        </x:is>
      </x:c>
      <x:c r="V1579" s="604" t="inlineStr">
        <x:is>
          <x:t xml:space="preserve"/>
        </x:is>
      </x:c>
      <x:c r="W1579" s="604" t="inlineStr">
        <x:is>
          <x:t xml:space="preserve"/>
        </x:is>
      </x:c>
      <x:c r="X1579" s="604" t="inlineStr">
        <x:is>
          <x:t xml:space="preserve">3047504</x:t>
        </x:is>
      </x:c>
      <x:c r="Y1579" s="604" t="inlineStr">
        <x:is>
          <x:t xml:space="preserve">V4</x:t>
        </x:is>
      </x:c>
      <x:c r="Z1579" s="604" t="inlineStr">
        <x:is>
          <x:t xml:space="preserve">prior-2026-10-09-v1</x:t>
        </x:is>
      </x:c>
      <x:c r="AA1579" s="604" t="inlineStr">
        <x:is>
          <x:t xml:space="preserve">N</x:t>
        </x:is>
      </x:c>
      <x:c r="AB1579" s="604" t="n"/>
      <x:c r="AC1579" s="604" t="n"/>
      <x:c r="AD1579" s="604" t="n"/>
      <x:c r="AE1579" s="604" t="n"/>
      <x:c r="AF1579" s="604" t="n"/>
      <x:c r="AG1579" s="604" t="n"/>
      <x:c r="AH1579" s="604" t="n"/>
      <x:c r="AI1579" s="604" t="n"/>
      <x:c r="AJ1579" s="604" t="n"/>
      <x:c r="AK1579" s="604" t="n"/>
      <x:c r="AL1579" s="604" t="n"/>
      <x:c r="AM1579" s="604" t="n"/>
      <x:c r="AN1579" s="604" t="inlineStr">
        <x:is>
          <x:t xml:space="preserve">NEUTRAL</x:t>
        </x:is>
      </x:c>
      <x:c r="AO1579" s="604" t="inlineStr">
        <x:is>
          <x:t xml:space="preserve">PK_NO_GIVING_RECEIVING_IDENTITY</x:t>
        </x:is>
      </x:c>
      <x:c r="AP1579" s="604" t="inlineStr">
        <x:is>
          <x:t xml:space="preserve">d0dba3b3553062fe2872</x:t>
        </x:is>
      </x:c>
      <x:c r="AQ1579" s="604" t="n"/>
      <x:c r="AR1579" s="604" t="n"/>
      <x:c r="AS1579" s="604" t="n"/>
      <x:c r="AT1579" s="604" t="n"/>
      <x:c r="AU1579" s="604" t="n"/>
      <x:c r="AV1579" s="604" t="n"/>
      <x:c r="AW1579" s="604" t="inlineStr">
        <x:is>
          <x:t xml:space="preserve">2026-10-09T09:01:21.127001+08:00</x:t>
        </x:is>
      </x:c>
      <x:c r="AX1579" s="604" t="inlineStr">
        <x:is>
          <x:t xml:space="preserve">Titan007/V4</x:t>
        </x:is>
      </x:c>
      <x:c r="AY1579" s="604" t="inlineStr">
        <x:is>
          <x:t xml:space="preserve">Daily append；市场输入缺失时不生成决策</x:t>
        </x:is>
      </x:c>
    </x:row>
    <x:row r="1580" ht="22" customHeight="1">
      <x:c r="A1580" s="604" t="inlineStr">
        <x:is>
          <x:t xml:space="preserve">2026-10-09</x:t>
        </x:is>
      </x:c>
      <x:c r="B1580" s="604" t="inlineStr">
        <x:is>
          <x:t xml:space="preserve">2026-10-09T20:00:00+08:00</x:t>
        </x:is>
      </x:c>
      <x:c r="C1580" s="604" t="str">
        <x:v>日韩系列</x:v>
      </x:c>
      <x:c r="D1580" s="604" t="inlineStr">
        <x:is>
          <x:t xml:space="preserve"/>
        </x:is>
      </x:c>
      <x:c r="E1580" s="604" t="inlineStr">
        <x:is>
          <x:t xml:space="preserve">香港超</x:t>
        </x:is>
      </x:c>
      <x:c r="F1580" s="604" t="inlineStr">
        <x:is>
          <x:t xml:space="preserve">东方体育会 vs 北区</x:t>
        </x:is>
      </x:c>
      <x:c r="G1580" s="604" t="n">
        <x:v>0.85</x:v>
      </x:c>
      <x:c r="H1580" s="604" t="n">
        <x:v>-1</x:v>
      </x:c>
      <x:c r="I1580" s="604" t="n">
        <x:v>0.85</x:v>
      </x:c>
      <x:c r="J1580" s="604" t="inlineStr">
        <x:is>
          <x:t xml:space="preserve">0.85/-1.0/0.85</x:t>
        </x:is>
      </x:c>
      <x:c r="K1580" s="604" t="inlineStr">
        <x:is>
          <x:t xml:space="preserve">V4-N</x:t>
        </x:is>
      </x:c>
      <x:c r="L1580" s="604" t="inlineStr">
        <x:is>
          <x:t xml:space="preserve"/>
        </x:is>
      </x:c>
      <x:c r="M1580" s="604" t="n">
        <x:v>0.04014776408145619</x:v>
      </x:c>
      <x:c r="N1580" s="604" t="inlineStr">
        <x:is>
          <x:t xml:space="preserve">V4 Shadow Only；real_money=false</x:t>
        </x:is>
      </x:c>
      <x:c r="O1580" s="604" t="inlineStr">
        <x:is>
          <x:t xml:space="preserve">0-0</x:t>
        </x:is>
      </x:c>
      <x:c r="P1580" s="604" t="inlineStr">
        <x:is>
          <x:t xml:space="preserve">EVALUATED</x:t>
        </x:is>
      </x:c>
      <x:c r="Q1580" s="630" t="inlineStr">
        <x:is>
          <x:t xml:space="preserve"/>
        </x:is>
      </x:c>
      <x:c r="R1580" s="604" t="n"/>
      <x:c r="S1580" s="604" t="n"/>
      <x:c r="T1580" s="604" t="inlineStr">
        <x:is>
          <x:t xml:space="preserve">D:\codex\v3_legacy\outputs\football_odds_trader\raw\titan007\20261009\20261009_085232_titan007_odds_snapshot.csv</x:t>
        </x:is>
      </x:c>
      <x:c r="U1580" s="628" t="inlineStr">
        <x:is>
          <x:t xml:space="preserve"/>
        </x:is>
      </x:c>
      <x:c r="V1580" s="604" t="inlineStr">
        <x:is>
          <x:t xml:space="preserve"/>
        </x:is>
      </x:c>
      <x:c r="W1580" s="604" t="inlineStr">
        <x:is>
          <x:t xml:space="preserve"/>
        </x:is>
      </x:c>
      <x:c r="X1580" s="604" t="inlineStr">
        <x:is>
          <x:t xml:space="preserve">3049324</x:t>
        </x:is>
      </x:c>
      <x:c r="Y1580" s="604" t="inlineStr">
        <x:is>
          <x:t xml:space="preserve">V4</x:t>
        </x:is>
      </x:c>
      <x:c r="Z1580" s="604" t="inlineStr">
        <x:is>
          <x:t xml:space="preserve">prior-2026-10-09-v1</x:t>
        </x:is>
      </x:c>
      <x:c r="AA1580" s="604" t="inlineStr">
        <x:is>
          <x:t xml:space="preserve">N</x:t>
        </x:is>
      </x:c>
      <x:c r="AB1580" s="604" t="n">
        <x:v>0.04014776408145619</x:v>
      </x:c>
      <x:c r="AC1580" s="604" t="n">
        <x:v>0.8583230084828208</x:v>
      </x:c>
      <x:c r="AD1580" s="604" t="n">
        <x:v>-1.25</x:v>
      </x:c>
      <x:c r="AE1580" s="604" t="n"/>
      <x:c r="AF1580" s="604" t="n"/>
      <x:c r="AG1580" s="604" t="n">
        <x:v>0.6894267931289415</x:v>
      </x:c>
      <x:c r="AH1580" s="604" t="n"/>
      <x:c r="AI1580" s="604" t="n"/>
      <x:c r="AJ1580" s="604" t="n">
        <x:v>0.6894267931289415</x:v>
      </x:c>
      <x:c r="AK1580" s="604" t="n"/>
      <x:c r="AL1580" s="604" t="n"/>
      <x:c r="AM1580" s="604" t="n"/>
      <x:c r="AN1580" s="604" t="inlineStr">
        <x:is>
          <x:t xml:space="preserve">EVALUATED</x:t>
        </x:is>
      </x:c>
      <x:c r="AO1580" s="604" t="inlineStr">
        <x:is>
          <x:t xml:space="preserve">LOW_QUALITY_GATE;BUCKET_PRIOR_ONLY;INTENT_INTERPRETATION_ONLY;FFL_OPTIONAL;EXPERT_MARKET</x:t>
        </x:is>
      </x:c>
      <x:c r="AP1580" s="604" t="inlineStr">
        <x:is>
          <x:t xml:space="preserve">4130dbff3140fd168ca4</x:t>
        </x:is>
      </x:c>
      <x:c r="AQ1580" s="604" t="n"/>
      <x:c r="AR1580" s="604" t="n"/>
      <x:c r="AS1580" s="604" t="n">
        <x:v>-1</x:v>
      </x:c>
      <x:c r="AT1580" s="604" t="n">
        <x:v>1</x:v>
      </x:c>
      <x:c r="AU1580" s="604" t="n">
        <x:v>0.85</x:v>
      </x:c>
      <x:c r="AV1580" s="604" t="n">
        <x:v>0.85</x:v>
      </x:c>
      <x:c r="AW1580" s="604" t="inlineStr">
        <x:is>
          <x:t xml:space="preserve">2026-10-09T09:01:21.127001+08:00</x:t>
        </x:is>
      </x:c>
      <x:c r="AX1580" s="604" t="inlineStr">
        <x:is>
          <x:t xml:space="preserve">Titan007/V4</x:t>
        </x:is>
      </x:c>
      <x:c r="AY1580" s="604" t="inlineStr">
        <x:is>
          <x:t xml:space="preserve">Daily append；市场输入缺失时不生成决策</x:t>
        </x:is>
      </x:c>
    </x:row>
    <x:row r="1581" ht="22" customHeight="1">
      <x:c r="A1581" s="604" t="inlineStr">
        <x:is>
          <x:t xml:space="preserve">2026-10-09</x:t>
        </x:is>
      </x:c>
      <x:c r="B1581" s="604" t="inlineStr">
        <x:is>
          <x:t xml:space="preserve">2026-10-10T02:30:00+08:00</x:t>
        </x:is>
      </x:c>
      <x:c r="C1581" s="604" t="str">
        <x:v>五大联赛非顶级联赛</x:v>
      </x:c>
      <x:c r="D1581" s="604" t="inlineStr">
        <x:is>
          <x:t xml:space="preserve"/>
        </x:is>
      </x:c>
      <x:c r="E1581" s="604" t="inlineStr">
        <x:is>
          <x:t xml:space="preserve">意丙</x:t>
        </x:is>
      </x:c>
      <x:c r="F1581" s="604" t="inlineStr">
        <x:is>
          <x:t xml:space="preserve">布雷西亚 vs 韦尔切利</x:t>
        </x:is>
      </x:c>
      <x:c r="G1581" s="604" t="n">
        <x:v>0.8100000000000001</x:v>
      </x:c>
      <x:c r="H1581" s="604" t="n">
        <x:v>1.25</x:v>
      </x:c>
      <x:c r="I1581" s="604" t="n">
        <x:v>0.89</x:v>
      </x:c>
      <x:c r="J1581" s="604" t="inlineStr">
        <x:is>
          <x:t xml:space="preserve">0.81/1.25/0.89</x:t>
        </x:is>
      </x:c>
      <x:c r="K1581" s="604" t="inlineStr">
        <x:is>
          <x:t xml:space="preserve">V4-B</x:t>
        </x:is>
      </x:c>
      <x:c r="L1581" s="604" t="inlineStr">
        <x:is>
          <x:t xml:space="preserve">布雷西亚</x:t>
        </x:is>
      </x:c>
      <x:c r="M1581" s="604" t="n">
        <x:v>0.5770428793393705</x:v>
      </x:c>
      <x:c r="N1581" s="604" t="inlineStr">
        <x:is>
          <x:t xml:space="preserve">V4 Shadow Only；real_money=false</x:t>
        </x:is>
      </x:c>
      <x:c r="O1581" s="604" t="inlineStr">
        <x:is>
          <x:t xml:space="preserve">0-0</x:t>
        </x:is>
      </x:c>
      <x:c r="P1581" s="604" t="inlineStr">
        <x:is>
          <x:t xml:space="preserve">EVALUATED</x:t>
        </x:is>
      </x:c>
      <x:c r="Q1581" s="630" t="inlineStr">
        <x:is>
          <x:t xml:space="preserve"/>
        </x:is>
      </x:c>
      <x:c r="R1581" s="604" t="n">
        <x:v>0.8100000000000001</x:v>
      </x:c>
      <x:c r="S1581" s="604" t="n"/>
      <x:c r="T1581" s="604" t="inlineStr">
        <x:is>
          <x:t xml:space="preserve">D:\codex\v3_legacy\outputs\football_odds_trader\raw\titan007\20261009\20261009_085232_titan007_odds_snapshot.csv</x:t>
        </x:is>
      </x:c>
      <x:c r="U1581" s="628" t="inlineStr">
        <x:is>
          <x:t xml:space="preserve"/>
        </x:is>
      </x:c>
      <x:c r="V1581" s="604" t="inlineStr">
        <x:is>
          <x:t xml:space="preserve"/>
        </x:is>
      </x:c>
      <x:c r="W1581" s="604" t="inlineStr">
        <x:is>
          <x:t xml:space="preserve"/>
        </x:is>
      </x:c>
      <x:c r="X1581" s="604" t="inlineStr">
        <x:is>
          <x:t xml:space="preserve">3050582</x:t>
        </x:is>
      </x:c>
      <x:c r="Y1581" s="604" t="inlineStr">
        <x:is>
          <x:t xml:space="preserve">V4</x:t>
        </x:is>
      </x:c>
      <x:c r="Z1581" s="604" t="inlineStr">
        <x:is>
          <x:t xml:space="preserve">prior-2026-10-09-v1</x:t>
        </x:is>
      </x:c>
      <x:c r="AA1581" s="604" t="inlineStr">
        <x:is>
          <x:t xml:space="preserve">B</x:t>
        </x:is>
      </x:c>
      <x:c r="AB1581" s="604" t="n">
        <x:v>0.5770428793393705</x:v>
      </x:c>
      <x:c r="AC1581" s="604" t="n">
        <x:v>0.304296740939566</x:v>
      </x:c>
      <x:c r="AD1581" s="604" t="n">
        <x:v>2</x:v>
      </x:c>
      <x:c r="AE1581" s="604" t="n"/>
      <x:c r="AF1581" s="604" t="n"/>
      <x:c r="AG1581" s="604" t="n">
        <x:v>0.1631079913253241</x:v>
      </x:c>
      <x:c r="AH1581" s="604" t="n"/>
      <x:c r="AI1581" s="604" t="n"/>
      <x:c r="AJ1581" s="604" t="n">
        <x:v>0.1631079913253241</x:v>
      </x:c>
      <x:c r="AK1581" s="604" t="n"/>
      <x:c r="AL1581" s="604" t="n"/>
      <x:c r="AM1581" s="604" t="n"/>
      <x:c r="AN1581" s="604" t="inlineStr">
        <x:is>
          <x:t xml:space="preserve">EVALUATED</x:t>
        </x:is>
      </x:c>
      <x:c r="AO1581" s="604" t="inlineStr">
        <x:is>
          <x:t xml:space="preserve">GIVING_VALIDATED_EDGE;BUCKET_PRIOR_ONLY;INTENT_INTERPRETATION_ONLY;FFL_OPTIONAL;EXPERT_MARKET</x:t>
        </x:is>
      </x:c>
      <x:c r="AP1581" s="604" t="inlineStr">
        <x:is>
          <x:t xml:space="preserve">c424fe1e254e09c82cb1</x:t>
        </x:is>
      </x:c>
      <x:c r="AQ1581" s="604" t="n">
        <x:v>-1.25</x:v>
      </x:c>
      <x:c r="AR1581" s="604" t="n">
        <x:v>0.8100000000000001</x:v>
      </x:c>
      <x:c r="AS1581" s="604" t="n">
        <x:v>1.25</x:v>
      </x:c>
      <x:c r="AT1581" s="604" t="n">
        <x:v>-1.25</x:v>
      </x:c>
      <x:c r="AU1581" s="604" t="n">
        <x:v>0.8100000000000001</x:v>
      </x:c>
      <x:c r="AV1581" s="604" t="n">
        <x:v>0.89</x:v>
      </x:c>
      <x:c r="AW1581" s="604" t="inlineStr">
        <x:is>
          <x:t xml:space="preserve">2026-10-09T09:01:21.127001+08:00</x:t>
        </x:is>
      </x:c>
      <x:c r="AX1581" s="604" t="inlineStr">
        <x:is>
          <x:t xml:space="preserve">Titan007/V4</x:t>
        </x:is>
      </x:c>
      <x:c r="AY1581" s="604" t="inlineStr">
        <x:is>
          <x:t xml:space="preserve">Daily append；市场输入缺失时不生成决策</x:t>
        </x:is>
      </x:c>
    </x:row>
    <x:row r="1582" ht="22" customHeight="1">
      <x:c r="A1582" s="604" t="inlineStr">
        <x:is>
          <x:t xml:space="preserve">2026-10-09</x:t>
        </x:is>
      </x:c>
      <x:c r="B1582" s="604" t="inlineStr">
        <x:is>
          <x:t xml:space="preserve">2026-10-10T01:30:00+08:00</x:t>
        </x:is>
      </x:c>
      <x:c r="C1582" s="604" t="str">
        <x:v>欧洲非五大系列</x:v>
      </x:c>
      <x:c r="D1582" s="604" t="inlineStr">
        <x:is>
          <x:t xml:space="preserve"/>
        </x:is>
      </x:c>
      <x:c r="E1582" s="604" t="inlineStr">
        <x:is>
          <x:t xml:space="preserve">瑞士丙</x:t>
        </x:is>
      </x:c>
      <x:c r="F1582" s="604" t="inlineStr">
        <x:is>
          <x:t xml:space="preserve">邦施泰滕 vs 温特图尔U21</x:t>
        </x:is>
      </x:c>
      <x:c r="G1582" s="604" t="n">
        <x:v>0.93</x:v>
      </x:c>
      <x:c r="H1582" s="604" t="n">
        <x:v>0.25</x:v>
      </x:c>
      <x:c r="I1582" s="604" t="n">
        <x:v>0.88</x:v>
      </x:c>
      <x:c r="J1582" s="604" t="inlineStr">
        <x:is>
          <x:t xml:space="preserve">0.93/0.25/0.88</x:t>
        </x:is>
      </x:c>
      <x:c r="K1582" s="604" t="inlineStr">
        <x:is>
          <x:t xml:space="preserve">V4-N</x:t>
        </x:is>
      </x:c>
      <x:c r="L1582" s="604" t="inlineStr">
        <x:is>
          <x:t xml:space="preserve"/>
        </x:is>
      </x:c>
      <x:c r="M1582" s="604" t="n">
        <x:v>0.4393205379103403</x:v>
      </x:c>
      <x:c r="N1582" s="604" t="inlineStr">
        <x:is>
          <x:t xml:space="preserve">V4 Shadow Only；real_money=false</x:t>
        </x:is>
      </x:c>
      <x:c r="O1582" s="604" t="inlineStr">
        <x:is>
          <x:t xml:space="preserve">0-0</x:t>
        </x:is>
      </x:c>
      <x:c r="P1582" s="604" t="inlineStr">
        <x:is>
          <x:t xml:space="preserve">EVALUATED</x:t>
        </x:is>
      </x:c>
      <x:c r="Q1582" s="630" t="inlineStr">
        <x:is>
          <x:t xml:space="preserve"/>
        </x:is>
      </x:c>
      <x:c r="R1582" s="604" t="n"/>
      <x:c r="S1582" s="604" t="n"/>
      <x:c r="T1582" s="604" t="inlineStr">
        <x:is>
          <x:t xml:space="preserve">D:\codex\v3_legacy\outputs\football_odds_trader\raw\titan007\20261009\20261009_085232_titan007_odds_snapshot.csv</x:t>
        </x:is>
      </x:c>
      <x:c r="U1582" s="628" t="inlineStr">
        <x:is>
          <x:t xml:space="preserve"/>
        </x:is>
      </x:c>
      <x:c r="V1582" s="604" t="inlineStr">
        <x:is>
          <x:t xml:space="preserve"/>
        </x:is>
      </x:c>
      <x:c r="W1582" s="604" t="inlineStr">
        <x:is>
          <x:t xml:space="preserve"/>
        </x:is>
      </x:c>
      <x:c r="X1582" s="604" t="inlineStr">
        <x:is>
          <x:t xml:space="preserve">3053697</x:t>
        </x:is>
      </x:c>
      <x:c r="Y1582" s="604" t="inlineStr">
        <x:is>
          <x:t xml:space="preserve">V4</x:t>
        </x:is>
      </x:c>
      <x:c r="Z1582" s="604" t="inlineStr">
        <x:is>
          <x:t xml:space="preserve">prior-2026-10-09-v1</x:t>
        </x:is>
      </x:c>
      <x:c r="AA1582" s="604" t="inlineStr">
        <x:is>
          <x:t xml:space="preserve">N</x:t>
        </x:is>
      </x:c>
      <x:c r="AB1582" s="604" t="n">
        <x:v>0.4393205379103403</x:v>
      </x:c>
      <x:c r="AC1582" s="604" t="n">
        <x:v>0.4307913735969062</x:v>
      </x:c>
      <x:c r="AD1582" s="604" t="n">
        <x:v>0.25</x:v>
      </x:c>
      <x:c r="AE1582" s="604" t="n"/>
      <x:c r="AF1582" s="604" t="n"/>
      <x:c r="AG1582" s="604" t="n">
        <x:v>-0.02222327334028978</x:v>
      </x:c>
      <x:c r="AH1582" s="604" t="n"/>
      <x:c r="AI1582" s="604" t="n"/>
      <x:c r="AJ1582" s="604" t="n">
        <x:v>-0.02222327334028978</x:v>
      </x:c>
      <x:c r="AK1582" s="604" t="n"/>
      <x:c r="AL1582" s="604" t="n"/>
      <x:c r="AM1582" s="604" t="n"/>
      <x:c r="AN1582" s="604" t="inlineStr">
        <x:is>
          <x:t xml:space="preserve">EVALUATED</x:t>
        </x:is>
      </x:c>
      <x:c r="AO1582" s="604" t="inlineStr">
        <x:is>
          <x:t xml:space="preserve">EDGE_BELOW_UNCERTAINTY_THRESHOLD;BUCKET_PRIOR_ONLY;INTENT_INTERPRETATION_ONLY;FFL_OPTIONAL;EXPERT_MARKET</x:t>
        </x:is>
      </x:c>
      <x:c r="AP1582" s="604" t="inlineStr">
        <x:is>
          <x:t xml:space="preserve">4a7a0106ad408f382f98</x:t>
        </x:is>
      </x:c>
      <x:c r="AQ1582" s="604" t="n"/>
      <x:c r="AR1582" s="604" t="n"/>
      <x:c r="AS1582" s="604" t="n">
        <x:v>0.25</x:v>
      </x:c>
      <x:c r="AT1582" s="604" t="n">
        <x:v>-0.25</x:v>
      </x:c>
      <x:c r="AU1582" s="604" t="n">
        <x:v>0.93</x:v>
      </x:c>
      <x:c r="AV1582" s="604" t="n">
        <x:v>0.88</x:v>
      </x:c>
      <x:c r="AW1582" s="604" t="inlineStr">
        <x:is>
          <x:t xml:space="preserve">2026-10-09T09:01:21.127001+08:00</x:t>
        </x:is>
      </x:c>
      <x:c r="AX1582" s="604" t="inlineStr">
        <x:is>
          <x:t xml:space="preserve">Titan007/V4</x:t>
        </x:is>
      </x:c>
      <x:c r="AY1582" s="604" t="inlineStr">
        <x:is>
          <x:t xml:space="preserve">Daily append；市场输入缺失时不生成决策</x:t>
        </x:is>
      </x:c>
    </x:row>
    <x:row r="1583" ht="22" customHeight="1">
      <x:c r="A1583" s="604" t="inlineStr">
        <x:is>
          <x:t xml:space="preserve">2026-10-09</x:t>
        </x:is>
      </x:c>
      <x:c r="B1583" s="604" t="inlineStr">
        <x:is>
          <x:t xml:space="preserve">2026-10-09T18:00:00+08:00</x:t>
        </x:is>
      </x:c>
      <x:c r="C1583" s="604" t="str">
        <x:v>欧洲非五大系列</x:v>
      </x:c>
      <x:c r="D1583" s="604" t="inlineStr">
        <x:is>
          <x:t xml:space="preserve"/>
        </x:is>
      </x:c>
      <x:c r="E1583" s="604" t="inlineStr">
        <x:is>
          <x:t xml:space="preserve">葡U23</x:t>
        </x:is>
      </x:c>
      <x:c r="F1583" s="604" t="inlineStr">
        <x:is>
          <x:t xml:space="preserve">埃斯托里尔U23 vs 葡萄牙体育U23</x:t>
        </x:is>
      </x:c>
      <x:c r="G1583" s="604" t="n">
        <x:v>0.78</x:v>
      </x:c>
      <x:c r="H1583" s="604" t="n">
        <x:v>0</x:v>
      </x:c>
      <x:c r="I1583" s="604" t="n">
        <x:v>0.98</x:v>
      </x:c>
      <x:c r="J1583" s="604" t="inlineStr">
        <x:is>
          <x:t xml:space="preserve">0.78/0.0/0.98</x:t>
        </x:is>
      </x:c>
      <x:c r="K1583" s="604" t="inlineStr">
        <x:is>
          <x:t xml:space="preserve">V4-N</x:t>
        </x:is>
      </x:c>
      <x:c r="L1583" s="604" t="inlineStr">
        <x:is>
          <x:t xml:space="preserve"/>
        </x:is>
      </x:c>
      <x:c r="M1583" s="604" t="n"/>
      <x:c r="N1583" s="604" t="inlineStr">
        <x:is>
          <x:t xml:space="preserve">V4 Shadow Only；real_money=false</x:t>
        </x:is>
      </x:c>
      <x:c r="O1583" s="604" t="inlineStr">
        <x:is>
          <x:t xml:space="preserve">0-0</x:t>
        </x:is>
      </x:c>
      <x:c r="P1583" s="604" t="inlineStr">
        <x:is>
          <x:t xml:space="preserve">NEUTRAL</x:t>
        </x:is>
      </x:c>
      <x:c r="Q1583" s="630" t="inlineStr">
        <x:is>
          <x:t xml:space="preserve"/>
        </x:is>
      </x:c>
      <x:c r="R1583" s="604" t="n"/>
      <x:c r="S1583" s="604" t="n"/>
      <x:c r="T1583" s="604" t="inlineStr">
        <x:is>
          <x:t xml:space="preserve">D:\codex\v3_legacy\outputs\football_odds_trader\raw\titan007\20261009\20261009_085232_titan007_odds_snapshot.csv</x:t>
        </x:is>
      </x:c>
      <x:c r="U1583" s="628" t="inlineStr">
        <x:is>
          <x:t xml:space="preserve"/>
        </x:is>
      </x:c>
      <x:c r="V1583" s="604" t="inlineStr">
        <x:is>
          <x:t xml:space="preserve"/>
        </x:is>
      </x:c>
      <x:c r="W1583" s="604" t="inlineStr">
        <x:is>
          <x:t xml:space="preserve"/>
        </x:is>
      </x:c>
      <x:c r="X1583" s="604" t="inlineStr">
        <x:is>
          <x:t xml:space="preserve">3056303</x:t>
        </x:is>
      </x:c>
      <x:c r="Y1583" s="604" t="inlineStr">
        <x:is>
          <x:t xml:space="preserve">V4</x:t>
        </x:is>
      </x:c>
      <x:c r="Z1583" s="604" t="inlineStr">
        <x:is>
          <x:t xml:space="preserve">prior-2026-10-09-v1</x:t>
        </x:is>
      </x:c>
      <x:c r="AA1583" s="604" t="inlineStr">
        <x:is>
          <x:t xml:space="preserve">N</x:t>
        </x:is>
      </x:c>
      <x:c r="AB1583" s="604" t="n"/>
      <x:c r="AC1583" s="604" t="n"/>
      <x:c r="AD1583" s="604" t="n"/>
      <x:c r="AE1583" s="604" t="n"/>
      <x:c r="AF1583" s="604" t="n"/>
      <x:c r="AG1583" s="604" t="n"/>
      <x:c r="AH1583" s="604" t="n"/>
      <x:c r="AI1583" s="604" t="n"/>
      <x:c r="AJ1583" s="604" t="n"/>
      <x:c r="AK1583" s="604" t="n"/>
      <x:c r="AL1583" s="604" t="n"/>
      <x:c r="AM1583" s="604" t="n"/>
      <x:c r="AN1583" s="604" t="inlineStr">
        <x:is>
          <x:t xml:space="preserve">NEUTRAL</x:t>
        </x:is>
      </x:c>
      <x:c r="AO1583" s="604" t="inlineStr">
        <x:is>
          <x:t xml:space="preserve">PK_NO_GIVING_RECEIVING_IDENTITY</x:t>
        </x:is>
      </x:c>
      <x:c r="AP1583" s="604" t="inlineStr">
        <x:is>
          <x:t xml:space="preserve">cfd09fece7bd42b0c62a</x:t>
        </x:is>
      </x:c>
      <x:c r="AQ1583" s="604" t="n"/>
      <x:c r="AR1583" s="604" t="n"/>
      <x:c r="AS1583" s="604" t="n"/>
      <x:c r="AT1583" s="604" t="n"/>
      <x:c r="AU1583" s="604" t="n"/>
      <x:c r="AV1583" s="604" t="n"/>
      <x:c r="AW1583" s="604" t="inlineStr">
        <x:is>
          <x:t xml:space="preserve">2026-10-09T09:01:21.127001+08:00</x:t>
        </x:is>
      </x:c>
      <x:c r="AX1583" s="604" t="inlineStr">
        <x:is>
          <x:t xml:space="preserve">Titan007/V4</x:t>
        </x:is>
      </x:c>
      <x:c r="AY1583" s="604" t="inlineStr">
        <x:is>
          <x:t xml:space="preserve">Daily append；市场输入缺失时不生成决策</x:t>
        </x:is>
      </x:c>
    </x:row>
    <x:row r="1584" ht="22" customHeight="1">
      <x:c r="A1584" s="604" t="inlineStr">
        <x:is>
          <x:t xml:space="preserve">2026-10-09</x:t>
        </x:is>
      </x:c>
      <x:c r="B1584" s="604" t="inlineStr">
        <x:is>
          <x:t xml:space="preserve">2026-10-10T00:45:00+08:00</x:t>
        </x:is>
      </x:c>
      <x:c r="C1584" s="604" t="str">
        <x:v>其他系列</x:v>
      </x:c>
      <x:c r="D1584" s="604" t="inlineStr">
        <x:is>
          <x:t xml:space="preserve"/>
        </x:is>
      </x:c>
      <x:c r="E1584" s="604" t="inlineStr">
        <x:is>
          <x:t xml:space="preserve">阿尔甲</x:t>
        </x:is>
      </x:c>
      <x:c r="F1584" s="604" t="inlineStr">
        <x:is>
          <x:t xml:space="preserve">卡比利亚 vs 克莱夫</x:t>
        </x:is>
      </x:c>
      <x:c r="G1584" s="604" t="n">
        <x:v>0.71</x:v>
      </x:c>
      <x:c r="H1584" s="604" t="n">
        <x:v>1</x:v>
      </x:c>
      <x:c r="I1584" s="604" t="n">
        <x:v>0.99</x:v>
      </x:c>
      <x:c r="J1584" s="604" t="inlineStr">
        <x:is>
          <x:t xml:space="preserve">0.71/1.0/0.99</x:t>
        </x:is>
      </x:c>
      <x:c r="K1584" s="604" t="inlineStr">
        <x:is>
          <x:t xml:space="preserve">V4-A</x:t>
        </x:is>
      </x:c>
      <x:c r="L1584" s="604" t="inlineStr">
        <x:is>
          <x:t xml:space="preserve">卡比利亚</x:t>
        </x:is>
      </x:c>
      <x:c r="M1584" s="604" t="n">
        <x:v>0.5711552193283149</x:v>
      </x:c>
      <x:c r="N1584" s="604" t="inlineStr">
        <x:is>
          <x:t xml:space="preserve">V4 Shadow Only；real_money=false</x:t>
        </x:is>
      </x:c>
      <x:c r="O1584" s="604" t="inlineStr">
        <x:is>
          <x:t xml:space="preserve">0-0</x:t>
        </x:is>
      </x:c>
      <x:c r="P1584" s="604" t="inlineStr">
        <x:is>
          <x:t xml:space="preserve">EVALUATED</x:t>
        </x:is>
      </x:c>
      <x:c r="Q1584" s="630" t="inlineStr">
        <x:is>
          <x:t xml:space="preserve"/>
        </x:is>
      </x:c>
      <x:c r="R1584" s="604" t="n">
        <x:v>0.71</x:v>
      </x:c>
      <x:c r="S1584" s="604" t="n"/>
      <x:c r="T1584" s="604" t="inlineStr">
        <x:is>
          <x:t xml:space="preserve">D:\codex\v3_legacy\outputs\football_odds_trader\raw\titan007\20261009\20261009_085232_titan007_odds_snapshot.csv</x:t>
        </x:is>
      </x:c>
      <x:c r="U1584" s="628" t="inlineStr">
        <x:is>
          <x:t xml:space="preserve"/>
        </x:is>
      </x:c>
      <x:c r="V1584" s="604" t="inlineStr">
        <x:is>
          <x:t xml:space="preserve"/>
        </x:is>
      </x:c>
      <x:c r="W1584" s="604" t="inlineStr">
        <x:is>
          <x:t xml:space="preserve"/>
        </x:is>
      </x:c>
      <x:c r="X1584" s="604" t="inlineStr">
        <x:is>
          <x:t xml:space="preserve">3056761</x:t>
        </x:is>
      </x:c>
      <x:c r="Y1584" s="604" t="inlineStr">
        <x:is>
          <x:t xml:space="preserve">V4</x:t>
        </x:is>
      </x:c>
      <x:c r="Z1584" s="604" t="inlineStr">
        <x:is>
          <x:t xml:space="preserve">prior-2026-10-09-v1</x:t>
        </x:is>
      </x:c>
      <x:c r="AA1584" s="604" t="inlineStr">
        <x:is>
          <x:t xml:space="preserve">A</x:t>
        </x:is>
      </x:c>
      <x:c r="AB1584" s="604" t="n">
        <x:v>0.5711552193283149</x:v>
      </x:c>
      <x:c r="AC1584" s="604" t="n">
        <x:v>0.1884564381617952</x:v>
      </x:c>
      <x:c r="AD1584" s="604" t="n">
        <x:v>2</x:v>
      </x:c>
      <x:c r="AE1584" s="604" t="n"/>
      <x:c r="AF1584" s="604" t="n"/>
      <x:c r="AG1584" s="604" t="n">
        <x:v>0.2170637675613084</x:v>
      </x:c>
      <x:c r="AH1584" s="604" t="n"/>
      <x:c r="AI1584" s="604" t="n"/>
      <x:c r="AJ1584" s="604" t="n">
        <x:v>0.2170637675613084</x:v>
      </x:c>
      <x:c r="AK1584" s="604" t="n"/>
      <x:c r="AL1584" s="604" t="n"/>
      <x:c r="AM1584" s="604" t="n"/>
      <x:c r="AN1584" s="604" t="inlineStr">
        <x:is>
          <x:t xml:space="preserve">EVALUATED</x:t>
        </x:is>
      </x:c>
      <x:c r="AO1584" s="604" t="inlineStr">
        <x:is>
          <x:t xml:space="preserve">GIVING_VALIDATED_EDGE;BUCKET_PRIOR_ONLY;INTENT_INTERPRETATION_ONLY;FFL_OPTIONAL;EXPERT_MARKET</x:t>
        </x:is>
      </x:c>
      <x:c r="AP1584" s="604" t="inlineStr">
        <x:is>
          <x:t xml:space="preserve">09a99bb311abd30e0628</x:t>
        </x:is>
      </x:c>
      <x:c r="AQ1584" s="604" t="n">
        <x:v>-1</x:v>
      </x:c>
      <x:c r="AR1584" s="604" t="n">
        <x:v>0.71</x:v>
      </x:c>
      <x:c r="AS1584" s="604" t="n">
        <x:v>1</x:v>
      </x:c>
      <x:c r="AT1584" s="604" t="n">
        <x:v>-1</x:v>
      </x:c>
      <x:c r="AU1584" s="604" t="n">
        <x:v>0.71</x:v>
      </x:c>
      <x:c r="AV1584" s="604" t="n">
        <x:v>0.99</x:v>
      </x:c>
      <x:c r="AW1584" s="604" t="inlineStr">
        <x:is>
          <x:t xml:space="preserve">2026-10-09T09:01:21.127001+08:00</x:t>
        </x:is>
      </x:c>
      <x:c r="AX1584" s="604" t="inlineStr">
        <x:is>
          <x:t xml:space="preserve">Titan007/V4</x:t>
        </x:is>
      </x:c>
      <x:c r="AY1584" s="604" t="inlineStr">
        <x:is>
          <x:t xml:space="preserve">Daily append；市场输入缺失时不生成决策</x:t>
        </x:is>
      </x:c>
    </x:row>
    <x:row r="1585" ht="22" customHeight="1">
      <x:c r="A1585" s="604" t="inlineStr">
        <x:is>
          <x:t xml:space="preserve">2026-10-09</x:t>
        </x:is>
      </x:c>
      <x:c r="B1585" s="604" t="inlineStr">
        <x:is>
          <x:t xml:space="preserve">2026-10-10T03:00:00+08:00</x:t>
        </x:is>
      </x:c>
      <x:c r="C1585" s="604" t="str">
        <x:v>其他系列</x:v>
      </x:c>
      <x:c r="D1585" s="604" t="inlineStr">
        <x:is>
          <x:t xml:space="preserve"/>
        </x:is>
      </x:c>
      <x:c r="E1585" s="604" t="inlineStr">
        <x:is>
          <x:t xml:space="preserve">阿尔甲</x:t>
        </x:is>
      </x:c>
      <x:c r="F1585" s="604" t="inlineStr">
        <x:is>
          <x:t xml:space="preserve">MC阿尔及尔 vs 谭茅芩特</x:t>
        </x:is>
      </x:c>
      <x:c r="G1585" s="604" t="n">
        <x:v>0.84</x:v>
      </x:c>
      <x:c r="H1585" s="604" t="n">
        <x:v>1.75</x:v>
      </x:c>
      <x:c r="I1585" s="604" t="n">
        <x:v>0.86</x:v>
      </x:c>
      <x:c r="J1585" s="604" t="inlineStr">
        <x:is>
          <x:t xml:space="preserve">0.84/1.75/0.86</x:t>
        </x:is>
      </x:c>
      <x:c r="K1585" s="604" t="inlineStr">
        <x:is>
          <x:t xml:space="preserve">V4-A</x:t>
        </x:is>
      </x:c>
      <x:c r="L1585" s="604" t="inlineStr">
        <x:is>
          <x:t xml:space="preserve">MC阿尔及尔</x:t>
        </x:is>
      </x:c>
      <x:c r="M1585" s="604" t="n">
        <x:v>0.6458131788147143</x:v>
      </x:c>
      <x:c r="N1585" s="604" t="inlineStr">
        <x:is>
          <x:t xml:space="preserve">V4 Shadow Only；real_money=false</x:t>
        </x:is>
      </x:c>
      <x:c r="O1585" s="604" t="inlineStr">
        <x:is>
          <x:t xml:space="preserve">0-0</x:t>
        </x:is>
      </x:c>
      <x:c r="P1585" s="604" t="inlineStr">
        <x:is>
          <x:t xml:space="preserve">EVALUATED</x:t>
        </x:is>
      </x:c>
      <x:c r="Q1585" s="630" t="inlineStr">
        <x:is>
          <x:t xml:space="preserve"/>
        </x:is>
      </x:c>
      <x:c r="R1585" s="604" t="n">
        <x:v>0.84</x:v>
      </x:c>
      <x:c r="S1585" s="604" t="n"/>
      <x:c r="T1585" s="604" t="inlineStr">
        <x:is>
          <x:t xml:space="preserve">D:\codex\v3_legacy\outputs\football_odds_trader\raw\titan007\20261009\20261009_085232_titan007_odds_snapshot.csv</x:t>
        </x:is>
      </x:c>
      <x:c r="U1585" s="628" t="inlineStr">
        <x:is>
          <x:t xml:space="preserve"/>
        </x:is>
      </x:c>
      <x:c r="V1585" s="604" t="inlineStr">
        <x:is>
          <x:t xml:space="preserve"/>
        </x:is>
      </x:c>
      <x:c r="W1585" s="604" t="inlineStr">
        <x:is>
          <x:t xml:space="preserve"/>
        </x:is>
      </x:c>
      <x:c r="X1585" s="604" t="inlineStr">
        <x:is>
          <x:t xml:space="preserve">3056762</x:t>
        </x:is>
      </x:c>
      <x:c r="Y1585" s="604" t="inlineStr">
        <x:is>
          <x:t xml:space="preserve">V4</x:t>
        </x:is>
      </x:c>
      <x:c r="Z1585" s="604" t="inlineStr">
        <x:is>
          <x:t xml:space="preserve">prior-2026-10-09-v1</x:t>
        </x:is>
      </x:c>
      <x:c r="AA1585" s="604" t="inlineStr">
        <x:is>
          <x:t xml:space="preserve">A</x:t>
        </x:is>
      </x:c>
      <x:c r="AB1585" s="604" t="n">
        <x:v>0.6458131788147143</x:v>
      </x:c>
      <x:c r="AC1585" s="604" t="n">
        <x:v>0.2378980986283029</x:v>
      </x:c>
      <x:c r="AD1585" s="604" t="n">
        <x:v>3</x:v>
      </x:c>
      <x:c r="AE1585" s="604" t="n"/>
      <x:c r="AF1585" s="604" t="n"/>
      <x:c r="AG1585" s="604" t="n">
        <x:v>0.3045849715760571</x:v>
      </x:c>
      <x:c r="AH1585" s="604" t="n"/>
      <x:c r="AI1585" s="604" t="n"/>
      <x:c r="AJ1585" s="604" t="n">
        <x:v>0.3045849715760571</x:v>
      </x:c>
      <x:c r="AK1585" s="604" t="n"/>
      <x:c r="AL1585" s="604" t="n"/>
      <x:c r="AM1585" s="604" t="n"/>
      <x:c r="AN1585" s="604" t="inlineStr">
        <x:is>
          <x:t xml:space="preserve">EVALUATED</x:t>
        </x:is>
      </x:c>
      <x:c r="AO1585" s="604" t="inlineStr">
        <x:is>
          <x:t xml:space="preserve">GIVING_VALIDATED_EDGE;BUCKET_PRIOR_ONLY;INTENT_INTERPRETATION_ONLY;FFL_OPTIONAL;EXPERT_MARKET</x:t>
        </x:is>
      </x:c>
      <x:c r="AP1585" s="604" t="inlineStr">
        <x:is>
          <x:t xml:space="preserve">accbc47905bc302002c4</x:t>
        </x:is>
      </x:c>
      <x:c r="AQ1585" s="604" t="n">
        <x:v>-1.75</x:v>
      </x:c>
      <x:c r="AR1585" s="604" t="n">
        <x:v>0.84</x:v>
      </x:c>
      <x:c r="AS1585" s="604" t="n">
        <x:v>1.75</x:v>
      </x:c>
      <x:c r="AT1585" s="604" t="n">
        <x:v>-1.75</x:v>
      </x:c>
      <x:c r="AU1585" s="604" t="n">
        <x:v>0.84</x:v>
      </x:c>
      <x:c r="AV1585" s="604" t="n">
        <x:v>0.86</x:v>
      </x:c>
      <x:c r="AW1585" s="604" t="inlineStr">
        <x:is>
          <x:t xml:space="preserve">2026-10-09T09:01:21.127001+08:00</x:t>
        </x:is>
      </x:c>
      <x:c r="AX1585" s="604" t="inlineStr">
        <x:is>
          <x:t xml:space="preserve">Titan007/V4</x:t>
        </x:is>
      </x:c>
      <x:c r="AY1585" s="604" t="inlineStr">
        <x:is>
          <x:t xml:space="preserve">Daily append；市场输入缺失时不生成决策</x:t>
        </x:is>
      </x:c>
    </x:row>
    <x:row r="1586" ht="22" customHeight="1">
      <x:c r="A1586" s="604" t="inlineStr">
        <x:is>
          <x:t xml:space="preserve">2026-10-09</x:t>
        </x:is>
      </x:c>
      <x:c r="B1586" s="604" t="inlineStr">
        <x:is>
          <x:t xml:space="preserve">2026-10-09T23:30:00+08:00</x:t>
        </x:is>
      </x:c>
      <x:c r="C1586" s="604" t="str">
        <x:v>欧洲非五大系列</x:v>
      </x:c>
      <x:c r="D1586" s="604" t="inlineStr">
        <x:is>
          <x:t xml:space="preserve"/>
        </x:is>
      </x:c>
      <x:c r="E1586" s="604" t="inlineStr">
        <x:is>
          <x:t xml:space="preserve">丹麦U19</x:t>
        </x:is>
      </x:c>
      <x:c r="F1586" s="604" t="inlineStr">
        <x:is>
          <x:t xml:space="preserve">艾斯堡U19 vs 瓦埃勒U19</x:t>
        </x:is>
      </x:c>
      <x:c r="G1586" s="604" t="n">
        <x:v>1.26</x:v>
      </x:c>
      <x:c r="H1586" s="604" t="n">
        <x:v>-1.5</x:v>
      </x:c>
      <x:c r="I1586" s="604" t="n">
        <x:v>0.54</x:v>
      </x:c>
      <x:c r="J1586" s="604" t="inlineStr">
        <x:is>
          <x:t xml:space="preserve">1.26/-1.5/0.54</x:t>
        </x:is>
      </x:c>
      <x:c r="K1586" s="604" t="inlineStr">
        <x:is>
          <x:t xml:space="preserve">V4-N</x:t>
        </x:is>
      </x:c>
      <x:c r="L1586" s="604" t="inlineStr">
        <x:is>
          <x:t xml:space="preserve"/>
        </x:is>
      </x:c>
      <x:c r="M1586" s="604" t="n">
        <x:v>0.0002219384496125342</x:v>
      </x:c>
      <x:c r="N1586" s="604" t="inlineStr">
        <x:is>
          <x:t xml:space="preserve">V4 Shadow Only；real_money=false</x:t>
        </x:is>
      </x:c>
      <x:c r="O1586" s="604" t="inlineStr">
        <x:is>
          <x:t xml:space="preserve">0-0</x:t>
        </x:is>
      </x:c>
      <x:c r="P1586" s="604" t="inlineStr">
        <x:is>
          <x:t xml:space="preserve">EVALUATED</x:t>
        </x:is>
      </x:c>
      <x:c r="Q1586" s="630" t="inlineStr">
        <x:is>
          <x:t xml:space="preserve"/>
        </x:is>
      </x:c>
      <x:c r="R1586" s="604" t="n"/>
      <x:c r="S1586" s="604" t="n"/>
      <x:c r="T1586" s="604" t="inlineStr">
        <x:is>
          <x:t xml:space="preserve">D:\codex\v3_legacy\outputs\football_odds_trader\raw\titan007\20261009\20261009_085232_titan007_odds_snapshot.csv</x:t>
        </x:is>
      </x:c>
      <x:c r="U1586" s="628" t="inlineStr">
        <x:is>
          <x:t xml:space="preserve"/>
        </x:is>
      </x:c>
      <x:c r="V1586" s="604" t="inlineStr">
        <x:is>
          <x:t xml:space="preserve"/>
        </x:is>
      </x:c>
      <x:c r="W1586" s="604" t="inlineStr">
        <x:is>
          <x:t xml:space="preserve"/>
        </x:is>
      </x:c>
      <x:c r="X1586" s="604" t="inlineStr">
        <x:is>
          <x:t xml:space="preserve">3058658</x:t>
        </x:is>
      </x:c>
      <x:c r="Y1586" s="604" t="inlineStr">
        <x:is>
          <x:t xml:space="preserve">V4</x:t>
        </x:is>
      </x:c>
      <x:c r="Z1586" s="604" t="inlineStr">
        <x:is>
          <x:t xml:space="preserve">prior-2026-10-09-v1</x:t>
        </x:is>
      </x:c>
      <x:c r="AA1586" s="604" t="inlineStr">
        <x:is>
          <x:t xml:space="preserve">N</x:t>
        </x:is>
      </x:c>
      <x:c r="AB1586" s="604" t="n">
        <x:v>0.0002219384496125342</x:v>
      </x:c>
      <x:c r="AC1586" s="604" t="n">
        <x:v>0.9997780615503875</x:v>
      </x:c>
      <x:c r="AD1586" s="604" t="n">
        <x:v>-2.5</x:v>
      </x:c>
      <x:c r="AE1586" s="604" t="n"/>
      <x:c r="AF1586" s="604" t="n"/>
      <x:c r="AG1586" s="604" t="n">
        <x:v>1.259498419103876</x:v>
      </x:c>
      <x:c r="AH1586" s="604" t="n"/>
      <x:c r="AI1586" s="604" t="n"/>
      <x:c r="AJ1586" s="604" t="n">
        <x:v>1.259498419103876</x:v>
      </x:c>
      <x:c r="AK1586" s="604" t="n"/>
      <x:c r="AL1586" s="604" t="n"/>
      <x:c r="AM1586" s="604" t="n"/>
      <x:c r="AN1586" s="604" t="inlineStr">
        <x:is>
          <x:t xml:space="preserve">EVALUATED</x:t>
        </x:is>
      </x:c>
      <x:c r="AO1586" s="604" t="inlineStr">
        <x:is>
          <x:t xml:space="preserve">LOW_QUALITY_GATE;BUCKET_PRIOR_ONLY;INTENT_INTERPRETATION_ONLY;FFL_OPTIONAL;EXPERT_MARKET</x:t>
        </x:is>
      </x:c>
      <x:c r="AP1586" s="604" t="inlineStr">
        <x:is>
          <x:t xml:space="preserve">49a209b65742a6bd80e0</x:t>
        </x:is>
      </x:c>
      <x:c r="AQ1586" s="604" t="n"/>
      <x:c r="AR1586" s="604" t="n"/>
      <x:c r="AS1586" s="604" t="n">
        <x:v>-1.5</x:v>
      </x:c>
      <x:c r="AT1586" s="604" t="n">
        <x:v>1.5</x:v>
      </x:c>
      <x:c r="AU1586" s="604" t="n">
        <x:v>1.26</x:v>
      </x:c>
      <x:c r="AV1586" s="604" t="n">
        <x:v>0.54</x:v>
      </x:c>
      <x:c r="AW1586" s="604" t="inlineStr">
        <x:is>
          <x:t xml:space="preserve">2026-10-09T09:01:21.127001+08:00</x:t>
        </x:is>
      </x:c>
      <x:c r="AX1586" s="604" t="inlineStr">
        <x:is>
          <x:t xml:space="preserve">Titan007/V4</x:t>
        </x:is>
      </x:c>
      <x:c r="AY1586" s="604" t="inlineStr">
        <x:is>
          <x:t xml:space="preserve">Daily append；市场输入缺失时不生成决策</x:t>
        </x:is>
      </x:c>
    </x:row>
    <x:row r="1587" ht="22" customHeight="1">
      <x:c r="A1587" s="604" t="inlineStr">
        <x:is>
          <x:t xml:space="preserve">2026-10-09</x:t>
        </x:is>
      </x:c>
      <x:c r="B1587" s="604" t="inlineStr">
        <x:is>
          <x:t xml:space="preserve">2026-10-09T21:00:00+08:00</x:t>
        </x:is>
      </x:c>
      <x:c r="C1587" s="604" t="str">
        <x:v>其他系列</x:v>
      </x:c>
      <x:c r="D1587" s="604" t="inlineStr">
        <x:is>
          <x:t xml:space="preserve"/>
        </x:is>
      </x:c>
      <x:c r="E1587" s="604" t="inlineStr">
        <x:is>
          <x:t xml:space="preserve">布隆迪超</x:t>
        </x:is>
      </x:c>
      <x:c r="F1587" s="604" t="inlineStr">
        <x:is>
          <x:t xml:space="preserve">国际之星 vs 黑裤</x:t>
        </x:is>
      </x:c>
      <x:c r="G1587" s="604" t="n"/>
      <x:c r="H1587" s="604" t="n"/>
      <x:c r="I1587" s="604" t="n"/>
      <x:c r="J1587" s="604" t="inlineStr">
        <x:is>
          <x:t xml:space="preserve">//</x:t>
        </x:is>
      </x:c>
      <x:c r="K1587" s="604" t="inlineStr">
        <x:is>
          <x:t xml:space="preserve">V4不可用：市场输入缺失</x:t>
        </x:is>
      </x:c>
      <x:c r="L1587" s="604" t="inlineStr">
        <x:is>
          <x:t xml:space="preserve"/>
        </x:is>
      </x:c>
      <x:c r="M1587" s="604" t="n"/>
      <x:c r="N1587" s="604" t="inlineStr">
        <x:is>
          <x:t xml:space="preserve">V4 Shadow Only；real_money=false</x:t>
        </x:is>
      </x:c>
      <x:c r="O1587" s="604" t="inlineStr">
        <x:is>
          <x:t xml:space="preserve">0-0</x:t>
        </x:is>
      </x:c>
      <x:c r="P1587" s="604" t="inlineStr">
        <x:is>
          <x:t xml:space="preserve">MISSING_DATA</x:t>
        </x:is>
      </x:c>
      <x:c r="Q1587" s="630" t="inlineStr">
        <x:is>
          <x:t xml:space="preserve"/>
        </x:is>
      </x:c>
      <x:c r="R1587" s="604" t="n"/>
      <x:c r="S1587" s="604" t="n"/>
      <x:c r="T1587" s="604" t="inlineStr">
        <x:is>
          <x:t xml:space="preserve">D:\codex\v3_legacy\outputs\football_odds_trader\raw\titan007\20261009\20261009_085232_titan007_odds_snapshot.csv</x:t>
        </x:is>
      </x:c>
      <x:c r="U1587" s="628" t="inlineStr">
        <x:is>
          <x:t xml:space="preserve"/>
        </x:is>
      </x:c>
      <x:c r="V1587" s="604" t="inlineStr">
        <x:is>
          <x:t xml:space="preserve"/>
        </x:is>
      </x:c>
      <x:c r="W1587" s="604" t="inlineStr">
        <x:is>
          <x:t xml:space="preserve"/>
        </x:is>
      </x:c>
      <x:c r="X1587" s="604" t="inlineStr">
        <x:is>
          <x:t xml:space="preserve">3058799</x:t>
        </x:is>
      </x:c>
      <x:c r="Y1587" s="604" t="inlineStr">
        <x:is>
          <x:t xml:space="preserve">V4</x:t>
        </x:is>
      </x:c>
      <x:c r="Z1587" s="604" t="inlineStr">
        <x:is>
          <x:t xml:space="preserve">prior-2026-10-09-v1</x:t>
        </x:is>
      </x:c>
      <x:c r="AA1587" s="604" t="inlineStr">
        <x:is>
          <x:t xml:space="preserve"/>
        </x:is>
      </x:c>
      <x:c r="AB1587" s="604" t="n"/>
      <x:c r="AC1587" s="604" t="n"/>
      <x:c r="AD1587" s="604" t="n"/>
      <x:c r="AE1587" s="604" t="n"/>
      <x:c r="AF1587" s="604" t="n"/>
      <x:c r="AG1587" s="604" t="n"/>
      <x:c r="AH1587" s="604" t="n"/>
      <x:c r="AI1587" s="604" t="n"/>
      <x:c r="AJ1587" s="604" t="n"/>
      <x:c r="AK1587" s="604" t="n"/>
      <x:c r="AL1587" s="604" t="n"/>
      <x:c r="AM1587" s="604" t="n"/>
      <x:c r="AN1587" s="604" t="inlineStr">
        <x:is>
          <x:t xml:space="preserve">MISSING_DATA</x:t>
        </x:is>
      </x:c>
      <x:c r="AO1587" s="604" t="inlineStr">
        <x:is>
          <x:t xml:space="preserve">REQUIRED_MARKET_INPUT_MISSING</x:t>
        </x:is>
      </x:c>
      <x:c r="AP1587" s="604" t="inlineStr">
        <x:is>
          <x:t xml:space="preserve">1666be563b3a3f9c10f3</x:t>
        </x:is>
      </x:c>
      <x:c r="AQ1587" s="604" t="n"/>
      <x:c r="AR1587" s="604" t="n"/>
      <x:c r="AS1587" s="604" t="n"/>
      <x:c r="AT1587" s="604" t="n"/>
      <x:c r="AU1587" s="604" t="n"/>
      <x:c r="AV1587" s="604" t="n"/>
      <x:c r="AW1587" s="604" t="inlineStr">
        <x:is>
          <x:t xml:space="preserve">2026-10-09T09:01:21.127001+08:00</x:t>
        </x:is>
      </x:c>
      <x:c r="AX1587" s="604" t="inlineStr">
        <x:is>
          <x:t xml:space="preserve">Titan007/V4</x:t>
        </x:is>
      </x:c>
      <x:c r="AY1587" s="604" t="inlineStr">
        <x:is>
          <x:t xml:space="preserve">Daily append；市场输入缺失时不生成决策</x:t>
        </x:is>
      </x:c>
    </x:row>
    <x:row r="1588" ht="22" customHeight="1">
      <x:c r="A1588" s="604" t="inlineStr">
        <x:is>
          <x:t xml:space="preserve">2026-10-09</x:t>
        </x:is>
      </x:c>
      <x:c r="B1588" s="604" t="inlineStr">
        <x:is>
          <x:t xml:space="preserve">2026-10-09T19:00:00+08:00</x:t>
        </x:is>
      </x:c>
      <x:c r="C1588" s="604" t="str">
        <x:v>其他系列</x:v>
      </x:c>
      <x:c r="D1588" s="604" t="inlineStr">
        <x:is>
          <x:t xml:space="preserve"/>
        </x:is>
      </x:c>
      <x:c r="E1588" s="604" t="inlineStr">
        <x:is>
          <x:t xml:space="preserve">布隆迪超</x:t>
        </x:is>
      </x:c>
      <x:c r="F1588" s="604" t="inlineStr">
        <x:is>
          <x:t xml:space="preserve">年轻之星 vs 布马穆鲁</x:t>
        </x:is>
      </x:c>
      <x:c r="G1588" s="604" t="n"/>
      <x:c r="H1588" s="604" t="n"/>
      <x:c r="I1588" s="604" t="n"/>
      <x:c r="J1588" s="604" t="inlineStr">
        <x:is>
          <x:t xml:space="preserve">//</x:t>
        </x:is>
      </x:c>
      <x:c r="K1588" s="604" t="inlineStr">
        <x:is>
          <x:t xml:space="preserve">V4不可用：市场输入缺失</x:t>
        </x:is>
      </x:c>
      <x:c r="L1588" s="604" t="inlineStr">
        <x:is>
          <x:t xml:space="preserve"/>
        </x:is>
      </x:c>
      <x:c r="M1588" s="604" t="n"/>
      <x:c r="N1588" s="604" t="inlineStr">
        <x:is>
          <x:t xml:space="preserve">V4 Shadow Only；real_money=false</x:t>
        </x:is>
      </x:c>
      <x:c r="O1588" s="604" t="inlineStr">
        <x:is>
          <x:t xml:space="preserve">0-0</x:t>
        </x:is>
      </x:c>
      <x:c r="P1588" s="604" t="inlineStr">
        <x:is>
          <x:t xml:space="preserve">MISSING_DATA</x:t>
        </x:is>
      </x:c>
      <x:c r="Q1588" s="630" t="inlineStr">
        <x:is>
          <x:t xml:space="preserve"/>
        </x:is>
      </x:c>
      <x:c r="R1588" s="604" t="n"/>
      <x:c r="S1588" s="604" t="n"/>
      <x:c r="T1588" s="604" t="inlineStr">
        <x:is>
          <x:t xml:space="preserve">D:\codex\v3_legacy\outputs\football_odds_trader\raw\titan007\20261009\20261009_085232_titan007_odds_snapshot.csv</x:t>
        </x:is>
      </x:c>
      <x:c r="U1588" s="628" t="inlineStr">
        <x:is>
          <x:t xml:space="preserve"/>
        </x:is>
      </x:c>
      <x:c r="V1588" s="604" t="inlineStr">
        <x:is>
          <x:t xml:space="preserve"/>
        </x:is>
      </x:c>
      <x:c r="W1588" s="604" t="inlineStr">
        <x:is>
          <x:t xml:space="preserve"/>
        </x:is>
      </x:c>
      <x:c r="X1588" s="604" t="inlineStr">
        <x:is>
          <x:t xml:space="preserve">3058800</x:t>
        </x:is>
      </x:c>
      <x:c r="Y1588" s="604" t="inlineStr">
        <x:is>
          <x:t xml:space="preserve">V4</x:t>
        </x:is>
      </x:c>
      <x:c r="Z1588" s="604" t="inlineStr">
        <x:is>
          <x:t xml:space="preserve">prior-2026-10-09-v1</x:t>
        </x:is>
      </x:c>
      <x:c r="AA1588" s="604" t="inlineStr">
        <x:is>
          <x:t xml:space="preserve"/>
        </x:is>
      </x:c>
      <x:c r="AB1588" s="604" t="n"/>
      <x:c r="AC1588" s="604" t="n"/>
      <x:c r="AD1588" s="604" t="n"/>
      <x:c r="AE1588" s="604" t="n"/>
      <x:c r="AF1588" s="604" t="n"/>
      <x:c r="AG1588" s="604" t="n"/>
      <x:c r="AH1588" s="604" t="n"/>
      <x:c r="AI1588" s="604" t="n"/>
      <x:c r="AJ1588" s="604" t="n"/>
      <x:c r="AK1588" s="604" t="n"/>
      <x:c r="AL1588" s="604" t="n"/>
      <x:c r="AM1588" s="604" t="n"/>
      <x:c r="AN1588" s="604" t="inlineStr">
        <x:is>
          <x:t xml:space="preserve">MISSING_DATA</x:t>
        </x:is>
      </x:c>
      <x:c r="AO1588" s="604" t="inlineStr">
        <x:is>
          <x:t xml:space="preserve">REQUIRED_MARKET_INPUT_MISSING</x:t>
        </x:is>
      </x:c>
      <x:c r="AP1588" s="604" t="inlineStr">
        <x:is>
          <x:t xml:space="preserve">c6f2229b58ad8ef22b63</x:t>
        </x:is>
      </x:c>
      <x:c r="AQ1588" s="604" t="n"/>
      <x:c r="AR1588" s="604" t="n"/>
      <x:c r="AS1588" s="604" t="n"/>
      <x:c r="AT1588" s="604" t="n"/>
      <x:c r="AU1588" s="604" t="n"/>
      <x:c r="AV1588" s="604" t="n"/>
      <x:c r="AW1588" s="604" t="inlineStr">
        <x:is>
          <x:t xml:space="preserve">2026-10-09T09:01:21.127001+08:00</x:t>
        </x:is>
      </x:c>
      <x:c r="AX1588" s="604" t="inlineStr">
        <x:is>
          <x:t xml:space="preserve">Titan007/V4</x:t>
        </x:is>
      </x:c>
      <x:c r="AY1588" s="604" t="inlineStr">
        <x:is>
          <x:t xml:space="preserve">Daily append；市场输入缺失时不生成决策</x:t>
        </x:is>
      </x:c>
    </x:row>
    <x:row r="1589" ht="22" customHeight="1">
      <x:c r="A1589" s="604" t="inlineStr">
        <x:is>
          <x:t xml:space="preserve">2026-10-09</x:t>
        </x:is>
      </x:c>
      <x:c r="B1589" s="604" t="inlineStr">
        <x:is>
          <x:t xml:space="preserve">2026-10-10T03:00:00+08:00</x:t>
        </x:is>
      </x:c>
      <x:c r="C1589" s="604" t="str">
        <x:v>南美系列</x:v>
      </x:c>
      <x:c r="D1589" s="604" t="inlineStr">
        <x:is>
          <x:t xml:space="preserve"/>
        </x:is>
      </x:c>
      <x:c r="E1589" s="604" t="inlineStr">
        <x:is>
          <x:t xml:space="preserve">玻利甲</x:t>
        </x:is>
      </x:c>
      <x:c r="F1589" s="604" t="inlineStr">
        <x:is>
          <x:t xml:space="preserve">圣安东尼奥布鲁布鲁 vs 皇家托马亚波</x:t>
        </x:is>
      </x:c>
      <x:c r="G1589" s="604" t="n">
        <x:v>1</x:v>
      </x:c>
      <x:c r="H1589" s="604" t="n">
        <x:v>1</x:v>
      </x:c>
      <x:c r="I1589" s="604" t="n">
        <x:v>0.8</x:v>
      </x:c>
      <x:c r="J1589" s="604" t="inlineStr">
        <x:is>
          <x:t xml:space="preserve">1.0/1.0/0.8</x:t>
        </x:is>
      </x:c>
      <x:c r="K1589" s="604" t="inlineStr">
        <x:is>
          <x:t xml:space="preserve">V4-N</x:t>
        </x:is>
      </x:c>
      <x:c r="L1589" s="604" t="inlineStr">
        <x:is>
          <x:t xml:space="preserve"/>
        </x:is>
      </x:c>
      <x:c r="M1589" s="604" t="n">
        <x:v>0.3853436455023997</x:v>
      </x:c>
      <x:c r="N1589" s="604" t="inlineStr">
        <x:is>
          <x:t xml:space="preserve">V4 Shadow Only；real_money=false</x:t>
        </x:is>
      </x:c>
      <x:c r="O1589" s="604" t="inlineStr">
        <x:is>
          <x:t xml:space="preserve">0-0</x:t>
        </x:is>
      </x:c>
      <x:c r="P1589" s="604" t="inlineStr">
        <x:is>
          <x:t xml:space="preserve">EVALUATED</x:t>
        </x:is>
      </x:c>
      <x:c r="Q1589" s="630" t="inlineStr">
        <x:is>
          <x:t xml:space="preserve"/>
        </x:is>
      </x:c>
      <x:c r="R1589" s="604" t="n"/>
      <x:c r="S1589" s="604" t="n"/>
      <x:c r="T1589" s="604" t="inlineStr">
        <x:is>
          <x:t xml:space="preserve">D:\codex\v3_legacy\outputs\football_odds_trader\raw\titan007\20261009\20261009_085232_titan007_odds_snapshot.csv</x:t>
        </x:is>
      </x:c>
      <x:c r="U1589" s="628" t="inlineStr">
        <x:is>
          <x:t xml:space="preserve"/>
        </x:is>
      </x:c>
      <x:c r="V1589" s="604" t="inlineStr">
        <x:is>
          <x:t xml:space="preserve"/>
        </x:is>
      </x:c>
      <x:c r="W1589" s="604" t="inlineStr">
        <x:is>
          <x:t xml:space="preserve"/>
        </x:is>
      </x:c>
      <x:c r="X1589" s="604" t="inlineStr">
        <x:is>
          <x:t xml:space="preserve">3059144</x:t>
        </x:is>
      </x:c>
      <x:c r="Y1589" s="604" t="inlineStr">
        <x:is>
          <x:t xml:space="preserve">V4</x:t>
        </x:is>
      </x:c>
      <x:c r="Z1589" s="604" t="inlineStr">
        <x:is>
          <x:t xml:space="preserve">prior-2026-10-09-v1</x:t>
        </x:is>
      </x:c>
      <x:c r="AA1589" s="604" t="inlineStr">
        <x:is>
          <x:t xml:space="preserve">N</x:t>
        </x:is>
      </x:c>
      <x:c r="AB1589" s="604" t="n">
        <x:v>0.3853436455023997</x:v>
      </x:c>
      <x:c r="AC1589" s="604" t="n">
        <x:v>0.3587391171737354</x:v>
      </x:c>
      <x:c r="AD1589" s="604" t="n">
        <x:v>1.25</x:v>
      </x:c>
      <x:c r="AE1589" s="604" t="n"/>
      <x:c r="AF1589" s="604" t="n"/>
      <x:c r="AG1589" s="604" t="n">
        <x:v>0.02660452832866428</x:v>
      </x:c>
      <x:c r="AH1589" s="604" t="n"/>
      <x:c r="AI1589" s="604" t="n"/>
      <x:c r="AJ1589" s="604" t="n">
        <x:v>0.02660452832866428</x:v>
      </x:c>
      <x:c r="AK1589" s="604" t="n"/>
      <x:c r="AL1589" s="604" t="n"/>
      <x:c r="AM1589" s="604" t="n"/>
      <x:c r="AN1589" s="604" t="inlineStr">
        <x:is>
          <x:t xml:space="preserve">EVALUATED</x:t>
        </x:is>
      </x:c>
      <x:c r="AO1589" s="604" t="inlineStr">
        <x:is>
          <x:t xml:space="preserve">EDGE_BELOW_UNCERTAINTY_THRESHOLD;BUCKET_PRIOR_ONLY;INTENT_INTERPRETATION_ONLY;FFL_OPTIONAL;EXPERT_MARKET</x:t>
        </x:is>
      </x:c>
      <x:c r="AP1589" s="604" t="inlineStr">
        <x:is>
          <x:t xml:space="preserve">c2f2d096d72d7335cc19</x:t>
        </x:is>
      </x:c>
      <x:c r="AQ1589" s="604" t="n"/>
      <x:c r="AR1589" s="604" t="n"/>
      <x:c r="AS1589" s="604" t="n">
        <x:v>1</x:v>
      </x:c>
      <x:c r="AT1589" s="604" t="n">
        <x:v>-1</x:v>
      </x:c>
      <x:c r="AU1589" s="604" t="n">
        <x:v>1</x:v>
      </x:c>
      <x:c r="AV1589" s="604" t="n">
        <x:v>0.8</x:v>
      </x:c>
      <x:c r="AW1589" s="604" t="inlineStr">
        <x:is>
          <x:t xml:space="preserve">2026-10-09T09:01:21.127001+08:00</x:t>
        </x:is>
      </x:c>
      <x:c r="AX1589" s="604" t="inlineStr">
        <x:is>
          <x:t xml:space="preserve">Titan007/V4</x:t>
        </x:is>
      </x:c>
      <x:c r="AY1589" s="604" t="inlineStr">
        <x:is>
          <x:t xml:space="preserve">Daily append；市场输入缺失时不生成决策</x:t>
        </x:is>
      </x:c>
    </x:row>
    <x:row r="1590" ht="22" customHeight="1">
      <x:c r="A1590" s="604" t="inlineStr">
        <x:is>
          <x:t xml:space="preserve">2026-10-09</x:t>
        </x:is>
      </x:c>
      <x:c r="B1590" s="604" t="inlineStr">
        <x:is>
          <x:t xml:space="preserve">2026-10-09T20:00:00+08:00</x:t>
        </x:is>
      </x:c>
      <x:c r="C1590" s="604" t="str">
        <x:v>五大联赛非顶级联赛</x:v>
      </x:c>
      <x:c r="D1590" s="604" t="inlineStr">
        <x:is>
          <x:t xml:space="preserve"/>
        </x:is>
      </x:c>
      <x:c r="E1590" s="604" t="inlineStr">
        <x:is>
          <x:t xml:space="preserve">英乙U21</x:t>
        </x:is>
      </x:c>
      <x:c r="F1590" s="604" t="inlineStr">
        <x:is>
          <x:t xml:space="preserve">班士利U21 vs 赫尔城U21</x:t>
        </x:is>
      </x:c>
      <x:c r="G1590" s="604" t="n">
        <x:v>0.92</x:v>
      </x:c>
      <x:c r="H1590" s="604" t="n">
        <x:v>0.5</x:v>
      </x:c>
      <x:c r="I1590" s="604" t="n">
        <x:v>0.78</x:v>
      </x:c>
      <x:c r="J1590" s="604" t="inlineStr">
        <x:is>
          <x:t xml:space="preserve">0.92/0.5/0.78</x:t>
        </x:is>
      </x:c>
      <x:c r="K1590" s="604" t="inlineStr">
        <x:is>
          <x:t xml:space="preserve">V4-N</x:t>
        </x:is>
      </x:c>
      <x:c r="L1590" s="604" t="inlineStr">
        <x:is>
          <x:t xml:space="preserve"/>
        </x:is>
      </x:c>
      <x:c r="M1590" s="604" t="n">
        <x:v>0.485030300878767</x:v>
      </x:c>
      <x:c r="N1590" s="604" t="inlineStr">
        <x:is>
          <x:t xml:space="preserve">V4 Shadow Only；real_money=false</x:t>
        </x:is>
      </x:c>
      <x:c r="O1590" s="604" t="inlineStr">
        <x:is>
          <x:t xml:space="preserve">0-0</x:t>
        </x:is>
      </x:c>
      <x:c r="P1590" s="604" t="inlineStr">
        <x:is>
          <x:t xml:space="preserve">EVALUATED</x:t>
        </x:is>
      </x:c>
      <x:c r="Q1590" s="630" t="inlineStr">
        <x:is>
          <x:t xml:space="preserve"/>
        </x:is>
      </x:c>
      <x:c r="R1590" s="604" t="n"/>
      <x:c r="S1590" s="604" t="n"/>
      <x:c r="T1590" s="604" t="inlineStr">
        <x:is>
          <x:t xml:space="preserve">D:\codex\v3_legacy\outputs\football_odds_trader\raw\titan007\20261009\20261009_085232_titan007_odds_snapshot.csv</x:t>
        </x:is>
      </x:c>
      <x:c r="U1590" s="628" t="inlineStr">
        <x:is>
          <x:t xml:space="preserve"/>
        </x:is>
      </x:c>
      <x:c r="V1590" s="604" t="inlineStr">
        <x:is>
          <x:t xml:space="preserve"/>
        </x:is>
      </x:c>
      <x:c r="W1590" s="604" t="inlineStr">
        <x:is>
          <x:t xml:space="preserve"/>
        </x:is>
      </x:c>
      <x:c r="X1590" s="604" t="inlineStr">
        <x:is>
          <x:t xml:space="preserve">3059213</x:t>
        </x:is>
      </x:c>
      <x:c r="Y1590" s="604" t="inlineStr">
        <x:is>
          <x:t xml:space="preserve">V4</x:t>
        </x:is>
      </x:c>
      <x:c r="Z1590" s="604" t="inlineStr">
        <x:is>
          <x:t xml:space="preserve">prior-2026-10-09-v1</x:t>
        </x:is>
      </x:c>
      <x:c r="AA1590" s="604" t="inlineStr">
        <x:is>
          <x:t xml:space="preserve">N</x:t>
        </x:is>
      </x:c>
      <x:c r="AB1590" s="604" t="n">
        <x:v>0.485030300878767</x:v>
      </x:c>
      <x:c r="AC1590" s="604" t="n">
        <x:v>0.514969699121233</x:v>
      </x:c>
      <x:c r="AD1590" s="604" t="n">
        <x:v>0.5</x:v>
      </x:c>
      <x:c r="AE1590" s="604" t="n"/>
      <x:c r="AF1590" s="604" t="n"/>
      <x:c r="AG1590" s="604" t="n">
        <x:v>-0.06874182231276738</x:v>
      </x:c>
      <x:c r="AH1590" s="604" t="n"/>
      <x:c r="AI1590" s="604" t="n"/>
      <x:c r="AJ1590" s="604" t="n">
        <x:v>-0.06874182231276738</x:v>
      </x:c>
      <x:c r="AK1590" s="604" t="n"/>
      <x:c r="AL1590" s="604" t="n"/>
      <x:c r="AM1590" s="604" t="n"/>
      <x:c r="AN1590" s="604" t="inlineStr">
        <x:is>
          <x:t xml:space="preserve">EVALUATED</x:t>
        </x:is>
      </x:c>
      <x:c r="AO1590" s="604" t="inlineStr">
        <x:is>
          <x:t xml:space="preserve">EDGE_BELOW_UNCERTAINTY_THRESHOLD;BUCKET_PRIOR_ONLY;INTENT_INTERPRETATION_ONLY;FFL_OPTIONAL;EXPERT_MARKET</x:t>
        </x:is>
      </x:c>
      <x:c r="AP1590" s="604" t="inlineStr">
        <x:is>
          <x:t xml:space="preserve">0f85123112f3816a9144</x:t>
        </x:is>
      </x:c>
      <x:c r="AQ1590" s="604" t="n"/>
      <x:c r="AR1590" s="604" t="n"/>
      <x:c r="AS1590" s="604" t="n">
        <x:v>0.5</x:v>
      </x:c>
      <x:c r="AT1590" s="604" t="n">
        <x:v>-0.5</x:v>
      </x:c>
      <x:c r="AU1590" s="604" t="n">
        <x:v>0.92</x:v>
      </x:c>
      <x:c r="AV1590" s="604" t="n">
        <x:v>0.78</x:v>
      </x:c>
      <x:c r="AW1590" s="604" t="inlineStr">
        <x:is>
          <x:t xml:space="preserve">2026-10-09T09:01:21.127001+08:00</x:t>
        </x:is>
      </x:c>
      <x:c r="AX1590" s="604" t="inlineStr">
        <x:is>
          <x:t xml:space="preserve">Titan007/V4</x:t>
        </x:is>
      </x:c>
      <x:c r="AY1590" s="604" t="inlineStr">
        <x:is>
          <x:t xml:space="preserve">Daily append；市场输入缺失时不生成决策</x:t>
        </x:is>
      </x:c>
    </x:row>
    <x:row r="1591" ht="22" customHeight="1">
      <x:c r="A1591" s="604" t="inlineStr">
        <x:is>
          <x:t xml:space="preserve">2026-10-09</x:t>
        </x:is>
      </x:c>
      <x:c r="B1591" s="604" t="inlineStr">
        <x:is>
          <x:t xml:space="preserve">2026-10-10T04:00:00+08:00</x:t>
        </x:is>
      </x:c>
      <x:c r="C1591" s="604" t="str">
        <x:v>五大联赛非顶级联赛</x:v>
      </x:c>
      <x:c r="D1591" s="604" t="inlineStr">
        <x:is>
          <x:t xml:space="preserve"/>
        </x:is>
      </x:c>
      <x:c r="E1591" s="604" t="inlineStr">
        <x:is>
          <x:t xml:space="preserve">西丁</x:t>
        </x:is>
      </x:c>
      <x:c r="F1591" s="604" t="inlineStr">
        <x:is>
          <x:t xml:space="preserve">阿纳扎 vs 圣米格尔CD</x:t>
        </x:is>
      </x:c>
      <x:c r="G1591" s="604" t="n">
        <x:v>1.05</x:v>
      </x:c>
      <x:c r="H1591" s="604" t="n">
        <x:v>0.25</x:v>
      </x:c>
      <x:c r="I1591" s="604" t="n">
        <x:v>0.75</x:v>
      </x:c>
      <x:c r="J1591" s="604" t="inlineStr">
        <x:is>
          <x:t xml:space="preserve">1.05/0.25/0.75</x:t>
        </x:is>
      </x:c>
      <x:c r="K1591" s="604" t="inlineStr">
        <x:is>
          <x:t xml:space="preserve">V4-N</x:t>
        </x:is>
      </x:c>
      <x:c r="L1591" s="604" t="inlineStr">
        <x:is>
          <x:t xml:space="preserve"/>
        </x:is>
      </x:c>
      <x:c r="M1591" s="604" t="n">
        <x:v>0.4097268640395659</x:v>
      </x:c>
      <x:c r="N1591" s="604" t="inlineStr">
        <x:is>
          <x:t xml:space="preserve">V4 Shadow Only；real_money=false</x:t>
        </x:is>
      </x:c>
      <x:c r="O1591" s="604" t="inlineStr">
        <x:is>
          <x:t xml:space="preserve">0-0</x:t>
        </x:is>
      </x:c>
      <x:c r="P1591" s="604" t="inlineStr">
        <x:is>
          <x:t xml:space="preserve">EVALUATED</x:t>
        </x:is>
      </x:c>
      <x:c r="Q1591" s="630" t="inlineStr">
        <x:is>
          <x:t xml:space="preserve"/>
        </x:is>
      </x:c>
      <x:c r="R1591" s="604" t="n"/>
      <x:c r="S1591" s="604" t="n"/>
      <x:c r="T1591" s="604" t="inlineStr">
        <x:is>
          <x:t xml:space="preserve">D:\codex\v3_legacy\outputs\football_odds_trader\raw\titan007\20261009\20261009_085232_titan007_odds_snapshot.csv</x:t>
        </x:is>
      </x:c>
      <x:c r="U1591" s="628" t="inlineStr">
        <x:is>
          <x:t xml:space="preserve"/>
        </x:is>
      </x:c>
      <x:c r="V1591" s="604" t="inlineStr">
        <x:is>
          <x:t xml:space="preserve"/>
        </x:is>
      </x:c>
      <x:c r="W1591" s="604" t="inlineStr">
        <x:is>
          <x:t xml:space="preserve"/>
        </x:is>
      </x:c>
      <x:c r="X1591" s="604" t="inlineStr">
        <x:is>
          <x:t xml:space="preserve">3060010</x:t>
        </x:is>
      </x:c>
      <x:c r="Y1591" s="604" t="inlineStr">
        <x:is>
          <x:t xml:space="preserve">V4</x:t>
        </x:is>
      </x:c>
      <x:c r="Z1591" s="604" t="inlineStr">
        <x:is>
          <x:t xml:space="preserve">prior-2026-10-09-v1</x:t>
        </x:is>
      </x:c>
      <x:c r="AA1591" s="604" t="inlineStr">
        <x:is>
          <x:t xml:space="preserve">N</x:t>
        </x:is>
      </x:c>
      <x:c r="AB1591" s="604" t="n">
        <x:v>0.4097268640395659</x:v>
      </x:c>
      <x:c r="AC1591" s="604" t="n">
        <x:v>0.458623920526489</x:v>
      </x:c>
      <x:c r="AD1591" s="604" t="n">
        <x:v>0.25</x:v>
      </x:c>
      <x:c r="AE1591" s="604" t="n"/>
      <x:c r="AF1591" s="604" t="n"/>
      <x:c r="AG1591" s="604" t="n">
        <x:v>-0.02841071328494482</x:v>
      </x:c>
      <x:c r="AH1591" s="604" t="n"/>
      <x:c r="AI1591" s="604" t="n"/>
      <x:c r="AJ1591" s="604" t="n">
        <x:v>-0.02841071328494482</x:v>
      </x:c>
      <x:c r="AK1591" s="604" t="n"/>
      <x:c r="AL1591" s="604" t="n"/>
      <x:c r="AM1591" s="604" t="n"/>
      <x:c r="AN1591" s="604" t="inlineStr">
        <x:is>
          <x:t xml:space="preserve">EVALUATED</x:t>
        </x:is>
      </x:c>
      <x:c r="AO1591" s="604" t="inlineStr">
        <x:is>
          <x:t xml:space="preserve">EDGE_BELOW_UNCERTAINTY_THRESHOLD;BUCKET_PRIOR_ONLY;INTENT_INTERPRETATION_ONLY;FFL_OPTIONAL;EXPERT_MARKET</x:t>
        </x:is>
      </x:c>
      <x:c r="AP1591" s="604" t="inlineStr">
        <x:is>
          <x:t xml:space="preserve">5e0a3f5c82e5271a41bb</x:t>
        </x:is>
      </x:c>
      <x:c r="AQ1591" s="604" t="n"/>
      <x:c r="AR1591" s="604" t="n"/>
      <x:c r="AS1591" s="604" t="n">
        <x:v>0.25</x:v>
      </x:c>
      <x:c r="AT1591" s="604" t="n">
        <x:v>-0.25</x:v>
      </x:c>
      <x:c r="AU1591" s="604" t="n">
        <x:v>1.05</x:v>
      </x:c>
      <x:c r="AV1591" s="604" t="n">
        <x:v>0.75</x:v>
      </x:c>
      <x:c r="AW1591" s="604" t="inlineStr">
        <x:is>
          <x:t xml:space="preserve">2026-10-09T09:01:21.127001+08:00</x:t>
        </x:is>
      </x:c>
      <x:c r="AX1591" s="604" t="inlineStr">
        <x:is>
          <x:t xml:space="preserve">Titan007/V4</x:t>
        </x:is>
      </x:c>
      <x:c r="AY1591" s="604" t="inlineStr">
        <x:is>
          <x:t xml:space="preserve">Daily append；市场输入缺失时不生成决策</x:t>
        </x:is>
      </x:c>
    </x:row>
    <x:row r="1592" ht="22" customHeight="1">
      <x:c r="A1592" s="604" t="inlineStr">
        <x:is>
          <x:t xml:space="preserve">2026-10-09</x:t>
        </x:is>
      </x:c>
      <x:c r="B1592" s="604" t="inlineStr">
        <x:is>
          <x:t xml:space="preserve">2026-10-10T04:00:00+08:00</x:t>
        </x:is>
      </x:c>
      <x:c r="C1592" s="604" t="str">
        <x:v>五大联赛非顶级联赛</x:v>
      </x:c>
      <x:c r="D1592" s="604" t="inlineStr">
        <x:is>
          <x:t xml:space="preserve"/>
        </x:is>
      </x:c>
      <x:c r="E1592" s="604" t="inlineStr">
        <x:is>
          <x:t xml:space="preserve">西丁</x:t>
        </x:is>
      </x:c>
      <x:c r="F1592" s="604" t="inlineStr">
        <x:is>
          <x:t xml:space="preserve">维拉圣塔 vs 拉斯帕尔马斯C队</x:t>
        </x:is>
      </x:c>
      <x:c r="G1592" s="604" t="n">
        <x:v>0.96</x:v>
      </x:c>
      <x:c r="H1592" s="604" t="n">
        <x:v>0</x:v>
      </x:c>
      <x:c r="I1592" s="604" t="n">
        <x:v>0.74</x:v>
      </x:c>
      <x:c r="J1592" s="604" t="inlineStr">
        <x:is>
          <x:t xml:space="preserve">0.96/0.0/0.74</x:t>
        </x:is>
      </x:c>
      <x:c r="K1592" s="604" t="inlineStr">
        <x:is>
          <x:t xml:space="preserve">V4-N</x:t>
        </x:is>
      </x:c>
      <x:c r="L1592" s="604" t="inlineStr">
        <x:is>
          <x:t xml:space="preserve"/>
        </x:is>
      </x:c>
      <x:c r="M1592" s="604" t="n"/>
      <x:c r="N1592" s="604" t="inlineStr">
        <x:is>
          <x:t xml:space="preserve">V4 Shadow Only；real_money=false</x:t>
        </x:is>
      </x:c>
      <x:c r="O1592" s="604" t="inlineStr">
        <x:is>
          <x:t xml:space="preserve">0-0</x:t>
        </x:is>
      </x:c>
      <x:c r="P1592" s="604" t="inlineStr">
        <x:is>
          <x:t xml:space="preserve">NEUTRAL</x:t>
        </x:is>
      </x:c>
      <x:c r="Q1592" s="630" t="inlineStr">
        <x:is>
          <x:t xml:space="preserve"/>
        </x:is>
      </x:c>
      <x:c r="R1592" s="604" t="n"/>
      <x:c r="S1592" s="604" t="n"/>
      <x:c r="T1592" s="604" t="inlineStr">
        <x:is>
          <x:t xml:space="preserve">D:\codex\v3_legacy\outputs\football_odds_trader\raw\titan007\20261009\20261009_085232_titan007_odds_snapshot.csv</x:t>
        </x:is>
      </x:c>
      <x:c r="U1592" s="628" t="inlineStr">
        <x:is>
          <x:t xml:space="preserve"/>
        </x:is>
      </x:c>
      <x:c r="V1592" s="604" t="inlineStr">
        <x:is>
          <x:t xml:space="preserve"/>
        </x:is>
      </x:c>
      <x:c r="W1592" s="604" t="inlineStr">
        <x:is>
          <x:t xml:space="preserve"/>
        </x:is>
      </x:c>
      <x:c r="X1592" s="604" t="inlineStr">
        <x:is>
          <x:t xml:space="preserve">3060017</x:t>
        </x:is>
      </x:c>
      <x:c r="Y1592" s="604" t="inlineStr">
        <x:is>
          <x:t xml:space="preserve">V4</x:t>
        </x:is>
      </x:c>
      <x:c r="Z1592" s="604" t="inlineStr">
        <x:is>
          <x:t xml:space="preserve">prior-2026-10-09-v1</x:t>
        </x:is>
      </x:c>
      <x:c r="AA1592" s="604" t="inlineStr">
        <x:is>
          <x:t xml:space="preserve">N</x:t>
        </x:is>
      </x:c>
      <x:c r="AB1592" s="604" t="n"/>
      <x:c r="AC1592" s="604" t="n"/>
      <x:c r="AD1592" s="604" t="n"/>
      <x:c r="AE1592" s="604" t="n"/>
      <x:c r="AF1592" s="604" t="n"/>
      <x:c r="AG1592" s="604" t="n"/>
      <x:c r="AH1592" s="604" t="n"/>
      <x:c r="AI1592" s="604" t="n"/>
      <x:c r="AJ1592" s="604" t="n"/>
      <x:c r="AK1592" s="604" t="n"/>
      <x:c r="AL1592" s="604" t="n"/>
      <x:c r="AM1592" s="604" t="n"/>
      <x:c r="AN1592" s="604" t="inlineStr">
        <x:is>
          <x:t xml:space="preserve">NEUTRAL</x:t>
        </x:is>
      </x:c>
      <x:c r="AO1592" s="604" t="inlineStr">
        <x:is>
          <x:t xml:space="preserve">PK_NO_GIVING_RECEIVING_IDENTITY</x:t>
        </x:is>
      </x:c>
      <x:c r="AP1592" s="604" t="inlineStr">
        <x:is>
          <x:t xml:space="preserve">9dc70609e1533b734dc9</x:t>
        </x:is>
      </x:c>
      <x:c r="AQ1592" s="604" t="n"/>
      <x:c r="AR1592" s="604" t="n"/>
      <x:c r="AS1592" s="604" t="n"/>
      <x:c r="AT1592" s="604" t="n"/>
      <x:c r="AU1592" s="604" t="n"/>
      <x:c r="AV1592" s="604" t="n"/>
      <x:c r="AW1592" s="604" t="inlineStr">
        <x:is>
          <x:t xml:space="preserve">2026-10-09T09:01:21.127001+08:00</x:t>
        </x:is>
      </x:c>
      <x:c r="AX1592" s="604" t="inlineStr">
        <x:is>
          <x:t xml:space="preserve">Titan007/V4</x:t>
        </x:is>
      </x:c>
      <x:c r="AY1592" s="604" t="inlineStr">
        <x:is>
          <x:t xml:space="preserve">Daily append；市场输入缺失时不生成决策</x:t>
        </x:is>
      </x:c>
    </x:row>
    <x:row r="1593" ht="22" customHeight="1">
      <x:c r="A1593" s="604" t="inlineStr">
        <x:is>
          <x:t xml:space="preserve">2026-10-09</x:t>
        </x:is>
      </x:c>
      <x:c r="B1593" s="604" t="inlineStr">
        <x:is>
          <x:t xml:space="preserve">2026-10-09T21:00:00+08:00</x:t>
        </x:is>
      </x:c>
      <x:c r="C1593" s="604" t="str">
        <x:v>其他系列</x:v>
      </x:c>
      <x:c r="D1593" s="604" t="inlineStr">
        <x:is>
          <x:t xml:space="preserve"/>
        </x:is>
      </x:c>
      <x:c r="E1593" s="604" t="inlineStr">
        <x:is>
          <x:t xml:space="preserve">女欧U19</x:t>
        </x:is>
      </x:c>
      <x:c r="F1593" s="604" t="inlineStr">
        <x:is>
          <x:t xml:space="preserve">西班牙女足U19 vs 以色列女足U19</x:t>
        </x:is>
      </x:c>
      <x:c r="G1593" s="604" t="n"/>
      <x:c r="H1593" s="604" t="n"/>
      <x:c r="I1593" s="604" t="n"/>
      <x:c r="J1593" s="604" t="inlineStr">
        <x:is>
          <x:t xml:space="preserve">//</x:t>
        </x:is>
      </x:c>
      <x:c r="K1593" s="604" t="inlineStr">
        <x:is>
          <x:t xml:space="preserve">V4不可用：市场输入缺失</x:t>
        </x:is>
      </x:c>
      <x:c r="L1593" s="604" t="inlineStr">
        <x:is>
          <x:t xml:space="preserve"/>
        </x:is>
      </x:c>
      <x:c r="M1593" s="604" t="n"/>
      <x:c r="N1593" s="604" t="inlineStr">
        <x:is>
          <x:t xml:space="preserve">V4 Shadow Only；real_money=false</x:t>
        </x:is>
      </x:c>
      <x:c r="O1593" s="604" t="inlineStr">
        <x:is>
          <x:t xml:space="preserve">0-0</x:t>
        </x:is>
      </x:c>
      <x:c r="P1593" s="604" t="inlineStr">
        <x:is>
          <x:t xml:space="preserve">MISSING_DATA</x:t>
        </x:is>
      </x:c>
      <x:c r="Q1593" s="630" t="inlineStr">
        <x:is>
          <x:t xml:space="preserve"/>
        </x:is>
      </x:c>
      <x:c r="R1593" s="604" t="n"/>
      <x:c r="S1593" s="604" t="n"/>
      <x:c r="T1593" s="604" t="inlineStr">
        <x:is>
          <x:t xml:space="preserve">D:\codex\v3_legacy\outputs\football_odds_trader\raw\titan007\20261009\20261009_085232_titan007_odds_snapshot.csv</x:t>
        </x:is>
      </x:c>
      <x:c r="U1593" s="628" t="inlineStr">
        <x:is>
          <x:t xml:space="preserve"/>
        </x:is>
      </x:c>
      <x:c r="V1593" s="604" t="inlineStr">
        <x:is>
          <x:t xml:space="preserve"/>
        </x:is>
      </x:c>
      <x:c r="W1593" s="604" t="inlineStr">
        <x:is>
          <x:t xml:space="preserve"/>
        </x:is>
      </x:c>
      <x:c r="X1593" s="604" t="inlineStr">
        <x:is>
          <x:t xml:space="preserve">3061517</x:t>
        </x:is>
      </x:c>
      <x:c r="Y1593" s="604" t="inlineStr">
        <x:is>
          <x:t xml:space="preserve">V4</x:t>
        </x:is>
      </x:c>
      <x:c r="Z1593" s="604" t="inlineStr">
        <x:is>
          <x:t xml:space="preserve">prior-2026-10-09-v1</x:t>
        </x:is>
      </x:c>
      <x:c r="AA1593" s="604" t="inlineStr">
        <x:is>
          <x:t xml:space="preserve"/>
        </x:is>
      </x:c>
      <x:c r="AB1593" s="604" t="n"/>
      <x:c r="AC1593" s="604" t="n"/>
      <x:c r="AD1593" s="604" t="n"/>
      <x:c r="AE1593" s="604" t="n"/>
      <x:c r="AF1593" s="604" t="n"/>
      <x:c r="AG1593" s="604" t="n"/>
      <x:c r="AH1593" s="604" t="n"/>
      <x:c r="AI1593" s="604" t="n"/>
      <x:c r="AJ1593" s="604" t="n"/>
      <x:c r="AK1593" s="604" t="n"/>
      <x:c r="AL1593" s="604" t="n"/>
      <x:c r="AM1593" s="604" t="n"/>
      <x:c r="AN1593" s="604" t="inlineStr">
        <x:is>
          <x:t xml:space="preserve">MISSING_DATA</x:t>
        </x:is>
      </x:c>
      <x:c r="AO1593" s="604" t="inlineStr">
        <x:is>
          <x:t xml:space="preserve">REQUIRED_MARKET_INPUT_MISSING</x:t>
        </x:is>
      </x:c>
      <x:c r="AP1593" s="604" t="inlineStr">
        <x:is>
          <x:t xml:space="preserve">fad6a83fff795b4f18a8</x:t>
        </x:is>
      </x:c>
      <x:c r="AQ1593" s="604" t="n"/>
      <x:c r="AR1593" s="604" t="n"/>
      <x:c r="AS1593" s="604" t="n"/>
      <x:c r="AT1593" s="604" t="n"/>
      <x:c r="AU1593" s="604" t="n"/>
      <x:c r="AV1593" s="604" t="n"/>
      <x:c r="AW1593" s="604" t="inlineStr">
        <x:is>
          <x:t xml:space="preserve">2026-10-09T09:01:21.127001+08:00</x:t>
        </x:is>
      </x:c>
      <x:c r="AX1593" s="604" t="inlineStr">
        <x:is>
          <x:t xml:space="preserve">Titan007/V4</x:t>
        </x:is>
      </x:c>
      <x:c r="AY1593" s="604" t="inlineStr">
        <x:is>
          <x:t xml:space="preserve">Daily append；市场输入缺失时不生成决策</x:t>
        </x:is>
      </x:c>
    </x:row>
    <x:row r="1594" ht="22" customHeight="1">
      <x:c r="A1594" s="604" t="inlineStr">
        <x:is>
          <x:t xml:space="preserve">2026-10-09</x:t>
        </x:is>
      </x:c>
      <x:c r="B1594" s="604" t="inlineStr">
        <x:is>
          <x:t xml:space="preserve">2026-10-09T17:00:00+08:00</x:t>
        </x:is>
      </x:c>
      <x:c r="C1594" s="604" t="str">
        <x:v>其他系列</x:v>
      </x:c>
      <x:c r="D1594" s="604" t="inlineStr">
        <x:is>
          <x:t xml:space="preserve"/>
        </x:is>
      </x:c>
      <x:c r="E1594" s="604" t="inlineStr">
        <x:is>
          <x:t xml:space="preserve">女欧U19</x:t>
        </x:is>
      </x:c>
      <x:c r="F1594" s="604" t="inlineStr">
        <x:is>
          <x:t xml:space="preserve">捷克女足U19 vs 哈萨克斯坦女足U19</x:t>
        </x:is>
      </x:c>
      <x:c r="G1594" s="604" t="n"/>
      <x:c r="H1594" s="604" t="n"/>
      <x:c r="I1594" s="604" t="n"/>
      <x:c r="J1594" s="604" t="inlineStr">
        <x:is>
          <x:t xml:space="preserve">//</x:t>
        </x:is>
      </x:c>
      <x:c r="K1594" s="604" t="inlineStr">
        <x:is>
          <x:t xml:space="preserve">V4不可用：市场输入缺失</x:t>
        </x:is>
      </x:c>
      <x:c r="L1594" s="604" t="inlineStr">
        <x:is>
          <x:t xml:space="preserve"/>
        </x:is>
      </x:c>
      <x:c r="M1594" s="604" t="n"/>
      <x:c r="N1594" s="604" t="inlineStr">
        <x:is>
          <x:t xml:space="preserve">V4 Shadow Only；real_money=false</x:t>
        </x:is>
      </x:c>
      <x:c r="O1594" s="604" t="inlineStr">
        <x:is>
          <x:t xml:space="preserve">0-0</x:t>
        </x:is>
      </x:c>
      <x:c r="P1594" s="604" t="inlineStr">
        <x:is>
          <x:t xml:space="preserve">MISSING_DATA</x:t>
        </x:is>
      </x:c>
      <x:c r="Q1594" s="630" t="inlineStr">
        <x:is>
          <x:t xml:space="preserve"/>
        </x:is>
      </x:c>
      <x:c r="R1594" s="604" t="n"/>
      <x:c r="S1594" s="604" t="n"/>
      <x:c r="T1594" s="604" t="inlineStr">
        <x:is>
          <x:t xml:space="preserve">D:\codex\v3_legacy\outputs\football_odds_trader\raw\titan007\20261009\20261009_085232_titan007_odds_snapshot.csv</x:t>
        </x:is>
      </x:c>
      <x:c r="U1594" s="628" t="inlineStr">
        <x:is>
          <x:t xml:space="preserve"/>
        </x:is>
      </x:c>
      <x:c r="V1594" s="604" t="inlineStr">
        <x:is>
          <x:t xml:space="preserve"/>
        </x:is>
      </x:c>
      <x:c r="W1594" s="604" t="inlineStr">
        <x:is>
          <x:t xml:space="preserve"/>
        </x:is>
      </x:c>
      <x:c r="X1594" s="604" t="inlineStr">
        <x:is>
          <x:t xml:space="preserve">3061581</x:t>
        </x:is>
      </x:c>
      <x:c r="Y1594" s="604" t="inlineStr">
        <x:is>
          <x:t xml:space="preserve">V4</x:t>
        </x:is>
      </x:c>
      <x:c r="Z1594" s="604" t="inlineStr">
        <x:is>
          <x:t xml:space="preserve">prior-2026-10-09-v1</x:t>
        </x:is>
      </x:c>
      <x:c r="AA1594" s="604" t="inlineStr">
        <x:is>
          <x:t xml:space="preserve"/>
        </x:is>
      </x:c>
      <x:c r="AB1594" s="604" t="n"/>
      <x:c r="AC1594" s="604" t="n"/>
      <x:c r="AD1594" s="604" t="n"/>
      <x:c r="AE1594" s="604" t="n"/>
      <x:c r="AF1594" s="604" t="n"/>
      <x:c r="AG1594" s="604" t="n"/>
      <x:c r="AH1594" s="604" t="n"/>
      <x:c r="AI1594" s="604" t="n"/>
      <x:c r="AJ1594" s="604" t="n"/>
      <x:c r="AK1594" s="604" t="n"/>
      <x:c r="AL1594" s="604" t="n"/>
      <x:c r="AM1594" s="604" t="n"/>
      <x:c r="AN1594" s="604" t="inlineStr">
        <x:is>
          <x:t xml:space="preserve">MISSING_DATA</x:t>
        </x:is>
      </x:c>
      <x:c r="AO1594" s="604" t="inlineStr">
        <x:is>
          <x:t xml:space="preserve">REQUIRED_MARKET_INPUT_MISSING</x:t>
        </x:is>
      </x:c>
      <x:c r="AP1594" s="604" t="inlineStr">
        <x:is>
          <x:t xml:space="preserve">801037d04c68762105cf</x:t>
        </x:is>
      </x:c>
      <x:c r="AQ1594" s="604" t="n"/>
      <x:c r="AR1594" s="604" t="n"/>
      <x:c r="AS1594" s="604" t="n"/>
      <x:c r="AT1594" s="604" t="n"/>
      <x:c r="AU1594" s="604" t="n"/>
      <x:c r="AV1594" s="604" t="n"/>
      <x:c r="AW1594" s="604" t="inlineStr">
        <x:is>
          <x:t xml:space="preserve">2026-10-09T09:01:21.127001+08:00</x:t>
        </x:is>
      </x:c>
      <x:c r="AX1594" s="604" t="inlineStr">
        <x:is>
          <x:t xml:space="preserve">Titan007/V4</x:t>
        </x:is>
      </x:c>
      <x:c r="AY1594" s="604" t="inlineStr">
        <x:is>
          <x:t xml:space="preserve">Daily append；市场输入缺失时不生成决策</x:t>
        </x:is>
      </x:c>
    </x:row>
    <x:row r="1595" ht="22" customHeight="1">
      <x:c r="A1595" s="604" t="inlineStr">
        <x:is>
          <x:t xml:space="preserve">2026-10-09</x:t>
        </x:is>
      </x:c>
      <x:c r="B1595" s="604" t="inlineStr">
        <x:is>
          <x:t xml:space="preserve">2026-10-09T20:30:00+08:00</x:t>
        </x:is>
      </x:c>
      <x:c r="C1595" s="604" t="str">
        <x:v>其他系列</x:v>
      </x:c>
      <x:c r="D1595" s="604" t="inlineStr">
        <x:is>
          <x:t xml:space="preserve"/>
        </x:is>
      </x:c>
      <x:c r="E1595" s="604" t="inlineStr">
        <x:is>
          <x:t xml:space="preserve">女欧U19</x:t>
        </x:is>
      </x:c>
      <x:c r="F1595" s="604" t="inlineStr">
        <x:is>
          <x:t xml:space="preserve">罗马尼亚女足U19 vs 马耳他女足U19</x:t>
        </x:is>
      </x:c>
      <x:c r="G1595" s="604" t="n"/>
      <x:c r="H1595" s="604" t="n"/>
      <x:c r="I1595" s="604" t="n"/>
      <x:c r="J1595" s="604" t="inlineStr">
        <x:is>
          <x:t xml:space="preserve">//</x:t>
        </x:is>
      </x:c>
      <x:c r="K1595" s="604" t="inlineStr">
        <x:is>
          <x:t xml:space="preserve">V4不可用：市场输入缺失</x:t>
        </x:is>
      </x:c>
      <x:c r="L1595" s="604" t="inlineStr">
        <x:is>
          <x:t xml:space="preserve"/>
        </x:is>
      </x:c>
      <x:c r="M1595" s="604" t="n"/>
      <x:c r="N1595" s="604" t="inlineStr">
        <x:is>
          <x:t xml:space="preserve">V4 Shadow Only；real_money=false</x:t>
        </x:is>
      </x:c>
      <x:c r="O1595" s="604" t="inlineStr">
        <x:is>
          <x:t xml:space="preserve">0-0</x:t>
        </x:is>
      </x:c>
      <x:c r="P1595" s="604" t="inlineStr">
        <x:is>
          <x:t xml:space="preserve">MISSING_DATA</x:t>
        </x:is>
      </x:c>
      <x:c r="Q1595" s="630" t="inlineStr">
        <x:is>
          <x:t xml:space="preserve"/>
        </x:is>
      </x:c>
      <x:c r="R1595" s="604" t="n"/>
      <x:c r="S1595" s="604" t="n"/>
      <x:c r="T1595" s="604" t="inlineStr">
        <x:is>
          <x:t xml:space="preserve">D:\codex\v3_legacy\outputs\football_odds_trader\raw\titan007\20261009\20261009_085232_titan007_odds_snapshot.csv</x:t>
        </x:is>
      </x:c>
      <x:c r="U1595" s="628" t="inlineStr">
        <x:is>
          <x:t xml:space="preserve"/>
        </x:is>
      </x:c>
      <x:c r="V1595" s="604" t="inlineStr">
        <x:is>
          <x:t xml:space="preserve"/>
        </x:is>
      </x:c>
      <x:c r="W1595" s="604" t="inlineStr">
        <x:is>
          <x:t xml:space="preserve"/>
        </x:is>
      </x:c>
      <x:c r="X1595" s="604" t="inlineStr">
        <x:is>
          <x:t xml:space="preserve">3061582</x:t>
        </x:is>
      </x:c>
      <x:c r="Y1595" s="604" t="inlineStr">
        <x:is>
          <x:t xml:space="preserve">V4</x:t>
        </x:is>
      </x:c>
      <x:c r="Z1595" s="604" t="inlineStr">
        <x:is>
          <x:t xml:space="preserve">prior-2026-10-09-v1</x:t>
        </x:is>
      </x:c>
      <x:c r="AA1595" s="604" t="inlineStr">
        <x:is>
          <x:t xml:space="preserve"/>
        </x:is>
      </x:c>
      <x:c r="AB1595" s="604" t="n"/>
      <x:c r="AC1595" s="604" t="n"/>
      <x:c r="AD1595" s="604" t="n"/>
      <x:c r="AE1595" s="604" t="n"/>
      <x:c r="AF1595" s="604" t="n"/>
      <x:c r="AG1595" s="604" t="n"/>
      <x:c r="AH1595" s="604" t="n"/>
      <x:c r="AI1595" s="604" t="n"/>
      <x:c r="AJ1595" s="604" t="n"/>
      <x:c r="AK1595" s="604" t="n"/>
      <x:c r="AL1595" s="604" t="n"/>
      <x:c r="AM1595" s="604" t="n"/>
      <x:c r="AN1595" s="604" t="inlineStr">
        <x:is>
          <x:t xml:space="preserve">MISSING_DATA</x:t>
        </x:is>
      </x:c>
      <x:c r="AO1595" s="604" t="inlineStr">
        <x:is>
          <x:t xml:space="preserve">REQUIRED_MARKET_INPUT_MISSING</x:t>
        </x:is>
      </x:c>
      <x:c r="AP1595" s="604" t="inlineStr">
        <x:is>
          <x:t xml:space="preserve">7f3534f9b0d9fb7cef62</x:t>
        </x:is>
      </x:c>
      <x:c r="AQ1595" s="604" t="n"/>
      <x:c r="AR1595" s="604" t="n"/>
      <x:c r="AS1595" s="604" t="n"/>
      <x:c r="AT1595" s="604" t="n"/>
      <x:c r="AU1595" s="604" t="n"/>
      <x:c r="AV1595" s="604" t="n"/>
      <x:c r="AW1595" s="604" t="inlineStr">
        <x:is>
          <x:t xml:space="preserve">2026-10-09T09:01:21.127001+08:00</x:t>
        </x:is>
      </x:c>
      <x:c r="AX1595" s="604" t="inlineStr">
        <x:is>
          <x:t xml:space="preserve">Titan007/V4</x:t>
        </x:is>
      </x:c>
      <x:c r="AY1595" s="604" t="inlineStr">
        <x:is>
          <x:t xml:space="preserve">Daily append；市场输入缺失时不生成决策</x:t>
        </x:is>
      </x:c>
    </x:row>
    <x:row r="1596" ht="22" customHeight="1">
      <x:c r="A1596" s="604" t="inlineStr">
        <x:is>
          <x:t xml:space="preserve">2026-10-09</x:t>
        </x:is>
      </x:c>
      <x:c r="B1596" s="604" t="inlineStr">
        <x:is>
          <x:t xml:space="preserve">2026-10-10T02:00:00+08:00</x:t>
        </x:is>
      </x:c>
      <x:c r="C1596" s="604" t="str">
        <x:v>五大联赛杯赛</x:v>
      </x:c>
      <x:c r="D1596" s="604" t="inlineStr">
        <x:is>
          <x:t xml:space="preserve"/>
        </x:is>
      </x:c>
      <x:c r="E1596" s="604" t="inlineStr">
        <x:is>
          <x:t xml:space="preserve">英U21杯</x:t>
        </x:is>
      </x:c>
      <x:c r="F1596" s="604" t="inlineStr">
        <x:is>
          <x:t xml:space="preserve">修咸顿U21 vs 昆士柏流浪U21</x:t>
        </x:is>
      </x:c>
      <x:c r="G1596" s="604" t="n">
        <x:v>0.9</x:v>
      </x:c>
      <x:c r="H1596" s="604" t="n">
        <x:v>1.25</x:v>
      </x:c>
      <x:c r="I1596" s="604" t="n">
        <x:v>0.9</x:v>
      </x:c>
      <x:c r="J1596" s="604" t="inlineStr">
        <x:is>
          <x:t xml:space="preserve">0.9/1.25/0.9</x:t>
        </x:is>
      </x:c>
      <x:c r="K1596" s="604" t="inlineStr">
        <x:is>
          <x:t xml:space="preserve">V4-N</x:t>
        </x:is>
      </x:c>
      <x:c r="L1596" s="604" t="inlineStr">
        <x:is>
          <x:t xml:space="preserve"/>
        </x:is>
      </x:c>
      <x:c r="M1596" s="604" t="n">
        <x:v>0.5051241647529368</x:v>
      </x:c>
      <x:c r="N1596" s="604" t="inlineStr">
        <x:is>
          <x:t xml:space="preserve">V4 Shadow Only；real_money=false</x:t>
        </x:is>
      </x:c>
      <x:c r="O1596" s="604" t="inlineStr">
        <x:is>
          <x:t xml:space="preserve">0-0</x:t>
        </x:is>
      </x:c>
      <x:c r="P1596" s="604" t="inlineStr">
        <x:is>
          <x:t xml:space="preserve">EVALUATED</x:t>
        </x:is>
      </x:c>
      <x:c r="Q1596" s="630" t="inlineStr">
        <x:is>
          <x:t xml:space="preserve"/>
        </x:is>
      </x:c>
      <x:c r="R1596" s="604" t="n"/>
      <x:c r="S1596" s="604" t="n"/>
      <x:c r="T1596" s="604" t="inlineStr">
        <x:is>
          <x:t xml:space="preserve">D:\codex\v3_legacy\outputs\football_odds_trader\raw\titan007\20261009\20261009_085232_titan007_odds_snapshot.csv</x:t>
        </x:is>
      </x:c>
      <x:c r="U1596" s="628" t="inlineStr">
        <x:is>
          <x:t xml:space="preserve"/>
        </x:is>
      </x:c>
      <x:c r="V1596" s="604" t="inlineStr">
        <x:is>
          <x:t xml:space="preserve"/>
        </x:is>
      </x:c>
      <x:c r="W1596" s="604" t="inlineStr">
        <x:is>
          <x:t xml:space="preserve"/>
        </x:is>
      </x:c>
      <x:c r="X1596" s="604" t="inlineStr">
        <x:is>
          <x:t xml:space="preserve">3062634</x:t>
        </x:is>
      </x:c>
      <x:c r="Y1596" s="604" t="inlineStr">
        <x:is>
          <x:t xml:space="preserve">V4</x:t>
        </x:is>
      </x:c>
      <x:c r="Z1596" s="604" t="inlineStr">
        <x:is>
          <x:t xml:space="preserve">prior-2026-10-09-v1</x:t>
        </x:is>
      </x:c>
      <x:c r="AA1596" s="604" t="inlineStr">
        <x:is>
          <x:t xml:space="preserve">N</x:t>
        </x:is>
      </x:c>
      <x:c r="AB1596" s="604" t="n">
        <x:v>0.5051241647529368</x:v>
      </x:c>
      <x:c r="AC1596" s="604" t="n">
        <x:v>0.3708761175386323</x:v>
      </x:c>
      <x:c r="AD1596" s="604" t="n">
        <x:v>1.75</x:v>
      </x:c>
      <x:c r="AE1596" s="604" t="n"/>
      <x:c r="AF1596" s="604" t="n"/>
      <x:c r="AG1596" s="604" t="n">
        <x:v>0.08373563073901083</x:v>
      </x:c>
      <x:c r="AH1596" s="604" t="n"/>
      <x:c r="AI1596" s="604" t="n"/>
      <x:c r="AJ1596" s="604" t="n">
        <x:v>0.08373563073901083</x:v>
      </x:c>
      <x:c r="AK1596" s="604" t="n"/>
      <x:c r="AL1596" s="604" t="n"/>
      <x:c r="AM1596" s="604" t="n"/>
      <x:c r="AN1596" s="604" t="inlineStr">
        <x:is>
          <x:t xml:space="preserve">EVALUATED</x:t>
        </x:is>
      </x:c>
      <x:c r="AO1596" s="604" t="inlineStr">
        <x:is>
          <x:t xml:space="preserve">LOW_QUALITY_GATE;BUCKET_PRIOR_ONLY;INTENT_INTERPRETATION_ONLY;FFL_OPTIONAL;EXPERT_MARKET</x:t>
        </x:is>
      </x:c>
      <x:c r="AP1596" s="604" t="inlineStr">
        <x:is>
          <x:t xml:space="preserve">8c502bd8ba22186fec5d</x:t>
        </x:is>
      </x:c>
      <x:c r="AQ1596" s="604" t="n"/>
      <x:c r="AR1596" s="604" t="n"/>
      <x:c r="AS1596" s="604" t="n">
        <x:v>1.25</x:v>
      </x:c>
      <x:c r="AT1596" s="604" t="n">
        <x:v>-1.25</x:v>
      </x:c>
      <x:c r="AU1596" s="604" t="n">
        <x:v>0.9</x:v>
      </x:c>
      <x:c r="AV1596" s="604" t="n">
        <x:v>0.9</x:v>
      </x:c>
      <x:c r="AW1596" s="604" t="inlineStr">
        <x:is>
          <x:t xml:space="preserve">2026-10-09T09:01:21.127001+08:00</x:t>
        </x:is>
      </x:c>
      <x:c r="AX1596" s="604" t="inlineStr">
        <x:is>
          <x:t xml:space="preserve">Titan007/V4</x:t>
        </x:is>
      </x:c>
      <x:c r="AY1596" s="604" t="inlineStr">
        <x:is>
          <x:t xml:space="preserve">Daily append；市场输入缺失时不生成决策</x:t>
        </x:is>
      </x:c>
    </x:row>
    <x:row r="1597" ht="22" customHeight="1">
      <x:c r="A1597" s="604" t="inlineStr">
        <x:is>
          <x:t xml:space="preserve">2026-10-09</x:t>
        </x:is>
      </x:c>
      <x:c r="B1597" s="604" t="inlineStr">
        <x:is>
          <x:t xml:space="preserve">2026-10-10T02:00:00+08:00</x:t>
        </x:is>
      </x:c>
      <x:c r="C1597" s="604" t="str">
        <x:v>五大联赛杯赛</x:v>
      </x:c>
      <x:c r="D1597" s="604" t="inlineStr">
        <x:is>
          <x:t xml:space="preserve"/>
        </x:is>
      </x:c>
      <x:c r="E1597" s="604" t="inlineStr">
        <x:is>
          <x:t xml:space="preserve">英U21杯</x:t>
        </x:is>
      </x:c>
      <x:c r="F1597" s="604" t="inlineStr">
        <x:is>
          <x:t xml:space="preserve">卡迪夫城U21 vs 莱切斯特城U21</x:t>
        </x:is>
      </x:c>
      <x:c r="G1597" s="604" t="n">
        <x:v>0.88</x:v>
      </x:c>
      <x:c r="H1597" s="604" t="n">
        <x:v>0</x:v>
      </x:c>
      <x:c r="I1597" s="604" t="n">
        <x:v>0.93</x:v>
      </x:c>
      <x:c r="J1597" s="604" t="inlineStr">
        <x:is>
          <x:t xml:space="preserve">0.88/0.0/0.93</x:t>
        </x:is>
      </x:c>
      <x:c r="K1597" s="604" t="inlineStr">
        <x:is>
          <x:t xml:space="preserve">V4-N</x:t>
        </x:is>
      </x:c>
      <x:c r="L1597" s="604" t="inlineStr">
        <x:is>
          <x:t xml:space="preserve"/>
        </x:is>
      </x:c>
      <x:c r="M1597" s="604" t="n"/>
      <x:c r="N1597" s="604" t="inlineStr">
        <x:is>
          <x:t xml:space="preserve">V4 Shadow Only；real_money=false</x:t>
        </x:is>
      </x:c>
      <x:c r="O1597" s="604" t="inlineStr">
        <x:is>
          <x:t xml:space="preserve">0-0</x:t>
        </x:is>
      </x:c>
      <x:c r="P1597" s="604" t="inlineStr">
        <x:is>
          <x:t xml:space="preserve">NEUTRAL</x:t>
        </x:is>
      </x:c>
      <x:c r="Q1597" s="630" t="inlineStr">
        <x:is>
          <x:t xml:space="preserve"/>
        </x:is>
      </x:c>
      <x:c r="R1597" s="604" t="n"/>
      <x:c r="S1597" s="604" t="n"/>
      <x:c r="T1597" s="604" t="inlineStr">
        <x:is>
          <x:t xml:space="preserve">D:\codex\v3_legacy\outputs\football_odds_trader\raw\titan007\20261009\20261009_085232_titan007_odds_snapshot.csv</x:t>
        </x:is>
      </x:c>
      <x:c r="U1597" s="628" t="inlineStr">
        <x:is>
          <x:t xml:space="preserve"/>
        </x:is>
      </x:c>
      <x:c r="V1597" s="604" t="inlineStr">
        <x:is>
          <x:t xml:space="preserve"/>
        </x:is>
      </x:c>
      <x:c r="W1597" s="604" t="inlineStr">
        <x:is>
          <x:t xml:space="preserve"/>
        </x:is>
      </x:c>
      <x:c r="X1597" s="604" t="inlineStr">
        <x:is>
          <x:t xml:space="preserve">3062646</x:t>
        </x:is>
      </x:c>
      <x:c r="Y1597" s="604" t="inlineStr">
        <x:is>
          <x:t xml:space="preserve">V4</x:t>
        </x:is>
      </x:c>
      <x:c r="Z1597" s="604" t="inlineStr">
        <x:is>
          <x:t xml:space="preserve">prior-2026-10-09-v1</x:t>
        </x:is>
      </x:c>
      <x:c r="AA1597" s="604" t="inlineStr">
        <x:is>
          <x:t xml:space="preserve">N</x:t>
        </x:is>
      </x:c>
      <x:c r="AB1597" s="604" t="n"/>
      <x:c r="AC1597" s="604" t="n"/>
      <x:c r="AD1597" s="604" t="n"/>
      <x:c r="AE1597" s="604" t="n"/>
      <x:c r="AF1597" s="604" t="n"/>
      <x:c r="AG1597" s="604" t="n"/>
      <x:c r="AH1597" s="604" t="n"/>
      <x:c r="AI1597" s="604" t="n"/>
      <x:c r="AJ1597" s="604" t="n"/>
      <x:c r="AK1597" s="604" t="n"/>
      <x:c r="AL1597" s="604" t="n"/>
      <x:c r="AM1597" s="604" t="n"/>
      <x:c r="AN1597" s="604" t="inlineStr">
        <x:is>
          <x:t xml:space="preserve">NEUTRAL</x:t>
        </x:is>
      </x:c>
      <x:c r="AO1597" s="604" t="inlineStr">
        <x:is>
          <x:t xml:space="preserve">PK_NO_GIVING_RECEIVING_IDENTITY</x:t>
        </x:is>
      </x:c>
      <x:c r="AP1597" s="604" t="inlineStr">
        <x:is>
          <x:t xml:space="preserve">882fe9f9bab7f06b2a6d</x:t>
        </x:is>
      </x:c>
      <x:c r="AQ1597" s="604" t="n"/>
      <x:c r="AR1597" s="604" t="n"/>
      <x:c r="AS1597" s="604" t="n"/>
      <x:c r="AT1597" s="604" t="n"/>
      <x:c r="AU1597" s="604" t="n"/>
      <x:c r="AV1597" s="604" t="n"/>
      <x:c r="AW1597" s="604" t="inlineStr">
        <x:is>
          <x:t xml:space="preserve">2026-10-09T09:01:21.127001+08:00</x:t>
        </x:is>
      </x:c>
      <x:c r="AX1597" s="604" t="inlineStr">
        <x:is>
          <x:t xml:space="preserve">Titan007/V4</x:t>
        </x:is>
      </x:c>
      <x:c r="AY1597" s="604" t="inlineStr">
        <x:is>
          <x:t xml:space="preserve">Daily append；市场输入缺失时不生成决策</x:t>
        </x:is>
      </x:c>
    </x:row>
    <x:row r="1598" ht="22" customHeight="1">
      <x:c r="A1598" s="604" t="inlineStr">
        <x:is>
          <x:t xml:space="preserve">2026-10-09</x:t>
        </x:is>
      </x:c>
      <x:c r="B1598" s="604" t="inlineStr">
        <x:is>
          <x:t xml:space="preserve">2026-10-10T02:00:00+08:00</x:t>
        </x:is>
      </x:c>
      <x:c r="C1598" s="604" t="str">
        <x:v>五大联赛杯赛</x:v>
      </x:c>
      <x:c r="D1598" s="604" t="inlineStr">
        <x:is>
          <x:t xml:space="preserve"/>
        </x:is>
      </x:c>
      <x:c r="E1598" s="604" t="inlineStr">
        <x:is>
          <x:t xml:space="preserve">英U21杯</x:t>
        </x:is>
      </x:c>
      <x:c r="F1598" s="604" t="inlineStr">
        <x:is>
          <x:t xml:space="preserve">伯明翰U21 vs 哈德斯菲尔德U21</x:t>
        </x:is>
      </x:c>
      <x:c r="G1598" s="604" t="n">
        <x:v>0.86</x:v>
      </x:c>
      <x:c r="H1598" s="604" t="n">
        <x:v>0.25</x:v>
      </x:c>
      <x:c r="I1598" s="604" t="n">
        <x:v>0.84</x:v>
      </x:c>
      <x:c r="J1598" s="604" t="inlineStr">
        <x:is>
          <x:t xml:space="preserve">0.86/0.25/0.84</x:t>
        </x:is>
      </x:c>
      <x:c r="K1598" s="604" t="inlineStr">
        <x:is>
          <x:t xml:space="preserve">V4-N</x:t>
        </x:is>
      </x:c>
      <x:c r="L1598" s="604" t="inlineStr">
        <x:is>
          <x:t xml:space="preserve"/>
        </x:is>
      </x:c>
      <x:c r="M1598" s="604" t="n">
        <x:v>0.4536621040130766</x:v>
      </x:c>
      <x:c r="N1598" s="604" t="inlineStr">
        <x:is>
          <x:t xml:space="preserve">V4 Shadow Only；real_money=false</x:t>
        </x:is>
      </x:c>
      <x:c r="O1598" s="604" t="inlineStr">
        <x:is>
          <x:t xml:space="preserve">0-0</x:t>
        </x:is>
      </x:c>
      <x:c r="P1598" s="604" t="inlineStr">
        <x:is>
          <x:t xml:space="preserve">EVALUATED</x:t>
        </x:is>
      </x:c>
      <x:c r="Q1598" s="630" t="inlineStr">
        <x:is>
          <x:t xml:space="preserve"/>
        </x:is>
      </x:c>
      <x:c r="R1598" s="604" t="n"/>
      <x:c r="S1598" s="604" t="n"/>
      <x:c r="T1598" s="604" t="inlineStr">
        <x:is>
          <x:t xml:space="preserve">D:\codex\v3_legacy\outputs\football_odds_trader\raw\titan007\20261009\20261009_085232_titan007_odds_snapshot.csv</x:t>
        </x:is>
      </x:c>
      <x:c r="U1598" s="628" t="inlineStr">
        <x:is>
          <x:t xml:space="preserve"/>
        </x:is>
      </x:c>
      <x:c r="V1598" s="604" t="inlineStr">
        <x:is>
          <x:t xml:space="preserve"/>
        </x:is>
      </x:c>
      <x:c r="W1598" s="604" t="inlineStr">
        <x:is>
          <x:t xml:space="preserve"/>
        </x:is>
      </x:c>
      <x:c r="X1598" s="604" t="inlineStr">
        <x:is>
          <x:t xml:space="preserve">3062659</x:t>
        </x:is>
      </x:c>
      <x:c r="Y1598" s="604" t="inlineStr">
        <x:is>
          <x:t xml:space="preserve">V4</x:t>
        </x:is>
      </x:c>
      <x:c r="Z1598" s="604" t="inlineStr">
        <x:is>
          <x:t xml:space="preserve">prior-2026-10-09-v1</x:t>
        </x:is>
      </x:c>
      <x:c r="AA1598" s="604" t="inlineStr">
        <x:is>
          <x:t xml:space="preserve">N</x:t>
        </x:is>
      </x:c>
      <x:c r="AB1598" s="604" t="n">
        <x:v>0.4536621040130766</x:v>
      </x:c>
      <x:c r="AC1598" s="604" t="n">
        <x:v>0.4180166305927761</x:v>
      </x:c>
      <x:c r="AD1598" s="604" t="n">
        <x:v>0.25</x:v>
      </x:c>
      <x:c r="AE1598" s="604" t="n"/>
      <x:c r="AF1598" s="604" t="n"/>
      <x:c r="AG1598" s="604" t="n">
        <x:v>-0.02786722114153023</x:v>
      </x:c>
      <x:c r="AH1598" s="604" t="n"/>
      <x:c r="AI1598" s="604" t="n"/>
      <x:c r="AJ1598" s="604" t="n">
        <x:v>-0.02786722114153023</x:v>
      </x:c>
      <x:c r="AK1598" s="604" t="n"/>
      <x:c r="AL1598" s="604" t="n"/>
      <x:c r="AM1598" s="604" t="n"/>
      <x:c r="AN1598" s="604" t="inlineStr">
        <x:is>
          <x:t xml:space="preserve">EVALUATED</x:t>
        </x:is>
      </x:c>
      <x:c r="AO1598" s="604" t="inlineStr">
        <x:is>
          <x:t xml:space="preserve">EDGE_BELOW_UNCERTAINTY_THRESHOLD;BUCKET_PRIOR_ONLY;INTENT_INTERPRETATION_ONLY;FFL_OPTIONAL;EXPERT_MARKET</x:t>
        </x:is>
      </x:c>
      <x:c r="AP1598" s="604" t="inlineStr">
        <x:is>
          <x:t xml:space="preserve">910a4720aef10da4a613</x:t>
        </x:is>
      </x:c>
      <x:c r="AQ1598" s="604" t="n"/>
      <x:c r="AR1598" s="604" t="n"/>
      <x:c r="AS1598" s="604" t="n">
        <x:v>0.25</x:v>
      </x:c>
      <x:c r="AT1598" s="604" t="n">
        <x:v>-0.25</x:v>
      </x:c>
      <x:c r="AU1598" s="604" t="n">
        <x:v>0.86</x:v>
      </x:c>
      <x:c r="AV1598" s="604" t="n">
        <x:v>0.84</x:v>
      </x:c>
      <x:c r="AW1598" s="604" t="inlineStr">
        <x:is>
          <x:t xml:space="preserve">2026-10-09T09:01:21.127001+08:00</x:t>
        </x:is>
      </x:c>
      <x:c r="AX1598" s="604" t="inlineStr">
        <x:is>
          <x:t xml:space="preserve">Titan007/V4</x:t>
        </x:is>
      </x:c>
      <x:c r="AY1598" s="604" t="inlineStr">
        <x:is>
          <x:t xml:space="preserve">Daily append；市场输入缺失时不生成决策</x:t>
        </x:is>
      </x:c>
    </x:row>
    <x:row r="1599" ht="22" customHeight="1">
      <x:c r="A1599" s="604" t="inlineStr">
        <x:is>
          <x:t xml:space="preserve">2026-10-09</x:t>
        </x:is>
      </x:c>
      <x:c r="B1599" s="604" t="inlineStr">
        <x:is>
          <x:t xml:space="preserve">2026-10-10T02:00:00+08:00</x:t>
        </x:is>
      </x:c>
      <x:c r="C1599" s="604" t="str">
        <x:v>五大联赛杯赛</x:v>
      </x:c>
      <x:c r="D1599" s="604" t="inlineStr">
        <x:is>
          <x:t xml:space="preserve"/>
        </x:is>
      </x:c>
      <x:c r="E1599" s="604" t="inlineStr">
        <x:is>
          <x:t xml:space="preserve">英U21杯</x:t>
        </x:is>
      </x:c>
      <x:c r="F1599" s="604" t="inlineStr">
        <x:is>
          <x:t xml:space="preserve">纽卡斯尔联U21 vs 卢顿U21</x:t>
        </x:is>
      </x:c>
      <x:c r="G1599" s="604" t="n">
        <x:v>0.91</x:v>
      </x:c>
      <x:c r="H1599" s="604" t="n">
        <x:v>1.25</x:v>
      </x:c>
      <x:c r="I1599" s="604" t="n">
        <x:v>0.79</x:v>
      </x:c>
      <x:c r="J1599" s="604" t="inlineStr">
        <x:is>
          <x:t xml:space="preserve">0.91/1.25/0.79</x:t>
        </x:is>
      </x:c>
      <x:c r="K1599" s="604" t="inlineStr">
        <x:is>
          <x:t xml:space="preserve">V4-N</x:t>
        </x:is>
      </x:c>
      <x:c r="L1599" s="604" t="inlineStr">
        <x:is>
          <x:t xml:space="preserve"/>
        </x:is>
      </x:c>
      <x:c r="M1599" s="604" t="n">
        <x:v>0.4499549615462993</x:v>
      </x:c>
      <x:c r="N1599" s="604" t="inlineStr">
        <x:is>
          <x:t xml:space="preserve">V4 Shadow Only；real_money=false</x:t>
        </x:is>
      </x:c>
      <x:c r="O1599" s="604" t="inlineStr">
        <x:is>
          <x:t xml:space="preserve">0-0</x:t>
        </x:is>
      </x:c>
      <x:c r="P1599" s="604" t="inlineStr">
        <x:is>
          <x:t xml:space="preserve">EVALUATED</x:t>
        </x:is>
      </x:c>
      <x:c r="Q1599" s="630" t="inlineStr">
        <x:is>
          <x:t xml:space="preserve"/>
        </x:is>
      </x:c>
      <x:c r="R1599" s="604" t="n"/>
      <x:c r="S1599" s="604" t="n"/>
      <x:c r="T1599" s="604" t="inlineStr">
        <x:is>
          <x:t xml:space="preserve">D:\codex\v3_legacy\outputs\football_odds_trader\raw\titan007\20261009\20261009_085232_titan007_odds_snapshot.csv</x:t>
        </x:is>
      </x:c>
      <x:c r="U1599" s="628" t="inlineStr">
        <x:is>
          <x:t xml:space="preserve"/>
        </x:is>
      </x:c>
      <x:c r="V1599" s="604" t="inlineStr">
        <x:is>
          <x:t xml:space="preserve"/>
        </x:is>
      </x:c>
      <x:c r="W1599" s="604" t="inlineStr">
        <x:is>
          <x:t xml:space="preserve"/>
        </x:is>
      </x:c>
      <x:c r="X1599" s="604" t="inlineStr">
        <x:is>
          <x:t xml:space="preserve">3062669</x:t>
        </x:is>
      </x:c>
      <x:c r="Y1599" s="604" t="inlineStr">
        <x:is>
          <x:t xml:space="preserve">V4</x:t>
        </x:is>
      </x:c>
      <x:c r="Z1599" s="604" t="inlineStr">
        <x:is>
          <x:t xml:space="preserve">prior-2026-10-09-v1</x:t>
        </x:is>
      </x:c>
      <x:c r="AA1599" s="604" t="inlineStr">
        <x:is>
          <x:t xml:space="preserve">N</x:t>
        </x:is>
      </x:c>
      <x:c r="AB1599" s="604" t="n">
        <x:v>0.4499549615462993</x:v>
      </x:c>
      <x:c r="AC1599" s="604" t="n">
        <x:v>0.4241079994403436</x:v>
      </x:c>
      <x:c r="AD1599" s="604" t="n">
        <x:v>1.5</x:v>
      </x:c>
      <x:c r="AE1599" s="604" t="n"/>
      <x:c r="AF1599" s="604" t="n"/>
      <x:c r="AG1599" s="604" t="n">
        <x:v>-0.01464898443321117</x:v>
      </x:c>
      <x:c r="AH1599" s="604" t="n"/>
      <x:c r="AI1599" s="604" t="n"/>
      <x:c r="AJ1599" s="604" t="n">
        <x:v>-0.01464898443321117</x:v>
      </x:c>
      <x:c r="AK1599" s="604" t="n"/>
      <x:c r="AL1599" s="604" t="n"/>
      <x:c r="AM1599" s="604" t="n"/>
      <x:c r="AN1599" s="604" t="inlineStr">
        <x:is>
          <x:t xml:space="preserve">EVALUATED</x:t>
        </x:is>
      </x:c>
      <x:c r="AO1599" s="604" t="inlineStr">
        <x:is>
          <x:t xml:space="preserve">EDGE_BELOW_UNCERTAINTY_THRESHOLD;BUCKET_PRIOR_ONLY;INTENT_INTERPRETATION_ONLY;FFL_OPTIONAL;EXPERT_MARKET</x:t>
        </x:is>
      </x:c>
      <x:c r="AP1599" s="604" t="inlineStr">
        <x:is>
          <x:t xml:space="preserve">f0306f00fe43b03ca312</x:t>
        </x:is>
      </x:c>
      <x:c r="AQ1599" s="604" t="n"/>
      <x:c r="AR1599" s="604" t="n"/>
      <x:c r="AS1599" s="604" t="n">
        <x:v>1.25</x:v>
      </x:c>
      <x:c r="AT1599" s="604" t="n">
        <x:v>-1.25</x:v>
      </x:c>
      <x:c r="AU1599" s="604" t="n">
        <x:v>0.91</x:v>
      </x:c>
      <x:c r="AV1599" s="604" t="n">
        <x:v>0.79</x:v>
      </x:c>
      <x:c r="AW1599" s="604" t="inlineStr">
        <x:is>
          <x:t xml:space="preserve">2026-10-09T09:01:21.127001+08:00</x:t>
        </x:is>
      </x:c>
      <x:c r="AX1599" s="604" t="inlineStr">
        <x:is>
          <x:t xml:space="preserve">Titan007/V4</x:t>
        </x:is>
      </x:c>
      <x:c r="AY1599" s="604" t="inlineStr">
        <x:is>
          <x:t xml:space="preserve">Daily append；市场输入缺失时不生成决策</x:t>
        </x:is>
      </x:c>
    </x:row>
    <x:row r="1600" ht="22" customHeight="1">
      <x:c r="A1600" s="604" t="inlineStr">
        <x:is>
          <x:t xml:space="preserve">2026-10-09</x:t>
        </x:is>
      </x:c>
      <x:c r="B1600" s="604" t="inlineStr">
        <x:is>
          <x:t xml:space="preserve">2026-10-10T02:00:00+08:00</x:t>
        </x:is>
      </x:c>
      <x:c r="C1600" s="604" t="str">
        <x:v>五大联赛杯赛</x:v>
      </x:c>
      <x:c r="D1600" s="604" t="inlineStr">
        <x:is>
          <x:t xml:space="preserve"/>
        </x:is>
      </x:c>
      <x:c r="E1600" s="604" t="inlineStr">
        <x:is>
          <x:t xml:space="preserve">英U21杯</x:t>
        </x:is>
      </x:c>
      <x:c r="F1600" s="604" t="inlineStr">
        <x:is>
          <x:t xml:space="preserve">彼得堡联U21 vs 诺丁汉森林U21</x:t>
        </x:is>
      </x:c>
      <x:c r="G1600" s="604" t="n">
        <x:v>0.9</x:v>
      </x:c>
      <x:c r="H1600" s="604" t="n">
        <x:v>-0.5</x:v>
      </x:c>
      <x:c r="I1600" s="604" t="n">
        <x:v>0.8</x:v>
      </x:c>
      <x:c r="J1600" s="604" t="inlineStr">
        <x:is>
          <x:t xml:space="preserve">0.9/-0.5/0.8</x:t>
        </x:is>
      </x:c>
      <x:c r="K1600" s="604" t="inlineStr">
        <x:is>
          <x:t xml:space="preserve">V4-N</x:t>
        </x:is>
      </x:c>
      <x:c r="L1600" s="604" t="inlineStr">
        <x:is>
          <x:t xml:space="preserve"/>
        </x:is>
      </x:c>
      <x:c r="M1600" s="604" t="n">
        <x:v>0.2198646835626548</x:v>
      </x:c>
      <x:c r="N1600" s="604" t="inlineStr">
        <x:is>
          <x:t xml:space="preserve">V4 Shadow Only；real_money=false</x:t>
        </x:is>
      </x:c>
      <x:c r="O1600" s="604" t="inlineStr">
        <x:is>
          <x:t xml:space="preserve">0-0</x:t>
        </x:is>
      </x:c>
      <x:c r="P1600" s="604" t="inlineStr">
        <x:is>
          <x:t xml:space="preserve">EVALUATED</x:t>
        </x:is>
      </x:c>
      <x:c r="Q1600" s="630" t="inlineStr">
        <x:is>
          <x:t xml:space="preserve"/>
        </x:is>
      </x:c>
      <x:c r="R1600" s="604" t="n"/>
      <x:c r="S1600" s="604" t="n"/>
      <x:c r="T1600" s="604" t="inlineStr">
        <x:is>
          <x:t xml:space="preserve">D:\codex\v3_legacy\outputs\football_odds_trader\raw\titan007\20261009\20261009_085232_titan007_odds_snapshot.csv</x:t>
        </x:is>
      </x:c>
      <x:c r="U1600" s="628" t="inlineStr">
        <x:is>
          <x:t xml:space="preserve"/>
        </x:is>
      </x:c>
      <x:c r="V1600" s="604" t="inlineStr">
        <x:is>
          <x:t xml:space="preserve"/>
        </x:is>
      </x:c>
      <x:c r="W1600" s="604" t="inlineStr">
        <x:is>
          <x:t xml:space="preserve"/>
        </x:is>
      </x:c>
      <x:c r="X1600" s="604" t="inlineStr">
        <x:is>
          <x:t xml:space="preserve">3062670</x:t>
        </x:is>
      </x:c>
      <x:c r="Y1600" s="604" t="inlineStr">
        <x:is>
          <x:t xml:space="preserve">V4</x:t>
        </x:is>
      </x:c>
      <x:c r="Z1600" s="604" t="inlineStr">
        <x:is>
          <x:t xml:space="preserve">prior-2026-10-09-v1</x:t>
        </x:is>
      </x:c>
      <x:c r="AA1600" s="604" t="inlineStr">
        <x:is>
          <x:t xml:space="preserve">N</x:t>
        </x:is>
      </x:c>
      <x:c r="AB1600" s="604" t="n">
        <x:v>0.2198646835626548</x:v>
      </x:c>
      <x:c r="AC1600" s="604" t="n">
        <x:v>0.7801353164373451</x:v>
      </x:c>
      <x:c r="AD1600" s="604" t="n">
        <x:v>-0.75</x:v>
      </x:c>
      <x:c r="AE1600" s="604" t="n"/>
      <x:c r="AF1600" s="604" t="n"/>
      <x:c r="AG1600" s="604" t="n">
        <x:v>0.4822571012309558</x:v>
      </x:c>
      <x:c r="AH1600" s="604" t="n"/>
      <x:c r="AI1600" s="604" t="n"/>
      <x:c r="AJ1600" s="604" t="n">
        <x:v>0.4822571012309558</x:v>
      </x:c>
      <x:c r="AK1600" s="604" t="n"/>
      <x:c r="AL1600" s="604" t="n"/>
      <x:c r="AM1600" s="604" t="n"/>
      <x:c r="AN1600" s="604" t="inlineStr">
        <x:is>
          <x:t xml:space="preserve">EVALUATED</x:t>
        </x:is>
      </x:c>
      <x:c r="AO1600" s="604" t="inlineStr">
        <x:is>
          <x:t xml:space="preserve">LOW_QUALITY_GATE;BUCKET_PRIOR_ONLY;INTENT_INTERPRETATION_ONLY;FFL_OPTIONAL;EXPERT_MARKET</x:t>
        </x:is>
      </x:c>
      <x:c r="AP1600" s="604" t="inlineStr">
        <x:is>
          <x:t xml:space="preserve">28065d727e13e35acad8</x:t>
        </x:is>
      </x:c>
      <x:c r="AQ1600" s="604" t="n"/>
      <x:c r="AR1600" s="604" t="n"/>
      <x:c r="AS1600" s="604" t="n">
        <x:v>-0.5</x:v>
      </x:c>
      <x:c r="AT1600" s="604" t="n">
        <x:v>0.5</x:v>
      </x:c>
      <x:c r="AU1600" s="604" t="n">
        <x:v>0.9</x:v>
      </x:c>
      <x:c r="AV1600" s="604" t="n">
        <x:v>0.8</x:v>
      </x:c>
      <x:c r="AW1600" s="604" t="inlineStr">
        <x:is>
          <x:t xml:space="preserve">2026-10-09T09:01:21.127001+08:00</x:t>
        </x:is>
      </x:c>
      <x:c r="AX1600" s="604" t="inlineStr">
        <x:is>
          <x:t xml:space="preserve">Titan007/V4</x:t>
        </x:is>
      </x:c>
      <x:c r="AY1600" s="604" t="inlineStr">
        <x:is>
          <x:t xml:space="preserve">Daily append；市场输入缺失时不生成决策</x:t>
        </x:is>
      </x:c>
    </x:row>
    <x:row r="1601" ht="22" customHeight="1">
      <x:c r="A1601" s="604" t="inlineStr">
        <x:is>
          <x:t xml:space="preserve">2026-10-09</x:t>
        </x:is>
      </x:c>
      <x:c r="B1601" s="604" t="inlineStr">
        <x:is>
          <x:t xml:space="preserve">2026-10-10T02:00:00+08:00</x:t>
        </x:is>
      </x:c>
      <x:c r="C1601" s="604" t="str">
        <x:v>五大联赛杯赛</x:v>
      </x:c>
      <x:c r="D1601" s="604" t="inlineStr">
        <x:is>
          <x:t xml:space="preserve"/>
        </x:is>
      </x:c>
      <x:c r="E1601" s="604" t="inlineStr">
        <x:is>
          <x:t xml:space="preserve">英U21杯</x:t>
        </x:is>
      </x:c>
      <x:c r="F1601" s="604" t="inlineStr">
        <x:is>
          <x:t xml:space="preserve">般尼U21 vs 普雷斯顿U21</x:t>
        </x:is>
      </x:c>
      <x:c r="G1601" s="604" t="n">
        <x:v>0.98</x:v>
      </x:c>
      <x:c r="H1601" s="604" t="n">
        <x:v>0.75</x:v>
      </x:c>
      <x:c r="I1601" s="604" t="n">
        <x:v>0.83</x:v>
      </x:c>
      <x:c r="J1601" s="604" t="inlineStr">
        <x:is>
          <x:t xml:space="preserve">0.98/0.75/0.83</x:t>
        </x:is>
      </x:c>
      <x:c r="K1601" s="604" t="inlineStr">
        <x:is>
          <x:t xml:space="preserve">V4-N</x:t>
        </x:is>
      </x:c>
      <x:c r="L1601" s="604" t="inlineStr">
        <x:is>
          <x:t xml:space="preserve"/>
        </x:is>
      </x:c>
      <x:c r="M1601" s="604" t="n">
        <x:v>0.4652734136008717</x:v>
      </x:c>
      <x:c r="N1601" s="604" t="inlineStr">
        <x:is>
          <x:t xml:space="preserve">V4 Shadow Only；real_money=false</x:t>
        </x:is>
      </x:c>
      <x:c r="O1601" s="604" t="inlineStr">
        <x:is>
          <x:t xml:space="preserve">0-0</x:t>
        </x:is>
      </x:c>
      <x:c r="P1601" s="604" t="inlineStr">
        <x:is>
          <x:t xml:space="preserve">EVALUATED</x:t>
        </x:is>
      </x:c>
      <x:c r="Q1601" s="630" t="inlineStr">
        <x:is>
          <x:t xml:space="preserve"/>
        </x:is>
      </x:c>
      <x:c r="R1601" s="604" t="n"/>
      <x:c r="S1601" s="604" t="n"/>
      <x:c r="T1601" s="604" t="inlineStr">
        <x:is>
          <x:t xml:space="preserve">D:\codex\v3_legacy\outputs\football_odds_trader\raw\titan007\20261009\20261009_085232_titan007_odds_snapshot.csv</x:t>
        </x:is>
      </x:c>
      <x:c r="U1601" s="628" t="inlineStr">
        <x:is>
          <x:t xml:space="preserve"/>
        </x:is>
      </x:c>
      <x:c r="V1601" s="604" t="inlineStr">
        <x:is>
          <x:t xml:space="preserve"/>
        </x:is>
      </x:c>
      <x:c r="W1601" s="604" t="inlineStr">
        <x:is>
          <x:t xml:space="preserve"/>
        </x:is>
      </x:c>
      <x:c r="X1601" s="604" t="inlineStr">
        <x:is>
          <x:t xml:space="preserve">3062682</x:t>
        </x:is>
      </x:c>
      <x:c r="Y1601" s="604" t="inlineStr">
        <x:is>
          <x:t xml:space="preserve">V4</x:t>
        </x:is>
      </x:c>
      <x:c r="Z1601" s="604" t="inlineStr">
        <x:is>
          <x:t xml:space="preserve">prior-2026-10-09-v1</x:t>
        </x:is>
      </x:c>
      <x:c r="AA1601" s="604" t="inlineStr">
        <x:is>
          <x:t xml:space="preserve">N</x:t>
        </x:is>
      </x:c>
      <x:c r="AB1601" s="604" t="n">
        <x:v>0.4652734136008717</x:v>
      </x:c>
      <x:c r="AC1601" s="604" t="n">
        <x:v>0.4086162337217162</x:v>
      </x:c>
      <x:c r="AD1601" s="604" t="n">
        <x:v>1</x:v>
      </x:c>
      <x:c r="AE1601" s="604" t="n"/>
      <x:c r="AF1601" s="604" t="n"/>
      <x:c r="AG1601" s="604" t="n">
        <x:v>0.04735171160713803</x:v>
      </x:c>
      <x:c r="AH1601" s="604" t="n"/>
      <x:c r="AI1601" s="604" t="n"/>
      <x:c r="AJ1601" s="604" t="n">
        <x:v>0.04735171160713803</x:v>
      </x:c>
      <x:c r="AK1601" s="604" t="n"/>
      <x:c r="AL1601" s="604" t="n"/>
      <x:c r="AM1601" s="604" t="n"/>
      <x:c r="AN1601" s="604" t="inlineStr">
        <x:is>
          <x:t xml:space="preserve">EVALUATED</x:t>
        </x:is>
      </x:c>
      <x:c r="AO1601" s="604" t="inlineStr">
        <x:is>
          <x:t xml:space="preserve">EDGE_BELOW_UNCERTAINTY_THRESHOLD;BUCKET_PRIOR_ONLY;INTENT_INTERPRETATION_ONLY;FFL_OPTIONAL;EXPERT_MARKET</x:t>
        </x:is>
      </x:c>
      <x:c r="AP1601" s="604" t="inlineStr">
        <x:is>
          <x:t xml:space="preserve">0e3ddc55666d14a8adbc</x:t>
        </x:is>
      </x:c>
      <x:c r="AQ1601" s="604" t="n"/>
      <x:c r="AR1601" s="604" t="n"/>
      <x:c r="AS1601" s="604" t="n">
        <x:v>0.75</x:v>
      </x:c>
      <x:c r="AT1601" s="604" t="n">
        <x:v>-0.75</x:v>
      </x:c>
      <x:c r="AU1601" s="604" t="n">
        <x:v>0.98</x:v>
      </x:c>
      <x:c r="AV1601" s="604" t="n">
        <x:v>0.83</x:v>
      </x:c>
      <x:c r="AW1601" s="604" t="inlineStr">
        <x:is>
          <x:t xml:space="preserve">2026-10-09T09:01:21.127001+08:00</x:t>
        </x:is>
      </x:c>
      <x:c r="AX1601" s="604" t="inlineStr">
        <x:is>
          <x:t xml:space="preserve">Titan007/V4</x:t>
        </x:is>
      </x:c>
      <x:c r="AY1601" s="604" t="inlineStr">
        <x:is>
          <x:t xml:space="preserve">Daily append；市场输入缺失时不生成决策</x:t>
        </x:is>
      </x:c>
    </x:row>
    <x:row r="1602" ht="22" customHeight="1">
      <x:c r="A1602" s="604" t="inlineStr">
        <x:is>
          <x:t xml:space="preserve">2026-10-09</x:t>
        </x:is>
      </x:c>
      <x:c r="B1602" s="604" t="inlineStr">
        <x:is>
          <x:t xml:space="preserve">2026-10-10T02:00:00+08:00</x:t>
        </x:is>
      </x:c>
      <x:c r="C1602" s="604" t="str">
        <x:v>五大联赛杯赛</x:v>
      </x:c>
      <x:c r="D1602" s="604" t="inlineStr">
        <x:is>
          <x:t xml:space="preserve"/>
        </x:is>
      </x:c>
      <x:c r="E1602" s="604" t="inlineStr">
        <x:is>
          <x:t xml:space="preserve">英U21杯</x:t>
        </x:is>
      </x:c>
      <x:c r="F1602" s="604" t="inlineStr">
        <x:is>
          <x:t xml:space="preserve">狼队U21 vs 弗利特伍德U21</x:t>
        </x:is>
      </x:c>
      <x:c r="G1602" s="604" t="n">
        <x:v>0.98</x:v>
      </x:c>
      <x:c r="H1602" s="604" t="n">
        <x:v>1.75</x:v>
      </x:c>
      <x:c r="I1602" s="604" t="n">
        <x:v>0.83</x:v>
      </x:c>
      <x:c r="J1602" s="604" t="inlineStr">
        <x:is>
          <x:t xml:space="preserve">0.98/1.75/0.83</x:t>
        </x:is>
      </x:c>
      <x:c r="K1602" s="604" t="inlineStr">
        <x:is>
          <x:t xml:space="preserve">V4-N</x:t>
        </x:is>
      </x:c>
      <x:c r="L1602" s="604" t="inlineStr">
        <x:is>
          <x:t xml:space="preserve"/>
        </x:is>
      </x:c>
      <x:c r="M1602" s="604" t="n">
        <x:v>0.4147479381345744</x:v>
      </x:c>
      <x:c r="N1602" s="604" t="inlineStr">
        <x:is>
          <x:t xml:space="preserve">V4 Shadow Only；real_money=false</x:t>
        </x:is>
      </x:c>
      <x:c r="O1602" s="604" t="inlineStr">
        <x:is>
          <x:t xml:space="preserve">0-0</x:t>
        </x:is>
      </x:c>
      <x:c r="P1602" s="604" t="inlineStr">
        <x:is>
          <x:t xml:space="preserve">EVALUATED</x:t>
        </x:is>
      </x:c>
      <x:c r="Q1602" s="630" t="inlineStr">
        <x:is>
          <x:t xml:space="preserve"/>
        </x:is>
      </x:c>
      <x:c r="R1602" s="604" t="n"/>
      <x:c r="S1602" s="604" t="n"/>
      <x:c r="T1602" s="604" t="inlineStr">
        <x:is>
          <x:t xml:space="preserve">D:\codex\v3_legacy\outputs\football_odds_trader\raw\titan007\20261009\20261009_085232_titan007_odds_snapshot.csv</x:t>
        </x:is>
      </x:c>
      <x:c r="U1602" s="628" t="inlineStr">
        <x:is>
          <x:t xml:space="preserve"/>
        </x:is>
      </x:c>
      <x:c r="V1602" s="604" t="inlineStr">
        <x:is>
          <x:t xml:space="preserve"/>
        </x:is>
      </x:c>
      <x:c r="W1602" s="604" t="inlineStr">
        <x:is>
          <x:t xml:space="preserve"/>
        </x:is>
      </x:c>
      <x:c r="X1602" s="604" t="inlineStr">
        <x:is>
          <x:t xml:space="preserve">3062683</x:t>
        </x:is>
      </x:c>
      <x:c r="Y1602" s="604" t="inlineStr">
        <x:is>
          <x:t xml:space="preserve">V4</x:t>
        </x:is>
      </x:c>
      <x:c r="Z1602" s="604" t="inlineStr">
        <x:is>
          <x:t xml:space="preserve">prior-2026-10-09-v1</x:t>
        </x:is>
      </x:c>
      <x:c r="AA1602" s="604" t="inlineStr">
        <x:is>
          <x:t xml:space="preserve">N</x:t>
        </x:is>
      </x:c>
      <x:c r="AB1602" s="604" t="n">
        <x:v>0.4147479381345744</x:v>
      </x:c>
      <x:c r="AC1602" s="604" t="n">
        <x:v>0.4689507830876428</x:v>
      </x:c>
      <x:c r="AD1602" s="604" t="n">
        <x:v>1.75</x:v>
      </x:c>
      <x:c r="AE1602" s="604" t="n"/>
      <x:c r="AF1602" s="604" t="n"/>
      <x:c r="AG1602" s="604" t="n">
        <x:v>-0.0255187881718309</x:v>
      </x:c>
      <x:c r="AH1602" s="604" t="n"/>
      <x:c r="AI1602" s="604" t="n"/>
      <x:c r="AJ1602" s="604" t="n">
        <x:v>-0.0255187881718309</x:v>
      </x:c>
      <x:c r="AK1602" s="604" t="n"/>
      <x:c r="AL1602" s="604" t="n"/>
      <x:c r="AM1602" s="604" t="n"/>
      <x:c r="AN1602" s="604" t="inlineStr">
        <x:is>
          <x:t xml:space="preserve">EVALUATED</x:t>
        </x:is>
      </x:c>
      <x:c r="AO1602" s="604" t="inlineStr">
        <x:is>
          <x:t xml:space="preserve">EDGE_BELOW_UNCERTAINTY_THRESHOLD;BUCKET_PRIOR_ONLY;INTENT_INTERPRETATION_ONLY;FFL_OPTIONAL;EXPERT_MARKET</x:t>
        </x:is>
      </x:c>
      <x:c r="AP1602" s="604" t="inlineStr">
        <x:is>
          <x:t xml:space="preserve">0c9af54edf7f72ff7b0b</x:t>
        </x:is>
      </x:c>
      <x:c r="AQ1602" s="604" t="n"/>
      <x:c r="AR1602" s="604" t="n"/>
      <x:c r="AS1602" s="604" t="n">
        <x:v>1.75</x:v>
      </x:c>
      <x:c r="AT1602" s="604" t="n">
        <x:v>-1.75</x:v>
      </x:c>
      <x:c r="AU1602" s="604" t="n">
        <x:v>0.98</x:v>
      </x:c>
      <x:c r="AV1602" s="604" t="n">
        <x:v>0.83</x:v>
      </x:c>
      <x:c r="AW1602" s="604" t="inlineStr">
        <x:is>
          <x:t xml:space="preserve">2026-10-09T09:01:21.127001+08:00</x:t>
        </x:is>
      </x:c>
      <x:c r="AX1602" s="604" t="inlineStr">
        <x:is>
          <x:t xml:space="preserve">Titan007/V4</x:t>
        </x:is>
      </x:c>
      <x:c r="AY1602" s="604" t="inlineStr">
        <x:is>
          <x:t xml:space="preserve">Daily append；市场输入缺失时不生成决策</x:t>
        </x:is>
      </x:c>
    </x:row>
    <x:row r="1603" ht="22" customHeight="1">
      <x:c r="A1603" s="604" t="inlineStr">
        <x:is>
          <x:t xml:space="preserve">2026-10-09</x:t>
        </x:is>
      </x:c>
      <x:c r="B1603" s="604" t="inlineStr">
        <x:is>
          <x:t xml:space="preserve">2026-10-10T02:00:00+08:00</x:t>
        </x:is>
      </x:c>
      <x:c r="C1603" s="604" t="str">
        <x:v>五大联赛杯赛</x:v>
      </x:c>
      <x:c r="D1603" s="604" t="inlineStr">
        <x:is>
          <x:t xml:space="preserve"/>
        </x:is>
      </x:c>
      <x:c r="E1603" s="604" t="inlineStr">
        <x:is>
          <x:t xml:space="preserve">英U21杯</x:t>
        </x:is>
      </x:c>
      <x:c r="F1603" s="604" t="inlineStr">
        <x:is>
          <x:t xml:space="preserve">布莱顿U21 vs 谢菲尔德联队U21</x:t>
        </x:is>
      </x:c>
      <x:c r="G1603" s="604" t="n">
        <x:v>0.8</x:v>
      </x:c>
      <x:c r="H1603" s="604" t="n">
        <x:v>0.75</x:v>
      </x:c>
      <x:c r="I1603" s="604" t="n">
        <x:v>1</x:v>
      </x:c>
      <x:c r="J1603" s="604" t="inlineStr">
        <x:is>
          <x:t xml:space="preserve">0.8/0.75/1.0</x:t>
        </x:is>
      </x:c>
      <x:c r="K1603" s="604" t="inlineStr">
        <x:is>
          <x:t xml:space="preserve">V4-N</x:t>
        </x:is>
      </x:c>
      <x:c r="L1603" s="604" t="inlineStr">
        <x:is>
          <x:t xml:space="preserve"/>
        </x:is>
      </x:c>
      <x:c r="M1603" s="604" t="n">
        <x:v>0.4706279849747704</x:v>
      </x:c>
      <x:c r="N1603" s="604" t="inlineStr">
        <x:is>
          <x:t xml:space="preserve">V4 Shadow Only；real_money=false</x:t>
        </x:is>
      </x:c>
      <x:c r="O1603" s="604" t="inlineStr">
        <x:is>
          <x:t xml:space="preserve">0-0</x:t>
        </x:is>
      </x:c>
      <x:c r="P1603" s="604" t="inlineStr">
        <x:is>
          <x:t xml:space="preserve">EVALUATED</x:t>
        </x:is>
      </x:c>
      <x:c r="Q1603" s="630" t="inlineStr">
        <x:is>
          <x:t xml:space="preserve"/>
        </x:is>
      </x:c>
      <x:c r="R1603" s="604" t="n"/>
      <x:c r="S1603" s="604" t="n"/>
      <x:c r="T1603" s="604" t="inlineStr">
        <x:is>
          <x:t xml:space="preserve">D:\codex\v3_legacy\outputs\football_odds_trader\raw\titan007\20261009\20261009_085232_titan007_odds_snapshot.csv</x:t>
        </x:is>
      </x:c>
      <x:c r="U1603" s="628" t="inlineStr">
        <x:is>
          <x:t xml:space="preserve"/>
        </x:is>
      </x:c>
      <x:c r="V1603" s="604" t="inlineStr">
        <x:is>
          <x:t xml:space="preserve"/>
        </x:is>
      </x:c>
      <x:c r="W1603" s="604" t="inlineStr">
        <x:is>
          <x:t xml:space="preserve"/>
        </x:is>
      </x:c>
      <x:c r="X1603" s="604" t="inlineStr">
        <x:is>
          <x:t xml:space="preserve">3062694</x:t>
        </x:is>
      </x:c>
      <x:c r="Y1603" s="604" t="inlineStr">
        <x:is>
          <x:t xml:space="preserve">V4</x:t>
        </x:is>
      </x:c>
      <x:c r="Z1603" s="604" t="inlineStr">
        <x:is>
          <x:t xml:space="preserve">prior-2026-10-09-v1</x:t>
        </x:is>
      </x:c>
      <x:c r="AA1603" s="604" t="inlineStr">
        <x:is>
          <x:t xml:space="preserve">N</x:t>
        </x:is>
      </x:c>
      <x:c r="AB1603" s="604" t="n">
        <x:v>0.4706279849747704</x:v>
      </x:c>
      <x:c r="AC1603" s="604" t="n">
        <x:v>0.4029664723313531</x:v>
      </x:c>
      <x:c r="AD1603" s="604" t="n">
        <x:v>1</x:v>
      </x:c>
      <x:c r="AE1603" s="604" t="n"/>
      <x:c r="AF1603" s="604" t="n"/>
      <x:c r="AG1603" s="604" t="n">
        <x:v>-0.02646408435153669</x:v>
      </x:c>
      <x:c r="AH1603" s="604" t="n"/>
      <x:c r="AI1603" s="604" t="n"/>
      <x:c r="AJ1603" s="604" t="n">
        <x:v>-0.02646408435153669</x:v>
      </x:c>
      <x:c r="AK1603" s="604" t="n"/>
      <x:c r="AL1603" s="604" t="n"/>
      <x:c r="AM1603" s="604" t="n"/>
      <x:c r="AN1603" s="604" t="inlineStr">
        <x:is>
          <x:t xml:space="preserve">EVALUATED</x:t>
        </x:is>
      </x:c>
      <x:c r="AO1603" s="604" t="inlineStr">
        <x:is>
          <x:t xml:space="preserve">EDGE_BELOW_UNCERTAINTY_THRESHOLD;BUCKET_PRIOR_ONLY;INTENT_INTERPRETATION_ONLY;FFL_OPTIONAL;EXPERT_MARKET</x:t>
        </x:is>
      </x:c>
      <x:c r="AP1603" s="604" t="inlineStr">
        <x:is>
          <x:t xml:space="preserve">65653e24a14f5b836699</x:t>
        </x:is>
      </x:c>
      <x:c r="AQ1603" s="604" t="n"/>
      <x:c r="AR1603" s="604" t="n"/>
      <x:c r="AS1603" s="604" t="n">
        <x:v>0.75</x:v>
      </x:c>
      <x:c r="AT1603" s="604" t="n">
        <x:v>-0.75</x:v>
      </x:c>
      <x:c r="AU1603" s="604" t="n">
        <x:v>0.8</x:v>
      </x:c>
      <x:c r="AV1603" s="604" t="n">
        <x:v>1</x:v>
      </x:c>
      <x:c r="AW1603" s="604" t="inlineStr">
        <x:is>
          <x:t xml:space="preserve">2026-10-09T09:01:21.127001+08:00</x:t>
        </x:is>
      </x:c>
      <x:c r="AX1603" s="604" t="inlineStr">
        <x:is>
          <x:t xml:space="preserve">Titan007/V4</x:t>
        </x:is>
      </x:c>
      <x:c r="AY1603" s="604" t="inlineStr">
        <x:is>
          <x:t xml:space="preserve">Daily append；市场输入缺失时不生成决策</x:t>
        </x:is>
      </x:c>
    </x:row>
    <x:row r="1604" ht="22" customHeight="1">
      <x:c r="A1604" s="604" t="inlineStr">
        <x:is>
          <x:t xml:space="preserve">2026-10-09</x:t>
        </x:is>
      </x:c>
      <x:c r="B1604" s="604" t="inlineStr">
        <x:is>
          <x:t xml:space="preserve">2026-10-10T02:00:00+08:00</x:t>
        </x:is>
      </x:c>
      <x:c r="C1604" s="604" t="str">
        <x:v>五大联赛杯赛</x:v>
      </x:c>
      <x:c r="D1604" s="604" t="inlineStr">
        <x:is>
          <x:t xml:space="preserve"/>
        </x:is>
      </x:c>
      <x:c r="E1604" s="604" t="inlineStr">
        <x:is>
          <x:t xml:space="preserve">英U21杯</x:t>
        </x:is>
      </x:c>
      <x:c r="F1604" s="604" t="inlineStr">
        <x:is>
          <x:t xml:space="preserve">米禾尔U21 vs 西汉姆U21</x:t>
        </x:is>
      </x:c>
      <x:c r="G1604" s="604" t="n">
        <x:v>0.93</x:v>
      </x:c>
      <x:c r="H1604" s="604" t="n">
        <x:v>-0.5</x:v>
      </x:c>
      <x:c r="I1604" s="604" t="n">
        <x:v>0.88</x:v>
      </x:c>
      <x:c r="J1604" s="604" t="inlineStr">
        <x:is>
          <x:t xml:space="preserve">0.93/-0.5/0.88</x:t>
        </x:is>
      </x:c>
      <x:c r="K1604" s="604" t="inlineStr">
        <x:is>
          <x:t xml:space="preserve">V4-N</x:t>
        </x:is>
      </x:c>
      <x:c r="L1604" s="604" t="inlineStr">
        <x:is>
          <x:t xml:space="preserve"/>
        </x:is>
      </x:c>
      <x:c r="M1604" s="604" t="n">
        <x:v>0.2159200780836237</x:v>
      </x:c>
      <x:c r="N1604" s="604" t="inlineStr">
        <x:is>
          <x:t xml:space="preserve">V4 Shadow Only；real_money=false</x:t>
        </x:is>
      </x:c>
      <x:c r="O1604" s="604" t="inlineStr">
        <x:is>
          <x:t xml:space="preserve">0-0</x:t>
        </x:is>
      </x:c>
      <x:c r="P1604" s="604" t="inlineStr">
        <x:is>
          <x:t xml:space="preserve">EVALUATED</x:t>
        </x:is>
      </x:c>
      <x:c r="Q1604" s="630" t="inlineStr">
        <x:is>
          <x:t xml:space="preserve"/>
        </x:is>
      </x:c>
      <x:c r="R1604" s="604" t="n"/>
      <x:c r="S1604" s="604" t="n"/>
      <x:c r="T1604" s="604" t="inlineStr">
        <x:is>
          <x:t xml:space="preserve">D:\codex\v3_legacy\outputs\football_odds_trader\raw\titan007\20261009\20261009_085232_titan007_odds_snapshot.csv</x:t>
        </x:is>
      </x:c>
      <x:c r="U1604" s="628" t="inlineStr">
        <x:is>
          <x:t xml:space="preserve"/>
        </x:is>
      </x:c>
      <x:c r="V1604" s="604" t="inlineStr">
        <x:is>
          <x:t xml:space="preserve"/>
        </x:is>
      </x:c>
      <x:c r="W1604" s="604" t="inlineStr">
        <x:is>
          <x:t xml:space="preserve"/>
        </x:is>
      </x:c>
      <x:c r="X1604" s="604" t="inlineStr">
        <x:is>
          <x:t xml:space="preserve">3062695</x:t>
        </x:is>
      </x:c>
      <x:c r="Y1604" s="604" t="inlineStr">
        <x:is>
          <x:t xml:space="preserve">V4</x:t>
        </x:is>
      </x:c>
      <x:c r="Z1604" s="604" t="inlineStr">
        <x:is>
          <x:t xml:space="preserve">prior-2026-10-09-v1</x:t>
        </x:is>
      </x:c>
      <x:c r="AA1604" s="604" t="inlineStr">
        <x:is>
          <x:t xml:space="preserve">N</x:t>
        </x:is>
      </x:c>
      <x:c r="AB1604" s="604" t="n">
        <x:v>0.2159200780836237</x:v>
      </x:c>
      <x:c r="AC1604" s="604" t="n">
        <x:v>0.7840799219163763</x:v>
      </x:c>
      <x:c r="AD1604" s="604" t="n">
        <x:v>-0.75</x:v>
      </x:c>
      <x:c r="AE1604" s="604" t="n"/>
      <x:c r="AF1604" s="604" t="n"/>
      <x:c r="AG1604" s="604" t="n">
        <x:v>0.5132742492986063</x:v>
      </x:c>
      <x:c r="AH1604" s="604" t="n"/>
      <x:c r="AI1604" s="604" t="n"/>
      <x:c r="AJ1604" s="604" t="n">
        <x:v>0.5132742492986063</x:v>
      </x:c>
      <x:c r="AK1604" s="604" t="n"/>
      <x:c r="AL1604" s="604" t="n"/>
      <x:c r="AM1604" s="604" t="n"/>
      <x:c r="AN1604" s="604" t="inlineStr">
        <x:is>
          <x:t xml:space="preserve">EVALUATED</x:t>
        </x:is>
      </x:c>
      <x:c r="AO1604" s="604" t="inlineStr">
        <x:is>
          <x:t xml:space="preserve">LOW_QUALITY_GATE;BUCKET_PRIOR_ONLY;INTENT_INTERPRETATION_ONLY;FFL_OPTIONAL;EXPERT_MARKET</x:t>
        </x:is>
      </x:c>
      <x:c r="AP1604" s="604" t="inlineStr">
        <x:is>
          <x:t xml:space="preserve">4c546054cec2926bfdf5</x:t>
        </x:is>
      </x:c>
      <x:c r="AQ1604" s="604" t="n"/>
      <x:c r="AR1604" s="604" t="n"/>
      <x:c r="AS1604" s="604" t="n">
        <x:v>-0.5</x:v>
      </x:c>
      <x:c r="AT1604" s="604" t="n">
        <x:v>0.5</x:v>
      </x:c>
      <x:c r="AU1604" s="604" t="n">
        <x:v>0.93</x:v>
      </x:c>
      <x:c r="AV1604" s="604" t="n">
        <x:v>0.88</x:v>
      </x:c>
      <x:c r="AW1604" s="604" t="inlineStr">
        <x:is>
          <x:t xml:space="preserve">2026-10-09T09:01:21.127001+08:00</x:t>
        </x:is>
      </x:c>
      <x:c r="AX1604" s="604" t="inlineStr">
        <x:is>
          <x:t xml:space="preserve">Titan007/V4</x:t>
        </x:is>
      </x:c>
      <x:c r="AY1604" s="604" t="inlineStr">
        <x:is>
          <x:t xml:space="preserve">Daily append；市场输入缺失时不生成决策</x:t>
        </x:is>
      </x:c>
    </x:row>
    <x:row r="1605" ht="22" customHeight="1">
      <x:c r="A1605" s="604" t="inlineStr">
        <x:is>
          <x:t xml:space="preserve">2026-10-09</x:t>
        </x:is>
      </x:c>
      <x:c r="B1605" s="604" t="inlineStr">
        <x:is>
          <x:t xml:space="preserve">2026-10-10T02:00:00+08:00</x:t>
        </x:is>
      </x:c>
      <x:c r="C1605" s="604" t="str">
        <x:v>五大联赛杯赛</x:v>
      </x:c>
      <x:c r="D1605" s="604" t="inlineStr">
        <x:is>
          <x:t xml:space="preserve"/>
        </x:is>
      </x:c>
      <x:c r="E1605" s="604" t="inlineStr">
        <x:is>
          <x:t xml:space="preserve">英U21杯</x:t>
        </x:is>
      </x:c>
      <x:c r="F1605" s="604" t="inlineStr">
        <x:is>
          <x:t xml:space="preserve">雷丁U21 vs 诺域治U21</x:t>
        </x:is>
      </x:c>
      <x:c r="G1605" s="604" t="n">
        <x:v>0.9</x:v>
      </x:c>
      <x:c r="H1605" s="604" t="n">
        <x:v>0</x:v>
      </x:c>
      <x:c r="I1605" s="604" t="n">
        <x:v>0.9</x:v>
      </x:c>
      <x:c r="J1605" s="604" t="inlineStr">
        <x:is>
          <x:t xml:space="preserve">0.9/0.0/0.9</x:t>
        </x:is>
      </x:c>
      <x:c r="K1605" s="604" t="inlineStr">
        <x:is>
          <x:t xml:space="preserve">V4-N</x:t>
        </x:is>
      </x:c>
      <x:c r="L1605" s="604" t="inlineStr">
        <x:is>
          <x:t xml:space="preserve"/>
        </x:is>
      </x:c>
      <x:c r="M1605" s="604" t="n"/>
      <x:c r="N1605" s="604" t="inlineStr">
        <x:is>
          <x:t xml:space="preserve">V4 Shadow Only；real_money=false</x:t>
        </x:is>
      </x:c>
      <x:c r="O1605" s="604" t="inlineStr">
        <x:is>
          <x:t xml:space="preserve">0-0</x:t>
        </x:is>
      </x:c>
      <x:c r="P1605" s="604" t="inlineStr">
        <x:is>
          <x:t xml:space="preserve">NEUTRAL</x:t>
        </x:is>
      </x:c>
      <x:c r="Q1605" s="630" t="inlineStr">
        <x:is>
          <x:t xml:space="preserve"/>
        </x:is>
      </x:c>
      <x:c r="R1605" s="604" t="n"/>
      <x:c r="S1605" s="604" t="n"/>
      <x:c r="T1605" s="604" t="inlineStr">
        <x:is>
          <x:t xml:space="preserve">D:\codex\v3_legacy\outputs\football_odds_trader\raw\titan007\20261009\20261009_085232_titan007_odds_snapshot.csv</x:t>
        </x:is>
      </x:c>
      <x:c r="U1605" s="628" t="inlineStr">
        <x:is>
          <x:t xml:space="preserve"/>
        </x:is>
      </x:c>
      <x:c r="V1605" s="604" t="inlineStr">
        <x:is>
          <x:t xml:space="preserve"/>
        </x:is>
      </x:c>
      <x:c r="W1605" s="604" t="inlineStr">
        <x:is>
          <x:t xml:space="preserve"/>
        </x:is>
      </x:c>
      <x:c r="X1605" s="604" t="inlineStr">
        <x:is>
          <x:t xml:space="preserve">3062705</x:t>
        </x:is>
      </x:c>
      <x:c r="Y1605" s="604" t="inlineStr">
        <x:is>
          <x:t xml:space="preserve">V4</x:t>
        </x:is>
      </x:c>
      <x:c r="Z1605" s="604" t="inlineStr">
        <x:is>
          <x:t xml:space="preserve">prior-2026-10-09-v1</x:t>
        </x:is>
      </x:c>
      <x:c r="AA1605" s="604" t="inlineStr">
        <x:is>
          <x:t xml:space="preserve">N</x:t>
        </x:is>
      </x:c>
      <x:c r="AB1605" s="604" t="n"/>
      <x:c r="AC1605" s="604" t="n"/>
      <x:c r="AD1605" s="604" t="n"/>
      <x:c r="AE1605" s="604" t="n"/>
      <x:c r="AF1605" s="604" t="n"/>
      <x:c r="AG1605" s="604" t="n"/>
      <x:c r="AH1605" s="604" t="n"/>
      <x:c r="AI1605" s="604" t="n"/>
      <x:c r="AJ1605" s="604" t="n"/>
      <x:c r="AK1605" s="604" t="n"/>
      <x:c r="AL1605" s="604" t="n"/>
      <x:c r="AM1605" s="604" t="n"/>
      <x:c r="AN1605" s="604" t="inlineStr">
        <x:is>
          <x:t xml:space="preserve">NEUTRAL</x:t>
        </x:is>
      </x:c>
      <x:c r="AO1605" s="604" t="inlineStr">
        <x:is>
          <x:t xml:space="preserve">PK_NO_GIVING_RECEIVING_IDENTITY</x:t>
        </x:is>
      </x:c>
      <x:c r="AP1605" s="604" t="inlineStr">
        <x:is>
          <x:t xml:space="preserve">4feeea070f7cd55f2a6c</x:t>
        </x:is>
      </x:c>
      <x:c r="AQ1605" s="604" t="n"/>
      <x:c r="AR1605" s="604" t="n"/>
      <x:c r="AS1605" s="604" t="n"/>
      <x:c r="AT1605" s="604" t="n"/>
      <x:c r="AU1605" s="604" t="n"/>
      <x:c r="AV1605" s="604" t="n"/>
      <x:c r="AW1605" s="604" t="inlineStr">
        <x:is>
          <x:t xml:space="preserve">2026-10-09T09:01:21.127001+08:00</x:t>
        </x:is>
      </x:c>
      <x:c r="AX1605" s="604" t="inlineStr">
        <x:is>
          <x:t xml:space="preserve">Titan007/V4</x:t>
        </x:is>
      </x:c>
      <x:c r="AY1605" s="604" t="inlineStr">
        <x:is>
          <x:t xml:space="preserve">Daily append；市场输入缺失时不生成决策</x:t>
        </x:is>
      </x:c>
    </x:row>
    <x:row r="1606" ht="22" customHeight="1">
      <x:c r="A1606" s="604" t="inlineStr">
        <x:is>
          <x:t xml:space="preserve">2026-10-09</x:t>
        </x:is>
      </x:c>
      <x:c r="B1606" s="604" t="inlineStr">
        <x:is>
          <x:t xml:space="preserve">2026-10-10T02:00:00+08:00</x:t>
        </x:is>
      </x:c>
      <x:c r="C1606" s="604" t="str">
        <x:v>五大联赛杯赛</x:v>
      </x:c>
      <x:c r="D1606" s="604" t="inlineStr">
        <x:is>
          <x:t xml:space="preserve"/>
        </x:is>
      </x:c>
      <x:c r="E1606" s="604" t="inlineStr">
        <x:is>
          <x:t xml:space="preserve">英U21杯</x:t>
        </x:is>
      </x:c>
      <x:c r="F1606" s="604" t="inlineStr">
        <x:is>
          <x:t xml:space="preserve">伊普斯维奇U21 vs 西布朗U21</x:t>
        </x:is>
      </x:c>
      <x:c r="G1606" s="604" t="n">
        <x:v>0.88</x:v>
      </x:c>
      <x:c r="H1606" s="604" t="n">
        <x:v>0.25</x:v>
      </x:c>
      <x:c r="I1606" s="604" t="n">
        <x:v>0.82</x:v>
      </x:c>
      <x:c r="J1606" s="604" t="inlineStr">
        <x:is>
          <x:t xml:space="preserve">0.88/0.25/0.82</x:t>
        </x:is>
      </x:c>
      <x:c r="K1606" s="604" t="inlineStr">
        <x:is>
          <x:t xml:space="preserve">V4-N</x:t>
        </x:is>
      </x:c>
      <x:c r="L1606" s="604" t="inlineStr">
        <x:is>
          <x:t xml:space="preserve"/>
        </x:is>
      </x:c>
      <x:c r="M1606" s="604" t="n">
        <x:v>0.4459578521351391</x:v>
      </x:c>
      <x:c r="N1606" s="604" t="inlineStr">
        <x:is>
          <x:t xml:space="preserve">V4 Shadow Only；real_money=false</x:t>
        </x:is>
      </x:c>
      <x:c r="O1606" s="604" t="inlineStr">
        <x:is>
          <x:t xml:space="preserve">0-0</x:t>
        </x:is>
      </x:c>
      <x:c r="P1606" s="604" t="inlineStr">
        <x:is>
          <x:t xml:space="preserve">EVALUATED</x:t>
        </x:is>
      </x:c>
      <x:c r="Q1606" s="630" t="inlineStr">
        <x:is>
          <x:t xml:space="preserve"/>
        </x:is>
      </x:c>
      <x:c r="R1606" s="604" t="n"/>
      <x:c r="S1606" s="604" t="n"/>
      <x:c r="T1606" s="604" t="inlineStr">
        <x:is>
          <x:t xml:space="preserve">D:\codex\v3_legacy\outputs\football_odds_trader\raw\titan007\20261009\20261009_085232_titan007_odds_snapshot.csv</x:t>
        </x:is>
      </x:c>
      <x:c r="U1606" s="628" t="inlineStr">
        <x:is>
          <x:t xml:space="preserve"/>
        </x:is>
      </x:c>
      <x:c r="V1606" s="604" t="inlineStr">
        <x:is>
          <x:t xml:space="preserve"/>
        </x:is>
      </x:c>
      <x:c r="W1606" s="604" t="inlineStr">
        <x:is>
          <x:t xml:space="preserve"/>
        </x:is>
      </x:c>
      <x:c r="X1606" s="604" t="inlineStr">
        <x:is>
          <x:t xml:space="preserve">3062717</x:t>
        </x:is>
      </x:c>
      <x:c r="Y1606" s="604" t="inlineStr">
        <x:is>
          <x:t xml:space="preserve">V4</x:t>
        </x:is>
      </x:c>
      <x:c r="Z1606" s="604" t="inlineStr">
        <x:is>
          <x:t xml:space="preserve">prior-2026-10-09-v1</x:t>
        </x:is>
      </x:c>
      <x:c r="AA1606" s="604" t="inlineStr">
        <x:is>
          <x:t xml:space="preserve">N</x:t>
        </x:is>
      </x:c>
      <x:c r="AB1606" s="604" t="n">
        <x:v>0.4459578521351391</x:v>
      </x:c>
      <x:c r="AC1606" s="604" t="n">
        <x:v>0.4252084714493543</x:v>
      </x:c>
      <x:c r="AD1606" s="604" t="n">
        <x:v>0.25</x:v>
      </x:c>
      <x:c r="AE1606" s="604" t="n"/>
      <x:c r="AF1606" s="604" t="n"/>
      <x:c r="AG1606" s="604" t="n">
        <x:v>-0.03276556157043187</x:v>
      </x:c>
      <x:c r="AH1606" s="604" t="n"/>
      <x:c r="AI1606" s="604" t="n"/>
      <x:c r="AJ1606" s="604" t="n">
        <x:v>-0.03276556157043187</x:v>
      </x:c>
      <x:c r="AK1606" s="604" t="n"/>
      <x:c r="AL1606" s="604" t="n"/>
      <x:c r="AM1606" s="604" t="n"/>
      <x:c r="AN1606" s="604" t="inlineStr">
        <x:is>
          <x:t xml:space="preserve">EVALUATED</x:t>
        </x:is>
      </x:c>
      <x:c r="AO1606" s="604" t="inlineStr">
        <x:is>
          <x:t xml:space="preserve">EDGE_BELOW_UNCERTAINTY_THRESHOLD;BUCKET_PRIOR_ONLY;INTENT_INTERPRETATION_ONLY;FFL_OPTIONAL;EXPERT_MARKET</x:t>
        </x:is>
      </x:c>
      <x:c r="AP1606" s="604" t="inlineStr">
        <x:is>
          <x:t xml:space="preserve">ce31ea6f720bced2f67b</x:t>
        </x:is>
      </x:c>
      <x:c r="AQ1606" s="604" t="n"/>
      <x:c r="AR1606" s="604" t="n"/>
      <x:c r="AS1606" s="604" t="n">
        <x:v>0.25</x:v>
      </x:c>
      <x:c r="AT1606" s="604" t="n">
        <x:v>-0.25</x:v>
      </x:c>
      <x:c r="AU1606" s="604" t="n">
        <x:v>0.88</x:v>
      </x:c>
      <x:c r="AV1606" s="604" t="n">
        <x:v>0.82</x:v>
      </x:c>
      <x:c r="AW1606" s="604" t="inlineStr">
        <x:is>
          <x:t xml:space="preserve">2026-10-09T09:01:21.127001+08:00</x:t>
        </x:is>
      </x:c>
      <x:c r="AX1606" s="604" t="inlineStr">
        <x:is>
          <x:t xml:space="preserve">Titan007/V4</x:t>
        </x:is>
      </x:c>
      <x:c r="AY1606" s="604" t="inlineStr">
        <x:is>
          <x:t xml:space="preserve">Daily append；市场输入缺失时不生成决策</x:t>
        </x:is>
      </x:c>
    </x:row>
    <x:row r="1607" ht="22" customHeight="1">
      <x:c r="A1607" s="604" t="inlineStr">
        <x:is>
          <x:t xml:space="preserve">2026-10-09</x:t>
        </x:is>
      </x:c>
      <x:c r="B1607" s="604" t="inlineStr">
        <x:is>
          <x:t xml:space="preserve">2026-10-10T02:00:00+08:00</x:t>
        </x:is>
      </x:c>
      <x:c r="C1607" s="604" t="str">
        <x:v>五大联赛杯赛</x:v>
      </x:c>
      <x:c r="D1607" s="604" t="inlineStr">
        <x:is>
          <x:t xml:space="preserve"/>
        </x:is>
      </x:c>
      <x:c r="E1607" s="604" t="inlineStr">
        <x:is>
          <x:t xml:space="preserve">英U21杯</x:t>
        </x:is>
      </x:c>
      <x:c r="F1607" s="604" t="inlineStr">
        <x:is>
          <x:t xml:space="preserve">斯托克城U21 vs 查尔顿U21</x:t>
        </x:is>
      </x:c>
      <x:c r="G1607" s="604" t="n">
        <x:v>0.98</x:v>
      </x:c>
      <x:c r="H1607" s="604" t="n">
        <x:v>0</x:v>
      </x:c>
      <x:c r="I1607" s="604" t="n">
        <x:v>0.83</x:v>
      </x:c>
      <x:c r="J1607" s="604" t="inlineStr">
        <x:is>
          <x:t xml:space="preserve">0.98/0.0/0.83</x:t>
        </x:is>
      </x:c>
      <x:c r="K1607" s="604" t="inlineStr">
        <x:is>
          <x:t xml:space="preserve">V4-N</x:t>
        </x:is>
      </x:c>
      <x:c r="L1607" s="604" t="inlineStr">
        <x:is>
          <x:t xml:space="preserve"/>
        </x:is>
      </x:c>
      <x:c r="M1607" s="604" t="n"/>
      <x:c r="N1607" s="604" t="inlineStr">
        <x:is>
          <x:t xml:space="preserve">V4 Shadow Only；real_money=false</x:t>
        </x:is>
      </x:c>
      <x:c r="O1607" s="604" t="inlineStr">
        <x:is>
          <x:t xml:space="preserve">0-0</x:t>
        </x:is>
      </x:c>
      <x:c r="P1607" s="604" t="inlineStr">
        <x:is>
          <x:t xml:space="preserve">NEUTRAL</x:t>
        </x:is>
      </x:c>
      <x:c r="Q1607" s="630" t="inlineStr">
        <x:is>
          <x:t xml:space="preserve"/>
        </x:is>
      </x:c>
      <x:c r="R1607" s="604" t="n"/>
      <x:c r="S1607" s="604" t="n"/>
      <x:c r="T1607" s="604" t="inlineStr">
        <x:is>
          <x:t xml:space="preserve">D:\codex\v3_legacy\outputs\football_odds_trader\raw\titan007\20261009\20261009_085232_titan007_odds_snapshot.csv</x:t>
        </x:is>
      </x:c>
      <x:c r="U1607" s="628" t="inlineStr">
        <x:is>
          <x:t xml:space="preserve"/>
        </x:is>
      </x:c>
      <x:c r="V1607" s="604" t="inlineStr">
        <x:is>
          <x:t xml:space="preserve"/>
        </x:is>
      </x:c>
      <x:c r="W1607" s="604" t="inlineStr">
        <x:is>
          <x:t xml:space="preserve"/>
        </x:is>
      </x:c>
      <x:c r="X1607" s="604" t="inlineStr">
        <x:is>
          <x:t xml:space="preserve">3062728</x:t>
        </x:is>
      </x:c>
      <x:c r="Y1607" s="604" t="inlineStr">
        <x:is>
          <x:t xml:space="preserve">V4</x:t>
        </x:is>
      </x:c>
      <x:c r="Z1607" s="604" t="inlineStr">
        <x:is>
          <x:t xml:space="preserve">prior-2026-10-09-v1</x:t>
        </x:is>
      </x:c>
      <x:c r="AA1607" s="604" t="inlineStr">
        <x:is>
          <x:t xml:space="preserve">N</x:t>
        </x:is>
      </x:c>
      <x:c r="AB1607" s="604" t="n"/>
      <x:c r="AC1607" s="604" t="n"/>
      <x:c r="AD1607" s="604" t="n"/>
      <x:c r="AE1607" s="604" t="n"/>
      <x:c r="AF1607" s="604" t="n"/>
      <x:c r="AG1607" s="604" t="n"/>
      <x:c r="AH1607" s="604" t="n"/>
      <x:c r="AI1607" s="604" t="n"/>
      <x:c r="AJ1607" s="604" t="n"/>
      <x:c r="AK1607" s="604" t="n"/>
      <x:c r="AL1607" s="604" t="n"/>
      <x:c r="AM1607" s="604" t="n"/>
      <x:c r="AN1607" s="604" t="inlineStr">
        <x:is>
          <x:t xml:space="preserve">NEUTRAL</x:t>
        </x:is>
      </x:c>
      <x:c r="AO1607" s="604" t="inlineStr">
        <x:is>
          <x:t xml:space="preserve">PK_NO_GIVING_RECEIVING_IDENTITY</x:t>
        </x:is>
      </x:c>
      <x:c r="AP1607" s="604" t="inlineStr">
        <x:is>
          <x:t xml:space="preserve">48a3cfa67c8255dd5b17</x:t>
        </x:is>
      </x:c>
      <x:c r="AQ1607" s="604" t="n"/>
      <x:c r="AR1607" s="604" t="n"/>
      <x:c r="AS1607" s="604" t="n"/>
      <x:c r="AT1607" s="604" t="n"/>
      <x:c r="AU1607" s="604" t="n"/>
      <x:c r="AV1607" s="604" t="n"/>
      <x:c r="AW1607" s="604" t="inlineStr">
        <x:is>
          <x:t xml:space="preserve">2026-10-09T09:01:21.127001+08:00</x:t>
        </x:is>
      </x:c>
      <x:c r="AX1607" s="604" t="inlineStr">
        <x:is>
          <x:t xml:space="preserve">Titan007/V4</x:t>
        </x:is>
      </x:c>
      <x:c r="AY1607" s="604" t="inlineStr">
        <x:is>
          <x:t xml:space="preserve">Daily append；市场输入缺失时不生成决策</x:t>
        </x:is>
      </x:c>
    </x:row>
    <x:row r="1608" ht="22" customHeight="1">
      <x:c r="A1608" s="604" t="inlineStr">
        <x:is>
          <x:t xml:space="preserve">2026-10-09</x:t>
        </x:is>
      </x:c>
      <x:c r="B1608" s="604" t="inlineStr">
        <x:is>
          <x:t xml:space="preserve">2026-10-10T02:00:00+08:00</x:t>
        </x:is>
      </x:c>
      <x:c r="C1608" s="604" t="str">
        <x:v>五大联赛杯赛</x:v>
      </x:c>
      <x:c r="D1608" s="604" t="inlineStr">
        <x:is>
          <x:t xml:space="preserve"/>
        </x:is>
      </x:c>
      <x:c r="E1608" s="604" t="inlineStr">
        <x:is>
          <x:t xml:space="preserve">英U21杯</x:t>
        </x:is>
      </x:c>
      <x:c r="F1608" s="604" t="inlineStr">
        <x:is>
          <x:t xml:space="preserve">利兹联U21 vs 史托港U21</x:t>
        </x:is>
      </x:c>
      <x:c r="G1608" s="604" t="n">
        <x:v>0.76</x:v>
      </x:c>
      <x:c r="H1608" s="604" t="n">
        <x:v>0.75</x:v>
      </x:c>
      <x:c r="I1608" s="604" t="n">
        <x:v>0.9399999999999999</x:v>
      </x:c>
      <x:c r="J1608" s="604" t="inlineStr">
        <x:is>
          <x:t xml:space="preserve">0.76/0.75/0.94</x:t>
        </x:is>
      </x:c>
      <x:c r="K1608" s="604" t="inlineStr">
        <x:is>
          <x:t xml:space="preserve">V4-N</x:t>
        </x:is>
      </x:c>
      <x:c r="L1608" s="604" t="inlineStr">
        <x:is>
          <x:t xml:space="preserve"/>
        </x:is>
      </x:c>
      <x:c r="M1608" s="604" t="n">
        <x:v>0.5153146492126193</x:v>
      </x:c>
      <x:c r="N1608" s="604" t="inlineStr">
        <x:is>
          <x:t xml:space="preserve">V4 Shadow Only；real_money=false</x:t>
        </x:is>
      </x:c>
      <x:c r="O1608" s="604" t="inlineStr">
        <x:is>
          <x:t xml:space="preserve">0-0</x:t>
        </x:is>
      </x:c>
      <x:c r="P1608" s="604" t="inlineStr">
        <x:is>
          <x:t xml:space="preserve">EVALUATED</x:t>
        </x:is>
      </x:c>
      <x:c r="Q1608" s="630" t="inlineStr">
        <x:is>
          <x:t xml:space="preserve"/>
        </x:is>
      </x:c>
      <x:c r="R1608" s="604" t="n"/>
      <x:c r="S1608" s="604" t="n"/>
      <x:c r="T1608" s="604" t="inlineStr">
        <x:is>
          <x:t xml:space="preserve">D:\codex\v3_legacy\outputs\football_odds_trader\raw\titan007\20261009\20261009_085232_titan007_odds_snapshot.csv</x:t>
        </x:is>
      </x:c>
      <x:c r="U1608" s="628" t="inlineStr">
        <x:is>
          <x:t xml:space="preserve"/>
        </x:is>
      </x:c>
      <x:c r="V1608" s="604" t="inlineStr">
        <x:is>
          <x:t xml:space="preserve"/>
        </x:is>
      </x:c>
      <x:c r="W1608" s="604" t="inlineStr">
        <x:is>
          <x:t xml:space="preserve"/>
        </x:is>
      </x:c>
      <x:c r="X1608" s="604" t="inlineStr">
        <x:is>
          <x:t xml:space="preserve">3062736</x:t>
        </x:is>
      </x:c>
      <x:c r="Y1608" s="604" t="inlineStr">
        <x:is>
          <x:t xml:space="preserve">V4</x:t>
        </x:is>
      </x:c>
      <x:c r="Z1608" s="604" t="inlineStr">
        <x:is>
          <x:t xml:space="preserve">prior-2026-10-09-v1</x:t>
        </x:is>
      </x:c>
      <x:c r="AA1608" s="604" t="inlineStr">
        <x:is>
          <x:t xml:space="preserve">N</x:t>
        </x:is>
      </x:c>
      <x:c r="AB1608" s="604" t="n">
        <x:v>0.5153146492126193</x:v>
      </x:c>
      <x:c r="AC1608" s="604" t="n">
        <x:v>0.3572355081368133</x:v>
      </x:c>
      <x:c r="AD1608" s="604" t="n">
        <x:v>1.25</x:v>
      </x:c>
      <x:c r="AE1608" s="604" t="n"/>
      <x:c r="AF1608" s="604" t="n"/>
      <x:c r="AG1608" s="604" t="n">
        <x:v>0.0344036252647773</x:v>
      </x:c>
      <x:c r="AH1608" s="604" t="n"/>
      <x:c r="AI1608" s="604" t="n"/>
      <x:c r="AJ1608" s="604" t="n">
        <x:v>0.0344036252647773</x:v>
      </x:c>
      <x:c r="AK1608" s="604" t="n"/>
      <x:c r="AL1608" s="604" t="n"/>
      <x:c r="AM1608" s="604" t="n"/>
      <x:c r="AN1608" s="604" t="inlineStr">
        <x:is>
          <x:t xml:space="preserve">EVALUATED</x:t>
        </x:is>
      </x:c>
      <x:c r="AO1608" s="604" t="inlineStr">
        <x:is>
          <x:t xml:space="preserve">EDGE_BELOW_UNCERTAINTY_THRESHOLD;BUCKET_PRIOR_ONLY;INTENT_INTERPRETATION_ONLY;FFL_OPTIONAL;EXPERT_MARKET</x:t>
        </x:is>
      </x:c>
      <x:c r="AP1608" s="604" t="inlineStr">
        <x:is>
          <x:t xml:space="preserve">1726a5b3ab1e3cc410aa</x:t>
        </x:is>
      </x:c>
      <x:c r="AQ1608" s="604" t="n"/>
      <x:c r="AR1608" s="604" t="n"/>
      <x:c r="AS1608" s="604" t="n">
        <x:v>0.75</x:v>
      </x:c>
      <x:c r="AT1608" s="604" t="n">
        <x:v>-0.75</x:v>
      </x:c>
      <x:c r="AU1608" s="604" t="n">
        <x:v>0.76</x:v>
      </x:c>
      <x:c r="AV1608" s="604" t="n">
        <x:v>0.9399999999999999</x:v>
      </x:c>
      <x:c r="AW1608" s="604" t="inlineStr">
        <x:is>
          <x:t xml:space="preserve">2026-10-09T09:01:21.127001+08:00</x:t>
        </x:is>
      </x:c>
      <x:c r="AX1608" s="604" t="inlineStr">
        <x:is>
          <x:t xml:space="preserve">Titan007/V4</x:t>
        </x:is>
      </x:c>
      <x:c r="AY1608" s="604" t="inlineStr">
        <x:is>
          <x:t xml:space="preserve">Daily append；市场输入缺失时不生成决策</x:t>
        </x:is>
      </x:c>
    </x:row>
    <x:row r="1609" ht="22" customHeight="1">
      <x:c r="A1609" s="604" t="inlineStr">
        <x:is>
          <x:t xml:space="preserve">2026-10-09</x:t>
        </x:is>
      </x:c>
      <x:c r="B1609" s="604" t="inlineStr">
        <x:is>
          <x:t xml:space="preserve">2026-10-09T16:30:00+08:00</x:t>
        </x:is>
      </x:c>
      <x:c r="C1609" s="604" t="str">
        <x:v>其他系列</x:v>
      </x:c>
      <x:c r="D1609" s="604" t="inlineStr">
        <x:is>
          <x:t xml:space="preserve"/>
        </x:is>
      </x:c>
      <x:c r="E1609" s="604" t="inlineStr">
        <x:is>
          <x:t xml:space="preserve">印尼超</x:t>
        </x:is>
      </x:c>
      <x:c r="F1609" s="604" t="inlineStr">
        <x:is>
          <x:t xml:space="preserve">佩斯克 vs 马都拉联</x:t>
        </x:is>
      </x:c>
      <x:c r="G1609" s="604" t="n">
        <x:v>0.89</x:v>
      </x:c>
      <x:c r="H1609" s="604" t="n">
        <x:v>0.25</x:v>
      </x:c>
      <x:c r="I1609" s="604" t="n">
        <x:v>0.93</x:v>
      </x:c>
      <x:c r="J1609" s="604" t="inlineStr">
        <x:is>
          <x:t xml:space="preserve">0.89/0.25/0.93</x:t>
        </x:is>
      </x:c>
      <x:c r="K1609" s="604" t="inlineStr">
        <x:is>
          <x:t xml:space="preserve">V4-N</x:t>
        </x:is>
      </x:c>
      <x:c r="L1609" s="604" t="inlineStr">
        <x:is>
          <x:t xml:space="preserve"/>
        </x:is>
      </x:c>
      <x:c r="M1609" s="604" t="n">
        <x:v>0.473584147797273</x:v>
      </x:c>
      <x:c r="N1609" s="604" t="inlineStr">
        <x:is>
          <x:t xml:space="preserve">V4 Shadow Only；real_money=false</x:t>
        </x:is>
      </x:c>
      <x:c r="O1609" s="604" t="inlineStr">
        <x:is>
          <x:t xml:space="preserve">0-0</x:t>
        </x:is>
      </x:c>
      <x:c r="P1609" s="604" t="inlineStr">
        <x:is>
          <x:t xml:space="preserve">EVALUATED</x:t>
        </x:is>
      </x:c>
      <x:c r="Q1609" s="630" t="inlineStr">
        <x:is>
          <x:t xml:space="preserve"/>
        </x:is>
      </x:c>
      <x:c r="R1609" s="604" t="n"/>
      <x:c r="S1609" s="604" t="n"/>
      <x:c r="T1609" s="604" t="inlineStr">
        <x:is>
          <x:t xml:space="preserve">D:\codex\v3_legacy\outputs\football_odds_trader\raw\titan007\20261009\20261009_085232_titan007_odds_snapshot.csv</x:t>
        </x:is>
      </x:c>
      <x:c r="U1609" s="628" t="inlineStr">
        <x:is>
          <x:t xml:space="preserve"/>
        </x:is>
      </x:c>
      <x:c r="V1609" s="604" t="inlineStr">
        <x:is>
          <x:t xml:space="preserve"/>
        </x:is>
      </x:c>
      <x:c r="W1609" s="604" t="inlineStr">
        <x:is>
          <x:t xml:space="preserve"/>
        </x:is>
      </x:c>
      <x:c r="X1609" s="604" t="inlineStr">
        <x:is>
          <x:t xml:space="preserve">3062849</x:t>
        </x:is>
      </x:c>
      <x:c r="Y1609" s="604" t="inlineStr">
        <x:is>
          <x:t xml:space="preserve">V4</x:t>
        </x:is>
      </x:c>
      <x:c r="Z1609" s="604" t="inlineStr">
        <x:is>
          <x:t xml:space="preserve">prior-2026-10-09-v1</x:t>
        </x:is>
      </x:c>
      <x:c r="AA1609" s="604" t="inlineStr">
        <x:is>
          <x:t xml:space="preserve">N</x:t>
        </x:is>
      </x:c>
      <x:c r="AB1609" s="604" t="n">
        <x:v>0.473584147797273</x:v>
      </x:c>
      <x:c r="AC1609" s="604" t="n">
        <x:v>0.3980719496917383</x:v>
      </x:c>
      <x:c r="AD1609" s="604" t="n">
        <x:v>0.5</x:v>
      </x:c>
      <x:c r="AE1609" s="604" t="n"/>
      <x:c r="AF1609" s="604" t="n"/>
      <x:c r="AG1609" s="604" t="n">
        <x:v>0.02341794184783469</x:v>
      </x:c>
      <x:c r="AH1609" s="604" t="n"/>
      <x:c r="AI1609" s="604" t="n"/>
      <x:c r="AJ1609" s="604" t="n">
        <x:v>0.02341794184783469</x:v>
      </x:c>
      <x:c r="AK1609" s="604" t="n"/>
      <x:c r="AL1609" s="604" t="n"/>
      <x:c r="AM1609" s="604" t="n"/>
      <x:c r="AN1609" s="604" t="inlineStr">
        <x:is>
          <x:t xml:space="preserve">EVALUATED</x:t>
        </x:is>
      </x:c>
      <x:c r="AO1609" s="604" t="inlineStr">
        <x:is>
          <x:t xml:space="preserve">EDGE_BELOW_UNCERTAINTY_THRESHOLD;BUCKET_PRIOR_ONLY;INTENT_INTERPRETATION_ONLY;FFL_OPTIONAL;EXPERT_MARKET</x:t>
        </x:is>
      </x:c>
      <x:c r="AP1609" s="604" t="inlineStr">
        <x:is>
          <x:t xml:space="preserve">557ecb3b9bb1d67b4e3d</x:t>
        </x:is>
      </x:c>
      <x:c r="AQ1609" s="604" t="n"/>
      <x:c r="AR1609" s="604" t="n"/>
      <x:c r="AS1609" s="604" t="n">
        <x:v>0.25</x:v>
      </x:c>
      <x:c r="AT1609" s="604" t="n">
        <x:v>-0.25</x:v>
      </x:c>
      <x:c r="AU1609" s="604" t="n">
        <x:v>0.89</x:v>
      </x:c>
      <x:c r="AV1609" s="604" t="n">
        <x:v>0.93</x:v>
      </x:c>
      <x:c r="AW1609" s="604" t="inlineStr">
        <x:is>
          <x:t xml:space="preserve">2026-10-09T09:01:21.127001+08:00</x:t>
        </x:is>
      </x:c>
      <x:c r="AX1609" s="604" t="inlineStr">
        <x:is>
          <x:t xml:space="preserve">Titan007/V4</x:t>
        </x:is>
      </x:c>
      <x:c r="AY1609" s="604" t="inlineStr">
        <x:is>
          <x:t xml:space="preserve">Daily append；市场输入缺失时不生成决策</x:t>
        </x:is>
      </x:c>
    </x:row>
    <x:row r="1610" ht="22" customHeight="1">
      <x:c r="A1610" s="604" t="inlineStr">
        <x:is>
          <x:t xml:space="preserve">2026-10-09</x:t>
        </x:is>
      </x:c>
      <x:c r="B1610" s="604" t="inlineStr">
        <x:is>
          <x:t xml:space="preserve">2026-10-09T20:00:00+08:00</x:t>
        </x:is>
      </x:c>
      <x:c r="C1610" s="604" t="str">
        <x:v>其他系列</x:v>
      </x:c>
      <x:c r="D1610" s="604" t="inlineStr">
        <x:is>
          <x:t xml:space="preserve"/>
        </x:is>
      </x:c>
      <x:c r="E1610" s="604" t="inlineStr">
        <x:is>
          <x:t xml:space="preserve">印尼超</x:t>
        </x:is>
      </x:c>
      <x:c r="F1610" s="604" t="inlineStr">
        <x:is>
          <x:t xml:space="preserve">伊森穆朗 vs 帕尔斯巴亚</x:t>
        </x:is>
      </x:c>
      <x:c r="G1610" s="604" t="n">
        <x:v>0.88</x:v>
      </x:c>
      <x:c r="H1610" s="604" t="n">
        <x:v>-1.25</x:v>
      </x:c>
      <x:c r="I1610" s="604" t="n">
        <x:v>0.9399999999999999</x:v>
      </x:c>
      <x:c r="J1610" s="604" t="inlineStr">
        <x:is>
          <x:t xml:space="preserve">0.88/-1.25/0.94</x:t>
        </x:is>
      </x:c>
      <x:c r="K1610" s="604" t="inlineStr">
        <x:is>
          <x:t xml:space="preserve">V4-N</x:t>
        </x:is>
      </x:c>
      <x:c r="L1610" s="604" t="inlineStr">
        <x:is>
          <x:t xml:space="preserve"/>
        </x:is>
      </x:c>
      <x:c r="M1610" s="604" t="n">
        <x:v>0.01272337344913402</x:v>
      </x:c>
      <x:c r="N1610" s="604" t="inlineStr">
        <x:is>
          <x:t xml:space="preserve">V4 Shadow Only；real_money=false</x:t>
        </x:is>
      </x:c>
      <x:c r="O1610" s="604" t="inlineStr">
        <x:is>
          <x:t xml:space="preserve">0-0</x:t>
        </x:is>
      </x:c>
      <x:c r="P1610" s="604" t="inlineStr">
        <x:is>
          <x:t xml:space="preserve">EVALUATED</x:t>
        </x:is>
      </x:c>
      <x:c r="Q1610" s="630" t="inlineStr">
        <x:is>
          <x:t xml:space="preserve"/>
        </x:is>
      </x:c>
      <x:c r="R1610" s="604" t="n"/>
      <x:c r="S1610" s="604" t="n"/>
      <x:c r="T1610" s="604" t="inlineStr">
        <x:is>
          <x:t xml:space="preserve">D:\codex\v3_legacy\outputs\football_odds_trader\raw\titan007\20261009\20261009_085232_titan007_odds_snapshot.csv</x:t>
        </x:is>
      </x:c>
      <x:c r="U1610" s="628" t="inlineStr">
        <x:is>
          <x:t xml:space="preserve"/>
        </x:is>
      </x:c>
      <x:c r="V1610" s="604" t="inlineStr">
        <x:is>
          <x:t xml:space="preserve"/>
        </x:is>
      </x:c>
      <x:c r="W1610" s="604" t="inlineStr">
        <x:is>
          <x:t xml:space="preserve"/>
        </x:is>
      </x:c>
      <x:c r="X1610" s="604" t="inlineStr">
        <x:is>
          <x:t xml:space="preserve">3062850</x:t>
        </x:is>
      </x:c>
      <x:c r="Y1610" s="604" t="inlineStr">
        <x:is>
          <x:t xml:space="preserve">V4</x:t>
        </x:is>
      </x:c>
      <x:c r="Z1610" s="604" t="inlineStr">
        <x:is>
          <x:t xml:space="preserve">prior-2026-10-09-v1</x:t>
        </x:is>
      </x:c>
      <x:c r="AA1610" s="604" t="inlineStr">
        <x:is>
          <x:t xml:space="preserve">N</x:t>
        </x:is>
      </x:c>
      <x:c r="AB1610" s="604" t="n">
        <x:v>0.01272337344913402</x:v>
      </x:c>
      <x:c r="AC1610" s="604" t="n">
        <x:v>0.9605826545967294</x:v>
      </x:c>
      <x:c r="AD1610" s="604" t="n">
        <x:v>-1.75</x:v>
      </x:c>
      <x:c r="AE1610" s="604" t="n"/>
      <x:c r="AF1610" s="604" t="n"/>
      <x:c r="AG1610" s="604" t="n">
        <x:v>0.8325893625959878</x:v>
      </x:c>
      <x:c r="AH1610" s="604" t="n"/>
      <x:c r="AI1610" s="604" t="n"/>
      <x:c r="AJ1610" s="604" t="n">
        <x:v>0.8325893625959878</x:v>
      </x:c>
      <x:c r="AK1610" s="604" t="n"/>
      <x:c r="AL1610" s="604" t="n"/>
      <x:c r="AM1610" s="604" t="n"/>
      <x:c r="AN1610" s="604" t="inlineStr">
        <x:is>
          <x:t xml:space="preserve">EVALUATED</x:t>
        </x:is>
      </x:c>
      <x:c r="AO1610" s="604" t="inlineStr">
        <x:is>
          <x:t xml:space="preserve">LOW_QUALITY_GATE;BUCKET_PRIOR_ONLY;INTENT_INTERPRETATION_ONLY;FFL_OPTIONAL;EXPERT_MARKET</x:t>
        </x:is>
      </x:c>
      <x:c r="AP1610" s="604" t="inlineStr">
        <x:is>
          <x:t xml:space="preserve">d3a6a3e8f5b7c3d3fa2e</x:t>
        </x:is>
      </x:c>
      <x:c r="AQ1610" s="604" t="n"/>
      <x:c r="AR1610" s="604" t="n"/>
      <x:c r="AS1610" s="604" t="n">
        <x:v>-1.25</x:v>
      </x:c>
      <x:c r="AT1610" s="604" t="n">
        <x:v>1.25</x:v>
      </x:c>
      <x:c r="AU1610" s="604" t="n">
        <x:v>0.88</x:v>
      </x:c>
      <x:c r="AV1610" s="604" t="n">
        <x:v>0.9399999999999999</x:v>
      </x:c>
      <x:c r="AW1610" s="604" t="inlineStr">
        <x:is>
          <x:t xml:space="preserve">2026-10-09T09:01:21.127001+08:00</x:t>
        </x:is>
      </x:c>
      <x:c r="AX1610" s="604" t="inlineStr">
        <x:is>
          <x:t xml:space="preserve">Titan007/V4</x:t>
        </x:is>
      </x:c>
      <x:c r="AY1610" s="604" t="inlineStr">
        <x:is>
          <x:t xml:space="preserve">Daily append；市场输入缺失时不生成决策</x:t>
        </x:is>
      </x:c>
    </x:row>
    <x:row r="1611" ht="22" customHeight="1">
      <x:c r="A1611" s="604" t="inlineStr">
        <x:is>
          <x:t xml:space="preserve">2026-10-09</x:t>
        </x:is>
      </x:c>
      <x:c r="B1611" s="604" t="inlineStr">
        <x:is>
          <x:t xml:space="preserve">2026-10-09T19:00:00+08:00</x:t>
        </x:is>
      </x:c>
      <x:c r="C1611" s="604" t="str">
        <x:v>其他系列</x:v>
      </x:c>
      <x:c r="D1611" s="604" t="inlineStr">
        <x:is>
          <x:t xml:space="preserve"/>
        </x:is>
      </x:c>
      <x:c r="E1611" s="604" t="inlineStr">
        <x:is>
          <x:t xml:space="preserve">坦桑超</x:t>
        </x:is>
      </x:c>
      <x:c r="F1611" s="604" t="inlineStr">
        <x:is>
          <x:t xml:space="preserve">福恩特 vs 坦尚尼亚</x:t>
        </x:is>
      </x:c>
      <x:c r="G1611" s="604" t="n">
        <x:v>1.03</x:v>
      </x:c>
      <x:c r="H1611" s="604" t="n">
        <x:v>0</x:v>
      </x:c>
      <x:c r="I1611" s="604" t="n">
        <x:v>0.78</x:v>
      </x:c>
      <x:c r="J1611" s="604" t="inlineStr">
        <x:is>
          <x:t xml:space="preserve">1.03/0.0/0.78</x:t>
        </x:is>
      </x:c>
      <x:c r="K1611" s="604" t="inlineStr">
        <x:is>
          <x:t xml:space="preserve">V4-N</x:t>
        </x:is>
      </x:c>
      <x:c r="L1611" s="604" t="inlineStr">
        <x:is>
          <x:t xml:space="preserve"/>
        </x:is>
      </x:c>
      <x:c r="M1611" s="604" t="n"/>
      <x:c r="N1611" s="604" t="inlineStr">
        <x:is>
          <x:t xml:space="preserve">V4 Shadow Only；real_money=false</x:t>
        </x:is>
      </x:c>
      <x:c r="O1611" s="604" t="inlineStr">
        <x:is>
          <x:t xml:space="preserve">0-0</x:t>
        </x:is>
      </x:c>
      <x:c r="P1611" s="604" t="inlineStr">
        <x:is>
          <x:t xml:space="preserve">NEUTRAL</x:t>
        </x:is>
      </x:c>
      <x:c r="Q1611" s="630" t="inlineStr">
        <x:is>
          <x:t xml:space="preserve"/>
        </x:is>
      </x:c>
      <x:c r="R1611" s="604" t="n"/>
      <x:c r="S1611" s="604" t="n"/>
      <x:c r="T1611" s="604" t="inlineStr">
        <x:is>
          <x:t xml:space="preserve">D:\codex\v3_legacy\outputs\football_odds_trader\raw\titan007\20261009\20261009_085232_titan007_odds_snapshot.csv</x:t>
        </x:is>
      </x:c>
      <x:c r="U1611" s="628" t="inlineStr">
        <x:is>
          <x:t xml:space="preserve"/>
        </x:is>
      </x:c>
      <x:c r="V1611" s="604" t="inlineStr">
        <x:is>
          <x:t xml:space="preserve"/>
        </x:is>
      </x:c>
      <x:c r="W1611" s="604" t="inlineStr">
        <x:is>
          <x:t xml:space="preserve"/>
        </x:is>
      </x:c>
      <x:c r="X1611" s="604" t="inlineStr">
        <x:is>
          <x:t xml:space="preserve">3064192</x:t>
        </x:is>
      </x:c>
      <x:c r="Y1611" s="604" t="inlineStr">
        <x:is>
          <x:t xml:space="preserve">V4</x:t>
        </x:is>
      </x:c>
      <x:c r="Z1611" s="604" t="inlineStr">
        <x:is>
          <x:t xml:space="preserve">prior-2026-10-09-v1</x:t>
        </x:is>
      </x:c>
      <x:c r="AA1611" s="604" t="inlineStr">
        <x:is>
          <x:t xml:space="preserve">N</x:t>
        </x:is>
      </x:c>
      <x:c r="AB1611" s="604" t="n"/>
      <x:c r="AC1611" s="604" t="n"/>
      <x:c r="AD1611" s="604" t="n"/>
      <x:c r="AE1611" s="604" t="n"/>
      <x:c r="AF1611" s="604" t="n"/>
      <x:c r="AG1611" s="604" t="n"/>
      <x:c r="AH1611" s="604" t="n"/>
      <x:c r="AI1611" s="604" t="n"/>
      <x:c r="AJ1611" s="604" t="n"/>
      <x:c r="AK1611" s="604" t="n"/>
      <x:c r="AL1611" s="604" t="n"/>
      <x:c r="AM1611" s="604" t="n"/>
      <x:c r="AN1611" s="604" t="inlineStr">
        <x:is>
          <x:t xml:space="preserve">NEUTRAL</x:t>
        </x:is>
      </x:c>
      <x:c r="AO1611" s="604" t="inlineStr">
        <x:is>
          <x:t xml:space="preserve">PK_NO_GIVING_RECEIVING_IDENTITY</x:t>
        </x:is>
      </x:c>
      <x:c r="AP1611" s="604" t="inlineStr">
        <x:is>
          <x:t xml:space="preserve">cd65157ac0d18c05c808</x:t>
        </x:is>
      </x:c>
      <x:c r="AQ1611" s="604" t="n"/>
      <x:c r="AR1611" s="604" t="n"/>
      <x:c r="AS1611" s="604" t="n"/>
      <x:c r="AT1611" s="604" t="n"/>
      <x:c r="AU1611" s="604" t="n"/>
      <x:c r="AV1611" s="604" t="n"/>
      <x:c r="AW1611" s="604" t="inlineStr">
        <x:is>
          <x:t xml:space="preserve">2026-10-09T09:01:21.127001+08:00</x:t>
        </x:is>
      </x:c>
      <x:c r="AX1611" s="604" t="inlineStr">
        <x:is>
          <x:t xml:space="preserve">Titan007/V4</x:t>
        </x:is>
      </x:c>
      <x:c r="AY1611" s="604" t="inlineStr">
        <x:is>
          <x:t xml:space="preserve">Daily append；市场输入缺失时不生成决策</x:t>
        </x:is>
      </x:c>
    </x:row>
    <x:row r="1612" ht="22" customHeight="1">
      <x:c r="A1612" s="604" t="inlineStr">
        <x:is>
          <x:t xml:space="preserve">2026-10-09</x:t>
        </x:is>
      </x:c>
      <x:c r="B1612" s="604" t="inlineStr">
        <x:is>
          <x:t xml:space="preserve">2026-10-09T21:15:00+08:00</x:t>
        </x:is>
      </x:c>
      <x:c r="C1612" s="604" t="str">
        <x:v>其他系列</x:v>
      </x:c>
      <x:c r="D1612" s="604" t="inlineStr">
        <x:is>
          <x:t xml:space="preserve"/>
        </x:is>
      </x:c>
      <x:c r="E1612" s="604" t="inlineStr">
        <x:is>
          <x:t xml:space="preserve">坦桑超</x:t>
        </x:is>
      </x:c>
      <x:c r="F1612" s="604" t="inlineStr">
        <x:is>
          <x:t xml:space="preserve">姆贝亚市 vs 卡盖拉河</x:t>
        </x:is>
      </x:c>
      <x:c r="G1612" s="604" t="n">
        <x:v>1</x:v>
      </x:c>
      <x:c r="H1612" s="604" t="n">
        <x:v>1</x:v>
      </x:c>
      <x:c r="I1612" s="604" t="n">
        <x:v>0.8</x:v>
      </x:c>
      <x:c r="J1612" s="604" t="inlineStr">
        <x:is>
          <x:t xml:space="preserve">1.0/1.0/0.8</x:t>
        </x:is>
      </x:c>
      <x:c r="K1612" s="604" t="inlineStr">
        <x:is>
          <x:t xml:space="preserve">V4-N</x:t>
        </x:is>
      </x:c>
      <x:c r="L1612" s="604" t="inlineStr">
        <x:is>
          <x:t xml:space="preserve"/>
        </x:is>
      </x:c>
      <x:c r="M1612" s="604" t="n">
        <x:v>0.4320764589764194</x:v>
      </x:c>
      <x:c r="N1612" s="604" t="inlineStr">
        <x:is>
          <x:t xml:space="preserve">V4 Shadow Only；real_money=false</x:t>
        </x:is>
      </x:c>
      <x:c r="O1612" s="604" t="inlineStr">
        <x:is>
          <x:t xml:space="preserve">0-0</x:t>
        </x:is>
      </x:c>
      <x:c r="P1612" s="604" t="inlineStr">
        <x:is>
          <x:t xml:space="preserve">EVALUATED</x:t>
        </x:is>
      </x:c>
      <x:c r="Q1612" s="630" t="inlineStr">
        <x:is>
          <x:t xml:space="preserve"/>
        </x:is>
      </x:c>
      <x:c r="R1612" s="604" t="n"/>
      <x:c r="S1612" s="604" t="n"/>
      <x:c r="T1612" s="604" t="inlineStr">
        <x:is>
          <x:t xml:space="preserve">D:\codex\v3_legacy\outputs\football_odds_trader\raw\titan007\20261009\20261009_085232_titan007_odds_snapshot.csv</x:t>
        </x:is>
      </x:c>
      <x:c r="U1612" s="628" t="inlineStr">
        <x:is>
          <x:t xml:space="preserve"/>
        </x:is>
      </x:c>
      <x:c r="V1612" s="604" t="inlineStr">
        <x:is>
          <x:t xml:space="preserve"/>
        </x:is>
      </x:c>
      <x:c r="W1612" s="604" t="inlineStr">
        <x:is>
          <x:t xml:space="preserve"/>
        </x:is>
      </x:c>
      <x:c r="X1612" s="604" t="inlineStr">
        <x:is>
          <x:t xml:space="preserve">3064193</x:t>
        </x:is>
      </x:c>
      <x:c r="Y1612" s="604" t="inlineStr">
        <x:is>
          <x:t xml:space="preserve">V4</x:t>
        </x:is>
      </x:c>
      <x:c r="Z1612" s="604" t="inlineStr">
        <x:is>
          <x:t xml:space="preserve">prior-2026-10-09-v1</x:t>
        </x:is>
      </x:c>
      <x:c r="AA1612" s="604" t="inlineStr">
        <x:is>
          <x:t xml:space="preserve">N</x:t>
        </x:is>
      </x:c>
      <x:c r="AB1612" s="604" t="n">
        <x:v>0.4320764589764194</x:v>
      </x:c>
      <x:c r="AC1612" s="604" t="n">
        <x:v>0.3098618360609184</x:v>
      </x:c>
      <x:c r="AD1612" s="604" t="n">
        <x:v>1.25</x:v>
      </x:c>
      <x:c r="AE1612" s="604" t="n"/>
      <x:c r="AF1612" s="604" t="n"/>
      <x:c r="AG1612" s="604" t="n">
        <x:v>0.122214622915501</x:v>
      </x:c>
      <x:c r="AH1612" s="604" t="n"/>
      <x:c r="AI1612" s="604" t="n"/>
      <x:c r="AJ1612" s="604" t="n">
        <x:v>0.122214622915501</x:v>
      </x:c>
      <x:c r="AK1612" s="604" t="n"/>
      <x:c r="AL1612" s="604" t="n"/>
      <x:c r="AM1612" s="604" t="n"/>
      <x:c r="AN1612" s="604" t="inlineStr">
        <x:is>
          <x:t xml:space="preserve">EVALUATED</x:t>
        </x:is>
      </x:c>
      <x:c r="AO1612" s="604" t="inlineStr">
        <x:is>
          <x:t xml:space="preserve">LOW_QUALITY_GATE;BUCKET_PRIOR_ONLY;INTENT_INTERPRETATION_ONLY;FFL_OPTIONAL;EXPERT_MARKET</x:t>
        </x:is>
      </x:c>
      <x:c r="AP1612" s="604" t="inlineStr">
        <x:is>
          <x:t xml:space="preserve">33adb5dfb82d4d9887c9</x:t>
        </x:is>
      </x:c>
      <x:c r="AQ1612" s="604" t="n"/>
      <x:c r="AR1612" s="604" t="n"/>
      <x:c r="AS1612" s="604" t="n">
        <x:v>1</x:v>
      </x:c>
      <x:c r="AT1612" s="604" t="n">
        <x:v>-1</x:v>
      </x:c>
      <x:c r="AU1612" s="604" t="n">
        <x:v>1</x:v>
      </x:c>
      <x:c r="AV1612" s="604" t="n">
        <x:v>0.8</x:v>
      </x:c>
      <x:c r="AW1612" s="604" t="inlineStr">
        <x:is>
          <x:t xml:space="preserve">2026-10-09T09:01:21.127001+08:00</x:t>
        </x:is>
      </x:c>
      <x:c r="AX1612" s="604" t="inlineStr">
        <x:is>
          <x:t xml:space="preserve">Titan007/V4</x:t>
        </x:is>
      </x:c>
      <x:c r="AY1612" s="604" t="inlineStr">
        <x:is>
          <x:t xml:space="preserve">Daily append；市场输入缺失时不生成决策</x:t>
        </x:is>
      </x:c>
    </x:row>
    <x:row r="1613" ht="22" customHeight="1">
      <x:c r="A1613" s="604" t="inlineStr">
        <x:is>
          <x:t xml:space="preserve">2026-10-09</x:t>
        </x:is>
      </x:c>
      <x:c r="B1613" s="604" t="inlineStr">
        <x:is>
          <x:t xml:space="preserve">2026-10-10T00:00:00+08:00</x:t>
        </x:is>
      </x:c>
      <x:c r="C1613" s="604" t="str">
        <x:v>其他系列</x:v>
      </x:c>
      <x:c r="D1613" s="604" t="inlineStr">
        <x:is>
          <x:t xml:space="preserve"/>
        </x:is>
      </x:c>
      <x:c r="E1613" s="604" t="inlineStr">
        <x:is>
          <x:t xml:space="preserve">坦桑超</x:t>
        </x:is>
      </x:c>
      <x:c r="F1613" s="604" t="inlineStr">
        <x:is>
          <x:t xml:space="preserve">多多玛吉吉FC vs 辛吉达黑星</x:t>
        </x:is>
      </x:c>
      <x:c r="G1613" s="604" t="n">
        <x:v>0.9</x:v>
      </x:c>
      <x:c r="H1613" s="604" t="n">
        <x:v>-0.25</x:v>
      </x:c>
      <x:c r="I1613" s="604" t="n">
        <x:v>0.9</x:v>
      </x:c>
      <x:c r="J1613" s="604" t="inlineStr">
        <x:is>
          <x:t xml:space="preserve">0.9/-0.25/0.9</x:t>
        </x:is>
      </x:c>
      <x:c r="K1613" s="604" t="inlineStr">
        <x:is>
          <x:t xml:space="preserve">V4-N</x:t>
        </x:is>
      </x:c>
      <x:c r="L1613" s="604" t="inlineStr">
        <x:is>
          <x:t xml:space="preserve"/>
        </x:is>
      </x:c>
      <x:c r="M1613" s="604" t="n">
        <x:v>0.2569881000392813</x:v>
      </x:c>
      <x:c r="N1613" s="604" t="inlineStr">
        <x:is>
          <x:t xml:space="preserve">V4 Shadow Only；real_money=false</x:t>
        </x:is>
      </x:c>
      <x:c r="O1613" s="604" t="inlineStr">
        <x:is>
          <x:t xml:space="preserve">0-0</x:t>
        </x:is>
      </x:c>
      <x:c r="P1613" s="604" t="inlineStr">
        <x:is>
          <x:t xml:space="preserve">EVALUATED</x:t>
        </x:is>
      </x:c>
      <x:c r="Q1613" s="630" t="inlineStr">
        <x:is>
          <x:t xml:space="preserve"/>
        </x:is>
      </x:c>
      <x:c r="R1613" s="604" t="n"/>
      <x:c r="S1613" s="604" t="n"/>
      <x:c r="T1613" s="604" t="inlineStr">
        <x:is>
          <x:t xml:space="preserve">D:\codex\v3_legacy\outputs\football_odds_trader\raw\titan007\20261009\20261009_085232_titan007_odds_snapshot.csv</x:t>
        </x:is>
      </x:c>
      <x:c r="U1613" s="628" t="inlineStr">
        <x:is>
          <x:t xml:space="preserve"/>
        </x:is>
      </x:c>
      <x:c r="V1613" s="604" t="inlineStr">
        <x:is>
          <x:t xml:space="preserve"/>
        </x:is>
      </x:c>
      <x:c r="W1613" s="604" t="inlineStr">
        <x:is>
          <x:t xml:space="preserve"/>
        </x:is>
      </x:c>
      <x:c r="X1613" s="604" t="inlineStr">
        <x:is>
          <x:t xml:space="preserve">3064194</x:t>
        </x:is>
      </x:c>
      <x:c r="Y1613" s="604" t="inlineStr">
        <x:is>
          <x:t xml:space="preserve">V4</x:t>
        </x:is>
      </x:c>
      <x:c r="Z1613" s="604" t="inlineStr">
        <x:is>
          <x:t xml:space="preserve">prior-2026-10-09-v1</x:t>
        </x:is>
      </x:c>
      <x:c r="AA1613" s="604" t="inlineStr">
        <x:is>
          <x:t xml:space="preserve">N</x:t>
        </x:is>
      </x:c>
      <x:c r="AB1613" s="604" t="n">
        <x:v>0.2569881000392813</x:v>
      </x:c>
      <x:c r="AC1613" s="604" t="n">
        <x:v>0.6150379089993525</x:v>
      </x:c>
      <x:c r="AD1613" s="604" t="n">
        <x:v>-0.5</x:v>
      </x:c>
      <x:c r="AE1613" s="604" t="n"/>
      <x:c r="AF1613" s="604" t="n"/>
      <x:c r="AG1613" s="604" t="n">
        <x:v>0.2965460180601359</x:v>
      </x:c>
      <x:c r="AH1613" s="604" t="n"/>
      <x:c r="AI1613" s="604" t="n"/>
      <x:c r="AJ1613" s="604" t="n">
        <x:v>0.2965460180601359</x:v>
      </x:c>
      <x:c r="AK1613" s="604" t="n"/>
      <x:c r="AL1613" s="604" t="n"/>
      <x:c r="AM1613" s="604" t="n"/>
      <x:c r="AN1613" s="604" t="inlineStr">
        <x:is>
          <x:t xml:space="preserve">EVALUATED</x:t>
        </x:is>
      </x:c>
      <x:c r="AO1613" s="604" t="inlineStr">
        <x:is>
          <x:t xml:space="preserve">LOW_QUALITY_GATE;BUCKET_PRIOR_ONLY;INTENT_INTERPRETATION_ONLY;FFL_OPTIONAL;EXPERT_MARKET</x:t>
        </x:is>
      </x:c>
      <x:c r="AP1613" s="604" t="inlineStr">
        <x:is>
          <x:t xml:space="preserve">f27c83c7f0c64a939e1f</x:t>
        </x:is>
      </x:c>
      <x:c r="AQ1613" s="604" t="n"/>
      <x:c r="AR1613" s="604" t="n"/>
      <x:c r="AS1613" s="604" t="n">
        <x:v>-0.25</x:v>
      </x:c>
      <x:c r="AT1613" s="604" t="n">
        <x:v>0.25</x:v>
      </x:c>
      <x:c r="AU1613" s="604" t="n">
        <x:v>0.9</x:v>
      </x:c>
      <x:c r="AV1613" s="604" t="n">
        <x:v>0.9</x:v>
      </x:c>
      <x:c r="AW1613" s="604" t="inlineStr">
        <x:is>
          <x:t xml:space="preserve">2026-10-09T09:01:21.127001+08:00</x:t>
        </x:is>
      </x:c>
      <x:c r="AX1613" s="604" t="inlineStr">
        <x:is>
          <x:t xml:space="preserve">Titan007/V4</x:t>
        </x:is>
      </x:c>
      <x:c r="AY1613" s="604" t="inlineStr">
        <x:is>
          <x:t xml:space="preserve">Daily append；市场输入缺失时不生成决策</x:t>
        </x:is>
      </x:c>
    </x:row>
    <x:row r="1614" ht="22" customHeight="1">
      <x:c r="A1614" s="604" t="inlineStr">
        <x:is>
          <x:t xml:space="preserve">2026-10-09</x:t>
        </x:is>
      </x:c>
      <x:c r="B1614" s="604" t="inlineStr">
        <x:is>
          <x:t xml:space="preserve">2026-10-09T22:30:00+08:00</x:t>
        </x:is>
      </x:c>
      <x:c r="C1614" s="604" t="str">
        <x:v>其他系列</x:v>
      </x:c>
      <x:c r="D1614" s="604" t="inlineStr">
        <x:is>
          <x:t xml:space="preserve"/>
        </x:is>
      </x:c>
      <x:c r="E1614" s="604" t="inlineStr">
        <x:is>
          <x:t xml:space="preserve">安哥甲</x:t>
        </x:is>
      </x:c>
      <x:c r="F1614" s="604" t="inlineStr">
        <x:is>
          <x:t xml:space="preserve">波特洛体育会 vs 高拉</x:t>
        </x:is>
      </x:c>
      <x:c r="G1614" s="604" t="n">
        <x:v>0.9</x:v>
      </x:c>
      <x:c r="H1614" s="604" t="n">
        <x:v>1.75</x:v>
      </x:c>
      <x:c r="I1614" s="604" t="n">
        <x:v>0.9</x:v>
      </x:c>
      <x:c r="J1614" s="604" t="inlineStr">
        <x:is>
          <x:t xml:space="preserve">0.9/1.75/0.9</x:t>
        </x:is>
      </x:c>
      <x:c r="K1614" s="604" t="inlineStr">
        <x:is>
          <x:t xml:space="preserve">V4-N</x:t>
        </x:is>
      </x:c>
      <x:c r="L1614" s="604" t="inlineStr">
        <x:is>
          <x:t xml:space="preserve"/>
        </x:is>
      </x:c>
      <x:c r="M1614" s="604" t="n">
        <x:v>0.6255548500594943</x:v>
      </x:c>
      <x:c r="N1614" s="604" t="inlineStr">
        <x:is>
          <x:t xml:space="preserve">V4 Shadow Only；real_money=false</x:t>
        </x:is>
      </x:c>
      <x:c r="O1614" s="604" t="inlineStr">
        <x:is>
          <x:t xml:space="preserve">0-0</x:t>
        </x:is>
      </x:c>
      <x:c r="P1614" s="604" t="inlineStr">
        <x:is>
          <x:t xml:space="preserve">EVALUATED</x:t>
        </x:is>
      </x:c>
      <x:c r="Q1614" s="630" t="inlineStr">
        <x:is>
          <x:t xml:space="preserve"/>
        </x:is>
      </x:c>
      <x:c r="R1614" s="604" t="n"/>
      <x:c r="S1614" s="604" t="n"/>
      <x:c r="T1614" s="604" t="inlineStr">
        <x:is>
          <x:t xml:space="preserve">D:\codex\v3_legacy\outputs\football_odds_trader\raw\titan007\20261009\20261009_085232_titan007_odds_snapshot.csv</x:t>
        </x:is>
      </x:c>
      <x:c r="U1614" s="628" t="inlineStr">
        <x:is>
          <x:t xml:space="preserve"/>
        </x:is>
      </x:c>
      <x:c r="V1614" s="604" t="inlineStr">
        <x:is>
          <x:t xml:space="preserve"/>
        </x:is>
      </x:c>
      <x:c r="W1614" s="604" t="inlineStr">
        <x:is>
          <x:t xml:space="preserve"/>
        </x:is>
      </x:c>
      <x:c r="X1614" s="604" t="inlineStr">
        <x:is>
          <x:t xml:space="preserve">3065104</x:t>
        </x:is>
      </x:c>
      <x:c r="Y1614" s="604" t="inlineStr">
        <x:is>
          <x:t xml:space="preserve">V4</x:t>
        </x:is>
      </x:c>
      <x:c r="Z1614" s="604" t="inlineStr">
        <x:is>
          <x:t xml:space="preserve">prior-2026-10-09-v1</x:t>
        </x:is>
      </x:c>
      <x:c r="AA1614" s="604" t="inlineStr">
        <x:is>
          <x:t xml:space="preserve">N</x:t>
        </x:is>
      </x:c>
      <x:c r="AB1614" s="604" t="n">
        <x:v>0.6255548500594943</x:v>
      </x:c>
      <x:c r="AC1614" s="604" t="n">
        <x:v>0.2550721392303243</x:v>
      </x:c>
      <x:c r="AD1614" s="604" t="n">
        <x:v>2.75</x:v>
      </x:c>
      <x:c r="AE1614" s="604" t="n"/>
      <x:c r="AF1614" s="604" t="n"/>
      <x:c r="AG1614" s="604" t="n">
        <x:v>0.3079272258232205</x:v>
      </x:c>
      <x:c r="AH1614" s="604" t="n"/>
      <x:c r="AI1614" s="604" t="n"/>
      <x:c r="AJ1614" s="604" t="n">
        <x:v>0.3079272258232205</x:v>
      </x:c>
      <x:c r="AK1614" s="604" t="n"/>
      <x:c r="AL1614" s="604" t="n"/>
      <x:c r="AM1614" s="604" t="n"/>
      <x:c r="AN1614" s="604" t="inlineStr">
        <x:is>
          <x:t xml:space="preserve">EVALUATED</x:t>
        </x:is>
      </x:c>
      <x:c r="AO1614" s="604" t="inlineStr">
        <x:is>
          <x:t xml:space="preserve">LOW_QUALITY_GATE;BUCKET_PRIOR_ONLY;INTENT_INTERPRETATION_ONLY;FFL_OPTIONAL;EXPERT_MARKET</x:t>
        </x:is>
      </x:c>
      <x:c r="AP1614" s="604" t="inlineStr">
        <x:is>
          <x:t xml:space="preserve">fab3b9216efc24eb24b1</x:t>
        </x:is>
      </x:c>
      <x:c r="AQ1614" s="604" t="n"/>
      <x:c r="AR1614" s="604" t="n"/>
      <x:c r="AS1614" s="604" t="n">
        <x:v>1.75</x:v>
      </x:c>
      <x:c r="AT1614" s="604" t="n">
        <x:v>-1.75</x:v>
      </x:c>
      <x:c r="AU1614" s="604" t="n">
        <x:v>0.9</x:v>
      </x:c>
      <x:c r="AV1614" s="604" t="n">
        <x:v>0.9</x:v>
      </x:c>
      <x:c r="AW1614" s="604" t="inlineStr">
        <x:is>
          <x:t xml:space="preserve">2026-10-09T09:01:21.127001+08:00</x:t>
        </x:is>
      </x:c>
      <x:c r="AX1614" s="604" t="inlineStr">
        <x:is>
          <x:t xml:space="preserve">Titan007/V4</x:t>
        </x:is>
      </x:c>
      <x:c r="AY1614" s="604" t="inlineStr">
        <x:is>
          <x:t xml:space="preserve">Daily append；市场输入缺失时不生成决策</x:t>
        </x:is>
      </x:c>
    </x:row>
    <x:row r="1615" ht="22" customHeight="1">
      <x:c r="A1615" s="604" t="inlineStr">
        <x:is>
          <x:t xml:space="preserve">2026-10-09</x:t>
        </x:is>
      </x:c>
      <x:c r="B1615" s="604" t="inlineStr">
        <x:is>
          <x:t xml:space="preserve">2026-10-09T21:00:00+08:00</x:t>
        </x:is>
      </x:c>
      <x:c r="C1615" s="604" t="str">
        <x:v>其他系列</x:v>
      </x:c>
      <x:c r="D1615" s="604" t="inlineStr">
        <x:is>
          <x:t xml:space="preserve"/>
        </x:is>
      </x:c>
      <x:c r="E1615" s="604" t="inlineStr">
        <x:is>
          <x:t xml:space="preserve">南非甲</x:t>
        </x:is>
      </x:c>
      <x:c r="F1615" s="604" t="inlineStr">
        <x:is>
          <x:t xml:space="preserve">勒鲁莫狮子 vs 希望足球俱乐部</x:t>
        </x:is>
      </x:c>
      <x:c r="G1615" s="604" t="n">
        <x:v>0.93</x:v>
      </x:c>
      <x:c r="H1615" s="604" t="n">
        <x:v>0.25</x:v>
      </x:c>
      <x:c r="I1615" s="604" t="n">
        <x:v>0.88</x:v>
      </x:c>
      <x:c r="J1615" s="604" t="inlineStr">
        <x:is>
          <x:t xml:space="preserve">0.93/0.25/0.88</x:t>
        </x:is>
      </x:c>
      <x:c r="K1615" s="604" t="inlineStr">
        <x:is>
          <x:t xml:space="preserve">V4-N</x:t>
        </x:is>
      </x:c>
      <x:c r="L1615" s="604" t="inlineStr">
        <x:is>
          <x:t xml:space="preserve"/>
        </x:is>
      </x:c>
      <x:c r="M1615" s="604" t="n">
        <x:v>0.4971517464609613</x:v>
      </x:c>
      <x:c r="N1615" s="604" t="inlineStr">
        <x:is>
          <x:t xml:space="preserve">V4 Shadow Only；real_money=false</x:t>
        </x:is>
      </x:c>
      <x:c r="O1615" s="604" t="inlineStr">
        <x:is>
          <x:t xml:space="preserve">0-0</x:t>
        </x:is>
      </x:c>
      <x:c r="P1615" s="604" t="inlineStr">
        <x:is>
          <x:t xml:space="preserve">EVALUATED</x:t>
        </x:is>
      </x:c>
      <x:c r="Q1615" s="630" t="inlineStr">
        <x:is>
          <x:t xml:space="preserve"/>
        </x:is>
      </x:c>
      <x:c r="R1615" s="604" t="n"/>
      <x:c r="S1615" s="604" t="n"/>
      <x:c r="T1615" s="604" t="inlineStr">
        <x:is>
          <x:t xml:space="preserve">D:\codex\v3_legacy\outputs\football_odds_trader\raw\titan007\20261009\20261009_085232_titan007_odds_snapshot.csv</x:t>
        </x:is>
      </x:c>
      <x:c r="U1615" s="628" t="inlineStr">
        <x:is>
          <x:t xml:space="preserve"/>
        </x:is>
      </x:c>
      <x:c r="V1615" s="604" t="inlineStr">
        <x:is>
          <x:t xml:space="preserve"/>
        </x:is>
      </x:c>
      <x:c r="W1615" s="604" t="inlineStr">
        <x:is>
          <x:t xml:space="preserve"/>
        </x:is>
      </x:c>
      <x:c r="X1615" s="604" t="inlineStr">
        <x:is>
          <x:t xml:space="preserve">3066295</x:t>
        </x:is>
      </x:c>
      <x:c r="Y1615" s="604" t="inlineStr">
        <x:is>
          <x:t xml:space="preserve">V4</x:t>
        </x:is>
      </x:c>
      <x:c r="Z1615" s="604" t="inlineStr">
        <x:is>
          <x:t xml:space="preserve">prior-2026-10-09-v1</x:t>
        </x:is>
      </x:c>
      <x:c r="AA1615" s="604" t="inlineStr">
        <x:is>
          <x:t xml:space="preserve">N</x:t>
        </x:is>
      </x:c>
      <x:c r="AB1615" s="604" t="n">
        <x:v>0.4971517464609613</x:v>
      </x:c>
      <x:c r="AC1615" s="604" t="n">
        <x:v>0.3750889229858018</x:v>
      </x:c>
      <x:c r="AD1615" s="604" t="n">
        <x:v>0.5</x:v>
      </x:c>
      <x:c r="AE1615" s="604" t="n"/>
      <x:c r="AF1615" s="604" t="n"/>
      <x:c r="AG1615" s="604" t="n">
        <x:v>0.0872622012228923</x:v>
      </x:c>
      <x:c r="AH1615" s="604" t="n"/>
      <x:c r="AI1615" s="604" t="n"/>
      <x:c r="AJ1615" s="604" t="n">
        <x:v>0.0872622012228923</x:v>
      </x:c>
      <x:c r="AK1615" s="604" t="n"/>
      <x:c r="AL1615" s="604" t="n"/>
      <x:c r="AM1615" s="604" t="n"/>
      <x:c r="AN1615" s="604" t="inlineStr">
        <x:is>
          <x:t xml:space="preserve">EVALUATED</x:t>
        </x:is>
      </x:c>
      <x:c r="AO1615" s="604" t="inlineStr">
        <x:is>
          <x:t xml:space="preserve">LOW_QUALITY_GATE;BUCKET_PRIOR_ONLY;INTENT_INTERPRETATION_ONLY;FFL_OPTIONAL;EXPERT_MARKET</x:t>
        </x:is>
      </x:c>
      <x:c r="AP1615" s="604" t="inlineStr">
        <x:is>
          <x:t xml:space="preserve">dfa940a85d901ea73d20</x:t>
        </x:is>
      </x:c>
      <x:c r="AQ1615" s="604" t="n"/>
      <x:c r="AR1615" s="604" t="n"/>
      <x:c r="AS1615" s="604" t="n">
        <x:v>0.25</x:v>
      </x:c>
      <x:c r="AT1615" s="604" t="n">
        <x:v>-0.25</x:v>
      </x:c>
      <x:c r="AU1615" s="604" t="n">
        <x:v>0.93</x:v>
      </x:c>
      <x:c r="AV1615" s="604" t="n">
        <x:v>0.88</x:v>
      </x:c>
      <x:c r="AW1615" s="604" t="inlineStr">
        <x:is>
          <x:t xml:space="preserve">2026-10-09T09:01:21.127001+08:00</x:t>
        </x:is>
      </x:c>
      <x:c r="AX1615" s="604" t="inlineStr">
        <x:is>
          <x:t xml:space="preserve">Titan007/V4</x:t>
        </x:is>
      </x:c>
      <x:c r="AY1615" s="604" t="inlineStr">
        <x:is>
          <x:t xml:space="preserve">Daily append；市场输入缺失时不生成决策</x:t>
        </x:is>
      </x:c>
    </x:row>
    <x:row r="1616" ht="22" customHeight="1">
      <x:c r="A1616" s="604" t="inlineStr">
        <x:is>
          <x:t xml:space="preserve">2026-10-09</x:t>
        </x:is>
      </x:c>
      <x:c r="B1616" s="604" t="inlineStr">
        <x:is>
          <x:t xml:space="preserve">2026-10-09T21:30:00+08:00</x:t>
        </x:is>
      </x:c>
      <x:c r="C1616" s="604" t="str">
        <x:v>其他系列</x:v>
      </x:c>
      <x:c r="D1616" s="604" t="inlineStr">
        <x:is>
          <x:t xml:space="preserve"/>
        </x:is>
      </x:c>
      <x:c r="E1616" s="604" t="inlineStr">
        <x:is>
          <x:t xml:space="preserve">南非甲</x:t>
        </x:is>
      </x:c>
      <x:c r="F1616" s="604" t="inlineStr">
        <x:is>
          <x:t xml:space="preserve">玛盖斯 vs NWU学生队</x:t>
        </x:is>
      </x:c>
      <x:c r="G1616" s="604" t="n">
        <x:v>0.85</x:v>
      </x:c>
      <x:c r="H1616" s="604" t="n">
        <x:v>0.75</x:v>
      </x:c>
      <x:c r="I1616" s="604" t="n">
        <x:v>0.95</x:v>
      </x:c>
      <x:c r="J1616" s="604" t="inlineStr">
        <x:is>
          <x:t xml:space="preserve">0.85/0.75/0.95</x:t>
        </x:is>
      </x:c>
      <x:c r="K1616" s="604" t="inlineStr">
        <x:is>
          <x:t xml:space="preserve">V4-N</x:t>
        </x:is>
      </x:c>
      <x:c r="L1616" s="604" t="inlineStr">
        <x:is>
          <x:t xml:space="preserve"/>
        </x:is>
      </x:c>
      <x:c r="M1616" s="604" t="n">
        <x:v>0.5843219018246933</x:v>
      </x:c>
      <x:c r="N1616" s="604" t="inlineStr">
        <x:is>
          <x:t xml:space="preserve">V4 Shadow Only；real_money=false</x:t>
        </x:is>
      </x:c>
      <x:c r="O1616" s="604" t="inlineStr">
        <x:is>
          <x:t xml:space="preserve">0-0</x:t>
        </x:is>
      </x:c>
      <x:c r="P1616" s="604" t="inlineStr">
        <x:is>
          <x:t xml:space="preserve">EVALUATED</x:t>
        </x:is>
      </x:c>
      <x:c r="Q1616" s="630" t="inlineStr">
        <x:is>
          <x:t xml:space="preserve"/>
        </x:is>
      </x:c>
      <x:c r="R1616" s="604" t="n"/>
      <x:c r="S1616" s="604" t="n"/>
      <x:c r="T1616" s="604" t="inlineStr">
        <x:is>
          <x:t xml:space="preserve">D:\codex\v3_legacy\outputs\football_odds_trader\raw\titan007\20261009\20261009_085232_titan007_odds_snapshot.csv</x:t>
        </x:is>
      </x:c>
      <x:c r="U1616" s="628" t="inlineStr">
        <x:is>
          <x:t xml:space="preserve"/>
        </x:is>
      </x:c>
      <x:c r="V1616" s="604" t="inlineStr">
        <x:is>
          <x:t xml:space="preserve"/>
        </x:is>
      </x:c>
      <x:c r="W1616" s="604" t="inlineStr">
        <x:is>
          <x:t xml:space="preserve"/>
        </x:is>
      </x:c>
      <x:c r="X1616" s="604" t="inlineStr">
        <x:is>
          <x:t xml:space="preserve">3066296</x:t>
        </x:is>
      </x:c>
      <x:c r="Y1616" s="604" t="inlineStr">
        <x:is>
          <x:t xml:space="preserve">V4</x:t>
        </x:is>
      </x:c>
      <x:c r="Z1616" s="604" t="inlineStr">
        <x:is>
          <x:t xml:space="preserve">prior-2026-10-09-v1</x:t>
        </x:is>
      </x:c>
      <x:c r="AA1616" s="604" t="inlineStr">
        <x:is>
          <x:t xml:space="preserve">N</x:t>
        </x:is>
      </x:c>
      <x:c r="AB1616" s="604" t="n">
        <x:v>0.5843219018246933</x:v>
      </x:c>
      <x:c r="AC1616" s="604" t="n">
        <x:v>0.2868683016653426</x:v>
      </x:c>
      <x:c r="AD1616" s="604" t="n">
        <x:v>1.5</x:v>
      </x:c>
      <x:c r="AE1616" s="604" t="n"/>
      <x:c r="AF1616" s="604" t="n"/>
      <x:c r="AG1616" s="604" t="n">
        <x:v>0.2098053148856468</x:v>
      </x:c>
      <x:c r="AH1616" s="604" t="n"/>
      <x:c r="AI1616" s="604" t="n"/>
      <x:c r="AJ1616" s="604" t="n">
        <x:v>0.2098053148856468</x:v>
      </x:c>
      <x:c r="AK1616" s="604" t="n"/>
      <x:c r="AL1616" s="604" t="n"/>
      <x:c r="AM1616" s="604" t="n"/>
      <x:c r="AN1616" s="604" t="inlineStr">
        <x:is>
          <x:t xml:space="preserve">EVALUATED</x:t>
        </x:is>
      </x:c>
      <x:c r="AO1616" s="604" t="inlineStr">
        <x:is>
          <x:t xml:space="preserve">LOW_QUALITY_GATE;BUCKET_PRIOR_ONLY;INTENT_INTERPRETATION_ONLY;FFL_OPTIONAL;EXPERT_MARKET</x:t>
        </x:is>
      </x:c>
      <x:c r="AP1616" s="604" t="inlineStr">
        <x:is>
          <x:t xml:space="preserve">209fedf0c6dc05067b56</x:t>
        </x:is>
      </x:c>
      <x:c r="AQ1616" s="604" t="n"/>
      <x:c r="AR1616" s="604" t="n"/>
      <x:c r="AS1616" s="604" t="n">
        <x:v>0.75</x:v>
      </x:c>
      <x:c r="AT1616" s="604" t="n">
        <x:v>-0.75</x:v>
      </x:c>
      <x:c r="AU1616" s="604" t="n">
        <x:v>0.85</x:v>
      </x:c>
      <x:c r="AV1616" s="604" t="n">
        <x:v>0.95</x:v>
      </x:c>
      <x:c r="AW1616" s="604" t="inlineStr">
        <x:is>
          <x:t xml:space="preserve">2026-10-09T09:01:21.127001+08:00</x:t>
        </x:is>
      </x:c>
      <x:c r="AX1616" s="604" t="inlineStr">
        <x:is>
          <x:t xml:space="preserve">Titan007/V4</x:t>
        </x:is>
      </x:c>
      <x:c r="AY1616" s="604" t="inlineStr">
        <x:is>
          <x:t xml:space="preserve">Daily append；市场输入缺失时不生成决策</x:t>
        </x:is>
      </x:c>
    </x:row>
    <x:row r="1617" ht="22" customHeight="1">
      <x:c r="A1617" s="604" t="inlineStr">
        <x:is>
          <x:t xml:space="preserve">2026-10-09</x:t>
        </x:is>
      </x:c>
      <x:c r="B1617" s="604" t="inlineStr">
        <x:is>
          <x:t xml:space="preserve">2026-10-10T00:00:00+08:00</x:t>
        </x:is>
      </x:c>
      <x:c r="C1617" s="604" t="str">
        <x:v>西亚/中亚系列</x:v>
      </x:c>
      <x:c r="D1617" s="604" t="inlineStr">
        <x:is>
          <x:t xml:space="preserve"/>
        </x:is>
      </x:c>
      <x:c r="E1617" s="604" t="inlineStr">
        <x:is>
          <x:t xml:space="preserve">波斯丙</x:t>
        </x:is>
      </x:c>
      <x:c r="F1617" s="604" t="inlineStr">
        <x:is>
          <x:t xml:space="preserve">波特科扎尔杰 vs 史拉维加</x:t>
        </x:is>
      </x:c>
      <x:c r="G1617" s="604" t="n">
        <x:v>0.88</x:v>
      </x:c>
      <x:c r="H1617" s="604" t="n">
        <x:v>1</x:v>
      </x:c>
      <x:c r="I1617" s="604" t="n">
        <x:v>0.93</x:v>
      </x:c>
      <x:c r="J1617" s="604" t="inlineStr">
        <x:is>
          <x:t xml:space="preserve">0.88/1.0/0.93</x:t>
        </x:is>
      </x:c>
      <x:c r="K1617" s="604" t="inlineStr">
        <x:is>
          <x:t xml:space="preserve">V4-N</x:t>
        </x:is>
      </x:c>
      <x:c r="L1617" s="604" t="inlineStr">
        <x:is>
          <x:t xml:space="preserve"/>
        </x:is>
      </x:c>
      <x:c r="M1617" s="604" t="n">
        <x:v>0.4919434484383823</x:v>
      </x:c>
      <x:c r="N1617" s="604" t="inlineStr">
        <x:is>
          <x:t xml:space="preserve">V4 Shadow Only；real_money=false</x:t>
        </x:is>
      </x:c>
      <x:c r="O1617" s="604" t="inlineStr">
        <x:is>
          <x:t xml:space="preserve">0-0</x:t>
        </x:is>
      </x:c>
      <x:c r="P1617" s="604" t="inlineStr">
        <x:is>
          <x:t xml:space="preserve">EVALUATED</x:t>
        </x:is>
      </x:c>
      <x:c r="Q1617" s="630" t="inlineStr">
        <x:is>
          <x:t xml:space="preserve"/>
        </x:is>
      </x:c>
      <x:c r="R1617" s="604" t="n"/>
      <x:c r="S1617" s="604" t="n"/>
      <x:c r="T1617" s="604" t="inlineStr">
        <x:is>
          <x:t xml:space="preserve">D:\codex\v3_legacy\outputs\football_odds_trader\raw\titan007\20261009\20261009_085232_titan007_odds_snapshot.csv</x:t>
        </x:is>
      </x:c>
      <x:c r="U1617" s="628" t="inlineStr">
        <x:is>
          <x:t xml:space="preserve"/>
        </x:is>
      </x:c>
      <x:c r="V1617" s="604" t="inlineStr">
        <x:is>
          <x:t xml:space="preserve"/>
        </x:is>
      </x:c>
      <x:c r="W1617" s="604" t="inlineStr">
        <x:is>
          <x:t xml:space="preserve"/>
        </x:is>
      </x:c>
      <x:c r="X1617" s="604" t="inlineStr">
        <x:is>
          <x:t xml:space="preserve">3067451</x:t>
        </x:is>
      </x:c>
      <x:c r="Y1617" s="604" t="inlineStr">
        <x:is>
          <x:t xml:space="preserve">V4</x:t>
        </x:is>
      </x:c>
      <x:c r="Z1617" s="604" t="inlineStr">
        <x:is>
          <x:t xml:space="preserve">prior-2026-10-09-v1</x:t>
        </x:is>
      </x:c>
      <x:c r="AA1617" s="604" t="inlineStr">
        <x:is>
          <x:t xml:space="preserve">N</x:t>
        </x:is>
      </x:c>
      <x:c r="AB1617" s="604" t="n">
        <x:v>0.4919434484383823</x:v>
      </x:c>
      <x:c r="AC1617" s="604" t="n">
        <x:v>0.254893952249682</x:v>
      </x:c>
      <x:c r="AD1617" s="604" t="n">
        <x:v>1.5</x:v>
      </x:c>
      <x:c r="AE1617" s="604" t="n"/>
      <x:c r="AF1617" s="604" t="n"/>
      <x:c r="AG1617" s="604" t="n">
        <x:v>0.1780162823760944</x:v>
      </x:c>
      <x:c r="AH1617" s="604" t="n"/>
      <x:c r="AI1617" s="604" t="n"/>
      <x:c r="AJ1617" s="604" t="n">
        <x:v>0.1780162823760944</x:v>
      </x:c>
      <x:c r="AK1617" s="604" t="n"/>
      <x:c r="AL1617" s="604" t="n"/>
      <x:c r="AM1617" s="604" t="n"/>
      <x:c r="AN1617" s="604" t="inlineStr">
        <x:is>
          <x:t xml:space="preserve">EVALUATED</x:t>
        </x:is>
      </x:c>
      <x:c r="AO1617" s="604" t="inlineStr">
        <x:is>
          <x:t xml:space="preserve">LOW_QUALITY_GATE;BUCKET_PRIOR_ONLY;INTENT_INTERPRETATION_ONLY;FFL_OPTIONAL;EXPERT_MARKET</x:t>
        </x:is>
      </x:c>
      <x:c r="AP1617" s="604" t="inlineStr">
        <x:is>
          <x:t xml:space="preserve">49e1227d4724a65a1c29</x:t>
        </x:is>
      </x:c>
      <x:c r="AQ1617" s="604" t="n"/>
      <x:c r="AR1617" s="604" t="n"/>
      <x:c r="AS1617" s="604" t="n">
        <x:v>1</x:v>
      </x:c>
      <x:c r="AT1617" s="604" t="n">
        <x:v>-1</x:v>
      </x:c>
      <x:c r="AU1617" s="604" t="n">
        <x:v>0.88</x:v>
      </x:c>
      <x:c r="AV1617" s="604" t="n">
        <x:v>0.93</x:v>
      </x:c>
      <x:c r="AW1617" s="604" t="inlineStr">
        <x:is>
          <x:t xml:space="preserve">2026-10-09T09:01:21.127001+08:00</x:t>
        </x:is>
      </x:c>
      <x:c r="AX1617" s="604" t="inlineStr">
        <x:is>
          <x:t xml:space="preserve">Titan007/V4</x:t>
        </x:is>
      </x:c>
      <x:c r="AY1617" s="604" t="inlineStr">
        <x:is>
          <x:t xml:space="preserve">Daily append；市场输入缺失时不生成决策</x:t>
        </x:is>
      </x:c>
    </x:row>
    <x:row r="1618" ht="22" customHeight="1">
      <x:c r="A1618" s="604" t="inlineStr">
        <x:is>
          <x:t xml:space="preserve">2026-10-09</x:t>
        </x:is>
      </x:c>
      <x:c r="B1618" s="604" t="inlineStr">
        <x:is>
          <x:t xml:space="preserve">2026-10-10T00:00:00+08:00</x:t>
        </x:is>
      </x:c>
      <x:c r="C1618" s="604" t="str">
        <x:v>欧洲非五大系列</x:v>
      </x:c>
      <x:c r="D1618" s="604" t="inlineStr">
        <x:is>
          <x:t xml:space="preserve"/>
        </x:is>
      </x:c>
      <x:c r="E1618" s="604" t="inlineStr">
        <x:is>
          <x:t xml:space="preserve">克亚乙</x:t>
        </x:is>
      </x:c>
      <x:c r="F1618" s="604" t="inlineStr">
        <x:is>
          <x:t xml:space="preserve">卡洛华克 vs 比耶洛波布尔多</x:t>
        </x:is>
      </x:c>
      <x:c r="G1618" s="604" t="n">
        <x:v>0.85</x:v>
      </x:c>
      <x:c r="H1618" s="604" t="n">
        <x:v>0</x:v>
      </x:c>
      <x:c r="I1618" s="604" t="n">
        <x:v>0.85</x:v>
      </x:c>
      <x:c r="J1618" s="604" t="inlineStr">
        <x:is>
          <x:t xml:space="preserve">0.85/0.0/0.85</x:t>
        </x:is>
      </x:c>
      <x:c r="K1618" s="604" t="inlineStr">
        <x:is>
          <x:t xml:space="preserve">V4-N</x:t>
        </x:is>
      </x:c>
      <x:c r="L1618" s="604" t="inlineStr">
        <x:is>
          <x:t xml:space="preserve"/>
        </x:is>
      </x:c>
      <x:c r="M1618" s="604" t="n"/>
      <x:c r="N1618" s="604" t="inlineStr">
        <x:is>
          <x:t xml:space="preserve">V4 Shadow Only；real_money=false</x:t>
        </x:is>
      </x:c>
      <x:c r="O1618" s="604" t="inlineStr">
        <x:is>
          <x:t xml:space="preserve">0-0</x:t>
        </x:is>
      </x:c>
      <x:c r="P1618" s="604" t="inlineStr">
        <x:is>
          <x:t xml:space="preserve">NEUTRAL</x:t>
        </x:is>
      </x:c>
      <x:c r="Q1618" s="630" t="inlineStr">
        <x:is>
          <x:t xml:space="preserve"/>
        </x:is>
      </x:c>
      <x:c r="R1618" s="604" t="n"/>
      <x:c r="S1618" s="604" t="n"/>
      <x:c r="T1618" s="604" t="inlineStr">
        <x:is>
          <x:t xml:space="preserve">D:\codex\v3_legacy\outputs\football_odds_trader\raw\titan007\20261009\20261009_085232_titan007_odds_snapshot.csv</x:t>
        </x:is>
      </x:c>
      <x:c r="U1618" s="628" t="inlineStr">
        <x:is>
          <x:t xml:space="preserve"/>
        </x:is>
      </x:c>
      <x:c r="V1618" s="604" t="inlineStr">
        <x:is>
          <x:t xml:space="preserve"/>
        </x:is>
      </x:c>
      <x:c r="W1618" s="604" t="inlineStr">
        <x:is>
          <x:t xml:space="preserve"/>
        </x:is>
      </x:c>
      <x:c r="X1618" s="604" t="inlineStr">
        <x:is>
          <x:t xml:space="preserve">3068154</x:t>
        </x:is>
      </x:c>
      <x:c r="Y1618" s="604" t="inlineStr">
        <x:is>
          <x:t xml:space="preserve">V4</x:t>
        </x:is>
      </x:c>
      <x:c r="Z1618" s="604" t="inlineStr">
        <x:is>
          <x:t xml:space="preserve">prior-2026-10-09-v1</x:t>
        </x:is>
      </x:c>
      <x:c r="AA1618" s="604" t="inlineStr">
        <x:is>
          <x:t xml:space="preserve">N</x:t>
        </x:is>
      </x:c>
      <x:c r="AB1618" s="604" t="n"/>
      <x:c r="AC1618" s="604" t="n"/>
      <x:c r="AD1618" s="604" t="n"/>
      <x:c r="AE1618" s="604" t="n"/>
      <x:c r="AF1618" s="604" t="n"/>
      <x:c r="AG1618" s="604" t="n"/>
      <x:c r="AH1618" s="604" t="n"/>
      <x:c r="AI1618" s="604" t="n"/>
      <x:c r="AJ1618" s="604" t="n"/>
      <x:c r="AK1618" s="604" t="n"/>
      <x:c r="AL1618" s="604" t="n"/>
      <x:c r="AM1618" s="604" t="n"/>
      <x:c r="AN1618" s="604" t="inlineStr">
        <x:is>
          <x:t xml:space="preserve">NEUTRAL</x:t>
        </x:is>
      </x:c>
      <x:c r="AO1618" s="604" t="inlineStr">
        <x:is>
          <x:t xml:space="preserve">PK_NO_GIVING_RECEIVING_IDENTITY</x:t>
        </x:is>
      </x:c>
      <x:c r="AP1618" s="604" t="inlineStr">
        <x:is>
          <x:t xml:space="preserve">0fb1f8921f38d84c2ae5</x:t>
        </x:is>
      </x:c>
      <x:c r="AQ1618" s="604" t="n"/>
      <x:c r="AR1618" s="604" t="n"/>
      <x:c r="AS1618" s="604" t="n"/>
      <x:c r="AT1618" s="604" t="n"/>
      <x:c r="AU1618" s="604" t="n"/>
      <x:c r="AV1618" s="604" t="n"/>
      <x:c r="AW1618" s="604" t="inlineStr">
        <x:is>
          <x:t xml:space="preserve">2026-10-09T09:01:21.127001+08:00</x:t>
        </x:is>
      </x:c>
      <x:c r="AX1618" s="604" t="inlineStr">
        <x:is>
          <x:t xml:space="preserve">Titan007/V4</x:t>
        </x:is>
      </x:c>
      <x:c r="AY1618" s="604" t="inlineStr">
        <x:is>
          <x:t xml:space="preserve">Daily append；市场输入缺失时不生成决策</x:t>
        </x:is>
      </x:c>
    </x:row>
    <x:row r="1619" ht="22" customHeight="1">
      <x:c r="A1619" s="604" t="inlineStr">
        <x:is>
          <x:t xml:space="preserve">2026-10-09</x:t>
        </x:is>
      </x:c>
      <x:c r="B1619" s="604" t="inlineStr">
        <x:is>
          <x:t xml:space="preserve">2026-10-09T21:30:00+08:00</x:t>
        </x:is>
      </x:c>
      <x:c r="C1619" s="604" t="str">
        <x:v>欧洲非五大系列</x:v>
      </x:c>
      <x:c r="D1619" s="604" t="inlineStr">
        <x:is>
          <x:t xml:space="preserve"/>
        </x:is>
      </x:c>
      <x:c r="E1619" s="604" t="inlineStr">
        <x:is>
          <x:t xml:space="preserve">克亚乙</x:t>
        </x:is>
      </x:c>
      <x:c r="F1619" s="604" t="inlineStr">
        <x:is>
          <x:t xml:space="preserve">扎达拉洛维 vs 希巴利亚</x:t>
        </x:is>
      </x:c>
      <x:c r="G1619" s="604" t="n">
        <x:v>0.85</x:v>
      </x:c>
      <x:c r="H1619" s="604" t="n">
        <x:v>0.25</x:v>
      </x:c>
      <x:c r="I1619" s="604" t="n">
        <x:v>0.85</x:v>
      </x:c>
      <x:c r="J1619" s="604" t="inlineStr">
        <x:is>
          <x:t xml:space="preserve">0.85/0.25/0.85</x:t>
        </x:is>
      </x:c>
      <x:c r="K1619" s="604" t="inlineStr">
        <x:is>
          <x:t xml:space="preserve">V4-N</x:t>
        </x:is>
      </x:c>
      <x:c r="L1619" s="604" t="inlineStr">
        <x:is>
          <x:t xml:space="preserve"/>
        </x:is>
      </x:c>
      <x:c r="M1619" s="604" t="n">
        <x:v>0.4772650280505943</x:v>
      </x:c>
      <x:c r="N1619" s="604" t="inlineStr">
        <x:is>
          <x:t xml:space="preserve">V4 Shadow Only；real_money=false</x:t>
        </x:is>
      </x:c>
      <x:c r="O1619" s="604" t="inlineStr">
        <x:is>
          <x:t xml:space="preserve">0-0</x:t>
        </x:is>
      </x:c>
      <x:c r="P1619" s="604" t="inlineStr">
        <x:is>
          <x:t xml:space="preserve">EVALUATED</x:t>
        </x:is>
      </x:c>
      <x:c r="Q1619" s="630" t="inlineStr">
        <x:is>
          <x:t xml:space="preserve"/>
        </x:is>
      </x:c>
      <x:c r="R1619" s="604" t="n"/>
      <x:c r="S1619" s="604" t="n"/>
      <x:c r="T1619" s="604" t="inlineStr">
        <x:is>
          <x:t xml:space="preserve">D:\codex\v3_legacy\outputs\football_odds_trader\raw\titan007\20261009\20261009_085232_titan007_odds_snapshot.csv</x:t>
        </x:is>
      </x:c>
      <x:c r="U1619" s="628" t="inlineStr">
        <x:is>
          <x:t xml:space="preserve"/>
        </x:is>
      </x:c>
      <x:c r="V1619" s="604" t="inlineStr">
        <x:is>
          <x:t xml:space="preserve"/>
        </x:is>
      </x:c>
      <x:c r="W1619" s="604" t="inlineStr">
        <x:is>
          <x:t xml:space="preserve"/>
        </x:is>
      </x:c>
      <x:c r="X1619" s="604" t="inlineStr">
        <x:is>
          <x:t xml:space="preserve">3068156</x:t>
        </x:is>
      </x:c>
      <x:c r="Y1619" s="604" t="inlineStr">
        <x:is>
          <x:t xml:space="preserve">V4</x:t>
        </x:is>
      </x:c>
      <x:c r="Z1619" s="604" t="inlineStr">
        <x:is>
          <x:t xml:space="preserve">prior-2026-10-09-v1</x:t>
        </x:is>
      </x:c>
      <x:c r="AA1619" s="604" t="inlineStr">
        <x:is>
          <x:t xml:space="preserve">N</x:t>
        </x:is>
      </x:c>
      <x:c r="AB1619" s="604" t="n">
        <x:v>0.4772650280505943</x:v>
      </x:c>
      <x:c r="AC1619" s="604" t="n">
        <x:v>0.3943583530803894</x:v>
      </x:c>
      <x:c r="AD1619" s="604" t="n">
        <x:v>0.5</x:v>
      </x:c>
      <x:c r="AE1619" s="604" t="n"/>
      <x:c r="AF1619" s="604" t="n"/>
      <x:c r="AG1619" s="604" t="n">
        <x:v>0.01131692076261576</x:v>
      </x:c>
      <x:c r="AH1619" s="604" t="n"/>
      <x:c r="AI1619" s="604" t="n"/>
      <x:c r="AJ1619" s="604" t="n">
        <x:v>0.01131692076261576</x:v>
      </x:c>
      <x:c r="AK1619" s="604" t="n"/>
      <x:c r="AL1619" s="604" t="n"/>
      <x:c r="AM1619" s="604" t="n"/>
      <x:c r="AN1619" s="604" t="inlineStr">
        <x:is>
          <x:t xml:space="preserve">EVALUATED</x:t>
        </x:is>
      </x:c>
      <x:c r="AO1619" s="604" t="inlineStr">
        <x:is>
          <x:t xml:space="preserve">EDGE_BELOW_UNCERTAINTY_THRESHOLD;BUCKET_PRIOR_ONLY;INTENT_INTERPRETATION_ONLY;FFL_OPTIONAL;EXPERT_MARKET</x:t>
        </x:is>
      </x:c>
      <x:c r="AP1619" s="604" t="inlineStr">
        <x:is>
          <x:t xml:space="preserve">80a54e0da399d917ac5a</x:t>
        </x:is>
      </x:c>
      <x:c r="AQ1619" s="604" t="n"/>
      <x:c r="AR1619" s="604" t="n"/>
      <x:c r="AS1619" s="604" t="n">
        <x:v>0.25</x:v>
      </x:c>
      <x:c r="AT1619" s="604" t="n">
        <x:v>-0.25</x:v>
      </x:c>
      <x:c r="AU1619" s="604" t="n">
        <x:v>0.85</x:v>
      </x:c>
      <x:c r="AV1619" s="604" t="n">
        <x:v>0.85</x:v>
      </x:c>
      <x:c r="AW1619" s="604" t="inlineStr">
        <x:is>
          <x:t xml:space="preserve">2026-10-09T09:01:21.127001+08:00</x:t>
        </x:is>
      </x:c>
      <x:c r="AX1619" s="604" t="inlineStr">
        <x:is>
          <x:t xml:space="preserve">Titan007/V4</x:t>
        </x:is>
      </x:c>
      <x:c r="AY1619" s="604" t="inlineStr">
        <x:is>
          <x:t xml:space="preserve">Daily append；市场输入缺失时不生成决策</x:t>
        </x:is>
      </x:c>
    </x:row>
    <x:row r="1620" ht="22" customHeight="1">
      <x:c r="A1620" s="604" t="inlineStr">
        <x:is>
          <x:t xml:space="preserve">2026-10-09</x:t>
        </x:is>
      </x:c>
      <x:c r="B1620" s="604" t="inlineStr">
        <x:is>
          <x:t xml:space="preserve">2026-10-09T21:00:00+08:00</x:t>
        </x:is>
      </x:c>
      <x:c r="C1620" s="604" t="str">
        <x:v>欧洲非五大系列</x:v>
      </x:c>
      <x:c r="D1620" s="604" t="inlineStr">
        <x:is>
          <x:t xml:space="preserve"/>
        </x:is>
      </x:c>
      <x:c r="E1620" s="604" t="inlineStr">
        <x:is>
          <x:t xml:space="preserve">克亚乙</x:t>
        </x:is>
      </x:c>
      <x:c r="F1620" s="604" t="inlineStr">
        <x:is>
          <x:t xml:space="preserve">雷迪塞瓦特 vs 乔登普罗克</x:t>
        </x:is>
      </x:c>
      <x:c r="G1620" s="604" t="n">
        <x:v>0.93</x:v>
      </x:c>
      <x:c r="H1620" s="604" t="n">
        <x:v>0.25</x:v>
      </x:c>
      <x:c r="I1620" s="604" t="n">
        <x:v>0.77</x:v>
      </x:c>
      <x:c r="J1620" s="604" t="inlineStr">
        <x:is>
          <x:t xml:space="preserve">0.93/0.25/0.77</x:t>
        </x:is>
      </x:c>
      <x:c r="K1620" s="604" t="inlineStr">
        <x:is>
          <x:t xml:space="preserve">V4-N</x:t>
        </x:is>
      </x:c>
      <x:c r="L1620" s="604" t="inlineStr">
        <x:is>
          <x:t xml:space="preserve"/>
        </x:is>
      </x:c>
      <x:c r="M1620" s="604" t="n">
        <x:v>0.4568296205863955</x:v>
      </x:c>
      <x:c r="N1620" s="604" t="inlineStr">
        <x:is>
          <x:t xml:space="preserve">V4 Shadow Only；real_money=false</x:t>
        </x:is>
      </x:c>
      <x:c r="O1620" s="604" t="inlineStr">
        <x:is>
          <x:t xml:space="preserve">0-0</x:t>
        </x:is>
      </x:c>
      <x:c r="P1620" s="604" t="inlineStr">
        <x:is>
          <x:t xml:space="preserve">EVALUATED</x:t>
        </x:is>
      </x:c>
      <x:c r="Q1620" s="630" t="inlineStr">
        <x:is>
          <x:t xml:space="preserve"/>
        </x:is>
      </x:c>
      <x:c r="R1620" s="604" t="n"/>
      <x:c r="S1620" s="604" t="n"/>
      <x:c r="T1620" s="604" t="inlineStr">
        <x:is>
          <x:t xml:space="preserve">D:\codex\v3_legacy\outputs\football_odds_trader\raw\titan007\20261009\20261009_085232_titan007_odds_snapshot.csv</x:t>
        </x:is>
      </x:c>
      <x:c r="U1620" s="628" t="inlineStr">
        <x:is>
          <x:t xml:space="preserve"/>
        </x:is>
      </x:c>
      <x:c r="V1620" s="604" t="inlineStr">
        <x:is>
          <x:t xml:space="preserve"/>
        </x:is>
      </x:c>
      <x:c r="W1620" s="604" t="inlineStr">
        <x:is>
          <x:t xml:space="preserve"/>
        </x:is>
      </x:c>
      <x:c r="X1620" s="604" t="inlineStr">
        <x:is>
          <x:t xml:space="preserve">3068159</x:t>
        </x:is>
      </x:c>
      <x:c r="Y1620" s="604" t="inlineStr">
        <x:is>
          <x:t xml:space="preserve">V4</x:t>
        </x:is>
      </x:c>
      <x:c r="Z1620" s="604" t="inlineStr">
        <x:is>
          <x:t xml:space="preserve">prior-2026-10-09-v1</x:t>
        </x:is>
      </x:c>
      <x:c r="AA1620" s="604" t="inlineStr">
        <x:is>
          <x:t xml:space="preserve">N</x:t>
        </x:is>
      </x:c>
      <x:c r="AB1620" s="604" t="n">
        <x:v>0.4568296205863955</x:v>
      </x:c>
      <x:c r="AC1620" s="604" t="n">
        <x:v>0.4129913003489167</x:v>
      </x:c>
      <x:c r="AD1620" s="604" t="n">
        <x:v>0.25</x:v>
      </x:c>
      <x:c r="AE1620" s="604" t="n"/>
      <x:c r="AF1620" s="604" t="n"/>
      <x:c r="AG1620" s="604" t="n">
        <x:v>0.01186024679643122</x:v>
      </x:c>
      <x:c r="AH1620" s="604" t="n"/>
      <x:c r="AI1620" s="604" t="n"/>
      <x:c r="AJ1620" s="604" t="n">
        <x:v>0.01186024679643122</x:v>
      </x:c>
      <x:c r="AK1620" s="604" t="n"/>
      <x:c r="AL1620" s="604" t="n"/>
      <x:c r="AM1620" s="604" t="n"/>
      <x:c r="AN1620" s="604" t="inlineStr">
        <x:is>
          <x:t xml:space="preserve">EVALUATED</x:t>
        </x:is>
      </x:c>
      <x:c r="AO1620" s="604" t="inlineStr">
        <x:is>
          <x:t xml:space="preserve">EDGE_BELOW_UNCERTAINTY_THRESHOLD;BUCKET_PRIOR_ONLY;INTENT_INTERPRETATION_ONLY;FFL_OPTIONAL;EXPERT_MARKET</x:t>
        </x:is>
      </x:c>
      <x:c r="AP1620" s="604" t="inlineStr">
        <x:is>
          <x:t xml:space="preserve">a34666570e89fad9ee82</x:t>
        </x:is>
      </x:c>
      <x:c r="AQ1620" s="604" t="n"/>
      <x:c r="AR1620" s="604" t="n"/>
      <x:c r="AS1620" s="604" t="n">
        <x:v>0.25</x:v>
      </x:c>
      <x:c r="AT1620" s="604" t="n">
        <x:v>-0.25</x:v>
      </x:c>
      <x:c r="AU1620" s="604" t="n">
        <x:v>0.93</x:v>
      </x:c>
      <x:c r="AV1620" s="604" t="n">
        <x:v>0.77</x:v>
      </x:c>
      <x:c r="AW1620" s="604" t="inlineStr">
        <x:is>
          <x:t xml:space="preserve">2026-10-09T09:01:21.127001+08:00</x:t>
        </x:is>
      </x:c>
      <x:c r="AX1620" s="604" t="inlineStr">
        <x:is>
          <x:t xml:space="preserve">Titan007/V4</x:t>
        </x:is>
      </x:c>
      <x:c r="AY1620" s="604" t="inlineStr">
        <x:is>
          <x:t xml:space="preserve">Daily append；市场输入缺失时不生成决策</x:t>
        </x:is>
      </x:c>
    </x:row>
    <x:row r="1621" ht="22" customHeight="1">
      <x:c r="A1621" s="604" t="inlineStr">
        <x:is>
          <x:t xml:space="preserve">2026-10-09</x:t>
        </x:is>
      </x:c>
      <x:c r="B1621" s="604" t="inlineStr">
        <x:is>
          <x:t xml:space="preserve">2026-10-09T21:30:00+08:00</x:t>
        </x:is>
      </x:c>
      <x:c r="C1621" s="604" t="str">
        <x:v>欧洲非五大系列</x:v>
      </x:c>
      <x:c r="D1621" s="604" t="inlineStr">
        <x:is>
          <x:t xml:space="preserve"/>
        </x:is>
      </x:c>
      <x:c r="E1621" s="604" t="inlineStr">
        <x:is>
          <x:t xml:space="preserve">克亚乙</x:t>
        </x:is>
      </x:c>
      <x:c r="F1621" s="604" t="inlineStr">
        <x:is>
          <x:t xml:space="preserve">欧帕提亚 vs 古斯图西加</x:t>
        </x:is>
      </x:c>
      <x:c r="G1621" s="604" t="n">
        <x:v>0.85</x:v>
      </x:c>
      <x:c r="H1621" s="604" t="n">
        <x:v>0.25</x:v>
      </x:c>
      <x:c r="I1621" s="604" t="n">
        <x:v>0.85</x:v>
      </x:c>
      <x:c r="J1621" s="604" t="inlineStr">
        <x:is>
          <x:t xml:space="preserve">0.85/0.25/0.85</x:t>
        </x:is>
      </x:c>
      <x:c r="K1621" s="604" t="inlineStr">
        <x:is>
          <x:t xml:space="preserve">V4-N</x:t>
        </x:is>
      </x:c>
      <x:c r="L1621" s="604" t="inlineStr">
        <x:is>
          <x:t xml:space="preserve"/>
        </x:is>
      </x:c>
      <x:c r="M1621" s="604" t="n">
        <x:v>0.4683830514076612</x:v>
      </x:c>
      <x:c r="N1621" s="604" t="inlineStr">
        <x:is>
          <x:t xml:space="preserve">V4 Shadow Only；real_money=false</x:t>
        </x:is>
      </x:c>
      <x:c r="O1621" s="604" t="inlineStr">
        <x:is>
          <x:t xml:space="preserve">0-0</x:t>
        </x:is>
      </x:c>
      <x:c r="P1621" s="604" t="inlineStr">
        <x:is>
          <x:t xml:space="preserve">EVALUATED</x:t>
        </x:is>
      </x:c>
      <x:c r="Q1621" s="630" t="inlineStr">
        <x:is>
          <x:t xml:space="preserve"/>
        </x:is>
      </x:c>
      <x:c r="R1621" s="604" t="n"/>
      <x:c r="S1621" s="604" t="n"/>
      <x:c r="T1621" s="604" t="inlineStr">
        <x:is>
          <x:t xml:space="preserve">D:\codex\v3_legacy\outputs\football_odds_trader\raw\titan007\20261009\20261009_085232_titan007_odds_snapshot.csv</x:t>
        </x:is>
      </x:c>
      <x:c r="U1621" s="628" t="inlineStr">
        <x:is>
          <x:t xml:space="preserve"/>
        </x:is>
      </x:c>
      <x:c r="V1621" s="604" t="inlineStr">
        <x:is>
          <x:t xml:space="preserve"/>
        </x:is>
      </x:c>
      <x:c r="W1621" s="604" t="inlineStr">
        <x:is>
          <x:t xml:space="preserve"/>
        </x:is>
      </x:c>
      <x:c r="X1621" s="604" t="inlineStr">
        <x:is>
          <x:t xml:space="preserve">3068280</x:t>
        </x:is>
      </x:c>
      <x:c r="Y1621" s="604" t="inlineStr">
        <x:is>
          <x:t xml:space="preserve">V4</x:t>
        </x:is>
      </x:c>
      <x:c r="Z1621" s="604" t="inlineStr">
        <x:is>
          <x:t xml:space="preserve">prior-2026-10-09-v1</x:t>
        </x:is>
      </x:c>
      <x:c r="AA1621" s="604" t="inlineStr">
        <x:is>
          <x:t xml:space="preserve">N</x:t>
        </x:is>
      </x:c>
      <x:c r="AB1621" s="604" t="n">
        <x:v>0.4683830514076612</x:v>
      </x:c>
      <x:c r="AC1621" s="604" t="n">
        <x:v>0.4026960344135553</x:v>
      </x:c>
      <x:c r="AD1621" s="604" t="n">
        <x:v>0.5</x:v>
      </x:c>
      <x:c r="AE1621" s="604" t="n"/>
      <x:c r="AF1621" s="604" t="n"/>
      <x:c r="AG1621" s="604" t="n">
        <x:v>-0.004570440717043267</x:v>
      </x:c>
      <x:c r="AH1621" s="604" t="n"/>
      <x:c r="AI1621" s="604" t="n"/>
      <x:c r="AJ1621" s="604" t="n">
        <x:v>-0.004570440717043267</x:v>
      </x:c>
      <x:c r="AK1621" s="604" t="n"/>
      <x:c r="AL1621" s="604" t="n"/>
      <x:c r="AM1621" s="604" t="n"/>
      <x:c r="AN1621" s="604" t="inlineStr">
        <x:is>
          <x:t xml:space="preserve">EVALUATED</x:t>
        </x:is>
      </x:c>
      <x:c r="AO1621" s="604" t="inlineStr">
        <x:is>
          <x:t xml:space="preserve">EDGE_BELOW_UNCERTAINTY_THRESHOLD;BUCKET_PRIOR_ONLY;INTENT_INTERPRETATION_ONLY;FFL_OPTIONAL;EXPERT_MARKET</x:t>
        </x:is>
      </x:c>
      <x:c r="AP1621" s="604" t="inlineStr">
        <x:is>
          <x:t xml:space="preserve">e26139e645c2012d5a06</x:t>
        </x:is>
      </x:c>
      <x:c r="AQ1621" s="604" t="n"/>
      <x:c r="AR1621" s="604" t="n"/>
      <x:c r="AS1621" s="604" t="n">
        <x:v>0.25</x:v>
      </x:c>
      <x:c r="AT1621" s="604" t="n">
        <x:v>-0.25</x:v>
      </x:c>
      <x:c r="AU1621" s="604" t="n">
        <x:v>0.85</x:v>
      </x:c>
      <x:c r="AV1621" s="604" t="n">
        <x:v>0.85</x:v>
      </x:c>
      <x:c r="AW1621" s="604" t="inlineStr">
        <x:is>
          <x:t xml:space="preserve">2026-10-09T09:01:21.127001+08:00</x:t>
        </x:is>
      </x:c>
      <x:c r="AX1621" s="604" t="inlineStr">
        <x:is>
          <x:t xml:space="preserve">Titan007/V4</x:t>
        </x:is>
      </x:c>
      <x:c r="AY1621" s="604" t="inlineStr">
        <x:is>
          <x:t xml:space="preserve">Daily append；市场输入缺失时不生成决策</x:t>
        </x:is>
      </x:c>
    </x:row>
    <x:row r="1622" ht="22" customHeight="1">
      <x:c r="A1622" s="604" t="inlineStr">
        <x:is>
          <x:t xml:space="preserve">2026-10-09</x:t>
        </x:is>
      </x:c>
      <x:c r="B1622" s="604" t="inlineStr">
        <x:is>
          <x:t xml:space="preserve">2026-10-10T02:00:00+08:00</x:t>
        </x:is>
      </x:c>
      <x:c r="C1622" s="604" t="str">
        <x:v>欧洲非五大系列</x:v>
      </x:c>
      <x:c r="D1622" s="604" t="inlineStr">
        <x:is>
          <x:t xml:space="preserve"/>
        </x:is>
      </x:c>
      <x:c r="E1622" s="604" t="inlineStr">
        <x:is>
          <x:t xml:space="preserve">比U21</x:t>
        </x:is>
      </x:c>
      <x:c r="F1622" s="604" t="inlineStr">
        <x:is>
          <x:t xml:space="preserve">比斯查U21 vs 哈塞尔特U21</x:t>
        </x:is>
      </x:c>
      <x:c r="G1622" s="604" t="n">
        <x:v>0.83</x:v>
      </x:c>
      <x:c r="H1622" s="604" t="n">
        <x:v>1</x:v>
      </x:c>
      <x:c r="I1622" s="604" t="n">
        <x:v>0.98</x:v>
      </x:c>
      <x:c r="J1622" s="604" t="inlineStr">
        <x:is>
          <x:t xml:space="preserve">0.83/1.0/0.98</x:t>
        </x:is>
      </x:c>
      <x:c r="K1622" s="604" t="inlineStr">
        <x:is>
          <x:t xml:space="preserve">V4-N</x:t>
        </x:is>
      </x:c>
      <x:c r="L1622" s="604" t="inlineStr">
        <x:is>
          <x:t xml:space="preserve"/>
        </x:is>
      </x:c>
      <x:c r="M1622" s="604" t="n">
        <x:v>0.4279581915482649</x:v>
      </x:c>
      <x:c r="N1622" s="604" t="inlineStr">
        <x:is>
          <x:t xml:space="preserve">V4 Shadow Only；real_money=false</x:t>
        </x:is>
      </x:c>
      <x:c r="O1622" s="604" t="inlineStr">
        <x:is>
          <x:t xml:space="preserve">0-0</x:t>
        </x:is>
      </x:c>
      <x:c r="P1622" s="604" t="inlineStr">
        <x:is>
          <x:t xml:space="preserve">EVALUATED</x:t>
        </x:is>
      </x:c>
      <x:c r="Q1622" s="630" t="inlineStr">
        <x:is>
          <x:t xml:space="preserve"/>
        </x:is>
      </x:c>
      <x:c r="R1622" s="604" t="n"/>
      <x:c r="S1622" s="604" t="n"/>
      <x:c r="T1622" s="604" t="inlineStr">
        <x:is>
          <x:t xml:space="preserve">D:\codex\v3_legacy\outputs\football_odds_trader\raw\titan007\20261009\20261009_085232_titan007_odds_snapshot.csv</x:t>
        </x:is>
      </x:c>
      <x:c r="U1622" s="628" t="inlineStr">
        <x:is>
          <x:t xml:space="preserve"/>
        </x:is>
      </x:c>
      <x:c r="V1622" s="604" t="inlineStr">
        <x:is>
          <x:t xml:space="preserve"/>
        </x:is>
      </x:c>
      <x:c r="W1622" s="604" t="inlineStr">
        <x:is>
          <x:t xml:space="preserve"/>
        </x:is>
      </x:c>
      <x:c r="X1622" s="604" t="inlineStr">
        <x:is>
          <x:t xml:space="preserve">3069762</x:t>
        </x:is>
      </x:c>
      <x:c r="Y1622" s="604" t="inlineStr">
        <x:is>
          <x:t xml:space="preserve">V4</x:t>
        </x:is>
      </x:c>
      <x:c r="Z1622" s="604" t="inlineStr">
        <x:is>
          <x:t xml:space="preserve">prior-2026-10-09-v1</x:t>
        </x:is>
      </x:c>
      <x:c r="AA1622" s="604" t="inlineStr">
        <x:is>
          <x:t xml:space="preserve">N</x:t>
        </x:is>
      </x:c>
      <x:c r="AB1622" s="604" t="n">
        <x:v>0.4279581915482649</x:v>
      </x:c>
      <x:c r="AC1622" s="604" t="n">
        <x:v>0.3170559603288793</x:v>
      </x:c>
      <x:c r="AD1622" s="604" t="n">
        <x:v>1.25</x:v>
      </x:c>
      <x:c r="AE1622" s="604" t="n"/>
      <x:c r="AF1622" s="604" t="n"/>
      <x:c r="AG1622" s="604" t="n">
        <x:v>0.03814933865618053</x:v>
      </x:c>
      <x:c r="AH1622" s="604" t="n"/>
      <x:c r="AI1622" s="604" t="n"/>
      <x:c r="AJ1622" s="604" t="n">
        <x:v>0.03814933865618053</x:v>
      </x:c>
      <x:c r="AK1622" s="604" t="n"/>
      <x:c r="AL1622" s="604" t="n"/>
      <x:c r="AM1622" s="604" t="n"/>
      <x:c r="AN1622" s="604" t="inlineStr">
        <x:is>
          <x:t xml:space="preserve">EVALUATED</x:t>
        </x:is>
      </x:c>
      <x:c r="AO1622" s="604" t="inlineStr">
        <x:is>
          <x:t xml:space="preserve">EDGE_BELOW_UNCERTAINTY_THRESHOLD;BUCKET_PRIOR_ONLY;INTENT_INTERPRETATION_ONLY;FFL_OPTIONAL;EXPERT_MARKET</x:t>
        </x:is>
      </x:c>
      <x:c r="AP1622" s="604" t="inlineStr">
        <x:is>
          <x:t xml:space="preserve">0121a96af9a13ea37fdd</x:t>
        </x:is>
      </x:c>
      <x:c r="AQ1622" s="604" t="n"/>
      <x:c r="AR1622" s="604" t="n"/>
      <x:c r="AS1622" s="604" t="n">
        <x:v>1</x:v>
      </x:c>
      <x:c r="AT1622" s="604" t="n">
        <x:v>-1</x:v>
      </x:c>
      <x:c r="AU1622" s="604" t="n">
        <x:v>0.83</x:v>
      </x:c>
      <x:c r="AV1622" s="604" t="n">
        <x:v>0.98</x:v>
      </x:c>
      <x:c r="AW1622" s="604" t="inlineStr">
        <x:is>
          <x:t xml:space="preserve">2026-10-09T09:01:21.127001+08:00</x:t>
        </x:is>
      </x:c>
      <x:c r="AX1622" s="604" t="inlineStr">
        <x:is>
          <x:t xml:space="preserve">Titan007/V4</x:t>
        </x:is>
      </x:c>
      <x:c r="AY1622" s="604" t="inlineStr">
        <x:is>
          <x:t xml:space="preserve">Daily append；市场输入缺失时不生成决策</x:t>
        </x:is>
      </x:c>
    </x:row>
    <x:row r="1623" ht="22" customHeight="1">
      <x:c r="A1623" s="604" t="inlineStr">
        <x:is>
          <x:t xml:space="preserve">2026-10-09</x:t>
        </x:is>
      </x:c>
      <x:c r="B1623" s="604" t="inlineStr">
        <x:is>
          <x:t xml:space="preserve">2026-10-10T02:00:00+08:00</x:t>
        </x:is>
      </x:c>
      <x:c r="C1623" s="604" t="str">
        <x:v>欧洲非五大系列</x:v>
      </x:c>
      <x:c r="D1623" s="604" t="inlineStr">
        <x:is>
          <x:t xml:space="preserve"/>
        </x:is>
      </x:c>
      <x:c r="E1623" s="604" t="inlineStr">
        <x:is>
          <x:t xml:space="preserve">比U21</x:t>
        </x:is>
      </x:c>
      <x:c r="F1623" s="604" t="inlineStr">
        <x:is>
          <x:t xml:space="preserve">FC列日U21 vs 拉路维尔U21</x:t>
        </x:is>
      </x:c>
      <x:c r="G1623" s="604" t="n">
        <x:v>0.9</x:v>
      </x:c>
      <x:c r="H1623" s="604" t="n">
        <x:v>-2</x:v>
      </x:c>
      <x:c r="I1623" s="604" t="n">
        <x:v>0.9</x:v>
      </x:c>
      <x:c r="J1623" s="604" t="inlineStr">
        <x:is>
          <x:t xml:space="preserve">0.9/-2.0/0.9</x:t>
        </x:is>
      </x:c>
      <x:c r="K1623" s="604" t="inlineStr">
        <x:is>
          <x:t xml:space="preserve">V4-N</x:t>
        </x:is>
      </x:c>
      <x:c r="L1623" s="604" t="inlineStr">
        <x:is>
          <x:t xml:space="preserve"/>
        </x:is>
      </x:c>
      <x:c r="M1623" s="604" t="n">
        <x:v>0.0001142611224199073</x:v>
      </x:c>
      <x:c r="N1623" s="604" t="inlineStr">
        <x:is>
          <x:t xml:space="preserve">V4 Shadow Only；real_money=false</x:t>
        </x:is>
      </x:c>
      <x:c r="O1623" s="604" t="inlineStr">
        <x:is>
          <x:t xml:space="preserve">0-0</x:t>
        </x:is>
      </x:c>
      <x:c r="P1623" s="604" t="inlineStr">
        <x:is>
          <x:t xml:space="preserve">EVALUATED</x:t>
        </x:is>
      </x:c>
      <x:c r="Q1623" s="630" t="inlineStr">
        <x:is>
          <x:t xml:space="preserve"/>
        </x:is>
      </x:c>
      <x:c r="R1623" s="604" t="n"/>
      <x:c r="S1623" s="604" t="n"/>
      <x:c r="T1623" s="604" t="inlineStr">
        <x:is>
          <x:t xml:space="preserve">D:\codex\v3_legacy\outputs\football_odds_trader\raw\titan007\20261009\20261009_085232_titan007_odds_snapshot.csv</x:t>
        </x:is>
      </x:c>
      <x:c r="U1623" s="628" t="inlineStr">
        <x:is>
          <x:t xml:space="preserve"/>
        </x:is>
      </x:c>
      <x:c r="V1623" s="604" t="inlineStr">
        <x:is>
          <x:t xml:space="preserve"/>
        </x:is>
      </x:c>
      <x:c r="W1623" s="604" t="inlineStr">
        <x:is>
          <x:t xml:space="preserve"/>
        </x:is>
      </x:c>
      <x:c r="X1623" s="604" t="inlineStr">
        <x:is>
          <x:t xml:space="preserve">3069764</x:t>
        </x:is>
      </x:c>
      <x:c r="Y1623" s="604" t="inlineStr">
        <x:is>
          <x:t xml:space="preserve">V4</x:t>
        </x:is>
      </x:c>
      <x:c r="Z1623" s="604" t="inlineStr">
        <x:is>
          <x:t xml:space="preserve">prior-2026-10-09-v1</x:t>
        </x:is>
      </x:c>
      <x:c r="AA1623" s="604" t="inlineStr">
        <x:is>
          <x:t xml:space="preserve">N</x:t>
        </x:is>
      </x:c>
      <x:c r="AB1623" s="604" t="n">
        <x:v>0.0001142611224199073</x:v>
      </x:c>
      <x:c r="AC1623" s="604" t="n">
        <x:v>0.9982348446482229</x:v>
      </x:c>
      <x:c r="AD1623" s="604" t="n">
        <x:v>-2.25</x:v>
      </x:c>
      <x:c r="AE1623" s="604" t="n"/>
      <x:c r="AF1623" s="604" t="n"/>
      <x:c r="AG1623" s="604" t="n">
        <x:v>0.8982970990609808</x:v>
      </x:c>
      <x:c r="AH1623" s="604" t="n"/>
      <x:c r="AI1623" s="604" t="n"/>
      <x:c r="AJ1623" s="604" t="n">
        <x:v>0.8982970990609808</x:v>
      </x:c>
      <x:c r="AK1623" s="604" t="n"/>
      <x:c r="AL1623" s="604" t="n"/>
      <x:c r="AM1623" s="604" t="n"/>
      <x:c r="AN1623" s="604" t="inlineStr">
        <x:is>
          <x:t xml:space="preserve">EVALUATED</x:t>
        </x:is>
      </x:c>
      <x:c r="AO1623" s="604" t="inlineStr">
        <x:is>
          <x:t xml:space="preserve">LOW_QUALITY_GATE;BUCKET_PRIOR_ONLY;INTENT_INTERPRETATION_ONLY;FFL_OPTIONAL;EXPERT_MARKET</x:t>
        </x:is>
      </x:c>
      <x:c r="AP1623" s="604" t="inlineStr">
        <x:is>
          <x:t xml:space="preserve">c0f7d46ff00608658a68</x:t>
        </x:is>
      </x:c>
      <x:c r="AQ1623" s="604" t="n"/>
      <x:c r="AR1623" s="604" t="n"/>
      <x:c r="AS1623" s="604" t="n">
        <x:v>-2</x:v>
      </x:c>
      <x:c r="AT1623" s="604" t="n">
        <x:v>2</x:v>
      </x:c>
      <x:c r="AU1623" s="604" t="n">
        <x:v>0.9</x:v>
      </x:c>
      <x:c r="AV1623" s="604" t="n">
        <x:v>0.9</x:v>
      </x:c>
      <x:c r="AW1623" s="604" t="inlineStr">
        <x:is>
          <x:t xml:space="preserve">2026-10-09T09:01:21.127001+08:00</x:t>
        </x:is>
      </x:c>
      <x:c r="AX1623" s="604" t="inlineStr">
        <x:is>
          <x:t xml:space="preserve">Titan007/V4</x:t>
        </x:is>
      </x:c>
      <x:c r="AY1623" s="604" t="inlineStr">
        <x:is>
          <x:t xml:space="preserve">Daily append；市场输入缺失时不生成决策</x:t>
        </x:is>
      </x:c>
    </x:row>
    <x:row r="1624" ht="22" customHeight="1">
      <x:c r="A1624" s="604" t="inlineStr">
        <x:is>
          <x:t xml:space="preserve">2026-10-09</x:t>
        </x:is>
      </x:c>
      <x:c r="B1624" s="604" t="inlineStr">
        <x:is>
          <x:t xml:space="preserve">2026-10-10T02:30:00+08:00</x:t>
        </x:is>
      </x:c>
      <x:c r="C1624" s="604" t="str">
        <x:v>欧洲非五大系列</x:v>
      </x:c>
      <x:c r="D1624" s="604" t="inlineStr">
        <x:is>
          <x:t xml:space="preserve"/>
        </x:is>
      </x:c>
      <x:c r="E1624" s="604" t="inlineStr">
        <x:is>
          <x:t xml:space="preserve">比U21</x:t>
        </x:is>
      </x:c>
      <x:c r="F1624" s="604" t="inlineStr">
        <x:is>
          <x:t xml:space="preserve">法郎波兰斯U21 vs 布鲁塞尔U21</x:t>
        </x:is>
      </x:c>
      <x:c r="G1624" s="604" t="n">
        <x:v>0.93</x:v>
      </x:c>
      <x:c r="H1624" s="604" t="n">
        <x:v>-1</x:v>
      </x:c>
      <x:c r="I1624" s="604" t="n">
        <x:v>0.88</x:v>
      </x:c>
      <x:c r="J1624" s="604" t="inlineStr">
        <x:is>
          <x:t xml:space="preserve">0.93/-1.0/0.88</x:t>
        </x:is>
      </x:c>
      <x:c r="K1624" s="604" t="inlineStr">
        <x:is>
          <x:t xml:space="preserve">V4-N</x:t>
        </x:is>
      </x:c>
      <x:c r="L1624" s="604" t="inlineStr">
        <x:is>
          <x:t xml:space="preserve"/>
        </x:is>
      </x:c>
      <x:c r="M1624" s="604" t="n">
        <x:v>0.03991712577125957</x:v>
      </x:c>
      <x:c r="N1624" s="604" t="inlineStr">
        <x:is>
          <x:t xml:space="preserve">V4 Shadow Only；real_money=false</x:t>
        </x:is>
      </x:c>
      <x:c r="O1624" s="604" t="inlineStr">
        <x:is>
          <x:t xml:space="preserve">0-0</x:t>
        </x:is>
      </x:c>
      <x:c r="P1624" s="604" t="inlineStr">
        <x:is>
          <x:t xml:space="preserve">EVALUATED</x:t>
        </x:is>
      </x:c>
      <x:c r="Q1624" s="630" t="inlineStr">
        <x:is>
          <x:t xml:space="preserve"/>
        </x:is>
      </x:c>
      <x:c r="R1624" s="604" t="n"/>
      <x:c r="S1624" s="604" t="n"/>
      <x:c r="T1624" s="604" t="inlineStr">
        <x:is>
          <x:t xml:space="preserve">D:\codex\v3_legacy\outputs\football_odds_trader\raw\titan007\20261009\20261009_085232_titan007_odds_snapshot.csv</x:t>
        </x:is>
      </x:c>
      <x:c r="U1624" s="628" t="inlineStr">
        <x:is>
          <x:t xml:space="preserve"/>
        </x:is>
      </x:c>
      <x:c r="V1624" s="604" t="inlineStr">
        <x:is>
          <x:t xml:space="preserve"/>
        </x:is>
      </x:c>
      <x:c r="W1624" s="604" t="inlineStr">
        <x:is>
          <x:t xml:space="preserve"/>
        </x:is>
      </x:c>
      <x:c r="X1624" s="604" t="inlineStr">
        <x:is>
          <x:t xml:space="preserve">3069765</x:t>
        </x:is>
      </x:c>
      <x:c r="Y1624" s="604" t="inlineStr">
        <x:is>
          <x:t xml:space="preserve">V4</x:t>
        </x:is>
      </x:c>
      <x:c r="Z1624" s="604" t="inlineStr">
        <x:is>
          <x:t xml:space="preserve">prior-2026-10-09-v1</x:t>
        </x:is>
      </x:c>
      <x:c r="AA1624" s="604" t="inlineStr">
        <x:is>
          <x:t xml:space="preserve">N</x:t>
        </x:is>
      </x:c>
      <x:c r="AB1624" s="604" t="n">
        <x:v>0.03991712577125957</x:v>
      </x:c>
      <x:c r="AC1624" s="604" t="n">
        <x:v>0.8594562472863729</x:v>
      </x:c>
      <x:c r="AD1624" s="604" t="n">
        <x:v>-1.25</x:v>
      </x:c>
      <x:c r="AE1624" s="604" t="n"/>
      <x:c r="AF1624" s="604" t="n"/>
      <x:c r="AG1624" s="604" t="n">
        <x:v>0.7593771842050673</x:v>
      </x:c>
      <x:c r="AH1624" s="604" t="n"/>
      <x:c r="AI1624" s="604" t="n"/>
      <x:c r="AJ1624" s="604" t="n">
        <x:v>0.7593771842050673</x:v>
      </x:c>
      <x:c r="AK1624" s="604" t="n"/>
      <x:c r="AL1624" s="604" t="n"/>
      <x:c r="AM1624" s="604" t="n"/>
      <x:c r="AN1624" s="604" t="inlineStr">
        <x:is>
          <x:t xml:space="preserve">EVALUATED</x:t>
        </x:is>
      </x:c>
      <x:c r="AO1624" s="604" t="inlineStr">
        <x:is>
          <x:t xml:space="preserve">LOW_QUALITY_GATE;BUCKET_PRIOR_ONLY;INTENT_INTERPRETATION_ONLY;FFL_OPTIONAL;EXPERT_MARKET</x:t>
        </x:is>
      </x:c>
      <x:c r="AP1624" s="604" t="inlineStr">
        <x:is>
          <x:t xml:space="preserve">0628704917f147a33ebc</x:t>
        </x:is>
      </x:c>
      <x:c r="AQ1624" s="604" t="n"/>
      <x:c r="AR1624" s="604" t="n"/>
      <x:c r="AS1624" s="604" t="n">
        <x:v>-1</x:v>
      </x:c>
      <x:c r="AT1624" s="604" t="n">
        <x:v>1</x:v>
      </x:c>
      <x:c r="AU1624" s="604" t="n">
        <x:v>0.93</x:v>
      </x:c>
      <x:c r="AV1624" s="604" t="n">
        <x:v>0.88</x:v>
      </x:c>
      <x:c r="AW1624" s="604" t="inlineStr">
        <x:is>
          <x:t xml:space="preserve">2026-10-09T09:01:21.127001+08:00</x:t>
        </x:is>
      </x:c>
      <x:c r="AX1624" s="604" t="inlineStr">
        <x:is>
          <x:t xml:space="preserve">Titan007/V4</x:t>
        </x:is>
      </x:c>
      <x:c r="AY1624" s="604" t="inlineStr">
        <x:is>
          <x:t xml:space="preserve">Daily append；市场输入缺失时不生成决策</x:t>
        </x:is>
      </x:c>
    </x:row>
    <x:row r="1625" ht="22" customHeight="1">
      <x:c r="A1625" s="604" t="inlineStr">
        <x:is>
          <x:t xml:space="preserve">2026-10-09</x:t>
        </x:is>
      </x:c>
      <x:c r="B1625" s="604" t="inlineStr">
        <x:is>
          <x:t xml:space="preserve">2026-10-10T02:30:00+08:00</x:t>
        </x:is>
      </x:c>
      <x:c r="C1625" s="604" t="str">
        <x:v>欧洲非五大系列</x:v>
      </x:c>
      <x:c r="D1625" s="604" t="inlineStr">
        <x:is>
          <x:t xml:space="preserve"/>
        </x:is>
      </x:c>
      <x:c r="E1625" s="604" t="inlineStr">
        <x:is>
          <x:t xml:space="preserve">比U21</x:t>
        </x:is>
      </x:c>
      <x:c r="F1625" s="604" t="inlineStr">
        <x:is>
          <x:t xml:space="preserve">韦斯达路U21 vs 科特赖克U21</x:t>
        </x:is>
      </x:c>
      <x:c r="G1625" s="604" t="n">
        <x:v>0.83</x:v>
      </x:c>
      <x:c r="H1625" s="604" t="n">
        <x:v>-0.5</x:v>
      </x:c>
      <x:c r="I1625" s="604" t="n">
        <x:v>0.98</x:v>
      </x:c>
      <x:c r="J1625" s="604" t="inlineStr">
        <x:is>
          <x:t xml:space="preserve">0.83/-0.5/0.98</x:t>
        </x:is>
      </x:c>
      <x:c r="K1625" s="604" t="inlineStr">
        <x:is>
          <x:t xml:space="preserve">V4-N</x:t>
        </x:is>
      </x:c>
      <x:c r="L1625" s="604" t="inlineStr">
        <x:is>
          <x:t xml:space="preserve"/>
        </x:is>
      </x:c>
      <x:c r="M1625" s="604" t="n">
        <x:v>0.2356640748934485</x:v>
      </x:c>
      <x:c r="N1625" s="604" t="inlineStr">
        <x:is>
          <x:t xml:space="preserve">V4 Shadow Only；real_money=false</x:t>
        </x:is>
      </x:c>
      <x:c r="O1625" s="604" t="inlineStr">
        <x:is>
          <x:t xml:space="preserve">0-0</x:t>
        </x:is>
      </x:c>
      <x:c r="P1625" s="604" t="inlineStr">
        <x:is>
          <x:t xml:space="preserve">EVALUATED</x:t>
        </x:is>
      </x:c>
      <x:c r="Q1625" s="630" t="inlineStr">
        <x:is>
          <x:t xml:space="preserve"/>
        </x:is>
      </x:c>
      <x:c r="R1625" s="604" t="n"/>
      <x:c r="S1625" s="604" t="n"/>
      <x:c r="T1625" s="604" t="inlineStr">
        <x:is>
          <x:t xml:space="preserve">D:\codex\v3_legacy\outputs\football_odds_trader\raw\titan007\20261009\20261009_085232_titan007_odds_snapshot.csv</x:t>
        </x:is>
      </x:c>
      <x:c r="U1625" s="628" t="inlineStr">
        <x:is>
          <x:t xml:space="preserve"/>
        </x:is>
      </x:c>
      <x:c r="V1625" s="604" t="inlineStr">
        <x:is>
          <x:t xml:space="preserve"/>
        </x:is>
      </x:c>
      <x:c r="W1625" s="604" t="inlineStr">
        <x:is>
          <x:t xml:space="preserve"/>
        </x:is>
      </x:c>
      <x:c r="X1625" s="604" t="inlineStr">
        <x:is>
          <x:t xml:space="preserve">3069766</x:t>
        </x:is>
      </x:c>
      <x:c r="Y1625" s="604" t="inlineStr">
        <x:is>
          <x:t xml:space="preserve">V4</x:t>
        </x:is>
      </x:c>
      <x:c r="Z1625" s="604" t="inlineStr">
        <x:is>
          <x:t xml:space="preserve">prior-2026-10-09-v1</x:t>
        </x:is>
      </x:c>
      <x:c r="AA1625" s="604" t="inlineStr">
        <x:is>
          <x:t xml:space="preserve">N</x:t>
        </x:is>
      </x:c>
      <x:c r="AB1625" s="604" t="n">
        <x:v>0.2356640748934485</x:v>
      </x:c>
      <x:c r="AC1625" s="604" t="n">
        <x:v>0.7643359251065515</x:v>
      </x:c>
      <x:c r="AD1625" s="604" t="n">
        <x:v>-0.5</x:v>
      </x:c>
      <x:c r="AE1625" s="604" t="n"/>
      <x:c r="AF1625" s="604" t="n"/>
      <x:c r="AG1625" s="604" t="n">
        <x:v>0.3987347429449891</x:v>
      </x:c>
      <x:c r="AH1625" s="604" t="n"/>
      <x:c r="AI1625" s="604" t="n"/>
      <x:c r="AJ1625" s="604" t="n">
        <x:v>0.3987347429449891</x:v>
      </x:c>
      <x:c r="AK1625" s="604" t="n"/>
      <x:c r="AL1625" s="604" t="n"/>
      <x:c r="AM1625" s="604" t="n"/>
      <x:c r="AN1625" s="604" t="inlineStr">
        <x:is>
          <x:t xml:space="preserve">EVALUATED</x:t>
        </x:is>
      </x:c>
      <x:c r="AO1625" s="604" t="inlineStr">
        <x:is>
          <x:t xml:space="preserve">LOW_QUALITY_GATE;BUCKET_PRIOR_ONLY;INTENT_INTERPRETATION_ONLY;FFL_OPTIONAL;EXPERT_MARKET</x:t>
        </x:is>
      </x:c>
      <x:c r="AP1625" s="604" t="inlineStr">
        <x:is>
          <x:t xml:space="preserve">0e0870deeff16015ac45</x:t>
        </x:is>
      </x:c>
      <x:c r="AQ1625" s="604" t="n"/>
      <x:c r="AR1625" s="604" t="n"/>
      <x:c r="AS1625" s="604" t="n">
        <x:v>-0.5</x:v>
      </x:c>
      <x:c r="AT1625" s="604" t="n">
        <x:v>0.5</x:v>
      </x:c>
      <x:c r="AU1625" s="604" t="n">
        <x:v>0.83</x:v>
      </x:c>
      <x:c r="AV1625" s="604" t="n">
        <x:v>0.98</x:v>
      </x:c>
      <x:c r="AW1625" s="604" t="inlineStr">
        <x:is>
          <x:t xml:space="preserve">2026-10-09T09:01:21.127001+08:00</x:t>
        </x:is>
      </x:c>
      <x:c r="AX1625" s="604" t="inlineStr">
        <x:is>
          <x:t xml:space="preserve">Titan007/V4</x:t>
        </x:is>
      </x:c>
      <x:c r="AY1625" s="604" t="inlineStr">
        <x:is>
          <x:t xml:space="preserve">Daily append；市场输入缺失时不生成决策</x:t>
        </x:is>
      </x:c>
    </x:row>
    <x:row r="1626" ht="22" customHeight="1">
      <x:c r="A1626" s="604" t="inlineStr">
        <x:is>
          <x:t xml:space="preserve">2026-10-09</x:t>
        </x:is>
      </x:c>
      <x:c r="B1626" s="604" t="inlineStr">
        <x:is>
          <x:t xml:space="preserve">2026-10-10T02:00:00+08:00</x:t>
        </x:is>
      </x:c>
      <x:c r="C1626" s="604" t="str">
        <x:v>欧洲非五大系列</x:v>
      </x:c>
      <x:c r="D1626" s="604" t="inlineStr">
        <x:is>
          <x:t xml:space="preserve"/>
        </x:is>
      </x:c>
      <x:c r="E1626" s="604" t="inlineStr">
        <x:is>
          <x:t xml:space="preserve">比U21</x:t>
        </x:is>
      </x:c>
      <x:c r="F1626" s="604" t="inlineStr">
        <x:is>
          <x:t xml:space="preserve">RFC色森U21 vs 利亚斯U21</x:t>
        </x:is>
      </x:c>
      <x:c r="G1626" s="604" t="n">
        <x:v>0.95</x:v>
      </x:c>
      <x:c r="H1626" s="604" t="n">
        <x:v>0.75</x:v>
      </x:c>
      <x:c r="I1626" s="604" t="n">
        <x:v>0.85</x:v>
      </x:c>
      <x:c r="J1626" s="604" t="inlineStr">
        <x:is>
          <x:t xml:space="preserve">0.95/0.75/0.85</x:t>
        </x:is>
      </x:c>
      <x:c r="K1626" s="604" t="inlineStr">
        <x:is>
          <x:t xml:space="preserve">V4-N</x:t>
        </x:is>
      </x:c>
      <x:c r="L1626" s="604" t="inlineStr">
        <x:is>
          <x:t xml:space="preserve"/>
        </x:is>
      </x:c>
      <x:c r="M1626" s="604" t="n">
        <x:v>0.4610954582583435</x:v>
      </x:c>
      <x:c r="N1626" s="604" t="inlineStr">
        <x:is>
          <x:t xml:space="preserve">V4 Shadow Only；real_money=false</x:t>
        </x:is>
      </x:c>
      <x:c r="O1626" s="604" t="inlineStr">
        <x:is>
          <x:t xml:space="preserve">0-0</x:t>
        </x:is>
      </x:c>
      <x:c r="P1626" s="604" t="inlineStr">
        <x:is>
          <x:t xml:space="preserve">EVALUATED</x:t>
        </x:is>
      </x:c>
      <x:c r="Q1626" s="630" t="inlineStr">
        <x:is>
          <x:t xml:space="preserve"/>
        </x:is>
      </x:c>
      <x:c r="R1626" s="604" t="n"/>
      <x:c r="S1626" s="604" t="n"/>
      <x:c r="T1626" s="604" t="inlineStr">
        <x:is>
          <x:t xml:space="preserve">D:\codex\v3_legacy\outputs\football_odds_trader\raw\titan007\20261009\20261009_085232_titan007_odds_snapshot.csv</x:t>
        </x:is>
      </x:c>
      <x:c r="U1626" s="628" t="inlineStr">
        <x:is>
          <x:t xml:space="preserve"/>
        </x:is>
      </x:c>
      <x:c r="V1626" s="604" t="inlineStr">
        <x:is>
          <x:t xml:space="preserve"/>
        </x:is>
      </x:c>
      <x:c r="W1626" s="604" t="inlineStr">
        <x:is>
          <x:t xml:space="preserve"/>
        </x:is>
      </x:c>
      <x:c r="X1626" s="604" t="inlineStr">
        <x:is>
          <x:t xml:space="preserve">3069813</x:t>
        </x:is>
      </x:c>
      <x:c r="Y1626" s="604" t="inlineStr">
        <x:is>
          <x:t xml:space="preserve">V4</x:t>
        </x:is>
      </x:c>
      <x:c r="Z1626" s="604" t="inlineStr">
        <x:is>
          <x:t xml:space="preserve">prior-2026-10-09-v1</x:t>
        </x:is>
      </x:c>
      <x:c r="AA1626" s="604" t="inlineStr">
        <x:is>
          <x:t xml:space="preserve">N</x:t>
        </x:is>
      </x:c>
      <x:c r="AB1626" s="604" t="n">
        <x:v>0.4610954582583435</x:v>
      </x:c>
      <x:c r="AC1626" s="604" t="n">
        <x:v>0.4129361148685007</x:v>
      </x:c>
      <x:c r="AD1626" s="604" t="n">
        <x:v>1</x:v>
      </x:c>
      <x:c r="AE1626" s="604" t="n"/>
      <x:c r="AF1626" s="604" t="n"/>
      <x:c r="AG1626" s="604" t="n">
        <x:v>0.02510457047692566</x:v>
      </x:c>
      <x:c r="AH1626" s="604" t="n"/>
      <x:c r="AI1626" s="604" t="n"/>
      <x:c r="AJ1626" s="604" t="n">
        <x:v>0.02510457047692566</x:v>
      </x:c>
      <x:c r="AK1626" s="604" t="n"/>
      <x:c r="AL1626" s="604" t="n"/>
      <x:c r="AM1626" s="604" t="n"/>
      <x:c r="AN1626" s="604" t="inlineStr">
        <x:is>
          <x:t xml:space="preserve">EVALUATED</x:t>
        </x:is>
      </x:c>
      <x:c r="AO1626" s="604" t="inlineStr">
        <x:is>
          <x:t xml:space="preserve">EDGE_BELOW_UNCERTAINTY_THRESHOLD;BUCKET_PRIOR_ONLY;INTENT_INTERPRETATION_ONLY;FFL_OPTIONAL;EXPERT_MARKET</x:t>
        </x:is>
      </x:c>
      <x:c r="AP1626" s="604" t="inlineStr">
        <x:is>
          <x:t xml:space="preserve">49028903e2464331b561</x:t>
        </x:is>
      </x:c>
      <x:c r="AQ1626" s="604" t="n"/>
      <x:c r="AR1626" s="604" t="n"/>
      <x:c r="AS1626" s="604" t="n">
        <x:v>0.75</x:v>
      </x:c>
      <x:c r="AT1626" s="604" t="n">
        <x:v>-0.75</x:v>
      </x:c>
      <x:c r="AU1626" s="604" t="n">
        <x:v>0.95</x:v>
      </x:c>
      <x:c r="AV1626" s="604" t="n">
        <x:v>0.85</x:v>
      </x:c>
      <x:c r="AW1626" s="604" t="inlineStr">
        <x:is>
          <x:t xml:space="preserve">2026-10-09T09:01:21.127001+08:00</x:t>
        </x:is>
      </x:c>
      <x:c r="AX1626" s="604" t="inlineStr">
        <x:is>
          <x:t xml:space="preserve">Titan007/V4</x:t>
        </x:is>
      </x:c>
      <x:c r="AY1626" s="604" t="inlineStr">
        <x:is>
          <x:t xml:space="preserve">Daily append；市场输入缺失时不生成决策</x:t>
        </x:is>
      </x:c>
    </x:row>
    <x:row r="1627" ht="22" customHeight="1">
      <x:c r="A1627" s="604" t="inlineStr">
        <x:is>
          <x:t xml:space="preserve">2026-10-09</x:t>
        </x:is>
      </x:c>
      <x:c r="B1627" s="604" t="inlineStr">
        <x:is>
          <x:t xml:space="preserve">2026-10-09T17:00:00+08:00</x:t>
        </x:is>
      </x:c>
      <x:c r="C1627" s="604" t="str">
        <x:v>其他系列</x:v>
      </x:c>
      <x:c r="D1627" s="604" t="inlineStr">
        <x:is>
          <x:t xml:space="preserve"/>
        </x:is>
      </x:c>
      <x:c r="E1627" s="604" t="inlineStr">
        <x:is>
          <x:t xml:space="preserve">缅甸联</x:t>
        </x:is>
      </x:c>
      <x:c r="F1627" s="604" t="inlineStr">
        <x:is>
          <x:t xml:space="preserve">伊斯佩FC vs 达根FC</x:t>
        </x:is>
      </x:c>
      <x:c r="G1627" s="604" t="n">
        <x:v>0.95</x:v>
      </x:c>
      <x:c r="H1627" s="604" t="n">
        <x:v>-1.5</x:v>
      </x:c>
      <x:c r="I1627" s="604" t="n">
        <x:v>0.85</x:v>
      </x:c>
      <x:c r="J1627" s="604" t="inlineStr">
        <x:is>
          <x:t xml:space="preserve">0.95/-1.5/0.85</x:t>
        </x:is>
      </x:c>
      <x:c r="K1627" s="604" t="inlineStr">
        <x:is>
          <x:t xml:space="preserve">V4-N</x:t>
        </x:is>
      </x:c>
      <x:c r="L1627" s="604" t="inlineStr">
        <x:is>
          <x:t xml:space="preserve"/>
        </x:is>
      </x:c>
      <x:c r="M1627" s="604" t="n">
        <x:v>0.005647866706221704</x:v>
      </x:c>
      <x:c r="N1627" s="604" t="inlineStr">
        <x:is>
          <x:t xml:space="preserve">V4 Shadow Only；real_money=false</x:t>
        </x:is>
      </x:c>
      <x:c r="O1627" s="604" t="inlineStr">
        <x:is>
          <x:t xml:space="preserve">0-0</x:t>
        </x:is>
      </x:c>
      <x:c r="P1627" s="604" t="inlineStr">
        <x:is>
          <x:t xml:space="preserve">EVALUATED</x:t>
        </x:is>
      </x:c>
      <x:c r="Q1627" s="630" t="inlineStr">
        <x:is>
          <x:t xml:space="preserve"/>
        </x:is>
      </x:c>
      <x:c r="R1627" s="604" t="n"/>
      <x:c r="S1627" s="604" t="n"/>
      <x:c r="T1627" s="604" t="inlineStr">
        <x:is>
          <x:t xml:space="preserve">D:\codex\v3_legacy\outputs\football_odds_trader\raw\titan007\20261009\20261009_085232_titan007_odds_snapshot.csv</x:t>
        </x:is>
      </x:c>
      <x:c r="U1627" s="628" t="inlineStr">
        <x:is>
          <x:t xml:space="preserve"/>
        </x:is>
      </x:c>
      <x:c r="V1627" s="604" t="inlineStr">
        <x:is>
          <x:t xml:space="preserve"/>
        </x:is>
      </x:c>
      <x:c r="W1627" s="604" t="inlineStr">
        <x:is>
          <x:t xml:space="preserve"/>
        </x:is>
      </x:c>
      <x:c r="X1627" s="604" t="inlineStr">
        <x:is>
          <x:t xml:space="preserve">3069866</x:t>
        </x:is>
      </x:c>
      <x:c r="Y1627" s="604" t="inlineStr">
        <x:is>
          <x:t xml:space="preserve">V4</x:t>
        </x:is>
      </x:c>
      <x:c r="Z1627" s="604" t="inlineStr">
        <x:is>
          <x:t xml:space="preserve">prior-2026-10-09-v1</x:t>
        </x:is>
      </x:c>
      <x:c r="AA1627" s="604" t="inlineStr">
        <x:is>
          <x:t xml:space="preserve">N</x:t>
        </x:is>
      </x:c>
      <x:c r="AB1627" s="604" t="n">
        <x:v>0.005647866706221704</x:v>
      </x:c>
      <x:c r="AC1627" s="604" t="n">
        <x:v>0.9943521332937783</x:v>
      </x:c>
      <x:c r="AD1627" s="604" t="n">
        <x:v>-2</x:v>
      </x:c>
      <x:c r="AE1627" s="604" t="n"/>
      <x:c r="AF1627" s="604" t="n"/>
      <x:c r="AG1627" s="604" t="n">
        <x:v>0.9389866599228676</x:v>
      </x:c>
      <x:c r="AH1627" s="604" t="n"/>
      <x:c r="AI1627" s="604" t="n"/>
      <x:c r="AJ1627" s="604" t="n">
        <x:v>0.9389866599228676</x:v>
      </x:c>
      <x:c r="AK1627" s="604" t="n"/>
      <x:c r="AL1627" s="604" t="n"/>
      <x:c r="AM1627" s="604" t="n"/>
      <x:c r="AN1627" s="604" t="inlineStr">
        <x:is>
          <x:t xml:space="preserve">EVALUATED</x:t>
        </x:is>
      </x:c>
      <x:c r="AO1627" s="604" t="inlineStr">
        <x:is>
          <x:t xml:space="preserve">LOW_QUALITY_GATE;BUCKET_PRIOR_ONLY;INTENT_INTERPRETATION_ONLY;FFL_OPTIONAL;EXPERT_MARKET</x:t>
        </x:is>
      </x:c>
      <x:c r="AP1627" s="604" t="inlineStr">
        <x:is>
          <x:t xml:space="preserve">c4fea39de6c6c5ddb16a</x:t>
        </x:is>
      </x:c>
      <x:c r="AQ1627" s="604" t="n"/>
      <x:c r="AR1627" s="604" t="n"/>
      <x:c r="AS1627" s="604" t="n">
        <x:v>-1.5</x:v>
      </x:c>
      <x:c r="AT1627" s="604" t="n">
        <x:v>1.5</x:v>
      </x:c>
      <x:c r="AU1627" s="604" t="n">
        <x:v>0.95</x:v>
      </x:c>
      <x:c r="AV1627" s="604" t="n">
        <x:v>0.85</x:v>
      </x:c>
      <x:c r="AW1627" s="604" t="inlineStr">
        <x:is>
          <x:t xml:space="preserve">2026-10-09T09:01:21.127001+08:00</x:t>
        </x:is>
      </x:c>
      <x:c r="AX1627" s="604" t="inlineStr">
        <x:is>
          <x:t xml:space="preserve">Titan007/V4</x:t>
        </x:is>
      </x:c>
      <x:c r="AY1627" s="604" t="inlineStr">
        <x:is>
          <x:t xml:space="preserve">Daily append；市场输入缺失时不生成决策</x:t>
        </x:is>
      </x:c>
    </x:row>
    <x:row r="1628" ht="22" customHeight="1">
      <x:c r="A1628" s="604" t="inlineStr">
        <x:is>
          <x:t xml:space="preserve">2026-10-09</x:t>
        </x:is>
      </x:c>
      <x:c r="B1628" s="604" t="inlineStr">
        <x:is>
          <x:t xml:space="preserve">2026-10-09T17:00:00+08:00</x:t>
        </x:is>
      </x:c>
      <x:c r="C1628" s="604" t="str">
        <x:v>其他系列</x:v>
      </x:c>
      <x:c r="D1628" s="604" t="inlineStr">
        <x:is>
          <x:t xml:space="preserve"/>
        </x:is>
      </x:c>
      <x:c r="E1628" s="604" t="inlineStr">
        <x:is>
          <x:t xml:space="preserve">缅甸联</x:t>
        </x:is>
      </x:c>
      <x:c r="F1628" s="604" t="inlineStr">
        <x:is>
          <x:t xml:space="preserve">马哈尔联 vs 钦区</x:t>
        </x:is>
      </x:c>
      <x:c r="G1628" s="604" t="n">
        <x:v>0.8</x:v>
      </x:c>
      <x:c r="H1628" s="604" t="n">
        <x:v>0.75</x:v>
      </x:c>
      <x:c r="I1628" s="604" t="n">
        <x:v>1</x:v>
      </x:c>
      <x:c r="J1628" s="604" t="inlineStr">
        <x:is>
          <x:t xml:space="preserve">0.8/0.75/1.0</x:t>
        </x:is>
      </x:c>
      <x:c r="K1628" s="604" t="inlineStr">
        <x:is>
          <x:t xml:space="preserve">V4-N</x:t>
        </x:is>
      </x:c>
      <x:c r="L1628" s="604" t="inlineStr">
        <x:is>
          <x:t xml:space="preserve"/>
        </x:is>
      </x:c>
      <x:c r="M1628" s="604" t="n">
        <x:v>0.4969314953900758</x:v>
      </x:c>
      <x:c r="N1628" s="604" t="inlineStr">
        <x:is>
          <x:t xml:space="preserve">V4 Shadow Only；real_money=false</x:t>
        </x:is>
      </x:c>
      <x:c r="O1628" s="604" t="inlineStr">
        <x:is>
          <x:t xml:space="preserve">0-0</x:t>
        </x:is>
      </x:c>
      <x:c r="P1628" s="604" t="inlineStr">
        <x:is>
          <x:t xml:space="preserve">EVALUATED</x:t>
        </x:is>
      </x:c>
      <x:c r="Q1628" s="630" t="inlineStr">
        <x:is>
          <x:t xml:space="preserve"/>
        </x:is>
      </x:c>
      <x:c r="R1628" s="604" t="n"/>
      <x:c r="S1628" s="604" t="n"/>
      <x:c r="T1628" s="604" t="inlineStr">
        <x:is>
          <x:t xml:space="preserve">D:\codex\v3_legacy\outputs\football_odds_trader\raw\titan007\20261009\20261009_085232_titan007_odds_snapshot.csv</x:t>
        </x:is>
      </x:c>
      <x:c r="U1628" s="628" t="inlineStr">
        <x:is>
          <x:t xml:space="preserve"/>
        </x:is>
      </x:c>
      <x:c r="V1628" s="604" t="inlineStr">
        <x:is>
          <x:t xml:space="preserve"/>
        </x:is>
      </x:c>
      <x:c r="W1628" s="604" t="inlineStr">
        <x:is>
          <x:t xml:space="preserve"/>
        </x:is>
      </x:c>
      <x:c r="X1628" s="604" t="inlineStr">
        <x:is>
          <x:t xml:space="preserve">3069867</x:t>
        </x:is>
      </x:c>
      <x:c r="Y1628" s="604" t="inlineStr">
        <x:is>
          <x:t xml:space="preserve">V4</x:t>
        </x:is>
      </x:c>
      <x:c r="Z1628" s="604" t="inlineStr">
        <x:is>
          <x:t xml:space="preserve">prior-2026-10-09-v1</x:t>
        </x:is>
      </x:c>
      <x:c r="AA1628" s="604" t="inlineStr">
        <x:is>
          <x:t xml:space="preserve">N</x:t>
        </x:is>
      </x:c>
      <x:c r="AB1628" s="604" t="n">
        <x:v>0.4969314953900758</x:v>
      </x:c>
      <x:c r="AC1628" s="604" t="n">
        <x:v>0.3759190954035413</x:v>
      </x:c>
      <x:c r="AD1628" s="604" t="n">
        <x:v>1</x:v>
      </x:c>
      <x:c r="AE1628" s="604" t="n"/>
      <x:c r="AF1628" s="604" t="n"/>
      <x:c r="AG1628" s="604" t="n">
        <x:v>0.02162610090851935</x:v>
      </x:c>
      <x:c r="AH1628" s="604" t="n"/>
      <x:c r="AI1628" s="604" t="n"/>
      <x:c r="AJ1628" s="604" t="n">
        <x:v>0.02162610090851935</x:v>
      </x:c>
      <x:c r="AK1628" s="604" t="n"/>
      <x:c r="AL1628" s="604" t="n"/>
      <x:c r="AM1628" s="604" t="n"/>
      <x:c r="AN1628" s="604" t="inlineStr">
        <x:is>
          <x:t xml:space="preserve">EVALUATED</x:t>
        </x:is>
      </x:c>
      <x:c r="AO1628" s="604" t="inlineStr">
        <x:is>
          <x:t xml:space="preserve">EDGE_BELOW_UNCERTAINTY_THRESHOLD;BUCKET_PRIOR_ONLY;INTENT_INTERPRETATION_ONLY;FFL_OPTIONAL;EXPERT_MARKET</x:t>
        </x:is>
      </x:c>
      <x:c r="AP1628" s="604" t="inlineStr">
        <x:is>
          <x:t xml:space="preserve">384cd5fe7c0dd39ae7da</x:t>
        </x:is>
      </x:c>
      <x:c r="AQ1628" s="604" t="n"/>
      <x:c r="AR1628" s="604" t="n"/>
      <x:c r="AS1628" s="604" t="n">
        <x:v>0.75</x:v>
      </x:c>
      <x:c r="AT1628" s="604" t="n">
        <x:v>-0.75</x:v>
      </x:c>
      <x:c r="AU1628" s="604" t="n">
        <x:v>0.8</x:v>
      </x:c>
      <x:c r="AV1628" s="604" t="n">
        <x:v>1</x:v>
      </x:c>
      <x:c r="AW1628" s="604" t="inlineStr">
        <x:is>
          <x:t xml:space="preserve">2026-10-09T09:01:21.127001+08:00</x:t>
        </x:is>
      </x:c>
      <x:c r="AX1628" s="604" t="inlineStr">
        <x:is>
          <x:t xml:space="preserve">Titan007/V4</x:t>
        </x:is>
      </x:c>
      <x:c r="AY1628" s="604" t="inlineStr">
        <x:is>
          <x:t xml:space="preserve">Daily append；市场输入缺失时不生成决策</x:t>
        </x:is>
      </x:c>
    </x:row>
    <x:row r="1629" ht="22" customHeight="1">
      <x:c r="A1629" s="604" t="inlineStr">
        <x:is>
          <x:t xml:space="preserve">2026-10-09</x:t>
        </x:is>
      </x:c>
      <x:c r="B1629" s="604" t="inlineStr">
        <x:is>
          <x:t xml:space="preserve">2026-10-10T02:30:00+08:00</x:t>
        </x:is>
      </x:c>
      <x:c r="C1629" s="604" t="str">
        <x:v>欧洲非五大系列</x:v>
      </x:c>
      <x:c r="D1629" s="604" t="inlineStr">
        <x:is>
          <x:t xml:space="preserve"/>
        </x:is>
      </x:c>
      <x:c r="E1629" s="604" t="inlineStr">
        <x:is>
          <x:t xml:space="preserve">比女甲</x:t>
        </x:is>
      </x:c>
      <x:c r="F1629" s="604" t="inlineStr">
        <x:is>
          <x:t xml:space="preserve">皇家白星女足 vs 海尔克哈塞尔特女足</x:t>
        </x:is>
      </x:c>
      <x:c r="G1629" s="604" t="n">
        <x:v>0.8</x:v>
      </x:c>
      <x:c r="H1629" s="604" t="n">
        <x:v>-0.5</x:v>
      </x:c>
      <x:c r="I1629" s="604" t="n">
        <x:v>1</x:v>
      </x:c>
      <x:c r="J1629" s="604" t="inlineStr">
        <x:is>
          <x:t xml:space="preserve">0.8/-0.5/1.0</x:t>
        </x:is>
      </x:c>
      <x:c r="K1629" s="604" t="inlineStr">
        <x:is>
          <x:t xml:space="preserve">V4-N</x:t>
        </x:is>
      </x:c>
      <x:c r="L1629" s="604" t="inlineStr">
        <x:is>
          <x:t xml:space="preserve"/>
        </x:is>
      </x:c>
      <x:c r="M1629" s="604" t="n">
        <x:v>0.2787256658178783</x:v>
      </x:c>
      <x:c r="N1629" s="604" t="inlineStr">
        <x:is>
          <x:t xml:space="preserve">V4 Shadow Only；real_money=false</x:t>
        </x:is>
      </x:c>
      <x:c r="O1629" s="604" t="inlineStr">
        <x:is>
          <x:t xml:space="preserve">0-0</x:t>
        </x:is>
      </x:c>
      <x:c r="P1629" s="604" t="inlineStr">
        <x:is>
          <x:t xml:space="preserve">EVALUATED</x:t>
        </x:is>
      </x:c>
      <x:c r="Q1629" s="630" t="inlineStr">
        <x:is>
          <x:t xml:space="preserve"/>
        </x:is>
      </x:c>
      <x:c r="R1629" s="604" t="n"/>
      <x:c r="S1629" s="604" t="n"/>
      <x:c r="T1629" s="604" t="inlineStr">
        <x:is>
          <x:t xml:space="preserve">D:\codex\v3_legacy\outputs\football_odds_trader\raw\titan007\20261009\20261009_085232_titan007_odds_snapshot.csv</x:t>
        </x:is>
      </x:c>
      <x:c r="U1629" s="628" t="inlineStr">
        <x:is>
          <x:t xml:space="preserve"/>
        </x:is>
      </x:c>
      <x:c r="V1629" s="604" t="inlineStr">
        <x:is>
          <x:t xml:space="preserve"/>
        </x:is>
      </x:c>
      <x:c r="W1629" s="604" t="inlineStr">
        <x:is>
          <x:t xml:space="preserve"/>
        </x:is>
      </x:c>
      <x:c r="X1629" s="604" t="inlineStr">
        <x:is>
          <x:t xml:space="preserve">3070307</x:t>
        </x:is>
      </x:c>
      <x:c r="Y1629" s="604" t="inlineStr">
        <x:is>
          <x:t xml:space="preserve">V4</x:t>
        </x:is>
      </x:c>
      <x:c r="Z1629" s="604" t="inlineStr">
        <x:is>
          <x:t xml:space="preserve">prior-2026-10-09-v1</x:t>
        </x:is>
      </x:c>
      <x:c r="AA1629" s="604" t="inlineStr">
        <x:is>
          <x:t xml:space="preserve">N</x:t>
        </x:is>
      </x:c>
      <x:c r="AB1629" s="604" t="n">
        <x:v>0.2787256658178783</x:v>
      </x:c>
      <x:c r="AC1629" s="604" t="n">
        <x:v>0.7212743341821217</x:v>
      </x:c>
      <x:c r="AD1629" s="604" t="n">
        <x:v>-0.5</x:v>
      </x:c>
      <x:c r="AE1629" s="604" t="n"/>
      <x:c r="AF1629" s="604" t="n"/>
      <x:c r="AG1629" s="604" t="n">
        <x:v>0.2982938015278191</x:v>
      </x:c>
      <x:c r="AH1629" s="604" t="n"/>
      <x:c r="AI1629" s="604" t="n"/>
      <x:c r="AJ1629" s="604" t="n">
        <x:v>0.2982938015278191</x:v>
      </x:c>
      <x:c r="AK1629" s="604" t="n"/>
      <x:c r="AL1629" s="604" t="n"/>
      <x:c r="AM1629" s="604" t="n"/>
      <x:c r="AN1629" s="604" t="inlineStr">
        <x:is>
          <x:t xml:space="preserve">EVALUATED</x:t>
        </x:is>
      </x:c>
      <x:c r="AO1629" s="604" t="inlineStr">
        <x:is>
          <x:t xml:space="preserve">LOW_QUALITY_GATE;BUCKET_PRIOR_ONLY;INTENT_INTERPRETATION_ONLY;FFL_OPTIONAL;EXPERT_MARKET</x:t>
        </x:is>
      </x:c>
      <x:c r="AP1629" s="604" t="inlineStr">
        <x:is>
          <x:t xml:space="preserve">d7f4fdcccafb37d8c3bd</x:t>
        </x:is>
      </x:c>
      <x:c r="AQ1629" s="604" t="n"/>
      <x:c r="AR1629" s="604" t="n"/>
      <x:c r="AS1629" s="604" t="n">
        <x:v>-0.5</x:v>
      </x:c>
      <x:c r="AT1629" s="604" t="n">
        <x:v>0.5</x:v>
      </x:c>
      <x:c r="AU1629" s="604" t="n">
        <x:v>0.8</x:v>
      </x:c>
      <x:c r="AV1629" s="604" t="n">
        <x:v>1</x:v>
      </x:c>
      <x:c r="AW1629" s="604" t="inlineStr">
        <x:is>
          <x:t xml:space="preserve">2026-10-09T09:01:21.127001+08:00</x:t>
        </x:is>
      </x:c>
      <x:c r="AX1629" s="604" t="inlineStr">
        <x:is>
          <x:t xml:space="preserve">Titan007/V4</x:t>
        </x:is>
      </x:c>
      <x:c r="AY1629" s="604" t="inlineStr">
        <x:is>
          <x:t xml:space="preserve">Daily append；市场输入缺失时不生成决策</x:t>
        </x:is>
      </x:c>
    </x:row>
    <x:row r="1630" ht="22" customHeight="1">
      <x:c r="A1630" s="604" t="inlineStr">
        <x:is>
          <x:t xml:space="preserve">2026-10-09</x:t>
        </x:is>
      </x:c>
      <x:c r="B1630" s="604" t="inlineStr">
        <x:is>
          <x:t xml:space="preserve">2026-10-10T02:30:00+08:00</x:t>
        </x:is>
      </x:c>
      <x:c r="C1630" s="604" t="str">
        <x:v>欧洲非五大系列</x:v>
      </x:c>
      <x:c r="D1630" s="604" t="inlineStr">
        <x:is>
          <x:t xml:space="preserve"/>
        </x:is>
      </x:c>
      <x:c r="E1630" s="604" t="inlineStr">
        <x:is>
          <x:t xml:space="preserve">比女甲</x:t>
        </x:is>
      </x:c>
      <x:c r="F1630" s="604" t="inlineStr">
        <x:is>
          <x:t xml:space="preserve">维斯特洛女足 vs 梅赫伦女足</x:t>
        </x:is>
      </x:c>
      <x:c r="G1630" s="604" t="n">
        <x:v>0.85</x:v>
      </x:c>
      <x:c r="H1630" s="604" t="n">
        <x:v>0.5</x:v>
      </x:c>
      <x:c r="I1630" s="604" t="n">
        <x:v>0.95</x:v>
      </x:c>
      <x:c r="J1630" s="604" t="inlineStr">
        <x:is>
          <x:t xml:space="preserve">0.85/0.5/0.95</x:t>
        </x:is>
      </x:c>
      <x:c r="K1630" s="604" t="inlineStr">
        <x:is>
          <x:t xml:space="preserve">V4-N</x:t>
        </x:is>
      </x:c>
      <x:c r="L1630" s="604" t="inlineStr">
        <x:is>
          <x:t xml:space="preserve"/>
        </x:is>
      </x:c>
      <x:c r="M1630" s="604" t="n">
        <x:v>0.5515344874645666</x:v>
      </x:c>
      <x:c r="N1630" s="604" t="inlineStr">
        <x:is>
          <x:t xml:space="preserve">V4 Shadow Only；real_money=false</x:t>
        </x:is>
      </x:c>
      <x:c r="O1630" s="604" t="inlineStr">
        <x:is>
          <x:t xml:space="preserve">0-0</x:t>
        </x:is>
      </x:c>
      <x:c r="P1630" s="604" t="inlineStr">
        <x:is>
          <x:t xml:space="preserve">EVALUATED</x:t>
        </x:is>
      </x:c>
      <x:c r="Q1630" s="630" t="inlineStr">
        <x:is>
          <x:t xml:space="preserve"/>
        </x:is>
      </x:c>
      <x:c r="R1630" s="604" t="n"/>
      <x:c r="S1630" s="604" t="n"/>
      <x:c r="T1630" s="604" t="inlineStr">
        <x:is>
          <x:t xml:space="preserve">D:\codex\v3_legacy\outputs\football_odds_trader\raw\titan007\20261009\20261009_085232_titan007_odds_snapshot.csv</x:t>
        </x:is>
      </x:c>
      <x:c r="U1630" s="628" t="inlineStr">
        <x:is>
          <x:t xml:space="preserve"/>
        </x:is>
      </x:c>
      <x:c r="V1630" s="604" t="inlineStr">
        <x:is>
          <x:t xml:space="preserve"/>
        </x:is>
      </x:c>
      <x:c r="W1630" s="604" t="inlineStr">
        <x:is>
          <x:t xml:space="preserve"/>
        </x:is>
      </x:c>
      <x:c r="X1630" s="604" t="inlineStr">
        <x:is>
          <x:t xml:space="preserve">3070308</x:t>
        </x:is>
      </x:c>
      <x:c r="Y1630" s="604" t="inlineStr">
        <x:is>
          <x:t xml:space="preserve">V4</x:t>
        </x:is>
      </x:c>
      <x:c r="Z1630" s="604" t="inlineStr">
        <x:is>
          <x:t xml:space="preserve">prior-2026-10-09-v1</x:t>
        </x:is>
      </x:c>
      <x:c r="AA1630" s="604" t="inlineStr">
        <x:is>
          <x:t xml:space="preserve">N</x:t>
        </x:is>
      </x:c>
      <x:c r="AB1630" s="604" t="n">
        <x:v>0.5515344874645666</x:v>
      </x:c>
      <x:c r="AC1630" s="604" t="n">
        <x:v>0.4484655125354334</x:v>
      </x:c>
      <x:c r="AD1630" s="604" t="n">
        <x:v>0.75</x:v>
      </x:c>
      <x:c r="AE1630" s="604" t="n"/>
      <x:c r="AF1630" s="604" t="n"/>
      <x:c r="AG1630" s="604" t="n">
        <x:v>0.02033880180944814</x:v>
      </x:c>
      <x:c r="AH1630" s="604" t="n"/>
      <x:c r="AI1630" s="604" t="n"/>
      <x:c r="AJ1630" s="604" t="n">
        <x:v>0.02033880180944814</x:v>
      </x:c>
      <x:c r="AK1630" s="604" t="n"/>
      <x:c r="AL1630" s="604" t="n"/>
      <x:c r="AM1630" s="604" t="n"/>
      <x:c r="AN1630" s="604" t="inlineStr">
        <x:is>
          <x:t xml:space="preserve">EVALUATED</x:t>
        </x:is>
      </x:c>
      <x:c r="AO1630" s="604" t="inlineStr">
        <x:is>
          <x:t xml:space="preserve">EDGE_BELOW_UNCERTAINTY_THRESHOLD;BUCKET_PRIOR_ONLY;INTENT_INTERPRETATION_ONLY;FFL_OPTIONAL;EXPERT_MARKET</x:t>
        </x:is>
      </x:c>
      <x:c r="AP1630" s="604" t="inlineStr">
        <x:is>
          <x:t xml:space="preserve">2cc9a86cee9d2f9af058</x:t>
        </x:is>
      </x:c>
      <x:c r="AQ1630" s="604" t="n"/>
      <x:c r="AR1630" s="604" t="n"/>
      <x:c r="AS1630" s="604" t="n">
        <x:v>0.5</x:v>
      </x:c>
      <x:c r="AT1630" s="604" t="n">
        <x:v>-0.5</x:v>
      </x:c>
      <x:c r="AU1630" s="604" t="n">
        <x:v>0.85</x:v>
      </x:c>
      <x:c r="AV1630" s="604" t="n">
        <x:v>0.95</x:v>
      </x:c>
      <x:c r="AW1630" s="604" t="inlineStr">
        <x:is>
          <x:t xml:space="preserve">2026-10-09T09:01:21.127001+08:00</x:t>
        </x:is>
      </x:c>
      <x:c r="AX1630" s="604" t="inlineStr">
        <x:is>
          <x:t xml:space="preserve">Titan007/V4</x:t>
        </x:is>
      </x:c>
      <x:c r="AY1630" s="604" t="inlineStr">
        <x:is>
          <x:t xml:space="preserve">Daily append；市场输入缺失时不生成决策</x:t>
        </x:is>
      </x:c>
    </x:row>
    <x:row r="1631" ht="22" customHeight="1">
      <x:c r="A1631" s="604" t="inlineStr">
        <x:is>
          <x:t xml:space="preserve">2026-10-09</x:t>
        </x:is>
      </x:c>
      <x:c r="B1631" s="604" t="inlineStr">
        <x:is>
          <x:t xml:space="preserve">2026-10-10T01:30:00+08:00</x:t>
        </x:is>
      </x:c>
      <x:c r="C1631" s="604" t="str">
        <x:v>西亚/中亚系列</x:v>
      </x:c>
      <x:c r="D1631" s="604" t="inlineStr">
        <x:is>
          <x:t xml:space="preserve"/>
        </x:is>
      </x:c>
      <x:c r="E1631" s="604" t="inlineStr">
        <x:is>
          <x:t xml:space="preserve">伊拉联</x:t>
        </x:is>
      </x:c>
      <x:c r="F1631" s="604" t="inlineStr">
        <x:is>
          <x:t xml:space="preserve">阿尔加拉夫 vs 阿尔乔兰SC</x:t>
        </x:is>
      </x:c>
      <x:c r="G1631" s="604" t="n">
        <x:v>1.03</x:v>
      </x:c>
      <x:c r="H1631" s="604" t="n">
        <x:v>0.25</x:v>
      </x:c>
      <x:c r="I1631" s="604" t="n">
        <x:v>0.78</x:v>
      </x:c>
      <x:c r="J1631" s="604" t="inlineStr">
        <x:is>
          <x:t xml:space="preserve">1.03/0.25/0.78</x:t>
        </x:is>
      </x:c>
      <x:c r="K1631" s="604" t="inlineStr">
        <x:is>
          <x:t xml:space="preserve">V4-C</x:t>
        </x:is>
      </x:c>
      <x:c r="L1631" s="604" t="inlineStr">
        <x:is>
          <x:t xml:space="preserve"/>
        </x:is>
      </x:c>
      <x:c r="M1631" s="604" t="n">
        <x:v>0.4475216430957188</x:v>
      </x:c>
      <x:c r="N1631" s="604" t="inlineStr">
        <x:is>
          <x:t xml:space="preserve">V4 Shadow Only；real_money=false</x:t>
        </x:is>
      </x:c>
      <x:c r="O1631" s="604" t="inlineStr">
        <x:is>
          <x:t xml:space="preserve">0-0</x:t>
        </x:is>
      </x:c>
      <x:c r="P1631" s="604" t="inlineStr">
        <x:is>
          <x:t xml:space="preserve">EVALUATED</x:t>
        </x:is>
      </x:c>
      <x:c r="Q1631" s="630" t="inlineStr">
        <x:is>
          <x:t xml:space="preserve"/>
        </x:is>
      </x:c>
      <x:c r="R1631" s="604" t="n"/>
      <x:c r="S1631" s="604" t="n"/>
      <x:c r="T1631" s="604" t="inlineStr">
        <x:is>
          <x:t xml:space="preserve">D:\codex\v3_legacy\outputs\football_odds_trader\raw\titan007\20261009\20261009_085232_titan007_odds_snapshot.csv</x:t>
        </x:is>
      </x:c>
      <x:c r="U1631" s="628" t="inlineStr">
        <x:is>
          <x:t xml:space="preserve"/>
        </x:is>
      </x:c>
      <x:c r="V1631" s="604" t="inlineStr">
        <x:is>
          <x:t xml:space="preserve"/>
        </x:is>
      </x:c>
      <x:c r="W1631" s="604" t="inlineStr">
        <x:is>
          <x:t xml:space="preserve"/>
        </x:is>
      </x:c>
      <x:c r="X1631" s="604" t="inlineStr">
        <x:is>
          <x:t xml:space="preserve">3071918</x:t>
        </x:is>
      </x:c>
      <x:c r="Y1631" s="604" t="inlineStr">
        <x:is>
          <x:t xml:space="preserve">V4</x:t>
        </x:is>
      </x:c>
      <x:c r="Z1631" s="604" t="inlineStr">
        <x:is>
          <x:t xml:space="preserve">prior-2026-10-09-v1</x:t>
        </x:is>
      </x:c>
      <x:c r="AA1631" s="604" t="inlineStr">
        <x:is>
          <x:t xml:space="preserve">C</x:t>
        </x:is>
      </x:c>
      <x:c r="AB1631" s="604" t="n">
        <x:v>0.4475216430957188</x:v>
      </x:c>
      <x:c r="AC1631" s="604" t="n">
        <x:v>0.4215861444974118</x:v>
      </x:c>
      <x:c r="AD1631" s="604" t="n">
        <x:v>0.25</x:v>
      </x:c>
      <x:c r="AE1631" s="604" t="n"/>
      <x:c r="AF1631" s="604" t="n"/>
      <x:c r="AG1631" s="604" t="n">
        <x:v>0.03936114789117856</x:v>
      </x:c>
      <x:c r="AH1631" s="604" t="n"/>
      <x:c r="AI1631" s="604" t="n"/>
      <x:c r="AJ1631" s="604" t="n">
        <x:v>0.03936114789117856</x:v>
      </x:c>
      <x:c r="AK1631" s="604" t="n"/>
      <x:c r="AL1631" s="604" t="n"/>
      <x:c r="AM1631" s="604" t="n"/>
      <x:c r="AN1631" s="604" t="inlineStr">
        <x:is>
          <x:t xml:space="preserve">EVALUATED</x:t>
        </x:is>
      </x:c>
      <x:c r="AO1631" s="604" t="inlineStr">
        <x:is>
          <x:t xml:space="preserve">EDGE_BELOW_UNCERTAINTY_THRESHOLD;BUCKET_PRIOR_ONLY;INTENT_INTERPRETATION_ONLY;FFL_OPTIONAL;EXPERT_MARKET</x:t>
        </x:is>
      </x:c>
      <x:c r="AP1631" s="604" t="inlineStr">
        <x:is>
          <x:t xml:space="preserve">9c256444af266bdabdc4</x:t>
        </x:is>
      </x:c>
      <x:c r="AQ1631" s="604" t="n"/>
      <x:c r="AR1631" s="604" t="n"/>
      <x:c r="AS1631" s="604" t="n">
        <x:v>0.25</x:v>
      </x:c>
      <x:c r="AT1631" s="604" t="n">
        <x:v>-0.25</x:v>
      </x:c>
      <x:c r="AU1631" s="604" t="n">
        <x:v>1.03</x:v>
      </x:c>
      <x:c r="AV1631" s="604" t="n">
        <x:v>0.78</x:v>
      </x:c>
      <x:c r="AW1631" s="604" t="inlineStr">
        <x:is>
          <x:t xml:space="preserve">2026-10-09T09:01:21.127001+08:00</x:t>
        </x:is>
      </x:c>
      <x:c r="AX1631" s="604" t="inlineStr">
        <x:is>
          <x:t xml:space="preserve">Titan007/V4</x:t>
        </x:is>
      </x:c>
      <x:c r="AY1631" s="604" t="inlineStr">
        <x:is>
          <x:t xml:space="preserve">Daily append；市场输入缺失时不生成决策</x:t>
        </x:is>
      </x:c>
    </x:row>
    <x:row r="1632" ht="22" customHeight="1">
      <x:c r="A1632" s="604" t="inlineStr">
        <x:is>
          <x:t xml:space="preserve">2026-10-09</x:t>
        </x:is>
      </x:c>
      <x:c r="B1632" s="604" t="inlineStr">
        <x:is>
          <x:t xml:space="preserve">2026-10-10T00:45:00+08:00</x:t>
        </x:is>
      </x:c>
      <x:c r="C1632" s="604" t="str">
        <x:v>西亚/中亚系列</x:v>
      </x:c>
      <x:c r="D1632" s="604" t="inlineStr">
        <x:is>
          <x:t xml:space="preserve"/>
        </x:is>
      </x:c>
      <x:c r="E1632" s="604" t="inlineStr">
        <x:is>
          <x:t xml:space="preserve">伊拉联</x:t>
        </x:is>
      </x:c>
      <x:c r="F1632" s="604" t="inlineStr">
        <x:is>
          <x:t xml:space="preserve">纳弗特 vs 迪亚拉</x:t>
        </x:is>
      </x:c>
      <x:c r="G1632" s="604" t="n">
        <x:v>0.98</x:v>
      </x:c>
      <x:c r="H1632" s="604" t="n">
        <x:v>0.5</x:v>
      </x:c>
      <x:c r="I1632" s="604" t="n">
        <x:v>0.83</x:v>
      </x:c>
      <x:c r="J1632" s="604" t="inlineStr">
        <x:is>
          <x:t xml:space="preserve">0.98/0.5/0.83</x:t>
        </x:is>
      </x:c>
      <x:c r="K1632" s="604" t="inlineStr">
        <x:is>
          <x:t xml:space="preserve">V4-C</x:t>
        </x:is>
      </x:c>
      <x:c r="L1632" s="604" t="inlineStr">
        <x:is>
          <x:t xml:space="preserve"/>
        </x:is>
      </x:c>
      <x:c r="M1632" s="604" t="n">
        <x:v>0.5171216535864224</x:v>
      </x:c>
      <x:c r="N1632" s="604" t="inlineStr">
        <x:is>
          <x:t xml:space="preserve">V4 Shadow Only；real_money=false</x:t>
        </x:is>
      </x:c>
      <x:c r="O1632" s="604" t="inlineStr">
        <x:is>
          <x:t xml:space="preserve">0-0</x:t>
        </x:is>
      </x:c>
      <x:c r="P1632" s="604" t="inlineStr">
        <x:is>
          <x:t xml:space="preserve">EVALUATED</x:t>
        </x:is>
      </x:c>
      <x:c r="Q1632" s="630" t="inlineStr">
        <x:is>
          <x:t xml:space="preserve"/>
        </x:is>
      </x:c>
      <x:c r="R1632" s="604" t="n"/>
      <x:c r="S1632" s="604" t="n"/>
      <x:c r="T1632" s="604" t="inlineStr">
        <x:is>
          <x:t xml:space="preserve">D:\codex\v3_legacy\outputs\football_odds_trader\raw\titan007\20261009\20261009_085232_titan007_odds_snapshot.csv</x:t>
        </x:is>
      </x:c>
      <x:c r="U1632" s="628" t="inlineStr">
        <x:is>
          <x:t xml:space="preserve"/>
        </x:is>
      </x:c>
      <x:c r="V1632" s="604" t="inlineStr">
        <x:is>
          <x:t xml:space="preserve"/>
        </x:is>
      </x:c>
      <x:c r="W1632" s="604" t="inlineStr">
        <x:is>
          <x:t xml:space="preserve"/>
        </x:is>
      </x:c>
      <x:c r="X1632" s="604" t="inlineStr">
        <x:is>
          <x:t xml:space="preserve">3071922</x:t>
        </x:is>
      </x:c>
      <x:c r="Y1632" s="604" t="inlineStr">
        <x:is>
          <x:t xml:space="preserve">V4</x:t>
        </x:is>
      </x:c>
      <x:c r="Z1632" s="604" t="inlineStr">
        <x:is>
          <x:t xml:space="preserve">prior-2026-10-09-v1</x:t>
        </x:is>
      </x:c>
      <x:c r="AA1632" s="604" t="inlineStr">
        <x:is>
          <x:t xml:space="preserve">C</x:t>
        </x:is>
      </x:c>
      <x:c r="AB1632" s="604" t="n">
        <x:v>0.5171216535864224</x:v>
      </x:c>
      <x:c r="AC1632" s="604" t="n">
        <x:v>0.4828783464135776</x:v>
      </x:c>
      <x:c r="AD1632" s="604" t="n">
        <x:v>0.5</x:v>
      </x:c>
      <x:c r="AE1632" s="604" t="n"/>
      <x:c r="AF1632" s="604" t="n"/>
      <x:c r="AG1632" s="604" t="n">
        <x:v>0.0239008741011163</x:v>
      </x:c>
      <x:c r="AH1632" s="604" t="n"/>
      <x:c r="AI1632" s="604" t="n"/>
      <x:c r="AJ1632" s="604" t="n">
        <x:v>0.0239008741011163</x:v>
      </x:c>
      <x:c r="AK1632" s="604" t="n"/>
      <x:c r="AL1632" s="604" t="n"/>
      <x:c r="AM1632" s="604" t="n"/>
      <x:c r="AN1632" s="604" t="inlineStr">
        <x:is>
          <x:t xml:space="preserve">EVALUATED</x:t>
        </x:is>
      </x:c>
      <x:c r="AO1632" s="604" t="inlineStr">
        <x:is>
          <x:t xml:space="preserve">EDGE_BELOW_UNCERTAINTY_THRESHOLD;BUCKET_PRIOR_ONLY;INTENT_INTERPRETATION_ONLY;FFL_OPTIONAL;EXPERT_MARKET</x:t>
        </x:is>
      </x:c>
      <x:c r="AP1632" s="604" t="inlineStr">
        <x:is>
          <x:t xml:space="preserve">6dbeffc190c648670416</x:t>
        </x:is>
      </x:c>
      <x:c r="AQ1632" s="604" t="n"/>
      <x:c r="AR1632" s="604" t="n"/>
      <x:c r="AS1632" s="604" t="n">
        <x:v>0.5</x:v>
      </x:c>
      <x:c r="AT1632" s="604" t="n">
        <x:v>-0.5</x:v>
      </x:c>
      <x:c r="AU1632" s="604" t="n">
        <x:v>0.98</x:v>
      </x:c>
      <x:c r="AV1632" s="604" t="n">
        <x:v>0.83</x:v>
      </x:c>
      <x:c r="AW1632" s="604" t="inlineStr">
        <x:is>
          <x:t xml:space="preserve">2026-10-09T09:01:21.127001+08:00</x:t>
        </x:is>
      </x:c>
      <x:c r="AX1632" s="604" t="inlineStr">
        <x:is>
          <x:t xml:space="preserve">Titan007/V4</x:t>
        </x:is>
      </x:c>
      <x:c r="AY1632" s="604" t="inlineStr">
        <x:is>
          <x:t xml:space="preserve">Daily append；市场输入缺失时不生成决策</x:t>
        </x:is>
      </x:c>
    </x:row>
    <x:row r="1633" ht="22" customHeight="1">
      <x:c r="A1633" s="604" t="inlineStr">
        <x:is>
          <x:t xml:space="preserve">2026-10-09</x:t>
        </x:is>
      </x:c>
      <x:c r="B1633" s="604" t="inlineStr">
        <x:is>
          <x:t xml:space="preserve">2026-10-09T23:00:00+08:00</x:t>
        </x:is>
      </x:c>
      <x:c r="C1633" s="604" t="str">
        <x:v>西亚/中亚系列</x:v>
      </x:c>
      <x:c r="D1633" s="604" t="inlineStr">
        <x:is>
          <x:t xml:space="preserve"/>
        </x:is>
      </x:c>
      <x:c r="E1633" s="604" t="inlineStr">
        <x:is>
          <x:t xml:space="preserve">伊拉联</x:t>
        </x:is>
      </x:c>
      <x:c r="F1633" s="604" t="inlineStr">
        <x:is>
          <x:t xml:space="preserve">扎克赫 vs 纽罗兹SC</x:t>
        </x:is>
      </x:c>
      <x:c r="G1633" s="604" t="n">
        <x:v>1</x:v>
      </x:c>
      <x:c r="H1633" s="604" t="n">
        <x:v>0.25</x:v>
      </x:c>
      <x:c r="I1633" s="604" t="n">
        <x:v>0.8</x:v>
      </x:c>
      <x:c r="J1633" s="604" t="inlineStr">
        <x:is>
          <x:t xml:space="preserve">1.0/0.25/0.8</x:t>
        </x:is>
      </x:c>
      <x:c r="K1633" s="604" t="inlineStr">
        <x:is>
          <x:t xml:space="preserve">V4-C</x:t>
        </x:is>
      </x:c>
      <x:c r="L1633" s="604" t="inlineStr">
        <x:is>
          <x:t xml:space="preserve"/>
        </x:is>
      </x:c>
      <x:c r="M1633" s="604" t="n">
        <x:v>0.4502589847732906</x:v>
      </x:c>
      <x:c r="N1633" s="604" t="inlineStr">
        <x:is>
          <x:t xml:space="preserve">V4 Shadow Only；real_money=false</x:t>
        </x:is>
      </x:c>
      <x:c r="O1633" s="604" t="inlineStr">
        <x:is>
          <x:t xml:space="preserve">0-0</x:t>
        </x:is>
      </x:c>
      <x:c r="P1633" s="604" t="inlineStr">
        <x:is>
          <x:t xml:space="preserve">EVALUATED</x:t>
        </x:is>
      </x:c>
      <x:c r="Q1633" s="630" t="inlineStr">
        <x:is>
          <x:t xml:space="preserve"/>
        </x:is>
      </x:c>
      <x:c r="R1633" s="604" t="n"/>
      <x:c r="S1633" s="604" t="n"/>
      <x:c r="T1633" s="604" t="inlineStr">
        <x:is>
          <x:t xml:space="preserve">D:\codex\v3_legacy\outputs\football_odds_trader\raw\titan007\20261009\20261009_085232_titan007_odds_snapshot.csv</x:t>
        </x:is>
      </x:c>
      <x:c r="U1633" s="628" t="inlineStr">
        <x:is>
          <x:t xml:space="preserve"/>
        </x:is>
      </x:c>
      <x:c r="V1633" s="604" t="inlineStr">
        <x:is>
          <x:t xml:space="preserve"/>
        </x:is>
      </x:c>
      <x:c r="W1633" s="604" t="inlineStr">
        <x:is>
          <x:t xml:space="preserve"/>
        </x:is>
      </x:c>
      <x:c r="X1633" s="604" t="inlineStr">
        <x:is>
          <x:t xml:space="preserve">3071927</x:t>
        </x:is>
      </x:c>
      <x:c r="Y1633" s="604" t="inlineStr">
        <x:is>
          <x:t xml:space="preserve">V4</x:t>
        </x:is>
      </x:c>
      <x:c r="Z1633" s="604" t="inlineStr">
        <x:is>
          <x:t xml:space="preserve">prior-2026-10-09-v1</x:t>
        </x:is>
      </x:c>
      <x:c r="AA1633" s="604" t="inlineStr">
        <x:is>
          <x:t xml:space="preserve">C</x:t>
        </x:is>
      </x:c>
      <x:c r="AB1633" s="604" t="n">
        <x:v>0.4502589847732906</x:v>
      </x:c>
      <x:c r="AC1633" s="604" t="n">
        <x:v>0.4195277637296733</x:v>
      </x:c>
      <x:c r="AD1633" s="604" t="n">
        <x:v>0.25</x:v>
      </x:c>
      <x:c r="AE1633" s="604" t="n"/>
      <x:c r="AF1633" s="604" t="n"/>
      <x:c r="AG1633" s="604" t="n">
        <x:v>0.03073122104361736</x:v>
      </x:c>
      <x:c r="AH1633" s="604" t="n"/>
      <x:c r="AI1633" s="604" t="n"/>
      <x:c r="AJ1633" s="604" t="n">
        <x:v>0.03073122104361736</x:v>
      </x:c>
      <x:c r="AK1633" s="604" t="n"/>
      <x:c r="AL1633" s="604" t="n"/>
      <x:c r="AM1633" s="604" t="n"/>
      <x:c r="AN1633" s="604" t="inlineStr">
        <x:is>
          <x:t xml:space="preserve">EVALUATED</x:t>
        </x:is>
      </x:c>
      <x:c r="AO1633" s="604" t="inlineStr">
        <x:is>
          <x:t xml:space="preserve">EDGE_BELOW_UNCERTAINTY_THRESHOLD;BUCKET_PRIOR_ONLY;INTENT_INTERPRETATION_ONLY;FFL_OPTIONAL;EXPERT_MARKET</x:t>
        </x:is>
      </x:c>
      <x:c r="AP1633" s="604" t="inlineStr">
        <x:is>
          <x:t xml:space="preserve">357414a5a8117051c469</x:t>
        </x:is>
      </x:c>
      <x:c r="AQ1633" s="604" t="n"/>
      <x:c r="AR1633" s="604" t="n"/>
      <x:c r="AS1633" s="604" t="n">
        <x:v>0.25</x:v>
      </x:c>
      <x:c r="AT1633" s="604" t="n">
        <x:v>-0.25</x:v>
      </x:c>
      <x:c r="AU1633" s="604" t="n">
        <x:v>1</x:v>
      </x:c>
      <x:c r="AV1633" s="604" t="n">
        <x:v>0.8</x:v>
      </x:c>
      <x:c r="AW1633" s="604" t="inlineStr">
        <x:is>
          <x:t xml:space="preserve">2026-10-09T09:01:21.127001+08:00</x:t>
        </x:is>
      </x:c>
      <x:c r="AX1633" s="604" t="inlineStr">
        <x:is>
          <x:t xml:space="preserve">Titan007/V4</x:t>
        </x:is>
      </x:c>
      <x:c r="AY1633" s="604" t="inlineStr">
        <x:is>
          <x:t xml:space="preserve">Daily append；市场输入缺失时不生成决策</x:t>
        </x:is>
      </x:c>
    </x:row>
    <x:row r="1634" ht="22" customHeight="1">
      <x:c r="A1634" s="604" t="inlineStr">
        <x:is>
          <x:t xml:space="preserve">2026-10-09</x:t>
        </x:is>
      </x:c>
      <x:c r="B1634" s="604" t="inlineStr">
        <x:is>
          <x:t xml:space="preserve">2026-10-10T10:00:00+08:00</x:t>
        </x:is>
      </x:c>
      <x:c r="C1634" s="604" t="str">
        <x:v>北美系列</x:v>
      </x:c>
      <x:c r="D1634" s="604" t="inlineStr">
        <x:is>
          <x:t xml:space="preserve"/>
        </x:is>
      </x:c>
      <x:c r="E1634" s="604" t="inlineStr">
        <x:is>
          <x:t xml:space="preserve">墨西乙</x:t>
        </x:is>
      </x:c>
      <x:c r="F1634" s="604" t="inlineStr">
        <x:is>
          <x:t xml:space="preserve">拉佩达德 vs 洛斯卡沃斯联</x:t>
        </x:is>
      </x:c>
      <x:c r="G1634" s="604" t="n">
        <x:v>0.85</x:v>
      </x:c>
      <x:c r="H1634" s="604" t="n">
        <x:v>0.5</x:v>
      </x:c>
      <x:c r="I1634" s="604" t="n">
        <x:v>0.85</x:v>
      </x:c>
      <x:c r="J1634" s="604" t="inlineStr">
        <x:is>
          <x:t xml:space="preserve">0.85/0.5/0.85</x:t>
        </x:is>
      </x:c>
      <x:c r="K1634" s="604" t="inlineStr">
        <x:is>
          <x:t xml:space="preserve">V4-C</x:t>
        </x:is>
      </x:c>
      <x:c r="L1634" s="604" t="inlineStr">
        <x:is>
          <x:t xml:space="preserve">拉佩达德</x:t>
        </x:is>
      </x:c>
      <x:c r="M1634" s="604" t="n">
        <x:v>0.5701936331795284</x:v>
      </x:c>
      <x:c r="N1634" s="604" t="inlineStr">
        <x:is>
          <x:t xml:space="preserve">V4 Shadow Only；real_money=false</x:t>
        </x:is>
      </x:c>
      <x:c r="O1634" s="604" t="inlineStr">
        <x:is>
          <x:t xml:space="preserve">0-0</x:t>
        </x:is>
      </x:c>
      <x:c r="P1634" s="604" t="inlineStr">
        <x:is>
          <x:t xml:space="preserve">EVALUATED</x:t>
        </x:is>
      </x:c>
      <x:c r="Q1634" s="630" t="inlineStr">
        <x:is>
          <x:t xml:space="preserve"/>
        </x:is>
      </x:c>
      <x:c r="R1634" s="604" t="n">
        <x:v>0.85</x:v>
      </x:c>
      <x:c r="S1634" s="604" t="n"/>
      <x:c r="T1634" s="604" t="inlineStr">
        <x:is>
          <x:t xml:space="preserve">D:\codex\v3_legacy\outputs\football_odds_trader\raw\titan007\20261009\20261009_085232_titan007_odds_snapshot.csv</x:t>
        </x:is>
      </x:c>
      <x:c r="U1634" s="628" t="inlineStr">
        <x:is>
          <x:t xml:space="preserve"/>
        </x:is>
      </x:c>
      <x:c r="V1634" s="604" t="inlineStr">
        <x:is>
          <x:t xml:space="preserve"/>
        </x:is>
      </x:c>
      <x:c r="W1634" s="604" t="inlineStr">
        <x:is>
          <x:t xml:space="preserve"/>
        </x:is>
      </x:c>
      <x:c r="X1634" s="604" t="inlineStr">
        <x:is>
          <x:t xml:space="preserve">3073304</x:t>
        </x:is>
      </x:c>
      <x:c r="Y1634" s="604" t="inlineStr">
        <x:is>
          <x:t xml:space="preserve">V4</x:t>
        </x:is>
      </x:c>
      <x:c r="Z1634" s="604" t="inlineStr">
        <x:is>
          <x:t xml:space="preserve">prior-2026-10-09-v1</x:t>
        </x:is>
      </x:c>
      <x:c r="AA1634" s="604" t="inlineStr">
        <x:is>
          <x:t xml:space="preserve">C</x:t>
        </x:is>
      </x:c>
      <x:c r="AB1634" s="604" t="n">
        <x:v>0.5701936331795284</x:v>
      </x:c>
      <x:c r="AC1634" s="604" t="n">
        <x:v>0.4298063668204715</x:v>
      </x:c>
      <x:c r="AD1634" s="604" t="n">
        <x:v>0.75</x:v>
      </x:c>
      <x:c r="AE1634" s="604" t="n"/>
      <x:c r="AF1634" s="604" t="n"/>
      <x:c r="AG1634" s="604" t="n">
        <x:v>0.05485822138212765</x:v>
      </x:c>
      <x:c r="AH1634" s="604" t="n"/>
      <x:c r="AI1634" s="604" t="n"/>
      <x:c r="AJ1634" s="604" t="n">
        <x:v>0.05485822138212765</x:v>
      </x:c>
      <x:c r="AK1634" s="604" t="n"/>
      <x:c r="AL1634" s="604" t="n"/>
      <x:c r="AM1634" s="604" t="n"/>
      <x:c r="AN1634" s="604" t="inlineStr">
        <x:is>
          <x:t xml:space="preserve">EVALUATED</x:t>
        </x:is>
      </x:c>
      <x:c r="AO1634" s="604" t="inlineStr">
        <x:is>
          <x:t xml:space="preserve">GIVING_VALIDATED_EDGE;BUCKET_PRIOR_ONLY;INTENT_INTERPRETATION_ONLY;FFL_OPTIONAL;EXPERT_MARKET</x:t>
        </x:is>
      </x:c>
      <x:c r="AP1634" s="604" t="inlineStr">
        <x:is>
          <x:t xml:space="preserve">c0335741ece3ebb2ba2d</x:t>
        </x:is>
      </x:c>
      <x:c r="AQ1634" s="604" t="n">
        <x:v>-0.5</x:v>
      </x:c>
      <x:c r="AR1634" s="604" t="n">
        <x:v>0.85</x:v>
      </x:c>
      <x:c r="AS1634" s="604" t="n">
        <x:v>0.5</x:v>
      </x:c>
      <x:c r="AT1634" s="604" t="n">
        <x:v>-0.5</x:v>
      </x:c>
      <x:c r="AU1634" s="604" t="n">
        <x:v>0.85</x:v>
      </x:c>
      <x:c r="AV1634" s="604" t="n">
        <x:v>0.85</x:v>
      </x:c>
      <x:c r="AW1634" s="604" t="inlineStr">
        <x:is>
          <x:t xml:space="preserve">2026-10-09T09:01:21.127001+08:00</x:t>
        </x:is>
      </x:c>
      <x:c r="AX1634" s="604" t="inlineStr">
        <x:is>
          <x:t xml:space="preserve">Titan007/V4</x:t>
        </x:is>
      </x:c>
      <x:c r="AY1634" s="604" t="inlineStr">
        <x:is>
          <x:t xml:space="preserve">Daily append；市场输入缺失时不生成决策</x:t>
        </x:is>
      </x:c>
    </x:row>
    <x:row r="1635" ht="22" customHeight="1">
      <x:c r="A1635" s="604" t="inlineStr">
        <x:is>
          <x:t xml:space="preserve">2026-10-09</x:t>
        </x:is>
      </x:c>
      <x:c r="B1635" s="604" t="inlineStr">
        <x:is>
          <x:t xml:space="preserve">2026-10-09T22:00:00+08:00</x:t>
        </x:is>
      </x:c>
      <x:c r="C1635" s="604" t="str">
        <x:v>其他系列</x:v>
      </x:c>
      <x:c r="D1635" s="604" t="inlineStr">
        <x:is>
          <x:t xml:space="preserve"/>
        </x:is>
      </x:c>
      <x:c r="E1635" s="604" t="inlineStr">
        <x:is>
          <x:t xml:space="preserve">乌干超</x:t>
        </x:is>
      </x:c>
      <x:c r="F1635" s="604" t="inlineStr">
        <x:is>
          <x:t xml:space="preserve">恩德贝 vs 乌干达警察俱乐部</x:t>
        </x:is>
      </x:c>
      <x:c r="G1635" s="604" t="n">
        <x:v>0.95</x:v>
      </x:c>
      <x:c r="H1635" s="604" t="n">
        <x:v>0.25</x:v>
      </x:c>
      <x:c r="I1635" s="604" t="n">
        <x:v>0.85</x:v>
      </x:c>
      <x:c r="J1635" s="604" t="inlineStr">
        <x:is>
          <x:t xml:space="preserve">0.95/0.25/0.85</x:t>
        </x:is>
      </x:c>
      <x:c r="K1635" s="604" t="inlineStr">
        <x:is>
          <x:t xml:space="preserve">V4-C</x:t>
        </x:is>
      </x:c>
      <x:c r="L1635" s="604" t="inlineStr">
        <x:is>
          <x:t xml:space="preserve">恩德贝</x:t>
        </x:is>
      </x:c>
      <x:c r="M1635" s="604" t="n">
        <x:v>0.4757909933603808</x:v>
      </x:c>
      <x:c r="N1635" s="604" t="inlineStr">
        <x:is>
          <x:t xml:space="preserve">V4 Shadow Only；real_money=false</x:t>
        </x:is>
      </x:c>
      <x:c r="O1635" s="604" t="inlineStr">
        <x:is>
          <x:t xml:space="preserve">0-0</x:t>
        </x:is>
      </x:c>
      <x:c r="P1635" s="604" t="inlineStr">
        <x:is>
          <x:t xml:space="preserve">EVALUATED</x:t>
        </x:is>
      </x:c>
      <x:c r="Q1635" s="630" t="inlineStr">
        <x:is>
          <x:t xml:space="preserve"/>
        </x:is>
      </x:c>
      <x:c r="R1635" s="604" t="n">
        <x:v>0.95</x:v>
      </x:c>
      <x:c r="S1635" s="604" t="n"/>
      <x:c r="T1635" s="604" t="inlineStr">
        <x:is>
          <x:t xml:space="preserve">D:\codex\v3_legacy\outputs\football_odds_trader\raw\titan007\20261009\20261009_085232_titan007_odds_snapshot.csv</x:t>
        </x:is>
      </x:c>
      <x:c r="U1635" s="628" t="inlineStr">
        <x:is>
          <x:t xml:space="preserve"/>
        </x:is>
      </x:c>
      <x:c r="V1635" s="604" t="inlineStr">
        <x:is>
          <x:t xml:space="preserve"/>
        </x:is>
      </x:c>
      <x:c r="W1635" s="604" t="inlineStr">
        <x:is>
          <x:t xml:space="preserve"/>
        </x:is>
      </x:c>
      <x:c r="X1635" s="604" t="inlineStr">
        <x:is>
          <x:t xml:space="preserve">3074492</x:t>
        </x:is>
      </x:c>
      <x:c r="Y1635" s="604" t="inlineStr">
        <x:is>
          <x:t xml:space="preserve">V4</x:t>
        </x:is>
      </x:c>
      <x:c r="Z1635" s="604" t="inlineStr">
        <x:is>
          <x:t xml:space="preserve">prior-2026-10-09-v1</x:t>
        </x:is>
      </x:c>
      <x:c r="AA1635" s="604" t="inlineStr">
        <x:is>
          <x:t xml:space="preserve">C</x:t>
        </x:is>
      </x:c>
      <x:c r="AB1635" s="604" t="n">
        <x:v>0.4757909933603808</x:v>
      </x:c>
      <x:c r="AC1635" s="604" t="n">
        <x:v>0.3947113045371856</x:v>
      </x:c>
      <x:c r="AD1635" s="604" t="n">
        <x:v>0.5</x:v>
      </x:c>
      <x:c r="AE1635" s="604" t="n"/>
      <x:c r="AF1635" s="604" t="n"/>
      <x:c r="AG1635" s="604" t="n">
        <x:v>0.05729013915517617</x:v>
      </x:c>
      <x:c r="AH1635" s="604" t="n"/>
      <x:c r="AI1635" s="604" t="n"/>
      <x:c r="AJ1635" s="604" t="n">
        <x:v>0.05729013915517617</x:v>
      </x:c>
      <x:c r="AK1635" s="604" t="n"/>
      <x:c r="AL1635" s="604" t="n"/>
      <x:c r="AM1635" s="604" t="n"/>
      <x:c r="AN1635" s="604" t="inlineStr">
        <x:is>
          <x:t xml:space="preserve">EVALUATED</x:t>
        </x:is>
      </x:c>
      <x:c r="AO1635" s="604" t="inlineStr">
        <x:is>
          <x:t xml:space="preserve">GIVING_VALIDATED_EDGE;BUCKET_PRIOR_ONLY;INTENT_INTERPRETATION_ONLY;FFL_OPTIONAL;EXPERT_MARKET</x:t>
        </x:is>
      </x:c>
      <x:c r="AP1635" s="604" t="inlineStr">
        <x:is>
          <x:t xml:space="preserve">df39080c8d1e454e244d</x:t>
        </x:is>
      </x:c>
      <x:c r="AQ1635" s="604" t="n">
        <x:v>-0.25</x:v>
      </x:c>
      <x:c r="AR1635" s="604" t="n">
        <x:v>0.95</x:v>
      </x:c>
      <x:c r="AS1635" s="604" t="n">
        <x:v>0.25</x:v>
      </x:c>
      <x:c r="AT1635" s="604" t="n">
        <x:v>-0.25</x:v>
      </x:c>
      <x:c r="AU1635" s="604" t="n">
        <x:v>0.95</x:v>
      </x:c>
      <x:c r="AV1635" s="604" t="n">
        <x:v>0.85</x:v>
      </x:c>
      <x:c r="AW1635" s="604" t="inlineStr">
        <x:is>
          <x:t xml:space="preserve">2026-10-09T09:01:21.127001+08:00</x:t>
        </x:is>
      </x:c>
      <x:c r="AX1635" s="604" t="inlineStr">
        <x:is>
          <x:t xml:space="preserve">Titan007/V4</x:t>
        </x:is>
      </x:c>
      <x:c r="AY1635" s="604" t="inlineStr">
        <x:is>
          <x:t xml:space="preserve">Daily append；市场输入缺失时不生成决策</x:t>
        </x:is>
      </x:c>
    </x:row>
    <x:row r="1636" ht="22" customHeight="1">
      <x:c r="A1636" s="604" t="inlineStr">
        <x:is>
          <x:t xml:space="preserve">2026-10-09</x:t>
        </x:is>
      </x:c>
      <x:c r="B1636" s="604" t="inlineStr">
        <x:is>
          <x:t xml:space="preserve">2026-10-10T01:00:00+08:00</x:t>
        </x:is>
      </x:c>
      <x:c r="C1636" s="604" t="str">
        <x:v>其他系列</x:v>
      </x:c>
      <x:c r="D1636" s="604" t="inlineStr">
        <x:is>
          <x:t xml:space="preserve"/>
        </x:is>
      </x:c>
      <x:c r="E1636" s="604" t="inlineStr">
        <x:is>
          <x:t xml:space="preserve">乌干超</x:t>
        </x:is>
      </x:c>
      <x:c r="F1636" s="604" t="inlineStr">
        <x:is>
          <x:t xml:space="preserve">乌干达URA vs 坎帕拉市</x:t>
        </x:is>
      </x:c>
      <x:c r="G1636" s="604" t="n">
        <x:v>0.85</x:v>
      </x:c>
      <x:c r="H1636" s="604" t="n">
        <x:v>-0.25</x:v>
      </x:c>
      <x:c r="I1636" s="604" t="n">
        <x:v>0.95</x:v>
      </x:c>
      <x:c r="J1636" s="604" t="inlineStr">
        <x:is>
          <x:t xml:space="preserve">0.85/-0.25/0.95</x:t>
        </x:is>
      </x:c>
      <x:c r="K1636" s="604" t="inlineStr">
        <x:is>
          <x:t xml:space="preserve">V4-A</x:t>
        </x:is>
      </x:c>
      <x:c r="L1636" s="604" t="inlineStr">
        <x:is>
          <x:t xml:space="preserve">乌干达URA</x:t>
        </x:is>
      </x:c>
      <x:c r="M1636" s="604" t="n">
        <x:v>0.2728779315765966</x:v>
      </x:c>
      <x:c r="N1636" s="604" t="inlineStr">
        <x:is>
          <x:t xml:space="preserve">V4 Shadow Only；real_money=false</x:t>
        </x:is>
      </x:c>
      <x:c r="O1636" s="604" t="inlineStr">
        <x:is>
          <x:t xml:space="preserve">0-0</x:t>
        </x:is>
      </x:c>
      <x:c r="P1636" s="604" t="inlineStr">
        <x:is>
          <x:t xml:space="preserve">EVALUATED</x:t>
        </x:is>
      </x:c>
      <x:c r="Q1636" s="630" t="inlineStr">
        <x:is>
          <x:t xml:space="preserve"/>
        </x:is>
      </x:c>
      <x:c r="R1636" s="604" t="n">
        <x:v>0.85</x:v>
      </x:c>
      <x:c r="S1636" s="604" t="n"/>
      <x:c r="T1636" s="604" t="inlineStr">
        <x:is>
          <x:t xml:space="preserve">D:\codex\v3_legacy\outputs\football_odds_trader\raw\titan007\20261009\20261009_085232_titan007_odds_snapshot.csv</x:t>
        </x:is>
      </x:c>
      <x:c r="U1636" s="628" t="inlineStr">
        <x:is>
          <x:t xml:space="preserve"/>
        </x:is>
      </x:c>
      <x:c r="V1636" s="604" t="inlineStr">
        <x:is>
          <x:t xml:space="preserve"/>
        </x:is>
      </x:c>
      <x:c r="W1636" s="604" t="inlineStr">
        <x:is>
          <x:t xml:space="preserve"/>
        </x:is>
      </x:c>
      <x:c r="X1636" s="604" t="inlineStr">
        <x:is>
          <x:t xml:space="preserve">3074493</x:t>
        </x:is>
      </x:c>
      <x:c r="Y1636" s="604" t="inlineStr">
        <x:is>
          <x:t xml:space="preserve">V4</x:t>
        </x:is>
      </x:c>
      <x:c r="Z1636" s="604" t="inlineStr">
        <x:is>
          <x:t xml:space="preserve">prior-2026-10-09-v1</x:t>
        </x:is>
      </x:c>
      <x:c r="AA1636" s="604" t="inlineStr">
        <x:is>
          <x:t xml:space="preserve">A</x:t>
        </x:is>
      </x:c>
      <x:c r="AB1636" s="604" t="n">
        <x:v>0.2728779315765966</x:v>
      </x:c>
      <x:c r="AC1636" s="604" t="n">
        <x:v>0.5972961123565952</x:v>
      </x:c>
      <x:c r="AD1636" s="604" t="n">
        <x:v>-0.5</x:v>
      </x:c>
      <x:c r="AE1636" s="604" t="n"/>
      <x:c r="AF1636" s="604" t="n"/>
      <x:c r="AG1636" s="604" t="n">
        <x:v>0.2348237639265094</x:v>
      </x:c>
      <x:c r="AH1636" s="604" t="n"/>
      <x:c r="AI1636" s="604" t="n"/>
      <x:c r="AJ1636" s="604" t="n">
        <x:v>0.2348237639265094</x:v>
      </x:c>
      <x:c r="AK1636" s="604" t="n"/>
      <x:c r="AL1636" s="604" t="n"/>
      <x:c r="AM1636" s="604" t="n"/>
      <x:c r="AN1636" s="604" t="inlineStr">
        <x:is>
          <x:t xml:space="preserve">EVALUATED</x:t>
        </x:is>
      </x:c>
      <x:c r="AO1636" s="604" t="inlineStr">
        <x:is>
          <x:t xml:space="preserve">RECEIVING_VALIDATED_EDGE;BUCKET_PRIOR_ONLY;INTENT_INTERPRETATION_ONLY;FFL_OPTIONAL;EXPERT_MARKET</x:t>
        </x:is>
      </x:c>
      <x:c r="AP1636" s="604" t="inlineStr">
        <x:is>
          <x:t xml:space="preserve">f5b2d88663081fb19697</x:t>
        </x:is>
      </x:c>
      <x:c r="AQ1636" s="604" t="n">
        <x:v>0.25</x:v>
      </x:c>
      <x:c r="AR1636" s="604" t="n">
        <x:v>0.85</x:v>
      </x:c>
      <x:c r="AS1636" s="604" t="n">
        <x:v>-0.25</x:v>
      </x:c>
      <x:c r="AT1636" s="604" t="n">
        <x:v>0.25</x:v>
      </x:c>
      <x:c r="AU1636" s="604" t="n">
        <x:v>0.85</x:v>
      </x:c>
      <x:c r="AV1636" s="604" t="n">
        <x:v>0.95</x:v>
      </x:c>
      <x:c r="AW1636" s="604" t="inlineStr">
        <x:is>
          <x:t xml:space="preserve">2026-10-09T09:01:21.127001+08:00</x:t>
        </x:is>
      </x:c>
      <x:c r="AX1636" s="604" t="inlineStr">
        <x:is>
          <x:t xml:space="preserve">Titan007/V4</x:t>
        </x:is>
      </x:c>
      <x:c r="AY1636" s="604" t="inlineStr">
        <x:is>
          <x:t xml:space="preserve">Daily append；市场输入缺失时不生成决策</x:t>
        </x:is>
      </x:c>
    </x:row>
    <x:row r="1637" ht="22" customHeight="1">
      <x:c r="A1637" s="604" t="inlineStr">
        <x:is>
          <x:t xml:space="preserve">2026-10-09</x:t>
        </x:is>
      </x:c>
      <x:c r="B1637" s="604" t="inlineStr">
        <x:is>
          <x:t xml:space="preserve">2026-10-09T19:30:00+08:00</x:t>
        </x:is>
      </x:c>
      <x:c r="C1637" s="604" t="str">
        <x:v>西亚/中亚系列</x:v>
      </x:c>
      <x:c r="D1637" s="604" t="inlineStr">
        <x:is>
          <x:t xml:space="preserve"/>
        </x:is>
      </x:c>
      <x:c r="E1637" s="604" t="inlineStr">
        <x:is>
          <x:t xml:space="preserve">以乙北</x:t>
        </x:is>
      </x:c>
      <x:c r="F1637" s="604" t="inlineStr">
        <x:is>
          <x:t xml:space="preserve">哈帕拉奥伊罗 vs 伊胡德格布内</x:t>
        </x:is>
      </x:c>
      <x:c r="G1637" s="604" t="n">
        <x:v>0.93</x:v>
      </x:c>
      <x:c r="H1637" s="604" t="n">
        <x:v>0</x:v>
      </x:c>
      <x:c r="I1637" s="604" t="n">
        <x:v>0.88</x:v>
      </x:c>
      <x:c r="J1637" s="604" t="inlineStr">
        <x:is>
          <x:t xml:space="preserve">0.93/0.0/0.88</x:t>
        </x:is>
      </x:c>
      <x:c r="K1637" s="604" t="inlineStr">
        <x:is>
          <x:t xml:space="preserve">V4-N</x:t>
        </x:is>
      </x:c>
      <x:c r="L1637" s="604" t="inlineStr">
        <x:is>
          <x:t xml:space="preserve"/>
        </x:is>
      </x:c>
      <x:c r="M1637" s="604" t="n"/>
      <x:c r="N1637" s="604" t="inlineStr">
        <x:is>
          <x:t xml:space="preserve">V4 Shadow Only；real_money=false</x:t>
        </x:is>
      </x:c>
      <x:c r="O1637" s="604" t="inlineStr">
        <x:is>
          <x:t xml:space="preserve">0-0</x:t>
        </x:is>
      </x:c>
      <x:c r="P1637" s="604" t="inlineStr">
        <x:is>
          <x:t xml:space="preserve">NEUTRAL</x:t>
        </x:is>
      </x:c>
      <x:c r="Q1637" s="630" t="inlineStr">
        <x:is>
          <x:t xml:space="preserve"/>
        </x:is>
      </x:c>
      <x:c r="R1637" s="604" t="n"/>
      <x:c r="S1637" s="604" t="n"/>
      <x:c r="T1637" s="604" t="inlineStr">
        <x:is>
          <x:t xml:space="preserve">D:\codex\v3_legacy\outputs\football_odds_trader\raw\titan007\20261009\20261009_085232_titan007_odds_snapshot.csv</x:t>
        </x:is>
      </x:c>
      <x:c r="U1637" s="628" t="inlineStr">
        <x:is>
          <x:t xml:space="preserve"/>
        </x:is>
      </x:c>
      <x:c r="V1637" s="604" t="inlineStr">
        <x:is>
          <x:t xml:space="preserve"/>
        </x:is>
      </x:c>
      <x:c r="W1637" s="604" t="inlineStr">
        <x:is>
          <x:t xml:space="preserve"/>
        </x:is>
      </x:c>
      <x:c r="X1637" s="604" t="inlineStr">
        <x:is>
          <x:t xml:space="preserve">3074647</x:t>
        </x:is>
      </x:c>
      <x:c r="Y1637" s="604" t="inlineStr">
        <x:is>
          <x:t xml:space="preserve">V4</x:t>
        </x:is>
      </x:c>
      <x:c r="Z1637" s="604" t="inlineStr">
        <x:is>
          <x:t xml:space="preserve">prior-2026-10-09-v1</x:t>
        </x:is>
      </x:c>
      <x:c r="AA1637" s="604" t="inlineStr">
        <x:is>
          <x:t xml:space="preserve">N</x:t>
        </x:is>
      </x:c>
      <x:c r="AB1637" s="604" t="n"/>
      <x:c r="AC1637" s="604" t="n"/>
      <x:c r="AD1637" s="604" t="n"/>
      <x:c r="AE1637" s="604" t="n"/>
      <x:c r="AF1637" s="604" t="n"/>
      <x:c r="AG1637" s="604" t="n"/>
      <x:c r="AH1637" s="604" t="n"/>
      <x:c r="AI1637" s="604" t="n"/>
      <x:c r="AJ1637" s="604" t="n"/>
      <x:c r="AK1637" s="604" t="n"/>
      <x:c r="AL1637" s="604" t="n"/>
      <x:c r="AM1637" s="604" t="n"/>
      <x:c r="AN1637" s="604" t="inlineStr">
        <x:is>
          <x:t xml:space="preserve">NEUTRAL</x:t>
        </x:is>
      </x:c>
      <x:c r="AO1637" s="604" t="inlineStr">
        <x:is>
          <x:t xml:space="preserve">PK_NO_GIVING_RECEIVING_IDENTITY</x:t>
        </x:is>
      </x:c>
      <x:c r="AP1637" s="604" t="inlineStr">
        <x:is>
          <x:t xml:space="preserve">e260a8a382325f662d0b</x:t>
        </x:is>
      </x:c>
      <x:c r="AQ1637" s="604" t="n"/>
      <x:c r="AR1637" s="604" t="n"/>
      <x:c r="AS1637" s="604" t="n"/>
      <x:c r="AT1637" s="604" t="n"/>
      <x:c r="AU1637" s="604" t="n"/>
      <x:c r="AV1637" s="604" t="n"/>
      <x:c r="AW1637" s="604" t="inlineStr">
        <x:is>
          <x:t xml:space="preserve">2026-10-09T09:01:21.127001+08:00</x:t>
        </x:is>
      </x:c>
      <x:c r="AX1637" s="604" t="inlineStr">
        <x:is>
          <x:t xml:space="preserve">Titan007/V4</x:t>
        </x:is>
      </x:c>
      <x:c r="AY1637" s="604" t="inlineStr">
        <x:is>
          <x:t xml:space="preserve">Daily append；市场输入缺失时不生成决策</x:t>
        </x:is>
      </x:c>
    </x:row>
    <x:row r="1638" ht="22" customHeight="1">
      <x:c r="A1638" s="604" t="inlineStr">
        <x:is>
          <x:t xml:space="preserve">2026-10-09</x:t>
        </x:is>
      </x:c>
      <x:c r="B1638" s="604" t="inlineStr">
        <x:is>
          <x:t xml:space="preserve">2026-10-09T20:00:00+08:00</x:t>
        </x:is>
      </x:c>
      <x:c r="C1638" s="604" t="str">
        <x:v>西亚/中亚系列</x:v>
      </x:c>
      <x:c r="D1638" s="604" t="inlineStr">
        <x:is>
          <x:t xml:space="preserve"/>
        </x:is>
      </x:c>
      <x:c r="E1638" s="604" t="inlineStr">
        <x:is>
          <x:t xml:space="preserve">以乙北</x:t>
        </x:is>
      </x:c>
      <x:c r="F1638" s="604" t="inlineStr">
        <x:is>
          <x:t xml:space="preserve">马卡比艾哈迈德 vs 夏普尔布内慕斯慕斯</x:t>
        </x:is>
      </x:c>
      <x:c r="G1638" s="604" t="n">
        <x:v>0.95</x:v>
      </x:c>
      <x:c r="H1638" s="604" t="n">
        <x:v>-0.25</x:v>
      </x:c>
      <x:c r="I1638" s="604" t="n">
        <x:v>0.85</x:v>
      </x:c>
      <x:c r="J1638" s="604" t="inlineStr">
        <x:is>
          <x:t xml:space="preserve">0.95/-0.25/0.85</x:t>
        </x:is>
      </x:c>
      <x:c r="K1638" s="604" t="inlineStr">
        <x:is>
          <x:t xml:space="preserve">V4-N</x:t>
        </x:is>
      </x:c>
      <x:c r="L1638" s="604" t="inlineStr">
        <x:is>
          <x:t xml:space="preserve"/>
        </x:is>
      </x:c>
      <x:c r="M1638" s="604" t="n">
        <x:v>0.2445696727877301</x:v>
      </x:c>
      <x:c r="N1638" s="604" t="inlineStr">
        <x:is>
          <x:t xml:space="preserve">V4 Shadow Only；real_money=false</x:t>
        </x:is>
      </x:c>
      <x:c r="O1638" s="604" t="inlineStr">
        <x:is>
          <x:t xml:space="preserve">0-0</x:t>
        </x:is>
      </x:c>
      <x:c r="P1638" s="604" t="inlineStr">
        <x:is>
          <x:t xml:space="preserve">EVALUATED</x:t>
        </x:is>
      </x:c>
      <x:c r="Q1638" s="630" t="inlineStr">
        <x:is>
          <x:t xml:space="preserve"/>
        </x:is>
      </x:c>
      <x:c r="R1638" s="604" t="n"/>
      <x:c r="S1638" s="604" t="n"/>
      <x:c r="T1638" s="604" t="inlineStr">
        <x:is>
          <x:t xml:space="preserve">D:\codex\v3_legacy\outputs\football_odds_trader\raw\titan007\20261009\20261009_085232_titan007_odds_snapshot.csv</x:t>
        </x:is>
      </x:c>
      <x:c r="U1638" s="628" t="inlineStr">
        <x:is>
          <x:t xml:space="preserve"/>
        </x:is>
      </x:c>
      <x:c r="V1638" s="604" t="inlineStr">
        <x:is>
          <x:t xml:space="preserve"/>
        </x:is>
      </x:c>
      <x:c r="W1638" s="604" t="inlineStr">
        <x:is>
          <x:t xml:space="preserve"/>
        </x:is>
      </x:c>
      <x:c r="X1638" s="604" t="inlineStr">
        <x:is>
          <x:t xml:space="preserve">3074651</x:t>
        </x:is>
      </x:c>
      <x:c r="Y1638" s="604" t="inlineStr">
        <x:is>
          <x:t xml:space="preserve">V4</x:t>
        </x:is>
      </x:c>
      <x:c r="Z1638" s="604" t="inlineStr">
        <x:is>
          <x:t xml:space="preserve">prior-2026-10-09-v1</x:t>
        </x:is>
      </x:c>
      <x:c r="AA1638" s="604" t="inlineStr">
        <x:is>
          <x:t xml:space="preserve">N</x:t>
        </x:is>
      </x:c>
      <x:c r="AB1638" s="604" t="n">
        <x:v>0.2445696727877301</x:v>
      </x:c>
      <x:c r="AC1638" s="604" t="n">
        <x:v>0.6294818102725113</x:v>
      </x:c>
      <x:c r="AD1638" s="604" t="n">
        <x:v>-0.5</x:v>
      </x:c>
      <x:c r="AE1638" s="604" t="n"/>
      <x:c r="AF1638" s="604" t="n"/>
      <x:c r="AG1638" s="604" t="n">
        <x:v>0.3534380469711554</x:v>
      </x:c>
      <x:c r="AH1638" s="604" t="n"/>
      <x:c r="AI1638" s="604" t="n"/>
      <x:c r="AJ1638" s="604" t="n">
        <x:v>0.3534380469711554</x:v>
      </x:c>
      <x:c r="AK1638" s="604" t="n"/>
      <x:c r="AL1638" s="604" t="n"/>
      <x:c r="AM1638" s="604" t="n"/>
      <x:c r="AN1638" s="604" t="inlineStr">
        <x:is>
          <x:t xml:space="preserve">EVALUATED</x:t>
        </x:is>
      </x:c>
      <x:c r="AO1638" s="604" t="inlineStr">
        <x:is>
          <x:t xml:space="preserve">LOW_QUALITY_GATE;BUCKET_PRIOR_ONLY;INTENT_INTERPRETATION_ONLY;FFL_OPTIONAL;EXPERT_MARKET</x:t>
        </x:is>
      </x:c>
      <x:c r="AP1638" s="604" t="inlineStr">
        <x:is>
          <x:t xml:space="preserve">6be9a88b36513dd65d30</x:t>
        </x:is>
      </x:c>
      <x:c r="AQ1638" s="604" t="n"/>
      <x:c r="AR1638" s="604" t="n"/>
      <x:c r="AS1638" s="604" t="n">
        <x:v>-0.25</x:v>
      </x:c>
      <x:c r="AT1638" s="604" t="n">
        <x:v>0.25</x:v>
      </x:c>
      <x:c r="AU1638" s="604" t="n">
        <x:v>0.95</x:v>
      </x:c>
      <x:c r="AV1638" s="604" t="n">
        <x:v>0.85</x:v>
      </x:c>
      <x:c r="AW1638" s="604" t="inlineStr">
        <x:is>
          <x:t xml:space="preserve">2026-10-09T09:01:21.127001+08:00</x:t>
        </x:is>
      </x:c>
      <x:c r="AX1638" s="604" t="inlineStr">
        <x:is>
          <x:t xml:space="preserve">Titan007/V4</x:t>
        </x:is>
      </x:c>
      <x:c r="AY1638" s="604" t="inlineStr">
        <x:is>
          <x:t xml:space="preserve">Daily append；市场输入缺失时不生成决策</x:t>
        </x:is>
      </x:c>
    </x:row>
    <x:row r="1639" ht="22" customHeight="1">
      <x:c r="A1639" s="604" t="inlineStr">
        <x:is>
          <x:t xml:space="preserve">2026-10-09</x:t>
        </x:is>
      </x:c>
      <x:c r="B1639" s="604" t="inlineStr">
        <x:is>
          <x:t xml:space="preserve">2026-10-09T18:40:00+08:00</x:t>
        </x:is>
      </x:c>
      <x:c r="C1639" s="604" t="str">
        <x:v>西亚/中亚系列</x:v>
      </x:c>
      <x:c r="D1639" s="604" t="inlineStr">
        <x:is>
          <x:t xml:space="preserve"/>
        </x:is>
      </x:c>
      <x:c r="E1639" s="604" t="inlineStr">
        <x:is>
          <x:t xml:space="preserve">以乙北</x:t>
        </x:is>
      </x:c>
      <x:c r="F1639" s="604" t="inlineStr">
        <x:is>
          <x:t xml:space="preserve">基里亚特阿塔比亚里克 vs 艾尔达马卡比</x:t>
        </x:is>
      </x:c>
      <x:c r="G1639" s="604" t="n">
        <x:v>0.95</x:v>
      </x:c>
      <x:c r="H1639" s="604" t="n">
        <x:v>1</x:v>
      </x:c>
      <x:c r="I1639" s="604" t="n">
        <x:v>0.85</x:v>
      </x:c>
      <x:c r="J1639" s="604" t="inlineStr">
        <x:is>
          <x:t xml:space="preserve">0.95/1.0/0.85</x:t>
        </x:is>
      </x:c>
      <x:c r="K1639" s="604" t="inlineStr">
        <x:is>
          <x:t xml:space="preserve">V4-N</x:t>
        </x:is>
      </x:c>
      <x:c r="L1639" s="604" t="inlineStr">
        <x:is>
          <x:t xml:space="preserve"/>
        </x:is>
      </x:c>
      <x:c r="M1639" s="604" t="n">
        <x:v>0.41199729231347</x:v>
      </x:c>
      <x:c r="N1639" s="604" t="inlineStr">
        <x:is>
          <x:t xml:space="preserve">V4 Shadow Only；real_money=false</x:t>
        </x:is>
      </x:c>
      <x:c r="O1639" s="604" t="inlineStr">
        <x:is>
          <x:t xml:space="preserve">0-0</x:t>
        </x:is>
      </x:c>
      <x:c r="P1639" s="604" t="inlineStr">
        <x:is>
          <x:t xml:space="preserve">EVALUATED</x:t>
        </x:is>
      </x:c>
      <x:c r="Q1639" s="630" t="inlineStr">
        <x:is>
          <x:t xml:space="preserve"/>
        </x:is>
      </x:c>
      <x:c r="R1639" s="604" t="n"/>
      <x:c r="S1639" s="604" t="n"/>
      <x:c r="T1639" s="604" t="inlineStr">
        <x:is>
          <x:t xml:space="preserve">D:\codex\v3_legacy\outputs\football_odds_trader\raw\titan007\20261009\20261009_085232_titan007_odds_snapshot.csv</x:t>
        </x:is>
      </x:c>
      <x:c r="U1639" s="628" t="inlineStr">
        <x:is>
          <x:t xml:space="preserve"/>
        </x:is>
      </x:c>
      <x:c r="V1639" s="604" t="inlineStr">
        <x:is>
          <x:t xml:space="preserve"/>
        </x:is>
      </x:c>
      <x:c r="W1639" s="604" t="inlineStr">
        <x:is>
          <x:t xml:space="preserve"/>
        </x:is>
      </x:c>
      <x:c r="X1639" s="604" t="inlineStr">
        <x:is>
          <x:t xml:space="preserve">3074652</x:t>
        </x:is>
      </x:c>
      <x:c r="Y1639" s="604" t="inlineStr">
        <x:is>
          <x:t xml:space="preserve">V4</x:t>
        </x:is>
      </x:c>
      <x:c r="Z1639" s="604" t="inlineStr">
        <x:is>
          <x:t xml:space="preserve">prior-2026-10-09-v1</x:t>
        </x:is>
      </x:c>
      <x:c r="AA1639" s="604" t="inlineStr">
        <x:is>
          <x:t xml:space="preserve">N</x:t>
        </x:is>
      </x:c>
      <x:c r="AB1639" s="604" t="n">
        <x:v>0.41199729231347</x:v>
      </x:c>
      <x:c r="AC1639" s="604" t="n">
        <x:v>0.3313839245729164</x:v>
      </x:c>
      <x:c r="AD1639" s="604" t="n">
        <x:v>1.25</x:v>
      </x:c>
      <x:c r="AE1639" s="604" t="n"/>
      <x:c r="AF1639" s="604" t="n"/>
      <x:c r="AG1639" s="604" t="n">
        <x:v>0.06001350312488002</x:v>
      </x:c>
      <x:c r="AH1639" s="604" t="n"/>
      <x:c r="AI1639" s="604" t="n"/>
      <x:c r="AJ1639" s="604" t="n">
        <x:v>0.06001350312488002</x:v>
      </x:c>
      <x:c r="AK1639" s="604" t="n"/>
      <x:c r="AL1639" s="604" t="n"/>
      <x:c r="AM1639" s="604" t="n"/>
      <x:c r="AN1639" s="604" t="inlineStr">
        <x:is>
          <x:t xml:space="preserve">EVALUATED</x:t>
        </x:is>
      </x:c>
      <x:c r="AO1639" s="604" t="inlineStr">
        <x:is>
          <x:t xml:space="preserve">LOW_QUALITY_GATE;BUCKET_PRIOR_ONLY;INTENT_INTERPRETATION_ONLY;FFL_OPTIONAL;EXPERT_MARKET</x:t>
        </x:is>
      </x:c>
      <x:c r="AP1639" s="604" t="inlineStr">
        <x:is>
          <x:t xml:space="preserve">c8555beb8353889b20bb</x:t>
        </x:is>
      </x:c>
      <x:c r="AQ1639" s="604" t="n"/>
      <x:c r="AR1639" s="604" t="n"/>
      <x:c r="AS1639" s="604" t="n">
        <x:v>1</x:v>
      </x:c>
      <x:c r="AT1639" s="604" t="n">
        <x:v>-1</x:v>
      </x:c>
      <x:c r="AU1639" s="604" t="n">
        <x:v>0.95</x:v>
      </x:c>
      <x:c r="AV1639" s="604" t="n">
        <x:v>0.85</x:v>
      </x:c>
      <x:c r="AW1639" s="604" t="inlineStr">
        <x:is>
          <x:t xml:space="preserve">2026-10-09T09:01:21.127001+08:00</x:t>
        </x:is>
      </x:c>
      <x:c r="AX1639" s="604" t="inlineStr">
        <x:is>
          <x:t xml:space="preserve">Titan007/V4</x:t>
        </x:is>
      </x:c>
      <x:c r="AY1639" s="604" t="inlineStr">
        <x:is>
          <x:t xml:space="preserve">Daily append；市场输入缺失时不生成决策</x:t>
        </x:is>
      </x:c>
    </x:row>
    <x:row r="1640" ht="22" customHeight="1">
      <x:c r="A1640" s="604" t="inlineStr">
        <x:is>
          <x:t xml:space="preserve">2026-10-09</x:t>
        </x:is>
      </x:c>
      <x:c r="B1640" s="604" t="inlineStr">
        <x:is>
          <x:t xml:space="preserve">2026-10-09T18:00:00+08:00</x:t>
        </x:is>
      </x:c>
      <x:c r="C1640" s="604" t="str">
        <x:v>西亚/中亚系列</x:v>
      </x:c>
      <x:c r="D1640" s="604" t="inlineStr">
        <x:is>
          <x:t xml:space="preserve"/>
        </x:is>
      </x:c>
      <x:c r="E1640" s="604" t="inlineStr">
        <x:is>
          <x:t xml:space="preserve">以乙北</x:t>
        </x:is>
      </x:c>
      <x:c r="F1640" s="604" t="inlineStr">
        <x:is>
          <x:t xml:space="preserve">贝塔纳哈里亚 vs 夏普尔乌姆法咸姆</x:t>
        </x:is>
      </x:c>
      <x:c r="G1640" s="604" t="n">
        <x:v>0.92</x:v>
      </x:c>
      <x:c r="H1640" s="604" t="n">
        <x:v>0.75</x:v>
      </x:c>
      <x:c r="I1640" s="604" t="n">
        <x:v>0.78</x:v>
      </x:c>
      <x:c r="J1640" s="604" t="inlineStr">
        <x:is>
          <x:t xml:space="preserve">0.92/0.75/0.78</x:t>
        </x:is>
      </x:c>
      <x:c r="K1640" s="604" t="inlineStr">
        <x:is>
          <x:t xml:space="preserve">V4-N</x:t>
        </x:is>
      </x:c>
      <x:c r="L1640" s="604" t="inlineStr">
        <x:is>
          <x:t xml:space="preserve"/>
        </x:is>
      </x:c>
      <x:c r="M1640" s="604" t="n">
        <x:v>0.4838546832904425</x:v>
      </x:c>
      <x:c r="N1640" s="604" t="inlineStr">
        <x:is>
          <x:t xml:space="preserve">V4 Shadow Only；real_money=false</x:t>
        </x:is>
      </x:c>
      <x:c r="O1640" s="604" t="inlineStr">
        <x:is>
          <x:t xml:space="preserve">0-0</x:t>
        </x:is>
      </x:c>
      <x:c r="P1640" s="604" t="inlineStr">
        <x:is>
          <x:t xml:space="preserve">EVALUATED</x:t>
        </x:is>
      </x:c>
      <x:c r="Q1640" s="630" t="inlineStr">
        <x:is>
          <x:t xml:space="preserve"/>
        </x:is>
      </x:c>
      <x:c r="R1640" s="604" t="n"/>
      <x:c r="S1640" s="604" t="n"/>
      <x:c r="T1640" s="604" t="inlineStr">
        <x:is>
          <x:t xml:space="preserve">D:\codex\v3_legacy\outputs\football_odds_trader\raw\titan007\20261009\20261009_085232_titan007_odds_snapshot.csv</x:t>
        </x:is>
      </x:c>
      <x:c r="U1640" s="628" t="inlineStr">
        <x:is>
          <x:t xml:space="preserve"/>
        </x:is>
      </x:c>
      <x:c r="V1640" s="604" t="inlineStr">
        <x:is>
          <x:t xml:space="preserve"/>
        </x:is>
      </x:c>
      <x:c r="W1640" s="604" t="inlineStr">
        <x:is>
          <x:t xml:space="preserve"/>
        </x:is>
      </x:c>
      <x:c r="X1640" s="604" t="inlineStr">
        <x:is>
          <x:t xml:space="preserve">3074654</x:t>
        </x:is>
      </x:c>
      <x:c r="Y1640" s="604" t="inlineStr">
        <x:is>
          <x:t xml:space="preserve">V4</x:t>
        </x:is>
      </x:c>
      <x:c r="Z1640" s="604" t="inlineStr">
        <x:is>
          <x:t xml:space="preserve">prior-2026-10-09-v1</x:t>
        </x:is>
      </x:c>
      <x:c r="AA1640" s="604" t="inlineStr">
        <x:is>
          <x:t xml:space="preserve">N</x:t>
        </x:is>
      </x:c>
      <x:c r="AB1640" s="604" t="n">
        <x:v>0.4838546832904425</x:v>
      </x:c>
      <x:c r="AC1640" s="604" t="n">
        <x:v>0.3886032280859633</x:v>
      </x:c>
      <x:c r="AD1640" s="604" t="n">
        <x:v>1</x:v>
      </x:c>
      <x:c r="AE1640" s="604" t="n"/>
      <x:c r="AF1640" s="604" t="n"/>
      <x:c r="AG1640" s="604" t="n">
        <x:v>0.0565430805412438</x:v>
      </x:c>
      <x:c r="AH1640" s="604" t="n"/>
      <x:c r="AI1640" s="604" t="n"/>
      <x:c r="AJ1640" s="604" t="n">
        <x:v>0.0565430805412438</x:v>
      </x:c>
      <x:c r="AK1640" s="604" t="n"/>
      <x:c r="AL1640" s="604" t="n"/>
      <x:c r="AM1640" s="604" t="n"/>
      <x:c r="AN1640" s="604" t="inlineStr">
        <x:is>
          <x:t xml:space="preserve">EVALUATED</x:t>
        </x:is>
      </x:c>
      <x:c r="AO1640" s="604" t="inlineStr">
        <x:is>
          <x:t xml:space="preserve">LOW_QUALITY_GATE;BUCKET_PRIOR_ONLY;INTENT_INTERPRETATION_ONLY;FFL_OPTIONAL;EXPERT_MARKET</x:t>
        </x:is>
      </x:c>
      <x:c r="AP1640" s="604" t="inlineStr">
        <x:is>
          <x:t xml:space="preserve">ae3c0cab556ecc911b2b</x:t>
        </x:is>
      </x:c>
      <x:c r="AQ1640" s="604" t="n"/>
      <x:c r="AR1640" s="604" t="n"/>
      <x:c r="AS1640" s="604" t="n">
        <x:v>0.75</x:v>
      </x:c>
      <x:c r="AT1640" s="604" t="n">
        <x:v>-0.75</x:v>
      </x:c>
      <x:c r="AU1640" s="604" t="n">
        <x:v>0.92</x:v>
      </x:c>
      <x:c r="AV1640" s="604" t="n">
        <x:v>0.78</x:v>
      </x:c>
      <x:c r="AW1640" s="604" t="inlineStr">
        <x:is>
          <x:t xml:space="preserve">2026-10-09T09:01:21.127001+08:00</x:t>
        </x:is>
      </x:c>
      <x:c r="AX1640" s="604" t="inlineStr">
        <x:is>
          <x:t xml:space="preserve">Titan007/V4</x:t>
        </x:is>
      </x:c>
      <x:c r="AY1640" s="604" t="inlineStr">
        <x:is>
          <x:t xml:space="preserve">Daily append；市场输入缺失时不生成决策</x:t>
        </x:is>
      </x:c>
    </x:row>
    <x:row r="1641" ht="22" customHeight="1">
      <x:c r="A1641" s="604" t="inlineStr">
        <x:is>
          <x:t xml:space="preserve">2026-10-09</x:t>
        </x:is>
      </x:c>
      <x:c r="B1641" s="604" t="inlineStr">
        <x:is>
          <x:t xml:space="preserve">2026-10-09T17:00:00+08:00</x:t>
        </x:is>
      </x:c>
      <x:c r="C1641" s="604" t="str">
        <x:v>西亚/中亚系列</x:v>
      </x:c>
      <x:c r="D1641" s="604" t="inlineStr">
        <x:is>
          <x:t xml:space="preserve"/>
        </x:is>
      </x:c>
      <x:c r="E1641" s="604" t="inlineStr">
        <x:is>
          <x:t xml:space="preserve">以乙南</x:t>
        </x:is>
      </x:c>
      <x:c r="F1641" s="604" t="inlineStr">
        <x:is>
          <x:t xml:space="preserve">MS耶路撒冷 vs 玛拉基亚</x:t>
        </x:is>
      </x:c>
      <x:c r="G1641" s="604" t="n">
        <x:v>0.9</x:v>
      </x:c>
      <x:c r="H1641" s="604" t="n">
        <x:v>0.5</x:v>
      </x:c>
      <x:c r="I1641" s="604" t="n">
        <x:v>0.9</x:v>
      </x:c>
      <x:c r="J1641" s="604" t="inlineStr">
        <x:is>
          <x:t xml:space="preserve">0.9/0.5/0.9</x:t>
        </x:is>
      </x:c>
      <x:c r="K1641" s="604" t="inlineStr">
        <x:is>
          <x:t xml:space="preserve">V4-N</x:t>
        </x:is>
      </x:c>
      <x:c r="L1641" s="604" t="inlineStr">
        <x:is>
          <x:t xml:space="preserve"/>
        </x:is>
      </x:c>
      <x:c r="M1641" s="604" t="n">
        <x:v>0.560608494858699</x:v>
      </x:c>
      <x:c r="N1641" s="604" t="inlineStr">
        <x:is>
          <x:t xml:space="preserve">V4 Shadow Only；real_money=false</x:t>
        </x:is>
      </x:c>
      <x:c r="O1641" s="604" t="inlineStr">
        <x:is>
          <x:t xml:space="preserve">0-0</x:t>
        </x:is>
      </x:c>
      <x:c r="P1641" s="604" t="inlineStr">
        <x:is>
          <x:t xml:space="preserve">EVALUATED</x:t>
        </x:is>
      </x:c>
      <x:c r="Q1641" s="630" t="inlineStr">
        <x:is>
          <x:t xml:space="preserve"/>
        </x:is>
      </x:c>
      <x:c r="R1641" s="604" t="n"/>
      <x:c r="S1641" s="604" t="n"/>
      <x:c r="T1641" s="604" t="inlineStr">
        <x:is>
          <x:t xml:space="preserve">D:\codex\v3_legacy\outputs\football_odds_trader\raw\titan007\20261009\20261009_085232_titan007_odds_snapshot.csv</x:t>
        </x:is>
      </x:c>
      <x:c r="U1641" s="628" t="inlineStr">
        <x:is>
          <x:t xml:space="preserve"/>
        </x:is>
      </x:c>
      <x:c r="V1641" s="604" t="inlineStr">
        <x:is>
          <x:t xml:space="preserve"/>
        </x:is>
      </x:c>
      <x:c r="W1641" s="604" t="inlineStr">
        <x:is>
          <x:t xml:space="preserve"/>
        </x:is>
      </x:c>
      <x:c r="X1641" s="604" t="inlineStr">
        <x:is>
          <x:t xml:space="preserve">3074955</x:t>
        </x:is>
      </x:c>
      <x:c r="Y1641" s="604" t="inlineStr">
        <x:is>
          <x:t xml:space="preserve">V4</x:t>
        </x:is>
      </x:c>
      <x:c r="Z1641" s="604" t="inlineStr">
        <x:is>
          <x:t xml:space="preserve">prior-2026-10-09-v1</x:t>
        </x:is>
      </x:c>
      <x:c r="AA1641" s="604" t="inlineStr">
        <x:is>
          <x:t xml:space="preserve">N</x:t>
        </x:is>
      </x:c>
      <x:c r="AB1641" s="604" t="n">
        <x:v>0.560608494858699</x:v>
      </x:c>
      <x:c r="AC1641" s="604" t="n">
        <x:v>0.4393915051413009</x:v>
      </x:c>
      <x:c r="AD1641" s="604" t="n">
        <x:v>0.75</x:v>
      </x:c>
      <x:c r="AE1641" s="604" t="n"/>
      <x:c r="AF1641" s="604" t="n"/>
      <x:c r="AG1641" s="604" t="n">
        <x:v>0.06515614023152821</x:v>
      </x:c>
      <x:c r="AH1641" s="604" t="n"/>
      <x:c r="AI1641" s="604" t="n"/>
      <x:c r="AJ1641" s="604" t="n">
        <x:v>0.06515614023152821</x:v>
      </x:c>
      <x:c r="AK1641" s="604" t="n"/>
      <x:c r="AL1641" s="604" t="n"/>
      <x:c r="AM1641" s="604" t="n"/>
      <x:c r="AN1641" s="604" t="inlineStr">
        <x:is>
          <x:t xml:space="preserve">EVALUATED</x:t>
        </x:is>
      </x:c>
      <x:c r="AO1641" s="604" t="inlineStr">
        <x:is>
          <x:t xml:space="preserve">LOW_QUALITY_GATE;BUCKET_PRIOR_ONLY;INTENT_INTERPRETATION_ONLY;FFL_OPTIONAL;EXPERT_MARKET</x:t>
        </x:is>
      </x:c>
      <x:c r="AP1641" s="604" t="inlineStr">
        <x:is>
          <x:t xml:space="preserve">abf04c1eb1c1cd609dcc</x:t>
        </x:is>
      </x:c>
      <x:c r="AQ1641" s="604" t="n"/>
      <x:c r="AR1641" s="604" t="n"/>
      <x:c r="AS1641" s="604" t="n">
        <x:v>0.5</x:v>
      </x:c>
      <x:c r="AT1641" s="604" t="n">
        <x:v>-0.5</x:v>
      </x:c>
      <x:c r="AU1641" s="604" t="n">
        <x:v>0.9</x:v>
      </x:c>
      <x:c r="AV1641" s="604" t="n">
        <x:v>0.9</x:v>
      </x:c>
      <x:c r="AW1641" s="604" t="inlineStr">
        <x:is>
          <x:t xml:space="preserve">2026-10-09T09:01:21.127001+08:00</x:t>
        </x:is>
      </x:c>
      <x:c r="AX1641" s="604" t="inlineStr">
        <x:is>
          <x:t xml:space="preserve">Titan007/V4</x:t>
        </x:is>
      </x:c>
      <x:c r="AY1641" s="604" t="inlineStr">
        <x:is>
          <x:t xml:space="preserve">Daily append；市场输入缺失时不生成决策</x:t>
        </x:is>
      </x:c>
    </x:row>
    <x:row r="1642" ht="22" customHeight="1">
      <x:c r="A1642" s="604" t="inlineStr">
        <x:is>
          <x:t xml:space="preserve">2026-10-09</x:t>
        </x:is>
      </x:c>
      <x:c r="B1642" s="604" t="inlineStr">
        <x:is>
          <x:t xml:space="preserve">2026-10-09T18:00:00+08:00</x:t>
        </x:is>
      </x:c>
      <x:c r="C1642" s="604" t="str">
        <x:v>西亚/中亚系列</x:v>
      </x:c>
      <x:c r="D1642" s="604" t="inlineStr">
        <x:is>
          <x:t xml:space="preserve"/>
        </x:is>
      </x:c>
      <x:c r="E1642" s="604" t="inlineStr">
        <x:is>
          <x:t xml:space="preserve">以乙南</x:t>
        </x:is>
      </x:c>
      <x:c r="F1642" s="604" t="inlineStr">
        <x:is>
          <x:t xml:space="preserve">拜特西蒙 vs 泽里提拉</x:t>
        </x:is>
      </x:c>
      <x:c r="G1642" s="604" t="n">
        <x:v>0.9</x:v>
      </x:c>
      <x:c r="H1642" s="604" t="n">
        <x:v>0.5</x:v>
      </x:c>
      <x:c r="I1642" s="604" t="n">
        <x:v>0.8</x:v>
      </x:c>
      <x:c r="J1642" s="604" t="inlineStr">
        <x:is>
          <x:t xml:space="preserve">0.9/0.5/0.8</x:t>
        </x:is>
      </x:c>
      <x:c r="K1642" s="604" t="inlineStr">
        <x:is>
          <x:t xml:space="preserve">V4-N</x:t>
        </x:is>
      </x:c>
      <x:c r="L1642" s="604" t="inlineStr">
        <x:is>
          <x:t xml:space="preserve"/>
        </x:is>
      </x:c>
      <x:c r="M1642" s="604" t="n">
        <x:v>0.5187796675977663</x:v>
      </x:c>
      <x:c r="N1642" s="604" t="inlineStr">
        <x:is>
          <x:t xml:space="preserve">V4 Shadow Only；real_money=false</x:t>
        </x:is>
      </x:c>
      <x:c r="O1642" s="604" t="inlineStr">
        <x:is>
          <x:t xml:space="preserve">0-0</x:t>
        </x:is>
      </x:c>
      <x:c r="P1642" s="604" t="inlineStr">
        <x:is>
          <x:t xml:space="preserve">EVALUATED</x:t>
        </x:is>
      </x:c>
      <x:c r="Q1642" s="630" t="inlineStr">
        <x:is>
          <x:t xml:space="preserve"/>
        </x:is>
      </x:c>
      <x:c r="R1642" s="604" t="n"/>
      <x:c r="S1642" s="604" t="n"/>
      <x:c r="T1642" s="604" t="inlineStr">
        <x:is>
          <x:t xml:space="preserve">D:\codex\v3_legacy\outputs\football_odds_trader\raw\titan007\20261009\20261009_085232_titan007_odds_snapshot.csv</x:t>
        </x:is>
      </x:c>
      <x:c r="U1642" s="628" t="inlineStr">
        <x:is>
          <x:t xml:space="preserve"/>
        </x:is>
      </x:c>
      <x:c r="V1642" s="604" t="inlineStr">
        <x:is>
          <x:t xml:space="preserve"/>
        </x:is>
      </x:c>
      <x:c r="W1642" s="604" t="inlineStr">
        <x:is>
          <x:t xml:space="preserve"/>
        </x:is>
      </x:c>
      <x:c r="X1642" s="604" t="inlineStr">
        <x:is>
          <x:t xml:space="preserve">3074957</x:t>
        </x:is>
      </x:c>
      <x:c r="Y1642" s="604" t="inlineStr">
        <x:is>
          <x:t xml:space="preserve">V4</x:t>
        </x:is>
      </x:c>
      <x:c r="Z1642" s="604" t="inlineStr">
        <x:is>
          <x:t xml:space="preserve">prior-2026-10-09-v1</x:t>
        </x:is>
      </x:c>
      <x:c r="AA1642" s="604" t="inlineStr">
        <x:is>
          <x:t xml:space="preserve">N</x:t>
        </x:is>
      </x:c>
      <x:c r="AB1642" s="604" t="n">
        <x:v>0.5187796675977663</x:v>
      </x:c>
      <x:c r="AC1642" s="604" t="n">
        <x:v>0.4812203324022337</x:v>
      </x:c>
      <x:c r="AD1642" s="604" t="n">
        <x:v>0.5</x:v>
      </x:c>
      <x:c r="AE1642" s="604" t="n"/>
      <x:c r="AF1642" s="604" t="n"/>
      <x:c r="AG1642" s="604" t="n">
        <x:v>-0.01431863156424401</x:v>
      </x:c>
      <x:c r="AH1642" s="604" t="n"/>
      <x:c r="AI1642" s="604" t="n"/>
      <x:c r="AJ1642" s="604" t="n">
        <x:v>-0.01431863156424401</x:v>
      </x:c>
      <x:c r="AK1642" s="604" t="n"/>
      <x:c r="AL1642" s="604" t="n"/>
      <x:c r="AM1642" s="604" t="n"/>
      <x:c r="AN1642" s="604" t="inlineStr">
        <x:is>
          <x:t xml:space="preserve">EVALUATED</x:t>
        </x:is>
      </x:c>
      <x:c r="AO1642" s="604" t="inlineStr">
        <x:is>
          <x:t xml:space="preserve">EDGE_BELOW_UNCERTAINTY_THRESHOLD;BUCKET_PRIOR_ONLY;INTENT_INTERPRETATION_ONLY;FFL_OPTIONAL;EXPERT_MARKET</x:t>
        </x:is>
      </x:c>
      <x:c r="AP1642" s="604" t="inlineStr">
        <x:is>
          <x:t xml:space="preserve">225e2abcc81aeae6df8c</x:t>
        </x:is>
      </x:c>
      <x:c r="AQ1642" s="604" t="n"/>
      <x:c r="AR1642" s="604" t="n"/>
      <x:c r="AS1642" s="604" t="n">
        <x:v>0.5</x:v>
      </x:c>
      <x:c r="AT1642" s="604" t="n">
        <x:v>-0.5</x:v>
      </x:c>
      <x:c r="AU1642" s="604" t="n">
        <x:v>0.9</x:v>
      </x:c>
      <x:c r="AV1642" s="604" t="n">
        <x:v>0.8</x:v>
      </x:c>
      <x:c r="AW1642" s="604" t="inlineStr">
        <x:is>
          <x:t xml:space="preserve">2026-10-09T09:01:21.127001+08:00</x:t>
        </x:is>
      </x:c>
      <x:c r="AX1642" s="604" t="inlineStr">
        <x:is>
          <x:t xml:space="preserve">Titan007/V4</x:t>
        </x:is>
      </x:c>
      <x:c r="AY1642" s="604" t="inlineStr">
        <x:is>
          <x:t xml:space="preserve">Daily append；市场输入缺失时不生成决策</x:t>
        </x:is>
      </x:c>
    </x:row>
    <x:row r="1643" ht="22" customHeight="1">
      <x:c r="A1643" s="604" t="inlineStr">
        <x:is>
          <x:t xml:space="preserve">2026-10-09</x:t>
        </x:is>
      </x:c>
      <x:c r="B1643" s="604" t="inlineStr">
        <x:is>
          <x:t xml:space="preserve">2026-10-09T18:30:00+08:00</x:t>
        </x:is>
      </x:c>
      <x:c r="C1643" s="604" t="str">
        <x:v>西亚/中亚系列</x:v>
      </x:c>
      <x:c r="D1643" s="604" t="inlineStr">
        <x:is>
          <x:t xml:space="preserve"/>
        </x:is>
      </x:c>
      <x:c r="E1643" s="604" t="inlineStr">
        <x:is>
          <x:t xml:space="preserve">以乙南</x:t>
        </x:is>
      </x:c>
      <x:c r="F1643" s="604" t="inlineStr">
        <x:is>
          <x:t xml:space="preserve">哈迪拉 vs 亚夫涅英</x:t>
        </x:is>
      </x:c>
      <x:c r="G1643" s="604" t="n">
        <x:v>0.73</x:v>
      </x:c>
      <x:c r="H1643" s="604" t="n">
        <x:v>-0.25</x:v>
      </x:c>
      <x:c r="I1643" s="604" t="n">
        <x:v>0.97</x:v>
      </x:c>
      <x:c r="J1643" s="604" t="inlineStr">
        <x:is>
          <x:t xml:space="preserve">0.73/-0.25/0.97</x:t>
        </x:is>
      </x:c>
      <x:c r="K1643" s="604" t="inlineStr">
        <x:is>
          <x:t xml:space="preserve">V4-N</x:t>
        </x:is>
      </x:c>
      <x:c r="L1643" s="604" t="inlineStr">
        <x:is>
          <x:t xml:space="preserve"/>
        </x:is>
      </x:c>
      <x:c r="M1643" s="604" t="n">
        <x:v>0.3089570801730042</x:v>
      </x:c>
      <x:c r="N1643" s="604" t="inlineStr">
        <x:is>
          <x:t xml:space="preserve">V4 Shadow Only；real_money=false</x:t>
        </x:is>
      </x:c>
      <x:c r="O1643" s="604" t="inlineStr">
        <x:is>
          <x:t xml:space="preserve">0-0</x:t>
        </x:is>
      </x:c>
      <x:c r="P1643" s="604" t="inlineStr">
        <x:is>
          <x:t xml:space="preserve">EVALUATED</x:t>
        </x:is>
      </x:c>
      <x:c r="Q1643" s="630" t="inlineStr">
        <x:is>
          <x:t xml:space="preserve"/>
        </x:is>
      </x:c>
      <x:c r="R1643" s="604" t="n"/>
      <x:c r="S1643" s="604" t="n"/>
      <x:c r="T1643" s="604" t="inlineStr">
        <x:is>
          <x:t xml:space="preserve">D:\codex\v3_legacy\outputs\football_odds_trader\raw\titan007\20261009\20261009_085232_titan007_odds_snapshot.csv</x:t>
        </x:is>
      </x:c>
      <x:c r="U1643" s="628" t="inlineStr">
        <x:is>
          <x:t xml:space="preserve"/>
        </x:is>
      </x:c>
      <x:c r="V1643" s="604" t="inlineStr">
        <x:is>
          <x:t xml:space="preserve"/>
        </x:is>
      </x:c>
      <x:c r="W1643" s="604" t="inlineStr">
        <x:is>
          <x:t xml:space="preserve"/>
        </x:is>
      </x:c>
      <x:c r="X1643" s="604" t="inlineStr">
        <x:is>
          <x:t xml:space="preserve">3074958</x:t>
        </x:is>
      </x:c>
      <x:c r="Y1643" s="604" t="inlineStr">
        <x:is>
          <x:t xml:space="preserve">V4</x:t>
        </x:is>
      </x:c>
      <x:c r="Z1643" s="604" t="inlineStr">
        <x:is>
          <x:t xml:space="preserve">prior-2026-10-09-v1</x:t>
        </x:is>
      </x:c>
      <x:c r="AA1643" s="604" t="inlineStr">
        <x:is>
          <x:t xml:space="preserve">N</x:t>
        </x:is>
      </x:c>
      <x:c r="AB1643" s="604" t="n">
        <x:v>0.3089570801730042</x:v>
      </x:c>
      <x:c r="AC1643" s="604" t="n">
        <x:v>0.5600296447622206</x:v>
      </x:c>
      <x:c r="AD1643" s="604" t="n">
        <x:v>-0.25</x:v>
      </x:c>
      <x:c r="AE1643" s="604" t="n"/>
      <x:c r="AF1643" s="604" t="n"/>
      <x:c r="AG1643" s="604" t="n">
        <x:v>0.09986456050341685</x:v>
      </x:c>
      <x:c r="AH1643" s="604" t="n"/>
      <x:c r="AI1643" s="604" t="n"/>
      <x:c r="AJ1643" s="604" t="n">
        <x:v>0.09986456050341685</x:v>
      </x:c>
      <x:c r="AK1643" s="604" t="n"/>
      <x:c r="AL1643" s="604" t="n"/>
      <x:c r="AM1643" s="604" t="n"/>
      <x:c r="AN1643" s="604" t="inlineStr">
        <x:is>
          <x:t xml:space="preserve">EVALUATED</x:t>
        </x:is>
      </x:c>
      <x:c r="AO1643" s="604" t="inlineStr">
        <x:is>
          <x:t xml:space="preserve">LOW_QUALITY_GATE;BUCKET_PRIOR_ONLY;INTENT_INTERPRETATION_ONLY;FFL_OPTIONAL;EXPERT_MARKET</x:t>
        </x:is>
      </x:c>
      <x:c r="AP1643" s="604" t="inlineStr">
        <x:is>
          <x:t xml:space="preserve">d4024fea6ba5bf6f2f5d</x:t>
        </x:is>
      </x:c>
      <x:c r="AQ1643" s="604" t="n"/>
      <x:c r="AR1643" s="604" t="n"/>
      <x:c r="AS1643" s="604" t="n">
        <x:v>-0.25</x:v>
      </x:c>
      <x:c r="AT1643" s="604" t="n">
        <x:v>0.25</x:v>
      </x:c>
      <x:c r="AU1643" s="604" t="n">
        <x:v>0.73</x:v>
      </x:c>
      <x:c r="AV1643" s="604" t="n">
        <x:v>0.97</x:v>
      </x:c>
      <x:c r="AW1643" s="604" t="inlineStr">
        <x:is>
          <x:t xml:space="preserve">2026-10-09T09:01:21.127001+08:00</x:t>
        </x:is>
      </x:c>
      <x:c r="AX1643" s="604" t="inlineStr">
        <x:is>
          <x:t xml:space="preserve">Titan007/V4</x:t>
        </x:is>
      </x:c>
      <x:c r="AY1643" s="604" t="inlineStr">
        <x:is>
          <x:t xml:space="preserve">Daily append；市场输入缺失时不生成决策</x:t>
        </x:is>
      </x:c>
    </x:row>
    <x:row r="1644" ht="22" customHeight="1">
      <x:c r="A1644" s="604" t="inlineStr">
        <x:is>
          <x:t xml:space="preserve">2026-10-09</x:t>
        </x:is>
      </x:c>
      <x:c r="B1644" s="604" t="inlineStr">
        <x:is>
          <x:t xml:space="preserve">2026-10-09T18:35:00+08:00</x:t>
        </x:is>
      </x:c>
      <x:c r="C1644" s="604" t="str">
        <x:v>西亚/中亚系列</x:v>
      </x:c>
      <x:c r="D1644" s="604" t="inlineStr">
        <x:is>
          <x:t xml:space="preserve"/>
        </x:is>
      </x:c>
      <x:c r="E1644" s="604" t="inlineStr">
        <x:is>
          <x:t xml:space="preserve">以乙南</x:t>
        </x:is>
      </x:c>
      <x:c r="F1644" s="604" t="inlineStr">
        <x:is>
          <x:t xml:space="preserve">迪莫纳体育 vs 斯德罗</x:t>
        </x:is>
      </x:c>
      <x:c r="G1644" s="604" t="n">
        <x:v>0.85</x:v>
      </x:c>
      <x:c r="H1644" s="604" t="n">
        <x:v>0.25</x:v>
      </x:c>
      <x:c r="I1644" s="604" t="n">
        <x:v>0.85</x:v>
      </x:c>
      <x:c r="J1644" s="604" t="inlineStr">
        <x:is>
          <x:t xml:space="preserve">0.85/0.25/0.85</x:t>
        </x:is>
      </x:c>
      <x:c r="K1644" s="604" t="inlineStr">
        <x:is>
          <x:t xml:space="preserve">V4-N</x:t>
        </x:is>
      </x:c>
      <x:c r="L1644" s="604" t="inlineStr">
        <x:is>
          <x:t xml:space="preserve"/>
        </x:is>
      </x:c>
      <x:c r="M1644" s="604" t="n">
        <x:v>0.4736111972470792</x:v>
      </x:c>
      <x:c r="N1644" s="604" t="inlineStr">
        <x:is>
          <x:t xml:space="preserve">V4 Shadow Only；real_money=false</x:t>
        </x:is>
      </x:c>
      <x:c r="O1644" s="604" t="inlineStr">
        <x:is>
          <x:t xml:space="preserve">0-0</x:t>
        </x:is>
      </x:c>
      <x:c r="P1644" s="604" t="inlineStr">
        <x:is>
          <x:t xml:space="preserve">EVALUATED</x:t>
        </x:is>
      </x:c>
      <x:c r="Q1644" s="630" t="inlineStr">
        <x:is>
          <x:t xml:space="preserve"/>
        </x:is>
      </x:c>
      <x:c r="R1644" s="604" t="n"/>
      <x:c r="S1644" s="604" t="n"/>
      <x:c r="T1644" s="604" t="inlineStr">
        <x:is>
          <x:t xml:space="preserve">D:\codex\v3_legacy\outputs\football_odds_trader\raw\titan007\20261009\20261009_085232_titan007_odds_snapshot.csv</x:t>
        </x:is>
      </x:c>
      <x:c r="U1644" s="628" t="inlineStr">
        <x:is>
          <x:t xml:space="preserve"/>
        </x:is>
      </x:c>
      <x:c r="V1644" s="604" t="inlineStr">
        <x:is>
          <x:t xml:space="preserve"/>
        </x:is>
      </x:c>
      <x:c r="W1644" s="604" t="inlineStr">
        <x:is>
          <x:t xml:space="preserve"/>
        </x:is>
      </x:c>
      <x:c r="X1644" s="604" t="inlineStr">
        <x:is>
          <x:t xml:space="preserve">3074960</x:t>
        </x:is>
      </x:c>
      <x:c r="Y1644" s="604" t="inlineStr">
        <x:is>
          <x:t xml:space="preserve">V4</x:t>
        </x:is>
      </x:c>
      <x:c r="Z1644" s="604" t="inlineStr">
        <x:is>
          <x:t xml:space="preserve">prior-2026-10-09-v1</x:t>
        </x:is>
      </x:c>
      <x:c r="AA1644" s="604" t="inlineStr">
        <x:is>
          <x:t xml:space="preserve">N</x:t>
        </x:is>
      </x:c>
      <x:c r="AB1644" s="604" t="n">
        <x:v>0.4736111972470792</x:v>
      </x:c>
      <x:c r="AC1644" s="604" t="n">
        <x:v>0.3976651302648866</x:v>
      </x:c>
      <x:c r="AD1644" s="604" t="n">
        <x:v>0.5</x:v>
      </x:c>
      <x:c r="AE1644" s="604" t="n"/>
      <x:c r="AF1644" s="604" t="n"/>
      <x:c r="AG1644" s="604" t="n">
        <x:v>0.004904387395130771</x:v>
      </x:c>
      <x:c r="AH1644" s="604" t="n"/>
      <x:c r="AI1644" s="604" t="n"/>
      <x:c r="AJ1644" s="604" t="n">
        <x:v>0.004904387395130771</x:v>
      </x:c>
      <x:c r="AK1644" s="604" t="n"/>
      <x:c r="AL1644" s="604" t="n"/>
      <x:c r="AM1644" s="604" t="n"/>
      <x:c r="AN1644" s="604" t="inlineStr">
        <x:is>
          <x:t xml:space="preserve">EVALUATED</x:t>
        </x:is>
      </x:c>
      <x:c r="AO1644" s="604" t="inlineStr">
        <x:is>
          <x:t xml:space="preserve">EDGE_BELOW_UNCERTAINTY_THRESHOLD;BUCKET_PRIOR_ONLY;INTENT_INTERPRETATION_ONLY;FFL_OPTIONAL;EXPERT_MARKET</x:t>
        </x:is>
      </x:c>
      <x:c r="AP1644" s="604" t="inlineStr">
        <x:is>
          <x:t xml:space="preserve">e36c24c973e3e319d9a6</x:t>
        </x:is>
      </x:c>
      <x:c r="AQ1644" s="604" t="n"/>
      <x:c r="AR1644" s="604" t="n"/>
      <x:c r="AS1644" s="604" t="n">
        <x:v>0.25</x:v>
      </x:c>
      <x:c r="AT1644" s="604" t="n">
        <x:v>-0.25</x:v>
      </x:c>
      <x:c r="AU1644" s="604" t="n">
        <x:v>0.85</x:v>
      </x:c>
      <x:c r="AV1644" s="604" t="n">
        <x:v>0.85</x:v>
      </x:c>
      <x:c r="AW1644" s="604" t="inlineStr">
        <x:is>
          <x:t xml:space="preserve">2026-10-09T09:01:21.127001+08:00</x:t>
        </x:is>
      </x:c>
      <x:c r="AX1644" s="604" t="inlineStr">
        <x:is>
          <x:t xml:space="preserve">Titan007/V4</x:t>
        </x:is>
      </x:c>
      <x:c r="AY1644" s="604" t="inlineStr">
        <x:is>
          <x:t xml:space="preserve">Daily append；市场输入缺失时不生成决策</x:t>
        </x:is>
      </x:c>
    </x:row>
    <x:row r="1645" ht="22" customHeight="1">
      <x:c r="A1645" s="604" t="inlineStr">
        <x:is>
          <x:t xml:space="preserve">2026-10-09</x:t>
        </x:is>
      </x:c>
      <x:c r="B1645" s="604" t="inlineStr">
        <x:is>
          <x:t xml:space="preserve">2026-10-09T18:30:00+08:00</x:t>
        </x:is>
      </x:c>
      <x:c r="C1645" s="604" t="str">
        <x:v>西亚/中亚系列</x:v>
      </x:c>
      <x:c r="D1645" s="604" t="inlineStr">
        <x:is>
          <x:t xml:space="preserve"/>
        </x:is>
      </x:c>
      <x:c r="E1645" s="604" t="inlineStr">
        <x:is>
          <x:t xml:space="preserve">以乙南</x:t>
        </x:is>
      </x:c>
      <x:c r="F1645" s="604" t="inlineStr">
        <x:is>
          <x:t xml:space="preserve">辛桑特拉维夫 vs 萨巴1928</x:t>
        </x:is>
      </x:c>
      <x:c r="G1645" s="604" t="n">
        <x:v>0.74</x:v>
      </x:c>
      <x:c r="H1645" s="604" t="n">
        <x:v>0.25</x:v>
      </x:c>
      <x:c r="I1645" s="604" t="n">
        <x:v>0.96</x:v>
      </x:c>
      <x:c r="J1645" s="604" t="inlineStr">
        <x:is>
          <x:t xml:space="preserve">0.74/0.25/0.96</x:t>
        </x:is>
      </x:c>
      <x:c r="K1645" s="604" t="inlineStr">
        <x:is>
          <x:t xml:space="preserve">V4-N</x:t>
        </x:is>
      </x:c>
      <x:c r="L1645" s="604" t="inlineStr">
        <x:is>
          <x:t xml:space="preserve"/>
        </x:is>
      </x:c>
      <x:c r="M1645" s="604" t="n">
        <x:v>0.497596857120961</x:v>
      </x:c>
      <x:c r="N1645" s="604" t="inlineStr">
        <x:is>
          <x:t xml:space="preserve">V4 Shadow Only；real_money=false</x:t>
        </x:is>
      </x:c>
      <x:c r="O1645" s="604" t="inlineStr">
        <x:is>
          <x:t xml:space="preserve">0-0</x:t>
        </x:is>
      </x:c>
      <x:c r="P1645" s="604" t="inlineStr">
        <x:is>
          <x:t xml:space="preserve">EVALUATED</x:t>
        </x:is>
      </x:c>
      <x:c r="Q1645" s="630" t="inlineStr">
        <x:is>
          <x:t xml:space="preserve"/>
        </x:is>
      </x:c>
      <x:c r="R1645" s="604" t="n"/>
      <x:c r="S1645" s="604" t="n"/>
      <x:c r="T1645" s="604" t="inlineStr">
        <x:is>
          <x:t xml:space="preserve">D:\codex\v3_legacy\outputs\football_odds_trader\raw\titan007\20261009\20261009_085232_titan007_odds_snapshot.csv</x:t>
        </x:is>
      </x:c>
      <x:c r="U1645" s="628" t="inlineStr">
        <x:is>
          <x:t xml:space="preserve"/>
        </x:is>
      </x:c>
      <x:c r="V1645" s="604" t="inlineStr">
        <x:is>
          <x:t xml:space="preserve"/>
        </x:is>
      </x:c>
      <x:c r="W1645" s="604" t="inlineStr">
        <x:is>
          <x:t xml:space="preserve"/>
        </x:is>
      </x:c>
      <x:c r="X1645" s="604" t="inlineStr">
        <x:is>
          <x:t xml:space="preserve">3074961</x:t>
        </x:is>
      </x:c>
      <x:c r="Y1645" s="604" t="inlineStr">
        <x:is>
          <x:t xml:space="preserve">V4</x:t>
        </x:is>
      </x:c>
      <x:c r="Z1645" s="604" t="inlineStr">
        <x:is>
          <x:t xml:space="preserve">prior-2026-10-09-v1</x:t>
        </x:is>
      </x:c>
      <x:c r="AA1645" s="604" t="inlineStr">
        <x:is>
          <x:t xml:space="preserve">N</x:t>
        </x:is>
      </x:c>
      <x:c r="AB1645" s="604" t="n">
        <x:v>0.497596857120961</x:v>
      </x:c>
      <x:c r="AC1645" s="604" t="n">
        <x:v>0.375706661741264</x:v>
      </x:c>
      <x:c r="AD1645" s="604" t="n">
        <x:v>0.5</x:v>
      </x:c>
      <x:c r="AE1645" s="604" t="n"/>
      <x:c r="AF1645" s="604" t="n"/>
      <x:c r="AG1645" s="604" t="n">
        <x:v>-0.007484987471752885</x:v>
      </x:c>
      <x:c r="AH1645" s="604" t="n"/>
      <x:c r="AI1645" s="604" t="n"/>
      <x:c r="AJ1645" s="604" t="n">
        <x:v>-0.007484987471752885</x:v>
      </x:c>
      <x:c r="AK1645" s="604" t="n"/>
      <x:c r="AL1645" s="604" t="n"/>
      <x:c r="AM1645" s="604" t="n"/>
      <x:c r="AN1645" s="604" t="inlineStr">
        <x:is>
          <x:t xml:space="preserve">EVALUATED</x:t>
        </x:is>
      </x:c>
      <x:c r="AO1645" s="604" t="inlineStr">
        <x:is>
          <x:t xml:space="preserve">EDGE_BELOW_UNCERTAINTY_THRESHOLD;BUCKET_PRIOR_ONLY;INTENT_INTERPRETATION_ONLY;FFL_OPTIONAL;EXPERT_MARKET</x:t>
        </x:is>
      </x:c>
      <x:c r="AP1645" s="604" t="inlineStr">
        <x:is>
          <x:t xml:space="preserve">8e58cf3268817496cd15</x:t>
        </x:is>
      </x:c>
      <x:c r="AQ1645" s="604" t="n"/>
      <x:c r="AR1645" s="604" t="n"/>
      <x:c r="AS1645" s="604" t="n">
        <x:v>0.25</x:v>
      </x:c>
      <x:c r="AT1645" s="604" t="n">
        <x:v>-0.25</x:v>
      </x:c>
      <x:c r="AU1645" s="604" t="n">
        <x:v>0.74</x:v>
      </x:c>
      <x:c r="AV1645" s="604" t="n">
        <x:v>0.96</x:v>
      </x:c>
      <x:c r="AW1645" s="604" t="inlineStr">
        <x:is>
          <x:t xml:space="preserve">2026-10-09T09:01:21.127001+08:00</x:t>
        </x:is>
      </x:c>
      <x:c r="AX1645" s="604" t="inlineStr">
        <x:is>
          <x:t xml:space="preserve">Titan007/V4</x:t>
        </x:is>
      </x:c>
      <x:c r="AY1645" s="604" t="inlineStr">
        <x:is>
          <x:t xml:space="preserve">Daily append；市场输入缺失时不生成决策</x:t>
        </x:is>
      </x:c>
    </x:row>
    <x:row r="1646" ht="22" customHeight="1">
      <x:c r="A1646" s="604" t="inlineStr">
        <x:is>
          <x:t xml:space="preserve">2026-10-09</x:t>
        </x:is>
      </x:c>
      <x:c r="B1646" s="604" t="inlineStr">
        <x:is>
          <x:t xml:space="preserve">2026-10-10T02:30:00+08:00</x:t>
        </x:is>
      </x:c>
      <x:c r="C1646" s="604" t="str">
        <x:v>五大联赛非顶级联赛</x:v>
      </x:c>
      <x:c r="D1646" s="604" t="inlineStr">
        <x:is>
          <x:t xml:space="preserve"/>
        </x:is>
      </x:c>
      <x:c r="E1646" s="604" t="inlineStr">
        <x:is>
          <x:t xml:space="preserve">西丁</x:t>
        </x:is>
      </x:c>
      <x:c r="F1646" s="604" t="inlineStr">
        <x:is>
          <x:t xml:space="preserve">多尼兹特贝 vs 艾古亚斯谷</x:t>
        </x:is>
      </x:c>
      <x:c r="G1646" s="604" t="n">
        <x:v>0.8</x:v>
      </x:c>
      <x:c r="H1646" s="604" t="n">
        <x:v>-0.25</x:v>
      </x:c>
      <x:c r="I1646" s="604" t="n">
        <x:v>1</x:v>
      </x:c>
      <x:c r="J1646" s="604" t="inlineStr">
        <x:is>
          <x:t xml:space="preserve">0.8/-0.25/1.0</x:t>
        </x:is>
      </x:c>
      <x:c r="K1646" s="604" t="inlineStr">
        <x:is>
          <x:t xml:space="preserve">V4-N</x:t>
        </x:is>
      </x:c>
      <x:c r="L1646" s="604" t="inlineStr">
        <x:is>
          <x:t xml:space="preserve"/>
        </x:is>
      </x:c>
      <x:c r="M1646" s="604" t="n">
        <x:v>0.2981669499824283</x:v>
      </x:c>
      <x:c r="N1646" s="604" t="inlineStr">
        <x:is>
          <x:t xml:space="preserve">V4 Shadow Only；real_money=false</x:t>
        </x:is>
      </x:c>
      <x:c r="O1646" s="604" t="inlineStr">
        <x:is>
          <x:t xml:space="preserve">0-0</x:t>
        </x:is>
      </x:c>
      <x:c r="P1646" s="604" t="inlineStr">
        <x:is>
          <x:t xml:space="preserve">EVALUATED</x:t>
        </x:is>
      </x:c>
      <x:c r="Q1646" s="630" t="inlineStr">
        <x:is>
          <x:t xml:space="preserve"/>
        </x:is>
      </x:c>
      <x:c r="R1646" s="604" t="n"/>
      <x:c r="S1646" s="604" t="n"/>
      <x:c r="T1646" s="604" t="inlineStr">
        <x:is>
          <x:t xml:space="preserve">D:\codex\v3_legacy\outputs\football_odds_trader\raw\titan007\20261009\20261009_085232_titan007_odds_snapshot.csv</x:t>
        </x:is>
      </x:c>
      <x:c r="U1646" s="628" t="inlineStr">
        <x:is>
          <x:t xml:space="preserve"/>
        </x:is>
      </x:c>
      <x:c r="V1646" s="604" t="inlineStr">
        <x:is>
          <x:t xml:space="preserve"/>
        </x:is>
      </x:c>
      <x:c r="W1646" s="604" t="inlineStr">
        <x:is>
          <x:t xml:space="preserve"/>
        </x:is>
      </x:c>
      <x:c r="X1646" s="604" t="inlineStr">
        <x:is>
          <x:t xml:space="preserve">3079017</x:t>
        </x:is>
      </x:c>
      <x:c r="Y1646" s="604" t="inlineStr">
        <x:is>
          <x:t xml:space="preserve">V4</x:t>
        </x:is>
      </x:c>
      <x:c r="Z1646" s="604" t="inlineStr">
        <x:is>
          <x:t xml:space="preserve">prior-2026-10-09-v1</x:t>
        </x:is>
      </x:c>
      <x:c r="AA1646" s="604" t="inlineStr">
        <x:is>
          <x:t xml:space="preserve">N</x:t>
        </x:is>
      </x:c>
      <x:c r="AB1646" s="604" t="n">
        <x:v>0.2981669499824283</x:v>
      </x:c>
      <x:c r="AC1646" s="604" t="n">
        <x:v>0.5716473040309658</x:v>
      </x:c>
      <x:c r="AD1646" s="604" t="n">
        <x:v>-0.25</x:v>
      </x:c>
      <x:c r="AE1646" s="604" t="n"/>
      <x:c r="AF1646" s="604" t="n"/>
      <x:c r="AG1646" s="604" t="n">
        <x:v>0.1591508932423443</x:v>
      </x:c>
      <x:c r="AH1646" s="604" t="n"/>
      <x:c r="AI1646" s="604" t="n"/>
      <x:c r="AJ1646" s="604" t="n">
        <x:v>0.1591508932423443</x:v>
      </x:c>
      <x:c r="AK1646" s="604" t="n"/>
      <x:c r="AL1646" s="604" t="n"/>
      <x:c r="AM1646" s="604" t="n"/>
      <x:c r="AN1646" s="604" t="inlineStr">
        <x:is>
          <x:t xml:space="preserve">EVALUATED</x:t>
        </x:is>
      </x:c>
      <x:c r="AO1646" s="604" t="inlineStr">
        <x:is>
          <x:t xml:space="preserve">LOW_QUALITY_GATE;BUCKET_PRIOR_ONLY;INTENT_INTERPRETATION_ONLY;FFL_OPTIONAL;EXPERT_MARKET</x:t>
        </x:is>
      </x:c>
      <x:c r="AP1646" s="604" t="inlineStr">
        <x:is>
          <x:t xml:space="preserve">c3434e7273ff00b1bacd</x:t>
        </x:is>
      </x:c>
      <x:c r="AQ1646" s="604" t="n"/>
      <x:c r="AR1646" s="604" t="n"/>
      <x:c r="AS1646" s="604" t="n">
        <x:v>-0.25</x:v>
      </x:c>
      <x:c r="AT1646" s="604" t="n">
        <x:v>0.25</x:v>
      </x:c>
      <x:c r="AU1646" s="604" t="n">
        <x:v>0.8</x:v>
      </x:c>
      <x:c r="AV1646" s="604" t="n">
        <x:v>1</x:v>
      </x:c>
      <x:c r="AW1646" s="604" t="inlineStr">
        <x:is>
          <x:t xml:space="preserve">2026-10-09T09:01:21.127001+08:00</x:t>
        </x:is>
      </x:c>
      <x:c r="AX1646" s="604" t="inlineStr">
        <x:is>
          <x:t xml:space="preserve">Titan007/V4</x:t>
        </x:is>
      </x:c>
      <x:c r="AY1646" s="604" t="inlineStr">
        <x:is>
          <x:t xml:space="preserve">Daily append；市场输入缺失时不生成决策</x:t>
        </x:is>
      </x:c>
    </x:row>
    <x:row r="1647" ht="22" customHeight="1">
      <x:c r="A1647" s="604" t="inlineStr">
        <x:is>
          <x:t xml:space="preserve">2026-10-09</x:t>
        </x:is>
      </x:c>
      <x:c r="B1647" s="604" t="inlineStr">
        <x:is>
          <x:t xml:space="preserve">2026-10-10T01:45:00+08:00</x:t>
        </x:is>
      </x:c>
      <x:c r="C1647" s="604" t="str">
        <x:v>五大联赛非顶级联赛</x:v>
      </x:c>
      <x:c r="D1647" s="604" t="inlineStr">
        <x:is>
          <x:t xml:space="preserve"/>
        </x:is>
      </x:c>
      <x:c r="E1647" s="604" t="inlineStr">
        <x:is>
          <x:t xml:space="preserve">西丁</x:t>
        </x:is>
      </x:c>
      <x:c r="F1647" s="604" t="inlineStr">
        <x:is>
          <x:t xml:space="preserve">瓦尔特 vs 贝蒂加兹特</x:t>
        </x:is>
      </x:c>
      <x:c r="G1647" s="604" t="n">
        <x:v>1.03</x:v>
      </x:c>
      <x:c r="H1647" s="604" t="n">
        <x:v>0.5</x:v>
      </x:c>
      <x:c r="I1647" s="604" t="n">
        <x:v>0.78</x:v>
      </x:c>
      <x:c r="J1647" s="604" t="inlineStr">
        <x:is>
          <x:t xml:space="preserve">1.03/0.5/0.78</x:t>
        </x:is>
      </x:c>
      <x:c r="K1647" s="604" t="inlineStr">
        <x:is>
          <x:t xml:space="preserve">V4-N</x:t>
        </x:is>
      </x:c>
      <x:c r="L1647" s="604" t="inlineStr">
        <x:is>
          <x:t xml:space="preserve"/>
        </x:is>
      </x:c>
      <x:c r="M1647" s="604" t="n">
        <x:v>0.5477477796962142</x:v>
      </x:c>
      <x:c r="N1647" s="604" t="inlineStr">
        <x:is>
          <x:t xml:space="preserve">V4 Shadow Only；real_money=false</x:t>
        </x:is>
      </x:c>
      <x:c r="O1647" s="604" t="inlineStr">
        <x:is>
          <x:t xml:space="preserve">0-0</x:t>
        </x:is>
      </x:c>
      <x:c r="P1647" s="604" t="inlineStr">
        <x:is>
          <x:t xml:space="preserve">EVALUATED</x:t>
        </x:is>
      </x:c>
      <x:c r="Q1647" s="630" t="inlineStr">
        <x:is>
          <x:t xml:space="preserve"/>
        </x:is>
      </x:c>
      <x:c r="R1647" s="604" t="n"/>
      <x:c r="S1647" s="604" t="n"/>
      <x:c r="T1647" s="604" t="inlineStr">
        <x:is>
          <x:t xml:space="preserve">D:\codex\v3_legacy\outputs\football_odds_trader\raw\titan007\20261009\20261009_085232_titan007_odds_snapshot.csv</x:t>
        </x:is>
      </x:c>
      <x:c r="U1647" s="628" t="inlineStr">
        <x:is>
          <x:t xml:space="preserve"/>
        </x:is>
      </x:c>
      <x:c r="V1647" s="604" t="inlineStr">
        <x:is>
          <x:t xml:space="preserve"/>
        </x:is>
      </x:c>
      <x:c r="W1647" s="604" t="inlineStr">
        <x:is>
          <x:t xml:space="preserve"/>
        </x:is>
      </x:c>
      <x:c r="X1647" s="604" t="inlineStr">
        <x:is>
          <x:t xml:space="preserve">3079018</x:t>
        </x:is>
      </x:c>
      <x:c r="Y1647" s="604" t="inlineStr">
        <x:is>
          <x:t xml:space="preserve">V4</x:t>
        </x:is>
      </x:c>
      <x:c r="Z1647" s="604" t="inlineStr">
        <x:is>
          <x:t xml:space="preserve">prior-2026-10-09-v1</x:t>
        </x:is>
      </x:c>
      <x:c r="AA1647" s="604" t="inlineStr">
        <x:is>
          <x:t xml:space="preserve">N</x:t>
        </x:is>
      </x:c>
      <x:c r="AB1647" s="604" t="n">
        <x:v>0.5477477796962142</x:v>
      </x:c>
      <x:c r="AC1647" s="604" t="n">
        <x:v>0.4522522203037858</x:v>
      </x:c>
      <x:c r="AD1647" s="604" t="n">
        <x:v>0.75</x:v>
      </x:c>
      <x:c r="AE1647" s="604" t="n"/>
      <x:c r="AF1647" s="604" t="n"/>
      <x:c r="AG1647" s="604" t="n">
        <x:v>0.1119279927833149</x:v>
      </x:c>
      <x:c r="AH1647" s="604" t="n"/>
      <x:c r="AI1647" s="604" t="n"/>
      <x:c r="AJ1647" s="604" t="n">
        <x:v>0.1119279927833149</x:v>
      </x:c>
      <x:c r="AK1647" s="604" t="n"/>
      <x:c r="AL1647" s="604" t="n"/>
      <x:c r="AM1647" s="604" t="n"/>
      <x:c r="AN1647" s="604" t="inlineStr">
        <x:is>
          <x:t xml:space="preserve">EVALUATED</x:t>
        </x:is>
      </x:c>
      <x:c r="AO1647" s="604" t="inlineStr">
        <x:is>
          <x:t xml:space="preserve">LOW_QUALITY_GATE;BUCKET_PRIOR_ONLY;INTENT_INTERPRETATION_ONLY;FFL_OPTIONAL;EXPERT_MARKET</x:t>
        </x:is>
      </x:c>
      <x:c r="AP1647" s="604" t="inlineStr">
        <x:is>
          <x:t xml:space="preserve">104ef4a0c0626d1c340f</x:t>
        </x:is>
      </x:c>
      <x:c r="AQ1647" s="604" t="n"/>
      <x:c r="AR1647" s="604" t="n"/>
      <x:c r="AS1647" s="604" t="n">
        <x:v>0.5</x:v>
      </x:c>
      <x:c r="AT1647" s="604" t="n">
        <x:v>-0.5</x:v>
      </x:c>
      <x:c r="AU1647" s="604" t="n">
        <x:v>1.03</x:v>
      </x:c>
      <x:c r="AV1647" s="604" t="n">
        <x:v>0.78</x:v>
      </x:c>
      <x:c r="AW1647" s="604" t="inlineStr">
        <x:is>
          <x:t xml:space="preserve">2026-10-09T09:01:21.127001+08:00</x:t>
        </x:is>
      </x:c>
      <x:c r="AX1647" s="604" t="inlineStr">
        <x:is>
          <x:t xml:space="preserve">Titan007/V4</x:t>
        </x:is>
      </x:c>
      <x:c r="AY1647" s="604" t="inlineStr">
        <x:is>
          <x:t xml:space="preserve">Daily append；市场输入缺失时不生成决策</x:t>
        </x:is>
      </x:c>
    </x:row>
    <x:row r="1648" ht="22" customHeight="1">
      <x:c r="A1648" s="604" t="inlineStr">
        <x:is>
          <x:t xml:space="preserve">2026-10-09</x:t>
        </x:is>
      </x:c>
      <x:c r="B1648" s="604" t="inlineStr">
        <x:is>
          <x:t xml:space="preserve">2026-10-09T18:00:00+08:00</x:t>
        </x:is>
      </x:c>
      <x:c r="C1648" s="604" t="str">
        <x:v>五大联赛非顶级联赛</x:v>
      </x:c>
      <x:c r="D1648" s="604" t="inlineStr">
        <x:is>
          <x:t xml:space="preserve"/>
        </x:is>
      </x:c>
      <x:c r="E1648" s="604" t="inlineStr">
        <x:is>
          <x:t xml:space="preserve">西丁</x:t>
        </x:is>
      </x:c>
      <x:c r="F1648" s="604" t="inlineStr">
        <x:is>
          <x:t xml:space="preserve">托伦CF vs 赫库斯B队</x:t>
        </x:is>
      </x:c>
      <x:c r="G1648" s="604" t="n">
        <x:v>0.95</x:v>
      </x:c>
      <x:c r="H1648" s="604" t="n">
        <x:v>0.75</x:v>
      </x:c>
      <x:c r="I1648" s="604" t="n">
        <x:v>0.75</x:v>
      </x:c>
      <x:c r="J1648" s="604" t="inlineStr">
        <x:is>
          <x:t xml:space="preserve">0.95/0.75/0.75</x:t>
        </x:is>
      </x:c>
      <x:c r="K1648" s="604" t="inlineStr">
        <x:is>
          <x:t xml:space="preserve">V4-N</x:t>
        </x:is>
      </x:c>
      <x:c r="L1648" s="604" t="inlineStr">
        <x:is>
          <x:t xml:space="preserve"/>
        </x:is>
      </x:c>
      <x:c r="M1648" s="604" t="n">
        <x:v>0.5430233726586098</x:v>
      </x:c>
      <x:c r="N1648" s="604" t="inlineStr">
        <x:is>
          <x:t xml:space="preserve">V4 Shadow Only；real_money=false</x:t>
        </x:is>
      </x:c>
      <x:c r="O1648" s="604" t="inlineStr">
        <x:is>
          <x:t xml:space="preserve">0-0</x:t>
        </x:is>
      </x:c>
      <x:c r="P1648" s="604" t="inlineStr">
        <x:is>
          <x:t xml:space="preserve">EVALUATED</x:t>
        </x:is>
      </x:c>
      <x:c r="Q1648" s="630" t="inlineStr">
        <x:is>
          <x:t xml:space="preserve"/>
        </x:is>
      </x:c>
      <x:c r="R1648" s="604" t="n"/>
      <x:c r="S1648" s="604" t="n"/>
      <x:c r="T1648" s="604" t="inlineStr">
        <x:is>
          <x:t xml:space="preserve">D:\codex\v3_legacy\outputs\football_odds_trader\raw\titan007\20261009\20261009_085232_titan007_odds_snapshot.csv</x:t>
        </x:is>
      </x:c>
      <x:c r="U1648" s="628" t="inlineStr">
        <x:is>
          <x:t xml:space="preserve"/>
        </x:is>
      </x:c>
      <x:c r="V1648" s="604" t="inlineStr">
        <x:is>
          <x:t xml:space="preserve"/>
        </x:is>
      </x:c>
      <x:c r="W1648" s="604" t="inlineStr">
        <x:is>
          <x:t xml:space="preserve"/>
        </x:is>
      </x:c>
      <x:c r="X1648" s="604" t="inlineStr">
        <x:is>
          <x:t xml:space="preserve">3079941</x:t>
        </x:is>
      </x:c>
      <x:c r="Y1648" s="604" t="inlineStr">
        <x:is>
          <x:t xml:space="preserve">V4</x:t>
        </x:is>
      </x:c>
      <x:c r="Z1648" s="604" t="inlineStr">
        <x:is>
          <x:t xml:space="preserve">prior-2026-10-09-v1</x:t>
        </x:is>
      </x:c>
      <x:c r="AA1648" s="604" t="inlineStr">
        <x:is>
          <x:t xml:space="preserve">N</x:t>
        </x:is>
      </x:c>
      <x:c r="AB1648" s="604" t="n">
        <x:v>0.5430233726586098</x:v>
      </x:c>
      <x:c r="AC1648" s="604" t="n">
        <x:v>0.3278912426547875</x:v>
      </x:c>
      <x:c r="AD1648" s="604" t="n">
        <x:v>1.25</x:v>
      </x:c>
      <x:c r="AE1648" s="604" t="n"/>
      <x:c r="AF1648" s="604" t="n"/>
      <x:c r="AG1648" s="604" t="n">
        <x:v>0.1879809613708917</x:v>
      </x:c>
      <x:c r="AH1648" s="604" t="n"/>
      <x:c r="AI1648" s="604" t="n"/>
      <x:c r="AJ1648" s="604" t="n">
        <x:v>0.1879809613708917</x:v>
      </x:c>
      <x:c r="AK1648" s="604" t="n"/>
      <x:c r="AL1648" s="604" t="n"/>
      <x:c r="AM1648" s="604" t="n"/>
      <x:c r="AN1648" s="604" t="inlineStr">
        <x:is>
          <x:t xml:space="preserve">EVALUATED</x:t>
        </x:is>
      </x:c>
      <x:c r="AO1648" s="604" t="inlineStr">
        <x:is>
          <x:t xml:space="preserve">LOW_QUALITY_GATE;BUCKET_PRIOR_ONLY;INTENT_INTERPRETATION_ONLY;FFL_OPTIONAL;EXPERT_MARKET</x:t>
        </x:is>
      </x:c>
      <x:c r="AP1648" s="604" t="inlineStr">
        <x:is>
          <x:t xml:space="preserve">8d19ce7a5a39ce4a0374</x:t>
        </x:is>
      </x:c>
      <x:c r="AQ1648" s="604" t="n"/>
      <x:c r="AR1648" s="604" t="n"/>
      <x:c r="AS1648" s="604" t="n">
        <x:v>0.75</x:v>
      </x:c>
      <x:c r="AT1648" s="604" t="n">
        <x:v>-0.75</x:v>
      </x:c>
      <x:c r="AU1648" s="604" t="n">
        <x:v>0.95</x:v>
      </x:c>
      <x:c r="AV1648" s="604" t="n">
        <x:v>0.75</x:v>
      </x:c>
      <x:c r="AW1648" s="604" t="inlineStr">
        <x:is>
          <x:t xml:space="preserve">2026-10-09T09:01:21.127001+08:00</x:t>
        </x:is>
      </x:c>
      <x:c r="AX1648" s="604" t="inlineStr">
        <x:is>
          <x:t xml:space="preserve">Titan007/V4</x:t>
        </x:is>
      </x:c>
      <x:c r="AY1648" s="604" t="inlineStr">
        <x:is>
          <x:t xml:space="preserve">Daily append；市场输入缺失时不生成决策</x:t>
        </x:is>
      </x:c>
    </x:row>
    <x:row r="1649" ht="22" customHeight="1">
      <x:c r="A1649" s="604" t="inlineStr">
        <x:is>
          <x:t xml:space="preserve">2026-10-09</x:t>
        </x:is>
      </x:c>
      <x:c r="B1649" s="604" t="inlineStr">
        <x:is>
          <x:t xml:space="preserve">2026-10-10T00:30:00+08:00</x:t>
        </x:is>
      </x:c>
      <x:c r="C1649" s="604" t="str">
        <x:v>五大联赛非顶级联赛</x:v>
      </x:c>
      <x:c r="D1649" s="604" t="inlineStr">
        <x:is>
          <x:t xml:space="preserve"/>
        </x:is>
      </x:c>
      <x:c r="E1649" s="604" t="inlineStr">
        <x:is>
          <x:t xml:space="preserve">西丁</x:t>
        </x:is>
      </x:c>
      <x:c r="F1649" s="604" t="inlineStr">
        <x:is>
          <x:t xml:space="preserve">维拉利尔C队 vs CD布诺尔</x:t>
        </x:is>
      </x:c>
      <x:c r="G1649" s="604" t="n">
        <x:v>1</x:v>
      </x:c>
      <x:c r="H1649" s="604" t="n">
        <x:v>1</x:v>
      </x:c>
      <x:c r="I1649" s="604" t="n">
        <x:v>0.8</x:v>
      </x:c>
      <x:c r="J1649" s="604" t="inlineStr">
        <x:is>
          <x:t xml:space="preserve">1.0/1.0/0.8</x:t>
        </x:is>
      </x:c>
      <x:c r="K1649" s="604" t="inlineStr">
        <x:is>
          <x:t xml:space="preserve">V4-N</x:t>
        </x:is>
      </x:c>
      <x:c r="L1649" s="604" t="inlineStr">
        <x:is>
          <x:t xml:space="preserve"/>
        </x:is>
      </x:c>
      <x:c r="M1649" s="604" t="n">
        <x:v>0.4627694758156469</x:v>
      </x:c>
      <x:c r="N1649" s="604" t="inlineStr">
        <x:is>
          <x:t xml:space="preserve">V4 Shadow Only；real_money=false</x:t>
        </x:is>
      </x:c>
      <x:c r="O1649" s="604" t="inlineStr">
        <x:is>
          <x:t xml:space="preserve">0-0</x:t>
        </x:is>
      </x:c>
      <x:c r="P1649" s="604" t="inlineStr">
        <x:is>
          <x:t xml:space="preserve">EVALUATED</x:t>
        </x:is>
      </x:c>
      <x:c r="Q1649" s="630" t="inlineStr">
        <x:is>
          <x:t xml:space="preserve"/>
        </x:is>
      </x:c>
      <x:c r="R1649" s="604" t="n"/>
      <x:c r="S1649" s="604" t="n"/>
      <x:c r="T1649" s="604" t="inlineStr">
        <x:is>
          <x:t xml:space="preserve">D:\codex\v3_legacy\outputs\football_odds_trader\raw\titan007\20261009\20261009_085232_titan007_odds_snapshot.csv</x:t>
        </x:is>
      </x:c>
      <x:c r="U1649" s="628" t="inlineStr">
        <x:is>
          <x:t xml:space="preserve"/>
        </x:is>
      </x:c>
      <x:c r="V1649" s="604" t="inlineStr">
        <x:is>
          <x:t xml:space="preserve"/>
        </x:is>
      </x:c>
      <x:c r="W1649" s="604" t="inlineStr">
        <x:is>
          <x:t xml:space="preserve"/>
        </x:is>
      </x:c>
      <x:c r="X1649" s="604" t="inlineStr">
        <x:is>
          <x:t xml:space="preserve">3079942</x:t>
        </x:is>
      </x:c>
      <x:c r="Y1649" s="604" t="inlineStr">
        <x:is>
          <x:t xml:space="preserve">V4</x:t>
        </x:is>
      </x:c>
      <x:c r="Z1649" s="604" t="inlineStr">
        <x:is>
          <x:t xml:space="preserve">prior-2026-10-09-v1</x:t>
        </x:is>
      </x:c>
      <x:c r="AA1649" s="604" t="inlineStr">
        <x:is>
          <x:t xml:space="preserve">N</x:t>
        </x:is>
      </x:c>
      <x:c r="AB1649" s="604" t="n">
        <x:v>0.4627694758156469</x:v>
      </x:c>
      <x:c r="AC1649" s="604" t="n">
        <x:v>0.281647346649406</x:v>
      </x:c>
      <x:c r="AD1649" s="604" t="n">
        <x:v>1.5</x:v>
      </x:c>
      <x:c r="AE1649" s="604" t="n"/>
      <x:c r="AF1649" s="604" t="n"/>
      <x:c r="AG1649" s="604" t="n">
        <x:v>0.1811221291662408</x:v>
      </x:c>
      <x:c r="AH1649" s="604" t="n"/>
      <x:c r="AI1649" s="604" t="n"/>
      <x:c r="AJ1649" s="604" t="n">
        <x:v>0.1811221291662408</x:v>
      </x:c>
      <x:c r="AK1649" s="604" t="n"/>
      <x:c r="AL1649" s="604" t="n"/>
      <x:c r="AM1649" s="604" t="n"/>
      <x:c r="AN1649" s="604" t="inlineStr">
        <x:is>
          <x:t xml:space="preserve">EVALUATED</x:t>
        </x:is>
      </x:c>
      <x:c r="AO1649" s="604" t="inlineStr">
        <x:is>
          <x:t xml:space="preserve">LOW_QUALITY_GATE;BUCKET_PRIOR_ONLY;INTENT_INTERPRETATION_ONLY;FFL_OPTIONAL;EXPERT_MARKET</x:t>
        </x:is>
      </x:c>
      <x:c r="AP1649" s="604" t="inlineStr">
        <x:is>
          <x:t xml:space="preserve">3837bbcb5b6faa728c1b</x:t>
        </x:is>
      </x:c>
      <x:c r="AQ1649" s="604" t="n"/>
      <x:c r="AR1649" s="604" t="n"/>
      <x:c r="AS1649" s="604" t="n">
        <x:v>1</x:v>
      </x:c>
      <x:c r="AT1649" s="604" t="n">
        <x:v>-1</x:v>
      </x:c>
      <x:c r="AU1649" s="604" t="n">
        <x:v>1</x:v>
      </x:c>
      <x:c r="AV1649" s="604" t="n">
        <x:v>0.8</x:v>
      </x:c>
      <x:c r="AW1649" s="604" t="inlineStr">
        <x:is>
          <x:t xml:space="preserve">2026-10-09T09:01:21.127001+08:00</x:t>
        </x:is>
      </x:c>
      <x:c r="AX1649" s="604" t="inlineStr">
        <x:is>
          <x:t xml:space="preserve">Titan007/V4</x:t>
        </x:is>
      </x:c>
      <x:c r="AY1649" s="604" t="inlineStr">
        <x:is>
          <x:t xml:space="preserve">Daily append；市场输入缺失时不生成决策</x:t>
        </x:is>
      </x:c>
    </x:row>
    <x:row r="1650" ht="22" customHeight="1">
      <x:c r="A1650" s="604" t="inlineStr">
        <x:is>
          <x:t xml:space="preserve">2026-10-09</x:t>
        </x:is>
      </x:c>
      <x:c r="B1650" s="604" t="inlineStr">
        <x:is>
          <x:t xml:space="preserve">2026-10-10T00:00:00+08:00</x:t>
        </x:is>
      </x:c>
      <x:c r="C1650" s="604" t="str">
        <x:v>五大联赛非顶级联赛</x:v>
      </x:c>
      <x:c r="D1650" s="604" t="inlineStr">
        <x:is>
          <x:t xml:space="preserve"/>
        </x:is>
      </x:c>
      <x:c r="E1650" s="604" t="inlineStr">
        <x:is>
          <x:t xml:space="preserve">西丁</x:t>
        </x:is>
      </x:c>
      <x:c r="F1650" s="604" t="inlineStr">
        <x:is>
          <x:t xml:space="preserve">尤铁尔 vs 莱万特体育会</x:t>
        </x:is>
      </x:c>
      <x:c r="G1650" s="604" t="n">
        <x:v>0.95</x:v>
      </x:c>
      <x:c r="H1650" s="604" t="n">
        <x:v>-0.5</x:v>
      </x:c>
      <x:c r="I1650" s="604" t="n">
        <x:v>0.85</x:v>
      </x:c>
      <x:c r="J1650" s="604" t="inlineStr">
        <x:is>
          <x:t xml:space="preserve">0.95/-0.5/0.85</x:t>
        </x:is>
      </x:c>
      <x:c r="K1650" s="604" t="inlineStr">
        <x:is>
          <x:t xml:space="preserve">V4-N</x:t>
        </x:is>
      </x:c>
      <x:c r="L1650" s="604" t="inlineStr">
        <x:is>
          <x:t xml:space="preserve"/>
        </x:is>
      </x:c>
      <x:c r="M1650" s="604" t="n">
        <x:v>0.1535552583194808</x:v>
      </x:c>
      <x:c r="N1650" s="604" t="inlineStr">
        <x:is>
          <x:t xml:space="preserve">V4 Shadow Only；real_money=false</x:t>
        </x:is>
      </x:c>
      <x:c r="O1650" s="604" t="inlineStr">
        <x:is>
          <x:t xml:space="preserve">0-0</x:t>
        </x:is>
      </x:c>
      <x:c r="P1650" s="604" t="inlineStr">
        <x:is>
          <x:t xml:space="preserve">EVALUATED</x:t>
        </x:is>
      </x:c>
      <x:c r="Q1650" s="630" t="inlineStr">
        <x:is>
          <x:t xml:space="preserve"/>
        </x:is>
      </x:c>
      <x:c r="R1650" s="604" t="n"/>
      <x:c r="S1650" s="604" t="n"/>
      <x:c r="T1650" s="604" t="inlineStr">
        <x:is>
          <x:t xml:space="preserve">D:\codex\v3_legacy\outputs\football_odds_trader\raw\titan007\20261009\20261009_085232_titan007_odds_snapshot.csv</x:t>
        </x:is>
      </x:c>
      <x:c r="U1650" s="628" t="inlineStr">
        <x:is>
          <x:t xml:space="preserve"/>
        </x:is>
      </x:c>
      <x:c r="V1650" s="604" t="inlineStr">
        <x:is>
          <x:t xml:space="preserve"/>
        </x:is>
      </x:c>
      <x:c r="W1650" s="604" t="inlineStr">
        <x:is>
          <x:t xml:space="preserve"/>
        </x:is>
      </x:c>
      <x:c r="X1650" s="604" t="inlineStr">
        <x:is>
          <x:t xml:space="preserve">3079943</x:t>
        </x:is>
      </x:c>
      <x:c r="Y1650" s="604" t="inlineStr">
        <x:is>
          <x:t xml:space="preserve">V4</x:t>
        </x:is>
      </x:c>
      <x:c r="Z1650" s="604" t="inlineStr">
        <x:is>
          <x:t xml:space="preserve">prior-2026-10-09-v1</x:t>
        </x:is>
      </x:c>
      <x:c r="AA1650" s="604" t="inlineStr">
        <x:is>
          <x:t xml:space="preserve">N</x:t>
        </x:is>
      </x:c>
      <x:c r="AB1650" s="604" t="n">
        <x:v>0.1535552583194808</x:v>
      </x:c>
      <x:c r="AC1650" s="604" t="n">
        <x:v>0.8464447416805192</x:v>
      </x:c>
      <x:c r="AD1650" s="604" t="n">
        <x:v>-1</x:v>
      </x:c>
      <x:c r="AE1650" s="604" t="n"/>
      <x:c r="AF1650" s="604" t="n"/>
      <x:c r="AG1650" s="604" t="n">
        <x:v>0.6505672462770123</x:v>
      </x:c>
      <x:c r="AH1650" s="604" t="n"/>
      <x:c r="AI1650" s="604" t="n"/>
      <x:c r="AJ1650" s="604" t="n">
        <x:v>0.6505672462770123</x:v>
      </x:c>
      <x:c r="AK1650" s="604" t="n"/>
      <x:c r="AL1650" s="604" t="n"/>
      <x:c r="AM1650" s="604" t="n"/>
      <x:c r="AN1650" s="604" t="inlineStr">
        <x:is>
          <x:t xml:space="preserve">EVALUATED</x:t>
        </x:is>
      </x:c>
      <x:c r="AO1650" s="604" t="inlineStr">
        <x:is>
          <x:t xml:space="preserve">LOW_QUALITY_GATE;BUCKET_PRIOR_ONLY;INTENT_INTERPRETATION_ONLY;FFL_OPTIONAL;EXPERT_MARKET</x:t>
        </x:is>
      </x:c>
      <x:c r="AP1650" s="604" t="inlineStr">
        <x:is>
          <x:t xml:space="preserve">0c022c6c950369012897</x:t>
        </x:is>
      </x:c>
      <x:c r="AQ1650" s="604" t="n"/>
      <x:c r="AR1650" s="604" t="n"/>
      <x:c r="AS1650" s="604" t="n">
        <x:v>-0.5</x:v>
      </x:c>
      <x:c r="AT1650" s="604" t="n">
        <x:v>0.5</x:v>
      </x:c>
      <x:c r="AU1650" s="604" t="n">
        <x:v>0.95</x:v>
      </x:c>
      <x:c r="AV1650" s="604" t="n">
        <x:v>0.85</x:v>
      </x:c>
      <x:c r="AW1650" s="604" t="inlineStr">
        <x:is>
          <x:t xml:space="preserve">2026-10-09T09:01:21.127001+08:00</x:t>
        </x:is>
      </x:c>
      <x:c r="AX1650" s="604" t="inlineStr">
        <x:is>
          <x:t xml:space="preserve">Titan007/V4</x:t>
        </x:is>
      </x:c>
      <x:c r="AY1650" s="604" t="inlineStr">
        <x:is>
          <x:t xml:space="preserve">Daily append；市场输入缺失时不生成决策</x:t>
        </x:is>
      </x:c>
    </x:row>
    <x:row r="1651" ht="22" customHeight="1">
      <x:c r="A1651" s="604" t="inlineStr">
        <x:is>
          <x:t xml:space="preserve">2026-10-09</x:t>
        </x:is>
      </x:c>
      <x:c r="B1651" s="604" t="inlineStr">
        <x:is>
          <x:t xml:space="preserve">2026-10-10T00:30:00+08:00</x:t>
        </x:is>
      </x:c>
      <x:c r="C1651" s="604" t="str">
        <x:v>其他系列</x:v>
      </x:c>
      <x:c r="D1651" s="604" t="inlineStr">
        <x:is>
          <x:t xml:space="preserve"/>
        </x:is>
      </x:c>
      <x:c r="E1651" s="604" t="inlineStr">
        <x:is>
          <x:t xml:space="preserve">尼日超</x:t>
        </x:is>
      </x:c>
      <x:c r="F1651" s="604" t="inlineStr">
        <x:is>
          <x:t xml:space="preserve">卡齐纳联 vs 安耶巴</x:t>
        </x:is>
      </x:c>
      <x:c r="G1651" s="604" t="n">
        <x:v>0.83</x:v>
      </x:c>
      <x:c r="H1651" s="604" t="n">
        <x:v>0.75</x:v>
      </x:c>
      <x:c r="I1651" s="604" t="n">
        <x:v>0.98</x:v>
      </x:c>
      <x:c r="J1651" s="604" t="inlineStr">
        <x:is>
          <x:t xml:space="preserve">0.83/0.75/0.98</x:t>
        </x:is>
      </x:c>
      <x:c r="K1651" s="604" t="inlineStr">
        <x:is>
          <x:t xml:space="preserve">V4-A</x:t>
        </x:is>
      </x:c>
      <x:c r="L1651" s="604" t="inlineStr">
        <x:is>
          <x:t xml:space="preserve">卡齐纳联</x:t>
        </x:is>
      </x:c>
      <x:c r="M1651" s="604" t="n">
        <x:v>0.5587460098205954</x:v>
      </x:c>
      <x:c r="N1651" s="604" t="inlineStr">
        <x:is>
          <x:t xml:space="preserve">V4 Shadow Only；real_money=false</x:t>
        </x:is>
      </x:c>
      <x:c r="O1651" s="604" t="inlineStr">
        <x:is>
          <x:t xml:space="preserve">0-0</x:t>
        </x:is>
      </x:c>
      <x:c r="P1651" s="604" t="inlineStr">
        <x:is>
          <x:t xml:space="preserve">EVALUATED</x:t>
        </x:is>
      </x:c>
      <x:c r="Q1651" s="630" t="inlineStr">
        <x:is>
          <x:t xml:space="preserve"/>
        </x:is>
      </x:c>
      <x:c r="R1651" s="604" t="n">
        <x:v>0.83</x:v>
      </x:c>
      <x:c r="S1651" s="604" t="n"/>
      <x:c r="T1651" s="604" t="inlineStr">
        <x:is>
          <x:t xml:space="preserve">D:\codex\v3_legacy\outputs\football_odds_trader\raw\titan007\20261009\20261009_085232_titan007_odds_snapshot.csv</x:t>
        </x:is>
      </x:c>
      <x:c r="U1651" s="628" t="inlineStr">
        <x:is>
          <x:t xml:space="preserve"/>
        </x:is>
      </x:c>
      <x:c r="V1651" s="604" t="inlineStr">
        <x:is>
          <x:t xml:space="preserve"/>
        </x:is>
      </x:c>
      <x:c r="W1651" s="604" t="inlineStr">
        <x:is>
          <x:t xml:space="preserve"/>
        </x:is>
      </x:c>
      <x:c r="X1651" s="604" t="inlineStr">
        <x:is>
          <x:t xml:space="preserve">3081647</x:t>
        </x:is>
      </x:c>
      <x:c r="Y1651" s="604" t="inlineStr">
        <x:is>
          <x:t xml:space="preserve">V4</x:t>
        </x:is>
      </x:c>
      <x:c r="Z1651" s="604" t="inlineStr">
        <x:is>
          <x:t xml:space="preserve">prior-2026-10-09-v1</x:t>
        </x:is>
      </x:c>
      <x:c r="AA1651" s="604" t="inlineStr">
        <x:is>
          <x:t xml:space="preserve">A</x:t>
        </x:is>
      </x:c>
      <x:c r="AB1651" s="604" t="n">
        <x:v>0.5587460098205954</x:v>
      </x:c>
      <x:c r="AC1651" s="604" t="n">
        <x:v>0.3117754481664379</x:v>
      </x:c>
      <x:c r="AD1651" s="604" t="n">
        <x:v>1.25</x:v>
      </x:c>
      <x:c r="AE1651" s="604" t="n"/>
      <x:c r="AF1651" s="604" t="n"/>
      <x:c r="AG1651" s="604" t="n">
        <x:v>0.1519837399846563</x:v>
      </x:c>
      <x:c r="AH1651" s="604" t="n"/>
      <x:c r="AI1651" s="604" t="n"/>
      <x:c r="AJ1651" s="604" t="n">
        <x:v>0.1519837399846563</x:v>
      </x:c>
      <x:c r="AK1651" s="604" t="n"/>
      <x:c r="AL1651" s="604" t="n"/>
      <x:c r="AM1651" s="604" t="n"/>
      <x:c r="AN1651" s="604" t="inlineStr">
        <x:is>
          <x:t xml:space="preserve">EVALUATED</x:t>
        </x:is>
      </x:c>
      <x:c r="AO1651" s="604" t="inlineStr">
        <x:is>
          <x:t xml:space="preserve">GIVING_VALIDATED_EDGE;BUCKET_PRIOR_ONLY;INTENT_INTERPRETATION_ONLY;FFL_OPTIONAL;EXPERT_MARKET</x:t>
        </x:is>
      </x:c>
      <x:c r="AP1651" s="604" t="inlineStr">
        <x:is>
          <x:t xml:space="preserve">0cabdc3049e41390c190</x:t>
        </x:is>
      </x:c>
      <x:c r="AQ1651" s="604" t="n">
        <x:v>-0.75</x:v>
      </x:c>
      <x:c r="AR1651" s="604" t="n">
        <x:v>0.83</x:v>
      </x:c>
      <x:c r="AS1651" s="604" t="n">
        <x:v>0.75</x:v>
      </x:c>
      <x:c r="AT1651" s="604" t="n">
        <x:v>-0.75</x:v>
      </x:c>
      <x:c r="AU1651" s="604" t="n">
        <x:v>0.83</x:v>
      </x:c>
      <x:c r="AV1651" s="604" t="n">
        <x:v>0.98</x:v>
      </x:c>
      <x:c r="AW1651" s="604" t="inlineStr">
        <x:is>
          <x:t xml:space="preserve">2026-10-09T09:01:21.127001+08:00</x:t>
        </x:is>
      </x:c>
      <x:c r="AX1651" s="604" t="inlineStr">
        <x:is>
          <x:t xml:space="preserve">Titan007/V4</x:t>
        </x:is>
      </x:c>
      <x:c r="AY1651" s="604" t="inlineStr">
        <x:is>
          <x:t xml:space="preserve">Daily append；市场输入缺失时不生成决策</x:t>
        </x:is>
      </x:c>
    </x:row>
    <x:row r="1652" ht="22" customHeight="1">
      <x:c r="A1652" s="604" t="inlineStr">
        <x:is>
          <x:t xml:space="preserve">2026-10-09</x:t>
        </x:is>
      </x:c>
      <x:c r="B1652" s="604" t="inlineStr">
        <x:is>
          <x:t xml:space="preserve">2026-10-10T02:00:00+08:00</x:t>
        </x:is>
      </x:c>
      <x:c r="C1652" s="604" t="str">
        <x:v>五大联赛非顶级联赛</x:v>
      </x:c>
      <x:c r="D1652" s="604" t="inlineStr">
        <x:is>
          <x:t xml:space="preserve"/>
        </x:is>
      </x:c>
      <x:c r="E1652" s="604" t="inlineStr">
        <x:is>
          <x:t xml:space="preserve">西丁</x:t>
        </x:is>
      </x:c>
      <x:c r="F1652" s="604" t="inlineStr">
        <x:is>
          <x:t xml:space="preserve">桑塔阿玛利亚 vs SP维拉弗朗卡</x:t>
        </x:is>
      </x:c>
      <x:c r="G1652" s="604" t="n">
        <x:v>0.88</x:v>
      </x:c>
      <x:c r="H1652" s="604" t="n">
        <x:v>0.5</x:v>
      </x:c>
      <x:c r="I1652" s="604" t="n">
        <x:v>0.93</x:v>
      </x:c>
      <x:c r="J1652" s="604" t="inlineStr">
        <x:is>
          <x:t xml:space="preserve">0.88/0.5/0.93</x:t>
        </x:is>
      </x:c>
      <x:c r="K1652" s="604" t="inlineStr">
        <x:is>
          <x:t xml:space="preserve">V4-N</x:t>
        </x:is>
      </x:c>
      <x:c r="L1652" s="604" t="inlineStr">
        <x:is>
          <x:t xml:space="preserve"/>
        </x:is>
      </x:c>
      <x:c r="M1652" s="604" t="n">
        <x:v>0.5076537246463463</x:v>
      </x:c>
      <x:c r="N1652" s="604" t="inlineStr">
        <x:is>
          <x:t xml:space="preserve">V4 Shadow Only；real_money=false</x:t>
        </x:is>
      </x:c>
      <x:c r="O1652" s="604" t="inlineStr">
        <x:is>
          <x:t xml:space="preserve">0-0</x:t>
        </x:is>
      </x:c>
      <x:c r="P1652" s="604" t="inlineStr">
        <x:is>
          <x:t xml:space="preserve">EVALUATED</x:t>
        </x:is>
      </x:c>
      <x:c r="Q1652" s="630" t="inlineStr">
        <x:is>
          <x:t xml:space="preserve"/>
        </x:is>
      </x:c>
      <x:c r="R1652" s="604" t="n"/>
      <x:c r="S1652" s="604" t="n"/>
      <x:c r="T1652" s="604" t="inlineStr">
        <x:is>
          <x:t xml:space="preserve">D:\codex\v3_legacy\outputs\football_odds_trader\raw\titan007\20261009\20261009_085232_titan007_odds_snapshot.csv</x:t>
        </x:is>
      </x:c>
      <x:c r="U1652" s="628" t="inlineStr">
        <x:is>
          <x:t xml:space="preserve"/>
        </x:is>
      </x:c>
      <x:c r="V1652" s="604" t="inlineStr">
        <x:is>
          <x:t xml:space="preserve"/>
        </x:is>
      </x:c>
      <x:c r="W1652" s="604" t="inlineStr">
        <x:is>
          <x:t xml:space="preserve"/>
        </x:is>
      </x:c>
      <x:c r="X1652" s="604" t="inlineStr">
        <x:is>
          <x:t xml:space="preserve">3082015</x:t>
        </x:is>
      </x:c>
      <x:c r="Y1652" s="604" t="inlineStr">
        <x:is>
          <x:t xml:space="preserve">V4</x:t>
        </x:is>
      </x:c>
      <x:c r="Z1652" s="604" t="inlineStr">
        <x:is>
          <x:t xml:space="preserve">prior-2026-10-09-v1</x:t>
        </x:is>
      </x:c>
      <x:c r="AA1652" s="604" t="inlineStr">
        <x:is>
          <x:t xml:space="preserve">N</x:t>
        </x:is>
      </x:c>
      <x:c r="AB1652" s="604" t="n">
        <x:v>0.5076537246463463</x:v>
      </x:c>
      <x:c r="AC1652" s="604" t="n">
        <x:v>0.4923462753536537</x:v>
      </x:c>
      <x:c r="AD1652" s="604" t="n">
        <x:v>0.5</x:v>
      </x:c>
      <x:c r="AE1652" s="604" t="n"/>
      <x:c r="AF1652" s="604" t="n"/>
      <x:c r="AG1652" s="604" t="n">
        <x:v>-0.04561099766486892</x:v>
      </x:c>
      <x:c r="AH1652" s="604" t="n"/>
      <x:c r="AI1652" s="604" t="n"/>
      <x:c r="AJ1652" s="604" t="n">
        <x:v>-0.04561099766486892</x:v>
      </x:c>
      <x:c r="AK1652" s="604" t="n"/>
      <x:c r="AL1652" s="604" t="n"/>
      <x:c r="AM1652" s="604" t="n"/>
      <x:c r="AN1652" s="604" t="inlineStr">
        <x:is>
          <x:t xml:space="preserve">EVALUATED</x:t>
        </x:is>
      </x:c>
      <x:c r="AO1652" s="604" t="inlineStr">
        <x:is>
          <x:t xml:space="preserve">EDGE_BELOW_UNCERTAINTY_THRESHOLD;BUCKET_PRIOR_ONLY;INTENT_INTERPRETATION_ONLY;FFL_OPTIONAL;EXPERT_MARKET</x:t>
        </x:is>
      </x:c>
      <x:c r="AP1652" s="604" t="inlineStr">
        <x:is>
          <x:t xml:space="preserve">323bc793e06d24d4c195</x:t>
        </x:is>
      </x:c>
      <x:c r="AQ1652" s="604" t="n"/>
      <x:c r="AR1652" s="604" t="n"/>
      <x:c r="AS1652" s="604" t="n">
        <x:v>0.5</x:v>
      </x:c>
      <x:c r="AT1652" s="604" t="n">
        <x:v>-0.5</x:v>
      </x:c>
      <x:c r="AU1652" s="604" t="n">
        <x:v>0.88</x:v>
      </x:c>
      <x:c r="AV1652" s="604" t="n">
        <x:v>0.93</x:v>
      </x:c>
      <x:c r="AW1652" s="604" t="inlineStr">
        <x:is>
          <x:t xml:space="preserve">2026-10-09T09:01:21.127001+08:00</x:t>
        </x:is>
      </x:c>
      <x:c r="AX1652" s="604" t="inlineStr">
        <x:is>
          <x:t xml:space="preserve">Titan007/V4</x:t>
        </x:is>
      </x:c>
      <x:c r="AY1652" s="604" t="inlineStr">
        <x:is>
          <x:t xml:space="preserve">Daily append；市场输入缺失时不生成决策</x:t>
        </x:is>
      </x:c>
    </x:row>
    <x:row r="1653" ht="22" customHeight="1">
      <x:c r="A1653" s="604" t="inlineStr">
        <x:is>
          <x:t xml:space="preserve">2026-10-09</x:t>
        </x:is>
      </x:c>
      <x:c r="B1653" s="604" t="inlineStr">
        <x:is>
          <x:t xml:space="preserve">2026-10-10T05:00:00+08:00</x:t>
        </x:is>
      </x:c>
      <x:c r="C1653" s="604" t="str">
        <x:v>北美系列</x:v>
      </x:c>
      <x:c r="D1653" s="604" t="inlineStr">
        <x:is>
          <x:t xml:space="preserve"/>
        </x:is>
      </x:c>
      <x:c r="E1653" s="604" t="inlineStr">
        <x:is>
          <x:t xml:space="preserve">洪都甲春</x:t>
        </x:is>
      </x:c>
      <x:c r="F1653" s="604" t="inlineStr">
        <x:is>
          <x:t xml:space="preserve">帕兰德森 vs 胡蒂卡尔帕</x:t>
        </x:is>
      </x:c>
      <x:c r="G1653" s="604" t="n">
        <x:v>0.9</x:v>
      </x:c>
      <x:c r="H1653" s="604" t="n">
        <x:v>0.5</x:v>
      </x:c>
      <x:c r="I1653" s="604" t="n">
        <x:v>0.9</x:v>
      </x:c>
      <x:c r="J1653" s="604" t="inlineStr">
        <x:is>
          <x:t xml:space="preserve">0.9/0.5/0.9</x:t>
        </x:is>
      </x:c>
      <x:c r="K1653" s="604" t="inlineStr">
        <x:is>
          <x:t xml:space="preserve">V4-N</x:t>
        </x:is>
      </x:c>
      <x:c r="L1653" s="604" t="inlineStr">
        <x:is>
          <x:t xml:space="preserve"/>
        </x:is>
      </x:c>
      <x:c r="M1653" s="604" t="n">
        <x:v>0.5521343530653356</x:v>
      </x:c>
      <x:c r="N1653" s="604" t="inlineStr">
        <x:is>
          <x:t xml:space="preserve">V4 Shadow Only；real_money=false</x:t>
        </x:is>
      </x:c>
      <x:c r="O1653" s="604" t="inlineStr">
        <x:is>
          <x:t xml:space="preserve">0-0</x:t>
        </x:is>
      </x:c>
      <x:c r="P1653" s="604" t="inlineStr">
        <x:is>
          <x:t xml:space="preserve">EVALUATED</x:t>
        </x:is>
      </x:c>
      <x:c r="Q1653" s="630" t="inlineStr">
        <x:is>
          <x:t xml:space="preserve"/>
        </x:is>
      </x:c>
      <x:c r="R1653" s="604" t="n"/>
      <x:c r="S1653" s="604" t="n"/>
      <x:c r="T1653" s="604" t="inlineStr">
        <x:is>
          <x:t xml:space="preserve">D:\codex\v3_legacy\outputs\football_odds_trader\raw\titan007\20261009\20261009_085232_titan007_odds_snapshot.csv</x:t>
        </x:is>
      </x:c>
      <x:c r="U1653" s="628" t="inlineStr">
        <x:is>
          <x:t xml:space="preserve"/>
        </x:is>
      </x:c>
      <x:c r="V1653" s="604" t="inlineStr">
        <x:is>
          <x:t xml:space="preserve"/>
        </x:is>
      </x:c>
      <x:c r="W1653" s="604" t="inlineStr">
        <x:is>
          <x:t xml:space="preserve"/>
        </x:is>
      </x:c>
      <x:c r="X1653" s="604" t="inlineStr">
        <x:is>
          <x:t xml:space="preserve">3083894</x:t>
        </x:is>
      </x:c>
      <x:c r="Y1653" s="604" t="inlineStr">
        <x:is>
          <x:t xml:space="preserve">V4</x:t>
        </x:is>
      </x:c>
      <x:c r="Z1653" s="604" t="inlineStr">
        <x:is>
          <x:t xml:space="preserve">prior-2026-10-09-v1</x:t>
        </x:is>
      </x:c>
      <x:c r="AA1653" s="604" t="inlineStr">
        <x:is>
          <x:t xml:space="preserve">N</x:t>
        </x:is>
      </x:c>
      <x:c r="AB1653" s="604" t="n">
        <x:v>0.5521343530653356</x:v>
      </x:c>
      <x:c r="AC1653" s="604" t="n">
        <x:v>0.4478656469346644</x:v>
      </x:c>
      <x:c r="AD1653" s="604" t="n">
        <x:v>0.75</x:v>
      </x:c>
      <x:c r="AE1653" s="604" t="n"/>
      <x:c r="AF1653" s="604" t="n"/>
      <x:c r="AG1653" s="604" t="n">
        <x:v>0.04905527082413774</x:v>
      </x:c>
      <x:c r="AH1653" s="604" t="n"/>
      <x:c r="AI1653" s="604" t="n"/>
      <x:c r="AJ1653" s="604" t="n">
        <x:v>0.04905527082413774</x:v>
      </x:c>
      <x:c r="AK1653" s="604" t="n"/>
      <x:c r="AL1653" s="604" t="n"/>
      <x:c r="AM1653" s="604" t="n"/>
      <x:c r="AN1653" s="604" t="inlineStr">
        <x:is>
          <x:t xml:space="preserve">EVALUATED</x:t>
        </x:is>
      </x:c>
      <x:c r="AO1653" s="604" t="inlineStr">
        <x:is>
          <x:t xml:space="preserve">EDGE_BELOW_UNCERTAINTY_THRESHOLD;BUCKET_PRIOR_ONLY;INTENT_INTERPRETATION_ONLY;FFL_OPTIONAL;EXPERT_MARKET</x:t>
        </x:is>
      </x:c>
      <x:c r="AP1653" s="604" t="inlineStr">
        <x:is>
          <x:t xml:space="preserve">8c966961373b8d987079</x:t>
        </x:is>
      </x:c>
      <x:c r="AQ1653" s="604" t="n"/>
      <x:c r="AR1653" s="604" t="n"/>
      <x:c r="AS1653" s="604" t="n">
        <x:v>0.5</x:v>
      </x:c>
      <x:c r="AT1653" s="604" t="n">
        <x:v>-0.5</x:v>
      </x:c>
      <x:c r="AU1653" s="604" t="n">
        <x:v>0.9</x:v>
      </x:c>
      <x:c r="AV1653" s="604" t="n">
        <x:v>0.9</x:v>
      </x:c>
      <x:c r="AW1653" s="604" t="inlineStr">
        <x:is>
          <x:t xml:space="preserve">2026-10-09T09:01:21.127001+08:00</x:t>
        </x:is>
      </x:c>
      <x:c r="AX1653" s="604" t="inlineStr">
        <x:is>
          <x:t xml:space="preserve">Titan007/V4</x:t>
        </x:is>
      </x:c>
      <x:c r="AY1653" s="604" t="inlineStr">
        <x:is>
          <x:t xml:space="preserve">Daily append；市场输入缺失时不生成决策</x:t>
        </x:is>
      </x:c>
    </x:row>
    <x:row r="1654" ht="22" customHeight="1">
      <x:c r="A1654" s="604" t="inlineStr">
        <x:is>
          <x:t xml:space="preserve">2026-10-09</x:t>
        </x:is>
      </x:c>
      <x:c r="B1654" s="604" t="inlineStr">
        <x:is>
          <x:t xml:space="preserve">2026-10-10T09:30:00+08:00</x:t>
        </x:is>
      </x:c>
      <x:c r="C1654" s="604" t="str">
        <x:v>北美系列</x:v>
      </x:c>
      <x:c r="D1654" s="604" t="inlineStr">
        <x:is>
          <x:t xml:space="preserve"/>
        </x:is>
      </x:c>
      <x:c r="E1654" s="604" t="inlineStr">
        <x:is>
          <x:t xml:space="preserve">洪都甲春</x:t>
        </x:is>
      </x:c>
      <x:c r="F1654" s="604" t="inlineStr">
        <x:is>
          <x:t xml:space="preserve">摩塔瓜 vs 乔洛马</x:t>
        </x:is>
      </x:c>
      <x:c r="G1654" s="604" t="n">
        <x:v>0.92</x:v>
      </x:c>
      <x:c r="H1654" s="604" t="n">
        <x:v>1.5</x:v>
      </x:c>
      <x:c r="I1654" s="604" t="n">
        <x:v>0.78</x:v>
      </x:c>
      <x:c r="J1654" s="604" t="inlineStr">
        <x:is>
          <x:t xml:space="preserve">0.92/1.5/0.78</x:t>
        </x:is>
      </x:c>
      <x:c r="K1654" s="604" t="inlineStr">
        <x:is>
          <x:t xml:space="preserve">V4-N</x:t>
        </x:is>
      </x:c>
      <x:c r="L1654" s="604" t="inlineStr">
        <x:is>
          <x:t xml:space="preserve"/>
        </x:is>
      </x:c>
      <x:c r="M1654" s="604" t="n">
        <x:v>0.5959695714758462</x:v>
      </x:c>
      <x:c r="N1654" s="604" t="inlineStr">
        <x:is>
          <x:t xml:space="preserve">V4 Shadow Only；real_money=false</x:t>
        </x:is>
      </x:c>
      <x:c r="O1654" s="604" t="inlineStr">
        <x:is>
          <x:t xml:space="preserve">0-0</x:t>
        </x:is>
      </x:c>
      <x:c r="P1654" s="604" t="inlineStr">
        <x:is>
          <x:t xml:space="preserve">EVALUATED</x:t>
        </x:is>
      </x:c>
      <x:c r="Q1654" s="630" t="inlineStr">
        <x:is>
          <x:t xml:space="preserve"/>
        </x:is>
      </x:c>
      <x:c r="R1654" s="604" t="n"/>
      <x:c r="S1654" s="604" t="n"/>
      <x:c r="T1654" s="604" t="inlineStr">
        <x:is>
          <x:t xml:space="preserve">D:\codex\v3_legacy\outputs\football_odds_trader\raw\titan007\20261009\20261009_085232_titan007_odds_snapshot.csv</x:t>
        </x:is>
      </x:c>
      <x:c r="U1654" s="628" t="inlineStr">
        <x:is>
          <x:t xml:space="preserve"/>
        </x:is>
      </x:c>
      <x:c r="V1654" s="604" t="inlineStr">
        <x:is>
          <x:t xml:space="preserve"/>
        </x:is>
      </x:c>
      <x:c r="W1654" s="604" t="inlineStr">
        <x:is>
          <x:t xml:space="preserve"/>
        </x:is>
      </x:c>
      <x:c r="X1654" s="604" t="inlineStr">
        <x:is>
          <x:t xml:space="preserve">3083895</x:t>
        </x:is>
      </x:c>
      <x:c r="Y1654" s="604" t="inlineStr">
        <x:is>
          <x:t xml:space="preserve">V4</x:t>
        </x:is>
      </x:c>
      <x:c r="Z1654" s="604" t="inlineStr">
        <x:is>
          <x:t xml:space="preserve">prior-2026-10-09-v1</x:t>
        </x:is>
      </x:c>
      <x:c r="AA1654" s="604" t="inlineStr">
        <x:is>
          <x:t xml:space="preserve">N</x:t>
        </x:is>
      </x:c>
      <x:c r="AB1654" s="604" t="n">
        <x:v>0.5959695714758462</x:v>
      </x:c>
      <x:c r="AC1654" s="604" t="n">
        <x:v>0.4040304285241538</x:v>
      </x:c>
      <x:c r="AD1654" s="604" t="n">
        <x:v>2</x:v>
      </x:c>
      <x:c r="AE1654" s="604" t="n"/>
      <x:c r="AF1654" s="604" t="n"/>
      <x:c r="AG1654" s="604" t="n">
        <x:v>0.1442615772336246</x:v>
      </x:c>
      <x:c r="AH1654" s="604" t="n"/>
      <x:c r="AI1654" s="604" t="n"/>
      <x:c r="AJ1654" s="604" t="n">
        <x:v>0.1442615772336246</x:v>
      </x:c>
      <x:c r="AK1654" s="604" t="n"/>
      <x:c r="AL1654" s="604" t="n"/>
      <x:c r="AM1654" s="604" t="n"/>
      <x:c r="AN1654" s="604" t="inlineStr">
        <x:is>
          <x:t xml:space="preserve">EVALUATED</x:t>
        </x:is>
      </x:c>
      <x:c r="AO1654" s="604" t="inlineStr">
        <x:is>
          <x:t xml:space="preserve">LOW_QUALITY_GATE;BUCKET_PRIOR_ONLY;INTENT_INTERPRETATION_ONLY;FFL_OPTIONAL;EXPERT_MARKET</x:t>
        </x:is>
      </x:c>
      <x:c r="AP1654" s="604" t="inlineStr">
        <x:is>
          <x:t xml:space="preserve">1f8b8d2812f3237f2655</x:t>
        </x:is>
      </x:c>
      <x:c r="AQ1654" s="604" t="n"/>
      <x:c r="AR1654" s="604" t="n"/>
      <x:c r="AS1654" s="604" t="n">
        <x:v>1.5</x:v>
      </x:c>
      <x:c r="AT1654" s="604" t="n">
        <x:v>-1.5</x:v>
      </x:c>
      <x:c r="AU1654" s="604" t="n">
        <x:v>0.92</x:v>
      </x:c>
      <x:c r="AV1654" s="604" t="n">
        <x:v>0.78</x:v>
      </x:c>
      <x:c r="AW1654" s="604" t="inlineStr">
        <x:is>
          <x:t xml:space="preserve">2026-10-09T09:01:21.127001+08:00</x:t>
        </x:is>
      </x:c>
      <x:c r="AX1654" s="604" t="inlineStr">
        <x:is>
          <x:t xml:space="preserve">Titan007/V4</x:t>
        </x:is>
      </x:c>
      <x:c r="AY1654" s="604" t="inlineStr">
        <x:is>
          <x:t xml:space="preserve">Daily append；市场输入缺失时不生成决策</x:t>
        </x:is>
      </x:c>
    </x:row>
    <x:row r="1655" ht="22" customHeight="1">
      <x:c r="A1655" s="604" t="inlineStr">
        <x:is>
          <x:t xml:space="preserve">2026-10-09</x:t>
        </x:is>
      </x:c>
      <x:c r="B1655" s="604" t="inlineStr">
        <x:is>
          <x:t xml:space="preserve">2026-10-09T23:00:00+08:00</x:t>
        </x:is>
      </x:c>
      <x:c r="C1655" s="604" t="str">
        <x:v>欧洲非五大系列</x:v>
      </x:c>
      <x:c r="D1655" s="604" t="inlineStr">
        <x:is>
          <x:t xml:space="preserve"/>
        </x:is>
      </x:c>
      <x:c r="E1655" s="604" t="inlineStr">
        <x:is>
          <x:t xml:space="preserve">芬超降</x:t>
        </x:is>
      </x:c>
      <x:c r="F1655" s="604" t="inlineStr">
        <x:is>
          <x:t xml:space="preserve">塞伊奈约基 vs 拉赫蒂</x:t>
        </x:is>
      </x:c>
      <x:c r="G1655" s="604" t="n">
        <x:v>0.8100000000000001</x:v>
      </x:c>
      <x:c r="H1655" s="604" t="n">
        <x:v>-0.25</x:v>
      </x:c>
      <x:c r="I1655" s="604" t="n">
        <x:v>1.07</x:v>
      </x:c>
      <x:c r="J1655" s="604" t="inlineStr">
        <x:is>
          <x:t xml:space="preserve">0.81/-0.25/1.07</x:t>
        </x:is>
      </x:c>
      <x:c r="K1655" s="604" t="inlineStr">
        <x:is>
          <x:t xml:space="preserve">V4-N</x:t>
        </x:is>
      </x:c>
      <x:c r="L1655" s="604" t="inlineStr">
        <x:is>
          <x:t xml:space="preserve"/>
        </x:is>
      </x:c>
      <x:c r="M1655" s="604" t="n">
        <x:v>0.3391866812017036</x:v>
      </x:c>
      <x:c r="N1655" s="604" t="inlineStr">
        <x:is>
          <x:t xml:space="preserve">V4 Shadow Only；real_money=false</x:t>
        </x:is>
      </x:c>
      <x:c r="O1655" s="604" t="inlineStr">
        <x:is>
          <x:t xml:space="preserve">0-0</x:t>
        </x:is>
      </x:c>
      <x:c r="P1655" s="604" t="inlineStr">
        <x:is>
          <x:t xml:space="preserve">EVALUATED</x:t>
        </x:is>
      </x:c>
      <x:c r="Q1655" s="630" t="inlineStr">
        <x:is>
          <x:t xml:space="preserve"/>
        </x:is>
      </x:c>
      <x:c r="R1655" s="604" t="n"/>
      <x:c r="S1655" s="604" t="n"/>
      <x:c r="T1655" s="604" t="inlineStr">
        <x:is>
          <x:t xml:space="preserve">D:\codex\v3_legacy\outputs\football_odds_trader\raw\titan007\20261009\20261009_085232_titan007_odds_snapshot.csv</x:t>
        </x:is>
      </x:c>
      <x:c r="U1655" s="628" t="inlineStr">
        <x:is>
          <x:t xml:space="preserve"/>
        </x:is>
      </x:c>
      <x:c r="V1655" s="604" t="inlineStr">
        <x:is>
          <x:t xml:space="preserve"/>
        </x:is>
      </x:c>
      <x:c r="W1655" s="604" t="inlineStr">
        <x:is>
          <x:t xml:space="preserve"/>
        </x:is>
      </x:c>
      <x:c r="X1655" s="604" t="inlineStr">
        <x:is>
          <x:t xml:space="preserve">3085237</x:t>
        </x:is>
      </x:c>
      <x:c r="Y1655" s="604" t="inlineStr">
        <x:is>
          <x:t xml:space="preserve">V4</x:t>
        </x:is>
      </x:c>
      <x:c r="Z1655" s="604" t="inlineStr">
        <x:is>
          <x:t xml:space="preserve">prior-2026-10-09-v1</x:t>
        </x:is>
      </x:c>
      <x:c r="AA1655" s="604" t="inlineStr">
        <x:is>
          <x:t xml:space="preserve">N</x:t>
        </x:is>
      </x:c>
      <x:c r="AB1655" s="604" t="n">
        <x:v>0.3391866812017036</x:v>
      </x:c>
      <x:c r="AC1655" s="604" t="n">
        <x:v>0.5291788219409849</x:v>
      </x:c>
      <x:c r="AD1655" s="604" t="n">
        <x:v>0</x:v>
      </x:c>
      <x:c r="AE1655" s="604" t="n"/>
      <x:c r="AF1655" s="604" t="n"/>
      <x:c r="AG1655" s="604" t="n">
        <x:v>0.0894481645704942</x:v>
      </x:c>
      <x:c r="AH1655" s="604" t="n"/>
      <x:c r="AI1655" s="604" t="n"/>
      <x:c r="AJ1655" s="604" t="n">
        <x:v>0.0894481645704942</x:v>
      </x:c>
      <x:c r="AK1655" s="604" t="n"/>
      <x:c r="AL1655" s="604" t="n"/>
      <x:c r="AM1655" s="604" t="n"/>
      <x:c r="AN1655" s="604" t="inlineStr">
        <x:is>
          <x:t xml:space="preserve">EVALUATED</x:t>
        </x:is>
      </x:c>
      <x:c r="AO1655" s="604" t="inlineStr">
        <x:is>
          <x:t xml:space="preserve">LOW_QUALITY_GATE;BUCKET_PRIOR_ONLY;INTENT_INTERPRETATION_ONLY;FFL_OPTIONAL;EXPERT_MARKET</x:t>
        </x:is>
      </x:c>
      <x:c r="AP1655" s="604" t="inlineStr">
        <x:is>
          <x:t xml:space="preserve">70bf9961d3ecd757be0e</x:t>
        </x:is>
      </x:c>
      <x:c r="AQ1655" s="604" t="n"/>
      <x:c r="AR1655" s="604" t="n"/>
      <x:c r="AS1655" s="604" t="n">
        <x:v>-0.25</x:v>
      </x:c>
      <x:c r="AT1655" s="604" t="n">
        <x:v>0.25</x:v>
      </x:c>
      <x:c r="AU1655" s="604" t="n">
        <x:v>0.8100000000000001</x:v>
      </x:c>
      <x:c r="AV1655" s="604" t="n">
        <x:v>1.07</x:v>
      </x:c>
      <x:c r="AW1655" s="604" t="inlineStr">
        <x:is>
          <x:t xml:space="preserve">2026-10-09T09:01:21.127001+08:00</x:t>
        </x:is>
      </x:c>
      <x:c r="AX1655" s="604" t="inlineStr">
        <x:is>
          <x:t xml:space="preserve">Titan007/V4</x:t>
        </x:is>
      </x:c>
      <x:c r="AY1655" s="604" t="inlineStr">
        <x:is>
          <x:t xml:space="preserve">Daily append；市场输入缺失时不生成决策</x:t>
        </x:is>
      </x:c>
    </x:row>
    <x:row r="1656" ht="22" customHeight="1">
      <x:c r="A1656" s="604" t="inlineStr">
        <x:is>
          <x:t xml:space="preserve">2026-10-09</x:t>
        </x:is>
      </x:c>
      <x:c r="B1656" s="604" t="inlineStr">
        <x:is>
          <x:t xml:space="preserve">2026-10-09T16:30:00+08:00</x:t>
        </x:is>
      </x:c>
      <x:c r="C1656" s="604" t="str">
        <x:v>其他系列</x:v>
      </x:c>
      <x:c r="D1656" s="604" t="inlineStr">
        <x:is>
          <x:t xml:space="preserve"/>
        </x:is>
      </x:c>
      <x:c r="E1656" s="604" t="inlineStr">
        <x:is>
          <x:t xml:space="preserve">印尼甲</x:t>
        </x:is>
      </x:c>
      <x:c r="F1656" s="604" t="inlineStr">
        <x:is>
          <x:t xml:space="preserve">查亚普拉 vs 努萨塔拉</x:t>
        </x:is>
      </x:c>
      <x:c r="G1656" s="604" t="n">
        <x:v>0.9399999999999999</x:v>
      </x:c>
      <x:c r="H1656" s="604" t="n">
        <x:v>0.75</x:v>
      </x:c>
      <x:c r="I1656" s="604" t="n">
        <x:v>0.76</x:v>
      </x:c>
      <x:c r="J1656" s="604" t="inlineStr">
        <x:is>
          <x:t xml:space="preserve">0.94/0.75/0.76</x:t>
        </x:is>
      </x:c>
      <x:c r="K1656" s="604" t="inlineStr">
        <x:is>
          <x:t xml:space="preserve">V4-N</x:t>
        </x:is>
      </x:c>
      <x:c r="L1656" s="604" t="inlineStr">
        <x:is>
          <x:t xml:space="preserve"/>
        </x:is>
      </x:c>
      <x:c r="M1656" s="604" t="n">
        <x:v>0.5010201615541732</x:v>
      </x:c>
      <x:c r="N1656" s="604" t="inlineStr">
        <x:is>
          <x:t xml:space="preserve">V4 Shadow Only；real_money=false</x:t>
        </x:is>
      </x:c>
      <x:c r="O1656" s="604" t="inlineStr">
        <x:is>
          <x:t xml:space="preserve">0-0</x:t>
        </x:is>
      </x:c>
      <x:c r="P1656" s="604" t="inlineStr">
        <x:is>
          <x:t xml:space="preserve">EVALUATED</x:t>
        </x:is>
      </x:c>
      <x:c r="Q1656" s="630" t="inlineStr">
        <x:is>
          <x:t xml:space="preserve"/>
        </x:is>
      </x:c>
      <x:c r="R1656" s="604" t="n"/>
      <x:c r="S1656" s="604" t="n"/>
      <x:c r="T1656" s="604" t="inlineStr">
        <x:is>
          <x:t xml:space="preserve">D:\codex\v3_legacy\outputs\football_odds_trader\raw\titan007\20261009\20261009_085232_titan007_odds_snapshot.csv</x:t>
        </x:is>
      </x:c>
      <x:c r="U1656" s="628" t="inlineStr">
        <x:is>
          <x:t xml:space="preserve"/>
        </x:is>
      </x:c>
      <x:c r="V1656" s="604" t="inlineStr">
        <x:is>
          <x:t xml:space="preserve"/>
        </x:is>
      </x:c>
      <x:c r="W1656" s="604" t="inlineStr">
        <x:is>
          <x:t xml:space="preserve"/>
        </x:is>
      </x:c>
      <x:c r="X1656" s="604" t="inlineStr">
        <x:is>
          <x:t xml:space="preserve">3086200</x:t>
        </x:is>
      </x:c>
      <x:c r="Y1656" s="604" t="inlineStr">
        <x:is>
          <x:t xml:space="preserve">V4</x:t>
        </x:is>
      </x:c>
      <x:c r="Z1656" s="604" t="inlineStr">
        <x:is>
          <x:t xml:space="preserve">prior-2026-10-09-v1</x:t>
        </x:is>
      </x:c>
      <x:c r="AA1656" s="604" t="inlineStr">
        <x:is>
          <x:t xml:space="preserve">N</x:t>
        </x:is>
      </x:c>
      <x:c r="AB1656" s="604" t="n">
        <x:v>0.5010201615541732</x:v>
      </x:c>
      <x:c r="AC1656" s="604" t="n">
        <x:v>0.3705774141953225</x:v>
      </x:c>
      <x:c r="AD1656" s="604" t="n">
        <x:v>1</x:v>
      </x:c>
      <x:c r="AE1656" s="604" t="n"/>
      <x:c r="AF1656" s="604" t="n"/>
      <x:c r="AG1656" s="604" t="n">
        <x:v>0.1003815376656002</x:v>
      </x:c>
      <x:c r="AH1656" s="604" t="n"/>
      <x:c r="AI1656" s="604" t="n"/>
      <x:c r="AJ1656" s="604" t="n">
        <x:v>0.1003815376656002</x:v>
      </x:c>
      <x:c r="AK1656" s="604" t="n"/>
      <x:c r="AL1656" s="604" t="n"/>
      <x:c r="AM1656" s="604" t="n"/>
      <x:c r="AN1656" s="604" t="inlineStr">
        <x:is>
          <x:t xml:space="preserve">EVALUATED</x:t>
        </x:is>
      </x:c>
      <x:c r="AO1656" s="604" t="inlineStr">
        <x:is>
          <x:t xml:space="preserve">LOW_QUALITY_GATE;BUCKET_PRIOR_ONLY;INTENT_INTERPRETATION_ONLY;FFL_OPTIONAL;EXPERT_MARKET</x:t>
        </x:is>
      </x:c>
      <x:c r="AP1656" s="604" t="inlineStr">
        <x:is>
          <x:t xml:space="preserve">87ff6d97f72064c47566</x:t>
        </x:is>
      </x:c>
      <x:c r="AQ1656" s="604" t="n"/>
      <x:c r="AR1656" s="604" t="n"/>
      <x:c r="AS1656" s="604" t="n">
        <x:v>0.75</x:v>
      </x:c>
      <x:c r="AT1656" s="604" t="n">
        <x:v>-0.75</x:v>
      </x:c>
      <x:c r="AU1656" s="604" t="n">
        <x:v>0.9399999999999999</x:v>
      </x:c>
      <x:c r="AV1656" s="604" t="n">
        <x:v>0.76</x:v>
      </x:c>
      <x:c r="AW1656" s="604" t="inlineStr">
        <x:is>
          <x:t xml:space="preserve">2026-10-09T09:01:21.127001+08:00</x:t>
        </x:is>
      </x:c>
      <x:c r="AX1656" s="604" t="inlineStr">
        <x:is>
          <x:t xml:space="preserve">Titan007/V4</x:t>
        </x:is>
      </x:c>
      <x:c r="AY1656" s="604" t="inlineStr">
        <x:is>
          <x:t xml:space="preserve">Daily append；市场输入缺失时不生成决策</x:t>
        </x:is>
      </x:c>
    </x:row>
    <x:row r="1657" ht="22" customHeight="1">
      <x:c r="A1657" s="604" t="inlineStr">
        <x:is>
          <x:t xml:space="preserve">2026-10-09</x:t>
        </x:is>
      </x:c>
      <x:c r="B1657" s="604" t="inlineStr">
        <x:is>
          <x:t xml:space="preserve">2026-10-09T20:00:00+08:00</x:t>
        </x:is>
      </x:c>
      <x:c r="C1657" s="604" t="str">
        <x:v>其他系列</x:v>
      </x:c>
      <x:c r="D1657" s="604" t="inlineStr">
        <x:is>
          <x:t xml:space="preserve"/>
        </x:is>
      </x:c>
      <x:c r="E1657" s="604" t="inlineStr">
        <x:is>
          <x:t xml:space="preserve">印尼甲</x:t>
        </x:is>
      </x:c>
      <x:c r="F1657" s="604" t="inlineStr">
        <x:is>
          <x:t xml:space="preserve">三宝珑 vs 普斯拉加艾瑟</x:t>
        </x:is>
      </x:c>
      <x:c r="G1657" s="604" t="n">
        <x:v>0.85</x:v>
      </x:c>
      <x:c r="H1657" s="604" t="n">
        <x:v>1.25</x:v>
      </x:c>
      <x:c r="I1657" s="604" t="n">
        <x:v>0.95</x:v>
      </x:c>
      <x:c r="J1657" s="604" t="inlineStr">
        <x:is>
          <x:t xml:space="preserve">0.85/1.25/0.95</x:t>
        </x:is>
      </x:c>
      <x:c r="K1657" s="604" t="inlineStr">
        <x:is>
          <x:t xml:space="preserve">V4-N</x:t>
        </x:is>
      </x:c>
      <x:c r="L1657" s="604" t="inlineStr">
        <x:is>
          <x:t xml:space="preserve"/>
        </x:is>
      </x:c>
      <x:c r="M1657" s="604" t="n">
        <x:v>0.5192678142815261</x:v>
      </x:c>
      <x:c r="N1657" s="604" t="inlineStr">
        <x:is>
          <x:t xml:space="preserve">V4 Shadow Only；real_money=false</x:t>
        </x:is>
      </x:c>
      <x:c r="O1657" s="604" t="inlineStr">
        <x:is>
          <x:t xml:space="preserve">0-0</x:t>
        </x:is>
      </x:c>
      <x:c r="P1657" s="604" t="inlineStr">
        <x:is>
          <x:t xml:space="preserve">EVALUATED</x:t>
        </x:is>
      </x:c>
      <x:c r="Q1657" s="630" t="inlineStr">
        <x:is>
          <x:t xml:space="preserve"/>
        </x:is>
      </x:c>
      <x:c r="R1657" s="604" t="n"/>
      <x:c r="S1657" s="604" t="n"/>
      <x:c r="T1657" s="604" t="inlineStr">
        <x:is>
          <x:t xml:space="preserve">D:\codex\v3_legacy\outputs\football_odds_trader\raw\titan007\20261009\20261009_085232_titan007_odds_snapshot.csv</x:t>
        </x:is>
      </x:c>
      <x:c r="U1657" s="628" t="inlineStr">
        <x:is>
          <x:t xml:space="preserve"/>
        </x:is>
      </x:c>
      <x:c r="V1657" s="604" t="inlineStr">
        <x:is>
          <x:t xml:space="preserve"/>
        </x:is>
      </x:c>
      <x:c r="W1657" s="604" t="inlineStr">
        <x:is>
          <x:t xml:space="preserve"/>
        </x:is>
      </x:c>
      <x:c r="X1657" s="604" t="inlineStr">
        <x:is>
          <x:t xml:space="preserve">3086201</x:t>
        </x:is>
      </x:c>
      <x:c r="Y1657" s="604" t="inlineStr">
        <x:is>
          <x:t xml:space="preserve">V4</x:t>
        </x:is>
      </x:c>
      <x:c r="Z1657" s="604" t="inlineStr">
        <x:is>
          <x:t xml:space="preserve">prior-2026-10-09-v1</x:t>
        </x:is>
      </x:c>
      <x:c r="AA1657" s="604" t="inlineStr">
        <x:is>
          <x:t xml:space="preserve">N</x:t>
        </x:is>
      </x:c>
      <x:c r="AB1657" s="604" t="n">
        <x:v>0.5192678142815261</x:v>
      </x:c>
      <x:c r="AC1657" s="604" t="n">
        <x:v>0.3566674877105499</x:v>
      </x:c>
      <x:c r="AD1657" s="604" t="n">
        <x:v>1.75</x:v>
      </x:c>
      <x:c r="AE1657" s="604" t="n"/>
      <x:c r="AF1657" s="604" t="n"/>
      <x:c r="AG1657" s="604" t="n">
        <x:v>0.08471015442874733</x:v>
      </x:c>
      <x:c r="AH1657" s="604" t="n"/>
      <x:c r="AI1657" s="604" t="n"/>
      <x:c r="AJ1657" s="604" t="n">
        <x:v>0.08471015442874733</x:v>
      </x:c>
      <x:c r="AK1657" s="604" t="n"/>
      <x:c r="AL1657" s="604" t="n"/>
      <x:c r="AM1657" s="604" t="n"/>
      <x:c r="AN1657" s="604" t="inlineStr">
        <x:is>
          <x:t xml:space="preserve">EVALUATED</x:t>
        </x:is>
      </x:c>
      <x:c r="AO1657" s="604" t="inlineStr">
        <x:is>
          <x:t xml:space="preserve">LOW_QUALITY_GATE;BUCKET_PRIOR_ONLY;INTENT_INTERPRETATION_ONLY;FFL_OPTIONAL;EXPERT_MARKET</x:t>
        </x:is>
      </x:c>
      <x:c r="AP1657" s="604" t="inlineStr">
        <x:is>
          <x:t xml:space="preserve">6168a03a36652383b6e4</x:t>
        </x:is>
      </x:c>
      <x:c r="AQ1657" s="604" t="n"/>
      <x:c r="AR1657" s="604" t="n"/>
      <x:c r="AS1657" s="604" t="n">
        <x:v>1.25</x:v>
      </x:c>
      <x:c r="AT1657" s="604" t="n">
        <x:v>-1.25</x:v>
      </x:c>
      <x:c r="AU1657" s="604" t="n">
        <x:v>0.85</x:v>
      </x:c>
      <x:c r="AV1657" s="604" t="n">
        <x:v>0.95</x:v>
      </x:c>
      <x:c r="AW1657" s="604" t="inlineStr">
        <x:is>
          <x:t xml:space="preserve">2026-10-09T09:01:21.127001+08:00</x:t>
        </x:is>
      </x:c>
      <x:c r="AX1657" s="604" t="inlineStr">
        <x:is>
          <x:t xml:space="preserve">Titan007/V4</x:t>
        </x:is>
      </x:c>
      <x:c r="AY1657" s="604" t="inlineStr">
        <x:is>
          <x:t xml:space="preserve">Daily append；市场输入缺失时不生成决策</x:t>
        </x:is>
      </x:c>
    </x:row>
    <x:row r="1658" ht="22" customHeight="1">
      <x:c r="A1658" s="604" t="inlineStr">
        <x:is>
          <x:t xml:space="preserve">2026-10-09</x:t>
        </x:is>
      </x:c>
      <x:c r="B1658" s="604" t="inlineStr">
        <x:is>
          <x:t xml:space="preserve">2026-10-09T16:00:00+08:00</x:t>
        </x:is>
      </x:c>
      <x:c r="C1658" s="604" t="str">
        <x:v>日韩系列</x:v>
      </x:c>
      <x:c r="D1658" s="604" t="inlineStr">
        <x:is>
          <x:t xml:space="preserve"/>
        </x:is>
      </x:c>
      <x:c r="E1658" s="604" t="inlineStr">
        <x:is>
          <x:t xml:space="preserve">中U21</x:t>
        </x:is>
      </x:c>
      <x:c r="F1658" s="604" t="inlineStr">
        <x:is>
          <x:t xml:space="preserve">上海海港U21 vs 湖北青年星U21</x:t>
        </x:is>
      </x:c>
      <x:c r="G1658" s="604" t="n"/>
      <x:c r="H1658" s="604" t="n"/>
      <x:c r="I1658" s="604" t="n"/>
      <x:c r="J1658" s="604" t="inlineStr">
        <x:is>
          <x:t xml:space="preserve">//</x:t>
        </x:is>
      </x:c>
      <x:c r="K1658" s="604" t="inlineStr">
        <x:is>
          <x:t xml:space="preserve">V4不可用：市场输入缺失</x:t>
        </x:is>
      </x:c>
      <x:c r="L1658" s="604" t="inlineStr">
        <x:is>
          <x:t xml:space="preserve"/>
        </x:is>
      </x:c>
      <x:c r="M1658" s="604" t="n"/>
      <x:c r="N1658" s="604" t="inlineStr">
        <x:is>
          <x:t xml:space="preserve">V4 Shadow Only；real_money=false</x:t>
        </x:is>
      </x:c>
      <x:c r="O1658" s="604" t="inlineStr">
        <x:is>
          <x:t xml:space="preserve">0-0</x:t>
        </x:is>
      </x:c>
      <x:c r="P1658" s="604" t="inlineStr">
        <x:is>
          <x:t xml:space="preserve">MISSING_DATA</x:t>
        </x:is>
      </x:c>
      <x:c r="Q1658" s="630" t="inlineStr">
        <x:is>
          <x:t xml:space="preserve"/>
        </x:is>
      </x:c>
      <x:c r="R1658" s="604" t="n"/>
      <x:c r="S1658" s="604" t="n"/>
      <x:c r="T1658" s="604" t="inlineStr">
        <x:is>
          <x:t xml:space="preserve">D:\codex\v3_legacy\outputs\football_odds_trader\raw\titan007\20261009\20261009_085232_titan007_odds_snapshot.csv</x:t>
        </x:is>
      </x:c>
      <x:c r="U1658" s="628" t="inlineStr">
        <x:is>
          <x:t xml:space="preserve"/>
        </x:is>
      </x:c>
      <x:c r="V1658" s="604" t="inlineStr">
        <x:is>
          <x:t xml:space="preserve"/>
        </x:is>
      </x:c>
      <x:c r="W1658" s="604" t="inlineStr">
        <x:is>
          <x:t xml:space="preserve"/>
        </x:is>
      </x:c>
      <x:c r="X1658" s="604" t="inlineStr">
        <x:is>
          <x:t xml:space="preserve">3087369</x:t>
        </x:is>
      </x:c>
      <x:c r="Y1658" s="604" t="inlineStr">
        <x:is>
          <x:t xml:space="preserve">V4</x:t>
        </x:is>
      </x:c>
      <x:c r="Z1658" s="604" t="inlineStr">
        <x:is>
          <x:t xml:space="preserve">prior-2026-10-09-v1</x:t>
        </x:is>
      </x:c>
      <x:c r="AA1658" s="604" t="inlineStr">
        <x:is>
          <x:t xml:space="preserve"/>
        </x:is>
      </x:c>
      <x:c r="AB1658" s="604" t="n"/>
      <x:c r="AC1658" s="604" t="n"/>
      <x:c r="AD1658" s="604" t="n"/>
      <x:c r="AE1658" s="604" t="n"/>
      <x:c r="AF1658" s="604" t="n"/>
      <x:c r="AG1658" s="604" t="n"/>
      <x:c r="AH1658" s="604" t="n"/>
      <x:c r="AI1658" s="604" t="n"/>
      <x:c r="AJ1658" s="604" t="n"/>
      <x:c r="AK1658" s="604" t="n"/>
      <x:c r="AL1658" s="604" t="n"/>
      <x:c r="AM1658" s="604" t="n"/>
      <x:c r="AN1658" s="604" t="inlineStr">
        <x:is>
          <x:t xml:space="preserve">MISSING_DATA</x:t>
        </x:is>
      </x:c>
      <x:c r="AO1658" s="604" t="inlineStr">
        <x:is>
          <x:t xml:space="preserve">REQUIRED_MARKET_INPUT_MISSING</x:t>
        </x:is>
      </x:c>
      <x:c r="AP1658" s="604" t="inlineStr">
        <x:is>
          <x:t xml:space="preserve">a85cfcf2f797ad33d45d</x:t>
        </x:is>
      </x:c>
      <x:c r="AQ1658" s="604" t="n"/>
      <x:c r="AR1658" s="604" t="n"/>
      <x:c r="AS1658" s="604" t="n"/>
      <x:c r="AT1658" s="604" t="n"/>
      <x:c r="AU1658" s="604" t="n"/>
      <x:c r="AV1658" s="604" t="n"/>
      <x:c r="AW1658" s="604" t="inlineStr">
        <x:is>
          <x:t xml:space="preserve">2026-10-09T09:01:21.127001+08:00</x:t>
        </x:is>
      </x:c>
      <x:c r="AX1658" s="604" t="inlineStr">
        <x:is>
          <x:t xml:space="preserve">Titan007/V4</x:t>
        </x:is>
      </x:c>
      <x:c r="AY1658" s="604" t="inlineStr">
        <x:is>
          <x:t xml:space="preserve">Daily append；市场输入缺失时不生成决策</x:t>
        </x:is>
      </x:c>
    </x:row>
    <x:row r="1659" ht="22" customHeight="1">
      <x:c r="A1659" s="604" t="inlineStr">
        <x:is>
          <x:t xml:space="preserve">2026-10-09</x:t>
        </x:is>
      </x:c>
      <x:c r="B1659" s="604" t="inlineStr">
        <x:is>
          <x:t xml:space="preserve">2026-10-09T20:00:00+08:00</x:t>
        </x:is>
      </x:c>
      <x:c r="C1659" s="604" t="str">
        <x:v>欧洲非五大系列</x:v>
      </x:c>
      <x:c r="D1659" s="604" t="inlineStr">
        <x:is>
          <x:t xml:space="preserve"/>
        </x:is>
      </x:c>
      <x:c r="E1659" s="604" t="inlineStr">
        <x:is>
          <x:t xml:space="preserve">匈U19</x:t>
        </x:is>
      </x:c>
      <x:c r="F1659" s="604" t="inlineStr">
        <x:is>
          <x:t xml:space="preserve">艾卡迪麻亚U19 vs 维迪奥顿U19</x:t>
        </x:is>
      </x:c>
      <x:c r="G1659" s="604" t="n">
        <x:v>0.98</x:v>
      </x:c>
      <x:c r="H1659" s="604" t="n">
        <x:v>0.75</x:v>
      </x:c>
      <x:c r="I1659" s="604" t="n">
        <x:v>0.83</x:v>
      </x:c>
      <x:c r="J1659" s="604" t="inlineStr">
        <x:is>
          <x:t xml:space="preserve">0.98/0.75/0.83</x:t>
        </x:is>
      </x:c>
      <x:c r="K1659" s="604" t="inlineStr">
        <x:is>
          <x:t xml:space="preserve">V4-N</x:t>
        </x:is>
      </x:c>
      <x:c r="L1659" s="604" t="inlineStr">
        <x:is>
          <x:t xml:space="preserve"/>
        </x:is>
      </x:c>
      <x:c r="M1659" s="604" t="n">
        <x:v>0.4516266726492378</x:v>
      </x:c>
      <x:c r="N1659" s="604" t="inlineStr">
        <x:is>
          <x:t xml:space="preserve">V4 Shadow Only；real_money=false</x:t>
        </x:is>
      </x:c>
      <x:c r="O1659" s="604" t="inlineStr">
        <x:is>
          <x:t xml:space="preserve">0-0</x:t>
        </x:is>
      </x:c>
      <x:c r="P1659" s="604" t="inlineStr">
        <x:is>
          <x:t xml:space="preserve">EVALUATED</x:t>
        </x:is>
      </x:c>
      <x:c r="Q1659" s="630" t="inlineStr">
        <x:is>
          <x:t xml:space="preserve"/>
        </x:is>
      </x:c>
      <x:c r="R1659" s="604" t="n"/>
      <x:c r="S1659" s="604" t="n"/>
      <x:c r="T1659" s="604" t="inlineStr">
        <x:is>
          <x:t xml:space="preserve">D:\codex\v3_legacy\outputs\football_odds_trader\raw\titan007\20261009\20261009_085232_titan007_odds_snapshot.csv</x:t>
        </x:is>
      </x:c>
      <x:c r="U1659" s="628" t="inlineStr">
        <x:is>
          <x:t xml:space="preserve"/>
        </x:is>
      </x:c>
      <x:c r="V1659" s="604" t="inlineStr">
        <x:is>
          <x:t xml:space="preserve"/>
        </x:is>
      </x:c>
      <x:c r="W1659" s="604" t="inlineStr">
        <x:is>
          <x:t xml:space="preserve"/>
        </x:is>
      </x:c>
      <x:c r="X1659" s="604" t="inlineStr">
        <x:is>
          <x:t xml:space="preserve">3087896</x:t>
        </x:is>
      </x:c>
      <x:c r="Y1659" s="604" t="inlineStr">
        <x:is>
          <x:t xml:space="preserve">V4</x:t>
        </x:is>
      </x:c>
      <x:c r="Z1659" s="604" t="inlineStr">
        <x:is>
          <x:t xml:space="preserve">prior-2026-10-09-v1</x:t>
        </x:is>
      </x:c>
      <x:c r="AA1659" s="604" t="inlineStr">
        <x:is>
          <x:t xml:space="preserve">N</x:t>
        </x:is>
      </x:c>
      <x:c r="AB1659" s="604" t="n">
        <x:v>0.4516266726492378</x:v>
      </x:c>
      <x:c r="AC1659" s="604" t="n">
        <x:v>0.4227865278429204</x:v>
      </x:c>
      <x:c r="AD1659" s="604" t="n">
        <x:v>0.75</x:v>
      </x:c>
      <x:c r="AE1659" s="604" t="n"/>
      <x:c r="AF1659" s="604" t="n"/>
      <x:c r="AG1659" s="604" t="n">
        <x:v>0.0198076113533327</x:v>
      </x:c>
      <x:c r="AH1659" s="604" t="n"/>
      <x:c r="AI1659" s="604" t="n"/>
      <x:c r="AJ1659" s="604" t="n">
        <x:v>0.0198076113533327</x:v>
      </x:c>
      <x:c r="AK1659" s="604" t="n"/>
      <x:c r="AL1659" s="604" t="n"/>
      <x:c r="AM1659" s="604" t="n"/>
      <x:c r="AN1659" s="604" t="inlineStr">
        <x:is>
          <x:t xml:space="preserve">EVALUATED</x:t>
        </x:is>
      </x:c>
      <x:c r="AO1659" s="604" t="inlineStr">
        <x:is>
          <x:t xml:space="preserve">EDGE_BELOW_UNCERTAINTY_THRESHOLD;BUCKET_PRIOR_ONLY;INTENT_INTERPRETATION_ONLY;FFL_OPTIONAL;EXPERT_MARKET</x:t>
        </x:is>
      </x:c>
      <x:c r="AP1659" s="604" t="inlineStr">
        <x:is>
          <x:t xml:space="preserve">452c45d42ad2c979c495</x:t>
        </x:is>
      </x:c>
      <x:c r="AQ1659" s="604" t="n"/>
      <x:c r="AR1659" s="604" t="n"/>
      <x:c r="AS1659" s="604" t="n">
        <x:v>0.75</x:v>
      </x:c>
      <x:c r="AT1659" s="604" t="n">
        <x:v>-0.75</x:v>
      </x:c>
      <x:c r="AU1659" s="604" t="n">
        <x:v>0.98</x:v>
      </x:c>
      <x:c r="AV1659" s="604" t="n">
        <x:v>0.83</x:v>
      </x:c>
      <x:c r="AW1659" s="604" t="inlineStr">
        <x:is>
          <x:t xml:space="preserve">2026-10-09T09:01:21.127001+08:00</x:t>
        </x:is>
      </x:c>
      <x:c r="AX1659" s="604" t="inlineStr">
        <x:is>
          <x:t xml:space="preserve">Titan007/V4</x:t>
        </x:is>
      </x:c>
      <x:c r="AY1659" s="604" t="inlineStr">
        <x:is>
          <x:t xml:space="preserve">Daily append；市场输入缺失时不生成决策</x:t>
        </x:is>
      </x:c>
    </x:row>
    <x:row r="1660" ht="22" customHeight="1">
      <x:c r="A1660" s="604" t="inlineStr">
        <x:is>
          <x:t xml:space="preserve">2026-10-09</x:t>
        </x:is>
      </x:c>
      <x:c r="B1660" s="604" t="inlineStr">
        <x:is>
          <x:t xml:space="preserve">2026-10-09T17:00:00+08:00</x:t>
        </x:is>
      </x:c>
      <x:c r="C1660" s="604" t="str">
        <x:v>其他系列</x:v>
      </x:c>
      <x:c r="D1660" s="604" t="inlineStr">
        <x:is>
          <x:t xml:space="preserve"/>
        </x:is>
      </x:c>
      <x:c r="E1660" s="604" t="inlineStr">
        <x:is>
          <x:t xml:space="preserve">马足总</x:t>
        </x:is>
      </x:c>
      <x:c r="F1660" s="604" t="inlineStr">
        <x:is>
          <x:t xml:space="preserve">柔佛 vs 槟城</x:t>
        </x:is>
      </x:c>
      <x:c r="G1660" s="604" t="n">
        <x:v>0.98</x:v>
      </x:c>
      <x:c r="H1660" s="604" t="n">
        <x:v>2.5</x:v>
      </x:c>
      <x:c r="I1660" s="604" t="n">
        <x:v>0.83</x:v>
      </x:c>
      <x:c r="J1660" s="604" t="inlineStr">
        <x:is>
          <x:t xml:space="preserve">0.98/2.5/0.83</x:t>
        </x:is>
      </x:c>
      <x:c r="K1660" s="604" t="inlineStr">
        <x:is>
          <x:t xml:space="preserve">V4-B</x:t>
        </x:is>
      </x:c>
      <x:c r="L1660" s="604" t="inlineStr">
        <x:is>
          <x:t xml:space="preserve">槟城</x:t>
        </x:is>
      </x:c>
      <x:c r="M1660" s="604" t="n">
        <x:v>0.4064118726552919</x:v>
      </x:c>
      <x:c r="N1660" s="604" t="inlineStr">
        <x:is>
          <x:t xml:space="preserve">V4 Shadow Only；real_money=false</x:t>
        </x:is>
      </x:c>
      <x:c r="O1660" s="604" t="inlineStr">
        <x:is>
          <x:t xml:space="preserve">0-0</x:t>
        </x:is>
      </x:c>
      <x:c r="P1660" s="604" t="inlineStr">
        <x:is>
          <x:t xml:space="preserve">EVALUATED</x:t>
        </x:is>
      </x:c>
      <x:c r="Q1660" s="630" t="inlineStr">
        <x:is>
          <x:t xml:space="preserve"/>
        </x:is>
      </x:c>
      <x:c r="R1660" s="604" t="n">
        <x:v>0.83</x:v>
      </x:c>
      <x:c r="S1660" s="604" t="n"/>
      <x:c r="T1660" s="604" t="inlineStr">
        <x:is>
          <x:t xml:space="preserve">D:\codex\v3_legacy\outputs\football_odds_trader\raw\titan007\20261009\20261009_085232_titan007_odds_snapshot.csv</x:t>
        </x:is>
      </x:c>
      <x:c r="U1660" s="628" t="inlineStr">
        <x:is>
          <x:t xml:space="preserve"/>
        </x:is>
      </x:c>
      <x:c r="V1660" s="604" t="inlineStr">
        <x:is>
          <x:t xml:space="preserve"/>
        </x:is>
      </x:c>
      <x:c r="W1660" s="604" t="inlineStr">
        <x:is>
          <x:t xml:space="preserve"/>
        </x:is>
      </x:c>
      <x:c r="X1660" s="604" t="inlineStr">
        <x:is>
          <x:t xml:space="preserve">3091056</x:t>
        </x:is>
      </x:c>
      <x:c r="Y1660" s="604" t="inlineStr">
        <x:is>
          <x:t xml:space="preserve">V4</x:t>
        </x:is>
      </x:c>
      <x:c r="Z1660" s="604" t="inlineStr">
        <x:is>
          <x:t xml:space="preserve">prior-2026-10-09-v1</x:t>
        </x:is>
      </x:c>
      <x:c r="AA1660" s="604" t="inlineStr">
        <x:is>
          <x:t xml:space="preserve">B</x:t>
        </x:is>
      </x:c>
      <x:c r="AB1660" s="604" t="n">
        <x:v>0.4064118726552919</x:v>
      </x:c>
      <x:c r="AC1660" s="604" t="n">
        <x:v>0.5935881273447081</x:v>
      </x:c>
      <x:c r="AD1660" s="604" t="n">
        <x:v>2.25</x:v>
      </x:c>
      <x:c r="AE1660" s="604" t="n"/>
      <x:c r="AF1660" s="604" t="n"/>
      <x:c r="AG1660" s="604" t="n">
        <x:v>0.0862662730408158</x:v>
      </x:c>
      <x:c r="AH1660" s="604" t="n"/>
      <x:c r="AI1660" s="604" t="n"/>
      <x:c r="AJ1660" s="604" t="n">
        <x:v>0.0862662730408158</x:v>
      </x:c>
      <x:c r="AK1660" s="604" t="n"/>
      <x:c r="AL1660" s="604" t="n"/>
      <x:c r="AM1660" s="604" t="n"/>
      <x:c r="AN1660" s="604" t="inlineStr">
        <x:is>
          <x:t xml:space="preserve">EVALUATED</x:t>
        </x:is>
      </x:c>
      <x:c r="AO1660" s="604" t="inlineStr">
        <x:is>
          <x:t xml:space="preserve">RECEIVING_VALIDATED_EDGE;BUCKET_PRIOR_ONLY;INTENT_INTERPRETATION_ONLY;FFL_OPTIONAL;EXPERT_MARKET</x:t>
        </x:is>
      </x:c>
      <x:c r="AP1660" s="604" t="inlineStr">
        <x:is>
          <x:t xml:space="preserve">341002e478f0002a91b5</x:t>
        </x:is>
      </x:c>
      <x:c r="AQ1660" s="604" t="n">
        <x:v>2.5</x:v>
      </x:c>
      <x:c r="AR1660" s="604" t="n">
        <x:v>0.83</x:v>
      </x:c>
      <x:c r="AS1660" s="604" t="n">
        <x:v>2.5</x:v>
      </x:c>
      <x:c r="AT1660" s="604" t="n">
        <x:v>-2.5</x:v>
      </x:c>
      <x:c r="AU1660" s="604" t="n">
        <x:v>0.98</x:v>
      </x:c>
      <x:c r="AV1660" s="604" t="n">
        <x:v>0.83</x:v>
      </x:c>
      <x:c r="AW1660" s="604" t="inlineStr">
        <x:is>
          <x:t xml:space="preserve">2026-10-09T09:01:21.127001+08:00</x:t>
        </x:is>
      </x:c>
      <x:c r="AX1660" s="604" t="inlineStr">
        <x:is>
          <x:t xml:space="preserve">Titan007/V4</x:t>
        </x:is>
      </x:c>
      <x:c r="AY1660" s="604" t="inlineStr">
        <x:is>
          <x:t xml:space="preserve">Daily append；市场输入缺失时不生成决策</x:t>
        </x:is>
      </x:c>
    </x:row>
    <x:row r="1661" ht="22" customHeight="1">
      <x:c r="A1661" s="604" t="inlineStr">
        <x:is>
          <x:t xml:space="preserve">2026-10-09</x:t>
        </x:is>
      </x:c>
      <x:c r="B1661" s="604" t="inlineStr">
        <x:is>
          <x:t xml:space="preserve">2026-10-09T16:45:00+08:00</x:t>
        </x:is>
      </x:c>
      <x:c r="C1661" s="604" t="str">
        <x:v>其他系列</x:v>
      </x:c>
      <x:c r="D1661" s="604" t="inlineStr">
        <x:is>
          <x:t xml:space="preserve"/>
        </x:is>
      </x:c>
      <x:c r="E1661" s="604" t="inlineStr">
        <x:is>
          <x:t xml:space="preserve">孟加拉联</x:t>
        </x:is>
      </x:c>
      <x:c r="F1661" s="604" t="inlineStr">
        <x:is>
          <x:t xml:space="preserve">兄弟联盟 vs 福提斯</x:t>
        </x:is>
      </x:c>
      <x:c r="G1661" s="604" t="n">
        <x:v>0.8</x:v>
      </x:c>
      <x:c r="H1661" s="604" t="n">
        <x:v>-2.25</x:v>
      </x:c>
      <x:c r="I1661" s="604" t="n">
        <x:v>1</x:v>
      </x:c>
      <x:c r="J1661" s="604" t="inlineStr">
        <x:is>
          <x:t xml:space="preserve">0.8/-2.25/1.0</x:t>
        </x:is>
      </x:c>
      <x:c r="K1661" s="604" t="inlineStr">
        <x:is>
          <x:t xml:space="preserve">V4-N</x:t>
        </x:is>
      </x:c>
      <x:c r="L1661" s="604" t="inlineStr">
        <x:is>
          <x:t xml:space="preserve"/>
        </x:is>
      </x:c>
      <x:c r="M1661" s="604" t="n">
        <x:v>5.146903077144498e-06</x:v>
      </x:c>
      <x:c r="N1661" s="604" t="inlineStr">
        <x:is>
          <x:t xml:space="preserve">V4 Shadow Only；real_money=false</x:t>
        </x:is>
      </x:c>
      <x:c r="O1661" s="604" t="inlineStr">
        <x:is>
          <x:t xml:space="preserve">0-0</x:t>
        </x:is>
      </x:c>
      <x:c r="P1661" s="604" t="inlineStr">
        <x:is>
          <x:t xml:space="preserve">EVALUATED</x:t>
        </x:is>
      </x:c>
      <x:c r="Q1661" s="630" t="inlineStr">
        <x:is>
          <x:t xml:space="preserve"/>
        </x:is>
      </x:c>
      <x:c r="R1661" s="604" t="n"/>
      <x:c r="S1661" s="604" t="n"/>
      <x:c r="T1661" s="604" t="inlineStr">
        <x:is>
          <x:t xml:space="preserve">D:\codex\v3_legacy\outputs\football_odds_trader\raw\titan007\20261009\20261009_085232_titan007_odds_snapshot.csv</x:t>
        </x:is>
      </x:c>
      <x:c r="U1661" s="628" t="inlineStr">
        <x:is>
          <x:t xml:space="preserve"/>
        </x:is>
      </x:c>
      <x:c r="V1661" s="604" t="inlineStr">
        <x:is>
          <x:t xml:space="preserve"/>
        </x:is>
      </x:c>
      <x:c r="W1661" s="604" t="inlineStr">
        <x:is>
          <x:t xml:space="preserve"/>
        </x:is>
      </x:c>
      <x:c r="X1661" s="604" t="inlineStr">
        <x:is>
          <x:t xml:space="preserve">3091804</x:t>
        </x:is>
      </x:c>
      <x:c r="Y1661" s="604" t="inlineStr">
        <x:is>
          <x:t xml:space="preserve">V4</x:t>
        </x:is>
      </x:c>
      <x:c r="Z1661" s="604" t="inlineStr">
        <x:is>
          <x:t xml:space="preserve">prior-2026-10-09-v1</x:t>
        </x:is>
      </x:c>
      <x:c r="AA1661" s="604" t="inlineStr">
        <x:is>
          <x:t xml:space="preserve">N</x:t>
        </x:is>
      </x:c>
      <x:c r="AB1661" s="604" t="n">
        <x:v>5.146903077144498e-06</x:v>
      </x:c>
      <x:c r="AC1661" s="604" t="n">
        <x:v>0.9998985007374247</x:v>
      </x:c>
      <x:c r="AD1661" s="604" t="n">
        <x:v>-3</x:v>
      </x:c>
      <x:c r="AE1661" s="604" t="n"/>
      <x:c r="AF1661" s="604" t="n"/>
      <x:c r="AG1661" s="604" t="n">
        <x:v>0.7999136536868627</x:v>
      </x:c>
      <x:c r="AH1661" s="604" t="n"/>
      <x:c r="AI1661" s="604" t="n"/>
      <x:c r="AJ1661" s="604" t="n">
        <x:v>0.7999136536868627</x:v>
      </x:c>
      <x:c r="AK1661" s="604" t="n"/>
      <x:c r="AL1661" s="604" t="n"/>
      <x:c r="AM1661" s="604" t="n"/>
      <x:c r="AN1661" s="604" t="inlineStr">
        <x:is>
          <x:t xml:space="preserve">EVALUATED</x:t>
        </x:is>
      </x:c>
      <x:c r="AO1661" s="604" t="inlineStr">
        <x:is>
          <x:t xml:space="preserve">LOW_QUALITY_GATE;BUCKET_PRIOR_ONLY;INTENT_INTERPRETATION_ONLY;FFL_OPTIONAL;EXPERT_MARKET</x:t>
        </x:is>
      </x:c>
      <x:c r="AP1661" s="604" t="inlineStr">
        <x:is>
          <x:t xml:space="preserve">5cf2aefebcf2b196e64a</x:t>
        </x:is>
      </x:c>
      <x:c r="AQ1661" s="604" t="n"/>
      <x:c r="AR1661" s="604" t="n"/>
      <x:c r="AS1661" s="604" t="n">
        <x:v>-2.25</x:v>
      </x:c>
      <x:c r="AT1661" s="604" t="n">
        <x:v>2.25</x:v>
      </x:c>
      <x:c r="AU1661" s="604" t="n">
        <x:v>0.8</x:v>
      </x:c>
      <x:c r="AV1661" s="604" t="n">
        <x:v>1</x:v>
      </x:c>
      <x:c r="AW1661" s="604" t="inlineStr">
        <x:is>
          <x:t xml:space="preserve">2026-10-09T09:01:21.127001+08:00</x:t>
        </x:is>
      </x:c>
      <x:c r="AX1661" s="604" t="inlineStr">
        <x:is>
          <x:t xml:space="preserve">Titan007/V4</x:t>
        </x:is>
      </x:c>
      <x:c r="AY1661" s="604" t="inlineStr">
        <x:is>
          <x:t xml:space="preserve">Daily append；市场输入缺失时不生成决策</x:t>
        </x:is>
      </x:c>
    </x:row>
    <x:row r="1662" ht="22" customHeight="1">
      <x:c r="A1662" s="604" t="inlineStr">
        <x:is>
          <x:t xml:space="preserve">2026-10-09</x:t>
        </x:is>
      </x:c>
      <x:c r="B1662" s="604" t="inlineStr">
        <x:is>
          <x:t xml:space="preserve">2026-10-09T16:45:00+08:00</x:t>
        </x:is>
      </x:c>
      <x:c r="C1662" s="604" t="str">
        <x:v>其他系列</x:v>
      </x:c>
      <x:c r="D1662" s="604" t="inlineStr">
        <x:is>
          <x:t xml:space="preserve"/>
        </x:is>
      </x:c>
      <x:c r="E1662" s="604" t="inlineStr">
        <x:is>
          <x:t xml:space="preserve">孟加拉联</x:t>
        </x:is>
      </x:c>
      <x:c r="F1662" s="604" t="inlineStr">
        <x:is>
          <x:t xml:space="preserve">MSPCC城市 vs 乔塔格拉姆城</x:t>
        </x:is>
      </x:c>
      <x:c r="G1662" s="604" t="n"/>
      <x:c r="H1662" s="604" t="n"/>
      <x:c r="I1662" s="604" t="n"/>
      <x:c r="J1662" s="604" t="inlineStr">
        <x:is>
          <x:t xml:space="preserve">//</x:t>
        </x:is>
      </x:c>
      <x:c r="K1662" s="604" t="inlineStr">
        <x:is>
          <x:t xml:space="preserve">V4不可用：市场输入缺失</x:t>
        </x:is>
      </x:c>
      <x:c r="L1662" s="604" t="inlineStr">
        <x:is>
          <x:t xml:space="preserve"/>
        </x:is>
      </x:c>
      <x:c r="M1662" s="604" t="n"/>
      <x:c r="N1662" s="604" t="inlineStr">
        <x:is>
          <x:t xml:space="preserve">V4 Shadow Only；real_money=false</x:t>
        </x:is>
      </x:c>
      <x:c r="O1662" s="604" t="inlineStr">
        <x:is>
          <x:t xml:space="preserve">0-0</x:t>
        </x:is>
      </x:c>
      <x:c r="P1662" s="604" t="inlineStr">
        <x:is>
          <x:t xml:space="preserve">MISSING_DATA</x:t>
        </x:is>
      </x:c>
      <x:c r="Q1662" s="630" t="inlineStr">
        <x:is>
          <x:t xml:space="preserve"/>
        </x:is>
      </x:c>
      <x:c r="R1662" s="604" t="n"/>
      <x:c r="S1662" s="604" t="n"/>
      <x:c r="T1662" s="604" t="inlineStr">
        <x:is>
          <x:t xml:space="preserve">D:\codex\v3_legacy\outputs\football_odds_trader\raw\titan007\20261009\20261009_085232_titan007_odds_snapshot.csv</x:t>
        </x:is>
      </x:c>
      <x:c r="U1662" s="628" t="inlineStr">
        <x:is>
          <x:t xml:space="preserve"/>
        </x:is>
      </x:c>
      <x:c r="V1662" s="604" t="inlineStr">
        <x:is>
          <x:t xml:space="preserve"/>
        </x:is>
      </x:c>
      <x:c r="W1662" s="604" t="inlineStr">
        <x:is>
          <x:t xml:space="preserve"/>
        </x:is>
      </x:c>
      <x:c r="X1662" s="604" t="inlineStr">
        <x:is>
          <x:t xml:space="preserve">3091805</x:t>
        </x:is>
      </x:c>
      <x:c r="Y1662" s="604" t="inlineStr">
        <x:is>
          <x:t xml:space="preserve">V4</x:t>
        </x:is>
      </x:c>
      <x:c r="Z1662" s="604" t="inlineStr">
        <x:is>
          <x:t xml:space="preserve">prior-2026-10-09-v1</x:t>
        </x:is>
      </x:c>
      <x:c r="AA1662" s="604" t="inlineStr">
        <x:is>
          <x:t xml:space="preserve"/>
        </x:is>
      </x:c>
      <x:c r="AB1662" s="604" t="n"/>
      <x:c r="AC1662" s="604" t="n"/>
      <x:c r="AD1662" s="604" t="n"/>
      <x:c r="AE1662" s="604" t="n"/>
      <x:c r="AF1662" s="604" t="n"/>
      <x:c r="AG1662" s="604" t="n"/>
      <x:c r="AH1662" s="604" t="n"/>
      <x:c r="AI1662" s="604" t="n"/>
      <x:c r="AJ1662" s="604" t="n"/>
      <x:c r="AK1662" s="604" t="n"/>
      <x:c r="AL1662" s="604" t="n"/>
      <x:c r="AM1662" s="604" t="n"/>
      <x:c r="AN1662" s="604" t="inlineStr">
        <x:is>
          <x:t xml:space="preserve">MISSING_DATA</x:t>
        </x:is>
      </x:c>
      <x:c r="AO1662" s="604" t="inlineStr">
        <x:is>
          <x:t xml:space="preserve">REQUIRED_MARKET_INPUT_MISSING</x:t>
        </x:is>
      </x:c>
      <x:c r="AP1662" s="604" t="inlineStr">
        <x:is>
          <x:t xml:space="preserve">202f8bc6f584d0db7632</x:t>
        </x:is>
      </x:c>
      <x:c r="AQ1662" s="604" t="n"/>
      <x:c r="AR1662" s="604" t="n"/>
      <x:c r="AS1662" s="604" t="n"/>
      <x:c r="AT1662" s="604" t="n"/>
      <x:c r="AU1662" s="604" t="n"/>
      <x:c r="AV1662" s="604" t="n"/>
      <x:c r="AW1662" s="604" t="inlineStr">
        <x:is>
          <x:t xml:space="preserve">2026-10-09T09:01:21.127001+08:00</x:t>
        </x:is>
      </x:c>
      <x:c r="AX1662" s="604" t="inlineStr">
        <x:is>
          <x:t xml:space="preserve">Titan007/V4</x:t>
        </x:is>
      </x:c>
      <x:c r="AY1662" s="604" t="inlineStr">
        <x:is>
          <x:t xml:space="preserve">Daily append；市场输入缺失时不生成决策</x:t>
        </x:is>
      </x:c>
    </x:row>
    <x:row r="1663" ht="22" customHeight="1">
      <x:c r="A1663" s="604" t="inlineStr">
        <x:is>
          <x:t xml:space="preserve">2026-10-09</x:t>
        </x:is>
      </x:c>
      <x:c r="B1663" s="604" t="inlineStr">
        <x:is>
          <x:t xml:space="preserve">2026-10-09T16:45:00+08:00</x:t>
        </x:is>
      </x:c>
      <x:c r="C1663" s="604" t="str">
        <x:v>其他系列</x:v>
      </x:c>
      <x:c r="D1663" s="604" t="inlineStr">
        <x:is>
          <x:t xml:space="preserve"/>
        </x:is>
      </x:c>
      <x:c r="E1663" s="604" t="inlineStr">
        <x:is>
          <x:t xml:space="preserve">孟加拉联</x:t>
        </x:is>
      </x:c>
      <x:c r="F1663" s="604" t="inlineStr">
        <x:is>
          <x:t xml:space="preserve">穆罕默德SC vs 阿安姆巴格</x:t>
        </x:is>
      </x:c>
      <x:c r="G1663" s="604" t="n">
        <x:v>0.9</x:v>
      </x:c>
      <x:c r="H1663" s="604" t="n">
        <x:v>2</x:v>
      </x:c>
      <x:c r="I1663" s="604" t="n">
        <x:v>0.9</x:v>
      </x:c>
      <x:c r="J1663" s="604" t="inlineStr">
        <x:is>
          <x:t xml:space="preserve">0.9/2.0/0.9</x:t>
        </x:is>
      </x:c>
      <x:c r="K1663" s="604" t="inlineStr">
        <x:is>
          <x:t xml:space="preserve">V4-N</x:t>
        </x:is>
      </x:c>
      <x:c r="L1663" s="604" t="inlineStr">
        <x:is>
          <x:t xml:space="preserve"/>
        </x:is>
      </x:c>
      <x:c r="M1663" s="604" t="n">
        <x:v>0.4883111770911324</x:v>
      </x:c>
      <x:c r="N1663" s="604" t="inlineStr">
        <x:is>
          <x:t xml:space="preserve">V4 Shadow Only；real_money=false</x:t>
        </x:is>
      </x:c>
      <x:c r="O1663" s="604" t="inlineStr">
        <x:is>
          <x:t xml:space="preserve">0-0</x:t>
        </x:is>
      </x:c>
      <x:c r="P1663" s="604" t="inlineStr">
        <x:is>
          <x:t xml:space="preserve">EVALUATED</x:t>
        </x:is>
      </x:c>
      <x:c r="Q1663" s="630" t="inlineStr">
        <x:is>
          <x:t xml:space="preserve"/>
        </x:is>
      </x:c>
      <x:c r="R1663" s="604" t="n"/>
      <x:c r="S1663" s="604" t="n"/>
      <x:c r="T1663" s="604" t="inlineStr">
        <x:is>
          <x:t xml:space="preserve">D:\codex\v3_legacy\outputs\football_odds_trader\raw\titan007\20261009\20261009_085232_titan007_odds_snapshot.csv</x:t>
        </x:is>
      </x:c>
      <x:c r="U1663" s="628" t="inlineStr">
        <x:is>
          <x:t xml:space="preserve"/>
        </x:is>
      </x:c>
      <x:c r="V1663" s="604" t="inlineStr">
        <x:is>
          <x:t xml:space="preserve"/>
        </x:is>
      </x:c>
      <x:c r="W1663" s="604" t="inlineStr">
        <x:is>
          <x:t xml:space="preserve"/>
        </x:is>
      </x:c>
      <x:c r="X1663" s="604" t="inlineStr">
        <x:is>
          <x:t xml:space="preserve">3091806</x:t>
        </x:is>
      </x:c>
      <x:c r="Y1663" s="604" t="inlineStr">
        <x:is>
          <x:t xml:space="preserve">V4</x:t>
        </x:is>
      </x:c>
      <x:c r="Z1663" s="604" t="inlineStr">
        <x:is>
          <x:t xml:space="preserve">prior-2026-10-09-v1</x:t>
        </x:is>
      </x:c>
      <x:c r="AA1663" s="604" t="inlineStr">
        <x:is>
          <x:t xml:space="preserve">N</x:t>
        </x:is>
      </x:c>
      <x:c r="AB1663" s="604" t="n">
        <x:v>0.4883111770911324</x:v>
      </x:c>
      <x:c r="AC1663" s="604" t="n">
        <x:v>0.268620198511513</x:v>
      </x:c>
      <x:c r="AD1663" s="604" t="n">
        <x:v>2.75</x:v>
      </x:c>
      <x:c r="AE1663" s="604" t="n"/>
      <x:c r="AF1663" s="604" t="n"/>
      <x:c r="AG1663" s="604" t="n">
        <x:v>0.1708598608705061</x:v>
      </x:c>
      <x:c r="AH1663" s="604" t="n"/>
      <x:c r="AI1663" s="604" t="n"/>
      <x:c r="AJ1663" s="604" t="n">
        <x:v>0.1708598608705061</x:v>
      </x:c>
      <x:c r="AK1663" s="604" t="n"/>
      <x:c r="AL1663" s="604" t="n"/>
      <x:c r="AM1663" s="604" t="n"/>
      <x:c r="AN1663" s="604" t="inlineStr">
        <x:is>
          <x:t xml:space="preserve">EVALUATED</x:t>
        </x:is>
      </x:c>
      <x:c r="AO1663" s="604" t="inlineStr">
        <x:is>
          <x:t xml:space="preserve">LOW_QUALITY_GATE;BUCKET_PRIOR_ONLY;INTENT_INTERPRETATION_ONLY;FFL_OPTIONAL;EXPERT_MARKET</x:t>
        </x:is>
      </x:c>
      <x:c r="AP1663" s="604" t="inlineStr">
        <x:is>
          <x:t xml:space="preserve">06e77f6f8b9f77527c77</x:t>
        </x:is>
      </x:c>
      <x:c r="AQ1663" s="604" t="n"/>
      <x:c r="AR1663" s="604" t="n"/>
      <x:c r="AS1663" s="604" t="n">
        <x:v>2</x:v>
      </x:c>
      <x:c r="AT1663" s="604" t="n">
        <x:v>-2</x:v>
      </x:c>
      <x:c r="AU1663" s="604" t="n">
        <x:v>0.9</x:v>
      </x:c>
      <x:c r="AV1663" s="604" t="n">
        <x:v>0.9</x:v>
      </x:c>
      <x:c r="AW1663" s="604" t="inlineStr">
        <x:is>
          <x:t xml:space="preserve">2026-10-09T09:01:21.127001+08:00</x:t>
        </x:is>
      </x:c>
      <x:c r="AX1663" s="604" t="inlineStr">
        <x:is>
          <x:t xml:space="preserve">Titan007/V4</x:t>
        </x:is>
      </x:c>
      <x:c r="AY1663" s="604" t="inlineStr">
        <x:is>
          <x:t xml:space="preserve">Daily append；市场输入缺失时不生成决策</x:t>
        </x:is>
      </x:c>
    </x:row>
    <x:row r="1664" ht="22" customHeight="1">
      <x:c r="A1664" s="604" t="inlineStr">
        <x:is>
          <x:t xml:space="preserve">2026-10-09</x:t>
        </x:is>
      </x:c>
      <x:c r="B1664" s="604" t="inlineStr">
        <x:is>
          <x:t xml:space="preserve">2026-10-09T16:45:00+08:00</x:t>
        </x:is>
      </x:c>
      <x:c r="C1664" s="604" t="str">
        <x:v>其他系列</x:v>
      </x:c>
      <x:c r="D1664" s="604" t="inlineStr">
        <x:is>
          <x:t xml:space="preserve"/>
        </x:is>
      </x:c>
      <x:c r="E1664" s="604" t="inlineStr">
        <x:is>
          <x:t xml:space="preserve">孟加拉联</x:t>
        </x:is>
      </x:c>
      <x:c r="F1664" s="604" t="inlineStr">
        <x:is>
          <x:t xml:space="preserve">苒玛塔伽尼 vs PWD体育</x:t>
        </x:is>
      </x:c>
      <x:c r="G1664" s="604" t="n">
        <x:v>0.9</x:v>
      </x:c>
      <x:c r="H1664" s="604" t="n">
        <x:v>0.25</x:v>
      </x:c>
      <x:c r="I1664" s="604" t="n">
        <x:v>0.9</x:v>
      </x:c>
      <x:c r="J1664" s="604" t="inlineStr">
        <x:is>
          <x:t xml:space="preserve">0.9/0.25/0.9</x:t>
        </x:is>
      </x:c>
      <x:c r="K1664" s="604" t="inlineStr">
        <x:is>
          <x:t xml:space="preserve">V4-N</x:t>
        </x:is>
      </x:c>
      <x:c r="L1664" s="604" t="inlineStr">
        <x:is>
          <x:t xml:space="preserve"/>
        </x:is>
      </x:c>
      <x:c r="M1664" s="604" t="n">
        <x:v>0.4733578261312757</x:v>
      </x:c>
      <x:c r="N1664" s="604" t="inlineStr">
        <x:is>
          <x:t xml:space="preserve">V4 Shadow Only；real_money=false</x:t>
        </x:is>
      </x:c>
      <x:c r="O1664" s="604" t="inlineStr">
        <x:is>
          <x:t xml:space="preserve">0-0</x:t>
        </x:is>
      </x:c>
      <x:c r="P1664" s="604" t="inlineStr">
        <x:is>
          <x:t xml:space="preserve">EVALUATED</x:t>
        </x:is>
      </x:c>
      <x:c r="Q1664" s="630" t="inlineStr">
        <x:is>
          <x:t xml:space="preserve"/>
        </x:is>
      </x:c>
      <x:c r="R1664" s="604" t="n"/>
      <x:c r="S1664" s="604" t="n"/>
      <x:c r="T1664" s="604" t="inlineStr">
        <x:is>
          <x:t xml:space="preserve">D:\codex\v3_legacy\outputs\football_odds_trader\raw\titan007\20261009\20261009_085232_titan007_odds_snapshot.csv</x:t>
        </x:is>
      </x:c>
      <x:c r="U1664" s="628" t="inlineStr">
        <x:is>
          <x:t xml:space="preserve"/>
        </x:is>
      </x:c>
      <x:c r="V1664" s="604" t="inlineStr">
        <x:is>
          <x:t xml:space="preserve"/>
        </x:is>
      </x:c>
      <x:c r="W1664" s="604" t="inlineStr">
        <x:is>
          <x:t xml:space="preserve"/>
        </x:is>
      </x:c>
      <x:c r="X1664" s="604" t="inlineStr">
        <x:is>
          <x:t xml:space="preserve">3091807</x:t>
        </x:is>
      </x:c>
      <x:c r="Y1664" s="604" t="inlineStr">
        <x:is>
          <x:t xml:space="preserve">V4</x:t>
        </x:is>
      </x:c>
      <x:c r="Z1664" s="604" t="inlineStr">
        <x:is>
          <x:t xml:space="preserve">prior-2026-10-09-v1</x:t>
        </x:is>
      </x:c>
      <x:c r="AA1664" s="604" t="inlineStr">
        <x:is>
          <x:t xml:space="preserve">N</x:t>
        </x:is>
      </x:c>
      <x:c r="AB1664" s="604" t="n">
        <x:v>0.4733578261312757</x:v>
      </x:c>
      <x:c r="AC1664" s="604" t="n">
        <x:v>0.398057679623208</x:v>
      </x:c>
      <x:c r="AD1664" s="604" t="n">
        <x:v>0.5</x:v>
      </x:c>
      <x:c r="AE1664" s="604" t="n"/>
      <x:c r="AF1664" s="604" t="n"/>
      <x:c r="AG1664" s="604" t="n">
        <x:v>0.02796436389494017</x:v>
      </x:c>
      <x:c r="AH1664" s="604" t="n"/>
      <x:c r="AI1664" s="604" t="n"/>
      <x:c r="AJ1664" s="604" t="n">
        <x:v>0.02796436389494017</x:v>
      </x:c>
      <x:c r="AK1664" s="604" t="n"/>
      <x:c r="AL1664" s="604" t="n"/>
      <x:c r="AM1664" s="604" t="n"/>
      <x:c r="AN1664" s="604" t="inlineStr">
        <x:is>
          <x:t xml:space="preserve">EVALUATED</x:t>
        </x:is>
      </x:c>
      <x:c r="AO1664" s="604" t="inlineStr">
        <x:is>
          <x:t xml:space="preserve">EDGE_BELOW_UNCERTAINTY_THRESHOLD;BUCKET_PRIOR_ONLY;INTENT_INTERPRETATION_ONLY;FFL_OPTIONAL;EXPERT_MARKET</x:t>
        </x:is>
      </x:c>
      <x:c r="AP1664" s="604" t="inlineStr">
        <x:is>
          <x:t xml:space="preserve">26818c85e6649b8c861c</x:t>
        </x:is>
      </x:c>
      <x:c r="AQ1664" s="604" t="n"/>
      <x:c r="AR1664" s="604" t="n"/>
      <x:c r="AS1664" s="604" t="n">
        <x:v>0.25</x:v>
      </x:c>
      <x:c r="AT1664" s="604" t="n">
        <x:v>-0.25</x:v>
      </x:c>
      <x:c r="AU1664" s="604" t="n">
        <x:v>0.9</x:v>
      </x:c>
      <x:c r="AV1664" s="604" t="n">
        <x:v>0.9</x:v>
      </x:c>
      <x:c r="AW1664" s="604" t="inlineStr">
        <x:is>
          <x:t xml:space="preserve">2026-10-09T09:01:21.127001+08:00</x:t>
        </x:is>
      </x:c>
      <x:c r="AX1664" s="604" t="inlineStr">
        <x:is>
          <x:t xml:space="preserve">Titan007/V4</x:t>
        </x:is>
      </x:c>
      <x:c r="AY1664" s="604" t="inlineStr">
        <x:is>
          <x:t xml:space="preserve">Daily append；市场输入缺失时不生成决策</x:t>
        </x:is>
      </x:c>
    </x:row>
    <x:row r="1665" ht="22" customHeight="1">
      <x:c r="A1665" s="604" t="inlineStr">
        <x:is>
          <x:t xml:space="preserve">2026-10-09</x:t>
        </x:is>
      </x:c>
      <x:c r="B1665" s="604" t="inlineStr">
        <x:is>
          <x:t xml:space="preserve">2026-10-09T19:30:00+08:00</x:t>
        </x:is>
      </x:c>
      <x:c r="C1665" s="604" t="str">
        <x:v>其他系列</x:v>
      </x:c>
      <x:c r="D1665" s="604" t="inlineStr">
        <x:is>
          <x:t xml:space="preserve"/>
        </x:is>
      </x:c>
      <x:c r="E1665" s="604" t="inlineStr">
        <x:is>
          <x:t xml:space="preserve">孟加拉联</x:t>
        </x:is>
      </x:c>
      <x:c r="F1665" s="604" t="inlineStr">
        <x:is>
          <x:t xml:space="preserve">巴斯顺达拉国王 vs 达卡流浪者</x:t>
        </x:is>
      </x:c>
      <x:c r="G1665" s="604" t="n">
        <x:v>0.93</x:v>
      </x:c>
      <x:c r="H1665" s="604" t="n">
        <x:v>2.75</x:v>
      </x:c>
      <x:c r="I1665" s="604" t="n">
        <x:v>0.88</x:v>
      </x:c>
      <x:c r="J1665" s="604" t="inlineStr">
        <x:is>
          <x:t xml:space="preserve">0.93/2.75/0.88</x:t>
        </x:is>
      </x:c>
      <x:c r="K1665" s="604" t="inlineStr">
        <x:is>
          <x:t xml:space="preserve">V4-N</x:t>
        </x:is>
      </x:c>
      <x:c r="L1665" s="604" t="inlineStr">
        <x:is>
          <x:t xml:space="preserve"/>
        </x:is>
      </x:c>
      <x:c r="M1665" s="604" t="n">
        <x:v>0.4275803987786481</x:v>
      </x:c>
      <x:c r="N1665" s="604" t="inlineStr">
        <x:is>
          <x:t xml:space="preserve">V4 Shadow Only；real_money=false</x:t>
        </x:is>
      </x:c>
      <x:c r="O1665" s="604" t="inlineStr">
        <x:is>
          <x:t xml:space="preserve">0-0</x:t>
        </x:is>
      </x:c>
      <x:c r="P1665" s="604" t="inlineStr">
        <x:is>
          <x:t xml:space="preserve">EVALUATED</x:t>
        </x:is>
      </x:c>
      <x:c r="Q1665" s="630" t="inlineStr">
        <x:is>
          <x:t xml:space="preserve"/>
        </x:is>
      </x:c>
      <x:c r="R1665" s="604" t="n"/>
      <x:c r="S1665" s="604" t="n"/>
      <x:c r="T1665" s="604" t="inlineStr">
        <x:is>
          <x:t xml:space="preserve">D:\codex\v3_legacy\outputs\football_odds_trader\raw\titan007\20261009\20261009_085232_titan007_odds_snapshot.csv</x:t>
        </x:is>
      </x:c>
      <x:c r="U1665" s="628" t="inlineStr">
        <x:is>
          <x:t xml:space="preserve"/>
        </x:is>
      </x:c>
      <x:c r="V1665" s="604" t="inlineStr">
        <x:is>
          <x:t xml:space="preserve"/>
        </x:is>
      </x:c>
      <x:c r="W1665" s="604" t="inlineStr">
        <x:is>
          <x:t xml:space="preserve"/>
        </x:is>
      </x:c>
      <x:c r="X1665" s="604" t="inlineStr">
        <x:is>
          <x:t xml:space="preserve">3091808</x:t>
        </x:is>
      </x:c>
      <x:c r="Y1665" s="604" t="inlineStr">
        <x:is>
          <x:t xml:space="preserve">V4</x:t>
        </x:is>
      </x:c>
      <x:c r="Z1665" s="604" t="inlineStr">
        <x:is>
          <x:t xml:space="preserve">prior-2026-10-09-v1</x:t>
        </x:is>
      </x:c>
      <x:c r="AA1665" s="604" t="inlineStr">
        <x:is>
          <x:t xml:space="preserve">N</x:t>
        </x:is>
      </x:c>
      <x:c r="AB1665" s="604" t="n">
        <x:v>0.4275803987786481</x:v>
      </x:c>
      <x:c r="AC1665" s="604" t="n">
        <x:v>0.4629418322725971</x:v>
      </x:c>
      <x:c r="AD1665" s="604" t="n">
        <x:v>3</x:v>
      </x:c>
      <x:c r="AE1665" s="604" t="n"/>
      <x:c r="AF1665" s="604" t="n"/>
      <x:c r="AG1665" s="604" t="n">
        <x:v>-0.02019158637876267</x:v>
      </x:c>
      <x:c r="AH1665" s="604" t="n"/>
      <x:c r="AI1665" s="604" t="n"/>
      <x:c r="AJ1665" s="604" t="n">
        <x:v>-0.02019158637876267</x:v>
      </x:c>
      <x:c r="AK1665" s="604" t="n"/>
      <x:c r="AL1665" s="604" t="n"/>
      <x:c r="AM1665" s="604" t="n"/>
      <x:c r="AN1665" s="604" t="inlineStr">
        <x:is>
          <x:t xml:space="preserve">EVALUATED</x:t>
        </x:is>
      </x:c>
      <x:c r="AO1665" s="604" t="inlineStr">
        <x:is>
          <x:t xml:space="preserve">EDGE_BELOW_UNCERTAINTY_THRESHOLD;BUCKET_PRIOR_ONLY;INTENT_INTERPRETATION_ONLY;FFL_OPTIONAL;EXPERT_MARKET</x:t>
        </x:is>
      </x:c>
      <x:c r="AP1665" s="604" t="inlineStr">
        <x:is>
          <x:t xml:space="preserve">1546aa12eb3d01931083</x:t>
        </x:is>
      </x:c>
      <x:c r="AQ1665" s="604" t="n"/>
      <x:c r="AR1665" s="604" t="n"/>
      <x:c r="AS1665" s="604" t="n">
        <x:v>2.75</x:v>
      </x:c>
      <x:c r="AT1665" s="604" t="n">
        <x:v>-2.75</x:v>
      </x:c>
      <x:c r="AU1665" s="604" t="n">
        <x:v>0.93</x:v>
      </x:c>
      <x:c r="AV1665" s="604" t="n">
        <x:v>0.88</x:v>
      </x:c>
      <x:c r="AW1665" s="604" t="inlineStr">
        <x:is>
          <x:t xml:space="preserve">2026-10-09T09:01:21.127001+08:00</x:t>
        </x:is>
      </x:c>
      <x:c r="AX1665" s="604" t="inlineStr">
        <x:is>
          <x:t xml:space="preserve">Titan007/V4</x:t>
        </x:is>
      </x:c>
      <x:c r="AY1665" s="604" t="inlineStr">
        <x:is>
          <x:t xml:space="preserve">Daily append；市场输入缺失时不生成决策</x:t>
        </x:is>
      </x:c>
    </x:row>
    <x:row r="1666" ht="22" customHeight="1">
      <x:c r="A1666" s="604" t="inlineStr">
        <x:is>
          <x:t xml:space="preserve">2026-10-09</x:t>
        </x:is>
      </x:c>
      <x:c r="B1666" s="604" t="inlineStr">
        <x:is>
          <x:t xml:space="preserve">2026-10-10T04:30:00+08:00</x:t>
        </x:is>
      </x:c>
      <x:c r="C1666" s="604" t="str">
        <x:v>南美系列</x:v>
      </x:c>
      <x:c r="D1666" s="604" t="inlineStr">
        <x:is>
          <x:t xml:space="preserve"/>
        </x:is>
      </x:c>
      <x:c r="E1666" s="604" t="inlineStr">
        <x:is>
          <x:t xml:space="preserve">厄瓜甲降</x:t>
        </x:is>
      </x:c>
      <x:c r="F1666" s="604" t="inlineStr">
        <x:is>
          <x:t xml:space="preserve">德芬 vs 穆苏克鲁纳</x:t>
        </x:is>
      </x:c>
      <x:c r="G1666" s="604" t="n">
        <x:v>0.99</x:v>
      </x:c>
      <x:c r="H1666" s="604" t="n">
        <x:v>0.25</x:v>
      </x:c>
      <x:c r="I1666" s="604" t="n">
        <x:v>0.77</x:v>
      </x:c>
      <x:c r="J1666" s="604" t="inlineStr">
        <x:is>
          <x:t xml:space="preserve">0.99/0.25/0.77</x:t>
        </x:is>
      </x:c>
      <x:c r="K1666" s="604" t="inlineStr">
        <x:is>
          <x:t xml:space="preserve">V4-N</x:t>
        </x:is>
      </x:c>
      <x:c r="L1666" s="604" t="inlineStr">
        <x:is>
          <x:t xml:space="preserve"/>
        </x:is>
      </x:c>
      <x:c r="M1666" s="604" t="n">
        <x:v>0.4521922181150573</x:v>
      </x:c>
      <x:c r="N1666" s="604" t="inlineStr">
        <x:is>
          <x:t xml:space="preserve">V4 Shadow Only；real_money=false</x:t>
        </x:is>
      </x:c>
      <x:c r="O1666" s="604" t="inlineStr">
        <x:is>
          <x:t xml:space="preserve">0-0</x:t>
        </x:is>
      </x:c>
      <x:c r="P1666" s="604" t="inlineStr">
        <x:is>
          <x:t xml:space="preserve">EVALUATED</x:t>
        </x:is>
      </x:c>
      <x:c r="Q1666" s="630" t="inlineStr">
        <x:is>
          <x:t xml:space="preserve"/>
        </x:is>
      </x:c>
      <x:c r="R1666" s="604" t="n"/>
      <x:c r="S1666" s="604" t="n"/>
      <x:c r="T1666" s="604" t="inlineStr">
        <x:is>
          <x:t xml:space="preserve">D:\codex\v3_legacy\outputs\football_odds_trader\raw\titan007\20261009\20261009_085232_titan007_odds_snapshot.csv</x:t>
        </x:is>
      </x:c>
      <x:c r="U1666" s="628" t="inlineStr">
        <x:is>
          <x:t xml:space="preserve"/>
        </x:is>
      </x:c>
      <x:c r="V1666" s="604" t="inlineStr">
        <x:is>
          <x:t xml:space="preserve"/>
        </x:is>
      </x:c>
      <x:c r="W1666" s="604" t="inlineStr">
        <x:is>
          <x:t xml:space="preserve"/>
        </x:is>
      </x:c>
      <x:c r="X1666" s="604" t="inlineStr">
        <x:is>
          <x:t xml:space="preserve">3091907</x:t>
        </x:is>
      </x:c>
      <x:c r="Y1666" s="604" t="inlineStr">
        <x:is>
          <x:t xml:space="preserve">V4</x:t>
        </x:is>
      </x:c>
      <x:c r="Z1666" s="604" t="inlineStr">
        <x:is>
          <x:t xml:space="preserve">prior-2026-10-09-v1</x:t>
        </x:is>
      </x:c>
      <x:c r="AA1666" s="604" t="inlineStr">
        <x:is>
          <x:t xml:space="preserve">N</x:t>
        </x:is>
      </x:c>
      <x:c r="AB1666" s="604" t="n">
        <x:v>0.4521922181150573</x:v>
      </x:c>
      <x:c r="AC1666" s="604" t="n">
        <x:v>0.4172041820090727</x:v>
      </x:c>
      <x:c r="AD1666" s="604" t="n">
        <x:v>0.25</x:v>
      </x:c>
      <x:c r="AE1666" s="604" t="n"/>
      <x:c r="AF1666" s="604" t="n"/>
      <x:c r="AG1666" s="604" t="n">
        <x:v>0.030466113924834</x:v>
      </x:c>
      <x:c r="AH1666" s="604" t="n"/>
      <x:c r="AI1666" s="604" t="n"/>
      <x:c r="AJ1666" s="604" t="n">
        <x:v>0.030466113924834</x:v>
      </x:c>
      <x:c r="AK1666" s="604" t="n"/>
      <x:c r="AL1666" s="604" t="n"/>
      <x:c r="AM1666" s="604" t="n"/>
      <x:c r="AN1666" s="604" t="inlineStr">
        <x:is>
          <x:t xml:space="preserve">EVALUATED</x:t>
        </x:is>
      </x:c>
      <x:c r="AO1666" s="604" t="inlineStr">
        <x:is>
          <x:t xml:space="preserve">EDGE_BELOW_UNCERTAINTY_THRESHOLD;BUCKET_PRIOR_ONLY;INTENT_INTERPRETATION_ONLY;FFL_OPTIONAL;EXPERT_MARKET</x:t>
        </x:is>
      </x:c>
      <x:c r="AP1666" s="604" t="inlineStr">
        <x:is>
          <x:t xml:space="preserve">b247b86a9691a8c05539</x:t>
        </x:is>
      </x:c>
      <x:c r="AQ1666" s="604" t="n"/>
      <x:c r="AR1666" s="604" t="n"/>
      <x:c r="AS1666" s="604" t="n">
        <x:v>0.25</x:v>
      </x:c>
      <x:c r="AT1666" s="604" t="n">
        <x:v>-0.25</x:v>
      </x:c>
      <x:c r="AU1666" s="604" t="n">
        <x:v>0.99</x:v>
      </x:c>
      <x:c r="AV1666" s="604" t="n">
        <x:v>0.77</x:v>
      </x:c>
      <x:c r="AW1666" s="604" t="inlineStr">
        <x:is>
          <x:t xml:space="preserve">2026-10-09T09:01:21.127001+08:00</x:t>
        </x:is>
      </x:c>
      <x:c r="AX1666" s="604" t="inlineStr">
        <x:is>
          <x:t xml:space="preserve">Titan007/V4</x:t>
        </x:is>
      </x:c>
      <x:c r="AY1666" s="604" t="inlineStr">
        <x:is>
          <x:t xml:space="preserve">Daily append；市场输入缺失时不生成决策</x:t>
        </x:is>
      </x:c>
    </x:row>
    <x:row r="1667" ht="22" customHeight="1">
      <x:c r="A1667" s="604" t="inlineStr">
        <x:is>
          <x:t xml:space="preserve">2026-10-09</x:t>
        </x:is>
      </x:c>
      <x:c r="B1667" s="604" t="inlineStr">
        <x:is>
          <x:t xml:space="preserve">2026-10-10T09:30:00+08:00</x:t>
        </x:is>
      </x:c>
      <x:c r="C1667" s="604" t="str">
        <x:v>其他系列</x:v>
      </x:c>
      <x:c r="D1667" s="604" t="inlineStr">
        <x:is>
          <x:t xml:space="preserve"/>
        </x:is>
      </x:c>
      <x:c r="E1667" s="604" t="inlineStr">
        <x:is>
          <x:t xml:space="preserve">新西兰联</x:t>
        </x:is>
      </x:c>
      <x:c r="F1667" s="604" t="inlineStr">
        <x:is>
          <x:t xml:space="preserve">威灵顿凤凰后备队 vs 伯肯黑德联</x:t>
        </x:is>
      </x:c>
      <x:c r="G1667" s="604" t="n"/>
      <x:c r="H1667" s="604" t="n"/>
      <x:c r="I1667" s="604" t="n"/>
      <x:c r="J1667" s="604" t="inlineStr">
        <x:is>
          <x:t xml:space="preserve">//</x:t>
        </x:is>
      </x:c>
      <x:c r="K1667" s="604" t="inlineStr">
        <x:is>
          <x:t xml:space="preserve">V4不可用：市场输入缺失</x:t>
        </x:is>
      </x:c>
      <x:c r="L1667" s="604" t="inlineStr">
        <x:is>
          <x:t xml:space="preserve"/>
        </x:is>
      </x:c>
      <x:c r="M1667" s="604" t="n"/>
      <x:c r="N1667" s="604" t="inlineStr">
        <x:is>
          <x:t xml:space="preserve">V4 Shadow Only；real_money=false</x:t>
        </x:is>
      </x:c>
      <x:c r="O1667" s="604" t="inlineStr">
        <x:is>
          <x:t xml:space="preserve">0-0</x:t>
        </x:is>
      </x:c>
      <x:c r="P1667" s="604" t="inlineStr">
        <x:is>
          <x:t xml:space="preserve">MISSING_DATA</x:t>
        </x:is>
      </x:c>
      <x:c r="Q1667" s="630" t="inlineStr">
        <x:is>
          <x:t xml:space="preserve"/>
        </x:is>
      </x:c>
      <x:c r="R1667" s="604" t="n"/>
      <x:c r="S1667" s="604" t="n"/>
      <x:c r="T1667" s="604" t="inlineStr">
        <x:is>
          <x:t xml:space="preserve">D:\codex\v3_legacy\outputs\football_odds_trader\raw\titan007\20261009\20261009_085232_titan007_odds_snapshot.csv</x:t>
        </x:is>
      </x:c>
      <x:c r="U1667" s="628" t="inlineStr">
        <x:is>
          <x:t xml:space="preserve"/>
        </x:is>
      </x:c>
      <x:c r="V1667" s="604" t="inlineStr">
        <x:is>
          <x:t xml:space="preserve"/>
        </x:is>
      </x:c>
      <x:c r="W1667" s="604" t="inlineStr">
        <x:is>
          <x:t xml:space="preserve"/>
        </x:is>
      </x:c>
      <x:c r="X1667" s="604" t="inlineStr">
        <x:is>
          <x:t xml:space="preserve">3092302</x:t>
        </x:is>
      </x:c>
      <x:c r="Y1667" s="604" t="inlineStr">
        <x:is>
          <x:t xml:space="preserve">V4</x:t>
        </x:is>
      </x:c>
      <x:c r="Z1667" s="604" t="inlineStr">
        <x:is>
          <x:t xml:space="preserve">prior-2026-10-09-v1</x:t>
        </x:is>
      </x:c>
      <x:c r="AA1667" s="604" t="inlineStr">
        <x:is>
          <x:t xml:space="preserve"/>
        </x:is>
      </x:c>
      <x:c r="AB1667" s="604" t="n"/>
      <x:c r="AC1667" s="604" t="n"/>
      <x:c r="AD1667" s="604" t="n"/>
      <x:c r="AE1667" s="604" t="n"/>
      <x:c r="AF1667" s="604" t="n"/>
      <x:c r="AG1667" s="604" t="n"/>
      <x:c r="AH1667" s="604" t="n"/>
      <x:c r="AI1667" s="604" t="n"/>
      <x:c r="AJ1667" s="604" t="n"/>
      <x:c r="AK1667" s="604" t="n"/>
      <x:c r="AL1667" s="604" t="n"/>
      <x:c r="AM1667" s="604" t="n"/>
      <x:c r="AN1667" s="604" t="inlineStr">
        <x:is>
          <x:t xml:space="preserve">MISSING_DATA</x:t>
        </x:is>
      </x:c>
      <x:c r="AO1667" s="604" t="inlineStr">
        <x:is>
          <x:t xml:space="preserve">REQUIRED_MARKET_INPUT_MISSING</x:t>
        </x:is>
      </x:c>
      <x:c r="AP1667" s="604" t="inlineStr">
        <x:is>
          <x:t xml:space="preserve">6468eefc538dc0cc9f76</x:t>
        </x:is>
      </x:c>
      <x:c r="AQ1667" s="604" t="n"/>
      <x:c r="AR1667" s="604" t="n"/>
      <x:c r="AS1667" s="604" t="n"/>
      <x:c r="AT1667" s="604" t="n"/>
      <x:c r="AU1667" s="604" t="n"/>
      <x:c r="AV1667" s="604" t="n"/>
      <x:c r="AW1667" s="604" t="inlineStr">
        <x:is>
          <x:t xml:space="preserve">2026-10-09T09:01:21.127001+08:00</x:t>
        </x:is>
      </x:c>
      <x:c r="AX1667" s="604" t="inlineStr">
        <x:is>
          <x:t xml:space="preserve">Titan007/V4</x:t>
        </x:is>
      </x:c>
      <x:c r="AY1667" s="604" t="inlineStr">
        <x:is>
          <x:t xml:space="preserve">Daily append；市场输入缺失时不生成决策</x:t>
        </x:is>
      </x:c>
    </x:row>
    <x:row r="1668" ht="22" customHeight="1">
      <x:c r="A1668" s="604" t="inlineStr">
        <x:is>
          <x:t xml:space="preserve">2026-10-09</x:t>
        </x:is>
      </x:c>
      <x:c r="B1668" s="604" t="inlineStr">
        <x:is>
          <x:t xml:space="preserve">2026-10-10T10:00:00+08:00</x:t>
        </x:is>
      </x:c>
      <x:c r="C1668" s="604" t="str">
        <x:v>其他系列</x:v>
      </x:c>
      <x:c r="D1668" s="604" t="inlineStr">
        <x:is>
          <x:t xml:space="preserve"/>
        </x:is>
      </x:c>
      <x:c r="E1668" s="604" t="inlineStr">
        <x:is>
          <x:t xml:space="preserve">新西兰联</x:t>
        </x:is>
      </x:c>
      <x:c r="F1668" s="604" t="inlineStr">
        <x:is>
          <x:t xml:space="preserve">奥克兰城 vs 惠灵顿奥运会</x:t>
        </x:is>
      </x:c>
      <x:c r="G1668" s="604" t="n"/>
      <x:c r="H1668" s="604" t="n"/>
      <x:c r="I1668" s="604" t="n"/>
      <x:c r="J1668" s="604" t="inlineStr">
        <x:is>
          <x:t xml:space="preserve">//</x:t>
        </x:is>
      </x:c>
      <x:c r="K1668" s="604" t="inlineStr">
        <x:is>
          <x:t xml:space="preserve">V4不可用：市场输入缺失</x:t>
        </x:is>
      </x:c>
      <x:c r="L1668" s="604" t="inlineStr">
        <x:is>
          <x:t xml:space="preserve"/>
        </x:is>
      </x:c>
      <x:c r="M1668" s="604" t="n"/>
      <x:c r="N1668" s="604" t="inlineStr">
        <x:is>
          <x:t xml:space="preserve">V4 Shadow Only；real_money=false</x:t>
        </x:is>
      </x:c>
      <x:c r="O1668" s="604" t="inlineStr">
        <x:is>
          <x:t xml:space="preserve">0-0</x:t>
        </x:is>
      </x:c>
      <x:c r="P1668" s="604" t="inlineStr">
        <x:is>
          <x:t xml:space="preserve">MISSING_DATA</x:t>
        </x:is>
      </x:c>
      <x:c r="Q1668" s="630" t="inlineStr">
        <x:is>
          <x:t xml:space="preserve"/>
        </x:is>
      </x:c>
      <x:c r="R1668" s="604" t="n"/>
      <x:c r="S1668" s="604" t="n"/>
      <x:c r="T1668" s="604" t="inlineStr">
        <x:is>
          <x:t xml:space="preserve">D:\codex\v3_legacy\outputs\football_odds_trader\raw\titan007\20261009\20261009_085232_titan007_odds_snapshot.csv</x:t>
        </x:is>
      </x:c>
      <x:c r="U1668" s="628" t="inlineStr">
        <x:is>
          <x:t xml:space="preserve"/>
        </x:is>
      </x:c>
      <x:c r="V1668" s="604" t="inlineStr">
        <x:is>
          <x:t xml:space="preserve"/>
        </x:is>
      </x:c>
      <x:c r="W1668" s="604" t="inlineStr">
        <x:is>
          <x:t xml:space="preserve"/>
        </x:is>
      </x:c>
      <x:c r="X1668" s="604" t="inlineStr">
        <x:is>
          <x:t xml:space="preserve">3092303</x:t>
        </x:is>
      </x:c>
      <x:c r="Y1668" s="604" t="inlineStr">
        <x:is>
          <x:t xml:space="preserve">V4</x:t>
        </x:is>
      </x:c>
      <x:c r="Z1668" s="604" t="inlineStr">
        <x:is>
          <x:t xml:space="preserve">prior-2026-10-09-v1</x:t>
        </x:is>
      </x:c>
      <x:c r="AA1668" s="604" t="inlineStr">
        <x:is>
          <x:t xml:space="preserve"/>
        </x:is>
      </x:c>
      <x:c r="AB1668" s="604" t="n"/>
      <x:c r="AC1668" s="604" t="n"/>
      <x:c r="AD1668" s="604" t="n"/>
      <x:c r="AE1668" s="604" t="n"/>
      <x:c r="AF1668" s="604" t="n"/>
      <x:c r="AG1668" s="604" t="n"/>
      <x:c r="AH1668" s="604" t="n"/>
      <x:c r="AI1668" s="604" t="n"/>
      <x:c r="AJ1668" s="604" t="n"/>
      <x:c r="AK1668" s="604" t="n"/>
      <x:c r="AL1668" s="604" t="n"/>
      <x:c r="AM1668" s="604" t="n"/>
      <x:c r="AN1668" s="604" t="inlineStr">
        <x:is>
          <x:t xml:space="preserve">MISSING_DATA</x:t>
        </x:is>
      </x:c>
      <x:c r="AO1668" s="604" t="inlineStr">
        <x:is>
          <x:t xml:space="preserve">REQUIRED_MARKET_INPUT_MISSING</x:t>
        </x:is>
      </x:c>
      <x:c r="AP1668" s="604" t="inlineStr">
        <x:is>
          <x:t xml:space="preserve">5f2d59097186365ea984</x:t>
        </x:is>
      </x:c>
      <x:c r="AQ1668" s="604" t="n"/>
      <x:c r="AR1668" s="604" t="n"/>
      <x:c r="AS1668" s="604" t="n"/>
      <x:c r="AT1668" s="604" t="n"/>
      <x:c r="AU1668" s="604" t="n"/>
      <x:c r="AV1668" s="604" t="n"/>
      <x:c r="AW1668" s="604" t="inlineStr">
        <x:is>
          <x:t xml:space="preserve">2026-10-09T09:01:21.127001+08:00</x:t>
        </x:is>
      </x:c>
      <x:c r="AX1668" s="604" t="inlineStr">
        <x:is>
          <x:t xml:space="preserve">Titan007/V4</x:t>
        </x:is>
      </x:c>
      <x:c r="AY1668" s="604" t="inlineStr">
        <x:is>
          <x:t xml:space="preserve">Daily append；市场输入缺失时不生成决策</x:t>
        </x:is>
      </x:c>
    </x:row>
    <x:row r="1669" ht="22" customHeight="1">
      <x:c r="A1669" s="604" t="inlineStr">
        <x:is>
          <x:t xml:space="preserve">2026-10-09</x:t>
        </x:is>
      </x:c>
      <x:c r="B1669" s="604" t="inlineStr">
        <x:is>
          <x:t xml:space="preserve">2026-10-09T22:50:00+08:00</x:t>
        </x:is>
      </x:c>
      <x:c r="C1669" s="604" t="str">
        <x:v>西亚/中亚系列</x:v>
      </x:c>
      <x:c r="D1669" s="604" t="inlineStr">
        <x:is>
          <x:t xml:space="preserve"/>
        </x:is>
      </x:c>
      <x:c r="E1669" s="604" t="inlineStr">
        <x:is>
          <x:t xml:space="preserve">科威特联</x:t>
        </x:is>
      </x:c>
      <x:c r="F1669" s="604" t="inlineStr">
        <x:is>
          <x:t xml:space="preserve">纳沙 vs 科威特竞技</x:t>
        </x:is>
      </x:c>
      <x:c r="G1669" s="604" t="n">
        <x:v>0.88</x:v>
      </x:c>
      <x:c r="H1669" s="604" t="n">
        <x:v>-1.25</x:v>
      </x:c>
      <x:c r="I1669" s="604" t="n">
        <x:v>0.88</x:v>
      </x:c>
      <x:c r="J1669" s="604" t="inlineStr">
        <x:is>
          <x:t xml:space="preserve">0.88/-1.25/0.88</x:t>
        </x:is>
      </x:c>
      <x:c r="K1669" s="604" t="inlineStr">
        <x:is>
          <x:t xml:space="preserve">V4-N</x:t>
        </x:is>
      </x:c>
      <x:c r="L1669" s="604" t="inlineStr">
        <x:is>
          <x:t xml:space="preserve"/>
        </x:is>
      </x:c>
      <x:c r="M1669" s="604" t="n">
        <x:v>0.006337825867767369</x:v>
      </x:c>
      <x:c r="N1669" s="604" t="inlineStr">
        <x:is>
          <x:t xml:space="preserve">V4 Shadow Only；real_money=false</x:t>
        </x:is>
      </x:c>
      <x:c r="O1669" s="604" t="inlineStr">
        <x:is>
          <x:t xml:space="preserve">0-0</x:t>
        </x:is>
      </x:c>
      <x:c r="P1669" s="604" t="inlineStr">
        <x:is>
          <x:t xml:space="preserve">EVALUATED</x:t>
        </x:is>
      </x:c>
      <x:c r="Q1669" s="630" t="inlineStr">
        <x:is>
          <x:t xml:space="preserve"/>
        </x:is>
      </x:c>
      <x:c r="R1669" s="604" t="n"/>
      <x:c r="S1669" s="604" t="n"/>
      <x:c r="T1669" s="604" t="inlineStr">
        <x:is>
          <x:t xml:space="preserve">D:\codex\v3_legacy\outputs\football_odds_trader\raw\titan007\20261009\20261009_085232_titan007_odds_snapshot.csv</x:t>
        </x:is>
      </x:c>
      <x:c r="U1669" s="628" t="inlineStr">
        <x:is>
          <x:t xml:space="preserve"/>
        </x:is>
      </x:c>
      <x:c r="V1669" s="604" t="inlineStr">
        <x:is>
          <x:t xml:space="preserve"/>
        </x:is>
      </x:c>
      <x:c r="W1669" s="604" t="inlineStr">
        <x:is>
          <x:t xml:space="preserve"/>
        </x:is>
      </x:c>
      <x:c r="X1669" s="604" t="inlineStr">
        <x:is>
          <x:t xml:space="preserve">3093468</x:t>
        </x:is>
      </x:c>
      <x:c r="Y1669" s="604" t="inlineStr">
        <x:is>
          <x:t xml:space="preserve">V4</x:t>
        </x:is>
      </x:c>
      <x:c r="Z1669" s="604" t="inlineStr">
        <x:is>
          <x:t xml:space="preserve">prior-2026-10-09-v1</x:t>
        </x:is>
      </x:c>
      <x:c r="AA1669" s="604" t="inlineStr">
        <x:is>
          <x:t xml:space="preserve">N</x:t>
        </x:is>
      </x:c>
      <x:c r="AB1669" s="604" t="n">
        <x:v>0.006337825867767369</x:v>
      </x:c>
      <x:c r="AC1669" s="604" t="n">
        <x:v>0.9755938898473597</x:v>
      </x:c>
      <x:c r="AD1669" s="604" t="n">
        <x:v>-2</x:v>
      </x:c>
      <x:c r="AE1669" s="604" t="n"/>
      <x:c r="AF1669" s="604" t="n"/>
      <x:c r="AG1669" s="604" t="n">
        <x:v>0.8521847971979092</x:v>
      </x:c>
      <x:c r="AH1669" s="604" t="n"/>
      <x:c r="AI1669" s="604" t="n"/>
      <x:c r="AJ1669" s="604" t="n">
        <x:v>0.8521847971979092</x:v>
      </x:c>
      <x:c r="AK1669" s="604" t="n"/>
      <x:c r="AL1669" s="604" t="n"/>
      <x:c r="AM1669" s="604" t="n"/>
      <x:c r="AN1669" s="604" t="inlineStr">
        <x:is>
          <x:t xml:space="preserve">EVALUATED</x:t>
        </x:is>
      </x:c>
      <x:c r="AO1669" s="604" t="inlineStr">
        <x:is>
          <x:t xml:space="preserve">LOW_QUALITY_GATE;BUCKET_PRIOR_ONLY;INTENT_INTERPRETATION_ONLY;FFL_OPTIONAL;EXPERT_MARKET</x:t>
        </x:is>
      </x:c>
      <x:c r="AP1669" s="604" t="inlineStr">
        <x:is>
          <x:t xml:space="preserve">0ed98fa83eddb8d0890a</x:t>
        </x:is>
      </x:c>
      <x:c r="AQ1669" s="604" t="n"/>
      <x:c r="AR1669" s="604" t="n"/>
      <x:c r="AS1669" s="604" t="n">
        <x:v>-1.25</x:v>
      </x:c>
      <x:c r="AT1669" s="604" t="n">
        <x:v>1.25</x:v>
      </x:c>
      <x:c r="AU1669" s="604" t="n">
        <x:v>0.88</x:v>
      </x:c>
      <x:c r="AV1669" s="604" t="n">
        <x:v>0.88</x:v>
      </x:c>
      <x:c r="AW1669" s="604" t="inlineStr">
        <x:is>
          <x:t xml:space="preserve">2026-10-09T09:01:21.127001+08:00</x:t>
        </x:is>
      </x:c>
      <x:c r="AX1669" s="604" t="inlineStr">
        <x:is>
          <x:t xml:space="preserve">Titan007/V4</x:t>
        </x:is>
      </x:c>
      <x:c r="AY1669" s="604" t="inlineStr">
        <x:is>
          <x:t xml:space="preserve">Daily append；市场输入缺失时不生成决策</x:t>
        </x:is>
      </x:c>
    </x:row>
    <x:row r="1670" ht="22" customHeight="1">
      <x:c r="A1670" s="604" t="inlineStr">
        <x:is>
          <x:t xml:space="preserve">2026-10-09</x:t>
        </x:is>
      </x:c>
      <x:c r="B1670" s="604" t="inlineStr">
        <x:is>
          <x:t xml:space="preserve">2026-10-10T01:05:00+08:00</x:t>
        </x:is>
      </x:c>
      <x:c r="C1670" s="604" t="str">
        <x:v>西亚/中亚系列</x:v>
      </x:c>
      <x:c r="D1670" s="604" t="inlineStr">
        <x:is>
          <x:t xml:space="preserve"/>
        </x:is>
      </x:c>
      <x:c r="E1670" s="604" t="inlineStr">
        <x:is>
          <x:t xml:space="preserve">科威特联</x:t>
        </x:is>
      </x:c>
      <x:c r="F1670" s="604" t="inlineStr">
        <x:is>
          <x:t xml:space="preserve">卡斯马 vs 阿拉比科威特</x:t>
        </x:is>
      </x:c>
      <x:c r="G1670" s="604" t="n">
        <x:v>0.92</x:v>
      </x:c>
      <x:c r="H1670" s="604" t="n">
        <x:v>0</x:v>
      </x:c>
      <x:c r="I1670" s="604" t="n">
        <x:v>0.84</x:v>
      </x:c>
      <x:c r="J1670" s="604" t="inlineStr">
        <x:is>
          <x:t xml:space="preserve">0.92/0.0/0.84</x:t>
        </x:is>
      </x:c>
      <x:c r="K1670" s="604" t="inlineStr">
        <x:is>
          <x:t xml:space="preserve">V4-N</x:t>
        </x:is>
      </x:c>
      <x:c r="L1670" s="604" t="inlineStr">
        <x:is>
          <x:t xml:space="preserve"/>
        </x:is>
      </x:c>
      <x:c r="M1670" s="604" t="n"/>
      <x:c r="N1670" s="604" t="inlineStr">
        <x:is>
          <x:t xml:space="preserve">V4 Shadow Only；real_money=false</x:t>
        </x:is>
      </x:c>
      <x:c r="O1670" s="604" t="inlineStr">
        <x:is>
          <x:t xml:space="preserve">0-0</x:t>
        </x:is>
      </x:c>
      <x:c r="P1670" s="604" t="inlineStr">
        <x:is>
          <x:t xml:space="preserve">NEUTRAL</x:t>
        </x:is>
      </x:c>
      <x:c r="Q1670" s="630" t="inlineStr">
        <x:is>
          <x:t xml:space="preserve"/>
        </x:is>
      </x:c>
      <x:c r="R1670" s="604" t="n"/>
      <x:c r="S1670" s="604" t="n"/>
      <x:c r="T1670" s="604" t="inlineStr">
        <x:is>
          <x:t xml:space="preserve">D:\codex\v3_legacy\outputs\football_odds_trader\raw\titan007\20261009\20261009_085232_titan007_odds_snapshot.csv</x:t>
        </x:is>
      </x:c>
      <x:c r="U1670" s="628" t="inlineStr">
        <x:is>
          <x:t xml:space="preserve"/>
        </x:is>
      </x:c>
      <x:c r="V1670" s="604" t="inlineStr">
        <x:is>
          <x:t xml:space="preserve"/>
        </x:is>
      </x:c>
      <x:c r="W1670" s="604" t="inlineStr">
        <x:is>
          <x:t xml:space="preserve"/>
        </x:is>
      </x:c>
      <x:c r="X1670" s="604" t="inlineStr">
        <x:is>
          <x:t xml:space="preserve">3093471</x:t>
        </x:is>
      </x:c>
      <x:c r="Y1670" s="604" t="inlineStr">
        <x:is>
          <x:t xml:space="preserve">V4</x:t>
        </x:is>
      </x:c>
      <x:c r="Z1670" s="604" t="inlineStr">
        <x:is>
          <x:t xml:space="preserve">prior-2026-10-09-v1</x:t>
        </x:is>
      </x:c>
      <x:c r="AA1670" s="604" t="inlineStr">
        <x:is>
          <x:t xml:space="preserve">N</x:t>
        </x:is>
      </x:c>
      <x:c r="AB1670" s="604" t="n"/>
      <x:c r="AC1670" s="604" t="n"/>
      <x:c r="AD1670" s="604" t="n"/>
      <x:c r="AE1670" s="604" t="n"/>
      <x:c r="AF1670" s="604" t="n"/>
      <x:c r="AG1670" s="604" t="n"/>
      <x:c r="AH1670" s="604" t="n"/>
      <x:c r="AI1670" s="604" t="n"/>
      <x:c r="AJ1670" s="604" t="n"/>
      <x:c r="AK1670" s="604" t="n"/>
      <x:c r="AL1670" s="604" t="n"/>
      <x:c r="AM1670" s="604" t="n"/>
      <x:c r="AN1670" s="604" t="inlineStr">
        <x:is>
          <x:t xml:space="preserve">NEUTRAL</x:t>
        </x:is>
      </x:c>
      <x:c r="AO1670" s="604" t="inlineStr">
        <x:is>
          <x:t xml:space="preserve">PK_NO_GIVING_RECEIVING_IDENTITY</x:t>
        </x:is>
      </x:c>
      <x:c r="AP1670" s="604" t="inlineStr">
        <x:is>
          <x:t xml:space="preserve">5eae78fe9b1d1975c9d9</x:t>
        </x:is>
      </x:c>
      <x:c r="AQ1670" s="604" t="n"/>
      <x:c r="AR1670" s="604" t="n"/>
      <x:c r="AS1670" s="604" t="n"/>
      <x:c r="AT1670" s="604" t="n"/>
      <x:c r="AU1670" s="604" t="n"/>
      <x:c r="AV1670" s="604" t="n"/>
      <x:c r="AW1670" s="604" t="inlineStr">
        <x:is>
          <x:t xml:space="preserve">2026-10-09T09:01:21.127001+08:00</x:t>
        </x:is>
      </x:c>
      <x:c r="AX1670" s="604" t="inlineStr">
        <x:is>
          <x:t xml:space="preserve">Titan007/V4</x:t>
        </x:is>
      </x:c>
      <x:c r="AY1670" s="604" t="inlineStr">
        <x:is>
          <x:t xml:space="preserve">Daily append；市场输入缺失时不生成决策</x:t>
        </x:is>
      </x:c>
    </x:row>
    <x:row r="1671" ht="22" customHeight="1">
      <x:c r="A1671" s="604" t="inlineStr">
        <x:is>
          <x:t xml:space="preserve">2026-10-09</x:t>
        </x:is>
      </x:c>
      <x:c r="B1671" s="604" t="inlineStr">
        <x:is>
          <x:t xml:space="preserve">2026-10-09T18:30:00+08:00</x:t>
        </x:is>
      </x:c>
      <x:c r="C1671" s="604" t="str">
        <x:v>其他系列</x:v>
      </x:c>
      <x:c r="D1671" s="604" t="inlineStr">
        <x:is>
          <x:t xml:space="preserve"/>
        </x:is>
      </x:c>
      <x:c r="E1671" s="604" t="inlineStr">
        <x:is>
          <x:t xml:space="preserve">女欧U17</x:t>
        </x:is>
      </x:c>
      <x:c r="F1671" s="604" t="inlineStr">
        <x:is>
          <x:t xml:space="preserve">德国女足U17 vs 哈萨克斯坦女足U17</x:t>
        </x:is>
      </x:c>
      <x:c r="G1671" s="604" t="n"/>
      <x:c r="H1671" s="604" t="n"/>
      <x:c r="I1671" s="604" t="n"/>
      <x:c r="J1671" s="604" t="inlineStr">
        <x:is>
          <x:t xml:space="preserve">//</x:t>
        </x:is>
      </x:c>
      <x:c r="K1671" s="604" t="inlineStr">
        <x:is>
          <x:t xml:space="preserve">V4不可用：市场输入缺失</x:t>
        </x:is>
      </x:c>
      <x:c r="L1671" s="604" t="inlineStr">
        <x:is>
          <x:t xml:space="preserve"/>
        </x:is>
      </x:c>
      <x:c r="M1671" s="604" t="n"/>
      <x:c r="N1671" s="604" t="inlineStr">
        <x:is>
          <x:t xml:space="preserve">V4 Shadow Only；real_money=false</x:t>
        </x:is>
      </x:c>
      <x:c r="O1671" s="604" t="inlineStr">
        <x:is>
          <x:t xml:space="preserve">0-0</x:t>
        </x:is>
      </x:c>
      <x:c r="P1671" s="604" t="inlineStr">
        <x:is>
          <x:t xml:space="preserve">MISSING_DATA</x:t>
        </x:is>
      </x:c>
      <x:c r="Q1671" s="630" t="inlineStr">
        <x:is>
          <x:t xml:space="preserve"/>
        </x:is>
      </x:c>
      <x:c r="R1671" s="604" t="n"/>
      <x:c r="S1671" s="604" t="n"/>
      <x:c r="T1671" s="604" t="inlineStr">
        <x:is>
          <x:t xml:space="preserve">D:\codex\v3_legacy\outputs\football_odds_trader\raw\titan007\20261009\20261009_085232_titan007_odds_snapshot.csv</x:t>
        </x:is>
      </x:c>
      <x:c r="U1671" s="628" t="inlineStr">
        <x:is>
          <x:t xml:space="preserve"/>
        </x:is>
      </x:c>
      <x:c r="V1671" s="604" t="inlineStr">
        <x:is>
          <x:t xml:space="preserve"/>
        </x:is>
      </x:c>
      <x:c r="W1671" s="604" t="inlineStr">
        <x:is>
          <x:t xml:space="preserve"/>
        </x:is>
      </x:c>
      <x:c r="X1671" s="604" t="inlineStr">
        <x:is>
          <x:t xml:space="preserve">3094396</x:t>
        </x:is>
      </x:c>
      <x:c r="Y1671" s="604" t="inlineStr">
        <x:is>
          <x:t xml:space="preserve">V4</x:t>
        </x:is>
      </x:c>
      <x:c r="Z1671" s="604" t="inlineStr">
        <x:is>
          <x:t xml:space="preserve">prior-2026-10-09-v1</x:t>
        </x:is>
      </x:c>
      <x:c r="AA1671" s="604" t="inlineStr">
        <x:is>
          <x:t xml:space="preserve"/>
        </x:is>
      </x:c>
      <x:c r="AB1671" s="604" t="n"/>
      <x:c r="AC1671" s="604" t="n"/>
      <x:c r="AD1671" s="604" t="n"/>
      <x:c r="AE1671" s="604" t="n"/>
      <x:c r="AF1671" s="604" t="n"/>
      <x:c r="AG1671" s="604" t="n"/>
      <x:c r="AH1671" s="604" t="n"/>
      <x:c r="AI1671" s="604" t="n"/>
      <x:c r="AJ1671" s="604" t="n"/>
      <x:c r="AK1671" s="604" t="n"/>
      <x:c r="AL1671" s="604" t="n"/>
      <x:c r="AM1671" s="604" t="n"/>
      <x:c r="AN1671" s="604" t="inlineStr">
        <x:is>
          <x:t xml:space="preserve">MISSING_DATA</x:t>
        </x:is>
      </x:c>
      <x:c r="AO1671" s="604" t="inlineStr">
        <x:is>
          <x:t xml:space="preserve">REQUIRED_MARKET_INPUT_MISSING</x:t>
        </x:is>
      </x:c>
      <x:c r="AP1671" s="604" t="inlineStr">
        <x:is>
          <x:t xml:space="preserve">f7b12a48aaf15c8ed2bd</x:t>
        </x:is>
      </x:c>
      <x:c r="AQ1671" s="604" t="n"/>
      <x:c r="AR1671" s="604" t="n"/>
      <x:c r="AS1671" s="604" t="n"/>
      <x:c r="AT1671" s="604" t="n"/>
      <x:c r="AU1671" s="604" t="n"/>
      <x:c r="AV1671" s="604" t="n"/>
      <x:c r="AW1671" s="604" t="inlineStr">
        <x:is>
          <x:t xml:space="preserve">2026-10-09T09:01:21.127001+08:00</x:t>
        </x:is>
      </x:c>
      <x:c r="AX1671" s="604" t="inlineStr">
        <x:is>
          <x:t xml:space="preserve">Titan007/V4</x:t>
        </x:is>
      </x:c>
      <x:c r="AY1671" s="604" t="inlineStr">
        <x:is>
          <x:t xml:space="preserve">Daily append；市场输入缺失时不生成决策</x:t>
        </x:is>
      </x:c>
    </x:row>
    <x:row r="1672" ht="22" customHeight="1">
      <x:c r="A1672" s="604" t="inlineStr">
        <x:is>
          <x:t xml:space="preserve">2026-10-09</x:t>
        </x:is>
      </x:c>
      <x:c r="B1672" s="604" t="inlineStr">
        <x:is>
          <x:t xml:space="preserve">2026-10-09T23:00:00+08:00</x:t>
        </x:is>
      </x:c>
      <x:c r="C1672" s="604" t="str">
        <x:v>其他系列</x:v>
      </x:c>
      <x:c r="D1672" s="604" t="inlineStr">
        <x:is>
          <x:t xml:space="preserve"/>
        </x:is>
      </x:c>
      <x:c r="E1672" s="604" t="inlineStr">
        <x:is>
          <x:t xml:space="preserve">女欧U17</x:t>
        </x:is>
      </x:c>
      <x:c r="F1672" s="604" t="inlineStr">
        <x:is>
          <x:t xml:space="preserve">冰岛女足U17 vs 捷克女足U17</x:t>
        </x:is>
      </x:c>
      <x:c r="G1672" s="604" t="n"/>
      <x:c r="H1672" s="604" t="n"/>
      <x:c r="I1672" s="604" t="n"/>
      <x:c r="J1672" s="604" t="inlineStr">
        <x:is>
          <x:t xml:space="preserve">//</x:t>
        </x:is>
      </x:c>
      <x:c r="K1672" s="604" t="inlineStr">
        <x:is>
          <x:t xml:space="preserve">V4不可用：市场输入缺失</x:t>
        </x:is>
      </x:c>
      <x:c r="L1672" s="604" t="inlineStr">
        <x:is>
          <x:t xml:space="preserve"/>
        </x:is>
      </x:c>
      <x:c r="M1672" s="604" t="n"/>
      <x:c r="N1672" s="604" t="inlineStr">
        <x:is>
          <x:t xml:space="preserve">V4 Shadow Only；real_money=false</x:t>
        </x:is>
      </x:c>
      <x:c r="O1672" s="604" t="inlineStr">
        <x:is>
          <x:t xml:space="preserve">0-0</x:t>
        </x:is>
      </x:c>
      <x:c r="P1672" s="604" t="inlineStr">
        <x:is>
          <x:t xml:space="preserve">MISSING_DATA</x:t>
        </x:is>
      </x:c>
      <x:c r="Q1672" s="630" t="inlineStr">
        <x:is>
          <x:t xml:space="preserve"/>
        </x:is>
      </x:c>
      <x:c r="R1672" s="604" t="n"/>
      <x:c r="S1672" s="604" t="n"/>
      <x:c r="T1672" s="604" t="inlineStr">
        <x:is>
          <x:t xml:space="preserve">D:\codex\v3_legacy\outputs\football_odds_trader\raw\titan007\20261009\20261009_085232_titan007_odds_snapshot.csv</x:t>
        </x:is>
      </x:c>
      <x:c r="U1672" s="628" t="inlineStr">
        <x:is>
          <x:t xml:space="preserve"/>
        </x:is>
      </x:c>
      <x:c r="V1672" s="604" t="inlineStr">
        <x:is>
          <x:t xml:space="preserve"/>
        </x:is>
      </x:c>
      <x:c r="W1672" s="604" t="inlineStr">
        <x:is>
          <x:t xml:space="preserve"/>
        </x:is>
      </x:c>
      <x:c r="X1672" s="604" t="inlineStr">
        <x:is>
          <x:t xml:space="preserve">3094397</x:t>
        </x:is>
      </x:c>
      <x:c r="Y1672" s="604" t="inlineStr">
        <x:is>
          <x:t xml:space="preserve">V4</x:t>
        </x:is>
      </x:c>
      <x:c r="Z1672" s="604" t="inlineStr">
        <x:is>
          <x:t xml:space="preserve">prior-2026-10-09-v1</x:t>
        </x:is>
      </x:c>
      <x:c r="AA1672" s="604" t="inlineStr">
        <x:is>
          <x:t xml:space="preserve"/>
        </x:is>
      </x:c>
      <x:c r="AB1672" s="604" t="n"/>
      <x:c r="AC1672" s="604" t="n"/>
      <x:c r="AD1672" s="604" t="n"/>
      <x:c r="AE1672" s="604" t="n"/>
      <x:c r="AF1672" s="604" t="n"/>
      <x:c r="AG1672" s="604" t="n"/>
      <x:c r="AH1672" s="604" t="n"/>
      <x:c r="AI1672" s="604" t="n"/>
      <x:c r="AJ1672" s="604" t="n"/>
      <x:c r="AK1672" s="604" t="n"/>
      <x:c r="AL1672" s="604" t="n"/>
      <x:c r="AM1672" s="604" t="n"/>
      <x:c r="AN1672" s="604" t="inlineStr">
        <x:is>
          <x:t xml:space="preserve">MISSING_DATA</x:t>
        </x:is>
      </x:c>
      <x:c r="AO1672" s="604" t="inlineStr">
        <x:is>
          <x:t xml:space="preserve">REQUIRED_MARKET_INPUT_MISSING</x:t>
        </x:is>
      </x:c>
      <x:c r="AP1672" s="604" t="inlineStr">
        <x:is>
          <x:t xml:space="preserve">8311358315cc8131bdbb</x:t>
        </x:is>
      </x:c>
      <x:c r="AQ1672" s="604" t="n"/>
      <x:c r="AR1672" s="604" t="n"/>
      <x:c r="AS1672" s="604" t="n"/>
      <x:c r="AT1672" s="604" t="n"/>
      <x:c r="AU1672" s="604" t="n"/>
      <x:c r="AV1672" s="604" t="n"/>
      <x:c r="AW1672" s="604" t="inlineStr">
        <x:is>
          <x:t xml:space="preserve">2026-10-09T09:01:21.127001+08:00</x:t>
        </x:is>
      </x:c>
      <x:c r="AX1672" s="604" t="inlineStr">
        <x:is>
          <x:t xml:space="preserve">Titan007/V4</x:t>
        </x:is>
      </x:c>
      <x:c r="AY1672" s="604" t="inlineStr">
        <x:is>
          <x:t xml:space="preserve">Daily append；市场输入缺失时不生成决策</x:t>
        </x:is>
      </x:c>
    </x:row>
    <x:row r="1673" ht="22" customHeight="1">
      <x:c r="A1673" s="604" t="inlineStr">
        <x:is>
          <x:t xml:space="preserve">2026-10-09</x:t>
        </x:is>
      </x:c>
      <x:c r="B1673" s="604" t="inlineStr">
        <x:is>
          <x:t xml:space="preserve">2026-10-10T02:45:00+08:00</x:t>
        </x:is>
      </x:c>
      <x:c r="C1673" s="604" t="str">
        <x:v>欧洲非五大系列</x:v>
      </x:c>
      <x:c r="D1673" s="604" t="inlineStr">
        <x:is>
          <x:t xml:space="preserve"/>
        </x:is>
      </x:c>
      <x:c r="E1673" s="604" t="inlineStr">
        <x:is>
          <x:t xml:space="preserve">爱足杯</x:t>
        </x:is>
      </x:c>
      <x:c r="F1673" s="604" t="inlineStr">
        <x:is>
          <x:t xml:space="preserve">波希米亚人 vs 沃特福德联队</x:t>
        </x:is>
      </x:c>
      <x:c r="G1673" s="604" t="n">
        <x:v>1.04</x:v>
      </x:c>
      <x:c r="H1673" s="604" t="n">
        <x:v>1</x:v>
      </x:c>
      <x:c r="I1673" s="604" t="n">
        <x:v>0.84</x:v>
      </x:c>
      <x:c r="J1673" s="604" t="inlineStr">
        <x:is>
          <x:t xml:space="preserve">1.04/1.0/0.84</x:t>
        </x:is>
      </x:c>
      <x:c r="K1673" s="604" t="inlineStr">
        <x:is>
          <x:t xml:space="preserve">V4-B</x:t>
        </x:is>
      </x:c>
      <x:c r="L1673" s="604" t="inlineStr">
        <x:is>
          <x:t xml:space="preserve">波希米亚人</x:t>
        </x:is>
      </x:c>
      <x:c r="M1673" s="604" t="n">
        <x:v>0.4285979791375151</x:v>
      </x:c>
      <x:c r="N1673" s="604" t="inlineStr">
        <x:is>
          <x:t xml:space="preserve">V4 Shadow Only；real_money=false</x:t>
        </x:is>
      </x:c>
      <x:c r="O1673" s="604" t="inlineStr">
        <x:is>
          <x:t xml:space="preserve">0-0</x:t>
        </x:is>
      </x:c>
      <x:c r="P1673" s="604" t="inlineStr">
        <x:is>
          <x:t xml:space="preserve">EVALUATED</x:t>
        </x:is>
      </x:c>
      <x:c r="Q1673" s="630" t="inlineStr">
        <x:is>
          <x:t xml:space="preserve"/>
        </x:is>
      </x:c>
      <x:c r="R1673" s="604" t="n">
        <x:v>1.04</x:v>
      </x:c>
      <x:c r="S1673" s="604" t="n"/>
      <x:c r="T1673" s="604" t="inlineStr">
        <x:is>
          <x:t xml:space="preserve">D:\codex\v3_legacy\outputs\football_odds_trader\raw\titan007\20261009\20261009_085232_titan007_odds_snapshot.csv</x:t>
        </x:is>
      </x:c>
      <x:c r="U1673" s="628" t="inlineStr">
        <x:is>
          <x:t xml:space="preserve"/>
        </x:is>
      </x:c>
      <x:c r="V1673" s="604" t="inlineStr">
        <x:is>
          <x:t xml:space="preserve"/>
        </x:is>
      </x:c>
      <x:c r="W1673" s="604" t="inlineStr">
        <x:is>
          <x:t xml:space="preserve"/>
        </x:is>
      </x:c>
      <x:c r="X1673" s="604" t="inlineStr">
        <x:is>
          <x:t xml:space="preserve">3094533</x:t>
        </x:is>
      </x:c>
      <x:c r="Y1673" s="604" t="inlineStr">
        <x:is>
          <x:t xml:space="preserve">V4</x:t>
        </x:is>
      </x:c>
      <x:c r="Z1673" s="604" t="inlineStr">
        <x:is>
          <x:t xml:space="preserve">prior-2026-10-09-v1</x:t>
        </x:is>
      </x:c>
      <x:c r="AA1673" s="604" t="inlineStr">
        <x:is>
          <x:t xml:space="preserve">B</x:t>
        </x:is>
      </x:c>
      <x:c r="AB1673" s="604" t="n">
        <x:v>0.4285979791375151</x:v>
      </x:c>
      <x:c r="AC1673" s="604" t="n">
        <x:v>0.3151286644924854</x:v>
      </x:c>
      <x:c r="AD1673" s="604" t="n">
        <x:v>1.25</x:v>
      </x:c>
      <x:c r="AE1673" s="604" t="n"/>
      <x:c r="AF1673" s="604" t="n"/>
      <x:c r="AG1673" s="604" t="n">
        <x:v>0.1306132338105304</x:v>
      </x:c>
      <x:c r="AH1673" s="604" t="n"/>
      <x:c r="AI1673" s="604" t="n"/>
      <x:c r="AJ1673" s="604" t="n">
        <x:v>0.1306132338105304</x:v>
      </x:c>
      <x:c r="AK1673" s="604" t="n"/>
      <x:c r="AL1673" s="604" t="n"/>
      <x:c r="AM1673" s="604" t="n"/>
      <x:c r="AN1673" s="604" t="inlineStr">
        <x:is>
          <x:t xml:space="preserve">EVALUATED</x:t>
        </x:is>
      </x:c>
      <x:c r="AO1673" s="604" t="inlineStr">
        <x:is>
          <x:t xml:space="preserve">GIVING_VALIDATED_EDGE;BUCKET_PRIOR_ONLY;INTENT_INTERPRETATION_ONLY;FFL_OPTIONAL;EXPERT_MARKET</x:t>
        </x:is>
      </x:c>
      <x:c r="AP1673" s="604" t="inlineStr">
        <x:is>
          <x:t xml:space="preserve">69628328b39ab462ffec</x:t>
        </x:is>
      </x:c>
      <x:c r="AQ1673" s="604" t="n">
        <x:v>-1</x:v>
      </x:c>
      <x:c r="AR1673" s="604" t="n">
        <x:v>1.04</x:v>
      </x:c>
      <x:c r="AS1673" s="604" t="n">
        <x:v>1</x:v>
      </x:c>
      <x:c r="AT1673" s="604" t="n">
        <x:v>-1</x:v>
      </x:c>
      <x:c r="AU1673" s="604" t="n">
        <x:v>1.04</x:v>
      </x:c>
      <x:c r="AV1673" s="604" t="n">
        <x:v>0.84</x:v>
      </x:c>
      <x:c r="AW1673" s="604" t="inlineStr">
        <x:is>
          <x:t xml:space="preserve">2026-10-09T09:01:21.127001+08:00</x:t>
        </x:is>
      </x:c>
      <x:c r="AX1673" s="604" t="inlineStr">
        <x:is>
          <x:t xml:space="preserve">Titan007/V4</x:t>
        </x:is>
      </x:c>
      <x:c r="AY1673" s="604" t="inlineStr">
        <x:is>
          <x:t xml:space="preserve">Daily append；市场输入缺失时不生成决策</x:t>
        </x:is>
      </x:c>
    </x:row>
    <x:row r="1674" ht="22" customHeight="1">
      <x:c r="A1674" s="604" t="inlineStr">
        <x:is>
          <x:t xml:space="preserve">2026-10-09</x:t>
        </x:is>
      </x:c>
      <x:c r="B1674" s="604" t="inlineStr">
        <x:is>
          <x:t xml:space="preserve">2026-10-09T23:30:00+08:00</x:t>
        </x:is>
      </x:c>
      <x:c r="C1674" s="604" t="str">
        <x:v>欧洲非五大系列</x:v>
      </x:c>
      <x:c r="D1674" s="604" t="inlineStr">
        <x:is>
          <x:t xml:space="preserve"/>
        </x:is>
      </x:c>
      <x:c r="E1674" s="604" t="inlineStr">
        <x:is>
          <x:t xml:space="preserve">芬乙附</x:t>
        </x:is>
      </x:c>
      <x:c r="F1674" s="604" t="inlineStr">
        <x:is>
          <x:t xml:space="preserve">艾弗克 vs PEPO拉宾兰塔</x:t>
        </x:is>
      </x:c>
      <x:c r="G1674" s="604" t="n"/>
      <x:c r="H1674" s="604" t="n"/>
      <x:c r="I1674" s="604" t="n"/>
      <x:c r="J1674" s="604" t="inlineStr">
        <x:is>
          <x:t xml:space="preserve">//</x:t>
        </x:is>
      </x:c>
      <x:c r="K1674" s="604" t="inlineStr">
        <x:is>
          <x:t xml:space="preserve">V4不可用：市场输入缺失</x:t>
        </x:is>
      </x:c>
      <x:c r="L1674" s="604" t="inlineStr">
        <x:is>
          <x:t xml:space="preserve"/>
        </x:is>
      </x:c>
      <x:c r="M1674" s="604" t="n"/>
      <x:c r="N1674" s="604" t="inlineStr">
        <x:is>
          <x:t xml:space="preserve">V4 Shadow Only；real_money=false</x:t>
        </x:is>
      </x:c>
      <x:c r="O1674" s="604" t="inlineStr">
        <x:is>
          <x:t xml:space="preserve">0-0</x:t>
        </x:is>
      </x:c>
      <x:c r="P1674" s="604" t="inlineStr">
        <x:is>
          <x:t xml:space="preserve">MISSING_DATA</x:t>
        </x:is>
      </x:c>
      <x:c r="Q1674" s="630" t="inlineStr">
        <x:is>
          <x:t xml:space="preserve"/>
        </x:is>
      </x:c>
      <x:c r="R1674" s="604" t="n"/>
      <x:c r="S1674" s="604" t="n"/>
      <x:c r="T1674" s="604" t="inlineStr">
        <x:is>
          <x:t xml:space="preserve">D:\codex\v3_legacy\outputs\football_odds_trader\raw\titan007\20261009\20261009_085232_titan007_odds_snapshot.csv</x:t>
        </x:is>
      </x:c>
      <x:c r="U1674" s="628" t="inlineStr">
        <x:is>
          <x:t xml:space="preserve"/>
        </x:is>
      </x:c>
      <x:c r="V1674" s="604" t="inlineStr">
        <x:is>
          <x:t xml:space="preserve"/>
        </x:is>
      </x:c>
      <x:c r="W1674" s="604" t="inlineStr">
        <x:is>
          <x:t xml:space="preserve"/>
        </x:is>
      </x:c>
      <x:c r="X1674" s="604" t="inlineStr">
        <x:is>
          <x:t xml:space="preserve">3095608</x:t>
        </x:is>
      </x:c>
      <x:c r="Y1674" s="604" t="inlineStr">
        <x:is>
          <x:t xml:space="preserve">V4</x:t>
        </x:is>
      </x:c>
      <x:c r="Z1674" s="604" t="inlineStr">
        <x:is>
          <x:t xml:space="preserve">prior-2026-10-09-v1</x:t>
        </x:is>
      </x:c>
      <x:c r="AA1674" s="604" t="inlineStr">
        <x:is>
          <x:t xml:space="preserve"/>
        </x:is>
      </x:c>
      <x:c r="AB1674" s="604" t="n"/>
      <x:c r="AC1674" s="604" t="n"/>
      <x:c r="AD1674" s="604" t="n"/>
      <x:c r="AE1674" s="604" t="n"/>
      <x:c r="AF1674" s="604" t="n"/>
      <x:c r="AG1674" s="604" t="n"/>
      <x:c r="AH1674" s="604" t="n"/>
      <x:c r="AI1674" s="604" t="n"/>
      <x:c r="AJ1674" s="604" t="n"/>
      <x:c r="AK1674" s="604" t="n"/>
      <x:c r="AL1674" s="604" t="n"/>
      <x:c r="AM1674" s="604" t="n"/>
      <x:c r="AN1674" s="604" t="inlineStr">
        <x:is>
          <x:t xml:space="preserve">MISSING_DATA</x:t>
        </x:is>
      </x:c>
      <x:c r="AO1674" s="604" t="inlineStr">
        <x:is>
          <x:t xml:space="preserve">REQUIRED_MARKET_INPUT_MISSING</x:t>
        </x:is>
      </x:c>
      <x:c r="AP1674" s="604" t="inlineStr">
        <x:is>
          <x:t xml:space="preserve">f4f6a74e734acd280dec</x:t>
        </x:is>
      </x:c>
      <x:c r="AQ1674" s="604" t="n"/>
      <x:c r="AR1674" s="604" t="n"/>
      <x:c r="AS1674" s="604" t="n"/>
      <x:c r="AT1674" s="604" t="n"/>
      <x:c r="AU1674" s="604" t="n"/>
      <x:c r="AV1674" s="604" t="n"/>
      <x:c r="AW1674" s="604" t="inlineStr">
        <x:is>
          <x:t xml:space="preserve">2026-10-09T09:01:21.127001+08:00</x:t>
        </x:is>
      </x:c>
      <x:c r="AX1674" s="604" t="inlineStr">
        <x:is>
          <x:t xml:space="preserve">Titan007/V4</x:t>
        </x:is>
      </x:c>
      <x:c r="AY1674" s="604" t="inlineStr">
        <x:is>
          <x:t xml:space="preserve">Daily append；市场输入缺失时不生成决策</x:t>
        </x:is>
      </x:c>
    </x:row>
    <x:row r="1675" ht="22" customHeight="1">
      <x:c r="A1675" s="604" t="inlineStr">
        <x:is>
          <x:t xml:space="preserve">2026-10-09</x:t>
        </x:is>
      </x:c>
      <x:c r="B1675" s="604" t="inlineStr">
        <x:is>
          <x:t xml:space="preserve">2026-10-09T21:10:00+08:00</x:t>
        </x:is>
      </x:c>
      <x:c r="C1675" s="604" t="str">
        <x:v>西亚/中亚系列</x:v>
      </x:c>
      <x:c r="D1675" s="604" t="inlineStr">
        <x:is>
          <x:t xml:space="preserve"/>
        </x:is>
      </x:c>
      <x:c r="E1675" s="604" t="inlineStr">
        <x:is>
          <x:t xml:space="preserve">阿联酋杯</x:t>
        </x:is>
      </x:c>
      <x:c r="F1675" s="604" t="inlineStr">
        <x:is>
          <x:t xml:space="preserve">阿治曼 vs 般尼亚斯</x:t>
        </x:is>
      </x:c>
      <x:c r="G1675" s="604" t="n">
        <x:v>0.91</x:v>
      </x:c>
      <x:c r="H1675" s="604" t="n">
        <x:v>0.25</x:v>
      </x:c>
      <x:c r="I1675" s="604" t="n">
        <x:v>0.85</x:v>
      </x:c>
      <x:c r="J1675" s="604" t="inlineStr">
        <x:is>
          <x:t xml:space="preserve">0.91/0.25/0.85</x:t>
        </x:is>
      </x:c>
      <x:c r="K1675" s="604" t="inlineStr">
        <x:is>
          <x:t xml:space="preserve">V4-C</x:t>
        </x:is>
      </x:c>
      <x:c r="L1675" s="604" t="inlineStr">
        <x:is>
          <x:t xml:space="preserve"/>
        </x:is>
      </x:c>
      <x:c r="M1675" s="604" t="n">
        <x:v>0.4726142620576307</x:v>
      </x:c>
      <x:c r="N1675" s="604" t="inlineStr">
        <x:is>
          <x:t xml:space="preserve">V4 Shadow Only；real_money=false</x:t>
        </x:is>
      </x:c>
      <x:c r="O1675" s="604" t="inlineStr">
        <x:is>
          <x:t xml:space="preserve">0-0</x:t>
        </x:is>
      </x:c>
      <x:c r="P1675" s="604" t="inlineStr">
        <x:is>
          <x:t xml:space="preserve">EVALUATED</x:t>
        </x:is>
      </x:c>
      <x:c r="Q1675" s="630" t="inlineStr">
        <x:is>
          <x:t xml:space="preserve"/>
        </x:is>
      </x:c>
      <x:c r="R1675" s="604" t="n"/>
      <x:c r="S1675" s="604" t="n"/>
      <x:c r="T1675" s="604" t="inlineStr">
        <x:is>
          <x:t xml:space="preserve">D:\codex\v3_legacy\outputs\football_odds_trader\raw\titan007\20261009\20261009_085232_titan007_odds_snapshot.csv</x:t>
        </x:is>
      </x:c>
      <x:c r="U1675" s="628" t="inlineStr">
        <x:is>
          <x:t xml:space="preserve"/>
        </x:is>
      </x:c>
      <x:c r="V1675" s="604" t="inlineStr">
        <x:is>
          <x:t xml:space="preserve"/>
        </x:is>
      </x:c>
      <x:c r="W1675" s="604" t="inlineStr">
        <x:is>
          <x:t xml:space="preserve"/>
        </x:is>
      </x:c>
      <x:c r="X1675" s="604" t="inlineStr">
        <x:is>
          <x:t xml:space="preserve">3096238</x:t>
        </x:is>
      </x:c>
      <x:c r="Y1675" s="604" t="inlineStr">
        <x:is>
          <x:t xml:space="preserve">V4</x:t>
        </x:is>
      </x:c>
      <x:c r="Z1675" s="604" t="inlineStr">
        <x:is>
          <x:t xml:space="preserve">prior-2026-10-09-v1</x:t>
        </x:is>
      </x:c>
      <x:c r="AA1675" s="604" t="inlineStr">
        <x:is>
          <x:t xml:space="preserve">C</x:t>
        </x:is>
      </x:c>
      <x:c r="AB1675" s="604" t="n">
        <x:v>0.4726142620576307</x:v>
      </x:c>
      <x:c r="AC1675" s="604" t="n">
        <x:v>0.398812985733323</x:v>
      </x:c>
      <x:c r="AD1675" s="604" t="n">
        <x:v>0.5</x:v>
      </x:c>
      <x:c r="AE1675" s="604" t="n"/>
      <x:c r="AF1675" s="604" t="n"/>
      <x:c r="AG1675" s="604" t="n">
        <x:v>0.03126599273912095</x:v>
      </x:c>
      <x:c r="AH1675" s="604" t="n"/>
      <x:c r="AI1675" s="604" t="n"/>
      <x:c r="AJ1675" s="604" t="n">
        <x:v>0.03126599273912095</x:v>
      </x:c>
      <x:c r="AK1675" s="604" t="n"/>
      <x:c r="AL1675" s="604" t="n"/>
      <x:c r="AM1675" s="604" t="n"/>
      <x:c r="AN1675" s="604" t="inlineStr">
        <x:is>
          <x:t xml:space="preserve">EVALUATED</x:t>
        </x:is>
      </x:c>
      <x:c r="AO1675" s="604" t="inlineStr">
        <x:is>
          <x:t xml:space="preserve">EDGE_BELOW_UNCERTAINTY_THRESHOLD;BUCKET_PRIOR_ONLY;INTENT_INTERPRETATION_ONLY;FFL_OPTIONAL;EXPERT_MARKET</x:t>
        </x:is>
      </x:c>
      <x:c r="AP1675" s="604" t="inlineStr">
        <x:is>
          <x:t xml:space="preserve">4fae4a8f636fcceca4fc</x:t>
        </x:is>
      </x:c>
      <x:c r="AQ1675" s="604" t="n"/>
      <x:c r="AR1675" s="604" t="n"/>
      <x:c r="AS1675" s="604" t="n">
        <x:v>0.25</x:v>
      </x:c>
      <x:c r="AT1675" s="604" t="n">
        <x:v>-0.25</x:v>
      </x:c>
      <x:c r="AU1675" s="604" t="n">
        <x:v>0.91</x:v>
      </x:c>
      <x:c r="AV1675" s="604" t="n">
        <x:v>0.85</x:v>
      </x:c>
      <x:c r="AW1675" s="604" t="inlineStr">
        <x:is>
          <x:t xml:space="preserve">2026-10-09T09:01:21.127001+08:00</x:t>
        </x:is>
      </x:c>
      <x:c r="AX1675" s="604" t="inlineStr">
        <x:is>
          <x:t xml:space="preserve">Titan007/V4</x:t>
        </x:is>
      </x:c>
      <x:c r="AY1675" s="604" t="inlineStr">
        <x:is>
          <x:t xml:space="preserve">Daily append；市场输入缺失时不生成决策</x:t>
        </x:is>
      </x:c>
    </x:row>
    <x:row r="1676" ht="22" customHeight="1">
      <x:c r="A1676" s="604" t="inlineStr">
        <x:is>
          <x:t xml:space="preserve">2026-10-09</x:t>
        </x:is>
      </x:c>
      <x:c r="B1676" s="604" t="inlineStr">
        <x:is>
          <x:t xml:space="preserve">2026-10-09T21:10:00+08:00</x:t>
        </x:is>
      </x:c>
      <x:c r="C1676" s="604" t="str">
        <x:v>西亚/中亚系列</x:v>
      </x:c>
      <x:c r="D1676" s="604" t="inlineStr">
        <x:is>
          <x:t xml:space="preserve"/>
        </x:is>
      </x:c>
      <x:c r="E1676" s="604" t="inlineStr">
        <x:is>
          <x:t xml:space="preserve">阿联酋杯</x:t>
        </x:is>
      </x:c>
      <x:c r="F1676" s="604" t="inlineStr">
        <x:is>
          <x:t xml:space="preserve">阿布扎比统一 vs 迪哈夫拉</x:t>
        </x:is>
      </x:c>
      <x:c r="G1676" s="604" t="n">
        <x:v>0.9</x:v>
      </x:c>
      <x:c r="H1676" s="604" t="n">
        <x:v>1</x:v>
      </x:c>
      <x:c r="I1676" s="604" t="n">
        <x:v>0.86</x:v>
      </x:c>
      <x:c r="J1676" s="604" t="inlineStr">
        <x:is>
          <x:t xml:space="preserve">0.9/1.0/0.86</x:t>
        </x:is>
      </x:c>
      <x:c r="K1676" s="604" t="inlineStr">
        <x:is>
          <x:t xml:space="preserve">V4-B</x:t>
        </x:is>
      </x:c>
      <x:c r="L1676" s="604" t="inlineStr">
        <x:is>
          <x:t xml:space="preserve">阿布扎比统一</x:t>
        </x:is>
      </x:c>
      <x:c r="M1676" s="604" t="n">
        <x:v>0.4514462658196428</x:v>
      </x:c>
      <x:c r="N1676" s="604" t="inlineStr">
        <x:is>
          <x:t xml:space="preserve">V4 Shadow Only；real_money=false</x:t>
        </x:is>
      </x:c>
      <x:c r="O1676" s="604" t="inlineStr">
        <x:is>
          <x:t xml:space="preserve">0-0</x:t>
        </x:is>
      </x:c>
      <x:c r="P1676" s="604" t="inlineStr">
        <x:is>
          <x:t xml:space="preserve">EVALUATED</x:t>
        </x:is>
      </x:c>
      <x:c r="Q1676" s="630" t="inlineStr">
        <x:is>
          <x:t xml:space="preserve"/>
        </x:is>
      </x:c>
      <x:c r="R1676" s="604" t="n">
        <x:v>0.9</x:v>
      </x:c>
      <x:c r="S1676" s="604" t="n"/>
      <x:c r="T1676" s="604" t="inlineStr">
        <x:is>
          <x:t xml:space="preserve">D:\codex\v3_legacy\outputs\football_odds_trader\raw\titan007\20261009\20261009_085232_titan007_odds_snapshot.csv</x:t>
        </x:is>
      </x:c>
      <x:c r="U1676" s="628" t="inlineStr">
        <x:is>
          <x:t xml:space="preserve"/>
        </x:is>
      </x:c>
      <x:c r="V1676" s="604" t="inlineStr">
        <x:is>
          <x:t xml:space="preserve"/>
        </x:is>
      </x:c>
      <x:c r="W1676" s="604" t="inlineStr">
        <x:is>
          <x:t xml:space="preserve"/>
        </x:is>
      </x:c>
      <x:c r="X1676" s="604" t="inlineStr">
        <x:is>
          <x:t xml:space="preserve">3096239</x:t>
        </x:is>
      </x:c>
      <x:c r="Y1676" s="604" t="inlineStr">
        <x:is>
          <x:t xml:space="preserve">V4</x:t>
        </x:is>
      </x:c>
      <x:c r="Z1676" s="604" t="inlineStr">
        <x:is>
          <x:t xml:space="preserve">prior-2026-10-09-v1</x:t>
        </x:is>
      </x:c>
      <x:c r="AA1676" s="604" t="inlineStr">
        <x:is>
          <x:t xml:space="preserve">B</x:t>
        </x:is>
      </x:c>
      <x:c r="AB1676" s="604" t="n">
        <x:v>0.4514462658196428</x:v>
      </x:c>
      <x:c r="AC1676" s="604" t="n">
        <x:v>0.2937888268311941</x:v>
      </x:c>
      <x:c r="AD1676" s="604" t="n">
        <x:v>1.5</x:v>
      </x:c>
      <x:c r="AE1676" s="604" t="n"/>
      <x:c r="AF1676" s="604" t="n"/>
      <x:c r="AG1676" s="604" t="n">
        <x:v>0.1125128124064844</x:v>
      </x:c>
      <x:c r="AH1676" s="604" t="n"/>
      <x:c r="AI1676" s="604" t="n"/>
      <x:c r="AJ1676" s="604" t="n">
        <x:v>0.1125128124064844</x:v>
      </x:c>
      <x:c r="AK1676" s="604" t="n"/>
      <x:c r="AL1676" s="604" t="n"/>
      <x:c r="AM1676" s="604" t="n"/>
      <x:c r="AN1676" s="604" t="inlineStr">
        <x:is>
          <x:t xml:space="preserve">EVALUATED</x:t>
        </x:is>
      </x:c>
      <x:c r="AO1676" s="604" t="inlineStr">
        <x:is>
          <x:t xml:space="preserve">GIVING_VALIDATED_EDGE;BUCKET_PRIOR_ONLY;INTENT_INTERPRETATION_ONLY;FFL_OPTIONAL;EXPERT_MARKET</x:t>
        </x:is>
      </x:c>
      <x:c r="AP1676" s="604" t="inlineStr">
        <x:is>
          <x:t xml:space="preserve">8f3fddfcd91656ad91ad</x:t>
        </x:is>
      </x:c>
      <x:c r="AQ1676" s="604" t="n">
        <x:v>-1</x:v>
      </x:c>
      <x:c r="AR1676" s="604" t="n">
        <x:v>0.9</x:v>
      </x:c>
      <x:c r="AS1676" s="604" t="n">
        <x:v>1</x:v>
      </x:c>
      <x:c r="AT1676" s="604" t="n">
        <x:v>-1</x:v>
      </x:c>
      <x:c r="AU1676" s="604" t="n">
        <x:v>0.9</x:v>
      </x:c>
      <x:c r="AV1676" s="604" t="n">
        <x:v>0.86</x:v>
      </x:c>
      <x:c r="AW1676" s="604" t="inlineStr">
        <x:is>
          <x:t xml:space="preserve">2026-10-09T09:01:21.127001+08:00</x:t>
        </x:is>
      </x:c>
      <x:c r="AX1676" s="604" t="inlineStr">
        <x:is>
          <x:t xml:space="preserve">Titan007/V4</x:t>
        </x:is>
      </x:c>
      <x:c r="AY1676" s="604" t="inlineStr">
        <x:is>
          <x:t xml:space="preserve">Daily append；市场输入缺失时不生成决策</x:t>
        </x:is>
      </x:c>
    </x:row>
    <x:row r="1677" ht="22" customHeight="1">
      <x:c r="A1677" s="604" t="inlineStr">
        <x:is>
          <x:t xml:space="preserve">2026-10-09</x:t>
        </x:is>
      </x:c>
      <x:c r="B1677" s="604" t="inlineStr">
        <x:is>
          <x:t xml:space="preserve">2026-10-09T23:45:00+08:00</x:t>
        </x:is>
      </x:c>
      <x:c r="C1677" s="604" t="str">
        <x:v>西亚/中亚系列</x:v>
      </x:c>
      <x:c r="D1677" s="604" t="inlineStr">
        <x:is>
          <x:t xml:space="preserve"/>
        </x:is>
      </x:c>
      <x:c r="E1677" s="604" t="inlineStr">
        <x:is>
          <x:t xml:space="preserve">阿联酋杯</x:t>
        </x:is>
      </x:c>
      <x:c r="F1677" s="604" t="inlineStr">
        <x:is>
          <x:t xml:space="preserve">沙迦 vs 阿布扎比半岛</x:t>
        </x:is>
      </x:c>
      <x:c r="G1677" s="604" t="n">
        <x:v>0.8</x:v>
      </x:c>
      <x:c r="H1677" s="604" t="n">
        <x:v>-0.5</x:v>
      </x:c>
      <x:c r="I1677" s="604" t="n">
        <x:v>0.96</x:v>
      </x:c>
      <x:c r="J1677" s="604" t="inlineStr">
        <x:is>
          <x:t xml:space="preserve">0.8/-0.5/0.96</x:t>
        </x:is>
      </x:c>
      <x:c r="K1677" s="604" t="inlineStr">
        <x:is>
          <x:t xml:space="preserve">V4-B</x:t>
        </x:is>
      </x:c>
      <x:c r="L1677" s="604" t="inlineStr">
        <x:is>
          <x:t xml:space="preserve">沙迦</x:t>
        </x:is>
      </x:c>
      <x:c r="M1677" s="604" t="n">
        <x:v>0.2350404515301057</x:v>
      </x:c>
      <x:c r="N1677" s="604" t="inlineStr">
        <x:is>
          <x:t xml:space="preserve">V4 Shadow Only；real_money=false</x:t>
        </x:is>
      </x:c>
      <x:c r="O1677" s="604" t="inlineStr">
        <x:is>
          <x:t xml:space="preserve">0-0</x:t>
        </x:is>
      </x:c>
      <x:c r="P1677" s="604" t="inlineStr">
        <x:is>
          <x:t xml:space="preserve">EVALUATED</x:t>
        </x:is>
      </x:c>
      <x:c r="Q1677" s="630" t="inlineStr">
        <x:is>
          <x:t xml:space="preserve"/>
        </x:is>
      </x:c>
      <x:c r="R1677" s="604" t="n">
        <x:v>0.8</x:v>
      </x:c>
      <x:c r="S1677" s="604" t="n"/>
      <x:c r="T1677" s="604" t="inlineStr">
        <x:is>
          <x:t xml:space="preserve">D:\codex\v3_legacy\outputs\football_odds_trader\raw\titan007\20261009\20261009_085232_titan007_odds_snapshot.csv</x:t>
        </x:is>
      </x:c>
      <x:c r="U1677" s="628" t="inlineStr">
        <x:is>
          <x:t xml:space="preserve"/>
        </x:is>
      </x:c>
      <x:c r="V1677" s="604" t="inlineStr">
        <x:is>
          <x:t xml:space="preserve"/>
        </x:is>
      </x:c>
      <x:c r="W1677" s="604" t="inlineStr">
        <x:is>
          <x:t xml:space="preserve"/>
        </x:is>
      </x:c>
      <x:c r="X1677" s="604" t="inlineStr">
        <x:is>
          <x:t xml:space="preserve">3096240</x:t>
        </x:is>
      </x:c>
      <x:c r="Y1677" s="604" t="inlineStr">
        <x:is>
          <x:t xml:space="preserve">V4</x:t>
        </x:is>
      </x:c>
      <x:c r="Z1677" s="604" t="inlineStr">
        <x:is>
          <x:t xml:space="preserve">prior-2026-10-09-v1</x:t>
        </x:is>
      </x:c>
      <x:c r="AA1677" s="604" t="inlineStr">
        <x:is>
          <x:t xml:space="preserve">B</x:t>
        </x:is>
      </x:c>
      <x:c r="AB1677" s="604" t="n">
        <x:v>0.2350404515301057</x:v>
      </x:c>
      <x:c r="AC1677" s="604" t="n">
        <x:v>0.7649595484698943</x:v>
      </x:c>
      <x:c r="AD1677" s="604" t="n">
        <x:v>-0.5</x:v>
      </x:c>
      <x:c r="AE1677" s="604" t="n"/>
      <x:c r="AF1677" s="604" t="n"/>
      <x:c r="AG1677" s="604" t="n">
        <x:v>0.3769271872458099</x:v>
      </x:c>
      <x:c r="AH1677" s="604" t="n"/>
      <x:c r="AI1677" s="604" t="n"/>
      <x:c r="AJ1677" s="604" t="n">
        <x:v>0.3769271872458099</x:v>
      </x:c>
      <x:c r="AK1677" s="604" t="n"/>
      <x:c r="AL1677" s="604" t="n"/>
      <x:c r="AM1677" s="604" t="n"/>
      <x:c r="AN1677" s="604" t="inlineStr">
        <x:is>
          <x:t xml:space="preserve">EVALUATED</x:t>
        </x:is>
      </x:c>
      <x:c r="AO1677" s="604" t="inlineStr">
        <x:is>
          <x:t xml:space="preserve">RECEIVING_VALIDATED_EDGE;BUCKET_PRIOR_ONLY;INTENT_INTERPRETATION_ONLY;FFL_OPTIONAL;EXPERT_MARKET</x:t>
        </x:is>
      </x:c>
      <x:c r="AP1677" s="604" t="inlineStr">
        <x:is>
          <x:t xml:space="preserve">e7961b7e5831e0990818</x:t>
        </x:is>
      </x:c>
      <x:c r="AQ1677" s="604" t="n">
        <x:v>0.5</x:v>
      </x:c>
      <x:c r="AR1677" s="604" t="n">
        <x:v>0.8</x:v>
      </x:c>
      <x:c r="AS1677" s="604" t="n">
        <x:v>-0.5</x:v>
      </x:c>
      <x:c r="AT1677" s="604" t="n">
        <x:v>0.5</x:v>
      </x:c>
      <x:c r="AU1677" s="604" t="n">
        <x:v>0.8</x:v>
      </x:c>
      <x:c r="AV1677" s="604" t="n">
        <x:v>0.96</x:v>
      </x:c>
      <x:c r="AW1677" s="604" t="inlineStr">
        <x:is>
          <x:t xml:space="preserve">2026-10-09T09:01:21.127001+08:00</x:t>
        </x:is>
      </x:c>
      <x:c r="AX1677" s="604" t="inlineStr">
        <x:is>
          <x:t xml:space="preserve">Titan007/V4</x:t>
        </x:is>
      </x:c>
      <x:c r="AY1677" s="604" t="inlineStr">
        <x:is>
          <x:t xml:space="preserve">Daily append；市场输入缺失时不生成决策</x:t>
        </x:is>
      </x:c>
    </x:row>
    <x:row r="1678" ht="22" customHeight="1">
      <x:c r="A1678" s="604" t="inlineStr">
        <x:is>
          <x:t xml:space="preserve">2026-10-09</x:t>
        </x:is>
      </x:c>
      <x:c r="B1678" s="604" t="inlineStr">
        <x:is>
          <x:t xml:space="preserve">2026-10-10T02:00:00+08:00</x:t>
        </x:is>
      </x:c>
      <x:c r="C1678" s="604" t="str">
        <x:v>南美系列</x:v>
      </x:c>
      <x:c r="D1678" s="604" t="inlineStr">
        <x:is>
          <x:t xml:space="preserve"/>
        </x:is>
      </x:c>
      <x:c r="E1678" s="604" t="inlineStr">
        <x:is>
          <x:t xml:space="preserve">厄瓜甲</x:t>
        </x:is>
      </x:c>
      <x:c r="F1678" s="604" t="inlineStr">
        <x:is>
          <x:t xml:space="preserve">利伯塔德洛哈 vs 北莱昂内斯</x:t>
        </x:is>
      </x:c>
      <x:c r="G1678" s="604" t="n">
        <x:v>0.72</x:v>
      </x:c>
      <x:c r="H1678" s="604" t="n">
        <x:v>0</x:v>
      </x:c>
      <x:c r="I1678" s="604" t="n">
        <x:v>1.04</x:v>
      </x:c>
      <x:c r="J1678" s="604" t="inlineStr">
        <x:is>
          <x:t xml:space="preserve">0.72/0.0/1.04</x:t>
        </x:is>
      </x:c>
      <x:c r="K1678" s="604" t="inlineStr">
        <x:is>
          <x:t xml:space="preserve">V4-N</x:t>
        </x:is>
      </x:c>
      <x:c r="L1678" s="604" t="inlineStr">
        <x:is>
          <x:t xml:space="preserve"/>
        </x:is>
      </x:c>
      <x:c r="M1678" s="604" t="n"/>
      <x:c r="N1678" s="604" t="inlineStr">
        <x:is>
          <x:t xml:space="preserve">V4 Shadow Only；real_money=false</x:t>
        </x:is>
      </x:c>
      <x:c r="O1678" s="604" t="inlineStr">
        <x:is>
          <x:t xml:space="preserve">0-0</x:t>
        </x:is>
      </x:c>
      <x:c r="P1678" s="604" t="inlineStr">
        <x:is>
          <x:t xml:space="preserve">NEUTRAL</x:t>
        </x:is>
      </x:c>
      <x:c r="Q1678" s="630" t="inlineStr">
        <x:is>
          <x:t xml:space="preserve"/>
        </x:is>
      </x:c>
      <x:c r="R1678" s="604" t="n"/>
      <x:c r="S1678" s="604" t="n"/>
      <x:c r="T1678" s="604" t="inlineStr">
        <x:is>
          <x:t xml:space="preserve">D:\codex\v3_legacy\outputs\football_odds_trader\raw\titan007\20261009\20261009_085232_titan007_odds_snapshot.csv</x:t>
        </x:is>
      </x:c>
      <x:c r="U1678" s="628" t="inlineStr">
        <x:is>
          <x:t xml:space="preserve"/>
        </x:is>
      </x:c>
      <x:c r="V1678" s="604" t="inlineStr">
        <x:is>
          <x:t xml:space="preserve"/>
        </x:is>
      </x:c>
      <x:c r="W1678" s="604" t="inlineStr">
        <x:is>
          <x:t xml:space="preserve"/>
        </x:is>
      </x:c>
      <x:c r="X1678" s="604" t="inlineStr">
        <x:is>
          <x:t xml:space="preserve">3096633</x:t>
        </x:is>
      </x:c>
      <x:c r="Y1678" s="604" t="inlineStr">
        <x:is>
          <x:t xml:space="preserve">V4</x:t>
        </x:is>
      </x:c>
      <x:c r="Z1678" s="604" t="inlineStr">
        <x:is>
          <x:t xml:space="preserve">prior-2026-10-09-v1</x:t>
        </x:is>
      </x:c>
      <x:c r="AA1678" s="604" t="inlineStr">
        <x:is>
          <x:t xml:space="preserve">N</x:t>
        </x:is>
      </x:c>
      <x:c r="AB1678" s="604" t="n"/>
      <x:c r="AC1678" s="604" t="n"/>
      <x:c r="AD1678" s="604" t="n"/>
      <x:c r="AE1678" s="604" t="n"/>
      <x:c r="AF1678" s="604" t="n"/>
      <x:c r="AG1678" s="604" t="n"/>
      <x:c r="AH1678" s="604" t="n"/>
      <x:c r="AI1678" s="604" t="n"/>
      <x:c r="AJ1678" s="604" t="n"/>
      <x:c r="AK1678" s="604" t="n"/>
      <x:c r="AL1678" s="604" t="n"/>
      <x:c r="AM1678" s="604" t="n"/>
      <x:c r="AN1678" s="604" t="inlineStr">
        <x:is>
          <x:t xml:space="preserve">NEUTRAL</x:t>
        </x:is>
      </x:c>
      <x:c r="AO1678" s="604" t="inlineStr">
        <x:is>
          <x:t xml:space="preserve">PK_NO_GIVING_RECEIVING_IDENTITY</x:t>
        </x:is>
      </x:c>
      <x:c r="AP1678" s="604" t="inlineStr">
        <x:is>
          <x:t xml:space="preserve">be06ae885f4f88ceecd1</x:t>
        </x:is>
      </x:c>
      <x:c r="AQ1678" s="604" t="n"/>
      <x:c r="AR1678" s="604" t="n"/>
      <x:c r="AS1678" s="604" t="n"/>
      <x:c r="AT1678" s="604" t="n"/>
      <x:c r="AU1678" s="604" t="n"/>
      <x:c r="AV1678" s="604" t="n"/>
      <x:c r="AW1678" s="604" t="inlineStr">
        <x:is>
          <x:t xml:space="preserve">2026-10-09T09:01:21.127001+08:00</x:t>
        </x:is>
      </x:c>
      <x:c r="AX1678" s="604" t="inlineStr">
        <x:is>
          <x:t xml:space="preserve">Titan007/V4</x:t>
        </x:is>
      </x:c>
      <x:c r="AY1678" s="604" t="inlineStr">
        <x:is>
          <x:t xml:space="preserve">Daily append；市场输入缺失时不生成决策</x:t>
        </x:is>
      </x:c>
    </x:row>
    <x:row r="1679" ht="22" customHeight="1">
      <x:c r="A1679" s="604" t="inlineStr">
        <x:is>
          <x:t xml:space="preserve">2026-10-09</x:t>
        </x:is>
      </x:c>
      <x:c r="B1679" s="604" t="inlineStr">
        <x:is>
          <x:t xml:space="preserve">2026-10-09T22:00:00+08:00</x:t>
        </x:is>
      </x:c>
      <x:c r="C1679" s="604" t="str">
        <x:v>西亚/中亚系列</x:v>
      </x:c>
      <x:c r="D1679" s="604" t="inlineStr">
        <x:is>
          <x:t xml:space="preserve"/>
        </x:is>
      </x:c>
      <x:c r="E1679" s="604" t="inlineStr">
        <x:is>
          <x:t xml:space="preserve">约旦杯</x:t>
        </x:is>
      </x:c>
      <x:c r="F1679" s="604" t="inlineStr">
        <x:is>
          <x:t xml:space="preserve">沙马SC vs 艾尔利</x:t>
        </x:is>
      </x:c>
      <x:c r="G1679" s="604" t="n">
        <x:v>0.8</x:v>
      </x:c>
      <x:c r="H1679" s="604" t="n">
        <x:v>-0.75</x:v>
      </x:c>
      <x:c r="I1679" s="604" t="n">
        <x:v>1</x:v>
      </x:c>
      <x:c r="J1679" s="604" t="inlineStr">
        <x:is>
          <x:t xml:space="preserve">0.8/-0.75/1.0</x:t>
        </x:is>
      </x:c>
      <x:c r="K1679" s="604" t="inlineStr">
        <x:is>
          <x:t xml:space="preserve">V4-B</x:t>
        </x:is>
      </x:c>
      <x:c r="L1679" s="604" t="inlineStr">
        <x:is>
          <x:t xml:space="preserve">沙马SC</x:t>
        </x:is>
      </x:c>
      <x:c r="M1679" s="604" t="n">
        <x:v>0.09107805276183992</x:v>
      </x:c>
      <x:c r="N1679" s="604" t="inlineStr">
        <x:is>
          <x:t xml:space="preserve">V4 Shadow Only；real_money=false</x:t>
        </x:is>
      </x:c>
      <x:c r="O1679" s="604" t="inlineStr">
        <x:is>
          <x:t xml:space="preserve">0-0</x:t>
        </x:is>
      </x:c>
      <x:c r="P1679" s="604" t="inlineStr">
        <x:is>
          <x:t xml:space="preserve">EVALUATED</x:t>
        </x:is>
      </x:c>
      <x:c r="Q1679" s="630" t="inlineStr">
        <x:is>
          <x:t xml:space="preserve"/>
        </x:is>
      </x:c>
      <x:c r="R1679" s="604" t="n">
        <x:v>0.8</x:v>
      </x:c>
      <x:c r="S1679" s="604" t="n"/>
      <x:c r="T1679" s="604" t="inlineStr">
        <x:is>
          <x:t xml:space="preserve">D:\codex\v3_legacy\outputs\football_odds_trader\raw\titan007\20261009\20261009_085232_titan007_odds_snapshot.csv</x:t>
        </x:is>
      </x:c>
      <x:c r="U1679" s="628" t="inlineStr">
        <x:is>
          <x:t xml:space="preserve"/>
        </x:is>
      </x:c>
      <x:c r="V1679" s="604" t="inlineStr">
        <x:is>
          <x:t xml:space="preserve"/>
        </x:is>
      </x:c>
      <x:c r="W1679" s="604" t="inlineStr">
        <x:is>
          <x:t xml:space="preserve"/>
        </x:is>
      </x:c>
      <x:c r="X1679" s="604" t="inlineStr">
        <x:is>
          <x:t xml:space="preserve">3096853</x:t>
        </x:is>
      </x:c>
      <x:c r="Y1679" s="604" t="inlineStr">
        <x:is>
          <x:t xml:space="preserve">V4</x:t>
        </x:is>
      </x:c>
      <x:c r="Z1679" s="604" t="inlineStr">
        <x:is>
          <x:t xml:space="preserve">prior-2026-10-09-v1</x:t>
        </x:is>
      </x:c>
      <x:c r="AA1679" s="604" t="inlineStr">
        <x:is>
          <x:t xml:space="preserve">B</x:t>
        </x:is>
      </x:c>
      <x:c r="AB1679" s="604" t="n">
        <x:v>0.09107805276183992</x:v>
      </x:c>
      <x:c r="AC1679" s="604" t="n">
        <x:v>0.8575814719568102</x:v>
      </x:c>
      <x:c r="AD1679" s="604" t="n">
        <x:v>-1</x:v>
      </x:c>
      <x:c r="AE1679" s="604" t="n"/>
      <x:c r="AF1679" s="604" t="n"/>
      <x:c r="AG1679" s="604" t="n">
        <x:v>0.5949871248036084</x:v>
      </x:c>
      <x:c r="AH1679" s="604" t="n"/>
      <x:c r="AI1679" s="604" t="n"/>
      <x:c r="AJ1679" s="604" t="n">
        <x:v>0.5949871248036084</x:v>
      </x:c>
      <x:c r="AK1679" s="604" t="n"/>
      <x:c r="AL1679" s="604" t="n"/>
      <x:c r="AM1679" s="604" t="n"/>
      <x:c r="AN1679" s="604" t="inlineStr">
        <x:is>
          <x:t xml:space="preserve">EVALUATED</x:t>
        </x:is>
      </x:c>
      <x:c r="AO1679" s="604" t="inlineStr">
        <x:is>
          <x:t xml:space="preserve">RECEIVING_VALIDATED_EDGE;BUCKET_PRIOR_ONLY;INTENT_INTERPRETATION_ONLY;FFL_OPTIONAL;EXPERT_MARKET</x:t>
        </x:is>
      </x:c>
      <x:c r="AP1679" s="604" t="inlineStr">
        <x:is>
          <x:t xml:space="preserve">dbe014adadd1703e5c91</x:t>
        </x:is>
      </x:c>
      <x:c r="AQ1679" s="604" t="n">
        <x:v>0.75</x:v>
      </x:c>
      <x:c r="AR1679" s="604" t="n">
        <x:v>0.8</x:v>
      </x:c>
      <x:c r="AS1679" s="604" t="n">
        <x:v>-0.75</x:v>
      </x:c>
      <x:c r="AT1679" s="604" t="n">
        <x:v>0.75</x:v>
      </x:c>
      <x:c r="AU1679" s="604" t="n">
        <x:v>0.8</x:v>
      </x:c>
      <x:c r="AV1679" s="604" t="n">
        <x:v>1</x:v>
      </x:c>
      <x:c r="AW1679" s="604" t="inlineStr">
        <x:is>
          <x:t xml:space="preserve">2026-10-09T09:01:21.127001+08:00</x:t>
        </x:is>
      </x:c>
      <x:c r="AX1679" s="604" t="inlineStr">
        <x:is>
          <x:t xml:space="preserve">Titan007/V4</x:t>
        </x:is>
      </x:c>
      <x:c r="AY1679" s="604" t="inlineStr">
        <x:is>
          <x:t xml:space="preserve">Daily append；市场输入缺失时不生成决策</x:t>
        </x:is>
      </x:c>
    </x:row>
    <x:row r="1680" ht="22" customHeight="1">
      <x:c r="A1680" s="604" t="inlineStr">
        <x:is>
          <x:t xml:space="preserve">2026-10-09</x:t>
        </x:is>
      </x:c>
      <x:c r="B1680" s="604" t="inlineStr">
        <x:is>
          <x:t xml:space="preserve">2026-10-10T07:00:00+08:00</x:t>
        </x:is>
      </x:c>
      <x:c r="C1680" s="604" t="str">
        <x:v>南美系列</x:v>
      </x:c>
      <x:c r="D1680" s="604" t="inlineStr">
        <x:is>
          <x:t xml:space="preserve"/>
        </x:is>
      </x:c>
      <x:c r="E1680" s="604" t="inlineStr">
        <x:is>
          <x:t xml:space="preserve">巴青杯</x:t>
        </x:is>
      </x:c>
      <x:c r="F1680" s="604" t="inlineStr">
        <x:is>
          <x:t xml:space="preserve">帕尔梅拉斯青年队 vs 山度士青年队</x:t>
        </x:is>
      </x:c>
      <x:c r="G1680" s="604" t="n">
        <x:v>0.83</x:v>
      </x:c>
      <x:c r="H1680" s="604" t="n">
        <x:v>0.75</x:v>
      </x:c>
      <x:c r="I1680" s="604" t="n">
        <x:v>0.98</x:v>
      </x:c>
      <x:c r="J1680" s="604" t="inlineStr">
        <x:is>
          <x:t xml:space="preserve">0.83/0.75/0.98</x:t>
        </x:is>
      </x:c>
      <x:c r="K1680" s="604" t="inlineStr">
        <x:is>
          <x:t xml:space="preserve">V4-N</x:t>
        </x:is>
      </x:c>
      <x:c r="L1680" s="604" t="inlineStr">
        <x:is>
          <x:t xml:space="preserve"/>
        </x:is>
      </x:c>
      <x:c r="M1680" s="604" t="n">
        <x:v>0.5208569401138076</x:v>
      </x:c>
      <x:c r="N1680" s="604" t="inlineStr">
        <x:is>
          <x:t xml:space="preserve">V4 Shadow Only；real_money=false</x:t>
        </x:is>
      </x:c>
      <x:c r="O1680" s="604" t="inlineStr">
        <x:is>
          <x:t xml:space="preserve">0-0</x:t>
        </x:is>
      </x:c>
      <x:c r="P1680" s="604" t="inlineStr">
        <x:is>
          <x:t xml:space="preserve">EVALUATED</x:t>
        </x:is>
      </x:c>
      <x:c r="Q1680" s="630" t="inlineStr">
        <x:is>
          <x:t xml:space="preserve"/>
        </x:is>
      </x:c>
      <x:c r="R1680" s="604" t="n"/>
      <x:c r="S1680" s="604" t="n"/>
      <x:c r="T1680" s="604" t="inlineStr">
        <x:is>
          <x:t xml:space="preserve">D:\codex\v3_legacy\outputs\football_odds_trader\raw\titan007\20261009\20261009_085232_titan007_odds_snapshot.csv</x:t>
        </x:is>
      </x:c>
      <x:c r="U1680" s="628" t="inlineStr">
        <x:is>
          <x:t xml:space="preserve"/>
        </x:is>
      </x:c>
      <x:c r="V1680" s="604" t="inlineStr">
        <x:is>
          <x:t xml:space="preserve"/>
        </x:is>
      </x:c>
      <x:c r="W1680" s="604" t="inlineStr">
        <x:is>
          <x:t xml:space="preserve"/>
        </x:is>
      </x:c>
      <x:c r="X1680" s="604" t="inlineStr">
        <x:is>
          <x:t xml:space="preserve">3098025</x:t>
        </x:is>
      </x:c>
      <x:c r="Y1680" s="604" t="inlineStr">
        <x:is>
          <x:t xml:space="preserve">V4</x:t>
        </x:is>
      </x:c>
      <x:c r="Z1680" s="604" t="inlineStr">
        <x:is>
          <x:t xml:space="preserve">prior-2026-10-09-v1</x:t>
        </x:is>
      </x:c>
      <x:c r="AA1680" s="604" t="inlineStr">
        <x:is>
          <x:t xml:space="preserve">N</x:t>
        </x:is>
      </x:c>
      <x:c r="AB1680" s="604" t="n">
        <x:v>0.5208569401138076</x:v>
      </x:c>
      <x:c r="AC1680" s="604" t="n">
        <x:v>0.3509660367069947</x:v>
      </x:c>
      <x:c r="AD1680" s="604" t="n">
        <x:v>1.25</x:v>
      </x:c>
      <x:c r="AE1680" s="604" t="n"/>
      <x:c r="AF1680" s="604" t="n"/>
      <x:c r="AG1680" s="604" t="n">
        <x:v>0.08134522358746565</x:v>
      </x:c>
      <x:c r="AH1680" s="604" t="n"/>
      <x:c r="AI1680" s="604" t="n"/>
      <x:c r="AJ1680" s="604" t="n">
        <x:v>0.08134522358746565</x:v>
      </x:c>
      <x:c r="AK1680" s="604" t="n"/>
      <x:c r="AL1680" s="604" t="n"/>
      <x:c r="AM1680" s="604" t="n"/>
      <x:c r="AN1680" s="604" t="inlineStr">
        <x:is>
          <x:t xml:space="preserve">EVALUATED</x:t>
        </x:is>
      </x:c>
      <x:c r="AO1680" s="604" t="inlineStr">
        <x:is>
          <x:t xml:space="preserve">LOW_QUALITY_GATE;BUCKET_PRIOR_ONLY;INTENT_INTERPRETATION_ONLY;FFL_OPTIONAL;EXPERT_MARKET</x:t>
        </x:is>
      </x:c>
      <x:c r="AP1680" s="604" t="inlineStr">
        <x:is>
          <x:t xml:space="preserve">33eb815f9858eed15b62</x:t>
        </x:is>
      </x:c>
      <x:c r="AQ1680" s="604" t="n"/>
      <x:c r="AR1680" s="604" t="n"/>
      <x:c r="AS1680" s="604" t="n">
        <x:v>0.75</x:v>
      </x:c>
      <x:c r="AT1680" s="604" t="n">
        <x:v>-0.75</x:v>
      </x:c>
      <x:c r="AU1680" s="604" t="n">
        <x:v>0.83</x:v>
      </x:c>
      <x:c r="AV1680" s="604" t="n">
        <x:v>0.98</x:v>
      </x:c>
      <x:c r="AW1680" s="604" t="inlineStr">
        <x:is>
          <x:t xml:space="preserve">2026-10-09T09:01:21.127001+08:00</x:t>
        </x:is>
      </x:c>
      <x:c r="AX1680" s="604" t="inlineStr">
        <x:is>
          <x:t xml:space="preserve">Titan007/V4</x:t>
        </x:is>
      </x:c>
      <x:c r="AY1680" s="604" t="inlineStr">
        <x:is>
          <x:t xml:space="preserve">Daily append；市场输入缺失时不生成决策</x:t>
        </x:is>
      </x:c>
    </x:row>
    <x:row r="1681" ht="22" customHeight="1">
      <x:c r="A1681" s="604" t="inlineStr">
        <x:is>
          <x:t xml:space="preserve">2026-10-09</x:t>
        </x:is>
      </x:c>
      <x:c r="B1681" s="604" t="inlineStr">
        <x:is>
          <x:t xml:space="preserve">2026-10-09T23:00:00+08:00</x:t>
        </x:is>
      </x:c>
      <x:c r="C1681" s="604" t="str">
        <x:v>其他系列</x:v>
      </x:c>
      <x:c r="D1681" s="604" t="inlineStr">
        <x:is>
          <x:t xml:space="preserve"/>
        </x:is>
      </x:c>
      <x:c r="E1681" s="604" t="inlineStr">
        <x:is>
          <x:t xml:space="preserve">女奥非预</x:t>
        </x:is>
      </x:c>
      <x:c r="F1681" s="604" t="inlineStr">
        <x:is>
          <x:t xml:space="preserve">安哥拉女足 vs 纳米比亚女足</x:t>
        </x:is>
      </x:c>
      <x:c r="G1681" s="604" t="n">
        <x:v>0.83</x:v>
      </x:c>
      <x:c r="H1681" s="604" t="n">
        <x:v>-0.25</x:v>
      </x:c>
      <x:c r="I1681" s="604" t="n">
        <x:v>0.98</x:v>
      </x:c>
      <x:c r="J1681" s="604" t="inlineStr">
        <x:is>
          <x:t xml:space="preserve">0.83/-0.25/0.98</x:t>
        </x:is>
      </x:c>
      <x:c r="K1681" s="604" t="inlineStr">
        <x:is>
          <x:t xml:space="preserve">V4-N</x:t>
        </x:is>
      </x:c>
      <x:c r="L1681" s="604" t="inlineStr">
        <x:is>
          <x:t xml:space="preserve"/>
        </x:is>
      </x:c>
      <x:c r="M1681" s="604" t="n">
        <x:v>0.2824215042981674</x:v>
      </x:c>
      <x:c r="N1681" s="604" t="inlineStr">
        <x:is>
          <x:t xml:space="preserve">V4 Shadow Only；real_money=false</x:t>
        </x:is>
      </x:c>
      <x:c r="O1681" s="604" t="inlineStr">
        <x:is>
          <x:t xml:space="preserve">0-0</x:t>
        </x:is>
      </x:c>
      <x:c r="P1681" s="604" t="inlineStr">
        <x:is>
          <x:t xml:space="preserve">EVALUATED</x:t>
        </x:is>
      </x:c>
      <x:c r="Q1681" s="630" t="inlineStr">
        <x:is>
          <x:t xml:space="preserve"/>
        </x:is>
      </x:c>
      <x:c r="R1681" s="604" t="n"/>
      <x:c r="S1681" s="604" t="n"/>
      <x:c r="T1681" s="604" t="inlineStr">
        <x:is>
          <x:t xml:space="preserve">D:\codex\v3_legacy\outputs\football_odds_trader\raw\titan007\20261009\20261009_085232_titan007_odds_snapshot.csv</x:t>
        </x:is>
      </x:c>
      <x:c r="U1681" s="628" t="inlineStr">
        <x:is>
          <x:t xml:space="preserve"/>
        </x:is>
      </x:c>
      <x:c r="V1681" s="604" t="inlineStr">
        <x:is>
          <x:t xml:space="preserve"/>
        </x:is>
      </x:c>
      <x:c r="W1681" s="604" t="inlineStr">
        <x:is>
          <x:t xml:space="preserve"/>
        </x:is>
      </x:c>
      <x:c r="X1681" s="604" t="inlineStr">
        <x:is>
          <x:t xml:space="preserve">3098032</x:t>
        </x:is>
      </x:c>
      <x:c r="Y1681" s="604" t="inlineStr">
        <x:is>
          <x:t xml:space="preserve">V4</x:t>
        </x:is>
      </x:c>
      <x:c r="Z1681" s="604" t="inlineStr">
        <x:is>
          <x:t xml:space="preserve">prior-2026-10-09-v1</x:t>
        </x:is>
      </x:c>
      <x:c r="AA1681" s="604" t="inlineStr">
        <x:is>
          <x:t xml:space="preserve">N</x:t>
        </x:is>
      </x:c>
      <x:c r="AB1681" s="604" t="n">
        <x:v>0.2824215042981674</x:v>
      </x:c>
      <x:c r="AC1681" s="604" t="n">
        <x:v>0.5874083154796912</x:v>
      </x:c>
      <x:c r="AD1681" s="604" t="n">
        <x:v>-0.25</x:v>
      </x:c>
      <x:c r="AE1681" s="604" t="n"/>
      <x:c r="AF1681" s="604" t="n"/>
      <x:c r="AG1681" s="604" t="n">
        <x:v>0.2051273975499762</x:v>
      </x:c>
      <x:c r="AH1681" s="604" t="n"/>
      <x:c r="AI1681" s="604" t="n"/>
      <x:c r="AJ1681" s="604" t="n">
        <x:v>0.2051273975499762</x:v>
      </x:c>
      <x:c r="AK1681" s="604" t="n"/>
      <x:c r="AL1681" s="604" t="n"/>
      <x:c r="AM1681" s="604" t="n"/>
      <x:c r="AN1681" s="604" t="inlineStr">
        <x:is>
          <x:t xml:space="preserve">EVALUATED</x:t>
        </x:is>
      </x:c>
      <x:c r="AO1681" s="604" t="inlineStr">
        <x:is>
          <x:t xml:space="preserve">LOW_QUALITY_GATE;BUCKET_PRIOR_ONLY;INTENT_INTERPRETATION_ONLY;FFL_OPTIONAL;EXPERT_MARKET</x:t>
        </x:is>
      </x:c>
      <x:c r="AP1681" s="604" t="inlineStr">
        <x:is>
          <x:t xml:space="preserve">b7ac264c864b6d61cf63</x:t>
        </x:is>
      </x:c>
      <x:c r="AQ1681" s="604" t="n"/>
      <x:c r="AR1681" s="604" t="n"/>
      <x:c r="AS1681" s="604" t="n">
        <x:v>-0.25</x:v>
      </x:c>
      <x:c r="AT1681" s="604" t="n">
        <x:v>0.25</x:v>
      </x:c>
      <x:c r="AU1681" s="604" t="n">
        <x:v>0.83</x:v>
      </x:c>
      <x:c r="AV1681" s="604" t="n">
        <x:v>0.98</x:v>
      </x:c>
      <x:c r="AW1681" s="604" t="inlineStr">
        <x:is>
          <x:t xml:space="preserve">2026-10-09T09:01:21.127001+08:00</x:t>
        </x:is>
      </x:c>
      <x:c r="AX1681" s="604" t="inlineStr">
        <x:is>
          <x:t xml:space="preserve">Titan007/V4</x:t>
        </x:is>
      </x:c>
      <x:c r="AY1681" s="604" t="inlineStr">
        <x:is>
          <x:t xml:space="preserve">Daily append；市场输入缺失时不生成决策</x:t>
        </x:is>
      </x:c>
    </x:row>
    <x:row r="1682" ht="22" customHeight="1">
      <x:c r="A1682" s="604" t="inlineStr">
        <x:is>
          <x:t xml:space="preserve">2026-10-09</x:t>
        </x:is>
      </x:c>
      <x:c r="B1682" s="604" t="inlineStr">
        <x:is>
          <x:t xml:space="preserve">2026-10-10T01:00:00+08:00</x:t>
        </x:is>
      </x:c>
      <x:c r="C1682" s="604" t="str">
        <x:v>其他系列</x:v>
      </x:c>
      <x:c r="D1682" s="604" t="inlineStr">
        <x:is>
          <x:t xml:space="preserve"/>
        </x:is>
      </x:c>
      <x:c r="E1682" s="604" t="inlineStr">
        <x:is>
          <x:t xml:space="preserve">女奥非预</x:t>
        </x:is>
      </x:c>
      <x:c r="F1682" s="604" t="inlineStr">
        <x:is>
          <x:t xml:space="preserve">博茨瓦纳女足 vs 坦桑尼亚女足</x:t>
        </x:is>
      </x:c>
      <x:c r="G1682" s="604" t="n">
        <x:v>0.83</x:v>
      </x:c>
      <x:c r="H1682" s="604" t="n">
        <x:v>-0.25</x:v>
      </x:c>
      <x:c r="I1682" s="604" t="n">
        <x:v>0.98</x:v>
      </x:c>
      <x:c r="J1682" s="604" t="inlineStr">
        <x:is>
          <x:t xml:space="preserve">0.83/-0.25/0.98</x:t>
        </x:is>
      </x:c>
      <x:c r="K1682" s="604" t="inlineStr">
        <x:is>
          <x:t xml:space="preserve">V4-N</x:t>
        </x:is>
      </x:c>
      <x:c r="L1682" s="604" t="inlineStr">
        <x:is>
          <x:t xml:space="preserve"/>
        </x:is>
      </x:c>
      <x:c r="M1682" s="604" t="n">
        <x:v>0.2837572215370427</x:v>
      </x:c>
      <x:c r="N1682" s="604" t="inlineStr">
        <x:is>
          <x:t xml:space="preserve">V4 Shadow Only；real_money=false</x:t>
        </x:is>
      </x:c>
      <x:c r="O1682" s="604" t="inlineStr">
        <x:is>
          <x:t xml:space="preserve">0-0</x:t>
        </x:is>
      </x:c>
      <x:c r="P1682" s="604" t="inlineStr">
        <x:is>
          <x:t xml:space="preserve">EVALUATED</x:t>
        </x:is>
      </x:c>
      <x:c r="Q1682" s="630" t="inlineStr">
        <x:is>
          <x:t xml:space="preserve"/>
        </x:is>
      </x:c>
      <x:c r="R1682" s="604" t="n"/>
      <x:c r="S1682" s="604" t="n"/>
      <x:c r="T1682" s="604" t="inlineStr">
        <x:is>
          <x:t xml:space="preserve">D:\codex\v3_legacy\outputs\football_odds_trader\raw\titan007\20261009\20261009_085232_titan007_odds_snapshot.csv</x:t>
        </x:is>
      </x:c>
      <x:c r="U1682" s="628" t="inlineStr">
        <x:is>
          <x:t xml:space="preserve"/>
        </x:is>
      </x:c>
      <x:c r="V1682" s="604" t="inlineStr">
        <x:is>
          <x:t xml:space="preserve"/>
        </x:is>
      </x:c>
      <x:c r="W1682" s="604" t="inlineStr">
        <x:is>
          <x:t xml:space="preserve"/>
        </x:is>
      </x:c>
      <x:c r="X1682" s="604" t="inlineStr">
        <x:is>
          <x:t xml:space="preserve">3098033</x:t>
        </x:is>
      </x:c>
      <x:c r="Y1682" s="604" t="inlineStr">
        <x:is>
          <x:t xml:space="preserve">V4</x:t>
        </x:is>
      </x:c>
      <x:c r="Z1682" s="604" t="inlineStr">
        <x:is>
          <x:t xml:space="preserve">prior-2026-10-09-v1</x:t>
        </x:is>
      </x:c>
      <x:c r="AA1682" s="604" t="inlineStr">
        <x:is>
          <x:t xml:space="preserve">N</x:t>
        </x:is>
      </x:c>
      <x:c r="AB1682" s="604" t="n">
        <x:v>0.2837572215370427</x:v>
      </x:c>
      <x:c r="AC1682" s="604" t="n">
        <x:v>0.5855380256443695</x:v>
      </x:c>
      <x:c r="AD1682" s="604" t="n">
        <x:v>-0.25</x:v>
      </x:c>
      <x:c r="AE1682" s="604" t="n"/>
      <x:c r="AF1682" s="604" t="n"/>
      <x:c r="AG1682" s="604" t="n">
        <x:v>0.2022393397477839</x:v>
      </x:c>
      <x:c r="AH1682" s="604" t="n"/>
      <x:c r="AI1682" s="604" t="n"/>
      <x:c r="AJ1682" s="604" t="n">
        <x:v>0.2022393397477839</x:v>
      </x:c>
      <x:c r="AK1682" s="604" t="n"/>
      <x:c r="AL1682" s="604" t="n"/>
      <x:c r="AM1682" s="604" t="n"/>
      <x:c r="AN1682" s="604" t="inlineStr">
        <x:is>
          <x:t xml:space="preserve">EVALUATED</x:t>
        </x:is>
      </x:c>
      <x:c r="AO1682" s="604" t="inlineStr">
        <x:is>
          <x:t xml:space="preserve">LOW_QUALITY_GATE;BUCKET_PRIOR_ONLY;INTENT_INTERPRETATION_ONLY;FFL_OPTIONAL;EXPERT_MARKET</x:t>
        </x:is>
      </x:c>
      <x:c r="AP1682" s="604" t="inlineStr">
        <x:is>
          <x:t xml:space="preserve">007ffaba25f4465f7e88</x:t>
        </x:is>
      </x:c>
      <x:c r="AQ1682" s="604" t="n"/>
      <x:c r="AR1682" s="604" t="n"/>
      <x:c r="AS1682" s="604" t="n">
        <x:v>-0.25</x:v>
      </x:c>
      <x:c r="AT1682" s="604" t="n">
        <x:v>0.25</x:v>
      </x:c>
      <x:c r="AU1682" s="604" t="n">
        <x:v>0.83</x:v>
      </x:c>
      <x:c r="AV1682" s="604" t="n">
        <x:v>0.98</x:v>
      </x:c>
      <x:c r="AW1682" s="604" t="inlineStr">
        <x:is>
          <x:t xml:space="preserve">2026-10-09T09:01:21.127001+08:00</x:t>
        </x:is>
      </x:c>
      <x:c r="AX1682" s="604" t="inlineStr">
        <x:is>
          <x:t xml:space="preserve">Titan007/V4</x:t>
        </x:is>
      </x:c>
      <x:c r="AY1682" s="604" t="inlineStr">
        <x:is>
          <x:t xml:space="preserve">Daily append；市场输入缺失时不生成决策</x:t>
        </x:is>
      </x:c>
    </x:row>
    <x:row r="1683" ht="22" customHeight="1">
      <x:c r="A1683" s="604" t="inlineStr">
        <x:is>
          <x:t xml:space="preserve">2026-10-09</x:t>
        </x:is>
      </x:c>
      <x:c r="B1683" s="604" t="inlineStr">
        <x:is>
          <x:t xml:space="preserve">2026-10-10T01:00:00+08:00</x:t>
        </x:is>
      </x:c>
      <x:c r="C1683" s="604" t="str">
        <x:v>其他系列</x:v>
      </x:c>
      <x:c r="D1683" s="604" t="inlineStr">
        <x:is>
          <x:t xml:space="preserve"/>
        </x:is>
      </x:c>
      <x:c r="E1683" s="604" t="inlineStr">
        <x:is>
          <x:t xml:space="preserve">女奥非预</x:t>
        </x:is>
      </x:c>
      <x:c r="F1683" s="604" t="inlineStr">
        <x:is>
          <x:t xml:space="preserve">中非共和国女足 vs 阿尔及利亚女足</x:t>
        </x:is>
      </x:c>
      <x:c r="G1683" s="604" t="n">
        <x:v>0.88</x:v>
      </x:c>
      <x:c r="H1683" s="604" t="n">
        <x:v>-4.25</x:v>
      </x:c>
      <x:c r="I1683" s="604" t="n">
        <x:v>0.93</x:v>
      </x:c>
      <x:c r="J1683" s="604" t="inlineStr">
        <x:is>
          <x:t xml:space="preserve">0.88/-4.25/0.93</x:t>
        </x:is>
      </x:c>
      <x:c r="K1683" s="604" t="inlineStr">
        <x:is>
          <x:t xml:space="preserve">V4-N</x:t>
        </x:is>
      </x:c>
      <x:c r="L1683" s="604" t="inlineStr">
        <x:is>
          <x:t xml:space="preserve"/>
        </x:is>
      </x:c>
      <x:c r="M1683" s="604" t="n">
        <x:v>1.13418179527927e-09</x:v>
      </x:c>
      <x:c r="N1683" s="604" t="inlineStr">
        <x:is>
          <x:t xml:space="preserve">V4 Shadow Only；real_money=false</x:t>
        </x:is>
      </x:c>
      <x:c r="O1683" s="604" t="inlineStr">
        <x:is>
          <x:t xml:space="preserve">0-0</x:t>
        </x:is>
      </x:c>
      <x:c r="P1683" s="604" t="inlineStr">
        <x:is>
          <x:t xml:space="preserve">EVALUATED</x:t>
        </x:is>
      </x:c>
      <x:c r="Q1683" s="630" t="inlineStr">
        <x:is>
          <x:t xml:space="preserve"/>
        </x:is>
      </x:c>
      <x:c r="R1683" s="604" t="n"/>
      <x:c r="S1683" s="604" t="n"/>
      <x:c r="T1683" s="604" t="inlineStr">
        <x:is>
          <x:t xml:space="preserve">D:\codex\v3_legacy\outputs\football_odds_trader\raw\titan007\20261009\20261009_085232_titan007_odds_snapshot.csv</x:t>
        </x:is>
      </x:c>
      <x:c r="U1683" s="628" t="inlineStr">
        <x:is>
          <x:t xml:space="preserve"/>
        </x:is>
      </x:c>
      <x:c r="V1683" s="604" t="inlineStr">
        <x:is>
          <x:t xml:space="preserve"/>
        </x:is>
      </x:c>
      <x:c r="W1683" s="604" t="inlineStr">
        <x:is>
          <x:t xml:space="preserve"/>
        </x:is>
      </x:c>
      <x:c r="X1683" s="604" t="inlineStr">
        <x:is>
          <x:t xml:space="preserve">3098034</x:t>
        </x:is>
      </x:c>
      <x:c r="Y1683" s="604" t="inlineStr">
        <x:is>
          <x:t xml:space="preserve">V4</x:t>
        </x:is>
      </x:c>
      <x:c r="Z1683" s="604" t="inlineStr">
        <x:is>
          <x:t xml:space="preserve">prior-2026-10-09-v1</x:t>
        </x:is>
      </x:c>
      <x:c r="AA1683" s="604" t="inlineStr">
        <x:is>
          <x:t xml:space="preserve">N</x:t>
        </x:is>
      </x:c>
      <x:c r="AB1683" s="604" t="n">
        <x:v>1.13418179527927e-09</x:v>
      </x:c>
      <x:c r="AC1683" s="604" t="n">
        <x:v>0.9999999635987323</x:v>
      </x:c>
      <x:c r="AD1683" s="604" t="n">
        <x:v>-4.25</x:v>
      </x:c>
      <x:c r="AE1683" s="604" t="n"/>
      <x:c r="AF1683" s="604" t="n"/>
      <x:c r="AG1683" s="604" t="n">
        <x:v>0.8799999668327028</x:v>
      </x:c>
      <x:c r="AH1683" s="604" t="n"/>
      <x:c r="AI1683" s="604" t="n"/>
      <x:c r="AJ1683" s="604" t="n">
        <x:v>0.8799999668327028</x:v>
      </x:c>
      <x:c r="AK1683" s="604" t="n"/>
      <x:c r="AL1683" s="604" t="n"/>
      <x:c r="AM1683" s="604" t="n"/>
      <x:c r="AN1683" s="604" t="inlineStr">
        <x:is>
          <x:t xml:space="preserve">EVALUATED</x:t>
        </x:is>
      </x:c>
      <x:c r="AO1683" s="604" t="inlineStr">
        <x:is>
          <x:t xml:space="preserve">LOW_QUALITY_GATE;BUCKET_PRIOR_ONLY;INTENT_INTERPRETATION_ONLY;FFL_OPTIONAL;EXPERT_MARKET</x:t>
        </x:is>
      </x:c>
      <x:c r="AP1683" s="604" t="inlineStr">
        <x:is>
          <x:t xml:space="preserve">179f6107f99ddfaa6bd0</x:t>
        </x:is>
      </x:c>
      <x:c r="AQ1683" s="604" t="n"/>
      <x:c r="AR1683" s="604" t="n"/>
      <x:c r="AS1683" s="604" t="n">
        <x:v>-4.25</x:v>
      </x:c>
      <x:c r="AT1683" s="604" t="n">
        <x:v>4.25</x:v>
      </x:c>
      <x:c r="AU1683" s="604" t="n">
        <x:v>0.88</x:v>
      </x:c>
      <x:c r="AV1683" s="604" t="n">
        <x:v>0.93</x:v>
      </x:c>
      <x:c r="AW1683" s="604" t="inlineStr">
        <x:is>
          <x:t xml:space="preserve">2026-10-09T09:01:21.127001+08:00</x:t>
        </x:is>
      </x:c>
      <x:c r="AX1683" s="604" t="inlineStr">
        <x:is>
          <x:t xml:space="preserve">Titan007/V4</x:t>
        </x:is>
      </x:c>
      <x:c r="AY1683" s="604" t="inlineStr">
        <x:is>
          <x:t xml:space="preserve">Daily append；市场输入缺失时不生成决策</x:t>
        </x:is>
      </x:c>
    </x:row>
    <x:row r="1684" ht="22" customHeight="1">
      <x:c r="A1684" s="604" t="inlineStr">
        <x:is>
          <x:t xml:space="preserve">2026-10-09</x:t>
        </x:is>
      </x:c>
      <x:c r="B1684" s="604" t="inlineStr">
        <x:is>
          <x:t xml:space="preserve">2026-10-09T21:30:00+08:00</x:t>
        </x:is>
      </x:c>
      <x:c r="C1684" s="604" t="str">
        <x:v>其他系列</x:v>
      </x:c>
      <x:c r="D1684" s="604" t="inlineStr">
        <x:is>
          <x:t xml:space="preserve"/>
        </x:is>
      </x:c>
      <x:c r="E1684" s="604" t="inlineStr">
        <x:is>
          <x:t xml:space="preserve">女奥非预</x:t>
        </x:is>
      </x:c>
      <x:c r="F1684" s="604" t="inlineStr">
        <x:is>
          <x:t xml:space="preserve">刚果民主共和国女足 vs 科特迪瓦女足</x:t>
        </x:is>
      </x:c>
      <x:c r="G1684" s="604" t="n"/>
      <x:c r="H1684" s="604" t="n"/>
      <x:c r="I1684" s="604" t="n"/>
      <x:c r="J1684" s="604" t="inlineStr">
        <x:is>
          <x:t xml:space="preserve">//</x:t>
        </x:is>
      </x:c>
      <x:c r="K1684" s="604" t="inlineStr">
        <x:is>
          <x:t xml:space="preserve">V4不可用：市场输入缺失</x:t>
        </x:is>
      </x:c>
      <x:c r="L1684" s="604" t="inlineStr">
        <x:is>
          <x:t xml:space="preserve"/>
        </x:is>
      </x:c>
      <x:c r="M1684" s="604" t="n"/>
      <x:c r="N1684" s="604" t="inlineStr">
        <x:is>
          <x:t xml:space="preserve">V4 Shadow Only；real_money=false</x:t>
        </x:is>
      </x:c>
      <x:c r="O1684" s="604" t="inlineStr">
        <x:is>
          <x:t xml:space="preserve">0-0</x:t>
        </x:is>
      </x:c>
      <x:c r="P1684" s="604" t="inlineStr">
        <x:is>
          <x:t xml:space="preserve">MISSING_DATA</x:t>
        </x:is>
      </x:c>
      <x:c r="Q1684" s="630" t="inlineStr">
        <x:is>
          <x:t xml:space="preserve"/>
        </x:is>
      </x:c>
      <x:c r="R1684" s="604" t="n"/>
      <x:c r="S1684" s="604" t="n"/>
      <x:c r="T1684" s="604" t="inlineStr">
        <x:is>
          <x:t xml:space="preserve">D:\codex\v3_legacy\outputs\football_odds_trader\raw\titan007\20261009\20261009_085232_titan007_odds_snapshot.csv</x:t>
        </x:is>
      </x:c>
      <x:c r="U1684" s="628" t="inlineStr">
        <x:is>
          <x:t xml:space="preserve"/>
        </x:is>
      </x:c>
      <x:c r="V1684" s="604" t="inlineStr">
        <x:is>
          <x:t xml:space="preserve"/>
        </x:is>
      </x:c>
      <x:c r="W1684" s="604" t="inlineStr">
        <x:is>
          <x:t xml:space="preserve"/>
        </x:is>
      </x:c>
      <x:c r="X1684" s="604" t="inlineStr">
        <x:is>
          <x:t xml:space="preserve">3098035</x:t>
        </x:is>
      </x:c>
      <x:c r="Y1684" s="604" t="inlineStr">
        <x:is>
          <x:t xml:space="preserve">V4</x:t>
        </x:is>
      </x:c>
      <x:c r="Z1684" s="604" t="inlineStr">
        <x:is>
          <x:t xml:space="preserve">prior-2026-10-09-v1</x:t>
        </x:is>
      </x:c>
      <x:c r="AA1684" s="604" t="inlineStr">
        <x:is>
          <x:t xml:space="preserve"/>
        </x:is>
      </x:c>
      <x:c r="AB1684" s="604" t="n"/>
      <x:c r="AC1684" s="604" t="n"/>
      <x:c r="AD1684" s="604" t="n"/>
      <x:c r="AE1684" s="604" t="n"/>
      <x:c r="AF1684" s="604" t="n"/>
      <x:c r="AG1684" s="604" t="n"/>
      <x:c r="AH1684" s="604" t="n"/>
      <x:c r="AI1684" s="604" t="n"/>
      <x:c r="AJ1684" s="604" t="n"/>
      <x:c r="AK1684" s="604" t="n"/>
      <x:c r="AL1684" s="604" t="n"/>
      <x:c r="AM1684" s="604" t="n"/>
      <x:c r="AN1684" s="604" t="inlineStr">
        <x:is>
          <x:t xml:space="preserve">MISSING_DATA</x:t>
        </x:is>
      </x:c>
      <x:c r="AO1684" s="604" t="inlineStr">
        <x:is>
          <x:t xml:space="preserve">REQUIRED_MARKET_INPUT_MISSING</x:t>
        </x:is>
      </x:c>
      <x:c r="AP1684" s="604" t="inlineStr">
        <x:is>
          <x:t xml:space="preserve">86e20f62735975c29cd3</x:t>
        </x:is>
      </x:c>
      <x:c r="AQ1684" s="604" t="n"/>
      <x:c r="AR1684" s="604" t="n"/>
      <x:c r="AS1684" s="604" t="n"/>
      <x:c r="AT1684" s="604" t="n"/>
      <x:c r="AU1684" s="604" t="n"/>
      <x:c r="AV1684" s="604" t="n"/>
      <x:c r="AW1684" s="604" t="inlineStr">
        <x:is>
          <x:t xml:space="preserve">2026-10-09T09:01:21.127001+08:00</x:t>
        </x:is>
      </x:c>
      <x:c r="AX1684" s="604" t="inlineStr">
        <x:is>
          <x:t xml:space="preserve">Titan007/V4</x:t>
        </x:is>
      </x:c>
      <x:c r="AY1684" s="604" t="inlineStr">
        <x:is>
          <x:t xml:space="preserve">Daily append；市场输入缺失时不生成决策</x:t>
        </x:is>
      </x:c>
    </x:row>
    <x:row r="1685" ht="22" customHeight="1">
      <x:c r="A1685" s="604" t="inlineStr">
        <x:is>
          <x:t xml:space="preserve">2026-10-09</x:t>
        </x:is>
      </x:c>
      <x:c r="B1685" s="604" t="inlineStr">
        <x:is>
          <x:t xml:space="preserve">2026-10-09T21:00:00+08:00</x:t>
        </x:is>
      </x:c>
      <x:c r="C1685" s="604" t="str">
        <x:v>其他系列</x:v>
      </x:c>
      <x:c r="D1685" s="604" t="inlineStr">
        <x:is>
          <x:t xml:space="preserve"/>
        </x:is>
      </x:c>
      <x:c r="E1685" s="604" t="inlineStr">
        <x:is>
          <x:t xml:space="preserve">女奥非预</x:t>
        </x:is>
      </x:c>
      <x:c r="F1685" s="604" t="inlineStr">
        <x:is>
          <x:t xml:space="preserve">马拉维女足 vs 津巴布韦女足</x:t>
        </x:is>
      </x:c>
      <x:c r="G1685" s="604" t="n"/>
      <x:c r="H1685" s="604" t="n"/>
      <x:c r="I1685" s="604" t="n"/>
      <x:c r="J1685" s="604" t="inlineStr">
        <x:is>
          <x:t xml:space="preserve">//</x:t>
        </x:is>
      </x:c>
      <x:c r="K1685" s="604" t="inlineStr">
        <x:is>
          <x:t xml:space="preserve">V4不可用：市场输入缺失</x:t>
        </x:is>
      </x:c>
      <x:c r="L1685" s="604" t="inlineStr">
        <x:is>
          <x:t xml:space="preserve"/>
        </x:is>
      </x:c>
      <x:c r="M1685" s="604" t="n"/>
      <x:c r="N1685" s="604" t="inlineStr">
        <x:is>
          <x:t xml:space="preserve">V4 Shadow Only；real_money=false</x:t>
        </x:is>
      </x:c>
      <x:c r="O1685" s="604" t="inlineStr">
        <x:is>
          <x:t xml:space="preserve">0-0</x:t>
        </x:is>
      </x:c>
      <x:c r="P1685" s="604" t="inlineStr">
        <x:is>
          <x:t xml:space="preserve">MISSING_DATA</x:t>
        </x:is>
      </x:c>
      <x:c r="Q1685" s="630" t="inlineStr">
        <x:is>
          <x:t xml:space="preserve"/>
        </x:is>
      </x:c>
      <x:c r="R1685" s="604" t="n"/>
      <x:c r="S1685" s="604" t="n"/>
      <x:c r="T1685" s="604" t="inlineStr">
        <x:is>
          <x:t xml:space="preserve">D:\codex\v3_legacy\outputs\football_odds_trader\raw\titan007\20261009\20261009_085232_titan007_odds_snapshot.csv</x:t>
        </x:is>
      </x:c>
      <x:c r="U1685" s="628" t="inlineStr">
        <x:is>
          <x:t xml:space="preserve"/>
        </x:is>
      </x:c>
      <x:c r="V1685" s="604" t="inlineStr">
        <x:is>
          <x:t xml:space="preserve"/>
        </x:is>
      </x:c>
      <x:c r="W1685" s="604" t="inlineStr">
        <x:is>
          <x:t xml:space="preserve"/>
        </x:is>
      </x:c>
      <x:c r="X1685" s="604" t="inlineStr">
        <x:is>
          <x:t xml:space="preserve">3098036</x:t>
        </x:is>
      </x:c>
      <x:c r="Y1685" s="604" t="inlineStr">
        <x:is>
          <x:t xml:space="preserve">V4</x:t>
        </x:is>
      </x:c>
      <x:c r="Z1685" s="604" t="inlineStr">
        <x:is>
          <x:t xml:space="preserve">prior-2026-10-09-v1</x:t>
        </x:is>
      </x:c>
      <x:c r="AA1685" s="604" t="inlineStr">
        <x:is>
          <x:t xml:space="preserve"/>
        </x:is>
      </x:c>
      <x:c r="AB1685" s="604" t="n"/>
      <x:c r="AC1685" s="604" t="n"/>
      <x:c r="AD1685" s="604" t="n"/>
      <x:c r="AE1685" s="604" t="n"/>
      <x:c r="AF1685" s="604" t="n"/>
      <x:c r="AG1685" s="604" t="n"/>
      <x:c r="AH1685" s="604" t="n"/>
      <x:c r="AI1685" s="604" t="n"/>
      <x:c r="AJ1685" s="604" t="n"/>
      <x:c r="AK1685" s="604" t="n"/>
      <x:c r="AL1685" s="604" t="n"/>
      <x:c r="AM1685" s="604" t="n"/>
      <x:c r="AN1685" s="604" t="inlineStr">
        <x:is>
          <x:t xml:space="preserve">MISSING_DATA</x:t>
        </x:is>
      </x:c>
      <x:c r="AO1685" s="604" t="inlineStr">
        <x:is>
          <x:t xml:space="preserve">REQUIRED_MARKET_INPUT_MISSING</x:t>
        </x:is>
      </x:c>
      <x:c r="AP1685" s="604" t="inlineStr">
        <x:is>
          <x:t xml:space="preserve">aef3ac88bcd807c42252</x:t>
        </x:is>
      </x:c>
      <x:c r="AQ1685" s="604" t="n"/>
      <x:c r="AR1685" s="604" t="n"/>
      <x:c r="AS1685" s="604" t="n"/>
      <x:c r="AT1685" s="604" t="n"/>
      <x:c r="AU1685" s="604" t="n"/>
      <x:c r="AV1685" s="604" t="n"/>
      <x:c r="AW1685" s="604" t="inlineStr">
        <x:is>
          <x:t xml:space="preserve">2026-10-09T09:01:21.127001+08:00</x:t>
        </x:is>
      </x:c>
      <x:c r="AX1685" s="604" t="inlineStr">
        <x:is>
          <x:t xml:space="preserve">Titan007/V4</x:t>
        </x:is>
      </x:c>
      <x:c r="AY1685" s="604" t="inlineStr">
        <x:is>
          <x:t xml:space="preserve">Daily append；市场输入缺失时不生成决策</x:t>
        </x:is>
      </x:c>
    </x:row>
    <x:row r="1686" ht="22" customHeight="1">
      <x:c r="A1686" s="604" t="inlineStr">
        <x:is>
          <x:t xml:space="preserve">2026-10-09</x:t>
        </x:is>
      </x:c>
      <x:c r="B1686" s="604" t="inlineStr">
        <x:is>
          <x:t xml:space="preserve">2026-10-10T01:00:00+08:00</x:t>
        </x:is>
      </x:c>
      <x:c r="C1686" s="604" t="str">
        <x:v>其他系列</x:v>
      </x:c>
      <x:c r="D1686" s="604" t="inlineStr">
        <x:is>
          <x:t xml:space="preserve"/>
        </x:is>
      </x:c>
      <x:c r="E1686" s="604" t="inlineStr">
        <x:is>
          <x:t xml:space="preserve">女奥非预</x:t>
        </x:is>
      </x:c>
      <x:c r="F1686" s="604" t="inlineStr">
        <x:is>
          <x:t xml:space="preserve">科摩罗女足 vs 尼日利亚女足</x:t>
        </x:is>
      </x:c>
      <x:c r="G1686" s="604" t="n"/>
      <x:c r="H1686" s="604" t="n"/>
      <x:c r="I1686" s="604" t="n"/>
      <x:c r="J1686" s="604" t="inlineStr">
        <x:is>
          <x:t xml:space="preserve">//</x:t>
        </x:is>
      </x:c>
      <x:c r="K1686" s="604" t="inlineStr">
        <x:is>
          <x:t xml:space="preserve">V4不可用：市场输入缺失</x:t>
        </x:is>
      </x:c>
      <x:c r="L1686" s="604" t="inlineStr">
        <x:is>
          <x:t xml:space="preserve"/>
        </x:is>
      </x:c>
      <x:c r="M1686" s="604" t="n"/>
      <x:c r="N1686" s="604" t="inlineStr">
        <x:is>
          <x:t xml:space="preserve">V4 Shadow Only；real_money=false</x:t>
        </x:is>
      </x:c>
      <x:c r="O1686" s="604" t="inlineStr">
        <x:is>
          <x:t xml:space="preserve">0-0</x:t>
        </x:is>
      </x:c>
      <x:c r="P1686" s="604" t="inlineStr">
        <x:is>
          <x:t xml:space="preserve">MISSING_DATA</x:t>
        </x:is>
      </x:c>
      <x:c r="Q1686" s="630" t="inlineStr">
        <x:is>
          <x:t xml:space="preserve"/>
        </x:is>
      </x:c>
      <x:c r="R1686" s="604" t="n"/>
      <x:c r="S1686" s="604" t="n"/>
      <x:c r="T1686" s="604" t="inlineStr">
        <x:is>
          <x:t xml:space="preserve">D:\codex\v3_legacy\outputs\football_odds_trader\raw\titan007\20261009\20261009_085232_titan007_odds_snapshot.csv</x:t>
        </x:is>
      </x:c>
      <x:c r="U1686" s="628" t="inlineStr">
        <x:is>
          <x:t xml:space="preserve"/>
        </x:is>
      </x:c>
      <x:c r="V1686" s="604" t="inlineStr">
        <x:is>
          <x:t xml:space="preserve"/>
        </x:is>
      </x:c>
      <x:c r="W1686" s="604" t="inlineStr">
        <x:is>
          <x:t xml:space="preserve"/>
        </x:is>
      </x:c>
      <x:c r="X1686" s="604" t="inlineStr">
        <x:is>
          <x:t xml:space="preserve">3098037</x:t>
        </x:is>
      </x:c>
      <x:c r="Y1686" s="604" t="inlineStr">
        <x:is>
          <x:t xml:space="preserve">V4</x:t>
        </x:is>
      </x:c>
      <x:c r="Z1686" s="604" t="inlineStr">
        <x:is>
          <x:t xml:space="preserve">prior-2026-10-09-v1</x:t>
        </x:is>
      </x:c>
      <x:c r="AA1686" s="604" t="inlineStr">
        <x:is>
          <x:t xml:space="preserve"/>
        </x:is>
      </x:c>
      <x:c r="AB1686" s="604" t="n"/>
      <x:c r="AC1686" s="604" t="n"/>
      <x:c r="AD1686" s="604" t="n"/>
      <x:c r="AE1686" s="604" t="n"/>
      <x:c r="AF1686" s="604" t="n"/>
      <x:c r="AG1686" s="604" t="n"/>
      <x:c r="AH1686" s="604" t="n"/>
      <x:c r="AI1686" s="604" t="n"/>
      <x:c r="AJ1686" s="604" t="n"/>
      <x:c r="AK1686" s="604" t="n"/>
      <x:c r="AL1686" s="604" t="n"/>
      <x:c r="AM1686" s="604" t="n"/>
      <x:c r="AN1686" s="604" t="inlineStr">
        <x:is>
          <x:t xml:space="preserve">MISSING_DATA</x:t>
        </x:is>
      </x:c>
      <x:c r="AO1686" s="604" t="inlineStr">
        <x:is>
          <x:t xml:space="preserve">REQUIRED_MARKET_INPUT_MISSING</x:t>
        </x:is>
      </x:c>
      <x:c r="AP1686" s="604" t="inlineStr">
        <x:is>
          <x:t xml:space="preserve">747bcf40f42af052e6d5</x:t>
        </x:is>
      </x:c>
      <x:c r="AQ1686" s="604" t="n"/>
      <x:c r="AR1686" s="604" t="n"/>
      <x:c r="AS1686" s="604" t="n"/>
      <x:c r="AT1686" s="604" t="n"/>
      <x:c r="AU1686" s="604" t="n"/>
      <x:c r="AV1686" s="604" t="n"/>
      <x:c r="AW1686" s="604" t="inlineStr">
        <x:is>
          <x:t xml:space="preserve">2026-10-09T09:01:21.127001+08:00</x:t>
        </x:is>
      </x:c>
      <x:c r="AX1686" s="604" t="inlineStr">
        <x:is>
          <x:t xml:space="preserve">Titan007/V4</x:t>
        </x:is>
      </x:c>
      <x:c r="AY1686" s="604" t="inlineStr">
        <x:is>
          <x:t xml:space="preserve">Daily append；市场输入缺失时不生成决策</x:t>
        </x:is>
      </x:c>
    </x:row>
    <x:row r="1687" ht="22" customHeight="1">
      <x:c r="A1687" s="604" t="inlineStr">
        <x:is>
          <x:t xml:space="preserve">2026-10-09</x:t>
        </x:is>
      </x:c>
      <x:c r="B1687" s="604" t="inlineStr">
        <x:is>
          <x:t xml:space="preserve">2026-10-10T00:00:00+08:00</x:t>
        </x:is>
      </x:c>
      <x:c r="C1687" s="604" t="str">
        <x:v>其他系列</x:v>
      </x:c>
      <x:c r="D1687" s="604" t="inlineStr">
        <x:is>
          <x:t xml:space="preserve"/>
        </x:is>
      </x:c>
      <x:c r="E1687" s="604" t="inlineStr">
        <x:is>
          <x:t xml:space="preserve">女奥非预</x:t>
        </x:is>
      </x:c>
      <x:c r="F1687" s="604" t="inlineStr">
        <x:is>
          <x:t xml:space="preserve">马达加斯加女足 vs 南非女足</x:t>
        </x:is>
      </x:c>
      <x:c r="G1687" s="604" t="n">
        <x:v>0.95</x:v>
      </x:c>
      <x:c r="H1687" s="604" t="n">
        <x:v>-2.5</x:v>
      </x:c>
      <x:c r="I1687" s="604" t="n">
        <x:v>0.85</x:v>
      </x:c>
      <x:c r="J1687" s="604" t="inlineStr">
        <x:is>
          <x:t xml:space="preserve">0.95/-2.5/0.85</x:t>
        </x:is>
      </x:c>
      <x:c r="K1687" s="604" t="inlineStr">
        <x:is>
          <x:t xml:space="preserve">V4-N</x:t>
        </x:is>
      </x:c>
      <x:c r="L1687" s="604" t="inlineStr">
        <x:is>
          <x:t xml:space="preserve"/>
        </x:is>
      </x:c>
      <x:c r="M1687" s="604" t="n">
        <x:v>3.760662257001896e-06</x:v>
      </x:c>
      <x:c r="N1687" s="604" t="inlineStr">
        <x:is>
          <x:t xml:space="preserve">V4 Shadow Only；real_money=false</x:t>
        </x:is>
      </x:c>
      <x:c r="O1687" s="604" t="inlineStr">
        <x:is>
          <x:t xml:space="preserve">0-0</x:t>
        </x:is>
      </x:c>
      <x:c r="P1687" s="604" t="inlineStr">
        <x:is>
          <x:t xml:space="preserve">EVALUATED</x:t>
        </x:is>
      </x:c>
      <x:c r="Q1687" s="630" t="inlineStr">
        <x:is>
          <x:t xml:space="preserve"/>
        </x:is>
      </x:c>
      <x:c r="R1687" s="604" t="n"/>
      <x:c r="S1687" s="604" t="n"/>
      <x:c r="T1687" s="604" t="inlineStr">
        <x:is>
          <x:t xml:space="preserve">D:\codex\v3_legacy\outputs\football_odds_trader\raw\titan007\20261009\20261009_085232_titan007_odds_snapshot.csv</x:t>
        </x:is>
      </x:c>
      <x:c r="U1687" s="628" t="inlineStr">
        <x:is>
          <x:t xml:space="preserve"/>
        </x:is>
      </x:c>
      <x:c r="V1687" s="604" t="inlineStr">
        <x:is>
          <x:t xml:space="preserve"/>
        </x:is>
      </x:c>
      <x:c r="W1687" s="604" t="inlineStr">
        <x:is>
          <x:t xml:space="preserve"/>
        </x:is>
      </x:c>
      <x:c r="X1687" s="604" t="inlineStr">
        <x:is>
          <x:t xml:space="preserve">3098038</x:t>
        </x:is>
      </x:c>
      <x:c r="Y1687" s="604" t="inlineStr">
        <x:is>
          <x:t xml:space="preserve">V4</x:t>
        </x:is>
      </x:c>
      <x:c r="Z1687" s="604" t="inlineStr">
        <x:is>
          <x:t xml:space="preserve">prior-2026-10-09-v1</x:t>
        </x:is>
      </x:c>
      <x:c r="AA1687" s="604" t="inlineStr">
        <x:is>
          <x:t xml:space="preserve">N</x:t>
        </x:is>
      </x:c>
      <x:c r="AB1687" s="604" t="n">
        <x:v>3.760662257001896e-06</x:v>
      </x:c>
      <x:c r="AC1687" s="604" t="n">
        <x:v>0.9999962393377431</x:v>
      </x:c>
      <x:c r="AD1687" s="604" t="n">
        <x:v>-3.5</x:v>
      </x:c>
      <x:c r="AE1687" s="604" t="n"/>
      <x:c r="AF1687" s="604" t="n"/>
      <x:c r="AG1687" s="604" t="n">
        <x:v>0.9499926667085988</x:v>
      </x:c>
      <x:c r="AH1687" s="604" t="n"/>
      <x:c r="AI1687" s="604" t="n"/>
      <x:c r="AJ1687" s="604" t="n">
        <x:v>0.9499926667085988</x:v>
      </x:c>
      <x:c r="AK1687" s="604" t="n"/>
      <x:c r="AL1687" s="604" t="n"/>
      <x:c r="AM1687" s="604" t="n"/>
      <x:c r="AN1687" s="604" t="inlineStr">
        <x:is>
          <x:t xml:space="preserve">EVALUATED</x:t>
        </x:is>
      </x:c>
      <x:c r="AO1687" s="604" t="inlineStr">
        <x:is>
          <x:t xml:space="preserve">LOW_QUALITY_GATE;BUCKET_PRIOR_ONLY;INTENT_INTERPRETATION_ONLY;FFL_OPTIONAL;EXPERT_MARKET</x:t>
        </x:is>
      </x:c>
      <x:c r="AP1687" s="604" t="inlineStr">
        <x:is>
          <x:t xml:space="preserve">36a281bba085057f4cb7</x:t>
        </x:is>
      </x:c>
      <x:c r="AQ1687" s="604" t="n"/>
      <x:c r="AR1687" s="604" t="n"/>
      <x:c r="AS1687" s="604" t="n">
        <x:v>-2.5</x:v>
      </x:c>
      <x:c r="AT1687" s="604" t="n">
        <x:v>2.5</x:v>
      </x:c>
      <x:c r="AU1687" s="604" t="n">
        <x:v>0.95</x:v>
      </x:c>
      <x:c r="AV1687" s="604" t="n">
        <x:v>0.85</x:v>
      </x:c>
      <x:c r="AW1687" s="604" t="inlineStr">
        <x:is>
          <x:t xml:space="preserve">2026-10-09T09:01:21.127001+08:00</x:t>
        </x:is>
      </x:c>
      <x:c r="AX1687" s="604" t="inlineStr">
        <x:is>
          <x:t xml:space="preserve">Titan007/V4</x:t>
        </x:is>
      </x:c>
      <x:c r="AY1687" s="604" t="inlineStr">
        <x:is>
          <x:t xml:space="preserve">Daily append；市场输入缺失时不生成决策</x:t>
        </x:is>
      </x:c>
    </x:row>
    <x:row r="1688" ht="22" customHeight="1">
      <x:c r="A1688" s="604" t="inlineStr">
        <x:is>
          <x:t xml:space="preserve">2026-10-09</x:t>
        </x:is>
      </x:c>
      <x:c r="B1688" s="604" t="inlineStr">
        <x:is>
          <x:t xml:space="preserve">2026-10-10T01:00:00+08:00</x:t>
        </x:is>
      </x:c>
      <x:c r="C1688" s="604" t="str">
        <x:v>五大联赛非顶级联赛</x:v>
      </x:c>
      <x:c r="D1688" s="604" t="inlineStr">
        <x:is>
          <x:t xml:space="preserve"/>
        </x:is>
      </x:c>
      <x:c r="E1688" s="604" t="inlineStr">
        <x:is>
          <x:t xml:space="preserve">德戊</x:t>
        </x:is>
      </x:c>
      <x:c r="F1688" s="604" t="inlineStr">
        <x:is>
          <x:t xml:space="preserve">ASV查姆 vs DJK鲍思高班贝格</x:t>
        </x:is>
      </x:c>
      <x:c r="G1688" s="604" t="n">
        <x:v>0.77</x:v>
      </x:c>
      <x:c r="H1688" s="604" t="n">
        <x:v>1.5</x:v>
      </x:c>
      <x:c r="I1688" s="604" t="n">
        <x:v>0.89</x:v>
      </x:c>
      <x:c r="J1688" s="604" t="inlineStr">
        <x:is>
          <x:t xml:space="preserve">0.77/1.5/0.89</x:t>
        </x:is>
      </x:c>
      <x:c r="K1688" s="604" t="inlineStr">
        <x:is>
          <x:t xml:space="preserve">V4-N</x:t>
        </x:is>
      </x:c>
      <x:c r="L1688" s="604" t="inlineStr">
        <x:is>
          <x:t xml:space="preserve"/>
        </x:is>
      </x:c>
      <x:c r="M1688" s="604" t="n">
        <x:v>0.6294659012113956</x:v>
      </x:c>
      <x:c r="N1688" s="604" t="inlineStr">
        <x:is>
          <x:t xml:space="preserve">V4 Shadow Only；real_money=false</x:t>
        </x:is>
      </x:c>
      <x:c r="O1688" s="604" t="inlineStr">
        <x:is>
          <x:t xml:space="preserve">0-0</x:t>
        </x:is>
      </x:c>
      <x:c r="P1688" s="604" t="inlineStr">
        <x:is>
          <x:t xml:space="preserve">EVALUATED</x:t>
        </x:is>
      </x:c>
      <x:c r="Q1688" s="630" t="inlineStr">
        <x:is>
          <x:t xml:space="preserve"/>
        </x:is>
      </x:c>
      <x:c r="R1688" s="604" t="n"/>
      <x:c r="S1688" s="604" t="n"/>
      <x:c r="T1688" s="604" t="inlineStr">
        <x:is>
          <x:t xml:space="preserve">D:\codex\v3_legacy\outputs\football_odds_trader\raw\titan007\20261009\20261009_085232_titan007_odds_snapshot.csv</x:t>
        </x:is>
      </x:c>
      <x:c r="U1688" s="628" t="inlineStr">
        <x:is>
          <x:t xml:space="preserve"/>
        </x:is>
      </x:c>
      <x:c r="V1688" s="604" t="inlineStr">
        <x:is>
          <x:t xml:space="preserve"/>
        </x:is>
      </x:c>
      <x:c r="W1688" s="604" t="inlineStr">
        <x:is>
          <x:t xml:space="preserve"/>
        </x:is>
      </x:c>
      <x:c r="X1688" s="604" t="inlineStr">
        <x:is>
          <x:t xml:space="preserve">3098039</x:t>
        </x:is>
      </x:c>
      <x:c r="Y1688" s="604" t="inlineStr">
        <x:is>
          <x:t xml:space="preserve">V4</x:t>
        </x:is>
      </x:c>
      <x:c r="Z1688" s="604" t="inlineStr">
        <x:is>
          <x:t xml:space="preserve">prior-2026-10-09-v1</x:t>
        </x:is>
      </x:c>
      <x:c r="AA1688" s="604" t="inlineStr">
        <x:is>
          <x:t xml:space="preserve">N</x:t>
        </x:is>
      </x:c>
      <x:c r="AB1688" s="604" t="n">
        <x:v>0.6294659012113956</x:v>
      </x:c>
      <x:c r="AC1688" s="604" t="n">
        <x:v>0.3705340987886044</x:v>
      </x:c>
      <x:c r="AD1688" s="604" t="n">
        <x:v>2.25</x:v>
      </x:c>
      <x:c r="AE1688" s="604" t="n"/>
      <x:c r="AF1688" s="604" t="n"/>
      <x:c r="AG1688" s="604" t="n">
        <x:v>0.1141546451441702</x:v>
      </x:c>
      <x:c r="AH1688" s="604" t="n"/>
      <x:c r="AI1688" s="604" t="n"/>
      <x:c r="AJ1688" s="604" t="n">
        <x:v>0.1141546451441702</x:v>
      </x:c>
      <x:c r="AK1688" s="604" t="n"/>
      <x:c r="AL1688" s="604" t="n"/>
      <x:c r="AM1688" s="604" t="n"/>
      <x:c r="AN1688" s="604" t="inlineStr">
        <x:is>
          <x:t xml:space="preserve">EVALUATED</x:t>
        </x:is>
      </x:c>
      <x:c r="AO1688" s="604" t="inlineStr">
        <x:is>
          <x:t xml:space="preserve">LOW_QUALITY_GATE;BUCKET_PRIOR_ONLY;INTENT_INTERPRETATION_ONLY;FFL_OPTIONAL;EXPERT_MARKET</x:t>
        </x:is>
      </x:c>
      <x:c r="AP1688" s="604" t="inlineStr">
        <x:is>
          <x:t xml:space="preserve">d5f50a22c0c4a9f0edbb</x:t>
        </x:is>
      </x:c>
      <x:c r="AQ1688" s="604" t="n"/>
      <x:c r="AR1688" s="604" t="n"/>
      <x:c r="AS1688" s="604" t="n">
        <x:v>1.5</x:v>
      </x:c>
      <x:c r="AT1688" s="604" t="n">
        <x:v>-1.5</x:v>
      </x:c>
      <x:c r="AU1688" s="604" t="n">
        <x:v>0.77</x:v>
      </x:c>
      <x:c r="AV1688" s="604" t="n">
        <x:v>0.89</x:v>
      </x:c>
      <x:c r="AW1688" s="604" t="inlineStr">
        <x:is>
          <x:t xml:space="preserve">2026-10-09T09:01:21.127001+08:00</x:t>
        </x:is>
      </x:c>
      <x:c r="AX1688" s="604" t="inlineStr">
        <x:is>
          <x:t xml:space="preserve">Titan007/V4</x:t>
        </x:is>
      </x:c>
      <x:c r="AY1688" s="604" t="inlineStr">
        <x:is>
          <x:t xml:space="preserve">Daily append；市场输入缺失时不生成决策</x:t>
        </x:is>
      </x:c>
    </x:row>
    <x:row r="1689" ht="22" customHeight="1">
      <x:c r="A1689" s="604" t="inlineStr">
        <x:is>
          <x:t xml:space="preserve">2026-10-09</x:t>
        </x:is>
      </x:c>
      <x:c r="B1689" s="604" t="inlineStr">
        <x:is>
          <x:t xml:space="preserve">2026-10-10T01:00:00+08:00</x:t>
        </x:is>
      </x:c>
      <x:c r="C1689" s="604" t="str">
        <x:v>五大联赛非顶级联赛</x:v>
      </x:c>
      <x:c r="D1689" s="604" t="inlineStr">
        <x:is>
          <x:t xml:space="preserve"/>
        </x:is>
      </x:c>
      <x:c r="E1689" s="604" t="inlineStr">
        <x:is>
          <x:t xml:space="preserve">德戊</x:t>
        </x:is>
      </x:c>
      <x:c r="F1689" s="604" t="inlineStr">
        <x:is>
          <x:t xml:space="preserve">纽德罗森菲尔德 vs ASV纽马克特</x:t>
        </x:is>
      </x:c>
      <x:c r="G1689" s="604" t="n">
        <x:v>0.44</x:v>
      </x:c>
      <x:c r="H1689" s="604" t="n">
        <x:v>0</x:v>
      </x:c>
      <x:c r="I1689" s="604" t="n">
        <x:v>1.52</x:v>
      </x:c>
      <x:c r="J1689" s="604" t="inlineStr">
        <x:is>
          <x:t xml:space="preserve">0.44/0.0/1.52</x:t>
        </x:is>
      </x:c>
      <x:c r="K1689" s="604" t="inlineStr">
        <x:is>
          <x:t xml:space="preserve">V4-N</x:t>
        </x:is>
      </x:c>
      <x:c r="L1689" s="604" t="inlineStr">
        <x:is>
          <x:t xml:space="preserve"/>
        </x:is>
      </x:c>
      <x:c r="M1689" s="604" t="n"/>
      <x:c r="N1689" s="604" t="inlineStr">
        <x:is>
          <x:t xml:space="preserve">V4 Shadow Only；real_money=false</x:t>
        </x:is>
      </x:c>
      <x:c r="O1689" s="604" t="inlineStr">
        <x:is>
          <x:t xml:space="preserve">0-0</x:t>
        </x:is>
      </x:c>
      <x:c r="P1689" s="604" t="inlineStr">
        <x:is>
          <x:t xml:space="preserve">NEUTRAL</x:t>
        </x:is>
      </x:c>
      <x:c r="Q1689" s="630" t="inlineStr">
        <x:is>
          <x:t xml:space="preserve"/>
        </x:is>
      </x:c>
      <x:c r="R1689" s="604" t="n"/>
      <x:c r="S1689" s="604" t="n"/>
      <x:c r="T1689" s="604" t="inlineStr">
        <x:is>
          <x:t xml:space="preserve">D:\codex\v3_legacy\outputs\football_odds_trader\raw\titan007\20261009\20261009_085232_titan007_odds_snapshot.csv</x:t>
        </x:is>
      </x:c>
      <x:c r="U1689" s="628" t="inlineStr">
        <x:is>
          <x:t xml:space="preserve"/>
        </x:is>
      </x:c>
      <x:c r="V1689" s="604" t="inlineStr">
        <x:is>
          <x:t xml:space="preserve"/>
        </x:is>
      </x:c>
      <x:c r="W1689" s="604" t="inlineStr">
        <x:is>
          <x:t xml:space="preserve"/>
        </x:is>
      </x:c>
      <x:c r="X1689" s="604" t="inlineStr">
        <x:is>
          <x:t xml:space="preserve">3098040</x:t>
        </x:is>
      </x:c>
      <x:c r="Y1689" s="604" t="inlineStr">
        <x:is>
          <x:t xml:space="preserve">V4</x:t>
        </x:is>
      </x:c>
      <x:c r="Z1689" s="604" t="inlineStr">
        <x:is>
          <x:t xml:space="preserve">prior-2026-10-09-v1</x:t>
        </x:is>
      </x:c>
      <x:c r="AA1689" s="604" t="inlineStr">
        <x:is>
          <x:t xml:space="preserve">N</x:t>
        </x:is>
      </x:c>
      <x:c r="AB1689" s="604" t="n"/>
      <x:c r="AC1689" s="604" t="n"/>
      <x:c r="AD1689" s="604" t="n"/>
      <x:c r="AE1689" s="604" t="n"/>
      <x:c r="AF1689" s="604" t="n"/>
      <x:c r="AG1689" s="604" t="n"/>
      <x:c r="AH1689" s="604" t="n"/>
      <x:c r="AI1689" s="604" t="n"/>
      <x:c r="AJ1689" s="604" t="n"/>
      <x:c r="AK1689" s="604" t="n"/>
      <x:c r="AL1689" s="604" t="n"/>
      <x:c r="AM1689" s="604" t="n"/>
      <x:c r="AN1689" s="604" t="inlineStr">
        <x:is>
          <x:t xml:space="preserve">NEUTRAL</x:t>
        </x:is>
      </x:c>
      <x:c r="AO1689" s="604" t="inlineStr">
        <x:is>
          <x:t xml:space="preserve">PK_NO_GIVING_RECEIVING_IDENTITY</x:t>
        </x:is>
      </x:c>
      <x:c r="AP1689" s="604" t="inlineStr">
        <x:is>
          <x:t xml:space="preserve">03a775e72ea817aea496</x:t>
        </x:is>
      </x:c>
      <x:c r="AQ1689" s="604" t="n"/>
      <x:c r="AR1689" s="604" t="n"/>
      <x:c r="AS1689" s="604" t="n"/>
      <x:c r="AT1689" s="604" t="n"/>
      <x:c r="AU1689" s="604" t="n"/>
      <x:c r="AV1689" s="604" t="n"/>
      <x:c r="AW1689" s="604" t="inlineStr">
        <x:is>
          <x:t xml:space="preserve">2026-10-09T09:01:21.127001+08:00</x:t>
        </x:is>
      </x:c>
      <x:c r="AX1689" s="604" t="inlineStr">
        <x:is>
          <x:t xml:space="preserve">Titan007/V4</x:t>
        </x:is>
      </x:c>
      <x:c r="AY1689" s="604" t="inlineStr">
        <x:is>
          <x:t xml:space="preserve">Daily append；市场输入缺失时不生成决策</x:t>
        </x:is>
      </x:c>
    </x:row>
    <x:row r="1690" ht="22" customHeight="1">
      <x:c r="A1690" s="604" t="inlineStr">
        <x:is>
          <x:t xml:space="preserve">2026-10-09</x:t>
        </x:is>
      </x:c>
      <x:c r="B1690" s="604" t="inlineStr">
        <x:is>
          <x:t xml:space="preserve">2026-10-10T01:00:00+08:00</x:t>
        </x:is>
      </x:c>
      <x:c r="C1690" s="604" t="str">
        <x:v>五大联赛非顶级联赛</x:v>
      </x:c>
      <x:c r="D1690" s="604" t="inlineStr">
        <x:is>
          <x:t xml:space="preserve"/>
        </x:is>
      </x:c>
      <x:c r="E1690" s="604" t="inlineStr">
        <x:is>
          <x:t xml:space="preserve">德戊</x:t>
        </x:is>
      </x:c>
      <x:c r="F1690" s="604" t="inlineStr">
        <x:is>
          <x:t xml:space="preserve">SV埃尔巴赫 vs 格瑞特瑞德</x:t>
        </x:is>
      </x:c>
      <x:c r="G1690" s="604" t="n">
        <x:v>0.97</x:v>
      </x:c>
      <x:c r="H1690" s="604" t="n">
        <x:v>1.5</x:v>
      </x:c>
      <x:c r="I1690" s="604" t="n">
        <x:v>0.71</x:v>
      </x:c>
      <x:c r="J1690" s="604" t="inlineStr">
        <x:is>
          <x:t xml:space="preserve">0.97/1.5/0.71</x:t>
        </x:is>
      </x:c>
      <x:c r="K1690" s="604" t="inlineStr">
        <x:is>
          <x:t xml:space="preserve">V4-N</x:t>
        </x:is>
      </x:c>
      <x:c r="L1690" s="604" t="inlineStr">
        <x:is>
          <x:t xml:space="preserve"/>
        </x:is>
      </x:c>
      <x:c r="M1690" s="604" t="n">
        <x:v>0.5530321853452603</x:v>
      </x:c>
      <x:c r="N1690" s="604" t="inlineStr">
        <x:is>
          <x:t xml:space="preserve">V4 Shadow Only；real_money=false</x:t>
        </x:is>
      </x:c>
      <x:c r="O1690" s="604" t="inlineStr">
        <x:is>
          <x:t xml:space="preserve">0-0</x:t>
        </x:is>
      </x:c>
      <x:c r="P1690" s="604" t="inlineStr">
        <x:is>
          <x:t xml:space="preserve">EVALUATED</x:t>
        </x:is>
      </x:c>
      <x:c r="Q1690" s="630" t="inlineStr">
        <x:is>
          <x:t xml:space="preserve"/>
        </x:is>
      </x:c>
      <x:c r="R1690" s="604" t="n"/>
      <x:c r="S1690" s="604" t="n"/>
      <x:c r="T1690" s="604" t="inlineStr">
        <x:is>
          <x:t xml:space="preserve">D:\codex\v3_legacy\outputs\football_odds_trader\raw\titan007\20261009\20261009_085232_titan007_odds_snapshot.csv</x:t>
        </x:is>
      </x:c>
      <x:c r="U1690" s="628" t="inlineStr">
        <x:is>
          <x:t xml:space="preserve"/>
        </x:is>
      </x:c>
      <x:c r="V1690" s="604" t="inlineStr">
        <x:is>
          <x:t xml:space="preserve"/>
        </x:is>
      </x:c>
      <x:c r="W1690" s="604" t="inlineStr">
        <x:is>
          <x:t xml:space="preserve"/>
        </x:is>
      </x:c>
      <x:c r="X1690" s="604" t="inlineStr">
        <x:is>
          <x:t xml:space="preserve">3098041</x:t>
        </x:is>
      </x:c>
      <x:c r="Y1690" s="604" t="inlineStr">
        <x:is>
          <x:t xml:space="preserve">V4</x:t>
        </x:is>
      </x:c>
      <x:c r="Z1690" s="604" t="inlineStr">
        <x:is>
          <x:t xml:space="preserve">prior-2026-10-09-v1</x:t>
        </x:is>
      </x:c>
      <x:c r="AA1690" s="604" t="inlineStr">
        <x:is>
          <x:t xml:space="preserve">N</x:t>
        </x:is>
      </x:c>
      <x:c r="AB1690" s="604" t="n">
        <x:v>0.5530321853452603</x:v>
      </x:c>
      <x:c r="AC1690" s="604" t="n">
        <x:v>0.4469678146547397</x:v>
      </x:c>
      <x:c r="AD1690" s="604" t="n">
        <x:v>1.75</x:v>
      </x:c>
      <x:c r="AE1690" s="604" t="n"/>
      <x:c r="AF1690" s="604" t="n"/>
      <x:c r="AG1690" s="604" t="n">
        <x:v>0.08947340513016283</x:v>
      </x:c>
      <x:c r="AH1690" s="604" t="n"/>
      <x:c r="AI1690" s="604" t="n"/>
      <x:c r="AJ1690" s="604" t="n">
        <x:v>0.08947340513016283</x:v>
      </x:c>
      <x:c r="AK1690" s="604" t="n"/>
      <x:c r="AL1690" s="604" t="n"/>
      <x:c r="AM1690" s="604" t="n"/>
      <x:c r="AN1690" s="604" t="inlineStr">
        <x:is>
          <x:t xml:space="preserve">EVALUATED</x:t>
        </x:is>
      </x:c>
      <x:c r="AO1690" s="604" t="inlineStr">
        <x:is>
          <x:t xml:space="preserve">LOW_QUALITY_GATE;BUCKET_PRIOR_ONLY;INTENT_INTERPRETATION_ONLY;FFL_OPTIONAL;EXPERT_MARKET</x:t>
        </x:is>
      </x:c>
      <x:c r="AP1690" s="604" t="inlineStr">
        <x:is>
          <x:t xml:space="preserve">076b1c2ddb0be6d9914d</x:t>
        </x:is>
      </x:c>
      <x:c r="AQ1690" s="604" t="n"/>
      <x:c r="AR1690" s="604" t="n"/>
      <x:c r="AS1690" s="604" t="n">
        <x:v>1.5</x:v>
      </x:c>
      <x:c r="AT1690" s="604" t="n">
        <x:v>-1.5</x:v>
      </x:c>
      <x:c r="AU1690" s="604" t="n">
        <x:v>0.97</x:v>
      </x:c>
      <x:c r="AV1690" s="604" t="n">
        <x:v>0.71</x:v>
      </x:c>
      <x:c r="AW1690" s="604" t="inlineStr">
        <x:is>
          <x:t xml:space="preserve">2026-10-09T09:01:21.127001+08:00</x:t>
        </x:is>
      </x:c>
      <x:c r="AX1690" s="604" t="inlineStr">
        <x:is>
          <x:t xml:space="preserve">Titan007/V4</x:t>
        </x:is>
      </x:c>
      <x:c r="AY1690" s="604" t="inlineStr">
        <x:is>
          <x:t xml:space="preserve">Daily append；市场输入缺失时不生成决策</x:t>
        </x:is>
      </x:c>
    </x:row>
    <x:row r="1691" ht="22" customHeight="1">
      <x:c r="A1691" s="604" t="inlineStr">
        <x:is>
          <x:t xml:space="preserve">2026-10-09</x:t>
        </x:is>
      </x:c>
      <x:c r="B1691" s="604" t="inlineStr">
        <x:is>
          <x:t xml:space="preserve">2026-10-10T01:00:00+08:00</x:t>
        </x:is>
      </x:c>
      <x:c r="C1691" s="604" t="str">
        <x:v>五大联赛非顶级联赛</x:v>
      </x:c>
      <x:c r="D1691" s="604" t="inlineStr">
        <x:is>
          <x:t xml:space="preserve"/>
        </x:is>
      </x:c>
      <x:c r="E1691" s="604" t="inlineStr">
        <x:is>
          <x:t xml:space="preserve">德戊</x:t>
        </x:is>
      </x:c>
      <x:c r="F1691" s="604" t="inlineStr">
        <x:is>
          <x:t xml:space="preserve">罗森海姆1860 vs 皮平斯列特</x:t>
        </x:is>
      </x:c>
      <x:c r="G1691" s="604" t="n">
        <x:v>0.48</x:v>
      </x:c>
      <x:c r="H1691" s="604" t="n">
        <x:v>-1.5</x:v>
      </x:c>
      <x:c r="I1691" s="604" t="n">
        <x:v>1.39</x:v>
      </x:c>
      <x:c r="J1691" s="604" t="inlineStr">
        <x:is>
          <x:t xml:space="preserve">0.48/-1.5/1.39</x:t>
        </x:is>
      </x:c>
      <x:c r="K1691" s="604" t="inlineStr">
        <x:is>
          <x:t xml:space="preserve">V4-N</x:t>
        </x:is>
      </x:c>
      <x:c r="L1691" s="604" t="inlineStr">
        <x:is>
          <x:t xml:space="preserve"/>
        </x:is>
      </x:c>
      <x:c r="M1691" s="604" t="n">
        <x:v>0.02843864491604793</x:v>
      </x:c>
      <x:c r="N1691" s="604" t="inlineStr">
        <x:is>
          <x:t xml:space="preserve">V4 Shadow Only；real_money=false</x:t>
        </x:is>
      </x:c>
      <x:c r="O1691" s="604" t="inlineStr">
        <x:is>
          <x:t xml:space="preserve">0-0</x:t>
        </x:is>
      </x:c>
      <x:c r="P1691" s="604" t="inlineStr">
        <x:is>
          <x:t xml:space="preserve">EVALUATED</x:t>
        </x:is>
      </x:c>
      <x:c r="Q1691" s="630" t="inlineStr">
        <x:is>
          <x:t xml:space="preserve"/>
        </x:is>
      </x:c>
      <x:c r="R1691" s="604" t="n"/>
      <x:c r="S1691" s="604" t="n"/>
      <x:c r="T1691" s="604" t="inlineStr">
        <x:is>
          <x:t xml:space="preserve">D:\codex\v3_legacy\outputs\football_odds_trader\raw\titan007\20261009\20261009_085232_titan007_odds_snapshot.csv</x:t>
        </x:is>
      </x:c>
      <x:c r="U1691" s="628" t="inlineStr">
        <x:is>
          <x:t xml:space="preserve"/>
        </x:is>
      </x:c>
      <x:c r="V1691" s="604" t="inlineStr">
        <x:is>
          <x:t xml:space="preserve"/>
        </x:is>
      </x:c>
      <x:c r="W1691" s="604" t="inlineStr">
        <x:is>
          <x:t xml:space="preserve"/>
        </x:is>
      </x:c>
      <x:c r="X1691" s="604" t="inlineStr">
        <x:is>
          <x:t xml:space="preserve">3098042</x:t>
        </x:is>
      </x:c>
      <x:c r="Y1691" s="604" t="inlineStr">
        <x:is>
          <x:t xml:space="preserve">V4</x:t>
        </x:is>
      </x:c>
      <x:c r="Z1691" s="604" t="inlineStr">
        <x:is>
          <x:t xml:space="preserve">prior-2026-10-09-v1</x:t>
        </x:is>
      </x:c>
      <x:c r="AA1691" s="604" t="inlineStr">
        <x:is>
          <x:t xml:space="preserve">N</x:t>
        </x:is>
      </x:c>
      <x:c r="AB1691" s="604" t="n">
        <x:v>0.02843864491604793</x:v>
      </x:c>
      <x:c r="AC1691" s="604" t="n">
        <x:v>0.971561355083952</x:v>
      </x:c>
      <x:c r="AD1691" s="604" t="n">
        <x:v>-1.25</x:v>
      </x:c>
      <x:c r="AE1691" s="604" t="n"/>
      <x:c r="AF1691" s="604" t="n"/>
      <x:c r="AG1691" s="604" t="n">
        <x:v>0.437910805524249</x:v>
      </x:c>
      <x:c r="AH1691" s="604" t="n"/>
      <x:c r="AI1691" s="604" t="n"/>
      <x:c r="AJ1691" s="604" t="n">
        <x:v>0.437910805524249</x:v>
      </x:c>
      <x:c r="AK1691" s="604" t="n"/>
      <x:c r="AL1691" s="604" t="n"/>
      <x:c r="AM1691" s="604" t="n"/>
      <x:c r="AN1691" s="604" t="inlineStr">
        <x:is>
          <x:t xml:space="preserve">EVALUATED</x:t>
        </x:is>
      </x:c>
      <x:c r="AO1691" s="604" t="inlineStr">
        <x:is>
          <x:t xml:space="preserve">LOW_QUALITY_GATE;BUCKET_PRIOR_ONLY;INTENT_INTERPRETATION_ONLY;FFL_OPTIONAL;EXPERT_MARKET</x:t>
        </x:is>
      </x:c>
      <x:c r="AP1691" s="604" t="inlineStr">
        <x:is>
          <x:t xml:space="preserve">ef92ff67d77789469c86</x:t>
        </x:is>
      </x:c>
      <x:c r="AQ1691" s="604" t="n"/>
      <x:c r="AR1691" s="604" t="n"/>
      <x:c r="AS1691" s="604" t="n">
        <x:v>-1.5</x:v>
      </x:c>
      <x:c r="AT1691" s="604" t="n">
        <x:v>1.5</x:v>
      </x:c>
      <x:c r="AU1691" s="604" t="n">
        <x:v>0.48</x:v>
      </x:c>
      <x:c r="AV1691" s="604" t="n">
        <x:v>1.39</x:v>
      </x:c>
      <x:c r="AW1691" s="604" t="inlineStr">
        <x:is>
          <x:t xml:space="preserve">2026-10-09T09:01:21.127001+08:00</x:t>
        </x:is>
      </x:c>
      <x:c r="AX1691" s="604" t="inlineStr">
        <x:is>
          <x:t xml:space="preserve">Titan007/V4</x:t>
        </x:is>
      </x:c>
      <x:c r="AY1691" s="604" t="inlineStr">
        <x:is>
          <x:t xml:space="preserve">Daily append；市场输入缺失时不生成决策</x:t>
        </x:is>
      </x:c>
    </x:row>
    <x:row r="1692" ht="22" customHeight="1">
      <x:c r="A1692" s="604" t="inlineStr">
        <x:is>
          <x:t xml:space="preserve">2026-10-09</x:t>
        </x:is>
      </x:c>
      <x:c r="B1692" s="604" t="inlineStr">
        <x:is>
          <x:t xml:space="preserve">2026-10-10T01:00:00+08:00</x:t>
        </x:is>
      </x:c>
      <x:c r="C1692" s="604" t="str">
        <x:v>五大联赛非顶级联赛</x:v>
      </x:c>
      <x:c r="D1692" s="604" t="inlineStr">
        <x:is>
          <x:t xml:space="preserve"/>
        </x:is>
      </x:c>
      <x:c r="E1692" s="604" t="inlineStr">
        <x:is>
          <x:t xml:space="preserve">德戊</x:t>
        </x:is>
      </x:c>
      <x:c r="F1692" s="604" t="inlineStr">
        <x:is>
          <x:t xml:space="preserve">TSV瓦塞堡1880 vs 普法芬霍芬</x:t>
        </x:is>
      </x:c>
      <x:c r="G1692" s="604" t="n">
        <x:v>0.77</x:v>
      </x:c>
      <x:c r="H1692" s="604" t="n">
        <x:v>0</x:v>
      </x:c>
      <x:c r="I1692" s="604" t="n">
        <x:v>0.89</x:v>
      </x:c>
      <x:c r="J1692" s="604" t="inlineStr">
        <x:is>
          <x:t xml:space="preserve">0.77/0.0/0.89</x:t>
        </x:is>
      </x:c>
      <x:c r="K1692" s="604" t="inlineStr">
        <x:is>
          <x:t xml:space="preserve">V4-N</x:t>
        </x:is>
      </x:c>
      <x:c r="L1692" s="604" t="inlineStr">
        <x:is>
          <x:t xml:space="preserve"/>
        </x:is>
      </x:c>
      <x:c r="M1692" s="604" t="n"/>
      <x:c r="N1692" s="604" t="inlineStr">
        <x:is>
          <x:t xml:space="preserve">V4 Shadow Only；real_money=false</x:t>
        </x:is>
      </x:c>
      <x:c r="O1692" s="604" t="inlineStr">
        <x:is>
          <x:t xml:space="preserve">0-0</x:t>
        </x:is>
      </x:c>
      <x:c r="P1692" s="604" t="inlineStr">
        <x:is>
          <x:t xml:space="preserve">NEUTRAL</x:t>
        </x:is>
      </x:c>
      <x:c r="Q1692" s="630" t="inlineStr">
        <x:is>
          <x:t xml:space="preserve"/>
        </x:is>
      </x:c>
      <x:c r="R1692" s="604" t="n"/>
      <x:c r="S1692" s="604" t="n"/>
      <x:c r="T1692" s="604" t="inlineStr">
        <x:is>
          <x:t xml:space="preserve">D:\codex\v3_legacy\outputs\football_odds_trader\raw\titan007\20261009\20261009_085232_titan007_odds_snapshot.csv</x:t>
        </x:is>
      </x:c>
      <x:c r="U1692" s="628" t="inlineStr">
        <x:is>
          <x:t xml:space="preserve"/>
        </x:is>
      </x:c>
      <x:c r="V1692" s="604" t="inlineStr">
        <x:is>
          <x:t xml:space="preserve"/>
        </x:is>
      </x:c>
      <x:c r="W1692" s="604" t="inlineStr">
        <x:is>
          <x:t xml:space="preserve"/>
        </x:is>
      </x:c>
      <x:c r="X1692" s="604" t="inlineStr">
        <x:is>
          <x:t xml:space="preserve">3098043</x:t>
        </x:is>
      </x:c>
      <x:c r="Y1692" s="604" t="inlineStr">
        <x:is>
          <x:t xml:space="preserve">V4</x:t>
        </x:is>
      </x:c>
      <x:c r="Z1692" s="604" t="inlineStr">
        <x:is>
          <x:t xml:space="preserve">prior-2026-10-09-v1</x:t>
        </x:is>
      </x:c>
      <x:c r="AA1692" s="604" t="inlineStr">
        <x:is>
          <x:t xml:space="preserve">N</x:t>
        </x:is>
      </x:c>
      <x:c r="AB1692" s="604" t="n"/>
      <x:c r="AC1692" s="604" t="n"/>
      <x:c r="AD1692" s="604" t="n"/>
      <x:c r="AE1692" s="604" t="n"/>
      <x:c r="AF1692" s="604" t="n"/>
      <x:c r="AG1692" s="604" t="n"/>
      <x:c r="AH1692" s="604" t="n"/>
      <x:c r="AI1692" s="604" t="n"/>
      <x:c r="AJ1692" s="604" t="n"/>
      <x:c r="AK1692" s="604" t="n"/>
      <x:c r="AL1692" s="604" t="n"/>
      <x:c r="AM1692" s="604" t="n"/>
      <x:c r="AN1692" s="604" t="inlineStr">
        <x:is>
          <x:t xml:space="preserve">NEUTRAL</x:t>
        </x:is>
      </x:c>
      <x:c r="AO1692" s="604" t="inlineStr">
        <x:is>
          <x:t xml:space="preserve">PK_NO_GIVING_RECEIVING_IDENTITY</x:t>
        </x:is>
      </x:c>
      <x:c r="AP1692" s="604" t="inlineStr">
        <x:is>
          <x:t xml:space="preserve">2cc6dbbebdbbad076af2</x:t>
        </x:is>
      </x:c>
      <x:c r="AQ1692" s="604" t="n"/>
      <x:c r="AR1692" s="604" t="n"/>
      <x:c r="AS1692" s="604" t="n"/>
      <x:c r="AT1692" s="604" t="n"/>
      <x:c r="AU1692" s="604" t="n"/>
      <x:c r="AV1692" s="604" t="n"/>
      <x:c r="AW1692" s="604" t="inlineStr">
        <x:is>
          <x:t xml:space="preserve">2026-10-09T09:01:21.127001+08:00</x:t>
        </x:is>
      </x:c>
      <x:c r="AX1692" s="604" t="inlineStr">
        <x:is>
          <x:t xml:space="preserve">Titan007/V4</x:t>
        </x:is>
      </x:c>
      <x:c r="AY1692" s="604" t="inlineStr">
        <x:is>
          <x:t xml:space="preserve">Daily append；市场输入缺失时不生成决策</x:t>
        </x:is>
      </x:c>
    </x:row>
    <x:row r="1693" ht="22" customHeight="1">
      <x:c r="A1693" s="604" t="inlineStr">
        <x:is>
          <x:t xml:space="preserve">2026-10-09</x:t>
        </x:is>
      </x:c>
      <x:c r="B1693" s="604" t="inlineStr">
        <x:is>
          <x:t xml:space="preserve">2026-10-10T01:00:00+08:00</x:t>
        </x:is>
      </x:c>
      <x:c r="C1693" s="604" t="str">
        <x:v>五大联赛非顶级联赛</x:v>
      </x:c>
      <x:c r="D1693" s="604" t="inlineStr">
        <x:is>
          <x:t xml:space="preserve"/>
        </x:is>
      </x:c>
      <x:c r="E1693" s="604" t="inlineStr">
        <x:is>
          <x:t xml:space="preserve">德戊</x:t>
        </x:is>
      </x:c>
      <x:c r="F1693" s="604" t="inlineStr">
        <x:is>
          <x:t xml:space="preserve">TSV科恩 vs 印戈斯塔德青年队</x:t>
        </x:is>
      </x:c>
      <x:c r="G1693" s="604" t="n">
        <x:v>0.47</x:v>
      </x:c>
      <x:c r="H1693" s="604" t="n">
        <x:v>0</x:v>
      </x:c>
      <x:c r="I1693" s="604" t="n">
        <x:v>1.43</x:v>
      </x:c>
      <x:c r="J1693" s="604" t="inlineStr">
        <x:is>
          <x:t xml:space="preserve">0.47/0.0/1.43</x:t>
        </x:is>
      </x:c>
      <x:c r="K1693" s="604" t="inlineStr">
        <x:is>
          <x:t xml:space="preserve">V4-N</x:t>
        </x:is>
      </x:c>
      <x:c r="L1693" s="604" t="inlineStr">
        <x:is>
          <x:t xml:space="preserve"/>
        </x:is>
      </x:c>
      <x:c r="M1693" s="604" t="n"/>
      <x:c r="N1693" s="604" t="inlineStr">
        <x:is>
          <x:t xml:space="preserve">V4 Shadow Only；real_money=false</x:t>
        </x:is>
      </x:c>
      <x:c r="O1693" s="604" t="inlineStr">
        <x:is>
          <x:t xml:space="preserve">0-0</x:t>
        </x:is>
      </x:c>
      <x:c r="P1693" s="604" t="inlineStr">
        <x:is>
          <x:t xml:space="preserve">NEUTRAL</x:t>
        </x:is>
      </x:c>
      <x:c r="Q1693" s="630" t="inlineStr">
        <x:is>
          <x:t xml:space="preserve"/>
        </x:is>
      </x:c>
      <x:c r="R1693" s="604" t="n"/>
      <x:c r="S1693" s="604" t="n"/>
      <x:c r="T1693" s="604" t="inlineStr">
        <x:is>
          <x:t xml:space="preserve">D:\codex\v3_legacy\outputs\football_odds_trader\raw\titan007\20261009\20261009_085232_titan007_odds_snapshot.csv</x:t>
        </x:is>
      </x:c>
      <x:c r="U1693" s="628" t="inlineStr">
        <x:is>
          <x:t xml:space="preserve"/>
        </x:is>
      </x:c>
      <x:c r="V1693" s="604" t="inlineStr">
        <x:is>
          <x:t xml:space="preserve"/>
        </x:is>
      </x:c>
      <x:c r="W1693" s="604" t="inlineStr">
        <x:is>
          <x:t xml:space="preserve"/>
        </x:is>
      </x:c>
      <x:c r="X1693" s="604" t="inlineStr">
        <x:is>
          <x:t xml:space="preserve">3098044</x:t>
        </x:is>
      </x:c>
      <x:c r="Y1693" s="604" t="inlineStr">
        <x:is>
          <x:t xml:space="preserve">V4</x:t>
        </x:is>
      </x:c>
      <x:c r="Z1693" s="604" t="inlineStr">
        <x:is>
          <x:t xml:space="preserve">prior-2026-10-09-v1</x:t>
        </x:is>
      </x:c>
      <x:c r="AA1693" s="604" t="inlineStr">
        <x:is>
          <x:t xml:space="preserve">N</x:t>
        </x:is>
      </x:c>
      <x:c r="AB1693" s="604" t="n"/>
      <x:c r="AC1693" s="604" t="n"/>
      <x:c r="AD1693" s="604" t="n"/>
      <x:c r="AE1693" s="604" t="n"/>
      <x:c r="AF1693" s="604" t="n"/>
      <x:c r="AG1693" s="604" t="n"/>
      <x:c r="AH1693" s="604" t="n"/>
      <x:c r="AI1693" s="604" t="n"/>
      <x:c r="AJ1693" s="604" t="n"/>
      <x:c r="AK1693" s="604" t="n"/>
      <x:c r="AL1693" s="604" t="n"/>
      <x:c r="AM1693" s="604" t="n"/>
      <x:c r="AN1693" s="604" t="inlineStr">
        <x:is>
          <x:t xml:space="preserve">NEUTRAL</x:t>
        </x:is>
      </x:c>
      <x:c r="AO1693" s="604" t="inlineStr">
        <x:is>
          <x:t xml:space="preserve">PK_NO_GIVING_RECEIVING_IDENTITY</x:t>
        </x:is>
      </x:c>
      <x:c r="AP1693" s="604" t="inlineStr">
        <x:is>
          <x:t xml:space="preserve">5e9fce05311fe897d299</x:t>
        </x:is>
      </x:c>
      <x:c r="AQ1693" s="604" t="n"/>
      <x:c r="AR1693" s="604" t="n"/>
      <x:c r="AS1693" s="604" t="n"/>
      <x:c r="AT1693" s="604" t="n"/>
      <x:c r="AU1693" s="604" t="n"/>
      <x:c r="AV1693" s="604" t="n"/>
      <x:c r="AW1693" s="604" t="inlineStr">
        <x:is>
          <x:t xml:space="preserve">2026-10-09T09:01:21.127001+08:00</x:t>
        </x:is>
      </x:c>
      <x:c r="AX1693" s="604" t="inlineStr">
        <x:is>
          <x:t xml:space="preserve">Titan007/V4</x:t>
        </x:is>
      </x:c>
      <x:c r="AY1693" s="604" t="inlineStr">
        <x:is>
          <x:t xml:space="preserve">Daily append；市场输入缺失时不生成决策</x:t>
        </x:is>
      </x:c>
    </x:row>
    <x:row r="1694" ht="22" customHeight="1">
      <x:c r="A1694" s="604" t="inlineStr">
        <x:is>
          <x:t xml:space="preserve">2026-10-09</x:t>
        </x:is>
      </x:c>
      <x:c r="B1694" s="604" t="inlineStr">
        <x:is>
          <x:t xml:space="preserve">2026-10-10T01:00:00+08:00</x:t>
        </x:is>
      </x:c>
      <x:c r="C1694" s="604" t="str">
        <x:v>欧洲非五大系列</x:v>
      </x:c>
      <x:c r="D1694" s="604" t="inlineStr">
        <x:is>
          <x:t xml:space="preserve"/>
        </x:is>
      </x:c>
      <x:c r="E1694" s="604" t="inlineStr">
        <x:is>
          <x:t xml:space="preserve">斯伐丙</x:t>
        </x:is>
      </x:c>
      <x:c r="F1694" s="604" t="inlineStr">
        <x:is>
          <x:t xml:space="preserve">米亚瓦斯巴达 vs 卡斯科夫辛</x:t>
        </x:is>
      </x:c>
      <x:c r="G1694" s="604" t="n">
        <x:v>1</x:v>
      </x:c>
      <x:c r="H1694" s="604" t="n">
        <x:v>1.5</x:v>
      </x:c>
      <x:c r="I1694" s="604" t="n">
        <x:v>0.8</x:v>
      </x:c>
      <x:c r="J1694" s="604" t="inlineStr">
        <x:is>
          <x:t xml:space="preserve">1.0/1.5/0.8</x:t>
        </x:is>
      </x:c>
      <x:c r="K1694" s="604" t="inlineStr">
        <x:is>
          <x:t xml:space="preserve">V4-N</x:t>
        </x:is>
      </x:c>
      <x:c r="L1694" s="604" t="inlineStr">
        <x:is>
          <x:t xml:space="preserve"/>
        </x:is>
      </x:c>
      <x:c r="M1694" s="604" t="n">
        <x:v>0.5759684523364554</x:v>
      </x:c>
      <x:c r="N1694" s="604" t="inlineStr">
        <x:is>
          <x:t xml:space="preserve">V4 Shadow Only；real_money=false</x:t>
        </x:is>
      </x:c>
      <x:c r="O1694" s="604" t="inlineStr">
        <x:is>
          <x:t xml:space="preserve">0-0</x:t>
        </x:is>
      </x:c>
      <x:c r="P1694" s="604" t="inlineStr">
        <x:is>
          <x:t xml:space="preserve">EVALUATED</x:t>
        </x:is>
      </x:c>
      <x:c r="Q1694" s="630" t="inlineStr">
        <x:is>
          <x:t xml:space="preserve"/>
        </x:is>
      </x:c>
      <x:c r="R1694" s="604" t="n"/>
      <x:c r="S1694" s="604" t="n"/>
      <x:c r="T1694" s="604" t="inlineStr">
        <x:is>
          <x:t xml:space="preserve">D:\codex\v3_legacy\outputs\football_odds_trader\raw\titan007\20261009\20261009_085232_titan007_odds_snapshot.csv</x:t>
        </x:is>
      </x:c>
      <x:c r="U1694" s="628" t="inlineStr">
        <x:is>
          <x:t xml:space="preserve"/>
        </x:is>
      </x:c>
      <x:c r="V1694" s="604" t="inlineStr">
        <x:is>
          <x:t xml:space="preserve"/>
        </x:is>
      </x:c>
      <x:c r="W1694" s="604" t="inlineStr">
        <x:is>
          <x:t xml:space="preserve"/>
        </x:is>
      </x:c>
      <x:c r="X1694" s="604" t="inlineStr">
        <x:is>
          <x:t xml:space="preserve">3098045</x:t>
        </x:is>
      </x:c>
      <x:c r="Y1694" s="604" t="inlineStr">
        <x:is>
          <x:t xml:space="preserve">V4</x:t>
        </x:is>
      </x:c>
      <x:c r="Z1694" s="604" t="inlineStr">
        <x:is>
          <x:t xml:space="preserve">prior-2026-10-09-v1</x:t>
        </x:is>
      </x:c>
      <x:c r="AA1694" s="604" t="inlineStr">
        <x:is>
          <x:t xml:space="preserve">N</x:t>
        </x:is>
      </x:c>
      <x:c r="AB1694" s="604" t="n">
        <x:v>0.5759684523364554</x:v>
      </x:c>
      <x:c r="AC1694" s="604" t="n">
        <x:v>0.4240315476635446</x:v>
      </x:c>
      <x:c r="AD1694" s="604" t="n">
        <x:v>2</x:v>
      </x:c>
      <x:c r="AE1694" s="604" t="n"/>
      <x:c r="AF1694" s="604" t="n"/>
      <x:c r="AG1694" s="604" t="n">
        <x:v>0.1519369046729108</x:v>
      </x:c>
      <x:c r="AH1694" s="604" t="n"/>
      <x:c r="AI1694" s="604" t="n"/>
      <x:c r="AJ1694" s="604" t="n">
        <x:v>0.1519369046729108</x:v>
      </x:c>
      <x:c r="AK1694" s="604" t="n"/>
      <x:c r="AL1694" s="604" t="n"/>
      <x:c r="AM1694" s="604" t="n"/>
      <x:c r="AN1694" s="604" t="inlineStr">
        <x:is>
          <x:t xml:space="preserve">EVALUATED</x:t>
        </x:is>
      </x:c>
      <x:c r="AO1694" s="604" t="inlineStr">
        <x:is>
          <x:t xml:space="preserve">LOW_QUALITY_GATE;BUCKET_PRIOR_ONLY;INTENT_INTERPRETATION_ONLY;FFL_OPTIONAL;EXPERT_MARKET</x:t>
        </x:is>
      </x:c>
      <x:c r="AP1694" s="604" t="inlineStr">
        <x:is>
          <x:t xml:space="preserve">bfd5a6c146bf1b3d4e0c</x:t>
        </x:is>
      </x:c>
      <x:c r="AQ1694" s="604" t="n"/>
      <x:c r="AR1694" s="604" t="n"/>
      <x:c r="AS1694" s="604" t="n">
        <x:v>1.5</x:v>
      </x:c>
      <x:c r="AT1694" s="604" t="n">
        <x:v>-1.5</x:v>
      </x:c>
      <x:c r="AU1694" s="604" t="n">
        <x:v>1</x:v>
      </x:c>
      <x:c r="AV1694" s="604" t="n">
        <x:v>0.8</x:v>
      </x:c>
      <x:c r="AW1694" s="604" t="inlineStr">
        <x:is>
          <x:t xml:space="preserve">2026-10-09T09:01:21.127001+08:00</x:t>
        </x:is>
      </x:c>
      <x:c r="AX1694" s="604" t="inlineStr">
        <x:is>
          <x:t xml:space="preserve">Titan007/V4</x:t>
        </x:is>
      </x:c>
      <x:c r="AY1694" s="604" t="inlineStr">
        <x:is>
          <x:t xml:space="preserve">Daily append；市场输入缺失时不生成决策</x:t>
        </x:is>
      </x:c>
    </x:row>
    <x:row r="1695" ht="22" customHeight="1">
      <x:c r="A1695" s="604" t="inlineStr">
        <x:is>
          <x:t xml:space="preserve">2026-10-09</x:t>
        </x:is>
      </x:c>
      <x:c r="B1695" s="604" t="inlineStr">
        <x:is>
          <x:t xml:space="preserve">2026-10-10T01:00:00+08:00</x:t>
        </x:is>
      </x:c>
      <x:c r="C1695" s="604" t="str">
        <x:v>五大联赛非顶级联赛</x:v>
      </x:c>
      <x:c r="D1695" s="604" t="inlineStr">
        <x:is>
          <x:t xml:space="preserve"/>
        </x:is>
      </x:c>
      <x:c r="E1695" s="604" t="inlineStr">
        <x:is>
          <x:t xml:space="preserve">德戊</x:t>
        </x:is>
      </x:c>
      <x:c r="F1695" s="604" t="inlineStr">
        <x:is>
          <x:t xml:space="preserve">干高迪亚 vs 汉堡1816体操俱乐部</x:t>
        </x:is>
      </x:c>
      <x:c r="G1695" s="604" t="n">
        <x:v>1.39</x:v>
      </x:c>
      <x:c r="H1695" s="604" t="n">
        <x:v>0</x:v>
      </x:c>
      <x:c r="I1695" s="604" t="n">
        <x:v>0.48</x:v>
      </x:c>
      <x:c r="J1695" s="604" t="inlineStr">
        <x:is>
          <x:t xml:space="preserve">1.39/0.0/0.48</x:t>
        </x:is>
      </x:c>
      <x:c r="K1695" s="604" t="inlineStr">
        <x:is>
          <x:t xml:space="preserve">V4-N</x:t>
        </x:is>
      </x:c>
      <x:c r="L1695" s="604" t="inlineStr">
        <x:is>
          <x:t xml:space="preserve"/>
        </x:is>
      </x:c>
      <x:c r="M1695" s="604" t="n"/>
      <x:c r="N1695" s="604" t="inlineStr">
        <x:is>
          <x:t xml:space="preserve">V4 Shadow Only；real_money=false</x:t>
        </x:is>
      </x:c>
      <x:c r="O1695" s="604" t="inlineStr">
        <x:is>
          <x:t xml:space="preserve">0-0</x:t>
        </x:is>
      </x:c>
      <x:c r="P1695" s="604" t="inlineStr">
        <x:is>
          <x:t xml:space="preserve">NEUTRAL</x:t>
        </x:is>
      </x:c>
      <x:c r="Q1695" s="630" t="inlineStr">
        <x:is>
          <x:t xml:space="preserve"/>
        </x:is>
      </x:c>
      <x:c r="R1695" s="604" t="n"/>
      <x:c r="S1695" s="604" t="n"/>
      <x:c r="T1695" s="604" t="inlineStr">
        <x:is>
          <x:t xml:space="preserve">D:\codex\v3_legacy\outputs\football_odds_trader\raw\titan007\20261009\20261009_085232_titan007_odds_snapshot.csv</x:t>
        </x:is>
      </x:c>
      <x:c r="U1695" s="628" t="inlineStr">
        <x:is>
          <x:t xml:space="preserve"/>
        </x:is>
      </x:c>
      <x:c r="V1695" s="604" t="inlineStr">
        <x:is>
          <x:t xml:space="preserve"/>
        </x:is>
      </x:c>
      <x:c r="W1695" s="604" t="inlineStr">
        <x:is>
          <x:t xml:space="preserve"/>
        </x:is>
      </x:c>
      <x:c r="X1695" s="604" t="inlineStr">
        <x:is>
          <x:t xml:space="preserve">3098046</x:t>
        </x:is>
      </x:c>
      <x:c r="Y1695" s="604" t="inlineStr">
        <x:is>
          <x:t xml:space="preserve">V4</x:t>
        </x:is>
      </x:c>
      <x:c r="Z1695" s="604" t="inlineStr">
        <x:is>
          <x:t xml:space="preserve">prior-2026-10-09-v1</x:t>
        </x:is>
      </x:c>
      <x:c r="AA1695" s="604" t="inlineStr">
        <x:is>
          <x:t xml:space="preserve">N</x:t>
        </x:is>
      </x:c>
      <x:c r="AB1695" s="604" t="n"/>
      <x:c r="AC1695" s="604" t="n"/>
      <x:c r="AD1695" s="604" t="n"/>
      <x:c r="AE1695" s="604" t="n"/>
      <x:c r="AF1695" s="604" t="n"/>
      <x:c r="AG1695" s="604" t="n"/>
      <x:c r="AH1695" s="604" t="n"/>
      <x:c r="AI1695" s="604" t="n"/>
      <x:c r="AJ1695" s="604" t="n"/>
      <x:c r="AK1695" s="604" t="n"/>
      <x:c r="AL1695" s="604" t="n"/>
      <x:c r="AM1695" s="604" t="n"/>
      <x:c r="AN1695" s="604" t="inlineStr">
        <x:is>
          <x:t xml:space="preserve">NEUTRAL</x:t>
        </x:is>
      </x:c>
      <x:c r="AO1695" s="604" t="inlineStr">
        <x:is>
          <x:t xml:space="preserve">PK_NO_GIVING_RECEIVING_IDENTITY</x:t>
        </x:is>
      </x:c>
      <x:c r="AP1695" s="604" t="inlineStr">
        <x:is>
          <x:t xml:space="preserve">35c7781a15b89074e998</x:t>
        </x:is>
      </x:c>
      <x:c r="AQ1695" s="604" t="n"/>
      <x:c r="AR1695" s="604" t="n"/>
      <x:c r="AS1695" s="604" t="n"/>
      <x:c r="AT1695" s="604" t="n"/>
      <x:c r="AU1695" s="604" t="n"/>
      <x:c r="AV1695" s="604" t="n"/>
      <x:c r="AW1695" s="604" t="inlineStr">
        <x:is>
          <x:t xml:space="preserve">2026-10-09T09:01:21.127001+08:00</x:t>
        </x:is>
      </x:c>
      <x:c r="AX1695" s="604" t="inlineStr">
        <x:is>
          <x:t xml:space="preserve">Titan007/V4</x:t>
        </x:is>
      </x:c>
      <x:c r="AY1695" s="604" t="inlineStr">
        <x:is>
          <x:t xml:space="preserve">Daily append；市场输入缺失时不生成决策</x:t>
        </x:is>
      </x:c>
    </x:row>
    <x:row r="1696" ht="22" customHeight="1">
      <x:c r="A1696" s="604" t="inlineStr">
        <x:is>
          <x:t xml:space="preserve">2026-10-09</x:t>
        </x:is>
      </x:c>
      <x:c r="B1696" s="604" t="inlineStr">
        <x:is>
          <x:t xml:space="preserve">2026-10-10T01:30:00+08:00</x:t>
        </x:is>
      </x:c>
      <x:c r="C1696" s="604" t="str">
        <x:v>五大联赛非顶级联赛</x:v>
      </x:c>
      <x:c r="D1696" s="604" t="inlineStr">
        <x:is>
          <x:t xml:space="preserve"/>
        </x:is>
      </x:c>
      <x:c r="E1696" s="604" t="inlineStr">
        <x:is>
          <x:t xml:space="preserve">德戊</x:t>
        </x:is>
      </x:c>
      <x:c r="F1696" s="604" t="inlineStr">
        <x:is>
          <x:t xml:space="preserve">ETSV汉堡 vs 奈德弗</x:t>
        </x:is>
      </x:c>
      <x:c r="G1696" s="604" t="n">
        <x:v>0.49</x:v>
      </x:c>
      <x:c r="H1696" s="604" t="n">
        <x:v>0</x:v>
      </x:c>
      <x:c r="I1696" s="604" t="n">
        <x:v>1.37</x:v>
      </x:c>
      <x:c r="J1696" s="604" t="inlineStr">
        <x:is>
          <x:t xml:space="preserve">0.49/0.0/1.37</x:t>
        </x:is>
      </x:c>
      <x:c r="K1696" s="604" t="inlineStr">
        <x:is>
          <x:t xml:space="preserve">V4-N</x:t>
        </x:is>
      </x:c>
      <x:c r="L1696" s="604" t="inlineStr">
        <x:is>
          <x:t xml:space="preserve"/>
        </x:is>
      </x:c>
      <x:c r="M1696" s="604" t="n"/>
      <x:c r="N1696" s="604" t="inlineStr">
        <x:is>
          <x:t xml:space="preserve">V4 Shadow Only；real_money=false</x:t>
        </x:is>
      </x:c>
      <x:c r="O1696" s="604" t="inlineStr">
        <x:is>
          <x:t xml:space="preserve">0-0</x:t>
        </x:is>
      </x:c>
      <x:c r="P1696" s="604" t="inlineStr">
        <x:is>
          <x:t xml:space="preserve">NEUTRAL</x:t>
        </x:is>
      </x:c>
      <x:c r="Q1696" s="630" t="inlineStr">
        <x:is>
          <x:t xml:space="preserve"/>
        </x:is>
      </x:c>
      <x:c r="R1696" s="604" t="n"/>
      <x:c r="S1696" s="604" t="n"/>
      <x:c r="T1696" s="604" t="inlineStr">
        <x:is>
          <x:t xml:space="preserve">D:\codex\v3_legacy\outputs\football_odds_trader\raw\titan007\20261009\20261009_085232_titan007_odds_snapshot.csv</x:t>
        </x:is>
      </x:c>
      <x:c r="U1696" s="628" t="inlineStr">
        <x:is>
          <x:t xml:space="preserve"/>
        </x:is>
      </x:c>
      <x:c r="V1696" s="604" t="inlineStr">
        <x:is>
          <x:t xml:space="preserve"/>
        </x:is>
      </x:c>
      <x:c r="W1696" s="604" t="inlineStr">
        <x:is>
          <x:t xml:space="preserve"/>
        </x:is>
      </x:c>
      <x:c r="X1696" s="604" t="inlineStr">
        <x:is>
          <x:t xml:space="preserve">3098047</x:t>
        </x:is>
      </x:c>
      <x:c r="Y1696" s="604" t="inlineStr">
        <x:is>
          <x:t xml:space="preserve">V4</x:t>
        </x:is>
      </x:c>
      <x:c r="Z1696" s="604" t="inlineStr">
        <x:is>
          <x:t xml:space="preserve">prior-2026-10-09-v1</x:t>
        </x:is>
      </x:c>
      <x:c r="AA1696" s="604" t="inlineStr">
        <x:is>
          <x:t xml:space="preserve">N</x:t>
        </x:is>
      </x:c>
      <x:c r="AB1696" s="604" t="n"/>
      <x:c r="AC1696" s="604" t="n"/>
      <x:c r="AD1696" s="604" t="n"/>
      <x:c r="AE1696" s="604" t="n"/>
      <x:c r="AF1696" s="604" t="n"/>
      <x:c r="AG1696" s="604" t="n"/>
      <x:c r="AH1696" s="604" t="n"/>
      <x:c r="AI1696" s="604" t="n"/>
      <x:c r="AJ1696" s="604" t="n"/>
      <x:c r="AK1696" s="604" t="n"/>
      <x:c r="AL1696" s="604" t="n"/>
      <x:c r="AM1696" s="604" t="n"/>
      <x:c r="AN1696" s="604" t="inlineStr">
        <x:is>
          <x:t xml:space="preserve">NEUTRAL</x:t>
        </x:is>
      </x:c>
      <x:c r="AO1696" s="604" t="inlineStr">
        <x:is>
          <x:t xml:space="preserve">PK_NO_GIVING_RECEIVING_IDENTITY</x:t>
        </x:is>
      </x:c>
      <x:c r="AP1696" s="604" t="inlineStr">
        <x:is>
          <x:t xml:space="preserve">d6bb61aa2a54f11cc11f</x:t>
        </x:is>
      </x:c>
      <x:c r="AQ1696" s="604" t="n"/>
      <x:c r="AR1696" s="604" t="n"/>
      <x:c r="AS1696" s="604" t="n"/>
      <x:c r="AT1696" s="604" t="n"/>
      <x:c r="AU1696" s="604" t="n"/>
      <x:c r="AV1696" s="604" t="n"/>
      <x:c r="AW1696" s="604" t="inlineStr">
        <x:is>
          <x:t xml:space="preserve">2026-10-09T09:01:21.127001+08:00</x:t>
        </x:is>
      </x:c>
      <x:c r="AX1696" s="604" t="inlineStr">
        <x:is>
          <x:t xml:space="preserve">Titan007/V4</x:t>
        </x:is>
      </x:c>
      <x:c r="AY1696" s="604" t="inlineStr">
        <x:is>
          <x:t xml:space="preserve">Daily append；市场输入缺失时不生成决策</x:t>
        </x:is>
      </x:c>
    </x:row>
    <x:row r="1697" ht="22" customHeight="1">
      <x:c r="A1697" s="604" t="inlineStr">
        <x:is>
          <x:t xml:space="preserve">2026-10-09</x:t>
        </x:is>
      </x:c>
      <x:c r="B1697" s="604" t="inlineStr">
        <x:is>
          <x:t xml:space="preserve">2026-10-10T01:30:00+08:00</x:t>
        </x:is>
      </x:c>
      <x:c r="C1697" s="604" t="str">
        <x:v>五大联赛非顶级联赛</x:v>
      </x:c>
      <x:c r="D1697" s="604" t="inlineStr">
        <x:is>
          <x:t xml:space="preserve"/>
        </x:is>
      </x:c>
      <x:c r="E1697" s="604" t="inlineStr">
        <x:is>
          <x:t xml:space="preserve">德戊</x:t>
        </x:is>
      </x:c>
      <x:c r="F1697" s="604" t="inlineStr">
        <x:is>
          <x:t xml:space="preserve">图拉哈克舍德 vs 诺德施泰特B队</x:t>
        </x:is>
      </x:c>
      <x:c r="G1697" s="604" t="n">
        <x:v>1.5</x:v>
      </x:c>
      <x:c r="H1697" s="604" t="n">
        <x:v>1.5</x:v>
      </x:c>
      <x:c r="I1697" s="604" t="n">
        <x:v>0.44</x:v>
      </x:c>
      <x:c r="J1697" s="604" t="inlineStr">
        <x:is>
          <x:t xml:space="preserve">1.5/1.5/0.44</x:t>
        </x:is>
      </x:c>
      <x:c r="K1697" s="604" t="inlineStr">
        <x:is>
          <x:t xml:space="preserve">V4-N</x:t>
        </x:is>
      </x:c>
      <x:c r="L1697" s="604" t="inlineStr">
        <x:is>
          <x:t xml:space="preserve"/>
        </x:is>
      </x:c>
      <x:c r="M1697" s="604" t="n">
        <x:v>0.3980106750858707</x:v>
      </x:c>
      <x:c r="N1697" s="604" t="inlineStr">
        <x:is>
          <x:t xml:space="preserve">V4 Shadow Only；real_money=false</x:t>
        </x:is>
      </x:c>
      <x:c r="O1697" s="604" t="inlineStr">
        <x:is>
          <x:t xml:space="preserve">0-0</x:t>
        </x:is>
      </x:c>
      <x:c r="P1697" s="604" t="inlineStr">
        <x:is>
          <x:t xml:space="preserve">EVALUATED</x:t>
        </x:is>
      </x:c>
      <x:c r="Q1697" s="630" t="inlineStr">
        <x:is>
          <x:t xml:space="preserve"/>
        </x:is>
      </x:c>
      <x:c r="R1697" s="604" t="n"/>
      <x:c r="S1697" s="604" t="n"/>
      <x:c r="T1697" s="604" t="inlineStr">
        <x:is>
          <x:t xml:space="preserve">D:\codex\v3_legacy\outputs\football_odds_trader\raw\titan007\20261009\20261009_085232_titan007_odds_snapshot.csv</x:t>
        </x:is>
      </x:c>
      <x:c r="U1697" s="628" t="inlineStr">
        <x:is>
          <x:t xml:space="preserve"/>
        </x:is>
      </x:c>
      <x:c r="V1697" s="604" t="inlineStr">
        <x:is>
          <x:t xml:space="preserve"/>
        </x:is>
      </x:c>
      <x:c r="W1697" s="604" t="inlineStr">
        <x:is>
          <x:t xml:space="preserve"/>
        </x:is>
      </x:c>
      <x:c r="X1697" s="604" t="inlineStr">
        <x:is>
          <x:t xml:space="preserve">3098048</x:t>
        </x:is>
      </x:c>
      <x:c r="Y1697" s="604" t="inlineStr">
        <x:is>
          <x:t xml:space="preserve">V4</x:t>
        </x:is>
      </x:c>
      <x:c r="Z1697" s="604" t="inlineStr">
        <x:is>
          <x:t xml:space="preserve">prior-2026-10-09-v1</x:t>
        </x:is>
      </x:c>
      <x:c r="AA1697" s="604" t="inlineStr">
        <x:is>
          <x:t xml:space="preserve">N</x:t>
        </x:is>
      </x:c>
      <x:c r="AB1697" s="604" t="n">
        <x:v>0.3980106750858707</x:v>
      </x:c>
      <x:c r="AC1697" s="604" t="n">
        <x:v>0.6019893249141294</x:v>
      </x:c>
      <x:c r="AD1697" s="604" t="n">
        <x:v>1.25</x:v>
      </x:c>
      <x:c r="AE1697" s="604" t="n"/>
      <x:c r="AF1697" s="604" t="n"/>
      <x:c r="AG1697" s="604" t="n">
        <x:v>-0.004973312285323384</x:v>
      </x:c>
      <x:c r="AH1697" s="604" t="n"/>
      <x:c r="AI1697" s="604" t="n"/>
      <x:c r="AJ1697" s="604" t="n">
        <x:v>-0.004973312285323384</x:v>
      </x:c>
      <x:c r="AK1697" s="604" t="n"/>
      <x:c r="AL1697" s="604" t="n"/>
      <x:c r="AM1697" s="604" t="n"/>
      <x:c r="AN1697" s="604" t="inlineStr">
        <x:is>
          <x:t xml:space="preserve">EVALUATED</x:t>
        </x:is>
      </x:c>
      <x:c r="AO1697" s="604" t="inlineStr">
        <x:is>
          <x:t xml:space="preserve">EDGE_BELOW_UNCERTAINTY_THRESHOLD;BUCKET_PRIOR_ONLY;INTENT_INTERPRETATION_ONLY;FFL_OPTIONAL;EXPERT_MARKET</x:t>
        </x:is>
      </x:c>
      <x:c r="AP1697" s="604" t="inlineStr">
        <x:is>
          <x:t xml:space="preserve">3440d7ad0e03bd70e7d2</x:t>
        </x:is>
      </x:c>
      <x:c r="AQ1697" s="604" t="n"/>
      <x:c r="AR1697" s="604" t="n"/>
      <x:c r="AS1697" s="604" t="n">
        <x:v>1.5</x:v>
      </x:c>
      <x:c r="AT1697" s="604" t="n">
        <x:v>-1.5</x:v>
      </x:c>
      <x:c r="AU1697" s="604" t="n">
        <x:v>1.5</x:v>
      </x:c>
      <x:c r="AV1697" s="604" t="n">
        <x:v>0.44</x:v>
      </x:c>
      <x:c r="AW1697" s="604" t="inlineStr">
        <x:is>
          <x:t xml:space="preserve">2026-10-09T09:01:21.127001+08:00</x:t>
        </x:is>
      </x:c>
      <x:c r="AX1697" s="604" t="inlineStr">
        <x:is>
          <x:t xml:space="preserve">Titan007/V4</x:t>
        </x:is>
      </x:c>
      <x:c r="AY1697" s="604" t="inlineStr">
        <x:is>
          <x:t xml:space="preserve">Daily append；市场输入缺失时不生成决策</x:t>
        </x:is>
      </x:c>
    </x:row>
    <x:row r="1698" ht="22" customHeight="1">
      <x:c r="A1698" s="604" t="inlineStr">
        <x:is>
          <x:t xml:space="preserve">2026-10-09</x:t>
        </x:is>
      </x:c>
      <x:c r="B1698" s="604" t="inlineStr">
        <x:is>
          <x:t xml:space="preserve">2026-10-10T01:45:00+08:00</x:t>
        </x:is>
      </x:c>
      <x:c r="C1698" s="604" t="str">
        <x:v>五大联赛非顶级联赛</x:v>
      </x:c>
      <x:c r="D1698" s="604" t="inlineStr">
        <x:is>
          <x:t xml:space="preserve"/>
        </x:is>
      </x:c>
      <x:c r="E1698" s="604" t="inlineStr">
        <x:is>
          <x:t xml:space="preserve">德戊</x:t>
        </x:is>
      </x:c>
      <x:c r="F1698" s="604" t="inlineStr">
        <x:is>
          <x:t xml:space="preserve">FC条顿05 vs 比尔斯特茨瓦克</x:t>
        </x:is>
      </x:c>
      <x:c r="G1698" s="604" t="n">
        <x:v>0.99</x:v>
      </x:c>
      <x:c r="H1698" s="604" t="n">
        <x:v>0</x:v>
      </x:c>
      <x:c r="I1698" s="604" t="n">
        <x:v>0.6899999999999999</x:v>
      </x:c>
      <x:c r="J1698" s="604" t="inlineStr">
        <x:is>
          <x:t xml:space="preserve">0.99/0.0/0.69</x:t>
        </x:is>
      </x:c>
      <x:c r="K1698" s="604" t="inlineStr">
        <x:is>
          <x:t xml:space="preserve">V4-N</x:t>
        </x:is>
      </x:c>
      <x:c r="L1698" s="604" t="inlineStr">
        <x:is>
          <x:t xml:space="preserve"/>
        </x:is>
      </x:c>
      <x:c r="M1698" s="604" t="n"/>
      <x:c r="N1698" s="604" t="inlineStr">
        <x:is>
          <x:t xml:space="preserve">V4 Shadow Only；real_money=false</x:t>
        </x:is>
      </x:c>
      <x:c r="O1698" s="604" t="inlineStr">
        <x:is>
          <x:t xml:space="preserve">0-0</x:t>
        </x:is>
      </x:c>
      <x:c r="P1698" s="604" t="inlineStr">
        <x:is>
          <x:t xml:space="preserve">NEUTRAL</x:t>
        </x:is>
      </x:c>
      <x:c r="Q1698" s="630" t="inlineStr">
        <x:is>
          <x:t xml:space="preserve"/>
        </x:is>
      </x:c>
      <x:c r="R1698" s="604" t="n"/>
      <x:c r="S1698" s="604" t="n"/>
      <x:c r="T1698" s="604" t="inlineStr">
        <x:is>
          <x:t xml:space="preserve">D:\codex\v3_legacy\outputs\football_odds_trader\raw\titan007\20261009\20261009_085232_titan007_odds_snapshot.csv</x:t>
        </x:is>
      </x:c>
      <x:c r="U1698" s="628" t="inlineStr">
        <x:is>
          <x:t xml:space="preserve"/>
        </x:is>
      </x:c>
      <x:c r="V1698" s="604" t="inlineStr">
        <x:is>
          <x:t xml:space="preserve"/>
        </x:is>
      </x:c>
      <x:c r="W1698" s="604" t="inlineStr">
        <x:is>
          <x:t xml:space="preserve"/>
        </x:is>
      </x:c>
      <x:c r="X1698" s="604" t="inlineStr">
        <x:is>
          <x:t xml:space="preserve">3098049</x:t>
        </x:is>
      </x:c>
      <x:c r="Y1698" s="604" t="inlineStr">
        <x:is>
          <x:t xml:space="preserve">V4</x:t>
        </x:is>
      </x:c>
      <x:c r="Z1698" s="604" t="inlineStr">
        <x:is>
          <x:t xml:space="preserve">prior-2026-10-09-v1</x:t>
        </x:is>
      </x:c>
      <x:c r="AA1698" s="604" t="inlineStr">
        <x:is>
          <x:t xml:space="preserve">N</x:t>
        </x:is>
      </x:c>
      <x:c r="AB1698" s="604" t="n"/>
      <x:c r="AC1698" s="604" t="n"/>
      <x:c r="AD1698" s="604" t="n"/>
      <x:c r="AE1698" s="604" t="n"/>
      <x:c r="AF1698" s="604" t="n"/>
      <x:c r="AG1698" s="604" t="n"/>
      <x:c r="AH1698" s="604" t="n"/>
      <x:c r="AI1698" s="604" t="n"/>
      <x:c r="AJ1698" s="604" t="n"/>
      <x:c r="AK1698" s="604" t="n"/>
      <x:c r="AL1698" s="604" t="n"/>
      <x:c r="AM1698" s="604" t="n"/>
      <x:c r="AN1698" s="604" t="inlineStr">
        <x:is>
          <x:t xml:space="preserve">NEUTRAL</x:t>
        </x:is>
      </x:c>
      <x:c r="AO1698" s="604" t="inlineStr">
        <x:is>
          <x:t xml:space="preserve">PK_NO_GIVING_RECEIVING_IDENTITY</x:t>
        </x:is>
      </x:c>
      <x:c r="AP1698" s="604" t="inlineStr">
        <x:is>
          <x:t xml:space="preserve">db6e2033a05cad0fbf38</x:t>
        </x:is>
      </x:c>
      <x:c r="AQ1698" s="604" t="n"/>
      <x:c r="AR1698" s="604" t="n"/>
      <x:c r="AS1698" s="604" t="n"/>
      <x:c r="AT1698" s="604" t="n"/>
      <x:c r="AU1698" s="604" t="n"/>
      <x:c r="AV1698" s="604" t="n"/>
      <x:c r="AW1698" s="604" t="inlineStr">
        <x:is>
          <x:t xml:space="preserve">2026-10-09T09:01:21.127001+08:00</x:t>
        </x:is>
      </x:c>
      <x:c r="AX1698" s="604" t="inlineStr">
        <x:is>
          <x:t xml:space="preserve">Titan007/V4</x:t>
        </x:is>
      </x:c>
      <x:c r="AY1698" s="604" t="inlineStr">
        <x:is>
          <x:t xml:space="preserve">Daily append；市场输入缺失时不生成决策</x:t>
        </x:is>
      </x:c>
    </x:row>
    <x:row r="1699" ht="22" customHeight="1">
      <x:c r="A1699" s="604" t="inlineStr">
        <x:is>
          <x:t xml:space="preserve">2026-10-09</x:t>
        </x:is>
      </x:c>
      <x:c r="B1699" s="604" t="inlineStr">
        <x:is>
          <x:t xml:space="preserve">2026-10-10T01:00:00+08:00</x:t>
        </x:is>
      </x:c>
      <x:c r="C1699" s="604" t="str">
        <x:v>欧洲非五大系列</x:v>
      </x:c>
      <x:c r="D1699" s="604" t="inlineStr">
        <x:is>
          <x:t xml:space="preserve"/>
        </x:is>
      </x:c>
      <x:c r="E1699" s="604" t="inlineStr">
        <x:is>
          <x:t xml:space="preserve">波兰丙</x:t>
        </x:is>
      </x:c>
      <x:c r="F1699" s="604" t="inlineStr">
        <x:is>
          <x:t xml:space="preserve">谢拉玆 vs 苏瓦乌基</x:t>
        </x:is>
      </x:c>
      <x:c r="G1699" s="604" t="n">
        <x:v>0.78</x:v>
      </x:c>
      <x:c r="H1699" s="604" t="n">
        <x:v>-0.25</x:v>
      </x:c>
      <x:c r="I1699" s="604" t="n">
        <x:v>1.03</x:v>
      </x:c>
      <x:c r="J1699" s="604" t="inlineStr">
        <x:is>
          <x:t xml:space="preserve">0.78/-0.25/1.03</x:t>
        </x:is>
      </x:c>
      <x:c r="K1699" s="604" t="inlineStr">
        <x:is>
          <x:t xml:space="preserve">V4-N</x:t>
        </x:is>
      </x:c>
      <x:c r="L1699" s="604" t="inlineStr">
        <x:is>
          <x:t xml:space="preserve"/>
        </x:is>
      </x:c>
      <x:c r="M1699" s="604" t="n">
        <x:v>0.3042124321860411</x:v>
      </x:c>
      <x:c r="N1699" s="604" t="inlineStr">
        <x:is>
          <x:t xml:space="preserve">V4 Shadow Only；real_money=false</x:t>
        </x:is>
      </x:c>
      <x:c r="O1699" s="604" t="inlineStr">
        <x:is>
          <x:t xml:space="preserve">0-0</x:t>
        </x:is>
      </x:c>
      <x:c r="P1699" s="604" t="inlineStr">
        <x:is>
          <x:t xml:space="preserve">EVALUATED</x:t>
        </x:is>
      </x:c>
      <x:c r="Q1699" s="630" t="inlineStr">
        <x:is>
          <x:t xml:space="preserve"/>
        </x:is>
      </x:c>
      <x:c r="R1699" s="604" t="n"/>
      <x:c r="S1699" s="604" t="n"/>
      <x:c r="T1699" s="604" t="inlineStr">
        <x:is>
          <x:t xml:space="preserve">D:\codex\v3_legacy\outputs\football_odds_trader\raw\titan007\20261009\20261009_085232_titan007_odds_snapshot.csv</x:t>
        </x:is>
      </x:c>
      <x:c r="U1699" s="628" t="inlineStr">
        <x:is>
          <x:t xml:space="preserve"/>
        </x:is>
      </x:c>
      <x:c r="V1699" s="604" t="inlineStr">
        <x:is>
          <x:t xml:space="preserve"/>
        </x:is>
      </x:c>
      <x:c r="W1699" s="604" t="inlineStr">
        <x:is>
          <x:t xml:space="preserve"/>
        </x:is>
      </x:c>
      <x:c r="X1699" s="604" t="inlineStr">
        <x:is>
          <x:t xml:space="preserve">3098050</x:t>
        </x:is>
      </x:c>
      <x:c r="Y1699" s="604" t="inlineStr">
        <x:is>
          <x:t xml:space="preserve">V4</x:t>
        </x:is>
      </x:c>
      <x:c r="Z1699" s="604" t="inlineStr">
        <x:is>
          <x:t xml:space="preserve">prior-2026-10-09-v1</x:t>
        </x:is>
      </x:c>
      <x:c r="AA1699" s="604" t="inlineStr">
        <x:is>
          <x:t xml:space="preserve">N</x:t>
        </x:is>
      </x:c>
      <x:c r="AB1699" s="604" t="n">
        <x:v>0.3042124321860411</x:v>
      </x:c>
      <x:c r="AC1699" s="604" t="n">
        <x:v>0.565803817901019</x:v>
      </x:c>
      <x:c r="AD1699" s="604" t="n">
        <x:v>-0.25</x:v>
      </x:c>
      <x:c r="AE1699" s="604" t="n"/>
      <x:c r="AF1699" s="604" t="n"/>
      <x:c r="AG1699" s="604" t="n">
        <x:v>0.1371145457767537</x:v>
      </x:c>
      <x:c r="AH1699" s="604" t="n"/>
      <x:c r="AI1699" s="604" t="n"/>
      <x:c r="AJ1699" s="604" t="n">
        <x:v>0.1371145457767537</x:v>
      </x:c>
      <x:c r="AK1699" s="604" t="n"/>
      <x:c r="AL1699" s="604" t="n"/>
      <x:c r="AM1699" s="604" t="n"/>
      <x:c r="AN1699" s="604" t="inlineStr">
        <x:is>
          <x:t xml:space="preserve">EVALUATED</x:t>
        </x:is>
      </x:c>
      <x:c r="AO1699" s="604" t="inlineStr">
        <x:is>
          <x:t xml:space="preserve">LOW_QUALITY_GATE;BUCKET_PRIOR_ONLY;INTENT_INTERPRETATION_ONLY;FFL_OPTIONAL;EXPERT_MARKET</x:t>
        </x:is>
      </x:c>
      <x:c r="AP1699" s="604" t="inlineStr">
        <x:is>
          <x:t xml:space="preserve">a2db1369b278ed2e5022</x:t>
        </x:is>
      </x:c>
      <x:c r="AQ1699" s="604" t="n"/>
      <x:c r="AR1699" s="604" t="n"/>
      <x:c r="AS1699" s="604" t="n">
        <x:v>-0.25</x:v>
      </x:c>
      <x:c r="AT1699" s="604" t="n">
        <x:v>0.25</x:v>
      </x:c>
      <x:c r="AU1699" s="604" t="n">
        <x:v>0.78</x:v>
      </x:c>
      <x:c r="AV1699" s="604" t="n">
        <x:v>1.03</x:v>
      </x:c>
      <x:c r="AW1699" s="604" t="inlineStr">
        <x:is>
          <x:t xml:space="preserve">2026-10-09T09:01:21.127001+08:00</x:t>
        </x:is>
      </x:c>
      <x:c r="AX1699" s="604" t="inlineStr">
        <x:is>
          <x:t xml:space="preserve">Titan007/V4</x:t>
        </x:is>
      </x:c>
      <x:c r="AY1699" s="604" t="inlineStr">
        <x:is>
          <x:t xml:space="preserve">Daily append；市场输入缺失时不生成决策</x:t>
        </x:is>
      </x:c>
    </x:row>
    <x:row r="1700" ht="22" customHeight="1">
      <x:c r="A1700" s="604" t="inlineStr">
        <x:is>
          <x:t xml:space="preserve">2026-10-09</x:t>
        </x:is>
      </x:c>
      <x:c r="B1700" s="604" t="inlineStr">
        <x:is>
          <x:t xml:space="preserve">2026-10-10T01:00:00+08:00</x:t>
        </x:is>
      </x:c>
      <x:c r="C1700" s="604" t="str">
        <x:v>欧洲非五大系列</x:v>
      </x:c>
      <x:c r="D1700" s="604" t="inlineStr">
        <x:is>
          <x:t xml:space="preserve"/>
        </x:is>
      </x:c>
      <x:c r="E1700" s="604" t="inlineStr">
        <x:is>
          <x:t xml:space="preserve">波兰丙</x:t>
        </x:is>
      </x:c>
      <x:c r="F1700" s="604" t="inlineStr">
        <x:is>
          <x:t xml:space="preserve">KS波罗尼亚 vs 克鲁切维亚</x:t>
        </x:is>
      </x:c>
      <x:c r="G1700" s="604" t="n">
        <x:v>0.88</x:v>
      </x:c>
      <x:c r="H1700" s="604" t="n">
        <x:v>0.75</x:v>
      </x:c>
      <x:c r="I1700" s="604" t="n">
        <x:v>0.93</x:v>
      </x:c>
      <x:c r="J1700" s="604" t="inlineStr">
        <x:is>
          <x:t xml:space="preserve">0.88/0.75/0.93</x:t>
        </x:is>
      </x:c>
      <x:c r="K1700" s="604" t="inlineStr">
        <x:is>
          <x:t xml:space="preserve">V4-N</x:t>
        </x:is>
      </x:c>
      <x:c r="L1700" s="604" t="inlineStr">
        <x:is>
          <x:t xml:space="preserve"/>
        </x:is>
      </x:c>
      <x:c r="M1700" s="604" t="n">
        <x:v>0.4984572849092522</x:v>
      </x:c>
      <x:c r="N1700" s="604" t="inlineStr">
        <x:is>
          <x:t xml:space="preserve">V4 Shadow Only；real_money=false</x:t>
        </x:is>
      </x:c>
      <x:c r="O1700" s="604" t="inlineStr">
        <x:is>
          <x:t xml:space="preserve">0-0</x:t>
        </x:is>
      </x:c>
      <x:c r="P1700" s="604" t="inlineStr">
        <x:is>
          <x:t xml:space="preserve">EVALUATED</x:t>
        </x:is>
      </x:c>
      <x:c r="Q1700" s="630" t="inlineStr">
        <x:is>
          <x:t xml:space="preserve"/>
        </x:is>
      </x:c>
      <x:c r="R1700" s="604" t="n"/>
      <x:c r="S1700" s="604" t="n"/>
      <x:c r="T1700" s="604" t="inlineStr">
        <x:is>
          <x:t xml:space="preserve">D:\codex\v3_legacy\outputs\football_odds_trader\raw\titan007\20261009\20261009_085232_titan007_odds_snapshot.csv</x:t>
        </x:is>
      </x:c>
      <x:c r="U1700" s="628" t="inlineStr">
        <x:is>
          <x:t xml:space="preserve"/>
        </x:is>
      </x:c>
      <x:c r="V1700" s="604" t="inlineStr">
        <x:is>
          <x:t xml:space="preserve"/>
        </x:is>
      </x:c>
      <x:c r="W1700" s="604" t="inlineStr">
        <x:is>
          <x:t xml:space="preserve"/>
        </x:is>
      </x:c>
      <x:c r="X1700" s="604" t="inlineStr">
        <x:is>
          <x:t xml:space="preserve">3098051</x:t>
        </x:is>
      </x:c>
      <x:c r="Y1700" s="604" t="inlineStr">
        <x:is>
          <x:t xml:space="preserve">V4</x:t>
        </x:is>
      </x:c>
      <x:c r="Z1700" s="604" t="inlineStr">
        <x:is>
          <x:t xml:space="preserve">prior-2026-10-09-v1</x:t>
        </x:is>
      </x:c>
      <x:c r="AA1700" s="604" t="inlineStr">
        <x:is>
          <x:t xml:space="preserve">N</x:t>
        </x:is>
      </x:c>
      <x:c r="AB1700" s="604" t="n">
        <x:v>0.4984572849092522</x:v>
      </x:c>
      <x:c r="AC1700" s="604" t="n">
        <x:v>0.3741873612537252</x:v>
      </x:c>
      <x:c r="AD1700" s="604" t="n">
        <x:v>1</x:v>
      </x:c>
      <x:c r="AE1700" s="604" t="n"/>
      <x:c r="AF1700" s="604" t="n"/>
      <x:c r="AG1700" s="604" t="n">
        <x:v>0.06445504946641673</x:v>
      </x:c>
      <x:c r="AH1700" s="604" t="n"/>
      <x:c r="AI1700" s="604" t="n"/>
      <x:c r="AJ1700" s="604" t="n">
        <x:v>0.06445504946641673</x:v>
      </x:c>
      <x:c r="AK1700" s="604" t="n"/>
      <x:c r="AL1700" s="604" t="n"/>
      <x:c r="AM1700" s="604" t="n"/>
      <x:c r="AN1700" s="604" t="inlineStr">
        <x:is>
          <x:t xml:space="preserve">EVALUATED</x:t>
        </x:is>
      </x:c>
      <x:c r="AO1700" s="604" t="inlineStr">
        <x:is>
          <x:t xml:space="preserve">LOW_QUALITY_GATE;BUCKET_PRIOR_ONLY;INTENT_INTERPRETATION_ONLY;FFL_OPTIONAL;EXPERT_MARKET</x:t>
        </x:is>
      </x:c>
      <x:c r="AP1700" s="604" t="inlineStr">
        <x:is>
          <x:t xml:space="preserve">9936ccddc247504bb000</x:t>
        </x:is>
      </x:c>
      <x:c r="AQ1700" s="604" t="n"/>
      <x:c r="AR1700" s="604" t="n"/>
      <x:c r="AS1700" s="604" t="n">
        <x:v>0.75</x:v>
      </x:c>
      <x:c r="AT1700" s="604" t="n">
        <x:v>-0.75</x:v>
      </x:c>
      <x:c r="AU1700" s="604" t="n">
        <x:v>0.88</x:v>
      </x:c>
      <x:c r="AV1700" s="604" t="n">
        <x:v>0.93</x:v>
      </x:c>
      <x:c r="AW1700" s="604" t="inlineStr">
        <x:is>
          <x:t xml:space="preserve">2026-10-09T09:01:21.127001+08:00</x:t>
        </x:is>
      </x:c>
      <x:c r="AX1700" s="604" t="inlineStr">
        <x:is>
          <x:t xml:space="preserve">Titan007/V4</x:t>
        </x:is>
      </x:c>
      <x:c r="AY1700" s="604" t="inlineStr">
        <x:is>
          <x:t xml:space="preserve">Daily append；市场输入缺失时不生成决策</x:t>
        </x:is>
      </x:c>
    </x:row>
    <x:row r="1701" ht="22" customHeight="1">
      <x:c r="A1701" s="604" t="inlineStr">
        <x:is>
          <x:t xml:space="preserve">2026-10-09</x:t>
        </x:is>
      </x:c>
      <x:c r="B1701" s="604" t="inlineStr">
        <x:is>
          <x:t xml:space="preserve">2026-10-10T00:00:00+08:00</x:t>
        </x:is>
      </x:c>
      <x:c r="C1701" s="604" t="str">
        <x:v>欧洲非五大系列</x:v>
      </x:c>
      <x:c r="D1701" s="604" t="inlineStr">
        <x:is>
          <x:t xml:space="preserve"/>
        </x:is>
      </x:c>
      <x:c r="E1701" s="604" t="inlineStr">
        <x:is>
          <x:t xml:space="preserve">波兰丙</x:t>
        </x:is>
      </x:c>
      <x:c r="F1701" s="604" t="inlineStr">
        <x:is>
          <x:t xml:space="preserve">托伦 vs 弗洛塔</x:t>
        </x:is>
      </x:c>
      <x:c r="G1701" s="604" t="n">
        <x:v>0.85</x:v>
      </x:c>
      <x:c r="H1701" s="604" t="n">
        <x:v>0</x:v>
      </x:c>
      <x:c r="I1701" s="604" t="n">
        <x:v>0.95</x:v>
      </x:c>
      <x:c r="J1701" s="604" t="inlineStr">
        <x:is>
          <x:t xml:space="preserve">0.85/0.0/0.95</x:t>
        </x:is>
      </x:c>
      <x:c r="K1701" s="604" t="inlineStr">
        <x:is>
          <x:t xml:space="preserve">V4-N</x:t>
        </x:is>
      </x:c>
      <x:c r="L1701" s="604" t="inlineStr">
        <x:is>
          <x:t xml:space="preserve"/>
        </x:is>
      </x:c>
      <x:c r="M1701" s="604" t="n"/>
      <x:c r="N1701" s="604" t="inlineStr">
        <x:is>
          <x:t xml:space="preserve">V4 Shadow Only；real_money=false</x:t>
        </x:is>
      </x:c>
      <x:c r="O1701" s="604" t="inlineStr">
        <x:is>
          <x:t xml:space="preserve">0-0</x:t>
        </x:is>
      </x:c>
      <x:c r="P1701" s="604" t="inlineStr">
        <x:is>
          <x:t xml:space="preserve">NEUTRAL</x:t>
        </x:is>
      </x:c>
      <x:c r="Q1701" s="630" t="inlineStr">
        <x:is>
          <x:t xml:space="preserve"/>
        </x:is>
      </x:c>
      <x:c r="R1701" s="604" t="n"/>
      <x:c r="S1701" s="604" t="n"/>
      <x:c r="T1701" s="604" t="inlineStr">
        <x:is>
          <x:t xml:space="preserve">D:\codex\v3_legacy\outputs\football_odds_trader\raw\titan007\20261009\20261009_085232_titan007_odds_snapshot.csv</x:t>
        </x:is>
      </x:c>
      <x:c r="U1701" s="628" t="inlineStr">
        <x:is>
          <x:t xml:space="preserve"/>
        </x:is>
      </x:c>
      <x:c r="V1701" s="604" t="inlineStr">
        <x:is>
          <x:t xml:space="preserve"/>
        </x:is>
      </x:c>
      <x:c r="W1701" s="604" t="inlineStr">
        <x:is>
          <x:t xml:space="preserve"/>
        </x:is>
      </x:c>
      <x:c r="X1701" s="604" t="inlineStr">
        <x:is>
          <x:t xml:space="preserve">3098052</x:t>
        </x:is>
      </x:c>
      <x:c r="Y1701" s="604" t="inlineStr">
        <x:is>
          <x:t xml:space="preserve">V4</x:t>
        </x:is>
      </x:c>
      <x:c r="Z1701" s="604" t="inlineStr">
        <x:is>
          <x:t xml:space="preserve">prior-2026-10-09-v1</x:t>
        </x:is>
      </x:c>
      <x:c r="AA1701" s="604" t="inlineStr">
        <x:is>
          <x:t xml:space="preserve">N</x:t>
        </x:is>
      </x:c>
      <x:c r="AB1701" s="604" t="n"/>
      <x:c r="AC1701" s="604" t="n"/>
      <x:c r="AD1701" s="604" t="n"/>
      <x:c r="AE1701" s="604" t="n"/>
      <x:c r="AF1701" s="604" t="n"/>
      <x:c r="AG1701" s="604" t="n"/>
      <x:c r="AH1701" s="604" t="n"/>
      <x:c r="AI1701" s="604" t="n"/>
      <x:c r="AJ1701" s="604" t="n"/>
      <x:c r="AK1701" s="604" t="n"/>
      <x:c r="AL1701" s="604" t="n"/>
      <x:c r="AM1701" s="604" t="n"/>
      <x:c r="AN1701" s="604" t="inlineStr">
        <x:is>
          <x:t xml:space="preserve">NEUTRAL</x:t>
        </x:is>
      </x:c>
      <x:c r="AO1701" s="604" t="inlineStr">
        <x:is>
          <x:t xml:space="preserve">PK_NO_GIVING_RECEIVING_IDENTITY</x:t>
        </x:is>
      </x:c>
      <x:c r="AP1701" s="604" t="inlineStr">
        <x:is>
          <x:t xml:space="preserve">3e77f191be8a848d1066</x:t>
        </x:is>
      </x:c>
      <x:c r="AQ1701" s="604" t="n"/>
      <x:c r="AR1701" s="604" t="n"/>
      <x:c r="AS1701" s="604" t="n"/>
      <x:c r="AT1701" s="604" t="n"/>
      <x:c r="AU1701" s="604" t="n"/>
      <x:c r="AV1701" s="604" t="n"/>
      <x:c r="AW1701" s="604" t="inlineStr">
        <x:is>
          <x:t xml:space="preserve">2026-10-09T09:01:21.127001+08:00</x:t>
        </x:is>
      </x:c>
      <x:c r="AX1701" s="604" t="inlineStr">
        <x:is>
          <x:t xml:space="preserve">Titan007/V4</x:t>
        </x:is>
      </x:c>
      <x:c r="AY1701" s="604" t="inlineStr">
        <x:is>
          <x:t xml:space="preserve">Daily append；市场输入缺失时不生成决策</x:t>
        </x:is>
      </x:c>
    </x:row>
    <x:row r="1702" ht="22" customHeight="1">
      <x:c r="A1702" s="604" t="inlineStr">
        <x:is>
          <x:t xml:space="preserve">2026-10-09</x:t>
        </x:is>
      </x:c>
      <x:c r="B1702" s="604" t="inlineStr">
        <x:is>
          <x:t xml:space="preserve">2026-10-09T21:30:00+08:00</x:t>
        </x:is>
      </x:c>
      <x:c r="C1702" s="604" t="str">
        <x:v>欧洲非五大系列</x:v>
      </x:c>
      <x:c r="D1702" s="604" t="inlineStr">
        <x:is>
          <x:t xml:space="preserve"/>
        </x:is>
      </x:c>
      <x:c r="E1702" s="604" t="inlineStr">
        <x:is>
          <x:t xml:space="preserve">波兰丙</x:t>
        </x:is>
      </x:c>
      <x:c r="F1702" s="604" t="inlineStr">
        <x:is>
          <x:t xml:space="preserve">包尔科维切 vs GKP戈茹夫</x:t>
        </x:is>
      </x:c>
      <x:c r="G1702" s="604" t="n">
        <x:v>0.8</x:v>
      </x:c>
      <x:c r="H1702" s="604" t="n">
        <x:v>0.75</x:v>
      </x:c>
      <x:c r="I1702" s="604" t="n">
        <x:v>1</x:v>
      </x:c>
      <x:c r="J1702" s="604" t="inlineStr">
        <x:is>
          <x:t xml:space="preserve">0.8/0.75/1.0</x:t>
        </x:is>
      </x:c>
      <x:c r="K1702" s="604" t="inlineStr">
        <x:is>
          <x:t xml:space="preserve">V4-N</x:t>
        </x:is>
      </x:c>
      <x:c r="L1702" s="604" t="inlineStr">
        <x:is>
          <x:t xml:space="preserve"/>
        </x:is>
      </x:c>
      <x:c r="M1702" s="604" t="n">
        <x:v>0.5128110177571004</x:v>
      </x:c>
      <x:c r="N1702" s="604" t="inlineStr">
        <x:is>
          <x:t xml:space="preserve">V4 Shadow Only；real_money=false</x:t>
        </x:is>
      </x:c>
      <x:c r="O1702" s="604" t="inlineStr">
        <x:is>
          <x:t xml:space="preserve">0-0</x:t>
        </x:is>
      </x:c>
      <x:c r="P1702" s="604" t="inlineStr">
        <x:is>
          <x:t xml:space="preserve">EVALUATED</x:t>
        </x:is>
      </x:c>
      <x:c r="Q1702" s="630" t="inlineStr">
        <x:is>
          <x:t xml:space="preserve"/>
        </x:is>
      </x:c>
      <x:c r="R1702" s="604" t="n"/>
      <x:c r="S1702" s="604" t="n"/>
      <x:c r="T1702" s="604" t="inlineStr">
        <x:is>
          <x:t xml:space="preserve">D:\codex\v3_legacy\outputs\football_odds_trader\raw\titan007\20261009\20261009_085232_titan007_odds_snapshot.csv</x:t>
        </x:is>
      </x:c>
      <x:c r="U1702" s="628" t="inlineStr">
        <x:is>
          <x:t xml:space="preserve"/>
        </x:is>
      </x:c>
      <x:c r="V1702" s="604" t="inlineStr">
        <x:is>
          <x:t xml:space="preserve"/>
        </x:is>
      </x:c>
      <x:c r="W1702" s="604" t="inlineStr">
        <x:is>
          <x:t xml:space="preserve"/>
        </x:is>
      </x:c>
      <x:c r="X1702" s="604" t="inlineStr">
        <x:is>
          <x:t xml:space="preserve">3098053</x:t>
        </x:is>
      </x:c>
      <x:c r="Y1702" s="604" t="inlineStr">
        <x:is>
          <x:t xml:space="preserve">V4</x:t>
        </x:is>
      </x:c>
      <x:c r="Z1702" s="604" t="inlineStr">
        <x:is>
          <x:t xml:space="preserve">prior-2026-10-09-v1</x:t>
        </x:is>
      </x:c>
      <x:c r="AA1702" s="604" t="inlineStr">
        <x:is>
          <x:t xml:space="preserve">N</x:t>
        </x:is>
      </x:c>
      <x:c r="AB1702" s="604" t="n">
        <x:v>0.5128110177571004</x:v>
      </x:c>
      <x:c r="AC1702" s="604" t="n">
        <x:v>0.3593769610270303</x:v>
      </x:c>
      <x:c r="AD1702" s="604" t="n">
        <x:v>1.25</x:v>
      </x:c>
      <x:c r="AE1702" s="604" t="n"/>
      <x:c r="AF1702" s="604" t="n"/>
      <x:c r="AG1702" s="604" t="n">
        <x:v>0.05087185317865006</x:v>
      </x:c>
      <x:c r="AH1702" s="604" t="n"/>
      <x:c r="AI1702" s="604" t="n"/>
      <x:c r="AJ1702" s="604" t="n">
        <x:v>0.05087185317865006</x:v>
      </x:c>
      <x:c r="AK1702" s="604" t="n"/>
      <x:c r="AL1702" s="604" t="n"/>
      <x:c r="AM1702" s="604" t="n"/>
      <x:c r="AN1702" s="604" t="inlineStr">
        <x:is>
          <x:t xml:space="preserve">EVALUATED</x:t>
        </x:is>
      </x:c>
      <x:c r="AO1702" s="604" t="inlineStr">
        <x:is>
          <x:t xml:space="preserve">EDGE_BELOW_UNCERTAINTY_THRESHOLD;BUCKET_PRIOR_ONLY;INTENT_INTERPRETATION_ONLY;FFL_OPTIONAL;EXPERT_MARKET</x:t>
        </x:is>
      </x:c>
      <x:c r="AP1702" s="604" t="inlineStr">
        <x:is>
          <x:t xml:space="preserve">b8eec58c86ab426decfb</x:t>
        </x:is>
      </x:c>
      <x:c r="AQ1702" s="604" t="n"/>
      <x:c r="AR1702" s="604" t="n"/>
      <x:c r="AS1702" s="604" t="n">
        <x:v>0.75</x:v>
      </x:c>
      <x:c r="AT1702" s="604" t="n">
        <x:v>-0.75</x:v>
      </x:c>
      <x:c r="AU1702" s="604" t="n">
        <x:v>0.8</x:v>
      </x:c>
      <x:c r="AV1702" s="604" t="n">
        <x:v>1</x:v>
      </x:c>
      <x:c r="AW1702" s="604" t="inlineStr">
        <x:is>
          <x:t xml:space="preserve">2026-10-09T09:01:21.127001+08:00</x:t>
        </x:is>
      </x:c>
      <x:c r="AX1702" s="604" t="inlineStr">
        <x:is>
          <x:t xml:space="preserve">Titan007/V4</x:t>
        </x:is>
      </x:c>
      <x:c r="AY1702" s="604" t="inlineStr">
        <x:is>
          <x:t xml:space="preserve">Daily append；市场输入缺失时不生成决策</x:t>
        </x:is>
      </x:c>
    </x:row>
    <x:row r="1703" ht="22" customHeight="1">
      <x:c r="A1703" s="604" t="inlineStr">
        <x:is>
          <x:t xml:space="preserve">2026-10-09</x:t>
        </x:is>
      </x:c>
      <x:c r="B1703" s="604" t="inlineStr">
        <x:is>
          <x:t xml:space="preserve">2026-10-10T00:30:00+08:00</x:t>
        </x:is>
      </x:c>
      <x:c r="C1703" s="604" t="str">
        <x:v>欧洲非五大系列</x:v>
      </x:c>
      <x:c r="D1703" s="604" t="inlineStr">
        <x:is>
          <x:t xml:space="preserve"/>
        </x:is>
      </x:c>
      <x:c r="E1703" s="604" t="inlineStr">
        <x:is>
          <x:t xml:space="preserve">波兰丙</x:t>
        </x:is>
      </x:c>
      <x:c r="F1703" s="604" t="inlineStr">
        <x:is>
          <x:t xml:space="preserve">MKS李曼欧 vs 斯亚卡</x:t>
        </x:is>
      </x:c>
      <x:c r="G1703" s="604" t="n">
        <x:v>0.9</x:v>
      </x:c>
      <x:c r="H1703" s="604" t="n">
        <x:v>0.75</x:v>
      </x:c>
      <x:c r="I1703" s="604" t="n">
        <x:v>0.9</x:v>
      </x:c>
      <x:c r="J1703" s="604" t="inlineStr">
        <x:is>
          <x:t xml:space="preserve">0.9/0.75/0.9</x:t>
        </x:is>
      </x:c>
      <x:c r="K1703" s="604" t="inlineStr">
        <x:is>
          <x:t xml:space="preserve">V4-N</x:t>
        </x:is>
      </x:c>
      <x:c r="L1703" s="604" t="inlineStr">
        <x:is>
          <x:t xml:space="preserve"/>
        </x:is>
      </x:c>
      <x:c r="M1703" s="604" t="n">
        <x:v>0.4694592111989179</x:v>
      </x:c>
      <x:c r="N1703" s="604" t="inlineStr">
        <x:is>
          <x:t xml:space="preserve">V4 Shadow Only；real_money=false</x:t>
        </x:is>
      </x:c>
      <x:c r="O1703" s="604" t="inlineStr">
        <x:is>
          <x:t xml:space="preserve">0-0</x:t>
        </x:is>
      </x:c>
      <x:c r="P1703" s="604" t="inlineStr">
        <x:is>
          <x:t xml:space="preserve">EVALUATED</x:t>
        </x:is>
      </x:c>
      <x:c r="Q1703" s="630" t="inlineStr">
        <x:is>
          <x:t xml:space="preserve"/>
        </x:is>
      </x:c>
      <x:c r="R1703" s="604" t="n"/>
      <x:c r="S1703" s="604" t="n"/>
      <x:c r="T1703" s="604" t="inlineStr">
        <x:is>
          <x:t xml:space="preserve">D:\codex\v3_legacy\outputs\football_odds_trader\raw\titan007\20261009\20261009_085232_titan007_odds_snapshot.csv</x:t>
        </x:is>
      </x:c>
      <x:c r="U1703" s="628" t="inlineStr">
        <x:is>
          <x:t xml:space="preserve"/>
        </x:is>
      </x:c>
      <x:c r="V1703" s="604" t="inlineStr">
        <x:is>
          <x:t xml:space="preserve"/>
        </x:is>
      </x:c>
      <x:c r="W1703" s="604" t="inlineStr">
        <x:is>
          <x:t xml:space="preserve"/>
        </x:is>
      </x:c>
      <x:c r="X1703" s="604" t="inlineStr">
        <x:is>
          <x:t xml:space="preserve">3098054</x:t>
        </x:is>
      </x:c>
      <x:c r="Y1703" s="604" t="inlineStr">
        <x:is>
          <x:t xml:space="preserve">V4</x:t>
        </x:is>
      </x:c>
      <x:c r="Z1703" s="604" t="inlineStr">
        <x:is>
          <x:t xml:space="preserve">prior-2026-10-09-v1</x:t>
        </x:is>
      </x:c>
      <x:c r="AA1703" s="604" t="inlineStr">
        <x:is>
          <x:t xml:space="preserve">N</x:t>
        </x:is>
      </x:c>
      <x:c r="AB1703" s="604" t="n">
        <x:v>0.4694592111989179</x:v>
      </x:c>
      <x:c r="AC1703" s="604" t="n">
        <x:v>0.403890133581887</x:v>
      </x:c>
      <x:c r="AD1703" s="604" t="n">
        <x:v>1</x:v>
      </x:c>
      <x:c r="AE1703" s="604" t="n"/>
      <x:c r="AF1703" s="604" t="n"/>
      <x:c r="AG1703" s="604" t="n">
        <x:v>0.01862315649713914</x:v>
      </x:c>
      <x:c r="AH1703" s="604" t="n"/>
      <x:c r="AI1703" s="604" t="n"/>
      <x:c r="AJ1703" s="604" t="n">
        <x:v>0.01862315649713914</x:v>
      </x:c>
      <x:c r="AK1703" s="604" t="n"/>
      <x:c r="AL1703" s="604" t="n"/>
      <x:c r="AM1703" s="604" t="n"/>
      <x:c r="AN1703" s="604" t="inlineStr">
        <x:is>
          <x:t xml:space="preserve">EVALUATED</x:t>
        </x:is>
      </x:c>
      <x:c r="AO1703" s="604" t="inlineStr">
        <x:is>
          <x:t xml:space="preserve">EDGE_BELOW_UNCERTAINTY_THRESHOLD;BUCKET_PRIOR_ONLY;INTENT_INTERPRETATION_ONLY;FFL_OPTIONAL;EXPERT_MARKET</x:t>
        </x:is>
      </x:c>
      <x:c r="AP1703" s="604" t="inlineStr">
        <x:is>
          <x:t xml:space="preserve">e0e6cb44d7f5eda941a6</x:t>
        </x:is>
      </x:c>
      <x:c r="AQ1703" s="604" t="n"/>
      <x:c r="AR1703" s="604" t="n"/>
      <x:c r="AS1703" s="604" t="n">
        <x:v>0.75</x:v>
      </x:c>
      <x:c r="AT1703" s="604" t="n">
        <x:v>-0.75</x:v>
      </x:c>
      <x:c r="AU1703" s="604" t="n">
        <x:v>0.9</x:v>
      </x:c>
      <x:c r="AV1703" s="604" t="n">
        <x:v>0.9</x:v>
      </x:c>
      <x:c r="AW1703" s="604" t="inlineStr">
        <x:is>
          <x:t xml:space="preserve">2026-10-09T09:01:21.127001+08:00</x:t>
        </x:is>
      </x:c>
      <x:c r="AX1703" s="604" t="inlineStr">
        <x:is>
          <x:t xml:space="preserve">Titan007/V4</x:t>
        </x:is>
      </x:c>
      <x:c r="AY1703" s="604" t="inlineStr">
        <x:is>
          <x:t xml:space="preserve">Daily append；市场输入缺失时不生成决策</x:t>
        </x:is>
      </x:c>
    </x:row>
    <x:row r="1704" ht="22" customHeight="1">
      <x:c r="A1704" s="604" t="inlineStr">
        <x:is>
          <x:t xml:space="preserve">2026-10-09</x:t>
        </x:is>
      </x:c>
      <x:c r="B1704" s="604" t="inlineStr">
        <x:is>
          <x:t xml:space="preserve">2026-10-10T02:00:00+08:00</x:t>
        </x:is>
      </x:c>
      <x:c r="C1704" s="604" t="str">
        <x:v>五大联赛非顶级联赛</x:v>
      </x:c>
      <x:c r="D1704" s="604" t="inlineStr">
        <x:is>
          <x:t xml:space="preserve"/>
        </x:is>
      </x:c>
      <x:c r="E1704" s="604" t="inlineStr">
        <x:is>
          <x:t xml:space="preserve">德戊</x:t>
        </x:is>
      </x:c>
      <x:c r="F1704" s="604" t="inlineStr">
        <x:is>
          <x:t xml:space="preserve">什未林梅克伦堡 vs 罗斯托克B队</x:t>
        </x:is>
      </x:c>
      <x:c r="G1704" s="604" t="n"/>
      <x:c r="H1704" s="604" t="n"/>
      <x:c r="I1704" s="604" t="n"/>
      <x:c r="J1704" s="604" t="inlineStr">
        <x:is>
          <x:t xml:space="preserve">//</x:t>
        </x:is>
      </x:c>
      <x:c r="K1704" s="604" t="inlineStr">
        <x:is>
          <x:t xml:space="preserve">V4不可用：市场输入缺失</x:t>
        </x:is>
      </x:c>
      <x:c r="L1704" s="604" t="inlineStr">
        <x:is>
          <x:t xml:space="preserve"/>
        </x:is>
      </x:c>
      <x:c r="M1704" s="604" t="n"/>
      <x:c r="N1704" s="604" t="inlineStr">
        <x:is>
          <x:t xml:space="preserve">V4 Shadow Only；real_money=false</x:t>
        </x:is>
      </x:c>
      <x:c r="O1704" s="604" t="inlineStr">
        <x:is>
          <x:t xml:space="preserve">0-0</x:t>
        </x:is>
      </x:c>
      <x:c r="P1704" s="604" t="inlineStr">
        <x:is>
          <x:t xml:space="preserve">MISSING_DATA</x:t>
        </x:is>
      </x:c>
      <x:c r="Q1704" s="630" t="inlineStr">
        <x:is>
          <x:t xml:space="preserve"/>
        </x:is>
      </x:c>
      <x:c r="R1704" s="604" t="n"/>
      <x:c r="S1704" s="604" t="n"/>
      <x:c r="T1704" s="604" t="inlineStr">
        <x:is>
          <x:t xml:space="preserve">D:\codex\v3_legacy\outputs\football_odds_trader\raw\titan007\20261009\20261009_085232_titan007_odds_snapshot.csv</x:t>
        </x:is>
      </x:c>
      <x:c r="U1704" s="628" t="inlineStr">
        <x:is>
          <x:t xml:space="preserve"/>
        </x:is>
      </x:c>
      <x:c r="V1704" s="604" t="inlineStr">
        <x:is>
          <x:t xml:space="preserve"/>
        </x:is>
      </x:c>
      <x:c r="W1704" s="604" t="inlineStr">
        <x:is>
          <x:t xml:space="preserve"/>
        </x:is>
      </x:c>
      <x:c r="X1704" s="604" t="inlineStr">
        <x:is>
          <x:t xml:space="preserve">3098055</x:t>
        </x:is>
      </x:c>
      <x:c r="Y1704" s="604" t="inlineStr">
        <x:is>
          <x:t xml:space="preserve">V4</x:t>
        </x:is>
      </x:c>
      <x:c r="Z1704" s="604" t="inlineStr">
        <x:is>
          <x:t xml:space="preserve">prior-2026-10-09-v1</x:t>
        </x:is>
      </x:c>
      <x:c r="AA1704" s="604" t="inlineStr">
        <x:is>
          <x:t xml:space="preserve"/>
        </x:is>
      </x:c>
      <x:c r="AB1704" s="604" t="n"/>
      <x:c r="AC1704" s="604" t="n"/>
      <x:c r="AD1704" s="604" t="n"/>
      <x:c r="AE1704" s="604" t="n"/>
      <x:c r="AF1704" s="604" t="n"/>
      <x:c r="AG1704" s="604" t="n"/>
      <x:c r="AH1704" s="604" t="n"/>
      <x:c r="AI1704" s="604" t="n"/>
      <x:c r="AJ1704" s="604" t="n"/>
      <x:c r="AK1704" s="604" t="n"/>
      <x:c r="AL1704" s="604" t="n"/>
      <x:c r="AM1704" s="604" t="n"/>
      <x:c r="AN1704" s="604" t="inlineStr">
        <x:is>
          <x:t xml:space="preserve">MISSING_DATA</x:t>
        </x:is>
      </x:c>
      <x:c r="AO1704" s="604" t="inlineStr">
        <x:is>
          <x:t xml:space="preserve">REQUIRED_MARKET_INPUT_MISSING</x:t>
        </x:is>
      </x:c>
      <x:c r="AP1704" s="604" t="inlineStr">
        <x:is>
          <x:t xml:space="preserve">c7d9bbf252e4ed20161c</x:t>
        </x:is>
      </x:c>
      <x:c r="AQ1704" s="604" t="n"/>
      <x:c r="AR1704" s="604" t="n"/>
      <x:c r="AS1704" s="604" t="n"/>
      <x:c r="AT1704" s="604" t="n"/>
      <x:c r="AU1704" s="604" t="n"/>
      <x:c r="AV1704" s="604" t="n"/>
      <x:c r="AW1704" s="604" t="inlineStr">
        <x:is>
          <x:t xml:space="preserve">2026-10-09T09:01:21.127001+08:00</x:t>
        </x:is>
      </x:c>
      <x:c r="AX1704" s="604" t="inlineStr">
        <x:is>
          <x:t xml:space="preserve">Titan007/V4</x:t>
        </x:is>
      </x:c>
      <x:c r="AY1704" s="604" t="inlineStr">
        <x:is>
          <x:t xml:space="preserve">Daily append；市场输入缺失时不生成决策</x:t>
        </x:is>
      </x:c>
    </x:row>
    <x:row r="1705" ht="22" customHeight="1">
      <x:c r="A1705" s="604" t="inlineStr">
        <x:is>
          <x:t xml:space="preserve">2026-10-09</x:t>
        </x:is>
      </x:c>
      <x:c r="B1705" s="604" t="inlineStr">
        <x:is>
          <x:t xml:space="preserve">2026-10-10T01:00:00+08:00</x:t>
        </x:is>
      </x:c>
      <x:c r="C1705" s="604" t="str">
        <x:v>五大联赛非顶级联赛</x:v>
      </x:c>
      <x:c r="D1705" s="604" t="inlineStr">
        <x:is>
          <x:t xml:space="preserve"/>
        </x:is>
      </x:c>
      <x:c r="E1705" s="604" t="inlineStr">
        <x:is>
          <x:t xml:space="preserve">德戊</x:t>
        </x:is>
      </x:c>
      <x:c r="F1705" s="604" t="inlineStr">
        <x:is>
          <x:t xml:space="preserve">巴林根 vs 霍尔扎森</x:t>
        </x:is>
      </x:c>
      <x:c r="G1705" s="604" t="n">
        <x:v>0.74</x:v>
      </x:c>
      <x:c r="H1705" s="604" t="n">
        <x:v>0</x:v>
      </x:c>
      <x:c r="I1705" s="604" t="n">
        <x:v>0.93</x:v>
      </x:c>
      <x:c r="J1705" s="604" t="inlineStr">
        <x:is>
          <x:t xml:space="preserve">0.74/0.0/0.93</x:t>
        </x:is>
      </x:c>
      <x:c r="K1705" s="604" t="inlineStr">
        <x:is>
          <x:t xml:space="preserve">V4-N</x:t>
        </x:is>
      </x:c>
      <x:c r="L1705" s="604" t="inlineStr">
        <x:is>
          <x:t xml:space="preserve"/>
        </x:is>
      </x:c>
      <x:c r="M1705" s="604" t="n"/>
      <x:c r="N1705" s="604" t="inlineStr">
        <x:is>
          <x:t xml:space="preserve">V4 Shadow Only；real_money=false</x:t>
        </x:is>
      </x:c>
      <x:c r="O1705" s="604" t="inlineStr">
        <x:is>
          <x:t xml:space="preserve">0-0</x:t>
        </x:is>
      </x:c>
      <x:c r="P1705" s="604" t="inlineStr">
        <x:is>
          <x:t xml:space="preserve">NEUTRAL</x:t>
        </x:is>
      </x:c>
      <x:c r="Q1705" s="630" t="inlineStr">
        <x:is>
          <x:t xml:space="preserve"/>
        </x:is>
      </x:c>
      <x:c r="R1705" s="604" t="n"/>
      <x:c r="S1705" s="604" t="n"/>
      <x:c r="T1705" s="604" t="inlineStr">
        <x:is>
          <x:t xml:space="preserve">D:\codex\v3_legacy\outputs\football_odds_trader\raw\titan007\20261009\20261009_085232_titan007_odds_snapshot.csv</x:t>
        </x:is>
      </x:c>
      <x:c r="U1705" s="628" t="inlineStr">
        <x:is>
          <x:t xml:space="preserve"/>
        </x:is>
      </x:c>
      <x:c r="V1705" s="604" t="inlineStr">
        <x:is>
          <x:t xml:space="preserve"/>
        </x:is>
      </x:c>
      <x:c r="W1705" s="604" t="inlineStr">
        <x:is>
          <x:t xml:space="preserve"/>
        </x:is>
      </x:c>
      <x:c r="X1705" s="604" t="inlineStr">
        <x:is>
          <x:t xml:space="preserve">3098056</x:t>
        </x:is>
      </x:c>
      <x:c r="Y1705" s="604" t="inlineStr">
        <x:is>
          <x:t xml:space="preserve">V4</x:t>
        </x:is>
      </x:c>
      <x:c r="Z1705" s="604" t="inlineStr">
        <x:is>
          <x:t xml:space="preserve">prior-2026-10-09-v1</x:t>
        </x:is>
      </x:c>
      <x:c r="AA1705" s="604" t="inlineStr">
        <x:is>
          <x:t xml:space="preserve">N</x:t>
        </x:is>
      </x:c>
      <x:c r="AB1705" s="604" t="n"/>
      <x:c r="AC1705" s="604" t="n"/>
      <x:c r="AD1705" s="604" t="n"/>
      <x:c r="AE1705" s="604" t="n"/>
      <x:c r="AF1705" s="604" t="n"/>
      <x:c r="AG1705" s="604" t="n"/>
      <x:c r="AH1705" s="604" t="n"/>
      <x:c r="AI1705" s="604" t="n"/>
      <x:c r="AJ1705" s="604" t="n"/>
      <x:c r="AK1705" s="604" t="n"/>
      <x:c r="AL1705" s="604" t="n"/>
      <x:c r="AM1705" s="604" t="n"/>
      <x:c r="AN1705" s="604" t="inlineStr">
        <x:is>
          <x:t xml:space="preserve">NEUTRAL</x:t>
        </x:is>
      </x:c>
      <x:c r="AO1705" s="604" t="inlineStr">
        <x:is>
          <x:t xml:space="preserve">PK_NO_GIVING_RECEIVING_IDENTITY</x:t>
        </x:is>
      </x:c>
      <x:c r="AP1705" s="604" t="inlineStr">
        <x:is>
          <x:t xml:space="preserve">7b228bc17930c7421251</x:t>
        </x:is>
      </x:c>
      <x:c r="AQ1705" s="604" t="n"/>
      <x:c r="AR1705" s="604" t="n"/>
      <x:c r="AS1705" s="604" t="n"/>
      <x:c r="AT1705" s="604" t="n"/>
      <x:c r="AU1705" s="604" t="n"/>
      <x:c r="AV1705" s="604" t="n"/>
      <x:c r="AW1705" s="604" t="inlineStr">
        <x:is>
          <x:t xml:space="preserve">2026-10-09T09:01:21.127001+08:00</x:t>
        </x:is>
      </x:c>
      <x:c r="AX1705" s="604" t="inlineStr">
        <x:is>
          <x:t xml:space="preserve">Titan007/V4</x:t>
        </x:is>
      </x:c>
      <x:c r="AY1705" s="604" t="inlineStr">
        <x:is>
          <x:t xml:space="preserve">Daily append；市场输入缺失时不生成决策</x:t>
        </x:is>
      </x:c>
    </x:row>
    <x:row r="1706" ht="22" customHeight="1">
      <x:c r="A1706" s="604" t="inlineStr">
        <x:is>
          <x:t xml:space="preserve">2026-10-09</x:t>
        </x:is>
      </x:c>
      <x:c r="B1706" s="604" t="inlineStr">
        <x:is>
          <x:t xml:space="preserve">2026-10-10T01:30:00+08:00</x:t>
        </x:is>
      </x:c>
      <x:c r="C1706" s="604" t="str">
        <x:v>五大联赛非顶级联赛</x:v>
      </x:c>
      <x:c r="D1706" s="604" t="inlineStr">
        <x:is>
          <x:t xml:space="preserve"/>
        </x:is>
      </x:c>
      <x:c r="E1706" s="604" t="inlineStr">
        <x:is>
          <x:t xml:space="preserve">德戊</x:t>
        </x:is>
      </x:c>
      <x:c r="F1706" s="604" t="inlineStr">
        <x:is>
          <x:t xml:space="preserve">航林SC vs 德罗赫特森阿塞尔B队</x:t>
        </x:is>
      </x:c>
      <x:c r="G1706" s="604" t="n">
        <x:v>1.16</x:v>
      </x:c>
      <x:c r="H1706" s="604" t="n">
        <x:v>2.5</x:v>
      </x:c>
      <x:c r="I1706" s="604" t="n">
        <x:v>0.59</x:v>
      </x:c>
      <x:c r="J1706" s="604" t="inlineStr">
        <x:is>
          <x:t xml:space="preserve">1.16/2.5/0.59</x:t>
        </x:is>
      </x:c>
      <x:c r="K1706" s="604" t="inlineStr">
        <x:is>
          <x:t xml:space="preserve">V4不可用：市场输入缺失</x:t>
        </x:is>
      </x:c>
      <x:c r="L1706" s="604" t="inlineStr">
        <x:is>
          <x:t xml:space="preserve"/>
        </x:is>
      </x:c>
      <x:c r="M1706" s="604" t="n"/>
      <x:c r="N1706" s="604" t="inlineStr">
        <x:is>
          <x:t xml:space="preserve">V4 Shadow Only；real_money=false</x:t>
        </x:is>
      </x:c>
      <x:c r="O1706" s="604" t="inlineStr">
        <x:is>
          <x:t xml:space="preserve">0-0</x:t>
        </x:is>
      </x:c>
      <x:c r="P1706" s="604" t="inlineStr">
        <x:is>
          <x:t xml:space="preserve">MISSING_DATA</x:t>
        </x:is>
      </x:c>
      <x:c r="Q1706" s="630" t="inlineStr">
        <x:is>
          <x:t xml:space="preserve"/>
        </x:is>
      </x:c>
      <x:c r="R1706" s="604" t="n"/>
      <x:c r="S1706" s="604" t="n"/>
      <x:c r="T1706" s="604" t="inlineStr">
        <x:is>
          <x:t xml:space="preserve">D:\codex\v3_legacy\outputs\football_odds_trader\raw\titan007\20261009\20261009_085232_titan007_odds_snapshot.csv</x:t>
        </x:is>
      </x:c>
      <x:c r="U1706" s="628" t="inlineStr">
        <x:is>
          <x:t xml:space="preserve"/>
        </x:is>
      </x:c>
      <x:c r="V1706" s="604" t="inlineStr">
        <x:is>
          <x:t xml:space="preserve"/>
        </x:is>
      </x:c>
      <x:c r="W1706" s="604" t="inlineStr">
        <x:is>
          <x:t xml:space="preserve"/>
        </x:is>
      </x:c>
      <x:c r="X1706" s="604" t="inlineStr">
        <x:is>
          <x:t xml:space="preserve">3098057</x:t>
        </x:is>
      </x:c>
      <x:c r="Y1706" s="604" t="inlineStr">
        <x:is>
          <x:t xml:space="preserve">V4</x:t>
        </x:is>
      </x:c>
      <x:c r="Z1706" s="604" t="inlineStr">
        <x:is>
          <x:t xml:space="preserve">prior-2026-10-09-v1</x:t>
        </x:is>
      </x:c>
      <x:c r="AA1706" s="604" t="inlineStr">
        <x:is>
          <x:t xml:space="preserve"/>
        </x:is>
      </x:c>
      <x:c r="AB1706" s="604" t="n"/>
      <x:c r="AC1706" s="604" t="n"/>
      <x:c r="AD1706" s="604" t="n"/>
      <x:c r="AE1706" s="604" t="n"/>
      <x:c r="AF1706" s="604" t="n"/>
      <x:c r="AG1706" s="604" t="n"/>
      <x:c r="AH1706" s="604" t="n"/>
      <x:c r="AI1706" s="604" t="n"/>
      <x:c r="AJ1706" s="604" t="n"/>
      <x:c r="AK1706" s="604" t="n"/>
      <x:c r="AL1706" s="604" t="n"/>
      <x:c r="AM1706" s="604" t="n"/>
      <x:c r="AN1706" s="604" t="inlineStr">
        <x:is>
          <x:t xml:space="preserve">MISSING_DATA</x:t>
        </x:is>
      </x:c>
      <x:c r="AO1706" s="604" t="inlineStr">
        <x:is>
          <x:t xml:space="preserve">REQUIRED_MARKET_INPUT_MISSING</x:t>
        </x:is>
      </x:c>
      <x:c r="AP1706" s="604" t="inlineStr">
        <x:is>
          <x:t xml:space="preserve">46c2117a8899fda1cf67</x:t>
        </x:is>
      </x:c>
      <x:c r="AQ1706" s="604" t="n"/>
      <x:c r="AR1706" s="604" t="n"/>
      <x:c r="AS1706" s="604" t="n"/>
      <x:c r="AT1706" s="604" t="n"/>
      <x:c r="AU1706" s="604" t="n"/>
      <x:c r="AV1706" s="604" t="n"/>
      <x:c r="AW1706" s="604" t="inlineStr">
        <x:is>
          <x:t xml:space="preserve">2026-10-09T09:01:21.127001+08:00</x:t>
        </x:is>
      </x:c>
      <x:c r="AX1706" s="604" t="inlineStr">
        <x:is>
          <x:t xml:space="preserve">Titan007/V4</x:t>
        </x:is>
      </x:c>
      <x:c r="AY1706" s="604" t="inlineStr">
        <x:is>
          <x:t xml:space="preserve">Daily append；市场输入缺失时不生成决策</x:t>
        </x:is>
      </x:c>
    </x:row>
    <x:row r="1707" ht="22" customHeight="1">
      <x:c r="A1707" s="604" t="inlineStr">
        <x:is>
          <x:t xml:space="preserve">2026-10-09</x:t>
        </x:is>
      </x:c>
      <x:c r="B1707" s="604" t="inlineStr">
        <x:is>
          <x:t xml:space="preserve">2026-10-10T02:00:00+08:00</x:t>
        </x:is>
      </x:c>
      <x:c r="C1707" s="604" t="str">
        <x:v>五大联赛非顶级联赛</x:v>
      </x:c>
      <x:c r="D1707" s="604" t="inlineStr">
        <x:is>
          <x:t xml:space="preserve"/>
        </x:is>
      </x:c>
      <x:c r="E1707" s="604" t="inlineStr">
        <x:is>
          <x:t xml:space="preserve">德戊</x:t>
        </x:is>
      </x:c>
      <x:c r="F1707" s="604" t="inlineStr">
        <x:is>
          <x:t xml:space="preserve">TUS贝尔森布吕克 vs 前进诺德霍恩</x:t>
        </x:is>
      </x:c>
      <x:c r="G1707" s="604" t="n">
        <x:v>0.7</x:v>
      </x:c>
      <x:c r="H1707" s="604" t="n">
        <x:v>0</x:v>
      </x:c>
      <x:c r="I1707" s="604" t="n">
        <x:v>0.98</x:v>
      </x:c>
      <x:c r="J1707" s="604" t="inlineStr">
        <x:is>
          <x:t xml:space="preserve">0.7/0.0/0.98</x:t>
        </x:is>
      </x:c>
      <x:c r="K1707" s="604" t="inlineStr">
        <x:is>
          <x:t xml:space="preserve">V4-N</x:t>
        </x:is>
      </x:c>
      <x:c r="L1707" s="604" t="inlineStr">
        <x:is>
          <x:t xml:space="preserve"/>
        </x:is>
      </x:c>
      <x:c r="M1707" s="604" t="n"/>
      <x:c r="N1707" s="604" t="inlineStr">
        <x:is>
          <x:t xml:space="preserve">V4 Shadow Only；real_money=false</x:t>
        </x:is>
      </x:c>
      <x:c r="O1707" s="604" t="inlineStr">
        <x:is>
          <x:t xml:space="preserve">0-0</x:t>
        </x:is>
      </x:c>
      <x:c r="P1707" s="604" t="inlineStr">
        <x:is>
          <x:t xml:space="preserve">NEUTRAL</x:t>
        </x:is>
      </x:c>
      <x:c r="Q1707" s="630" t="inlineStr">
        <x:is>
          <x:t xml:space="preserve"/>
        </x:is>
      </x:c>
      <x:c r="R1707" s="604" t="n"/>
      <x:c r="S1707" s="604" t="n"/>
      <x:c r="T1707" s="604" t="inlineStr">
        <x:is>
          <x:t xml:space="preserve">D:\codex\v3_legacy\outputs\football_odds_trader\raw\titan007\20261009\20261009_085232_titan007_odds_snapshot.csv</x:t>
        </x:is>
      </x:c>
      <x:c r="U1707" s="628" t="inlineStr">
        <x:is>
          <x:t xml:space="preserve"/>
        </x:is>
      </x:c>
      <x:c r="V1707" s="604" t="inlineStr">
        <x:is>
          <x:t xml:space="preserve"/>
        </x:is>
      </x:c>
      <x:c r="W1707" s="604" t="inlineStr">
        <x:is>
          <x:t xml:space="preserve"/>
        </x:is>
      </x:c>
      <x:c r="X1707" s="604" t="inlineStr">
        <x:is>
          <x:t xml:space="preserve">3098058</x:t>
        </x:is>
      </x:c>
      <x:c r="Y1707" s="604" t="inlineStr">
        <x:is>
          <x:t xml:space="preserve">V4</x:t>
        </x:is>
      </x:c>
      <x:c r="Z1707" s="604" t="inlineStr">
        <x:is>
          <x:t xml:space="preserve">prior-2026-10-09-v1</x:t>
        </x:is>
      </x:c>
      <x:c r="AA1707" s="604" t="inlineStr">
        <x:is>
          <x:t xml:space="preserve">N</x:t>
        </x:is>
      </x:c>
      <x:c r="AB1707" s="604" t="n"/>
      <x:c r="AC1707" s="604" t="n"/>
      <x:c r="AD1707" s="604" t="n"/>
      <x:c r="AE1707" s="604" t="n"/>
      <x:c r="AF1707" s="604" t="n"/>
      <x:c r="AG1707" s="604" t="n"/>
      <x:c r="AH1707" s="604" t="n"/>
      <x:c r="AI1707" s="604" t="n"/>
      <x:c r="AJ1707" s="604" t="n"/>
      <x:c r="AK1707" s="604" t="n"/>
      <x:c r="AL1707" s="604" t="n"/>
      <x:c r="AM1707" s="604" t="n"/>
      <x:c r="AN1707" s="604" t="inlineStr">
        <x:is>
          <x:t xml:space="preserve">NEUTRAL</x:t>
        </x:is>
      </x:c>
      <x:c r="AO1707" s="604" t="inlineStr">
        <x:is>
          <x:t xml:space="preserve">PK_NO_GIVING_RECEIVING_IDENTITY</x:t>
        </x:is>
      </x:c>
      <x:c r="AP1707" s="604" t="inlineStr">
        <x:is>
          <x:t xml:space="preserve">faa266fed17866bf2f6b</x:t>
        </x:is>
      </x:c>
      <x:c r="AQ1707" s="604" t="n"/>
      <x:c r="AR1707" s="604" t="n"/>
      <x:c r="AS1707" s="604" t="n"/>
      <x:c r="AT1707" s="604" t="n"/>
      <x:c r="AU1707" s="604" t="n"/>
      <x:c r="AV1707" s="604" t="n"/>
      <x:c r="AW1707" s="604" t="inlineStr">
        <x:is>
          <x:t xml:space="preserve">2026-10-09T09:01:21.127001+08:00</x:t>
        </x:is>
      </x:c>
      <x:c r="AX1707" s="604" t="inlineStr">
        <x:is>
          <x:t xml:space="preserve">Titan007/V4</x:t>
        </x:is>
      </x:c>
      <x:c r="AY1707" s="604" t="inlineStr">
        <x:is>
          <x:t xml:space="preserve">Daily append；市场输入缺失时不生成决策</x:t>
        </x:is>
      </x:c>
    </x:row>
    <x:row r="1708" ht="22" customHeight="1">
      <x:c r="A1708" s="604" t="inlineStr">
        <x:is>
          <x:t xml:space="preserve">2026-10-09</x:t>
        </x:is>
      </x:c>
      <x:c r="B1708" s="604" t="inlineStr">
        <x:is>
          <x:t xml:space="preserve">2026-10-10T02:00:00+08:00</x:t>
        </x:is>
      </x:c>
      <x:c r="C1708" s="604" t="str">
        <x:v>五大联赛非顶级联赛</x:v>
      </x:c>
      <x:c r="D1708" s="604" t="inlineStr">
        <x:is>
          <x:t xml:space="preserve"/>
        </x:is>
      </x:c>
      <x:c r="E1708" s="604" t="inlineStr">
        <x:is>
          <x:t xml:space="preserve">德戊</x:t>
        </x:is>
      </x:c>
      <x:c r="F1708" s="604" t="inlineStr">
        <x:is>
          <x:t xml:space="preserve">威廉港 vs 托斯布劳韦斯洛恩</x:t>
        </x:is>
      </x:c>
      <x:c r="G1708" s="604" t="n">
        <x:v>0.58</x:v>
      </x:c>
      <x:c r="H1708" s="604" t="n">
        <x:v>0</x:v>
      </x:c>
      <x:c r="I1708" s="604" t="n">
        <x:v>1.18</x:v>
      </x:c>
      <x:c r="J1708" s="604" t="inlineStr">
        <x:is>
          <x:t xml:space="preserve">0.58/0.0/1.18</x:t>
        </x:is>
      </x:c>
      <x:c r="K1708" s="604" t="inlineStr">
        <x:is>
          <x:t xml:space="preserve">V4-N</x:t>
        </x:is>
      </x:c>
      <x:c r="L1708" s="604" t="inlineStr">
        <x:is>
          <x:t xml:space="preserve"/>
        </x:is>
      </x:c>
      <x:c r="M1708" s="604" t="n"/>
      <x:c r="N1708" s="604" t="inlineStr">
        <x:is>
          <x:t xml:space="preserve">V4 Shadow Only；real_money=false</x:t>
        </x:is>
      </x:c>
      <x:c r="O1708" s="604" t="inlineStr">
        <x:is>
          <x:t xml:space="preserve">0-0</x:t>
        </x:is>
      </x:c>
      <x:c r="P1708" s="604" t="inlineStr">
        <x:is>
          <x:t xml:space="preserve">NEUTRAL</x:t>
        </x:is>
      </x:c>
      <x:c r="Q1708" s="630" t="inlineStr">
        <x:is>
          <x:t xml:space="preserve"/>
        </x:is>
      </x:c>
      <x:c r="R1708" s="604" t="n"/>
      <x:c r="S1708" s="604" t="n"/>
      <x:c r="T1708" s="604" t="inlineStr">
        <x:is>
          <x:t xml:space="preserve">D:\codex\v3_legacy\outputs\football_odds_trader\raw\titan007\20261009\20261009_085232_titan007_odds_snapshot.csv</x:t>
        </x:is>
      </x:c>
      <x:c r="U1708" s="628" t="inlineStr">
        <x:is>
          <x:t xml:space="preserve"/>
        </x:is>
      </x:c>
      <x:c r="V1708" s="604" t="inlineStr">
        <x:is>
          <x:t xml:space="preserve"/>
        </x:is>
      </x:c>
      <x:c r="W1708" s="604" t="inlineStr">
        <x:is>
          <x:t xml:space="preserve"/>
        </x:is>
      </x:c>
      <x:c r="X1708" s="604" t="inlineStr">
        <x:is>
          <x:t xml:space="preserve">3098059</x:t>
        </x:is>
      </x:c>
      <x:c r="Y1708" s="604" t="inlineStr">
        <x:is>
          <x:t xml:space="preserve">V4</x:t>
        </x:is>
      </x:c>
      <x:c r="Z1708" s="604" t="inlineStr">
        <x:is>
          <x:t xml:space="preserve">prior-2026-10-09-v1</x:t>
        </x:is>
      </x:c>
      <x:c r="AA1708" s="604" t="inlineStr">
        <x:is>
          <x:t xml:space="preserve">N</x:t>
        </x:is>
      </x:c>
      <x:c r="AB1708" s="604" t="n"/>
      <x:c r="AC1708" s="604" t="n"/>
      <x:c r="AD1708" s="604" t="n"/>
      <x:c r="AE1708" s="604" t="n"/>
      <x:c r="AF1708" s="604" t="n"/>
      <x:c r="AG1708" s="604" t="n"/>
      <x:c r="AH1708" s="604" t="n"/>
      <x:c r="AI1708" s="604" t="n"/>
      <x:c r="AJ1708" s="604" t="n"/>
      <x:c r="AK1708" s="604" t="n"/>
      <x:c r="AL1708" s="604" t="n"/>
      <x:c r="AM1708" s="604" t="n"/>
      <x:c r="AN1708" s="604" t="inlineStr">
        <x:is>
          <x:t xml:space="preserve">NEUTRAL</x:t>
        </x:is>
      </x:c>
      <x:c r="AO1708" s="604" t="inlineStr">
        <x:is>
          <x:t xml:space="preserve">PK_NO_GIVING_RECEIVING_IDENTITY</x:t>
        </x:is>
      </x:c>
      <x:c r="AP1708" s="604" t="inlineStr">
        <x:is>
          <x:t xml:space="preserve">5150f827fb07ae74e3be</x:t>
        </x:is>
      </x:c>
      <x:c r="AQ1708" s="604" t="n"/>
      <x:c r="AR1708" s="604" t="n"/>
      <x:c r="AS1708" s="604" t="n"/>
      <x:c r="AT1708" s="604" t="n"/>
      <x:c r="AU1708" s="604" t="n"/>
      <x:c r="AV1708" s="604" t="n"/>
      <x:c r="AW1708" s="604" t="inlineStr">
        <x:is>
          <x:t xml:space="preserve">2026-10-09T09:01:21.127001+08:00</x:t>
        </x:is>
      </x:c>
      <x:c r="AX1708" s="604" t="inlineStr">
        <x:is>
          <x:t xml:space="preserve">Titan007/V4</x:t>
        </x:is>
      </x:c>
      <x:c r="AY1708" s="604" t="inlineStr">
        <x:is>
          <x:t xml:space="preserve">Daily append；市场输入缺失时不生成决策</x:t>
        </x:is>
      </x:c>
    </x:row>
    <x:row r="1709" ht="22" customHeight="1">
      <x:c r="A1709" s="604" t="inlineStr">
        <x:is>
          <x:t xml:space="preserve">2026-10-09</x:t>
        </x:is>
      </x:c>
      <x:c r="B1709" s="604" t="inlineStr">
        <x:is>
          <x:t xml:space="preserve">2026-10-09T23:00:00+08:00</x:t>
        </x:is>
      </x:c>
      <x:c r="C1709" s="604" t="str">
        <x:v>北美系列</x:v>
      </x:c>
      <x:c r="D1709" s="604" t="inlineStr">
        <x:is>
          <x:t xml:space="preserve"/>
        </x:is>
      </x:c>
      <x:c r="E1709" s="604" t="inlineStr">
        <x:is>
          <x:t xml:space="preserve">墨西U21</x:t>
        </x:is>
      </x:c>
      <x:c r="F1709" s="604" t="inlineStr">
        <x:is>
          <x:t xml:space="preserve">普埃布拉U21 vs 莱昂U21</x:t>
        </x:is>
      </x:c>
      <x:c r="G1709" s="604" t="n">
        <x:v>0.93</x:v>
      </x:c>
      <x:c r="H1709" s="604" t="n">
        <x:v>0</x:v>
      </x:c>
      <x:c r="I1709" s="604" t="n">
        <x:v>0.88</x:v>
      </x:c>
      <x:c r="J1709" s="604" t="inlineStr">
        <x:is>
          <x:t xml:space="preserve">0.93/0.0/0.88</x:t>
        </x:is>
      </x:c>
      <x:c r="K1709" s="604" t="inlineStr">
        <x:is>
          <x:t xml:space="preserve">V4-N</x:t>
        </x:is>
      </x:c>
      <x:c r="L1709" s="604" t="inlineStr">
        <x:is>
          <x:t xml:space="preserve"/>
        </x:is>
      </x:c>
      <x:c r="M1709" s="604" t="n"/>
      <x:c r="N1709" s="604" t="inlineStr">
        <x:is>
          <x:t xml:space="preserve">V4 Shadow Only；real_money=false</x:t>
        </x:is>
      </x:c>
      <x:c r="O1709" s="604" t="inlineStr">
        <x:is>
          <x:t xml:space="preserve">0-0</x:t>
        </x:is>
      </x:c>
      <x:c r="P1709" s="604" t="inlineStr">
        <x:is>
          <x:t xml:space="preserve">NEUTRAL</x:t>
        </x:is>
      </x:c>
      <x:c r="Q1709" s="630" t="inlineStr">
        <x:is>
          <x:t xml:space="preserve"/>
        </x:is>
      </x:c>
      <x:c r="R1709" s="604" t="n"/>
      <x:c r="S1709" s="604" t="n"/>
      <x:c r="T1709" s="604" t="inlineStr">
        <x:is>
          <x:t xml:space="preserve">D:\codex\v3_legacy\outputs\football_odds_trader\raw\titan007\20261009\20261009_085232_titan007_odds_snapshot.csv</x:t>
        </x:is>
      </x:c>
      <x:c r="U1709" s="628" t="inlineStr">
        <x:is>
          <x:t xml:space="preserve"/>
        </x:is>
      </x:c>
      <x:c r="V1709" s="604" t="inlineStr">
        <x:is>
          <x:t xml:space="preserve"/>
        </x:is>
      </x:c>
      <x:c r="W1709" s="604" t="inlineStr">
        <x:is>
          <x:t xml:space="preserve"/>
        </x:is>
      </x:c>
      <x:c r="X1709" s="604" t="inlineStr">
        <x:is>
          <x:t xml:space="preserve">3098060</x:t>
        </x:is>
      </x:c>
      <x:c r="Y1709" s="604" t="inlineStr">
        <x:is>
          <x:t xml:space="preserve">V4</x:t>
        </x:is>
      </x:c>
      <x:c r="Z1709" s="604" t="inlineStr">
        <x:is>
          <x:t xml:space="preserve">prior-2026-10-09-v1</x:t>
        </x:is>
      </x:c>
      <x:c r="AA1709" s="604" t="inlineStr">
        <x:is>
          <x:t xml:space="preserve">N</x:t>
        </x:is>
      </x:c>
      <x:c r="AB1709" s="604" t="n"/>
      <x:c r="AC1709" s="604" t="n"/>
      <x:c r="AD1709" s="604" t="n"/>
      <x:c r="AE1709" s="604" t="n"/>
      <x:c r="AF1709" s="604" t="n"/>
      <x:c r="AG1709" s="604" t="n"/>
      <x:c r="AH1709" s="604" t="n"/>
      <x:c r="AI1709" s="604" t="n"/>
      <x:c r="AJ1709" s="604" t="n"/>
      <x:c r="AK1709" s="604" t="n"/>
      <x:c r="AL1709" s="604" t="n"/>
      <x:c r="AM1709" s="604" t="n"/>
      <x:c r="AN1709" s="604" t="inlineStr">
        <x:is>
          <x:t xml:space="preserve">NEUTRAL</x:t>
        </x:is>
      </x:c>
      <x:c r="AO1709" s="604" t="inlineStr">
        <x:is>
          <x:t xml:space="preserve">PK_NO_GIVING_RECEIVING_IDENTITY</x:t>
        </x:is>
      </x:c>
      <x:c r="AP1709" s="604" t="inlineStr">
        <x:is>
          <x:t xml:space="preserve">3e1a4615e3d48dddb8fe</x:t>
        </x:is>
      </x:c>
      <x:c r="AQ1709" s="604" t="n"/>
      <x:c r="AR1709" s="604" t="n"/>
      <x:c r="AS1709" s="604" t="n"/>
      <x:c r="AT1709" s="604" t="n"/>
      <x:c r="AU1709" s="604" t="n"/>
      <x:c r="AV1709" s="604" t="n"/>
      <x:c r="AW1709" s="604" t="inlineStr">
        <x:is>
          <x:t xml:space="preserve">2026-10-09T09:01:21.127001+08:00</x:t>
        </x:is>
      </x:c>
      <x:c r="AX1709" s="604" t="inlineStr">
        <x:is>
          <x:t xml:space="preserve">Titan007/V4</x:t>
        </x:is>
      </x:c>
      <x:c r="AY1709" s="604" t="inlineStr">
        <x:is>
          <x:t xml:space="preserve">Daily append；市场输入缺失时不生成决策</x:t>
        </x:is>
      </x:c>
    </x:row>
    <x:row r="1710" ht="22" customHeight="1">
      <x:c r="A1710" s="604" t="inlineStr">
        <x:is>
          <x:t xml:space="preserve">2026-10-09</x:t>
        </x:is>
      </x:c>
      <x:c r="B1710" s="604" t="inlineStr">
        <x:is>
          <x:t xml:space="preserve">2026-10-09T23:00:00+08:00</x:t>
        </x:is>
      </x:c>
      <x:c r="C1710" s="604" t="str">
        <x:v>北美系列</x:v>
      </x:c>
      <x:c r="D1710" s="604" t="inlineStr">
        <x:is>
          <x:t xml:space="preserve"/>
        </x:is>
      </x:c>
      <x:c r="E1710" s="604" t="inlineStr">
        <x:is>
          <x:t xml:space="preserve">墨西U21</x:t>
        </x:is>
      </x:c>
      <x:c r="F1710" s="604" t="inlineStr">
        <x:is>
          <x:t xml:space="preserve">堤格雷斯UANL U21 vs 托卢卡U21</x:t>
        </x:is>
      </x:c>
      <x:c r="G1710" s="604" t="n"/>
      <x:c r="H1710" s="604" t="n"/>
      <x:c r="I1710" s="604" t="n"/>
      <x:c r="J1710" s="604" t="inlineStr">
        <x:is>
          <x:t xml:space="preserve">//</x:t>
        </x:is>
      </x:c>
      <x:c r="K1710" s="604" t="inlineStr">
        <x:is>
          <x:t xml:space="preserve">V4不可用：市场输入缺失</x:t>
        </x:is>
      </x:c>
      <x:c r="L1710" s="604" t="inlineStr">
        <x:is>
          <x:t xml:space="preserve"/>
        </x:is>
      </x:c>
      <x:c r="M1710" s="604" t="n"/>
      <x:c r="N1710" s="604" t="inlineStr">
        <x:is>
          <x:t xml:space="preserve">V4 Shadow Only；real_money=false</x:t>
        </x:is>
      </x:c>
      <x:c r="O1710" s="604" t="inlineStr">
        <x:is>
          <x:t xml:space="preserve">0-0</x:t>
        </x:is>
      </x:c>
      <x:c r="P1710" s="604" t="inlineStr">
        <x:is>
          <x:t xml:space="preserve">MISSING_DATA</x:t>
        </x:is>
      </x:c>
      <x:c r="Q1710" s="630" t="inlineStr">
        <x:is>
          <x:t xml:space="preserve"/>
        </x:is>
      </x:c>
      <x:c r="R1710" s="604" t="n"/>
      <x:c r="S1710" s="604" t="n"/>
      <x:c r="T1710" s="604" t="inlineStr">
        <x:is>
          <x:t xml:space="preserve">D:\codex\v3_legacy\outputs\football_odds_trader\raw\titan007\20261009\20261009_085232_titan007_odds_snapshot.csv</x:t>
        </x:is>
      </x:c>
      <x:c r="U1710" s="628" t="inlineStr">
        <x:is>
          <x:t xml:space="preserve"/>
        </x:is>
      </x:c>
      <x:c r="V1710" s="604" t="inlineStr">
        <x:is>
          <x:t xml:space="preserve"/>
        </x:is>
      </x:c>
      <x:c r="W1710" s="604" t="inlineStr">
        <x:is>
          <x:t xml:space="preserve"/>
        </x:is>
      </x:c>
      <x:c r="X1710" s="604" t="inlineStr">
        <x:is>
          <x:t xml:space="preserve">3098062</x:t>
        </x:is>
      </x:c>
      <x:c r="Y1710" s="604" t="inlineStr">
        <x:is>
          <x:t xml:space="preserve">V4</x:t>
        </x:is>
      </x:c>
      <x:c r="Z1710" s="604" t="inlineStr">
        <x:is>
          <x:t xml:space="preserve">prior-2026-10-09-v1</x:t>
        </x:is>
      </x:c>
      <x:c r="AA1710" s="604" t="inlineStr">
        <x:is>
          <x:t xml:space="preserve"/>
        </x:is>
      </x:c>
      <x:c r="AB1710" s="604" t="n"/>
      <x:c r="AC1710" s="604" t="n"/>
      <x:c r="AD1710" s="604" t="n"/>
      <x:c r="AE1710" s="604" t="n"/>
      <x:c r="AF1710" s="604" t="n"/>
      <x:c r="AG1710" s="604" t="n"/>
      <x:c r="AH1710" s="604" t="n"/>
      <x:c r="AI1710" s="604" t="n"/>
      <x:c r="AJ1710" s="604" t="n"/>
      <x:c r="AK1710" s="604" t="n"/>
      <x:c r="AL1710" s="604" t="n"/>
      <x:c r="AM1710" s="604" t="n"/>
      <x:c r="AN1710" s="604" t="inlineStr">
        <x:is>
          <x:t xml:space="preserve">MISSING_DATA</x:t>
        </x:is>
      </x:c>
      <x:c r="AO1710" s="604" t="inlineStr">
        <x:is>
          <x:t xml:space="preserve">REQUIRED_MARKET_INPUT_MISSING</x:t>
        </x:is>
      </x:c>
      <x:c r="AP1710" s="604" t="inlineStr">
        <x:is>
          <x:t xml:space="preserve">d07a4ac718807fdd621b</x:t>
        </x:is>
      </x:c>
      <x:c r="AQ1710" s="604" t="n"/>
      <x:c r="AR1710" s="604" t="n"/>
      <x:c r="AS1710" s="604" t="n"/>
      <x:c r="AT1710" s="604" t="n"/>
      <x:c r="AU1710" s="604" t="n"/>
      <x:c r="AV1710" s="604" t="n"/>
      <x:c r="AW1710" s="604" t="inlineStr">
        <x:is>
          <x:t xml:space="preserve">2026-10-09T09:01:21.127001+08:00</x:t>
        </x:is>
      </x:c>
      <x:c r="AX1710" s="604" t="inlineStr">
        <x:is>
          <x:t xml:space="preserve">Titan007/V4</x:t>
        </x:is>
      </x:c>
      <x:c r="AY1710" s="604" t="inlineStr">
        <x:is>
          <x:t xml:space="preserve">Daily append；市场输入缺失时不生成决策</x:t>
        </x:is>
      </x:c>
    </x:row>
    <x:row r="1711" ht="22" customHeight="1">
      <x:c r="A1711" s="604" t="inlineStr">
        <x:is>
          <x:t xml:space="preserve">2026-10-09</x:t>
        </x:is>
      </x:c>
      <x:c r="B1711" s="604" t="inlineStr">
        <x:is>
          <x:t xml:space="preserve">2026-10-10T01:30:00+08:00</x:t>
        </x:is>
      </x:c>
      <x:c r="C1711" s="604" t="str">
        <x:v>五大联赛非顶级联赛</x:v>
      </x:c>
      <x:c r="D1711" s="604" t="inlineStr">
        <x:is>
          <x:t xml:space="preserve"/>
        </x:is>
      </x:c>
      <x:c r="E1711" s="604" t="inlineStr">
        <x:is>
          <x:t xml:space="preserve">德戊</x:t>
        </x:is>
      </x:c>
      <x:c r="F1711" s="604" t="inlineStr">
        <x:is>
          <x:t xml:space="preserve">杜塞尔多夫业余队 vs 布德里奇</x:t>
        </x:is>
      </x:c>
      <x:c r="G1711" s="604" t="n">
        <x:v>1.08</x:v>
      </x:c>
      <x:c r="H1711" s="604" t="n">
        <x:v>1.5</x:v>
      </x:c>
      <x:c r="I1711" s="604" t="n">
        <x:v>0.64</x:v>
      </x:c>
      <x:c r="J1711" s="604" t="inlineStr">
        <x:is>
          <x:t xml:space="preserve">1.08/1.5/0.64</x:t>
        </x:is>
      </x:c>
      <x:c r="K1711" s="604" t="inlineStr">
        <x:is>
          <x:t xml:space="preserve">V4-N</x:t>
        </x:is>
      </x:c>
      <x:c r="L1711" s="604" t="inlineStr">
        <x:is>
          <x:t xml:space="preserve"/>
        </x:is>
      </x:c>
      <x:c r="M1711" s="604" t="n">
        <x:v>0.54018485183243</x:v>
      </x:c>
      <x:c r="N1711" s="604" t="inlineStr">
        <x:is>
          <x:t xml:space="preserve">V4 Shadow Only；real_money=false</x:t>
        </x:is>
      </x:c>
      <x:c r="O1711" s="604" t="inlineStr">
        <x:is>
          <x:t xml:space="preserve">0-0</x:t>
        </x:is>
      </x:c>
      <x:c r="P1711" s="604" t="inlineStr">
        <x:is>
          <x:t xml:space="preserve">EVALUATED</x:t>
        </x:is>
      </x:c>
      <x:c r="Q1711" s="630" t="inlineStr">
        <x:is>
          <x:t xml:space="preserve"/>
        </x:is>
      </x:c>
      <x:c r="R1711" s="604" t="n"/>
      <x:c r="S1711" s="604" t="n"/>
      <x:c r="T1711" s="604" t="inlineStr">
        <x:is>
          <x:t xml:space="preserve">D:\codex\v3_legacy\outputs\football_odds_trader\raw\titan007\20261009\20261009_085232_titan007_odds_snapshot.csv</x:t>
        </x:is>
      </x:c>
      <x:c r="U1711" s="628" t="inlineStr">
        <x:is>
          <x:t xml:space="preserve"/>
        </x:is>
      </x:c>
      <x:c r="V1711" s="604" t="inlineStr">
        <x:is>
          <x:t xml:space="preserve"/>
        </x:is>
      </x:c>
      <x:c r="W1711" s="604" t="inlineStr">
        <x:is>
          <x:t xml:space="preserve"/>
        </x:is>
      </x:c>
      <x:c r="X1711" s="604" t="inlineStr">
        <x:is>
          <x:t xml:space="preserve">3098063</x:t>
        </x:is>
      </x:c>
      <x:c r="Y1711" s="604" t="inlineStr">
        <x:is>
          <x:t xml:space="preserve">V4</x:t>
        </x:is>
      </x:c>
      <x:c r="Z1711" s="604" t="inlineStr">
        <x:is>
          <x:t xml:space="preserve">prior-2026-10-09-v1</x:t>
        </x:is>
      </x:c>
      <x:c r="AA1711" s="604" t="inlineStr">
        <x:is>
          <x:t xml:space="preserve">N</x:t>
        </x:is>
      </x:c>
      <x:c r="AB1711" s="604" t="n">
        <x:v>0.54018485183243</x:v>
      </x:c>
      <x:c r="AC1711" s="604" t="n">
        <x:v>0.45981514816757</x:v>
      </x:c>
      <x:c r="AD1711" s="604" t="n">
        <x:v>1.75</x:v>
      </x:c>
      <x:c r="AE1711" s="604" t="n"/>
      <x:c r="AF1711" s="604" t="n"/>
      <x:c r="AG1711" s="604" t="n">
        <x:v>0.1235844918114545</x:v>
      </x:c>
      <x:c r="AH1711" s="604" t="n"/>
      <x:c r="AI1711" s="604" t="n"/>
      <x:c r="AJ1711" s="604" t="n">
        <x:v>0.1235844918114545</x:v>
      </x:c>
      <x:c r="AK1711" s="604" t="n"/>
      <x:c r="AL1711" s="604" t="n"/>
      <x:c r="AM1711" s="604" t="n"/>
      <x:c r="AN1711" s="604" t="inlineStr">
        <x:is>
          <x:t xml:space="preserve">EVALUATED</x:t>
        </x:is>
      </x:c>
      <x:c r="AO1711" s="604" t="inlineStr">
        <x:is>
          <x:t xml:space="preserve">LOW_QUALITY_GATE;BUCKET_PRIOR_ONLY;INTENT_INTERPRETATION_ONLY;FFL_OPTIONAL;EXPERT_MARKET</x:t>
        </x:is>
      </x:c>
      <x:c r="AP1711" s="604" t="inlineStr">
        <x:is>
          <x:t xml:space="preserve">bf8316163ad307ba2a3b</x:t>
        </x:is>
      </x:c>
      <x:c r="AQ1711" s="604" t="n"/>
      <x:c r="AR1711" s="604" t="n"/>
      <x:c r="AS1711" s="604" t="n">
        <x:v>1.5</x:v>
      </x:c>
      <x:c r="AT1711" s="604" t="n">
        <x:v>-1.5</x:v>
      </x:c>
      <x:c r="AU1711" s="604" t="n">
        <x:v>1.08</x:v>
      </x:c>
      <x:c r="AV1711" s="604" t="n">
        <x:v>0.64</x:v>
      </x:c>
      <x:c r="AW1711" s="604" t="inlineStr">
        <x:is>
          <x:t xml:space="preserve">2026-10-09T09:01:21.127001+08:00</x:t>
        </x:is>
      </x:c>
      <x:c r="AX1711" s="604" t="inlineStr">
        <x:is>
          <x:t xml:space="preserve">Titan007/V4</x:t>
        </x:is>
      </x:c>
      <x:c r="AY1711" s="604" t="inlineStr">
        <x:is>
          <x:t xml:space="preserve">Daily append；市场输入缺失时不生成决策</x:t>
        </x:is>
      </x:c>
    </x:row>
    <x:row r="1712" ht="22" customHeight="1">
      <x:c r="A1712" s="604" t="inlineStr">
        <x:is>
          <x:t xml:space="preserve">2026-10-09</x:t>
        </x:is>
      </x:c>
      <x:c r="B1712" s="604" t="inlineStr">
        <x:is>
          <x:t xml:space="preserve">2026-10-10T01:30:00+08:00</x:t>
        </x:is>
      </x:c>
      <x:c r="C1712" s="604" t="str">
        <x:v>五大联赛非顶级联赛</x:v>
      </x:c>
      <x:c r="D1712" s="604" t="inlineStr">
        <x:is>
          <x:t xml:space="preserve"/>
        </x:is>
      </x:c>
      <x:c r="E1712" s="604" t="inlineStr">
        <x:is>
          <x:t xml:space="preserve">德戊</x:t>
        </x:is>
      </x:c>
      <x:c r="F1712" s="604" t="inlineStr">
        <x:is>
          <x:t xml:space="preserve">乌丁根05 vs 索林根瓦尔德</x:t>
        </x:is>
      </x:c>
      <x:c r="G1712" s="604" t="n">
        <x:v>0.37</x:v>
      </x:c>
      <x:c r="H1712" s="604" t="n">
        <x:v>0</x:v>
      </x:c>
      <x:c r="I1712" s="604" t="n">
        <x:v>1.77</x:v>
      </x:c>
      <x:c r="J1712" s="604" t="inlineStr">
        <x:is>
          <x:t xml:space="preserve">0.37/0.0/1.77</x:t>
        </x:is>
      </x:c>
      <x:c r="K1712" s="604" t="inlineStr">
        <x:is>
          <x:t xml:space="preserve">V4-N</x:t>
        </x:is>
      </x:c>
      <x:c r="L1712" s="604" t="inlineStr">
        <x:is>
          <x:t xml:space="preserve"/>
        </x:is>
      </x:c>
      <x:c r="M1712" s="604" t="n"/>
      <x:c r="N1712" s="604" t="inlineStr">
        <x:is>
          <x:t xml:space="preserve">V4 Shadow Only；real_money=false</x:t>
        </x:is>
      </x:c>
      <x:c r="O1712" s="604" t="inlineStr">
        <x:is>
          <x:t xml:space="preserve">0-0</x:t>
        </x:is>
      </x:c>
      <x:c r="P1712" s="604" t="inlineStr">
        <x:is>
          <x:t xml:space="preserve">NEUTRAL</x:t>
        </x:is>
      </x:c>
      <x:c r="Q1712" s="630" t="inlineStr">
        <x:is>
          <x:t xml:space="preserve"/>
        </x:is>
      </x:c>
      <x:c r="R1712" s="604" t="n"/>
      <x:c r="S1712" s="604" t="n"/>
      <x:c r="T1712" s="604" t="inlineStr">
        <x:is>
          <x:t xml:space="preserve">D:\codex\v3_legacy\outputs\football_odds_trader\raw\titan007\20261009\20261009_085232_titan007_odds_snapshot.csv</x:t>
        </x:is>
      </x:c>
      <x:c r="U1712" s="628" t="inlineStr">
        <x:is>
          <x:t xml:space="preserve"/>
        </x:is>
      </x:c>
      <x:c r="V1712" s="604" t="inlineStr">
        <x:is>
          <x:t xml:space="preserve"/>
        </x:is>
      </x:c>
      <x:c r="W1712" s="604" t="inlineStr">
        <x:is>
          <x:t xml:space="preserve"/>
        </x:is>
      </x:c>
      <x:c r="X1712" s="604" t="inlineStr">
        <x:is>
          <x:t xml:space="preserve">3098065</x:t>
        </x:is>
      </x:c>
      <x:c r="Y1712" s="604" t="inlineStr">
        <x:is>
          <x:t xml:space="preserve">V4</x:t>
        </x:is>
      </x:c>
      <x:c r="Z1712" s="604" t="inlineStr">
        <x:is>
          <x:t xml:space="preserve">prior-2026-10-09-v1</x:t>
        </x:is>
      </x:c>
      <x:c r="AA1712" s="604" t="inlineStr">
        <x:is>
          <x:t xml:space="preserve">N</x:t>
        </x:is>
      </x:c>
      <x:c r="AB1712" s="604" t="n"/>
      <x:c r="AC1712" s="604" t="n"/>
      <x:c r="AD1712" s="604" t="n"/>
      <x:c r="AE1712" s="604" t="n"/>
      <x:c r="AF1712" s="604" t="n"/>
      <x:c r="AG1712" s="604" t="n"/>
      <x:c r="AH1712" s="604" t="n"/>
      <x:c r="AI1712" s="604" t="n"/>
      <x:c r="AJ1712" s="604" t="n"/>
      <x:c r="AK1712" s="604" t="n"/>
      <x:c r="AL1712" s="604" t="n"/>
      <x:c r="AM1712" s="604" t="n"/>
      <x:c r="AN1712" s="604" t="inlineStr">
        <x:is>
          <x:t xml:space="preserve">NEUTRAL</x:t>
        </x:is>
      </x:c>
      <x:c r="AO1712" s="604" t="inlineStr">
        <x:is>
          <x:t xml:space="preserve">PK_NO_GIVING_RECEIVING_IDENTITY</x:t>
        </x:is>
      </x:c>
      <x:c r="AP1712" s="604" t="inlineStr">
        <x:is>
          <x:t xml:space="preserve">0cbab9fbfeeea1e2b3c8</x:t>
        </x:is>
      </x:c>
      <x:c r="AQ1712" s="604" t="n"/>
      <x:c r="AR1712" s="604" t="n"/>
      <x:c r="AS1712" s="604" t="n"/>
      <x:c r="AT1712" s="604" t="n"/>
      <x:c r="AU1712" s="604" t="n"/>
      <x:c r="AV1712" s="604" t="n"/>
      <x:c r="AW1712" s="604" t="inlineStr">
        <x:is>
          <x:t xml:space="preserve">2026-10-09T09:01:21.127001+08:00</x:t>
        </x:is>
      </x:c>
      <x:c r="AX1712" s="604" t="inlineStr">
        <x:is>
          <x:t xml:space="preserve">Titan007/V4</x:t>
        </x:is>
      </x:c>
      <x:c r="AY1712" s="604" t="inlineStr">
        <x:is>
          <x:t xml:space="preserve">Daily append；市场输入缺失时不生成决策</x:t>
        </x:is>
      </x:c>
    </x:row>
    <x:row r="1713" ht="22" customHeight="1">
      <x:c r="A1713" s="604" t="inlineStr">
        <x:is>
          <x:t xml:space="preserve">2026-10-09</x:t>
        </x:is>
      </x:c>
      <x:c r="B1713" s="604" t="inlineStr">
        <x:is>
          <x:t xml:space="preserve">2026-10-09T20:30:00+08:00</x:t>
        </x:is>
      </x:c>
      <x:c r="C1713" s="604" t="str">
        <x:v>其他系列</x:v>
      </x:c>
      <x:c r="D1713" s="604" t="inlineStr">
        <x:is>
          <x:t xml:space="preserve"/>
        </x:is>
      </x:c>
      <x:c r="E1713" s="604" t="inlineStr">
        <x:is>
          <x:t xml:space="preserve">埃及甲</x:t>
        </x:is>
      </x:c>
      <x:c r="F1713" s="604" t="inlineStr">
        <x:is>
          <x:t xml:space="preserve">霍尔比 vs 拉维耶纳</x:t>
        </x:is>
      </x:c>
      <x:c r="G1713" s="604" t="n">
        <x:v>0.96</x:v>
      </x:c>
      <x:c r="H1713" s="604" t="n">
        <x:v>0.5</x:v>
      </x:c>
      <x:c r="I1713" s="604" t="n">
        <x:v>0.74</x:v>
      </x:c>
      <x:c r="J1713" s="604" t="inlineStr">
        <x:is>
          <x:t xml:space="preserve">0.96/0.5/0.74</x:t>
        </x:is>
      </x:c>
      <x:c r="K1713" s="604" t="inlineStr">
        <x:is>
          <x:t xml:space="preserve">V4-B</x:t>
        </x:is>
      </x:c>
      <x:c r="L1713" s="604" t="inlineStr">
        <x:is>
          <x:t xml:space="preserve">霍尔比</x:t>
        </x:is>
      </x:c>
      <x:c r="M1713" s="604" t="n">
        <x:v>0.5466836208580652</x:v>
      </x:c>
      <x:c r="N1713" s="604" t="inlineStr">
        <x:is>
          <x:t xml:space="preserve">V4 Shadow Only；real_money=false</x:t>
        </x:is>
      </x:c>
      <x:c r="O1713" s="604" t="inlineStr">
        <x:is>
          <x:t xml:space="preserve">0-0</x:t>
        </x:is>
      </x:c>
      <x:c r="P1713" s="604" t="inlineStr">
        <x:is>
          <x:t xml:space="preserve">EVALUATED</x:t>
        </x:is>
      </x:c>
      <x:c r="Q1713" s="630" t="inlineStr">
        <x:is>
          <x:t xml:space="preserve"/>
        </x:is>
      </x:c>
      <x:c r="R1713" s="604" t="n">
        <x:v>0.96</x:v>
      </x:c>
      <x:c r="S1713" s="604" t="n"/>
      <x:c r="T1713" s="604" t="inlineStr">
        <x:is>
          <x:t xml:space="preserve">D:\codex\v3_legacy\outputs\football_odds_trader\raw\titan007\20261009\20261009_085232_titan007_odds_snapshot.csv</x:t>
        </x:is>
      </x:c>
      <x:c r="U1713" s="628" t="inlineStr">
        <x:is>
          <x:t xml:space="preserve"/>
        </x:is>
      </x:c>
      <x:c r="V1713" s="604" t="inlineStr">
        <x:is>
          <x:t xml:space="preserve"/>
        </x:is>
      </x:c>
      <x:c r="W1713" s="604" t="inlineStr">
        <x:is>
          <x:t xml:space="preserve"/>
        </x:is>
      </x:c>
      <x:c r="X1713" s="604" t="inlineStr">
        <x:is>
          <x:t xml:space="preserve">3098067</x:t>
        </x:is>
      </x:c>
      <x:c r="Y1713" s="604" t="inlineStr">
        <x:is>
          <x:t xml:space="preserve">V4</x:t>
        </x:is>
      </x:c>
      <x:c r="Z1713" s="604" t="inlineStr">
        <x:is>
          <x:t xml:space="preserve">prior-2026-10-09-v1</x:t>
        </x:is>
      </x:c>
      <x:c r="AA1713" s="604" t="inlineStr">
        <x:is>
          <x:t xml:space="preserve">B</x:t>
        </x:is>
      </x:c>
      <x:c r="AB1713" s="604" t="n">
        <x:v>0.5466836208580652</x:v>
      </x:c>
      <x:c r="AC1713" s="604" t="n">
        <x:v>0.4533163791419348</x:v>
      </x:c>
      <x:c r="AD1713" s="604" t="n">
        <x:v>0.75</x:v>
      </x:c>
      <x:c r="AE1713" s="604" t="n"/>
      <x:c r="AF1713" s="604" t="n"/>
      <x:c r="AG1713" s="604" t="n">
        <x:v>0.0714998968818078</x:v>
      </x:c>
      <x:c r="AH1713" s="604" t="n"/>
      <x:c r="AI1713" s="604" t="n"/>
      <x:c r="AJ1713" s="604" t="n">
        <x:v>0.0714998968818078</x:v>
      </x:c>
      <x:c r="AK1713" s="604" t="n"/>
      <x:c r="AL1713" s="604" t="n"/>
      <x:c r="AM1713" s="604" t="n"/>
      <x:c r="AN1713" s="604" t="inlineStr">
        <x:is>
          <x:t xml:space="preserve">EVALUATED</x:t>
        </x:is>
      </x:c>
      <x:c r="AO1713" s="604" t="inlineStr">
        <x:is>
          <x:t xml:space="preserve">GIVING_VALIDATED_EDGE;BUCKET_PRIOR_ONLY;INTENT_INTERPRETATION_ONLY;FFL_OPTIONAL;EXPERT_MARKET</x:t>
        </x:is>
      </x:c>
      <x:c r="AP1713" s="604" t="inlineStr">
        <x:is>
          <x:t xml:space="preserve">3ab3e54faf23b25e3544</x:t>
        </x:is>
      </x:c>
      <x:c r="AQ1713" s="604" t="n">
        <x:v>-0.5</x:v>
      </x:c>
      <x:c r="AR1713" s="604" t="n">
        <x:v>0.96</x:v>
      </x:c>
      <x:c r="AS1713" s="604" t="n">
        <x:v>0.5</x:v>
      </x:c>
      <x:c r="AT1713" s="604" t="n">
        <x:v>-0.5</x:v>
      </x:c>
      <x:c r="AU1713" s="604" t="n">
        <x:v>0.96</x:v>
      </x:c>
      <x:c r="AV1713" s="604" t="n">
        <x:v>0.74</x:v>
      </x:c>
      <x:c r="AW1713" s="604" t="inlineStr">
        <x:is>
          <x:t xml:space="preserve">2026-10-09T09:01:21.127001+08:00</x:t>
        </x:is>
      </x:c>
      <x:c r="AX1713" s="604" t="inlineStr">
        <x:is>
          <x:t xml:space="preserve">Titan007/V4</x:t>
        </x:is>
      </x:c>
      <x:c r="AY1713" s="604" t="inlineStr">
        <x:is>
          <x:t xml:space="preserve">Daily append；市场输入缺失时不生成决策</x:t>
        </x:is>
      </x:c>
    </x:row>
    <x:row r="1714" ht="22" customHeight="1">
      <x:c r="A1714" s="604" t="inlineStr">
        <x:is>
          <x:t xml:space="preserve">2026-10-09</x:t>
        </x:is>
      </x:c>
      <x:c r="B1714" s="604" t="inlineStr">
        <x:is>
          <x:t xml:space="preserve">2026-10-09T20:30:00+08:00</x:t>
        </x:is>
      </x:c>
      <x:c r="C1714" s="604" t="str">
        <x:v>其他系列</x:v>
      </x:c>
      <x:c r="D1714" s="604" t="inlineStr">
        <x:is>
          <x:t xml:space="preserve"/>
        </x:is>
      </x:c>
      <x:c r="E1714" s="604" t="inlineStr">
        <x:is>
          <x:t xml:space="preserve">埃及甲</x:t>
        </x:is>
      </x:c>
      <x:c r="F1714" s="604" t="inlineStr">
        <x:is>
          <x:t xml:space="preserve">伊斯梅利 vs 坦塔</x:t>
        </x:is>
      </x:c>
      <x:c r="G1714" s="604" t="n">
        <x:v>0.73</x:v>
      </x:c>
      <x:c r="H1714" s="604" t="n">
        <x:v>0.25</x:v>
      </x:c>
      <x:c r="I1714" s="604" t="n">
        <x:v>0.97</x:v>
      </x:c>
      <x:c r="J1714" s="604" t="inlineStr">
        <x:is>
          <x:t xml:space="preserve">0.73/0.25/0.97</x:t>
        </x:is>
      </x:c>
      <x:c r="K1714" s="604" t="inlineStr">
        <x:is>
          <x:t xml:space="preserve">V4-C</x:t>
        </x:is>
      </x:c>
      <x:c r="L1714" s="604" t="inlineStr">
        <x:is>
          <x:t xml:space="preserve"/>
        </x:is>
      </x:c>
      <x:c r="M1714" s="604" t="n">
        <x:v>0.5155914279070305</x:v>
      </x:c>
      <x:c r="N1714" s="604" t="inlineStr">
        <x:is>
          <x:t xml:space="preserve">V4 Shadow Only；real_money=false</x:t>
        </x:is>
      </x:c>
      <x:c r="O1714" s="604" t="inlineStr">
        <x:is>
          <x:t xml:space="preserve">0-0</x:t>
        </x:is>
      </x:c>
      <x:c r="P1714" s="604" t="inlineStr">
        <x:is>
          <x:t xml:space="preserve">EVALUATED</x:t>
        </x:is>
      </x:c>
      <x:c r="Q1714" s="630" t="inlineStr">
        <x:is>
          <x:t xml:space="preserve"/>
        </x:is>
      </x:c>
      <x:c r="R1714" s="604" t="n"/>
      <x:c r="S1714" s="604" t="n"/>
      <x:c r="T1714" s="604" t="inlineStr">
        <x:is>
          <x:t xml:space="preserve">D:\codex\v3_legacy\outputs\football_odds_trader\raw\titan007\20261009\20261009_085232_titan007_odds_snapshot.csv</x:t>
        </x:is>
      </x:c>
      <x:c r="U1714" s="628" t="inlineStr">
        <x:is>
          <x:t xml:space="preserve"/>
        </x:is>
      </x:c>
      <x:c r="V1714" s="604" t="inlineStr">
        <x:is>
          <x:t xml:space="preserve"/>
        </x:is>
      </x:c>
      <x:c r="W1714" s="604" t="inlineStr">
        <x:is>
          <x:t xml:space="preserve"/>
        </x:is>
      </x:c>
      <x:c r="X1714" s="604" t="inlineStr">
        <x:is>
          <x:t xml:space="preserve">3098068</x:t>
        </x:is>
      </x:c>
      <x:c r="Y1714" s="604" t="inlineStr">
        <x:is>
          <x:t xml:space="preserve">V4</x:t>
        </x:is>
      </x:c>
      <x:c r="Z1714" s="604" t="inlineStr">
        <x:is>
          <x:t xml:space="preserve">prior-2026-10-09-v1</x:t>
        </x:is>
      </x:c>
      <x:c r="AA1714" s="604" t="inlineStr">
        <x:is>
          <x:t xml:space="preserve">C</x:t>
        </x:is>
      </x:c>
      <x:c r="AB1714" s="604" t="n">
        <x:v>0.5155914279070305</x:v>
      </x:c>
      <x:c r="AC1714" s="604" t="n">
        <x:v>0.3582310161201465</x:v>
      </x:c>
      <x:c r="AD1714" s="604" t="n">
        <x:v>0.5</x:v>
      </x:c>
      <x:c r="AE1714" s="604" t="n"/>
      <x:c r="AF1714" s="604" t="n"/>
      <x:c r="AG1714" s="604" t="n">
        <x:v>0.01815072625198572</x:v>
      </x:c>
      <x:c r="AH1714" s="604" t="n"/>
      <x:c r="AI1714" s="604" t="n"/>
      <x:c r="AJ1714" s="604" t="n">
        <x:v>0.01815072625198572</x:v>
      </x:c>
      <x:c r="AK1714" s="604" t="n"/>
      <x:c r="AL1714" s="604" t="n"/>
      <x:c r="AM1714" s="604" t="n"/>
      <x:c r="AN1714" s="604" t="inlineStr">
        <x:is>
          <x:t xml:space="preserve">EVALUATED</x:t>
        </x:is>
      </x:c>
      <x:c r="AO1714" s="604" t="inlineStr">
        <x:is>
          <x:t xml:space="preserve">EDGE_BELOW_UNCERTAINTY_THRESHOLD;BUCKET_PRIOR_ONLY;INTENT_INTERPRETATION_ONLY;FFL_OPTIONAL;EXPERT_MARKET</x:t>
        </x:is>
      </x:c>
      <x:c r="AP1714" s="604" t="inlineStr">
        <x:is>
          <x:t xml:space="preserve">89d8c8bf578a77cf0b9c</x:t>
        </x:is>
      </x:c>
      <x:c r="AQ1714" s="604" t="n"/>
      <x:c r="AR1714" s="604" t="n"/>
      <x:c r="AS1714" s="604" t="n">
        <x:v>0.25</x:v>
      </x:c>
      <x:c r="AT1714" s="604" t="n">
        <x:v>-0.25</x:v>
      </x:c>
      <x:c r="AU1714" s="604" t="n">
        <x:v>0.73</x:v>
      </x:c>
      <x:c r="AV1714" s="604" t="n">
        <x:v>0.97</x:v>
      </x:c>
      <x:c r="AW1714" s="604" t="inlineStr">
        <x:is>
          <x:t xml:space="preserve">2026-10-09T09:01:21.127001+08:00</x:t>
        </x:is>
      </x:c>
      <x:c r="AX1714" s="604" t="inlineStr">
        <x:is>
          <x:t xml:space="preserve">Titan007/V4</x:t>
        </x:is>
      </x:c>
      <x:c r="AY1714" s="604" t="inlineStr">
        <x:is>
          <x:t xml:space="preserve">Daily append；市场输入缺失时不生成决策</x:t>
        </x:is>
      </x:c>
    </x:row>
    <x:row r="1715" ht="22" customHeight="1">
      <x:c r="A1715" s="604" t="inlineStr">
        <x:is>
          <x:t xml:space="preserve">2026-10-09</x:t>
        </x:is>
      </x:c>
      <x:c r="B1715" s="604" t="inlineStr">
        <x:is>
          <x:t xml:space="preserve">2026-10-09T20:30:00+08:00</x:t>
        </x:is>
      </x:c>
      <x:c r="C1715" s="604" t="str">
        <x:v>其他系列</x:v>
      </x:c>
      <x:c r="D1715" s="604" t="inlineStr">
        <x:is>
          <x:t xml:space="preserve"/>
        </x:is>
      </x:c>
      <x:c r="E1715" s="604" t="inlineStr">
        <x:is>
          <x:t xml:space="preserve">埃及甲</x:t>
        </x:is>
      </x:c>
      <x:c r="F1715" s="604" t="inlineStr">
        <x:is>
          <x:t xml:space="preserve">玛列亚特 vs 巴拉蒂耶</x:t>
        </x:is>
      </x:c>
      <x:c r="G1715" s="604" t="n">
        <x:v>0.98</x:v>
      </x:c>
      <x:c r="H1715" s="604" t="n">
        <x:v>0.25</x:v>
      </x:c>
      <x:c r="I1715" s="604" t="n">
        <x:v>0.72</x:v>
      </x:c>
      <x:c r="J1715" s="604" t="inlineStr">
        <x:is>
          <x:t xml:space="preserve">0.98/0.25/0.72</x:t>
        </x:is>
      </x:c>
      <x:c r="K1715" s="604" t="inlineStr">
        <x:is>
          <x:t xml:space="preserve">V4-C</x:t>
        </x:is>
      </x:c>
      <x:c r="L1715" s="604" t="inlineStr">
        <x:is>
          <x:t xml:space="preserve"/>
        </x:is>
      </x:c>
      <x:c r="M1715" s="604" t="n">
        <x:v>0.4481548300532815</x:v>
      </x:c>
      <x:c r="N1715" s="604" t="inlineStr">
        <x:is>
          <x:t xml:space="preserve">V4 Shadow Only；real_money=false</x:t>
        </x:is>
      </x:c>
      <x:c r="O1715" s="604" t="inlineStr">
        <x:is>
          <x:t xml:space="preserve">0-0</x:t>
        </x:is>
      </x:c>
      <x:c r="P1715" s="604" t="inlineStr">
        <x:is>
          <x:t xml:space="preserve">EVALUATED</x:t>
        </x:is>
      </x:c>
      <x:c r="Q1715" s="630" t="inlineStr">
        <x:is>
          <x:t xml:space="preserve"/>
        </x:is>
      </x:c>
      <x:c r="R1715" s="604" t="n"/>
      <x:c r="S1715" s="604" t="n"/>
      <x:c r="T1715" s="604" t="inlineStr">
        <x:is>
          <x:t xml:space="preserve">D:\codex\v3_legacy\outputs\football_odds_trader\raw\titan007\20261009\20261009_085232_titan007_odds_snapshot.csv</x:t>
        </x:is>
      </x:c>
      <x:c r="U1715" s="628" t="inlineStr">
        <x:is>
          <x:t xml:space="preserve"/>
        </x:is>
      </x:c>
      <x:c r="V1715" s="604" t="inlineStr">
        <x:is>
          <x:t xml:space="preserve"/>
        </x:is>
      </x:c>
      <x:c r="W1715" s="604" t="inlineStr">
        <x:is>
          <x:t xml:space="preserve"/>
        </x:is>
      </x:c>
      <x:c r="X1715" s="604" t="inlineStr">
        <x:is>
          <x:t xml:space="preserve">3098069</x:t>
        </x:is>
      </x:c>
      <x:c r="Y1715" s="604" t="inlineStr">
        <x:is>
          <x:t xml:space="preserve">V4</x:t>
        </x:is>
      </x:c>
      <x:c r="Z1715" s="604" t="inlineStr">
        <x:is>
          <x:t xml:space="preserve">prior-2026-10-09-v1</x:t>
        </x:is>
      </x:c>
      <x:c r="AA1715" s="604" t="inlineStr">
        <x:is>
          <x:t xml:space="preserve">C</x:t>
        </x:is>
      </x:c>
      <x:c r="AB1715" s="604" t="n">
        <x:v>0.4481548300532815</x:v>
      </x:c>
      <x:c r="AC1715" s="604" t="n">
        <x:v>0.4199992835889166</x:v>
      </x:c>
      <x:c r="AD1715" s="604" t="n">
        <x:v>0.25</x:v>
      </x:c>
      <x:c r="AE1715" s="604" t="n"/>
      <x:c r="AF1715" s="604" t="n"/>
      <x:c r="AG1715" s="604" t="n">
        <x:v>0.01919244986329921</x:v>
      </x:c>
      <x:c r="AH1715" s="604" t="n"/>
      <x:c r="AI1715" s="604" t="n"/>
      <x:c r="AJ1715" s="604" t="n">
        <x:v>0.01919244986329921</x:v>
      </x:c>
      <x:c r="AK1715" s="604" t="n"/>
      <x:c r="AL1715" s="604" t="n"/>
      <x:c r="AM1715" s="604" t="n"/>
      <x:c r="AN1715" s="604" t="inlineStr">
        <x:is>
          <x:t xml:space="preserve">EVALUATED</x:t>
        </x:is>
      </x:c>
      <x:c r="AO1715" s="604" t="inlineStr">
        <x:is>
          <x:t xml:space="preserve">EDGE_BELOW_UNCERTAINTY_THRESHOLD;BUCKET_PRIOR_ONLY;INTENT_INTERPRETATION_ONLY;FFL_OPTIONAL;EXPERT_MARKET</x:t>
        </x:is>
      </x:c>
      <x:c r="AP1715" s="604" t="inlineStr">
        <x:is>
          <x:t xml:space="preserve">3d822df87fabf4b43a91</x:t>
        </x:is>
      </x:c>
      <x:c r="AQ1715" s="604" t="n"/>
      <x:c r="AR1715" s="604" t="n"/>
      <x:c r="AS1715" s="604" t="n">
        <x:v>0.25</x:v>
      </x:c>
      <x:c r="AT1715" s="604" t="n">
        <x:v>-0.25</x:v>
      </x:c>
      <x:c r="AU1715" s="604" t="n">
        <x:v>0.98</x:v>
      </x:c>
      <x:c r="AV1715" s="604" t="n">
        <x:v>0.72</x:v>
      </x:c>
      <x:c r="AW1715" s="604" t="inlineStr">
        <x:is>
          <x:t xml:space="preserve">2026-10-09T09:01:21.127001+08:00</x:t>
        </x:is>
      </x:c>
      <x:c r="AX1715" s="604" t="inlineStr">
        <x:is>
          <x:t xml:space="preserve">Titan007/V4</x:t>
        </x:is>
      </x:c>
      <x:c r="AY1715" s="604" t="inlineStr">
        <x:is>
          <x:t xml:space="preserve">Daily append；市场输入缺失时不生成决策</x:t>
        </x:is>
      </x:c>
    </x:row>
    <x:row r="1716" ht="22" customHeight="1">
      <x:c r="A1716" s="604" t="inlineStr">
        <x:is>
          <x:t xml:space="preserve">2026-10-09</x:t>
        </x:is>
      </x:c>
      <x:c r="B1716" s="604" t="inlineStr">
        <x:is>
          <x:t xml:space="preserve">2026-10-09T20:30:00+08:00</x:t>
        </x:is>
      </x:c>
      <x:c r="C1716" s="604" t="str">
        <x:v>其他系列</x:v>
      </x:c>
      <x:c r="D1716" s="604" t="inlineStr">
        <x:is>
          <x:t xml:space="preserve"/>
        </x:is>
      </x:c>
      <x:c r="E1716" s="604" t="inlineStr">
        <x:is>
          <x:t xml:space="preserve">埃及甲</x:t>
        </x:is>
      </x:c>
      <x:c r="F1716" s="604" t="inlineStr">
        <x:is>
          <x:t xml:space="preserve">开罗FC vs 佩哈亚克</x:t>
        </x:is>
      </x:c>
      <x:c r="G1716" s="604" t="n">
        <x:v>0.77</x:v>
      </x:c>
      <x:c r="H1716" s="604" t="n">
        <x:v>-0.25</x:v>
      </x:c>
      <x:c r="I1716" s="604" t="n">
        <x:v>0.93</x:v>
      </x:c>
      <x:c r="J1716" s="604" t="inlineStr">
        <x:is>
          <x:t xml:space="preserve">0.77/-0.25/0.93</x:t>
        </x:is>
      </x:c>
      <x:c r="K1716" s="604" t="inlineStr">
        <x:is>
          <x:t xml:space="preserve">V4-B</x:t>
        </x:is>
      </x:c>
      <x:c r="L1716" s="604" t="inlineStr">
        <x:is>
          <x:t xml:space="preserve">开罗FC</x:t>
        </x:is>
      </x:c>
      <x:c r="M1716" s="604" t="n">
        <x:v>0.26336417566235</x:v>
      </x:c>
      <x:c r="N1716" s="604" t="inlineStr">
        <x:is>
          <x:t xml:space="preserve">V4 Shadow Only；real_money=false</x:t>
        </x:is>
      </x:c>
      <x:c r="O1716" s="604" t="inlineStr">
        <x:is>
          <x:t xml:space="preserve">0-0</x:t>
        </x:is>
      </x:c>
      <x:c r="P1716" s="604" t="inlineStr">
        <x:is>
          <x:t xml:space="preserve">EVALUATED</x:t>
        </x:is>
      </x:c>
      <x:c r="Q1716" s="630" t="inlineStr">
        <x:is>
          <x:t xml:space="preserve"/>
        </x:is>
      </x:c>
      <x:c r="R1716" s="604" t="n">
        <x:v>0.77</x:v>
      </x:c>
      <x:c r="S1716" s="604" t="n"/>
      <x:c r="T1716" s="604" t="inlineStr">
        <x:is>
          <x:t xml:space="preserve">D:\codex\v3_legacy\outputs\football_odds_trader\raw\titan007\20261009\20261009_085232_titan007_odds_snapshot.csv</x:t>
        </x:is>
      </x:c>
      <x:c r="U1716" s="628" t="inlineStr">
        <x:is>
          <x:t xml:space="preserve"/>
        </x:is>
      </x:c>
      <x:c r="V1716" s="604" t="inlineStr">
        <x:is>
          <x:t xml:space="preserve"/>
        </x:is>
      </x:c>
      <x:c r="W1716" s="604" t="inlineStr">
        <x:is>
          <x:t xml:space="preserve"/>
        </x:is>
      </x:c>
      <x:c r="X1716" s="604" t="inlineStr">
        <x:is>
          <x:t xml:space="preserve">3098070</x:t>
        </x:is>
      </x:c>
      <x:c r="Y1716" s="604" t="inlineStr">
        <x:is>
          <x:t xml:space="preserve">V4</x:t>
        </x:is>
      </x:c>
      <x:c r="Z1716" s="604" t="inlineStr">
        <x:is>
          <x:t xml:space="preserve">prior-2026-10-09-v1</x:t>
        </x:is>
      </x:c>
      <x:c r="AA1716" s="604" t="inlineStr">
        <x:is>
          <x:t xml:space="preserve">B</x:t>
        </x:is>
      </x:c>
      <x:c r="AB1716" s="604" t="n">
        <x:v>0.26336417566235</x:v>
      </x:c>
      <x:c r="AC1716" s="604" t="n">
        <x:v>0.6068660231163685</x:v>
      </x:c>
      <x:c r="AD1716" s="604" t="n">
        <x:v>-0.5</x:v>
      </x:c>
      <x:c r="AE1716" s="604" t="n"/>
      <x:c r="AF1716" s="604" t="n"/>
      <x:c r="AG1716" s="604" t="n">
        <x:v>0.2039226621372537</x:v>
      </x:c>
      <x:c r="AH1716" s="604" t="n"/>
      <x:c r="AI1716" s="604" t="n"/>
      <x:c r="AJ1716" s="604" t="n">
        <x:v>0.2039226621372537</x:v>
      </x:c>
      <x:c r="AK1716" s="604" t="n"/>
      <x:c r="AL1716" s="604" t="n"/>
      <x:c r="AM1716" s="604" t="n"/>
      <x:c r="AN1716" s="604" t="inlineStr">
        <x:is>
          <x:t xml:space="preserve">EVALUATED</x:t>
        </x:is>
      </x:c>
      <x:c r="AO1716" s="604" t="inlineStr">
        <x:is>
          <x:t xml:space="preserve">RECEIVING_VALIDATED_EDGE;BUCKET_PRIOR_ONLY;INTENT_INTERPRETATION_ONLY;FFL_OPTIONAL;EXPERT_MARKET</x:t>
        </x:is>
      </x:c>
      <x:c r="AP1716" s="604" t="inlineStr">
        <x:is>
          <x:t xml:space="preserve">4fdb6600c263a3fb4584</x:t>
        </x:is>
      </x:c>
      <x:c r="AQ1716" s="604" t="n">
        <x:v>0.25</x:v>
      </x:c>
      <x:c r="AR1716" s="604" t="n">
        <x:v>0.77</x:v>
      </x:c>
      <x:c r="AS1716" s="604" t="n">
        <x:v>-0.25</x:v>
      </x:c>
      <x:c r="AT1716" s="604" t="n">
        <x:v>0.25</x:v>
      </x:c>
      <x:c r="AU1716" s="604" t="n">
        <x:v>0.77</x:v>
      </x:c>
      <x:c r="AV1716" s="604" t="n">
        <x:v>0.93</x:v>
      </x:c>
      <x:c r="AW1716" s="604" t="inlineStr">
        <x:is>
          <x:t xml:space="preserve">2026-10-09T09:01:21.127001+08:00</x:t>
        </x:is>
      </x:c>
      <x:c r="AX1716" s="604" t="inlineStr">
        <x:is>
          <x:t xml:space="preserve">Titan007/V4</x:t>
        </x:is>
      </x:c>
      <x:c r="AY1716" s="604" t="inlineStr">
        <x:is>
          <x:t xml:space="preserve">Daily append；市场输入缺失时不生成决策</x:t>
        </x:is>
      </x:c>
    </x:row>
    <x:row r="1717" ht="22" customHeight="1">
      <x:c r="A1717" s="604" t="inlineStr">
        <x:is>
          <x:t xml:space="preserve">2026-10-09</x:t>
        </x:is>
      </x:c>
      <x:c r="B1717" s="604" t="inlineStr">
        <x:is>
          <x:t xml:space="preserve">2026-10-09T20:30:00+08:00</x:t>
        </x:is>
      </x:c>
      <x:c r="C1717" s="604" t="str">
        <x:v>其他系列</x:v>
      </x:c>
      <x:c r="D1717" s="604" t="inlineStr">
        <x:is>
          <x:t xml:space="preserve"/>
        </x:is>
      </x:c>
      <x:c r="E1717" s="604" t="inlineStr">
        <x:is>
          <x:t xml:space="preserve">埃及甲</x:t>
        </x:is>
      </x:c>
      <x:c r="F1717" s="604" t="inlineStr">
        <x:is>
          <x:t xml:space="preserve">埃及电信 vs 曼苏拉</x:t>
        </x:is>
      </x:c>
      <x:c r="G1717" s="604" t="n">
        <x:v>0.98</x:v>
      </x:c>
      <x:c r="H1717" s="604" t="n">
        <x:v>0.5</x:v>
      </x:c>
      <x:c r="I1717" s="604" t="n">
        <x:v>0.72</x:v>
      </x:c>
      <x:c r="J1717" s="604" t="inlineStr">
        <x:is>
          <x:t xml:space="preserve">0.98/0.5/0.72</x:t>
        </x:is>
      </x:c>
      <x:c r="K1717" s="604" t="inlineStr">
        <x:is>
          <x:t xml:space="preserve">V4-B</x:t>
        </x:is>
      </x:c>
      <x:c r="L1717" s="604" t="inlineStr">
        <x:is>
          <x:t xml:space="preserve">埃及电信</x:t>
        </x:is>
      </x:c>
      <x:c r="M1717" s="604" t="n">
        <x:v>0.5660886131075655</x:v>
      </x:c>
      <x:c r="N1717" s="604" t="inlineStr">
        <x:is>
          <x:t xml:space="preserve">V4 Shadow Only；real_money=false</x:t>
        </x:is>
      </x:c>
      <x:c r="O1717" s="604" t="inlineStr">
        <x:is>
          <x:t xml:space="preserve">0-0</x:t>
        </x:is>
      </x:c>
      <x:c r="P1717" s="604" t="inlineStr">
        <x:is>
          <x:t xml:space="preserve">EVALUATED</x:t>
        </x:is>
      </x:c>
      <x:c r="Q1717" s="630" t="inlineStr">
        <x:is>
          <x:t xml:space="preserve"/>
        </x:is>
      </x:c>
      <x:c r="R1717" s="604" t="n">
        <x:v>0.98</x:v>
      </x:c>
      <x:c r="S1717" s="604" t="n"/>
      <x:c r="T1717" s="604" t="inlineStr">
        <x:is>
          <x:t xml:space="preserve">D:\codex\v3_legacy\outputs\football_odds_trader\raw\titan007\20261009\20261009_085232_titan007_odds_snapshot.csv</x:t>
        </x:is>
      </x:c>
      <x:c r="U1717" s="628" t="inlineStr">
        <x:is>
          <x:t xml:space="preserve"/>
        </x:is>
      </x:c>
      <x:c r="V1717" s="604" t="inlineStr">
        <x:is>
          <x:t xml:space="preserve"/>
        </x:is>
      </x:c>
      <x:c r="W1717" s="604" t="inlineStr">
        <x:is>
          <x:t xml:space="preserve"/>
        </x:is>
      </x:c>
      <x:c r="X1717" s="604" t="inlineStr">
        <x:is>
          <x:t xml:space="preserve">3098071</x:t>
        </x:is>
      </x:c>
      <x:c r="Y1717" s="604" t="inlineStr">
        <x:is>
          <x:t xml:space="preserve">V4</x:t>
        </x:is>
      </x:c>
      <x:c r="Z1717" s="604" t="inlineStr">
        <x:is>
          <x:t xml:space="preserve">prior-2026-10-09-v1</x:t>
        </x:is>
      </x:c>
      <x:c r="AA1717" s="604" t="inlineStr">
        <x:is>
          <x:t xml:space="preserve">B</x:t>
        </x:is>
      </x:c>
      <x:c r="AB1717" s="604" t="n">
        <x:v>0.5660886131075655</x:v>
      </x:c>
      <x:c r="AC1717" s="604" t="n">
        <x:v>0.4339113868924346</x:v>
      </x:c>
      <x:c r="AD1717" s="604" t="n">
        <x:v>0.75</x:v>
      </x:c>
      <x:c r="AE1717" s="604" t="n"/>
      <x:c r="AF1717" s="604" t="n"/>
      <x:c r="AG1717" s="604" t="n">
        <x:v>0.1208554539529796</x:v>
      </x:c>
      <x:c r="AH1717" s="604" t="n"/>
      <x:c r="AI1717" s="604" t="n"/>
      <x:c r="AJ1717" s="604" t="n">
        <x:v>0.1208554539529796</x:v>
      </x:c>
      <x:c r="AK1717" s="604" t="n"/>
      <x:c r="AL1717" s="604" t="n"/>
      <x:c r="AM1717" s="604" t="n"/>
      <x:c r="AN1717" s="604" t="inlineStr">
        <x:is>
          <x:t xml:space="preserve">EVALUATED</x:t>
        </x:is>
      </x:c>
      <x:c r="AO1717" s="604" t="inlineStr">
        <x:is>
          <x:t xml:space="preserve">GIVING_VALIDATED_EDGE;BUCKET_PRIOR_ONLY;INTENT_INTERPRETATION_ONLY;FFL_OPTIONAL;EXPERT_MARKET</x:t>
        </x:is>
      </x:c>
      <x:c r="AP1717" s="604" t="inlineStr">
        <x:is>
          <x:t xml:space="preserve">497d07bbc317af2e7fc8</x:t>
        </x:is>
      </x:c>
      <x:c r="AQ1717" s="604" t="n">
        <x:v>-0.5</x:v>
      </x:c>
      <x:c r="AR1717" s="604" t="n">
        <x:v>0.98</x:v>
      </x:c>
      <x:c r="AS1717" s="604" t="n">
        <x:v>0.5</x:v>
      </x:c>
      <x:c r="AT1717" s="604" t="n">
        <x:v>-0.5</x:v>
      </x:c>
      <x:c r="AU1717" s="604" t="n">
        <x:v>0.98</x:v>
      </x:c>
      <x:c r="AV1717" s="604" t="n">
        <x:v>0.72</x:v>
      </x:c>
      <x:c r="AW1717" s="604" t="inlineStr">
        <x:is>
          <x:t xml:space="preserve">2026-10-09T09:01:21.127001+08:00</x:t>
        </x:is>
      </x:c>
      <x:c r="AX1717" s="604" t="inlineStr">
        <x:is>
          <x:t xml:space="preserve">Titan007/V4</x:t>
        </x:is>
      </x:c>
      <x:c r="AY1717" s="604" t="inlineStr">
        <x:is>
          <x:t xml:space="preserve">Daily append；市场输入缺失时不生成决策</x:t>
        </x:is>
      </x:c>
    </x:row>
    <x:row r="1718" ht="22" customHeight="1">
      <x:c r="A1718" s="604" t="inlineStr">
        <x:is>
          <x:t xml:space="preserve">2026-10-09</x:t>
        </x:is>
      </x:c>
      <x:c r="B1718" s="604" t="inlineStr">
        <x:is>
          <x:t xml:space="preserve">2026-10-10T02:00:00+08:00</x:t>
        </x:is>
      </x:c>
      <x:c r="C1718" s="604" t="str">
        <x:v>其他系列</x:v>
      </x:c>
      <x:c r="D1718" s="604" t="inlineStr">
        <x:is>
          <x:t xml:space="preserve"/>
        </x:is>
      </x:c>
      <x:c r="E1718" s="604" t="inlineStr">
        <x:is>
          <x:t xml:space="preserve">里约乙</x:t>
        </x:is>
      </x:c>
      <x:c r="F1718" s="604" t="inlineStr">
        <x:is>
          <x:t xml:space="preserve">贡卡伦斯 vs 阿特苏尔</x:t>
        </x:is>
      </x:c>
      <x:c r="G1718" s="604" t="n">
        <x:v>0.95</x:v>
      </x:c>
      <x:c r="H1718" s="604" t="n">
        <x:v>0.25</x:v>
      </x:c>
      <x:c r="I1718" s="604" t="n">
        <x:v>0.85</x:v>
      </x:c>
      <x:c r="J1718" s="604" t="inlineStr">
        <x:is>
          <x:t xml:space="preserve">0.95/0.25/0.85</x:t>
        </x:is>
      </x:c>
      <x:c r="K1718" s="604" t="inlineStr">
        <x:is>
          <x:t xml:space="preserve">V4-N</x:t>
        </x:is>
      </x:c>
      <x:c r="L1718" s="604" t="inlineStr">
        <x:is>
          <x:t xml:space="preserve"/>
        </x:is>
      </x:c>
      <x:c r="M1718" s="604" t="n">
        <x:v>0.4848899415656077</x:v>
      </x:c>
      <x:c r="N1718" s="604" t="inlineStr">
        <x:is>
          <x:t xml:space="preserve">V4 Shadow Only；real_money=false</x:t>
        </x:is>
      </x:c>
      <x:c r="O1718" s="604" t="inlineStr">
        <x:is>
          <x:t xml:space="preserve">0-0</x:t>
        </x:is>
      </x:c>
      <x:c r="P1718" s="604" t="inlineStr">
        <x:is>
          <x:t xml:space="preserve">EVALUATED</x:t>
        </x:is>
      </x:c>
      <x:c r="Q1718" s="630" t="inlineStr">
        <x:is>
          <x:t xml:space="preserve"/>
        </x:is>
      </x:c>
      <x:c r="R1718" s="604" t="n"/>
      <x:c r="S1718" s="604" t="n"/>
      <x:c r="T1718" s="604" t="inlineStr">
        <x:is>
          <x:t xml:space="preserve">D:\codex\v3_legacy\outputs\football_odds_trader\raw\titan007\20261009\20261009_085232_titan007_odds_snapshot.csv</x:t>
        </x:is>
      </x:c>
      <x:c r="U1718" s="628" t="inlineStr">
        <x:is>
          <x:t xml:space="preserve"/>
        </x:is>
      </x:c>
      <x:c r="V1718" s="604" t="inlineStr">
        <x:is>
          <x:t xml:space="preserve"/>
        </x:is>
      </x:c>
      <x:c r="W1718" s="604" t="inlineStr">
        <x:is>
          <x:t xml:space="preserve"/>
        </x:is>
      </x:c>
      <x:c r="X1718" s="604" t="inlineStr">
        <x:is>
          <x:t xml:space="preserve">3098072</x:t>
        </x:is>
      </x:c>
      <x:c r="Y1718" s="604" t="inlineStr">
        <x:is>
          <x:t xml:space="preserve">V4</x:t>
        </x:is>
      </x:c>
      <x:c r="Z1718" s="604" t="inlineStr">
        <x:is>
          <x:t xml:space="preserve">prior-2026-10-09-v1</x:t>
        </x:is>
      </x:c>
      <x:c r="AA1718" s="604" t="inlineStr">
        <x:is>
          <x:t xml:space="preserve">N</x:t>
        </x:is>
      </x:c>
      <x:c r="AB1718" s="604" t="n">
        <x:v>0.4848899415656077</x:v>
      </x:c>
      <x:c r="AC1718" s="604" t="n">
        <x:v>0.386811162097759</x:v>
      </x:c>
      <x:c r="AD1718" s="604" t="n">
        <x:v>0.5</x:v>
      </x:c>
      <x:c r="AE1718" s="604" t="n"/>
      <x:c r="AF1718" s="604" t="n"/>
      <x:c r="AG1718" s="604" t="n">
        <x:v>0.07383428238956824</x:v>
      </x:c>
      <x:c r="AH1718" s="604" t="n"/>
      <x:c r="AI1718" s="604" t="n"/>
      <x:c r="AJ1718" s="604" t="n">
        <x:v>0.07383428238956824</x:v>
      </x:c>
      <x:c r="AK1718" s="604" t="n"/>
      <x:c r="AL1718" s="604" t="n"/>
      <x:c r="AM1718" s="604" t="n"/>
      <x:c r="AN1718" s="604" t="inlineStr">
        <x:is>
          <x:t xml:space="preserve">EVALUATED</x:t>
        </x:is>
      </x:c>
      <x:c r="AO1718" s="604" t="inlineStr">
        <x:is>
          <x:t xml:space="preserve">LOW_QUALITY_GATE;BUCKET_PRIOR_ONLY;INTENT_INTERPRETATION_ONLY;FFL_OPTIONAL;EXPERT_MARKET</x:t>
        </x:is>
      </x:c>
      <x:c r="AP1718" s="604" t="inlineStr">
        <x:is>
          <x:t xml:space="preserve">c0000d3ba784f1aa8b76</x:t>
        </x:is>
      </x:c>
      <x:c r="AQ1718" s="604" t="n"/>
      <x:c r="AR1718" s="604" t="n"/>
      <x:c r="AS1718" s="604" t="n">
        <x:v>0.25</x:v>
      </x:c>
      <x:c r="AT1718" s="604" t="n">
        <x:v>-0.25</x:v>
      </x:c>
      <x:c r="AU1718" s="604" t="n">
        <x:v>0.95</x:v>
      </x:c>
      <x:c r="AV1718" s="604" t="n">
        <x:v>0.85</x:v>
      </x:c>
      <x:c r="AW1718" s="604" t="inlineStr">
        <x:is>
          <x:t xml:space="preserve">2026-10-09T09:01:21.127001+08:00</x:t>
        </x:is>
      </x:c>
      <x:c r="AX1718" s="604" t="inlineStr">
        <x:is>
          <x:t xml:space="preserve">Titan007/V4</x:t>
        </x:is>
      </x:c>
      <x:c r="AY1718" s="604" t="inlineStr">
        <x:is>
          <x:t xml:space="preserve">Daily append；市场输入缺失时不生成决策</x:t>
        </x:is>
      </x:c>
    </x:row>
    <x:row r="1719" ht="22" customHeight="1">
      <x:c r="A1719" s="604" t="inlineStr">
        <x:is>
          <x:t xml:space="preserve">2026-10-09</x:t>
        </x:is>
      </x:c>
      <x:c r="B1719" s="604" t="inlineStr">
        <x:is>
          <x:t xml:space="preserve">2026-10-10T02:00:00+08:00</x:t>
        </x:is>
      </x:c>
      <x:c r="C1719" s="604" t="str">
        <x:v>五大联赛非顶级联赛</x:v>
      </x:c>
      <x:c r="D1719" s="604" t="inlineStr">
        <x:is>
          <x:t xml:space="preserve"/>
        </x:is>
      </x:c>
      <x:c r="E1719" s="604" t="inlineStr">
        <x:is>
          <x:t xml:space="preserve">德戊</x:t>
        </x:is>
      </x:c>
      <x:c r="F1719" s="604" t="inlineStr">
        <x:is>
          <x:t xml:space="preserve">梅兹特海姆 vs 阿维韦勒</x:t>
        </x:is>
      </x:c>
      <x:c r="G1719" s="604" t="n">
        <x:v>0.63</x:v>
      </x:c>
      <x:c r="H1719" s="604" t="n">
        <x:v>1.5</x:v>
      </x:c>
      <x:c r="I1719" s="604" t="n">
        <x:v>1.09</x:v>
      </x:c>
      <x:c r="J1719" s="604" t="inlineStr">
        <x:is>
          <x:t xml:space="preserve">0.63/1.5/1.09</x:t>
        </x:is>
      </x:c>
      <x:c r="K1719" s="604" t="inlineStr">
        <x:is>
          <x:t xml:space="preserve">V4-N</x:t>
        </x:is>
      </x:c>
      <x:c r="L1719" s="604" t="inlineStr">
        <x:is>
          <x:t xml:space="preserve"/>
        </x:is>
      </x:c>
      <x:c r="M1719" s="604" t="n">
        <x:v>0.6831936206038772</x:v>
      </x:c>
      <x:c r="N1719" s="604" t="inlineStr">
        <x:is>
          <x:t xml:space="preserve">V4 Shadow Only；real_money=false</x:t>
        </x:is>
      </x:c>
      <x:c r="O1719" s="604" t="inlineStr">
        <x:is>
          <x:t xml:space="preserve">0-0</x:t>
        </x:is>
      </x:c>
      <x:c r="P1719" s="604" t="inlineStr">
        <x:is>
          <x:t xml:space="preserve">EVALUATED</x:t>
        </x:is>
      </x:c>
      <x:c r="Q1719" s="630" t="inlineStr">
        <x:is>
          <x:t xml:space="preserve"/>
        </x:is>
      </x:c>
      <x:c r="R1719" s="604" t="n"/>
      <x:c r="S1719" s="604" t="n"/>
      <x:c r="T1719" s="604" t="inlineStr">
        <x:is>
          <x:t xml:space="preserve">D:\codex\v3_legacy\outputs\football_odds_trader\raw\titan007\20261009\20261009_085232_titan007_odds_snapshot.csv</x:t>
        </x:is>
      </x:c>
      <x:c r="U1719" s="628" t="inlineStr">
        <x:is>
          <x:t xml:space="preserve"/>
        </x:is>
      </x:c>
      <x:c r="V1719" s="604" t="inlineStr">
        <x:is>
          <x:t xml:space="preserve"/>
        </x:is>
      </x:c>
      <x:c r="W1719" s="604" t="inlineStr">
        <x:is>
          <x:t xml:space="preserve"/>
        </x:is>
      </x:c>
      <x:c r="X1719" s="604" t="inlineStr">
        <x:is>
          <x:t xml:space="preserve">3098073</x:t>
        </x:is>
      </x:c>
      <x:c r="Y1719" s="604" t="inlineStr">
        <x:is>
          <x:t xml:space="preserve">V4</x:t>
        </x:is>
      </x:c>
      <x:c r="Z1719" s="604" t="inlineStr">
        <x:is>
          <x:t xml:space="preserve">prior-2026-10-09-v1</x:t>
        </x:is>
      </x:c>
      <x:c r="AA1719" s="604" t="inlineStr">
        <x:is>
          <x:t xml:space="preserve">N</x:t>
        </x:is>
      </x:c>
      <x:c r="AB1719" s="604" t="n">
        <x:v>0.6831936206038772</x:v>
      </x:c>
      <x:c r="AC1719" s="604" t="n">
        <x:v>0.3168063793961228</x:v>
      </x:c>
      <x:c r="AD1719" s="604" t="n">
        <x:v>2.5</x:v>
      </x:c>
      <x:c r="AE1719" s="604" t="n"/>
      <x:c r="AF1719" s="604" t="n"/>
      <x:c r="AG1719" s="604" t="n">
        <x:v>0.1136056015843198</x:v>
      </x:c>
      <x:c r="AH1719" s="604" t="n"/>
      <x:c r="AI1719" s="604" t="n"/>
      <x:c r="AJ1719" s="604" t="n">
        <x:v>0.1136056015843198</x:v>
      </x:c>
      <x:c r="AK1719" s="604" t="n"/>
      <x:c r="AL1719" s="604" t="n"/>
      <x:c r="AM1719" s="604" t="n"/>
      <x:c r="AN1719" s="604" t="inlineStr">
        <x:is>
          <x:t xml:space="preserve">EVALUATED</x:t>
        </x:is>
      </x:c>
      <x:c r="AO1719" s="604" t="inlineStr">
        <x:is>
          <x:t xml:space="preserve">LOW_QUALITY_GATE;BUCKET_PRIOR_ONLY;INTENT_INTERPRETATION_ONLY;FFL_OPTIONAL;EXPERT_MARKET</x:t>
        </x:is>
      </x:c>
      <x:c r="AP1719" s="604" t="inlineStr">
        <x:is>
          <x:t xml:space="preserve">aa0ebaf13f3bc5cbddfc</x:t>
        </x:is>
      </x:c>
      <x:c r="AQ1719" s="604" t="n"/>
      <x:c r="AR1719" s="604" t="n"/>
      <x:c r="AS1719" s="604" t="n">
        <x:v>1.5</x:v>
      </x:c>
      <x:c r="AT1719" s="604" t="n">
        <x:v>-1.5</x:v>
      </x:c>
      <x:c r="AU1719" s="604" t="n">
        <x:v>0.63</x:v>
      </x:c>
      <x:c r="AV1719" s="604" t="n">
        <x:v>1.09</x:v>
      </x:c>
      <x:c r="AW1719" s="604" t="inlineStr">
        <x:is>
          <x:t xml:space="preserve">2026-10-09T09:01:21.127001+08:00</x:t>
        </x:is>
      </x:c>
      <x:c r="AX1719" s="604" t="inlineStr">
        <x:is>
          <x:t xml:space="preserve">Titan007/V4</x:t>
        </x:is>
      </x:c>
      <x:c r="AY1719" s="604" t="inlineStr">
        <x:is>
          <x:t xml:space="preserve">Daily append；市场输入缺失时不生成决策</x:t>
        </x:is>
      </x:c>
    </x:row>
    <x:row r="1720" ht="22" customHeight="1">
      <x:c r="A1720" s="604" t="inlineStr">
        <x:is>
          <x:t xml:space="preserve">2026-10-09</x:t>
        </x:is>
      </x:c>
      <x:c r="B1720" s="604" t="inlineStr">
        <x:is>
          <x:t xml:space="preserve">2026-10-10T01:30:00+08:00</x:t>
        </x:is>
      </x:c>
      <x:c r="C1720" s="604" t="str">
        <x:v>五大联赛非顶级联赛</x:v>
      </x:c>
      <x:c r="D1720" s="604" t="inlineStr">
        <x:is>
          <x:t xml:space="preserve"/>
        </x:is>
      </x:c>
      <x:c r="E1720" s="604" t="inlineStr">
        <x:is>
          <x:t xml:space="preserve">德戊</x:t>
        </x:is>
      </x:c>
      <x:c r="F1720" s="604" t="inlineStr">
        <x:is>
          <x:t xml:space="preserve">奥布兰德 vs ESC葛特斯</x:t>
        </x:is>
      </x:c>
      <x:c r="G1720" s="604" t="n"/>
      <x:c r="H1720" s="604" t="n"/>
      <x:c r="I1720" s="604" t="n"/>
      <x:c r="J1720" s="604" t="inlineStr">
        <x:is>
          <x:t xml:space="preserve">//</x:t>
        </x:is>
      </x:c>
      <x:c r="K1720" s="604" t="inlineStr">
        <x:is>
          <x:t xml:space="preserve">V4不可用：市场输入缺失</x:t>
        </x:is>
      </x:c>
      <x:c r="L1720" s="604" t="inlineStr">
        <x:is>
          <x:t xml:space="preserve"/>
        </x:is>
      </x:c>
      <x:c r="M1720" s="604" t="n"/>
      <x:c r="N1720" s="604" t="inlineStr">
        <x:is>
          <x:t xml:space="preserve">V4 Shadow Only；real_money=false</x:t>
        </x:is>
      </x:c>
      <x:c r="O1720" s="604" t="inlineStr">
        <x:is>
          <x:t xml:space="preserve">0-0</x:t>
        </x:is>
      </x:c>
      <x:c r="P1720" s="604" t="inlineStr">
        <x:is>
          <x:t xml:space="preserve">MISSING_DATA</x:t>
        </x:is>
      </x:c>
      <x:c r="Q1720" s="630" t="inlineStr">
        <x:is>
          <x:t xml:space="preserve"/>
        </x:is>
      </x:c>
      <x:c r="R1720" s="604" t="n"/>
      <x:c r="S1720" s="604" t="n"/>
      <x:c r="T1720" s="604" t="inlineStr">
        <x:is>
          <x:t xml:space="preserve">D:\codex\v3_legacy\outputs\football_odds_trader\raw\titan007\20261009\20261009_085232_titan007_odds_snapshot.csv</x:t>
        </x:is>
      </x:c>
      <x:c r="U1720" s="628" t="inlineStr">
        <x:is>
          <x:t xml:space="preserve"/>
        </x:is>
      </x:c>
      <x:c r="V1720" s="604" t="inlineStr">
        <x:is>
          <x:t xml:space="preserve"/>
        </x:is>
      </x:c>
      <x:c r="W1720" s="604" t="inlineStr">
        <x:is>
          <x:t xml:space="preserve"/>
        </x:is>
      </x:c>
      <x:c r="X1720" s="604" t="inlineStr">
        <x:is>
          <x:t xml:space="preserve">3098074</x:t>
        </x:is>
      </x:c>
      <x:c r="Y1720" s="604" t="inlineStr">
        <x:is>
          <x:t xml:space="preserve">V4</x:t>
        </x:is>
      </x:c>
      <x:c r="Z1720" s="604" t="inlineStr">
        <x:is>
          <x:t xml:space="preserve">prior-2026-10-09-v1</x:t>
        </x:is>
      </x:c>
      <x:c r="AA1720" s="604" t="inlineStr">
        <x:is>
          <x:t xml:space="preserve"/>
        </x:is>
      </x:c>
      <x:c r="AB1720" s="604" t="n"/>
      <x:c r="AC1720" s="604" t="n"/>
      <x:c r="AD1720" s="604" t="n"/>
      <x:c r="AE1720" s="604" t="n"/>
      <x:c r="AF1720" s="604" t="n"/>
      <x:c r="AG1720" s="604" t="n"/>
      <x:c r="AH1720" s="604" t="n"/>
      <x:c r="AI1720" s="604" t="n"/>
      <x:c r="AJ1720" s="604" t="n"/>
      <x:c r="AK1720" s="604" t="n"/>
      <x:c r="AL1720" s="604" t="n"/>
      <x:c r="AM1720" s="604" t="n"/>
      <x:c r="AN1720" s="604" t="inlineStr">
        <x:is>
          <x:t xml:space="preserve">MISSING_DATA</x:t>
        </x:is>
      </x:c>
      <x:c r="AO1720" s="604" t="inlineStr">
        <x:is>
          <x:t xml:space="preserve">REQUIRED_MARKET_INPUT_MISSING</x:t>
        </x:is>
      </x:c>
      <x:c r="AP1720" s="604" t="inlineStr">
        <x:is>
          <x:t xml:space="preserve">f1d641c0a0c225a8e95d</x:t>
        </x:is>
      </x:c>
      <x:c r="AQ1720" s="604" t="n"/>
      <x:c r="AR1720" s="604" t="n"/>
      <x:c r="AS1720" s="604" t="n"/>
      <x:c r="AT1720" s="604" t="n"/>
      <x:c r="AU1720" s="604" t="n"/>
      <x:c r="AV1720" s="604" t="n"/>
      <x:c r="AW1720" s="604" t="inlineStr">
        <x:is>
          <x:t xml:space="preserve">2026-10-09T09:01:21.127001+08:00</x:t>
        </x:is>
      </x:c>
      <x:c r="AX1720" s="604" t="inlineStr">
        <x:is>
          <x:t xml:space="preserve">Titan007/V4</x:t>
        </x:is>
      </x:c>
      <x:c r="AY1720" s="604" t="inlineStr">
        <x:is>
          <x:t xml:space="preserve">Daily append；市场输入缺失时不生成决策</x:t>
        </x:is>
      </x:c>
    </x:row>
    <x:row r="1721" ht="22" customHeight="1">
      <x:c r="A1721" s="604" t="inlineStr">
        <x:is>
          <x:t xml:space="preserve">2026-10-09</x:t>
        </x:is>
      </x:c>
      <x:c r="B1721" s="604" t="inlineStr">
        <x:is>
          <x:t xml:space="preserve">2026-10-10T00:30:00+08:00</x:t>
        </x:is>
      </x:c>
      <x:c r="C1721" s="604" t="str">
        <x:v>五大联赛非顶级联赛</x:v>
      </x:c>
      <x:c r="D1721" s="604" t="inlineStr">
        <x:is>
          <x:t xml:space="preserve"/>
        </x:is>
      </x:c>
      <x:c r="E1721" s="604" t="inlineStr">
        <x:is>
          <x:t xml:space="preserve">德戊</x:t>
        </x:is>
      </x:c>
      <x:c r="F1721" s="604" t="inlineStr">
        <x:is>
          <x:t xml:space="preserve">比林古马 vs 云达不莱梅C队</x:t>
        </x:is>
      </x:c>
      <x:c r="G1721" s="604" t="n"/>
      <x:c r="H1721" s="604" t="n"/>
      <x:c r="I1721" s="604" t="n"/>
      <x:c r="J1721" s="604" t="inlineStr">
        <x:is>
          <x:t xml:space="preserve">//</x:t>
        </x:is>
      </x:c>
      <x:c r="K1721" s="604" t="inlineStr">
        <x:is>
          <x:t xml:space="preserve">V4不可用：市场输入缺失</x:t>
        </x:is>
      </x:c>
      <x:c r="L1721" s="604" t="inlineStr">
        <x:is>
          <x:t xml:space="preserve"/>
        </x:is>
      </x:c>
      <x:c r="M1721" s="604" t="n"/>
      <x:c r="N1721" s="604" t="inlineStr">
        <x:is>
          <x:t xml:space="preserve">V4 Shadow Only；real_money=false</x:t>
        </x:is>
      </x:c>
      <x:c r="O1721" s="604" t="inlineStr">
        <x:is>
          <x:t xml:space="preserve">0-0</x:t>
        </x:is>
      </x:c>
      <x:c r="P1721" s="604" t="inlineStr">
        <x:is>
          <x:t xml:space="preserve">MISSING_DATA</x:t>
        </x:is>
      </x:c>
      <x:c r="Q1721" s="630" t="inlineStr">
        <x:is>
          <x:t xml:space="preserve"/>
        </x:is>
      </x:c>
      <x:c r="R1721" s="604" t="n"/>
      <x:c r="S1721" s="604" t="n"/>
      <x:c r="T1721" s="604" t="inlineStr">
        <x:is>
          <x:t xml:space="preserve">D:\codex\v3_legacy\outputs\football_odds_trader\raw\titan007\20261009\20261009_085232_titan007_odds_snapshot.csv</x:t>
        </x:is>
      </x:c>
      <x:c r="U1721" s="628" t="inlineStr">
        <x:is>
          <x:t xml:space="preserve"/>
        </x:is>
      </x:c>
      <x:c r="V1721" s="604" t="inlineStr">
        <x:is>
          <x:t xml:space="preserve"/>
        </x:is>
      </x:c>
      <x:c r="W1721" s="604" t="inlineStr">
        <x:is>
          <x:t xml:space="preserve"/>
        </x:is>
      </x:c>
      <x:c r="X1721" s="604" t="inlineStr">
        <x:is>
          <x:t xml:space="preserve">3098075</x:t>
        </x:is>
      </x:c>
      <x:c r="Y1721" s="604" t="inlineStr">
        <x:is>
          <x:t xml:space="preserve">V4</x:t>
        </x:is>
      </x:c>
      <x:c r="Z1721" s="604" t="inlineStr">
        <x:is>
          <x:t xml:space="preserve">prior-2026-10-09-v1</x:t>
        </x:is>
      </x:c>
      <x:c r="AA1721" s="604" t="inlineStr">
        <x:is>
          <x:t xml:space="preserve"/>
        </x:is>
      </x:c>
      <x:c r="AB1721" s="604" t="n"/>
      <x:c r="AC1721" s="604" t="n"/>
      <x:c r="AD1721" s="604" t="n"/>
      <x:c r="AE1721" s="604" t="n"/>
      <x:c r="AF1721" s="604" t="n"/>
      <x:c r="AG1721" s="604" t="n"/>
      <x:c r="AH1721" s="604" t="n"/>
      <x:c r="AI1721" s="604" t="n"/>
      <x:c r="AJ1721" s="604" t="n"/>
      <x:c r="AK1721" s="604" t="n"/>
      <x:c r="AL1721" s="604" t="n"/>
      <x:c r="AM1721" s="604" t="n"/>
      <x:c r="AN1721" s="604" t="inlineStr">
        <x:is>
          <x:t xml:space="preserve">MISSING_DATA</x:t>
        </x:is>
      </x:c>
      <x:c r="AO1721" s="604" t="inlineStr">
        <x:is>
          <x:t xml:space="preserve">REQUIRED_MARKET_INPUT_MISSING</x:t>
        </x:is>
      </x:c>
      <x:c r="AP1721" s="604" t="inlineStr">
        <x:is>
          <x:t xml:space="preserve">cf731eefc0775a2fb329</x:t>
        </x:is>
      </x:c>
      <x:c r="AQ1721" s="604" t="n"/>
      <x:c r="AR1721" s="604" t="n"/>
      <x:c r="AS1721" s="604" t="n"/>
      <x:c r="AT1721" s="604" t="n"/>
      <x:c r="AU1721" s="604" t="n"/>
      <x:c r="AV1721" s="604" t="n"/>
      <x:c r="AW1721" s="604" t="inlineStr">
        <x:is>
          <x:t xml:space="preserve">2026-10-09T09:01:21.127001+08:00</x:t>
        </x:is>
      </x:c>
      <x:c r="AX1721" s="604" t="inlineStr">
        <x:is>
          <x:t xml:space="preserve">Titan007/V4</x:t>
        </x:is>
      </x:c>
      <x:c r="AY1721" s="604" t="inlineStr">
        <x:is>
          <x:t xml:space="preserve">Daily append；市场输入缺失时不生成决策</x:t>
        </x:is>
      </x:c>
    </x:row>
    <x:row r="1722" ht="22" customHeight="1">
      <x:c r="A1722" s="604" t="inlineStr">
        <x:is>
          <x:t xml:space="preserve">2026-10-09</x:t>
        </x:is>
      </x:c>
      <x:c r="B1722" s="604" t="inlineStr">
        <x:is>
          <x:t xml:space="preserve">2026-10-10T01:30:00+08:00</x:t>
        </x:is>
      </x:c>
      <x:c r="C1722" s="604" t="str">
        <x:v>五大联赛非顶级联赛</x:v>
      </x:c>
      <x:c r="D1722" s="604" t="inlineStr">
        <x:is>
          <x:t xml:space="preserve"/>
        </x:is>
      </x:c>
      <x:c r="E1722" s="604" t="inlineStr">
        <x:is>
          <x:t xml:space="preserve">德戊</x:t>
        </x:is>
      </x:c>
      <x:c r="F1722" s="604" t="inlineStr">
        <x:is>
          <x:t xml:space="preserve">勒赫尔 vs BTS诺伊施塔特</x:t>
        </x:is>
      </x:c>
      <x:c r="G1722" s="604" t="n"/>
      <x:c r="H1722" s="604" t="n"/>
      <x:c r="I1722" s="604" t="n"/>
      <x:c r="J1722" s="604" t="inlineStr">
        <x:is>
          <x:t xml:space="preserve">//</x:t>
        </x:is>
      </x:c>
      <x:c r="K1722" s="604" t="inlineStr">
        <x:is>
          <x:t xml:space="preserve">V4不可用：市场输入缺失</x:t>
        </x:is>
      </x:c>
      <x:c r="L1722" s="604" t="inlineStr">
        <x:is>
          <x:t xml:space="preserve"/>
        </x:is>
      </x:c>
      <x:c r="M1722" s="604" t="n"/>
      <x:c r="N1722" s="604" t="inlineStr">
        <x:is>
          <x:t xml:space="preserve">V4 Shadow Only；real_money=false</x:t>
        </x:is>
      </x:c>
      <x:c r="O1722" s="604" t="inlineStr">
        <x:is>
          <x:t xml:space="preserve">0-0</x:t>
        </x:is>
      </x:c>
      <x:c r="P1722" s="604" t="inlineStr">
        <x:is>
          <x:t xml:space="preserve">MISSING_DATA</x:t>
        </x:is>
      </x:c>
      <x:c r="Q1722" s="630" t="inlineStr">
        <x:is>
          <x:t xml:space="preserve"/>
        </x:is>
      </x:c>
      <x:c r="R1722" s="604" t="n"/>
      <x:c r="S1722" s="604" t="n"/>
      <x:c r="T1722" s="604" t="inlineStr">
        <x:is>
          <x:t xml:space="preserve">D:\codex\v3_legacy\outputs\football_odds_trader\raw\titan007\20261009\20261009_085232_titan007_odds_snapshot.csv</x:t>
        </x:is>
      </x:c>
      <x:c r="U1722" s="628" t="inlineStr">
        <x:is>
          <x:t xml:space="preserve"/>
        </x:is>
      </x:c>
      <x:c r="V1722" s="604" t="inlineStr">
        <x:is>
          <x:t xml:space="preserve"/>
        </x:is>
      </x:c>
      <x:c r="W1722" s="604" t="inlineStr">
        <x:is>
          <x:t xml:space="preserve"/>
        </x:is>
      </x:c>
      <x:c r="X1722" s="604" t="inlineStr">
        <x:is>
          <x:t xml:space="preserve">3098076</x:t>
        </x:is>
      </x:c>
      <x:c r="Y1722" s="604" t="inlineStr">
        <x:is>
          <x:t xml:space="preserve">V4</x:t>
        </x:is>
      </x:c>
      <x:c r="Z1722" s="604" t="inlineStr">
        <x:is>
          <x:t xml:space="preserve">prior-2026-10-09-v1</x:t>
        </x:is>
      </x:c>
      <x:c r="AA1722" s="604" t="inlineStr">
        <x:is>
          <x:t xml:space="preserve"/>
        </x:is>
      </x:c>
      <x:c r="AB1722" s="604" t="n"/>
      <x:c r="AC1722" s="604" t="n"/>
      <x:c r="AD1722" s="604" t="n"/>
      <x:c r="AE1722" s="604" t="n"/>
      <x:c r="AF1722" s="604" t="n"/>
      <x:c r="AG1722" s="604" t="n"/>
      <x:c r="AH1722" s="604" t="n"/>
      <x:c r="AI1722" s="604" t="n"/>
      <x:c r="AJ1722" s="604" t="n"/>
      <x:c r="AK1722" s="604" t="n"/>
      <x:c r="AL1722" s="604" t="n"/>
      <x:c r="AM1722" s="604" t="n"/>
      <x:c r="AN1722" s="604" t="inlineStr">
        <x:is>
          <x:t xml:space="preserve">MISSING_DATA</x:t>
        </x:is>
      </x:c>
      <x:c r="AO1722" s="604" t="inlineStr">
        <x:is>
          <x:t xml:space="preserve">REQUIRED_MARKET_INPUT_MISSING</x:t>
        </x:is>
      </x:c>
      <x:c r="AP1722" s="604" t="inlineStr">
        <x:is>
          <x:t xml:space="preserve">10feb1477f2901e09237</x:t>
        </x:is>
      </x:c>
      <x:c r="AQ1722" s="604" t="n"/>
      <x:c r="AR1722" s="604" t="n"/>
      <x:c r="AS1722" s="604" t="n"/>
      <x:c r="AT1722" s="604" t="n"/>
      <x:c r="AU1722" s="604" t="n"/>
      <x:c r="AV1722" s="604" t="n"/>
      <x:c r="AW1722" s="604" t="inlineStr">
        <x:is>
          <x:t xml:space="preserve">2026-10-09T09:01:21.127001+08:00</x:t>
        </x:is>
      </x:c>
      <x:c r="AX1722" s="604" t="inlineStr">
        <x:is>
          <x:t xml:space="preserve">Titan007/V4</x:t>
        </x:is>
      </x:c>
      <x:c r="AY1722" s="604" t="inlineStr">
        <x:is>
          <x:t xml:space="preserve">Daily append；市场输入缺失时不生成决策</x:t>
        </x:is>
      </x:c>
    </x:row>
    <x:row r="1723" ht="22" customHeight="1">
      <x:c r="A1723" s="604" t="inlineStr">
        <x:is>
          <x:t xml:space="preserve">2026-10-09</x:t>
        </x:is>
      </x:c>
      <x:c r="B1723" s="604" t="inlineStr">
        <x:is>
          <x:t xml:space="preserve">2026-10-10T02:00:00+08:00</x:t>
        </x:is>
      </x:c>
      <x:c r="C1723" s="604" t="str">
        <x:v>五大联赛非顶级联赛</x:v>
      </x:c>
      <x:c r="D1723" s="604" t="inlineStr">
        <x:is>
          <x:t xml:space="preserve"/>
        </x:is>
      </x:c>
      <x:c r="E1723" s="604" t="inlineStr">
        <x:is>
          <x:t xml:space="preserve">德戊</x:t>
        </x:is>
      </x:c>
      <x:c r="F1723" s="604" t="inlineStr">
        <x:is>
          <x:t xml:space="preserve">博恩海姆 vs 诺因基兴</x:t>
        </x:is>
      </x:c>
      <x:c r="G1723" s="604" t="n">
        <x:v>0.59</x:v>
      </x:c>
      <x:c r="H1723" s="604" t="n">
        <x:v>0</x:v>
      </x:c>
      <x:c r="I1723" s="604" t="n">
        <x:v>1.15</x:v>
      </x:c>
      <x:c r="J1723" s="604" t="inlineStr">
        <x:is>
          <x:t xml:space="preserve">0.59/0.0/1.15</x:t>
        </x:is>
      </x:c>
      <x:c r="K1723" s="604" t="inlineStr">
        <x:is>
          <x:t xml:space="preserve">V4-N</x:t>
        </x:is>
      </x:c>
      <x:c r="L1723" s="604" t="inlineStr">
        <x:is>
          <x:t xml:space="preserve"/>
        </x:is>
      </x:c>
      <x:c r="M1723" s="604" t="n"/>
      <x:c r="N1723" s="604" t="inlineStr">
        <x:is>
          <x:t xml:space="preserve">V4 Shadow Only；real_money=false</x:t>
        </x:is>
      </x:c>
      <x:c r="O1723" s="604" t="inlineStr">
        <x:is>
          <x:t xml:space="preserve">0-0</x:t>
        </x:is>
      </x:c>
      <x:c r="P1723" s="604" t="inlineStr">
        <x:is>
          <x:t xml:space="preserve">NEUTRAL</x:t>
        </x:is>
      </x:c>
      <x:c r="Q1723" s="630" t="inlineStr">
        <x:is>
          <x:t xml:space="preserve"/>
        </x:is>
      </x:c>
      <x:c r="R1723" s="604" t="n"/>
      <x:c r="S1723" s="604" t="n"/>
      <x:c r="T1723" s="604" t="inlineStr">
        <x:is>
          <x:t xml:space="preserve">D:\codex\v3_legacy\outputs\football_odds_trader\raw\titan007\20261009\20261009_085232_titan007_odds_snapshot.csv</x:t>
        </x:is>
      </x:c>
      <x:c r="U1723" s="628" t="inlineStr">
        <x:is>
          <x:t xml:space="preserve"/>
        </x:is>
      </x:c>
      <x:c r="V1723" s="604" t="inlineStr">
        <x:is>
          <x:t xml:space="preserve"/>
        </x:is>
      </x:c>
      <x:c r="W1723" s="604" t="inlineStr">
        <x:is>
          <x:t xml:space="preserve"/>
        </x:is>
      </x:c>
      <x:c r="X1723" s="604" t="inlineStr">
        <x:is>
          <x:t xml:space="preserve">3098077</x:t>
        </x:is>
      </x:c>
      <x:c r="Y1723" s="604" t="inlineStr">
        <x:is>
          <x:t xml:space="preserve">V4</x:t>
        </x:is>
      </x:c>
      <x:c r="Z1723" s="604" t="inlineStr">
        <x:is>
          <x:t xml:space="preserve">prior-2026-10-09-v1</x:t>
        </x:is>
      </x:c>
      <x:c r="AA1723" s="604" t="inlineStr">
        <x:is>
          <x:t xml:space="preserve">N</x:t>
        </x:is>
      </x:c>
      <x:c r="AB1723" s="604" t="n"/>
      <x:c r="AC1723" s="604" t="n"/>
      <x:c r="AD1723" s="604" t="n"/>
      <x:c r="AE1723" s="604" t="n"/>
      <x:c r="AF1723" s="604" t="n"/>
      <x:c r="AG1723" s="604" t="n"/>
      <x:c r="AH1723" s="604" t="n"/>
      <x:c r="AI1723" s="604" t="n"/>
      <x:c r="AJ1723" s="604" t="n"/>
      <x:c r="AK1723" s="604" t="n"/>
      <x:c r="AL1723" s="604" t="n"/>
      <x:c r="AM1723" s="604" t="n"/>
      <x:c r="AN1723" s="604" t="inlineStr">
        <x:is>
          <x:t xml:space="preserve">NEUTRAL</x:t>
        </x:is>
      </x:c>
      <x:c r="AO1723" s="604" t="inlineStr">
        <x:is>
          <x:t xml:space="preserve">PK_NO_GIVING_RECEIVING_IDENTITY</x:t>
        </x:is>
      </x:c>
      <x:c r="AP1723" s="604" t="inlineStr">
        <x:is>
          <x:t xml:space="preserve">20f97a44212c306f4399</x:t>
        </x:is>
      </x:c>
      <x:c r="AQ1723" s="604" t="n"/>
      <x:c r="AR1723" s="604" t="n"/>
      <x:c r="AS1723" s="604" t="n"/>
      <x:c r="AT1723" s="604" t="n"/>
      <x:c r="AU1723" s="604" t="n"/>
      <x:c r="AV1723" s="604" t="n"/>
      <x:c r="AW1723" s="604" t="inlineStr">
        <x:is>
          <x:t xml:space="preserve">2026-10-09T09:01:21.127001+08:00</x:t>
        </x:is>
      </x:c>
      <x:c r="AX1723" s="604" t="inlineStr">
        <x:is>
          <x:t xml:space="preserve">Titan007/V4</x:t>
        </x:is>
      </x:c>
      <x:c r="AY1723" s="604" t="inlineStr">
        <x:is>
          <x:t xml:space="preserve">Daily append；市场输入缺失时不生成决策</x:t>
        </x:is>
      </x:c>
    </x:row>
    <x:row r="1724" ht="22" customHeight="1">
      <x:c r="A1724" s="604" t="inlineStr">
        <x:is>
          <x:t xml:space="preserve">2026-10-09</x:t>
        </x:is>
      </x:c>
      <x:c r="B1724" s="604" t="inlineStr">
        <x:is>
          <x:t xml:space="preserve">2026-10-09T19:30:00+08:00</x:t>
        </x:is>
      </x:c>
      <x:c r="C1724" s="604" t="str">
        <x:v>西亚/中亚系列</x:v>
      </x:c>
      <x:c r="D1724" s="604" t="inlineStr">
        <x:is>
          <x:t xml:space="preserve"/>
        </x:is>
      </x:c>
      <x:c r="E1724" s="604" t="inlineStr">
        <x:is>
          <x:t xml:space="preserve">阿塞甲</x:t>
        </x:is>
      </x:c>
      <x:c r="F1724" s="604" t="inlineStr">
        <x:is>
          <x:t xml:space="preserve">莫克 vs 埃涅尔格提克</x:t>
        </x:is>
      </x:c>
      <x:c r="G1724" s="604" t="n">
        <x:v>1.03</x:v>
      </x:c>
      <x:c r="H1724" s="604" t="n">
        <x:v>0.25</x:v>
      </x:c>
      <x:c r="I1724" s="604" t="n">
        <x:v>0.78</x:v>
      </x:c>
      <x:c r="J1724" s="604" t="inlineStr">
        <x:is>
          <x:t xml:space="preserve">1.03/0.25/0.78</x:t>
        </x:is>
      </x:c>
      <x:c r="K1724" s="604" t="inlineStr">
        <x:is>
          <x:t xml:space="preserve">V4-N</x:t>
        </x:is>
      </x:c>
      <x:c r="L1724" s="604" t="inlineStr">
        <x:is>
          <x:t xml:space="preserve"/>
        </x:is>
      </x:c>
      <x:c r="M1724" s="604" t="n">
        <x:v>0.3698521690417764</x:v>
      </x:c>
      <x:c r="N1724" s="604" t="inlineStr">
        <x:is>
          <x:t xml:space="preserve">V4 Shadow Only；real_money=false</x:t>
        </x:is>
      </x:c>
      <x:c r="O1724" s="604" t="inlineStr">
        <x:is>
          <x:t xml:space="preserve">0-0</x:t>
        </x:is>
      </x:c>
      <x:c r="P1724" s="604" t="inlineStr">
        <x:is>
          <x:t xml:space="preserve">EVALUATED</x:t>
        </x:is>
      </x:c>
      <x:c r="Q1724" s="630" t="inlineStr">
        <x:is>
          <x:t xml:space="preserve"/>
        </x:is>
      </x:c>
      <x:c r="R1724" s="604" t="n"/>
      <x:c r="S1724" s="604" t="n"/>
      <x:c r="T1724" s="604" t="inlineStr">
        <x:is>
          <x:t xml:space="preserve">D:\codex\v3_legacy\outputs\football_odds_trader\raw\titan007\20261009\20261009_085232_titan007_odds_snapshot.csv</x:t>
        </x:is>
      </x:c>
      <x:c r="U1724" s="628" t="inlineStr">
        <x:is>
          <x:t xml:space="preserve"/>
        </x:is>
      </x:c>
      <x:c r="V1724" s="604" t="inlineStr">
        <x:is>
          <x:t xml:space="preserve"/>
        </x:is>
      </x:c>
      <x:c r="W1724" s="604" t="inlineStr">
        <x:is>
          <x:t xml:space="preserve"/>
        </x:is>
      </x:c>
      <x:c r="X1724" s="604" t="inlineStr">
        <x:is>
          <x:t xml:space="preserve">3098078</x:t>
        </x:is>
      </x:c>
      <x:c r="Y1724" s="604" t="inlineStr">
        <x:is>
          <x:t xml:space="preserve">V4</x:t>
        </x:is>
      </x:c>
      <x:c r="Z1724" s="604" t="inlineStr">
        <x:is>
          <x:t xml:space="preserve">prior-2026-10-09-v1</x:t>
        </x:is>
      </x:c>
      <x:c r="AA1724" s="604" t="inlineStr">
        <x:is>
          <x:t xml:space="preserve">N</x:t>
        </x:is>
      </x:c>
      <x:c r="AB1724" s="604" t="n">
        <x:v>0.3698521690417764</x:v>
      </x:c>
      <x:c r="AC1724" s="604" t="n">
        <x:v>0.4984063380990965</x:v>
      </x:c>
      <x:c r="AD1724" s="604" t="n">
        <x:v>0</x:v>
      </x:c>
      <x:c r="AE1724" s="604" t="n"/>
      <x:c r="AF1724" s="604" t="n"/>
      <x:c r="AG1724" s="604" t="n">
        <x:v>0.01890477467551888</x:v>
      </x:c>
      <x:c r="AH1724" s="604" t="n"/>
      <x:c r="AI1724" s="604" t="n"/>
      <x:c r="AJ1724" s="604" t="n">
        <x:v>0.01890477467551888</x:v>
      </x:c>
      <x:c r="AK1724" s="604" t="n"/>
      <x:c r="AL1724" s="604" t="n"/>
      <x:c r="AM1724" s="604" t="n"/>
      <x:c r="AN1724" s="604" t="inlineStr">
        <x:is>
          <x:t xml:space="preserve">EVALUATED</x:t>
        </x:is>
      </x:c>
      <x:c r="AO1724" s="604" t="inlineStr">
        <x:is>
          <x:t xml:space="preserve">EDGE_BELOW_UNCERTAINTY_THRESHOLD;BUCKET_PRIOR_ONLY;INTENT_INTERPRETATION_ONLY;FFL_OPTIONAL;EXPERT_MARKET</x:t>
        </x:is>
      </x:c>
      <x:c r="AP1724" s="604" t="inlineStr">
        <x:is>
          <x:t xml:space="preserve">5d95b1dcd3443363763f</x:t>
        </x:is>
      </x:c>
      <x:c r="AQ1724" s="604" t="n"/>
      <x:c r="AR1724" s="604" t="n"/>
      <x:c r="AS1724" s="604" t="n">
        <x:v>0.25</x:v>
      </x:c>
      <x:c r="AT1724" s="604" t="n">
        <x:v>-0.25</x:v>
      </x:c>
      <x:c r="AU1724" s="604" t="n">
        <x:v>1.03</x:v>
      </x:c>
      <x:c r="AV1724" s="604" t="n">
        <x:v>0.78</x:v>
      </x:c>
      <x:c r="AW1724" s="604" t="inlineStr">
        <x:is>
          <x:t xml:space="preserve">2026-10-09T09:01:21.127001+08:00</x:t>
        </x:is>
      </x:c>
      <x:c r="AX1724" s="604" t="inlineStr">
        <x:is>
          <x:t xml:space="preserve">Titan007/V4</x:t>
        </x:is>
      </x:c>
      <x:c r="AY1724" s="604" t="inlineStr">
        <x:is>
          <x:t xml:space="preserve">Daily append；市场输入缺失时不生成决策</x:t>
        </x:is>
      </x:c>
    </x:row>
    <x:row r="1725" ht="22" customHeight="1">
      <x:c r="A1725" s="604" t="inlineStr">
        <x:is>
          <x:t xml:space="preserve">2026-10-09</x:t>
        </x:is>
      </x:c>
      <x:c r="B1725" s="604" t="inlineStr">
        <x:is>
          <x:t xml:space="preserve">2026-10-09T19:30:00+08:00</x:t>
        </x:is>
      </x:c>
      <x:c r="C1725" s="604" t="str">
        <x:v>西亚/中亚系列</x:v>
      </x:c>
      <x:c r="D1725" s="604" t="inlineStr">
        <x:is>
          <x:t xml:space="preserve"/>
        </x:is>
      </x:c>
      <x:c r="E1725" s="604" t="inlineStr">
        <x:is>
          <x:t xml:space="preserve">阿塞甲</x:t>
        </x:is>
      </x:c>
      <x:c r="F1725" s="604" t="inlineStr">
        <x:is>
          <x:t xml:space="preserve">西马尔 vs 卡拉巴格汉肯迪</x:t>
        </x:is>
      </x:c>
      <x:c r="G1725" s="604" t="n">
        <x:v>0.95</x:v>
      </x:c>
      <x:c r="H1725" s="604" t="n">
        <x:v>-0.25</x:v>
      </x:c>
      <x:c r="I1725" s="604" t="n">
        <x:v>0.85</x:v>
      </x:c>
      <x:c r="J1725" s="604" t="inlineStr">
        <x:is>
          <x:t xml:space="preserve">0.95/-0.25/0.85</x:t>
        </x:is>
      </x:c>
      <x:c r="K1725" s="604" t="inlineStr">
        <x:is>
          <x:t xml:space="preserve">V4-N</x:t>
        </x:is>
      </x:c>
      <x:c r="L1725" s="604" t="inlineStr">
        <x:is>
          <x:t xml:space="preserve"/>
        </x:is>
      </x:c>
      <x:c r="M1725" s="604" t="n">
        <x:v>0.3024008271697376</x:v>
      </x:c>
      <x:c r="N1725" s="604" t="inlineStr">
        <x:is>
          <x:t xml:space="preserve">V4 Shadow Only；real_money=false</x:t>
        </x:is>
      </x:c>
      <x:c r="O1725" s="604" t="inlineStr">
        <x:is>
          <x:t xml:space="preserve">0-0</x:t>
        </x:is>
      </x:c>
      <x:c r="P1725" s="604" t="inlineStr">
        <x:is>
          <x:t xml:space="preserve">EVALUATED</x:t>
        </x:is>
      </x:c>
      <x:c r="Q1725" s="630" t="inlineStr">
        <x:is>
          <x:t xml:space="preserve"/>
        </x:is>
      </x:c>
      <x:c r="R1725" s="604" t="n"/>
      <x:c r="S1725" s="604" t="n"/>
      <x:c r="T1725" s="604" t="inlineStr">
        <x:is>
          <x:t xml:space="preserve">D:\codex\v3_legacy\outputs\football_odds_trader\raw\titan007\20261009\20261009_085232_titan007_odds_snapshot.csv</x:t>
        </x:is>
      </x:c>
      <x:c r="U1725" s="628" t="inlineStr">
        <x:is>
          <x:t xml:space="preserve"/>
        </x:is>
      </x:c>
      <x:c r="V1725" s="604" t="inlineStr">
        <x:is>
          <x:t xml:space="preserve"/>
        </x:is>
      </x:c>
      <x:c r="W1725" s="604" t="inlineStr">
        <x:is>
          <x:t xml:space="preserve"/>
        </x:is>
      </x:c>
      <x:c r="X1725" s="604" t="inlineStr">
        <x:is>
          <x:t xml:space="preserve">3098079</x:t>
        </x:is>
      </x:c>
      <x:c r="Y1725" s="604" t="inlineStr">
        <x:is>
          <x:t xml:space="preserve">V4</x:t>
        </x:is>
      </x:c>
      <x:c r="Z1725" s="604" t="inlineStr">
        <x:is>
          <x:t xml:space="preserve">prior-2026-10-09-v1</x:t>
        </x:is>
      </x:c>
      <x:c r="AA1725" s="604" t="inlineStr">
        <x:is>
          <x:t xml:space="preserve">N</x:t>
        </x:is>
      </x:c>
      <x:c r="AB1725" s="604" t="n">
        <x:v>0.3024008271697376</x:v>
      </x:c>
      <x:c r="AC1725" s="604" t="n">
        <x:v>0.5671967862147113</x:v>
      </x:c>
      <x:c r="AD1725" s="604" t="n">
        <x:v>-0.25</x:v>
      </x:c>
      <x:c r="AE1725" s="604" t="n"/>
      <x:c r="AF1725" s="604" t="n"/>
      <x:c r="AG1725" s="604" t="n">
        <x:v>0.2364361197342381</x:v>
      </x:c>
      <x:c r="AH1725" s="604" t="n"/>
      <x:c r="AI1725" s="604" t="n"/>
      <x:c r="AJ1725" s="604" t="n">
        <x:v>0.2364361197342381</x:v>
      </x:c>
      <x:c r="AK1725" s="604" t="n"/>
      <x:c r="AL1725" s="604" t="n"/>
      <x:c r="AM1725" s="604" t="n"/>
      <x:c r="AN1725" s="604" t="inlineStr">
        <x:is>
          <x:t xml:space="preserve">EVALUATED</x:t>
        </x:is>
      </x:c>
      <x:c r="AO1725" s="604" t="inlineStr">
        <x:is>
          <x:t xml:space="preserve">LOW_QUALITY_GATE;BUCKET_PRIOR_ONLY;INTENT_INTERPRETATION_ONLY;FFL_OPTIONAL;EXPERT_MARKET</x:t>
        </x:is>
      </x:c>
      <x:c r="AP1725" s="604" t="inlineStr">
        <x:is>
          <x:t xml:space="preserve">ba095bf62d75e8274c67</x:t>
        </x:is>
      </x:c>
      <x:c r="AQ1725" s="604" t="n"/>
      <x:c r="AR1725" s="604" t="n"/>
      <x:c r="AS1725" s="604" t="n">
        <x:v>-0.25</x:v>
      </x:c>
      <x:c r="AT1725" s="604" t="n">
        <x:v>0.25</x:v>
      </x:c>
      <x:c r="AU1725" s="604" t="n">
        <x:v>0.95</x:v>
      </x:c>
      <x:c r="AV1725" s="604" t="n">
        <x:v>0.85</x:v>
      </x:c>
      <x:c r="AW1725" s="604" t="inlineStr">
        <x:is>
          <x:t xml:space="preserve">2026-10-09T09:01:21.127001+08:00</x:t>
        </x:is>
      </x:c>
      <x:c r="AX1725" s="604" t="inlineStr">
        <x:is>
          <x:t xml:space="preserve">Titan007/V4</x:t>
        </x:is>
      </x:c>
      <x:c r="AY1725" s="604" t="inlineStr">
        <x:is>
          <x:t xml:space="preserve">Daily append；市场输入缺失时不生成决策</x:t>
        </x:is>
      </x:c>
    </x:row>
    <x:row r="1726" ht="22" customHeight="1">
      <x:c r="A1726" s="604" t="inlineStr">
        <x:is>
          <x:t xml:space="preserve">2026-10-09</x:t>
        </x:is>
      </x:c>
      <x:c r="B1726" s="604" t="inlineStr">
        <x:is>
          <x:t xml:space="preserve">2026-10-09T20:30:00+08:00</x:t>
        </x:is>
      </x:c>
      <x:c r="C1726" s="604" t="str">
        <x:v>欧洲非五大系列</x:v>
      </x:c>
      <x:c r="D1726" s="604" t="inlineStr">
        <x:is>
          <x:t xml:space="preserve"/>
        </x:is>
      </x:c>
      <x:c r="E1726" s="604" t="inlineStr">
        <x:is>
          <x:t xml:space="preserve">挪威U19</x:t>
        </x:is>
      </x:c>
      <x:c r="F1726" s="604" t="inlineStr">
        <x:is>
          <x:t xml:space="preserve">费德列斯达U19 vs 布兰U19</x:t>
        </x:is>
      </x:c>
      <x:c r="G1726" s="604" t="n">
        <x:v>0.85</x:v>
      </x:c>
      <x:c r="H1726" s="604" t="n">
        <x:v>-0.75</x:v>
      </x:c>
      <x:c r="I1726" s="604" t="n">
        <x:v>0.95</x:v>
      </x:c>
      <x:c r="J1726" s="604" t="inlineStr">
        <x:is>
          <x:t xml:space="preserve">0.85/-0.75/0.95</x:t>
        </x:is>
      </x:c>
      <x:c r="K1726" s="604" t="inlineStr">
        <x:is>
          <x:t xml:space="preserve">V4-N</x:t>
        </x:is>
      </x:c>
      <x:c r="L1726" s="604" t="inlineStr">
        <x:is>
          <x:t xml:space="preserve"/>
        </x:is>
      </x:c>
      <x:c r="M1726" s="604" t="n">
        <x:v>0.1848713695286819</x:v>
      </x:c>
      <x:c r="N1726" s="604" t="inlineStr">
        <x:is>
          <x:t xml:space="preserve">V4 Shadow Only；real_money=false</x:t>
        </x:is>
      </x:c>
      <x:c r="O1726" s="604" t="inlineStr">
        <x:is>
          <x:t xml:space="preserve">0-0</x:t>
        </x:is>
      </x:c>
      <x:c r="P1726" s="604" t="inlineStr">
        <x:is>
          <x:t xml:space="preserve">EVALUATED</x:t>
        </x:is>
      </x:c>
      <x:c r="Q1726" s="630" t="inlineStr">
        <x:is>
          <x:t xml:space="preserve"/>
        </x:is>
      </x:c>
      <x:c r="R1726" s="604" t="n"/>
      <x:c r="S1726" s="604" t="n"/>
      <x:c r="T1726" s="604" t="inlineStr">
        <x:is>
          <x:t xml:space="preserve">D:\codex\v3_legacy\outputs\football_odds_trader\raw\titan007\20261009\20261009_085232_titan007_odds_snapshot.csv</x:t>
        </x:is>
      </x:c>
      <x:c r="U1726" s="628" t="inlineStr">
        <x:is>
          <x:t xml:space="preserve"/>
        </x:is>
      </x:c>
      <x:c r="V1726" s="604" t="inlineStr">
        <x:is>
          <x:t xml:space="preserve"/>
        </x:is>
      </x:c>
      <x:c r="W1726" s="604" t="inlineStr">
        <x:is>
          <x:t xml:space="preserve"/>
        </x:is>
      </x:c>
      <x:c r="X1726" s="604" t="inlineStr">
        <x:is>
          <x:t xml:space="preserve">3098080</x:t>
        </x:is>
      </x:c>
      <x:c r="Y1726" s="604" t="inlineStr">
        <x:is>
          <x:t xml:space="preserve">V4</x:t>
        </x:is>
      </x:c>
      <x:c r="Z1726" s="604" t="inlineStr">
        <x:is>
          <x:t xml:space="preserve">prior-2026-10-09-v1</x:t>
        </x:is>
      </x:c>
      <x:c r="AA1726" s="604" t="inlineStr">
        <x:is>
          <x:t xml:space="preserve">N</x:t>
        </x:is>
      </x:c>
      <x:c r="AB1726" s="604" t="n">
        <x:v>0.1848713695286819</x:v>
      </x:c>
      <x:c r="AC1726" s="604" t="n">
        <x:v>0.7329681956340862</x:v>
      </x:c>
      <x:c r="AD1726" s="604" t="n">
        <x:v>-0.5</x:v>
      </x:c>
      <x:c r="AE1726" s="604" t="n"/>
      <x:c r="AF1726" s="604" t="n"/>
      <x:c r="AG1726" s="604" t="n">
        <x:v>0.4381515967602914</x:v>
      </x:c>
      <x:c r="AH1726" s="604" t="n"/>
      <x:c r="AI1726" s="604" t="n"/>
      <x:c r="AJ1726" s="604" t="n">
        <x:v>0.4381515967602914</x:v>
      </x:c>
      <x:c r="AK1726" s="604" t="n"/>
      <x:c r="AL1726" s="604" t="n"/>
      <x:c r="AM1726" s="604" t="n"/>
      <x:c r="AN1726" s="604" t="inlineStr">
        <x:is>
          <x:t xml:space="preserve">EVALUATED</x:t>
        </x:is>
      </x:c>
      <x:c r="AO1726" s="604" t="inlineStr">
        <x:is>
          <x:t xml:space="preserve">LOW_QUALITY_GATE;BUCKET_PRIOR_ONLY;INTENT_INTERPRETATION_ONLY;FFL_OPTIONAL;EXPERT_MARKET</x:t>
        </x:is>
      </x:c>
      <x:c r="AP1726" s="604" t="inlineStr">
        <x:is>
          <x:t xml:space="preserve">80464e472ff38da9c0d7</x:t>
        </x:is>
      </x:c>
      <x:c r="AQ1726" s="604" t="n"/>
      <x:c r="AR1726" s="604" t="n"/>
      <x:c r="AS1726" s="604" t="n">
        <x:v>-0.75</x:v>
      </x:c>
      <x:c r="AT1726" s="604" t="n">
        <x:v>0.75</x:v>
      </x:c>
      <x:c r="AU1726" s="604" t="n">
        <x:v>0.85</x:v>
      </x:c>
      <x:c r="AV1726" s="604" t="n">
        <x:v>0.95</x:v>
      </x:c>
      <x:c r="AW1726" s="604" t="inlineStr">
        <x:is>
          <x:t xml:space="preserve">2026-10-09T09:01:21.127001+08:00</x:t>
        </x:is>
      </x:c>
      <x:c r="AX1726" s="604" t="inlineStr">
        <x:is>
          <x:t xml:space="preserve">Titan007/V4</x:t>
        </x:is>
      </x:c>
      <x:c r="AY1726" s="604" t="inlineStr">
        <x:is>
          <x:t xml:space="preserve">Daily append；市场输入缺失时不生成决策</x:t>
        </x:is>
      </x:c>
    </x:row>
    <x:row r="1727" ht="22" customHeight="1">
      <x:c r="A1727" s="604" t="inlineStr">
        <x:is>
          <x:t xml:space="preserve">2026-10-09</x:t>
        </x:is>
      </x:c>
      <x:c r="B1727" s="604" t="inlineStr">
        <x:is>
          <x:t xml:space="preserve">2026-10-10T00:30:00+08:00</x:t>
        </x:is>
      </x:c>
      <x:c r="C1727" s="604" t="str">
        <x:v>欧洲非五大系列</x:v>
      </x:c>
      <x:c r="D1727" s="604" t="inlineStr">
        <x:is>
          <x:t xml:space="preserve"/>
        </x:is>
      </x:c>
      <x:c r="E1727" s="604" t="inlineStr">
        <x:is>
          <x:t xml:space="preserve">丹麦丁</x:t>
        </x:is>
      </x:c>
      <x:c r="F1727" s="604" t="inlineStr">
        <x:is>
          <x:t xml:space="preserve">韦加尔 vs 霍尔斯特布罗B队</x:t>
        </x:is>
      </x:c>
      <x:c r="G1727" s="604" t="n"/>
      <x:c r="H1727" s="604" t="n"/>
      <x:c r="I1727" s="604" t="n"/>
      <x:c r="J1727" s="604" t="inlineStr">
        <x:is>
          <x:t xml:space="preserve">//</x:t>
        </x:is>
      </x:c>
      <x:c r="K1727" s="604" t="inlineStr">
        <x:is>
          <x:t xml:space="preserve">V4不可用：市场输入缺失</x:t>
        </x:is>
      </x:c>
      <x:c r="L1727" s="604" t="inlineStr">
        <x:is>
          <x:t xml:space="preserve"/>
        </x:is>
      </x:c>
      <x:c r="M1727" s="604" t="n"/>
      <x:c r="N1727" s="604" t="inlineStr">
        <x:is>
          <x:t xml:space="preserve">V4 Shadow Only；real_money=false</x:t>
        </x:is>
      </x:c>
      <x:c r="O1727" s="604" t="inlineStr">
        <x:is>
          <x:t xml:space="preserve">0-0</x:t>
        </x:is>
      </x:c>
      <x:c r="P1727" s="604" t="inlineStr">
        <x:is>
          <x:t xml:space="preserve">MISSING_DATA</x:t>
        </x:is>
      </x:c>
      <x:c r="Q1727" s="630" t="inlineStr">
        <x:is>
          <x:t xml:space="preserve"/>
        </x:is>
      </x:c>
      <x:c r="R1727" s="604" t="n"/>
      <x:c r="S1727" s="604" t="n"/>
      <x:c r="T1727" s="604" t="inlineStr">
        <x:is>
          <x:t xml:space="preserve">D:\codex\v3_legacy\outputs\football_odds_trader\raw\titan007\20261009\20261009_085232_titan007_odds_snapshot.csv</x:t>
        </x:is>
      </x:c>
      <x:c r="U1727" s="628" t="inlineStr">
        <x:is>
          <x:t xml:space="preserve"/>
        </x:is>
      </x:c>
      <x:c r="V1727" s="604" t="inlineStr">
        <x:is>
          <x:t xml:space="preserve"/>
        </x:is>
      </x:c>
      <x:c r="W1727" s="604" t="inlineStr">
        <x:is>
          <x:t xml:space="preserve"/>
        </x:is>
      </x:c>
      <x:c r="X1727" s="604" t="inlineStr">
        <x:is>
          <x:t xml:space="preserve">3098081</x:t>
        </x:is>
      </x:c>
      <x:c r="Y1727" s="604" t="inlineStr">
        <x:is>
          <x:t xml:space="preserve">V4</x:t>
        </x:is>
      </x:c>
      <x:c r="Z1727" s="604" t="inlineStr">
        <x:is>
          <x:t xml:space="preserve">prior-2026-10-09-v1</x:t>
        </x:is>
      </x:c>
      <x:c r="AA1727" s="604" t="inlineStr">
        <x:is>
          <x:t xml:space="preserve"/>
        </x:is>
      </x:c>
      <x:c r="AB1727" s="604" t="n"/>
      <x:c r="AC1727" s="604" t="n"/>
      <x:c r="AD1727" s="604" t="n"/>
      <x:c r="AE1727" s="604" t="n"/>
      <x:c r="AF1727" s="604" t="n"/>
      <x:c r="AG1727" s="604" t="n"/>
      <x:c r="AH1727" s="604" t="n"/>
      <x:c r="AI1727" s="604" t="n"/>
      <x:c r="AJ1727" s="604" t="n"/>
      <x:c r="AK1727" s="604" t="n"/>
      <x:c r="AL1727" s="604" t="n"/>
      <x:c r="AM1727" s="604" t="n"/>
      <x:c r="AN1727" s="604" t="inlineStr">
        <x:is>
          <x:t xml:space="preserve">MISSING_DATA</x:t>
        </x:is>
      </x:c>
      <x:c r="AO1727" s="604" t="inlineStr">
        <x:is>
          <x:t xml:space="preserve">REQUIRED_MARKET_INPUT_MISSING</x:t>
        </x:is>
      </x:c>
      <x:c r="AP1727" s="604" t="inlineStr">
        <x:is>
          <x:t xml:space="preserve">d0380c72e7b1a23f17b0</x:t>
        </x:is>
      </x:c>
      <x:c r="AQ1727" s="604" t="n"/>
      <x:c r="AR1727" s="604" t="n"/>
      <x:c r="AS1727" s="604" t="n"/>
      <x:c r="AT1727" s="604" t="n"/>
      <x:c r="AU1727" s="604" t="n"/>
      <x:c r="AV1727" s="604" t="n"/>
      <x:c r="AW1727" s="604" t="inlineStr">
        <x:is>
          <x:t xml:space="preserve">2026-10-09T09:01:21.127001+08:00</x:t>
        </x:is>
      </x:c>
      <x:c r="AX1727" s="604" t="inlineStr">
        <x:is>
          <x:t xml:space="preserve">Titan007/V4</x:t>
        </x:is>
      </x:c>
      <x:c r="AY1727" s="604" t="inlineStr">
        <x:is>
          <x:t xml:space="preserve">Daily append；市场输入缺失时不生成决策</x:t>
        </x:is>
      </x:c>
    </x:row>
    <x:row r="1728" ht="22" customHeight="1">
      <x:c r="A1728" s="604" t="inlineStr">
        <x:is>
          <x:t xml:space="preserve">2026-10-09</x:t>
        </x:is>
      </x:c>
      <x:c r="B1728" s="604" t="inlineStr">
        <x:is>
          <x:t xml:space="preserve">2026-10-09T18:00:00+08:00</x:t>
        </x:is>
      </x:c>
      <x:c r="C1728" s="604" t="str">
        <x:v>其他系列</x:v>
      </x:c>
      <x:c r="D1728" s="604" t="inlineStr">
        <x:is>
          <x:t xml:space="preserve"/>
        </x:is>
      </x:c>
      <x:c r="E1728" s="604" t="inlineStr">
        <x:is>
          <x:t xml:space="preserve">国际友谊</x:t>
        </x:is>
      </x:c>
      <x:c r="F1728" s="604" t="inlineStr">
        <x:is>
          <x:t xml:space="preserve">奥地利女足U19 vs 荷兰女足U19</x:t>
        </x:is>
      </x:c>
      <x:c r="G1728" s="604" t="n"/>
      <x:c r="H1728" s="604" t="n"/>
      <x:c r="I1728" s="604" t="n"/>
      <x:c r="J1728" s="604" t="inlineStr">
        <x:is>
          <x:t xml:space="preserve">//</x:t>
        </x:is>
      </x:c>
      <x:c r="K1728" s="604" t="inlineStr">
        <x:is>
          <x:t xml:space="preserve">V4不可用：市场输入缺失</x:t>
        </x:is>
      </x:c>
      <x:c r="L1728" s="604" t="inlineStr">
        <x:is>
          <x:t xml:space="preserve"/>
        </x:is>
      </x:c>
      <x:c r="M1728" s="604" t="n"/>
      <x:c r="N1728" s="604" t="inlineStr">
        <x:is>
          <x:t xml:space="preserve">V4 Shadow Only；real_money=false</x:t>
        </x:is>
      </x:c>
      <x:c r="O1728" s="604" t="inlineStr">
        <x:is>
          <x:t xml:space="preserve">0-0</x:t>
        </x:is>
      </x:c>
      <x:c r="P1728" s="604" t="inlineStr">
        <x:is>
          <x:t xml:space="preserve">MISSING_DATA</x:t>
        </x:is>
      </x:c>
      <x:c r="Q1728" s="630" t="inlineStr">
        <x:is>
          <x:t xml:space="preserve"/>
        </x:is>
      </x:c>
      <x:c r="R1728" s="604" t="n"/>
      <x:c r="S1728" s="604" t="n"/>
      <x:c r="T1728" s="604" t="inlineStr">
        <x:is>
          <x:t xml:space="preserve">D:\codex\v3_legacy\outputs\football_odds_trader\raw\titan007\20261009\20261009_085232_titan007_odds_snapshot.csv</x:t>
        </x:is>
      </x:c>
      <x:c r="U1728" s="628" t="inlineStr">
        <x:is>
          <x:t xml:space="preserve"/>
        </x:is>
      </x:c>
      <x:c r="V1728" s="604" t="inlineStr">
        <x:is>
          <x:t xml:space="preserve"/>
        </x:is>
      </x:c>
      <x:c r="W1728" s="604" t="inlineStr">
        <x:is>
          <x:t xml:space="preserve"/>
        </x:is>
      </x:c>
      <x:c r="X1728" s="604" t="inlineStr">
        <x:is>
          <x:t xml:space="preserve">3098082</x:t>
        </x:is>
      </x:c>
      <x:c r="Y1728" s="604" t="inlineStr">
        <x:is>
          <x:t xml:space="preserve">V4</x:t>
        </x:is>
      </x:c>
      <x:c r="Z1728" s="604" t="inlineStr">
        <x:is>
          <x:t xml:space="preserve">prior-2026-10-09-v1</x:t>
        </x:is>
      </x:c>
      <x:c r="AA1728" s="604" t="inlineStr">
        <x:is>
          <x:t xml:space="preserve"/>
        </x:is>
      </x:c>
      <x:c r="AB1728" s="604" t="n"/>
      <x:c r="AC1728" s="604" t="n"/>
      <x:c r="AD1728" s="604" t="n"/>
      <x:c r="AE1728" s="604" t="n"/>
      <x:c r="AF1728" s="604" t="n"/>
      <x:c r="AG1728" s="604" t="n"/>
      <x:c r="AH1728" s="604" t="n"/>
      <x:c r="AI1728" s="604" t="n"/>
      <x:c r="AJ1728" s="604" t="n"/>
      <x:c r="AK1728" s="604" t="n"/>
      <x:c r="AL1728" s="604" t="n"/>
      <x:c r="AM1728" s="604" t="n"/>
      <x:c r="AN1728" s="604" t="inlineStr">
        <x:is>
          <x:t xml:space="preserve">MISSING_DATA</x:t>
        </x:is>
      </x:c>
      <x:c r="AO1728" s="604" t="inlineStr">
        <x:is>
          <x:t xml:space="preserve">REQUIRED_MARKET_INPUT_MISSING</x:t>
        </x:is>
      </x:c>
      <x:c r="AP1728" s="604" t="inlineStr">
        <x:is>
          <x:t xml:space="preserve">12db15fd8cba39b5498f</x:t>
        </x:is>
      </x:c>
      <x:c r="AQ1728" s="604" t="n"/>
      <x:c r="AR1728" s="604" t="n"/>
      <x:c r="AS1728" s="604" t="n"/>
      <x:c r="AT1728" s="604" t="n"/>
      <x:c r="AU1728" s="604" t="n"/>
      <x:c r="AV1728" s="604" t="n"/>
      <x:c r="AW1728" s="604" t="inlineStr">
        <x:is>
          <x:t xml:space="preserve">2026-10-09T09:01:21.127001+08:00</x:t>
        </x:is>
      </x:c>
      <x:c r="AX1728" s="604" t="inlineStr">
        <x:is>
          <x:t xml:space="preserve">Titan007/V4</x:t>
        </x:is>
      </x:c>
      <x:c r="AY1728" s="604" t="inlineStr">
        <x:is>
          <x:t xml:space="preserve">Daily append；市场输入缺失时不生成决策</x:t>
        </x:is>
      </x:c>
    </x:row>
    <x:row r="1729" ht="22" customHeight="1">
      <x:c r="A1729" s="604" t="inlineStr">
        <x:is>
          <x:t xml:space="preserve">2026-10-09</x:t>
        </x:is>
      </x:c>
      <x:c r="B1729" s="604" t="inlineStr">
        <x:is>
          <x:t xml:space="preserve">2026-10-09T18:30:00+08:00</x:t>
        </x:is>
      </x:c>
      <x:c r="C1729" s="604" t="str">
        <x:v>其他系列</x:v>
      </x:c>
      <x:c r="D1729" s="604" t="inlineStr">
        <x:is>
          <x:t xml:space="preserve"/>
        </x:is>
      </x:c>
      <x:c r="E1729" s="604" t="inlineStr">
        <x:is>
          <x:t xml:space="preserve">国际友谊</x:t>
        </x:is>
      </x:c>
      <x:c r="F1729" s="604" t="inlineStr">
        <x:is>
          <x:t xml:space="preserve">安道尔女足 vs 法罗群岛女足</x:t>
        </x:is>
      </x:c>
      <x:c r="G1729" s="604" t="n">
        <x:v>0.95</x:v>
      </x:c>
      <x:c r="H1729" s="604" t="n">
        <x:v>-2.25</x:v>
      </x:c>
      <x:c r="I1729" s="604" t="n">
        <x:v>0.85</x:v>
      </x:c>
      <x:c r="J1729" s="604" t="inlineStr">
        <x:is>
          <x:t xml:space="preserve">0.95/-2.25/0.85</x:t>
        </x:is>
      </x:c>
      <x:c r="K1729" s="604" t="inlineStr">
        <x:is>
          <x:t xml:space="preserve">V4-N</x:t>
        </x:is>
      </x:c>
      <x:c r="L1729" s="604" t="inlineStr">
        <x:is>
          <x:t xml:space="preserve"/>
        </x:is>
      </x:c>
      <x:c r="M1729" s="604" t="n">
        <x:v>1.898465779010077e-05</x:v>
      </x:c>
      <x:c r="N1729" s="604" t="inlineStr">
        <x:is>
          <x:t xml:space="preserve">V4 Shadow Only；real_money=false</x:t>
        </x:is>
      </x:c>
      <x:c r="O1729" s="604" t="inlineStr">
        <x:is>
          <x:t xml:space="preserve">0-0</x:t>
        </x:is>
      </x:c>
      <x:c r="P1729" s="604" t="inlineStr">
        <x:is>
          <x:t xml:space="preserve">EVALUATED</x:t>
        </x:is>
      </x:c>
      <x:c r="Q1729" s="630" t="inlineStr">
        <x:is>
          <x:t xml:space="preserve"/>
        </x:is>
      </x:c>
      <x:c r="R1729" s="604" t="n"/>
      <x:c r="S1729" s="604" t="n"/>
      <x:c r="T1729" s="604" t="inlineStr">
        <x:is>
          <x:t xml:space="preserve">D:\codex\v3_legacy\outputs\football_odds_trader\raw\titan007\20261009\20261009_085232_titan007_odds_snapshot.csv</x:t>
        </x:is>
      </x:c>
      <x:c r="U1729" s="628" t="inlineStr">
        <x:is>
          <x:t xml:space="preserve"/>
        </x:is>
      </x:c>
      <x:c r="V1729" s="604" t="inlineStr">
        <x:is>
          <x:t xml:space="preserve"/>
        </x:is>
      </x:c>
      <x:c r="W1729" s="604" t="inlineStr">
        <x:is>
          <x:t xml:space="preserve"/>
        </x:is>
      </x:c>
      <x:c r="X1729" s="604" t="inlineStr">
        <x:is>
          <x:t xml:space="preserve">3098083</x:t>
        </x:is>
      </x:c>
      <x:c r="Y1729" s="604" t="inlineStr">
        <x:is>
          <x:t xml:space="preserve">V4</x:t>
        </x:is>
      </x:c>
      <x:c r="Z1729" s="604" t="inlineStr">
        <x:is>
          <x:t xml:space="preserve">prior-2026-10-09-v1</x:t>
        </x:is>
      </x:c>
      <x:c r="AA1729" s="604" t="inlineStr">
        <x:is>
          <x:t xml:space="preserve">N</x:t>
        </x:is>
      </x:c>
      <x:c r="AB1729" s="604" t="n">
        <x:v>1.898465779010077e-05</x:v>
      </x:c>
      <x:c r="AC1729" s="604" t="n">
        <x:v>0.9997377891066154</x:v>
      </x:c>
      <x:c r="AD1729" s="604" t="n">
        <x:v>-2.5</x:v>
      </x:c>
      <x:c r="AE1729" s="604" t="n"/>
      <x:c r="AF1729" s="604" t="n"/>
      <x:c r="AG1729" s="604" t="n">
        <x:v>0.9497319149934944</x:v>
      </x:c>
      <x:c r="AH1729" s="604" t="n"/>
      <x:c r="AI1729" s="604" t="n"/>
      <x:c r="AJ1729" s="604" t="n">
        <x:v>0.9497319149934944</x:v>
      </x:c>
      <x:c r="AK1729" s="604" t="n"/>
      <x:c r="AL1729" s="604" t="n"/>
      <x:c r="AM1729" s="604" t="n"/>
      <x:c r="AN1729" s="604" t="inlineStr">
        <x:is>
          <x:t xml:space="preserve">EVALUATED</x:t>
        </x:is>
      </x:c>
      <x:c r="AO1729" s="604" t="inlineStr">
        <x:is>
          <x:t xml:space="preserve">LOW_QUALITY_GATE;BUCKET_PRIOR_ONLY;INTENT_INTERPRETATION_ONLY;FFL_OPTIONAL;EXPERT_MARKET</x:t>
        </x:is>
      </x:c>
      <x:c r="AP1729" s="604" t="inlineStr">
        <x:is>
          <x:t xml:space="preserve">9de5f5f1ded09f6619ae</x:t>
        </x:is>
      </x:c>
      <x:c r="AQ1729" s="604" t="n"/>
      <x:c r="AR1729" s="604" t="n"/>
      <x:c r="AS1729" s="604" t="n">
        <x:v>-2.25</x:v>
      </x:c>
      <x:c r="AT1729" s="604" t="n">
        <x:v>2.25</x:v>
      </x:c>
      <x:c r="AU1729" s="604" t="n">
        <x:v>0.95</x:v>
      </x:c>
      <x:c r="AV1729" s="604" t="n">
        <x:v>0.85</x:v>
      </x:c>
      <x:c r="AW1729" s="604" t="inlineStr">
        <x:is>
          <x:t xml:space="preserve">2026-10-09T09:01:21.127001+08:00</x:t>
        </x:is>
      </x:c>
      <x:c r="AX1729" s="604" t="inlineStr">
        <x:is>
          <x:t xml:space="preserve">Titan007/V4</x:t>
        </x:is>
      </x:c>
      <x:c r="AY1729" s="604" t="inlineStr">
        <x:is>
          <x:t xml:space="preserve">Daily append；市场输入缺失时不生成决策</x:t>
        </x:is>
      </x:c>
    </x:row>
    <x:row r="1730" ht="22" customHeight="1">
      <x:c r="A1730" s="604" t="inlineStr">
        <x:is>
          <x:t xml:space="preserve">2026-10-09</x:t>
        </x:is>
      </x:c>
      <x:c r="B1730" s="604" t="inlineStr">
        <x:is>
          <x:t xml:space="preserve">2026-10-10T09:00:00+08:00</x:t>
        </x:is>
      </x:c>
      <x:c r="C1730" s="604" t="str">
        <x:v>其他系列</x:v>
      </x:c>
      <x:c r="D1730" s="604" t="inlineStr">
        <x:is>
          <x:t xml:space="preserve"/>
        </x:is>
      </x:c>
      <x:c r="E1730" s="604" t="inlineStr">
        <x:is>
          <x:t xml:space="preserve">国际友谊</x:t>
        </x:is>
      </x:c>
      <x:c r="F1730" s="604" t="inlineStr">
        <x:is>
          <x:t xml:space="preserve">墨西哥女足 vs 牙买加女足</x:t>
        </x:is>
      </x:c>
      <x:c r="G1730" s="604" t="n"/>
      <x:c r="H1730" s="604" t="n"/>
      <x:c r="I1730" s="604" t="n"/>
      <x:c r="J1730" s="604" t="inlineStr">
        <x:is>
          <x:t xml:space="preserve">//</x:t>
        </x:is>
      </x:c>
      <x:c r="K1730" s="604" t="inlineStr">
        <x:is>
          <x:t xml:space="preserve">V4不可用：市场输入缺失</x:t>
        </x:is>
      </x:c>
      <x:c r="L1730" s="604" t="inlineStr">
        <x:is>
          <x:t xml:space="preserve"/>
        </x:is>
      </x:c>
      <x:c r="M1730" s="604" t="n"/>
      <x:c r="N1730" s="604" t="inlineStr">
        <x:is>
          <x:t xml:space="preserve">V4 Shadow Only；real_money=false</x:t>
        </x:is>
      </x:c>
      <x:c r="O1730" s="604" t="inlineStr">
        <x:is>
          <x:t xml:space="preserve">0-0</x:t>
        </x:is>
      </x:c>
      <x:c r="P1730" s="604" t="inlineStr">
        <x:is>
          <x:t xml:space="preserve">MISSING_DATA</x:t>
        </x:is>
      </x:c>
      <x:c r="Q1730" s="630" t="inlineStr">
        <x:is>
          <x:t xml:space="preserve"/>
        </x:is>
      </x:c>
      <x:c r="R1730" s="604" t="n"/>
      <x:c r="S1730" s="604" t="n"/>
      <x:c r="T1730" s="604" t="inlineStr">
        <x:is>
          <x:t xml:space="preserve">D:\codex\v3_legacy\outputs\football_odds_trader\raw\titan007\20261009\20261009_085232_titan007_odds_snapshot.csv</x:t>
        </x:is>
      </x:c>
      <x:c r="U1730" s="628" t="inlineStr">
        <x:is>
          <x:t xml:space="preserve"/>
        </x:is>
      </x:c>
      <x:c r="V1730" s="604" t="inlineStr">
        <x:is>
          <x:t xml:space="preserve"/>
        </x:is>
      </x:c>
      <x:c r="W1730" s="604" t="inlineStr">
        <x:is>
          <x:t xml:space="preserve"/>
        </x:is>
      </x:c>
      <x:c r="X1730" s="604" t="inlineStr">
        <x:is>
          <x:t xml:space="preserve">3098084</x:t>
        </x:is>
      </x:c>
      <x:c r="Y1730" s="604" t="inlineStr">
        <x:is>
          <x:t xml:space="preserve">V4</x:t>
        </x:is>
      </x:c>
      <x:c r="Z1730" s="604" t="inlineStr">
        <x:is>
          <x:t xml:space="preserve">prior-2026-10-09-v1</x:t>
        </x:is>
      </x:c>
      <x:c r="AA1730" s="604" t="inlineStr">
        <x:is>
          <x:t xml:space="preserve"/>
        </x:is>
      </x:c>
      <x:c r="AB1730" s="604" t="n"/>
      <x:c r="AC1730" s="604" t="n"/>
      <x:c r="AD1730" s="604" t="n"/>
      <x:c r="AE1730" s="604" t="n"/>
      <x:c r="AF1730" s="604" t="n"/>
      <x:c r="AG1730" s="604" t="n"/>
      <x:c r="AH1730" s="604" t="n"/>
      <x:c r="AI1730" s="604" t="n"/>
      <x:c r="AJ1730" s="604" t="n"/>
      <x:c r="AK1730" s="604" t="n"/>
      <x:c r="AL1730" s="604" t="n"/>
      <x:c r="AM1730" s="604" t="n"/>
      <x:c r="AN1730" s="604" t="inlineStr">
        <x:is>
          <x:t xml:space="preserve">MISSING_DATA</x:t>
        </x:is>
      </x:c>
      <x:c r="AO1730" s="604" t="inlineStr">
        <x:is>
          <x:t xml:space="preserve">REQUIRED_MARKET_INPUT_MISSING</x:t>
        </x:is>
      </x:c>
      <x:c r="AP1730" s="604" t="inlineStr">
        <x:is>
          <x:t xml:space="preserve">5158b00f8934cb5bf1cb</x:t>
        </x:is>
      </x:c>
      <x:c r="AQ1730" s="604" t="n"/>
      <x:c r="AR1730" s="604" t="n"/>
      <x:c r="AS1730" s="604" t="n"/>
      <x:c r="AT1730" s="604" t="n"/>
      <x:c r="AU1730" s="604" t="n"/>
      <x:c r="AV1730" s="604" t="n"/>
      <x:c r="AW1730" s="604" t="inlineStr">
        <x:is>
          <x:t xml:space="preserve">2026-10-09T09:01:21.127001+08:00</x:t>
        </x:is>
      </x:c>
      <x:c r="AX1730" s="604" t="inlineStr">
        <x:is>
          <x:t xml:space="preserve">Titan007/V4</x:t>
        </x:is>
      </x:c>
      <x:c r="AY1730" s="604" t="inlineStr">
        <x:is>
          <x:t xml:space="preserve">Daily append；市场输入缺失时不生成决策</x:t>
        </x:is>
      </x:c>
    </x:row>
    <x:row r="1731" ht="22" customHeight="1">
      <x:c r="A1731" s="604" t="inlineStr">
        <x:is>
          <x:t xml:space="preserve">2026-10-09</x:t>
        </x:is>
      </x:c>
      <x:c r="B1731" s="604" t="inlineStr">
        <x:is>
          <x:t xml:space="preserve">2026-10-09T19:00:00+08:00</x:t>
        </x:is>
      </x:c>
      <x:c r="C1731" s="604" t="str">
        <x:v>其他系列</x:v>
      </x:c>
      <x:c r="D1731" s="604" t="inlineStr">
        <x:is>
          <x:t xml:space="preserve"/>
        </x:is>
      </x:c>
      <x:c r="E1731" s="604" t="inlineStr">
        <x:is>
          <x:t xml:space="preserve">国际友谊</x:t>
        </x:is>
      </x:c>
      <x:c r="F1731" s="604" t="inlineStr">
        <x:is>
          <x:t xml:space="preserve">秘鲁女足 vs 菲律宾女足</x:t>
        </x:is>
      </x:c>
      <x:c r="G1731" s="604" t="n"/>
      <x:c r="H1731" s="604" t="n"/>
      <x:c r="I1731" s="604" t="n"/>
      <x:c r="J1731" s="604" t="inlineStr">
        <x:is>
          <x:t xml:space="preserve">//</x:t>
        </x:is>
      </x:c>
      <x:c r="K1731" s="604" t="inlineStr">
        <x:is>
          <x:t xml:space="preserve">V4不可用：市场输入缺失</x:t>
        </x:is>
      </x:c>
      <x:c r="L1731" s="604" t="inlineStr">
        <x:is>
          <x:t xml:space="preserve"/>
        </x:is>
      </x:c>
      <x:c r="M1731" s="604" t="n"/>
      <x:c r="N1731" s="604" t="inlineStr">
        <x:is>
          <x:t xml:space="preserve">V4 Shadow Only；real_money=false</x:t>
        </x:is>
      </x:c>
      <x:c r="O1731" s="604" t="inlineStr">
        <x:is>
          <x:t xml:space="preserve">0-0</x:t>
        </x:is>
      </x:c>
      <x:c r="P1731" s="604" t="inlineStr">
        <x:is>
          <x:t xml:space="preserve">MISSING_DATA</x:t>
        </x:is>
      </x:c>
      <x:c r="Q1731" s="630" t="inlineStr">
        <x:is>
          <x:t xml:space="preserve"/>
        </x:is>
      </x:c>
      <x:c r="R1731" s="604" t="n"/>
      <x:c r="S1731" s="604" t="n"/>
      <x:c r="T1731" s="604" t="inlineStr">
        <x:is>
          <x:t xml:space="preserve">D:\codex\v3_legacy\outputs\football_odds_trader\raw\titan007\20261009\20261009_085232_titan007_odds_snapshot.csv</x:t>
        </x:is>
      </x:c>
      <x:c r="U1731" s="628" t="inlineStr">
        <x:is>
          <x:t xml:space="preserve"/>
        </x:is>
      </x:c>
      <x:c r="V1731" s="604" t="inlineStr">
        <x:is>
          <x:t xml:space="preserve"/>
        </x:is>
      </x:c>
      <x:c r="W1731" s="604" t="inlineStr">
        <x:is>
          <x:t xml:space="preserve"/>
        </x:is>
      </x:c>
      <x:c r="X1731" s="604" t="inlineStr">
        <x:is>
          <x:t xml:space="preserve">3098085</x:t>
        </x:is>
      </x:c>
      <x:c r="Y1731" s="604" t="inlineStr">
        <x:is>
          <x:t xml:space="preserve">V4</x:t>
        </x:is>
      </x:c>
      <x:c r="Z1731" s="604" t="inlineStr">
        <x:is>
          <x:t xml:space="preserve">prior-2026-10-09-v1</x:t>
        </x:is>
      </x:c>
      <x:c r="AA1731" s="604" t="inlineStr">
        <x:is>
          <x:t xml:space="preserve"/>
        </x:is>
      </x:c>
      <x:c r="AB1731" s="604" t="n"/>
      <x:c r="AC1731" s="604" t="n"/>
      <x:c r="AD1731" s="604" t="n"/>
      <x:c r="AE1731" s="604" t="n"/>
      <x:c r="AF1731" s="604" t="n"/>
      <x:c r="AG1731" s="604" t="n"/>
      <x:c r="AH1731" s="604" t="n"/>
      <x:c r="AI1731" s="604" t="n"/>
      <x:c r="AJ1731" s="604" t="n"/>
      <x:c r="AK1731" s="604" t="n"/>
      <x:c r="AL1731" s="604" t="n"/>
      <x:c r="AM1731" s="604" t="n"/>
      <x:c r="AN1731" s="604" t="inlineStr">
        <x:is>
          <x:t xml:space="preserve">MISSING_DATA</x:t>
        </x:is>
      </x:c>
      <x:c r="AO1731" s="604" t="inlineStr">
        <x:is>
          <x:t xml:space="preserve">REQUIRED_MARKET_INPUT_MISSING</x:t>
        </x:is>
      </x:c>
      <x:c r="AP1731" s="604" t="inlineStr">
        <x:is>
          <x:t xml:space="preserve">233b27ebf918d045eed2</x:t>
        </x:is>
      </x:c>
      <x:c r="AQ1731" s="604" t="n"/>
      <x:c r="AR1731" s="604" t="n"/>
      <x:c r="AS1731" s="604" t="n"/>
      <x:c r="AT1731" s="604" t="n"/>
      <x:c r="AU1731" s="604" t="n"/>
      <x:c r="AV1731" s="604" t="n"/>
      <x:c r="AW1731" s="604" t="inlineStr">
        <x:is>
          <x:t xml:space="preserve">2026-10-09T09:01:21.127001+08:00</x:t>
        </x:is>
      </x:c>
      <x:c r="AX1731" s="604" t="inlineStr">
        <x:is>
          <x:t xml:space="preserve">Titan007/V4</x:t>
        </x:is>
      </x:c>
      <x:c r="AY1731" s="604" t="inlineStr">
        <x:is>
          <x:t xml:space="preserve">Daily append；市场输入缺失时不生成决策</x:t>
        </x:is>
      </x:c>
    </x:row>
    <x:row r="1732" ht="22" customHeight="1">
      <x:c r="A1732" s="604" t="inlineStr">
        <x:is>
          <x:t xml:space="preserve">2026-10-09</x:t>
        </x:is>
      </x:c>
      <x:c r="B1732" s="604" t="inlineStr">
        <x:is>
          <x:t xml:space="preserve">2026-10-09T19:00:00+08:00</x:t>
        </x:is>
      </x:c>
      <x:c r="C1732" s="604" t="str">
        <x:v>其他系列</x:v>
      </x:c>
      <x:c r="D1732" s="604" t="inlineStr">
        <x:is>
          <x:t xml:space="preserve"/>
        </x:is>
      </x:c>
      <x:c r="E1732" s="604" t="inlineStr">
        <x:is>
          <x:t xml:space="preserve">国际友谊</x:t>
        </x:is>
      </x:c>
      <x:c r="F1732" s="604" t="inlineStr">
        <x:is>
          <x:t xml:space="preserve">匈牙利女足U19 vs 德国女足U19</x:t>
        </x:is>
      </x:c>
      <x:c r="G1732" s="604" t="n"/>
      <x:c r="H1732" s="604" t="n"/>
      <x:c r="I1732" s="604" t="n"/>
      <x:c r="J1732" s="604" t="inlineStr">
        <x:is>
          <x:t xml:space="preserve">//</x:t>
        </x:is>
      </x:c>
      <x:c r="K1732" s="604" t="inlineStr">
        <x:is>
          <x:t xml:space="preserve">V4不可用：市场输入缺失</x:t>
        </x:is>
      </x:c>
      <x:c r="L1732" s="604" t="inlineStr">
        <x:is>
          <x:t xml:space="preserve"/>
        </x:is>
      </x:c>
      <x:c r="M1732" s="604" t="n"/>
      <x:c r="N1732" s="604" t="inlineStr">
        <x:is>
          <x:t xml:space="preserve">V4 Shadow Only；real_money=false</x:t>
        </x:is>
      </x:c>
      <x:c r="O1732" s="604" t="inlineStr">
        <x:is>
          <x:t xml:space="preserve">0-0</x:t>
        </x:is>
      </x:c>
      <x:c r="P1732" s="604" t="inlineStr">
        <x:is>
          <x:t xml:space="preserve">MISSING_DATA</x:t>
        </x:is>
      </x:c>
      <x:c r="Q1732" s="630" t="inlineStr">
        <x:is>
          <x:t xml:space="preserve"/>
        </x:is>
      </x:c>
      <x:c r="R1732" s="604" t="n"/>
      <x:c r="S1732" s="604" t="n"/>
      <x:c r="T1732" s="604" t="inlineStr">
        <x:is>
          <x:t xml:space="preserve">D:\codex\v3_legacy\outputs\football_odds_trader\raw\titan007\20261009\20261009_085232_titan007_odds_snapshot.csv</x:t>
        </x:is>
      </x:c>
      <x:c r="U1732" s="628" t="inlineStr">
        <x:is>
          <x:t xml:space="preserve"/>
        </x:is>
      </x:c>
      <x:c r="V1732" s="604" t="inlineStr">
        <x:is>
          <x:t xml:space="preserve"/>
        </x:is>
      </x:c>
      <x:c r="W1732" s="604" t="inlineStr">
        <x:is>
          <x:t xml:space="preserve"/>
        </x:is>
      </x:c>
      <x:c r="X1732" s="604" t="inlineStr">
        <x:is>
          <x:t xml:space="preserve">3098087</x:t>
        </x:is>
      </x:c>
      <x:c r="Y1732" s="604" t="inlineStr">
        <x:is>
          <x:t xml:space="preserve">V4</x:t>
        </x:is>
      </x:c>
      <x:c r="Z1732" s="604" t="inlineStr">
        <x:is>
          <x:t xml:space="preserve">prior-2026-10-09-v1</x:t>
        </x:is>
      </x:c>
      <x:c r="AA1732" s="604" t="inlineStr">
        <x:is>
          <x:t xml:space="preserve"/>
        </x:is>
      </x:c>
      <x:c r="AB1732" s="604" t="n"/>
      <x:c r="AC1732" s="604" t="n"/>
      <x:c r="AD1732" s="604" t="n"/>
      <x:c r="AE1732" s="604" t="n"/>
      <x:c r="AF1732" s="604" t="n"/>
      <x:c r="AG1732" s="604" t="n"/>
      <x:c r="AH1732" s="604" t="n"/>
      <x:c r="AI1732" s="604" t="n"/>
      <x:c r="AJ1732" s="604" t="n"/>
      <x:c r="AK1732" s="604" t="n"/>
      <x:c r="AL1732" s="604" t="n"/>
      <x:c r="AM1732" s="604" t="n"/>
      <x:c r="AN1732" s="604" t="inlineStr">
        <x:is>
          <x:t xml:space="preserve">MISSING_DATA</x:t>
        </x:is>
      </x:c>
      <x:c r="AO1732" s="604" t="inlineStr">
        <x:is>
          <x:t xml:space="preserve">REQUIRED_MARKET_INPUT_MISSING</x:t>
        </x:is>
      </x:c>
      <x:c r="AP1732" s="604" t="inlineStr">
        <x:is>
          <x:t xml:space="preserve">bc445e9106594af18c3f</x:t>
        </x:is>
      </x:c>
      <x:c r="AQ1732" s="604" t="n"/>
      <x:c r="AR1732" s="604" t="n"/>
      <x:c r="AS1732" s="604" t="n"/>
      <x:c r="AT1732" s="604" t="n"/>
      <x:c r="AU1732" s="604" t="n"/>
      <x:c r="AV1732" s="604" t="n"/>
      <x:c r="AW1732" s="604" t="inlineStr">
        <x:is>
          <x:t xml:space="preserve">2026-10-09T09:01:21.127001+08:00</x:t>
        </x:is>
      </x:c>
      <x:c r="AX1732" s="604" t="inlineStr">
        <x:is>
          <x:t xml:space="preserve">Titan007/V4</x:t>
        </x:is>
      </x:c>
      <x:c r="AY1732" s="604" t="inlineStr">
        <x:is>
          <x:t xml:space="preserve">Daily append；市场输入缺失时不生成决策</x:t>
        </x:is>
      </x:c>
    </x:row>
    <x:row r="1733" ht="22" customHeight="1">
      <x:c r="A1733" s="604" t="inlineStr">
        <x:is>
          <x:t xml:space="preserve">2026-10-09</x:t>
        </x:is>
      </x:c>
      <x:c r="B1733" s="604" t="inlineStr">
        <x:is>
          <x:t xml:space="preserve">2026-10-10T02:00:00+08:00</x:t>
        </x:is>
      </x:c>
      <x:c r="C1733" s="604" t="str">
        <x:v>南美系列</x:v>
      </x:c>
      <x:c r="D1733" s="604" t="inlineStr">
        <x:is>
          <x:t xml:space="preserve"/>
        </x:is>
      </x:c>
      <x:c r="E1733" s="604" t="inlineStr">
        <x:is>
          <x:t xml:space="preserve">巴圣青联</x:t>
        </x:is>
      </x:c>
      <x:c r="F1733" s="604" t="inlineStr">
        <x:is>
          <x:t xml:space="preserve">法林明高SP青年队 vs RB巴甘蒂诺青年队</x:t>
        </x:is>
      </x:c>
      <x:c r="G1733" s="604" t="n">
        <x:v>0.98</x:v>
      </x:c>
      <x:c r="H1733" s="604" t="n">
        <x:v>-2</x:v>
      </x:c>
      <x:c r="I1733" s="604" t="n">
        <x:v>0.83</x:v>
      </x:c>
      <x:c r="J1733" s="604" t="inlineStr">
        <x:is>
          <x:t xml:space="preserve">0.98/-2.0/0.83</x:t>
        </x:is>
      </x:c>
      <x:c r="K1733" s="604" t="inlineStr">
        <x:is>
          <x:t xml:space="preserve">V4-N</x:t>
        </x:is>
      </x:c>
      <x:c r="L1733" s="604" t="inlineStr">
        <x:is>
          <x:t xml:space="preserve"/>
        </x:is>
      </x:c>
      <x:c r="M1733" s="604" t="n">
        <x:v>5.711974682183788e-06</x:v>
      </x:c>
      <x:c r="N1733" s="604" t="inlineStr">
        <x:is>
          <x:t xml:space="preserve">V4 Shadow Only；real_money=false</x:t>
        </x:is>
      </x:c>
      <x:c r="O1733" s="604" t="inlineStr">
        <x:is>
          <x:t xml:space="preserve">0-0</x:t>
        </x:is>
      </x:c>
      <x:c r="P1733" s="604" t="inlineStr">
        <x:is>
          <x:t xml:space="preserve">EVALUATED</x:t>
        </x:is>
      </x:c>
      <x:c r="Q1733" s="630" t="inlineStr">
        <x:is>
          <x:t xml:space="preserve"/>
        </x:is>
      </x:c>
      <x:c r="R1733" s="604" t="n"/>
      <x:c r="S1733" s="604" t="n"/>
      <x:c r="T1733" s="604" t="inlineStr">
        <x:is>
          <x:t xml:space="preserve">D:\codex\v3_legacy\outputs\football_odds_trader\raw\titan007\20261009\20261009_085232_titan007_odds_snapshot.csv</x:t>
        </x:is>
      </x:c>
      <x:c r="U1733" s="628" t="inlineStr">
        <x:is>
          <x:t xml:space="preserve"/>
        </x:is>
      </x:c>
      <x:c r="V1733" s="604" t="inlineStr">
        <x:is>
          <x:t xml:space="preserve"/>
        </x:is>
      </x:c>
      <x:c r="W1733" s="604" t="inlineStr">
        <x:is>
          <x:t xml:space="preserve"/>
        </x:is>
      </x:c>
      <x:c r="X1733" s="604" t="inlineStr">
        <x:is>
          <x:t xml:space="preserve">3098088</x:t>
        </x:is>
      </x:c>
      <x:c r="Y1733" s="604" t="inlineStr">
        <x:is>
          <x:t xml:space="preserve">V4</x:t>
        </x:is>
      </x:c>
      <x:c r="Z1733" s="604" t="inlineStr">
        <x:is>
          <x:t xml:space="preserve">prior-2026-10-09-v1</x:t>
        </x:is>
      </x:c>
      <x:c r="AA1733" s="604" t="inlineStr">
        <x:is>
          <x:t xml:space="preserve">N</x:t>
        </x:is>
      </x:c>
      <x:c r="AB1733" s="604" t="n">
        <x:v>5.711974682183788e-06</x:v>
      </x:c>
      <x:c r="AC1733" s="604" t="n">
        <x:v>0.9997805740710105</x:v>
      </x:c>
      <x:c r="AD1733" s="604" t="n">
        <x:v>-2.75</x:v>
      </x:c>
      <x:c r="AE1733" s="604" t="n"/>
      <x:c r="AF1733" s="604" t="n"/>
      <x:c r="AG1733" s="604" t="n">
        <x:v>0.9797792506149081</x:v>
      </x:c>
      <x:c r="AH1733" s="604" t="n"/>
      <x:c r="AI1733" s="604" t="n"/>
      <x:c r="AJ1733" s="604" t="n">
        <x:v>0.9797792506149081</x:v>
      </x:c>
      <x:c r="AK1733" s="604" t="n"/>
      <x:c r="AL1733" s="604" t="n"/>
      <x:c r="AM1733" s="604" t="n"/>
      <x:c r="AN1733" s="604" t="inlineStr">
        <x:is>
          <x:t xml:space="preserve">EVALUATED</x:t>
        </x:is>
      </x:c>
      <x:c r="AO1733" s="604" t="inlineStr">
        <x:is>
          <x:t xml:space="preserve">LOW_QUALITY_GATE;BUCKET_PRIOR_ONLY;INTENT_INTERPRETATION_ONLY;FFL_OPTIONAL;EXPERT_MARKET</x:t>
        </x:is>
      </x:c>
      <x:c r="AP1733" s="604" t="inlineStr">
        <x:is>
          <x:t xml:space="preserve">2c1b51f40b1b4d36a847</x:t>
        </x:is>
      </x:c>
      <x:c r="AQ1733" s="604" t="n"/>
      <x:c r="AR1733" s="604" t="n"/>
      <x:c r="AS1733" s="604" t="n">
        <x:v>-2</x:v>
      </x:c>
      <x:c r="AT1733" s="604" t="n">
        <x:v>2</x:v>
      </x:c>
      <x:c r="AU1733" s="604" t="n">
        <x:v>0.98</x:v>
      </x:c>
      <x:c r="AV1733" s="604" t="n">
        <x:v>0.83</x:v>
      </x:c>
      <x:c r="AW1733" s="604" t="inlineStr">
        <x:is>
          <x:t xml:space="preserve">2026-10-09T09:01:21.127001+08:00</x:t>
        </x:is>
      </x:c>
      <x:c r="AX1733" s="604" t="inlineStr">
        <x:is>
          <x:t xml:space="preserve">Titan007/V4</x:t>
        </x:is>
      </x:c>
      <x:c r="AY1733" s="604" t="inlineStr">
        <x:is>
          <x:t xml:space="preserve">Daily append；市场输入缺失时不生成决策</x:t>
        </x:is>
      </x:c>
    </x:row>
    <x:row r="1734" ht="22" customHeight="1">
      <x:c r="A1734" s="604" t="inlineStr">
        <x:is>
          <x:t xml:space="preserve">2026-10-09</x:t>
        </x:is>
      </x:c>
      <x:c r="B1734" s="604" t="inlineStr">
        <x:is>
          <x:t xml:space="preserve">2026-10-10T02:00:00+08:00</x:t>
        </x:is>
      </x:c>
      <x:c r="C1734" s="604" t="str">
        <x:v>南美系列</x:v>
      </x:c>
      <x:c r="D1734" s="604" t="inlineStr">
        <x:is>
          <x:t xml:space="preserve"/>
        </x:is>
      </x:c>
      <x:c r="E1734" s="604" t="inlineStr">
        <x:is>
          <x:t xml:space="preserve">巴圣青联</x:t>
        </x:is>
      </x:c>
      <x:c r="F1734" s="604" t="inlineStr">
        <x:is>
          <x:t xml:space="preserve">桑堤斯塔青年队 vs 科林蒂安青年队</x:t>
        </x:is>
      </x:c>
      <x:c r="G1734" s="604" t="n">
        <x:v>0.9</x:v>
      </x:c>
      <x:c r="H1734" s="604" t="n">
        <x:v>-1.25</x:v>
      </x:c>
      <x:c r="I1734" s="604" t="n">
        <x:v>0.9</x:v>
      </x:c>
      <x:c r="J1734" s="604" t="inlineStr">
        <x:is>
          <x:t xml:space="preserve">0.9/-1.25/0.9</x:t>
        </x:is>
      </x:c>
      <x:c r="K1734" s="604" t="inlineStr">
        <x:is>
          <x:t xml:space="preserve">V4-N</x:t>
        </x:is>
      </x:c>
      <x:c r="L1734" s="604" t="inlineStr">
        <x:is>
          <x:t xml:space="preserve"/>
        </x:is>
      </x:c>
      <x:c r="M1734" s="604" t="n">
        <x:v>0.01333831209894333</x:v>
      </x:c>
      <x:c r="N1734" s="604" t="inlineStr">
        <x:is>
          <x:t xml:space="preserve">V4 Shadow Only；real_money=false</x:t>
        </x:is>
      </x:c>
      <x:c r="O1734" s="604" t="inlineStr">
        <x:is>
          <x:t xml:space="preserve">0-0</x:t>
        </x:is>
      </x:c>
      <x:c r="P1734" s="604" t="inlineStr">
        <x:is>
          <x:t xml:space="preserve">EVALUATED</x:t>
        </x:is>
      </x:c>
      <x:c r="Q1734" s="630" t="inlineStr">
        <x:is>
          <x:t xml:space="preserve"/>
        </x:is>
      </x:c>
      <x:c r="R1734" s="604" t="n"/>
      <x:c r="S1734" s="604" t="n"/>
      <x:c r="T1734" s="604" t="inlineStr">
        <x:is>
          <x:t xml:space="preserve">D:\codex\v3_legacy\outputs\football_odds_trader\raw\titan007\20261009\20261009_085232_titan007_odds_snapshot.csv</x:t>
        </x:is>
      </x:c>
      <x:c r="U1734" s="628" t="inlineStr">
        <x:is>
          <x:t xml:space="preserve"/>
        </x:is>
      </x:c>
      <x:c r="V1734" s="604" t="inlineStr">
        <x:is>
          <x:t xml:space="preserve"/>
        </x:is>
      </x:c>
      <x:c r="W1734" s="604" t="inlineStr">
        <x:is>
          <x:t xml:space="preserve"/>
        </x:is>
      </x:c>
      <x:c r="X1734" s="604" t="inlineStr">
        <x:is>
          <x:t xml:space="preserve">3098089</x:t>
        </x:is>
      </x:c>
      <x:c r="Y1734" s="604" t="inlineStr">
        <x:is>
          <x:t xml:space="preserve">V4</x:t>
        </x:is>
      </x:c>
      <x:c r="Z1734" s="604" t="inlineStr">
        <x:is>
          <x:t xml:space="preserve">prior-2026-10-09-v1</x:t>
        </x:is>
      </x:c>
      <x:c r="AA1734" s="604" t="inlineStr">
        <x:is>
          <x:t xml:space="preserve">N</x:t>
        </x:is>
      </x:c>
      <x:c r="AB1734" s="604" t="n">
        <x:v>0.01333831209894333</x:v>
      </x:c>
      <x:c r="AC1734" s="604" t="n">
        <x:v>0.9590316152396526</x:v>
      </x:c>
      <x:c r="AD1734" s="604" t="n">
        <x:v>-1.75</x:v>
      </x:c>
      <x:c r="AE1734" s="604" t="n"/>
      <x:c r="AF1734" s="604" t="n"/>
      <x:c r="AG1734" s="604" t="n">
        <x:v>0.849790141616744</x:v>
      </x:c>
      <x:c r="AH1734" s="604" t="n"/>
      <x:c r="AI1734" s="604" t="n"/>
      <x:c r="AJ1734" s="604" t="n">
        <x:v>0.849790141616744</x:v>
      </x:c>
      <x:c r="AK1734" s="604" t="n"/>
      <x:c r="AL1734" s="604" t="n"/>
      <x:c r="AM1734" s="604" t="n"/>
      <x:c r="AN1734" s="604" t="inlineStr">
        <x:is>
          <x:t xml:space="preserve">EVALUATED</x:t>
        </x:is>
      </x:c>
      <x:c r="AO1734" s="604" t="inlineStr">
        <x:is>
          <x:t xml:space="preserve">LOW_QUALITY_GATE;BUCKET_PRIOR_ONLY;INTENT_INTERPRETATION_ONLY;FFL_OPTIONAL;EXPERT_MARKET</x:t>
        </x:is>
      </x:c>
      <x:c r="AP1734" s="604" t="inlineStr">
        <x:is>
          <x:t xml:space="preserve">f62e41f303c67ecc89b1</x:t>
        </x:is>
      </x:c>
      <x:c r="AQ1734" s="604" t="n"/>
      <x:c r="AR1734" s="604" t="n"/>
      <x:c r="AS1734" s="604" t="n">
        <x:v>-1.25</x:v>
      </x:c>
      <x:c r="AT1734" s="604" t="n">
        <x:v>1.25</x:v>
      </x:c>
      <x:c r="AU1734" s="604" t="n">
        <x:v>0.9</x:v>
      </x:c>
      <x:c r="AV1734" s="604" t="n">
        <x:v>0.9</x:v>
      </x:c>
      <x:c r="AW1734" s="604" t="inlineStr">
        <x:is>
          <x:t xml:space="preserve">2026-10-09T09:01:21.127001+08:00</x:t>
        </x:is>
      </x:c>
      <x:c r="AX1734" s="604" t="inlineStr">
        <x:is>
          <x:t xml:space="preserve">Titan007/V4</x:t>
        </x:is>
      </x:c>
      <x:c r="AY1734" s="604" t="inlineStr">
        <x:is>
          <x:t xml:space="preserve">Daily append；市场输入缺失时不生成决策</x:t>
        </x:is>
      </x:c>
    </x:row>
    <x:row r="1735" ht="22" customHeight="1">
      <x:c r="A1735" s="604" t="inlineStr">
        <x:is>
          <x:t xml:space="preserve">2026-10-09</x:t>
        </x:is>
      </x:c>
      <x:c r="B1735" s="604" t="inlineStr">
        <x:is>
          <x:t xml:space="preserve">2026-10-10T02:00:00+08:00</x:t>
        </x:is>
      </x:c>
      <x:c r="C1735" s="604" t="str">
        <x:v>南美系列</x:v>
      </x:c>
      <x:c r="D1735" s="604" t="inlineStr">
        <x:is>
          <x:t xml:space="preserve"/>
        </x:is>
      </x:c>
      <x:c r="E1735" s="604" t="inlineStr">
        <x:is>
          <x:t xml:space="preserve">巴圣青联</x:t>
        </x:is>
      </x:c>
      <x:c r="F1735" s="604" t="inlineStr">
        <x:is>
          <x:t xml:space="preserve">圣安德雷青年队 vs 佐云图斯AC青年队</x:t>
        </x:is>
      </x:c>
      <x:c r="G1735" s="604" t="n">
        <x:v>0.85</x:v>
      </x:c>
      <x:c r="H1735" s="604" t="n">
        <x:v>-0.25</x:v>
      </x:c>
      <x:c r="I1735" s="604" t="n">
        <x:v>0.95</x:v>
      </x:c>
      <x:c r="J1735" s="604" t="inlineStr">
        <x:is>
          <x:t xml:space="preserve">0.85/-0.25/0.95</x:t>
        </x:is>
      </x:c>
      <x:c r="K1735" s="604" t="inlineStr">
        <x:is>
          <x:t xml:space="preserve">V4-N</x:t>
        </x:is>
      </x:c>
      <x:c r="L1735" s="604" t="inlineStr">
        <x:is>
          <x:t xml:space="preserve"/>
        </x:is>
      </x:c>
      <x:c r="M1735" s="604" t="n">
        <x:v>0.3128266765315918</x:v>
      </x:c>
      <x:c r="N1735" s="604" t="inlineStr">
        <x:is>
          <x:t xml:space="preserve">V4 Shadow Only；real_money=false</x:t>
        </x:is>
      </x:c>
      <x:c r="O1735" s="604" t="inlineStr">
        <x:is>
          <x:t xml:space="preserve">0-0</x:t>
        </x:is>
      </x:c>
      <x:c r="P1735" s="604" t="inlineStr">
        <x:is>
          <x:t xml:space="preserve">EVALUATED</x:t>
        </x:is>
      </x:c>
      <x:c r="Q1735" s="630" t="inlineStr">
        <x:is>
          <x:t xml:space="preserve"/>
        </x:is>
      </x:c>
      <x:c r="R1735" s="604" t="n"/>
      <x:c r="S1735" s="604" t="n"/>
      <x:c r="T1735" s="604" t="inlineStr">
        <x:is>
          <x:t xml:space="preserve">D:\codex\v3_legacy\outputs\football_odds_trader\raw\titan007\20261009\20261009_085232_titan007_odds_snapshot.csv</x:t>
        </x:is>
      </x:c>
      <x:c r="U1735" s="628" t="inlineStr">
        <x:is>
          <x:t xml:space="preserve"/>
        </x:is>
      </x:c>
      <x:c r="V1735" s="604" t="inlineStr">
        <x:is>
          <x:t xml:space="preserve"/>
        </x:is>
      </x:c>
      <x:c r="W1735" s="604" t="inlineStr">
        <x:is>
          <x:t xml:space="preserve"/>
        </x:is>
      </x:c>
      <x:c r="X1735" s="604" t="inlineStr">
        <x:is>
          <x:t xml:space="preserve">3098090</x:t>
        </x:is>
      </x:c>
      <x:c r="Y1735" s="604" t="inlineStr">
        <x:is>
          <x:t xml:space="preserve">V4</x:t>
        </x:is>
      </x:c>
      <x:c r="Z1735" s="604" t="inlineStr">
        <x:is>
          <x:t xml:space="preserve">prior-2026-10-09-v1</x:t>
        </x:is>
      </x:c>
      <x:c r="AA1735" s="604" t="inlineStr">
        <x:is>
          <x:t xml:space="preserve">N</x:t>
        </x:is>
      </x:c>
      <x:c r="AB1735" s="604" t="n">
        <x:v>0.3128266765315918</x:v>
      </x:c>
      <x:c r="AC1735" s="604" t="n">
        <x:v>0.5562237241956055</x:v>
      </x:c>
      <x:c r="AD1735" s="604" t="n">
        <x:v>-0.25</x:v>
      </x:c>
      <x:c r="AE1735" s="604" t="n"/>
      <x:c r="AF1735" s="604" t="n"/>
      <x:c r="AG1735" s="604" t="n">
        <x:v>0.1599634890346728</x:v>
      </x:c>
      <x:c r="AH1735" s="604" t="n"/>
      <x:c r="AI1735" s="604" t="n"/>
      <x:c r="AJ1735" s="604" t="n">
        <x:v>0.1599634890346728</x:v>
      </x:c>
      <x:c r="AK1735" s="604" t="n"/>
      <x:c r="AL1735" s="604" t="n"/>
      <x:c r="AM1735" s="604" t="n"/>
      <x:c r="AN1735" s="604" t="inlineStr">
        <x:is>
          <x:t xml:space="preserve">EVALUATED</x:t>
        </x:is>
      </x:c>
      <x:c r="AO1735" s="604" t="inlineStr">
        <x:is>
          <x:t xml:space="preserve">LOW_QUALITY_GATE;BUCKET_PRIOR_ONLY;INTENT_INTERPRETATION_ONLY;FFL_OPTIONAL;EXPERT_MARKET</x:t>
        </x:is>
      </x:c>
      <x:c r="AP1735" s="604" t="inlineStr">
        <x:is>
          <x:t xml:space="preserve">f5acda483c7a97bf9d48</x:t>
        </x:is>
      </x:c>
      <x:c r="AQ1735" s="604" t="n"/>
      <x:c r="AR1735" s="604" t="n"/>
      <x:c r="AS1735" s="604" t="n">
        <x:v>-0.25</x:v>
      </x:c>
      <x:c r="AT1735" s="604" t="n">
        <x:v>0.25</x:v>
      </x:c>
      <x:c r="AU1735" s="604" t="n">
        <x:v>0.85</x:v>
      </x:c>
      <x:c r="AV1735" s="604" t="n">
        <x:v>0.95</x:v>
      </x:c>
      <x:c r="AW1735" s="604" t="inlineStr">
        <x:is>
          <x:t xml:space="preserve">2026-10-09T09:01:21.127001+08:00</x:t>
        </x:is>
      </x:c>
      <x:c r="AX1735" s="604" t="inlineStr">
        <x:is>
          <x:t xml:space="preserve">Titan007/V4</x:t>
        </x:is>
      </x:c>
      <x:c r="AY1735" s="604" t="inlineStr">
        <x:is>
          <x:t xml:space="preserve">Daily append；市场输入缺失时不生成决策</x:t>
        </x:is>
      </x:c>
    </x:row>
    <x:row r="1736" ht="22" customHeight="1">
      <x:c r="A1736" s="604" t="inlineStr">
        <x:is>
          <x:t xml:space="preserve">2026-10-09</x:t>
        </x:is>
      </x:c>
      <x:c r="B1736" s="604" t="inlineStr">
        <x:is>
          <x:t xml:space="preserve">2026-10-10T02:00:00+08:00</x:t>
        </x:is>
      </x:c>
      <x:c r="C1736" s="604" t="str">
        <x:v>南美系列</x:v>
      </x:c>
      <x:c r="D1736" s="604" t="inlineStr">
        <x:is>
          <x:t xml:space="preserve"/>
        </x:is>
      </x:c>
      <x:c r="E1736" s="604" t="inlineStr">
        <x:is>
          <x:t xml:space="preserve">巴圣青联</x:t>
        </x:is>
      </x:c>
      <x:c r="F1736" s="604" t="inlineStr">
        <x:is>
          <x:t xml:space="preserve">斯菲拉青年队 vs 瓜拉尼青年队</x:t>
        </x:is>
      </x:c>
      <x:c r="G1736" s="604" t="n">
        <x:v>0.83</x:v>
      </x:c>
      <x:c r="H1736" s="604" t="n">
        <x:v>-0.25</x:v>
      </x:c>
      <x:c r="I1736" s="604" t="n">
        <x:v>0.98</x:v>
      </x:c>
      <x:c r="J1736" s="604" t="inlineStr">
        <x:is>
          <x:t xml:space="preserve">0.83/-0.25/0.98</x:t>
        </x:is>
      </x:c>
      <x:c r="K1736" s="604" t="inlineStr">
        <x:is>
          <x:t xml:space="preserve">V4-N</x:t>
        </x:is>
      </x:c>
      <x:c r="L1736" s="604" t="inlineStr">
        <x:is>
          <x:t xml:space="preserve"/>
        </x:is>
      </x:c>
      <x:c r="M1736" s="604" t="n">
        <x:v>0.3254827351548304</x:v>
      </x:c>
      <x:c r="N1736" s="604" t="inlineStr">
        <x:is>
          <x:t xml:space="preserve">V4 Shadow Only；real_money=false</x:t>
        </x:is>
      </x:c>
      <x:c r="O1736" s="604" t="inlineStr">
        <x:is>
          <x:t xml:space="preserve">0-0</x:t>
        </x:is>
      </x:c>
      <x:c r="P1736" s="604" t="inlineStr">
        <x:is>
          <x:t xml:space="preserve">EVALUATED</x:t>
        </x:is>
      </x:c>
      <x:c r="Q1736" s="630" t="inlineStr">
        <x:is>
          <x:t xml:space="preserve"/>
        </x:is>
      </x:c>
      <x:c r="R1736" s="604" t="n"/>
      <x:c r="S1736" s="604" t="n"/>
      <x:c r="T1736" s="604" t="inlineStr">
        <x:is>
          <x:t xml:space="preserve">D:\codex\v3_legacy\outputs\football_odds_trader\raw\titan007\20261009\20261009_085232_titan007_odds_snapshot.csv</x:t>
        </x:is>
      </x:c>
      <x:c r="U1736" s="628" t="inlineStr">
        <x:is>
          <x:t xml:space="preserve"/>
        </x:is>
      </x:c>
      <x:c r="V1736" s="604" t="inlineStr">
        <x:is>
          <x:t xml:space="preserve"/>
        </x:is>
      </x:c>
      <x:c r="W1736" s="604" t="inlineStr">
        <x:is>
          <x:t xml:space="preserve"/>
        </x:is>
      </x:c>
      <x:c r="X1736" s="604" t="inlineStr">
        <x:is>
          <x:t xml:space="preserve">3098091</x:t>
        </x:is>
      </x:c>
      <x:c r="Y1736" s="604" t="inlineStr">
        <x:is>
          <x:t xml:space="preserve">V4</x:t>
        </x:is>
      </x:c>
      <x:c r="Z1736" s="604" t="inlineStr">
        <x:is>
          <x:t xml:space="preserve">prior-2026-10-09-v1</x:t>
        </x:is>
      </x:c>
      <x:c r="AA1736" s="604" t="inlineStr">
        <x:is>
          <x:t xml:space="preserve">N</x:t>
        </x:is>
      </x:c>
      <x:c r="AB1736" s="604" t="n">
        <x:v>0.3254827351548304</x:v>
      </x:c>
      <x:c r="AC1736" s="604" t="n">
        <x:v>0.543134246875938</x:v>
      </x:c>
      <x:c r="AD1736" s="604" t="n">
        <x:v>-0.25</x:v>
      </x:c>
      <x:c r="AE1736" s="604" t="n"/>
      <x:c r="AF1736" s="604" t="n"/>
      <x:c r="AG1736" s="604" t="n">
        <x:v>0.1253186897521981</x:v>
      </x:c>
      <x:c r="AH1736" s="604" t="n"/>
      <x:c r="AI1736" s="604" t="n"/>
      <x:c r="AJ1736" s="604" t="n">
        <x:v>0.1253186897521981</x:v>
      </x:c>
      <x:c r="AK1736" s="604" t="n"/>
      <x:c r="AL1736" s="604" t="n"/>
      <x:c r="AM1736" s="604" t="n"/>
      <x:c r="AN1736" s="604" t="inlineStr">
        <x:is>
          <x:t xml:space="preserve">EVALUATED</x:t>
        </x:is>
      </x:c>
      <x:c r="AO1736" s="604" t="inlineStr">
        <x:is>
          <x:t xml:space="preserve">LOW_QUALITY_GATE;BUCKET_PRIOR_ONLY;INTENT_INTERPRETATION_ONLY;FFL_OPTIONAL;EXPERT_MARKET</x:t>
        </x:is>
      </x:c>
      <x:c r="AP1736" s="604" t="inlineStr">
        <x:is>
          <x:t xml:space="preserve">efa770c2720118b79a5c</x:t>
        </x:is>
      </x:c>
      <x:c r="AQ1736" s="604" t="n"/>
      <x:c r="AR1736" s="604" t="n"/>
      <x:c r="AS1736" s="604" t="n">
        <x:v>-0.25</x:v>
      </x:c>
      <x:c r="AT1736" s="604" t="n">
        <x:v>0.25</x:v>
      </x:c>
      <x:c r="AU1736" s="604" t="n">
        <x:v>0.83</x:v>
      </x:c>
      <x:c r="AV1736" s="604" t="n">
        <x:v>0.98</x:v>
      </x:c>
      <x:c r="AW1736" s="604" t="inlineStr">
        <x:is>
          <x:t xml:space="preserve">2026-10-09T09:01:21.127001+08:00</x:t>
        </x:is>
      </x:c>
      <x:c r="AX1736" s="604" t="inlineStr">
        <x:is>
          <x:t xml:space="preserve">Titan007/V4</x:t>
        </x:is>
      </x:c>
      <x:c r="AY1736" s="604" t="inlineStr">
        <x:is>
          <x:t xml:space="preserve">Daily append；市场输入缺失时不生成决策</x:t>
        </x:is>
      </x:c>
    </x:row>
    <x:row r="1737" ht="22" customHeight="1">
      <x:c r="A1737" s="604" t="inlineStr">
        <x:is>
          <x:t xml:space="preserve">2026-10-09</x:t>
        </x:is>
      </x:c>
      <x:c r="B1737" s="604" t="inlineStr">
        <x:is>
          <x:t xml:space="preserve">2026-10-09T21:00:00+08:00</x:t>
        </x:is>
      </x:c>
      <x:c r="C1737" s="604" t="str">
        <x:v>其他系列</x:v>
      </x:c>
      <x:c r="D1737" s="604" t="inlineStr">
        <x:is>
          <x:t xml:space="preserve"/>
        </x:is>
      </x:c>
      <x:c r="E1737" s="604" t="inlineStr">
        <x:is>
          <x:t xml:space="preserve">国际友谊</x:t>
        </x:is>
      </x:c>
      <x:c r="F1737" s="604" t="inlineStr">
        <x:is>
          <x:t xml:space="preserve">斯洛伐克女足U19 vs 土耳其女足U19</x:t>
        </x:is>
      </x:c>
      <x:c r="G1737" s="604" t="n"/>
      <x:c r="H1737" s="604" t="n"/>
      <x:c r="I1737" s="604" t="n"/>
      <x:c r="J1737" s="604" t="inlineStr">
        <x:is>
          <x:t xml:space="preserve">//</x:t>
        </x:is>
      </x:c>
      <x:c r="K1737" s="604" t="inlineStr">
        <x:is>
          <x:t xml:space="preserve">V4不可用：市场输入缺失</x:t>
        </x:is>
      </x:c>
      <x:c r="L1737" s="604" t="inlineStr">
        <x:is>
          <x:t xml:space="preserve"/>
        </x:is>
      </x:c>
      <x:c r="M1737" s="604" t="n"/>
      <x:c r="N1737" s="604" t="inlineStr">
        <x:is>
          <x:t xml:space="preserve">V4 Shadow Only；real_money=false</x:t>
        </x:is>
      </x:c>
      <x:c r="O1737" s="604" t="inlineStr">
        <x:is>
          <x:t xml:space="preserve">0-0</x:t>
        </x:is>
      </x:c>
      <x:c r="P1737" s="604" t="inlineStr">
        <x:is>
          <x:t xml:space="preserve">MISSING_DATA</x:t>
        </x:is>
      </x:c>
      <x:c r="Q1737" s="630" t="inlineStr">
        <x:is>
          <x:t xml:space="preserve"/>
        </x:is>
      </x:c>
      <x:c r="R1737" s="604" t="n"/>
      <x:c r="S1737" s="604" t="n"/>
      <x:c r="T1737" s="604" t="inlineStr">
        <x:is>
          <x:t xml:space="preserve">D:\codex\v3_legacy\outputs\football_odds_trader\raw\titan007\20261009\20261009_085232_titan007_odds_snapshot.csv</x:t>
        </x:is>
      </x:c>
      <x:c r="U1737" s="628" t="inlineStr">
        <x:is>
          <x:t xml:space="preserve"/>
        </x:is>
      </x:c>
      <x:c r="V1737" s="604" t="inlineStr">
        <x:is>
          <x:t xml:space="preserve"/>
        </x:is>
      </x:c>
      <x:c r="W1737" s="604" t="inlineStr">
        <x:is>
          <x:t xml:space="preserve"/>
        </x:is>
      </x:c>
      <x:c r="X1737" s="604" t="inlineStr">
        <x:is>
          <x:t xml:space="preserve">3098092</x:t>
        </x:is>
      </x:c>
      <x:c r="Y1737" s="604" t="inlineStr">
        <x:is>
          <x:t xml:space="preserve">V4</x:t>
        </x:is>
      </x:c>
      <x:c r="Z1737" s="604" t="inlineStr">
        <x:is>
          <x:t xml:space="preserve">prior-2026-10-09-v1</x:t>
        </x:is>
      </x:c>
      <x:c r="AA1737" s="604" t="inlineStr">
        <x:is>
          <x:t xml:space="preserve"/>
        </x:is>
      </x:c>
      <x:c r="AB1737" s="604" t="n"/>
      <x:c r="AC1737" s="604" t="n"/>
      <x:c r="AD1737" s="604" t="n"/>
      <x:c r="AE1737" s="604" t="n"/>
      <x:c r="AF1737" s="604" t="n"/>
      <x:c r="AG1737" s="604" t="n"/>
      <x:c r="AH1737" s="604" t="n"/>
      <x:c r="AI1737" s="604" t="n"/>
      <x:c r="AJ1737" s="604" t="n"/>
      <x:c r="AK1737" s="604" t="n"/>
      <x:c r="AL1737" s="604" t="n"/>
      <x:c r="AM1737" s="604" t="n"/>
      <x:c r="AN1737" s="604" t="inlineStr">
        <x:is>
          <x:t xml:space="preserve">MISSING_DATA</x:t>
        </x:is>
      </x:c>
      <x:c r="AO1737" s="604" t="inlineStr">
        <x:is>
          <x:t xml:space="preserve">REQUIRED_MARKET_INPUT_MISSING</x:t>
        </x:is>
      </x:c>
      <x:c r="AP1737" s="604" t="inlineStr">
        <x:is>
          <x:t xml:space="preserve">8f221c4d3c38d08682fb</x:t>
        </x:is>
      </x:c>
      <x:c r="AQ1737" s="604" t="n"/>
      <x:c r="AR1737" s="604" t="n"/>
      <x:c r="AS1737" s="604" t="n"/>
      <x:c r="AT1737" s="604" t="n"/>
      <x:c r="AU1737" s="604" t="n"/>
      <x:c r="AV1737" s="604" t="n"/>
      <x:c r="AW1737" s="604" t="inlineStr">
        <x:is>
          <x:t xml:space="preserve">2026-10-09T09:01:21.127001+08:00</x:t>
        </x:is>
      </x:c>
      <x:c r="AX1737" s="604" t="inlineStr">
        <x:is>
          <x:t xml:space="preserve">Titan007/V4</x:t>
        </x:is>
      </x:c>
      <x:c r="AY1737" s="604" t="inlineStr">
        <x:is>
          <x:t xml:space="preserve">Daily append；市场输入缺失时不生成决策</x:t>
        </x:is>
      </x:c>
    </x:row>
    <x:row r="1738" ht="22" customHeight="1">
      <x:c r="A1738" s="604" t="inlineStr">
        <x:is>
          <x:t xml:space="preserve">2026-10-09</x:t>
        </x:is>
      </x:c>
      <x:c r="B1738" s="604" t="inlineStr">
        <x:is>
          <x:t xml:space="preserve">2026-10-09T22:00:00+08:00</x:t>
        </x:is>
      </x:c>
      <x:c r="C1738" s="604" t="str">
        <x:v>其他系列</x:v>
      </x:c>
      <x:c r="D1738" s="604" t="inlineStr">
        <x:is>
          <x:t xml:space="preserve"/>
        </x:is>
      </x:c>
      <x:c r="E1738" s="604" t="inlineStr">
        <x:is>
          <x:t xml:space="preserve">国际友谊</x:t>
        </x:is>
      </x:c>
      <x:c r="F1738" s="604" t="inlineStr">
        <x:is>
          <x:t xml:space="preserve">摩尔多瓦女足 vs 格鲁吉亚女足</x:t>
        </x:is>
      </x:c>
      <x:c r="G1738" s="604" t="n">
        <x:v>0.71</x:v>
      </x:c>
      <x:c r="H1738" s="604" t="n">
        <x:v>-0.25</x:v>
      </x:c>
      <x:c r="I1738" s="604" t="n">
        <x:v>0.99</x:v>
      </x:c>
      <x:c r="J1738" s="604" t="inlineStr">
        <x:is>
          <x:t xml:space="preserve">0.71/-0.25/0.99</x:t>
        </x:is>
      </x:c>
      <x:c r="K1738" s="604" t="inlineStr">
        <x:is>
          <x:t xml:space="preserve">V4-N</x:t>
        </x:is>
      </x:c>
      <x:c r="L1738" s="604" t="inlineStr">
        <x:is>
          <x:t xml:space="preserve"/>
        </x:is>
      </x:c>
      <x:c r="M1738" s="604" t="n">
        <x:v>0.3125638415922673</x:v>
      </x:c>
      <x:c r="N1738" s="604" t="inlineStr">
        <x:is>
          <x:t xml:space="preserve">V4 Shadow Only；real_money=false</x:t>
        </x:is>
      </x:c>
      <x:c r="O1738" s="604" t="inlineStr">
        <x:is>
          <x:t xml:space="preserve">0-0</x:t>
        </x:is>
      </x:c>
      <x:c r="P1738" s="604" t="inlineStr">
        <x:is>
          <x:t xml:space="preserve">EVALUATED</x:t>
        </x:is>
      </x:c>
      <x:c r="Q1738" s="630" t="inlineStr">
        <x:is>
          <x:t xml:space="preserve"/>
        </x:is>
      </x:c>
      <x:c r="R1738" s="604" t="n"/>
      <x:c r="S1738" s="604" t="n"/>
      <x:c r="T1738" s="604" t="inlineStr">
        <x:is>
          <x:t xml:space="preserve">D:\codex\v3_legacy\outputs\football_odds_trader\raw\titan007\20261009\20261009_085232_titan007_odds_snapshot.csv</x:t>
        </x:is>
      </x:c>
      <x:c r="U1738" s="628" t="inlineStr">
        <x:is>
          <x:t xml:space="preserve"/>
        </x:is>
      </x:c>
      <x:c r="V1738" s="604" t="inlineStr">
        <x:is>
          <x:t xml:space="preserve"/>
        </x:is>
      </x:c>
      <x:c r="W1738" s="604" t="inlineStr">
        <x:is>
          <x:t xml:space="preserve"/>
        </x:is>
      </x:c>
      <x:c r="X1738" s="604" t="inlineStr">
        <x:is>
          <x:t xml:space="preserve">3098093</x:t>
        </x:is>
      </x:c>
      <x:c r="Y1738" s="604" t="inlineStr">
        <x:is>
          <x:t xml:space="preserve">V4</x:t>
        </x:is>
      </x:c>
      <x:c r="Z1738" s="604" t="inlineStr">
        <x:is>
          <x:t xml:space="preserve">prior-2026-10-09-v1</x:t>
        </x:is>
      </x:c>
      <x:c r="AA1738" s="604" t="inlineStr">
        <x:is>
          <x:t xml:space="preserve">N</x:t>
        </x:is>
      </x:c>
      <x:c r="AB1738" s="604" t="n">
        <x:v>0.3125638415922673</x:v>
      </x:c>
      <x:c r="AC1738" s="604" t="n">
        <x:v>0.5559058877932243</x:v>
      </x:c>
      <x:c r="AD1738" s="604" t="n">
        <x:v>-0.25</x:v>
      </x:c>
      <x:c r="AE1738" s="604" t="n"/>
      <x:c r="AF1738" s="604" t="n"/>
      <x:c r="AG1738" s="604" t="n">
        <x:v>0.08212933874092193</x:v>
      </x:c>
      <x:c r="AH1738" s="604" t="n"/>
      <x:c r="AI1738" s="604" t="n"/>
      <x:c r="AJ1738" s="604" t="n">
        <x:v>0.08212933874092193</x:v>
      </x:c>
      <x:c r="AK1738" s="604" t="n"/>
      <x:c r="AL1738" s="604" t="n"/>
      <x:c r="AM1738" s="604" t="n"/>
      <x:c r="AN1738" s="604" t="inlineStr">
        <x:is>
          <x:t xml:space="preserve">EVALUATED</x:t>
        </x:is>
      </x:c>
      <x:c r="AO1738" s="604" t="inlineStr">
        <x:is>
          <x:t xml:space="preserve">LOW_QUALITY_GATE;BUCKET_PRIOR_ONLY;INTENT_INTERPRETATION_ONLY;FFL_OPTIONAL;EXPERT_MARKET</x:t>
        </x:is>
      </x:c>
      <x:c r="AP1738" s="604" t="inlineStr">
        <x:is>
          <x:t xml:space="preserve">2174f86d2c46249a992d</x:t>
        </x:is>
      </x:c>
      <x:c r="AQ1738" s="604" t="n"/>
      <x:c r="AR1738" s="604" t="n"/>
      <x:c r="AS1738" s="604" t="n">
        <x:v>-0.25</x:v>
      </x:c>
      <x:c r="AT1738" s="604" t="n">
        <x:v>0.25</x:v>
      </x:c>
      <x:c r="AU1738" s="604" t="n">
        <x:v>0.71</x:v>
      </x:c>
      <x:c r="AV1738" s="604" t="n">
        <x:v>0.99</x:v>
      </x:c>
      <x:c r="AW1738" s="604" t="inlineStr">
        <x:is>
          <x:t xml:space="preserve">2026-10-09T09:01:21.127001+08:00</x:t>
        </x:is>
      </x:c>
      <x:c r="AX1738" s="604" t="inlineStr">
        <x:is>
          <x:t xml:space="preserve">Titan007/V4</x:t>
        </x:is>
      </x:c>
      <x:c r="AY1738" s="604" t="inlineStr">
        <x:is>
          <x:t xml:space="preserve">Daily append；市场输入缺失时不生成决策</x:t>
        </x:is>
      </x:c>
    </x:row>
    <x:row r="1739" ht="22" customHeight="1">
      <x:c r="A1739" s="604" t="inlineStr">
        <x:is>
          <x:t xml:space="preserve">2026-10-09</x:t>
        </x:is>
      </x:c>
      <x:c r="B1739" s="604" t="inlineStr">
        <x:is>
          <x:t xml:space="preserve">2026-10-09T16:45:00+08:00</x:t>
        </x:is>
      </x:c>
      <x:c r="C1739" s="604" t="str">
        <x:v>其他系列</x:v>
      </x:c>
      <x:c r="D1739" s="604" t="inlineStr">
        <x:is>
          <x:t xml:space="preserve"/>
        </x:is>
      </x:c>
      <x:c r="E1739" s="604" t="inlineStr">
        <x:is>
          <x:t xml:space="preserve">马来A1联</x:t>
        </x:is>
      </x:c>
      <x:c r="F1739" s="604" t="inlineStr">
        <x:is>
          <x:t xml:space="preserve">武装部队 vs 米格雷森II队</x:t>
        </x:is>
      </x:c>
      <x:c r="G1739" s="604" t="n">
        <x:v>0.95</x:v>
      </x:c>
      <x:c r="H1739" s="604" t="n">
        <x:v>0</x:v>
      </x:c>
      <x:c r="I1739" s="604" t="n">
        <x:v>0.85</x:v>
      </x:c>
      <x:c r="J1739" s="604" t="inlineStr">
        <x:is>
          <x:t xml:space="preserve">0.95/0.0/0.85</x:t>
        </x:is>
      </x:c>
      <x:c r="K1739" s="604" t="inlineStr">
        <x:is>
          <x:t xml:space="preserve">V4-N</x:t>
        </x:is>
      </x:c>
      <x:c r="L1739" s="604" t="inlineStr">
        <x:is>
          <x:t xml:space="preserve"/>
        </x:is>
      </x:c>
      <x:c r="M1739" s="604" t="n"/>
      <x:c r="N1739" s="604" t="inlineStr">
        <x:is>
          <x:t xml:space="preserve">V4 Shadow Only；real_money=false</x:t>
        </x:is>
      </x:c>
      <x:c r="O1739" s="604" t="inlineStr">
        <x:is>
          <x:t xml:space="preserve">0-0</x:t>
        </x:is>
      </x:c>
      <x:c r="P1739" s="604" t="inlineStr">
        <x:is>
          <x:t xml:space="preserve">NEUTRAL</x:t>
        </x:is>
      </x:c>
      <x:c r="Q1739" s="630" t="inlineStr">
        <x:is>
          <x:t xml:space="preserve"/>
        </x:is>
      </x:c>
      <x:c r="R1739" s="604" t="n"/>
      <x:c r="S1739" s="604" t="n"/>
      <x:c r="T1739" s="604" t="inlineStr">
        <x:is>
          <x:t xml:space="preserve">D:\codex\v3_legacy\outputs\football_odds_trader\raw\titan007\20261009\20261009_085232_titan007_odds_snapshot.csv</x:t>
        </x:is>
      </x:c>
      <x:c r="U1739" s="628" t="inlineStr">
        <x:is>
          <x:t xml:space="preserve"/>
        </x:is>
      </x:c>
      <x:c r="V1739" s="604" t="inlineStr">
        <x:is>
          <x:t xml:space="preserve"/>
        </x:is>
      </x:c>
      <x:c r="W1739" s="604" t="inlineStr">
        <x:is>
          <x:t xml:space="preserve"/>
        </x:is>
      </x:c>
      <x:c r="X1739" s="604" t="inlineStr">
        <x:is>
          <x:t xml:space="preserve">3098094</x:t>
        </x:is>
      </x:c>
      <x:c r="Y1739" s="604" t="inlineStr">
        <x:is>
          <x:t xml:space="preserve">V4</x:t>
        </x:is>
      </x:c>
      <x:c r="Z1739" s="604" t="inlineStr">
        <x:is>
          <x:t xml:space="preserve">prior-2026-10-09-v1</x:t>
        </x:is>
      </x:c>
      <x:c r="AA1739" s="604" t="inlineStr">
        <x:is>
          <x:t xml:space="preserve">N</x:t>
        </x:is>
      </x:c>
      <x:c r="AB1739" s="604" t="n"/>
      <x:c r="AC1739" s="604" t="n"/>
      <x:c r="AD1739" s="604" t="n"/>
      <x:c r="AE1739" s="604" t="n"/>
      <x:c r="AF1739" s="604" t="n"/>
      <x:c r="AG1739" s="604" t="n"/>
      <x:c r="AH1739" s="604" t="n"/>
      <x:c r="AI1739" s="604" t="n"/>
      <x:c r="AJ1739" s="604" t="n"/>
      <x:c r="AK1739" s="604" t="n"/>
      <x:c r="AL1739" s="604" t="n"/>
      <x:c r="AM1739" s="604" t="n"/>
      <x:c r="AN1739" s="604" t="inlineStr">
        <x:is>
          <x:t xml:space="preserve">NEUTRAL</x:t>
        </x:is>
      </x:c>
      <x:c r="AO1739" s="604" t="inlineStr">
        <x:is>
          <x:t xml:space="preserve">PK_NO_GIVING_RECEIVING_IDENTITY</x:t>
        </x:is>
      </x:c>
      <x:c r="AP1739" s="604" t="inlineStr">
        <x:is>
          <x:t xml:space="preserve">b542385166fbf957ee92</x:t>
        </x:is>
      </x:c>
      <x:c r="AQ1739" s="604" t="n"/>
      <x:c r="AR1739" s="604" t="n"/>
      <x:c r="AS1739" s="604" t="n"/>
      <x:c r="AT1739" s="604" t="n"/>
      <x:c r="AU1739" s="604" t="n"/>
      <x:c r="AV1739" s="604" t="n"/>
      <x:c r="AW1739" s="604" t="inlineStr">
        <x:is>
          <x:t xml:space="preserve">2026-10-09T09:01:21.127001+08:00</x:t>
        </x:is>
      </x:c>
      <x:c r="AX1739" s="604" t="inlineStr">
        <x:is>
          <x:t xml:space="preserve">Titan007/V4</x:t>
        </x:is>
      </x:c>
      <x:c r="AY1739" s="604" t="inlineStr">
        <x:is>
          <x:t xml:space="preserve">Daily append；市场输入缺失时不生成决策</x:t>
        </x:is>
      </x:c>
    </x:row>
    <x:row r="1740" ht="22" customHeight="1">
      <x:c r="A1740" s="604" t="inlineStr">
        <x:is>
          <x:t xml:space="preserve">2026-10-09</x:t>
        </x:is>
      </x:c>
      <x:c r="B1740" s="604" t="inlineStr">
        <x:is>
          <x:t xml:space="preserve">2026-10-09T23:15:00+08:00</x:t>
        </x:is>
      </x:c>
      <x:c r="C1740" s="604" t="str">
        <x:v>其他系列</x:v>
      </x:c>
      <x:c r="D1740" s="604" t="inlineStr">
        <x:is>
          <x:t xml:space="preserve"/>
        </x:is>
      </x:c>
      <x:c r="E1740" s="604" t="inlineStr">
        <x:is>
          <x:t xml:space="preserve">国际友谊</x:t>
        </x:is>
      </x:c>
      <x:c r="F1740" s="604" t="inlineStr">
        <x:is>
          <x:t xml:space="preserve">尼加拉瓜U16 vs 哥斯达黎加U16</x:t>
        </x:is>
      </x:c>
      <x:c r="G1740" s="604" t="n"/>
      <x:c r="H1740" s="604" t="n"/>
      <x:c r="I1740" s="604" t="n"/>
      <x:c r="J1740" s="604" t="inlineStr">
        <x:is>
          <x:t xml:space="preserve">//</x:t>
        </x:is>
      </x:c>
      <x:c r="K1740" s="604" t="inlineStr">
        <x:is>
          <x:t xml:space="preserve">V4不可用：市场输入缺失</x:t>
        </x:is>
      </x:c>
      <x:c r="L1740" s="604" t="inlineStr">
        <x:is>
          <x:t xml:space="preserve"/>
        </x:is>
      </x:c>
      <x:c r="M1740" s="604" t="n"/>
      <x:c r="N1740" s="604" t="inlineStr">
        <x:is>
          <x:t xml:space="preserve">V4 Shadow Only；real_money=false</x:t>
        </x:is>
      </x:c>
      <x:c r="O1740" s="604" t="inlineStr">
        <x:is>
          <x:t xml:space="preserve">0-0</x:t>
        </x:is>
      </x:c>
      <x:c r="P1740" s="604" t="inlineStr">
        <x:is>
          <x:t xml:space="preserve">MISSING_DATA</x:t>
        </x:is>
      </x:c>
      <x:c r="Q1740" s="630" t="inlineStr">
        <x:is>
          <x:t xml:space="preserve"/>
        </x:is>
      </x:c>
      <x:c r="R1740" s="604" t="n"/>
      <x:c r="S1740" s="604" t="n"/>
      <x:c r="T1740" s="604" t="inlineStr">
        <x:is>
          <x:t xml:space="preserve">D:\codex\v3_legacy\outputs\football_odds_trader\raw\titan007\20261009\20261009_085232_titan007_odds_snapshot.csv</x:t>
        </x:is>
      </x:c>
      <x:c r="U1740" s="628" t="inlineStr">
        <x:is>
          <x:t xml:space="preserve"/>
        </x:is>
      </x:c>
      <x:c r="V1740" s="604" t="inlineStr">
        <x:is>
          <x:t xml:space="preserve"/>
        </x:is>
      </x:c>
      <x:c r="W1740" s="604" t="inlineStr">
        <x:is>
          <x:t xml:space="preserve"/>
        </x:is>
      </x:c>
      <x:c r="X1740" s="604" t="inlineStr">
        <x:is>
          <x:t xml:space="preserve">3098095</x:t>
        </x:is>
      </x:c>
      <x:c r="Y1740" s="604" t="inlineStr">
        <x:is>
          <x:t xml:space="preserve">V4</x:t>
        </x:is>
      </x:c>
      <x:c r="Z1740" s="604" t="inlineStr">
        <x:is>
          <x:t xml:space="preserve">prior-2026-10-09-v1</x:t>
        </x:is>
      </x:c>
      <x:c r="AA1740" s="604" t="inlineStr">
        <x:is>
          <x:t xml:space="preserve"/>
        </x:is>
      </x:c>
      <x:c r="AB1740" s="604" t="n"/>
      <x:c r="AC1740" s="604" t="n"/>
      <x:c r="AD1740" s="604" t="n"/>
      <x:c r="AE1740" s="604" t="n"/>
      <x:c r="AF1740" s="604" t="n"/>
      <x:c r="AG1740" s="604" t="n"/>
      <x:c r="AH1740" s="604" t="n"/>
      <x:c r="AI1740" s="604" t="n"/>
      <x:c r="AJ1740" s="604" t="n"/>
      <x:c r="AK1740" s="604" t="n"/>
      <x:c r="AL1740" s="604" t="n"/>
      <x:c r="AM1740" s="604" t="n"/>
      <x:c r="AN1740" s="604" t="inlineStr">
        <x:is>
          <x:t xml:space="preserve">MISSING_DATA</x:t>
        </x:is>
      </x:c>
      <x:c r="AO1740" s="604" t="inlineStr">
        <x:is>
          <x:t xml:space="preserve">REQUIRED_MARKET_INPUT_MISSING</x:t>
        </x:is>
      </x:c>
      <x:c r="AP1740" s="604" t="inlineStr">
        <x:is>
          <x:t xml:space="preserve">898c3789013623ea332d</x:t>
        </x:is>
      </x:c>
      <x:c r="AQ1740" s="604" t="n"/>
      <x:c r="AR1740" s="604" t="n"/>
      <x:c r="AS1740" s="604" t="n"/>
      <x:c r="AT1740" s="604" t="n"/>
      <x:c r="AU1740" s="604" t="n"/>
      <x:c r="AV1740" s="604" t="n"/>
      <x:c r="AW1740" s="604" t="inlineStr">
        <x:is>
          <x:t xml:space="preserve">2026-10-09T09:01:21.127001+08:00</x:t>
        </x:is>
      </x:c>
      <x:c r="AX1740" s="604" t="inlineStr">
        <x:is>
          <x:t xml:space="preserve">Titan007/V4</x:t>
        </x:is>
      </x:c>
      <x:c r="AY1740" s="604" t="inlineStr">
        <x:is>
          <x:t xml:space="preserve">Daily append；市场输入缺失时不生成决策</x:t>
        </x:is>
      </x:c>
    </x:row>
    <x:row r="1741" ht="22" customHeight="1">
      <x:c r="A1741" s="604" t="inlineStr">
        <x:is>
          <x:t xml:space="preserve">2026-10-09</x:t>
        </x:is>
      </x:c>
      <x:c r="B1741" s="604" t="inlineStr">
        <x:is>
          <x:t xml:space="preserve">2026-10-10T00:00:00+08:00</x:t>
        </x:is>
      </x:c>
      <x:c r="C1741" s="604" t="str">
        <x:v>其他系列</x:v>
      </x:c>
      <x:c r="D1741" s="604" t="inlineStr">
        <x:is>
          <x:t xml:space="preserve"/>
        </x:is>
      </x:c>
      <x:c r="E1741" s="604" t="inlineStr">
        <x:is>
          <x:t xml:space="preserve">国际友谊</x:t>
        </x:is>
      </x:c>
      <x:c r="F1741" s="604" t="inlineStr">
        <x:is>
          <x:t xml:space="preserve">爱沙尼亚女足 vs 捷克女足U23</x:t>
        </x:is>
      </x:c>
      <x:c r="G1741" s="604" t="n"/>
      <x:c r="H1741" s="604" t="n"/>
      <x:c r="I1741" s="604" t="n"/>
      <x:c r="J1741" s="604" t="inlineStr">
        <x:is>
          <x:t xml:space="preserve">//</x:t>
        </x:is>
      </x:c>
      <x:c r="K1741" s="604" t="inlineStr">
        <x:is>
          <x:t xml:space="preserve">V4不可用：市场输入缺失</x:t>
        </x:is>
      </x:c>
      <x:c r="L1741" s="604" t="inlineStr">
        <x:is>
          <x:t xml:space="preserve"/>
        </x:is>
      </x:c>
      <x:c r="M1741" s="604" t="n"/>
      <x:c r="N1741" s="604" t="inlineStr">
        <x:is>
          <x:t xml:space="preserve">V4 Shadow Only；real_money=false</x:t>
        </x:is>
      </x:c>
      <x:c r="O1741" s="604" t="inlineStr">
        <x:is>
          <x:t xml:space="preserve">0-0</x:t>
        </x:is>
      </x:c>
      <x:c r="P1741" s="604" t="inlineStr">
        <x:is>
          <x:t xml:space="preserve">MISSING_DATA</x:t>
        </x:is>
      </x:c>
      <x:c r="Q1741" s="630" t="inlineStr">
        <x:is>
          <x:t xml:space="preserve"/>
        </x:is>
      </x:c>
      <x:c r="R1741" s="604" t="n"/>
      <x:c r="S1741" s="604" t="n"/>
      <x:c r="T1741" s="604" t="inlineStr">
        <x:is>
          <x:t xml:space="preserve">D:\codex\v3_legacy\outputs\football_odds_trader\raw\titan007\20261009\20261009_085232_titan007_odds_snapshot.csv</x:t>
        </x:is>
      </x:c>
      <x:c r="U1741" s="628" t="inlineStr">
        <x:is>
          <x:t xml:space="preserve"/>
        </x:is>
      </x:c>
      <x:c r="V1741" s="604" t="inlineStr">
        <x:is>
          <x:t xml:space="preserve"/>
        </x:is>
      </x:c>
      <x:c r="W1741" s="604" t="inlineStr">
        <x:is>
          <x:t xml:space="preserve"/>
        </x:is>
      </x:c>
      <x:c r="X1741" s="604" t="inlineStr">
        <x:is>
          <x:t xml:space="preserve">3098096</x:t>
        </x:is>
      </x:c>
      <x:c r="Y1741" s="604" t="inlineStr">
        <x:is>
          <x:t xml:space="preserve">V4</x:t>
        </x:is>
      </x:c>
      <x:c r="Z1741" s="604" t="inlineStr">
        <x:is>
          <x:t xml:space="preserve">prior-2026-10-09-v1</x:t>
        </x:is>
      </x:c>
      <x:c r="AA1741" s="604" t="inlineStr">
        <x:is>
          <x:t xml:space="preserve"/>
        </x:is>
      </x:c>
      <x:c r="AB1741" s="604" t="n"/>
      <x:c r="AC1741" s="604" t="n"/>
      <x:c r="AD1741" s="604" t="n"/>
      <x:c r="AE1741" s="604" t="n"/>
      <x:c r="AF1741" s="604" t="n"/>
      <x:c r="AG1741" s="604" t="n"/>
      <x:c r="AH1741" s="604" t="n"/>
      <x:c r="AI1741" s="604" t="n"/>
      <x:c r="AJ1741" s="604" t="n"/>
      <x:c r="AK1741" s="604" t="n"/>
      <x:c r="AL1741" s="604" t="n"/>
      <x:c r="AM1741" s="604" t="n"/>
      <x:c r="AN1741" s="604" t="inlineStr">
        <x:is>
          <x:t xml:space="preserve">MISSING_DATA</x:t>
        </x:is>
      </x:c>
      <x:c r="AO1741" s="604" t="inlineStr">
        <x:is>
          <x:t xml:space="preserve">REQUIRED_MARKET_INPUT_MISSING</x:t>
        </x:is>
      </x:c>
      <x:c r="AP1741" s="604" t="inlineStr">
        <x:is>
          <x:t xml:space="preserve">7d7c58eba489f4a59792</x:t>
        </x:is>
      </x:c>
      <x:c r="AQ1741" s="604" t="n"/>
      <x:c r="AR1741" s="604" t="n"/>
      <x:c r="AS1741" s="604" t="n"/>
      <x:c r="AT1741" s="604" t="n"/>
      <x:c r="AU1741" s="604" t="n"/>
      <x:c r="AV1741" s="604" t="n"/>
      <x:c r="AW1741" s="604" t="inlineStr">
        <x:is>
          <x:t xml:space="preserve">2026-10-09T09:01:21.127001+08:00</x:t>
        </x:is>
      </x:c>
      <x:c r="AX1741" s="604" t="inlineStr">
        <x:is>
          <x:t xml:space="preserve">Titan007/V4</x:t>
        </x:is>
      </x:c>
      <x:c r="AY1741" s="604" t="inlineStr">
        <x:is>
          <x:t xml:space="preserve">Daily append；市场输入缺失时不生成决策</x:t>
        </x:is>
      </x:c>
    </x:row>
    <x:row r="1742" ht="22" customHeight="1">
      <x:c r="A1742" s="604" t="inlineStr">
        <x:is>
          <x:t xml:space="preserve">2026-10-09</x:t>
        </x:is>
      </x:c>
      <x:c r="B1742" s="604" t="inlineStr">
        <x:is>
          <x:t xml:space="preserve">2026-10-10T01:00:00+08:00</x:t>
        </x:is>
      </x:c>
      <x:c r="C1742" s="604" t="str">
        <x:v>其他系列</x:v>
      </x:c>
      <x:c r="D1742" s="604" t="inlineStr">
        <x:is>
          <x:t xml:space="preserve"/>
        </x:is>
      </x:c>
      <x:c r="E1742" s="604" t="inlineStr">
        <x:is>
          <x:t xml:space="preserve">国际友谊</x:t>
        </x:is>
      </x:c>
      <x:c r="F1742" s="604" t="inlineStr">
        <x:is>
          <x:t xml:space="preserve">马耳他女足 vs 卢森堡女足</x:t>
        </x:is>
      </x:c>
      <x:c r="G1742" s="604" t="n">
        <x:v>0.98</x:v>
      </x:c>
      <x:c r="H1742" s="604" t="n">
        <x:v>0.75</x:v>
      </x:c>
      <x:c r="I1742" s="604" t="n">
        <x:v>0.83</x:v>
      </x:c>
      <x:c r="J1742" s="604" t="inlineStr">
        <x:is>
          <x:t xml:space="preserve">0.98/0.75/0.83</x:t>
        </x:is>
      </x:c>
      <x:c r="K1742" s="604" t="inlineStr">
        <x:is>
          <x:t xml:space="preserve">V4-N</x:t>
        </x:is>
      </x:c>
      <x:c r="L1742" s="604" t="inlineStr">
        <x:is>
          <x:t xml:space="preserve"/>
        </x:is>
      </x:c>
      <x:c r="M1742" s="604" t="n">
        <x:v>0.5120795958192349</x:v>
      </x:c>
      <x:c r="N1742" s="604" t="inlineStr">
        <x:is>
          <x:t xml:space="preserve">V4 Shadow Only；real_money=false</x:t>
        </x:is>
      </x:c>
      <x:c r="O1742" s="604" t="inlineStr">
        <x:is>
          <x:t xml:space="preserve">0-0</x:t>
        </x:is>
      </x:c>
      <x:c r="P1742" s="604" t="inlineStr">
        <x:is>
          <x:t xml:space="preserve">EVALUATED</x:t>
        </x:is>
      </x:c>
      <x:c r="Q1742" s="630" t="inlineStr">
        <x:is>
          <x:t xml:space="preserve"/>
        </x:is>
      </x:c>
      <x:c r="R1742" s="604" t="n"/>
      <x:c r="S1742" s="604" t="n"/>
      <x:c r="T1742" s="604" t="inlineStr">
        <x:is>
          <x:t xml:space="preserve">D:\codex\v3_legacy\outputs\football_odds_trader\raw\titan007\20261009\20261009_085232_titan007_odds_snapshot.csv</x:t>
        </x:is>
      </x:c>
      <x:c r="U1742" s="628" t="inlineStr">
        <x:is>
          <x:t xml:space="preserve"/>
        </x:is>
      </x:c>
      <x:c r="V1742" s="604" t="inlineStr">
        <x:is>
          <x:t xml:space="preserve"/>
        </x:is>
      </x:c>
      <x:c r="W1742" s="604" t="inlineStr">
        <x:is>
          <x:t xml:space="preserve"/>
        </x:is>
      </x:c>
      <x:c r="X1742" s="604" t="inlineStr">
        <x:is>
          <x:t xml:space="preserve">3098097</x:t>
        </x:is>
      </x:c>
      <x:c r="Y1742" s="604" t="inlineStr">
        <x:is>
          <x:t xml:space="preserve">V4</x:t>
        </x:is>
      </x:c>
      <x:c r="Z1742" s="604" t="inlineStr">
        <x:is>
          <x:t xml:space="preserve">prior-2026-10-09-v1</x:t>
        </x:is>
      </x:c>
      <x:c r="AA1742" s="604" t="inlineStr">
        <x:is>
          <x:t xml:space="preserve">N</x:t>
        </x:is>
      </x:c>
      <x:c r="AB1742" s="604" t="n">
        <x:v>0.5120795958192349</x:v>
      </x:c>
      <x:c r="AC1742" s="604" t="n">
        <x:v>0.3598668747164129</x:v>
      </x:c>
      <x:c r="AD1742" s="604" t="n">
        <x:v>1</x:v>
      </x:c>
      <x:c r="AE1742" s="604" t="n"/>
      <x:c r="AF1742" s="604" t="n"/>
      <x:c r="AG1742" s="604" t="n">
        <x:v>0.1419711291864373</x:v>
      </x:c>
      <x:c r="AH1742" s="604" t="n"/>
      <x:c r="AI1742" s="604" t="n"/>
      <x:c r="AJ1742" s="604" t="n">
        <x:v>0.1419711291864373</x:v>
      </x:c>
      <x:c r="AK1742" s="604" t="n"/>
      <x:c r="AL1742" s="604" t="n"/>
      <x:c r="AM1742" s="604" t="n"/>
      <x:c r="AN1742" s="604" t="inlineStr">
        <x:is>
          <x:t xml:space="preserve">EVALUATED</x:t>
        </x:is>
      </x:c>
      <x:c r="AO1742" s="604" t="inlineStr">
        <x:is>
          <x:t xml:space="preserve">LOW_QUALITY_GATE;BUCKET_PRIOR_ONLY;INTENT_INTERPRETATION_ONLY;FFL_OPTIONAL;EXPERT_MARKET</x:t>
        </x:is>
      </x:c>
      <x:c r="AP1742" s="604" t="inlineStr">
        <x:is>
          <x:t xml:space="preserve">b159861ae35f32a74ca5</x:t>
        </x:is>
      </x:c>
      <x:c r="AQ1742" s="604" t="n"/>
      <x:c r="AR1742" s="604" t="n"/>
      <x:c r="AS1742" s="604" t="n">
        <x:v>0.75</x:v>
      </x:c>
      <x:c r="AT1742" s="604" t="n">
        <x:v>-0.75</x:v>
      </x:c>
      <x:c r="AU1742" s="604" t="n">
        <x:v>0.98</x:v>
      </x:c>
      <x:c r="AV1742" s="604" t="n">
        <x:v>0.83</x:v>
      </x:c>
      <x:c r="AW1742" s="604" t="inlineStr">
        <x:is>
          <x:t xml:space="preserve">2026-10-09T09:01:21.127001+08:00</x:t>
        </x:is>
      </x:c>
      <x:c r="AX1742" s="604" t="inlineStr">
        <x:is>
          <x:t xml:space="preserve">Titan007/V4</x:t>
        </x:is>
      </x:c>
      <x:c r="AY1742" s="604" t="inlineStr">
        <x:is>
          <x:t xml:space="preserve">Daily append；市场输入缺失时不生成决策</x:t>
        </x:is>
      </x:c>
    </x:row>
    <x:row r="1743" ht="22" customHeight="1">
      <x:c r="A1743" s="604" t="inlineStr">
        <x:is>
          <x:t xml:space="preserve">2026-10-09</x:t>
        </x:is>
      </x:c>
      <x:c r="B1743" s="604" t="inlineStr">
        <x:is>
          <x:t xml:space="preserve">2026-10-10T02:30:00+08:00</x:t>
        </x:is>
      </x:c>
      <x:c r="C1743" s="604" t="str">
        <x:v>其他系列</x:v>
      </x:c>
      <x:c r="D1743" s="604" t="inlineStr">
        <x:is>
          <x:t xml:space="preserve"/>
        </x:is>
      </x:c>
      <x:c r="E1743" s="604" t="inlineStr">
        <x:is>
          <x:t xml:space="preserve">国际友谊</x:t>
        </x:is>
      </x:c>
      <x:c r="F1743" s="604" t="inlineStr">
        <x:is>
          <x:t xml:space="preserve">德国女足 vs 澳大利亚女足</x:t>
        </x:is>
      </x:c>
      <x:c r="G1743" s="604" t="n">
        <x:v>0.7</x:v>
      </x:c>
      <x:c r="H1743" s="604" t="n">
        <x:v>1.25</x:v>
      </x:c>
      <x:c r="I1743" s="604" t="n">
        <x:v>1</x:v>
      </x:c>
      <x:c r="J1743" s="604" t="inlineStr">
        <x:is>
          <x:t xml:space="preserve">0.7/1.25/1.0</x:t>
        </x:is>
      </x:c>
      <x:c r="K1743" s="604" t="inlineStr">
        <x:is>
          <x:t xml:space="preserve">V4-N</x:t>
        </x:is>
      </x:c>
      <x:c r="L1743" s="604" t="inlineStr">
        <x:is>
          <x:t xml:space="preserve"/>
        </x:is>
      </x:c>
      <x:c r="M1743" s="604" t="n">
        <x:v>0.5736528055720967</x:v>
      </x:c>
      <x:c r="N1743" s="604" t="inlineStr">
        <x:is>
          <x:t xml:space="preserve">V4 Shadow Only；real_money=false</x:t>
        </x:is>
      </x:c>
      <x:c r="O1743" s="604" t="inlineStr">
        <x:is>
          <x:t xml:space="preserve">0-0</x:t>
        </x:is>
      </x:c>
      <x:c r="P1743" s="604" t="inlineStr">
        <x:is>
          <x:t xml:space="preserve">EVALUATED</x:t>
        </x:is>
      </x:c>
      <x:c r="Q1743" s="630" t="inlineStr">
        <x:is>
          <x:t xml:space="preserve"/>
        </x:is>
      </x:c>
      <x:c r="R1743" s="604" t="n"/>
      <x:c r="S1743" s="604" t="n"/>
      <x:c r="T1743" s="604" t="inlineStr">
        <x:is>
          <x:t xml:space="preserve">D:\codex\v3_legacy\outputs\football_odds_trader\raw\titan007\20261009\20261009_085232_titan007_odds_snapshot.csv</x:t>
        </x:is>
      </x:c>
      <x:c r="U1743" s="628" t="inlineStr">
        <x:is>
          <x:t xml:space="preserve"/>
        </x:is>
      </x:c>
      <x:c r="V1743" s="604" t="inlineStr">
        <x:is>
          <x:t xml:space="preserve"/>
        </x:is>
      </x:c>
      <x:c r="W1743" s="604" t="inlineStr">
        <x:is>
          <x:t xml:space="preserve"/>
        </x:is>
      </x:c>
      <x:c r="X1743" s="604" t="inlineStr">
        <x:is>
          <x:t xml:space="preserve">3098098</x:t>
        </x:is>
      </x:c>
      <x:c r="Y1743" s="604" t="inlineStr">
        <x:is>
          <x:t xml:space="preserve">V4</x:t>
        </x:is>
      </x:c>
      <x:c r="Z1743" s="604" t="inlineStr">
        <x:is>
          <x:t xml:space="preserve">prior-2026-10-09-v1</x:t>
        </x:is>
      </x:c>
      <x:c r="AA1743" s="604" t="inlineStr">
        <x:is>
          <x:t xml:space="preserve">N</x:t>
        </x:is>
      </x:c>
      <x:c r="AB1743" s="604" t="n">
        <x:v>0.5736528055720967</x:v>
      </x:c>
      <x:c r="AC1743" s="604" t="n">
        <x:v>0.3076390531222987</x:v>
      </x:c>
      <x:c r="AD1743" s="604" t="n">
        <x:v>2</x:v>
      </x:c>
      <x:c r="AE1743" s="604" t="n"/>
      <x:c r="AF1743" s="604" t="n"/>
      <x:c r="AG1743" s="604" t="n">
        <x:v>0.09391791077816897</x:v>
      </x:c>
      <x:c r="AH1743" s="604" t="n"/>
      <x:c r="AI1743" s="604" t="n"/>
      <x:c r="AJ1743" s="604" t="n">
        <x:v>0.09391791077816897</x:v>
      </x:c>
      <x:c r="AK1743" s="604" t="n"/>
      <x:c r="AL1743" s="604" t="n"/>
      <x:c r="AM1743" s="604" t="n"/>
      <x:c r="AN1743" s="604" t="inlineStr">
        <x:is>
          <x:t xml:space="preserve">EVALUATED</x:t>
        </x:is>
      </x:c>
      <x:c r="AO1743" s="604" t="inlineStr">
        <x:is>
          <x:t xml:space="preserve">LOW_QUALITY_GATE;BUCKET_PRIOR_ONLY;INTENT_INTERPRETATION_ONLY;FFL_OPTIONAL;EXPERT_MARKET</x:t>
        </x:is>
      </x:c>
      <x:c r="AP1743" s="604" t="inlineStr">
        <x:is>
          <x:t xml:space="preserve">7ef8695525e4aca2f1c4</x:t>
        </x:is>
      </x:c>
      <x:c r="AQ1743" s="604" t="n"/>
      <x:c r="AR1743" s="604" t="n"/>
      <x:c r="AS1743" s="604" t="n">
        <x:v>1.25</x:v>
      </x:c>
      <x:c r="AT1743" s="604" t="n">
        <x:v>-1.25</x:v>
      </x:c>
      <x:c r="AU1743" s="604" t="n">
        <x:v>0.7</x:v>
      </x:c>
      <x:c r="AV1743" s="604" t="n">
        <x:v>1</x:v>
      </x:c>
      <x:c r="AW1743" s="604" t="inlineStr">
        <x:is>
          <x:t xml:space="preserve">2026-10-09T09:01:21.127001+08:00</x:t>
        </x:is>
      </x:c>
      <x:c r="AX1743" s="604" t="inlineStr">
        <x:is>
          <x:t xml:space="preserve">Titan007/V4</x:t>
        </x:is>
      </x:c>
      <x:c r="AY1743" s="604" t="inlineStr">
        <x:is>
          <x:t xml:space="preserve">Daily append；市场输入缺失时不生成决策</x:t>
        </x:is>
      </x:c>
    </x:row>
    <x:row r="1744" ht="22" customHeight="1">
      <x:c r="A1744" s="604" t="inlineStr">
        <x:is>
          <x:t xml:space="preserve">2026-10-09</x:t>
        </x:is>
      </x:c>
      <x:c r="B1744" s="604" t="inlineStr">
        <x:is>
          <x:t xml:space="preserve">2026-10-10T05:00:00+08:00</x:t>
        </x:is>
      </x:c>
      <x:c r="C1744" s="604" t="str">
        <x:v>其他系列</x:v>
      </x:c>
      <x:c r="D1744" s="604" t="inlineStr">
        <x:is>
          <x:t xml:space="preserve"/>
        </x:is>
      </x:c>
      <x:c r="E1744" s="604" t="inlineStr">
        <x:is>
          <x:t xml:space="preserve">国际友谊</x:t>
        </x:is>
      </x:c>
      <x:c r="F1744" s="604" t="inlineStr">
        <x:is>
          <x:t xml:space="preserve">伯利兹U16 vs 洪都拉斯U16</x:t>
        </x:is>
      </x:c>
      <x:c r="G1744" s="604" t="n"/>
      <x:c r="H1744" s="604" t="n"/>
      <x:c r="I1744" s="604" t="n"/>
      <x:c r="J1744" s="604" t="inlineStr">
        <x:is>
          <x:t xml:space="preserve">//</x:t>
        </x:is>
      </x:c>
      <x:c r="K1744" s="604" t="inlineStr">
        <x:is>
          <x:t xml:space="preserve">V4不可用：市场输入缺失</x:t>
        </x:is>
      </x:c>
      <x:c r="L1744" s="604" t="inlineStr">
        <x:is>
          <x:t xml:space="preserve"/>
        </x:is>
      </x:c>
      <x:c r="M1744" s="604" t="n"/>
      <x:c r="N1744" s="604" t="inlineStr">
        <x:is>
          <x:t xml:space="preserve">V4 Shadow Only；real_money=false</x:t>
        </x:is>
      </x:c>
      <x:c r="O1744" s="604" t="inlineStr">
        <x:is>
          <x:t xml:space="preserve">0-0</x:t>
        </x:is>
      </x:c>
      <x:c r="P1744" s="604" t="inlineStr">
        <x:is>
          <x:t xml:space="preserve">MISSING_DATA</x:t>
        </x:is>
      </x:c>
      <x:c r="Q1744" s="630" t="inlineStr">
        <x:is>
          <x:t xml:space="preserve"/>
        </x:is>
      </x:c>
      <x:c r="R1744" s="604" t="n"/>
      <x:c r="S1744" s="604" t="n"/>
      <x:c r="T1744" s="604" t="inlineStr">
        <x:is>
          <x:t xml:space="preserve">D:\codex\v3_legacy\outputs\football_odds_trader\raw\titan007\20261009\20261009_085232_titan007_odds_snapshot.csv</x:t>
        </x:is>
      </x:c>
      <x:c r="U1744" s="628" t="inlineStr">
        <x:is>
          <x:t xml:space="preserve"/>
        </x:is>
      </x:c>
      <x:c r="V1744" s="604" t="inlineStr">
        <x:is>
          <x:t xml:space="preserve"/>
        </x:is>
      </x:c>
      <x:c r="W1744" s="604" t="inlineStr">
        <x:is>
          <x:t xml:space="preserve"/>
        </x:is>
      </x:c>
      <x:c r="X1744" s="604" t="inlineStr">
        <x:is>
          <x:t xml:space="preserve">3098099</x:t>
        </x:is>
      </x:c>
      <x:c r="Y1744" s="604" t="inlineStr">
        <x:is>
          <x:t xml:space="preserve">V4</x:t>
        </x:is>
      </x:c>
      <x:c r="Z1744" s="604" t="inlineStr">
        <x:is>
          <x:t xml:space="preserve">prior-2026-10-09-v1</x:t>
        </x:is>
      </x:c>
      <x:c r="AA1744" s="604" t="inlineStr">
        <x:is>
          <x:t xml:space="preserve"/>
        </x:is>
      </x:c>
      <x:c r="AB1744" s="604" t="n"/>
      <x:c r="AC1744" s="604" t="n"/>
      <x:c r="AD1744" s="604" t="n"/>
      <x:c r="AE1744" s="604" t="n"/>
      <x:c r="AF1744" s="604" t="n"/>
      <x:c r="AG1744" s="604" t="n"/>
      <x:c r="AH1744" s="604" t="n"/>
      <x:c r="AI1744" s="604" t="n"/>
      <x:c r="AJ1744" s="604" t="n"/>
      <x:c r="AK1744" s="604" t="n"/>
      <x:c r="AL1744" s="604" t="n"/>
      <x:c r="AM1744" s="604" t="n"/>
      <x:c r="AN1744" s="604" t="inlineStr">
        <x:is>
          <x:t xml:space="preserve">MISSING_DATA</x:t>
        </x:is>
      </x:c>
      <x:c r="AO1744" s="604" t="inlineStr">
        <x:is>
          <x:t xml:space="preserve">REQUIRED_MARKET_INPUT_MISSING</x:t>
        </x:is>
      </x:c>
      <x:c r="AP1744" s="604" t="inlineStr">
        <x:is>
          <x:t xml:space="preserve">27c5034f0aaec127ba19</x:t>
        </x:is>
      </x:c>
      <x:c r="AQ1744" s="604" t="n"/>
      <x:c r="AR1744" s="604" t="n"/>
      <x:c r="AS1744" s="604" t="n"/>
      <x:c r="AT1744" s="604" t="n"/>
      <x:c r="AU1744" s="604" t="n"/>
      <x:c r="AV1744" s="604" t="n"/>
      <x:c r="AW1744" s="604" t="inlineStr">
        <x:is>
          <x:t xml:space="preserve">2026-10-09T09:01:21.127001+08:00</x:t>
        </x:is>
      </x:c>
      <x:c r="AX1744" s="604" t="inlineStr">
        <x:is>
          <x:t xml:space="preserve">Titan007/V4</x:t>
        </x:is>
      </x:c>
      <x:c r="AY1744" s="604" t="inlineStr">
        <x:is>
          <x:t xml:space="preserve">Daily append；市场输入缺失时不生成决策</x:t>
        </x:is>
      </x:c>
    </x:row>
    <x:row r="1745" ht="22" customHeight="1">
      <x:c r="A1745" s="604" t="inlineStr">
        <x:is>
          <x:t xml:space="preserve">2026-10-09</x:t>
        </x:is>
      </x:c>
      <x:c r="B1745" s="604" t="inlineStr">
        <x:is>
          <x:t xml:space="preserve">2026-10-10T07:00:00+08:00</x:t>
        </x:is>
      </x:c>
      <x:c r="C1745" s="604" t="str">
        <x:v>其他系列</x:v>
      </x:c>
      <x:c r="D1745" s="604" t="inlineStr">
        <x:is>
          <x:t xml:space="preserve"/>
        </x:is>
      </x:c>
      <x:c r="E1745" s="604" t="inlineStr">
        <x:is>
          <x:t xml:space="preserve">国际友谊</x:t>
        </x:is>
      </x:c>
      <x:c r="F1745" s="604" t="inlineStr">
        <x:is>
          <x:t xml:space="preserve">加拿大女足 vs 丹麦女足</x:t>
        </x:is>
      </x:c>
      <x:c r="G1745" s="604" t="n">
        <x:v>0.74</x:v>
      </x:c>
      <x:c r="H1745" s="604" t="n">
        <x:v>0.5</x:v>
      </x:c>
      <x:c r="I1745" s="604" t="n">
        <x:v>0.96</x:v>
      </x:c>
      <x:c r="J1745" s="604" t="inlineStr">
        <x:is>
          <x:t xml:space="preserve">0.74/0.5/0.96</x:t>
        </x:is>
      </x:c>
      <x:c r="K1745" s="604" t="inlineStr">
        <x:is>
          <x:t xml:space="preserve">V4-N</x:t>
        </x:is>
      </x:c>
      <x:c r="L1745" s="604" t="inlineStr">
        <x:is>
          <x:t xml:space="preserve"/>
        </x:is>
      </x:c>
      <x:c r="M1745" s="604" t="n">
        <x:v>0.6204378549246981</x:v>
      </x:c>
      <x:c r="N1745" s="604" t="inlineStr">
        <x:is>
          <x:t xml:space="preserve">V4 Shadow Only；real_money=false</x:t>
        </x:is>
      </x:c>
      <x:c r="O1745" s="604" t="inlineStr">
        <x:is>
          <x:t xml:space="preserve">0-0</x:t>
        </x:is>
      </x:c>
      <x:c r="P1745" s="604" t="inlineStr">
        <x:is>
          <x:t xml:space="preserve">EVALUATED</x:t>
        </x:is>
      </x:c>
      <x:c r="Q1745" s="630" t="inlineStr">
        <x:is>
          <x:t xml:space="preserve"/>
        </x:is>
      </x:c>
      <x:c r="R1745" s="604" t="n"/>
      <x:c r="S1745" s="604" t="n"/>
      <x:c r="T1745" s="604" t="inlineStr">
        <x:is>
          <x:t xml:space="preserve">D:\codex\v3_legacy\outputs\football_odds_trader\raw\titan007\20261009\20261009_085232_titan007_odds_snapshot.csv</x:t>
        </x:is>
      </x:c>
      <x:c r="U1745" s="628" t="inlineStr">
        <x:is>
          <x:t xml:space="preserve"/>
        </x:is>
      </x:c>
      <x:c r="V1745" s="604" t="inlineStr">
        <x:is>
          <x:t xml:space="preserve"/>
        </x:is>
      </x:c>
      <x:c r="W1745" s="604" t="inlineStr">
        <x:is>
          <x:t xml:space="preserve"/>
        </x:is>
      </x:c>
      <x:c r="X1745" s="604" t="inlineStr">
        <x:is>
          <x:t xml:space="preserve">3098100</x:t>
        </x:is>
      </x:c>
      <x:c r="Y1745" s="604" t="inlineStr">
        <x:is>
          <x:t xml:space="preserve">V4</x:t>
        </x:is>
      </x:c>
      <x:c r="Z1745" s="604" t="inlineStr">
        <x:is>
          <x:t xml:space="preserve">prior-2026-10-09-v1</x:t>
        </x:is>
      </x:c>
      <x:c r="AA1745" s="604" t="inlineStr">
        <x:is>
          <x:t xml:space="preserve">N</x:t>
        </x:is>
      </x:c>
      <x:c r="AB1745" s="604" t="n">
        <x:v>0.6204378549246981</x:v>
      </x:c>
      <x:c r="AC1745" s="604" t="n">
        <x:v>0.3795621450753019</x:v>
      </x:c>
      <x:c r="AD1745" s="604" t="n">
        <x:v>1</x:v>
      </x:c>
      <x:c r="AE1745" s="604" t="n"/>
      <x:c r="AF1745" s="604" t="n"/>
      <x:c r="AG1745" s="604" t="n">
        <x:v>0.0795618675689746</x:v>
      </x:c>
      <x:c r="AH1745" s="604" t="n"/>
      <x:c r="AI1745" s="604" t="n"/>
      <x:c r="AJ1745" s="604" t="n">
        <x:v>0.0795618675689746</x:v>
      </x:c>
      <x:c r="AK1745" s="604" t="n"/>
      <x:c r="AL1745" s="604" t="n"/>
      <x:c r="AM1745" s="604" t="n"/>
      <x:c r="AN1745" s="604" t="inlineStr">
        <x:is>
          <x:t xml:space="preserve">EVALUATED</x:t>
        </x:is>
      </x:c>
      <x:c r="AO1745" s="604" t="inlineStr">
        <x:is>
          <x:t xml:space="preserve">LOW_QUALITY_GATE;BUCKET_PRIOR_ONLY;INTENT_INTERPRETATION_ONLY;FFL_OPTIONAL;EXPERT_MARKET</x:t>
        </x:is>
      </x:c>
      <x:c r="AP1745" s="604" t="inlineStr">
        <x:is>
          <x:t xml:space="preserve">76dfe6f01fcefd9bcfd8</x:t>
        </x:is>
      </x:c>
      <x:c r="AQ1745" s="604" t="n"/>
      <x:c r="AR1745" s="604" t="n"/>
      <x:c r="AS1745" s="604" t="n">
        <x:v>0.5</x:v>
      </x:c>
      <x:c r="AT1745" s="604" t="n">
        <x:v>-0.5</x:v>
      </x:c>
      <x:c r="AU1745" s="604" t="n">
        <x:v>0.74</x:v>
      </x:c>
      <x:c r="AV1745" s="604" t="n">
        <x:v>0.96</x:v>
      </x:c>
      <x:c r="AW1745" s="604" t="inlineStr">
        <x:is>
          <x:t xml:space="preserve">2026-10-09T09:01:21.127001+08:00</x:t>
        </x:is>
      </x:c>
      <x:c r="AX1745" s="604" t="inlineStr">
        <x:is>
          <x:t xml:space="preserve">Titan007/V4</x:t>
        </x:is>
      </x:c>
      <x:c r="AY1745" s="604" t="inlineStr">
        <x:is>
          <x:t xml:space="preserve">Daily append；市场输入缺失时不生成决策</x:t>
        </x:is>
      </x:c>
    </x:row>
    <x:row r="1746" ht="22" customHeight="1">
      <x:c r="A1746" s="604" t="inlineStr">
        <x:is>
          <x:t xml:space="preserve">2026-10-09</x:t>
        </x:is>
      </x:c>
      <x:c r="B1746" s="604" t="inlineStr">
        <x:is>
          <x:t xml:space="preserve">2026-10-10T07:30:00+08:00</x:t>
        </x:is>
      </x:c>
      <x:c r="C1746" s="604" t="str">
        <x:v>其他系列</x:v>
      </x:c>
      <x:c r="D1746" s="604" t="inlineStr">
        <x:is>
          <x:t xml:space="preserve"/>
        </x:is>
      </x:c>
      <x:c r="E1746" s="604" t="inlineStr">
        <x:is>
          <x:t xml:space="preserve">国际友谊</x:t>
        </x:is>
      </x:c>
      <x:c r="F1746" s="604" t="inlineStr">
        <x:is>
          <x:t xml:space="preserve">波多黎各U16 vs 巴拿马U16</x:t>
        </x:is>
      </x:c>
      <x:c r="G1746" s="604" t="n"/>
      <x:c r="H1746" s="604" t="n"/>
      <x:c r="I1746" s="604" t="n"/>
      <x:c r="J1746" s="604" t="inlineStr">
        <x:is>
          <x:t xml:space="preserve">//</x:t>
        </x:is>
      </x:c>
      <x:c r="K1746" s="604" t="inlineStr">
        <x:is>
          <x:t xml:space="preserve">V4不可用：市场输入缺失</x:t>
        </x:is>
      </x:c>
      <x:c r="L1746" s="604" t="inlineStr">
        <x:is>
          <x:t xml:space="preserve"/>
        </x:is>
      </x:c>
      <x:c r="M1746" s="604" t="n"/>
      <x:c r="N1746" s="604" t="inlineStr">
        <x:is>
          <x:t xml:space="preserve">V4 Shadow Only；real_money=false</x:t>
        </x:is>
      </x:c>
      <x:c r="O1746" s="604" t="inlineStr">
        <x:is>
          <x:t xml:space="preserve">0-0</x:t>
        </x:is>
      </x:c>
      <x:c r="P1746" s="604" t="inlineStr">
        <x:is>
          <x:t xml:space="preserve">MISSING_DATA</x:t>
        </x:is>
      </x:c>
      <x:c r="Q1746" s="630" t="inlineStr">
        <x:is>
          <x:t xml:space="preserve"/>
        </x:is>
      </x:c>
      <x:c r="R1746" s="604" t="n"/>
      <x:c r="S1746" s="604" t="n"/>
      <x:c r="T1746" s="604" t="inlineStr">
        <x:is>
          <x:t xml:space="preserve">D:\codex\v3_legacy\outputs\football_odds_trader\raw\titan007\20261009\20261009_085232_titan007_odds_snapshot.csv</x:t>
        </x:is>
      </x:c>
      <x:c r="U1746" s="628" t="inlineStr">
        <x:is>
          <x:t xml:space="preserve"/>
        </x:is>
      </x:c>
      <x:c r="V1746" s="604" t="inlineStr">
        <x:is>
          <x:t xml:space="preserve"/>
        </x:is>
      </x:c>
      <x:c r="W1746" s="604" t="inlineStr">
        <x:is>
          <x:t xml:space="preserve"/>
        </x:is>
      </x:c>
      <x:c r="X1746" s="604" t="inlineStr">
        <x:is>
          <x:t xml:space="preserve">3098101</x:t>
        </x:is>
      </x:c>
      <x:c r="Y1746" s="604" t="inlineStr">
        <x:is>
          <x:t xml:space="preserve">V4</x:t>
        </x:is>
      </x:c>
      <x:c r="Z1746" s="604" t="inlineStr">
        <x:is>
          <x:t xml:space="preserve">prior-2026-10-09-v1</x:t>
        </x:is>
      </x:c>
      <x:c r="AA1746" s="604" t="inlineStr">
        <x:is>
          <x:t xml:space="preserve"/>
        </x:is>
      </x:c>
      <x:c r="AB1746" s="604" t="n"/>
      <x:c r="AC1746" s="604" t="n"/>
      <x:c r="AD1746" s="604" t="n"/>
      <x:c r="AE1746" s="604" t="n"/>
      <x:c r="AF1746" s="604" t="n"/>
      <x:c r="AG1746" s="604" t="n"/>
      <x:c r="AH1746" s="604" t="n"/>
      <x:c r="AI1746" s="604" t="n"/>
      <x:c r="AJ1746" s="604" t="n"/>
      <x:c r="AK1746" s="604" t="n"/>
      <x:c r="AL1746" s="604" t="n"/>
      <x:c r="AM1746" s="604" t="n"/>
      <x:c r="AN1746" s="604" t="inlineStr">
        <x:is>
          <x:t xml:space="preserve">MISSING_DATA</x:t>
        </x:is>
      </x:c>
      <x:c r="AO1746" s="604" t="inlineStr">
        <x:is>
          <x:t xml:space="preserve">REQUIRED_MARKET_INPUT_MISSING</x:t>
        </x:is>
      </x:c>
      <x:c r="AP1746" s="604" t="inlineStr">
        <x:is>
          <x:t xml:space="preserve">731a29af26c6ba5aaaeb</x:t>
        </x:is>
      </x:c>
      <x:c r="AQ1746" s="604" t="n"/>
      <x:c r="AR1746" s="604" t="n"/>
      <x:c r="AS1746" s="604" t="n"/>
      <x:c r="AT1746" s="604" t="n"/>
      <x:c r="AU1746" s="604" t="n"/>
      <x:c r="AV1746" s="604" t="n"/>
      <x:c r="AW1746" s="604" t="inlineStr">
        <x:is>
          <x:t xml:space="preserve">2026-10-09T09:01:21.127001+08:00</x:t>
        </x:is>
      </x:c>
      <x:c r="AX1746" s="604" t="inlineStr">
        <x:is>
          <x:t xml:space="preserve">Titan007/V4</x:t>
        </x:is>
      </x:c>
      <x:c r="AY1746" s="604" t="inlineStr">
        <x:is>
          <x:t xml:space="preserve">Daily append；市场输入缺失时不生成决策</x:t>
        </x:is>
      </x:c>
    </x:row>
    <x:row r="1747" ht="22" customHeight="1">
      <x:c r="A1747" s="604" t="inlineStr">
        <x:is>
          <x:t xml:space="preserve">2026-10-09</x:t>
        </x:is>
      </x:c>
      <x:c r="B1747" s="604" t="inlineStr">
        <x:is>
          <x:t xml:space="preserve">2026-10-09T22:00:00+08:00</x:t>
        </x:is>
      </x:c>
      <x:c r="C1747" s="604" t="str">
        <x:v>其他系列</x:v>
      </x:c>
      <x:c r="D1747" s="604" t="inlineStr">
        <x:is>
          <x:t xml:space="preserve"/>
        </x:is>
      </x:c>
      <x:c r="E1747" s="604" t="inlineStr">
        <x:is>
          <x:t xml:space="preserve">女奥非预</x:t>
        </x:is>
      </x:c>
      <x:c r="F1747" s="604" t="inlineStr">
        <x:is>
          <x:t xml:space="preserve">刚果共和国女足 vs 摩洛哥女足</x:t>
        </x:is>
      </x:c>
      <x:c r="G1747" s="604" t="n"/>
      <x:c r="H1747" s="604" t="n"/>
      <x:c r="I1747" s="604" t="n"/>
      <x:c r="J1747" s="604" t="inlineStr">
        <x:is>
          <x:t xml:space="preserve">//</x:t>
        </x:is>
      </x:c>
      <x:c r="K1747" s="604" t="inlineStr">
        <x:is>
          <x:t xml:space="preserve">V4不可用：市场输入缺失</x:t>
        </x:is>
      </x:c>
      <x:c r="L1747" s="604" t="inlineStr">
        <x:is>
          <x:t xml:space="preserve"/>
        </x:is>
      </x:c>
      <x:c r="M1747" s="604" t="n"/>
      <x:c r="N1747" s="604" t="inlineStr">
        <x:is>
          <x:t xml:space="preserve">V4 Shadow Only；real_money=false</x:t>
        </x:is>
      </x:c>
      <x:c r="O1747" s="604" t="inlineStr">
        <x:is>
          <x:t xml:space="preserve">0-0</x:t>
        </x:is>
      </x:c>
      <x:c r="P1747" s="604" t="inlineStr">
        <x:is>
          <x:t xml:space="preserve">MISSING_DATA</x:t>
        </x:is>
      </x:c>
      <x:c r="Q1747" s="630" t="inlineStr">
        <x:is>
          <x:t xml:space="preserve"/>
        </x:is>
      </x:c>
      <x:c r="R1747" s="604" t="n"/>
      <x:c r="S1747" s="604" t="n"/>
      <x:c r="T1747" s="604" t="inlineStr">
        <x:is>
          <x:t xml:space="preserve">D:\codex\v3_legacy\outputs\football_odds_trader\raw\titan007\20261009\20261009_085232_titan007_odds_snapshot.csv</x:t>
        </x:is>
      </x:c>
      <x:c r="U1747" s="628" t="inlineStr">
        <x:is>
          <x:t xml:space="preserve"/>
        </x:is>
      </x:c>
      <x:c r="V1747" s="604" t="inlineStr">
        <x:is>
          <x:t xml:space="preserve"/>
        </x:is>
      </x:c>
      <x:c r="W1747" s="604" t="inlineStr">
        <x:is>
          <x:t xml:space="preserve"/>
        </x:is>
      </x:c>
      <x:c r="X1747" s="604" t="inlineStr">
        <x:is>
          <x:t xml:space="preserve">3098104</x:t>
        </x:is>
      </x:c>
      <x:c r="Y1747" s="604" t="inlineStr">
        <x:is>
          <x:t xml:space="preserve">V4</x:t>
        </x:is>
      </x:c>
      <x:c r="Z1747" s="604" t="inlineStr">
        <x:is>
          <x:t xml:space="preserve">prior-2026-10-09-v1</x:t>
        </x:is>
      </x:c>
      <x:c r="AA1747" s="604" t="inlineStr">
        <x:is>
          <x:t xml:space="preserve"/>
        </x:is>
      </x:c>
      <x:c r="AB1747" s="604" t="n"/>
      <x:c r="AC1747" s="604" t="n"/>
      <x:c r="AD1747" s="604" t="n"/>
      <x:c r="AE1747" s="604" t="n"/>
      <x:c r="AF1747" s="604" t="n"/>
      <x:c r="AG1747" s="604" t="n"/>
      <x:c r="AH1747" s="604" t="n"/>
      <x:c r="AI1747" s="604" t="n"/>
      <x:c r="AJ1747" s="604" t="n"/>
      <x:c r="AK1747" s="604" t="n"/>
      <x:c r="AL1747" s="604" t="n"/>
      <x:c r="AM1747" s="604" t="n"/>
      <x:c r="AN1747" s="604" t="inlineStr">
        <x:is>
          <x:t xml:space="preserve">MISSING_DATA</x:t>
        </x:is>
      </x:c>
      <x:c r="AO1747" s="604" t="inlineStr">
        <x:is>
          <x:t xml:space="preserve">REQUIRED_MARKET_INPUT_MISSING</x:t>
        </x:is>
      </x:c>
      <x:c r="AP1747" s="604" t="inlineStr">
        <x:is>
          <x:t xml:space="preserve">0f10eb66d073cab318d8</x:t>
        </x:is>
      </x:c>
      <x:c r="AQ1747" s="604" t="n"/>
      <x:c r="AR1747" s="604" t="n"/>
      <x:c r="AS1747" s="604" t="n"/>
      <x:c r="AT1747" s="604" t="n"/>
      <x:c r="AU1747" s="604" t="n"/>
      <x:c r="AV1747" s="604" t="n"/>
      <x:c r="AW1747" s="604" t="inlineStr">
        <x:is>
          <x:t xml:space="preserve">2026-10-09T09:01:21.127001+08:00</x:t>
        </x:is>
      </x:c>
      <x:c r="AX1747" s="604" t="inlineStr">
        <x:is>
          <x:t xml:space="preserve">Titan007/V4</x:t>
        </x:is>
      </x:c>
      <x:c r="AY1747" s="604" t="inlineStr">
        <x:is>
          <x:t xml:space="preserve">Daily append；市场输入缺失时不生成决策</x:t>
        </x:is>
      </x:c>
    </x:row>
    <x:row r="1748" ht="22" customHeight="1">
      <x:c r="A1748" s="604" t="inlineStr">
        <x:is>
          <x:t xml:space="preserve">2026-10-09</x:t>
        </x:is>
      </x:c>
      <x:c r="B1748" s="604" t="inlineStr">
        <x:is>
          <x:t xml:space="preserve">2026-10-09T19:00:00+08:00</x:t>
        </x:is>
      </x:c>
      <x:c r="C1748" s="604" t="str">
        <x:v>欧洲非五大系列</x:v>
      </x:c>
      <x:c r="D1748" s="604" t="inlineStr">
        <x:is>
          <x:t xml:space="preserve"/>
        </x:is>
      </x:c>
      <x:c r="E1748" s="604" t="inlineStr">
        <x:is>
          <x:t xml:space="preserve">世女欧预</x:t>
        </x:is>
      </x:c>
      <x:c r="F1748" s="604" t="inlineStr">
        <x:is>
          <x:t xml:space="preserve">哈萨克斯坦女足 vs 爱尔兰女足</x:t>
        </x:is>
      </x:c>
      <x:c r="G1748" s="604" t="n">
        <x:v>0.92</x:v>
      </x:c>
      <x:c r="H1748" s="604" t="n">
        <x:v>-3</x:v>
      </x:c>
      <x:c r="I1748" s="604" t="n">
        <x:v>0.8100000000000001</x:v>
      </x:c>
      <x:c r="J1748" s="604" t="inlineStr">
        <x:is>
          <x:t xml:space="preserve">0.92/-3.0/0.81</x:t>
        </x:is>
      </x:c>
      <x:c r="K1748" s="604" t="inlineStr">
        <x:is>
          <x:t xml:space="preserve">V4-N</x:t>
        </x:is>
      </x:c>
      <x:c r="L1748" s="604" t="inlineStr">
        <x:is>
          <x:t xml:space="preserve"/>
        </x:is>
      </x:c>
      <x:c r="M1748" s="604" t="n">
        <x:v>7.266169706563655e-08</x:v>
      </x:c>
      <x:c r="N1748" s="604" t="inlineStr">
        <x:is>
          <x:t xml:space="preserve">V4 Shadow Only；real_money=false</x:t>
        </x:is>
      </x:c>
      <x:c r="O1748" s="604" t="inlineStr">
        <x:is>
          <x:t xml:space="preserve">0-0</x:t>
        </x:is>
      </x:c>
      <x:c r="P1748" s="604" t="inlineStr">
        <x:is>
          <x:t xml:space="preserve">EVALUATED</x:t>
        </x:is>
      </x:c>
      <x:c r="Q1748" s="630" t="inlineStr">
        <x:is>
          <x:t xml:space="preserve"/>
        </x:is>
      </x:c>
      <x:c r="R1748" s="604" t="n"/>
      <x:c r="S1748" s="604" t="n"/>
      <x:c r="T1748" s="604" t="inlineStr">
        <x:is>
          <x:t xml:space="preserve">D:\codex\v3_legacy\outputs\football_odds_trader\raw\titan007\20261009\20261009_085232_titan007_odds_snapshot.csv</x:t>
        </x:is>
      </x:c>
      <x:c r="U1748" s="628" t="inlineStr">
        <x:is>
          <x:t xml:space="preserve"/>
        </x:is>
      </x:c>
      <x:c r="V1748" s="604" t="inlineStr">
        <x:is>
          <x:t xml:space="preserve"/>
        </x:is>
      </x:c>
      <x:c r="W1748" s="604" t="inlineStr">
        <x:is>
          <x:t xml:space="preserve"/>
        </x:is>
      </x:c>
      <x:c r="X1748" s="604" t="inlineStr">
        <x:is>
          <x:t xml:space="preserve">3098118</x:t>
        </x:is>
      </x:c>
      <x:c r="Y1748" s="604" t="inlineStr">
        <x:is>
          <x:t xml:space="preserve">V4</x:t>
        </x:is>
      </x:c>
      <x:c r="Z1748" s="604" t="inlineStr">
        <x:is>
          <x:t xml:space="preserve">prior-2026-10-09-v1</x:t>
        </x:is>
      </x:c>
      <x:c r="AA1748" s="604" t="inlineStr">
        <x:is>
          <x:t xml:space="preserve">N</x:t>
        </x:is>
      </x:c>
      <x:c r="AB1748" s="604" t="n">
        <x:v>7.266169706563655e-08</x:v>
      </x:c>
      <x:c r="AC1748" s="604" t="n">
        <x:v>0.9999963071557715</x:v>
      </x:c>
      <x:c r="AD1748" s="604" t="n">
        <x:v>-4.25</x:v>
      </x:c>
      <x:c r="AE1748" s="604" t="n"/>
      <x:c r="AF1748" s="604" t="n"/>
      <x:c r="AG1748" s="604" t="n">
        <x:v>0.9199965299216127</x:v>
      </x:c>
      <x:c r="AH1748" s="604" t="n"/>
      <x:c r="AI1748" s="604" t="n"/>
      <x:c r="AJ1748" s="604" t="n">
        <x:v>0.9199965299216127</x:v>
      </x:c>
      <x:c r="AK1748" s="604" t="n"/>
      <x:c r="AL1748" s="604" t="n"/>
      <x:c r="AM1748" s="604" t="n"/>
      <x:c r="AN1748" s="604" t="inlineStr">
        <x:is>
          <x:t xml:space="preserve">EVALUATED</x:t>
        </x:is>
      </x:c>
      <x:c r="AO1748" s="604" t="inlineStr">
        <x:is>
          <x:t xml:space="preserve">LOW_QUALITY_GATE;BUCKET_PRIOR_ONLY;INTENT_INTERPRETATION_ONLY;FFL_OPTIONAL;EXPERT_MARKET</x:t>
        </x:is>
      </x:c>
      <x:c r="AP1748" s="604" t="inlineStr">
        <x:is>
          <x:t xml:space="preserve">9ed2e8cb651338043a2f</x:t>
        </x:is>
      </x:c>
      <x:c r="AQ1748" s="604" t="n"/>
      <x:c r="AR1748" s="604" t="n"/>
      <x:c r="AS1748" s="604" t="n">
        <x:v>-3</x:v>
      </x:c>
      <x:c r="AT1748" s="604" t="n">
        <x:v>3</x:v>
      </x:c>
      <x:c r="AU1748" s="604" t="n">
        <x:v>0.92</x:v>
      </x:c>
      <x:c r="AV1748" s="604" t="n">
        <x:v>0.8100000000000001</x:v>
      </x:c>
      <x:c r="AW1748" s="604" t="inlineStr">
        <x:is>
          <x:t xml:space="preserve">2026-10-09T09:01:21.127001+08:00</x:t>
        </x:is>
      </x:c>
      <x:c r="AX1748" s="604" t="inlineStr">
        <x:is>
          <x:t xml:space="preserve">Titan007/V4</x:t>
        </x:is>
      </x:c>
      <x:c r="AY1748" s="604" t="inlineStr">
        <x:is>
          <x:t xml:space="preserve">Daily append；市场输入缺失时不生成决策</x:t>
        </x:is>
      </x:c>
    </x:row>
    <x:row r="1749" ht="22" customHeight="1">
      <x:c r="A1749" s="604" t="inlineStr">
        <x:is>
          <x:t xml:space="preserve">2026-10-09</x:t>
        </x:is>
      </x:c>
      <x:c r="B1749" s="604" t="inlineStr">
        <x:is>
          <x:t xml:space="preserve">2026-10-09T23:30:00+08:00</x:t>
        </x:is>
      </x:c>
      <x:c r="C1749" s="604" t="str">
        <x:v>欧洲非五大系列</x:v>
      </x:c>
      <x:c r="D1749" s="604" t="inlineStr">
        <x:is>
          <x:t xml:space="preserve"/>
        </x:is>
      </x:c>
      <x:c r="E1749" s="604" t="inlineStr">
        <x:is>
          <x:t xml:space="preserve">世女欧预</x:t>
        </x:is>
      </x:c>
      <x:c r="F1749" s="604" t="inlineStr">
        <x:is>
          <x:t xml:space="preserve">芬兰女足 vs 塞尔维亚女足</x:t>
        </x:is>
      </x:c>
      <x:c r="G1749" s="604" t="n">
        <x:v>1.01</x:v>
      </x:c>
      <x:c r="H1749" s="604" t="n">
        <x:v>1</x:v>
      </x:c>
      <x:c r="I1749" s="604" t="n">
        <x:v>0.6899999999999999</x:v>
      </x:c>
      <x:c r="J1749" s="604" t="inlineStr">
        <x:is>
          <x:t xml:space="preserve">1.01/1.0/0.69</x:t>
        </x:is>
      </x:c>
      <x:c r="K1749" s="604" t="inlineStr">
        <x:is>
          <x:t xml:space="preserve">V4-N</x:t>
        </x:is>
      </x:c>
      <x:c r="L1749" s="604" t="inlineStr">
        <x:is>
          <x:t xml:space="preserve"/>
        </x:is>
      </x:c>
      <x:c r="M1749" s="604" t="n">
        <x:v>0.3803817144926586</x:v>
      </x:c>
      <x:c r="N1749" s="604" t="inlineStr">
        <x:is>
          <x:t xml:space="preserve">V4 Shadow Only；real_money=false</x:t>
        </x:is>
      </x:c>
      <x:c r="O1749" s="604" t="inlineStr">
        <x:is>
          <x:t xml:space="preserve">0-0</x:t>
        </x:is>
      </x:c>
      <x:c r="P1749" s="604" t="inlineStr">
        <x:is>
          <x:t xml:space="preserve">EVALUATED</x:t>
        </x:is>
      </x:c>
      <x:c r="Q1749" s="630" t="inlineStr">
        <x:is>
          <x:t xml:space="preserve"/>
        </x:is>
      </x:c>
      <x:c r="R1749" s="604" t="n"/>
      <x:c r="S1749" s="604" t="n"/>
      <x:c r="T1749" s="604" t="inlineStr">
        <x:is>
          <x:t xml:space="preserve">D:\codex\v3_legacy\outputs\football_odds_trader\raw\titan007\20261009\20261009_085232_titan007_odds_snapshot.csv</x:t>
        </x:is>
      </x:c>
      <x:c r="U1749" s="628" t="inlineStr">
        <x:is>
          <x:t xml:space="preserve"/>
        </x:is>
      </x:c>
      <x:c r="V1749" s="604" t="inlineStr">
        <x:is>
          <x:t xml:space="preserve"/>
        </x:is>
      </x:c>
      <x:c r="W1749" s="604" t="inlineStr">
        <x:is>
          <x:t xml:space="preserve"/>
        </x:is>
      </x:c>
      <x:c r="X1749" s="604" t="inlineStr">
        <x:is>
          <x:t xml:space="preserve">3098119</x:t>
        </x:is>
      </x:c>
      <x:c r="Y1749" s="604" t="inlineStr">
        <x:is>
          <x:t xml:space="preserve">V4</x:t>
        </x:is>
      </x:c>
      <x:c r="Z1749" s="604" t="inlineStr">
        <x:is>
          <x:t xml:space="preserve">prior-2026-10-09-v1</x:t>
        </x:is>
      </x:c>
      <x:c r="AA1749" s="604" t="inlineStr">
        <x:is>
          <x:t xml:space="preserve">N</x:t>
        </x:is>
      </x:c>
      <x:c r="AB1749" s="604" t="n">
        <x:v>0.3803817144926586</x:v>
      </x:c>
      <x:c r="AC1749" s="604" t="n">
        <x:v>0.3620753185515661</x:v>
      </x:c>
      <x:c r="AD1749" s="604" t="n">
        <x:v>1</x:v>
      </x:c>
      <x:c r="AE1749" s="604" t="n"/>
      <x:c r="AF1749" s="604" t="n"/>
      <x:c r="AG1749" s="604" t="n">
        <x:v>0.02211021308601907</x:v>
      </x:c>
      <x:c r="AH1749" s="604" t="n"/>
      <x:c r="AI1749" s="604" t="n"/>
      <x:c r="AJ1749" s="604" t="n">
        <x:v>0.02211021308601907</x:v>
      </x:c>
      <x:c r="AK1749" s="604" t="n"/>
      <x:c r="AL1749" s="604" t="n"/>
      <x:c r="AM1749" s="604" t="n"/>
      <x:c r="AN1749" s="604" t="inlineStr">
        <x:is>
          <x:t xml:space="preserve">EVALUATED</x:t>
        </x:is>
      </x:c>
      <x:c r="AO1749" s="604" t="inlineStr">
        <x:is>
          <x:t xml:space="preserve">EDGE_BELOW_UNCERTAINTY_THRESHOLD;BUCKET_PRIOR_ONLY;INTENT_INTERPRETATION_ONLY;FFL_OPTIONAL;EXPERT_MARKET</x:t>
        </x:is>
      </x:c>
      <x:c r="AP1749" s="604" t="inlineStr">
        <x:is>
          <x:t xml:space="preserve">43ec58661c7cc74b707b</x:t>
        </x:is>
      </x:c>
      <x:c r="AQ1749" s="604" t="n"/>
      <x:c r="AR1749" s="604" t="n"/>
      <x:c r="AS1749" s="604" t="n">
        <x:v>1</x:v>
      </x:c>
      <x:c r="AT1749" s="604" t="n">
        <x:v>-1</x:v>
      </x:c>
      <x:c r="AU1749" s="604" t="n">
        <x:v>1.01</x:v>
      </x:c>
      <x:c r="AV1749" s="604" t="n">
        <x:v>0.6899999999999999</x:v>
      </x:c>
      <x:c r="AW1749" s="604" t="inlineStr">
        <x:is>
          <x:t xml:space="preserve">2026-10-09T09:01:21.127001+08:00</x:t>
        </x:is>
      </x:c>
      <x:c r="AX1749" s="604" t="inlineStr">
        <x:is>
          <x:t xml:space="preserve">Titan007/V4</x:t>
        </x:is>
      </x:c>
      <x:c r="AY1749" s="604" t="inlineStr">
        <x:is>
          <x:t xml:space="preserve">Daily append；市场输入缺失时不生成决策</x:t>
        </x:is>
      </x:c>
    </x:row>
    <x:row r="1750" ht="22" customHeight="1">
      <x:c r="A1750" s="604" t="inlineStr">
        <x:is>
          <x:t xml:space="preserve">2026-10-09</x:t>
        </x:is>
      </x:c>
      <x:c r="B1750" s="604" t="inlineStr">
        <x:is>
          <x:t xml:space="preserve">2026-10-10T00:05:00+08:00</x:t>
        </x:is>
      </x:c>
      <x:c r="C1750" s="604" t="str">
        <x:v>欧洲非五大系列</x:v>
      </x:c>
      <x:c r="D1750" s="604" t="inlineStr">
        <x:is>
          <x:t xml:space="preserve"/>
        </x:is>
      </x:c>
      <x:c r="E1750" s="604" t="inlineStr">
        <x:is>
          <x:t xml:space="preserve">世女欧预</x:t>
        </x:is>
      </x:c>
      <x:c r="F1750" s="604" t="inlineStr">
        <x:is>
          <x:t xml:space="preserve">立陶宛女足 vs 瑞典女足</x:t>
        </x:is>
      </x:c>
      <x:c r="G1750" s="604" t="n">
        <x:v>0.83</x:v>
      </x:c>
      <x:c r="H1750" s="604" t="n">
        <x:v>-4.25</x:v>
      </x:c>
      <x:c r="I1750" s="604" t="n">
        <x:v>0.98</x:v>
      </x:c>
      <x:c r="J1750" s="604" t="inlineStr">
        <x:is>
          <x:t xml:space="preserve">0.83/-4.25/0.98</x:t>
        </x:is>
      </x:c>
      <x:c r="K1750" s="604" t="inlineStr">
        <x:is>
          <x:t xml:space="preserve">V4-N</x:t>
        </x:is>
      </x:c>
      <x:c r="L1750" s="604" t="inlineStr">
        <x:is>
          <x:t xml:space="preserve"/>
        </x:is>
      </x:c>
      <x:c r="M1750" s="604" t="n">
        <x:v>1.131484899038865e-09</x:v>
      </x:c>
      <x:c r="N1750" s="604" t="inlineStr">
        <x:is>
          <x:t xml:space="preserve">V4 Shadow Only；real_money=false</x:t>
        </x:is>
      </x:c>
      <x:c r="O1750" s="604" t="inlineStr">
        <x:is>
          <x:t xml:space="preserve">0-0</x:t>
        </x:is>
      </x:c>
      <x:c r="P1750" s="604" t="inlineStr">
        <x:is>
          <x:t xml:space="preserve">EVALUATED</x:t>
        </x:is>
      </x:c>
      <x:c r="Q1750" s="630" t="inlineStr">
        <x:is>
          <x:t xml:space="preserve"/>
        </x:is>
      </x:c>
      <x:c r="R1750" s="604" t="n"/>
      <x:c r="S1750" s="604" t="n"/>
      <x:c r="T1750" s="604" t="inlineStr">
        <x:is>
          <x:t xml:space="preserve">D:\codex\v3_legacy\outputs\football_odds_trader\raw\titan007\20261009\20261009_085232_titan007_odds_snapshot.csv</x:t>
        </x:is>
      </x:c>
      <x:c r="U1750" s="628" t="inlineStr">
        <x:is>
          <x:t xml:space="preserve"/>
        </x:is>
      </x:c>
      <x:c r="V1750" s="604" t="inlineStr">
        <x:is>
          <x:t xml:space="preserve"/>
        </x:is>
      </x:c>
      <x:c r="W1750" s="604" t="inlineStr">
        <x:is>
          <x:t xml:space="preserve"/>
        </x:is>
      </x:c>
      <x:c r="X1750" s="604" t="inlineStr">
        <x:is>
          <x:t xml:space="preserve">3098120</x:t>
        </x:is>
      </x:c>
      <x:c r="Y1750" s="604" t="inlineStr">
        <x:is>
          <x:t xml:space="preserve">V4</x:t>
        </x:is>
      </x:c>
      <x:c r="Z1750" s="604" t="inlineStr">
        <x:is>
          <x:t xml:space="preserve">prior-2026-10-09-v1</x:t>
        </x:is>
      </x:c>
      <x:c r="AA1750" s="604" t="inlineStr">
        <x:is>
          <x:t xml:space="preserve">N</x:t>
        </x:is>
      </x:c>
      <x:c r="AB1750" s="604" t="n">
        <x:v>1.131484899038865e-09</x:v>
      </x:c>
      <x:c r="AC1750" s="604" t="n">
        <x:v>0.9999999636850638</x:v>
      </x:c>
      <x:c r="AD1750" s="604" t="n">
        <x:v>-4</x:v>
      </x:c>
      <x:c r="AE1750" s="604" t="n"/>
      <x:c r="AF1750" s="604" t="n"/>
      <x:c r="AG1750" s="604" t="n">
        <x:v>0.8299999687271181</x:v>
      </x:c>
      <x:c r="AH1750" s="604" t="n"/>
      <x:c r="AI1750" s="604" t="n"/>
      <x:c r="AJ1750" s="604" t="n">
        <x:v>0.8299999687271181</x:v>
      </x:c>
      <x:c r="AK1750" s="604" t="n"/>
      <x:c r="AL1750" s="604" t="n"/>
      <x:c r="AM1750" s="604" t="n"/>
      <x:c r="AN1750" s="604" t="inlineStr">
        <x:is>
          <x:t xml:space="preserve">EVALUATED</x:t>
        </x:is>
      </x:c>
      <x:c r="AO1750" s="604" t="inlineStr">
        <x:is>
          <x:t xml:space="preserve">LOW_QUALITY_GATE;BUCKET_PRIOR_ONLY;INTENT_INTERPRETATION_ONLY;FFL_OPTIONAL;EXPERT_MARKET</x:t>
        </x:is>
      </x:c>
      <x:c r="AP1750" s="604" t="inlineStr">
        <x:is>
          <x:t xml:space="preserve">5afd92e26e7ec0e62c20</x:t>
        </x:is>
      </x:c>
      <x:c r="AQ1750" s="604" t="n"/>
      <x:c r="AR1750" s="604" t="n"/>
      <x:c r="AS1750" s="604" t="n">
        <x:v>-4.25</x:v>
      </x:c>
      <x:c r="AT1750" s="604" t="n">
        <x:v>4.25</x:v>
      </x:c>
      <x:c r="AU1750" s="604" t="n">
        <x:v>0.83</x:v>
      </x:c>
      <x:c r="AV1750" s="604" t="n">
        <x:v>0.98</x:v>
      </x:c>
      <x:c r="AW1750" s="604" t="inlineStr">
        <x:is>
          <x:t xml:space="preserve">2026-10-09T09:01:21.127001+08:00</x:t>
        </x:is>
      </x:c>
      <x:c r="AX1750" s="604" t="inlineStr">
        <x:is>
          <x:t xml:space="preserve">Titan007/V4</x:t>
        </x:is>
      </x:c>
      <x:c r="AY1750" s="604" t="inlineStr">
        <x:is>
          <x:t xml:space="preserve">Daily append；市场输入缺失时不生成决策</x:t>
        </x:is>
      </x:c>
    </x:row>
    <x:row r="1751" ht="22" customHeight="1">
      <x:c r="A1751" s="604" t="inlineStr">
        <x:is>
          <x:t xml:space="preserve">2026-10-09</x:t>
        </x:is>
      </x:c>
      <x:c r="B1751" s="604" t="inlineStr">
        <x:is>
          <x:t xml:space="preserve">2026-10-10T00:00:00+08:00</x:t>
        </x:is>
      </x:c>
      <x:c r="C1751" s="604" t="str">
        <x:v>欧洲非五大系列</x:v>
      </x:c>
      <x:c r="D1751" s="604" t="inlineStr">
        <x:is>
          <x:t xml:space="preserve"/>
        </x:is>
      </x:c>
      <x:c r="E1751" s="604" t="inlineStr">
        <x:is>
          <x:t xml:space="preserve">世女欧预</x:t>
        </x:is>
      </x:c>
      <x:c r="F1751" s="604" t="inlineStr">
        <x:is>
          <x:t xml:space="preserve">阿尔巴尼亚女足 vs 威尔士女足</x:t>
        </x:is>
      </x:c>
      <x:c r="G1751" s="604" t="n">
        <x:v>0.7</x:v>
      </x:c>
      <x:c r="H1751" s="604" t="n">
        <x:v>-2.25</x:v>
      </x:c>
      <x:c r="I1751" s="604" t="n">
        <x:v>1</x:v>
      </x:c>
      <x:c r="J1751" s="604" t="inlineStr">
        <x:is>
          <x:t xml:space="preserve">0.7/-2.25/1.0</x:t>
        </x:is>
      </x:c>
      <x:c r="K1751" s="604" t="inlineStr">
        <x:is>
          <x:t xml:space="preserve">V4-N</x:t>
        </x:is>
      </x:c>
      <x:c r="L1751" s="604" t="inlineStr">
        <x:is>
          <x:t xml:space="preserve"/>
        </x:is>
      </x:c>
      <x:c r="M1751" s="604" t="n">
        <x:v>4.563849276206837e-06</x:v>
      </x:c>
      <x:c r="N1751" s="604" t="inlineStr">
        <x:is>
          <x:t xml:space="preserve">V4 Shadow Only；real_money=false</x:t>
        </x:is>
      </x:c>
      <x:c r="O1751" s="604" t="inlineStr">
        <x:is>
          <x:t xml:space="preserve">0-0</x:t>
        </x:is>
      </x:c>
      <x:c r="P1751" s="604" t="inlineStr">
        <x:is>
          <x:t xml:space="preserve">EVALUATED</x:t>
        </x:is>
      </x:c>
      <x:c r="Q1751" s="630" t="inlineStr">
        <x:is>
          <x:t xml:space="preserve"/>
        </x:is>
      </x:c>
      <x:c r="R1751" s="604" t="n"/>
      <x:c r="S1751" s="604" t="n"/>
      <x:c r="T1751" s="604" t="inlineStr">
        <x:is>
          <x:t xml:space="preserve">D:\codex\v3_legacy\outputs\football_odds_trader\raw\titan007\20261009\20261009_085232_titan007_odds_snapshot.csv</x:t>
        </x:is>
      </x:c>
      <x:c r="U1751" s="628" t="inlineStr">
        <x:is>
          <x:t xml:space="preserve"/>
        </x:is>
      </x:c>
      <x:c r="V1751" s="604" t="inlineStr">
        <x:is>
          <x:t xml:space="preserve"/>
        </x:is>
      </x:c>
      <x:c r="W1751" s="604" t="inlineStr">
        <x:is>
          <x:t xml:space="preserve"/>
        </x:is>
      </x:c>
      <x:c r="X1751" s="604" t="inlineStr">
        <x:is>
          <x:t xml:space="preserve">3098121</x:t>
        </x:is>
      </x:c>
      <x:c r="Y1751" s="604" t="inlineStr">
        <x:is>
          <x:t xml:space="preserve">V4</x:t>
        </x:is>
      </x:c>
      <x:c r="Z1751" s="604" t="inlineStr">
        <x:is>
          <x:t xml:space="preserve">prior-2026-10-09-v1</x:t>
        </x:is>
      </x:c>
      <x:c r="AA1751" s="604" t="inlineStr">
        <x:is>
          <x:t xml:space="preserve">N</x:t>
        </x:is>
      </x:c>
      <x:c r="AB1751" s="604" t="n">
        <x:v>4.563849276206837e-06</x:v>
      </x:c>
      <x:c r="AC1751" s="604" t="n">
        <x:v>0.9999099308157233</x:v>
      </x:c>
      <x:c r="AD1751" s="604" t="n">
        <x:v>-3</x:v>
      </x:c>
      <x:c r="AE1751" s="604" t="n"/>
      <x:c r="AF1751" s="604" t="n"/>
      <x:c r="AG1751" s="604" t="n">
        <x:v>0.6999323877217301</x:v>
      </x:c>
      <x:c r="AH1751" s="604" t="n"/>
      <x:c r="AI1751" s="604" t="n"/>
      <x:c r="AJ1751" s="604" t="n">
        <x:v>0.6999323877217301</x:v>
      </x:c>
      <x:c r="AK1751" s="604" t="n"/>
      <x:c r="AL1751" s="604" t="n"/>
      <x:c r="AM1751" s="604" t="n"/>
      <x:c r="AN1751" s="604" t="inlineStr">
        <x:is>
          <x:t xml:space="preserve">EVALUATED</x:t>
        </x:is>
      </x:c>
      <x:c r="AO1751" s="604" t="inlineStr">
        <x:is>
          <x:t xml:space="preserve">LOW_QUALITY_GATE;BUCKET_PRIOR_ONLY;INTENT_INTERPRETATION_ONLY;FFL_OPTIONAL;EXPERT_MARKET</x:t>
        </x:is>
      </x:c>
      <x:c r="AP1751" s="604" t="inlineStr">
        <x:is>
          <x:t xml:space="preserve">99524c2e094b4132f759</x:t>
        </x:is>
      </x:c>
      <x:c r="AQ1751" s="604" t="n"/>
      <x:c r="AR1751" s="604" t="n"/>
      <x:c r="AS1751" s="604" t="n">
        <x:v>-2.25</x:v>
      </x:c>
      <x:c r="AT1751" s="604" t="n">
        <x:v>2.25</x:v>
      </x:c>
      <x:c r="AU1751" s="604" t="n">
        <x:v>0.7</x:v>
      </x:c>
      <x:c r="AV1751" s="604" t="n">
        <x:v>1</x:v>
      </x:c>
      <x:c r="AW1751" s="604" t="inlineStr">
        <x:is>
          <x:t xml:space="preserve">2026-10-09T09:01:21.127001+08:00</x:t>
        </x:is>
      </x:c>
      <x:c r="AX1751" s="604" t="inlineStr">
        <x:is>
          <x:t xml:space="preserve">Titan007/V4</x:t>
        </x:is>
      </x:c>
      <x:c r="AY1751" s="604" t="inlineStr">
        <x:is>
          <x:t xml:space="preserve">Daily append；市场输入缺失时不生成决策</x:t>
        </x:is>
      </x:c>
    </x:row>
    <x:row r="1752" ht="22" customHeight="1">
      <x:c r="A1752" s="604" t="inlineStr">
        <x:is>
          <x:t xml:space="preserve">2026-10-09</x:t>
        </x:is>
      </x:c>
      <x:c r="B1752" s="604" t="inlineStr">
        <x:is>
          <x:t xml:space="preserve">2026-10-10T00:00:00+08:00</x:t>
        </x:is>
      </x:c>
      <x:c r="C1752" s="604" t="str">
        <x:v>欧洲非五大系列</x:v>
      </x:c>
      <x:c r="D1752" s="604" t="inlineStr">
        <x:is>
          <x:t xml:space="preserve"/>
        </x:is>
      </x:c>
      <x:c r="E1752" s="604" t="inlineStr">
        <x:is>
          <x:t xml:space="preserve">世女欧预</x:t>
        </x:is>
      </x:c>
      <x:c r="F1752" s="604" t="inlineStr">
        <x:is>
          <x:t xml:space="preserve">科索沃女足 vs 奥地利女足</x:t>
        </x:is>
      </x:c>
      <x:c r="G1752" s="604" t="n">
        <x:v>0.73</x:v>
      </x:c>
      <x:c r="H1752" s="604" t="n">
        <x:v>-2.25</x:v>
      </x:c>
      <x:c r="I1752" s="604" t="n">
        <x:v>0.97</x:v>
      </x:c>
      <x:c r="J1752" s="604" t="inlineStr">
        <x:is>
          <x:t xml:space="preserve">0.73/-2.25/0.97</x:t>
        </x:is>
      </x:c>
      <x:c r="K1752" s="604" t="inlineStr">
        <x:is>
          <x:t xml:space="preserve">V4-N</x:t>
        </x:is>
      </x:c>
      <x:c r="L1752" s="604" t="inlineStr">
        <x:is>
          <x:t xml:space="preserve"/>
        </x:is>
      </x:c>
      <x:c r="M1752" s="604" t="n">
        <x:v>4.348581709996901e-06</x:v>
      </x:c>
      <x:c r="N1752" s="604" t="inlineStr">
        <x:is>
          <x:t xml:space="preserve">V4 Shadow Only；real_money=false</x:t>
        </x:is>
      </x:c>
      <x:c r="O1752" s="604" t="inlineStr">
        <x:is>
          <x:t xml:space="preserve">0-0</x:t>
        </x:is>
      </x:c>
      <x:c r="P1752" s="604" t="inlineStr">
        <x:is>
          <x:t xml:space="preserve">EVALUATED</x:t>
        </x:is>
      </x:c>
      <x:c r="Q1752" s="630" t="inlineStr">
        <x:is>
          <x:t xml:space="preserve"/>
        </x:is>
      </x:c>
      <x:c r="R1752" s="604" t="n"/>
      <x:c r="S1752" s="604" t="n"/>
      <x:c r="T1752" s="604" t="inlineStr">
        <x:is>
          <x:t xml:space="preserve">D:\codex\v3_legacy\outputs\football_odds_trader\raw\titan007\20261009\20261009_085232_titan007_odds_snapshot.csv</x:t>
        </x:is>
      </x:c>
      <x:c r="U1752" s="628" t="inlineStr">
        <x:is>
          <x:t xml:space="preserve"/>
        </x:is>
      </x:c>
      <x:c r="V1752" s="604" t="inlineStr">
        <x:is>
          <x:t xml:space="preserve"/>
        </x:is>
      </x:c>
      <x:c r="W1752" s="604" t="inlineStr">
        <x:is>
          <x:t xml:space="preserve"/>
        </x:is>
      </x:c>
      <x:c r="X1752" s="604" t="inlineStr">
        <x:is>
          <x:t xml:space="preserve">3098122</x:t>
        </x:is>
      </x:c>
      <x:c r="Y1752" s="604" t="inlineStr">
        <x:is>
          <x:t xml:space="preserve">V4</x:t>
        </x:is>
      </x:c>
      <x:c r="Z1752" s="604" t="inlineStr">
        <x:is>
          <x:t xml:space="preserve">prior-2026-10-09-v1</x:t>
        </x:is>
      </x:c>
      <x:c r="AA1752" s="604" t="inlineStr">
        <x:is>
          <x:t xml:space="preserve">N</x:t>
        </x:is>
      </x:c>
      <x:c r="AB1752" s="604" t="n">
        <x:v>4.348581709996901e-06</x:v>
      </x:c>
      <x:c r="AC1752" s="604" t="n">
        <x:v>0.9999141531636062</x:v>
      </x:c>
      <x:c r="AD1752" s="604" t="n">
        <x:v>-3.25</x:v>
      </x:c>
      <x:c r="AE1752" s="604" t="n"/>
      <x:c r="AF1752" s="604" t="n"/>
      <x:c r="AG1752" s="604" t="n">
        <x:v>0.7299329832277226</x:v>
      </x:c>
      <x:c r="AH1752" s="604" t="n"/>
      <x:c r="AI1752" s="604" t="n"/>
      <x:c r="AJ1752" s="604" t="n">
        <x:v>0.7299329832277226</x:v>
      </x:c>
      <x:c r="AK1752" s="604" t="n"/>
      <x:c r="AL1752" s="604" t="n"/>
      <x:c r="AM1752" s="604" t="n"/>
      <x:c r="AN1752" s="604" t="inlineStr">
        <x:is>
          <x:t xml:space="preserve">EVALUATED</x:t>
        </x:is>
      </x:c>
      <x:c r="AO1752" s="604" t="inlineStr">
        <x:is>
          <x:t xml:space="preserve">LOW_QUALITY_GATE;BUCKET_PRIOR_ONLY;INTENT_INTERPRETATION_ONLY;FFL_OPTIONAL;EXPERT_MARKET</x:t>
        </x:is>
      </x:c>
      <x:c r="AP1752" s="604" t="inlineStr">
        <x:is>
          <x:t xml:space="preserve">c17fefd26299e68f2ddd</x:t>
        </x:is>
      </x:c>
      <x:c r="AQ1752" s="604" t="n"/>
      <x:c r="AR1752" s="604" t="n"/>
      <x:c r="AS1752" s="604" t="n">
        <x:v>-2.25</x:v>
      </x:c>
      <x:c r="AT1752" s="604" t="n">
        <x:v>2.25</x:v>
      </x:c>
      <x:c r="AU1752" s="604" t="n">
        <x:v>0.73</x:v>
      </x:c>
      <x:c r="AV1752" s="604" t="n">
        <x:v>0.97</x:v>
      </x:c>
      <x:c r="AW1752" s="604" t="inlineStr">
        <x:is>
          <x:t xml:space="preserve">2026-10-09T09:01:21.127001+08:00</x:t>
        </x:is>
      </x:c>
      <x:c r="AX1752" s="604" t="inlineStr">
        <x:is>
          <x:t xml:space="preserve">Titan007/V4</x:t>
        </x:is>
      </x:c>
      <x:c r="AY1752" s="604" t="inlineStr">
        <x:is>
          <x:t xml:space="preserve">Daily append；市场输入缺失时不生成决策</x:t>
        </x:is>
      </x:c>
    </x:row>
    <x:row r="1753" ht="22" customHeight="1">
      <x:c r="A1753" s="604" t="inlineStr">
        <x:is>
          <x:t xml:space="preserve">2026-10-09</x:t>
        </x:is>
      </x:c>
      <x:c r="B1753" s="604" t="inlineStr">
        <x:is>
          <x:t xml:space="preserve">2026-10-10T00:00:00+08:00</x:t>
        </x:is>
      </x:c>
      <x:c r="C1753" s="604" t="str">
        <x:v>欧洲非五大系列</x:v>
      </x:c>
      <x:c r="D1753" s="604" t="inlineStr">
        <x:is>
          <x:t xml:space="preserve"/>
        </x:is>
      </x:c>
      <x:c r="E1753" s="604" t="inlineStr">
        <x:is>
          <x:t xml:space="preserve">世女欧预</x:t>
        </x:is>
      </x:c>
      <x:c r="F1753" s="604" t="inlineStr">
        <x:is>
          <x:t xml:space="preserve">斯洛伐克女足 vs 乌克兰女足</x:t>
        </x:is>
      </x:c>
      <x:c r="G1753" s="604" t="n">
        <x:v>0.86</x:v>
      </x:c>
      <x:c r="H1753" s="604" t="n">
        <x:v>0</x:v>
      </x:c>
      <x:c r="I1753" s="604" t="n">
        <x:v>0.84</x:v>
      </x:c>
      <x:c r="J1753" s="604" t="inlineStr">
        <x:is>
          <x:t xml:space="preserve">0.86/0.0/0.84</x:t>
        </x:is>
      </x:c>
      <x:c r="K1753" s="604" t="inlineStr">
        <x:is>
          <x:t xml:space="preserve">V4-N</x:t>
        </x:is>
      </x:c>
      <x:c r="L1753" s="604" t="inlineStr">
        <x:is>
          <x:t xml:space="preserve"/>
        </x:is>
      </x:c>
      <x:c r="M1753" s="604" t="n"/>
      <x:c r="N1753" s="604" t="inlineStr">
        <x:is>
          <x:t xml:space="preserve">V4 Shadow Only；real_money=false</x:t>
        </x:is>
      </x:c>
      <x:c r="O1753" s="604" t="inlineStr">
        <x:is>
          <x:t xml:space="preserve">0-0</x:t>
        </x:is>
      </x:c>
      <x:c r="P1753" s="604" t="inlineStr">
        <x:is>
          <x:t xml:space="preserve">NEUTRAL</x:t>
        </x:is>
      </x:c>
      <x:c r="Q1753" s="630" t="inlineStr">
        <x:is>
          <x:t xml:space="preserve"/>
        </x:is>
      </x:c>
      <x:c r="R1753" s="604" t="n"/>
      <x:c r="S1753" s="604" t="n"/>
      <x:c r="T1753" s="604" t="inlineStr">
        <x:is>
          <x:t xml:space="preserve">D:\codex\v3_legacy\outputs\football_odds_trader\raw\titan007\20261009\20261009_085232_titan007_odds_snapshot.csv</x:t>
        </x:is>
      </x:c>
      <x:c r="U1753" s="628" t="inlineStr">
        <x:is>
          <x:t xml:space="preserve"/>
        </x:is>
      </x:c>
      <x:c r="V1753" s="604" t="inlineStr">
        <x:is>
          <x:t xml:space="preserve"/>
        </x:is>
      </x:c>
      <x:c r="W1753" s="604" t="inlineStr">
        <x:is>
          <x:t xml:space="preserve"/>
        </x:is>
      </x:c>
      <x:c r="X1753" s="604" t="inlineStr">
        <x:is>
          <x:t xml:space="preserve">3098123</x:t>
        </x:is>
      </x:c>
      <x:c r="Y1753" s="604" t="inlineStr">
        <x:is>
          <x:t xml:space="preserve">V4</x:t>
        </x:is>
      </x:c>
      <x:c r="Z1753" s="604" t="inlineStr">
        <x:is>
          <x:t xml:space="preserve">prior-2026-10-09-v1</x:t>
        </x:is>
      </x:c>
      <x:c r="AA1753" s="604" t="inlineStr">
        <x:is>
          <x:t xml:space="preserve">N</x:t>
        </x:is>
      </x:c>
      <x:c r="AB1753" s="604" t="n"/>
      <x:c r="AC1753" s="604" t="n"/>
      <x:c r="AD1753" s="604" t="n"/>
      <x:c r="AE1753" s="604" t="n"/>
      <x:c r="AF1753" s="604" t="n"/>
      <x:c r="AG1753" s="604" t="n"/>
      <x:c r="AH1753" s="604" t="n"/>
      <x:c r="AI1753" s="604" t="n"/>
      <x:c r="AJ1753" s="604" t="n"/>
      <x:c r="AK1753" s="604" t="n"/>
      <x:c r="AL1753" s="604" t="n"/>
      <x:c r="AM1753" s="604" t="n"/>
      <x:c r="AN1753" s="604" t="inlineStr">
        <x:is>
          <x:t xml:space="preserve">NEUTRAL</x:t>
        </x:is>
      </x:c>
      <x:c r="AO1753" s="604" t="inlineStr">
        <x:is>
          <x:t xml:space="preserve">PK_NO_GIVING_RECEIVING_IDENTITY</x:t>
        </x:is>
      </x:c>
      <x:c r="AP1753" s="604" t="inlineStr">
        <x:is>
          <x:t xml:space="preserve">2f09a5e939cd4c9d2f81</x:t>
        </x:is>
      </x:c>
      <x:c r="AQ1753" s="604" t="n"/>
      <x:c r="AR1753" s="604" t="n"/>
      <x:c r="AS1753" s="604" t="n"/>
      <x:c r="AT1753" s="604" t="n"/>
      <x:c r="AU1753" s="604" t="n"/>
      <x:c r="AV1753" s="604" t="n"/>
      <x:c r="AW1753" s="604" t="inlineStr">
        <x:is>
          <x:t xml:space="preserve">2026-10-09T09:01:21.127001+08:00</x:t>
        </x:is>
      </x:c>
      <x:c r="AX1753" s="604" t="inlineStr">
        <x:is>
          <x:t xml:space="preserve">Titan007/V4</x:t>
        </x:is>
      </x:c>
      <x:c r="AY1753" s="604" t="inlineStr">
        <x:is>
          <x:t xml:space="preserve">Daily append；市场输入缺失时不生成决策</x:t>
        </x:is>
      </x:c>
    </x:row>
    <x:row r="1754" ht="22" customHeight="1">
      <x:c r="A1754" s="604" t="inlineStr">
        <x:is>
          <x:t xml:space="preserve">2026-10-09</x:t>
        </x:is>
      </x:c>
      <x:c r="B1754" s="604" t="inlineStr">
        <x:is>
          <x:t xml:space="preserve">2026-10-10T00:00:00+08:00</x:t>
        </x:is>
      </x:c>
      <x:c r="C1754" s="604" t="str">
        <x:v>欧洲非五大系列</x:v>
      </x:c>
      <x:c r="D1754" s="604" t="inlineStr">
        <x:is>
          <x:t xml:space="preserve"/>
        </x:is>
      </x:c>
      <x:c r="E1754" s="604" t="inlineStr">
        <x:is>
          <x:t xml:space="preserve">世女欧预</x:t>
        </x:is>
      </x:c>
      <x:c r="F1754" s="604" t="inlineStr">
        <x:is>
          <x:t xml:space="preserve">土耳其女足 vs 斯洛文尼亚女足</x:t>
        </x:is>
      </x:c>
      <x:c r="G1754" s="604" t="n">
        <x:v>0.85</x:v>
      </x:c>
      <x:c r="H1754" s="604" t="n">
        <x:v>0.25</x:v>
      </x:c>
      <x:c r="I1754" s="604" t="n">
        <x:v>0.85</x:v>
      </x:c>
      <x:c r="J1754" s="604" t="inlineStr">
        <x:is>
          <x:t xml:space="preserve">0.85/0.25/0.85</x:t>
        </x:is>
      </x:c>
      <x:c r="K1754" s="604" t="inlineStr">
        <x:is>
          <x:t xml:space="preserve">V4-N</x:t>
        </x:is>
      </x:c>
      <x:c r="L1754" s="604" t="inlineStr">
        <x:is>
          <x:t xml:space="preserve"/>
        </x:is>
      </x:c>
      <x:c r="M1754" s="604" t="n">
        <x:v>0.4373613717286029</x:v>
      </x:c>
      <x:c r="N1754" s="604" t="inlineStr">
        <x:is>
          <x:t xml:space="preserve">V4 Shadow Only；real_money=false</x:t>
        </x:is>
      </x:c>
      <x:c r="O1754" s="604" t="inlineStr">
        <x:is>
          <x:t xml:space="preserve">0-0</x:t>
        </x:is>
      </x:c>
      <x:c r="P1754" s="604" t="inlineStr">
        <x:is>
          <x:t xml:space="preserve">EVALUATED</x:t>
        </x:is>
      </x:c>
      <x:c r="Q1754" s="630" t="inlineStr">
        <x:is>
          <x:t xml:space="preserve"/>
        </x:is>
      </x:c>
      <x:c r="R1754" s="604" t="n"/>
      <x:c r="S1754" s="604" t="n"/>
      <x:c r="T1754" s="604" t="inlineStr">
        <x:is>
          <x:t xml:space="preserve">D:\codex\v3_legacy\outputs\football_odds_trader\raw\titan007\20261009\20261009_085232_titan007_odds_snapshot.csv</x:t>
        </x:is>
      </x:c>
      <x:c r="U1754" s="628" t="inlineStr">
        <x:is>
          <x:t xml:space="preserve"/>
        </x:is>
      </x:c>
      <x:c r="V1754" s="604" t="inlineStr">
        <x:is>
          <x:t xml:space="preserve"/>
        </x:is>
      </x:c>
      <x:c r="W1754" s="604" t="inlineStr">
        <x:is>
          <x:t xml:space="preserve"/>
        </x:is>
      </x:c>
      <x:c r="X1754" s="604" t="inlineStr">
        <x:is>
          <x:t xml:space="preserve">3098124</x:t>
        </x:is>
      </x:c>
      <x:c r="Y1754" s="604" t="inlineStr">
        <x:is>
          <x:t xml:space="preserve">V4</x:t>
        </x:is>
      </x:c>
      <x:c r="Z1754" s="604" t="inlineStr">
        <x:is>
          <x:t xml:space="preserve">prior-2026-10-09-v1</x:t>
        </x:is>
      </x:c>
      <x:c r="AA1754" s="604" t="inlineStr">
        <x:is>
          <x:t xml:space="preserve">N</x:t>
        </x:is>
      </x:c>
      <x:c r="AB1754" s="604" t="n">
        <x:v>0.4373613717286029</x:v>
      </x:c>
      <x:c r="AC1754" s="604" t="n">
        <x:v>0.4321013448851426</x:v>
      </x:c>
      <x:c r="AD1754" s="604" t="n">
        <x:v>0.25</x:v>
      </x:c>
      <x:c r="AE1754" s="604" t="n"/>
      <x:c r="AF1754" s="604" t="n"/>
      <x:c r="AG1754" s="604" t="n">
        <x:v>-0.06034417891583016</x:v>
      </x:c>
      <x:c r="AH1754" s="604" t="n"/>
      <x:c r="AI1754" s="604" t="n"/>
      <x:c r="AJ1754" s="604" t="n">
        <x:v>-0.06034417891583016</x:v>
      </x:c>
      <x:c r="AK1754" s="604" t="n"/>
      <x:c r="AL1754" s="604" t="n"/>
      <x:c r="AM1754" s="604" t="n"/>
      <x:c r="AN1754" s="604" t="inlineStr">
        <x:is>
          <x:t xml:space="preserve">EVALUATED</x:t>
        </x:is>
      </x:c>
      <x:c r="AO1754" s="604" t="inlineStr">
        <x:is>
          <x:t xml:space="preserve">EDGE_BELOW_UNCERTAINTY_THRESHOLD;BUCKET_PRIOR_ONLY;INTENT_INTERPRETATION_ONLY;FFL_OPTIONAL;EXPERT_MARKET</x:t>
        </x:is>
      </x:c>
      <x:c r="AP1754" s="604" t="inlineStr">
        <x:is>
          <x:t xml:space="preserve">f15e8c6867be4501f79b</x:t>
        </x:is>
      </x:c>
      <x:c r="AQ1754" s="604" t="n"/>
      <x:c r="AR1754" s="604" t="n"/>
      <x:c r="AS1754" s="604" t="n">
        <x:v>0.25</x:v>
      </x:c>
      <x:c r="AT1754" s="604" t="n">
        <x:v>-0.25</x:v>
      </x:c>
      <x:c r="AU1754" s="604" t="n">
        <x:v>0.85</x:v>
      </x:c>
      <x:c r="AV1754" s="604" t="n">
        <x:v>0.85</x:v>
      </x:c>
      <x:c r="AW1754" s="604" t="inlineStr">
        <x:is>
          <x:t xml:space="preserve">2026-10-09T09:01:21.127001+08:00</x:t>
        </x:is>
      </x:c>
      <x:c r="AX1754" s="604" t="inlineStr">
        <x:is>
          <x:t xml:space="preserve">Titan007/V4</x:t>
        </x:is>
      </x:c>
      <x:c r="AY1754" s="604" t="inlineStr">
        <x:is>
          <x:t xml:space="preserve">Daily append；市场输入缺失时不生成决策</x:t>
        </x:is>
      </x:c>
    </x:row>
    <x:row r="1755" ht="22" customHeight="1">
      <x:c r="A1755" s="604" t="inlineStr">
        <x:is>
          <x:t xml:space="preserve">2026-10-09</x:t>
        </x:is>
      </x:c>
      <x:c r="B1755" s="604" t="inlineStr">
        <x:is>
          <x:t xml:space="preserve">2026-10-10T00:15:00+08:00</x:t>
        </x:is>
      </x:c>
      <x:c r="C1755" s="604" t="str">
        <x:v>欧洲非五大系列</x:v>
      </x:c>
      <x:c r="D1755" s="604" t="inlineStr">
        <x:is>
          <x:t xml:space="preserve"/>
        </x:is>
      </x:c>
      <x:c r="E1755" s="604" t="inlineStr">
        <x:is>
          <x:t xml:space="preserve">世女欧预</x:t>
        </x:is>
      </x:c>
      <x:c r="F1755" s="604" t="inlineStr">
        <x:is>
          <x:t xml:space="preserve">白俄罗斯女足 vs 意大利女足</x:t>
        </x:is>
      </x:c>
      <x:c r="G1755" s="604" t="n">
        <x:v>0.6</x:v>
      </x:c>
      <x:c r="H1755" s="604" t="n">
        <x:v>-3</x:v>
      </x:c>
      <x:c r="I1755" s="604" t="n">
        <x:v>1.11</x:v>
      </x:c>
      <x:c r="J1755" s="604" t="inlineStr">
        <x:is>
          <x:t xml:space="preserve">0.6/-3.0/1.11</x:t>
        </x:is>
      </x:c>
      <x:c r="K1755" s="604" t="inlineStr">
        <x:is>
          <x:t xml:space="preserve">V4-N</x:t>
        </x:is>
      </x:c>
      <x:c r="L1755" s="604" t="inlineStr">
        <x:is>
          <x:t xml:space="preserve"/>
        </x:is>
      </x:c>
      <x:c r="M1755" s="604" t="n">
        <x:v>7.297019309268131e-08</x:v>
      </x:c>
      <x:c r="N1755" s="604" t="inlineStr">
        <x:is>
          <x:t xml:space="preserve">V4 Shadow Only；real_money=false</x:t>
        </x:is>
      </x:c>
      <x:c r="O1755" s="604" t="inlineStr">
        <x:is>
          <x:t xml:space="preserve">0-0</x:t>
        </x:is>
      </x:c>
      <x:c r="P1755" s="604" t="inlineStr">
        <x:is>
          <x:t xml:space="preserve">EVALUATED</x:t>
        </x:is>
      </x:c>
      <x:c r="Q1755" s="630" t="inlineStr">
        <x:is>
          <x:t xml:space="preserve"/>
        </x:is>
      </x:c>
      <x:c r="R1755" s="604" t="n"/>
      <x:c r="S1755" s="604" t="n"/>
      <x:c r="T1755" s="604" t="inlineStr">
        <x:is>
          <x:t xml:space="preserve">D:\codex\v3_legacy\outputs\football_odds_trader\raw\titan007\20261009\20261009_085232_titan007_odds_snapshot.csv</x:t>
        </x:is>
      </x:c>
      <x:c r="U1755" s="628" t="inlineStr">
        <x:is>
          <x:t xml:space="preserve"/>
        </x:is>
      </x:c>
      <x:c r="V1755" s="604" t="inlineStr">
        <x:is>
          <x:t xml:space="preserve"/>
        </x:is>
      </x:c>
      <x:c r="W1755" s="604" t="inlineStr">
        <x:is>
          <x:t xml:space="preserve"/>
        </x:is>
      </x:c>
      <x:c r="X1755" s="604" t="inlineStr">
        <x:is>
          <x:t xml:space="preserve">3098125</x:t>
        </x:is>
      </x:c>
      <x:c r="Y1755" s="604" t="inlineStr">
        <x:is>
          <x:t xml:space="preserve">V4</x:t>
        </x:is>
      </x:c>
      <x:c r="Z1755" s="604" t="inlineStr">
        <x:is>
          <x:t xml:space="preserve">prior-2026-10-09-v1</x:t>
        </x:is>
      </x:c>
      <x:c r="AA1755" s="604" t="inlineStr">
        <x:is>
          <x:t xml:space="preserve">N</x:t>
        </x:is>
      </x:c>
      <x:c r="AB1755" s="604" t="n">
        <x:v>7.297019309268131e-08</x:v>
      </x:c>
      <x:c r="AC1755" s="604" t="n">
        <x:v>0.9999962915389331</x:v>
      </x:c>
      <x:c r="AD1755" s="604" t="n">
        <x:v>-3.5</x:v>
      </x:c>
      <x:c r="AE1755" s="604" t="n"/>
      <x:c r="AF1755" s="604" t="n"/>
      <x:c r="AG1755" s="604" t="n">
        <x:v>0.5999977019531667</x:v>
      </x:c>
      <x:c r="AH1755" s="604" t="n"/>
      <x:c r="AI1755" s="604" t="n"/>
      <x:c r="AJ1755" s="604" t="n">
        <x:v>0.5999977019531667</x:v>
      </x:c>
      <x:c r="AK1755" s="604" t="n"/>
      <x:c r="AL1755" s="604" t="n"/>
      <x:c r="AM1755" s="604" t="n"/>
      <x:c r="AN1755" s="604" t="inlineStr">
        <x:is>
          <x:t xml:space="preserve">EVALUATED</x:t>
        </x:is>
      </x:c>
      <x:c r="AO1755" s="604" t="inlineStr">
        <x:is>
          <x:t xml:space="preserve">LOW_QUALITY_GATE;BUCKET_PRIOR_ONLY;INTENT_INTERPRETATION_ONLY;FFL_OPTIONAL;EXPERT_MARKET</x:t>
        </x:is>
      </x:c>
      <x:c r="AP1755" s="604" t="inlineStr">
        <x:is>
          <x:t xml:space="preserve">af598a7049191b64b3fa</x:t>
        </x:is>
      </x:c>
      <x:c r="AQ1755" s="604" t="n"/>
      <x:c r="AR1755" s="604" t="n"/>
      <x:c r="AS1755" s="604" t="n">
        <x:v>-3</x:v>
      </x:c>
      <x:c r="AT1755" s="604" t="n">
        <x:v>3</x:v>
      </x:c>
      <x:c r="AU1755" s="604" t="n">
        <x:v>0.6</x:v>
      </x:c>
      <x:c r="AV1755" s="604" t="n">
        <x:v>1.11</x:v>
      </x:c>
      <x:c r="AW1755" s="604" t="inlineStr">
        <x:is>
          <x:t xml:space="preserve">2026-10-09T09:01:21.127001+08:00</x:t>
        </x:is>
      </x:c>
      <x:c r="AX1755" s="604" t="inlineStr">
        <x:is>
          <x:t xml:space="preserve">Titan007/V4</x:t>
        </x:is>
      </x:c>
      <x:c r="AY1755" s="604" t="inlineStr">
        <x:is>
          <x:t xml:space="preserve">Daily append；市场输入缺失时不生成决策</x:t>
        </x:is>
      </x:c>
    </x:row>
    <x:row r="1756" ht="22" customHeight="1">
      <x:c r="A1756" s="604" t="inlineStr">
        <x:is>
          <x:t xml:space="preserve">2026-10-09</x:t>
        </x:is>
      </x:c>
      <x:c r="B1756" s="604" t="inlineStr">
        <x:is>
          <x:t xml:space="preserve">2026-10-10T00:30:00+08:00</x:t>
        </x:is>
      </x:c>
      <x:c r="C1756" s="604" t="str">
        <x:v>欧洲非五大系列</x:v>
      </x:c>
      <x:c r="D1756" s="604" t="inlineStr">
        <x:is>
          <x:t xml:space="preserve"/>
        </x:is>
      </x:c>
      <x:c r="E1756" s="604" t="inlineStr">
        <x:is>
          <x:t xml:space="preserve">世女欧预</x:t>
        </x:is>
      </x:c>
      <x:c r="F1756" s="604" t="inlineStr">
        <x:is>
          <x:t xml:space="preserve">希腊女足 vs 英格兰女足</x:t>
        </x:is>
      </x:c>
      <x:c r="G1756" s="604" t="n">
        <x:v>0.95</x:v>
      </x:c>
      <x:c r="H1756" s="604" t="n">
        <x:v>-4</x:v>
      </x:c>
      <x:c r="I1756" s="604" t="n">
        <x:v>0.85</x:v>
      </x:c>
      <x:c r="J1756" s="604" t="inlineStr">
        <x:is>
          <x:t xml:space="preserve">0.95/-4.0/0.85</x:t>
        </x:is>
      </x:c>
      <x:c r="K1756" s="604" t="inlineStr">
        <x:is>
          <x:t xml:space="preserve">V4-N</x:t>
        </x:is>
      </x:c>
      <x:c r="L1756" s="604" t="inlineStr">
        <x:is>
          <x:t xml:space="preserve"/>
        </x:is>
      </x:c>
      <x:c r="M1756" s="604" t="n">
        <x:v>1.140314218669499e-09</x:v>
      </x:c>
      <x:c r="N1756" s="604" t="inlineStr">
        <x:is>
          <x:t xml:space="preserve">V4 Shadow Only；real_money=false</x:t>
        </x:is>
      </x:c>
      <x:c r="O1756" s="604" t="inlineStr">
        <x:is>
          <x:t xml:space="preserve">0-0</x:t>
        </x:is>
      </x:c>
      <x:c r="P1756" s="604" t="inlineStr">
        <x:is>
          <x:t xml:space="preserve">EVALUATED</x:t>
        </x:is>
      </x:c>
      <x:c r="Q1756" s="630" t="inlineStr">
        <x:is>
          <x:t xml:space="preserve"/>
        </x:is>
      </x:c>
      <x:c r="R1756" s="604" t="n"/>
      <x:c r="S1756" s="604" t="n"/>
      <x:c r="T1756" s="604" t="inlineStr">
        <x:is>
          <x:t xml:space="preserve">D:\codex\v3_legacy\outputs\football_odds_trader\raw\titan007\20261009\20261009_085232_titan007_odds_snapshot.csv</x:t>
        </x:is>
      </x:c>
      <x:c r="U1756" s="628" t="inlineStr">
        <x:is>
          <x:t xml:space="preserve"/>
        </x:is>
      </x:c>
      <x:c r="V1756" s="604" t="inlineStr">
        <x:is>
          <x:t xml:space="preserve"/>
        </x:is>
      </x:c>
      <x:c r="W1756" s="604" t="inlineStr">
        <x:is>
          <x:t xml:space="preserve"/>
        </x:is>
      </x:c>
      <x:c r="X1756" s="604" t="inlineStr">
        <x:is>
          <x:t xml:space="preserve">3098126</x:t>
        </x:is>
      </x:c>
      <x:c r="Y1756" s="604" t="inlineStr">
        <x:is>
          <x:t xml:space="preserve">V4</x:t>
        </x:is>
      </x:c>
      <x:c r="Z1756" s="604" t="inlineStr">
        <x:is>
          <x:t xml:space="preserve">prior-2026-10-09-v1</x:t>
        </x:is>
      </x:c>
      <x:c r="AA1756" s="604" t="inlineStr">
        <x:is>
          <x:t xml:space="preserve">N</x:t>
        </x:is>
      </x:c>
      <x:c r="AB1756" s="604" t="n">
        <x:v>1.140314218669499e-09</x:v>
      </x:c>
      <x:c r="AC1756" s="604" t="n">
        <x:v>0.9999999279451679</x:v>
      </x:c>
      <x:c r="AD1756" s="604" t="n">
        <x:v>-4</x:v>
      </x:c>
      <x:c r="AE1756" s="604" t="n"/>
      <x:c r="AF1756" s="604" t="n"/>
      <x:c r="AG1756" s="604" t="n">
        <x:v>0.9499999304075953</x:v>
      </x:c>
      <x:c r="AH1756" s="604" t="n"/>
      <x:c r="AI1756" s="604" t="n"/>
      <x:c r="AJ1756" s="604" t="n">
        <x:v>0.9499999304075953</x:v>
      </x:c>
      <x:c r="AK1756" s="604" t="n"/>
      <x:c r="AL1756" s="604" t="n"/>
      <x:c r="AM1756" s="604" t="n"/>
      <x:c r="AN1756" s="604" t="inlineStr">
        <x:is>
          <x:t xml:space="preserve">EVALUATED</x:t>
        </x:is>
      </x:c>
      <x:c r="AO1756" s="604" t="inlineStr">
        <x:is>
          <x:t xml:space="preserve">LOW_QUALITY_GATE;BUCKET_PRIOR_ONLY;INTENT_INTERPRETATION_ONLY;FFL_OPTIONAL;EXPERT_MARKET</x:t>
        </x:is>
      </x:c>
      <x:c r="AP1756" s="604" t="inlineStr">
        <x:is>
          <x:t xml:space="preserve">51832d3beb0a4f860cc1</x:t>
        </x:is>
      </x:c>
      <x:c r="AQ1756" s="604" t="n"/>
      <x:c r="AR1756" s="604" t="n"/>
      <x:c r="AS1756" s="604" t="n">
        <x:v>-4</x:v>
      </x:c>
      <x:c r="AT1756" s="604" t="n">
        <x:v>4</x:v>
      </x:c>
      <x:c r="AU1756" s="604" t="n">
        <x:v>0.95</x:v>
      </x:c>
      <x:c r="AV1756" s="604" t="n">
        <x:v>0.85</x:v>
      </x:c>
      <x:c r="AW1756" s="604" t="inlineStr">
        <x:is>
          <x:t xml:space="preserve">2026-10-09T09:01:21.127001+08:00</x:t>
        </x:is>
      </x:c>
      <x:c r="AX1756" s="604" t="inlineStr">
        <x:is>
          <x:t xml:space="preserve">Titan007/V4</x:t>
        </x:is>
      </x:c>
      <x:c r="AY1756" s="604" t="inlineStr">
        <x:is>
          <x:t xml:space="preserve">Daily append；市场输入缺失时不生成决策</x:t>
        </x:is>
      </x:c>
    </x:row>
    <x:row r="1757" ht="22" customHeight="1">
      <x:c r="A1757" s="604" t="inlineStr">
        <x:is>
          <x:t xml:space="preserve">2026-10-09</x:t>
        </x:is>
      </x:c>
      <x:c r="B1757" s="604" t="inlineStr">
        <x:is>
          <x:t xml:space="preserve">2026-10-09T21:30:00+08:00</x:t>
        </x:is>
      </x:c>
      <x:c r="C1757" s="604" t="str">
        <x:v>欧洲非五大系列</x:v>
      </x:c>
      <x:c r="D1757" s="604" t="inlineStr">
        <x:is>
          <x:t xml:space="preserve"/>
        </x:is>
      </x:c>
      <x:c r="E1757" s="604" t="inlineStr">
        <x:is>
          <x:t xml:space="preserve">世女欧预</x:t>
        </x:is>
      </x:c>
      <x:c r="F1757" s="604" t="inlineStr">
        <x:is>
          <x:t xml:space="preserve">以色列女足 vs 瑞士女足</x:t>
        </x:is>
      </x:c>
      <x:c r="G1757" s="604" t="n"/>
      <x:c r="H1757" s="604" t="n"/>
      <x:c r="I1757" s="604" t="n"/>
      <x:c r="J1757" s="604" t="inlineStr">
        <x:is>
          <x:t xml:space="preserve">//</x:t>
        </x:is>
      </x:c>
      <x:c r="K1757" s="604" t="inlineStr">
        <x:is>
          <x:t xml:space="preserve">V4不可用：市场输入缺失</x:t>
        </x:is>
      </x:c>
      <x:c r="L1757" s="604" t="inlineStr">
        <x:is>
          <x:t xml:space="preserve"/>
        </x:is>
      </x:c>
      <x:c r="M1757" s="604" t="n"/>
      <x:c r="N1757" s="604" t="inlineStr">
        <x:is>
          <x:t xml:space="preserve">V4 Shadow Only；real_money=false</x:t>
        </x:is>
      </x:c>
      <x:c r="O1757" s="604" t="inlineStr">
        <x:is>
          <x:t xml:space="preserve">0-0</x:t>
        </x:is>
      </x:c>
      <x:c r="P1757" s="604" t="inlineStr">
        <x:is>
          <x:t xml:space="preserve">MISSING_DATA</x:t>
        </x:is>
      </x:c>
      <x:c r="Q1757" s="630" t="inlineStr">
        <x:is>
          <x:t xml:space="preserve"/>
        </x:is>
      </x:c>
      <x:c r="R1757" s="604" t="n"/>
      <x:c r="S1757" s="604" t="n"/>
      <x:c r="T1757" s="604" t="inlineStr">
        <x:is>
          <x:t xml:space="preserve">D:\codex\v3_legacy\outputs\football_odds_trader\raw\titan007\20261009\20261009_085232_titan007_odds_snapshot.csv</x:t>
        </x:is>
      </x:c>
      <x:c r="U1757" s="628" t="inlineStr">
        <x:is>
          <x:t xml:space="preserve"/>
        </x:is>
      </x:c>
      <x:c r="V1757" s="604" t="inlineStr">
        <x:is>
          <x:t xml:space="preserve"/>
        </x:is>
      </x:c>
      <x:c r="W1757" s="604" t="inlineStr">
        <x:is>
          <x:t xml:space="preserve"/>
        </x:is>
      </x:c>
      <x:c r="X1757" s="604" t="inlineStr">
        <x:is>
          <x:t xml:space="preserve">3098127</x:t>
        </x:is>
      </x:c>
      <x:c r="Y1757" s="604" t="inlineStr">
        <x:is>
          <x:t xml:space="preserve">V4</x:t>
        </x:is>
      </x:c>
      <x:c r="Z1757" s="604" t="inlineStr">
        <x:is>
          <x:t xml:space="preserve">prior-2026-10-09-v1</x:t>
        </x:is>
      </x:c>
      <x:c r="AA1757" s="604" t="inlineStr">
        <x:is>
          <x:t xml:space="preserve"/>
        </x:is>
      </x:c>
      <x:c r="AB1757" s="604" t="n"/>
      <x:c r="AC1757" s="604" t="n"/>
      <x:c r="AD1757" s="604" t="n"/>
      <x:c r="AE1757" s="604" t="n"/>
      <x:c r="AF1757" s="604" t="n"/>
      <x:c r="AG1757" s="604" t="n"/>
      <x:c r="AH1757" s="604" t="n"/>
      <x:c r="AI1757" s="604" t="n"/>
      <x:c r="AJ1757" s="604" t="n"/>
      <x:c r="AK1757" s="604" t="n"/>
      <x:c r="AL1757" s="604" t="n"/>
      <x:c r="AM1757" s="604" t="n"/>
      <x:c r="AN1757" s="604" t="inlineStr">
        <x:is>
          <x:t xml:space="preserve">MISSING_DATA</x:t>
        </x:is>
      </x:c>
      <x:c r="AO1757" s="604" t="inlineStr">
        <x:is>
          <x:t xml:space="preserve">REQUIRED_MARKET_INPUT_MISSING</x:t>
        </x:is>
      </x:c>
      <x:c r="AP1757" s="604" t="inlineStr">
        <x:is>
          <x:t xml:space="preserve">e3056948fd3eb2ab33c7</x:t>
        </x:is>
      </x:c>
      <x:c r="AQ1757" s="604" t="n"/>
      <x:c r="AR1757" s="604" t="n"/>
      <x:c r="AS1757" s="604" t="n"/>
      <x:c r="AT1757" s="604" t="n"/>
      <x:c r="AU1757" s="604" t="n"/>
      <x:c r="AV1757" s="604" t="n"/>
      <x:c r="AW1757" s="604" t="inlineStr">
        <x:is>
          <x:t xml:space="preserve">2026-10-09T09:01:21.127001+08:00</x:t>
        </x:is>
      </x:c>
      <x:c r="AX1757" s="604" t="inlineStr">
        <x:is>
          <x:t xml:space="preserve">Titan007/V4</x:t>
        </x:is>
      </x:c>
      <x:c r="AY1757" s="604" t="inlineStr">
        <x:is>
          <x:t xml:space="preserve">Daily append；市场输入缺失时不生成决策</x:t>
        </x:is>
      </x:c>
    </x:row>
    <x:row r="1758" ht="22" customHeight="1">
      <x:c r="A1758" s="604" t="inlineStr">
        <x:is>
          <x:t xml:space="preserve">2026-10-09</x:t>
        </x:is>
      </x:c>
      <x:c r="B1758" s="604" t="inlineStr">
        <x:is>
          <x:t xml:space="preserve">2026-10-10T00:45:00+08:00</x:t>
        </x:is>
      </x:c>
      <x:c r="C1758" s="604" t="str">
        <x:v>欧洲非五大系列</x:v>
      </x:c>
      <x:c r="D1758" s="604" t="inlineStr">
        <x:is>
          <x:t xml:space="preserve"/>
        </x:is>
      </x:c>
      <x:c r="E1758" s="604" t="inlineStr">
        <x:is>
          <x:t xml:space="preserve">世女欧预</x:t>
        </x:is>
      </x:c>
      <x:c r="F1758" s="604" t="inlineStr">
        <x:is>
          <x:t xml:space="preserve">克罗地亚女足 vs 冰岛女足</x:t>
        </x:is>
      </x:c>
      <x:c r="G1758" s="604" t="n">
        <x:v>0.75</x:v>
      </x:c>
      <x:c r="H1758" s="604" t="n">
        <x:v>-2.75</x:v>
      </x:c>
      <x:c r="I1758" s="604" t="n">
        <x:v>0.95</x:v>
      </x:c>
      <x:c r="J1758" s="604" t="inlineStr">
        <x:is>
          <x:t xml:space="preserve">0.75/-2.75/0.95</x:t>
        </x:is>
      </x:c>
      <x:c r="K1758" s="604" t="inlineStr">
        <x:is>
          <x:t xml:space="preserve">V4-N</x:t>
        </x:is>
      </x:c>
      <x:c r="L1758" s="604" t="inlineStr">
        <x:is>
          <x:t xml:space="preserve"/>
        </x:is>
      </x:c>
      <x:c r="M1758" s="604" t="n">
        <x:v>2.122480598520737e-06</x:v>
      </x:c>
      <x:c r="N1758" s="604" t="inlineStr">
        <x:is>
          <x:t xml:space="preserve">V4 Shadow Only；real_money=false</x:t>
        </x:is>
      </x:c>
      <x:c r="O1758" s="604" t="inlineStr">
        <x:is>
          <x:t xml:space="preserve">0-0</x:t>
        </x:is>
      </x:c>
      <x:c r="P1758" s="604" t="inlineStr">
        <x:is>
          <x:t xml:space="preserve">EVALUATED</x:t>
        </x:is>
      </x:c>
      <x:c r="Q1758" s="630" t="inlineStr">
        <x:is>
          <x:t xml:space="preserve"/>
        </x:is>
      </x:c>
      <x:c r="R1758" s="604" t="n"/>
      <x:c r="S1758" s="604" t="n"/>
      <x:c r="T1758" s="604" t="inlineStr">
        <x:is>
          <x:t xml:space="preserve">D:\codex\v3_legacy\outputs\football_odds_trader\raw\titan007\20261009\20261009_085232_titan007_odds_snapshot.csv</x:t>
        </x:is>
      </x:c>
      <x:c r="U1758" s="628" t="inlineStr">
        <x:is>
          <x:t xml:space="preserve"/>
        </x:is>
      </x:c>
      <x:c r="V1758" s="604" t="inlineStr">
        <x:is>
          <x:t xml:space="preserve"/>
        </x:is>
      </x:c>
      <x:c r="W1758" s="604" t="inlineStr">
        <x:is>
          <x:t xml:space="preserve"/>
        </x:is>
      </x:c>
      <x:c r="X1758" s="604" t="inlineStr">
        <x:is>
          <x:t xml:space="preserve">3098128</x:t>
        </x:is>
      </x:c>
      <x:c r="Y1758" s="604" t="inlineStr">
        <x:is>
          <x:t xml:space="preserve">V4</x:t>
        </x:is>
      </x:c>
      <x:c r="Z1758" s="604" t="inlineStr">
        <x:is>
          <x:t xml:space="preserve">prior-2026-10-09-v1</x:t>
        </x:is>
      </x:c>
      <x:c r="AA1758" s="604" t="inlineStr">
        <x:is>
          <x:t xml:space="preserve">N</x:t>
        </x:is>
      </x:c>
      <x:c r="AB1758" s="604" t="n">
        <x:v>2.122480598520737e-06</x:v>
      </x:c>
      <x:c r="AC1758" s="604" t="n">
        <x:v>0.9999958369903451</x:v>
      </x:c>
      <x:c r="AD1758" s="604" t="n">
        <x:v>-3.25</x:v>
      </x:c>
      <x:c r="AE1758" s="604" t="n"/>
      <x:c r="AF1758" s="604" t="n"/>
      <x:c r="AG1758" s="604" t="n">
        <x:v>0.7499947552621603</x:v>
      </x:c>
      <x:c r="AH1758" s="604" t="n"/>
      <x:c r="AI1758" s="604" t="n"/>
      <x:c r="AJ1758" s="604" t="n">
        <x:v>0.7499947552621603</x:v>
      </x:c>
      <x:c r="AK1758" s="604" t="n"/>
      <x:c r="AL1758" s="604" t="n"/>
      <x:c r="AM1758" s="604" t="n"/>
      <x:c r="AN1758" s="604" t="inlineStr">
        <x:is>
          <x:t xml:space="preserve">EVALUATED</x:t>
        </x:is>
      </x:c>
      <x:c r="AO1758" s="604" t="inlineStr">
        <x:is>
          <x:t xml:space="preserve">LOW_QUALITY_GATE;BUCKET_PRIOR_ONLY;INTENT_INTERPRETATION_ONLY;FFL_OPTIONAL;EXPERT_MARKET</x:t>
        </x:is>
      </x:c>
      <x:c r="AP1758" s="604" t="inlineStr">
        <x:is>
          <x:t xml:space="preserve">462dfd34555e9056ee69</x:t>
        </x:is>
      </x:c>
      <x:c r="AQ1758" s="604" t="n"/>
      <x:c r="AR1758" s="604" t="n"/>
      <x:c r="AS1758" s="604" t="n">
        <x:v>-2.75</x:v>
      </x:c>
      <x:c r="AT1758" s="604" t="n">
        <x:v>2.75</x:v>
      </x:c>
      <x:c r="AU1758" s="604" t="n">
        <x:v>0.75</x:v>
      </x:c>
      <x:c r="AV1758" s="604" t="n">
        <x:v>0.95</x:v>
      </x:c>
      <x:c r="AW1758" s="604" t="inlineStr">
        <x:is>
          <x:t xml:space="preserve">2026-10-09T09:01:21.127001+08:00</x:t>
        </x:is>
      </x:c>
      <x:c r="AX1758" s="604" t="inlineStr">
        <x:is>
          <x:t xml:space="preserve">Titan007/V4</x:t>
        </x:is>
      </x:c>
      <x:c r="AY1758" s="604" t="inlineStr">
        <x:is>
          <x:t xml:space="preserve">Daily append；市场输入缺失时不生成决策</x:t>
        </x:is>
      </x:c>
    </x:row>
    <x:row r="1759" ht="22" customHeight="1">
      <x:c r="A1759" s="604" t="inlineStr">
        <x:is>
          <x:t xml:space="preserve">2026-10-09</x:t>
        </x:is>
      </x:c>
      <x:c r="B1759" s="604" t="inlineStr">
        <x:is>
          <x:t xml:space="preserve">2026-10-10T01:00:00+08:00</x:t>
        </x:is>
      </x:c>
      <x:c r="C1759" s="604" t="str">
        <x:v>欧洲非五大系列</x:v>
      </x:c>
      <x:c r="D1759" s="604" t="inlineStr">
        <x:is>
          <x:t xml:space="preserve"/>
        </x:is>
      </x:c>
      <x:c r="E1759" s="604" t="inlineStr">
        <x:is>
          <x:t xml:space="preserve">世女欧预</x:t>
        </x:is>
      </x:c>
      <x:c r="F1759" s="604" t="inlineStr">
        <x:is>
          <x:t xml:space="preserve">捷克女足 vs 苏格兰女足</x:t>
        </x:is>
      </x:c>
      <x:c r="G1759" s="604" t="n">
        <x:v>0.78</x:v>
      </x:c>
      <x:c r="H1759" s="604" t="n">
        <x:v>-0.25</x:v>
      </x:c>
      <x:c r="I1759" s="604" t="n">
        <x:v>0.92</x:v>
      </x:c>
      <x:c r="J1759" s="604" t="inlineStr">
        <x:is>
          <x:t xml:space="preserve">0.78/-0.25/0.92</x:t>
        </x:is>
      </x:c>
      <x:c r="K1759" s="604" t="inlineStr">
        <x:is>
          <x:t xml:space="preserve">V4-N</x:t>
        </x:is>
      </x:c>
      <x:c r="L1759" s="604" t="inlineStr">
        <x:is>
          <x:t xml:space="preserve"/>
        </x:is>
      </x:c>
      <x:c r="M1759" s="604" t="n">
        <x:v>0.3027111193936264</x:v>
      </x:c>
      <x:c r="N1759" s="604" t="inlineStr">
        <x:is>
          <x:t xml:space="preserve">V4 Shadow Only；real_money=false</x:t>
        </x:is>
      </x:c>
      <x:c r="O1759" s="604" t="inlineStr">
        <x:is>
          <x:t xml:space="preserve">0-0</x:t>
        </x:is>
      </x:c>
      <x:c r="P1759" s="604" t="inlineStr">
        <x:is>
          <x:t xml:space="preserve">EVALUATED</x:t>
        </x:is>
      </x:c>
      <x:c r="Q1759" s="630" t="inlineStr">
        <x:is>
          <x:t xml:space="preserve"/>
        </x:is>
      </x:c>
      <x:c r="R1759" s="604" t="n"/>
      <x:c r="S1759" s="604" t="n"/>
      <x:c r="T1759" s="604" t="inlineStr">
        <x:is>
          <x:t xml:space="preserve">D:\codex\v3_legacy\outputs\football_odds_trader\raw\titan007\20261009\20261009_085232_titan007_odds_snapshot.csv</x:t>
        </x:is>
      </x:c>
      <x:c r="U1759" s="628" t="inlineStr">
        <x:is>
          <x:t xml:space="preserve"/>
        </x:is>
      </x:c>
      <x:c r="V1759" s="604" t="inlineStr">
        <x:is>
          <x:t xml:space="preserve"/>
        </x:is>
      </x:c>
      <x:c r="W1759" s="604" t="inlineStr">
        <x:is>
          <x:t xml:space="preserve"/>
        </x:is>
      </x:c>
      <x:c r="X1759" s="604" t="inlineStr">
        <x:is>
          <x:t xml:space="preserve">3098129</x:t>
        </x:is>
      </x:c>
      <x:c r="Y1759" s="604" t="inlineStr">
        <x:is>
          <x:t xml:space="preserve">V4</x:t>
        </x:is>
      </x:c>
      <x:c r="Z1759" s="604" t="inlineStr">
        <x:is>
          <x:t xml:space="preserve">prior-2026-10-09-v1</x:t>
        </x:is>
      </x:c>
      <x:c r="AA1759" s="604" t="inlineStr">
        <x:is>
          <x:t xml:space="preserve">N</x:t>
        </x:is>
      </x:c>
      <x:c r="AB1759" s="604" t="n">
        <x:v>0.3027111193936264</x:v>
      </x:c>
      <x:c r="AC1759" s="604" t="n">
        <x:v>0.5667771136957616</x:v>
      </x:c>
      <x:c r="AD1759" s="604" t="n">
        <x:v>-0.25</x:v>
      </x:c>
      <x:c r="AE1759" s="604" t="n"/>
      <x:c r="AF1759" s="604" t="n"/>
      <x:c r="AG1759" s="604" t="n">
        <x:v>0.1393750292890676</x:v>
      </x:c>
      <x:c r="AH1759" s="604" t="n"/>
      <x:c r="AI1759" s="604" t="n"/>
      <x:c r="AJ1759" s="604" t="n">
        <x:v>0.1393750292890676</x:v>
      </x:c>
      <x:c r="AK1759" s="604" t="n"/>
      <x:c r="AL1759" s="604" t="n"/>
      <x:c r="AM1759" s="604" t="n"/>
      <x:c r="AN1759" s="604" t="inlineStr">
        <x:is>
          <x:t xml:space="preserve">EVALUATED</x:t>
        </x:is>
      </x:c>
      <x:c r="AO1759" s="604" t="inlineStr">
        <x:is>
          <x:t xml:space="preserve">LOW_QUALITY_GATE;BUCKET_PRIOR_ONLY;INTENT_INTERPRETATION_ONLY;FFL_OPTIONAL;EXPERT_MARKET</x:t>
        </x:is>
      </x:c>
      <x:c r="AP1759" s="604" t="inlineStr">
        <x:is>
          <x:t xml:space="preserve">c64525fd92a61e292c5c</x:t>
        </x:is>
      </x:c>
      <x:c r="AQ1759" s="604" t="n"/>
      <x:c r="AR1759" s="604" t="n"/>
      <x:c r="AS1759" s="604" t="n">
        <x:v>-0.25</x:v>
      </x:c>
      <x:c r="AT1759" s="604" t="n">
        <x:v>0.25</x:v>
      </x:c>
      <x:c r="AU1759" s="604" t="n">
        <x:v>0.78</x:v>
      </x:c>
      <x:c r="AV1759" s="604" t="n">
        <x:v>0.92</x:v>
      </x:c>
      <x:c r="AW1759" s="604" t="inlineStr">
        <x:is>
          <x:t xml:space="preserve">2026-10-09T09:01:21.127001+08:00</x:t>
        </x:is>
      </x:c>
      <x:c r="AX1759" s="604" t="inlineStr">
        <x:is>
          <x:t xml:space="preserve">Titan007/V4</x:t>
        </x:is>
      </x:c>
      <x:c r="AY1759" s="604" t="inlineStr">
        <x:is>
          <x:t xml:space="preserve">Daily append；市场输入缺失时不生成决策</x:t>
        </x:is>
      </x:c>
    </x:row>
    <x:row r="1760" ht="22" customHeight="1">
      <x:c r="A1760" s="604" t="inlineStr">
        <x:is>
          <x:t xml:space="preserve">2026-10-09</x:t>
        </x:is>
      </x:c>
      <x:c r="B1760" s="604" t="inlineStr">
        <x:is>
          <x:t xml:space="preserve">2026-10-10T01:00:00+08:00</x:t>
        </x:is>
      </x:c>
      <x:c r="C1760" s="604" t="str">
        <x:v>欧洲非五大系列</x:v>
      </x:c>
      <x:c r="D1760" s="604" t="inlineStr">
        <x:is>
          <x:t xml:space="preserve"/>
        </x:is>
      </x:c>
      <x:c r="E1760" s="604" t="inlineStr">
        <x:is>
          <x:t xml:space="preserve">世女欧预</x:t>
        </x:is>
      </x:c>
      <x:c r="F1760" s="604" t="inlineStr">
        <x:is>
          <x:t xml:space="preserve">罗马尼亚女足 vs 挪威女足</x:t>
        </x:is>
      </x:c>
      <x:c r="G1760" s="604" t="n">
        <x:v>0.7</x:v>
      </x:c>
      <x:c r="H1760" s="604" t="n">
        <x:v>-2.75</x:v>
      </x:c>
      <x:c r="I1760" s="604" t="n">
        <x:v>1</x:v>
      </x:c>
      <x:c r="J1760" s="604" t="inlineStr">
        <x:is>
          <x:t xml:space="preserve">0.7/-2.75/1.0</x:t>
        </x:is>
      </x:c>
      <x:c r="K1760" s="604" t="inlineStr">
        <x:is>
          <x:t xml:space="preserve">V4-N</x:t>
        </x:is>
      </x:c>
      <x:c r="L1760" s="604" t="inlineStr">
        <x:is>
          <x:t xml:space="preserve"/>
        </x:is>
      </x:c>
      <x:c r="M1760" s="604" t="n">
        <x:v>1.909558445918954e-06</x:v>
      </x:c>
      <x:c r="N1760" s="604" t="inlineStr">
        <x:is>
          <x:t xml:space="preserve">V4 Shadow Only；real_money=false</x:t>
        </x:is>
      </x:c>
      <x:c r="O1760" s="604" t="inlineStr">
        <x:is>
          <x:t xml:space="preserve">0-0</x:t>
        </x:is>
      </x:c>
      <x:c r="P1760" s="604" t="inlineStr">
        <x:is>
          <x:t xml:space="preserve">EVALUATED</x:t>
        </x:is>
      </x:c>
      <x:c r="Q1760" s="630" t="inlineStr">
        <x:is>
          <x:t xml:space="preserve"/>
        </x:is>
      </x:c>
      <x:c r="R1760" s="604" t="n"/>
      <x:c r="S1760" s="604" t="n"/>
      <x:c r="T1760" s="604" t="inlineStr">
        <x:is>
          <x:t xml:space="preserve">D:\codex\v3_legacy\outputs\football_odds_trader\raw\titan007\20261009\20261009_085232_titan007_odds_snapshot.csv</x:t>
        </x:is>
      </x:c>
      <x:c r="U1760" s="628" t="inlineStr">
        <x:is>
          <x:t xml:space="preserve"/>
        </x:is>
      </x:c>
      <x:c r="V1760" s="604" t="inlineStr">
        <x:is>
          <x:t xml:space="preserve"/>
        </x:is>
      </x:c>
      <x:c r="W1760" s="604" t="inlineStr">
        <x:is>
          <x:t xml:space="preserve"/>
        </x:is>
      </x:c>
      <x:c r="X1760" s="604" t="inlineStr">
        <x:is>
          <x:t xml:space="preserve">3098130</x:t>
        </x:is>
      </x:c>
      <x:c r="Y1760" s="604" t="inlineStr">
        <x:is>
          <x:t xml:space="preserve">V4</x:t>
        </x:is>
      </x:c>
      <x:c r="Z1760" s="604" t="inlineStr">
        <x:is>
          <x:t xml:space="preserve">prior-2026-10-09-v1</x:t>
        </x:is>
      </x:c>
      <x:c r="AA1760" s="604" t="inlineStr">
        <x:is>
          <x:t xml:space="preserve">N</x:t>
        </x:is>
      </x:c>
      <x:c r="AB1760" s="604" t="n">
        <x:v>1.909558445918954e-06</x:v>
      </x:c>
      <x:c r="AC1760" s="604" t="n">
        <x:v>0.9999962545833446</x:v>
      </x:c>
      <x:c r="AD1760" s="604" t="n">
        <x:v>-3.5</x:v>
      </x:c>
      <x:c r="AE1760" s="604" t="n"/>
      <x:c r="AF1760" s="604" t="n"/>
      <x:c r="AG1760" s="604" t="n">
        <x:v>0.6999954686498953</x:v>
      </x:c>
      <x:c r="AH1760" s="604" t="n"/>
      <x:c r="AI1760" s="604" t="n"/>
      <x:c r="AJ1760" s="604" t="n">
        <x:v>0.6999954686498953</x:v>
      </x:c>
      <x:c r="AK1760" s="604" t="n"/>
      <x:c r="AL1760" s="604" t="n"/>
      <x:c r="AM1760" s="604" t="n"/>
      <x:c r="AN1760" s="604" t="inlineStr">
        <x:is>
          <x:t xml:space="preserve">EVALUATED</x:t>
        </x:is>
      </x:c>
      <x:c r="AO1760" s="604" t="inlineStr">
        <x:is>
          <x:t xml:space="preserve">LOW_QUALITY_GATE;BUCKET_PRIOR_ONLY;INTENT_INTERPRETATION_ONLY;FFL_OPTIONAL;EXPERT_MARKET</x:t>
        </x:is>
      </x:c>
      <x:c r="AP1760" s="604" t="inlineStr">
        <x:is>
          <x:t xml:space="preserve">77ff27ed5d18f21e501e</x:t>
        </x:is>
      </x:c>
      <x:c r="AQ1760" s="604" t="n"/>
      <x:c r="AR1760" s="604" t="n"/>
      <x:c r="AS1760" s="604" t="n">
        <x:v>-2.75</x:v>
      </x:c>
      <x:c r="AT1760" s="604" t="n">
        <x:v>2.75</x:v>
      </x:c>
      <x:c r="AU1760" s="604" t="n">
        <x:v>0.7</x:v>
      </x:c>
      <x:c r="AV1760" s="604" t="n">
        <x:v>1</x:v>
      </x:c>
      <x:c r="AW1760" s="604" t="inlineStr">
        <x:is>
          <x:t xml:space="preserve">2026-10-09T09:01:21.127001+08:00</x:t>
        </x:is>
      </x:c>
      <x:c r="AX1760" s="604" t="inlineStr">
        <x:is>
          <x:t xml:space="preserve">Titan007/V4</x:t>
        </x:is>
      </x:c>
      <x:c r="AY1760" s="604" t="inlineStr">
        <x:is>
          <x:t xml:space="preserve">Daily append；市场输入缺失时不生成决策</x:t>
        </x:is>
      </x:c>
    </x:row>
    <x:row r="1761" ht="22" customHeight="1">
      <x:c r="A1761" s="604" t="inlineStr">
        <x:is>
          <x:t xml:space="preserve">2026-10-09</x:t>
        </x:is>
      </x:c>
      <x:c r="B1761" s="604" t="inlineStr">
        <x:is>
          <x:t xml:space="preserve">2026-10-10T02:00:00+08:00</x:t>
        </x:is>
      </x:c>
      <x:c r="C1761" s="604" t="str">
        <x:v>欧洲非五大系列</x:v>
      </x:c>
      <x:c r="D1761" s="604" t="inlineStr">
        <x:is>
          <x:t xml:space="preserve"/>
        </x:is>
      </x:c>
      <x:c r="E1761" s="604" t="inlineStr">
        <x:is>
          <x:t xml:space="preserve">世女欧预</x:t>
        </x:is>
      </x:c>
      <x:c r="F1761" s="604" t="inlineStr">
        <x:is>
          <x:t xml:space="preserve">匈牙利女足 vs 荷兰女足</x:t>
        </x:is>
      </x:c>
      <x:c r="G1761" s="604" t="n">
        <x:v>0.85</x:v>
      </x:c>
      <x:c r="H1761" s="604" t="n">
        <x:v>-2.5</x:v>
      </x:c>
      <x:c r="I1761" s="604" t="n">
        <x:v>0.85</x:v>
      </x:c>
      <x:c r="J1761" s="604" t="inlineStr">
        <x:is>
          <x:t xml:space="preserve">0.85/-2.5/0.85</x:t>
        </x:is>
      </x:c>
      <x:c r="K1761" s="604" t="inlineStr">
        <x:is>
          <x:t xml:space="preserve">V4-N</x:t>
        </x:is>
      </x:c>
      <x:c r="L1761" s="604" t="inlineStr">
        <x:is>
          <x:t xml:space="preserve"/>
        </x:is>
      </x:c>
      <x:c r="M1761" s="604" t="n">
        <x:v>4.07736998712464e-06</x:v>
      </x:c>
      <x:c r="N1761" s="604" t="inlineStr">
        <x:is>
          <x:t xml:space="preserve">V4 Shadow Only；real_money=false</x:t>
        </x:is>
      </x:c>
      <x:c r="O1761" s="604" t="inlineStr">
        <x:is>
          <x:t xml:space="preserve">0-0</x:t>
        </x:is>
      </x:c>
      <x:c r="P1761" s="604" t="inlineStr">
        <x:is>
          <x:t xml:space="preserve">EVALUATED</x:t>
        </x:is>
      </x:c>
      <x:c r="Q1761" s="630" t="inlineStr">
        <x:is>
          <x:t xml:space="preserve"/>
        </x:is>
      </x:c>
      <x:c r="R1761" s="604" t="n"/>
      <x:c r="S1761" s="604" t="n"/>
      <x:c r="T1761" s="604" t="inlineStr">
        <x:is>
          <x:t xml:space="preserve">D:\codex\v3_legacy\outputs\football_odds_trader\raw\titan007\20261009\20261009_085232_titan007_odds_snapshot.csv</x:t>
        </x:is>
      </x:c>
      <x:c r="U1761" s="628" t="inlineStr">
        <x:is>
          <x:t xml:space="preserve"/>
        </x:is>
      </x:c>
      <x:c r="V1761" s="604" t="inlineStr">
        <x:is>
          <x:t xml:space="preserve"/>
        </x:is>
      </x:c>
      <x:c r="W1761" s="604" t="inlineStr">
        <x:is>
          <x:t xml:space="preserve"/>
        </x:is>
      </x:c>
      <x:c r="X1761" s="604" t="inlineStr">
        <x:is>
          <x:t xml:space="preserve">3098131</x:t>
        </x:is>
      </x:c>
      <x:c r="Y1761" s="604" t="inlineStr">
        <x:is>
          <x:t xml:space="preserve">V4</x:t>
        </x:is>
      </x:c>
      <x:c r="Z1761" s="604" t="inlineStr">
        <x:is>
          <x:t xml:space="preserve">prior-2026-10-09-v1</x:t>
        </x:is>
      </x:c>
      <x:c r="AA1761" s="604" t="inlineStr">
        <x:is>
          <x:t xml:space="preserve">N</x:t>
        </x:is>
      </x:c>
      <x:c r="AB1761" s="604" t="n">
        <x:v>4.07736998712464e-06</x:v>
      </x:c>
      <x:c r="AC1761" s="604" t="n">
        <x:v>0.9999959226300129</x:v>
      </x:c>
      <x:c r="AD1761" s="604" t="n">
        <x:v>-3.25</x:v>
      </x:c>
      <x:c r="AE1761" s="604" t="n"/>
      <x:c r="AF1761" s="604" t="n"/>
      <x:c r="AG1761" s="604" t="n">
        <x:v>0.8499924568655238</x:v>
      </x:c>
      <x:c r="AH1761" s="604" t="n"/>
      <x:c r="AI1761" s="604" t="n"/>
      <x:c r="AJ1761" s="604" t="n">
        <x:v>0.8499924568655238</x:v>
      </x:c>
      <x:c r="AK1761" s="604" t="n"/>
      <x:c r="AL1761" s="604" t="n"/>
      <x:c r="AM1761" s="604" t="n"/>
      <x:c r="AN1761" s="604" t="inlineStr">
        <x:is>
          <x:t xml:space="preserve">EVALUATED</x:t>
        </x:is>
      </x:c>
      <x:c r="AO1761" s="604" t="inlineStr">
        <x:is>
          <x:t xml:space="preserve">LOW_QUALITY_GATE;BUCKET_PRIOR_ONLY;INTENT_INTERPRETATION_ONLY;FFL_OPTIONAL;EXPERT_MARKET</x:t>
        </x:is>
      </x:c>
      <x:c r="AP1761" s="604" t="inlineStr">
        <x:is>
          <x:t xml:space="preserve">1649fff6bc104c17b1bb</x:t>
        </x:is>
      </x:c>
      <x:c r="AQ1761" s="604" t="n"/>
      <x:c r="AR1761" s="604" t="n"/>
      <x:c r="AS1761" s="604" t="n">
        <x:v>-2.5</x:v>
      </x:c>
      <x:c r="AT1761" s="604" t="n">
        <x:v>2.5</x:v>
      </x:c>
      <x:c r="AU1761" s="604" t="n">
        <x:v>0.85</x:v>
      </x:c>
      <x:c r="AV1761" s="604" t="n">
        <x:v>0.85</x:v>
      </x:c>
      <x:c r="AW1761" s="604" t="inlineStr">
        <x:is>
          <x:t xml:space="preserve">2026-10-09T09:01:21.127001+08:00</x:t>
        </x:is>
      </x:c>
      <x:c r="AX1761" s="604" t="inlineStr">
        <x:is>
          <x:t xml:space="preserve">Titan007/V4</x:t>
        </x:is>
      </x:c>
      <x:c r="AY1761" s="604" t="inlineStr">
        <x:is>
          <x:t xml:space="preserve">Daily append；市场输入缺失时不生成决策</x:t>
        </x:is>
      </x:c>
    </x:row>
    <x:row r="1762" ht="22" customHeight="1">
      <x:c r="A1762" s="604" t="inlineStr">
        <x:is>
          <x:t xml:space="preserve">2026-10-09</x:t>
        </x:is>
      </x:c>
      <x:c r="B1762" s="604" t="inlineStr">
        <x:is>
          <x:t xml:space="preserve">2026-10-10T02:00:00+08:00</x:t>
        </x:is>
      </x:c>
      <x:c r="C1762" s="604" t="str">
        <x:v>欧洲非五大系列</x:v>
      </x:c>
      <x:c r="D1762" s="604" t="inlineStr">
        <x:is>
          <x:t xml:space="preserve"/>
        </x:is>
      </x:c>
      <x:c r="E1762" s="604" t="inlineStr">
        <x:is>
          <x:t xml:space="preserve">世女欧预</x:t>
        </x:is>
      </x:c>
      <x:c r="F1762" s="604" t="inlineStr">
        <x:is>
          <x:t xml:space="preserve">北爱尔兰女足 vs 葡萄牙女足</x:t>
        </x:is>
      </x:c>
      <x:c r="G1762" s="604" t="n">
        <x:v>0.75</x:v>
      </x:c>
      <x:c r="H1762" s="604" t="n">
        <x:v>-1.75</x:v>
      </x:c>
      <x:c r="I1762" s="604" t="n">
        <x:v>0.95</x:v>
      </x:c>
      <x:c r="J1762" s="604" t="inlineStr">
        <x:is>
          <x:t xml:space="preserve">0.75/-1.75/0.95</x:t>
        </x:is>
      </x:c>
      <x:c r="K1762" s="604" t="inlineStr">
        <x:is>
          <x:t xml:space="preserve">V4-N</x:t>
        </x:is>
      </x:c>
      <x:c r="L1762" s="604" t="inlineStr">
        <x:is>
          <x:t xml:space="preserve"/>
        </x:is>
      </x:c>
      <x:c r="M1762" s="604" t="n">
        <x:v>0.0003905932605377951</x:v>
      </x:c>
      <x:c r="N1762" s="604" t="inlineStr">
        <x:is>
          <x:t xml:space="preserve">V4 Shadow Only；real_money=false</x:t>
        </x:is>
      </x:c>
      <x:c r="O1762" s="604" t="inlineStr">
        <x:is>
          <x:t xml:space="preserve">0-0</x:t>
        </x:is>
      </x:c>
      <x:c r="P1762" s="604" t="inlineStr">
        <x:is>
          <x:t xml:space="preserve">EVALUATED</x:t>
        </x:is>
      </x:c>
      <x:c r="Q1762" s="630" t="inlineStr">
        <x:is>
          <x:t xml:space="preserve"/>
        </x:is>
      </x:c>
      <x:c r="R1762" s="604" t="n"/>
      <x:c r="S1762" s="604" t="n"/>
      <x:c r="T1762" s="604" t="inlineStr">
        <x:is>
          <x:t xml:space="preserve">D:\codex\v3_legacy\outputs\football_odds_trader\raw\titan007\20261009\20261009_085232_titan007_odds_snapshot.csv</x:t>
        </x:is>
      </x:c>
      <x:c r="U1762" s="628" t="inlineStr">
        <x:is>
          <x:t xml:space="preserve"/>
        </x:is>
      </x:c>
      <x:c r="V1762" s="604" t="inlineStr">
        <x:is>
          <x:t xml:space="preserve"/>
        </x:is>
      </x:c>
      <x:c r="W1762" s="604" t="inlineStr">
        <x:is>
          <x:t xml:space="preserve"/>
        </x:is>
      </x:c>
      <x:c r="X1762" s="604" t="inlineStr">
        <x:is>
          <x:t xml:space="preserve">3098132</x:t>
        </x:is>
      </x:c>
      <x:c r="Y1762" s="604" t="inlineStr">
        <x:is>
          <x:t xml:space="preserve">V4</x:t>
        </x:is>
      </x:c>
      <x:c r="Z1762" s="604" t="inlineStr">
        <x:is>
          <x:t xml:space="preserve">prior-2026-10-09-v1</x:t>
        </x:is>
      </x:c>
      <x:c r="AA1762" s="604" t="inlineStr">
        <x:is>
          <x:t xml:space="preserve">N</x:t>
        </x:is>
      </x:c>
      <x:c r="AB1762" s="604" t="n">
        <x:v>0.0003905932605377951</x:v>
      </x:c>
      <x:c r="AC1762" s="604" t="n">
        <x:v>0.9992517239983735</x:v>
      </x:c>
      <x:c r="AD1762" s="604" t="n">
        <x:v>-2.5</x:v>
      </x:c>
      <x:c r="AE1762" s="604" t="n"/>
      <x:c r="AF1762" s="604" t="n"/>
      <x:c r="AG1762" s="604" t="n">
        <x:v>0.7490481997382423</x:v>
      </x:c>
      <x:c r="AH1762" s="604" t="n"/>
      <x:c r="AI1762" s="604" t="n"/>
      <x:c r="AJ1762" s="604" t="n">
        <x:v>0.7490481997382423</x:v>
      </x:c>
      <x:c r="AK1762" s="604" t="n"/>
      <x:c r="AL1762" s="604" t="n"/>
      <x:c r="AM1762" s="604" t="n"/>
      <x:c r="AN1762" s="604" t="inlineStr">
        <x:is>
          <x:t xml:space="preserve">EVALUATED</x:t>
        </x:is>
      </x:c>
      <x:c r="AO1762" s="604" t="inlineStr">
        <x:is>
          <x:t xml:space="preserve">LOW_QUALITY_GATE;BUCKET_PRIOR_ONLY;INTENT_INTERPRETATION_ONLY;FFL_OPTIONAL;EXPERT_MARKET</x:t>
        </x:is>
      </x:c>
      <x:c r="AP1762" s="604" t="inlineStr">
        <x:is>
          <x:t xml:space="preserve">cc6818c837ff9cf5959d</x:t>
        </x:is>
      </x:c>
      <x:c r="AQ1762" s="604" t="n"/>
      <x:c r="AR1762" s="604" t="n"/>
      <x:c r="AS1762" s="604" t="n">
        <x:v>-1.75</x:v>
      </x:c>
      <x:c r="AT1762" s="604" t="n">
        <x:v>1.75</x:v>
      </x:c>
      <x:c r="AU1762" s="604" t="n">
        <x:v>0.75</x:v>
      </x:c>
      <x:c r="AV1762" s="604" t="n">
        <x:v>0.95</x:v>
      </x:c>
      <x:c r="AW1762" s="604" t="inlineStr">
        <x:is>
          <x:t xml:space="preserve">2026-10-09T09:01:21.127001+08:00</x:t>
        </x:is>
      </x:c>
      <x:c r="AX1762" s="604" t="inlineStr">
        <x:is>
          <x:t xml:space="preserve">Titan007/V4</x:t>
        </x:is>
      </x:c>
      <x:c r="AY1762" s="604" t="inlineStr">
        <x:is>
          <x:t xml:space="preserve">Daily append；市场输入缺失时不生成决策</x:t>
        </x:is>
      </x:c>
    </x:row>
    <x:row r="1763" ht="22" customHeight="1">
      <x:c r="A1763" s="604" t="inlineStr">
        <x:is>
          <x:t xml:space="preserve">2026-10-09</x:t>
        </x:is>
      </x:c>
      <x:c r="B1763" s="604" t="inlineStr">
        <x:is>
          <x:t xml:space="preserve">2026-10-10T02:15:00+08:00</x:t>
        </x:is>
      </x:c>
      <x:c r="C1763" s="604" t="str">
        <x:v>欧洲非五大系列</x:v>
      </x:c>
      <x:c r="D1763" s="604" t="inlineStr">
        <x:is>
          <x:t xml:space="preserve"/>
        </x:is>
      </x:c>
      <x:c r="E1763" s="604" t="inlineStr">
        <x:is>
          <x:t xml:space="preserve">世女欧预</x:t>
        </x:is>
      </x:c>
      <x:c r="F1763" s="604" t="inlineStr">
        <x:is>
          <x:t xml:space="preserve">比利时女足 vs 波兰女足</x:t>
        </x:is>
      </x:c>
      <x:c r="G1763" s="604" t="n">
        <x:v>1</x:v>
      </x:c>
      <x:c r="H1763" s="604" t="n">
        <x:v>0.75</x:v>
      </x:c>
      <x:c r="I1763" s="604" t="n">
        <x:v>0.7</x:v>
      </x:c>
      <x:c r="J1763" s="604" t="inlineStr">
        <x:is>
          <x:t xml:space="preserve">1.0/0.75/0.7</x:t>
        </x:is>
      </x:c>
      <x:c r="K1763" s="604" t="inlineStr">
        <x:is>
          <x:t xml:space="preserve">V4-N</x:t>
        </x:is>
      </x:c>
      <x:c r="L1763" s="604" t="inlineStr">
        <x:is>
          <x:t xml:space="preserve"/>
        </x:is>
      </x:c>
      <x:c r="M1763" s="604" t="n">
        <x:v>0.4549120082594452</x:v>
      </x:c>
      <x:c r="N1763" s="604" t="inlineStr">
        <x:is>
          <x:t xml:space="preserve">V4 Shadow Only；real_money=false</x:t>
        </x:is>
      </x:c>
      <x:c r="O1763" s="604" t="inlineStr">
        <x:is>
          <x:t xml:space="preserve">0-0</x:t>
        </x:is>
      </x:c>
      <x:c r="P1763" s="604" t="inlineStr">
        <x:is>
          <x:t xml:space="preserve">EVALUATED</x:t>
        </x:is>
      </x:c>
      <x:c r="Q1763" s="630" t="inlineStr">
        <x:is>
          <x:t xml:space="preserve"/>
        </x:is>
      </x:c>
      <x:c r="R1763" s="604" t="n"/>
      <x:c r="S1763" s="604" t="n"/>
      <x:c r="T1763" s="604" t="inlineStr">
        <x:is>
          <x:t xml:space="preserve">D:\codex\v3_legacy\outputs\football_odds_trader\raw\titan007\20261009\20261009_085232_titan007_odds_snapshot.csv</x:t>
        </x:is>
      </x:c>
      <x:c r="U1763" s="628" t="inlineStr">
        <x:is>
          <x:t xml:space="preserve"/>
        </x:is>
      </x:c>
      <x:c r="V1763" s="604" t="inlineStr">
        <x:is>
          <x:t xml:space="preserve"/>
        </x:is>
      </x:c>
      <x:c r="W1763" s="604" t="inlineStr">
        <x:is>
          <x:t xml:space="preserve"/>
        </x:is>
      </x:c>
      <x:c r="X1763" s="604" t="inlineStr">
        <x:is>
          <x:t xml:space="preserve">3098133</x:t>
        </x:is>
      </x:c>
      <x:c r="Y1763" s="604" t="inlineStr">
        <x:is>
          <x:t xml:space="preserve">V4</x:t>
        </x:is>
      </x:c>
      <x:c r="Z1763" s="604" t="inlineStr">
        <x:is>
          <x:t xml:space="preserve">prior-2026-10-09-v1</x:t>
        </x:is>
      </x:c>
      <x:c r="AA1763" s="604" t="inlineStr">
        <x:is>
          <x:t xml:space="preserve">N</x:t>
        </x:is>
      </x:c>
      <x:c r="AB1763" s="604" t="n">
        <x:v>0.4549120082594452</x:v>
      </x:c>
      <x:c r="AC1763" s="604" t="n">
        <x:v>0.4190176653175619</x:v>
      </x:c>
      <x:c r="AD1763" s="604" t="n">
        <x:v>1</x:v>
      </x:c>
      <x:c r="AE1763" s="604" t="n"/>
      <x:c r="AF1763" s="604" t="n"/>
      <x:c r="AG1763" s="604" t="n">
        <x:v>0.03589434294188332</x:v>
      </x:c>
      <x:c r="AH1763" s="604" t="n"/>
      <x:c r="AI1763" s="604" t="n"/>
      <x:c r="AJ1763" s="604" t="n">
        <x:v>0.03589434294188332</x:v>
      </x:c>
      <x:c r="AK1763" s="604" t="n"/>
      <x:c r="AL1763" s="604" t="n"/>
      <x:c r="AM1763" s="604" t="n"/>
      <x:c r="AN1763" s="604" t="inlineStr">
        <x:is>
          <x:t xml:space="preserve">EVALUATED</x:t>
        </x:is>
      </x:c>
      <x:c r="AO1763" s="604" t="inlineStr">
        <x:is>
          <x:t xml:space="preserve">EDGE_BELOW_UNCERTAINTY_THRESHOLD;BUCKET_PRIOR_ONLY;INTENT_INTERPRETATION_ONLY;FFL_OPTIONAL;EXPERT_MARKET</x:t>
        </x:is>
      </x:c>
      <x:c r="AP1763" s="604" t="inlineStr">
        <x:is>
          <x:t xml:space="preserve">e4568c02c22608cda245</x:t>
        </x:is>
      </x:c>
      <x:c r="AQ1763" s="604" t="n"/>
      <x:c r="AR1763" s="604" t="n"/>
      <x:c r="AS1763" s="604" t="n">
        <x:v>0.75</x:v>
      </x:c>
      <x:c r="AT1763" s="604" t="n">
        <x:v>-0.75</x:v>
      </x:c>
      <x:c r="AU1763" s="604" t="n">
        <x:v>1</x:v>
      </x:c>
      <x:c r="AV1763" s="604" t="n">
        <x:v>0.7</x:v>
      </x:c>
      <x:c r="AW1763" s="604" t="inlineStr">
        <x:is>
          <x:t xml:space="preserve">2026-10-09T09:01:21.127001+08:00</x:t>
        </x:is>
      </x:c>
      <x:c r="AX1763" s="604" t="inlineStr">
        <x:is>
          <x:t xml:space="preserve">Titan007/V4</x:t>
        </x:is>
      </x:c>
      <x:c r="AY1763" s="604" t="inlineStr">
        <x:is>
          <x:t xml:space="preserve">Daily append；市场输入缺失时不生成决策</x:t>
        </x:is>
      </x:c>
    </x:row>
    <x:row r="1764" ht="22" customHeight="1">
      <x:c r="A1764" s="604" t="inlineStr">
        <x:is>
          <x:t xml:space="preserve">2026-10-09</x:t>
        </x:is>
      </x:c>
      <x:c r="B1764" s="604" t="inlineStr">
        <x:is>
          <x:t xml:space="preserve">2026-10-10T09:30:00+08:00</x:t>
        </x:is>
      </x:c>
      <x:c r="C1764" s="604" t="str">
        <x:v>北美系列</x:v>
      </x:c>
      <x:c r="D1764" s="604" t="inlineStr">
        <x:is>
          <x:t xml:space="preserve"/>
        </x:is>
      </x:c>
      <x:c r="E1764" s="604" t="inlineStr">
        <x:is>
          <x:t xml:space="preserve">墨西乙A</x:t>
        </x:is>
      </x:c>
      <x:c r="F1764" s="604" t="inlineStr">
        <x:is>
          <x:t xml:space="preserve">阿卡特兰 vs 弗雷斯尼洛</x:t>
        </x:is>
      </x:c>
      <x:c r="G1764" s="604" t="n"/>
      <x:c r="H1764" s="604" t="n"/>
      <x:c r="I1764" s="604" t="n"/>
      <x:c r="J1764" s="604" t="inlineStr">
        <x:is>
          <x:t xml:space="preserve">//</x:t>
        </x:is>
      </x:c>
      <x:c r="K1764" s="604" t="inlineStr">
        <x:is>
          <x:t xml:space="preserve">V4不可用：市场输入缺失</x:t>
        </x:is>
      </x:c>
      <x:c r="L1764" s="604" t="inlineStr">
        <x:is>
          <x:t xml:space="preserve"/>
        </x:is>
      </x:c>
      <x:c r="M1764" s="604" t="n"/>
      <x:c r="N1764" s="604" t="inlineStr">
        <x:is>
          <x:t xml:space="preserve">V4 Shadow Only；real_money=false</x:t>
        </x:is>
      </x:c>
      <x:c r="O1764" s="604" t="inlineStr">
        <x:is>
          <x:t xml:space="preserve">0-0</x:t>
        </x:is>
      </x:c>
      <x:c r="P1764" s="604" t="inlineStr">
        <x:is>
          <x:t xml:space="preserve">MISSING_DATA</x:t>
        </x:is>
      </x:c>
      <x:c r="Q1764" s="630" t="inlineStr">
        <x:is>
          <x:t xml:space="preserve"/>
        </x:is>
      </x:c>
      <x:c r="R1764" s="604" t="n"/>
      <x:c r="S1764" s="604" t="n"/>
      <x:c r="T1764" s="604" t="inlineStr">
        <x:is>
          <x:t xml:space="preserve">D:\codex\v3_legacy\outputs\football_odds_trader\raw\titan007\20261009\20261009_085232_titan007_odds_snapshot.csv</x:t>
        </x:is>
      </x:c>
      <x:c r="U1764" s="628" t="inlineStr">
        <x:is>
          <x:t xml:space="preserve"/>
        </x:is>
      </x:c>
      <x:c r="V1764" s="604" t="inlineStr">
        <x:is>
          <x:t xml:space="preserve"/>
        </x:is>
      </x:c>
      <x:c r="W1764" s="604" t="inlineStr">
        <x:is>
          <x:t xml:space="preserve"/>
        </x:is>
      </x:c>
      <x:c r="X1764" s="604" t="inlineStr">
        <x:is>
          <x:t xml:space="preserve">3098273</x:t>
        </x:is>
      </x:c>
      <x:c r="Y1764" s="604" t="inlineStr">
        <x:is>
          <x:t xml:space="preserve">V4</x:t>
        </x:is>
      </x:c>
      <x:c r="Z1764" s="604" t="inlineStr">
        <x:is>
          <x:t xml:space="preserve">prior-2026-10-09-v1</x:t>
        </x:is>
      </x:c>
      <x:c r="AA1764" s="604" t="inlineStr">
        <x:is>
          <x:t xml:space="preserve"/>
        </x:is>
      </x:c>
      <x:c r="AB1764" s="604" t="n"/>
      <x:c r="AC1764" s="604" t="n"/>
      <x:c r="AD1764" s="604" t="n"/>
      <x:c r="AE1764" s="604" t="n"/>
      <x:c r="AF1764" s="604" t="n"/>
      <x:c r="AG1764" s="604" t="n"/>
      <x:c r="AH1764" s="604" t="n"/>
      <x:c r="AI1764" s="604" t="n"/>
      <x:c r="AJ1764" s="604" t="n"/>
      <x:c r="AK1764" s="604" t="n"/>
      <x:c r="AL1764" s="604" t="n"/>
      <x:c r="AM1764" s="604" t="n"/>
      <x:c r="AN1764" s="604" t="inlineStr">
        <x:is>
          <x:t xml:space="preserve">MISSING_DATA</x:t>
        </x:is>
      </x:c>
      <x:c r="AO1764" s="604" t="inlineStr">
        <x:is>
          <x:t xml:space="preserve">REQUIRED_MARKET_INPUT_MISSING</x:t>
        </x:is>
      </x:c>
      <x:c r="AP1764" s="604" t="inlineStr">
        <x:is>
          <x:t xml:space="preserve">98c1f6dab5d437b21218</x:t>
        </x:is>
      </x:c>
      <x:c r="AQ1764" s="604" t="n"/>
      <x:c r="AR1764" s="604" t="n"/>
      <x:c r="AS1764" s="604" t="n"/>
      <x:c r="AT1764" s="604" t="n"/>
      <x:c r="AU1764" s="604" t="n"/>
      <x:c r="AV1764" s="604" t="n"/>
      <x:c r="AW1764" s="604" t="inlineStr">
        <x:is>
          <x:t xml:space="preserve">2026-10-09T09:01:21.127001+08:00</x:t>
        </x:is>
      </x:c>
      <x:c r="AX1764" s="604" t="inlineStr">
        <x:is>
          <x:t xml:space="preserve">Titan007/V4</x:t>
        </x:is>
      </x:c>
      <x:c r="AY1764" s="604" t="inlineStr">
        <x:is>
          <x:t xml:space="preserve">Daily append；市场输入缺失时不生成决策</x:t>
        </x:is>
      </x:c>
    </x:row>
    <x:row r="1765" ht="22" customHeight="1">
      <x:c r="A1765" s="604" t="inlineStr">
        <x:is>
          <x:t xml:space="preserve">2026-10-09</x:t>
        </x:is>
      </x:c>
      <x:c r="B1765" s="604" t="inlineStr">
        <x:is>
          <x:t xml:space="preserve">2026-10-10T09:30:00+08:00</x:t>
        </x:is>
      </x:c>
      <x:c r="C1765" s="604" t="str">
        <x:v>其他系列</x:v>
      </x:c>
      <x:c r="D1765" s="604" t="inlineStr">
        <x:is>
          <x:t xml:space="preserve"/>
        </x:is>
      </x:c>
      <x:c r="E1765" s="604" t="inlineStr">
        <x:is>
          <x:t xml:space="preserve">国际友谊</x:t>
        </x:is>
      </x:c>
      <x:c r="F1765" s="604" t="inlineStr">
        <x:is>
          <x:t xml:space="preserve">萨尔瓦多女足 vs 巴拉圭女足</x:t>
        </x:is>
      </x:c>
      <x:c r="G1765" s="604" t="n">
        <x:v>0.8</x:v>
      </x:c>
      <x:c r="H1765" s="604" t="n">
        <x:v>0.25</x:v>
      </x:c>
      <x:c r="I1765" s="604" t="n">
        <x:v>1</x:v>
      </x:c>
      <x:c r="J1765" s="604" t="inlineStr">
        <x:is>
          <x:t xml:space="preserve">0.8/0.25/1.0</x:t>
        </x:is>
      </x:c>
      <x:c r="K1765" s="604" t="inlineStr">
        <x:is>
          <x:t xml:space="preserve">V4-N</x:t>
        </x:is>
      </x:c>
      <x:c r="L1765" s="604" t="inlineStr">
        <x:is>
          <x:t xml:space="preserve"/>
        </x:is>
      </x:c>
      <x:c r="M1765" s="604" t="n">
        <x:v>0.4973603553925977</x:v>
      </x:c>
      <x:c r="N1765" s="604" t="inlineStr">
        <x:is>
          <x:t xml:space="preserve">V4 Shadow Only；real_money=false</x:t>
        </x:is>
      </x:c>
      <x:c r="O1765" s="604" t="inlineStr">
        <x:is>
          <x:t xml:space="preserve">0-0</x:t>
        </x:is>
      </x:c>
      <x:c r="P1765" s="604" t="inlineStr">
        <x:is>
          <x:t xml:space="preserve">EVALUATED</x:t>
        </x:is>
      </x:c>
      <x:c r="Q1765" s="630" t="inlineStr">
        <x:is>
          <x:t xml:space="preserve"/>
        </x:is>
      </x:c>
      <x:c r="R1765" s="604" t="n"/>
      <x:c r="S1765" s="604" t="n"/>
      <x:c r="T1765" s="604" t="inlineStr">
        <x:is>
          <x:t xml:space="preserve">D:\codex\v3_legacy\outputs\football_odds_trader\raw\titan007\20261009\20261009_085232_titan007_odds_snapshot.csv</x:t>
        </x:is>
      </x:c>
      <x:c r="U1765" s="628" t="inlineStr">
        <x:is>
          <x:t xml:space="preserve"/>
        </x:is>
      </x:c>
      <x:c r="V1765" s="604" t="inlineStr">
        <x:is>
          <x:t xml:space="preserve"/>
        </x:is>
      </x:c>
      <x:c r="W1765" s="604" t="inlineStr">
        <x:is>
          <x:t xml:space="preserve"/>
        </x:is>
      </x:c>
      <x:c r="X1765" s="604" t="inlineStr">
        <x:is>
          <x:t xml:space="preserve">3098336</x:t>
        </x:is>
      </x:c>
      <x:c r="Y1765" s="604" t="inlineStr">
        <x:is>
          <x:t xml:space="preserve">V4</x:t>
        </x:is>
      </x:c>
      <x:c r="Z1765" s="604" t="inlineStr">
        <x:is>
          <x:t xml:space="preserve">prior-2026-10-09-v1</x:t>
        </x:is>
      </x:c>
      <x:c r="AA1765" s="604" t="inlineStr">
        <x:is>
          <x:t xml:space="preserve">N</x:t>
        </x:is>
      </x:c>
      <x:c r="AB1765" s="604" t="n">
        <x:v>0.4973603553925977</x:v>
      </x:c>
      <x:c r="AC1765" s="604" t="n">
        <x:v>0.3765598701678766</x:v>
      </x:c>
      <x:c r="AD1765" s="604" t="n">
        <x:v>0.5</x:v>
      </x:c>
      <x:c r="AE1765" s="604" t="n"/>
      <x:c r="AF1765" s="604" t="n"/>
      <x:c r="AG1765" s="604" t="n">
        <x:v>0.02132841414620146</x:v>
      </x:c>
      <x:c r="AH1765" s="604" t="n"/>
      <x:c r="AI1765" s="604" t="n"/>
      <x:c r="AJ1765" s="604" t="n">
        <x:v>0.02132841414620146</x:v>
      </x:c>
      <x:c r="AK1765" s="604" t="n"/>
      <x:c r="AL1765" s="604" t="n"/>
      <x:c r="AM1765" s="604" t="n"/>
      <x:c r="AN1765" s="604" t="inlineStr">
        <x:is>
          <x:t xml:space="preserve">EVALUATED</x:t>
        </x:is>
      </x:c>
      <x:c r="AO1765" s="604" t="inlineStr">
        <x:is>
          <x:t xml:space="preserve">EDGE_BELOW_UNCERTAINTY_THRESHOLD;BUCKET_PRIOR_ONLY;INTENT_INTERPRETATION_ONLY;FFL_OPTIONAL;EXPERT_MARKET</x:t>
        </x:is>
      </x:c>
      <x:c r="AP1765" s="604" t="inlineStr">
        <x:is>
          <x:t xml:space="preserve">a942e1a60fd551595282</x:t>
        </x:is>
      </x:c>
      <x:c r="AQ1765" s="604" t="n"/>
      <x:c r="AR1765" s="604" t="n"/>
      <x:c r="AS1765" s="604" t="n">
        <x:v>0.25</x:v>
      </x:c>
      <x:c r="AT1765" s="604" t="n">
        <x:v>-0.25</x:v>
      </x:c>
      <x:c r="AU1765" s="604" t="n">
        <x:v>0.8</x:v>
      </x:c>
      <x:c r="AV1765" s="604" t="n">
        <x:v>1</x:v>
      </x:c>
      <x:c r="AW1765" s="604" t="inlineStr">
        <x:is>
          <x:t xml:space="preserve">2026-10-09T09:01:21.127001+08:00</x:t>
        </x:is>
      </x:c>
      <x:c r="AX1765" s="604" t="inlineStr">
        <x:is>
          <x:t xml:space="preserve">Titan007/V4</x:t>
        </x:is>
      </x:c>
      <x:c r="AY1765" s="604" t="inlineStr">
        <x:is>
          <x:t xml:space="preserve">Daily append；市场输入缺失时不生成决策</x:t>
        </x:is>
      </x:c>
    </x:row>
    <x:row r="1766" ht="22" customHeight="1">
      <x:c r="A1766" s="604" t="inlineStr">
        <x:is>
          <x:t xml:space="preserve">2026-10-09</x:t>
        </x:is>
      </x:c>
      <x:c r="B1766" s="604" t="inlineStr">
        <x:is>
          <x:t xml:space="preserve">2026-10-10T10:00:00+08:00</x:t>
        </x:is>
      </x:c>
      <x:c r="C1766" s="604" t="str">
        <x:v>其他系列</x:v>
      </x:c>
      <x:c r="D1766" s="604" t="inlineStr">
        <x:is>
          <x:t xml:space="preserve"/>
        </x:is>
      </x:c>
      <x:c r="E1766" s="604" t="inlineStr">
        <x:is>
          <x:t xml:space="preserve">国际友谊</x:t>
        </x:is>
      </x:c>
      <x:c r="F1766" s="604" t="inlineStr">
        <x:is>
          <x:t xml:space="preserve">萨尔瓦多U16 vs 瓜地马拉U16</x:t>
        </x:is>
      </x:c>
      <x:c r="G1766" s="604" t="n"/>
      <x:c r="H1766" s="604" t="n"/>
      <x:c r="I1766" s="604" t="n"/>
      <x:c r="J1766" s="604" t="inlineStr">
        <x:is>
          <x:t xml:space="preserve">//</x:t>
        </x:is>
      </x:c>
      <x:c r="K1766" s="604" t="inlineStr">
        <x:is>
          <x:t xml:space="preserve">V4不可用：市场输入缺失</x:t>
        </x:is>
      </x:c>
      <x:c r="L1766" s="604" t="inlineStr">
        <x:is>
          <x:t xml:space="preserve"/>
        </x:is>
      </x:c>
      <x:c r="M1766" s="604" t="n"/>
      <x:c r="N1766" s="604" t="inlineStr">
        <x:is>
          <x:t xml:space="preserve">V4 Shadow Only；real_money=false</x:t>
        </x:is>
      </x:c>
      <x:c r="O1766" s="604" t="inlineStr">
        <x:is>
          <x:t xml:space="preserve">0-0</x:t>
        </x:is>
      </x:c>
      <x:c r="P1766" s="604" t="inlineStr">
        <x:is>
          <x:t xml:space="preserve">MISSING_DATA</x:t>
        </x:is>
      </x:c>
      <x:c r="Q1766" s="630" t="inlineStr">
        <x:is>
          <x:t xml:space="preserve"/>
        </x:is>
      </x:c>
      <x:c r="R1766" s="604" t="n"/>
      <x:c r="S1766" s="604" t="n"/>
      <x:c r="T1766" s="604" t="inlineStr">
        <x:is>
          <x:t xml:space="preserve">D:\codex\v3_legacy\outputs\football_odds_trader\raw\titan007\20261009\20261009_085232_titan007_odds_snapshot.csv</x:t>
        </x:is>
      </x:c>
      <x:c r="U1766" s="628" t="inlineStr">
        <x:is>
          <x:t xml:space="preserve"/>
        </x:is>
      </x:c>
      <x:c r="V1766" s="604" t="inlineStr">
        <x:is>
          <x:t xml:space="preserve"/>
        </x:is>
      </x:c>
      <x:c r="W1766" s="604" t="inlineStr">
        <x:is>
          <x:t xml:space="preserve"/>
        </x:is>
      </x:c>
      <x:c r="X1766" s="604" t="inlineStr">
        <x:is>
          <x:t xml:space="preserve">3098337</x:t>
        </x:is>
      </x:c>
      <x:c r="Y1766" s="604" t="inlineStr">
        <x:is>
          <x:t xml:space="preserve">V4</x:t>
        </x:is>
      </x:c>
      <x:c r="Z1766" s="604" t="inlineStr">
        <x:is>
          <x:t xml:space="preserve">prior-2026-10-09-v1</x:t>
        </x:is>
      </x:c>
      <x:c r="AA1766" s="604" t="inlineStr">
        <x:is>
          <x:t xml:space="preserve"/>
        </x:is>
      </x:c>
      <x:c r="AB1766" s="604" t="n"/>
      <x:c r="AC1766" s="604" t="n"/>
      <x:c r="AD1766" s="604" t="n"/>
      <x:c r="AE1766" s="604" t="n"/>
      <x:c r="AF1766" s="604" t="n"/>
      <x:c r="AG1766" s="604" t="n"/>
      <x:c r="AH1766" s="604" t="n"/>
      <x:c r="AI1766" s="604" t="n"/>
      <x:c r="AJ1766" s="604" t="n"/>
      <x:c r="AK1766" s="604" t="n"/>
      <x:c r="AL1766" s="604" t="n"/>
      <x:c r="AM1766" s="604" t="n"/>
      <x:c r="AN1766" s="604" t="inlineStr">
        <x:is>
          <x:t xml:space="preserve">MISSING_DATA</x:t>
        </x:is>
      </x:c>
      <x:c r="AO1766" s="604" t="inlineStr">
        <x:is>
          <x:t xml:space="preserve">REQUIRED_MARKET_INPUT_MISSING</x:t>
        </x:is>
      </x:c>
      <x:c r="AP1766" s="604" t="inlineStr">
        <x:is>
          <x:t xml:space="preserve">1e7598989f4107c23903</x:t>
        </x:is>
      </x:c>
      <x:c r="AQ1766" s="604" t="n"/>
      <x:c r="AR1766" s="604" t="n"/>
      <x:c r="AS1766" s="604" t="n"/>
      <x:c r="AT1766" s="604" t="n"/>
      <x:c r="AU1766" s="604" t="n"/>
      <x:c r="AV1766" s="604" t="n"/>
      <x:c r="AW1766" s="604" t="inlineStr">
        <x:is>
          <x:t xml:space="preserve">2026-10-09T09:01:21.127001+08:00</x:t>
        </x:is>
      </x:c>
      <x:c r="AX1766" s="604" t="inlineStr">
        <x:is>
          <x:t xml:space="preserve">Titan007/V4</x:t>
        </x:is>
      </x:c>
      <x:c r="AY1766" s="604" t="inlineStr">
        <x:is>
          <x:t xml:space="preserve">Daily append；市场输入缺失时不生成决策</x:t>
        </x:is>
      </x:c>
    </x:row>
    <x:row r="1767" ht="22" customHeight="1">
      <x:c r="A1767" s="604" t="inlineStr">
        <x:is>
          <x:t xml:space="preserve">2026-10-09</x:t>
        </x:is>
      </x:c>
      <x:c r="B1767" s="604" t="inlineStr">
        <x:is>
          <x:t xml:space="preserve">2026-10-10T02:00:00+08:00</x:t>
        </x:is>
      </x:c>
      <x:c r="C1767" s="604" t="str">
        <x:v>其他系列</x:v>
      </x:c>
      <x:c r="D1767" s="604" t="inlineStr">
        <x:is>
          <x:t xml:space="preserve"/>
        </x:is>
      </x:c>
      <x:c r="E1767" s="604" t="inlineStr">
        <x:is>
          <x:t xml:space="preserve">国际友谊</x:t>
        </x:is>
      </x:c>
      <x:c r="F1767" s="604" t="inlineStr">
        <x:is>
          <x:t xml:space="preserve">日本女足 vs 海地女足</x:t>
        </x:is>
      </x:c>
      <x:c r="G1767" s="604" t="n">
        <x:v>0.9</x:v>
      </x:c>
      <x:c r="H1767" s="604" t="n">
        <x:v>3.25</x:v>
      </x:c>
      <x:c r="I1767" s="604" t="n">
        <x:v>0.9</x:v>
      </x:c>
      <x:c r="J1767" s="604" t="inlineStr">
        <x:is>
          <x:t xml:space="preserve">0.9/3.25/0.9</x:t>
        </x:is>
      </x:c>
      <x:c r="K1767" s="604" t="inlineStr">
        <x:is>
          <x:t xml:space="preserve">V4-N</x:t>
        </x:is>
      </x:c>
      <x:c r="L1767" s="604" t="inlineStr">
        <x:is>
          <x:t xml:space="preserve"/>
        </x:is>
      </x:c>
      <x:c r="M1767" s="604" t="n">
        <x:v>0.3689989357771253</x:v>
      </x:c>
      <x:c r="N1767" s="604" t="inlineStr">
        <x:is>
          <x:t xml:space="preserve">V4 Shadow Only；real_money=false</x:t>
        </x:is>
      </x:c>
      <x:c r="O1767" s="604" t="inlineStr">
        <x:is>
          <x:t xml:space="preserve">0-0</x:t>
        </x:is>
      </x:c>
      <x:c r="P1767" s="604" t="inlineStr">
        <x:is>
          <x:t xml:space="preserve">EVALUATED</x:t>
        </x:is>
      </x:c>
      <x:c r="Q1767" s="630" t="inlineStr">
        <x:is>
          <x:t xml:space="preserve"/>
        </x:is>
      </x:c>
      <x:c r="R1767" s="604" t="n"/>
      <x:c r="S1767" s="604" t="n"/>
      <x:c r="T1767" s="604" t="inlineStr">
        <x:is>
          <x:t xml:space="preserve">D:\codex\v3_legacy\outputs\football_odds_trader\raw\titan007\20261009\20261009_085232_titan007_odds_snapshot.csv</x:t>
        </x:is>
      </x:c>
      <x:c r="U1767" s="628" t="inlineStr">
        <x:is>
          <x:t xml:space="preserve"/>
        </x:is>
      </x:c>
      <x:c r="V1767" s="604" t="inlineStr">
        <x:is>
          <x:t xml:space="preserve"/>
        </x:is>
      </x:c>
      <x:c r="W1767" s="604" t="inlineStr">
        <x:is>
          <x:t xml:space="preserve"/>
        </x:is>
      </x:c>
      <x:c r="X1767" s="604" t="inlineStr">
        <x:is>
          <x:t xml:space="preserve">3098339</x:t>
        </x:is>
      </x:c>
      <x:c r="Y1767" s="604" t="inlineStr">
        <x:is>
          <x:t xml:space="preserve">V4</x:t>
        </x:is>
      </x:c>
      <x:c r="Z1767" s="604" t="inlineStr">
        <x:is>
          <x:t xml:space="preserve">prior-2026-10-09-v1</x:t>
        </x:is>
      </x:c>
      <x:c r="AA1767" s="604" t="inlineStr">
        <x:is>
          <x:t xml:space="preserve">N</x:t>
        </x:is>
      </x:c>
      <x:c r="AB1767" s="604" t="n">
        <x:v>0.3689989357771253</x:v>
      </x:c>
      <x:c r="AC1767" s="604" t="n">
        <x:v>0.5211180839027654</x:v>
      </x:c>
      <x:c r="AD1767" s="604" t="n">
        <x:v>3.75</x:v>
      </x:c>
      <x:c r="AE1767" s="604" t="n"/>
      <x:c r="AF1767" s="604" t="n"/>
      <x:c r="AG1767" s="604" t="n">
        <x:v>0.1000073397353635</x:v>
      </x:c>
      <x:c r="AH1767" s="604" t="n"/>
      <x:c r="AI1767" s="604" t="n"/>
      <x:c r="AJ1767" s="604" t="n">
        <x:v>0.1000073397353635</x:v>
      </x:c>
      <x:c r="AK1767" s="604" t="n"/>
      <x:c r="AL1767" s="604" t="n"/>
      <x:c r="AM1767" s="604" t="n"/>
      <x:c r="AN1767" s="604" t="inlineStr">
        <x:is>
          <x:t xml:space="preserve">EVALUATED</x:t>
        </x:is>
      </x:c>
      <x:c r="AO1767" s="604" t="inlineStr">
        <x:is>
          <x:t xml:space="preserve">LOW_QUALITY_GATE;BUCKET_PRIOR_ONLY;INTENT_INTERPRETATION_ONLY;FFL_OPTIONAL;EXPERT_MARKET</x:t>
        </x:is>
      </x:c>
      <x:c r="AP1767" s="604" t="inlineStr">
        <x:is>
          <x:t xml:space="preserve">89cbcff33b366592250d</x:t>
        </x:is>
      </x:c>
      <x:c r="AQ1767" s="604" t="n"/>
      <x:c r="AR1767" s="604" t="n"/>
      <x:c r="AS1767" s="604" t="n">
        <x:v>3.25</x:v>
      </x:c>
      <x:c r="AT1767" s="604" t="n">
        <x:v>-3.25</x:v>
      </x:c>
      <x:c r="AU1767" s="604" t="n">
        <x:v>0.9</x:v>
      </x:c>
      <x:c r="AV1767" s="604" t="n">
        <x:v>0.9</x:v>
      </x:c>
      <x:c r="AW1767" s="604" t="inlineStr">
        <x:is>
          <x:t xml:space="preserve">2026-10-09T09:01:21.127001+08:00</x:t>
        </x:is>
      </x:c>
      <x:c r="AX1767" s="604" t="inlineStr">
        <x:is>
          <x:t xml:space="preserve">Titan007/V4</x:t>
        </x:is>
      </x:c>
      <x:c r="AY1767" s="604" t="inlineStr">
        <x:is>
          <x:t xml:space="preserve">Daily append；市场输入缺失时不生成决策</x:t>
        </x:is>
      </x:c>
    </x:row>
    <x:row r="1768" ht="22" customHeight="1">
      <x:c r="A1768" s="604" t="inlineStr">
        <x:is>
          <x:t xml:space="preserve">2026-10-09</x:t>
        </x:is>
      </x:c>
      <x:c r="B1768" s="604" t="inlineStr">
        <x:is>
          <x:t xml:space="preserve">2026-10-09T21:15:00+08:00</x:t>
        </x:is>
      </x:c>
      <x:c r="C1768" s="604" t="str">
        <x:v>西亚/中亚系列</x:v>
      </x:c>
      <x:c r="D1768" s="604" t="inlineStr">
        <x:is>
          <x:t xml:space="preserve"/>
        </x:is>
      </x:c>
      <x:c r="E1768" s="604" t="inlineStr">
        <x:is>
          <x:t xml:space="preserve">伊朗超</x:t>
        </x:is>
      </x:c>
      <x:c r="F1768" s="604" t="inlineStr">
        <x:is>
          <x:t xml:space="preserve">查多马卢阿尔达坎 vs 霍拉马巴德</x:t>
        </x:is>
      </x:c>
      <x:c r="G1768" s="604" t="n">
        <x:v>0.73</x:v>
      </x:c>
      <x:c r="H1768" s="604" t="n">
        <x:v>0</x:v>
      </x:c>
      <x:c r="I1768" s="604" t="n">
        <x:v>1.05</x:v>
      </x:c>
      <x:c r="J1768" s="604" t="inlineStr">
        <x:is>
          <x:t xml:space="preserve">0.73/0.0/1.05</x:t>
        </x:is>
      </x:c>
      <x:c r="K1768" s="604" t="inlineStr">
        <x:is>
          <x:t xml:space="preserve">V4-N</x:t>
        </x:is>
      </x:c>
      <x:c r="L1768" s="604" t="inlineStr">
        <x:is>
          <x:t xml:space="preserve"/>
        </x:is>
      </x:c>
      <x:c r="M1768" s="604" t="n"/>
      <x:c r="N1768" s="604" t="inlineStr">
        <x:is>
          <x:t xml:space="preserve">V4 Shadow Only；real_money=false</x:t>
        </x:is>
      </x:c>
      <x:c r="O1768" s="604" t="inlineStr">
        <x:is>
          <x:t xml:space="preserve">0-0</x:t>
        </x:is>
      </x:c>
      <x:c r="P1768" s="604" t="inlineStr">
        <x:is>
          <x:t xml:space="preserve">NEUTRAL</x:t>
        </x:is>
      </x:c>
      <x:c r="Q1768" s="630" t="inlineStr">
        <x:is>
          <x:t xml:space="preserve"/>
        </x:is>
      </x:c>
      <x:c r="R1768" s="604" t="n"/>
      <x:c r="S1768" s="604" t="n"/>
      <x:c r="T1768" s="604" t="inlineStr">
        <x:is>
          <x:t xml:space="preserve">D:\codex\v3_legacy\outputs\football_odds_trader\raw\titan007\20261009\20261009_085232_titan007_odds_snapshot.csv</x:t>
        </x:is>
      </x:c>
      <x:c r="U1768" s="628" t="inlineStr">
        <x:is>
          <x:t xml:space="preserve"/>
        </x:is>
      </x:c>
      <x:c r="V1768" s="604" t="inlineStr">
        <x:is>
          <x:t xml:space="preserve"/>
        </x:is>
      </x:c>
      <x:c r="W1768" s="604" t="inlineStr">
        <x:is>
          <x:t xml:space="preserve"/>
        </x:is>
      </x:c>
      <x:c r="X1768" s="604" t="inlineStr">
        <x:is>
          <x:t xml:space="preserve">3098348</x:t>
        </x:is>
      </x:c>
      <x:c r="Y1768" s="604" t="inlineStr">
        <x:is>
          <x:t xml:space="preserve">V4</x:t>
        </x:is>
      </x:c>
      <x:c r="Z1768" s="604" t="inlineStr">
        <x:is>
          <x:t xml:space="preserve">prior-2026-10-09-v1</x:t>
        </x:is>
      </x:c>
      <x:c r="AA1768" s="604" t="inlineStr">
        <x:is>
          <x:t xml:space="preserve">N</x:t>
        </x:is>
      </x:c>
      <x:c r="AB1768" s="604" t="n"/>
      <x:c r="AC1768" s="604" t="n"/>
      <x:c r="AD1768" s="604" t="n"/>
      <x:c r="AE1768" s="604" t="n"/>
      <x:c r="AF1768" s="604" t="n"/>
      <x:c r="AG1768" s="604" t="n"/>
      <x:c r="AH1768" s="604" t="n"/>
      <x:c r="AI1768" s="604" t="n"/>
      <x:c r="AJ1768" s="604" t="n"/>
      <x:c r="AK1768" s="604" t="n"/>
      <x:c r="AL1768" s="604" t="n"/>
      <x:c r="AM1768" s="604" t="n"/>
      <x:c r="AN1768" s="604" t="inlineStr">
        <x:is>
          <x:t xml:space="preserve">NEUTRAL</x:t>
        </x:is>
      </x:c>
      <x:c r="AO1768" s="604" t="inlineStr">
        <x:is>
          <x:t xml:space="preserve">PK_NO_GIVING_RECEIVING_IDENTITY</x:t>
        </x:is>
      </x:c>
      <x:c r="AP1768" s="604" t="inlineStr">
        <x:is>
          <x:t xml:space="preserve">47510a9ccf4e453312f4</x:t>
        </x:is>
      </x:c>
      <x:c r="AQ1768" s="604" t="n"/>
      <x:c r="AR1768" s="604" t="n"/>
      <x:c r="AS1768" s="604" t="n"/>
      <x:c r="AT1768" s="604" t="n"/>
      <x:c r="AU1768" s="604" t="n"/>
      <x:c r="AV1768" s="604" t="n"/>
      <x:c r="AW1768" s="604" t="inlineStr">
        <x:is>
          <x:t xml:space="preserve">2026-10-09T09:01:21.127001+08:00</x:t>
        </x:is>
      </x:c>
      <x:c r="AX1768" s="604" t="inlineStr">
        <x:is>
          <x:t xml:space="preserve">Titan007/V4</x:t>
        </x:is>
      </x:c>
      <x:c r="AY1768" s="604" t="inlineStr">
        <x:is>
          <x:t xml:space="preserve">Daily append；市场输入缺失时不生成决策</x:t>
        </x:is>
      </x:c>
    </x:row>
    <x:row r="1769" ht="22" customHeight="1">
      <x:c r="A1769" s="604" t="inlineStr">
        <x:is>
          <x:t xml:space="preserve">2026-10-09</x:t>
        </x:is>
      </x:c>
      <x:c r="B1769" s="604" t="inlineStr">
        <x:is>
          <x:t xml:space="preserve">2026-10-09T21:30:00+08:00</x:t>
        </x:is>
      </x:c>
      <x:c r="C1769" s="604" t="str">
        <x:v>西亚/中亚系列</x:v>
      </x:c>
      <x:c r="D1769" s="604" t="inlineStr">
        <x:is>
          <x:t xml:space="preserve"/>
        </x:is>
      </x:c>
      <x:c r="E1769" s="604" t="inlineStr">
        <x:is>
          <x:t xml:space="preserve">伊朗超</x:t>
        </x:is>
      </x:c>
      <x:c r="F1769" s="604" t="inlineStr">
        <x:is>
          <x:t xml:space="preserve">波斯波利斯 vs 纳夫特</x:t>
        </x:is>
      </x:c>
      <x:c r="G1769" s="604" t="n">
        <x:v>0.97</x:v>
      </x:c>
      <x:c r="H1769" s="604" t="n">
        <x:v>1.5</x:v>
      </x:c>
      <x:c r="I1769" s="604" t="n">
        <x:v>0.8100000000000001</x:v>
      </x:c>
      <x:c r="J1769" s="604" t="inlineStr">
        <x:is>
          <x:t xml:space="preserve">0.97/1.5/0.81</x:t>
        </x:is>
      </x:c>
      <x:c r="K1769" s="604" t="inlineStr">
        <x:is>
          <x:t xml:space="preserve">V4-N</x:t>
        </x:is>
      </x:c>
      <x:c r="L1769" s="604" t="inlineStr">
        <x:is>
          <x:t xml:space="preserve"/>
        </x:is>
      </x:c>
      <x:c r="M1769" s="604" t="n">
        <x:v>0.6802858953803054</x:v>
      </x:c>
      <x:c r="N1769" s="604" t="inlineStr">
        <x:is>
          <x:t xml:space="preserve">V4 Shadow Only；real_money=false</x:t>
        </x:is>
      </x:c>
      <x:c r="O1769" s="604" t="inlineStr">
        <x:is>
          <x:t xml:space="preserve">0-0</x:t>
        </x:is>
      </x:c>
      <x:c r="P1769" s="604" t="inlineStr">
        <x:is>
          <x:t xml:space="preserve">EVALUATED</x:t>
        </x:is>
      </x:c>
      <x:c r="Q1769" s="630" t="inlineStr">
        <x:is>
          <x:t xml:space="preserve"/>
        </x:is>
      </x:c>
      <x:c r="R1769" s="604" t="n"/>
      <x:c r="S1769" s="604" t="n"/>
      <x:c r="T1769" s="604" t="inlineStr">
        <x:is>
          <x:t xml:space="preserve">D:\codex\v3_legacy\outputs\football_odds_trader\raw\titan007\20261009\20261009_085232_titan007_odds_snapshot.csv</x:t>
        </x:is>
      </x:c>
      <x:c r="U1769" s="628" t="inlineStr">
        <x:is>
          <x:t xml:space="preserve"/>
        </x:is>
      </x:c>
      <x:c r="V1769" s="604" t="inlineStr">
        <x:is>
          <x:t xml:space="preserve"/>
        </x:is>
      </x:c>
      <x:c r="W1769" s="604" t="inlineStr">
        <x:is>
          <x:t xml:space="preserve"/>
        </x:is>
      </x:c>
      <x:c r="X1769" s="604" t="inlineStr">
        <x:is>
          <x:t xml:space="preserve">3098350</x:t>
        </x:is>
      </x:c>
      <x:c r="Y1769" s="604" t="inlineStr">
        <x:is>
          <x:t xml:space="preserve">V4</x:t>
        </x:is>
      </x:c>
      <x:c r="Z1769" s="604" t="inlineStr">
        <x:is>
          <x:t xml:space="preserve">prior-2026-10-09-v1</x:t>
        </x:is>
      </x:c>
      <x:c r="AA1769" s="604" t="inlineStr">
        <x:is>
          <x:t xml:space="preserve">N</x:t>
        </x:is>
      </x:c>
      <x:c r="AB1769" s="604" t="n">
        <x:v>0.6802858953803054</x:v>
      </x:c>
      <x:c r="AC1769" s="604" t="n">
        <x:v>0.3197141046196946</x:v>
      </x:c>
      <x:c r="AD1769" s="604" t="n">
        <x:v>2.5</x:v>
      </x:c>
      <x:c r="AE1769" s="604" t="n"/>
      <x:c r="AF1769" s="604" t="n"/>
      <x:c r="AG1769" s="604" t="n">
        <x:v>0.3401632138992016</x:v>
      </x:c>
      <x:c r="AH1769" s="604" t="n"/>
      <x:c r="AI1769" s="604" t="n"/>
      <x:c r="AJ1769" s="604" t="n">
        <x:v>0.3401632138992016</x:v>
      </x:c>
      <x:c r="AK1769" s="604" t="n"/>
      <x:c r="AL1769" s="604" t="n"/>
      <x:c r="AM1769" s="604" t="n"/>
      <x:c r="AN1769" s="604" t="inlineStr">
        <x:is>
          <x:t xml:space="preserve">EVALUATED</x:t>
        </x:is>
      </x:c>
      <x:c r="AO1769" s="604" t="inlineStr">
        <x:is>
          <x:t xml:space="preserve">LOW_QUALITY_GATE;BUCKET_PRIOR_ONLY;INTENT_INTERPRETATION_ONLY;FFL_OPTIONAL;EXPERT_MARKET</x:t>
        </x:is>
      </x:c>
      <x:c r="AP1769" s="604" t="inlineStr">
        <x:is>
          <x:t xml:space="preserve">9b4554891233de915ba0</x:t>
        </x:is>
      </x:c>
      <x:c r="AQ1769" s="604" t="n"/>
      <x:c r="AR1769" s="604" t="n"/>
      <x:c r="AS1769" s="604" t="n">
        <x:v>1.5</x:v>
      </x:c>
      <x:c r="AT1769" s="604" t="n">
        <x:v>-1.5</x:v>
      </x:c>
      <x:c r="AU1769" s="604" t="n">
        <x:v>0.97</x:v>
      </x:c>
      <x:c r="AV1769" s="604" t="n">
        <x:v>0.8100000000000001</x:v>
      </x:c>
      <x:c r="AW1769" s="604" t="inlineStr">
        <x:is>
          <x:t xml:space="preserve">2026-10-09T09:01:21.127001+08:00</x:t>
        </x:is>
      </x:c>
      <x:c r="AX1769" s="604" t="inlineStr">
        <x:is>
          <x:t xml:space="preserve">Titan007/V4</x:t>
        </x:is>
      </x:c>
      <x:c r="AY1769" s="604" t="inlineStr">
        <x:is>
          <x:t xml:space="preserve">Daily append；市场输入缺失时不生成决策</x:t>
        </x:is>
      </x:c>
    </x:row>
    <x:row r="1770" ht="22" customHeight="1">
      <x:c r="A1770" s="604" t="inlineStr">
        <x:is>
          <x:t xml:space="preserve">2026-10-09</x:t>
        </x:is>
      </x:c>
      <x:c r="B1770" s="604" t="inlineStr">
        <x:is>
          <x:t xml:space="preserve">2026-10-09T20:00:00+08:00</x:t>
        </x:is>
      </x:c>
      <x:c r="C1770" s="604" t="str">
        <x:v>西亚/中亚系列</x:v>
      </x:c>
      <x:c r="D1770" s="604" t="inlineStr">
        <x:is>
          <x:t xml:space="preserve"/>
        </x:is>
      </x:c>
      <x:c r="E1770" s="604" t="inlineStr">
        <x:is>
          <x:t xml:space="preserve">黎巴联</x:t>
        </x:is>
      </x:c>
      <x:c r="F1770" s="604" t="inlineStr">
        <x:is>
          <x:t xml:space="preserve">特拉布雷斯 vs 阿尔阿希德</x:t>
        </x:is>
      </x:c>
      <x:c r="G1770" s="604" t="n">
        <x:v>0.95</x:v>
      </x:c>
      <x:c r="H1770" s="604" t="n">
        <x:v>-0.5</x:v>
      </x:c>
      <x:c r="I1770" s="604" t="n">
        <x:v>0.85</x:v>
      </x:c>
      <x:c r="J1770" s="604" t="inlineStr">
        <x:is>
          <x:t xml:space="preserve">0.95/-0.5/0.85</x:t>
        </x:is>
      </x:c>
      <x:c r="K1770" s="604" t="inlineStr">
        <x:is>
          <x:t xml:space="preserve">V4-N</x:t>
        </x:is>
      </x:c>
      <x:c r="L1770" s="604" t="inlineStr">
        <x:is>
          <x:t xml:space="preserve"/>
        </x:is>
      </x:c>
      <x:c r="M1770" s="604" t="n">
        <x:v>0.1898451597331736</x:v>
      </x:c>
      <x:c r="N1770" s="604" t="inlineStr">
        <x:is>
          <x:t xml:space="preserve">V4 Shadow Only；real_money=false</x:t>
        </x:is>
      </x:c>
      <x:c r="O1770" s="604" t="inlineStr">
        <x:is>
          <x:t xml:space="preserve">0-0</x:t>
        </x:is>
      </x:c>
      <x:c r="P1770" s="604" t="inlineStr">
        <x:is>
          <x:t xml:space="preserve">EVALUATED</x:t>
        </x:is>
      </x:c>
      <x:c r="Q1770" s="630" t="inlineStr">
        <x:is>
          <x:t xml:space="preserve"/>
        </x:is>
      </x:c>
      <x:c r="R1770" s="604" t="n"/>
      <x:c r="S1770" s="604" t="n"/>
      <x:c r="T1770" s="604" t="inlineStr">
        <x:is>
          <x:t xml:space="preserve">D:\codex\v3_legacy\outputs\football_odds_trader\raw\titan007\20261009\20261009_085232_titan007_odds_snapshot.csv</x:t>
        </x:is>
      </x:c>
      <x:c r="U1770" s="628" t="inlineStr">
        <x:is>
          <x:t xml:space="preserve"/>
        </x:is>
      </x:c>
      <x:c r="V1770" s="604" t="inlineStr">
        <x:is>
          <x:t xml:space="preserve"/>
        </x:is>
      </x:c>
      <x:c r="W1770" s="604" t="inlineStr">
        <x:is>
          <x:t xml:space="preserve"/>
        </x:is>
      </x:c>
      <x:c r="X1770" s="604" t="inlineStr">
        <x:is>
          <x:t xml:space="preserve">3098392</x:t>
        </x:is>
      </x:c>
      <x:c r="Y1770" s="604" t="inlineStr">
        <x:is>
          <x:t xml:space="preserve">V4</x:t>
        </x:is>
      </x:c>
      <x:c r="Z1770" s="604" t="inlineStr">
        <x:is>
          <x:t xml:space="preserve">prior-2026-10-09-v1</x:t>
        </x:is>
      </x:c>
      <x:c r="AA1770" s="604" t="inlineStr">
        <x:is>
          <x:t xml:space="preserve">N</x:t>
        </x:is>
      </x:c>
      <x:c r="AB1770" s="604" t="n">
        <x:v>0.1898451597331736</x:v>
      </x:c>
      <x:c r="AC1770" s="604" t="n">
        <x:v>0.8101548402668265</x:v>
      </x:c>
      <x:c r="AD1770" s="604" t="n">
        <x:v>-0.75</x:v>
      </x:c>
      <x:c r="AE1770" s="604" t="n"/>
      <x:c r="AF1770" s="604" t="n"/>
      <x:c r="AG1770" s="604" t="n">
        <x:v>0.5798019385203115</x:v>
      </x:c>
      <x:c r="AH1770" s="604" t="n"/>
      <x:c r="AI1770" s="604" t="n"/>
      <x:c r="AJ1770" s="604" t="n">
        <x:v>0.5798019385203115</x:v>
      </x:c>
      <x:c r="AK1770" s="604" t="n"/>
      <x:c r="AL1770" s="604" t="n"/>
      <x:c r="AM1770" s="604" t="n"/>
      <x:c r="AN1770" s="604" t="inlineStr">
        <x:is>
          <x:t xml:space="preserve">EVALUATED</x:t>
        </x:is>
      </x:c>
      <x:c r="AO1770" s="604" t="inlineStr">
        <x:is>
          <x:t xml:space="preserve">LOW_QUALITY_GATE;BUCKET_PRIOR_ONLY;INTENT_INTERPRETATION_ONLY;FFL_OPTIONAL;EXPERT_MARKET</x:t>
        </x:is>
      </x:c>
      <x:c r="AP1770" s="604" t="inlineStr">
        <x:is>
          <x:t xml:space="preserve">ed400ed97e0d113b3ef5</x:t>
        </x:is>
      </x:c>
      <x:c r="AQ1770" s="604" t="n"/>
      <x:c r="AR1770" s="604" t="n"/>
      <x:c r="AS1770" s="604" t="n">
        <x:v>-0.5</x:v>
      </x:c>
      <x:c r="AT1770" s="604" t="n">
        <x:v>0.5</x:v>
      </x:c>
      <x:c r="AU1770" s="604" t="n">
        <x:v>0.95</x:v>
      </x:c>
      <x:c r="AV1770" s="604" t="n">
        <x:v>0.85</x:v>
      </x:c>
      <x:c r="AW1770" s="604" t="inlineStr">
        <x:is>
          <x:t xml:space="preserve">2026-10-09T09:01:21.127001+08:00</x:t>
        </x:is>
      </x:c>
      <x:c r="AX1770" s="604" t="inlineStr">
        <x:is>
          <x:t xml:space="preserve">Titan007/V4</x:t>
        </x:is>
      </x:c>
      <x:c r="AY1770" s="604" t="inlineStr">
        <x:is>
          <x:t xml:space="preserve">Daily append；市场输入缺失时不生成决策</x:t>
        </x:is>
      </x:c>
    </x:row>
    <x:row r="1771" ht="22" customHeight="1">
      <x:c r="A1771" s="604" t="inlineStr">
        <x:is>
          <x:t xml:space="preserve">2026-10-09</x:t>
        </x:is>
      </x:c>
      <x:c r="B1771" s="604" t="inlineStr">
        <x:is>
          <x:t xml:space="preserve">2026-10-09T22:00:00+08:00</x:t>
        </x:is>
      </x:c>
      <x:c r="C1771" s="604" t="str">
        <x:v>西亚/中亚系列</x:v>
      </x:c>
      <x:c r="D1771" s="604" t="inlineStr">
        <x:is>
          <x:t xml:space="preserve"/>
        </x:is>
      </x:c>
      <x:c r="E1771" s="604" t="inlineStr">
        <x:is>
          <x:t xml:space="preserve">黎巴联</x:t>
        </x:is>
      </x:c>
      <x:c r="F1771" s="604" t="inlineStr">
        <x:is>
          <x:t xml:space="preserve">机瓦亚 vs 玛巴拉</x:t>
        </x:is>
      </x:c>
      <x:c r="G1771" s="604" t="n">
        <x:v>0.8</x:v>
      </x:c>
      <x:c r="H1771" s="604" t="n">
        <x:v>1.5</x:v>
      </x:c>
      <x:c r="I1771" s="604" t="n">
        <x:v>1</x:v>
      </x:c>
      <x:c r="J1771" s="604" t="inlineStr">
        <x:is>
          <x:t xml:space="preserve">0.8/1.5/1.0</x:t>
        </x:is>
      </x:c>
      <x:c r="K1771" s="604" t="inlineStr">
        <x:is>
          <x:t xml:space="preserve">V4-N</x:t>
        </x:is>
      </x:c>
      <x:c r="L1771" s="604" t="inlineStr">
        <x:is>
          <x:t xml:space="preserve"/>
        </x:is>
      </x:c>
      <x:c r="M1771" s="604" t="n">
        <x:v>0.6980750651101079</x:v>
      </x:c>
      <x:c r="N1771" s="604" t="inlineStr">
        <x:is>
          <x:t xml:space="preserve">V4 Shadow Only；real_money=false</x:t>
        </x:is>
      </x:c>
      <x:c r="O1771" s="604" t="inlineStr">
        <x:is>
          <x:t xml:space="preserve">0-0</x:t>
        </x:is>
      </x:c>
      <x:c r="P1771" s="604" t="inlineStr">
        <x:is>
          <x:t xml:space="preserve">EVALUATED</x:t>
        </x:is>
      </x:c>
      <x:c r="Q1771" s="630" t="inlineStr">
        <x:is>
          <x:t xml:space="preserve"/>
        </x:is>
      </x:c>
      <x:c r="R1771" s="604" t="n"/>
      <x:c r="S1771" s="604" t="n"/>
      <x:c r="T1771" s="604" t="inlineStr">
        <x:is>
          <x:t xml:space="preserve">D:\codex\v3_legacy\outputs\football_odds_trader\raw\titan007\20261009\20261009_085232_titan007_odds_snapshot.csv</x:t>
        </x:is>
      </x:c>
      <x:c r="U1771" s="628" t="inlineStr">
        <x:is>
          <x:t xml:space="preserve"/>
        </x:is>
      </x:c>
      <x:c r="V1771" s="604" t="inlineStr">
        <x:is>
          <x:t xml:space="preserve"/>
        </x:is>
      </x:c>
      <x:c r="W1771" s="604" t="inlineStr">
        <x:is>
          <x:t xml:space="preserve"/>
        </x:is>
      </x:c>
      <x:c r="X1771" s="604" t="inlineStr">
        <x:is>
          <x:t xml:space="preserve">3098393</x:t>
        </x:is>
      </x:c>
      <x:c r="Y1771" s="604" t="inlineStr">
        <x:is>
          <x:t xml:space="preserve">V4</x:t>
        </x:is>
      </x:c>
      <x:c r="Z1771" s="604" t="inlineStr">
        <x:is>
          <x:t xml:space="preserve">prior-2026-10-09-v1</x:t>
        </x:is>
      </x:c>
      <x:c r="AA1771" s="604" t="inlineStr">
        <x:is>
          <x:t xml:space="preserve">N</x:t>
        </x:is>
      </x:c>
      <x:c r="AB1771" s="604" t="n">
        <x:v>0.6980750651101079</x:v>
      </x:c>
      <x:c r="AC1771" s="604" t="n">
        <x:v>0.3019249348898921</x:v>
      </x:c>
      <x:c r="AD1771" s="604" t="n">
        <x:v>2.5</x:v>
      </x:c>
      <x:c r="AE1771" s="604" t="n"/>
      <x:c r="AF1771" s="604" t="n"/>
      <x:c r="AG1771" s="604" t="n">
        <x:v>0.2565351171981942</x:v>
      </x:c>
      <x:c r="AH1771" s="604" t="n"/>
      <x:c r="AI1771" s="604" t="n"/>
      <x:c r="AJ1771" s="604" t="n">
        <x:v>0.2565351171981942</x:v>
      </x:c>
      <x:c r="AK1771" s="604" t="n"/>
      <x:c r="AL1771" s="604" t="n"/>
      <x:c r="AM1771" s="604" t="n"/>
      <x:c r="AN1771" s="604" t="inlineStr">
        <x:is>
          <x:t xml:space="preserve">EVALUATED</x:t>
        </x:is>
      </x:c>
      <x:c r="AO1771" s="604" t="inlineStr">
        <x:is>
          <x:t xml:space="preserve">LOW_QUALITY_GATE;BUCKET_PRIOR_ONLY;INTENT_INTERPRETATION_ONLY;FFL_OPTIONAL;EXPERT_MARKET</x:t>
        </x:is>
      </x:c>
      <x:c r="AP1771" s="604" t="inlineStr">
        <x:is>
          <x:t xml:space="preserve">d8d4b558e19a2a9a0300</x:t>
        </x:is>
      </x:c>
      <x:c r="AQ1771" s="604" t="n"/>
      <x:c r="AR1771" s="604" t="n"/>
      <x:c r="AS1771" s="604" t="n">
        <x:v>1.5</x:v>
      </x:c>
      <x:c r="AT1771" s="604" t="n">
        <x:v>-1.5</x:v>
      </x:c>
      <x:c r="AU1771" s="604" t="n">
        <x:v>0.8</x:v>
      </x:c>
      <x:c r="AV1771" s="604" t="n">
        <x:v>1</x:v>
      </x:c>
      <x:c r="AW1771" s="604" t="inlineStr">
        <x:is>
          <x:t xml:space="preserve">2026-10-09T09:01:21.127001+08:00</x:t>
        </x:is>
      </x:c>
      <x:c r="AX1771" s="604" t="inlineStr">
        <x:is>
          <x:t xml:space="preserve">Titan007/V4</x:t>
        </x:is>
      </x:c>
      <x:c r="AY1771" s="604" t="inlineStr">
        <x:is>
          <x:t xml:space="preserve">Daily append；市场输入缺失时不生成决策</x:t>
        </x:is>
      </x:c>
    </x:row>
    <x:row r="1772" ht="22" customHeight="1">
      <x:c r="A1772" s="604" t="inlineStr">
        <x:is>
          <x:t xml:space="preserve">2026-10-09</x:t>
        </x:is>
      </x:c>
      <x:c r="B1772" s="604" t="inlineStr">
        <x:is>
          <x:t xml:space="preserve">2026-10-09T22:00:00+08:00</x:t>
        </x:is>
      </x:c>
      <x:c r="C1772" s="604" t="str">
        <x:v>西亚/中亚系列</x:v>
      </x:c>
      <x:c r="D1772" s="604" t="inlineStr">
        <x:is>
          <x:t xml:space="preserve"/>
        </x:is>
      </x:c>
      <x:c r="E1772" s="604" t="inlineStr">
        <x:is>
          <x:t xml:space="preserve">约超联</x:t>
        </x:is>
      </x:c>
      <x:c r="F1772" s="604" t="inlineStr">
        <x:is>
          <x:t xml:space="preserve">侯塞因 vs 阿拉毕</x:t>
        </x:is>
      </x:c>
      <x:c r="G1772" s="604" t="n">
        <x:v>0.76</x:v>
      </x:c>
      <x:c r="H1772" s="604" t="n">
        <x:v>1.75</x:v>
      </x:c>
      <x:c r="I1772" s="604" t="n">
        <x:v>0.9399999999999999</x:v>
      </x:c>
      <x:c r="J1772" s="604" t="inlineStr">
        <x:is>
          <x:t xml:space="preserve">0.76/1.75/0.94</x:t>
        </x:is>
      </x:c>
      <x:c r="K1772" s="604" t="inlineStr">
        <x:is>
          <x:t xml:space="preserve">V4-N</x:t>
        </x:is>
      </x:c>
      <x:c r="L1772" s="604" t="inlineStr">
        <x:is>
          <x:t xml:space="preserve"/>
        </x:is>
      </x:c>
      <x:c r="M1772" s="604" t="n">
        <x:v>0.6175041905012952</x:v>
      </x:c>
      <x:c r="N1772" s="604" t="inlineStr">
        <x:is>
          <x:t xml:space="preserve">V4 Shadow Only；real_money=false</x:t>
        </x:is>
      </x:c>
      <x:c r="O1772" s="604" t="inlineStr">
        <x:is>
          <x:t xml:space="preserve">0-0</x:t>
        </x:is>
      </x:c>
      <x:c r="P1772" s="604" t="inlineStr">
        <x:is>
          <x:t xml:space="preserve">EVALUATED</x:t>
        </x:is>
      </x:c>
      <x:c r="Q1772" s="630" t="inlineStr">
        <x:is>
          <x:t xml:space="preserve"/>
        </x:is>
      </x:c>
      <x:c r="R1772" s="604" t="n"/>
      <x:c r="S1772" s="604" t="n"/>
      <x:c r="T1772" s="604" t="inlineStr">
        <x:is>
          <x:t xml:space="preserve">D:\codex\v3_legacy\outputs\football_odds_trader\raw\titan007\20261009\20261009_085232_titan007_odds_snapshot.csv</x:t>
        </x:is>
      </x:c>
      <x:c r="U1772" s="628" t="inlineStr">
        <x:is>
          <x:t xml:space="preserve"/>
        </x:is>
      </x:c>
      <x:c r="V1772" s="604" t="inlineStr">
        <x:is>
          <x:t xml:space="preserve"/>
        </x:is>
      </x:c>
      <x:c r="W1772" s="604" t="inlineStr">
        <x:is>
          <x:t xml:space="preserve"/>
        </x:is>
      </x:c>
      <x:c r="X1772" s="604" t="inlineStr">
        <x:is>
          <x:t xml:space="preserve">3098462</x:t>
        </x:is>
      </x:c>
      <x:c r="Y1772" s="604" t="inlineStr">
        <x:is>
          <x:t xml:space="preserve">V4</x:t>
        </x:is>
      </x:c>
      <x:c r="Z1772" s="604" t="inlineStr">
        <x:is>
          <x:t xml:space="preserve">prior-2026-10-09-v1</x:t>
        </x:is>
      </x:c>
      <x:c r="AA1772" s="604" t="inlineStr">
        <x:is>
          <x:t xml:space="preserve">N</x:t>
        </x:is>
      </x:c>
      <x:c r="AB1772" s="604" t="n">
        <x:v>0.6175041905012952</x:v>
      </x:c>
      <x:c r="AC1772" s="604" t="n">
        <x:v>0.2619900123114868</x:v>
      </x:c>
      <x:c r="AD1772" s="604" t="n">
        <x:v>2.75</x:v>
      </x:c>
      <x:c r="AE1772" s="604" t="n"/>
      <x:c r="AF1772" s="604" t="n"/>
      <x:c r="AG1772" s="604" t="n">
        <x:v>0.2073131724694977</x:v>
      </x:c>
      <x:c r="AH1772" s="604" t="n"/>
      <x:c r="AI1772" s="604" t="n"/>
      <x:c r="AJ1772" s="604" t="n">
        <x:v>0.2073131724694977</x:v>
      </x:c>
      <x:c r="AK1772" s="604" t="n"/>
      <x:c r="AL1772" s="604" t="n"/>
      <x:c r="AM1772" s="604" t="n"/>
      <x:c r="AN1772" s="604" t="inlineStr">
        <x:is>
          <x:t xml:space="preserve">EVALUATED</x:t>
        </x:is>
      </x:c>
      <x:c r="AO1772" s="604" t="inlineStr">
        <x:is>
          <x:t xml:space="preserve">LOW_QUALITY_GATE;BUCKET_PRIOR_ONLY;INTENT_INTERPRETATION_ONLY;FFL_OPTIONAL;EXPERT_MARKET</x:t>
        </x:is>
      </x:c>
      <x:c r="AP1772" s="604" t="inlineStr">
        <x:is>
          <x:t xml:space="preserve">455c382f27b7efbf91da</x:t>
        </x:is>
      </x:c>
      <x:c r="AQ1772" s="604" t="n"/>
      <x:c r="AR1772" s="604" t="n"/>
      <x:c r="AS1772" s="604" t="n">
        <x:v>1.75</x:v>
      </x:c>
      <x:c r="AT1772" s="604" t="n">
        <x:v>-1.75</x:v>
      </x:c>
      <x:c r="AU1772" s="604" t="n">
        <x:v>0.76</x:v>
      </x:c>
      <x:c r="AV1772" s="604" t="n">
        <x:v>0.9399999999999999</x:v>
      </x:c>
      <x:c r="AW1772" s="604" t="inlineStr">
        <x:is>
          <x:t xml:space="preserve">2026-10-09T09:01:21.127001+08:00</x:t>
        </x:is>
      </x:c>
      <x:c r="AX1772" s="604" t="inlineStr">
        <x:is>
          <x:t xml:space="preserve">Titan007/V4</x:t>
        </x:is>
      </x:c>
      <x:c r="AY1772" s="604" t="inlineStr">
        <x:is>
          <x:t xml:space="preserve">Daily append；市场输入缺失时不生成决策</x:t>
        </x:is>
      </x:c>
    </x:row>
    <x:row r="1773" ht="22" customHeight="1">
      <x:c r="A1773" s="604" t="inlineStr">
        <x:is>
          <x:t xml:space="preserve">2026-10-09</x:t>
        </x:is>
      </x:c>
      <x:c r="B1773" s="604" t="inlineStr">
        <x:is>
          <x:t xml:space="preserve">2026-10-10T00:30:00+08:00</x:t>
        </x:is>
      </x:c>
      <x:c r="C1773" s="604" t="str">
        <x:v>西亚/中亚系列</x:v>
      </x:c>
      <x:c r="D1773" s="604" t="inlineStr">
        <x:is>
          <x:t xml:space="preserve"/>
        </x:is>
      </x:c>
      <x:c r="E1773" s="604" t="inlineStr">
        <x:is>
          <x:t xml:space="preserve">约超联</x:t>
        </x:is>
      </x:c>
      <x:c r="F1773" s="604" t="inlineStr">
        <x:is>
          <x:t xml:space="preserve">亚吉拉安曼 vs 安曼团结</x:t>
        </x:is>
      </x:c>
      <x:c r="G1773" s="604" t="n">
        <x:v>0.86</x:v>
      </x:c>
      <x:c r="H1773" s="604" t="n">
        <x:v>-0.75</x:v>
      </x:c>
      <x:c r="I1773" s="604" t="n">
        <x:v>0.84</x:v>
      </x:c>
      <x:c r="J1773" s="604" t="inlineStr">
        <x:is>
          <x:t xml:space="preserve">0.86/-0.75/0.84</x:t>
        </x:is>
      </x:c>
      <x:c r="K1773" s="604" t="inlineStr">
        <x:is>
          <x:t xml:space="preserve">V4-N</x:t>
        </x:is>
      </x:c>
      <x:c r="L1773" s="604" t="inlineStr">
        <x:is>
          <x:t xml:space="preserve"/>
        </x:is>
      </x:c>
      <x:c r="M1773" s="604" t="n">
        <x:v>0.075004282178434</x:v>
      </x:c>
      <x:c r="N1773" s="604" t="inlineStr">
        <x:is>
          <x:t xml:space="preserve">V4 Shadow Only；real_money=false</x:t>
        </x:is>
      </x:c>
      <x:c r="O1773" s="604" t="inlineStr">
        <x:is>
          <x:t xml:space="preserve">0-0</x:t>
        </x:is>
      </x:c>
      <x:c r="P1773" s="604" t="inlineStr">
        <x:is>
          <x:t xml:space="preserve">EVALUATED</x:t>
        </x:is>
      </x:c>
      <x:c r="Q1773" s="630" t="inlineStr">
        <x:is>
          <x:t xml:space="preserve"/>
        </x:is>
      </x:c>
      <x:c r="R1773" s="604" t="n"/>
      <x:c r="S1773" s="604" t="n"/>
      <x:c r="T1773" s="604" t="inlineStr">
        <x:is>
          <x:t xml:space="preserve">D:\codex\v3_legacy\outputs\football_odds_trader\raw\titan007\20261009\20261009_085232_titan007_odds_snapshot.csv</x:t>
        </x:is>
      </x:c>
      <x:c r="U1773" s="628" t="inlineStr">
        <x:is>
          <x:t xml:space="preserve"/>
        </x:is>
      </x:c>
      <x:c r="V1773" s="604" t="inlineStr">
        <x:is>
          <x:t xml:space="preserve"/>
        </x:is>
      </x:c>
      <x:c r="W1773" s="604" t="inlineStr">
        <x:is>
          <x:t xml:space="preserve"/>
        </x:is>
      </x:c>
      <x:c r="X1773" s="604" t="inlineStr">
        <x:is>
          <x:t xml:space="preserve">3098463</x:t>
        </x:is>
      </x:c>
      <x:c r="Y1773" s="604" t="inlineStr">
        <x:is>
          <x:t xml:space="preserve">V4</x:t>
        </x:is>
      </x:c>
      <x:c r="Z1773" s="604" t="inlineStr">
        <x:is>
          <x:t xml:space="preserve">prior-2026-10-09-v1</x:t>
        </x:is>
      </x:c>
      <x:c r="AA1773" s="604" t="inlineStr">
        <x:is>
          <x:t xml:space="preserve">N</x:t>
        </x:is>
      </x:c>
      <x:c r="AB1773" s="604" t="n">
        <x:v>0.075004282178434</x:v>
      </x:c>
      <x:c r="AC1773" s="604" t="n">
        <x:v>0.8806454068052282</x:v>
      </x:c>
      <x:c r="AD1773" s="604" t="n">
        <x:v>-1.25</x:v>
      </x:c>
      <x:c r="AE1773" s="604" t="n"/>
      <x:c r="AF1773" s="604" t="n"/>
      <x:c r="AG1773" s="604" t="n">
        <x:v>0.6823507676740623</x:v>
      </x:c>
      <x:c r="AH1773" s="604" t="n"/>
      <x:c r="AI1773" s="604" t="n"/>
      <x:c r="AJ1773" s="604" t="n">
        <x:v>0.6823507676740623</x:v>
      </x:c>
      <x:c r="AK1773" s="604" t="n"/>
      <x:c r="AL1773" s="604" t="n"/>
      <x:c r="AM1773" s="604" t="n"/>
      <x:c r="AN1773" s="604" t="inlineStr">
        <x:is>
          <x:t xml:space="preserve">EVALUATED</x:t>
        </x:is>
      </x:c>
      <x:c r="AO1773" s="604" t="inlineStr">
        <x:is>
          <x:t xml:space="preserve">LOW_QUALITY_GATE;BUCKET_PRIOR_ONLY;INTENT_INTERPRETATION_ONLY;FFL_OPTIONAL;EXPERT_MARKET</x:t>
        </x:is>
      </x:c>
      <x:c r="AP1773" s="604" t="inlineStr">
        <x:is>
          <x:t xml:space="preserve">4c8f9f1ecf162dbb5065</x:t>
        </x:is>
      </x:c>
      <x:c r="AQ1773" s="604" t="n"/>
      <x:c r="AR1773" s="604" t="n"/>
      <x:c r="AS1773" s="604" t="n">
        <x:v>-0.75</x:v>
      </x:c>
      <x:c r="AT1773" s="604" t="n">
        <x:v>0.75</x:v>
      </x:c>
      <x:c r="AU1773" s="604" t="n">
        <x:v>0.86</x:v>
      </x:c>
      <x:c r="AV1773" s="604" t="n">
        <x:v>0.84</x:v>
      </x:c>
      <x:c r="AW1773" s="604" t="inlineStr">
        <x:is>
          <x:t xml:space="preserve">2026-10-09T09:01:21.127001+08:00</x:t>
        </x:is>
      </x:c>
      <x:c r="AX1773" s="604" t="inlineStr">
        <x:is>
          <x:t xml:space="preserve">Titan007/V4</x:t>
        </x:is>
      </x:c>
      <x:c r="AY1773" s="604" t="inlineStr">
        <x:is>
          <x:t xml:space="preserve">Daily append；市场输入缺失时不生成决策</x:t>
        </x:is>
      </x:c>
    </x:row>
    <x:row r="1774" ht="22" customHeight="1">
      <x:c r="A1774" s="604" t="inlineStr">
        <x:is>
          <x:t xml:space="preserve">2026-10-09</x:t>
        </x:is>
      </x:c>
      <x:c r="B1774" s="604" t="inlineStr">
        <x:is>
          <x:t xml:space="preserve">2026-10-09T22:00:00+08:00</x:t>
        </x:is>
      </x:c>
      <x:c r="C1774" s="604" t="str">
        <x:v>其他系列</x:v>
      </x:c>
      <x:c r="D1774" s="604" t="inlineStr">
        <x:is>
          <x:t xml:space="preserve"/>
        </x:is>
      </x:c>
      <x:c r="E1774" s="604" t="inlineStr">
        <x:is>
          <x:t xml:space="preserve">阿尔乙东</x:t>
        </x:is>
      </x:c>
      <x:c r="F1774" s="604" t="inlineStr">
        <x:is>
          <x:t xml:space="preserve">安纳巴 vs 沙维雅</x:t>
        </x:is>
      </x:c>
      <x:c r="G1774" s="604" t="n">
        <x:v>1.03</x:v>
      </x:c>
      <x:c r="H1774" s="604" t="n">
        <x:v>0.75</x:v>
      </x:c>
      <x:c r="I1774" s="604" t="n">
        <x:v>0.78</x:v>
      </x:c>
      <x:c r="J1774" s="604" t="inlineStr">
        <x:is>
          <x:t xml:space="preserve">1.03/0.75/0.78</x:t>
        </x:is>
      </x:c>
      <x:c r="K1774" s="604" t="inlineStr">
        <x:is>
          <x:t xml:space="preserve">V4-N</x:t>
        </x:is>
      </x:c>
      <x:c r="L1774" s="604" t="inlineStr">
        <x:is>
          <x:t xml:space="preserve"/>
        </x:is>
      </x:c>
      <x:c r="M1774" s="604" t="n">
        <x:v>0.5238617384835392</x:v>
      </x:c>
      <x:c r="N1774" s="604" t="inlineStr">
        <x:is>
          <x:t xml:space="preserve">V4 Shadow Only；real_money=false</x:t>
        </x:is>
      </x:c>
      <x:c r="O1774" s="604" t="inlineStr">
        <x:is>
          <x:t xml:space="preserve">0-0</x:t>
        </x:is>
      </x:c>
      <x:c r="P1774" s="604" t="inlineStr">
        <x:is>
          <x:t xml:space="preserve">EVALUATED</x:t>
        </x:is>
      </x:c>
      <x:c r="Q1774" s="630" t="inlineStr">
        <x:is>
          <x:t xml:space="preserve"/>
        </x:is>
      </x:c>
      <x:c r="R1774" s="604" t="n"/>
      <x:c r="S1774" s="604" t="n"/>
      <x:c r="T1774" s="604" t="inlineStr">
        <x:is>
          <x:t xml:space="preserve">D:\codex\v3_legacy\outputs\football_odds_trader\raw\titan007\20261009\20261009_085232_titan007_odds_snapshot.csv</x:t>
        </x:is>
      </x:c>
      <x:c r="U1774" s="628" t="inlineStr">
        <x:is>
          <x:t xml:space="preserve"/>
        </x:is>
      </x:c>
      <x:c r="V1774" s="604" t="inlineStr">
        <x:is>
          <x:t xml:space="preserve"/>
        </x:is>
      </x:c>
      <x:c r="W1774" s="604" t="inlineStr">
        <x:is>
          <x:t xml:space="preserve"/>
        </x:is>
      </x:c>
      <x:c r="X1774" s="604" t="inlineStr">
        <x:is>
          <x:t xml:space="preserve">3098491</x:t>
        </x:is>
      </x:c>
      <x:c r="Y1774" s="604" t="inlineStr">
        <x:is>
          <x:t xml:space="preserve">V4</x:t>
        </x:is>
      </x:c>
      <x:c r="Z1774" s="604" t="inlineStr">
        <x:is>
          <x:t xml:space="preserve">prior-2026-10-09-v1</x:t>
        </x:is>
      </x:c>
      <x:c r="AA1774" s="604" t="inlineStr">
        <x:is>
          <x:t xml:space="preserve">N</x:t>
        </x:is>
      </x:c>
      <x:c r="AB1774" s="604" t="n">
        <x:v>0.5238617384835392</x:v>
      </x:c>
      <x:c r="AC1774" s="604" t="n">
        <x:v>0.3466002411688807</x:v>
      </x:c>
      <x:c r="AD1774" s="604" t="n">
        <x:v>1.25</x:v>
      </x:c>
      <x:c r="AE1774" s="604" t="n"/>
      <x:c r="AF1774" s="604" t="n"/>
      <x:c r="AG1774" s="604" t="n">
        <x:v>0.1929773494691647</x:v>
      </x:c>
      <x:c r="AH1774" s="604" t="n"/>
      <x:c r="AI1774" s="604" t="n"/>
      <x:c r="AJ1774" s="604" t="n">
        <x:v>0.1929773494691647</x:v>
      </x:c>
      <x:c r="AK1774" s="604" t="n"/>
      <x:c r="AL1774" s="604" t="n"/>
      <x:c r="AM1774" s="604" t="n"/>
      <x:c r="AN1774" s="604" t="inlineStr">
        <x:is>
          <x:t xml:space="preserve">EVALUATED</x:t>
        </x:is>
      </x:c>
      <x:c r="AO1774" s="604" t="inlineStr">
        <x:is>
          <x:t xml:space="preserve">LOW_QUALITY_GATE;BUCKET_PRIOR_ONLY;INTENT_INTERPRETATION_ONLY;FFL_OPTIONAL;EXPERT_MARKET</x:t>
        </x:is>
      </x:c>
      <x:c r="AP1774" s="604" t="inlineStr">
        <x:is>
          <x:t xml:space="preserve">992d8b0c59afc3718b3f</x:t>
        </x:is>
      </x:c>
      <x:c r="AQ1774" s="604" t="n"/>
      <x:c r="AR1774" s="604" t="n"/>
      <x:c r="AS1774" s="604" t="n">
        <x:v>0.75</x:v>
      </x:c>
      <x:c r="AT1774" s="604" t="n">
        <x:v>-0.75</x:v>
      </x:c>
      <x:c r="AU1774" s="604" t="n">
        <x:v>1.03</x:v>
      </x:c>
      <x:c r="AV1774" s="604" t="n">
        <x:v>0.78</x:v>
      </x:c>
      <x:c r="AW1774" s="604" t="inlineStr">
        <x:is>
          <x:t xml:space="preserve">2026-10-09T09:01:21.127001+08:00</x:t>
        </x:is>
      </x:c>
      <x:c r="AX1774" s="604" t="inlineStr">
        <x:is>
          <x:t xml:space="preserve">Titan007/V4</x:t>
        </x:is>
      </x:c>
      <x:c r="AY1774" s="604" t="inlineStr">
        <x:is>
          <x:t xml:space="preserve">Daily append；市场输入缺失时不生成决策</x:t>
        </x:is>
      </x:c>
    </x:row>
    <x:row r="1775" ht="22" customHeight="1">
      <x:c r="A1775" s="604" t="inlineStr">
        <x:is>
          <x:t xml:space="preserve">2026-10-09</x:t>
        </x:is>
      </x:c>
      <x:c r="B1775" s="604" t="inlineStr">
        <x:is>
          <x:t xml:space="preserve">2026-10-09T22:00:00+08:00</x:t>
        </x:is>
      </x:c>
      <x:c r="C1775" s="604" t="str">
        <x:v>其他系列</x:v>
      </x:c>
      <x:c r="D1775" s="604" t="inlineStr">
        <x:is>
          <x:t xml:space="preserve"/>
        </x:is>
      </x:c>
      <x:c r="E1775" s="604" t="inlineStr">
        <x:is>
          <x:t xml:space="preserve">阿尔乙东</x:t>
        </x:is>
      </x:c>
      <x:c r="F1775" s="604" t="inlineStr">
        <x:is>
          <x:t xml:space="preserve">贝尼奥尔班 vs JS吉杰尔</x:t>
        </x:is>
      </x:c>
      <x:c r="G1775" s="604" t="n">
        <x:v>0.83</x:v>
      </x:c>
      <x:c r="H1775" s="604" t="n">
        <x:v>0.25</x:v>
      </x:c>
      <x:c r="I1775" s="604" t="n">
        <x:v>0.98</x:v>
      </x:c>
      <x:c r="J1775" s="604" t="inlineStr">
        <x:is>
          <x:t xml:space="preserve">0.83/0.25/0.98</x:t>
        </x:is>
      </x:c>
      <x:c r="K1775" s="604" t="inlineStr">
        <x:is>
          <x:t xml:space="preserve">V4-N</x:t>
        </x:is>
      </x:c>
      <x:c r="L1775" s="604" t="inlineStr">
        <x:is>
          <x:t xml:space="preserve"/>
        </x:is>
      </x:c>
      <x:c r="M1775" s="604" t="n">
        <x:v>0.5126406335517978</x:v>
      </x:c>
      <x:c r="N1775" s="604" t="inlineStr">
        <x:is>
          <x:t xml:space="preserve">V4 Shadow Only；real_money=false</x:t>
        </x:is>
      </x:c>
      <x:c r="O1775" s="604" t="inlineStr">
        <x:is>
          <x:t xml:space="preserve">0-0</x:t>
        </x:is>
      </x:c>
      <x:c r="P1775" s="604" t="inlineStr">
        <x:is>
          <x:t xml:space="preserve">EVALUATED</x:t>
        </x:is>
      </x:c>
      <x:c r="Q1775" s="630" t="inlineStr">
        <x:is>
          <x:t xml:space="preserve"/>
        </x:is>
      </x:c>
      <x:c r="R1775" s="604" t="n"/>
      <x:c r="S1775" s="604" t="n"/>
      <x:c r="T1775" s="604" t="inlineStr">
        <x:is>
          <x:t xml:space="preserve">D:\codex\v3_legacy\outputs\football_odds_trader\raw\titan007\20261009\20261009_085232_titan007_odds_snapshot.csv</x:t>
        </x:is>
      </x:c>
      <x:c r="U1775" s="628" t="inlineStr">
        <x:is>
          <x:t xml:space="preserve"/>
        </x:is>
      </x:c>
      <x:c r="V1775" s="604" t="inlineStr">
        <x:is>
          <x:t xml:space="preserve"/>
        </x:is>
      </x:c>
      <x:c r="W1775" s="604" t="inlineStr">
        <x:is>
          <x:t xml:space="preserve"/>
        </x:is>
      </x:c>
      <x:c r="X1775" s="604" t="inlineStr">
        <x:is>
          <x:t xml:space="preserve">3098493</x:t>
        </x:is>
      </x:c>
      <x:c r="Y1775" s="604" t="inlineStr">
        <x:is>
          <x:t xml:space="preserve">V4</x:t>
        </x:is>
      </x:c>
      <x:c r="Z1775" s="604" t="inlineStr">
        <x:is>
          <x:t xml:space="preserve">prior-2026-10-09-v1</x:t>
        </x:is>
      </x:c>
      <x:c r="AA1775" s="604" t="inlineStr">
        <x:is>
          <x:t xml:space="preserve">N</x:t>
        </x:is>
      </x:c>
      <x:c r="AB1775" s="604" t="n">
        <x:v>0.5126406335517978</x:v>
      </x:c>
      <x:c r="AC1775" s="604" t="n">
        <x:v>0.3610403777106551</x:v>
      </x:c>
      <x:c r="AD1775" s="604" t="n">
        <x:v>0.5</x:v>
      </x:c>
      <x:c r="AE1775" s="604" t="n"/>
      <x:c r="AF1775" s="604" t="n"/>
      <x:c r="AG1775" s="604" t="n">
        <x:v>0.06445134813733711</x:v>
      </x:c>
      <x:c r="AH1775" s="604" t="n"/>
      <x:c r="AI1775" s="604" t="n"/>
      <x:c r="AJ1775" s="604" t="n">
        <x:v>0.06445134813733711</x:v>
      </x:c>
      <x:c r="AK1775" s="604" t="n"/>
      <x:c r="AL1775" s="604" t="n"/>
      <x:c r="AM1775" s="604" t="n"/>
      <x:c r="AN1775" s="604" t="inlineStr">
        <x:is>
          <x:t xml:space="preserve">EVALUATED</x:t>
        </x:is>
      </x:c>
      <x:c r="AO1775" s="604" t="inlineStr">
        <x:is>
          <x:t xml:space="preserve">LOW_QUALITY_GATE;BUCKET_PRIOR_ONLY;INTENT_INTERPRETATION_ONLY;FFL_OPTIONAL;EXPERT_MARKET</x:t>
        </x:is>
      </x:c>
      <x:c r="AP1775" s="604" t="inlineStr">
        <x:is>
          <x:t xml:space="preserve">010c15402ae710c20b83</x:t>
        </x:is>
      </x:c>
      <x:c r="AQ1775" s="604" t="n"/>
      <x:c r="AR1775" s="604" t="n"/>
      <x:c r="AS1775" s="604" t="n">
        <x:v>0.25</x:v>
      </x:c>
      <x:c r="AT1775" s="604" t="n">
        <x:v>-0.25</x:v>
      </x:c>
      <x:c r="AU1775" s="604" t="n">
        <x:v>0.83</x:v>
      </x:c>
      <x:c r="AV1775" s="604" t="n">
        <x:v>0.98</x:v>
      </x:c>
      <x:c r="AW1775" s="604" t="inlineStr">
        <x:is>
          <x:t xml:space="preserve">2026-10-09T09:01:21.127001+08:00</x:t>
        </x:is>
      </x:c>
      <x:c r="AX1775" s="604" t="inlineStr">
        <x:is>
          <x:t xml:space="preserve">Titan007/V4</x:t>
        </x:is>
      </x:c>
      <x:c r="AY1775" s="604" t="inlineStr">
        <x:is>
          <x:t xml:space="preserve">Daily append；市场输入缺失时不生成决策</x:t>
        </x:is>
      </x:c>
    </x:row>
    <x:row r="1776" ht="22" customHeight="1">
      <x:c r="A1776" s="604" t="inlineStr">
        <x:is>
          <x:t xml:space="preserve">2026-10-09</x:t>
        </x:is>
      </x:c>
      <x:c r="B1776" s="604" t="inlineStr">
        <x:is>
          <x:t xml:space="preserve">2026-10-09T22:00:00+08:00</x:t>
        </x:is>
      </x:c>
      <x:c r="C1776" s="604" t="str">
        <x:v>其他系列</x:v>
      </x:c>
      <x:c r="D1776" s="604" t="inlineStr">
        <x:is>
          <x:t xml:space="preserve"/>
        </x:is>
      </x:c>
      <x:c r="E1776" s="604" t="inlineStr">
        <x:is>
          <x:t xml:space="preserve">阿尔乙东</x:t>
        </x:is>
      </x:c>
      <x:c r="F1776" s="604" t="inlineStr">
        <x:is>
          <x:t xml:space="preserve">AS库鲁布 vs NRB电报</x:t>
        </x:is>
      </x:c>
      <x:c r="G1776" s="604" t="n">
        <x:v>0.85</x:v>
      </x:c>
      <x:c r="H1776" s="604" t="n">
        <x:v>0.75</x:v>
      </x:c>
      <x:c r="I1776" s="604" t="n">
        <x:v>0.95</x:v>
      </x:c>
      <x:c r="J1776" s="604" t="inlineStr">
        <x:is>
          <x:t xml:space="preserve">0.85/0.75/0.95</x:t>
        </x:is>
      </x:c>
      <x:c r="K1776" s="604" t="inlineStr">
        <x:is>
          <x:t xml:space="preserve">V4-N</x:t>
        </x:is>
      </x:c>
      <x:c r="L1776" s="604" t="inlineStr">
        <x:is>
          <x:t xml:space="preserve"/>
        </x:is>
      </x:c>
      <x:c r="M1776" s="604" t="n">
        <x:v>0.5578136803027604</x:v>
      </x:c>
      <x:c r="N1776" s="604" t="inlineStr">
        <x:is>
          <x:t xml:space="preserve">V4 Shadow Only；real_money=false</x:t>
        </x:is>
      </x:c>
      <x:c r="O1776" s="604" t="inlineStr">
        <x:is>
          <x:t xml:space="preserve">0-0</x:t>
        </x:is>
      </x:c>
      <x:c r="P1776" s="604" t="inlineStr">
        <x:is>
          <x:t xml:space="preserve">EVALUATED</x:t>
        </x:is>
      </x:c>
      <x:c r="Q1776" s="630" t="inlineStr">
        <x:is>
          <x:t xml:space="preserve"/>
        </x:is>
      </x:c>
      <x:c r="R1776" s="604" t="n"/>
      <x:c r="S1776" s="604" t="n"/>
      <x:c r="T1776" s="604" t="inlineStr">
        <x:is>
          <x:t xml:space="preserve">D:\codex\v3_legacy\outputs\football_odds_trader\raw\titan007\20261009\20261009_085232_titan007_odds_snapshot.csv</x:t>
        </x:is>
      </x:c>
      <x:c r="U1776" s="628" t="inlineStr">
        <x:is>
          <x:t xml:space="preserve"/>
        </x:is>
      </x:c>
      <x:c r="V1776" s="604" t="inlineStr">
        <x:is>
          <x:t xml:space="preserve"/>
        </x:is>
      </x:c>
      <x:c r="W1776" s="604" t="inlineStr">
        <x:is>
          <x:t xml:space="preserve"/>
        </x:is>
      </x:c>
      <x:c r="X1776" s="604" t="inlineStr">
        <x:is>
          <x:t xml:space="preserve">3098494</x:t>
        </x:is>
      </x:c>
      <x:c r="Y1776" s="604" t="inlineStr">
        <x:is>
          <x:t xml:space="preserve">V4</x:t>
        </x:is>
      </x:c>
      <x:c r="Z1776" s="604" t="inlineStr">
        <x:is>
          <x:t xml:space="preserve">prior-2026-10-09-v1</x:t>
        </x:is>
      </x:c>
      <x:c r="AA1776" s="604" t="inlineStr">
        <x:is>
          <x:t xml:space="preserve">N</x:t>
        </x:is>
      </x:c>
      <x:c r="AB1776" s="604" t="n">
        <x:v>0.5578136803027604</x:v>
      </x:c>
      <x:c r="AC1776" s="604" t="n">
        <x:v>0.3131227503827977</x:v>
      </x:c>
      <x:c r="AD1776" s="604" t="n">
        <x:v>1.25</x:v>
      </x:c>
      <x:c r="AE1776" s="604" t="n"/>
      <x:c r="AF1776" s="604" t="n"/>
      <x:c r="AG1776" s="604" t="n">
        <x:v>0.1610188778745486</x:v>
      </x:c>
      <x:c r="AH1776" s="604" t="n"/>
      <x:c r="AI1776" s="604" t="n"/>
      <x:c r="AJ1776" s="604" t="n">
        <x:v>0.1610188778745486</x:v>
      </x:c>
      <x:c r="AK1776" s="604" t="n"/>
      <x:c r="AL1776" s="604" t="n"/>
      <x:c r="AM1776" s="604" t="n"/>
      <x:c r="AN1776" s="604" t="inlineStr">
        <x:is>
          <x:t xml:space="preserve">EVALUATED</x:t>
        </x:is>
      </x:c>
      <x:c r="AO1776" s="604" t="inlineStr">
        <x:is>
          <x:t xml:space="preserve">LOW_QUALITY_GATE;BUCKET_PRIOR_ONLY;INTENT_INTERPRETATION_ONLY;FFL_OPTIONAL;EXPERT_MARKET</x:t>
        </x:is>
      </x:c>
      <x:c r="AP1776" s="604" t="inlineStr">
        <x:is>
          <x:t xml:space="preserve">1eccbef267d7ea411123</x:t>
        </x:is>
      </x:c>
      <x:c r="AQ1776" s="604" t="n"/>
      <x:c r="AR1776" s="604" t="n"/>
      <x:c r="AS1776" s="604" t="n">
        <x:v>0.75</x:v>
      </x:c>
      <x:c r="AT1776" s="604" t="n">
        <x:v>-0.75</x:v>
      </x:c>
      <x:c r="AU1776" s="604" t="n">
        <x:v>0.85</x:v>
      </x:c>
      <x:c r="AV1776" s="604" t="n">
        <x:v>0.95</x:v>
      </x:c>
      <x:c r="AW1776" s="604" t="inlineStr">
        <x:is>
          <x:t xml:space="preserve">2026-10-09T09:01:21.127001+08:00</x:t>
        </x:is>
      </x:c>
      <x:c r="AX1776" s="604" t="inlineStr">
        <x:is>
          <x:t xml:space="preserve">Titan007/V4</x:t>
        </x:is>
      </x:c>
      <x:c r="AY1776" s="604" t="inlineStr">
        <x:is>
          <x:t xml:space="preserve">Daily append；市场输入缺失时不生成决策</x:t>
        </x:is>
      </x:c>
    </x:row>
    <x:row r="1777" ht="22" customHeight="1">
      <x:c r="A1777" s="604" t="inlineStr">
        <x:is>
          <x:t xml:space="preserve">2026-10-09</x:t>
        </x:is>
      </x:c>
      <x:c r="B1777" s="604" t="inlineStr">
        <x:is>
          <x:t xml:space="preserve">2026-10-09T22:00:00+08:00</x:t>
        </x:is>
      </x:c>
      <x:c r="C1777" s="604" t="str">
        <x:v>其他系列</x:v>
      </x:c>
      <x:c r="D1777" s="604" t="inlineStr">
        <x:is>
          <x:t xml:space="preserve"/>
        </x:is>
      </x:c>
      <x:c r="E1777" s="604" t="inlineStr">
        <x:is>
          <x:t xml:space="preserve">阿尔乙东</x:t>
        </x:is>
      </x:c>
      <x:c r="F1777" s="604" t="inlineStr">
        <x:is>
          <x:t xml:space="preserve">马格拉 vs CA巴特纳</x:t>
        </x:is>
      </x:c>
      <x:c r="G1777" s="604" t="n">
        <x:v>1</x:v>
      </x:c>
      <x:c r="H1777" s="604" t="n">
        <x:v>-0.25</x:v>
      </x:c>
      <x:c r="I1777" s="604" t="n">
        <x:v>0.8</x:v>
      </x:c>
      <x:c r="J1777" s="604" t="inlineStr">
        <x:is>
          <x:t xml:space="preserve">1.0/-0.25/0.8</x:t>
        </x:is>
      </x:c>
      <x:c r="K1777" s="604" t="inlineStr">
        <x:is>
          <x:t xml:space="preserve">V4-N</x:t>
        </x:is>
      </x:c>
      <x:c r="L1777" s="604" t="inlineStr">
        <x:is>
          <x:t xml:space="preserve"/>
        </x:is>
      </x:c>
      <x:c r="M1777" s="604" t="n">
        <x:v>0.2427246254682363</x:v>
      </x:c>
      <x:c r="N1777" s="604" t="inlineStr">
        <x:is>
          <x:t xml:space="preserve">V4 Shadow Only；real_money=false</x:t>
        </x:is>
      </x:c>
      <x:c r="O1777" s="604" t="inlineStr">
        <x:is>
          <x:t xml:space="preserve">0-0</x:t>
        </x:is>
      </x:c>
      <x:c r="P1777" s="604" t="inlineStr">
        <x:is>
          <x:t xml:space="preserve">EVALUATED</x:t>
        </x:is>
      </x:c>
      <x:c r="Q1777" s="630" t="inlineStr">
        <x:is>
          <x:t xml:space="preserve"/>
        </x:is>
      </x:c>
      <x:c r="R1777" s="604" t="n"/>
      <x:c r="S1777" s="604" t="n"/>
      <x:c r="T1777" s="604" t="inlineStr">
        <x:is>
          <x:t xml:space="preserve">D:\codex\v3_legacy\outputs\football_odds_trader\raw\titan007\20261009\20261009_085232_titan007_odds_snapshot.csv</x:t>
        </x:is>
      </x:c>
      <x:c r="U1777" s="628" t="inlineStr">
        <x:is>
          <x:t xml:space="preserve"/>
        </x:is>
      </x:c>
      <x:c r="V1777" s="604" t="inlineStr">
        <x:is>
          <x:t xml:space="preserve"/>
        </x:is>
      </x:c>
      <x:c r="W1777" s="604" t="inlineStr">
        <x:is>
          <x:t xml:space="preserve"/>
        </x:is>
      </x:c>
      <x:c r="X1777" s="604" t="inlineStr">
        <x:is>
          <x:t xml:space="preserve">3098495</x:t>
        </x:is>
      </x:c>
      <x:c r="Y1777" s="604" t="inlineStr">
        <x:is>
          <x:t xml:space="preserve">V4</x:t>
        </x:is>
      </x:c>
      <x:c r="Z1777" s="604" t="inlineStr">
        <x:is>
          <x:t xml:space="preserve">prior-2026-10-09-v1</x:t>
        </x:is>
      </x:c>
      <x:c r="AA1777" s="604" t="inlineStr">
        <x:is>
          <x:t xml:space="preserve">N</x:t>
        </x:is>
      </x:c>
      <x:c r="AB1777" s="604" t="n">
        <x:v>0.2427246254682363</x:v>
      </x:c>
      <x:c r="AC1777" s="604" t="n">
        <x:v>0.6304434760159978</x:v>
      </x:c>
      <x:c r="AD1777" s="604" t="n">
        <x:v>-0.5</x:v>
      </x:c>
      <x:c r="AE1777" s="604" t="n"/>
      <x:c r="AF1777" s="604" t="n"/>
      <x:c r="AG1777" s="604" t="n">
        <x:v>0.3877188505477615</x:v>
      </x:c>
      <x:c r="AH1777" s="604" t="n"/>
      <x:c r="AI1777" s="604" t="n"/>
      <x:c r="AJ1777" s="604" t="n">
        <x:v>0.3877188505477615</x:v>
      </x:c>
      <x:c r="AK1777" s="604" t="n"/>
      <x:c r="AL1777" s="604" t="n"/>
      <x:c r="AM1777" s="604" t="n"/>
      <x:c r="AN1777" s="604" t="inlineStr">
        <x:is>
          <x:t xml:space="preserve">EVALUATED</x:t>
        </x:is>
      </x:c>
      <x:c r="AO1777" s="604" t="inlineStr">
        <x:is>
          <x:t xml:space="preserve">LOW_QUALITY_GATE;BUCKET_PRIOR_ONLY;INTENT_INTERPRETATION_ONLY;FFL_OPTIONAL;EXPERT_MARKET</x:t>
        </x:is>
      </x:c>
      <x:c r="AP1777" s="604" t="inlineStr">
        <x:is>
          <x:t xml:space="preserve">a70e0860cfa2671ffcc5</x:t>
        </x:is>
      </x:c>
      <x:c r="AQ1777" s="604" t="n"/>
      <x:c r="AR1777" s="604" t="n"/>
      <x:c r="AS1777" s="604" t="n">
        <x:v>-0.25</x:v>
      </x:c>
      <x:c r="AT1777" s="604" t="n">
        <x:v>0.25</x:v>
      </x:c>
      <x:c r="AU1777" s="604" t="n">
        <x:v>1</x:v>
      </x:c>
      <x:c r="AV1777" s="604" t="n">
        <x:v>0.8</x:v>
      </x:c>
      <x:c r="AW1777" s="604" t="inlineStr">
        <x:is>
          <x:t xml:space="preserve">2026-10-09T09:01:21.127001+08:00</x:t>
        </x:is>
      </x:c>
      <x:c r="AX1777" s="604" t="inlineStr">
        <x:is>
          <x:t xml:space="preserve">Titan007/V4</x:t>
        </x:is>
      </x:c>
      <x:c r="AY1777" s="604" t="inlineStr">
        <x:is>
          <x:t xml:space="preserve">Daily append；市场输入缺失时不生成决策</x:t>
        </x:is>
      </x:c>
    </x:row>
    <x:row r="1778" ht="22" customHeight="1">
      <x:c r="A1778" s="604" t="inlineStr">
        <x:is>
          <x:t xml:space="preserve">2026-10-09</x:t>
        </x:is>
      </x:c>
      <x:c r="B1778" s="604" t="inlineStr">
        <x:is>
          <x:t xml:space="preserve">2026-10-09T22:00:00+08:00</x:t>
        </x:is>
      </x:c>
      <x:c r="C1778" s="604" t="str">
        <x:v>其他系列</x:v>
      </x:c>
      <x:c r="D1778" s="604" t="inlineStr">
        <x:is>
          <x:t xml:space="preserve"/>
        </x:is>
      </x:c>
      <x:c r="E1778" s="604" t="inlineStr">
        <x:is>
          <x:t xml:space="preserve">阿尔乙东</x:t>
        </x:is>
      </x:c>
      <x:c r="F1778" s="604" t="inlineStr">
        <x:is>
          <x:t xml:space="preserve">MSP巴特纳 vs CR贝尼图尔</x:t>
        </x:is>
      </x:c>
      <x:c r="G1778" s="604" t="n">
        <x:v>0.8</x:v>
      </x:c>
      <x:c r="H1778" s="604" t="n">
        <x:v>1.25</x:v>
      </x:c>
      <x:c r="I1778" s="604" t="n">
        <x:v>1</x:v>
      </x:c>
      <x:c r="J1778" s="604" t="inlineStr">
        <x:is>
          <x:t xml:space="preserve">0.8/1.25/1.0</x:t>
        </x:is>
      </x:c>
      <x:c r="K1778" s="604" t="inlineStr">
        <x:is>
          <x:t xml:space="preserve">V4-N</x:t>
        </x:is>
      </x:c>
      <x:c r="L1778" s="604" t="inlineStr">
        <x:is>
          <x:t xml:space="preserve"/>
        </x:is>
      </x:c>
      <x:c r="M1778" s="604" t="n">
        <x:v>0.6215121110551245</x:v>
      </x:c>
      <x:c r="N1778" s="604" t="inlineStr">
        <x:is>
          <x:t xml:space="preserve">V4 Shadow Only；real_money=false</x:t>
        </x:is>
      </x:c>
      <x:c r="O1778" s="604" t="inlineStr">
        <x:is>
          <x:t xml:space="preserve">0-0</x:t>
        </x:is>
      </x:c>
      <x:c r="P1778" s="604" t="inlineStr">
        <x:is>
          <x:t xml:space="preserve">EVALUATED</x:t>
        </x:is>
      </x:c>
      <x:c r="Q1778" s="630" t="inlineStr">
        <x:is>
          <x:t xml:space="preserve"/>
        </x:is>
      </x:c>
      <x:c r="R1778" s="604" t="n"/>
      <x:c r="S1778" s="604" t="n"/>
      <x:c r="T1778" s="604" t="inlineStr">
        <x:is>
          <x:t xml:space="preserve">D:\codex\v3_legacy\outputs\football_odds_trader\raw\titan007\20261009\20261009_085232_titan007_odds_snapshot.csv</x:t>
        </x:is>
      </x:c>
      <x:c r="U1778" s="628" t="inlineStr">
        <x:is>
          <x:t xml:space="preserve"/>
        </x:is>
      </x:c>
      <x:c r="V1778" s="604" t="inlineStr">
        <x:is>
          <x:t xml:space="preserve"/>
        </x:is>
      </x:c>
      <x:c r="W1778" s="604" t="inlineStr">
        <x:is>
          <x:t xml:space="preserve"/>
        </x:is>
      </x:c>
      <x:c r="X1778" s="604" t="inlineStr">
        <x:is>
          <x:t xml:space="preserve">3098496</x:t>
        </x:is>
      </x:c>
      <x:c r="Y1778" s="604" t="inlineStr">
        <x:is>
          <x:t xml:space="preserve">V4</x:t>
        </x:is>
      </x:c>
      <x:c r="Z1778" s="604" t="inlineStr">
        <x:is>
          <x:t xml:space="preserve">prior-2026-10-09-v1</x:t>
        </x:is>
      </x:c>
      <x:c r="AA1778" s="604" t="inlineStr">
        <x:is>
          <x:t xml:space="preserve">N</x:t>
        </x:is>
      </x:c>
      <x:c r="AB1778" s="604" t="n">
        <x:v>0.6215121110551245</x:v>
      </x:c>
      <x:c r="AC1778" s="604" t="n">
        <x:v>0.2645056508537165</x:v>
      </x:c>
      <x:c r="AD1778" s="604" t="n">
        <x:v>2</x:v>
      </x:c>
      <x:c r="AE1778" s="604" t="n"/>
      <x:c r="AF1778" s="604" t="n"/>
      <x:c r="AG1778" s="604" t="n">
        <x:v>0.2327040379903831</x:v>
      </x:c>
      <x:c r="AH1778" s="604" t="n"/>
      <x:c r="AI1778" s="604" t="n"/>
      <x:c r="AJ1778" s="604" t="n">
        <x:v>0.2327040379903831</x:v>
      </x:c>
      <x:c r="AK1778" s="604" t="n"/>
      <x:c r="AL1778" s="604" t="n"/>
      <x:c r="AM1778" s="604" t="n"/>
      <x:c r="AN1778" s="604" t="inlineStr">
        <x:is>
          <x:t xml:space="preserve">EVALUATED</x:t>
        </x:is>
      </x:c>
      <x:c r="AO1778" s="604" t="inlineStr">
        <x:is>
          <x:t xml:space="preserve">LOW_QUALITY_GATE;BUCKET_PRIOR_ONLY;INTENT_INTERPRETATION_ONLY;FFL_OPTIONAL;EXPERT_MARKET</x:t>
        </x:is>
      </x:c>
      <x:c r="AP1778" s="604" t="inlineStr">
        <x:is>
          <x:t xml:space="preserve">37f58b0a6ffb8d7c6e64</x:t>
        </x:is>
      </x:c>
      <x:c r="AQ1778" s="604" t="n"/>
      <x:c r="AR1778" s="604" t="n"/>
      <x:c r="AS1778" s="604" t="n">
        <x:v>1.25</x:v>
      </x:c>
      <x:c r="AT1778" s="604" t="n">
        <x:v>-1.25</x:v>
      </x:c>
      <x:c r="AU1778" s="604" t="n">
        <x:v>0.8</x:v>
      </x:c>
      <x:c r="AV1778" s="604" t="n">
        <x:v>1</x:v>
      </x:c>
      <x:c r="AW1778" s="604" t="inlineStr">
        <x:is>
          <x:t xml:space="preserve">2026-10-09T09:01:21.127001+08:00</x:t>
        </x:is>
      </x:c>
      <x:c r="AX1778" s="604" t="inlineStr">
        <x:is>
          <x:t xml:space="preserve">Titan007/V4</x:t>
        </x:is>
      </x:c>
      <x:c r="AY1778" s="604" t="inlineStr">
        <x:is>
          <x:t xml:space="preserve">Daily append；市场输入缺失时不生成决策</x:t>
        </x:is>
      </x:c>
    </x:row>
    <x:row r="1779" ht="22" customHeight="1">
      <x:c r="A1779" s="604" t="inlineStr">
        <x:is>
          <x:t xml:space="preserve">2026-10-09</x:t>
        </x:is>
      </x:c>
      <x:c r="B1779" s="604" t="inlineStr">
        <x:is>
          <x:t xml:space="preserve">2026-10-09T22:00:00+08:00</x:t>
        </x:is>
      </x:c>
      <x:c r="C1779" s="604" t="str">
        <x:v>其他系列</x:v>
      </x:c>
      <x:c r="D1779" s="604" t="inlineStr">
        <x:is>
          <x:t xml:space="preserve"/>
        </x:is>
      </x:c>
      <x:c r="E1779" s="604" t="inlineStr">
        <x:is>
          <x:t xml:space="preserve">阿尔乙东</x:t>
        </x:is>
      </x:c>
      <x:c r="F1779" s="604" t="inlineStr">
        <x:is>
          <x:t xml:space="preserve">内兹拉 vs MO康士坦丁</x:t>
        </x:is>
      </x:c>
      <x:c r="G1779" s="604" t="n"/>
      <x:c r="H1779" s="604" t="n"/>
      <x:c r="I1779" s="604" t="n"/>
      <x:c r="J1779" s="604" t="inlineStr">
        <x:is>
          <x:t xml:space="preserve">//</x:t>
        </x:is>
      </x:c>
      <x:c r="K1779" s="604" t="inlineStr">
        <x:is>
          <x:t xml:space="preserve">V4不可用：市场输入缺失</x:t>
        </x:is>
      </x:c>
      <x:c r="L1779" s="604" t="inlineStr">
        <x:is>
          <x:t xml:space="preserve"/>
        </x:is>
      </x:c>
      <x:c r="M1779" s="604" t="n"/>
      <x:c r="N1779" s="604" t="inlineStr">
        <x:is>
          <x:t xml:space="preserve">V4 Shadow Only；real_money=false</x:t>
        </x:is>
      </x:c>
      <x:c r="O1779" s="604" t="inlineStr">
        <x:is>
          <x:t xml:space="preserve">0-0</x:t>
        </x:is>
      </x:c>
      <x:c r="P1779" s="604" t="inlineStr">
        <x:is>
          <x:t xml:space="preserve">MISSING_DATA</x:t>
        </x:is>
      </x:c>
      <x:c r="Q1779" s="630" t="inlineStr">
        <x:is>
          <x:t xml:space="preserve"/>
        </x:is>
      </x:c>
      <x:c r="R1779" s="604" t="n"/>
      <x:c r="S1779" s="604" t="n"/>
      <x:c r="T1779" s="604" t="inlineStr">
        <x:is>
          <x:t xml:space="preserve">D:\codex\v3_legacy\outputs\football_odds_trader\raw\titan007\20261009\20261009_085232_titan007_odds_snapshot.csv</x:t>
        </x:is>
      </x:c>
      <x:c r="U1779" s="628" t="inlineStr">
        <x:is>
          <x:t xml:space="preserve"/>
        </x:is>
      </x:c>
      <x:c r="V1779" s="604" t="inlineStr">
        <x:is>
          <x:t xml:space="preserve"/>
        </x:is>
      </x:c>
      <x:c r="W1779" s="604" t="inlineStr">
        <x:is>
          <x:t xml:space="preserve"/>
        </x:is>
      </x:c>
      <x:c r="X1779" s="604" t="inlineStr">
        <x:is>
          <x:t xml:space="preserve">3098497</x:t>
        </x:is>
      </x:c>
      <x:c r="Y1779" s="604" t="inlineStr">
        <x:is>
          <x:t xml:space="preserve">V4</x:t>
        </x:is>
      </x:c>
      <x:c r="Z1779" s="604" t="inlineStr">
        <x:is>
          <x:t xml:space="preserve">prior-2026-10-09-v1</x:t>
        </x:is>
      </x:c>
      <x:c r="AA1779" s="604" t="inlineStr">
        <x:is>
          <x:t xml:space="preserve"/>
        </x:is>
      </x:c>
      <x:c r="AB1779" s="604" t="n"/>
      <x:c r="AC1779" s="604" t="n"/>
      <x:c r="AD1779" s="604" t="n"/>
      <x:c r="AE1779" s="604" t="n"/>
      <x:c r="AF1779" s="604" t="n"/>
      <x:c r="AG1779" s="604" t="n"/>
      <x:c r="AH1779" s="604" t="n"/>
      <x:c r="AI1779" s="604" t="n"/>
      <x:c r="AJ1779" s="604" t="n"/>
      <x:c r="AK1779" s="604" t="n"/>
      <x:c r="AL1779" s="604" t="n"/>
      <x:c r="AM1779" s="604" t="n"/>
      <x:c r="AN1779" s="604" t="inlineStr">
        <x:is>
          <x:t xml:space="preserve">MISSING_DATA</x:t>
        </x:is>
      </x:c>
      <x:c r="AO1779" s="604" t="inlineStr">
        <x:is>
          <x:t xml:space="preserve">REQUIRED_MARKET_INPUT_MISSING</x:t>
        </x:is>
      </x:c>
      <x:c r="AP1779" s="604" t="inlineStr">
        <x:is>
          <x:t xml:space="preserve">15b637dce28eaa6eca49</x:t>
        </x:is>
      </x:c>
      <x:c r="AQ1779" s="604" t="n"/>
      <x:c r="AR1779" s="604" t="n"/>
      <x:c r="AS1779" s="604" t="n"/>
      <x:c r="AT1779" s="604" t="n"/>
      <x:c r="AU1779" s="604" t="n"/>
      <x:c r="AV1779" s="604" t="n"/>
      <x:c r="AW1779" s="604" t="inlineStr">
        <x:is>
          <x:t xml:space="preserve">2026-10-09T09:01:21.127001+08:00</x:t>
        </x:is>
      </x:c>
      <x:c r="AX1779" s="604" t="inlineStr">
        <x:is>
          <x:t xml:space="preserve">Titan007/V4</x:t>
        </x:is>
      </x:c>
      <x:c r="AY1779" s="604" t="inlineStr">
        <x:is>
          <x:t xml:space="preserve">Daily append；市场输入缺失时不生成决策</x:t>
        </x:is>
      </x:c>
    </x:row>
    <x:row r="1780" ht="22" customHeight="1">
      <x:c r="A1780" s="604" t="inlineStr">
        <x:is>
          <x:t xml:space="preserve">2026-10-09</x:t>
        </x:is>
      </x:c>
      <x:c r="B1780" s="604" t="inlineStr">
        <x:is>
          <x:t xml:space="preserve">2026-10-09T22:00:00+08:00</x:t>
        </x:is>
      </x:c>
      <x:c r="C1780" s="604" t="str">
        <x:v>其他系列</x:v>
      </x:c>
      <x:c r="D1780" s="604" t="inlineStr">
        <x:is>
          <x:t xml:space="preserve"/>
        </x:is>
      </x:c>
      <x:c r="E1780" s="604" t="inlineStr">
        <x:is>
          <x:t xml:space="preserve">阿尔乙东</x:t>
        </x:is>
      </x:c>
      <x:c r="F1780" s="604" t="inlineStr">
        <x:is>
          <x:t xml:space="preserve">柏拉道 vs 斯基克达</x:t>
        </x:is>
      </x:c>
      <x:c r="G1780" s="604" t="n">
        <x:v>0.85</x:v>
      </x:c>
      <x:c r="H1780" s="604" t="n">
        <x:v>0.5</x:v>
      </x:c>
      <x:c r="I1780" s="604" t="n">
        <x:v>0.95</x:v>
      </x:c>
      <x:c r="J1780" s="604" t="inlineStr">
        <x:is>
          <x:t xml:space="preserve">0.85/0.5/0.95</x:t>
        </x:is>
      </x:c>
      <x:c r="K1780" s="604" t="inlineStr">
        <x:is>
          <x:t xml:space="preserve">V4-N</x:t>
        </x:is>
      </x:c>
      <x:c r="L1780" s="604" t="inlineStr">
        <x:is>
          <x:t xml:space="preserve"/>
        </x:is>
      </x:c>
      <x:c r="M1780" s="604" t="n">
        <x:v>0.6169556004104921</x:v>
      </x:c>
      <x:c r="N1780" s="604" t="inlineStr">
        <x:is>
          <x:t xml:space="preserve">V4 Shadow Only；real_money=false</x:t>
        </x:is>
      </x:c>
      <x:c r="O1780" s="604" t="inlineStr">
        <x:is>
          <x:t xml:space="preserve">0-0</x:t>
        </x:is>
      </x:c>
      <x:c r="P1780" s="604" t="inlineStr">
        <x:is>
          <x:t xml:space="preserve">EVALUATED</x:t>
        </x:is>
      </x:c>
      <x:c r="Q1780" s="630" t="inlineStr">
        <x:is>
          <x:t xml:space="preserve"/>
        </x:is>
      </x:c>
      <x:c r="R1780" s="604" t="n"/>
      <x:c r="S1780" s="604" t="n"/>
      <x:c r="T1780" s="604" t="inlineStr">
        <x:is>
          <x:t xml:space="preserve">D:\codex\v3_legacy\outputs\football_odds_trader\raw\titan007\20261009\20261009_085232_titan007_odds_snapshot.csv</x:t>
        </x:is>
      </x:c>
      <x:c r="U1780" s="628" t="inlineStr">
        <x:is>
          <x:t xml:space="preserve"/>
        </x:is>
      </x:c>
      <x:c r="V1780" s="604" t="inlineStr">
        <x:is>
          <x:t xml:space="preserve"/>
        </x:is>
      </x:c>
      <x:c r="W1780" s="604" t="inlineStr">
        <x:is>
          <x:t xml:space="preserve"/>
        </x:is>
      </x:c>
      <x:c r="X1780" s="604" t="inlineStr">
        <x:is>
          <x:t xml:space="preserve">3098498</x:t>
        </x:is>
      </x:c>
      <x:c r="Y1780" s="604" t="inlineStr">
        <x:is>
          <x:t xml:space="preserve">V4</x:t>
        </x:is>
      </x:c>
      <x:c r="Z1780" s="604" t="inlineStr">
        <x:is>
          <x:t xml:space="preserve">prior-2026-10-09-v1</x:t>
        </x:is>
      </x:c>
      <x:c r="AA1780" s="604" t="inlineStr">
        <x:is>
          <x:t xml:space="preserve">N</x:t>
        </x:is>
      </x:c>
      <x:c r="AB1780" s="604" t="n">
        <x:v>0.6169556004104921</x:v>
      </x:c>
      <x:c r="AC1780" s="604" t="n">
        <x:v>0.3830443995895079</x:v>
      </x:c>
      <x:c r="AD1780" s="604" t="n">
        <x:v>1</x:v>
      </x:c>
      <x:c r="AE1780" s="604" t="n"/>
      <x:c r="AF1780" s="604" t="n"/>
      <x:c r="AG1780" s="604" t="n">
        <x:v>0.1413678607594104</x:v>
      </x:c>
      <x:c r="AH1780" s="604" t="n"/>
      <x:c r="AI1780" s="604" t="n"/>
      <x:c r="AJ1780" s="604" t="n">
        <x:v>0.1413678607594104</x:v>
      </x:c>
      <x:c r="AK1780" s="604" t="n"/>
      <x:c r="AL1780" s="604" t="n"/>
      <x:c r="AM1780" s="604" t="n"/>
      <x:c r="AN1780" s="604" t="inlineStr">
        <x:is>
          <x:t xml:space="preserve">EVALUATED</x:t>
        </x:is>
      </x:c>
      <x:c r="AO1780" s="604" t="inlineStr">
        <x:is>
          <x:t xml:space="preserve">LOW_QUALITY_GATE;BUCKET_PRIOR_ONLY;INTENT_INTERPRETATION_ONLY;FFL_OPTIONAL;EXPERT_MARKET</x:t>
        </x:is>
      </x:c>
      <x:c r="AP1780" s="604" t="inlineStr">
        <x:is>
          <x:t xml:space="preserve">cacc19ef6cc7f45d5362</x:t>
        </x:is>
      </x:c>
      <x:c r="AQ1780" s="604" t="n"/>
      <x:c r="AR1780" s="604" t="n"/>
      <x:c r="AS1780" s="604" t="n">
        <x:v>0.5</x:v>
      </x:c>
      <x:c r="AT1780" s="604" t="n">
        <x:v>-0.5</x:v>
      </x:c>
      <x:c r="AU1780" s="604" t="n">
        <x:v>0.85</x:v>
      </x:c>
      <x:c r="AV1780" s="604" t="n">
        <x:v>0.95</x:v>
      </x:c>
      <x:c r="AW1780" s="604" t="inlineStr">
        <x:is>
          <x:t xml:space="preserve">2026-10-09T09:01:21.127001+08:00</x:t>
        </x:is>
      </x:c>
      <x:c r="AX1780" s="604" t="inlineStr">
        <x:is>
          <x:t xml:space="preserve">Titan007/V4</x:t>
        </x:is>
      </x:c>
      <x:c r="AY1780" s="604" t="inlineStr">
        <x:is>
          <x:t xml:space="preserve">Daily append；市场输入缺失时不生成决策</x:t>
        </x:is>
      </x:c>
    </x:row>
    <x:row r="1781" ht="22" customHeight="1">
      <x:c r="A1781" s="604" t="inlineStr">
        <x:is>
          <x:t xml:space="preserve">2026-10-09</x:t>
        </x:is>
      </x:c>
      <x:c r="B1781" s="604" t="inlineStr">
        <x:is>
          <x:t xml:space="preserve">2026-10-09T22:00:00+08:00</x:t>
        </x:is>
      </x:c>
      <x:c r="C1781" s="604" t="str">
        <x:v>其他系列</x:v>
      </x:c>
      <x:c r="D1781" s="604" t="inlineStr">
        <x:is>
          <x:t xml:space="preserve"/>
        </x:is>
      </x:c>
      <x:c r="E1781" s="604" t="inlineStr">
        <x:is>
          <x:t xml:space="preserve">阿尔乙西</x:t>
        </x:is>
      </x:c>
      <x:c r="F1781" s="604" t="inlineStr">
        <x:is>
          <x:t xml:space="preserve">RC阿尔巴 vs MC塞达</x:t>
        </x:is>
      </x:c>
      <x:c r="G1781" s="604" t="n"/>
      <x:c r="H1781" s="604" t="n"/>
      <x:c r="I1781" s="604" t="n"/>
      <x:c r="J1781" s="604" t="inlineStr">
        <x:is>
          <x:t xml:space="preserve">//</x:t>
        </x:is>
      </x:c>
      <x:c r="K1781" s="604" t="inlineStr">
        <x:is>
          <x:t xml:space="preserve">V4不可用：市场输入缺失</x:t>
        </x:is>
      </x:c>
      <x:c r="L1781" s="604" t="inlineStr">
        <x:is>
          <x:t xml:space="preserve"/>
        </x:is>
      </x:c>
      <x:c r="M1781" s="604" t="n"/>
      <x:c r="N1781" s="604" t="inlineStr">
        <x:is>
          <x:t xml:space="preserve">V4 Shadow Only；real_money=false</x:t>
        </x:is>
      </x:c>
      <x:c r="O1781" s="604" t="inlineStr">
        <x:is>
          <x:t xml:space="preserve">0-0</x:t>
        </x:is>
      </x:c>
      <x:c r="P1781" s="604" t="inlineStr">
        <x:is>
          <x:t xml:space="preserve">MISSING_DATA</x:t>
        </x:is>
      </x:c>
      <x:c r="Q1781" s="630" t="inlineStr">
        <x:is>
          <x:t xml:space="preserve"/>
        </x:is>
      </x:c>
      <x:c r="R1781" s="604" t="n"/>
      <x:c r="S1781" s="604" t="n"/>
      <x:c r="T1781" s="604" t="inlineStr">
        <x:is>
          <x:t xml:space="preserve">D:\codex\v3_legacy\outputs\football_odds_trader\raw\titan007\20261009\20261009_085232_titan007_odds_snapshot.csv</x:t>
        </x:is>
      </x:c>
      <x:c r="U1781" s="628" t="inlineStr">
        <x:is>
          <x:t xml:space="preserve"/>
        </x:is>
      </x:c>
      <x:c r="V1781" s="604" t="inlineStr">
        <x:is>
          <x:t xml:space="preserve"/>
        </x:is>
      </x:c>
      <x:c r="W1781" s="604" t="inlineStr">
        <x:is>
          <x:t xml:space="preserve"/>
        </x:is>
      </x:c>
      <x:c r="X1781" s="604" t="inlineStr">
        <x:is>
          <x:t xml:space="preserve">3098507</x:t>
        </x:is>
      </x:c>
      <x:c r="Y1781" s="604" t="inlineStr">
        <x:is>
          <x:t xml:space="preserve">V4</x:t>
        </x:is>
      </x:c>
      <x:c r="Z1781" s="604" t="inlineStr">
        <x:is>
          <x:t xml:space="preserve">prior-2026-10-09-v1</x:t>
        </x:is>
      </x:c>
      <x:c r="AA1781" s="604" t="inlineStr">
        <x:is>
          <x:t xml:space="preserve"/>
        </x:is>
      </x:c>
      <x:c r="AB1781" s="604" t="n"/>
      <x:c r="AC1781" s="604" t="n"/>
      <x:c r="AD1781" s="604" t="n"/>
      <x:c r="AE1781" s="604" t="n"/>
      <x:c r="AF1781" s="604" t="n"/>
      <x:c r="AG1781" s="604" t="n"/>
      <x:c r="AH1781" s="604" t="n"/>
      <x:c r="AI1781" s="604" t="n"/>
      <x:c r="AJ1781" s="604" t="n"/>
      <x:c r="AK1781" s="604" t="n"/>
      <x:c r="AL1781" s="604" t="n"/>
      <x:c r="AM1781" s="604" t="n"/>
      <x:c r="AN1781" s="604" t="inlineStr">
        <x:is>
          <x:t xml:space="preserve">MISSING_DATA</x:t>
        </x:is>
      </x:c>
      <x:c r="AO1781" s="604" t="inlineStr">
        <x:is>
          <x:t xml:space="preserve">REQUIRED_MARKET_INPUT_MISSING</x:t>
        </x:is>
      </x:c>
      <x:c r="AP1781" s="604" t="inlineStr">
        <x:is>
          <x:t xml:space="preserve">04cb91f3a6dbca176b35</x:t>
        </x:is>
      </x:c>
      <x:c r="AQ1781" s="604" t="n"/>
      <x:c r="AR1781" s="604" t="n"/>
      <x:c r="AS1781" s="604" t="n"/>
      <x:c r="AT1781" s="604" t="n"/>
      <x:c r="AU1781" s="604" t="n"/>
      <x:c r="AV1781" s="604" t="n"/>
      <x:c r="AW1781" s="604" t="inlineStr">
        <x:is>
          <x:t xml:space="preserve">2026-10-09T09:01:21.127001+08:00</x:t>
        </x:is>
      </x:c>
      <x:c r="AX1781" s="604" t="inlineStr">
        <x:is>
          <x:t xml:space="preserve">Titan007/V4</x:t>
        </x:is>
      </x:c>
      <x:c r="AY1781" s="604" t="inlineStr">
        <x:is>
          <x:t xml:space="preserve">Daily append；市场输入缺失时不生成决策</x:t>
        </x:is>
      </x:c>
    </x:row>
    <x:row r="1782" ht="22" customHeight="1">
      <x:c r="A1782" s="604" t="inlineStr">
        <x:is>
          <x:t xml:space="preserve">2026-10-09</x:t>
        </x:is>
      </x:c>
      <x:c r="B1782" s="604" t="inlineStr">
        <x:is>
          <x:t xml:space="preserve">2026-10-09T22:00:00+08:00</x:t>
        </x:is>
      </x:c>
      <x:c r="C1782" s="604" t="str">
        <x:v>其他系列</x:v>
      </x:c>
      <x:c r="D1782" s="604" t="inlineStr">
        <x:is>
          <x:t xml:space="preserve"/>
        </x:is>
      </x:c>
      <x:c r="E1782" s="604" t="inlineStr">
        <x:is>
          <x:t xml:space="preserve">阿尔乙西</x:t>
        </x:is>
      </x:c>
      <x:c r="F1782" s="604" t="inlineStr">
        <x:is>
          <x:t xml:space="preserve">巴亚兹 vs 特莱姆森</x:t>
        </x:is>
      </x:c>
      <x:c r="G1782" s="604" t="n">
        <x:v>0.95</x:v>
      </x:c>
      <x:c r="H1782" s="604" t="n">
        <x:v>0.75</x:v>
      </x:c>
      <x:c r="I1782" s="604" t="n">
        <x:v>0.85</x:v>
      </x:c>
      <x:c r="J1782" s="604" t="inlineStr">
        <x:is>
          <x:t xml:space="preserve">0.95/0.75/0.85</x:t>
        </x:is>
      </x:c>
      <x:c r="K1782" s="604" t="inlineStr">
        <x:is>
          <x:t xml:space="preserve">V4-N</x:t>
        </x:is>
      </x:c>
      <x:c r="L1782" s="604" t="inlineStr">
        <x:is>
          <x:t xml:space="preserve"/>
        </x:is>
      </x:c>
      <x:c r="M1782" s="604" t="n">
        <x:v>0.5497140376687266</x:v>
      </x:c>
      <x:c r="N1782" s="604" t="inlineStr">
        <x:is>
          <x:t xml:space="preserve">V4 Shadow Only；real_money=false</x:t>
        </x:is>
      </x:c>
      <x:c r="O1782" s="604" t="inlineStr">
        <x:is>
          <x:t xml:space="preserve">0-0</x:t>
        </x:is>
      </x:c>
      <x:c r="P1782" s="604" t="inlineStr">
        <x:is>
          <x:t xml:space="preserve">EVALUATED</x:t>
        </x:is>
      </x:c>
      <x:c r="Q1782" s="630" t="inlineStr">
        <x:is>
          <x:t xml:space="preserve"/>
        </x:is>
      </x:c>
      <x:c r="R1782" s="604" t="n"/>
      <x:c r="S1782" s="604" t="n"/>
      <x:c r="T1782" s="604" t="inlineStr">
        <x:is>
          <x:t xml:space="preserve">D:\codex\v3_legacy\outputs\football_odds_trader\raw\titan007\20261009\20261009_085232_titan007_odds_snapshot.csv</x:t>
        </x:is>
      </x:c>
      <x:c r="U1782" s="628" t="inlineStr">
        <x:is>
          <x:t xml:space="preserve"/>
        </x:is>
      </x:c>
      <x:c r="V1782" s="604" t="inlineStr">
        <x:is>
          <x:t xml:space="preserve"/>
        </x:is>
      </x:c>
      <x:c r="W1782" s="604" t="inlineStr">
        <x:is>
          <x:t xml:space="preserve"/>
        </x:is>
      </x:c>
      <x:c r="X1782" s="604" t="inlineStr">
        <x:is>
          <x:t xml:space="preserve">3098508</x:t>
        </x:is>
      </x:c>
      <x:c r="Y1782" s="604" t="inlineStr">
        <x:is>
          <x:t xml:space="preserve">V4</x:t>
        </x:is>
      </x:c>
      <x:c r="Z1782" s="604" t="inlineStr">
        <x:is>
          <x:t xml:space="preserve">prior-2026-10-09-v1</x:t>
        </x:is>
      </x:c>
      <x:c r="AA1782" s="604" t="inlineStr">
        <x:is>
          <x:t xml:space="preserve">N</x:t>
        </x:is>
      </x:c>
      <x:c r="AB1782" s="604" t="n">
        <x:v>0.5497140376687266</x:v>
      </x:c>
      <x:c r="AC1782" s="604" t="n">
        <x:v>0.32081487432823</x:v>
      </x:c>
      <x:c r="AD1782" s="604" t="n">
        <x:v>1.25</x:v>
      </x:c>
      <x:c r="AE1782" s="604" t="n"/>
      <x:c r="AF1782" s="604" t="n"/>
      <x:c r="AG1782" s="604" t="n">
        <x:v>0.2014134614570603</x:v>
      </x:c>
      <x:c r="AH1782" s="604" t="n"/>
      <x:c r="AI1782" s="604" t="n"/>
      <x:c r="AJ1782" s="604" t="n">
        <x:v>0.2014134614570603</x:v>
      </x:c>
      <x:c r="AK1782" s="604" t="n"/>
      <x:c r="AL1782" s="604" t="n"/>
      <x:c r="AM1782" s="604" t="n"/>
      <x:c r="AN1782" s="604" t="inlineStr">
        <x:is>
          <x:t xml:space="preserve">EVALUATED</x:t>
        </x:is>
      </x:c>
      <x:c r="AO1782" s="604" t="inlineStr">
        <x:is>
          <x:t xml:space="preserve">LOW_QUALITY_GATE;BUCKET_PRIOR_ONLY;INTENT_INTERPRETATION_ONLY;FFL_OPTIONAL;EXPERT_MARKET</x:t>
        </x:is>
      </x:c>
      <x:c r="AP1782" s="604" t="inlineStr">
        <x:is>
          <x:t xml:space="preserve">fc4c34ea08a0572c39a3</x:t>
        </x:is>
      </x:c>
      <x:c r="AQ1782" s="604" t="n"/>
      <x:c r="AR1782" s="604" t="n"/>
      <x:c r="AS1782" s="604" t="n">
        <x:v>0.75</x:v>
      </x:c>
      <x:c r="AT1782" s="604" t="n">
        <x:v>-0.75</x:v>
      </x:c>
      <x:c r="AU1782" s="604" t="n">
        <x:v>0.95</x:v>
      </x:c>
      <x:c r="AV1782" s="604" t="n">
        <x:v>0.85</x:v>
      </x:c>
      <x:c r="AW1782" s="604" t="inlineStr">
        <x:is>
          <x:t xml:space="preserve">2026-10-09T09:01:21.127001+08:00</x:t>
        </x:is>
      </x:c>
      <x:c r="AX1782" s="604" t="inlineStr">
        <x:is>
          <x:t xml:space="preserve">Titan007/V4</x:t>
        </x:is>
      </x:c>
      <x:c r="AY1782" s="604" t="inlineStr">
        <x:is>
          <x:t xml:space="preserve">Daily append；市场输入缺失时不生成决策</x:t>
        </x:is>
      </x:c>
    </x:row>
    <x:row r="1783" ht="22" customHeight="1">
      <x:c r="A1783" s="604" t="inlineStr">
        <x:is>
          <x:t xml:space="preserve">2026-10-09</x:t>
        </x:is>
      </x:c>
      <x:c r="B1783" s="604" t="inlineStr">
        <x:is>
          <x:t xml:space="preserve">2026-10-09T22:00:00+08:00</x:t>
        </x:is>
      </x:c>
      <x:c r="C1783" s="604" t="str">
        <x:v>其他系列</x:v>
      </x:c>
      <x:c r="D1783" s="604" t="inlineStr">
        <x:is>
          <x:t xml:space="preserve"/>
        </x:is>
      </x:c>
      <x:c r="E1783" s="604" t="inlineStr">
        <x:is>
          <x:t xml:space="preserve">阿尔乙西</x:t>
        </x:is>
      </x:c>
      <x:c r="F1783" s="604" t="inlineStr">
        <x:is>
          <x:t xml:space="preserve">提亚雷特 vs ASM奥兰</x:t>
        </x:is>
      </x:c>
      <x:c r="G1783" s="604" t="n">
        <x:v>0.98</x:v>
      </x:c>
      <x:c r="H1783" s="604" t="n">
        <x:v>0.5</x:v>
      </x:c>
      <x:c r="I1783" s="604" t="n">
        <x:v>0.83</x:v>
      </x:c>
      <x:c r="J1783" s="604" t="inlineStr">
        <x:is>
          <x:t xml:space="preserve">0.98/0.5/0.83</x:t>
        </x:is>
      </x:c>
      <x:c r="K1783" s="604" t="inlineStr">
        <x:is>
          <x:t xml:space="preserve">V4-N</x:t>
        </x:is>
      </x:c>
      <x:c r="L1783" s="604" t="inlineStr">
        <x:is>
          <x:t xml:space="preserve"/>
        </x:is>
      </x:c>
      <x:c r="M1783" s="604" t="n">
        <x:v>0.5907294498540002</x:v>
      </x:c>
      <x:c r="N1783" s="604" t="inlineStr">
        <x:is>
          <x:t xml:space="preserve">V4 Shadow Only；real_money=false</x:t>
        </x:is>
      </x:c>
      <x:c r="O1783" s="604" t="inlineStr">
        <x:is>
          <x:t xml:space="preserve">0-0</x:t>
        </x:is>
      </x:c>
      <x:c r="P1783" s="604" t="inlineStr">
        <x:is>
          <x:t xml:space="preserve">EVALUATED</x:t>
        </x:is>
      </x:c>
      <x:c r="Q1783" s="630" t="inlineStr">
        <x:is>
          <x:t xml:space="preserve"/>
        </x:is>
      </x:c>
      <x:c r="R1783" s="604" t="n"/>
      <x:c r="S1783" s="604" t="n"/>
      <x:c r="T1783" s="604" t="inlineStr">
        <x:is>
          <x:t xml:space="preserve">D:\codex\v3_legacy\outputs\football_odds_trader\raw\titan007\20261009\20261009_085232_titan007_odds_snapshot.csv</x:t>
        </x:is>
      </x:c>
      <x:c r="U1783" s="628" t="inlineStr">
        <x:is>
          <x:t xml:space="preserve"/>
        </x:is>
      </x:c>
      <x:c r="V1783" s="604" t="inlineStr">
        <x:is>
          <x:t xml:space="preserve"/>
        </x:is>
      </x:c>
      <x:c r="W1783" s="604" t="inlineStr">
        <x:is>
          <x:t xml:space="preserve"/>
        </x:is>
      </x:c>
      <x:c r="X1783" s="604" t="inlineStr">
        <x:is>
          <x:t xml:space="preserve">3098509</x:t>
        </x:is>
      </x:c>
      <x:c r="Y1783" s="604" t="inlineStr">
        <x:is>
          <x:t xml:space="preserve">V4</x:t>
        </x:is>
      </x:c>
      <x:c r="Z1783" s="604" t="inlineStr">
        <x:is>
          <x:t xml:space="preserve">prior-2026-10-09-v1</x:t>
        </x:is>
      </x:c>
      <x:c r="AA1783" s="604" t="inlineStr">
        <x:is>
          <x:t xml:space="preserve">N</x:t>
        </x:is>
      </x:c>
      <x:c r="AB1783" s="604" t="n">
        <x:v>0.5907294498540002</x:v>
      </x:c>
      <x:c r="AC1783" s="604" t="n">
        <x:v>0.4092705501459998</x:v>
      </x:c>
      <x:c r="AD1783" s="604" t="n">
        <x:v>1</x:v>
      </x:c>
      <x:c r="AE1783" s="604" t="n"/>
      <x:c r="AF1783" s="604" t="n"/>
      <x:c r="AG1783" s="604" t="n">
        <x:v>0.1696443107109204</x:v>
      </x:c>
      <x:c r="AH1783" s="604" t="n"/>
      <x:c r="AI1783" s="604" t="n"/>
      <x:c r="AJ1783" s="604" t="n">
        <x:v>0.1696443107109204</x:v>
      </x:c>
      <x:c r="AK1783" s="604" t="n"/>
      <x:c r="AL1783" s="604" t="n"/>
      <x:c r="AM1783" s="604" t="n"/>
      <x:c r="AN1783" s="604" t="inlineStr">
        <x:is>
          <x:t xml:space="preserve">EVALUATED</x:t>
        </x:is>
      </x:c>
      <x:c r="AO1783" s="604" t="inlineStr">
        <x:is>
          <x:t xml:space="preserve">LOW_QUALITY_GATE;BUCKET_PRIOR_ONLY;INTENT_INTERPRETATION_ONLY;FFL_OPTIONAL;EXPERT_MARKET</x:t>
        </x:is>
      </x:c>
      <x:c r="AP1783" s="604" t="inlineStr">
        <x:is>
          <x:t xml:space="preserve">7c621b513f9be7d90d48</x:t>
        </x:is>
      </x:c>
      <x:c r="AQ1783" s="604" t="n"/>
      <x:c r="AR1783" s="604" t="n"/>
      <x:c r="AS1783" s="604" t="n">
        <x:v>0.5</x:v>
      </x:c>
      <x:c r="AT1783" s="604" t="n">
        <x:v>-0.5</x:v>
      </x:c>
      <x:c r="AU1783" s="604" t="n">
        <x:v>0.98</x:v>
      </x:c>
      <x:c r="AV1783" s="604" t="n">
        <x:v>0.83</x:v>
      </x:c>
      <x:c r="AW1783" s="604" t="inlineStr">
        <x:is>
          <x:t xml:space="preserve">2026-10-09T09:01:21.127001+08:00</x:t>
        </x:is>
      </x:c>
      <x:c r="AX1783" s="604" t="inlineStr">
        <x:is>
          <x:t xml:space="preserve">Titan007/V4</x:t>
        </x:is>
      </x:c>
      <x:c r="AY1783" s="604" t="inlineStr">
        <x:is>
          <x:t xml:space="preserve">Daily append；市场输入缺失时不生成决策</x:t>
        </x:is>
      </x:c>
    </x:row>
    <x:row r="1784" ht="22" customHeight="1">
      <x:c r="A1784" s="604" t="inlineStr">
        <x:is>
          <x:t xml:space="preserve">2026-10-09</x:t>
        </x:is>
      </x:c>
      <x:c r="B1784" s="604" t="inlineStr">
        <x:is>
          <x:t xml:space="preserve">2026-10-09T22:00:00+08:00</x:t>
        </x:is>
      </x:c>
      <x:c r="C1784" s="604" t="str">
        <x:v>其他系列</x:v>
      </x:c>
      <x:c r="D1784" s="604" t="inlineStr">
        <x:is>
          <x:t xml:space="preserve"/>
        </x:is>
      </x:c>
      <x:c r="E1784" s="604" t="inlineStr">
        <x:is>
          <x:t xml:space="preserve">阿尔乙西</x:t>
        </x:is>
      </x:c>
      <x:c r="F1784" s="604" t="inlineStr">
        <x:is>
          <x:t xml:space="preserve">莫斯塔加 vs 马斯卡拉</x:t>
        </x:is>
      </x:c>
      <x:c r="G1784" s="604" t="n"/>
      <x:c r="H1784" s="604" t="n"/>
      <x:c r="I1784" s="604" t="n"/>
      <x:c r="J1784" s="604" t="inlineStr">
        <x:is>
          <x:t xml:space="preserve">//</x:t>
        </x:is>
      </x:c>
      <x:c r="K1784" s="604" t="inlineStr">
        <x:is>
          <x:t xml:space="preserve">V4不可用：市场输入缺失</x:t>
        </x:is>
      </x:c>
      <x:c r="L1784" s="604" t="inlineStr">
        <x:is>
          <x:t xml:space="preserve"/>
        </x:is>
      </x:c>
      <x:c r="M1784" s="604" t="n"/>
      <x:c r="N1784" s="604" t="inlineStr">
        <x:is>
          <x:t xml:space="preserve">V4 Shadow Only；real_money=false</x:t>
        </x:is>
      </x:c>
      <x:c r="O1784" s="604" t="inlineStr">
        <x:is>
          <x:t xml:space="preserve">0-0</x:t>
        </x:is>
      </x:c>
      <x:c r="P1784" s="604" t="inlineStr">
        <x:is>
          <x:t xml:space="preserve">MISSING_DATA</x:t>
        </x:is>
      </x:c>
      <x:c r="Q1784" s="630" t="inlineStr">
        <x:is>
          <x:t xml:space="preserve"/>
        </x:is>
      </x:c>
      <x:c r="R1784" s="604" t="n"/>
      <x:c r="S1784" s="604" t="n"/>
      <x:c r="T1784" s="604" t="inlineStr">
        <x:is>
          <x:t xml:space="preserve">D:\codex\v3_legacy\outputs\football_odds_trader\raw\titan007\20261009\20261009_085232_titan007_odds_snapshot.csv</x:t>
        </x:is>
      </x:c>
      <x:c r="U1784" s="628" t="inlineStr">
        <x:is>
          <x:t xml:space="preserve"/>
        </x:is>
      </x:c>
      <x:c r="V1784" s="604" t="inlineStr">
        <x:is>
          <x:t xml:space="preserve"/>
        </x:is>
      </x:c>
      <x:c r="W1784" s="604" t="inlineStr">
        <x:is>
          <x:t xml:space="preserve"/>
        </x:is>
      </x:c>
      <x:c r="X1784" s="604" t="inlineStr">
        <x:is>
          <x:t xml:space="preserve">3098510</x:t>
        </x:is>
      </x:c>
      <x:c r="Y1784" s="604" t="inlineStr">
        <x:is>
          <x:t xml:space="preserve">V4</x:t>
        </x:is>
      </x:c>
      <x:c r="Z1784" s="604" t="inlineStr">
        <x:is>
          <x:t xml:space="preserve">prior-2026-10-09-v1</x:t>
        </x:is>
      </x:c>
      <x:c r="AA1784" s="604" t="inlineStr">
        <x:is>
          <x:t xml:space="preserve"/>
        </x:is>
      </x:c>
      <x:c r="AB1784" s="604" t="n"/>
      <x:c r="AC1784" s="604" t="n"/>
      <x:c r="AD1784" s="604" t="n"/>
      <x:c r="AE1784" s="604" t="n"/>
      <x:c r="AF1784" s="604" t="n"/>
      <x:c r="AG1784" s="604" t="n"/>
      <x:c r="AH1784" s="604" t="n"/>
      <x:c r="AI1784" s="604" t="n"/>
      <x:c r="AJ1784" s="604" t="n"/>
      <x:c r="AK1784" s="604" t="n"/>
      <x:c r="AL1784" s="604" t="n"/>
      <x:c r="AM1784" s="604" t="n"/>
      <x:c r="AN1784" s="604" t="inlineStr">
        <x:is>
          <x:t xml:space="preserve">MISSING_DATA</x:t>
        </x:is>
      </x:c>
      <x:c r="AO1784" s="604" t="inlineStr">
        <x:is>
          <x:t xml:space="preserve">REQUIRED_MARKET_INPUT_MISSING</x:t>
        </x:is>
      </x:c>
      <x:c r="AP1784" s="604" t="inlineStr">
        <x:is>
          <x:t xml:space="preserve">78acaf5028e6869a477a</x:t>
        </x:is>
      </x:c>
      <x:c r="AQ1784" s="604" t="n"/>
      <x:c r="AR1784" s="604" t="n"/>
      <x:c r="AS1784" s="604" t="n"/>
      <x:c r="AT1784" s="604" t="n"/>
      <x:c r="AU1784" s="604" t="n"/>
      <x:c r="AV1784" s="604" t="n"/>
      <x:c r="AW1784" s="604" t="inlineStr">
        <x:is>
          <x:t xml:space="preserve">2026-10-09T09:01:21.127001+08:00</x:t>
        </x:is>
      </x:c>
      <x:c r="AX1784" s="604" t="inlineStr">
        <x:is>
          <x:t xml:space="preserve">Titan007/V4</x:t>
        </x:is>
      </x:c>
      <x:c r="AY1784" s="604" t="inlineStr">
        <x:is>
          <x:t xml:space="preserve">Daily append；市场输入缺失时不生成决策</x:t>
        </x:is>
      </x:c>
    </x:row>
    <x:row r="1785" ht="22" customHeight="1">
      <x:c r="A1785" s="604" t="inlineStr">
        <x:is>
          <x:t xml:space="preserve">2026-10-09</x:t>
        </x:is>
      </x:c>
      <x:c r="B1785" s="604" t="inlineStr">
        <x:is>
          <x:t xml:space="preserve">2026-10-09T22:00:00+08:00</x:t>
        </x:is>
      </x:c>
      <x:c r="C1785" s="604" t="str">
        <x:v>其他系列</x:v>
      </x:c>
      <x:c r="D1785" s="604" t="inlineStr">
        <x:is>
          <x:t xml:space="preserve"/>
        </x:is>
      </x:c>
      <x:c r="E1785" s="604" t="inlineStr">
        <x:is>
          <x:t xml:space="preserve">阿尔乙西</x:t>
        </x:is>
      </x:c>
      <x:c r="F1785" s="604" t="inlineStr">
        <x:is>
          <x:t xml:space="preserve">西迪贝纳利 vs NA胡森</x:t>
        </x:is>
      </x:c>
      <x:c r="G1785" s="604" t="n">
        <x:v>0.95</x:v>
      </x:c>
      <x:c r="H1785" s="604" t="n">
        <x:v>0.5</x:v>
      </x:c>
      <x:c r="I1785" s="604" t="n">
        <x:v>0.85</x:v>
      </x:c>
      <x:c r="J1785" s="604" t="inlineStr">
        <x:is>
          <x:t xml:space="preserve">0.95/0.5/0.85</x:t>
        </x:is>
      </x:c>
      <x:c r="K1785" s="604" t="inlineStr">
        <x:is>
          <x:t xml:space="preserve">V4-N</x:t>
        </x:is>
      </x:c>
      <x:c r="L1785" s="604" t="inlineStr">
        <x:is>
          <x:t xml:space="preserve"/>
        </x:is>
      </x:c>
      <x:c r="M1785" s="604" t="n">
        <x:v>0.5663564181993445</x:v>
      </x:c>
      <x:c r="N1785" s="604" t="inlineStr">
        <x:is>
          <x:t xml:space="preserve">V4 Shadow Only；real_money=false</x:t>
        </x:is>
      </x:c>
      <x:c r="O1785" s="604" t="inlineStr">
        <x:is>
          <x:t xml:space="preserve">0-0</x:t>
        </x:is>
      </x:c>
      <x:c r="P1785" s="604" t="inlineStr">
        <x:is>
          <x:t xml:space="preserve">EVALUATED</x:t>
        </x:is>
      </x:c>
      <x:c r="Q1785" s="630" t="inlineStr">
        <x:is>
          <x:t xml:space="preserve"/>
        </x:is>
      </x:c>
      <x:c r="R1785" s="604" t="n"/>
      <x:c r="S1785" s="604" t="n"/>
      <x:c r="T1785" s="604" t="inlineStr">
        <x:is>
          <x:t xml:space="preserve">D:\codex\v3_legacy\outputs\football_odds_trader\raw\titan007\20261009\20261009_085232_titan007_odds_snapshot.csv</x:t>
        </x:is>
      </x:c>
      <x:c r="U1785" s="628" t="inlineStr">
        <x:is>
          <x:t xml:space="preserve"/>
        </x:is>
      </x:c>
      <x:c r="V1785" s="604" t="inlineStr">
        <x:is>
          <x:t xml:space="preserve"/>
        </x:is>
      </x:c>
      <x:c r="W1785" s="604" t="inlineStr">
        <x:is>
          <x:t xml:space="preserve"/>
        </x:is>
      </x:c>
      <x:c r="X1785" s="604" t="inlineStr">
        <x:is>
          <x:t xml:space="preserve">3098512</x:t>
        </x:is>
      </x:c>
      <x:c r="Y1785" s="604" t="inlineStr">
        <x:is>
          <x:t xml:space="preserve">V4</x:t>
        </x:is>
      </x:c>
      <x:c r="Z1785" s="604" t="inlineStr">
        <x:is>
          <x:t xml:space="preserve">prior-2026-10-09-v1</x:t>
        </x:is>
      </x:c>
      <x:c r="AA1785" s="604" t="inlineStr">
        <x:is>
          <x:t xml:space="preserve">N</x:t>
        </x:is>
      </x:c>
      <x:c r="AB1785" s="604" t="n">
        <x:v>0.5663564181993445</x:v>
      </x:c>
      <x:c r="AC1785" s="604" t="n">
        <x:v>0.4336435818006556</x:v>
      </x:c>
      <x:c r="AD1785" s="604" t="n">
        <x:v>0.75</x:v>
      </x:c>
      <x:c r="AE1785" s="604" t="n"/>
      <x:c r="AF1785" s="604" t="n"/>
      <x:c r="AG1785" s="604" t="n">
        <x:v>0.1043950154887216</x:v>
      </x:c>
      <x:c r="AH1785" s="604" t="n"/>
      <x:c r="AI1785" s="604" t="n"/>
      <x:c r="AJ1785" s="604" t="n">
        <x:v>0.1043950154887216</x:v>
      </x:c>
      <x:c r="AK1785" s="604" t="n"/>
      <x:c r="AL1785" s="604" t="n"/>
      <x:c r="AM1785" s="604" t="n"/>
      <x:c r="AN1785" s="604" t="inlineStr">
        <x:is>
          <x:t xml:space="preserve">EVALUATED</x:t>
        </x:is>
      </x:c>
      <x:c r="AO1785" s="604" t="inlineStr">
        <x:is>
          <x:t xml:space="preserve">LOW_QUALITY_GATE;BUCKET_PRIOR_ONLY;INTENT_INTERPRETATION_ONLY;FFL_OPTIONAL;EXPERT_MARKET</x:t>
        </x:is>
      </x:c>
      <x:c r="AP1785" s="604" t="inlineStr">
        <x:is>
          <x:t xml:space="preserve">edf88472a5747ef6174e</x:t>
        </x:is>
      </x:c>
      <x:c r="AQ1785" s="604" t="n"/>
      <x:c r="AR1785" s="604" t="n"/>
      <x:c r="AS1785" s="604" t="n">
        <x:v>0.5</x:v>
      </x:c>
      <x:c r="AT1785" s="604" t="n">
        <x:v>-0.5</x:v>
      </x:c>
      <x:c r="AU1785" s="604" t="n">
        <x:v>0.95</x:v>
      </x:c>
      <x:c r="AV1785" s="604" t="n">
        <x:v>0.85</x:v>
      </x:c>
      <x:c r="AW1785" s="604" t="inlineStr">
        <x:is>
          <x:t xml:space="preserve">2026-10-09T09:01:21.127001+08:00</x:t>
        </x:is>
      </x:c>
      <x:c r="AX1785" s="604" t="inlineStr">
        <x:is>
          <x:t xml:space="preserve">Titan007/V4</x:t>
        </x:is>
      </x:c>
      <x:c r="AY1785" s="604" t="inlineStr">
        <x:is>
          <x:t xml:space="preserve">Daily append；市场输入缺失时不生成决策</x:t>
        </x:is>
      </x:c>
    </x:row>
    <x:row r="1786" ht="22" customHeight="1">
      <x:c r="A1786" s="604" t="inlineStr">
        <x:is>
          <x:t xml:space="preserve">2026-10-09</x:t>
        </x:is>
      </x:c>
      <x:c r="B1786" s="604" t="inlineStr">
        <x:is>
          <x:t xml:space="preserve">2026-10-09T22:00:00+08:00</x:t>
        </x:is>
      </x:c>
      <x:c r="C1786" s="604" t="str">
        <x:v>其他系列</x:v>
      </x:c>
      <x:c r="D1786" s="604" t="inlineStr">
        <x:is>
          <x:t xml:space="preserve"/>
        </x:is>
      </x:c>
      <x:c r="E1786" s="604" t="inlineStr">
        <x:is>
          <x:t xml:space="preserve">阿尔乙西</x:t>
        </x:is>
      </x:c>
      <x:c r="F1786" s="604" t="inlineStr">
        <x:is>
          <x:t xml:space="preserve">塔吉特 vs 西澳奈姆</x:t>
        </x:is>
      </x:c>
      <x:c r="G1786" s="604" t="n"/>
      <x:c r="H1786" s="604" t="n"/>
      <x:c r="I1786" s="604" t="n"/>
      <x:c r="J1786" s="604" t="inlineStr">
        <x:is>
          <x:t xml:space="preserve">//</x:t>
        </x:is>
      </x:c>
      <x:c r="K1786" s="604" t="inlineStr">
        <x:is>
          <x:t xml:space="preserve">V4不可用：市场输入缺失</x:t>
        </x:is>
      </x:c>
      <x:c r="L1786" s="604" t="inlineStr">
        <x:is>
          <x:t xml:space="preserve"/>
        </x:is>
      </x:c>
      <x:c r="M1786" s="604" t="n"/>
      <x:c r="N1786" s="604" t="inlineStr">
        <x:is>
          <x:t xml:space="preserve">V4 Shadow Only；real_money=false</x:t>
        </x:is>
      </x:c>
      <x:c r="O1786" s="604" t="inlineStr">
        <x:is>
          <x:t xml:space="preserve">0-0</x:t>
        </x:is>
      </x:c>
      <x:c r="P1786" s="604" t="inlineStr">
        <x:is>
          <x:t xml:space="preserve">MISSING_DATA</x:t>
        </x:is>
      </x:c>
      <x:c r="Q1786" s="630" t="inlineStr">
        <x:is>
          <x:t xml:space="preserve"/>
        </x:is>
      </x:c>
      <x:c r="R1786" s="604" t="n"/>
      <x:c r="S1786" s="604" t="n"/>
      <x:c r="T1786" s="604" t="inlineStr">
        <x:is>
          <x:t xml:space="preserve">D:\codex\v3_legacy\outputs\football_odds_trader\raw\titan007\20261009\20261009_085232_titan007_odds_snapshot.csv</x:t>
        </x:is>
      </x:c>
      <x:c r="U1786" s="628" t="inlineStr">
        <x:is>
          <x:t xml:space="preserve"/>
        </x:is>
      </x:c>
      <x:c r="V1786" s="604" t="inlineStr">
        <x:is>
          <x:t xml:space="preserve"/>
        </x:is>
      </x:c>
      <x:c r="W1786" s="604" t="inlineStr">
        <x:is>
          <x:t xml:space="preserve"/>
        </x:is>
      </x:c>
      <x:c r="X1786" s="604" t="inlineStr">
        <x:is>
          <x:t xml:space="preserve">3098513</x:t>
        </x:is>
      </x:c>
      <x:c r="Y1786" s="604" t="inlineStr">
        <x:is>
          <x:t xml:space="preserve">V4</x:t>
        </x:is>
      </x:c>
      <x:c r="Z1786" s="604" t="inlineStr">
        <x:is>
          <x:t xml:space="preserve">prior-2026-10-09-v1</x:t>
        </x:is>
      </x:c>
      <x:c r="AA1786" s="604" t="inlineStr">
        <x:is>
          <x:t xml:space="preserve"/>
        </x:is>
      </x:c>
      <x:c r="AB1786" s="604" t="n"/>
      <x:c r="AC1786" s="604" t="n"/>
      <x:c r="AD1786" s="604" t="n"/>
      <x:c r="AE1786" s="604" t="n"/>
      <x:c r="AF1786" s="604" t="n"/>
      <x:c r="AG1786" s="604" t="n"/>
      <x:c r="AH1786" s="604" t="n"/>
      <x:c r="AI1786" s="604" t="n"/>
      <x:c r="AJ1786" s="604" t="n"/>
      <x:c r="AK1786" s="604" t="n"/>
      <x:c r="AL1786" s="604" t="n"/>
      <x:c r="AM1786" s="604" t="n"/>
      <x:c r="AN1786" s="604" t="inlineStr">
        <x:is>
          <x:t xml:space="preserve">MISSING_DATA</x:t>
        </x:is>
      </x:c>
      <x:c r="AO1786" s="604" t="inlineStr">
        <x:is>
          <x:t xml:space="preserve">REQUIRED_MARKET_INPUT_MISSING</x:t>
        </x:is>
      </x:c>
      <x:c r="AP1786" s="604" t="inlineStr">
        <x:is>
          <x:t xml:space="preserve">1e564072b15c81f1e311</x:t>
        </x:is>
      </x:c>
      <x:c r="AQ1786" s="604" t="n"/>
      <x:c r="AR1786" s="604" t="n"/>
      <x:c r="AS1786" s="604" t="n"/>
      <x:c r="AT1786" s="604" t="n"/>
      <x:c r="AU1786" s="604" t="n"/>
      <x:c r="AV1786" s="604" t="n"/>
      <x:c r="AW1786" s="604" t="inlineStr">
        <x:is>
          <x:t xml:space="preserve">2026-10-09T09:01:21.127001+08:00</x:t>
        </x:is>
      </x:c>
      <x:c r="AX1786" s="604" t="inlineStr">
        <x:is>
          <x:t xml:space="preserve">Titan007/V4</x:t>
        </x:is>
      </x:c>
      <x:c r="AY1786" s="604" t="inlineStr">
        <x:is>
          <x:t xml:space="preserve">Daily append；市场输入缺失时不生成决策</x:t>
        </x:is>
      </x:c>
    </x:row>
    <x:row r="1787" ht="22" customHeight="1">
      <x:c r="A1787" s="604" t="inlineStr">
        <x:is>
          <x:t xml:space="preserve">2026-10-09</x:t>
        </x:is>
      </x:c>
      <x:c r="B1787" s="604" t="inlineStr">
        <x:is>
          <x:t xml:space="preserve">2026-10-09T22:00:00+08:00</x:t>
        </x:is>
      </x:c>
      <x:c r="C1787" s="604" t="str">
        <x:v>其他系列</x:v>
      </x:c>
      <x:c r="D1787" s="604" t="inlineStr">
        <x:is>
          <x:t xml:space="preserve"/>
        </x:is>
      </x:c>
      <x:c r="E1787" s="604" t="inlineStr">
        <x:is>
          <x:t xml:space="preserve">阿尔乙西</x:t>
        </x:is>
      </x:c>
      <x:c r="F1787" s="604" t="inlineStr">
        <x:is>
          <x:t xml:space="preserve">卜利达 vs ESM科洛亚</x:t>
        </x:is>
      </x:c>
      <x:c r="G1787" s="604" t="n">
        <x:v>0.8</x:v>
      </x:c>
      <x:c r="H1787" s="604" t="n">
        <x:v>1.5</x:v>
      </x:c>
      <x:c r="I1787" s="604" t="n">
        <x:v>1</x:v>
      </x:c>
      <x:c r="J1787" s="604" t="inlineStr">
        <x:is>
          <x:t xml:space="preserve">0.8/1.5/1.0</x:t>
        </x:is>
      </x:c>
      <x:c r="K1787" s="604" t="inlineStr">
        <x:is>
          <x:t xml:space="preserve">V4-N</x:t>
        </x:is>
      </x:c>
      <x:c r="L1787" s="604" t="inlineStr">
        <x:is>
          <x:t xml:space="preserve"/>
        </x:is>
      </x:c>
      <x:c r="M1787" s="604" t="n">
        <x:v>0.744402457906891</x:v>
      </x:c>
      <x:c r="N1787" s="604" t="inlineStr">
        <x:is>
          <x:t xml:space="preserve">V4 Shadow Only；real_money=false</x:t>
        </x:is>
      </x:c>
      <x:c r="O1787" s="604" t="inlineStr">
        <x:is>
          <x:t xml:space="preserve">0-0</x:t>
        </x:is>
      </x:c>
      <x:c r="P1787" s="604" t="inlineStr">
        <x:is>
          <x:t xml:space="preserve">EVALUATED</x:t>
        </x:is>
      </x:c>
      <x:c r="Q1787" s="630" t="inlineStr">
        <x:is>
          <x:t xml:space="preserve"/>
        </x:is>
      </x:c>
      <x:c r="R1787" s="604" t="n"/>
      <x:c r="S1787" s="604" t="n"/>
      <x:c r="T1787" s="604" t="inlineStr">
        <x:is>
          <x:t xml:space="preserve">D:\codex\v3_legacy\outputs\football_odds_trader\raw\titan007\20261009\20261009_085232_titan007_odds_snapshot.csv</x:t>
        </x:is>
      </x:c>
      <x:c r="U1787" s="628" t="inlineStr">
        <x:is>
          <x:t xml:space="preserve"/>
        </x:is>
      </x:c>
      <x:c r="V1787" s="604" t="inlineStr">
        <x:is>
          <x:t xml:space="preserve"/>
        </x:is>
      </x:c>
      <x:c r="W1787" s="604" t="inlineStr">
        <x:is>
          <x:t xml:space="preserve"/>
        </x:is>
      </x:c>
      <x:c r="X1787" s="604" t="inlineStr">
        <x:is>
          <x:t xml:space="preserve">3098514</x:t>
        </x:is>
      </x:c>
      <x:c r="Y1787" s="604" t="inlineStr">
        <x:is>
          <x:t xml:space="preserve">V4</x:t>
        </x:is>
      </x:c>
      <x:c r="Z1787" s="604" t="inlineStr">
        <x:is>
          <x:t xml:space="preserve">prior-2026-10-09-v1</x:t>
        </x:is>
      </x:c>
      <x:c r="AA1787" s="604" t="inlineStr">
        <x:is>
          <x:t xml:space="preserve">N</x:t>
        </x:is>
      </x:c>
      <x:c r="AB1787" s="604" t="n">
        <x:v>0.744402457906891</x:v>
      </x:c>
      <x:c r="AC1787" s="604" t="n">
        <x:v>0.2555975420931091</x:v>
      </x:c>
      <x:c r="AD1787" s="604" t="n">
        <x:v>2.75</x:v>
      </x:c>
      <x:c r="AE1787" s="604" t="n"/>
      <x:c r="AF1787" s="604" t="n"/>
      <x:c r="AG1787" s="604" t="n">
        <x:v>0.3399244242324037</x:v>
      </x:c>
      <x:c r="AH1787" s="604" t="n"/>
      <x:c r="AI1787" s="604" t="n"/>
      <x:c r="AJ1787" s="604" t="n">
        <x:v>0.3399244242324037</x:v>
      </x:c>
      <x:c r="AK1787" s="604" t="n"/>
      <x:c r="AL1787" s="604" t="n"/>
      <x:c r="AM1787" s="604" t="n"/>
      <x:c r="AN1787" s="604" t="inlineStr">
        <x:is>
          <x:t xml:space="preserve">EVALUATED</x:t>
        </x:is>
      </x:c>
      <x:c r="AO1787" s="604" t="inlineStr">
        <x:is>
          <x:t xml:space="preserve">LOW_QUALITY_GATE;BUCKET_PRIOR_ONLY;INTENT_INTERPRETATION_ONLY;FFL_OPTIONAL;EXPERT_MARKET</x:t>
        </x:is>
      </x:c>
      <x:c r="AP1787" s="604" t="inlineStr">
        <x:is>
          <x:t xml:space="preserve">f150e4bb7f04b016e2b4</x:t>
        </x:is>
      </x:c>
      <x:c r="AQ1787" s="604" t="n"/>
      <x:c r="AR1787" s="604" t="n"/>
      <x:c r="AS1787" s="604" t="n">
        <x:v>1.5</x:v>
      </x:c>
      <x:c r="AT1787" s="604" t="n">
        <x:v>-1.5</x:v>
      </x:c>
      <x:c r="AU1787" s="604" t="n">
        <x:v>0.8</x:v>
      </x:c>
      <x:c r="AV1787" s="604" t="n">
        <x:v>1</x:v>
      </x:c>
      <x:c r="AW1787" s="604" t="inlineStr">
        <x:is>
          <x:t xml:space="preserve">2026-10-09T09:01:21.127001+08:00</x:t>
        </x:is>
      </x:c>
      <x:c r="AX1787" s="604" t="inlineStr">
        <x:is>
          <x:t xml:space="preserve">Titan007/V4</x:t>
        </x:is>
      </x:c>
      <x:c r="AY1787" s="604" t="inlineStr">
        <x:is>
          <x:t xml:space="preserve">Daily append；市场输入缺失时不生成决策</x:t>
        </x:is>
      </x:c>
    </x:row>
    <x:row r="1788" ht="22" customHeight="1">
      <x:c r="A1788" s="604" t="inlineStr">
        <x:is>
          <x:t xml:space="preserve">2026-10-09</x:t>
        </x:is>
      </x:c>
      <x:c r="B1788" s="604" t="inlineStr">
        <x:is>
          <x:t xml:space="preserve">2026-10-09T20:10:00+08:00</x:t>
        </x:is>
      </x:c>
      <x:c r="C1788" s="604" t="str">
        <x:v>西亚/中亚系列</x:v>
      </x:c>
      <x:c r="D1788" s="604" t="inlineStr">
        <x:is>
          <x:t xml:space="preserve"/>
        </x:is>
      </x:c>
      <x:c r="E1788" s="604" t="inlineStr">
        <x:is>
          <x:t xml:space="preserve">沙地乙</x:t>
        </x:is>
      </x:c>
      <x:c r="F1788" s="604" t="inlineStr">
        <x:is>
          <x:t xml:space="preserve">萨法KSA vs 阿里夫</x:t>
        </x:is>
      </x:c>
      <x:c r="G1788" s="604" t="n"/>
      <x:c r="H1788" s="604" t="n"/>
      <x:c r="I1788" s="604" t="n"/>
      <x:c r="J1788" s="604" t="inlineStr">
        <x:is>
          <x:t xml:space="preserve">//</x:t>
        </x:is>
      </x:c>
      <x:c r="K1788" s="604" t="inlineStr">
        <x:is>
          <x:t xml:space="preserve">V4不可用：市场输入缺失</x:t>
        </x:is>
      </x:c>
      <x:c r="L1788" s="604" t="inlineStr">
        <x:is>
          <x:t xml:space="preserve"/>
        </x:is>
      </x:c>
      <x:c r="M1788" s="604" t="n"/>
      <x:c r="N1788" s="604" t="inlineStr">
        <x:is>
          <x:t xml:space="preserve">V4 Shadow Only；real_money=false</x:t>
        </x:is>
      </x:c>
      <x:c r="O1788" s="604" t="inlineStr">
        <x:is>
          <x:t xml:space="preserve">0-0</x:t>
        </x:is>
      </x:c>
      <x:c r="P1788" s="604" t="inlineStr">
        <x:is>
          <x:t xml:space="preserve">MISSING_DATA</x:t>
        </x:is>
      </x:c>
      <x:c r="Q1788" s="630" t="inlineStr">
        <x:is>
          <x:t xml:space="preserve"/>
        </x:is>
      </x:c>
      <x:c r="R1788" s="604" t="n"/>
      <x:c r="S1788" s="604" t="n"/>
      <x:c r="T1788" s="604" t="inlineStr">
        <x:is>
          <x:t xml:space="preserve">D:\codex\v3_legacy\outputs\football_odds_trader\raw\titan007\20261009\20261009_085232_titan007_odds_snapshot.csv</x:t>
        </x:is>
      </x:c>
      <x:c r="U1788" s="628" t="inlineStr">
        <x:is>
          <x:t xml:space="preserve"/>
        </x:is>
      </x:c>
      <x:c r="V1788" s="604" t="inlineStr">
        <x:is>
          <x:t xml:space="preserve"/>
        </x:is>
      </x:c>
      <x:c r="W1788" s="604" t="inlineStr">
        <x:is>
          <x:t xml:space="preserve"/>
        </x:is>
      </x:c>
      <x:c r="X1788" s="604" t="inlineStr">
        <x:is>
          <x:t xml:space="preserve">3098523</x:t>
        </x:is>
      </x:c>
      <x:c r="Y1788" s="604" t="inlineStr">
        <x:is>
          <x:t xml:space="preserve">V4</x:t>
        </x:is>
      </x:c>
      <x:c r="Z1788" s="604" t="inlineStr">
        <x:is>
          <x:t xml:space="preserve">prior-2026-10-09-v1</x:t>
        </x:is>
      </x:c>
      <x:c r="AA1788" s="604" t="inlineStr">
        <x:is>
          <x:t xml:space="preserve"/>
        </x:is>
      </x:c>
      <x:c r="AB1788" s="604" t="n"/>
      <x:c r="AC1788" s="604" t="n"/>
      <x:c r="AD1788" s="604" t="n"/>
      <x:c r="AE1788" s="604" t="n"/>
      <x:c r="AF1788" s="604" t="n"/>
      <x:c r="AG1788" s="604" t="n"/>
      <x:c r="AH1788" s="604" t="n"/>
      <x:c r="AI1788" s="604" t="n"/>
      <x:c r="AJ1788" s="604" t="n"/>
      <x:c r="AK1788" s="604" t="n"/>
      <x:c r="AL1788" s="604" t="n"/>
      <x:c r="AM1788" s="604" t="n"/>
      <x:c r="AN1788" s="604" t="inlineStr">
        <x:is>
          <x:t xml:space="preserve">MISSING_DATA</x:t>
        </x:is>
      </x:c>
      <x:c r="AO1788" s="604" t="inlineStr">
        <x:is>
          <x:t xml:space="preserve">REQUIRED_MARKET_INPUT_MISSING</x:t>
        </x:is>
      </x:c>
      <x:c r="AP1788" s="604" t="inlineStr">
        <x:is>
          <x:t xml:space="preserve">77f3c0aa49b7bbdfb7c7</x:t>
        </x:is>
      </x:c>
      <x:c r="AQ1788" s="604" t="n"/>
      <x:c r="AR1788" s="604" t="n"/>
      <x:c r="AS1788" s="604" t="n"/>
      <x:c r="AT1788" s="604" t="n"/>
      <x:c r="AU1788" s="604" t="n"/>
      <x:c r="AV1788" s="604" t="n"/>
      <x:c r="AW1788" s="604" t="inlineStr">
        <x:is>
          <x:t xml:space="preserve">2026-10-09T09:01:21.127001+08:00</x:t>
        </x:is>
      </x:c>
      <x:c r="AX1788" s="604" t="inlineStr">
        <x:is>
          <x:t xml:space="preserve">Titan007/V4</x:t>
        </x:is>
      </x:c>
      <x:c r="AY1788" s="604" t="inlineStr">
        <x:is>
          <x:t xml:space="preserve">Daily append；市场输入缺失时不生成决策</x:t>
        </x:is>
      </x:c>
    </x:row>
    <x:row r="1789" ht="22" customHeight="1">
      <x:c r="A1789" s="604" t="inlineStr">
        <x:is>
          <x:t xml:space="preserve">2026-10-09</x:t>
        </x:is>
      </x:c>
      <x:c r="B1789" s="604" t="inlineStr">
        <x:is>
          <x:t xml:space="preserve">2026-10-09T20:10:00+08:00</x:t>
        </x:is>
      </x:c>
      <x:c r="C1789" s="604" t="str">
        <x:v>西亚/中亚系列</x:v>
      </x:c>
      <x:c r="D1789" s="604" t="inlineStr">
        <x:is>
          <x:t xml:space="preserve"/>
        </x:is>
      </x:c>
      <x:c r="E1789" s="604" t="inlineStr">
        <x:is>
          <x:t xml:space="preserve">沙地乙</x:t>
        </x:is>
      </x:c>
      <x:c r="F1789" s="604" t="inlineStr">
        <x:is>
          <x:t xml:space="preserve">阿沙希尔 vs 塔拉基</x:t>
        </x:is>
      </x:c>
      <x:c r="G1789" s="604" t="n"/>
      <x:c r="H1789" s="604" t="n"/>
      <x:c r="I1789" s="604" t="n"/>
      <x:c r="J1789" s="604" t="inlineStr">
        <x:is>
          <x:t xml:space="preserve">//</x:t>
        </x:is>
      </x:c>
      <x:c r="K1789" s="604" t="inlineStr">
        <x:is>
          <x:t xml:space="preserve">V4不可用：市场输入缺失</x:t>
        </x:is>
      </x:c>
      <x:c r="L1789" s="604" t="inlineStr">
        <x:is>
          <x:t xml:space="preserve"/>
        </x:is>
      </x:c>
      <x:c r="M1789" s="604" t="n"/>
      <x:c r="N1789" s="604" t="inlineStr">
        <x:is>
          <x:t xml:space="preserve">V4 Shadow Only；real_money=false</x:t>
        </x:is>
      </x:c>
      <x:c r="O1789" s="604" t="inlineStr">
        <x:is>
          <x:t xml:space="preserve">0-0</x:t>
        </x:is>
      </x:c>
      <x:c r="P1789" s="604" t="inlineStr">
        <x:is>
          <x:t xml:space="preserve">MISSING_DATA</x:t>
        </x:is>
      </x:c>
      <x:c r="Q1789" s="630" t="inlineStr">
        <x:is>
          <x:t xml:space="preserve"/>
        </x:is>
      </x:c>
      <x:c r="R1789" s="604" t="n"/>
      <x:c r="S1789" s="604" t="n"/>
      <x:c r="T1789" s="604" t="inlineStr">
        <x:is>
          <x:t xml:space="preserve">D:\codex\v3_legacy\outputs\football_odds_trader\raw\titan007\20261009\20261009_085232_titan007_odds_snapshot.csv</x:t>
        </x:is>
      </x:c>
      <x:c r="U1789" s="628" t="inlineStr">
        <x:is>
          <x:t xml:space="preserve"/>
        </x:is>
      </x:c>
      <x:c r="V1789" s="604" t="inlineStr">
        <x:is>
          <x:t xml:space="preserve"/>
        </x:is>
      </x:c>
      <x:c r="W1789" s="604" t="inlineStr">
        <x:is>
          <x:t xml:space="preserve"/>
        </x:is>
      </x:c>
      <x:c r="X1789" s="604" t="inlineStr">
        <x:is>
          <x:t xml:space="preserve">3098524</x:t>
        </x:is>
      </x:c>
      <x:c r="Y1789" s="604" t="inlineStr">
        <x:is>
          <x:t xml:space="preserve">V4</x:t>
        </x:is>
      </x:c>
      <x:c r="Z1789" s="604" t="inlineStr">
        <x:is>
          <x:t xml:space="preserve">prior-2026-10-09-v1</x:t>
        </x:is>
      </x:c>
      <x:c r="AA1789" s="604" t="inlineStr">
        <x:is>
          <x:t xml:space="preserve"/>
        </x:is>
      </x:c>
      <x:c r="AB1789" s="604" t="n"/>
      <x:c r="AC1789" s="604" t="n"/>
      <x:c r="AD1789" s="604" t="n"/>
      <x:c r="AE1789" s="604" t="n"/>
      <x:c r="AF1789" s="604" t="n"/>
      <x:c r="AG1789" s="604" t="n"/>
      <x:c r="AH1789" s="604" t="n"/>
      <x:c r="AI1789" s="604" t="n"/>
      <x:c r="AJ1789" s="604" t="n"/>
      <x:c r="AK1789" s="604" t="n"/>
      <x:c r="AL1789" s="604" t="n"/>
      <x:c r="AM1789" s="604" t="n"/>
      <x:c r="AN1789" s="604" t="inlineStr">
        <x:is>
          <x:t xml:space="preserve">MISSING_DATA</x:t>
        </x:is>
      </x:c>
      <x:c r="AO1789" s="604" t="inlineStr">
        <x:is>
          <x:t xml:space="preserve">REQUIRED_MARKET_INPUT_MISSING</x:t>
        </x:is>
      </x:c>
      <x:c r="AP1789" s="604" t="inlineStr">
        <x:is>
          <x:t xml:space="preserve">9bd8a084580c95bcdf0b</x:t>
        </x:is>
      </x:c>
      <x:c r="AQ1789" s="604" t="n"/>
      <x:c r="AR1789" s="604" t="n"/>
      <x:c r="AS1789" s="604" t="n"/>
      <x:c r="AT1789" s="604" t="n"/>
      <x:c r="AU1789" s="604" t="n"/>
      <x:c r="AV1789" s="604" t="n"/>
      <x:c r="AW1789" s="604" t="inlineStr">
        <x:is>
          <x:t xml:space="preserve">2026-10-09T09:01:21.127001+08:00</x:t>
        </x:is>
      </x:c>
      <x:c r="AX1789" s="604" t="inlineStr">
        <x:is>
          <x:t xml:space="preserve">Titan007/V4</x:t>
        </x:is>
      </x:c>
      <x:c r="AY1789" s="604" t="inlineStr">
        <x:is>
          <x:t xml:space="preserve">Daily append；市场输入缺失时不生成决策</x:t>
        </x:is>
      </x:c>
    </x:row>
    <x:row r="1790" ht="22" customHeight="1">
      <x:c r="A1790" s="604" t="inlineStr">
        <x:is>
          <x:t xml:space="preserve">2026-10-09</x:t>
        </x:is>
      </x:c>
      <x:c r="B1790" s="604" t="inlineStr">
        <x:is>
          <x:t xml:space="preserve">2026-10-09T20:15:00+08:00</x:t>
        </x:is>
      </x:c>
      <x:c r="C1790" s="604" t="str">
        <x:v>西亚/中亚系列</x:v>
      </x:c>
      <x:c r="D1790" s="604" t="inlineStr">
        <x:is>
          <x:t xml:space="preserve"/>
        </x:is>
      </x:c>
      <x:c r="E1790" s="604" t="inlineStr">
        <x:is>
          <x:t xml:space="preserve">沙地乙</x:t>
        </x:is>
      </x:c>
      <x:c r="F1790" s="604" t="inlineStr">
        <x:is>
          <x:t xml:space="preserve">奈尔亚 vs 渥治</x:t>
        </x:is>
      </x:c>
      <x:c r="G1790" s="604" t="n"/>
      <x:c r="H1790" s="604" t="n"/>
      <x:c r="I1790" s="604" t="n"/>
      <x:c r="J1790" s="604" t="inlineStr">
        <x:is>
          <x:t xml:space="preserve">//</x:t>
        </x:is>
      </x:c>
      <x:c r="K1790" s="604" t="inlineStr">
        <x:is>
          <x:t xml:space="preserve">V4不可用：市场输入缺失</x:t>
        </x:is>
      </x:c>
      <x:c r="L1790" s="604" t="inlineStr">
        <x:is>
          <x:t xml:space="preserve"/>
        </x:is>
      </x:c>
      <x:c r="M1790" s="604" t="n"/>
      <x:c r="N1790" s="604" t="inlineStr">
        <x:is>
          <x:t xml:space="preserve">V4 Shadow Only；real_money=false</x:t>
        </x:is>
      </x:c>
      <x:c r="O1790" s="604" t="inlineStr">
        <x:is>
          <x:t xml:space="preserve">0-0</x:t>
        </x:is>
      </x:c>
      <x:c r="P1790" s="604" t="inlineStr">
        <x:is>
          <x:t xml:space="preserve">MISSING_DATA</x:t>
        </x:is>
      </x:c>
      <x:c r="Q1790" s="630" t="inlineStr">
        <x:is>
          <x:t xml:space="preserve"/>
        </x:is>
      </x:c>
      <x:c r="R1790" s="604" t="n"/>
      <x:c r="S1790" s="604" t="n"/>
      <x:c r="T1790" s="604" t="inlineStr">
        <x:is>
          <x:t xml:space="preserve">D:\codex\v3_legacy\outputs\football_odds_trader\raw\titan007\20261009\20261009_085232_titan007_odds_snapshot.csv</x:t>
        </x:is>
      </x:c>
      <x:c r="U1790" s="628" t="inlineStr">
        <x:is>
          <x:t xml:space="preserve"/>
        </x:is>
      </x:c>
      <x:c r="V1790" s="604" t="inlineStr">
        <x:is>
          <x:t xml:space="preserve"/>
        </x:is>
      </x:c>
      <x:c r="W1790" s="604" t="inlineStr">
        <x:is>
          <x:t xml:space="preserve"/>
        </x:is>
      </x:c>
      <x:c r="X1790" s="604" t="inlineStr">
        <x:is>
          <x:t xml:space="preserve">3098525</x:t>
        </x:is>
      </x:c>
      <x:c r="Y1790" s="604" t="inlineStr">
        <x:is>
          <x:t xml:space="preserve">V4</x:t>
        </x:is>
      </x:c>
      <x:c r="Z1790" s="604" t="inlineStr">
        <x:is>
          <x:t xml:space="preserve">prior-2026-10-09-v1</x:t>
        </x:is>
      </x:c>
      <x:c r="AA1790" s="604" t="inlineStr">
        <x:is>
          <x:t xml:space="preserve"/>
        </x:is>
      </x:c>
      <x:c r="AB1790" s="604" t="n"/>
      <x:c r="AC1790" s="604" t="n"/>
      <x:c r="AD1790" s="604" t="n"/>
      <x:c r="AE1790" s="604" t="n"/>
      <x:c r="AF1790" s="604" t="n"/>
      <x:c r="AG1790" s="604" t="n"/>
      <x:c r="AH1790" s="604" t="n"/>
      <x:c r="AI1790" s="604" t="n"/>
      <x:c r="AJ1790" s="604" t="n"/>
      <x:c r="AK1790" s="604" t="n"/>
      <x:c r="AL1790" s="604" t="n"/>
      <x:c r="AM1790" s="604" t="n"/>
      <x:c r="AN1790" s="604" t="inlineStr">
        <x:is>
          <x:t xml:space="preserve">MISSING_DATA</x:t>
        </x:is>
      </x:c>
      <x:c r="AO1790" s="604" t="inlineStr">
        <x:is>
          <x:t xml:space="preserve">REQUIRED_MARKET_INPUT_MISSING</x:t>
        </x:is>
      </x:c>
      <x:c r="AP1790" s="604" t="inlineStr">
        <x:is>
          <x:t xml:space="preserve">cfb0806a0da9cbbdf5d3</x:t>
        </x:is>
      </x:c>
      <x:c r="AQ1790" s="604" t="n"/>
      <x:c r="AR1790" s="604" t="n"/>
      <x:c r="AS1790" s="604" t="n"/>
      <x:c r="AT1790" s="604" t="n"/>
      <x:c r="AU1790" s="604" t="n"/>
      <x:c r="AV1790" s="604" t="n"/>
      <x:c r="AW1790" s="604" t="inlineStr">
        <x:is>
          <x:t xml:space="preserve">2026-10-09T09:01:21.127001+08:00</x:t>
        </x:is>
      </x:c>
      <x:c r="AX1790" s="604" t="inlineStr">
        <x:is>
          <x:t xml:space="preserve">Titan007/V4</x:t>
        </x:is>
      </x:c>
      <x:c r="AY1790" s="604" t="inlineStr">
        <x:is>
          <x:t xml:space="preserve">Daily append；市场输入缺失时不生成决策</x:t>
        </x:is>
      </x:c>
    </x:row>
    <x:row r="1791" ht="22" customHeight="1">
      <x:c r="A1791" s="604" t="inlineStr">
        <x:is>
          <x:t xml:space="preserve">2026-10-09</x:t>
        </x:is>
      </x:c>
      <x:c r="B1791" s="604" t="inlineStr">
        <x:is>
          <x:t xml:space="preserve">2026-10-09T20:25:00+08:00</x:t>
        </x:is>
      </x:c>
      <x:c r="C1791" s="604" t="str">
        <x:v>西亚/中亚系列</x:v>
      </x:c>
      <x:c r="D1791" s="604" t="inlineStr">
        <x:is>
          <x:t xml:space="preserve"/>
        </x:is>
      </x:c>
      <x:c r="E1791" s="604" t="inlineStr">
        <x:is>
          <x:t xml:space="preserve">沙地乙</x:t>
        </x:is>
      </x:c>
      <x:c r="F1791" s="604" t="inlineStr">
        <x:is>
          <x:t xml:space="preserve">巴腾 vs 卡瓦拉赫</x:t>
        </x:is>
      </x:c>
      <x:c r="G1791" s="604" t="n"/>
      <x:c r="H1791" s="604" t="n"/>
      <x:c r="I1791" s="604" t="n"/>
      <x:c r="J1791" s="604" t="inlineStr">
        <x:is>
          <x:t xml:space="preserve">//</x:t>
        </x:is>
      </x:c>
      <x:c r="K1791" s="604" t="inlineStr">
        <x:is>
          <x:t xml:space="preserve">V4不可用：市场输入缺失</x:t>
        </x:is>
      </x:c>
      <x:c r="L1791" s="604" t="inlineStr">
        <x:is>
          <x:t xml:space="preserve"/>
        </x:is>
      </x:c>
      <x:c r="M1791" s="604" t="n"/>
      <x:c r="N1791" s="604" t="inlineStr">
        <x:is>
          <x:t xml:space="preserve">V4 Shadow Only；real_money=false</x:t>
        </x:is>
      </x:c>
      <x:c r="O1791" s="604" t="inlineStr">
        <x:is>
          <x:t xml:space="preserve">0-0</x:t>
        </x:is>
      </x:c>
      <x:c r="P1791" s="604" t="inlineStr">
        <x:is>
          <x:t xml:space="preserve">MISSING_DATA</x:t>
        </x:is>
      </x:c>
      <x:c r="Q1791" s="630" t="inlineStr">
        <x:is>
          <x:t xml:space="preserve"/>
        </x:is>
      </x:c>
      <x:c r="R1791" s="604" t="n"/>
      <x:c r="S1791" s="604" t="n"/>
      <x:c r="T1791" s="604" t="inlineStr">
        <x:is>
          <x:t xml:space="preserve">D:\codex\v3_legacy\outputs\football_odds_trader\raw\titan007\20261009\20261009_085232_titan007_odds_snapshot.csv</x:t>
        </x:is>
      </x:c>
      <x:c r="U1791" s="628" t="inlineStr">
        <x:is>
          <x:t xml:space="preserve"/>
        </x:is>
      </x:c>
      <x:c r="V1791" s="604" t="inlineStr">
        <x:is>
          <x:t xml:space="preserve"/>
        </x:is>
      </x:c>
      <x:c r="W1791" s="604" t="inlineStr">
        <x:is>
          <x:t xml:space="preserve"/>
        </x:is>
      </x:c>
      <x:c r="X1791" s="604" t="inlineStr">
        <x:is>
          <x:t xml:space="preserve">3098526</x:t>
        </x:is>
      </x:c>
      <x:c r="Y1791" s="604" t="inlineStr">
        <x:is>
          <x:t xml:space="preserve">V4</x:t>
        </x:is>
      </x:c>
      <x:c r="Z1791" s="604" t="inlineStr">
        <x:is>
          <x:t xml:space="preserve">prior-2026-10-09-v1</x:t>
        </x:is>
      </x:c>
      <x:c r="AA1791" s="604" t="inlineStr">
        <x:is>
          <x:t xml:space="preserve"/>
        </x:is>
      </x:c>
      <x:c r="AB1791" s="604" t="n"/>
      <x:c r="AC1791" s="604" t="n"/>
      <x:c r="AD1791" s="604" t="n"/>
      <x:c r="AE1791" s="604" t="n"/>
      <x:c r="AF1791" s="604" t="n"/>
      <x:c r="AG1791" s="604" t="n"/>
      <x:c r="AH1791" s="604" t="n"/>
      <x:c r="AI1791" s="604" t="n"/>
      <x:c r="AJ1791" s="604" t="n"/>
      <x:c r="AK1791" s="604" t="n"/>
      <x:c r="AL1791" s="604" t="n"/>
      <x:c r="AM1791" s="604" t="n"/>
      <x:c r="AN1791" s="604" t="inlineStr">
        <x:is>
          <x:t xml:space="preserve">MISSING_DATA</x:t>
        </x:is>
      </x:c>
      <x:c r="AO1791" s="604" t="inlineStr">
        <x:is>
          <x:t xml:space="preserve">REQUIRED_MARKET_INPUT_MISSING</x:t>
        </x:is>
      </x:c>
      <x:c r="AP1791" s="604" t="inlineStr">
        <x:is>
          <x:t xml:space="preserve">894d86251ff8bfb8f5aa</x:t>
        </x:is>
      </x:c>
      <x:c r="AQ1791" s="604" t="n"/>
      <x:c r="AR1791" s="604" t="n"/>
      <x:c r="AS1791" s="604" t="n"/>
      <x:c r="AT1791" s="604" t="n"/>
      <x:c r="AU1791" s="604" t="n"/>
      <x:c r="AV1791" s="604" t="n"/>
      <x:c r="AW1791" s="604" t="inlineStr">
        <x:is>
          <x:t xml:space="preserve">2026-10-09T09:01:21.127001+08:00</x:t>
        </x:is>
      </x:c>
      <x:c r="AX1791" s="604" t="inlineStr">
        <x:is>
          <x:t xml:space="preserve">Titan007/V4</x:t>
        </x:is>
      </x:c>
      <x:c r="AY1791" s="604" t="inlineStr">
        <x:is>
          <x:t xml:space="preserve">Daily append；市场输入缺失时不生成决策</x:t>
        </x:is>
      </x:c>
    </x:row>
    <x:row r="1792" ht="22" customHeight="1">
      <x:c r="A1792" s="604" t="inlineStr">
        <x:is>
          <x:t xml:space="preserve">2026-10-09</x:t>
        </x:is>
      </x:c>
      <x:c r="B1792" s="604" t="inlineStr">
        <x:is>
          <x:t xml:space="preserve">2026-10-09T20:40:00+08:00</x:t>
        </x:is>
      </x:c>
      <x:c r="C1792" s="604" t="str">
        <x:v>西亚/中亚系列</x:v>
      </x:c>
      <x:c r="D1792" s="604" t="inlineStr">
        <x:is>
          <x:t xml:space="preserve"/>
        </x:is>
      </x:c>
      <x:c r="E1792" s="604" t="inlineStr">
        <x:is>
          <x:t xml:space="preserve">沙地乙</x:t>
        </x:is>
      </x:c>
      <x:c r="F1792" s="604" t="inlineStr">
        <x:is>
          <x:t xml:space="preserve">扩塔禾 vs 艾尔赖扬</x:t>
        </x:is>
      </x:c>
      <x:c r="G1792" s="604" t="n"/>
      <x:c r="H1792" s="604" t="n"/>
      <x:c r="I1792" s="604" t="n"/>
      <x:c r="J1792" s="604" t="inlineStr">
        <x:is>
          <x:t xml:space="preserve">//</x:t>
        </x:is>
      </x:c>
      <x:c r="K1792" s="604" t="inlineStr">
        <x:is>
          <x:t xml:space="preserve">V4不可用：市场输入缺失</x:t>
        </x:is>
      </x:c>
      <x:c r="L1792" s="604" t="inlineStr">
        <x:is>
          <x:t xml:space="preserve"/>
        </x:is>
      </x:c>
      <x:c r="M1792" s="604" t="n"/>
      <x:c r="N1792" s="604" t="inlineStr">
        <x:is>
          <x:t xml:space="preserve">V4 Shadow Only；real_money=false</x:t>
        </x:is>
      </x:c>
      <x:c r="O1792" s="604" t="inlineStr">
        <x:is>
          <x:t xml:space="preserve">0-0</x:t>
        </x:is>
      </x:c>
      <x:c r="P1792" s="604" t="inlineStr">
        <x:is>
          <x:t xml:space="preserve">MISSING_DATA</x:t>
        </x:is>
      </x:c>
      <x:c r="Q1792" s="630" t="inlineStr">
        <x:is>
          <x:t xml:space="preserve"/>
        </x:is>
      </x:c>
      <x:c r="R1792" s="604" t="n"/>
      <x:c r="S1792" s="604" t="n"/>
      <x:c r="T1792" s="604" t="inlineStr">
        <x:is>
          <x:t xml:space="preserve">D:\codex\v3_legacy\outputs\football_odds_trader\raw\titan007\20261009\20261009_085232_titan007_odds_snapshot.csv</x:t>
        </x:is>
      </x:c>
      <x:c r="U1792" s="628" t="inlineStr">
        <x:is>
          <x:t xml:space="preserve"/>
        </x:is>
      </x:c>
      <x:c r="V1792" s="604" t="inlineStr">
        <x:is>
          <x:t xml:space="preserve"/>
        </x:is>
      </x:c>
      <x:c r="W1792" s="604" t="inlineStr">
        <x:is>
          <x:t xml:space="preserve"/>
        </x:is>
      </x:c>
      <x:c r="X1792" s="604" t="inlineStr">
        <x:is>
          <x:t xml:space="preserve">3098527</x:t>
        </x:is>
      </x:c>
      <x:c r="Y1792" s="604" t="inlineStr">
        <x:is>
          <x:t xml:space="preserve">V4</x:t>
        </x:is>
      </x:c>
      <x:c r="Z1792" s="604" t="inlineStr">
        <x:is>
          <x:t xml:space="preserve">prior-2026-10-09-v1</x:t>
        </x:is>
      </x:c>
      <x:c r="AA1792" s="604" t="inlineStr">
        <x:is>
          <x:t xml:space="preserve"/>
        </x:is>
      </x:c>
      <x:c r="AB1792" s="604" t="n"/>
      <x:c r="AC1792" s="604" t="n"/>
      <x:c r="AD1792" s="604" t="n"/>
      <x:c r="AE1792" s="604" t="n"/>
      <x:c r="AF1792" s="604" t="n"/>
      <x:c r="AG1792" s="604" t="n"/>
      <x:c r="AH1792" s="604" t="n"/>
      <x:c r="AI1792" s="604" t="n"/>
      <x:c r="AJ1792" s="604" t="n"/>
      <x:c r="AK1792" s="604" t="n"/>
      <x:c r="AL1792" s="604" t="n"/>
      <x:c r="AM1792" s="604" t="n"/>
      <x:c r="AN1792" s="604" t="inlineStr">
        <x:is>
          <x:t xml:space="preserve">MISSING_DATA</x:t>
        </x:is>
      </x:c>
      <x:c r="AO1792" s="604" t="inlineStr">
        <x:is>
          <x:t xml:space="preserve">REQUIRED_MARKET_INPUT_MISSING</x:t>
        </x:is>
      </x:c>
      <x:c r="AP1792" s="604" t="inlineStr">
        <x:is>
          <x:t xml:space="preserve">c55981c372a34b94194a</x:t>
        </x:is>
      </x:c>
      <x:c r="AQ1792" s="604" t="n"/>
      <x:c r="AR1792" s="604" t="n"/>
      <x:c r="AS1792" s="604" t="n"/>
      <x:c r="AT1792" s="604" t="n"/>
      <x:c r="AU1792" s="604" t="n"/>
      <x:c r="AV1792" s="604" t="n"/>
      <x:c r="AW1792" s="604" t="inlineStr">
        <x:is>
          <x:t xml:space="preserve">2026-10-09T09:01:21.127001+08:00</x:t>
        </x:is>
      </x:c>
      <x:c r="AX1792" s="604" t="inlineStr">
        <x:is>
          <x:t xml:space="preserve">Titan007/V4</x:t>
        </x:is>
      </x:c>
      <x:c r="AY1792" s="604" t="inlineStr">
        <x:is>
          <x:t xml:space="preserve">Daily append；市场输入缺失时不生成决策</x:t>
        </x:is>
      </x:c>
    </x:row>
    <x:row r="1793" ht="22" customHeight="1">
      <x:c r="A1793" s="604" t="inlineStr">
        <x:is>
          <x:t xml:space="preserve">2026-10-09</x:t>
        </x:is>
      </x:c>
      <x:c r="B1793" s="604" t="inlineStr">
        <x:is>
          <x:t xml:space="preserve">2026-10-09T20:40:00+08:00</x:t>
        </x:is>
      </x:c>
      <x:c r="C1793" s="604" t="str">
        <x:v>西亚/中亚系列</x:v>
      </x:c>
      <x:c r="D1793" s="604" t="inlineStr">
        <x:is>
          <x:t xml:space="preserve"/>
        </x:is>
      </x:c>
      <x:c r="E1793" s="604" t="inlineStr">
        <x:is>
          <x:t xml:space="preserve">沙地乙</x:t>
        </x:is>
      </x:c>
      <x:c r="F1793" s="604" t="inlineStr">
        <x:is>
          <x:t xml:space="preserve">白贝什 vs 艾因巴哈</x:t>
        </x:is>
      </x:c>
      <x:c r="G1793" s="604" t="n"/>
      <x:c r="H1793" s="604" t="n"/>
      <x:c r="I1793" s="604" t="n"/>
      <x:c r="J1793" s="604" t="inlineStr">
        <x:is>
          <x:t xml:space="preserve">//</x:t>
        </x:is>
      </x:c>
      <x:c r="K1793" s="604" t="inlineStr">
        <x:is>
          <x:t xml:space="preserve">V4不可用：市场输入缺失</x:t>
        </x:is>
      </x:c>
      <x:c r="L1793" s="604" t="inlineStr">
        <x:is>
          <x:t xml:space="preserve"/>
        </x:is>
      </x:c>
      <x:c r="M1793" s="604" t="n"/>
      <x:c r="N1793" s="604" t="inlineStr">
        <x:is>
          <x:t xml:space="preserve">V4 Shadow Only；real_money=false</x:t>
        </x:is>
      </x:c>
      <x:c r="O1793" s="604" t="inlineStr">
        <x:is>
          <x:t xml:space="preserve">0-0</x:t>
        </x:is>
      </x:c>
      <x:c r="P1793" s="604" t="inlineStr">
        <x:is>
          <x:t xml:space="preserve">MISSING_DATA</x:t>
        </x:is>
      </x:c>
      <x:c r="Q1793" s="630" t="inlineStr">
        <x:is>
          <x:t xml:space="preserve"/>
        </x:is>
      </x:c>
      <x:c r="R1793" s="604" t="n"/>
      <x:c r="S1793" s="604" t="n"/>
      <x:c r="T1793" s="604" t="inlineStr">
        <x:is>
          <x:t xml:space="preserve">D:\codex\v3_legacy\outputs\football_odds_trader\raw\titan007\20261009\20261009_085232_titan007_odds_snapshot.csv</x:t>
        </x:is>
      </x:c>
      <x:c r="U1793" s="628" t="inlineStr">
        <x:is>
          <x:t xml:space="preserve"/>
        </x:is>
      </x:c>
      <x:c r="V1793" s="604" t="inlineStr">
        <x:is>
          <x:t xml:space="preserve"/>
        </x:is>
      </x:c>
      <x:c r="W1793" s="604" t="inlineStr">
        <x:is>
          <x:t xml:space="preserve"/>
        </x:is>
      </x:c>
      <x:c r="X1793" s="604" t="inlineStr">
        <x:is>
          <x:t xml:space="preserve">3098528</x:t>
        </x:is>
      </x:c>
      <x:c r="Y1793" s="604" t="inlineStr">
        <x:is>
          <x:t xml:space="preserve">V4</x:t>
        </x:is>
      </x:c>
      <x:c r="Z1793" s="604" t="inlineStr">
        <x:is>
          <x:t xml:space="preserve">prior-2026-10-09-v1</x:t>
        </x:is>
      </x:c>
      <x:c r="AA1793" s="604" t="inlineStr">
        <x:is>
          <x:t xml:space="preserve"/>
        </x:is>
      </x:c>
      <x:c r="AB1793" s="604" t="n"/>
      <x:c r="AC1793" s="604" t="n"/>
      <x:c r="AD1793" s="604" t="n"/>
      <x:c r="AE1793" s="604" t="n"/>
      <x:c r="AF1793" s="604" t="n"/>
      <x:c r="AG1793" s="604" t="n"/>
      <x:c r="AH1793" s="604" t="n"/>
      <x:c r="AI1793" s="604" t="n"/>
      <x:c r="AJ1793" s="604" t="n"/>
      <x:c r="AK1793" s="604" t="n"/>
      <x:c r="AL1793" s="604" t="n"/>
      <x:c r="AM1793" s="604" t="n"/>
      <x:c r="AN1793" s="604" t="inlineStr">
        <x:is>
          <x:t xml:space="preserve">MISSING_DATA</x:t>
        </x:is>
      </x:c>
      <x:c r="AO1793" s="604" t="inlineStr">
        <x:is>
          <x:t xml:space="preserve">REQUIRED_MARKET_INPUT_MISSING</x:t>
        </x:is>
      </x:c>
      <x:c r="AP1793" s="604" t="inlineStr">
        <x:is>
          <x:t xml:space="preserve">2d0c87a78db7b4147214</x:t>
        </x:is>
      </x:c>
      <x:c r="AQ1793" s="604" t="n"/>
      <x:c r="AR1793" s="604" t="n"/>
      <x:c r="AS1793" s="604" t="n"/>
      <x:c r="AT1793" s="604" t="n"/>
      <x:c r="AU1793" s="604" t="n"/>
      <x:c r="AV1793" s="604" t="n"/>
      <x:c r="AW1793" s="604" t="inlineStr">
        <x:is>
          <x:t xml:space="preserve">2026-10-09T09:01:21.127001+08:00</x:t>
        </x:is>
      </x:c>
      <x:c r="AX1793" s="604" t="inlineStr">
        <x:is>
          <x:t xml:space="preserve">Titan007/V4</x:t>
        </x:is>
      </x:c>
      <x:c r="AY1793" s="604" t="inlineStr">
        <x:is>
          <x:t xml:space="preserve">Daily append；市场输入缺失时不生成决策</x:t>
        </x:is>
      </x:c>
    </x:row>
    <x:row r="1794" ht="22" customHeight="1">
      <x:c r="A1794" s="604" t="inlineStr">
        <x:is>
          <x:t xml:space="preserve">2026-10-09</x:t>
        </x:is>
      </x:c>
      <x:c r="B1794" s="604" t="inlineStr">
        <x:is>
          <x:t xml:space="preserve">2026-10-09T20:45:00+08:00</x:t>
        </x:is>
      </x:c>
      <x:c r="C1794" s="604" t="str">
        <x:v>西亚/中亚系列</x:v>
      </x:c>
      <x:c r="D1794" s="604" t="inlineStr">
        <x:is>
          <x:t xml:space="preserve"/>
        </x:is>
      </x:c>
      <x:c r="E1794" s="604" t="inlineStr">
        <x:is>
          <x:t xml:space="preserve">沙地乙</x:t>
        </x:is>
      </x:c>
      <x:c r="F1794" s="604" t="inlineStr">
        <x:is>
          <x:t xml:space="preserve">阿拉尔 vs 姆达哈瑞</x:t>
        </x:is>
      </x:c>
      <x:c r="G1794" s="604" t="n">
        <x:v>0.9</x:v>
      </x:c>
      <x:c r="H1794" s="604" t="n">
        <x:v>-0.5</x:v>
      </x:c>
      <x:c r="I1794" s="604" t="n">
        <x:v>0.9</x:v>
      </x:c>
      <x:c r="J1794" s="604" t="inlineStr">
        <x:is>
          <x:t xml:space="preserve">0.9/-0.5/0.9</x:t>
        </x:is>
      </x:c>
      <x:c r="K1794" s="604" t="inlineStr">
        <x:is>
          <x:t xml:space="preserve">V4-N</x:t>
        </x:is>
      </x:c>
      <x:c r="L1794" s="604" t="inlineStr">
        <x:is>
          <x:t xml:space="preserve"/>
        </x:is>
      </x:c>
      <x:c r="M1794" s="604" t="n">
        <x:v>0.2021224202339497</x:v>
      </x:c>
      <x:c r="N1794" s="604" t="inlineStr">
        <x:is>
          <x:t xml:space="preserve">V4 Shadow Only；real_money=false</x:t>
        </x:is>
      </x:c>
      <x:c r="O1794" s="604" t="inlineStr">
        <x:is>
          <x:t xml:space="preserve">0-0</x:t>
        </x:is>
      </x:c>
      <x:c r="P1794" s="604" t="inlineStr">
        <x:is>
          <x:t xml:space="preserve">EVALUATED</x:t>
        </x:is>
      </x:c>
      <x:c r="Q1794" s="630" t="inlineStr">
        <x:is>
          <x:t xml:space="preserve"/>
        </x:is>
      </x:c>
      <x:c r="R1794" s="604" t="n"/>
      <x:c r="S1794" s="604" t="n"/>
      <x:c r="T1794" s="604" t="inlineStr">
        <x:is>
          <x:t xml:space="preserve">D:\codex\v3_legacy\outputs\football_odds_trader\raw\titan007\20261009\20261009_085232_titan007_odds_snapshot.csv</x:t>
        </x:is>
      </x:c>
      <x:c r="U1794" s="628" t="inlineStr">
        <x:is>
          <x:t xml:space="preserve"/>
        </x:is>
      </x:c>
      <x:c r="V1794" s="604" t="inlineStr">
        <x:is>
          <x:t xml:space="preserve"/>
        </x:is>
      </x:c>
      <x:c r="W1794" s="604" t="inlineStr">
        <x:is>
          <x:t xml:space="preserve"/>
        </x:is>
      </x:c>
      <x:c r="X1794" s="604" t="inlineStr">
        <x:is>
          <x:t xml:space="preserve">3098529</x:t>
        </x:is>
      </x:c>
      <x:c r="Y1794" s="604" t="inlineStr">
        <x:is>
          <x:t xml:space="preserve">V4</x:t>
        </x:is>
      </x:c>
      <x:c r="Z1794" s="604" t="inlineStr">
        <x:is>
          <x:t xml:space="preserve">prior-2026-10-09-v1</x:t>
        </x:is>
      </x:c>
      <x:c r="AA1794" s="604" t="inlineStr">
        <x:is>
          <x:t xml:space="preserve">N</x:t>
        </x:is>
      </x:c>
      <x:c r="AB1794" s="604" t="n">
        <x:v>0.2021224202339497</x:v>
      </x:c>
      <x:c r="AC1794" s="604" t="n">
        <x:v>0.7978775797660503</x:v>
      </x:c>
      <x:c r="AD1794" s="604" t="n">
        <x:v>-0.75</x:v>
      </x:c>
      <x:c r="AE1794" s="604" t="n"/>
      <x:c r="AF1794" s="604" t="n"/>
      <x:c r="AG1794" s="604" t="n">
        <x:v>0.5159674015554956</x:v>
      </x:c>
      <x:c r="AH1794" s="604" t="n"/>
      <x:c r="AI1794" s="604" t="n"/>
      <x:c r="AJ1794" s="604" t="n">
        <x:v>0.5159674015554956</x:v>
      </x:c>
      <x:c r="AK1794" s="604" t="n"/>
      <x:c r="AL1794" s="604" t="n"/>
      <x:c r="AM1794" s="604" t="n"/>
      <x:c r="AN1794" s="604" t="inlineStr">
        <x:is>
          <x:t xml:space="preserve">EVALUATED</x:t>
        </x:is>
      </x:c>
      <x:c r="AO1794" s="604" t="inlineStr">
        <x:is>
          <x:t xml:space="preserve">LOW_QUALITY_GATE;BUCKET_PRIOR_ONLY;INTENT_INTERPRETATION_ONLY;FFL_OPTIONAL;EXPERT_MARKET</x:t>
        </x:is>
      </x:c>
      <x:c r="AP1794" s="604" t="inlineStr">
        <x:is>
          <x:t xml:space="preserve">6b402f19ece43a4d2649</x:t>
        </x:is>
      </x:c>
      <x:c r="AQ1794" s="604" t="n"/>
      <x:c r="AR1794" s="604" t="n"/>
      <x:c r="AS1794" s="604" t="n">
        <x:v>-0.5</x:v>
      </x:c>
      <x:c r="AT1794" s="604" t="n">
        <x:v>0.5</x:v>
      </x:c>
      <x:c r="AU1794" s="604" t="n">
        <x:v>0.9</x:v>
      </x:c>
      <x:c r="AV1794" s="604" t="n">
        <x:v>0.9</x:v>
      </x:c>
      <x:c r="AW1794" s="604" t="inlineStr">
        <x:is>
          <x:t xml:space="preserve">2026-10-09T09:01:21.127001+08:00</x:t>
        </x:is>
      </x:c>
      <x:c r="AX1794" s="604" t="inlineStr">
        <x:is>
          <x:t xml:space="preserve">Titan007/V4</x:t>
        </x:is>
      </x:c>
      <x:c r="AY1794" s="604" t="inlineStr">
        <x:is>
          <x:t xml:space="preserve">Daily append；市场输入缺失时不生成决策</x:t>
        </x:is>
      </x:c>
    </x:row>
    <x:row r="1795" ht="22" customHeight="1">
      <x:c r="A1795" s="604" t="inlineStr">
        <x:is>
          <x:t xml:space="preserve">2026-10-09</x:t>
        </x:is>
      </x:c>
      <x:c r="B1795" s="604" t="inlineStr">
        <x:is>
          <x:t xml:space="preserve">2026-10-09T20:50:00+08:00</x:t>
        </x:is>
      </x:c>
      <x:c r="C1795" s="604" t="str">
        <x:v>西亚/中亚系列</x:v>
      </x:c>
      <x:c r="D1795" s="604" t="inlineStr">
        <x:is>
          <x:t xml:space="preserve"/>
        </x:is>
      </x:c>
      <x:c r="E1795" s="604" t="inlineStr">
        <x:is>
          <x:t xml:space="preserve">沙地乙</x:t>
        </x:is>
      </x:c>
      <x:c r="F1795" s="604" t="inlineStr">
        <x:is>
          <x:t xml:space="preserve">卡拉赫 vs 禾特恩</x:t>
        </x:is>
      </x:c>
      <x:c r="G1795" s="604" t="n"/>
      <x:c r="H1795" s="604" t="n"/>
      <x:c r="I1795" s="604" t="n"/>
      <x:c r="J1795" s="604" t="inlineStr">
        <x:is>
          <x:t xml:space="preserve">//</x:t>
        </x:is>
      </x:c>
      <x:c r="K1795" s="604" t="inlineStr">
        <x:is>
          <x:t xml:space="preserve">V4不可用：市场输入缺失</x:t>
        </x:is>
      </x:c>
      <x:c r="L1795" s="604" t="inlineStr">
        <x:is>
          <x:t xml:space="preserve"/>
        </x:is>
      </x:c>
      <x:c r="M1795" s="604" t="n"/>
      <x:c r="N1795" s="604" t="inlineStr">
        <x:is>
          <x:t xml:space="preserve">V4 Shadow Only；real_money=false</x:t>
        </x:is>
      </x:c>
      <x:c r="O1795" s="604" t="inlineStr">
        <x:is>
          <x:t xml:space="preserve">0-0</x:t>
        </x:is>
      </x:c>
      <x:c r="P1795" s="604" t="inlineStr">
        <x:is>
          <x:t xml:space="preserve">MISSING_DATA</x:t>
        </x:is>
      </x:c>
      <x:c r="Q1795" s="630" t="inlineStr">
        <x:is>
          <x:t xml:space="preserve"/>
        </x:is>
      </x:c>
      <x:c r="R1795" s="604" t="n"/>
      <x:c r="S1795" s="604" t="n"/>
      <x:c r="T1795" s="604" t="inlineStr">
        <x:is>
          <x:t xml:space="preserve">D:\codex\v3_legacy\outputs\football_odds_trader\raw\titan007\20261009\20261009_085232_titan007_odds_snapshot.csv</x:t>
        </x:is>
      </x:c>
      <x:c r="U1795" s="628" t="inlineStr">
        <x:is>
          <x:t xml:space="preserve"/>
        </x:is>
      </x:c>
      <x:c r="V1795" s="604" t="inlineStr">
        <x:is>
          <x:t xml:space="preserve"/>
        </x:is>
      </x:c>
      <x:c r="W1795" s="604" t="inlineStr">
        <x:is>
          <x:t xml:space="preserve"/>
        </x:is>
      </x:c>
      <x:c r="X1795" s="604" t="inlineStr">
        <x:is>
          <x:t xml:space="preserve">3098530</x:t>
        </x:is>
      </x:c>
      <x:c r="Y1795" s="604" t="inlineStr">
        <x:is>
          <x:t xml:space="preserve">V4</x:t>
        </x:is>
      </x:c>
      <x:c r="Z1795" s="604" t="inlineStr">
        <x:is>
          <x:t xml:space="preserve">prior-2026-10-09-v1</x:t>
        </x:is>
      </x:c>
      <x:c r="AA1795" s="604" t="inlineStr">
        <x:is>
          <x:t xml:space="preserve"/>
        </x:is>
      </x:c>
      <x:c r="AB1795" s="604" t="n"/>
      <x:c r="AC1795" s="604" t="n"/>
      <x:c r="AD1795" s="604" t="n"/>
      <x:c r="AE1795" s="604" t="n"/>
      <x:c r="AF1795" s="604" t="n"/>
      <x:c r="AG1795" s="604" t="n"/>
      <x:c r="AH1795" s="604" t="n"/>
      <x:c r="AI1795" s="604" t="n"/>
      <x:c r="AJ1795" s="604" t="n"/>
      <x:c r="AK1795" s="604" t="n"/>
      <x:c r="AL1795" s="604" t="n"/>
      <x:c r="AM1795" s="604" t="n"/>
      <x:c r="AN1795" s="604" t="inlineStr">
        <x:is>
          <x:t xml:space="preserve">MISSING_DATA</x:t>
        </x:is>
      </x:c>
      <x:c r="AO1795" s="604" t="inlineStr">
        <x:is>
          <x:t xml:space="preserve">REQUIRED_MARKET_INPUT_MISSING</x:t>
        </x:is>
      </x:c>
      <x:c r="AP1795" s="604" t="inlineStr">
        <x:is>
          <x:t xml:space="preserve">3deeb0fa484ad8e0e1f6</x:t>
        </x:is>
      </x:c>
      <x:c r="AQ1795" s="604" t="n"/>
      <x:c r="AR1795" s="604" t="n"/>
      <x:c r="AS1795" s="604" t="n"/>
      <x:c r="AT1795" s="604" t="n"/>
      <x:c r="AU1795" s="604" t="n"/>
      <x:c r="AV1795" s="604" t="n"/>
      <x:c r="AW1795" s="604" t="inlineStr">
        <x:is>
          <x:t xml:space="preserve">2026-10-09T09:01:21.127001+08:00</x:t>
        </x:is>
      </x:c>
      <x:c r="AX1795" s="604" t="inlineStr">
        <x:is>
          <x:t xml:space="preserve">Titan007/V4</x:t>
        </x:is>
      </x:c>
      <x:c r="AY1795" s="604" t="inlineStr">
        <x:is>
          <x:t xml:space="preserve">Daily append；市场输入缺失时不生成决策</x:t>
        </x:is>
      </x:c>
    </x:row>
    <x:row r="1796" ht="22" customHeight="1">
      <x:c r="A1796" s="604" t="inlineStr">
        <x:is>
          <x:t xml:space="preserve">2026-10-09</x:t>
        </x:is>
      </x:c>
      <x:c r="B1796" s="604" t="inlineStr">
        <x:is>
          <x:t xml:space="preserve">2026-10-10T03:55:00+08:00</x:t>
        </x:is>
      </x:c>
      <x:c r="C1796" s="604" t="str">
        <x:v>南美系列</x:v>
      </x:c>
      <x:c r="D1796" s="604" t="inlineStr">
        <x:is>
          <x:t xml:space="preserve"/>
        </x:is>
      </x:c>
      <x:c r="E1796" s="604" t="inlineStr">
        <x:is>
          <x:t xml:space="preserve">乌拉甲秋</x:t>
        </x:is>
      </x:c>
      <x:c r="F1796" s="604" t="inlineStr">
        <x:is>
          <x:t xml:space="preserve">图尔克 vs 丹奴比奥</x:t>
        </x:is>
      </x:c>
      <x:c r="G1796" s="604" t="n">
        <x:v>0.8</x:v>
      </x:c>
      <x:c r="H1796" s="604" t="n">
        <x:v>0.5</x:v>
      </x:c>
      <x:c r="I1796" s="604" t="n">
        <x:v>0.9</x:v>
      </x:c>
      <x:c r="J1796" s="604" t="inlineStr">
        <x:is>
          <x:t xml:space="preserve">0.8/0.5/0.9</x:t>
        </x:is>
      </x:c>
      <x:c r="K1796" s="604" t="inlineStr">
        <x:is>
          <x:t xml:space="preserve">V4-N</x:t>
        </x:is>
      </x:c>
      <x:c r="L1796" s="604" t="inlineStr">
        <x:is>
          <x:t xml:space="preserve"/>
        </x:is>
      </x:c>
      <x:c r="M1796" s="604" t="n">
        <x:v>0.5850567016555003</x:v>
      </x:c>
      <x:c r="N1796" s="604" t="inlineStr">
        <x:is>
          <x:t xml:space="preserve">V4 Shadow Only；real_money=false</x:t>
        </x:is>
      </x:c>
      <x:c r="O1796" s="604" t="inlineStr">
        <x:is>
          <x:t xml:space="preserve">0-0</x:t>
        </x:is>
      </x:c>
      <x:c r="P1796" s="604" t="inlineStr">
        <x:is>
          <x:t xml:space="preserve">EVALUATED</x:t>
        </x:is>
      </x:c>
      <x:c r="Q1796" s="630" t="inlineStr">
        <x:is>
          <x:t xml:space="preserve"/>
        </x:is>
      </x:c>
      <x:c r="R1796" s="604" t="n"/>
      <x:c r="S1796" s="604" t="n"/>
      <x:c r="T1796" s="604" t="inlineStr">
        <x:is>
          <x:t xml:space="preserve">D:\codex\v3_legacy\outputs\football_odds_trader\raw\titan007\20261009\20261009_085232_titan007_odds_snapshot.csv</x:t>
        </x:is>
      </x:c>
      <x:c r="U1796" s="628" t="inlineStr">
        <x:is>
          <x:t xml:space="preserve"/>
        </x:is>
      </x:c>
      <x:c r="V1796" s="604" t="inlineStr">
        <x:is>
          <x:t xml:space="preserve"/>
        </x:is>
      </x:c>
      <x:c r="W1796" s="604" t="inlineStr">
        <x:is>
          <x:t xml:space="preserve"/>
        </x:is>
      </x:c>
      <x:c r="X1796" s="604" t="inlineStr">
        <x:is>
          <x:t xml:space="preserve">3099093</x:t>
        </x:is>
      </x:c>
      <x:c r="Y1796" s="604" t="inlineStr">
        <x:is>
          <x:t xml:space="preserve">V4</x:t>
        </x:is>
      </x:c>
      <x:c r="Z1796" s="604" t="inlineStr">
        <x:is>
          <x:t xml:space="preserve">prior-2026-10-09-v1</x:t>
        </x:is>
      </x:c>
      <x:c r="AA1796" s="604" t="inlineStr">
        <x:is>
          <x:t xml:space="preserve">N</x:t>
        </x:is>
      </x:c>
      <x:c r="AB1796" s="604" t="n">
        <x:v>0.5850567016555003</x:v>
      </x:c>
      <x:c r="AC1796" s="604" t="n">
        <x:v>0.4149432983444998</x:v>
      </x:c>
      <x:c r="AD1796" s="604" t="n">
        <x:v>1</x:v>
      </x:c>
      <x:c r="AE1796" s="604" t="n"/>
      <x:c r="AF1796" s="604" t="n"/>
      <x:c r="AG1796" s="604" t="n">
        <x:v>0.05310206297990044</x:v>
      </x:c>
      <x:c r="AH1796" s="604" t="n"/>
      <x:c r="AI1796" s="604" t="n"/>
      <x:c r="AJ1796" s="604" t="n">
        <x:v>0.05310206297990044</x:v>
      </x:c>
      <x:c r="AK1796" s="604" t="n"/>
      <x:c r="AL1796" s="604" t="n"/>
      <x:c r="AM1796" s="604" t="n"/>
      <x:c r="AN1796" s="604" t="inlineStr">
        <x:is>
          <x:t xml:space="preserve">EVALUATED</x:t>
        </x:is>
      </x:c>
      <x:c r="AO1796" s="604" t="inlineStr">
        <x:is>
          <x:t xml:space="preserve">EDGE_BELOW_UNCERTAINTY_THRESHOLD;BUCKET_PRIOR_ONLY;INTENT_INTERPRETATION_ONLY;FFL_OPTIONAL;EXPERT_MARKET</x:t>
        </x:is>
      </x:c>
      <x:c r="AP1796" s="604" t="inlineStr">
        <x:is>
          <x:t xml:space="preserve">6392ac43ff3df6418850</x:t>
        </x:is>
      </x:c>
      <x:c r="AQ1796" s="604" t="n"/>
      <x:c r="AR1796" s="604" t="n"/>
      <x:c r="AS1796" s="604" t="n">
        <x:v>0.5</x:v>
      </x:c>
      <x:c r="AT1796" s="604" t="n">
        <x:v>-0.5</x:v>
      </x:c>
      <x:c r="AU1796" s="604" t="n">
        <x:v>0.8</x:v>
      </x:c>
      <x:c r="AV1796" s="604" t="n">
        <x:v>0.9</x:v>
      </x:c>
      <x:c r="AW1796" s="604" t="inlineStr">
        <x:is>
          <x:t xml:space="preserve">2026-10-09T09:01:21.127001+08:00</x:t>
        </x:is>
      </x:c>
      <x:c r="AX1796" s="604" t="inlineStr">
        <x:is>
          <x:t xml:space="preserve">Titan007/V4</x:t>
        </x:is>
      </x:c>
      <x:c r="AY1796" s="604" t="inlineStr">
        <x:is>
          <x:t xml:space="preserve">Daily append；市场输入缺失时不生成决策</x:t>
        </x:is>
      </x:c>
    </x:row>
    <x:row r="1797" ht="22" customHeight="1">
      <x:c r="A1797" s="604" t="inlineStr">
        <x:is>
          <x:t xml:space="preserve">2026-10-09</x:t>
        </x:is>
      </x:c>
      <x:c r="B1797" s="604" t="inlineStr">
        <x:is>
          <x:t xml:space="preserve">2026-10-10T07:00:00+08:00</x:t>
        </x:is>
      </x:c>
      <x:c r="C1797" s="604" t="str">
        <x:v>南美系列</x:v>
      </x:c>
      <x:c r="D1797" s="604" t="inlineStr">
        <x:is>
          <x:t xml:space="preserve"/>
        </x:is>
      </x:c>
      <x:c r="E1797" s="604" t="inlineStr">
        <x:is>
          <x:t xml:space="preserve">乌拉甲秋</x:t>
        </x:is>
      </x:c>
      <x:c r="F1797" s="604" t="inlineStr">
        <x:is>
          <x:t xml:space="preserve">马尔多纳多 vs 利物浦蒙特维多</x:t>
        </x:is>
      </x:c>
      <x:c r="G1797" s="604" t="n">
        <x:v>0.6899999999999999</x:v>
      </x:c>
      <x:c r="H1797" s="604" t="n">
        <x:v>0</x:v>
      </x:c>
      <x:c r="I1797" s="604" t="n">
        <x:v>1.01</x:v>
      </x:c>
      <x:c r="J1797" s="604" t="inlineStr">
        <x:is>
          <x:t xml:space="preserve">0.69/0.0/1.01</x:t>
        </x:is>
      </x:c>
      <x:c r="K1797" s="604" t="inlineStr">
        <x:is>
          <x:t xml:space="preserve">V4-N</x:t>
        </x:is>
      </x:c>
      <x:c r="L1797" s="604" t="inlineStr">
        <x:is>
          <x:t xml:space="preserve"/>
        </x:is>
      </x:c>
      <x:c r="M1797" s="604" t="n"/>
      <x:c r="N1797" s="604" t="inlineStr">
        <x:is>
          <x:t xml:space="preserve">V4 Shadow Only；real_money=false</x:t>
        </x:is>
      </x:c>
      <x:c r="O1797" s="604" t="inlineStr">
        <x:is>
          <x:t xml:space="preserve">0-0</x:t>
        </x:is>
      </x:c>
      <x:c r="P1797" s="604" t="inlineStr">
        <x:is>
          <x:t xml:space="preserve">NEUTRAL</x:t>
        </x:is>
      </x:c>
      <x:c r="Q1797" s="630" t="inlineStr">
        <x:is>
          <x:t xml:space="preserve"/>
        </x:is>
      </x:c>
      <x:c r="R1797" s="604" t="n"/>
      <x:c r="S1797" s="604" t="n"/>
      <x:c r="T1797" s="604" t="inlineStr">
        <x:is>
          <x:t xml:space="preserve">D:\codex\v3_legacy\outputs\football_odds_trader\raw\titan007\20261009\20261009_085232_titan007_odds_snapshot.csv</x:t>
        </x:is>
      </x:c>
      <x:c r="U1797" s="628" t="inlineStr">
        <x:is>
          <x:t xml:space="preserve"/>
        </x:is>
      </x:c>
      <x:c r="V1797" s="604" t="inlineStr">
        <x:is>
          <x:t xml:space="preserve"/>
        </x:is>
      </x:c>
      <x:c r="W1797" s="604" t="inlineStr">
        <x:is>
          <x:t xml:space="preserve"/>
        </x:is>
      </x:c>
      <x:c r="X1797" s="604" t="inlineStr">
        <x:is>
          <x:t xml:space="preserve">3099094</x:t>
        </x:is>
      </x:c>
      <x:c r="Y1797" s="604" t="inlineStr">
        <x:is>
          <x:t xml:space="preserve">V4</x:t>
        </x:is>
      </x:c>
      <x:c r="Z1797" s="604" t="inlineStr">
        <x:is>
          <x:t xml:space="preserve">prior-2026-10-09-v1</x:t>
        </x:is>
      </x:c>
      <x:c r="AA1797" s="604" t="inlineStr">
        <x:is>
          <x:t xml:space="preserve">N</x:t>
        </x:is>
      </x:c>
      <x:c r="AB1797" s="604" t="n"/>
      <x:c r="AC1797" s="604" t="n"/>
      <x:c r="AD1797" s="604" t="n"/>
      <x:c r="AE1797" s="604" t="n"/>
      <x:c r="AF1797" s="604" t="n"/>
      <x:c r="AG1797" s="604" t="n"/>
      <x:c r="AH1797" s="604" t="n"/>
      <x:c r="AI1797" s="604" t="n"/>
      <x:c r="AJ1797" s="604" t="n"/>
      <x:c r="AK1797" s="604" t="n"/>
      <x:c r="AL1797" s="604" t="n"/>
      <x:c r="AM1797" s="604" t="n"/>
      <x:c r="AN1797" s="604" t="inlineStr">
        <x:is>
          <x:t xml:space="preserve">NEUTRAL</x:t>
        </x:is>
      </x:c>
      <x:c r="AO1797" s="604" t="inlineStr">
        <x:is>
          <x:t xml:space="preserve">PK_NO_GIVING_RECEIVING_IDENTITY</x:t>
        </x:is>
      </x:c>
      <x:c r="AP1797" s="604" t="inlineStr">
        <x:is>
          <x:t xml:space="preserve">1a8e2766ce488a174cc7</x:t>
        </x:is>
      </x:c>
      <x:c r="AQ1797" s="604" t="n"/>
      <x:c r="AR1797" s="604" t="n"/>
      <x:c r="AS1797" s="604" t="n"/>
      <x:c r="AT1797" s="604" t="n"/>
      <x:c r="AU1797" s="604" t="n"/>
      <x:c r="AV1797" s="604" t="n"/>
      <x:c r="AW1797" s="604" t="inlineStr">
        <x:is>
          <x:t xml:space="preserve">2026-10-09T09:01:21.127001+08:00</x:t>
        </x:is>
      </x:c>
      <x:c r="AX1797" s="604" t="inlineStr">
        <x:is>
          <x:t xml:space="preserve">Titan007/V4</x:t>
        </x:is>
      </x:c>
      <x:c r="AY1797" s="604" t="inlineStr">
        <x:is>
          <x:t xml:space="preserve">Daily append；市场输入缺失时不生成决策</x:t>
        </x:is>
      </x:c>
    </x:row>
    <x:row r="1798" ht="22" customHeight="1">
      <x:c r="A1798" s="604" t="inlineStr">
        <x:is>
          <x:t xml:space="preserve">2026-10-09</x:t>
        </x:is>
      </x:c>
      <x:c r="B1798" s="604" t="inlineStr">
        <x:is>
          <x:t xml:space="preserve">2026-10-09T20:45:00+08:00</x:t>
        </x:is>
      </x:c>
      <x:c r="C1798" s="604" t="str">
        <x:v>其他系列</x:v>
      </x:c>
      <x:c r="D1798" s="604" t="inlineStr">
        <x:is>
          <x:t xml:space="preserve"/>
        </x:is>
      </x:c>
      <x:c r="E1798" s="604" t="inlineStr">
        <x:is>
          <x:t xml:space="preserve">马来A1联</x:t>
        </x:is>
      </x:c>
      <x:c r="F1798" s="604" t="inlineStr">
        <x:is>
          <x:t xml:space="preserve">吉兰丹WTS FC vs 雪兰莪大学AAK</x:t>
        </x:is>
      </x:c>
      <x:c r="G1798" s="604" t="n"/>
      <x:c r="H1798" s="604" t="n"/>
      <x:c r="I1798" s="604" t="n"/>
      <x:c r="J1798" s="604" t="inlineStr">
        <x:is>
          <x:t xml:space="preserve">//</x:t>
        </x:is>
      </x:c>
      <x:c r="K1798" s="604" t="inlineStr">
        <x:is>
          <x:t xml:space="preserve">V4不可用：市场输入缺失</x:t>
        </x:is>
      </x:c>
      <x:c r="L1798" s="604" t="inlineStr">
        <x:is>
          <x:t xml:space="preserve"/>
        </x:is>
      </x:c>
      <x:c r="M1798" s="604" t="n"/>
      <x:c r="N1798" s="604" t="inlineStr">
        <x:is>
          <x:t xml:space="preserve">V4 Shadow Only；real_money=false</x:t>
        </x:is>
      </x:c>
      <x:c r="O1798" s="604" t="inlineStr">
        <x:is>
          <x:t xml:space="preserve">0-0</x:t>
        </x:is>
      </x:c>
      <x:c r="P1798" s="604" t="inlineStr">
        <x:is>
          <x:t xml:space="preserve">MISSING_DATA</x:t>
        </x:is>
      </x:c>
      <x:c r="Q1798" s="630" t="inlineStr">
        <x:is>
          <x:t xml:space="preserve"/>
        </x:is>
      </x:c>
      <x:c r="R1798" s="604" t="n"/>
      <x:c r="S1798" s="604" t="n"/>
      <x:c r="T1798" s="604" t="inlineStr">
        <x:is>
          <x:t xml:space="preserve">D:\codex\v3_legacy\outputs\football_odds_trader\raw\titan007\20261009\20261009_085232_titan007_odds_snapshot.csv</x:t>
        </x:is>
      </x:c>
      <x:c r="U1798" s="628" t="inlineStr">
        <x:is>
          <x:t xml:space="preserve"/>
        </x:is>
      </x:c>
      <x:c r="V1798" s="604" t="inlineStr">
        <x:is>
          <x:t xml:space="preserve"/>
        </x:is>
      </x:c>
      <x:c r="W1798" s="604" t="inlineStr">
        <x:is>
          <x:t xml:space="preserve"/>
        </x:is>
      </x:c>
      <x:c r="X1798" s="604" t="inlineStr">
        <x:is>
          <x:t xml:space="preserve">3099128</x:t>
        </x:is>
      </x:c>
      <x:c r="Y1798" s="604" t="inlineStr">
        <x:is>
          <x:t xml:space="preserve">V4</x:t>
        </x:is>
      </x:c>
      <x:c r="Z1798" s="604" t="inlineStr">
        <x:is>
          <x:t xml:space="preserve">prior-2026-10-09-v1</x:t>
        </x:is>
      </x:c>
      <x:c r="AA1798" s="604" t="inlineStr">
        <x:is>
          <x:t xml:space="preserve"/>
        </x:is>
      </x:c>
      <x:c r="AB1798" s="604" t="n"/>
      <x:c r="AC1798" s="604" t="n"/>
      <x:c r="AD1798" s="604" t="n"/>
      <x:c r="AE1798" s="604" t="n"/>
      <x:c r="AF1798" s="604" t="n"/>
      <x:c r="AG1798" s="604" t="n"/>
      <x:c r="AH1798" s="604" t="n"/>
      <x:c r="AI1798" s="604" t="n"/>
      <x:c r="AJ1798" s="604" t="n"/>
      <x:c r="AK1798" s="604" t="n"/>
      <x:c r="AL1798" s="604" t="n"/>
      <x:c r="AM1798" s="604" t="n"/>
      <x:c r="AN1798" s="604" t="inlineStr">
        <x:is>
          <x:t xml:space="preserve">MISSING_DATA</x:t>
        </x:is>
      </x:c>
      <x:c r="AO1798" s="604" t="inlineStr">
        <x:is>
          <x:t xml:space="preserve">REQUIRED_MARKET_INPUT_MISSING</x:t>
        </x:is>
      </x:c>
      <x:c r="AP1798" s="604" t="inlineStr">
        <x:is>
          <x:t xml:space="preserve">43540e9df8bde0ce685f</x:t>
        </x:is>
      </x:c>
      <x:c r="AQ1798" s="604" t="n"/>
      <x:c r="AR1798" s="604" t="n"/>
      <x:c r="AS1798" s="604" t="n"/>
      <x:c r="AT1798" s="604" t="n"/>
      <x:c r="AU1798" s="604" t="n"/>
      <x:c r="AV1798" s="604" t="n"/>
      <x:c r="AW1798" s="604" t="inlineStr">
        <x:is>
          <x:t xml:space="preserve">2026-10-09T09:01:21.127001+08:00</x:t>
        </x:is>
      </x:c>
      <x:c r="AX1798" s="604" t="inlineStr">
        <x:is>
          <x:t xml:space="preserve">Titan007/V4</x:t>
        </x:is>
      </x:c>
      <x:c r="AY1798" s="604" t="inlineStr">
        <x:is>
          <x:t xml:space="preserve">Daily append；市场输入缺失时不生成决策</x:t>
        </x:is>
      </x:c>
    </x:row>
    <x:row r="1799" ht="22" customHeight="1">
      <x:c r="A1799" s="604" t="inlineStr">
        <x:is>
          <x:t xml:space="preserve">2026-10-09</x:t>
        </x:is>
      </x:c>
      <x:c r="B1799" s="604" t="inlineStr">
        <x:is>
          <x:t xml:space="preserve">2026-10-10T05:30:00+08:00</x:t>
        </x:is>
      </x:c>
      <x:c r="C1799" s="604" t="str">
        <x:v>其他系列</x:v>
      </x:c>
      <x:c r="D1799" s="604" t="inlineStr">
        <x:is>
          <x:t xml:space="preserve"/>
        </x:is>
      </x:c>
      <x:c r="E1799" s="604" t="inlineStr">
        <x:is>
          <x:t xml:space="preserve">国际友谊</x:t>
        </x:is>
      </x:c>
      <x:c r="F1799" s="604" t="inlineStr">
        <x:is>
          <x:t xml:space="preserve">美国女足U23 vs 多米尼加女足U23</x:t>
        </x:is>
      </x:c>
      <x:c r="G1799" s="604" t="n"/>
      <x:c r="H1799" s="604" t="n"/>
      <x:c r="I1799" s="604" t="n"/>
      <x:c r="J1799" s="604" t="inlineStr">
        <x:is>
          <x:t xml:space="preserve">//</x:t>
        </x:is>
      </x:c>
      <x:c r="K1799" s="604" t="inlineStr">
        <x:is>
          <x:t xml:space="preserve">V4不可用：市场输入缺失</x:t>
        </x:is>
      </x:c>
      <x:c r="L1799" s="604" t="inlineStr">
        <x:is>
          <x:t xml:space="preserve"/>
        </x:is>
      </x:c>
      <x:c r="M1799" s="604" t="n"/>
      <x:c r="N1799" s="604" t="inlineStr">
        <x:is>
          <x:t xml:space="preserve">V4 Shadow Only；real_money=false</x:t>
        </x:is>
      </x:c>
      <x:c r="O1799" s="604" t="inlineStr">
        <x:is>
          <x:t xml:space="preserve">0-0</x:t>
        </x:is>
      </x:c>
      <x:c r="P1799" s="604" t="inlineStr">
        <x:is>
          <x:t xml:space="preserve">MISSING_DATA</x:t>
        </x:is>
      </x:c>
      <x:c r="Q1799" s="630" t="inlineStr">
        <x:is>
          <x:t xml:space="preserve"/>
        </x:is>
      </x:c>
      <x:c r="R1799" s="604" t="n"/>
      <x:c r="S1799" s="604" t="n"/>
      <x:c r="T1799" s="604" t="inlineStr">
        <x:is>
          <x:t xml:space="preserve">D:\codex\v3_legacy\outputs\football_odds_trader\raw\titan007\20261009\20261009_085232_titan007_odds_snapshot.csv</x:t>
        </x:is>
      </x:c>
      <x:c r="U1799" s="628" t="inlineStr">
        <x:is>
          <x:t xml:space="preserve"/>
        </x:is>
      </x:c>
      <x:c r="V1799" s="604" t="inlineStr">
        <x:is>
          <x:t xml:space="preserve"/>
        </x:is>
      </x:c>
      <x:c r="W1799" s="604" t="inlineStr">
        <x:is>
          <x:t xml:space="preserve"/>
        </x:is>
      </x:c>
      <x:c r="X1799" s="604" t="inlineStr">
        <x:is>
          <x:t xml:space="preserve">3099129</x:t>
        </x:is>
      </x:c>
      <x:c r="Y1799" s="604" t="inlineStr">
        <x:is>
          <x:t xml:space="preserve">V4</x:t>
        </x:is>
      </x:c>
      <x:c r="Z1799" s="604" t="inlineStr">
        <x:is>
          <x:t xml:space="preserve">prior-2026-10-09-v1</x:t>
        </x:is>
      </x:c>
      <x:c r="AA1799" s="604" t="inlineStr">
        <x:is>
          <x:t xml:space="preserve"/>
        </x:is>
      </x:c>
      <x:c r="AB1799" s="604" t="n"/>
      <x:c r="AC1799" s="604" t="n"/>
      <x:c r="AD1799" s="604" t="n"/>
      <x:c r="AE1799" s="604" t="n"/>
      <x:c r="AF1799" s="604" t="n"/>
      <x:c r="AG1799" s="604" t="n"/>
      <x:c r="AH1799" s="604" t="n"/>
      <x:c r="AI1799" s="604" t="n"/>
      <x:c r="AJ1799" s="604" t="n"/>
      <x:c r="AK1799" s="604" t="n"/>
      <x:c r="AL1799" s="604" t="n"/>
      <x:c r="AM1799" s="604" t="n"/>
      <x:c r="AN1799" s="604" t="inlineStr">
        <x:is>
          <x:t xml:space="preserve">MISSING_DATA</x:t>
        </x:is>
      </x:c>
      <x:c r="AO1799" s="604" t="inlineStr">
        <x:is>
          <x:t xml:space="preserve">REQUIRED_MARKET_INPUT_MISSING</x:t>
        </x:is>
      </x:c>
      <x:c r="AP1799" s="604" t="inlineStr">
        <x:is>
          <x:t xml:space="preserve">8b21d2aca133c15ff424</x:t>
        </x:is>
      </x:c>
      <x:c r="AQ1799" s="604" t="n"/>
      <x:c r="AR1799" s="604" t="n"/>
      <x:c r="AS1799" s="604" t="n"/>
      <x:c r="AT1799" s="604" t="n"/>
      <x:c r="AU1799" s="604" t="n"/>
      <x:c r="AV1799" s="604" t="n"/>
      <x:c r="AW1799" s="604" t="inlineStr">
        <x:is>
          <x:t xml:space="preserve">2026-10-09T09:01:21.127001+08:00</x:t>
        </x:is>
      </x:c>
      <x:c r="AX1799" s="604" t="inlineStr">
        <x:is>
          <x:t xml:space="preserve">Titan007/V4</x:t>
        </x:is>
      </x:c>
      <x:c r="AY1799" s="604" t="inlineStr">
        <x:is>
          <x:t xml:space="preserve">Daily append；市场输入缺失时不生成决策</x:t>
        </x:is>
      </x:c>
    </x:row>
    <x:row r="1800" ht="22" customHeight="1">
      <x:c r="A1800" s="604" t="inlineStr">
        <x:is>
          <x:t xml:space="preserve">2026-10-09</x:t>
        </x:is>
      </x:c>
      <x:c r="B1800" s="604" t="inlineStr">
        <x:is>
          <x:t xml:space="preserve">2026-10-09T15:00:00+08:00</x:t>
        </x:is>
      </x:c>
      <x:c r="C1800" s="604" t="str">
        <x:v>日韩系列</x:v>
      </x:c>
      <x:c r="D1800" s="604" t="inlineStr">
        <x:is>
          <x:t xml:space="preserve"/>
        </x:is>
      </x:c>
      <x:c r="E1800" s="604" t="inlineStr">
        <x:is>
          <x:t xml:space="preserve">中台女联</x:t>
        </x:is>
      </x:c>
      <x:c r="F1800" s="604" t="inlineStr">
        <x:is>
          <x:t xml:space="preserve">高雄阳信女足 vs 花莲女足</x:t>
        </x:is>
      </x:c>
      <x:c r="G1800" s="604" t="n">
        <x:v>0.92</x:v>
      </x:c>
      <x:c r="H1800" s="604" t="n">
        <x:v>3</x:v>
      </x:c>
      <x:c r="I1800" s="604" t="n">
        <x:v>0.78</x:v>
      </x:c>
      <x:c r="J1800" s="604" t="inlineStr">
        <x:is>
          <x:t xml:space="preserve">0.92/3.0/0.78</x:t>
        </x:is>
      </x:c>
      <x:c r="K1800" s="604" t="inlineStr">
        <x:is>
          <x:t xml:space="preserve">V4-N</x:t>
        </x:is>
      </x:c>
      <x:c r="L1800" s="604" t="inlineStr">
        <x:is>
          <x:t xml:space="preserve"/>
        </x:is>
      </x:c>
      <x:c r="M1800" s="604" t="n">
        <x:v>0.3702659078426435</x:v>
      </x:c>
      <x:c r="N1800" s="604" t="inlineStr">
        <x:is>
          <x:t xml:space="preserve">V4 Shadow Only；real_money=false</x:t>
        </x:is>
      </x:c>
      <x:c r="O1800" s="604" t="inlineStr">
        <x:is>
          <x:t xml:space="preserve">0-0</x:t>
        </x:is>
      </x:c>
      <x:c r="P1800" s="604" t="inlineStr">
        <x:is>
          <x:t xml:space="preserve">EVALUATED</x:t>
        </x:is>
      </x:c>
      <x:c r="Q1800" s="630" t="inlineStr">
        <x:is>
          <x:t xml:space="preserve"/>
        </x:is>
      </x:c>
      <x:c r="R1800" s="604" t="n"/>
      <x:c r="S1800" s="604" t="n"/>
      <x:c r="T1800" s="604" t="inlineStr">
        <x:is>
          <x:t xml:space="preserve">D:\codex\v3_legacy\outputs\football_odds_trader\raw\titan007\20261009\20261009_085232_titan007_odds_snapshot.csv</x:t>
        </x:is>
      </x:c>
      <x:c r="U1800" s="628" t="inlineStr">
        <x:is>
          <x:t xml:space="preserve"/>
        </x:is>
      </x:c>
      <x:c r="V1800" s="604" t="inlineStr">
        <x:is>
          <x:t xml:space="preserve"/>
        </x:is>
      </x:c>
      <x:c r="W1800" s="604" t="inlineStr">
        <x:is>
          <x:t xml:space="preserve"/>
        </x:is>
      </x:c>
      <x:c r="X1800" s="604" t="inlineStr">
        <x:is>
          <x:t xml:space="preserve">3099130</x:t>
        </x:is>
      </x:c>
      <x:c r="Y1800" s="604" t="inlineStr">
        <x:is>
          <x:t xml:space="preserve">V4</x:t>
        </x:is>
      </x:c>
      <x:c r="Z1800" s="604" t="inlineStr">
        <x:is>
          <x:t xml:space="preserve">prior-2026-10-09-v1</x:t>
        </x:is>
      </x:c>
      <x:c r="AA1800" s="604" t="inlineStr">
        <x:is>
          <x:t xml:space="preserve">N</x:t>
        </x:is>
      </x:c>
      <x:c r="AB1800" s="604" t="n">
        <x:v>0.3702659078426435</x:v>
      </x:c>
      <x:c r="AC1800" s="604" t="n">
        <x:v>0.4099960701584311</x:v>
      </x:c>
      <x:c r="AD1800" s="604" t="n">
        <x:v>3.75</x:v>
      </x:c>
      <x:c r="AE1800" s="604" t="n"/>
      <x:c r="AF1800" s="604" t="n"/>
      <x:c r="AG1800" s="604" t="n">
        <x:v>-0.05046897311906717</x:v>
      </x:c>
      <x:c r="AH1800" s="604" t="n"/>
      <x:c r="AI1800" s="604" t="n"/>
      <x:c r="AJ1800" s="604" t="n">
        <x:v>-0.05046897311906717</x:v>
      </x:c>
      <x:c r="AK1800" s="604" t="n"/>
      <x:c r="AL1800" s="604" t="n"/>
      <x:c r="AM1800" s="604" t="n"/>
      <x:c r="AN1800" s="604" t="inlineStr">
        <x:is>
          <x:t xml:space="preserve">EVALUATED</x:t>
        </x:is>
      </x:c>
      <x:c r="AO1800" s="604" t="inlineStr">
        <x:is>
          <x:t xml:space="preserve">EDGE_BELOW_UNCERTAINTY_THRESHOLD;BUCKET_PRIOR_ONLY;INTENT_INTERPRETATION_ONLY;FFL_OPTIONAL;EXPERT_MARKET</x:t>
        </x:is>
      </x:c>
      <x:c r="AP1800" s="604" t="inlineStr">
        <x:is>
          <x:t xml:space="preserve">78710404386eaaa4e247</x:t>
        </x:is>
      </x:c>
      <x:c r="AQ1800" s="604" t="n"/>
      <x:c r="AR1800" s="604" t="n"/>
      <x:c r="AS1800" s="604" t="n">
        <x:v>3</x:v>
      </x:c>
      <x:c r="AT1800" s="604" t="n">
        <x:v>-3</x:v>
      </x:c>
      <x:c r="AU1800" s="604" t="n">
        <x:v>0.92</x:v>
      </x:c>
      <x:c r="AV1800" s="604" t="n">
        <x:v>0.78</x:v>
      </x:c>
      <x:c r="AW1800" s="604" t="inlineStr">
        <x:is>
          <x:t xml:space="preserve">2026-10-09T09:01:21.127001+08:00</x:t>
        </x:is>
      </x:c>
      <x:c r="AX1800" s="604" t="inlineStr">
        <x:is>
          <x:t xml:space="preserve">Titan007/V4</x:t>
        </x:is>
      </x:c>
      <x:c r="AY1800" s="604" t="inlineStr">
        <x:is>
          <x:t xml:space="preserve">Daily append；市场输入缺失时不生成决策</x:t>
        </x:is>
      </x:c>
    </x:row>
    <x:row r="1801" ht="22" customHeight="1">
      <x:c r="A1801" s="604" t="inlineStr">
        <x:is>
          <x:t xml:space="preserve">2026-10-09</x:t>
        </x:is>
      </x:c>
      <x:c r="B1801" s="604" t="inlineStr">
        <x:is>
          <x:t xml:space="preserve">2026-10-09T16:00:00+08:00</x:t>
        </x:is>
      </x:c>
      <x:c r="C1801" s="604" t="str">
        <x:v>日韩系列</x:v>
      </x:c>
      <x:c r="D1801" s="604" t="inlineStr">
        <x:is>
          <x:t xml:space="preserve"/>
        </x:is>
      </x:c>
      <x:c r="E1801" s="604" t="inlineStr">
        <x:is>
          <x:t xml:space="preserve">中台女联</x:t>
        </x:is>
      </x:c>
      <x:c r="F1801" s="604" t="inlineStr">
        <x:is>
          <x:t xml:space="preserve">阳信北竞女足 vs 女武神女足</x:t>
        </x:is>
      </x:c>
      <x:c r="G1801" s="604" t="n">
        <x:v>0.95</x:v>
      </x:c>
      <x:c r="H1801" s="604" t="n">
        <x:v>1.25</x:v>
      </x:c>
      <x:c r="I1801" s="604" t="n">
        <x:v>0.85</x:v>
      </x:c>
      <x:c r="J1801" s="604" t="inlineStr">
        <x:is>
          <x:t xml:space="preserve">0.95/1.25/0.85</x:t>
        </x:is>
      </x:c>
      <x:c r="K1801" s="604" t="inlineStr">
        <x:is>
          <x:t xml:space="preserve">V4-N</x:t>
        </x:is>
      </x:c>
      <x:c r="L1801" s="604" t="inlineStr">
        <x:is>
          <x:t xml:space="preserve"/>
        </x:is>
      </x:c>
      <x:c r="M1801" s="604" t="n">
        <x:v>0.4521371131526634</x:v>
      </x:c>
      <x:c r="N1801" s="604" t="inlineStr">
        <x:is>
          <x:t xml:space="preserve">V4 Shadow Only；real_money=false</x:t>
        </x:is>
      </x:c>
      <x:c r="O1801" s="604" t="inlineStr">
        <x:is>
          <x:t xml:space="preserve">0-0</x:t>
        </x:is>
      </x:c>
      <x:c r="P1801" s="604" t="inlineStr">
        <x:is>
          <x:t xml:space="preserve">EVALUATED</x:t>
        </x:is>
      </x:c>
      <x:c r="Q1801" s="630" t="inlineStr">
        <x:is>
          <x:t xml:space="preserve"/>
        </x:is>
      </x:c>
      <x:c r="R1801" s="604" t="n"/>
      <x:c r="S1801" s="604" t="n"/>
      <x:c r="T1801" s="604" t="inlineStr">
        <x:is>
          <x:t xml:space="preserve">D:\codex\v3_legacy\outputs\football_odds_trader\raw\titan007\20261009\20261009_085232_titan007_odds_snapshot.csv</x:t>
        </x:is>
      </x:c>
      <x:c r="U1801" s="628" t="inlineStr">
        <x:is>
          <x:t xml:space="preserve"/>
        </x:is>
      </x:c>
      <x:c r="V1801" s="604" t="inlineStr">
        <x:is>
          <x:t xml:space="preserve"/>
        </x:is>
      </x:c>
      <x:c r="W1801" s="604" t="inlineStr">
        <x:is>
          <x:t xml:space="preserve"/>
        </x:is>
      </x:c>
      <x:c r="X1801" s="604" t="inlineStr">
        <x:is>
          <x:t xml:space="preserve">3099131</x:t>
        </x:is>
      </x:c>
      <x:c r="Y1801" s="604" t="inlineStr">
        <x:is>
          <x:t xml:space="preserve">V4</x:t>
        </x:is>
      </x:c>
      <x:c r="Z1801" s="604" t="inlineStr">
        <x:is>
          <x:t xml:space="preserve">prior-2026-10-09-v1</x:t>
        </x:is>
      </x:c>
      <x:c r="AA1801" s="604" t="inlineStr">
        <x:is>
          <x:t xml:space="preserve">N</x:t>
        </x:is>
      </x:c>
      <x:c r="AB1801" s="604" t="n">
        <x:v>0.4521371131526634</x:v>
      </x:c>
      <x:c r="AC1801" s="604" t="n">
        <x:v>0.4204495434450276</x:v>
      </x:c>
      <x:c r="AD1801" s="604" t="n">
        <x:v>1.5</x:v>
      </x:c>
      <x:c r="AE1801" s="604" t="n"/>
      <x:c r="AF1801" s="604" t="n"/>
      <x:c r="AG1801" s="604" t="n">
        <x:v>0.009080714050002603</x:v>
      </x:c>
      <x:c r="AH1801" s="604" t="n"/>
      <x:c r="AI1801" s="604" t="n"/>
      <x:c r="AJ1801" s="604" t="n">
        <x:v>0.009080714050002603</x:v>
      </x:c>
      <x:c r="AK1801" s="604" t="n"/>
      <x:c r="AL1801" s="604" t="n"/>
      <x:c r="AM1801" s="604" t="n"/>
      <x:c r="AN1801" s="604" t="inlineStr">
        <x:is>
          <x:t xml:space="preserve">EVALUATED</x:t>
        </x:is>
      </x:c>
      <x:c r="AO1801" s="604" t="inlineStr">
        <x:is>
          <x:t xml:space="preserve">EDGE_BELOW_UNCERTAINTY_THRESHOLD;BUCKET_PRIOR_ONLY;INTENT_INTERPRETATION_ONLY;FFL_OPTIONAL;EXPERT_MARKET</x:t>
        </x:is>
      </x:c>
      <x:c r="AP1801" s="604" t="inlineStr">
        <x:is>
          <x:t xml:space="preserve">1af66664720f8a117a3b</x:t>
        </x:is>
      </x:c>
      <x:c r="AQ1801" s="604" t="n"/>
      <x:c r="AR1801" s="604" t="n"/>
      <x:c r="AS1801" s="604" t="n">
        <x:v>1.25</x:v>
      </x:c>
      <x:c r="AT1801" s="604" t="n">
        <x:v>-1.25</x:v>
      </x:c>
      <x:c r="AU1801" s="604" t="n">
        <x:v>0.95</x:v>
      </x:c>
      <x:c r="AV1801" s="604" t="n">
        <x:v>0.85</x:v>
      </x:c>
      <x:c r="AW1801" s="604" t="inlineStr">
        <x:is>
          <x:t xml:space="preserve">2026-10-09T09:01:21.127001+08:00</x:t>
        </x:is>
      </x:c>
      <x:c r="AX1801" s="604" t="inlineStr">
        <x:is>
          <x:t xml:space="preserve">Titan007/V4</x:t>
        </x:is>
      </x:c>
      <x:c r="AY1801" s="604" t="inlineStr">
        <x:is>
          <x:t xml:space="preserve">Daily append；市场输入缺失时不生成决策</x:t>
        </x:is>
      </x:c>
    </x:row>
    <x:row r="1802" ht="22" customHeight="1">
      <x:c r="A1802" s="604" t="inlineStr">
        <x:is>
          <x:t xml:space="preserve">2026-10-09</x:t>
        </x:is>
      </x:c>
      <x:c r="B1802" s="604" t="inlineStr">
        <x:is>
          <x:t xml:space="preserve">2026-10-09T17:00:00+08:00</x:t>
        </x:is>
      </x:c>
      <x:c r="C1802" s="604" t="str">
        <x:v>日韩系列</x:v>
      </x:c>
      <x:c r="D1802" s="604" t="inlineStr">
        <x:is>
          <x:t xml:space="preserve"/>
        </x:is>
      </x:c>
      <x:c r="E1802" s="604" t="inlineStr">
        <x:is>
          <x:t xml:space="preserve">中台女联</x:t>
        </x:is>
      </x:c>
      <x:c r="F1802" s="604" t="inlineStr">
        <x:is>
          <x:t xml:space="preserve">台中樱花女足 vs 台北熊赞女足</x:t>
        </x:is>
      </x:c>
      <x:c r="G1802" s="604" t="n">
        <x:v>0.98</x:v>
      </x:c>
      <x:c r="H1802" s="604" t="n">
        <x:v>1.25</x:v>
      </x:c>
      <x:c r="I1802" s="604" t="n">
        <x:v>0.83</x:v>
      </x:c>
      <x:c r="J1802" s="604" t="inlineStr">
        <x:is>
          <x:t xml:space="preserve">0.98/1.25/0.83</x:t>
        </x:is>
      </x:c>
      <x:c r="K1802" s="604" t="inlineStr">
        <x:is>
          <x:t xml:space="preserve">V4-N</x:t>
        </x:is>
      </x:c>
      <x:c r="L1802" s="604" t="inlineStr">
        <x:is>
          <x:t xml:space="preserve"/>
        </x:is>
      </x:c>
      <x:c r="M1802" s="604" t="n">
        <x:v>0.5058373653493479</x:v>
      </x:c>
      <x:c r="N1802" s="604" t="inlineStr">
        <x:is>
          <x:t xml:space="preserve">V4 Shadow Only；real_money=false</x:t>
        </x:is>
      </x:c>
      <x:c r="O1802" s="604" t="inlineStr">
        <x:is>
          <x:t xml:space="preserve">0-0</x:t>
        </x:is>
      </x:c>
      <x:c r="P1802" s="604" t="inlineStr">
        <x:is>
          <x:t xml:space="preserve">EVALUATED</x:t>
        </x:is>
      </x:c>
      <x:c r="Q1802" s="630" t="inlineStr">
        <x:is>
          <x:t xml:space="preserve"/>
        </x:is>
      </x:c>
      <x:c r="R1802" s="604" t="n"/>
      <x:c r="S1802" s="604" t="n"/>
      <x:c r="T1802" s="604" t="inlineStr">
        <x:is>
          <x:t xml:space="preserve">D:\codex\v3_legacy\outputs\football_odds_trader\raw\titan007\20261009\20261009_085232_titan007_odds_snapshot.csv</x:t>
        </x:is>
      </x:c>
      <x:c r="U1802" s="628" t="inlineStr">
        <x:is>
          <x:t xml:space="preserve"/>
        </x:is>
      </x:c>
      <x:c r="V1802" s="604" t="inlineStr">
        <x:is>
          <x:t xml:space="preserve"/>
        </x:is>
      </x:c>
      <x:c r="W1802" s="604" t="inlineStr">
        <x:is>
          <x:t xml:space="preserve"/>
        </x:is>
      </x:c>
      <x:c r="X1802" s="604" t="inlineStr">
        <x:is>
          <x:t xml:space="preserve">3099132</x:t>
        </x:is>
      </x:c>
      <x:c r="Y1802" s="604" t="inlineStr">
        <x:is>
          <x:t xml:space="preserve">V4</x:t>
        </x:is>
      </x:c>
      <x:c r="Z1802" s="604" t="inlineStr">
        <x:is>
          <x:t xml:space="preserve">prior-2026-10-09-v1</x:t>
        </x:is>
      </x:c>
      <x:c r="AA1802" s="604" t="inlineStr">
        <x:is>
          <x:t xml:space="preserve">N</x:t>
        </x:is>
      </x:c>
      <x:c r="AB1802" s="604" t="n">
        <x:v>0.5058373653493479</x:v>
      </x:c>
      <x:c r="AC1802" s="604" t="n">
        <x:v>0.3694920125743925</x:v>
      </x:c>
      <x:c r="AD1802" s="604" t="n">
        <x:v>1.75</x:v>
      </x:c>
      <x:c r="AE1802" s="604" t="n"/>
      <x:c r="AF1802" s="604" t="n"/>
      <x:c r="AG1802" s="604" t="n">
        <x:v>0.1262286054679684</x:v>
      </x:c>
      <x:c r="AH1802" s="604" t="n"/>
      <x:c r="AI1802" s="604" t="n"/>
      <x:c r="AJ1802" s="604" t="n">
        <x:v>0.1262286054679684</x:v>
      </x:c>
      <x:c r="AK1802" s="604" t="n"/>
      <x:c r="AL1802" s="604" t="n"/>
      <x:c r="AM1802" s="604" t="n"/>
      <x:c r="AN1802" s="604" t="inlineStr">
        <x:is>
          <x:t xml:space="preserve">EVALUATED</x:t>
        </x:is>
      </x:c>
      <x:c r="AO1802" s="604" t="inlineStr">
        <x:is>
          <x:t xml:space="preserve">LOW_QUALITY_GATE;BUCKET_PRIOR_ONLY;INTENT_INTERPRETATION_ONLY;FFL_OPTIONAL;EXPERT_MARKET</x:t>
        </x:is>
      </x:c>
      <x:c r="AP1802" s="604" t="inlineStr">
        <x:is>
          <x:t xml:space="preserve">0cd38bf6633493226f32</x:t>
        </x:is>
      </x:c>
      <x:c r="AQ1802" s="604" t="n"/>
      <x:c r="AR1802" s="604" t="n"/>
      <x:c r="AS1802" s="604" t="n">
        <x:v>1.25</x:v>
      </x:c>
      <x:c r="AT1802" s="604" t="n">
        <x:v>-1.25</x:v>
      </x:c>
      <x:c r="AU1802" s="604" t="n">
        <x:v>0.98</x:v>
      </x:c>
      <x:c r="AV1802" s="604" t="n">
        <x:v>0.83</x:v>
      </x:c>
      <x:c r="AW1802" s="604" t="inlineStr">
        <x:is>
          <x:t xml:space="preserve">2026-10-09T09:01:21.127001+08:00</x:t>
        </x:is>
      </x:c>
      <x:c r="AX1802" s="604" t="inlineStr">
        <x:is>
          <x:t xml:space="preserve">Titan007/V4</x:t>
        </x:is>
      </x:c>
      <x:c r="AY1802" s="604" t="inlineStr">
        <x:is>
          <x:t xml:space="preserve">Daily append；市场输入缺失时不生成决策</x:t>
        </x:is>
      </x:c>
    </x:row>
    <x:row r="1803" ht="22" customHeight="1">
      <x:c r="A1803" s="604" t="inlineStr">
        <x:is>
          <x:t xml:space="preserve">2026-10-09</x:t>
        </x:is>
      </x:c>
      <x:c r="B1803" s="604" t="inlineStr">
        <x:is>
          <x:t xml:space="preserve">2026-10-09T20:00:00+08:00</x:t>
        </x:is>
      </x:c>
      <x:c r="C1803" s="604" t="str">
        <x:v>日韩系列</x:v>
      </x:c>
      <x:c r="D1803" s="604" t="inlineStr">
        <x:is>
          <x:t xml:space="preserve"/>
        </x:is>
      </x:c>
      <x:c r="E1803" s="604" t="inlineStr">
        <x:is>
          <x:t xml:space="preserve">中台女联</x:t>
        </x:is>
      </x:c>
      <x:c r="F1803" s="604" t="inlineStr">
        <x:is>
          <x:t xml:space="preserve">台中蓝鲸女足 vs 新北航源女足</x:t>
        </x:is>
      </x:c>
      <x:c r="G1803" s="604" t="n">
        <x:v>0.8100000000000001</x:v>
      </x:c>
      <x:c r="H1803" s="604" t="n">
        <x:v>-0.75</x:v>
      </x:c>
      <x:c r="I1803" s="604" t="n">
        <x:v>0.89</x:v>
      </x:c>
      <x:c r="J1803" s="604" t="inlineStr">
        <x:is>
          <x:t xml:space="preserve">0.81/-0.75/0.89</x:t>
        </x:is>
      </x:c>
      <x:c r="K1803" s="604" t="inlineStr">
        <x:is>
          <x:t xml:space="preserve">V4-N</x:t>
        </x:is>
      </x:c>
      <x:c r="L1803" s="604" t="inlineStr">
        <x:is>
          <x:t xml:space="preserve"/>
        </x:is>
      </x:c>
      <x:c r="M1803" s="604" t="n">
        <x:v>0.1090853783427698</x:v>
      </x:c>
      <x:c r="N1803" s="604" t="inlineStr">
        <x:is>
          <x:t xml:space="preserve">V4 Shadow Only；real_money=false</x:t>
        </x:is>
      </x:c>
      <x:c r="O1803" s="604" t="inlineStr">
        <x:is>
          <x:t xml:space="preserve">0-0</x:t>
        </x:is>
      </x:c>
      <x:c r="P1803" s="604" t="inlineStr">
        <x:is>
          <x:t xml:space="preserve">EVALUATED</x:t>
        </x:is>
      </x:c>
      <x:c r="Q1803" s="630" t="inlineStr">
        <x:is>
          <x:t xml:space="preserve"/>
        </x:is>
      </x:c>
      <x:c r="R1803" s="604" t="n"/>
      <x:c r="S1803" s="604" t="n"/>
      <x:c r="T1803" s="604" t="inlineStr">
        <x:is>
          <x:t xml:space="preserve">D:\codex\v3_legacy\outputs\football_odds_trader\raw\titan007\20261009\20261009_085232_titan007_odds_snapshot.csv</x:t>
        </x:is>
      </x:c>
      <x:c r="U1803" s="628" t="inlineStr">
        <x:is>
          <x:t xml:space="preserve"/>
        </x:is>
      </x:c>
      <x:c r="V1803" s="604" t="inlineStr">
        <x:is>
          <x:t xml:space="preserve"/>
        </x:is>
      </x:c>
      <x:c r="W1803" s="604" t="inlineStr">
        <x:is>
          <x:t xml:space="preserve"/>
        </x:is>
      </x:c>
      <x:c r="X1803" s="604" t="inlineStr">
        <x:is>
          <x:t xml:space="preserve">3099133</x:t>
        </x:is>
      </x:c>
      <x:c r="Y1803" s="604" t="inlineStr">
        <x:is>
          <x:t xml:space="preserve">V4</x:t>
        </x:is>
      </x:c>
      <x:c r="Z1803" s="604" t="inlineStr">
        <x:is>
          <x:t xml:space="preserve">prior-2026-10-09-v1</x:t>
        </x:is>
      </x:c>
      <x:c r="AA1803" s="604" t="inlineStr">
        <x:is>
          <x:t xml:space="preserve">N</x:t>
        </x:is>
      </x:c>
      <x:c r="AB1803" s="604" t="n">
        <x:v>0.1090853783427698</x:v>
      </x:c>
      <x:c r="AC1803" s="604" t="n">
        <x:v>0.8329041143765498</x:v>
      </x:c>
      <x:c r="AD1803" s="604" t="n">
        <x:v>-1</x:v>
      </x:c>
      <x:c r="AE1803" s="604" t="n"/>
      <x:c r="AF1803" s="604" t="n"/>
      <x:c r="AG1803" s="604" t="n">
        <x:v>0.5655669543022356</x:v>
      </x:c>
      <x:c r="AH1803" s="604" t="n"/>
      <x:c r="AI1803" s="604" t="n"/>
      <x:c r="AJ1803" s="604" t="n">
        <x:v>0.5655669543022356</x:v>
      </x:c>
      <x:c r="AK1803" s="604" t="n"/>
      <x:c r="AL1803" s="604" t="n"/>
      <x:c r="AM1803" s="604" t="n"/>
      <x:c r="AN1803" s="604" t="inlineStr">
        <x:is>
          <x:t xml:space="preserve">EVALUATED</x:t>
        </x:is>
      </x:c>
      <x:c r="AO1803" s="604" t="inlineStr">
        <x:is>
          <x:t xml:space="preserve">LOW_QUALITY_GATE;BUCKET_PRIOR_ONLY;INTENT_INTERPRETATION_ONLY;FFL_OPTIONAL;EXPERT_MARKET</x:t>
        </x:is>
      </x:c>
      <x:c r="AP1803" s="604" t="inlineStr">
        <x:is>
          <x:t xml:space="preserve">4f3bafd0240602ca2538</x:t>
        </x:is>
      </x:c>
      <x:c r="AQ1803" s="604" t="n"/>
      <x:c r="AR1803" s="604" t="n"/>
      <x:c r="AS1803" s="604" t="n">
        <x:v>-0.75</x:v>
      </x:c>
      <x:c r="AT1803" s="604" t="n">
        <x:v>0.75</x:v>
      </x:c>
      <x:c r="AU1803" s="604" t="n">
        <x:v>0.8100000000000001</x:v>
      </x:c>
      <x:c r="AV1803" s="604" t="n">
        <x:v>0.89</x:v>
      </x:c>
      <x:c r="AW1803" s="604" t="inlineStr">
        <x:is>
          <x:t xml:space="preserve">2026-10-09T09:01:21.127001+08:00</x:t>
        </x:is>
      </x:c>
      <x:c r="AX1803" s="604" t="inlineStr">
        <x:is>
          <x:t xml:space="preserve">Titan007/V4</x:t>
        </x:is>
      </x:c>
      <x:c r="AY1803" s="604" t="inlineStr">
        <x:is>
          <x:t xml:space="preserve">Daily append；市场输入缺失时不生成决策</x:t>
        </x:is>
      </x:c>
    </x:row>
    <x:row r="1804" ht="22" customHeight="1">
      <x:c r="A1804" s="604" t="inlineStr">
        <x:is>
          <x:t xml:space="preserve">2026-10-09</x:t>
        </x:is>
      </x:c>
      <x:c r="B1804" s="604" t="inlineStr">
        <x:is>
          <x:t xml:space="preserve">2026-10-10T03:15:00+08:00</x:t>
        </x:is>
      </x:c>
      <x:c r="C1804" s="604" t="str">
        <x:v>欧洲非五大系列</x:v>
      </x:c>
      <x:c r="D1804" s="604" t="inlineStr">
        <x:is>
          <x:t xml:space="preserve"/>
        </x:is>
      </x:c>
      <x:c r="E1804" s="604" t="inlineStr">
        <x:is>
          <x:t xml:space="preserve">圣马甲</x:t>
        </x:is>
      </x:c>
      <x:c r="F1804" s="604" t="inlineStr">
        <x:is>
          <x:t xml:space="preserve">蔡伦戈 vs 利伯达斯</x:t>
        </x:is>
      </x:c>
      <x:c r="G1804" s="604" t="n">
        <x:v>0.78</x:v>
      </x:c>
      <x:c r="H1804" s="604" t="n">
        <x:v>-0.5</x:v>
      </x:c>
      <x:c r="I1804" s="604" t="n">
        <x:v>1.03</x:v>
      </x:c>
      <x:c r="J1804" s="604" t="inlineStr">
        <x:is>
          <x:t xml:space="preserve">0.78/-0.5/1.03</x:t>
        </x:is>
      </x:c>
      <x:c r="K1804" s="604" t="inlineStr">
        <x:is>
          <x:t xml:space="preserve">V4-N</x:t>
        </x:is>
      </x:c>
      <x:c r="L1804" s="604" t="inlineStr">
        <x:is>
          <x:t xml:space="preserve"/>
        </x:is>
      </x:c>
      <x:c r="M1804" s="604" t="n">
        <x:v>0.2593763124266638</x:v>
      </x:c>
      <x:c r="N1804" s="604" t="inlineStr">
        <x:is>
          <x:t xml:space="preserve">V4 Shadow Only；real_money=false</x:t>
        </x:is>
      </x:c>
      <x:c r="O1804" s="604" t="inlineStr">
        <x:is>
          <x:t xml:space="preserve">0-0</x:t>
        </x:is>
      </x:c>
      <x:c r="P1804" s="604" t="inlineStr">
        <x:is>
          <x:t xml:space="preserve">EVALUATED</x:t>
        </x:is>
      </x:c>
      <x:c r="Q1804" s="630" t="inlineStr">
        <x:is>
          <x:t xml:space="preserve"/>
        </x:is>
      </x:c>
      <x:c r="R1804" s="604" t="n"/>
      <x:c r="S1804" s="604" t="n"/>
      <x:c r="T1804" s="604" t="inlineStr">
        <x:is>
          <x:t xml:space="preserve">D:\codex\v3_legacy\outputs\football_odds_trader\raw\titan007\20261009\20261009_085232_titan007_odds_snapshot.csv</x:t>
        </x:is>
      </x:c>
      <x:c r="U1804" s="628" t="inlineStr">
        <x:is>
          <x:t xml:space="preserve"/>
        </x:is>
      </x:c>
      <x:c r="V1804" s="604" t="inlineStr">
        <x:is>
          <x:t xml:space="preserve"/>
        </x:is>
      </x:c>
      <x:c r="W1804" s="604" t="inlineStr">
        <x:is>
          <x:t xml:space="preserve"/>
        </x:is>
      </x:c>
      <x:c r="X1804" s="604" t="inlineStr">
        <x:is>
          <x:t xml:space="preserve">3099214</x:t>
        </x:is>
      </x:c>
      <x:c r="Y1804" s="604" t="inlineStr">
        <x:is>
          <x:t xml:space="preserve">V4</x:t>
        </x:is>
      </x:c>
      <x:c r="Z1804" s="604" t="inlineStr">
        <x:is>
          <x:t xml:space="preserve">prior-2026-10-09-v1</x:t>
        </x:is>
      </x:c>
      <x:c r="AA1804" s="604" t="inlineStr">
        <x:is>
          <x:t xml:space="preserve">N</x:t>
        </x:is>
      </x:c>
      <x:c r="AB1804" s="604" t="n">
        <x:v>0.2593763124266638</x:v>
      </x:c>
      <x:c r="AC1804" s="604" t="n">
        <x:v>0.7406236875733362</x:v>
      </x:c>
      <x:c r="AD1804" s="604" t="n">
        <x:v>-0.5</x:v>
      </x:c>
      <x:c r="AE1804" s="604" t="n"/>
      <x:c r="AF1804" s="604" t="n"/>
      <x:c r="AG1804" s="604" t="n">
        <x:v>0.3183101638805385</x:v>
      </x:c>
      <x:c r="AH1804" s="604" t="n"/>
      <x:c r="AI1804" s="604" t="n"/>
      <x:c r="AJ1804" s="604" t="n">
        <x:v>0.3183101638805385</x:v>
      </x:c>
      <x:c r="AK1804" s="604" t="n"/>
      <x:c r="AL1804" s="604" t="n"/>
      <x:c r="AM1804" s="604" t="n"/>
      <x:c r="AN1804" s="604" t="inlineStr">
        <x:is>
          <x:t xml:space="preserve">EVALUATED</x:t>
        </x:is>
      </x:c>
      <x:c r="AO1804" s="604" t="inlineStr">
        <x:is>
          <x:t xml:space="preserve">LOW_QUALITY_GATE;BUCKET_PRIOR_ONLY;INTENT_INTERPRETATION_ONLY;FFL_OPTIONAL;EXPERT_MARKET</x:t>
        </x:is>
      </x:c>
      <x:c r="AP1804" s="604" t="inlineStr">
        <x:is>
          <x:t xml:space="preserve">92005e27f066fea7693d</x:t>
        </x:is>
      </x:c>
      <x:c r="AQ1804" s="604" t="n"/>
      <x:c r="AR1804" s="604" t="n"/>
      <x:c r="AS1804" s="604" t="n">
        <x:v>-0.5</x:v>
      </x:c>
      <x:c r="AT1804" s="604" t="n">
        <x:v>0.5</x:v>
      </x:c>
      <x:c r="AU1804" s="604" t="n">
        <x:v>0.78</x:v>
      </x:c>
      <x:c r="AV1804" s="604" t="n">
        <x:v>1.03</x:v>
      </x:c>
      <x:c r="AW1804" s="604" t="inlineStr">
        <x:is>
          <x:t xml:space="preserve">2026-10-09T09:01:21.127001+08:00</x:t>
        </x:is>
      </x:c>
      <x:c r="AX1804" s="604" t="inlineStr">
        <x:is>
          <x:t xml:space="preserve">Titan007/V4</x:t>
        </x:is>
      </x:c>
      <x:c r="AY1804" s="604" t="inlineStr">
        <x:is>
          <x:t xml:space="preserve">Daily append；市场输入缺失时不生成决策</x:t>
        </x:is>
      </x:c>
    </x:row>
    <x:row r="1805" ht="22" customHeight="1">
      <x:c r="A1805" s="604" t="inlineStr">
        <x:is>
          <x:t xml:space="preserve">2026-10-09</x:t>
        </x:is>
      </x:c>
      <x:c r="B1805" s="604" t="inlineStr">
        <x:is>
          <x:t xml:space="preserve">2026-10-10T03:15:00+08:00</x:t>
        </x:is>
      </x:c>
      <x:c r="C1805" s="604" t="str">
        <x:v>欧洲非五大系列</x:v>
      </x:c>
      <x:c r="D1805" s="604" t="inlineStr">
        <x:is>
          <x:t xml:space="preserve"/>
        </x:is>
      </x:c>
      <x:c r="E1805" s="604" t="inlineStr">
        <x:is>
          <x:t xml:space="preserve">圣马甲</x:t>
        </x:is>
      </x:c>
      <x:c r="F1805" s="604" t="inlineStr">
        <x:is>
          <x:t xml:space="preserve">拉科奥里塔 vs 梅拿达</x:t>
        </x:is>
      </x:c>
      <x:c r="G1805" s="604" t="n">
        <x:v>0.83</x:v>
      </x:c>
      <x:c r="H1805" s="604" t="n">
        <x:v>2.5</x:v>
      </x:c>
      <x:c r="I1805" s="604" t="n">
        <x:v>0.98</x:v>
      </x:c>
      <x:c r="J1805" s="604" t="inlineStr">
        <x:is>
          <x:t xml:space="preserve">0.83/2.5/0.98</x:t>
        </x:is>
      </x:c>
      <x:c r="K1805" s="604" t="inlineStr">
        <x:is>
          <x:t xml:space="preserve">V4-N</x:t>
        </x:is>
      </x:c>
      <x:c r="L1805" s="604" t="inlineStr">
        <x:is>
          <x:t xml:space="preserve"/>
        </x:is>
      </x:c>
      <x:c r="M1805" s="604" t="n">
        <x:v>0.5756338335696196</x:v>
      </x:c>
      <x:c r="N1805" s="604" t="inlineStr">
        <x:is>
          <x:t xml:space="preserve">V4 Shadow Only；real_money=false</x:t>
        </x:is>
      </x:c>
      <x:c r="O1805" s="604" t="inlineStr">
        <x:is>
          <x:t xml:space="preserve">0-0</x:t>
        </x:is>
      </x:c>
      <x:c r="P1805" s="604" t="inlineStr">
        <x:is>
          <x:t xml:space="preserve">EVALUATED</x:t>
        </x:is>
      </x:c>
      <x:c r="Q1805" s="630" t="inlineStr">
        <x:is>
          <x:t xml:space="preserve"/>
        </x:is>
      </x:c>
      <x:c r="R1805" s="604" t="n"/>
      <x:c r="S1805" s="604" t="n"/>
      <x:c r="T1805" s="604" t="inlineStr">
        <x:is>
          <x:t xml:space="preserve">D:\codex\v3_legacy\outputs\football_odds_trader\raw\titan007\20261009\20261009_085232_titan007_odds_snapshot.csv</x:t>
        </x:is>
      </x:c>
      <x:c r="U1805" s="628" t="inlineStr">
        <x:is>
          <x:t xml:space="preserve"/>
        </x:is>
      </x:c>
      <x:c r="V1805" s="604" t="inlineStr">
        <x:is>
          <x:t xml:space="preserve"/>
        </x:is>
      </x:c>
      <x:c r="W1805" s="604" t="inlineStr">
        <x:is>
          <x:t xml:space="preserve"/>
        </x:is>
      </x:c>
      <x:c r="X1805" s="604" t="inlineStr">
        <x:is>
          <x:t xml:space="preserve">3099215</x:t>
        </x:is>
      </x:c>
      <x:c r="Y1805" s="604" t="inlineStr">
        <x:is>
          <x:t xml:space="preserve">V4</x:t>
        </x:is>
      </x:c>
      <x:c r="Z1805" s="604" t="inlineStr">
        <x:is>
          <x:t xml:space="preserve">prior-2026-10-09-v1</x:t>
        </x:is>
      </x:c>
      <x:c r="AA1805" s="604" t="inlineStr">
        <x:is>
          <x:t xml:space="preserve">N</x:t>
        </x:is>
      </x:c>
      <x:c r="AB1805" s="604" t="n">
        <x:v>0.5756338335696196</x:v>
      </x:c>
      <x:c r="AC1805" s="604" t="n">
        <x:v>0.4243661664303804</x:v>
      </x:c>
      <x:c r="AD1805" s="604" t="n">
        <x:v>3.5</x:v>
      </x:c>
      <x:c r="AE1805" s="604" t="n"/>
      <x:c r="AF1805" s="604" t="n"/>
      <x:c r="AG1805" s="604" t="n">
        <x:v>0.05340991543240381</x:v>
      </x:c>
      <x:c r="AH1805" s="604" t="n"/>
      <x:c r="AI1805" s="604" t="n"/>
      <x:c r="AJ1805" s="604" t="n">
        <x:v>0.05340991543240381</x:v>
      </x:c>
      <x:c r="AK1805" s="604" t="n"/>
      <x:c r="AL1805" s="604" t="n"/>
      <x:c r="AM1805" s="604" t="n"/>
      <x:c r="AN1805" s="604" t="inlineStr">
        <x:is>
          <x:t xml:space="preserve">EVALUATED</x:t>
        </x:is>
      </x:c>
      <x:c r="AO1805" s="604" t="inlineStr">
        <x:is>
          <x:t xml:space="preserve">EDGE_BELOW_UNCERTAINTY_THRESHOLD;BUCKET_PRIOR_ONLY;INTENT_INTERPRETATION_ONLY;FFL_OPTIONAL;EXPERT_MARKET</x:t>
        </x:is>
      </x:c>
      <x:c r="AP1805" s="604" t="inlineStr">
        <x:is>
          <x:t xml:space="preserve">18ed9e9b8ed55d9f8ae1</x:t>
        </x:is>
      </x:c>
      <x:c r="AQ1805" s="604" t="n"/>
      <x:c r="AR1805" s="604" t="n"/>
      <x:c r="AS1805" s="604" t="n">
        <x:v>2.5</x:v>
      </x:c>
      <x:c r="AT1805" s="604" t="n">
        <x:v>-2.5</x:v>
      </x:c>
      <x:c r="AU1805" s="604" t="n">
        <x:v>0.83</x:v>
      </x:c>
      <x:c r="AV1805" s="604" t="n">
        <x:v>0.98</x:v>
      </x:c>
      <x:c r="AW1805" s="604" t="inlineStr">
        <x:is>
          <x:t xml:space="preserve">2026-10-09T09:01:21.127001+08:00</x:t>
        </x:is>
      </x:c>
      <x:c r="AX1805" s="604" t="inlineStr">
        <x:is>
          <x:t xml:space="preserve">Titan007/V4</x:t>
        </x:is>
      </x:c>
      <x:c r="AY1805" s="604" t="inlineStr">
        <x:is>
          <x:t xml:space="preserve">Daily append；市场输入缺失时不生成决策</x:t>
        </x:is>
      </x:c>
    </x:row>
    <x:row r="1806" ht="22" customHeight="1">
      <x:c r="A1806" s="604" t="inlineStr">
        <x:is>
          <x:t xml:space="preserve">2026-10-09</x:t>
        </x:is>
      </x:c>
      <x:c r="B1806" s="604" t="inlineStr">
        <x:is>
          <x:t xml:space="preserve">2026-10-10T03:15:00+08:00</x:t>
        </x:is>
      </x:c>
      <x:c r="C1806" s="604" t="str">
        <x:v>欧洲非五大系列</x:v>
      </x:c>
      <x:c r="D1806" s="604" t="inlineStr">
        <x:is>
          <x:t xml:space="preserve"/>
        </x:is>
      </x:c>
      <x:c r="E1806" s="604" t="inlineStr">
        <x:is>
          <x:t xml:space="preserve">圣马甲</x:t>
        </x:is>
      </x:c>
      <x:c r="F1806" s="604" t="inlineStr">
        <x:is>
          <x:t xml:space="preserve">彭拿洛沙 vs 弗洛戈雷</x:t>
        </x:is>
      </x:c>
      <x:c r="G1806" s="604" t="n">
        <x:v>0.95</x:v>
      </x:c>
      <x:c r="H1806" s="604" t="n">
        <x:v>-1.5</x:v>
      </x:c>
      <x:c r="I1806" s="604" t="n">
        <x:v>0.85</x:v>
      </x:c>
      <x:c r="J1806" s="604" t="inlineStr">
        <x:is>
          <x:t xml:space="preserve">0.95/-1.5/0.85</x:t>
        </x:is>
      </x:c>
      <x:c r="K1806" s="604" t="inlineStr">
        <x:is>
          <x:t xml:space="preserve">V4-N</x:t>
        </x:is>
      </x:c>
      <x:c r="L1806" s="604" t="inlineStr">
        <x:is>
          <x:t xml:space="preserve"/>
        </x:is>
      </x:c>
      <x:c r="M1806" s="604" t="n">
        <x:v>0.004409167911187761</x:v>
      </x:c>
      <x:c r="N1806" s="604" t="inlineStr">
        <x:is>
          <x:t xml:space="preserve">V4 Shadow Only；real_money=false</x:t>
        </x:is>
      </x:c>
      <x:c r="O1806" s="604" t="inlineStr">
        <x:is>
          <x:t xml:space="preserve">0-0</x:t>
        </x:is>
      </x:c>
      <x:c r="P1806" s="604" t="inlineStr">
        <x:is>
          <x:t xml:space="preserve">EVALUATED</x:t>
        </x:is>
      </x:c>
      <x:c r="Q1806" s="630" t="inlineStr">
        <x:is>
          <x:t xml:space="preserve"/>
        </x:is>
      </x:c>
      <x:c r="R1806" s="604" t="n"/>
      <x:c r="S1806" s="604" t="n"/>
      <x:c r="T1806" s="604" t="inlineStr">
        <x:is>
          <x:t xml:space="preserve">D:\codex\v3_legacy\outputs\football_odds_trader\raw\titan007\20261009\20261009_085232_titan007_odds_snapshot.csv</x:t>
        </x:is>
      </x:c>
      <x:c r="U1806" s="628" t="inlineStr">
        <x:is>
          <x:t xml:space="preserve"/>
        </x:is>
      </x:c>
      <x:c r="V1806" s="604" t="inlineStr">
        <x:is>
          <x:t xml:space="preserve"/>
        </x:is>
      </x:c>
      <x:c r="W1806" s="604" t="inlineStr">
        <x:is>
          <x:t xml:space="preserve"/>
        </x:is>
      </x:c>
      <x:c r="X1806" s="604" t="inlineStr">
        <x:is>
          <x:t xml:space="preserve">3099216</x:t>
        </x:is>
      </x:c>
      <x:c r="Y1806" s="604" t="inlineStr">
        <x:is>
          <x:t xml:space="preserve">V4</x:t>
        </x:is>
      </x:c>
      <x:c r="Z1806" s="604" t="inlineStr">
        <x:is>
          <x:t xml:space="preserve">prior-2026-10-09-v1</x:t>
        </x:is>
      </x:c>
      <x:c r="AA1806" s="604" t="inlineStr">
        <x:is>
          <x:t xml:space="preserve">N</x:t>
        </x:is>
      </x:c>
      <x:c r="AB1806" s="604" t="n">
        <x:v>0.004409167911187761</x:v>
      </x:c>
      <x:c r="AC1806" s="604" t="n">
        <x:v>0.9955908320888123</x:v>
      </x:c>
      <x:c r="AD1806" s="604" t="n">
        <x:v>-2</x:v>
      </x:c>
      <x:c r="AE1806" s="604" t="n"/>
      <x:c r="AF1806" s="604" t="n"/>
      <x:c r="AG1806" s="604" t="n">
        <x:v>0.9414021225731839</x:v>
      </x:c>
      <x:c r="AH1806" s="604" t="n"/>
      <x:c r="AI1806" s="604" t="n"/>
      <x:c r="AJ1806" s="604" t="n">
        <x:v>0.9414021225731839</x:v>
      </x:c>
      <x:c r="AK1806" s="604" t="n"/>
      <x:c r="AL1806" s="604" t="n"/>
      <x:c r="AM1806" s="604" t="n"/>
      <x:c r="AN1806" s="604" t="inlineStr">
        <x:is>
          <x:t xml:space="preserve">EVALUATED</x:t>
        </x:is>
      </x:c>
      <x:c r="AO1806" s="604" t="inlineStr">
        <x:is>
          <x:t xml:space="preserve">LOW_QUALITY_GATE;BUCKET_PRIOR_ONLY;INTENT_INTERPRETATION_ONLY;FFL_OPTIONAL;EXPERT_MARKET</x:t>
        </x:is>
      </x:c>
      <x:c r="AP1806" s="604" t="inlineStr">
        <x:is>
          <x:t xml:space="preserve">c0ff3345efa85a7f04e2</x:t>
        </x:is>
      </x:c>
      <x:c r="AQ1806" s="604" t="n"/>
      <x:c r="AR1806" s="604" t="n"/>
      <x:c r="AS1806" s="604" t="n">
        <x:v>-1.5</x:v>
      </x:c>
      <x:c r="AT1806" s="604" t="n">
        <x:v>1.5</x:v>
      </x:c>
      <x:c r="AU1806" s="604" t="n">
        <x:v>0.95</x:v>
      </x:c>
      <x:c r="AV1806" s="604" t="n">
        <x:v>0.85</x:v>
      </x:c>
      <x:c r="AW1806" s="604" t="inlineStr">
        <x:is>
          <x:t xml:space="preserve">2026-10-09T09:01:21.127001+08:00</x:t>
        </x:is>
      </x:c>
      <x:c r="AX1806" s="604" t="inlineStr">
        <x:is>
          <x:t xml:space="preserve">Titan007/V4</x:t>
        </x:is>
      </x:c>
      <x:c r="AY1806" s="604" t="inlineStr">
        <x:is>
          <x:t xml:space="preserve">Daily append；市场输入缺失时不生成决策</x:t>
        </x:is>
      </x:c>
    </x:row>
    <x:row r="1807" ht="22" customHeight="1">
      <x:c r="A1807" s="604" t="inlineStr">
        <x:is>
          <x:t xml:space="preserve">2026-10-09</x:t>
        </x:is>
      </x:c>
      <x:c r="B1807" s="604" t="inlineStr">
        <x:is>
          <x:t xml:space="preserve">2026-10-10T00:00:00+08:00</x:t>
        </x:is>
      </x:c>
      <x:c r="C1807" s="604" t="str">
        <x:v>西亚/中亚系列</x:v>
      </x:c>
      <x:c r="D1807" s="604" t="inlineStr">
        <x:is>
          <x:t xml:space="preserve"/>
        </x:is>
      </x:c>
      <x:c r="E1807" s="604" t="inlineStr">
        <x:is>
          <x:t xml:space="preserve">巴林超</x:t>
        </x:is>
      </x:c>
      <x:c r="F1807" s="604" t="inlineStr">
        <x:is>
          <x:t xml:space="preserve">哈尔迪亚 vs 慕哈瑞克</x:t>
        </x:is>
      </x:c>
      <x:c r="G1807" s="604" t="n">
        <x:v>0.99</x:v>
      </x:c>
      <x:c r="H1807" s="604" t="n">
        <x:v>0</x:v>
      </x:c>
      <x:c r="I1807" s="604" t="n">
        <x:v>0.77</x:v>
      </x:c>
      <x:c r="J1807" s="604" t="inlineStr">
        <x:is>
          <x:t xml:space="preserve">0.99/0.0/0.77</x:t>
        </x:is>
      </x:c>
      <x:c r="K1807" s="604" t="inlineStr">
        <x:is>
          <x:t xml:space="preserve">V4-N</x:t>
        </x:is>
      </x:c>
      <x:c r="L1807" s="604" t="inlineStr">
        <x:is>
          <x:t xml:space="preserve"/>
        </x:is>
      </x:c>
      <x:c r="M1807" s="604" t="n"/>
      <x:c r="N1807" s="604" t="inlineStr">
        <x:is>
          <x:t xml:space="preserve">V4 Shadow Only；real_money=false</x:t>
        </x:is>
      </x:c>
      <x:c r="O1807" s="604" t="inlineStr">
        <x:is>
          <x:t xml:space="preserve">0-0</x:t>
        </x:is>
      </x:c>
      <x:c r="P1807" s="604" t="inlineStr">
        <x:is>
          <x:t xml:space="preserve">NEUTRAL</x:t>
        </x:is>
      </x:c>
      <x:c r="Q1807" s="630" t="inlineStr">
        <x:is>
          <x:t xml:space="preserve"/>
        </x:is>
      </x:c>
      <x:c r="R1807" s="604" t="n"/>
      <x:c r="S1807" s="604" t="n"/>
      <x:c r="T1807" s="604" t="inlineStr">
        <x:is>
          <x:t xml:space="preserve">D:\codex\v3_legacy\outputs\football_odds_trader\raw\titan007\20261009\20261009_085232_titan007_odds_snapshot.csv</x:t>
        </x:is>
      </x:c>
      <x:c r="U1807" s="628" t="inlineStr">
        <x:is>
          <x:t xml:space="preserve"/>
        </x:is>
      </x:c>
      <x:c r="V1807" s="604" t="inlineStr">
        <x:is>
          <x:t xml:space="preserve"/>
        </x:is>
      </x:c>
      <x:c r="W1807" s="604" t="inlineStr">
        <x:is>
          <x:t xml:space="preserve"/>
        </x:is>
      </x:c>
      <x:c r="X1807" s="604" t="inlineStr">
        <x:is>
          <x:t xml:space="preserve">3099246</x:t>
        </x:is>
      </x:c>
      <x:c r="Y1807" s="604" t="inlineStr">
        <x:is>
          <x:t xml:space="preserve">V4</x:t>
        </x:is>
      </x:c>
      <x:c r="Z1807" s="604" t="inlineStr">
        <x:is>
          <x:t xml:space="preserve">prior-2026-10-09-v1</x:t>
        </x:is>
      </x:c>
      <x:c r="AA1807" s="604" t="inlineStr">
        <x:is>
          <x:t xml:space="preserve">N</x:t>
        </x:is>
      </x:c>
      <x:c r="AB1807" s="604" t="n"/>
      <x:c r="AC1807" s="604" t="n"/>
      <x:c r="AD1807" s="604" t="n"/>
      <x:c r="AE1807" s="604" t="n"/>
      <x:c r="AF1807" s="604" t="n"/>
      <x:c r="AG1807" s="604" t="n"/>
      <x:c r="AH1807" s="604" t="n"/>
      <x:c r="AI1807" s="604" t="n"/>
      <x:c r="AJ1807" s="604" t="n"/>
      <x:c r="AK1807" s="604" t="n"/>
      <x:c r="AL1807" s="604" t="n"/>
      <x:c r="AM1807" s="604" t="n"/>
      <x:c r="AN1807" s="604" t="inlineStr">
        <x:is>
          <x:t xml:space="preserve">NEUTRAL</x:t>
        </x:is>
      </x:c>
      <x:c r="AO1807" s="604" t="inlineStr">
        <x:is>
          <x:t xml:space="preserve">PK_NO_GIVING_RECEIVING_IDENTITY</x:t>
        </x:is>
      </x:c>
      <x:c r="AP1807" s="604" t="inlineStr">
        <x:is>
          <x:t xml:space="preserve">01432641c18099afe714</x:t>
        </x:is>
      </x:c>
      <x:c r="AQ1807" s="604" t="n"/>
      <x:c r="AR1807" s="604" t="n"/>
      <x:c r="AS1807" s="604" t="n"/>
      <x:c r="AT1807" s="604" t="n"/>
      <x:c r="AU1807" s="604" t="n"/>
      <x:c r="AV1807" s="604" t="n"/>
      <x:c r="AW1807" s="604" t="inlineStr">
        <x:is>
          <x:t xml:space="preserve">2026-10-09T09:01:21.127001+08:00</x:t>
        </x:is>
      </x:c>
      <x:c r="AX1807" s="604" t="inlineStr">
        <x:is>
          <x:t xml:space="preserve">Titan007/V4</x:t>
        </x:is>
      </x:c>
      <x:c r="AY1807" s="604" t="inlineStr">
        <x:is>
          <x:t xml:space="preserve">Daily append；市场输入缺失时不生成决策</x:t>
        </x:is>
      </x:c>
    </x:row>
    <x:row r="1808" ht="22" customHeight="1">
      <x:c r="A1808" s="604" t="inlineStr">
        <x:is>
          <x:t xml:space="preserve">2026-10-09</x:t>
        </x:is>
      </x:c>
      <x:c r="B1808" s="604" t="inlineStr">
        <x:is>
          <x:t xml:space="preserve">2026-10-10T00:00:00+08:00</x:t>
        </x:is>
      </x:c>
      <x:c r="C1808" s="604" t="str">
        <x:v>西亚/中亚系列</x:v>
      </x:c>
      <x:c r="D1808" s="604" t="inlineStr">
        <x:is>
          <x:t xml:space="preserve"/>
        </x:is>
      </x:c>
      <x:c r="E1808" s="604" t="inlineStr">
        <x:is>
          <x:t xml:space="preserve">巴林超</x:t>
        </x:is>
      </x:c>
      <x:c r="F1808" s="604" t="inlineStr">
        <x:is>
          <x:t xml:space="preserve">玛基亚 vs 阿尔里法</x:t>
        </x:is>
      </x:c>
      <x:c r="G1808" s="604" t="n">
        <x:v>0.84</x:v>
      </x:c>
      <x:c r="H1808" s="604" t="n">
        <x:v>-1.5</x:v>
      </x:c>
      <x:c r="I1808" s="604" t="n">
        <x:v>0.92</x:v>
      </x:c>
      <x:c r="J1808" s="604" t="inlineStr">
        <x:is>
          <x:t xml:space="preserve">0.84/-1.5/0.92</x:t>
        </x:is>
      </x:c>
      <x:c r="K1808" s="604" t="inlineStr">
        <x:is>
          <x:t xml:space="preserve">V4-N</x:t>
        </x:is>
      </x:c>
      <x:c r="L1808" s="604" t="inlineStr">
        <x:is>
          <x:t xml:space="preserve"/>
        </x:is>
      </x:c>
      <x:c r="M1808" s="604" t="n">
        <x:v>0.001649079971220221</x:v>
      </x:c>
      <x:c r="N1808" s="604" t="inlineStr">
        <x:is>
          <x:t xml:space="preserve">V4 Shadow Only；real_money=false</x:t>
        </x:is>
      </x:c>
      <x:c r="O1808" s="604" t="inlineStr">
        <x:is>
          <x:t xml:space="preserve">0-0</x:t>
        </x:is>
      </x:c>
      <x:c r="P1808" s="604" t="inlineStr">
        <x:is>
          <x:t xml:space="preserve">EVALUATED</x:t>
        </x:is>
      </x:c>
      <x:c r="Q1808" s="630" t="inlineStr">
        <x:is>
          <x:t xml:space="preserve"/>
        </x:is>
      </x:c>
      <x:c r="R1808" s="604" t="n"/>
      <x:c r="S1808" s="604" t="n"/>
      <x:c r="T1808" s="604" t="inlineStr">
        <x:is>
          <x:t xml:space="preserve">D:\codex\v3_legacy\outputs\football_odds_trader\raw\titan007\20261009\20261009_085232_titan007_odds_snapshot.csv</x:t>
        </x:is>
      </x:c>
      <x:c r="U1808" s="628" t="inlineStr">
        <x:is>
          <x:t xml:space="preserve"/>
        </x:is>
      </x:c>
      <x:c r="V1808" s="604" t="inlineStr">
        <x:is>
          <x:t xml:space="preserve"/>
        </x:is>
      </x:c>
      <x:c r="W1808" s="604" t="inlineStr">
        <x:is>
          <x:t xml:space="preserve"/>
        </x:is>
      </x:c>
      <x:c r="X1808" s="604" t="inlineStr">
        <x:is>
          <x:t xml:space="preserve">3099247</x:t>
        </x:is>
      </x:c>
      <x:c r="Y1808" s="604" t="inlineStr">
        <x:is>
          <x:t xml:space="preserve">V4</x:t>
        </x:is>
      </x:c>
      <x:c r="Z1808" s="604" t="inlineStr">
        <x:is>
          <x:t xml:space="preserve">prior-2026-10-09-v1</x:t>
        </x:is>
      </x:c>
      <x:c r="AA1808" s="604" t="inlineStr">
        <x:is>
          <x:t xml:space="preserve">N</x:t>
        </x:is>
      </x:c>
      <x:c r="AB1808" s="604" t="n">
        <x:v>0.001649079971220221</x:v>
      </x:c>
      <x:c r="AC1808" s="604" t="n">
        <x:v>0.9983509200287797</x:v>
      </x:c>
      <x:c r="AD1808" s="604" t="n">
        <x:v>-2.25</x:v>
      </x:c>
      <x:c r="AE1808" s="604" t="n"/>
      <x:c r="AF1808" s="604" t="n"/>
      <x:c r="AG1808" s="604" t="n">
        <x:v>0.8369656928529546</x:v>
      </x:c>
      <x:c r="AH1808" s="604" t="n"/>
      <x:c r="AI1808" s="604" t="n"/>
      <x:c r="AJ1808" s="604" t="n">
        <x:v>0.8369656928529546</x:v>
      </x:c>
      <x:c r="AK1808" s="604" t="n"/>
      <x:c r="AL1808" s="604" t="n"/>
      <x:c r="AM1808" s="604" t="n"/>
      <x:c r="AN1808" s="604" t="inlineStr">
        <x:is>
          <x:t xml:space="preserve">EVALUATED</x:t>
        </x:is>
      </x:c>
      <x:c r="AO1808" s="604" t="inlineStr">
        <x:is>
          <x:t xml:space="preserve">LOW_QUALITY_GATE;BUCKET_PRIOR_ONLY;INTENT_INTERPRETATION_ONLY;FFL_OPTIONAL;EXPERT_MARKET</x:t>
        </x:is>
      </x:c>
      <x:c r="AP1808" s="604" t="inlineStr">
        <x:is>
          <x:t xml:space="preserve">f21194c934b6a943b4be</x:t>
        </x:is>
      </x:c>
      <x:c r="AQ1808" s="604" t="n"/>
      <x:c r="AR1808" s="604" t="n"/>
      <x:c r="AS1808" s="604" t="n">
        <x:v>-1.5</x:v>
      </x:c>
      <x:c r="AT1808" s="604" t="n">
        <x:v>1.5</x:v>
      </x:c>
      <x:c r="AU1808" s="604" t="n">
        <x:v>0.84</x:v>
      </x:c>
      <x:c r="AV1808" s="604" t="n">
        <x:v>0.92</x:v>
      </x:c>
      <x:c r="AW1808" s="604" t="inlineStr">
        <x:is>
          <x:t xml:space="preserve">2026-10-09T09:01:21.127001+08:00</x:t>
        </x:is>
      </x:c>
      <x:c r="AX1808" s="604" t="inlineStr">
        <x:is>
          <x:t xml:space="preserve">Titan007/V4</x:t>
        </x:is>
      </x:c>
      <x:c r="AY1808" s="604" t="inlineStr">
        <x:is>
          <x:t xml:space="preserve">Daily append；市场输入缺失时不生成决策</x:t>
        </x:is>
      </x:c>
    </x:row>
    <x:row r="1809" ht="22" customHeight="1">
      <x:c r="A1809" s="604" t="inlineStr">
        <x:is>
          <x:t xml:space="preserve">2026-10-09</x:t>
        </x:is>
      </x:c>
      <x:c r="B1809" s="604" t="inlineStr">
        <x:is>
          <x:t xml:space="preserve">2026-10-09T20:00:00+08:00</x:t>
        </x:is>
      </x:c>
      <x:c r="C1809" s="604" t="str">
        <x:v>欧洲非五大系列</x:v>
      </x:c>
      <x:c r="D1809" s="604" t="inlineStr">
        <x:is>
          <x:t xml:space="preserve"/>
        </x:is>
      </x:c>
      <x:c r="E1809" s="604" t="inlineStr">
        <x:is>
          <x:t xml:space="preserve">科索沃超</x:t>
        </x:is>
      </x:c>
      <x:c r="F1809" s="604" t="inlineStr">
        <x:is>
          <x:t xml:space="preserve">罗拉匹 vs 巴利卡尼</x:t>
        </x:is>
      </x:c>
      <x:c r="G1809" s="604" t="n">
        <x:v>1</x:v>
      </x:c>
      <x:c r="H1809" s="604" t="n">
        <x:v>-0.25</x:v>
      </x:c>
      <x:c r="I1809" s="604" t="n">
        <x:v>0.8</x:v>
      </x:c>
      <x:c r="J1809" s="604" t="inlineStr">
        <x:is>
          <x:t xml:space="preserve">1.0/-0.25/0.8</x:t>
        </x:is>
      </x:c>
      <x:c r="K1809" s="604" t="inlineStr">
        <x:is>
          <x:t xml:space="preserve">V4-N</x:t>
        </x:is>
      </x:c>
      <x:c r="L1809" s="604" t="inlineStr">
        <x:is>
          <x:t xml:space="preserve"/>
        </x:is>
      </x:c>
      <x:c r="M1809" s="604" t="n">
        <x:v>0.2537377836088101</x:v>
      </x:c>
      <x:c r="N1809" s="604" t="inlineStr">
        <x:is>
          <x:t xml:space="preserve">V4 Shadow Only；real_money=false</x:t>
        </x:is>
      </x:c>
      <x:c r="O1809" s="604" t="inlineStr">
        <x:is>
          <x:t xml:space="preserve">0-0</x:t>
        </x:is>
      </x:c>
      <x:c r="P1809" s="604" t="inlineStr">
        <x:is>
          <x:t xml:space="preserve">EVALUATED</x:t>
        </x:is>
      </x:c>
      <x:c r="Q1809" s="630" t="inlineStr">
        <x:is>
          <x:t xml:space="preserve"/>
        </x:is>
      </x:c>
      <x:c r="R1809" s="604" t="n"/>
      <x:c r="S1809" s="604" t="n"/>
      <x:c r="T1809" s="604" t="inlineStr">
        <x:is>
          <x:t xml:space="preserve">D:\codex\v3_legacy\outputs\football_odds_trader\raw\titan007\20261009\20261009_085232_titan007_odds_snapshot.csv</x:t>
        </x:is>
      </x:c>
      <x:c r="U1809" s="628" t="inlineStr">
        <x:is>
          <x:t xml:space="preserve"/>
        </x:is>
      </x:c>
      <x:c r="V1809" s="604" t="inlineStr">
        <x:is>
          <x:t xml:space="preserve"/>
        </x:is>
      </x:c>
      <x:c r="W1809" s="604" t="inlineStr">
        <x:is>
          <x:t xml:space="preserve"/>
        </x:is>
      </x:c>
      <x:c r="X1809" s="604" t="inlineStr">
        <x:is>
          <x:t xml:space="preserve">3099267</x:t>
        </x:is>
      </x:c>
      <x:c r="Y1809" s="604" t="inlineStr">
        <x:is>
          <x:t xml:space="preserve">V4</x:t>
        </x:is>
      </x:c>
      <x:c r="Z1809" s="604" t="inlineStr">
        <x:is>
          <x:t xml:space="preserve">prior-2026-10-09-v1</x:t>
        </x:is>
      </x:c>
      <x:c r="AA1809" s="604" t="inlineStr">
        <x:is>
          <x:t xml:space="preserve">N</x:t>
        </x:is>
      </x:c>
      <x:c r="AB1809" s="604" t="n">
        <x:v>0.2537377836088101</x:v>
      </x:c>
      <x:c r="AC1809" s="604" t="n">
        <x:v>0.6195688300605033</x:v>
      </x:c>
      <x:c r="AD1809" s="604" t="n">
        <x:v>-0.5</x:v>
      </x:c>
      <x:c r="AE1809" s="604" t="n"/>
      <x:c r="AF1809" s="604" t="n"/>
      <x:c r="AG1809" s="604" t="n">
        <x:v>0.3658310464516932</x:v>
      </x:c>
      <x:c r="AH1809" s="604" t="n"/>
      <x:c r="AI1809" s="604" t="n"/>
      <x:c r="AJ1809" s="604" t="n">
        <x:v>0.3658310464516932</x:v>
      </x:c>
      <x:c r="AK1809" s="604" t="n"/>
      <x:c r="AL1809" s="604" t="n"/>
      <x:c r="AM1809" s="604" t="n"/>
      <x:c r="AN1809" s="604" t="inlineStr">
        <x:is>
          <x:t xml:space="preserve">EVALUATED</x:t>
        </x:is>
      </x:c>
      <x:c r="AO1809" s="604" t="inlineStr">
        <x:is>
          <x:t xml:space="preserve">LOW_QUALITY_GATE;BUCKET_PRIOR_ONLY;INTENT_INTERPRETATION_ONLY;FFL_OPTIONAL;EXPERT_MARKET</x:t>
        </x:is>
      </x:c>
      <x:c r="AP1809" s="604" t="inlineStr">
        <x:is>
          <x:t xml:space="preserve">e0d73a7bb0a699ebf1a0</x:t>
        </x:is>
      </x:c>
      <x:c r="AQ1809" s="604" t="n"/>
      <x:c r="AR1809" s="604" t="n"/>
      <x:c r="AS1809" s="604" t="n">
        <x:v>-0.25</x:v>
      </x:c>
      <x:c r="AT1809" s="604" t="n">
        <x:v>0.25</x:v>
      </x:c>
      <x:c r="AU1809" s="604" t="n">
        <x:v>1</x:v>
      </x:c>
      <x:c r="AV1809" s="604" t="n">
        <x:v>0.8</x:v>
      </x:c>
      <x:c r="AW1809" s="604" t="inlineStr">
        <x:is>
          <x:t xml:space="preserve">2026-10-09T09:01:21.127001+08:00</x:t>
        </x:is>
      </x:c>
      <x:c r="AX1809" s="604" t="inlineStr">
        <x:is>
          <x:t xml:space="preserve">Titan007/V4</x:t>
        </x:is>
      </x:c>
      <x:c r="AY1809" s="604" t="inlineStr">
        <x:is>
          <x:t xml:space="preserve">Daily append；市场输入缺失时不生成决策</x:t>
        </x:is>
      </x:c>
    </x:row>
    <x:row r="1810" ht="22" customHeight="1">
      <x:c r="A1810" s="604" t="inlineStr">
        <x:is>
          <x:t xml:space="preserve">2026-10-09</x:t>
        </x:is>
      </x:c>
      <x:c r="B1810" s="604" t="inlineStr">
        <x:is>
          <x:t xml:space="preserve">2026-10-10T00:00:00+08:00</x:t>
        </x:is>
      </x:c>
      <x:c r="C1810" s="604" t="str">
        <x:v>欧洲非五大系列</x:v>
      </x:c>
      <x:c r="D1810" s="604" t="inlineStr">
        <x:is>
          <x:t xml:space="preserve"/>
        </x:is>
      </x:c>
      <x:c r="E1810" s="604" t="inlineStr">
        <x:is>
          <x:t xml:space="preserve">科索沃超</x:t>
        </x:is>
      </x:c>
      <x:c r="F1810" s="604" t="inlineStr">
        <x:is>
          <x:t xml:space="preserve">德利塔 vs 马利舍瓦</x:t>
        </x:is>
      </x:c>
      <x:c r="G1810" s="604" t="n">
        <x:v>0.95</x:v>
      </x:c>
      <x:c r="H1810" s="604" t="n">
        <x:v>0</x:v>
      </x:c>
      <x:c r="I1810" s="604" t="n">
        <x:v>0.85</x:v>
      </x:c>
      <x:c r="J1810" s="604" t="inlineStr">
        <x:is>
          <x:t xml:space="preserve">0.95/0.0/0.85</x:t>
        </x:is>
      </x:c>
      <x:c r="K1810" s="604" t="inlineStr">
        <x:is>
          <x:t xml:space="preserve">V4-N</x:t>
        </x:is>
      </x:c>
      <x:c r="L1810" s="604" t="inlineStr">
        <x:is>
          <x:t xml:space="preserve"/>
        </x:is>
      </x:c>
      <x:c r="M1810" s="604" t="n"/>
      <x:c r="N1810" s="604" t="inlineStr">
        <x:is>
          <x:t xml:space="preserve">V4 Shadow Only；real_money=false</x:t>
        </x:is>
      </x:c>
      <x:c r="O1810" s="604" t="inlineStr">
        <x:is>
          <x:t xml:space="preserve">0-0</x:t>
        </x:is>
      </x:c>
      <x:c r="P1810" s="604" t="inlineStr">
        <x:is>
          <x:t xml:space="preserve">NEUTRAL</x:t>
        </x:is>
      </x:c>
      <x:c r="Q1810" s="630" t="inlineStr">
        <x:is>
          <x:t xml:space="preserve"/>
        </x:is>
      </x:c>
      <x:c r="R1810" s="604" t="n"/>
      <x:c r="S1810" s="604" t="n"/>
      <x:c r="T1810" s="604" t="inlineStr">
        <x:is>
          <x:t xml:space="preserve">D:\codex\v3_legacy\outputs\football_odds_trader\raw\titan007\20261009\20261009_085232_titan007_odds_snapshot.csv</x:t>
        </x:is>
      </x:c>
      <x:c r="U1810" s="628" t="inlineStr">
        <x:is>
          <x:t xml:space="preserve"/>
        </x:is>
      </x:c>
      <x:c r="V1810" s="604" t="inlineStr">
        <x:is>
          <x:t xml:space="preserve"/>
        </x:is>
      </x:c>
      <x:c r="W1810" s="604" t="inlineStr">
        <x:is>
          <x:t xml:space="preserve"/>
        </x:is>
      </x:c>
      <x:c r="X1810" s="604" t="inlineStr">
        <x:is>
          <x:t xml:space="preserve">3099268</x:t>
        </x:is>
      </x:c>
      <x:c r="Y1810" s="604" t="inlineStr">
        <x:is>
          <x:t xml:space="preserve">V4</x:t>
        </x:is>
      </x:c>
      <x:c r="Z1810" s="604" t="inlineStr">
        <x:is>
          <x:t xml:space="preserve">prior-2026-10-09-v1</x:t>
        </x:is>
      </x:c>
      <x:c r="AA1810" s="604" t="inlineStr">
        <x:is>
          <x:t xml:space="preserve">N</x:t>
        </x:is>
      </x:c>
      <x:c r="AB1810" s="604" t="n"/>
      <x:c r="AC1810" s="604" t="n"/>
      <x:c r="AD1810" s="604" t="n"/>
      <x:c r="AE1810" s="604" t="n"/>
      <x:c r="AF1810" s="604" t="n"/>
      <x:c r="AG1810" s="604" t="n"/>
      <x:c r="AH1810" s="604" t="n"/>
      <x:c r="AI1810" s="604" t="n"/>
      <x:c r="AJ1810" s="604" t="n"/>
      <x:c r="AK1810" s="604" t="n"/>
      <x:c r="AL1810" s="604" t="n"/>
      <x:c r="AM1810" s="604" t="n"/>
      <x:c r="AN1810" s="604" t="inlineStr">
        <x:is>
          <x:t xml:space="preserve">NEUTRAL</x:t>
        </x:is>
      </x:c>
      <x:c r="AO1810" s="604" t="inlineStr">
        <x:is>
          <x:t xml:space="preserve">PK_NO_GIVING_RECEIVING_IDENTITY</x:t>
        </x:is>
      </x:c>
      <x:c r="AP1810" s="604" t="inlineStr">
        <x:is>
          <x:t xml:space="preserve">bb678af3a9e10a428f34</x:t>
        </x:is>
      </x:c>
      <x:c r="AQ1810" s="604" t="n"/>
      <x:c r="AR1810" s="604" t="n"/>
      <x:c r="AS1810" s="604" t="n"/>
      <x:c r="AT1810" s="604" t="n"/>
      <x:c r="AU1810" s="604" t="n"/>
      <x:c r="AV1810" s="604" t="n"/>
      <x:c r="AW1810" s="604" t="inlineStr">
        <x:is>
          <x:t xml:space="preserve">2026-10-09T09:01:21.127001+08:00</x:t>
        </x:is>
      </x:c>
      <x:c r="AX1810" s="604" t="inlineStr">
        <x:is>
          <x:t xml:space="preserve">Titan007/V4</x:t>
        </x:is>
      </x:c>
      <x:c r="AY1810" s="604" t="inlineStr">
        <x:is>
          <x:t xml:space="preserve">Daily append；市场输入缺失时不生成决策</x:t>
        </x:is>
      </x:c>
    </x:row>
    <x:row r="1811" ht="22" customHeight="1">
      <x:c r="A1811" s="604" t="inlineStr">
        <x:is>
          <x:t xml:space="preserve">2026-10-09</x:t>
        </x:is>
      </x:c>
      <x:c r="B1811" s="604" t="inlineStr">
        <x:is>
          <x:t xml:space="preserve">2026-10-10T03:00:00+08:00</x:t>
        </x:is>
      </x:c>
      <x:c r="C1811" s="604" t="str">
        <x:v>欧洲非五大系列</x:v>
      </x:c>
      <x:c r="D1811" s="604" t="inlineStr">
        <x:is>
          <x:t xml:space="preserve"/>
        </x:is>
      </x:c>
      <x:c r="E1811" s="604" t="inlineStr">
        <x:is>
          <x:t xml:space="preserve">北爱全联</x:t>
        </x:is>
      </x:c>
      <x:c r="F1811" s="604" t="inlineStr">
        <x:is>
          <x:t xml:space="preserve">巴利马卡斯流浪 vs 罗萨里奥YFC</x:t>
        </x:is>
      </x:c>
      <x:c r="G1811" s="604" t="n">
        <x:v>1</x:v>
      </x:c>
      <x:c r="H1811" s="604" t="n">
        <x:v>0.25</x:v>
      </x:c>
      <x:c r="I1811" s="604" t="n">
        <x:v>0.8</x:v>
      </x:c>
      <x:c r="J1811" s="604" t="inlineStr">
        <x:is>
          <x:t xml:space="preserve">1.0/0.25/0.8</x:t>
        </x:is>
      </x:c>
      <x:c r="K1811" s="604" t="inlineStr">
        <x:is>
          <x:t xml:space="preserve">V4-N</x:t>
        </x:is>
      </x:c>
      <x:c r="L1811" s="604" t="inlineStr">
        <x:is>
          <x:t xml:space="preserve"/>
        </x:is>
      </x:c>
      <x:c r="M1811" s="604" t="n">
        <x:v>0.4066958560823201</x:v>
      </x:c>
      <x:c r="N1811" s="604" t="inlineStr">
        <x:is>
          <x:t xml:space="preserve">V4 Shadow Only；real_money=false</x:t>
        </x:is>
      </x:c>
      <x:c r="O1811" s="604" t="inlineStr">
        <x:is>
          <x:t xml:space="preserve">0-0</x:t>
        </x:is>
      </x:c>
      <x:c r="P1811" s="604" t="inlineStr">
        <x:is>
          <x:t xml:space="preserve">EVALUATED</x:t>
        </x:is>
      </x:c>
      <x:c r="Q1811" s="630" t="inlineStr">
        <x:is>
          <x:t xml:space="preserve"/>
        </x:is>
      </x:c>
      <x:c r="R1811" s="604" t="n"/>
      <x:c r="S1811" s="604" t="n"/>
      <x:c r="T1811" s="604" t="inlineStr">
        <x:is>
          <x:t xml:space="preserve">D:\codex\v3_legacy\outputs\football_odds_trader\raw\titan007\20261009\20261009_085232_titan007_odds_snapshot.csv</x:t>
        </x:is>
      </x:c>
      <x:c r="U1811" s="628" t="inlineStr">
        <x:is>
          <x:t xml:space="preserve"/>
        </x:is>
      </x:c>
      <x:c r="V1811" s="604" t="inlineStr">
        <x:is>
          <x:t xml:space="preserve"/>
        </x:is>
      </x:c>
      <x:c r="W1811" s="604" t="inlineStr">
        <x:is>
          <x:t xml:space="preserve"/>
        </x:is>
      </x:c>
      <x:c r="X1811" s="604" t="inlineStr">
        <x:is>
          <x:t xml:space="preserve">3099277</x:t>
        </x:is>
      </x:c>
      <x:c r="Y1811" s="604" t="inlineStr">
        <x:is>
          <x:t xml:space="preserve">V4</x:t>
        </x:is>
      </x:c>
      <x:c r="Z1811" s="604" t="inlineStr">
        <x:is>
          <x:t xml:space="preserve">prior-2026-10-09-v1</x:t>
        </x:is>
      </x:c>
      <x:c r="AA1811" s="604" t="inlineStr">
        <x:is>
          <x:t xml:space="preserve">N</x:t>
        </x:is>
      </x:c>
      <x:c r="AB1811" s="604" t="n">
        <x:v>0.4066958560823201</x:v>
      </x:c>
      <x:c r="AC1811" s="604" t="n">
        <x:v>0.4639472163822849</x:v>
      </x:c>
      <x:c r="AD1811" s="604" t="n">
        <x:v>0.25</x:v>
      </x:c>
      <x:c r="AE1811" s="604" t="n"/>
      <x:c r="AF1811" s="604" t="n"/>
      <x:c r="AG1811" s="604" t="n">
        <x:v>-0.03553808297649214</x:v>
      </x:c>
      <x:c r="AH1811" s="604" t="n"/>
      <x:c r="AI1811" s="604" t="n"/>
      <x:c r="AJ1811" s="604" t="n">
        <x:v>-0.03553808297649214</x:v>
      </x:c>
      <x:c r="AK1811" s="604" t="n"/>
      <x:c r="AL1811" s="604" t="n"/>
      <x:c r="AM1811" s="604" t="n"/>
      <x:c r="AN1811" s="604" t="inlineStr">
        <x:is>
          <x:t xml:space="preserve">EVALUATED</x:t>
        </x:is>
      </x:c>
      <x:c r="AO1811" s="604" t="inlineStr">
        <x:is>
          <x:t xml:space="preserve">EDGE_BELOW_UNCERTAINTY_THRESHOLD;BUCKET_PRIOR_ONLY;INTENT_INTERPRETATION_ONLY;FFL_OPTIONAL;EXPERT_MARKET</x:t>
        </x:is>
      </x:c>
      <x:c r="AP1811" s="604" t="inlineStr">
        <x:is>
          <x:t xml:space="preserve">ce9ef3247808e0750031</x:t>
        </x:is>
      </x:c>
      <x:c r="AQ1811" s="604" t="n"/>
      <x:c r="AR1811" s="604" t="n"/>
      <x:c r="AS1811" s="604" t="n">
        <x:v>0.25</x:v>
      </x:c>
      <x:c r="AT1811" s="604" t="n">
        <x:v>-0.25</x:v>
      </x:c>
      <x:c r="AU1811" s="604" t="n">
        <x:v>1</x:v>
      </x:c>
      <x:c r="AV1811" s="604" t="n">
        <x:v>0.8</x:v>
      </x:c>
      <x:c r="AW1811" s="604" t="inlineStr">
        <x:is>
          <x:t xml:space="preserve">2026-10-09T09:01:21.127001+08:00</x:t>
        </x:is>
      </x:c>
      <x:c r="AX1811" s="604" t="inlineStr">
        <x:is>
          <x:t xml:space="preserve">Titan007/V4</x:t>
        </x:is>
      </x:c>
      <x:c r="AY1811" s="604" t="inlineStr">
        <x:is>
          <x:t xml:space="preserve">Daily append；市场输入缺失时不生成决策</x:t>
        </x:is>
      </x:c>
    </x:row>
    <x:row r="1812" ht="22" customHeight="1">
      <x:c r="A1812" s="604" t="inlineStr">
        <x:is>
          <x:t xml:space="preserve">2026-10-09</x:t>
        </x:is>
      </x:c>
      <x:c r="B1812" s="604" t="inlineStr">
        <x:is>
          <x:t xml:space="preserve">2026-10-09T21:00:00+08:00</x:t>
        </x:is>
      </x:c>
      <x:c r="C1812" s="604" t="str">
        <x:v>西亚/中亚系列</x:v>
      </x:c>
      <x:c r="D1812" s="604" t="inlineStr">
        <x:is>
          <x:t xml:space="preserve"/>
        </x:is>
      </x:c>
      <x:c r="E1812" s="604" t="inlineStr">
        <x:is>
          <x:t xml:space="preserve">阿曼联</x:t>
        </x:is>
      </x:c>
      <x:c r="F1812" s="604" t="inlineStr">
        <x:is>
          <x:t xml:space="preserve">费加亚 vs 伊卜里</x:t>
        </x:is>
      </x:c>
      <x:c r="G1812" s="604" t="n">
        <x:v>0.73</x:v>
      </x:c>
      <x:c r="H1812" s="604" t="n">
        <x:v>-0.25</x:v>
      </x:c>
      <x:c r="I1812" s="604" t="n">
        <x:v>1.03</x:v>
      </x:c>
      <x:c r="J1812" s="604" t="inlineStr">
        <x:is>
          <x:t xml:space="preserve">0.73/-0.25/1.03</x:t>
        </x:is>
      </x:c>
      <x:c r="K1812" s="604" t="inlineStr">
        <x:is>
          <x:t xml:space="preserve">V4-N</x:t>
        </x:is>
      </x:c>
      <x:c r="L1812" s="604" t="inlineStr">
        <x:is>
          <x:t xml:space="preserve"/>
        </x:is>
      </x:c>
      <x:c r="M1812" s="604" t="n">
        <x:v>0.3269505397749161</x:v>
      </x:c>
      <x:c r="N1812" s="604" t="inlineStr">
        <x:is>
          <x:t xml:space="preserve">V4 Shadow Only；real_money=false</x:t>
        </x:is>
      </x:c>
      <x:c r="O1812" s="604" t="inlineStr">
        <x:is>
          <x:t xml:space="preserve">0-0</x:t>
        </x:is>
      </x:c>
      <x:c r="P1812" s="604" t="inlineStr">
        <x:is>
          <x:t xml:space="preserve">EVALUATED</x:t>
        </x:is>
      </x:c>
      <x:c r="Q1812" s="630" t="inlineStr">
        <x:is>
          <x:t xml:space="preserve"/>
        </x:is>
      </x:c>
      <x:c r="R1812" s="604" t="n"/>
      <x:c r="S1812" s="604" t="n"/>
      <x:c r="T1812" s="604" t="inlineStr">
        <x:is>
          <x:t xml:space="preserve">D:\codex\v3_legacy\outputs\football_odds_trader\raw\titan007\20261009\20261009_085232_titan007_odds_snapshot.csv</x:t>
        </x:is>
      </x:c>
      <x:c r="U1812" s="628" t="inlineStr">
        <x:is>
          <x:t xml:space="preserve"/>
        </x:is>
      </x:c>
      <x:c r="V1812" s="604" t="inlineStr">
        <x:is>
          <x:t xml:space="preserve"/>
        </x:is>
      </x:c>
      <x:c r="W1812" s="604" t="inlineStr">
        <x:is>
          <x:t xml:space="preserve"/>
        </x:is>
      </x:c>
      <x:c r="X1812" s="604" t="inlineStr">
        <x:is>
          <x:t xml:space="preserve">3099278</x:t>
        </x:is>
      </x:c>
      <x:c r="Y1812" s="604" t="inlineStr">
        <x:is>
          <x:t xml:space="preserve">V4</x:t>
        </x:is>
      </x:c>
      <x:c r="Z1812" s="604" t="inlineStr">
        <x:is>
          <x:t xml:space="preserve">prior-2026-10-09-v1</x:t>
        </x:is>
      </x:c>
      <x:c r="AA1812" s="604" t="inlineStr">
        <x:is>
          <x:t xml:space="preserve">N</x:t>
        </x:is>
      </x:c>
      <x:c r="AB1812" s="604" t="n">
        <x:v>0.3269505397749161</x:v>
      </x:c>
      <x:c r="AC1812" s="604" t="n">
        <x:v>0.5405027202289362</x:v>
      </x:c>
      <x:c r="AD1812" s="604" t="n">
        <x:v>-0.25</x:v>
      </x:c>
      <x:c r="AE1812" s="604" t="n"/>
      <x:c r="AF1812" s="604" t="n"/>
      <x:c r="AG1812" s="604" t="n">
        <x:v>0.0676164459922074</x:v>
      </x:c>
      <x:c r="AH1812" s="604" t="n"/>
      <x:c r="AI1812" s="604" t="n"/>
      <x:c r="AJ1812" s="604" t="n">
        <x:v>0.0676164459922074</x:v>
      </x:c>
      <x:c r="AK1812" s="604" t="n"/>
      <x:c r="AL1812" s="604" t="n"/>
      <x:c r="AM1812" s="604" t="n"/>
      <x:c r="AN1812" s="604" t="inlineStr">
        <x:is>
          <x:t xml:space="preserve">EVALUATED</x:t>
        </x:is>
      </x:c>
      <x:c r="AO1812" s="604" t="inlineStr">
        <x:is>
          <x:t xml:space="preserve">LOW_QUALITY_GATE;BUCKET_PRIOR_ONLY;INTENT_INTERPRETATION_ONLY;FFL_OPTIONAL;EXPERT_MARKET</x:t>
        </x:is>
      </x:c>
      <x:c r="AP1812" s="604" t="inlineStr">
        <x:is>
          <x:t xml:space="preserve">5a79767600fd9a405b60</x:t>
        </x:is>
      </x:c>
      <x:c r="AQ1812" s="604" t="n"/>
      <x:c r="AR1812" s="604" t="n"/>
      <x:c r="AS1812" s="604" t="n">
        <x:v>-0.25</x:v>
      </x:c>
      <x:c r="AT1812" s="604" t="n">
        <x:v>0.25</x:v>
      </x:c>
      <x:c r="AU1812" s="604" t="n">
        <x:v>0.73</x:v>
      </x:c>
      <x:c r="AV1812" s="604" t="n">
        <x:v>1.03</x:v>
      </x:c>
      <x:c r="AW1812" s="604" t="inlineStr">
        <x:is>
          <x:t xml:space="preserve">2026-10-09T09:01:21.127001+08:00</x:t>
        </x:is>
      </x:c>
      <x:c r="AX1812" s="604" t="inlineStr">
        <x:is>
          <x:t xml:space="preserve">Titan007/V4</x:t>
        </x:is>
      </x:c>
      <x:c r="AY1812" s="604" t="inlineStr">
        <x:is>
          <x:t xml:space="preserve">Daily append；市场输入缺失时不生成决策</x:t>
        </x:is>
      </x:c>
    </x:row>
    <x:row r="1813" ht="22" customHeight="1">
      <x:c r="A1813" s="604" t="inlineStr">
        <x:is>
          <x:t xml:space="preserve">2026-10-09</x:t>
        </x:is>
      </x:c>
      <x:c r="B1813" s="604" t="inlineStr">
        <x:is>
          <x:t xml:space="preserve">2026-10-09T23:30:00+08:00</x:t>
        </x:is>
      </x:c>
      <x:c r="C1813" s="604" t="str">
        <x:v>西亚/中亚系列</x:v>
      </x:c>
      <x:c r="D1813" s="604" t="inlineStr">
        <x:is>
          <x:t xml:space="preserve"/>
        </x:is>
      </x:c>
      <x:c r="E1813" s="604" t="inlineStr">
        <x:is>
          <x:t xml:space="preserve">阿曼联</x:t>
        </x:is>
      </x:c>
      <x:c r="F1813" s="604" t="inlineStr">
        <x:is>
          <x:t xml:space="preserve">玛斯纳亚 vs 沙尔俱乐部</x:t>
        </x:is>
      </x:c>
      <x:c r="G1813" s="604" t="n">
        <x:v>0.85</x:v>
      </x:c>
      <x:c r="H1813" s="604" t="n">
        <x:v>-0.75</x:v>
      </x:c>
      <x:c r="I1813" s="604" t="n">
        <x:v>0.91</x:v>
      </x:c>
      <x:c r="J1813" s="604" t="inlineStr">
        <x:is>
          <x:t xml:space="preserve">0.85/-0.75/0.91</x:t>
        </x:is>
      </x:c>
      <x:c r="K1813" s="604" t="inlineStr">
        <x:is>
          <x:t xml:space="preserve">V4-N</x:t>
        </x:is>
      </x:c>
      <x:c r="L1813" s="604" t="inlineStr">
        <x:is>
          <x:t xml:space="preserve"/>
        </x:is>
      </x:c>
      <x:c r="M1813" s="604" t="n">
        <x:v>0.07473091909042461</x:v>
      </x:c>
      <x:c r="N1813" s="604" t="inlineStr">
        <x:is>
          <x:t xml:space="preserve">V4 Shadow Only；real_money=false</x:t>
        </x:is>
      </x:c>
      <x:c r="O1813" s="604" t="inlineStr">
        <x:is>
          <x:t xml:space="preserve">0-0</x:t>
        </x:is>
      </x:c>
      <x:c r="P1813" s="604" t="inlineStr">
        <x:is>
          <x:t xml:space="preserve">EVALUATED</x:t>
        </x:is>
      </x:c>
      <x:c r="Q1813" s="630" t="inlineStr">
        <x:is>
          <x:t xml:space="preserve"/>
        </x:is>
      </x:c>
      <x:c r="R1813" s="604" t="n"/>
      <x:c r="S1813" s="604" t="n"/>
      <x:c r="T1813" s="604" t="inlineStr">
        <x:is>
          <x:t xml:space="preserve">D:\codex\v3_legacy\outputs\football_odds_trader\raw\titan007\20261009\20261009_085232_titan007_odds_snapshot.csv</x:t>
        </x:is>
      </x:c>
      <x:c r="U1813" s="628" t="inlineStr">
        <x:is>
          <x:t xml:space="preserve"/>
        </x:is>
      </x:c>
      <x:c r="V1813" s="604" t="inlineStr">
        <x:is>
          <x:t xml:space="preserve"/>
        </x:is>
      </x:c>
      <x:c r="W1813" s="604" t="inlineStr">
        <x:is>
          <x:t xml:space="preserve"/>
        </x:is>
      </x:c>
      <x:c r="X1813" s="604" t="inlineStr">
        <x:is>
          <x:t xml:space="preserve">3099279</x:t>
        </x:is>
      </x:c>
      <x:c r="Y1813" s="604" t="inlineStr">
        <x:is>
          <x:t xml:space="preserve">V4</x:t>
        </x:is>
      </x:c>
      <x:c r="Z1813" s="604" t="inlineStr">
        <x:is>
          <x:t xml:space="preserve">prior-2026-10-09-v1</x:t>
        </x:is>
      </x:c>
      <x:c r="AA1813" s="604" t="inlineStr">
        <x:is>
          <x:t xml:space="preserve">N</x:t>
        </x:is>
      </x:c>
      <x:c r="AB1813" s="604" t="n">
        <x:v>0.07473091909042461</x:v>
      </x:c>
      <x:c r="AC1813" s="604" t="n">
        <x:v>0.8809545744196662</x:v>
      </x:c>
      <x:c r="AD1813" s="604" t="n">
        <x:v>-1.25</x:v>
      </x:c>
      <x:c r="AE1813" s="604" t="n"/>
      <x:c r="AF1813" s="604" t="n"/>
      <x:c r="AG1813" s="604" t="n">
        <x:v>0.6740804691662916</x:v>
      </x:c>
      <x:c r="AH1813" s="604" t="n"/>
      <x:c r="AI1813" s="604" t="n"/>
      <x:c r="AJ1813" s="604" t="n">
        <x:v>0.6740804691662916</x:v>
      </x:c>
      <x:c r="AK1813" s="604" t="n"/>
      <x:c r="AL1813" s="604" t="n"/>
      <x:c r="AM1813" s="604" t="n"/>
      <x:c r="AN1813" s="604" t="inlineStr">
        <x:is>
          <x:t xml:space="preserve">EVALUATED</x:t>
        </x:is>
      </x:c>
      <x:c r="AO1813" s="604" t="inlineStr">
        <x:is>
          <x:t xml:space="preserve">LOW_QUALITY_GATE;BUCKET_PRIOR_ONLY;INTENT_INTERPRETATION_ONLY;FFL_OPTIONAL;EXPERT_MARKET</x:t>
        </x:is>
      </x:c>
      <x:c r="AP1813" s="604" t="inlineStr">
        <x:is>
          <x:t xml:space="preserve">91937ece26cb2c196d3e</x:t>
        </x:is>
      </x:c>
      <x:c r="AQ1813" s="604" t="n"/>
      <x:c r="AR1813" s="604" t="n"/>
      <x:c r="AS1813" s="604" t="n">
        <x:v>-0.75</x:v>
      </x:c>
      <x:c r="AT1813" s="604" t="n">
        <x:v>0.75</x:v>
      </x:c>
      <x:c r="AU1813" s="604" t="n">
        <x:v>0.85</x:v>
      </x:c>
      <x:c r="AV1813" s="604" t="n">
        <x:v>0.91</x:v>
      </x:c>
      <x:c r="AW1813" s="604" t="inlineStr">
        <x:is>
          <x:t xml:space="preserve">2026-10-09T09:01:21.127001+08:00</x:t>
        </x:is>
      </x:c>
      <x:c r="AX1813" s="604" t="inlineStr">
        <x:is>
          <x:t xml:space="preserve">Titan007/V4</x:t>
        </x:is>
      </x:c>
      <x:c r="AY1813" s="604" t="inlineStr">
        <x:is>
          <x:t xml:space="preserve">Daily append；市场输入缺失时不生成决策</x:t>
        </x:is>
      </x:c>
    </x:row>
    <x:row r="1814" ht="22" customHeight="1">
      <x:c r="A1814" s="604" t="inlineStr">
        <x:is>
          <x:t xml:space="preserve">2026-10-09</x:t>
        </x:is>
      </x:c>
      <x:c r="B1814" s="604" t="inlineStr">
        <x:is>
          <x:t xml:space="preserve">2026-10-10T04:00:00+08:00</x:t>
        </x:is>
      </x:c>
      <x:c r="C1814" s="604" t="str">
        <x:v>欧洲非五大系列</x:v>
      </x:c>
      <x:c r="D1814" s="604" t="inlineStr">
        <x:is>
          <x:t xml:space="preserve"/>
        </x:is>
      </x:c>
      <x:c r="E1814" s="604" t="inlineStr">
        <x:is>
          <x:t xml:space="preserve">葡乙</x:t>
        </x:is>
      </x:c>
      <x:c r="F1814" s="604" t="inlineStr">
        <x:is>
          <x:t xml:space="preserve">桑塔雷 vs 卢西塔诺艾芙拉</x:t>
        </x:is>
      </x:c>
      <x:c r="G1814" s="604" t="n">
        <x:v>0.79</x:v>
      </x:c>
      <x:c r="H1814" s="604" t="n">
        <x:v>-0.25</x:v>
      </x:c>
      <x:c r="I1814" s="604" t="n">
        <x:v>0.91</x:v>
      </x:c>
      <x:c r="J1814" s="604" t="inlineStr">
        <x:is>
          <x:t xml:space="preserve">0.79/-0.25/0.91</x:t>
        </x:is>
      </x:c>
      <x:c r="K1814" s="604" t="inlineStr">
        <x:is>
          <x:t xml:space="preserve">V4-N</x:t>
        </x:is>
      </x:c>
      <x:c r="L1814" s="604" t="inlineStr">
        <x:is>
          <x:t xml:space="preserve"/>
        </x:is>
      </x:c>
      <x:c r="M1814" s="604" t="n">
        <x:v>0.2965117842388464</x:v>
      </x:c>
      <x:c r="N1814" s="604" t="inlineStr">
        <x:is>
          <x:t xml:space="preserve">V4 Shadow Only；real_money=false</x:t>
        </x:is>
      </x:c>
      <x:c r="O1814" s="604" t="inlineStr">
        <x:is>
          <x:t xml:space="preserve">0-0</x:t>
        </x:is>
      </x:c>
      <x:c r="P1814" s="604" t="inlineStr">
        <x:is>
          <x:t xml:space="preserve">EVALUATED</x:t>
        </x:is>
      </x:c>
      <x:c r="Q1814" s="630" t="inlineStr">
        <x:is>
          <x:t xml:space="preserve"/>
        </x:is>
      </x:c>
      <x:c r="R1814" s="604" t="n"/>
      <x:c r="S1814" s="604" t="n"/>
      <x:c r="T1814" s="604" t="inlineStr">
        <x:is>
          <x:t xml:space="preserve">D:\codex\v3_legacy\outputs\football_odds_trader\raw\titan007\20261009\20261009_085232_titan007_odds_snapshot.csv</x:t>
        </x:is>
      </x:c>
      <x:c r="U1814" s="628" t="inlineStr">
        <x:is>
          <x:t xml:space="preserve"/>
        </x:is>
      </x:c>
      <x:c r="V1814" s="604" t="inlineStr">
        <x:is>
          <x:t xml:space="preserve"/>
        </x:is>
      </x:c>
      <x:c r="W1814" s="604" t="inlineStr">
        <x:is>
          <x:t xml:space="preserve"/>
        </x:is>
      </x:c>
      <x:c r="X1814" s="604" t="inlineStr">
        <x:is>
          <x:t xml:space="preserve">3099407</x:t>
        </x:is>
      </x:c>
      <x:c r="Y1814" s="604" t="inlineStr">
        <x:is>
          <x:t xml:space="preserve">V4</x:t>
        </x:is>
      </x:c>
      <x:c r="Z1814" s="604" t="inlineStr">
        <x:is>
          <x:t xml:space="preserve">prior-2026-10-09-v1</x:t>
        </x:is>
      </x:c>
      <x:c r="AA1814" s="604" t="inlineStr">
        <x:is>
          <x:t xml:space="preserve">N</x:t>
        </x:is>
      </x:c>
      <x:c r="AB1814" s="604" t="n">
        <x:v>0.2965117842388464</x:v>
      </x:c>
      <x:c r="AC1814" s="604" t="n">
        <x:v>0.5725706784185859</x:v>
      </x:c>
      <x:c r="AD1814" s="604" t="n">
        <x:v>-0.25</x:v>
      </x:c>
      <x:c r="AE1814" s="604" t="n"/>
      <x:c r="AF1814" s="604" t="n"/>
      <x:c r="AG1814" s="604" t="n">
        <x:v>0.1558190517118364</x:v>
      </x:c>
      <x:c r="AH1814" s="604" t="n"/>
      <x:c r="AI1814" s="604" t="n"/>
      <x:c r="AJ1814" s="604" t="n">
        <x:v>0.1558190517118364</x:v>
      </x:c>
      <x:c r="AK1814" s="604" t="n"/>
      <x:c r="AL1814" s="604" t="n"/>
      <x:c r="AM1814" s="604" t="n"/>
      <x:c r="AN1814" s="604" t="inlineStr">
        <x:is>
          <x:t xml:space="preserve">EVALUATED</x:t>
        </x:is>
      </x:c>
      <x:c r="AO1814" s="604" t="inlineStr">
        <x:is>
          <x:t xml:space="preserve">LOW_QUALITY_GATE;BUCKET_PRIOR_ONLY;INTENT_INTERPRETATION_ONLY;FFL_OPTIONAL;EXPERT_MARKET</x:t>
        </x:is>
      </x:c>
      <x:c r="AP1814" s="604" t="inlineStr">
        <x:is>
          <x:t xml:space="preserve">e00159afa51949c71f72</x:t>
        </x:is>
      </x:c>
      <x:c r="AQ1814" s="604" t="n"/>
      <x:c r="AR1814" s="604" t="n"/>
      <x:c r="AS1814" s="604" t="n">
        <x:v>-0.25</x:v>
      </x:c>
      <x:c r="AT1814" s="604" t="n">
        <x:v>0.25</x:v>
      </x:c>
      <x:c r="AU1814" s="604" t="n">
        <x:v>0.79</x:v>
      </x:c>
      <x:c r="AV1814" s="604" t="n">
        <x:v>0.91</x:v>
      </x:c>
      <x:c r="AW1814" s="604" t="inlineStr">
        <x:is>
          <x:t xml:space="preserve">2026-10-09T09:01:21.127001+08:00</x:t>
        </x:is>
      </x:c>
      <x:c r="AX1814" s="604" t="inlineStr">
        <x:is>
          <x:t xml:space="preserve">Titan007/V4</x:t>
        </x:is>
      </x:c>
      <x:c r="AY1814" s="604" t="inlineStr">
        <x:is>
          <x:t xml:space="preserve">Daily append；市场输入缺失时不生成决策</x:t>
        </x:is>
      </x:c>
    </x:row>
    <x:row r="1815" ht="22" customHeight="1">
      <x:c r="A1815" s="604" t="inlineStr">
        <x:is>
          <x:t xml:space="preserve">2026-10-09</x:t>
        </x:is>
      </x:c>
      <x:c r="B1815" s="604" t="inlineStr">
        <x:is>
          <x:t xml:space="preserve">2026-10-10T10:00:00+08:00</x:t>
        </x:is>
      </x:c>
      <x:c r="C1815" s="604" t="str">
        <x:v>北美系列</x:v>
      </x:c>
      <x:c r="D1815" s="604" t="inlineStr">
        <x:is>
          <x:t xml:space="preserve"/>
        </x:is>
      </x:c>
      <x:c r="E1815" s="604" t="inlineStr">
        <x:is>
          <x:t xml:space="preserve">哥斯乙</x:t>
        </x:is>
      </x:c>
      <x:c r="F1815" s="604" t="inlineStr">
        <x:is>
          <x:t xml:space="preserve">肯梅利塔 vs 瓜达卢普</x:t>
        </x:is>
      </x:c>
      <x:c r="G1815" s="604" t="n">
        <x:v>0.83</x:v>
      </x:c>
      <x:c r="H1815" s="604" t="n">
        <x:v>0.5</x:v>
      </x:c>
      <x:c r="I1815" s="604" t="n">
        <x:v>0.98</x:v>
      </x:c>
      <x:c r="J1815" s="604" t="inlineStr">
        <x:is>
          <x:t xml:space="preserve">0.83/0.5/0.98</x:t>
        </x:is>
      </x:c>
      <x:c r="K1815" s="604" t="inlineStr">
        <x:is>
          <x:t xml:space="preserve">V4-N</x:t>
        </x:is>
      </x:c>
      <x:c r="L1815" s="604" t="inlineStr">
        <x:is>
          <x:t xml:space="preserve"/>
        </x:is>
      </x:c>
      <x:c r="M1815" s="604" t="n">
        <x:v>0.5845082662242214</x:v>
      </x:c>
      <x:c r="N1815" s="604" t="inlineStr">
        <x:is>
          <x:t xml:space="preserve">V4 Shadow Only；real_money=false</x:t>
        </x:is>
      </x:c>
      <x:c r="O1815" s="604" t="inlineStr">
        <x:is>
          <x:t xml:space="preserve">0-0</x:t>
        </x:is>
      </x:c>
      <x:c r="P1815" s="604" t="inlineStr">
        <x:is>
          <x:t xml:space="preserve">EVALUATED</x:t>
        </x:is>
      </x:c>
      <x:c r="Q1815" s="630" t="inlineStr">
        <x:is>
          <x:t xml:space="preserve"/>
        </x:is>
      </x:c>
      <x:c r="R1815" s="604" t="n"/>
      <x:c r="S1815" s="604" t="n"/>
      <x:c r="T1815" s="604" t="inlineStr">
        <x:is>
          <x:t xml:space="preserve">D:\codex\v3_legacy\outputs\football_odds_trader\raw\titan007\20261009\20261009_085232_titan007_odds_snapshot.csv</x:t>
        </x:is>
      </x:c>
      <x:c r="U1815" s="628" t="inlineStr">
        <x:is>
          <x:t xml:space="preserve"/>
        </x:is>
      </x:c>
      <x:c r="V1815" s="604" t="inlineStr">
        <x:is>
          <x:t xml:space="preserve"/>
        </x:is>
      </x:c>
      <x:c r="W1815" s="604" t="inlineStr">
        <x:is>
          <x:t xml:space="preserve"/>
        </x:is>
      </x:c>
      <x:c r="X1815" s="604" t="inlineStr">
        <x:is>
          <x:t xml:space="preserve">3099413</x:t>
        </x:is>
      </x:c>
      <x:c r="Y1815" s="604" t="inlineStr">
        <x:is>
          <x:t xml:space="preserve">V4</x:t>
        </x:is>
      </x:c>
      <x:c r="Z1815" s="604" t="inlineStr">
        <x:is>
          <x:t xml:space="preserve">prior-2026-10-09-v1</x:t>
        </x:is>
      </x:c>
      <x:c r="AA1815" s="604" t="inlineStr">
        <x:is>
          <x:t xml:space="preserve">N</x:t>
        </x:is>
      </x:c>
      <x:c r="AB1815" s="604" t="n">
        <x:v>0.5845082662242214</x:v>
      </x:c>
      <x:c r="AC1815" s="604" t="n">
        <x:v>0.4154917337757786</x:v>
      </x:c>
      <x:c r="AD1815" s="604" t="n">
        <x:v>1</x:v>
      </x:c>
      <x:c r="AE1815" s="604" t="n"/>
      <x:c r="AF1815" s="604" t="n"/>
      <x:c r="AG1815" s="604" t="n">
        <x:v>0.0696501271903251</x:v>
      </x:c>
      <x:c r="AH1815" s="604" t="n"/>
      <x:c r="AI1815" s="604" t="n"/>
      <x:c r="AJ1815" s="604" t="n">
        <x:v>0.0696501271903251</x:v>
      </x:c>
      <x:c r="AK1815" s="604" t="n"/>
      <x:c r="AL1815" s="604" t="n"/>
      <x:c r="AM1815" s="604" t="n"/>
      <x:c r="AN1815" s="604" t="inlineStr">
        <x:is>
          <x:t xml:space="preserve">EVALUATED</x:t>
        </x:is>
      </x:c>
      <x:c r="AO1815" s="604" t="inlineStr">
        <x:is>
          <x:t xml:space="preserve">LOW_QUALITY_GATE;BUCKET_PRIOR_ONLY;INTENT_INTERPRETATION_ONLY;FFL_OPTIONAL;EXPERT_MARKET</x:t>
        </x:is>
      </x:c>
      <x:c r="AP1815" s="604" t="inlineStr">
        <x:is>
          <x:t xml:space="preserve">042062a4c71d3b06198f</x:t>
        </x:is>
      </x:c>
      <x:c r="AQ1815" s="604" t="n"/>
      <x:c r="AR1815" s="604" t="n"/>
      <x:c r="AS1815" s="604" t="n">
        <x:v>0.5</x:v>
      </x:c>
      <x:c r="AT1815" s="604" t="n">
        <x:v>-0.5</x:v>
      </x:c>
      <x:c r="AU1815" s="604" t="n">
        <x:v>0.83</x:v>
      </x:c>
      <x:c r="AV1815" s="604" t="n">
        <x:v>0.98</x:v>
      </x:c>
      <x:c r="AW1815" s="604" t="inlineStr">
        <x:is>
          <x:t xml:space="preserve">2026-10-09T09:01:21.127001+08:00</x:t>
        </x:is>
      </x:c>
      <x:c r="AX1815" s="604" t="inlineStr">
        <x:is>
          <x:t xml:space="preserve">Titan007/V4</x:t>
        </x:is>
      </x:c>
      <x:c r="AY1815" s="604" t="inlineStr">
        <x:is>
          <x:t xml:space="preserve">Daily append；市场输入缺失时不生成决策</x:t>
        </x:is>
      </x:c>
    </x:row>
    <x:row r="1816" ht="22" customHeight="1">
      <x:c r="A1816" s="604" t="inlineStr">
        <x:is>
          <x:t xml:space="preserve">2026-10-09</x:t>
        </x:is>
      </x:c>
      <x:c r="B1816" s="604" t="inlineStr">
        <x:is>
          <x:t xml:space="preserve">2026-10-09T20:00:00+08:00</x:t>
        </x:is>
      </x:c>
      <x:c r="C1816" s="604" t="str">
        <x:v>欧洲非五大系列</x:v>
      </x:c>
      <x:c r="D1816" s="604" t="inlineStr">
        <x:is>
          <x:t xml:space="preserve"/>
        </x:is>
      </x:c>
      <x:c r="E1816" s="604" t="inlineStr">
        <x:is>
          <x:t xml:space="preserve">土U19联</x:t>
        </x:is>
      </x:c>
      <x:c r="F1816" s="604" t="inlineStr">
        <x:is>
          <x:t xml:space="preserve">加拉塔沙雷U19 vs 卡斯帕萨U19</x:t>
        </x:is>
      </x:c>
      <x:c r="G1816" s="604" t="n">
        <x:v>0.83</x:v>
      </x:c>
      <x:c r="H1816" s="604" t="n">
        <x:v>1.5</x:v>
      </x:c>
      <x:c r="I1816" s="604" t="n">
        <x:v>0.98</x:v>
      </x:c>
      <x:c r="J1816" s="604" t="inlineStr">
        <x:is>
          <x:t xml:space="preserve">0.83/1.5/0.98</x:t>
        </x:is>
      </x:c>
      <x:c r="K1816" s="604" t="inlineStr">
        <x:is>
          <x:t xml:space="preserve">V4-N</x:t>
        </x:is>
      </x:c>
      <x:c r="L1816" s="604" t="inlineStr">
        <x:is>
          <x:t xml:space="preserve"/>
        </x:is>
      </x:c>
      <x:c r="M1816" s="604" t="n">
        <x:v>0.6265462200333954</x:v>
      </x:c>
      <x:c r="N1816" s="604" t="inlineStr">
        <x:is>
          <x:t xml:space="preserve">V4 Shadow Only；real_money=false</x:t>
        </x:is>
      </x:c>
      <x:c r="O1816" s="604" t="inlineStr">
        <x:is>
          <x:t xml:space="preserve">0-0</x:t>
        </x:is>
      </x:c>
      <x:c r="P1816" s="604" t="inlineStr">
        <x:is>
          <x:t xml:space="preserve">EVALUATED</x:t>
        </x:is>
      </x:c>
      <x:c r="Q1816" s="630" t="inlineStr">
        <x:is>
          <x:t xml:space="preserve"/>
        </x:is>
      </x:c>
      <x:c r="R1816" s="604" t="n"/>
      <x:c r="S1816" s="604" t="n"/>
      <x:c r="T1816" s="604" t="inlineStr">
        <x:is>
          <x:t xml:space="preserve">D:\codex\v3_legacy\outputs\football_odds_trader\raw\titan007\20261009\20261009_085232_titan007_odds_snapshot.csv</x:t>
        </x:is>
      </x:c>
      <x:c r="U1816" s="628" t="inlineStr">
        <x:is>
          <x:t xml:space="preserve"/>
        </x:is>
      </x:c>
      <x:c r="V1816" s="604" t="inlineStr">
        <x:is>
          <x:t xml:space="preserve"/>
        </x:is>
      </x:c>
      <x:c r="W1816" s="604" t="inlineStr">
        <x:is>
          <x:t xml:space="preserve"/>
        </x:is>
      </x:c>
      <x:c r="X1816" s="604" t="inlineStr">
        <x:is>
          <x:t xml:space="preserve">3099574</x:t>
        </x:is>
      </x:c>
      <x:c r="Y1816" s="604" t="inlineStr">
        <x:is>
          <x:t xml:space="preserve">V4</x:t>
        </x:is>
      </x:c>
      <x:c r="Z1816" s="604" t="inlineStr">
        <x:is>
          <x:t xml:space="preserve">prior-2026-10-09-v1</x:t>
        </x:is>
      </x:c>
      <x:c r="AA1816" s="604" t="inlineStr">
        <x:is>
          <x:t xml:space="preserve">N</x:t>
        </x:is>
      </x:c>
      <x:c r="AB1816" s="604" t="n">
        <x:v>0.6265462200333954</x:v>
      </x:c>
      <x:c r="AC1816" s="604" t="n">
        <x:v>0.3734537799666046</x:v>
      </x:c>
      <x:c r="AD1816" s="604" t="n">
        <x:v>2.25</x:v>
      </x:c>
      <x:c r="AE1816" s="604" t="n"/>
      <x:c r="AF1816" s="604" t="n"/>
      <x:c r="AG1816" s="604" t="n">
        <x:v>0.1465795826611135</x:v>
      </x:c>
      <x:c r="AH1816" s="604" t="n"/>
      <x:c r="AI1816" s="604" t="n"/>
      <x:c r="AJ1816" s="604" t="n">
        <x:v>0.1465795826611135</x:v>
      </x:c>
      <x:c r="AK1816" s="604" t="n"/>
      <x:c r="AL1816" s="604" t="n"/>
      <x:c r="AM1816" s="604" t="n"/>
      <x:c r="AN1816" s="604" t="inlineStr">
        <x:is>
          <x:t xml:space="preserve">EVALUATED</x:t>
        </x:is>
      </x:c>
      <x:c r="AO1816" s="604" t="inlineStr">
        <x:is>
          <x:t xml:space="preserve">LOW_QUALITY_GATE;BUCKET_PRIOR_ONLY;INTENT_INTERPRETATION_ONLY;FFL_OPTIONAL;EXPERT_MARKET</x:t>
        </x:is>
      </x:c>
      <x:c r="AP1816" s="604" t="inlineStr">
        <x:is>
          <x:t xml:space="preserve">fad95040fa9d2446ae0a</x:t>
        </x:is>
      </x:c>
      <x:c r="AQ1816" s="604" t="n"/>
      <x:c r="AR1816" s="604" t="n"/>
      <x:c r="AS1816" s="604" t="n">
        <x:v>1.5</x:v>
      </x:c>
      <x:c r="AT1816" s="604" t="n">
        <x:v>-1.5</x:v>
      </x:c>
      <x:c r="AU1816" s="604" t="n">
        <x:v>0.83</x:v>
      </x:c>
      <x:c r="AV1816" s="604" t="n">
        <x:v>0.98</x:v>
      </x:c>
      <x:c r="AW1816" s="604" t="inlineStr">
        <x:is>
          <x:t xml:space="preserve">2026-10-09T09:01:21.127001+08:00</x:t>
        </x:is>
      </x:c>
      <x:c r="AX1816" s="604" t="inlineStr">
        <x:is>
          <x:t xml:space="preserve">Titan007/V4</x:t>
        </x:is>
      </x:c>
      <x:c r="AY1816" s="604" t="inlineStr">
        <x:is>
          <x:t xml:space="preserve">Daily append；市场输入缺失时不生成决策</x:t>
        </x:is>
      </x:c>
    </x:row>
    <x:row r="1817" ht="22" customHeight="1">
      <x:c r="A1817" s="604" t="inlineStr">
        <x:is>
          <x:t xml:space="preserve">2026-10-09</x:t>
        </x:is>
      </x:c>
      <x:c r="B1817" s="604" t="inlineStr">
        <x:is>
          <x:t xml:space="preserve">2026-10-10T09:00:00+08:00</x:t>
        </x:is>
      </x:c>
      <x:c r="C1817" s="604" t="str">
        <x:v>南美系列</x:v>
      </x:c>
      <x:c r="D1817" s="604" t="inlineStr">
        <x:is>
          <x:t xml:space="preserve"/>
        </x:is>
      </x:c>
      <x:c r="E1817" s="604" t="inlineStr">
        <x:is>
          <x:t xml:space="preserve">阿根业余锦</x:t>
        </x:is>
      </x:c>
      <x:c r="F1817" s="604" t="inlineStr">
        <x:is>
          <x:t xml:space="preserve">安托尼亚那青年 vs 拉斯禾拉斯飓风</x:t>
        </x:is>
      </x:c>
      <x:c r="G1817" s="604" t="n">
        <x:v>0.98</x:v>
      </x:c>
      <x:c r="H1817" s="604" t="n">
        <x:v>0.5</x:v>
      </x:c>
      <x:c r="I1817" s="604" t="n">
        <x:v>0.83</x:v>
      </x:c>
      <x:c r="J1817" s="604" t="inlineStr">
        <x:is>
          <x:t xml:space="preserve">0.98/0.5/0.83</x:t>
        </x:is>
      </x:c>
      <x:c r="K1817" s="604" t="inlineStr">
        <x:is>
          <x:t xml:space="preserve">V4-N</x:t>
        </x:is>
      </x:c>
      <x:c r="L1817" s="604" t="inlineStr">
        <x:is>
          <x:t xml:space="preserve"/>
        </x:is>
      </x:c>
      <x:c r="M1817" s="604" t="n">
        <x:v>0.6224646179621526</x:v>
      </x:c>
      <x:c r="N1817" s="604" t="inlineStr">
        <x:is>
          <x:t xml:space="preserve">V4 Shadow Only；real_money=false</x:t>
        </x:is>
      </x:c>
      <x:c r="O1817" s="604" t="inlineStr">
        <x:is>
          <x:t xml:space="preserve">0-0</x:t>
        </x:is>
      </x:c>
      <x:c r="P1817" s="604" t="inlineStr">
        <x:is>
          <x:t xml:space="preserve">EVALUATED</x:t>
        </x:is>
      </x:c>
      <x:c r="Q1817" s="630" t="inlineStr">
        <x:is>
          <x:t xml:space="preserve"/>
        </x:is>
      </x:c>
      <x:c r="R1817" s="604" t="n"/>
      <x:c r="S1817" s="604" t="n"/>
      <x:c r="T1817" s="604" t="inlineStr">
        <x:is>
          <x:t xml:space="preserve">D:\codex\v3_legacy\outputs\football_odds_trader\raw\titan007\20261009\20261009_085232_titan007_odds_snapshot.csv</x:t>
        </x:is>
      </x:c>
      <x:c r="U1817" s="628" t="inlineStr">
        <x:is>
          <x:t xml:space="preserve"/>
        </x:is>
      </x:c>
      <x:c r="V1817" s="604" t="inlineStr">
        <x:is>
          <x:t xml:space="preserve"/>
        </x:is>
      </x:c>
      <x:c r="W1817" s="604" t="inlineStr">
        <x:is>
          <x:t xml:space="preserve"/>
        </x:is>
      </x:c>
      <x:c r="X1817" s="604" t="inlineStr">
        <x:is>
          <x:t xml:space="preserve">3099581</x:t>
        </x:is>
      </x:c>
      <x:c r="Y1817" s="604" t="inlineStr">
        <x:is>
          <x:t xml:space="preserve">V4</x:t>
        </x:is>
      </x:c>
      <x:c r="Z1817" s="604" t="inlineStr">
        <x:is>
          <x:t xml:space="preserve">prior-2026-10-09-v1</x:t>
        </x:is>
      </x:c>
      <x:c r="AA1817" s="604" t="inlineStr">
        <x:is>
          <x:t xml:space="preserve">N</x:t>
        </x:is>
      </x:c>
      <x:c r="AB1817" s="604" t="n">
        <x:v>0.6224646179621526</x:v>
      </x:c>
      <x:c r="AC1817" s="604" t="n">
        <x:v>0.3775353820378474</x:v>
      </x:c>
      <x:c r="AD1817" s="604" t="n">
        <x:v>1</x:v>
      </x:c>
      <x:c r="AE1817" s="604" t="n"/>
      <x:c r="AF1817" s="604" t="n"/>
      <x:c r="AG1817" s="604" t="n">
        <x:v>0.2324799435650621</x:v>
      </x:c>
      <x:c r="AH1817" s="604" t="n"/>
      <x:c r="AI1817" s="604" t="n"/>
      <x:c r="AJ1817" s="604" t="n">
        <x:v>0.2324799435650621</x:v>
      </x:c>
      <x:c r="AK1817" s="604" t="n"/>
      <x:c r="AL1817" s="604" t="n"/>
      <x:c r="AM1817" s="604" t="n"/>
      <x:c r="AN1817" s="604" t="inlineStr">
        <x:is>
          <x:t xml:space="preserve">EVALUATED</x:t>
        </x:is>
      </x:c>
      <x:c r="AO1817" s="604" t="inlineStr">
        <x:is>
          <x:t xml:space="preserve">LOW_QUALITY_GATE;BUCKET_PRIOR_ONLY;INTENT_INTERPRETATION_ONLY;FFL_OPTIONAL;EXPERT_MARKET</x:t>
        </x:is>
      </x:c>
      <x:c r="AP1817" s="604" t="inlineStr">
        <x:is>
          <x:t xml:space="preserve">658094db7d53bfda4411</x:t>
        </x:is>
      </x:c>
      <x:c r="AQ1817" s="604" t="n"/>
      <x:c r="AR1817" s="604" t="n"/>
      <x:c r="AS1817" s="604" t="n">
        <x:v>0.5</x:v>
      </x:c>
      <x:c r="AT1817" s="604" t="n">
        <x:v>-0.5</x:v>
      </x:c>
      <x:c r="AU1817" s="604" t="n">
        <x:v>0.98</x:v>
      </x:c>
      <x:c r="AV1817" s="604" t="n">
        <x:v>0.83</x:v>
      </x:c>
      <x:c r="AW1817" s="604" t="inlineStr">
        <x:is>
          <x:t xml:space="preserve">2026-10-09T09:01:21.127001+08:00</x:t>
        </x:is>
      </x:c>
      <x:c r="AX1817" s="604" t="inlineStr">
        <x:is>
          <x:t xml:space="preserve">Titan007/V4</x:t>
        </x:is>
      </x:c>
      <x:c r="AY1817" s="604" t="inlineStr">
        <x:is>
          <x:t xml:space="preserve">Daily append；市场输入缺失时不生成决策</x:t>
        </x:is>
      </x:c>
    </x:row>
    <x:row r="1818" ht="22" customHeight="1">
      <x:c r="A1818" s="604" t="inlineStr">
        <x:is>
          <x:t xml:space="preserve">2026-10-09</x:t>
        </x:is>
      </x:c>
      <x:c r="B1818" s="604" t="inlineStr">
        <x:is>
          <x:t xml:space="preserve">2026-10-10T03:00:00+08:00</x:t>
        </x:is>
      </x:c>
      <x:c r="C1818" s="604" t="str">
        <x:v>南美系列</x:v>
      </x:c>
      <x:c r="D1818" s="604" t="inlineStr">
        <x:is>
          <x:t xml:space="preserve"/>
        </x:is>
      </x:c>
      <x:c r="E1818" s="604" t="inlineStr">
        <x:is>
          <x:t xml:space="preserve">阿根业余锦</x:t>
        </x:is>
      </x:c>
      <x:c r="F1818" s="604" t="inlineStr">
        <x:is>
          <x:t xml:space="preserve">圣马丁门多萨 vs 蒙特米亚斯</x:t>
        </x:is>
      </x:c>
      <x:c r="G1818" s="604" t="n">
        <x:v>0.73</x:v>
      </x:c>
      <x:c r="H1818" s="604" t="n">
        <x:v>0.5</x:v>
      </x:c>
      <x:c r="I1818" s="604" t="n">
        <x:v>1.01</x:v>
      </x:c>
      <x:c r="J1818" s="604" t="inlineStr">
        <x:is>
          <x:t xml:space="preserve">0.73/0.5/1.01</x:t>
        </x:is>
      </x:c>
      <x:c r="K1818" s="604" t="inlineStr">
        <x:is>
          <x:t xml:space="preserve">V4-N</x:t>
        </x:is>
      </x:c>
      <x:c r="L1818" s="604" t="inlineStr">
        <x:is>
          <x:t xml:space="preserve"/>
        </x:is>
      </x:c>
      <x:c r="M1818" s="604" t="n">
        <x:v>0.6511844381933003</x:v>
      </x:c>
      <x:c r="N1818" s="604" t="inlineStr">
        <x:is>
          <x:t xml:space="preserve">V4 Shadow Only；real_money=false</x:t>
        </x:is>
      </x:c>
      <x:c r="O1818" s="604" t="inlineStr">
        <x:is>
          <x:t xml:space="preserve">0-0</x:t>
        </x:is>
      </x:c>
      <x:c r="P1818" s="604" t="inlineStr">
        <x:is>
          <x:t xml:space="preserve">EVALUATED</x:t>
        </x:is>
      </x:c>
      <x:c r="Q1818" s="630" t="inlineStr">
        <x:is>
          <x:t xml:space="preserve"/>
        </x:is>
      </x:c>
      <x:c r="R1818" s="604" t="n"/>
      <x:c r="S1818" s="604" t="n"/>
      <x:c r="T1818" s="604" t="inlineStr">
        <x:is>
          <x:t xml:space="preserve">D:\codex\v3_legacy\outputs\football_odds_trader\raw\titan007\20261009\20261009_085232_titan007_odds_snapshot.csv</x:t>
        </x:is>
      </x:c>
      <x:c r="U1818" s="628" t="inlineStr">
        <x:is>
          <x:t xml:space="preserve"/>
        </x:is>
      </x:c>
      <x:c r="V1818" s="604" t="inlineStr">
        <x:is>
          <x:t xml:space="preserve"/>
        </x:is>
      </x:c>
      <x:c r="W1818" s="604" t="inlineStr">
        <x:is>
          <x:t xml:space="preserve"/>
        </x:is>
      </x:c>
      <x:c r="X1818" s="604" t="inlineStr">
        <x:is>
          <x:t xml:space="preserve">3099585</x:t>
        </x:is>
      </x:c>
      <x:c r="Y1818" s="604" t="inlineStr">
        <x:is>
          <x:t xml:space="preserve">V4</x:t>
        </x:is>
      </x:c>
      <x:c r="Z1818" s="604" t="inlineStr">
        <x:is>
          <x:t xml:space="preserve">prior-2026-10-09-v1</x:t>
        </x:is>
      </x:c>
      <x:c r="AA1818" s="604" t="inlineStr">
        <x:is>
          <x:t xml:space="preserve">N</x:t>
        </x:is>
      </x:c>
      <x:c r="AB1818" s="604" t="n">
        <x:v>0.6511844381933003</x:v>
      </x:c>
      <x:c r="AC1818" s="604" t="n">
        <x:v>0.3488155618066998</x:v>
      </x:c>
      <x:c r="AD1818" s="604" t="n">
        <x:v>1.25</x:v>
      </x:c>
      <x:c r="AE1818" s="604" t="n"/>
      <x:c r="AF1818" s="604" t="n"/>
      <x:c r="AG1818" s="604" t="n">
        <x:v>0.1265490780744095</x:v>
      </x:c>
      <x:c r="AH1818" s="604" t="n"/>
      <x:c r="AI1818" s="604" t="n"/>
      <x:c r="AJ1818" s="604" t="n">
        <x:v>0.1265490780744095</x:v>
      </x:c>
      <x:c r="AK1818" s="604" t="n"/>
      <x:c r="AL1818" s="604" t="n"/>
      <x:c r="AM1818" s="604" t="n"/>
      <x:c r="AN1818" s="604" t="inlineStr">
        <x:is>
          <x:t xml:space="preserve">EVALUATED</x:t>
        </x:is>
      </x:c>
      <x:c r="AO1818" s="604" t="inlineStr">
        <x:is>
          <x:t xml:space="preserve">LOW_QUALITY_GATE;BUCKET_PRIOR_ONLY;INTENT_INTERPRETATION_ONLY;FFL_OPTIONAL;EXPERT_MARKET</x:t>
        </x:is>
      </x:c>
      <x:c r="AP1818" s="604" t="inlineStr">
        <x:is>
          <x:t xml:space="preserve">775d59999580f2ca1ea9</x:t>
        </x:is>
      </x:c>
      <x:c r="AQ1818" s="604" t="n"/>
      <x:c r="AR1818" s="604" t="n"/>
      <x:c r="AS1818" s="604" t="n">
        <x:v>0.5</x:v>
      </x:c>
      <x:c r="AT1818" s="604" t="n">
        <x:v>-0.5</x:v>
      </x:c>
      <x:c r="AU1818" s="604" t="n">
        <x:v>0.73</x:v>
      </x:c>
      <x:c r="AV1818" s="604" t="n">
        <x:v>1.01</x:v>
      </x:c>
      <x:c r="AW1818" s="604" t="inlineStr">
        <x:is>
          <x:t xml:space="preserve">2026-10-09T09:01:21.127001+08:00</x:t>
        </x:is>
      </x:c>
      <x:c r="AX1818" s="604" t="inlineStr">
        <x:is>
          <x:t xml:space="preserve">Titan007/V4</x:t>
        </x:is>
      </x:c>
      <x:c r="AY1818" s="604" t="inlineStr">
        <x:is>
          <x:t xml:space="preserve">Daily append；市场输入缺失时不生成决策</x:t>
        </x:is>
      </x:c>
    </x:row>
    <x:row r="1819" ht="22" customHeight="1">
      <x:c r="A1819" s="604" t="inlineStr">
        <x:is>
          <x:t xml:space="preserve">2026-10-09</x:t>
        </x:is>
      </x:c>
      <x:c r="B1819" s="604" t="inlineStr">
        <x:is>
          <x:t xml:space="preserve">2026-10-09T22:00:00+08:00</x:t>
        </x:is>
      </x:c>
      <x:c r="C1819" s="604" t="str">
        <x:v>其他系列</x:v>
      </x:c>
      <x:c r="D1819" s="604" t="inlineStr">
        <x:is>
          <x:t xml:space="preserve"/>
        </x:is>
      </x:c>
      <x:c r="E1819" s="604" t="inlineStr">
        <x:is>
          <x:t xml:space="preserve">国际友谊</x:t>
        </x:is>
      </x:c>
      <x:c r="F1819" s="604" t="inlineStr">
        <x:is>
          <x:t xml:space="preserve">威尔士女足U19 vs 希腊女足U19</x:t>
        </x:is>
      </x:c>
      <x:c r="G1819" s="604" t="n"/>
      <x:c r="H1819" s="604" t="n"/>
      <x:c r="I1819" s="604" t="n"/>
      <x:c r="J1819" s="604" t="inlineStr">
        <x:is>
          <x:t xml:space="preserve">//</x:t>
        </x:is>
      </x:c>
      <x:c r="K1819" s="604" t="inlineStr">
        <x:is>
          <x:t xml:space="preserve">V4不可用：市场输入缺失</x:t>
        </x:is>
      </x:c>
      <x:c r="L1819" s="604" t="inlineStr">
        <x:is>
          <x:t xml:space="preserve"/>
        </x:is>
      </x:c>
      <x:c r="M1819" s="604" t="n"/>
      <x:c r="N1819" s="604" t="inlineStr">
        <x:is>
          <x:t xml:space="preserve">V4 Shadow Only；real_money=false</x:t>
        </x:is>
      </x:c>
      <x:c r="O1819" s="604" t="inlineStr">
        <x:is>
          <x:t xml:space="preserve">0-0</x:t>
        </x:is>
      </x:c>
      <x:c r="P1819" s="604" t="inlineStr">
        <x:is>
          <x:t xml:space="preserve">MISSING_DATA</x:t>
        </x:is>
      </x:c>
      <x:c r="Q1819" s="630" t="inlineStr">
        <x:is>
          <x:t xml:space="preserve"/>
        </x:is>
      </x:c>
      <x:c r="R1819" s="604" t="n"/>
      <x:c r="S1819" s="604" t="n"/>
      <x:c r="T1819" s="604" t="inlineStr">
        <x:is>
          <x:t xml:space="preserve">D:\codex\v3_legacy\outputs\football_odds_trader\raw\titan007\20261009\20261009_085232_titan007_odds_snapshot.csv</x:t>
        </x:is>
      </x:c>
      <x:c r="U1819" s="628" t="inlineStr">
        <x:is>
          <x:t xml:space="preserve"/>
        </x:is>
      </x:c>
      <x:c r="V1819" s="604" t="inlineStr">
        <x:is>
          <x:t xml:space="preserve"/>
        </x:is>
      </x:c>
      <x:c r="W1819" s="604" t="inlineStr">
        <x:is>
          <x:t xml:space="preserve"/>
        </x:is>
      </x:c>
      <x:c r="X1819" s="604" t="inlineStr">
        <x:is>
          <x:t xml:space="preserve">3099949</x:t>
        </x:is>
      </x:c>
      <x:c r="Y1819" s="604" t="inlineStr">
        <x:is>
          <x:t xml:space="preserve">V4</x:t>
        </x:is>
      </x:c>
      <x:c r="Z1819" s="604" t="inlineStr">
        <x:is>
          <x:t xml:space="preserve">prior-2026-10-09-v1</x:t>
        </x:is>
      </x:c>
      <x:c r="AA1819" s="604" t="inlineStr">
        <x:is>
          <x:t xml:space="preserve"/>
        </x:is>
      </x:c>
      <x:c r="AB1819" s="604" t="n"/>
      <x:c r="AC1819" s="604" t="n"/>
      <x:c r="AD1819" s="604" t="n"/>
      <x:c r="AE1819" s="604" t="n"/>
      <x:c r="AF1819" s="604" t="n"/>
      <x:c r="AG1819" s="604" t="n"/>
      <x:c r="AH1819" s="604" t="n"/>
      <x:c r="AI1819" s="604" t="n"/>
      <x:c r="AJ1819" s="604" t="n"/>
      <x:c r="AK1819" s="604" t="n"/>
      <x:c r="AL1819" s="604" t="n"/>
      <x:c r="AM1819" s="604" t="n"/>
      <x:c r="AN1819" s="604" t="inlineStr">
        <x:is>
          <x:t xml:space="preserve">MISSING_DATA</x:t>
        </x:is>
      </x:c>
      <x:c r="AO1819" s="604" t="inlineStr">
        <x:is>
          <x:t xml:space="preserve">REQUIRED_MARKET_INPUT_MISSING</x:t>
        </x:is>
      </x:c>
      <x:c r="AP1819" s="604" t="inlineStr">
        <x:is>
          <x:t xml:space="preserve">ff2d0da22266fd3d82c9</x:t>
        </x:is>
      </x:c>
      <x:c r="AQ1819" s="604" t="n"/>
      <x:c r="AR1819" s="604" t="n"/>
      <x:c r="AS1819" s="604" t="n"/>
      <x:c r="AT1819" s="604" t="n"/>
      <x:c r="AU1819" s="604" t="n"/>
      <x:c r="AV1819" s="604" t="n"/>
      <x:c r="AW1819" s="604" t="inlineStr">
        <x:is>
          <x:t xml:space="preserve">2026-10-09T09:01:21.127001+08:00</x:t>
        </x:is>
      </x:c>
      <x:c r="AX1819" s="604" t="inlineStr">
        <x:is>
          <x:t xml:space="preserve">Titan007/V4</x:t>
        </x:is>
      </x:c>
      <x:c r="AY1819" s="604" t="inlineStr">
        <x:is>
          <x:t xml:space="preserve">Daily append；市场输入缺失时不生成决策</x:t>
        </x:is>
      </x:c>
    </x:row>
    <x:row r="1820" ht="22" customHeight="1">
      <x:c r="A1820" s="604" t="inlineStr">
        <x:is>
          <x:t xml:space="preserve">2026-10-09</x:t>
        </x:is>
      </x:c>
      <x:c r="B1820" s="604" t="inlineStr">
        <x:is>
          <x:t xml:space="preserve">2026-10-10T04:00:00+08:00</x:t>
        </x:is>
      </x:c>
      <x:c r="C1820" s="604" t="str">
        <x:v>南美系列</x:v>
      </x:c>
      <x:c r="D1820" s="604" t="inlineStr">
        <x:is>
          <x:t xml:space="preserve"/>
        </x:is>
      </x:c>
      <x:c r="E1820" s="604" t="inlineStr">
        <x:is>
          <x:t xml:space="preserve">巴拉乙</x:t>
        </x:is>
      </x:c>
      <x:c r="F1820" s="604" t="inlineStr">
        <x:is>
          <x:t xml:space="preserve">塔库里 vs 巴拉瓜里AC</x:t>
        </x:is>
      </x:c>
      <x:c r="G1820" s="604" t="n">
        <x:v>0.83</x:v>
      </x:c>
      <x:c r="H1820" s="604" t="n">
        <x:v>-0.25</x:v>
      </x:c>
      <x:c r="I1820" s="604" t="n">
        <x:v>0.98</x:v>
      </x:c>
      <x:c r="J1820" s="604" t="inlineStr">
        <x:is>
          <x:t xml:space="preserve">0.83/-0.25/0.98</x:t>
        </x:is>
      </x:c>
      <x:c r="K1820" s="604" t="inlineStr">
        <x:is>
          <x:t xml:space="preserve">V4-N</x:t>
        </x:is>
      </x:c>
      <x:c r="L1820" s="604" t="inlineStr">
        <x:is>
          <x:t xml:space="preserve"/>
        </x:is>
      </x:c>
      <x:c r="M1820" s="604" t="n">
        <x:v>0.3052600928426299</x:v>
      </x:c>
      <x:c r="N1820" s="604" t="inlineStr">
        <x:is>
          <x:t xml:space="preserve">V4 Shadow Only；real_money=false</x:t>
        </x:is>
      </x:c>
      <x:c r="O1820" s="604" t="inlineStr">
        <x:is>
          <x:t xml:space="preserve">0-0</x:t>
        </x:is>
      </x:c>
      <x:c r="P1820" s="604" t="inlineStr">
        <x:is>
          <x:t xml:space="preserve">EVALUATED</x:t>
        </x:is>
      </x:c>
      <x:c r="Q1820" s="630" t="inlineStr">
        <x:is>
          <x:t xml:space="preserve"/>
        </x:is>
      </x:c>
      <x:c r="R1820" s="604" t="n"/>
      <x:c r="S1820" s="604" t="n"/>
      <x:c r="T1820" s="604" t="inlineStr">
        <x:is>
          <x:t xml:space="preserve">D:\codex\v3_legacy\outputs\football_odds_trader\raw\titan007\20261009\20261009_085232_titan007_odds_snapshot.csv</x:t>
        </x:is>
      </x:c>
      <x:c r="U1820" s="628" t="inlineStr">
        <x:is>
          <x:t xml:space="preserve"/>
        </x:is>
      </x:c>
      <x:c r="V1820" s="604" t="inlineStr">
        <x:is>
          <x:t xml:space="preserve"/>
        </x:is>
      </x:c>
      <x:c r="W1820" s="604" t="inlineStr">
        <x:is>
          <x:t xml:space="preserve"/>
        </x:is>
      </x:c>
      <x:c r="X1820" s="604" t="inlineStr">
        <x:is>
          <x:t xml:space="preserve">3100117</x:t>
        </x:is>
      </x:c>
      <x:c r="Y1820" s="604" t="inlineStr">
        <x:is>
          <x:t xml:space="preserve">V4</x:t>
        </x:is>
      </x:c>
      <x:c r="Z1820" s="604" t="inlineStr">
        <x:is>
          <x:t xml:space="preserve">prior-2026-10-09-v1</x:t>
        </x:is>
      </x:c>
      <x:c r="AA1820" s="604" t="inlineStr">
        <x:is>
          <x:t xml:space="preserve">N</x:t>
        </x:is>
      </x:c>
      <x:c r="AB1820" s="604" t="n">
        <x:v>0.3052600928426299</x:v>
      </x:c>
      <x:c r="AC1820" s="604" t="n">
        <x:v>0.5641164698179792</x:v>
      </x:c>
      <x:c r="AD1820" s="604" t="n">
        <x:v>-0.25</x:v>
      </x:c>
      <x:c r="AE1820" s="604" t="n"/>
      <x:c r="AF1820" s="604" t="n"/>
      <x:c r="AG1820" s="604" t="n">
        <x:v>0.1629565771062927</x:v>
      </x:c>
      <x:c r="AH1820" s="604" t="n"/>
      <x:c r="AI1820" s="604" t="n"/>
      <x:c r="AJ1820" s="604" t="n">
        <x:v>0.1629565771062927</x:v>
      </x:c>
      <x:c r="AK1820" s="604" t="n"/>
      <x:c r="AL1820" s="604" t="n"/>
      <x:c r="AM1820" s="604" t="n"/>
      <x:c r="AN1820" s="604" t="inlineStr">
        <x:is>
          <x:t xml:space="preserve">EVALUATED</x:t>
        </x:is>
      </x:c>
      <x:c r="AO1820" s="604" t="inlineStr">
        <x:is>
          <x:t xml:space="preserve">LOW_QUALITY_GATE;BUCKET_PRIOR_ONLY;INTENT_INTERPRETATION_ONLY;FFL_OPTIONAL;EXPERT_MARKET</x:t>
        </x:is>
      </x:c>
      <x:c r="AP1820" s="604" t="inlineStr">
        <x:is>
          <x:t xml:space="preserve">bc0d3dc36715034c06dc</x:t>
        </x:is>
      </x:c>
      <x:c r="AQ1820" s="604" t="n"/>
      <x:c r="AR1820" s="604" t="n"/>
      <x:c r="AS1820" s="604" t="n">
        <x:v>-0.25</x:v>
      </x:c>
      <x:c r="AT1820" s="604" t="n">
        <x:v>0.25</x:v>
      </x:c>
      <x:c r="AU1820" s="604" t="n">
        <x:v>0.83</x:v>
      </x:c>
      <x:c r="AV1820" s="604" t="n">
        <x:v>0.98</x:v>
      </x:c>
      <x:c r="AW1820" s="604" t="inlineStr">
        <x:is>
          <x:t xml:space="preserve">2026-10-09T09:01:21.127001+08:00</x:t>
        </x:is>
      </x:c>
      <x:c r="AX1820" s="604" t="inlineStr">
        <x:is>
          <x:t xml:space="preserve">Titan007/V4</x:t>
        </x:is>
      </x:c>
      <x:c r="AY1820" s="604" t="inlineStr">
        <x:is>
          <x:t xml:space="preserve">Daily append；市场输入缺失时不生成决策</x:t>
        </x:is>
      </x:c>
    </x:row>
    <x:row r="1821" ht="22" customHeight="1">
      <x:c r="A1821" s="604" t="inlineStr">
        <x:is>
          <x:t xml:space="preserve">2026-10-09</x:t>
        </x:is>
      </x:c>
      <x:c r="B1821" s="604" t="inlineStr">
        <x:is>
          <x:t xml:space="preserve">2026-10-10T06:30:00+08:00</x:t>
        </x:is>
      </x:c>
      <x:c r="C1821" s="604" t="str">
        <x:v>南美系列</x:v>
      </x:c>
      <x:c r="D1821" s="604" t="inlineStr">
        <x:is>
          <x:t xml:space="preserve"/>
        </x:is>
      </x:c>
      <x:c r="E1821" s="604" t="inlineStr">
        <x:is>
          <x:t xml:space="preserve">巴拉乙</x:t>
        </x:is>
      </x:c>
      <x:c r="F1821" s="604" t="inlineStr">
        <x:is>
          <x:t xml:space="preserve">索尔美洲队 vs 卡拉普瓜</x:t>
        </x:is>
      </x:c>
      <x:c r="G1821" s="604" t="n">
        <x:v>0.79</x:v>
      </x:c>
      <x:c r="H1821" s="604" t="n">
        <x:v>0.5</x:v>
      </x:c>
      <x:c r="I1821" s="604" t="n">
        <x:v>0.95</x:v>
      </x:c>
      <x:c r="J1821" s="604" t="inlineStr">
        <x:is>
          <x:t xml:space="preserve">0.79/0.5/0.95</x:t>
        </x:is>
      </x:c>
      <x:c r="K1821" s="604" t="inlineStr">
        <x:is>
          <x:t xml:space="preserve">V4-N</x:t>
        </x:is>
      </x:c>
      <x:c r="L1821" s="604" t="inlineStr">
        <x:is>
          <x:t xml:space="preserve"/>
        </x:is>
      </x:c>
      <x:c r="M1821" s="604" t="n">
        <x:v>0.5480300342813946</x:v>
      </x:c>
      <x:c r="N1821" s="604" t="inlineStr">
        <x:is>
          <x:t xml:space="preserve">V4 Shadow Only；real_money=false</x:t>
        </x:is>
      </x:c>
      <x:c r="O1821" s="604" t="inlineStr">
        <x:is>
          <x:t xml:space="preserve">0-0</x:t>
        </x:is>
      </x:c>
      <x:c r="P1821" s="604" t="inlineStr">
        <x:is>
          <x:t xml:space="preserve">EVALUATED</x:t>
        </x:is>
      </x:c>
      <x:c r="Q1821" s="630" t="inlineStr">
        <x:is>
          <x:t xml:space="preserve"/>
        </x:is>
      </x:c>
      <x:c r="R1821" s="604" t="n"/>
      <x:c r="S1821" s="604" t="n"/>
      <x:c r="T1821" s="604" t="inlineStr">
        <x:is>
          <x:t xml:space="preserve">D:\codex\v3_legacy\outputs\football_odds_trader\raw\titan007\20261009\20261009_085232_titan007_odds_snapshot.csv</x:t>
        </x:is>
      </x:c>
      <x:c r="U1821" s="628" t="inlineStr">
        <x:is>
          <x:t xml:space="preserve"/>
        </x:is>
      </x:c>
      <x:c r="V1821" s="604" t="inlineStr">
        <x:is>
          <x:t xml:space="preserve"/>
        </x:is>
      </x:c>
      <x:c r="W1821" s="604" t="inlineStr">
        <x:is>
          <x:t xml:space="preserve"/>
        </x:is>
      </x:c>
      <x:c r="X1821" s="604" t="inlineStr">
        <x:is>
          <x:t xml:space="preserve">3100118</x:t>
        </x:is>
      </x:c>
      <x:c r="Y1821" s="604" t="inlineStr">
        <x:is>
          <x:t xml:space="preserve">V4</x:t>
        </x:is>
      </x:c>
      <x:c r="Z1821" s="604" t="inlineStr">
        <x:is>
          <x:t xml:space="preserve">prior-2026-10-09-v1</x:t>
        </x:is>
      </x:c>
      <x:c r="AA1821" s="604" t="inlineStr">
        <x:is>
          <x:t xml:space="preserve">N</x:t>
        </x:is>
      </x:c>
      <x:c r="AB1821" s="604" t="n">
        <x:v>0.5480300342813946</x:v>
      </x:c>
      <x:c r="AC1821" s="604" t="n">
        <x:v>0.4519699657186054</x:v>
      </x:c>
      <x:c r="AD1821" s="604" t="n">
        <x:v>0.75</x:v>
      </x:c>
      <x:c r="AE1821" s="604" t="n"/>
      <x:c r="AF1821" s="604" t="n"/>
      <x:c r="AG1821" s="604" t="n">
        <x:v>-0.01902623863630365</x:v>
      </x:c>
      <x:c r="AH1821" s="604" t="n"/>
      <x:c r="AI1821" s="604" t="n"/>
      <x:c r="AJ1821" s="604" t="n">
        <x:v>-0.01902623863630365</x:v>
      </x:c>
      <x:c r="AK1821" s="604" t="n"/>
      <x:c r="AL1821" s="604" t="n"/>
      <x:c r="AM1821" s="604" t="n"/>
      <x:c r="AN1821" s="604" t="inlineStr">
        <x:is>
          <x:t xml:space="preserve">EVALUATED</x:t>
        </x:is>
      </x:c>
      <x:c r="AO1821" s="604" t="inlineStr">
        <x:is>
          <x:t xml:space="preserve">EDGE_BELOW_UNCERTAINTY_THRESHOLD;BUCKET_PRIOR_ONLY;INTENT_INTERPRETATION_ONLY;FFL_OPTIONAL;EXPERT_MARKET</x:t>
        </x:is>
      </x:c>
      <x:c r="AP1821" s="604" t="inlineStr">
        <x:is>
          <x:t xml:space="preserve">d0f1ca1faa6536f22bc3</x:t>
        </x:is>
      </x:c>
      <x:c r="AQ1821" s="604" t="n"/>
      <x:c r="AR1821" s="604" t="n"/>
      <x:c r="AS1821" s="604" t="n">
        <x:v>0.5</x:v>
      </x:c>
      <x:c r="AT1821" s="604" t="n">
        <x:v>-0.5</x:v>
      </x:c>
      <x:c r="AU1821" s="604" t="n">
        <x:v>0.79</x:v>
      </x:c>
      <x:c r="AV1821" s="604" t="n">
        <x:v>0.95</x:v>
      </x:c>
      <x:c r="AW1821" s="604" t="inlineStr">
        <x:is>
          <x:t xml:space="preserve">2026-10-09T09:01:21.127001+08:00</x:t>
        </x:is>
      </x:c>
      <x:c r="AX1821" s="604" t="inlineStr">
        <x:is>
          <x:t xml:space="preserve">Titan007/V4</x:t>
        </x:is>
      </x:c>
      <x:c r="AY1821" s="604" t="inlineStr">
        <x:is>
          <x:t xml:space="preserve">Daily append；市场输入缺失时不生成决策</x:t>
        </x:is>
      </x:c>
    </x:row>
    <x:row r="1822" ht="22" customHeight="1">
      <x:c r="A1822" s="604" t="inlineStr">
        <x:is>
          <x:t xml:space="preserve">2026-10-09</x:t>
        </x:is>
      </x:c>
      <x:c r="B1822" s="604" t="inlineStr">
        <x:is>
          <x:t xml:space="preserve">2026-10-09T22:00:00+08:00</x:t>
        </x:is>
      </x:c>
      <x:c r="C1822" s="604" t="str">
        <x:v>其他系列</x:v>
      </x:c>
      <x:c r="D1822" s="604" t="inlineStr">
        <x:is>
          <x:t xml:space="preserve"/>
        </x:is>
      </x:c>
      <x:c r="E1822" s="604" t="inlineStr">
        <x:is>
          <x:t xml:space="preserve">卢旺达联</x:t>
        </x:is>
      </x:c>
      <x:c r="F1822" s="604" t="inlineStr">
        <x:is>
          <x:t xml:space="preserve">基加利 vs 奇甘比</x:t>
        </x:is>
      </x:c>
      <x:c r="G1822" s="604" t="n">
        <x:v>0.78</x:v>
      </x:c>
      <x:c r="H1822" s="604" t="n">
        <x:v>0</x:v>
      </x:c>
      <x:c r="I1822" s="604" t="n">
        <x:v>1.03</x:v>
      </x:c>
      <x:c r="J1822" s="604" t="inlineStr">
        <x:is>
          <x:t xml:space="preserve">0.78/0.0/1.03</x:t>
        </x:is>
      </x:c>
      <x:c r="K1822" s="604" t="inlineStr">
        <x:is>
          <x:t xml:space="preserve">V4-N</x:t>
        </x:is>
      </x:c>
      <x:c r="L1822" s="604" t="inlineStr">
        <x:is>
          <x:t xml:space="preserve"/>
        </x:is>
      </x:c>
      <x:c r="M1822" s="604" t="n"/>
      <x:c r="N1822" s="604" t="inlineStr">
        <x:is>
          <x:t xml:space="preserve">V4 Shadow Only；real_money=false</x:t>
        </x:is>
      </x:c>
      <x:c r="O1822" s="604" t="inlineStr">
        <x:is>
          <x:t xml:space="preserve">0-0</x:t>
        </x:is>
      </x:c>
      <x:c r="P1822" s="604" t="inlineStr">
        <x:is>
          <x:t xml:space="preserve">NEUTRAL</x:t>
        </x:is>
      </x:c>
      <x:c r="Q1822" s="630" t="inlineStr">
        <x:is>
          <x:t xml:space="preserve"/>
        </x:is>
      </x:c>
      <x:c r="R1822" s="604" t="n"/>
      <x:c r="S1822" s="604" t="n"/>
      <x:c r="T1822" s="604" t="inlineStr">
        <x:is>
          <x:t xml:space="preserve">D:\codex\v3_legacy\outputs\football_odds_trader\raw\titan007\20261009\20261009_085232_titan007_odds_snapshot.csv</x:t>
        </x:is>
      </x:c>
      <x:c r="U1822" s="628" t="inlineStr">
        <x:is>
          <x:t xml:space="preserve"/>
        </x:is>
      </x:c>
      <x:c r="V1822" s="604" t="inlineStr">
        <x:is>
          <x:t xml:space="preserve"/>
        </x:is>
      </x:c>
      <x:c r="W1822" s="604" t="inlineStr">
        <x:is>
          <x:t xml:space="preserve"/>
        </x:is>
      </x:c>
      <x:c r="X1822" s="604" t="inlineStr">
        <x:is>
          <x:t xml:space="preserve">3100212</x:t>
        </x:is>
      </x:c>
      <x:c r="Y1822" s="604" t="inlineStr">
        <x:is>
          <x:t xml:space="preserve">V4</x:t>
        </x:is>
      </x:c>
      <x:c r="Z1822" s="604" t="inlineStr">
        <x:is>
          <x:t xml:space="preserve">prior-2026-10-09-v1</x:t>
        </x:is>
      </x:c>
      <x:c r="AA1822" s="604" t="inlineStr">
        <x:is>
          <x:t xml:space="preserve">N</x:t>
        </x:is>
      </x:c>
      <x:c r="AB1822" s="604" t="n"/>
      <x:c r="AC1822" s="604" t="n"/>
      <x:c r="AD1822" s="604" t="n"/>
      <x:c r="AE1822" s="604" t="n"/>
      <x:c r="AF1822" s="604" t="n"/>
      <x:c r="AG1822" s="604" t="n"/>
      <x:c r="AH1822" s="604" t="n"/>
      <x:c r="AI1822" s="604" t="n"/>
      <x:c r="AJ1822" s="604" t="n"/>
      <x:c r="AK1822" s="604" t="n"/>
      <x:c r="AL1822" s="604" t="n"/>
      <x:c r="AM1822" s="604" t="n"/>
      <x:c r="AN1822" s="604" t="inlineStr">
        <x:is>
          <x:t xml:space="preserve">NEUTRAL</x:t>
        </x:is>
      </x:c>
      <x:c r="AO1822" s="604" t="inlineStr">
        <x:is>
          <x:t xml:space="preserve">PK_NO_GIVING_RECEIVING_IDENTITY</x:t>
        </x:is>
      </x:c>
      <x:c r="AP1822" s="604" t="inlineStr">
        <x:is>
          <x:t xml:space="preserve">3eb42f365ea54543d1b7</x:t>
        </x:is>
      </x:c>
      <x:c r="AQ1822" s="604" t="n"/>
      <x:c r="AR1822" s="604" t="n"/>
      <x:c r="AS1822" s="604" t="n"/>
      <x:c r="AT1822" s="604" t="n"/>
      <x:c r="AU1822" s="604" t="n"/>
      <x:c r="AV1822" s="604" t="n"/>
      <x:c r="AW1822" s="604" t="inlineStr">
        <x:is>
          <x:t xml:space="preserve">2026-10-09T09:01:21.127001+08:00</x:t>
        </x:is>
      </x:c>
      <x:c r="AX1822" s="604" t="inlineStr">
        <x:is>
          <x:t xml:space="preserve">Titan007/V4</x:t>
        </x:is>
      </x:c>
      <x:c r="AY1822" s="604" t="inlineStr">
        <x:is>
          <x:t xml:space="preserve">Daily append；市场输入缺失时不生成决策</x:t>
        </x:is>
      </x:c>
    </x:row>
    <x:row r="1823" ht="22" customHeight="1">
      <x:c r="A1823" s="604" t="inlineStr">
        <x:is>
          <x:t xml:space="preserve">2026-10-09</x:t>
        </x:is>
      </x:c>
      <x:c r="B1823" s="604" t="inlineStr">
        <x:is>
          <x:t xml:space="preserve">2026-10-09T20:00:00+08:00</x:t>
        </x:is>
      </x:c>
      <x:c r="C1823" s="604" t="str">
        <x:v>西亚/中亚系列</x:v>
      </x:c>
      <x:c r="D1823" s="604" t="inlineStr">
        <x:is>
          <x:t xml:space="preserve"/>
        </x:is>
      </x:c>
      <x:c r="E1823" s="604" t="inlineStr">
        <x:is>
          <x:t xml:space="preserve">叙利亚甲</x:t>
        </x:is>
      </x:c>
      <x:c r="F1823" s="604" t="inlineStr">
        <x:is>
          <x:t xml:space="preserve">大马士革阿赫利 vs 福托瓦</x:t>
        </x:is>
      </x:c>
      <x:c r="G1823" s="604" t="n">
        <x:v>1.82</x:v>
      </x:c>
      <x:c r="H1823" s="604" t="n">
        <x:v>1.5</x:v>
      </x:c>
      <x:c r="I1823" s="604" t="n">
        <x:v>0.35</x:v>
      </x:c>
      <x:c r="J1823" s="604" t="inlineStr">
        <x:is>
          <x:t xml:space="preserve">1.82/1.5/0.35</x:t>
        </x:is>
      </x:c>
      <x:c r="K1823" s="604" t="inlineStr">
        <x:is>
          <x:t xml:space="preserve">V4-N</x:t>
        </x:is>
      </x:c>
      <x:c r="L1823" s="604" t="inlineStr">
        <x:is>
          <x:t xml:space="preserve"/>
        </x:is>
      </x:c>
      <x:c r="M1823" s="604" t="n">
        <x:v>0.3940744017238119</x:v>
      </x:c>
      <x:c r="N1823" s="604" t="inlineStr">
        <x:is>
          <x:t xml:space="preserve">V4 Shadow Only；real_money=false</x:t>
        </x:is>
      </x:c>
      <x:c r="O1823" s="604" t="inlineStr">
        <x:is>
          <x:t xml:space="preserve">0-0</x:t>
        </x:is>
      </x:c>
      <x:c r="P1823" s="604" t="inlineStr">
        <x:is>
          <x:t xml:space="preserve">EVALUATED</x:t>
        </x:is>
      </x:c>
      <x:c r="Q1823" s="630" t="inlineStr">
        <x:is>
          <x:t xml:space="preserve"/>
        </x:is>
      </x:c>
      <x:c r="R1823" s="604" t="n"/>
      <x:c r="S1823" s="604" t="n"/>
      <x:c r="T1823" s="604" t="inlineStr">
        <x:is>
          <x:t xml:space="preserve">D:\codex\v3_legacy\outputs\football_odds_trader\raw\titan007\20261009\20261009_085232_titan007_odds_snapshot.csv</x:t>
        </x:is>
      </x:c>
      <x:c r="U1823" s="628" t="inlineStr">
        <x:is>
          <x:t xml:space="preserve"/>
        </x:is>
      </x:c>
      <x:c r="V1823" s="604" t="inlineStr">
        <x:is>
          <x:t xml:space="preserve"/>
        </x:is>
      </x:c>
      <x:c r="W1823" s="604" t="inlineStr">
        <x:is>
          <x:t xml:space="preserve"/>
        </x:is>
      </x:c>
      <x:c r="X1823" s="604" t="inlineStr">
        <x:is>
          <x:t xml:space="preserve">3100213</x:t>
        </x:is>
      </x:c>
      <x:c r="Y1823" s="604" t="inlineStr">
        <x:is>
          <x:t xml:space="preserve">V4</x:t>
        </x:is>
      </x:c>
      <x:c r="Z1823" s="604" t="inlineStr">
        <x:is>
          <x:t xml:space="preserve">prior-2026-10-09-v1</x:t>
        </x:is>
      </x:c>
      <x:c r="AA1823" s="604" t="inlineStr">
        <x:is>
          <x:t xml:space="preserve">N</x:t>
        </x:is>
      </x:c>
      <x:c r="AB1823" s="604" t="n">
        <x:v>0.3940744017238119</x:v>
      </x:c>
      <x:c r="AC1823" s="604" t="n">
        <x:v>0.6059255982761882</x:v>
      </x:c>
      <x:c r="AD1823" s="604" t="n">
        <x:v>1.25</x:v>
      </x:c>
      <x:c r="AE1823" s="604" t="n"/>
      <x:c r="AF1823" s="604" t="n"/>
      <x:c r="AG1823" s="604" t="n">
        <x:v>0.1112898128611495</x:v>
      </x:c>
      <x:c r="AH1823" s="604" t="n"/>
      <x:c r="AI1823" s="604" t="n"/>
      <x:c r="AJ1823" s="604" t="n">
        <x:v>0.1112898128611495</x:v>
      </x:c>
      <x:c r="AK1823" s="604" t="n"/>
      <x:c r="AL1823" s="604" t="n"/>
      <x:c r="AM1823" s="604" t="n"/>
      <x:c r="AN1823" s="604" t="inlineStr">
        <x:is>
          <x:t xml:space="preserve">EVALUATED</x:t>
        </x:is>
      </x:c>
      <x:c r="AO1823" s="604" t="inlineStr">
        <x:is>
          <x:t xml:space="preserve">LOW_QUALITY_GATE;BUCKET_PRIOR_ONLY;INTENT_INTERPRETATION_ONLY;FFL_OPTIONAL;EXPERT_MARKET</x:t>
        </x:is>
      </x:c>
      <x:c r="AP1823" s="604" t="inlineStr">
        <x:is>
          <x:t xml:space="preserve">aefb18f8f3dbda58cdae</x:t>
        </x:is>
      </x:c>
      <x:c r="AQ1823" s="604" t="n"/>
      <x:c r="AR1823" s="604" t="n"/>
      <x:c r="AS1823" s="604" t="n">
        <x:v>1.5</x:v>
      </x:c>
      <x:c r="AT1823" s="604" t="n">
        <x:v>-1.5</x:v>
      </x:c>
      <x:c r="AU1823" s="604" t="n">
        <x:v>1.82</x:v>
      </x:c>
      <x:c r="AV1823" s="604" t="n">
        <x:v>0.35</x:v>
      </x:c>
      <x:c r="AW1823" s="604" t="inlineStr">
        <x:is>
          <x:t xml:space="preserve">2026-10-09T09:01:21.127001+08:00</x:t>
        </x:is>
      </x:c>
      <x:c r="AX1823" s="604" t="inlineStr">
        <x:is>
          <x:t xml:space="preserve">Titan007/V4</x:t>
        </x:is>
      </x:c>
      <x:c r="AY1823" s="604" t="inlineStr">
        <x:is>
          <x:t xml:space="preserve">Daily append；市场输入缺失时不生成决策</x:t>
        </x:is>
      </x:c>
    </x:row>
    <x:row r="1824" ht="22" customHeight="1">
      <x:c r="A1824" s="604" t="inlineStr">
        <x:is>
          <x:t xml:space="preserve">2026-10-09</x:t>
        </x:is>
      </x:c>
      <x:c r="B1824" s="604" t="inlineStr">
        <x:is>
          <x:t xml:space="preserve">2026-10-09T20:00:00+08:00</x:t>
        </x:is>
      </x:c>
      <x:c r="C1824" s="604" t="str">
        <x:v>西亚/中亚系列</x:v>
      </x:c>
      <x:c r="D1824" s="604" t="inlineStr">
        <x:is>
          <x:t xml:space="preserve"/>
        </x:is>
      </x:c>
      <x:c r="E1824" s="604" t="inlineStr">
        <x:is>
          <x:t xml:space="preserve">叙利亚甲</x:t>
        </x:is>
      </x:c>
      <x:c r="F1824" s="604" t="inlineStr">
        <x:is>
          <x:t xml:space="preserve">霍姆斯阿尔菲达 vs 拉塔基亚哈丁</x:t>
        </x:is>
      </x:c>
      <x:c r="G1824" s="604" t="n">
        <x:v>0.91</x:v>
      </x:c>
      <x:c r="H1824" s="604" t="n">
        <x:v>1.5</x:v>
      </x:c>
      <x:c r="I1824" s="604" t="n">
        <x:v>0.76</x:v>
      </x:c>
      <x:c r="J1824" s="604" t="inlineStr">
        <x:is>
          <x:t xml:space="preserve">0.91/1.5/0.76</x:t>
        </x:is>
      </x:c>
      <x:c r="K1824" s="604" t="inlineStr">
        <x:is>
          <x:t xml:space="preserve">V4-N</x:t>
        </x:is>
      </x:c>
      <x:c r="L1824" s="604" t="inlineStr">
        <x:is>
          <x:t xml:space="preserve"/>
        </x:is>
      </x:c>
      <x:c r="M1824" s="604" t="n">
        <x:v>0.7455796011760993</x:v>
      </x:c>
      <x:c r="N1824" s="604" t="inlineStr">
        <x:is>
          <x:t xml:space="preserve">V4 Shadow Only；real_money=false</x:t>
        </x:is>
      </x:c>
      <x:c r="O1824" s="604" t="inlineStr">
        <x:is>
          <x:t xml:space="preserve">0-0</x:t>
        </x:is>
      </x:c>
      <x:c r="P1824" s="604" t="inlineStr">
        <x:is>
          <x:t xml:space="preserve">EVALUATED</x:t>
        </x:is>
      </x:c>
      <x:c r="Q1824" s="630" t="inlineStr">
        <x:is>
          <x:t xml:space="preserve"/>
        </x:is>
      </x:c>
      <x:c r="R1824" s="604" t="n"/>
      <x:c r="S1824" s="604" t="n"/>
      <x:c r="T1824" s="604" t="inlineStr">
        <x:is>
          <x:t xml:space="preserve">D:\codex\v3_legacy\outputs\football_odds_trader\raw\titan007\20261009\20261009_085232_titan007_odds_snapshot.csv</x:t>
        </x:is>
      </x:c>
      <x:c r="U1824" s="628" t="inlineStr">
        <x:is>
          <x:t xml:space="preserve"/>
        </x:is>
      </x:c>
      <x:c r="V1824" s="604" t="inlineStr">
        <x:is>
          <x:t xml:space="preserve"/>
        </x:is>
      </x:c>
      <x:c r="W1824" s="604" t="inlineStr">
        <x:is>
          <x:t xml:space="preserve"/>
        </x:is>
      </x:c>
      <x:c r="X1824" s="604" t="inlineStr">
        <x:is>
          <x:t xml:space="preserve">3100215</x:t>
        </x:is>
      </x:c>
      <x:c r="Y1824" s="604" t="inlineStr">
        <x:is>
          <x:t xml:space="preserve">V4</x:t>
        </x:is>
      </x:c>
      <x:c r="Z1824" s="604" t="inlineStr">
        <x:is>
          <x:t xml:space="preserve">prior-2026-10-09-v1</x:t>
        </x:is>
      </x:c>
      <x:c r="AA1824" s="604" t="inlineStr">
        <x:is>
          <x:t xml:space="preserve">N</x:t>
        </x:is>
      </x:c>
      <x:c r="AB1824" s="604" t="n">
        <x:v>0.7455796011760993</x:v>
      </x:c>
      <x:c r="AC1824" s="604" t="n">
        <x:v>0.2544203988239007</x:v>
      </x:c>
      <x:c r="AD1824" s="604" t="n">
        <x:v>2.75</x:v>
      </x:c>
      <x:c r="AE1824" s="604" t="n"/>
      <x:c r="AF1824" s="604" t="n"/>
      <x:c r="AG1824" s="604" t="n">
        <x:v>0.4240570382463497</x:v>
      </x:c>
      <x:c r="AH1824" s="604" t="n"/>
      <x:c r="AI1824" s="604" t="n"/>
      <x:c r="AJ1824" s="604" t="n">
        <x:v>0.4240570382463497</x:v>
      </x:c>
      <x:c r="AK1824" s="604" t="n"/>
      <x:c r="AL1824" s="604" t="n"/>
      <x:c r="AM1824" s="604" t="n"/>
      <x:c r="AN1824" s="604" t="inlineStr">
        <x:is>
          <x:t xml:space="preserve">EVALUATED</x:t>
        </x:is>
      </x:c>
      <x:c r="AO1824" s="604" t="inlineStr">
        <x:is>
          <x:t xml:space="preserve">LOW_QUALITY_GATE;BUCKET_PRIOR_ONLY;INTENT_INTERPRETATION_ONLY;FFL_OPTIONAL;EXPERT_MARKET</x:t>
        </x:is>
      </x:c>
      <x:c r="AP1824" s="604" t="inlineStr">
        <x:is>
          <x:t xml:space="preserve">1b249ae619bb71e1035b</x:t>
        </x:is>
      </x:c>
      <x:c r="AQ1824" s="604" t="n"/>
      <x:c r="AR1824" s="604" t="n"/>
      <x:c r="AS1824" s="604" t="n">
        <x:v>1.5</x:v>
      </x:c>
      <x:c r="AT1824" s="604" t="n">
        <x:v>-1.5</x:v>
      </x:c>
      <x:c r="AU1824" s="604" t="n">
        <x:v>0.91</x:v>
      </x:c>
      <x:c r="AV1824" s="604" t="n">
        <x:v>0.76</x:v>
      </x:c>
      <x:c r="AW1824" s="604" t="inlineStr">
        <x:is>
          <x:t xml:space="preserve">2026-10-09T09:01:21.127001+08:00</x:t>
        </x:is>
      </x:c>
      <x:c r="AX1824" s="604" t="inlineStr">
        <x:is>
          <x:t xml:space="preserve">Titan007/V4</x:t>
        </x:is>
      </x:c>
      <x:c r="AY1824" s="604" t="inlineStr">
        <x:is>
          <x:t xml:space="preserve">Daily append；市场输入缺失时不生成决策</x:t>
        </x:is>
      </x:c>
    </x:row>
    <x:row r="1825" ht="22" customHeight="1">
      <x:c r="A1825" s="604" t="inlineStr">
        <x:is>
          <x:t xml:space="preserve">2026-10-09</x:t>
        </x:is>
      </x:c>
      <x:c r="B1825" s="604" t="inlineStr">
        <x:is>
          <x:t xml:space="preserve">2026-10-10T01:30:00+08:00</x:t>
        </x:is>
      </x:c>
      <x:c r="C1825" s="604" t="str">
        <x:v>欧洲非五大系列</x:v>
      </x:c>
      <x:c r="D1825" s="604" t="inlineStr">
        <x:is>
          <x:t xml:space="preserve"/>
        </x:is>
      </x:c>
      <x:c r="E1825" s="604" t="inlineStr">
        <x:is>
          <x:t xml:space="preserve">奥丁</x:t>
        </x:is>
      </x:c>
      <x:c r="F1825" s="604" t="inlineStr">
        <x:is>
          <x:t xml:space="preserve">SV威尔登 vs 格罗斯克莱恩</x:t>
        </x:is>
      </x:c>
      <x:c r="G1825" s="604" t="n">
        <x:v>0.95</x:v>
      </x:c>
      <x:c r="H1825" s="604" t="n">
        <x:v>1.5</x:v>
      </x:c>
      <x:c r="I1825" s="604" t="n">
        <x:v>0.85</x:v>
      </x:c>
      <x:c r="J1825" s="604" t="inlineStr">
        <x:is>
          <x:t xml:space="preserve">0.95/1.5/0.85</x:t>
        </x:is>
      </x:c>
      <x:c r="K1825" s="604" t="inlineStr">
        <x:is>
          <x:t xml:space="preserve">V4-N</x:t>
        </x:is>
      </x:c>
      <x:c r="L1825" s="604" t="inlineStr">
        <x:is>
          <x:t xml:space="preserve"/>
        </x:is>
      </x:c>
      <x:c r="M1825" s="604" t="n">
        <x:v>0.5661095677550767</x:v>
      </x:c>
      <x:c r="N1825" s="604" t="inlineStr">
        <x:is>
          <x:t xml:space="preserve">V4 Shadow Only；real_money=false</x:t>
        </x:is>
      </x:c>
      <x:c r="O1825" s="604" t="inlineStr">
        <x:is>
          <x:t xml:space="preserve">0-0</x:t>
        </x:is>
      </x:c>
      <x:c r="P1825" s="604" t="inlineStr">
        <x:is>
          <x:t xml:space="preserve">EVALUATED</x:t>
        </x:is>
      </x:c>
      <x:c r="Q1825" s="630" t="inlineStr">
        <x:is>
          <x:t xml:space="preserve"/>
        </x:is>
      </x:c>
      <x:c r="R1825" s="604" t="n"/>
      <x:c r="S1825" s="604" t="n"/>
      <x:c r="T1825" s="604" t="inlineStr">
        <x:is>
          <x:t xml:space="preserve">D:\codex\v3_legacy\outputs\football_odds_trader\raw\titan007\20261009\20261009_085232_titan007_odds_snapshot.csv</x:t>
        </x:is>
      </x:c>
      <x:c r="U1825" s="628" t="inlineStr">
        <x:is>
          <x:t xml:space="preserve"/>
        </x:is>
      </x:c>
      <x:c r="V1825" s="604" t="inlineStr">
        <x:is>
          <x:t xml:space="preserve"/>
        </x:is>
      </x:c>
      <x:c r="W1825" s="604" t="inlineStr">
        <x:is>
          <x:t xml:space="preserve"/>
        </x:is>
      </x:c>
      <x:c r="X1825" s="604" t="inlineStr">
        <x:is>
          <x:t xml:space="preserve">3100221</x:t>
        </x:is>
      </x:c>
      <x:c r="Y1825" s="604" t="inlineStr">
        <x:is>
          <x:t xml:space="preserve">V4</x:t>
        </x:is>
      </x:c>
      <x:c r="Z1825" s="604" t="inlineStr">
        <x:is>
          <x:t xml:space="preserve">prior-2026-10-09-v1</x:t>
        </x:is>
      </x:c>
      <x:c r="AA1825" s="604" t="inlineStr">
        <x:is>
          <x:t xml:space="preserve">N</x:t>
        </x:is>
      </x:c>
      <x:c r="AB1825" s="604" t="n">
        <x:v>0.5661095677550767</x:v>
      </x:c>
      <x:c r="AC1825" s="604" t="n">
        <x:v>0.4338904322449234</x:v>
      </x:c>
      <x:c r="AD1825" s="604" t="n">
        <x:v>2</x:v>
      </x:c>
      <x:c r="AE1825" s="604" t="n"/>
      <x:c r="AF1825" s="604" t="n"/>
      <x:c r="AG1825" s="604" t="n">
        <x:v>0.1039136571223994</x:v>
      </x:c>
      <x:c r="AH1825" s="604" t="n"/>
      <x:c r="AI1825" s="604" t="n"/>
      <x:c r="AJ1825" s="604" t="n">
        <x:v>0.1039136571223994</x:v>
      </x:c>
      <x:c r="AK1825" s="604" t="n"/>
      <x:c r="AL1825" s="604" t="n"/>
      <x:c r="AM1825" s="604" t="n"/>
      <x:c r="AN1825" s="604" t="inlineStr">
        <x:is>
          <x:t xml:space="preserve">EVALUATED</x:t>
        </x:is>
      </x:c>
      <x:c r="AO1825" s="604" t="inlineStr">
        <x:is>
          <x:t xml:space="preserve">LOW_QUALITY_GATE;BUCKET_PRIOR_ONLY;INTENT_INTERPRETATION_ONLY;FFL_OPTIONAL;EXPERT_MARKET</x:t>
        </x:is>
      </x:c>
      <x:c r="AP1825" s="604" t="inlineStr">
        <x:is>
          <x:t xml:space="preserve">40e01dd1af50309997d1</x:t>
        </x:is>
      </x:c>
      <x:c r="AQ1825" s="604" t="n"/>
      <x:c r="AR1825" s="604" t="n"/>
      <x:c r="AS1825" s="604" t="n">
        <x:v>1.5</x:v>
      </x:c>
      <x:c r="AT1825" s="604" t="n">
        <x:v>-1.5</x:v>
      </x:c>
      <x:c r="AU1825" s="604" t="n">
        <x:v>0.95</x:v>
      </x:c>
      <x:c r="AV1825" s="604" t="n">
        <x:v>0.85</x:v>
      </x:c>
      <x:c r="AW1825" s="604" t="inlineStr">
        <x:is>
          <x:t xml:space="preserve">2026-10-09T09:01:21.127001+08:00</x:t>
        </x:is>
      </x:c>
      <x:c r="AX1825" s="604" t="inlineStr">
        <x:is>
          <x:t xml:space="preserve">Titan007/V4</x:t>
        </x:is>
      </x:c>
      <x:c r="AY1825" s="604" t="inlineStr">
        <x:is>
          <x:t xml:space="preserve">Daily append；市场输入缺失时不生成决策</x:t>
        </x:is>
      </x:c>
    </x:row>
    <x:row r="1826" ht="22" customHeight="1">
      <x:c r="A1826" s="604" t="inlineStr">
        <x:is>
          <x:t xml:space="preserve">2026-10-09</x:t>
        </x:is>
      </x:c>
      <x:c r="B1826" s="604" t="inlineStr">
        <x:is>
          <x:t xml:space="preserve">2026-10-10T01:30:00+08:00</x:t>
        </x:is>
      </x:c>
      <x:c r="C1826" s="604" t="str">
        <x:v>欧洲非五大系列</x:v>
      </x:c>
      <x:c r="D1826" s="604" t="inlineStr">
        <x:is>
          <x:t xml:space="preserve"/>
        </x:is>
      </x:c>
      <x:c r="E1826" s="604" t="inlineStr">
        <x:is>
          <x:t xml:space="preserve">奥丁</x:t>
        </x:is>
      </x:c>
      <x:c r="F1826" s="604" t="inlineStr">
        <x:is>
          <x:t xml:space="preserve">朗根鲁可 vs 询问Ybbs</x:t>
        </x:is>
      </x:c>
      <x:c r="G1826" s="604" t="n">
        <x:v>0.83</x:v>
      </x:c>
      <x:c r="H1826" s="604" t="n">
        <x:v>-0.5</x:v>
      </x:c>
      <x:c r="I1826" s="604" t="n">
        <x:v>0.98</x:v>
      </x:c>
      <x:c r="J1826" s="604" t="inlineStr">
        <x:is>
          <x:t xml:space="preserve">0.83/-0.5/0.98</x:t>
        </x:is>
      </x:c>
      <x:c r="K1826" s="604" t="inlineStr">
        <x:is>
          <x:t xml:space="preserve">V4-N</x:t>
        </x:is>
      </x:c>
      <x:c r="L1826" s="604" t="inlineStr">
        <x:is>
          <x:t xml:space="preserve"/>
        </x:is>
      </x:c>
      <x:c r="M1826" s="604" t="n">
        <x:v>0.2399181098574178</x:v>
      </x:c>
      <x:c r="N1826" s="604" t="inlineStr">
        <x:is>
          <x:t xml:space="preserve">V4 Shadow Only；real_money=false</x:t>
        </x:is>
      </x:c>
      <x:c r="O1826" s="604" t="inlineStr">
        <x:is>
          <x:t xml:space="preserve">0-0</x:t>
        </x:is>
      </x:c>
      <x:c r="P1826" s="604" t="inlineStr">
        <x:is>
          <x:t xml:space="preserve">EVALUATED</x:t>
        </x:is>
      </x:c>
      <x:c r="Q1826" s="630" t="inlineStr">
        <x:is>
          <x:t xml:space="preserve"/>
        </x:is>
      </x:c>
      <x:c r="R1826" s="604" t="n"/>
      <x:c r="S1826" s="604" t="n"/>
      <x:c r="T1826" s="604" t="inlineStr">
        <x:is>
          <x:t xml:space="preserve">D:\codex\v3_legacy\outputs\football_odds_trader\raw\titan007\20261009\20261009_085232_titan007_odds_snapshot.csv</x:t>
        </x:is>
      </x:c>
      <x:c r="U1826" s="628" t="inlineStr">
        <x:is>
          <x:t xml:space="preserve"/>
        </x:is>
      </x:c>
      <x:c r="V1826" s="604" t="inlineStr">
        <x:is>
          <x:t xml:space="preserve"/>
        </x:is>
      </x:c>
      <x:c r="W1826" s="604" t="inlineStr">
        <x:is>
          <x:t xml:space="preserve"/>
        </x:is>
      </x:c>
      <x:c r="X1826" s="604" t="inlineStr">
        <x:is>
          <x:t xml:space="preserve">3100222</x:t>
        </x:is>
      </x:c>
      <x:c r="Y1826" s="604" t="inlineStr">
        <x:is>
          <x:t xml:space="preserve">V4</x:t>
        </x:is>
      </x:c>
      <x:c r="Z1826" s="604" t="inlineStr">
        <x:is>
          <x:t xml:space="preserve">prior-2026-10-09-v1</x:t>
        </x:is>
      </x:c>
      <x:c r="AA1826" s="604" t="inlineStr">
        <x:is>
          <x:t xml:space="preserve">N</x:t>
        </x:is>
      </x:c>
      <x:c r="AB1826" s="604" t="n">
        <x:v>0.2399181098574178</x:v>
      </x:c>
      <x:c r="AC1826" s="604" t="n">
        <x:v>0.7600818901425822</x:v>
      </x:c>
      <x:c r="AD1826" s="604" t="n">
        <x:v>-0.5</x:v>
      </x:c>
      <x:c r="AE1826" s="604" t="n"/>
      <x:c r="AF1826" s="604" t="n"/>
      <x:c r="AG1826" s="604" t="n">
        <x:v>0.3909498589609254</x:v>
      </x:c>
      <x:c r="AH1826" s="604" t="n"/>
      <x:c r="AI1826" s="604" t="n"/>
      <x:c r="AJ1826" s="604" t="n">
        <x:v>0.3909498589609254</x:v>
      </x:c>
      <x:c r="AK1826" s="604" t="n"/>
      <x:c r="AL1826" s="604" t="n"/>
      <x:c r="AM1826" s="604" t="n"/>
      <x:c r="AN1826" s="604" t="inlineStr">
        <x:is>
          <x:t xml:space="preserve">EVALUATED</x:t>
        </x:is>
      </x:c>
      <x:c r="AO1826" s="604" t="inlineStr">
        <x:is>
          <x:t xml:space="preserve">LOW_QUALITY_GATE;BUCKET_PRIOR_ONLY;INTENT_INTERPRETATION_ONLY;FFL_OPTIONAL;EXPERT_MARKET</x:t>
        </x:is>
      </x:c>
      <x:c r="AP1826" s="604" t="inlineStr">
        <x:is>
          <x:t xml:space="preserve">18e5b6e4aa0ff20d6b17</x:t>
        </x:is>
      </x:c>
      <x:c r="AQ1826" s="604" t="n"/>
      <x:c r="AR1826" s="604" t="n"/>
      <x:c r="AS1826" s="604" t="n">
        <x:v>-0.5</x:v>
      </x:c>
      <x:c r="AT1826" s="604" t="n">
        <x:v>0.5</x:v>
      </x:c>
      <x:c r="AU1826" s="604" t="n">
        <x:v>0.83</x:v>
      </x:c>
      <x:c r="AV1826" s="604" t="n">
        <x:v>0.98</x:v>
      </x:c>
      <x:c r="AW1826" s="604" t="inlineStr">
        <x:is>
          <x:t xml:space="preserve">2026-10-09T09:01:21.127001+08:00</x:t>
        </x:is>
      </x:c>
      <x:c r="AX1826" s="604" t="inlineStr">
        <x:is>
          <x:t xml:space="preserve">Titan007/V4</x:t>
        </x:is>
      </x:c>
      <x:c r="AY1826" s="604" t="inlineStr">
        <x:is>
          <x:t xml:space="preserve">Daily append；市场输入缺失时不生成决策</x:t>
        </x:is>
      </x:c>
    </x:row>
    <x:row r="1827" ht="22" customHeight="1">
      <x:c r="A1827" s="604" t="inlineStr">
        <x:is>
          <x:t xml:space="preserve">2026-10-09</x:t>
        </x:is>
      </x:c>
      <x:c r="B1827" s="604" t="inlineStr">
        <x:is>
          <x:t xml:space="preserve">2026-10-09T17:30:00+08:00</x:t>
        </x:is>
      </x:c>
      <x:c r="C1827" s="604" t="str">
        <x:v>其他系列</x:v>
      </x:c>
      <x:c r="D1827" s="604" t="inlineStr">
        <x:is>
          <x:t xml:space="preserve"/>
        </x:is>
      </x:c>
      <x:c r="E1827" s="604" t="inlineStr">
        <x:is>
          <x:t xml:space="preserve">印孟超</x:t>
        </x:is>
      </x:c>
      <x:c r="F1827" s="604" t="inlineStr">
        <x:is>
          <x:t xml:space="preserve">斯克XI vs 科帕纳</x:t>
        </x:is>
      </x:c>
      <x:c r="G1827" s="604" t="n">
        <x:v>0.98</x:v>
      </x:c>
      <x:c r="H1827" s="604" t="n">
        <x:v>0.5</x:v>
      </x:c>
      <x:c r="I1827" s="604" t="n">
        <x:v>0.83</x:v>
      </x:c>
      <x:c r="J1827" s="604" t="inlineStr">
        <x:is>
          <x:t xml:space="preserve">0.98/0.5/0.83</x:t>
        </x:is>
      </x:c>
      <x:c r="K1827" s="604" t="inlineStr">
        <x:is>
          <x:t xml:space="preserve">V4-N</x:t>
        </x:is>
      </x:c>
      <x:c r="L1827" s="604" t="inlineStr">
        <x:is>
          <x:t xml:space="preserve"/>
        </x:is>
      </x:c>
      <x:c r="M1827" s="604" t="n">
        <x:v>0.5722428221844275</x:v>
      </x:c>
      <x:c r="N1827" s="604" t="inlineStr">
        <x:is>
          <x:t xml:space="preserve">V4 Shadow Only；real_money=false</x:t>
        </x:is>
      </x:c>
      <x:c r="O1827" s="604" t="inlineStr">
        <x:is>
          <x:t xml:space="preserve">0-0</x:t>
        </x:is>
      </x:c>
      <x:c r="P1827" s="604" t="inlineStr">
        <x:is>
          <x:t xml:space="preserve">EVALUATED</x:t>
        </x:is>
      </x:c>
      <x:c r="Q1827" s="630" t="inlineStr">
        <x:is>
          <x:t xml:space="preserve"/>
        </x:is>
      </x:c>
      <x:c r="R1827" s="604" t="n"/>
      <x:c r="S1827" s="604" t="n"/>
      <x:c r="T1827" s="604" t="inlineStr">
        <x:is>
          <x:t xml:space="preserve">D:\codex\v3_legacy\outputs\football_odds_trader\raw\titan007\20261009\20261009_085232_titan007_odds_snapshot.csv</x:t>
        </x:is>
      </x:c>
      <x:c r="U1827" s="628" t="inlineStr">
        <x:is>
          <x:t xml:space="preserve"/>
        </x:is>
      </x:c>
      <x:c r="V1827" s="604" t="inlineStr">
        <x:is>
          <x:t xml:space="preserve"/>
        </x:is>
      </x:c>
      <x:c r="W1827" s="604" t="inlineStr">
        <x:is>
          <x:t xml:space="preserve"/>
        </x:is>
      </x:c>
      <x:c r="X1827" s="604" t="inlineStr">
        <x:is>
          <x:t xml:space="preserve">3100223</x:t>
        </x:is>
      </x:c>
      <x:c r="Y1827" s="604" t="inlineStr">
        <x:is>
          <x:t xml:space="preserve">V4</x:t>
        </x:is>
      </x:c>
      <x:c r="Z1827" s="604" t="inlineStr">
        <x:is>
          <x:t xml:space="preserve">prior-2026-10-09-v1</x:t>
        </x:is>
      </x:c>
      <x:c r="AA1827" s="604" t="inlineStr">
        <x:is>
          <x:t xml:space="preserve">N</x:t>
        </x:is>
      </x:c>
      <x:c r="AB1827" s="604" t="n">
        <x:v>0.5722428221844275</x:v>
      </x:c>
      <x:c r="AC1827" s="604" t="n">
        <x:v>0.4277571778155725</x:v>
      </x:c>
      <x:c r="AD1827" s="604" t="n">
        <x:v>0.75</x:v>
      </x:c>
      <x:c r="AE1827" s="604" t="n"/>
      <x:c r="AF1827" s="604" t="n"/>
      <x:c r="AG1827" s="604" t="n">
        <x:v>0.1330407879251664</x:v>
      </x:c>
      <x:c r="AH1827" s="604" t="n"/>
      <x:c r="AI1827" s="604" t="n"/>
      <x:c r="AJ1827" s="604" t="n">
        <x:v>0.1330407879251664</x:v>
      </x:c>
      <x:c r="AK1827" s="604" t="n"/>
      <x:c r="AL1827" s="604" t="n"/>
      <x:c r="AM1827" s="604" t="n"/>
      <x:c r="AN1827" s="604" t="inlineStr">
        <x:is>
          <x:t xml:space="preserve">EVALUATED</x:t>
        </x:is>
      </x:c>
      <x:c r="AO1827" s="604" t="inlineStr">
        <x:is>
          <x:t xml:space="preserve">LOW_QUALITY_GATE;BUCKET_PRIOR_ONLY;INTENT_INTERPRETATION_ONLY;FFL_OPTIONAL;EXPERT_MARKET</x:t>
        </x:is>
      </x:c>
      <x:c r="AP1827" s="604" t="inlineStr">
        <x:is>
          <x:t xml:space="preserve">a0e7778213cb1def7872</x:t>
        </x:is>
      </x:c>
      <x:c r="AQ1827" s="604" t="n"/>
      <x:c r="AR1827" s="604" t="n"/>
      <x:c r="AS1827" s="604" t="n">
        <x:v>0.5</x:v>
      </x:c>
      <x:c r="AT1827" s="604" t="n">
        <x:v>-0.5</x:v>
      </x:c>
      <x:c r="AU1827" s="604" t="n">
        <x:v>0.98</x:v>
      </x:c>
      <x:c r="AV1827" s="604" t="n">
        <x:v>0.83</x:v>
      </x:c>
      <x:c r="AW1827" s="604" t="inlineStr">
        <x:is>
          <x:t xml:space="preserve">2026-10-09T09:01:21.127001+08:00</x:t>
        </x:is>
      </x:c>
      <x:c r="AX1827" s="604" t="inlineStr">
        <x:is>
          <x:t xml:space="preserve">Titan007/V4</x:t>
        </x:is>
      </x:c>
      <x:c r="AY1827" s="604" t="inlineStr">
        <x:is>
          <x:t xml:space="preserve">Daily append；市场输入缺失时不生成决策</x:t>
        </x:is>
      </x:c>
    </x:row>
    <x:row r="1828" ht="22" customHeight="1">
      <x:c r="A1828" s="604" t="inlineStr">
        <x:is>
          <x:t xml:space="preserve">2026-10-09</x:t>
        </x:is>
      </x:c>
      <x:c r="B1828" s="604" t="inlineStr">
        <x:is>
          <x:t xml:space="preserve">2026-10-09T17:30:00+08:00</x:t>
        </x:is>
      </x:c>
      <x:c r="C1828" s="604" t="str">
        <x:v>其他系列</x:v>
      </x:c>
      <x:c r="D1828" s="604" t="inlineStr">
        <x:is>
          <x:t xml:space="preserve"/>
        </x:is>
      </x:c>
      <x:c r="E1828" s="604" t="inlineStr">
        <x:is>
          <x:t xml:space="preserve">印米佐超</x:t>
        </x:is>
      </x:c>
      <x:c r="F1828" s="604" t="inlineStr">
        <x:is>
          <x:t xml:space="preserve">西钱马里FC vs 赛卡玛坎FC</x:t>
        </x:is>
      </x:c>
      <x:c r="G1828" s="604" t="n">
        <x:v>0.8</x:v>
      </x:c>
      <x:c r="H1828" s="604" t="n">
        <x:v>1.25</x:v>
      </x:c>
      <x:c r="I1828" s="604" t="n">
        <x:v>1</x:v>
      </x:c>
      <x:c r="J1828" s="604" t="inlineStr">
        <x:is>
          <x:t xml:space="preserve">0.8/1.25/1.0</x:t>
        </x:is>
      </x:c>
      <x:c r="K1828" s="604" t="inlineStr">
        <x:is>
          <x:t xml:space="preserve">V4-N</x:t>
        </x:is>
      </x:c>
      <x:c r="L1828" s="604" t="inlineStr">
        <x:is>
          <x:t xml:space="preserve"/>
        </x:is>
      </x:c>
      <x:c r="M1828" s="604" t="n">
        <x:v>0.5006480938776763</x:v>
      </x:c>
      <x:c r="N1828" s="604" t="inlineStr">
        <x:is>
          <x:t xml:space="preserve">V4 Shadow Only；real_money=false</x:t>
        </x:is>
      </x:c>
      <x:c r="O1828" s="604" t="inlineStr">
        <x:is>
          <x:t xml:space="preserve">0-0</x:t>
        </x:is>
      </x:c>
      <x:c r="P1828" s="604" t="inlineStr">
        <x:is>
          <x:t xml:space="preserve">EVALUATED</x:t>
        </x:is>
      </x:c>
      <x:c r="Q1828" s="630" t="inlineStr">
        <x:is>
          <x:t xml:space="preserve"/>
        </x:is>
      </x:c>
      <x:c r="R1828" s="604" t="n"/>
      <x:c r="S1828" s="604" t="n"/>
      <x:c r="T1828" s="604" t="inlineStr">
        <x:is>
          <x:t xml:space="preserve">D:\codex\v3_legacy\outputs\football_odds_trader\raw\titan007\20261009\20261009_085232_titan007_odds_snapshot.csv</x:t>
        </x:is>
      </x:c>
      <x:c r="U1828" s="628" t="inlineStr">
        <x:is>
          <x:t xml:space="preserve"/>
        </x:is>
      </x:c>
      <x:c r="V1828" s="604" t="inlineStr">
        <x:is>
          <x:t xml:space="preserve"/>
        </x:is>
      </x:c>
      <x:c r="W1828" s="604" t="inlineStr">
        <x:is>
          <x:t xml:space="preserve"/>
        </x:is>
      </x:c>
      <x:c r="X1828" s="604" t="inlineStr">
        <x:is>
          <x:t xml:space="preserve">3100224</x:t>
        </x:is>
      </x:c>
      <x:c r="Y1828" s="604" t="inlineStr">
        <x:is>
          <x:t xml:space="preserve">V4</x:t>
        </x:is>
      </x:c>
      <x:c r="Z1828" s="604" t="inlineStr">
        <x:is>
          <x:t xml:space="preserve">prior-2026-10-09-v1</x:t>
        </x:is>
      </x:c>
      <x:c r="AA1828" s="604" t="inlineStr">
        <x:is>
          <x:t xml:space="preserve">N</x:t>
        </x:is>
      </x:c>
      <x:c r="AB1828" s="604" t="n">
        <x:v>0.5006480938776763</x:v>
      </x:c>
      <x:c r="AC1828" s="604" t="n">
        <x:v>0.3746452871033887</x:v>
      </x:c>
      <x:c r="AD1828" s="604" t="n">
        <x:v>1.5</x:v>
      </x:c>
      <x:c r="AE1828" s="604" t="n"/>
      <x:c r="AF1828" s="604" t="n"/>
      <x:c r="AG1828" s="604" t="n">
        <x:v>0.02587318799875238</x:v>
      </x:c>
      <x:c r="AH1828" s="604" t="n"/>
      <x:c r="AI1828" s="604" t="n"/>
      <x:c r="AJ1828" s="604" t="n">
        <x:v>0.02587318799875238</x:v>
      </x:c>
      <x:c r="AK1828" s="604" t="n"/>
      <x:c r="AL1828" s="604" t="n"/>
      <x:c r="AM1828" s="604" t="n"/>
      <x:c r="AN1828" s="604" t="inlineStr">
        <x:is>
          <x:t xml:space="preserve">EVALUATED</x:t>
        </x:is>
      </x:c>
      <x:c r="AO1828" s="604" t="inlineStr">
        <x:is>
          <x:t xml:space="preserve">EDGE_BELOW_UNCERTAINTY_THRESHOLD;BUCKET_PRIOR_ONLY;INTENT_INTERPRETATION_ONLY;FFL_OPTIONAL;EXPERT_MARKET</x:t>
        </x:is>
      </x:c>
      <x:c r="AP1828" s="604" t="inlineStr">
        <x:is>
          <x:t xml:space="preserve">18df80137d854a54a33e</x:t>
        </x:is>
      </x:c>
      <x:c r="AQ1828" s="604" t="n"/>
      <x:c r="AR1828" s="604" t="n"/>
      <x:c r="AS1828" s="604" t="n">
        <x:v>1.25</x:v>
      </x:c>
      <x:c r="AT1828" s="604" t="n">
        <x:v>-1.25</x:v>
      </x:c>
      <x:c r="AU1828" s="604" t="n">
        <x:v>0.8</x:v>
      </x:c>
      <x:c r="AV1828" s="604" t="n">
        <x:v>1</x:v>
      </x:c>
      <x:c r="AW1828" s="604" t="inlineStr">
        <x:is>
          <x:t xml:space="preserve">2026-10-09T09:01:21.127001+08:00</x:t>
        </x:is>
      </x:c>
      <x:c r="AX1828" s="604" t="inlineStr">
        <x:is>
          <x:t xml:space="preserve">Titan007/V4</x:t>
        </x:is>
      </x:c>
      <x:c r="AY1828" s="604" t="inlineStr">
        <x:is>
          <x:t xml:space="preserve">Daily append；市场输入缺失时不生成决策</x:t>
        </x:is>
      </x:c>
    </x:row>
    <x:row r="1829" ht="22" customHeight="1">
      <x:c r="A1829" s="604" t="inlineStr">
        <x:is>
          <x:t xml:space="preserve">2026-10-09</x:t>
        </x:is>
      </x:c>
      <x:c r="B1829" s="604" t="inlineStr">
        <x:is>
          <x:t xml:space="preserve">2026-10-09T21:30:00+08:00</x:t>
        </x:is>
      </x:c>
      <x:c r="C1829" s="604" t="str">
        <x:v>其他系列</x:v>
      </x:c>
      <x:c r="D1829" s="604" t="inlineStr">
        <x:is>
          <x:t xml:space="preserve"/>
        </x:is>
      </x:c>
      <x:c r="E1829" s="604" t="inlineStr">
        <x:is>
          <x:t xml:space="preserve">印米佐超</x:t>
        </x:is>
      </x:c>
      <x:c r="F1829" s="604" t="inlineStr">
        <x:is>
          <x:t xml:space="preserve">邦警察FC vs 艾藻尔</x:t>
        </x:is>
      </x:c>
      <x:c r="G1829" s="604" t="n">
        <x:v>0.85</x:v>
      </x:c>
      <x:c r="H1829" s="604" t="n">
        <x:v>-1.5</x:v>
      </x:c>
      <x:c r="I1829" s="604" t="n">
        <x:v>0.95</x:v>
      </x:c>
      <x:c r="J1829" s="604" t="inlineStr">
        <x:is>
          <x:t xml:space="preserve">0.85/-1.5/0.95</x:t>
        </x:is>
      </x:c>
      <x:c r="K1829" s="604" t="inlineStr">
        <x:is>
          <x:t xml:space="preserve">V4-N</x:t>
        </x:is>
      </x:c>
      <x:c r="L1829" s="604" t="inlineStr">
        <x:is>
          <x:t xml:space="preserve"/>
        </x:is>
      </x:c>
      <x:c r="M1829" s="604" t="n">
        <x:v>0.006781970105822395</x:v>
      </x:c>
      <x:c r="N1829" s="604" t="inlineStr">
        <x:is>
          <x:t xml:space="preserve">V4 Shadow Only；real_money=false</x:t>
        </x:is>
      </x:c>
      <x:c r="O1829" s="604" t="inlineStr">
        <x:is>
          <x:t xml:space="preserve">0-0</x:t>
        </x:is>
      </x:c>
      <x:c r="P1829" s="604" t="inlineStr">
        <x:is>
          <x:t xml:space="preserve">EVALUATED</x:t>
        </x:is>
      </x:c>
      <x:c r="Q1829" s="630" t="inlineStr">
        <x:is>
          <x:t xml:space="preserve"/>
        </x:is>
      </x:c>
      <x:c r="R1829" s="604" t="n"/>
      <x:c r="S1829" s="604" t="n"/>
      <x:c r="T1829" s="604" t="inlineStr">
        <x:is>
          <x:t xml:space="preserve">D:\codex\v3_legacy\outputs\football_odds_trader\raw\titan007\20261009\20261009_085232_titan007_odds_snapshot.csv</x:t>
        </x:is>
      </x:c>
      <x:c r="U1829" s="628" t="inlineStr">
        <x:is>
          <x:t xml:space="preserve"/>
        </x:is>
      </x:c>
      <x:c r="V1829" s="604" t="inlineStr">
        <x:is>
          <x:t xml:space="preserve"/>
        </x:is>
      </x:c>
      <x:c r="W1829" s="604" t="inlineStr">
        <x:is>
          <x:t xml:space="preserve"/>
        </x:is>
      </x:c>
      <x:c r="X1829" s="604" t="inlineStr">
        <x:is>
          <x:t xml:space="preserve">3100225</x:t>
        </x:is>
      </x:c>
      <x:c r="Y1829" s="604" t="inlineStr">
        <x:is>
          <x:t xml:space="preserve">V4</x:t>
        </x:is>
      </x:c>
      <x:c r="Z1829" s="604" t="inlineStr">
        <x:is>
          <x:t xml:space="preserve">prior-2026-10-09-v1</x:t>
        </x:is>
      </x:c>
      <x:c r="AA1829" s="604" t="inlineStr">
        <x:is>
          <x:t xml:space="preserve">N</x:t>
        </x:is>
      </x:c>
      <x:c r="AB1829" s="604" t="n">
        <x:v>0.006781970105822395</x:v>
      </x:c>
      <x:c r="AC1829" s="604" t="n">
        <x:v>0.9932180298941776</x:v>
      </x:c>
      <x:c r="AD1829" s="604" t="n">
        <x:v>-2</x:v>
      </x:c>
      <x:c r="AE1829" s="604" t="n"/>
      <x:c r="AF1829" s="604" t="n"/>
      <x:c r="AG1829" s="604" t="n">
        <x:v>0.8374533553042286</x:v>
      </x:c>
      <x:c r="AH1829" s="604" t="n"/>
      <x:c r="AI1829" s="604" t="n"/>
      <x:c r="AJ1829" s="604" t="n">
        <x:v>0.8374533553042286</x:v>
      </x:c>
      <x:c r="AK1829" s="604" t="n"/>
      <x:c r="AL1829" s="604" t="n"/>
      <x:c r="AM1829" s="604" t="n"/>
      <x:c r="AN1829" s="604" t="inlineStr">
        <x:is>
          <x:t xml:space="preserve">EVALUATED</x:t>
        </x:is>
      </x:c>
      <x:c r="AO1829" s="604" t="inlineStr">
        <x:is>
          <x:t xml:space="preserve">LOW_QUALITY_GATE;BUCKET_PRIOR_ONLY;INTENT_INTERPRETATION_ONLY;FFL_OPTIONAL;EXPERT_MARKET</x:t>
        </x:is>
      </x:c>
      <x:c r="AP1829" s="604" t="inlineStr">
        <x:is>
          <x:t xml:space="preserve">a77c4c8b87027a4ac7fe</x:t>
        </x:is>
      </x:c>
      <x:c r="AQ1829" s="604" t="n"/>
      <x:c r="AR1829" s="604" t="n"/>
      <x:c r="AS1829" s="604" t="n">
        <x:v>-1.5</x:v>
      </x:c>
      <x:c r="AT1829" s="604" t="n">
        <x:v>1.5</x:v>
      </x:c>
      <x:c r="AU1829" s="604" t="n">
        <x:v>0.85</x:v>
      </x:c>
      <x:c r="AV1829" s="604" t="n">
        <x:v>0.95</x:v>
      </x:c>
      <x:c r="AW1829" s="604" t="inlineStr">
        <x:is>
          <x:t xml:space="preserve">2026-10-09T09:01:21.127001+08:00</x:t>
        </x:is>
      </x:c>
      <x:c r="AX1829" s="604" t="inlineStr">
        <x:is>
          <x:t xml:space="preserve">Titan007/V4</x:t>
        </x:is>
      </x:c>
      <x:c r="AY1829" s="604" t="inlineStr">
        <x:is>
          <x:t xml:space="preserve">Daily append；市场输入缺失时不生成决策</x:t>
        </x:is>
      </x:c>
    </x:row>
    <x:row r="1830" ht="22" customHeight="1">
      <x:c r="A1830" s="604" t="inlineStr">
        <x:is>
          <x:t xml:space="preserve">2026-10-09</x:t>
        </x:is>
      </x:c>
      <x:c r="B1830" s="604" t="inlineStr">
        <x:is>
          <x:t xml:space="preserve">2026-10-10T01:00:00+08:00</x:t>
        </x:is>
      </x:c>
      <x:c r="C1830" s="604" t="str">
        <x:v>欧洲非五大系列</x:v>
      </x:c>
      <x:c r="D1830" s="604" t="inlineStr">
        <x:is>
          <x:t xml:space="preserve"/>
        </x:is>
      </x:c>
      <x:c r="E1830" s="604" t="inlineStr">
        <x:is>
          <x:t xml:space="preserve">奥丁</x:t>
        </x:is>
      </x:c>
      <x:c r="F1830" s="604" t="inlineStr">
        <x:is>
          <x:t xml:space="preserve">SK菲尔斯腾费尔德 vs 京德堡</x:t>
        </x:is>
      </x:c>
      <x:c r="G1830" s="604" t="n">
        <x:v>0.98</x:v>
      </x:c>
      <x:c r="H1830" s="604" t="n">
        <x:v>1</x:v>
      </x:c>
      <x:c r="I1830" s="604" t="n">
        <x:v>0.83</x:v>
      </x:c>
      <x:c r="J1830" s="604" t="inlineStr">
        <x:is>
          <x:t xml:space="preserve">0.98/1.0/0.83</x:t>
        </x:is>
      </x:c>
      <x:c r="K1830" s="604" t="inlineStr">
        <x:is>
          <x:t xml:space="preserve">V4-N</x:t>
        </x:is>
      </x:c>
      <x:c r="L1830" s="604" t="inlineStr">
        <x:is>
          <x:t xml:space="preserve"/>
        </x:is>
      </x:c>
      <x:c r="M1830" s="604" t="n">
        <x:v>0.3955681245028868</x:v>
      </x:c>
      <x:c r="N1830" s="604" t="inlineStr">
        <x:is>
          <x:t xml:space="preserve">V4 Shadow Only；real_money=false</x:t>
        </x:is>
      </x:c>
      <x:c r="O1830" s="604" t="inlineStr">
        <x:is>
          <x:t xml:space="preserve">0-0</x:t>
        </x:is>
      </x:c>
      <x:c r="P1830" s="604" t="inlineStr">
        <x:is>
          <x:t xml:space="preserve">EVALUATED</x:t>
        </x:is>
      </x:c>
      <x:c r="Q1830" s="630" t="inlineStr">
        <x:is>
          <x:t xml:space="preserve"/>
        </x:is>
      </x:c>
      <x:c r="R1830" s="604" t="n"/>
      <x:c r="S1830" s="604" t="n"/>
      <x:c r="T1830" s="604" t="inlineStr">
        <x:is>
          <x:t xml:space="preserve">D:\codex\v3_legacy\outputs\football_odds_trader\raw\titan007\20261009\20261009_085232_titan007_odds_snapshot.csv</x:t>
        </x:is>
      </x:c>
      <x:c r="U1830" s="628" t="inlineStr">
        <x:is>
          <x:t xml:space="preserve"/>
        </x:is>
      </x:c>
      <x:c r="V1830" s="604" t="inlineStr">
        <x:is>
          <x:t xml:space="preserve"/>
        </x:is>
      </x:c>
      <x:c r="W1830" s="604" t="inlineStr">
        <x:is>
          <x:t xml:space="preserve"/>
        </x:is>
      </x:c>
      <x:c r="X1830" s="604" t="inlineStr">
        <x:is>
          <x:t xml:space="preserve">3100231</x:t>
        </x:is>
      </x:c>
      <x:c r="Y1830" s="604" t="inlineStr">
        <x:is>
          <x:t xml:space="preserve">V4</x:t>
        </x:is>
      </x:c>
      <x:c r="Z1830" s="604" t="inlineStr">
        <x:is>
          <x:t xml:space="preserve">prior-2026-10-09-v1</x:t>
        </x:is>
      </x:c>
      <x:c r="AA1830" s="604" t="inlineStr">
        <x:is>
          <x:t xml:space="preserve">N</x:t>
        </x:is>
      </x:c>
      <x:c r="AB1830" s="604" t="n">
        <x:v>0.3955681245028868</x:v>
      </x:c>
      <x:c r="AC1830" s="604" t="n">
        <x:v>0.3492881054957044</x:v>
      </x:c>
      <x:c r="AD1830" s="604" t="n">
        <x:v>1.25</x:v>
      </x:c>
      <x:c r="AE1830" s="604" t="n"/>
      <x:c r="AF1830" s="604" t="n"/>
      <x:c r="AG1830" s="604" t="n">
        <x:v>0.03836865651712462</x:v>
      </x:c>
      <x:c r="AH1830" s="604" t="n"/>
      <x:c r="AI1830" s="604" t="n"/>
      <x:c r="AJ1830" s="604" t="n">
        <x:v>0.03836865651712462</x:v>
      </x:c>
      <x:c r="AK1830" s="604" t="n"/>
      <x:c r="AL1830" s="604" t="n"/>
      <x:c r="AM1830" s="604" t="n"/>
      <x:c r="AN1830" s="604" t="inlineStr">
        <x:is>
          <x:t xml:space="preserve">EVALUATED</x:t>
        </x:is>
      </x:c>
      <x:c r="AO1830" s="604" t="inlineStr">
        <x:is>
          <x:t xml:space="preserve">EDGE_BELOW_UNCERTAINTY_THRESHOLD;BUCKET_PRIOR_ONLY;INTENT_INTERPRETATION_ONLY;FFL_OPTIONAL;EXPERT_MARKET</x:t>
        </x:is>
      </x:c>
      <x:c r="AP1830" s="604" t="inlineStr">
        <x:is>
          <x:t xml:space="preserve">6ad279fdd9bf4f41a8cc</x:t>
        </x:is>
      </x:c>
      <x:c r="AQ1830" s="604" t="n"/>
      <x:c r="AR1830" s="604" t="n"/>
      <x:c r="AS1830" s="604" t="n">
        <x:v>1</x:v>
      </x:c>
      <x:c r="AT1830" s="604" t="n">
        <x:v>-1</x:v>
      </x:c>
      <x:c r="AU1830" s="604" t="n">
        <x:v>0.98</x:v>
      </x:c>
      <x:c r="AV1830" s="604" t="n">
        <x:v>0.83</x:v>
      </x:c>
      <x:c r="AW1830" s="604" t="inlineStr">
        <x:is>
          <x:t xml:space="preserve">2026-10-09T09:01:21.127001+08:00</x:t>
        </x:is>
      </x:c>
      <x:c r="AX1830" s="604" t="inlineStr">
        <x:is>
          <x:t xml:space="preserve">Titan007/V4</x:t>
        </x:is>
      </x:c>
      <x:c r="AY1830" s="604" t="inlineStr">
        <x:is>
          <x:t xml:space="preserve">Daily append；市场输入缺失时不生成决策</x:t>
        </x:is>
      </x:c>
    </x:row>
    <x:row r="1831" ht="22" customHeight="1">
      <x:c r="A1831" s="604" t="inlineStr">
        <x:is>
          <x:t xml:space="preserve">2026-10-09</x:t>
        </x:is>
      </x:c>
      <x:c r="B1831" s="604" t="inlineStr">
        <x:is>
          <x:t xml:space="preserve">2026-10-10T01:00:00+08:00</x:t>
        </x:is>
      </x:c>
      <x:c r="C1831" s="604" t="str">
        <x:v>欧洲非五大系列</x:v>
      </x:c>
      <x:c r="D1831" s="604" t="inlineStr">
        <x:is>
          <x:t xml:space="preserve"/>
        </x:is>
      </x:c>
      <x:c r="E1831" s="604" t="inlineStr">
        <x:is>
          <x:t xml:space="preserve">奥丁</x:t>
        </x:is>
      </x:c>
      <x:c r="F1831" s="604" t="inlineStr">
        <x:is>
          <x:t xml:space="preserve">圣维特格兰 vs 劳恩斯多夫</x:t>
        </x:is>
      </x:c>
      <x:c r="G1831" s="604" t="n">
        <x:v>0.98</x:v>
      </x:c>
      <x:c r="H1831" s="604" t="n">
        <x:v>0.5</x:v>
      </x:c>
      <x:c r="I1831" s="604" t="n">
        <x:v>0.83</x:v>
      </x:c>
      <x:c r="J1831" s="604" t="inlineStr">
        <x:is>
          <x:t xml:space="preserve">0.98/0.5/0.83</x:t>
        </x:is>
      </x:c>
      <x:c r="K1831" s="604" t="inlineStr">
        <x:is>
          <x:t xml:space="preserve">V4-N</x:t>
        </x:is>
      </x:c>
      <x:c r="L1831" s="604" t="inlineStr">
        <x:is>
          <x:t xml:space="preserve"/>
        </x:is>
      </x:c>
      <x:c r="M1831" s="604" t="n">
        <x:v>0.4674739817065408</x:v>
      </x:c>
      <x:c r="N1831" s="604" t="inlineStr">
        <x:is>
          <x:t xml:space="preserve">V4 Shadow Only；real_money=false</x:t>
        </x:is>
      </x:c>
      <x:c r="O1831" s="604" t="inlineStr">
        <x:is>
          <x:t xml:space="preserve">0-0</x:t>
        </x:is>
      </x:c>
      <x:c r="P1831" s="604" t="inlineStr">
        <x:is>
          <x:t xml:space="preserve">EVALUATED</x:t>
        </x:is>
      </x:c>
      <x:c r="Q1831" s="630" t="inlineStr">
        <x:is>
          <x:t xml:space="preserve"/>
        </x:is>
      </x:c>
      <x:c r="R1831" s="604" t="n"/>
      <x:c r="S1831" s="604" t="n"/>
      <x:c r="T1831" s="604" t="inlineStr">
        <x:is>
          <x:t xml:space="preserve">D:\codex\v3_legacy\outputs\football_odds_trader\raw\titan007\20261009\20261009_085232_titan007_odds_snapshot.csv</x:t>
        </x:is>
      </x:c>
      <x:c r="U1831" s="628" t="inlineStr">
        <x:is>
          <x:t xml:space="preserve"/>
        </x:is>
      </x:c>
      <x:c r="V1831" s="604" t="inlineStr">
        <x:is>
          <x:t xml:space="preserve"/>
        </x:is>
      </x:c>
      <x:c r="W1831" s="604" t="inlineStr">
        <x:is>
          <x:t xml:space="preserve"/>
        </x:is>
      </x:c>
      <x:c r="X1831" s="604" t="inlineStr">
        <x:is>
          <x:t xml:space="preserve">3100232</x:t>
        </x:is>
      </x:c>
      <x:c r="Y1831" s="604" t="inlineStr">
        <x:is>
          <x:t xml:space="preserve">V4</x:t>
        </x:is>
      </x:c>
      <x:c r="Z1831" s="604" t="inlineStr">
        <x:is>
          <x:t xml:space="preserve">prior-2026-10-09-v1</x:t>
        </x:is>
      </x:c>
      <x:c r="AA1831" s="604" t="inlineStr">
        <x:is>
          <x:t xml:space="preserve">N</x:t>
        </x:is>
      </x:c>
      <x:c r="AB1831" s="604" t="n">
        <x:v>0.4674739817065408</x:v>
      </x:c>
      <x:c r="AC1831" s="604" t="n">
        <x:v>0.5325260182934592</x:v>
      </x:c>
      <x:c r="AD1831" s="604" t="n">
        <x:v>0.5</x:v>
      </x:c>
      <x:c r="AE1831" s="604" t="n"/>
      <x:c r="AF1831" s="604" t="n"/>
      <x:c r="AG1831" s="604" t="n">
        <x:v>-0.02547738652296966</x:v>
      </x:c>
      <x:c r="AH1831" s="604" t="n"/>
      <x:c r="AI1831" s="604" t="n"/>
      <x:c r="AJ1831" s="604" t="n">
        <x:v>-0.02547738652296966</x:v>
      </x:c>
      <x:c r="AK1831" s="604" t="n"/>
      <x:c r="AL1831" s="604" t="n"/>
      <x:c r="AM1831" s="604" t="n"/>
      <x:c r="AN1831" s="604" t="inlineStr">
        <x:is>
          <x:t xml:space="preserve">EVALUATED</x:t>
        </x:is>
      </x:c>
      <x:c r="AO1831" s="604" t="inlineStr">
        <x:is>
          <x:t xml:space="preserve">EDGE_BELOW_UNCERTAINTY_THRESHOLD;BUCKET_PRIOR_ONLY;INTENT_INTERPRETATION_ONLY;FFL_OPTIONAL;EXPERT_MARKET</x:t>
        </x:is>
      </x:c>
      <x:c r="AP1831" s="604" t="inlineStr">
        <x:is>
          <x:t xml:space="preserve">2491ea3ede7d8313d64f</x:t>
        </x:is>
      </x:c>
      <x:c r="AQ1831" s="604" t="n"/>
      <x:c r="AR1831" s="604" t="n"/>
      <x:c r="AS1831" s="604" t="n">
        <x:v>0.5</x:v>
      </x:c>
      <x:c r="AT1831" s="604" t="n">
        <x:v>-0.5</x:v>
      </x:c>
      <x:c r="AU1831" s="604" t="n">
        <x:v>0.98</x:v>
      </x:c>
      <x:c r="AV1831" s="604" t="n">
        <x:v>0.83</x:v>
      </x:c>
      <x:c r="AW1831" s="604" t="inlineStr">
        <x:is>
          <x:t xml:space="preserve">2026-10-09T09:01:21.127001+08:00</x:t>
        </x:is>
      </x:c>
      <x:c r="AX1831" s="604" t="inlineStr">
        <x:is>
          <x:t xml:space="preserve">Titan007/V4</x:t>
        </x:is>
      </x:c>
      <x:c r="AY1831" s="604" t="inlineStr">
        <x:is>
          <x:t xml:space="preserve">Daily append；市场输入缺失时不生成决策</x:t>
        </x:is>
      </x:c>
    </x:row>
    <x:row r="1832" ht="22" customHeight="1">
      <x:c r="A1832" s="604" t="inlineStr">
        <x:is>
          <x:t xml:space="preserve">2026-10-09</x:t>
        </x:is>
      </x:c>
      <x:c r="B1832" s="604" t="inlineStr">
        <x:is>
          <x:t xml:space="preserve">2026-10-10T00:00:00+08:00</x:t>
        </x:is>
      </x:c>
      <x:c r="C1832" s="604" t="str">
        <x:v>欧洲非五大系列</x:v>
      </x:c>
      <x:c r="D1832" s="604" t="inlineStr">
        <x:is>
          <x:t xml:space="preserve"/>
        </x:is>
      </x:c>
      <x:c r="E1832" s="604" t="inlineStr">
        <x:is>
          <x:t xml:space="preserve">奥丁</x:t>
        </x:is>
      </x:c>
      <x:c r="F1832" s="604" t="inlineStr">
        <x:is>
          <x:t xml:space="preserve">SV盖拉斯多夫结巴 vs 第一维也纳1894业余</x:t>
        </x:is>
      </x:c>
      <x:c r="G1832" s="604" t="n">
        <x:v>0.93</x:v>
      </x:c>
      <x:c r="H1832" s="604" t="n">
        <x:v>-0.25</x:v>
      </x:c>
      <x:c r="I1832" s="604" t="n">
        <x:v>0.88</x:v>
      </x:c>
      <x:c r="J1832" s="604" t="inlineStr">
        <x:is>
          <x:t xml:space="preserve">0.93/-0.25/0.88</x:t>
        </x:is>
      </x:c>
      <x:c r="K1832" s="604" t="inlineStr">
        <x:is>
          <x:t xml:space="preserve">V4-N</x:t>
        </x:is>
      </x:c>
      <x:c r="L1832" s="604" t="inlineStr">
        <x:is>
          <x:t xml:space="preserve"/>
        </x:is>
      </x:c>
      <x:c r="M1832" s="604" t="n">
        <x:v>0.281385584611883</x:v>
      </x:c>
      <x:c r="N1832" s="604" t="inlineStr">
        <x:is>
          <x:t xml:space="preserve">V4 Shadow Only；real_money=false</x:t>
        </x:is>
      </x:c>
      <x:c r="O1832" s="604" t="inlineStr">
        <x:is>
          <x:t xml:space="preserve">0-0</x:t>
        </x:is>
      </x:c>
      <x:c r="P1832" s="604" t="inlineStr">
        <x:is>
          <x:t xml:space="preserve">EVALUATED</x:t>
        </x:is>
      </x:c>
      <x:c r="Q1832" s="630" t="inlineStr">
        <x:is>
          <x:t xml:space="preserve"/>
        </x:is>
      </x:c>
      <x:c r="R1832" s="604" t="n"/>
      <x:c r="S1832" s="604" t="n"/>
      <x:c r="T1832" s="604" t="inlineStr">
        <x:is>
          <x:t xml:space="preserve">D:\codex\v3_legacy\outputs\football_odds_trader\raw\titan007\20261009\20261009_085232_titan007_odds_snapshot.csv</x:t>
        </x:is>
      </x:c>
      <x:c r="U1832" s="628" t="inlineStr">
        <x:is>
          <x:t xml:space="preserve"/>
        </x:is>
      </x:c>
      <x:c r="V1832" s="604" t="inlineStr">
        <x:is>
          <x:t xml:space="preserve"/>
        </x:is>
      </x:c>
      <x:c r="W1832" s="604" t="inlineStr">
        <x:is>
          <x:t xml:space="preserve"/>
        </x:is>
      </x:c>
      <x:c r="X1832" s="604" t="inlineStr">
        <x:is>
          <x:t xml:space="preserve">3100233</x:t>
        </x:is>
      </x:c>
      <x:c r="Y1832" s="604" t="inlineStr">
        <x:is>
          <x:t xml:space="preserve">V4</x:t>
        </x:is>
      </x:c>
      <x:c r="Z1832" s="604" t="inlineStr">
        <x:is>
          <x:t xml:space="preserve">prior-2026-10-09-v1</x:t>
        </x:is>
      </x:c>
      <x:c r="AA1832" s="604" t="inlineStr">
        <x:is>
          <x:t xml:space="preserve">N</x:t>
        </x:is>
      </x:c>
      <x:c r="AB1832" s="604" t="n">
        <x:v>0.281385584611883</x:v>
      </x:c>
      <x:c r="AC1832" s="604" t="n">
        <x:v>0.5905735421702056</x:v>
      </x:c>
      <x:c r="AD1832" s="604" t="n">
        <x:v>-0.5</x:v>
      </x:c>
      <x:c r="AE1832" s="604" t="n"/>
      <x:c r="AF1832" s="604" t="n"/>
      <x:c r="AG1832" s="604" t="n">
        <x:v>0.2678478096064084</x:v>
      </x:c>
      <x:c r="AH1832" s="604" t="n"/>
      <x:c r="AI1832" s="604" t="n"/>
      <x:c r="AJ1832" s="604" t="n">
        <x:v>0.2678478096064084</x:v>
      </x:c>
      <x:c r="AK1832" s="604" t="n"/>
      <x:c r="AL1832" s="604" t="n"/>
      <x:c r="AM1832" s="604" t="n"/>
      <x:c r="AN1832" s="604" t="inlineStr">
        <x:is>
          <x:t xml:space="preserve">EVALUATED</x:t>
        </x:is>
      </x:c>
      <x:c r="AO1832" s="604" t="inlineStr">
        <x:is>
          <x:t xml:space="preserve">LOW_QUALITY_GATE;BUCKET_PRIOR_ONLY;INTENT_INTERPRETATION_ONLY;FFL_OPTIONAL;EXPERT_MARKET</x:t>
        </x:is>
      </x:c>
      <x:c r="AP1832" s="604" t="inlineStr">
        <x:is>
          <x:t xml:space="preserve">3eb7b6d1ef46f38c6201</x:t>
        </x:is>
      </x:c>
      <x:c r="AQ1832" s="604" t="n"/>
      <x:c r="AR1832" s="604" t="n"/>
      <x:c r="AS1832" s="604" t="n">
        <x:v>-0.25</x:v>
      </x:c>
      <x:c r="AT1832" s="604" t="n">
        <x:v>0.25</x:v>
      </x:c>
      <x:c r="AU1832" s="604" t="n">
        <x:v>0.93</x:v>
      </x:c>
      <x:c r="AV1832" s="604" t="n">
        <x:v>0.88</x:v>
      </x:c>
      <x:c r="AW1832" s="604" t="inlineStr">
        <x:is>
          <x:t xml:space="preserve">2026-10-09T09:01:21.127001+08:00</x:t>
        </x:is>
      </x:c>
      <x:c r="AX1832" s="604" t="inlineStr">
        <x:is>
          <x:t xml:space="preserve">Titan007/V4</x:t>
        </x:is>
      </x:c>
      <x:c r="AY1832" s="604" t="inlineStr">
        <x:is>
          <x:t xml:space="preserve">Daily append；市场输入缺失时不生成决策</x:t>
        </x:is>
      </x:c>
    </x:row>
    <x:row r="1833" ht="22" customHeight="1">
      <x:c r="A1833" s="604" t="inlineStr">
        <x:is>
          <x:t xml:space="preserve">2026-10-09</x:t>
        </x:is>
      </x:c>
      <x:c r="B1833" s="604" t="inlineStr">
        <x:is>
          <x:t xml:space="preserve">2026-10-10T01:00:00+08:00</x:t>
        </x:is>
      </x:c>
      <x:c r="C1833" s="604" t="str">
        <x:v>欧洲非五大系列</x:v>
      </x:c>
      <x:c r="D1833" s="604" t="inlineStr">
        <x:is>
          <x:t xml:space="preserve"/>
        </x:is>
      </x:c>
      <x:c r="E1833" s="604" t="inlineStr">
        <x:is>
          <x:t xml:space="preserve">奥丁</x:t>
        </x:is>
      </x:c>
      <x:c r="F1833" s="604" t="inlineStr">
        <x:is>
          <x:t xml:space="preserve">UFC费灵 vs SV伊勒尔</x:t>
        </x:is>
      </x:c>
      <x:c r="G1833" s="604" t="n">
        <x:v>0.83</x:v>
      </x:c>
      <x:c r="H1833" s="604" t="n">
        <x:v>-1.25</x:v>
      </x:c>
      <x:c r="I1833" s="604" t="n">
        <x:v>0.98</x:v>
      </x:c>
      <x:c r="J1833" s="604" t="inlineStr">
        <x:is>
          <x:t xml:space="preserve">0.83/-1.25/0.98</x:t>
        </x:is>
      </x:c>
      <x:c r="K1833" s="604" t="inlineStr">
        <x:is>
          <x:t xml:space="preserve">V4-N</x:t>
        </x:is>
      </x:c>
      <x:c r="L1833" s="604" t="inlineStr">
        <x:is>
          <x:t xml:space="preserve"/>
        </x:is>
      </x:c>
      <x:c r="M1833" s="604" t="n">
        <x:v>0.02897903569991335</x:v>
      </x:c>
      <x:c r="N1833" s="604" t="inlineStr">
        <x:is>
          <x:t xml:space="preserve">V4 Shadow Only；real_money=false</x:t>
        </x:is>
      </x:c>
      <x:c r="O1833" s="604" t="inlineStr">
        <x:is>
          <x:t xml:space="preserve">0-0</x:t>
        </x:is>
      </x:c>
      <x:c r="P1833" s="604" t="inlineStr">
        <x:is>
          <x:t xml:space="preserve">EVALUATED</x:t>
        </x:is>
      </x:c>
      <x:c r="Q1833" s="630" t="inlineStr">
        <x:is>
          <x:t xml:space="preserve"/>
        </x:is>
      </x:c>
      <x:c r="R1833" s="604" t="n"/>
      <x:c r="S1833" s="604" t="n"/>
      <x:c r="T1833" s="604" t="inlineStr">
        <x:is>
          <x:t xml:space="preserve">D:\codex\v3_legacy\outputs\football_odds_trader\raw\titan007\20261009\20261009_085232_titan007_odds_snapshot.csv</x:t>
        </x:is>
      </x:c>
      <x:c r="U1833" s="628" t="inlineStr">
        <x:is>
          <x:t xml:space="preserve"/>
        </x:is>
      </x:c>
      <x:c r="V1833" s="604" t="inlineStr">
        <x:is>
          <x:t xml:space="preserve"/>
        </x:is>
      </x:c>
      <x:c r="W1833" s="604" t="inlineStr">
        <x:is>
          <x:t xml:space="preserve"/>
        </x:is>
      </x:c>
      <x:c r="X1833" s="604" t="inlineStr">
        <x:is>
          <x:t xml:space="preserve">3100234</x:t>
        </x:is>
      </x:c>
      <x:c r="Y1833" s="604" t="inlineStr">
        <x:is>
          <x:t xml:space="preserve">V4</x:t>
        </x:is>
      </x:c>
      <x:c r="Z1833" s="604" t="inlineStr">
        <x:is>
          <x:t xml:space="preserve">prior-2026-10-09-v1</x:t>
        </x:is>
      </x:c>
      <x:c r="AA1833" s="604" t="inlineStr">
        <x:is>
          <x:t xml:space="preserve">N</x:t>
        </x:is>
      </x:c>
      <x:c r="AB1833" s="604" t="n">
        <x:v>0.02897903569991335</x:v>
      </x:c>
      <x:c r="AC1833" s="604" t="n">
        <x:v>0.9286134325177932</x:v>
      </x:c>
      <x:c r="AD1833" s="604" t="n">
        <x:v>-1.25</x:v>
      </x:c>
      <x:c r="AE1833" s="604" t="n"/>
      <x:c r="AF1833" s="604" t="n"/>
      <x:c r="AG1833" s="604" t="n">
        <x:v>0.741770113289855</x:v>
      </x:c>
      <x:c r="AH1833" s="604" t="n"/>
      <x:c r="AI1833" s="604" t="n"/>
      <x:c r="AJ1833" s="604" t="n">
        <x:v>0.741770113289855</x:v>
      </x:c>
      <x:c r="AK1833" s="604" t="n"/>
      <x:c r="AL1833" s="604" t="n"/>
      <x:c r="AM1833" s="604" t="n"/>
      <x:c r="AN1833" s="604" t="inlineStr">
        <x:is>
          <x:t xml:space="preserve">EVALUATED</x:t>
        </x:is>
      </x:c>
      <x:c r="AO1833" s="604" t="inlineStr">
        <x:is>
          <x:t xml:space="preserve">LOW_QUALITY_GATE;BUCKET_PRIOR_ONLY;INTENT_INTERPRETATION_ONLY;FFL_OPTIONAL;EXPERT_MARKET</x:t>
        </x:is>
      </x:c>
      <x:c r="AP1833" s="604" t="inlineStr">
        <x:is>
          <x:t xml:space="preserve">f748947a551ea30d850e</x:t>
        </x:is>
      </x:c>
      <x:c r="AQ1833" s="604" t="n"/>
      <x:c r="AR1833" s="604" t="n"/>
      <x:c r="AS1833" s="604" t="n">
        <x:v>-1.25</x:v>
      </x:c>
      <x:c r="AT1833" s="604" t="n">
        <x:v>1.25</x:v>
      </x:c>
      <x:c r="AU1833" s="604" t="n">
        <x:v>0.83</x:v>
      </x:c>
      <x:c r="AV1833" s="604" t="n">
        <x:v>0.98</x:v>
      </x:c>
      <x:c r="AW1833" s="604" t="inlineStr">
        <x:is>
          <x:t xml:space="preserve">2026-10-09T09:01:21.127001+08:00</x:t>
        </x:is>
      </x:c>
      <x:c r="AX1833" s="604" t="inlineStr">
        <x:is>
          <x:t xml:space="preserve">Titan007/V4</x:t>
        </x:is>
      </x:c>
      <x:c r="AY1833" s="604" t="inlineStr">
        <x:is>
          <x:t xml:space="preserve">Daily append；市场输入缺失时不生成决策</x:t>
        </x:is>
      </x:c>
    </x:row>
    <x:row r="1834" ht="22" customHeight="1">
      <x:c r="A1834" s="604" t="inlineStr">
        <x:is>
          <x:t xml:space="preserve">2026-10-09</x:t>
        </x:is>
      </x:c>
      <x:c r="B1834" s="604" t="inlineStr">
        <x:is>
          <x:t xml:space="preserve">2026-10-10T00:30:00+08:00</x:t>
        </x:is>
      </x:c>
      <x:c r="C1834" s="604" t="str">
        <x:v>欧洲非五大系列</x:v>
      </x:c>
      <x:c r="D1834" s="604" t="inlineStr">
        <x:is>
          <x:t xml:space="preserve"/>
        </x:is>
      </x:c>
      <x:c r="E1834" s="604" t="inlineStr">
        <x:is>
          <x:t xml:space="preserve">奥丁</x:t>
        </x:is>
      </x:c>
      <x:c r="F1834" s="604" t="inlineStr">
        <x:is>
          <x:t xml:space="preserve">施特拉施华尔臣 vs USV伯恩多夫1960</x:t>
        </x:is>
      </x:c>
      <x:c r="G1834" s="604" t="n">
        <x:v>0.9</x:v>
      </x:c>
      <x:c r="H1834" s="604" t="n">
        <x:v>1.25</x:v>
      </x:c>
      <x:c r="I1834" s="604" t="n">
        <x:v>0.9</x:v>
      </x:c>
      <x:c r="J1834" s="604" t="inlineStr">
        <x:is>
          <x:t xml:space="preserve">0.9/1.25/0.9</x:t>
        </x:is>
      </x:c>
      <x:c r="K1834" s="604" t="inlineStr">
        <x:is>
          <x:t xml:space="preserve">V4-N</x:t>
        </x:is>
      </x:c>
      <x:c r="L1834" s="604" t="inlineStr">
        <x:is>
          <x:t xml:space="preserve"/>
        </x:is>
      </x:c>
      <x:c r="M1834" s="604" t="n">
        <x:v>0.470009755902744</x:v>
      </x:c>
      <x:c r="N1834" s="604" t="inlineStr">
        <x:is>
          <x:t xml:space="preserve">V4 Shadow Only；real_money=false</x:t>
        </x:is>
      </x:c>
      <x:c r="O1834" s="604" t="inlineStr">
        <x:is>
          <x:t xml:space="preserve">0-0</x:t>
        </x:is>
      </x:c>
      <x:c r="P1834" s="604" t="inlineStr">
        <x:is>
          <x:t xml:space="preserve">EVALUATED</x:t>
        </x:is>
      </x:c>
      <x:c r="Q1834" s="630" t="inlineStr">
        <x:is>
          <x:t xml:space="preserve"/>
        </x:is>
      </x:c>
      <x:c r="R1834" s="604" t="n"/>
      <x:c r="S1834" s="604" t="n"/>
      <x:c r="T1834" s="604" t="inlineStr">
        <x:is>
          <x:t xml:space="preserve">D:\codex\v3_legacy\outputs\football_odds_trader\raw\titan007\20261009\20261009_085232_titan007_odds_snapshot.csv</x:t>
        </x:is>
      </x:c>
      <x:c r="U1834" s="628" t="inlineStr">
        <x:is>
          <x:t xml:space="preserve"/>
        </x:is>
      </x:c>
      <x:c r="V1834" s="604" t="inlineStr">
        <x:is>
          <x:t xml:space="preserve"/>
        </x:is>
      </x:c>
      <x:c r="W1834" s="604" t="inlineStr">
        <x:is>
          <x:t xml:space="preserve"/>
        </x:is>
      </x:c>
      <x:c r="X1834" s="604" t="inlineStr">
        <x:is>
          <x:t xml:space="preserve">3100235</x:t>
        </x:is>
      </x:c>
      <x:c r="Y1834" s="604" t="inlineStr">
        <x:is>
          <x:t xml:space="preserve">V4</x:t>
        </x:is>
      </x:c>
      <x:c r="Z1834" s="604" t="inlineStr">
        <x:is>
          <x:t xml:space="preserve">prior-2026-10-09-v1</x:t>
        </x:is>
      </x:c>
      <x:c r="AA1834" s="604" t="inlineStr">
        <x:is>
          <x:t xml:space="preserve">N</x:t>
        </x:is>
      </x:c>
      <x:c r="AB1834" s="604" t="n">
        <x:v>0.470009755902744</x:v>
      </x:c>
      <x:c r="AC1834" s="604" t="n">
        <x:v>0.40409680015968</x:v>
      </x:c>
      <x:c r="AD1834" s="604" t="n">
        <x:v>1.5</x:v>
      </x:c>
      <x:c r="AE1834" s="604" t="n"/>
      <x:c r="AF1834" s="604" t="n"/>
      <x:c r="AG1834" s="604" t="n">
        <x:v>0.01891198015278955</x:v>
      </x:c>
      <x:c r="AH1834" s="604" t="n"/>
      <x:c r="AI1834" s="604" t="n"/>
      <x:c r="AJ1834" s="604" t="n">
        <x:v>0.01891198015278955</x:v>
      </x:c>
      <x:c r="AK1834" s="604" t="n"/>
      <x:c r="AL1834" s="604" t="n"/>
      <x:c r="AM1834" s="604" t="n"/>
      <x:c r="AN1834" s="604" t="inlineStr">
        <x:is>
          <x:t xml:space="preserve">EVALUATED</x:t>
        </x:is>
      </x:c>
      <x:c r="AO1834" s="604" t="inlineStr">
        <x:is>
          <x:t xml:space="preserve">EDGE_BELOW_UNCERTAINTY_THRESHOLD;BUCKET_PRIOR_ONLY;INTENT_INTERPRETATION_ONLY;FFL_OPTIONAL;EXPERT_MARKET</x:t>
        </x:is>
      </x:c>
      <x:c r="AP1834" s="604" t="inlineStr">
        <x:is>
          <x:t xml:space="preserve">127a69e167fb131d2838</x:t>
        </x:is>
      </x:c>
      <x:c r="AQ1834" s="604" t="n"/>
      <x:c r="AR1834" s="604" t="n"/>
      <x:c r="AS1834" s="604" t="n">
        <x:v>1.25</x:v>
      </x:c>
      <x:c r="AT1834" s="604" t="n">
        <x:v>-1.25</x:v>
      </x:c>
      <x:c r="AU1834" s="604" t="n">
        <x:v>0.9</x:v>
      </x:c>
      <x:c r="AV1834" s="604" t="n">
        <x:v>0.9</x:v>
      </x:c>
      <x:c r="AW1834" s="604" t="inlineStr">
        <x:is>
          <x:t xml:space="preserve">2026-10-09T09:01:21.127001+08:00</x:t>
        </x:is>
      </x:c>
      <x:c r="AX1834" s="604" t="inlineStr">
        <x:is>
          <x:t xml:space="preserve">Titan007/V4</x:t>
        </x:is>
      </x:c>
      <x:c r="AY1834" s="604" t="inlineStr">
        <x:is>
          <x:t xml:space="preserve">Daily append；市场输入缺失时不生成决策</x:t>
        </x:is>
      </x:c>
    </x:row>
    <x:row r="1835" ht="22" customHeight="1">
      <x:c r="A1835" s="604" t="inlineStr">
        <x:is>
          <x:t xml:space="preserve">2026-10-09</x:t>
        </x:is>
      </x:c>
      <x:c r="B1835" s="604" t="inlineStr">
        <x:is>
          <x:t xml:space="preserve">2026-10-10T01:00:00+08:00</x:t>
        </x:is>
      </x:c>
      <x:c r="C1835" s="604" t="str">
        <x:v>欧洲非五大系列</x:v>
      </x:c>
      <x:c r="D1835" s="604" t="inlineStr">
        <x:is>
          <x:t xml:space="preserve"/>
        </x:is>
      </x:c>
      <x:c r="E1835" s="604" t="inlineStr">
        <x:is>
          <x:t xml:space="preserve">奥丁</x:t>
        </x:is>
      </x:c>
      <x:c r="F1835" s="604" t="inlineStr">
        <x:is>
          <x:t xml:space="preserve">圣安纳 vs SV雷布林市</x:t>
        </x:is>
      </x:c>
      <x:c r="G1835" s="604" t="n">
        <x:v>0.83</x:v>
      </x:c>
      <x:c r="H1835" s="604" t="n">
        <x:v>-0.25</x:v>
      </x:c>
      <x:c r="I1835" s="604" t="n">
        <x:v>0.98</x:v>
      </x:c>
      <x:c r="J1835" s="604" t="inlineStr">
        <x:is>
          <x:t xml:space="preserve">0.83/-0.25/0.98</x:t>
        </x:is>
      </x:c>
      <x:c r="K1835" s="604" t="inlineStr">
        <x:is>
          <x:t xml:space="preserve">V4-N</x:t>
        </x:is>
      </x:c>
      <x:c r="L1835" s="604" t="inlineStr">
        <x:is>
          <x:t xml:space="preserve"/>
        </x:is>
      </x:c>
      <x:c r="M1835" s="604" t="n">
        <x:v>0.3257904534503501</x:v>
      </x:c>
      <x:c r="N1835" s="604" t="inlineStr">
        <x:is>
          <x:t xml:space="preserve">V4 Shadow Only；real_money=false</x:t>
        </x:is>
      </x:c>
      <x:c r="O1835" s="604" t="inlineStr">
        <x:is>
          <x:t xml:space="preserve">0-0</x:t>
        </x:is>
      </x:c>
      <x:c r="P1835" s="604" t="inlineStr">
        <x:is>
          <x:t xml:space="preserve">EVALUATED</x:t>
        </x:is>
      </x:c>
      <x:c r="Q1835" s="630" t="inlineStr">
        <x:is>
          <x:t xml:space="preserve"/>
        </x:is>
      </x:c>
      <x:c r="R1835" s="604" t="n"/>
      <x:c r="S1835" s="604" t="n"/>
      <x:c r="T1835" s="604" t="inlineStr">
        <x:is>
          <x:t xml:space="preserve">D:\codex\v3_legacy\outputs\football_odds_trader\raw\titan007\20261009\20261009_085232_titan007_odds_snapshot.csv</x:t>
        </x:is>
      </x:c>
      <x:c r="U1835" s="628" t="inlineStr">
        <x:is>
          <x:t xml:space="preserve"/>
        </x:is>
      </x:c>
      <x:c r="V1835" s="604" t="inlineStr">
        <x:is>
          <x:t xml:space="preserve"/>
        </x:is>
      </x:c>
      <x:c r="W1835" s="604" t="inlineStr">
        <x:is>
          <x:t xml:space="preserve"/>
        </x:is>
      </x:c>
      <x:c r="X1835" s="604" t="inlineStr">
        <x:is>
          <x:t xml:space="preserve">3100236</x:t>
        </x:is>
      </x:c>
      <x:c r="Y1835" s="604" t="inlineStr">
        <x:is>
          <x:t xml:space="preserve">V4</x:t>
        </x:is>
      </x:c>
      <x:c r="Z1835" s="604" t="inlineStr">
        <x:is>
          <x:t xml:space="preserve">prior-2026-10-09-v1</x:t>
        </x:is>
      </x:c>
      <x:c r="AA1835" s="604" t="inlineStr">
        <x:is>
          <x:t xml:space="preserve">N</x:t>
        </x:is>
      </x:c>
      <x:c r="AB1835" s="604" t="n">
        <x:v>0.3257904534503501</x:v>
      </x:c>
      <x:c r="AC1835" s="604" t="n">
        <x:v>0.5439584404600667</x:v>
      </x:c>
      <x:c r="AD1835" s="604" t="n">
        <x:v>-0.25</x:v>
      </x:c>
      <x:c r="AE1835" s="604" t="n"/>
      <x:c r="AF1835" s="604" t="n"/>
      <x:c r="AG1835" s="604" t="n">
        <x:v>0.1256950521315052</x:v>
      </x:c>
      <x:c r="AH1835" s="604" t="n"/>
      <x:c r="AI1835" s="604" t="n"/>
      <x:c r="AJ1835" s="604" t="n">
        <x:v>0.1256950521315052</x:v>
      </x:c>
      <x:c r="AK1835" s="604" t="n"/>
      <x:c r="AL1835" s="604" t="n"/>
      <x:c r="AM1835" s="604" t="n"/>
      <x:c r="AN1835" s="604" t="inlineStr">
        <x:is>
          <x:t xml:space="preserve">EVALUATED</x:t>
        </x:is>
      </x:c>
      <x:c r="AO1835" s="604" t="inlineStr">
        <x:is>
          <x:t xml:space="preserve">LOW_QUALITY_GATE;BUCKET_PRIOR_ONLY;INTENT_INTERPRETATION_ONLY;FFL_OPTIONAL;EXPERT_MARKET</x:t>
        </x:is>
      </x:c>
      <x:c r="AP1835" s="604" t="inlineStr">
        <x:is>
          <x:t xml:space="preserve">94fad768ebf35422c8ee</x:t>
        </x:is>
      </x:c>
      <x:c r="AQ1835" s="604" t="n"/>
      <x:c r="AR1835" s="604" t="n"/>
      <x:c r="AS1835" s="604" t="n">
        <x:v>-0.25</x:v>
      </x:c>
      <x:c r="AT1835" s="604" t="n">
        <x:v>0.25</x:v>
      </x:c>
      <x:c r="AU1835" s="604" t="n">
        <x:v>0.83</x:v>
      </x:c>
      <x:c r="AV1835" s="604" t="n">
        <x:v>0.98</x:v>
      </x:c>
      <x:c r="AW1835" s="604" t="inlineStr">
        <x:is>
          <x:t xml:space="preserve">2026-10-09T09:01:21.127001+08:00</x:t>
        </x:is>
      </x:c>
      <x:c r="AX1835" s="604" t="inlineStr">
        <x:is>
          <x:t xml:space="preserve">Titan007/V4</x:t>
        </x:is>
      </x:c>
      <x:c r="AY1835" s="604" t="inlineStr">
        <x:is>
          <x:t xml:space="preserve">Daily append；市场输入缺失时不生成决策</x:t>
        </x:is>
      </x:c>
    </x:row>
    <x:row r="1836" ht="22" customHeight="1">
      <x:c r="A1836" s="604" t="inlineStr">
        <x:is>
          <x:t xml:space="preserve">2026-10-09</x:t>
        </x:is>
      </x:c>
      <x:c r="B1836" s="604" t="inlineStr">
        <x:is>
          <x:t xml:space="preserve">2026-10-10T00:00:00+08:00</x:t>
        </x:is>
      </x:c>
      <x:c r="C1836" s="604" t="str">
        <x:v>欧洲非五大系列</x:v>
      </x:c>
      <x:c r="D1836" s="604" t="inlineStr">
        <x:is>
          <x:t xml:space="preserve"/>
        </x:is>
      </x:c>
      <x:c r="E1836" s="604" t="inlineStr">
        <x:is>
          <x:t xml:space="preserve">奥丁</x:t>
        </x:is>
      </x:c>
      <x:c r="F1836" s="604" t="inlineStr">
        <x:is>
          <x:t xml:space="preserve">维也纳利尼恩 vs 维瓦宾特</x:t>
        </x:is>
      </x:c>
      <x:c r="G1836" s="604" t="n">
        <x:v>0.85</x:v>
      </x:c>
      <x:c r="H1836" s="604" t="n">
        <x:v>1</x:v>
      </x:c>
      <x:c r="I1836" s="604" t="n">
        <x:v>0.95</x:v>
      </x:c>
      <x:c r="J1836" s="604" t="inlineStr">
        <x:is>
          <x:t xml:space="preserve">0.85/1.0/0.95</x:t>
        </x:is>
      </x:c>
      <x:c r="K1836" s="604" t="inlineStr">
        <x:is>
          <x:t xml:space="preserve">V4-N</x:t>
        </x:is>
      </x:c>
      <x:c r="L1836" s="604" t="inlineStr">
        <x:is>
          <x:t xml:space="preserve"/>
        </x:is>
      </x:c>
      <x:c r="M1836" s="604" t="n">
        <x:v>0.4265045802779204</x:v>
      </x:c>
      <x:c r="N1836" s="604" t="inlineStr">
        <x:is>
          <x:t xml:space="preserve">V4 Shadow Only；real_money=false</x:t>
        </x:is>
      </x:c>
      <x:c r="O1836" s="604" t="inlineStr">
        <x:is>
          <x:t xml:space="preserve">0-0</x:t>
        </x:is>
      </x:c>
      <x:c r="P1836" s="604" t="inlineStr">
        <x:is>
          <x:t xml:space="preserve">EVALUATED</x:t>
        </x:is>
      </x:c>
      <x:c r="Q1836" s="630" t="inlineStr">
        <x:is>
          <x:t xml:space="preserve"/>
        </x:is>
      </x:c>
      <x:c r="R1836" s="604" t="n"/>
      <x:c r="S1836" s="604" t="n"/>
      <x:c r="T1836" s="604" t="inlineStr">
        <x:is>
          <x:t xml:space="preserve">D:\codex\v3_legacy\outputs\football_odds_trader\raw\titan007\20261009\20261009_085232_titan007_odds_snapshot.csv</x:t>
        </x:is>
      </x:c>
      <x:c r="U1836" s="628" t="inlineStr">
        <x:is>
          <x:t xml:space="preserve"/>
        </x:is>
      </x:c>
      <x:c r="V1836" s="604" t="inlineStr">
        <x:is>
          <x:t xml:space="preserve"/>
        </x:is>
      </x:c>
      <x:c r="W1836" s="604" t="inlineStr">
        <x:is>
          <x:t xml:space="preserve"/>
        </x:is>
      </x:c>
      <x:c r="X1836" s="604" t="inlineStr">
        <x:is>
          <x:t xml:space="preserve">3100237</x:t>
        </x:is>
      </x:c>
      <x:c r="Y1836" s="604" t="inlineStr">
        <x:is>
          <x:t xml:space="preserve">V4</x:t>
        </x:is>
      </x:c>
      <x:c r="Z1836" s="604" t="inlineStr">
        <x:is>
          <x:t xml:space="preserve">prior-2026-10-09-v1</x:t>
        </x:is>
      </x:c>
      <x:c r="AA1836" s="604" t="inlineStr">
        <x:is>
          <x:t xml:space="preserve">N</x:t>
        </x:is>
      </x:c>
      <x:c r="AB1836" s="604" t="n">
        <x:v>0.4265045802779204</x:v>
      </x:c>
      <x:c r="AC1836" s="604" t="n">
        <x:v>0.3183005198424061</x:v>
      </x:c>
      <x:c r="AD1836" s="604" t="n">
        <x:v>1.25</x:v>
      </x:c>
      <x:c r="AE1836" s="604" t="n"/>
      <x:c r="AF1836" s="604" t="n"/>
      <x:c r="AG1836" s="604" t="n">
        <x:v>0.04422837339382618</x:v>
      </x:c>
      <x:c r="AH1836" s="604" t="n"/>
      <x:c r="AI1836" s="604" t="n"/>
      <x:c r="AJ1836" s="604" t="n">
        <x:v>0.04422837339382618</x:v>
      </x:c>
      <x:c r="AK1836" s="604" t="n"/>
      <x:c r="AL1836" s="604" t="n"/>
      <x:c r="AM1836" s="604" t="n"/>
      <x:c r="AN1836" s="604" t="inlineStr">
        <x:is>
          <x:t xml:space="preserve">EVALUATED</x:t>
        </x:is>
      </x:c>
      <x:c r="AO1836" s="604" t="inlineStr">
        <x:is>
          <x:t xml:space="preserve">EDGE_BELOW_UNCERTAINTY_THRESHOLD;BUCKET_PRIOR_ONLY;INTENT_INTERPRETATION_ONLY;FFL_OPTIONAL;EXPERT_MARKET</x:t>
        </x:is>
      </x:c>
      <x:c r="AP1836" s="604" t="inlineStr">
        <x:is>
          <x:t xml:space="preserve">372d8d8918490816df20</x:t>
        </x:is>
      </x:c>
      <x:c r="AQ1836" s="604" t="n"/>
      <x:c r="AR1836" s="604" t="n"/>
      <x:c r="AS1836" s="604" t="n">
        <x:v>1</x:v>
      </x:c>
      <x:c r="AT1836" s="604" t="n">
        <x:v>-1</x:v>
      </x:c>
      <x:c r="AU1836" s="604" t="n">
        <x:v>0.85</x:v>
      </x:c>
      <x:c r="AV1836" s="604" t="n">
        <x:v>0.95</x:v>
      </x:c>
      <x:c r="AW1836" s="604" t="inlineStr">
        <x:is>
          <x:t xml:space="preserve">2026-10-09T09:01:21.127001+08:00</x:t>
        </x:is>
      </x:c>
      <x:c r="AX1836" s="604" t="inlineStr">
        <x:is>
          <x:t xml:space="preserve">Titan007/V4</x:t>
        </x:is>
      </x:c>
      <x:c r="AY1836" s="604" t="inlineStr">
        <x:is>
          <x:t xml:space="preserve">Daily append；市场输入缺失时不生成决策</x:t>
        </x:is>
      </x:c>
    </x:row>
    <x:row r="1837" ht="22" customHeight="1">
      <x:c r="A1837" s="604" t="inlineStr">
        <x:is>
          <x:t xml:space="preserve">2026-10-09</x:t>
        </x:is>
      </x:c>
      <x:c r="B1837" s="604" t="inlineStr">
        <x:is>
          <x:t xml:space="preserve">2026-10-09T16:00:00+08:00</x:t>
        </x:is>
      </x:c>
      <x:c r="C1837" s="604" t="str">
        <x:v>西亚/中亚系列</x:v>
      </x:c>
      <x:c r="D1837" s="604" t="inlineStr">
        <x:is>
          <x:t xml:space="preserve"/>
        </x:is>
      </x:c>
      <x:c r="E1837" s="604" t="inlineStr">
        <x:is>
          <x:t xml:space="preserve">以丙</x:t>
        </x:is>
      </x:c>
      <x:c r="F1837" s="604" t="inlineStr">
        <x:is>
          <x:t xml:space="preserve">雅科夫 vs 基瓦特奥尔加</x:t>
        </x:is>
      </x:c>
      <x:c r="G1837" s="604" t="n">
        <x:v>0.83</x:v>
      </x:c>
      <x:c r="H1837" s="604" t="n">
        <x:v>0.75</x:v>
      </x:c>
      <x:c r="I1837" s="604" t="n">
        <x:v>0.98</x:v>
      </x:c>
      <x:c r="J1837" s="604" t="inlineStr">
        <x:is>
          <x:t xml:space="preserve">0.83/0.75/0.98</x:t>
        </x:is>
      </x:c>
      <x:c r="K1837" s="604" t="inlineStr">
        <x:is>
          <x:t xml:space="preserve">V4-N</x:t>
        </x:is>
      </x:c>
      <x:c r="L1837" s="604" t="inlineStr">
        <x:is>
          <x:t xml:space="preserve"/>
        </x:is>
      </x:c>
      <x:c r="M1837" s="604" t="n">
        <x:v>0.4553030604743163</x:v>
      </x:c>
      <x:c r="N1837" s="604" t="inlineStr">
        <x:is>
          <x:t xml:space="preserve">V4 Shadow Only；real_money=false</x:t>
        </x:is>
      </x:c>
      <x:c r="O1837" s="604" t="inlineStr">
        <x:is>
          <x:t xml:space="preserve">0-0</x:t>
        </x:is>
      </x:c>
      <x:c r="P1837" s="604" t="inlineStr">
        <x:is>
          <x:t xml:space="preserve">EVALUATED</x:t>
        </x:is>
      </x:c>
      <x:c r="Q1837" s="630" t="inlineStr">
        <x:is>
          <x:t xml:space="preserve"/>
        </x:is>
      </x:c>
      <x:c r="R1837" s="604" t="n"/>
      <x:c r="S1837" s="604" t="n"/>
      <x:c r="T1837" s="604" t="inlineStr">
        <x:is>
          <x:t xml:space="preserve">D:\codex\v3_legacy\outputs\football_odds_trader\raw\titan007\20261009\20261009_085232_titan007_odds_snapshot.csv</x:t>
        </x:is>
      </x:c>
      <x:c r="U1837" s="628" t="inlineStr">
        <x:is>
          <x:t xml:space="preserve"/>
        </x:is>
      </x:c>
      <x:c r="V1837" s="604" t="inlineStr">
        <x:is>
          <x:t xml:space="preserve"/>
        </x:is>
      </x:c>
      <x:c r="W1837" s="604" t="inlineStr">
        <x:is>
          <x:t xml:space="preserve"/>
        </x:is>
      </x:c>
      <x:c r="X1837" s="604" t="inlineStr">
        <x:is>
          <x:t xml:space="preserve">3100251</x:t>
        </x:is>
      </x:c>
      <x:c r="Y1837" s="604" t="inlineStr">
        <x:is>
          <x:t xml:space="preserve">V4</x:t>
        </x:is>
      </x:c>
      <x:c r="Z1837" s="604" t="inlineStr">
        <x:is>
          <x:t xml:space="preserve">prior-2026-10-09-v1</x:t>
        </x:is>
      </x:c>
      <x:c r="AA1837" s="604" t="inlineStr">
        <x:is>
          <x:t xml:space="preserve">N</x:t>
        </x:is>
      </x:c>
      <x:c r="AB1837" s="604" t="n">
        <x:v>0.4553030604743163</x:v>
      </x:c>
      <x:c r="AC1837" s="604" t="n">
        <x:v>0.4194163718858804</x:v>
      </x:c>
      <x:c r="AD1837" s="604" t="n">
        <x:v>1</x:v>
      </x:c>
      <x:c r="AE1837" s="604" t="n"/>
      <x:c r="AF1837" s="604" t="n"/>
      <x:c r="AG1837" s="604" t="n">
        <x:v>-0.04151483169219788</x:v>
      </x:c>
      <x:c r="AH1837" s="604" t="n"/>
      <x:c r="AI1837" s="604" t="n"/>
      <x:c r="AJ1837" s="604" t="n">
        <x:v>-0.04151483169219788</x:v>
      </x:c>
      <x:c r="AK1837" s="604" t="n"/>
      <x:c r="AL1837" s="604" t="n"/>
      <x:c r="AM1837" s="604" t="n"/>
      <x:c r="AN1837" s="604" t="inlineStr">
        <x:is>
          <x:t xml:space="preserve">EVALUATED</x:t>
        </x:is>
      </x:c>
      <x:c r="AO1837" s="604" t="inlineStr">
        <x:is>
          <x:t xml:space="preserve">EDGE_BELOW_UNCERTAINTY_THRESHOLD;BUCKET_PRIOR_ONLY;INTENT_INTERPRETATION_ONLY;FFL_OPTIONAL;EXPERT_MARKET</x:t>
        </x:is>
      </x:c>
      <x:c r="AP1837" s="604" t="inlineStr">
        <x:is>
          <x:t xml:space="preserve">d4e5ef8525bdbf51f1a5</x:t>
        </x:is>
      </x:c>
      <x:c r="AQ1837" s="604" t="n"/>
      <x:c r="AR1837" s="604" t="n"/>
      <x:c r="AS1837" s="604" t="n">
        <x:v>0.75</x:v>
      </x:c>
      <x:c r="AT1837" s="604" t="n">
        <x:v>-0.75</x:v>
      </x:c>
      <x:c r="AU1837" s="604" t="n">
        <x:v>0.83</x:v>
      </x:c>
      <x:c r="AV1837" s="604" t="n">
        <x:v>0.98</x:v>
      </x:c>
      <x:c r="AW1837" s="604" t="inlineStr">
        <x:is>
          <x:t xml:space="preserve">2026-10-09T09:01:21.127001+08:00</x:t>
        </x:is>
      </x:c>
      <x:c r="AX1837" s="604" t="inlineStr">
        <x:is>
          <x:t xml:space="preserve">Titan007/V4</x:t>
        </x:is>
      </x:c>
      <x:c r="AY1837" s="604" t="inlineStr">
        <x:is>
          <x:t xml:space="preserve">Daily append；市场输入缺失时不生成决策</x:t>
        </x:is>
      </x:c>
    </x:row>
    <x:row r="1838" ht="22" customHeight="1">
      <x:c r="A1838" s="604" t="inlineStr">
        <x:is>
          <x:t xml:space="preserve">2026-10-09</x:t>
        </x:is>
      </x:c>
      <x:c r="B1838" s="604" t="inlineStr">
        <x:is>
          <x:t xml:space="preserve">2026-10-09T16:00:00+08:00</x:t>
        </x:is>
      </x:c>
      <x:c r="C1838" s="604" t="str">
        <x:v>西亚/中亚系列</x:v>
      </x:c>
      <x:c r="D1838" s="604" t="inlineStr">
        <x:is>
          <x:t xml:space="preserve"/>
        </x:is>
      </x:c>
      <x:c r="E1838" s="604" t="inlineStr">
        <x:is>
          <x:t xml:space="preserve">以丙</x:t>
        </x:is>
      </x:c>
      <x:c r="F1838" s="604" t="inlineStr">
        <x:is>
          <x:t xml:space="preserve">MS内塔尼亚 vs 戈尔尼克海象</x:t>
        </x:is>
      </x:c>
      <x:c r="G1838" s="604" t="n">
        <x:v>0.9</x:v>
      </x:c>
      <x:c r="H1838" s="604" t="n">
        <x:v>-0.75</x:v>
      </x:c>
      <x:c r="I1838" s="604" t="n">
        <x:v>0.9</x:v>
      </x:c>
      <x:c r="J1838" s="604" t="inlineStr">
        <x:is>
          <x:t xml:space="preserve">0.9/-0.75/0.9</x:t>
        </x:is>
      </x:c>
      <x:c r="K1838" s="604" t="inlineStr">
        <x:is>
          <x:t xml:space="preserve">V4-N</x:t>
        </x:is>
      </x:c>
      <x:c r="L1838" s="604" t="inlineStr">
        <x:is>
          <x:t xml:space="preserve"/>
        </x:is>
      </x:c>
      <x:c r="M1838" s="604" t="n">
        <x:v>0.119862126249688</x:v>
      </x:c>
      <x:c r="N1838" s="604" t="inlineStr">
        <x:is>
          <x:t xml:space="preserve">V4 Shadow Only；real_money=false</x:t>
        </x:is>
      </x:c>
      <x:c r="O1838" s="604" t="inlineStr">
        <x:is>
          <x:t xml:space="preserve">0-0</x:t>
        </x:is>
      </x:c>
      <x:c r="P1838" s="604" t="inlineStr">
        <x:is>
          <x:t xml:space="preserve">EVALUATED</x:t>
        </x:is>
      </x:c>
      <x:c r="Q1838" s="630" t="inlineStr">
        <x:is>
          <x:t xml:space="preserve"/>
        </x:is>
      </x:c>
      <x:c r="R1838" s="604" t="n"/>
      <x:c r="S1838" s="604" t="n"/>
      <x:c r="T1838" s="604" t="inlineStr">
        <x:is>
          <x:t xml:space="preserve">D:\codex\v3_legacy\outputs\football_odds_trader\raw\titan007\20261009\20261009_085232_titan007_odds_snapshot.csv</x:t>
        </x:is>
      </x:c>
      <x:c r="U1838" s="628" t="inlineStr">
        <x:is>
          <x:t xml:space="preserve"/>
        </x:is>
      </x:c>
      <x:c r="V1838" s="604" t="inlineStr">
        <x:is>
          <x:t xml:space="preserve"/>
        </x:is>
      </x:c>
      <x:c r="W1838" s="604" t="inlineStr">
        <x:is>
          <x:t xml:space="preserve"/>
        </x:is>
      </x:c>
      <x:c r="X1838" s="604" t="inlineStr">
        <x:is>
          <x:t xml:space="preserve">3100252</x:t>
        </x:is>
      </x:c>
      <x:c r="Y1838" s="604" t="inlineStr">
        <x:is>
          <x:t xml:space="preserve">V4</x:t>
        </x:is>
      </x:c>
      <x:c r="Z1838" s="604" t="inlineStr">
        <x:is>
          <x:t xml:space="preserve">prior-2026-10-09-v1</x:t>
        </x:is>
      </x:c>
      <x:c r="AA1838" s="604" t="inlineStr">
        <x:is>
          <x:t xml:space="preserve">N</x:t>
        </x:is>
      </x:c>
      <x:c r="AB1838" s="604" t="n">
        <x:v>0.119862126249688</x:v>
      </x:c>
      <x:c r="AC1838" s="604" t="n">
        <x:v>0.8183106698753801</x:v>
      </x:c>
      <x:c r="AD1838" s="604" t="n">
        <x:v>-1</x:v>
      </x:c>
      <x:c r="AE1838" s="604" t="n"/>
      <x:c r="AF1838" s="604" t="n"/>
      <x:c r="AG1838" s="604" t="n">
        <x:v>0.6166174766381541</x:v>
      </x:c>
      <x:c r="AH1838" s="604" t="n"/>
      <x:c r="AI1838" s="604" t="n"/>
      <x:c r="AJ1838" s="604" t="n">
        <x:v>0.6166174766381541</x:v>
      </x:c>
      <x:c r="AK1838" s="604" t="n"/>
      <x:c r="AL1838" s="604" t="n"/>
      <x:c r="AM1838" s="604" t="n"/>
      <x:c r="AN1838" s="604" t="inlineStr">
        <x:is>
          <x:t xml:space="preserve">EVALUATED</x:t>
        </x:is>
      </x:c>
      <x:c r="AO1838" s="604" t="inlineStr">
        <x:is>
          <x:t xml:space="preserve">LOW_QUALITY_GATE;BUCKET_PRIOR_ONLY;INTENT_INTERPRETATION_ONLY;FFL_OPTIONAL;EXPERT_MARKET</x:t>
        </x:is>
      </x:c>
      <x:c r="AP1838" s="604" t="inlineStr">
        <x:is>
          <x:t xml:space="preserve">e51a869413e574b79c34</x:t>
        </x:is>
      </x:c>
      <x:c r="AQ1838" s="604" t="n"/>
      <x:c r="AR1838" s="604" t="n"/>
      <x:c r="AS1838" s="604" t="n">
        <x:v>-0.75</x:v>
      </x:c>
      <x:c r="AT1838" s="604" t="n">
        <x:v>0.75</x:v>
      </x:c>
      <x:c r="AU1838" s="604" t="n">
        <x:v>0.9</x:v>
      </x:c>
      <x:c r="AV1838" s="604" t="n">
        <x:v>0.9</x:v>
      </x:c>
      <x:c r="AW1838" s="604" t="inlineStr">
        <x:is>
          <x:t xml:space="preserve">2026-10-09T09:01:21.127001+08:00</x:t>
        </x:is>
      </x:c>
      <x:c r="AX1838" s="604" t="inlineStr">
        <x:is>
          <x:t xml:space="preserve">Titan007/V4</x:t>
        </x:is>
      </x:c>
      <x:c r="AY1838" s="604" t="inlineStr">
        <x:is>
          <x:t xml:space="preserve">Daily append；市场输入缺失时不生成决策</x:t>
        </x:is>
      </x:c>
    </x:row>
    <x:row r="1839" ht="22" customHeight="1">
      <x:c r="A1839" s="604" t="inlineStr">
        <x:is>
          <x:t xml:space="preserve">2026-10-09</x:t>
        </x:is>
      </x:c>
      <x:c r="B1839" s="604" t="inlineStr">
        <x:is>
          <x:t xml:space="preserve">2026-10-09T16:00:00+08:00</x:t>
        </x:is>
      </x:c>
      <x:c r="C1839" s="604" t="str">
        <x:v>西亚/中亚系列</x:v>
      </x:c>
      <x:c r="D1839" s="604" t="inlineStr">
        <x:is>
          <x:t xml:space="preserve"/>
        </x:is>
      </x:c>
      <x:c r="E1839" s="604" t="inlineStr">
        <x:is>
          <x:t xml:space="preserve">以丙</x:t>
        </x:is>
      </x:c>
      <x:c r="F1839" s="604" t="inlineStr">
        <x:is>
          <x:t xml:space="preserve">彼达迪华 vs 克拉玛甘</x:t>
        </x:is>
      </x:c>
      <x:c r="G1839" s="604" t="n">
        <x:v>0.83</x:v>
      </x:c>
      <x:c r="H1839" s="604" t="n">
        <x:v>0.5</x:v>
      </x:c>
      <x:c r="I1839" s="604" t="n">
        <x:v>0.98</x:v>
      </x:c>
      <x:c r="J1839" s="604" t="inlineStr">
        <x:is>
          <x:t xml:space="preserve">0.83/0.5/0.98</x:t>
        </x:is>
      </x:c>
      <x:c r="K1839" s="604" t="inlineStr">
        <x:is>
          <x:t xml:space="preserve">V4-N</x:t>
        </x:is>
      </x:c>
      <x:c r="L1839" s="604" t="inlineStr">
        <x:is>
          <x:t xml:space="preserve"/>
        </x:is>
      </x:c>
      <x:c r="M1839" s="604" t="n">
        <x:v>0.5555169765543081</x:v>
      </x:c>
      <x:c r="N1839" s="604" t="inlineStr">
        <x:is>
          <x:t xml:space="preserve">V4 Shadow Only；real_money=false</x:t>
        </x:is>
      </x:c>
      <x:c r="O1839" s="604" t="inlineStr">
        <x:is>
          <x:t xml:space="preserve">0-0</x:t>
        </x:is>
      </x:c>
      <x:c r="P1839" s="604" t="inlineStr">
        <x:is>
          <x:t xml:space="preserve">EVALUATED</x:t>
        </x:is>
      </x:c>
      <x:c r="Q1839" s="630" t="inlineStr">
        <x:is>
          <x:t xml:space="preserve"/>
        </x:is>
      </x:c>
      <x:c r="R1839" s="604" t="n"/>
      <x:c r="S1839" s="604" t="n"/>
      <x:c r="T1839" s="604" t="inlineStr">
        <x:is>
          <x:t xml:space="preserve">D:\codex\v3_legacy\outputs\football_odds_trader\raw\titan007\20261009\20261009_085232_titan007_odds_snapshot.csv</x:t>
        </x:is>
      </x:c>
      <x:c r="U1839" s="628" t="inlineStr">
        <x:is>
          <x:t xml:space="preserve"/>
        </x:is>
      </x:c>
      <x:c r="V1839" s="604" t="inlineStr">
        <x:is>
          <x:t xml:space="preserve"/>
        </x:is>
      </x:c>
      <x:c r="W1839" s="604" t="inlineStr">
        <x:is>
          <x:t xml:space="preserve"/>
        </x:is>
      </x:c>
      <x:c r="X1839" s="604" t="inlineStr">
        <x:is>
          <x:t xml:space="preserve">3100253</x:t>
        </x:is>
      </x:c>
      <x:c r="Y1839" s="604" t="inlineStr">
        <x:is>
          <x:t xml:space="preserve">V4</x:t>
        </x:is>
      </x:c>
      <x:c r="Z1839" s="604" t="inlineStr">
        <x:is>
          <x:t xml:space="preserve">prior-2026-10-09-v1</x:t>
        </x:is>
      </x:c>
      <x:c r="AA1839" s="604" t="inlineStr">
        <x:is>
          <x:t xml:space="preserve">N</x:t>
        </x:is>
      </x:c>
      <x:c r="AB1839" s="604" t="n">
        <x:v>0.5555169765543081</x:v>
      </x:c>
      <x:c r="AC1839" s="604" t="n">
        <x:v>0.4444830234456918</x:v>
      </x:c>
      <x:c r="AD1839" s="604" t="n">
        <x:v>0.75</x:v>
      </x:c>
      <x:c r="AE1839" s="604" t="n"/>
      <x:c r="AF1839" s="604" t="n"/>
      <x:c r="AG1839" s="604" t="n">
        <x:v>0.01659606709438383</x:v>
      </x:c>
      <x:c r="AH1839" s="604" t="n"/>
      <x:c r="AI1839" s="604" t="n"/>
      <x:c r="AJ1839" s="604" t="n">
        <x:v>0.01659606709438383</x:v>
      </x:c>
      <x:c r="AK1839" s="604" t="n"/>
      <x:c r="AL1839" s="604" t="n"/>
      <x:c r="AM1839" s="604" t="n"/>
      <x:c r="AN1839" s="604" t="inlineStr">
        <x:is>
          <x:t xml:space="preserve">EVALUATED</x:t>
        </x:is>
      </x:c>
      <x:c r="AO1839" s="604" t="inlineStr">
        <x:is>
          <x:t xml:space="preserve">EDGE_BELOW_UNCERTAINTY_THRESHOLD;BUCKET_PRIOR_ONLY;INTENT_INTERPRETATION_ONLY;FFL_OPTIONAL;EXPERT_MARKET</x:t>
        </x:is>
      </x:c>
      <x:c r="AP1839" s="604" t="inlineStr">
        <x:is>
          <x:t xml:space="preserve">61653cc0f0428f1ea497</x:t>
        </x:is>
      </x:c>
      <x:c r="AQ1839" s="604" t="n"/>
      <x:c r="AR1839" s="604" t="n"/>
      <x:c r="AS1839" s="604" t="n">
        <x:v>0.5</x:v>
      </x:c>
      <x:c r="AT1839" s="604" t="n">
        <x:v>-0.5</x:v>
      </x:c>
      <x:c r="AU1839" s="604" t="n">
        <x:v>0.83</x:v>
      </x:c>
      <x:c r="AV1839" s="604" t="n">
        <x:v>0.98</x:v>
      </x:c>
      <x:c r="AW1839" s="604" t="inlineStr">
        <x:is>
          <x:t xml:space="preserve">2026-10-09T09:01:21.127001+08:00</x:t>
        </x:is>
      </x:c>
      <x:c r="AX1839" s="604" t="inlineStr">
        <x:is>
          <x:t xml:space="preserve">Titan007/V4</x:t>
        </x:is>
      </x:c>
      <x:c r="AY1839" s="604" t="inlineStr">
        <x:is>
          <x:t xml:space="preserve">Daily append；市场输入缺失时不生成决策</x:t>
        </x:is>
      </x:c>
    </x:row>
    <x:row r="1840" ht="22" customHeight="1">
      <x:c r="A1840" s="604" t="inlineStr">
        <x:is>
          <x:t xml:space="preserve">2026-10-09</x:t>
        </x:is>
      </x:c>
      <x:c r="B1840" s="604" t="inlineStr">
        <x:is>
          <x:t xml:space="preserve">2026-10-09T16:00:00+08:00</x:t>
        </x:is>
      </x:c>
      <x:c r="C1840" s="604" t="str">
        <x:v>其他系列</x:v>
      </x:c>
      <x:c r="D1840" s="604" t="inlineStr">
        <x:is>
          <x:t xml:space="preserve"/>
        </x:is>
      </x:c>
      <x:c r="E1840" s="604" t="inlineStr">
        <x:is>
          <x:t xml:space="preserve">印班超</x:t>
        </x:is>
      </x:c>
      <x:c r="F1840" s="604" t="inlineStr">
        <x:is>
          <x:t xml:space="preserve">叛军FC vs 班加罗尔梦联</x:t>
        </x:is>
      </x:c>
      <x:c r="G1840" s="604" t="n">
        <x:v>0.8</x:v>
      </x:c>
      <x:c r="H1840" s="604" t="n">
        <x:v>2</x:v>
      </x:c>
      <x:c r="I1840" s="604" t="n">
        <x:v>1</x:v>
      </x:c>
      <x:c r="J1840" s="604" t="inlineStr">
        <x:is>
          <x:t xml:space="preserve">0.8/2.0/1.0</x:t>
        </x:is>
      </x:c>
      <x:c r="K1840" s="604" t="inlineStr">
        <x:is>
          <x:t xml:space="preserve">V4-N</x:t>
        </x:is>
      </x:c>
      <x:c r="L1840" s="604" t="inlineStr">
        <x:is>
          <x:t xml:space="preserve"/>
        </x:is>
      </x:c>
      <x:c r="M1840" s="604" t="n">
        <x:v>0.4585477947397347</x:v>
      </x:c>
      <x:c r="N1840" s="604" t="inlineStr">
        <x:is>
          <x:t xml:space="preserve">V4 Shadow Only；real_money=false</x:t>
        </x:is>
      </x:c>
      <x:c r="O1840" s="604" t="inlineStr">
        <x:is>
          <x:t xml:space="preserve">0-0</x:t>
        </x:is>
      </x:c>
      <x:c r="P1840" s="604" t="inlineStr">
        <x:is>
          <x:t xml:space="preserve">EVALUATED</x:t>
        </x:is>
      </x:c>
      <x:c r="Q1840" s="630" t="inlineStr">
        <x:is>
          <x:t xml:space="preserve"/>
        </x:is>
      </x:c>
      <x:c r="R1840" s="604" t="n"/>
      <x:c r="S1840" s="604" t="n"/>
      <x:c r="T1840" s="604" t="inlineStr">
        <x:is>
          <x:t xml:space="preserve">D:\codex\v3_legacy\outputs\football_odds_trader\raw\titan007\20261009\20261009_085232_titan007_odds_snapshot.csv</x:t>
        </x:is>
      </x:c>
      <x:c r="U1840" s="628" t="inlineStr">
        <x:is>
          <x:t xml:space="preserve"/>
        </x:is>
      </x:c>
      <x:c r="V1840" s="604" t="inlineStr">
        <x:is>
          <x:t xml:space="preserve"/>
        </x:is>
      </x:c>
      <x:c r="W1840" s="604" t="inlineStr">
        <x:is>
          <x:t xml:space="preserve"/>
        </x:is>
      </x:c>
      <x:c r="X1840" s="604" t="inlineStr">
        <x:is>
          <x:t xml:space="preserve">3100256</x:t>
        </x:is>
      </x:c>
      <x:c r="Y1840" s="604" t="inlineStr">
        <x:is>
          <x:t xml:space="preserve">V4</x:t>
        </x:is>
      </x:c>
      <x:c r="Z1840" s="604" t="inlineStr">
        <x:is>
          <x:t xml:space="preserve">prior-2026-10-09-v1</x:t>
        </x:is>
      </x:c>
      <x:c r="AA1840" s="604" t="inlineStr">
        <x:is>
          <x:t xml:space="preserve">N</x:t>
        </x:is>
      </x:c>
      <x:c r="AB1840" s="604" t="n">
        <x:v>0.4585477947397347</x:v>
      </x:c>
      <x:c r="AC1840" s="604" t="n">
        <x:v>0.2950649658279763</x:v>
      </x:c>
      <x:c r="AD1840" s="604" t="n">
        <x:v>2.5</x:v>
      </x:c>
      <x:c r="AE1840" s="604" t="n"/>
      <x:c r="AF1840" s="604" t="n"/>
      <x:c r="AG1840" s="604" t="n">
        <x:v>0.07177326996381145</x:v>
      </x:c>
      <x:c r="AH1840" s="604" t="n"/>
      <x:c r="AI1840" s="604" t="n"/>
      <x:c r="AJ1840" s="604" t="n">
        <x:v>0.07177326996381145</x:v>
      </x:c>
      <x:c r="AK1840" s="604" t="n"/>
      <x:c r="AL1840" s="604" t="n"/>
      <x:c r="AM1840" s="604" t="n"/>
      <x:c r="AN1840" s="604" t="inlineStr">
        <x:is>
          <x:t xml:space="preserve">EVALUATED</x:t>
        </x:is>
      </x:c>
      <x:c r="AO1840" s="604" t="inlineStr">
        <x:is>
          <x:t xml:space="preserve">LOW_QUALITY_GATE;BUCKET_PRIOR_ONLY;INTENT_INTERPRETATION_ONLY;FFL_OPTIONAL;EXPERT_MARKET</x:t>
        </x:is>
      </x:c>
      <x:c r="AP1840" s="604" t="inlineStr">
        <x:is>
          <x:t xml:space="preserve">3b7083fe95e06b3da8d4</x:t>
        </x:is>
      </x:c>
      <x:c r="AQ1840" s="604" t="n"/>
      <x:c r="AR1840" s="604" t="n"/>
      <x:c r="AS1840" s="604" t="n">
        <x:v>2</x:v>
      </x:c>
      <x:c r="AT1840" s="604" t="n">
        <x:v>-2</x:v>
      </x:c>
      <x:c r="AU1840" s="604" t="n">
        <x:v>0.8</x:v>
      </x:c>
      <x:c r="AV1840" s="604" t="n">
        <x:v>1</x:v>
      </x:c>
      <x:c r="AW1840" s="604" t="inlineStr">
        <x:is>
          <x:t xml:space="preserve">2026-10-09T09:01:21.127001+08:00</x:t>
        </x:is>
      </x:c>
      <x:c r="AX1840" s="604" t="inlineStr">
        <x:is>
          <x:t xml:space="preserve">Titan007/V4</x:t>
        </x:is>
      </x:c>
      <x:c r="AY1840" s="604" t="inlineStr">
        <x:is>
          <x:t xml:space="preserve">Daily append；市场输入缺失时不生成决策</x:t>
        </x:is>
      </x:c>
    </x:row>
    <x:row r="1841" ht="22" customHeight="1">
      <x:c r="A1841" s="604" t="inlineStr">
        <x:is>
          <x:t xml:space="preserve">2026-10-09</x:t>
        </x:is>
      </x:c>
      <x:c r="B1841" s="604" t="inlineStr">
        <x:is>
          <x:t xml:space="preserve">2026-10-09T13:30:00+08:00</x:t>
        </x:is>
      </x:c>
      <x:c r="C1841" s="604" t="str">
        <x:v>其他系列</x:v>
      </x:c>
      <x:c r="D1841" s="604" t="inlineStr">
        <x:is>
          <x:t xml:space="preserve"/>
        </x:is>
      </x:c>
      <x:c r="E1841" s="604" t="inlineStr">
        <x:is>
          <x:t xml:space="preserve">印班超</x:t>
        </x:is>
      </x:c>
      <x:c r="F1841" s="604" t="inlineStr">
        <x:is>
          <x:t xml:space="preserve">阿格尼普拉 vs ASC中心FC</x:t>
        </x:is>
      </x:c>
      <x:c r="G1841" s="604" t="n">
        <x:v>0.85</x:v>
      </x:c>
      <x:c r="H1841" s="604" t="n">
        <x:v>1</x:v>
      </x:c>
      <x:c r="I1841" s="604" t="n">
        <x:v>0.95</x:v>
      </x:c>
      <x:c r="J1841" s="604" t="inlineStr">
        <x:is>
          <x:t xml:space="preserve">0.85/1.0/0.95</x:t>
        </x:is>
      </x:c>
      <x:c r="K1841" s="604" t="inlineStr">
        <x:is>
          <x:t xml:space="preserve">V4-N</x:t>
        </x:is>
      </x:c>
      <x:c r="L1841" s="604" t="inlineStr">
        <x:is>
          <x:t xml:space="preserve"/>
        </x:is>
      </x:c>
      <x:c r="M1841" s="604" t="n">
        <x:v>0.4408825221524537</x:v>
      </x:c>
      <x:c r="N1841" s="604" t="inlineStr">
        <x:is>
          <x:t xml:space="preserve">V4 Shadow Only；real_money=false</x:t>
        </x:is>
      </x:c>
      <x:c r="O1841" s="604" t="inlineStr">
        <x:is>
          <x:t xml:space="preserve">0-0</x:t>
        </x:is>
      </x:c>
      <x:c r="P1841" s="604" t="inlineStr">
        <x:is>
          <x:t xml:space="preserve">EVALUATED</x:t>
        </x:is>
      </x:c>
      <x:c r="Q1841" s="630" t="inlineStr">
        <x:is>
          <x:t xml:space="preserve"/>
        </x:is>
      </x:c>
      <x:c r="R1841" s="604" t="n"/>
      <x:c r="S1841" s="604" t="n"/>
      <x:c r="T1841" s="604" t="inlineStr">
        <x:is>
          <x:t xml:space="preserve">D:\codex\v3_legacy\outputs\football_odds_trader\raw\titan007\20261009\20261009_085232_titan007_odds_snapshot.csv</x:t>
        </x:is>
      </x:c>
      <x:c r="U1841" s="628" t="inlineStr">
        <x:is>
          <x:t xml:space="preserve"/>
        </x:is>
      </x:c>
      <x:c r="V1841" s="604" t="inlineStr">
        <x:is>
          <x:t xml:space="preserve"/>
        </x:is>
      </x:c>
      <x:c r="W1841" s="604" t="inlineStr">
        <x:is>
          <x:t xml:space="preserve"/>
        </x:is>
      </x:c>
      <x:c r="X1841" s="604" t="inlineStr">
        <x:is>
          <x:t xml:space="preserve">3100257</x:t>
        </x:is>
      </x:c>
      <x:c r="Y1841" s="604" t="inlineStr">
        <x:is>
          <x:t xml:space="preserve">V4</x:t>
        </x:is>
      </x:c>
      <x:c r="Z1841" s="604" t="inlineStr">
        <x:is>
          <x:t xml:space="preserve">prior-2026-10-09-v1</x:t>
        </x:is>
      </x:c>
      <x:c r="AA1841" s="604" t="inlineStr">
        <x:is>
          <x:t xml:space="preserve">N</x:t>
        </x:is>
      </x:c>
      <x:c r="AB1841" s="604" t="n">
        <x:v>0.4408825221524537</x:v>
      </x:c>
      <x:c r="AC1841" s="604" t="n">
        <x:v>0.3037848812218651</x:v>
      </x:c>
      <x:c r="AD1841" s="604" t="n">
        <x:v>1.25</x:v>
      </x:c>
      <x:c r="AE1841" s="604" t="n"/>
      <x:c r="AF1841" s="604" t="n"/>
      <x:c r="AG1841" s="604" t="n">
        <x:v>0.07096526260772051</x:v>
      </x:c>
      <x:c r="AH1841" s="604" t="n"/>
      <x:c r="AI1841" s="604" t="n"/>
      <x:c r="AJ1841" s="604" t="n">
        <x:v>0.07096526260772051</x:v>
      </x:c>
      <x:c r="AK1841" s="604" t="n"/>
      <x:c r="AL1841" s="604" t="n"/>
      <x:c r="AM1841" s="604" t="n"/>
      <x:c r="AN1841" s="604" t="inlineStr">
        <x:is>
          <x:t xml:space="preserve">EVALUATED</x:t>
        </x:is>
      </x:c>
      <x:c r="AO1841" s="604" t="inlineStr">
        <x:is>
          <x:t xml:space="preserve">LOW_QUALITY_GATE;BUCKET_PRIOR_ONLY;INTENT_INTERPRETATION_ONLY;FFL_OPTIONAL;EXPERT_MARKET</x:t>
        </x:is>
      </x:c>
      <x:c r="AP1841" s="604" t="inlineStr">
        <x:is>
          <x:t xml:space="preserve">89232cf05b6419def4c9</x:t>
        </x:is>
      </x:c>
      <x:c r="AQ1841" s="604" t="n"/>
      <x:c r="AR1841" s="604" t="n"/>
      <x:c r="AS1841" s="604" t="n">
        <x:v>1</x:v>
      </x:c>
      <x:c r="AT1841" s="604" t="n">
        <x:v>-1</x:v>
      </x:c>
      <x:c r="AU1841" s="604" t="n">
        <x:v>0.85</x:v>
      </x:c>
      <x:c r="AV1841" s="604" t="n">
        <x:v>0.95</x:v>
      </x:c>
      <x:c r="AW1841" s="604" t="inlineStr">
        <x:is>
          <x:t xml:space="preserve">2026-10-09T09:01:21.127001+08:00</x:t>
        </x:is>
      </x:c>
      <x:c r="AX1841" s="604" t="inlineStr">
        <x:is>
          <x:t xml:space="preserve">Titan007/V4</x:t>
        </x:is>
      </x:c>
      <x:c r="AY1841" s="604" t="inlineStr">
        <x:is>
          <x:t xml:space="preserve">Daily append；市场输入缺失时不生成决策</x:t>
        </x:is>
      </x:c>
    </x:row>
    <x:row r="1842" ht="22" customHeight="1">
      <x:c r="A1842" s="604" t="inlineStr">
        <x:is>
          <x:t xml:space="preserve">2026-10-09</x:t>
        </x:is>
      </x:c>
      <x:c r="B1842" s="604" t="inlineStr">
        <x:is>
          <x:t xml:space="preserve">2026-10-09T18:30:00+08:00</x:t>
        </x:is>
      </x:c>
      <x:c r="C1842" s="604" t="str">
        <x:v>其他系列</x:v>
      </x:c>
      <x:c r="D1842" s="604" t="inlineStr">
        <x:is>
          <x:t xml:space="preserve"/>
        </x:is>
      </x:c>
      <x:c r="E1842" s="604" t="inlineStr">
        <x:is>
          <x:t xml:space="preserve">印班超</x:t>
        </x:is>
      </x:c>
      <x:c r="F1842" s="604" t="inlineStr">
        <x:is>
          <x:t xml:space="preserve">皇家班加鲁鲁 vs 班加罗尔城</x:t>
        </x:is>
      </x:c>
      <x:c r="G1842" s="604" t="n">
        <x:v>1</x:v>
      </x:c>
      <x:c r="H1842" s="604" t="n">
        <x:v>0.25</x:v>
      </x:c>
      <x:c r="I1842" s="604" t="n">
        <x:v>0.8</x:v>
      </x:c>
      <x:c r="J1842" s="604" t="inlineStr">
        <x:is>
          <x:t xml:space="preserve">1.0/0.25/0.8</x:t>
        </x:is>
      </x:c>
      <x:c r="K1842" s="604" t="inlineStr">
        <x:is>
          <x:t xml:space="preserve">V4-N</x:t>
        </x:is>
      </x:c>
      <x:c r="L1842" s="604" t="inlineStr">
        <x:is>
          <x:t xml:space="preserve"/>
        </x:is>
      </x:c>
      <x:c r="M1842" s="604" t="n">
        <x:v>0.4207601503609749</x:v>
      </x:c>
      <x:c r="N1842" s="604" t="inlineStr">
        <x:is>
          <x:t xml:space="preserve">V4 Shadow Only；real_money=false</x:t>
        </x:is>
      </x:c>
      <x:c r="O1842" s="604" t="inlineStr">
        <x:is>
          <x:t xml:space="preserve">0-0</x:t>
        </x:is>
      </x:c>
      <x:c r="P1842" s="604" t="inlineStr">
        <x:is>
          <x:t xml:space="preserve">EVALUATED</x:t>
        </x:is>
      </x:c>
      <x:c r="Q1842" s="630" t="inlineStr">
        <x:is>
          <x:t xml:space="preserve"/>
        </x:is>
      </x:c>
      <x:c r="R1842" s="604" t="n"/>
      <x:c r="S1842" s="604" t="n"/>
      <x:c r="T1842" s="604" t="inlineStr">
        <x:is>
          <x:t xml:space="preserve">D:\codex\v3_legacy\outputs\football_odds_trader\raw\titan007\20261009\20261009_085232_titan007_odds_snapshot.csv</x:t>
        </x:is>
      </x:c>
      <x:c r="U1842" s="628" t="inlineStr">
        <x:is>
          <x:t xml:space="preserve"/>
        </x:is>
      </x:c>
      <x:c r="V1842" s="604" t="inlineStr">
        <x:is>
          <x:t xml:space="preserve"/>
        </x:is>
      </x:c>
      <x:c r="W1842" s="604" t="inlineStr">
        <x:is>
          <x:t xml:space="preserve"/>
        </x:is>
      </x:c>
      <x:c r="X1842" s="604" t="inlineStr">
        <x:is>
          <x:t xml:space="preserve">3100258</x:t>
        </x:is>
      </x:c>
      <x:c r="Y1842" s="604" t="inlineStr">
        <x:is>
          <x:t xml:space="preserve">V4</x:t>
        </x:is>
      </x:c>
      <x:c r="Z1842" s="604" t="inlineStr">
        <x:is>
          <x:t xml:space="preserve">prior-2026-10-09-v1</x:t>
        </x:is>
      </x:c>
      <x:c r="AA1842" s="604" t="inlineStr">
        <x:is>
          <x:t xml:space="preserve">N</x:t>
        </x:is>
      </x:c>
      <x:c r="AB1842" s="604" t="n">
        <x:v>0.4207601503609749</x:v>
      </x:c>
      <x:c r="AC1842" s="604" t="n">
        <x:v>0.4486747899222792</x:v>
      </x:c>
      <x:c r="AD1842" s="604" t="n">
        <x:v>0.25</x:v>
      </x:c>
      <x:c r="AE1842" s="604" t="n"/>
      <x:c r="AF1842" s="604" t="n"/>
      <x:c r="AG1842" s="604" t="n">
        <x:v>-0.02791463956130436</x:v>
      </x:c>
      <x:c r="AH1842" s="604" t="n"/>
      <x:c r="AI1842" s="604" t="n"/>
      <x:c r="AJ1842" s="604" t="n">
        <x:v>-0.02791463956130436</x:v>
      </x:c>
      <x:c r="AK1842" s="604" t="n"/>
      <x:c r="AL1842" s="604" t="n"/>
      <x:c r="AM1842" s="604" t="n"/>
      <x:c r="AN1842" s="604" t="inlineStr">
        <x:is>
          <x:t xml:space="preserve">EVALUATED</x:t>
        </x:is>
      </x:c>
      <x:c r="AO1842" s="604" t="inlineStr">
        <x:is>
          <x:t xml:space="preserve">EDGE_BELOW_UNCERTAINTY_THRESHOLD;BUCKET_PRIOR_ONLY;INTENT_INTERPRETATION_ONLY;FFL_OPTIONAL;EXPERT_MARKET</x:t>
        </x:is>
      </x:c>
      <x:c r="AP1842" s="604" t="inlineStr">
        <x:is>
          <x:t xml:space="preserve">79b66cc33623c36697d8</x:t>
        </x:is>
      </x:c>
      <x:c r="AQ1842" s="604" t="n"/>
      <x:c r="AR1842" s="604" t="n"/>
      <x:c r="AS1842" s="604" t="n">
        <x:v>0.25</x:v>
      </x:c>
      <x:c r="AT1842" s="604" t="n">
        <x:v>-0.25</x:v>
      </x:c>
      <x:c r="AU1842" s="604" t="n">
        <x:v>1</x:v>
      </x:c>
      <x:c r="AV1842" s="604" t="n">
        <x:v>0.8</x:v>
      </x:c>
      <x:c r="AW1842" s="604" t="inlineStr">
        <x:is>
          <x:t xml:space="preserve">2026-10-09T09:01:21.127001+08:00</x:t>
        </x:is>
      </x:c>
      <x:c r="AX1842" s="604" t="inlineStr">
        <x:is>
          <x:t xml:space="preserve">Titan007/V4</x:t>
        </x:is>
      </x:c>
      <x:c r="AY1842" s="604" t="inlineStr">
        <x:is>
          <x:t xml:space="preserve">Daily append；市场输入缺失时不生成决策</x:t>
        </x:is>
      </x:c>
    </x:row>
    <x:row r="1843" ht="22" customHeight="1">
      <x:c r="A1843" s="604" t="inlineStr">
        <x:is>
          <x:t xml:space="preserve">2026-10-09</x:t>
        </x:is>
      </x:c>
      <x:c r="B1843" s="604" t="inlineStr">
        <x:is>
          <x:t xml:space="preserve">2026-10-09T15:30:00+08:00</x:t>
        </x:is>
      </x:c>
      <x:c r="C1843" s="604" t="str">
        <x:v>其他系列</x:v>
      </x:c>
      <x:c r="D1843" s="604" t="inlineStr">
        <x:is>
          <x:t xml:space="preserve"/>
        </x:is>
      </x:c>
      <x:c r="E1843" s="604" t="inlineStr">
        <x:is>
          <x:t xml:space="preserve">印孟超</x:t>
        </x:is>
      </x:c>
      <x:c r="F1843" s="604" t="inlineStr">
        <x:is>
          <x:t xml:space="preserve">联合市FSA vs 孟买体育俱乐部</x:t>
        </x:is>
      </x:c>
      <x:c r="G1843" s="604" t="n">
        <x:v>1</x:v>
      </x:c>
      <x:c r="H1843" s="604" t="n">
        <x:v>-0.25</x:v>
      </x:c>
      <x:c r="I1843" s="604" t="n">
        <x:v>0.8</x:v>
      </x:c>
      <x:c r="J1843" s="604" t="inlineStr">
        <x:is>
          <x:t xml:space="preserve">1.0/-0.25/0.8</x:t>
        </x:is>
      </x:c>
      <x:c r="K1843" s="604" t="inlineStr">
        <x:is>
          <x:t xml:space="preserve">V4-N</x:t>
        </x:is>
      </x:c>
      <x:c r="L1843" s="604" t="inlineStr">
        <x:is>
          <x:t xml:space="preserve"/>
        </x:is>
      </x:c>
      <x:c r="M1843" s="604" t="n">
        <x:v>0.2602886520584882</x:v>
      </x:c>
      <x:c r="N1843" s="604" t="inlineStr">
        <x:is>
          <x:t xml:space="preserve">V4 Shadow Only；real_money=false</x:t>
        </x:is>
      </x:c>
      <x:c r="O1843" s="604" t="inlineStr">
        <x:is>
          <x:t xml:space="preserve">0-0</x:t>
        </x:is>
      </x:c>
      <x:c r="P1843" s="604" t="inlineStr">
        <x:is>
          <x:t xml:space="preserve">EVALUATED</x:t>
        </x:is>
      </x:c>
      <x:c r="Q1843" s="630" t="inlineStr">
        <x:is>
          <x:t xml:space="preserve"/>
        </x:is>
      </x:c>
      <x:c r="R1843" s="604" t="n"/>
      <x:c r="S1843" s="604" t="n"/>
      <x:c r="T1843" s="604" t="inlineStr">
        <x:is>
          <x:t xml:space="preserve">D:\codex\v3_legacy\outputs\football_odds_trader\raw\titan007\20261009\20261009_085232_titan007_odds_snapshot.csv</x:t>
        </x:is>
      </x:c>
      <x:c r="U1843" s="628" t="inlineStr">
        <x:is>
          <x:t xml:space="preserve"/>
        </x:is>
      </x:c>
      <x:c r="V1843" s="604" t="inlineStr">
        <x:is>
          <x:t xml:space="preserve"/>
        </x:is>
      </x:c>
      <x:c r="W1843" s="604" t="inlineStr">
        <x:is>
          <x:t xml:space="preserve"/>
        </x:is>
      </x:c>
      <x:c r="X1843" s="604" t="inlineStr">
        <x:is>
          <x:t xml:space="preserve">3100268</x:t>
        </x:is>
      </x:c>
      <x:c r="Y1843" s="604" t="inlineStr">
        <x:is>
          <x:t xml:space="preserve">V4</x:t>
        </x:is>
      </x:c>
      <x:c r="Z1843" s="604" t="inlineStr">
        <x:is>
          <x:t xml:space="preserve">prior-2026-10-09-v1</x:t>
        </x:is>
      </x:c>
      <x:c r="AA1843" s="604" t="inlineStr">
        <x:is>
          <x:t xml:space="preserve">N</x:t>
        </x:is>
      </x:c>
      <x:c r="AB1843" s="604" t="n">
        <x:v>0.2602886520584882</x:v>
      </x:c>
      <x:c r="AC1843" s="604" t="n">
        <x:v>0.6128966708752093</x:v>
      </x:c>
      <x:c r="AD1843" s="604" t="n">
        <x:v>-0.5</x:v>
      </x:c>
      <x:c r="AE1843" s="604" t="n"/>
      <x:c r="AF1843" s="604" t="n"/>
      <x:c r="AG1843" s="604" t="n">
        <x:v>0.3526080188167211</x:v>
      </x:c>
      <x:c r="AH1843" s="604" t="n"/>
      <x:c r="AI1843" s="604" t="n"/>
      <x:c r="AJ1843" s="604" t="n">
        <x:v>0.3526080188167211</x:v>
      </x:c>
      <x:c r="AK1843" s="604" t="n"/>
      <x:c r="AL1843" s="604" t="n"/>
      <x:c r="AM1843" s="604" t="n"/>
      <x:c r="AN1843" s="604" t="inlineStr">
        <x:is>
          <x:t xml:space="preserve">EVALUATED</x:t>
        </x:is>
      </x:c>
      <x:c r="AO1843" s="604" t="inlineStr">
        <x:is>
          <x:t xml:space="preserve">LOW_QUALITY_GATE;BUCKET_PRIOR_ONLY;INTENT_INTERPRETATION_ONLY;FFL_OPTIONAL;EXPERT_MARKET</x:t>
        </x:is>
      </x:c>
      <x:c r="AP1843" s="604" t="inlineStr">
        <x:is>
          <x:t xml:space="preserve">6965123d3fce5bbe270d</x:t>
        </x:is>
      </x:c>
      <x:c r="AQ1843" s="604" t="n"/>
      <x:c r="AR1843" s="604" t="n"/>
      <x:c r="AS1843" s="604" t="n">
        <x:v>-0.25</x:v>
      </x:c>
      <x:c r="AT1843" s="604" t="n">
        <x:v>0.25</x:v>
      </x:c>
      <x:c r="AU1843" s="604" t="n">
        <x:v>1</x:v>
      </x:c>
      <x:c r="AV1843" s="604" t="n">
        <x:v>0.8</x:v>
      </x:c>
      <x:c r="AW1843" s="604" t="inlineStr">
        <x:is>
          <x:t xml:space="preserve">2026-10-09T09:01:21.127001+08:00</x:t>
        </x:is>
      </x:c>
      <x:c r="AX1843" s="604" t="inlineStr">
        <x:is>
          <x:t xml:space="preserve">Titan007/V4</x:t>
        </x:is>
      </x:c>
      <x:c r="AY1843" s="604" t="inlineStr">
        <x:is>
          <x:t xml:space="preserve">Daily append；市场输入缺失时不生成决策</x:t>
        </x:is>
      </x:c>
    </x:row>
    <x:row r="1844" ht="22" customHeight="1">
      <x:c r="A1844" s="604" t="inlineStr">
        <x:is>
          <x:t xml:space="preserve">2026-10-09</x:t>
        </x:is>
      </x:c>
      <x:c r="B1844" s="604" t="inlineStr">
        <x:is>
          <x:t xml:space="preserve">2026-10-09T19:00:00+08:00</x:t>
        </x:is>
      </x:c>
      <x:c r="C1844" s="604" t="str">
        <x:v>其他系列</x:v>
      </x:c>
      <x:c r="D1844" s="604" t="inlineStr">
        <x:is>
          <x:t xml:space="preserve"/>
        </x:is>
      </x:c>
      <x:c r="E1844" s="604" t="inlineStr">
        <x:is>
          <x:t xml:space="preserve">国际友谊</x:t>
        </x:is>
      </x:c>
      <x:c r="F1844" s="604" t="inlineStr">
        <x:is>
          <x:t xml:space="preserve">白俄罗斯女足U19 vs 俄罗斯女足U19</x:t>
        </x:is>
      </x:c>
      <x:c r="G1844" s="604" t="n"/>
      <x:c r="H1844" s="604" t="n"/>
      <x:c r="I1844" s="604" t="n"/>
      <x:c r="J1844" s="604" t="inlineStr">
        <x:is>
          <x:t xml:space="preserve">//</x:t>
        </x:is>
      </x:c>
      <x:c r="K1844" s="604" t="inlineStr">
        <x:is>
          <x:t xml:space="preserve">V4不可用：市场输入缺失</x:t>
        </x:is>
      </x:c>
      <x:c r="L1844" s="604" t="inlineStr">
        <x:is>
          <x:t xml:space="preserve"/>
        </x:is>
      </x:c>
      <x:c r="M1844" s="604" t="n"/>
      <x:c r="N1844" s="604" t="inlineStr">
        <x:is>
          <x:t xml:space="preserve">V4 Shadow Only；real_money=false</x:t>
        </x:is>
      </x:c>
      <x:c r="O1844" s="604" t="inlineStr">
        <x:is>
          <x:t xml:space="preserve">0-0</x:t>
        </x:is>
      </x:c>
      <x:c r="P1844" s="604" t="inlineStr">
        <x:is>
          <x:t xml:space="preserve">MISSING_DATA</x:t>
        </x:is>
      </x:c>
      <x:c r="Q1844" s="630" t="inlineStr">
        <x:is>
          <x:t xml:space="preserve"/>
        </x:is>
      </x:c>
      <x:c r="R1844" s="604" t="n"/>
      <x:c r="S1844" s="604" t="n"/>
      <x:c r="T1844" s="604" t="inlineStr">
        <x:is>
          <x:t xml:space="preserve">D:\codex\v3_legacy\outputs\football_odds_trader\raw\titan007\20261009\20261009_085232_titan007_odds_snapshot.csv</x:t>
        </x:is>
      </x:c>
      <x:c r="U1844" s="628" t="inlineStr">
        <x:is>
          <x:t xml:space="preserve"/>
        </x:is>
      </x:c>
      <x:c r="V1844" s="604" t="inlineStr">
        <x:is>
          <x:t xml:space="preserve"/>
        </x:is>
      </x:c>
      <x:c r="W1844" s="604" t="inlineStr">
        <x:is>
          <x:t xml:space="preserve"/>
        </x:is>
      </x:c>
      <x:c r="X1844" s="604" t="inlineStr">
        <x:is>
          <x:t xml:space="preserve">3100282</x:t>
        </x:is>
      </x:c>
      <x:c r="Y1844" s="604" t="inlineStr">
        <x:is>
          <x:t xml:space="preserve">V4</x:t>
        </x:is>
      </x:c>
      <x:c r="Z1844" s="604" t="inlineStr">
        <x:is>
          <x:t xml:space="preserve">prior-2026-10-09-v1</x:t>
        </x:is>
      </x:c>
      <x:c r="AA1844" s="604" t="inlineStr">
        <x:is>
          <x:t xml:space="preserve"/>
        </x:is>
      </x:c>
      <x:c r="AB1844" s="604" t="n"/>
      <x:c r="AC1844" s="604" t="n"/>
      <x:c r="AD1844" s="604" t="n"/>
      <x:c r="AE1844" s="604" t="n"/>
      <x:c r="AF1844" s="604" t="n"/>
      <x:c r="AG1844" s="604" t="n"/>
      <x:c r="AH1844" s="604" t="n"/>
      <x:c r="AI1844" s="604" t="n"/>
      <x:c r="AJ1844" s="604" t="n"/>
      <x:c r="AK1844" s="604" t="n"/>
      <x:c r="AL1844" s="604" t="n"/>
      <x:c r="AM1844" s="604" t="n"/>
      <x:c r="AN1844" s="604" t="inlineStr">
        <x:is>
          <x:t xml:space="preserve">MISSING_DATA</x:t>
        </x:is>
      </x:c>
      <x:c r="AO1844" s="604" t="inlineStr">
        <x:is>
          <x:t xml:space="preserve">REQUIRED_MARKET_INPUT_MISSING</x:t>
        </x:is>
      </x:c>
      <x:c r="AP1844" s="604" t="inlineStr">
        <x:is>
          <x:t xml:space="preserve">cf04936e483841a3fdc2</x:t>
        </x:is>
      </x:c>
      <x:c r="AQ1844" s="604" t="n"/>
      <x:c r="AR1844" s="604" t="n"/>
      <x:c r="AS1844" s="604" t="n"/>
      <x:c r="AT1844" s="604" t="n"/>
      <x:c r="AU1844" s="604" t="n"/>
      <x:c r="AV1844" s="604" t="n"/>
      <x:c r="AW1844" s="604" t="inlineStr">
        <x:is>
          <x:t xml:space="preserve">2026-10-09T09:01:21.127001+08:00</x:t>
        </x:is>
      </x:c>
      <x:c r="AX1844" s="604" t="inlineStr">
        <x:is>
          <x:t xml:space="preserve">Titan007/V4</x:t>
        </x:is>
      </x:c>
      <x:c r="AY1844" s="604" t="inlineStr">
        <x:is>
          <x:t xml:space="preserve">Daily append；市场输入缺失时不生成决策</x:t>
        </x:is>
      </x:c>
    </x:row>
    <x:row r="1845" ht="22" customHeight="1">
      <x:c r="A1845" s="604" t="inlineStr">
        <x:is>
          <x:t xml:space="preserve">2026-10-09</x:t>
        </x:is>
      </x:c>
      <x:c r="B1845" s="604" t="inlineStr">
        <x:is>
          <x:t xml:space="preserve">2026-10-09T20:00:00+08:00</x:t>
        </x:is>
      </x:c>
      <x:c r="C1845" s="604" t="str">
        <x:v>西亚/中亚系列</x:v>
      </x:c>
      <x:c r="D1845" s="604" t="inlineStr">
        <x:is>
          <x:t xml:space="preserve"/>
        </x:is>
      </x:c>
      <x:c r="E1845" s="604" t="inlineStr">
        <x:is>
          <x:t xml:space="preserve">叙利亚甲</x:t>
        </x:is>
      </x:c>
      <x:c r="F1845" s="604" t="inlineStr">
        <x:is>
          <x:t xml:space="preserve">那瓦艾勒 vs 阿尔贾伊什</x:t>
        </x:is>
      </x:c>
      <x:c r="G1845" s="604" t="n">
        <x:v>2.08</x:v>
      </x:c>
      <x:c r="H1845" s="604" t="n">
        <x:v>0</x:v>
      </x:c>
      <x:c r="I1845" s="604" t="n">
        <x:v>0.3</x:v>
      </x:c>
      <x:c r="J1845" s="604" t="inlineStr">
        <x:is>
          <x:t xml:space="preserve">2.08/0.0/0.3</x:t>
        </x:is>
      </x:c>
      <x:c r="K1845" s="604" t="inlineStr">
        <x:is>
          <x:t xml:space="preserve">V4-N</x:t>
        </x:is>
      </x:c>
      <x:c r="L1845" s="604" t="inlineStr">
        <x:is>
          <x:t xml:space="preserve"/>
        </x:is>
      </x:c>
      <x:c r="M1845" s="604" t="n"/>
      <x:c r="N1845" s="604" t="inlineStr">
        <x:is>
          <x:t xml:space="preserve">V4 Shadow Only；real_money=false</x:t>
        </x:is>
      </x:c>
      <x:c r="O1845" s="604" t="inlineStr">
        <x:is>
          <x:t xml:space="preserve">0-0</x:t>
        </x:is>
      </x:c>
      <x:c r="P1845" s="604" t="inlineStr">
        <x:is>
          <x:t xml:space="preserve">NEUTRAL</x:t>
        </x:is>
      </x:c>
      <x:c r="Q1845" s="630" t="inlineStr">
        <x:is>
          <x:t xml:space="preserve"/>
        </x:is>
      </x:c>
      <x:c r="R1845" s="604" t="n"/>
      <x:c r="S1845" s="604" t="n"/>
      <x:c r="T1845" s="604" t="inlineStr">
        <x:is>
          <x:t xml:space="preserve">D:\codex\v3_legacy\outputs\football_odds_trader\raw\titan007\20261009\20261009_085232_titan007_odds_snapshot.csv</x:t>
        </x:is>
      </x:c>
      <x:c r="U1845" s="628" t="inlineStr">
        <x:is>
          <x:t xml:space="preserve"/>
        </x:is>
      </x:c>
      <x:c r="V1845" s="604" t="inlineStr">
        <x:is>
          <x:t xml:space="preserve"/>
        </x:is>
      </x:c>
      <x:c r="W1845" s="604" t="inlineStr">
        <x:is>
          <x:t xml:space="preserve"/>
        </x:is>
      </x:c>
      <x:c r="X1845" s="604" t="inlineStr">
        <x:is>
          <x:t xml:space="preserve">3100283</x:t>
        </x:is>
      </x:c>
      <x:c r="Y1845" s="604" t="inlineStr">
        <x:is>
          <x:t xml:space="preserve">V4</x:t>
        </x:is>
      </x:c>
      <x:c r="Z1845" s="604" t="inlineStr">
        <x:is>
          <x:t xml:space="preserve">prior-2026-10-09-v1</x:t>
        </x:is>
      </x:c>
      <x:c r="AA1845" s="604" t="inlineStr">
        <x:is>
          <x:t xml:space="preserve">N</x:t>
        </x:is>
      </x:c>
      <x:c r="AB1845" s="604" t="n"/>
      <x:c r="AC1845" s="604" t="n"/>
      <x:c r="AD1845" s="604" t="n"/>
      <x:c r="AE1845" s="604" t="n"/>
      <x:c r="AF1845" s="604" t="n"/>
      <x:c r="AG1845" s="604" t="n"/>
      <x:c r="AH1845" s="604" t="n"/>
      <x:c r="AI1845" s="604" t="n"/>
      <x:c r="AJ1845" s="604" t="n"/>
      <x:c r="AK1845" s="604" t="n"/>
      <x:c r="AL1845" s="604" t="n"/>
      <x:c r="AM1845" s="604" t="n"/>
      <x:c r="AN1845" s="604" t="inlineStr">
        <x:is>
          <x:t xml:space="preserve">NEUTRAL</x:t>
        </x:is>
      </x:c>
      <x:c r="AO1845" s="604" t="inlineStr">
        <x:is>
          <x:t xml:space="preserve">PK_NO_GIVING_RECEIVING_IDENTITY</x:t>
        </x:is>
      </x:c>
      <x:c r="AP1845" s="604" t="inlineStr">
        <x:is>
          <x:t xml:space="preserve">41a02ebdde5d9ec39388</x:t>
        </x:is>
      </x:c>
      <x:c r="AQ1845" s="604" t="n"/>
      <x:c r="AR1845" s="604" t="n"/>
      <x:c r="AS1845" s="604" t="n"/>
      <x:c r="AT1845" s="604" t="n"/>
      <x:c r="AU1845" s="604" t="n"/>
      <x:c r="AV1845" s="604" t="n"/>
      <x:c r="AW1845" s="604" t="inlineStr">
        <x:is>
          <x:t xml:space="preserve">2026-10-09T09:01:21.127001+08:00</x:t>
        </x:is>
      </x:c>
      <x:c r="AX1845" s="604" t="inlineStr">
        <x:is>
          <x:t xml:space="preserve">Titan007/V4</x:t>
        </x:is>
      </x:c>
      <x:c r="AY1845" s="604" t="inlineStr">
        <x:is>
          <x:t xml:space="preserve">Daily append；市场输入缺失时不生成决策</x:t>
        </x:is>
      </x:c>
    </x:row>
    <x:row r="1846" ht="22" customHeight="1">
      <x:c r="A1846" s="604" t="inlineStr">
        <x:is>
          <x:t xml:space="preserve">2026-10-09</x:t>
        </x:is>
      </x:c>
      <x:c r="B1846" s="604" t="inlineStr">
        <x:is>
          <x:t xml:space="preserve">2026-10-09T23:00:00+08:00</x:t>
        </x:is>
      </x:c>
      <x:c r="C1846" s="604" t="str">
        <x:v>欧洲非五大系列</x:v>
      </x:c>
      <x:c r="D1846" s="604" t="inlineStr">
        <x:is>
          <x:t xml:space="preserve"/>
        </x:is>
      </x:c>
      <x:c r="E1846" s="604" t="inlineStr">
        <x:is>
          <x:t xml:space="preserve">立陶丙</x:t>
        </x:is>
      </x:c>
      <x:c r="F1846" s="604" t="inlineStr">
        <x:is>
          <x:t xml:space="preserve">尼维斯 vs 苏杜瓦B队</x:t>
        </x:is>
      </x:c>
      <x:c r="G1846" s="604" t="n">
        <x:v>1</x:v>
      </x:c>
      <x:c r="H1846" s="604" t="n">
        <x:v>0.5</x:v>
      </x:c>
      <x:c r="I1846" s="604" t="n">
        <x:v>0.8</x:v>
      </x:c>
      <x:c r="J1846" s="604" t="inlineStr">
        <x:is>
          <x:t xml:space="preserve">1.0/0.5/0.8</x:t>
        </x:is>
      </x:c>
      <x:c r="K1846" s="604" t="inlineStr">
        <x:is>
          <x:t xml:space="preserve">V4-N</x:t>
        </x:is>
      </x:c>
      <x:c r="L1846" s="604" t="inlineStr">
        <x:is>
          <x:t xml:space="preserve"/>
        </x:is>
      </x:c>
      <x:c r="M1846" s="604" t="n">
        <x:v>0.4790195715847964</x:v>
      </x:c>
      <x:c r="N1846" s="604" t="inlineStr">
        <x:is>
          <x:t xml:space="preserve">V4 Shadow Only；real_money=false</x:t>
        </x:is>
      </x:c>
      <x:c r="O1846" s="604" t="inlineStr">
        <x:is>
          <x:t xml:space="preserve">0-0</x:t>
        </x:is>
      </x:c>
      <x:c r="P1846" s="604" t="inlineStr">
        <x:is>
          <x:t xml:space="preserve">EVALUATED</x:t>
        </x:is>
      </x:c>
      <x:c r="Q1846" s="630" t="inlineStr">
        <x:is>
          <x:t xml:space="preserve"/>
        </x:is>
      </x:c>
      <x:c r="R1846" s="604" t="n"/>
      <x:c r="S1846" s="604" t="n"/>
      <x:c r="T1846" s="604" t="inlineStr">
        <x:is>
          <x:t xml:space="preserve">D:\codex\v3_legacy\outputs\football_odds_trader\raw\titan007\20261009\20261009_085232_titan007_odds_snapshot.csv</x:t>
        </x:is>
      </x:c>
      <x:c r="U1846" s="628" t="inlineStr">
        <x:is>
          <x:t xml:space="preserve"/>
        </x:is>
      </x:c>
      <x:c r="V1846" s="604" t="inlineStr">
        <x:is>
          <x:t xml:space="preserve"/>
        </x:is>
      </x:c>
      <x:c r="W1846" s="604" t="inlineStr">
        <x:is>
          <x:t xml:space="preserve"/>
        </x:is>
      </x:c>
      <x:c r="X1846" s="604" t="inlineStr">
        <x:is>
          <x:t xml:space="preserve">3100331</x:t>
        </x:is>
      </x:c>
      <x:c r="Y1846" s="604" t="inlineStr">
        <x:is>
          <x:t xml:space="preserve">V4</x:t>
        </x:is>
      </x:c>
      <x:c r="Z1846" s="604" t="inlineStr">
        <x:is>
          <x:t xml:space="preserve">prior-2026-10-09-v1</x:t>
        </x:is>
      </x:c>
      <x:c r="AA1846" s="604" t="inlineStr">
        <x:is>
          <x:t xml:space="preserve">N</x:t>
        </x:is>
      </x:c>
      <x:c r="AB1846" s="604" t="n">
        <x:v>0.4790195715847964</x:v>
      </x:c>
      <x:c r="AC1846" s="604" t="n">
        <x:v>0.5209804284152036</x:v>
      </x:c>
      <x:c r="AD1846" s="604" t="n">
        <x:v>0.5</x:v>
      </x:c>
      <x:c r="AE1846" s="604" t="n"/>
      <x:c r="AF1846" s="604" t="n"/>
      <x:c r="AG1846" s="604" t="n">
        <x:v>-0.04196085683040729</x:v>
      </x:c>
      <x:c r="AH1846" s="604" t="n"/>
      <x:c r="AI1846" s="604" t="n"/>
      <x:c r="AJ1846" s="604" t="n">
        <x:v>-0.04196085683040729</x:v>
      </x:c>
      <x:c r="AK1846" s="604" t="n"/>
      <x:c r="AL1846" s="604" t="n"/>
      <x:c r="AM1846" s="604" t="n"/>
      <x:c r="AN1846" s="604" t="inlineStr">
        <x:is>
          <x:t xml:space="preserve">EVALUATED</x:t>
        </x:is>
      </x:c>
      <x:c r="AO1846" s="604" t="inlineStr">
        <x:is>
          <x:t xml:space="preserve">EDGE_BELOW_UNCERTAINTY_THRESHOLD;BUCKET_PRIOR_ONLY;INTENT_INTERPRETATION_ONLY;FFL_OPTIONAL;EXPERT_MARKET</x:t>
        </x:is>
      </x:c>
      <x:c r="AP1846" s="604" t="inlineStr">
        <x:is>
          <x:t xml:space="preserve">b447bdb6b74d40a1d9a7</x:t>
        </x:is>
      </x:c>
      <x:c r="AQ1846" s="604" t="n"/>
      <x:c r="AR1846" s="604" t="n"/>
      <x:c r="AS1846" s="604" t="n">
        <x:v>0.5</x:v>
      </x:c>
      <x:c r="AT1846" s="604" t="n">
        <x:v>-0.5</x:v>
      </x:c>
      <x:c r="AU1846" s="604" t="n">
        <x:v>1</x:v>
      </x:c>
      <x:c r="AV1846" s="604" t="n">
        <x:v>0.8</x:v>
      </x:c>
      <x:c r="AW1846" s="604" t="inlineStr">
        <x:is>
          <x:t xml:space="preserve">2026-10-09T09:01:21.127001+08:00</x:t>
        </x:is>
      </x:c>
      <x:c r="AX1846" s="604" t="inlineStr">
        <x:is>
          <x:t xml:space="preserve">Titan007/V4</x:t>
        </x:is>
      </x:c>
      <x:c r="AY1846" s="604" t="inlineStr">
        <x:is>
          <x:t xml:space="preserve">Daily append；市场输入缺失时不生成决策</x:t>
        </x:is>
      </x:c>
    </x:row>
    <x:row r="1847" ht="22" customHeight="1">
      <x:c r="A1847" s="604" t="inlineStr">
        <x:is>
          <x:t xml:space="preserve">2026-10-09</x:t>
        </x:is>
      </x:c>
      <x:c r="B1847" s="604" t="inlineStr">
        <x:is>
          <x:t xml:space="preserve">2026-10-09T10:30:00+08:00</x:t>
        </x:is>
      </x:c>
      <x:c r="C1847" s="604" t="str">
        <x:v>北美系列</x:v>
      </x:c>
      <x:c r="D1847" s="604" t="inlineStr">
        <x:is>
          <x:t xml:space="preserve">哥斯女甲</x:t>
        </x:is>
      </x:c>
      <x:c r="E1847" s="604" t="inlineStr">
        <x:is>
          <x:t xml:space="preserve">哥斯女甲</x:t>
        </x:is>
      </x:c>
      <x:c r="F1847" s="604" t="inlineStr">
        <x:is>
          <x:t xml:space="preserve">圣何塞女足 vs 自摩拉维亚女足</x:t>
        </x:is>
      </x:c>
      <x:c r="G1847" s="604" t="n">
        <x:v>0.95</x:v>
      </x:c>
      <x:c r="H1847" s="604" t="n">
        <x:v>1.75</x:v>
      </x:c>
      <x:c r="I1847" s="604" t="n">
        <x:v>0.85</x:v>
      </x:c>
      <x:c r="J1847" s="604" t="inlineStr">
        <x:is>
          <x:t xml:space="preserve">0.95/1.75/0.85</x:t>
        </x:is>
      </x:c>
      <x:c r="K1847" s="604" t="inlineStr">
        <x:is>
          <x:t xml:space="preserve">V4-N</x:t>
        </x:is>
      </x:c>
      <x:c r="L1847" s="604" t="inlineStr">
        <x:is>
          <x:t xml:space="preserve"/>
        </x:is>
      </x:c>
      <x:c r="M1847" s="604" t="n">
        <x:v>0.4762177836939528</x:v>
      </x:c>
      <x:c r="N1847" s="604" t="inlineStr">
        <x:is>
          <x:t xml:space="preserve">V4 Shadow Only；real_money=false</x:t>
        </x:is>
      </x:c>
      <x:c r="O1847" s="604" t="inlineStr">
        <x:is>
          <x:t xml:space="preserve">0-0</x:t>
        </x:is>
      </x:c>
      <x:c r="P1847" s="604" t="inlineStr">
        <x:is>
          <x:t xml:space="preserve">EVALUATED</x:t>
        </x:is>
      </x:c>
      <x:c r="Q1847" s="630" t="inlineStr">
        <x:is>
          <x:t xml:space="preserve"/>
        </x:is>
      </x:c>
      <x:c r="R1847" s="604" t="n"/>
      <x:c r="S1847" s="604" t="n"/>
      <x:c r="T1847" s="604" t="inlineStr">
        <x:is>
          <x:t xml:space="preserve">D:\codex\v3_legacy\outputs\football_odds_trader\raw\titan007\20261009\20261009_085232_titan007_odds_snapshot.csv</x:t>
        </x:is>
      </x:c>
      <x:c r="U1847" s="628" t="inlineStr">
        <x:is>
          <x:t xml:space="preserve"/>
        </x:is>
      </x:c>
      <x:c r="V1847" s="604" t="inlineStr">
        <x:is>
          <x:t xml:space="preserve"/>
        </x:is>
      </x:c>
      <x:c r="W1847" s="604" t="inlineStr">
        <x:is>
          <x:t xml:space="preserve"/>
        </x:is>
      </x:c>
      <x:c r="X1847" s="604" t="inlineStr">
        <x:is>
          <x:t xml:space="preserve">3100332</x:t>
        </x:is>
      </x:c>
      <x:c r="Y1847" s="604" t="inlineStr">
        <x:is>
          <x:t xml:space="preserve">V4</x:t>
        </x:is>
      </x:c>
      <x:c r="Z1847" s="604" t="inlineStr">
        <x:is>
          <x:t xml:space="preserve">prior-2026-10-09-v1</x:t>
        </x:is>
      </x:c>
      <x:c r="AA1847" s="604" t="inlineStr">
        <x:is>
          <x:t xml:space="preserve">N</x:t>
        </x:is>
      </x:c>
      <x:c r="AB1847" s="604" t="n">
        <x:v>0.4762177836939528</x:v>
      </x:c>
      <x:c r="AC1847" s="604" t="n">
        <x:v>0.4027062020156134</x:v>
      </x:c>
      <x:c r="AD1847" s="604" t="n">
        <x:v>2</x:v>
      </x:c>
      <x:c r="AE1847" s="604" t="n"/>
      <x:c r="AF1847" s="604" t="n"/>
      <x:c r="AG1847" s="604" t="n">
        <x:v>0.04970069249364178</x:v>
      </x:c>
      <x:c r="AH1847" s="604" t="n"/>
      <x:c r="AI1847" s="604" t="n"/>
      <x:c r="AJ1847" s="604" t="n">
        <x:v>0.04970069249364178</x:v>
      </x:c>
      <x:c r="AK1847" s="604" t="n"/>
      <x:c r="AL1847" s="604" t="n"/>
      <x:c r="AM1847" s="604" t="n"/>
      <x:c r="AN1847" s="604" t="inlineStr">
        <x:is>
          <x:t xml:space="preserve">EVALUATED</x:t>
        </x:is>
      </x:c>
      <x:c r="AO1847" s="604" t="inlineStr">
        <x:is>
          <x:t xml:space="preserve">EDGE_BELOW_UNCERTAINTY_THRESHOLD;BUCKET_PRIOR_ONLY;INTENT_INTERPRETATION_ONLY;FFL_OPTIONAL;EXPERT_MARKET</x:t>
        </x:is>
      </x:c>
      <x:c r="AP1847" s="604" t="inlineStr">
        <x:is>
          <x:t xml:space="preserve">0ed5a49c760d30b042e7</x:t>
        </x:is>
      </x:c>
      <x:c r="AQ1847" s="604" t="n"/>
      <x:c r="AR1847" s="604" t="n"/>
      <x:c r="AS1847" s="604" t="n">
        <x:v>1.75</x:v>
      </x:c>
      <x:c r="AT1847" s="604" t="n">
        <x:v>-1.75</x:v>
      </x:c>
      <x:c r="AU1847" s="604" t="n">
        <x:v>0.95</x:v>
      </x:c>
      <x:c r="AV1847" s="604" t="n">
        <x:v>0.85</x:v>
      </x:c>
      <x:c r="AW1847" s="604" t="inlineStr">
        <x:is>
          <x:t xml:space="preserve">2026-10-09T09:01:21.127001+08:00</x:t>
        </x:is>
      </x:c>
      <x:c r="AX1847" s="604" t="inlineStr">
        <x:is>
          <x:t xml:space="preserve">Titan007/V4</x:t>
        </x:is>
      </x:c>
      <x:c r="AY1847" s="604" t="inlineStr">
        <x:is>
          <x:t xml:space="preserve">Daily append；市场输入缺失时不生成决策</x:t>
        </x:is>
      </x:c>
    </x:row>
    <x:row r="1848" ht="22" customHeight="1">
      <x:c r="A1848" s="604" t="inlineStr">
        <x:is>
          <x:t xml:space="preserve">2026-10-09</x:t>
        </x:is>
      </x:c>
      <x:c r="B1848" s="604" t="inlineStr">
        <x:is>
          <x:t xml:space="preserve">2026-10-10T01:00:00+08:00</x:t>
        </x:is>
      </x:c>
      <x:c r="C1848" s="604" t="str">
        <x:v>其他系列</x:v>
      </x:c>
      <x:c r="D1848" s="604" t="inlineStr">
        <x:is>
          <x:t xml:space="preserve"/>
        </x:is>
      </x:c>
      <x:c r="E1848" s="604" t="inlineStr">
        <x:is>
          <x:t xml:space="preserve">博茨超</x:t>
        </x:is>
      </x:c>
      <x:c r="F1848" s="604" t="inlineStr">
        <x:is>
          <x:t xml:space="preserve">托诺塔FC vs 苏阿火烈鸟</x:t>
        </x:is>
      </x:c>
      <x:c r="G1848" s="604" t="n">
        <x:v>0.85</x:v>
      </x:c>
      <x:c r="H1848" s="604" t="n">
        <x:v>0</x:v>
      </x:c>
      <x:c r="I1848" s="604" t="n">
        <x:v>0.95</x:v>
      </x:c>
      <x:c r="J1848" s="604" t="inlineStr">
        <x:is>
          <x:t xml:space="preserve">0.85/0.0/0.95</x:t>
        </x:is>
      </x:c>
      <x:c r="K1848" s="604" t="inlineStr">
        <x:is>
          <x:t xml:space="preserve">V4-N</x:t>
        </x:is>
      </x:c>
      <x:c r="L1848" s="604" t="inlineStr">
        <x:is>
          <x:t xml:space="preserve"/>
        </x:is>
      </x:c>
      <x:c r="M1848" s="604" t="n"/>
      <x:c r="N1848" s="604" t="inlineStr">
        <x:is>
          <x:t xml:space="preserve">V4 Shadow Only；real_money=false</x:t>
        </x:is>
      </x:c>
      <x:c r="O1848" s="604" t="inlineStr">
        <x:is>
          <x:t xml:space="preserve">0-0</x:t>
        </x:is>
      </x:c>
      <x:c r="P1848" s="604" t="inlineStr">
        <x:is>
          <x:t xml:space="preserve">NEUTRAL</x:t>
        </x:is>
      </x:c>
      <x:c r="Q1848" s="630" t="inlineStr">
        <x:is>
          <x:t xml:space="preserve"/>
        </x:is>
      </x:c>
      <x:c r="R1848" s="604" t="n"/>
      <x:c r="S1848" s="604" t="n"/>
      <x:c r="T1848" s="604" t="inlineStr">
        <x:is>
          <x:t xml:space="preserve">D:\codex\v3_legacy\outputs\football_odds_trader\raw\titan007\20261009\20261009_085232_titan007_odds_snapshot.csv</x:t>
        </x:is>
      </x:c>
      <x:c r="U1848" s="628" t="inlineStr">
        <x:is>
          <x:t xml:space="preserve"/>
        </x:is>
      </x:c>
      <x:c r="V1848" s="604" t="inlineStr">
        <x:is>
          <x:t xml:space="preserve"/>
        </x:is>
      </x:c>
      <x:c r="W1848" s="604" t="inlineStr">
        <x:is>
          <x:t xml:space="preserve"/>
        </x:is>
      </x:c>
      <x:c r="X1848" s="604" t="inlineStr">
        <x:is>
          <x:t xml:space="preserve">3100333</x:t>
        </x:is>
      </x:c>
      <x:c r="Y1848" s="604" t="inlineStr">
        <x:is>
          <x:t xml:space="preserve">V4</x:t>
        </x:is>
      </x:c>
      <x:c r="Z1848" s="604" t="inlineStr">
        <x:is>
          <x:t xml:space="preserve">prior-2026-10-09-v1</x:t>
        </x:is>
      </x:c>
      <x:c r="AA1848" s="604" t="inlineStr">
        <x:is>
          <x:t xml:space="preserve">N</x:t>
        </x:is>
      </x:c>
      <x:c r="AB1848" s="604" t="n"/>
      <x:c r="AC1848" s="604" t="n"/>
      <x:c r="AD1848" s="604" t="n"/>
      <x:c r="AE1848" s="604" t="n"/>
      <x:c r="AF1848" s="604" t="n"/>
      <x:c r="AG1848" s="604" t="n"/>
      <x:c r="AH1848" s="604" t="n"/>
      <x:c r="AI1848" s="604" t="n"/>
      <x:c r="AJ1848" s="604" t="n"/>
      <x:c r="AK1848" s="604" t="n"/>
      <x:c r="AL1848" s="604" t="n"/>
      <x:c r="AM1848" s="604" t="n"/>
      <x:c r="AN1848" s="604" t="inlineStr">
        <x:is>
          <x:t xml:space="preserve">NEUTRAL</x:t>
        </x:is>
      </x:c>
      <x:c r="AO1848" s="604" t="inlineStr">
        <x:is>
          <x:t xml:space="preserve">PK_NO_GIVING_RECEIVING_IDENTITY</x:t>
        </x:is>
      </x:c>
      <x:c r="AP1848" s="604" t="inlineStr">
        <x:is>
          <x:t xml:space="preserve">cf53b1450c66a84eaf8a</x:t>
        </x:is>
      </x:c>
      <x:c r="AQ1848" s="604" t="n"/>
      <x:c r="AR1848" s="604" t="n"/>
      <x:c r="AS1848" s="604" t="n"/>
      <x:c r="AT1848" s="604" t="n"/>
      <x:c r="AU1848" s="604" t="n"/>
      <x:c r="AV1848" s="604" t="n"/>
      <x:c r="AW1848" s="604" t="inlineStr">
        <x:is>
          <x:t xml:space="preserve">2026-10-09T09:01:21.127001+08:00</x:t>
        </x:is>
      </x:c>
      <x:c r="AX1848" s="604" t="inlineStr">
        <x:is>
          <x:t xml:space="preserve">Titan007/V4</x:t>
        </x:is>
      </x:c>
      <x:c r="AY1848" s="604" t="inlineStr">
        <x:is>
          <x:t xml:space="preserve">Daily append；市场输入缺失时不生成决策</x:t>
        </x:is>
      </x:c>
    </x:row>
    <x:row r="1849" ht="22" customHeight="1">
      <x:c r="A1849" s="604" t="inlineStr">
        <x:is>
          <x:t xml:space="preserve">2026-10-09</x:t>
        </x:is>
      </x:c>
      <x:c r="B1849" s="604" t="inlineStr">
        <x:is>
          <x:t xml:space="preserve">2026-10-09T21:30:00+08:00</x:t>
        </x:is>
      </x:c>
      <x:c r="C1849" s="604" t="str">
        <x:v>欧洲非五大系列</x:v>
      </x:c>
      <x:c r="D1849" s="604" t="inlineStr">
        <x:is>
          <x:t xml:space="preserve"/>
        </x:is>
      </x:c>
      <x:c r="E1849" s="604" t="inlineStr">
        <x:is>
          <x:t xml:space="preserve">克亚丙</x:t>
        </x:is>
      </x:c>
      <x:c r="F1849" s="604" t="inlineStr">
        <x:is>
          <x:t xml:space="preserve">德拉格沃尔雅克 vs 乌苏克</x:t>
        </x:is>
      </x:c>
      <x:c r="G1849" s="604" t="n">
        <x:v>0.83</x:v>
      </x:c>
      <x:c r="H1849" s="604" t="n">
        <x:v>-0.25</x:v>
      </x:c>
      <x:c r="I1849" s="604" t="n">
        <x:v>0.98</x:v>
      </x:c>
      <x:c r="J1849" s="604" t="inlineStr">
        <x:is>
          <x:t xml:space="preserve">0.83/-0.25/0.98</x:t>
        </x:is>
      </x:c>
      <x:c r="K1849" s="604" t="inlineStr">
        <x:is>
          <x:t xml:space="preserve">V4-N</x:t>
        </x:is>
      </x:c>
      <x:c r="L1849" s="604" t="inlineStr">
        <x:is>
          <x:t xml:space="preserve"/>
        </x:is>
      </x:c>
      <x:c r="M1849" s="604" t="n">
        <x:v>0.2977625277809272</x:v>
      </x:c>
      <x:c r="N1849" s="604" t="inlineStr">
        <x:is>
          <x:t xml:space="preserve">V4 Shadow Only；real_money=false</x:t>
        </x:is>
      </x:c>
      <x:c r="O1849" s="604" t="inlineStr">
        <x:is>
          <x:t xml:space="preserve">0-0</x:t>
        </x:is>
      </x:c>
      <x:c r="P1849" s="604" t="inlineStr">
        <x:is>
          <x:t xml:space="preserve">EVALUATED</x:t>
        </x:is>
      </x:c>
      <x:c r="Q1849" s="630" t="inlineStr">
        <x:is>
          <x:t xml:space="preserve"/>
        </x:is>
      </x:c>
      <x:c r="R1849" s="604" t="n"/>
      <x:c r="S1849" s="604" t="n"/>
      <x:c r="T1849" s="604" t="inlineStr">
        <x:is>
          <x:t xml:space="preserve">D:\codex\v3_legacy\outputs\football_odds_trader\raw\titan007\20261009\20261009_085232_titan007_odds_snapshot.csv</x:t>
        </x:is>
      </x:c>
      <x:c r="U1849" s="628" t="inlineStr">
        <x:is>
          <x:t xml:space="preserve"/>
        </x:is>
      </x:c>
      <x:c r="V1849" s="604" t="inlineStr">
        <x:is>
          <x:t xml:space="preserve"/>
        </x:is>
      </x:c>
      <x:c r="W1849" s="604" t="inlineStr">
        <x:is>
          <x:t xml:space="preserve"/>
        </x:is>
      </x:c>
      <x:c r="X1849" s="604" t="inlineStr">
        <x:is>
          <x:t xml:space="preserve">3100334</x:t>
        </x:is>
      </x:c>
      <x:c r="Y1849" s="604" t="inlineStr">
        <x:is>
          <x:t xml:space="preserve">V4</x:t>
        </x:is>
      </x:c>
      <x:c r="Z1849" s="604" t="inlineStr">
        <x:is>
          <x:t xml:space="preserve">prior-2026-10-09-v1</x:t>
        </x:is>
      </x:c>
      <x:c r="AA1849" s="604" t="inlineStr">
        <x:is>
          <x:t xml:space="preserve">N</x:t>
        </x:is>
      </x:c>
      <x:c r="AB1849" s="604" t="n">
        <x:v>0.2977625277809272</x:v>
      </x:c>
      <x:c r="AC1849" s="604" t="n">
        <x:v>0.5722294773678187</x:v>
      </x:c>
      <x:c r="AD1849" s="604" t="n">
        <x:v>-0.25</x:v>
      </x:c>
      <x:c r="AE1849" s="604" t="n"/>
      <x:c r="AF1849" s="604" t="n"/>
      <x:c r="AG1849" s="604" t="n">
        <x:v>0.1771879384343624</x:v>
      </x:c>
      <x:c r="AH1849" s="604" t="n"/>
      <x:c r="AI1849" s="604" t="n"/>
      <x:c r="AJ1849" s="604" t="n">
        <x:v>0.1771879384343624</x:v>
      </x:c>
      <x:c r="AK1849" s="604" t="n"/>
      <x:c r="AL1849" s="604" t="n"/>
      <x:c r="AM1849" s="604" t="n"/>
      <x:c r="AN1849" s="604" t="inlineStr">
        <x:is>
          <x:t xml:space="preserve">EVALUATED</x:t>
        </x:is>
      </x:c>
      <x:c r="AO1849" s="604" t="inlineStr">
        <x:is>
          <x:t xml:space="preserve">LOW_QUALITY_GATE;BUCKET_PRIOR_ONLY;INTENT_INTERPRETATION_ONLY;FFL_OPTIONAL;EXPERT_MARKET</x:t>
        </x:is>
      </x:c>
      <x:c r="AP1849" s="604" t="inlineStr">
        <x:is>
          <x:t xml:space="preserve">3804cb65010221674862</x:t>
        </x:is>
      </x:c>
      <x:c r="AQ1849" s="604" t="n"/>
      <x:c r="AR1849" s="604" t="n"/>
      <x:c r="AS1849" s="604" t="n">
        <x:v>-0.25</x:v>
      </x:c>
      <x:c r="AT1849" s="604" t="n">
        <x:v>0.25</x:v>
      </x:c>
      <x:c r="AU1849" s="604" t="n">
        <x:v>0.83</x:v>
      </x:c>
      <x:c r="AV1849" s="604" t="n">
        <x:v>0.98</x:v>
      </x:c>
      <x:c r="AW1849" s="604" t="inlineStr">
        <x:is>
          <x:t xml:space="preserve">2026-10-09T09:01:21.127001+08:00</x:t>
        </x:is>
      </x:c>
      <x:c r="AX1849" s="604" t="inlineStr">
        <x:is>
          <x:t xml:space="preserve">Titan007/V4</x:t>
        </x:is>
      </x:c>
      <x:c r="AY1849" s="604" t="inlineStr">
        <x:is>
          <x:t xml:space="preserve">Daily append；市场输入缺失时不生成决策</x:t>
        </x:is>
      </x:c>
    </x:row>
    <x:row r="1850" ht="22" customHeight="1">
      <x:c r="A1850" s="604" t="inlineStr">
        <x:is>
          <x:t xml:space="preserve">2026-10-09</x:t>
        </x:is>
      </x:c>
      <x:c r="B1850" s="604" t="inlineStr">
        <x:is>
          <x:t xml:space="preserve">2026-10-09T19:00:00+08:00</x:t>
        </x:is>
      </x:c>
      <x:c r="C1850" s="604" t="str">
        <x:v>其他系列</x:v>
      </x:c>
      <x:c r="D1850" s="604" t="inlineStr">
        <x:is>
          <x:t xml:space="preserve"/>
        </x:is>
      </x:c>
      <x:c r="E1850" s="604" t="inlineStr">
        <x:is>
          <x:t xml:space="preserve">国际友谊</x:t>
        </x:is>
      </x:c>
      <x:c r="F1850" s="604" t="inlineStr">
        <x:is>
          <x:t xml:space="preserve">黑山女足 vs 波黑女足</x:t>
        </x:is>
      </x:c>
      <x:c r="G1850" s="604" t="n">
        <x:v>0.8</x:v>
      </x:c>
      <x:c r="H1850" s="604" t="n">
        <x:v>-0.5</x:v>
      </x:c>
      <x:c r="I1850" s="604" t="n">
        <x:v>0.9</x:v>
      </x:c>
      <x:c r="J1850" s="604" t="inlineStr">
        <x:is>
          <x:t xml:space="preserve">0.8/-0.5/0.9</x:t>
        </x:is>
      </x:c>
      <x:c r="K1850" s="604" t="inlineStr">
        <x:is>
          <x:t xml:space="preserve">V4-N</x:t>
        </x:is>
      </x:c>
      <x:c r="L1850" s="604" t="inlineStr">
        <x:is>
          <x:t xml:space="preserve"/>
        </x:is>
      </x:c>
      <x:c r="M1850" s="604" t="n">
        <x:v>0.1745532367554438</x:v>
      </x:c>
      <x:c r="N1850" s="604" t="inlineStr">
        <x:is>
          <x:t xml:space="preserve">V4 Shadow Only；real_money=false</x:t>
        </x:is>
      </x:c>
      <x:c r="O1850" s="604" t="inlineStr">
        <x:is>
          <x:t xml:space="preserve">0-0</x:t>
        </x:is>
      </x:c>
      <x:c r="P1850" s="604" t="inlineStr">
        <x:is>
          <x:t xml:space="preserve">EVALUATED</x:t>
        </x:is>
      </x:c>
      <x:c r="Q1850" s="630" t="inlineStr">
        <x:is>
          <x:t xml:space="preserve"/>
        </x:is>
      </x:c>
      <x:c r="R1850" s="604" t="n"/>
      <x:c r="S1850" s="604" t="n"/>
      <x:c r="T1850" s="604" t="inlineStr">
        <x:is>
          <x:t xml:space="preserve">D:\codex\v3_legacy\outputs\football_odds_trader\raw\titan007\20261009\20261009_085232_titan007_odds_snapshot.csv</x:t>
        </x:is>
      </x:c>
      <x:c r="U1850" s="628" t="inlineStr">
        <x:is>
          <x:t xml:space="preserve"/>
        </x:is>
      </x:c>
      <x:c r="V1850" s="604" t="inlineStr">
        <x:is>
          <x:t xml:space="preserve"/>
        </x:is>
      </x:c>
      <x:c r="W1850" s="604" t="inlineStr">
        <x:is>
          <x:t xml:space="preserve"/>
        </x:is>
      </x:c>
      <x:c r="X1850" s="604" t="inlineStr">
        <x:is>
          <x:t xml:space="preserve">3100335</x:t>
        </x:is>
      </x:c>
      <x:c r="Y1850" s="604" t="inlineStr">
        <x:is>
          <x:t xml:space="preserve">V4</x:t>
        </x:is>
      </x:c>
      <x:c r="Z1850" s="604" t="inlineStr">
        <x:is>
          <x:t xml:space="preserve">prior-2026-10-09-v1</x:t>
        </x:is>
      </x:c>
      <x:c r="AA1850" s="604" t="inlineStr">
        <x:is>
          <x:t xml:space="preserve">N</x:t>
        </x:is>
      </x:c>
      <x:c r="AB1850" s="604" t="n">
        <x:v>0.1745532367554438</x:v>
      </x:c>
      <x:c r="AC1850" s="604" t="n">
        <x:v>0.8254467632445562</x:v>
      </x:c>
      <x:c r="AD1850" s="604" t="n">
        <x:v>-1</x:v>
      </x:c>
      <x:c r="AE1850" s="604" t="n"/>
      <x:c r="AF1850" s="604" t="n"/>
      <x:c r="AG1850" s="604" t="n">
        <x:v>0.4858041738402012</x:v>
      </x:c>
      <x:c r="AH1850" s="604" t="n"/>
      <x:c r="AI1850" s="604" t="n"/>
      <x:c r="AJ1850" s="604" t="n">
        <x:v>0.4858041738402012</x:v>
      </x:c>
      <x:c r="AK1850" s="604" t="n"/>
      <x:c r="AL1850" s="604" t="n"/>
      <x:c r="AM1850" s="604" t="n"/>
      <x:c r="AN1850" s="604" t="inlineStr">
        <x:is>
          <x:t xml:space="preserve">EVALUATED</x:t>
        </x:is>
      </x:c>
      <x:c r="AO1850" s="604" t="inlineStr">
        <x:is>
          <x:t xml:space="preserve">LOW_QUALITY_GATE;BUCKET_PRIOR_ONLY;INTENT_INTERPRETATION_ONLY;FFL_OPTIONAL;EXPERT_MARKET</x:t>
        </x:is>
      </x:c>
      <x:c r="AP1850" s="604" t="inlineStr">
        <x:is>
          <x:t xml:space="preserve">ed13a73080f29da70bb3</x:t>
        </x:is>
      </x:c>
      <x:c r="AQ1850" s="604" t="n"/>
      <x:c r="AR1850" s="604" t="n"/>
      <x:c r="AS1850" s="604" t="n">
        <x:v>-0.5</x:v>
      </x:c>
      <x:c r="AT1850" s="604" t="n">
        <x:v>0.5</x:v>
      </x:c>
      <x:c r="AU1850" s="604" t="n">
        <x:v>0.8</x:v>
      </x:c>
      <x:c r="AV1850" s="604" t="n">
        <x:v>0.9</x:v>
      </x:c>
      <x:c r="AW1850" s="604" t="inlineStr">
        <x:is>
          <x:t xml:space="preserve">2026-10-09T09:01:21.127001+08:00</x:t>
        </x:is>
      </x:c>
      <x:c r="AX1850" s="604" t="inlineStr">
        <x:is>
          <x:t xml:space="preserve">Titan007/V4</x:t>
        </x:is>
      </x:c>
      <x:c r="AY1850" s="604" t="inlineStr">
        <x:is>
          <x:t xml:space="preserve">Daily append；市场输入缺失时不生成决策</x:t>
        </x:is>
      </x:c>
    </x:row>
    <x:row r="1851" ht="22" customHeight="1">
      <x:c r="A1851" s="604" t="inlineStr">
        <x:is>
          <x:t xml:space="preserve">2026-10-09</x:t>
        </x:is>
      </x:c>
      <x:c r="B1851" s="604" t="inlineStr">
        <x:is>
          <x:t xml:space="preserve">2026-10-09T16:00:00+08:00</x:t>
        </x:is>
      </x:c>
      <x:c r="C1851" s="604" t="str">
        <x:v>欧洲非五大系列</x:v>
      </x:c>
      <x:c r="D1851" s="604" t="inlineStr">
        <x:is>
          <x:t xml:space="preserve"/>
        </x:is>
      </x:c>
      <x:c r="E1851" s="604" t="inlineStr">
        <x:is>
          <x:t xml:space="preserve">格鲁丙</x:t>
        </x:is>
      </x:c>
      <x:c r="F1851" s="604" t="inlineStr">
        <x:is>
          <x:t xml:space="preserve">迪德布 vs 第比利斯火车头</x:t>
        </x:is>
      </x:c>
      <x:c r="G1851" s="604" t="n">
        <x:v>0.93</x:v>
      </x:c>
      <x:c r="H1851" s="604" t="n">
        <x:v>-0.25</x:v>
      </x:c>
      <x:c r="I1851" s="604" t="n">
        <x:v>0.88</x:v>
      </x:c>
      <x:c r="J1851" s="604" t="inlineStr">
        <x:is>
          <x:t xml:space="preserve">0.93/-0.25/0.88</x:t>
        </x:is>
      </x:c>
      <x:c r="K1851" s="604" t="inlineStr">
        <x:is>
          <x:t xml:space="preserve">V4-N</x:t>
        </x:is>
      </x:c>
      <x:c r="L1851" s="604" t="inlineStr">
        <x:is>
          <x:t xml:space="preserve"/>
        </x:is>
      </x:c>
      <x:c r="M1851" s="604" t="n">
        <x:v>0.3800243164341295</x:v>
      </x:c>
      <x:c r="N1851" s="604" t="inlineStr">
        <x:is>
          <x:t xml:space="preserve">V4 Shadow Only；real_money=false</x:t>
        </x:is>
      </x:c>
      <x:c r="O1851" s="604" t="inlineStr">
        <x:is>
          <x:t xml:space="preserve">0-0</x:t>
        </x:is>
      </x:c>
      <x:c r="P1851" s="604" t="inlineStr">
        <x:is>
          <x:t xml:space="preserve">EVALUATED</x:t>
        </x:is>
      </x:c>
      <x:c r="Q1851" s="630" t="inlineStr">
        <x:is>
          <x:t xml:space="preserve"/>
        </x:is>
      </x:c>
      <x:c r="R1851" s="604" t="n"/>
      <x:c r="S1851" s="604" t="n"/>
      <x:c r="T1851" s="604" t="inlineStr">
        <x:is>
          <x:t xml:space="preserve">D:\codex\v3_legacy\outputs\football_odds_trader\raw\titan007\20261009\20261009_085232_titan007_odds_snapshot.csv</x:t>
        </x:is>
      </x:c>
      <x:c r="U1851" s="628" t="inlineStr">
        <x:is>
          <x:t xml:space="preserve"/>
        </x:is>
      </x:c>
      <x:c r="V1851" s="604" t="inlineStr">
        <x:is>
          <x:t xml:space="preserve"/>
        </x:is>
      </x:c>
      <x:c r="W1851" s="604" t="inlineStr">
        <x:is>
          <x:t xml:space="preserve"/>
        </x:is>
      </x:c>
      <x:c r="X1851" s="604" t="inlineStr">
        <x:is>
          <x:t xml:space="preserve">3100343</x:t>
        </x:is>
      </x:c>
      <x:c r="Y1851" s="604" t="inlineStr">
        <x:is>
          <x:t xml:space="preserve">V4</x:t>
        </x:is>
      </x:c>
      <x:c r="Z1851" s="604" t="inlineStr">
        <x:is>
          <x:t xml:space="preserve">prior-2026-10-09-v1</x:t>
        </x:is>
      </x:c>
      <x:c r="AA1851" s="604" t="inlineStr">
        <x:is>
          <x:t xml:space="preserve">N</x:t>
        </x:is>
      </x:c>
      <x:c r="AB1851" s="604" t="n">
        <x:v>0.3800243164341295</x:v>
      </x:c>
      <x:c r="AC1851" s="604" t="n">
        <x:v>0.4883364041392533</x:v>
      </x:c>
      <x:c r="AD1851" s="604" t="n">
        <x:v>0</x:v>
      </x:c>
      <x:c r="AE1851" s="604" t="n"/>
      <x:c r="AF1851" s="604" t="n"/>
      <x:c r="AG1851" s="604" t="n">
        <x:v>0.07412853941537612</x:v>
      </x:c>
      <x:c r="AH1851" s="604" t="n"/>
      <x:c r="AI1851" s="604" t="n"/>
      <x:c r="AJ1851" s="604" t="n">
        <x:v>0.07412853941537612</x:v>
      </x:c>
      <x:c r="AK1851" s="604" t="n"/>
      <x:c r="AL1851" s="604" t="n"/>
      <x:c r="AM1851" s="604" t="n"/>
      <x:c r="AN1851" s="604" t="inlineStr">
        <x:is>
          <x:t xml:space="preserve">EVALUATED</x:t>
        </x:is>
      </x:c>
      <x:c r="AO1851" s="604" t="inlineStr">
        <x:is>
          <x:t xml:space="preserve">LOW_QUALITY_GATE;BUCKET_PRIOR_ONLY;INTENT_INTERPRETATION_ONLY;FFL_OPTIONAL;EXPERT_MARKET</x:t>
        </x:is>
      </x:c>
      <x:c r="AP1851" s="604" t="inlineStr">
        <x:is>
          <x:t xml:space="preserve">13f14676ef8da80b5f77</x:t>
        </x:is>
      </x:c>
      <x:c r="AQ1851" s="604" t="n"/>
      <x:c r="AR1851" s="604" t="n"/>
      <x:c r="AS1851" s="604" t="n">
        <x:v>-0.25</x:v>
      </x:c>
      <x:c r="AT1851" s="604" t="n">
        <x:v>0.25</x:v>
      </x:c>
      <x:c r="AU1851" s="604" t="n">
        <x:v>0.93</x:v>
      </x:c>
      <x:c r="AV1851" s="604" t="n">
        <x:v>0.88</x:v>
      </x:c>
      <x:c r="AW1851" s="604" t="inlineStr">
        <x:is>
          <x:t xml:space="preserve">2026-10-09T09:01:21.127001+08:00</x:t>
        </x:is>
      </x:c>
      <x:c r="AX1851" s="604" t="inlineStr">
        <x:is>
          <x:t xml:space="preserve">Titan007/V4</x:t>
        </x:is>
      </x:c>
      <x:c r="AY1851" s="604" t="inlineStr">
        <x:is>
          <x:t xml:space="preserve">Daily append；市场输入缺失时不生成决策</x:t>
        </x:is>
      </x:c>
    </x:row>
    <x:row r="1852" ht="22" customHeight="1">
      <x:c r="A1852" s="604" t="inlineStr">
        <x:is>
          <x:t xml:space="preserve">2026-10-09</x:t>
        </x:is>
      </x:c>
      <x:c r="B1852" s="604" t="inlineStr">
        <x:is>
          <x:t xml:space="preserve">2026-10-09T23:00:00+08:00</x:t>
        </x:is>
      </x:c>
      <x:c r="C1852" s="604" t="str">
        <x:v>其他系列</x:v>
      </x:c>
      <x:c r="D1852" s="604" t="inlineStr">
        <x:is>
          <x:t xml:space="preserve"/>
        </x:is>
      </x:c>
      <x:c r="E1852" s="604" t="inlineStr">
        <x:is>
          <x:t xml:space="preserve">加纳联</x:t>
        </x:is>
      </x:c>
      <x:c r="F1852" s="604" t="inlineStr">
        <x:is>
          <x:t xml:space="preserve">国际联盟 vs 奥卡胡联</x:t>
        </x:is>
      </x:c>
      <x:c r="G1852" s="604" t="n">
        <x:v>0.8</x:v>
      </x:c>
      <x:c r="H1852" s="604" t="n">
        <x:v>0.5</x:v>
      </x:c>
      <x:c r="I1852" s="604" t="n">
        <x:v>1</x:v>
      </x:c>
      <x:c r="J1852" s="604" t="inlineStr">
        <x:is>
          <x:t xml:space="preserve">0.8/0.5/1.0</x:t>
        </x:is>
      </x:c>
      <x:c r="K1852" s="604" t="inlineStr">
        <x:is>
          <x:t xml:space="preserve">V4-N</x:t>
        </x:is>
      </x:c>
      <x:c r="L1852" s="604" t="inlineStr">
        <x:is>
          <x:t xml:space="preserve"/>
        </x:is>
      </x:c>
      <x:c r="M1852" s="604" t="n">
        <x:v>0.6306134121350174</x:v>
      </x:c>
      <x:c r="N1852" s="604" t="inlineStr">
        <x:is>
          <x:t xml:space="preserve">V4 Shadow Only；real_money=false</x:t>
        </x:is>
      </x:c>
      <x:c r="O1852" s="604" t="inlineStr">
        <x:is>
          <x:t xml:space="preserve">0-0</x:t>
        </x:is>
      </x:c>
      <x:c r="P1852" s="604" t="inlineStr">
        <x:is>
          <x:t xml:space="preserve">EVALUATED</x:t>
        </x:is>
      </x:c>
      <x:c r="Q1852" s="630" t="inlineStr">
        <x:is>
          <x:t xml:space="preserve"/>
        </x:is>
      </x:c>
      <x:c r="R1852" s="604" t="n"/>
      <x:c r="S1852" s="604" t="n"/>
      <x:c r="T1852" s="604" t="inlineStr">
        <x:is>
          <x:t xml:space="preserve">D:\codex\v3_legacy\outputs\football_odds_trader\raw\titan007\20261009\20261009_085232_titan007_odds_snapshot.csv</x:t>
        </x:is>
      </x:c>
      <x:c r="U1852" s="628" t="inlineStr">
        <x:is>
          <x:t xml:space="preserve"/>
        </x:is>
      </x:c>
      <x:c r="V1852" s="604" t="inlineStr">
        <x:is>
          <x:t xml:space="preserve"/>
        </x:is>
      </x:c>
      <x:c r="W1852" s="604" t="inlineStr">
        <x:is>
          <x:t xml:space="preserve"/>
        </x:is>
      </x:c>
      <x:c r="X1852" s="604" t="inlineStr">
        <x:is>
          <x:t xml:space="preserve">3100344</x:t>
        </x:is>
      </x:c>
      <x:c r="Y1852" s="604" t="inlineStr">
        <x:is>
          <x:t xml:space="preserve">V4</x:t>
        </x:is>
      </x:c>
      <x:c r="Z1852" s="604" t="inlineStr">
        <x:is>
          <x:t xml:space="preserve">prior-2026-10-09-v1</x:t>
        </x:is>
      </x:c>
      <x:c r="AA1852" s="604" t="inlineStr">
        <x:is>
          <x:t xml:space="preserve">N</x:t>
        </x:is>
      </x:c>
      <x:c r="AB1852" s="604" t="n">
        <x:v>0.6306134121350174</x:v>
      </x:c>
      <x:c r="AC1852" s="604" t="n">
        <x:v>0.3693865878649826</x:v>
      </x:c>
      <x:c r="AD1852" s="604" t="n">
        <x:v>1</x:v>
      </x:c>
      <x:c r="AE1852" s="604" t="n"/>
      <x:c r="AF1852" s="604" t="n"/>
      <x:c r="AG1852" s="604" t="n">
        <x:v>0.1351041418430314</x:v>
      </x:c>
      <x:c r="AH1852" s="604" t="n"/>
      <x:c r="AI1852" s="604" t="n"/>
      <x:c r="AJ1852" s="604" t="n">
        <x:v>0.1351041418430314</x:v>
      </x:c>
      <x:c r="AK1852" s="604" t="n"/>
      <x:c r="AL1852" s="604" t="n"/>
      <x:c r="AM1852" s="604" t="n"/>
      <x:c r="AN1852" s="604" t="inlineStr">
        <x:is>
          <x:t xml:space="preserve">EVALUATED</x:t>
        </x:is>
      </x:c>
      <x:c r="AO1852" s="604" t="inlineStr">
        <x:is>
          <x:t xml:space="preserve">LOW_QUALITY_GATE;BUCKET_PRIOR_ONLY;INTENT_INTERPRETATION_ONLY;FFL_OPTIONAL;EXPERT_MARKET</x:t>
        </x:is>
      </x:c>
      <x:c r="AP1852" s="604" t="inlineStr">
        <x:is>
          <x:t xml:space="preserve">9068e8dc8d9966e5f0bf</x:t>
        </x:is>
      </x:c>
      <x:c r="AQ1852" s="604" t="n"/>
      <x:c r="AR1852" s="604" t="n"/>
      <x:c r="AS1852" s="604" t="n">
        <x:v>0.5</x:v>
      </x:c>
      <x:c r="AT1852" s="604" t="n">
        <x:v>-0.5</x:v>
      </x:c>
      <x:c r="AU1852" s="604" t="n">
        <x:v>0.8</x:v>
      </x:c>
      <x:c r="AV1852" s="604" t="n">
        <x:v>1</x:v>
      </x:c>
      <x:c r="AW1852" s="604" t="inlineStr">
        <x:is>
          <x:t xml:space="preserve">2026-10-09T09:01:21.127001+08:00</x:t>
        </x:is>
      </x:c>
      <x:c r="AX1852" s="604" t="inlineStr">
        <x:is>
          <x:t xml:space="preserve">Titan007/V4</x:t>
        </x:is>
      </x:c>
      <x:c r="AY1852" s="604" t="inlineStr">
        <x:is>
          <x:t xml:space="preserve">Daily append；市场输入缺失时不生成决策</x:t>
        </x:is>
      </x:c>
    </x:row>
    <x:row r="1853" ht="22" customHeight="1">
      <x:c r="A1853" s="604" t="inlineStr">
        <x:is>
          <x:t xml:space="preserve">2026-10-09</x:t>
        </x:is>
      </x:c>
      <x:c r="B1853" s="604" t="inlineStr">
        <x:is>
          <x:t xml:space="preserve">2026-10-09T19:00:00+08:00</x:t>
        </x:is>
      </x:c>
      <x:c r="C1853" s="604" t="str">
        <x:v>欧洲非五大系列</x:v>
      </x:c>
      <x:c r="D1853" s="604" t="inlineStr">
        <x:is>
          <x:t xml:space="preserve"/>
        </x:is>
      </x:c>
      <x:c r="E1853" s="604" t="inlineStr">
        <x:is>
          <x:t xml:space="preserve">格鲁丙</x:t>
        </x:is>
      </x:c>
      <x:c r="F1853" s="604" t="inlineStr">
        <x:is>
          <x:t xml:space="preserve">格鲁吉亚奥比 vs 萨布塔罗提比利锡B队</x:t>
        </x:is>
      </x:c>
      <x:c r="G1853" s="604" t="n">
        <x:v>0.93</x:v>
      </x:c>
      <x:c r="H1853" s="604" t="n">
        <x:v>-0.25</x:v>
      </x:c>
      <x:c r="I1853" s="604" t="n">
        <x:v>0.88</x:v>
      </x:c>
      <x:c r="J1853" s="604" t="inlineStr">
        <x:is>
          <x:t xml:space="preserve">0.93/-0.25/0.88</x:t>
        </x:is>
      </x:c>
      <x:c r="K1853" s="604" t="inlineStr">
        <x:is>
          <x:t xml:space="preserve">V4-N</x:t>
        </x:is>
      </x:c>
      <x:c r="L1853" s="604" t="inlineStr">
        <x:is>
          <x:t xml:space="preserve"/>
        </x:is>
      </x:c>
      <x:c r="M1853" s="604" t="n">
        <x:v>0.3007728262753651</x:v>
      </x:c>
      <x:c r="N1853" s="604" t="inlineStr">
        <x:is>
          <x:t xml:space="preserve">V4 Shadow Only；real_money=false</x:t>
        </x:is>
      </x:c>
      <x:c r="O1853" s="604" t="inlineStr">
        <x:is>
          <x:t xml:space="preserve">0-0</x:t>
        </x:is>
      </x:c>
      <x:c r="P1853" s="604" t="inlineStr">
        <x:is>
          <x:t xml:space="preserve">EVALUATED</x:t>
        </x:is>
      </x:c>
      <x:c r="Q1853" s="630" t="inlineStr">
        <x:is>
          <x:t xml:space="preserve"/>
        </x:is>
      </x:c>
      <x:c r="R1853" s="604" t="n"/>
      <x:c r="S1853" s="604" t="n"/>
      <x:c r="T1853" s="604" t="inlineStr">
        <x:is>
          <x:t xml:space="preserve">D:\codex\v3_legacy\outputs\football_odds_trader\raw\titan007\20261009\20261009_085232_titan007_odds_snapshot.csv</x:t>
        </x:is>
      </x:c>
      <x:c r="U1853" s="628" t="inlineStr">
        <x:is>
          <x:t xml:space="preserve"/>
        </x:is>
      </x:c>
      <x:c r="V1853" s="604" t="inlineStr">
        <x:is>
          <x:t xml:space="preserve"/>
        </x:is>
      </x:c>
      <x:c r="W1853" s="604" t="inlineStr">
        <x:is>
          <x:t xml:space="preserve"/>
        </x:is>
      </x:c>
      <x:c r="X1853" s="604" t="inlineStr">
        <x:is>
          <x:t xml:space="preserve">3100346</x:t>
        </x:is>
      </x:c>
      <x:c r="Y1853" s="604" t="inlineStr">
        <x:is>
          <x:t xml:space="preserve">V4</x:t>
        </x:is>
      </x:c>
      <x:c r="Z1853" s="604" t="inlineStr">
        <x:is>
          <x:t xml:space="preserve">prior-2026-10-09-v1</x:t>
        </x:is>
      </x:c>
      <x:c r="AA1853" s="604" t="inlineStr">
        <x:is>
          <x:t xml:space="preserve">N</x:t>
        </x:is>
      </x:c>
      <x:c r="AB1853" s="604" t="n">
        <x:v>0.3007728262753651</x:v>
      </x:c>
      <x:c r="AC1853" s="604" t="n">
        <x:v>0.5690452676471514</x:v>
      </x:c>
      <x:c r="AD1853" s="604" t="n">
        <x:v>-0.25</x:v>
      </x:c>
      <x:c r="AE1853" s="604" t="n"/>
      <x:c r="AF1853" s="604" t="n"/>
      <x:c r="AG1853" s="604" t="n">
        <x:v>0.2284392726364856</x:v>
      </x:c>
      <x:c r="AH1853" s="604" t="n"/>
      <x:c r="AI1853" s="604" t="n"/>
      <x:c r="AJ1853" s="604" t="n">
        <x:v>0.2284392726364856</x:v>
      </x:c>
      <x:c r="AK1853" s="604" t="n"/>
      <x:c r="AL1853" s="604" t="n"/>
      <x:c r="AM1853" s="604" t="n"/>
      <x:c r="AN1853" s="604" t="inlineStr">
        <x:is>
          <x:t xml:space="preserve">EVALUATED</x:t>
        </x:is>
      </x:c>
      <x:c r="AO1853" s="604" t="inlineStr">
        <x:is>
          <x:t xml:space="preserve">LOW_QUALITY_GATE;BUCKET_PRIOR_ONLY;INTENT_INTERPRETATION_ONLY;FFL_OPTIONAL;EXPERT_MARKET</x:t>
        </x:is>
      </x:c>
      <x:c r="AP1853" s="604" t="inlineStr">
        <x:is>
          <x:t xml:space="preserve">bdb549cf07f7cc45908d</x:t>
        </x:is>
      </x:c>
      <x:c r="AQ1853" s="604" t="n"/>
      <x:c r="AR1853" s="604" t="n"/>
      <x:c r="AS1853" s="604" t="n">
        <x:v>-0.25</x:v>
      </x:c>
      <x:c r="AT1853" s="604" t="n">
        <x:v>0.25</x:v>
      </x:c>
      <x:c r="AU1853" s="604" t="n">
        <x:v>0.93</x:v>
      </x:c>
      <x:c r="AV1853" s="604" t="n">
        <x:v>0.88</x:v>
      </x:c>
      <x:c r="AW1853" s="604" t="inlineStr">
        <x:is>
          <x:t xml:space="preserve">2026-10-09T09:01:21.127001+08:00</x:t>
        </x:is>
      </x:c>
      <x:c r="AX1853" s="604" t="inlineStr">
        <x:is>
          <x:t xml:space="preserve">Titan007/V4</x:t>
        </x:is>
      </x:c>
      <x:c r="AY1853" s="604" t="inlineStr">
        <x:is>
          <x:t xml:space="preserve">Daily append；市场输入缺失时不生成决策</x:t>
        </x:is>
      </x:c>
    </x:row>
    <x:row r="1854" ht="22" customHeight="1">
      <x:c r="A1854" s="604" t="inlineStr">
        <x:is>
          <x:t xml:space="preserve">2026-10-09</x:t>
        </x:is>
      </x:c>
      <x:c r="B1854" s="604" t="inlineStr">
        <x:is>
          <x:t xml:space="preserve">2026-10-09T23:30:00+08:00</x:t>
        </x:is>
      </x:c>
      <x:c r="C1854" s="604" t="str">
        <x:v>五大联赛非顶级联赛</x:v>
      </x:c>
      <x:c r="D1854" s="604" t="inlineStr">
        <x:is>
          <x:t xml:space="preserve"/>
        </x:is>
      </x:c>
      <x:c r="E1854" s="604" t="inlineStr">
        <x:is>
          <x:t xml:space="preserve">布法联</x:t>
        </x:is>
      </x:c>
      <x:c r="F1854" s="604" t="inlineStr">
        <x:is>
          <x:t xml:space="preserve">CFFEB vs 萨利塔斯</x:t>
        </x:is>
      </x:c>
      <x:c r="G1854" s="604" t="n">
        <x:v>0.88</x:v>
      </x:c>
      <x:c r="H1854" s="604" t="n">
        <x:v>0.25</x:v>
      </x:c>
      <x:c r="I1854" s="604" t="n">
        <x:v>0.93</x:v>
      </x:c>
      <x:c r="J1854" s="604" t="inlineStr">
        <x:is>
          <x:t xml:space="preserve">0.88/0.25/0.93</x:t>
        </x:is>
      </x:c>
      <x:c r="K1854" s="604" t="inlineStr">
        <x:is>
          <x:t xml:space="preserve">V4-N</x:t>
        </x:is>
      </x:c>
      <x:c r="L1854" s="604" t="inlineStr">
        <x:is>
          <x:t xml:space="preserve"/>
        </x:is>
      </x:c>
      <x:c r="M1854" s="604" t="n">
        <x:v>0.4922742428678538</x:v>
      </x:c>
      <x:c r="N1854" s="604" t="inlineStr">
        <x:is>
          <x:t xml:space="preserve">V4 Shadow Only；real_money=false</x:t>
        </x:is>
      </x:c>
      <x:c r="O1854" s="604" t="inlineStr">
        <x:is>
          <x:t xml:space="preserve">0-0</x:t>
        </x:is>
      </x:c>
      <x:c r="P1854" s="604" t="inlineStr">
        <x:is>
          <x:t xml:space="preserve">EVALUATED</x:t>
        </x:is>
      </x:c>
      <x:c r="Q1854" s="630" t="inlineStr">
        <x:is>
          <x:t xml:space="preserve"/>
        </x:is>
      </x:c>
      <x:c r="R1854" s="604" t="n"/>
      <x:c r="S1854" s="604" t="n"/>
      <x:c r="T1854" s="604" t="inlineStr">
        <x:is>
          <x:t xml:space="preserve">D:\codex\v3_legacy\outputs\football_odds_trader\raw\titan007\20261009\20261009_085232_titan007_odds_snapshot.csv</x:t>
        </x:is>
      </x:c>
      <x:c r="U1854" s="628" t="inlineStr">
        <x:is>
          <x:t xml:space="preserve"/>
        </x:is>
      </x:c>
      <x:c r="V1854" s="604" t="inlineStr">
        <x:is>
          <x:t xml:space="preserve"/>
        </x:is>
      </x:c>
      <x:c r="W1854" s="604" t="inlineStr">
        <x:is>
          <x:t xml:space="preserve"/>
        </x:is>
      </x:c>
      <x:c r="X1854" s="604" t="inlineStr">
        <x:is>
          <x:t xml:space="preserve">3100349</x:t>
        </x:is>
      </x:c>
      <x:c r="Y1854" s="604" t="inlineStr">
        <x:is>
          <x:t xml:space="preserve">V4</x:t>
        </x:is>
      </x:c>
      <x:c r="Z1854" s="604" t="inlineStr">
        <x:is>
          <x:t xml:space="preserve">prior-2026-10-09-v1</x:t>
        </x:is>
      </x:c>
      <x:c r="AA1854" s="604" t="inlineStr">
        <x:is>
          <x:t xml:space="preserve">N</x:t>
        </x:is>
      </x:c>
      <x:c r="AB1854" s="604" t="n">
        <x:v>0.4922742428678538</x:v>
      </x:c>
      <x:c r="AC1854" s="604" t="n">
        <x:v>0.3800697303827434</x:v>
      </x:c>
      <x:c r="AD1854" s="604" t="n">
        <x:v>0.5</x:v>
      </x:c>
      <x:c r="AE1854" s="604" t="n"/>
      <x:c r="AF1854" s="604" t="n"/>
      <x:c r="AG1854" s="604" t="n">
        <x:v>0.05313160334096795</x:v>
      </x:c>
      <x:c r="AH1854" s="604" t="n"/>
      <x:c r="AI1854" s="604" t="n"/>
      <x:c r="AJ1854" s="604" t="n">
        <x:v>0.05313160334096795</x:v>
      </x:c>
      <x:c r="AK1854" s="604" t="n"/>
      <x:c r="AL1854" s="604" t="n"/>
      <x:c r="AM1854" s="604" t="n"/>
      <x:c r="AN1854" s="604" t="inlineStr">
        <x:is>
          <x:t xml:space="preserve">EVALUATED</x:t>
        </x:is>
      </x:c>
      <x:c r="AO1854" s="604" t="inlineStr">
        <x:is>
          <x:t xml:space="preserve">EDGE_BELOW_UNCERTAINTY_THRESHOLD;BUCKET_PRIOR_ONLY;INTENT_INTERPRETATION_ONLY;FFL_OPTIONAL;EXPERT_MARKET</x:t>
        </x:is>
      </x:c>
      <x:c r="AP1854" s="604" t="inlineStr">
        <x:is>
          <x:t xml:space="preserve">c9bf55874fce1f713d34</x:t>
        </x:is>
      </x:c>
      <x:c r="AQ1854" s="604" t="n"/>
      <x:c r="AR1854" s="604" t="n"/>
      <x:c r="AS1854" s="604" t="n">
        <x:v>0.25</x:v>
      </x:c>
      <x:c r="AT1854" s="604" t="n">
        <x:v>-0.25</x:v>
      </x:c>
      <x:c r="AU1854" s="604" t="n">
        <x:v>0.88</x:v>
      </x:c>
      <x:c r="AV1854" s="604" t="n">
        <x:v>0.93</x:v>
      </x:c>
      <x:c r="AW1854" s="604" t="inlineStr">
        <x:is>
          <x:t xml:space="preserve">2026-10-09T09:01:21.127001+08:00</x:t>
        </x:is>
      </x:c>
      <x:c r="AX1854" s="604" t="inlineStr">
        <x:is>
          <x:t xml:space="preserve">Titan007/V4</x:t>
        </x:is>
      </x:c>
      <x:c r="AY1854" s="604" t="inlineStr">
        <x:is>
          <x:t xml:space="preserve">Daily append；市场输入缺失时不生成决策</x:t>
        </x:is>
      </x:c>
    </x:row>
    <x:row r="1855" ht="22" customHeight="1">
      <x:c r="A1855" s="604" t="inlineStr">
        <x:is>
          <x:t xml:space="preserve">2026-10-09</x:t>
        </x:is>
      </x:c>
      <x:c r="B1855" s="604" t="inlineStr">
        <x:is>
          <x:t xml:space="preserve">2026-10-09T23:30:00+08:00</x:t>
        </x:is>
      </x:c>
      <x:c r="C1855" s="604" t="str">
        <x:v>五大联赛非顶级联赛</x:v>
      </x:c>
      <x:c r="D1855" s="604" t="inlineStr">
        <x:is>
          <x:t xml:space="preserve"/>
        </x:is>
      </x:c>
      <x:c r="E1855" s="604" t="inlineStr">
        <x:is>
          <x:t xml:space="preserve">布法联</x:t>
        </x:is>
      </x:c>
      <x:c r="F1855" s="604" t="inlineStr">
        <x:is>
          <x:t xml:space="preserve">ASF博博迪乌拉索 vs 美爵提FC</x:t>
        </x:is>
      </x:c>
      <x:c r="G1855" s="604" t="n">
        <x:v>1.05</x:v>
      </x:c>
      <x:c r="H1855" s="604" t="n">
        <x:v>0.25</x:v>
      </x:c>
      <x:c r="I1855" s="604" t="n">
        <x:v>0.75</x:v>
      </x:c>
      <x:c r="J1855" s="604" t="inlineStr">
        <x:is>
          <x:t xml:space="preserve">1.05/0.25/0.75</x:t>
        </x:is>
      </x:c>
      <x:c r="K1855" s="604" t="inlineStr">
        <x:is>
          <x:t xml:space="preserve">V4-N</x:t>
        </x:is>
      </x:c>
      <x:c r="L1855" s="604" t="inlineStr">
        <x:is>
          <x:t xml:space="preserve"/>
        </x:is>
      </x:c>
      <x:c r="M1855" s="604" t="n">
        <x:v>0.4393725391688261</x:v>
      </x:c>
      <x:c r="N1855" s="604" t="inlineStr">
        <x:is>
          <x:t xml:space="preserve">V4 Shadow Only；real_money=false</x:t>
        </x:is>
      </x:c>
      <x:c r="O1855" s="604" t="inlineStr">
        <x:is>
          <x:t xml:space="preserve">0-0</x:t>
        </x:is>
      </x:c>
      <x:c r="P1855" s="604" t="inlineStr">
        <x:is>
          <x:t xml:space="preserve">EVALUATED</x:t>
        </x:is>
      </x:c>
      <x:c r="Q1855" s="630" t="inlineStr">
        <x:is>
          <x:t xml:space="preserve"/>
        </x:is>
      </x:c>
      <x:c r="R1855" s="604" t="n"/>
      <x:c r="S1855" s="604" t="n"/>
      <x:c r="T1855" s="604" t="inlineStr">
        <x:is>
          <x:t xml:space="preserve">D:\codex\v3_legacy\outputs\football_odds_trader\raw\titan007\20261009\20261009_085232_titan007_odds_snapshot.csv</x:t>
        </x:is>
      </x:c>
      <x:c r="U1855" s="628" t="inlineStr">
        <x:is>
          <x:t xml:space="preserve"/>
        </x:is>
      </x:c>
      <x:c r="V1855" s="604" t="inlineStr">
        <x:is>
          <x:t xml:space="preserve"/>
        </x:is>
      </x:c>
      <x:c r="W1855" s="604" t="inlineStr">
        <x:is>
          <x:t xml:space="preserve"/>
        </x:is>
      </x:c>
      <x:c r="X1855" s="604" t="inlineStr">
        <x:is>
          <x:t xml:space="preserve">3100350</x:t>
        </x:is>
      </x:c>
      <x:c r="Y1855" s="604" t="inlineStr">
        <x:is>
          <x:t xml:space="preserve">V4</x:t>
        </x:is>
      </x:c>
      <x:c r="Z1855" s="604" t="inlineStr">
        <x:is>
          <x:t xml:space="preserve">prior-2026-10-09-v1</x:t>
        </x:is>
      </x:c>
      <x:c r="AA1855" s="604" t="inlineStr">
        <x:is>
          <x:t xml:space="preserve">N</x:t>
        </x:is>
      </x:c>
      <x:c r="AB1855" s="604" t="n">
        <x:v>0.4393725391688261</x:v>
      </x:c>
      <x:c r="AC1855" s="604" t="n">
        <x:v>0.4286546204048391</x:v>
      </x:c>
      <x:c r="AD1855" s="604" t="n">
        <x:v>0.25</x:v>
      </x:c>
      <x:c r="AE1855" s="604" t="n"/>
      <x:c r="AF1855" s="604" t="n"/>
      <x:c r="AG1855" s="604" t="n">
        <x:v>0.03268654572242818</x:v>
      </x:c>
      <x:c r="AH1855" s="604" t="n"/>
      <x:c r="AI1855" s="604" t="n"/>
      <x:c r="AJ1855" s="604" t="n">
        <x:v>0.03268654572242818</x:v>
      </x:c>
      <x:c r="AK1855" s="604" t="n"/>
      <x:c r="AL1855" s="604" t="n"/>
      <x:c r="AM1855" s="604" t="n"/>
      <x:c r="AN1855" s="604" t="inlineStr">
        <x:is>
          <x:t xml:space="preserve">EVALUATED</x:t>
        </x:is>
      </x:c>
      <x:c r="AO1855" s="604" t="inlineStr">
        <x:is>
          <x:t xml:space="preserve">EDGE_BELOW_UNCERTAINTY_THRESHOLD;BUCKET_PRIOR_ONLY;INTENT_INTERPRETATION_ONLY;FFL_OPTIONAL;EXPERT_MARKET</x:t>
        </x:is>
      </x:c>
      <x:c r="AP1855" s="604" t="inlineStr">
        <x:is>
          <x:t xml:space="preserve">81707cf2f3db3fb8fb8d</x:t>
        </x:is>
      </x:c>
      <x:c r="AQ1855" s="604" t="n"/>
      <x:c r="AR1855" s="604" t="n"/>
      <x:c r="AS1855" s="604" t="n">
        <x:v>0.25</x:v>
      </x:c>
      <x:c r="AT1855" s="604" t="n">
        <x:v>-0.25</x:v>
      </x:c>
      <x:c r="AU1855" s="604" t="n">
        <x:v>1.05</x:v>
      </x:c>
      <x:c r="AV1855" s="604" t="n">
        <x:v>0.75</x:v>
      </x:c>
      <x:c r="AW1855" s="604" t="inlineStr">
        <x:is>
          <x:t xml:space="preserve">2026-10-09T09:01:21.127001+08:00</x:t>
        </x:is>
      </x:c>
      <x:c r="AX1855" s="604" t="inlineStr">
        <x:is>
          <x:t xml:space="preserve">Titan007/V4</x:t>
        </x:is>
      </x:c>
      <x:c r="AY1855" s="604" t="inlineStr">
        <x:is>
          <x:t xml:space="preserve">Daily append；市场输入缺失时不生成决策</x:t>
        </x:is>
      </x:c>
    </x:row>
    <x:row r="1856" ht="22" customHeight="1">
      <x:c r="A1856" s="604" t="inlineStr">
        <x:is>
          <x:t xml:space="preserve">2026-10-09</x:t>
        </x:is>
      </x:c>
      <x:c r="B1856" s="604" t="inlineStr">
        <x:is>
          <x:t xml:space="preserve">2026-10-10T00:30:00+08:00</x:t>
        </x:is>
      </x:c>
      <x:c r="C1856" s="604" t="str">
        <x:v>欧洲非五大系列</x:v>
      </x:c>
      <x:c r="D1856" s="604" t="inlineStr">
        <x:is>
          <x:t xml:space="preserve"/>
        </x:is>
      </x:c>
      <x:c r="E1856" s="604" t="inlineStr">
        <x:is>
          <x:t xml:space="preserve">波兰丙</x:t>
        </x:is>
      </x:c>
      <x:c r="F1856" s="604" t="inlineStr">
        <x:is>
          <x:t xml:space="preserve">维尔兹比策 vs 波洛尼亚斯罗达斯拉斯卡</x:t>
        </x:is>
      </x:c>
      <x:c r="G1856" s="604" t="n">
        <x:v>0.95</x:v>
      </x:c>
      <x:c r="H1856" s="604" t="n">
        <x:v>0.25</x:v>
      </x:c>
      <x:c r="I1856" s="604" t="n">
        <x:v>0.85</x:v>
      </x:c>
      <x:c r="J1856" s="604" t="inlineStr">
        <x:is>
          <x:t xml:space="preserve">0.95/0.25/0.85</x:t>
        </x:is>
      </x:c>
      <x:c r="K1856" s="604" t="inlineStr">
        <x:is>
          <x:t xml:space="preserve">V4-N</x:t>
        </x:is>
      </x:c>
      <x:c r="L1856" s="604" t="inlineStr">
        <x:is>
          <x:t xml:space="preserve"/>
        </x:is>
      </x:c>
      <x:c r="M1856" s="604" t="n">
        <x:v>0.4340932958009948</x:v>
      </x:c>
      <x:c r="N1856" s="604" t="inlineStr">
        <x:is>
          <x:t xml:space="preserve">V4 Shadow Only；real_money=false</x:t>
        </x:is>
      </x:c>
      <x:c r="O1856" s="604" t="inlineStr">
        <x:is>
          <x:t xml:space="preserve">0-0</x:t>
        </x:is>
      </x:c>
      <x:c r="P1856" s="604" t="inlineStr">
        <x:is>
          <x:t xml:space="preserve">EVALUATED</x:t>
        </x:is>
      </x:c>
      <x:c r="Q1856" s="630" t="inlineStr">
        <x:is>
          <x:t xml:space="preserve"/>
        </x:is>
      </x:c>
      <x:c r="R1856" s="604" t="n"/>
      <x:c r="S1856" s="604" t="n"/>
      <x:c r="T1856" s="604" t="inlineStr">
        <x:is>
          <x:t xml:space="preserve">D:\codex\v3_legacy\outputs\football_odds_trader\raw\titan007\20261009\20261009_085232_titan007_odds_snapshot.csv</x:t>
        </x:is>
      </x:c>
      <x:c r="U1856" s="628" t="inlineStr">
        <x:is>
          <x:t xml:space="preserve"/>
        </x:is>
      </x:c>
      <x:c r="V1856" s="604" t="inlineStr">
        <x:is>
          <x:t xml:space="preserve"/>
        </x:is>
      </x:c>
      <x:c r="W1856" s="604" t="inlineStr">
        <x:is>
          <x:t xml:space="preserve"/>
        </x:is>
      </x:c>
      <x:c r="X1856" s="604" t="inlineStr">
        <x:is>
          <x:t xml:space="preserve">3100357</x:t>
        </x:is>
      </x:c>
      <x:c r="Y1856" s="604" t="inlineStr">
        <x:is>
          <x:t xml:space="preserve">V4</x:t>
        </x:is>
      </x:c>
      <x:c r="Z1856" s="604" t="inlineStr">
        <x:is>
          <x:t xml:space="preserve">prior-2026-10-09-v1</x:t>
        </x:is>
      </x:c>
      <x:c r="AA1856" s="604" t="inlineStr">
        <x:is>
          <x:t xml:space="preserve">N</x:t>
        </x:is>
      </x:c>
      <x:c r="AB1856" s="604" t="n">
        <x:v>0.4340932958009948</x:v>
      </x:c>
      <x:c r="AC1856" s="604" t="n">
        <x:v>0.4364297892272743</x:v>
      </x:c>
      <x:c r="AD1856" s="604" t="n">
        <x:v>0.25</x:v>
      </x:c>
      <x:c r="AE1856" s="604" t="n"/>
      <x:c r="AF1856" s="604" t="n"/>
      <x:c r="AG1856" s="604" t="n">
        <x:v>-0.02404115821632918</x:v>
      </x:c>
      <x:c r="AH1856" s="604" t="n"/>
      <x:c r="AI1856" s="604" t="n"/>
      <x:c r="AJ1856" s="604" t="n">
        <x:v>-0.02404115821632918</x:v>
      </x:c>
      <x:c r="AK1856" s="604" t="n"/>
      <x:c r="AL1856" s="604" t="n"/>
      <x:c r="AM1856" s="604" t="n"/>
      <x:c r="AN1856" s="604" t="inlineStr">
        <x:is>
          <x:t xml:space="preserve">EVALUATED</x:t>
        </x:is>
      </x:c>
      <x:c r="AO1856" s="604" t="inlineStr">
        <x:is>
          <x:t xml:space="preserve">EDGE_BELOW_UNCERTAINTY_THRESHOLD;BUCKET_PRIOR_ONLY;INTENT_INTERPRETATION_ONLY;FFL_OPTIONAL;EXPERT_MARKET</x:t>
        </x:is>
      </x:c>
      <x:c r="AP1856" s="604" t="inlineStr">
        <x:is>
          <x:t xml:space="preserve">b25d108ceb324bd258a0</x:t>
        </x:is>
      </x:c>
      <x:c r="AQ1856" s="604" t="n"/>
      <x:c r="AR1856" s="604" t="n"/>
      <x:c r="AS1856" s="604" t="n">
        <x:v>0.25</x:v>
      </x:c>
      <x:c r="AT1856" s="604" t="n">
        <x:v>-0.25</x:v>
      </x:c>
      <x:c r="AU1856" s="604" t="n">
        <x:v>0.95</x:v>
      </x:c>
      <x:c r="AV1856" s="604" t="n">
        <x:v>0.85</x:v>
      </x:c>
      <x:c r="AW1856" s="604" t="inlineStr">
        <x:is>
          <x:t xml:space="preserve">2026-10-09T09:01:21.127001+08:00</x:t>
        </x:is>
      </x:c>
      <x:c r="AX1856" s="604" t="inlineStr">
        <x:is>
          <x:t xml:space="preserve">Titan007/V4</x:t>
        </x:is>
      </x:c>
      <x:c r="AY1856" s="604" t="inlineStr">
        <x:is>
          <x:t xml:space="preserve">Daily append；市场输入缺失时不生成决策</x:t>
        </x:is>
      </x:c>
    </x:row>
    <x:row r="1857" ht="22" customHeight="1">
      <x:c r="A1857" s="604" t="inlineStr">
        <x:is>
          <x:t xml:space="preserve">2026-10-09</x:t>
        </x:is>
      </x:c>
      <x:c r="B1857" s="604" t="inlineStr">
        <x:is>
          <x:t xml:space="preserve">2026-10-09T20:00:00+08:00</x:t>
        </x:is>
      </x:c>
      <x:c r="C1857" s="604" t="str">
        <x:v>欧洲非五大系列</x:v>
      </x:c>
      <x:c r="D1857" s="604" t="inlineStr">
        <x:is>
          <x:t xml:space="preserve"/>
        </x:is>
      </x:c>
      <x:c r="E1857" s="604" t="inlineStr">
        <x:is>
          <x:t xml:space="preserve">罗丙</x:t>
        </x:is>
      </x:c>
      <x:c r="F1857" s="604" t="inlineStr">
        <x:is>
          <x:t xml:space="preserve">马塞尔坎普隆 vs 森切拉</x:t>
        </x:is>
      </x:c>
      <x:c r="G1857" s="604" t="n">
        <x:v>0.9</x:v>
      </x:c>
      <x:c r="H1857" s="604" t="n">
        <x:v>0.75</x:v>
      </x:c>
      <x:c r="I1857" s="604" t="n">
        <x:v>0.9</x:v>
      </x:c>
      <x:c r="J1857" s="604" t="inlineStr">
        <x:is>
          <x:t xml:space="preserve">0.9/0.75/0.9</x:t>
        </x:is>
      </x:c>
      <x:c r="K1857" s="604" t="inlineStr">
        <x:is>
          <x:t xml:space="preserve">V4-N</x:t>
        </x:is>
      </x:c>
      <x:c r="L1857" s="604" t="inlineStr">
        <x:is>
          <x:t xml:space="preserve"/>
        </x:is>
      </x:c>
      <x:c r="M1857" s="604" t="n">
        <x:v>0.4951463572834436</x:v>
      </x:c>
      <x:c r="N1857" s="604" t="inlineStr">
        <x:is>
          <x:t xml:space="preserve">V4 Shadow Only；real_money=false</x:t>
        </x:is>
      </x:c>
      <x:c r="O1857" s="604" t="inlineStr">
        <x:is>
          <x:t xml:space="preserve">0-0</x:t>
        </x:is>
      </x:c>
      <x:c r="P1857" s="604" t="inlineStr">
        <x:is>
          <x:t xml:space="preserve">EVALUATED</x:t>
        </x:is>
      </x:c>
      <x:c r="Q1857" s="630" t="inlineStr">
        <x:is>
          <x:t xml:space="preserve"/>
        </x:is>
      </x:c>
      <x:c r="R1857" s="604" t="n"/>
      <x:c r="S1857" s="604" t="n"/>
      <x:c r="T1857" s="604" t="inlineStr">
        <x:is>
          <x:t xml:space="preserve">D:\codex\v3_legacy\outputs\football_odds_trader\raw\titan007\20261009\20261009_085232_titan007_odds_snapshot.csv</x:t>
        </x:is>
      </x:c>
      <x:c r="U1857" s="628" t="inlineStr">
        <x:is>
          <x:t xml:space="preserve"/>
        </x:is>
      </x:c>
      <x:c r="V1857" s="604" t="inlineStr">
        <x:is>
          <x:t xml:space="preserve"/>
        </x:is>
      </x:c>
      <x:c r="W1857" s="604" t="inlineStr">
        <x:is>
          <x:t xml:space="preserve"/>
        </x:is>
      </x:c>
      <x:c r="X1857" s="604" t="inlineStr">
        <x:is>
          <x:t xml:space="preserve">3100358</x:t>
        </x:is>
      </x:c>
      <x:c r="Y1857" s="604" t="inlineStr">
        <x:is>
          <x:t xml:space="preserve">V4</x:t>
        </x:is>
      </x:c>
      <x:c r="Z1857" s="604" t="inlineStr">
        <x:is>
          <x:t xml:space="preserve">prior-2026-10-09-v1</x:t>
        </x:is>
      </x:c>
      <x:c r="AA1857" s="604" t="inlineStr">
        <x:is>
          <x:t xml:space="preserve">N</x:t>
        </x:is>
      </x:c>
      <x:c r="AB1857" s="604" t="n">
        <x:v>0.4951463572834436</x:v>
      </x:c>
      <x:c r="AC1857" s="604" t="n">
        <x:v>0.3773871214804432</x:v>
      </x:c>
      <x:c r="AD1857" s="604" t="n">
        <x:v>1</x:v>
      </x:c>
      <x:c r="AE1857" s="604" t="n"/>
      <x:c r="AF1857" s="604" t="n"/>
      <x:c r="AG1857" s="604" t="n">
        <x:v>0.06824460007465605</x:v>
      </x:c>
      <x:c r="AH1857" s="604" t="n"/>
      <x:c r="AI1857" s="604" t="n"/>
      <x:c r="AJ1857" s="604" t="n">
        <x:v>0.06824460007465605</x:v>
      </x:c>
      <x:c r="AK1857" s="604" t="n"/>
      <x:c r="AL1857" s="604" t="n"/>
      <x:c r="AM1857" s="604" t="n"/>
      <x:c r="AN1857" s="604" t="inlineStr">
        <x:is>
          <x:t xml:space="preserve">EVALUATED</x:t>
        </x:is>
      </x:c>
      <x:c r="AO1857" s="604" t="inlineStr">
        <x:is>
          <x:t xml:space="preserve">LOW_QUALITY_GATE;BUCKET_PRIOR_ONLY;INTENT_INTERPRETATION_ONLY;FFL_OPTIONAL;EXPERT_MARKET</x:t>
        </x:is>
      </x:c>
      <x:c r="AP1857" s="604" t="inlineStr">
        <x:is>
          <x:t xml:space="preserve">607e4b1771ec1f74c5dd</x:t>
        </x:is>
      </x:c>
      <x:c r="AQ1857" s="604" t="n"/>
      <x:c r="AR1857" s="604" t="n"/>
      <x:c r="AS1857" s="604" t="n">
        <x:v>0.75</x:v>
      </x:c>
      <x:c r="AT1857" s="604" t="n">
        <x:v>-0.75</x:v>
      </x:c>
      <x:c r="AU1857" s="604" t="n">
        <x:v>0.9</x:v>
      </x:c>
      <x:c r="AV1857" s="604" t="n">
        <x:v>0.9</x:v>
      </x:c>
      <x:c r="AW1857" s="604" t="inlineStr">
        <x:is>
          <x:t xml:space="preserve">2026-10-09T09:01:21.127001+08:00</x:t>
        </x:is>
      </x:c>
      <x:c r="AX1857" s="604" t="inlineStr">
        <x:is>
          <x:t xml:space="preserve">Titan007/V4</x:t>
        </x:is>
      </x:c>
      <x:c r="AY1857" s="604" t="inlineStr">
        <x:is>
          <x:t xml:space="preserve">Daily append；市场输入缺失时不生成决策</x:t>
        </x:is>
      </x:c>
    </x:row>
    <x:row r="1858" ht="22" customHeight="1">
      <x:c r="A1858" s="604" t="inlineStr">
        <x:is>
          <x:t xml:space="preserve">2026-10-09</x:t>
        </x:is>
      </x:c>
      <x:c r="B1858" s="604" t="inlineStr">
        <x:is>
          <x:t xml:space="preserve">2026-10-09T20:00:00+08:00</x:t>
        </x:is>
      </x:c>
      <x:c r="C1858" s="604" t="str">
        <x:v>西亚/中亚系列</x:v>
      </x:c>
      <x:c r="D1858" s="604" t="inlineStr">
        <x:is>
          <x:t xml:space="preserve"/>
        </x:is>
      </x:c>
      <x:c r="E1858" s="604" t="inlineStr">
        <x:is>
          <x:t xml:space="preserve">黎乙</x:t>
        </x:is>
      </x:c>
      <x:c r="F1858" s="604" t="inlineStr">
        <x:is>
          <x:t xml:space="preserve">哈里特纳梅 vs 伊沙德沙希尔</x:t>
        </x:is>
      </x:c>
      <x:c r="G1858" s="604" t="n">
        <x:v>0.9</x:v>
      </x:c>
      <x:c r="H1858" s="604" t="n">
        <x:v>0.5</x:v>
      </x:c>
      <x:c r="I1858" s="604" t="n">
        <x:v>0.9</x:v>
      </x:c>
      <x:c r="J1858" s="604" t="inlineStr">
        <x:is>
          <x:t xml:space="preserve">0.9/0.5/0.9</x:t>
        </x:is>
      </x:c>
      <x:c r="K1858" s="604" t="inlineStr">
        <x:is>
          <x:t xml:space="preserve">V4-N</x:t>
        </x:is>
      </x:c>
      <x:c r="L1858" s="604" t="inlineStr">
        <x:is>
          <x:t xml:space="preserve"/>
        </x:is>
      </x:c>
      <x:c r="M1858" s="604" t="n">
        <x:v>0.5683067505284444</x:v>
      </x:c>
      <x:c r="N1858" s="604" t="inlineStr">
        <x:is>
          <x:t xml:space="preserve">V4 Shadow Only；real_money=false</x:t>
        </x:is>
      </x:c>
      <x:c r="O1858" s="604" t="inlineStr">
        <x:is>
          <x:t xml:space="preserve">0-0</x:t>
        </x:is>
      </x:c>
      <x:c r="P1858" s="604" t="inlineStr">
        <x:is>
          <x:t xml:space="preserve">EVALUATED</x:t>
        </x:is>
      </x:c>
      <x:c r="Q1858" s="630" t="inlineStr">
        <x:is>
          <x:t xml:space="preserve"/>
        </x:is>
      </x:c>
      <x:c r="R1858" s="604" t="n"/>
      <x:c r="S1858" s="604" t="n"/>
      <x:c r="T1858" s="604" t="inlineStr">
        <x:is>
          <x:t xml:space="preserve">D:\codex\v3_legacy\outputs\football_odds_trader\raw\titan007\20261009\20261009_085232_titan007_odds_snapshot.csv</x:t>
        </x:is>
      </x:c>
      <x:c r="U1858" s="628" t="inlineStr">
        <x:is>
          <x:t xml:space="preserve"/>
        </x:is>
      </x:c>
      <x:c r="V1858" s="604" t="inlineStr">
        <x:is>
          <x:t xml:space="preserve"/>
        </x:is>
      </x:c>
      <x:c r="W1858" s="604" t="inlineStr">
        <x:is>
          <x:t xml:space="preserve"/>
        </x:is>
      </x:c>
      <x:c r="X1858" s="604" t="inlineStr">
        <x:is>
          <x:t xml:space="preserve">3100359</x:t>
        </x:is>
      </x:c>
      <x:c r="Y1858" s="604" t="inlineStr">
        <x:is>
          <x:t xml:space="preserve">V4</x:t>
        </x:is>
      </x:c>
      <x:c r="Z1858" s="604" t="inlineStr">
        <x:is>
          <x:t xml:space="preserve">prior-2026-10-09-v1</x:t>
        </x:is>
      </x:c>
      <x:c r="AA1858" s="604" t="inlineStr">
        <x:is>
          <x:t xml:space="preserve">N</x:t>
        </x:is>
      </x:c>
      <x:c r="AB1858" s="604" t="n">
        <x:v>0.5683067505284444</x:v>
      </x:c>
      <x:c r="AC1858" s="604" t="n">
        <x:v>0.4316932494715557</x:v>
      </x:c>
      <x:c r="AD1858" s="604" t="n">
        <x:v>0.75</x:v>
      </x:c>
      <x:c r="AE1858" s="604" t="n"/>
      <x:c r="AF1858" s="604" t="n"/>
      <x:c r="AG1858" s="604" t="n">
        <x:v>0.07978282600404424</x:v>
      </x:c>
      <x:c r="AH1858" s="604" t="n"/>
      <x:c r="AI1858" s="604" t="n"/>
      <x:c r="AJ1858" s="604" t="n">
        <x:v>0.07978282600404424</x:v>
      </x:c>
      <x:c r="AK1858" s="604" t="n"/>
      <x:c r="AL1858" s="604" t="n"/>
      <x:c r="AM1858" s="604" t="n"/>
      <x:c r="AN1858" s="604" t="inlineStr">
        <x:is>
          <x:t xml:space="preserve">EVALUATED</x:t>
        </x:is>
      </x:c>
      <x:c r="AO1858" s="604" t="inlineStr">
        <x:is>
          <x:t xml:space="preserve">LOW_QUALITY_GATE;BUCKET_PRIOR_ONLY;INTENT_INTERPRETATION_ONLY;FFL_OPTIONAL;EXPERT_MARKET</x:t>
        </x:is>
      </x:c>
      <x:c r="AP1858" s="604" t="inlineStr">
        <x:is>
          <x:t xml:space="preserve">4b24699056e0b0df2919</x:t>
        </x:is>
      </x:c>
      <x:c r="AQ1858" s="604" t="n"/>
      <x:c r="AR1858" s="604" t="n"/>
      <x:c r="AS1858" s="604" t="n">
        <x:v>0.5</x:v>
      </x:c>
      <x:c r="AT1858" s="604" t="n">
        <x:v>-0.5</x:v>
      </x:c>
      <x:c r="AU1858" s="604" t="n">
        <x:v>0.9</x:v>
      </x:c>
      <x:c r="AV1858" s="604" t="n">
        <x:v>0.9</x:v>
      </x:c>
      <x:c r="AW1858" s="604" t="inlineStr">
        <x:is>
          <x:t xml:space="preserve">2026-10-09T09:01:21.127001+08:00</x:t>
        </x:is>
      </x:c>
      <x:c r="AX1858" s="604" t="inlineStr">
        <x:is>
          <x:t xml:space="preserve">Titan007/V4</x:t>
        </x:is>
      </x:c>
      <x:c r="AY1858" s="604" t="inlineStr">
        <x:is>
          <x:t xml:space="preserve">Daily append；市场输入缺失时不生成决策</x:t>
        </x:is>
      </x:c>
    </x:row>
    <x:row r="1859" ht="22" customHeight="1">
      <x:c r="A1859" s="604" t="inlineStr">
        <x:is>
          <x:t xml:space="preserve">2026-10-09</x:t>
        </x:is>
      </x:c>
      <x:c r="B1859" s="604" t="inlineStr">
        <x:is>
          <x:t xml:space="preserve">2026-10-10T08:00:00+08:00</x:t>
        </x:is>
      </x:c>
      <x:c r="C1859" s="604" t="str">
        <x:v>北美系列</x:v>
      </x:c>
      <x:c r="D1859" s="604" t="inlineStr">
        <x:is>
          <x:t xml:space="preserve"/>
        </x:is>
      </x:c>
      <x:c r="E1859" s="604" t="inlineStr">
        <x:is>
          <x:t xml:space="preserve">哥斯女甲</x:t>
        </x:is>
      </x:c>
      <x:c r="F1859" s="604" t="inlineStr">
        <x:is>
          <x:t xml:space="preserve">波科西女足 vs 卡里略女足</x:t>
        </x:is>
      </x:c>
      <x:c r="G1859" s="604" t="n">
        <x:v>0.88</x:v>
      </x:c>
      <x:c r="H1859" s="604" t="n">
        <x:v>-0.25</x:v>
      </x:c>
      <x:c r="I1859" s="604" t="n">
        <x:v>0.93</x:v>
      </x:c>
      <x:c r="J1859" s="604" t="inlineStr">
        <x:is>
          <x:t xml:space="preserve">0.88/-0.25/0.93</x:t>
        </x:is>
      </x:c>
      <x:c r="K1859" s="604" t="inlineStr">
        <x:is>
          <x:t xml:space="preserve">V4-N</x:t>
        </x:is>
      </x:c>
      <x:c r="L1859" s="604" t="inlineStr">
        <x:is>
          <x:t xml:space="preserve"/>
        </x:is>
      </x:c>
      <x:c r="M1859" s="604" t="n">
        <x:v>0.3101865474571528</x:v>
      </x:c>
      <x:c r="N1859" s="604" t="inlineStr">
        <x:is>
          <x:t xml:space="preserve">V4 Shadow Only；real_money=false</x:t>
        </x:is>
      </x:c>
      <x:c r="O1859" s="604" t="inlineStr">
        <x:is>
          <x:t xml:space="preserve">0-0</x:t>
        </x:is>
      </x:c>
      <x:c r="P1859" s="604" t="inlineStr">
        <x:is>
          <x:t xml:space="preserve">EVALUATED</x:t>
        </x:is>
      </x:c>
      <x:c r="Q1859" s="630" t="inlineStr">
        <x:is>
          <x:t xml:space="preserve"/>
        </x:is>
      </x:c>
      <x:c r="R1859" s="604" t="n"/>
      <x:c r="S1859" s="604" t="n"/>
      <x:c r="T1859" s="604" t="inlineStr">
        <x:is>
          <x:t xml:space="preserve">D:\codex\v3_legacy\outputs\football_odds_trader\raw\titan007\20261009\20261009_085232_titan007_odds_snapshot.csv</x:t>
        </x:is>
      </x:c>
      <x:c r="U1859" s="628" t="inlineStr">
        <x:is>
          <x:t xml:space="preserve"/>
        </x:is>
      </x:c>
      <x:c r="V1859" s="604" t="inlineStr">
        <x:is>
          <x:t xml:space="preserve"/>
        </x:is>
      </x:c>
      <x:c r="W1859" s="604" t="inlineStr">
        <x:is>
          <x:t xml:space="preserve"/>
        </x:is>
      </x:c>
      <x:c r="X1859" s="604" t="inlineStr">
        <x:is>
          <x:t xml:space="preserve">3100360</x:t>
        </x:is>
      </x:c>
      <x:c r="Y1859" s="604" t="inlineStr">
        <x:is>
          <x:t xml:space="preserve">V4</x:t>
        </x:is>
      </x:c>
      <x:c r="Z1859" s="604" t="inlineStr">
        <x:is>
          <x:t xml:space="preserve">prior-2026-10-09-v1</x:t>
        </x:is>
      </x:c>
      <x:c r="AA1859" s="604" t="inlineStr">
        <x:is>
          <x:t xml:space="preserve">N</x:t>
        </x:is>
      </x:c>
      <x:c r="AB1859" s="604" t="n">
        <x:v>0.3101865474571528</x:v>
      </x:c>
      <x:c r="AC1859" s="604" t="n">
        <x:v>0.5598841245149627</x:v>
      </x:c>
      <x:c r="AD1859" s="604" t="n">
        <x:v>-0.25</x:v>
      </x:c>
      <x:c r="AE1859" s="604" t="n"/>
      <x:c r="AF1859" s="604" t="n"/>
      <x:c r="AG1859" s="604" t="n">
        <x:v>0.1825114821160144</x:v>
      </x:c>
      <x:c r="AH1859" s="604" t="n"/>
      <x:c r="AI1859" s="604" t="n"/>
      <x:c r="AJ1859" s="604" t="n">
        <x:v>0.1825114821160144</x:v>
      </x:c>
      <x:c r="AK1859" s="604" t="n"/>
      <x:c r="AL1859" s="604" t="n"/>
      <x:c r="AM1859" s="604" t="n"/>
      <x:c r="AN1859" s="604" t="inlineStr">
        <x:is>
          <x:t xml:space="preserve">EVALUATED</x:t>
        </x:is>
      </x:c>
      <x:c r="AO1859" s="604" t="inlineStr">
        <x:is>
          <x:t xml:space="preserve">LOW_QUALITY_GATE;BUCKET_PRIOR_ONLY;INTENT_INTERPRETATION_ONLY;FFL_OPTIONAL;EXPERT_MARKET</x:t>
        </x:is>
      </x:c>
      <x:c r="AP1859" s="604" t="inlineStr">
        <x:is>
          <x:t xml:space="preserve">280dfb7d6a9f877083cf</x:t>
        </x:is>
      </x:c>
      <x:c r="AQ1859" s="604" t="n"/>
      <x:c r="AR1859" s="604" t="n"/>
      <x:c r="AS1859" s="604" t="n">
        <x:v>-0.25</x:v>
      </x:c>
      <x:c r="AT1859" s="604" t="n">
        <x:v>0.25</x:v>
      </x:c>
      <x:c r="AU1859" s="604" t="n">
        <x:v>0.88</x:v>
      </x:c>
      <x:c r="AV1859" s="604" t="n">
        <x:v>0.93</x:v>
      </x:c>
      <x:c r="AW1859" s="604" t="inlineStr">
        <x:is>
          <x:t xml:space="preserve">2026-10-09T09:01:21.127001+08:00</x:t>
        </x:is>
      </x:c>
      <x:c r="AX1859" s="604" t="inlineStr">
        <x:is>
          <x:t xml:space="preserve">Titan007/V4</x:t>
        </x:is>
      </x:c>
      <x:c r="AY1859" s="604" t="inlineStr">
        <x:is>
          <x:t xml:space="preserve">Daily append；市场输入缺失时不生成决策</x:t>
        </x:is>
      </x:c>
    </x:row>
    <x:row r="1860" ht="22" customHeight="1">
      <x:c r="A1860" s="604" t="inlineStr">
        <x:is>
          <x:t xml:space="preserve">2026-10-09</x:t>
        </x:is>
      </x:c>
      <x:c r="B1860" s="604" t="inlineStr">
        <x:is>
          <x:t xml:space="preserve">2026-10-09T21:00:00+08:00</x:t>
        </x:is>
      </x:c>
      <x:c r="C1860" s="604" t="str">
        <x:v>南美系列</x:v>
      </x:c>
      <x:c r="D1860" s="604" t="inlineStr">
        <x:is>
          <x:t xml:space="preserve"/>
        </x:is>
      </x:c>
      <x:c r="E1860" s="604" t="inlineStr">
        <x:is>
          <x:t xml:space="preserve">巴青联</x:t>
        </x:is>
      </x:c>
      <x:c r="F1860" s="604" t="inlineStr">
        <x:is>
          <x:t xml:space="preserve">博阿维斯塔RJ青年队 vs 邦古青年队</x:t>
        </x:is>
      </x:c>
      <x:c r="G1860" s="604" t="n">
        <x:v>0.83</x:v>
      </x:c>
      <x:c r="H1860" s="604" t="n">
        <x:v>-0.25</x:v>
      </x:c>
      <x:c r="I1860" s="604" t="n">
        <x:v>0.98</x:v>
      </x:c>
      <x:c r="J1860" s="604" t="inlineStr">
        <x:is>
          <x:t xml:space="preserve">0.83/-0.25/0.98</x:t>
        </x:is>
      </x:c>
      <x:c r="K1860" s="604" t="inlineStr">
        <x:is>
          <x:t xml:space="preserve">V4-N</x:t>
        </x:is>
      </x:c>
      <x:c r="L1860" s="604" t="inlineStr">
        <x:is>
          <x:t xml:space="preserve"/>
        </x:is>
      </x:c>
      <x:c r="M1860" s="604" t="n">
        <x:v>0.2920542229606893</x:v>
      </x:c>
      <x:c r="N1860" s="604" t="inlineStr">
        <x:is>
          <x:t xml:space="preserve">V4 Shadow Only；real_money=false</x:t>
        </x:is>
      </x:c>
      <x:c r="O1860" s="604" t="inlineStr">
        <x:is>
          <x:t xml:space="preserve">0-0</x:t>
        </x:is>
      </x:c>
      <x:c r="P1860" s="604" t="inlineStr">
        <x:is>
          <x:t xml:space="preserve">EVALUATED</x:t>
        </x:is>
      </x:c>
      <x:c r="Q1860" s="630" t="inlineStr">
        <x:is>
          <x:t xml:space="preserve"/>
        </x:is>
      </x:c>
      <x:c r="R1860" s="604" t="n"/>
      <x:c r="S1860" s="604" t="n"/>
      <x:c r="T1860" s="604" t="inlineStr">
        <x:is>
          <x:t xml:space="preserve">D:\codex\v3_legacy\outputs\football_odds_trader\raw\titan007\20261009\20261009_085232_titan007_odds_snapshot.csv</x:t>
        </x:is>
      </x:c>
      <x:c r="U1860" s="628" t="inlineStr">
        <x:is>
          <x:t xml:space="preserve"/>
        </x:is>
      </x:c>
      <x:c r="V1860" s="604" t="inlineStr">
        <x:is>
          <x:t xml:space="preserve"/>
        </x:is>
      </x:c>
      <x:c r="W1860" s="604" t="inlineStr">
        <x:is>
          <x:t xml:space="preserve"/>
        </x:is>
      </x:c>
      <x:c r="X1860" s="604" t="inlineStr">
        <x:is>
          <x:t xml:space="preserve">3100363</x:t>
        </x:is>
      </x:c>
      <x:c r="Y1860" s="604" t="inlineStr">
        <x:is>
          <x:t xml:space="preserve">V4</x:t>
        </x:is>
      </x:c>
      <x:c r="Z1860" s="604" t="inlineStr">
        <x:is>
          <x:t xml:space="preserve">prior-2026-10-09-v1</x:t>
        </x:is>
      </x:c>
      <x:c r="AA1860" s="604" t="inlineStr">
        <x:is>
          <x:t xml:space="preserve">N</x:t>
        </x:is>
      </x:c>
      <x:c r="AB1860" s="604" t="n">
        <x:v>0.2920542229606893</x:v>
      </x:c>
      <x:c r="AC1860" s="604" t="n">
        <x:v>0.5778494812304477</x:v>
      </x:c>
      <x:c r="AD1860" s="604" t="n">
        <x:v>-0.25</x:v>
      </x:c>
      <x:c r="AE1860" s="604" t="n"/>
      <x:c r="AF1860" s="604" t="n"/>
      <x:c r="AG1860" s="604" t="n">
        <x:v>0.1875608464605822</x:v>
      </x:c>
      <x:c r="AH1860" s="604" t="n"/>
      <x:c r="AI1860" s="604" t="n"/>
      <x:c r="AJ1860" s="604" t="n">
        <x:v>0.1875608464605822</x:v>
      </x:c>
      <x:c r="AK1860" s="604" t="n"/>
      <x:c r="AL1860" s="604" t="n"/>
      <x:c r="AM1860" s="604" t="n"/>
      <x:c r="AN1860" s="604" t="inlineStr">
        <x:is>
          <x:t xml:space="preserve">EVALUATED</x:t>
        </x:is>
      </x:c>
      <x:c r="AO1860" s="604" t="inlineStr">
        <x:is>
          <x:t xml:space="preserve">LOW_QUALITY_GATE;BUCKET_PRIOR_ONLY;INTENT_INTERPRETATION_ONLY;FFL_OPTIONAL;EXPERT_MARKET</x:t>
        </x:is>
      </x:c>
      <x:c r="AP1860" s="604" t="inlineStr">
        <x:is>
          <x:t xml:space="preserve">bc4a139b760d4c93d442</x:t>
        </x:is>
      </x:c>
      <x:c r="AQ1860" s="604" t="n"/>
      <x:c r="AR1860" s="604" t="n"/>
      <x:c r="AS1860" s="604" t="n">
        <x:v>-0.25</x:v>
      </x:c>
      <x:c r="AT1860" s="604" t="n">
        <x:v>0.25</x:v>
      </x:c>
      <x:c r="AU1860" s="604" t="n">
        <x:v>0.83</x:v>
      </x:c>
      <x:c r="AV1860" s="604" t="n">
        <x:v>0.98</x:v>
      </x:c>
      <x:c r="AW1860" s="604" t="inlineStr">
        <x:is>
          <x:t xml:space="preserve">2026-10-09T09:01:21.127001+08:00</x:t>
        </x:is>
      </x:c>
      <x:c r="AX1860" s="604" t="inlineStr">
        <x:is>
          <x:t xml:space="preserve">Titan007/V4</x:t>
        </x:is>
      </x:c>
      <x:c r="AY1860" s="604" t="inlineStr">
        <x:is>
          <x:t xml:space="preserve">Daily append；市场输入缺失时不生成决策</x:t>
        </x:is>
      </x:c>
    </x:row>
    <x:row r="1861" ht="22" customHeight="1">
      <x:c r="A1861" s="604" t="inlineStr">
        <x:is>
          <x:t xml:space="preserve">2026-10-09</x:t>
        </x:is>
      </x:c>
      <x:c r="B1861" s="604" t="inlineStr">
        <x:is>
          <x:t xml:space="preserve">2026-10-10T02:00:00+08:00</x:t>
        </x:is>
      </x:c>
      <x:c r="C1861" s="604" t="str">
        <x:v>其他系列</x:v>
      </x:c>
      <x:c r="D1861" s="604" t="inlineStr">
        <x:is>
          <x:t xml:space="preserve"/>
        </x:is>
      </x:c>
      <x:c r="E1861" s="604" t="inlineStr">
        <x:is>
          <x:t xml:space="preserve">巴卡杯</x:t>
        </x:is>
      </x:c>
      <x:c r="F1861" s="604" t="inlineStr">
        <x:is>
          <x:t xml:space="preserve">纳考 vs 马施利奥迪亚斯</x:t>
        </x:is>
      </x:c>
      <x:c r="G1861" s="604" t="n">
        <x:v>0.8</x:v>
      </x:c>
      <x:c r="H1861" s="604" t="n">
        <x:v>-1.25</x:v>
      </x:c>
      <x:c r="I1861" s="604" t="n">
        <x:v>1</x:v>
      </x:c>
      <x:c r="J1861" s="604" t="inlineStr">
        <x:is>
          <x:t xml:space="preserve">0.8/-1.25/1.0</x:t>
        </x:is>
      </x:c>
      <x:c r="K1861" s="604" t="inlineStr">
        <x:is>
          <x:t xml:space="preserve">V4-B</x:t>
        </x:is>
      </x:c>
      <x:c r="L1861" s="604" t="inlineStr">
        <x:is>
          <x:t xml:space="preserve">纳考</x:t>
        </x:is>
      </x:c>
      <x:c r="M1861" s="604" t="n">
        <x:v>0.01208625896657597</x:v>
      </x:c>
      <x:c r="N1861" s="604" t="inlineStr">
        <x:is>
          <x:t xml:space="preserve">V4 Shadow Only；real_money=false</x:t>
        </x:is>
      </x:c>
      <x:c r="O1861" s="604" t="inlineStr">
        <x:is>
          <x:t xml:space="preserve">0-0</x:t>
        </x:is>
      </x:c>
      <x:c r="P1861" s="604" t="inlineStr">
        <x:is>
          <x:t xml:space="preserve">EVALUATED</x:t>
        </x:is>
      </x:c>
      <x:c r="Q1861" s="630" t="inlineStr">
        <x:is>
          <x:t xml:space="preserve"/>
        </x:is>
      </x:c>
      <x:c r="R1861" s="604" t="n">
        <x:v>0.8</x:v>
      </x:c>
      <x:c r="S1861" s="604" t="n"/>
      <x:c r="T1861" s="604" t="inlineStr">
        <x:is>
          <x:t xml:space="preserve">D:\codex\v3_legacy\outputs\football_odds_trader\raw\titan007\20261009\20261009_085232_titan007_odds_snapshot.csv</x:t>
        </x:is>
      </x:c>
      <x:c r="U1861" s="628" t="inlineStr">
        <x:is>
          <x:t xml:space="preserve"/>
        </x:is>
      </x:c>
      <x:c r="V1861" s="604" t="inlineStr">
        <x:is>
          <x:t xml:space="preserve"/>
        </x:is>
      </x:c>
      <x:c r="W1861" s="604" t="inlineStr">
        <x:is>
          <x:t xml:space="preserve"/>
        </x:is>
      </x:c>
      <x:c r="X1861" s="604" t="inlineStr">
        <x:is>
          <x:t xml:space="preserve">3100364</x:t>
        </x:is>
      </x:c>
      <x:c r="Y1861" s="604" t="inlineStr">
        <x:is>
          <x:t xml:space="preserve">V4</x:t>
        </x:is>
      </x:c>
      <x:c r="Z1861" s="604" t="inlineStr">
        <x:is>
          <x:t xml:space="preserve">prior-2026-10-09-v1</x:t>
        </x:is>
      </x:c>
      <x:c r="AA1861" s="604" t="inlineStr">
        <x:is>
          <x:t xml:space="preserve">B</x:t>
        </x:is>
      </x:c>
      <x:c r="AB1861" s="604" t="n">
        <x:v>0.01208625896657597</x:v>
      </x:c>
      <x:c r="AC1861" s="604" t="n">
        <x:v>0.9617455197159501</x:v>
      </x:c>
      <x:c r="AD1861" s="604" t="n">
        <x:v>-1.75</x:v>
      </x:c>
      <x:c r="AE1861" s="604" t="n"/>
      <x:c r="AF1861" s="604" t="n"/>
      <x:c r="AG1861" s="604" t="n">
        <x:v>0.7573101568061842</x:v>
      </x:c>
      <x:c r="AH1861" s="604" t="n"/>
      <x:c r="AI1861" s="604" t="n"/>
      <x:c r="AJ1861" s="604" t="n">
        <x:v>0.7573101568061842</x:v>
      </x:c>
      <x:c r="AK1861" s="604" t="n"/>
      <x:c r="AL1861" s="604" t="n"/>
      <x:c r="AM1861" s="604" t="n"/>
      <x:c r="AN1861" s="604" t="inlineStr">
        <x:is>
          <x:t xml:space="preserve">EVALUATED</x:t>
        </x:is>
      </x:c>
      <x:c r="AO1861" s="604" t="inlineStr">
        <x:is>
          <x:t xml:space="preserve">RECEIVING_VALIDATED_EDGE;BUCKET_PRIOR_ONLY;INTENT_INTERPRETATION_ONLY;FFL_OPTIONAL;EXPERT_MARKET</x:t>
        </x:is>
      </x:c>
      <x:c r="AP1861" s="604" t="inlineStr">
        <x:is>
          <x:t xml:space="preserve">f871a4b75617fe26b53f</x:t>
        </x:is>
      </x:c>
      <x:c r="AQ1861" s="604" t="n">
        <x:v>1.25</x:v>
      </x:c>
      <x:c r="AR1861" s="604" t="n">
        <x:v>0.8</x:v>
      </x:c>
      <x:c r="AS1861" s="604" t="n">
        <x:v>-1.25</x:v>
      </x:c>
      <x:c r="AT1861" s="604" t="n">
        <x:v>1.25</x:v>
      </x:c>
      <x:c r="AU1861" s="604" t="n">
        <x:v>0.8</x:v>
      </x:c>
      <x:c r="AV1861" s="604" t="n">
        <x:v>1</x:v>
      </x:c>
      <x:c r="AW1861" s="604" t="inlineStr">
        <x:is>
          <x:t xml:space="preserve">2026-10-09T09:01:21.127001+08:00</x:t>
        </x:is>
      </x:c>
      <x:c r="AX1861" s="604" t="inlineStr">
        <x:is>
          <x:t xml:space="preserve">Titan007/V4</x:t>
        </x:is>
      </x:c>
      <x:c r="AY1861" s="604" t="inlineStr">
        <x:is>
          <x:t xml:space="preserve">Daily append；市场输入缺失时不生成决策</x:t>
        </x:is>
      </x:c>
    </x:row>
    <x:row r="1862" ht="22" customHeight="1">
      <x:c r="A1862" s="604" t="inlineStr">
        <x:is>
          <x:t xml:space="preserve">2026-10-09</x:t>
        </x:is>
      </x:c>
      <x:c r="B1862" s="604" t="inlineStr">
        <x:is>
          <x:t xml:space="preserve">2026-10-10T01:30:00+08:00</x:t>
        </x:is>
      </x:c>
      <x:c r="C1862" s="604" t="str">
        <x:v>北美系列</x:v>
      </x:c>
      <x:c r="D1862" s="604" t="inlineStr">
        <x:is>
          <x:t xml:space="preserve"/>
        </x:is>
      </x:c>
      <x:c r="E1862" s="604" t="inlineStr">
        <x:is>
          <x:t xml:space="preserve">墨西U19</x:t>
        </x:is>
      </x:c>
      <x:c r="F1862" s="604" t="inlineStr">
        <x:is>
          <x:t xml:space="preserve">普埃布拉U19 vs 莱昂U19</x:t>
        </x:is>
      </x:c>
      <x:c r="G1862" s="604" t="n">
        <x:v>0.88</x:v>
      </x:c>
      <x:c r="H1862" s="604" t="n">
        <x:v>0.25</x:v>
      </x:c>
      <x:c r="I1862" s="604" t="n">
        <x:v>0.93</x:v>
      </x:c>
      <x:c r="J1862" s="604" t="inlineStr">
        <x:is>
          <x:t xml:space="preserve">0.88/0.25/0.93</x:t>
        </x:is>
      </x:c>
      <x:c r="K1862" s="604" t="inlineStr">
        <x:is>
          <x:t xml:space="preserve">V4-N</x:t>
        </x:is>
      </x:c>
      <x:c r="L1862" s="604" t="inlineStr">
        <x:is>
          <x:t xml:space="preserve"/>
        </x:is>
      </x:c>
      <x:c r="M1862" s="604" t="n">
        <x:v>0.4698829513639136</x:v>
      </x:c>
      <x:c r="N1862" s="604" t="inlineStr">
        <x:is>
          <x:t xml:space="preserve">V4 Shadow Only；real_money=false</x:t>
        </x:is>
      </x:c>
      <x:c r="O1862" s="604" t="inlineStr">
        <x:is>
          <x:t xml:space="preserve">0-0</x:t>
        </x:is>
      </x:c>
      <x:c r="P1862" s="604" t="inlineStr">
        <x:is>
          <x:t xml:space="preserve">EVALUATED</x:t>
        </x:is>
      </x:c>
      <x:c r="Q1862" s="630" t="inlineStr">
        <x:is>
          <x:t xml:space="preserve"/>
        </x:is>
      </x:c>
      <x:c r="R1862" s="604" t="n"/>
      <x:c r="S1862" s="604" t="n"/>
      <x:c r="T1862" s="604" t="inlineStr">
        <x:is>
          <x:t xml:space="preserve">D:\codex\v3_legacy\outputs\football_odds_trader\raw\titan007\20261009\20261009_085232_titan007_odds_snapshot.csv</x:t>
        </x:is>
      </x:c>
      <x:c r="U1862" s="628" t="inlineStr">
        <x:is>
          <x:t xml:space="preserve"/>
        </x:is>
      </x:c>
      <x:c r="V1862" s="604" t="inlineStr">
        <x:is>
          <x:t xml:space="preserve"/>
        </x:is>
      </x:c>
      <x:c r="W1862" s="604" t="inlineStr">
        <x:is>
          <x:t xml:space="preserve"/>
        </x:is>
      </x:c>
      <x:c r="X1862" s="604" t="inlineStr">
        <x:is>
          <x:t xml:space="preserve">3100365</x:t>
        </x:is>
      </x:c>
      <x:c r="Y1862" s="604" t="inlineStr">
        <x:is>
          <x:t xml:space="preserve">V4</x:t>
        </x:is>
      </x:c>
      <x:c r="Z1862" s="604" t="inlineStr">
        <x:is>
          <x:t xml:space="preserve">prior-2026-10-09-v1</x:t>
        </x:is>
      </x:c>
      <x:c r="AA1862" s="604" t="inlineStr">
        <x:is>
          <x:t xml:space="preserve">N</x:t>
        </x:is>
      </x:c>
      <x:c r="AB1862" s="604" t="n">
        <x:v>0.4698829513639136</x:v>
      </x:c>
      <x:c r="AC1862" s="604" t="n">
        <x:v>0.4020466305058692</x:v>
      </x:c>
      <x:c r="AD1862" s="604" t="n">
        <x:v>0.5</x:v>
      </x:c>
      <x:c r="AE1862" s="604" t="n"/>
      <x:c r="AF1862" s="604" t="n"/>
      <x:c r="AG1862" s="604" t="n">
        <x:v>0.01145036669437477</x:v>
      </x:c>
      <x:c r="AH1862" s="604" t="n"/>
      <x:c r="AI1862" s="604" t="n"/>
      <x:c r="AJ1862" s="604" t="n">
        <x:v>0.01145036669437477</x:v>
      </x:c>
      <x:c r="AK1862" s="604" t="n"/>
      <x:c r="AL1862" s="604" t="n"/>
      <x:c r="AM1862" s="604" t="n"/>
      <x:c r="AN1862" s="604" t="inlineStr">
        <x:is>
          <x:t xml:space="preserve">EVALUATED</x:t>
        </x:is>
      </x:c>
      <x:c r="AO1862" s="604" t="inlineStr">
        <x:is>
          <x:t xml:space="preserve">EDGE_BELOW_UNCERTAINTY_THRESHOLD;BUCKET_PRIOR_ONLY;INTENT_INTERPRETATION_ONLY;FFL_OPTIONAL;EXPERT_MARKET</x:t>
        </x:is>
      </x:c>
      <x:c r="AP1862" s="604" t="inlineStr">
        <x:is>
          <x:t xml:space="preserve">834637731d2cfefd3e78</x:t>
        </x:is>
      </x:c>
      <x:c r="AQ1862" s="604" t="n"/>
      <x:c r="AR1862" s="604" t="n"/>
      <x:c r="AS1862" s="604" t="n">
        <x:v>0.25</x:v>
      </x:c>
      <x:c r="AT1862" s="604" t="n">
        <x:v>-0.25</x:v>
      </x:c>
      <x:c r="AU1862" s="604" t="n">
        <x:v>0.88</x:v>
      </x:c>
      <x:c r="AV1862" s="604" t="n">
        <x:v>0.93</x:v>
      </x:c>
      <x:c r="AW1862" s="604" t="inlineStr">
        <x:is>
          <x:t xml:space="preserve">2026-10-09T09:01:21.127001+08:00</x:t>
        </x:is>
      </x:c>
      <x:c r="AX1862" s="604" t="inlineStr">
        <x:is>
          <x:t xml:space="preserve">Titan007/V4</x:t>
        </x:is>
      </x:c>
      <x:c r="AY1862" s="604" t="inlineStr">
        <x:is>
          <x:t xml:space="preserve">Daily append；市场输入缺失时不生成决策</x:t>
        </x:is>
      </x:c>
    </x:row>
    <x:row r="1863" ht="22" customHeight="1">
      <x:c r="A1863" s="604" t="inlineStr">
        <x:is>
          <x:t xml:space="preserve">2026-10-09</x:t>
        </x:is>
      </x:c>
      <x:c r="B1863" s="604" t="inlineStr">
        <x:is>
          <x:t xml:space="preserve">2026-10-10T03:00:00+08:00</x:t>
        </x:is>
      </x:c>
      <x:c r="C1863" s="604" t="str">
        <x:v>南美系列</x:v>
      </x:c>
      <x:c r="D1863" s="604" t="inlineStr">
        <x:is>
          <x:t xml:space="preserve"/>
        </x:is>
      </x:c>
      <x:c r="E1863" s="604" t="inlineStr">
        <x:is>
          <x:t xml:space="preserve">巴拉丙</x:t>
        </x:is>
      </x:c>
      <x:c r="F1863" s="604" t="inlineStr">
        <x:is>
          <x:t xml:space="preserve">克莱西亚莱斯竞技 vs 亚特兰蒂斯SC</x:t>
        </x:is>
      </x:c>
      <x:c r="G1863" s="604" t="n">
        <x:v>0.93</x:v>
      </x:c>
      <x:c r="H1863" s="604" t="n">
        <x:v>-0.75</x:v>
      </x:c>
      <x:c r="I1863" s="604" t="n">
        <x:v>0.88</x:v>
      </x:c>
      <x:c r="J1863" s="604" t="inlineStr">
        <x:is>
          <x:t xml:space="preserve">0.93/-0.75/0.88</x:t>
        </x:is>
      </x:c>
      <x:c r="K1863" s="604" t="inlineStr">
        <x:is>
          <x:t xml:space="preserve">V4-N</x:t>
        </x:is>
      </x:c>
      <x:c r="L1863" s="604" t="inlineStr">
        <x:is>
          <x:t xml:space="preserve"/>
        </x:is>
      </x:c>
      <x:c r="M1863" s="604" t="n">
        <x:v>0.0900188027729156</x:v>
      </x:c>
      <x:c r="N1863" s="604" t="inlineStr">
        <x:is>
          <x:t xml:space="preserve">V4 Shadow Only；real_money=false</x:t>
        </x:is>
      </x:c>
      <x:c r="O1863" s="604" t="inlineStr">
        <x:is>
          <x:t xml:space="preserve">0-0</x:t>
        </x:is>
      </x:c>
      <x:c r="P1863" s="604" t="inlineStr">
        <x:is>
          <x:t xml:space="preserve">EVALUATED</x:t>
        </x:is>
      </x:c>
      <x:c r="Q1863" s="630" t="inlineStr">
        <x:is>
          <x:t xml:space="preserve"/>
        </x:is>
      </x:c>
      <x:c r="R1863" s="604" t="n"/>
      <x:c r="S1863" s="604" t="n"/>
      <x:c r="T1863" s="604" t="inlineStr">
        <x:is>
          <x:t xml:space="preserve">D:\codex\v3_legacy\outputs\football_odds_trader\raw\titan007\20261009\20261009_085232_titan007_odds_snapshot.csv</x:t>
        </x:is>
      </x:c>
      <x:c r="U1863" s="628" t="inlineStr">
        <x:is>
          <x:t xml:space="preserve"/>
        </x:is>
      </x:c>
      <x:c r="V1863" s="604" t="inlineStr">
        <x:is>
          <x:t xml:space="preserve"/>
        </x:is>
      </x:c>
      <x:c r="W1863" s="604" t="inlineStr">
        <x:is>
          <x:t xml:space="preserve"/>
        </x:is>
      </x:c>
      <x:c r="X1863" s="604" t="inlineStr">
        <x:is>
          <x:t xml:space="preserve">3100366</x:t>
        </x:is>
      </x:c>
      <x:c r="Y1863" s="604" t="inlineStr">
        <x:is>
          <x:t xml:space="preserve">V4</x:t>
        </x:is>
      </x:c>
      <x:c r="Z1863" s="604" t="inlineStr">
        <x:is>
          <x:t xml:space="preserve">prior-2026-10-09-v1</x:t>
        </x:is>
      </x:c>
      <x:c r="AA1863" s="604" t="inlineStr">
        <x:is>
          <x:t xml:space="preserve">N</x:t>
        </x:is>
      </x:c>
      <x:c r="AB1863" s="604" t="n">
        <x:v>0.0900188027729156</x:v>
      </x:c>
      <x:c r="AC1863" s="604" t="n">
        <x:v>0.8593174076274048</x:v>
      </x:c>
      <x:c r="AD1863" s="604" t="n">
        <x:v>-1.25</x:v>
      </x:c>
      <x:c r="AE1863" s="604" t="n"/>
      <x:c r="AF1863" s="604" t="n"/>
      <x:c r="AG1863" s="604" t="n">
        <x:v>0.7091463863205709</x:v>
      </x:c>
      <x:c r="AH1863" s="604" t="n"/>
      <x:c r="AI1863" s="604" t="n"/>
      <x:c r="AJ1863" s="604" t="n">
        <x:v>0.7091463863205709</x:v>
      </x:c>
      <x:c r="AK1863" s="604" t="n"/>
      <x:c r="AL1863" s="604" t="n"/>
      <x:c r="AM1863" s="604" t="n"/>
      <x:c r="AN1863" s="604" t="inlineStr">
        <x:is>
          <x:t xml:space="preserve">EVALUATED</x:t>
        </x:is>
      </x:c>
      <x:c r="AO1863" s="604" t="inlineStr">
        <x:is>
          <x:t xml:space="preserve">LOW_QUALITY_GATE;BUCKET_PRIOR_ONLY;INTENT_INTERPRETATION_ONLY;FFL_OPTIONAL;EXPERT_MARKET</x:t>
        </x:is>
      </x:c>
      <x:c r="AP1863" s="604" t="inlineStr">
        <x:is>
          <x:t xml:space="preserve">5fca3869372e910f7f29</x:t>
        </x:is>
      </x:c>
      <x:c r="AQ1863" s="604" t="n"/>
      <x:c r="AR1863" s="604" t="n"/>
      <x:c r="AS1863" s="604" t="n">
        <x:v>-0.75</x:v>
      </x:c>
      <x:c r="AT1863" s="604" t="n">
        <x:v>0.75</x:v>
      </x:c>
      <x:c r="AU1863" s="604" t="n">
        <x:v>0.93</x:v>
      </x:c>
      <x:c r="AV1863" s="604" t="n">
        <x:v>0.88</x:v>
      </x:c>
      <x:c r="AW1863" s="604" t="inlineStr">
        <x:is>
          <x:t xml:space="preserve">2026-10-09T09:01:21.127001+08:00</x:t>
        </x:is>
      </x:c>
      <x:c r="AX1863" s="604" t="inlineStr">
        <x:is>
          <x:t xml:space="preserve">Titan007/V4</x:t>
        </x:is>
      </x:c>
      <x:c r="AY1863" s="604" t="inlineStr">
        <x:is>
          <x:t xml:space="preserve">Daily append；市场输入缺失时不生成决策</x:t>
        </x:is>
      </x:c>
    </x:row>
    <x:row r="1864" ht="22" customHeight="1">
      <x:c r="A1864" s="604" t="inlineStr">
        <x:is>
          <x:t xml:space="preserve">2026-10-09</x:t>
        </x:is>
      </x:c>
      <x:c r="B1864" s="604" t="inlineStr">
        <x:is>
          <x:t xml:space="preserve">2026-10-09T21:00:00+08:00</x:t>
        </x:is>
      </x:c>
      <x:c r="C1864" s="604" t="str">
        <x:v>南美系列</x:v>
      </x:c>
      <x:c r="D1864" s="604" t="inlineStr">
        <x:is>
          <x:t xml:space="preserve"/>
        </x:is>
      </x:c>
      <x:c r="E1864" s="604" t="inlineStr">
        <x:is>
          <x:t xml:space="preserve">巴拉丙</x:t>
        </x:is>
      </x:c>
      <x:c r="F1864" s="604" t="inlineStr">
        <x:is>
          <x:t xml:space="preserve">哥伦比亚体育会 vs 奥杜巴雷</x:t>
        </x:is>
      </x:c>
      <x:c r="G1864" s="604" t="n">
        <x:v>0.95</x:v>
      </x:c>
      <x:c r="H1864" s="604" t="n">
        <x:v>-0.25</x:v>
      </x:c>
      <x:c r="I1864" s="604" t="n">
        <x:v>0.85</x:v>
      </x:c>
      <x:c r="J1864" s="604" t="inlineStr">
        <x:is>
          <x:t xml:space="preserve">0.95/-0.25/0.85</x:t>
        </x:is>
      </x:c>
      <x:c r="K1864" s="604" t="inlineStr">
        <x:is>
          <x:t xml:space="preserve">V4-N</x:t>
        </x:is>
      </x:c>
      <x:c r="L1864" s="604" t="inlineStr">
        <x:is>
          <x:t xml:space="preserve"/>
        </x:is>
      </x:c>
      <x:c r="M1864" s="604" t="n">
        <x:v>0.2681994165126542</x:v>
      </x:c>
      <x:c r="N1864" s="604" t="inlineStr">
        <x:is>
          <x:t xml:space="preserve">V4 Shadow Only；real_money=false</x:t>
        </x:is>
      </x:c>
      <x:c r="O1864" s="604" t="inlineStr">
        <x:is>
          <x:t xml:space="preserve">0-0</x:t>
        </x:is>
      </x:c>
      <x:c r="P1864" s="604" t="inlineStr">
        <x:is>
          <x:t xml:space="preserve">EVALUATED</x:t>
        </x:is>
      </x:c>
      <x:c r="Q1864" s="630" t="inlineStr">
        <x:is>
          <x:t xml:space="preserve"/>
        </x:is>
      </x:c>
      <x:c r="R1864" s="604" t="n"/>
      <x:c r="S1864" s="604" t="n"/>
      <x:c r="T1864" s="604" t="inlineStr">
        <x:is>
          <x:t xml:space="preserve">D:\codex\v3_legacy\outputs\football_odds_trader\raw\titan007\20261009\20261009_085232_titan007_odds_snapshot.csv</x:t>
        </x:is>
      </x:c>
      <x:c r="U1864" s="628" t="inlineStr">
        <x:is>
          <x:t xml:space="preserve"/>
        </x:is>
      </x:c>
      <x:c r="V1864" s="604" t="inlineStr">
        <x:is>
          <x:t xml:space="preserve"/>
        </x:is>
      </x:c>
      <x:c r="W1864" s="604" t="inlineStr">
        <x:is>
          <x:t xml:space="preserve"/>
        </x:is>
      </x:c>
      <x:c r="X1864" s="604" t="inlineStr">
        <x:is>
          <x:t xml:space="preserve">3100367</x:t>
        </x:is>
      </x:c>
      <x:c r="Y1864" s="604" t="inlineStr">
        <x:is>
          <x:t xml:space="preserve">V4</x:t>
        </x:is>
      </x:c>
      <x:c r="Z1864" s="604" t="inlineStr">
        <x:is>
          <x:t xml:space="preserve">prior-2026-10-09-v1</x:t>
        </x:is>
      </x:c>
      <x:c r="AA1864" s="604" t="inlineStr">
        <x:is>
          <x:t xml:space="preserve">N</x:t>
        </x:is>
      </x:c>
      <x:c r="AB1864" s="604" t="n">
        <x:v>0.2681994165126542</x:v>
      </x:c>
      <x:c r="AC1864" s="604" t="n">
        <x:v>0.6033779613196221</x:v>
      </x:c>
      <x:c r="AD1864" s="604" t="n">
        <x:v>-0.5</x:v>
      </x:c>
      <x:c r="AE1864" s="604" t="n"/>
      <x:c r="AF1864" s="604" t="n"/>
      <x:c r="AG1864" s="604" t="n">
        <x:v>0.3050096467409867</x:v>
      </x:c>
      <x:c r="AH1864" s="604" t="n"/>
      <x:c r="AI1864" s="604" t="n"/>
      <x:c r="AJ1864" s="604" t="n">
        <x:v>0.3050096467409867</x:v>
      </x:c>
      <x:c r="AK1864" s="604" t="n"/>
      <x:c r="AL1864" s="604" t="n"/>
      <x:c r="AM1864" s="604" t="n"/>
      <x:c r="AN1864" s="604" t="inlineStr">
        <x:is>
          <x:t xml:space="preserve">EVALUATED</x:t>
        </x:is>
      </x:c>
      <x:c r="AO1864" s="604" t="inlineStr">
        <x:is>
          <x:t xml:space="preserve">LOW_QUALITY_GATE;BUCKET_PRIOR_ONLY;INTENT_INTERPRETATION_ONLY;FFL_OPTIONAL;EXPERT_MARKET</x:t>
        </x:is>
      </x:c>
      <x:c r="AP1864" s="604" t="inlineStr">
        <x:is>
          <x:t xml:space="preserve">36f0c983c3820cfe0a60</x:t>
        </x:is>
      </x:c>
      <x:c r="AQ1864" s="604" t="n"/>
      <x:c r="AR1864" s="604" t="n"/>
      <x:c r="AS1864" s="604" t="n">
        <x:v>-0.25</x:v>
      </x:c>
      <x:c r="AT1864" s="604" t="n">
        <x:v>0.25</x:v>
      </x:c>
      <x:c r="AU1864" s="604" t="n">
        <x:v>0.95</x:v>
      </x:c>
      <x:c r="AV1864" s="604" t="n">
        <x:v>0.85</x:v>
      </x:c>
      <x:c r="AW1864" s="604" t="inlineStr">
        <x:is>
          <x:t xml:space="preserve">2026-10-09T09:01:21.127001+08:00</x:t>
        </x:is>
      </x:c>
      <x:c r="AX1864" s="604" t="inlineStr">
        <x:is>
          <x:t xml:space="preserve">Titan007/V4</x:t>
        </x:is>
      </x:c>
      <x:c r="AY1864" s="604" t="inlineStr">
        <x:is>
          <x:t xml:space="preserve">Daily append；市场输入缺失时不生成决策</x:t>
        </x:is>
      </x:c>
    </x:row>
    <x:row r="1865" ht="22" customHeight="1">
      <x:c r="A1865" s="604" t="inlineStr">
        <x:is>
          <x:t xml:space="preserve">2026-10-09</x:t>
        </x:is>
      </x:c>
      <x:c r="B1865" s="604" t="inlineStr">
        <x:is>
          <x:t xml:space="preserve">2026-10-09T21:00:00+08:00</x:t>
        </x:is>
      </x:c>
      <x:c r="C1865" s="604" t="str">
        <x:v>南美系列</x:v>
      </x:c>
      <x:c r="D1865" s="604" t="inlineStr">
        <x:is>
          <x:t xml:space="preserve"/>
        </x:is>
      </x:c>
      <x:c r="E1865" s="604" t="inlineStr">
        <x:is>
          <x:t xml:space="preserve">巴拉丙</x:t>
        </x:is>
      </x:c>
      <x:c r="F1865" s="604" t="inlineStr">
        <x:is>
          <x:t xml:space="preserve">巴拉圭河床 vs 锡尔维奥佩蒂罗西</x:t>
        </x:is>
      </x:c>
      <x:c r="G1865" s="604" t="n">
        <x:v>0.83</x:v>
      </x:c>
      <x:c r="H1865" s="604" t="n">
        <x:v>1.5</x:v>
      </x:c>
      <x:c r="I1865" s="604" t="n">
        <x:v>0.98</x:v>
      </x:c>
      <x:c r="J1865" s="604" t="inlineStr">
        <x:is>
          <x:t xml:space="preserve">0.83/1.5/0.98</x:t>
        </x:is>
      </x:c>
      <x:c r="K1865" s="604" t="inlineStr">
        <x:is>
          <x:t xml:space="preserve">V4-N</x:t>
        </x:is>
      </x:c>
      <x:c r="L1865" s="604" t="inlineStr">
        <x:is>
          <x:t xml:space="preserve"/>
        </x:is>
      </x:c>
      <x:c r="M1865" s="604" t="n">
        <x:v>0.6058629807185588</x:v>
      </x:c>
      <x:c r="N1865" s="604" t="inlineStr">
        <x:is>
          <x:t xml:space="preserve">V4 Shadow Only；real_money=false</x:t>
        </x:is>
      </x:c>
      <x:c r="O1865" s="604" t="inlineStr">
        <x:is>
          <x:t xml:space="preserve">0-0</x:t>
        </x:is>
      </x:c>
      <x:c r="P1865" s="604" t="inlineStr">
        <x:is>
          <x:t xml:space="preserve">EVALUATED</x:t>
        </x:is>
      </x:c>
      <x:c r="Q1865" s="630" t="inlineStr">
        <x:is>
          <x:t xml:space="preserve"/>
        </x:is>
      </x:c>
      <x:c r="R1865" s="604" t="n"/>
      <x:c r="S1865" s="604" t="n"/>
      <x:c r="T1865" s="604" t="inlineStr">
        <x:is>
          <x:t xml:space="preserve">D:\codex\v3_legacy\outputs\football_odds_trader\raw\titan007\20261009\20261009_085232_titan007_odds_snapshot.csv</x:t>
        </x:is>
      </x:c>
      <x:c r="U1865" s="628" t="inlineStr">
        <x:is>
          <x:t xml:space="preserve"/>
        </x:is>
      </x:c>
      <x:c r="V1865" s="604" t="inlineStr">
        <x:is>
          <x:t xml:space="preserve"/>
        </x:is>
      </x:c>
      <x:c r="W1865" s="604" t="inlineStr">
        <x:is>
          <x:t xml:space="preserve"/>
        </x:is>
      </x:c>
      <x:c r="X1865" s="604" t="inlineStr">
        <x:is>
          <x:t xml:space="preserve">3100368</x:t>
        </x:is>
      </x:c>
      <x:c r="Y1865" s="604" t="inlineStr">
        <x:is>
          <x:t xml:space="preserve">V4</x:t>
        </x:is>
      </x:c>
      <x:c r="Z1865" s="604" t="inlineStr">
        <x:is>
          <x:t xml:space="preserve">prior-2026-10-09-v1</x:t>
        </x:is>
      </x:c>
      <x:c r="AA1865" s="604" t="inlineStr">
        <x:is>
          <x:t xml:space="preserve">N</x:t>
        </x:is>
      </x:c>
      <x:c r="AB1865" s="604" t="n">
        <x:v>0.6058629807185588</x:v>
      </x:c>
      <x:c r="AC1865" s="604" t="n">
        <x:v>0.3941370192814412</x:v>
      </x:c>
      <x:c r="AD1865" s="604" t="n">
        <x:v>2</x:v>
      </x:c>
      <x:c r="AE1865" s="604" t="n"/>
      <x:c r="AF1865" s="604" t="n"/>
      <x:c r="AG1865" s="604" t="n">
        <x:v>0.1087292547149626</x:v>
      </x:c>
      <x:c r="AH1865" s="604" t="n"/>
      <x:c r="AI1865" s="604" t="n"/>
      <x:c r="AJ1865" s="604" t="n">
        <x:v>0.1087292547149626</x:v>
      </x:c>
      <x:c r="AK1865" s="604" t="n"/>
      <x:c r="AL1865" s="604" t="n"/>
      <x:c r="AM1865" s="604" t="n"/>
      <x:c r="AN1865" s="604" t="inlineStr">
        <x:is>
          <x:t xml:space="preserve">EVALUATED</x:t>
        </x:is>
      </x:c>
      <x:c r="AO1865" s="604" t="inlineStr">
        <x:is>
          <x:t xml:space="preserve">LOW_QUALITY_GATE;BUCKET_PRIOR_ONLY;INTENT_INTERPRETATION_ONLY;FFL_OPTIONAL;EXPERT_MARKET</x:t>
        </x:is>
      </x:c>
      <x:c r="AP1865" s="604" t="inlineStr">
        <x:is>
          <x:t xml:space="preserve">ccd003ae42d993a0d2cf</x:t>
        </x:is>
      </x:c>
      <x:c r="AQ1865" s="604" t="n"/>
      <x:c r="AR1865" s="604" t="n"/>
      <x:c r="AS1865" s="604" t="n">
        <x:v>1.5</x:v>
      </x:c>
      <x:c r="AT1865" s="604" t="n">
        <x:v>-1.5</x:v>
      </x:c>
      <x:c r="AU1865" s="604" t="n">
        <x:v>0.83</x:v>
      </x:c>
      <x:c r="AV1865" s="604" t="n">
        <x:v>0.98</x:v>
      </x:c>
      <x:c r="AW1865" s="604" t="inlineStr">
        <x:is>
          <x:t xml:space="preserve">2026-10-09T09:01:21.127001+08:00</x:t>
        </x:is>
      </x:c>
      <x:c r="AX1865" s="604" t="inlineStr">
        <x:is>
          <x:t xml:space="preserve">Titan007/V4</x:t>
        </x:is>
      </x:c>
      <x:c r="AY1865" s="604" t="inlineStr">
        <x:is>
          <x:t xml:space="preserve">Daily append；市场输入缺失时不生成决策</x:t>
        </x:is>
      </x:c>
    </x:row>
    <x:row r="1866" ht="22" customHeight="1">
      <x:c r="A1866" s="604" t="inlineStr">
        <x:is>
          <x:t xml:space="preserve">2026-10-09</x:t>
        </x:is>
      </x:c>
      <x:c r="B1866" s="604" t="inlineStr">
        <x:is>
          <x:t xml:space="preserve">2026-10-09T21:00:00+08:00</x:t>
        </x:is>
      </x:c>
      <x:c r="C1866" s="604" t="str">
        <x:v>其他系列</x:v>
      </x:c>
      <x:c r="D1866" s="604" t="inlineStr">
        <x:is>
          <x:t xml:space="preserve"/>
        </x:is>
      </x:c>
      <x:c r="E1866" s="604" t="inlineStr">
        <x:is>
          <x:t xml:space="preserve">桑给超</x:t>
        </x:is>
      </x:c>
      <x:c r="F1866" s="604" t="inlineStr">
        <x:is>
          <x:t xml:space="preserve">卡维治斯 vs 消防SC</x:t>
        </x:is>
      </x:c>
      <x:c r="G1866" s="604" t="n">
        <x:v>1.03</x:v>
      </x:c>
      <x:c r="H1866" s="604" t="n">
        <x:v>0.25</x:v>
      </x:c>
      <x:c r="I1866" s="604" t="n">
        <x:v>0.78</x:v>
      </x:c>
      <x:c r="J1866" s="604" t="inlineStr">
        <x:is>
          <x:t xml:space="preserve">1.03/0.25/0.78</x:t>
        </x:is>
      </x:c>
      <x:c r="K1866" s="604" t="inlineStr">
        <x:is>
          <x:t xml:space="preserve">V4-N</x:t>
        </x:is>
      </x:c>
      <x:c r="L1866" s="604" t="inlineStr">
        <x:is>
          <x:t xml:space="preserve"/>
        </x:is>
      </x:c>
      <x:c r="M1866" s="604" t="n">
        <x:v>0.4482103686175573</x:v>
      </x:c>
      <x:c r="N1866" s="604" t="inlineStr">
        <x:is>
          <x:t xml:space="preserve">V4 Shadow Only；real_money=false</x:t>
        </x:is>
      </x:c>
      <x:c r="O1866" s="604" t="inlineStr">
        <x:is>
          <x:t xml:space="preserve">0-0</x:t>
        </x:is>
      </x:c>
      <x:c r="P1866" s="604" t="inlineStr">
        <x:is>
          <x:t xml:space="preserve">EVALUATED</x:t>
        </x:is>
      </x:c>
      <x:c r="Q1866" s="630" t="inlineStr">
        <x:is>
          <x:t xml:space="preserve"/>
        </x:is>
      </x:c>
      <x:c r="R1866" s="604" t="n"/>
      <x:c r="S1866" s="604" t="n"/>
      <x:c r="T1866" s="604" t="inlineStr">
        <x:is>
          <x:t xml:space="preserve">D:\codex\v3_legacy\outputs\football_odds_trader\raw\titan007\20261009\20261009_085232_titan007_odds_snapshot.csv</x:t>
        </x:is>
      </x:c>
      <x:c r="U1866" s="628" t="inlineStr">
        <x:is>
          <x:t xml:space="preserve"/>
        </x:is>
      </x:c>
      <x:c r="V1866" s="604" t="inlineStr">
        <x:is>
          <x:t xml:space="preserve"/>
        </x:is>
      </x:c>
      <x:c r="W1866" s="604" t="inlineStr">
        <x:is>
          <x:t xml:space="preserve"/>
        </x:is>
      </x:c>
      <x:c r="X1866" s="604" t="inlineStr">
        <x:is>
          <x:t xml:space="preserve">3100374</x:t>
        </x:is>
      </x:c>
      <x:c r="Y1866" s="604" t="inlineStr">
        <x:is>
          <x:t xml:space="preserve">V4</x:t>
        </x:is>
      </x:c>
      <x:c r="Z1866" s="604" t="inlineStr">
        <x:is>
          <x:t xml:space="preserve">prior-2026-10-09-v1</x:t>
        </x:is>
      </x:c>
      <x:c r="AA1866" s="604" t="inlineStr">
        <x:is>
          <x:t xml:space="preserve">N</x:t>
        </x:is>
      </x:c>
      <x:c r="AB1866" s="604" t="n">
        <x:v>0.4482103686175573</x:v>
      </x:c>
      <x:c r="AC1866" s="604" t="n">
        <x:v>0.4207753114806999</x:v>
      </x:c>
      <x:c r="AD1866" s="604" t="n">
        <x:v>0.25</x:v>
      </x:c>
      <x:c r="AE1866" s="604" t="n"/>
      <x:c r="AF1866" s="604" t="n"/>
      <x:c r="AG1866" s="604" t="n">
        <x:v>0.04088136819538413</x:v>
      </x:c>
      <x:c r="AH1866" s="604" t="n"/>
      <x:c r="AI1866" s="604" t="n"/>
      <x:c r="AJ1866" s="604" t="n">
        <x:v>0.04088136819538413</x:v>
      </x:c>
      <x:c r="AK1866" s="604" t="n"/>
      <x:c r="AL1866" s="604" t="n"/>
      <x:c r="AM1866" s="604" t="n"/>
      <x:c r="AN1866" s="604" t="inlineStr">
        <x:is>
          <x:t xml:space="preserve">EVALUATED</x:t>
        </x:is>
      </x:c>
      <x:c r="AO1866" s="604" t="inlineStr">
        <x:is>
          <x:t xml:space="preserve">EDGE_BELOW_UNCERTAINTY_THRESHOLD;BUCKET_PRIOR_ONLY;INTENT_INTERPRETATION_ONLY;FFL_OPTIONAL;EXPERT_MARKET</x:t>
        </x:is>
      </x:c>
      <x:c r="AP1866" s="604" t="inlineStr">
        <x:is>
          <x:t xml:space="preserve">a8e480d936a03cda0e37</x:t>
        </x:is>
      </x:c>
      <x:c r="AQ1866" s="604" t="n"/>
      <x:c r="AR1866" s="604" t="n"/>
      <x:c r="AS1866" s="604" t="n">
        <x:v>0.25</x:v>
      </x:c>
      <x:c r="AT1866" s="604" t="n">
        <x:v>-0.25</x:v>
      </x:c>
      <x:c r="AU1866" s="604" t="n">
        <x:v>1.03</x:v>
      </x:c>
      <x:c r="AV1866" s="604" t="n">
        <x:v>0.78</x:v>
      </x:c>
      <x:c r="AW1866" s="604" t="inlineStr">
        <x:is>
          <x:t xml:space="preserve">2026-10-09T09:01:21.127001+08:00</x:t>
        </x:is>
      </x:c>
      <x:c r="AX1866" s="604" t="inlineStr">
        <x:is>
          <x:t xml:space="preserve">Titan007/V4</x:t>
        </x:is>
      </x:c>
      <x:c r="AY1866" s="604" t="inlineStr">
        <x:is>
          <x:t xml:space="preserve">Daily append；市场输入缺失时不生成决策</x:t>
        </x:is>
      </x:c>
    </x:row>
    <x:row r="1867" ht="22" customHeight="1">
      <x:c r="A1867" s="604" t="inlineStr">
        <x:is>
          <x:t xml:space="preserve">2026-10-09</x:t>
        </x:is>
      </x:c>
      <x:c r="B1867" s="604" t="inlineStr">
        <x:is>
          <x:t xml:space="preserve">2026-10-10T09:45:00+08:00</x:t>
        </x:is>
      </x:c>
      <x:c r="C1867" s="604" t="str">
        <x:v>北美系列</x:v>
      </x:c>
      <x:c r="D1867" s="604" t="inlineStr">
        <x:is>
          <x:t xml:space="preserve"/>
        </x:is>
      </x:c>
      <x:c r="E1867" s="604" t="inlineStr">
        <x:is>
          <x:t xml:space="preserve">墨西丙</x:t>
        </x:is>
      </x:c>
      <x:c r="F1867" s="604" t="inlineStr">
        <x:is>
          <x:t xml:space="preserve">皇家圣科斯梅 vs 富卡</x:t>
        </x:is>
      </x:c>
      <x:c r="G1867" s="604" t="n">
        <x:v>0.85</x:v>
      </x:c>
      <x:c r="H1867" s="604" t="n">
        <x:v>0</x:v>
      </x:c>
      <x:c r="I1867" s="604" t="n">
        <x:v>0.85</x:v>
      </x:c>
      <x:c r="J1867" s="604" t="inlineStr">
        <x:is>
          <x:t xml:space="preserve">0.85/0.0/0.85</x:t>
        </x:is>
      </x:c>
      <x:c r="K1867" s="604" t="inlineStr">
        <x:is>
          <x:t xml:space="preserve">V4-N</x:t>
        </x:is>
      </x:c>
      <x:c r="L1867" s="604" t="inlineStr">
        <x:is>
          <x:t xml:space="preserve"/>
        </x:is>
      </x:c>
      <x:c r="M1867" s="604" t="n"/>
      <x:c r="N1867" s="604" t="inlineStr">
        <x:is>
          <x:t xml:space="preserve">V4 Shadow Only；real_money=false</x:t>
        </x:is>
      </x:c>
      <x:c r="O1867" s="604" t="inlineStr">
        <x:is>
          <x:t xml:space="preserve">0-0</x:t>
        </x:is>
      </x:c>
      <x:c r="P1867" s="604" t="inlineStr">
        <x:is>
          <x:t xml:space="preserve">NEUTRAL</x:t>
        </x:is>
      </x:c>
      <x:c r="Q1867" s="630" t="inlineStr">
        <x:is>
          <x:t xml:space="preserve"/>
        </x:is>
      </x:c>
      <x:c r="R1867" s="604" t="n"/>
      <x:c r="S1867" s="604" t="n"/>
      <x:c r="T1867" s="604" t="inlineStr">
        <x:is>
          <x:t xml:space="preserve">D:\codex\v3_legacy\outputs\football_odds_trader\raw\titan007\20261009\20261009_085232_titan007_odds_snapshot.csv</x:t>
        </x:is>
      </x:c>
      <x:c r="U1867" s="628" t="inlineStr">
        <x:is>
          <x:t xml:space="preserve"/>
        </x:is>
      </x:c>
      <x:c r="V1867" s="604" t="inlineStr">
        <x:is>
          <x:t xml:space="preserve"/>
        </x:is>
      </x:c>
      <x:c r="W1867" s="604" t="inlineStr">
        <x:is>
          <x:t xml:space="preserve"/>
        </x:is>
      </x:c>
      <x:c r="X1867" s="604" t="inlineStr">
        <x:is>
          <x:t xml:space="preserve">3100375</x:t>
        </x:is>
      </x:c>
      <x:c r="Y1867" s="604" t="inlineStr">
        <x:is>
          <x:t xml:space="preserve">V4</x:t>
        </x:is>
      </x:c>
      <x:c r="Z1867" s="604" t="inlineStr">
        <x:is>
          <x:t xml:space="preserve">prior-2026-10-09-v1</x:t>
        </x:is>
      </x:c>
      <x:c r="AA1867" s="604" t="inlineStr">
        <x:is>
          <x:t xml:space="preserve">N</x:t>
        </x:is>
      </x:c>
      <x:c r="AB1867" s="604" t="n"/>
      <x:c r="AC1867" s="604" t="n"/>
      <x:c r="AD1867" s="604" t="n"/>
      <x:c r="AE1867" s="604" t="n"/>
      <x:c r="AF1867" s="604" t="n"/>
      <x:c r="AG1867" s="604" t="n"/>
      <x:c r="AH1867" s="604" t="n"/>
      <x:c r="AI1867" s="604" t="n"/>
      <x:c r="AJ1867" s="604" t="n"/>
      <x:c r="AK1867" s="604" t="n"/>
      <x:c r="AL1867" s="604" t="n"/>
      <x:c r="AM1867" s="604" t="n"/>
      <x:c r="AN1867" s="604" t="inlineStr">
        <x:is>
          <x:t xml:space="preserve">NEUTRAL</x:t>
        </x:is>
      </x:c>
      <x:c r="AO1867" s="604" t="inlineStr">
        <x:is>
          <x:t xml:space="preserve">PK_NO_GIVING_RECEIVING_IDENTITY</x:t>
        </x:is>
      </x:c>
      <x:c r="AP1867" s="604" t="inlineStr">
        <x:is>
          <x:t xml:space="preserve">926e70a9993fca505dbb</x:t>
        </x:is>
      </x:c>
      <x:c r="AQ1867" s="604" t="n"/>
      <x:c r="AR1867" s="604" t="n"/>
      <x:c r="AS1867" s="604" t="n"/>
      <x:c r="AT1867" s="604" t="n"/>
      <x:c r="AU1867" s="604" t="n"/>
      <x:c r="AV1867" s="604" t="n"/>
      <x:c r="AW1867" s="604" t="inlineStr">
        <x:is>
          <x:t xml:space="preserve">2026-10-09T09:01:21.127001+08:00</x:t>
        </x:is>
      </x:c>
      <x:c r="AX1867" s="604" t="inlineStr">
        <x:is>
          <x:t xml:space="preserve">Titan007/V4</x:t>
        </x:is>
      </x:c>
      <x:c r="AY1867" s="604" t="inlineStr">
        <x:is>
          <x:t xml:space="preserve">Daily append；市场输入缺失时不生成决策</x:t>
        </x:is>
      </x:c>
    </x:row>
    <x:row r="1868" ht="22" customHeight="1">
      <x:c r="A1868" s="604" t="inlineStr">
        <x:is>
          <x:t xml:space="preserve">2026-10-09</x:t>
        </x:is>
      </x:c>
      <x:c r="B1868" s="604" t="inlineStr">
        <x:is>
          <x:t xml:space="preserve">2026-10-10T01:00:00+08:00</x:t>
        </x:is>
      </x:c>
      <x:c r="C1868" s="604" t="str">
        <x:v>其他系列</x:v>
      </x:c>
      <x:c r="D1868" s="604" t="inlineStr">
        <x:is>
          <x:t xml:space="preserve"/>
        </x:is>
      </x:c>
      <x:c r="E1868" s="604" t="inlineStr">
        <x:is>
          <x:t xml:space="preserve">博茨超</x:t>
        </x:is>
      </x:c>
      <x:c r="F1868" s="604" t="inlineStr">
        <x:is>
          <x:t xml:space="preserve">哈博罗内 vs 莫鲁普尔流浪者队</x:t>
        </x:is>
      </x:c>
      <x:c r="G1868" s="604" t="n">
        <x:v>0.98</x:v>
      </x:c>
      <x:c r="H1868" s="604" t="n">
        <x:v>1</x:v>
      </x:c>
      <x:c r="I1868" s="604" t="n">
        <x:v>0.83</x:v>
      </x:c>
      <x:c r="J1868" s="604" t="inlineStr">
        <x:is>
          <x:t xml:space="preserve">0.98/1.0/0.83</x:t>
        </x:is>
      </x:c>
      <x:c r="K1868" s="604" t="inlineStr">
        <x:is>
          <x:t xml:space="preserve">V4-N</x:t>
        </x:is>
      </x:c>
      <x:c r="L1868" s="604" t="inlineStr">
        <x:is>
          <x:t xml:space="preserve"/>
        </x:is>
      </x:c>
      <x:c r="M1868" s="604" t="n">
        <x:v>0.4700373769926179</x:v>
      </x:c>
      <x:c r="N1868" s="604" t="inlineStr">
        <x:is>
          <x:t xml:space="preserve">V4 Shadow Only；real_money=false</x:t>
        </x:is>
      </x:c>
      <x:c r="O1868" s="604" t="inlineStr">
        <x:is>
          <x:t xml:space="preserve">0-0</x:t>
        </x:is>
      </x:c>
      <x:c r="P1868" s="604" t="inlineStr">
        <x:is>
          <x:t xml:space="preserve">EVALUATED</x:t>
        </x:is>
      </x:c>
      <x:c r="Q1868" s="630" t="inlineStr">
        <x:is>
          <x:t xml:space="preserve"/>
        </x:is>
      </x:c>
      <x:c r="R1868" s="604" t="n"/>
      <x:c r="S1868" s="604" t="n"/>
      <x:c r="T1868" s="604" t="inlineStr">
        <x:is>
          <x:t xml:space="preserve">D:\codex\v3_legacy\outputs\football_odds_trader\raw\titan007\20261009\20261009_085232_titan007_odds_snapshot.csv</x:t>
        </x:is>
      </x:c>
      <x:c r="U1868" s="628" t="inlineStr">
        <x:is>
          <x:t xml:space="preserve"/>
        </x:is>
      </x:c>
      <x:c r="V1868" s="604" t="inlineStr">
        <x:is>
          <x:t xml:space="preserve"/>
        </x:is>
      </x:c>
      <x:c r="W1868" s="604" t="inlineStr">
        <x:is>
          <x:t xml:space="preserve"/>
        </x:is>
      </x:c>
      <x:c r="X1868" s="604" t="inlineStr">
        <x:is>
          <x:t xml:space="preserve">3100379</x:t>
        </x:is>
      </x:c>
      <x:c r="Y1868" s="604" t="inlineStr">
        <x:is>
          <x:t xml:space="preserve">V4</x:t>
        </x:is>
      </x:c>
      <x:c r="Z1868" s="604" t="inlineStr">
        <x:is>
          <x:t xml:space="preserve">prior-2026-10-09-v1</x:t>
        </x:is>
      </x:c>
      <x:c r="AA1868" s="604" t="inlineStr">
        <x:is>
          <x:t xml:space="preserve">N</x:t>
        </x:is>
      </x:c>
      <x:c r="AB1868" s="604" t="n">
        <x:v>0.4700373769926179</x:v>
      </x:c>
      <x:c r="AC1868" s="604" t="n">
        <x:v>0.2747509337952481</x:v>
      </x:c>
      <x:c r="AD1868" s="604" t="n">
        <x:v>1.5</x:v>
      </x:c>
      <x:c r="AE1868" s="604" t="n"/>
      <x:c r="AF1868" s="604" t="n"/>
      <x:c r="AG1868" s="604" t="n">
        <x:v>0.1858856956575175</x:v>
      </x:c>
      <x:c r="AH1868" s="604" t="n"/>
      <x:c r="AI1868" s="604" t="n"/>
      <x:c r="AJ1868" s="604" t="n">
        <x:v>0.1858856956575175</x:v>
      </x:c>
      <x:c r="AK1868" s="604" t="n"/>
      <x:c r="AL1868" s="604" t="n"/>
      <x:c r="AM1868" s="604" t="n"/>
      <x:c r="AN1868" s="604" t="inlineStr">
        <x:is>
          <x:t xml:space="preserve">EVALUATED</x:t>
        </x:is>
      </x:c>
      <x:c r="AO1868" s="604" t="inlineStr">
        <x:is>
          <x:t xml:space="preserve">LOW_QUALITY_GATE;BUCKET_PRIOR_ONLY;INTENT_INTERPRETATION_ONLY;FFL_OPTIONAL;EXPERT_MARKET</x:t>
        </x:is>
      </x:c>
      <x:c r="AP1868" s="604" t="inlineStr">
        <x:is>
          <x:t xml:space="preserve">567841fd89cf30a17ab5</x:t>
        </x:is>
      </x:c>
      <x:c r="AQ1868" s="604" t="n"/>
      <x:c r="AR1868" s="604" t="n"/>
      <x:c r="AS1868" s="604" t="n">
        <x:v>1</x:v>
      </x:c>
      <x:c r="AT1868" s="604" t="n">
        <x:v>-1</x:v>
      </x:c>
      <x:c r="AU1868" s="604" t="n">
        <x:v>0.98</x:v>
      </x:c>
      <x:c r="AV1868" s="604" t="n">
        <x:v>0.83</x:v>
      </x:c>
      <x:c r="AW1868" s="604" t="inlineStr">
        <x:is>
          <x:t xml:space="preserve">2026-10-09T09:01:21.127001+08:00</x:t>
        </x:is>
      </x:c>
      <x:c r="AX1868" s="604" t="inlineStr">
        <x:is>
          <x:t xml:space="preserve">Titan007/V4</x:t>
        </x:is>
      </x:c>
      <x:c r="AY1868" s="604" t="inlineStr">
        <x:is>
          <x:t xml:space="preserve">Daily append；市场输入缺失时不生成决策</x:t>
        </x:is>
      </x:c>
    </x:row>
    <x:row r="1869" ht="22" customHeight="1">
      <x:c r="A1869" s="604" t="inlineStr">
        <x:is>
          <x:t xml:space="preserve">2026-10-09</x:t>
        </x:is>
      </x:c>
      <x:c r="B1869" s="604" t="inlineStr">
        <x:is>
          <x:t xml:space="preserve">2026-10-10T01:00:00+08:00</x:t>
        </x:is>
      </x:c>
      <x:c r="C1869" s="604" t="str">
        <x:v>其他系列</x:v>
      </x:c>
      <x:c r="D1869" s="604" t="inlineStr">
        <x:is>
          <x:t xml:space="preserve"/>
        </x:is>
      </x:c>
      <x:c r="E1869" s="604" t="inlineStr">
        <x:is>
          <x:t xml:space="preserve">卢旺达联</x:t>
        </x:is>
      </x:c>
      <x:c r="F1869" s="604" t="inlineStr">
        <x:is>
          <x:t xml:space="preserve">大猩猩FC vs 罗阳体育</x:t>
        </x:is>
      </x:c>
      <x:c r="G1869" s="604" t="n">
        <x:v>0.88</x:v>
      </x:c>
      <x:c r="H1869" s="604" t="n">
        <x:v>-0.25</x:v>
      </x:c>
      <x:c r="I1869" s="604" t="n">
        <x:v>0.93</x:v>
      </x:c>
      <x:c r="J1869" s="604" t="inlineStr">
        <x:is>
          <x:t xml:space="preserve">0.88/-0.25/0.93</x:t>
        </x:is>
      </x:c>
      <x:c r="K1869" s="604" t="inlineStr">
        <x:is>
          <x:t xml:space="preserve">V4-N</x:t>
        </x:is>
      </x:c>
      <x:c r="L1869" s="604" t="inlineStr">
        <x:is>
          <x:t xml:space="preserve"/>
        </x:is>
      </x:c>
      <x:c r="M1869" s="604" t="n">
        <x:v>0.2620460722300735</x:v>
      </x:c>
      <x:c r="N1869" s="604" t="inlineStr">
        <x:is>
          <x:t xml:space="preserve">V4 Shadow Only；real_money=false</x:t>
        </x:is>
      </x:c>
      <x:c r="O1869" s="604" t="inlineStr">
        <x:is>
          <x:t xml:space="preserve">0-0</x:t>
        </x:is>
      </x:c>
      <x:c r="P1869" s="604" t="inlineStr">
        <x:is>
          <x:t xml:space="preserve">EVALUATED</x:t>
        </x:is>
      </x:c>
      <x:c r="Q1869" s="630" t="inlineStr">
        <x:is>
          <x:t xml:space="preserve"/>
        </x:is>
      </x:c>
      <x:c r="R1869" s="604" t="n"/>
      <x:c r="S1869" s="604" t="n"/>
      <x:c r="T1869" s="604" t="inlineStr">
        <x:is>
          <x:t xml:space="preserve">D:\codex\v3_legacy\outputs\football_odds_trader\raw\titan007\20261009\20261009_085232_titan007_odds_snapshot.csv</x:t>
        </x:is>
      </x:c>
      <x:c r="U1869" s="628" t="inlineStr">
        <x:is>
          <x:t xml:space="preserve"/>
        </x:is>
      </x:c>
      <x:c r="V1869" s="604" t="inlineStr">
        <x:is>
          <x:t xml:space="preserve"/>
        </x:is>
      </x:c>
      <x:c r="W1869" s="604" t="inlineStr">
        <x:is>
          <x:t xml:space="preserve"/>
        </x:is>
      </x:c>
      <x:c r="X1869" s="604" t="inlineStr">
        <x:is>
          <x:t xml:space="preserve">3100381</x:t>
        </x:is>
      </x:c>
      <x:c r="Y1869" s="604" t="inlineStr">
        <x:is>
          <x:t xml:space="preserve">V4</x:t>
        </x:is>
      </x:c>
      <x:c r="Z1869" s="604" t="inlineStr">
        <x:is>
          <x:t xml:space="preserve">prior-2026-10-09-v1</x:t>
        </x:is>
      </x:c>
      <x:c r="AA1869" s="604" t="inlineStr">
        <x:is>
          <x:t xml:space="preserve">N</x:t>
        </x:is>
      </x:c>
      <x:c r="AB1869" s="604" t="n">
        <x:v>0.2620460722300735</x:v>
      </x:c>
      <x:c r="AC1869" s="604" t="n">
        <x:v>0.6089743235112359</x:v>
      </x:c>
      <x:c r="AD1869" s="604" t="n">
        <x:v>-0.5</x:v>
      </x:c>
      <x:c r="AE1869" s="604" t="n"/>
      <x:c r="AF1869" s="604" t="n"/>
      <x:c r="AG1869" s="604" t="n">
        <x:v>0.2738513324598141</x:v>
      </x:c>
      <x:c r="AH1869" s="604" t="n"/>
      <x:c r="AI1869" s="604" t="n"/>
      <x:c r="AJ1869" s="604" t="n">
        <x:v>0.2738513324598141</x:v>
      </x:c>
      <x:c r="AK1869" s="604" t="n"/>
      <x:c r="AL1869" s="604" t="n"/>
      <x:c r="AM1869" s="604" t="n"/>
      <x:c r="AN1869" s="604" t="inlineStr">
        <x:is>
          <x:t xml:space="preserve">EVALUATED</x:t>
        </x:is>
      </x:c>
      <x:c r="AO1869" s="604" t="inlineStr">
        <x:is>
          <x:t xml:space="preserve">LOW_QUALITY_GATE;BUCKET_PRIOR_ONLY;INTENT_INTERPRETATION_ONLY;FFL_OPTIONAL;EXPERT_MARKET</x:t>
        </x:is>
      </x:c>
      <x:c r="AP1869" s="604" t="inlineStr">
        <x:is>
          <x:t xml:space="preserve">f861dc3991ce4df700a7</x:t>
        </x:is>
      </x:c>
      <x:c r="AQ1869" s="604" t="n"/>
      <x:c r="AR1869" s="604" t="n"/>
      <x:c r="AS1869" s="604" t="n">
        <x:v>-0.25</x:v>
      </x:c>
      <x:c r="AT1869" s="604" t="n">
        <x:v>0.25</x:v>
      </x:c>
      <x:c r="AU1869" s="604" t="n">
        <x:v>0.88</x:v>
      </x:c>
      <x:c r="AV1869" s="604" t="n">
        <x:v>0.93</x:v>
      </x:c>
      <x:c r="AW1869" s="604" t="inlineStr">
        <x:is>
          <x:t xml:space="preserve">2026-10-09T09:01:21.127001+08:00</x:t>
        </x:is>
      </x:c>
      <x:c r="AX1869" s="604" t="inlineStr">
        <x:is>
          <x:t xml:space="preserve">Titan007/V4</x:t>
        </x:is>
      </x:c>
      <x:c r="AY1869" s="604" t="inlineStr">
        <x:is>
          <x:t xml:space="preserve">Daily append；市场输入缺失时不生成决策</x:t>
        </x:is>
      </x:c>
    </x:row>
    <x:row r="1870" ht="22" customHeight="1">
      <x:c r="A1870" s="604" t="inlineStr">
        <x:is>
          <x:t xml:space="preserve">2026-10-09</x:t>
        </x:is>
      </x:c>
      <x:c r="B1870" s="604" t="inlineStr">
        <x:is>
          <x:t xml:space="preserve">2026-10-10T00:30:00+08:00</x:t>
        </x:is>
      </x:c>
      <x:c r="C1870" s="604" t="str">
        <x:v>其他系列</x:v>
      </x:c>
      <x:c r="D1870" s="604" t="inlineStr">
        <x:is>
          <x:t xml:space="preserve"/>
        </x:is>
      </x:c>
      <x:c r="E1870" s="604" t="inlineStr">
        <x:is>
          <x:t xml:space="preserve">沙滩足</x:t>
        </x:is>
      </x:c>
      <x:c r="F1870" s="604" t="inlineStr">
        <x:is>
          <x:t xml:space="preserve">巴拉圭沙滩足球队 vs 西班牙沙滩足球队</x:t>
        </x:is>
      </x:c>
      <x:c r="G1870" s="604" t="n"/>
      <x:c r="H1870" s="604" t="n"/>
      <x:c r="I1870" s="604" t="n"/>
      <x:c r="J1870" s="604" t="inlineStr">
        <x:is>
          <x:t xml:space="preserve">//</x:t>
        </x:is>
      </x:c>
      <x:c r="K1870" s="604" t="inlineStr">
        <x:is>
          <x:t xml:space="preserve">V4不可用：市场输入缺失</x:t>
        </x:is>
      </x:c>
      <x:c r="L1870" s="604" t="inlineStr">
        <x:is>
          <x:t xml:space="preserve"/>
        </x:is>
      </x:c>
      <x:c r="M1870" s="604" t="n"/>
      <x:c r="N1870" s="604" t="inlineStr">
        <x:is>
          <x:t xml:space="preserve">V4 Shadow Only；real_money=false</x:t>
        </x:is>
      </x:c>
      <x:c r="O1870" s="604" t="inlineStr">
        <x:is>
          <x:t xml:space="preserve">0-0</x:t>
        </x:is>
      </x:c>
      <x:c r="P1870" s="604" t="inlineStr">
        <x:is>
          <x:t xml:space="preserve">MISSING_DATA</x:t>
        </x:is>
      </x:c>
      <x:c r="Q1870" s="630" t="inlineStr">
        <x:is>
          <x:t xml:space="preserve"/>
        </x:is>
      </x:c>
      <x:c r="R1870" s="604" t="n"/>
      <x:c r="S1870" s="604" t="n"/>
      <x:c r="T1870" s="604" t="inlineStr">
        <x:is>
          <x:t xml:space="preserve">D:\codex\v3_legacy\outputs\football_odds_trader\raw\titan007\20261009\20261009_085232_titan007_odds_snapshot.csv</x:t>
        </x:is>
      </x:c>
      <x:c r="U1870" s="628" t="inlineStr">
        <x:is>
          <x:t xml:space="preserve"/>
        </x:is>
      </x:c>
      <x:c r="V1870" s="604" t="inlineStr">
        <x:is>
          <x:t xml:space="preserve"/>
        </x:is>
      </x:c>
      <x:c r="W1870" s="604" t="inlineStr">
        <x:is>
          <x:t xml:space="preserve"/>
        </x:is>
      </x:c>
      <x:c r="X1870" s="604" t="inlineStr">
        <x:is>
          <x:t xml:space="preserve">3100405</x:t>
        </x:is>
      </x:c>
      <x:c r="Y1870" s="604" t="inlineStr">
        <x:is>
          <x:t xml:space="preserve">V4</x:t>
        </x:is>
      </x:c>
      <x:c r="Z1870" s="604" t="inlineStr">
        <x:is>
          <x:t xml:space="preserve">prior-2026-10-09-v1</x:t>
        </x:is>
      </x:c>
      <x:c r="AA1870" s="604" t="inlineStr">
        <x:is>
          <x:t xml:space="preserve"/>
        </x:is>
      </x:c>
      <x:c r="AB1870" s="604" t="n"/>
      <x:c r="AC1870" s="604" t="n"/>
      <x:c r="AD1870" s="604" t="n"/>
      <x:c r="AE1870" s="604" t="n"/>
      <x:c r="AF1870" s="604" t="n"/>
      <x:c r="AG1870" s="604" t="n"/>
      <x:c r="AH1870" s="604" t="n"/>
      <x:c r="AI1870" s="604" t="n"/>
      <x:c r="AJ1870" s="604" t="n"/>
      <x:c r="AK1870" s="604" t="n"/>
      <x:c r="AL1870" s="604" t="n"/>
      <x:c r="AM1870" s="604" t="n"/>
      <x:c r="AN1870" s="604" t="inlineStr">
        <x:is>
          <x:t xml:space="preserve">MISSING_DATA</x:t>
        </x:is>
      </x:c>
      <x:c r="AO1870" s="604" t="inlineStr">
        <x:is>
          <x:t xml:space="preserve">REQUIRED_MARKET_INPUT_MISSING</x:t>
        </x:is>
      </x:c>
      <x:c r="AP1870" s="604" t="inlineStr">
        <x:is>
          <x:t xml:space="preserve">0828f49b01b0fb1a7490</x:t>
        </x:is>
      </x:c>
      <x:c r="AQ1870" s="604" t="n"/>
      <x:c r="AR1870" s="604" t="n"/>
      <x:c r="AS1870" s="604" t="n"/>
      <x:c r="AT1870" s="604" t="n"/>
      <x:c r="AU1870" s="604" t="n"/>
      <x:c r="AV1870" s="604" t="n"/>
      <x:c r="AW1870" s="604" t="inlineStr">
        <x:is>
          <x:t xml:space="preserve">2026-10-09T09:01:21.127001+08:00</x:t>
        </x:is>
      </x:c>
      <x:c r="AX1870" s="604" t="inlineStr">
        <x:is>
          <x:t xml:space="preserve">Titan007/V4</x:t>
        </x:is>
      </x:c>
      <x:c r="AY1870" s="604" t="inlineStr">
        <x:is>
          <x:t xml:space="preserve">Daily append；市场输入缺失时不生成决策</x:t>
        </x:is>
      </x:c>
    </x:row>
    <x:row r="1871" ht="22" customHeight="1">
      <x:c r="A1871" s="604" t="inlineStr">
        <x:is>
          <x:t xml:space="preserve">2026-10-09</x:t>
        </x:is>
      </x:c>
      <x:c r="B1871" s="604" t="inlineStr">
        <x:is>
          <x:t xml:space="preserve">2026-10-09T21:30:00+08:00</x:t>
        </x:is>
      </x:c>
      <x:c r="C1871" s="604" t="str">
        <x:v>其他系列</x:v>
      </x:c>
      <x:c r="D1871" s="604" t="inlineStr">
        <x:is>
          <x:t xml:space="preserve"/>
        </x:is>
      </x:c>
      <x:c r="E1871" s="604" t="inlineStr">
        <x:is>
          <x:t xml:space="preserve">沙滩足</x:t>
        </x:is>
      </x:c>
      <x:c r="F1871" s="604" t="inlineStr">
        <x:is>
          <x:t xml:space="preserve">巴西沙滩足球队 vs 葡萄牙沙滩足球队</x:t>
        </x:is>
      </x:c>
      <x:c r="G1871" s="604" t="n"/>
      <x:c r="H1871" s="604" t="n"/>
      <x:c r="I1871" s="604" t="n"/>
      <x:c r="J1871" s="604" t="inlineStr">
        <x:is>
          <x:t xml:space="preserve">//</x:t>
        </x:is>
      </x:c>
      <x:c r="K1871" s="604" t="inlineStr">
        <x:is>
          <x:t xml:space="preserve">V4不可用：市场输入缺失</x:t>
        </x:is>
      </x:c>
      <x:c r="L1871" s="604" t="inlineStr">
        <x:is>
          <x:t xml:space="preserve"/>
        </x:is>
      </x:c>
      <x:c r="M1871" s="604" t="n"/>
      <x:c r="N1871" s="604" t="inlineStr">
        <x:is>
          <x:t xml:space="preserve">V4 Shadow Only；real_money=false</x:t>
        </x:is>
      </x:c>
      <x:c r="O1871" s="604" t="inlineStr">
        <x:is>
          <x:t xml:space="preserve">0-0</x:t>
        </x:is>
      </x:c>
      <x:c r="P1871" s="604" t="inlineStr">
        <x:is>
          <x:t xml:space="preserve">MISSING_DATA</x:t>
        </x:is>
      </x:c>
      <x:c r="Q1871" s="630" t="inlineStr">
        <x:is>
          <x:t xml:space="preserve"/>
        </x:is>
      </x:c>
      <x:c r="R1871" s="604" t="n"/>
      <x:c r="S1871" s="604" t="n"/>
      <x:c r="T1871" s="604" t="inlineStr">
        <x:is>
          <x:t xml:space="preserve">D:\codex\v3_legacy\outputs\football_odds_trader\raw\titan007\20261009\20261009_085232_titan007_odds_snapshot.csv</x:t>
        </x:is>
      </x:c>
      <x:c r="U1871" s="628" t="inlineStr">
        <x:is>
          <x:t xml:space="preserve"/>
        </x:is>
      </x:c>
      <x:c r="V1871" s="604" t="inlineStr">
        <x:is>
          <x:t xml:space="preserve"/>
        </x:is>
      </x:c>
      <x:c r="W1871" s="604" t="inlineStr">
        <x:is>
          <x:t xml:space="preserve"/>
        </x:is>
      </x:c>
      <x:c r="X1871" s="604" t="inlineStr">
        <x:is>
          <x:t xml:space="preserve">3100406</x:t>
        </x:is>
      </x:c>
      <x:c r="Y1871" s="604" t="inlineStr">
        <x:is>
          <x:t xml:space="preserve">V4</x:t>
        </x:is>
      </x:c>
      <x:c r="Z1871" s="604" t="inlineStr">
        <x:is>
          <x:t xml:space="preserve">prior-2026-10-09-v1</x:t>
        </x:is>
      </x:c>
      <x:c r="AA1871" s="604" t="inlineStr">
        <x:is>
          <x:t xml:space="preserve"/>
        </x:is>
      </x:c>
      <x:c r="AB1871" s="604" t="n"/>
      <x:c r="AC1871" s="604" t="n"/>
      <x:c r="AD1871" s="604" t="n"/>
      <x:c r="AE1871" s="604" t="n"/>
      <x:c r="AF1871" s="604" t="n"/>
      <x:c r="AG1871" s="604" t="n"/>
      <x:c r="AH1871" s="604" t="n"/>
      <x:c r="AI1871" s="604" t="n"/>
      <x:c r="AJ1871" s="604" t="n"/>
      <x:c r="AK1871" s="604" t="n"/>
      <x:c r="AL1871" s="604" t="n"/>
      <x:c r="AM1871" s="604" t="n"/>
      <x:c r="AN1871" s="604" t="inlineStr">
        <x:is>
          <x:t xml:space="preserve">MISSING_DATA</x:t>
        </x:is>
      </x:c>
      <x:c r="AO1871" s="604" t="inlineStr">
        <x:is>
          <x:t xml:space="preserve">REQUIRED_MARKET_INPUT_MISSING</x:t>
        </x:is>
      </x:c>
      <x:c r="AP1871" s="604" t="inlineStr">
        <x:is>
          <x:t xml:space="preserve">ffc62c87078cdb116c5e</x:t>
        </x:is>
      </x:c>
      <x:c r="AQ1871" s="604" t="n"/>
      <x:c r="AR1871" s="604" t="n"/>
      <x:c r="AS1871" s="604" t="n"/>
      <x:c r="AT1871" s="604" t="n"/>
      <x:c r="AU1871" s="604" t="n"/>
      <x:c r="AV1871" s="604" t="n"/>
      <x:c r="AW1871" s="604" t="inlineStr">
        <x:is>
          <x:t xml:space="preserve">2026-10-09T09:01:21.127001+08:00</x:t>
        </x:is>
      </x:c>
      <x:c r="AX1871" s="604" t="inlineStr">
        <x:is>
          <x:t xml:space="preserve">Titan007/V4</x:t>
        </x:is>
      </x:c>
      <x:c r="AY1871" s="604" t="inlineStr">
        <x:is>
          <x:t xml:space="preserve">Daily append；市场输入缺失时不生成决策</x:t>
        </x:is>
      </x:c>
    </x:row>
    <x:row r="1872" ht="22" customHeight="1">
      <x:c r="A1872" s="604" t="inlineStr">
        <x:is>
          <x:t xml:space="preserve">2026-10-09</x:t>
        </x:is>
      </x:c>
      <x:c r="B1872" s="604" t="inlineStr">
        <x:is>
          <x:t xml:space="preserve">2026-10-10T07:00:00+08:00</x:t>
        </x:is>
      </x:c>
      <x:c r="C1872" s="604" t="str">
        <x:v>北美系列</x:v>
      </x:c>
      <x:c r="D1872" s="604" t="inlineStr">
        <x:is>
          <x:t xml:space="preserve"/>
        </x:is>
      </x:c>
      <x:c r="E1872" s="604" t="inlineStr">
        <x:is>
          <x:t xml:space="preserve">美女超</x:t>
        </x:is>
      </x:c>
      <x:c r="F1872" s="604" t="inlineStr">
        <x:is>
          <x:t xml:space="preserve">运动Jax女足 vs DC电力女足</x:t>
        </x:is>
      </x:c>
      <x:c r="G1872" s="604" t="n">
        <x:v>0.74</x:v>
      </x:c>
      <x:c r="H1872" s="604" t="n">
        <x:v>0.25</x:v>
      </x:c>
      <x:c r="I1872" s="604" t="n">
        <x:v>0.96</x:v>
      </x:c>
      <x:c r="J1872" s="604" t="inlineStr">
        <x:is>
          <x:t xml:space="preserve">0.74/0.25/0.96</x:t>
        </x:is>
      </x:c>
      <x:c r="K1872" s="604" t="inlineStr">
        <x:is>
          <x:t xml:space="preserve">V4-N</x:t>
        </x:is>
      </x:c>
      <x:c r="L1872" s="604" t="inlineStr">
        <x:is>
          <x:t xml:space="preserve"/>
        </x:is>
      </x:c>
      <x:c r="M1872" s="604" t="n">
        <x:v>0.531475643694569</x:v>
      </x:c>
      <x:c r="N1872" s="604" t="inlineStr">
        <x:is>
          <x:t xml:space="preserve">V4 Shadow Only；real_money=false</x:t>
        </x:is>
      </x:c>
      <x:c r="O1872" s="604" t="inlineStr">
        <x:is>
          <x:t xml:space="preserve">0-0</x:t>
        </x:is>
      </x:c>
      <x:c r="P1872" s="604" t="inlineStr">
        <x:is>
          <x:t xml:space="preserve">EVALUATED</x:t>
        </x:is>
      </x:c>
      <x:c r="Q1872" s="630" t="inlineStr">
        <x:is>
          <x:t xml:space="preserve"/>
        </x:is>
      </x:c>
      <x:c r="R1872" s="604" t="n"/>
      <x:c r="S1872" s="604" t="n"/>
      <x:c r="T1872" s="604" t="inlineStr">
        <x:is>
          <x:t xml:space="preserve">D:\codex\v3_legacy\outputs\football_odds_trader\raw\titan007\20261009\20261009_085232_titan007_odds_snapshot.csv</x:t>
        </x:is>
      </x:c>
      <x:c r="U1872" s="628" t="inlineStr">
        <x:is>
          <x:t xml:space="preserve"/>
        </x:is>
      </x:c>
      <x:c r="V1872" s="604" t="inlineStr">
        <x:is>
          <x:t xml:space="preserve"/>
        </x:is>
      </x:c>
      <x:c r="W1872" s="604" t="inlineStr">
        <x:is>
          <x:t xml:space="preserve"/>
        </x:is>
      </x:c>
      <x:c r="X1872" s="604" t="inlineStr">
        <x:is>
          <x:t xml:space="preserve">3100407</x:t>
        </x:is>
      </x:c>
      <x:c r="Y1872" s="604" t="inlineStr">
        <x:is>
          <x:t xml:space="preserve">V4</x:t>
        </x:is>
      </x:c>
      <x:c r="Z1872" s="604" t="inlineStr">
        <x:is>
          <x:t xml:space="preserve">prior-2026-10-09-v1</x:t>
        </x:is>
      </x:c>
      <x:c r="AA1872" s="604" t="inlineStr">
        <x:is>
          <x:t xml:space="preserve">N</x:t>
        </x:is>
      </x:c>
      <x:c r="AB1872" s="604" t="n">
        <x:v>0.531475643694569</x:v>
      </x:c>
      <x:c r="AC1872" s="604" t="n">
        <x:v>0.3452851778094811</x:v>
      </x:c>
      <x:c r="AD1872" s="604" t="n">
        <x:v>0.75</x:v>
      </x:c>
      <x:c r="AE1872" s="604" t="n"/>
      <x:c r="AF1872" s="604" t="n"/>
      <x:c r="AG1872" s="604" t="n">
        <x:v>0.04800679852449996</x:v>
      </x:c>
      <x:c r="AH1872" s="604" t="n"/>
      <x:c r="AI1872" s="604" t="n"/>
      <x:c r="AJ1872" s="604" t="n">
        <x:v>0.04800679852449996</x:v>
      </x:c>
      <x:c r="AK1872" s="604" t="n"/>
      <x:c r="AL1872" s="604" t="n"/>
      <x:c r="AM1872" s="604" t="n"/>
      <x:c r="AN1872" s="604" t="inlineStr">
        <x:is>
          <x:t xml:space="preserve">EVALUATED</x:t>
        </x:is>
      </x:c>
      <x:c r="AO1872" s="604" t="inlineStr">
        <x:is>
          <x:t xml:space="preserve">EDGE_BELOW_UNCERTAINTY_THRESHOLD;BUCKET_PRIOR_ONLY;INTENT_INTERPRETATION_ONLY;FFL_OPTIONAL;EXPERT_MARKET</x:t>
        </x:is>
      </x:c>
      <x:c r="AP1872" s="604" t="inlineStr">
        <x:is>
          <x:t xml:space="preserve">c07dfb2086aa8e155afe</x:t>
        </x:is>
      </x:c>
      <x:c r="AQ1872" s="604" t="n"/>
      <x:c r="AR1872" s="604" t="n"/>
      <x:c r="AS1872" s="604" t="n">
        <x:v>0.25</x:v>
      </x:c>
      <x:c r="AT1872" s="604" t="n">
        <x:v>-0.25</x:v>
      </x:c>
      <x:c r="AU1872" s="604" t="n">
        <x:v>0.74</x:v>
      </x:c>
      <x:c r="AV1872" s="604" t="n">
        <x:v>0.96</x:v>
      </x:c>
      <x:c r="AW1872" s="604" t="inlineStr">
        <x:is>
          <x:t xml:space="preserve">2026-10-09T09:01:21.127001+08:00</x:t>
        </x:is>
      </x:c>
      <x:c r="AX1872" s="604" t="inlineStr">
        <x:is>
          <x:t xml:space="preserve">Titan007/V4</x:t>
        </x:is>
      </x:c>
      <x:c r="AY1872" s="604" t="inlineStr">
        <x:is>
          <x:t xml:space="preserve">Daily append；市场输入缺失时不生成决策</x:t>
        </x:is>
      </x:c>
    </x:row>
    <x:row r="1873" ht="22" customHeight="1">
      <x:c r="A1873" s="604" t="inlineStr">
        <x:is>
          <x:t xml:space="preserve">2026-10-09</x:t>
        </x:is>
      </x:c>
      <x:c r="B1873" s="604" t="inlineStr">
        <x:is>
          <x:t xml:space="preserve">2026-10-10T08:00:00+08:00</x:t>
        </x:is>
      </x:c>
      <x:c r="C1873" s="604" t="str">
        <x:v>其他系列</x:v>
      </x:c>
      <x:c r="D1873" s="604" t="inlineStr">
        <x:is>
          <x:t xml:space="preserve"/>
        </x:is>
      </x:c>
      <x:c r="E1873" s="604" t="inlineStr">
        <x:is>
          <x:t xml:space="preserve">球会友谊</x:t>
        </x:is>
      </x:c>
      <x:c r="F1873" s="604" t="inlineStr">
        <x:is>
          <x:t xml:space="preserve">中央海岸水手 vs 莱卡特老虎</x:t>
        </x:is>
      </x:c>
      <x:c r="G1873" s="604" t="n"/>
      <x:c r="H1873" s="604" t="n"/>
      <x:c r="I1873" s="604" t="n"/>
      <x:c r="J1873" s="604" t="inlineStr">
        <x:is>
          <x:t xml:space="preserve">//</x:t>
        </x:is>
      </x:c>
      <x:c r="K1873" s="604" t="inlineStr">
        <x:is>
          <x:t xml:space="preserve">V4不可用：市场输入缺失</x:t>
        </x:is>
      </x:c>
      <x:c r="L1873" s="604" t="inlineStr">
        <x:is>
          <x:t xml:space="preserve"/>
        </x:is>
      </x:c>
      <x:c r="M1873" s="604" t="n"/>
      <x:c r="N1873" s="604" t="inlineStr">
        <x:is>
          <x:t xml:space="preserve">V4 Shadow Only；real_money=false</x:t>
        </x:is>
      </x:c>
      <x:c r="O1873" s="604" t="inlineStr">
        <x:is>
          <x:t xml:space="preserve">0-0</x:t>
        </x:is>
      </x:c>
      <x:c r="P1873" s="604" t="inlineStr">
        <x:is>
          <x:t xml:space="preserve">MISSING_DATA</x:t>
        </x:is>
      </x:c>
      <x:c r="Q1873" s="630" t="inlineStr">
        <x:is>
          <x:t xml:space="preserve"/>
        </x:is>
      </x:c>
      <x:c r="R1873" s="604" t="n"/>
      <x:c r="S1873" s="604" t="n"/>
      <x:c r="T1873" s="604" t="inlineStr">
        <x:is>
          <x:t xml:space="preserve">D:\codex\v3_legacy\outputs\football_odds_trader\raw\titan007\20261009\20261009_085232_titan007_odds_snapshot.csv</x:t>
        </x:is>
      </x:c>
      <x:c r="U1873" s="628" t="inlineStr">
        <x:is>
          <x:t xml:space="preserve"/>
        </x:is>
      </x:c>
      <x:c r="V1873" s="604" t="inlineStr">
        <x:is>
          <x:t xml:space="preserve"/>
        </x:is>
      </x:c>
      <x:c r="W1873" s="604" t="inlineStr">
        <x:is>
          <x:t xml:space="preserve"/>
        </x:is>
      </x:c>
      <x:c r="X1873" s="604" t="inlineStr">
        <x:is>
          <x:t xml:space="preserve">3100408</x:t>
        </x:is>
      </x:c>
      <x:c r="Y1873" s="604" t="inlineStr">
        <x:is>
          <x:t xml:space="preserve">V4</x:t>
        </x:is>
      </x:c>
      <x:c r="Z1873" s="604" t="inlineStr">
        <x:is>
          <x:t xml:space="preserve">prior-2026-10-09-v1</x:t>
        </x:is>
      </x:c>
      <x:c r="AA1873" s="604" t="inlineStr">
        <x:is>
          <x:t xml:space="preserve"/>
        </x:is>
      </x:c>
      <x:c r="AB1873" s="604" t="n"/>
      <x:c r="AC1873" s="604" t="n"/>
      <x:c r="AD1873" s="604" t="n"/>
      <x:c r="AE1873" s="604" t="n"/>
      <x:c r="AF1873" s="604" t="n"/>
      <x:c r="AG1873" s="604" t="n"/>
      <x:c r="AH1873" s="604" t="n"/>
      <x:c r="AI1873" s="604" t="n"/>
      <x:c r="AJ1873" s="604" t="n"/>
      <x:c r="AK1873" s="604" t="n"/>
      <x:c r="AL1873" s="604" t="n"/>
      <x:c r="AM1873" s="604" t="n"/>
      <x:c r="AN1873" s="604" t="inlineStr">
        <x:is>
          <x:t xml:space="preserve">MISSING_DATA</x:t>
        </x:is>
      </x:c>
      <x:c r="AO1873" s="604" t="inlineStr">
        <x:is>
          <x:t xml:space="preserve">REQUIRED_MARKET_INPUT_MISSING</x:t>
        </x:is>
      </x:c>
      <x:c r="AP1873" s="604" t="inlineStr">
        <x:is>
          <x:t xml:space="preserve">91461de747d9bcc3b21d</x:t>
        </x:is>
      </x:c>
      <x:c r="AQ1873" s="604" t="n"/>
      <x:c r="AR1873" s="604" t="n"/>
      <x:c r="AS1873" s="604" t="n"/>
      <x:c r="AT1873" s="604" t="n"/>
      <x:c r="AU1873" s="604" t="n"/>
      <x:c r="AV1873" s="604" t="n"/>
      <x:c r="AW1873" s="604" t="inlineStr">
        <x:is>
          <x:t xml:space="preserve">2026-10-09T09:01:21.127001+08:00</x:t>
        </x:is>
      </x:c>
      <x:c r="AX1873" s="604" t="inlineStr">
        <x:is>
          <x:t xml:space="preserve">Titan007/V4</x:t>
        </x:is>
      </x:c>
      <x:c r="AY1873" s="604" t="inlineStr">
        <x:is>
          <x:t xml:space="preserve">Daily append；市场输入缺失时不生成决策</x:t>
        </x:is>
      </x:c>
    </x:row>
    <x:row r="1874" ht="22" customHeight="1">
      <x:c r="A1874" s="604" t="inlineStr">
        <x:is>
          <x:t xml:space="preserve">2026-10-09</x:t>
        </x:is>
      </x:c>
      <x:c r="B1874" s="604" t="inlineStr">
        <x:is>
          <x:t xml:space="preserve">2026-10-10T02:30:00+08:00</x:t>
        </x:is>
      </x:c>
      <x:c r="C1874" s="604" t="str">
        <x:v>欧洲非五大系列</x:v>
      </x:c>
      <x:c r="D1874" s="604" t="inlineStr">
        <x:is>
          <x:t xml:space="preserve"/>
        </x:is>
      </x:c>
      <x:c r="E1874" s="604" t="inlineStr">
        <x:is>
          <x:t xml:space="preserve">爱尔高联</x:t>
        </x:is>
      </x:c>
      <x:c r="F1874" s="604" t="inlineStr">
        <x:is>
          <x:t xml:space="preserve">蒙彼利埃足球俱乐部 vs 托尔卡流浪</x:t>
        </x:is>
      </x:c>
      <x:c r="G1874" s="604" t="n">
        <x:v>0.78</x:v>
      </x:c>
      <x:c r="H1874" s="604" t="n">
        <x:v>0</x:v>
      </x:c>
      <x:c r="I1874" s="604" t="n">
        <x:v>1.03</x:v>
      </x:c>
      <x:c r="J1874" s="604" t="inlineStr">
        <x:is>
          <x:t xml:space="preserve">0.78/0.0/1.03</x:t>
        </x:is>
      </x:c>
      <x:c r="K1874" s="604" t="inlineStr">
        <x:is>
          <x:t xml:space="preserve">V4-N</x:t>
        </x:is>
      </x:c>
      <x:c r="L1874" s="604" t="inlineStr">
        <x:is>
          <x:t xml:space="preserve"/>
        </x:is>
      </x:c>
      <x:c r="M1874" s="604" t="n"/>
      <x:c r="N1874" s="604" t="inlineStr">
        <x:is>
          <x:t xml:space="preserve">V4 Shadow Only；real_money=false</x:t>
        </x:is>
      </x:c>
      <x:c r="O1874" s="604" t="inlineStr">
        <x:is>
          <x:t xml:space="preserve">0-0</x:t>
        </x:is>
      </x:c>
      <x:c r="P1874" s="604" t="inlineStr">
        <x:is>
          <x:t xml:space="preserve">NEUTRAL</x:t>
        </x:is>
      </x:c>
      <x:c r="Q1874" s="630" t="inlineStr">
        <x:is>
          <x:t xml:space="preserve"/>
        </x:is>
      </x:c>
      <x:c r="R1874" s="604" t="n"/>
      <x:c r="S1874" s="604" t="n"/>
      <x:c r="T1874" s="604" t="inlineStr">
        <x:is>
          <x:t xml:space="preserve">D:\codex\v3_legacy\outputs\football_odds_trader\raw\titan007\20261009\20261009_085232_titan007_odds_snapshot.csv</x:t>
        </x:is>
      </x:c>
      <x:c r="U1874" s="628" t="inlineStr">
        <x:is>
          <x:t xml:space="preserve"/>
        </x:is>
      </x:c>
      <x:c r="V1874" s="604" t="inlineStr">
        <x:is>
          <x:t xml:space="preserve"/>
        </x:is>
      </x:c>
      <x:c r="W1874" s="604" t="inlineStr">
        <x:is>
          <x:t xml:space="preserve"/>
        </x:is>
      </x:c>
      <x:c r="X1874" s="604" t="inlineStr">
        <x:is>
          <x:t xml:space="preserve">3100414</x:t>
        </x:is>
      </x:c>
      <x:c r="Y1874" s="604" t="inlineStr">
        <x:is>
          <x:t xml:space="preserve">V4</x:t>
        </x:is>
      </x:c>
      <x:c r="Z1874" s="604" t="inlineStr">
        <x:is>
          <x:t xml:space="preserve">prior-2026-10-09-v1</x:t>
        </x:is>
      </x:c>
      <x:c r="AA1874" s="604" t="inlineStr">
        <x:is>
          <x:t xml:space="preserve">N</x:t>
        </x:is>
      </x:c>
      <x:c r="AB1874" s="604" t="n"/>
      <x:c r="AC1874" s="604" t="n"/>
      <x:c r="AD1874" s="604" t="n"/>
      <x:c r="AE1874" s="604" t="n"/>
      <x:c r="AF1874" s="604" t="n"/>
      <x:c r="AG1874" s="604" t="n"/>
      <x:c r="AH1874" s="604" t="n"/>
      <x:c r="AI1874" s="604" t="n"/>
      <x:c r="AJ1874" s="604" t="n"/>
      <x:c r="AK1874" s="604" t="n"/>
      <x:c r="AL1874" s="604" t="n"/>
      <x:c r="AM1874" s="604" t="n"/>
      <x:c r="AN1874" s="604" t="inlineStr">
        <x:is>
          <x:t xml:space="preserve">NEUTRAL</x:t>
        </x:is>
      </x:c>
      <x:c r="AO1874" s="604" t="inlineStr">
        <x:is>
          <x:t xml:space="preserve">PK_NO_GIVING_RECEIVING_IDENTITY</x:t>
        </x:is>
      </x:c>
      <x:c r="AP1874" s="604" t="inlineStr">
        <x:is>
          <x:t xml:space="preserve">0368cda3ea6d4bcb8e42</x:t>
        </x:is>
      </x:c>
      <x:c r="AQ1874" s="604" t="n"/>
      <x:c r="AR1874" s="604" t="n"/>
      <x:c r="AS1874" s="604" t="n"/>
      <x:c r="AT1874" s="604" t="n"/>
      <x:c r="AU1874" s="604" t="n"/>
      <x:c r="AV1874" s="604" t="n"/>
      <x:c r="AW1874" s="604" t="inlineStr">
        <x:is>
          <x:t xml:space="preserve">2026-10-09T09:01:21.127001+08:00</x:t>
        </x:is>
      </x:c>
      <x:c r="AX1874" s="604" t="inlineStr">
        <x:is>
          <x:t xml:space="preserve">Titan007/V4</x:t>
        </x:is>
      </x:c>
      <x:c r="AY1874" s="604" t="inlineStr">
        <x:is>
          <x:t xml:space="preserve">Daily append；市场输入缺失时不生成决策</x:t>
        </x:is>
      </x:c>
    </x:row>
    <x:row r="1875" ht="22" customHeight="1">
      <x:c r="A1875" s="604" t="inlineStr">
        <x:is>
          <x:t xml:space="preserve">2026-10-09</x:t>
        </x:is>
      </x:c>
      <x:c r="B1875" s="604" t="inlineStr">
        <x:is>
          <x:t xml:space="preserve">2026-10-10T09:15:00+08:00</x:t>
        </x:is>
      </x:c>
      <x:c r="C1875" s="604" t="str">
        <x:v>北美系列</x:v>
      </x:c>
      <x:c r="D1875" s="604" t="inlineStr">
        <x:is>
          <x:t xml:space="preserve"/>
        </x:is>
      </x:c>
      <x:c r="E1875" s="604" t="inlineStr">
        <x:is>
          <x:t xml:space="preserve">巴马全联</x:t>
        </x:is>
      </x:c>
      <x:c r="F1875" s="604" t="inlineStr">
        <x:is>
          <x:t xml:space="preserve">巴拿马城FC vs CD阿拉比后备队</x:t>
        </x:is>
      </x:c>
      <x:c r="G1875" s="604" t="n">
        <x:v>0.83</x:v>
      </x:c>
      <x:c r="H1875" s="604" t="n">
        <x:v>0.25</x:v>
      </x:c>
      <x:c r="I1875" s="604" t="n">
        <x:v>0.98</x:v>
      </x:c>
      <x:c r="J1875" s="604" t="inlineStr">
        <x:is>
          <x:t xml:space="preserve">0.83/0.25/0.98</x:t>
        </x:is>
      </x:c>
      <x:c r="K1875" s="604" t="inlineStr">
        <x:is>
          <x:t xml:space="preserve">V4-N</x:t>
        </x:is>
      </x:c>
      <x:c r="L1875" s="604" t="inlineStr">
        <x:is>
          <x:t xml:space="preserve"/>
        </x:is>
      </x:c>
      <x:c r="M1875" s="604" t="n">
        <x:v>0.4921886567072497</x:v>
      </x:c>
      <x:c r="N1875" s="604" t="inlineStr">
        <x:is>
          <x:t xml:space="preserve">V4 Shadow Only；real_money=false</x:t>
        </x:is>
      </x:c>
      <x:c r="O1875" s="604" t="inlineStr">
        <x:is>
          <x:t xml:space="preserve">0-0</x:t>
        </x:is>
      </x:c>
      <x:c r="P1875" s="604" t="inlineStr">
        <x:is>
          <x:t xml:space="preserve">EVALUATED</x:t>
        </x:is>
      </x:c>
      <x:c r="Q1875" s="630" t="inlineStr">
        <x:is>
          <x:t xml:space="preserve"/>
        </x:is>
      </x:c>
      <x:c r="R1875" s="604" t="n"/>
      <x:c r="S1875" s="604" t="n"/>
      <x:c r="T1875" s="604" t="inlineStr">
        <x:is>
          <x:t xml:space="preserve">D:\codex\v3_legacy\outputs\football_odds_trader\raw\titan007\20261009\20261009_085232_titan007_odds_snapshot.csv</x:t>
        </x:is>
      </x:c>
      <x:c r="U1875" s="628" t="inlineStr">
        <x:is>
          <x:t xml:space="preserve"/>
        </x:is>
      </x:c>
      <x:c r="V1875" s="604" t="inlineStr">
        <x:is>
          <x:t xml:space="preserve"/>
        </x:is>
      </x:c>
      <x:c r="W1875" s="604" t="inlineStr">
        <x:is>
          <x:t xml:space="preserve"/>
        </x:is>
      </x:c>
      <x:c r="X1875" s="604" t="inlineStr">
        <x:is>
          <x:t xml:space="preserve">3100416</x:t>
        </x:is>
      </x:c>
      <x:c r="Y1875" s="604" t="inlineStr">
        <x:is>
          <x:t xml:space="preserve">V4</x:t>
        </x:is>
      </x:c>
      <x:c r="Z1875" s="604" t="inlineStr">
        <x:is>
          <x:t xml:space="preserve">prior-2026-10-09-v1</x:t>
        </x:is>
      </x:c>
      <x:c r="AA1875" s="604" t="inlineStr">
        <x:is>
          <x:t xml:space="preserve">N</x:t>
        </x:is>
      </x:c>
      <x:c r="AB1875" s="604" t="n">
        <x:v>0.4921886567072497</x:v>
      </x:c>
      <x:c r="AC1875" s="604" t="n">
        <x:v>0.3808533129600675</x:v>
      </x:c>
      <x:c r="AD1875" s="604" t="n">
        <x:v>0.5</x:v>
      </x:c>
      <x:c r="AE1875" s="604" t="n"/>
      <x:c r="AF1875" s="604" t="n"/>
      <x:c r="AG1875" s="604" t="n">
        <x:v>0.02766327210694969</x:v>
      </x:c>
      <x:c r="AH1875" s="604" t="n"/>
      <x:c r="AI1875" s="604" t="n"/>
      <x:c r="AJ1875" s="604" t="n">
        <x:v>0.02766327210694969</x:v>
      </x:c>
      <x:c r="AK1875" s="604" t="n"/>
      <x:c r="AL1875" s="604" t="n"/>
      <x:c r="AM1875" s="604" t="n"/>
      <x:c r="AN1875" s="604" t="inlineStr">
        <x:is>
          <x:t xml:space="preserve">EVALUATED</x:t>
        </x:is>
      </x:c>
      <x:c r="AO1875" s="604" t="inlineStr">
        <x:is>
          <x:t xml:space="preserve">EDGE_BELOW_UNCERTAINTY_THRESHOLD;BUCKET_PRIOR_ONLY;INTENT_INTERPRETATION_ONLY;FFL_OPTIONAL;EXPERT_MARKET</x:t>
        </x:is>
      </x:c>
      <x:c r="AP1875" s="604" t="inlineStr">
        <x:is>
          <x:t xml:space="preserve">4aeb5fead945500a8aee</x:t>
        </x:is>
      </x:c>
      <x:c r="AQ1875" s="604" t="n"/>
      <x:c r="AR1875" s="604" t="n"/>
      <x:c r="AS1875" s="604" t="n">
        <x:v>0.25</x:v>
      </x:c>
      <x:c r="AT1875" s="604" t="n">
        <x:v>-0.25</x:v>
      </x:c>
      <x:c r="AU1875" s="604" t="n">
        <x:v>0.83</x:v>
      </x:c>
      <x:c r="AV1875" s="604" t="n">
        <x:v>0.98</x:v>
      </x:c>
      <x:c r="AW1875" s="604" t="inlineStr">
        <x:is>
          <x:t xml:space="preserve">2026-10-09T09:01:21.127001+08:00</x:t>
        </x:is>
      </x:c>
      <x:c r="AX1875" s="604" t="inlineStr">
        <x:is>
          <x:t xml:space="preserve">Titan007/V4</x:t>
        </x:is>
      </x:c>
      <x:c r="AY1875" s="604" t="inlineStr">
        <x:is>
          <x:t xml:space="preserve">Daily append；市场输入缺失时不生成决策</x:t>
        </x:is>
      </x:c>
    </x:row>
  </x:sheetData>
  <x:mergeCells>
    <x:mergeCell ref="A2:AY2"/>
    <x:mergeCell ref="A1:AY1"/>
  </x:mergeCells>
  <x:pageMargins left="0.7" right="0.7" top="0.75" bottom="0.75" header="0.3" footer="0.3"/>
  <x:tableParts count="1">
    <x:tablePart xmlns:r="http://schemas.openxmlformats.org/officeDocument/2006/relationships" r:id="R79febacd306944d8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customWidth="1"/>
    <x:col min="2" max="2" width="16" customWidth="1"/>
    <x:col min="3" max="3" width="24" customWidth="1"/>
    <x:col min="4" max="4" width="29" customWidth="1"/>
    <x:col min="5" max="5" width="48" customWidth="1"/>
    <x:col min="6" max="6" width="12" customWidth="1"/>
    <x:col min="7" max="7" width="12" customWidth="1"/>
    <x:col min="8" max="8" width="12" customWidth="1"/>
    <x:col min="9" max="9" width="12" customWidth="1"/>
    <x:col min="10" max="10" width="90" customWidth="1"/>
  </x:cols>
  <x:sheetData>
    <x:row r="1" ht="28" customHeight="1">
      <x:c r="A1" s="529" t="inlineStr">
        <x:is>
          <x:t xml:space="preserve">V4更新日志</x:t>
        </x:is>
      </x:c>
    </x:row>
    <x:row r="2">
      <x:c r="A2" s="53" t="n"/>
      <x:c r="B2" s="53" t="n"/>
      <x:c r="C2" s="53" t="n"/>
      <x:c r="D2" s="53" t="n"/>
      <x:c r="E2" s="53" t="n"/>
      <x:c r="F2" s="53" t="n"/>
      <x:c r="G2" s="53" t="n"/>
      <x:c r="H2" s="53" t="n"/>
      <x:c r="I2" s="53" t="n"/>
      <x:c r="J2" s="53" t="n"/>
    </x:row>
    <x:row r="3" ht="26" customHeight="1">
      <x:c r="A3" s="538" t="inlineStr">
        <x:is>
          <x:t xml:space="preserve">序号</x:t>
        </x:is>
      </x:c>
      <x:c r="B3" s="538" t="inlineStr">
        <x:is>
          <x:t xml:space="preserve">更新时间</x:t>
        </x:is>
      </x:c>
      <x:c r="C3" s="538" t="inlineStr">
        <x:is>
          <x:t xml:space="preserve">覆盖日期</x:t>
        </x:is>
      </x:c>
      <x:c r="D3" s="538" t="inlineStr">
        <x:is>
          <x:t xml:space="preserve">模型</x:t>
        </x:is>
      </x:c>
      <x:c r="E3" s="538" t="inlineStr">
        <x:is>
          <x:t xml:space="preserve">数据源</x:t>
        </x:is>
      </x:c>
      <x:c r="F3" s="538" t="inlineStr">
        <x:is>
          <x:t xml:space="preserve">候选场次</x:t>
        </x:is>
      </x:c>
      <x:c r="G3" s="538" t="inlineStr">
        <x:is>
          <x:t xml:space="preserve">已结算</x:t>
        </x:is>
      </x:c>
      <x:c r="H3" s="538" t="inlineStr">
        <x:is>
          <x:t xml:space="preserve">未结算</x:t>
        </x:is>
      </x:c>
      <x:c r="I3" s="538" t="inlineStr">
        <x:is>
          <x:t xml:space="preserve">盈亏(u)</x:t>
        </x:is>
      </x:c>
      <x:c r="J3" s="538" t="inlineStr">
        <x:is>
          <x:t xml:space="preserve">说明</x:t>
        </x:is>
      </x:c>
    </x:row>
    <x:row r="4" ht="72" customHeight="1">
      <x:c r="A4" s="595" t="n">
        <x:v>1</x:v>
      </x:c>
      <x:c r="B4" s="595" t="inlineStr">
        <x:is>
          <x:t xml:space="preserve">2026-09-15</x:t>
        </x:is>
      </x:c>
      <x:c r="C4" s="595" t="inlineStr">
        <x:is>
          <x:t xml:space="preserve">2026-09-13至2026-09-14</x:t>
        </x:is>
      </x:c>
      <x:c r="D4" s="595" t="inlineStr">
        <x:is>
          <x:t xml:space="preserve">v4-market-dirichlet-20260913</x:t>
        </x:is>
      </x:c>
      <x:c r="E4" s="595" t="inlineStr">
        <x:is>
          <x:t xml:space="preserve">https://simondongxiao.github.io/odds/v4/</x:t>
        </x:is>
      </x:c>
      <x:c r="F4" s="595" t="n">
        <x:v>52</x:v>
      </x:c>
      <x:c r="G4" s="595" t="n">
        <x:v>52</x:v>
      </x:c>
      <x:c r="H4" s="595" t="n">
        <x:v>0</x:v>
      </x:c>
      <x:c r="I4" s="599" t="n">
        <x:v>4.32</x:v>
      </x:c>
      <x:c r="J4" s="595" t="inlineStr">
        <x:is>
          <x:t xml:space="preserve">按GitHub最新版V4重建；仅A/B/C纳入候选。9/13为33场，9/14为19场；终场比分使用官方/赛事结果页交叉核对，亚盘按selected_handicap_signed重新结算。</x:t>
        </x:is>
      </x:c>
    </x:row>
    <x:row r="5" ht="72" customHeight="1">
      <x:c r="A5" s="595" t="n">
        <x:v>2</x:v>
      </x:c>
      <x:c r="B5" s="595" t="inlineStr">
        <x:is>
          <x:t xml:space="preserve">2026-09-16</x:t>
        </x:is>
      </x:c>
      <x:c r="C5" s="595" t="inlineStr">
        <x:is>
          <x:t xml:space="preserve">2026-09-15</x:t>
        </x:is>
      </x:c>
      <x:c r="D5" s="595" t="inlineStr">
        <x:is>
          <x:t xml:space="preserve">v4-market-dirichlet-20260913</x:t>
        </x:is>
      </x:c>
      <x:c r="E5" s="595" t="inlineStr">
        <x:is>
          <x:t xml:space="preserve">https://simondongxiao.github.io/odds/v4/</x:t>
        </x:is>
      </x:c>
      <x:c r="F5" s="595" t="n">
        <x:v>32</x:v>
      </x:c>
      <x:c r="G5" s="595" t="n">
        <x:v>32</x:v>
      </x:c>
      <x:c r="H5" s="595" t="n">
        <x:v>0</x:v>
      </x:c>
      <x:c r="I5" s="599" t="n">
        <x:v>0.41</x:v>
      </x:c>
      <x:c r="J5" s="595" t="inlineStr">
        <x:is>
          <x:t xml:space="preserve">新增A/B/C候选32场，含2场FROZEN_PREMATCH_DECISION。时间窗9/15 12:00至9/16 12:00。比分逐场独立核验。红15、半红0、走1、半黑3、黑13。历史52场保留。</x:t>
        </x:is>
      </x:c>
    </x:row>
    <x:row r="6" ht="72" customHeight="1">
      <x:c r="A6" s="595" t="n">
        <x:v>3</x:v>
      </x:c>
      <x:c r="B6" s="595" t="inlineStr">
        <x:is>
          <x:t xml:space="preserve">2026-09-17</x:t>
        </x:is>
      </x:c>
      <x:c r="C6" s="595" t="inlineStr">
        <x:is>
          <x:t xml:space="preserve">2026-09-16</x:t>
        </x:is>
      </x:c>
      <x:c r="D6" s="595" t="inlineStr">
        <x:is>
          <x:t xml:space="preserve">v4-market-dirichlet-20260913</x:t>
        </x:is>
      </x:c>
      <x:c r="E6" s="595" t="inlineStr">
        <x:is>
          <x:t xml:space="preserve">https://simondongxiao.github.io/odds/v4/</x:t>
        </x:is>
      </x:c>
      <x:c r="F6" s="595" t="n">
        <x:v>31</x:v>
      </x:c>
      <x:c r="G6" s="595" t="n">
        <x:v>29</x:v>
      </x:c>
      <x:c r="H6" s="595" t="n">
        <x:v>2</x:v>
      </x:c>
      <x:c r="I6" s="599" t="n">
        <x:v>-2.285</x:v>
      </x:c>
      <x:c r="J6" s="595" t="inlineStr">
        <x:is>
          <x:t xml:space="preserve">新增9/16 A/B/C候选31场，时间窗9/16 12:00至9/17 12:00；已结算29场，待结算2场。比分来源逐场记录于赛事明细T列；均注1u，红黑及ROI按真实水位重算。历史记录保留。</x:t>
        </x:is>
      </x:c>
    </x:row>
    <x:row r="7" ht="72" customHeight="1">
      <x:c r="A7" s="595" t="n">
        <x:v>4</x:v>
      </x:c>
      <x:c r="B7" s="595" t="inlineStr">
        <x:is>
          <x:t xml:space="preserve">2026-09-17</x:t>
        </x:is>
      </x:c>
      <x:c r="C7" s="595" t="inlineStr">
        <x:is>
          <x:t xml:space="preserve">2026-09-16</x:t>
        </x:is>
      </x:c>
      <x:c r="D7" s="595" t="inlineStr">
        <x:is>
          <x:t xml:space="preserve">v4-market-dirichlet-20260913</x:t>
        </x:is>
      </x:c>
      <x:c r="E7" s="595" t="inlineStr">
        <x:is>
          <x:t xml:space="preserve">https://simondongxiao.github.io/odds/v4/</x:t>
        </x:is>
      </x:c>
      <x:c r="F7" s="595" t="n">
        <x:v>31</x:v>
      </x:c>
      <x:c r="G7" s="595" t="n">
        <x:v>30</x:v>
      </x:c>
      <x:c r="H7" s="595" t="n">
        <x:v>1</x:v>
      </x:c>
      <x:c r="I7" s="599" t="n">
        <x:v>-1.77</x:v>
      </x:c>
      <x:c r="J7" s="595" t="inlineStr">
        <x:is>
          <x:t xml:space="preserve">新增9/16 A/B/C候选31场，时间窗9/16 12:00至9/17 12:00；已结算30场，待结算1场。比分来源逐场记录于赛事明细T列；均注1u，红黑及ROI按真实水位重算。历史记录保留。</x:t>
        </x:is>
      </x:c>
    </x:row>
    <x:row r="8" ht="72" customHeight="1">
      <x:c r="A8" s="595" t="n">
        <x:v>5</x:v>
      </x:c>
      <x:c r="B8" s="595" t="inlineStr">
        <x:is>
          <x:t xml:space="preserve">2026-09-21 10:51</x:t>
        </x:is>
      </x:c>
      <x:c r="C8" s="595" t="inlineStr">
        <x:is>
          <x:t xml:space="preserve">2026-09-13</x:t>
        </x:is>
      </x:c>
      <x:c r="D8" s="595" t="inlineStr">
        <x:is>
          <x:t xml:space="preserve">v4-market-dirichlet-20260913</x:t>
        </x:is>
      </x:c>
      <x:c r="E8" s="595" t="inlineStr">
        <x:is>
          <x:t xml:space="preserve">https://simondongxiao.github.io/odds/v4/</x:t>
        </x:is>
      </x:c>
      <x:c r="F8" s="595" t="n">
        <x:v>33</x:v>
      </x:c>
      <x:c r="G8" s="595" t="n">
        <x:v>33</x:v>
      </x:c>
      <x:c r="H8" s="595" t="n">
        <x:v>0</x:v>
      </x:c>
      <x:c r="I8" s="599" t="n">
        <x:v>-0.6849999999999998</x:v>
      </x:c>
      <x:c r="J8" s="595" t="inlineStr">
        <x:is>
          <x:t xml:space="preserve">按北京时间2026-09-13 12:00至次日12:00统计；A/B/C入选33场，已核实结算33场，待核0场；均注1u，实际比分来源记录于赛事明细T列，红黑按即时盘口与真实水位重算。</x:t>
        </x:is>
      </x:c>
    </x:row>
    <x:row r="9" ht="72" customHeight="1">
      <x:c r="A9" s="595" t="n">
        <x:v>6</x:v>
      </x:c>
      <x:c r="B9" s="595" t="inlineStr">
        <x:is>
          <x:t xml:space="preserve">2026-09-21 10:51</x:t>
        </x:is>
      </x:c>
      <x:c r="C9" s="595" t="inlineStr">
        <x:is>
          <x:t xml:space="preserve">2026-09-14</x:t>
        </x:is>
      </x:c>
      <x:c r="D9" s="595" t="inlineStr">
        <x:is>
          <x:t xml:space="preserve">v4-market-dirichlet-20260913</x:t>
        </x:is>
      </x:c>
      <x:c r="E9" s="595" t="inlineStr">
        <x:is>
          <x:t xml:space="preserve">https://simondongxiao.github.io/odds/v4/</x:t>
        </x:is>
      </x:c>
      <x:c r="F9" s="595" t="n">
        <x:v>19</x:v>
      </x:c>
      <x:c r="G9" s="595" t="n">
        <x:v>19</x:v>
      </x:c>
      <x:c r="H9" s="595" t="n">
        <x:v>0</x:v>
      </x:c>
      <x:c r="I9" s="599" t="n">
        <x:v>5.005000000000001</x:v>
      </x:c>
      <x:c r="J9" s="595" t="inlineStr">
        <x:is>
          <x:t xml:space="preserve">按北京时间2026-09-14 12:00至次日12:00统计；A/B/C入选19场，已核实结算19场，待核0场；均注1u，实际比分来源记录于赛事明细T列，红黑按即时盘口与真实水位重算。</x:t>
        </x:is>
      </x:c>
    </x:row>
    <x:row r="10" ht="72" customHeight="1">
      <x:c r="A10" s="595" t="n">
        <x:v>7</x:v>
      </x:c>
      <x:c r="B10" s="595" t="inlineStr">
        <x:is>
          <x:t xml:space="preserve">2026-09-21 10:51</x:t>
        </x:is>
      </x:c>
      <x:c r="C10" s="595" t="inlineStr">
        <x:is>
          <x:t xml:space="preserve">2026-09-15</x:t>
        </x:is>
      </x:c>
      <x:c r="D10" s="595" t="inlineStr">
        <x:is>
          <x:t xml:space="preserve">v4-market-dirichlet-20260913</x:t>
        </x:is>
      </x:c>
      <x:c r="E10" s="595" t="inlineStr">
        <x:is>
          <x:t xml:space="preserve">https://simondongxiao.github.io/odds/v4/</x:t>
        </x:is>
      </x:c>
      <x:c r="F10" s="595" t="n">
        <x:v>32</x:v>
      </x:c>
      <x:c r="G10" s="595" t="n">
        <x:v>32</x:v>
      </x:c>
      <x:c r="H10" s="595" t="n">
        <x:v>0</x:v>
      </x:c>
      <x:c r="I10" s="599" t="n">
        <x:v>0.4100000000000004</x:v>
      </x:c>
      <x:c r="J10" s="595" t="inlineStr">
        <x:is>
          <x:t xml:space="preserve">按北京时间2026-09-15 12:00至次日12:00统计；A/B/C入选32场，已核实结算32场，待核0场；均注1u，实际比分来源记录于赛事明细T列，红黑按即时盘口与真实水位重算。</x:t>
        </x:is>
      </x:c>
    </x:row>
    <x:row r="11" ht="72" customHeight="1">
      <x:c r="A11" s="595" t="n">
        <x:v>8</x:v>
      </x:c>
      <x:c r="B11" s="595" t="inlineStr">
        <x:is>
          <x:t xml:space="preserve">2026-09-21 10:51</x:t>
        </x:is>
      </x:c>
      <x:c r="C11" s="595" t="inlineStr">
        <x:is>
          <x:t xml:space="preserve">2026-09-16</x:t>
        </x:is>
      </x:c>
      <x:c r="D11" s="595" t="inlineStr">
        <x:is>
          <x:t xml:space="preserve">v4-market-dirichlet-20260913</x:t>
        </x:is>
      </x:c>
      <x:c r="E11" s="595" t="inlineStr">
        <x:is>
          <x:t xml:space="preserve">https://simondongxiao.github.io/odds/v4/</x:t>
        </x:is>
      </x:c>
      <x:c r="F11" s="595" t="n">
        <x:v>31</x:v>
      </x:c>
      <x:c r="G11" s="595" t="n">
        <x:v>30</x:v>
      </x:c>
      <x:c r="H11" s="595" t="n">
        <x:v>1</x:v>
      </x:c>
      <x:c r="I11" s="599" t="n">
        <x:v>-1.77</x:v>
      </x:c>
      <x:c r="J11" s="595" t="inlineStr">
        <x:is>
          <x:t xml:space="preserve">按北京时间2026-09-16 12:00至次日12:00统计；A/B/C入选31场，已核实结算30场，待核1场；均注1u，实际比分来源记录于赛事明细T列，红黑按即时盘口与真实水位重算。</x:t>
        </x:is>
      </x:c>
    </x:row>
    <x:row r="12" ht="72" customHeight="1">
      <x:c r="A12" s="595" t="n">
        <x:v>9</x:v>
      </x:c>
      <x:c r="B12" s="595" t="inlineStr">
        <x:is>
          <x:t xml:space="preserve">2026-09-21 10:51</x:t>
        </x:is>
      </x:c>
      <x:c r="C12" s="595" t="inlineStr">
        <x:is>
          <x:t xml:space="preserve">2026-09-17</x:t>
        </x:is>
      </x:c>
      <x:c r="D12" s="595" t="inlineStr">
        <x:is>
          <x:t xml:space="preserve">v4-market-dirichlet-20260913</x:t>
        </x:is>
      </x:c>
      <x:c r="E12" s="595" t="inlineStr">
        <x:is>
          <x:t xml:space="preserve">https://simondongxiao.github.io/odds/v4/</x:t>
        </x:is>
      </x:c>
      <x:c r="F12" s="595" t="n">
        <x:v>19</x:v>
      </x:c>
      <x:c r="G12" s="595" t="n">
        <x:v>18</x:v>
      </x:c>
      <x:c r="H12" s="595" t="n">
        <x:v>1</x:v>
      </x:c>
      <x:c r="I12" s="599" t="n">
        <x:v>-0.3799999999999998</x:v>
      </x:c>
      <x:c r="J12" s="595" t="inlineStr">
        <x:is>
          <x:t xml:space="preserve">按北京时间2026-09-17 12:00至次日12:00统计；A/B/C入选19场，已核实结算18场，待核1场；均注1u，实际比分来源记录于赛事明细T列，红黑按即时盘口与真实水位重算。</x:t>
        </x:is>
      </x:c>
    </x:row>
    <x:row r="13" ht="72" customHeight="1">
      <x:c r="A13" s="595" t="n">
        <x:v>10</x:v>
      </x:c>
      <x:c r="B13" s="595" t="inlineStr">
        <x:is>
          <x:t xml:space="preserve">2026-09-21 11:30</x:t>
        </x:is>
      </x:c>
      <x:c r="C13" s="595" t="inlineStr">
        <x:is>
          <x:t xml:space="preserve">2026-09-13</x:t>
        </x:is>
      </x:c>
      <x:c r="D13" s="595" t="inlineStr">
        <x:is>
          <x:t xml:space="preserve">v4-market-dirichlet-20260913</x:t>
        </x:is>
      </x:c>
      <x:c r="E13" s="595" t="inlineStr">
        <x:is>
          <x:t xml:space="preserve">https://simondongxiao.github.io/odds/v4/</x:t>
        </x:is>
      </x:c>
      <x:c r="F13" s="595" t="n">
        <x:v>33</x:v>
      </x:c>
      <x:c r="G13" s="595" t="n">
        <x:v>33</x:v>
      </x:c>
      <x:c r="H13" s="595" t="n">
        <x:v>0</x:v>
      </x:c>
      <x:c r="I13" s="599" t="n">
        <x:v>-0.6849999999999998</x:v>
      </x:c>
      <x:c r="J13" s="595" t="inlineStr">
        <x:is>
          <x:t xml:space="preserve">全表结算复核：按北京时间2026-09-13 12:00至次日12:00统计；A/B/C入选33场，已结算33场，待结算0场。修正投注方盘口符号映射后按即时亚盘和真实水位重算。</x:t>
        </x:is>
      </x:c>
    </x:row>
    <x:row r="14" ht="72" customHeight="1">
      <x:c r="A14" s="595" t="n">
        <x:v>11</x:v>
      </x:c>
      <x:c r="B14" s="595" t="inlineStr">
        <x:is>
          <x:t xml:space="preserve">2026-09-21 11:30</x:t>
        </x:is>
      </x:c>
      <x:c r="C14" s="595" t="inlineStr">
        <x:is>
          <x:t xml:space="preserve">2026-09-14</x:t>
        </x:is>
      </x:c>
      <x:c r="D14" s="595" t="inlineStr">
        <x:is>
          <x:t xml:space="preserve">v4-market-dirichlet-20260913</x:t>
        </x:is>
      </x:c>
      <x:c r="E14" s="595" t="inlineStr">
        <x:is>
          <x:t xml:space="preserve">https://simondongxiao.github.io/odds/v4/</x:t>
        </x:is>
      </x:c>
      <x:c r="F14" s="595" t="n">
        <x:v>19</x:v>
      </x:c>
      <x:c r="G14" s="595" t="n">
        <x:v>19</x:v>
      </x:c>
      <x:c r="H14" s="595" t="n">
        <x:v>0</x:v>
      </x:c>
      <x:c r="I14" s="599" t="n">
        <x:v>5.005000000000001</x:v>
      </x:c>
      <x:c r="J14" s="595" t="inlineStr">
        <x:is>
          <x:t xml:space="preserve">全表结算复核：按北京时间2026-09-14 12:00至次日12:00统计；A/B/C入选19场，已结算19场，待结算0场。修正投注方盘口符号映射后按即时亚盘和真实水位重算。</x:t>
        </x:is>
      </x:c>
    </x:row>
    <x:row r="15" ht="72" customHeight="1">
      <x:c r="A15" s="595" t="n">
        <x:v>12</x:v>
      </x:c>
      <x:c r="B15" s="595" t="inlineStr">
        <x:is>
          <x:t xml:space="preserve">2026-09-21 11:30</x:t>
        </x:is>
      </x:c>
      <x:c r="C15" s="595" t="inlineStr">
        <x:is>
          <x:t xml:space="preserve">2026-09-15</x:t>
        </x:is>
      </x:c>
      <x:c r="D15" s="595" t="inlineStr">
        <x:is>
          <x:t xml:space="preserve">v4-market-dirichlet-20260913</x:t>
        </x:is>
      </x:c>
      <x:c r="E15" s="595" t="inlineStr">
        <x:is>
          <x:t xml:space="preserve">https://simondongxiao.github.io/odds/v4/</x:t>
        </x:is>
      </x:c>
      <x:c r="F15" s="595" t="n">
        <x:v>32</x:v>
      </x:c>
      <x:c r="G15" s="595" t="n">
        <x:v>32</x:v>
      </x:c>
      <x:c r="H15" s="595" t="n">
        <x:v>0</x:v>
      </x:c>
      <x:c r="I15" s="599" t="n">
        <x:v>0.4100000000000004</x:v>
      </x:c>
      <x:c r="J15" s="595" t="inlineStr">
        <x:is>
          <x:t xml:space="preserve">全表结算复核：按北京时间2026-09-15 12:00至次日12:00统计；A/B/C入选32场，已结算32场，待结算0场。修正投注方盘口符号映射后按即时亚盘和真实水位重算。</x:t>
        </x:is>
      </x:c>
    </x:row>
    <x:row r="16" ht="72" customHeight="1">
      <x:c r="A16" s="595" t="n">
        <x:v>13</x:v>
      </x:c>
      <x:c r="B16" s="595" t="inlineStr">
        <x:is>
          <x:t xml:space="preserve">2026-09-21 11:30</x:t>
        </x:is>
      </x:c>
      <x:c r="C16" s="595" t="inlineStr">
        <x:is>
          <x:t xml:space="preserve">2026-09-16</x:t>
        </x:is>
      </x:c>
      <x:c r="D16" s="595" t="inlineStr">
        <x:is>
          <x:t xml:space="preserve">v4-market-dirichlet-20260913</x:t>
        </x:is>
      </x:c>
      <x:c r="E16" s="595" t="inlineStr">
        <x:is>
          <x:t xml:space="preserve">https://simondongxiao.github.io/odds/v4/</x:t>
        </x:is>
      </x:c>
      <x:c r="F16" s="595" t="n">
        <x:v>31</x:v>
      </x:c>
      <x:c r="G16" s="595" t="n">
        <x:v>30</x:v>
      </x:c>
      <x:c r="H16" s="595" t="n">
        <x:v>1</x:v>
      </x:c>
      <x:c r="I16" s="599" t="n">
        <x:v>-1.77</x:v>
      </x:c>
      <x:c r="J16" s="595" t="inlineStr">
        <x:is>
          <x:t xml:space="preserve">全表结算复核：按北京时间2026-09-16 12:00至次日12:00统计；A/B/C入选31场，已结算30场，待结算1场。修正投注方盘口符号映射后按即时亚盘和真实水位重算。</x:t>
        </x:is>
      </x:c>
    </x:row>
    <x:row r="17" ht="72" customHeight="1">
      <x:c r="A17" s="595" t="n">
        <x:v>14</x:v>
      </x:c>
      <x:c r="B17" s="595" t="inlineStr">
        <x:is>
          <x:t xml:space="preserve">2026-09-21 11:30</x:t>
        </x:is>
      </x:c>
      <x:c r="C17" s="595" t="inlineStr">
        <x:is>
          <x:t xml:space="preserve">2026-09-17</x:t>
        </x:is>
      </x:c>
      <x:c r="D17" s="595" t="inlineStr">
        <x:is>
          <x:t xml:space="preserve">v4-market-dirichlet-20260913</x:t>
        </x:is>
      </x:c>
      <x:c r="E17" s="595" t="inlineStr">
        <x:is>
          <x:t xml:space="preserve">https://simondongxiao.github.io/odds/v4/</x:t>
        </x:is>
      </x:c>
      <x:c r="F17" s="595" t="n">
        <x:v>19</x:v>
      </x:c>
      <x:c r="G17" s="595" t="n">
        <x:v>18</x:v>
      </x:c>
      <x:c r="H17" s="595" t="n">
        <x:v>1</x:v>
      </x:c>
      <x:c r="I17" s="599" t="n">
        <x:v>-0.3799999999999998</x:v>
      </x:c>
      <x:c r="J17" s="595" t="inlineStr">
        <x:is>
          <x:t xml:space="preserve">全表结算复核：按北京时间2026-09-17 12:00至次日12:00统计；A/B/C入选19场，已结算18场，待结算1场。修正投注方盘口符号映射后按即时亚盘和真实水位重算。</x:t>
        </x:is>
      </x:c>
    </x:row>
    <x:row r="18" ht="72" customHeight="1">
      <x:c r="A18" s="595" t="n">
        <x:v>15</x:v>
      </x:c>
      <x:c r="B18" s="595" t="inlineStr">
        <x:is>
          <x:t xml:space="preserve">2026-09-21 11:30</x:t>
        </x:is>
      </x:c>
      <x:c r="C18" s="595" t="inlineStr">
        <x:is>
          <x:t xml:space="preserve">2026-09-18</x:t>
        </x:is>
      </x:c>
      <x:c r="D18" s="595" t="inlineStr">
        <x:is>
          <x:t xml:space="preserve">v4-market-dirichlet-20260913</x:t>
        </x:is>
      </x:c>
      <x:c r="E18" s="595" t="inlineStr">
        <x:is>
          <x:t xml:space="preserve">https://simondongxiao.github.io/odds/v4/</x:t>
        </x:is>
      </x:c>
      <x:c r="F18" s="595" t="n">
        <x:v>55</x:v>
      </x:c>
      <x:c r="G18" s="595" t="n">
        <x:v>55</x:v>
      </x:c>
      <x:c r="H18" s="595" t="n">
        <x:v>0</x:v>
      </x:c>
      <x:c r="I18" s="599" t="n">
        <x:v>-11.705</x:v>
      </x:c>
      <x:c r="J18" s="595" t="inlineStr">
        <x:is>
          <x:t xml:space="preserve">全表结算复核：按北京时间2026-09-18 12:00至次日12:00统计；A/B/C入选55场，已结算55场，待结算0场。修正投注方盘口符号映射后按即时亚盘和真实水位重算。</x:t>
        </x:is>
      </x:c>
    </x:row>
    <x:row r="19" ht="72" customHeight="1">
      <x:c r="A19" s="595" t="n">
        <x:v>16</x:v>
      </x:c>
      <x:c r="B19" s="595" t="inlineStr">
        <x:is>
          <x:t xml:space="preserve">2026-09-21 11:30</x:t>
        </x:is>
      </x:c>
      <x:c r="C19" s="595" t="inlineStr">
        <x:is>
          <x:t xml:space="preserve">2026-09-19</x:t>
        </x:is>
      </x:c>
      <x:c r="D19" s="595" t="inlineStr">
        <x:is>
          <x:t xml:space="preserve">v4-market-dirichlet-20260913</x:t>
        </x:is>
      </x:c>
      <x:c r="E19" s="595" t="inlineStr">
        <x:is>
          <x:t xml:space="preserve">https://simondongxiao.github.io/odds/v4/</x:t>
        </x:is>
      </x:c>
      <x:c r="F19" s="595" t="n">
        <x:v>92</x:v>
      </x:c>
      <x:c r="G19" s="595" t="n">
        <x:v>92</x:v>
      </x:c>
      <x:c r="H19" s="595" t="n">
        <x:v>0</x:v>
      </x:c>
      <x:c r="I19" s="599" t="n">
        <x:v>-2.279999999999999</x:v>
      </x:c>
      <x:c r="J19" s="595" t="inlineStr">
        <x:is>
          <x:t xml:space="preserve">全表结算复核：按北京时间2026-09-19 12:00至次日12:00统计；A/B/C入选92场，已结算92场，待结算0场。修正投注方盘口符号映射后按即时亚盘和真实水位重算。</x:t>
        </x:is>
      </x:c>
    </x:row>
    <x:row r="20" ht="72" customHeight="1">
      <x:c r="A20" s="595" t="n">
        <x:v>17</x:v>
      </x:c>
      <x:c r="B20" s="595" t="inlineStr">
        <x:is>
          <x:t xml:space="preserve">2026-09-21 11:30</x:t>
        </x:is>
      </x:c>
      <x:c r="C20" s="595" t="inlineStr">
        <x:is>
          <x:t xml:space="preserve">2026-09-20</x:t>
        </x:is>
      </x:c>
      <x:c r="D20" s="595" t="inlineStr">
        <x:is>
          <x:t xml:space="preserve">v4-market-dirichlet-20260913</x:t>
        </x:is>
      </x:c>
      <x:c r="E20" s="595" t="inlineStr">
        <x:is>
          <x:t xml:space="preserve">https://simondongxiao.github.io/odds/v4/</x:t>
        </x:is>
      </x:c>
      <x:c r="F20" s="595" t="n">
        <x:v>67</x:v>
      </x:c>
      <x:c r="G20" s="595" t="n">
        <x:v>67</x:v>
      </x:c>
      <x:c r="H20" s="595" t="n">
        <x:v>0</x:v>
      </x:c>
      <x:c r="I20" s="599" t="n">
        <x:v>15.535</x:v>
      </x:c>
      <x:c r="J20" s="595" t="inlineStr">
        <x:is>
          <x:t xml:space="preserve">全表结算复核：按北京时间2026-09-20 12:00至次日12:00统计；A/B/C入选67场，已结算67场，待结算0场。修正投注方盘口符号映射后按即时亚盘和真实水位重算。</x:t>
        </x:is>
      </x:c>
    </x:row>
    <x:row r="21" ht="72" customHeight="1">
      <x:c r="A21" s="595" t="n">
        <x:v>18</x:v>
      </x:c>
      <x:c r="B21" s="595" t="inlineStr">
        <x:is>
          <x:t xml:space="preserve">2026-09-21 11:30</x:t>
        </x:is>
      </x:c>
      <x:c r="C21" s="595" t="inlineStr">
        <x:is>
          <x:t xml:space="preserve">2026-09-21</x:t>
        </x:is>
      </x:c>
      <x:c r="D21" s="595" t="inlineStr">
        <x:is>
          <x:t xml:space="preserve">v4-market-dirichlet-20260913</x:t>
        </x:is>
      </x:c>
      <x:c r="E21" s="595" t="inlineStr">
        <x:is>
          <x:t xml:space="preserve">https://simondongxiao.github.io/odds/v4/</x:t>
        </x:is>
      </x:c>
      <x:c r="F21" s="595" t="n">
        <x:v>12</x:v>
      </x:c>
      <x:c r="G21" s="595" t="n">
        <x:v>12</x:v>
      </x:c>
      <x:c r="H21" s="595" t="n">
        <x:v>0</x:v>
      </x:c>
      <x:c r="I21" s="599" t="n">
        <x:v>-4.68</x:v>
      </x:c>
      <x:c r="J21" s="595" t="inlineStr">
        <x:is>
          <x:t xml:space="preserve">全表结算复核：按北京时间2026-09-21 12:00至次日12:00统计；A/B/C入选3场，已结算0场，待结算3场。修正投注方盘口符号映射后按即时亚盘和真实水位重算。</x:t>
        </x:is>
      </x:c>
    </x:row>
    <x:row r="22" ht="60" customHeight="1">
      <x:c r="A22" s="604" t="n">
        <x:v>19</x:v>
      </x:c>
      <x:c r="B22" s="604" t="inlineStr">
        <x:is>
          <x:t xml:space="preserve">2026-09-22 10:42</x:t>
        </x:is>
      </x:c>
      <x:c r="C22" s="604" t="inlineStr">
        <x:is>
          <x:t xml:space="preserve">2026-09-21</x:t>
        </x:is>
      </x:c>
      <x:c r="D22" s="604" t="inlineStr">
        <x:is>
          <x:t xml:space="preserve">2026-09-22 10:42（北京时间）</x:t>
        </x:is>
      </x:c>
      <x:c r="E22" s="604" t="inlineStr">
        <x:is>
          <x:t xml:space="preserve">https://simondongxiao.github.io/odds/v4/</x:t>
        </x:is>
      </x:c>
      <x:c r="F22" s="604" t="n">
        <x:v>3</x:v>
      </x:c>
      <x:c r="G22" s="604" t="n">
        <x:v>3</x:v>
      </x:c>
      <x:c r="H22" s="604" t="n">
        <x:v>0</x:v>
      </x:c>
      <x:c r="I22" s="604" t="n">
        <x:v>-0.96</x:v>
      </x:c>
      <x:c r="J22" s="604" t="inlineStr">
        <x:is>
          <x:t xml:space="preserve">补齐2026-09-21已完场候选3场；比分来源写入赛事明细T列；按签名亚盘、真实投注水位和固定规则重算红黑及盈亏。</x:t>
        </x:is>
      </x:c>
    </x:row>
    <x:row r="23" ht="60" customHeight="1">
      <x:c r="A23" s="604" t="n">
        <x:v>20</x:v>
      </x:c>
      <x:c r="B23" s="604" t="inlineStr">
        <x:is>
          <x:t xml:space="preserve">2026-09-22 10:43</x:t>
        </x:is>
      </x:c>
      <x:c r="C23" s="604" t="inlineStr">
        <x:is>
          <x:t xml:space="preserve">2026-09-21</x:t>
        </x:is>
      </x:c>
      <x:c r="D23" s="604" t="inlineStr">
        <x:is>
          <x:t xml:space="preserve">2026-09-22 10:43（北京时间）</x:t>
        </x:is>
      </x:c>
      <x:c r="E23" s="604" t="inlineStr">
        <x:is>
          <x:t xml:space="preserve">https://simondongxiao.github.io/odds/v4/</x:t>
        </x:is>
      </x:c>
      <x:c r="F23" s="604" t="n">
        <x:v>3</x:v>
      </x:c>
      <x:c r="G23" s="604" t="n">
        <x:v>3</x:v>
      </x:c>
      <x:c r="H23" s="604" t="n">
        <x:v>0</x:v>
      </x:c>
      <x:c r="I23" s="604" t="n">
        <x:v>-0.96</x:v>
      </x:c>
      <x:c r="J23" s="604" t="inlineStr">
        <x:is>
          <x:t xml:space="preserve">补齐2026-09-21已完场候选3场；比分来源写入赛事明细T列；按签名亚盘、真实投注水位和固定规则重算红黑及盈亏。</x:t>
        </x:is>
      </x:c>
    </x:row>
    <x:row r="24">
      <x:c r="A24" t="n">
        <x:v>21</x:v>
      </x:c>
      <x:c r="B24" t="inlineStr">
        <x:is>
          <x:t xml:space="preserve">2026-09-23 11:06</x:t>
        </x:is>
      </x:c>
      <x:c r="C24" t="inlineStr">
        <x:is>
          <x:t xml:space="preserve">2026-09-22</x:t>
        </x:is>
      </x:c>
      <x:c r="D24" t="inlineStr">
        <x:is>
          <x:t xml:space="preserve">2026-09-23 11:06（北京时间）</x:t>
        </x:is>
      </x:c>
      <x:c r="E24" t="inlineStr">
        <x:is>
          <x:t xml:space="preserve">https://simondongxiao.github.io/odds/v4/</x:t>
        </x:is>
      </x:c>
      <x:c r="F24" t="n">
        <x:v>7</x:v>
      </x:c>
      <x:c r="G24" t="n">
        <x:v>6</x:v>
      </x:c>
      <x:c r="H24" t="n">
        <x:v>1</x:v>
      </x:c>
      <x:c r="I24" t="n">
        <x:v>4.87</x:v>
      </x:c>
      <x:c r="J24" t="inlineStr">
        <x:is>
          <x:t xml:space="preserve">新增2026-09-22最新候选7场；已结算6场；待结算1场；按签名亚盘和真实水位计算。</x:t>
        </x:is>
      </x:c>
    </x:row>
    <x:row r="25">
      <x:c r="A25" t="n">
        <x:v>22</x:v>
      </x:c>
      <x:c r="B25" t="inlineStr">
        <x:is>
          <x:t xml:space="preserve">2026-09-23 11:06</x:t>
        </x:is>
      </x:c>
      <x:c r="C25" t="inlineStr">
        <x:is>
          <x:t xml:space="preserve">2026-09-23</x:t>
        </x:is>
      </x:c>
      <x:c r="D25" t="inlineStr">
        <x:is>
          <x:t xml:space="preserve">2026-09-23 11:06（北京时间）</x:t>
        </x:is>
      </x:c>
      <x:c r="E25" t="inlineStr">
        <x:is>
          <x:t xml:space="preserve">https://simondongxiao.github.io/odds/v4/</x:t>
        </x:is>
      </x:c>
      <x:c r="F25" t="n">
        <x:v>12</x:v>
      </x:c>
      <x:c r="G25" t="n">
        <x:v>0</x:v>
      </x:c>
      <x:c r="H25" t="n">
        <x:v>12</x:v>
      </x:c>
      <x:c r="I25" t="n">
        <x:v>0</x:v>
      </x:c>
      <x:c r="J25" t="inlineStr">
        <x:is>
          <x:t xml:space="preserve">新增2026-09-23最新候选12场；已结算0场；待结算12场；按签名亚盘和真实水位计算。</x:t>
        </x:is>
      </x:c>
    </x:row>
    <x:row r="26">
      <x:c r="A26" t="n">
        <x:v>23</x:v>
      </x:c>
      <x:c r="B26" t="inlineStr">
        <x:is>
          <x:t xml:space="preserve">2026-09-23 11:07</x:t>
        </x:is>
      </x:c>
      <x:c r="C26" t="inlineStr">
        <x:is>
          <x:t xml:space="preserve">2026-09-22</x:t>
        </x:is>
      </x:c>
      <x:c r="D26" t="inlineStr">
        <x:is>
          <x:t xml:space="preserve">2026-09-23 11:07（北京时间）</x:t>
        </x:is>
      </x:c>
      <x:c r="E26" t="inlineStr">
        <x:is>
          <x:t xml:space="preserve">https://simondongxiao.github.io/odds/v4/</x:t>
        </x:is>
      </x:c>
      <x:c r="F26" t="n">
        <x:v>7</x:v>
      </x:c>
      <x:c r="G26" t="n">
        <x:v>6</x:v>
      </x:c>
      <x:c r="H26" t="n">
        <x:v>1</x:v>
      </x:c>
      <x:c r="I26" t="n">
        <x:v>4.87</x:v>
      </x:c>
      <x:c r="J26" t="inlineStr">
        <x:is>
          <x:t xml:space="preserve">新增2026-09-22最新候选7场；已结算6场；待结算1场；按签名亚盘和真实水位计算。</x:t>
        </x:is>
      </x:c>
    </x:row>
    <x:row r="27">
      <x:c r="A27" t="n">
        <x:v>24</x:v>
      </x:c>
      <x:c r="B27" t="inlineStr">
        <x:is>
          <x:t xml:space="preserve">2026-09-23 11:07</x:t>
        </x:is>
      </x:c>
      <x:c r="C27" t="inlineStr">
        <x:is>
          <x:t xml:space="preserve">2026-09-23</x:t>
        </x:is>
      </x:c>
      <x:c r="D27" t="inlineStr">
        <x:is>
          <x:t xml:space="preserve">2026-09-23 11:07（北京时间）</x:t>
        </x:is>
      </x:c>
      <x:c r="E27" t="inlineStr">
        <x:is>
          <x:t xml:space="preserve">https://simondongxiao.github.io/odds/v4/</x:t>
        </x:is>
      </x:c>
      <x:c r="F27" t="n">
        <x:v>12</x:v>
      </x:c>
      <x:c r="G27" t="n">
        <x:v>0</x:v>
      </x:c>
      <x:c r="H27" t="n">
        <x:v>12</x:v>
      </x:c>
      <x:c r="I27" t="n">
        <x:v>0</x:v>
      </x:c>
      <x:c r="J27" t="inlineStr">
        <x:is>
          <x:t xml:space="preserve">新增2026-09-23最新候选12场；已结算0场；待结算12场；按签名亚盘和真实水位计算。</x:t>
        </x:is>
      </x:c>
    </x:row>
    <x:row r="28">
      <x:c r="A28" t="n">
        <x:v>25</x:v>
      </x:c>
      <x:c r="B28" t="inlineStr">
        <x:is>
          <x:t xml:space="preserve">2026-09-23 11:10</x:t>
        </x:is>
      </x:c>
      <x:c r="C28" t="inlineStr">
        <x:is>
          <x:t xml:space="preserve">2026-09-22</x:t>
        </x:is>
      </x:c>
      <x:c r="D28" t="inlineStr">
        <x:is>
          <x:t xml:space="preserve">2026-09-23 11:10（北京时间）</x:t>
        </x:is>
      </x:c>
      <x:c r="E28" t="inlineStr">
        <x:is>
          <x:t xml:space="preserve">https://simondongxiao.github.io/odds/v4/</x:t>
        </x:is>
      </x:c>
      <x:c r="F28" t="n">
        <x:v>7</x:v>
      </x:c>
      <x:c r="G28" t="n">
        <x:v>6</x:v>
      </x:c>
      <x:c r="H28" t="n">
        <x:v>1</x:v>
      </x:c>
      <x:c r="I28" t="n">
        <x:v>4.87</x:v>
      </x:c>
      <x:c r="J28" t="inlineStr">
        <x:is>
          <x:t xml:space="preserve">新增2026-09-22最新候选7场；已结算6场；待结算1场；按签名亚盘和真实水位计算。</x:t>
        </x:is>
      </x:c>
    </x:row>
    <x:row r="29">
      <x:c r="A29" t="n">
        <x:v>26</x:v>
      </x:c>
      <x:c r="B29" t="inlineStr">
        <x:is>
          <x:t xml:space="preserve">2026-09-23 11:10</x:t>
        </x:is>
      </x:c>
      <x:c r="C29" t="inlineStr">
        <x:is>
          <x:t xml:space="preserve">2026-09-23</x:t>
        </x:is>
      </x:c>
      <x:c r="D29" t="inlineStr">
        <x:is>
          <x:t xml:space="preserve">2026-09-23 11:10（北京时间）</x:t>
        </x:is>
      </x:c>
      <x:c r="E29" t="inlineStr">
        <x:is>
          <x:t xml:space="preserve">https://simondongxiao.github.io/odds/v4/</x:t>
        </x:is>
      </x:c>
      <x:c r="F29" t="n">
        <x:v>24</x:v>
      </x:c>
      <x:c r="G29" t="n">
        <x:v>24</x:v>
      </x:c>
      <x:c r="H29" t="n">
        <x:v>0</x:v>
      </x:c>
      <x:c r="I29" t="n">
        <x:v>-4.53</x:v>
      </x:c>
      <x:c r="J29" t="inlineStr">
        <x:is>
          <x:t xml:space="preserve">按北京时间12:00–次日12:00记账；本次复核2026-09-23页面候选，已结算24场，待结算0场；按实际投注水位计算盈亏。</x:t>
        </x:is>
      </x:c>
    </x:row>
    <x:row r="30">
      <x:c r="A30" t="n">
        <x:v>27</x:v>
      </x:c>
      <x:c r="B30" t="inlineStr">
        <x:is>
          <x:t xml:space="preserve">2026-09-28 09:49</x:t>
        </x:is>
      </x:c>
      <x:c r="C30" t="inlineStr">
        <x:is>
          <x:t xml:space="preserve">2026-09-24</x:t>
        </x:is>
      </x:c>
      <x:c r="D30" t="inlineStr">
        <x:is>
          <x:t xml:space="preserve">v4-market-dirichlet-20260913</x:t>
        </x:is>
      </x:c>
      <x:c r="E30" t="inlineStr">
        <x:is>
          <x:t xml:space="preserve">https://simondongxiao.github.io/odds/v4/</x:t>
        </x:is>
      </x:c>
      <x:c r="F30" t="n">
        <x:v>13</x:v>
      </x:c>
      <x:c r="G30" t="n">
        <x:v>13</x:v>
      </x:c>
      <x:c r="H30" t="n">
        <x:v>0</x:v>
      </x:c>
      <x:c r="I30" t="n">
        <x:v>3.095</x:v>
      </x:c>
      <x:c r="J30" t="inlineStr">
        <x:is>
          <x:t xml:space="preserve">按北京时间12:00–次日12:00记账；本次复核2026-09-24页面候选，已结算13场，待结算0场；按实际投注水位计算盈亏。</x:t>
        </x:is>
      </x:c>
    </x:row>
    <x:row r="31">
      <x:c r="A31" t="n">
        <x:v>28</x:v>
      </x:c>
      <x:c r="B31" t="inlineStr">
        <x:is>
          <x:t xml:space="preserve">2026-09-28 09:49</x:t>
        </x:is>
      </x:c>
      <x:c r="C31" t="inlineStr">
        <x:is>
          <x:t xml:space="preserve">2026-09-25</x:t>
        </x:is>
      </x:c>
      <x:c r="D31" t="inlineStr">
        <x:is>
          <x:t xml:space="preserve">v4-market-dirichlet-20260913</x:t>
        </x:is>
      </x:c>
      <x:c r="E31" t="inlineStr">
        <x:is>
          <x:t xml:space="preserve">https://simondongxiao.github.io/odds/v4/</x:t>
        </x:is>
      </x:c>
      <x:c r="F31" t="n">
        <x:v>21</x:v>
      </x:c>
      <x:c r="G31" t="n">
        <x:v>20</x:v>
      </x:c>
      <x:c r="H31" t="n">
        <x:v>1</x:v>
      </x:c>
      <x:c r="I31" t="n">
        <x:v>-5.76</x:v>
      </x:c>
      <x:c r="J31" t="inlineStr">
        <x:is>
          <x:t xml:space="preserve">按北京时间12:00–次日12:00记账；本次复核2026-09-25页面候选，已结算20场，待结算1场；按实际投注水位计算盈亏。</x:t>
        </x:is>
      </x:c>
    </x:row>
    <x:row r="32">
      <x:c r="A32" t="n">
        <x:v>29</x:v>
      </x:c>
      <x:c r="B32" t="inlineStr">
        <x:is>
          <x:t xml:space="preserve">2026-09-28 09:49</x:t>
        </x:is>
      </x:c>
      <x:c r="C32" t="inlineStr">
        <x:is>
          <x:t xml:space="preserve">2026-09-26</x:t>
        </x:is>
      </x:c>
      <x:c r="D32" t="inlineStr">
        <x:is>
          <x:t xml:space="preserve">v4-market-dirichlet-20260913</x:t>
        </x:is>
      </x:c>
      <x:c r="E32" t="inlineStr">
        <x:is>
          <x:t xml:space="preserve">https://simondongxiao.github.io/odds/v4/</x:t>
        </x:is>
      </x:c>
      <x:c r="F32" t="n">
        <x:v>36</x:v>
      </x:c>
      <x:c r="G32" t="n">
        <x:v>32</x:v>
      </x:c>
      <x:c r="H32" t="n">
        <x:v>4</x:v>
      </x:c>
      <x:c r="I32" t="n">
        <x:v>-2.48</x:v>
      </x:c>
      <x:c r="J32" t="inlineStr">
        <x:is>
          <x:t xml:space="preserve">按北京时间12:00–次日12:00记账；本次复核2026-09-26页面候选，已结算32场，待结算4场；按实际投注水位计算盈亏。</x:t>
        </x:is>
      </x:c>
    </x:row>
    <x:row r="33">
      <x:c r="A33" t="n">
        <x:v>33</x:v>
      </x:c>
      <x:c r="B33" t="inlineStr">
        <x:is>
          <x:t xml:space="preserve">2026-09-29 14:00（北京时间）</x:t>
        </x:is>
      </x:c>
      <x:c r="C33" t="inlineStr">
        <x:is>
          <x:t xml:space="preserve">2026-09-16至2026-09-29</x:t>
        </x:is>
      </x:c>
      <x:c r="D33" t="inlineStr">
        <x:is>
          <x:t xml:space="preserve">v4-market-dirichlet-20260913</x:t>
        </x:is>
      </x:c>
      <x:c r="E33" t="inlineStr">
        <x:is>
          <x:t xml:space="preserve">多来源比分页/官方赛事页</x:t>
        </x:is>
      </x:c>
      <x:c r="F33" t="n">
        <x:v>15</x:v>
      </x:c>
      <x:c r="G33" t="n">
        <x:v>15</x:v>
      </x:c>
      <x:c r="H33" t="n">
        <x:v>2</x:v>
      </x:c>
      <x:c r="I33" t="n">
        <x:v>-2.355</x:v>
      </x:c>
      <x:c r="J33" t="inlineStr">
        <x:is>
          <x:t xml:space="preserve">补录并复核15场待结算赛事比分及红黑；智利杯按90分钟0-0结算（点球不计入亚盘）；剩余2场（塔巴蒂奥 vs 帕蒂特兰德莫雷洛斯、贾奎斯 vs 帕尔梅拉斯港）公开比分源仍未发布最终比分，暂保留待结算。</x:t>
        </x:is>
      </x:c>
    </x:row>
    <x:row r="34">
      <x:c r="A34" t="n">
        <x:v>34</x:v>
      </x:c>
      <x:c r="B34" t="inlineStr">
        <x:is>
          <x:t xml:space="preserve">2026-09-30 10:00（北京时间）</x:t>
        </x:is>
      </x:c>
      <x:c r="C34" t="inlineStr">
        <x:is>
          <x:t xml:space="preserve">2026-09-29</x:t>
        </x:is>
      </x:c>
      <x:c r="D34" t="inlineStr">
        <x:is>
          <x:t xml:space="preserve">2026-09-30复核（北京时间）</x:t>
        </x:is>
      </x:c>
      <x:c r="E34" t="inlineStr">
        <x:is>
          <x:t xml:space="preserve">https://simondongxiao.github.io/odds/v4/</x:t>
        </x:is>
      </x:c>
      <x:c r="F34" t="n">
        <x:v>0</x:v>
      </x:c>
      <x:c r="G34" t="n">
        <x:v>0</x:v>
      </x:c>
      <x:c r="H34" t="n">
        <x:v>0</x:v>
      </x:c>
      <x:c r="I34" t="n">
        <x:v>0</x:v>
      </x:c>
      <x:c r="J34" t="inlineStr">
        <x:is>
          <x:t xml:space="preserve">按skill复核9/29页面：206场原始赛事，0场A/B/C候选；全部为数据缺失或未形成模型候选，不新增投注明细，原总账保持不变。</x:t>
        </x:is>
      </x:c>
    </x:row>
    <x:row r="35">
      <x:c r="A35" t="n">
        <x:v>32</x:v>
      </x:c>
      <x:c r="B35" t="inlineStr">
        <x:is>
          <x:t xml:space="preserve">2026-09-29 13:17</x:t>
        </x:is>
      </x:c>
      <x:c r="C35" t="inlineStr">
        <x:is>
          <x:t xml:space="preserve">2026-09-29</x:t>
        </x:is>
      </x:c>
      <x:c r="D35" t="inlineStr">
        <x:is>
          <x:t xml:space="preserve">2026-09-29 13:17（北京时间）</x:t>
        </x:is>
      </x:c>
      <x:c r="E35" t="inlineStr">
        <x:is>
          <x:t xml:space="preserve">https://simondongxiao.github.io/odds/v4/</x:t>
        </x:is>
      </x:c>
      <x:c r="F35" t="n">
        <x:v>0</x:v>
      </x:c>
      <x:c r="G35" t="n">
        <x:v>0</x:v>
      </x:c>
      <x:c r="H35" t="n">
        <x:v>0</x:v>
      </x:c>
      <x:c r="I35" t="n">
        <x:v>0</x:v>
      </x:c>
      <x:c r="J35" t="inlineStr">
        <x:is>
          <x:t xml:space="preserve">按skill读取V4 2026-09-29页面：共206场原始赛事，均为数据缺失/未形成A、B、C候选；本次不补造盘口，不新增明细，待页面补齐赔率后再更新。</x:t>
        </x:is>
      </x:c>
    </x:row>
    <x:row r="36" ht="72" customHeight="1">
      <x:c r="A36" s="604" t="n">
        <x:v>35</x:v>
      </x:c>
      <x:c r="B36" s="604" t="inlineStr">
        <x:is>
          <x:t xml:space="preserve">2026-09-30 11:16</x:t>
        </x:is>
      </x:c>
      <x:c r="C36" s="604" t="inlineStr">
        <x:is>
          <x:t xml:space="preserve">2026-09-29</x:t>
        </x:is>
      </x:c>
      <x:c r="D36" s="604" t="inlineStr">
        <x:is>
          <x:t xml:space="preserve">v4-market-dirichlet-20260913</x:t>
        </x:is>
      </x:c>
      <x:c r="E36" s="604" t="inlineStr">
        <x:is>
          <x:t xml:space="preserve">https://simondongxiao.github.io/odds/v4/</x:t>
        </x:is>
      </x:c>
      <x:c r="F36" s="604" t="n">
        <x:v>23</x:v>
      </x:c>
      <x:c r="G36" s="604" t="n">
        <x:v>22</x:v>
      </x:c>
      <x:c r="H36" s="604" t="n">
        <x:v>1</x:v>
      </x:c>
      <x:c r="I36" s="607" t="n">
        <x:v>2.095000000000001</x:v>
      </x:c>
      <x:c r="J36" s="604" t="inlineStr">
        <x:is>
          <x:t xml:space="preserve">纠正旧快照读取错误：重新读取当前GitHub V4数据文件并补录9/29；新增23场A/B/C候选，行高统一22。比分/结算按当前页面字段重算。</x:t>
        </x:is>
      </x:c>
    </x:row>
    <x:row r="37" ht="72" customHeight="1">
      <x:c r="A37" s="604" t="n">
        <x:v>36</x:v>
      </x:c>
      <x:c r="B37" s="604" t="inlineStr">
        <x:is>
          <x:t xml:space="preserve">2026-10-08 01:46</x:t>
        </x:is>
      </x:c>
      <x:c r="C37" s="604" t="inlineStr">
        <x:is>
          <x:t xml:space="preserve">2026-09-30至2026-10-08</x:t>
        </x:is>
      </x:c>
      <x:c r="D37" s="604" t="inlineStr">
        <x:is>
          <x:t xml:space="preserve">v4-market-dirichlet-20260913</x:t>
        </x:is>
      </x:c>
      <x:c r="E37" s="604" t="inlineStr">
        <x:is>
          <x:t xml:space="preserve">https://simondongxiao.github.io/odds/v4/</x:t>
        </x:is>
      </x:c>
      <x:c r="F37" s="604" t="n">
        <x:v>818</x:v>
      </x:c>
      <x:c r="G37" s="604" t="n">
        <x:v>772</x:v>
      </x:c>
      <x:c r="H37" s="604" t="n">
        <x:v>46</x:v>
      </x:c>
      <x:c r="I37" s="604" t="n">
        <x:v>40.06499999999998</x:v>
      </x:c>
      <x:c r="J37" s="604" t="inlineStr">
        <x:is>
          <x:t xml:space="preserve">按当前页面补录2026-09-30至2026-10-08；新增818场，已结算772场，待结算46场；比分按当前页面字段，亚盘按skill规则结算，行高统一22。</x:t>
        </x:is>
      </x:c>
    </x:row>
  </x:sheetData>
  <x:mergeCells>
    <x:mergeCell ref="A1:J1"/>
  </x:mergeCells>
  <x:pageMargins left="0.7" right="0.7" top="0.75" bottom="0.75" header="0.3" footer="0.3"/>
  <x:tableParts count="1">
    <x:tablePart xmlns:r="http://schemas.openxmlformats.org/officeDocument/2006/relationships" r:id="R3bdcffa2442d4491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7" customWidth="1"/>
    <x:col min="2" max="2" width="11" customWidth="1"/>
    <x:col min="3" max="3" width="12" customWidth="1"/>
    <x:col min="4" max="4" width="12" customWidth="1"/>
    <x:col min="5" max="5" width="9" customWidth="1"/>
    <x:col min="6" max="6" width="9" customWidth="1"/>
    <x:col min="7" max="7" width="9" customWidth="1"/>
    <x:col min="8" max="8" width="9" customWidth="1"/>
    <x:col min="9" max="9" width="9" customWidth="1"/>
    <x:col min="10" max="10" width="14" customWidth="1"/>
    <x:col min="11" max="11" width="13" customWidth="1"/>
    <x:col min="12" max="12" width="12" customWidth="1"/>
  </x:cols>
  <x:sheetData>
    <x:row r="1" ht="28" customHeight="1">
      <x:c r="A1" s="529" t="inlineStr">
        <x:is>
          <x:t xml:space="preserve">V4赛事分类统计</x:t>
        </x:is>
      </x:c>
    </x:row>
    <x:row r="2">
      <x:c r="A2" s="53" t="n"/>
      <x:c r="B2" s="53" t="n"/>
      <x:c r="C2" s="53" t="n"/>
      <x:c r="D2" s="53" t="n"/>
      <x:c r="E2" s="53" t="n"/>
      <x:c r="F2" s="53" t="n"/>
      <x:c r="G2" s="53" t="n"/>
      <x:c r="H2" s="53" t="n"/>
      <x:c r="I2" s="53" t="n"/>
      <x:c r="J2" s="53" t="n"/>
      <x:c r="K2" s="53" t="n"/>
      <x:c r="L2" s="53" t="n"/>
    </x:row>
    <x:row r="3" ht="23" customHeight="1">
      <x:c r="A3" s="532" t="inlineStr">
        <x:is>
          <x:t xml:space="preserve">地区统计</x:t>
        </x:is>
      </x:c>
    </x:row>
    <x:row r="4" ht="26" customHeight="1">
      <x:c r="A4" s="538" t="inlineStr">
        <x:is>
          <x:t xml:space="preserve">分类</x:t>
        </x:is>
      </x:c>
      <x:c r="B4" s="538" t="inlineStr">
        <x:is>
          <x:t xml:space="preserve">候选</x:t>
        </x:is>
      </x:c>
      <x:c r="C4" s="538" t="inlineStr">
        <x:is>
          <x:t xml:space="preserve">已结算</x:t>
        </x:is>
      </x:c>
      <x:c r="D4" s="538" t="inlineStr">
        <x:is>
          <x:t xml:space="preserve">未结算</x:t>
        </x:is>
      </x:c>
      <x:c r="E4" s="538" t="inlineStr">
        <x:is>
          <x:t xml:space="preserve">红</x:t>
        </x:is>
      </x:c>
      <x:c r="F4" s="538" t="inlineStr">
        <x:is>
          <x:t xml:space="preserve">半红</x:t>
        </x:is>
      </x:c>
      <x:c r="G4" s="538" t="inlineStr">
        <x:is>
          <x:t xml:space="preserve">走</x:t>
        </x:is>
      </x:c>
      <x:c r="H4" s="538" t="inlineStr">
        <x:is>
          <x:t xml:space="preserve">半黑</x:t>
        </x:is>
      </x:c>
      <x:c r="I4" s="538" t="inlineStr">
        <x:is>
          <x:t xml:space="preserve">黑</x:t>
        </x:is>
      </x:c>
      <x:c r="J4" s="538" t="inlineStr">
        <x:is>
          <x:t xml:space="preserve">有效胜率</x:t>
        </x:is>
      </x:c>
      <x:c r="K4" s="538" t="inlineStr">
        <x:is>
          <x:t xml:space="preserve">盈亏(u)</x:t>
        </x:is>
      </x:c>
      <x:c r="L4" s="538" t="inlineStr">
        <x:is>
          <x:t xml:space="preserve">ROI</x:t>
        </x:is>
      </x:c>
    </x:row>
    <x:row r="5" ht="22" customHeight="1">
      <x:c r="A5" s="26" t="inlineStr">
        <x:is>
          <x:t xml:space="preserve">欧洲五大系列</x:t>
        </x:is>
      </x:c>
      <x:c r="B5" s="26" t="n">
        <x:v>25</x:v>
      </x:c>
      <x:c r="C5" s="26" t="n">
        <x:v>25</x:v>
      </x:c>
      <x:c r="D5" s="26" t="n">
        <x:v>0</x:v>
      </x:c>
      <x:c r="E5" s="26" t="n">
        <x:v>16</x:v>
      </x:c>
      <x:c r="F5" s="26" t="n">
        <x:v>1</x:v>
      </x:c>
      <x:c r="G5" s="26" t="n">
        <x:v>1</x:v>
      </x:c>
      <x:c r="H5" s="26" t="n">
        <x:v>2</x:v>
      </x:c>
      <x:c r="I5" s="26" t="n">
        <x:v>5</x:v>
      </x:c>
      <x:c r="J5" s="655" t="n">
        <x:v>0.7333333333333333</x:v>
      </x:c>
      <x:c r="K5" s="657" t="n">
        <x:v>10.945</x:v>
      </x:c>
      <x:c r="L5" s="655" t="n">
        <x:v>0.4378</x:v>
      </x:c>
    </x:row>
    <x:row r="6" ht="22" customHeight="1">
      <x:c r="A6" s="26" t="inlineStr">
        <x:is>
          <x:t xml:space="preserve">五大联赛非顶级联赛</x:t>
        </x:is>
      </x:c>
      <x:c r="B6" s="26" t="n">
        <x:v>200</x:v>
      </x:c>
      <x:c r="C6" s="26" t="n">
        <x:v>200</x:v>
      </x:c>
      <x:c r="D6" s="26" t="n">
        <x:v>0</x:v>
      </x:c>
      <x:c r="E6" s="26" t="n">
        <x:v>77</x:v>
      </x:c>
      <x:c r="F6" s="26" t="n">
        <x:v>16</x:v>
      </x:c>
      <x:c r="G6" s="26" t="n">
        <x:v>21</x:v>
      </x:c>
      <x:c r="H6" s="26" t="n">
        <x:v>16</x:v>
      </x:c>
      <x:c r="I6" s="26" t="n">
        <x:v>70</x:v>
      </x:c>
      <x:c r="J6" s="655" t="n">
        <x:v>0.5214723926380368</x:v>
      </x:c>
      <x:c r="K6" s="657" t="n">
        <x:v>-1.215000000000001</x:v>
      </x:c>
      <x:c r="L6" s="655" t="n">
        <x:v>-0.006075000000000002</x:v>
      </x:c>
    </x:row>
    <x:row r="7" ht="22" customHeight="1">
      <x:c r="A7" s="26" t="inlineStr">
        <x:is>
          <x:t xml:space="preserve">五大联赛杯赛</x:t>
        </x:is>
      </x:c>
      <x:c r="B7" s="26" t="n">
        <x:v>37</x:v>
      </x:c>
      <x:c r="C7" s="26" t="n">
        <x:v>37</x:v>
      </x:c>
      <x:c r="D7" s="26" t="n">
        <x:v>0</x:v>
      </x:c>
      <x:c r="E7" s="26" t="n">
        <x:v>26</x:v>
      </x:c>
      <x:c r="F7" s="26" t="n">
        <x:v>1</x:v>
      </x:c>
      <x:c r="G7" s="26" t="n">
        <x:v>1</x:v>
      </x:c>
      <x:c r="H7" s="26" t="n">
        <x:v>1</x:v>
      </x:c>
      <x:c r="I7" s="26" t="n">
        <x:v>8</x:v>
      </x:c>
      <x:c r="J7" s="655" t="n">
        <x:v>0.7571428571428571</x:v>
      </x:c>
      <x:c r="K7" s="657" t="n">
        <x:v>15.93</x:v>
      </x:c>
      <x:c r="L7" s="655" t="n">
        <x:v>0.4305405405405405</x:v>
      </x:c>
    </x:row>
    <x:row r="8" ht="22" customHeight="1">
      <x:c r="A8" s="26" t="inlineStr">
        <x:is>
          <x:t xml:space="preserve">欧洲非五大系列</x:t>
        </x:is>
      </x:c>
      <x:c r="B8" s="26" t="n">
        <x:v>385</x:v>
      </x:c>
      <x:c r="C8" s="26" t="n">
        <x:v>379</x:v>
      </x:c>
      <x:c r="D8" s="26" t="n">
        <x:v>6</x:v>
      </x:c>
      <x:c r="E8" s="26" t="n">
        <x:v>175</x:v>
      </x:c>
      <x:c r="F8" s="26" t="n">
        <x:v>16</x:v>
      </x:c>
      <x:c r="G8" s="26" t="n">
        <x:v>25</x:v>
      </x:c>
      <x:c r="H8" s="26" t="n">
        <x:v>14</x:v>
      </x:c>
      <x:c r="I8" s="26" t="n">
        <x:v>149</x:v>
      </x:c>
      <x:c r="J8" s="655" t="n">
        <x:v>0.5398230088495575</x:v>
      </x:c>
      <x:c r="K8" s="657" t="n">
        <x:v>16.24499999999999</x:v>
      </x:c>
      <x:c r="L8" s="655" t="n">
        <x:v>0.04286279683377306</x:v>
      </x:c>
    </x:row>
    <x:row r="9" ht="22" customHeight="1">
      <x:c r="A9" s="26" t="inlineStr">
        <x:is>
          <x:t xml:space="preserve">南美系列</x:t>
        </x:is>
      </x:c>
      <x:c r="B9" s="26" t="n">
        <x:v>207</x:v>
      </x:c>
      <x:c r="C9" s="26" t="n">
        <x:v>199</x:v>
      </x:c>
      <x:c r="D9" s="26" t="n">
        <x:v>8</x:v>
      </x:c>
      <x:c r="E9" s="26" t="n">
        <x:v>74</x:v>
      </x:c>
      <x:c r="F9" s="26" t="n">
        <x:v>19</x:v>
      </x:c>
      <x:c r="G9" s="26" t="n">
        <x:v>21</x:v>
      </x:c>
      <x:c r="H9" s="26" t="n">
        <x:v>11</x:v>
      </x:c>
      <x:c r="I9" s="26" t="n">
        <x:v>74</x:v>
      </x:c>
      <x:c r="J9" s="655" t="n">
        <x:v>0.5122699386503068</x:v>
      </x:c>
      <x:c r="K9" s="657" t="n">
        <x:v>-1.73</x:v>
      </x:c>
      <x:c r="L9" s="655" t="n">
        <x:v>-0.008693467336683415</x:v>
      </x:c>
    </x:row>
    <x:row r="10" ht="22" customHeight="1">
      <x:c r="A10" s="26" t="inlineStr">
        <x:is>
          <x:t xml:space="preserve">北美系列</x:t>
        </x:is>
      </x:c>
      <x:c r="B10" s="26" t="n">
        <x:v>88</x:v>
      </x:c>
      <x:c r="C10" s="26" t="n">
        <x:v>85</x:v>
      </x:c>
      <x:c r="D10" s="26" t="n">
        <x:v>3</x:v>
      </x:c>
      <x:c r="E10" s="26" t="n">
        <x:v>31</x:v>
      </x:c>
      <x:c r="F10" s="26" t="n">
        <x:v>7</x:v>
      </x:c>
      <x:c r="G10" s="26" t="n">
        <x:v>15</x:v>
      </x:c>
      <x:c r="H10" s="26" t="n">
        <x:v>2</x:v>
      </x:c>
      <x:c r="I10" s="26" t="n">
        <x:v>30</x:v>
      </x:c>
      <x:c r="J10" s="655" t="n">
        <x:v>0.5267175572519084</x:v>
      </x:c>
      <x:c r="K10" s="657" t="n">
        <x:v>0.2749999999999991</x:v>
      </x:c>
      <x:c r="L10" s="655" t="n">
        <x:v>0.003235294117647048</x:v>
      </x:c>
    </x:row>
    <x:row r="11" ht="22" customHeight="1">
      <x:c r="A11" s="26" t="inlineStr">
        <x:is>
          <x:t xml:space="preserve">日韩系列</x:t>
        </x:is>
      </x:c>
      <x:c r="B11" s="26" t="n">
        <x:v>62</x:v>
      </x:c>
      <x:c r="C11" s="26" t="n">
        <x:v>62</x:v>
      </x:c>
      <x:c r="D11" s="26" t="n">
        <x:v>0</x:v>
      </x:c>
      <x:c r="E11" s="26" t="n">
        <x:v>33</x:v>
      </x:c>
      <x:c r="F11" s="26" t="n">
        <x:v>3</x:v>
      </x:c>
      <x:c r="G11" s="26" t="n">
        <x:v>3</x:v>
      </x:c>
      <x:c r="H11" s="26" t="n">
        <x:v>3</x:v>
      </x:c>
      <x:c r="I11" s="26" t="n">
        <x:v>20</x:v>
      </x:c>
      <x:c r="J11" s="655" t="n">
        <x:v>0.6160714285714286</x:v>
      </x:c>
      <x:c r="K11" s="657" t="n">
        <x:v>10.305</x:v>
      </x:c>
      <x:c r="L11" s="655" t="n">
        <x:v>0.1662096774193549</x:v>
      </x:c>
    </x:row>
    <x:row r="12" ht="22" customHeight="1">
      <x:c r="A12" s="26" t="inlineStr">
        <x:is>
          <x:t xml:space="preserve">西亚/中亚系列</x:t>
        </x:is>
      </x:c>
      <x:c r="B12" s="26" t="n">
        <x:v>49</x:v>
      </x:c>
      <x:c r="C12" s="26" t="n">
        <x:v>39</x:v>
      </x:c>
      <x:c r="D12" s="26" t="n">
        <x:v>10</x:v>
      </x:c>
      <x:c r="E12" s="26" t="n">
        <x:v>16</x:v>
      </x:c>
      <x:c r="F12" s="26" t="n">
        <x:v>1</x:v>
      </x:c>
      <x:c r="G12" s="26" t="n">
        <x:v>3</x:v>
      </x:c>
      <x:c r="H12" s="26" t="n">
        <x:v>2</x:v>
      </x:c>
      <x:c r="I12" s="26" t="n">
        <x:v>17</x:v>
      </x:c>
      <x:c r="J12" s="655" t="n">
        <x:v>0.4782608695652174</x:v>
      </x:c>
      <x:c r="K12" s="657" t="n">
        <x:v>-2.859999999999999</x:v>
      </x:c>
      <x:c r="L12" s="655" t="n">
        <x:v>-0.07333333333333332</x:v>
      </x:c>
    </x:row>
    <x:row r="13" ht="22" customHeight="1">
      <x:c r="A13" s="26" t="inlineStr">
        <x:is>
          <x:t xml:space="preserve">欧冠独立赛事</x:t>
        </x:is>
      </x:c>
      <x:c r="B13" s="26" t="n">
        <x:v>0</x:v>
      </x:c>
      <x:c r="C13" s="26" t="n">
        <x:v>0</x:v>
      </x:c>
      <x:c r="D13" s="26" t="n">
        <x:v>0</x:v>
      </x:c>
      <x:c r="E13" s="26" t="n">
        <x:v>0</x:v>
      </x:c>
      <x:c r="F13" s="26" t="n">
        <x:v>0</x:v>
      </x:c>
      <x:c r="G13" s="26" t="n">
        <x:v>0</x:v>
      </x:c>
      <x:c r="H13" s="26" t="n">
        <x:v>0</x:v>
      </x:c>
      <x:c r="I13" s="26" t="n">
        <x:v>0</x:v>
      </x:c>
      <x:c r="J13" s="655" t="n"/>
      <x:c r="K13" s="657" t="n">
        <x:v>0</x:v>
      </x:c>
      <x:c r="L13" s="655" t="n"/>
    </x:row>
    <x:row r="14" ht="22" customHeight="1">
      <x:c r="A14" s="26" t="inlineStr">
        <x:is>
          <x:t xml:space="preserve">欧联独立赛事</x:t>
        </x:is>
      </x:c>
      <x:c r="B14" s="26" t="n">
        <x:v>0</x:v>
      </x:c>
      <x:c r="C14" s="26" t="n">
        <x:v>0</x:v>
      </x:c>
      <x:c r="D14" s="26" t="n">
        <x:v>0</x:v>
      </x:c>
      <x:c r="E14" s="26" t="n">
        <x:v>0</x:v>
      </x:c>
      <x:c r="F14" s="26" t="n">
        <x:v>0</x:v>
      </x:c>
      <x:c r="G14" s="26" t="n">
        <x:v>0</x:v>
      </x:c>
      <x:c r="H14" s="26" t="n">
        <x:v>0</x:v>
      </x:c>
      <x:c r="I14" s="26" t="n">
        <x:v>0</x:v>
      </x:c>
      <x:c r="J14" s="655" t="n"/>
      <x:c r="K14" s="657" t="n">
        <x:v>0</x:v>
      </x:c>
      <x:c r="L14" s="655" t="n"/>
    </x:row>
    <x:row r="15" ht="22" customHeight="1">
      <x:c r="A15" s="26" t="inlineStr">
        <x:is>
          <x:t xml:space="preserve">其他系列</x:t>
        </x:is>
      </x:c>
      <x:c r="B15" s="26" t="n">
        <x:v>305</x:v>
      </x:c>
      <x:c r="C15" s="26" t="n">
        <x:v>283</x:v>
      </x:c>
      <x:c r="D15" s="26" t="n">
        <x:v>22</x:v>
      </x:c>
      <x:c r="E15" s="26" t="n">
        <x:v>110</x:v>
      </x:c>
      <x:c r="F15" s="26" t="n">
        <x:v>14</x:v>
      </x:c>
      <x:c r="G15" s="26" t="n">
        <x:v>32</x:v>
      </x:c>
      <x:c r="H15" s="26" t="n">
        <x:v>13</x:v>
      </x:c>
      <x:c r="I15" s="26" t="n">
        <x:v>114</x:v>
      </x:c>
      <x:c r="J15" s="655" t="n">
        <x:v>0.4926315789473684</x:v>
      </x:c>
      <x:c r="K15" s="657" t="n">
        <x:v>-11.21</x:v>
      </x:c>
      <x:c r="L15" s="655" t="n">
        <x:v>-0.03961130742049469</x:v>
      </x:c>
    </x:row>
    <x:row r="16" ht="22" customHeight="1">
      <x:c r="A16" s="53" t="inlineStr">
        <x:is>
          <x:t xml:space="preserve">合计</x:t>
        </x:is>
      </x:c>
      <x:c r="B16" s="53" t="n">
        <x:v>1358</x:v>
      </x:c>
      <x:c r="C16" s="53" t="n">
        <x:v>1309</x:v>
      </x:c>
      <x:c r="D16" s="53" t="n">
        <x:v>49</x:v>
      </x:c>
      <x:c r="E16" s="53" t="n">
        <x:v>558</x:v>
      </x:c>
      <x:c r="F16" s="53" t="n">
        <x:v>78</x:v>
      </x:c>
      <x:c r="G16" s="53" t="n">
        <x:v>122</x:v>
      </x:c>
      <x:c r="H16" s="53" t="n">
        <x:v>64</x:v>
      </x:c>
      <x:c r="I16" s="53" t="n">
        <x:v>487</x:v>
      </x:c>
      <x:c r="J16" s="656" t="n">
        <x:v>0.5349462365591398</x:v>
      </x:c>
      <x:c r="K16" s="658" t="n">
        <x:v>36.68499999999999</x:v>
      </x:c>
      <x:c r="L16" s="656" t="n">
        <x:v>0.0280252100840336</x:v>
      </x:c>
    </x:row>
    <x:row r="17" ht="23" customHeight="1">
      <x:c r="A17" s="532" t="n"/>
    </x:row>
    <x:row r="18" ht="26" customHeight="1">
      <x:c r="A18" s="538" t="n"/>
      <x:c r="B18" s="538" t="n"/>
      <x:c r="C18" s="538" t="n"/>
      <x:c r="D18" s="538" t="n"/>
      <x:c r="E18" s="538" t="n"/>
      <x:c r="F18" s="538" t="n"/>
      <x:c r="G18" s="538" t="n"/>
      <x:c r="H18" s="538" t="n"/>
      <x:c r="I18" s="538" t="n"/>
      <x:c r="J18" s="538" t="n"/>
      <x:c r="K18" s="538" t="n"/>
      <x:c r="L18" s="538" t="n"/>
    </x:row>
    <x:row r="19" ht="22" customHeight="1">
      <x:c r="A19" s="26" t="inlineStr">
        <x:is>
          <x:t xml:space="preserve">杯赛</x:t>
        </x:is>
      </x:c>
      <x:c r="B19" s="26" t="n">
        <x:v>35</x:v>
      </x:c>
      <x:c r="C19" s="26" t="n">
        <x:v>34</x:v>
      </x:c>
      <x:c r="D19" s="26" t="n">
        <x:v>1</x:v>
      </x:c>
      <x:c r="E19" s="26" t="n">
        <x:v>14</x:v>
      </x:c>
      <x:c r="F19" s="26" t="n">
        <x:v>2</x:v>
      </x:c>
      <x:c r="G19" s="26" t="n">
        <x:v>1</x:v>
      </x:c>
      <x:c r="H19" s="26" t="n">
        <x:v>2</x:v>
      </x:c>
      <x:c r="I19" s="26" t="n">
        <x:v>15</x:v>
      </x:c>
      <x:c r="J19" s="655" t="n">
        <x:v>0.4838709677419355</x:v>
      </x:c>
      <x:c r="K19" s="657" t="n">
        <x:v>-1.575</x:v>
      </x:c>
      <x:c r="L19" s="655" t="n">
        <x:v>-0.04632352941176471</x:v>
      </x:c>
    </x:row>
    <x:row r="20" ht="22" customHeight="1">
      <x:c r="A20" s="26" t="inlineStr">
        <x:is>
          <x:t xml:space="preserve">联赛</x:t>
        </x:is>
      </x:c>
      <x:c r="B20" s="26" t="n">
        <x:v>316</x:v>
      </x:c>
      <x:c r="C20" s="26" t="n">
        <x:v>312</x:v>
      </x:c>
      <x:c r="D20" s="26" t="n">
        <x:v>4</x:v>
      </x:c>
      <x:c r="E20" s="26" t="n">
        <x:v>126</x:v>
      </x:c>
      <x:c r="F20" s="26" t="n">
        <x:v>25</x:v>
      </x:c>
      <x:c r="G20" s="26" t="n">
        <x:v>15</x:v>
      </x:c>
      <x:c r="H20" s="26" t="n">
        <x:v>21</x:v>
      </x:c>
      <x:c r="I20" s="26" t="n">
        <x:v>125</x:v>
      </x:c>
      <x:c r="J20" s="655" t="n">
        <x:v>0.5054744525547445</x:v>
      </x:c>
      <x:c r="K20" s="657" t="n">
        <x:v>5.705000000000004</x:v>
      </x:c>
      <x:c r="L20" s="655" t="n">
        <x:v>0.01828525641025642</x:v>
      </x:c>
    </x:row>
    <x:row r="21" ht="22" customHeight="1">
      <x:c r="A21" s="53" t="n"/>
      <x:c r="B21" s="53" t="n"/>
      <x:c r="C21" s="53" t="n"/>
      <x:c r="D21" s="53" t="n"/>
      <x:c r="E21" s="53" t="n"/>
      <x:c r="F21" s="53" t="n"/>
      <x:c r="G21" s="53" t="n"/>
      <x:c r="H21" s="53" t="n"/>
      <x:c r="I21" s="53" t="n"/>
      <x:c r="J21" s="53" t="n"/>
      <x:c r="K21" s="53" t="n"/>
      <x:c r="L21" s="53" t="n"/>
    </x:row>
    <x:row r="22" ht="23" customHeight="1">
      <x:c r="A22" s="532" t="inlineStr">
        <x:is>
          <x:t xml:space="preserve">联赛/杯赛统计</x:t>
        </x:is>
      </x:c>
    </x:row>
    <x:row r="23" ht="26" customHeight="1">
      <x:c r="A23" s="538" t="inlineStr">
        <x:is>
          <x:t xml:space="preserve">分类</x:t>
        </x:is>
      </x:c>
      <x:c r="B23" s="538" t="inlineStr">
        <x:is>
          <x:t xml:space="preserve">候选</x:t>
        </x:is>
      </x:c>
      <x:c r="C23" s="538" t="inlineStr">
        <x:is>
          <x:t xml:space="preserve">已结算</x:t>
        </x:is>
      </x:c>
      <x:c r="D23" s="538" t="inlineStr">
        <x:is>
          <x:t xml:space="preserve">未结算</x:t>
        </x:is>
      </x:c>
      <x:c r="E23" s="538" t="inlineStr">
        <x:is>
          <x:t xml:space="preserve">红</x:t>
        </x:is>
      </x:c>
      <x:c r="F23" s="538" t="inlineStr">
        <x:is>
          <x:t xml:space="preserve">半红</x:t>
        </x:is>
      </x:c>
      <x:c r="G23" s="538" t="inlineStr">
        <x:is>
          <x:t xml:space="preserve">走</x:t>
        </x:is>
      </x:c>
      <x:c r="H23" s="538" t="inlineStr">
        <x:is>
          <x:t xml:space="preserve">半黑</x:t>
        </x:is>
      </x:c>
      <x:c r="I23" s="538" t="inlineStr">
        <x:is>
          <x:t xml:space="preserve">黑</x:t>
        </x:is>
      </x:c>
      <x:c r="J23" s="538" t="inlineStr">
        <x:is>
          <x:t xml:space="preserve">有效胜率</x:t>
        </x:is>
      </x:c>
      <x:c r="K23" s="538" t="inlineStr">
        <x:is>
          <x:t xml:space="preserve">盈亏(u)</x:t>
        </x:is>
      </x:c>
      <x:c r="L23" s="538" t="inlineStr">
        <x:is>
          <x:t xml:space="preserve">ROI</x:t>
        </x:is>
      </x:c>
    </x:row>
    <x:row r="24" ht="22" customHeight="1">
      <x:c r="A24" s="26" t="inlineStr">
        <x:is>
          <x:t xml:space="preserve">世女杯U20</x:t>
        </x:is>
      </x:c>
      <x:c r="B24" s="26" t="n">
        <x:v>3</x:v>
      </x:c>
      <x:c r="C24" s="26" t="n">
        <x:v>3</x:v>
      </x:c>
      <x:c r="D24" s="26" t="n">
        <x:v>0</x:v>
      </x:c>
      <x:c r="E24" s="26" t="n">
        <x:v>0</x:v>
      </x:c>
      <x:c r="F24" s="26" t="n">
        <x:v>1</x:v>
      </x:c>
      <x:c r="G24" s="26" t="n">
        <x:v>0</x:v>
      </x:c>
      <x:c r="H24" s="26" t="n">
        <x:v>0</x:v>
      </x:c>
      <x:c r="I24" s="26" t="n">
        <x:v>2</x:v>
      </x:c>
      <x:c r="J24" s="655" t="n">
        <x:v>0.2</x:v>
      </x:c>
      <x:c r="K24" s="657" t="n">
        <x:v>-1.52</x:v>
      </x:c>
      <x:c r="L24" s="655" t="n">
        <x:v>-0.5066666666666667</x:v>
      </x:c>
    </x:row>
    <x:row r="25" ht="22" customHeight="1">
      <x:c r="A25" s="26" t="inlineStr">
        <x:is>
          <x:t xml:space="preserve">中甲</x:t>
        </x:is>
      </x:c>
      <x:c r="B25" s="26" t="n">
        <x:v>2</x:v>
      </x:c>
      <x:c r="C25" s="26" t="n">
        <x:v>2</x:v>
      </x:c>
      <x:c r="D25" s="26" t="n">
        <x:v>0</x:v>
      </x:c>
      <x:c r="E25" s="26" t="n">
        <x:v>2</x:v>
      </x:c>
      <x:c r="F25" s="26" t="n">
        <x:v>0</x:v>
      </x:c>
      <x:c r="G25" s="26" t="n">
        <x:v>0</x:v>
      </x:c>
      <x:c r="H25" s="26" t="n">
        <x:v>0</x:v>
      </x:c>
      <x:c r="I25" s="26" t="n">
        <x:v>0</x:v>
      </x:c>
      <x:c r="J25" s="655" t="n">
        <x:v>1</x:v>
      </x:c>
      <x:c r="K25" s="657" t="n">
        <x:v>2.02</x:v>
      </x:c>
      <x:c r="L25" s="655" t="n">
        <x:v>1.01</x:v>
      </x:c>
    </x:row>
    <x:row r="26" ht="22" customHeight="1">
      <x:c r="A26" s="26" t="inlineStr">
        <x:is>
          <x:t xml:space="preserve">丹麦杯</x:t>
        </x:is>
      </x:c>
      <x:c r="B26" s="26" t="n">
        <x:v>1</x:v>
      </x:c>
      <x:c r="C26" s="26" t="n">
        <x:v>1</x:v>
      </x:c>
      <x:c r="D26" s="26" t="n">
        <x:v>0</x:v>
      </x:c>
      <x:c r="E26" s="26" t="n">
        <x:v>0</x:v>
      </x:c>
      <x:c r="F26" s="26" t="n">
        <x:v>0</x:v>
      </x:c>
      <x:c r="G26" s="26" t="n">
        <x:v>0</x:v>
      </x:c>
      <x:c r="H26" s="26" t="n">
        <x:v>0</x:v>
      </x:c>
      <x:c r="I26" s="26" t="n">
        <x:v>1</x:v>
      </x:c>
      <x:c r="J26" s="655" t="n">
        <x:v>0</x:v>
      </x:c>
      <x:c r="K26" s="657" t="n">
        <x:v>-1</x:v>
      </x:c>
      <x:c r="L26" s="655" t="n">
        <x:v>-1</x:v>
      </x:c>
    </x:row>
    <x:row r="27" ht="22" customHeight="1">
      <x:c r="A27" s="26" t="inlineStr">
        <x:is>
          <x:t xml:space="preserve">丹麦甲</x:t>
        </x:is>
      </x:c>
      <x:c r="B27" s="26" t="n">
        <x:v>2</x:v>
      </x:c>
      <x:c r="C27" s="26" t="n">
        <x:v>2</x:v>
      </x:c>
      <x:c r="D27" s="26" t="n">
        <x:v>0</x:v>
      </x:c>
      <x:c r="E27" s="26" t="n">
        <x:v>0</x:v>
      </x:c>
      <x:c r="F27" s="26" t="n">
        <x:v>0</x:v>
      </x:c>
      <x:c r="G27" s="26" t="n">
        <x:v>0</x:v>
      </x:c>
      <x:c r="H27" s="26" t="n">
        <x:v>0</x:v>
      </x:c>
      <x:c r="I27" s="26" t="n">
        <x:v>2</x:v>
      </x:c>
      <x:c r="J27" s="655" t="n">
        <x:v>0</x:v>
      </x:c>
      <x:c r="K27" s="657" t="n">
        <x:v>-2</x:v>
      </x:c>
      <x:c r="L27" s="655" t="n">
        <x:v>-1</x:v>
      </x:c>
    </x:row>
    <x:row r="28" ht="22" customHeight="1">
      <x:c r="A28" s="26" t="inlineStr">
        <x:is>
          <x:t xml:space="preserve">丹麦超</x:t>
        </x:is>
      </x:c>
      <x:c r="B28" s="26" t="n">
        <x:v>2</x:v>
      </x:c>
      <x:c r="C28" s="26" t="n">
        <x:v>2</x:v>
      </x:c>
      <x:c r="D28" s="26" t="n">
        <x:v>0</x:v>
      </x:c>
      <x:c r="E28" s="26" t="n">
        <x:v>1</x:v>
      </x:c>
      <x:c r="F28" s="26" t="n">
        <x:v>0</x:v>
      </x:c>
      <x:c r="G28" s="26" t="n">
        <x:v>0</x:v>
      </x:c>
      <x:c r="H28" s="26" t="n">
        <x:v>0</x:v>
      </x:c>
      <x:c r="I28" s="26" t="n">
        <x:v>1</x:v>
      </x:c>
      <x:c r="J28" s="655" t="n">
        <x:v>0.5</x:v>
      </x:c>
      <x:c r="K28" s="657" t="n">
        <x:v>0.03000000000000003</x:v>
      </x:c>
      <x:c r="L28" s="655" t="n">
        <x:v>0.01500000000000001</x:v>
      </x:c>
    </x:row>
    <x:row r="29" ht="22" customHeight="1">
      <x:c r="A29" s="26" t="inlineStr">
        <x:is>
          <x:t xml:space="preserve">乌克超</x:t>
        </x:is>
      </x:c>
      <x:c r="B29" s="26" t="n">
        <x:v>2</x:v>
      </x:c>
      <x:c r="C29" s="26" t="n">
        <x:v>2</x:v>
      </x:c>
      <x:c r="D29" s="26" t="n">
        <x:v>0</x:v>
      </x:c>
      <x:c r="E29" s="26" t="n">
        <x:v>2</x:v>
      </x:c>
      <x:c r="F29" s="26" t="n">
        <x:v>0</x:v>
      </x:c>
      <x:c r="G29" s="26" t="n">
        <x:v>0</x:v>
      </x:c>
      <x:c r="H29" s="26" t="n">
        <x:v>0</x:v>
      </x:c>
      <x:c r="I29" s="26" t="n">
        <x:v>0</x:v>
      </x:c>
      <x:c r="J29" s="655" t="n">
        <x:v>1</x:v>
      </x:c>
      <x:c r="K29" s="657" t="n">
        <x:v>2.36</x:v>
      </x:c>
      <x:c r="L29" s="655" t="n">
        <x:v>1.18</x:v>
      </x:c>
    </x:row>
    <x:row r="30" ht="22" customHeight="1">
      <x:c r="A30" s="26" t="inlineStr">
        <x:is>
          <x:t xml:space="preserve">乌拉甲秋</x:t>
        </x:is>
      </x:c>
      <x:c r="B30" s="26" t="n">
        <x:v>1</x:v>
      </x:c>
      <x:c r="C30" s="26" t="n">
        <x:v>1</x:v>
      </x:c>
      <x:c r="D30" s="26" t="n">
        <x:v>0</x:v>
      </x:c>
      <x:c r="E30" s="26" t="n">
        <x:v>0</x:v>
      </x:c>
      <x:c r="F30" s="26" t="n">
        <x:v>0</x:v>
      </x:c>
      <x:c r="G30" s="26" t="n">
        <x:v>1</x:v>
      </x:c>
      <x:c r="H30" s="26" t="n">
        <x:v>0</x:v>
      </x:c>
      <x:c r="I30" s="26" t="n">
        <x:v>0</x:v>
      </x:c>
      <x:c r="J30" s="655" t="n"/>
      <x:c r="K30" s="657" t="n">
        <x:v>0</x:v>
      </x:c>
      <x:c r="L30" s="655" t="n">
        <x:v>0</x:v>
      </x:c>
    </x:row>
    <x:row r="31" ht="22" customHeight="1">
      <x:c r="A31" s="26" t="inlineStr">
        <x:is>
          <x:t xml:space="preserve">亚冠精英</x:t>
        </x:is>
      </x:c>
      <x:c r="B31" s="26" t="n">
        <x:v>4</x:v>
      </x:c>
      <x:c r="C31" s="26" t="n">
        <x:v>4</x:v>
      </x:c>
      <x:c r="D31" s="26" t="n">
        <x:v>0</x:v>
      </x:c>
      <x:c r="E31" s="26" t="n">
        <x:v>2</x:v>
      </x:c>
      <x:c r="F31" s="26" t="n">
        <x:v>0</x:v>
      </x:c>
      <x:c r="G31" s="26" t="n">
        <x:v>0</x:v>
      </x:c>
      <x:c r="H31" s="26" t="n">
        <x:v>0</x:v>
      </x:c>
      <x:c r="I31" s="26" t="n">
        <x:v>2</x:v>
      </x:c>
      <x:c r="J31" s="655" t="n">
        <x:v>0.5</x:v>
      </x:c>
      <x:c r="K31" s="657" t="n">
        <x:v>0</x:v>
      </x:c>
      <x:c r="L31" s="655" t="n">
        <x:v>0</x:v>
      </x:c>
    </x:row>
    <x:row r="32" ht="22" customHeight="1">
      <x:c r="A32" s="26" t="inlineStr">
        <x:is>
          <x:t xml:space="preserve">亚冠联2</x:t>
        </x:is>
      </x:c>
      <x:c r="B32" s="26" t="n">
        <x:v>3</x:v>
      </x:c>
      <x:c r="C32" s="26" t="n">
        <x:v>3</x:v>
      </x:c>
      <x:c r="D32" s="26" t="n">
        <x:v>0</x:v>
      </x:c>
      <x:c r="E32" s="26" t="n">
        <x:v>0</x:v>
      </x:c>
      <x:c r="F32" s="26" t="n">
        <x:v>0</x:v>
      </x:c>
      <x:c r="G32" s="26" t="n">
        <x:v>0</x:v>
      </x:c>
      <x:c r="H32" s="26" t="n">
        <x:v>0</x:v>
      </x:c>
      <x:c r="I32" s="26" t="n">
        <x:v>3</x:v>
      </x:c>
      <x:c r="J32" s="655" t="n">
        <x:v>0</x:v>
      </x:c>
      <x:c r="K32" s="657" t="n">
        <x:v>-3</x:v>
      </x:c>
      <x:c r="L32" s="655" t="n">
        <x:v>-1</x:v>
      </x:c>
    </x:row>
    <x:row r="33" ht="22" customHeight="1">
      <x:c r="A33" s="26" t="inlineStr">
        <x:is>
          <x:t xml:space="preserve">亚运女足</x:t>
        </x:is>
      </x:c>
      <x:c r="B33" s="26" t="n">
        <x:v>2</x:v>
      </x:c>
      <x:c r="C33" s="26" t="n">
        <x:v>0</x:v>
      </x:c>
      <x:c r="D33" s="26" t="n">
        <x:v>2</x:v>
      </x:c>
      <x:c r="E33" s="26" t="n">
        <x:v>0</x:v>
      </x:c>
      <x:c r="F33" s="26" t="n">
        <x:v>0</x:v>
      </x:c>
      <x:c r="G33" s="26" t="n">
        <x:v>0</x:v>
      </x:c>
      <x:c r="H33" s="26" t="n">
        <x:v>0</x:v>
      </x:c>
      <x:c r="I33" s="26" t="n">
        <x:v>0</x:v>
      </x:c>
      <x:c r="J33" s="655" t="n"/>
      <x:c r="K33" s="657" t="n">
        <x:v>0</x:v>
      </x:c>
      <x:c r="L33" s="655" t="n"/>
    </x:row>
    <x:row r="34" ht="22" customHeight="1">
      <x:c r="A34" s="26" t="inlineStr">
        <x:is>
          <x:t xml:space="preserve">亚运男足</x:t>
        </x:is>
      </x:c>
      <x:c r="B34" s="26" t="n">
        <x:v>2</x:v>
      </x:c>
      <x:c r="C34" s="26" t="n">
        <x:v>2</x:v>
      </x:c>
      <x:c r="D34" s="26" t="n">
        <x:v>0</x:v>
      </x:c>
      <x:c r="E34" s="26" t="n">
        <x:v>1</x:v>
      </x:c>
      <x:c r="F34" s="26" t="n">
        <x:v>0</x:v>
      </x:c>
      <x:c r="G34" s="26" t="n">
        <x:v>0</x:v>
      </x:c>
      <x:c r="H34" s="26" t="n">
        <x:v>0</x:v>
      </x:c>
      <x:c r="I34" s="26" t="n">
        <x:v>1</x:v>
      </x:c>
      <x:c r="J34" s="655" t="n">
        <x:v>0.5</x:v>
      </x:c>
      <x:c r="K34" s="657" t="n">
        <x:v>-0.14</x:v>
      </x:c>
      <x:c r="L34" s="655" t="n">
        <x:v>-0.07000000000000001</x:v>
      </x:c>
    </x:row>
    <x:row r="35" ht="22" customHeight="1">
      <x:c r="A35" s="26" t="inlineStr">
        <x:is>
          <x:t xml:space="preserve">以甲</x:t>
        </x:is>
      </x:c>
      <x:c r="B35" s="26" t="n">
        <x:v>1</x:v>
      </x:c>
      <x:c r="C35" s="26" t="n">
        <x:v>1</x:v>
      </x:c>
      <x:c r="D35" s="26" t="n">
        <x:v>0</x:v>
      </x:c>
      <x:c r="E35" s="26" t="n">
        <x:v>1</x:v>
      </x:c>
      <x:c r="F35" s="26" t="n">
        <x:v>0</x:v>
      </x:c>
      <x:c r="G35" s="26" t="n">
        <x:v>0</x:v>
      </x:c>
      <x:c r="H35" s="26" t="n">
        <x:v>0</x:v>
      </x:c>
      <x:c r="I35" s="26" t="n">
        <x:v>0</x:v>
      </x:c>
      <x:c r="J35" s="655" t="n">
        <x:v>1</x:v>
      </x:c>
      <x:c r="K35" s="657" t="n">
        <x:v>1.05</x:v>
      </x:c>
      <x:c r="L35" s="655" t="n">
        <x:v>1.05</x:v>
      </x:c>
    </x:row>
    <x:row r="36" ht="22" customHeight="1">
      <x:c r="A36" s="26" t="inlineStr">
        <x:is>
          <x:t xml:space="preserve">以超</x:t>
        </x:is>
      </x:c>
      <x:c r="B36" s="26" t="n">
        <x:v>2</x:v>
      </x:c>
      <x:c r="C36" s="26" t="n">
        <x:v>2</x:v>
      </x:c>
      <x:c r="D36" s="26" t="n">
        <x:v>0</x:v>
      </x:c>
      <x:c r="E36" s="26" t="n">
        <x:v>0</x:v>
      </x:c>
      <x:c r="F36" s="26" t="n">
        <x:v>0</x:v>
      </x:c>
      <x:c r="G36" s="26" t="n">
        <x:v>1</x:v>
      </x:c>
      <x:c r="H36" s="26" t="n">
        <x:v>0</x:v>
      </x:c>
      <x:c r="I36" s="26" t="n">
        <x:v>1</x:v>
      </x:c>
      <x:c r="J36" s="655" t="n">
        <x:v>0</x:v>
      </x:c>
      <x:c r="K36" s="657" t="n">
        <x:v>-1</x:v>
      </x:c>
      <x:c r="L36" s="655" t="n">
        <x:v>-0.5</x:v>
      </x:c>
    </x:row>
    <x:row r="37" ht="22" customHeight="1">
      <x:c r="A37" s="26" t="inlineStr">
        <x:is>
          <x:t xml:space="preserve">俄甲</x:t>
        </x:is>
      </x:c>
      <x:c r="B37" s="26" t="n">
        <x:v>2</x:v>
      </x:c>
      <x:c r="C37" s="26" t="n">
        <x:v>2</x:v>
      </x:c>
      <x:c r="D37" s="26" t="n">
        <x:v>0</x:v>
      </x:c>
      <x:c r="E37" s="26" t="n">
        <x:v>0</x:v>
      </x:c>
      <x:c r="F37" s="26" t="n">
        <x:v>0</x:v>
      </x:c>
      <x:c r="G37" s="26" t="n">
        <x:v>0</x:v>
      </x:c>
      <x:c r="H37" s="26" t="n">
        <x:v>0</x:v>
      </x:c>
      <x:c r="I37" s="26" t="n">
        <x:v>2</x:v>
      </x:c>
      <x:c r="J37" s="655" t="n">
        <x:v>0</x:v>
      </x:c>
      <x:c r="K37" s="657" t="n">
        <x:v>-2</x:v>
      </x:c>
      <x:c r="L37" s="655" t="n">
        <x:v>-1</x:v>
      </x:c>
    </x:row>
    <x:row r="38" ht="22" customHeight="1">
      <x:c r="A38" s="26" t="inlineStr">
        <x:is>
          <x:t xml:space="preserve">俄超</x:t>
        </x:is>
      </x:c>
      <x:c r="B38" s="26" t="n">
        <x:v>5</x:v>
      </x:c>
      <x:c r="C38" s="26" t="n">
        <x:v>5</x:v>
      </x:c>
      <x:c r="D38" s="26" t="n">
        <x:v>0</x:v>
      </x:c>
      <x:c r="E38" s="26" t="n">
        <x:v>1</x:v>
      </x:c>
      <x:c r="F38" s="26" t="n">
        <x:v>1</x:v>
      </x:c>
      <x:c r="G38" s="26" t="n">
        <x:v>0</x:v>
      </x:c>
      <x:c r="H38" s="26" t="n">
        <x:v>0</x:v>
      </x:c>
      <x:c r="I38" s="26" t="n">
        <x:v>3</x:v>
      </x:c>
      <x:c r="J38" s="655" t="n">
        <x:v>0.3333333333333333</x:v>
      </x:c>
      <x:c r="K38" s="657" t="n">
        <x:v>-1.41</x:v>
      </x:c>
      <x:c r="L38" s="655" t="n">
        <x:v>-0.282</x:v>
      </x:c>
    </x:row>
    <x:row r="39" ht="22" customHeight="1">
      <x:c r="A39" s="26" t="inlineStr">
        <x:is>
          <x:t xml:space="preserve">俄青联</x:t>
        </x:is>
      </x:c>
      <x:c r="B39" s="26" t="n">
        <x:v>1</x:v>
      </x:c>
      <x:c r="C39" s="26" t="n">
        <x:v>1</x:v>
      </x:c>
      <x:c r="D39" s="26" t="n">
        <x:v>0</x:v>
      </x:c>
      <x:c r="E39" s="26" t="n">
        <x:v>0</x:v>
      </x:c>
      <x:c r="F39" s="26" t="n">
        <x:v>1</x:v>
      </x:c>
      <x:c r="G39" s="26" t="n">
        <x:v>0</x:v>
      </x:c>
      <x:c r="H39" s="26" t="n">
        <x:v>0</x:v>
      </x:c>
      <x:c r="I39" s="26" t="n">
        <x:v>0</x:v>
      </x:c>
      <x:c r="J39" s="655" t="n">
        <x:v>1</x:v>
      </x:c>
      <x:c r="K39" s="657" t="n">
        <x:v>0.555</x:v>
      </x:c>
      <x:c r="L39" s="655" t="n">
        <x:v>0.555</x:v>
      </x:c>
    </x:row>
    <x:row r="40" ht="22" customHeight="1">
      <x:c r="A40" s="26" t="inlineStr">
        <x:is>
          <x:t xml:space="preserve">保乙</x:t>
        </x:is>
      </x:c>
      <x:c r="B40" s="26" t="n">
        <x:v>2</x:v>
      </x:c>
      <x:c r="C40" s="26" t="n">
        <x:v>2</x:v>
      </x:c>
      <x:c r="D40" s="26" t="n">
        <x:v>0</x:v>
      </x:c>
      <x:c r="E40" s="26" t="n">
        <x:v>2</x:v>
      </x:c>
      <x:c r="F40" s="26" t="n">
        <x:v>0</x:v>
      </x:c>
      <x:c r="G40" s="26" t="n">
        <x:v>0</x:v>
      </x:c>
      <x:c r="H40" s="26" t="n">
        <x:v>0</x:v>
      </x:c>
      <x:c r="I40" s="26" t="n">
        <x:v>0</x:v>
      </x:c>
      <x:c r="J40" s="655" t="n">
        <x:v>1</x:v>
      </x:c>
      <x:c r="K40" s="657" t="n">
        <x:v>2.08</x:v>
      </x:c>
      <x:c r="L40" s="655" t="n">
        <x:v>1.04</x:v>
      </x:c>
    </x:row>
    <x:row r="41" ht="22" customHeight="1">
      <x:c r="A41" s="26" t="inlineStr">
        <x:is>
          <x:t xml:space="preserve">保甲</x:t>
        </x:is>
      </x:c>
      <x:c r="B41" s="26" t="n">
        <x:v>2</x:v>
      </x:c>
      <x:c r="C41" s="26" t="n">
        <x:v>2</x:v>
      </x:c>
      <x:c r="D41" s="26" t="n">
        <x:v>0</x:v>
      </x:c>
      <x:c r="E41" s="26" t="n">
        <x:v>1</x:v>
      </x:c>
      <x:c r="F41" s="26" t="n">
        <x:v>0</x:v>
      </x:c>
      <x:c r="G41" s="26" t="n">
        <x:v>0</x:v>
      </x:c>
      <x:c r="H41" s="26" t="n">
        <x:v>0</x:v>
      </x:c>
      <x:c r="I41" s="26" t="n">
        <x:v>1</x:v>
      </x:c>
      <x:c r="J41" s="655" t="n">
        <x:v>0.5</x:v>
      </x:c>
      <x:c r="K41" s="657" t="n">
        <x:v>-0.13</x:v>
      </x:c>
      <x:c r="L41" s="655" t="n">
        <x:v>-0.065</x:v>
      </x:c>
    </x:row>
    <x:row r="42" ht="22" customHeight="1">
      <x:c r="A42" s="26" t="inlineStr">
        <x:is>
          <x:t xml:space="preserve">克亚甲</x:t>
        </x:is>
      </x:c>
      <x:c r="B42" s="26" t="n">
        <x:v>3</x:v>
      </x:c>
      <x:c r="C42" s="26" t="n">
        <x:v>3</x:v>
      </x:c>
      <x:c r="D42" s="26" t="n">
        <x:v>0</x:v>
      </x:c>
      <x:c r="E42" s="26" t="n">
        <x:v>0</x:v>
      </x:c>
      <x:c r="F42" s="26" t="n">
        <x:v>2</x:v>
      </x:c>
      <x:c r="G42" s="26" t="n">
        <x:v>0</x:v>
      </x:c>
      <x:c r="H42" s="26" t="n">
        <x:v>0</x:v>
      </x:c>
      <x:c r="I42" s="26" t="n">
        <x:v>1</x:v>
      </x:c>
      <x:c r="J42" s="655" t="n">
        <x:v>0.5</x:v>
      </x:c>
      <x:c r="K42" s="657" t="n">
        <x:v>0.04500000000000004</x:v>
      </x:c>
      <x:c r="L42" s="655" t="n">
        <x:v>0.01500000000000001</x:v>
      </x:c>
    </x:row>
    <x:row r="43" ht="22" customHeight="1">
      <x:c r="A43" s="26" t="inlineStr">
        <x:is>
          <x:t xml:space="preserve">冰岛甲</x:t>
        </x:is>
      </x:c>
      <x:c r="B43" s="26" t="n">
        <x:v>1</x:v>
      </x:c>
      <x:c r="C43" s="26" t="n">
        <x:v>1</x:v>
      </x:c>
      <x:c r="D43" s="26" t="n">
        <x:v>0</x:v>
      </x:c>
      <x:c r="E43" s="26" t="n">
        <x:v>0</x:v>
      </x:c>
      <x:c r="F43" s="26" t="n">
        <x:v>0</x:v>
      </x:c>
      <x:c r="G43" s="26" t="n">
        <x:v>0</x:v>
      </x:c>
      <x:c r="H43" s="26" t="n">
        <x:v>0</x:v>
      </x:c>
      <x:c r="I43" s="26" t="n">
        <x:v>1</x:v>
      </x:c>
      <x:c r="J43" s="655" t="n">
        <x:v>0</x:v>
      </x:c>
      <x:c r="K43" s="657" t="n">
        <x:v>-1</x:v>
      </x:c>
      <x:c r="L43" s="655" t="n">
        <x:v>-1</x:v>
      </x:c>
    </x:row>
    <x:row r="44" ht="22" customHeight="1">
      <x:c r="A44" s="26" t="inlineStr">
        <x:is>
          <x:t xml:space="preserve">冰岛超冠</x:t>
        </x:is>
      </x:c>
      <x:c r="B44" s="26" t="n">
        <x:v>1</x:v>
      </x:c>
      <x:c r="C44" s="26" t="n">
        <x:v>1</x:v>
      </x:c>
      <x:c r="D44" s="26" t="n">
        <x:v>0</x:v>
      </x:c>
      <x:c r="E44" s="26" t="n">
        <x:v>1</x:v>
      </x:c>
      <x:c r="F44" s="26" t="n">
        <x:v>0</x:v>
      </x:c>
      <x:c r="G44" s="26" t="n">
        <x:v>0</x:v>
      </x:c>
      <x:c r="H44" s="26" t="n">
        <x:v>0</x:v>
      </x:c>
      <x:c r="I44" s="26" t="n">
        <x:v>0</x:v>
      </x:c>
      <x:c r="J44" s="655" t="n">
        <x:v>1</x:v>
      </x:c>
      <x:c r="K44" s="657" t="n">
        <x:v>0.88</x:v>
      </x:c>
      <x:c r="L44" s="655" t="n">
        <x:v>0.88</x:v>
      </x:c>
    </x:row>
    <x:row r="45" ht="22" customHeight="1">
      <x:c r="A45" s="26" t="inlineStr">
        <x:is>
          <x:t xml:space="preserve">冰岛超降</x:t>
        </x:is>
      </x:c>
      <x:c r="B45" s="26" t="n">
        <x:v>1</x:v>
      </x:c>
      <x:c r="C45" s="26" t="n">
        <x:v>1</x:v>
      </x:c>
      <x:c r="D45" s="26" t="n">
        <x:v>0</x:v>
      </x:c>
      <x:c r="E45" s="26" t="n">
        <x:v>0</x:v>
      </x:c>
      <x:c r="F45" s="26" t="n">
        <x:v>0</x:v>
      </x:c>
      <x:c r="G45" s="26" t="n">
        <x:v>0</x:v>
      </x:c>
      <x:c r="H45" s="26" t="n">
        <x:v>0</x:v>
      </x:c>
      <x:c r="I45" s="26" t="n">
        <x:v>1</x:v>
      </x:c>
      <x:c r="J45" s="655" t="n">
        <x:v>0</x:v>
      </x:c>
      <x:c r="K45" s="657" t="n">
        <x:v>-1</x:v>
      </x:c>
      <x:c r="L45" s="655" t="n">
        <x:v>-1</x:v>
      </x:c>
    </x:row>
    <x:row r="46" ht="22" customHeight="1">
      <x:c r="A46" s="26" t="inlineStr">
        <x:is>
          <x:t xml:space="preserve">匈甲</x:t>
        </x:is>
      </x:c>
      <x:c r="B46" s="26" t="n">
        <x:v>1</x:v>
      </x:c>
      <x:c r="C46" s="26" t="n">
        <x:v>1</x:v>
      </x:c>
      <x:c r="D46" s="26" t="n">
        <x:v>0</x:v>
      </x:c>
      <x:c r="E46" s="26" t="n">
        <x:v>0</x:v>
      </x:c>
      <x:c r="F46" s="26" t="n">
        <x:v>0</x:v>
      </x:c>
      <x:c r="G46" s="26" t="n">
        <x:v>0</x:v>
      </x:c>
      <x:c r="H46" s="26" t="n">
        <x:v>0</x:v>
      </x:c>
      <x:c r="I46" s="26" t="n">
        <x:v>1</x:v>
      </x:c>
      <x:c r="J46" s="655" t="n">
        <x:v>0</x:v>
      </x:c>
      <x:c r="K46" s="657" t="n">
        <x:v>-1</x:v>
      </x:c>
      <x:c r="L46" s="655" t="n">
        <x:v>-1</x:v>
      </x:c>
    </x:row>
    <x:row r="47" ht="22" customHeight="1">
      <x:c r="A47" s="26" t="inlineStr">
        <x:is>
          <x:t xml:space="preserve">南美杯</x:t>
        </x:is>
      </x:c>
      <x:c r="B47" s="26" t="n">
        <x:v>2</x:v>
      </x:c>
      <x:c r="C47" s="26" t="n">
        <x:v>2</x:v>
      </x:c>
      <x:c r="D47" s="26" t="n">
        <x:v>0</x:v>
      </x:c>
      <x:c r="E47" s="26" t="n">
        <x:v>0</x:v>
      </x:c>
      <x:c r="F47" s="26" t="n">
        <x:v>0</x:v>
      </x:c>
      <x:c r="G47" s="26" t="n">
        <x:v>0</x:v>
      </x:c>
      <x:c r="H47" s="26" t="n">
        <x:v>0</x:v>
      </x:c>
      <x:c r="I47" s="26" t="n">
        <x:v>2</x:v>
      </x:c>
      <x:c r="J47" s="655" t="n">
        <x:v>0</x:v>
      </x:c>
      <x:c r="K47" s="657" t="n">
        <x:v>-2</x:v>
      </x:c>
      <x:c r="L47" s="655" t="n">
        <x:v>-1</x:v>
      </x:c>
    </x:row>
    <x:row r="48" ht="22" customHeight="1">
      <x:c r="A48" s="26" t="inlineStr">
        <x:is>
          <x:t xml:space="preserve">印尼甲</x:t>
        </x:is>
      </x:c>
      <x:c r="B48" s="26" t="n">
        <x:v>1</x:v>
      </x:c>
      <x:c r="C48" s="26" t="n">
        <x:v>1</x:v>
      </x:c>
      <x:c r="D48" s="26" t="n">
        <x:v>0</x:v>
      </x:c>
      <x:c r="E48" s="26" t="n">
        <x:v>0</x:v>
      </x:c>
      <x:c r="F48" s="26" t="n">
        <x:v>0</x:v>
      </x:c>
      <x:c r="G48" s="26" t="n">
        <x:v>0</x:v>
      </x:c>
      <x:c r="H48" s="26" t="n">
        <x:v>0</x:v>
      </x:c>
      <x:c r="I48" s="26" t="n">
        <x:v>1</x:v>
      </x:c>
      <x:c r="J48" s="655" t="n">
        <x:v>0</x:v>
      </x:c>
      <x:c r="K48" s="657" t="n">
        <x:v>-1</x:v>
      </x:c>
      <x:c r="L48" s="655" t="n">
        <x:v>-1</x:v>
      </x:c>
    </x:row>
    <x:row r="49" ht="22" customHeight="1">
      <x:c r="A49" s="26" t="inlineStr">
        <x:is>
          <x:t xml:space="preserve">印尼超</x:t>
        </x:is>
      </x:c>
      <x:c r="B49" s="26" t="n">
        <x:v>4</x:v>
      </x:c>
      <x:c r="C49" s="26" t="n">
        <x:v>4</x:v>
      </x:c>
      <x:c r="D49" s="26" t="n">
        <x:v>0</x:v>
      </x:c>
      <x:c r="E49" s="26" t="n">
        <x:v>1</x:v>
      </x:c>
      <x:c r="F49" s="26" t="n">
        <x:v>0</x:v>
      </x:c>
      <x:c r="G49" s="26" t="n">
        <x:v>2</x:v>
      </x:c>
      <x:c r="H49" s="26" t="n">
        <x:v>0</x:v>
      </x:c>
      <x:c r="I49" s="26" t="n">
        <x:v>1</x:v>
      </x:c>
      <x:c r="J49" s="655" t="n">
        <x:v>0.5</x:v>
      </x:c>
      <x:c r="K49" s="657" t="n">
        <x:v>-0.11</x:v>
      </x:c>
      <x:c r="L49" s="655" t="n">
        <x:v>-0.0275</x:v>
      </x:c>
    </x:row>
    <x:row r="50" ht="22" customHeight="1">
      <x:c r="A50" s="26" t="inlineStr">
        <x:is>
          <x:t xml:space="preserve">厄瓜乙</x:t>
        </x:is>
      </x:c>
      <x:c r="B50" s="26" t="n">
        <x:v>1</x:v>
      </x:c>
      <x:c r="C50" s="26" t="n">
        <x:v>1</x:v>
      </x:c>
      <x:c r="D50" s="26" t="n">
        <x:v>0</x:v>
      </x:c>
      <x:c r="E50" s="26" t="n">
        <x:v>0</x:v>
      </x:c>
      <x:c r="F50" s="26" t="n">
        <x:v>1</x:v>
      </x:c>
      <x:c r="G50" s="26" t="n">
        <x:v>0</x:v>
      </x:c>
      <x:c r="H50" s="26" t="n">
        <x:v>0</x:v>
      </x:c>
      <x:c r="I50" s="26" t="n">
        <x:v>0</x:v>
      </x:c>
      <x:c r="J50" s="655" t="n">
        <x:v>1</x:v>
      </x:c>
      <x:c r="K50" s="657" t="n">
        <x:v>0.515</x:v>
      </x:c>
      <x:c r="L50" s="655" t="n">
        <x:v>0.515</x:v>
      </x:c>
    </x:row>
    <x:row r="51" ht="22" customHeight="1">
      <x:c r="A51" s="26" t="inlineStr">
        <x:is>
          <x:t xml:space="preserve">厄瓜甲</x:t>
        </x:is>
      </x:c>
      <x:c r="B51" s="26" t="n">
        <x:v>1</x:v>
      </x:c>
      <x:c r="C51" s="26" t="n">
        <x:v>1</x:v>
      </x:c>
      <x:c r="D51" s="26" t="n">
        <x:v>0</x:v>
      </x:c>
      <x:c r="E51" s="26" t="n">
        <x:v>1</x:v>
      </x:c>
      <x:c r="F51" s="26" t="n">
        <x:v>0</x:v>
      </x:c>
      <x:c r="G51" s="26" t="n">
        <x:v>0</x:v>
      </x:c>
      <x:c r="H51" s="26" t="n">
        <x:v>0</x:v>
      </x:c>
      <x:c r="I51" s="26" t="n">
        <x:v>0</x:v>
      </x:c>
      <x:c r="J51" s="655" t="n">
        <x:v>1</x:v>
      </x:c>
      <x:c r="K51" s="657" t="n">
        <x:v>1.02</x:v>
      </x:c>
      <x:c r="L51" s="655" t="n">
        <x:v>1.02</x:v>
      </x:c>
    </x:row>
    <x:row r="52" ht="22" customHeight="1">
      <x:c r="A52" s="26" t="inlineStr">
        <x:is>
          <x:t xml:space="preserve">厄瓜甲降</x:t>
        </x:is>
      </x:c>
      <x:c r="B52" s="26" t="n">
        <x:v>1</x:v>
      </x:c>
      <x:c r="C52" s="26" t="n">
        <x:v>1</x:v>
      </x:c>
      <x:c r="D52" s="26" t="n">
        <x:v>0</x:v>
      </x:c>
      <x:c r="E52" s="26" t="n">
        <x:v>0</x:v>
      </x:c>
      <x:c r="F52" s="26" t="n">
        <x:v>0</x:v>
      </x:c>
      <x:c r="G52" s="26" t="n">
        <x:v>0</x:v>
      </x:c>
      <x:c r="H52" s="26" t="n">
        <x:v>0</x:v>
      </x:c>
      <x:c r="I52" s="26" t="n">
        <x:v>1</x:v>
      </x:c>
      <x:c r="J52" s="655" t="n">
        <x:v>0</x:v>
      </x:c>
      <x:c r="K52" s="657" t="n">
        <x:v>-1</x:v>
      </x:c>
      <x:c r="L52" s="655" t="n">
        <x:v>-1</x:v>
      </x:c>
    </x:row>
    <x:row r="53" ht="22" customHeight="1">
      <x:c r="A53" s="26" t="inlineStr">
        <x:is>
          <x:t xml:space="preserve">哈萨克超</x:t>
        </x:is>
      </x:c>
      <x:c r="B53" s="26" t="n">
        <x:v>3</x:v>
      </x:c>
      <x:c r="C53" s="26" t="n">
        <x:v>3</x:v>
      </x:c>
      <x:c r="D53" s="26" t="n">
        <x:v>0</x:v>
      </x:c>
      <x:c r="E53" s="26" t="n">
        <x:v>1</x:v>
      </x:c>
      <x:c r="F53" s="26" t="n">
        <x:v>1</x:v>
      </x:c>
      <x:c r="G53" s="26" t="n">
        <x:v>0</x:v>
      </x:c>
      <x:c r="H53" s="26" t="n">
        <x:v>0</x:v>
      </x:c>
      <x:c r="I53" s="26" t="n">
        <x:v>1</x:v>
      </x:c>
      <x:c r="J53" s="655" t="n">
        <x:v>0.6</x:v>
      </x:c>
      <x:c r="K53" s="657" t="n">
        <x:v>0.6200000000000001</x:v>
      </x:c>
      <x:c r="L53" s="655" t="n">
        <x:v>0.2066666666666667</x:v>
      </x:c>
    </x:row>
    <x:row r="54" ht="22" customHeight="1">
      <x:c r="A54" s="26" t="inlineStr">
        <x:is>
          <x:t xml:space="preserve">哥伦乙秋</x:t>
        </x:is>
      </x:c>
      <x:c r="B54" s="26" t="n">
        <x:v>1</x:v>
      </x:c>
      <x:c r="C54" s="26" t="n">
        <x:v>1</x:v>
      </x:c>
      <x:c r="D54" s="26" t="n">
        <x:v>0</x:v>
      </x:c>
      <x:c r="E54" s="26" t="n">
        <x:v>1</x:v>
      </x:c>
      <x:c r="F54" s="26" t="n">
        <x:v>0</x:v>
      </x:c>
      <x:c r="G54" s="26" t="n">
        <x:v>0</x:v>
      </x:c>
      <x:c r="H54" s="26" t="n">
        <x:v>0</x:v>
      </x:c>
      <x:c r="I54" s="26" t="n">
        <x:v>0</x:v>
      </x:c>
      <x:c r="J54" s="655" t="n">
        <x:v>1</x:v>
      </x:c>
      <x:c r="K54" s="657" t="n">
        <x:v>1.08</x:v>
      </x:c>
      <x:c r="L54" s="655" t="n">
        <x:v>1.08</x:v>
      </x:c>
    </x:row>
    <x:row r="55" ht="22" customHeight="1">
      <x:c r="A55" s="26" t="inlineStr">
        <x:is>
          <x:t xml:space="preserve">哥伦甲秋</x:t>
        </x:is>
      </x:c>
      <x:c r="B55" s="26" t="n">
        <x:v>4</x:v>
      </x:c>
      <x:c r="C55" s="26" t="n">
        <x:v>4</x:v>
      </x:c>
      <x:c r="D55" s="26" t="n">
        <x:v>0</x:v>
      </x:c>
      <x:c r="E55" s="26" t="n">
        <x:v>2</x:v>
      </x:c>
      <x:c r="F55" s="26" t="n">
        <x:v>0</x:v>
      </x:c>
      <x:c r="G55" s="26" t="n">
        <x:v>0</x:v>
      </x:c>
      <x:c r="H55" s="26" t="n">
        <x:v>0</x:v>
      </x:c>
      <x:c r="I55" s="26" t="n">
        <x:v>2</x:v>
      </x:c>
      <x:c r="J55" s="655" t="n">
        <x:v>0.5</x:v>
      </x:c>
      <x:c r="K55" s="657" t="n">
        <x:v>0.01000000000000001</x:v>
      </x:c>
      <x:c r="L55" s="655" t="n">
        <x:v>0.002500000000000002</x:v>
      </x:c>
    </x:row>
    <x:row r="56" ht="22" customHeight="1">
      <x:c r="A56" s="26" t="inlineStr">
        <x:is>
          <x:t xml:space="preserve">哥斯甲春</x:t>
        </x:is>
      </x:c>
      <x:c r="B56" s="26" t="n">
        <x:v>2</x:v>
      </x:c>
      <x:c r="C56" s="26" t="n">
        <x:v>2</x:v>
      </x:c>
      <x:c r="D56" s="26" t="n">
        <x:v>0</x:v>
      </x:c>
      <x:c r="E56" s="26" t="n">
        <x:v>0</x:v>
      </x:c>
      <x:c r="F56" s="26" t="n">
        <x:v>0</x:v>
      </x:c>
      <x:c r="G56" s="26" t="n">
        <x:v>0</x:v>
      </x:c>
      <x:c r="H56" s="26" t="n">
        <x:v>1</x:v>
      </x:c>
      <x:c r="I56" s="26" t="n">
        <x:v>1</x:v>
      </x:c>
      <x:c r="J56" s="655" t="n">
        <x:v>0</x:v>
      </x:c>
      <x:c r="K56" s="657" t="n">
        <x:v>-1.5</x:v>
      </x:c>
      <x:c r="L56" s="655" t="n">
        <x:v>-0.75</x:v>
      </x:c>
    </x:row>
    <x:row r="57" ht="22" customHeight="1">
      <x:c r="A57" s="26" t="inlineStr">
        <x:is>
          <x:t xml:space="preserve">土甲</x:t>
        </x:is>
      </x:c>
      <x:c r="B57" s="26" t="n">
        <x:v>2</x:v>
      </x:c>
      <x:c r="C57" s="26" t="n">
        <x:v>2</x:v>
      </x:c>
      <x:c r="D57" s="26" t="n">
        <x:v>0</x:v>
      </x:c>
      <x:c r="E57" s="26" t="n">
        <x:v>2</x:v>
      </x:c>
      <x:c r="F57" s="26" t="n">
        <x:v>0</x:v>
      </x:c>
      <x:c r="G57" s="26" t="n">
        <x:v>0</x:v>
      </x:c>
      <x:c r="H57" s="26" t="n">
        <x:v>0</x:v>
      </x:c>
      <x:c r="I57" s="26" t="n">
        <x:v>0</x:v>
      </x:c>
      <x:c r="J57" s="655" t="n">
        <x:v>1</x:v>
      </x:c>
      <x:c r="K57" s="657" t="n">
        <x:v>2.12</x:v>
      </x:c>
      <x:c r="L57" s="655" t="n">
        <x:v>1.06</x:v>
      </x:c>
    </x:row>
    <x:row r="58" ht="22" customHeight="1">
      <x:c r="A58" s="26" t="inlineStr">
        <x:is>
          <x:t xml:space="preserve">土超</x:t>
        </x:is>
      </x:c>
      <x:c r="B58" s="26" t="n">
        <x:v>4</x:v>
      </x:c>
      <x:c r="C58" s="26" t="n">
        <x:v>4</x:v>
      </x:c>
      <x:c r="D58" s="26" t="n">
        <x:v>0</x:v>
      </x:c>
      <x:c r="E58" s="26" t="n">
        <x:v>2</x:v>
      </x:c>
      <x:c r="F58" s="26" t="n">
        <x:v>0</x:v>
      </x:c>
      <x:c r="G58" s="26" t="n">
        <x:v>0</x:v>
      </x:c>
      <x:c r="H58" s="26" t="n">
        <x:v>0</x:v>
      </x:c>
      <x:c r="I58" s="26" t="n">
        <x:v>2</x:v>
      </x:c>
      <x:c r="J58" s="655" t="n">
        <x:v>0.5</x:v>
      </x:c>
      <x:c r="K58" s="657" t="n">
        <x:v>0.1699999999999999</x:v>
      </x:c>
      <x:c r="L58" s="655" t="n">
        <x:v>0.04249999999999998</x:v>
      </x:c>
    </x:row>
    <x:row r="59" ht="22" customHeight="1">
      <x:c r="A59" s="26" t="inlineStr">
        <x:is>
          <x:t xml:space="preserve">埃及甲</x:t>
        </x:is>
      </x:c>
      <x:c r="B59" s="26" t="n">
        <x:v>2</x:v>
      </x:c>
      <x:c r="C59" s="26" t="n">
        <x:v>2</x:v>
      </x:c>
      <x:c r="D59" s="26" t="n">
        <x:v>0</x:v>
      </x:c>
      <x:c r="E59" s="26" t="n">
        <x:v>0</x:v>
      </x:c>
      <x:c r="F59" s="26" t="n">
        <x:v>1</x:v>
      </x:c>
      <x:c r="G59" s="26" t="n">
        <x:v>0</x:v>
      </x:c>
      <x:c r="H59" s="26" t="n">
        <x:v>1</x:v>
      </x:c>
      <x:c r="I59" s="26" t="n">
        <x:v>0</x:v>
      </x:c>
      <x:c r="J59" s="655" t="n">
        <x:v>0.5</x:v>
      </x:c>
      <x:c r="K59" s="657" t="n">
        <x:v>0.09499999999999997</x:v>
      </x:c>
      <x:c r="L59" s="655" t="n">
        <x:v>0.04749999999999999</x:v>
      </x:c>
    </x:row>
    <x:row r="60" ht="22" customHeight="1">
      <x:c r="A60" s="26" t="inlineStr">
        <x:is>
          <x:t xml:space="preserve">埃及超</x:t>
        </x:is>
      </x:c>
      <x:c r="B60" s="26" t="n">
        <x:v>2</x:v>
      </x:c>
      <x:c r="C60" s="26" t="n">
        <x:v>1</x:v>
      </x:c>
      <x:c r="D60" s="26" t="n">
        <x:v>1</x:v>
      </x:c>
      <x:c r="E60" s="26" t="n">
        <x:v>1</x:v>
      </x:c>
      <x:c r="F60" s="26" t="n">
        <x:v>0</x:v>
      </x:c>
      <x:c r="G60" s="26" t="n">
        <x:v>0</x:v>
      </x:c>
      <x:c r="H60" s="26" t="n">
        <x:v>0</x:v>
      </x:c>
      <x:c r="I60" s="26" t="n">
        <x:v>0</x:v>
      </x:c>
      <x:c r="J60" s="655" t="n">
        <x:v>1</x:v>
      </x:c>
      <x:c r="K60" s="657" t="n">
        <x:v>1.05</x:v>
      </x:c>
      <x:c r="L60" s="655" t="n">
        <x:v>1.05</x:v>
      </x:c>
    </x:row>
    <x:row r="61" ht="22" customHeight="1">
      <x:c r="A61" s="26" t="inlineStr">
        <x:is>
          <x:t xml:space="preserve">塞浦甲</x:t>
        </x:is>
      </x:c>
      <x:c r="B61" s="26" t="n">
        <x:v>1</x:v>
      </x:c>
      <x:c r="C61" s="26" t="n">
        <x:v>1</x:v>
      </x:c>
      <x:c r="D61" s="26" t="n">
        <x:v>0</x:v>
      </x:c>
      <x:c r="E61" s="26" t="n">
        <x:v>0</x:v>
      </x:c>
      <x:c r="F61" s="26" t="n">
        <x:v>0</x:v>
      </x:c>
      <x:c r="G61" s="26" t="n">
        <x:v>0</x:v>
      </x:c>
      <x:c r="H61" s="26" t="n">
        <x:v>1</x:v>
      </x:c>
      <x:c r="I61" s="26" t="n">
        <x:v>0</x:v>
      </x:c>
      <x:c r="J61" s="655" t="n">
        <x:v>0</x:v>
      </x:c>
      <x:c r="K61" s="657" t="n">
        <x:v>-0.5</x:v>
      </x:c>
      <x:c r="L61" s="655" t="n">
        <x:v>-0.5</x:v>
      </x:c>
    </x:row>
    <x:row r="62" ht="22" customHeight="1">
      <x:c r="A62" s="26" t="inlineStr">
        <x:is>
          <x:t xml:space="preserve">墨西女超春</x:t>
        </x:is>
      </x:c>
      <x:c r="B62" s="26" t="n">
        <x:v>1</x:v>
      </x:c>
      <x:c r="C62" s="26" t="n">
        <x:v>1</x:v>
      </x:c>
      <x:c r="D62" s="26" t="n">
        <x:v>0</x:v>
      </x:c>
      <x:c r="E62" s="26" t="n">
        <x:v>0</x:v>
      </x:c>
      <x:c r="F62" s="26" t="n">
        <x:v>0</x:v>
      </x:c>
      <x:c r="G62" s="26" t="n">
        <x:v>0</x:v>
      </x:c>
      <x:c r="H62" s="26" t="n">
        <x:v>0</x:v>
      </x:c>
      <x:c r="I62" s="26" t="n">
        <x:v>1</x:v>
      </x:c>
      <x:c r="J62" s="655" t="n">
        <x:v>0</x:v>
      </x:c>
      <x:c r="K62" s="657" t="n">
        <x:v>-1</x:v>
      </x:c>
      <x:c r="L62" s="655" t="n">
        <x:v>-1</x:v>
      </x:c>
    </x:row>
    <x:row r="63" ht="22" customHeight="1">
      <x:c r="A63" s="26" t="inlineStr">
        <x:is>
          <x:t xml:space="preserve">墨西甲春</x:t>
        </x:is>
      </x:c>
      <x:c r="B63" s="26" t="n">
        <x:v>1</x:v>
      </x:c>
      <x:c r="C63" s="26" t="n">
        <x:v>1</x:v>
      </x:c>
      <x:c r="D63" s="26" t="n">
        <x:v>0</x:v>
      </x:c>
      <x:c r="E63" s="26" t="n">
        <x:v>0</x:v>
      </x:c>
      <x:c r="F63" s="26" t="n">
        <x:v>0</x:v>
      </x:c>
      <x:c r="G63" s="26" t="n">
        <x:v>0</x:v>
      </x:c>
      <x:c r="H63" s="26" t="n">
        <x:v>1</x:v>
      </x:c>
      <x:c r="I63" s="26" t="n">
        <x:v>0</x:v>
      </x:c>
      <x:c r="J63" s="655" t="n">
        <x:v>0</x:v>
      </x:c>
      <x:c r="K63" s="657" t="n">
        <x:v>-0.5</x:v>
      </x:c>
      <x:c r="L63" s="655" t="n">
        <x:v>-0.5</x:v>
      </x:c>
    </x:row>
    <x:row r="64" ht="22" customHeight="1">
      <x:c r="A64" s="26" t="inlineStr">
        <x:is>
          <x:t xml:space="preserve">墨西联秋</x:t>
        </x:is>
      </x:c>
      <x:c r="B64" s="26" t="n">
        <x:v>1</x:v>
      </x:c>
      <x:c r="C64" s="26" t="n">
        <x:v>1</x:v>
      </x:c>
      <x:c r="D64" s="26" t="n">
        <x:v>0</x:v>
      </x:c>
      <x:c r="E64" s="26" t="n">
        <x:v>0</x:v>
      </x:c>
      <x:c r="F64" s="26" t="n">
        <x:v>0</x:v>
      </x:c>
      <x:c r="G64" s="26" t="n">
        <x:v>0</x:v>
      </x:c>
      <x:c r="H64" s="26" t="n">
        <x:v>0</x:v>
      </x:c>
      <x:c r="I64" s="26" t="n">
        <x:v>1</x:v>
      </x:c>
      <x:c r="J64" s="655" t="n">
        <x:v>0</x:v>
      </x:c>
      <x:c r="K64" s="657" t="n">
        <x:v>-1</x:v>
      </x:c>
      <x:c r="L64" s="655" t="n">
        <x:v>-1</x:v>
      </x:c>
    </x:row>
    <x:row r="65" ht="22" customHeight="1">
      <x:c r="A65" s="26" t="inlineStr">
        <x:is>
          <x:t xml:space="preserve">奥丁</x:t>
        </x:is>
      </x:c>
      <x:c r="B65" s="26" t="n">
        <x:v>1</x:v>
      </x:c>
      <x:c r="C65" s="26" t="n">
        <x:v>1</x:v>
      </x:c>
      <x:c r="D65" s="26" t="n">
        <x:v>0</x:v>
      </x:c>
      <x:c r="E65" s="26" t="n">
        <x:v>1</x:v>
      </x:c>
      <x:c r="F65" s="26" t="n">
        <x:v>0</x:v>
      </x:c>
      <x:c r="G65" s="26" t="n">
        <x:v>0</x:v>
      </x:c>
      <x:c r="H65" s="26" t="n">
        <x:v>0</x:v>
      </x:c>
      <x:c r="I65" s="26" t="n">
        <x:v>0</x:v>
      </x:c>
      <x:c r="J65" s="655" t="n">
        <x:v>1</x:v>
      </x:c>
      <x:c r="K65" s="657" t="n">
        <x:v>1.02</x:v>
      </x:c>
      <x:c r="L65" s="655" t="n">
        <x:v>1.02</x:v>
      </x:c>
    </x:row>
    <x:row r="66" ht="22" customHeight="1">
      <x:c r="A66" s="26" t="inlineStr">
        <x:is>
          <x:t xml:space="preserve">奥乙</x:t>
        </x:is>
      </x:c>
      <x:c r="B66" s="26" t="n">
        <x:v>3</x:v>
      </x:c>
      <x:c r="C66" s="26" t="n">
        <x:v>3</x:v>
      </x:c>
      <x:c r="D66" s="26" t="n">
        <x:v>0</x:v>
      </x:c>
      <x:c r="E66" s="26" t="n">
        <x:v>2</x:v>
      </x:c>
      <x:c r="F66" s="26" t="n">
        <x:v>0</x:v>
      </x:c>
      <x:c r="G66" s="26" t="n">
        <x:v>0</x:v>
      </x:c>
      <x:c r="H66" s="26" t="n">
        <x:v>0</x:v>
      </x:c>
      <x:c r="I66" s="26" t="n">
        <x:v>1</x:v>
      </x:c>
      <x:c r="J66" s="655" t="n">
        <x:v>0.6666666666666666</x:v>
      </x:c>
      <x:c r="K66" s="657" t="n">
        <x:v>1.08</x:v>
      </x:c>
      <x:c r="L66" s="655" t="n">
        <x:v>0.36</x:v>
      </x:c>
    </x:row>
    <x:row r="67" ht="22" customHeight="1">
      <x:c r="A67" s="26" t="inlineStr">
        <x:is>
          <x:t xml:space="preserve">奥甲</x:t>
        </x:is>
      </x:c>
      <x:c r="B67" s="26" t="n">
        <x:v>1</x:v>
      </x:c>
      <x:c r="C67" s="26" t="n">
        <x:v>1</x:v>
      </x:c>
      <x:c r="D67" s="26" t="n">
        <x:v>0</x:v>
      </x:c>
      <x:c r="E67" s="26" t="n">
        <x:v>1</x:v>
      </x:c>
      <x:c r="F67" s="26" t="n">
        <x:v>0</x:v>
      </x:c>
      <x:c r="G67" s="26" t="n">
        <x:v>0</x:v>
      </x:c>
      <x:c r="H67" s="26" t="n">
        <x:v>0</x:v>
      </x:c>
      <x:c r="I67" s="26" t="n">
        <x:v>0</x:v>
      </x:c>
      <x:c r="J67" s="655" t="n">
        <x:v>1</x:v>
      </x:c>
      <x:c r="K67" s="657" t="n">
        <x:v>1.06</x:v>
      </x:c>
      <x:c r="L67" s="655" t="n">
        <x:v>1.06</x:v>
      </x:c>
    </x:row>
    <x:row r="68" ht="22" customHeight="1">
      <x:c r="A68" s="26" t="inlineStr">
        <x:is>
          <x:t xml:space="preserve">女日联杯</x:t>
        </x:is>
      </x:c>
      <x:c r="B68" s="26" t="n">
        <x:v>1</x:v>
      </x:c>
      <x:c r="C68" s="26" t="n">
        <x:v>1</x:v>
      </x:c>
      <x:c r="D68" s="26" t="n">
        <x:v>0</x:v>
      </x:c>
      <x:c r="E68" s="26" t="n">
        <x:v>1</x:v>
      </x:c>
      <x:c r="F68" s="26" t="n">
        <x:v>0</x:v>
      </x:c>
      <x:c r="G68" s="26" t="n">
        <x:v>0</x:v>
      </x:c>
      <x:c r="H68" s="26" t="n">
        <x:v>0</x:v>
      </x:c>
      <x:c r="I68" s="26" t="n">
        <x:v>0</x:v>
      </x:c>
      <x:c r="J68" s="655" t="n">
        <x:v>1</x:v>
      </x:c>
      <x:c r="K68" s="657" t="n">
        <x:v>1.14</x:v>
      </x:c>
      <x:c r="L68" s="655" t="n">
        <x:v>1.14</x:v>
      </x:c>
    </x:row>
    <x:row r="69" ht="22" customHeight="1">
      <x:c r="A69" s="26" t="inlineStr">
        <x:is>
          <x:t xml:space="preserve">委内超秋</x:t>
        </x:is>
      </x:c>
      <x:c r="B69" s="26" t="n">
        <x:v>1</x:v>
      </x:c>
      <x:c r="C69" s="26" t="n">
        <x:v>1</x:v>
      </x:c>
      <x:c r="D69" s="26" t="n">
        <x:v>0</x:v>
      </x:c>
      <x:c r="E69" s="26" t="n">
        <x:v>0</x:v>
      </x:c>
      <x:c r="F69" s="26" t="n">
        <x:v>0</x:v>
      </x:c>
      <x:c r="G69" s="26" t="n">
        <x:v>0</x:v>
      </x:c>
      <x:c r="H69" s="26" t="n">
        <x:v>1</x:v>
      </x:c>
      <x:c r="I69" s="26" t="n">
        <x:v>0</x:v>
      </x:c>
      <x:c r="J69" s="655" t="n">
        <x:v>0</x:v>
      </x:c>
      <x:c r="K69" s="657" t="n">
        <x:v>-0.5</x:v>
      </x:c>
      <x:c r="L69" s="655" t="n">
        <x:v>-0.5</x:v>
      </x:c>
    </x:row>
    <x:row r="70" ht="22" customHeight="1">
      <x:c r="A70" s="26" t="inlineStr">
        <x:is>
          <x:t xml:space="preserve">威超</x:t>
        </x:is>
      </x:c>
      <x:c r="B70" s="26" t="n">
        <x:v>7</x:v>
      </x:c>
      <x:c r="C70" s="26" t="n">
        <x:v>7</x:v>
      </x:c>
      <x:c r="D70" s="26" t="n">
        <x:v>0</x:v>
      </x:c>
      <x:c r="E70" s="26" t="n">
        <x:v>1</x:v>
      </x:c>
      <x:c r="F70" s="26" t="n">
        <x:v>0</x:v>
      </x:c>
      <x:c r="G70" s="26" t="n">
        <x:v>0</x:v>
      </x:c>
      <x:c r="H70" s="26" t="n">
        <x:v>1</x:v>
      </x:c>
      <x:c r="I70" s="26" t="n">
        <x:v>5</x:v>
      </x:c>
      <x:c r="J70" s="655" t="n">
        <x:v>0.1538461538461539</x:v>
      </x:c>
      <x:c r="K70" s="657" t="n">
        <x:v>-4.59</x:v>
      </x:c>
      <x:c r="L70" s="655" t="n">
        <x:v>-0.6557142857142857</x:v>
      </x:c>
    </x:row>
    <x:row r="71" ht="22" customHeight="1">
      <x:c r="A71" s="26" t="inlineStr">
        <x:is>
          <x:t xml:space="preserve">巴拉甲秋</x:t>
        </x:is>
      </x:c>
      <x:c r="B71" s="26" t="n">
        <x:v>1</x:v>
      </x:c>
      <x:c r="C71" s="26" t="n">
        <x:v>1</x:v>
      </x:c>
      <x:c r="D71" s="26" t="n">
        <x:v>0</x:v>
      </x:c>
      <x:c r="E71" s="26" t="n">
        <x:v>0</x:v>
      </x:c>
      <x:c r="F71" s="26" t="n">
        <x:v>0</x:v>
      </x:c>
      <x:c r="G71" s="26" t="n">
        <x:v>0</x:v>
      </x:c>
      <x:c r="H71" s="26" t="n">
        <x:v>0</x:v>
      </x:c>
      <x:c r="I71" s="26" t="n">
        <x:v>1</x:v>
      </x:c>
      <x:c r="J71" s="655" t="n">
        <x:v>0</x:v>
      </x:c>
      <x:c r="K71" s="657" t="n">
        <x:v>-1</x:v>
      </x:c>
      <x:c r="L71" s="655" t="n">
        <x:v>-1</x:v>
      </x:c>
    </x:row>
    <x:row r="72" ht="22" customHeight="1">
      <x:c r="A72" s="26" t="inlineStr">
        <x:is>
          <x:t xml:space="preserve">巴西乙</x:t>
        </x:is>
      </x:c>
      <x:c r="B72" s="26" t="n">
        <x:v>4</x:v>
      </x:c>
      <x:c r="C72" s="26" t="n">
        <x:v>3</x:v>
      </x:c>
      <x:c r="D72" s="26" t="n">
        <x:v>1</x:v>
      </x:c>
      <x:c r="E72" s="26" t="n">
        <x:v>0</x:v>
      </x:c>
      <x:c r="F72" s="26" t="n">
        <x:v>0</x:v>
      </x:c>
      <x:c r="G72" s="26" t="n">
        <x:v>1</x:v>
      </x:c>
      <x:c r="H72" s="26" t="n">
        <x:v>0</x:v>
      </x:c>
      <x:c r="I72" s="26" t="n">
        <x:v>2</x:v>
      </x:c>
      <x:c r="J72" s="655" t="n">
        <x:v>0</x:v>
      </x:c>
      <x:c r="K72" s="657" t="n">
        <x:v>-2</x:v>
      </x:c>
      <x:c r="L72" s="655" t="n">
        <x:v>-0.6666666666666666</x:v>
      </x:c>
    </x:row>
    <x:row r="73" ht="22" customHeight="1">
      <x:c r="A73" s="26" t="inlineStr">
        <x:is>
          <x:t xml:space="preserve">巴西甲</x:t>
        </x:is>
      </x:c>
      <x:c r="B73" s="26" t="n">
        <x:v>7</x:v>
      </x:c>
      <x:c r="C73" s="26" t="n">
        <x:v>7</x:v>
      </x:c>
      <x:c r="D73" s="26" t="n">
        <x:v>0</x:v>
      </x:c>
      <x:c r="E73" s="26" t="n">
        <x:v>4</x:v>
      </x:c>
      <x:c r="F73" s="26" t="n">
        <x:v>0</x:v>
      </x:c>
      <x:c r="G73" s="26" t="n">
        <x:v>0</x:v>
      </x:c>
      <x:c r="H73" s="26" t="n">
        <x:v>0</x:v>
      </x:c>
      <x:c r="I73" s="26" t="n">
        <x:v>3</x:v>
      </x:c>
      <x:c r="J73" s="655" t="n">
        <x:v>0.5714285714285714</x:v>
      </x:c>
      <x:c r="K73" s="657" t="n">
        <x:v>1.26</x:v>
      </x:c>
      <x:c r="L73" s="655" t="n">
        <x:v>0.18</x:v>
      </x:c>
    </x:row>
    <x:row r="74" ht="22" customHeight="1">
      <x:c r="A74" s="26" t="inlineStr">
        <x:is>
          <x:t xml:space="preserve">希腊杯</x:t>
        </x:is>
      </x:c>
      <x:c r="B74" s="26" t="n">
        <x:v>2</x:v>
      </x:c>
      <x:c r="C74" s="26" t="n">
        <x:v>2</x:v>
      </x:c>
      <x:c r="D74" s="26" t="n">
        <x:v>0</x:v>
      </x:c>
      <x:c r="E74" s="26" t="n">
        <x:v>2</x:v>
      </x:c>
      <x:c r="F74" s="26" t="n">
        <x:v>0</x:v>
      </x:c>
      <x:c r="G74" s="26" t="n">
        <x:v>0</x:v>
      </x:c>
      <x:c r="H74" s="26" t="n">
        <x:v>0</x:v>
      </x:c>
      <x:c r="I74" s="26" t="n">
        <x:v>0</x:v>
      </x:c>
      <x:c r="J74" s="655" t="n">
        <x:v>1</x:v>
      </x:c>
      <x:c r="K74" s="657" t="n">
        <x:v>1.92</x:v>
      </x:c>
      <x:c r="L74" s="655" t="n">
        <x:v>0.96</x:v>
      </x:c>
    </x:row>
    <x:row r="75" ht="22" customHeight="1">
      <x:c r="A75" s="26" t="inlineStr">
        <x:is>
          <x:t xml:space="preserve">希腊超</x:t>
        </x:is>
      </x:c>
      <x:c r="B75" s="26" t="n">
        <x:v>3</x:v>
      </x:c>
      <x:c r="C75" s="26" t="n">
        <x:v>3</x:v>
      </x:c>
      <x:c r="D75" s="26" t="n">
        <x:v>0</x:v>
      </x:c>
      <x:c r="E75" s="26" t="n">
        <x:v>1</x:v>
      </x:c>
      <x:c r="F75" s="26" t="n">
        <x:v>0</x:v>
      </x:c>
      <x:c r="G75" s="26" t="n">
        <x:v>0</x:v>
      </x:c>
      <x:c r="H75" s="26" t="n">
        <x:v>0</x:v>
      </x:c>
      <x:c r="I75" s="26" t="n">
        <x:v>2</x:v>
      </x:c>
      <x:c r="J75" s="655" t="n">
        <x:v>0.3333333333333333</x:v>
      </x:c>
      <x:c r="K75" s="657" t="n">
        <x:v>-0.97</x:v>
      </x:c>
      <x:c r="L75" s="655" t="n">
        <x:v>-0.3233333333333333</x:v>
      </x:c>
    </x:row>
    <x:row r="76" ht="22" customHeight="1">
      <x:c r="A76" s="26" t="inlineStr">
        <x:is>
          <x:t xml:space="preserve">德丙</x:t>
        </x:is>
      </x:c>
      <x:c r="B76" s="26" t="n">
        <x:v>4</x:v>
      </x:c>
      <x:c r="C76" s="26" t="n">
        <x:v>4</x:v>
      </x:c>
      <x:c r="D76" s="26" t="n">
        <x:v>0</x:v>
      </x:c>
      <x:c r="E76" s="26" t="n">
        <x:v>0</x:v>
      </x:c>
      <x:c r="F76" s="26" t="n">
        <x:v>0</x:v>
      </x:c>
      <x:c r="G76" s="26" t="n">
        <x:v>0</x:v>
      </x:c>
      <x:c r="H76" s="26" t="n">
        <x:v>1</x:v>
      </x:c>
      <x:c r="I76" s="26" t="n">
        <x:v>3</x:v>
      </x:c>
      <x:c r="J76" s="655" t="n">
        <x:v>0</x:v>
      </x:c>
      <x:c r="K76" s="657" t="n">
        <x:v>-3.5</x:v>
      </x:c>
      <x:c r="L76" s="655" t="n">
        <x:v>-0.875</x:v>
      </x:c>
    </x:row>
    <x:row r="77" ht="22" customHeight="1">
      <x:c r="A77" s="26" t="inlineStr">
        <x:is>
          <x:t xml:space="preserve">德乙</x:t>
        </x:is>
      </x:c>
      <x:c r="B77" s="26" t="n">
        <x:v>4</x:v>
      </x:c>
      <x:c r="C77" s="26" t="n">
        <x:v>4</x:v>
      </x:c>
      <x:c r="D77" s="26" t="n">
        <x:v>0</x:v>
      </x:c>
      <x:c r="E77" s="26" t="n">
        <x:v>0</x:v>
      </x:c>
      <x:c r="F77" s="26" t="n">
        <x:v>2</x:v>
      </x:c>
      <x:c r="G77" s="26" t="n">
        <x:v>0</x:v>
      </x:c>
      <x:c r="H77" s="26" t="n">
        <x:v>1</x:v>
      </x:c>
      <x:c r="I77" s="26" t="n">
        <x:v>1</x:v>
      </x:c>
      <x:c r="J77" s="655" t="n">
        <x:v>0.4</x:v>
      </x:c>
      <x:c r="K77" s="657" t="n">
        <x:v>-0.465</x:v>
      </x:c>
      <x:c r="L77" s="655" t="n">
        <x:v>-0.11625</x:v>
      </x:c>
    </x:row>
    <x:row r="78" ht="22" customHeight="1">
      <x:c r="A78" s="26" t="inlineStr">
        <x:is>
          <x:t xml:space="preserve">德地区西</x:t>
        </x:is>
      </x:c>
      <x:c r="B78" s="26" t="n">
        <x:v>2</x:v>
      </x:c>
      <x:c r="C78" s="26" t="n">
        <x:v>2</x:v>
      </x:c>
      <x:c r="D78" s="26" t="n">
        <x:v>0</x:v>
      </x:c>
      <x:c r="E78" s="26" t="n">
        <x:v>0</x:v>
      </x:c>
      <x:c r="F78" s="26" t="n">
        <x:v>0</x:v>
      </x:c>
      <x:c r="G78" s="26" t="n">
        <x:v>2</x:v>
      </x:c>
      <x:c r="H78" s="26" t="n">
        <x:v>0</x:v>
      </x:c>
      <x:c r="I78" s="26" t="n">
        <x:v>0</x:v>
      </x:c>
      <x:c r="J78" s="655" t="n"/>
      <x:c r="K78" s="657" t="n">
        <x:v>0</x:v>
      </x:c>
      <x:c r="L78" s="655" t="n">
        <x:v>0</x:v>
      </x:c>
    </x:row>
    <x:row r="79" ht="22" customHeight="1">
      <x:c r="A79" s="26" t="inlineStr">
        <x:is>
          <x:t xml:space="preserve">德女联</x:t>
        </x:is>
      </x:c>
      <x:c r="B79" s="26" t="n">
        <x:v>1</x:v>
      </x:c>
      <x:c r="C79" s="26" t="n">
        <x:v>1</x:v>
      </x:c>
      <x:c r="D79" s="26" t="n">
        <x:v>0</x:v>
      </x:c>
      <x:c r="E79" s="26" t="n">
        <x:v>0</x:v>
      </x:c>
      <x:c r="F79" s="26" t="n">
        <x:v>0</x:v>
      </x:c>
      <x:c r="G79" s="26" t="n">
        <x:v>0</x:v>
      </x:c>
      <x:c r="H79" s="26" t="n">
        <x:v>0</x:v>
      </x:c>
      <x:c r="I79" s="26" t="n">
        <x:v>1</x:v>
      </x:c>
      <x:c r="J79" s="655" t="n">
        <x:v>0</x:v>
      </x:c>
      <x:c r="K79" s="657" t="n">
        <x:v>-1</x:v>
      </x:c>
      <x:c r="L79" s="655" t="n">
        <x:v>-1</x:v>
      </x:c>
    </x:row>
    <x:row r="80" ht="22" customHeight="1">
      <x:c r="A80" s="26" t="inlineStr">
        <x:is>
          <x:t xml:space="preserve">德甲</x:t>
        </x:is>
      </x:c>
      <x:c r="B80" s="26" t="n">
        <x:v>3</x:v>
      </x:c>
      <x:c r="C80" s="26" t="n">
        <x:v>3</x:v>
      </x:c>
      <x:c r="D80" s="26" t="n">
        <x:v>0</x:v>
      </x:c>
      <x:c r="E80" s="26" t="n">
        <x:v>3</x:v>
      </x:c>
      <x:c r="F80" s="26" t="n">
        <x:v>0</x:v>
      </x:c>
      <x:c r="G80" s="26" t="n">
        <x:v>0</x:v>
      </x:c>
      <x:c r="H80" s="26" t="n">
        <x:v>0</x:v>
      </x:c>
      <x:c r="I80" s="26" t="n">
        <x:v>0</x:v>
      </x:c>
      <x:c r="J80" s="655" t="n">
        <x:v>1</x:v>
      </x:c>
      <x:c r="K80" s="657" t="n">
        <x:v>2.98</x:v>
      </x:c>
      <x:c r="L80" s="655" t="n">
        <x:v>0.9933333333333333</x:v>
      </x:c>
    </x:row>
    <x:row r="81" ht="22" customHeight="1">
      <x:c r="A81" s="26" t="inlineStr">
        <x:is>
          <x:t xml:space="preserve">意丁</x:t>
        </x:is>
      </x:c>
      <x:c r="B81" s="26" t="n">
        <x:v>4</x:v>
      </x:c>
      <x:c r="C81" s="26" t="n">
        <x:v>4</x:v>
      </x:c>
      <x:c r="D81" s="26" t="n">
        <x:v>0</x:v>
      </x:c>
      <x:c r="E81" s="26" t="n">
        <x:v>0</x:v>
      </x:c>
      <x:c r="F81" s="26" t="n">
        <x:v>0</x:v>
      </x:c>
      <x:c r="G81" s="26" t="n">
        <x:v>0</x:v>
      </x:c>
      <x:c r="H81" s="26" t="n">
        <x:v>1</x:v>
      </x:c>
      <x:c r="I81" s="26" t="n">
        <x:v>3</x:v>
      </x:c>
      <x:c r="J81" s="655" t="n">
        <x:v>0</x:v>
      </x:c>
      <x:c r="K81" s="657" t="n">
        <x:v>-3.5</x:v>
      </x:c>
      <x:c r="L81" s="655" t="n">
        <x:v>-0.875</x:v>
      </x:c>
    </x:row>
    <x:row r="82" ht="22" customHeight="1">
      <x:c r="A82" s="26" t="inlineStr">
        <x:is>
          <x:t xml:space="preserve">意丙</x:t>
        </x:is>
      </x:c>
      <x:c r="B82" s="26" t="n">
        <x:v>4</x:v>
      </x:c>
      <x:c r="C82" s="26" t="n">
        <x:v>4</x:v>
      </x:c>
      <x:c r="D82" s="26" t="n">
        <x:v>0</x:v>
      </x:c>
      <x:c r="E82" s="26" t="n">
        <x:v>0</x:v>
      </x:c>
      <x:c r="F82" s="26" t="n">
        <x:v>1</x:v>
      </x:c>
      <x:c r="G82" s="26" t="n">
        <x:v>0</x:v>
      </x:c>
      <x:c r="H82" s="26" t="n">
        <x:v>1</x:v>
      </x:c>
      <x:c r="I82" s="26" t="n">
        <x:v>2</x:v>
      </x:c>
      <x:c r="J82" s="655" t="n">
        <x:v>0.1666666666666667</x:v>
      </x:c>
      <x:c r="K82" s="657" t="n">
        <x:v>-2</x:v>
      </x:c>
      <x:c r="L82" s="655" t="n">
        <x:v>-0.5</x:v>
      </x:c>
    </x:row>
    <x:row r="83" ht="22" customHeight="1">
      <x:c r="A83" s="26" t="inlineStr">
        <x:is>
          <x:t xml:space="preserve">意乙</x:t>
        </x:is>
      </x:c>
      <x:c r="B83" s="26" t="n">
        <x:v>3</x:v>
      </x:c>
      <x:c r="C83" s="26" t="n">
        <x:v>3</x:v>
      </x:c>
      <x:c r="D83" s="26" t="n">
        <x:v>0</x:v>
      </x:c>
      <x:c r="E83" s="26" t="n">
        <x:v>0</x:v>
      </x:c>
      <x:c r="F83" s="26" t="n">
        <x:v>0</x:v>
      </x:c>
      <x:c r="G83" s="26" t="n">
        <x:v>1</x:v>
      </x:c>
      <x:c r="H83" s="26" t="n">
        <x:v>1</x:v>
      </x:c>
      <x:c r="I83" s="26" t="n">
        <x:v>1</x:v>
      </x:c>
      <x:c r="J83" s="655" t="n">
        <x:v>0</x:v>
      </x:c>
      <x:c r="K83" s="657" t="n">
        <x:v>-1.5</x:v>
      </x:c>
      <x:c r="L83" s="655" t="n">
        <x:v>-0.5</x:v>
      </x:c>
    </x:row>
    <x:row r="84" ht="22" customHeight="1">
      <x:c r="A84" s="26" t="inlineStr">
        <x:is>
          <x:t xml:space="preserve">意杯</x:t>
        </x:is>
      </x:c>
      <x:c r="B84" s="26" t="n">
        <x:v>1</x:v>
      </x:c>
      <x:c r="C84" s="26" t="n">
        <x:v>1</x:v>
      </x:c>
      <x:c r="D84" s="26" t="n">
        <x:v>0</x:v>
      </x:c>
      <x:c r="E84" s="26" t="n">
        <x:v>0</x:v>
      </x:c>
      <x:c r="F84" s="26" t="n">
        <x:v>0</x:v>
      </x:c>
      <x:c r="G84" s="26" t="n">
        <x:v>0</x:v>
      </x:c>
      <x:c r="H84" s="26" t="n">
        <x:v>0</x:v>
      </x:c>
      <x:c r="I84" s="26" t="n">
        <x:v>1</x:v>
      </x:c>
      <x:c r="J84" s="655" t="n">
        <x:v>0</x:v>
      </x:c>
      <x:c r="K84" s="657" t="n">
        <x:v>-1</x:v>
      </x:c>
      <x:c r="L84" s="655" t="n">
        <x:v>-1</x:v>
      </x:c>
    </x:row>
    <x:row r="85" ht="22" customHeight="1">
      <x:c r="A85" s="26" t="inlineStr">
        <x:is>
          <x:t xml:space="preserve">意甲</x:t>
        </x:is>
      </x:c>
      <x:c r="B85" s="26" t="n">
        <x:v>3</x:v>
      </x:c>
      <x:c r="C85" s="26" t="n">
        <x:v>3</x:v>
      </x:c>
      <x:c r="D85" s="26" t="n">
        <x:v>0</x:v>
      </x:c>
      <x:c r="E85" s="26" t="n">
        <x:v>1</x:v>
      </x:c>
      <x:c r="F85" s="26" t="n">
        <x:v>0</x:v>
      </x:c>
      <x:c r="G85" s="26" t="n">
        <x:v>1</x:v>
      </x:c>
      <x:c r="H85" s="26" t="n">
        <x:v>0</x:v>
      </x:c>
      <x:c r="I85" s="26" t="n">
        <x:v>1</x:v>
      </x:c>
      <x:c r="J85" s="655" t="n">
        <x:v>0.5</x:v>
      </x:c>
      <x:c r="K85" s="657" t="n">
        <x:v>-0.04000000000000004</x:v>
      </x:c>
      <x:c r="L85" s="655" t="n">
        <x:v>-0.01333333333333334</x:v>
      </x:c>
    </x:row>
    <x:row r="86" ht="22" customHeight="1">
      <x:c r="A86" s="26" t="inlineStr">
        <x:is>
          <x:t xml:space="preserve">拉脱超</x:t>
        </x:is>
      </x:c>
      <x:c r="B86" s="26" t="n">
        <x:v>1</x:v>
      </x:c>
      <x:c r="C86" s="26" t="n">
        <x:v>1</x:v>
      </x:c>
      <x:c r="D86" s="26" t="n">
        <x:v>0</x:v>
      </x:c>
      <x:c r="E86" s="26" t="n">
        <x:v>1</x:v>
      </x:c>
      <x:c r="F86" s="26" t="n">
        <x:v>0</x:v>
      </x:c>
      <x:c r="G86" s="26" t="n">
        <x:v>0</x:v>
      </x:c>
      <x:c r="H86" s="26" t="n">
        <x:v>0</x:v>
      </x:c>
      <x:c r="I86" s="26" t="n">
        <x:v>0</x:v>
      </x:c>
      <x:c r="J86" s="655" t="n">
        <x:v>1</x:v>
      </x:c>
      <x:c r="K86" s="657" t="n">
        <x:v>1.08</x:v>
      </x:c>
      <x:c r="L86" s="655" t="n">
        <x:v>1.08</x:v>
      </x:c>
    </x:row>
    <x:row r="87" ht="22" customHeight="1">
      <x:c r="A87" s="26" t="inlineStr">
        <x:is>
          <x:t xml:space="preserve">挪丙</x:t>
        </x:is>
      </x:c>
      <x:c r="B87" s="26" t="n">
        <x:v>1</x:v>
      </x:c>
      <x:c r="C87" s="26" t="n">
        <x:v>1</x:v>
      </x:c>
      <x:c r="D87" s="26" t="n">
        <x:v>0</x:v>
      </x:c>
      <x:c r="E87" s="26" t="n">
        <x:v>1</x:v>
      </x:c>
      <x:c r="F87" s="26" t="n">
        <x:v>0</x:v>
      </x:c>
      <x:c r="G87" s="26" t="n">
        <x:v>0</x:v>
      </x:c>
      <x:c r="H87" s="26" t="n">
        <x:v>0</x:v>
      </x:c>
      <x:c r="I87" s="26" t="n">
        <x:v>0</x:v>
      </x:c>
      <x:c r="J87" s="655" t="n">
        <x:v>1</x:v>
      </x:c>
      <x:c r="K87" s="657" t="n">
        <x:v>1.08</x:v>
      </x:c>
      <x:c r="L87" s="655" t="n">
        <x:v>1.08</x:v>
      </x:c>
    </x:row>
    <x:row r="88" ht="22" customHeight="1">
      <x:c r="A88" s="26" t="inlineStr">
        <x:is>
          <x:t xml:space="preserve">挪威杯</x:t>
        </x:is>
      </x:c>
      <x:c r="B88" s="26" t="n">
        <x:v>3</x:v>
      </x:c>
      <x:c r="C88" s="26" t="n">
        <x:v>3</x:v>
      </x:c>
      <x:c r="D88" s="26" t="n">
        <x:v>0</x:v>
      </x:c>
      <x:c r="E88" s="26" t="n">
        <x:v>1</x:v>
      </x:c>
      <x:c r="F88" s="26" t="n">
        <x:v>0</x:v>
      </x:c>
      <x:c r="G88" s="26" t="n">
        <x:v>0</x:v>
      </x:c>
      <x:c r="H88" s="26" t="n">
        <x:v>0</x:v>
      </x:c>
      <x:c r="I88" s="26" t="n">
        <x:v>2</x:v>
      </x:c>
      <x:c r="J88" s="655" t="n">
        <x:v>0.3333333333333333</x:v>
      </x:c>
      <x:c r="K88" s="657" t="n">
        <x:v>-1.01</x:v>
      </x:c>
      <x:c r="L88" s="655" t="n">
        <x:v>-0.3366666666666667</x:v>
      </x:c>
    </x:row>
    <x:row r="89" ht="22" customHeight="1">
      <x:c r="A89" s="26" t="inlineStr">
        <x:is>
          <x:t xml:space="preserve">挪甲</x:t>
        </x:is>
      </x:c>
      <x:c r="B89" s="26" t="n">
        <x:v>3</x:v>
      </x:c>
      <x:c r="C89" s="26" t="n">
        <x:v>3</x:v>
      </x:c>
      <x:c r="D89" s="26" t="n">
        <x:v>0</x:v>
      </x:c>
      <x:c r="E89" s="26" t="n">
        <x:v>1</x:v>
      </x:c>
      <x:c r="F89" s="26" t="n">
        <x:v>0</x:v>
      </x:c>
      <x:c r="G89" s="26" t="n">
        <x:v>0</x:v>
      </x:c>
      <x:c r="H89" s="26" t="n">
        <x:v>0</x:v>
      </x:c>
      <x:c r="I89" s="26" t="n">
        <x:v>2</x:v>
      </x:c>
      <x:c r="J89" s="655" t="n">
        <x:v>0.3333333333333333</x:v>
      </x:c>
      <x:c r="K89" s="657" t="n">
        <x:v>-1.22</x:v>
      </x:c>
      <x:c r="L89" s="655" t="n">
        <x:v>-0.4066666666666667</x:v>
      </x:c>
    </x:row>
    <x:row r="90" ht="22" customHeight="1">
      <x:c r="A90" s="26" t="inlineStr">
        <x:is>
          <x:t xml:space="preserve">挪超</x:t>
        </x:is>
      </x:c>
      <x:c r="B90" s="26" t="n">
        <x:v>6</x:v>
      </x:c>
      <x:c r="C90" s="26" t="n">
        <x:v>6</x:v>
      </x:c>
      <x:c r="D90" s="26" t="n">
        <x:v>0</x:v>
      </x:c>
      <x:c r="E90" s="26" t="n">
        <x:v>4</x:v>
      </x:c>
      <x:c r="F90" s="26" t="n">
        <x:v>0</x:v>
      </x:c>
      <x:c r="G90" s="26" t="n">
        <x:v>0</x:v>
      </x:c>
      <x:c r="H90" s="26" t="n">
        <x:v>0</x:v>
      </x:c>
      <x:c r="I90" s="26" t="n">
        <x:v>2</x:v>
      </x:c>
      <x:c r="J90" s="655" t="n">
        <x:v>0.6666666666666666</x:v>
      </x:c>
      <x:c r="K90" s="657" t="n">
        <x:v>1.79</x:v>
      </x:c>
      <x:c r="L90" s="655" t="n">
        <x:v>0.2983333333333333</x:v>
      </x:c>
    </x:row>
    <x:row r="91" ht="22" customHeight="1">
      <x:c r="A91" s="26" t="inlineStr">
        <x:is>
          <x:t xml:space="preserve">捷丙</x:t>
        </x:is>
      </x:c>
      <x:c r="B91" s="26" t="n">
        <x:v>1</x:v>
      </x:c>
      <x:c r="C91" s="26" t="n">
        <x:v>1</x:v>
      </x:c>
      <x:c r="D91" s="26" t="n">
        <x:v>0</x:v>
      </x:c>
      <x:c r="E91" s="26" t="n">
        <x:v>1</x:v>
      </x:c>
      <x:c r="F91" s="26" t="n">
        <x:v>0</x:v>
      </x:c>
      <x:c r="G91" s="26" t="n">
        <x:v>0</x:v>
      </x:c>
      <x:c r="H91" s="26" t="n">
        <x:v>0</x:v>
      </x:c>
      <x:c r="I91" s="26" t="n">
        <x:v>0</x:v>
      </x:c>
      <x:c r="J91" s="655" t="n">
        <x:v>1</x:v>
      </x:c>
      <x:c r="K91" s="657" t="n">
        <x:v>0.83</x:v>
      </x:c>
      <x:c r="L91" s="655" t="n">
        <x:v>0.83</x:v>
      </x:c>
    </x:row>
    <x:row r="92" ht="22" customHeight="1">
      <x:c r="A92" s="26" t="inlineStr">
        <x:is>
          <x:t xml:space="preserve">捷克杯</x:t>
        </x:is>
      </x:c>
      <x:c r="B92" s="26" t="n">
        <x:v>1</x:v>
      </x:c>
      <x:c r="C92" s="26" t="n">
        <x:v>1</x:v>
      </x:c>
      <x:c r="D92" s="26" t="n">
        <x:v>0</x:v>
      </x:c>
      <x:c r="E92" s="26" t="n">
        <x:v>1</x:v>
      </x:c>
      <x:c r="F92" s="26" t="n">
        <x:v>0</x:v>
      </x:c>
      <x:c r="G92" s="26" t="n">
        <x:v>0</x:v>
      </x:c>
      <x:c r="H92" s="26" t="n">
        <x:v>0</x:v>
      </x:c>
      <x:c r="I92" s="26" t="n">
        <x:v>0</x:v>
      </x:c>
      <x:c r="J92" s="655" t="n">
        <x:v>1</x:v>
      </x:c>
      <x:c r="K92" s="657" t="n">
        <x:v>0.84</x:v>
      </x:c>
      <x:c r="L92" s="655" t="n">
        <x:v>0.84</x:v>
      </x:c>
    </x:row>
    <x:row r="93" ht="22" customHeight="1">
      <x:c r="A93" s="26" t="inlineStr">
        <x:is>
          <x:t xml:space="preserve">捷甲</x:t>
        </x:is>
      </x:c>
      <x:c r="B93" s="26" t="n">
        <x:v>1</x:v>
      </x:c>
      <x:c r="C93" s="26" t="n">
        <x:v>1</x:v>
      </x:c>
      <x:c r="D93" s="26" t="n">
        <x:v>0</x:v>
      </x:c>
      <x:c r="E93" s="26" t="n">
        <x:v>1</x:v>
      </x:c>
      <x:c r="F93" s="26" t="n">
        <x:v>0</x:v>
      </x:c>
      <x:c r="G93" s="26" t="n">
        <x:v>0</x:v>
      </x:c>
      <x:c r="H93" s="26" t="n">
        <x:v>0</x:v>
      </x:c>
      <x:c r="I93" s="26" t="n">
        <x:v>0</x:v>
      </x:c>
      <x:c r="J93" s="655" t="n">
        <x:v>1</x:v>
      </x:c>
      <x:c r="K93" s="657" t="n">
        <x:v>1.05</x:v>
      </x:c>
      <x:c r="L93" s="655" t="n">
        <x:v>1.05</x:v>
      </x:c>
    </x:row>
    <x:row r="94" ht="22" customHeight="1">
      <x:c r="A94" s="26" t="inlineStr">
        <x:is>
          <x:t xml:space="preserve">斯亚甲</x:t>
        </x:is>
      </x:c>
      <x:c r="B94" s="26" t="n">
        <x:v>4</x:v>
      </x:c>
      <x:c r="C94" s="26" t="n">
        <x:v>4</x:v>
      </x:c>
      <x:c r="D94" s="26" t="n">
        <x:v>0</x:v>
      </x:c>
      <x:c r="E94" s="26" t="n">
        <x:v>2</x:v>
      </x:c>
      <x:c r="F94" s="26" t="n">
        <x:v>0</x:v>
      </x:c>
      <x:c r="G94" s="26" t="n">
        <x:v>0</x:v>
      </x:c>
      <x:c r="H94" s="26" t="n">
        <x:v>0</x:v>
      </x:c>
      <x:c r="I94" s="26" t="n">
        <x:v>2</x:v>
      </x:c>
      <x:c r="J94" s="655" t="n">
        <x:v>0.5</x:v>
      </x:c>
      <x:c r="K94" s="657" t="n">
        <x:v>0.1799999999999999</x:v>
      </x:c>
      <x:c r="L94" s="655" t="n">
        <x:v>0.04499999999999998</x:v>
      </x:c>
    </x:row>
    <x:row r="95" ht="22" customHeight="1">
      <x:c r="A95" s="26" t="inlineStr">
        <x:is>
          <x:t xml:space="preserve">斯伐杯</x:t>
        </x:is>
      </x:c>
      <x:c r="B95" s="26" t="n">
        <x:v>1</x:v>
      </x:c>
      <x:c r="C95" s="26" t="n">
        <x:v>1</x:v>
      </x:c>
      <x:c r="D95" s="26" t="n">
        <x:v>0</x:v>
      </x:c>
      <x:c r="E95" s="26" t="n">
        <x:v>1</x:v>
      </x:c>
      <x:c r="F95" s="26" t="n">
        <x:v>0</x:v>
      </x:c>
      <x:c r="G95" s="26" t="n">
        <x:v>0</x:v>
      </x:c>
      <x:c r="H95" s="26" t="n">
        <x:v>0</x:v>
      </x:c>
      <x:c r="I95" s="26" t="n">
        <x:v>0</x:v>
      </x:c>
      <x:c r="J95" s="655" t="n">
        <x:v>1</x:v>
      </x:c>
      <x:c r="K95" s="657" t="n">
        <x:v>0.76</x:v>
      </x:c>
      <x:c r="L95" s="655" t="n">
        <x:v>0.76</x:v>
      </x:c>
    </x:row>
    <x:row r="96" ht="22" customHeight="1">
      <x:c r="A96" s="26" t="inlineStr">
        <x:is>
          <x:t xml:space="preserve">日职丙</x:t>
        </x:is>
      </x:c>
      <x:c r="B96" s="26" t="n">
        <x:v>2</x:v>
      </x:c>
      <x:c r="C96" s="26" t="n">
        <x:v>2</x:v>
      </x:c>
      <x:c r="D96" s="26" t="n">
        <x:v>0</x:v>
      </x:c>
      <x:c r="E96" s="26" t="n">
        <x:v>1</x:v>
      </x:c>
      <x:c r="F96" s="26" t="n">
        <x:v>0</x:v>
      </x:c>
      <x:c r="G96" s="26" t="n">
        <x:v>1</x:v>
      </x:c>
      <x:c r="H96" s="26" t="n">
        <x:v>0</x:v>
      </x:c>
      <x:c r="I96" s="26" t="n">
        <x:v>0</x:v>
      </x:c>
      <x:c r="J96" s="655" t="n">
        <x:v>1</x:v>
      </x:c>
      <x:c r="K96" s="657" t="n">
        <x:v>1</x:v>
      </x:c>
      <x:c r="L96" s="655" t="n">
        <x:v>0.5</x:v>
      </x:c>
    </x:row>
    <x:row r="97" ht="22" customHeight="1">
      <x:c r="A97" s="26" t="inlineStr">
        <x:is>
          <x:t xml:space="preserve">日职乙</x:t>
        </x:is>
      </x:c>
      <x:c r="B97" s="26" t="n">
        <x:v>4</x:v>
      </x:c>
      <x:c r="C97" s="26" t="n">
        <x:v>4</x:v>
      </x:c>
      <x:c r="D97" s="26" t="n">
        <x:v>0</x:v>
      </x:c>
      <x:c r="E97" s="26" t="n">
        <x:v>2</x:v>
      </x:c>
      <x:c r="F97" s="26" t="n">
        <x:v>1</x:v>
      </x:c>
      <x:c r="G97" s="26" t="n">
        <x:v>0</x:v>
      </x:c>
      <x:c r="H97" s="26" t="n">
        <x:v>0</x:v>
      </x:c>
      <x:c r="I97" s="26" t="n">
        <x:v>1</x:v>
      </x:c>
      <x:c r="J97" s="655" t="n">
        <x:v>0.7142857142857143</x:v>
      </x:c>
      <x:c r="K97" s="657" t="n">
        <x:v>1.595</x:v>
      </x:c>
      <x:c r="L97" s="655" t="n">
        <x:v>0.39875</x:v>
      </x:c>
    </x:row>
    <x:row r="98" ht="22" customHeight="1">
      <x:c r="A98" s="26" t="inlineStr">
        <x:is>
          <x:t xml:space="preserve">日职女甲</x:t>
        </x:is>
      </x:c>
      <x:c r="B98" s="26" t="n">
        <x:v>1</x:v>
      </x:c>
      <x:c r="C98" s="26" t="n">
        <x:v>1</x:v>
      </x:c>
      <x:c r="D98" s="26" t="n">
        <x:v>0</x:v>
      </x:c>
      <x:c r="E98" s="26" t="n">
        <x:v>1</x:v>
      </x:c>
      <x:c r="F98" s="26" t="n">
        <x:v>0</x:v>
      </x:c>
      <x:c r="G98" s="26" t="n">
        <x:v>0</x:v>
      </x:c>
      <x:c r="H98" s="26" t="n">
        <x:v>0</x:v>
      </x:c>
      <x:c r="I98" s="26" t="n">
        <x:v>0</x:v>
      </x:c>
      <x:c r="J98" s="655" t="n">
        <x:v>1</x:v>
      </x:c>
      <x:c r="K98" s="657" t="n">
        <x:v>0.97</x:v>
      </x:c>
      <x:c r="L98" s="655" t="n">
        <x:v>0.97</x:v>
      </x:c>
    </x:row>
    <x:row r="99" ht="22" customHeight="1">
      <x:c r="A99" s="26" t="inlineStr">
        <x:is>
          <x:t xml:space="preserve">日职联</x:t>
        </x:is>
      </x:c>
      <x:c r="B99" s="26" t="n">
        <x:v>3</x:v>
      </x:c>
      <x:c r="C99" s="26" t="n">
        <x:v>3</x:v>
      </x:c>
      <x:c r="D99" s="26" t="n">
        <x:v>0</x:v>
      </x:c>
      <x:c r="E99" s="26" t="n">
        <x:v>0</x:v>
      </x:c>
      <x:c r="F99" s="26" t="n">
        <x:v>0</x:v>
      </x:c>
      <x:c r="G99" s="26" t="n">
        <x:v>0</x:v>
      </x:c>
      <x:c r="H99" s="26" t="n">
        <x:v>0</x:v>
      </x:c>
      <x:c r="I99" s="26" t="n">
        <x:v>3</x:v>
      </x:c>
      <x:c r="J99" s="655" t="n">
        <x:v>0</x:v>
      </x:c>
      <x:c r="K99" s="657" t="n">
        <x:v>-3</x:v>
      </x:c>
      <x:c r="L99" s="655" t="n">
        <x:v>-1</x:v>
      </x:c>
    </x:row>
    <x:row r="100" ht="22" customHeight="1">
      <x:c r="A100" s="26" t="inlineStr">
        <x:is>
          <x:t xml:space="preserve">日足联</x:t>
        </x:is>
      </x:c>
      <x:c r="B100" s="26" t="n">
        <x:v>1</x:v>
      </x:c>
      <x:c r="C100" s="26" t="n">
        <x:v>1</x:v>
      </x:c>
      <x:c r="D100" s="26" t="n">
        <x:v>0</x:v>
      </x:c>
      <x:c r="E100" s="26" t="n">
        <x:v>1</x:v>
      </x:c>
      <x:c r="F100" s="26" t="n">
        <x:v>0</x:v>
      </x:c>
      <x:c r="G100" s="26" t="n">
        <x:v>0</x:v>
      </x:c>
      <x:c r="H100" s="26" t="n">
        <x:v>0</x:v>
      </x:c>
      <x:c r="I100" s="26" t="n">
        <x:v>0</x:v>
      </x:c>
      <x:c r="J100" s="655" t="n">
        <x:v>1</x:v>
      </x:c>
      <x:c r="K100" s="657" t="n">
        <x:v>1</x:v>
      </x:c>
      <x:c r="L100" s="655" t="n">
        <x:v>1</x:v>
      </x:c>
    </x:row>
    <x:row r="101" ht="22" customHeight="1">
      <x:c r="A101" s="26" t="inlineStr">
        <x:is>
          <x:t xml:space="preserve">欧罗巴杯</x:t>
        </x:is>
      </x:c>
      <x:c r="B101" s="26" t="n">
        <x:v>8</x:v>
      </x:c>
      <x:c r="C101" s="26" t="n">
        <x:v>8</x:v>
      </x:c>
      <x:c r="D101" s="26" t="n">
        <x:v>0</x:v>
      </x:c>
      <x:c r="E101" s="26" t="n">
        <x:v>3</x:v>
      </x:c>
      <x:c r="F101" s="26" t="n">
        <x:v>0</x:v>
      </x:c>
      <x:c r="G101" s="26" t="n">
        <x:v>0</x:v>
      </x:c>
      <x:c r="H101" s="26" t="n">
        <x:v>1</x:v>
      </x:c>
      <x:c r="I101" s="26" t="n">
        <x:v>4</x:v>
      </x:c>
      <x:c r="J101" s="655" t="n">
        <x:v>0.4</x:v>
      </x:c>
      <x:c r="K101" s="657" t="n">
        <x:v>-1.49</x:v>
      </x:c>
      <x:c r="L101" s="655" t="n">
        <x:v>-0.18625</x:v>
      </x:c>
    </x:row>
    <x:row r="102" ht="22" customHeight="1">
      <x:c r="A102" s="26" t="inlineStr">
        <x:is>
          <x:t xml:space="preserve">比乙</x:t>
        </x:is>
      </x:c>
      <x:c r="B102" s="26" t="n">
        <x:v>2</x:v>
      </x:c>
      <x:c r="C102" s="26" t="n">
        <x:v>2</x:v>
      </x:c>
      <x:c r="D102" s="26" t="n">
        <x:v>0</x:v>
      </x:c>
      <x:c r="E102" s="26" t="n">
        <x:v>0</x:v>
      </x:c>
      <x:c r="F102" s="26" t="n">
        <x:v>0</x:v>
      </x:c>
      <x:c r="G102" s="26" t="n">
        <x:v>0</x:v>
      </x:c>
      <x:c r="H102" s="26" t="n">
        <x:v>0</x:v>
      </x:c>
      <x:c r="I102" s="26" t="n">
        <x:v>2</x:v>
      </x:c>
      <x:c r="J102" s="655" t="n">
        <x:v>0</x:v>
      </x:c>
      <x:c r="K102" s="657" t="n">
        <x:v>-2</x:v>
      </x:c>
      <x:c r="L102" s="655" t="n">
        <x:v>-1</x:v>
      </x:c>
    </x:row>
    <x:row r="103" ht="22" customHeight="1">
      <x:c r="A103" s="26" t="inlineStr">
        <x:is>
          <x:t xml:space="preserve">比甲</x:t>
        </x:is>
      </x:c>
      <x:c r="B103" s="26" t="n">
        <x:v>3</x:v>
      </x:c>
      <x:c r="C103" s="26" t="n">
        <x:v>3</x:v>
      </x:c>
      <x:c r="D103" s="26" t="n">
        <x:v>0</x:v>
      </x:c>
      <x:c r="E103" s="26" t="n">
        <x:v>1</x:v>
      </x:c>
      <x:c r="F103" s="26" t="n">
        <x:v>2</x:v>
      </x:c>
      <x:c r="G103" s="26" t="n">
        <x:v>0</x:v>
      </x:c>
      <x:c r="H103" s="26" t="n">
        <x:v>0</x:v>
      </x:c>
      <x:c r="I103" s="26" t="n">
        <x:v>0</x:v>
      </x:c>
      <x:c r="J103" s="655" t="n">
        <x:v>1</x:v>
      </x:c>
      <x:c r="K103" s="657" t="n">
        <x:v>2.135</x:v>
      </x:c>
      <x:c r="L103" s="655" t="n">
        <x:v>0.7116666666666668</x:v>
      </x:c>
    </x:row>
    <x:row r="104" ht="22" customHeight="1">
      <x:c r="A104" s="26" t="inlineStr">
        <x:is>
          <x:t xml:space="preserve">沙地甲</x:t>
        </x:is>
      </x:c>
      <x:c r="B104" s="26" t="n">
        <x:v>2</x:v>
      </x:c>
      <x:c r="C104" s="26" t="n">
        <x:v>2</x:v>
      </x:c>
      <x:c r="D104" s="26" t="n">
        <x:v>0</x:v>
      </x:c>
      <x:c r="E104" s="26" t="n">
        <x:v>1</x:v>
      </x:c>
      <x:c r="F104" s="26" t="n">
        <x:v>0</x:v>
      </x:c>
      <x:c r="G104" s="26" t="n">
        <x:v>0</x:v>
      </x:c>
      <x:c r="H104" s="26" t="n">
        <x:v>0</x:v>
      </x:c>
      <x:c r="I104" s="26" t="n">
        <x:v>1</x:v>
      </x:c>
      <x:c r="J104" s="655" t="n">
        <x:v>0.5</x:v>
      </x:c>
      <x:c r="K104" s="657" t="n">
        <x:v>-0.24</x:v>
      </x:c>
      <x:c r="L104" s="655" t="n">
        <x:v>-0.12</x:v>
      </x:c>
    </x:row>
    <x:row r="105" ht="22" customHeight="1">
      <x:c r="A105" s="26" t="inlineStr">
        <x:is>
          <x:t xml:space="preserve">法丙</x:t>
        </x:is>
      </x:c>
      <x:c r="B105" s="26" t="n">
        <x:v>1</x:v>
      </x:c>
      <x:c r="C105" s="26" t="n">
        <x:v>1</x:v>
      </x:c>
      <x:c r="D105" s="26" t="n">
        <x:v>0</x:v>
      </x:c>
      <x:c r="E105" s="26" t="n">
        <x:v>0</x:v>
      </x:c>
      <x:c r="F105" s="26" t="n">
        <x:v>1</x:v>
      </x:c>
      <x:c r="G105" s="26" t="n">
        <x:v>0</x:v>
      </x:c>
      <x:c r="H105" s="26" t="n">
        <x:v>0</x:v>
      </x:c>
      <x:c r="I105" s="26" t="n">
        <x:v>0</x:v>
      </x:c>
      <x:c r="J105" s="655" t="n">
        <x:v>1</x:v>
      </x:c>
      <x:c r="K105" s="657" t="n">
        <x:v>0.52</x:v>
      </x:c>
      <x:c r="L105" s="655" t="n">
        <x:v>0.52</x:v>
      </x:c>
    </x:row>
    <x:row r="106" ht="22" customHeight="1">
      <x:c r="A106" s="26" t="inlineStr">
        <x:is>
          <x:t xml:space="preserve">法乙</x:t>
        </x:is>
      </x:c>
      <x:c r="B106" s="26" t="n">
        <x:v>2</x:v>
      </x:c>
      <x:c r="C106" s="26" t="n">
        <x:v>2</x:v>
      </x:c>
      <x:c r="D106" s="26" t="n">
        <x:v>0</x:v>
      </x:c>
      <x:c r="E106" s="26" t="n">
        <x:v>1</x:v>
      </x:c>
      <x:c r="F106" s="26" t="n">
        <x:v>0</x:v>
      </x:c>
      <x:c r="G106" s="26" t="n">
        <x:v>0</x:v>
      </x:c>
      <x:c r="H106" s="26" t="n">
        <x:v>1</x:v>
      </x:c>
      <x:c r="I106" s="26" t="n">
        <x:v>0</x:v>
      </x:c>
      <x:c r="J106" s="655" t="n">
        <x:v>0.6666666666666666</x:v>
      </x:c>
      <x:c r="K106" s="657" t="n">
        <x:v>0.51</x:v>
      </x:c>
      <x:c r="L106" s="655" t="n">
        <x:v>0.255</x:v>
      </x:c>
    </x:row>
    <x:row r="107" ht="22" customHeight="1">
      <x:c r="A107" s="26" t="inlineStr">
        <x:is>
          <x:t xml:space="preserve">法甲</x:t>
        </x:is>
      </x:c>
      <x:c r="B107" s="26" t="n">
        <x:v>5</x:v>
      </x:c>
      <x:c r="C107" s="26" t="n">
        <x:v>5</x:v>
      </x:c>
      <x:c r="D107" s="26" t="n">
        <x:v>0</x:v>
      </x:c>
      <x:c r="E107" s="26" t="n">
        <x:v>3</x:v>
      </x:c>
      <x:c r="F107" s="26" t="n">
        <x:v>0</x:v>
      </x:c>
      <x:c r="G107" s="26" t="n">
        <x:v>0</x:v>
      </x:c>
      <x:c r="H107" s="26" t="n">
        <x:v>0</x:v>
      </x:c>
      <x:c r="I107" s="26" t="n">
        <x:v>2</x:v>
      </x:c>
      <x:c r="J107" s="655" t="n">
        <x:v>0.6</x:v>
      </x:c>
      <x:c r="K107" s="657" t="n">
        <x:v>1.04</x:v>
      </x:c>
      <x:c r="L107" s="655" t="n">
        <x:v>0.208</x:v>
      </x:c>
    </x:row>
    <x:row r="108" ht="22" customHeight="1">
      <x:c r="A108" s="26" t="inlineStr">
        <x:is>
          <x:t xml:space="preserve">波兰乙</x:t>
        </x:is>
      </x:c>
      <x:c r="B108" s="26" t="n">
        <x:v>1</x:v>
      </x:c>
      <x:c r="C108" s="26" t="n">
        <x:v>1</x:v>
      </x:c>
      <x:c r="D108" s="26" t="n">
        <x:v>0</x:v>
      </x:c>
      <x:c r="E108" s="26" t="n">
        <x:v>0</x:v>
      </x:c>
      <x:c r="F108" s="26" t="n">
        <x:v>1</x:v>
      </x:c>
      <x:c r="G108" s="26" t="n">
        <x:v>0</x:v>
      </x:c>
      <x:c r="H108" s="26" t="n">
        <x:v>0</x:v>
      </x:c>
      <x:c r="I108" s="26" t="n">
        <x:v>0</x:v>
      </x:c>
      <x:c r="J108" s="655" t="n">
        <x:v>1</x:v>
      </x:c>
      <x:c r="K108" s="657" t="n">
        <x:v>0.555</x:v>
      </x:c>
      <x:c r="L108" s="655" t="n">
        <x:v>0.555</x:v>
      </x:c>
    </x:row>
    <x:row r="109" ht="22" customHeight="1">
      <x:c r="A109" s="26" t="inlineStr">
        <x:is>
          <x:t xml:space="preserve">波兰甲</x:t>
        </x:is>
      </x:c>
      <x:c r="B109" s="26" t="n">
        <x:v>1</x:v>
      </x:c>
      <x:c r="C109" s="26" t="n">
        <x:v>1</x:v>
      </x:c>
      <x:c r="D109" s="26" t="n">
        <x:v>0</x:v>
      </x:c>
      <x:c r="E109" s="26" t="n">
        <x:v>1</x:v>
      </x:c>
      <x:c r="F109" s="26" t="n">
        <x:v>0</x:v>
      </x:c>
      <x:c r="G109" s="26" t="n">
        <x:v>0</x:v>
      </x:c>
      <x:c r="H109" s="26" t="n">
        <x:v>0</x:v>
      </x:c>
      <x:c r="I109" s="26" t="n">
        <x:v>0</x:v>
      </x:c>
      <x:c r="J109" s="655" t="n">
        <x:v>1</x:v>
      </x:c>
      <x:c r="K109" s="657" t="n">
        <x:v>1.04</x:v>
      </x:c>
      <x:c r="L109" s="655" t="n">
        <x:v>1.04</x:v>
      </x:c>
    </x:row>
    <x:row r="110" ht="22" customHeight="1">
      <x:c r="A110" s="26" t="inlineStr">
        <x:is>
          <x:t xml:space="preserve">波兰超</x:t>
        </x:is>
      </x:c>
      <x:c r="B110" s="26" t="n">
        <x:v>4</x:v>
      </x:c>
      <x:c r="C110" s="26" t="n">
        <x:v>4</x:v>
      </x:c>
      <x:c r="D110" s="26" t="n">
        <x:v>0</x:v>
      </x:c>
      <x:c r="E110" s="26" t="n">
        <x:v>2</x:v>
      </x:c>
      <x:c r="F110" s="26" t="n">
        <x:v>1</x:v>
      </x:c>
      <x:c r="G110" s="26" t="n">
        <x:v>0</x:v>
      </x:c>
      <x:c r="H110" s="26" t="n">
        <x:v>1</x:v>
      </x:c>
      <x:c r="I110" s="26" t="n">
        <x:v>0</x:v>
      </x:c>
      <x:c r="J110" s="655" t="n">
        <x:v>0.8333333333333334</x:v>
      </x:c>
      <x:c r="K110" s="657" t="n">
        <x:v>2.035</x:v>
      </x:c>
      <x:c r="L110" s="655" t="n">
        <x:v>0.50875</x:v>
      </x:c>
    </x:row>
    <x:row r="111" ht="22" customHeight="1">
      <x:c r="A111" s="26" t="inlineStr">
        <x:is>
          <x:t xml:space="preserve">波斯甲</x:t>
        </x:is>
      </x:c>
      <x:c r="B111" s="26" t="n">
        <x:v>1</x:v>
      </x:c>
      <x:c r="C111" s="26" t="n">
        <x:v>1</x:v>
      </x:c>
      <x:c r="D111" s="26" t="n">
        <x:v>0</x:v>
      </x:c>
      <x:c r="E111" s="26" t="n">
        <x:v>1</x:v>
      </x:c>
      <x:c r="F111" s="26" t="n">
        <x:v>0</x:v>
      </x:c>
      <x:c r="G111" s="26" t="n">
        <x:v>0</x:v>
      </x:c>
      <x:c r="H111" s="26" t="n">
        <x:v>0</x:v>
      </x:c>
      <x:c r="I111" s="26" t="n">
        <x:v>0</x:v>
      </x:c>
      <x:c r="J111" s="655" t="n">
        <x:v>1</x:v>
      </x:c>
      <x:c r="K111" s="657" t="n">
        <x:v>1.01</x:v>
      </x:c>
      <x:c r="L111" s="655" t="n">
        <x:v>1.01</x:v>
      </x:c>
    </x:row>
    <x:row r="112" ht="22" customHeight="1">
      <x:c r="A112" s="26" t="inlineStr">
        <x:is>
          <x:t xml:space="preserve">泰超</x:t>
        </x:is>
      </x:c>
      <x:c r="B112" s="26" t="n">
        <x:v>1</x:v>
      </x:c>
      <x:c r="C112" s="26" t="n">
        <x:v>1</x:v>
      </x:c>
      <x:c r="D112" s="26" t="n">
        <x:v>0</x:v>
      </x:c>
      <x:c r="E112" s="26" t="n">
        <x:v>0</x:v>
      </x:c>
      <x:c r="F112" s="26" t="n">
        <x:v>0</x:v>
      </x:c>
      <x:c r="G112" s="26" t="n">
        <x:v>0</x:v>
      </x:c>
      <x:c r="H112" s="26" t="n">
        <x:v>0</x:v>
      </x:c>
      <x:c r="I112" s="26" t="n">
        <x:v>1</x:v>
      </x:c>
      <x:c r="J112" s="655" t="n">
        <x:v>0</x:v>
      </x:c>
      <x:c r="K112" s="657" t="n">
        <x:v>-1</x:v>
      </x:c>
      <x:c r="L112" s="655" t="n">
        <x:v>-1</x:v>
      </x:c>
    </x:row>
    <x:row r="113" ht="22" customHeight="1">
      <x:c r="A113" s="26" t="inlineStr">
        <x:is>
          <x:t xml:space="preserve">澳西超</x:t>
        </x:is>
      </x:c>
      <x:c r="B113" s="26" t="n">
        <x:v>1</x:v>
      </x:c>
      <x:c r="C113" s="26" t="n">
        <x:v>1</x:v>
      </x:c>
      <x:c r="D113" s="26" t="n">
        <x:v>0</x:v>
      </x:c>
      <x:c r="E113" s="26" t="n">
        <x:v>0</x:v>
      </x:c>
      <x:c r="F113" s="26" t="n">
        <x:v>0</x:v>
      </x:c>
      <x:c r="G113" s="26" t="n">
        <x:v>0</x:v>
      </x:c>
      <x:c r="H113" s="26" t="n">
        <x:v>0</x:v>
      </x:c>
      <x:c r="I113" s="26" t="n">
        <x:v>1</x:v>
      </x:c>
      <x:c r="J113" s="655" t="n">
        <x:v>0</x:v>
      </x:c>
      <x:c r="K113" s="657" t="n">
        <x:v>-1</x:v>
      </x:c>
      <x:c r="L113" s="655" t="n">
        <x:v>-1</x:v>
      </x:c>
    </x:row>
    <x:row r="114" ht="22" customHeight="1">
      <x:c r="A114" s="26" t="inlineStr">
        <x:is>
          <x:t xml:space="preserve">爱甲</x:t>
        </x:is>
      </x:c>
      <x:c r="B114" s="26" t="n">
        <x:v>1</x:v>
      </x:c>
      <x:c r="C114" s="26" t="n">
        <x:v>1</x:v>
      </x:c>
      <x:c r="D114" s="26" t="n">
        <x:v>0</x:v>
      </x:c>
      <x:c r="E114" s="26" t="n">
        <x:v>0</x:v>
      </x:c>
      <x:c r="F114" s="26" t="n">
        <x:v>0</x:v>
      </x:c>
      <x:c r="G114" s="26" t="n">
        <x:v>0</x:v>
      </x:c>
      <x:c r="H114" s="26" t="n">
        <x:v>0</x:v>
      </x:c>
      <x:c r="I114" s="26" t="n">
        <x:v>1</x:v>
      </x:c>
      <x:c r="J114" s="655" t="n">
        <x:v>0</x:v>
      </x:c>
      <x:c r="K114" s="657" t="n">
        <x:v>-1</x:v>
      </x:c>
      <x:c r="L114" s="655" t="n">
        <x:v>-1</x:v>
      </x:c>
    </x:row>
    <x:row r="115" ht="22" customHeight="1">
      <x:c r="A115" s="26" t="inlineStr">
        <x:is>
          <x:t xml:space="preserve">爱超</x:t>
        </x:is>
      </x:c>
      <x:c r="B115" s="26" t="n">
        <x:v>2</x:v>
      </x:c>
      <x:c r="C115" s="26" t="n">
        <x:v>2</x:v>
      </x:c>
      <x:c r="D115" s="26" t="n">
        <x:v>0</x:v>
      </x:c>
      <x:c r="E115" s="26" t="n">
        <x:v>1</x:v>
      </x:c>
      <x:c r="F115" s="26" t="n">
        <x:v>1</x:v>
      </x:c>
      <x:c r="G115" s="26" t="n">
        <x:v>0</x:v>
      </x:c>
      <x:c r="H115" s="26" t="n">
        <x:v>0</x:v>
      </x:c>
      <x:c r="I115" s="26" t="n">
        <x:v>0</x:v>
      </x:c>
      <x:c r="J115" s="655" t="n">
        <x:v>1</x:v>
      </x:c>
      <x:c r="K115" s="657" t="n">
        <x:v>1.56</x:v>
      </x:c>
      <x:c r="L115" s="655" t="n">
        <x:v>0.78</x:v>
      </x:c>
    </x:row>
    <x:row r="116" ht="22" customHeight="1">
      <x:c r="A116" s="26" t="inlineStr">
        <x:is>
          <x:t xml:space="preserve">玻利杯</x:t>
        </x:is>
      </x:c>
      <x:c r="B116" s="26" t="n">
        <x:v>1</x:v>
      </x:c>
      <x:c r="C116" s="26" t="n">
        <x:v>1</x:v>
      </x:c>
      <x:c r="D116" s="26" t="n">
        <x:v>0</x:v>
      </x:c>
      <x:c r="E116" s="26" t="n">
        <x:v>0</x:v>
      </x:c>
      <x:c r="F116" s="26" t="n">
        <x:v>1</x:v>
      </x:c>
      <x:c r="G116" s="26" t="n">
        <x:v>0</x:v>
      </x:c>
      <x:c r="H116" s="26" t="n">
        <x:v>0</x:v>
      </x:c>
      <x:c r="I116" s="26" t="n">
        <x:v>0</x:v>
      </x:c>
      <x:c r="J116" s="655" t="n">
        <x:v>1</x:v>
      </x:c>
      <x:c r="K116" s="657" t="n">
        <x:v>0.525</x:v>
      </x:c>
      <x:c r="L116" s="655" t="n">
        <x:v>0.525</x:v>
      </x:c>
    </x:row>
    <x:row r="117" ht="22" customHeight="1">
      <x:c r="A117" s="26" t="inlineStr">
        <x:is>
          <x:t xml:space="preserve">瑞典乙北</x:t>
        </x:is>
      </x:c>
      <x:c r="B117" s="26" t="n">
        <x:v>1</x:v>
      </x:c>
      <x:c r="C117" s="26" t="n">
        <x:v>1</x:v>
      </x:c>
      <x:c r="D117" s="26" t="n">
        <x:v>0</x:v>
      </x:c>
      <x:c r="E117" s="26" t="n">
        <x:v>0</x:v>
      </x:c>
      <x:c r="F117" s="26" t="n">
        <x:v>0</x:v>
      </x:c>
      <x:c r="G117" s="26" t="n">
        <x:v>0</x:v>
      </x:c>
      <x:c r="H117" s="26" t="n">
        <x:v>0</x:v>
      </x:c>
      <x:c r="I117" s="26" t="n">
        <x:v>1</x:v>
      </x:c>
      <x:c r="J117" s="655" t="n">
        <x:v>0</x:v>
      </x:c>
      <x:c r="K117" s="657" t="n">
        <x:v>-1</x:v>
      </x:c>
      <x:c r="L117" s="655" t="n">
        <x:v>-1</x:v>
      </x:c>
    </x:row>
    <x:row r="118" ht="22" customHeight="1">
      <x:c r="A118" s="26" t="inlineStr">
        <x:is>
          <x:t xml:space="preserve">瑞典甲</x:t>
        </x:is>
      </x:c>
      <x:c r="B118" s="26" t="n">
        <x:v>4</x:v>
      </x:c>
      <x:c r="C118" s="26" t="n">
        <x:v>4</x:v>
      </x:c>
      <x:c r="D118" s="26" t="n">
        <x:v>0</x:v>
      </x:c>
      <x:c r="E118" s="26" t="n">
        <x:v>1</x:v>
      </x:c>
      <x:c r="F118" s="26" t="n">
        <x:v>0</x:v>
      </x:c>
      <x:c r="G118" s="26" t="n">
        <x:v>0</x:v>
      </x:c>
      <x:c r="H118" s="26" t="n">
        <x:v>1</x:v>
      </x:c>
      <x:c r="I118" s="26" t="n">
        <x:v>2</x:v>
      </x:c>
      <x:c r="J118" s="655" t="n">
        <x:v>0.2857142857142857</x:v>
      </x:c>
      <x:c r="K118" s="657" t="n">
        <x:v>-1.45</x:v>
      </x:c>
      <x:c r="L118" s="655" t="n">
        <x:v>-0.3625</x:v>
      </x:c>
    </x:row>
    <x:row r="119" ht="22" customHeight="1">
      <x:c r="A119" s="26" t="inlineStr">
        <x:is>
          <x:t xml:space="preserve">瑞典超</x:t>
        </x:is>
      </x:c>
      <x:c r="B119" s="26" t="n">
        <x:v>7</x:v>
      </x:c>
      <x:c r="C119" s="26" t="n">
        <x:v>7</x:v>
      </x:c>
      <x:c r="D119" s="26" t="n">
        <x:v>0</x:v>
      </x:c>
      <x:c r="E119" s="26" t="n">
        <x:v>5</x:v>
      </x:c>
      <x:c r="F119" s="26" t="n">
        <x:v>0</x:v>
      </x:c>
      <x:c r="G119" s="26" t="n">
        <x:v>2</x:v>
      </x:c>
      <x:c r="H119" s="26" t="n">
        <x:v>0</x:v>
      </x:c>
      <x:c r="I119" s="26" t="n">
        <x:v>0</x:v>
      </x:c>
      <x:c r="J119" s="655" t="n">
        <x:v>1</x:v>
      </x:c>
      <x:c r="K119" s="657" t="n">
        <x:v>5.21</x:v>
      </x:c>
      <x:c r="L119" s="655" t="n">
        <x:v>0.7442857142857143</x:v>
      </x:c>
    </x:row>
    <x:row r="120" ht="22" customHeight="1">
      <x:c r="A120" s="26" t="inlineStr">
        <x:is>
          <x:t xml:space="preserve">瑞士甲</x:t>
        </x:is>
      </x:c>
      <x:c r="B120" s="26" t="n">
        <x:v>2</x:v>
      </x:c>
      <x:c r="C120" s="26" t="n">
        <x:v>2</x:v>
      </x:c>
      <x:c r="D120" s="26" t="n">
        <x:v>0</x:v>
      </x:c>
      <x:c r="E120" s="26" t="n">
        <x:v>0</x:v>
      </x:c>
      <x:c r="F120" s="26" t="n">
        <x:v>0</x:v>
      </x:c>
      <x:c r="G120" s="26" t="n">
        <x:v>0</x:v>
      </x:c>
      <x:c r="H120" s="26" t="n">
        <x:v>0</x:v>
      </x:c>
      <x:c r="I120" s="26" t="n">
        <x:v>2</x:v>
      </x:c>
      <x:c r="J120" s="655" t="n">
        <x:v>0</x:v>
      </x:c>
      <x:c r="K120" s="657" t="n">
        <x:v>-2</x:v>
      </x:c>
      <x:c r="L120" s="655" t="n">
        <x:v>-1</x:v>
      </x:c>
    </x:row>
    <x:row r="121" ht="22" customHeight="1">
      <x:c r="A121" s="26" t="inlineStr">
        <x:is>
          <x:t xml:space="preserve">瑞士超</x:t>
        </x:is>
      </x:c>
      <x:c r="B121" s="26" t="n">
        <x:v>3</x:v>
      </x:c>
      <x:c r="C121" s="26" t="n">
        <x:v>3</x:v>
      </x:c>
      <x:c r="D121" s="26" t="n">
        <x:v>0</x:v>
      </x:c>
      <x:c r="E121" s="26" t="n">
        <x:v>1</x:v>
      </x:c>
      <x:c r="F121" s="26" t="n">
        <x:v>0</x:v>
      </x:c>
      <x:c r="G121" s="26" t="n">
        <x:v>0</x:v>
      </x:c>
      <x:c r="H121" s="26" t="n">
        <x:v>0</x:v>
      </x:c>
      <x:c r="I121" s="26" t="n">
        <x:v>2</x:v>
      </x:c>
      <x:c r="J121" s="655" t="n">
        <x:v>0.3333333333333333</x:v>
      </x:c>
      <x:c r="K121" s="657" t="n">
        <x:v>-0.9399999999999999</x:v>
      </x:c>
      <x:c r="L121" s="655" t="n">
        <x:v>-0.3133333333333333</x:v>
      </x:c>
    </x:row>
    <x:row r="122" ht="22" customHeight="1">
      <x:c r="A122" s="26" t="inlineStr">
        <x:is>
          <x:t xml:space="preserve">白俄超</x:t>
        </x:is>
      </x:c>
      <x:c r="B122" s="26" t="n">
        <x:v>1</x:v>
      </x:c>
      <x:c r="C122" s="26" t="n">
        <x:v>1</x:v>
      </x:c>
      <x:c r="D122" s="26" t="n">
        <x:v>0</x:v>
      </x:c>
      <x:c r="E122" s="26" t="n">
        <x:v>1</x:v>
      </x:c>
      <x:c r="F122" s="26" t="n">
        <x:v>0</x:v>
      </x:c>
      <x:c r="G122" s="26" t="n">
        <x:v>0</x:v>
      </x:c>
      <x:c r="H122" s="26" t="n">
        <x:v>0</x:v>
      </x:c>
      <x:c r="I122" s="26" t="n">
        <x:v>0</x:v>
      </x:c>
      <x:c r="J122" s="655" t="n">
        <x:v>1</x:v>
      </x:c>
      <x:c r="K122" s="657" t="n">
        <x:v>1.03</x:v>
      </x:c>
      <x:c r="L122" s="655" t="n">
        <x:v>1.03</x:v>
      </x:c>
    </x:row>
    <x:row r="123" ht="22" customHeight="1">
      <x:c r="A123" s="26" t="inlineStr">
        <x:is>
          <x:t xml:space="preserve">立陶乙</x:t>
        </x:is>
      </x:c>
      <x:c r="B123" s="26" t="n">
        <x:v>1</x:v>
      </x:c>
      <x:c r="C123" s="26" t="n">
        <x:v>1</x:v>
      </x:c>
      <x:c r="D123" s="26" t="n">
        <x:v>0</x:v>
      </x:c>
      <x:c r="E123" s="26" t="n">
        <x:v>0</x:v>
      </x:c>
      <x:c r="F123" s="26" t="n">
        <x:v>1</x:v>
      </x:c>
      <x:c r="G123" s="26" t="n">
        <x:v>0</x:v>
      </x:c>
      <x:c r="H123" s="26" t="n">
        <x:v>0</x:v>
      </x:c>
      <x:c r="I123" s="26" t="n">
        <x:v>0</x:v>
      </x:c>
      <x:c r="J123" s="655" t="n">
        <x:v>1</x:v>
      </x:c>
      <x:c r="K123" s="657" t="n">
        <x:v>0.525</x:v>
      </x:c>
      <x:c r="L123" s="655" t="n">
        <x:v>0.525</x:v>
      </x:c>
    </x:row>
    <x:row r="124" ht="22" customHeight="1">
      <x:c r="A124" s="26" t="inlineStr">
        <x:is>
          <x:t xml:space="preserve">约超联</x:t>
        </x:is>
      </x:c>
      <x:c r="B124" s="26" t="n">
        <x:v>2</x:v>
      </x:c>
      <x:c r="C124" s="26" t="n">
        <x:v>2</x:v>
      </x:c>
      <x:c r="D124" s="26" t="n">
        <x:v>0</x:v>
      </x:c>
      <x:c r="E124" s="26" t="n">
        <x:v>2</x:v>
      </x:c>
      <x:c r="F124" s="26" t="n">
        <x:v>0</x:v>
      </x:c>
      <x:c r="G124" s="26" t="n">
        <x:v>0</x:v>
      </x:c>
      <x:c r="H124" s="26" t="n">
        <x:v>0</x:v>
      </x:c>
      <x:c r="I124" s="26" t="n">
        <x:v>0</x:v>
      </x:c>
      <x:c r="J124" s="655" t="n">
        <x:v>1</x:v>
      </x:c>
      <x:c r="K124" s="657" t="n">
        <x:v>1.95</x:v>
      </x:c>
      <x:c r="L124" s="655" t="n">
        <x:v>0.9750000000000001</x:v>
      </x:c>
    </x:row>
    <x:row r="125" ht="22" customHeight="1">
      <x:c r="A125" s="26" t="inlineStr">
        <x:is>
          <x:t xml:space="preserve">罗乙</x:t>
        </x:is>
      </x:c>
      <x:c r="B125" s="26" t="n">
        <x:v>1</x:v>
      </x:c>
      <x:c r="C125" s="26" t="n">
        <x:v>1</x:v>
      </x:c>
      <x:c r="D125" s="26" t="n">
        <x:v>0</x:v>
      </x:c>
      <x:c r="E125" s="26" t="n">
        <x:v>1</x:v>
      </x:c>
      <x:c r="F125" s="26" t="n">
        <x:v>0</x:v>
      </x:c>
      <x:c r="G125" s="26" t="n">
        <x:v>0</x:v>
      </x:c>
      <x:c r="H125" s="26" t="n">
        <x:v>0</x:v>
      </x:c>
      <x:c r="I125" s="26" t="n">
        <x:v>0</x:v>
      </x:c>
      <x:c r="J125" s="655" t="n">
        <x:v>1</x:v>
      </x:c>
      <x:c r="K125" s="657" t="n">
        <x:v>1.01</x:v>
      </x:c>
      <x:c r="L125" s="655" t="n">
        <x:v>1.01</x:v>
      </x:c>
    </x:row>
    <x:row r="126" ht="22" customHeight="1">
      <x:c r="A126" s="26" t="inlineStr">
        <x:is>
          <x:t xml:space="preserve">罗甲</x:t>
        </x:is>
      </x:c>
      <x:c r="B126" s="26" t="n">
        <x:v>1</x:v>
      </x:c>
      <x:c r="C126" s="26" t="n">
        <x:v>1</x:v>
      </x:c>
      <x:c r="D126" s="26" t="n">
        <x:v>0</x:v>
      </x:c>
      <x:c r="E126" s="26" t="n">
        <x:v>0</x:v>
      </x:c>
      <x:c r="F126" s="26" t="n">
        <x:v>0</x:v>
      </x:c>
      <x:c r="G126" s="26" t="n">
        <x:v>0</x:v>
      </x:c>
      <x:c r="H126" s="26" t="n">
        <x:v>0</x:v>
      </x:c>
      <x:c r="I126" s="26" t="n">
        <x:v>1</x:v>
      </x:c>
      <x:c r="J126" s="655" t="n">
        <x:v>0</x:v>
      </x:c>
      <x:c r="K126" s="657" t="n">
        <x:v>-1</x:v>
      </x:c>
      <x:c r="L126" s="655" t="n">
        <x:v>-1</x:v>
      </x:c>
    </x:row>
    <x:row r="127" ht="22" customHeight="1">
      <x:c r="A127" s="26" t="inlineStr">
        <x:is>
          <x:t xml:space="preserve">美冠联</x:t>
        </x:is>
      </x:c>
      <x:c r="B127" s="26" t="n">
        <x:v>2</x:v>
      </x:c>
      <x:c r="C127" s="26" t="n">
        <x:v>2</x:v>
      </x:c>
      <x:c r="D127" s="26" t="n">
        <x:v>0</x:v>
      </x:c>
      <x:c r="E127" s="26" t="n">
        <x:v>1</x:v>
      </x:c>
      <x:c r="F127" s="26" t="n">
        <x:v>0</x:v>
      </x:c>
      <x:c r="G127" s="26" t="n">
        <x:v>0</x:v>
      </x:c>
      <x:c r="H127" s="26" t="n">
        <x:v>0</x:v>
      </x:c>
      <x:c r="I127" s="26" t="n">
        <x:v>1</x:v>
      </x:c>
      <x:c r="J127" s="655" t="n">
        <x:v>0.5</x:v>
      </x:c>
      <x:c r="K127" s="657" t="n">
        <x:v>-0.01000000000000001</x:v>
      </x:c>
      <x:c r="L127" s="655" t="n">
        <x:v>-0.005000000000000004</x:v>
      </x:c>
    </x:row>
    <x:row r="128" ht="22" customHeight="1">
      <x:c r="A128" s="26" t="inlineStr">
        <x:is>
          <x:t xml:space="preserve">美女职</x:t>
        </x:is>
      </x:c>
      <x:c r="B128" s="26" t="n">
        <x:v>2</x:v>
      </x:c>
      <x:c r="C128" s="26" t="n">
        <x:v>2</x:v>
      </x:c>
      <x:c r="D128" s="26" t="n">
        <x:v>0</x:v>
      </x:c>
      <x:c r="E128" s="26" t="n">
        <x:v>1</x:v>
      </x:c>
      <x:c r="F128" s="26" t="n">
        <x:v>0</x:v>
      </x:c>
      <x:c r="G128" s="26" t="n">
        <x:v>0</x:v>
      </x:c>
      <x:c r="H128" s="26" t="n">
        <x:v>0</x:v>
      </x:c>
      <x:c r="I128" s="26" t="n">
        <x:v>1</x:v>
      </x:c>
      <x:c r="J128" s="655" t="n">
        <x:v>0.5</x:v>
      </x:c>
      <x:c r="K128" s="657" t="n">
        <x:v>-0.14</x:v>
      </x:c>
      <x:c r="L128" s="655" t="n">
        <x:v>-0.07000000000000001</x:v>
      </x:c>
    </x:row>
    <x:row r="129" ht="22" customHeight="1">
      <x:c r="A129" s="26" t="inlineStr">
        <x:is>
          <x:t xml:space="preserve">美职业</x:t>
        </x:is>
      </x:c>
      <x:c r="B129" s="26" t="n">
        <x:v>8</x:v>
      </x:c>
      <x:c r="C129" s="26" t="n">
        <x:v>8</x:v>
      </x:c>
      <x:c r="D129" s="26" t="n">
        <x:v>0</x:v>
      </x:c>
      <x:c r="E129" s="26" t="n">
        <x:v>6</x:v>
      </x:c>
      <x:c r="F129" s="26" t="n">
        <x:v>0</x:v>
      </x:c>
      <x:c r="G129" s="26" t="n">
        <x:v>0</x:v>
      </x:c>
      <x:c r="H129" s="26" t="n">
        <x:v>0</x:v>
      </x:c>
      <x:c r="I129" s="26" t="n">
        <x:v>2</x:v>
      </x:c>
      <x:c r="J129" s="655" t="n">
        <x:v>0.75</x:v>
      </x:c>
      <x:c r="K129" s="657" t="n">
        <x:v>4.12</x:v>
      </x:c>
      <x:c r="L129" s="655" t="n">
        <x:v>0.515</x:v>
      </x:c>
    </x:row>
    <x:row r="130" ht="22" customHeight="1">
      <x:c r="A130" s="26" t="inlineStr">
        <x:is>
          <x:t xml:space="preserve">芬乙A降</x:t>
        </x:is>
      </x:c>
      <x:c r="B130" s="26" t="n">
        <x:v>1</x:v>
      </x:c>
      <x:c r="C130" s="26" t="n">
        <x:v>1</x:v>
      </x:c>
      <x:c r="D130" s="26" t="n">
        <x:v>0</x:v>
      </x:c>
      <x:c r="E130" s="26" t="n">
        <x:v>0</x:v>
      </x:c>
      <x:c r="F130" s="26" t="n">
        <x:v>0</x:v>
      </x:c>
      <x:c r="G130" s="26" t="n">
        <x:v>0</x:v>
      </x:c>
      <x:c r="H130" s="26" t="n">
        <x:v>0</x:v>
      </x:c>
      <x:c r="I130" s="26" t="n">
        <x:v>1</x:v>
      </x:c>
      <x:c r="J130" s="655" t="n">
        <x:v>0</x:v>
      </x:c>
      <x:c r="K130" s="657" t="n">
        <x:v>-1</x:v>
      </x:c>
      <x:c r="L130" s="655" t="n">
        <x:v>-1</x:v>
      </x:c>
    </x:row>
    <x:row r="131" ht="22" customHeight="1">
      <x:c r="A131" s="26" t="inlineStr">
        <x:is>
          <x:t xml:space="preserve">芬甲</x:t>
        </x:is>
      </x:c>
      <x:c r="B131" s="26" t="n">
        <x:v>3</x:v>
      </x:c>
      <x:c r="C131" s="26" t="n">
        <x:v>3</x:v>
      </x:c>
      <x:c r="D131" s="26" t="n">
        <x:v>0</x:v>
      </x:c>
      <x:c r="E131" s="26" t="n">
        <x:v>1</x:v>
      </x:c>
      <x:c r="F131" s="26" t="n">
        <x:v>0</x:v>
      </x:c>
      <x:c r="G131" s="26" t="n">
        <x:v>0</x:v>
      </x:c>
      <x:c r="H131" s="26" t="n">
        <x:v>0</x:v>
      </x:c>
      <x:c r="I131" s="26" t="n">
        <x:v>2</x:v>
      </x:c>
      <x:c r="J131" s="655" t="n">
        <x:v>0.3333333333333333</x:v>
      </x:c>
      <x:c r="K131" s="657" t="n">
        <x:v>-0.9299999999999999</x:v>
      </x:c>
      <x:c r="L131" s="655" t="n">
        <x:v>-0.31</x:v>
      </x:c>
    </x:row>
    <x:row r="132" ht="22" customHeight="1">
      <x:c r="A132" s="26" t="inlineStr">
        <x:is>
          <x:t xml:space="preserve">芬超冠</x:t>
        </x:is>
      </x:c>
      <x:c r="B132" s="26" t="n">
        <x:v>1</x:v>
      </x:c>
      <x:c r="C132" s="26" t="n">
        <x:v>1</x:v>
      </x:c>
      <x:c r="D132" s="26" t="n">
        <x:v>0</x:v>
      </x:c>
      <x:c r="E132" s="26" t="n">
        <x:v>0</x:v>
      </x:c>
      <x:c r="F132" s="26" t="n">
        <x:v>0</x:v>
      </x:c>
      <x:c r="G132" s="26" t="n">
        <x:v>0</x:v>
      </x:c>
      <x:c r="H132" s="26" t="n">
        <x:v>0</x:v>
      </x:c>
      <x:c r="I132" s="26" t="n">
        <x:v>1</x:v>
      </x:c>
      <x:c r="J132" s="655" t="n">
        <x:v>0</x:v>
      </x:c>
      <x:c r="K132" s="657" t="n">
        <x:v>-1</x:v>
      </x:c>
      <x:c r="L132" s="655" t="n">
        <x:v>-1</x:v>
      </x:c>
    </x:row>
    <x:row r="133" ht="22" customHeight="1">
      <x:c r="A133" s="26" t="inlineStr">
        <x:is>
          <x:t xml:space="preserve">芬超降</x:t>
        </x:is>
      </x:c>
      <x:c r="B133" s="26" t="n">
        <x:v>1</x:v>
      </x:c>
      <x:c r="C133" s="26" t="n">
        <x:v>1</x:v>
      </x:c>
      <x:c r="D133" s="26" t="n">
        <x:v>0</x:v>
      </x:c>
      <x:c r="E133" s="26" t="n">
        <x:v>1</x:v>
      </x:c>
      <x:c r="F133" s="26" t="n">
        <x:v>0</x:v>
      </x:c>
      <x:c r="G133" s="26" t="n">
        <x:v>0</x:v>
      </x:c>
      <x:c r="H133" s="26" t="n">
        <x:v>0</x:v>
      </x:c>
      <x:c r="I133" s="26" t="n">
        <x:v>0</x:v>
      </x:c>
      <x:c r="J133" s="655" t="n">
        <x:v>1</x:v>
      </x:c>
      <x:c r="K133" s="657" t="n">
        <x:v>0.85</x:v>
      </x:c>
      <x:c r="L133" s="655" t="n">
        <x:v>0.85</x:v>
      </x:c>
    </x:row>
    <x:row r="134" ht="22" customHeight="1">
      <x:c r="A134" s="26" t="inlineStr">
        <x:is>
          <x:t xml:space="preserve">苏冠</x:t>
        </x:is>
      </x:c>
      <x:c r="B134" s="26" t="n">
        <x:v>1</x:v>
      </x:c>
      <x:c r="C134" s="26" t="n">
        <x:v>1</x:v>
      </x:c>
      <x:c r="D134" s="26" t="n">
        <x:v>0</x:v>
      </x:c>
      <x:c r="E134" s="26" t="n">
        <x:v>0</x:v>
      </x:c>
      <x:c r="F134" s="26" t="n">
        <x:v>0</x:v>
      </x:c>
      <x:c r="G134" s="26" t="n">
        <x:v>0</x:v>
      </x:c>
      <x:c r="H134" s="26" t="n">
        <x:v>0</x:v>
      </x:c>
      <x:c r="I134" s="26" t="n">
        <x:v>1</x:v>
      </x:c>
      <x:c r="J134" s="655" t="n">
        <x:v>0</x:v>
      </x:c>
      <x:c r="K134" s="657" t="n">
        <x:v>-1</x:v>
      </x:c>
      <x:c r="L134" s="655" t="n">
        <x:v>-1</x:v>
      </x:c>
    </x:row>
    <x:row r="135" ht="22" customHeight="1">
      <x:c r="A135" s="26" t="inlineStr">
        <x:is>
          <x:t xml:space="preserve">苏超</x:t>
        </x:is>
      </x:c>
      <x:c r="B135" s="26" t="n">
        <x:v>1</x:v>
      </x:c>
      <x:c r="C135" s="26" t="n">
        <x:v>1</x:v>
      </x:c>
      <x:c r="D135" s="26" t="n">
        <x:v>0</x:v>
      </x:c>
      <x:c r="E135" s="26" t="n">
        <x:v>1</x:v>
      </x:c>
      <x:c r="F135" s="26" t="n">
        <x:v>0</x:v>
      </x:c>
      <x:c r="G135" s="26" t="n">
        <x:v>0</x:v>
      </x:c>
      <x:c r="H135" s="26" t="n">
        <x:v>0</x:v>
      </x:c>
      <x:c r="I135" s="26" t="n">
        <x:v>0</x:v>
      </x:c>
      <x:c r="J135" s="655" t="n">
        <x:v>1</x:v>
      </x:c>
      <x:c r="K135" s="657" t="n">
        <x:v>1.03</x:v>
      </x:c>
      <x:c r="L135" s="655" t="n">
        <x:v>1.03</x:v>
      </x:c>
    </x:row>
    <x:row r="136" ht="22" customHeight="1">
      <x:c r="A136" s="26" t="inlineStr">
        <x:is>
          <x:t xml:space="preserve">英乙</x:t>
        </x:is>
      </x:c>
      <x:c r="B136" s="26" t="n">
        <x:v>2</x:v>
      </x:c>
      <x:c r="C136" s="26" t="n">
        <x:v>2</x:v>
      </x:c>
      <x:c r="D136" s="26" t="n">
        <x:v>0</x:v>
      </x:c>
      <x:c r="E136" s="26" t="n">
        <x:v>0</x:v>
      </x:c>
      <x:c r="F136" s="26" t="n">
        <x:v>1</x:v>
      </x:c>
      <x:c r="G136" s="26" t="n">
        <x:v>0</x:v>
      </x:c>
      <x:c r="H136" s="26" t="n">
        <x:v>0</x:v>
      </x:c>
      <x:c r="I136" s="26" t="n">
        <x:v>1</x:v>
      </x:c>
      <x:c r="J136" s="655" t="n">
        <x:v>0.3333333333333333</x:v>
      </x:c>
      <x:c r="K136" s="657" t="n">
        <x:v>-0.47</x:v>
      </x:c>
      <x:c r="L136" s="655" t="n">
        <x:v>-0.235</x:v>
      </x:c>
    </x:row>
    <x:row r="137" ht="22" customHeight="1">
      <x:c r="A137" s="26" t="inlineStr">
        <x:is>
          <x:t xml:space="preserve">英冠</x:t>
        </x:is>
      </x:c>
      <x:c r="B137" s="26" t="n">
        <x:v>8</x:v>
      </x:c>
      <x:c r="C137" s="26" t="n">
        <x:v>8</x:v>
      </x:c>
      <x:c r="D137" s="26" t="n">
        <x:v>0</x:v>
      </x:c>
      <x:c r="E137" s="26" t="n">
        <x:v>5</x:v>
      </x:c>
      <x:c r="F137" s="26" t="n">
        <x:v>1</x:v>
      </x:c>
      <x:c r="G137" s="26" t="n">
        <x:v>0</x:v>
      </x:c>
      <x:c r="H137" s="26" t="n">
        <x:v>0</x:v>
      </x:c>
      <x:c r="I137" s="26" t="n">
        <x:v>2</x:v>
      </x:c>
      <x:c r="J137" s="655" t="n">
        <x:v>0.7333333333333333</x:v>
      </x:c>
      <x:c r="K137" s="657" t="n">
        <x:v>3.685</x:v>
      </x:c>
      <x:c r="L137" s="655" t="n">
        <x:v>0.460625</x:v>
      </x:c>
    </x:row>
    <x:row r="138" ht="22" customHeight="1">
      <x:c r="A138" s="26" t="inlineStr">
        <x:is>
          <x:t xml:space="preserve">英后备</x:t>
        </x:is>
      </x:c>
      <x:c r="B138" s="26" t="n">
        <x:v>2</x:v>
      </x:c>
      <x:c r="C138" s="26" t="n">
        <x:v>2</x:v>
      </x:c>
      <x:c r="D138" s="26" t="n">
        <x:v>0</x:v>
      </x:c>
      <x:c r="E138" s="26" t="n">
        <x:v>2</x:v>
      </x:c>
      <x:c r="F138" s="26" t="n">
        <x:v>0</x:v>
      </x:c>
      <x:c r="G138" s="26" t="n">
        <x:v>0</x:v>
      </x:c>
      <x:c r="H138" s="26" t="n">
        <x:v>0</x:v>
      </x:c>
      <x:c r="I138" s="26" t="n">
        <x:v>0</x:v>
      </x:c>
      <x:c r="J138" s="655" t="n">
        <x:v>1</x:v>
      </x:c>
      <x:c r="K138" s="657" t="n">
        <x:v>2.08</x:v>
      </x:c>
      <x:c r="L138" s="655" t="n">
        <x:v>1.04</x:v>
      </x:c>
    </x:row>
    <x:row r="139" ht="22" customHeight="1">
      <x:c r="A139" s="26" t="inlineStr">
        <x:is>
          <x:t xml:space="preserve">英总女超</x:t>
        </x:is>
      </x:c>
      <x:c r="B139" s="26" t="n">
        <x:v>1</x:v>
      </x:c>
      <x:c r="C139" s="26" t="n">
        <x:v>1</x:v>
      </x:c>
      <x:c r="D139" s="26" t="n">
        <x:v>0</x:v>
      </x:c>
      <x:c r="E139" s="26" t="n">
        <x:v>1</x:v>
      </x:c>
      <x:c r="F139" s="26" t="n">
        <x:v>0</x:v>
      </x:c>
      <x:c r="G139" s="26" t="n">
        <x:v>0</x:v>
      </x:c>
      <x:c r="H139" s="26" t="n">
        <x:v>0</x:v>
      </x:c>
      <x:c r="I139" s="26" t="n">
        <x:v>0</x:v>
      </x:c>
      <x:c r="J139" s="655" t="n">
        <x:v>1</x:v>
      </x:c>
      <x:c r="K139" s="657" t="n">
        <x:v>0.77</x:v>
      </x:c>
      <x:c r="L139" s="655" t="n">
        <x:v>0.77</x:v>
      </x:c>
    </x:row>
    <x:row r="140" ht="22" customHeight="1">
      <x:c r="A140" s="26" t="inlineStr">
        <x:is>
          <x:t xml:space="preserve">英甲</x:t>
        </x:is>
      </x:c>
      <x:c r="B140" s="26" t="n">
        <x:v>3</x:v>
      </x:c>
      <x:c r="C140" s="26" t="n">
        <x:v>3</x:v>
      </x:c>
      <x:c r="D140" s="26" t="n">
        <x:v>0</x:v>
      </x:c>
      <x:c r="E140" s="26" t="n">
        <x:v>2</x:v>
      </x:c>
      <x:c r="F140" s="26" t="n">
        <x:v>0</x:v>
      </x:c>
      <x:c r="G140" s="26" t="n">
        <x:v>0</x:v>
      </x:c>
      <x:c r="H140" s="26" t="n">
        <x:v>0</x:v>
      </x:c>
      <x:c r="I140" s="26" t="n">
        <x:v>1</x:v>
      </x:c>
      <x:c r="J140" s="655" t="n">
        <x:v>0.6666666666666666</x:v>
      </x:c>
      <x:c r="K140" s="657" t="n">
        <x:v>1.23</x:v>
      </x:c>
      <x:c r="L140" s="655" t="n">
        <x:v>0.41</x:v>
      </x:c>
    </x:row>
    <x:row r="141" ht="22" customHeight="1">
      <x:c r="A141" s="26" t="inlineStr">
        <x:is>
          <x:t xml:space="preserve">英联杯</x:t>
        </x:is>
      </x:c>
      <x:c r="B141" s="26" t="n">
        <x:v>4</x:v>
      </x:c>
      <x:c r="C141" s="26" t="n">
        <x:v>4</x:v>
      </x:c>
      <x:c r="D141" s="26" t="n">
        <x:v>0</x:v>
      </x:c>
      <x:c r="E141" s="26" t="n">
        <x:v>3</x:v>
      </x:c>
      <x:c r="F141" s="26" t="n">
        <x:v>0</x:v>
      </x:c>
      <x:c r="G141" s="26" t="n">
        <x:v>0</x:v>
      </x:c>
      <x:c r="H141" s="26" t="n">
        <x:v>1</x:v>
      </x:c>
      <x:c r="I141" s="26" t="n">
        <x:v>0</x:v>
      </x:c>
      <x:c r="J141" s="655" t="n">
        <x:v>0.8571428571428571</x:v>
      </x:c>
      <x:c r="K141" s="657" t="n">
        <x:v>2.37</x:v>
      </x:c>
      <x:c r="L141" s="655" t="n">
        <x:v>0.5925</x:v>
      </x:c>
    </x:row>
    <x:row r="142" ht="22" customHeight="1">
      <x:c r="A142" s="26" t="inlineStr">
        <x:is>
          <x:t xml:space="preserve">英议南</x:t>
        </x:is>
      </x:c>
      <x:c r="B142" s="26" t="n">
        <x:v>1</x:v>
      </x:c>
      <x:c r="C142" s="26" t="n">
        <x:v>1</x:v>
      </x:c>
      <x:c r="D142" s="26" t="n">
        <x:v>0</x:v>
      </x:c>
      <x:c r="E142" s="26" t="n">
        <x:v>1</x:v>
      </x:c>
      <x:c r="F142" s="26" t="n">
        <x:v>0</x:v>
      </x:c>
      <x:c r="G142" s="26" t="n">
        <x:v>0</x:v>
      </x:c>
      <x:c r="H142" s="26" t="n">
        <x:v>0</x:v>
      </x:c>
      <x:c r="I142" s="26" t="n">
        <x:v>0</x:v>
      </x:c>
      <x:c r="J142" s="655" t="n">
        <x:v>1</x:v>
      </x:c>
      <x:c r="K142" s="657" t="n">
        <x:v>1</x:v>
      </x:c>
      <x:c r="L142" s="655" t="n">
        <x:v>1</x:v>
      </x:c>
    </x:row>
    <x:row r="143" ht="22" customHeight="1">
      <x:c r="A143" s="26" t="inlineStr">
        <x:is>
          <x:t xml:space="preserve">英议联</x:t>
        </x:is>
      </x:c>
      <x:c r="B143" s="26" t="n">
        <x:v>1</x:v>
      </x:c>
      <x:c r="C143" s="26" t="n">
        <x:v>1</x:v>
      </x:c>
      <x:c r="D143" s="26" t="n">
        <x:v>0</x:v>
      </x:c>
      <x:c r="E143" s="26" t="n">
        <x:v>0</x:v>
      </x:c>
      <x:c r="F143" s="26" t="n">
        <x:v>0</x:v>
      </x:c>
      <x:c r="G143" s="26" t="n">
        <x:v>0</x:v>
      </x:c>
      <x:c r="H143" s="26" t="n">
        <x:v>0</x:v>
      </x:c>
      <x:c r="I143" s="26" t="n">
        <x:v>1</x:v>
      </x:c>
      <x:c r="J143" s="655" t="n">
        <x:v>0</x:v>
      </x:c>
      <x:c r="K143" s="657" t="n">
        <x:v>-1</x:v>
      </x:c>
      <x:c r="L143" s="655" t="n">
        <x:v>-1</x:v>
      </x:c>
    </x:row>
    <x:row r="144" ht="22" customHeight="1">
      <x:c r="A144" s="26" t="inlineStr">
        <x:is>
          <x:t xml:space="preserve">英超</x:t>
        </x:is>
      </x:c>
      <x:c r="B144" s="26" t="n">
        <x:v>2</x:v>
      </x:c>
      <x:c r="C144" s="26" t="n">
        <x:v>2</x:v>
      </x:c>
      <x:c r="D144" s="26" t="n">
        <x:v>0</x:v>
      </x:c>
      <x:c r="E144" s="26" t="n">
        <x:v>2</x:v>
      </x:c>
      <x:c r="F144" s="26" t="n">
        <x:v>0</x:v>
      </x:c>
      <x:c r="G144" s="26" t="n">
        <x:v>0</x:v>
      </x:c>
      <x:c r="H144" s="26" t="n">
        <x:v>0</x:v>
      </x:c>
      <x:c r="I144" s="26" t="n">
        <x:v>0</x:v>
      </x:c>
      <x:c r="J144" s="655" t="n">
        <x:v>1</x:v>
      </x:c>
      <x:c r="K144" s="657" t="n">
        <x:v>2.03</x:v>
      </x:c>
      <x:c r="L144" s="655" t="n">
        <x:v>1.015</x:v>
      </x:c>
    </x:row>
    <x:row r="145" ht="22" customHeight="1">
      <x:c r="A145" s="26" t="inlineStr">
        <x:is>
          <x:t xml:space="preserve">英锦赛</x:t>
        </x:is>
      </x:c>
      <x:c r="B145" s="26" t="n">
        <x:v>3</x:v>
      </x:c>
      <x:c r="C145" s="26" t="n">
        <x:v>3</x:v>
      </x:c>
      <x:c r="D145" s="26" t="n">
        <x:v>0</x:v>
      </x:c>
      <x:c r="E145" s="26" t="n">
        <x:v>2</x:v>
      </x:c>
      <x:c r="F145" s="26" t="n">
        <x:v>0</x:v>
      </x:c>
      <x:c r="G145" s="26" t="n">
        <x:v>0</x:v>
      </x:c>
      <x:c r="H145" s="26" t="n">
        <x:v>0</x:v>
      </x:c>
      <x:c r="I145" s="26" t="n">
        <x:v>1</x:v>
      </x:c>
      <x:c r="J145" s="655" t="n">
        <x:v>0.6666666666666666</x:v>
      </x:c>
      <x:c r="K145" s="657" t="n">
        <x:v>0.91</x:v>
      </x:c>
      <x:c r="L145" s="655" t="n">
        <x:v>0.3033333333333333</x:v>
      </x:c>
    </x:row>
    <x:row r="146" ht="22" customHeight="1">
      <x:c r="A146" s="26" t="inlineStr">
        <x:is>
          <x:t xml:space="preserve">荷乙</x:t>
        </x:is>
      </x:c>
      <x:c r="B146" s="26" t="n">
        <x:v>3</x:v>
      </x:c>
      <x:c r="C146" s="26" t="n">
        <x:v>3</x:v>
      </x:c>
      <x:c r="D146" s="26" t="n">
        <x:v>0</x:v>
      </x:c>
      <x:c r="E146" s="26" t="n">
        <x:v>0</x:v>
      </x:c>
      <x:c r="F146" s="26" t="n">
        <x:v>0</x:v>
      </x:c>
      <x:c r="G146" s="26" t="n">
        <x:v>0</x:v>
      </x:c>
      <x:c r="H146" s="26" t="n">
        <x:v>0</x:v>
      </x:c>
      <x:c r="I146" s="26" t="n">
        <x:v>3</x:v>
      </x:c>
      <x:c r="J146" s="655" t="n">
        <x:v>0</x:v>
      </x:c>
      <x:c r="K146" s="657" t="n">
        <x:v>-3</x:v>
      </x:c>
      <x:c r="L146" s="655" t="n">
        <x:v>-1</x:v>
      </x:c>
    </x:row>
    <x:row r="147" ht="22" customHeight="1">
      <x:c r="A147" s="26" t="inlineStr">
        <x:is>
          <x:t xml:space="preserve">荷甲</x:t>
        </x:is>
      </x:c>
      <x:c r="B147" s="26" t="n">
        <x:v>4</x:v>
      </x:c>
      <x:c r="C147" s="26" t="n">
        <x:v>4</x:v>
      </x:c>
      <x:c r="D147" s="26" t="n">
        <x:v>0</x:v>
      </x:c>
      <x:c r="E147" s="26" t="n">
        <x:v>2</x:v>
      </x:c>
      <x:c r="F147" s="26" t="n">
        <x:v>0</x:v>
      </x:c>
      <x:c r="G147" s="26" t="n">
        <x:v>0</x:v>
      </x:c>
      <x:c r="H147" s="26" t="n">
        <x:v>0</x:v>
      </x:c>
      <x:c r="I147" s="26" t="n">
        <x:v>2</x:v>
      </x:c>
      <x:c r="J147" s="655" t="n">
        <x:v>0.5</x:v>
      </x:c>
      <x:c r="K147" s="657" t="n">
        <x:v>-0.1100000000000001</x:v>
      </x:c>
      <x:c r="L147" s="655" t="n">
        <x:v>-0.02750000000000002</x:v>
      </x:c>
    </x:row>
    <x:row r="148" ht="22" customHeight="1">
      <x:c r="A148" s="26" t="inlineStr">
        <x:is>
          <x:t xml:space="preserve">萨尔超春</x:t>
        </x:is>
      </x:c>
      <x:c r="B148" s="26" t="n">
        <x:v>1</x:v>
      </x:c>
      <x:c r="C148" s="26" t="n">
        <x:v>1</x:v>
      </x:c>
      <x:c r="D148" s="26" t="n">
        <x:v>0</x:v>
      </x:c>
      <x:c r="E148" s="26" t="n">
        <x:v>0</x:v>
      </x:c>
      <x:c r="F148" s="26" t="n">
        <x:v>0</x:v>
      </x:c>
      <x:c r="G148" s="26" t="n">
        <x:v>0</x:v>
      </x:c>
      <x:c r="H148" s="26" t="n">
        <x:v>0</x:v>
      </x:c>
      <x:c r="I148" s="26" t="n">
        <x:v>1</x:v>
      </x:c>
      <x:c r="J148" s="655" t="n">
        <x:v>0</x:v>
      </x:c>
      <x:c r="K148" s="657" t="n">
        <x:v>-1</x:v>
      </x:c>
      <x:c r="L148" s="655" t="n">
        <x:v>-1</x:v>
      </x:c>
    </x:row>
    <x:row r="149" ht="22" customHeight="1">
      <x:c r="A149" s="26" t="inlineStr">
        <x:is>
          <x:t xml:space="preserve">葡U23</x:t>
        </x:is>
      </x:c>
      <x:c r="B149" s="26" t="n">
        <x:v>1</x:v>
      </x:c>
      <x:c r="C149" s="26" t="n">
        <x:v>1</x:v>
      </x:c>
      <x:c r="D149" s="26" t="n">
        <x:v>0</x:v>
      </x:c>
      <x:c r="E149" s="26" t="n">
        <x:v>0</x:v>
      </x:c>
      <x:c r="F149" s="26" t="n">
        <x:v>0</x:v>
      </x:c>
      <x:c r="G149" s="26" t="n">
        <x:v>0</x:v>
      </x:c>
      <x:c r="H149" s="26" t="n">
        <x:v>0</x:v>
      </x:c>
      <x:c r="I149" s="26" t="n">
        <x:v>1</x:v>
      </x:c>
      <x:c r="J149" s="655" t="n">
        <x:v>0</x:v>
      </x:c>
      <x:c r="K149" s="657" t="n">
        <x:v>-1</x:v>
      </x:c>
      <x:c r="L149" s="655" t="n">
        <x:v>-1</x:v>
      </x:c>
    </x:row>
    <x:row r="150" ht="22" customHeight="1">
      <x:c r="A150" s="26" t="inlineStr">
        <x:is>
          <x:t xml:space="preserve">葡杯</x:t>
        </x:is>
      </x:c>
      <x:c r="B150" s="26" t="n">
        <x:v>4</x:v>
      </x:c>
      <x:c r="C150" s="26" t="n">
        <x:v>4</x:v>
      </x:c>
      <x:c r="D150" s="26" t="n">
        <x:v>0</x:v>
      </x:c>
      <x:c r="E150" s="26" t="n">
        <x:v>2</x:v>
      </x:c>
      <x:c r="F150" s="26" t="n">
        <x:v>0</x:v>
      </x:c>
      <x:c r="G150" s="26" t="n">
        <x:v>0</x:v>
      </x:c>
      <x:c r="H150" s="26" t="n">
        <x:v>0</x:v>
      </x:c>
      <x:c r="I150" s="26" t="n">
        <x:v>2</x:v>
      </x:c>
      <x:c r="J150" s="655" t="n">
        <x:v>0.5</x:v>
      </x:c>
      <x:c r="K150" s="657" t="n">
        <x:v>-0.11</x:v>
      </x:c>
      <x:c r="L150" s="655" t="n">
        <x:v>-0.0275</x:v>
      </x:c>
    </x:row>
    <x:row r="151" ht="22" customHeight="1">
      <x:c r="A151" s="26" t="inlineStr">
        <x:is>
          <x:t xml:space="preserve">葡超</x:t>
        </x:is>
      </x:c>
      <x:c r="B151" s="26" t="n">
        <x:v>6</x:v>
      </x:c>
      <x:c r="C151" s="26" t="n">
        <x:v>6</x:v>
      </x:c>
      <x:c r="D151" s="26" t="n">
        <x:v>0</x:v>
      </x:c>
      <x:c r="E151" s="26" t="n">
        <x:v>2</x:v>
      </x:c>
      <x:c r="F151" s="26" t="n">
        <x:v>2</x:v>
      </x:c>
      <x:c r="G151" s="26" t="n">
        <x:v>0</x:v>
      </x:c>
      <x:c r="H151" s="26" t="n">
        <x:v>1</x:v>
      </x:c>
      <x:c r="I151" s="26" t="n">
        <x:v>1</x:v>
      </x:c>
      <x:c r="J151" s="655" t="n">
        <x:v>0.6666666666666666</x:v>
      </x:c>
      <x:c r="K151" s="657" t="n">
        <x:v>1.605</x:v>
      </x:c>
      <x:c r="L151" s="655" t="n">
        <x:v>0.2675</x:v>
      </x:c>
    </x:row>
    <x:row r="152" ht="22" customHeight="1">
      <x:c r="A152" s="26" t="inlineStr">
        <x:is>
          <x:t xml:space="preserve">西乙</x:t>
        </x:is>
      </x:c>
      <x:c r="B152" s="26" t="n">
        <x:v>5</x:v>
      </x:c>
      <x:c r="C152" s="26" t="n">
        <x:v>5</x:v>
      </x:c>
      <x:c r="D152" s="26" t="n">
        <x:v>0</x:v>
      </x:c>
      <x:c r="E152" s="26" t="n">
        <x:v>1</x:v>
      </x:c>
      <x:c r="F152" s="26" t="n">
        <x:v>0</x:v>
      </x:c>
      <x:c r="G152" s="26" t="n">
        <x:v>0</x:v>
      </x:c>
      <x:c r="H152" s="26" t="n">
        <x:v>1</x:v>
      </x:c>
      <x:c r="I152" s="26" t="n">
        <x:v>3</x:v>
      </x:c>
      <x:c r="J152" s="655" t="n">
        <x:v>0.2222222222222222</x:v>
      </x:c>
      <x:c r="K152" s="657" t="n">
        <x:v>-2.38</x:v>
      </x:c>
      <x:c r="L152" s="655" t="n">
        <x:v>-0.476</x:v>
      </x:c>
    </x:row>
    <x:row r="153" ht="22" customHeight="1">
      <x:c r="A153" s="26" t="inlineStr">
        <x:is>
          <x:t xml:space="preserve">西协乙1</x:t>
        </x:is>
      </x:c>
      <x:c r="B153" s="26" t="n">
        <x:v>2</x:v>
      </x:c>
      <x:c r="C153" s="26" t="n">
        <x:v>2</x:v>
      </x:c>
      <x:c r="D153" s="26" t="n">
        <x:v>0</x:v>
      </x:c>
      <x:c r="E153" s="26" t="n">
        <x:v>2</x:v>
      </x:c>
      <x:c r="F153" s="26" t="n">
        <x:v>0</x:v>
      </x:c>
      <x:c r="G153" s="26" t="n">
        <x:v>0</x:v>
      </x:c>
      <x:c r="H153" s="26" t="n">
        <x:v>0</x:v>
      </x:c>
      <x:c r="I153" s="26" t="n">
        <x:v>0</x:v>
      </x:c>
      <x:c r="J153" s="655" t="n">
        <x:v>1</x:v>
      </x:c>
      <x:c r="K153" s="657" t="n">
        <x:v>2.08</x:v>
      </x:c>
      <x:c r="L153" s="655" t="n">
        <x:v>1.04</x:v>
      </x:c>
    </x:row>
    <x:row r="154" ht="22" customHeight="1">
      <x:c r="A154" s="26" t="inlineStr">
        <x:is>
          <x:t xml:space="preserve">西协乙4</x:t>
        </x:is>
      </x:c>
      <x:c r="B154" s="26" t="n">
        <x:v>1</x:v>
      </x:c>
      <x:c r="C154" s="26" t="n">
        <x:v>1</x:v>
      </x:c>
      <x:c r="D154" s="26" t="n">
        <x:v>0</x:v>
      </x:c>
      <x:c r="E154" s="26" t="n">
        <x:v>1</x:v>
      </x:c>
      <x:c r="F154" s="26" t="n">
        <x:v>0</x:v>
      </x:c>
      <x:c r="G154" s="26" t="n">
        <x:v>0</x:v>
      </x:c>
      <x:c r="H154" s="26" t="n">
        <x:v>0</x:v>
      </x:c>
      <x:c r="I154" s="26" t="n">
        <x:v>0</x:v>
      </x:c>
      <x:c r="J154" s="655" t="n">
        <x:v>1</x:v>
      </x:c>
      <x:c r="K154" s="657" t="n">
        <x:v>1.11</x:v>
      </x:c>
      <x:c r="L154" s="655" t="n">
        <x:v>1.11</x:v>
      </x:c>
    </x:row>
    <x:row r="155" ht="22" customHeight="1">
      <x:c r="A155" s="26" t="inlineStr">
        <x:is>
          <x:t xml:space="preserve">西协甲</x:t>
        </x:is>
      </x:c>
      <x:c r="B155" s="26" t="n">
        <x:v>3</x:v>
      </x:c>
      <x:c r="C155" s="26" t="n">
        <x:v>3</x:v>
      </x:c>
      <x:c r="D155" s="26" t="n">
        <x:v>0</x:v>
      </x:c>
      <x:c r="E155" s="26" t="n">
        <x:v>0</x:v>
      </x:c>
      <x:c r="F155" s="26" t="n">
        <x:v>0</x:v>
      </x:c>
      <x:c r="G155" s="26" t="n">
        <x:v>0</x:v>
      </x:c>
      <x:c r="H155" s="26" t="n">
        <x:v>1</x:v>
      </x:c>
      <x:c r="I155" s="26" t="n">
        <x:v>2</x:v>
      </x:c>
      <x:c r="J155" s="655" t="n">
        <x:v>0</x:v>
      </x:c>
      <x:c r="K155" s="657" t="n">
        <x:v>-2.5</x:v>
      </x:c>
      <x:c r="L155" s="655" t="n">
        <x:v>-0.8333333333333334</x:v>
      </x:c>
    </x:row>
    <x:row r="156" ht="22" customHeight="1">
      <x:c r="A156" s="26" t="inlineStr">
        <x:is>
          <x:t xml:space="preserve">西女超</x:t>
        </x:is>
      </x:c>
      <x:c r="B156" s="26" t="n">
        <x:v>1</x:v>
      </x:c>
      <x:c r="C156" s="26" t="n">
        <x:v>1</x:v>
      </x:c>
      <x:c r="D156" s="26" t="n">
        <x:v>0</x:v>
      </x:c>
      <x:c r="E156" s="26" t="n">
        <x:v>0</x:v>
      </x:c>
      <x:c r="F156" s="26" t="n">
        <x:v>0</x:v>
      </x:c>
      <x:c r="G156" s="26" t="n">
        <x:v>0</x:v>
      </x:c>
      <x:c r="H156" s="26" t="n">
        <x:v>0</x:v>
      </x:c>
      <x:c r="I156" s="26" t="n">
        <x:v>1</x:v>
      </x:c>
      <x:c r="J156" s="655" t="n">
        <x:v>0</x:v>
      </x:c>
      <x:c r="K156" s="657" t="n">
        <x:v>-1</x:v>
      </x:c>
      <x:c r="L156" s="655" t="n">
        <x:v>-1</x:v>
      </x:c>
    </x:row>
    <x:row r="157" ht="22" customHeight="1">
      <x:c r="A157" s="26" t="inlineStr">
        <x:is>
          <x:t xml:space="preserve">西甲</x:t>
        </x:is>
      </x:c>
      <x:c r="B157" s="26" t="n">
        <x:v>12</x:v>
      </x:c>
      <x:c r="C157" s="26" t="n">
        <x:v>12</x:v>
      </x:c>
      <x:c r="D157" s="26" t="n">
        <x:v>0</x:v>
      </x:c>
      <x:c r="E157" s="26" t="n">
        <x:v>7</x:v>
      </x:c>
      <x:c r="F157" s="26" t="n">
        <x:v>1</x:v>
      </x:c>
      <x:c r="G157" s="26" t="n">
        <x:v>0</x:v>
      </x:c>
      <x:c r="H157" s="26" t="n">
        <x:v>2</x:v>
      </x:c>
      <x:c r="I157" s="26" t="n">
        <x:v>2</x:v>
      </x:c>
      <x:c r="J157" s="655" t="n">
        <x:v>0.7142857142857143</x:v>
      </x:c>
      <x:c r="K157" s="657" t="n">
        <x:v>4.935</x:v>
      </x:c>
      <x:c r="L157" s="655" t="n">
        <x:v>0.4112500000000001</x:v>
      </x:c>
    </x:row>
    <x:row r="158" ht="22" customHeight="1">
      <x:c r="A158" s="26" t="inlineStr">
        <x:is>
          <x:t xml:space="preserve">解放者杯</x:t>
        </x:is>
      </x:c>
      <x:c r="B158" s="26" t="n">
        <x:v>1</x:v>
      </x:c>
      <x:c r="C158" s="26" t="n">
        <x:v>1</x:v>
      </x:c>
      <x:c r="D158" s="26" t="n">
        <x:v>0</x:v>
      </x:c>
      <x:c r="E158" s="26" t="n">
        <x:v>0</x:v>
      </x:c>
      <x:c r="F158" s="26" t="n">
        <x:v>0</x:v>
      </x:c>
      <x:c r="G158" s="26" t="n">
        <x:v>0</x:v>
      </x:c>
      <x:c r="H158" s="26" t="n">
        <x:v>0</x:v>
      </x:c>
      <x:c r="I158" s="26" t="n">
        <x:v>1</x:v>
      </x:c>
      <x:c r="J158" s="655" t="n">
        <x:v>0</x:v>
      </x:c>
      <x:c r="K158" s="657" t="n">
        <x:v>-1</x:v>
      </x:c>
      <x:c r="L158" s="655" t="n">
        <x:v>-1</x:v>
      </x:c>
    </x:row>
    <x:row r="159" ht="22" customHeight="1">
      <x:c r="A159" s="26" t="inlineStr">
        <x:is>
          <x:t xml:space="preserve">阿乙</x:t>
        </x:is>
      </x:c>
      <x:c r="B159" s="26" t="n">
        <x:v>4</x:v>
      </x:c>
      <x:c r="C159" s="26" t="n">
        <x:v>4</x:v>
      </x:c>
      <x:c r="D159" s="26" t="n">
        <x:v>0</x:v>
      </x:c>
      <x:c r="E159" s="26" t="n">
        <x:v>1</x:v>
      </x:c>
      <x:c r="F159" s="26" t="n">
        <x:v>1</x:v>
      </x:c>
      <x:c r="G159" s="26" t="n">
        <x:v>0</x:v>
      </x:c>
      <x:c r="H159" s="26" t="n">
        <x:v>0</x:v>
      </x:c>
      <x:c r="I159" s="26" t="n">
        <x:v>2</x:v>
      </x:c>
      <x:c r="J159" s="655" t="n">
        <x:v>0.4285714285714285</x:v>
      </x:c>
      <x:c r="K159" s="657" t="n">
        <x:v>-0.4199999999999999</x:v>
      </x:c>
      <x:c r="L159" s="655" t="n">
        <x:v>-0.105</x:v>
      </x:c>
    </x:row>
    <x:row r="160" ht="22" customHeight="1">
      <x:c r="A160" s="26" t="inlineStr">
        <x:is>
          <x:t xml:space="preserve">阿乙曼特秋</x:t>
        </x:is>
      </x:c>
      <x:c r="B160" s="26" t="n">
        <x:v>1</x:v>
      </x:c>
      <x:c r="C160" s="26" t="n">
        <x:v>1</x:v>
      </x:c>
      <x:c r="D160" s="26" t="n">
        <x:v>0</x:v>
      </x:c>
      <x:c r="E160" s="26" t="n">
        <x:v>0</x:v>
      </x:c>
      <x:c r="F160" s="26" t="n">
        <x:v>0</x:v>
      </x:c>
      <x:c r="G160" s="26" t="n">
        <x:v>0</x:v>
      </x:c>
      <x:c r="H160" s="26" t="n">
        <x:v>0</x:v>
      </x:c>
      <x:c r="I160" s="26" t="n">
        <x:v>1</x:v>
      </x:c>
      <x:c r="J160" s="655" t="n">
        <x:v>0</x:v>
      </x:c>
      <x:c r="K160" s="657" t="n">
        <x:v>-1</x:v>
      </x:c>
      <x:c r="L160" s="655" t="n">
        <x:v>-1</x:v>
      </x:c>
    </x:row>
    <x:row r="161" ht="22" customHeight="1">
      <x:c r="A161" s="26" t="inlineStr">
        <x:is>
          <x:t xml:space="preserve">阿后备</x:t>
        </x:is>
      </x:c>
      <x:c r="B161" s="26" t="n">
        <x:v>2</x:v>
      </x:c>
      <x:c r="C161" s="26" t="n">
        <x:v>2</x:v>
      </x:c>
      <x:c r="D161" s="26" t="n">
        <x:v>0</x:v>
      </x:c>
      <x:c r="E161" s="26" t="n">
        <x:v>0</x:v>
      </x:c>
      <x:c r="F161" s="26" t="n">
        <x:v>0</x:v>
      </x:c>
      <x:c r="G161" s="26" t="n">
        <x:v>1</x:v>
      </x:c>
      <x:c r="H161" s="26" t="n">
        <x:v>0</x:v>
      </x:c>
      <x:c r="I161" s="26" t="n">
        <x:v>1</x:v>
      </x:c>
      <x:c r="J161" s="655" t="n">
        <x:v>0</x:v>
      </x:c>
      <x:c r="K161" s="657" t="n">
        <x:v>-1</x:v>
      </x:c>
      <x:c r="L161" s="655" t="n">
        <x:v>-0.5</x:v>
      </x:c>
    </x:row>
    <x:row r="162" ht="22" customHeight="1">
      <x:c r="A162" s="26" t="inlineStr">
        <x:is>
          <x:t xml:space="preserve">阿塞超</x:t>
        </x:is>
      </x:c>
      <x:c r="B162" s="26" t="n">
        <x:v>3</x:v>
      </x:c>
      <x:c r="C162" s="26" t="n">
        <x:v>3</x:v>
      </x:c>
      <x:c r="D162" s="26" t="n">
        <x:v>0</x:v>
      </x:c>
      <x:c r="E162" s="26" t="n">
        <x:v>0</x:v>
      </x:c>
      <x:c r="F162" s="26" t="n">
        <x:v>0</x:v>
      </x:c>
      <x:c r="G162" s="26" t="n">
        <x:v>0</x:v>
      </x:c>
      <x:c r="H162" s="26" t="n">
        <x:v>1</x:v>
      </x:c>
      <x:c r="I162" s="26" t="n">
        <x:v>2</x:v>
      </x:c>
      <x:c r="J162" s="655" t="n">
        <x:v>0</x:v>
      </x:c>
      <x:c r="K162" s="657" t="n">
        <x:v>-2.5</x:v>
      </x:c>
      <x:c r="L162" s="655" t="n">
        <x:v>-0.8333333333333334</x:v>
      </x:c>
    </x:row>
    <x:row r="163" ht="22" customHeight="1">
      <x:c r="A163" s="26" t="inlineStr">
        <x:is>
          <x:t xml:space="preserve">阿尔甲</x:t>
        </x:is>
      </x:c>
      <x:c r="B163" s="26" t="n">
        <x:v>3</x:v>
      </x:c>
      <x:c r="C163" s="26" t="n">
        <x:v>3</x:v>
      </x:c>
      <x:c r="D163" s="26" t="n">
        <x:v>0</x:v>
      </x:c>
      <x:c r="E163" s="26" t="n">
        <x:v>1</x:v>
      </x:c>
      <x:c r="F163" s="26" t="n">
        <x:v>1</x:v>
      </x:c>
      <x:c r="G163" s="26" t="n">
        <x:v>0</x:v>
      </x:c>
      <x:c r="H163" s="26" t="n">
        <x:v>0</x:v>
      </x:c>
      <x:c r="I163" s="26" t="n">
        <x:v>1</x:v>
      </x:c>
      <x:c r="J163" s="655" t="n">
        <x:v>0.6</x:v>
      </x:c>
      <x:c r="K163" s="657" t="n">
        <x:v>0.5700000000000001</x:v>
      </x:c>
      <x:c r="L163" s="655" t="n">
        <x:v>0.19</x:v>
      </x:c>
    </x:row>
    <x:row r="164" ht="22" customHeight="1">
      <x:c r="A164" s="26" t="inlineStr">
        <x:is>
          <x:t xml:space="preserve">阿甲</x:t>
        </x:is>
      </x:c>
      <x:c r="B164" s="26" t="n">
        <x:v>6</x:v>
      </x:c>
      <x:c r="C164" s="26" t="n">
        <x:v>6</x:v>
      </x:c>
      <x:c r="D164" s="26" t="n">
        <x:v>0</x:v>
      </x:c>
      <x:c r="E164" s="26" t="n">
        <x:v>3</x:v>
      </x:c>
      <x:c r="F164" s="26" t="n">
        <x:v>0</x:v>
      </x:c>
      <x:c r="G164" s="26" t="n">
        <x:v>1</x:v>
      </x:c>
      <x:c r="H164" s="26" t="n">
        <x:v>1</x:v>
      </x:c>
      <x:c r="I164" s="26" t="n">
        <x:v>1</x:v>
      </x:c>
      <x:c r="J164" s="655" t="n">
        <x:v>0.6666666666666666</x:v>
      </x:c>
      <x:c r="K164" s="657" t="n">
        <x:v>1.5</x:v>
      </x:c>
      <x:c r="L164" s="655" t="n">
        <x:v>0.25</x:v>
      </x:c>
    </x:row>
    <x:row r="165" ht="22" customHeight="1">
      <x:c r="A165" s="26" t="inlineStr">
        <x:is>
          <x:t xml:space="preserve">阿联酋甲</x:t>
        </x:is>
      </x:c>
      <x:c r="B165" s="26" t="n">
        <x:v>3</x:v>
      </x:c>
      <x:c r="C165" s="26" t="n">
        <x:v>3</x:v>
      </x:c>
      <x:c r="D165" s="26" t="n">
        <x:v>0</x:v>
      </x:c>
      <x:c r="E165" s="26" t="n">
        <x:v>0</x:v>
      </x:c>
      <x:c r="F165" s="26" t="n">
        <x:v>0</x:v>
      </x:c>
      <x:c r="G165" s="26" t="n">
        <x:v>1</x:v>
      </x:c>
      <x:c r="H165" s="26" t="n">
        <x:v>0</x:v>
      </x:c>
      <x:c r="I165" s="26" t="n">
        <x:v>2</x:v>
      </x:c>
      <x:c r="J165" s="655" t="n">
        <x:v>0</x:v>
      </x:c>
      <x:c r="K165" s="657" t="n">
        <x:v>-2</x:v>
      </x:c>
      <x:c r="L165" s="655" t="n">
        <x:v>-0.6666666666666666</x:v>
      </x:c>
    </x:row>
    <x:row r="166" ht="22" customHeight="1">
      <x:c r="A166" s="26" t="inlineStr">
        <x:is>
          <x:t xml:space="preserve">非青杯外</x:t>
        </x:is>
      </x:c>
      <x:c r="B166" s="26" t="n">
        <x:v>1</x:v>
      </x:c>
      <x:c r="C166" s="26" t="n">
        <x:v>1</x:v>
      </x:c>
      <x:c r="D166" s="26" t="n">
        <x:v>0</x:v>
      </x:c>
      <x:c r="E166" s="26" t="n">
        <x:v>0</x:v>
      </x:c>
      <x:c r="F166" s="26" t="n">
        <x:v>0</x:v>
      </x:c>
      <x:c r="G166" s="26" t="n">
        <x:v>1</x:v>
      </x:c>
      <x:c r="H166" s="26" t="n">
        <x:v>0</x:v>
      </x:c>
      <x:c r="I166" s="26" t="n">
        <x:v>0</x:v>
      </x:c>
      <x:c r="J166" s="655" t="n"/>
      <x:c r="K166" s="657" t="n">
        <x:v>0</x:v>
      </x:c>
      <x:c r="L166" s="655" t="n">
        <x:v>0</x:v>
      </x:c>
    </x:row>
    <x:row r="167" ht="22" customHeight="1">
      <x:c r="A167" s="26" t="inlineStr">
        <x:is>
          <x:t xml:space="preserve">韩K2联</x:t>
        </x:is>
      </x:c>
      <x:c r="B167" s="26" t="n">
        <x:v>1</x:v>
      </x:c>
      <x:c r="C167" s="26" t="n">
        <x:v>1</x:v>
      </x:c>
      <x:c r="D167" s="26" t="n">
        <x:v>0</x:v>
      </x:c>
      <x:c r="E167" s="26" t="n">
        <x:v>0</x:v>
      </x:c>
      <x:c r="F167" s="26" t="n">
        <x:v>0</x:v>
      </x:c>
      <x:c r="G167" s="26" t="n">
        <x:v>0</x:v>
      </x:c>
      <x:c r="H167" s="26" t="n">
        <x:v>0</x:v>
      </x:c>
      <x:c r="I167" s="26" t="n">
        <x:v>1</x:v>
      </x:c>
      <x:c r="J167" s="655" t="n">
        <x:v>0</x:v>
      </x:c>
      <x:c r="K167" s="657" t="n">
        <x:v>-1</x:v>
      </x:c>
      <x:c r="L167" s="655" t="n">
        <x:v>-1</x:v>
      </x:c>
    </x:row>
    <x:row r="168" ht="22" customHeight="1">
      <x:c r="A168" s="26" t="inlineStr">
        <x:is>
          <x:t xml:space="preserve">韩K3联</x:t>
        </x:is>
      </x:c>
      <x:c r="B168" s="26" t="n">
        <x:v>1</x:v>
      </x:c>
      <x:c r="C168" s="26" t="n">
        <x:v>1</x:v>
      </x:c>
      <x:c r="D168" s="26" t="n">
        <x:v>0</x:v>
      </x:c>
      <x:c r="E168" s="26" t="n">
        <x:v>1</x:v>
      </x:c>
      <x:c r="F168" s="26" t="n">
        <x:v>0</x:v>
      </x:c>
      <x:c r="G168" s="26" t="n">
        <x:v>0</x:v>
      </x:c>
      <x:c r="H168" s="26" t="n">
        <x:v>0</x:v>
      </x:c>
      <x:c r="I168" s="26" t="n">
        <x:v>0</x:v>
      </x:c>
      <x:c r="J168" s="655" t="n">
        <x:v>1</x:v>
      </x:c>
      <x:c r="K168" s="657" t="n">
        <x:v>1.01</x:v>
      </x:c>
      <x:c r="L168" s="655" t="n">
        <x:v>1.01</x:v>
      </x:c>
    </x:row>
    <x:row r="169" ht="22" customHeight="1">
      <x:c r="A169" s="26" t="inlineStr">
        <x:is>
          <x:t xml:space="preserve">韩K联</x:t>
        </x:is>
      </x:c>
      <x:c r="B169" s="26" t="n">
        <x:v>2</x:v>
      </x:c>
      <x:c r="C169" s="26" t="n">
        <x:v>2</x:v>
      </x:c>
      <x:c r="D169" s="26" t="n">
        <x:v>0</x:v>
      </x:c>
      <x:c r="E169" s="26" t="n">
        <x:v>2</x:v>
      </x:c>
      <x:c r="F169" s="26" t="n">
        <x:v>0</x:v>
      </x:c>
      <x:c r="G169" s="26" t="n">
        <x:v>0</x:v>
      </x:c>
      <x:c r="H169" s="26" t="n">
        <x:v>0</x:v>
      </x:c>
      <x:c r="I169" s="26" t="n">
        <x:v>0</x:v>
      </x:c>
      <x:c r="J169" s="655" t="n">
        <x:v>1</x:v>
      </x:c>
      <x:c r="K169" s="657" t="n">
        <x:v>2.05</x:v>
      </x:c>
      <x:c r="L169" s="655" t="n">
        <x:v>1.025</x:v>
      </x:c>
    </x:row>
    <x:row r="170" ht="22" customHeight="1">
      <x:c r="A170" s="26" t="inlineStr">
        <x:is>
          <x:t xml:space="preserve">首相杯</x:t>
        </x:is>
      </x:c>
      <x:c r="B170" s="26" t="n">
        <x:v>1</x:v>
      </x:c>
      <x:c r="C170" s="26" t="n">
        <x:v>0</x:v>
      </x:c>
      <x:c r="D170" s="26" t="n">
        <x:v>1</x:v>
      </x:c>
      <x:c r="E170" s="26" t="n">
        <x:v>0</x:v>
      </x:c>
      <x:c r="F170" s="26" t="n">
        <x:v>0</x:v>
      </x:c>
      <x:c r="G170" s="26" t="n">
        <x:v>0</x:v>
      </x:c>
      <x:c r="H170" s="26" t="n">
        <x:v>0</x:v>
      </x:c>
      <x:c r="I170" s="26" t="n">
        <x:v>0</x:v>
      </x:c>
      <x:c r="J170" s="655" t="n"/>
      <x:c r="K170" s="657" t="n">
        <x:v>0</x:v>
      </x:c>
      <x:c r="L170" s="655" t="n"/>
    </x:row>
  </x:sheetData>
  <x:mergeCells>
    <x:mergeCell ref="A3:L3"/>
    <x:mergeCell ref="A22:L22"/>
    <x:mergeCell ref="A1:L1"/>
    <x:mergeCell ref="A17:L17"/>
  </x:mergeCells>
  <x:pageMargins left="0.7" right="0.7" top="0.75" bottom="0.75" header="0.3" footer="0.3"/>
  <x:tableParts count="3">
    <x:tablePart xmlns:r="http://schemas.openxmlformats.org/officeDocument/2006/relationships" r:id="R60f6ec255b7a4c8b"/>
    <x:tablePart xmlns:r="http://schemas.openxmlformats.org/officeDocument/2006/relationships" r:id="Rf5aa906c39d348f1"/>
    <x:tablePart xmlns:r="http://schemas.openxmlformats.org/officeDocument/2006/relationships" r:id="R2d66461ca4184ebb"/>
  </x:tableParts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7" customWidth="1"/>
    <x:col min="2" max="2" width="11" customWidth="1"/>
    <x:col min="3" max="3" width="12" customWidth="1"/>
    <x:col min="4" max="4" width="12" customWidth="1"/>
    <x:col min="5" max="5" width="9" customWidth="1"/>
    <x:col min="6" max="6" width="9" customWidth="1"/>
    <x:col min="7" max="7" width="9" customWidth="1"/>
    <x:col min="8" max="8" width="9" customWidth="1"/>
    <x:col min="9" max="9" width="9" customWidth="1"/>
    <x:col min="10" max="10" width="14" customWidth="1"/>
    <x:col min="11" max="11" width="13" customWidth="1"/>
    <x:col min="12" max="12" width="12" customWidth="1"/>
  </x:cols>
  <x:sheetData>
    <x:row r="1" ht="28" customHeight="1">
      <x:c r="A1" s="529" t="inlineStr">
        <x:is>
          <x:t xml:space="preserve">V4等级统计（A/B/C候选）</x:t>
        </x:is>
      </x:c>
    </x:row>
    <x:row r="2">
      <x:c r="A2" s="53" t="n"/>
      <x:c r="B2" s="53" t="n"/>
      <x:c r="C2" s="53" t="n"/>
      <x:c r="D2" s="53" t="n"/>
      <x:c r="E2" s="53" t="n"/>
      <x:c r="F2" s="53" t="n"/>
      <x:c r="G2" s="53" t="n"/>
      <x:c r="H2" s="53" t="n"/>
      <x:c r="I2" s="53" t="n"/>
      <x:c r="J2" s="53" t="n"/>
      <x:c r="K2" s="53" t="n"/>
      <x:c r="L2" s="53" t="n"/>
    </x:row>
    <x:row r="3" ht="23" customHeight="1">
      <x:c r="A3" s="532" t="inlineStr">
        <x:is>
          <x:t xml:space="preserve">等级表现</x:t>
        </x:is>
      </x:c>
    </x:row>
    <x:row r="4" ht="26" customHeight="1">
      <x:c r="A4" s="538" t="inlineStr">
        <x:is>
          <x:t xml:space="preserve">分类</x:t>
        </x:is>
      </x:c>
      <x:c r="B4" s="538" t="inlineStr">
        <x:is>
          <x:t xml:space="preserve">候选</x:t>
        </x:is>
      </x:c>
      <x:c r="C4" s="538" t="inlineStr">
        <x:is>
          <x:t xml:space="preserve">已结算</x:t>
        </x:is>
      </x:c>
      <x:c r="D4" s="538" t="inlineStr">
        <x:is>
          <x:t xml:space="preserve">未结算</x:t>
        </x:is>
      </x:c>
      <x:c r="E4" s="538" t="inlineStr">
        <x:is>
          <x:t xml:space="preserve">红</x:t>
        </x:is>
      </x:c>
      <x:c r="F4" s="538" t="inlineStr">
        <x:is>
          <x:t xml:space="preserve">半红</x:t>
        </x:is>
      </x:c>
      <x:c r="G4" s="538" t="inlineStr">
        <x:is>
          <x:t xml:space="preserve">走</x:t>
        </x:is>
      </x:c>
      <x:c r="H4" s="538" t="inlineStr">
        <x:is>
          <x:t xml:space="preserve">半黑</x:t>
        </x:is>
      </x:c>
      <x:c r="I4" s="538" t="inlineStr">
        <x:is>
          <x:t xml:space="preserve">黑</x:t>
        </x:is>
      </x:c>
      <x:c r="J4" s="538" t="inlineStr">
        <x:is>
          <x:t xml:space="preserve">有效胜率</x:t>
        </x:is>
      </x:c>
      <x:c r="K4" s="538" t="inlineStr">
        <x:is>
          <x:t xml:space="preserve">盈亏(u)</x:t>
        </x:is>
      </x:c>
      <x:c r="L4" s="538" t="inlineStr">
        <x:is>
          <x:t xml:space="preserve">ROI</x:t>
        </x:is>
      </x:c>
    </x:row>
    <x:row r="5" ht="22" customHeight="1">
      <x:c r="A5" s="26" t="inlineStr">
        <x:is>
          <x:t xml:space="preserve">等级A</x:t>
        </x:is>
      </x:c>
      <x:c r="B5" s="26" t="n">
        <x:v>5</x:v>
      </x:c>
      <x:c r="C5" s="26" t="n">
        <x:v>5</x:v>
      </x:c>
      <x:c r="D5" s="26" t="n">
        <x:v>0</x:v>
      </x:c>
      <x:c r="E5" s="26" t="n">
        <x:v>3</x:v>
      </x:c>
      <x:c r="F5" s="26" t="n">
        <x:v>0</x:v>
      </x:c>
      <x:c r="G5" s="26" t="n">
        <x:v>0</x:v>
      </x:c>
      <x:c r="H5" s="26" t="n">
        <x:v>0</x:v>
      </x:c>
      <x:c r="I5" s="26" t="n">
        <x:v>2</x:v>
      </x:c>
      <x:c r="J5" s="655" t="n">
        <x:v>0.6</x:v>
      </x:c>
      <x:c r="K5" s="657" t="n">
        <x:v>1.05</x:v>
      </x:c>
      <x:c r="L5" s="655" t="n">
        <x:v>0.21</x:v>
      </x:c>
    </x:row>
    <x:row r="6" ht="22" customHeight="1">
      <x:c r="A6" s="26" t="inlineStr">
        <x:is>
          <x:t xml:space="preserve">等级B</x:t>
        </x:is>
      </x:c>
      <x:c r="B6" s="26" t="n">
        <x:v>22</x:v>
      </x:c>
      <x:c r="C6" s="26" t="n">
        <x:v>22</x:v>
      </x:c>
      <x:c r="D6" s="26" t="n">
        <x:v>0</x:v>
      </x:c>
      <x:c r="E6" s="26" t="n">
        <x:v>9</x:v>
      </x:c>
      <x:c r="F6" s="26" t="n">
        <x:v>1</x:v>
      </x:c>
      <x:c r="G6" s="26" t="n">
        <x:v>2</x:v>
      </x:c>
      <x:c r="H6" s="26" t="n">
        <x:v>2</x:v>
      </x:c>
      <x:c r="I6" s="26" t="n">
        <x:v>8</x:v>
      </x:c>
      <x:c r="J6" s="655" t="n">
        <x:v>0.5135135135135135</x:v>
      </x:c>
      <x:c r="K6" s="657" t="n">
        <x:v>1.085</x:v>
      </x:c>
      <x:c r="L6" s="655" t="n">
        <x:v>0.04931818181818182</x:v>
      </x:c>
    </x:row>
    <x:row r="7" ht="22" customHeight="1">
      <x:c r="A7" s="26" t="inlineStr">
        <x:is>
          <x:t xml:space="preserve">等级C</x:t>
        </x:is>
      </x:c>
      <x:c r="B7" s="26" t="n">
        <x:v>324</x:v>
      </x:c>
      <x:c r="C7" s="26" t="n">
        <x:v>319</x:v>
      </x:c>
      <x:c r="D7" s="26" t="n">
        <x:v>5</x:v>
      </x:c>
      <x:c r="E7" s="26" t="n">
        <x:v>128</x:v>
      </x:c>
      <x:c r="F7" s="26" t="n">
        <x:v>26</x:v>
      </x:c>
      <x:c r="G7" s="26" t="n">
        <x:v>14</x:v>
      </x:c>
      <x:c r="H7" s="26" t="n">
        <x:v>21</x:v>
      </x:c>
      <x:c r="I7" s="26" t="n">
        <x:v>130</x:v>
      </x:c>
      <x:c r="J7" s="655" t="n">
        <x:v>0.5008880994671403</x:v>
      </x:c>
      <x:c r="K7" s="657" t="n">
        <x:v>1.995000000000003</x:v>
      </x:c>
      <x:c r="L7" s="655" t="n">
        <x:v>0.006253918495297816</x:v>
      </x:c>
    </x:row>
    <x:row r="8" ht="23" customHeight="1">
      <x:c r="A8" s="53" t="n"/>
      <x:c r="B8" s="53" t="n"/>
      <x:c r="C8" s="53" t="n"/>
      <x:c r="D8" s="53" t="n"/>
      <x:c r="E8" s="53" t="n"/>
      <x:c r="F8" s="53" t="n"/>
      <x:c r="G8" s="53" t="n"/>
      <x:c r="H8" s="53" t="n"/>
      <x:c r="I8" s="53" t="n"/>
      <x:c r="J8" s="53" t="n"/>
      <x:c r="K8" s="53" t="n"/>
      <x:c r="L8" s="53" t="n"/>
    </x:row>
    <x:row r="9" ht="23" customHeight="1">
      <x:c r="A9" s="532" t="inlineStr">
        <x:is>
          <x:t xml:space="preserve">列表日表现</x:t>
        </x:is>
      </x:c>
    </x:row>
    <x:row r="10" ht="26" customHeight="1">
      <x:c r="A10" s="538" t="inlineStr">
        <x:is>
          <x:t xml:space="preserve">分类</x:t>
        </x:is>
      </x:c>
      <x:c r="B10" s="538" t="inlineStr">
        <x:is>
          <x:t xml:space="preserve">候选</x:t>
        </x:is>
      </x:c>
      <x:c r="C10" s="538" t="inlineStr">
        <x:is>
          <x:t xml:space="preserve">已结算</x:t>
        </x:is>
      </x:c>
      <x:c r="D10" s="538" t="inlineStr">
        <x:is>
          <x:t xml:space="preserve">未结算</x:t>
        </x:is>
      </x:c>
      <x:c r="E10" s="538" t="inlineStr">
        <x:is>
          <x:t xml:space="preserve">红</x:t>
        </x:is>
      </x:c>
      <x:c r="F10" s="538" t="inlineStr">
        <x:is>
          <x:t xml:space="preserve">半红</x:t>
        </x:is>
      </x:c>
      <x:c r="G10" s="538" t="inlineStr">
        <x:is>
          <x:t xml:space="preserve">走</x:t>
        </x:is>
      </x:c>
      <x:c r="H10" s="538" t="inlineStr">
        <x:is>
          <x:t xml:space="preserve">半黑</x:t>
        </x:is>
      </x:c>
      <x:c r="I10" s="538" t="inlineStr">
        <x:is>
          <x:t xml:space="preserve">黑</x:t>
        </x:is>
      </x:c>
      <x:c r="J10" s="538" t="inlineStr">
        <x:is>
          <x:t xml:space="preserve">有效胜率</x:t>
        </x:is>
      </x:c>
      <x:c r="K10" s="538" t="inlineStr">
        <x:is>
          <x:t xml:space="preserve">盈亏(u)</x:t>
        </x:is>
      </x:c>
      <x:c r="L10" s="538" t="inlineStr">
        <x:is>
          <x:t xml:space="preserve">ROI</x:t>
        </x:is>
      </x:c>
    </x:row>
    <x:row r="11" ht="22" customHeight="1">
      <x:c r="A11" s="26" t="inlineStr">
        <x:is>
          <x:t xml:space="preserve">2026-09-13</x:t>
        </x:is>
      </x:c>
      <x:c r="B11" s="26" t="n">
        <x:v>33</x:v>
      </x:c>
      <x:c r="C11" s="26" t="n">
        <x:v>33</x:v>
      </x:c>
      <x:c r="D11" s="26" t="n">
        <x:v>0</x:v>
      </x:c>
      <x:c r="E11" s="26" t="n">
        <x:v>14</x:v>
      </x:c>
      <x:c r="F11" s="26" t="n">
        <x:v>1</x:v>
      </x:c>
      <x:c r="G11" s="26" t="n">
        <x:v>1</x:v>
      </x:c>
      <x:c r="H11" s="26" t="n">
        <x:v>4</x:v>
      </x:c>
      <x:c r="I11" s="26" t="n">
        <x:v>13</x:v>
      </x:c>
      <x:c r="J11" s="655" t="n">
        <x:v>0.4915254237288136</x:v>
      </x:c>
      <x:c r="K11" s="657" t="n">
        <x:v>-0.6849999999999998</x:v>
      </x:c>
      <x:c r="L11" s="655" t="n">
        <x:v>-0.02075757575757575</x:v>
      </x:c>
    </x:row>
    <x:row r="12" ht="22" customHeight="1">
      <x:c r="A12" s="26" t="inlineStr">
        <x:is>
          <x:t xml:space="preserve">2026-09-14</x:t>
        </x:is>
      </x:c>
      <x:c r="B12" s="26" t="n">
        <x:v>19</x:v>
      </x:c>
      <x:c r="C12" s="26" t="n">
        <x:v>19</x:v>
      </x:c>
      <x:c r="D12" s="26" t="n">
        <x:v>0</x:v>
      </x:c>
      <x:c r="E12" s="26" t="n">
        <x:v>10</x:v>
      </x:c>
      <x:c r="F12" s="26" t="n">
        <x:v>2</x:v>
      </x:c>
      <x:c r="G12" s="26" t="n">
        <x:v>1</x:v>
      </x:c>
      <x:c r="H12" s="26" t="n">
        <x:v>0</x:v>
      </x:c>
      <x:c r="I12" s="26" t="n">
        <x:v>6</x:v>
      </x:c>
      <x:c r="J12" s="655" t="n">
        <x:v>0.6470588235294118</x:v>
      </x:c>
      <x:c r="K12" s="657" t="n">
        <x:v>5.005000000000001</x:v>
      </x:c>
      <x:c r="L12" s="655" t="n">
        <x:v>0.263421052631579</x:v>
      </x:c>
    </x:row>
    <x:row r="13" ht="22" customHeight="1">
      <x:c r="A13" s="26" t="inlineStr">
        <x:is>
          <x:t xml:space="preserve">2026-09-15</x:t>
        </x:is>
      </x:c>
      <x:c r="B13" s="26" t="n">
        <x:v>32</x:v>
      </x:c>
      <x:c r="C13" s="26" t="n">
        <x:v>32</x:v>
      </x:c>
      <x:c r="D13" s="26" t="n">
        <x:v>0</x:v>
      </x:c>
      <x:c r="E13" s="26" t="n">
        <x:v>15</x:v>
      </x:c>
      <x:c r="F13" s="26" t="n">
        <x:v>0</x:v>
      </x:c>
      <x:c r="G13" s="26" t="n">
        <x:v>1</x:v>
      </x:c>
      <x:c r="H13" s="26" t="n">
        <x:v>3</x:v>
      </x:c>
      <x:c r="I13" s="26" t="n">
        <x:v>13</x:v>
      </x:c>
      <x:c r="J13" s="655" t="n">
        <x:v>0.5084745762711864</x:v>
      </x:c>
      <x:c r="K13" s="657" t="n">
        <x:v>0.4100000000000004</x:v>
      </x:c>
      <x:c r="L13" s="655" t="n">
        <x:v>0.01281250000000001</x:v>
      </x:c>
    </x:row>
    <x:row r="14" ht="22" customHeight="1">
      <x:c r="A14" s="26" t="inlineStr">
        <x:is>
          <x:t xml:space="preserve">2026-09-16</x:t>
        </x:is>
      </x:c>
      <x:c r="B14" s="26" t="n">
        <x:v>31</x:v>
      </x:c>
      <x:c r="C14" s="26" t="n">
        <x:v>30</x:v>
      </x:c>
      <x:c r="D14" s="26" t="n">
        <x:v>1</x:v>
      </x:c>
      <x:c r="E14" s="26" t="n">
        <x:v>11</x:v>
      </x:c>
      <x:c r="F14" s="26" t="n">
        <x:v>3</x:v>
      </x:c>
      <x:c r="G14" s="26" t="n">
        <x:v>0</x:v>
      </x:c>
      <x:c r="H14" s="26" t="n">
        <x:v>4</x:v>
      </x:c>
      <x:c r="I14" s="26" t="n">
        <x:v>12</x:v>
      </x:c>
      <x:c r="J14" s="655" t="n">
        <x:v>0.4716981132075472</x:v>
      </x:c>
      <x:c r="K14" s="657" t="n">
        <x:v>-1.77</x:v>
      </x:c>
      <x:c r="L14" s="655" t="n">
        <x:v>-0.05899999999999999</x:v>
      </x:c>
    </x:row>
    <x:row r="15" ht="22" customHeight="1">
      <x:c r="A15" s="26" t="inlineStr">
        <x:is>
          <x:t xml:space="preserve">2026-09-17</x:t>
        </x:is>
      </x:c>
      <x:c r="B15" s="26" t="n">
        <x:v>19</x:v>
      </x:c>
      <x:c r="C15" s="26" t="n">
        <x:v>18</x:v>
      </x:c>
      <x:c r="D15" s="26" t="n">
        <x:v>1</x:v>
      </x:c>
      <x:c r="E15" s="26" t="n">
        <x:v>8</x:v>
      </x:c>
      <x:c r="F15" s="26" t="n">
        <x:v>1</x:v>
      </x:c>
      <x:c r="G15" s="26" t="n">
        <x:v>0</x:v>
      </x:c>
      <x:c r="H15" s="26" t="n">
        <x:v>0</x:v>
      </x:c>
      <x:c r="I15" s="26" t="n">
        <x:v>9</x:v>
      </x:c>
      <x:c r="J15" s="655" t="n">
        <x:v>0.4857142857142857</x:v>
      </x:c>
      <x:c r="K15" s="657" t="n">
        <x:v>-0.3799999999999998</x:v>
      </x:c>
      <x:c r="L15" s="655" t="n">
        <x:v>-0.0211111111111111</x:v>
      </x:c>
    </x:row>
    <x:row r="16" ht="22" customHeight="1">
      <x:c r="A16" s="26" t="inlineStr">
        <x:is>
          <x:t xml:space="preserve">2026-09-18</x:t>
        </x:is>
      </x:c>
      <x:c r="B16" s="26" t="n">
        <x:v>55</x:v>
      </x:c>
      <x:c r="C16" s="26" t="n">
        <x:v>55</x:v>
      </x:c>
      <x:c r="D16" s="26" t="n">
        <x:v>0</x:v>
      </x:c>
      <x:c r="E16" s="26" t="n">
        <x:v>14</x:v>
      </x:c>
      <x:c r="F16" s="26" t="n">
        <x:v>6</x:v>
      </x:c>
      <x:c r="G16" s="26" t="n">
        <x:v>3</x:v>
      </x:c>
      <x:c r="H16" s="26" t="n">
        <x:v>6</x:v>
      </x:c>
      <x:c r="I16" s="26" t="n">
        <x:v>26</x:v>
      </x:c>
      <x:c r="J16" s="655" t="n">
        <x:v>0.3695652173913043</x:v>
      </x:c>
      <x:c r="K16" s="657" t="n">
        <x:v>-11.705</x:v>
      </x:c>
      <x:c r="L16" s="655" t="n">
        <x:v>-0.2128181818181818</x:v>
      </x:c>
    </x:row>
    <x:row r="17" ht="22" customHeight="1">
      <x:c r="A17" s="26" t="inlineStr">
        <x:is>
          <x:t xml:space="preserve">2026-09-19</x:t>
        </x:is>
      </x:c>
      <x:c r="B17" s="26" t="n">
        <x:v>92</x:v>
      </x:c>
      <x:c r="C17" s="26" t="n">
        <x:v>92</x:v>
      </x:c>
      <x:c r="D17" s="26" t="n">
        <x:v>0</x:v>
      </x:c>
      <x:c r="E17" s="26" t="n">
        <x:v>34</x:v>
      </x:c>
      <x:c r="F17" s="26" t="n">
        <x:v>8</x:v>
      </x:c>
      <x:c r="G17" s="26" t="n">
        <x:v>7</x:v>
      </x:c>
      <x:c r="H17" s="26" t="n">
        <x:v>3</x:v>
      </x:c>
      <x:c r="I17" s="26" t="n">
        <x:v>40</x:v>
      </x:c>
      <x:c r="J17" s="655" t="n">
        <x:v>0.4779874213836478</x:v>
      </x:c>
      <x:c r="K17" s="657" t="n">
        <x:v>-2.279999999999999</x:v>
      </x:c>
      <x:c r="L17" s="655" t="n">
        <x:v>-0.02478260869565216</x:v>
      </x:c>
    </x:row>
    <x:row r="18" ht="22" customHeight="1">
      <x:c r="A18" s="26" t="inlineStr">
        <x:is>
          <x:t xml:space="preserve">2026-09-20</x:t>
        </x:is>
      </x:c>
      <x:c r="B18" s="26" t="n">
        <x:v>67</x:v>
      </x:c>
      <x:c r="C18" s="26" t="n">
        <x:v>67</x:v>
      </x:c>
      <x:c r="D18" s="26" t="n">
        <x:v>0</x:v>
      </x:c>
      <x:c r="E18" s="26" t="n">
        <x:v>34</x:v>
      </x:c>
      <x:c r="F18" s="26" t="n">
        <x:v>6</x:v>
      </x:c>
      <x:c r="G18" s="26" t="n">
        <x:v>3</x:v>
      </x:c>
      <x:c r="H18" s="26" t="n">
        <x:v>3</x:v>
      </x:c>
      <x:c r="I18" s="26" t="n">
        <x:v>21</x:v>
      </x:c>
      <x:c r="J18" s="655" t="n">
        <x:v>0.6218487394957983</x:v>
      </x:c>
      <x:c r="K18" s="657" t="n">
        <x:v>15.535</x:v>
      </x:c>
      <x:c r="L18" s="655" t="n">
        <x:v>0.2318656716417911</x:v>
      </x:c>
    </x:row>
    <x:row r="19" ht="22" customHeight="1">
      <x:c r="A19" s="26" t="inlineStr">
        <x:is>
          <x:t xml:space="preserve">2026-09-21</x:t>
        </x:is>
      </x:c>
      <x:c r="B19" s="26" t="n">
        <x:v>3</x:v>
      </x:c>
      <x:c r="C19" s="26" t="n">
        <x:v>0</x:v>
      </x:c>
      <x:c r="D19" s="26" t="n">
        <x:v>3</x:v>
      </x:c>
      <x:c r="E19" s="26" t="n">
        <x:v>0</x:v>
      </x:c>
      <x:c r="F19" s="26" t="n">
        <x:v>0</x:v>
      </x:c>
      <x:c r="G19" s="26" t="n">
        <x:v>0</x:v>
      </x:c>
      <x:c r="H19" s="26" t="n">
        <x:v>0</x:v>
      </x:c>
      <x:c r="I19" s="26" t="n">
        <x:v>0</x:v>
      </x:c>
      <x:c r="J19" s="655" t="n"/>
      <x:c r="K19" s="657" t="n">
        <x:v>0</x:v>
      </x:c>
      <x:c r="L19" s="655" t="n"/>
    </x:row>
  </x:sheetData>
  <x:mergeCells>
    <x:mergeCell ref="A3:L3"/>
    <x:mergeCell ref="A1:L1"/>
    <x:mergeCell ref="A9:L9"/>
  </x:mergeCells>
  <x:pageMargins left="0.7" right="0.7" top="0.75" bottom="0.75" header="0.3" footer="0.3"/>
  <x:tableParts count="2">
    <x:tablePart xmlns:r="http://schemas.openxmlformats.org/officeDocument/2006/relationships" r:id="R521cac00e4a140b8"/>
    <x:tablePart xmlns:r="http://schemas.openxmlformats.org/officeDocument/2006/relationships" r:id="R7bdd5f0f2d4f48df"/>
  </x:tableParts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13" customWidth="1"/>
    <x:col min="3" max="3" width="18" customWidth="1"/>
    <x:col min="4" max="4" width="12" customWidth="1"/>
    <x:col min="5" max="5" width="14" customWidth="1"/>
    <x:col min="6" max="6" width="18" customWidth="1"/>
    <x:col min="7" max="7" width="10" customWidth="1"/>
    <x:col min="8" max="8" width="10" customWidth="1"/>
    <x:col min="9" max="9" width="12" customWidth="1"/>
    <x:col min="10" max="10" width="12" customWidth="1"/>
    <x:col min="11" max="11" width="30" customWidth="1"/>
    <x:col min="12" max="12" width="12" customWidth="1"/>
    <x:col min="13" max="13" width="12" customWidth="1"/>
  </x:cols>
  <x:sheetData>
    <x:row r="1" ht="28" customHeight="1">
      <x:c r="A1" s="529" t="inlineStr">
        <x:is>
          <x:t xml:space="preserve">V4模型统计</x:t>
        </x:is>
      </x:c>
    </x:row>
    <x:row r="2">
      <x:c r="A2" s="53" t="n"/>
      <x:c r="B2" s="53" t="n"/>
      <x:c r="C2" s="53" t="n"/>
      <x:c r="D2" s="53" t="n"/>
      <x:c r="E2" s="53" t="n"/>
      <x:c r="F2" s="53" t="n"/>
      <x:c r="G2" s="53" t="n"/>
      <x:c r="H2" s="53" t="n"/>
      <x:c r="I2" s="53" t="n"/>
      <x:c r="J2" s="53" t="n"/>
      <x:c r="K2" s="53" t="n"/>
      <x:c r="L2" s="53" t="n"/>
      <x:c r="M2" s="53" t="n"/>
    </x:row>
    <x:row r="3" ht="23" customHeight="1">
      <x:c r="A3" s="532" t="inlineStr">
        <x:is>
          <x:t xml:space="preserve">页面计算状态</x:t>
        </x:is>
      </x:c>
    </x:row>
    <x:row r="4" ht="26" customHeight="1">
      <x:c r="A4" s="538" t="inlineStr">
        <x:is>
          <x:t xml:space="preserve">列表日</x:t>
        </x:is>
      </x:c>
      <x:c r="B4" s="538" t="inlineStr">
        <x:is>
          <x:t xml:space="preserve">总赛事</x:t>
        </x:is>
      </x:c>
      <x:c r="C4" s="538" t="inlineStr">
        <x:is>
          <x:t xml:space="preserve">真实计算</x:t>
        </x:is>
      </x:c>
      <x:c r="D4" s="538" t="inlineStr">
        <x:is>
          <x:t xml:space="preserve">A</x:t>
        </x:is>
      </x:c>
      <x:c r="E4" s="538" t="inlineStr">
        <x:is>
          <x:t xml:space="preserve">B</x:t>
        </x:is>
      </x:c>
      <x:c r="F4" s="538" t="inlineStr">
        <x:is>
          <x:t xml:space="preserve">C</x:t>
        </x:is>
      </x:c>
      <x:c r="G4" s="538" t="inlineStr">
        <x:is>
          <x:t xml:space="preserve">N</x:t>
        </x:is>
      </x:c>
      <x:c r="H4" s="538" t="inlineStr">
        <x:is>
          <x:t xml:space="preserve">中性</x:t>
        </x:is>
      </x:c>
      <x:c r="I4" s="538" t="inlineStr">
        <x:is>
          <x:t xml:space="preserve">数据缺失</x:t>
        </x:is>
      </x:c>
      <x:c r="J4" s="538" t="inlineStr">
        <x:is>
          <x:t xml:space="preserve">非赛前</x:t>
        </x:is>
      </x:c>
      <x:c r="K4" s="538" t="inlineStr">
        <x:is>
          <x:t xml:space="preserve">生成时间</x:t>
        </x:is>
      </x:c>
      <x:c r="L4" s="53" t="n"/>
      <x:c r="M4" s="53" t="n"/>
    </x:row>
    <x:row r="5" ht="22" customHeight="1">
      <x:c r="A5" s="26" t="inlineStr">
        <x:is>
          <x:t xml:space="preserve">2026-09-13</x:t>
        </x:is>
      </x:c>
      <x:c r="B5" s="26" t="n">
        <x:v>192</x:v>
      </x:c>
      <x:c r="C5" s="26" t="n">
        <x:v>160</x:v>
      </x:c>
      <x:c r="D5" s="26" t="n">
        <x:v>0</x:v>
      </x:c>
      <x:c r="E5" s="26" t="n">
        <x:v>3</x:v>
      </x:c>
      <x:c r="F5" s="26" t="n">
        <x:v>30</x:v>
      </x:c>
      <x:c r="G5" s="26" t="n">
        <x:v>127</x:v>
      </x:c>
      <x:c r="H5" s="26" t="n">
        <x:v>29</x:v>
      </x:c>
      <x:c r="I5" s="26" t="n">
        <x:v>0</x:v>
      </x:c>
      <x:c r="J5" s="26" t="n">
        <x:v>3</x:v>
      </x:c>
      <x:c r="K5" s="26" t="inlineStr">
        <x:is>
          <x:t xml:space="preserve">2026-09-13 13:36:05.043202 北京时间</x:t>
        </x:is>
      </x:c>
      <x:c r="L5" s="53" t="n"/>
      <x:c r="M5" s="53" t="n"/>
    </x:row>
    <x:row r="6" ht="22" customHeight="1">
      <x:c r="A6" s="26" t="inlineStr">
        <x:is>
          <x:t xml:space="preserve">2026-09-14</x:t>
        </x:is>
      </x:c>
      <x:c r="B6" s="26" t="n">
        <x:v>208</x:v>
      </x:c>
      <x:c r="C6" s="26" t="n">
        <x:v>72</x:v>
      </x:c>
      <x:c r="D6" s="26" t="n">
        <x:v>0</x:v>
      </x:c>
      <x:c r="E6" s="26" t="n">
        <x:v>1</x:v>
      </x:c>
      <x:c r="F6" s="26" t="n">
        <x:v>18</x:v>
      </x:c>
      <x:c r="G6" s="26" t="n">
        <x:v>53</x:v>
      </x:c>
      <x:c r="H6" s="26" t="n">
        <x:v>30</x:v>
      </x:c>
      <x:c r="I6" s="26" t="n">
        <x:v>52</x:v>
      </x:c>
      <x:c r="J6" s="26" t="n">
        <x:v>54</x:v>
      </x:c>
      <x:c r="K6" s="26" t="inlineStr">
        <x:is>
          <x:t xml:space="preserve">2026-09-14 22:16:27.477271 北京时间</x:t>
        </x:is>
      </x:c>
      <x:c r="L6" s="53" t="n"/>
      <x:c r="M6" s="53" t="n"/>
    </x:row>
    <x:row r="7" ht="22" customHeight="1">
      <x:c r="A7" s="26" t="inlineStr">
        <x:is>
          <x:t xml:space="preserve">2026-09-15</x:t>
        </x:is>
      </x:c>
      <x:c r="B7" s="26" t="n">
        <x:v>327</x:v>
      </x:c>
      <x:c r="C7" s="26" t="n">
        <x:v>116</x:v>
      </x:c>
      <x:c r="D7" s="26" t="n">
        <x:v>1</x:v>
      </x:c>
      <x:c r="E7" s="26" t="n">
        <x:v>3</x:v>
      </x:c>
      <x:c r="F7" s="26" t="n">
        <x:v>28</x:v>
      </x:c>
      <x:c r="G7" s="26" t="n">
        <x:v>84</x:v>
      </x:c>
      <x:c r="H7" s="26" t="n">
        <x:v>41</x:v>
      </x:c>
      <x:c r="I7" s="26" t="n">
        <x:v>140</x:v>
      </x:c>
      <x:c r="J7" s="26" t="n">
        <x:v>30</x:v>
      </x:c>
      <x:c r="K7" s="26" t="inlineStr">
        <x:is>
          <x:t xml:space="preserve">2026-09-15 18:10:05.341285 北京时间</x:t>
        </x:is>
      </x:c>
      <x:c r="L7" s="53" t="n"/>
      <x:c r="M7" s="53" t="n"/>
    </x:row>
    <x:row r="8" ht="22" customHeight="1">
      <x:c r="A8" s="26" t="inlineStr">
        <x:is>
          <x:t xml:space="preserve">2026-09-16</x:t>
        </x:is>
      </x:c>
      <x:c r="B8" s="26" t="n">
        <x:v>510</x:v>
      </x:c>
      <x:c r="C8" s="26" t="n">
        <x:v>161</x:v>
      </x:c>
      <x:c r="D8" s="26" t="n">
        <x:v>1</x:v>
      </x:c>
      <x:c r="E8" s="26" t="n">
        <x:v>1</x:v>
      </x:c>
      <x:c r="F8" s="26" t="n">
        <x:v>29</x:v>
      </x:c>
      <x:c r="G8" s="26" t="n">
        <x:v>130</x:v>
      </x:c>
      <x:c r="H8" s="26" t="n">
        <x:v>28</x:v>
      </x:c>
      <x:c r="I8" s="26" t="n">
        <x:v>128</x:v>
      </x:c>
      <x:c r="J8" s="26" t="n">
        <x:v>193</x:v>
      </x:c>
      <x:c r="K8" s="26" t="inlineStr">
        <x:is>
          <x:t xml:space="preserve">2026-09-16 23:55:21.710510 北京时间</x:t>
        </x:is>
      </x:c>
      <x:c r="L8" s="53" t="n"/>
      <x:c r="M8" s="53" t="n"/>
    </x:row>
    <x:row r="9" ht="23" customHeight="1">
      <x:c r="A9" s="532" t="inlineStr">
        <x:is>
          <x:t xml:space="preserve">候选等级模型指标</x:t>
        </x:is>
      </x:c>
      <x:c r="G9" s="26" t="n">
        <x:v>64</x:v>
      </x:c>
      <x:c r="H9" s="26" t="n">
        <x:v>22</x:v>
      </x:c>
      <x:c r="I9" s="26" t="n">
        <x:v>70</x:v>
      </x:c>
      <x:c r="J9" s="26" t="n">
        <x:v>94</x:v>
      </x:c>
      <x:c r="K9" s="26" t="inlineStr">
        <x:is>
          <x:t xml:space="preserve">2026-09-17 22:29:30.141242 北京时间</x:t>
        </x:is>
      </x:c>
      <x:c r="L9" s="53" t="n"/>
      <x:c r="M9" s="53" t="n"/>
    </x:row>
    <x:row r="10" ht="26" customHeight="1">
      <x:c r="A10" s="538" t="inlineStr">
        <x:is>
          <x:t xml:space="preserve">等级</x:t>
        </x:is>
      </x:c>
      <x:c r="B10" s="538" t="inlineStr">
        <x:is>
          <x:t xml:space="preserve">候选场次</x:t>
        </x:is>
      </x:c>
      <x:c r="C10" s="538" t="inlineStr">
        <x:is>
          <x:t xml:space="preserve">平均模型有效胜率</x:t>
        </x:is>
      </x:c>
      <x:c r="D10" s="538" t="inlineStr">
        <x:is>
          <x:t xml:space="preserve">平均EV</x:t>
        </x:is>
      </x:c>
      <x:c r="E10" s="538" t="inlineStr">
        <x:is>
          <x:t xml:space="preserve">平均EV P10</x:t>
        </x:is>
      </x:c>
      <x:c r="F10" s="538" t="inlineStr">
        <x:is>
          <x:t xml:space="preserve">平均P(EV&gt;0)</x:t>
        </x:is>
      </x:c>
      <x:c r="G10" s="26" t="n">
        <x:v>107</x:v>
      </x:c>
      <x:c r="H10" s="26" t="n">
        <x:v>49</x:v>
      </x:c>
      <x:c r="I10" s="26" t="n">
        <x:v>285</x:v>
      </x:c>
      <x:c r="J10" s="26" t="n">
        <x:v>13</x:v>
      </x:c>
      <x:c r="K10" s="26" t="inlineStr">
        <x:is>
          <x:t xml:space="preserve">2026-09-18 16:00:27.683383 北京时间</x:t>
        </x:is>
      </x:c>
      <x:c r="L10" s="53" t="n"/>
      <x:c r="M10" s="53" t="n"/>
    </x:row>
    <x:row r="11" ht="22" customHeight="1">
      <x:c r="A11" s="26" t="inlineStr">
        <x:is>
          <x:t xml:space="preserve">等级A</x:t>
        </x:is>
      </x:c>
      <x:c r="B11" s="26" t="n">
        <x:v>5</x:v>
      </x:c>
      <x:c r="C11" s="655" t="n">
        <x:v>0.644357800484989</x:v>
      </x:c>
      <x:c r="D11" s="591" t="n">
        <x:v>0.2930491082065089</x:v>
      </x:c>
      <x:c r="E11" s="591" t="n">
        <x:v>0.1177564758441876</x:v>
      </x:c>
      <x:c r="F11" s="655" t="n">
        <x:v>0.97176</x:v>
      </x:c>
      <x:c r="G11" s="26" t="n">
        <x:v>287</x:v>
      </x:c>
      <x:c r="H11" s="26" t="n">
        <x:v>119</x:v>
      </x:c>
      <x:c r="I11" s="26" t="n">
        <x:v>212</x:v>
      </x:c>
      <x:c r="J11" s="26" t="n">
        <x:v>1114</x:v>
      </x:c>
      <x:c r="K11" s="26" t="inlineStr">
        <x:is>
          <x:t xml:space="preserve">2026-09-19 14:12:46.996540 北京时间</x:t>
        </x:is>
      </x:c>
      <x:c r="L11" s="53" t="n"/>
      <x:c r="M11" s="53" t="n"/>
    </x:row>
    <x:row r="12" ht="22" customHeight="1">
      <x:c r="A12" s="26" t="inlineStr">
        <x:is>
          <x:t xml:space="preserve">等级B</x:t>
        </x:is>
      </x:c>
      <x:c r="B12" s="26" t="n">
        <x:v>22</x:v>
      </x:c>
      <x:c r="C12" s="655" t="n">
        <x:v>0.5724400688601422</x:v>
      </x:c>
      <x:c r="D12" s="591" t="n">
        <x:v>0.1702987772461457</x:v>
      </x:c>
      <x:c r="E12" s="591" t="n">
        <x:v>-0.01598385347568921</x:v>
      </x:c>
      <x:c r="F12" s="655" t="n">
        <x:v>0.8804272727272728</x:v>
      </x:c>
      <x:c r="G12" s="26" t="n">
        <x:v>164</x:v>
      </x:c>
      <x:c r="H12" s="26" t="n">
        <x:v>68</x:v>
      </x:c>
      <x:c r="I12" s="26" t="n">
        <x:v>2</x:v>
      </x:c>
      <x:c r="J12" s="26" t="n">
        <x:v>1047</x:v>
      </x:c>
      <x:c r="K12" s="26" t="inlineStr">
        <x:is>
          <x:t xml:space="preserve">2026-09-20 21:55:39.015063 北京时间</x:t>
        </x:is>
      </x:c>
      <x:c r="L12" s="53" t="n"/>
      <x:c r="M12" s="53" t="n"/>
    </x:row>
    <x:row r="13" ht="22" customHeight="1">
      <x:c r="A13" s="26" t="inlineStr">
        <x:is>
          <x:t xml:space="preserve">等级C</x:t>
        </x:is>
      </x:c>
      <x:c r="B13" s="26" t="n">
        <x:v>324</x:v>
      </x:c>
      <x:c r="C13" s="655" t="n">
        <x:v>0.5211478305660331</x:v>
      </x:c>
      <x:c r="D13" s="591" t="n">
        <x:v>0.03754566897908376</x:v>
      </x:c>
      <x:c r="E13" s="591" t="n">
        <x:v>-0.08421056995534029</x:v>
      </x:c>
      <x:c r="F13" s="655" t="n">
        <x:v>0.6345944444444441</x:v>
      </x:c>
      <x:c r="G13" s="26" t="n">
        <x:v>9</x:v>
      </x:c>
      <x:c r="H13" s="26" t="n">
        <x:v>39</x:v>
      </x:c>
      <x:c r="I13" s="26" t="n">
        <x:v>118</x:v>
      </x:c>
      <x:c r="J13" s="26" t="n">
        <x:v>0</x:v>
      </x:c>
      <x:c r="K13" s="26" t="inlineStr">
        <x:is>
          <x:t xml:space="preserve">2026-09-21 08:20:31.444281 北京时间</x:t>
        </x:is>
      </x:c>
      <x:c r="L13" s="53" t="n"/>
      <x:c r="M13" s="53" t="n"/>
    </x:row>
    <x:row r="14" ht="42" customHeight="1">
      <x:c r="A14" s="543" t="inlineStr">
        <x:is>
          <x:t xml:space="preserve">V4使用市场结果的Dirichlet分布计算 W/HW/P/HL/L 与EV分位数，不沿用V3的Delta_Conv字段。模型有效胜率按结算概率计算；P(EV&gt;0)仅表示期望收益为正的后验概率。页面定义：A=EV均值&gt;0、EV P10&gt;0且P(EV&gt;0)≥95%；B=EV均值&gt;0且P(EV&gt;0)≥85%；C=EV均值&gt;0但未达到A/B；N=EV均值≤0。</x:t>
        </x:is>
      </x:c>
    </x:row>
    <x:row r="15" ht="42" customHeight="1"/>
    <x:row r="16" ht="42" customHeight="1"/>
  </x:sheetData>
  <x:mergeCells>
    <x:mergeCell ref="A1:M1"/>
    <x:mergeCell ref="A3:M3"/>
    <x:mergeCell ref="A9:F9"/>
    <x:mergeCell ref="A14:M1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7" customWidth="1"/>
    <x:col min="2" max="2" width="11" customWidth="1"/>
    <x:col min="3" max="3" width="12" customWidth="1"/>
    <x:col min="4" max="4" width="12" customWidth="1"/>
    <x:col min="5" max="5" width="9" customWidth="1"/>
    <x:col min="6" max="6" width="9" customWidth="1"/>
    <x:col min="7" max="7" width="9" customWidth="1"/>
    <x:col min="8" max="8" width="9" customWidth="1"/>
    <x:col min="9" max="9" width="9" customWidth="1"/>
    <x:col min="10" max="10" width="14" customWidth="1"/>
    <x:col min="11" max="11" width="13" customWidth="1"/>
    <x:col min="12" max="12" width="12" customWidth="1"/>
  </x:cols>
  <x:sheetData>
    <x:row r="1" ht="28" customHeight="1">
      <x:c r="A1" s="529" t="inlineStr">
        <x:is>
          <x:t xml:space="preserve">V4盘口统计（周中/周末）</x:t>
        </x:is>
      </x:c>
    </x:row>
    <x:row r="2">
      <x:c r="A2" s="53" t="n"/>
      <x:c r="B2" s="53" t="n"/>
      <x:c r="C2" s="53" t="n"/>
      <x:c r="D2" s="53" t="n"/>
      <x:c r="E2" s="53" t="n"/>
      <x:c r="F2" s="53" t="n"/>
      <x:c r="G2" s="53" t="n"/>
      <x:c r="H2" s="53" t="n"/>
      <x:c r="I2" s="53" t="n"/>
      <x:c r="J2" s="53" t="n"/>
      <x:c r="K2" s="53" t="n"/>
      <x:c r="L2" s="53" t="n"/>
    </x:row>
    <x:row r="3" ht="23" customHeight="1">
      <x:c r="A3" s="532" t="inlineStr">
        <x:is>
          <x:t xml:space="preserve">按列表日划分：周中=周一至周五，周末=周六、周日</x:t>
        </x:is>
      </x:c>
    </x:row>
    <x:row r="4" ht="26" customHeight="1">
      <x:c r="A4" s="538" t="inlineStr">
        <x:is>
          <x:t xml:space="preserve">分类</x:t>
        </x:is>
      </x:c>
      <x:c r="B4" s="538" t="inlineStr">
        <x:is>
          <x:t xml:space="preserve">候选</x:t>
        </x:is>
      </x:c>
      <x:c r="C4" s="538" t="inlineStr">
        <x:is>
          <x:t xml:space="preserve">已结算</x:t>
        </x:is>
      </x:c>
      <x:c r="D4" s="538" t="inlineStr">
        <x:is>
          <x:t xml:space="preserve">未结算</x:t>
        </x:is>
      </x:c>
      <x:c r="E4" s="538" t="inlineStr">
        <x:is>
          <x:t xml:space="preserve">红</x:t>
        </x:is>
      </x:c>
      <x:c r="F4" s="538" t="inlineStr">
        <x:is>
          <x:t xml:space="preserve">半红</x:t>
        </x:is>
      </x:c>
      <x:c r="G4" s="538" t="inlineStr">
        <x:is>
          <x:t xml:space="preserve">走</x:t>
        </x:is>
      </x:c>
      <x:c r="H4" s="538" t="inlineStr">
        <x:is>
          <x:t xml:space="preserve">半黑</x:t>
        </x:is>
      </x:c>
      <x:c r="I4" s="538" t="inlineStr">
        <x:is>
          <x:t xml:space="preserve">黑</x:t>
        </x:is>
      </x:c>
      <x:c r="J4" s="538" t="inlineStr">
        <x:is>
          <x:t xml:space="preserve">有效胜率</x:t>
        </x:is>
      </x:c>
      <x:c r="K4" s="538" t="inlineStr">
        <x:is>
          <x:t xml:space="preserve">盈亏(u)</x:t>
        </x:is>
      </x:c>
      <x:c r="L4" s="538" t="inlineStr">
        <x:is>
          <x:t xml:space="preserve">ROI</x:t>
        </x:is>
      </x:c>
    </x:row>
    <x:row r="5" ht="22" customHeight="1">
      <x:c r="A5" s="26" t="inlineStr">
        <x:is>
          <x:t xml:space="preserve">周中（周一至周五）｜受让0.25球</x:t>
        </x:is>
      </x:c>
      <x:c r="B5" s="26" t="n">
        <x:v>25</x:v>
      </x:c>
      <x:c r="C5" s="26" t="n">
        <x:v>24</x:v>
      </x:c>
      <x:c r="D5" s="26" t="n">
        <x:v>1</x:v>
      </x:c>
      <x:c r="E5" s="26" t="n">
        <x:v>4</x:v>
      </x:c>
      <x:c r="F5" s="26" t="n">
        <x:v>7</x:v>
      </x:c>
      <x:c r="G5" s="26" t="n">
        <x:v>0</x:v>
      </x:c>
      <x:c r="H5" s="26" t="n">
        <x:v>0</x:v>
      </x:c>
      <x:c r="I5" s="26" t="n">
        <x:v>13</x:v>
      </x:c>
      <x:c r="J5" s="655" t="n">
        <x:v>0.3658536585365854</x:v>
      </x:c>
      <x:c r="K5" s="657" t="n">
        <x:v>-5.22</x:v>
      </x:c>
      <x:c r="L5" s="655" t="n">
        <x:v>-0.2175</x:v>
      </x:c>
    </x:row>
    <x:row r="6" ht="22" customHeight="1">
      <x:c r="A6" s="26" t="inlineStr">
        <x:is>
          <x:t xml:space="preserve">周中（周一至周五）｜受让0.5球</x:t>
        </x:is>
      </x:c>
      <x:c r="B6" s="26" t="n">
        <x:v>23</x:v>
      </x:c>
      <x:c r="C6" s="26" t="n">
        <x:v>23</x:v>
      </x:c>
      <x:c r="D6" s="26" t="n">
        <x:v>0</x:v>
      </x:c>
      <x:c r="E6" s="26" t="n">
        <x:v>11</x:v>
      </x:c>
      <x:c r="F6" s="26" t="n">
        <x:v>0</x:v>
      </x:c>
      <x:c r="G6" s="26" t="n">
        <x:v>0</x:v>
      </x:c>
      <x:c r="H6" s="26" t="n">
        <x:v>0</x:v>
      </x:c>
      <x:c r="I6" s="26" t="n">
        <x:v>12</x:v>
      </x:c>
      <x:c r="J6" s="655" t="n">
        <x:v>0.4782608695652174</x:v>
      </x:c>
      <x:c r="K6" s="657" t="n">
        <x:v>-0.5399999999999998</x:v>
      </x:c>
      <x:c r="L6" s="655" t="n">
        <x:v>-0.02347826086956521</x:v>
      </x:c>
    </x:row>
    <x:row r="7" ht="22" customHeight="1">
      <x:c r="A7" s="26" t="inlineStr">
        <x:is>
          <x:t xml:space="preserve">周中（周一至周五）｜受让0.75球</x:t>
        </x:is>
      </x:c>
      <x:c r="B7" s="26" t="n">
        <x:v>15</x:v>
      </x:c>
      <x:c r="C7" s="26" t="n">
        <x:v>15</x:v>
      </x:c>
      <x:c r="D7" s="26" t="n">
        <x:v>0</x:v>
      </x:c>
      <x:c r="E7" s="26" t="n">
        <x:v>6</x:v>
      </x:c>
      <x:c r="F7" s="26" t="n">
        <x:v>0</x:v>
      </x:c>
      <x:c r="G7" s="26" t="n">
        <x:v>0</x:v>
      </x:c>
      <x:c r="H7" s="26" t="n">
        <x:v>5</x:v>
      </x:c>
      <x:c r="I7" s="26" t="n">
        <x:v>4</x:v>
      </x:c>
      <x:c r="J7" s="655" t="n">
        <x:v>0.48</x:v>
      </x:c>
      <x:c r="K7" s="657" t="n">
        <x:v>-0.1399999999999997</x:v>
      </x:c>
      <x:c r="L7" s="655" t="n">
        <x:v>-0.009333333333333312</x:v>
      </x:c>
    </x:row>
    <x:row r="8" ht="22" customHeight="1">
      <x:c r="A8" s="26" t="inlineStr">
        <x:is>
          <x:t xml:space="preserve">周中（周一至周五）｜受让1.25球</x:t>
        </x:is>
      </x:c>
      <x:c r="B8" s="26" t="n">
        <x:v>4</x:v>
      </x:c>
      <x:c r="C8" s="26" t="n">
        <x:v>4</x:v>
      </x:c>
      <x:c r="D8" s="26" t="n">
        <x:v>0</x:v>
      </x:c>
      <x:c r="E8" s="26" t="n">
        <x:v>0</x:v>
      </x:c>
      <x:c r="F8" s="26" t="n">
        <x:v>3</x:v>
      </x:c>
      <x:c r="G8" s="26" t="n">
        <x:v>0</x:v>
      </x:c>
      <x:c r="H8" s="26" t="n">
        <x:v>0</x:v>
      </x:c>
      <x:c r="I8" s="26" t="n">
        <x:v>1</x:v>
      </x:c>
      <x:c r="J8" s="655" t="n">
        <x:v>0.6</x:v>
      </x:c>
      <x:c r="K8" s="657" t="n">
        <x:v>0.5950000000000001</x:v>
      </x:c>
      <x:c r="L8" s="655" t="n">
        <x:v>0.14875</x:v>
      </x:c>
    </x:row>
    <x:row r="9" ht="22" customHeight="1">
      <x:c r="A9" s="26" t="inlineStr">
        <x:is>
          <x:t xml:space="preserve">周中（周一至周五）｜受让1.75球</x:t>
        </x:is>
      </x:c>
      <x:c r="B9" s="26" t="n">
        <x:v>1</x:v>
      </x:c>
      <x:c r="C9" s="26" t="n">
        <x:v>0</x:v>
      </x:c>
      <x:c r="D9" s="26" t="n">
        <x:v>1</x:v>
      </x:c>
      <x:c r="E9" s="26" t="n">
        <x:v>0</x:v>
      </x:c>
      <x:c r="F9" s="26" t="n">
        <x:v>0</x:v>
      </x:c>
      <x:c r="G9" s="26" t="n">
        <x:v>0</x:v>
      </x:c>
      <x:c r="H9" s="26" t="n">
        <x:v>0</x:v>
      </x:c>
      <x:c r="I9" s="26" t="n">
        <x:v>0</x:v>
      </x:c>
      <x:c r="J9" s="655" t="n"/>
      <x:c r="K9" s="657" t="n">
        <x:v>0</x:v>
      </x:c>
      <x:c r="L9" s="655" t="n"/>
    </x:row>
    <x:row r="10" ht="22" customHeight="1">
      <x:c r="A10" s="26" t="inlineStr">
        <x:is>
          <x:t xml:space="preserve">周中（周一至周五）｜受让1球</x:t>
        </x:is>
      </x:c>
      <x:c r="B10" s="26" t="n">
        <x:v>26</x:v>
      </x:c>
      <x:c r="C10" s="26" t="n">
        <x:v>25</x:v>
      </x:c>
      <x:c r="D10" s="26" t="n">
        <x:v>1</x:v>
      </x:c>
      <x:c r="E10" s="26" t="n">
        <x:v>9</x:v>
      </x:c>
      <x:c r="F10" s="26" t="n">
        <x:v>0</x:v>
      </x:c>
      <x:c r="G10" s="26" t="n">
        <x:v>4</x:v>
      </x:c>
      <x:c r="H10" s="26" t="n">
        <x:v>0</x:v>
      </x:c>
      <x:c r="I10" s="26" t="n">
        <x:v>12</x:v>
      </x:c>
      <x:c r="J10" s="655" t="n">
        <x:v>0.4285714285714285</x:v>
      </x:c>
      <x:c r="K10" s="657" t="n">
        <x:v>-3.56</x:v>
      </x:c>
      <x:c r="L10" s="655" t="n">
        <x:v>-0.1424</x:v>
      </x:c>
    </x:row>
    <x:row r="11" ht="22" customHeight="1">
      <x:c r="A11" s="26" t="inlineStr">
        <x:is>
          <x:t xml:space="preserve">周中（周一至周五）｜受让2.5球</x:t>
        </x:is>
      </x:c>
      <x:c r="B11" s="26" t="n">
        <x:v>2</x:v>
      </x:c>
      <x:c r="C11" s="26" t="n">
        <x:v>2</x:v>
      </x:c>
      <x:c r="D11" s="26" t="n">
        <x:v>0</x:v>
      </x:c>
      <x:c r="E11" s="26" t="n">
        <x:v>1</x:v>
      </x:c>
      <x:c r="F11" s="26" t="n">
        <x:v>0</x:v>
      </x:c>
      <x:c r="G11" s="26" t="n">
        <x:v>0</x:v>
      </x:c>
      <x:c r="H11" s="26" t="n">
        <x:v>0</x:v>
      </x:c>
      <x:c r="I11" s="26" t="n">
        <x:v>1</x:v>
      </x:c>
      <x:c r="J11" s="655" t="n">
        <x:v>0.5</x:v>
      </x:c>
      <x:c r="K11" s="657" t="n">
        <x:v>-0.24</x:v>
      </x:c>
      <x:c r="L11" s="655" t="n">
        <x:v>-0.12</x:v>
      </x:c>
    </x:row>
    <x:row r="12" ht="22" customHeight="1">
      <x:c r="A12" s="26" t="inlineStr">
        <x:is>
          <x:t xml:space="preserve">周中（周一至周五）｜受让3.25球</x:t>
        </x:is>
      </x:c>
      <x:c r="B12" s="26" t="n">
        <x:v>1</x:v>
      </x:c>
      <x:c r="C12" s="26" t="n">
        <x:v>1</x:v>
      </x:c>
      <x:c r="D12" s="26" t="n">
        <x:v>0</x:v>
      </x:c>
      <x:c r="E12" s="26" t="n">
        <x:v>1</x:v>
      </x:c>
      <x:c r="F12" s="26" t="n">
        <x:v>0</x:v>
      </x:c>
      <x:c r="G12" s="26" t="n">
        <x:v>0</x:v>
      </x:c>
      <x:c r="H12" s="26" t="n">
        <x:v>0</x:v>
      </x:c>
      <x:c r="I12" s="26" t="n">
        <x:v>0</x:v>
      </x:c>
      <x:c r="J12" s="655" t="n">
        <x:v>1</x:v>
      </x:c>
      <x:c r="K12" s="657" t="n">
        <x:v>0.99</x:v>
      </x:c>
      <x:c r="L12" s="655" t="n">
        <x:v>0.99</x:v>
      </x:c>
    </x:row>
    <x:row r="13" ht="22" customHeight="1">
      <x:c r="A13" s="26" t="inlineStr">
        <x:is>
          <x:t xml:space="preserve">周中（周一至周五）｜受让4球</x:t>
        </x:is>
      </x:c>
      <x:c r="B13" s="26" t="n">
        <x:v>1</x:v>
      </x:c>
      <x:c r="C13" s="26" t="n">
        <x:v>1</x:v>
      </x:c>
      <x:c r="D13" s="26" t="n">
        <x:v>0</x:v>
      </x:c>
      <x:c r="E13" s="26" t="n">
        <x:v>0</x:v>
      </x:c>
      <x:c r="F13" s="26" t="n">
        <x:v>0</x:v>
      </x:c>
      <x:c r="G13" s="26" t="n">
        <x:v>0</x:v>
      </x:c>
      <x:c r="H13" s="26" t="n">
        <x:v>0</x:v>
      </x:c>
      <x:c r="I13" s="26" t="n">
        <x:v>1</x:v>
      </x:c>
      <x:c r="J13" s="655" t="n">
        <x:v>0</x:v>
      </x:c>
      <x:c r="K13" s="657" t="n">
        <x:v>-1</x:v>
      </x:c>
      <x:c r="L13" s="655" t="n">
        <x:v>-1</x:v>
      </x:c>
    </x:row>
    <x:row r="14" ht="22" customHeight="1">
      <x:c r="A14" s="26" t="inlineStr">
        <x:is>
          <x:t xml:space="preserve">周中（周一至周五）｜让0.25球</x:t>
        </x:is>
      </x:c>
      <x:c r="B14" s="26" t="n">
        <x:v>12</x:v>
      </x:c>
      <x:c r="C14" s="26" t="n">
        <x:v>12</x:v>
      </x:c>
      <x:c r="D14" s="26" t="n">
        <x:v>0</x:v>
      </x:c>
      <x:c r="E14" s="26" t="n">
        <x:v>3</x:v>
      </x:c>
      <x:c r="F14" s="26" t="n">
        <x:v>0</x:v>
      </x:c>
      <x:c r="G14" s="26" t="n">
        <x:v>0</x:v>
      </x:c>
      <x:c r="H14" s="26" t="n">
        <x:v>4</x:v>
      </x:c>
      <x:c r="I14" s="26" t="n">
        <x:v>5</x:v>
      </x:c>
      <x:c r="J14" s="655" t="n">
        <x:v>0.3</x:v>
      </x:c>
      <x:c r="K14" s="657" t="n">
        <x:v>-3.87</x:v>
      </x:c>
      <x:c r="L14" s="655" t="n">
        <x:v>-0.3225</x:v>
      </x:c>
    </x:row>
    <x:row r="15" ht="22" customHeight="1">
      <x:c r="A15" s="26" t="inlineStr">
        <x:is>
          <x:t xml:space="preserve">周中（周一至周五）｜让0.5球</x:t>
        </x:is>
      </x:c>
      <x:c r="B15" s="26" t="n">
        <x:v>6</x:v>
      </x:c>
      <x:c r="C15" s="26" t="n">
        <x:v>5</x:v>
      </x:c>
      <x:c r="D15" s="26" t="n">
        <x:v>1</x:v>
      </x:c>
      <x:c r="E15" s="26" t="n">
        <x:v>3</x:v>
      </x:c>
      <x:c r="F15" s="26" t="n">
        <x:v>0</x:v>
      </x:c>
      <x:c r="G15" s="26" t="n">
        <x:v>0</x:v>
      </x:c>
      <x:c r="H15" s="26" t="n">
        <x:v>0</x:v>
      </x:c>
      <x:c r="I15" s="26" t="n">
        <x:v>2</x:v>
      </x:c>
      <x:c r="J15" s="655" t="n">
        <x:v>0.6</x:v>
      </x:c>
      <x:c r="K15" s="657" t="n">
        <x:v>1.09</x:v>
      </x:c>
      <x:c r="L15" s="655" t="n">
        <x:v>0.218</x:v>
      </x:c>
    </x:row>
    <x:row r="16" ht="22" customHeight="1">
      <x:c r="A16" s="26" t="inlineStr">
        <x:is>
          <x:t xml:space="preserve">周中（周一至周五）｜让0.75球</x:t>
        </x:is>
      </x:c>
      <x:c r="B16" s="26" t="n">
        <x:v>5</x:v>
      </x:c>
      <x:c r="C16" s="26" t="n">
        <x:v>5</x:v>
      </x:c>
      <x:c r="D16" s="26" t="n">
        <x:v>0</x:v>
      </x:c>
      <x:c r="E16" s="26" t="n">
        <x:v>1</x:v>
      </x:c>
      <x:c r="F16" s="26" t="n">
        <x:v>2</x:v>
      </x:c>
      <x:c r="G16" s="26" t="n">
        <x:v>0</x:v>
      </x:c>
      <x:c r="H16" s="26" t="n">
        <x:v>0</x:v>
      </x:c>
      <x:c r="I16" s="26" t="n">
        <x:v>2</x:v>
      </x:c>
      <x:c r="J16" s="655" t="n">
        <x:v>0.5</x:v>
      </x:c>
      <x:c r="K16" s="657" t="n">
        <x:v>0.1050000000000001</x:v>
      </x:c>
      <x:c r="L16" s="655" t="n">
        <x:v>0.02100000000000002</x:v>
      </x:c>
    </x:row>
    <x:row r="17" ht="22" customHeight="1">
      <x:c r="A17" s="26" t="inlineStr">
        <x:is>
          <x:t xml:space="preserve">周中（周一至周五）｜让1.25球</x:t>
        </x:is>
      </x:c>
      <x:c r="B17" s="26" t="n">
        <x:v>11</x:v>
      </x:c>
      <x:c r="C17" s="26" t="n">
        <x:v>11</x:v>
      </x:c>
      <x:c r="D17" s="26" t="n">
        <x:v>0</x:v>
      </x:c>
      <x:c r="E17" s="26" t="n">
        <x:v>5</x:v>
      </x:c>
      <x:c r="F17" s="26" t="n">
        <x:v>0</x:v>
      </x:c>
      <x:c r="G17" s="26" t="n">
        <x:v>0</x:v>
      </x:c>
      <x:c r="H17" s="26" t="n">
        <x:v>4</x:v>
      </x:c>
      <x:c r="I17" s="26" t="n">
        <x:v>2</x:v>
      </x:c>
      <x:c r="J17" s="655" t="n">
        <x:v>0.5555555555555556</x:v>
      </x:c>
      <x:c r="K17" s="657" t="n">
        <x:v>1.15</x:v>
      </x:c>
      <x:c r="L17" s="655" t="n">
        <x:v>0.1045454545454546</x:v>
      </x:c>
    </x:row>
    <x:row r="18" ht="22" customHeight="1">
      <x:c r="A18" s="26" t="inlineStr">
        <x:is>
          <x:t xml:space="preserve">周中（周一至周五）｜让1.5球</x:t>
        </x:is>
      </x:c>
      <x:c r="B18" s="26" t="n">
        <x:v>13</x:v>
      </x:c>
      <x:c r="C18" s="26" t="n">
        <x:v>12</x:v>
      </x:c>
      <x:c r="D18" s="26" t="n">
        <x:v>1</x:v>
      </x:c>
      <x:c r="E18" s="26" t="n">
        <x:v>5</x:v>
      </x:c>
      <x:c r="F18" s="26" t="n">
        <x:v>0</x:v>
      </x:c>
      <x:c r="G18" s="26" t="n">
        <x:v>0</x:v>
      </x:c>
      <x:c r="H18" s="26" t="n">
        <x:v>0</x:v>
      </x:c>
      <x:c r="I18" s="26" t="n">
        <x:v>7</x:v>
      </x:c>
      <x:c r="J18" s="655" t="n">
        <x:v>0.4166666666666667</x:v>
      </x:c>
      <x:c r="K18" s="657" t="n">
        <x:v>-2.09</x:v>
      </x:c>
      <x:c r="L18" s="655" t="n">
        <x:v>-0.1741666666666667</x:v>
      </x:c>
    </x:row>
    <x:row r="19" ht="22" customHeight="1">
      <x:c r="A19" s="26" t="inlineStr">
        <x:is>
          <x:t xml:space="preserve">周中（周一至周五）｜让1.75球</x:t>
        </x:is>
      </x:c>
      <x:c r="B19" s="26" t="n">
        <x:v>1</x:v>
      </x:c>
      <x:c r="C19" s="26" t="n">
        <x:v>1</x:v>
      </x:c>
      <x:c r="D19" s="26" t="n">
        <x:v>0</x:v>
      </x:c>
      <x:c r="E19" s="26" t="n">
        <x:v>1</x:v>
      </x:c>
      <x:c r="F19" s="26" t="n">
        <x:v>0</x:v>
      </x:c>
      <x:c r="G19" s="26" t="n">
        <x:v>0</x:v>
      </x:c>
      <x:c r="H19" s="26" t="n">
        <x:v>0</x:v>
      </x:c>
      <x:c r="I19" s="26" t="n">
        <x:v>0</x:v>
      </x:c>
      <x:c r="J19" s="655" t="n">
        <x:v>1</x:v>
      </x:c>
      <x:c r="K19" s="657" t="n">
        <x:v>0.99</x:v>
      </x:c>
      <x:c r="L19" s="655" t="n">
        <x:v>0.99</x:v>
      </x:c>
    </x:row>
    <x:row r="20" ht="22" customHeight="1">
      <x:c r="A20" s="26" t="inlineStr">
        <x:is>
          <x:t xml:space="preserve">周中（周一至周五）｜让2.25球</x:t>
        </x:is>
      </x:c>
      <x:c r="B20" s="26" t="n">
        <x:v>3</x:v>
      </x:c>
      <x:c r="C20" s="26" t="n">
        <x:v>3</x:v>
      </x:c>
      <x:c r="D20" s="26" t="n">
        <x:v>0</x:v>
      </x:c>
      <x:c r="E20" s="26" t="n">
        <x:v>2</x:v>
      </x:c>
      <x:c r="F20" s="26" t="n">
        <x:v>0</x:v>
      </x:c>
      <x:c r="G20" s="26" t="n">
        <x:v>0</x:v>
      </x:c>
      <x:c r="H20" s="26" t="n">
        <x:v>0</x:v>
      </x:c>
      <x:c r="I20" s="26" t="n">
        <x:v>1</x:v>
      </x:c>
      <x:c r="J20" s="655" t="n">
        <x:v>0.6666666666666666</x:v>
      </x:c>
      <x:c r="K20" s="657" t="n">
        <x:v>0.9</x:v>
      </x:c>
      <x:c r="L20" s="655" t="n">
        <x:v>0.3</x:v>
      </x:c>
    </x:row>
    <x:row r="21" ht="22" customHeight="1">
      <x:c r="A21" s="26" t="inlineStr">
        <x:is>
          <x:t xml:space="preserve">周中（周一至周五）｜让2.75球</x:t>
        </x:is>
      </x:c>
      <x:c r="B21" s="26" t="n">
        <x:v>2</x:v>
      </x:c>
      <x:c r="C21" s="26" t="n">
        <x:v>2</x:v>
      </x:c>
      <x:c r="D21" s="26" t="n">
        <x:v>0</x:v>
      </x:c>
      <x:c r="E21" s="26" t="n">
        <x:v>2</x:v>
      </x:c>
      <x:c r="F21" s="26" t="n">
        <x:v>0</x:v>
      </x:c>
      <x:c r="G21" s="26" t="n">
        <x:v>0</x:v>
      </x:c>
      <x:c r="H21" s="26" t="n">
        <x:v>0</x:v>
      </x:c>
      <x:c r="I21" s="26" t="n">
        <x:v>0</x:v>
      </x:c>
      <x:c r="J21" s="655" t="n">
        <x:v>1</x:v>
      </x:c>
      <x:c r="K21" s="657" t="n">
        <x:v>1.91</x:v>
      </x:c>
      <x:c r="L21" s="655" t="n">
        <x:v>0.9550000000000001</x:v>
      </x:c>
    </x:row>
    <x:row r="22" ht="22" customHeight="1">
      <x:c r="A22" s="26" t="inlineStr">
        <x:is>
          <x:t xml:space="preserve">周中（周一至周五）｜让2球</x:t>
        </x:is>
      </x:c>
      <x:c r="B22" s="26" t="n">
        <x:v>6</x:v>
      </x:c>
      <x:c r="C22" s="26" t="n">
        <x:v>6</x:v>
      </x:c>
      <x:c r="D22" s="26" t="n">
        <x:v>0</x:v>
      </x:c>
      <x:c r="E22" s="26" t="n">
        <x:v>3</x:v>
      </x:c>
      <x:c r="F22" s="26" t="n">
        <x:v>0</x:v>
      </x:c>
      <x:c r="G22" s="26" t="n">
        <x:v>1</x:v>
      </x:c>
      <x:c r="H22" s="26" t="n">
        <x:v>0</x:v>
      </x:c>
      <x:c r="I22" s="26" t="n">
        <x:v>2</x:v>
      </x:c>
      <x:c r="J22" s="655" t="n">
        <x:v>0.6</x:v>
      </x:c>
      <x:c r="K22" s="657" t="n">
        <x:v>0.48</x:v>
      </x:c>
      <x:c r="L22" s="655" t="n">
        <x:v>0.08</x:v>
      </x:c>
    </x:row>
    <x:row r="23" ht="22" customHeight="1">
      <x:c r="A23" s="26" t="inlineStr">
        <x:is>
          <x:t xml:space="preserve">周中（周一至周五）｜让3.75球</x:t>
        </x:is>
      </x:c>
      <x:c r="B23" s="26" t="n">
        <x:v>1</x:v>
      </x:c>
      <x:c r="C23" s="26" t="n">
        <x:v>1</x:v>
      </x:c>
      <x:c r="D23" s="26" t="n">
        <x:v>0</x:v>
      </x:c>
      <x:c r="E23" s="26" t="n">
        <x:v>1</x:v>
      </x:c>
      <x:c r="F23" s="26" t="n">
        <x:v>0</x:v>
      </x:c>
      <x:c r="G23" s="26" t="n">
        <x:v>0</x:v>
      </x:c>
      <x:c r="H23" s="26" t="n">
        <x:v>0</x:v>
      </x:c>
      <x:c r="I23" s="26" t="n">
        <x:v>0</x:v>
      </x:c>
      <x:c r="J23" s="655" t="n">
        <x:v>1</x:v>
      </x:c>
      <x:c r="K23" s="657" t="n">
        <x:v>1.01</x:v>
      </x:c>
      <x:c r="L23" s="655" t="n">
        <x:v>1.01</x:v>
      </x:c>
    </x:row>
    <x:row r="24" ht="22" customHeight="1">
      <x:c r="A24" s="26" t="inlineStr">
        <x:is>
          <x:t xml:space="preserve">周中（周一至周五）｜让3球</x:t>
        </x:is>
      </x:c>
      <x:c r="B24" s="26" t="n">
        <x:v>1</x:v>
      </x:c>
      <x:c r="C24" s="26" t="n">
        <x:v>1</x:v>
      </x:c>
      <x:c r="D24" s="26" t="n">
        <x:v>0</x:v>
      </x:c>
      <x:c r="E24" s="26" t="n">
        <x:v>0</x:v>
      </x:c>
      <x:c r="F24" s="26" t="n">
        <x:v>0</x:v>
      </x:c>
      <x:c r="G24" s="26" t="n">
        <x:v>0</x:v>
      </x:c>
      <x:c r="H24" s="26" t="n">
        <x:v>0</x:v>
      </x:c>
      <x:c r="I24" s="26" t="n">
        <x:v>1</x:v>
      </x:c>
      <x:c r="J24" s="655" t="n">
        <x:v>0</x:v>
      </x:c>
      <x:c r="K24" s="657" t="n">
        <x:v>-1</x:v>
      </x:c>
      <x:c r="L24" s="655" t="n">
        <x:v>-1</x:v>
      </x:c>
    </x:row>
    <x:row r="25" ht="22" customHeight="1">
      <x:c r="A25" s="26" t="inlineStr">
        <x:is>
          <x:t xml:space="preserve">周末（周六、周日）｜受让0.25球</x:t>
        </x:is>
      </x:c>
      <x:c r="B25" s="26" t="n">
        <x:v>36</x:v>
      </x:c>
      <x:c r="C25" s="26" t="n">
        <x:v>36</x:v>
      </x:c>
      <x:c r="D25" s="26" t="n">
        <x:v>0</x:v>
      </x:c>
      <x:c r="E25" s="26" t="n">
        <x:v>9</x:v>
      </x:c>
      <x:c r="F25" s="26" t="n">
        <x:v>11</x:v>
      </x:c>
      <x:c r="G25" s="26" t="n">
        <x:v>0</x:v>
      </x:c>
      <x:c r="H25" s="26" t="n">
        <x:v>0</x:v>
      </x:c>
      <x:c r="I25" s="26" t="n">
        <x:v>16</x:v>
      </x:c>
      <x:c r="J25" s="655" t="n">
        <x:v>0.4754098360655737</x:v>
      </x:c>
      <x:c r="K25" s="657" t="n">
        <x:v>-0.8899999999999995</x:v>
      </x:c>
      <x:c r="L25" s="655" t="n">
        <x:v>-0.02472222222222221</x:v>
      </x:c>
    </x:row>
    <x:row r="26" ht="22" customHeight="1">
      <x:c r="A26" s="26" t="inlineStr">
        <x:is>
          <x:t xml:space="preserve">周末（周六、周日）｜受让0.5球</x:t>
        </x:is>
      </x:c>
      <x:c r="B26" s="26" t="n">
        <x:v>19</x:v>
      </x:c>
      <x:c r="C26" s="26" t="n">
        <x:v>19</x:v>
      </x:c>
      <x:c r="D26" s="26" t="n">
        <x:v>0</x:v>
      </x:c>
      <x:c r="E26" s="26" t="n">
        <x:v>8</x:v>
      </x:c>
      <x:c r="F26" s="26" t="n">
        <x:v>0</x:v>
      </x:c>
      <x:c r="G26" s="26" t="n">
        <x:v>0</x:v>
      </x:c>
      <x:c r="H26" s="26" t="n">
        <x:v>0</x:v>
      </x:c>
      <x:c r="I26" s="26" t="n">
        <x:v>11</x:v>
      </x:c>
      <x:c r="J26" s="655" t="n">
        <x:v>0.4210526315789473</x:v>
      </x:c>
      <x:c r="K26" s="657" t="n">
        <x:v>-2.92</x:v>
      </x:c>
      <x:c r="L26" s="655" t="n">
        <x:v>-0.1536842105263158</x:v>
      </x:c>
    </x:row>
    <x:row r="27" ht="22" customHeight="1">
      <x:c r="A27" s="26" t="inlineStr">
        <x:is>
          <x:t xml:space="preserve">周末（周六、周日）｜受让0.75球</x:t>
        </x:is>
      </x:c>
      <x:c r="B27" s="26" t="n">
        <x:v>21</x:v>
      </x:c>
      <x:c r="C27" s="26" t="n">
        <x:v>21</x:v>
      </x:c>
      <x:c r="D27" s="26" t="n">
        <x:v>0</x:v>
      </x:c>
      <x:c r="E27" s="26" t="n">
        <x:v>13</x:v>
      </x:c>
      <x:c r="F27" s="26" t="n">
        <x:v>0</x:v>
      </x:c>
      <x:c r="G27" s="26" t="n">
        <x:v>0</x:v>
      </x:c>
      <x:c r="H27" s="26" t="n">
        <x:v>4</x:v>
      </x:c>
      <x:c r="I27" s="26" t="n">
        <x:v>4</x:v>
      </x:c>
      <x:c r="J27" s="655" t="n">
        <x:v>0.6842105263157895</x:v>
      </x:c>
      <x:c r="K27" s="657" t="n">
        <x:v>7.7</x:v>
      </x:c>
      <x:c r="L27" s="655" t="n">
        <x:v>0.3666666666666667</x:v>
      </x:c>
    </x:row>
    <x:row r="28" ht="22" customHeight="1">
      <x:c r="A28" s="26" t="inlineStr">
        <x:is>
          <x:t xml:space="preserve">周末（周六、周日）｜受让1.25球</x:t>
        </x:is>
      </x:c>
      <x:c r="B28" s="26" t="n">
        <x:v>4</x:v>
      </x:c>
      <x:c r="C28" s="26" t="n">
        <x:v>4</x:v>
      </x:c>
      <x:c r="D28" s="26" t="n">
        <x:v>0</x:v>
      </x:c>
      <x:c r="E28" s="26" t="n">
        <x:v>2</x:v>
      </x:c>
      <x:c r="F28" s="26" t="n">
        <x:v>1</x:v>
      </x:c>
      <x:c r="G28" s="26" t="n">
        <x:v>0</x:v>
      </x:c>
      <x:c r="H28" s="26" t="n">
        <x:v>0</x:v>
      </x:c>
      <x:c r="I28" s="26" t="n">
        <x:v>1</x:v>
      </x:c>
      <x:c r="J28" s="655" t="n">
        <x:v>0.7142857142857143</x:v>
      </x:c>
      <x:c r="K28" s="657" t="n">
        <x:v>1.72</x:v>
      </x:c>
      <x:c r="L28" s="655" t="n">
        <x:v>0.43</x:v>
      </x:c>
    </x:row>
    <x:row r="29" ht="22" customHeight="1">
      <x:c r="A29" s="26" t="inlineStr">
        <x:is>
          <x:t xml:space="preserve">周末（周六、周日）｜受让1球</x:t>
        </x:is>
      </x:c>
      <x:c r="B29" s="26" t="n">
        <x:v>27</x:v>
      </x:c>
      <x:c r="C29" s="26" t="n">
        <x:v>27</x:v>
      </x:c>
      <x:c r="D29" s="26" t="n">
        <x:v>0</x:v>
      </x:c>
      <x:c r="E29" s="26" t="n">
        <x:v>8</x:v>
      </x:c>
      <x:c r="F29" s="26" t="n">
        <x:v>0</x:v>
      </x:c>
      <x:c r="G29" s="26" t="n">
        <x:v>10</x:v>
      </x:c>
      <x:c r="H29" s="26" t="n">
        <x:v>0</x:v>
      </x:c>
      <x:c r="I29" s="26" t="n">
        <x:v>9</x:v>
      </x:c>
      <x:c r="J29" s="655" t="n">
        <x:v>0.4705882352941176</x:v>
      </x:c>
      <x:c r="K29" s="657" t="n">
        <x:v>-0.8099999999999999</x:v>
      </x:c>
      <x:c r="L29" s="655" t="n">
        <x:v>-0.03</x:v>
      </x:c>
    </x:row>
    <x:row r="30" ht="22" customHeight="1">
      <x:c r="A30" s="26" t="inlineStr">
        <x:is>
          <x:t xml:space="preserve">周末（周六、周日）｜让0.25球</x:t>
        </x:is>
      </x:c>
      <x:c r="B30" s="26" t="n">
        <x:v>23</x:v>
      </x:c>
      <x:c r="C30" s="26" t="n">
        <x:v>23</x:v>
      </x:c>
      <x:c r="D30" s="26" t="n">
        <x:v>0</x:v>
      </x:c>
      <x:c r="E30" s="26" t="n">
        <x:v>13</x:v>
      </x:c>
      <x:c r="F30" s="26" t="n">
        <x:v>0</x:v>
      </x:c>
      <x:c r="G30" s="26" t="n">
        <x:v>0</x:v>
      </x:c>
      <x:c r="H30" s="26" t="n">
        <x:v>3</x:v>
      </x:c>
      <x:c r="I30" s="26" t="n">
        <x:v>7</x:v>
      </x:c>
      <x:c r="J30" s="655" t="n">
        <x:v>0.6046511627906976</x:v>
      </x:c>
      <x:c r="K30" s="657" t="n">
        <x:v>5.210000000000001</x:v>
      </x:c>
      <x:c r="L30" s="655" t="n">
        <x:v>0.2265217391304348</x:v>
      </x:c>
    </x:row>
    <x:row r="31" ht="22" customHeight="1">
      <x:c r="A31" s="26" t="inlineStr">
        <x:is>
          <x:t xml:space="preserve">周末（周六、周日）｜让0.5球</x:t>
        </x:is>
      </x:c>
      <x:c r="B31" s="26" t="n">
        <x:v>12</x:v>
      </x:c>
      <x:c r="C31" s="26" t="n">
        <x:v>12</x:v>
      </x:c>
      <x:c r="D31" s="26" t="n">
        <x:v>0</x:v>
      </x:c>
      <x:c r="E31" s="26" t="n">
        <x:v>7</x:v>
      </x:c>
      <x:c r="F31" s="26" t="n">
        <x:v>0</x:v>
      </x:c>
      <x:c r="G31" s="26" t="n">
        <x:v>0</x:v>
      </x:c>
      <x:c r="H31" s="26" t="n">
        <x:v>0</x:v>
      </x:c>
      <x:c r="I31" s="26" t="n">
        <x:v>5</x:v>
      </x:c>
      <x:c r="J31" s="655" t="n">
        <x:v>0.5833333333333334</x:v>
      </x:c>
      <x:c r="K31" s="657" t="n">
        <x:v>2.3</x:v>
      </x:c>
      <x:c r="L31" s="655" t="n">
        <x:v>0.1916666666666667</x:v>
      </x:c>
    </x:row>
    <x:row r="32" ht="22" customHeight="1">
      <x:c r="A32" s="26" t="inlineStr">
        <x:is>
          <x:t xml:space="preserve">周末（周六、周日）｜让0.75球</x:t>
        </x:is>
      </x:c>
      <x:c r="B32" s="26" t="n">
        <x:v>7</x:v>
      </x:c>
      <x:c r="C32" s="26" t="n">
        <x:v>7</x:v>
      </x:c>
      <x:c r="D32" s="26" t="n">
        <x:v>0</x:v>
      </x:c>
      <x:c r="E32" s="26" t="n">
        <x:v>3</x:v>
      </x:c>
      <x:c r="F32" s="26" t="n">
        <x:v>1</x:v>
      </x:c>
      <x:c r="G32" s="26" t="n">
        <x:v>0</x:v>
      </x:c>
      <x:c r="H32" s="26" t="n">
        <x:v>0</x:v>
      </x:c>
      <x:c r="I32" s="26" t="n">
        <x:v>3</x:v>
      </x:c>
      <x:c r="J32" s="655" t="n">
        <x:v>0.5384615384615384</x:v>
      </x:c>
      <x:c r="K32" s="657" t="n">
        <x:v>0.6650000000000001</x:v>
      </x:c>
      <x:c r="L32" s="655" t="n">
        <x:v>0.09500000000000001</x:v>
      </x:c>
    </x:row>
    <x:row r="33" ht="22" customHeight="1">
      <x:c r="A33" s="26" t="inlineStr">
        <x:is>
          <x:t xml:space="preserve">周末（周六、周日）｜让1.25球</x:t>
        </x:is>
      </x:c>
      <x:c r="B33" s="26" t="n">
        <x:v>8</x:v>
      </x:c>
      <x:c r="C33" s="26" t="n">
        <x:v>8</x:v>
      </x:c>
      <x:c r="D33" s="26" t="n">
        <x:v>0</x:v>
      </x:c>
      <x:c r="E33" s="26" t="n">
        <x:v>5</x:v>
      </x:c>
      <x:c r="F33" s="26" t="n">
        <x:v>0</x:v>
      </x:c>
      <x:c r="G33" s="26" t="n">
        <x:v>0</x:v>
      </x:c>
      <x:c r="H33" s="26" t="n">
        <x:v>0</x:v>
      </x:c>
      <x:c r="I33" s="26" t="n">
        <x:v>3</x:v>
      </x:c>
      <x:c r="J33" s="655" t="n">
        <x:v>0.625</x:v>
      </x:c>
      <x:c r="K33" s="657" t="n">
        <x:v>2.23</x:v>
      </x:c>
      <x:c r="L33" s="655" t="n">
        <x:v>0.2787500000000001</x:v>
      </x:c>
    </x:row>
    <x:row r="34" ht="22" customHeight="1">
      <x:c r="A34" s="26" t="inlineStr">
        <x:is>
          <x:t xml:space="preserve">周末（周六、周日）｜让1.5球</x:t>
        </x:is>
      </x:c>
      <x:c r="B34" s="26" t="n">
        <x:v>15</x:v>
      </x:c>
      <x:c r="C34" s="26" t="n">
        <x:v>15</x:v>
      </x:c>
      <x:c r="D34" s="26" t="n">
        <x:v>0</x:v>
      </x:c>
      <x:c r="E34" s="26" t="n">
        <x:v>8</x:v>
      </x:c>
      <x:c r="F34" s="26" t="n">
        <x:v>0</x:v>
      </x:c>
      <x:c r="G34" s="26" t="n">
        <x:v>0</x:v>
      </x:c>
      <x:c r="H34" s="26" t="n">
        <x:v>0</x:v>
      </x:c>
      <x:c r="I34" s="26" t="n">
        <x:v>7</x:v>
      </x:c>
      <x:c r="J34" s="655" t="n">
        <x:v>0.5333333333333333</x:v>
      </x:c>
      <x:c r="K34" s="657" t="n">
        <x:v>0.2899999999999999</x:v>
      </x:c>
      <x:c r="L34" s="655" t="n">
        <x:v>0.01933333333333333</x:v>
      </x:c>
    </x:row>
    <x:row r="35" ht="22" customHeight="1">
      <x:c r="A35" s="26" t="inlineStr">
        <x:is>
          <x:t xml:space="preserve">周末（周六、周日）｜让1.75球</x:t>
        </x:is>
      </x:c>
      <x:c r="B35" s="26" t="n">
        <x:v>10</x:v>
      </x:c>
      <x:c r="C35" s="26" t="n">
        <x:v>10</x:v>
      </x:c>
      <x:c r="D35" s="26" t="n">
        <x:v>0</x:v>
      </x:c>
      <x:c r="E35" s="26" t="n">
        <x:v>4</x:v>
      </x:c>
      <x:c r="F35" s="26" t="n">
        <x:v>2</x:v>
      </x:c>
      <x:c r="G35" s="26" t="n">
        <x:v>0</x:v>
      </x:c>
      <x:c r="H35" s="26" t="n">
        <x:v>0</x:v>
      </x:c>
      <x:c r="I35" s="26" t="n">
        <x:v>4</x:v>
      </x:c>
      <x:c r="J35" s="655" t="n">
        <x:v>0.5555555555555556</x:v>
      </x:c>
      <x:c r="K35" s="657" t="n">
        <x:v>0.8549999999999999</x:v>
      </x:c>
      <x:c r="L35" s="655" t="n">
        <x:v>0.08549999999999999</x:v>
      </x:c>
    </x:row>
    <x:row r="36" ht="22" customHeight="1">
      <x:c r="A36" s="26" t="inlineStr">
        <x:is>
          <x:t xml:space="preserve">周末（周六、周日）｜让2.25球</x:t>
        </x:is>
      </x:c>
      <x:c r="B36" s="26" t="n">
        <x:v>5</x:v>
      </x:c>
      <x:c r="C36" s="26" t="n">
        <x:v>5</x:v>
      </x:c>
      <x:c r="D36" s="26" t="n">
        <x:v>0</x:v>
      </x:c>
      <x:c r="E36" s="26" t="n">
        <x:v>1</x:v>
      </x:c>
      <x:c r="F36" s="26" t="n">
        <x:v>0</x:v>
      </x:c>
      <x:c r="G36" s="26" t="n">
        <x:v>0</x:v>
      </x:c>
      <x:c r="H36" s="26" t="n">
        <x:v>3</x:v>
      </x:c>
      <x:c r="I36" s="26" t="n">
        <x:v>1</x:v>
      </x:c>
      <x:c r="J36" s="655" t="n">
        <x:v>0.2857142857142857</x:v>
      </x:c>
      <x:c r="K36" s="657" t="n">
        <x:v>-1.55</x:v>
      </x:c>
      <x:c r="L36" s="655" t="n">
        <x:v>-0.31</x:v>
      </x:c>
    </x:row>
    <x:row r="37" ht="22" customHeight="1">
      <x:c r="A37" s="26" t="inlineStr">
        <x:is>
          <x:t xml:space="preserve">周末（周六、周日）｜让2.75球</x:t>
        </x:is>
      </x:c>
      <x:c r="B37" s="26" t="n">
        <x:v>1</x:v>
      </x:c>
      <x:c r="C37" s="26" t="n">
        <x:v>1</x:v>
      </x:c>
      <x:c r="D37" s="26" t="n">
        <x:v>0</x:v>
      </x:c>
      <x:c r="E37" s="26" t="n">
        <x:v>0</x:v>
      </x:c>
      <x:c r="F37" s="26" t="n">
        <x:v>0</x:v>
      </x:c>
      <x:c r="G37" s="26" t="n">
        <x:v>0</x:v>
      </x:c>
      <x:c r="H37" s="26" t="n">
        <x:v>0</x:v>
      </x:c>
      <x:c r="I37" s="26" t="n">
        <x:v>1</x:v>
      </x:c>
      <x:c r="J37" s="655" t="n">
        <x:v>0</x:v>
      </x:c>
      <x:c r="K37" s="657" t="n">
        <x:v>-1</x:v>
      </x:c>
      <x:c r="L37" s="655" t="n">
        <x:v>-1</x:v>
      </x:c>
    </x:row>
    <x:row r="38" ht="22" customHeight="1">
      <x:c r="A38" s="26" t="inlineStr">
        <x:is>
          <x:t xml:space="preserve">周末（周六、周日）｜让2球</x:t>
        </x:is>
      </x:c>
      <x:c r="B38" s="26" t="n">
        <x:v>4</x:v>
      </x:c>
      <x:c r="C38" s="26" t="n">
        <x:v>4</x:v>
      </x:c>
      <x:c r="D38" s="26" t="n">
        <x:v>0</x:v>
      </x:c>
      <x:c r="E38" s="26" t="n">
        <x:v>1</x:v>
      </x:c>
      <x:c r="F38" s="26" t="n">
        <x:v>0</x:v>
      </x:c>
      <x:c r="G38" s="26" t="n">
        <x:v>1</x:v>
      </x:c>
      <x:c r="H38" s="26" t="n">
        <x:v>0</x:v>
      </x:c>
      <x:c r="I38" s="26" t="n">
        <x:v>2</x:v>
      </x:c>
      <x:c r="J38" s="655" t="n">
        <x:v>0.3333333333333333</x:v>
      </x:c>
      <x:c r="K38" s="657" t="n">
        <x:v>-1.23</x:v>
      </x:c>
      <x:c r="L38" s="655" t="n">
        <x:v>-0.3075</x:v>
      </x:c>
    </x:row>
  </x:sheetData>
  <x:mergeCells>
    <x:mergeCell ref="A3:L3"/>
    <x:mergeCell ref="A1:L1"/>
  </x:mergeCells>
  <x:pageMargins left="0.7" right="0.7" top="0.75" bottom="0.75" header="0.3" footer="0.3"/>
  <x:tableParts count="1">
    <x:tablePart xmlns:r="http://schemas.openxmlformats.org/officeDocument/2006/relationships" r:id="R8dd77b18632f457f"/>
  </x:tableParts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82" customWidth="1"/>
  </x:cols>
  <x:sheetData>
    <x:row r="1" ht="28" customHeight="1">
      <x:c r="A1" s="529" t="inlineStr">
        <x:is>
          <x:t xml:space="preserve">V4账本说明</x:t>
        </x:is>
      </x:c>
    </x:row>
    <x:row r="2">
      <x:c r="A2" s="53" t="n"/>
      <x:c r="B2" s="53" t="n"/>
      <x:c r="C2" s="53" t="n"/>
      <x:c r="D2" s="53" t="n"/>
      <x:c r="E2" s="53" t="n"/>
      <x:c r="F2" s="53" t="n"/>
      <x:c r="G2" s="53" t="n"/>
      <x:c r="H2" s="53" t="n"/>
    </x:row>
    <x:row r="3" ht="26" customHeight="1">
      <x:c r="A3" s="538" t="inlineStr">
        <x:is>
          <x:t xml:space="preserve">项目</x:t>
        </x:is>
      </x:c>
      <x:c r="B3" s="538" t="inlineStr">
        <x:is>
          <x:t xml:space="preserve">说明</x:t>
        </x:is>
      </x:c>
      <x:c r="C3" s="53" t="n"/>
      <x:c r="D3" s="53" t="n"/>
      <x:c r="E3" s="53" t="n"/>
      <x:c r="F3" s="53" t="n"/>
      <x:c r="G3" s="53" t="n"/>
      <x:c r="H3" s="53" t="n"/>
    </x:row>
    <x:row r="4" ht="30" customHeight="1">
      <x:c r="A4" s="52" t="inlineStr">
        <x:is>
          <x:t xml:space="preserve">候选范围</x:t>
        </x:is>
      </x:c>
      <x:c r="B4" s="52" t="inlineStr">
        <x:is>
          <x:t xml:space="preserve">V4中EVALUATED或FROZEN_PREMATCH_DECISION且等级A/B/C；保留冻结的赛前选择</x:t>
        </x:is>
      </x:c>
      <x:c r="C4" s="53" t="n"/>
      <x:c r="D4" s="53" t="n"/>
      <x:c r="E4" s="53" t="n"/>
      <x:c r="F4" s="53" t="n"/>
      <x:c r="G4" s="53" t="n"/>
      <x:c r="H4" s="53" t="n"/>
    </x:row>
    <x:row r="5" ht="30" customHeight="1">
      <x:c r="A5" s="52" t="inlineStr">
        <x:is>
          <x:t xml:space="preserve">投注性质</x:t>
        </x:is>
      </x:c>
      <x:c r="B5" s="52" t="inlineStr">
        <x:is>
          <x:t xml:space="preserve">V4 Shadow Only；real_money=false</x:t>
        </x:is>
      </x:c>
      <x:c r="C5" s="53" t="n"/>
      <x:c r="D5" s="53" t="n"/>
      <x:c r="E5" s="53" t="n"/>
      <x:c r="F5" s="53" t="n"/>
      <x:c r="G5" s="53" t="n"/>
      <x:c r="H5" s="53" t="n"/>
    </x:row>
    <x:row r="6" ht="30" customHeight="1">
      <x:c r="A6" s="52" t="inlineStr">
        <x:is>
          <x:t xml:space="preserve">比赛胜率</x:t>
        </x:is>
      </x:c>
      <x:c r="B6" s="52" t="inlineStr">
        <x:is>
          <x:t xml:space="preserve">“模型有效胜率”由W/HW/HL/L结算概率换算</x:t>
        </x:is>
      </x:c>
      <x:c r="C6" s="53" t="n"/>
      <x:c r="D6" s="53" t="n"/>
      <x:c r="E6" s="53" t="n"/>
      <x:c r="F6" s="53" t="n"/>
      <x:c r="G6" s="53" t="n"/>
      <x:c r="H6" s="53" t="n"/>
    </x:row>
    <x:row r="7" ht="30" customHeight="1">
      <x:c r="A7" s="52" t="inlineStr">
        <x:is>
          <x:t xml:space="preserve">P(EV&gt;0)</x:t>
        </x:is>
      </x:c>
      <x:c r="B7" s="52" t="inlineStr">
        <x:is>
          <x:t xml:space="preserve">期望收益为正的后验概率，不是比赛胜率</x:t>
        </x:is>
      </x:c>
      <x:c r="C7" s="53" t="n"/>
      <x:c r="D7" s="53" t="n"/>
      <x:c r="E7" s="53" t="n"/>
      <x:c r="F7" s="53" t="n"/>
      <x:c r="G7" s="53" t="n"/>
      <x:c r="H7" s="53" t="n"/>
    </x:row>
    <x:row r="8" ht="30" customHeight="1">
      <x:c r="A8" s="52" t="inlineStr">
        <x:is>
          <x:t xml:space="preserve">亚盘结算</x:t>
        </x:is>
      </x:c>
      <x:c r="B8" s="52" t="inlineStr">
        <x:is>
          <x:t xml:space="preserve">以selected_handicap_signed为唯一带符号结算盘口，拆分0.25/0.75盘</x:t>
        </x:is>
      </x:c>
      <x:c r="C8" s="53" t="n"/>
      <x:c r="D8" s="53" t="n"/>
      <x:c r="E8" s="53" t="n"/>
      <x:c r="F8" s="53" t="n"/>
      <x:c r="G8" s="53" t="n"/>
      <x:c r="H8" s="53" t="n"/>
    </x:row>
    <x:row r="9" ht="30" customHeight="1">
      <x:c r="A9" s="52" t="inlineStr">
        <x:is>
          <x:t xml:space="preserve">盈亏口径</x:t>
        </x:is>
      </x:c>
      <x:c r="B9" s="52" t="inlineStr">
        <x:is>
          <x:t xml:space="preserve">红=+水位；半红=+0.5×水位；走=0；半黑=-0.5；黑=-1</x:t>
        </x:is>
      </x:c>
      <x:c r="C9" s="53" t="n"/>
      <x:c r="D9" s="53" t="n"/>
      <x:c r="E9" s="53" t="n"/>
      <x:c r="F9" s="53" t="n"/>
      <x:c r="G9" s="53" t="n"/>
      <x:c r="H9" s="53" t="n"/>
    </x:row>
    <x:row r="10" ht="30" customHeight="1">
      <x:c r="A10" s="52" t="inlineStr">
        <x:is>
          <x:t xml:space="preserve">比分来源</x:t>
        </x:is>
      </x:c>
      <x:c r="B10" s="52" t="inlineStr">
        <x:is>
          <x:t xml:space="preserve">官方俱乐部、赛事结果页及独立比分页交叉核对；不再把终场前停止的即时流当最终比分</x:t>
        </x:is>
      </x:c>
      <x:c r="C10" s="53" t="n"/>
      <x:c r="D10" s="53" t="n"/>
      <x:c r="E10" s="53" t="n"/>
      <x:c r="F10" s="53" t="n"/>
      <x:c r="G10" s="53" t="n"/>
      <x:c r="H10" s="53" t="n"/>
    </x:row>
  </x:sheetData>
  <x:mergeCells>
    <x:mergeCell ref="A1:H1"/>
  </x:mergeCells>
  <x:pageMargins left="0.7" right="0.7" top="0.75" bottom="0.75" header="0.3" footer="0.3"/>
</x:worksheet>
</file>